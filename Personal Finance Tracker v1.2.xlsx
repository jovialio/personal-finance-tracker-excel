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ennischew/work/personal-finance-tracker-excel/"/>
    </mc:Choice>
  </mc:AlternateContent>
  <xr:revisionPtr revIDLastSave="0" documentId="13_ncr:1_{190C3CE4-A449-1D4E-BBDB-F3DF4C91F077}" xr6:coauthVersionLast="47" xr6:coauthVersionMax="47" xr10:uidLastSave="{00000000-0000-0000-0000-000000000000}"/>
  <bookViews>
    <workbookView xWindow="0" yWindow="540" windowWidth="23480" windowHeight="14440" tabRatio="500" firstSheet="3" activeTab="7" xr2:uid="{00000000-000D-0000-FFFF-FFFF00000000}"/>
  </bookViews>
  <sheets>
    <sheet name="Start Here" sheetId="1" r:id="rId1"/>
    <sheet name="Dashboard" sheetId="2" r:id="rId2"/>
    <sheet name="Settings" sheetId="3" r:id="rId3"/>
    <sheet name="Balance Sheet" sheetId="4" r:id="rId4"/>
    <sheet name="Cash Flow" sheetId="5" r:id="rId5"/>
    <sheet name="Net Worth History" sheetId="6" r:id="rId6"/>
    <sheet name="Insurance" sheetId="7" r:id="rId7"/>
    <sheet name="Housing" sheetId="8" r:id="rId8"/>
    <sheet name="Loan Calculator" sheetId="9" r:id="rId9"/>
    <sheet name="Retirement Plan" sheetId="10" r:id="rId10"/>
    <sheet name="Savings Goal Calculator" sheetId="18" r:id="rId11"/>
    <sheet name="Transactions" sheetId="11" r:id="rId12"/>
    <sheet name="Prices" sheetId="12" r:id="rId13"/>
    <sheet name="Stock Dashboard" sheetId="13" r:id="rId14"/>
    <sheet name="Portfolio History" sheetId="14" r:id="rId15"/>
    <sheet name="Shares" sheetId="15" r:id="rId16"/>
    <sheet name="All Ticker P&amp;L" sheetId="16" r:id="rId17"/>
    <sheet name="Portfolio Analysis" sheetId="17" r:id="rId18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_xlnm.Print_Titles" localSheetId="8">'Loan Calculator'!$16:$16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10" i="17" l="1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G68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E60" i="14"/>
  <c r="C60" i="14"/>
  <c r="D60" i="14" s="1"/>
  <c r="E59" i="14"/>
  <c r="C59" i="14"/>
  <c r="D59" i="14" s="1"/>
  <c r="E58" i="14"/>
  <c r="C58" i="14"/>
  <c r="D58" i="14" s="1"/>
  <c r="E57" i="14"/>
  <c r="C57" i="14"/>
  <c r="D57" i="14" s="1"/>
  <c r="E56" i="14"/>
  <c r="C56" i="14"/>
  <c r="D56" i="14" s="1"/>
  <c r="E55" i="14"/>
  <c r="C55" i="14"/>
  <c r="D55" i="14" s="1"/>
  <c r="E54" i="14"/>
  <c r="C54" i="14"/>
  <c r="D54" i="14" s="1"/>
  <c r="E53" i="14"/>
  <c r="C53" i="14"/>
  <c r="D53" i="14" s="1"/>
  <c r="E52" i="14"/>
  <c r="C52" i="14"/>
  <c r="D52" i="14" s="1"/>
  <c r="E51" i="14"/>
  <c r="C51" i="14"/>
  <c r="D51" i="14" s="1"/>
  <c r="E50" i="14"/>
  <c r="C50" i="14"/>
  <c r="D50" i="14" s="1"/>
  <c r="E49" i="14"/>
  <c r="C49" i="14"/>
  <c r="D49" i="14" s="1"/>
  <c r="E48" i="14"/>
  <c r="C48" i="14"/>
  <c r="D48" i="14" s="1"/>
  <c r="E47" i="14"/>
  <c r="C47" i="14"/>
  <c r="D47" i="14" s="1"/>
  <c r="E46" i="14"/>
  <c r="C46" i="14"/>
  <c r="D46" i="14" s="1"/>
  <c r="E45" i="14"/>
  <c r="C45" i="14"/>
  <c r="D45" i="14" s="1"/>
  <c r="E44" i="14"/>
  <c r="C44" i="14"/>
  <c r="D44" i="14" s="1"/>
  <c r="E43" i="14"/>
  <c r="C43" i="14"/>
  <c r="D43" i="14" s="1"/>
  <c r="E42" i="14"/>
  <c r="C42" i="14"/>
  <c r="D42" i="14" s="1"/>
  <c r="E41" i="14"/>
  <c r="C41" i="14"/>
  <c r="D41" i="14" s="1"/>
  <c r="E40" i="14"/>
  <c r="C40" i="14"/>
  <c r="D40" i="14" s="1"/>
  <c r="E39" i="14"/>
  <c r="C39" i="14"/>
  <c r="D39" i="14" s="1"/>
  <c r="E38" i="14"/>
  <c r="C38" i="14"/>
  <c r="D38" i="14" s="1"/>
  <c r="E37" i="14"/>
  <c r="C37" i="14"/>
  <c r="D37" i="14" s="1"/>
  <c r="E36" i="14"/>
  <c r="C36" i="14"/>
  <c r="D36" i="14" s="1"/>
  <c r="E35" i="14"/>
  <c r="C35" i="14"/>
  <c r="D35" i="14" s="1"/>
  <c r="E34" i="14"/>
  <c r="C34" i="14"/>
  <c r="D34" i="14" s="1"/>
  <c r="E33" i="14"/>
  <c r="C33" i="14"/>
  <c r="D33" i="14" s="1"/>
  <c r="E32" i="14"/>
  <c r="C32" i="14"/>
  <c r="D32" i="14" s="1"/>
  <c r="E31" i="14"/>
  <c r="C31" i="14"/>
  <c r="D31" i="14" s="1"/>
  <c r="E30" i="14"/>
  <c r="C30" i="14"/>
  <c r="D30" i="14" s="1"/>
  <c r="E29" i="14"/>
  <c r="C29" i="14"/>
  <c r="D29" i="14" s="1"/>
  <c r="E28" i="14"/>
  <c r="C28" i="14"/>
  <c r="D28" i="14" s="1"/>
  <c r="E27" i="14"/>
  <c r="C27" i="14"/>
  <c r="D27" i="14" s="1"/>
  <c r="E26" i="14"/>
  <c r="C26" i="14"/>
  <c r="D26" i="14" s="1"/>
  <c r="E25" i="14"/>
  <c r="C25" i="14"/>
  <c r="D25" i="14" s="1"/>
  <c r="E24" i="14"/>
  <c r="C24" i="14"/>
  <c r="D24" i="14" s="1"/>
  <c r="E23" i="14"/>
  <c r="C23" i="14"/>
  <c r="D23" i="14" s="1"/>
  <c r="E22" i="14"/>
  <c r="C22" i="14"/>
  <c r="D22" i="14" s="1"/>
  <c r="E21" i="14"/>
  <c r="C21" i="14"/>
  <c r="D21" i="14" s="1"/>
  <c r="E20" i="14"/>
  <c r="C20" i="14"/>
  <c r="D20" i="14" s="1"/>
  <c r="E19" i="14"/>
  <c r="C19" i="14"/>
  <c r="D19" i="14" s="1"/>
  <c r="E18" i="14"/>
  <c r="C18" i="14"/>
  <c r="D18" i="14" s="1"/>
  <c r="E17" i="14"/>
  <c r="C17" i="14"/>
  <c r="D17" i="14" s="1"/>
  <c r="E16" i="14"/>
  <c r="C16" i="14"/>
  <c r="D16" i="14" s="1"/>
  <c r="E15" i="14"/>
  <c r="C15" i="14"/>
  <c r="D15" i="14" s="1"/>
  <c r="E14" i="14"/>
  <c r="C14" i="14"/>
  <c r="D14" i="14" s="1"/>
  <c r="E13" i="14"/>
  <c r="C13" i="14"/>
  <c r="D13" i="14" s="1"/>
  <c r="E12" i="14"/>
  <c r="C12" i="14"/>
  <c r="D12" i="14" s="1"/>
  <c r="E11" i="14"/>
  <c r="C11" i="14"/>
  <c r="D11" i="14" s="1"/>
  <c r="E10" i="14"/>
  <c r="C10" i="14"/>
  <c r="D10" i="14" s="1"/>
  <c r="E9" i="14"/>
  <c r="C9" i="14"/>
  <c r="D9" i="14" s="1"/>
  <c r="E8" i="14"/>
  <c r="A5" i="14"/>
  <c r="F12" i="12"/>
  <c r="F11" i="12"/>
  <c r="F10" i="12"/>
  <c r="F9" i="12"/>
  <c r="F8" i="12"/>
  <c r="F7" i="12"/>
  <c r="F6" i="12"/>
  <c r="F5" i="12"/>
  <c r="F4" i="12"/>
  <c r="F3" i="12"/>
  <c r="F2" i="12"/>
  <c r="M21" i="11"/>
  <c r="L21" i="11"/>
  <c r="K21" i="11"/>
  <c r="J21" i="11"/>
  <c r="A29" i="17" s="1"/>
  <c r="M20" i="11"/>
  <c r="L20" i="11"/>
  <c r="K20" i="11"/>
  <c r="J20" i="11"/>
  <c r="A28" i="17" s="1"/>
  <c r="M19" i="11"/>
  <c r="L19" i="11"/>
  <c r="K19" i="11"/>
  <c r="J19" i="11"/>
  <c r="A27" i="17" s="1"/>
  <c r="M18" i="11"/>
  <c r="L18" i="11"/>
  <c r="K18" i="11"/>
  <c r="J18" i="11"/>
  <c r="A26" i="17" s="1"/>
  <c r="M17" i="11"/>
  <c r="L17" i="11"/>
  <c r="K17" i="11"/>
  <c r="J17" i="11"/>
  <c r="A25" i="17" s="1"/>
  <c r="M16" i="11"/>
  <c r="L16" i="11"/>
  <c r="K16" i="11"/>
  <c r="J16" i="11"/>
  <c r="A24" i="17" s="1"/>
  <c r="M15" i="11"/>
  <c r="L15" i="11"/>
  <c r="K15" i="11"/>
  <c r="J15" i="11"/>
  <c r="A23" i="17" s="1"/>
  <c r="M14" i="11"/>
  <c r="L14" i="11"/>
  <c r="K14" i="11"/>
  <c r="J14" i="11"/>
  <c r="A22" i="17" s="1"/>
  <c r="M13" i="11"/>
  <c r="L13" i="11"/>
  <c r="K13" i="11"/>
  <c r="J13" i="11"/>
  <c r="A21" i="17" s="1"/>
  <c r="M12" i="11"/>
  <c r="L12" i="11"/>
  <c r="K12" i="11"/>
  <c r="J12" i="11"/>
  <c r="A20" i="17" s="1"/>
  <c r="M11" i="11"/>
  <c r="L11" i="11"/>
  <c r="K11" i="11"/>
  <c r="J11" i="11"/>
  <c r="A19" i="17" s="1"/>
  <c r="M10" i="11"/>
  <c r="L10" i="11"/>
  <c r="K10" i="11"/>
  <c r="J10" i="11"/>
  <c r="A18" i="17" s="1"/>
  <c r="M9" i="11"/>
  <c r="L9" i="11"/>
  <c r="K9" i="11"/>
  <c r="J9" i="11"/>
  <c r="A17" i="17" s="1"/>
  <c r="M8" i="11"/>
  <c r="L8" i="11"/>
  <c r="K8" i="11"/>
  <c r="J8" i="11"/>
  <c r="A16" i="17" s="1"/>
  <c r="M7" i="11"/>
  <c r="L7" i="11"/>
  <c r="K7" i="11"/>
  <c r="J7" i="11"/>
  <c r="A15" i="17" s="1"/>
  <c r="M6" i="11"/>
  <c r="L6" i="11"/>
  <c r="K6" i="11"/>
  <c r="J6" i="11"/>
  <c r="A14" i="17" s="1"/>
  <c r="M5" i="11"/>
  <c r="L5" i="11"/>
  <c r="K5" i="11"/>
  <c r="J5" i="11"/>
  <c r="A13" i="17" s="1"/>
  <c r="M4" i="11"/>
  <c r="L4" i="11"/>
  <c r="K4" i="11"/>
  <c r="J4" i="11"/>
  <c r="A12" i="17" s="1"/>
  <c r="M3" i="11"/>
  <c r="L3" i="11"/>
  <c r="K3" i="11"/>
  <c r="J3" i="11"/>
  <c r="A11" i="17" s="1"/>
  <c r="M2" i="11"/>
  <c r="L2" i="11"/>
  <c r="K2" i="11"/>
  <c r="J2" i="11"/>
  <c r="B30" i="18"/>
  <c r="B24" i="18"/>
  <c r="B25" i="18" s="1"/>
  <c r="B18" i="18"/>
  <c r="B10" i="18"/>
  <c r="B11" i="18" s="1"/>
  <c r="E66" i="10"/>
  <c r="E65" i="10"/>
  <c r="E64" i="10"/>
  <c r="C15" i="10"/>
  <c r="B15" i="10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A15" i="10"/>
  <c r="A16" i="10" s="1"/>
  <c r="B12" i="10"/>
  <c r="B11" i="10"/>
  <c r="B10" i="10"/>
  <c r="B9" i="10"/>
  <c r="B7" i="10"/>
  <c r="B6" i="10"/>
  <c r="B5" i="10"/>
  <c r="B4" i="10"/>
  <c r="B3" i="10"/>
  <c r="B1" i="10"/>
  <c r="D12" i="9"/>
  <c r="D11" i="9"/>
  <c r="M5" i="9"/>
  <c r="C45" i="8"/>
  <c r="B45" i="8"/>
  <c r="D44" i="8"/>
  <c r="D43" i="8"/>
  <c r="D45" i="8" s="1"/>
  <c r="B37" i="8"/>
  <c r="B35" i="8"/>
  <c r="B39" i="8" s="1"/>
  <c r="B31" i="8"/>
  <c r="B20" i="8"/>
  <c r="B16" i="8"/>
  <c r="B15" i="8"/>
  <c r="B14" i="8"/>
  <c r="B13" i="8"/>
  <c r="B12" i="8"/>
  <c r="B9" i="8"/>
  <c r="L21" i="7"/>
  <c r="L20" i="7"/>
  <c r="L19" i="7"/>
  <c r="L18" i="7"/>
  <c r="L17" i="7"/>
  <c r="L16" i="7"/>
  <c r="L15" i="7"/>
  <c r="B11" i="7"/>
  <c r="B10" i="7"/>
  <c r="B9" i="7"/>
  <c r="B8" i="7"/>
  <c r="B7" i="7"/>
  <c r="B6" i="7"/>
  <c r="B13" i="10" s="1"/>
  <c r="B5" i="7"/>
  <c r="F40" i="6"/>
  <c r="D40" i="6"/>
  <c r="E40" i="6" s="1"/>
  <c r="C40" i="6"/>
  <c r="F39" i="6"/>
  <c r="D39" i="6"/>
  <c r="E39" i="6" s="1"/>
  <c r="C39" i="6"/>
  <c r="F38" i="6"/>
  <c r="D38" i="6"/>
  <c r="E38" i="6" s="1"/>
  <c r="C38" i="6"/>
  <c r="F37" i="6"/>
  <c r="D37" i="6"/>
  <c r="E37" i="6" s="1"/>
  <c r="C37" i="6"/>
  <c r="F36" i="6"/>
  <c r="D36" i="6"/>
  <c r="E36" i="6" s="1"/>
  <c r="C36" i="6"/>
  <c r="F35" i="6"/>
  <c r="D35" i="6"/>
  <c r="E35" i="6" s="1"/>
  <c r="C35" i="6"/>
  <c r="F34" i="6"/>
  <c r="D34" i="6"/>
  <c r="E34" i="6" s="1"/>
  <c r="C34" i="6"/>
  <c r="F33" i="6"/>
  <c r="D33" i="6"/>
  <c r="E33" i="6" s="1"/>
  <c r="C33" i="6"/>
  <c r="F32" i="6"/>
  <c r="D32" i="6"/>
  <c r="E32" i="6" s="1"/>
  <c r="C32" i="6"/>
  <c r="F31" i="6"/>
  <c r="D31" i="6"/>
  <c r="E31" i="6" s="1"/>
  <c r="C31" i="6"/>
  <c r="F30" i="6"/>
  <c r="D30" i="6"/>
  <c r="E30" i="6" s="1"/>
  <c r="C30" i="6"/>
  <c r="F29" i="6"/>
  <c r="D29" i="6"/>
  <c r="E29" i="6" s="1"/>
  <c r="C29" i="6"/>
  <c r="F28" i="6"/>
  <c r="D28" i="6"/>
  <c r="E28" i="6" s="1"/>
  <c r="C28" i="6"/>
  <c r="F27" i="6"/>
  <c r="D27" i="6"/>
  <c r="E27" i="6" s="1"/>
  <c r="C27" i="6"/>
  <c r="F26" i="6"/>
  <c r="D26" i="6"/>
  <c r="E26" i="6" s="1"/>
  <c r="C26" i="6"/>
  <c r="F25" i="6"/>
  <c r="D25" i="6"/>
  <c r="E25" i="6" s="1"/>
  <c r="C25" i="6"/>
  <c r="F24" i="6"/>
  <c r="D24" i="6"/>
  <c r="E24" i="6" s="1"/>
  <c r="C24" i="6"/>
  <c r="F23" i="6"/>
  <c r="D23" i="6"/>
  <c r="E23" i="6" s="1"/>
  <c r="C23" i="6"/>
  <c r="F22" i="6"/>
  <c r="D22" i="6"/>
  <c r="E22" i="6" s="1"/>
  <c r="C22" i="6"/>
  <c r="F21" i="6"/>
  <c r="D21" i="6"/>
  <c r="E21" i="6" s="1"/>
  <c r="C21" i="6"/>
  <c r="F20" i="6"/>
  <c r="D20" i="6"/>
  <c r="E20" i="6" s="1"/>
  <c r="C20" i="6"/>
  <c r="F19" i="6"/>
  <c r="D19" i="6"/>
  <c r="E19" i="6" s="1"/>
  <c r="C19" i="6"/>
  <c r="F18" i="6"/>
  <c r="D18" i="6"/>
  <c r="E18" i="6" s="1"/>
  <c r="C18" i="6"/>
  <c r="F17" i="6"/>
  <c r="D17" i="6"/>
  <c r="E17" i="6" s="1"/>
  <c r="C17" i="6"/>
  <c r="F16" i="6"/>
  <c r="D16" i="6"/>
  <c r="E16" i="6" s="1"/>
  <c r="C16" i="6"/>
  <c r="F15" i="6"/>
  <c r="D15" i="6"/>
  <c r="E15" i="6" s="1"/>
  <c r="C15" i="6"/>
  <c r="F14" i="6"/>
  <c r="D14" i="6"/>
  <c r="E14" i="6" s="1"/>
  <c r="C14" i="6"/>
  <c r="F13" i="6"/>
  <c r="D13" i="6"/>
  <c r="E13" i="6" s="1"/>
  <c r="C13" i="6"/>
  <c r="F12" i="6"/>
  <c r="D12" i="6"/>
  <c r="E12" i="6" s="1"/>
  <c r="C12" i="6"/>
  <c r="D11" i="6"/>
  <c r="E11" i="6" s="1"/>
  <c r="C11" i="6"/>
  <c r="D10" i="6"/>
  <c r="E10" i="6" s="1"/>
  <c r="C10" i="6"/>
  <c r="D9" i="6"/>
  <c r="E9" i="6" s="1"/>
  <c r="C9" i="6"/>
  <c r="D8" i="6"/>
  <c r="E8" i="6" s="1"/>
  <c r="C8" i="6"/>
  <c r="F11" i="6" s="1"/>
  <c r="D7" i="6"/>
  <c r="E7" i="6" s="1"/>
  <c r="C7" i="6"/>
  <c r="F10" i="6" s="1"/>
  <c r="D6" i="6"/>
  <c r="E6" i="6" s="1"/>
  <c r="C6" i="6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E13" i="5"/>
  <c r="F13" i="5" s="1"/>
  <c r="G13" i="5" s="1"/>
  <c r="C8" i="5"/>
  <c r="C6" i="5"/>
  <c r="B6" i="5"/>
  <c r="B7" i="5" s="1"/>
  <c r="B34" i="2" s="1"/>
  <c r="B5" i="5"/>
  <c r="B60" i="4"/>
  <c r="B57" i="4"/>
  <c r="A49" i="4"/>
  <c r="B46" i="4"/>
  <c r="K44" i="4"/>
  <c r="J44" i="4"/>
  <c r="J43" i="4"/>
  <c r="K42" i="4"/>
  <c r="K41" i="4"/>
  <c r="J41" i="4"/>
  <c r="J40" i="4"/>
  <c r="A40" i="4"/>
  <c r="A39" i="4"/>
  <c r="K38" i="4"/>
  <c r="A38" i="4"/>
  <c r="J37" i="4"/>
  <c r="A37" i="4"/>
  <c r="J36" i="4"/>
  <c r="J35" i="4"/>
  <c r="J34" i="4"/>
  <c r="J33" i="4"/>
  <c r="B32" i="4"/>
  <c r="E26" i="4"/>
  <c r="B26" i="4"/>
  <c r="E25" i="4"/>
  <c r="B24" i="4"/>
  <c r="B23" i="4"/>
  <c r="B22" i="4"/>
  <c r="B33" i="4" s="1"/>
  <c r="K33" i="4" s="1"/>
  <c r="B18" i="4"/>
  <c r="E9" i="4"/>
  <c r="C35" i="2"/>
  <c r="B32" i="2"/>
  <c r="B30" i="2"/>
  <c r="B25" i="2"/>
  <c r="B22" i="2"/>
  <c r="B21" i="2"/>
  <c r="B20" i="2"/>
  <c r="B19" i="2"/>
  <c r="E18" i="2"/>
  <c r="D18" i="2"/>
  <c r="D17" i="2"/>
  <c r="E16" i="2"/>
  <c r="D16" i="2"/>
  <c r="B16" i="2"/>
  <c r="E15" i="2"/>
  <c r="D15" i="2"/>
  <c r="D14" i="2"/>
  <c r="D13" i="2"/>
  <c r="B13" i="2"/>
  <c r="E12" i="2"/>
  <c r="D12" i="2"/>
  <c r="D11" i="2"/>
  <c r="D10" i="2"/>
  <c r="D9" i="2"/>
  <c r="B9" i="2"/>
  <c r="D8" i="2"/>
  <c r="D7" i="2"/>
  <c r="D6" i="2"/>
  <c r="B8" i="5" l="1"/>
  <c r="B35" i="2" s="1"/>
  <c r="G1009" i="17"/>
  <c r="F1009" i="17"/>
  <c r="E1009" i="17"/>
  <c r="D1009" i="17"/>
  <c r="C1009" i="17"/>
  <c r="B1009" i="17"/>
  <c r="G1008" i="17"/>
  <c r="F1008" i="17"/>
  <c r="E1008" i="17"/>
  <c r="D1008" i="17"/>
  <c r="C1008" i="17"/>
  <c r="B1008" i="17"/>
  <c r="G1007" i="17"/>
  <c r="F1007" i="17"/>
  <c r="E1007" i="17"/>
  <c r="D1007" i="17"/>
  <c r="C1007" i="17"/>
  <c r="B1007" i="17"/>
  <c r="G1006" i="17"/>
  <c r="F1006" i="17"/>
  <c r="E1006" i="17"/>
  <c r="D1006" i="17"/>
  <c r="C1006" i="17"/>
  <c r="B1006" i="17"/>
  <c r="G1005" i="17"/>
  <c r="F1005" i="17"/>
  <c r="E1005" i="17"/>
  <c r="D1005" i="17"/>
  <c r="C1005" i="17"/>
  <c r="B1005" i="17"/>
  <c r="G1004" i="17"/>
  <c r="F1004" i="17"/>
  <c r="E1004" i="17"/>
  <c r="D1004" i="17"/>
  <c r="C1004" i="17"/>
  <c r="B1004" i="17"/>
  <c r="G1003" i="17"/>
  <c r="F1003" i="17"/>
  <c r="E1003" i="17"/>
  <c r="D1003" i="17"/>
  <c r="C1003" i="17"/>
  <c r="B1003" i="17"/>
  <c r="G1002" i="17"/>
  <c r="F1002" i="17"/>
  <c r="E1002" i="17"/>
  <c r="D1002" i="17"/>
  <c r="C1002" i="17"/>
  <c r="B1002" i="17"/>
  <c r="G1001" i="17"/>
  <c r="F1001" i="17"/>
  <c r="E1001" i="17"/>
  <c r="D1001" i="17"/>
  <c r="C1001" i="17"/>
  <c r="B1001" i="17"/>
  <c r="G1000" i="17"/>
  <c r="F1000" i="17"/>
  <c r="E1000" i="17"/>
  <c r="D1000" i="17"/>
  <c r="C1000" i="17"/>
  <c r="B1000" i="17"/>
  <c r="G999" i="17"/>
  <c r="F999" i="17"/>
  <c r="E999" i="17"/>
  <c r="D999" i="17"/>
  <c r="C999" i="17"/>
  <c r="B999" i="17"/>
  <c r="G998" i="17"/>
  <c r="F998" i="17"/>
  <c r="E998" i="17"/>
  <c r="D998" i="17"/>
  <c r="C998" i="17"/>
  <c r="B998" i="17"/>
  <c r="G997" i="17"/>
  <c r="F997" i="17"/>
  <c r="E997" i="17"/>
  <c r="D997" i="17"/>
  <c r="C997" i="17"/>
  <c r="B997" i="17"/>
  <c r="G996" i="17"/>
  <c r="F996" i="17"/>
  <c r="E996" i="17"/>
  <c r="D996" i="17"/>
  <c r="C996" i="17"/>
  <c r="B996" i="17"/>
  <c r="G995" i="17"/>
  <c r="F995" i="17"/>
  <c r="E995" i="17"/>
  <c r="D995" i="17"/>
  <c r="C995" i="17"/>
  <c r="B995" i="17"/>
  <c r="G994" i="17"/>
  <c r="F994" i="17"/>
  <c r="E994" i="17"/>
  <c r="D994" i="17"/>
  <c r="C994" i="17"/>
  <c r="B994" i="17"/>
  <c r="G993" i="17"/>
  <c r="F993" i="17"/>
  <c r="E993" i="17"/>
  <c r="D993" i="17"/>
  <c r="C993" i="17"/>
  <c r="B993" i="17"/>
  <c r="G992" i="17"/>
  <c r="F992" i="17"/>
  <c r="E992" i="17"/>
  <c r="D992" i="17"/>
  <c r="C992" i="17"/>
  <c r="B992" i="17"/>
  <c r="G991" i="17"/>
  <c r="F991" i="17"/>
  <c r="E991" i="17"/>
  <c r="D991" i="17"/>
  <c r="C991" i="17"/>
  <c r="B991" i="17"/>
  <c r="G990" i="17"/>
  <c r="F990" i="17"/>
  <c r="E990" i="17"/>
  <c r="D990" i="17"/>
  <c r="C990" i="17"/>
  <c r="B990" i="17"/>
  <c r="G989" i="17"/>
  <c r="F989" i="17"/>
  <c r="E989" i="17"/>
  <c r="D989" i="17"/>
  <c r="C989" i="17"/>
  <c r="B989" i="17"/>
  <c r="G988" i="17"/>
  <c r="F988" i="17"/>
  <c r="E988" i="17"/>
  <c r="D988" i="17"/>
  <c r="C988" i="17"/>
  <c r="B988" i="17"/>
  <c r="G987" i="17"/>
  <c r="F987" i="17"/>
  <c r="E987" i="17"/>
  <c r="D987" i="17"/>
  <c r="C987" i="17"/>
  <c r="B987" i="17"/>
  <c r="G986" i="17"/>
  <c r="F986" i="17"/>
  <c r="E986" i="17"/>
  <c r="D986" i="17"/>
  <c r="C986" i="17"/>
  <c r="B986" i="17"/>
  <c r="G985" i="17"/>
  <c r="F985" i="17"/>
  <c r="E985" i="17"/>
  <c r="D985" i="17"/>
  <c r="C985" i="17"/>
  <c r="B985" i="17"/>
  <c r="G984" i="17"/>
  <c r="F984" i="17"/>
  <c r="E984" i="17"/>
  <c r="D984" i="17"/>
  <c r="C984" i="17"/>
  <c r="B984" i="17"/>
  <c r="G983" i="17"/>
  <c r="F983" i="17"/>
  <c r="E983" i="17"/>
  <c r="D983" i="17"/>
  <c r="C983" i="17"/>
  <c r="B983" i="17"/>
  <c r="G982" i="17"/>
  <c r="F982" i="17"/>
  <c r="E982" i="17"/>
  <c r="D982" i="17"/>
  <c r="C982" i="17"/>
  <c r="B982" i="17"/>
  <c r="G981" i="17"/>
  <c r="F981" i="17"/>
  <c r="E981" i="17"/>
  <c r="D981" i="17"/>
  <c r="C981" i="17"/>
  <c r="B981" i="17"/>
  <c r="G980" i="17"/>
  <c r="F980" i="17"/>
  <c r="E980" i="17"/>
  <c r="D980" i="17"/>
  <c r="C980" i="17"/>
  <c r="B980" i="17"/>
  <c r="G979" i="17"/>
  <c r="F979" i="17"/>
  <c r="E979" i="17"/>
  <c r="D979" i="17"/>
  <c r="C979" i="17"/>
  <c r="B979" i="17"/>
  <c r="G978" i="17"/>
  <c r="F978" i="17"/>
  <c r="E978" i="17"/>
  <c r="D978" i="17"/>
  <c r="C978" i="17"/>
  <c r="B978" i="17"/>
  <c r="G977" i="17"/>
  <c r="F977" i="17"/>
  <c r="E977" i="17"/>
  <c r="D977" i="17"/>
  <c r="C977" i="17"/>
  <c r="B977" i="17"/>
  <c r="G976" i="17"/>
  <c r="F976" i="17"/>
  <c r="E976" i="17"/>
  <c r="D976" i="17"/>
  <c r="C976" i="17"/>
  <c r="B976" i="17"/>
  <c r="G975" i="17"/>
  <c r="F975" i="17"/>
  <c r="E975" i="17"/>
  <c r="D975" i="17"/>
  <c r="C975" i="17"/>
  <c r="B975" i="17"/>
  <c r="G974" i="17"/>
  <c r="F974" i="17"/>
  <c r="E974" i="17"/>
  <c r="D974" i="17"/>
  <c r="C974" i="17"/>
  <c r="B974" i="17"/>
  <c r="G973" i="17"/>
  <c r="F973" i="17"/>
  <c r="E973" i="17"/>
  <c r="D973" i="17"/>
  <c r="C973" i="17"/>
  <c r="B973" i="17"/>
  <c r="G972" i="17"/>
  <c r="F972" i="17"/>
  <c r="E972" i="17"/>
  <c r="D972" i="17"/>
  <c r="C972" i="17"/>
  <c r="B972" i="17"/>
  <c r="G971" i="17"/>
  <c r="F971" i="17"/>
  <c r="E971" i="17"/>
  <c r="D971" i="17"/>
  <c r="C971" i="17"/>
  <c r="B971" i="17"/>
  <c r="G970" i="17"/>
  <c r="F970" i="17"/>
  <c r="E970" i="17"/>
  <c r="D970" i="17"/>
  <c r="C970" i="17"/>
  <c r="B970" i="17"/>
  <c r="G969" i="17"/>
  <c r="F969" i="17"/>
  <c r="E969" i="17"/>
  <c r="D969" i="17"/>
  <c r="C969" i="17"/>
  <c r="B969" i="17"/>
  <c r="G968" i="17"/>
  <c r="F968" i="17"/>
  <c r="E968" i="17"/>
  <c r="D968" i="17"/>
  <c r="C968" i="17"/>
  <c r="B968" i="17"/>
  <c r="G967" i="17"/>
  <c r="F967" i="17"/>
  <c r="E967" i="17"/>
  <c r="D967" i="17"/>
  <c r="C967" i="17"/>
  <c r="B967" i="17"/>
  <c r="G966" i="17"/>
  <c r="F966" i="17"/>
  <c r="E966" i="17"/>
  <c r="D966" i="17"/>
  <c r="C966" i="17"/>
  <c r="B966" i="17"/>
  <c r="G965" i="17"/>
  <c r="F965" i="17"/>
  <c r="E965" i="17"/>
  <c r="D965" i="17"/>
  <c r="C965" i="17"/>
  <c r="B965" i="17"/>
  <c r="G964" i="17"/>
  <c r="F964" i="17"/>
  <c r="E964" i="17"/>
  <c r="D964" i="17"/>
  <c r="C964" i="17"/>
  <c r="B964" i="17"/>
  <c r="G963" i="17"/>
  <c r="F963" i="17"/>
  <c r="E963" i="17"/>
  <c r="D963" i="17"/>
  <c r="C963" i="17"/>
  <c r="B963" i="17"/>
  <c r="G962" i="17"/>
  <c r="F962" i="17"/>
  <c r="E962" i="17"/>
  <c r="D962" i="17"/>
  <c r="C962" i="17"/>
  <c r="B962" i="17"/>
  <c r="G961" i="17"/>
  <c r="F961" i="17"/>
  <c r="E961" i="17"/>
  <c r="D961" i="17"/>
  <c r="C961" i="17"/>
  <c r="B961" i="17"/>
  <c r="G960" i="17"/>
  <c r="F960" i="17"/>
  <c r="E960" i="17"/>
  <c r="D960" i="17"/>
  <c r="C960" i="17"/>
  <c r="B960" i="17"/>
  <c r="G959" i="17"/>
  <c r="F959" i="17"/>
  <c r="E959" i="17"/>
  <c r="D959" i="17"/>
  <c r="C959" i="17"/>
  <c r="B959" i="17"/>
  <c r="G958" i="17"/>
  <c r="F958" i="17"/>
  <c r="E958" i="17"/>
  <c r="D958" i="17"/>
  <c r="C958" i="17"/>
  <c r="B958" i="17"/>
  <c r="G957" i="17"/>
  <c r="F957" i="17"/>
  <c r="E957" i="17"/>
  <c r="D957" i="17"/>
  <c r="C957" i="17"/>
  <c r="B957" i="17"/>
  <c r="G956" i="17"/>
  <c r="F956" i="17"/>
  <c r="E956" i="17"/>
  <c r="D956" i="17"/>
  <c r="C956" i="17"/>
  <c r="B956" i="17"/>
  <c r="G955" i="17"/>
  <c r="F955" i="17"/>
  <c r="E955" i="17"/>
  <c r="D955" i="17"/>
  <c r="C955" i="17"/>
  <c r="B955" i="17"/>
  <c r="G954" i="17"/>
  <c r="F954" i="17"/>
  <c r="E954" i="17"/>
  <c r="D954" i="17"/>
  <c r="C954" i="17"/>
  <c r="B954" i="17"/>
  <c r="G953" i="17"/>
  <c r="F953" i="17"/>
  <c r="E953" i="17"/>
  <c r="D953" i="17"/>
  <c r="C953" i="17"/>
  <c r="B953" i="17"/>
  <c r="G952" i="17"/>
  <c r="F952" i="17"/>
  <c r="E952" i="17"/>
  <c r="D952" i="17"/>
  <c r="C952" i="17"/>
  <c r="B952" i="17"/>
  <c r="G951" i="17"/>
  <c r="F951" i="17"/>
  <c r="E951" i="17"/>
  <c r="D951" i="17"/>
  <c r="C951" i="17"/>
  <c r="B951" i="17"/>
  <c r="G950" i="17"/>
  <c r="F950" i="17"/>
  <c r="E950" i="17"/>
  <c r="D950" i="17"/>
  <c r="C950" i="17"/>
  <c r="B950" i="17"/>
  <c r="G949" i="17"/>
  <c r="F949" i="17"/>
  <c r="E949" i="17"/>
  <c r="D949" i="17"/>
  <c r="C949" i="17"/>
  <c r="B949" i="17"/>
  <c r="G948" i="17"/>
  <c r="F948" i="17"/>
  <c r="E948" i="17"/>
  <c r="D948" i="17"/>
  <c r="C948" i="17"/>
  <c r="B948" i="17"/>
  <c r="G947" i="17"/>
  <c r="F947" i="17"/>
  <c r="E947" i="17"/>
  <c r="D947" i="17"/>
  <c r="C947" i="17"/>
  <c r="B947" i="17"/>
  <c r="G946" i="17"/>
  <c r="F946" i="17"/>
  <c r="E946" i="17"/>
  <c r="D946" i="17"/>
  <c r="C946" i="17"/>
  <c r="B946" i="17"/>
  <c r="G945" i="17"/>
  <c r="F945" i="17"/>
  <c r="E945" i="17"/>
  <c r="D945" i="17"/>
  <c r="C945" i="17"/>
  <c r="B945" i="17"/>
  <c r="G944" i="17"/>
  <c r="F944" i="17"/>
  <c r="E944" i="17"/>
  <c r="D944" i="17"/>
  <c r="C944" i="17"/>
  <c r="B944" i="17"/>
  <c r="G943" i="17"/>
  <c r="F943" i="17"/>
  <c r="E943" i="17"/>
  <c r="D943" i="17"/>
  <c r="C943" i="17"/>
  <c r="B943" i="17"/>
  <c r="G942" i="17"/>
  <c r="F942" i="17"/>
  <c r="E942" i="17"/>
  <c r="D942" i="17"/>
  <c r="C942" i="17"/>
  <c r="B942" i="17"/>
  <c r="G941" i="17"/>
  <c r="F941" i="17"/>
  <c r="E941" i="17"/>
  <c r="D941" i="17"/>
  <c r="C941" i="17"/>
  <c r="B941" i="17"/>
  <c r="G940" i="17"/>
  <c r="F940" i="17"/>
  <c r="E940" i="17"/>
  <c r="D940" i="17"/>
  <c r="C940" i="17"/>
  <c r="B940" i="17"/>
  <c r="G939" i="17"/>
  <c r="F939" i="17"/>
  <c r="E939" i="17"/>
  <c r="D939" i="17"/>
  <c r="C939" i="17"/>
  <c r="B939" i="17"/>
  <c r="G938" i="17"/>
  <c r="F938" i="17"/>
  <c r="E938" i="17"/>
  <c r="D938" i="17"/>
  <c r="C938" i="17"/>
  <c r="B938" i="17"/>
  <c r="G937" i="17"/>
  <c r="F937" i="17"/>
  <c r="E937" i="17"/>
  <c r="D937" i="17"/>
  <c r="C937" i="17"/>
  <c r="B937" i="17"/>
  <c r="G936" i="17"/>
  <c r="F936" i="17"/>
  <c r="E936" i="17"/>
  <c r="D936" i="17"/>
  <c r="C936" i="17"/>
  <c r="B936" i="17"/>
  <c r="G935" i="17"/>
  <c r="F935" i="17"/>
  <c r="E935" i="17"/>
  <c r="D935" i="17"/>
  <c r="C935" i="17"/>
  <c r="B935" i="17"/>
  <c r="G934" i="17"/>
  <c r="F934" i="17"/>
  <c r="E934" i="17"/>
  <c r="D934" i="17"/>
  <c r="C934" i="17"/>
  <c r="B934" i="17"/>
  <c r="G933" i="17"/>
  <c r="F933" i="17"/>
  <c r="E933" i="17"/>
  <c r="D933" i="17"/>
  <c r="C933" i="17"/>
  <c r="B933" i="17"/>
  <c r="G932" i="17"/>
  <c r="F932" i="17"/>
  <c r="E932" i="17"/>
  <c r="D932" i="17"/>
  <c r="C932" i="17"/>
  <c r="B932" i="17"/>
  <c r="G931" i="17"/>
  <c r="F931" i="17"/>
  <c r="E931" i="17"/>
  <c r="D931" i="17"/>
  <c r="C931" i="17"/>
  <c r="B931" i="17"/>
  <c r="G930" i="17"/>
  <c r="F930" i="17"/>
  <c r="E930" i="17"/>
  <c r="D930" i="17"/>
  <c r="C930" i="17"/>
  <c r="B930" i="17"/>
  <c r="G929" i="17"/>
  <c r="F929" i="17"/>
  <c r="E929" i="17"/>
  <c r="D929" i="17"/>
  <c r="C929" i="17"/>
  <c r="B929" i="17"/>
  <c r="G928" i="17"/>
  <c r="F928" i="17"/>
  <c r="E928" i="17"/>
  <c r="D928" i="17"/>
  <c r="C928" i="17"/>
  <c r="B928" i="17"/>
  <c r="G927" i="17"/>
  <c r="F927" i="17"/>
  <c r="E927" i="17"/>
  <c r="D927" i="17"/>
  <c r="C927" i="17"/>
  <c r="B927" i="17"/>
  <c r="G926" i="17"/>
  <c r="F926" i="17"/>
  <c r="E926" i="17"/>
  <c r="D926" i="17"/>
  <c r="C926" i="17"/>
  <c r="B926" i="17"/>
  <c r="G925" i="17"/>
  <c r="F925" i="17"/>
  <c r="E925" i="17"/>
  <c r="D925" i="17"/>
  <c r="C925" i="17"/>
  <c r="B925" i="17"/>
  <c r="G924" i="17"/>
  <c r="F924" i="17"/>
  <c r="E924" i="17"/>
  <c r="D924" i="17"/>
  <c r="C924" i="17"/>
  <c r="B924" i="17"/>
  <c r="G923" i="17"/>
  <c r="F923" i="17"/>
  <c r="E923" i="17"/>
  <c r="D923" i="17"/>
  <c r="C923" i="17"/>
  <c r="B923" i="17"/>
  <c r="G922" i="17"/>
  <c r="F922" i="17"/>
  <c r="E922" i="17"/>
  <c r="D922" i="17"/>
  <c r="C922" i="17"/>
  <c r="B922" i="17"/>
  <c r="G921" i="17"/>
  <c r="F921" i="17"/>
  <c r="E921" i="17"/>
  <c r="D921" i="17"/>
  <c r="C921" i="17"/>
  <c r="B921" i="17"/>
  <c r="G920" i="17"/>
  <c r="F920" i="17"/>
  <c r="E920" i="17"/>
  <c r="D920" i="17"/>
  <c r="C920" i="17"/>
  <c r="B920" i="17"/>
  <c r="G919" i="17"/>
  <c r="F919" i="17"/>
  <c r="E919" i="17"/>
  <c r="D919" i="17"/>
  <c r="C919" i="17"/>
  <c r="B919" i="17"/>
  <c r="G918" i="17"/>
  <c r="F918" i="17"/>
  <c r="E918" i="17"/>
  <c r="D918" i="17"/>
  <c r="C918" i="17"/>
  <c r="B918" i="17"/>
  <c r="G917" i="17"/>
  <c r="F917" i="17"/>
  <c r="E917" i="17"/>
  <c r="D917" i="17"/>
  <c r="C917" i="17"/>
  <c r="B917" i="17"/>
  <c r="G916" i="17"/>
  <c r="F916" i="17"/>
  <c r="E916" i="17"/>
  <c r="D916" i="17"/>
  <c r="C916" i="17"/>
  <c r="B916" i="17"/>
  <c r="G915" i="17"/>
  <c r="F915" i="17"/>
  <c r="E915" i="17"/>
  <c r="D915" i="17"/>
  <c r="C915" i="17"/>
  <c r="B915" i="17"/>
  <c r="G914" i="17"/>
  <c r="F914" i="17"/>
  <c r="E914" i="17"/>
  <c r="D914" i="17"/>
  <c r="C914" i="17"/>
  <c r="B914" i="17"/>
  <c r="G913" i="17"/>
  <c r="F913" i="17"/>
  <c r="E913" i="17"/>
  <c r="D913" i="17"/>
  <c r="C913" i="17"/>
  <c r="B913" i="17"/>
  <c r="G912" i="17"/>
  <c r="F912" i="17"/>
  <c r="E912" i="17"/>
  <c r="D912" i="17"/>
  <c r="C912" i="17"/>
  <c r="B912" i="17"/>
  <c r="G911" i="17"/>
  <c r="F911" i="17"/>
  <c r="E911" i="17"/>
  <c r="D911" i="17"/>
  <c r="C911" i="17"/>
  <c r="B911" i="17"/>
  <c r="G910" i="17"/>
  <c r="F910" i="17"/>
  <c r="E910" i="17"/>
  <c r="D910" i="17"/>
  <c r="C910" i="17"/>
  <c r="B910" i="17"/>
  <c r="G909" i="17"/>
  <c r="F909" i="17"/>
  <c r="E909" i="17"/>
  <c r="D909" i="17"/>
  <c r="C909" i="17"/>
  <c r="B909" i="17"/>
  <c r="G908" i="17"/>
  <c r="F908" i="17"/>
  <c r="E908" i="17"/>
  <c r="D908" i="17"/>
  <c r="C908" i="17"/>
  <c r="B908" i="17"/>
  <c r="G907" i="17"/>
  <c r="F907" i="17"/>
  <c r="E907" i="17"/>
  <c r="D907" i="17"/>
  <c r="C907" i="17"/>
  <c r="B907" i="17"/>
  <c r="G906" i="17"/>
  <c r="F906" i="17"/>
  <c r="E906" i="17"/>
  <c r="D906" i="17"/>
  <c r="C906" i="17"/>
  <c r="B906" i="17"/>
  <c r="G905" i="17"/>
  <c r="F905" i="17"/>
  <c r="E905" i="17"/>
  <c r="D905" i="17"/>
  <c r="C905" i="17"/>
  <c r="B905" i="17"/>
  <c r="G904" i="17"/>
  <c r="F904" i="17"/>
  <c r="E904" i="17"/>
  <c r="D904" i="17"/>
  <c r="C904" i="17"/>
  <c r="B904" i="17"/>
  <c r="G903" i="17"/>
  <c r="F903" i="17"/>
  <c r="E903" i="17"/>
  <c r="D903" i="17"/>
  <c r="C903" i="17"/>
  <c r="B903" i="17"/>
  <c r="G902" i="17"/>
  <c r="F902" i="17"/>
  <c r="E902" i="17"/>
  <c r="D902" i="17"/>
  <c r="C902" i="17"/>
  <c r="B902" i="17"/>
  <c r="G901" i="17"/>
  <c r="F901" i="17"/>
  <c r="E901" i="17"/>
  <c r="D901" i="17"/>
  <c r="C901" i="17"/>
  <c r="B901" i="17"/>
  <c r="G900" i="17"/>
  <c r="F900" i="17"/>
  <c r="E900" i="17"/>
  <c r="D900" i="17"/>
  <c r="C900" i="17"/>
  <c r="B900" i="17"/>
  <c r="G899" i="17"/>
  <c r="F899" i="17"/>
  <c r="E899" i="17"/>
  <c r="D899" i="17"/>
  <c r="C899" i="17"/>
  <c r="B899" i="17"/>
  <c r="G898" i="17"/>
  <c r="F898" i="17"/>
  <c r="E898" i="17"/>
  <c r="D898" i="17"/>
  <c r="C898" i="17"/>
  <c r="B898" i="17"/>
  <c r="G897" i="17"/>
  <c r="F897" i="17"/>
  <c r="E897" i="17"/>
  <c r="D897" i="17"/>
  <c r="C897" i="17"/>
  <c r="B897" i="17"/>
  <c r="G896" i="17"/>
  <c r="F896" i="17"/>
  <c r="E896" i="17"/>
  <c r="D896" i="17"/>
  <c r="C896" i="17"/>
  <c r="B896" i="17"/>
  <c r="G895" i="17"/>
  <c r="F895" i="17"/>
  <c r="E895" i="17"/>
  <c r="D895" i="17"/>
  <c r="C895" i="17"/>
  <c r="B895" i="17"/>
  <c r="G894" i="17"/>
  <c r="F894" i="17"/>
  <c r="E894" i="17"/>
  <c r="D894" i="17"/>
  <c r="C894" i="17"/>
  <c r="B894" i="17"/>
  <c r="G893" i="17"/>
  <c r="F893" i="17"/>
  <c r="E893" i="17"/>
  <c r="D893" i="17"/>
  <c r="C893" i="17"/>
  <c r="B893" i="17"/>
  <c r="G892" i="17"/>
  <c r="F892" i="17"/>
  <c r="E892" i="17"/>
  <c r="D892" i="17"/>
  <c r="C892" i="17"/>
  <c r="B892" i="17"/>
  <c r="G891" i="17"/>
  <c r="F891" i="17"/>
  <c r="E891" i="17"/>
  <c r="D891" i="17"/>
  <c r="C891" i="17"/>
  <c r="B891" i="17"/>
  <c r="G890" i="17"/>
  <c r="F890" i="17"/>
  <c r="E890" i="17"/>
  <c r="D890" i="17"/>
  <c r="C890" i="17"/>
  <c r="B890" i="17"/>
  <c r="G889" i="17"/>
  <c r="F889" i="17"/>
  <c r="E889" i="17"/>
  <c r="D889" i="17"/>
  <c r="C889" i="17"/>
  <c r="B889" i="17"/>
  <c r="G888" i="17"/>
  <c r="F888" i="17"/>
  <c r="E888" i="17"/>
  <c r="D888" i="17"/>
  <c r="C888" i="17"/>
  <c r="B888" i="17"/>
  <c r="G887" i="17"/>
  <c r="F887" i="17"/>
  <c r="E887" i="17"/>
  <c r="D887" i="17"/>
  <c r="C887" i="17"/>
  <c r="B887" i="17"/>
  <c r="G886" i="17"/>
  <c r="F886" i="17"/>
  <c r="E886" i="17"/>
  <c r="D886" i="17"/>
  <c r="C886" i="17"/>
  <c r="B886" i="17"/>
  <c r="G885" i="17"/>
  <c r="F885" i="17"/>
  <c r="E885" i="17"/>
  <c r="D885" i="17"/>
  <c r="C885" i="17"/>
  <c r="B885" i="17"/>
  <c r="G884" i="17"/>
  <c r="F884" i="17"/>
  <c r="E884" i="17"/>
  <c r="D884" i="17"/>
  <c r="C884" i="17"/>
  <c r="B884" i="17"/>
  <c r="G883" i="17"/>
  <c r="F883" i="17"/>
  <c r="E883" i="17"/>
  <c r="D883" i="17"/>
  <c r="C883" i="17"/>
  <c r="B883" i="17"/>
  <c r="G882" i="17"/>
  <c r="F882" i="17"/>
  <c r="E882" i="17"/>
  <c r="D882" i="17"/>
  <c r="C882" i="17"/>
  <c r="B882" i="17"/>
  <c r="G881" i="17"/>
  <c r="F881" i="17"/>
  <c r="E881" i="17"/>
  <c r="D881" i="17"/>
  <c r="C881" i="17"/>
  <c r="B881" i="17"/>
  <c r="G880" i="17"/>
  <c r="F880" i="17"/>
  <c r="E880" i="17"/>
  <c r="D880" i="17"/>
  <c r="C880" i="17"/>
  <c r="B880" i="17"/>
  <c r="G879" i="17"/>
  <c r="F879" i="17"/>
  <c r="E879" i="17"/>
  <c r="D879" i="17"/>
  <c r="C879" i="17"/>
  <c r="B879" i="17"/>
  <c r="G878" i="17"/>
  <c r="F878" i="17"/>
  <c r="E878" i="17"/>
  <c r="D878" i="17"/>
  <c r="C878" i="17"/>
  <c r="B878" i="17"/>
  <c r="G877" i="17"/>
  <c r="F877" i="17"/>
  <c r="E877" i="17"/>
  <c r="D877" i="17"/>
  <c r="C877" i="17"/>
  <c r="B877" i="17"/>
  <c r="G876" i="17"/>
  <c r="F876" i="17"/>
  <c r="E876" i="17"/>
  <c r="D876" i="17"/>
  <c r="C876" i="17"/>
  <c r="B876" i="17"/>
  <c r="G875" i="17"/>
  <c r="F875" i="17"/>
  <c r="E875" i="17"/>
  <c r="D875" i="17"/>
  <c r="C875" i="17"/>
  <c r="B875" i="17"/>
  <c r="G874" i="17"/>
  <c r="F874" i="17"/>
  <c r="E874" i="17"/>
  <c r="D874" i="17"/>
  <c r="C874" i="17"/>
  <c r="B874" i="17"/>
  <c r="G873" i="17"/>
  <c r="F873" i="17"/>
  <c r="E873" i="17"/>
  <c r="D873" i="17"/>
  <c r="C873" i="17"/>
  <c r="B873" i="17"/>
  <c r="G872" i="17"/>
  <c r="F872" i="17"/>
  <c r="E872" i="17"/>
  <c r="D872" i="17"/>
  <c r="C872" i="17"/>
  <c r="B872" i="17"/>
  <c r="G871" i="17"/>
  <c r="F871" i="17"/>
  <c r="E871" i="17"/>
  <c r="D871" i="17"/>
  <c r="C871" i="17"/>
  <c r="B871" i="17"/>
  <c r="G870" i="17"/>
  <c r="F870" i="17"/>
  <c r="E870" i="17"/>
  <c r="D870" i="17"/>
  <c r="C870" i="17"/>
  <c r="B870" i="17"/>
  <c r="G869" i="17"/>
  <c r="F869" i="17"/>
  <c r="E869" i="17"/>
  <c r="D869" i="17"/>
  <c r="C869" i="17"/>
  <c r="B869" i="17"/>
  <c r="G868" i="17"/>
  <c r="F868" i="17"/>
  <c r="E868" i="17"/>
  <c r="D868" i="17"/>
  <c r="C868" i="17"/>
  <c r="B868" i="17"/>
  <c r="G867" i="17"/>
  <c r="F867" i="17"/>
  <c r="E867" i="17"/>
  <c r="D867" i="17"/>
  <c r="C867" i="17"/>
  <c r="B867" i="17"/>
  <c r="G866" i="17"/>
  <c r="F866" i="17"/>
  <c r="E866" i="17"/>
  <c r="D866" i="17"/>
  <c r="C866" i="17"/>
  <c r="B866" i="17"/>
  <c r="G865" i="17"/>
  <c r="F865" i="17"/>
  <c r="E865" i="17"/>
  <c r="D865" i="17"/>
  <c r="C865" i="17"/>
  <c r="B865" i="17"/>
  <c r="G864" i="17"/>
  <c r="F864" i="17"/>
  <c r="E864" i="17"/>
  <c r="D864" i="17"/>
  <c r="C864" i="17"/>
  <c r="B864" i="17"/>
  <c r="G863" i="17"/>
  <c r="F863" i="17"/>
  <c r="E863" i="17"/>
  <c r="D863" i="17"/>
  <c r="C863" i="17"/>
  <c r="B863" i="17"/>
  <c r="G862" i="17"/>
  <c r="F862" i="17"/>
  <c r="E862" i="17"/>
  <c r="D862" i="17"/>
  <c r="C862" i="17"/>
  <c r="B862" i="17"/>
  <c r="G861" i="17"/>
  <c r="F861" i="17"/>
  <c r="E861" i="17"/>
  <c r="D861" i="17"/>
  <c r="C861" i="17"/>
  <c r="B861" i="17"/>
  <c r="G860" i="17"/>
  <c r="F860" i="17"/>
  <c r="E860" i="17"/>
  <c r="D860" i="17"/>
  <c r="C860" i="17"/>
  <c r="B860" i="17"/>
  <c r="G859" i="17"/>
  <c r="F859" i="17"/>
  <c r="E859" i="17"/>
  <c r="D859" i="17"/>
  <c r="C859" i="17"/>
  <c r="B859" i="17"/>
  <c r="G858" i="17"/>
  <c r="F858" i="17"/>
  <c r="E858" i="17"/>
  <c r="D858" i="17"/>
  <c r="C858" i="17"/>
  <c r="B858" i="17"/>
  <c r="G857" i="17"/>
  <c r="F857" i="17"/>
  <c r="E857" i="17"/>
  <c r="D857" i="17"/>
  <c r="C857" i="17"/>
  <c r="B857" i="17"/>
  <c r="G856" i="17"/>
  <c r="F856" i="17"/>
  <c r="E856" i="17"/>
  <c r="D856" i="17"/>
  <c r="C856" i="17"/>
  <c r="B856" i="17"/>
  <c r="G855" i="17"/>
  <c r="F855" i="17"/>
  <c r="E855" i="17"/>
  <c r="D855" i="17"/>
  <c r="C855" i="17"/>
  <c r="B855" i="17"/>
  <c r="G854" i="17"/>
  <c r="F854" i="17"/>
  <c r="E854" i="17"/>
  <c r="D854" i="17"/>
  <c r="C854" i="17"/>
  <c r="B854" i="17"/>
  <c r="G853" i="17"/>
  <c r="F853" i="17"/>
  <c r="E853" i="17"/>
  <c r="D853" i="17"/>
  <c r="C853" i="17"/>
  <c r="B853" i="17"/>
  <c r="G852" i="17"/>
  <c r="F852" i="17"/>
  <c r="E852" i="17"/>
  <c r="D852" i="17"/>
  <c r="C852" i="17"/>
  <c r="B852" i="17"/>
  <c r="G851" i="17"/>
  <c r="F851" i="17"/>
  <c r="E851" i="17"/>
  <c r="D851" i="17"/>
  <c r="C851" i="17"/>
  <c r="B851" i="17"/>
  <c r="G850" i="17"/>
  <c r="F850" i="17"/>
  <c r="E850" i="17"/>
  <c r="D850" i="17"/>
  <c r="C850" i="17"/>
  <c r="B850" i="17"/>
  <c r="G849" i="17"/>
  <c r="F849" i="17"/>
  <c r="E849" i="17"/>
  <c r="D849" i="17"/>
  <c r="C849" i="17"/>
  <c r="B849" i="17"/>
  <c r="G848" i="17"/>
  <c r="F848" i="17"/>
  <c r="E848" i="17"/>
  <c r="D848" i="17"/>
  <c r="C848" i="17"/>
  <c r="B848" i="17"/>
  <c r="G847" i="17"/>
  <c r="F847" i="17"/>
  <c r="E847" i="17"/>
  <c r="D847" i="17"/>
  <c r="C847" i="17"/>
  <c r="B847" i="17"/>
  <c r="G846" i="17"/>
  <c r="F846" i="17"/>
  <c r="E846" i="17"/>
  <c r="D846" i="17"/>
  <c r="C846" i="17"/>
  <c r="B846" i="17"/>
  <c r="G845" i="17"/>
  <c r="F845" i="17"/>
  <c r="E845" i="17"/>
  <c r="D845" i="17"/>
  <c r="C845" i="17"/>
  <c r="B845" i="17"/>
  <c r="G844" i="17"/>
  <c r="F844" i="17"/>
  <c r="E844" i="17"/>
  <c r="D844" i="17"/>
  <c r="C844" i="17"/>
  <c r="B844" i="17"/>
  <c r="G843" i="17"/>
  <c r="F843" i="17"/>
  <c r="E843" i="17"/>
  <c r="D843" i="17"/>
  <c r="C843" i="17"/>
  <c r="B843" i="17"/>
  <c r="G842" i="17"/>
  <c r="F842" i="17"/>
  <c r="E842" i="17"/>
  <c r="D842" i="17"/>
  <c r="C842" i="17"/>
  <c r="B842" i="17"/>
  <c r="G841" i="17"/>
  <c r="F841" i="17"/>
  <c r="E841" i="17"/>
  <c r="D841" i="17"/>
  <c r="C841" i="17"/>
  <c r="B841" i="17"/>
  <c r="G840" i="17"/>
  <c r="F840" i="17"/>
  <c r="E840" i="17"/>
  <c r="D840" i="17"/>
  <c r="C840" i="17"/>
  <c r="B840" i="17"/>
  <c r="G839" i="17"/>
  <c r="F839" i="17"/>
  <c r="E839" i="17"/>
  <c r="D839" i="17"/>
  <c r="C839" i="17"/>
  <c r="B839" i="17"/>
  <c r="G838" i="17"/>
  <c r="F838" i="17"/>
  <c r="E838" i="17"/>
  <c r="D838" i="17"/>
  <c r="C838" i="17"/>
  <c r="B838" i="17"/>
  <c r="G837" i="17"/>
  <c r="F837" i="17"/>
  <c r="E837" i="17"/>
  <c r="D837" i="17"/>
  <c r="C837" i="17"/>
  <c r="B837" i="17"/>
  <c r="G836" i="17"/>
  <c r="F836" i="17"/>
  <c r="E836" i="17"/>
  <c r="D836" i="17"/>
  <c r="C836" i="17"/>
  <c r="B836" i="17"/>
  <c r="G835" i="17"/>
  <c r="F835" i="17"/>
  <c r="E835" i="17"/>
  <c r="D835" i="17"/>
  <c r="C835" i="17"/>
  <c r="B835" i="17"/>
  <c r="G834" i="17"/>
  <c r="F834" i="17"/>
  <c r="E834" i="17"/>
  <c r="D834" i="17"/>
  <c r="C834" i="17"/>
  <c r="B834" i="17"/>
  <c r="G833" i="17"/>
  <c r="F833" i="17"/>
  <c r="E833" i="17"/>
  <c r="D833" i="17"/>
  <c r="C833" i="17"/>
  <c r="B833" i="17"/>
  <c r="G832" i="17"/>
  <c r="F832" i="17"/>
  <c r="E832" i="17"/>
  <c r="D832" i="17"/>
  <c r="C832" i="17"/>
  <c r="B832" i="17"/>
  <c r="G831" i="17"/>
  <c r="F831" i="17"/>
  <c r="E831" i="17"/>
  <c r="D831" i="17"/>
  <c r="C831" i="17"/>
  <c r="B831" i="17"/>
  <c r="G830" i="17"/>
  <c r="F830" i="17"/>
  <c r="E830" i="17"/>
  <c r="D830" i="17"/>
  <c r="C830" i="17"/>
  <c r="B830" i="17"/>
  <c r="G829" i="17"/>
  <c r="F829" i="17"/>
  <c r="E829" i="17"/>
  <c r="D829" i="17"/>
  <c r="C829" i="17"/>
  <c r="B829" i="17"/>
  <c r="G828" i="17"/>
  <c r="F828" i="17"/>
  <c r="E828" i="17"/>
  <c r="D828" i="17"/>
  <c r="C828" i="17"/>
  <c r="B828" i="17"/>
  <c r="G827" i="17"/>
  <c r="F827" i="17"/>
  <c r="E827" i="17"/>
  <c r="D827" i="17"/>
  <c r="C827" i="17"/>
  <c r="B827" i="17"/>
  <c r="G826" i="17"/>
  <c r="F826" i="17"/>
  <c r="E826" i="17"/>
  <c r="D826" i="17"/>
  <c r="C826" i="17"/>
  <c r="B826" i="17"/>
  <c r="G825" i="17"/>
  <c r="F825" i="17"/>
  <c r="E825" i="17"/>
  <c r="D825" i="17"/>
  <c r="C825" i="17"/>
  <c r="B825" i="17"/>
  <c r="G824" i="17"/>
  <c r="F824" i="17"/>
  <c r="E824" i="17"/>
  <c r="D824" i="17"/>
  <c r="C824" i="17"/>
  <c r="B824" i="17"/>
  <c r="G823" i="17"/>
  <c r="F823" i="17"/>
  <c r="E823" i="17"/>
  <c r="D823" i="17"/>
  <c r="C823" i="17"/>
  <c r="B823" i="17"/>
  <c r="G822" i="17"/>
  <c r="F822" i="17"/>
  <c r="E822" i="17"/>
  <c r="D822" i="17"/>
  <c r="C822" i="17"/>
  <c r="B822" i="17"/>
  <c r="G821" i="17"/>
  <c r="F821" i="17"/>
  <c r="E821" i="17"/>
  <c r="D821" i="17"/>
  <c r="C821" i="17"/>
  <c r="B821" i="17"/>
  <c r="G820" i="17"/>
  <c r="F820" i="17"/>
  <c r="E820" i="17"/>
  <c r="D820" i="17"/>
  <c r="C820" i="17"/>
  <c r="B820" i="17"/>
  <c r="G819" i="17"/>
  <c r="F819" i="17"/>
  <c r="E819" i="17"/>
  <c r="D819" i="17"/>
  <c r="C819" i="17"/>
  <c r="B819" i="17"/>
  <c r="G818" i="17"/>
  <c r="F818" i="17"/>
  <c r="E818" i="17"/>
  <c r="D818" i="17"/>
  <c r="C818" i="17"/>
  <c r="B818" i="17"/>
  <c r="G817" i="17"/>
  <c r="F817" i="17"/>
  <c r="E817" i="17"/>
  <c r="D817" i="17"/>
  <c r="C817" i="17"/>
  <c r="B817" i="17"/>
  <c r="G816" i="17"/>
  <c r="F816" i="17"/>
  <c r="E816" i="17"/>
  <c r="D816" i="17"/>
  <c r="C816" i="17"/>
  <c r="B816" i="17"/>
  <c r="G815" i="17"/>
  <c r="F815" i="17"/>
  <c r="E815" i="17"/>
  <c r="D815" i="17"/>
  <c r="C815" i="17"/>
  <c r="B815" i="17"/>
  <c r="G814" i="17"/>
  <c r="F814" i="17"/>
  <c r="E814" i="17"/>
  <c r="D814" i="17"/>
  <c r="C814" i="17"/>
  <c r="B814" i="17"/>
  <c r="G813" i="17"/>
  <c r="F813" i="17"/>
  <c r="E813" i="17"/>
  <c r="D813" i="17"/>
  <c r="C813" i="17"/>
  <c r="B813" i="17"/>
  <c r="G812" i="17"/>
  <c r="F812" i="17"/>
  <c r="E812" i="17"/>
  <c r="D812" i="17"/>
  <c r="C812" i="17"/>
  <c r="B812" i="17"/>
  <c r="G811" i="17"/>
  <c r="F811" i="17"/>
  <c r="E811" i="17"/>
  <c r="D811" i="17"/>
  <c r="C811" i="17"/>
  <c r="B811" i="17"/>
  <c r="G810" i="17"/>
  <c r="F810" i="17"/>
  <c r="E810" i="17"/>
  <c r="D810" i="17"/>
  <c r="C810" i="17"/>
  <c r="B810" i="17"/>
  <c r="G809" i="17"/>
  <c r="F809" i="17"/>
  <c r="E809" i="17"/>
  <c r="D809" i="17"/>
  <c r="C809" i="17"/>
  <c r="B809" i="17"/>
  <c r="G808" i="17"/>
  <c r="F808" i="17"/>
  <c r="E808" i="17"/>
  <c r="D808" i="17"/>
  <c r="C808" i="17"/>
  <c r="B808" i="17"/>
  <c r="G807" i="17"/>
  <c r="F807" i="17"/>
  <c r="E807" i="17"/>
  <c r="D807" i="17"/>
  <c r="C807" i="17"/>
  <c r="B807" i="17"/>
  <c r="G806" i="17"/>
  <c r="F806" i="17"/>
  <c r="E806" i="17"/>
  <c r="D806" i="17"/>
  <c r="C806" i="17"/>
  <c r="B806" i="17"/>
  <c r="G805" i="17"/>
  <c r="F805" i="17"/>
  <c r="E805" i="17"/>
  <c r="D805" i="17"/>
  <c r="C805" i="17"/>
  <c r="B805" i="17"/>
  <c r="G804" i="17"/>
  <c r="F804" i="17"/>
  <c r="E804" i="17"/>
  <c r="D804" i="17"/>
  <c r="C804" i="17"/>
  <c r="B804" i="17"/>
  <c r="G803" i="17"/>
  <c r="F803" i="17"/>
  <c r="E803" i="17"/>
  <c r="D803" i="17"/>
  <c r="C803" i="17"/>
  <c r="B803" i="17"/>
  <c r="G802" i="17"/>
  <c r="F802" i="17"/>
  <c r="E802" i="17"/>
  <c r="D802" i="17"/>
  <c r="C802" i="17"/>
  <c r="B802" i="17"/>
  <c r="G801" i="17"/>
  <c r="F801" i="17"/>
  <c r="E801" i="17"/>
  <c r="D801" i="17"/>
  <c r="C801" i="17"/>
  <c r="B801" i="17"/>
  <c r="G800" i="17"/>
  <c r="F800" i="17"/>
  <c r="E800" i="17"/>
  <c r="D800" i="17"/>
  <c r="C800" i="17"/>
  <c r="B800" i="17"/>
  <c r="G799" i="17"/>
  <c r="F799" i="17"/>
  <c r="E799" i="17"/>
  <c r="D799" i="17"/>
  <c r="C799" i="17"/>
  <c r="B799" i="17"/>
  <c r="G798" i="17"/>
  <c r="F798" i="17"/>
  <c r="E798" i="17"/>
  <c r="D798" i="17"/>
  <c r="C798" i="17"/>
  <c r="B798" i="17"/>
  <c r="G797" i="17"/>
  <c r="F797" i="17"/>
  <c r="E797" i="17"/>
  <c r="D797" i="17"/>
  <c r="C797" i="17"/>
  <c r="B797" i="17"/>
  <c r="G796" i="17"/>
  <c r="F796" i="17"/>
  <c r="E796" i="17"/>
  <c r="D796" i="17"/>
  <c r="C796" i="17"/>
  <c r="B796" i="17"/>
  <c r="G795" i="17"/>
  <c r="F795" i="17"/>
  <c r="E795" i="17"/>
  <c r="D795" i="17"/>
  <c r="C795" i="17"/>
  <c r="B795" i="17"/>
  <c r="G794" i="17"/>
  <c r="F794" i="17"/>
  <c r="E794" i="17"/>
  <c r="D794" i="17"/>
  <c r="C794" i="17"/>
  <c r="B794" i="17"/>
  <c r="G793" i="17"/>
  <c r="F793" i="17"/>
  <c r="E793" i="17"/>
  <c r="D793" i="17"/>
  <c r="C793" i="17"/>
  <c r="B793" i="17"/>
  <c r="G792" i="17"/>
  <c r="F792" i="17"/>
  <c r="E792" i="17"/>
  <c r="D792" i="17"/>
  <c r="C792" i="17"/>
  <c r="B792" i="17"/>
  <c r="G791" i="17"/>
  <c r="F791" i="17"/>
  <c r="E791" i="17"/>
  <c r="D791" i="17"/>
  <c r="C791" i="17"/>
  <c r="B791" i="17"/>
  <c r="G790" i="17"/>
  <c r="F790" i="17"/>
  <c r="E790" i="17"/>
  <c r="D790" i="17"/>
  <c r="C790" i="17"/>
  <c r="B790" i="17"/>
  <c r="G789" i="17"/>
  <c r="F789" i="17"/>
  <c r="E789" i="17"/>
  <c r="D789" i="17"/>
  <c r="C789" i="17"/>
  <c r="B789" i="17"/>
  <c r="G788" i="17"/>
  <c r="F788" i="17"/>
  <c r="E788" i="17"/>
  <c r="D788" i="17"/>
  <c r="C788" i="17"/>
  <c r="B788" i="17"/>
  <c r="G787" i="17"/>
  <c r="F787" i="17"/>
  <c r="E787" i="17"/>
  <c r="D787" i="17"/>
  <c r="C787" i="17"/>
  <c r="B787" i="17"/>
  <c r="G786" i="17"/>
  <c r="F786" i="17"/>
  <c r="E786" i="17"/>
  <c r="D786" i="17"/>
  <c r="C786" i="17"/>
  <c r="B786" i="17"/>
  <c r="G785" i="17"/>
  <c r="F785" i="17"/>
  <c r="E785" i="17"/>
  <c r="D785" i="17"/>
  <c r="C785" i="17"/>
  <c r="B785" i="17"/>
  <c r="G784" i="17"/>
  <c r="F784" i="17"/>
  <c r="E784" i="17"/>
  <c r="D784" i="17"/>
  <c r="C784" i="17"/>
  <c r="B784" i="17"/>
  <c r="G783" i="17"/>
  <c r="F783" i="17"/>
  <c r="E783" i="17"/>
  <c r="D783" i="17"/>
  <c r="C783" i="17"/>
  <c r="B783" i="17"/>
  <c r="G782" i="17"/>
  <c r="F782" i="17"/>
  <c r="E782" i="17"/>
  <c r="D782" i="17"/>
  <c r="C782" i="17"/>
  <c r="B782" i="17"/>
  <c r="G781" i="17"/>
  <c r="F781" i="17"/>
  <c r="E781" i="17"/>
  <c r="D781" i="17"/>
  <c r="C781" i="17"/>
  <c r="B781" i="17"/>
  <c r="G780" i="17"/>
  <c r="F780" i="17"/>
  <c r="E780" i="17"/>
  <c r="D780" i="17"/>
  <c r="C780" i="17"/>
  <c r="B780" i="17"/>
  <c r="G779" i="17"/>
  <c r="F779" i="17"/>
  <c r="E779" i="17"/>
  <c r="D779" i="17"/>
  <c r="C779" i="17"/>
  <c r="B779" i="17"/>
  <c r="G778" i="17"/>
  <c r="F778" i="17"/>
  <c r="E778" i="17"/>
  <c r="D778" i="17"/>
  <c r="C778" i="17"/>
  <c r="B778" i="17"/>
  <c r="G777" i="17"/>
  <c r="F777" i="17"/>
  <c r="E777" i="17"/>
  <c r="D777" i="17"/>
  <c r="C777" i="17"/>
  <c r="B777" i="17"/>
  <c r="G776" i="17"/>
  <c r="F776" i="17"/>
  <c r="E776" i="17"/>
  <c r="D776" i="17"/>
  <c r="C776" i="17"/>
  <c r="B776" i="17"/>
  <c r="G775" i="17"/>
  <c r="F775" i="17"/>
  <c r="E775" i="17"/>
  <c r="D775" i="17"/>
  <c r="C775" i="17"/>
  <c r="B775" i="17"/>
  <c r="G774" i="17"/>
  <c r="F774" i="17"/>
  <c r="E774" i="17"/>
  <c r="D774" i="17"/>
  <c r="C774" i="17"/>
  <c r="B774" i="17"/>
  <c r="G773" i="17"/>
  <c r="F773" i="17"/>
  <c r="E773" i="17"/>
  <c r="D773" i="17"/>
  <c r="C773" i="17"/>
  <c r="B773" i="17"/>
  <c r="G772" i="17"/>
  <c r="F772" i="17"/>
  <c r="E772" i="17"/>
  <c r="D772" i="17"/>
  <c r="C772" i="17"/>
  <c r="B772" i="17"/>
  <c r="G771" i="17"/>
  <c r="F771" i="17"/>
  <c r="E771" i="17"/>
  <c r="D771" i="17"/>
  <c r="C771" i="17"/>
  <c r="B771" i="17"/>
  <c r="G770" i="17"/>
  <c r="F770" i="17"/>
  <c r="E770" i="17"/>
  <c r="D770" i="17"/>
  <c r="C770" i="17"/>
  <c r="B770" i="17"/>
  <c r="G769" i="17"/>
  <c r="F769" i="17"/>
  <c r="E769" i="17"/>
  <c r="D769" i="17"/>
  <c r="C769" i="17"/>
  <c r="B769" i="17"/>
  <c r="G768" i="17"/>
  <c r="F768" i="17"/>
  <c r="E768" i="17"/>
  <c r="D768" i="17"/>
  <c r="C768" i="17"/>
  <c r="B768" i="17"/>
  <c r="G767" i="17"/>
  <c r="F767" i="17"/>
  <c r="E767" i="17"/>
  <c r="D767" i="17"/>
  <c r="C767" i="17"/>
  <c r="B767" i="17"/>
  <c r="G766" i="17"/>
  <c r="F766" i="17"/>
  <c r="E766" i="17"/>
  <c r="D766" i="17"/>
  <c r="C766" i="17"/>
  <c r="B766" i="17"/>
  <c r="G765" i="17"/>
  <c r="F765" i="17"/>
  <c r="E765" i="17"/>
  <c r="D765" i="17"/>
  <c r="C765" i="17"/>
  <c r="B765" i="17"/>
  <c r="G764" i="17"/>
  <c r="F764" i="17"/>
  <c r="E764" i="17"/>
  <c r="D764" i="17"/>
  <c r="C764" i="17"/>
  <c r="B764" i="17"/>
  <c r="G763" i="17"/>
  <c r="F763" i="17"/>
  <c r="E763" i="17"/>
  <c r="D763" i="17"/>
  <c r="C763" i="17"/>
  <c r="B763" i="17"/>
  <c r="G762" i="17"/>
  <c r="F762" i="17"/>
  <c r="E762" i="17"/>
  <c r="D762" i="17"/>
  <c r="C762" i="17"/>
  <c r="B762" i="17"/>
  <c r="G761" i="17"/>
  <c r="F761" i="17"/>
  <c r="E761" i="17"/>
  <c r="D761" i="17"/>
  <c r="C761" i="17"/>
  <c r="B761" i="17"/>
  <c r="G760" i="17"/>
  <c r="F760" i="17"/>
  <c r="E760" i="17"/>
  <c r="D760" i="17"/>
  <c r="C760" i="17"/>
  <c r="B760" i="17"/>
  <c r="G759" i="17"/>
  <c r="F759" i="17"/>
  <c r="E759" i="17"/>
  <c r="D759" i="17"/>
  <c r="C759" i="17"/>
  <c r="B759" i="17"/>
  <c r="G758" i="17"/>
  <c r="F758" i="17"/>
  <c r="E758" i="17"/>
  <c r="D758" i="17"/>
  <c r="C758" i="17"/>
  <c r="B758" i="17"/>
  <c r="G757" i="17"/>
  <c r="F757" i="17"/>
  <c r="E757" i="17"/>
  <c r="D757" i="17"/>
  <c r="C757" i="17"/>
  <c r="B757" i="17"/>
  <c r="G756" i="17"/>
  <c r="F756" i="17"/>
  <c r="E756" i="17"/>
  <c r="D756" i="17"/>
  <c r="C756" i="17"/>
  <c r="B756" i="17"/>
  <c r="G755" i="17"/>
  <c r="F755" i="17"/>
  <c r="E755" i="17"/>
  <c r="D755" i="17"/>
  <c r="C755" i="17"/>
  <c r="B755" i="17"/>
  <c r="G754" i="17"/>
  <c r="F754" i="17"/>
  <c r="E754" i="17"/>
  <c r="D754" i="17"/>
  <c r="C754" i="17"/>
  <c r="B754" i="17"/>
  <c r="G753" i="17"/>
  <c r="F753" i="17"/>
  <c r="E753" i="17"/>
  <c r="D753" i="17"/>
  <c r="C753" i="17"/>
  <c r="B753" i="17"/>
  <c r="G752" i="17"/>
  <c r="F752" i="17"/>
  <c r="E752" i="17"/>
  <c r="D752" i="17"/>
  <c r="C752" i="17"/>
  <c r="B752" i="17"/>
  <c r="G751" i="17"/>
  <c r="F751" i="17"/>
  <c r="E751" i="17"/>
  <c r="D751" i="17"/>
  <c r="C751" i="17"/>
  <c r="B751" i="17"/>
  <c r="G750" i="17"/>
  <c r="F750" i="17"/>
  <c r="E750" i="17"/>
  <c r="D750" i="17"/>
  <c r="C750" i="17"/>
  <c r="B750" i="17"/>
  <c r="G749" i="17"/>
  <c r="F749" i="17"/>
  <c r="E749" i="17"/>
  <c r="D749" i="17"/>
  <c r="C749" i="17"/>
  <c r="B749" i="17"/>
  <c r="G748" i="17"/>
  <c r="F748" i="17"/>
  <c r="E748" i="17"/>
  <c r="D748" i="17"/>
  <c r="C748" i="17"/>
  <c r="B748" i="17"/>
  <c r="G747" i="17"/>
  <c r="F747" i="17"/>
  <c r="E747" i="17"/>
  <c r="D747" i="17"/>
  <c r="C747" i="17"/>
  <c r="B747" i="17"/>
  <c r="G746" i="17"/>
  <c r="F746" i="17"/>
  <c r="E746" i="17"/>
  <c r="D746" i="17"/>
  <c r="C746" i="17"/>
  <c r="B746" i="17"/>
  <c r="G745" i="17"/>
  <c r="F745" i="17"/>
  <c r="E745" i="17"/>
  <c r="D745" i="17"/>
  <c r="C745" i="17"/>
  <c r="B745" i="17"/>
  <c r="G744" i="17"/>
  <c r="F744" i="17"/>
  <c r="E744" i="17"/>
  <c r="D744" i="17"/>
  <c r="C744" i="17"/>
  <c r="B744" i="17"/>
  <c r="G743" i="17"/>
  <c r="F743" i="17"/>
  <c r="E743" i="17"/>
  <c r="D743" i="17"/>
  <c r="C743" i="17"/>
  <c r="B743" i="17"/>
  <c r="G742" i="17"/>
  <c r="F742" i="17"/>
  <c r="E742" i="17"/>
  <c r="D742" i="17"/>
  <c r="C742" i="17"/>
  <c r="B742" i="17"/>
  <c r="G741" i="17"/>
  <c r="F741" i="17"/>
  <c r="E741" i="17"/>
  <c r="D741" i="17"/>
  <c r="C741" i="17"/>
  <c r="B741" i="17"/>
  <c r="G740" i="17"/>
  <c r="F740" i="17"/>
  <c r="E740" i="17"/>
  <c r="D740" i="17"/>
  <c r="C740" i="17"/>
  <c r="B740" i="17"/>
  <c r="G739" i="17"/>
  <c r="F739" i="17"/>
  <c r="E739" i="17"/>
  <c r="D739" i="17"/>
  <c r="C739" i="17"/>
  <c r="B739" i="17"/>
  <c r="G738" i="17"/>
  <c r="F738" i="17"/>
  <c r="E738" i="17"/>
  <c r="D738" i="17"/>
  <c r="C738" i="17"/>
  <c r="B738" i="17"/>
  <c r="G737" i="17"/>
  <c r="F737" i="17"/>
  <c r="E737" i="17"/>
  <c r="D737" i="17"/>
  <c r="C737" i="17"/>
  <c r="B737" i="17"/>
  <c r="G736" i="17"/>
  <c r="F736" i="17"/>
  <c r="E736" i="17"/>
  <c r="D736" i="17"/>
  <c r="C736" i="17"/>
  <c r="B736" i="17"/>
  <c r="G735" i="17"/>
  <c r="F735" i="17"/>
  <c r="E735" i="17"/>
  <c r="D735" i="17"/>
  <c r="C735" i="17"/>
  <c r="B735" i="17"/>
  <c r="G734" i="17"/>
  <c r="F734" i="17"/>
  <c r="E734" i="17"/>
  <c r="D734" i="17"/>
  <c r="C734" i="17"/>
  <c r="B734" i="17"/>
  <c r="G733" i="17"/>
  <c r="F733" i="17"/>
  <c r="E733" i="17"/>
  <c r="D733" i="17"/>
  <c r="C733" i="17"/>
  <c r="B733" i="17"/>
  <c r="G732" i="17"/>
  <c r="F732" i="17"/>
  <c r="E732" i="17"/>
  <c r="D732" i="17"/>
  <c r="C732" i="17"/>
  <c r="B732" i="17"/>
  <c r="G731" i="17"/>
  <c r="F731" i="17"/>
  <c r="E731" i="17"/>
  <c r="D731" i="17"/>
  <c r="C731" i="17"/>
  <c r="B731" i="17"/>
  <c r="G730" i="17"/>
  <c r="F730" i="17"/>
  <c r="E730" i="17"/>
  <c r="D730" i="17"/>
  <c r="C730" i="17"/>
  <c r="B730" i="17"/>
  <c r="G729" i="17"/>
  <c r="F729" i="17"/>
  <c r="E729" i="17"/>
  <c r="D729" i="17"/>
  <c r="C729" i="17"/>
  <c r="B729" i="17"/>
  <c r="G728" i="17"/>
  <c r="F728" i="17"/>
  <c r="E728" i="17"/>
  <c r="D728" i="17"/>
  <c r="C728" i="17"/>
  <c r="B728" i="17"/>
  <c r="G727" i="17"/>
  <c r="F727" i="17"/>
  <c r="E727" i="17"/>
  <c r="D727" i="17"/>
  <c r="C727" i="17"/>
  <c r="B727" i="17"/>
  <c r="G726" i="17"/>
  <c r="F726" i="17"/>
  <c r="E726" i="17"/>
  <c r="D726" i="17"/>
  <c r="C726" i="17"/>
  <c r="B726" i="17"/>
  <c r="G725" i="17"/>
  <c r="F725" i="17"/>
  <c r="E725" i="17"/>
  <c r="D725" i="17"/>
  <c r="C725" i="17"/>
  <c r="B725" i="17"/>
  <c r="G724" i="17"/>
  <c r="F724" i="17"/>
  <c r="E724" i="17"/>
  <c r="D724" i="17"/>
  <c r="C724" i="17"/>
  <c r="B724" i="17"/>
  <c r="G723" i="17"/>
  <c r="F723" i="17"/>
  <c r="E723" i="17"/>
  <c r="D723" i="17"/>
  <c r="C723" i="17"/>
  <c r="B723" i="17"/>
  <c r="G722" i="17"/>
  <c r="F722" i="17"/>
  <c r="E722" i="17"/>
  <c r="D722" i="17"/>
  <c r="C722" i="17"/>
  <c r="B722" i="17"/>
  <c r="G721" i="17"/>
  <c r="F721" i="17"/>
  <c r="E721" i="17"/>
  <c r="D721" i="17"/>
  <c r="C721" i="17"/>
  <c r="B721" i="17"/>
  <c r="G720" i="17"/>
  <c r="F720" i="17"/>
  <c r="E720" i="17"/>
  <c r="D720" i="17"/>
  <c r="C720" i="17"/>
  <c r="B720" i="17"/>
  <c r="G719" i="17"/>
  <c r="F719" i="17"/>
  <c r="E719" i="17"/>
  <c r="D719" i="17"/>
  <c r="C719" i="17"/>
  <c r="B719" i="17"/>
  <c r="G718" i="17"/>
  <c r="F718" i="17"/>
  <c r="E718" i="17"/>
  <c r="D718" i="17"/>
  <c r="C718" i="17"/>
  <c r="B718" i="17"/>
  <c r="G717" i="17"/>
  <c r="F717" i="17"/>
  <c r="E717" i="17"/>
  <c r="D717" i="17"/>
  <c r="C717" i="17"/>
  <c r="B717" i="17"/>
  <c r="G716" i="17"/>
  <c r="F716" i="17"/>
  <c r="E716" i="17"/>
  <c r="D716" i="17"/>
  <c r="C716" i="17"/>
  <c r="B716" i="17"/>
  <c r="G715" i="17"/>
  <c r="F715" i="17"/>
  <c r="E715" i="17"/>
  <c r="D715" i="17"/>
  <c r="C715" i="17"/>
  <c r="B715" i="17"/>
  <c r="G714" i="17"/>
  <c r="F714" i="17"/>
  <c r="E714" i="17"/>
  <c r="D714" i="17"/>
  <c r="C714" i="17"/>
  <c r="B714" i="17"/>
  <c r="G713" i="17"/>
  <c r="F713" i="17"/>
  <c r="E713" i="17"/>
  <c r="D713" i="17"/>
  <c r="C713" i="17"/>
  <c r="B713" i="17"/>
  <c r="G712" i="17"/>
  <c r="F712" i="17"/>
  <c r="E712" i="17"/>
  <c r="D712" i="17"/>
  <c r="C712" i="17"/>
  <c r="B712" i="17"/>
  <c r="G711" i="17"/>
  <c r="F711" i="17"/>
  <c r="E711" i="17"/>
  <c r="D711" i="17"/>
  <c r="C711" i="17"/>
  <c r="B711" i="17"/>
  <c r="G710" i="17"/>
  <c r="F710" i="17"/>
  <c r="E710" i="17"/>
  <c r="D710" i="17"/>
  <c r="C710" i="17"/>
  <c r="B710" i="17"/>
  <c r="G709" i="17"/>
  <c r="F709" i="17"/>
  <c r="E709" i="17"/>
  <c r="D709" i="17"/>
  <c r="C709" i="17"/>
  <c r="B709" i="17"/>
  <c r="G708" i="17"/>
  <c r="F708" i="17"/>
  <c r="E708" i="17"/>
  <c r="D708" i="17"/>
  <c r="C708" i="17"/>
  <c r="B708" i="17"/>
  <c r="G707" i="17"/>
  <c r="F707" i="17"/>
  <c r="E707" i="17"/>
  <c r="D707" i="17"/>
  <c r="C707" i="17"/>
  <c r="B707" i="17"/>
  <c r="G706" i="17"/>
  <c r="F706" i="17"/>
  <c r="E706" i="17"/>
  <c r="D706" i="17"/>
  <c r="C706" i="17"/>
  <c r="B706" i="17"/>
  <c r="G705" i="17"/>
  <c r="F705" i="17"/>
  <c r="E705" i="17"/>
  <c r="D705" i="17"/>
  <c r="C705" i="17"/>
  <c r="B705" i="17"/>
  <c r="G704" i="17"/>
  <c r="F704" i="17"/>
  <c r="E704" i="17"/>
  <c r="D704" i="17"/>
  <c r="C704" i="17"/>
  <c r="B704" i="17"/>
  <c r="G703" i="17"/>
  <c r="F703" i="17"/>
  <c r="E703" i="17"/>
  <c r="D703" i="17"/>
  <c r="C703" i="17"/>
  <c r="B703" i="17"/>
  <c r="G702" i="17"/>
  <c r="F702" i="17"/>
  <c r="E702" i="17"/>
  <c r="D702" i="17"/>
  <c r="C702" i="17"/>
  <c r="B702" i="17"/>
  <c r="G701" i="17"/>
  <c r="F701" i="17"/>
  <c r="E701" i="17"/>
  <c r="D701" i="17"/>
  <c r="C701" i="17"/>
  <c r="B701" i="17"/>
  <c r="G700" i="17"/>
  <c r="F700" i="17"/>
  <c r="E700" i="17"/>
  <c r="D700" i="17"/>
  <c r="C700" i="17"/>
  <c r="B700" i="17"/>
  <c r="G699" i="17"/>
  <c r="F699" i="17"/>
  <c r="E699" i="17"/>
  <c r="D699" i="17"/>
  <c r="C699" i="17"/>
  <c r="B699" i="17"/>
  <c r="G698" i="17"/>
  <c r="F698" i="17"/>
  <c r="E698" i="17"/>
  <c r="D698" i="17"/>
  <c r="C698" i="17"/>
  <c r="B698" i="17"/>
  <c r="G697" i="17"/>
  <c r="F697" i="17"/>
  <c r="E697" i="17"/>
  <c r="D697" i="17"/>
  <c r="C697" i="17"/>
  <c r="B697" i="17"/>
  <c r="G696" i="17"/>
  <c r="F696" i="17"/>
  <c r="E696" i="17"/>
  <c r="D696" i="17"/>
  <c r="C696" i="17"/>
  <c r="B696" i="17"/>
  <c r="G695" i="17"/>
  <c r="F695" i="17"/>
  <c r="E695" i="17"/>
  <c r="D695" i="17"/>
  <c r="C695" i="17"/>
  <c r="B695" i="17"/>
  <c r="G694" i="17"/>
  <c r="F694" i="17"/>
  <c r="E694" i="17"/>
  <c r="D694" i="17"/>
  <c r="C694" i="17"/>
  <c r="B694" i="17"/>
  <c r="G693" i="17"/>
  <c r="F693" i="17"/>
  <c r="E693" i="17"/>
  <c r="D693" i="17"/>
  <c r="C693" i="17"/>
  <c r="B693" i="17"/>
  <c r="G692" i="17"/>
  <c r="F692" i="17"/>
  <c r="E692" i="17"/>
  <c r="D692" i="17"/>
  <c r="C692" i="17"/>
  <c r="B692" i="17"/>
  <c r="G691" i="17"/>
  <c r="F691" i="17"/>
  <c r="E691" i="17"/>
  <c r="D691" i="17"/>
  <c r="C691" i="17"/>
  <c r="B691" i="17"/>
  <c r="G690" i="17"/>
  <c r="F690" i="17"/>
  <c r="E690" i="17"/>
  <c r="D690" i="17"/>
  <c r="C690" i="17"/>
  <c r="B690" i="17"/>
  <c r="G689" i="17"/>
  <c r="F689" i="17"/>
  <c r="E689" i="17"/>
  <c r="D689" i="17"/>
  <c r="C689" i="17"/>
  <c r="B689" i="17"/>
  <c r="G688" i="17"/>
  <c r="F688" i="17"/>
  <c r="E688" i="17"/>
  <c r="D688" i="17"/>
  <c r="C688" i="17"/>
  <c r="B688" i="17"/>
  <c r="G687" i="17"/>
  <c r="F687" i="17"/>
  <c r="E687" i="17"/>
  <c r="D687" i="17"/>
  <c r="C687" i="17"/>
  <c r="B687" i="17"/>
  <c r="G686" i="17"/>
  <c r="F686" i="17"/>
  <c r="E686" i="17"/>
  <c r="D686" i="17"/>
  <c r="C686" i="17"/>
  <c r="B686" i="17"/>
  <c r="G685" i="17"/>
  <c r="F685" i="17"/>
  <c r="E685" i="17"/>
  <c r="D685" i="17"/>
  <c r="C685" i="17"/>
  <c r="B685" i="17"/>
  <c r="G684" i="17"/>
  <c r="F684" i="17"/>
  <c r="E684" i="17"/>
  <c r="D684" i="17"/>
  <c r="C684" i="17"/>
  <c r="B684" i="17"/>
  <c r="G683" i="17"/>
  <c r="F683" i="17"/>
  <c r="E683" i="17"/>
  <c r="D683" i="17"/>
  <c r="C683" i="17"/>
  <c r="B683" i="17"/>
  <c r="G682" i="17"/>
  <c r="F682" i="17"/>
  <c r="E682" i="17"/>
  <c r="D682" i="17"/>
  <c r="C682" i="17"/>
  <c r="B682" i="17"/>
  <c r="G681" i="17"/>
  <c r="F681" i="17"/>
  <c r="E681" i="17"/>
  <c r="D681" i="17"/>
  <c r="C681" i="17"/>
  <c r="B681" i="17"/>
  <c r="G680" i="17"/>
  <c r="F680" i="17"/>
  <c r="E680" i="17"/>
  <c r="D680" i="17"/>
  <c r="C680" i="17"/>
  <c r="B680" i="17"/>
  <c r="G679" i="17"/>
  <c r="F679" i="17"/>
  <c r="E679" i="17"/>
  <c r="D679" i="17"/>
  <c r="C679" i="17"/>
  <c r="B679" i="17"/>
  <c r="G678" i="17"/>
  <c r="F678" i="17"/>
  <c r="E678" i="17"/>
  <c r="D678" i="17"/>
  <c r="C678" i="17"/>
  <c r="B678" i="17"/>
  <c r="G677" i="17"/>
  <c r="F677" i="17"/>
  <c r="E677" i="17"/>
  <c r="D677" i="17"/>
  <c r="C677" i="17"/>
  <c r="B677" i="17"/>
  <c r="G676" i="17"/>
  <c r="F676" i="17"/>
  <c r="E676" i="17"/>
  <c r="D676" i="17"/>
  <c r="C676" i="17"/>
  <c r="B676" i="17"/>
  <c r="G675" i="17"/>
  <c r="F675" i="17"/>
  <c r="E675" i="17"/>
  <c r="D675" i="17"/>
  <c r="C675" i="17"/>
  <c r="B675" i="17"/>
  <c r="G674" i="17"/>
  <c r="F674" i="17"/>
  <c r="E674" i="17"/>
  <c r="D674" i="17"/>
  <c r="C674" i="17"/>
  <c r="B674" i="17"/>
  <c r="G673" i="17"/>
  <c r="F673" i="17"/>
  <c r="E673" i="17"/>
  <c r="D673" i="17"/>
  <c r="C673" i="17"/>
  <c r="B673" i="17"/>
  <c r="G672" i="17"/>
  <c r="F672" i="17"/>
  <c r="E672" i="17"/>
  <c r="D672" i="17"/>
  <c r="C672" i="17"/>
  <c r="B672" i="17"/>
  <c r="G671" i="17"/>
  <c r="F671" i="17"/>
  <c r="E671" i="17"/>
  <c r="D671" i="17"/>
  <c r="C671" i="17"/>
  <c r="B671" i="17"/>
  <c r="G670" i="17"/>
  <c r="F670" i="17"/>
  <c r="E670" i="17"/>
  <c r="D670" i="17"/>
  <c r="C670" i="17"/>
  <c r="B670" i="17"/>
  <c r="G669" i="17"/>
  <c r="F669" i="17"/>
  <c r="E669" i="17"/>
  <c r="D669" i="17"/>
  <c r="C669" i="17"/>
  <c r="B669" i="17"/>
  <c r="G668" i="17"/>
  <c r="F668" i="17"/>
  <c r="E668" i="17"/>
  <c r="D668" i="17"/>
  <c r="C668" i="17"/>
  <c r="B668" i="17"/>
  <c r="G667" i="17"/>
  <c r="F667" i="17"/>
  <c r="E667" i="17"/>
  <c r="D667" i="17"/>
  <c r="C667" i="17"/>
  <c r="B667" i="17"/>
  <c r="G666" i="17"/>
  <c r="F666" i="17"/>
  <c r="E666" i="17"/>
  <c r="D666" i="17"/>
  <c r="C666" i="17"/>
  <c r="B666" i="17"/>
  <c r="G665" i="17"/>
  <c r="F665" i="17"/>
  <c r="E665" i="17"/>
  <c r="D665" i="17"/>
  <c r="C665" i="17"/>
  <c r="B665" i="17"/>
  <c r="G664" i="17"/>
  <c r="F664" i="17"/>
  <c r="E664" i="17"/>
  <c r="D664" i="17"/>
  <c r="C664" i="17"/>
  <c r="B664" i="17"/>
  <c r="G663" i="17"/>
  <c r="F663" i="17"/>
  <c r="E663" i="17"/>
  <c r="D663" i="17"/>
  <c r="C663" i="17"/>
  <c r="B663" i="17"/>
  <c r="G662" i="17"/>
  <c r="F662" i="17"/>
  <c r="E662" i="17"/>
  <c r="D662" i="17"/>
  <c r="C662" i="17"/>
  <c r="B662" i="17"/>
  <c r="G661" i="17"/>
  <c r="F661" i="17"/>
  <c r="E661" i="17"/>
  <c r="D661" i="17"/>
  <c r="C661" i="17"/>
  <c r="B661" i="17"/>
  <c r="G660" i="17"/>
  <c r="F660" i="17"/>
  <c r="E660" i="17"/>
  <c r="D660" i="17"/>
  <c r="C660" i="17"/>
  <c r="B660" i="17"/>
  <c r="G659" i="17"/>
  <c r="F659" i="17"/>
  <c r="E659" i="17"/>
  <c r="D659" i="17"/>
  <c r="C659" i="17"/>
  <c r="B659" i="17"/>
  <c r="G658" i="17"/>
  <c r="F658" i="17"/>
  <c r="E658" i="17"/>
  <c r="D658" i="17"/>
  <c r="C658" i="17"/>
  <c r="B658" i="17"/>
  <c r="G657" i="17"/>
  <c r="F657" i="17"/>
  <c r="E657" i="17"/>
  <c r="D657" i="17"/>
  <c r="C657" i="17"/>
  <c r="B657" i="17"/>
  <c r="G656" i="17"/>
  <c r="F656" i="17"/>
  <c r="E656" i="17"/>
  <c r="D656" i="17"/>
  <c r="C656" i="17"/>
  <c r="B656" i="17"/>
  <c r="G655" i="17"/>
  <c r="F655" i="17"/>
  <c r="E655" i="17"/>
  <c r="D655" i="17"/>
  <c r="C655" i="17"/>
  <c r="B655" i="17"/>
  <c r="G654" i="17"/>
  <c r="F654" i="17"/>
  <c r="E654" i="17"/>
  <c r="D654" i="17"/>
  <c r="C654" i="17"/>
  <c r="B654" i="17"/>
  <c r="G653" i="17"/>
  <c r="F653" i="17"/>
  <c r="E653" i="17"/>
  <c r="D653" i="17"/>
  <c r="C653" i="17"/>
  <c r="B653" i="17"/>
  <c r="G652" i="17"/>
  <c r="F652" i="17"/>
  <c r="E652" i="17"/>
  <c r="D652" i="17"/>
  <c r="C652" i="17"/>
  <c r="B652" i="17"/>
  <c r="G651" i="17"/>
  <c r="F651" i="17"/>
  <c r="E651" i="17"/>
  <c r="D651" i="17"/>
  <c r="C651" i="17"/>
  <c r="B651" i="17"/>
  <c r="G650" i="17"/>
  <c r="F650" i="17"/>
  <c r="E650" i="17"/>
  <c r="D650" i="17"/>
  <c r="C650" i="17"/>
  <c r="B650" i="17"/>
  <c r="G649" i="17"/>
  <c r="F649" i="17"/>
  <c r="E649" i="17"/>
  <c r="D649" i="17"/>
  <c r="C649" i="17"/>
  <c r="B649" i="17"/>
  <c r="G648" i="17"/>
  <c r="F648" i="17"/>
  <c r="E648" i="17"/>
  <c r="D648" i="17"/>
  <c r="C648" i="17"/>
  <c r="B648" i="17"/>
  <c r="G647" i="17"/>
  <c r="F647" i="17"/>
  <c r="E647" i="17"/>
  <c r="D647" i="17"/>
  <c r="C647" i="17"/>
  <c r="B647" i="17"/>
  <c r="G646" i="17"/>
  <c r="F646" i="17"/>
  <c r="E646" i="17"/>
  <c r="D646" i="17"/>
  <c r="C646" i="17"/>
  <c r="B646" i="17"/>
  <c r="G645" i="17"/>
  <c r="F645" i="17"/>
  <c r="E645" i="17"/>
  <c r="D645" i="17"/>
  <c r="C645" i="17"/>
  <c r="B645" i="17"/>
  <c r="G644" i="17"/>
  <c r="F644" i="17"/>
  <c r="E644" i="17"/>
  <c r="D644" i="17"/>
  <c r="C644" i="17"/>
  <c r="B644" i="17"/>
  <c r="G643" i="17"/>
  <c r="F643" i="17"/>
  <c r="E643" i="17"/>
  <c r="D643" i="17"/>
  <c r="C643" i="17"/>
  <c r="B643" i="17"/>
  <c r="G642" i="17"/>
  <c r="F642" i="17"/>
  <c r="E642" i="17"/>
  <c r="D642" i="17"/>
  <c r="C642" i="17"/>
  <c r="B642" i="17"/>
  <c r="G641" i="17"/>
  <c r="F641" i="17"/>
  <c r="E641" i="17"/>
  <c r="D641" i="17"/>
  <c r="C641" i="17"/>
  <c r="B641" i="17"/>
  <c r="G640" i="17"/>
  <c r="F640" i="17"/>
  <c r="E640" i="17"/>
  <c r="D640" i="17"/>
  <c r="C640" i="17"/>
  <c r="B640" i="17"/>
  <c r="G639" i="17"/>
  <c r="F639" i="17"/>
  <c r="E639" i="17"/>
  <c r="D639" i="17"/>
  <c r="C639" i="17"/>
  <c r="B639" i="17"/>
  <c r="G638" i="17"/>
  <c r="F638" i="17"/>
  <c r="E638" i="17"/>
  <c r="D638" i="17"/>
  <c r="C638" i="17"/>
  <c r="B638" i="17"/>
  <c r="G637" i="17"/>
  <c r="F637" i="17"/>
  <c r="E637" i="17"/>
  <c r="D637" i="17"/>
  <c r="C637" i="17"/>
  <c r="B637" i="17"/>
  <c r="G636" i="17"/>
  <c r="F636" i="17"/>
  <c r="E636" i="17"/>
  <c r="D636" i="17"/>
  <c r="C636" i="17"/>
  <c r="B636" i="17"/>
  <c r="G635" i="17"/>
  <c r="F635" i="17"/>
  <c r="E635" i="17"/>
  <c r="D635" i="17"/>
  <c r="C635" i="17"/>
  <c r="B635" i="17"/>
  <c r="G634" i="17"/>
  <c r="F634" i="17"/>
  <c r="E634" i="17"/>
  <c r="D634" i="17"/>
  <c r="C634" i="17"/>
  <c r="B634" i="17"/>
  <c r="G633" i="17"/>
  <c r="F633" i="17"/>
  <c r="E633" i="17"/>
  <c r="D633" i="17"/>
  <c r="C633" i="17"/>
  <c r="B633" i="17"/>
  <c r="G632" i="17"/>
  <c r="F632" i="17"/>
  <c r="E632" i="17"/>
  <c r="D632" i="17"/>
  <c r="C632" i="17"/>
  <c r="B632" i="17"/>
  <c r="G631" i="17"/>
  <c r="F631" i="17"/>
  <c r="E631" i="17"/>
  <c r="D631" i="17"/>
  <c r="C631" i="17"/>
  <c r="B631" i="17"/>
  <c r="G630" i="17"/>
  <c r="F630" i="17"/>
  <c r="E630" i="17"/>
  <c r="D630" i="17"/>
  <c r="C630" i="17"/>
  <c r="B630" i="17"/>
  <c r="G629" i="17"/>
  <c r="F629" i="17"/>
  <c r="E629" i="17"/>
  <c r="D629" i="17"/>
  <c r="C629" i="17"/>
  <c r="B629" i="17"/>
  <c r="G628" i="17"/>
  <c r="F628" i="17"/>
  <c r="E628" i="17"/>
  <c r="D628" i="17"/>
  <c r="C628" i="17"/>
  <c r="B628" i="17"/>
  <c r="G627" i="17"/>
  <c r="F627" i="17"/>
  <c r="E627" i="17"/>
  <c r="D627" i="17"/>
  <c r="C627" i="17"/>
  <c r="B627" i="17"/>
  <c r="G626" i="17"/>
  <c r="F626" i="17"/>
  <c r="E626" i="17"/>
  <c r="D626" i="17"/>
  <c r="C626" i="17"/>
  <c r="B626" i="17"/>
  <c r="G625" i="17"/>
  <c r="F625" i="17"/>
  <c r="E625" i="17"/>
  <c r="D625" i="17"/>
  <c r="C625" i="17"/>
  <c r="B625" i="17"/>
  <c r="G624" i="17"/>
  <c r="F624" i="17"/>
  <c r="E624" i="17"/>
  <c r="D624" i="17"/>
  <c r="C624" i="17"/>
  <c r="B624" i="17"/>
  <c r="G623" i="17"/>
  <c r="F623" i="17"/>
  <c r="E623" i="17"/>
  <c r="D623" i="17"/>
  <c r="C623" i="17"/>
  <c r="B623" i="17"/>
  <c r="G622" i="17"/>
  <c r="F622" i="17"/>
  <c r="E622" i="17"/>
  <c r="D622" i="17"/>
  <c r="C622" i="17"/>
  <c r="B622" i="17"/>
  <c r="G621" i="17"/>
  <c r="F621" i="17"/>
  <c r="E621" i="17"/>
  <c r="D621" i="17"/>
  <c r="C621" i="17"/>
  <c r="B621" i="17"/>
  <c r="G620" i="17"/>
  <c r="F620" i="17"/>
  <c r="E620" i="17"/>
  <c r="D620" i="17"/>
  <c r="C620" i="17"/>
  <c r="B620" i="17"/>
  <c r="G619" i="17"/>
  <c r="F619" i="17"/>
  <c r="E619" i="17"/>
  <c r="D619" i="17"/>
  <c r="C619" i="17"/>
  <c r="B619" i="17"/>
  <c r="G618" i="17"/>
  <c r="F618" i="17"/>
  <c r="E618" i="17"/>
  <c r="D618" i="17"/>
  <c r="C618" i="17"/>
  <c r="B618" i="17"/>
  <c r="G617" i="17"/>
  <c r="F617" i="17"/>
  <c r="E617" i="17"/>
  <c r="D617" i="17"/>
  <c r="C617" i="17"/>
  <c r="B617" i="17"/>
  <c r="G616" i="17"/>
  <c r="F616" i="17"/>
  <c r="E616" i="17"/>
  <c r="D616" i="17"/>
  <c r="C616" i="17"/>
  <c r="B616" i="17"/>
  <c r="G615" i="17"/>
  <c r="F615" i="17"/>
  <c r="E615" i="17"/>
  <c r="D615" i="17"/>
  <c r="C615" i="17"/>
  <c r="B615" i="17"/>
  <c r="G614" i="17"/>
  <c r="F614" i="17"/>
  <c r="E614" i="17"/>
  <c r="D614" i="17"/>
  <c r="C614" i="17"/>
  <c r="B614" i="17"/>
  <c r="G613" i="17"/>
  <c r="F613" i="17"/>
  <c r="E613" i="17"/>
  <c r="D613" i="17"/>
  <c r="C613" i="17"/>
  <c r="B613" i="17"/>
  <c r="G612" i="17"/>
  <c r="F612" i="17"/>
  <c r="E612" i="17"/>
  <c r="D612" i="17"/>
  <c r="C612" i="17"/>
  <c r="B612" i="17"/>
  <c r="G611" i="17"/>
  <c r="F611" i="17"/>
  <c r="E611" i="17"/>
  <c r="D611" i="17"/>
  <c r="C611" i="17"/>
  <c r="B611" i="17"/>
  <c r="G610" i="17"/>
  <c r="F610" i="17"/>
  <c r="E610" i="17"/>
  <c r="D610" i="17"/>
  <c r="C610" i="17"/>
  <c r="B610" i="17"/>
  <c r="G609" i="17"/>
  <c r="F609" i="17"/>
  <c r="E609" i="17"/>
  <c r="D609" i="17"/>
  <c r="C609" i="17"/>
  <c r="B609" i="17"/>
  <c r="G608" i="17"/>
  <c r="F608" i="17"/>
  <c r="E608" i="17"/>
  <c r="D608" i="17"/>
  <c r="C608" i="17"/>
  <c r="B608" i="17"/>
  <c r="G607" i="17"/>
  <c r="F607" i="17"/>
  <c r="E607" i="17"/>
  <c r="D607" i="17"/>
  <c r="C607" i="17"/>
  <c r="B607" i="17"/>
  <c r="G606" i="17"/>
  <c r="F606" i="17"/>
  <c r="E606" i="17"/>
  <c r="D606" i="17"/>
  <c r="C606" i="17"/>
  <c r="B606" i="17"/>
  <c r="G605" i="17"/>
  <c r="F605" i="17"/>
  <c r="E605" i="17"/>
  <c r="D605" i="17"/>
  <c r="C605" i="17"/>
  <c r="B605" i="17"/>
  <c r="G604" i="17"/>
  <c r="F604" i="17"/>
  <c r="E604" i="17"/>
  <c r="D604" i="17"/>
  <c r="C604" i="17"/>
  <c r="B604" i="17"/>
  <c r="G603" i="17"/>
  <c r="F603" i="17"/>
  <c r="E603" i="17"/>
  <c r="D603" i="17"/>
  <c r="C603" i="17"/>
  <c r="B603" i="17"/>
  <c r="G602" i="17"/>
  <c r="F602" i="17"/>
  <c r="E602" i="17"/>
  <c r="D602" i="17"/>
  <c r="C602" i="17"/>
  <c r="B602" i="17"/>
  <c r="G601" i="17"/>
  <c r="F601" i="17"/>
  <c r="E601" i="17"/>
  <c r="D601" i="17"/>
  <c r="C601" i="17"/>
  <c r="B601" i="17"/>
  <c r="G600" i="17"/>
  <c r="F600" i="17"/>
  <c r="E600" i="17"/>
  <c r="D600" i="17"/>
  <c r="C600" i="17"/>
  <c r="B600" i="17"/>
  <c r="G599" i="17"/>
  <c r="F599" i="17"/>
  <c r="E599" i="17"/>
  <c r="D599" i="17"/>
  <c r="C599" i="17"/>
  <c r="B599" i="17"/>
  <c r="G598" i="17"/>
  <c r="F598" i="17"/>
  <c r="E598" i="17"/>
  <c r="D598" i="17"/>
  <c r="C598" i="17"/>
  <c r="B598" i="17"/>
  <c r="G597" i="17"/>
  <c r="F597" i="17"/>
  <c r="E597" i="17"/>
  <c r="D597" i="17"/>
  <c r="C597" i="17"/>
  <c r="B597" i="17"/>
  <c r="G596" i="17"/>
  <c r="F596" i="17"/>
  <c r="E596" i="17"/>
  <c r="D596" i="17"/>
  <c r="C596" i="17"/>
  <c r="B596" i="17"/>
  <c r="G595" i="17"/>
  <c r="F595" i="17"/>
  <c r="E595" i="17"/>
  <c r="D595" i="17"/>
  <c r="C595" i="17"/>
  <c r="B595" i="17"/>
  <c r="G594" i="17"/>
  <c r="F594" i="17"/>
  <c r="E594" i="17"/>
  <c r="D594" i="17"/>
  <c r="C594" i="17"/>
  <c r="B594" i="17"/>
  <c r="G593" i="17"/>
  <c r="F593" i="17"/>
  <c r="E593" i="17"/>
  <c r="D593" i="17"/>
  <c r="C593" i="17"/>
  <c r="B593" i="17"/>
  <c r="G592" i="17"/>
  <c r="F592" i="17"/>
  <c r="E592" i="17"/>
  <c r="D592" i="17"/>
  <c r="C592" i="17"/>
  <c r="B592" i="17"/>
  <c r="G591" i="17"/>
  <c r="F591" i="17"/>
  <c r="E591" i="17"/>
  <c r="D591" i="17"/>
  <c r="C591" i="17"/>
  <c r="B591" i="17"/>
  <c r="G590" i="17"/>
  <c r="F590" i="17"/>
  <c r="E590" i="17"/>
  <c r="D590" i="17"/>
  <c r="C590" i="17"/>
  <c r="B590" i="17"/>
  <c r="G589" i="17"/>
  <c r="F589" i="17"/>
  <c r="E589" i="17"/>
  <c r="D589" i="17"/>
  <c r="C589" i="17"/>
  <c r="B589" i="17"/>
  <c r="G588" i="17"/>
  <c r="F588" i="17"/>
  <c r="E588" i="17"/>
  <c r="D588" i="17"/>
  <c r="C588" i="17"/>
  <c r="B588" i="17"/>
  <c r="G587" i="17"/>
  <c r="F587" i="17"/>
  <c r="E587" i="17"/>
  <c r="D587" i="17"/>
  <c r="C587" i="17"/>
  <c r="B587" i="17"/>
  <c r="G586" i="17"/>
  <c r="F586" i="17"/>
  <c r="E586" i="17"/>
  <c r="D586" i="17"/>
  <c r="C586" i="17"/>
  <c r="B586" i="17"/>
  <c r="G585" i="17"/>
  <c r="F585" i="17"/>
  <c r="E585" i="17"/>
  <c r="D585" i="17"/>
  <c r="C585" i="17"/>
  <c r="B585" i="17"/>
  <c r="G584" i="17"/>
  <c r="F584" i="17"/>
  <c r="E584" i="17"/>
  <c r="D584" i="17"/>
  <c r="C584" i="17"/>
  <c r="B584" i="17"/>
  <c r="G583" i="17"/>
  <c r="F583" i="17"/>
  <c r="E583" i="17"/>
  <c r="D583" i="17"/>
  <c r="C583" i="17"/>
  <c r="B583" i="17"/>
  <c r="G582" i="17"/>
  <c r="F582" i="17"/>
  <c r="E582" i="17"/>
  <c r="D582" i="17"/>
  <c r="C582" i="17"/>
  <c r="B582" i="17"/>
  <c r="G581" i="17"/>
  <c r="F581" i="17"/>
  <c r="E581" i="17"/>
  <c r="D581" i="17"/>
  <c r="C581" i="17"/>
  <c r="B581" i="17"/>
  <c r="G580" i="17"/>
  <c r="F580" i="17"/>
  <c r="E580" i="17"/>
  <c r="D580" i="17"/>
  <c r="C580" i="17"/>
  <c r="B580" i="17"/>
  <c r="G579" i="17"/>
  <c r="F579" i="17"/>
  <c r="E579" i="17"/>
  <c r="D579" i="17"/>
  <c r="C579" i="17"/>
  <c r="B579" i="17"/>
  <c r="G578" i="17"/>
  <c r="F578" i="17"/>
  <c r="E578" i="17"/>
  <c r="D578" i="17"/>
  <c r="C578" i="17"/>
  <c r="B578" i="17"/>
  <c r="G577" i="17"/>
  <c r="F577" i="17"/>
  <c r="E577" i="17"/>
  <c r="D577" i="17"/>
  <c r="C577" i="17"/>
  <c r="B577" i="17"/>
  <c r="G576" i="17"/>
  <c r="F576" i="17"/>
  <c r="E576" i="17"/>
  <c r="D576" i="17"/>
  <c r="C576" i="17"/>
  <c r="B576" i="17"/>
  <c r="G575" i="17"/>
  <c r="F575" i="17"/>
  <c r="E575" i="17"/>
  <c r="D575" i="17"/>
  <c r="C575" i="17"/>
  <c r="B575" i="17"/>
  <c r="G574" i="17"/>
  <c r="F574" i="17"/>
  <c r="E574" i="17"/>
  <c r="D574" i="17"/>
  <c r="C574" i="17"/>
  <c r="B574" i="17"/>
  <c r="G573" i="17"/>
  <c r="F573" i="17"/>
  <c r="E573" i="17"/>
  <c r="D573" i="17"/>
  <c r="C573" i="17"/>
  <c r="B573" i="17"/>
  <c r="G572" i="17"/>
  <c r="F572" i="17"/>
  <c r="E572" i="17"/>
  <c r="D572" i="17"/>
  <c r="C572" i="17"/>
  <c r="B572" i="17"/>
  <c r="G571" i="17"/>
  <c r="F571" i="17"/>
  <c r="E571" i="17"/>
  <c r="D571" i="17"/>
  <c r="C571" i="17"/>
  <c r="B571" i="17"/>
  <c r="G570" i="17"/>
  <c r="F570" i="17"/>
  <c r="E570" i="17"/>
  <c r="D570" i="17"/>
  <c r="C570" i="17"/>
  <c r="B570" i="17"/>
  <c r="G569" i="17"/>
  <c r="F569" i="17"/>
  <c r="E569" i="17"/>
  <c r="D569" i="17"/>
  <c r="C569" i="17"/>
  <c r="B569" i="17"/>
  <c r="G568" i="17"/>
  <c r="F568" i="17"/>
  <c r="E568" i="17"/>
  <c r="D568" i="17"/>
  <c r="C568" i="17"/>
  <c r="B568" i="17"/>
  <c r="G567" i="17"/>
  <c r="F567" i="17"/>
  <c r="E567" i="17"/>
  <c r="D567" i="17"/>
  <c r="C567" i="17"/>
  <c r="B567" i="17"/>
  <c r="G566" i="17"/>
  <c r="F566" i="17"/>
  <c r="E566" i="17"/>
  <c r="D566" i="17"/>
  <c r="C566" i="17"/>
  <c r="B566" i="17"/>
  <c r="G565" i="17"/>
  <c r="F565" i="17"/>
  <c r="E565" i="17"/>
  <c r="D565" i="17"/>
  <c r="C565" i="17"/>
  <c r="B565" i="17"/>
  <c r="G564" i="17"/>
  <c r="F564" i="17"/>
  <c r="E564" i="17"/>
  <c r="D564" i="17"/>
  <c r="C564" i="17"/>
  <c r="B564" i="17"/>
  <c r="G563" i="17"/>
  <c r="F563" i="17"/>
  <c r="E563" i="17"/>
  <c r="D563" i="17"/>
  <c r="C563" i="17"/>
  <c r="B563" i="17"/>
  <c r="G562" i="17"/>
  <c r="F562" i="17"/>
  <c r="E562" i="17"/>
  <c r="D562" i="17"/>
  <c r="C562" i="17"/>
  <c r="B562" i="17"/>
  <c r="G561" i="17"/>
  <c r="F561" i="17"/>
  <c r="E561" i="17"/>
  <c r="D561" i="17"/>
  <c r="C561" i="17"/>
  <c r="B561" i="17"/>
  <c r="G560" i="17"/>
  <c r="F560" i="17"/>
  <c r="E560" i="17"/>
  <c r="D560" i="17"/>
  <c r="C560" i="17"/>
  <c r="B560" i="17"/>
  <c r="G559" i="17"/>
  <c r="F559" i="17"/>
  <c r="E559" i="17"/>
  <c r="D559" i="17"/>
  <c r="C559" i="17"/>
  <c r="B559" i="17"/>
  <c r="G558" i="17"/>
  <c r="F558" i="17"/>
  <c r="E558" i="17"/>
  <c r="D558" i="17"/>
  <c r="C558" i="17"/>
  <c r="B558" i="17"/>
  <c r="G557" i="17"/>
  <c r="F557" i="17"/>
  <c r="E557" i="17"/>
  <c r="D557" i="17"/>
  <c r="C557" i="17"/>
  <c r="B557" i="17"/>
  <c r="G556" i="17"/>
  <c r="F556" i="17"/>
  <c r="E556" i="17"/>
  <c r="D556" i="17"/>
  <c r="C556" i="17"/>
  <c r="B556" i="17"/>
  <c r="G555" i="17"/>
  <c r="F555" i="17"/>
  <c r="E555" i="17"/>
  <c r="D555" i="17"/>
  <c r="C555" i="17"/>
  <c r="B555" i="17"/>
  <c r="G554" i="17"/>
  <c r="F554" i="17"/>
  <c r="E554" i="17"/>
  <c r="D554" i="17"/>
  <c r="C554" i="17"/>
  <c r="B554" i="17"/>
  <c r="G553" i="17"/>
  <c r="F553" i="17"/>
  <c r="E553" i="17"/>
  <c r="D553" i="17"/>
  <c r="C553" i="17"/>
  <c r="B553" i="17"/>
  <c r="G552" i="17"/>
  <c r="F552" i="17"/>
  <c r="E552" i="17"/>
  <c r="D552" i="17"/>
  <c r="C552" i="17"/>
  <c r="B552" i="17"/>
  <c r="G551" i="17"/>
  <c r="F551" i="17"/>
  <c r="E551" i="17"/>
  <c r="D551" i="17"/>
  <c r="C551" i="17"/>
  <c r="B551" i="17"/>
  <c r="G550" i="17"/>
  <c r="F550" i="17"/>
  <c r="E550" i="17"/>
  <c r="D550" i="17"/>
  <c r="C550" i="17"/>
  <c r="B550" i="17"/>
  <c r="G549" i="17"/>
  <c r="F549" i="17"/>
  <c r="E549" i="17"/>
  <c r="D549" i="17"/>
  <c r="C549" i="17"/>
  <c r="B549" i="17"/>
  <c r="G548" i="17"/>
  <c r="F548" i="17"/>
  <c r="E548" i="17"/>
  <c r="D548" i="17"/>
  <c r="C548" i="17"/>
  <c r="B548" i="17"/>
  <c r="G547" i="17"/>
  <c r="F547" i="17"/>
  <c r="E547" i="17"/>
  <c r="D547" i="17"/>
  <c r="C547" i="17"/>
  <c r="B547" i="17"/>
  <c r="G546" i="17"/>
  <c r="F546" i="17"/>
  <c r="E546" i="17"/>
  <c r="D546" i="17"/>
  <c r="C546" i="17"/>
  <c r="B546" i="17"/>
  <c r="G545" i="17"/>
  <c r="F545" i="17"/>
  <c r="E545" i="17"/>
  <c r="D545" i="17"/>
  <c r="C545" i="17"/>
  <c r="B545" i="17"/>
  <c r="G544" i="17"/>
  <c r="F544" i="17"/>
  <c r="E544" i="17"/>
  <c r="D544" i="17"/>
  <c r="C544" i="17"/>
  <c r="B544" i="17"/>
  <c r="G543" i="17"/>
  <c r="F543" i="17"/>
  <c r="E543" i="17"/>
  <c r="D543" i="17"/>
  <c r="C543" i="17"/>
  <c r="B543" i="17"/>
  <c r="G542" i="17"/>
  <c r="F542" i="17"/>
  <c r="E542" i="17"/>
  <c r="D542" i="17"/>
  <c r="C542" i="17"/>
  <c r="B542" i="17"/>
  <c r="G541" i="17"/>
  <c r="F541" i="17"/>
  <c r="E541" i="17"/>
  <c r="D541" i="17"/>
  <c r="C541" i="17"/>
  <c r="B541" i="17"/>
  <c r="G540" i="17"/>
  <c r="F540" i="17"/>
  <c r="E540" i="17"/>
  <c r="D540" i="17"/>
  <c r="C540" i="17"/>
  <c r="B540" i="17"/>
  <c r="G539" i="17"/>
  <c r="F539" i="17"/>
  <c r="E539" i="17"/>
  <c r="D539" i="17"/>
  <c r="C539" i="17"/>
  <c r="B539" i="17"/>
  <c r="G538" i="17"/>
  <c r="F538" i="17"/>
  <c r="E538" i="17"/>
  <c r="D538" i="17"/>
  <c r="C538" i="17"/>
  <c r="B538" i="17"/>
  <c r="G537" i="17"/>
  <c r="F537" i="17"/>
  <c r="E537" i="17"/>
  <c r="D537" i="17"/>
  <c r="C537" i="17"/>
  <c r="B537" i="17"/>
  <c r="G536" i="17"/>
  <c r="F536" i="17"/>
  <c r="E536" i="17"/>
  <c r="D536" i="17"/>
  <c r="C536" i="17"/>
  <c r="B536" i="17"/>
  <c r="G535" i="17"/>
  <c r="F535" i="17"/>
  <c r="E535" i="17"/>
  <c r="D535" i="17"/>
  <c r="C535" i="17"/>
  <c r="B535" i="17"/>
  <c r="G534" i="17"/>
  <c r="F534" i="17"/>
  <c r="E534" i="17"/>
  <c r="D534" i="17"/>
  <c r="C534" i="17"/>
  <c r="B534" i="17"/>
  <c r="G533" i="17"/>
  <c r="F533" i="17"/>
  <c r="E533" i="17"/>
  <c r="D533" i="17"/>
  <c r="C533" i="17"/>
  <c r="B533" i="17"/>
  <c r="G532" i="17"/>
  <c r="F532" i="17"/>
  <c r="E532" i="17"/>
  <c r="D532" i="17"/>
  <c r="C532" i="17"/>
  <c r="B532" i="17"/>
  <c r="G531" i="17"/>
  <c r="F531" i="17"/>
  <c r="E531" i="17"/>
  <c r="D531" i="17"/>
  <c r="C531" i="17"/>
  <c r="B531" i="17"/>
  <c r="G530" i="17"/>
  <c r="F530" i="17"/>
  <c r="E530" i="17"/>
  <c r="D530" i="17"/>
  <c r="C530" i="17"/>
  <c r="B530" i="17"/>
  <c r="G529" i="17"/>
  <c r="F529" i="17"/>
  <c r="E529" i="17"/>
  <c r="D529" i="17"/>
  <c r="C529" i="17"/>
  <c r="B529" i="17"/>
  <c r="G528" i="17"/>
  <c r="F528" i="17"/>
  <c r="E528" i="17"/>
  <c r="D528" i="17"/>
  <c r="C528" i="17"/>
  <c r="B528" i="17"/>
  <c r="G527" i="17"/>
  <c r="F527" i="17"/>
  <c r="E527" i="17"/>
  <c r="D527" i="17"/>
  <c r="C527" i="17"/>
  <c r="B527" i="17"/>
  <c r="G526" i="17"/>
  <c r="F526" i="17"/>
  <c r="E526" i="17"/>
  <c r="D526" i="17"/>
  <c r="C526" i="17"/>
  <c r="B526" i="17"/>
  <c r="G525" i="17"/>
  <c r="F525" i="17"/>
  <c r="E525" i="17"/>
  <c r="D525" i="17"/>
  <c r="C525" i="17"/>
  <c r="B525" i="17"/>
  <c r="G524" i="17"/>
  <c r="F524" i="17"/>
  <c r="E524" i="17"/>
  <c r="D524" i="17"/>
  <c r="C524" i="17"/>
  <c r="B524" i="17"/>
  <c r="G523" i="17"/>
  <c r="F523" i="17"/>
  <c r="E523" i="17"/>
  <c r="D523" i="17"/>
  <c r="C523" i="17"/>
  <c r="B523" i="17"/>
  <c r="G522" i="17"/>
  <c r="F522" i="17"/>
  <c r="E522" i="17"/>
  <c r="D522" i="17"/>
  <c r="C522" i="17"/>
  <c r="B522" i="17"/>
  <c r="G521" i="17"/>
  <c r="F521" i="17"/>
  <c r="E521" i="17"/>
  <c r="D521" i="17"/>
  <c r="C521" i="17"/>
  <c r="B521" i="17"/>
  <c r="G520" i="17"/>
  <c r="F520" i="17"/>
  <c r="E520" i="17"/>
  <c r="D520" i="17"/>
  <c r="C520" i="17"/>
  <c r="B520" i="17"/>
  <c r="G519" i="17"/>
  <c r="F519" i="17"/>
  <c r="E519" i="17"/>
  <c r="D519" i="17"/>
  <c r="C519" i="17"/>
  <c r="B519" i="17"/>
  <c r="G518" i="17"/>
  <c r="F518" i="17"/>
  <c r="E518" i="17"/>
  <c r="D518" i="17"/>
  <c r="C518" i="17"/>
  <c r="B518" i="17"/>
  <c r="G517" i="17"/>
  <c r="F517" i="17"/>
  <c r="E517" i="17"/>
  <c r="D517" i="17"/>
  <c r="C517" i="17"/>
  <c r="B517" i="17"/>
  <c r="G516" i="17"/>
  <c r="F516" i="17"/>
  <c r="E516" i="17"/>
  <c r="D516" i="17"/>
  <c r="C516" i="17"/>
  <c r="B516" i="17"/>
  <c r="G515" i="17"/>
  <c r="F515" i="17"/>
  <c r="E515" i="17"/>
  <c r="D515" i="17"/>
  <c r="C515" i="17"/>
  <c r="B515" i="17"/>
  <c r="G514" i="17"/>
  <c r="F514" i="17"/>
  <c r="E514" i="17"/>
  <c r="D514" i="17"/>
  <c r="C514" i="17"/>
  <c r="B514" i="17"/>
  <c r="G513" i="17"/>
  <c r="F513" i="17"/>
  <c r="E513" i="17"/>
  <c r="D513" i="17"/>
  <c r="C513" i="17"/>
  <c r="B513" i="17"/>
  <c r="G512" i="17"/>
  <c r="F512" i="17"/>
  <c r="E512" i="17"/>
  <c r="D512" i="17"/>
  <c r="C512" i="17"/>
  <c r="B512" i="17"/>
  <c r="G511" i="17"/>
  <c r="F511" i="17"/>
  <c r="E511" i="17"/>
  <c r="D511" i="17"/>
  <c r="C511" i="17"/>
  <c r="B511" i="17"/>
  <c r="G510" i="17"/>
  <c r="F510" i="17"/>
  <c r="E510" i="17"/>
  <c r="D510" i="17"/>
  <c r="C510" i="17"/>
  <c r="B510" i="17"/>
  <c r="G509" i="17"/>
  <c r="F509" i="17"/>
  <c r="E509" i="17"/>
  <c r="D509" i="17"/>
  <c r="C509" i="17"/>
  <c r="B509" i="17"/>
  <c r="G508" i="17"/>
  <c r="F508" i="17"/>
  <c r="E508" i="17"/>
  <c r="D508" i="17"/>
  <c r="C508" i="17"/>
  <c r="B508" i="17"/>
  <c r="G507" i="17"/>
  <c r="F507" i="17"/>
  <c r="E507" i="17"/>
  <c r="D507" i="17"/>
  <c r="C507" i="17"/>
  <c r="B507" i="17"/>
  <c r="G506" i="17"/>
  <c r="F506" i="17"/>
  <c r="E506" i="17"/>
  <c r="D506" i="17"/>
  <c r="C506" i="17"/>
  <c r="B506" i="17"/>
  <c r="G505" i="17"/>
  <c r="F505" i="17"/>
  <c r="E505" i="17"/>
  <c r="D505" i="17"/>
  <c r="C505" i="17"/>
  <c r="B505" i="17"/>
  <c r="G504" i="17"/>
  <c r="F504" i="17"/>
  <c r="E504" i="17"/>
  <c r="D504" i="17"/>
  <c r="C504" i="17"/>
  <c r="B504" i="17"/>
  <c r="G503" i="17"/>
  <c r="F503" i="17"/>
  <c r="E503" i="17"/>
  <c r="D503" i="17"/>
  <c r="C503" i="17"/>
  <c r="B503" i="17"/>
  <c r="G502" i="17"/>
  <c r="F502" i="17"/>
  <c r="E502" i="17"/>
  <c r="D502" i="17"/>
  <c r="C502" i="17"/>
  <c r="B502" i="17"/>
  <c r="G501" i="17"/>
  <c r="F501" i="17"/>
  <c r="E501" i="17"/>
  <c r="D501" i="17"/>
  <c r="C501" i="17"/>
  <c r="B501" i="17"/>
  <c r="G500" i="17"/>
  <c r="F500" i="17"/>
  <c r="E500" i="17"/>
  <c r="D500" i="17"/>
  <c r="C500" i="17"/>
  <c r="B500" i="17"/>
  <c r="G499" i="17"/>
  <c r="F499" i="17"/>
  <c r="E499" i="17"/>
  <c r="D499" i="17"/>
  <c r="C499" i="17"/>
  <c r="B499" i="17"/>
  <c r="G498" i="17"/>
  <c r="F498" i="17"/>
  <c r="E498" i="17"/>
  <c r="D498" i="17"/>
  <c r="C498" i="17"/>
  <c r="B498" i="17"/>
  <c r="G497" i="17"/>
  <c r="F497" i="17"/>
  <c r="E497" i="17"/>
  <c r="D497" i="17"/>
  <c r="C497" i="17"/>
  <c r="B497" i="17"/>
  <c r="G496" i="17"/>
  <c r="F496" i="17"/>
  <c r="E496" i="17"/>
  <c r="D496" i="17"/>
  <c r="C496" i="17"/>
  <c r="B496" i="17"/>
  <c r="G495" i="17"/>
  <c r="F495" i="17"/>
  <c r="E495" i="17"/>
  <c r="D495" i="17"/>
  <c r="C495" i="17"/>
  <c r="B495" i="17"/>
  <c r="G494" i="17"/>
  <c r="F494" i="17"/>
  <c r="E494" i="17"/>
  <c r="D494" i="17"/>
  <c r="C494" i="17"/>
  <c r="B494" i="17"/>
  <c r="G493" i="17"/>
  <c r="F493" i="17"/>
  <c r="E493" i="17"/>
  <c r="D493" i="17"/>
  <c r="C493" i="17"/>
  <c r="B493" i="17"/>
  <c r="G492" i="17"/>
  <c r="F492" i="17"/>
  <c r="E492" i="17"/>
  <c r="D492" i="17"/>
  <c r="C492" i="17"/>
  <c r="B492" i="17"/>
  <c r="G491" i="17"/>
  <c r="F491" i="17"/>
  <c r="E491" i="17"/>
  <c r="D491" i="17"/>
  <c r="C491" i="17"/>
  <c r="B491" i="17"/>
  <c r="G490" i="17"/>
  <c r="F490" i="17"/>
  <c r="E490" i="17"/>
  <c r="D490" i="17"/>
  <c r="C490" i="17"/>
  <c r="B490" i="17"/>
  <c r="G489" i="17"/>
  <c r="F489" i="17"/>
  <c r="E489" i="17"/>
  <c r="D489" i="17"/>
  <c r="C489" i="17"/>
  <c r="B489" i="17"/>
  <c r="G488" i="17"/>
  <c r="F488" i="17"/>
  <c r="E488" i="17"/>
  <c r="D488" i="17"/>
  <c r="C488" i="17"/>
  <c r="B488" i="17"/>
  <c r="G487" i="17"/>
  <c r="F487" i="17"/>
  <c r="E487" i="17"/>
  <c r="D487" i="17"/>
  <c r="C487" i="17"/>
  <c r="B487" i="17"/>
  <c r="G486" i="17"/>
  <c r="F486" i="17"/>
  <c r="E486" i="17"/>
  <c r="D486" i="17"/>
  <c r="C486" i="17"/>
  <c r="B486" i="17"/>
  <c r="G485" i="17"/>
  <c r="F485" i="17"/>
  <c r="E485" i="17"/>
  <c r="D485" i="17"/>
  <c r="C485" i="17"/>
  <c r="B485" i="17"/>
  <c r="G484" i="17"/>
  <c r="F484" i="17"/>
  <c r="E484" i="17"/>
  <c r="D484" i="17"/>
  <c r="C484" i="17"/>
  <c r="B484" i="17"/>
  <c r="G483" i="17"/>
  <c r="F483" i="17"/>
  <c r="E483" i="17"/>
  <c r="D483" i="17"/>
  <c r="C483" i="17"/>
  <c r="B483" i="17"/>
  <c r="G482" i="17"/>
  <c r="F482" i="17"/>
  <c r="E482" i="17"/>
  <c r="D482" i="17"/>
  <c r="C482" i="17"/>
  <c r="B482" i="17"/>
  <c r="G481" i="17"/>
  <c r="F481" i="17"/>
  <c r="E481" i="17"/>
  <c r="D481" i="17"/>
  <c r="C481" i="17"/>
  <c r="B481" i="17"/>
  <c r="G480" i="17"/>
  <c r="F480" i="17"/>
  <c r="E480" i="17"/>
  <c r="D480" i="17"/>
  <c r="C480" i="17"/>
  <c r="B480" i="17"/>
  <c r="G479" i="17"/>
  <c r="F479" i="17"/>
  <c r="E479" i="17"/>
  <c r="D479" i="17"/>
  <c r="C479" i="17"/>
  <c r="B479" i="17"/>
  <c r="G478" i="17"/>
  <c r="F478" i="17"/>
  <c r="E478" i="17"/>
  <c r="D478" i="17"/>
  <c r="C478" i="17"/>
  <c r="B478" i="17"/>
  <c r="G477" i="17"/>
  <c r="F477" i="17"/>
  <c r="E477" i="17"/>
  <c r="D477" i="17"/>
  <c r="C477" i="17"/>
  <c r="B477" i="17"/>
  <c r="G476" i="17"/>
  <c r="F476" i="17"/>
  <c r="E476" i="17"/>
  <c r="D476" i="17"/>
  <c r="C476" i="17"/>
  <c r="B476" i="17"/>
  <c r="G475" i="17"/>
  <c r="F475" i="17"/>
  <c r="E475" i="17"/>
  <c r="D475" i="17"/>
  <c r="C475" i="17"/>
  <c r="B475" i="17"/>
  <c r="G474" i="17"/>
  <c r="F474" i="17"/>
  <c r="E474" i="17"/>
  <c r="D474" i="17"/>
  <c r="C474" i="17"/>
  <c r="B474" i="17"/>
  <c r="G473" i="17"/>
  <c r="F473" i="17"/>
  <c r="E473" i="17"/>
  <c r="D473" i="17"/>
  <c r="C473" i="17"/>
  <c r="B473" i="17"/>
  <c r="G472" i="17"/>
  <c r="F472" i="17"/>
  <c r="E472" i="17"/>
  <c r="D472" i="17"/>
  <c r="C472" i="17"/>
  <c r="B472" i="17"/>
  <c r="G471" i="17"/>
  <c r="F471" i="17"/>
  <c r="E471" i="17"/>
  <c r="D471" i="17"/>
  <c r="C471" i="17"/>
  <c r="B471" i="17"/>
  <c r="G470" i="17"/>
  <c r="F470" i="17"/>
  <c r="E470" i="17"/>
  <c r="D470" i="17"/>
  <c r="C470" i="17"/>
  <c r="B470" i="17"/>
  <c r="G469" i="17"/>
  <c r="F469" i="17"/>
  <c r="E469" i="17"/>
  <c r="D469" i="17"/>
  <c r="C469" i="17"/>
  <c r="B469" i="17"/>
  <c r="G468" i="17"/>
  <c r="F468" i="17"/>
  <c r="E468" i="17"/>
  <c r="D468" i="17"/>
  <c r="C468" i="17"/>
  <c r="B468" i="17"/>
  <c r="G467" i="17"/>
  <c r="F467" i="17"/>
  <c r="E467" i="17"/>
  <c r="D467" i="17"/>
  <c r="C467" i="17"/>
  <c r="B467" i="17"/>
  <c r="G466" i="17"/>
  <c r="F466" i="17"/>
  <c r="E466" i="17"/>
  <c r="D466" i="17"/>
  <c r="C466" i="17"/>
  <c r="B466" i="17"/>
  <c r="G465" i="17"/>
  <c r="F465" i="17"/>
  <c r="E465" i="17"/>
  <c r="D465" i="17"/>
  <c r="C465" i="17"/>
  <c r="B465" i="17"/>
  <c r="G464" i="17"/>
  <c r="F464" i="17"/>
  <c r="E464" i="17"/>
  <c r="D464" i="17"/>
  <c r="C464" i="17"/>
  <c r="B464" i="17"/>
  <c r="G463" i="17"/>
  <c r="F463" i="17"/>
  <c r="E463" i="17"/>
  <c r="D463" i="17"/>
  <c r="C463" i="17"/>
  <c r="B463" i="17"/>
  <c r="G462" i="17"/>
  <c r="F462" i="17"/>
  <c r="E462" i="17"/>
  <c r="D462" i="17"/>
  <c r="C462" i="17"/>
  <c r="B462" i="17"/>
  <c r="G461" i="17"/>
  <c r="F461" i="17"/>
  <c r="E461" i="17"/>
  <c r="D461" i="17"/>
  <c r="C461" i="17"/>
  <c r="B461" i="17"/>
  <c r="G460" i="17"/>
  <c r="F460" i="17"/>
  <c r="E460" i="17"/>
  <c r="D460" i="17"/>
  <c r="C460" i="17"/>
  <c r="B460" i="17"/>
  <c r="G459" i="17"/>
  <c r="F459" i="17"/>
  <c r="E459" i="17"/>
  <c r="D459" i="17"/>
  <c r="C459" i="17"/>
  <c r="B459" i="17"/>
  <c r="G458" i="17"/>
  <c r="F458" i="17"/>
  <c r="E458" i="17"/>
  <c r="D458" i="17"/>
  <c r="C458" i="17"/>
  <c r="B458" i="17"/>
  <c r="G457" i="17"/>
  <c r="F457" i="17"/>
  <c r="E457" i="17"/>
  <c r="D457" i="17"/>
  <c r="C457" i="17"/>
  <c r="B457" i="17"/>
  <c r="G456" i="17"/>
  <c r="F456" i="17"/>
  <c r="E456" i="17"/>
  <c r="D456" i="17"/>
  <c r="C456" i="17"/>
  <c r="B456" i="17"/>
  <c r="G455" i="17"/>
  <c r="F455" i="17"/>
  <c r="E455" i="17"/>
  <c r="D455" i="17"/>
  <c r="C455" i="17"/>
  <c r="B455" i="17"/>
  <c r="G454" i="17"/>
  <c r="F454" i="17"/>
  <c r="E454" i="17"/>
  <c r="D454" i="17"/>
  <c r="C454" i="17"/>
  <c r="B454" i="17"/>
  <c r="G453" i="17"/>
  <c r="F453" i="17"/>
  <c r="E453" i="17"/>
  <c r="D453" i="17"/>
  <c r="C453" i="17"/>
  <c r="B453" i="17"/>
  <c r="G452" i="17"/>
  <c r="F452" i="17"/>
  <c r="E452" i="17"/>
  <c r="D452" i="17"/>
  <c r="C452" i="17"/>
  <c r="B452" i="17"/>
  <c r="G451" i="17"/>
  <c r="F451" i="17"/>
  <c r="E451" i="17"/>
  <c r="D451" i="17"/>
  <c r="C451" i="17"/>
  <c r="B451" i="17"/>
  <c r="G450" i="17"/>
  <c r="F450" i="17"/>
  <c r="E450" i="17"/>
  <c r="D450" i="17"/>
  <c r="C450" i="17"/>
  <c r="B450" i="17"/>
  <c r="G449" i="17"/>
  <c r="F449" i="17"/>
  <c r="E449" i="17"/>
  <c r="D449" i="17"/>
  <c r="C449" i="17"/>
  <c r="B449" i="17"/>
  <c r="G448" i="17"/>
  <c r="F448" i="17"/>
  <c r="E448" i="17"/>
  <c r="D448" i="17"/>
  <c r="C448" i="17"/>
  <c r="B448" i="17"/>
  <c r="G447" i="17"/>
  <c r="F447" i="17"/>
  <c r="E447" i="17"/>
  <c r="D447" i="17"/>
  <c r="C447" i="17"/>
  <c r="B447" i="17"/>
  <c r="G446" i="17"/>
  <c r="F446" i="17"/>
  <c r="E446" i="17"/>
  <c r="D446" i="17"/>
  <c r="C446" i="17"/>
  <c r="B446" i="17"/>
  <c r="G445" i="17"/>
  <c r="F445" i="17"/>
  <c r="E445" i="17"/>
  <c r="D445" i="17"/>
  <c r="C445" i="17"/>
  <c r="B445" i="17"/>
  <c r="G444" i="17"/>
  <c r="F444" i="17"/>
  <c r="E444" i="17"/>
  <c r="D444" i="17"/>
  <c r="C444" i="17"/>
  <c r="B444" i="17"/>
  <c r="G443" i="17"/>
  <c r="F443" i="17"/>
  <c r="E443" i="17"/>
  <c r="D443" i="17"/>
  <c r="C443" i="17"/>
  <c r="B443" i="17"/>
  <c r="G442" i="17"/>
  <c r="F442" i="17"/>
  <c r="E442" i="17"/>
  <c r="D442" i="17"/>
  <c r="C442" i="17"/>
  <c r="B442" i="17"/>
  <c r="G441" i="17"/>
  <c r="F441" i="17"/>
  <c r="E441" i="17"/>
  <c r="D441" i="17"/>
  <c r="C441" i="17"/>
  <c r="B441" i="17"/>
  <c r="G440" i="17"/>
  <c r="F440" i="17"/>
  <c r="E440" i="17"/>
  <c r="D440" i="17"/>
  <c r="C440" i="17"/>
  <c r="B440" i="17"/>
  <c r="G439" i="17"/>
  <c r="F439" i="17"/>
  <c r="E439" i="17"/>
  <c r="D439" i="17"/>
  <c r="C439" i="17"/>
  <c r="B439" i="17"/>
  <c r="G438" i="17"/>
  <c r="F438" i="17"/>
  <c r="E438" i="17"/>
  <c r="D438" i="17"/>
  <c r="C438" i="17"/>
  <c r="B438" i="17"/>
  <c r="G437" i="17"/>
  <c r="F437" i="17"/>
  <c r="E437" i="17"/>
  <c r="D437" i="17"/>
  <c r="C437" i="17"/>
  <c r="B437" i="17"/>
  <c r="G436" i="17"/>
  <c r="F436" i="17"/>
  <c r="E436" i="17"/>
  <c r="D436" i="17"/>
  <c r="C436" i="17"/>
  <c r="B436" i="17"/>
  <c r="G435" i="17"/>
  <c r="F435" i="17"/>
  <c r="E435" i="17"/>
  <c r="D435" i="17"/>
  <c r="C435" i="17"/>
  <c r="B435" i="17"/>
  <c r="G434" i="17"/>
  <c r="F434" i="17"/>
  <c r="E434" i="17"/>
  <c r="D434" i="17"/>
  <c r="C434" i="17"/>
  <c r="B434" i="17"/>
  <c r="G433" i="17"/>
  <c r="F433" i="17"/>
  <c r="E433" i="17"/>
  <c r="D433" i="17"/>
  <c r="C433" i="17"/>
  <c r="B433" i="17"/>
  <c r="G432" i="17"/>
  <c r="F432" i="17"/>
  <c r="E432" i="17"/>
  <c r="D432" i="17"/>
  <c r="C432" i="17"/>
  <c r="B432" i="17"/>
  <c r="G431" i="17"/>
  <c r="F431" i="17"/>
  <c r="E431" i="17"/>
  <c r="D431" i="17"/>
  <c r="C431" i="17"/>
  <c r="B431" i="17"/>
  <c r="G430" i="17"/>
  <c r="F430" i="17"/>
  <c r="E430" i="17"/>
  <c r="D430" i="17"/>
  <c r="C430" i="17"/>
  <c r="B430" i="17"/>
  <c r="G429" i="17"/>
  <c r="F429" i="17"/>
  <c r="E429" i="17"/>
  <c r="D429" i="17"/>
  <c r="C429" i="17"/>
  <c r="B429" i="17"/>
  <c r="G428" i="17"/>
  <c r="F428" i="17"/>
  <c r="E428" i="17"/>
  <c r="D428" i="17"/>
  <c r="C428" i="17"/>
  <c r="B428" i="17"/>
  <c r="G427" i="17"/>
  <c r="F427" i="17"/>
  <c r="E427" i="17"/>
  <c r="D427" i="17"/>
  <c r="C427" i="17"/>
  <c r="B427" i="17"/>
  <c r="G426" i="17"/>
  <c r="F426" i="17"/>
  <c r="E426" i="17"/>
  <c r="D426" i="17"/>
  <c r="C426" i="17"/>
  <c r="B426" i="17"/>
  <c r="G425" i="17"/>
  <c r="F425" i="17"/>
  <c r="E425" i="17"/>
  <c r="D425" i="17"/>
  <c r="C425" i="17"/>
  <c r="B425" i="17"/>
  <c r="G424" i="17"/>
  <c r="F424" i="17"/>
  <c r="E424" i="17"/>
  <c r="D424" i="17"/>
  <c r="C424" i="17"/>
  <c r="B424" i="17"/>
  <c r="G423" i="17"/>
  <c r="F423" i="17"/>
  <c r="E423" i="17"/>
  <c r="D423" i="17"/>
  <c r="C423" i="17"/>
  <c r="B423" i="17"/>
  <c r="G422" i="17"/>
  <c r="F422" i="17"/>
  <c r="E422" i="17"/>
  <c r="D422" i="17"/>
  <c r="C422" i="17"/>
  <c r="B422" i="17"/>
  <c r="G421" i="17"/>
  <c r="F421" i="17"/>
  <c r="E421" i="17"/>
  <c r="D421" i="17"/>
  <c r="C421" i="17"/>
  <c r="B421" i="17"/>
  <c r="G420" i="17"/>
  <c r="F420" i="17"/>
  <c r="E420" i="17"/>
  <c r="D420" i="17"/>
  <c r="C420" i="17"/>
  <c r="B420" i="17"/>
  <c r="G419" i="17"/>
  <c r="F419" i="17"/>
  <c r="E419" i="17"/>
  <c r="D419" i="17"/>
  <c r="C419" i="17"/>
  <c r="B419" i="17"/>
  <c r="G418" i="17"/>
  <c r="F418" i="17"/>
  <c r="E418" i="17"/>
  <c r="D418" i="17"/>
  <c r="C418" i="17"/>
  <c r="B418" i="17"/>
  <c r="G417" i="17"/>
  <c r="F417" i="17"/>
  <c r="E417" i="17"/>
  <c r="D417" i="17"/>
  <c r="C417" i="17"/>
  <c r="B417" i="17"/>
  <c r="G416" i="17"/>
  <c r="F416" i="17"/>
  <c r="E416" i="17"/>
  <c r="D416" i="17"/>
  <c r="C416" i="17"/>
  <c r="B416" i="17"/>
  <c r="G415" i="17"/>
  <c r="F415" i="17"/>
  <c r="E415" i="17"/>
  <c r="D415" i="17"/>
  <c r="C415" i="17"/>
  <c r="B415" i="17"/>
  <c r="G414" i="17"/>
  <c r="F414" i="17"/>
  <c r="E414" i="17"/>
  <c r="D414" i="17"/>
  <c r="C414" i="17"/>
  <c r="B414" i="17"/>
  <c r="G413" i="17"/>
  <c r="F413" i="17"/>
  <c r="E413" i="17"/>
  <c r="D413" i="17"/>
  <c r="C413" i="17"/>
  <c r="B413" i="17"/>
  <c r="G412" i="17"/>
  <c r="F412" i="17"/>
  <c r="E412" i="17"/>
  <c r="D412" i="17"/>
  <c r="C412" i="17"/>
  <c r="B412" i="17"/>
  <c r="G411" i="17"/>
  <c r="F411" i="17"/>
  <c r="E411" i="17"/>
  <c r="D411" i="17"/>
  <c r="C411" i="17"/>
  <c r="B411" i="17"/>
  <c r="G410" i="17"/>
  <c r="F410" i="17"/>
  <c r="E410" i="17"/>
  <c r="D410" i="17"/>
  <c r="C410" i="17"/>
  <c r="B410" i="17"/>
  <c r="G409" i="17"/>
  <c r="F409" i="17"/>
  <c r="E409" i="17"/>
  <c r="D409" i="17"/>
  <c r="C409" i="17"/>
  <c r="B409" i="17"/>
  <c r="G408" i="17"/>
  <c r="F408" i="17"/>
  <c r="E408" i="17"/>
  <c r="D408" i="17"/>
  <c r="C408" i="17"/>
  <c r="B408" i="17"/>
  <c r="G407" i="17"/>
  <c r="F407" i="17"/>
  <c r="E407" i="17"/>
  <c r="D407" i="17"/>
  <c r="C407" i="17"/>
  <c r="B407" i="17"/>
  <c r="G406" i="17"/>
  <c r="F406" i="17"/>
  <c r="E406" i="17"/>
  <c r="D406" i="17"/>
  <c r="C406" i="17"/>
  <c r="B406" i="17"/>
  <c r="G405" i="17"/>
  <c r="F405" i="17"/>
  <c r="E405" i="17"/>
  <c r="D405" i="17"/>
  <c r="C405" i="17"/>
  <c r="B405" i="17"/>
  <c r="G404" i="17"/>
  <c r="F404" i="17"/>
  <c r="E404" i="17"/>
  <c r="D404" i="17"/>
  <c r="C404" i="17"/>
  <c r="B404" i="17"/>
  <c r="G403" i="17"/>
  <c r="F403" i="17"/>
  <c r="E403" i="17"/>
  <c r="D403" i="17"/>
  <c r="C403" i="17"/>
  <c r="B403" i="17"/>
  <c r="G402" i="17"/>
  <c r="F402" i="17"/>
  <c r="E402" i="17"/>
  <c r="D402" i="17"/>
  <c r="C402" i="17"/>
  <c r="B402" i="17"/>
  <c r="G401" i="17"/>
  <c r="F401" i="17"/>
  <c r="E401" i="17"/>
  <c r="D401" i="17"/>
  <c r="C401" i="17"/>
  <c r="B401" i="17"/>
  <c r="G400" i="17"/>
  <c r="F400" i="17"/>
  <c r="E400" i="17"/>
  <c r="D400" i="17"/>
  <c r="C400" i="17"/>
  <c r="B400" i="17"/>
  <c r="G399" i="17"/>
  <c r="F399" i="17"/>
  <c r="E399" i="17"/>
  <c r="D399" i="17"/>
  <c r="C399" i="17"/>
  <c r="B399" i="17"/>
  <c r="G398" i="17"/>
  <c r="F398" i="17"/>
  <c r="E398" i="17"/>
  <c r="D398" i="17"/>
  <c r="C398" i="17"/>
  <c r="B398" i="17"/>
  <c r="G397" i="17"/>
  <c r="F397" i="17"/>
  <c r="E397" i="17"/>
  <c r="D397" i="17"/>
  <c r="C397" i="17"/>
  <c r="B397" i="17"/>
  <c r="G396" i="17"/>
  <c r="F396" i="17"/>
  <c r="E396" i="17"/>
  <c r="D396" i="17"/>
  <c r="C396" i="17"/>
  <c r="B396" i="17"/>
  <c r="G395" i="17"/>
  <c r="F395" i="17"/>
  <c r="E395" i="17"/>
  <c r="D395" i="17"/>
  <c r="C395" i="17"/>
  <c r="B395" i="17"/>
  <c r="G394" i="17"/>
  <c r="F394" i="17"/>
  <c r="E394" i="17"/>
  <c r="D394" i="17"/>
  <c r="C394" i="17"/>
  <c r="B394" i="17"/>
  <c r="G393" i="17"/>
  <c r="F393" i="17"/>
  <c r="E393" i="17"/>
  <c r="D393" i="17"/>
  <c r="C393" i="17"/>
  <c r="B393" i="17"/>
  <c r="G392" i="17"/>
  <c r="F392" i="17"/>
  <c r="E392" i="17"/>
  <c r="D392" i="17"/>
  <c r="C392" i="17"/>
  <c r="B392" i="17"/>
  <c r="G391" i="17"/>
  <c r="F391" i="17"/>
  <c r="E391" i="17"/>
  <c r="D391" i="17"/>
  <c r="C391" i="17"/>
  <c r="B391" i="17"/>
  <c r="G390" i="17"/>
  <c r="F390" i="17"/>
  <c r="E390" i="17"/>
  <c r="D390" i="17"/>
  <c r="C390" i="17"/>
  <c r="B390" i="17"/>
  <c r="G389" i="17"/>
  <c r="F389" i="17"/>
  <c r="E389" i="17"/>
  <c r="D389" i="17"/>
  <c r="C389" i="17"/>
  <c r="B389" i="17"/>
  <c r="G388" i="17"/>
  <c r="F388" i="17"/>
  <c r="E388" i="17"/>
  <c r="D388" i="17"/>
  <c r="C388" i="17"/>
  <c r="B388" i="17"/>
  <c r="G387" i="17"/>
  <c r="F387" i="17"/>
  <c r="E387" i="17"/>
  <c r="D387" i="17"/>
  <c r="C387" i="17"/>
  <c r="B387" i="17"/>
  <c r="G386" i="17"/>
  <c r="F386" i="17"/>
  <c r="E386" i="17"/>
  <c r="D386" i="17"/>
  <c r="C386" i="17"/>
  <c r="B386" i="17"/>
  <c r="G385" i="17"/>
  <c r="F385" i="17"/>
  <c r="E385" i="17"/>
  <c r="D385" i="17"/>
  <c r="C385" i="17"/>
  <c r="B385" i="17"/>
  <c r="G384" i="17"/>
  <c r="F384" i="17"/>
  <c r="E384" i="17"/>
  <c r="D384" i="17"/>
  <c r="C384" i="17"/>
  <c r="B384" i="17"/>
  <c r="G383" i="17"/>
  <c r="F383" i="17"/>
  <c r="E383" i="17"/>
  <c r="D383" i="17"/>
  <c r="C383" i="17"/>
  <c r="B383" i="17"/>
  <c r="G382" i="17"/>
  <c r="F382" i="17"/>
  <c r="E382" i="17"/>
  <c r="D382" i="17"/>
  <c r="C382" i="17"/>
  <c r="B382" i="17"/>
  <c r="G381" i="17"/>
  <c r="F381" i="17"/>
  <c r="E381" i="17"/>
  <c r="D381" i="17"/>
  <c r="C381" i="17"/>
  <c r="B381" i="17"/>
  <c r="G380" i="17"/>
  <c r="F380" i="17"/>
  <c r="E380" i="17"/>
  <c r="D380" i="17"/>
  <c r="C380" i="17"/>
  <c r="B380" i="17"/>
  <c r="G379" i="17"/>
  <c r="F379" i="17"/>
  <c r="E379" i="17"/>
  <c r="D379" i="17"/>
  <c r="C379" i="17"/>
  <c r="B379" i="17"/>
  <c r="G378" i="17"/>
  <c r="F378" i="17"/>
  <c r="E378" i="17"/>
  <c r="D378" i="17"/>
  <c r="C378" i="17"/>
  <c r="B378" i="17"/>
  <c r="G377" i="17"/>
  <c r="F377" i="17"/>
  <c r="E377" i="17"/>
  <c r="D377" i="17"/>
  <c r="C377" i="17"/>
  <c r="B377" i="17"/>
  <c r="G376" i="17"/>
  <c r="F376" i="17"/>
  <c r="E376" i="17"/>
  <c r="D376" i="17"/>
  <c r="C376" i="17"/>
  <c r="B376" i="17"/>
  <c r="G375" i="17"/>
  <c r="F375" i="17"/>
  <c r="E375" i="17"/>
  <c r="D375" i="17"/>
  <c r="C375" i="17"/>
  <c r="B375" i="17"/>
  <c r="G374" i="17"/>
  <c r="F374" i="17"/>
  <c r="E374" i="17"/>
  <c r="D374" i="17"/>
  <c r="C374" i="17"/>
  <c r="B374" i="17"/>
  <c r="G373" i="17"/>
  <c r="F373" i="17"/>
  <c r="E373" i="17"/>
  <c r="D373" i="17"/>
  <c r="C373" i="17"/>
  <c r="B373" i="17"/>
  <c r="G372" i="17"/>
  <c r="F372" i="17"/>
  <c r="E372" i="17"/>
  <c r="D372" i="17"/>
  <c r="C372" i="17"/>
  <c r="B372" i="17"/>
  <c r="G371" i="17"/>
  <c r="F371" i="17"/>
  <c r="E371" i="17"/>
  <c r="D371" i="17"/>
  <c r="C371" i="17"/>
  <c r="B371" i="17"/>
  <c r="G370" i="17"/>
  <c r="F370" i="17"/>
  <c r="E370" i="17"/>
  <c r="D370" i="17"/>
  <c r="C370" i="17"/>
  <c r="B370" i="17"/>
  <c r="G369" i="17"/>
  <c r="F369" i="17"/>
  <c r="E369" i="17"/>
  <c r="D369" i="17"/>
  <c r="C369" i="17"/>
  <c r="B369" i="17"/>
  <c r="G368" i="17"/>
  <c r="F368" i="17"/>
  <c r="E368" i="17"/>
  <c r="D368" i="17"/>
  <c r="C368" i="17"/>
  <c r="B368" i="17"/>
  <c r="G367" i="17"/>
  <c r="F367" i="17"/>
  <c r="E367" i="17"/>
  <c r="D367" i="17"/>
  <c r="C367" i="17"/>
  <c r="B367" i="17"/>
  <c r="G366" i="17"/>
  <c r="F366" i="17"/>
  <c r="E366" i="17"/>
  <c r="D366" i="17"/>
  <c r="C366" i="17"/>
  <c r="B366" i="17"/>
  <c r="G365" i="17"/>
  <c r="F365" i="17"/>
  <c r="E365" i="17"/>
  <c r="D365" i="17"/>
  <c r="C365" i="17"/>
  <c r="B365" i="17"/>
  <c r="G364" i="17"/>
  <c r="F364" i="17"/>
  <c r="E364" i="17"/>
  <c r="D364" i="17"/>
  <c r="C364" i="17"/>
  <c r="B364" i="17"/>
  <c r="G363" i="17"/>
  <c r="F363" i="17"/>
  <c r="E363" i="17"/>
  <c r="D363" i="17"/>
  <c r="C363" i="17"/>
  <c r="B363" i="17"/>
  <c r="G362" i="17"/>
  <c r="F362" i="17"/>
  <c r="E362" i="17"/>
  <c r="D362" i="17"/>
  <c r="C362" i="17"/>
  <c r="B362" i="17"/>
  <c r="G361" i="17"/>
  <c r="F361" i="17"/>
  <c r="E361" i="17"/>
  <c r="D361" i="17"/>
  <c r="C361" i="17"/>
  <c r="B361" i="17"/>
  <c r="G360" i="17"/>
  <c r="F360" i="17"/>
  <c r="E360" i="17"/>
  <c r="D360" i="17"/>
  <c r="C360" i="17"/>
  <c r="B360" i="17"/>
  <c r="G359" i="17"/>
  <c r="F359" i="17"/>
  <c r="E359" i="17"/>
  <c r="D359" i="17"/>
  <c r="C359" i="17"/>
  <c r="B359" i="17"/>
  <c r="G358" i="17"/>
  <c r="F358" i="17"/>
  <c r="E358" i="17"/>
  <c r="D358" i="17"/>
  <c r="C358" i="17"/>
  <c r="B358" i="17"/>
  <c r="G357" i="17"/>
  <c r="F357" i="17"/>
  <c r="E357" i="17"/>
  <c r="D357" i="17"/>
  <c r="C357" i="17"/>
  <c r="B357" i="17"/>
  <c r="G356" i="17"/>
  <c r="F356" i="17"/>
  <c r="E356" i="17"/>
  <c r="D356" i="17"/>
  <c r="C356" i="17"/>
  <c r="B356" i="17"/>
  <c r="G355" i="17"/>
  <c r="F355" i="17"/>
  <c r="E355" i="17"/>
  <c r="D355" i="17"/>
  <c r="C355" i="17"/>
  <c r="B355" i="17"/>
  <c r="G354" i="17"/>
  <c r="F354" i="17"/>
  <c r="E354" i="17"/>
  <c r="D354" i="17"/>
  <c r="C354" i="17"/>
  <c r="B354" i="17"/>
  <c r="G353" i="17"/>
  <c r="F353" i="17"/>
  <c r="E353" i="17"/>
  <c r="D353" i="17"/>
  <c r="C353" i="17"/>
  <c r="B353" i="17"/>
  <c r="G352" i="17"/>
  <c r="F352" i="17"/>
  <c r="E352" i="17"/>
  <c r="D352" i="17"/>
  <c r="C352" i="17"/>
  <c r="B352" i="17"/>
  <c r="G351" i="17"/>
  <c r="F351" i="17"/>
  <c r="E351" i="17"/>
  <c r="D351" i="17"/>
  <c r="C351" i="17"/>
  <c r="B351" i="17"/>
  <c r="G350" i="17"/>
  <c r="F350" i="17"/>
  <c r="E350" i="17"/>
  <c r="D350" i="17"/>
  <c r="C350" i="17"/>
  <c r="B350" i="17"/>
  <c r="G349" i="17"/>
  <c r="F349" i="17"/>
  <c r="E349" i="17"/>
  <c r="D349" i="17"/>
  <c r="C349" i="17"/>
  <c r="B349" i="17"/>
  <c r="G348" i="17"/>
  <c r="F348" i="17"/>
  <c r="E348" i="17"/>
  <c r="D348" i="17"/>
  <c r="C348" i="17"/>
  <c r="B348" i="17"/>
  <c r="G347" i="17"/>
  <c r="F347" i="17"/>
  <c r="E347" i="17"/>
  <c r="D347" i="17"/>
  <c r="C347" i="17"/>
  <c r="B347" i="17"/>
  <c r="G346" i="17"/>
  <c r="F346" i="17"/>
  <c r="E346" i="17"/>
  <c r="D346" i="17"/>
  <c r="C346" i="17"/>
  <c r="B346" i="17"/>
  <c r="G345" i="17"/>
  <c r="F345" i="17"/>
  <c r="E345" i="17"/>
  <c r="D345" i="17"/>
  <c r="C345" i="17"/>
  <c r="B345" i="17"/>
  <c r="G344" i="17"/>
  <c r="F344" i="17"/>
  <c r="E344" i="17"/>
  <c r="D344" i="17"/>
  <c r="C344" i="17"/>
  <c r="B344" i="17"/>
  <c r="G343" i="17"/>
  <c r="F343" i="17"/>
  <c r="E343" i="17"/>
  <c r="D343" i="17"/>
  <c r="C343" i="17"/>
  <c r="B343" i="17"/>
  <c r="G342" i="17"/>
  <c r="F342" i="17"/>
  <c r="E342" i="17"/>
  <c r="D342" i="17"/>
  <c r="C342" i="17"/>
  <c r="B342" i="17"/>
  <c r="G341" i="17"/>
  <c r="F341" i="17"/>
  <c r="E341" i="17"/>
  <c r="D341" i="17"/>
  <c r="C341" i="17"/>
  <c r="B341" i="17"/>
  <c r="G340" i="17"/>
  <c r="F340" i="17"/>
  <c r="E340" i="17"/>
  <c r="D340" i="17"/>
  <c r="C340" i="17"/>
  <c r="B340" i="17"/>
  <c r="G339" i="17"/>
  <c r="F339" i="17"/>
  <c r="E339" i="17"/>
  <c r="D339" i="17"/>
  <c r="C339" i="17"/>
  <c r="B339" i="17"/>
  <c r="G338" i="17"/>
  <c r="F338" i="17"/>
  <c r="E338" i="17"/>
  <c r="D338" i="17"/>
  <c r="C338" i="17"/>
  <c r="B338" i="17"/>
  <c r="G337" i="17"/>
  <c r="F337" i="17"/>
  <c r="E337" i="17"/>
  <c r="D337" i="17"/>
  <c r="C337" i="17"/>
  <c r="B337" i="17"/>
  <c r="G336" i="17"/>
  <c r="F336" i="17"/>
  <c r="E336" i="17"/>
  <c r="D336" i="17"/>
  <c r="C336" i="17"/>
  <c r="B336" i="17"/>
  <c r="G335" i="17"/>
  <c r="F335" i="17"/>
  <c r="E335" i="17"/>
  <c r="D335" i="17"/>
  <c r="C335" i="17"/>
  <c r="B335" i="17"/>
  <c r="G334" i="17"/>
  <c r="F334" i="17"/>
  <c r="E334" i="17"/>
  <c r="D334" i="17"/>
  <c r="C334" i="17"/>
  <c r="B334" i="17"/>
  <c r="G333" i="17"/>
  <c r="F333" i="17"/>
  <c r="E333" i="17"/>
  <c r="D333" i="17"/>
  <c r="C333" i="17"/>
  <c r="B333" i="17"/>
  <c r="G332" i="17"/>
  <c r="F332" i="17"/>
  <c r="E332" i="17"/>
  <c r="D332" i="17"/>
  <c r="C332" i="17"/>
  <c r="B332" i="17"/>
  <c r="G331" i="17"/>
  <c r="F331" i="17"/>
  <c r="E331" i="17"/>
  <c r="D331" i="17"/>
  <c r="C331" i="17"/>
  <c r="B331" i="17"/>
  <c r="G330" i="17"/>
  <c r="F330" i="17"/>
  <c r="E330" i="17"/>
  <c r="D330" i="17"/>
  <c r="C330" i="17"/>
  <c r="B330" i="17"/>
  <c r="G329" i="17"/>
  <c r="F329" i="17"/>
  <c r="E329" i="17"/>
  <c r="D329" i="17"/>
  <c r="C329" i="17"/>
  <c r="B329" i="17"/>
  <c r="G328" i="17"/>
  <c r="F328" i="17"/>
  <c r="E328" i="17"/>
  <c r="D328" i="17"/>
  <c r="C328" i="17"/>
  <c r="B328" i="17"/>
  <c r="G327" i="17"/>
  <c r="F327" i="17"/>
  <c r="E327" i="17"/>
  <c r="D327" i="17"/>
  <c r="C327" i="17"/>
  <c r="B327" i="17"/>
  <c r="G326" i="17"/>
  <c r="F326" i="17"/>
  <c r="E326" i="17"/>
  <c r="D326" i="17"/>
  <c r="C326" i="17"/>
  <c r="B326" i="17"/>
  <c r="G325" i="17"/>
  <c r="F325" i="17"/>
  <c r="E325" i="17"/>
  <c r="D325" i="17"/>
  <c r="C325" i="17"/>
  <c r="B325" i="17"/>
  <c r="G324" i="17"/>
  <c r="F324" i="17"/>
  <c r="E324" i="17"/>
  <c r="D324" i="17"/>
  <c r="C324" i="17"/>
  <c r="B324" i="17"/>
  <c r="G323" i="17"/>
  <c r="F323" i="17"/>
  <c r="E323" i="17"/>
  <c r="D323" i="17"/>
  <c r="C323" i="17"/>
  <c r="B323" i="17"/>
  <c r="G322" i="17"/>
  <c r="F322" i="17"/>
  <c r="E322" i="17"/>
  <c r="D322" i="17"/>
  <c r="C322" i="17"/>
  <c r="B322" i="17"/>
  <c r="G321" i="17"/>
  <c r="F321" i="17"/>
  <c r="E321" i="17"/>
  <c r="D321" i="17"/>
  <c r="C321" i="17"/>
  <c r="B321" i="17"/>
  <c r="G320" i="17"/>
  <c r="F320" i="17"/>
  <c r="E320" i="17"/>
  <c r="D320" i="17"/>
  <c r="C320" i="17"/>
  <c r="B320" i="17"/>
  <c r="G319" i="17"/>
  <c r="F319" i="17"/>
  <c r="E319" i="17"/>
  <c r="D319" i="17"/>
  <c r="C319" i="17"/>
  <c r="B319" i="17"/>
  <c r="G318" i="17"/>
  <c r="F318" i="17"/>
  <c r="E318" i="17"/>
  <c r="D318" i="17"/>
  <c r="C318" i="17"/>
  <c r="B318" i="17"/>
  <c r="G317" i="17"/>
  <c r="F317" i="17"/>
  <c r="E317" i="17"/>
  <c r="D317" i="17"/>
  <c r="C317" i="17"/>
  <c r="B317" i="17"/>
  <c r="G316" i="17"/>
  <c r="F316" i="17"/>
  <c r="E316" i="17"/>
  <c r="D316" i="17"/>
  <c r="C316" i="17"/>
  <c r="B316" i="17"/>
  <c r="G315" i="17"/>
  <c r="F315" i="17"/>
  <c r="E315" i="17"/>
  <c r="D315" i="17"/>
  <c r="C315" i="17"/>
  <c r="B315" i="17"/>
  <c r="G314" i="17"/>
  <c r="F314" i="17"/>
  <c r="E314" i="17"/>
  <c r="D314" i="17"/>
  <c r="C314" i="17"/>
  <c r="B314" i="17"/>
  <c r="G313" i="17"/>
  <c r="F313" i="17"/>
  <c r="E313" i="17"/>
  <c r="D313" i="17"/>
  <c r="C313" i="17"/>
  <c r="B313" i="17"/>
  <c r="G312" i="17"/>
  <c r="F312" i="17"/>
  <c r="E312" i="17"/>
  <c r="D312" i="17"/>
  <c r="C312" i="17"/>
  <c r="B312" i="17"/>
  <c r="G311" i="17"/>
  <c r="F311" i="17"/>
  <c r="E311" i="17"/>
  <c r="D311" i="17"/>
  <c r="C311" i="17"/>
  <c r="B311" i="17"/>
  <c r="G310" i="17"/>
  <c r="F310" i="17"/>
  <c r="E310" i="17"/>
  <c r="D310" i="17"/>
  <c r="C310" i="17"/>
  <c r="B310" i="17"/>
  <c r="G309" i="17"/>
  <c r="F309" i="17"/>
  <c r="E309" i="17"/>
  <c r="D309" i="17"/>
  <c r="C309" i="17"/>
  <c r="B309" i="17"/>
  <c r="G308" i="17"/>
  <c r="F308" i="17"/>
  <c r="E308" i="17"/>
  <c r="D308" i="17"/>
  <c r="C308" i="17"/>
  <c r="B308" i="17"/>
  <c r="G307" i="17"/>
  <c r="F307" i="17"/>
  <c r="E307" i="17"/>
  <c r="D307" i="17"/>
  <c r="C307" i="17"/>
  <c r="B307" i="17"/>
  <c r="G306" i="17"/>
  <c r="F306" i="17"/>
  <c r="E306" i="17"/>
  <c r="D306" i="17"/>
  <c r="C306" i="17"/>
  <c r="B306" i="17"/>
  <c r="G305" i="17"/>
  <c r="F305" i="17"/>
  <c r="E305" i="17"/>
  <c r="D305" i="17"/>
  <c r="C305" i="17"/>
  <c r="B305" i="17"/>
  <c r="G304" i="17"/>
  <c r="F304" i="17"/>
  <c r="E304" i="17"/>
  <c r="D304" i="17"/>
  <c r="C304" i="17"/>
  <c r="B304" i="17"/>
  <c r="G303" i="17"/>
  <c r="F303" i="17"/>
  <c r="E303" i="17"/>
  <c r="D303" i="17"/>
  <c r="C303" i="17"/>
  <c r="B303" i="17"/>
  <c r="G302" i="17"/>
  <c r="F302" i="17"/>
  <c r="E302" i="17"/>
  <c r="D302" i="17"/>
  <c r="C302" i="17"/>
  <c r="B302" i="17"/>
  <c r="G301" i="17"/>
  <c r="F301" i="17"/>
  <c r="E301" i="17"/>
  <c r="D301" i="17"/>
  <c r="C301" i="17"/>
  <c r="B301" i="17"/>
  <c r="G300" i="17"/>
  <c r="F300" i="17"/>
  <c r="E300" i="17"/>
  <c r="D300" i="17"/>
  <c r="C300" i="17"/>
  <c r="B300" i="17"/>
  <c r="G299" i="17"/>
  <c r="F299" i="17"/>
  <c r="E299" i="17"/>
  <c r="D299" i="17"/>
  <c r="C299" i="17"/>
  <c r="B299" i="17"/>
  <c r="G298" i="17"/>
  <c r="F298" i="17"/>
  <c r="E298" i="17"/>
  <c r="D298" i="17"/>
  <c r="C298" i="17"/>
  <c r="B298" i="17"/>
  <c r="G297" i="17"/>
  <c r="F297" i="17"/>
  <c r="E297" i="17"/>
  <c r="D297" i="17"/>
  <c r="C297" i="17"/>
  <c r="B297" i="17"/>
  <c r="G296" i="17"/>
  <c r="F296" i="17"/>
  <c r="E296" i="17"/>
  <c r="D296" i="17"/>
  <c r="C296" i="17"/>
  <c r="B296" i="17"/>
  <c r="G295" i="17"/>
  <c r="F295" i="17"/>
  <c r="E295" i="17"/>
  <c r="D295" i="17"/>
  <c r="C295" i="17"/>
  <c r="B295" i="17"/>
  <c r="G294" i="17"/>
  <c r="F294" i="17"/>
  <c r="E294" i="17"/>
  <c r="D294" i="17"/>
  <c r="C294" i="17"/>
  <c r="B294" i="17"/>
  <c r="G293" i="17"/>
  <c r="F293" i="17"/>
  <c r="E293" i="17"/>
  <c r="D293" i="17"/>
  <c r="C293" i="17"/>
  <c r="B293" i="17"/>
  <c r="G292" i="17"/>
  <c r="F292" i="17"/>
  <c r="E292" i="17"/>
  <c r="D292" i="17"/>
  <c r="C292" i="17"/>
  <c r="B292" i="17"/>
  <c r="G291" i="17"/>
  <c r="F291" i="17"/>
  <c r="E291" i="17"/>
  <c r="D291" i="17"/>
  <c r="C291" i="17"/>
  <c r="B291" i="17"/>
  <c r="G290" i="17"/>
  <c r="F290" i="17"/>
  <c r="E290" i="17"/>
  <c r="D290" i="17"/>
  <c r="C290" i="17"/>
  <c r="B290" i="17"/>
  <c r="G289" i="17"/>
  <c r="F289" i="17"/>
  <c r="E289" i="17"/>
  <c r="D289" i="17"/>
  <c r="C289" i="17"/>
  <c r="B289" i="17"/>
  <c r="G288" i="17"/>
  <c r="F288" i="17"/>
  <c r="E288" i="17"/>
  <c r="D288" i="17"/>
  <c r="C288" i="17"/>
  <c r="B288" i="17"/>
  <c r="G287" i="17"/>
  <c r="F287" i="17"/>
  <c r="E287" i="17"/>
  <c r="D287" i="17"/>
  <c r="C287" i="17"/>
  <c r="B287" i="17"/>
  <c r="G286" i="17"/>
  <c r="F286" i="17"/>
  <c r="E286" i="17"/>
  <c r="D286" i="17"/>
  <c r="C286" i="17"/>
  <c r="B286" i="17"/>
  <c r="G285" i="17"/>
  <c r="F285" i="17"/>
  <c r="E285" i="17"/>
  <c r="D285" i="17"/>
  <c r="C285" i="17"/>
  <c r="B285" i="17"/>
  <c r="G284" i="17"/>
  <c r="F284" i="17"/>
  <c r="E284" i="17"/>
  <c r="D284" i="17"/>
  <c r="C284" i="17"/>
  <c r="B284" i="17"/>
  <c r="G283" i="17"/>
  <c r="F283" i="17"/>
  <c r="E283" i="17"/>
  <c r="D283" i="17"/>
  <c r="C283" i="17"/>
  <c r="B283" i="17"/>
  <c r="G282" i="17"/>
  <c r="F282" i="17"/>
  <c r="E282" i="17"/>
  <c r="D282" i="17"/>
  <c r="C282" i="17"/>
  <c r="B282" i="17"/>
  <c r="G281" i="17"/>
  <c r="F281" i="17"/>
  <c r="E281" i="17"/>
  <c r="D281" i="17"/>
  <c r="C281" i="17"/>
  <c r="B281" i="17"/>
  <c r="G280" i="17"/>
  <c r="F280" i="17"/>
  <c r="E280" i="17"/>
  <c r="D280" i="17"/>
  <c r="C280" i="17"/>
  <c r="B280" i="17"/>
  <c r="G279" i="17"/>
  <c r="F279" i="17"/>
  <c r="E279" i="17"/>
  <c r="D279" i="17"/>
  <c r="C279" i="17"/>
  <c r="B279" i="17"/>
  <c r="G278" i="17"/>
  <c r="F278" i="17"/>
  <c r="E278" i="17"/>
  <c r="D278" i="17"/>
  <c r="C278" i="17"/>
  <c r="B278" i="17"/>
  <c r="G277" i="17"/>
  <c r="F277" i="17"/>
  <c r="E277" i="17"/>
  <c r="D277" i="17"/>
  <c r="C277" i="17"/>
  <c r="B277" i="17"/>
  <c r="G276" i="17"/>
  <c r="F276" i="17"/>
  <c r="E276" i="17"/>
  <c r="D276" i="17"/>
  <c r="C276" i="17"/>
  <c r="B276" i="17"/>
  <c r="G275" i="17"/>
  <c r="F275" i="17"/>
  <c r="E275" i="17"/>
  <c r="D275" i="17"/>
  <c r="C275" i="17"/>
  <c r="B275" i="17"/>
  <c r="G274" i="17"/>
  <c r="F274" i="17"/>
  <c r="E274" i="17"/>
  <c r="D274" i="17"/>
  <c r="C274" i="17"/>
  <c r="B274" i="17"/>
  <c r="G273" i="17"/>
  <c r="F273" i="17"/>
  <c r="E273" i="17"/>
  <c r="D273" i="17"/>
  <c r="C273" i="17"/>
  <c r="B273" i="17"/>
  <c r="G272" i="17"/>
  <c r="F272" i="17"/>
  <c r="E272" i="17"/>
  <c r="D272" i="17"/>
  <c r="C272" i="17"/>
  <c r="B272" i="17"/>
  <c r="G271" i="17"/>
  <c r="F271" i="17"/>
  <c r="E271" i="17"/>
  <c r="D271" i="17"/>
  <c r="C271" i="17"/>
  <c r="B271" i="17"/>
  <c r="G270" i="17"/>
  <c r="F270" i="17"/>
  <c r="E270" i="17"/>
  <c r="D270" i="17"/>
  <c r="C270" i="17"/>
  <c r="B270" i="17"/>
  <c r="G269" i="17"/>
  <c r="F269" i="17"/>
  <c r="E269" i="17"/>
  <c r="D269" i="17"/>
  <c r="C269" i="17"/>
  <c r="B269" i="17"/>
  <c r="G268" i="17"/>
  <c r="F268" i="17"/>
  <c r="E268" i="17"/>
  <c r="D268" i="17"/>
  <c r="C268" i="17"/>
  <c r="B268" i="17"/>
  <c r="G267" i="17"/>
  <c r="F267" i="17"/>
  <c r="E267" i="17"/>
  <c r="D267" i="17"/>
  <c r="C267" i="17"/>
  <c r="B267" i="17"/>
  <c r="G266" i="17"/>
  <c r="F266" i="17"/>
  <c r="E266" i="17"/>
  <c r="D266" i="17"/>
  <c r="C266" i="17"/>
  <c r="B266" i="17"/>
  <c r="G265" i="17"/>
  <c r="F265" i="17"/>
  <c r="E265" i="17"/>
  <c r="D265" i="17"/>
  <c r="C265" i="17"/>
  <c r="B265" i="17"/>
  <c r="G264" i="17"/>
  <c r="F264" i="17"/>
  <c r="E264" i="17"/>
  <c r="D264" i="17"/>
  <c r="C264" i="17"/>
  <c r="B264" i="17"/>
  <c r="G263" i="17"/>
  <c r="F263" i="17"/>
  <c r="E263" i="17"/>
  <c r="D263" i="17"/>
  <c r="C263" i="17"/>
  <c r="B263" i="17"/>
  <c r="G262" i="17"/>
  <c r="F262" i="17"/>
  <c r="E262" i="17"/>
  <c r="D262" i="17"/>
  <c r="C262" i="17"/>
  <c r="B262" i="17"/>
  <c r="G261" i="17"/>
  <c r="F261" i="17"/>
  <c r="E261" i="17"/>
  <c r="D261" i="17"/>
  <c r="C261" i="17"/>
  <c r="B261" i="17"/>
  <c r="G260" i="17"/>
  <c r="F260" i="17"/>
  <c r="E260" i="17"/>
  <c r="D260" i="17"/>
  <c r="C260" i="17"/>
  <c r="B260" i="17"/>
  <c r="E259" i="17"/>
  <c r="F259" i="17"/>
  <c r="G259" i="17"/>
  <c r="D259" i="17"/>
  <c r="C259" i="17"/>
  <c r="B259" i="17"/>
  <c r="G258" i="17"/>
  <c r="F258" i="17"/>
  <c r="E258" i="17"/>
  <c r="D258" i="17"/>
  <c r="C258" i="17"/>
  <c r="B258" i="17"/>
  <c r="G257" i="17"/>
  <c r="F257" i="17"/>
  <c r="E257" i="17"/>
  <c r="D257" i="17"/>
  <c r="C257" i="17"/>
  <c r="B257" i="17"/>
  <c r="G256" i="17"/>
  <c r="F256" i="17"/>
  <c r="E256" i="17"/>
  <c r="D256" i="17"/>
  <c r="C256" i="17"/>
  <c r="B256" i="17"/>
  <c r="G255" i="17"/>
  <c r="F255" i="17"/>
  <c r="E255" i="17"/>
  <c r="D255" i="17"/>
  <c r="C255" i="17"/>
  <c r="B255" i="17"/>
  <c r="G254" i="17"/>
  <c r="F254" i="17"/>
  <c r="E254" i="17"/>
  <c r="D254" i="17"/>
  <c r="C254" i="17"/>
  <c r="B254" i="17"/>
  <c r="G253" i="17"/>
  <c r="F253" i="17"/>
  <c r="E253" i="17"/>
  <c r="D253" i="17"/>
  <c r="C253" i="17"/>
  <c r="B253" i="17"/>
  <c r="G252" i="17"/>
  <c r="F252" i="17"/>
  <c r="E252" i="17"/>
  <c r="D252" i="17"/>
  <c r="C252" i="17"/>
  <c r="B252" i="17"/>
  <c r="G251" i="17"/>
  <c r="F251" i="17"/>
  <c r="E251" i="17"/>
  <c r="D251" i="17"/>
  <c r="C251" i="17"/>
  <c r="B251" i="17"/>
  <c r="G250" i="17"/>
  <c r="F250" i="17"/>
  <c r="E250" i="17"/>
  <c r="D250" i="17"/>
  <c r="C250" i="17"/>
  <c r="B250" i="17"/>
  <c r="G249" i="17"/>
  <c r="F249" i="17"/>
  <c r="E249" i="17"/>
  <c r="D249" i="17"/>
  <c r="C249" i="17"/>
  <c r="B249" i="17"/>
  <c r="G248" i="17"/>
  <c r="F248" i="17"/>
  <c r="E248" i="17"/>
  <c r="D248" i="17"/>
  <c r="C248" i="17"/>
  <c r="B248" i="17"/>
  <c r="G247" i="17"/>
  <c r="F247" i="17"/>
  <c r="E247" i="17"/>
  <c r="D247" i="17"/>
  <c r="C247" i="17"/>
  <c r="B247" i="17"/>
  <c r="G246" i="17"/>
  <c r="F246" i="17"/>
  <c r="E246" i="17"/>
  <c r="D246" i="17"/>
  <c r="C246" i="17"/>
  <c r="B246" i="17"/>
  <c r="G245" i="17"/>
  <c r="F245" i="17"/>
  <c r="E245" i="17"/>
  <c r="D245" i="17"/>
  <c r="C245" i="17"/>
  <c r="B245" i="17"/>
  <c r="G244" i="17"/>
  <c r="F244" i="17"/>
  <c r="E244" i="17"/>
  <c r="D244" i="17"/>
  <c r="C244" i="17"/>
  <c r="B244" i="17"/>
  <c r="G243" i="17"/>
  <c r="F243" i="17"/>
  <c r="E243" i="17"/>
  <c r="D243" i="17"/>
  <c r="C243" i="17"/>
  <c r="B243" i="17"/>
  <c r="G242" i="17"/>
  <c r="F242" i="17"/>
  <c r="E242" i="17"/>
  <c r="D242" i="17"/>
  <c r="C242" i="17"/>
  <c r="B242" i="17"/>
  <c r="G241" i="17"/>
  <c r="F241" i="17"/>
  <c r="E241" i="17"/>
  <c r="D241" i="17"/>
  <c r="C241" i="17"/>
  <c r="B241" i="17"/>
  <c r="G240" i="17"/>
  <c r="F240" i="17"/>
  <c r="E240" i="17"/>
  <c r="D240" i="17"/>
  <c r="C240" i="17"/>
  <c r="B240" i="17"/>
  <c r="G239" i="17"/>
  <c r="F239" i="17"/>
  <c r="E239" i="17"/>
  <c r="D239" i="17"/>
  <c r="C239" i="17"/>
  <c r="B239" i="17"/>
  <c r="G238" i="17"/>
  <c r="F238" i="17"/>
  <c r="E238" i="17"/>
  <c r="D238" i="17"/>
  <c r="C238" i="17"/>
  <c r="B238" i="17"/>
  <c r="G237" i="17"/>
  <c r="F237" i="17"/>
  <c r="E237" i="17"/>
  <c r="D237" i="17"/>
  <c r="C237" i="17"/>
  <c r="B237" i="17"/>
  <c r="G236" i="17"/>
  <c r="F236" i="17"/>
  <c r="E236" i="17"/>
  <c r="D236" i="17"/>
  <c r="C236" i="17"/>
  <c r="B236" i="17"/>
  <c r="G235" i="17"/>
  <c r="F235" i="17"/>
  <c r="E235" i="17"/>
  <c r="D235" i="17"/>
  <c r="C235" i="17"/>
  <c r="B235" i="17"/>
  <c r="G234" i="17"/>
  <c r="F234" i="17"/>
  <c r="E234" i="17"/>
  <c r="D234" i="17"/>
  <c r="C234" i="17"/>
  <c r="B234" i="17"/>
  <c r="G233" i="17"/>
  <c r="F233" i="17"/>
  <c r="E233" i="17"/>
  <c r="D233" i="17"/>
  <c r="C233" i="17"/>
  <c r="B233" i="17"/>
  <c r="G232" i="17"/>
  <c r="F232" i="17"/>
  <c r="E232" i="17"/>
  <c r="D232" i="17"/>
  <c r="C232" i="17"/>
  <c r="B232" i="17"/>
  <c r="G231" i="17"/>
  <c r="F231" i="17"/>
  <c r="E231" i="17"/>
  <c r="D231" i="17"/>
  <c r="C231" i="17"/>
  <c r="B231" i="17"/>
  <c r="G230" i="17"/>
  <c r="F230" i="17"/>
  <c r="E230" i="17"/>
  <c r="D230" i="17"/>
  <c r="C230" i="17"/>
  <c r="B230" i="17"/>
  <c r="G229" i="17"/>
  <c r="F229" i="17"/>
  <c r="E229" i="17"/>
  <c r="D229" i="17"/>
  <c r="C229" i="17"/>
  <c r="B229" i="17"/>
  <c r="G228" i="17"/>
  <c r="F228" i="17"/>
  <c r="E228" i="17"/>
  <c r="D228" i="17"/>
  <c r="C228" i="17"/>
  <c r="B228" i="17"/>
  <c r="G227" i="17"/>
  <c r="F227" i="17"/>
  <c r="E227" i="17"/>
  <c r="D227" i="17"/>
  <c r="C227" i="17"/>
  <c r="B227" i="17"/>
  <c r="G226" i="17"/>
  <c r="F226" i="17"/>
  <c r="E226" i="17"/>
  <c r="D226" i="17"/>
  <c r="C226" i="17"/>
  <c r="B226" i="17"/>
  <c r="G225" i="17"/>
  <c r="F225" i="17"/>
  <c r="E225" i="17"/>
  <c r="D225" i="17"/>
  <c r="C225" i="17"/>
  <c r="B225" i="17"/>
  <c r="G224" i="17"/>
  <c r="F224" i="17"/>
  <c r="E224" i="17"/>
  <c r="D224" i="17"/>
  <c r="C224" i="17"/>
  <c r="B224" i="17"/>
  <c r="G223" i="17"/>
  <c r="F223" i="17"/>
  <c r="E223" i="17"/>
  <c r="D223" i="17"/>
  <c r="C223" i="17"/>
  <c r="B223" i="17"/>
  <c r="G222" i="17"/>
  <c r="F222" i="17"/>
  <c r="E222" i="17"/>
  <c r="D222" i="17"/>
  <c r="C222" i="17"/>
  <c r="B222" i="17"/>
  <c r="G221" i="17"/>
  <c r="F221" i="17"/>
  <c r="E221" i="17"/>
  <c r="D221" i="17"/>
  <c r="C221" i="17"/>
  <c r="B221" i="17"/>
  <c r="G220" i="17"/>
  <c r="F220" i="17"/>
  <c r="E220" i="17"/>
  <c r="D220" i="17"/>
  <c r="C220" i="17"/>
  <c r="B220" i="17"/>
  <c r="G219" i="17"/>
  <c r="F219" i="17"/>
  <c r="E219" i="17"/>
  <c r="D219" i="17"/>
  <c r="C219" i="17"/>
  <c r="B219" i="17"/>
  <c r="G218" i="17"/>
  <c r="F218" i="17"/>
  <c r="E218" i="17"/>
  <c r="D218" i="17"/>
  <c r="C218" i="17"/>
  <c r="B218" i="17"/>
  <c r="G217" i="17"/>
  <c r="F217" i="17"/>
  <c r="E217" i="17"/>
  <c r="D217" i="17"/>
  <c r="C217" i="17"/>
  <c r="B217" i="17"/>
  <c r="G216" i="17"/>
  <c r="F216" i="17"/>
  <c r="E216" i="17"/>
  <c r="D216" i="17"/>
  <c r="C216" i="17"/>
  <c r="B216" i="17"/>
  <c r="G215" i="17"/>
  <c r="F215" i="17"/>
  <c r="E215" i="17"/>
  <c r="D215" i="17"/>
  <c r="C215" i="17"/>
  <c r="B215" i="17"/>
  <c r="G214" i="17"/>
  <c r="F214" i="17"/>
  <c r="E214" i="17"/>
  <c r="D214" i="17"/>
  <c r="C214" i="17"/>
  <c r="B214" i="17"/>
  <c r="G213" i="17"/>
  <c r="F213" i="17"/>
  <c r="E213" i="17"/>
  <c r="D213" i="17"/>
  <c r="C213" i="17"/>
  <c r="B213" i="17"/>
  <c r="G212" i="17"/>
  <c r="F212" i="17"/>
  <c r="E212" i="17"/>
  <c r="D212" i="17"/>
  <c r="C212" i="17"/>
  <c r="B212" i="17"/>
  <c r="G211" i="17"/>
  <c r="F211" i="17"/>
  <c r="E211" i="17"/>
  <c r="D211" i="17"/>
  <c r="C211" i="17"/>
  <c r="B211" i="17"/>
  <c r="G210" i="17"/>
  <c r="F210" i="17"/>
  <c r="E210" i="17"/>
  <c r="D210" i="17"/>
  <c r="C210" i="17"/>
  <c r="B210" i="17"/>
  <c r="G209" i="17"/>
  <c r="F209" i="17"/>
  <c r="E209" i="17"/>
  <c r="D209" i="17"/>
  <c r="C209" i="17"/>
  <c r="B209" i="17"/>
  <c r="G208" i="17"/>
  <c r="F208" i="17"/>
  <c r="E208" i="17"/>
  <c r="D208" i="17"/>
  <c r="C208" i="17"/>
  <c r="B208" i="17"/>
  <c r="G207" i="17"/>
  <c r="F207" i="17"/>
  <c r="E207" i="17"/>
  <c r="D207" i="17"/>
  <c r="C207" i="17"/>
  <c r="B207" i="17"/>
  <c r="G206" i="17"/>
  <c r="F206" i="17"/>
  <c r="E206" i="17"/>
  <c r="D206" i="17"/>
  <c r="C206" i="17"/>
  <c r="B206" i="17"/>
  <c r="G205" i="17"/>
  <c r="F205" i="17"/>
  <c r="E205" i="17"/>
  <c r="D205" i="17"/>
  <c r="C205" i="17"/>
  <c r="B205" i="17"/>
  <c r="G204" i="17"/>
  <c r="F204" i="17"/>
  <c r="E204" i="17"/>
  <c r="D204" i="17"/>
  <c r="C204" i="17"/>
  <c r="B204" i="17"/>
  <c r="G203" i="17"/>
  <c r="F203" i="17"/>
  <c r="E203" i="17"/>
  <c r="D203" i="17"/>
  <c r="C203" i="17"/>
  <c r="B203" i="17"/>
  <c r="G202" i="17"/>
  <c r="F202" i="17"/>
  <c r="E202" i="17"/>
  <c r="D202" i="17"/>
  <c r="C202" i="17"/>
  <c r="B202" i="17"/>
  <c r="G201" i="17"/>
  <c r="F201" i="17"/>
  <c r="E201" i="17"/>
  <c r="D201" i="17"/>
  <c r="C201" i="17"/>
  <c r="B201" i="17"/>
  <c r="G200" i="17"/>
  <c r="F200" i="17"/>
  <c r="E200" i="17"/>
  <c r="D200" i="17"/>
  <c r="C200" i="17"/>
  <c r="B200" i="17"/>
  <c r="D199" i="17"/>
  <c r="F199" i="17"/>
  <c r="E199" i="17"/>
  <c r="G199" i="17"/>
  <c r="C199" i="17"/>
  <c r="B199" i="17"/>
  <c r="G198" i="17"/>
  <c r="F198" i="17"/>
  <c r="E198" i="17"/>
  <c r="D198" i="17"/>
  <c r="C198" i="17"/>
  <c r="B198" i="17"/>
  <c r="G197" i="17"/>
  <c r="F197" i="17"/>
  <c r="E197" i="17"/>
  <c r="D197" i="17"/>
  <c r="C197" i="17"/>
  <c r="B197" i="17"/>
  <c r="G196" i="17"/>
  <c r="F196" i="17"/>
  <c r="E196" i="17"/>
  <c r="D196" i="17"/>
  <c r="C196" i="17"/>
  <c r="B196" i="17"/>
  <c r="G195" i="17"/>
  <c r="F195" i="17"/>
  <c r="E195" i="17"/>
  <c r="D195" i="17"/>
  <c r="C195" i="17"/>
  <c r="B195" i="17"/>
  <c r="G194" i="17"/>
  <c r="F194" i="17"/>
  <c r="E194" i="17"/>
  <c r="D194" i="17"/>
  <c r="C194" i="17"/>
  <c r="B194" i="17"/>
  <c r="G193" i="17"/>
  <c r="F193" i="17"/>
  <c r="E193" i="17"/>
  <c r="D193" i="17"/>
  <c r="C193" i="17"/>
  <c r="B193" i="17"/>
  <c r="G192" i="17"/>
  <c r="F192" i="17"/>
  <c r="E192" i="17"/>
  <c r="D192" i="17"/>
  <c r="C192" i="17"/>
  <c r="B192" i="17"/>
  <c r="G191" i="17"/>
  <c r="F191" i="17"/>
  <c r="E191" i="17"/>
  <c r="D191" i="17"/>
  <c r="C191" i="17"/>
  <c r="B191" i="17"/>
  <c r="G190" i="17"/>
  <c r="F190" i="17"/>
  <c r="E190" i="17"/>
  <c r="D190" i="17"/>
  <c r="C190" i="17"/>
  <c r="B190" i="17"/>
  <c r="G189" i="17"/>
  <c r="F189" i="17"/>
  <c r="E189" i="17"/>
  <c r="D189" i="17"/>
  <c r="C189" i="17"/>
  <c r="B189" i="17"/>
  <c r="G188" i="17"/>
  <c r="F188" i="17"/>
  <c r="E188" i="17"/>
  <c r="D188" i="17"/>
  <c r="C188" i="17"/>
  <c r="B188" i="17"/>
  <c r="G187" i="17"/>
  <c r="F187" i="17"/>
  <c r="E187" i="17"/>
  <c r="D187" i="17"/>
  <c r="C187" i="17"/>
  <c r="B187" i="17"/>
  <c r="G186" i="17"/>
  <c r="F186" i="17"/>
  <c r="E186" i="17"/>
  <c r="D186" i="17"/>
  <c r="C186" i="17"/>
  <c r="B186" i="17"/>
  <c r="G185" i="17"/>
  <c r="F185" i="17"/>
  <c r="E185" i="17"/>
  <c r="D185" i="17"/>
  <c r="C185" i="17"/>
  <c r="B185" i="17"/>
  <c r="G184" i="17"/>
  <c r="F184" i="17"/>
  <c r="E184" i="17"/>
  <c r="D184" i="17"/>
  <c r="C184" i="17"/>
  <c r="B184" i="17"/>
  <c r="G183" i="17"/>
  <c r="F183" i="17"/>
  <c r="E183" i="17"/>
  <c r="D183" i="17"/>
  <c r="C183" i="17"/>
  <c r="B183" i="17"/>
  <c r="G182" i="17"/>
  <c r="F182" i="17"/>
  <c r="E182" i="17"/>
  <c r="D182" i="17"/>
  <c r="C182" i="17"/>
  <c r="B182" i="17"/>
  <c r="G181" i="17"/>
  <c r="F181" i="17"/>
  <c r="E181" i="17"/>
  <c r="D181" i="17"/>
  <c r="C181" i="17"/>
  <c r="B181" i="17"/>
  <c r="G180" i="17"/>
  <c r="F180" i="17"/>
  <c r="E180" i="17"/>
  <c r="D180" i="17"/>
  <c r="C180" i="17"/>
  <c r="B180" i="17"/>
  <c r="G179" i="17"/>
  <c r="F179" i="17"/>
  <c r="E179" i="17"/>
  <c r="D179" i="17"/>
  <c r="C179" i="17"/>
  <c r="B179" i="17"/>
  <c r="G178" i="17"/>
  <c r="F178" i="17"/>
  <c r="E178" i="17"/>
  <c r="D178" i="17"/>
  <c r="C178" i="17"/>
  <c r="B178" i="17"/>
  <c r="G177" i="17"/>
  <c r="F177" i="17"/>
  <c r="E177" i="17"/>
  <c r="D177" i="17"/>
  <c r="C177" i="17"/>
  <c r="B177" i="17"/>
  <c r="G176" i="17"/>
  <c r="F176" i="17"/>
  <c r="E176" i="17"/>
  <c r="D176" i="17"/>
  <c r="C176" i="17"/>
  <c r="B176" i="17"/>
  <c r="G175" i="17"/>
  <c r="F175" i="17"/>
  <c r="E175" i="17"/>
  <c r="D175" i="17"/>
  <c r="C175" i="17"/>
  <c r="B175" i="17"/>
  <c r="G174" i="17"/>
  <c r="F174" i="17"/>
  <c r="E174" i="17"/>
  <c r="D174" i="17"/>
  <c r="C174" i="17"/>
  <c r="B174" i="17"/>
  <c r="G173" i="17"/>
  <c r="F173" i="17"/>
  <c r="E173" i="17"/>
  <c r="D173" i="17"/>
  <c r="C173" i="17"/>
  <c r="B173" i="17"/>
  <c r="G172" i="17"/>
  <c r="F172" i="17"/>
  <c r="E172" i="17"/>
  <c r="D172" i="17"/>
  <c r="C172" i="17"/>
  <c r="B172" i="17"/>
  <c r="G171" i="17"/>
  <c r="F171" i="17"/>
  <c r="E171" i="17"/>
  <c r="D171" i="17"/>
  <c r="C171" i="17"/>
  <c r="B171" i="17"/>
  <c r="G170" i="17"/>
  <c r="F170" i="17"/>
  <c r="E170" i="17"/>
  <c r="D170" i="17"/>
  <c r="C170" i="17"/>
  <c r="B170" i="17"/>
  <c r="D169" i="17"/>
  <c r="F169" i="17"/>
  <c r="E169" i="17"/>
  <c r="G169" i="17"/>
  <c r="C169" i="17"/>
  <c r="B169" i="17"/>
  <c r="G168" i="17"/>
  <c r="F168" i="17"/>
  <c r="E168" i="17"/>
  <c r="D168" i="17"/>
  <c r="C168" i="17"/>
  <c r="B168" i="17"/>
  <c r="G167" i="17"/>
  <c r="F167" i="17"/>
  <c r="E167" i="17"/>
  <c r="D167" i="17"/>
  <c r="C167" i="17"/>
  <c r="B167" i="17"/>
  <c r="D166" i="17"/>
  <c r="F166" i="17"/>
  <c r="E166" i="17"/>
  <c r="G166" i="17"/>
  <c r="C166" i="17"/>
  <c r="B166" i="17"/>
  <c r="G165" i="17"/>
  <c r="F165" i="17"/>
  <c r="E165" i="17"/>
  <c r="D165" i="17"/>
  <c r="C165" i="17"/>
  <c r="B165" i="17"/>
  <c r="G164" i="17"/>
  <c r="F164" i="17"/>
  <c r="E164" i="17"/>
  <c r="D164" i="17"/>
  <c r="C164" i="17"/>
  <c r="B164" i="17"/>
  <c r="G163" i="17"/>
  <c r="F163" i="17"/>
  <c r="E163" i="17"/>
  <c r="D163" i="17"/>
  <c r="C163" i="17"/>
  <c r="B163" i="17"/>
  <c r="D162" i="17"/>
  <c r="F162" i="17"/>
  <c r="E162" i="17"/>
  <c r="G162" i="17"/>
  <c r="C162" i="17"/>
  <c r="B162" i="17"/>
  <c r="G161" i="17"/>
  <c r="F161" i="17"/>
  <c r="E161" i="17"/>
  <c r="D161" i="17"/>
  <c r="C161" i="17"/>
  <c r="B161" i="17"/>
  <c r="G160" i="17"/>
  <c r="F160" i="17"/>
  <c r="E160" i="17"/>
  <c r="D160" i="17"/>
  <c r="C160" i="17"/>
  <c r="B160" i="17"/>
  <c r="G159" i="17"/>
  <c r="F159" i="17"/>
  <c r="E159" i="17"/>
  <c r="D159" i="17"/>
  <c r="C159" i="17"/>
  <c r="B159" i="17"/>
  <c r="G158" i="17"/>
  <c r="F158" i="17"/>
  <c r="E158" i="17"/>
  <c r="D158" i="17"/>
  <c r="C158" i="17"/>
  <c r="B158" i="17"/>
  <c r="G157" i="17"/>
  <c r="F157" i="17"/>
  <c r="E157" i="17"/>
  <c r="D157" i="17"/>
  <c r="C157" i="17"/>
  <c r="B157" i="17"/>
  <c r="G156" i="17"/>
  <c r="F156" i="17"/>
  <c r="E156" i="17"/>
  <c r="D156" i="17"/>
  <c r="C156" i="17"/>
  <c r="B156" i="17"/>
  <c r="G155" i="17"/>
  <c r="F155" i="17"/>
  <c r="E155" i="17"/>
  <c r="D155" i="17"/>
  <c r="C155" i="17"/>
  <c r="B155" i="17"/>
  <c r="D154" i="17"/>
  <c r="F154" i="17"/>
  <c r="E154" i="17"/>
  <c r="G154" i="17"/>
  <c r="C154" i="17"/>
  <c r="B154" i="17"/>
  <c r="G153" i="17"/>
  <c r="F153" i="17"/>
  <c r="E153" i="17"/>
  <c r="D153" i="17"/>
  <c r="C153" i="17"/>
  <c r="B153" i="17"/>
  <c r="G152" i="17"/>
  <c r="F152" i="17"/>
  <c r="E152" i="17"/>
  <c r="D152" i="17"/>
  <c r="C152" i="17"/>
  <c r="B152" i="17"/>
  <c r="G151" i="17"/>
  <c r="F151" i="17"/>
  <c r="E151" i="17"/>
  <c r="D151" i="17"/>
  <c r="C151" i="17"/>
  <c r="B151" i="17"/>
  <c r="G150" i="17"/>
  <c r="F150" i="17"/>
  <c r="E150" i="17"/>
  <c r="D150" i="17"/>
  <c r="C150" i="17"/>
  <c r="B150" i="17"/>
  <c r="G149" i="17"/>
  <c r="F149" i="17"/>
  <c r="E149" i="17"/>
  <c r="D149" i="17"/>
  <c r="C149" i="17"/>
  <c r="B149" i="17"/>
  <c r="G148" i="17"/>
  <c r="F148" i="17"/>
  <c r="E148" i="17"/>
  <c r="D148" i="17"/>
  <c r="C148" i="17"/>
  <c r="B148" i="17"/>
  <c r="G147" i="17"/>
  <c r="F147" i="17"/>
  <c r="E147" i="17"/>
  <c r="D147" i="17"/>
  <c r="C147" i="17"/>
  <c r="B147" i="17"/>
  <c r="G146" i="17"/>
  <c r="F146" i="17"/>
  <c r="E146" i="17"/>
  <c r="D146" i="17"/>
  <c r="C146" i="17"/>
  <c r="B146" i="17"/>
  <c r="G145" i="17"/>
  <c r="F145" i="17"/>
  <c r="E145" i="17"/>
  <c r="D145" i="17"/>
  <c r="C145" i="17"/>
  <c r="B145" i="17"/>
  <c r="G144" i="17"/>
  <c r="F144" i="17"/>
  <c r="E144" i="17"/>
  <c r="D144" i="17"/>
  <c r="C144" i="17"/>
  <c r="B144" i="17"/>
  <c r="G143" i="17"/>
  <c r="F143" i="17"/>
  <c r="E143" i="17"/>
  <c r="D143" i="17"/>
  <c r="C143" i="17"/>
  <c r="B143" i="17"/>
  <c r="G142" i="17"/>
  <c r="F142" i="17"/>
  <c r="E142" i="17"/>
  <c r="D142" i="17"/>
  <c r="C142" i="17"/>
  <c r="B142" i="17"/>
  <c r="G141" i="17"/>
  <c r="F141" i="17"/>
  <c r="E141" i="17"/>
  <c r="D141" i="17"/>
  <c r="C141" i="17"/>
  <c r="B141" i="17"/>
  <c r="G140" i="17"/>
  <c r="F140" i="17"/>
  <c r="E140" i="17"/>
  <c r="D140" i="17"/>
  <c r="C140" i="17"/>
  <c r="B140" i="17"/>
  <c r="G139" i="17"/>
  <c r="F139" i="17"/>
  <c r="E139" i="17"/>
  <c r="D139" i="17"/>
  <c r="C139" i="17"/>
  <c r="B139" i="17"/>
  <c r="G138" i="17"/>
  <c r="F138" i="17"/>
  <c r="E138" i="17"/>
  <c r="D138" i="17"/>
  <c r="C138" i="17"/>
  <c r="B138" i="17"/>
  <c r="G137" i="17"/>
  <c r="F137" i="17"/>
  <c r="E137" i="17"/>
  <c r="D137" i="17"/>
  <c r="C137" i="17"/>
  <c r="B137" i="17"/>
  <c r="G136" i="17"/>
  <c r="F136" i="17"/>
  <c r="E136" i="17"/>
  <c r="D136" i="17"/>
  <c r="C136" i="17"/>
  <c r="B136" i="17"/>
  <c r="G135" i="17"/>
  <c r="F135" i="17"/>
  <c r="E135" i="17"/>
  <c r="D135" i="17"/>
  <c r="C135" i="17"/>
  <c r="B135" i="17"/>
  <c r="G134" i="17"/>
  <c r="F134" i="17"/>
  <c r="E134" i="17"/>
  <c r="D134" i="17"/>
  <c r="C134" i="17"/>
  <c r="B134" i="17"/>
  <c r="G133" i="17"/>
  <c r="F133" i="17"/>
  <c r="E133" i="17"/>
  <c r="D133" i="17"/>
  <c r="C133" i="17"/>
  <c r="B133" i="17"/>
  <c r="G132" i="17"/>
  <c r="F132" i="17"/>
  <c r="E132" i="17"/>
  <c r="D132" i="17"/>
  <c r="C132" i="17"/>
  <c r="B132" i="17"/>
  <c r="G131" i="17"/>
  <c r="F131" i="17"/>
  <c r="E131" i="17"/>
  <c r="D131" i="17"/>
  <c r="C131" i="17"/>
  <c r="B131" i="17"/>
  <c r="G130" i="17"/>
  <c r="F130" i="17"/>
  <c r="E130" i="17"/>
  <c r="D130" i="17"/>
  <c r="C130" i="17"/>
  <c r="B130" i="17"/>
  <c r="G129" i="17"/>
  <c r="F129" i="17"/>
  <c r="E129" i="17"/>
  <c r="D129" i="17"/>
  <c r="C129" i="17"/>
  <c r="B129" i="17"/>
  <c r="G128" i="17"/>
  <c r="F128" i="17"/>
  <c r="E128" i="17"/>
  <c r="D128" i="17"/>
  <c r="C128" i="17"/>
  <c r="B128" i="17"/>
  <c r="G127" i="17"/>
  <c r="F127" i="17"/>
  <c r="E127" i="17"/>
  <c r="D127" i="17"/>
  <c r="C127" i="17"/>
  <c r="B127" i="17"/>
  <c r="G126" i="17"/>
  <c r="F126" i="17"/>
  <c r="E126" i="17"/>
  <c r="D126" i="17"/>
  <c r="C126" i="17"/>
  <c r="B126" i="17"/>
  <c r="G125" i="17"/>
  <c r="F125" i="17"/>
  <c r="E125" i="17"/>
  <c r="D125" i="17"/>
  <c r="C125" i="17"/>
  <c r="B125" i="17"/>
  <c r="G124" i="17"/>
  <c r="F124" i="17"/>
  <c r="E124" i="17"/>
  <c r="D124" i="17"/>
  <c r="C124" i="17"/>
  <c r="B124" i="17"/>
  <c r="G123" i="17"/>
  <c r="F123" i="17"/>
  <c r="E123" i="17"/>
  <c r="D123" i="17"/>
  <c r="C123" i="17"/>
  <c r="B123" i="17"/>
  <c r="G122" i="17"/>
  <c r="F122" i="17"/>
  <c r="E122" i="17"/>
  <c r="D122" i="17"/>
  <c r="C122" i="17"/>
  <c r="B122" i="17"/>
  <c r="G121" i="17"/>
  <c r="F121" i="17"/>
  <c r="E121" i="17"/>
  <c r="D121" i="17"/>
  <c r="C121" i="17"/>
  <c r="B121" i="17"/>
  <c r="G120" i="17"/>
  <c r="F120" i="17"/>
  <c r="E120" i="17"/>
  <c r="D120" i="17"/>
  <c r="C120" i="17"/>
  <c r="B120" i="17"/>
  <c r="G119" i="17"/>
  <c r="F119" i="17"/>
  <c r="E119" i="17"/>
  <c r="D119" i="17"/>
  <c r="C119" i="17"/>
  <c r="B119" i="17"/>
  <c r="G118" i="17"/>
  <c r="F118" i="17"/>
  <c r="E118" i="17"/>
  <c r="D118" i="17"/>
  <c r="C118" i="17"/>
  <c r="B118" i="17"/>
  <c r="G117" i="17"/>
  <c r="F117" i="17"/>
  <c r="E117" i="17"/>
  <c r="D117" i="17"/>
  <c r="C117" i="17"/>
  <c r="B117" i="17"/>
  <c r="G116" i="17"/>
  <c r="F116" i="17"/>
  <c r="E116" i="17"/>
  <c r="D116" i="17"/>
  <c r="C116" i="17"/>
  <c r="B116" i="17"/>
  <c r="G115" i="17"/>
  <c r="F115" i="17"/>
  <c r="E115" i="17"/>
  <c r="D115" i="17"/>
  <c r="C115" i="17"/>
  <c r="B115" i="17"/>
  <c r="G114" i="17"/>
  <c r="F114" i="17"/>
  <c r="E114" i="17"/>
  <c r="D114" i="17"/>
  <c r="C114" i="17"/>
  <c r="B114" i="17"/>
  <c r="G113" i="17"/>
  <c r="F113" i="17"/>
  <c r="E113" i="17"/>
  <c r="D113" i="17"/>
  <c r="C113" i="17"/>
  <c r="B113" i="17"/>
  <c r="G112" i="17"/>
  <c r="F112" i="17"/>
  <c r="E112" i="17"/>
  <c r="D112" i="17"/>
  <c r="C112" i="17"/>
  <c r="B112" i="17"/>
  <c r="G111" i="17"/>
  <c r="F111" i="17"/>
  <c r="E111" i="17"/>
  <c r="D111" i="17"/>
  <c r="C111" i="17"/>
  <c r="B111" i="17"/>
  <c r="G110" i="17"/>
  <c r="F110" i="17"/>
  <c r="E110" i="17"/>
  <c r="D110" i="17"/>
  <c r="C110" i="17"/>
  <c r="B110" i="17"/>
  <c r="G109" i="17"/>
  <c r="F109" i="17"/>
  <c r="E109" i="17"/>
  <c r="D109" i="17"/>
  <c r="C109" i="17"/>
  <c r="B109" i="17"/>
  <c r="G108" i="17"/>
  <c r="F108" i="17"/>
  <c r="E108" i="17"/>
  <c r="D108" i="17"/>
  <c r="C108" i="17"/>
  <c r="B108" i="17"/>
  <c r="G107" i="17"/>
  <c r="F107" i="17"/>
  <c r="E107" i="17"/>
  <c r="D107" i="17"/>
  <c r="C107" i="17"/>
  <c r="B107" i="17"/>
  <c r="G106" i="17"/>
  <c r="F106" i="17"/>
  <c r="E106" i="17"/>
  <c r="D106" i="17"/>
  <c r="C106" i="17"/>
  <c r="B106" i="17"/>
  <c r="G105" i="17"/>
  <c r="F105" i="17"/>
  <c r="E105" i="17"/>
  <c r="D105" i="17"/>
  <c r="C105" i="17"/>
  <c r="B105" i="17"/>
  <c r="G104" i="17"/>
  <c r="F104" i="17"/>
  <c r="E104" i="17"/>
  <c r="D104" i="17"/>
  <c r="C104" i="17"/>
  <c r="B104" i="17"/>
  <c r="G103" i="17"/>
  <c r="F103" i="17"/>
  <c r="E103" i="17"/>
  <c r="D103" i="17"/>
  <c r="C103" i="17"/>
  <c r="B103" i="17"/>
  <c r="G102" i="17"/>
  <c r="F102" i="17"/>
  <c r="E102" i="17"/>
  <c r="D102" i="17"/>
  <c r="C102" i="17"/>
  <c r="B102" i="17"/>
  <c r="G101" i="17"/>
  <c r="F101" i="17"/>
  <c r="E101" i="17"/>
  <c r="D101" i="17"/>
  <c r="C101" i="17"/>
  <c r="B101" i="17"/>
  <c r="G100" i="17"/>
  <c r="F100" i="17"/>
  <c r="E100" i="17"/>
  <c r="D100" i="17"/>
  <c r="C100" i="17"/>
  <c r="B100" i="17"/>
  <c r="G99" i="17"/>
  <c r="F99" i="17"/>
  <c r="E99" i="17"/>
  <c r="D99" i="17"/>
  <c r="C99" i="17"/>
  <c r="B99" i="17"/>
  <c r="G98" i="17"/>
  <c r="F98" i="17"/>
  <c r="E98" i="17"/>
  <c r="D98" i="17"/>
  <c r="C98" i="17"/>
  <c r="B98" i="17"/>
  <c r="G97" i="17"/>
  <c r="F97" i="17"/>
  <c r="E97" i="17"/>
  <c r="D97" i="17"/>
  <c r="C97" i="17"/>
  <c r="B97" i="17"/>
  <c r="G96" i="17"/>
  <c r="F96" i="17"/>
  <c r="E96" i="17"/>
  <c r="D96" i="17"/>
  <c r="C96" i="17"/>
  <c r="B96" i="17"/>
  <c r="G95" i="17"/>
  <c r="F95" i="17"/>
  <c r="E95" i="17"/>
  <c r="D95" i="17"/>
  <c r="C95" i="17"/>
  <c r="B95" i="17"/>
  <c r="G94" i="17"/>
  <c r="F94" i="17"/>
  <c r="E94" i="17"/>
  <c r="D94" i="17"/>
  <c r="C94" i="17"/>
  <c r="B94" i="17"/>
  <c r="G93" i="17"/>
  <c r="F93" i="17"/>
  <c r="E93" i="17"/>
  <c r="D93" i="17"/>
  <c r="C93" i="17"/>
  <c r="B93" i="17"/>
  <c r="G92" i="17"/>
  <c r="F92" i="17"/>
  <c r="E92" i="17"/>
  <c r="D92" i="17"/>
  <c r="C92" i="17"/>
  <c r="B92" i="17"/>
  <c r="G91" i="17"/>
  <c r="F91" i="17"/>
  <c r="E91" i="17"/>
  <c r="D91" i="17"/>
  <c r="C91" i="17"/>
  <c r="B91" i="17"/>
  <c r="G90" i="17"/>
  <c r="F90" i="17"/>
  <c r="E90" i="17"/>
  <c r="D90" i="17"/>
  <c r="C90" i="17"/>
  <c r="B90" i="17"/>
  <c r="G89" i="17"/>
  <c r="F89" i="17"/>
  <c r="E89" i="17"/>
  <c r="D89" i="17"/>
  <c r="C89" i="17"/>
  <c r="B89" i="17"/>
  <c r="G88" i="17"/>
  <c r="F88" i="17"/>
  <c r="E88" i="17"/>
  <c r="D88" i="17"/>
  <c r="C88" i="17"/>
  <c r="B88" i="17"/>
  <c r="G87" i="17"/>
  <c r="F87" i="17"/>
  <c r="E87" i="17"/>
  <c r="D87" i="17"/>
  <c r="C87" i="17"/>
  <c r="B87" i="17"/>
  <c r="G86" i="17"/>
  <c r="F86" i="17"/>
  <c r="E86" i="17"/>
  <c r="D86" i="17"/>
  <c r="C86" i="17"/>
  <c r="B86" i="17"/>
  <c r="G85" i="17"/>
  <c r="F85" i="17"/>
  <c r="E85" i="17"/>
  <c r="D85" i="17"/>
  <c r="C85" i="17"/>
  <c r="B85" i="17"/>
  <c r="G84" i="17"/>
  <c r="F84" i="17"/>
  <c r="E84" i="17"/>
  <c r="D84" i="17"/>
  <c r="C84" i="17"/>
  <c r="B84" i="17"/>
  <c r="G83" i="17"/>
  <c r="F83" i="17"/>
  <c r="E83" i="17"/>
  <c r="D83" i="17"/>
  <c r="C83" i="17"/>
  <c r="B83" i="17"/>
  <c r="G82" i="17"/>
  <c r="F82" i="17"/>
  <c r="E82" i="17"/>
  <c r="D82" i="17"/>
  <c r="C82" i="17"/>
  <c r="B82" i="17"/>
  <c r="G81" i="17"/>
  <c r="F81" i="17"/>
  <c r="E81" i="17"/>
  <c r="D81" i="17"/>
  <c r="C81" i="17"/>
  <c r="B81" i="17"/>
  <c r="G80" i="17"/>
  <c r="F80" i="17"/>
  <c r="E80" i="17"/>
  <c r="D80" i="17"/>
  <c r="C80" i="17"/>
  <c r="B80" i="17"/>
  <c r="G79" i="17"/>
  <c r="F79" i="17"/>
  <c r="E79" i="17"/>
  <c r="D79" i="17"/>
  <c r="C79" i="17"/>
  <c r="B79" i="17"/>
  <c r="E78" i="17"/>
  <c r="F78" i="17"/>
  <c r="G78" i="17"/>
  <c r="D78" i="17"/>
  <c r="C78" i="17"/>
  <c r="B78" i="17"/>
  <c r="G77" i="17"/>
  <c r="F77" i="17"/>
  <c r="E77" i="17"/>
  <c r="D77" i="17"/>
  <c r="C77" i="17"/>
  <c r="B77" i="17"/>
  <c r="G76" i="17"/>
  <c r="F76" i="17"/>
  <c r="E76" i="17"/>
  <c r="D76" i="17"/>
  <c r="C76" i="17"/>
  <c r="B76" i="17"/>
  <c r="G75" i="17"/>
  <c r="F75" i="17"/>
  <c r="E75" i="17"/>
  <c r="D75" i="17"/>
  <c r="C75" i="17"/>
  <c r="B75" i="17"/>
  <c r="G74" i="17"/>
  <c r="F74" i="17"/>
  <c r="E74" i="17"/>
  <c r="D74" i="17"/>
  <c r="C74" i="17"/>
  <c r="B74" i="17"/>
  <c r="G73" i="17"/>
  <c r="F73" i="17"/>
  <c r="E73" i="17"/>
  <c r="D73" i="17"/>
  <c r="C73" i="17"/>
  <c r="B73" i="17"/>
  <c r="G72" i="17"/>
  <c r="F72" i="17"/>
  <c r="E72" i="17"/>
  <c r="D72" i="17"/>
  <c r="C72" i="17"/>
  <c r="B72" i="17"/>
  <c r="G71" i="17"/>
  <c r="F71" i="17"/>
  <c r="E71" i="17"/>
  <c r="D71" i="17"/>
  <c r="C71" i="17"/>
  <c r="B71" i="17"/>
  <c r="G70" i="17"/>
  <c r="F70" i="17"/>
  <c r="E70" i="17"/>
  <c r="D70" i="17"/>
  <c r="C70" i="17"/>
  <c r="B70" i="17"/>
  <c r="G69" i="17"/>
  <c r="F69" i="17"/>
  <c r="E69" i="17"/>
  <c r="D69" i="17"/>
  <c r="C69" i="17"/>
  <c r="B69" i="17"/>
  <c r="F68" i="17"/>
  <c r="B68" i="17"/>
  <c r="C68" i="17"/>
  <c r="D68" i="17"/>
  <c r="E68" i="17"/>
  <c r="D67" i="17"/>
  <c r="B67" i="17"/>
  <c r="C67" i="17"/>
  <c r="G67" i="17"/>
  <c r="F67" i="17"/>
  <c r="E67" i="17"/>
  <c r="G66" i="17"/>
  <c r="F66" i="17"/>
  <c r="E66" i="17"/>
  <c r="D66" i="17"/>
  <c r="C66" i="17"/>
  <c r="B66" i="17"/>
  <c r="E65" i="17"/>
  <c r="G65" i="17"/>
  <c r="F65" i="17"/>
  <c r="D65" i="17"/>
  <c r="C65" i="17"/>
  <c r="B65" i="17"/>
  <c r="G64" i="17"/>
  <c r="F64" i="17"/>
  <c r="E64" i="17"/>
  <c r="D64" i="17"/>
  <c r="C64" i="17"/>
  <c r="B64" i="17"/>
  <c r="D63" i="17"/>
  <c r="B63" i="17"/>
  <c r="C63" i="17"/>
  <c r="G63" i="17"/>
  <c r="F63" i="17"/>
  <c r="E63" i="17"/>
  <c r="B62" i="17"/>
  <c r="C62" i="17"/>
  <c r="D62" i="17"/>
  <c r="E62" i="17"/>
  <c r="F62" i="17"/>
  <c r="G62" i="17"/>
  <c r="D61" i="17"/>
  <c r="C61" i="17"/>
  <c r="B61" i="17"/>
  <c r="G61" i="17"/>
  <c r="F61" i="17"/>
  <c r="E61" i="17"/>
  <c r="G60" i="17"/>
  <c r="F60" i="17"/>
  <c r="E60" i="17"/>
  <c r="D60" i="17"/>
  <c r="C60" i="17"/>
  <c r="B60" i="17"/>
  <c r="D59" i="17"/>
  <c r="C59" i="17"/>
  <c r="B59" i="17"/>
  <c r="G59" i="17"/>
  <c r="F59" i="17"/>
  <c r="E59" i="17"/>
  <c r="G58" i="17"/>
  <c r="F58" i="17"/>
  <c r="E58" i="17"/>
  <c r="D58" i="17"/>
  <c r="C58" i="17"/>
  <c r="B58" i="17"/>
  <c r="D57" i="17"/>
  <c r="C57" i="17"/>
  <c r="B57" i="17"/>
  <c r="G57" i="17"/>
  <c r="F57" i="17"/>
  <c r="E57" i="17"/>
  <c r="G56" i="17"/>
  <c r="F56" i="17"/>
  <c r="E56" i="17"/>
  <c r="D56" i="17"/>
  <c r="C56" i="17"/>
  <c r="B56" i="17"/>
  <c r="D55" i="17"/>
  <c r="C55" i="17"/>
  <c r="B55" i="17"/>
  <c r="G55" i="17"/>
  <c r="F55" i="17"/>
  <c r="E55" i="17"/>
  <c r="G54" i="17"/>
  <c r="F54" i="17"/>
  <c r="E54" i="17"/>
  <c r="D54" i="17"/>
  <c r="C54" i="17"/>
  <c r="B54" i="17"/>
  <c r="D53" i="17"/>
  <c r="C53" i="17"/>
  <c r="B53" i="17"/>
  <c r="G53" i="17"/>
  <c r="F53" i="17"/>
  <c r="E53" i="17"/>
  <c r="G52" i="17"/>
  <c r="F52" i="17"/>
  <c r="E52" i="17"/>
  <c r="D52" i="17"/>
  <c r="C52" i="17"/>
  <c r="B52" i="17"/>
  <c r="C51" i="17"/>
  <c r="D51" i="17"/>
  <c r="B51" i="17"/>
  <c r="G51" i="17"/>
  <c r="F51" i="17"/>
  <c r="E51" i="17"/>
  <c r="B50" i="17"/>
  <c r="C50" i="17"/>
  <c r="D50" i="17"/>
  <c r="E50" i="17"/>
  <c r="F50" i="17"/>
  <c r="G50" i="17"/>
  <c r="G49" i="17"/>
  <c r="F49" i="17"/>
  <c r="E49" i="17"/>
  <c r="D49" i="17"/>
  <c r="C49" i="17"/>
  <c r="B49" i="17"/>
  <c r="G48" i="17"/>
  <c r="F48" i="17"/>
  <c r="E48" i="17"/>
  <c r="D48" i="17"/>
  <c r="C48" i="17"/>
  <c r="B48" i="17"/>
  <c r="D47" i="17"/>
  <c r="B47" i="17"/>
  <c r="C47" i="17"/>
  <c r="G47" i="17"/>
  <c r="F47" i="17"/>
  <c r="E47" i="17"/>
  <c r="B46" i="17"/>
  <c r="C46" i="17"/>
  <c r="D46" i="17"/>
  <c r="E46" i="17"/>
  <c r="F46" i="17"/>
  <c r="G46" i="17"/>
  <c r="D45" i="17"/>
  <c r="C45" i="17"/>
  <c r="B45" i="17"/>
  <c r="G45" i="17"/>
  <c r="F45" i="17"/>
  <c r="E45" i="17"/>
  <c r="G44" i="17"/>
  <c r="F44" i="17"/>
  <c r="E44" i="17"/>
  <c r="D44" i="17"/>
  <c r="C44" i="17"/>
  <c r="B44" i="17"/>
  <c r="D43" i="17"/>
  <c r="C43" i="17"/>
  <c r="B43" i="17"/>
  <c r="G43" i="17"/>
  <c r="F43" i="17"/>
  <c r="E43" i="17"/>
  <c r="G42" i="17"/>
  <c r="F42" i="17"/>
  <c r="E42" i="17"/>
  <c r="D42" i="17"/>
  <c r="C42" i="17"/>
  <c r="B42" i="17"/>
  <c r="D41" i="17"/>
  <c r="C41" i="17"/>
  <c r="B41" i="17"/>
  <c r="G41" i="17"/>
  <c r="F41" i="17"/>
  <c r="E41" i="17"/>
  <c r="G40" i="17"/>
  <c r="F40" i="17"/>
  <c r="E40" i="17"/>
  <c r="D40" i="17"/>
  <c r="C40" i="17"/>
  <c r="B40" i="17"/>
  <c r="D39" i="17"/>
  <c r="C39" i="17"/>
  <c r="B39" i="17"/>
  <c r="G39" i="17"/>
  <c r="F39" i="17"/>
  <c r="E39" i="17"/>
  <c r="G38" i="17"/>
  <c r="F38" i="17"/>
  <c r="D38" i="17"/>
  <c r="B38" i="17"/>
  <c r="C38" i="17"/>
  <c r="E38" i="17"/>
  <c r="D37" i="17"/>
  <c r="B37" i="17"/>
  <c r="C37" i="17"/>
  <c r="G37" i="17"/>
  <c r="F37" i="17"/>
  <c r="E37" i="17"/>
  <c r="G36" i="17"/>
  <c r="F36" i="17"/>
  <c r="E36" i="17"/>
  <c r="D36" i="17"/>
  <c r="C36" i="17"/>
  <c r="B36" i="17"/>
  <c r="C35" i="17"/>
  <c r="E35" i="17"/>
  <c r="G35" i="17"/>
  <c r="F35" i="17"/>
  <c r="D35" i="17"/>
  <c r="B35" i="17"/>
  <c r="G34" i="17"/>
  <c r="F34" i="17"/>
  <c r="E34" i="17"/>
  <c r="D34" i="17"/>
  <c r="C34" i="17"/>
  <c r="B34" i="17"/>
  <c r="D33" i="17"/>
  <c r="B33" i="17"/>
  <c r="C33" i="17"/>
  <c r="G33" i="17"/>
  <c r="F33" i="17"/>
  <c r="E33" i="17"/>
  <c r="B32" i="17"/>
  <c r="C32" i="17"/>
  <c r="D32" i="17"/>
  <c r="E32" i="17"/>
  <c r="F32" i="17"/>
  <c r="G32" i="17"/>
  <c r="D31" i="17"/>
  <c r="C31" i="17"/>
  <c r="B31" i="17"/>
  <c r="G31" i="17"/>
  <c r="F31" i="17"/>
  <c r="E31" i="17"/>
  <c r="G30" i="17"/>
  <c r="F30" i="17"/>
  <c r="E30" i="17"/>
  <c r="D30" i="17"/>
  <c r="C30" i="17"/>
  <c r="B30" i="17"/>
  <c r="B29" i="17"/>
  <c r="C29" i="17"/>
  <c r="D29" i="17"/>
  <c r="E29" i="17"/>
  <c r="F29" i="17"/>
  <c r="G29" i="17"/>
  <c r="B28" i="17"/>
  <c r="C28" i="17"/>
  <c r="D28" i="17"/>
  <c r="E28" i="17"/>
  <c r="F28" i="17"/>
  <c r="G28" i="17"/>
  <c r="B27" i="17"/>
  <c r="C27" i="17"/>
  <c r="D27" i="17"/>
  <c r="E27" i="17"/>
  <c r="F27" i="17"/>
  <c r="G27" i="17"/>
  <c r="B26" i="17"/>
  <c r="C26" i="17"/>
  <c r="D26" i="17"/>
  <c r="E26" i="17"/>
  <c r="F26" i="17"/>
  <c r="G26" i="17"/>
  <c r="B25" i="17"/>
  <c r="C25" i="17"/>
  <c r="D25" i="17"/>
  <c r="E25" i="17"/>
  <c r="F25" i="17"/>
  <c r="G25" i="17"/>
  <c r="B24" i="17"/>
  <c r="C24" i="17"/>
  <c r="D24" i="17"/>
  <c r="E24" i="17"/>
  <c r="F24" i="17"/>
  <c r="G24" i="17"/>
  <c r="B23" i="17"/>
  <c r="C23" i="17"/>
  <c r="D23" i="17"/>
  <c r="E23" i="17"/>
  <c r="F23" i="17"/>
  <c r="G23" i="17"/>
  <c r="B22" i="17"/>
  <c r="C22" i="17"/>
  <c r="D22" i="17"/>
  <c r="E22" i="17"/>
  <c r="F22" i="17"/>
  <c r="G22" i="17"/>
  <c r="B21" i="17"/>
  <c r="C21" i="17"/>
  <c r="D21" i="17"/>
  <c r="E21" i="17"/>
  <c r="F21" i="17"/>
  <c r="G21" i="17"/>
  <c r="B20" i="17"/>
  <c r="C20" i="17"/>
  <c r="D20" i="17"/>
  <c r="E20" i="17"/>
  <c r="F20" i="17"/>
  <c r="G20" i="17"/>
  <c r="B19" i="17"/>
  <c r="C19" i="17"/>
  <c r="D19" i="17"/>
  <c r="E19" i="17"/>
  <c r="F19" i="17"/>
  <c r="G19" i="17"/>
  <c r="B18" i="17"/>
  <c r="C18" i="17"/>
  <c r="D18" i="17"/>
  <c r="E18" i="17"/>
  <c r="F18" i="17"/>
  <c r="G18" i="17"/>
  <c r="B17" i="17"/>
  <c r="C17" i="17"/>
  <c r="D17" i="17"/>
  <c r="E17" i="17"/>
  <c r="F17" i="17"/>
  <c r="G17" i="17"/>
  <c r="B16" i="17"/>
  <c r="C16" i="17"/>
  <c r="D16" i="17"/>
  <c r="E16" i="17"/>
  <c r="F16" i="17"/>
  <c r="G16" i="17"/>
  <c r="B15" i="17"/>
  <c r="C15" i="17"/>
  <c r="D15" i="17"/>
  <c r="E15" i="17"/>
  <c r="F15" i="17"/>
  <c r="G15" i="17"/>
  <c r="B14" i="17"/>
  <c r="C14" i="17"/>
  <c r="D14" i="17"/>
  <c r="E14" i="17"/>
  <c r="F14" i="17"/>
  <c r="G14" i="17"/>
  <c r="B13" i="17"/>
  <c r="C13" i="17"/>
  <c r="D13" i="17"/>
  <c r="E13" i="17"/>
  <c r="F13" i="17"/>
  <c r="G13" i="17"/>
  <c r="B12" i="17"/>
  <c r="C12" i="17"/>
  <c r="D12" i="17"/>
  <c r="E12" i="17"/>
  <c r="F12" i="17"/>
  <c r="G12" i="17"/>
  <c r="B11" i="17"/>
  <c r="C11" i="17"/>
  <c r="D11" i="17"/>
  <c r="E11" i="17"/>
  <c r="F11" i="17"/>
  <c r="G11" i="17"/>
  <c r="A10" i="17"/>
  <c r="A2" i="16"/>
  <c r="B33" i="18"/>
  <c r="B32" i="18"/>
  <c r="B36" i="18"/>
  <c r="B38" i="18"/>
  <c r="A17" i="10"/>
  <c r="C16" i="10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J26" i="9"/>
  <c r="E37" i="9"/>
  <c r="B120" i="9"/>
  <c r="F119" i="9"/>
  <c r="C119" i="9"/>
  <c r="H118" i="9"/>
  <c r="E118" i="9"/>
  <c r="B118" i="9"/>
  <c r="H117" i="9"/>
  <c r="E117" i="9"/>
  <c r="J116" i="9"/>
  <c r="D116" i="9"/>
  <c r="J115" i="9"/>
  <c r="H115" i="9"/>
  <c r="E115" i="9"/>
  <c r="J114" i="9"/>
  <c r="D114" i="9"/>
  <c r="J113" i="9"/>
  <c r="F113" i="9"/>
  <c r="C113" i="9"/>
  <c r="F112" i="9"/>
  <c r="C112" i="9"/>
  <c r="F111" i="9"/>
  <c r="C111" i="9"/>
  <c r="F110" i="9"/>
  <c r="B110" i="9"/>
  <c r="H109" i="9"/>
  <c r="C109" i="9"/>
  <c r="H108" i="9"/>
  <c r="D108" i="9"/>
  <c r="J107" i="9"/>
  <c r="E107" i="9"/>
  <c r="B107" i="9"/>
  <c r="H106" i="9"/>
  <c r="E106" i="9"/>
  <c r="B106" i="9"/>
  <c r="D105" i="9"/>
  <c r="J104" i="9"/>
  <c r="E104" i="9"/>
  <c r="B104" i="9"/>
  <c r="H103" i="9"/>
  <c r="E103" i="9"/>
  <c r="B103" i="9"/>
  <c r="H102" i="9"/>
  <c r="E102" i="9"/>
  <c r="B102" i="9"/>
  <c r="F101" i="9"/>
  <c r="C101" i="9"/>
  <c r="F100" i="9"/>
  <c r="C100" i="9"/>
  <c r="H99" i="9"/>
  <c r="E99" i="9"/>
  <c r="E98" i="9"/>
  <c r="B98" i="9"/>
  <c r="H97" i="9"/>
  <c r="F97" i="9"/>
  <c r="C97" i="9"/>
  <c r="H96" i="9"/>
  <c r="E96" i="9"/>
  <c r="C96" i="9"/>
  <c r="F95" i="9"/>
  <c r="B95" i="9"/>
  <c r="H94" i="9"/>
  <c r="E94" i="9"/>
  <c r="J93" i="9"/>
  <c r="D93" i="9"/>
  <c r="J92" i="9"/>
  <c r="D92" i="9"/>
  <c r="J91" i="9"/>
  <c r="F91" i="9"/>
  <c r="C91" i="9"/>
  <c r="F90" i="9"/>
  <c r="C90" i="9"/>
  <c r="E89" i="9"/>
  <c r="J88" i="9"/>
  <c r="D88" i="9"/>
  <c r="F87" i="9"/>
  <c r="C87" i="9"/>
  <c r="F86" i="9"/>
  <c r="C86" i="9"/>
  <c r="E85" i="9"/>
  <c r="B85" i="9"/>
  <c r="H84" i="9"/>
  <c r="E84" i="9"/>
  <c r="B84" i="9"/>
  <c r="F83" i="9"/>
  <c r="C83" i="9"/>
  <c r="F82" i="9"/>
  <c r="C82" i="9"/>
  <c r="H81" i="9"/>
  <c r="D81" i="9"/>
  <c r="J80" i="9"/>
  <c r="D80" i="9"/>
  <c r="J79" i="9"/>
  <c r="H79" i="9"/>
  <c r="F79" i="9"/>
  <c r="D79" i="9"/>
  <c r="J78" i="9"/>
  <c r="D78" i="9"/>
  <c r="J77" i="9"/>
  <c r="F77" i="9"/>
  <c r="C77" i="9"/>
  <c r="F76" i="9"/>
  <c r="C76" i="9"/>
  <c r="F75" i="9"/>
  <c r="C75" i="9"/>
  <c r="F74" i="9"/>
  <c r="B74" i="9"/>
  <c r="H73" i="9"/>
  <c r="D73" i="9"/>
  <c r="J72" i="9"/>
  <c r="F72" i="9"/>
  <c r="J71" i="9"/>
  <c r="E71" i="9"/>
  <c r="B71" i="9"/>
  <c r="H70" i="9"/>
  <c r="E70" i="9"/>
  <c r="B70" i="9"/>
  <c r="H69" i="9"/>
  <c r="E69" i="9"/>
  <c r="E68" i="9"/>
  <c r="B68" i="9"/>
  <c r="H67" i="9"/>
  <c r="E67" i="9"/>
  <c r="B67" i="9"/>
  <c r="H66" i="9"/>
  <c r="D66" i="9"/>
  <c r="J65" i="9"/>
  <c r="C65" i="9"/>
  <c r="E64" i="9"/>
  <c r="B64" i="9"/>
  <c r="H63" i="9"/>
  <c r="E63" i="9"/>
  <c r="B63" i="9"/>
  <c r="D62" i="9"/>
  <c r="J61" i="9"/>
  <c r="F61" i="9"/>
  <c r="C61" i="9"/>
  <c r="F60" i="9"/>
  <c r="C60" i="9"/>
  <c r="F59" i="9"/>
  <c r="C59" i="9"/>
  <c r="H58" i="9"/>
  <c r="E58" i="9"/>
  <c r="B58" i="9"/>
  <c r="F57" i="9"/>
  <c r="C57" i="9"/>
  <c r="H56" i="9"/>
  <c r="E56" i="9"/>
  <c r="B56" i="9"/>
  <c r="H55" i="9"/>
  <c r="E55" i="9"/>
  <c r="B55" i="9"/>
  <c r="D54" i="9"/>
  <c r="J53" i="9"/>
  <c r="C53" i="9"/>
  <c r="F52" i="9"/>
  <c r="C52" i="9"/>
  <c r="E51" i="9"/>
  <c r="J50" i="9"/>
  <c r="D50" i="9"/>
  <c r="F49" i="9"/>
  <c r="C49" i="9"/>
  <c r="H48" i="9"/>
  <c r="E48" i="9"/>
  <c r="B48" i="9"/>
  <c r="H47" i="9"/>
  <c r="E47" i="9"/>
  <c r="B47" i="9"/>
  <c r="H46" i="9"/>
  <c r="D46" i="9"/>
  <c r="F45" i="9"/>
  <c r="C45" i="9"/>
  <c r="H44" i="9"/>
  <c r="E44" i="9"/>
  <c r="B44" i="9"/>
  <c r="H43" i="9"/>
  <c r="E43" i="9"/>
  <c r="B43" i="9"/>
  <c r="H42" i="9"/>
  <c r="E42" i="9"/>
  <c r="B42" i="9"/>
  <c r="H41" i="9"/>
  <c r="D41" i="9"/>
  <c r="B41" i="9"/>
  <c r="H40" i="9"/>
  <c r="E40" i="9"/>
  <c r="C40" i="9"/>
  <c r="F39" i="9"/>
  <c r="D39" i="9"/>
  <c r="J38" i="9"/>
  <c r="D38" i="9"/>
  <c r="J37" i="9"/>
  <c r="F37" i="9"/>
  <c r="C37" i="9"/>
  <c r="F36" i="9"/>
  <c r="C36" i="9"/>
  <c r="F35" i="9"/>
  <c r="B35" i="9"/>
  <c r="H34" i="9"/>
  <c r="E34" i="9"/>
  <c r="B34" i="9"/>
  <c r="H33" i="9"/>
  <c r="D33" i="9"/>
  <c r="J32" i="9"/>
  <c r="D32" i="9"/>
  <c r="J31" i="9"/>
  <c r="C31" i="9"/>
  <c r="H30" i="9"/>
  <c r="E30" i="9"/>
  <c r="B30" i="9"/>
  <c r="H29" i="9"/>
  <c r="D29" i="9"/>
  <c r="H28" i="9"/>
  <c r="E28" i="9"/>
  <c r="J27" i="9"/>
  <c r="F27" i="9"/>
  <c r="C27" i="9"/>
  <c r="H120" i="9"/>
  <c r="D26" i="9"/>
  <c r="F25" i="9"/>
  <c r="C25" i="9"/>
  <c r="F24" i="9"/>
  <c r="C24" i="9"/>
  <c r="J23" i="9"/>
  <c r="H23" i="9"/>
  <c r="D23" i="9"/>
  <c r="J22" i="9"/>
  <c r="D22" i="9"/>
  <c r="F21" i="9"/>
  <c r="C21" i="9"/>
  <c r="J20" i="9"/>
  <c r="F20" i="9"/>
  <c r="C20" i="9"/>
  <c r="F19" i="9"/>
  <c r="B19" i="9"/>
  <c r="J18" i="9"/>
  <c r="D18" i="9"/>
  <c r="H17" i="9"/>
  <c r="D17" i="9"/>
  <c r="C17" i="9"/>
  <c r="J17" i="9"/>
  <c r="B18" i="9"/>
  <c r="E18" i="9"/>
  <c r="H18" i="9"/>
  <c r="O5" i="9" s="1"/>
  <c r="D19" i="9"/>
  <c r="D20" i="9"/>
  <c r="H20" i="9"/>
  <c r="D21" i="9"/>
  <c r="J21" i="9"/>
  <c r="C22" i="9"/>
  <c r="N5" i="9" s="1"/>
  <c r="P5" i="9" s="1"/>
  <c r="C121" i="9"/>
  <c r="F121" i="9"/>
  <c r="B122" i="9"/>
  <c r="F122" i="9"/>
  <c r="C123" i="9"/>
  <c r="E123" i="9"/>
  <c r="H123" i="9"/>
  <c r="B124" i="9"/>
  <c r="E124" i="9"/>
  <c r="H124" i="9"/>
  <c r="C125" i="9"/>
  <c r="J125" i="9"/>
  <c r="D126" i="9"/>
  <c r="J126" i="9"/>
  <c r="E127" i="9"/>
  <c r="H127" i="9"/>
  <c r="B128" i="9"/>
  <c r="F128" i="9"/>
  <c r="D129" i="9"/>
  <c r="J129" i="9"/>
  <c r="D130" i="9"/>
  <c r="B131" i="9"/>
  <c r="E131" i="9"/>
  <c r="J131" i="9"/>
  <c r="D132" i="9"/>
  <c r="J132" i="9"/>
  <c r="D133" i="9"/>
  <c r="J133" i="9"/>
  <c r="D134" i="9"/>
  <c r="J134" i="9"/>
  <c r="D135" i="9"/>
  <c r="H135" i="9"/>
  <c r="B136" i="9"/>
  <c r="F136" i="9"/>
  <c r="C137" i="9"/>
  <c r="F137" i="9"/>
  <c r="D138" i="9"/>
  <c r="B139" i="9"/>
  <c r="E139" i="9"/>
  <c r="H139" i="9"/>
  <c r="B140" i="9"/>
  <c r="F140" i="9"/>
  <c r="J140" i="9"/>
  <c r="D141" i="9"/>
  <c r="H141" i="9"/>
  <c r="B142" i="9"/>
  <c r="E142" i="9"/>
  <c r="J142" i="9"/>
  <c r="D143" i="9"/>
  <c r="H143" i="9"/>
  <c r="B144" i="9"/>
  <c r="E144" i="9"/>
  <c r="J144" i="9"/>
  <c r="D145" i="9"/>
  <c r="C146" i="9"/>
  <c r="F146" i="9"/>
  <c r="C147" i="9"/>
  <c r="F147" i="9"/>
  <c r="C148" i="9"/>
  <c r="E148" i="9"/>
  <c r="H148" i="9"/>
  <c r="B149" i="9"/>
  <c r="E149" i="9"/>
  <c r="H149" i="9"/>
  <c r="C150" i="9"/>
  <c r="F150" i="9"/>
  <c r="J150" i="9"/>
  <c r="D151" i="9"/>
  <c r="J151" i="9"/>
  <c r="D152" i="9"/>
  <c r="J152" i="9"/>
  <c r="E153" i="9"/>
  <c r="J153" i="9"/>
  <c r="D154" i="9"/>
  <c r="J154" i="9"/>
  <c r="D155" i="9"/>
  <c r="B156" i="9"/>
  <c r="E156" i="9"/>
  <c r="H156" i="9"/>
  <c r="B157" i="9"/>
  <c r="E157" i="9"/>
  <c r="H157" i="9"/>
  <c r="C158" i="9"/>
  <c r="F158" i="9"/>
  <c r="C159" i="9"/>
  <c r="F159" i="9"/>
  <c r="C160" i="9"/>
  <c r="F160" i="9"/>
  <c r="J160" i="9"/>
  <c r="D161" i="9"/>
  <c r="J161" i="9"/>
  <c r="E162" i="9"/>
  <c r="J162" i="9"/>
  <c r="D163" i="9"/>
  <c r="H163" i="9"/>
  <c r="B164" i="9"/>
  <c r="E164" i="9"/>
  <c r="J164" i="9"/>
  <c r="D165" i="9"/>
  <c r="B166" i="9"/>
  <c r="E166" i="9"/>
  <c r="J166" i="9"/>
  <c r="D167" i="9"/>
  <c r="C168" i="9"/>
  <c r="F168" i="9"/>
  <c r="C169" i="9"/>
  <c r="F169" i="9"/>
  <c r="J169" i="9"/>
  <c r="E170" i="9"/>
  <c r="H170" i="9"/>
  <c r="B171" i="9"/>
  <c r="E171" i="9"/>
  <c r="H171" i="9"/>
  <c r="C172" i="9"/>
  <c r="F172" i="9"/>
  <c r="B173" i="9"/>
  <c r="E173" i="9"/>
  <c r="J173" i="9"/>
  <c r="E174" i="9"/>
  <c r="J174" i="9"/>
  <c r="D175" i="9"/>
  <c r="H175" i="9"/>
  <c r="B176" i="9"/>
  <c r="E176" i="9"/>
  <c r="H176" i="9"/>
  <c r="B177" i="9"/>
  <c r="F177" i="9"/>
  <c r="C178" i="9"/>
  <c r="F178" i="9"/>
  <c r="J178" i="9"/>
  <c r="D179" i="9"/>
  <c r="J179" i="9"/>
  <c r="E180" i="9"/>
  <c r="H180" i="9"/>
  <c r="B181" i="9"/>
  <c r="E181" i="9"/>
  <c r="J181" i="9"/>
  <c r="D182" i="9"/>
  <c r="H182" i="9"/>
  <c r="B183" i="9"/>
  <c r="E183" i="9"/>
  <c r="C184" i="9"/>
  <c r="F184" i="9"/>
  <c r="C185" i="9"/>
  <c r="F185" i="9"/>
  <c r="J185" i="9"/>
  <c r="D186" i="9"/>
  <c r="B187" i="9"/>
  <c r="E187" i="9"/>
  <c r="H187" i="9"/>
  <c r="B188" i="9"/>
  <c r="E188" i="9"/>
  <c r="H188" i="9"/>
  <c r="C189" i="9"/>
  <c r="E189" i="9"/>
  <c r="H189" i="9"/>
  <c r="B190" i="9"/>
  <c r="E190" i="9"/>
  <c r="H190" i="9"/>
  <c r="B191" i="9"/>
  <c r="E191" i="9"/>
  <c r="H191" i="9"/>
  <c r="B192" i="9"/>
  <c r="E192" i="9"/>
  <c r="C193" i="9"/>
  <c r="F22" i="9"/>
  <c r="J256" i="9"/>
  <c r="C256" i="9"/>
  <c r="J255" i="9"/>
  <c r="H255" i="9"/>
  <c r="F255" i="9"/>
  <c r="E255" i="9"/>
  <c r="B255" i="9"/>
  <c r="F254" i="9"/>
  <c r="C254" i="9"/>
  <c r="H253" i="9"/>
  <c r="E253" i="9"/>
  <c r="C253" i="9"/>
  <c r="D252" i="9"/>
  <c r="J251" i="9"/>
  <c r="E251" i="9"/>
  <c r="B251" i="9"/>
  <c r="F250" i="9"/>
  <c r="C250" i="9"/>
  <c r="F249" i="9"/>
  <c r="C249" i="9"/>
  <c r="F248" i="9"/>
  <c r="D248" i="9"/>
  <c r="J247" i="9"/>
  <c r="F247" i="9"/>
  <c r="D247" i="9"/>
  <c r="B247" i="9"/>
  <c r="F246" i="9"/>
  <c r="E246" i="9"/>
  <c r="B246" i="9"/>
  <c r="H245" i="9"/>
  <c r="F245" i="9"/>
  <c r="C245" i="9"/>
  <c r="F244" i="9"/>
  <c r="D244" i="9"/>
  <c r="J243" i="9"/>
  <c r="F243" i="9"/>
  <c r="D243" i="9"/>
  <c r="B243" i="9"/>
  <c r="F242" i="9"/>
  <c r="C242" i="9"/>
  <c r="F241" i="9"/>
  <c r="D241" i="9"/>
  <c r="J240" i="9"/>
  <c r="D240" i="9"/>
  <c r="C240" i="9"/>
  <c r="F239" i="9"/>
  <c r="C239" i="9"/>
  <c r="F238" i="9"/>
  <c r="D238" i="9"/>
  <c r="B238" i="9"/>
  <c r="H237" i="9"/>
  <c r="E237" i="9"/>
  <c r="B237" i="9"/>
  <c r="F236" i="9"/>
  <c r="C236" i="9"/>
  <c r="E235" i="9"/>
  <c r="B235" i="9"/>
  <c r="J234" i="9"/>
  <c r="E234" i="9"/>
  <c r="C234" i="9"/>
  <c r="F233" i="9"/>
  <c r="C233" i="9"/>
  <c r="E232" i="9"/>
  <c r="B232" i="9"/>
  <c r="H231" i="9"/>
  <c r="E231" i="9"/>
  <c r="D231" i="9"/>
  <c r="J230" i="9"/>
  <c r="D230" i="9"/>
  <c r="B230" i="9"/>
  <c r="H229" i="9"/>
  <c r="E229" i="9"/>
  <c r="J228" i="9"/>
  <c r="D228" i="9"/>
  <c r="B228" i="9"/>
  <c r="H227" i="9"/>
  <c r="E227" i="9"/>
  <c r="B227" i="9"/>
  <c r="F226" i="9"/>
  <c r="C226" i="9"/>
  <c r="F225" i="9"/>
  <c r="C225" i="9"/>
  <c r="J224" i="9"/>
  <c r="H224" i="9"/>
  <c r="E224" i="9"/>
  <c r="D224" i="9"/>
  <c r="J223" i="9"/>
  <c r="D223" i="9"/>
  <c r="B223" i="9"/>
  <c r="H222" i="9"/>
  <c r="F222" i="9"/>
  <c r="C222" i="9"/>
  <c r="F221" i="9"/>
  <c r="C221" i="9"/>
  <c r="D220" i="9"/>
  <c r="J219" i="9"/>
  <c r="D219" i="9"/>
  <c r="J218" i="9"/>
  <c r="F218" i="9"/>
  <c r="C218" i="9"/>
  <c r="F217" i="9"/>
  <c r="D217" i="9"/>
  <c r="J216" i="9"/>
  <c r="D216" i="9"/>
  <c r="J215" i="9"/>
  <c r="D215" i="9"/>
  <c r="J214" i="9"/>
  <c r="E214" i="9"/>
  <c r="B214" i="9"/>
  <c r="D213" i="9"/>
  <c r="C213" i="9"/>
  <c r="J212" i="9"/>
  <c r="E212" i="9"/>
  <c r="B212" i="9"/>
  <c r="J211" i="9"/>
  <c r="E211" i="9"/>
  <c r="B211" i="9"/>
  <c r="F210" i="9"/>
  <c r="C210" i="9"/>
  <c r="F209" i="9"/>
  <c r="C209" i="9"/>
  <c r="F208" i="9"/>
  <c r="D208" i="9"/>
  <c r="J207" i="9"/>
  <c r="F207" i="9"/>
  <c r="C207" i="9"/>
  <c r="B207" i="9"/>
  <c r="F206" i="9"/>
  <c r="D206" i="9"/>
  <c r="J205" i="9"/>
  <c r="E205" i="9"/>
  <c r="C205" i="9"/>
  <c r="J204" i="9"/>
  <c r="D204" i="9"/>
  <c r="B204" i="9"/>
  <c r="H203" i="9"/>
  <c r="E203" i="9"/>
  <c r="B203" i="9"/>
  <c r="F202" i="9"/>
  <c r="C202" i="9"/>
  <c r="D201" i="9"/>
  <c r="J200" i="9"/>
  <c r="F200" i="9"/>
  <c r="C200" i="9"/>
  <c r="E199" i="9"/>
  <c r="C199" i="9"/>
  <c r="H198" i="9"/>
  <c r="F198" i="9"/>
  <c r="C198" i="9"/>
  <c r="H197" i="9"/>
  <c r="E197" i="9"/>
  <c r="B197" i="9"/>
  <c r="H196" i="9"/>
  <c r="E196" i="9"/>
  <c r="B196" i="9"/>
  <c r="E195" i="9"/>
  <c r="C195" i="9"/>
  <c r="H194" i="9"/>
  <c r="E194" i="9"/>
  <c r="B194" i="9"/>
  <c r="J193" i="9"/>
  <c r="E193" i="9"/>
  <c r="B193" i="9"/>
  <c r="H192" i="9"/>
  <c r="F192" i="9"/>
  <c r="C192" i="9"/>
  <c r="D191" i="9"/>
  <c r="J190" i="9"/>
  <c r="D190" i="9"/>
  <c r="J189" i="9"/>
  <c r="D189" i="9"/>
  <c r="J188" i="9"/>
  <c r="F188" i="9"/>
  <c r="D188" i="9"/>
  <c r="J187" i="9"/>
  <c r="D187" i="9"/>
  <c r="J186" i="9"/>
  <c r="F186" i="9"/>
  <c r="C186" i="9"/>
  <c r="H185" i="9"/>
  <c r="E185" i="9"/>
  <c r="B185" i="9"/>
  <c r="H184" i="9"/>
  <c r="E184" i="9"/>
  <c r="B184" i="9"/>
  <c r="J183" i="9"/>
  <c r="H183" i="9"/>
  <c r="F183" i="9"/>
  <c r="C183" i="9"/>
  <c r="F182" i="9"/>
  <c r="E182" i="9"/>
  <c r="B182" i="9"/>
  <c r="F181" i="9"/>
  <c r="C181" i="9"/>
  <c r="J180" i="9"/>
  <c r="D180" i="9"/>
  <c r="B180" i="9"/>
  <c r="H179" i="9"/>
  <c r="E179" i="9"/>
  <c r="B179" i="9"/>
  <c r="D178" i="9"/>
  <c r="J177" i="9"/>
  <c r="H177" i="9"/>
  <c r="E177" i="9"/>
  <c r="D177" i="9"/>
  <c r="J176" i="9"/>
  <c r="F176" i="9"/>
  <c r="D176" i="9"/>
  <c r="J175" i="9"/>
  <c r="F175" i="9"/>
  <c r="C175" i="9"/>
  <c r="F174" i="9"/>
  <c r="D174" i="9"/>
  <c r="B174" i="9"/>
  <c r="F173" i="9"/>
  <c r="C173" i="9"/>
  <c r="H172" i="9"/>
  <c r="E172" i="9"/>
  <c r="B172" i="9"/>
  <c r="F171" i="9"/>
  <c r="C171" i="9"/>
  <c r="D170" i="9"/>
  <c r="B170" i="9"/>
  <c r="H169" i="9"/>
  <c r="E169" i="9"/>
  <c r="B169" i="9"/>
  <c r="H168" i="9"/>
  <c r="E168" i="9"/>
  <c r="B168" i="9"/>
  <c r="H167" i="9"/>
  <c r="F167" i="9"/>
  <c r="C167" i="9"/>
  <c r="F166" i="9"/>
  <c r="C166" i="9"/>
  <c r="H165" i="9"/>
  <c r="E165" i="9"/>
  <c r="B165" i="9"/>
  <c r="H164" i="9"/>
  <c r="F164" i="9"/>
  <c r="C164" i="9"/>
  <c r="E163" i="9"/>
  <c r="B163" i="9"/>
  <c r="H162" i="9"/>
  <c r="D162" i="9"/>
  <c r="B162" i="9"/>
  <c r="H161" i="9"/>
  <c r="F161" i="9"/>
  <c r="C161" i="9"/>
  <c r="D160" i="9"/>
  <c r="J159" i="9"/>
  <c r="D159" i="9"/>
  <c r="B159" i="9"/>
  <c r="H158" i="9"/>
  <c r="E158" i="9"/>
  <c r="B158" i="9"/>
  <c r="F157" i="9"/>
  <c r="C157" i="9"/>
  <c r="F156" i="9"/>
  <c r="D156" i="9"/>
  <c r="J155" i="9"/>
  <c r="H155" i="9"/>
  <c r="E155" i="9"/>
  <c r="C155" i="9"/>
  <c r="H154" i="9"/>
  <c r="E154" i="9"/>
  <c r="B154" i="9"/>
  <c r="F153" i="9"/>
  <c r="D153" i="9"/>
  <c r="B153" i="9"/>
  <c r="H152" i="9"/>
  <c r="E152" i="9"/>
  <c r="C152" i="9"/>
  <c r="F151" i="9"/>
  <c r="C151" i="9"/>
  <c r="E150" i="9"/>
  <c r="B150" i="9"/>
  <c r="F149" i="9"/>
  <c r="C149" i="9"/>
  <c r="F148" i="9"/>
  <c r="B148" i="9"/>
  <c r="H147" i="9"/>
  <c r="D147" i="9"/>
  <c r="J146" i="9"/>
  <c r="D146" i="9"/>
  <c r="J145" i="9"/>
  <c r="H145" i="9"/>
  <c r="E145" i="9"/>
  <c r="B145" i="9"/>
  <c r="F144" i="9"/>
  <c r="C144" i="9"/>
  <c r="J143" i="9"/>
  <c r="E143" i="9"/>
  <c r="B143" i="9"/>
  <c r="F142" i="9"/>
  <c r="D142" i="9"/>
  <c r="J141" i="9"/>
  <c r="E141" i="9"/>
  <c r="C141" i="9"/>
  <c r="E140" i="9"/>
  <c r="C140" i="9"/>
  <c r="D139" i="9"/>
  <c r="J138" i="9"/>
  <c r="F138" i="9"/>
  <c r="C138" i="9"/>
  <c r="J137" i="9"/>
  <c r="D137" i="9"/>
  <c r="J136" i="9"/>
  <c r="D136" i="9"/>
  <c r="C136" i="9"/>
  <c r="E135" i="9"/>
  <c r="C135" i="9"/>
  <c r="F134" i="9"/>
  <c r="C134" i="9"/>
  <c r="H133" i="9"/>
  <c r="E133" i="9"/>
  <c r="C133" i="9"/>
  <c r="H132" i="9"/>
  <c r="E132" i="9"/>
  <c r="B132" i="9"/>
  <c r="F131" i="9"/>
  <c r="D131" i="9"/>
  <c r="J130" i="9"/>
  <c r="H130" i="9"/>
  <c r="E130" i="9"/>
  <c r="B130" i="9"/>
  <c r="F129" i="9"/>
  <c r="C129" i="9"/>
  <c r="J128" i="9"/>
  <c r="E128" i="9"/>
  <c r="C128" i="9"/>
  <c r="F127" i="9"/>
  <c r="C127" i="9"/>
  <c r="B127" i="9"/>
  <c r="H126" i="9"/>
  <c r="E126" i="9"/>
  <c r="B126" i="9"/>
  <c r="F125" i="9"/>
  <c r="D125" i="9"/>
  <c r="B125" i="9"/>
  <c r="D124" i="9"/>
  <c r="J123" i="9"/>
  <c r="D123" i="9"/>
  <c r="J122" i="9"/>
  <c r="D122" i="9"/>
  <c r="C122" i="9"/>
  <c r="H121" i="9"/>
  <c r="E121" i="9"/>
  <c r="B121" i="9"/>
  <c r="F120" i="9"/>
  <c r="D120" i="9"/>
  <c r="J119" i="9"/>
  <c r="E119" i="9"/>
  <c r="B119" i="9"/>
  <c r="F118" i="9"/>
  <c r="C118" i="9"/>
  <c r="D117" i="9"/>
  <c r="B117" i="9"/>
  <c r="H116" i="9"/>
  <c r="E116" i="9"/>
  <c r="B116" i="9"/>
  <c r="D115" i="9"/>
  <c r="B115" i="9"/>
  <c r="F114" i="9"/>
  <c r="C114" i="9"/>
  <c r="D113" i="9"/>
  <c r="J112" i="9"/>
  <c r="H112" i="9"/>
  <c r="E112" i="9"/>
  <c r="D112" i="9"/>
  <c r="B112" i="9"/>
  <c r="H111" i="9"/>
  <c r="E111" i="9"/>
  <c r="B111" i="9"/>
  <c r="H110" i="9"/>
  <c r="E110" i="9"/>
  <c r="C110" i="9"/>
  <c r="F109" i="9"/>
  <c r="E109" i="9"/>
  <c r="B109" i="9"/>
  <c r="F108" i="9"/>
  <c r="E108" i="9"/>
  <c r="B108" i="9"/>
  <c r="F107" i="9"/>
  <c r="C107" i="9"/>
  <c r="J106" i="9"/>
  <c r="D106" i="9"/>
  <c r="C106" i="9"/>
  <c r="H105" i="9"/>
  <c r="E105" i="9"/>
  <c r="B105" i="9"/>
  <c r="F104" i="9"/>
  <c r="C104" i="9"/>
  <c r="F103" i="9"/>
  <c r="C103" i="9"/>
  <c r="J102" i="9"/>
  <c r="D102" i="9"/>
  <c r="J101" i="9"/>
  <c r="D101" i="9"/>
  <c r="J100" i="9"/>
  <c r="E100" i="9"/>
  <c r="B100" i="9"/>
  <c r="F99" i="9"/>
  <c r="C99" i="9"/>
  <c r="J98" i="9"/>
  <c r="F98" i="9"/>
  <c r="C98" i="9"/>
  <c r="J97" i="9"/>
  <c r="E97" i="9"/>
  <c r="B97" i="9"/>
  <c r="F96" i="9"/>
  <c r="D96" i="9"/>
  <c r="J95" i="9"/>
  <c r="E95" i="9"/>
  <c r="C95" i="9"/>
  <c r="J94" i="9"/>
  <c r="D94" i="9"/>
  <c r="B94" i="9"/>
  <c r="H93" i="9"/>
  <c r="F93" i="9"/>
  <c r="C93" i="9"/>
  <c r="F92" i="9"/>
  <c r="C92" i="9"/>
  <c r="D91" i="9"/>
  <c r="J90" i="9"/>
  <c r="D90" i="9"/>
  <c r="J89" i="9"/>
  <c r="D89" i="9"/>
  <c r="B89" i="9"/>
  <c r="H88" i="9"/>
  <c r="F88" i="9"/>
  <c r="C88" i="9"/>
  <c r="B88" i="9"/>
  <c r="H87" i="9"/>
  <c r="E87" i="9"/>
  <c r="D87" i="9"/>
  <c r="J86" i="9"/>
  <c r="D86" i="9"/>
  <c r="B86" i="9"/>
  <c r="H85" i="9"/>
  <c r="F85" i="9"/>
  <c r="C85" i="9"/>
  <c r="F84" i="9"/>
  <c r="D84" i="9"/>
  <c r="J83" i="9"/>
  <c r="H83" i="9"/>
  <c r="E83" i="9"/>
  <c r="B83" i="9"/>
  <c r="H82" i="9"/>
  <c r="E82" i="9"/>
  <c r="B82" i="9"/>
  <c r="F81" i="9"/>
  <c r="E81" i="9"/>
  <c r="B81" i="9"/>
  <c r="H80" i="9"/>
  <c r="E80" i="9"/>
  <c r="C80" i="9"/>
  <c r="E120" i="9"/>
  <c r="H78" i="9"/>
  <c r="E78" i="9"/>
  <c r="C78" i="9"/>
  <c r="H77" i="9"/>
  <c r="E77" i="9"/>
  <c r="D77" i="9"/>
  <c r="J76" i="9"/>
  <c r="E76" i="9"/>
  <c r="B76" i="9"/>
  <c r="H75" i="9"/>
  <c r="E75" i="9"/>
  <c r="D75" i="9"/>
  <c r="B75" i="9"/>
  <c r="H74" i="9"/>
  <c r="E74" i="9"/>
  <c r="C74" i="9"/>
  <c r="E73" i="9"/>
  <c r="B73" i="9"/>
  <c r="H72" i="9"/>
  <c r="D72" i="9"/>
  <c r="B72" i="9"/>
  <c r="F71" i="9"/>
  <c r="C71" i="9"/>
  <c r="J70" i="9"/>
  <c r="D70" i="9"/>
  <c r="J69" i="9"/>
  <c r="F69" i="9"/>
  <c r="C69" i="9"/>
  <c r="B69" i="9"/>
  <c r="H68" i="9"/>
  <c r="D68" i="9"/>
  <c r="J67" i="9"/>
  <c r="D67" i="9"/>
  <c r="J66" i="9"/>
  <c r="E66" i="9"/>
  <c r="C66" i="9"/>
  <c r="F65" i="9"/>
  <c r="D65" i="9"/>
  <c r="B65" i="9"/>
  <c r="H64" i="9"/>
  <c r="F64" i="9"/>
  <c r="D64" i="9"/>
  <c r="J63" i="9"/>
  <c r="F63" i="9"/>
  <c r="C63" i="9"/>
  <c r="H62" i="9"/>
  <c r="E62" i="9"/>
  <c r="C62" i="9"/>
  <c r="H61" i="9"/>
  <c r="E61" i="9"/>
  <c r="D61" i="9"/>
  <c r="J60" i="9"/>
  <c r="D60" i="9"/>
  <c r="J59" i="9"/>
  <c r="D59" i="9"/>
  <c r="J58" i="9"/>
  <c r="D58" i="9"/>
  <c r="J57" i="9"/>
  <c r="E57" i="9"/>
  <c r="B57" i="9"/>
  <c r="F56" i="9"/>
  <c r="C56" i="9"/>
  <c r="F55" i="9"/>
  <c r="C55" i="9"/>
  <c r="J54" i="9"/>
  <c r="H54" i="9"/>
  <c r="E54" i="9"/>
  <c r="C54" i="9"/>
  <c r="F53" i="9"/>
  <c r="D53" i="9"/>
  <c r="J52" i="9"/>
  <c r="H52" i="9"/>
  <c r="E52" i="9"/>
  <c r="B52" i="9"/>
  <c r="H51" i="9"/>
  <c r="F51" i="9"/>
  <c r="D51" i="9"/>
  <c r="B51" i="9"/>
  <c r="F50" i="9"/>
  <c r="C50" i="9"/>
  <c r="J49" i="9"/>
  <c r="D49" i="9"/>
  <c r="J48" i="9"/>
  <c r="F48" i="9"/>
  <c r="C48" i="9"/>
  <c r="D47" i="9"/>
  <c r="J46" i="9"/>
  <c r="E46" i="9"/>
  <c r="C46" i="9"/>
  <c r="J45" i="9"/>
  <c r="H45" i="9"/>
  <c r="E45" i="9"/>
  <c r="B45" i="9"/>
  <c r="F44" i="9"/>
  <c r="C44" i="9"/>
  <c r="F43" i="9"/>
  <c r="C43" i="9"/>
  <c r="F42" i="9"/>
  <c r="C42" i="9"/>
  <c r="J41" i="9"/>
  <c r="F41" i="9"/>
  <c r="C41" i="9"/>
  <c r="D40" i="9"/>
  <c r="J39" i="9"/>
  <c r="E39" i="9"/>
  <c r="B39" i="9"/>
  <c r="H38" i="9"/>
  <c r="E38" i="9"/>
  <c r="C38" i="9"/>
  <c r="D37" i="9"/>
  <c r="J36" i="9"/>
  <c r="D36" i="9"/>
  <c r="J35" i="9"/>
  <c r="H35" i="9"/>
  <c r="E35" i="9"/>
  <c r="C35" i="9"/>
  <c r="F34" i="9"/>
  <c r="C34" i="9"/>
  <c r="J33" i="9"/>
  <c r="E33" i="9"/>
  <c r="B33" i="9"/>
  <c r="H32" i="9"/>
  <c r="E32" i="9"/>
  <c r="B32" i="9"/>
  <c r="F31" i="9"/>
  <c r="D31" i="9"/>
  <c r="B31" i="9"/>
  <c r="D30" i="9"/>
  <c r="C30" i="9"/>
  <c r="E29" i="9"/>
  <c r="B29" i="9"/>
  <c r="F28" i="9"/>
  <c r="C28" i="9"/>
  <c r="E27" i="9"/>
  <c r="B27" i="9"/>
  <c r="H26" i="9"/>
  <c r="F26" i="9"/>
  <c r="C26" i="9"/>
  <c r="J25" i="9"/>
  <c r="E25" i="9"/>
  <c r="B25" i="9"/>
  <c r="J24" i="9"/>
  <c r="E24" i="9"/>
  <c r="B24" i="9"/>
  <c r="F23" i="9"/>
  <c r="C23" i="9"/>
  <c r="H22" i="9"/>
  <c r="E22" i="9"/>
  <c r="B22" i="9"/>
  <c r="H21" i="9"/>
  <c r="E21" i="9"/>
  <c r="B21" i="9"/>
  <c r="E20" i="9"/>
  <c r="B20" i="9"/>
  <c r="J19" i="9"/>
  <c r="H19" i="9"/>
  <c r="E19" i="9"/>
  <c r="C19" i="9"/>
  <c r="F18" i="9"/>
  <c r="C18" i="9"/>
  <c r="F17" i="9"/>
  <c r="E17" i="9"/>
  <c r="B17" i="9"/>
  <c r="D14" i="9"/>
  <c r="D13" i="9" s="1"/>
  <c r="B23" i="9"/>
  <c r="E23" i="9"/>
  <c r="D24" i="9"/>
  <c r="H24" i="9"/>
  <c r="D25" i="9"/>
  <c r="H25" i="9"/>
  <c r="B26" i="9"/>
  <c r="E26" i="9"/>
  <c r="D27" i="9"/>
  <c r="H27" i="9"/>
  <c r="B28" i="9"/>
  <c r="D28" i="9"/>
  <c r="J28" i="9"/>
  <c r="C29" i="9"/>
  <c r="F29" i="9"/>
  <c r="J29" i="9"/>
  <c r="F30" i="9"/>
  <c r="J30" i="9"/>
  <c r="E31" i="9"/>
  <c r="H31" i="9"/>
  <c r="C32" i="9"/>
  <c r="F32" i="9"/>
  <c r="C33" i="9"/>
  <c r="F33" i="9"/>
  <c r="D34" i="9"/>
  <c r="J34" i="9"/>
  <c r="D35" i="9"/>
  <c r="B36" i="9"/>
  <c r="E36" i="9"/>
  <c r="H36" i="9"/>
  <c r="F193" i="9"/>
  <c r="C194" i="9"/>
  <c r="F194" i="9"/>
  <c r="J194" i="9"/>
  <c r="D195" i="9"/>
  <c r="H195" i="9"/>
  <c r="C196" i="9"/>
  <c r="F196" i="9"/>
  <c r="C197" i="9"/>
  <c r="F197" i="9"/>
  <c r="J197" i="9"/>
  <c r="D198" i="9"/>
  <c r="J198" i="9"/>
  <c r="D199" i="9"/>
  <c r="H199" i="9"/>
  <c r="B200" i="9"/>
  <c r="E200" i="9"/>
  <c r="H200" i="9"/>
  <c r="C201" i="9"/>
  <c r="F201" i="9"/>
  <c r="J201" i="9"/>
  <c r="D202" i="9"/>
  <c r="H202" i="9"/>
  <c r="C203" i="9"/>
  <c r="F203" i="9"/>
  <c r="J203" i="9"/>
  <c r="E204" i="9"/>
  <c r="H204" i="9"/>
  <c r="B205" i="9"/>
  <c r="F205" i="9"/>
  <c r="C206" i="9"/>
  <c r="J206" i="9"/>
  <c r="E207" i="9"/>
  <c r="H207" i="9"/>
  <c r="B208" i="9"/>
  <c r="E208" i="9"/>
  <c r="H208" i="9"/>
  <c r="J208" i="9"/>
  <c r="D209" i="9"/>
  <c r="J209" i="9"/>
  <c r="D210" i="9"/>
  <c r="J210" i="9"/>
  <c r="D211" i="9"/>
  <c r="H211" i="9"/>
  <c r="C212" i="9"/>
  <c r="F212" i="9"/>
  <c r="E213" i="9"/>
  <c r="H213" i="9"/>
  <c r="C214" i="9"/>
  <c r="F214" i="9"/>
  <c r="C215" i="9"/>
  <c r="F215" i="9"/>
  <c r="C216" i="9"/>
  <c r="F216" i="9"/>
  <c r="B217" i="9"/>
  <c r="E217" i="9"/>
  <c r="J217" i="9"/>
  <c r="D218" i="9"/>
  <c r="H218" i="9"/>
  <c r="B219" i="9"/>
  <c r="E219" i="9"/>
  <c r="H219" i="9"/>
  <c r="B220" i="9"/>
  <c r="E220" i="9"/>
  <c r="H220" i="9"/>
  <c r="J220" i="9"/>
  <c r="D221" i="9"/>
  <c r="H221" i="9"/>
  <c r="B222" i="9"/>
  <c r="E222" i="9"/>
  <c r="C223" i="9"/>
  <c r="F223" i="9"/>
  <c r="B224" i="9"/>
  <c r="F224" i="9"/>
  <c r="D225" i="9"/>
  <c r="J225" i="9"/>
  <c r="D226" i="9"/>
  <c r="J226" i="9"/>
  <c r="D227" i="9"/>
  <c r="C228" i="9"/>
  <c r="F228" i="9"/>
  <c r="C229" i="9"/>
  <c r="F229" i="9"/>
  <c r="C230" i="9"/>
  <c r="F230" i="9"/>
  <c r="C231" i="9"/>
  <c r="F231" i="9"/>
  <c r="C232" i="9"/>
  <c r="F232" i="9"/>
  <c r="J232" i="9"/>
  <c r="D233" i="9"/>
  <c r="J233" i="9"/>
  <c r="D234" i="9"/>
  <c r="H234" i="9"/>
  <c r="C235" i="9"/>
  <c r="F235" i="9"/>
  <c r="J235" i="9"/>
  <c r="D236" i="9"/>
  <c r="J236" i="9"/>
  <c r="C237" i="9"/>
  <c r="F237" i="9"/>
  <c r="C238" i="9"/>
  <c r="J238" i="9"/>
  <c r="D239" i="9"/>
  <c r="J239" i="9"/>
  <c r="E240" i="9"/>
  <c r="H240" i="9"/>
  <c r="B241" i="9"/>
  <c r="E241" i="9"/>
  <c r="H241" i="9"/>
  <c r="B242" i="9"/>
  <c r="E242" i="9"/>
  <c r="J242" i="9"/>
  <c r="E243" i="9"/>
  <c r="C244" i="9"/>
  <c r="J244" i="9"/>
  <c r="D245" i="9"/>
  <c r="J245" i="9"/>
  <c r="D246" i="9"/>
  <c r="J246" i="9"/>
  <c r="E247" i="9"/>
  <c r="H247" i="9"/>
  <c r="C248" i="9"/>
  <c r="J248" i="9"/>
  <c r="D249" i="9"/>
  <c r="J249" i="9"/>
  <c r="D250" i="9"/>
  <c r="J250" i="9"/>
  <c r="C251" i="9"/>
  <c r="F251" i="9"/>
  <c r="C252" i="9"/>
  <c r="F252" i="9"/>
  <c r="J252" i="9"/>
  <c r="D253" i="9"/>
  <c r="J253" i="9"/>
  <c r="D254" i="9"/>
  <c r="J254" i="9"/>
  <c r="D255" i="9"/>
  <c r="B256" i="9"/>
  <c r="E256" i="9"/>
  <c r="F256" i="9"/>
  <c r="H256" i="9"/>
  <c r="B37" i="9"/>
  <c r="D256" i="9"/>
  <c r="C255" i="9"/>
  <c r="H254" i="9"/>
  <c r="E254" i="9"/>
  <c r="B254" i="9"/>
  <c r="F253" i="9"/>
  <c r="B253" i="9"/>
  <c r="H252" i="9"/>
  <c r="E252" i="9"/>
  <c r="B252" i="9"/>
  <c r="H251" i="9"/>
  <c r="D251" i="9"/>
  <c r="H250" i="9"/>
  <c r="E250" i="9"/>
  <c r="B250" i="9"/>
  <c r="H249" i="9"/>
  <c r="E249" i="9"/>
  <c r="B249" i="9"/>
  <c r="H248" i="9"/>
  <c r="E248" i="9"/>
  <c r="B248" i="9"/>
  <c r="C247" i="9"/>
  <c r="H246" i="9"/>
  <c r="C246" i="9"/>
  <c r="E245" i="9"/>
  <c r="B245" i="9"/>
  <c r="H244" i="9"/>
  <c r="E244" i="9"/>
  <c r="B244" i="9"/>
  <c r="H243" i="9"/>
  <c r="C243" i="9"/>
  <c r="H242" i="9"/>
  <c r="D242" i="9"/>
  <c r="J241" i="9"/>
  <c r="C241" i="9"/>
  <c r="F240" i="9"/>
  <c r="B240" i="9"/>
  <c r="H239" i="9"/>
  <c r="E239" i="9"/>
  <c r="B239" i="9"/>
  <c r="H238" i="9"/>
  <c r="E238" i="9"/>
  <c r="J237" i="9"/>
  <c r="D237" i="9"/>
  <c r="H236" i="9"/>
  <c r="E236" i="9"/>
  <c r="B236" i="9"/>
  <c r="H235" i="9"/>
  <c r="D235" i="9"/>
  <c r="F234" i="9"/>
  <c r="B234" i="9"/>
  <c r="H233" i="9"/>
  <c r="E233" i="9"/>
  <c r="B233" i="9"/>
  <c r="H232" i="9"/>
  <c r="D232" i="9"/>
  <c r="J231" i="9"/>
  <c r="B231" i="9"/>
  <c r="H230" i="9"/>
  <c r="E230" i="9"/>
  <c r="J229" i="9"/>
  <c r="D229" i="9"/>
  <c r="B229" i="9"/>
  <c r="H228" i="9"/>
  <c r="E228" i="9"/>
  <c r="J227" i="9"/>
  <c r="F227" i="9"/>
  <c r="C227" i="9"/>
  <c r="H226" i="9"/>
  <c r="E226" i="9"/>
  <c r="B226" i="9"/>
  <c r="H225" i="9"/>
  <c r="E225" i="9"/>
  <c r="B225" i="9"/>
  <c r="C224" i="9"/>
  <c r="H223" i="9"/>
  <c r="E223" i="9"/>
  <c r="J222" i="9"/>
  <c r="D222" i="9"/>
  <c r="J221" i="9"/>
  <c r="E221" i="9"/>
  <c r="B221" i="9"/>
  <c r="F220" i="9"/>
  <c r="C220" i="9"/>
  <c r="F219" i="9"/>
  <c r="C219" i="9"/>
  <c r="E218" i="9"/>
  <c r="B218" i="9"/>
  <c r="H217" i="9"/>
  <c r="C217" i="9"/>
  <c r="H216" i="9"/>
  <c r="E216" i="9"/>
  <c r="B216" i="9"/>
  <c r="H215" i="9"/>
  <c r="E215" i="9"/>
  <c r="B215" i="9"/>
  <c r="H214" i="9"/>
  <c r="D214" i="9"/>
  <c r="J213" i="9"/>
  <c r="F213" i="9"/>
  <c r="B213" i="9"/>
  <c r="H212" i="9"/>
  <c r="D212" i="9"/>
  <c r="F211" i="9"/>
  <c r="C211" i="9"/>
  <c r="H210" i="9"/>
  <c r="E210" i="9"/>
  <c r="B210" i="9"/>
  <c r="H209" i="9"/>
  <c r="E209" i="9"/>
  <c r="B209" i="9"/>
  <c r="C208" i="9"/>
  <c r="D207" i="9"/>
  <c r="H206" i="9"/>
  <c r="E206" i="9"/>
  <c r="B206" i="9"/>
  <c r="H205" i="9"/>
  <c r="D205" i="9"/>
  <c r="F204" i="9"/>
  <c r="C204" i="9"/>
  <c r="D203" i="9"/>
  <c r="J202" i="9"/>
  <c r="E202" i="9"/>
  <c r="B202" i="9"/>
  <c r="H201" i="9"/>
  <c r="E201" i="9"/>
  <c r="B201" i="9"/>
  <c r="D200" i="9"/>
  <c r="J199" i="9"/>
  <c r="F199" i="9"/>
  <c r="B199" i="9"/>
  <c r="E198" i="9"/>
  <c r="B198" i="9"/>
  <c r="D197" i="9"/>
  <c r="J196" i="9"/>
  <c r="D196" i="9"/>
  <c r="J195" i="9"/>
  <c r="F195" i="9"/>
  <c r="B195" i="9"/>
  <c r="D194" i="9"/>
  <c r="H193" i="9"/>
  <c r="D193" i="9"/>
  <c r="J192" i="9"/>
  <c r="D192" i="9"/>
  <c r="J191" i="9"/>
  <c r="F191" i="9"/>
  <c r="C191" i="9"/>
  <c r="F190" i="9"/>
  <c r="C190" i="9"/>
  <c r="F189" i="9"/>
  <c r="B189" i="9"/>
  <c r="C188" i="9"/>
  <c r="F187" i="9"/>
  <c r="C187" i="9"/>
  <c r="H186" i="9"/>
  <c r="E186" i="9"/>
  <c r="B186" i="9"/>
  <c r="D185" i="9"/>
  <c r="J184" i="9"/>
  <c r="D184" i="9"/>
  <c r="D183" i="9"/>
  <c r="J182" i="9"/>
  <c r="C182" i="9"/>
  <c r="H181" i="9"/>
  <c r="D181" i="9"/>
  <c r="F180" i="9"/>
  <c r="C180" i="9"/>
  <c r="F179" i="9"/>
  <c r="C179" i="9"/>
  <c r="H178" i="9"/>
  <c r="E178" i="9"/>
  <c r="B178" i="9"/>
  <c r="C177" i="9"/>
  <c r="C176" i="9"/>
  <c r="E175" i="9"/>
  <c r="B175" i="9"/>
  <c r="H174" i="9"/>
  <c r="C174" i="9"/>
  <c r="H173" i="9"/>
  <c r="D173" i="9"/>
  <c r="J172" i="9"/>
  <c r="D172" i="9"/>
  <c r="J171" i="9"/>
  <c r="D171" i="9"/>
  <c r="J170" i="9"/>
  <c r="F170" i="9"/>
  <c r="C170" i="9"/>
  <c r="D169" i="9"/>
  <c r="J168" i="9"/>
  <c r="D168" i="9"/>
  <c r="J167" i="9"/>
  <c r="E167" i="9"/>
  <c r="B167" i="9"/>
  <c r="H166" i="9"/>
  <c r="D166" i="9"/>
  <c r="J165" i="9"/>
  <c r="F165" i="9"/>
  <c r="C165" i="9"/>
  <c r="D164" i="9"/>
  <c r="J163" i="9"/>
  <c r="F163" i="9"/>
  <c r="C163" i="9"/>
  <c r="F162" i="9"/>
  <c r="C162" i="9"/>
  <c r="E161" i="9"/>
  <c r="B161" i="9"/>
  <c r="H160" i="9"/>
  <c r="E160" i="9"/>
  <c r="B160" i="9"/>
  <c r="H159" i="9"/>
  <c r="E159" i="9"/>
  <c r="J158" i="9"/>
  <c r="D158" i="9"/>
  <c r="J157" i="9"/>
  <c r="D157" i="9"/>
  <c r="J156" i="9"/>
  <c r="C156" i="9"/>
  <c r="F155" i="9"/>
  <c r="B155" i="9"/>
  <c r="F154" i="9"/>
  <c r="C154" i="9"/>
  <c r="H153" i="9"/>
  <c r="C153" i="9"/>
  <c r="F152" i="9"/>
  <c r="B152" i="9"/>
  <c r="H151" i="9"/>
  <c r="E151" i="9"/>
  <c r="B151" i="9"/>
  <c r="H150" i="9"/>
  <c r="D150" i="9"/>
  <c r="J149" i="9"/>
  <c r="D149" i="9"/>
  <c r="J148" i="9"/>
  <c r="D148" i="9"/>
  <c r="J147" i="9"/>
  <c r="E147" i="9"/>
  <c r="B147" i="9"/>
  <c r="H146" i="9"/>
  <c r="E146" i="9"/>
  <c r="B146" i="9"/>
  <c r="F145" i="9"/>
  <c r="C145" i="9"/>
  <c r="H144" i="9"/>
  <c r="D144" i="9"/>
  <c r="F143" i="9"/>
  <c r="C143" i="9"/>
  <c r="H142" i="9"/>
  <c r="C142" i="9"/>
  <c r="F141" i="9"/>
  <c r="B141" i="9"/>
  <c r="H140" i="9"/>
  <c r="D140" i="9"/>
  <c r="J139" i="9"/>
  <c r="F139" i="9"/>
  <c r="C139" i="9"/>
  <c r="H138" i="9"/>
  <c r="E138" i="9"/>
  <c r="B138" i="9"/>
  <c r="H137" i="9"/>
  <c r="E137" i="9"/>
  <c r="B137" i="9"/>
  <c r="H136" i="9"/>
  <c r="E136" i="9"/>
  <c r="J135" i="9"/>
  <c r="F135" i="9"/>
  <c r="B135" i="9"/>
  <c r="H134" i="9"/>
  <c r="E134" i="9"/>
  <c r="B134" i="9"/>
  <c r="F133" i="9"/>
  <c r="B133" i="9"/>
  <c r="F132" i="9"/>
  <c r="C132" i="9"/>
  <c r="H131" i="9"/>
  <c r="C131" i="9"/>
  <c r="F130" i="9"/>
  <c r="C130" i="9"/>
  <c r="H129" i="9"/>
  <c r="E129" i="9"/>
  <c r="B129" i="9"/>
  <c r="H128" i="9"/>
  <c r="D128" i="9"/>
  <c r="J127" i="9"/>
  <c r="D127" i="9"/>
  <c r="F126" i="9"/>
  <c r="C126" i="9"/>
  <c r="H125" i="9"/>
  <c r="E125" i="9"/>
  <c r="J124" i="9"/>
  <c r="F124" i="9"/>
  <c r="C124" i="9"/>
  <c r="F123" i="9"/>
  <c r="B123" i="9"/>
  <c r="H122" i="9"/>
  <c r="E122" i="9"/>
  <c r="J121" i="9"/>
  <c r="D121" i="9"/>
  <c r="J120" i="9"/>
  <c r="C120" i="9"/>
  <c r="H119" i="9"/>
  <c r="D119" i="9"/>
  <c r="J118" i="9"/>
  <c r="D118" i="9"/>
  <c r="J117" i="9"/>
  <c r="F117" i="9"/>
  <c r="C117" i="9"/>
  <c r="F116" i="9"/>
  <c r="C116" i="9"/>
  <c r="F115" i="9"/>
  <c r="C115" i="9"/>
  <c r="H114" i="9"/>
  <c r="E114" i="9"/>
  <c r="B114" i="9"/>
  <c r="H113" i="9"/>
  <c r="E113" i="9"/>
  <c r="B113" i="9"/>
  <c r="J111" i="9"/>
  <c r="D111" i="9"/>
  <c r="J110" i="9"/>
  <c r="D110" i="9"/>
  <c r="J109" i="9"/>
  <c r="D109" i="9"/>
  <c r="J108" i="9"/>
  <c r="C108" i="9"/>
  <c r="H107" i="9"/>
  <c r="D107" i="9"/>
  <c r="F106" i="9"/>
  <c r="J105" i="9"/>
  <c r="F105" i="9"/>
  <c r="C105" i="9"/>
  <c r="H104" i="9"/>
  <c r="D104" i="9"/>
  <c r="J103" i="9"/>
  <c r="D103" i="9"/>
  <c r="F102" i="9"/>
  <c r="C102" i="9"/>
  <c r="H101" i="9"/>
  <c r="E101" i="9"/>
  <c r="B101" i="9"/>
  <c r="H100" i="9"/>
  <c r="D100" i="9"/>
  <c r="J99" i="9"/>
  <c r="D99" i="9"/>
  <c r="B99" i="9"/>
  <c r="H98" i="9"/>
  <c r="D98" i="9"/>
  <c r="D97" i="9"/>
  <c r="J96" i="9"/>
  <c r="B96" i="9"/>
  <c r="H95" i="9"/>
  <c r="D95" i="9"/>
  <c r="F94" i="9"/>
  <c r="C94" i="9"/>
  <c r="E93" i="9"/>
  <c r="B93" i="9"/>
  <c r="H92" i="9"/>
  <c r="E92" i="9"/>
  <c r="B92" i="9"/>
  <c r="H91" i="9"/>
  <c r="E91" i="9"/>
  <c r="B91" i="9"/>
  <c r="H90" i="9"/>
  <c r="E90" i="9"/>
  <c r="B90" i="9"/>
  <c r="H89" i="9"/>
  <c r="F89" i="9"/>
  <c r="C89" i="9"/>
  <c r="E88" i="9"/>
  <c r="J87" i="9"/>
  <c r="B87" i="9"/>
  <c r="H86" i="9"/>
  <c r="E86" i="9"/>
  <c r="J85" i="9"/>
  <c r="D85" i="9"/>
  <c r="J84" i="9"/>
  <c r="C84" i="9"/>
  <c r="D83" i="9"/>
  <c r="J82" i="9"/>
  <c r="D82" i="9"/>
  <c r="J81" i="9"/>
  <c r="C81" i="9"/>
  <c r="F80" i="9"/>
  <c r="B80" i="9"/>
  <c r="E79" i="9"/>
  <c r="C79" i="9"/>
  <c r="F78" i="9"/>
  <c r="B78" i="9"/>
  <c r="B77" i="9"/>
  <c r="H76" i="9"/>
  <c r="D76" i="9"/>
  <c r="J75" i="9"/>
  <c r="J74" i="9"/>
  <c r="D74" i="9"/>
  <c r="J73" i="9"/>
  <c r="F73" i="9"/>
  <c r="C73" i="9"/>
  <c r="E72" i="9"/>
  <c r="C72" i="9"/>
  <c r="H71" i="9"/>
  <c r="D71" i="9"/>
  <c r="F70" i="9"/>
  <c r="C70" i="9"/>
  <c r="D69" i="9"/>
  <c r="J68" i="9"/>
  <c r="F68" i="9"/>
  <c r="C68" i="9"/>
  <c r="F67" i="9"/>
  <c r="C67" i="9"/>
  <c r="F66" i="9"/>
  <c r="B66" i="9"/>
  <c r="H65" i="9"/>
  <c r="E65" i="9"/>
  <c r="J64" i="9"/>
  <c r="C64" i="9"/>
  <c r="D63" i="9"/>
  <c r="J62" i="9"/>
  <c r="F62" i="9"/>
  <c r="B62" i="9"/>
  <c r="B61" i="9"/>
  <c r="H60" i="9"/>
  <c r="E60" i="9"/>
  <c r="B60" i="9"/>
  <c r="H59" i="9"/>
  <c r="E59" i="9"/>
  <c r="B59" i="9"/>
  <c r="F58" i="9"/>
  <c r="C58" i="9"/>
  <c r="H57" i="9"/>
  <c r="D57" i="9"/>
  <c r="J56" i="9"/>
  <c r="D56" i="9"/>
  <c r="J55" i="9"/>
  <c r="D55" i="9"/>
  <c r="F54" i="9"/>
  <c r="B54" i="9"/>
  <c r="H53" i="9"/>
  <c r="E53" i="9"/>
  <c r="B53" i="9"/>
  <c r="D52" i="9"/>
  <c r="J51" i="9"/>
  <c r="C51" i="9"/>
  <c r="H50" i="9"/>
  <c r="E50" i="9"/>
  <c r="B50" i="9"/>
  <c r="H49" i="9"/>
  <c r="E49" i="9"/>
  <c r="B49" i="9"/>
  <c r="D48" i="9"/>
  <c r="J47" i="9"/>
  <c r="F47" i="9"/>
  <c r="C47" i="9"/>
  <c r="F46" i="9"/>
  <c r="B46" i="9"/>
  <c r="D45" i="9"/>
  <c r="J44" i="9"/>
  <c r="D44" i="9"/>
  <c r="J43" i="9"/>
  <c r="D43" i="9"/>
  <c r="J42" i="9"/>
  <c r="D42" i="9"/>
  <c r="E41" i="9"/>
  <c r="J40" i="9"/>
  <c r="F40" i="9"/>
  <c r="B40" i="9"/>
  <c r="H39" i="9"/>
  <c r="C39" i="9"/>
  <c r="F38" i="9"/>
  <c r="B38" i="9"/>
  <c r="H37" i="9"/>
  <c r="B79" i="9"/>
  <c r="M6" i="9"/>
  <c r="E6" i="10"/>
  <c r="F9" i="6"/>
  <c r="F7" i="6"/>
  <c r="F8" i="6"/>
  <c r="F6" i="6"/>
  <c r="E7" i="2"/>
  <c r="B69" i="4"/>
  <c r="K32" i="4"/>
  <c r="B10" i="17" l="1"/>
  <c r="C10" i="17"/>
  <c r="D10" i="17"/>
  <c r="E10" i="17"/>
  <c r="F10" i="17"/>
  <c r="G10" i="17"/>
  <c r="B4" i="17" s="1"/>
  <c r="B2" i="16"/>
  <c r="AM2" i="13" s="1"/>
  <c r="C2" i="16"/>
  <c r="AN2" i="13" s="1"/>
  <c r="D2" i="16"/>
  <c r="AO2" i="13" s="1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AL2" i="13"/>
  <c r="I19" i="9"/>
  <c r="I21" i="9"/>
  <c r="I24" i="9"/>
  <c r="I25" i="9"/>
  <c r="I35" i="9"/>
  <c r="I36" i="9"/>
  <c r="I39" i="9"/>
  <c r="I45" i="9"/>
  <c r="I49" i="9"/>
  <c r="I51" i="9"/>
  <c r="I52" i="9"/>
  <c r="I57" i="9"/>
  <c r="I59" i="9"/>
  <c r="I60" i="9"/>
  <c r="I68" i="9"/>
  <c r="I74" i="9"/>
  <c r="I75" i="9"/>
  <c r="I76" i="9"/>
  <c r="I82" i="9"/>
  <c r="I83" i="9"/>
  <c r="I85" i="9"/>
  <c r="I86" i="9"/>
  <c r="I87" i="9"/>
  <c r="I89" i="9"/>
  <c r="I90" i="9"/>
  <c r="I95" i="9"/>
  <c r="I98" i="9"/>
  <c r="I100" i="9"/>
  <c r="I101" i="9"/>
  <c r="I110" i="9"/>
  <c r="I111" i="9"/>
  <c r="I112" i="9"/>
  <c r="I122" i="9"/>
  <c r="I128" i="9"/>
  <c r="I136" i="9"/>
  <c r="I137" i="9"/>
  <c r="I145" i="9"/>
  <c r="I146" i="9"/>
  <c r="I147" i="9"/>
  <c r="I158" i="9"/>
  <c r="I159" i="9"/>
  <c r="I167" i="9"/>
  <c r="I168" i="9"/>
  <c r="I172" i="9"/>
  <c r="I177" i="9"/>
  <c r="I184" i="9"/>
  <c r="I192" i="9"/>
  <c r="I193" i="9"/>
  <c r="I196" i="9"/>
  <c r="I205" i="9"/>
  <c r="I212" i="9"/>
  <c r="I214" i="9"/>
  <c r="I215" i="9"/>
  <c r="I216" i="9"/>
  <c r="I222" i="9"/>
  <c r="I224" i="9"/>
  <c r="I227" i="9"/>
  <c r="I228" i="9"/>
  <c r="I229" i="9"/>
  <c r="I230" i="9"/>
  <c r="I231" i="9"/>
  <c r="I237" i="9"/>
  <c r="I243" i="9"/>
  <c r="I251" i="9"/>
  <c r="I255" i="9"/>
  <c r="I22" i="9"/>
  <c r="I26" i="9"/>
  <c r="I32" i="9"/>
  <c r="I33" i="9"/>
  <c r="I38" i="9"/>
  <c r="I41" i="9"/>
  <c r="I46" i="9"/>
  <c r="I54" i="9"/>
  <c r="I58" i="9"/>
  <c r="I66" i="9"/>
  <c r="I67" i="9"/>
  <c r="I69" i="9"/>
  <c r="I70" i="9"/>
  <c r="I72" i="9"/>
  <c r="I78" i="9"/>
  <c r="I79" i="9"/>
  <c r="I80" i="9"/>
  <c r="I88" i="9"/>
  <c r="I93" i="9"/>
  <c r="I94" i="9"/>
  <c r="I97" i="9"/>
  <c r="I102" i="9"/>
  <c r="I106" i="9"/>
  <c r="I116" i="9"/>
  <c r="I123" i="9"/>
  <c r="I126" i="9"/>
  <c r="I130" i="9"/>
  <c r="I141" i="9"/>
  <c r="I143" i="9"/>
  <c r="I152" i="9"/>
  <c r="I155" i="9"/>
  <c r="I161" i="9"/>
  <c r="I162" i="9"/>
  <c r="I164" i="9"/>
  <c r="I169" i="9"/>
  <c r="I175" i="9"/>
  <c r="I179" i="9"/>
  <c r="I180" i="9"/>
  <c r="I183" i="9"/>
  <c r="I189" i="9"/>
  <c r="I190" i="9"/>
  <c r="I203" i="9"/>
  <c r="I204" i="9"/>
  <c r="I208" i="9"/>
  <c r="I211" i="9"/>
  <c r="I219" i="9"/>
  <c r="I234" i="9"/>
  <c r="I240" i="9"/>
  <c r="I245" i="9"/>
  <c r="I256" i="9"/>
  <c r="I17" i="9"/>
  <c r="I18" i="9"/>
  <c r="I20" i="9"/>
  <c r="I23" i="9"/>
  <c r="I27" i="9"/>
  <c r="I28" i="9"/>
  <c r="I29" i="9"/>
  <c r="I30" i="9"/>
  <c r="I31" i="9"/>
  <c r="I34" i="9"/>
  <c r="I37" i="9"/>
  <c r="I40" i="9"/>
  <c r="I42" i="9"/>
  <c r="I43" i="9"/>
  <c r="I44" i="9"/>
  <c r="I47" i="9"/>
  <c r="I48" i="9"/>
  <c r="I50" i="9"/>
  <c r="I53" i="9"/>
  <c r="I55" i="9"/>
  <c r="I56" i="9"/>
  <c r="I61" i="9"/>
  <c r="I62" i="9"/>
  <c r="I63" i="9"/>
  <c r="I64" i="9"/>
  <c r="I65" i="9"/>
  <c r="I71" i="9"/>
  <c r="I73" i="9"/>
  <c r="I77" i="9"/>
  <c r="I81" i="9"/>
  <c r="I84" i="9"/>
  <c r="I91" i="9"/>
  <c r="I92" i="9"/>
  <c r="I96" i="9"/>
  <c r="I99" i="9"/>
  <c r="I103" i="9"/>
  <c r="I104" i="9"/>
  <c r="I105" i="9"/>
  <c r="I107" i="9"/>
  <c r="I108" i="9"/>
  <c r="I109" i="9"/>
  <c r="I113" i="9"/>
  <c r="I114" i="9"/>
  <c r="I115" i="9"/>
  <c r="I117" i="9"/>
  <c r="I118" i="9"/>
  <c r="I119" i="9"/>
  <c r="I120" i="9"/>
  <c r="I121" i="9"/>
  <c r="I124" i="9"/>
  <c r="I125" i="9"/>
  <c r="I127" i="9"/>
  <c r="I129" i="9"/>
  <c r="I131" i="9"/>
  <c r="I132" i="9"/>
  <c r="I133" i="9"/>
  <c r="I134" i="9"/>
  <c r="I135" i="9"/>
  <c r="I138" i="9"/>
  <c r="I139" i="9"/>
  <c r="I140" i="9"/>
  <c r="I142" i="9"/>
  <c r="I144" i="9"/>
  <c r="I148" i="9"/>
  <c r="I149" i="9"/>
  <c r="I150" i="9"/>
  <c r="I151" i="9"/>
  <c r="I153" i="9"/>
  <c r="I154" i="9"/>
  <c r="I156" i="9"/>
  <c r="I157" i="9"/>
  <c r="I160" i="9"/>
  <c r="I163" i="9"/>
  <c r="I165" i="9"/>
  <c r="I166" i="9"/>
  <c r="I170" i="9"/>
  <c r="I171" i="9"/>
  <c r="I173" i="9"/>
  <c r="I174" i="9"/>
  <c r="I176" i="9"/>
  <c r="I178" i="9"/>
  <c r="I181" i="9"/>
  <c r="I182" i="9"/>
  <c r="I185" i="9"/>
  <c r="I186" i="9"/>
  <c r="I187" i="9"/>
  <c r="I188" i="9"/>
  <c r="I191" i="9"/>
  <c r="I194" i="9"/>
  <c r="I195" i="9"/>
  <c r="I197" i="9"/>
  <c r="I198" i="9"/>
  <c r="I199" i="9"/>
  <c r="I200" i="9"/>
  <c r="I201" i="9"/>
  <c r="I202" i="9"/>
  <c r="I206" i="9"/>
  <c r="I207" i="9"/>
  <c r="I209" i="9"/>
  <c r="I210" i="9"/>
  <c r="I213" i="9"/>
  <c r="I217" i="9"/>
  <c r="I218" i="9"/>
  <c r="I220" i="9"/>
  <c r="I221" i="9"/>
  <c r="I223" i="9"/>
  <c r="I225" i="9"/>
  <c r="I226" i="9"/>
  <c r="I232" i="9"/>
  <c r="I233" i="9"/>
  <c r="I235" i="9"/>
  <c r="I236" i="9"/>
  <c r="I238" i="9"/>
  <c r="I239" i="9"/>
  <c r="I241" i="9"/>
  <c r="I242" i="9"/>
  <c r="I244" i="9"/>
  <c r="I246" i="9"/>
  <c r="I247" i="9"/>
  <c r="I248" i="9"/>
  <c r="I249" i="9"/>
  <c r="I250" i="9"/>
  <c r="I252" i="9"/>
  <c r="I253" i="9"/>
  <c r="I254" i="9"/>
  <c r="G20" i="9"/>
  <c r="G24" i="9"/>
  <c r="G25" i="9"/>
  <c r="G27" i="9"/>
  <c r="G29" i="9"/>
  <c r="G30" i="9"/>
  <c r="G33" i="9"/>
  <c r="G36" i="9"/>
  <c r="G37" i="9"/>
  <c r="G39" i="9"/>
  <c r="G40" i="9"/>
  <c r="G41" i="9"/>
  <c r="G46" i="9"/>
  <c r="G47" i="9"/>
  <c r="G49" i="9"/>
  <c r="G57" i="9"/>
  <c r="G58" i="9"/>
  <c r="G59" i="9"/>
  <c r="G60" i="9"/>
  <c r="G66" i="9"/>
  <c r="G67" i="9"/>
  <c r="G68" i="9"/>
  <c r="G69" i="9"/>
  <c r="G70" i="9"/>
  <c r="G72" i="9"/>
  <c r="G73" i="9"/>
  <c r="G76" i="9"/>
  <c r="G82" i="9"/>
  <c r="G86" i="9"/>
  <c r="G89" i="9"/>
  <c r="G90" i="9"/>
  <c r="G91" i="9"/>
  <c r="G94" i="9"/>
  <c r="G95" i="9"/>
  <c r="G97" i="9"/>
  <c r="G98" i="9"/>
  <c r="G100" i="9"/>
  <c r="G101" i="9"/>
  <c r="G102" i="9"/>
  <c r="G106" i="9"/>
  <c r="G113" i="9"/>
  <c r="G115" i="9"/>
  <c r="G117" i="9"/>
  <c r="G119" i="9"/>
  <c r="G122" i="9"/>
  <c r="G123" i="9"/>
  <c r="G124" i="9"/>
  <c r="G128" i="9"/>
  <c r="G135" i="9"/>
  <c r="G136" i="9"/>
  <c r="G137" i="9"/>
  <c r="G139" i="9"/>
  <c r="G140" i="9"/>
  <c r="G141" i="9"/>
  <c r="G143" i="9"/>
  <c r="G146" i="9"/>
  <c r="G147" i="9"/>
  <c r="G150" i="9"/>
  <c r="G159" i="9"/>
  <c r="G160" i="9"/>
  <c r="G163" i="9"/>
  <c r="G170" i="9"/>
  <c r="G175" i="9"/>
  <c r="G178" i="9"/>
  <c r="G180" i="9"/>
  <c r="G187" i="9"/>
  <c r="G189" i="9"/>
  <c r="G190" i="9"/>
  <c r="G191" i="9"/>
  <c r="G193" i="9"/>
  <c r="G195" i="9"/>
  <c r="G196" i="9"/>
  <c r="G199" i="9"/>
  <c r="G201" i="9"/>
  <c r="G203" i="9"/>
  <c r="G204" i="9"/>
  <c r="G205" i="9"/>
  <c r="G211" i="9"/>
  <c r="G212" i="9"/>
  <c r="G213" i="9"/>
  <c r="G214" i="9"/>
  <c r="G215" i="9"/>
  <c r="G216" i="9"/>
  <c r="G219" i="9"/>
  <c r="G220" i="9"/>
  <c r="G223" i="9"/>
  <c r="G228" i="9"/>
  <c r="G230" i="9"/>
  <c r="G232" i="9"/>
  <c r="G234" i="9"/>
  <c r="G235" i="9"/>
  <c r="G240" i="9"/>
  <c r="G243" i="9"/>
  <c r="G251" i="9"/>
  <c r="G252" i="9"/>
  <c r="G256" i="9"/>
  <c r="G18" i="9"/>
  <c r="G22" i="9"/>
  <c r="G26" i="9"/>
  <c r="G31" i="9"/>
  <c r="G32" i="9"/>
  <c r="G38" i="9"/>
  <c r="G50" i="9"/>
  <c r="G53" i="9"/>
  <c r="G54" i="9"/>
  <c r="G62" i="9"/>
  <c r="G65" i="9"/>
  <c r="G71" i="9"/>
  <c r="G78" i="9"/>
  <c r="G80" i="9"/>
  <c r="G88" i="9"/>
  <c r="G92" i="9"/>
  <c r="G93" i="9"/>
  <c r="G104" i="9"/>
  <c r="G105" i="9"/>
  <c r="G107" i="9"/>
  <c r="G114" i="9"/>
  <c r="G116" i="9"/>
  <c r="G125" i="9"/>
  <c r="G126" i="9"/>
  <c r="G129" i="9"/>
  <c r="G130" i="9"/>
  <c r="G131" i="9"/>
  <c r="G132" i="9"/>
  <c r="G133" i="9"/>
  <c r="G134" i="9"/>
  <c r="G138" i="9"/>
  <c r="G142" i="9"/>
  <c r="G144" i="9"/>
  <c r="G145" i="9"/>
  <c r="G151" i="9"/>
  <c r="G152" i="9"/>
  <c r="G153" i="9"/>
  <c r="G154" i="9"/>
  <c r="G155" i="9"/>
  <c r="G161" i="9"/>
  <c r="G162" i="9"/>
  <c r="G165" i="9"/>
  <c r="G166" i="9"/>
  <c r="G167" i="9"/>
  <c r="G173" i="9"/>
  <c r="G174" i="9"/>
  <c r="G179" i="9"/>
  <c r="G181" i="9"/>
  <c r="G183" i="9"/>
  <c r="G186" i="9"/>
  <c r="G198" i="9"/>
  <c r="G206" i="9"/>
  <c r="G209" i="9"/>
  <c r="G210" i="9"/>
  <c r="G217" i="9"/>
  <c r="G225" i="9"/>
  <c r="G226" i="9"/>
  <c r="G227" i="9"/>
  <c r="G233" i="9"/>
  <c r="G236" i="9"/>
  <c r="G238" i="9"/>
  <c r="G239" i="9"/>
  <c r="G242" i="9"/>
  <c r="G244" i="9"/>
  <c r="G245" i="9"/>
  <c r="G246" i="9"/>
  <c r="G248" i="9"/>
  <c r="G249" i="9"/>
  <c r="G250" i="9"/>
  <c r="G253" i="9"/>
  <c r="G254" i="9"/>
  <c r="G17" i="9"/>
  <c r="G19" i="9"/>
  <c r="G21" i="9"/>
  <c r="G23" i="9"/>
  <c r="G28" i="9"/>
  <c r="G34" i="9"/>
  <c r="G35" i="9"/>
  <c r="G42" i="9"/>
  <c r="G43" i="9"/>
  <c r="G44" i="9"/>
  <c r="G45" i="9"/>
  <c r="G48" i="9"/>
  <c r="G51" i="9"/>
  <c r="G52" i="9"/>
  <c r="G55" i="9"/>
  <c r="G56" i="9"/>
  <c r="G61" i="9"/>
  <c r="G63" i="9"/>
  <c r="G64" i="9"/>
  <c r="G74" i="9"/>
  <c r="G75" i="9"/>
  <c r="G77" i="9"/>
  <c r="G79" i="9"/>
  <c r="G81" i="9"/>
  <c r="G83" i="9"/>
  <c r="G84" i="9"/>
  <c r="G85" i="9"/>
  <c r="G87" i="9"/>
  <c r="G96" i="9"/>
  <c r="G99" i="9"/>
  <c r="G103" i="9"/>
  <c r="G108" i="9"/>
  <c r="G109" i="9"/>
  <c r="G110" i="9"/>
  <c r="G111" i="9"/>
  <c r="G112" i="9"/>
  <c r="G118" i="9"/>
  <c r="G120" i="9"/>
  <c r="G121" i="9"/>
  <c r="G127" i="9"/>
  <c r="G148" i="9"/>
  <c r="G149" i="9"/>
  <c r="G156" i="9"/>
  <c r="G157" i="9"/>
  <c r="G158" i="9"/>
  <c r="G164" i="9"/>
  <c r="G168" i="9"/>
  <c r="G169" i="9"/>
  <c r="G171" i="9"/>
  <c r="G172" i="9"/>
  <c r="G176" i="9"/>
  <c r="G177" i="9"/>
  <c r="G182" i="9"/>
  <c r="G184" i="9"/>
  <c r="G185" i="9"/>
  <c r="G188" i="9"/>
  <c r="G192" i="9"/>
  <c r="G194" i="9"/>
  <c r="G197" i="9"/>
  <c r="G200" i="9"/>
  <c r="G202" i="9"/>
  <c r="G207" i="9"/>
  <c r="G208" i="9"/>
  <c r="G218" i="9"/>
  <c r="G221" i="9"/>
  <c r="G222" i="9"/>
  <c r="G224" i="9"/>
  <c r="G229" i="9"/>
  <c r="G231" i="9"/>
  <c r="G237" i="9"/>
  <c r="G241" i="9"/>
  <c r="G247" i="9"/>
  <c r="G255" i="9"/>
  <c r="N6" i="9"/>
  <c r="O6" i="9"/>
  <c r="M7" i="9"/>
  <c r="E6" i="2"/>
  <c r="D15" i="9"/>
  <c r="B17" i="8" s="1"/>
  <c r="A3" i="16"/>
  <c r="A18" i="10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B16" i="13" l="1"/>
  <c r="E5" i="14"/>
  <c r="A2" i="15"/>
  <c r="AP2" i="13"/>
  <c r="AQ2" i="13"/>
  <c r="AR2" i="13"/>
  <c r="AV2" i="13" s="1"/>
  <c r="AS2" i="13"/>
  <c r="N7" i="9"/>
  <c r="P7" i="9" s="1"/>
  <c r="O7" i="9"/>
  <c r="M8" i="9"/>
  <c r="B21" i="8"/>
  <c r="B28" i="8"/>
  <c r="B23" i="8"/>
  <c r="AL3" i="13"/>
  <c r="O3" i="16"/>
  <c r="I3" i="16"/>
  <c r="H3" i="16"/>
  <c r="G3" i="16"/>
  <c r="F3" i="16"/>
  <c r="E3" i="16"/>
  <c r="D3" i="16"/>
  <c r="AO3" i="13" s="1"/>
  <c r="C3" i="16"/>
  <c r="AN3" i="13" s="1"/>
  <c r="B3" i="16"/>
  <c r="AM3" i="13" s="1"/>
  <c r="P6" i="9"/>
  <c r="A4" i="16"/>
  <c r="A5" i="16"/>
  <c r="B2" i="15" l="1"/>
  <c r="AA2" i="13" s="1"/>
  <c r="C2" i="15"/>
  <c r="AB2" i="13" s="1"/>
  <c r="D2" i="15"/>
  <c r="AC2" i="13" s="1"/>
  <c r="E2" i="15"/>
  <c r="F2" i="15"/>
  <c r="G2" i="15"/>
  <c r="H2" i="15"/>
  <c r="I2" i="15"/>
  <c r="J2" i="15"/>
  <c r="K2" i="15"/>
  <c r="L2" i="15"/>
  <c r="M2" i="15"/>
  <c r="N2" i="15"/>
  <c r="O2" i="15"/>
  <c r="P2" i="15"/>
  <c r="Z2" i="13"/>
  <c r="N8" i="9"/>
  <c r="O8" i="9"/>
  <c r="M9" i="9"/>
  <c r="B22" i="8"/>
  <c r="E7" i="10"/>
  <c r="B26" i="2"/>
  <c r="E22" i="4"/>
  <c r="B29" i="8"/>
  <c r="B32" i="8" s="1"/>
  <c r="B30" i="8"/>
  <c r="AP3" i="13"/>
  <c r="AQ3" i="13"/>
  <c r="B4" i="16"/>
  <c r="AM4" i="13" s="1"/>
  <c r="C4" i="16"/>
  <c r="AN4" i="13" s="1"/>
  <c r="D4" i="16"/>
  <c r="AO4" i="13" s="1"/>
  <c r="E4" i="16"/>
  <c r="F4" i="16"/>
  <c r="G4" i="16"/>
  <c r="H4" i="16"/>
  <c r="I4" i="16"/>
  <c r="J4" i="16"/>
  <c r="K4" i="16"/>
  <c r="L4" i="16"/>
  <c r="Q4" i="16" s="1"/>
  <c r="M4" i="16"/>
  <c r="N4" i="16"/>
  <c r="O4" i="16"/>
  <c r="P4" i="16"/>
  <c r="AL4" i="13"/>
  <c r="B5" i="16"/>
  <c r="AM5" i="13" s="1"/>
  <c r="C5" i="16"/>
  <c r="AN5" i="13" s="1"/>
  <c r="D5" i="16"/>
  <c r="AO5" i="13" s="1"/>
  <c r="E5" i="16"/>
  <c r="N5" i="16" s="1"/>
  <c r="F5" i="16"/>
  <c r="G5" i="16"/>
  <c r="H5" i="16"/>
  <c r="I5" i="16"/>
  <c r="O5" i="16" s="1"/>
  <c r="J5" i="16"/>
  <c r="K5" i="16"/>
  <c r="L5" i="16"/>
  <c r="M5" i="16"/>
  <c r="AL5" i="13"/>
  <c r="N3" i="16"/>
  <c r="J3" i="16"/>
  <c r="K3" i="16" s="1"/>
  <c r="A6" i="16"/>
  <c r="AD2" i="13" l="1"/>
  <c r="AJ2" i="13" s="1"/>
  <c r="AE2" i="13"/>
  <c r="AG2" i="13"/>
  <c r="AH2" i="13"/>
  <c r="N9" i="9"/>
  <c r="O9" i="9"/>
  <c r="M10" i="9"/>
  <c r="B27" i="2"/>
  <c r="E5" i="10"/>
  <c r="E24" i="4"/>
  <c r="E67" i="4" s="1"/>
  <c r="B8" i="2" s="1"/>
  <c r="K43" i="4"/>
  <c r="AP4" i="13"/>
  <c r="AQ4" i="13"/>
  <c r="AR4" i="13"/>
  <c r="AV4" i="13" s="1"/>
  <c r="AS4" i="13"/>
  <c r="AP5" i="13"/>
  <c r="AQ5" i="13"/>
  <c r="AR5" i="13"/>
  <c r="AV5" i="13" s="1"/>
  <c r="AS5" i="13"/>
  <c r="A5" i="15"/>
  <c r="A4" i="15"/>
  <c r="A3" i="15"/>
  <c r="L3" i="16"/>
  <c r="M3" i="16"/>
  <c r="AS3" i="13" s="1"/>
  <c r="AL6" i="13"/>
  <c r="I6" i="16"/>
  <c r="O6" i="16" s="1"/>
  <c r="H6" i="16"/>
  <c r="G6" i="16"/>
  <c r="F6" i="16"/>
  <c r="E6" i="16"/>
  <c r="D6" i="16"/>
  <c r="AO6" i="13" s="1"/>
  <c r="C6" i="16"/>
  <c r="AN6" i="13" s="1"/>
  <c r="B6" i="16"/>
  <c r="AM6" i="13" s="1"/>
  <c r="A7" i="16"/>
  <c r="P8" i="9"/>
  <c r="Q5" i="16"/>
  <c r="P5" i="16"/>
  <c r="A8" i="16"/>
  <c r="N10" i="9" l="1"/>
  <c r="P10" i="9" s="1"/>
  <c r="O10" i="9"/>
  <c r="M11" i="9"/>
  <c r="E17" i="2"/>
  <c r="Z5" i="13"/>
  <c r="N5" i="15"/>
  <c r="J5" i="15"/>
  <c r="I5" i="15"/>
  <c r="H5" i="15"/>
  <c r="G5" i="15"/>
  <c r="F5" i="15"/>
  <c r="E5" i="15"/>
  <c r="D5" i="15"/>
  <c r="AC5" i="13" s="1"/>
  <c r="C5" i="15"/>
  <c r="AB5" i="13" s="1"/>
  <c r="B5" i="15"/>
  <c r="AA5" i="13" s="1"/>
  <c r="Z4" i="13"/>
  <c r="N4" i="15"/>
  <c r="I4" i="15"/>
  <c r="H4" i="15"/>
  <c r="G4" i="15"/>
  <c r="F4" i="15"/>
  <c r="E4" i="15"/>
  <c r="J4" i="15" s="1"/>
  <c r="D4" i="15"/>
  <c r="AC4" i="13" s="1"/>
  <c r="C4" i="15"/>
  <c r="AB4" i="13" s="1"/>
  <c r="B4" i="15"/>
  <c r="AA4" i="13" s="1"/>
  <c r="Z3" i="13"/>
  <c r="N3" i="15"/>
  <c r="I3" i="15"/>
  <c r="H3" i="15"/>
  <c r="G3" i="15"/>
  <c r="F3" i="15"/>
  <c r="E3" i="15"/>
  <c r="D3" i="15"/>
  <c r="AC3" i="13" s="1"/>
  <c r="C3" i="15"/>
  <c r="AB3" i="13" s="1"/>
  <c r="B3" i="15"/>
  <c r="AA3" i="13" s="1"/>
  <c r="AR3" i="13"/>
  <c r="P3" i="16"/>
  <c r="Q3" i="16"/>
  <c r="AP6" i="13"/>
  <c r="AL7" i="13"/>
  <c r="I7" i="16"/>
  <c r="O7" i="16" s="1"/>
  <c r="H7" i="16"/>
  <c r="G7" i="16"/>
  <c r="F7" i="16"/>
  <c r="E7" i="16"/>
  <c r="D7" i="16"/>
  <c r="AO7" i="13" s="1"/>
  <c r="C7" i="16"/>
  <c r="AN7" i="13" s="1"/>
  <c r="B7" i="16"/>
  <c r="AM7" i="13" s="1"/>
  <c r="AL8" i="13"/>
  <c r="I8" i="16"/>
  <c r="O8" i="16" s="1"/>
  <c r="H8" i="16"/>
  <c r="G8" i="16"/>
  <c r="F8" i="16"/>
  <c r="E8" i="16"/>
  <c r="D8" i="16"/>
  <c r="AO8" i="13" s="1"/>
  <c r="C8" i="16"/>
  <c r="AN8" i="13" s="1"/>
  <c r="B8" i="16"/>
  <c r="AM8" i="13" s="1"/>
  <c r="A9" i="16"/>
  <c r="P9" i="9"/>
  <c r="N6" i="16"/>
  <c r="J6" i="16"/>
  <c r="N11" i="9" l="1"/>
  <c r="O11" i="9"/>
  <c r="M12" i="9"/>
  <c r="AD5" i="13"/>
  <c r="AJ5" i="13" s="1"/>
  <c r="AE5" i="13"/>
  <c r="AD4" i="13"/>
  <c r="AJ4" i="13" s="1"/>
  <c r="AE4" i="13"/>
  <c r="AD3" i="13"/>
  <c r="AJ3" i="13" s="1"/>
  <c r="AE3" i="13"/>
  <c r="AV3" i="13"/>
  <c r="AP7" i="13"/>
  <c r="AQ7" i="13"/>
  <c r="AP8" i="13"/>
  <c r="AQ8" i="13"/>
  <c r="A10" i="16"/>
  <c r="B9" i="16"/>
  <c r="AM9" i="13" s="1"/>
  <c r="C9" i="16"/>
  <c r="AN9" i="13" s="1"/>
  <c r="D9" i="16"/>
  <c r="AO9" i="13" s="1"/>
  <c r="E9" i="16"/>
  <c r="F9" i="16"/>
  <c r="G9" i="16"/>
  <c r="H9" i="16"/>
  <c r="J9" i="16" s="1"/>
  <c r="K9" i="16" s="1"/>
  <c r="I9" i="16"/>
  <c r="N9" i="16"/>
  <c r="O9" i="16"/>
  <c r="AL9" i="13"/>
  <c r="A6" i="15"/>
  <c r="O5" i="15"/>
  <c r="K5" i="15"/>
  <c r="K4" i="15"/>
  <c r="O4" i="15"/>
  <c r="J3" i="15"/>
  <c r="N7" i="16"/>
  <c r="J7" i="16"/>
  <c r="K7" i="16" s="1"/>
  <c r="N8" i="16"/>
  <c r="J8" i="16"/>
  <c r="K8" i="16" s="1"/>
  <c r="K6" i="16"/>
  <c r="AQ6" i="13"/>
  <c r="N12" i="9" l="1"/>
  <c r="O12" i="9"/>
  <c r="M13" i="9"/>
  <c r="B10" i="16"/>
  <c r="AM10" i="13" s="1"/>
  <c r="C10" i="16"/>
  <c r="AN10" i="13" s="1"/>
  <c r="D10" i="16"/>
  <c r="AO10" i="13" s="1"/>
  <c r="E10" i="16"/>
  <c r="J10" i="16" s="1"/>
  <c r="K10" i="16" s="1"/>
  <c r="F10" i="16"/>
  <c r="G10" i="16"/>
  <c r="H10" i="16"/>
  <c r="I10" i="16"/>
  <c r="N10" i="16"/>
  <c r="O10" i="16"/>
  <c r="AL10" i="13"/>
  <c r="A11" i="16"/>
  <c r="AP9" i="13"/>
  <c r="AQ9" i="13"/>
  <c r="B6" i="15"/>
  <c r="AA6" i="13" s="1"/>
  <c r="C6" i="15"/>
  <c r="AB6" i="13" s="1"/>
  <c r="D6" i="15"/>
  <c r="AC6" i="13" s="1"/>
  <c r="E6" i="15"/>
  <c r="F6" i="15"/>
  <c r="G6" i="15"/>
  <c r="K6" i="15" s="1"/>
  <c r="H6" i="15"/>
  <c r="I6" i="15"/>
  <c r="J6" i="15"/>
  <c r="N6" i="15"/>
  <c r="O6" i="15"/>
  <c r="Z6" i="13"/>
  <c r="L5" i="15"/>
  <c r="M5" i="15"/>
  <c r="AH5" i="13" s="1"/>
  <c r="L4" i="15"/>
  <c r="M4" i="15"/>
  <c r="AH4" i="13" s="1"/>
  <c r="O3" i="15"/>
  <c r="K3" i="15"/>
  <c r="L7" i="16"/>
  <c r="M7" i="16"/>
  <c r="AS7" i="13" s="1"/>
  <c r="M8" i="16"/>
  <c r="AS8" i="13" s="1"/>
  <c r="L8" i="16"/>
  <c r="M6" i="16"/>
  <c r="AS6" i="13" s="1"/>
  <c r="L6" i="16"/>
  <c r="P11" i="9"/>
  <c r="M9" i="16"/>
  <c r="AS9" i="13" s="1"/>
  <c r="L9" i="16"/>
  <c r="AR9" i="13" s="1"/>
  <c r="A7" i="15"/>
  <c r="A8" i="15"/>
  <c r="A9" i="15"/>
  <c r="N13" i="9" l="1"/>
  <c r="P13" i="9" s="1"/>
  <c r="O13" i="9"/>
  <c r="M14" i="9"/>
  <c r="AP10" i="13"/>
  <c r="AQ10" i="13"/>
  <c r="AR10" i="13"/>
  <c r="AS10" i="13"/>
  <c r="B11" i="16"/>
  <c r="AM11" i="13" s="1"/>
  <c r="C11" i="16"/>
  <c r="AN11" i="13" s="1"/>
  <c r="D11" i="16"/>
  <c r="AO11" i="13" s="1"/>
  <c r="E11" i="16"/>
  <c r="F11" i="16"/>
  <c r="G11" i="16"/>
  <c r="K11" i="16" s="1"/>
  <c r="H11" i="16"/>
  <c r="I11" i="16"/>
  <c r="O11" i="16" s="1"/>
  <c r="J11" i="16"/>
  <c r="N11" i="16"/>
  <c r="AL11" i="13"/>
  <c r="A12" i="16"/>
  <c r="AD6" i="13"/>
  <c r="AJ6" i="13" s="1"/>
  <c r="AE6" i="13"/>
  <c r="AG6" i="13"/>
  <c r="AH6" i="13"/>
  <c r="AG5" i="13"/>
  <c r="P5" i="15"/>
  <c r="AG4" i="13"/>
  <c r="P4" i="15"/>
  <c r="M3" i="15"/>
  <c r="AH3" i="13" s="1"/>
  <c r="L3" i="15"/>
  <c r="AR7" i="13"/>
  <c r="P7" i="16"/>
  <c r="Q7" i="16"/>
  <c r="AR8" i="13"/>
  <c r="P8" i="16"/>
  <c r="Q8" i="16"/>
  <c r="AR6" i="13"/>
  <c r="P6" i="16"/>
  <c r="Q6" i="16"/>
  <c r="Q9" i="16"/>
  <c r="P9" i="16"/>
  <c r="Z7" i="13"/>
  <c r="N7" i="15"/>
  <c r="I7" i="15"/>
  <c r="H7" i="15"/>
  <c r="G7" i="15"/>
  <c r="F7" i="15"/>
  <c r="E7" i="15"/>
  <c r="J7" i="15" s="1"/>
  <c r="D7" i="15"/>
  <c r="AC7" i="13" s="1"/>
  <c r="C7" i="15"/>
  <c r="AB7" i="13" s="1"/>
  <c r="B7" i="15"/>
  <c r="AA7" i="13" s="1"/>
  <c r="Z8" i="13"/>
  <c r="N8" i="15"/>
  <c r="I8" i="15"/>
  <c r="H8" i="15"/>
  <c r="G8" i="15"/>
  <c r="F8" i="15"/>
  <c r="E8" i="15"/>
  <c r="J8" i="15" s="1"/>
  <c r="D8" i="15"/>
  <c r="AC8" i="13" s="1"/>
  <c r="C8" i="15"/>
  <c r="AB8" i="13" s="1"/>
  <c r="B8" i="15"/>
  <c r="AA8" i="13" s="1"/>
  <c r="Z9" i="13"/>
  <c r="N9" i="15"/>
  <c r="I9" i="15"/>
  <c r="H9" i="15"/>
  <c r="G9" i="15"/>
  <c r="F9" i="15"/>
  <c r="E9" i="15"/>
  <c r="J9" i="15" s="1"/>
  <c r="D9" i="15"/>
  <c r="AC9" i="13" s="1"/>
  <c r="C9" i="15"/>
  <c r="AB9" i="13" s="1"/>
  <c r="B9" i="15"/>
  <c r="AA9" i="13" s="1"/>
  <c r="P12" i="9"/>
  <c r="M10" i="16"/>
  <c r="L10" i="16"/>
  <c r="M6" i="15"/>
  <c r="L6" i="15"/>
  <c r="P6" i="15" s="1"/>
  <c r="AV9" i="13"/>
  <c r="N14" i="9" l="1"/>
  <c r="P14" i="9" s="1"/>
  <c r="O14" i="9"/>
  <c r="M15" i="9"/>
  <c r="AP11" i="13"/>
  <c r="AQ11" i="13"/>
  <c r="AR11" i="13"/>
  <c r="AS11" i="13"/>
  <c r="A13" i="16"/>
  <c r="B12" i="16"/>
  <c r="AM12" i="13" s="1"/>
  <c r="C12" i="16"/>
  <c r="AN12" i="13" s="1"/>
  <c r="D12" i="16"/>
  <c r="AO12" i="13" s="1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AL12" i="13"/>
  <c r="AG3" i="13"/>
  <c r="P3" i="15"/>
  <c r="AV7" i="13"/>
  <c r="AV8" i="13"/>
  <c r="AV6" i="13"/>
  <c r="AD7" i="13"/>
  <c r="AJ7" i="13" s="1"/>
  <c r="AE7" i="13"/>
  <c r="AD8" i="13"/>
  <c r="AJ8" i="13" s="1"/>
  <c r="AE8" i="13"/>
  <c r="AD9" i="13"/>
  <c r="AJ9" i="13" s="1"/>
  <c r="AE9" i="13"/>
  <c r="Q10" i="16"/>
  <c r="P10" i="16"/>
  <c r="AV10" i="13"/>
  <c r="M11" i="16"/>
  <c r="L11" i="16"/>
  <c r="K7" i="15"/>
  <c r="O7" i="15"/>
  <c r="K8" i="15"/>
  <c r="O8" i="15"/>
  <c r="K9" i="15"/>
  <c r="O9" i="15"/>
  <c r="O15" i="9" l="1"/>
  <c r="N15" i="9"/>
  <c r="M16" i="9"/>
  <c r="AV11" i="13"/>
  <c r="B13" i="16"/>
  <c r="AM13" i="13" s="1"/>
  <c r="C13" i="16"/>
  <c r="AN13" i="13" s="1"/>
  <c r="D13" i="16"/>
  <c r="AO13" i="13" s="1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AL13" i="13"/>
  <c r="A14" i="16"/>
  <c r="AP12" i="13"/>
  <c r="AQ12" i="13"/>
  <c r="AR12" i="13"/>
  <c r="AS12" i="13"/>
  <c r="AT12" i="13"/>
  <c r="AU12" i="13"/>
  <c r="Q11" i="16"/>
  <c r="P11" i="16"/>
  <c r="L7" i="15"/>
  <c r="M7" i="15"/>
  <c r="AH7" i="13" s="1"/>
  <c r="L8" i="15"/>
  <c r="M8" i="15"/>
  <c r="AH8" i="13" s="1"/>
  <c r="L9" i="15"/>
  <c r="M9" i="15"/>
  <c r="AH9" i="13" s="1"/>
  <c r="N16" i="9" l="1"/>
  <c r="O16" i="9"/>
  <c r="M17" i="9"/>
  <c r="AP13" i="13"/>
  <c r="AQ13" i="13"/>
  <c r="AR13" i="13"/>
  <c r="AS13" i="13"/>
  <c r="AT13" i="13"/>
  <c r="AU13" i="13"/>
  <c r="B14" i="16"/>
  <c r="AM14" i="13" s="1"/>
  <c r="C14" i="16"/>
  <c r="AN14" i="13" s="1"/>
  <c r="D14" i="16"/>
  <c r="AO14" i="13" s="1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AL14" i="13"/>
  <c r="A15" i="16"/>
  <c r="AV12" i="13"/>
  <c r="AG7" i="13"/>
  <c r="P7" i="15"/>
  <c r="AG8" i="13"/>
  <c r="P8" i="15"/>
  <c r="AG9" i="13"/>
  <c r="P9" i="15"/>
  <c r="P15" i="9"/>
  <c r="O17" i="9" l="1"/>
  <c r="N17" i="9"/>
  <c r="P17" i="9" s="1"/>
  <c r="M18" i="9"/>
  <c r="AV13" i="13"/>
  <c r="AP14" i="13"/>
  <c r="AQ14" i="13"/>
  <c r="AR14" i="13"/>
  <c r="AS14" i="13"/>
  <c r="AT14" i="13"/>
  <c r="AU14" i="13"/>
  <c r="A16" i="16"/>
  <c r="B15" i="16"/>
  <c r="AM15" i="13" s="1"/>
  <c r="C15" i="16"/>
  <c r="AN15" i="13" s="1"/>
  <c r="D15" i="16"/>
  <c r="AO15" i="13" s="1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AL15" i="13"/>
  <c r="P16" i="9"/>
  <c r="O18" i="9" l="1"/>
  <c r="N18" i="9"/>
  <c r="P18" i="9" s="1"/>
  <c r="M19" i="9"/>
  <c r="AV14" i="13"/>
  <c r="B16" i="16"/>
  <c r="AM16" i="13" s="1"/>
  <c r="C16" i="16"/>
  <c r="AN16" i="13" s="1"/>
  <c r="D16" i="16"/>
  <c r="AO16" i="13" s="1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AL16" i="13"/>
  <c r="A17" i="16"/>
  <c r="AP15" i="13"/>
  <c r="AQ15" i="13"/>
  <c r="AR15" i="13"/>
  <c r="AV15" i="13" s="1"/>
  <c r="AS15" i="13"/>
  <c r="AT15" i="13"/>
  <c r="AU15" i="13"/>
  <c r="N19" i="9" l="1"/>
  <c r="O19" i="9"/>
  <c r="M20" i="9"/>
  <c r="AP16" i="13"/>
  <c r="AQ16" i="13"/>
  <c r="AR16" i="13"/>
  <c r="AS16" i="13"/>
  <c r="AT16" i="13"/>
  <c r="AU16" i="13"/>
  <c r="B17" i="16"/>
  <c r="AM17" i="13" s="1"/>
  <c r="C17" i="16"/>
  <c r="AN17" i="13" s="1"/>
  <c r="D17" i="16"/>
  <c r="AO17" i="13" s="1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AL17" i="13"/>
  <c r="A18" i="16"/>
  <c r="N20" i="9" l="1"/>
  <c r="O20" i="9"/>
  <c r="M21" i="9"/>
  <c r="AV16" i="13"/>
  <c r="AP17" i="13"/>
  <c r="AQ17" i="13"/>
  <c r="AR17" i="13"/>
  <c r="AV17" i="13" s="1"/>
  <c r="AS17" i="13"/>
  <c r="AT17" i="13"/>
  <c r="AU17" i="13"/>
  <c r="A19" i="16"/>
  <c r="B18" i="16"/>
  <c r="AM18" i="13" s="1"/>
  <c r="C18" i="16"/>
  <c r="AN18" i="13" s="1"/>
  <c r="D18" i="16"/>
  <c r="AO18" i="13" s="1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AL18" i="13"/>
  <c r="P19" i="9"/>
  <c r="N21" i="9" l="1"/>
  <c r="O21" i="9"/>
  <c r="M22" i="9"/>
  <c r="B19" i="16"/>
  <c r="AM19" i="13" s="1"/>
  <c r="C19" i="16"/>
  <c r="AN19" i="13" s="1"/>
  <c r="D19" i="16"/>
  <c r="AO19" i="13" s="1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AL19" i="13"/>
  <c r="A20" i="16"/>
  <c r="AP18" i="13"/>
  <c r="AQ18" i="13"/>
  <c r="AR18" i="13"/>
  <c r="AV18" i="13" s="1"/>
  <c r="AS18" i="13"/>
  <c r="AT18" i="13"/>
  <c r="AU18" i="13"/>
  <c r="P20" i="9"/>
  <c r="N22" i="9" l="1"/>
  <c r="O22" i="9"/>
  <c r="M23" i="9"/>
  <c r="AP19" i="13"/>
  <c r="AQ19" i="13"/>
  <c r="AR19" i="13"/>
  <c r="AV19" i="13" s="1"/>
  <c r="AS19" i="13"/>
  <c r="AT19" i="13"/>
  <c r="AU19" i="13"/>
  <c r="A21" i="16"/>
  <c r="B20" i="16"/>
  <c r="AM20" i="13" s="1"/>
  <c r="C20" i="16"/>
  <c r="AN20" i="13" s="1"/>
  <c r="D20" i="16"/>
  <c r="AO20" i="13" s="1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AL20" i="13"/>
  <c r="P21" i="9"/>
  <c r="O23" i="9" l="1"/>
  <c r="M24" i="9"/>
  <c r="N23" i="9"/>
  <c r="P23" i="9" s="1"/>
  <c r="B21" i="16"/>
  <c r="AM21" i="13" s="1"/>
  <c r="C21" i="16"/>
  <c r="AN21" i="13" s="1"/>
  <c r="D21" i="16"/>
  <c r="AO21" i="13" s="1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AL21" i="13"/>
  <c r="A22" i="16"/>
  <c r="AP20" i="13"/>
  <c r="AQ20" i="13"/>
  <c r="AR20" i="13"/>
  <c r="AV20" i="13" s="1"/>
  <c r="AS20" i="13"/>
  <c r="AT20" i="13"/>
  <c r="AU20" i="13"/>
  <c r="P22" i="9"/>
  <c r="N24" i="9" l="1"/>
  <c r="O24" i="9"/>
  <c r="M25" i="9"/>
  <c r="AP21" i="13"/>
  <c r="AQ21" i="13"/>
  <c r="AR21" i="13"/>
  <c r="AV21" i="13" s="1"/>
  <c r="AS21" i="13"/>
  <c r="AT21" i="13"/>
  <c r="AU21" i="13"/>
  <c r="B22" i="16"/>
  <c r="AM22" i="13" s="1"/>
  <c r="C22" i="16"/>
  <c r="AN22" i="13" s="1"/>
  <c r="D22" i="16"/>
  <c r="AO22" i="13" s="1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AL22" i="13"/>
  <c r="A23" i="16"/>
  <c r="M26" i="9" l="1"/>
  <c r="O25" i="9"/>
  <c r="N25" i="9"/>
  <c r="P25" i="9" s="1"/>
  <c r="AP22" i="13"/>
  <c r="AQ22" i="13"/>
  <c r="AR22" i="13"/>
  <c r="AV22" i="13" s="1"/>
  <c r="AS22" i="13"/>
  <c r="AT22" i="13"/>
  <c r="AU22" i="13"/>
  <c r="B23" i="16"/>
  <c r="AM23" i="13" s="1"/>
  <c r="C23" i="16"/>
  <c r="AN23" i="13" s="1"/>
  <c r="D23" i="16"/>
  <c r="AO23" i="13" s="1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AL23" i="13"/>
  <c r="A24" i="16"/>
  <c r="P24" i="9"/>
  <c r="M27" i="9" l="1"/>
  <c r="O26" i="9"/>
  <c r="N26" i="9"/>
  <c r="P26" i="9" s="1"/>
  <c r="AP23" i="13"/>
  <c r="AQ23" i="13"/>
  <c r="AR23" i="13"/>
  <c r="AV23" i="13" s="1"/>
  <c r="AS23" i="13"/>
  <c r="AT23" i="13"/>
  <c r="AU23" i="13"/>
  <c r="B24" i="16"/>
  <c r="AM24" i="13" s="1"/>
  <c r="C24" i="16"/>
  <c r="AN24" i="13" s="1"/>
  <c r="D24" i="16"/>
  <c r="AO24" i="13" s="1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AL24" i="13"/>
  <c r="A25" i="16"/>
  <c r="N27" i="9" l="1"/>
  <c r="O27" i="9"/>
  <c r="M28" i="9"/>
  <c r="AP24" i="13"/>
  <c r="AQ24" i="13"/>
  <c r="AR24" i="13"/>
  <c r="AV24" i="13" s="1"/>
  <c r="AS24" i="13"/>
  <c r="AT24" i="13"/>
  <c r="AU24" i="13"/>
  <c r="A26" i="16"/>
  <c r="B25" i="16"/>
  <c r="AM25" i="13" s="1"/>
  <c r="C25" i="16"/>
  <c r="AN25" i="13" s="1"/>
  <c r="D25" i="16"/>
  <c r="AO25" i="13" s="1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AL25" i="13"/>
  <c r="O28" i="9" l="1"/>
  <c r="N28" i="9"/>
  <c r="P28" i="9" s="1"/>
  <c r="M29" i="9"/>
  <c r="A27" i="16"/>
  <c r="B26" i="16"/>
  <c r="AM26" i="13" s="1"/>
  <c r="C26" i="16"/>
  <c r="AN26" i="13" s="1"/>
  <c r="D26" i="16"/>
  <c r="AO26" i="13" s="1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AL26" i="13"/>
  <c r="AP25" i="13"/>
  <c r="AQ25" i="13"/>
  <c r="AR25" i="13"/>
  <c r="AV25" i="13" s="1"/>
  <c r="AS25" i="13"/>
  <c r="AT25" i="13"/>
  <c r="AU25" i="13"/>
  <c r="P27" i="9"/>
  <c r="O29" i="9" l="1"/>
  <c r="N29" i="9"/>
  <c r="P29" i="9" s="1"/>
  <c r="B27" i="16"/>
  <c r="AM27" i="13" s="1"/>
  <c r="C27" i="16"/>
  <c r="AN27" i="13" s="1"/>
  <c r="D27" i="16"/>
  <c r="AO27" i="13" s="1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AL27" i="13"/>
  <c r="A28" i="16"/>
  <c r="AP26" i="13"/>
  <c r="AQ26" i="13"/>
  <c r="AR26" i="13"/>
  <c r="AV26" i="13" s="1"/>
  <c r="AS26" i="13"/>
  <c r="AT26" i="13"/>
  <c r="AU26" i="13"/>
  <c r="AP27" i="13" l="1"/>
  <c r="AQ27" i="13"/>
  <c r="AR27" i="13"/>
  <c r="AV27" i="13" s="1"/>
  <c r="AS27" i="13"/>
  <c r="AT27" i="13"/>
  <c r="AU27" i="13"/>
  <c r="B28" i="16"/>
  <c r="AM28" i="13" s="1"/>
  <c r="C28" i="16"/>
  <c r="AN28" i="13" s="1"/>
  <c r="D28" i="16"/>
  <c r="AO28" i="13" s="1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AL28" i="13"/>
  <c r="A29" i="16"/>
  <c r="AP28" i="13" l="1"/>
  <c r="AQ28" i="13"/>
  <c r="AR28" i="13"/>
  <c r="AV28" i="13" s="1"/>
  <c r="AS28" i="13"/>
  <c r="AT28" i="13"/>
  <c r="AU28" i="13"/>
  <c r="B29" i="16"/>
  <c r="AM29" i="13" s="1"/>
  <c r="C29" i="16"/>
  <c r="AN29" i="13" s="1"/>
  <c r="D29" i="16"/>
  <c r="AO29" i="13" s="1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AL29" i="13"/>
  <c r="A30" i="16"/>
  <c r="AP29" i="13" l="1"/>
  <c r="AQ29" i="13"/>
  <c r="AR29" i="13"/>
  <c r="AV29" i="13" s="1"/>
  <c r="AS29" i="13"/>
  <c r="AT29" i="13"/>
  <c r="AU29" i="13"/>
  <c r="A31" i="16"/>
  <c r="B30" i="16"/>
  <c r="AM30" i="13" s="1"/>
  <c r="C30" i="16"/>
  <c r="AN30" i="13" s="1"/>
  <c r="D30" i="16"/>
  <c r="AO30" i="13" s="1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AL30" i="13"/>
  <c r="B31" i="16" l="1"/>
  <c r="AM31" i="13" s="1"/>
  <c r="C31" i="16"/>
  <c r="AN31" i="13" s="1"/>
  <c r="D31" i="16"/>
  <c r="AO31" i="13" s="1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AL31" i="13"/>
  <c r="A32" i="16"/>
  <c r="AP30" i="13"/>
  <c r="AQ30" i="13"/>
  <c r="AR30" i="13"/>
  <c r="AV30" i="13" s="1"/>
  <c r="AS30" i="13"/>
  <c r="AT30" i="13"/>
  <c r="AU30" i="13"/>
  <c r="AP31" i="13" l="1"/>
  <c r="AQ31" i="13"/>
  <c r="AR31" i="13"/>
  <c r="AV31" i="13" s="1"/>
  <c r="AS31" i="13"/>
  <c r="AT31" i="13"/>
  <c r="AU31" i="13"/>
  <c r="B32" i="16"/>
  <c r="AM32" i="13" s="1"/>
  <c r="C32" i="16"/>
  <c r="AN32" i="13" s="1"/>
  <c r="D32" i="16"/>
  <c r="AO32" i="13" s="1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AL32" i="13"/>
  <c r="A33" i="16"/>
  <c r="AP32" i="13" l="1"/>
  <c r="AQ32" i="13"/>
  <c r="AR32" i="13"/>
  <c r="AV32" i="13" s="1"/>
  <c r="AS32" i="13"/>
  <c r="AT32" i="13"/>
  <c r="AU32" i="13"/>
  <c r="A34" i="16"/>
  <c r="B33" i="16"/>
  <c r="AM33" i="13" s="1"/>
  <c r="C33" i="16"/>
  <c r="AN33" i="13" s="1"/>
  <c r="D33" i="16"/>
  <c r="AO33" i="13" s="1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AL33" i="13"/>
  <c r="B34" i="16" l="1"/>
  <c r="AM34" i="13" s="1"/>
  <c r="C34" i="16"/>
  <c r="AN34" i="13" s="1"/>
  <c r="D34" i="16"/>
  <c r="AO34" i="13" s="1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AL34" i="13"/>
  <c r="A35" i="16"/>
  <c r="AP33" i="13"/>
  <c r="AQ33" i="13"/>
  <c r="AR33" i="13"/>
  <c r="AV33" i="13" s="1"/>
  <c r="AS33" i="13"/>
  <c r="AT33" i="13"/>
  <c r="AU33" i="13"/>
  <c r="AP34" i="13" l="1"/>
  <c r="AQ34" i="13"/>
  <c r="AR34" i="13"/>
  <c r="AV34" i="13" s="1"/>
  <c r="AS34" i="13"/>
  <c r="AT34" i="13"/>
  <c r="AU34" i="13"/>
  <c r="B35" i="16"/>
  <c r="AM35" i="13" s="1"/>
  <c r="C35" i="16"/>
  <c r="AN35" i="13" s="1"/>
  <c r="D35" i="16"/>
  <c r="AO35" i="13" s="1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AL35" i="13"/>
  <c r="A36" i="16"/>
  <c r="AP35" i="13" l="1"/>
  <c r="AQ35" i="13"/>
  <c r="AR35" i="13"/>
  <c r="AV35" i="13" s="1"/>
  <c r="AS35" i="13"/>
  <c r="AT35" i="13"/>
  <c r="AU35" i="13"/>
  <c r="B36" i="16"/>
  <c r="AM36" i="13" s="1"/>
  <c r="C36" i="16"/>
  <c r="AN36" i="13" s="1"/>
  <c r="D36" i="16"/>
  <c r="AO36" i="13" s="1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AL36" i="13"/>
  <c r="A37" i="16"/>
  <c r="AP36" i="13" l="1"/>
  <c r="AQ36" i="13"/>
  <c r="AR36" i="13"/>
  <c r="AV36" i="13" s="1"/>
  <c r="AS36" i="13"/>
  <c r="AT36" i="13"/>
  <c r="AU36" i="13"/>
  <c r="B37" i="16"/>
  <c r="AM37" i="13" s="1"/>
  <c r="C37" i="16"/>
  <c r="AN37" i="13" s="1"/>
  <c r="D37" i="16"/>
  <c r="AO37" i="13" s="1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AL37" i="13"/>
  <c r="A38" i="16"/>
  <c r="AP37" i="13" l="1"/>
  <c r="AQ37" i="13"/>
  <c r="AR37" i="13"/>
  <c r="AV37" i="13" s="1"/>
  <c r="AS37" i="13"/>
  <c r="AT37" i="13"/>
  <c r="AU37" i="13"/>
  <c r="B38" i="16"/>
  <c r="AM38" i="13" s="1"/>
  <c r="C38" i="16"/>
  <c r="AN38" i="13" s="1"/>
  <c r="D38" i="16"/>
  <c r="AO38" i="13" s="1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AL38" i="13"/>
  <c r="A39" i="16"/>
  <c r="AP38" i="13" l="1"/>
  <c r="AQ38" i="13"/>
  <c r="AR38" i="13"/>
  <c r="AV38" i="13" s="1"/>
  <c r="AS38" i="13"/>
  <c r="AT38" i="13"/>
  <c r="AU38" i="13"/>
  <c r="A40" i="16"/>
  <c r="B39" i="16"/>
  <c r="AM39" i="13" s="1"/>
  <c r="C39" i="16"/>
  <c r="AN39" i="13" s="1"/>
  <c r="D39" i="16"/>
  <c r="AO39" i="13" s="1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AL39" i="13"/>
  <c r="B40" i="16" l="1"/>
  <c r="AM40" i="13" s="1"/>
  <c r="C40" i="16"/>
  <c r="AN40" i="13" s="1"/>
  <c r="D40" i="16"/>
  <c r="AO40" i="13" s="1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AL40" i="13"/>
  <c r="A41" i="16"/>
  <c r="AP39" i="13"/>
  <c r="AQ39" i="13"/>
  <c r="AR39" i="13"/>
  <c r="AV39" i="13" s="1"/>
  <c r="AS39" i="13"/>
  <c r="AT39" i="13"/>
  <c r="AU39" i="13"/>
  <c r="AP40" i="13" l="1"/>
  <c r="AQ40" i="13"/>
  <c r="AR40" i="13"/>
  <c r="AV40" i="13" s="1"/>
  <c r="AS40" i="13"/>
  <c r="AT40" i="13"/>
  <c r="AU40" i="13"/>
  <c r="B41" i="16"/>
  <c r="AM41" i="13" s="1"/>
  <c r="C41" i="16"/>
  <c r="AN41" i="13" s="1"/>
  <c r="D41" i="16"/>
  <c r="AO41" i="13" s="1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AL41" i="13"/>
  <c r="A42" i="16"/>
  <c r="AP41" i="13" l="1"/>
  <c r="AQ41" i="13"/>
  <c r="AR41" i="13"/>
  <c r="AV41" i="13" s="1"/>
  <c r="AS41" i="13"/>
  <c r="AT41" i="13"/>
  <c r="AU41" i="13"/>
  <c r="A43" i="16"/>
  <c r="B42" i="16"/>
  <c r="AM42" i="13" s="1"/>
  <c r="C42" i="16"/>
  <c r="AN42" i="13" s="1"/>
  <c r="D42" i="16"/>
  <c r="AO42" i="13" s="1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AL42" i="13"/>
  <c r="B43" i="16" l="1"/>
  <c r="AM43" i="13" s="1"/>
  <c r="C43" i="16"/>
  <c r="AN43" i="13" s="1"/>
  <c r="D43" i="16"/>
  <c r="AO43" i="13" s="1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AL43" i="13"/>
  <c r="A44" i="16"/>
  <c r="AP42" i="13"/>
  <c r="AQ42" i="13"/>
  <c r="AR42" i="13"/>
  <c r="AV42" i="13" s="1"/>
  <c r="AS42" i="13"/>
  <c r="AT42" i="13"/>
  <c r="AU42" i="13"/>
  <c r="AP43" i="13" l="1"/>
  <c r="AQ43" i="13"/>
  <c r="AR43" i="13"/>
  <c r="AV43" i="13" s="1"/>
  <c r="AS43" i="13"/>
  <c r="AT43" i="13"/>
  <c r="AU43" i="13"/>
  <c r="B44" i="16"/>
  <c r="AM44" i="13" s="1"/>
  <c r="C44" i="16"/>
  <c r="AN44" i="13" s="1"/>
  <c r="D44" i="16"/>
  <c r="AO44" i="13" s="1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AL44" i="13"/>
  <c r="A45" i="16"/>
  <c r="AP44" i="13" l="1"/>
  <c r="AQ44" i="13"/>
  <c r="AR44" i="13"/>
  <c r="AV44" i="13" s="1"/>
  <c r="AS44" i="13"/>
  <c r="AT44" i="13"/>
  <c r="AU44" i="13"/>
  <c r="B45" i="16"/>
  <c r="AM45" i="13" s="1"/>
  <c r="C45" i="16"/>
  <c r="AN45" i="13" s="1"/>
  <c r="D45" i="16"/>
  <c r="AO45" i="13" s="1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AL45" i="13"/>
  <c r="A46" i="16"/>
  <c r="AP45" i="13" l="1"/>
  <c r="AQ45" i="13"/>
  <c r="AR45" i="13"/>
  <c r="AV45" i="13" s="1"/>
  <c r="AS45" i="13"/>
  <c r="AT45" i="13"/>
  <c r="AU45" i="13"/>
  <c r="A47" i="16"/>
  <c r="B46" i="16"/>
  <c r="AM46" i="13" s="1"/>
  <c r="C46" i="16"/>
  <c r="AN46" i="13" s="1"/>
  <c r="D46" i="16"/>
  <c r="AO46" i="13" s="1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AL46" i="13"/>
  <c r="B47" i="16" l="1"/>
  <c r="AM47" i="13" s="1"/>
  <c r="C47" i="16"/>
  <c r="AN47" i="13" s="1"/>
  <c r="D47" i="16"/>
  <c r="AO47" i="13" s="1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AL47" i="13"/>
  <c r="A48" i="16"/>
  <c r="AP46" i="13"/>
  <c r="AQ46" i="13"/>
  <c r="AR46" i="13"/>
  <c r="AV46" i="13" s="1"/>
  <c r="AS46" i="13"/>
  <c r="AT46" i="13"/>
  <c r="AU46" i="13"/>
  <c r="AP47" i="13" l="1"/>
  <c r="AQ47" i="13"/>
  <c r="AR47" i="13"/>
  <c r="AV47" i="13" s="1"/>
  <c r="AS47" i="13"/>
  <c r="AT47" i="13"/>
  <c r="AU47" i="13"/>
  <c r="B48" i="16"/>
  <c r="AM48" i="13" s="1"/>
  <c r="C48" i="16"/>
  <c r="AN48" i="13" s="1"/>
  <c r="D48" i="16"/>
  <c r="AO48" i="13" s="1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AL48" i="13"/>
  <c r="A49" i="16"/>
  <c r="AP48" i="13" l="1"/>
  <c r="AQ48" i="13"/>
  <c r="AR48" i="13"/>
  <c r="AV48" i="13" s="1"/>
  <c r="AS48" i="13"/>
  <c r="AT48" i="13"/>
  <c r="AU48" i="13"/>
  <c r="B49" i="16"/>
  <c r="AM49" i="13" s="1"/>
  <c r="C49" i="16"/>
  <c r="AN49" i="13" s="1"/>
  <c r="D49" i="16"/>
  <c r="AO49" i="13" s="1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AL49" i="13"/>
  <c r="A50" i="16"/>
  <c r="AP49" i="13" l="1"/>
  <c r="AQ49" i="13"/>
  <c r="AR49" i="13"/>
  <c r="AV49" i="13" s="1"/>
  <c r="AS49" i="13"/>
  <c r="AT49" i="13"/>
  <c r="AU49" i="13"/>
  <c r="A51" i="16"/>
  <c r="B50" i="16"/>
  <c r="AM50" i="13" s="1"/>
  <c r="C50" i="16"/>
  <c r="AN50" i="13" s="1"/>
  <c r="D50" i="16"/>
  <c r="AO50" i="13" s="1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AL50" i="13"/>
  <c r="B51" i="16" l="1"/>
  <c r="AM51" i="13" s="1"/>
  <c r="C51" i="16"/>
  <c r="AN51" i="13" s="1"/>
  <c r="D51" i="16"/>
  <c r="AO51" i="13" s="1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AL51" i="13"/>
  <c r="A52" i="16"/>
  <c r="AP50" i="13"/>
  <c r="AQ50" i="13"/>
  <c r="AR50" i="13"/>
  <c r="AV50" i="13" s="1"/>
  <c r="AS50" i="13"/>
  <c r="AT50" i="13"/>
  <c r="AU50" i="13"/>
  <c r="AP51" i="13" l="1"/>
  <c r="AQ51" i="13"/>
  <c r="AR51" i="13"/>
  <c r="AV51" i="13" s="1"/>
  <c r="AS51" i="13"/>
  <c r="AT51" i="13"/>
  <c r="AU51" i="13"/>
  <c r="A53" i="16"/>
  <c r="B52" i="16"/>
  <c r="AM52" i="13" s="1"/>
  <c r="C52" i="16"/>
  <c r="AN52" i="13" s="1"/>
  <c r="D52" i="16"/>
  <c r="AO52" i="13" s="1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AL52" i="13"/>
  <c r="A54" i="16" l="1"/>
  <c r="B53" i="16"/>
  <c r="AM53" i="13" s="1"/>
  <c r="C53" i="16"/>
  <c r="AN53" i="13" s="1"/>
  <c r="D53" i="16"/>
  <c r="AO53" i="13" s="1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AL53" i="13"/>
  <c r="AP52" i="13"/>
  <c r="AQ52" i="13"/>
  <c r="AR52" i="13"/>
  <c r="AV52" i="13" s="1"/>
  <c r="AS52" i="13"/>
  <c r="AT52" i="13"/>
  <c r="AU52" i="13"/>
  <c r="B54" i="16" l="1"/>
  <c r="AM54" i="13" s="1"/>
  <c r="C54" i="16"/>
  <c r="AN54" i="13" s="1"/>
  <c r="D54" i="16"/>
  <c r="AO54" i="13" s="1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AL54" i="13"/>
  <c r="A55" i="16"/>
  <c r="AP53" i="13"/>
  <c r="AQ53" i="13"/>
  <c r="AR53" i="13"/>
  <c r="AV53" i="13" s="1"/>
  <c r="AS53" i="13"/>
  <c r="AT53" i="13"/>
  <c r="AU53" i="13"/>
  <c r="AP54" i="13" l="1"/>
  <c r="AQ54" i="13"/>
  <c r="AR54" i="13"/>
  <c r="AV54" i="13" s="1"/>
  <c r="AS54" i="13"/>
  <c r="AT54" i="13"/>
  <c r="AU54" i="13"/>
  <c r="A56" i="16"/>
  <c r="B55" i="16"/>
  <c r="AM55" i="13" s="1"/>
  <c r="C55" i="16"/>
  <c r="AN55" i="13" s="1"/>
  <c r="D55" i="16"/>
  <c r="AO55" i="13" s="1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AL55" i="13"/>
  <c r="B56" i="16" l="1"/>
  <c r="AM56" i="13" s="1"/>
  <c r="C56" i="16"/>
  <c r="AN56" i="13" s="1"/>
  <c r="D56" i="16"/>
  <c r="AO56" i="13" s="1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AL56" i="13"/>
  <c r="A57" i="16"/>
  <c r="AP55" i="13"/>
  <c r="AQ55" i="13"/>
  <c r="AR55" i="13"/>
  <c r="AV55" i="13" s="1"/>
  <c r="AS55" i="13"/>
  <c r="AT55" i="13"/>
  <c r="AU55" i="13"/>
  <c r="AP56" i="13" l="1"/>
  <c r="AQ56" i="13"/>
  <c r="AR56" i="13"/>
  <c r="AV56" i="13" s="1"/>
  <c r="AS56" i="13"/>
  <c r="AT56" i="13"/>
  <c r="AU56" i="13"/>
  <c r="B57" i="16"/>
  <c r="AM57" i="13" s="1"/>
  <c r="C57" i="16"/>
  <c r="AN57" i="13" s="1"/>
  <c r="D57" i="16"/>
  <c r="AO57" i="13" s="1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AL57" i="13"/>
  <c r="A58" i="16"/>
  <c r="AP57" i="13" l="1"/>
  <c r="AQ57" i="13"/>
  <c r="AR57" i="13"/>
  <c r="AV57" i="13" s="1"/>
  <c r="AS57" i="13"/>
  <c r="AT57" i="13"/>
  <c r="AU57" i="13"/>
  <c r="B58" i="16"/>
  <c r="AM58" i="13" s="1"/>
  <c r="C58" i="16"/>
  <c r="AN58" i="13" s="1"/>
  <c r="D58" i="16"/>
  <c r="AO58" i="13" s="1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AL58" i="13"/>
  <c r="A59" i="16"/>
  <c r="AP58" i="13" l="1"/>
  <c r="AQ58" i="13"/>
  <c r="AR58" i="13"/>
  <c r="AV58" i="13" s="1"/>
  <c r="AS58" i="13"/>
  <c r="AT58" i="13"/>
  <c r="AU58" i="13"/>
  <c r="B59" i="16"/>
  <c r="AM59" i="13" s="1"/>
  <c r="C59" i="16"/>
  <c r="AN59" i="13" s="1"/>
  <c r="D59" i="16"/>
  <c r="AO59" i="13" s="1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AL59" i="13"/>
  <c r="A60" i="16"/>
  <c r="AP59" i="13" l="1"/>
  <c r="AQ59" i="13"/>
  <c r="AR59" i="13"/>
  <c r="AV59" i="13" s="1"/>
  <c r="AS59" i="13"/>
  <c r="AT59" i="13"/>
  <c r="AU59" i="13"/>
  <c r="B60" i="16"/>
  <c r="AM60" i="13" s="1"/>
  <c r="C60" i="16"/>
  <c r="AN60" i="13" s="1"/>
  <c r="D60" i="16"/>
  <c r="AO60" i="13" s="1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AL60" i="13"/>
  <c r="A61" i="16"/>
  <c r="AP60" i="13" l="1"/>
  <c r="AQ60" i="13"/>
  <c r="AR60" i="13"/>
  <c r="AV60" i="13" s="1"/>
  <c r="AS60" i="13"/>
  <c r="AT60" i="13"/>
  <c r="AU60" i="13"/>
  <c r="A62" i="16"/>
  <c r="B61" i="16"/>
  <c r="AM61" i="13" s="1"/>
  <c r="C61" i="16"/>
  <c r="AN61" i="13" s="1"/>
  <c r="D61" i="16"/>
  <c r="AO61" i="13" s="1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AL61" i="13"/>
  <c r="B62" i="16" l="1"/>
  <c r="AM62" i="13" s="1"/>
  <c r="C62" i="16"/>
  <c r="AN62" i="13" s="1"/>
  <c r="D62" i="16"/>
  <c r="AO62" i="13" s="1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AL62" i="13"/>
  <c r="A63" i="16"/>
  <c r="AP61" i="13"/>
  <c r="AQ61" i="13"/>
  <c r="AR61" i="13"/>
  <c r="AV61" i="13" s="1"/>
  <c r="AS61" i="13"/>
  <c r="AT61" i="13"/>
  <c r="AU61" i="13"/>
  <c r="AP62" i="13" l="1"/>
  <c r="AQ62" i="13"/>
  <c r="AR62" i="13"/>
  <c r="AV62" i="13" s="1"/>
  <c r="AS62" i="13"/>
  <c r="AT62" i="13"/>
  <c r="AU62" i="13"/>
  <c r="A64" i="16"/>
  <c r="B63" i="16"/>
  <c r="AM63" i="13" s="1"/>
  <c r="C63" i="16"/>
  <c r="AN63" i="13" s="1"/>
  <c r="D63" i="16"/>
  <c r="AO63" i="13" s="1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AL63" i="13"/>
  <c r="B64" i="16" l="1"/>
  <c r="AM64" i="13" s="1"/>
  <c r="C64" i="16"/>
  <c r="AN64" i="13" s="1"/>
  <c r="D64" i="16"/>
  <c r="AO64" i="13" s="1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AL64" i="13"/>
  <c r="A65" i="16"/>
  <c r="AP63" i="13"/>
  <c r="AQ63" i="13"/>
  <c r="AR63" i="13"/>
  <c r="AV63" i="13" s="1"/>
  <c r="AS63" i="13"/>
  <c r="AT63" i="13"/>
  <c r="AU63" i="13"/>
  <c r="AP64" i="13" l="1"/>
  <c r="AQ64" i="13"/>
  <c r="AR64" i="13"/>
  <c r="AV64" i="13" s="1"/>
  <c r="AS64" i="13"/>
  <c r="AT64" i="13"/>
  <c r="AU64" i="13"/>
  <c r="B65" i="16"/>
  <c r="AM65" i="13" s="1"/>
  <c r="C65" i="16"/>
  <c r="AN65" i="13" s="1"/>
  <c r="D65" i="16"/>
  <c r="AO65" i="13" s="1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AL65" i="13"/>
  <c r="A66" i="16"/>
  <c r="AP65" i="13" l="1"/>
  <c r="AQ65" i="13"/>
  <c r="AR65" i="13"/>
  <c r="AV65" i="13" s="1"/>
  <c r="AS65" i="13"/>
  <c r="AT65" i="13"/>
  <c r="AU65" i="13"/>
  <c r="B66" i="16"/>
  <c r="AM66" i="13" s="1"/>
  <c r="C66" i="16"/>
  <c r="AN66" i="13" s="1"/>
  <c r="D66" i="16"/>
  <c r="AO66" i="13" s="1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AL66" i="13"/>
  <c r="A67" i="16"/>
  <c r="AP66" i="13" l="1"/>
  <c r="AQ66" i="13"/>
  <c r="AR66" i="13"/>
  <c r="AV66" i="13" s="1"/>
  <c r="AS66" i="13"/>
  <c r="AT66" i="13"/>
  <c r="AU66" i="13"/>
  <c r="A68" i="16"/>
  <c r="B67" i="16"/>
  <c r="AM67" i="13" s="1"/>
  <c r="C67" i="16"/>
  <c r="AN67" i="13" s="1"/>
  <c r="D67" i="16"/>
  <c r="AO67" i="13" s="1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AL67" i="13"/>
  <c r="B68" i="16" l="1"/>
  <c r="AM68" i="13" s="1"/>
  <c r="C68" i="16"/>
  <c r="AN68" i="13" s="1"/>
  <c r="D68" i="16"/>
  <c r="AO68" i="13" s="1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AL68" i="13"/>
  <c r="A69" i="16"/>
  <c r="AP67" i="13"/>
  <c r="AQ67" i="13"/>
  <c r="AR67" i="13"/>
  <c r="AV67" i="13" s="1"/>
  <c r="AS67" i="13"/>
  <c r="AT67" i="13"/>
  <c r="AU67" i="13"/>
  <c r="AP68" i="13" l="1"/>
  <c r="AQ68" i="13"/>
  <c r="AR68" i="13"/>
  <c r="AV68" i="13" s="1"/>
  <c r="AS68" i="13"/>
  <c r="AT68" i="13"/>
  <c r="AU68" i="13"/>
  <c r="B69" i="16"/>
  <c r="AM69" i="13" s="1"/>
  <c r="C69" i="16"/>
  <c r="AN69" i="13" s="1"/>
  <c r="D69" i="16"/>
  <c r="AO69" i="13" s="1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AL69" i="13"/>
  <c r="A70" i="16"/>
  <c r="AP69" i="13" l="1"/>
  <c r="AQ69" i="13"/>
  <c r="AR69" i="13"/>
  <c r="AV69" i="13" s="1"/>
  <c r="AS69" i="13"/>
  <c r="AT69" i="13"/>
  <c r="AU69" i="13"/>
  <c r="B70" i="16"/>
  <c r="AM70" i="13" s="1"/>
  <c r="C70" i="16"/>
  <c r="AN70" i="13" s="1"/>
  <c r="D70" i="16"/>
  <c r="AO70" i="13" s="1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AL70" i="13"/>
  <c r="A71" i="16"/>
  <c r="AP70" i="13" l="1"/>
  <c r="AQ70" i="13"/>
  <c r="AR70" i="13"/>
  <c r="AV70" i="13" s="1"/>
  <c r="AS70" i="13"/>
  <c r="AT70" i="13"/>
  <c r="AU70" i="13"/>
  <c r="A72" i="16"/>
  <c r="B71" i="16"/>
  <c r="AM71" i="13" s="1"/>
  <c r="C71" i="16"/>
  <c r="AN71" i="13" s="1"/>
  <c r="D71" i="16"/>
  <c r="AO71" i="13" s="1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AL71" i="13"/>
  <c r="B72" i="16" l="1"/>
  <c r="AM72" i="13" s="1"/>
  <c r="C72" i="16"/>
  <c r="AN72" i="13" s="1"/>
  <c r="D72" i="16"/>
  <c r="AO72" i="13" s="1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AL72" i="13"/>
  <c r="A73" i="16"/>
  <c r="AP71" i="13"/>
  <c r="AQ71" i="13"/>
  <c r="AR71" i="13"/>
  <c r="AV71" i="13" s="1"/>
  <c r="AS71" i="13"/>
  <c r="AT71" i="13"/>
  <c r="AU71" i="13"/>
  <c r="AP72" i="13" l="1"/>
  <c r="AQ72" i="13"/>
  <c r="AR72" i="13"/>
  <c r="AV72" i="13" s="1"/>
  <c r="AS72" i="13"/>
  <c r="AT72" i="13"/>
  <c r="AU72" i="13"/>
  <c r="B73" i="16"/>
  <c r="AM73" i="13" s="1"/>
  <c r="C73" i="16"/>
  <c r="AN73" i="13" s="1"/>
  <c r="D73" i="16"/>
  <c r="AO73" i="13" s="1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AL73" i="13"/>
  <c r="A74" i="16"/>
  <c r="AP73" i="13" l="1"/>
  <c r="AQ73" i="13"/>
  <c r="AR73" i="13"/>
  <c r="AV73" i="13" s="1"/>
  <c r="AS73" i="13"/>
  <c r="AT73" i="13"/>
  <c r="AU73" i="13"/>
  <c r="B74" i="16"/>
  <c r="AM74" i="13" s="1"/>
  <c r="C74" i="16"/>
  <c r="AN74" i="13" s="1"/>
  <c r="D74" i="16"/>
  <c r="AO74" i="13" s="1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AL74" i="13"/>
  <c r="A75" i="16"/>
  <c r="AP74" i="13" l="1"/>
  <c r="AQ74" i="13"/>
  <c r="AR74" i="13"/>
  <c r="AV74" i="13" s="1"/>
  <c r="AS74" i="13"/>
  <c r="AT74" i="13"/>
  <c r="AU74" i="13"/>
  <c r="B75" i="16"/>
  <c r="AM75" i="13" s="1"/>
  <c r="C75" i="16"/>
  <c r="AN75" i="13" s="1"/>
  <c r="D75" i="16"/>
  <c r="AO75" i="13" s="1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AL75" i="13"/>
  <c r="A76" i="16"/>
  <c r="AP75" i="13" l="1"/>
  <c r="AQ75" i="13"/>
  <c r="AR75" i="13"/>
  <c r="AV75" i="13" s="1"/>
  <c r="AS75" i="13"/>
  <c r="AT75" i="13"/>
  <c r="AU75" i="13"/>
  <c r="B76" i="16"/>
  <c r="AM76" i="13" s="1"/>
  <c r="C76" i="16"/>
  <c r="AN76" i="13" s="1"/>
  <c r="D76" i="16"/>
  <c r="AO76" i="13" s="1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AL76" i="13"/>
  <c r="A77" i="16"/>
  <c r="AP76" i="13" l="1"/>
  <c r="AQ76" i="13"/>
  <c r="AR76" i="13"/>
  <c r="AV76" i="13" s="1"/>
  <c r="AS76" i="13"/>
  <c r="AT76" i="13"/>
  <c r="AU76" i="13"/>
  <c r="B77" i="16"/>
  <c r="AM77" i="13" s="1"/>
  <c r="C77" i="16"/>
  <c r="AN77" i="13" s="1"/>
  <c r="D77" i="16"/>
  <c r="AO77" i="13" s="1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AL77" i="13"/>
  <c r="A78" i="16"/>
  <c r="AP77" i="13" l="1"/>
  <c r="AQ77" i="13"/>
  <c r="AR77" i="13"/>
  <c r="AV77" i="13" s="1"/>
  <c r="AS77" i="13"/>
  <c r="AT77" i="13"/>
  <c r="AU77" i="13"/>
  <c r="B78" i="16"/>
  <c r="AM78" i="13" s="1"/>
  <c r="C78" i="16"/>
  <c r="AN78" i="13" s="1"/>
  <c r="D78" i="16"/>
  <c r="AO78" i="13" s="1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AL78" i="13"/>
  <c r="A79" i="16"/>
  <c r="AP78" i="13" l="1"/>
  <c r="AQ78" i="13"/>
  <c r="AR78" i="13"/>
  <c r="AV78" i="13" s="1"/>
  <c r="AS78" i="13"/>
  <c r="AT78" i="13"/>
  <c r="AU78" i="13"/>
  <c r="A80" i="16"/>
  <c r="B79" i="16"/>
  <c r="AM79" i="13" s="1"/>
  <c r="C79" i="16"/>
  <c r="AN79" i="13" s="1"/>
  <c r="D79" i="16"/>
  <c r="AO79" i="13" s="1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AL79" i="13"/>
  <c r="B80" i="16" l="1"/>
  <c r="AM80" i="13" s="1"/>
  <c r="C80" i="16"/>
  <c r="AN80" i="13" s="1"/>
  <c r="D80" i="16"/>
  <c r="AO80" i="13" s="1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AL80" i="13"/>
  <c r="A81" i="16"/>
  <c r="AP79" i="13"/>
  <c r="AQ79" i="13"/>
  <c r="AR79" i="13"/>
  <c r="AV79" i="13" s="1"/>
  <c r="AS79" i="13"/>
  <c r="AT79" i="13"/>
  <c r="AU79" i="13"/>
  <c r="AP80" i="13" l="1"/>
  <c r="AQ80" i="13"/>
  <c r="AR80" i="13"/>
  <c r="AV80" i="13" s="1"/>
  <c r="AS80" i="13"/>
  <c r="AT80" i="13"/>
  <c r="AU80" i="13"/>
  <c r="A82" i="16"/>
  <c r="B81" i="16"/>
  <c r="AM81" i="13" s="1"/>
  <c r="C81" i="16"/>
  <c r="AN81" i="13" s="1"/>
  <c r="D81" i="16"/>
  <c r="AO81" i="13" s="1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AL81" i="13"/>
  <c r="B82" i="16" l="1"/>
  <c r="AM82" i="13" s="1"/>
  <c r="C82" i="16"/>
  <c r="AN82" i="13" s="1"/>
  <c r="D82" i="16"/>
  <c r="AO82" i="13" s="1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AL82" i="13"/>
  <c r="A83" i="16"/>
  <c r="AP81" i="13"/>
  <c r="AQ81" i="13"/>
  <c r="AR81" i="13"/>
  <c r="AV81" i="13" s="1"/>
  <c r="AS81" i="13"/>
  <c r="AT81" i="13"/>
  <c r="AU81" i="13"/>
  <c r="AP82" i="13" l="1"/>
  <c r="AQ82" i="13"/>
  <c r="AR82" i="13"/>
  <c r="AV82" i="13" s="1"/>
  <c r="AS82" i="13"/>
  <c r="AT82" i="13"/>
  <c r="AU82" i="13"/>
  <c r="B83" i="16"/>
  <c r="AM83" i="13" s="1"/>
  <c r="C83" i="16"/>
  <c r="AN83" i="13" s="1"/>
  <c r="D83" i="16"/>
  <c r="AO83" i="13" s="1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AL83" i="13"/>
  <c r="A84" i="16"/>
  <c r="AP83" i="13" l="1"/>
  <c r="AQ83" i="13"/>
  <c r="AR83" i="13"/>
  <c r="AV83" i="13" s="1"/>
  <c r="AS83" i="13"/>
  <c r="AT83" i="13"/>
  <c r="AU83" i="13"/>
  <c r="B84" i="16"/>
  <c r="AM84" i="13" s="1"/>
  <c r="C84" i="16"/>
  <c r="AN84" i="13" s="1"/>
  <c r="D84" i="16"/>
  <c r="AO84" i="13" s="1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AL84" i="13"/>
  <c r="A85" i="16"/>
  <c r="AP84" i="13" l="1"/>
  <c r="AQ84" i="13"/>
  <c r="AR84" i="13"/>
  <c r="AV84" i="13" s="1"/>
  <c r="AS84" i="13"/>
  <c r="AT84" i="13"/>
  <c r="AU84" i="13"/>
  <c r="B85" i="16"/>
  <c r="AM85" i="13" s="1"/>
  <c r="C85" i="16"/>
  <c r="AN85" i="13" s="1"/>
  <c r="D85" i="16"/>
  <c r="AO85" i="13" s="1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AL85" i="13"/>
  <c r="A86" i="16"/>
  <c r="AP85" i="13" l="1"/>
  <c r="AQ85" i="13"/>
  <c r="AR85" i="13"/>
  <c r="AV85" i="13" s="1"/>
  <c r="AS85" i="13"/>
  <c r="AT85" i="13"/>
  <c r="AU85" i="13"/>
  <c r="B86" i="16"/>
  <c r="AM86" i="13" s="1"/>
  <c r="C86" i="16"/>
  <c r="AN86" i="13" s="1"/>
  <c r="D86" i="16"/>
  <c r="AO86" i="13" s="1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AL86" i="13"/>
  <c r="A87" i="16"/>
  <c r="AP86" i="13" l="1"/>
  <c r="AQ86" i="13"/>
  <c r="AR86" i="13"/>
  <c r="AV86" i="13" s="1"/>
  <c r="AS86" i="13"/>
  <c r="AT86" i="13"/>
  <c r="AU86" i="13"/>
  <c r="A88" i="16"/>
  <c r="B87" i="16"/>
  <c r="AM87" i="13" s="1"/>
  <c r="C87" i="16"/>
  <c r="AN87" i="13" s="1"/>
  <c r="D87" i="16"/>
  <c r="AO87" i="13" s="1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AL87" i="13"/>
  <c r="B88" i="16" l="1"/>
  <c r="AM88" i="13" s="1"/>
  <c r="C88" i="16"/>
  <c r="AN88" i="13" s="1"/>
  <c r="D88" i="16"/>
  <c r="AO88" i="13" s="1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AL88" i="13"/>
  <c r="A89" i="16"/>
  <c r="AP87" i="13"/>
  <c r="AQ87" i="13"/>
  <c r="AR87" i="13"/>
  <c r="AV87" i="13" s="1"/>
  <c r="AS87" i="13"/>
  <c r="AT87" i="13"/>
  <c r="AU87" i="13"/>
  <c r="AP88" i="13" l="1"/>
  <c r="AQ88" i="13"/>
  <c r="AR88" i="13"/>
  <c r="AV88" i="13" s="1"/>
  <c r="AS88" i="13"/>
  <c r="AT88" i="13"/>
  <c r="AU88" i="13"/>
  <c r="B89" i="16"/>
  <c r="AM89" i="13" s="1"/>
  <c r="C89" i="16"/>
  <c r="AN89" i="13" s="1"/>
  <c r="D89" i="16"/>
  <c r="AO89" i="13" s="1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AL89" i="13"/>
  <c r="A90" i="16"/>
  <c r="AP89" i="13" l="1"/>
  <c r="AQ89" i="13"/>
  <c r="AR89" i="13"/>
  <c r="AV89" i="13" s="1"/>
  <c r="AS89" i="13"/>
  <c r="AT89" i="13"/>
  <c r="AU89" i="13"/>
  <c r="B90" i="16"/>
  <c r="AM90" i="13" s="1"/>
  <c r="C90" i="16"/>
  <c r="AN90" i="13" s="1"/>
  <c r="D90" i="16"/>
  <c r="AO90" i="13" s="1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AL90" i="13"/>
  <c r="A91" i="16"/>
  <c r="AP90" i="13" l="1"/>
  <c r="AQ90" i="13"/>
  <c r="AR90" i="13"/>
  <c r="AV90" i="13" s="1"/>
  <c r="AS90" i="13"/>
  <c r="AT90" i="13"/>
  <c r="AU90" i="13"/>
  <c r="A92" i="16"/>
  <c r="B91" i="16"/>
  <c r="AM91" i="13" s="1"/>
  <c r="C91" i="16"/>
  <c r="AN91" i="13" s="1"/>
  <c r="D91" i="16"/>
  <c r="AO91" i="13" s="1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AL91" i="13"/>
  <c r="B92" i="16" l="1"/>
  <c r="AM92" i="13" s="1"/>
  <c r="C92" i="16"/>
  <c r="AN92" i="13" s="1"/>
  <c r="D92" i="16"/>
  <c r="AO92" i="13" s="1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AL92" i="13"/>
  <c r="A93" i="16"/>
  <c r="AP91" i="13"/>
  <c r="AQ91" i="13"/>
  <c r="AR91" i="13"/>
  <c r="AV91" i="13" s="1"/>
  <c r="AS91" i="13"/>
  <c r="AT91" i="13"/>
  <c r="AU91" i="13"/>
  <c r="AP92" i="13" l="1"/>
  <c r="AQ92" i="13"/>
  <c r="AR92" i="13"/>
  <c r="AV92" i="13" s="1"/>
  <c r="AS92" i="13"/>
  <c r="AT92" i="13"/>
  <c r="AU92" i="13"/>
  <c r="B93" i="16"/>
  <c r="AM93" i="13" s="1"/>
  <c r="C93" i="16"/>
  <c r="AN93" i="13" s="1"/>
  <c r="D93" i="16"/>
  <c r="AO93" i="13" s="1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AL93" i="13"/>
  <c r="A94" i="16"/>
  <c r="AP93" i="13" l="1"/>
  <c r="AQ93" i="13"/>
  <c r="AR93" i="13"/>
  <c r="AV93" i="13" s="1"/>
  <c r="AS93" i="13"/>
  <c r="AT93" i="13"/>
  <c r="AU93" i="13"/>
  <c r="B94" i="16"/>
  <c r="AM94" i="13" s="1"/>
  <c r="C94" i="16"/>
  <c r="AN94" i="13" s="1"/>
  <c r="D94" i="16"/>
  <c r="AO94" i="13" s="1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AL94" i="13"/>
  <c r="A95" i="16"/>
  <c r="AP94" i="13" l="1"/>
  <c r="AQ94" i="13"/>
  <c r="AR94" i="13"/>
  <c r="AV94" i="13" s="1"/>
  <c r="AS94" i="13"/>
  <c r="AT94" i="13"/>
  <c r="AU94" i="13"/>
  <c r="B95" i="16"/>
  <c r="AM95" i="13" s="1"/>
  <c r="C95" i="16"/>
  <c r="AN95" i="13" s="1"/>
  <c r="D95" i="16"/>
  <c r="AO95" i="13" s="1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AL95" i="13"/>
  <c r="A96" i="16"/>
  <c r="AP95" i="13" l="1"/>
  <c r="AQ95" i="13"/>
  <c r="AR95" i="13"/>
  <c r="AV95" i="13" s="1"/>
  <c r="AS95" i="13"/>
  <c r="AT95" i="13"/>
  <c r="AU95" i="13"/>
  <c r="A97" i="16"/>
  <c r="B96" i="16"/>
  <c r="AM96" i="13" s="1"/>
  <c r="C96" i="16"/>
  <c r="AN96" i="13" s="1"/>
  <c r="D96" i="16"/>
  <c r="AO96" i="13" s="1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AL96" i="13"/>
  <c r="B97" i="16" l="1"/>
  <c r="AM97" i="13" s="1"/>
  <c r="C97" i="16"/>
  <c r="AN97" i="13" s="1"/>
  <c r="D97" i="16"/>
  <c r="AO97" i="13" s="1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AL97" i="13"/>
  <c r="A98" i="16"/>
  <c r="AP96" i="13"/>
  <c r="AQ96" i="13"/>
  <c r="AR96" i="13"/>
  <c r="AV96" i="13" s="1"/>
  <c r="AS96" i="13"/>
  <c r="AT96" i="13"/>
  <c r="AU96" i="13"/>
  <c r="AP97" i="13" l="1"/>
  <c r="AQ97" i="13"/>
  <c r="AR97" i="13"/>
  <c r="AV97" i="13" s="1"/>
  <c r="AS97" i="13"/>
  <c r="AT97" i="13"/>
  <c r="AU97" i="13"/>
  <c r="B98" i="16"/>
  <c r="AM98" i="13" s="1"/>
  <c r="C98" i="16"/>
  <c r="AN98" i="13" s="1"/>
  <c r="D98" i="16"/>
  <c r="AO98" i="13" s="1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AL98" i="13"/>
  <c r="A99" i="16"/>
  <c r="AP98" i="13" l="1"/>
  <c r="AQ98" i="13"/>
  <c r="AR98" i="13"/>
  <c r="AV98" i="13" s="1"/>
  <c r="AS98" i="13"/>
  <c r="AT98" i="13"/>
  <c r="AU98" i="13"/>
  <c r="B99" i="16"/>
  <c r="AM99" i="13" s="1"/>
  <c r="C99" i="16"/>
  <c r="AN99" i="13" s="1"/>
  <c r="D99" i="16"/>
  <c r="AO99" i="13" s="1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AL99" i="13"/>
  <c r="A100" i="16"/>
  <c r="AP99" i="13" l="1"/>
  <c r="AQ99" i="13"/>
  <c r="AR99" i="13"/>
  <c r="AV99" i="13" s="1"/>
  <c r="AS99" i="13"/>
  <c r="AT99" i="13"/>
  <c r="AU99" i="13"/>
  <c r="A101" i="16"/>
  <c r="B100" i="16"/>
  <c r="AM100" i="13" s="1"/>
  <c r="C100" i="16"/>
  <c r="AN100" i="13" s="1"/>
  <c r="D100" i="16"/>
  <c r="AO100" i="13" s="1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AL100" i="13"/>
  <c r="B101" i="16" l="1"/>
  <c r="AM101" i="13" s="1"/>
  <c r="C101" i="16"/>
  <c r="AN101" i="13" s="1"/>
  <c r="D101" i="16"/>
  <c r="AO101" i="13" s="1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AL101" i="13"/>
  <c r="A102" i="16"/>
  <c r="AP100" i="13"/>
  <c r="AQ100" i="13"/>
  <c r="AR100" i="13"/>
  <c r="AV100" i="13" s="1"/>
  <c r="AS100" i="13"/>
  <c r="AT100" i="13"/>
  <c r="AU100" i="13"/>
  <c r="AP101" i="13" l="1"/>
  <c r="AQ101" i="13"/>
  <c r="AR101" i="13"/>
  <c r="AV101" i="13" s="1"/>
  <c r="AS101" i="13"/>
  <c r="AT101" i="13"/>
  <c r="AU101" i="13"/>
  <c r="B102" i="16"/>
  <c r="AM102" i="13" s="1"/>
  <c r="C102" i="16"/>
  <c r="AN102" i="13" s="1"/>
  <c r="D102" i="16"/>
  <c r="AO102" i="13" s="1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AL102" i="13"/>
  <c r="A103" i="16"/>
  <c r="AP102" i="13" l="1"/>
  <c r="AQ102" i="13"/>
  <c r="AR102" i="13"/>
  <c r="AV102" i="13" s="1"/>
  <c r="AS102" i="13"/>
  <c r="AT102" i="13"/>
  <c r="AU102" i="13"/>
  <c r="A104" i="16"/>
  <c r="B103" i="16"/>
  <c r="AM103" i="13" s="1"/>
  <c r="C103" i="16"/>
  <c r="AN103" i="13" s="1"/>
  <c r="D103" i="16"/>
  <c r="AO103" i="13" s="1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AL103" i="13"/>
  <c r="A105" i="16" l="1"/>
  <c r="B104" i="16"/>
  <c r="AM104" i="13" s="1"/>
  <c r="C104" i="16"/>
  <c r="AN104" i="13" s="1"/>
  <c r="D104" i="16"/>
  <c r="AO104" i="13" s="1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AL104" i="13"/>
  <c r="AP103" i="13"/>
  <c r="AQ103" i="13"/>
  <c r="AR103" i="13"/>
  <c r="AV103" i="13" s="1"/>
  <c r="AS103" i="13"/>
  <c r="AT103" i="13"/>
  <c r="AU103" i="13"/>
  <c r="A106" i="16" l="1"/>
  <c r="B105" i="16"/>
  <c r="AM105" i="13" s="1"/>
  <c r="C105" i="16"/>
  <c r="AN105" i="13" s="1"/>
  <c r="D105" i="16"/>
  <c r="AO105" i="13" s="1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AL105" i="13"/>
  <c r="AP104" i="13"/>
  <c r="AQ104" i="13"/>
  <c r="AR104" i="13"/>
  <c r="AV104" i="13" s="1"/>
  <c r="AS104" i="13"/>
  <c r="AT104" i="13"/>
  <c r="AU104" i="13"/>
  <c r="B106" i="16" l="1"/>
  <c r="AM106" i="13" s="1"/>
  <c r="C106" i="16"/>
  <c r="AN106" i="13" s="1"/>
  <c r="D106" i="16"/>
  <c r="AO106" i="13" s="1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AL106" i="13"/>
  <c r="A107" i="16"/>
  <c r="AP105" i="13"/>
  <c r="AQ105" i="13"/>
  <c r="AR105" i="13"/>
  <c r="AV105" i="13" s="1"/>
  <c r="AS105" i="13"/>
  <c r="AT105" i="13"/>
  <c r="AU105" i="13"/>
  <c r="AP106" i="13" l="1"/>
  <c r="AQ106" i="13"/>
  <c r="AR106" i="13"/>
  <c r="AV106" i="13" s="1"/>
  <c r="AS106" i="13"/>
  <c r="AT106" i="13"/>
  <c r="AU106" i="13"/>
  <c r="B107" i="16"/>
  <c r="AM107" i="13" s="1"/>
  <c r="C107" i="16"/>
  <c r="AN107" i="13" s="1"/>
  <c r="D107" i="16"/>
  <c r="AO107" i="13" s="1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AL107" i="13"/>
  <c r="A108" i="16"/>
  <c r="AP107" i="13" l="1"/>
  <c r="AQ107" i="13"/>
  <c r="AR107" i="13"/>
  <c r="AV107" i="13" s="1"/>
  <c r="AS107" i="13"/>
  <c r="AT107" i="13"/>
  <c r="AU107" i="13"/>
  <c r="B108" i="16"/>
  <c r="AM108" i="13" s="1"/>
  <c r="C108" i="16"/>
  <c r="AN108" i="13" s="1"/>
  <c r="D108" i="16"/>
  <c r="AO108" i="13" s="1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AL108" i="13"/>
  <c r="A109" i="16"/>
  <c r="AP108" i="13" l="1"/>
  <c r="AQ108" i="13"/>
  <c r="AR108" i="13"/>
  <c r="AV108" i="13" s="1"/>
  <c r="AS108" i="13"/>
  <c r="AT108" i="13"/>
  <c r="AU108" i="13"/>
  <c r="B109" i="16"/>
  <c r="AM109" i="13" s="1"/>
  <c r="C109" i="16"/>
  <c r="AN109" i="13" s="1"/>
  <c r="D109" i="16"/>
  <c r="AO109" i="13" s="1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AL109" i="13"/>
  <c r="A110" i="16"/>
  <c r="AP109" i="13" l="1"/>
  <c r="AQ109" i="13"/>
  <c r="AR109" i="13"/>
  <c r="AV109" i="13" s="1"/>
  <c r="AS109" i="13"/>
  <c r="AT109" i="13"/>
  <c r="AU109" i="13"/>
  <c r="B110" i="16"/>
  <c r="AM110" i="13" s="1"/>
  <c r="C110" i="16"/>
  <c r="AN110" i="13" s="1"/>
  <c r="D110" i="16"/>
  <c r="AO110" i="13" s="1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AL110" i="13"/>
  <c r="A111" i="16"/>
  <c r="AP110" i="13" l="1"/>
  <c r="AQ110" i="13"/>
  <c r="AR110" i="13"/>
  <c r="AV110" i="13" s="1"/>
  <c r="AS110" i="13"/>
  <c r="AT110" i="13"/>
  <c r="AU110" i="13"/>
  <c r="A112" i="16"/>
  <c r="B111" i="16"/>
  <c r="AM111" i="13" s="1"/>
  <c r="C111" i="16"/>
  <c r="AN111" i="13" s="1"/>
  <c r="D111" i="16"/>
  <c r="AO111" i="13" s="1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AL111" i="13"/>
  <c r="B112" i="16" l="1"/>
  <c r="AM112" i="13" s="1"/>
  <c r="C112" i="16"/>
  <c r="AN112" i="13" s="1"/>
  <c r="D112" i="16"/>
  <c r="AO112" i="13" s="1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AL112" i="13"/>
  <c r="A113" i="16"/>
  <c r="AP111" i="13"/>
  <c r="AQ111" i="13"/>
  <c r="AR111" i="13"/>
  <c r="AV111" i="13" s="1"/>
  <c r="AS111" i="13"/>
  <c r="AT111" i="13"/>
  <c r="AU111" i="13"/>
  <c r="AP112" i="13" l="1"/>
  <c r="AQ112" i="13"/>
  <c r="AR112" i="13"/>
  <c r="AV112" i="13" s="1"/>
  <c r="AS112" i="13"/>
  <c r="AT112" i="13"/>
  <c r="AU112" i="13"/>
  <c r="B113" i="16"/>
  <c r="AM113" i="13" s="1"/>
  <c r="C113" i="16"/>
  <c r="AN113" i="13" s="1"/>
  <c r="D113" i="16"/>
  <c r="AO113" i="13" s="1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AL113" i="13"/>
  <c r="A114" i="16"/>
  <c r="AP113" i="13" l="1"/>
  <c r="AQ113" i="13"/>
  <c r="AR113" i="13"/>
  <c r="AV113" i="13" s="1"/>
  <c r="AS113" i="13"/>
  <c r="AT113" i="13"/>
  <c r="AU113" i="13"/>
  <c r="B114" i="16"/>
  <c r="AM114" i="13" s="1"/>
  <c r="C114" i="16"/>
  <c r="AN114" i="13" s="1"/>
  <c r="D114" i="16"/>
  <c r="AO114" i="13" s="1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AL114" i="13"/>
  <c r="A115" i="16"/>
  <c r="AP114" i="13" l="1"/>
  <c r="AQ114" i="13"/>
  <c r="AR114" i="13"/>
  <c r="AV114" i="13" s="1"/>
  <c r="AS114" i="13"/>
  <c r="AT114" i="13"/>
  <c r="AU114" i="13"/>
  <c r="A116" i="16"/>
  <c r="B115" i="16"/>
  <c r="AM115" i="13" s="1"/>
  <c r="C115" i="16"/>
  <c r="AN115" i="13" s="1"/>
  <c r="D115" i="16"/>
  <c r="AO115" i="13" s="1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AL115" i="13"/>
  <c r="B116" i="16" l="1"/>
  <c r="AM116" i="13" s="1"/>
  <c r="C116" i="16"/>
  <c r="AN116" i="13" s="1"/>
  <c r="D116" i="16"/>
  <c r="AO116" i="13" s="1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AL116" i="13"/>
  <c r="A117" i="16"/>
  <c r="AP115" i="13"/>
  <c r="AQ115" i="13"/>
  <c r="AR115" i="13"/>
  <c r="AV115" i="13" s="1"/>
  <c r="AS115" i="13"/>
  <c r="AT115" i="13"/>
  <c r="AU115" i="13"/>
  <c r="AP116" i="13" l="1"/>
  <c r="AQ116" i="13"/>
  <c r="AR116" i="13"/>
  <c r="AV116" i="13" s="1"/>
  <c r="AS116" i="13"/>
  <c r="AT116" i="13"/>
  <c r="AU116" i="13"/>
  <c r="A118" i="16"/>
  <c r="B117" i="16"/>
  <c r="AM117" i="13" s="1"/>
  <c r="C117" i="16"/>
  <c r="AN117" i="13" s="1"/>
  <c r="D117" i="16"/>
  <c r="AO117" i="13" s="1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AL117" i="13"/>
  <c r="A119" i="16" l="1"/>
  <c r="B118" i="16"/>
  <c r="AM118" i="13" s="1"/>
  <c r="C118" i="16"/>
  <c r="AN118" i="13" s="1"/>
  <c r="D118" i="16"/>
  <c r="AO118" i="13" s="1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AL118" i="13"/>
  <c r="AP117" i="13"/>
  <c r="AQ117" i="13"/>
  <c r="AR117" i="13"/>
  <c r="AV117" i="13" s="1"/>
  <c r="AS117" i="13"/>
  <c r="AT117" i="13"/>
  <c r="AU117" i="13"/>
  <c r="A120" i="16" l="1"/>
  <c r="B119" i="16"/>
  <c r="AM119" i="13" s="1"/>
  <c r="C119" i="16"/>
  <c r="AN119" i="13" s="1"/>
  <c r="D119" i="16"/>
  <c r="AO119" i="13" s="1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AL119" i="13"/>
  <c r="AP118" i="13"/>
  <c r="AQ118" i="13"/>
  <c r="AR118" i="13"/>
  <c r="AV118" i="13" s="1"/>
  <c r="AS118" i="13"/>
  <c r="AT118" i="13"/>
  <c r="AU118" i="13"/>
  <c r="B120" i="16" l="1"/>
  <c r="AM120" i="13" s="1"/>
  <c r="C120" i="16"/>
  <c r="AN120" i="13" s="1"/>
  <c r="D120" i="16"/>
  <c r="AO120" i="13" s="1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AL120" i="13"/>
  <c r="A121" i="16"/>
  <c r="AP119" i="13"/>
  <c r="AQ119" i="13"/>
  <c r="AR119" i="13"/>
  <c r="AV119" i="13" s="1"/>
  <c r="AS119" i="13"/>
  <c r="AT119" i="13"/>
  <c r="AU119" i="13"/>
  <c r="AP120" i="13" l="1"/>
  <c r="AQ120" i="13"/>
  <c r="AR120" i="13"/>
  <c r="AV120" i="13" s="1"/>
  <c r="AS120" i="13"/>
  <c r="AT120" i="13"/>
  <c r="AU120" i="13"/>
  <c r="A122" i="16"/>
  <c r="B121" i="16"/>
  <c r="AM121" i="13" s="1"/>
  <c r="C121" i="16"/>
  <c r="AN121" i="13" s="1"/>
  <c r="D121" i="16"/>
  <c r="AO121" i="13" s="1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AL121" i="13"/>
  <c r="B122" i="16" l="1"/>
  <c r="AM122" i="13" s="1"/>
  <c r="C122" i="16"/>
  <c r="AN122" i="13" s="1"/>
  <c r="D122" i="16"/>
  <c r="AO122" i="13" s="1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AL122" i="13"/>
  <c r="A123" i="16"/>
  <c r="AP121" i="13"/>
  <c r="AQ121" i="13"/>
  <c r="AR121" i="13"/>
  <c r="AV121" i="13" s="1"/>
  <c r="AS121" i="13"/>
  <c r="AT121" i="13"/>
  <c r="AU121" i="13"/>
  <c r="AP122" i="13" l="1"/>
  <c r="AQ122" i="13"/>
  <c r="AR122" i="13"/>
  <c r="AV122" i="13" s="1"/>
  <c r="AS122" i="13"/>
  <c r="AT122" i="13"/>
  <c r="AU122" i="13"/>
  <c r="B123" i="16"/>
  <c r="AM123" i="13" s="1"/>
  <c r="C123" i="16"/>
  <c r="AN123" i="13" s="1"/>
  <c r="D123" i="16"/>
  <c r="AO123" i="13" s="1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AL123" i="13"/>
  <c r="A124" i="16"/>
  <c r="AP123" i="13" l="1"/>
  <c r="AQ123" i="13"/>
  <c r="AR123" i="13"/>
  <c r="AV123" i="13" s="1"/>
  <c r="AS123" i="13"/>
  <c r="AT123" i="13"/>
  <c r="AU123" i="13"/>
  <c r="A125" i="16"/>
  <c r="B124" i="16"/>
  <c r="AM124" i="13" s="1"/>
  <c r="C124" i="16"/>
  <c r="AN124" i="13" s="1"/>
  <c r="D124" i="16"/>
  <c r="AO124" i="13" s="1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AL124" i="13"/>
  <c r="B125" i="16" l="1"/>
  <c r="AM125" i="13" s="1"/>
  <c r="C125" i="16"/>
  <c r="AN125" i="13" s="1"/>
  <c r="D125" i="16"/>
  <c r="AO125" i="13" s="1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AL125" i="13"/>
  <c r="A126" i="16"/>
  <c r="AP124" i="13"/>
  <c r="AQ124" i="13"/>
  <c r="AR124" i="13"/>
  <c r="AV124" i="13" s="1"/>
  <c r="AS124" i="13"/>
  <c r="AT124" i="13"/>
  <c r="AU124" i="13"/>
  <c r="AP125" i="13" l="1"/>
  <c r="AQ125" i="13"/>
  <c r="AR125" i="13"/>
  <c r="AV125" i="13" s="1"/>
  <c r="AS125" i="13"/>
  <c r="AT125" i="13"/>
  <c r="AU125" i="13"/>
  <c r="B126" i="16"/>
  <c r="AM126" i="13" s="1"/>
  <c r="C126" i="16"/>
  <c r="AN126" i="13" s="1"/>
  <c r="D126" i="16"/>
  <c r="AO126" i="13" s="1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AL126" i="13"/>
  <c r="A127" i="16"/>
  <c r="AP126" i="13" l="1"/>
  <c r="AQ126" i="13"/>
  <c r="AR126" i="13"/>
  <c r="AV126" i="13" s="1"/>
  <c r="AS126" i="13"/>
  <c r="AT126" i="13"/>
  <c r="AU126" i="13"/>
  <c r="A128" i="16"/>
  <c r="B127" i="16"/>
  <c r="AM127" i="13" s="1"/>
  <c r="C127" i="16"/>
  <c r="AN127" i="13" s="1"/>
  <c r="D127" i="16"/>
  <c r="AO127" i="13" s="1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AL127" i="13"/>
  <c r="B128" i="16" l="1"/>
  <c r="AM128" i="13" s="1"/>
  <c r="C128" i="16"/>
  <c r="AN128" i="13" s="1"/>
  <c r="D128" i="16"/>
  <c r="AO128" i="13" s="1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AL128" i="13"/>
  <c r="A129" i="16"/>
  <c r="AP127" i="13"/>
  <c r="AQ127" i="13"/>
  <c r="AR127" i="13"/>
  <c r="AV127" i="13" s="1"/>
  <c r="AS127" i="13"/>
  <c r="AT127" i="13"/>
  <c r="AU127" i="13"/>
  <c r="AP128" i="13" l="1"/>
  <c r="AQ128" i="13"/>
  <c r="AR128" i="13"/>
  <c r="AV128" i="13" s="1"/>
  <c r="AS128" i="13"/>
  <c r="AT128" i="13"/>
  <c r="AU128" i="13"/>
  <c r="B129" i="16"/>
  <c r="AM129" i="13" s="1"/>
  <c r="C129" i="16"/>
  <c r="AN129" i="13" s="1"/>
  <c r="D129" i="16"/>
  <c r="AO129" i="13" s="1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AL129" i="13"/>
  <c r="A130" i="16"/>
  <c r="AP129" i="13" l="1"/>
  <c r="AQ129" i="13"/>
  <c r="AR129" i="13"/>
  <c r="AV129" i="13" s="1"/>
  <c r="AS129" i="13"/>
  <c r="AT129" i="13"/>
  <c r="AU129" i="13"/>
  <c r="B130" i="16"/>
  <c r="AM130" i="13" s="1"/>
  <c r="C130" i="16"/>
  <c r="AN130" i="13" s="1"/>
  <c r="D130" i="16"/>
  <c r="AO130" i="13" s="1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AL130" i="13"/>
  <c r="A131" i="16"/>
  <c r="AP130" i="13" l="1"/>
  <c r="AQ130" i="13"/>
  <c r="AR130" i="13"/>
  <c r="AV130" i="13" s="1"/>
  <c r="AS130" i="13"/>
  <c r="AT130" i="13"/>
  <c r="AU130" i="13"/>
  <c r="B131" i="16"/>
  <c r="AM131" i="13" s="1"/>
  <c r="C131" i="16"/>
  <c r="AN131" i="13" s="1"/>
  <c r="D131" i="16"/>
  <c r="AO131" i="13" s="1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AL131" i="13"/>
  <c r="A132" i="16"/>
  <c r="AP131" i="13" l="1"/>
  <c r="AQ131" i="13"/>
  <c r="AR131" i="13"/>
  <c r="AV131" i="13" s="1"/>
  <c r="AS131" i="13"/>
  <c r="AT131" i="13"/>
  <c r="AU131" i="13"/>
  <c r="B132" i="16"/>
  <c r="AM132" i="13" s="1"/>
  <c r="C132" i="16"/>
  <c r="AN132" i="13" s="1"/>
  <c r="D132" i="16"/>
  <c r="AO132" i="13" s="1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AL132" i="13"/>
  <c r="A133" i="16"/>
  <c r="AP132" i="13" l="1"/>
  <c r="AQ132" i="13"/>
  <c r="AR132" i="13"/>
  <c r="AV132" i="13" s="1"/>
  <c r="AS132" i="13"/>
  <c r="AT132" i="13"/>
  <c r="AU132" i="13"/>
  <c r="B133" i="16"/>
  <c r="AM133" i="13" s="1"/>
  <c r="C133" i="16"/>
  <c r="AN133" i="13" s="1"/>
  <c r="D133" i="16"/>
  <c r="AO133" i="13" s="1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AL133" i="13"/>
  <c r="A134" i="16"/>
  <c r="AP133" i="13" l="1"/>
  <c r="AQ133" i="13"/>
  <c r="AR133" i="13"/>
  <c r="AV133" i="13" s="1"/>
  <c r="AS133" i="13"/>
  <c r="AT133" i="13"/>
  <c r="AU133" i="13"/>
  <c r="B134" i="16"/>
  <c r="AM134" i="13" s="1"/>
  <c r="C134" i="16"/>
  <c r="AN134" i="13" s="1"/>
  <c r="D134" i="16"/>
  <c r="AO134" i="13" s="1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AL134" i="13"/>
  <c r="A135" i="16"/>
  <c r="AP134" i="13" l="1"/>
  <c r="AQ134" i="13"/>
  <c r="AR134" i="13"/>
  <c r="AV134" i="13" s="1"/>
  <c r="AS134" i="13"/>
  <c r="AT134" i="13"/>
  <c r="AU134" i="13"/>
  <c r="B135" i="16"/>
  <c r="AM135" i="13" s="1"/>
  <c r="C135" i="16"/>
  <c r="AN135" i="13" s="1"/>
  <c r="D135" i="16"/>
  <c r="AO135" i="13" s="1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AL135" i="13"/>
  <c r="A136" i="16"/>
  <c r="AP135" i="13" l="1"/>
  <c r="AQ135" i="13"/>
  <c r="AR135" i="13"/>
  <c r="AV135" i="13" s="1"/>
  <c r="AS135" i="13"/>
  <c r="AT135" i="13"/>
  <c r="AU135" i="13"/>
  <c r="A137" i="16"/>
  <c r="B136" i="16"/>
  <c r="AM136" i="13" s="1"/>
  <c r="C136" i="16"/>
  <c r="AN136" i="13" s="1"/>
  <c r="D136" i="16"/>
  <c r="AO136" i="13" s="1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AL136" i="13"/>
  <c r="B137" i="16" l="1"/>
  <c r="AM137" i="13" s="1"/>
  <c r="C137" i="16"/>
  <c r="AN137" i="13" s="1"/>
  <c r="D137" i="16"/>
  <c r="AO137" i="13" s="1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AL137" i="13"/>
  <c r="A138" i="16"/>
  <c r="AP136" i="13"/>
  <c r="AQ136" i="13"/>
  <c r="AR136" i="13"/>
  <c r="AV136" i="13" s="1"/>
  <c r="AS136" i="13"/>
  <c r="AT136" i="13"/>
  <c r="AU136" i="13"/>
  <c r="AP137" i="13" l="1"/>
  <c r="AQ137" i="13"/>
  <c r="AR137" i="13"/>
  <c r="AV137" i="13" s="1"/>
  <c r="AS137" i="13"/>
  <c r="AT137" i="13"/>
  <c r="AU137" i="13"/>
  <c r="B138" i="16"/>
  <c r="AM138" i="13" s="1"/>
  <c r="C138" i="16"/>
  <c r="AN138" i="13" s="1"/>
  <c r="D138" i="16"/>
  <c r="AO138" i="13" s="1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AL138" i="13"/>
  <c r="A139" i="16"/>
  <c r="AP138" i="13" l="1"/>
  <c r="AQ138" i="13"/>
  <c r="AR138" i="13"/>
  <c r="AV138" i="13" s="1"/>
  <c r="AS138" i="13"/>
  <c r="AT138" i="13"/>
  <c r="AU138" i="13"/>
  <c r="B139" i="16"/>
  <c r="AM139" i="13" s="1"/>
  <c r="C139" i="16"/>
  <c r="AN139" i="13" s="1"/>
  <c r="D139" i="16"/>
  <c r="AO139" i="13" s="1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AL139" i="13"/>
  <c r="A140" i="16"/>
  <c r="AP139" i="13" l="1"/>
  <c r="AQ139" i="13"/>
  <c r="AR139" i="13"/>
  <c r="AV139" i="13" s="1"/>
  <c r="AS139" i="13"/>
  <c r="AT139" i="13"/>
  <c r="AU139" i="13"/>
  <c r="B140" i="16"/>
  <c r="AM140" i="13" s="1"/>
  <c r="C140" i="16"/>
  <c r="AN140" i="13" s="1"/>
  <c r="D140" i="16"/>
  <c r="AO140" i="13" s="1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AL140" i="13"/>
  <c r="A141" i="16"/>
  <c r="AP140" i="13" l="1"/>
  <c r="AQ140" i="13"/>
  <c r="AR140" i="13"/>
  <c r="AV140" i="13" s="1"/>
  <c r="AS140" i="13"/>
  <c r="AT140" i="13"/>
  <c r="AU140" i="13"/>
  <c r="B141" i="16"/>
  <c r="AM141" i="13" s="1"/>
  <c r="C141" i="16"/>
  <c r="AN141" i="13" s="1"/>
  <c r="D141" i="16"/>
  <c r="AO141" i="13" s="1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AL141" i="13"/>
  <c r="A142" i="16"/>
  <c r="AP141" i="13" l="1"/>
  <c r="AQ141" i="13"/>
  <c r="AR141" i="13"/>
  <c r="AV141" i="13" s="1"/>
  <c r="AS141" i="13"/>
  <c r="AT141" i="13"/>
  <c r="AU141" i="13"/>
  <c r="B142" i="16"/>
  <c r="AM142" i="13" s="1"/>
  <c r="C142" i="16"/>
  <c r="AN142" i="13" s="1"/>
  <c r="D142" i="16"/>
  <c r="AO142" i="13" s="1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AL142" i="13"/>
  <c r="A143" i="16"/>
  <c r="AP142" i="13" l="1"/>
  <c r="AQ142" i="13"/>
  <c r="AR142" i="13"/>
  <c r="AV142" i="13" s="1"/>
  <c r="AS142" i="13"/>
  <c r="AT142" i="13"/>
  <c r="AU142" i="13"/>
  <c r="B143" i="16"/>
  <c r="AM143" i="13" s="1"/>
  <c r="C143" i="16"/>
  <c r="AN143" i="13" s="1"/>
  <c r="D143" i="16"/>
  <c r="AO143" i="13" s="1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AL143" i="13"/>
  <c r="A144" i="16"/>
  <c r="AP143" i="13" l="1"/>
  <c r="AQ143" i="13"/>
  <c r="AR143" i="13"/>
  <c r="AV143" i="13" s="1"/>
  <c r="AS143" i="13"/>
  <c r="AT143" i="13"/>
  <c r="AU143" i="13"/>
  <c r="A145" i="16"/>
  <c r="B144" i="16"/>
  <c r="AM144" i="13" s="1"/>
  <c r="C144" i="16"/>
  <c r="AN144" i="13" s="1"/>
  <c r="D144" i="16"/>
  <c r="AO144" i="13" s="1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AL144" i="13"/>
  <c r="B145" i="16" l="1"/>
  <c r="AM145" i="13" s="1"/>
  <c r="C145" i="16"/>
  <c r="AN145" i="13" s="1"/>
  <c r="D145" i="16"/>
  <c r="AO145" i="13" s="1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AL145" i="13"/>
  <c r="A146" i="16"/>
  <c r="AP144" i="13"/>
  <c r="AQ144" i="13"/>
  <c r="AR144" i="13"/>
  <c r="AV144" i="13" s="1"/>
  <c r="AS144" i="13"/>
  <c r="AT144" i="13"/>
  <c r="AU144" i="13"/>
  <c r="AP145" i="13" l="1"/>
  <c r="AQ145" i="13"/>
  <c r="AR145" i="13"/>
  <c r="AV145" i="13" s="1"/>
  <c r="AS145" i="13"/>
  <c r="AT145" i="13"/>
  <c r="AU145" i="13"/>
  <c r="B146" i="16"/>
  <c r="AM146" i="13" s="1"/>
  <c r="C146" i="16"/>
  <c r="AN146" i="13" s="1"/>
  <c r="D146" i="16"/>
  <c r="AO146" i="13" s="1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AL146" i="13"/>
  <c r="A147" i="16"/>
  <c r="AP146" i="13" l="1"/>
  <c r="AQ146" i="13"/>
  <c r="AR146" i="13"/>
  <c r="AV146" i="13" s="1"/>
  <c r="AS146" i="13"/>
  <c r="AT146" i="13"/>
  <c r="AU146" i="13"/>
  <c r="B147" i="16"/>
  <c r="AM147" i="13" s="1"/>
  <c r="C147" i="16"/>
  <c r="AN147" i="13" s="1"/>
  <c r="D147" i="16"/>
  <c r="AO147" i="13" s="1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AL147" i="13"/>
  <c r="A148" i="16"/>
  <c r="AP147" i="13" l="1"/>
  <c r="AQ147" i="13"/>
  <c r="AR147" i="13"/>
  <c r="AV147" i="13" s="1"/>
  <c r="AS147" i="13"/>
  <c r="AT147" i="13"/>
  <c r="AU147" i="13"/>
  <c r="B148" i="16"/>
  <c r="AM148" i="13" s="1"/>
  <c r="C148" i="16"/>
  <c r="AN148" i="13" s="1"/>
  <c r="D148" i="16"/>
  <c r="AO148" i="13" s="1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AL148" i="13"/>
  <c r="A149" i="16"/>
  <c r="AP148" i="13" l="1"/>
  <c r="AQ148" i="13"/>
  <c r="AR148" i="13"/>
  <c r="AV148" i="13" s="1"/>
  <c r="AS148" i="13"/>
  <c r="AT148" i="13"/>
  <c r="AU148" i="13"/>
  <c r="B149" i="16"/>
  <c r="AM149" i="13" s="1"/>
  <c r="C149" i="16"/>
  <c r="AN149" i="13" s="1"/>
  <c r="D149" i="16"/>
  <c r="AO149" i="13" s="1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AL149" i="13"/>
  <c r="A150" i="16"/>
  <c r="AP149" i="13" l="1"/>
  <c r="AQ149" i="13"/>
  <c r="AR149" i="13"/>
  <c r="AV149" i="13" s="1"/>
  <c r="AS149" i="13"/>
  <c r="AT149" i="13"/>
  <c r="AU149" i="13"/>
  <c r="A151" i="16"/>
  <c r="B150" i="16"/>
  <c r="AM150" i="13" s="1"/>
  <c r="C150" i="16"/>
  <c r="AN150" i="13" s="1"/>
  <c r="D150" i="16"/>
  <c r="AO150" i="13" s="1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AL150" i="13"/>
  <c r="B151" i="16" l="1"/>
  <c r="AM151" i="13" s="1"/>
  <c r="C151" i="16"/>
  <c r="AN151" i="13" s="1"/>
  <c r="D151" i="16"/>
  <c r="AO151" i="13" s="1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AL151" i="13"/>
  <c r="A152" i="16"/>
  <c r="AP150" i="13"/>
  <c r="AQ150" i="13"/>
  <c r="AR150" i="13"/>
  <c r="AV150" i="13" s="1"/>
  <c r="AS150" i="13"/>
  <c r="AT150" i="13"/>
  <c r="AU150" i="13"/>
  <c r="AP151" i="13" l="1"/>
  <c r="AQ151" i="13"/>
  <c r="AR151" i="13"/>
  <c r="AV151" i="13" s="1"/>
  <c r="AS151" i="13"/>
  <c r="AT151" i="13"/>
  <c r="AU151" i="13"/>
  <c r="B152" i="16"/>
  <c r="AM152" i="13" s="1"/>
  <c r="C152" i="16"/>
  <c r="AN152" i="13" s="1"/>
  <c r="D152" i="16"/>
  <c r="AO152" i="13" s="1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AL152" i="13"/>
  <c r="A153" i="16"/>
  <c r="AP152" i="13" l="1"/>
  <c r="AQ152" i="13"/>
  <c r="AR152" i="13"/>
  <c r="AV152" i="13" s="1"/>
  <c r="AS152" i="13"/>
  <c r="AT152" i="13"/>
  <c r="AU152" i="13"/>
  <c r="B153" i="16"/>
  <c r="AM153" i="13" s="1"/>
  <c r="C153" i="16"/>
  <c r="AN153" i="13" s="1"/>
  <c r="D153" i="16"/>
  <c r="AO153" i="13" s="1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AL153" i="13"/>
  <c r="A154" i="16"/>
  <c r="AP153" i="13" l="1"/>
  <c r="AQ153" i="13"/>
  <c r="AR153" i="13"/>
  <c r="AV153" i="13" s="1"/>
  <c r="AS153" i="13"/>
  <c r="AT153" i="13"/>
  <c r="AU153" i="13"/>
  <c r="A155" i="16"/>
  <c r="B154" i="16"/>
  <c r="AM154" i="13" s="1"/>
  <c r="C154" i="16"/>
  <c r="AN154" i="13" s="1"/>
  <c r="D154" i="16"/>
  <c r="AO154" i="13" s="1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AL154" i="13"/>
  <c r="A156" i="16" l="1"/>
  <c r="B155" i="16"/>
  <c r="AM155" i="13" s="1"/>
  <c r="C155" i="16"/>
  <c r="AN155" i="13" s="1"/>
  <c r="D155" i="16"/>
  <c r="AO155" i="13" s="1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AL155" i="13"/>
  <c r="AP154" i="13"/>
  <c r="AQ154" i="13"/>
  <c r="AR154" i="13"/>
  <c r="AV154" i="13" s="1"/>
  <c r="AS154" i="13"/>
  <c r="AT154" i="13"/>
  <c r="AU154" i="13"/>
  <c r="B156" i="16" l="1"/>
  <c r="AM156" i="13" s="1"/>
  <c r="C156" i="16"/>
  <c r="AN156" i="13" s="1"/>
  <c r="D156" i="16"/>
  <c r="AO156" i="13" s="1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AL156" i="13"/>
  <c r="A157" i="16"/>
  <c r="AP155" i="13"/>
  <c r="AQ155" i="13"/>
  <c r="AR155" i="13"/>
  <c r="AV155" i="13" s="1"/>
  <c r="AS155" i="13"/>
  <c r="AT155" i="13"/>
  <c r="AU155" i="13"/>
  <c r="AP156" i="13" l="1"/>
  <c r="AQ156" i="13"/>
  <c r="AR156" i="13"/>
  <c r="AV156" i="13" s="1"/>
  <c r="AS156" i="13"/>
  <c r="AT156" i="13"/>
  <c r="AU156" i="13"/>
  <c r="B157" i="16"/>
  <c r="AM157" i="13" s="1"/>
  <c r="C157" i="16"/>
  <c r="AN157" i="13" s="1"/>
  <c r="D157" i="16"/>
  <c r="AO157" i="13" s="1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AL157" i="13"/>
  <c r="A158" i="16"/>
  <c r="AP157" i="13" l="1"/>
  <c r="AQ157" i="13"/>
  <c r="AR157" i="13"/>
  <c r="AV157" i="13" s="1"/>
  <c r="AS157" i="13"/>
  <c r="AT157" i="13"/>
  <c r="AU157" i="13"/>
  <c r="B158" i="16"/>
  <c r="AM158" i="13" s="1"/>
  <c r="C158" i="16"/>
  <c r="AN158" i="13" s="1"/>
  <c r="D158" i="16"/>
  <c r="AO158" i="13" s="1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AL158" i="13"/>
  <c r="A159" i="16"/>
  <c r="AP158" i="13" l="1"/>
  <c r="AQ158" i="13"/>
  <c r="AR158" i="13"/>
  <c r="AV158" i="13" s="1"/>
  <c r="AS158" i="13"/>
  <c r="AT158" i="13"/>
  <c r="AU158" i="13"/>
  <c r="A160" i="16"/>
  <c r="B159" i="16"/>
  <c r="AM159" i="13" s="1"/>
  <c r="C159" i="16"/>
  <c r="AN159" i="13" s="1"/>
  <c r="D159" i="16"/>
  <c r="AO159" i="13" s="1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AL159" i="13"/>
  <c r="B160" i="16" l="1"/>
  <c r="AM160" i="13" s="1"/>
  <c r="C160" i="16"/>
  <c r="AN160" i="13" s="1"/>
  <c r="D160" i="16"/>
  <c r="AO160" i="13" s="1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AL160" i="13"/>
  <c r="A161" i="16"/>
  <c r="AP159" i="13"/>
  <c r="AQ159" i="13"/>
  <c r="AR159" i="13"/>
  <c r="AV159" i="13" s="1"/>
  <c r="AS159" i="13"/>
  <c r="AT159" i="13"/>
  <c r="AU159" i="13"/>
  <c r="AP160" i="13" l="1"/>
  <c r="AQ160" i="13"/>
  <c r="AR160" i="13"/>
  <c r="AV160" i="13" s="1"/>
  <c r="AS160" i="13"/>
  <c r="AT160" i="13"/>
  <c r="AU160" i="13"/>
  <c r="B161" i="16"/>
  <c r="AM161" i="13" s="1"/>
  <c r="C161" i="16"/>
  <c r="AN161" i="13" s="1"/>
  <c r="D161" i="16"/>
  <c r="AO161" i="13" s="1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AL161" i="13"/>
  <c r="A162" i="16"/>
  <c r="AP161" i="13" l="1"/>
  <c r="AQ161" i="13"/>
  <c r="AR161" i="13"/>
  <c r="AV161" i="13" s="1"/>
  <c r="AS161" i="13"/>
  <c r="AT161" i="13"/>
  <c r="AU161" i="13"/>
  <c r="B162" i="16"/>
  <c r="AM162" i="13" s="1"/>
  <c r="C162" i="16"/>
  <c r="AN162" i="13" s="1"/>
  <c r="D162" i="16"/>
  <c r="AO162" i="13" s="1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AL162" i="13"/>
  <c r="A163" i="16"/>
  <c r="AP162" i="13" l="1"/>
  <c r="AQ162" i="13"/>
  <c r="AR162" i="13"/>
  <c r="AV162" i="13" s="1"/>
  <c r="AS162" i="13"/>
  <c r="AT162" i="13"/>
  <c r="AU162" i="13"/>
  <c r="B163" i="16"/>
  <c r="AM163" i="13" s="1"/>
  <c r="C163" i="16"/>
  <c r="AN163" i="13" s="1"/>
  <c r="D163" i="16"/>
  <c r="AO163" i="13" s="1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AL163" i="13"/>
  <c r="A164" i="16"/>
  <c r="AP163" i="13" l="1"/>
  <c r="AQ163" i="13"/>
  <c r="AR163" i="13"/>
  <c r="AV163" i="13" s="1"/>
  <c r="AS163" i="13"/>
  <c r="AT163" i="13"/>
  <c r="AU163" i="13"/>
  <c r="B164" i="16"/>
  <c r="AM164" i="13" s="1"/>
  <c r="C164" i="16"/>
  <c r="AN164" i="13" s="1"/>
  <c r="D164" i="16"/>
  <c r="AO164" i="13" s="1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AL164" i="13"/>
  <c r="A165" i="16"/>
  <c r="AP164" i="13" l="1"/>
  <c r="AQ164" i="13"/>
  <c r="AR164" i="13"/>
  <c r="AV164" i="13" s="1"/>
  <c r="AS164" i="13"/>
  <c r="AT164" i="13"/>
  <c r="AU164" i="13"/>
  <c r="B165" i="16"/>
  <c r="AM165" i="13" s="1"/>
  <c r="C165" i="16"/>
  <c r="AN165" i="13" s="1"/>
  <c r="D165" i="16"/>
  <c r="AO165" i="13" s="1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AL165" i="13"/>
  <c r="A166" i="16"/>
  <c r="AP165" i="13" l="1"/>
  <c r="AQ165" i="13"/>
  <c r="AR165" i="13"/>
  <c r="AV165" i="13" s="1"/>
  <c r="AS165" i="13"/>
  <c r="AT165" i="13"/>
  <c r="AU165" i="13"/>
  <c r="A167" i="16"/>
  <c r="B166" i="16"/>
  <c r="AM166" i="13" s="1"/>
  <c r="C166" i="16"/>
  <c r="AN166" i="13" s="1"/>
  <c r="D166" i="16"/>
  <c r="AO166" i="13" s="1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AL166" i="13"/>
  <c r="B167" i="16" l="1"/>
  <c r="AM167" i="13" s="1"/>
  <c r="C167" i="16"/>
  <c r="AN167" i="13" s="1"/>
  <c r="D167" i="16"/>
  <c r="AO167" i="13" s="1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AL167" i="13"/>
  <c r="A168" i="16"/>
  <c r="AP166" i="13"/>
  <c r="AQ166" i="13"/>
  <c r="AR166" i="13"/>
  <c r="AV166" i="13" s="1"/>
  <c r="AS166" i="13"/>
  <c r="AT166" i="13"/>
  <c r="AU166" i="13"/>
  <c r="AP167" i="13" l="1"/>
  <c r="AQ167" i="13"/>
  <c r="AR167" i="13"/>
  <c r="AV167" i="13" s="1"/>
  <c r="AS167" i="13"/>
  <c r="AT167" i="13"/>
  <c r="AU167" i="13"/>
  <c r="B168" i="16"/>
  <c r="AM168" i="13" s="1"/>
  <c r="C168" i="16"/>
  <c r="AN168" i="13" s="1"/>
  <c r="D168" i="16"/>
  <c r="AO168" i="13" s="1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AL168" i="13"/>
  <c r="A169" i="16"/>
  <c r="AP168" i="13" l="1"/>
  <c r="AQ168" i="13"/>
  <c r="AR168" i="13"/>
  <c r="AV168" i="13" s="1"/>
  <c r="AS168" i="13"/>
  <c r="AT168" i="13"/>
  <c r="AU168" i="13"/>
  <c r="B169" i="16"/>
  <c r="AM169" i="13" s="1"/>
  <c r="C169" i="16"/>
  <c r="AN169" i="13" s="1"/>
  <c r="D169" i="16"/>
  <c r="AO169" i="13" s="1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AL169" i="13"/>
  <c r="A170" i="16"/>
  <c r="AP169" i="13" l="1"/>
  <c r="AQ169" i="13"/>
  <c r="AR169" i="13"/>
  <c r="AV169" i="13" s="1"/>
  <c r="AS169" i="13"/>
  <c r="AT169" i="13"/>
  <c r="AU169" i="13"/>
  <c r="B170" i="16"/>
  <c r="AM170" i="13" s="1"/>
  <c r="C170" i="16"/>
  <c r="AN170" i="13" s="1"/>
  <c r="D170" i="16"/>
  <c r="AO170" i="13" s="1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AL170" i="13"/>
  <c r="A171" i="16"/>
  <c r="AP170" i="13" l="1"/>
  <c r="AQ170" i="13"/>
  <c r="AR170" i="13"/>
  <c r="AV170" i="13" s="1"/>
  <c r="AS170" i="13"/>
  <c r="AT170" i="13"/>
  <c r="AU170" i="13"/>
  <c r="A172" i="16"/>
  <c r="B171" i="16"/>
  <c r="AM171" i="13" s="1"/>
  <c r="C171" i="16"/>
  <c r="AN171" i="13" s="1"/>
  <c r="D171" i="16"/>
  <c r="AO171" i="13" s="1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AL171" i="13"/>
  <c r="B172" i="16" l="1"/>
  <c r="AM172" i="13" s="1"/>
  <c r="C172" i="16"/>
  <c r="AN172" i="13" s="1"/>
  <c r="D172" i="16"/>
  <c r="AO172" i="13" s="1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AL172" i="13"/>
  <c r="A173" i="16"/>
  <c r="AP171" i="13"/>
  <c r="AQ171" i="13"/>
  <c r="AR171" i="13"/>
  <c r="AV171" i="13" s="1"/>
  <c r="AS171" i="13"/>
  <c r="AT171" i="13"/>
  <c r="AU171" i="13"/>
  <c r="AP172" i="13" l="1"/>
  <c r="AQ172" i="13"/>
  <c r="AR172" i="13"/>
  <c r="AV172" i="13" s="1"/>
  <c r="AS172" i="13"/>
  <c r="AT172" i="13"/>
  <c r="AU172" i="13"/>
  <c r="B173" i="16"/>
  <c r="AM173" i="13" s="1"/>
  <c r="C173" i="16"/>
  <c r="AN173" i="13" s="1"/>
  <c r="D173" i="16"/>
  <c r="AO173" i="13" s="1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AL173" i="13"/>
  <c r="A174" i="16"/>
  <c r="AP173" i="13" l="1"/>
  <c r="AQ173" i="13"/>
  <c r="AR173" i="13"/>
  <c r="AV173" i="13" s="1"/>
  <c r="AS173" i="13"/>
  <c r="AT173" i="13"/>
  <c r="AU173" i="13"/>
  <c r="B174" i="16"/>
  <c r="AM174" i="13" s="1"/>
  <c r="C174" i="16"/>
  <c r="AN174" i="13" s="1"/>
  <c r="D174" i="16"/>
  <c r="AO174" i="13" s="1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AL174" i="13"/>
  <c r="A175" i="16"/>
  <c r="AP174" i="13" l="1"/>
  <c r="AQ174" i="13"/>
  <c r="AR174" i="13"/>
  <c r="AV174" i="13" s="1"/>
  <c r="AS174" i="13"/>
  <c r="AT174" i="13"/>
  <c r="AU174" i="13"/>
  <c r="B175" i="16"/>
  <c r="AM175" i="13" s="1"/>
  <c r="C175" i="16"/>
  <c r="AN175" i="13" s="1"/>
  <c r="D175" i="16"/>
  <c r="AO175" i="13" s="1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AL175" i="13"/>
  <c r="A176" i="16"/>
  <c r="AP175" i="13" l="1"/>
  <c r="AQ175" i="13"/>
  <c r="AR175" i="13"/>
  <c r="AV175" i="13" s="1"/>
  <c r="AS175" i="13"/>
  <c r="AT175" i="13"/>
  <c r="AU175" i="13"/>
  <c r="B176" i="16"/>
  <c r="AM176" i="13" s="1"/>
  <c r="C176" i="16"/>
  <c r="AN176" i="13" s="1"/>
  <c r="D176" i="16"/>
  <c r="AO176" i="13" s="1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AL176" i="13"/>
  <c r="A177" i="16"/>
  <c r="AP176" i="13" l="1"/>
  <c r="AQ176" i="13"/>
  <c r="AR176" i="13"/>
  <c r="AV176" i="13" s="1"/>
  <c r="AS176" i="13"/>
  <c r="AT176" i="13"/>
  <c r="AU176" i="13"/>
  <c r="B177" i="16"/>
  <c r="AM177" i="13" s="1"/>
  <c r="C177" i="16"/>
  <c r="AN177" i="13" s="1"/>
  <c r="D177" i="16"/>
  <c r="AO177" i="13" s="1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AL177" i="13"/>
  <c r="A178" i="16"/>
  <c r="AP177" i="13" l="1"/>
  <c r="AQ177" i="13"/>
  <c r="AR177" i="13"/>
  <c r="AV177" i="13" s="1"/>
  <c r="AS177" i="13"/>
  <c r="AT177" i="13"/>
  <c r="AU177" i="13"/>
  <c r="B178" i="16"/>
  <c r="AM178" i="13" s="1"/>
  <c r="C178" i="16"/>
  <c r="AN178" i="13" s="1"/>
  <c r="D178" i="16"/>
  <c r="AO178" i="13" s="1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AL178" i="13"/>
  <c r="A179" i="16"/>
  <c r="AP178" i="13" l="1"/>
  <c r="AQ178" i="13"/>
  <c r="AR178" i="13"/>
  <c r="AV178" i="13" s="1"/>
  <c r="AS178" i="13"/>
  <c r="AT178" i="13"/>
  <c r="AU178" i="13"/>
  <c r="B179" i="16"/>
  <c r="AM179" i="13" s="1"/>
  <c r="C179" i="16"/>
  <c r="AN179" i="13" s="1"/>
  <c r="D179" i="16"/>
  <c r="AO179" i="13" s="1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AL179" i="13"/>
  <c r="A180" i="16"/>
  <c r="AP179" i="13" l="1"/>
  <c r="AQ179" i="13"/>
  <c r="AR179" i="13"/>
  <c r="AV179" i="13" s="1"/>
  <c r="AS179" i="13"/>
  <c r="AT179" i="13"/>
  <c r="AU179" i="13"/>
  <c r="A181" i="16"/>
  <c r="B180" i="16"/>
  <c r="AM180" i="13" s="1"/>
  <c r="C180" i="16"/>
  <c r="AN180" i="13" s="1"/>
  <c r="D180" i="16"/>
  <c r="AO180" i="13" s="1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AL180" i="13"/>
  <c r="B181" i="16" l="1"/>
  <c r="AM181" i="13" s="1"/>
  <c r="C181" i="16"/>
  <c r="AN181" i="13" s="1"/>
  <c r="D181" i="16"/>
  <c r="AO181" i="13" s="1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AL181" i="13"/>
  <c r="A182" i="16"/>
  <c r="AP180" i="13"/>
  <c r="AQ180" i="13"/>
  <c r="AR180" i="13"/>
  <c r="AV180" i="13" s="1"/>
  <c r="AS180" i="13"/>
  <c r="AT180" i="13"/>
  <c r="AU180" i="13"/>
  <c r="AP181" i="13" l="1"/>
  <c r="AQ181" i="13"/>
  <c r="AR181" i="13"/>
  <c r="AV181" i="13" s="1"/>
  <c r="AS181" i="13"/>
  <c r="AT181" i="13"/>
  <c r="AU181" i="13"/>
  <c r="B182" i="16"/>
  <c r="AM182" i="13" s="1"/>
  <c r="C182" i="16"/>
  <c r="AN182" i="13" s="1"/>
  <c r="D182" i="16"/>
  <c r="AO182" i="13" s="1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AL182" i="13"/>
  <c r="A183" i="16"/>
  <c r="AP182" i="13" l="1"/>
  <c r="AQ182" i="13"/>
  <c r="AR182" i="13"/>
  <c r="AV182" i="13" s="1"/>
  <c r="AS182" i="13"/>
  <c r="AT182" i="13"/>
  <c r="AU182" i="13"/>
  <c r="B183" i="16"/>
  <c r="AM183" i="13" s="1"/>
  <c r="C183" i="16"/>
  <c r="AN183" i="13" s="1"/>
  <c r="D183" i="16"/>
  <c r="AO183" i="13" s="1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AL183" i="13"/>
  <c r="A184" i="16"/>
  <c r="AP183" i="13" l="1"/>
  <c r="AQ183" i="13"/>
  <c r="AR183" i="13"/>
  <c r="AV183" i="13" s="1"/>
  <c r="AS183" i="13"/>
  <c r="AT183" i="13"/>
  <c r="AU183" i="13"/>
  <c r="A185" i="16"/>
  <c r="B184" i="16"/>
  <c r="AM184" i="13" s="1"/>
  <c r="C184" i="16"/>
  <c r="AN184" i="13" s="1"/>
  <c r="D184" i="16"/>
  <c r="AO184" i="13" s="1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AL184" i="13"/>
  <c r="B185" i="16" l="1"/>
  <c r="AM185" i="13" s="1"/>
  <c r="C185" i="16"/>
  <c r="AN185" i="13" s="1"/>
  <c r="D185" i="16"/>
  <c r="AO185" i="13" s="1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AL185" i="13"/>
  <c r="A186" i="16"/>
  <c r="AP184" i="13"/>
  <c r="AQ184" i="13"/>
  <c r="AR184" i="13"/>
  <c r="AV184" i="13" s="1"/>
  <c r="AS184" i="13"/>
  <c r="AT184" i="13"/>
  <c r="AU184" i="13"/>
  <c r="AP185" i="13" l="1"/>
  <c r="AQ185" i="13"/>
  <c r="AR185" i="13"/>
  <c r="AV185" i="13" s="1"/>
  <c r="AS185" i="13"/>
  <c r="AT185" i="13"/>
  <c r="AU185" i="13"/>
  <c r="B186" i="16"/>
  <c r="AM186" i="13" s="1"/>
  <c r="C186" i="16"/>
  <c r="AN186" i="13" s="1"/>
  <c r="D186" i="16"/>
  <c r="AO186" i="13" s="1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AL186" i="13"/>
  <c r="A187" i="16"/>
  <c r="AP186" i="13" l="1"/>
  <c r="AQ186" i="13"/>
  <c r="AR186" i="13"/>
  <c r="AV186" i="13" s="1"/>
  <c r="AS186" i="13"/>
  <c r="AT186" i="13"/>
  <c r="AU186" i="13"/>
  <c r="B187" i="16"/>
  <c r="AM187" i="13" s="1"/>
  <c r="C187" i="16"/>
  <c r="AN187" i="13" s="1"/>
  <c r="D187" i="16"/>
  <c r="AO187" i="13" s="1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AL187" i="13"/>
  <c r="A188" i="16"/>
  <c r="AP187" i="13" l="1"/>
  <c r="AQ187" i="13"/>
  <c r="AR187" i="13"/>
  <c r="AV187" i="13" s="1"/>
  <c r="AS187" i="13"/>
  <c r="AT187" i="13"/>
  <c r="AU187" i="13"/>
  <c r="B188" i="16"/>
  <c r="AM188" i="13" s="1"/>
  <c r="C188" i="16"/>
  <c r="AN188" i="13" s="1"/>
  <c r="D188" i="16"/>
  <c r="AO188" i="13" s="1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AL188" i="13"/>
  <c r="A189" i="16"/>
  <c r="AP188" i="13" l="1"/>
  <c r="AQ188" i="13"/>
  <c r="AR188" i="13"/>
  <c r="AV188" i="13" s="1"/>
  <c r="AS188" i="13"/>
  <c r="AT188" i="13"/>
  <c r="AU188" i="13"/>
  <c r="B189" i="16"/>
  <c r="AM189" i="13" s="1"/>
  <c r="C189" i="16"/>
  <c r="AN189" i="13" s="1"/>
  <c r="D189" i="16"/>
  <c r="AO189" i="13" s="1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AL189" i="13"/>
  <c r="A190" i="16"/>
  <c r="AP189" i="13" l="1"/>
  <c r="AQ189" i="13"/>
  <c r="AR189" i="13"/>
  <c r="AV189" i="13" s="1"/>
  <c r="AS189" i="13"/>
  <c r="AT189" i="13"/>
  <c r="AU189" i="13"/>
  <c r="A191" i="16"/>
  <c r="B190" i="16"/>
  <c r="AM190" i="13" s="1"/>
  <c r="C190" i="16"/>
  <c r="AN190" i="13" s="1"/>
  <c r="D190" i="16"/>
  <c r="AO190" i="13" s="1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AL190" i="13"/>
  <c r="A192" i="16" l="1"/>
  <c r="B191" i="16"/>
  <c r="AM191" i="13" s="1"/>
  <c r="C191" i="16"/>
  <c r="AN191" i="13" s="1"/>
  <c r="D191" i="16"/>
  <c r="AO191" i="13" s="1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AL191" i="13"/>
  <c r="AP190" i="13"/>
  <c r="AQ190" i="13"/>
  <c r="AR190" i="13"/>
  <c r="AV190" i="13" s="1"/>
  <c r="AS190" i="13"/>
  <c r="AT190" i="13"/>
  <c r="AU190" i="13"/>
  <c r="B192" i="16" l="1"/>
  <c r="AM192" i="13" s="1"/>
  <c r="C192" i="16"/>
  <c r="AN192" i="13" s="1"/>
  <c r="D192" i="16"/>
  <c r="AO192" i="13" s="1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AL192" i="13"/>
  <c r="A193" i="16"/>
  <c r="AP191" i="13"/>
  <c r="AQ191" i="13"/>
  <c r="AR191" i="13"/>
  <c r="AV191" i="13" s="1"/>
  <c r="AS191" i="13"/>
  <c r="AT191" i="13"/>
  <c r="AU191" i="13"/>
  <c r="AP192" i="13" l="1"/>
  <c r="AQ192" i="13"/>
  <c r="AR192" i="13"/>
  <c r="AV192" i="13" s="1"/>
  <c r="AS192" i="13"/>
  <c r="AT192" i="13"/>
  <c r="AU192" i="13"/>
  <c r="B193" i="16"/>
  <c r="AM193" i="13" s="1"/>
  <c r="C193" i="16"/>
  <c r="AN193" i="13" s="1"/>
  <c r="D193" i="16"/>
  <c r="AO193" i="13" s="1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AL193" i="13"/>
  <c r="A194" i="16"/>
  <c r="AP193" i="13" l="1"/>
  <c r="AQ193" i="13"/>
  <c r="AR193" i="13"/>
  <c r="AV193" i="13" s="1"/>
  <c r="AS193" i="13"/>
  <c r="AT193" i="13"/>
  <c r="AU193" i="13"/>
  <c r="B194" i="16"/>
  <c r="AM194" i="13" s="1"/>
  <c r="C194" i="16"/>
  <c r="AN194" i="13" s="1"/>
  <c r="D194" i="16"/>
  <c r="AO194" i="13" s="1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AL194" i="13"/>
  <c r="A195" i="16"/>
  <c r="AP194" i="13" l="1"/>
  <c r="AQ194" i="13"/>
  <c r="AR194" i="13"/>
  <c r="AV194" i="13" s="1"/>
  <c r="AS194" i="13"/>
  <c r="AT194" i="13"/>
  <c r="AU194" i="13"/>
  <c r="B195" i="16"/>
  <c r="AM195" i="13" s="1"/>
  <c r="C195" i="16"/>
  <c r="AN195" i="13" s="1"/>
  <c r="D195" i="16"/>
  <c r="AO195" i="13" s="1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AL195" i="13"/>
  <c r="A196" i="16"/>
  <c r="AP195" i="13" l="1"/>
  <c r="AQ195" i="13"/>
  <c r="AR195" i="13"/>
  <c r="AV195" i="13" s="1"/>
  <c r="AS195" i="13"/>
  <c r="AT195" i="13"/>
  <c r="AU195" i="13"/>
  <c r="A197" i="16"/>
  <c r="B196" i="16"/>
  <c r="AM196" i="13" s="1"/>
  <c r="C196" i="16"/>
  <c r="AN196" i="13" s="1"/>
  <c r="D196" i="16"/>
  <c r="AO196" i="13" s="1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AL196" i="13"/>
  <c r="B197" i="16" l="1"/>
  <c r="AM197" i="13" s="1"/>
  <c r="C197" i="16"/>
  <c r="AN197" i="13" s="1"/>
  <c r="D197" i="16"/>
  <c r="AO197" i="13" s="1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AL197" i="13"/>
  <c r="A198" i="16"/>
  <c r="AP196" i="13"/>
  <c r="AQ196" i="13"/>
  <c r="AR196" i="13"/>
  <c r="AV196" i="13" s="1"/>
  <c r="AS196" i="13"/>
  <c r="AT196" i="13"/>
  <c r="AU196" i="13"/>
  <c r="AP197" i="13" l="1"/>
  <c r="AQ197" i="13"/>
  <c r="AR197" i="13"/>
  <c r="AV197" i="13" s="1"/>
  <c r="AS197" i="13"/>
  <c r="AT197" i="13"/>
  <c r="AU197" i="13"/>
  <c r="B198" i="16"/>
  <c r="AM198" i="13" s="1"/>
  <c r="C198" i="16"/>
  <c r="AN198" i="13" s="1"/>
  <c r="D198" i="16"/>
  <c r="AO198" i="13" s="1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AL198" i="13"/>
  <c r="A199" i="16"/>
  <c r="AP198" i="13" l="1"/>
  <c r="AQ198" i="13"/>
  <c r="AR198" i="13"/>
  <c r="AV198" i="13" s="1"/>
  <c r="AS198" i="13"/>
  <c r="AT198" i="13"/>
  <c r="AU198" i="13"/>
  <c r="B199" i="16"/>
  <c r="AM199" i="13" s="1"/>
  <c r="C199" i="16"/>
  <c r="AN199" i="13" s="1"/>
  <c r="D199" i="16"/>
  <c r="AO199" i="13" s="1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AL199" i="13"/>
  <c r="A200" i="16"/>
  <c r="AP199" i="13" l="1"/>
  <c r="AQ199" i="13"/>
  <c r="AR199" i="13"/>
  <c r="AV199" i="13" s="1"/>
  <c r="AS199" i="13"/>
  <c r="AT199" i="13"/>
  <c r="AU199" i="13"/>
  <c r="B200" i="16"/>
  <c r="AM200" i="13" s="1"/>
  <c r="C200" i="16"/>
  <c r="AN200" i="13" s="1"/>
  <c r="D200" i="16"/>
  <c r="AO200" i="13" s="1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AL200" i="13"/>
  <c r="A201" i="16"/>
  <c r="AP200" i="13" l="1"/>
  <c r="AQ200" i="13"/>
  <c r="AR200" i="13"/>
  <c r="AV200" i="13" s="1"/>
  <c r="AS200" i="13"/>
  <c r="AT200" i="13"/>
  <c r="AU200" i="13"/>
  <c r="B201" i="16"/>
  <c r="AM201" i="13" s="1"/>
  <c r="C201" i="16"/>
  <c r="AN201" i="13" s="1"/>
  <c r="D201" i="16"/>
  <c r="AO201" i="13" s="1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AL201" i="13"/>
  <c r="A202" i="16"/>
  <c r="AP201" i="13" l="1"/>
  <c r="AQ201" i="13"/>
  <c r="AR201" i="13"/>
  <c r="AV201" i="13" s="1"/>
  <c r="AS201" i="13"/>
  <c r="AT201" i="13"/>
  <c r="AU201" i="13"/>
  <c r="A203" i="16"/>
  <c r="B202" i="16"/>
  <c r="AM202" i="13" s="1"/>
  <c r="C202" i="16"/>
  <c r="AN202" i="13" s="1"/>
  <c r="D202" i="16"/>
  <c r="AO202" i="13" s="1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AL202" i="13"/>
  <c r="B203" i="16" l="1"/>
  <c r="AM203" i="13" s="1"/>
  <c r="C203" i="16"/>
  <c r="AN203" i="13" s="1"/>
  <c r="D203" i="16"/>
  <c r="AO203" i="13" s="1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AL203" i="13"/>
  <c r="A204" i="16"/>
  <c r="AP202" i="13"/>
  <c r="AQ202" i="13"/>
  <c r="AR202" i="13"/>
  <c r="AV202" i="13" s="1"/>
  <c r="AS202" i="13"/>
  <c r="AT202" i="13"/>
  <c r="AU202" i="13"/>
  <c r="AP203" i="13" l="1"/>
  <c r="AQ203" i="13"/>
  <c r="AR203" i="13"/>
  <c r="AV203" i="13" s="1"/>
  <c r="AS203" i="13"/>
  <c r="AT203" i="13"/>
  <c r="AU203" i="13"/>
  <c r="B204" i="16"/>
  <c r="AM204" i="13" s="1"/>
  <c r="C204" i="16"/>
  <c r="AN204" i="13" s="1"/>
  <c r="D204" i="16"/>
  <c r="AO204" i="13" s="1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AL204" i="13"/>
  <c r="A205" i="16"/>
  <c r="AP204" i="13" l="1"/>
  <c r="AQ204" i="13"/>
  <c r="AR204" i="13"/>
  <c r="AV204" i="13" s="1"/>
  <c r="AS204" i="13"/>
  <c r="AT204" i="13"/>
  <c r="AU204" i="13"/>
  <c r="B205" i="16"/>
  <c r="AM205" i="13" s="1"/>
  <c r="C205" i="16"/>
  <c r="AN205" i="13" s="1"/>
  <c r="D205" i="16"/>
  <c r="AO205" i="13" s="1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AL205" i="13"/>
  <c r="A206" i="16"/>
  <c r="AP205" i="13" l="1"/>
  <c r="AQ205" i="13"/>
  <c r="AR205" i="13"/>
  <c r="AV205" i="13" s="1"/>
  <c r="AS205" i="13"/>
  <c r="AT205" i="13"/>
  <c r="AU205" i="13"/>
  <c r="A207" i="16"/>
  <c r="B206" i="16"/>
  <c r="AM206" i="13" s="1"/>
  <c r="C206" i="16"/>
  <c r="AN206" i="13" s="1"/>
  <c r="D206" i="16"/>
  <c r="AO206" i="13" s="1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AL206" i="13"/>
  <c r="B207" i="16" l="1"/>
  <c r="AM207" i="13" s="1"/>
  <c r="C207" i="16"/>
  <c r="AN207" i="13" s="1"/>
  <c r="D207" i="16"/>
  <c r="AO207" i="13" s="1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AL207" i="13"/>
  <c r="A208" i="16"/>
  <c r="AP206" i="13"/>
  <c r="AQ206" i="13"/>
  <c r="AR206" i="13"/>
  <c r="AV206" i="13" s="1"/>
  <c r="AS206" i="13"/>
  <c r="AT206" i="13"/>
  <c r="AU206" i="13"/>
  <c r="AP207" i="13" l="1"/>
  <c r="AQ207" i="13"/>
  <c r="AR207" i="13"/>
  <c r="AV207" i="13" s="1"/>
  <c r="AS207" i="13"/>
  <c r="AT207" i="13"/>
  <c r="AU207" i="13"/>
  <c r="B208" i="16"/>
  <c r="AM208" i="13" s="1"/>
  <c r="C208" i="16"/>
  <c r="AN208" i="13" s="1"/>
  <c r="D208" i="16"/>
  <c r="AO208" i="13" s="1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AL208" i="13"/>
  <c r="A209" i="16"/>
  <c r="AP208" i="13" l="1"/>
  <c r="AQ208" i="13"/>
  <c r="AR208" i="13"/>
  <c r="AV208" i="13" s="1"/>
  <c r="AS208" i="13"/>
  <c r="AT208" i="13"/>
  <c r="AU208" i="13"/>
  <c r="B209" i="16"/>
  <c r="AM209" i="13" s="1"/>
  <c r="C209" i="16"/>
  <c r="AN209" i="13" s="1"/>
  <c r="D209" i="16"/>
  <c r="AO209" i="13" s="1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AL209" i="13"/>
  <c r="A210" i="16"/>
  <c r="AP209" i="13" l="1"/>
  <c r="AQ209" i="13"/>
  <c r="AR209" i="13"/>
  <c r="AV209" i="13" s="1"/>
  <c r="AS209" i="13"/>
  <c r="AT209" i="13"/>
  <c r="AU209" i="13"/>
  <c r="B210" i="16"/>
  <c r="AM210" i="13" s="1"/>
  <c r="C210" i="16"/>
  <c r="AN210" i="13" s="1"/>
  <c r="D210" i="16"/>
  <c r="AO210" i="13" s="1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AL210" i="13"/>
  <c r="A211" i="16"/>
  <c r="AP210" i="13" l="1"/>
  <c r="AQ210" i="13"/>
  <c r="AR210" i="13"/>
  <c r="AV210" i="13" s="1"/>
  <c r="AS210" i="13"/>
  <c r="AT210" i="13"/>
  <c r="AU210" i="13"/>
  <c r="B211" i="16"/>
  <c r="AM211" i="13" s="1"/>
  <c r="C211" i="16"/>
  <c r="AN211" i="13" s="1"/>
  <c r="D211" i="16"/>
  <c r="AO211" i="13" s="1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AL211" i="13"/>
  <c r="A212" i="16"/>
  <c r="AP211" i="13" l="1"/>
  <c r="AQ211" i="13"/>
  <c r="AR211" i="13"/>
  <c r="AV211" i="13" s="1"/>
  <c r="AS211" i="13"/>
  <c r="AT211" i="13"/>
  <c r="AU211" i="13"/>
  <c r="B212" i="16"/>
  <c r="AM212" i="13" s="1"/>
  <c r="C212" i="16"/>
  <c r="AN212" i="13" s="1"/>
  <c r="D212" i="16"/>
  <c r="AO212" i="13" s="1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AL212" i="13"/>
  <c r="A213" i="16"/>
  <c r="AP212" i="13" l="1"/>
  <c r="AQ212" i="13"/>
  <c r="AR212" i="13"/>
  <c r="AV212" i="13" s="1"/>
  <c r="AS212" i="13"/>
  <c r="AT212" i="13"/>
  <c r="AU212" i="13"/>
  <c r="B213" i="16"/>
  <c r="AM213" i="13" s="1"/>
  <c r="C213" i="16"/>
  <c r="AN213" i="13" s="1"/>
  <c r="D213" i="16"/>
  <c r="AO213" i="13" s="1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AL213" i="13"/>
  <c r="A214" i="16"/>
  <c r="AP213" i="13" l="1"/>
  <c r="AQ213" i="13"/>
  <c r="AR213" i="13"/>
  <c r="AV213" i="13" s="1"/>
  <c r="AS213" i="13"/>
  <c r="AT213" i="13"/>
  <c r="AU213" i="13"/>
  <c r="B214" i="16"/>
  <c r="AM214" i="13" s="1"/>
  <c r="C214" i="16"/>
  <c r="AN214" i="13" s="1"/>
  <c r="D214" i="16"/>
  <c r="AO214" i="13" s="1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AL214" i="13"/>
  <c r="A215" i="16"/>
  <c r="AP214" i="13" l="1"/>
  <c r="AQ214" i="13"/>
  <c r="AR214" i="13"/>
  <c r="AV214" i="13" s="1"/>
  <c r="AS214" i="13"/>
  <c r="AT214" i="13"/>
  <c r="AU214" i="13"/>
  <c r="B215" i="16"/>
  <c r="AM215" i="13" s="1"/>
  <c r="C215" i="16"/>
  <c r="AN215" i="13" s="1"/>
  <c r="D215" i="16"/>
  <c r="AO215" i="13" s="1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AL215" i="13"/>
  <c r="A216" i="16"/>
  <c r="AP215" i="13" l="1"/>
  <c r="AQ215" i="13"/>
  <c r="AR215" i="13"/>
  <c r="AV215" i="13" s="1"/>
  <c r="AS215" i="13"/>
  <c r="AT215" i="13"/>
  <c r="AU215" i="13"/>
  <c r="A217" i="16"/>
  <c r="B216" i="16"/>
  <c r="AM216" i="13" s="1"/>
  <c r="C216" i="16"/>
  <c r="AN216" i="13" s="1"/>
  <c r="D216" i="16"/>
  <c r="AO216" i="13" s="1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AL216" i="13"/>
  <c r="B217" i="16" l="1"/>
  <c r="AM217" i="13" s="1"/>
  <c r="C217" i="16"/>
  <c r="AN217" i="13" s="1"/>
  <c r="D217" i="16"/>
  <c r="AO217" i="13" s="1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AL217" i="13"/>
  <c r="A218" i="16"/>
  <c r="AP216" i="13"/>
  <c r="AQ216" i="13"/>
  <c r="AR216" i="13"/>
  <c r="AV216" i="13" s="1"/>
  <c r="AS216" i="13"/>
  <c r="AT216" i="13"/>
  <c r="AU216" i="13"/>
  <c r="AP217" i="13" l="1"/>
  <c r="AQ217" i="13"/>
  <c r="AR217" i="13"/>
  <c r="AV217" i="13" s="1"/>
  <c r="AS217" i="13"/>
  <c r="AT217" i="13"/>
  <c r="AU217" i="13"/>
  <c r="B218" i="16"/>
  <c r="AM218" i="13" s="1"/>
  <c r="C218" i="16"/>
  <c r="AN218" i="13" s="1"/>
  <c r="D218" i="16"/>
  <c r="AO218" i="13" s="1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AL218" i="13"/>
  <c r="A219" i="16"/>
  <c r="AP218" i="13" l="1"/>
  <c r="AQ218" i="13"/>
  <c r="AR218" i="13"/>
  <c r="AV218" i="13" s="1"/>
  <c r="AS218" i="13"/>
  <c r="AT218" i="13"/>
  <c r="AU218" i="13"/>
  <c r="B219" i="16"/>
  <c r="AM219" i="13" s="1"/>
  <c r="C219" i="16"/>
  <c r="AN219" i="13" s="1"/>
  <c r="D219" i="16"/>
  <c r="AO219" i="13" s="1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AL219" i="13"/>
  <c r="A220" i="16"/>
  <c r="AP219" i="13" l="1"/>
  <c r="AQ219" i="13"/>
  <c r="AR219" i="13"/>
  <c r="AV219" i="13" s="1"/>
  <c r="AS219" i="13"/>
  <c r="AT219" i="13"/>
  <c r="AU219" i="13"/>
  <c r="A221" i="16"/>
  <c r="B220" i="16"/>
  <c r="AM220" i="13" s="1"/>
  <c r="C220" i="16"/>
  <c r="AN220" i="13" s="1"/>
  <c r="D220" i="16"/>
  <c r="AO220" i="13" s="1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AL220" i="13"/>
  <c r="B221" i="16" l="1"/>
  <c r="AM221" i="13" s="1"/>
  <c r="C221" i="16"/>
  <c r="AN221" i="13" s="1"/>
  <c r="D221" i="16"/>
  <c r="AO221" i="13" s="1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AL221" i="13"/>
  <c r="A222" i="16"/>
  <c r="AP220" i="13"/>
  <c r="AQ220" i="13"/>
  <c r="AR220" i="13"/>
  <c r="AV220" i="13" s="1"/>
  <c r="AS220" i="13"/>
  <c r="AT220" i="13"/>
  <c r="AU220" i="13"/>
  <c r="AP221" i="13" l="1"/>
  <c r="AQ221" i="13"/>
  <c r="AR221" i="13"/>
  <c r="AV221" i="13" s="1"/>
  <c r="AS221" i="13"/>
  <c r="AT221" i="13"/>
  <c r="AU221" i="13"/>
  <c r="B222" i="16"/>
  <c r="AM222" i="13" s="1"/>
  <c r="C222" i="16"/>
  <c r="AN222" i="13" s="1"/>
  <c r="D222" i="16"/>
  <c r="AO222" i="13" s="1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AL222" i="13"/>
  <c r="A223" i="16"/>
  <c r="AP222" i="13" l="1"/>
  <c r="AQ222" i="13"/>
  <c r="AR222" i="13"/>
  <c r="AV222" i="13" s="1"/>
  <c r="AS222" i="13"/>
  <c r="AT222" i="13"/>
  <c r="AU222" i="13"/>
  <c r="B223" i="16"/>
  <c r="AM223" i="13" s="1"/>
  <c r="C223" i="16"/>
  <c r="AN223" i="13" s="1"/>
  <c r="D223" i="16"/>
  <c r="AO223" i="13" s="1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AL223" i="13"/>
  <c r="A224" i="16"/>
  <c r="AP223" i="13" l="1"/>
  <c r="AQ223" i="13"/>
  <c r="AR223" i="13"/>
  <c r="AV223" i="13" s="1"/>
  <c r="AS223" i="13"/>
  <c r="AT223" i="13"/>
  <c r="AU223" i="13"/>
  <c r="B224" i="16"/>
  <c r="AM224" i="13" s="1"/>
  <c r="C224" i="16"/>
  <c r="AN224" i="13" s="1"/>
  <c r="D224" i="16"/>
  <c r="AO224" i="13" s="1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AL224" i="13"/>
  <c r="A225" i="16"/>
  <c r="AP224" i="13" l="1"/>
  <c r="AQ224" i="13"/>
  <c r="AR224" i="13"/>
  <c r="AV224" i="13" s="1"/>
  <c r="AS224" i="13"/>
  <c r="AT224" i="13"/>
  <c r="AU224" i="13"/>
  <c r="B225" i="16"/>
  <c r="AM225" i="13" s="1"/>
  <c r="C225" i="16"/>
  <c r="AN225" i="13" s="1"/>
  <c r="D225" i="16"/>
  <c r="AO225" i="13" s="1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AL225" i="13"/>
  <c r="A226" i="16"/>
  <c r="AP225" i="13" l="1"/>
  <c r="AQ225" i="13"/>
  <c r="AR225" i="13"/>
  <c r="AV225" i="13" s="1"/>
  <c r="AS225" i="13"/>
  <c r="AT225" i="13"/>
  <c r="AU225" i="13"/>
  <c r="B226" i="16"/>
  <c r="AM226" i="13" s="1"/>
  <c r="C226" i="16"/>
  <c r="AN226" i="13" s="1"/>
  <c r="D226" i="16"/>
  <c r="AO226" i="13" s="1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AL226" i="13"/>
  <c r="A227" i="16"/>
  <c r="AP226" i="13" l="1"/>
  <c r="AQ226" i="13"/>
  <c r="AR226" i="13"/>
  <c r="AV226" i="13" s="1"/>
  <c r="AS226" i="13"/>
  <c r="AT226" i="13"/>
  <c r="AU226" i="13"/>
  <c r="B227" i="16"/>
  <c r="AM227" i="13" s="1"/>
  <c r="C227" i="16"/>
  <c r="AN227" i="13" s="1"/>
  <c r="D227" i="16"/>
  <c r="AO227" i="13" s="1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AL227" i="13"/>
  <c r="A228" i="16"/>
  <c r="AP227" i="13" l="1"/>
  <c r="AQ227" i="13"/>
  <c r="AR227" i="13"/>
  <c r="AV227" i="13" s="1"/>
  <c r="AS227" i="13"/>
  <c r="AT227" i="13"/>
  <c r="AU227" i="13"/>
  <c r="B228" i="16"/>
  <c r="AM228" i="13" s="1"/>
  <c r="C228" i="16"/>
  <c r="AN228" i="13" s="1"/>
  <c r="D228" i="16"/>
  <c r="AO228" i="13" s="1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AL228" i="13"/>
  <c r="A229" i="16"/>
  <c r="AP228" i="13" l="1"/>
  <c r="AQ228" i="13"/>
  <c r="AR228" i="13"/>
  <c r="AV228" i="13" s="1"/>
  <c r="AS228" i="13"/>
  <c r="AT228" i="13"/>
  <c r="AU228" i="13"/>
  <c r="A230" i="16"/>
  <c r="B229" i="16"/>
  <c r="AM229" i="13" s="1"/>
  <c r="C229" i="16"/>
  <c r="AN229" i="13" s="1"/>
  <c r="D229" i="16"/>
  <c r="AO229" i="13" s="1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AL229" i="13"/>
  <c r="B230" i="16" l="1"/>
  <c r="AM230" i="13" s="1"/>
  <c r="C230" i="16"/>
  <c r="AN230" i="13" s="1"/>
  <c r="D230" i="16"/>
  <c r="AO230" i="13" s="1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AL230" i="13"/>
  <c r="A231" i="16"/>
  <c r="AP229" i="13"/>
  <c r="AQ229" i="13"/>
  <c r="AR229" i="13"/>
  <c r="AV229" i="13" s="1"/>
  <c r="AS229" i="13"/>
  <c r="AT229" i="13"/>
  <c r="AU229" i="13"/>
  <c r="AP230" i="13" l="1"/>
  <c r="AQ230" i="13"/>
  <c r="AR230" i="13"/>
  <c r="AV230" i="13" s="1"/>
  <c r="AS230" i="13"/>
  <c r="AT230" i="13"/>
  <c r="AU230" i="13"/>
  <c r="B231" i="16"/>
  <c r="AM231" i="13" s="1"/>
  <c r="C231" i="16"/>
  <c r="AN231" i="13" s="1"/>
  <c r="D231" i="16"/>
  <c r="AO231" i="13" s="1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AL231" i="13"/>
  <c r="A232" i="16"/>
  <c r="AP231" i="13" l="1"/>
  <c r="AQ231" i="13"/>
  <c r="AR231" i="13"/>
  <c r="AV231" i="13" s="1"/>
  <c r="AS231" i="13"/>
  <c r="AT231" i="13"/>
  <c r="AU231" i="13"/>
  <c r="B232" i="16"/>
  <c r="AM232" i="13" s="1"/>
  <c r="C232" i="16"/>
  <c r="AN232" i="13" s="1"/>
  <c r="D232" i="16"/>
  <c r="AO232" i="13" s="1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AL232" i="13"/>
  <c r="A233" i="16"/>
  <c r="AP232" i="13" l="1"/>
  <c r="AQ232" i="13"/>
  <c r="AR232" i="13"/>
  <c r="AV232" i="13" s="1"/>
  <c r="AS232" i="13"/>
  <c r="AT232" i="13"/>
  <c r="AU232" i="13"/>
  <c r="B233" i="16"/>
  <c r="AM233" i="13" s="1"/>
  <c r="C233" i="16"/>
  <c r="AN233" i="13" s="1"/>
  <c r="D233" i="16"/>
  <c r="AO233" i="13" s="1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AL233" i="13"/>
  <c r="A234" i="16"/>
  <c r="AP233" i="13" l="1"/>
  <c r="AQ233" i="13"/>
  <c r="AR233" i="13"/>
  <c r="AV233" i="13" s="1"/>
  <c r="AS233" i="13"/>
  <c r="AT233" i="13"/>
  <c r="AU233" i="13"/>
  <c r="A235" i="16"/>
  <c r="B234" i="16"/>
  <c r="AM234" i="13" s="1"/>
  <c r="C234" i="16"/>
  <c r="AN234" i="13" s="1"/>
  <c r="D234" i="16"/>
  <c r="AO234" i="13" s="1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AL234" i="13"/>
  <c r="B235" i="16" l="1"/>
  <c r="AM235" i="13" s="1"/>
  <c r="C235" i="16"/>
  <c r="AN235" i="13" s="1"/>
  <c r="D235" i="16"/>
  <c r="AO235" i="13" s="1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AL235" i="13"/>
  <c r="A236" i="16"/>
  <c r="AP234" i="13"/>
  <c r="AQ234" i="13"/>
  <c r="AR234" i="13"/>
  <c r="AV234" i="13" s="1"/>
  <c r="AS234" i="13"/>
  <c r="AT234" i="13"/>
  <c r="AU234" i="13"/>
  <c r="AP235" i="13" l="1"/>
  <c r="AQ235" i="13"/>
  <c r="AR235" i="13"/>
  <c r="AV235" i="13" s="1"/>
  <c r="AS235" i="13"/>
  <c r="AT235" i="13"/>
  <c r="AU235" i="13"/>
  <c r="A237" i="16"/>
  <c r="B236" i="16"/>
  <c r="AM236" i="13" s="1"/>
  <c r="C236" i="16"/>
  <c r="AN236" i="13" s="1"/>
  <c r="D236" i="16"/>
  <c r="AO236" i="13" s="1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AL236" i="13"/>
  <c r="B237" i="16" l="1"/>
  <c r="AM237" i="13" s="1"/>
  <c r="C237" i="16"/>
  <c r="AN237" i="13" s="1"/>
  <c r="D237" i="16"/>
  <c r="AO237" i="13" s="1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AL237" i="13"/>
  <c r="A238" i="16"/>
  <c r="AP236" i="13"/>
  <c r="AQ236" i="13"/>
  <c r="AR236" i="13"/>
  <c r="AV236" i="13" s="1"/>
  <c r="AS236" i="13"/>
  <c r="AT236" i="13"/>
  <c r="AU236" i="13"/>
  <c r="AP237" i="13" l="1"/>
  <c r="AQ237" i="13"/>
  <c r="AR237" i="13"/>
  <c r="AV237" i="13" s="1"/>
  <c r="AS237" i="13"/>
  <c r="AT237" i="13"/>
  <c r="AU237" i="13"/>
  <c r="B238" i="16"/>
  <c r="AM238" i="13" s="1"/>
  <c r="C238" i="16"/>
  <c r="AN238" i="13" s="1"/>
  <c r="D238" i="16"/>
  <c r="AO238" i="13" s="1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AL238" i="13"/>
  <c r="A239" i="16"/>
  <c r="AP238" i="13" l="1"/>
  <c r="AQ238" i="13"/>
  <c r="AR238" i="13"/>
  <c r="AV238" i="13" s="1"/>
  <c r="AS238" i="13"/>
  <c r="AT238" i="13"/>
  <c r="AU238" i="13"/>
  <c r="B239" i="16"/>
  <c r="AM239" i="13" s="1"/>
  <c r="C239" i="16"/>
  <c r="AN239" i="13" s="1"/>
  <c r="D239" i="16"/>
  <c r="AO239" i="13" s="1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AL239" i="13"/>
  <c r="A240" i="16"/>
  <c r="AP239" i="13" l="1"/>
  <c r="AQ239" i="13"/>
  <c r="AR239" i="13"/>
  <c r="AV239" i="13" s="1"/>
  <c r="AS239" i="13"/>
  <c r="AT239" i="13"/>
  <c r="AU239" i="13"/>
  <c r="B240" i="16"/>
  <c r="AM240" i="13" s="1"/>
  <c r="C240" i="16"/>
  <c r="AN240" i="13" s="1"/>
  <c r="D240" i="16"/>
  <c r="AO240" i="13" s="1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AL240" i="13"/>
  <c r="A241" i="16"/>
  <c r="AP240" i="13" l="1"/>
  <c r="AQ240" i="13"/>
  <c r="AR240" i="13"/>
  <c r="AV240" i="13" s="1"/>
  <c r="AS240" i="13"/>
  <c r="AT240" i="13"/>
  <c r="AU240" i="13"/>
  <c r="B241" i="16"/>
  <c r="AM241" i="13" s="1"/>
  <c r="C241" i="16"/>
  <c r="AN241" i="13" s="1"/>
  <c r="D241" i="16"/>
  <c r="AO241" i="13" s="1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AL241" i="13"/>
  <c r="A242" i="16"/>
  <c r="AP241" i="13" l="1"/>
  <c r="AQ241" i="13"/>
  <c r="AR241" i="13"/>
  <c r="AV241" i="13" s="1"/>
  <c r="AS241" i="13"/>
  <c r="AT241" i="13"/>
  <c r="AU241" i="13"/>
  <c r="A243" i="16"/>
  <c r="B242" i="16"/>
  <c r="AM242" i="13" s="1"/>
  <c r="C242" i="16"/>
  <c r="AN242" i="13" s="1"/>
  <c r="D242" i="16"/>
  <c r="AO242" i="13" s="1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AL242" i="13"/>
  <c r="B243" i="16" l="1"/>
  <c r="AM243" i="13" s="1"/>
  <c r="C243" i="16"/>
  <c r="AN243" i="13" s="1"/>
  <c r="D243" i="16"/>
  <c r="AO243" i="13" s="1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AL243" i="13"/>
  <c r="A244" i="16"/>
  <c r="AP242" i="13"/>
  <c r="AQ242" i="13"/>
  <c r="AR242" i="13"/>
  <c r="AV242" i="13" s="1"/>
  <c r="AS242" i="13"/>
  <c r="AT242" i="13"/>
  <c r="AU242" i="13"/>
  <c r="AP243" i="13" l="1"/>
  <c r="AQ243" i="13"/>
  <c r="AR243" i="13"/>
  <c r="AV243" i="13" s="1"/>
  <c r="AS243" i="13"/>
  <c r="AT243" i="13"/>
  <c r="AU243" i="13"/>
  <c r="B244" i="16"/>
  <c r="AM244" i="13" s="1"/>
  <c r="C244" i="16"/>
  <c r="AN244" i="13" s="1"/>
  <c r="D244" i="16"/>
  <c r="AO244" i="13" s="1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AL244" i="13"/>
  <c r="A245" i="16"/>
  <c r="AP244" i="13" l="1"/>
  <c r="AQ244" i="13"/>
  <c r="AR244" i="13"/>
  <c r="AV244" i="13" s="1"/>
  <c r="AS244" i="13"/>
  <c r="AT244" i="13"/>
  <c r="AU244" i="13"/>
  <c r="B245" i="16"/>
  <c r="AM245" i="13" s="1"/>
  <c r="C245" i="16"/>
  <c r="AN245" i="13" s="1"/>
  <c r="D245" i="16"/>
  <c r="AO245" i="13" s="1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AL245" i="13"/>
  <c r="A246" i="16"/>
  <c r="AP245" i="13" l="1"/>
  <c r="AQ245" i="13"/>
  <c r="AR245" i="13"/>
  <c r="AV245" i="13" s="1"/>
  <c r="AS245" i="13"/>
  <c r="AT245" i="13"/>
  <c r="AU245" i="13"/>
  <c r="B246" i="16"/>
  <c r="AM246" i="13" s="1"/>
  <c r="C246" i="16"/>
  <c r="AN246" i="13" s="1"/>
  <c r="D246" i="16"/>
  <c r="AO246" i="13" s="1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AL246" i="13"/>
  <c r="A247" i="16"/>
  <c r="AP246" i="13" l="1"/>
  <c r="AQ246" i="13"/>
  <c r="AR246" i="13"/>
  <c r="AV246" i="13" s="1"/>
  <c r="AS246" i="13"/>
  <c r="AT246" i="13"/>
  <c r="AU246" i="13"/>
  <c r="A248" i="16"/>
  <c r="B247" i="16"/>
  <c r="AM247" i="13" s="1"/>
  <c r="C247" i="16"/>
  <c r="AN247" i="13" s="1"/>
  <c r="D247" i="16"/>
  <c r="AO247" i="13" s="1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AL247" i="13"/>
  <c r="B248" i="16" l="1"/>
  <c r="AM248" i="13" s="1"/>
  <c r="C248" i="16"/>
  <c r="AN248" i="13" s="1"/>
  <c r="D248" i="16"/>
  <c r="AO248" i="13" s="1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AL248" i="13"/>
  <c r="A249" i="16"/>
  <c r="AP247" i="13"/>
  <c r="AQ247" i="13"/>
  <c r="AR247" i="13"/>
  <c r="AV247" i="13" s="1"/>
  <c r="AS247" i="13"/>
  <c r="AT247" i="13"/>
  <c r="AU247" i="13"/>
  <c r="AP248" i="13" l="1"/>
  <c r="AQ248" i="13"/>
  <c r="AR248" i="13"/>
  <c r="AV248" i="13" s="1"/>
  <c r="AS248" i="13"/>
  <c r="AT248" i="13"/>
  <c r="AU248" i="13"/>
  <c r="B249" i="16"/>
  <c r="AM249" i="13" s="1"/>
  <c r="C249" i="16"/>
  <c r="AN249" i="13" s="1"/>
  <c r="D249" i="16"/>
  <c r="AO249" i="13" s="1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AL249" i="13"/>
  <c r="A250" i="16"/>
  <c r="AP249" i="13" l="1"/>
  <c r="AQ249" i="13"/>
  <c r="AR249" i="13"/>
  <c r="AV249" i="13" s="1"/>
  <c r="AS249" i="13"/>
  <c r="AT249" i="13"/>
  <c r="AU249" i="13"/>
  <c r="A251" i="16"/>
  <c r="B250" i="16"/>
  <c r="AM250" i="13" s="1"/>
  <c r="C250" i="16"/>
  <c r="AN250" i="13" s="1"/>
  <c r="D250" i="16"/>
  <c r="AO250" i="13" s="1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AL250" i="13"/>
  <c r="A252" i="16" l="1"/>
  <c r="B251" i="16"/>
  <c r="AM251" i="13" s="1"/>
  <c r="C251" i="16"/>
  <c r="AN251" i="13" s="1"/>
  <c r="D251" i="16"/>
  <c r="AO251" i="13" s="1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AL251" i="13"/>
  <c r="AP250" i="13"/>
  <c r="AQ250" i="13"/>
  <c r="AR250" i="13"/>
  <c r="AV250" i="13" s="1"/>
  <c r="AS250" i="13"/>
  <c r="AT250" i="13"/>
  <c r="AU250" i="13"/>
  <c r="B252" i="16" l="1"/>
  <c r="AM252" i="13" s="1"/>
  <c r="C252" i="16"/>
  <c r="AN252" i="13" s="1"/>
  <c r="D252" i="16"/>
  <c r="AO252" i="13" s="1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AL252" i="13"/>
  <c r="A253" i="16"/>
  <c r="AP251" i="13"/>
  <c r="AQ251" i="13"/>
  <c r="AR251" i="13"/>
  <c r="AV251" i="13" s="1"/>
  <c r="AS251" i="13"/>
  <c r="AT251" i="13"/>
  <c r="AU251" i="13"/>
  <c r="AP252" i="13" l="1"/>
  <c r="AQ252" i="13"/>
  <c r="AR252" i="13"/>
  <c r="AV252" i="13" s="1"/>
  <c r="AS252" i="13"/>
  <c r="AT252" i="13"/>
  <c r="AU252" i="13"/>
  <c r="A254" i="16"/>
  <c r="B253" i="16"/>
  <c r="AM253" i="13" s="1"/>
  <c r="C253" i="16"/>
  <c r="AN253" i="13" s="1"/>
  <c r="D253" i="16"/>
  <c r="AO253" i="13" s="1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AL253" i="13"/>
  <c r="B254" i="16" l="1"/>
  <c r="AM254" i="13" s="1"/>
  <c r="C254" i="16"/>
  <c r="AN254" i="13" s="1"/>
  <c r="D254" i="16"/>
  <c r="AO254" i="13" s="1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AL254" i="13"/>
  <c r="A255" i="16"/>
  <c r="AP253" i="13"/>
  <c r="AQ253" i="13"/>
  <c r="AR253" i="13"/>
  <c r="AV253" i="13" s="1"/>
  <c r="AS253" i="13"/>
  <c r="AT253" i="13"/>
  <c r="AU253" i="13"/>
  <c r="AP254" i="13" l="1"/>
  <c r="AQ254" i="13"/>
  <c r="AR254" i="13"/>
  <c r="AV254" i="13" s="1"/>
  <c r="AS254" i="13"/>
  <c r="AT254" i="13"/>
  <c r="AU254" i="13"/>
  <c r="B255" i="16"/>
  <c r="AM255" i="13" s="1"/>
  <c r="C255" i="16"/>
  <c r="AN255" i="13" s="1"/>
  <c r="D255" i="16"/>
  <c r="AO255" i="13" s="1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AL255" i="13"/>
  <c r="A256" i="16"/>
  <c r="AP255" i="13" l="1"/>
  <c r="AQ255" i="13"/>
  <c r="AR255" i="13"/>
  <c r="AV255" i="13" s="1"/>
  <c r="AS255" i="13"/>
  <c r="AT255" i="13"/>
  <c r="AU255" i="13"/>
  <c r="A257" i="16"/>
  <c r="B256" i="16"/>
  <c r="AM256" i="13" s="1"/>
  <c r="C256" i="16"/>
  <c r="AN256" i="13" s="1"/>
  <c r="D256" i="16"/>
  <c r="AO256" i="13" s="1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AL256" i="13"/>
  <c r="B257" i="16" l="1"/>
  <c r="AM257" i="13" s="1"/>
  <c r="C257" i="16"/>
  <c r="AN257" i="13" s="1"/>
  <c r="D257" i="16"/>
  <c r="AO257" i="13" s="1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AL257" i="13"/>
  <c r="A258" i="16"/>
  <c r="AP256" i="13"/>
  <c r="AQ256" i="13"/>
  <c r="AR256" i="13"/>
  <c r="AV256" i="13" s="1"/>
  <c r="AS256" i="13"/>
  <c r="AT256" i="13"/>
  <c r="AU256" i="13"/>
  <c r="AP257" i="13" l="1"/>
  <c r="AQ257" i="13"/>
  <c r="AR257" i="13"/>
  <c r="AV257" i="13" s="1"/>
  <c r="AS257" i="13"/>
  <c r="AT257" i="13"/>
  <c r="AU257" i="13"/>
  <c r="B258" i="16"/>
  <c r="AM258" i="13" s="1"/>
  <c r="C258" i="16"/>
  <c r="AN258" i="13" s="1"/>
  <c r="D258" i="16"/>
  <c r="AO258" i="13" s="1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AL258" i="13"/>
  <c r="A259" i="16"/>
  <c r="AP258" i="13" l="1"/>
  <c r="AQ258" i="13"/>
  <c r="AR258" i="13"/>
  <c r="AV258" i="13" s="1"/>
  <c r="AS258" i="13"/>
  <c r="AT258" i="13"/>
  <c r="AU258" i="13"/>
  <c r="B259" i="16"/>
  <c r="AM259" i="13" s="1"/>
  <c r="C259" i="16"/>
  <c r="AN259" i="13" s="1"/>
  <c r="D259" i="16"/>
  <c r="AO259" i="13" s="1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AL259" i="13"/>
  <c r="A260" i="16"/>
  <c r="AP259" i="13" l="1"/>
  <c r="AQ259" i="13"/>
  <c r="AR259" i="13"/>
  <c r="AV259" i="13" s="1"/>
  <c r="AS259" i="13"/>
  <c r="AT259" i="13"/>
  <c r="AU259" i="13"/>
  <c r="B260" i="16"/>
  <c r="AM260" i="13" s="1"/>
  <c r="C260" i="16"/>
  <c r="AN260" i="13" s="1"/>
  <c r="D260" i="16"/>
  <c r="AO260" i="13" s="1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AL260" i="13"/>
  <c r="A261" i="16"/>
  <c r="AP260" i="13" l="1"/>
  <c r="AQ260" i="13"/>
  <c r="AR260" i="13"/>
  <c r="AV260" i="13" s="1"/>
  <c r="AS260" i="13"/>
  <c r="AT260" i="13"/>
  <c r="AU260" i="13"/>
  <c r="B261" i="16"/>
  <c r="AM261" i="13" s="1"/>
  <c r="C261" i="16"/>
  <c r="AN261" i="13" s="1"/>
  <c r="D261" i="16"/>
  <c r="AO261" i="13" s="1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AL261" i="13"/>
  <c r="A262" i="16"/>
  <c r="AP261" i="13" l="1"/>
  <c r="AQ261" i="13"/>
  <c r="AR261" i="13"/>
  <c r="AV261" i="13" s="1"/>
  <c r="AS261" i="13"/>
  <c r="AT261" i="13"/>
  <c r="AU261" i="13"/>
  <c r="B262" i="16"/>
  <c r="AM262" i="13" s="1"/>
  <c r="C262" i="16"/>
  <c r="AN262" i="13" s="1"/>
  <c r="D262" i="16"/>
  <c r="AO262" i="13" s="1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AL262" i="13"/>
  <c r="A263" i="16"/>
  <c r="AP262" i="13" l="1"/>
  <c r="AQ262" i="13"/>
  <c r="AR262" i="13"/>
  <c r="AV262" i="13" s="1"/>
  <c r="AS262" i="13"/>
  <c r="AT262" i="13"/>
  <c r="AU262" i="13"/>
  <c r="B263" i="16"/>
  <c r="AM263" i="13" s="1"/>
  <c r="C263" i="16"/>
  <c r="AN263" i="13" s="1"/>
  <c r="D263" i="16"/>
  <c r="AO263" i="13" s="1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AL263" i="13"/>
  <c r="A264" i="16"/>
  <c r="AP263" i="13" l="1"/>
  <c r="AQ263" i="13"/>
  <c r="AR263" i="13"/>
  <c r="AV263" i="13" s="1"/>
  <c r="AS263" i="13"/>
  <c r="AT263" i="13"/>
  <c r="AU263" i="13"/>
  <c r="B264" i="16"/>
  <c r="AM264" i="13" s="1"/>
  <c r="C264" i="16"/>
  <c r="AN264" i="13" s="1"/>
  <c r="D264" i="16"/>
  <c r="AO264" i="13" s="1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AL264" i="13"/>
  <c r="A265" i="16"/>
  <c r="AP264" i="13" l="1"/>
  <c r="AQ264" i="13"/>
  <c r="AR264" i="13"/>
  <c r="AV264" i="13" s="1"/>
  <c r="AS264" i="13"/>
  <c r="AT264" i="13"/>
  <c r="AU264" i="13"/>
  <c r="B265" i="16"/>
  <c r="AM265" i="13" s="1"/>
  <c r="C265" i="16"/>
  <c r="AN265" i="13" s="1"/>
  <c r="D265" i="16"/>
  <c r="AO265" i="13" s="1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AL265" i="13"/>
  <c r="A266" i="16"/>
  <c r="AP265" i="13" l="1"/>
  <c r="AQ265" i="13"/>
  <c r="AR265" i="13"/>
  <c r="AV265" i="13" s="1"/>
  <c r="AS265" i="13"/>
  <c r="AT265" i="13"/>
  <c r="AU265" i="13"/>
  <c r="A267" i="16"/>
  <c r="B266" i="16"/>
  <c r="AM266" i="13" s="1"/>
  <c r="C266" i="16"/>
  <c r="AN266" i="13" s="1"/>
  <c r="D266" i="16"/>
  <c r="AO266" i="13" s="1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AL266" i="13"/>
  <c r="B267" i="16" l="1"/>
  <c r="AM267" i="13" s="1"/>
  <c r="C267" i="16"/>
  <c r="AN267" i="13" s="1"/>
  <c r="D267" i="16"/>
  <c r="AO267" i="13" s="1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AL267" i="13"/>
  <c r="A268" i="16"/>
  <c r="AP266" i="13"/>
  <c r="AQ266" i="13"/>
  <c r="AR266" i="13"/>
  <c r="AV266" i="13" s="1"/>
  <c r="AS266" i="13"/>
  <c r="AT266" i="13"/>
  <c r="AU266" i="13"/>
  <c r="AP267" i="13" l="1"/>
  <c r="AQ267" i="13"/>
  <c r="AR267" i="13"/>
  <c r="AV267" i="13" s="1"/>
  <c r="AS267" i="13"/>
  <c r="AT267" i="13"/>
  <c r="AU267" i="13"/>
  <c r="B268" i="16"/>
  <c r="AM268" i="13" s="1"/>
  <c r="C268" i="16"/>
  <c r="AN268" i="13" s="1"/>
  <c r="D268" i="16"/>
  <c r="AO268" i="13" s="1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AL268" i="13"/>
  <c r="A269" i="16"/>
  <c r="AP268" i="13" l="1"/>
  <c r="AQ268" i="13"/>
  <c r="AR268" i="13"/>
  <c r="AV268" i="13" s="1"/>
  <c r="AS268" i="13"/>
  <c r="AT268" i="13"/>
  <c r="AU268" i="13"/>
  <c r="B269" i="16"/>
  <c r="AM269" i="13" s="1"/>
  <c r="C269" i="16"/>
  <c r="AN269" i="13" s="1"/>
  <c r="D269" i="16"/>
  <c r="AO269" i="13" s="1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AL269" i="13"/>
  <c r="A270" i="16"/>
  <c r="AP269" i="13" l="1"/>
  <c r="AQ269" i="13"/>
  <c r="AR269" i="13"/>
  <c r="AV269" i="13" s="1"/>
  <c r="AS269" i="13"/>
  <c r="AT269" i="13"/>
  <c r="AU269" i="13"/>
  <c r="B270" i="16"/>
  <c r="AM270" i="13" s="1"/>
  <c r="C270" i="16"/>
  <c r="AN270" i="13" s="1"/>
  <c r="D270" i="16"/>
  <c r="AO270" i="13" s="1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AL270" i="13"/>
  <c r="A271" i="16"/>
  <c r="AP270" i="13" l="1"/>
  <c r="AQ270" i="13"/>
  <c r="AR270" i="13"/>
  <c r="AV270" i="13" s="1"/>
  <c r="AS270" i="13"/>
  <c r="AT270" i="13"/>
  <c r="AU270" i="13"/>
  <c r="A272" i="16"/>
  <c r="B271" i="16"/>
  <c r="AM271" i="13" s="1"/>
  <c r="C271" i="16"/>
  <c r="AN271" i="13" s="1"/>
  <c r="D271" i="16"/>
  <c r="AO271" i="13" s="1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AL271" i="13"/>
  <c r="B272" i="16" l="1"/>
  <c r="AM272" i="13" s="1"/>
  <c r="C272" i="16"/>
  <c r="AN272" i="13" s="1"/>
  <c r="D272" i="16"/>
  <c r="AO272" i="13" s="1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AL272" i="13"/>
  <c r="A273" i="16"/>
  <c r="AP271" i="13"/>
  <c r="AQ271" i="13"/>
  <c r="AR271" i="13"/>
  <c r="AV271" i="13" s="1"/>
  <c r="AS271" i="13"/>
  <c r="AT271" i="13"/>
  <c r="AU271" i="13"/>
  <c r="AP272" i="13" l="1"/>
  <c r="AQ272" i="13"/>
  <c r="AR272" i="13"/>
  <c r="AV272" i="13" s="1"/>
  <c r="AS272" i="13"/>
  <c r="AT272" i="13"/>
  <c r="AU272" i="13"/>
  <c r="A274" i="16"/>
  <c r="B273" i="16"/>
  <c r="AM273" i="13" s="1"/>
  <c r="C273" i="16"/>
  <c r="AN273" i="13" s="1"/>
  <c r="D273" i="16"/>
  <c r="AO273" i="13" s="1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AL273" i="13"/>
  <c r="B274" i="16" l="1"/>
  <c r="AM274" i="13" s="1"/>
  <c r="C274" i="16"/>
  <c r="AN274" i="13" s="1"/>
  <c r="D274" i="16"/>
  <c r="AO274" i="13" s="1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AL274" i="13"/>
  <c r="A275" i="16"/>
  <c r="AP273" i="13"/>
  <c r="AQ273" i="13"/>
  <c r="AR273" i="13"/>
  <c r="AV273" i="13" s="1"/>
  <c r="AS273" i="13"/>
  <c r="AT273" i="13"/>
  <c r="AU273" i="13"/>
  <c r="AP274" i="13" l="1"/>
  <c r="AQ274" i="13"/>
  <c r="AR274" i="13"/>
  <c r="AV274" i="13" s="1"/>
  <c r="AS274" i="13"/>
  <c r="AT274" i="13"/>
  <c r="AU274" i="13"/>
  <c r="B275" i="16"/>
  <c r="AM275" i="13" s="1"/>
  <c r="C275" i="16"/>
  <c r="AN275" i="13" s="1"/>
  <c r="D275" i="16"/>
  <c r="AO275" i="13" s="1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AL275" i="13"/>
  <c r="A276" i="16"/>
  <c r="AP275" i="13" l="1"/>
  <c r="AQ275" i="13"/>
  <c r="AR275" i="13"/>
  <c r="AV275" i="13" s="1"/>
  <c r="AS275" i="13"/>
  <c r="AT275" i="13"/>
  <c r="AU275" i="13"/>
  <c r="B276" i="16"/>
  <c r="AM276" i="13" s="1"/>
  <c r="C276" i="16"/>
  <c r="AN276" i="13" s="1"/>
  <c r="D276" i="16"/>
  <c r="AO276" i="13" s="1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AL276" i="13"/>
  <c r="A277" i="16"/>
  <c r="AP276" i="13" l="1"/>
  <c r="AQ276" i="13"/>
  <c r="AR276" i="13"/>
  <c r="AV276" i="13" s="1"/>
  <c r="AS276" i="13"/>
  <c r="AT276" i="13"/>
  <c r="AU276" i="13"/>
  <c r="B277" i="16"/>
  <c r="AM277" i="13" s="1"/>
  <c r="C277" i="16"/>
  <c r="AN277" i="13" s="1"/>
  <c r="D277" i="16"/>
  <c r="AO277" i="13" s="1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AL277" i="13"/>
  <c r="A278" i="16"/>
  <c r="AP277" i="13" l="1"/>
  <c r="AQ277" i="13"/>
  <c r="AR277" i="13"/>
  <c r="AV277" i="13" s="1"/>
  <c r="AS277" i="13"/>
  <c r="AT277" i="13"/>
  <c r="AU277" i="13"/>
  <c r="B278" i="16"/>
  <c r="AM278" i="13" s="1"/>
  <c r="C278" i="16"/>
  <c r="AN278" i="13" s="1"/>
  <c r="D278" i="16"/>
  <c r="AO278" i="13" s="1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AL278" i="13"/>
  <c r="A279" i="16"/>
  <c r="AP278" i="13" l="1"/>
  <c r="AQ278" i="13"/>
  <c r="AR278" i="13"/>
  <c r="AV278" i="13" s="1"/>
  <c r="AS278" i="13"/>
  <c r="AT278" i="13"/>
  <c r="AU278" i="13"/>
  <c r="A280" i="16"/>
  <c r="B279" i="16"/>
  <c r="AM279" i="13" s="1"/>
  <c r="C279" i="16"/>
  <c r="AN279" i="13" s="1"/>
  <c r="D279" i="16"/>
  <c r="AO279" i="13" s="1"/>
  <c r="E279" i="16"/>
  <c r="F279" i="16"/>
  <c r="G279" i="16"/>
  <c r="H279" i="16"/>
  <c r="I279" i="16"/>
  <c r="J279" i="16"/>
  <c r="K279" i="16"/>
  <c r="L279" i="16"/>
  <c r="M279" i="16"/>
  <c r="N279" i="16"/>
  <c r="O279" i="16"/>
  <c r="P279" i="16"/>
  <c r="Q279" i="16"/>
  <c r="AL279" i="13"/>
  <c r="B280" i="16" l="1"/>
  <c r="AM280" i="13" s="1"/>
  <c r="C280" i="16"/>
  <c r="AN280" i="13" s="1"/>
  <c r="D280" i="16"/>
  <c r="AO280" i="13" s="1"/>
  <c r="E280" i="16"/>
  <c r="F280" i="16"/>
  <c r="G280" i="16"/>
  <c r="H280" i="16"/>
  <c r="I280" i="16"/>
  <c r="J280" i="16"/>
  <c r="K280" i="16"/>
  <c r="L280" i="16"/>
  <c r="M280" i="16"/>
  <c r="N280" i="16"/>
  <c r="O280" i="16"/>
  <c r="P280" i="16"/>
  <c r="Q280" i="16"/>
  <c r="AL280" i="13"/>
  <c r="A281" i="16"/>
  <c r="AP279" i="13"/>
  <c r="AQ279" i="13"/>
  <c r="AR279" i="13"/>
  <c r="AV279" i="13" s="1"/>
  <c r="AS279" i="13"/>
  <c r="AT279" i="13"/>
  <c r="AU279" i="13"/>
  <c r="AP280" i="13" l="1"/>
  <c r="AQ280" i="13"/>
  <c r="AR280" i="13"/>
  <c r="AV280" i="13" s="1"/>
  <c r="AS280" i="13"/>
  <c r="AT280" i="13"/>
  <c r="AU280" i="13"/>
  <c r="B281" i="16"/>
  <c r="AM281" i="13" s="1"/>
  <c r="C281" i="16"/>
  <c r="AN281" i="13" s="1"/>
  <c r="D281" i="16"/>
  <c r="AO281" i="13" s="1"/>
  <c r="E281" i="16"/>
  <c r="F281" i="16"/>
  <c r="G281" i="16"/>
  <c r="H281" i="16"/>
  <c r="I281" i="16"/>
  <c r="J281" i="16"/>
  <c r="K281" i="16"/>
  <c r="L281" i="16"/>
  <c r="M281" i="16"/>
  <c r="N281" i="16"/>
  <c r="O281" i="16"/>
  <c r="P281" i="16"/>
  <c r="Q281" i="16"/>
  <c r="AL281" i="13"/>
  <c r="A282" i="16"/>
  <c r="AP281" i="13" l="1"/>
  <c r="AQ281" i="13"/>
  <c r="AR281" i="13"/>
  <c r="AV281" i="13" s="1"/>
  <c r="AS281" i="13"/>
  <c r="AT281" i="13"/>
  <c r="AU281" i="13"/>
  <c r="B282" i="16"/>
  <c r="AM282" i="13" s="1"/>
  <c r="C282" i="16"/>
  <c r="AN282" i="13" s="1"/>
  <c r="D282" i="16"/>
  <c r="AO282" i="13" s="1"/>
  <c r="E282" i="16"/>
  <c r="F282" i="16"/>
  <c r="G282" i="16"/>
  <c r="H282" i="16"/>
  <c r="I282" i="16"/>
  <c r="J282" i="16"/>
  <c r="K282" i="16"/>
  <c r="L282" i="16"/>
  <c r="M282" i="16"/>
  <c r="N282" i="16"/>
  <c r="O282" i="16"/>
  <c r="P282" i="16"/>
  <c r="Q282" i="16"/>
  <c r="AL282" i="13"/>
  <c r="A283" i="16"/>
  <c r="AP282" i="13" l="1"/>
  <c r="AQ282" i="13"/>
  <c r="AR282" i="13"/>
  <c r="AV282" i="13" s="1"/>
  <c r="AS282" i="13"/>
  <c r="AT282" i="13"/>
  <c r="AU282" i="13"/>
  <c r="B283" i="16"/>
  <c r="AM283" i="13" s="1"/>
  <c r="C283" i="16"/>
  <c r="AN283" i="13" s="1"/>
  <c r="D283" i="16"/>
  <c r="AO283" i="13" s="1"/>
  <c r="E283" i="16"/>
  <c r="F283" i="16"/>
  <c r="G283" i="16"/>
  <c r="H283" i="16"/>
  <c r="I283" i="16"/>
  <c r="J283" i="16"/>
  <c r="K283" i="16"/>
  <c r="L283" i="16"/>
  <c r="M283" i="16"/>
  <c r="N283" i="16"/>
  <c r="O283" i="16"/>
  <c r="P283" i="16"/>
  <c r="Q283" i="16"/>
  <c r="AL283" i="13"/>
  <c r="A284" i="16"/>
  <c r="AP283" i="13" l="1"/>
  <c r="AQ283" i="13"/>
  <c r="AR283" i="13"/>
  <c r="AV283" i="13" s="1"/>
  <c r="AS283" i="13"/>
  <c r="AT283" i="13"/>
  <c r="AU283" i="13"/>
  <c r="A285" i="16"/>
  <c r="B284" i="16"/>
  <c r="AM284" i="13" s="1"/>
  <c r="C284" i="16"/>
  <c r="AN284" i="13" s="1"/>
  <c r="D284" i="16"/>
  <c r="AO284" i="13" s="1"/>
  <c r="E284" i="16"/>
  <c r="F284" i="16"/>
  <c r="G284" i="16"/>
  <c r="H284" i="16"/>
  <c r="I284" i="16"/>
  <c r="J284" i="16"/>
  <c r="K284" i="16"/>
  <c r="L284" i="16"/>
  <c r="M284" i="16"/>
  <c r="N284" i="16"/>
  <c r="O284" i="16"/>
  <c r="P284" i="16"/>
  <c r="Q284" i="16"/>
  <c r="AL284" i="13"/>
  <c r="B285" i="16" l="1"/>
  <c r="AM285" i="13" s="1"/>
  <c r="C285" i="16"/>
  <c r="AN285" i="13" s="1"/>
  <c r="D285" i="16"/>
  <c r="AO285" i="13" s="1"/>
  <c r="E285" i="16"/>
  <c r="F285" i="16"/>
  <c r="G285" i="16"/>
  <c r="H285" i="16"/>
  <c r="I285" i="16"/>
  <c r="J285" i="16"/>
  <c r="K285" i="16"/>
  <c r="L285" i="16"/>
  <c r="M285" i="16"/>
  <c r="N285" i="16"/>
  <c r="O285" i="16"/>
  <c r="P285" i="16"/>
  <c r="Q285" i="16"/>
  <c r="AL285" i="13"/>
  <c r="A286" i="16"/>
  <c r="AP284" i="13"/>
  <c r="AQ284" i="13"/>
  <c r="AR284" i="13"/>
  <c r="AV284" i="13" s="1"/>
  <c r="AS284" i="13"/>
  <c r="AT284" i="13"/>
  <c r="AU284" i="13"/>
  <c r="AP285" i="13" l="1"/>
  <c r="AQ285" i="13"/>
  <c r="AR285" i="13"/>
  <c r="AV285" i="13" s="1"/>
  <c r="AS285" i="13"/>
  <c r="AT285" i="13"/>
  <c r="AU285" i="13"/>
  <c r="B286" i="16"/>
  <c r="AM286" i="13" s="1"/>
  <c r="C286" i="16"/>
  <c r="AN286" i="13" s="1"/>
  <c r="D286" i="16"/>
  <c r="AO286" i="13" s="1"/>
  <c r="E286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AL286" i="13"/>
  <c r="A287" i="16"/>
  <c r="AP286" i="13" l="1"/>
  <c r="AQ286" i="13"/>
  <c r="AR286" i="13"/>
  <c r="AV286" i="13" s="1"/>
  <c r="AS286" i="13"/>
  <c r="AT286" i="13"/>
  <c r="AU286" i="13"/>
  <c r="B287" i="16"/>
  <c r="AM287" i="13" s="1"/>
  <c r="C287" i="16"/>
  <c r="AN287" i="13" s="1"/>
  <c r="D287" i="16"/>
  <c r="AO287" i="13" s="1"/>
  <c r="E287" i="16"/>
  <c r="F287" i="16"/>
  <c r="G287" i="16"/>
  <c r="H287" i="16"/>
  <c r="I287" i="16"/>
  <c r="J287" i="16"/>
  <c r="K287" i="16"/>
  <c r="L287" i="16"/>
  <c r="M287" i="16"/>
  <c r="N287" i="16"/>
  <c r="O287" i="16"/>
  <c r="P287" i="16"/>
  <c r="Q287" i="16"/>
  <c r="AL287" i="13"/>
  <c r="A288" i="16"/>
  <c r="AP287" i="13" l="1"/>
  <c r="AQ287" i="13"/>
  <c r="AR287" i="13"/>
  <c r="AV287" i="13" s="1"/>
  <c r="AS287" i="13"/>
  <c r="AT287" i="13"/>
  <c r="AU287" i="13"/>
  <c r="A289" i="16"/>
  <c r="B288" i="16"/>
  <c r="AM288" i="13" s="1"/>
  <c r="C288" i="16"/>
  <c r="AN288" i="13" s="1"/>
  <c r="D288" i="16"/>
  <c r="AO288" i="13" s="1"/>
  <c r="E288" i="16"/>
  <c r="F288" i="16"/>
  <c r="G288" i="16"/>
  <c r="H288" i="16"/>
  <c r="I288" i="16"/>
  <c r="J288" i="16"/>
  <c r="K288" i="16"/>
  <c r="L288" i="16"/>
  <c r="M288" i="16"/>
  <c r="N288" i="16"/>
  <c r="O288" i="16"/>
  <c r="P288" i="16"/>
  <c r="Q288" i="16"/>
  <c r="AL288" i="13"/>
  <c r="B289" i="16" l="1"/>
  <c r="AM289" i="13" s="1"/>
  <c r="C289" i="16"/>
  <c r="AN289" i="13" s="1"/>
  <c r="D289" i="16"/>
  <c r="AO289" i="13" s="1"/>
  <c r="E289" i="16"/>
  <c r="F289" i="16"/>
  <c r="G289" i="16"/>
  <c r="H289" i="16"/>
  <c r="I289" i="16"/>
  <c r="J289" i="16"/>
  <c r="K289" i="16"/>
  <c r="L289" i="16"/>
  <c r="M289" i="16"/>
  <c r="N289" i="16"/>
  <c r="O289" i="16"/>
  <c r="P289" i="16"/>
  <c r="Q289" i="16"/>
  <c r="AL289" i="13"/>
  <c r="A290" i="16"/>
  <c r="AP288" i="13"/>
  <c r="AQ288" i="13"/>
  <c r="AR288" i="13"/>
  <c r="AV288" i="13" s="1"/>
  <c r="AS288" i="13"/>
  <c r="AT288" i="13"/>
  <c r="AU288" i="13"/>
  <c r="AP289" i="13" l="1"/>
  <c r="AQ289" i="13"/>
  <c r="AR289" i="13"/>
  <c r="AV289" i="13" s="1"/>
  <c r="AS289" i="13"/>
  <c r="AT289" i="13"/>
  <c r="AU289" i="13"/>
  <c r="B290" i="16"/>
  <c r="AM290" i="13" s="1"/>
  <c r="C290" i="16"/>
  <c r="AN290" i="13" s="1"/>
  <c r="D290" i="16"/>
  <c r="AO290" i="13" s="1"/>
  <c r="E290" i="16"/>
  <c r="F290" i="16"/>
  <c r="G290" i="16"/>
  <c r="H290" i="16"/>
  <c r="I290" i="16"/>
  <c r="J290" i="16"/>
  <c r="K290" i="16"/>
  <c r="L290" i="16"/>
  <c r="M290" i="16"/>
  <c r="N290" i="16"/>
  <c r="O290" i="16"/>
  <c r="P290" i="16"/>
  <c r="Q290" i="16"/>
  <c r="AL290" i="13"/>
  <c r="A291" i="16"/>
  <c r="AP290" i="13" l="1"/>
  <c r="AQ290" i="13"/>
  <c r="AR290" i="13"/>
  <c r="AV290" i="13" s="1"/>
  <c r="AS290" i="13"/>
  <c r="AT290" i="13"/>
  <c r="AU290" i="13"/>
  <c r="A292" i="16"/>
  <c r="B291" i="16"/>
  <c r="AM291" i="13" s="1"/>
  <c r="C291" i="16"/>
  <c r="AN291" i="13" s="1"/>
  <c r="D291" i="16"/>
  <c r="AO291" i="13" s="1"/>
  <c r="E291" i="16"/>
  <c r="F291" i="16"/>
  <c r="G291" i="16"/>
  <c r="H291" i="16"/>
  <c r="I291" i="16"/>
  <c r="J291" i="16"/>
  <c r="K291" i="16"/>
  <c r="L291" i="16"/>
  <c r="M291" i="16"/>
  <c r="N291" i="16"/>
  <c r="O291" i="16"/>
  <c r="P291" i="16"/>
  <c r="Q291" i="16"/>
  <c r="AL291" i="13"/>
  <c r="B292" i="16" l="1"/>
  <c r="AM292" i="13" s="1"/>
  <c r="C292" i="16"/>
  <c r="AN292" i="13" s="1"/>
  <c r="D292" i="16"/>
  <c r="AO292" i="13" s="1"/>
  <c r="E292" i="16"/>
  <c r="F292" i="16"/>
  <c r="G292" i="16"/>
  <c r="H292" i="16"/>
  <c r="I292" i="16"/>
  <c r="J292" i="16"/>
  <c r="K292" i="16"/>
  <c r="L292" i="16"/>
  <c r="M292" i="16"/>
  <c r="N292" i="16"/>
  <c r="O292" i="16"/>
  <c r="P292" i="16"/>
  <c r="Q292" i="16"/>
  <c r="AL292" i="13"/>
  <c r="A293" i="16"/>
  <c r="AP291" i="13"/>
  <c r="AQ291" i="13"/>
  <c r="AR291" i="13"/>
  <c r="AV291" i="13" s="1"/>
  <c r="AS291" i="13"/>
  <c r="AT291" i="13"/>
  <c r="AU291" i="13"/>
  <c r="AP292" i="13" l="1"/>
  <c r="AQ292" i="13"/>
  <c r="AR292" i="13"/>
  <c r="AV292" i="13" s="1"/>
  <c r="AS292" i="13"/>
  <c r="AT292" i="13"/>
  <c r="AU292" i="13"/>
  <c r="B293" i="16"/>
  <c r="AM293" i="13" s="1"/>
  <c r="C293" i="16"/>
  <c r="AN293" i="13" s="1"/>
  <c r="D293" i="16"/>
  <c r="AO293" i="13" s="1"/>
  <c r="E293" i="16"/>
  <c r="F293" i="16"/>
  <c r="G293" i="16"/>
  <c r="H293" i="16"/>
  <c r="I293" i="16"/>
  <c r="J293" i="16"/>
  <c r="K293" i="16"/>
  <c r="L293" i="16"/>
  <c r="M293" i="16"/>
  <c r="N293" i="16"/>
  <c r="O293" i="16"/>
  <c r="P293" i="16"/>
  <c r="Q293" i="16"/>
  <c r="AL293" i="13"/>
  <c r="A294" i="16"/>
  <c r="AP293" i="13" l="1"/>
  <c r="AQ293" i="13"/>
  <c r="AR293" i="13"/>
  <c r="AV293" i="13" s="1"/>
  <c r="AS293" i="13"/>
  <c r="AT293" i="13"/>
  <c r="AU293" i="13"/>
  <c r="B294" i="16"/>
  <c r="AM294" i="13" s="1"/>
  <c r="C294" i="16"/>
  <c r="AN294" i="13" s="1"/>
  <c r="D294" i="16"/>
  <c r="AO294" i="13" s="1"/>
  <c r="E294" i="16"/>
  <c r="F294" i="16"/>
  <c r="G294" i="16"/>
  <c r="H294" i="16"/>
  <c r="I294" i="16"/>
  <c r="J294" i="16"/>
  <c r="K294" i="16"/>
  <c r="L294" i="16"/>
  <c r="M294" i="16"/>
  <c r="N294" i="16"/>
  <c r="O294" i="16"/>
  <c r="P294" i="16"/>
  <c r="Q294" i="16"/>
  <c r="AL294" i="13"/>
  <c r="A295" i="16"/>
  <c r="AP294" i="13" l="1"/>
  <c r="AQ294" i="13"/>
  <c r="AR294" i="13"/>
  <c r="AV294" i="13" s="1"/>
  <c r="AS294" i="13"/>
  <c r="AT294" i="13"/>
  <c r="AU294" i="13"/>
  <c r="B295" i="16"/>
  <c r="AM295" i="13" s="1"/>
  <c r="C295" i="16"/>
  <c r="AN295" i="13" s="1"/>
  <c r="D295" i="16"/>
  <c r="AO295" i="13" s="1"/>
  <c r="E295" i="16"/>
  <c r="F295" i="16"/>
  <c r="G295" i="16"/>
  <c r="H295" i="16"/>
  <c r="I295" i="16"/>
  <c r="J295" i="16"/>
  <c r="K295" i="16"/>
  <c r="L295" i="16"/>
  <c r="M295" i="16"/>
  <c r="N295" i="16"/>
  <c r="O295" i="16"/>
  <c r="P295" i="16"/>
  <c r="Q295" i="16"/>
  <c r="AL295" i="13"/>
  <c r="A296" i="16"/>
  <c r="AP295" i="13" l="1"/>
  <c r="AQ295" i="13"/>
  <c r="AR295" i="13"/>
  <c r="AV295" i="13" s="1"/>
  <c r="AS295" i="13"/>
  <c r="AT295" i="13"/>
  <c r="AU295" i="13"/>
  <c r="B296" i="16"/>
  <c r="AM296" i="13" s="1"/>
  <c r="C296" i="16"/>
  <c r="AN296" i="13" s="1"/>
  <c r="D296" i="16"/>
  <c r="AO296" i="13" s="1"/>
  <c r="E296" i="16"/>
  <c r="F296" i="16"/>
  <c r="G296" i="16"/>
  <c r="H296" i="16"/>
  <c r="I296" i="16"/>
  <c r="J296" i="16"/>
  <c r="K296" i="16"/>
  <c r="L296" i="16"/>
  <c r="M296" i="16"/>
  <c r="N296" i="16"/>
  <c r="O296" i="16"/>
  <c r="P296" i="16"/>
  <c r="Q296" i="16"/>
  <c r="AL296" i="13"/>
  <c r="A297" i="16"/>
  <c r="AP296" i="13" l="1"/>
  <c r="AQ296" i="13"/>
  <c r="AR296" i="13"/>
  <c r="AV296" i="13" s="1"/>
  <c r="AS296" i="13"/>
  <c r="AT296" i="13"/>
  <c r="AU296" i="13"/>
  <c r="B297" i="16"/>
  <c r="AM297" i="13" s="1"/>
  <c r="C297" i="16"/>
  <c r="AN297" i="13" s="1"/>
  <c r="D297" i="16"/>
  <c r="AO297" i="13" s="1"/>
  <c r="E297" i="16"/>
  <c r="F297" i="16"/>
  <c r="G297" i="16"/>
  <c r="H297" i="16"/>
  <c r="I297" i="16"/>
  <c r="J297" i="16"/>
  <c r="K297" i="16"/>
  <c r="L297" i="16"/>
  <c r="M297" i="16"/>
  <c r="N297" i="16"/>
  <c r="O297" i="16"/>
  <c r="P297" i="16"/>
  <c r="Q297" i="16"/>
  <c r="AL297" i="13"/>
  <c r="A298" i="16"/>
  <c r="AP297" i="13" l="1"/>
  <c r="AQ297" i="13"/>
  <c r="AR297" i="13"/>
  <c r="AV297" i="13" s="1"/>
  <c r="AS297" i="13"/>
  <c r="AT297" i="13"/>
  <c r="AU297" i="13"/>
  <c r="B298" i="16"/>
  <c r="AM298" i="13" s="1"/>
  <c r="C298" i="16"/>
  <c r="AN298" i="13" s="1"/>
  <c r="D298" i="16"/>
  <c r="AO298" i="13" s="1"/>
  <c r="E298" i="16"/>
  <c r="F298" i="16"/>
  <c r="G298" i="16"/>
  <c r="H298" i="16"/>
  <c r="I298" i="16"/>
  <c r="J298" i="16"/>
  <c r="K298" i="16"/>
  <c r="L298" i="16"/>
  <c r="M298" i="16"/>
  <c r="N298" i="16"/>
  <c r="O298" i="16"/>
  <c r="P298" i="16"/>
  <c r="Q298" i="16"/>
  <c r="AL298" i="13"/>
  <c r="A299" i="16"/>
  <c r="AP298" i="13" l="1"/>
  <c r="AQ298" i="13"/>
  <c r="AR298" i="13"/>
  <c r="AV298" i="13" s="1"/>
  <c r="AS298" i="13"/>
  <c r="AT298" i="13"/>
  <c r="AU298" i="13"/>
  <c r="B299" i="16"/>
  <c r="AM299" i="13" s="1"/>
  <c r="C299" i="16"/>
  <c r="AN299" i="13" s="1"/>
  <c r="D299" i="16"/>
  <c r="AO299" i="13" s="1"/>
  <c r="E299" i="16"/>
  <c r="F299" i="16"/>
  <c r="G299" i="16"/>
  <c r="H299" i="16"/>
  <c r="I299" i="16"/>
  <c r="J299" i="16"/>
  <c r="K299" i="16"/>
  <c r="L299" i="16"/>
  <c r="M299" i="16"/>
  <c r="N299" i="16"/>
  <c r="O299" i="16"/>
  <c r="P299" i="16"/>
  <c r="Q299" i="16"/>
  <c r="AL299" i="13"/>
  <c r="A300" i="16"/>
  <c r="AP299" i="13" l="1"/>
  <c r="AQ299" i="13"/>
  <c r="AR299" i="13"/>
  <c r="AV299" i="13" s="1"/>
  <c r="AS299" i="13"/>
  <c r="AT299" i="13"/>
  <c r="AU299" i="13"/>
  <c r="B300" i="16"/>
  <c r="AM300" i="13" s="1"/>
  <c r="C300" i="16"/>
  <c r="AN300" i="13" s="1"/>
  <c r="D300" i="16"/>
  <c r="AO300" i="13" s="1"/>
  <c r="E300" i="16"/>
  <c r="F300" i="16"/>
  <c r="G300" i="16"/>
  <c r="H300" i="16"/>
  <c r="I300" i="16"/>
  <c r="J300" i="16"/>
  <c r="K300" i="16"/>
  <c r="L300" i="16"/>
  <c r="M300" i="16"/>
  <c r="N300" i="16"/>
  <c r="O300" i="16"/>
  <c r="P300" i="16"/>
  <c r="Q300" i="16"/>
  <c r="AL300" i="13"/>
  <c r="A301" i="16"/>
  <c r="AP300" i="13" l="1"/>
  <c r="AQ300" i="13"/>
  <c r="AR300" i="13"/>
  <c r="AV300" i="13" s="1"/>
  <c r="AS300" i="13"/>
  <c r="AT300" i="13"/>
  <c r="AU300" i="13"/>
  <c r="A302" i="16"/>
  <c r="B301" i="16"/>
  <c r="AM301" i="13" s="1"/>
  <c r="C301" i="16"/>
  <c r="AN301" i="13" s="1"/>
  <c r="D301" i="16"/>
  <c r="AO301" i="13" s="1"/>
  <c r="E301" i="16"/>
  <c r="F301" i="16"/>
  <c r="G301" i="16"/>
  <c r="H301" i="16"/>
  <c r="I301" i="16"/>
  <c r="J301" i="16"/>
  <c r="K301" i="16"/>
  <c r="L301" i="16"/>
  <c r="M301" i="16"/>
  <c r="N301" i="16"/>
  <c r="O301" i="16"/>
  <c r="P301" i="16"/>
  <c r="Q301" i="16"/>
  <c r="AL301" i="13"/>
  <c r="B302" i="16" l="1"/>
  <c r="AM302" i="13" s="1"/>
  <c r="C302" i="16"/>
  <c r="AN302" i="13" s="1"/>
  <c r="D302" i="16"/>
  <c r="AO302" i="13" s="1"/>
  <c r="E302" i="16"/>
  <c r="F302" i="16"/>
  <c r="G302" i="16"/>
  <c r="H302" i="16"/>
  <c r="I302" i="16"/>
  <c r="J302" i="16"/>
  <c r="K302" i="16"/>
  <c r="L302" i="16"/>
  <c r="M302" i="16"/>
  <c r="N302" i="16"/>
  <c r="O302" i="16"/>
  <c r="P302" i="16"/>
  <c r="Q302" i="16"/>
  <c r="AL302" i="13"/>
  <c r="A303" i="16"/>
  <c r="AP301" i="13"/>
  <c r="AQ301" i="13"/>
  <c r="AR301" i="13"/>
  <c r="AV301" i="13" s="1"/>
  <c r="AS301" i="13"/>
  <c r="AT301" i="13"/>
  <c r="AU301" i="13"/>
  <c r="AP302" i="13" l="1"/>
  <c r="AQ302" i="13"/>
  <c r="AR302" i="13"/>
  <c r="AV302" i="13" s="1"/>
  <c r="AS302" i="13"/>
  <c r="AT302" i="13"/>
  <c r="AU302" i="13"/>
  <c r="B303" i="16"/>
  <c r="AM303" i="13" s="1"/>
  <c r="C303" i="16"/>
  <c r="AN303" i="13" s="1"/>
  <c r="D303" i="16"/>
  <c r="AO303" i="13" s="1"/>
  <c r="E303" i="16"/>
  <c r="F303" i="16"/>
  <c r="G303" i="16"/>
  <c r="H303" i="16"/>
  <c r="I303" i="16"/>
  <c r="J303" i="16"/>
  <c r="K303" i="16"/>
  <c r="L303" i="16"/>
  <c r="M303" i="16"/>
  <c r="N303" i="16"/>
  <c r="O303" i="16"/>
  <c r="P303" i="16"/>
  <c r="Q303" i="16"/>
  <c r="AL303" i="13"/>
  <c r="A304" i="16"/>
  <c r="AP303" i="13" l="1"/>
  <c r="AQ303" i="13"/>
  <c r="AR303" i="13"/>
  <c r="AV303" i="13" s="1"/>
  <c r="AS303" i="13"/>
  <c r="AT303" i="13"/>
  <c r="AU303" i="13"/>
  <c r="B304" i="16"/>
  <c r="AM304" i="13" s="1"/>
  <c r="C304" i="16"/>
  <c r="AN304" i="13" s="1"/>
  <c r="D304" i="16"/>
  <c r="AO304" i="13" s="1"/>
  <c r="E304" i="16"/>
  <c r="F304" i="16"/>
  <c r="G304" i="16"/>
  <c r="H304" i="16"/>
  <c r="I304" i="16"/>
  <c r="J304" i="16"/>
  <c r="K304" i="16"/>
  <c r="L304" i="16"/>
  <c r="M304" i="16"/>
  <c r="N304" i="16"/>
  <c r="O304" i="16"/>
  <c r="P304" i="16"/>
  <c r="Q304" i="16"/>
  <c r="AL304" i="13"/>
  <c r="A305" i="16"/>
  <c r="AP304" i="13" l="1"/>
  <c r="AQ304" i="13"/>
  <c r="AR304" i="13"/>
  <c r="AV304" i="13" s="1"/>
  <c r="AS304" i="13"/>
  <c r="AT304" i="13"/>
  <c r="AU304" i="13"/>
  <c r="A306" i="16"/>
  <c r="B305" i="16"/>
  <c r="AM305" i="13" s="1"/>
  <c r="C305" i="16"/>
  <c r="AN305" i="13" s="1"/>
  <c r="D305" i="16"/>
  <c r="AO305" i="13" s="1"/>
  <c r="E305" i="16"/>
  <c r="F305" i="16"/>
  <c r="G305" i="16"/>
  <c r="H305" i="16"/>
  <c r="I305" i="16"/>
  <c r="J305" i="16"/>
  <c r="K305" i="16"/>
  <c r="L305" i="16"/>
  <c r="M305" i="16"/>
  <c r="N305" i="16"/>
  <c r="O305" i="16"/>
  <c r="P305" i="16"/>
  <c r="Q305" i="16"/>
  <c r="AL305" i="13"/>
  <c r="B306" i="16" l="1"/>
  <c r="AM306" i="13" s="1"/>
  <c r="C306" i="16"/>
  <c r="AN306" i="13" s="1"/>
  <c r="D306" i="16"/>
  <c r="AO306" i="13" s="1"/>
  <c r="E306" i="16"/>
  <c r="F306" i="16"/>
  <c r="G306" i="16"/>
  <c r="H306" i="16"/>
  <c r="I306" i="16"/>
  <c r="J306" i="16"/>
  <c r="K306" i="16"/>
  <c r="L306" i="16"/>
  <c r="M306" i="16"/>
  <c r="N306" i="16"/>
  <c r="O306" i="16"/>
  <c r="P306" i="16"/>
  <c r="Q306" i="16"/>
  <c r="AL306" i="13"/>
  <c r="A307" i="16"/>
  <c r="AP305" i="13"/>
  <c r="AQ305" i="13"/>
  <c r="AR305" i="13"/>
  <c r="AV305" i="13" s="1"/>
  <c r="AS305" i="13"/>
  <c r="AT305" i="13"/>
  <c r="AU305" i="13"/>
  <c r="AP306" i="13" l="1"/>
  <c r="AQ306" i="13"/>
  <c r="AR306" i="13"/>
  <c r="AV306" i="13" s="1"/>
  <c r="AS306" i="13"/>
  <c r="AT306" i="13"/>
  <c r="AU306" i="13"/>
  <c r="B307" i="16"/>
  <c r="AM307" i="13" s="1"/>
  <c r="C307" i="16"/>
  <c r="AN307" i="13" s="1"/>
  <c r="D307" i="16"/>
  <c r="AO307" i="13" s="1"/>
  <c r="E307" i="16"/>
  <c r="F307" i="16"/>
  <c r="G307" i="16"/>
  <c r="H307" i="16"/>
  <c r="I307" i="16"/>
  <c r="J307" i="16"/>
  <c r="K307" i="16"/>
  <c r="L307" i="16"/>
  <c r="M307" i="16"/>
  <c r="N307" i="16"/>
  <c r="O307" i="16"/>
  <c r="P307" i="16"/>
  <c r="Q307" i="16"/>
  <c r="AL307" i="13"/>
  <c r="A308" i="16"/>
  <c r="AP307" i="13" l="1"/>
  <c r="AQ307" i="13"/>
  <c r="AR307" i="13"/>
  <c r="AV307" i="13" s="1"/>
  <c r="AS307" i="13"/>
  <c r="AT307" i="13"/>
  <c r="AU307" i="13"/>
  <c r="A309" i="16"/>
  <c r="B308" i="16"/>
  <c r="AM308" i="13" s="1"/>
  <c r="C308" i="16"/>
  <c r="AN308" i="13" s="1"/>
  <c r="D308" i="16"/>
  <c r="AO308" i="13" s="1"/>
  <c r="E308" i="16"/>
  <c r="F308" i="16"/>
  <c r="G308" i="16"/>
  <c r="H308" i="16"/>
  <c r="I308" i="16"/>
  <c r="J308" i="16"/>
  <c r="K308" i="16"/>
  <c r="L308" i="16"/>
  <c r="M308" i="16"/>
  <c r="N308" i="16"/>
  <c r="O308" i="16"/>
  <c r="P308" i="16"/>
  <c r="Q308" i="16"/>
  <c r="AL308" i="13"/>
  <c r="B309" i="16" l="1"/>
  <c r="AM309" i="13" s="1"/>
  <c r="C309" i="16"/>
  <c r="AN309" i="13" s="1"/>
  <c r="D309" i="16"/>
  <c r="AO309" i="13" s="1"/>
  <c r="E309" i="16"/>
  <c r="F309" i="16"/>
  <c r="G309" i="16"/>
  <c r="H309" i="16"/>
  <c r="I309" i="16"/>
  <c r="J309" i="16"/>
  <c r="K309" i="16"/>
  <c r="L309" i="16"/>
  <c r="M309" i="16"/>
  <c r="N309" i="16"/>
  <c r="O309" i="16"/>
  <c r="P309" i="16"/>
  <c r="Q309" i="16"/>
  <c r="AL309" i="13"/>
  <c r="A310" i="16"/>
  <c r="AP308" i="13"/>
  <c r="AQ308" i="13"/>
  <c r="AR308" i="13"/>
  <c r="AV308" i="13" s="1"/>
  <c r="AS308" i="13"/>
  <c r="AT308" i="13"/>
  <c r="AU308" i="13"/>
  <c r="AP309" i="13" l="1"/>
  <c r="AQ309" i="13"/>
  <c r="AR309" i="13"/>
  <c r="AV309" i="13" s="1"/>
  <c r="AS309" i="13"/>
  <c r="AT309" i="13"/>
  <c r="AU309" i="13"/>
  <c r="A311" i="16"/>
  <c r="B310" i="16"/>
  <c r="AM310" i="13" s="1"/>
  <c r="C310" i="16"/>
  <c r="AN310" i="13" s="1"/>
  <c r="D310" i="16"/>
  <c r="AO310" i="13" s="1"/>
  <c r="E310" i="16"/>
  <c r="F310" i="16"/>
  <c r="G310" i="16"/>
  <c r="H310" i="16"/>
  <c r="I310" i="16"/>
  <c r="J310" i="16"/>
  <c r="K310" i="16"/>
  <c r="L310" i="16"/>
  <c r="M310" i="16"/>
  <c r="N310" i="16"/>
  <c r="O310" i="16"/>
  <c r="P310" i="16"/>
  <c r="Q310" i="16"/>
  <c r="AL310" i="13"/>
  <c r="B311" i="16" l="1"/>
  <c r="AM311" i="13" s="1"/>
  <c r="C311" i="16"/>
  <c r="AN311" i="13" s="1"/>
  <c r="D311" i="16"/>
  <c r="AO311" i="13" s="1"/>
  <c r="E311" i="16"/>
  <c r="F311" i="16"/>
  <c r="G311" i="16"/>
  <c r="H311" i="16"/>
  <c r="I311" i="16"/>
  <c r="J311" i="16"/>
  <c r="K311" i="16"/>
  <c r="L311" i="16"/>
  <c r="M311" i="16"/>
  <c r="N311" i="16"/>
  <c r="O311" i="16"/>
  <c r="P311" i="16"/>
  <c r="Q311" i="16"/>
  <c r="AL311" i="13"/>
  <c r="A312" i="16"/>
  <c r="AP310" i="13"/>
  <c r="AQ310" i="13"/>
  <c r="AR310" i="13"/>
  <c r="AV310" i="13" s="1"/>
  <c r="AS310" i="13"/>
  <c r="AT310" i="13"/>
  <c r="AU310" i="13"/>
  <c r="AP311" i="13" l="1"/>
  <c r="AQ311" i="13"/>
  <c r="AR311" i="13"/>
  <c r="AV311" i="13" s="1"/>
  <c r="AS311" i="13"/>
  <c r="AT311" i="13"/>
  <c r="AU311" i="13"/>
  <c r="B312" i="16"/>
  <c r="AM312" i="13" s="1"/>
  <c r="C312" i="16"/>
  <c r="AN312" i="13" s="1"/>
  <c r="D312" i="16"/>
  <c r="AO312" i="13" s="1"/>
  <c r="E312" i="16"/>
  <c r="F312" i="16"/>
  <c r="G312" i="16"/>
  <c r="H312" i="16"/>
  <c r="I312" i="16"/>
  <c r="J312" i="16"/>
  <c r="K312" i="16"/>
  <c r="L312" i="16"/>
  <c r="M312" i="16"/>
  <c r="N312" i="16"/>
  <c r="O312" i="16"/>
  <c r="P312" i="16"/>
  <c r="Q312" i="16"/>
  <c r="AL312" i="13"/>
  <c r="A313" i="16"/>
  <c r="AP312" i="13" l="1"/>
  <c r="AQ312" i="13"/>
  <c r="AR312" i="13"/>
  <c r="AV312" i="13" s="1"/>
  <c r="AS312" i="13"/>
  <c r="AT312" i="13"/>
  <c r="AU312" i="13"/>
  <c r="B313" i="16"/>
  <c r="AM313" i="13" s="1"/>
  <c r="C313" i="16"/>
  <c r="AN313" i="13" s="1"/>
  <c r="D313" i="16"/>
  <c r="AO313" i="13" s="1"/>
  <c r="E313" i="16"/>
  <c r="F313" i="16"/>
  <c r="G313" i="16"/>
  <c r="H313" i="16"/>
  <c r="I313" i="16"/>
  <c r="J313" i="16"/>
  <c r="K313" i="16"/>
  <c r="L313" i="16"/>
  <c r="M313" i="16"/>
  <c r="N313" i="16"/>
  <c r="O313" i="16"/>
  <c r="P313" i="16"/>
  <c r="Q313" i="16"/>
  <c r="AL313" i="13"/>
  <c r="A314" i="16"/>
  <c r="AP313" i="13" l="1"/>
  <c r="AQ313" i="13"/>
  <c r="AR313" i="13"/>
  <c r="AV313" i="13" s="1"/>
  <c r="AS313" i="13"/>
  <c r="AT313" i="13"/>
  <c r="AU313" i="13"/>
  <c r="B314" i="16"/>
  <c r="AM314" i="13" s="1"/>
  <c r="C314" i="16"/>
  <c r="AN314" i="13" s="1"/>
  <c r="D314" i="16"/>
  <c r="AO314" i="13" s="1"/>
  <c r="E314" i="16"/>
  <c r="F314" i="16"/>
  <c r="G314" i="16"/>
  <c r="H314" i="16"/>
  <c r="I314" i="16"/>
  <c r="J314" i="16"/>
  <c r="K314" i="16"/>
  <c r="L314" i="16"/>
  <c r="M314" i="16"/>
  <c r="N314" i="16"/>
  <c r="O314" i="16"/>
  <c r="P314" i="16"/>
  <c r="Q314" i="16"/>
  <c r="AL314" i="13"/>
  <c r="A315" i="16"/>
  <c r="AP314" i="13" l="1"/>
  <c r="AQ314" i="13"/>
  <c r="AR314" i="13"/>
  <c r="AV314" i="13" s="1"/>
  <c r="AS314" i="13"/>
  <c r="AT314" i="13"/>
  <c r="AU314" i="13"/>
  <c r="A316" i="16"/>
  <c r="B315" i="16"/>
  <c r="AM315" i="13" s="1"/>
  <c r="C315" i="16"/>
  <c r="AN315" i="13" s="1"/>
  <c r="D315" i="16"/>
  <c r="AO315" i="13" s="1"/>
  <c r="E315" i="16"/>
  <c r="F315" i="16"/>
  <c r="G315" i="16"/>
  <c r="H315" i="16"/>
  <c r="I315" i="16"/>
  <c r="J315" i="16"/>
  <c r="K315" i="16"/>
  <c r="L315" i="16"/>
  <c r="M315" i="16"/>
  <c r="N315" i="16"/>
  <c r="O315" i="16"/>
  <c r="P315" i="16"/>
  <c r="Q315" i="16"/>
  <c r="AL315" i="13"/>
  <c r="B316" i="16" l="1"/>
  <c r="AM316" i="13" s="1"/>
  <c r="C316" i="16"/>
  <c r="AN316" i="13" s="1"/>
  <c r="D316" i="16"/>
  <c r="AO316" i="13" s="1"/>
  <c r="E316" i="16"/>
  <c r="F316" i="16"/>
  <c r="G316" i="16"/>
  <c r="H316" i="16"/>
  <c r="I316" i="16"/>
  <c r="J316" i="16"/>
  <c r="K316" i="16"/>
  <c r="L316" i="16"/>
  <c r="M316" i="16"/>
  <c r="N316" i="16"/>
  <c r="O316" i="16"/>
  <c r="P316" i="16"/>
  <c r="Q316" i="16"/>
  <c r="AL316" i="13"/>
  <c r="A317" i="16"/>
  <c r="AP315" i="13"/>
  <c r="AQ315" i="13"/>
  <c r="AR315" i="13"/>
  <c r="AV315" i="13" s="1"/>
  <c r="AS315" i="13"/>
  <c r="AT315" i="13"/>
  <c r="AU315" i="13"/>
  <c r="AP316" i="13" l="1"/>
  <c r="AQ316" i="13"/>
  <c r="AR316" i="13"/>
  <c r="AV316" i="13" s="1"/>
  <c r="AS316" i="13"/>
  <c r="AT316" i="13"/>
  <c r="AU316" i="13"/>
  <c r="B317" i="16"/>
  <c r="AM317" i="13" s="1"/>
  <c r="C317" i="16"/>
  <c r="AN317" i="13" s="1"/>
  <c r="D317" i="16"/>
  <c r="AO317" i="13" s="1"/>
  <c r="E317" i="16"/>
  <c r="F317" i="16"/>
  <c r="G317" i="16"/>
  <c r="H317" i="16"/>
  <c r="I317" i="16"/>
  <c r="J317" i="16"/>
  <c r="K317" i="16"/>
  <c r="L317" i="16"/>
  <c r="M317" i="16"/>
  <c r="N317" i="16"/>
  <c r="O317" i="16"/>
  <c r="P317" i="16"/>
  <c r="Q317" i="16"/>
  <c r="AL317" i="13"/>
  <c r="A318" i="16"/>
  <c r="AP317" i="13" l="1"/>
  <c r="AQ317" i="13"/>
  <c r="AR317" i="13"/>
  <c r="AV317" i="13" s="1"/>
  <c r="AS317" i="13"/>
  <c r="AT317" i="13"/>
  <c r="AU317" i="13"/>
  <c r="B318" i="16"/>
  <c r="AM318" i="13" s="1"/>
  <c r="C318" i="16"/>
  <c r="AN318" i="13" s="1"/>
  <c r="D318" i="16"/>
  <c r="AO318" i="13" s="1"/>
  <c r="E318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AL318" i="13"/>
  <c r="A319" i="16"/>
  <c r="AP318" i="13" l="1"/>
  <c r="AQ318" i="13"/>
  <c r="AR318" i="13"/>
  <c r="AV318" i="13" s="1"/>
  <c r="AS318" i="13"/>
  <c r="AT318" i="13"/>
  <c r="AU318" i="13"/>
  <c r="A320" i="16"/>
  <c r="B319" i="16"/>
  <c r="AM319" i="13" s="1"/>
  <c r="C319" i="16"/>
  <c r="AN319" i="13" s="1"/>
  <c r="D319" i="16"/>
  <c r="AO319" i="13" s="1"/>
  <c r="E319" i="16"/>
  <c r="F319" i="16"/>
  <c r="G319" i="16"/>
  <c r="H319" i="16"/>
  <c r="I319" i="16"/>
  <c r="J319" i="16"/>
  <c r="K319" i="16"/>
  <c r="L319" i="16"/>
  <c r="M319" i="16"/>
  <c r="N319" i="16"/>
  <c r="O319" i="16"/>
  <c r="P319" i="16"/>
  <c r="Q319" i="16"/>
  <c r="AL319" i="13"/>
  <c r="B320" i="16" l="1"/>
  <c r="AM320" i="13" s="1"/>
  <c r="C320" i="16"/>
  <c r="AN320" i="13" s="1"/>
  <c r="D320" i="16"/>
  <c r="AO320" i="13" s="1"/>
  <c r="E320" i="16"/>
  <c r="F320" i="16"/>
  <c r="G320" i="16"/>
  <c r="H320" i="16"/>
  <c r="I320" i="16"/>
  <c r="J320" i="16"/>
  <c r="K320" i="16"/>
  <c r="L320" i="16"/>
  <c r="M320" i="16"/>
  <c r="N320" i="16"/>
  <c r="O320" i="16"/>
  <c r="P320" i="16"/>
  <c r="Q320" i="16"/>
  <c r="AL320" i="13"/>
  <c r="A321" i="16"/>
  <c r="AP319" i="13"/>
  <c r="AQ319" i="13"/>
  <c r="AR319" i="13"/>
  <c r="AV319" i="13" s="1"/>
  <c r="AS319" i="13"/>
  <c r="AT319" i="13"/>
  <c r="AU319" i="13"/>
  <c r="AP320" i="13" l="1"/>
  <c r="AQ320" i="13"/>
  <c r="AR320" i="13"/>
  <c r="AV320" i="13" s="1"/>
  <c r="AS320" i="13"/>
  <c r="AT320" i="13"/>
  <c r="AU320" i="13"/>
  <c r="B321" i="16"/>
  <c r="AM321" i="13" s="1"/>
  <c r="C321" i="16"/>
  <c r="AN321" i="13" s="1"/>
  <c r="D321" i="16"/>
  <c r="AO321" i="13" s="1"/>
  <c r="E321" i="16"/>
  <c r="F321" i="16"/>
  <c r="G321" i="16"/>
  <c r="H321" i="16"/>
  <c r="I321" i="16"/>
  <c r="J321" i="16"/>
  <c r="K321" i="16"/>
  <c r="L321" i="16"/>
  <c r="M321" i="16"/>
  <c r="N321" i="16"/>
  <c r="O321" i="16"/>
  <c r="P321" i="16"/>
  <c r="Q321" i="16"/>
  <c r="AL321" i="13"/>
  <c r="A322" i="16"/>
  <c r="AP321" i="13" l="1"/>
  <c r="AQ321" i="13"/>
  <c r="AR321" i="13"/>
  <c r="AV321" i="13" s="1"/>
  <c r="AS321" i="13"/>
  <c r="AT321" i="13"/>
  <c r="AU321" i="13"/>
  <c r="B322" i="16"/>
  <c r="AM322" i="13" s="1"/>
  <c r="C322" i="16"/>
  <c r="AN322" i="13" s="1"/>
  <c r="D322" i="16"/>
  <c r="AO322" i="13" s="1"/>
  <c r="E322" i="16"/>
  <c r="F322" i="16"/>
  <c r="G322" i="16"/>
  <c r="H322" i="16"/>
  <c r="I322" i="16"/>
  <c r="J322" i="16"/>
  <c r="K322" i="16"/>
  <c r="L322" i="16"/>
  <c r="M322" i="16"/>
  <c r="N322" i="16"/>
  <c r="O322" i="16"/>
  <c r="P322" i="16"/>
  <c r="Q322" i="16"/>
  <c r="AL322" i="13"/>
  <c r="A323" i="16"/>
  <c r="AP322" i="13" l="1"/>
  <c r="AQ322" i="13"/>
  <c r="AR322" i="13"/>
  <c r="AV322" i="13" s="1"/>
  <c r="AS322" i="13"/>
  <c r="AT322" i="13"/>
  <c r="AU322" i="13"/>
  <c r="A324" i="16"/>
  <c r="B323" i="16"/>
  <c r="AM323" i="13" s="1"/>
  <c r="C323" i="16"/>
  <c r="AN323" i="13" s="1"/>
  <c r="D323" i="16"/>
  <c r="AO323" i="13" s="1"/>
  <c r="E323" i="16"/>
  <c r="F323" i="16"/>
  <c r="G323" i="16"/>
  <c r="H323" i="16"/>
  <c r="I323" i="16"/>
  <c r="J323" i="16"/>
  <c r="K323" i="16"/>
  <c r="L323" i="16"/>
  <c r="M323" i="16"/>
  <c r="N323" i="16"/>
  <c r="O323" i="16"/>
  <c r="P323" i="16"/>
  <c r="Q323" i="16"/>
  <c r="AL323" i="13"/>
  <c r="B324" i="16" l="1"/>
  <c r="AM324" i="13" s="1"/>
  <c r="C324" i="16"/>
  <c r="AN324" i="13" s="1"/>
  <c r="D324" i="16"/>
  <c r="AO324" i="13" s="1"/>
  <c r="E324" i="16"/>
  <c r="F324" i="16"/>
  <c r="G324" i="16"/>
  <c r="H324" i="16"/>
  <c r="I324" i="16"/>
  <c r="J324" i="16"/>
  <c r="K324" i="16"/>
  <c r="L324" i="16"/>
  <c r="M324" i="16"/>
  <c r="N324" i="16"/>
  <c r="O324" i="16"/>
  <c r="P324" i="16"/>
  <c r="Q324" i="16"/>
  <c r="AL324" i="13"/>
  <c r="A325" i="16"/>
  <c r="AP323" i="13"/>
  <c r="AQ323" i="13"/>
  <c r="AR323" i="13"/>
  <c r="AV323" i="13" s="1"/>
  <c r="AS323" i="13"/>
  <c r="AT323" i="13"/>
  <c r="AU323" i="13"/>
  <c r="AP324" i="13" l="1"/>
  <c r="AQ324" i="13"/>
  <c r="AR324" i="13"/>
  <c r="AV324" i="13" s="1"/>
  <c r="AS324" i="13"/>
  <c r="AT324" i="13"/>
  <c r="AU324" i="13"/>
  <c r="A326" i="16"/>
  <c r="B325" i="16"/>
  <c r="AM325" i="13" s="1"/>
  <c r="C325" i="16"/>
  <c r="AN325" i="13" s="1"/>
  <c r="D325" i="16"/>
  <c r="AO325" i="13" s="1"/>
  <c r="E325" i="16"/>
  <c r="F325" i="16"/>
  <c r="G325" i="16"/>
  <c r="H325" i="16"/>
  <c r="I325" i="16"/>
  <c r="J325" i="16"/>
  <c r="K325" i="16"/>
  <c r="L325" i="16"/>
  <c r="M325" i="16"/>
  <c r="N325" i="16"/>
  <c r="O325" i="16"/>
  <c r="P325" i="16"/>
  <c r="Q325" i="16"/>
  <c r="AL325" i="13"/>
  <c r="B326" i="16" l="1"/>
  <c r="AM326" i="13" s="1"/>
  <c r="C326" i="16"/>
  <c r="AN326" i="13" s="1"/>
  <c r="D326" i="16"/>
  <c r="AO326" i="13" s="1"/>
  <c r="E326" i="16"/>
  <c r="F326" i="16"/>
  <c r="G326" i="16"/>
  <c r="H326" i="16"/>
  <c r="I326" i="16"/>
  <c r="J326" i="16"/>
  <c r="K326" i="16"/>
  <c r="L326" i="16"/>
  <c r="M326" i="16"/>
  <c r="N326" i="16"/>
  <c r="O326" i="16"/>
  <c r="P326" i="16"/>
  <c r="Q326" i="16"/>
  <c r="AL326" i="13"/>
  <c r="A327" i="16"/>
  <c r="AP325" i="13"/>
  <c r="AQ325" i="13"/>
  <c r="AR325" i="13"/>
  <c r="AV325" i="13" s="1"/>
  <c r="AS325" i="13"/>
  <c r="AT325" i="13"/>
  <c r="AU325" i="13"/>
  <c r="AP326" i="13" l="1"/>
  <c r="AQ326" i="13"/>
  <c r="AR326" i="13"/>
  <c r="AV326" i="13" s="1"/>
  <c r="AS326" i="13"/>
  <c r="AT326" i="13"/>
  <c r="AU326" i="13"/>
  <c r="B327" i="16"/>
  <c r="AM327" i="13" s="1"/>
  <c r="C327" i="16"/>
  <c r="AN327" i="13" s="1"/>
  <c r="D327" i="16"/>
  <c r="AO327" i="13" s="1"/>
  <c r="E327" i="16"/>
  <c r="F327" i="16"/>
  <c r="G327" i="16"/>
  <c r="H327" i="16"/>
  <c r="I327" i="16"/>
  <c r="J327" i="16"/>
  <c r="K327" i="16"/>
  <c r="L327" i="16"/>
  <c r="M327" i="16"/>
  <c r="N327" i="16"/>
  <c r="O327" i="16"/>
  <c r="P327" i="16"/>
  <c r="Q327" i="16"/>
  <c r="AL327" i="13"/>
  <c r="A328" i="16"/>
  <c r="AP327" i="13" l="1"/>
  <c r="AQ327" i="13"/>
  <c r="AR327" i="13"/>
  <c r="AV327" i="13" s="1"/>
  <c r="AS327" i="13"/>
  <c r="AT327" i="13"/>
  <c r="AU327" i="13"/>
  <c r="B328" i="16"/>
  <c r="AM328" i="13" s="1"/>
  <c r="C328" i="16"/>
  <c r="AN328" i="13" s="1"/>
  <c r="D328" i="16"/>
  <c r="AO328" i="13" s="1"/>
  <c r="E328" i="16"/>
  <c r="F328" i="16"/>
  <c r="G328" i="16"/>
  <c r="H328" i="16"/>
  <c r="I328" i="16"/>
  <c r="J328" i="16"/>
  <c r="K328" i="16"/>
  <c r="L328" i="16"/>
  <c r="M328" i="16"/>
  <c r="N328" i="16"/>
  <c r="O328" i="16"/>
  <c r="P328" i="16"/>
  <c r="Q328" i="16"/>
  <c r="AL328" i="13"/>
  <c r="A329" i="16"/>
  <c r="AP328" i="13" l="1"/>
  <c r="AQ328" i="13"/>
  <c r="AR328" i="13"/>
  <c r="AV328" i="13" s="1"/>
  <c r="AS328" i="13"/>
  <c r="AT328" i="13"/>
  <c r="AU328" i="13"/>
  <c r="A330" i="16"/>
  <c r="B329" i="16"/>
  <c r="AM329" i="13" s="1"/>
  <c r="C329" i="16"/>
  <c r="AN329" i="13" s="1"/>
  <c r="D329" i="16"/>
  <c r="AO329" i="13" s="1"/>
  <c r="E329" i="16"/>
  <c r="F329" i="16"/>
  <c r="G329" i="16"/>
  <c r="H329" i="16"/>
  <c r="I329" i="16"/>
  <c r="J329" i="16"/>
  <c r="K329" i="16"/>
  <c r="L329" i="16"/>
  <c r="M329" i="16"/>
  <c r="N329" i="16"/>
  <c r="O329" i="16"/>
  <c r="P329" i="16"/>
  <c r="Q329" i="16"/>
  <c r="AL329" i="13"/>
  <c r="B330" i="16" l="1"/>
  <c r="AM330" i="13" s="1"/>
  <c r="C330" i="16"/>
  <c r="AN330" i="13" s="1"/>
  <c r="D330" i="16"/>
  <c r="AO330" i="13" s="1"/>
  <c r="E330" i="16"/>
  <c r="F330" i="16"/>
  <c r="G330" i="16"/>
  <c r="H330" i="16"/>
  <c r="I330" i="16"/>
  <c r="J330" i="16"/>
  <c r="K330" i="16"/>
  <c r="L330" i="16"/>
  <c r="M330" i="16"/>
  <c r="N330" i="16"/>
  <c r="O330" i="16"/>
  <c r="P330" i="16"/>
  <c r="Q330" i="16"/>
  <c r="AL330" i="13"/>
  <c r="A331" i="16"/>
  <c r="AP329" i="13"/>
  <c r="AQ329" i="13"/>
  <c r="AR329" i="13"/>
  <c r="AV329" i="13" s="1"/>
  <c r="AS329" i="13"/>
  <c r="AT329" i="13"/>
  <c r="AU329" i="13"/>
  <c r="AP330" i="13" l="1"/>
  <c r="AQ330" i="13"/>
  <c r="AR330" i="13"/>
  <c r="AV330" i="13" s="1"/>
  <c r="AS330" i="13"/>
  <c r="AT330" i="13"/>
  <c r="AU330" i="13"/>
  <c r="B331" i="16"/>
  <c r="AM331" i="13" s="1"/>
  <c r="C331" i="16"/>
  <c r="AN331" i="13" s="1"/>
  <c r="D331" i="16"/>
  <c r="AO331" i="13" s="1"/>
  <c r="E331" i="16"/>
  <c r="F331" i="16"/>
  <c r="G331" i="16"/>
  <c r="H331" i="16"/>
  <c r="I331" i="16"/>
  <c r="J331" i="16"/>
  <c r="K331" i="16"/>
  <c r="L331" i="16"/>
  <c r="M331" i="16"/>
  <c r="N331" i="16"/>
  <c r="O331" i="16"/>
  <c r="P331" i="16"/>
  <c r="Q331" i="16"/>
  <c r="AL331" i="13"/>
  <c r="A332" i="16"/>
  <c r="AP331" i="13" l="1"/>
  <c r="AQ331" i="13"/>
  <c r="AR331" i="13"/>
  <c r="AV331" i="13" s="1"/>
  <c r="AS331" i="13"/>
  <c r="AT331" i="13"/>
  <c r="AU331" i="13"/>
  <c r="B332" i="16"/>
  <c r="AM332" i="13" s="1"/>
  <c r="C332" i="16"/>
  <c r="AN332" i="13" s="1"/>
  <c r="D332" i="16"/>
  <c r="AO332" i="13" s="1"/>
  <c r="E332" i="16"/>
  <c r="F332" i="16"/>
  <c r="G332" i="16"/>
  <c r="H332" i="16"/>
  <c r="I332" i="16"/>
  <c r="J332" i="16"/>
  <c r="K332" i="16"/>
  <c r="L332" i="16"/>
  <c r="M332" i="16"/>
  <c r="N332" i="16"/>
  <c r="O332" i="16"/>
  <c r="P332" i="16"/>
  <c r="Q332" i="16"/>
  <c r="AL332" i="13"/>
  <c r="A333" i="16"/>
  <c r="AP332" i="13" l="1"/>
  <c r="AQ332" i="13"/>
  <c r="AR332" i="13"/>
  <c r="AV332" i="13" s="1"/>
  <c r="AS332" i="13"/>
  <c r="AT332" i="13"/>
  <c r="AU332" i="13"/>
  <c r="B333" i="16"/>
  <c r="AM333" i="13" s="1"/>
  <c r="C333" i="16"/>
  <c r="AN333" i="13" s="1"/>
  <c r="D333" i="16"/>
  <c r="AO333" i="13" s="1"/>
  <c r="E333" i="16"/>
  <c r="F333" i="16"/>
  <c r="G333" i="16"/>
  <c r="H333" i="16"/>
  <c r="I333" i="16"/>
  <c r="J333" i="16"/>
  <c r="K333" i="16"/>
  <c r="L333" i="16"/>
  <c r="M333" i="16"/>
  <c r="N333" i="16"/>
  <c r="O333" i="16"/>
  <c r="P333" i="16"/>
  <c r="Q333" i="16"/>
  <c r="AL333" i="13"/>
  <c r="A334" i="16"/>
  <c r="AP333" i="13" l="1"/>
  <c r="AQ333" i="13"/>
  <c r="AR333" i="13"/>
  <c r="AV333" i="13" s="1"/>
  <c r="AS333" i="13"/>
  <c r="AT333" i="13"/>
  <c r="AU333" i="13"/>
  <c r="B334" i="16"/>
  <c r="AM334" i="13" s="1"/>
  <c r="C334" i="16"/>
  <c r="AN334" i="13" s="1"/>
  <c r="D334" i="16"/>
  <c r="AO334" i="13" s="1"/>
  <c r="E334" i="16"/>
  <c r="F334" i="16"/>
  <c r="G334" i="16"/>
  <c r="H334" i="16"/>
  <c r="I334" i="16"/>
  <c r="J334" i="16"/>
  <c r="K334" i="16"/>
  <c r="L334" i="16"/>
  <c r="M334" i="16"/>
  <c r="N334" i="16"/>
  <c r="O334" i="16"/>
  <c r="P334" i="16"/>
  <c r="Q334" i="16"/>
  <c r="AL334" i="13"/>
  <c r="A335" i="16"/>
  <c r="AP334" i="13" l="1"/>
  <c r="AQ334" i="13"/>
  <c r="AR334" i="13"/>
  <c r="AV334" i="13" s="1"/>
  <c r="AS334" i="13"/>
  <c r="AT334" i="13"/>
  <c r="AU334" i="13"/>
  <c r="A336" i="16"/>
  <c r="B335" i="16"/>
  <c r="AM335" i="13" s="1"/>
  <c r="C335" i="16"/>
  <c r="AN335" i="13" s="1"/>
  <c r="D335" i="16"/>
  <c r="AO335" i="13" s="1"/>
  <c r="E335" i="16"/>
  <c r="F335" i="16"/>
  <c r="G335" i="16"/>
  <c r="H335" i="16"/>
  <c r="I335" i="16"/>
  <c r="J335" i="16"/>
  <c r="K335" i="16"/>
  <c r="L335" i="16"/>
  <c r="M335" i="16"/>
  <c r="N335" i="16"/>
  <c r="O335" i="16"/>
  <c r="P335" i="16"/>
  <c r="Q335" i="16"/>
  <c r="AL335" i="13"/>
  <c r="B336" i="16" l="1"/>
  <c r="AM336" i="13" s="1"/>
  <c r="C336" i="16"/>
  <c r="AN336" i="13" s="1"/>
  <c r="D336" i="16"/>
  <c r="AO336" i="13" s="1"/>
  <c r="E336" i="16"/>
  <c r="F336" i="16"/>
  <c r="G336" i="16"/>
  <c r="H336" i="16"/>
  <c r="I336" i="16"/>
  <c r="J336" i="16"/>
  <c r="K336" i="16"/>
  <c r="L336" i="16"/>
  <c r="M336" i="16"/>
  <c r="N336" i="16"/>
  <c r="O336" i="16"/>
  <c r="P336" i="16"/>
  <c r="Q336" i="16"/>
  <c r="AL336" i="13"/>
  <c r="A337" i="16"/>
  <c r="AP335" i="13"/>
  <c r="AQ335" i="13"/>
  <c r="AR335" i="13"/>
  <c r="AV335" i="13" s="1"/>
  <c r="AS335" i="13"/>
  <c r="AT335" i="13"/>
  <c r="AU335" i="13"/>
  <c r="AP336" i="13" l="1"/>
  <c r="AQ336" i="13"/>
  <c r="AR336" i="13"/>
  <c r="AV336" i="13" s="1"/>
  <c r="AS336" i="13"/>
  <c r="AT336" i="13"/>
  <c r="AU336" i="13"/>
  <c r="A338" i="16"/>
  <c r="B337" i="16"/>
  <c r="AM337" i="13" s="1"/>
  <c r="C337" i="16"/>
  <c r="AN337" i="13" s="1"/>
  <c r="D337" i="16"/>
  <c r="AO337" i="13" s="1"/>
  <c r="E337" i="16"/>
  <c r="F337" i="16"/>
  <c r="G337" i="16"/>
  <c r="H337" i="16"/>
  <c r="I337" i="16"/>
  <c r="J337" i="16"/>
  <c r="K337" i="16"/>
  <c r="L337" i="16"/>
  <c r="M337" i="16"/>
  <c r="N337" i="16"/>
  <c r="O337" i="16"/>
  <c r="P337" i="16"/>
  <c r="Q337" i="16"/>
  <c r="AL337" i="13"/>
  <c r="B338" i="16" l="1"/>
  <c r="AM338" i="13" s="1"/>
  <c r="C338" i="16"/>
  <c r="AN338" i="13" s="1"/>
  <c r="D338" i="16"/>
  <c r="AO338" i="13" s="1"/>
  <c r="E338" i="16"/>
  <c r="F338" i="16"/>
  <c r="G338" i="16"/>
  <c r="H338" i="16"/>
  <c r="I338" i="16"/>
  <c r="J338" i="16"/>
  <c r="K338" i="16"/>
  <c r="L338" i="16"/>
  <c r="M338" i="16"/>
  <c r="N338" i="16"/>
  <c r="O338" i="16"/>
  <c r="P338" i="16"/>
  <c r="Q338" i="16"/>
  <c r="AL338" i="13"/>
  <c r="A339" i="16"/>
  <c r="AP337" i="13"/>
  <c r="AQ337" i="13"/>
  <c r="AR337" i="13"/>
  <c r="AV337" i="13" s="1"/>
  <c r="AS337" i="13"/>
  <c r="AT337" i="13"/>
  <c r="AU337" i="13"/>
  <c r="AP338" i="13" l="1"/>
  <c r="AQ338" i="13"/>
  <c r="AR338" i="13"/>
  <c r="AV338" i="13" s="1"/>
  <c r="AS338" i="13"/>
  <c r="AT338" i="13"/>
  <c r="AU338" i="13"/>
  <c r="A340" i="16"/>
  <c r="B339" i="16"/>
  <c r="AM339" i="13" s="1"/>
  <c r="C339" i="16"/>
  <c r="AN339" i="13" s="1"/>
  <c r="D339" i="16"/>
  <c r="AO339" i="13" s="1"/>
  <c r="E339" i="16"/>
  <c r="F339" i="16"/>
  <c r="G339" i="16"/>
  <c r="H339" i="16"/>
  <c r="I339" i="16"/>
  <c r="J339" i="16"/>
  <c r="K339" i="16"/>
  <c r="L339" i="16"/>
  <c r="M339" i="16"/>
  <c r="N339" i="16"/>
  <c r="O339" i="16"/>
  <c r="P339" i="16"/>
  <c r="Q339" i="16"/>
  <c r="AL339" i="13"/>
  <c r="B340" i="16" l="1"/>
  <c r="AM340" i="13" s="1"/>
  <c r="C340" i="16"/>
  <c r="AN340" i="13" s="1"/>
  <c r="D340" i="16"/>
  <c r="AO340" i="13" s="1"/>
  <c r="E340" i="16"/>
  <c r="F340" i="16"/>
  <c r="G340" i="16"/>
  <c r="H340" i="16"/>
  <c r="I340" i="16"/>
  <c r="J340" i="16"/>
  <c r="K340" i="16"/>
  <c r="L340" i="16"/>
  <c r="M340" i="16"/>
  <c r="N340" i="16"/>
  <c r="O340" i="16"/>
  <c r="P340" i="16"/>
  <c r="Q340" i="16"/>
  <c r="AL340" i="13"/>
  <c r="A341" i="16"/>
  <c r="AP339" i="13"/>
  <c r="AQ339" i="13"/>
  <c r="AR339" i="13"/>
  <c r="AV339" i="13" s="1"/>
  <c r="AS339" i="13"/>
  <c r="AT339" i="13"/>
  <c r="AU339" i="13"/>
  <c r="AP340" i="13" l="1"/>
  <c r="AQ340" i="13"/>
  <c r="AR340" i="13"/>
  <c r="AV340" i="13" s="1"/>
  <c r="AS340" i="13"/>
  <c r="AT340" i="13"/>
  <c r="AU340" i="13"/>
  <c r="B341" i="16"/>
  <c r="AM341" i="13" s="1"/>
  <c r="C341" i="16"/>
  <c r="AN341" i="13" s="1"/>
  <c r="D341" i="16"/>
  <c r="AO341" i="13" s="1"/>
  <c r="E341" i="16"/>
  <c r="F341" i="16"/>
  <c r="G341" i="16"/>
  <c r="H341" i="16"/>
  <c r="I341" i="16"/>
  <c r="J341" i="16"/>
  <c r="K341" i="16"/>
  <c r="L341" i="16"/>
  <c r="M341" i="16"/>
  <c r="N341" i="16"/>
  <c r="O341" i="16"/>
  <c r="P341" i="16"/>
  <c r="Q341" i="16"/>
  <c r="AL341" i="13"/>
  <c r="A342" i="16"/>
  <c r="AP341" i="13" l="1"/>
  <c r="AQ341" i="13"/>
  <c r="AR341" i="13"/>
  <c r="AV341" i="13" s="1"/>
  <c r="AS341" i="13"/>
  <c r="AT341" i="13"/>
  <c r="AU341" i="13"/>
  <c r="B342" i="16"/>
  <c r="AM342" i="13" s="1"/>
  <c r="C342" i="16"/>
  <c r="AN342" i="13" s="1"/>
  <c r="D342" i="16"/>
  <c r="AO342" i="13" s="1"/>
  <c r="E342" i="16"/>
  <c r="F342" i="16"/>
  <c r="G342" i="16"/>
  <c r="H342" i="16"/>
  <c r="I342" i="16"/>
  <c r="J342" i="16"/>
  <c r="K342" i="16"/>
  <c r="L342" i="16"/>
  <c r="M342" i="16"/>
  <c r="N342" i="16"/>
  <c r="O342" i="16"/>
  <c r="P342" i="16"/>
  <c r="Q342" i="16"/>
  <c r="AL342" i="13"/>
  <c r="A343" i="16"/>
  <c r="AP342" i="13" l="1"/>
  <c r="AQ342" i="13"/>
  <c r="AR342" i="13"/>
  <c r="AV342" i="13" s="1"/>
  <c r="AS342" i="13"/>
  <c r="AT342" i="13"/>
  <c r="AU342" i="13"/>
  <c r="B343" i="16"/>
  <c r="AM343" i="13" s="1"/>
  <c r="C343" i="16"/>
  <c r="AN343" i="13" s="1"/>
  <c r="D343" i="16"/>
  <c r="AO343" i="13" s="1"/>
  <c r="E343" i="16"/>
  <c r="F343" i="16"/>
  <c r="G343" i="16"/>
  <c r="H343" i="16"/>
  <c r="I343" i="16"/>
  <c r="J343" i="16"/>
  <c r="K343" i="16"/>
  <c r="L343" i="16"/>
  <c r="M343" i="16"/>
  <c r="N343" i="16"/>
  <c r="O343" i="16"/>
  <c r="P343" i="16"/>
  <c r="Q343" i="16"/>
  <c r="AL343" i="13"/>
  <c r="A344" i="16"/>
  <c r="AP343" i="13" l="1"/>
  <c r="AQ343" i="13"/>
  <c r="AR343" i="13"/>
  <c r="AV343" i="13" s="1"/>
  <c r="AS343" i="13"/>
  <c r="AT343" i="13"/>
  <c r="AU343" i="13"/>
  <c r="B344" i="16"/>
  <c r="AM344" i="13" s="1"/>
  <c r="C344" i="16"/>
  <c r="AN344" i="13" s="1"/>
  <c r="D344" i="16"/>
  <c r="AO344" i="13" s="1"/>
  <c r="E344" i="16"/>
  <c r="F344" i="16"/>
  <c r="G344" i="16"/>
  <c r="H344" i="16"/>
  <c r="I344" i="16"/>
  <c r="J344" i="16"/>
  <c r="K344" i="16"/>
  <c r="L344" i="16"/>
  <c r="M344" i="16"/>
  <c r="N344" i="16"/>
  <c r="O344" i="16"/>
  <c r="P344" i="16"/>
  <c r="Q344" i="16"/>
  <c r="AL344" i="13"/>
  <c r="A345" i="16"/>
  <c r="AP344" i="13" l="1"/>
  <c r="AQ344" i="13"/>
  <c r="AR344" i="13"/>
  <c r="AV344" i="13" s="1"/>
  <c r="AS344" i="13"/>
  <c r="AT344" i="13"/>
  <c r="AU344" i="13"/>
  <c r="B345" i="16"/>
  <c r="AM345" i="13" s="1"/>
  <c r="C345" i="16"/>
  <c r="AN345" i="13" s="1"/>
  <c r="D345" i="16"/>
  <c r="AO345" i="13" s="1"/>
  <c r="E345" i="16"/>
  <c r="F345" i="16"/>
  <c r="G345" i="16"/>
  <c r="H345" i="16"/>
  <c r="I345" i="16"/>
  <c r="J345" i="16"/>
  <c r="K345" i="16"/>
  <c r="L345" i="16"/>
  <c r="M345" i="16"/>
  <c r="N345" i="16"/>
  <c r="O345" i="16"/>
  <c r="P345" i="16"/>
  <c r="Q345" i="16"/>
  <c r="AL345" i="13"/>
  <c r="A346" i="16"/>
  <c r="AP345" i="13" l="1"/>
  <c r="AQ345" i="13"/>
  <c r="AR345" i="13"/>
  <c r="AV345" i="13" s="1"/>
  <c r="AS345" i="13"/>
  <c r="AT345" i="13"/>
  <c r="AU345" i="13"/>
  <c r="B346" i="16"/>
  <c r="AM346" i="13" s="1"/>
  <c r="C346" i="16"/>
  <c r="AN346" i="13" s="1"/>
  <c r="D346" i="16"/>
  <c r="AO346" i="13" s="1"/>
  <c r="E346" i="16"/>
  <c r="F346" i="16"/>
  <c r="G346" i="16"/>
  <c r="H346" i="16"/>
  <c r="I346" i="16"/>
  <c r="J346" i="16"/>
  <c r="K346" i="16"/>
  <c r="L346" i="16"/>
  <c r="M346" i="16"/>
  <c r="N346" i="16"/>
  <c r="O346" i="16"/>
  <c r="P346" i="16"/>
  <c r="Q346" i="16"/>
  <c r="AL346" i="13"/>
  <c r="A347" i="16"/>
  <c r="AP346" i="13" l="1"/>
  <c r="AQ346" i="13"/>
  <c r="AR346" i="13"/>
  <c r="AV346" i="13" s="1"/>
  <c r="AS346" i="13"/>
  <c r="AT346" i="13"/>
  <c r="AU346" i="13"/>
  <c r="B347" i="16"/>
  <c r="AM347" i="13" s="1"/>
  <c r="C347" i="16"/>
  <c r="AN347" i="13" s="1"/>
  <c r="D347" i="16"/>
  <c r="AO347" i="13" s="1"/>
  <c r="E347" i="16"/>
  <c r="F347" i="16"/>
  <c r="G347" i="16"/>
  <c r="H347" i="16"/>
  <c r="I347" i="16"/>
  <c r="J347" i="16"/>
  <c r="K347" i="16"/>
  <c r="L347" i="16"/>
  <c r="M347" i="16"/>
  <c r="N347" i="16"/>
  <c r="O347" i="16"/>
  <c r="P347" i="16"/>
  <c r="Q347" i="16"/>
  <c r="AL347" i="13"/>
  <c r="A348" i="16"/>
  <c r="AP347" i="13" l="1"/>
  <c r="AQ347" i="13"/>
  <c r="AR347" i="13"/>
  <c r="AV347" i="13" s="1"/>
  <c r="AS347" i="13"/>
  <c r="AT347" i="13"/>
  <c r="AU347" i="13"/>
  <c r="B348" i="16"/>
  <c r="AM348" i="13" s="1"/>
  <c r="C348" i="16"/>
  <c r="AN348" i="13" s="1"/>
  <c r="D348" i="16"/>
  <c r="AO348" i="13" s="1"/>
  <c r="E348" i="16"/>
  <c r="F348" i="16"/>
  <c r="G348" i="16"/>
  <c r="H348" i="16"/>
  <c r="I348" i="16"/>
  <c r="J348" i="16"/>
  <c r="K348" i="16"/>
  <c r="L348" i="16"/>
  <c r="M348" i="16"/>
  <c r="N348" i="16"/>
  <c r="O348" i="16"/>
  <c r="P348" i="16"/>
  <c r="Q348" i="16"/>
  <c r="AL348" i="13"/>
  <c r="A349" i="16"/>
  <c r="AP348" i="13" l="1"/>
  <c r="AQ348" i="13"/>
  <c r="AR348" i="13"/>
  <c r="AV348" i="13" s="1"/>
  <c r="AS348" i="13"/>
  <c r="AT348" i="13"/>
  <c r="AU348" i="13"/>
  <c r="A350" i="16"/>
  <c r="B349" i="16"/>
  <c r="AM349" i="13" s="1"/>
  <c r="C349" i="16"/>
  <c r="AN349" i="13" s="1"/>
  <c r="D349" i="16"/>
  <c r="AO349" i="13" s="1"/>
  <c r="E349" i="16"/>
  <c r="F349" i="16"/>
  <c r="G349" i="16"/>
  <c r="H349" i="16"/>
  <c r="I349" i="16"/>
  <c r="J349" i="16"/>
  <c r="K349" i="16"/>
  <c r="L349" i="16"/>
  <c r="M349" i="16"/>
  <c r="N349" i="16"/>
  <c r="O349" i="16"/>
  <c r="P349" i="16"/>
  <c r="Q349" i="16"/>
  <c r="AL349" i="13"/>
  <c r="B350" i="16" l="1"/>
  <c r="AM350" i="13" s="1"/>
  <c r="C350" i="16"/>
  <c r="AN350" i="13" s="1"/>
  <c r="D350" i="16"/>
  <c r="AO350" i="13" s="1"/>
  <c r="E350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AL350" i="13"/>
  <c r="A351" i="16"/>
  <c r="AP349" i="13"/>
  <c r="AQ349" i="13"/>
  <c r="AR349" i="13"/>
  <c r="AV349" i="13" s="1"/>
  <c r="AS349" i="13"/>
  <c r="AT349" i="13"/>
  <c r="AU349" i="13"/>
  <c r="AP350" i="13" l="1"/>
  <c r="AQ350" i="13"/>
  <c r="AR350" i="13"/>
  <c r="AV350" i="13" s="1"/>
  <c r="AS350" i="13"/>
  <c r="AT350" i="13"/>
  <c r="AU350" i="13"/>
  <c r="A352" i="16"/>
  <c r="B351" i="16"/>
  <c r="AM351" i="13" s="1"/>
  <c r="C351" i="16"/>
  <c r="AN351" i="13" s="1"/>
  <c r="D351" i="16"/>
  <c r="AO351" i="13" s="1"/>
  <c r="E351" i="16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AL351" i="13"/>
  <c r="B352" i="16" l="1"/>
  <c r="AM352" i="13" s="1"/>
  <c r="C352" i="16"/>
  <c r="AN352" i="13" s="1"/>
  <c r="D352" i="16"/>
  <c r="AO352" i="13" s="1"/>
  <c r="E352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AL352" i="13"/>
  <c r="A353" i="16"/>
  <c r="AP351" i="13"/>
  <c r="AQ351" i="13"/>
  <c r="AR351" i="13"/>
  <c r="AV351" i="13" s="1"/>
  <c r="AS351" i="13"/>
  <c r="AT351" i="13"/>
  <c r="AU351" i="13"/>
  <c r="AP352" i="13" l="1"/>
  <c r="AQ352" i="13"/>
  <c r="AR352" i="13"/>
  <c r="AV352" i="13" s="1"/>
  <c r="AS352" i="13"/>
  <c r="AT352" i="13"/>
  <c r="AU352" i="13"/>
  <c r="A354" i="16"/>
  <c r="B353" i="16"/>
  <c r="AM353" i="13" s="1"/>
  <c r="C353" i="16"/>
  <c r="AN353" i="13" s="1"/>
  <c r="D353" i="16"/>
  <c r="AO353" i="13" s="1"/>
  <c r="E353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AL353" i="13"/>
  <c r="B354" i="16" l="1"/>
  <c r="AM354" i="13" s="1"/>
  <c r="C354" i="16"/>
  <c r="AN354" i="13" s="1"/>
  <c r="D354" i="16"/>
  <c r="AO354" i="13" s="1"/>
  <c r="E354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AL354" i="13"/>
  <c r="A355" i="16"/>
  <c r="AP353" i="13"/>
  <c r="AQ353" i="13"/>
  <c r="AR353" i="13"/>
  <c r="AV353" i="13" s="1"/>
  <c r="AS353" i="13"/>
  <c r="AT353" i="13"/>
  <c r="AU353" i="13"/>
  <c r="AP354" i="13" l="1"/>
  <c r="AQ354" i="13"/>
  <c r="AR354" i="13"/>
  <c r="AV354" i="13" s="1"/>
  <c r="AS354" i="13"/>
  <c r="AT354" i="13"/>
  <c r="AU354" i="13"/>
  <c r="A356" i="16"/>
  <c r="B355" i="16"/>
  <c r="AM355" i="13" s="1"/>
  <c r="C355" i="16"/>
  <c r="AN355" i="13" s="1"/>
  <c r="D355" i="16"/>
  <c r="AO355" i="13" s="1"/>
  <c r="E355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AL355" i="13"/>
  <c r="B356" i="16" l="1"/>
  <c r="AM356" i="13" s="1"/>
  <c r="C356" i="16"/>
  <c r="AN356" i="13" s="1"/>
  <c r="D356" i="16"/>
  <c r="AO356" i="13" s="1"/>
  <c r="E356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AL356" i="13"/>
  <c r="A357" i="16"/>
  <c r="AP355" i="13"/>
  <c r="AQ355" i="13"/>
  <c r="AR355" i="13"/>
  <c r="AV355" i="13" s="1"/>
  <c r="AS355" i="13"/>
  <c r="AT355" i="13"/>
  <c r="AU355" i="13"/>
  <c r="AP356" i="13" l="1"/>
  <c r="AQ356" i="13"/>
  <c r="AR356" i="13"/>
  <c r="AV356" i="13" s="1"/>
  <c r="AS356" i="13"/>
  <c r="AT356" i="13"/>
  <c r="AU356" i="13"/>
  <c r="B357" i="16"/>
  <c r="AM357" i="13" s="1"/>
  <c r="C357" i="16"/>
  <c r="AN357" i="13" s="1"/>
  <c r="D357" i="16"/>
  <c r="AO357" i="13" s="1"/>
  <c r="E357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AL357" i="13"/>
  <c r="A358" i="16"/>
  <c r="AP357" i="13" l="1"/>
  <c r="AQ357" i="13"/>
  <c r="AR357" i="13"/>
  <c r="AV357" i="13" s="1"/>
  <c r="AS357" i="13"/>
  <c r="AT357" i="13"/>
  <c r="AU357" i="13"/>
  <c r="B358" i="16"/>
  <c r="AM358" i="13" s="1"/>
  <c r="C358" i="16"/>
  <c r="AN358" i="13" s="1"/>
  <c r="D358" i="16"/>
  <c r="AO358" i="13" s="1"/>
  <c r="E358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AL358" i="13"/>
  <c r="A359" i="16"/>
  <c r="AP358" i="13" l="1"/>
  <c r="AQ358" i="13"/>
  <c r="AR358" i="13"/>
  <c r="AV358" i="13" s="1"/>
  <c r="AS358" i="13"/>
  <c r="AT358" i="13"/>
  <c r="AU358" i="13"/>
  <c r="B359" i="16"/>
  <c r="AM359" i="13" s="1"/>
  <c r="C359" i="16"/>
  <c r="AN359" i="13" s="1"/>
  <c r="D359" i="16"/>
  <c r="AO359" i="13" s="1"/>
  <c r="E359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AL359" i="13"/>
  <c r="A360" i="16"/>
  <c r="AP359" i="13" l="1"/>
  <c r="AQ359" i="13"/>
  <c r="AR359" i="13"/>
  <c r="AV359" i="13" s="1"/>
  <c r="AS359" i="13"/>
  <c r="AT359" i="13"/>
  <c r="AU359" i="13"/>
  <c r="B360" i="16"/>
  <c r="AM360" i="13" s="1"/>
  <c r="C360" i="16"/>
  <c r="AN360" i="13" s="1"/>
  <c r="D360" i="16"/>
  <c r="AO360" i="13" s="1"/>
  <c r="E360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AL360" i="13"/>
  <c r="A361" i="16"/>
  <c r="AP360" i="13" l="1"/>
  <c r="AQ360" i="13"/>
  <c r="AR360" i="13"/>
  <c r="AV360" i="13" s="1"/>
  <c r="AS360" i="13"/>
  <c r="AT360" i="13"/>
  <c r="AU360" i="13"/>
  <c r="A362" i="16"/>
  <c r="B361" i="16"/>
  <c r="AM361" i="13" s="1"/>
  <c r="C361" i="16"/>
  <c r="AN361" i="13" s="1"/>
  <c r="D361" i="16"/>
  <c r="AO361" i="13" s="1"/>
  <c r="E361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AL361" i="13"/>
  <c r="B362" i="16" l="1"/>
  <c r="AM362" i="13" s="1"/>
  <c r="C362" i="16"/>
  <c r="AN362" i="13" s="1"/>
  <c r="D362" i="16"/>
  <c r="AO362" i="13" s="1"/>
  <c r="E362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AL362" i="13"/>
  <c r="A363" i="16"/>
  <c r="AP361" i="13"/>
  <c r="AQ361" i="13"/>
  <c r="AR361" i="13"/>
  <c r="AV361" i="13" s="1"/>
  <c r="AS361" i="13"/>
  <c r="AT361" i="13"/>
  <c r="AU361" i="13"/>
  <c r="AP362" i="13" l="1"/>
  <c r="AQ362" i="13"/>
  <c r="AR362" i="13"/>
  <c r="AV362" i="13" s="1"/>
  <c r="AS362" i="13"/>
  <c r="AT362" i="13"/>
  <c r="AU362" i="13"/>
  <c r="B363" i="16"/>
  <c r="AM363" i="13" s="1"/>
  <c r="C363" i="16"/>
  <c r="AN363" i="13" s="1"/>
  <c r="D363" i="16"/>
  <c r="AO363" i="13" s="1"/>
  <c r="E363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AL363" i="13"/>
  <c r="A364" i="16"/>
  <c r="AP363" i="13" l="1"/>
  <c r="AQ363" i="13"/>
  <c r="AR363" i="13"/>
  <c r="AV363" i="13" s="1"/>
  <c r="AS363" i="13"/>
  <c r="AT363" i="13"/>
  <c r="AU363" i="13"/>
  <c r="B364" i="16"/>
  <c r="AM364" i="13" s="1"/>
  <c r="C364" i="16"/>
  <c r="AN364" i="13" s="1"/>
  <c r="D364" i="16"/>
  <c r="AO364" i="13" s="1"/>
  <c r="E364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AL364" i="13"/>
  <c r="A365" i="16"/>
  <c r="AP364" i="13" l="1"/>
  <c r="AQ364" i="13"/>
  <c r="AR364" i="13"/>
  <c r="AV364" i="13" s="1"/>
  <c r="AS364" i="13"/>
  <c r="AT364" i="13"/>
  <c r="AU364" i="13"/>
  <c r="A366" i="16"/>
  <c r="B365" i="16"/>
  <c r="AM365" i="13" s="1"/>
  <c r="C365" i="16"/>
  <c r="AN365" i="13" s="1"/>
  <c r="D365" i="16"/>
  <c r="AO365" i="13" s="1"/>
  <c r="E365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AL365" i="13"/>
  <c r="B366" i="16" l="1"/>
  <c r="AM366" i="13" s="1"/>
  <c r="C366" i="16"/>
  <c r="AN366" i="13" s="1"/>
  <c r="D366" i="16"/>
  <c r="AO366" i="13" s="1"/>
  <c r="E366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AL366" i="13"/>
  <c r="A367" i="16"/>
  <c r="AP365" i="13"/>
  <c r="AQ365" i="13"/>
  <c r="AR365" i="13"/>
  <c r="AV365" i="13" s="1"/>
  <c r="AS365" i="13"/>
  <c r="AT365" i="13"/>
  <c r="AU365" i="13"/>
  <c r="AP366" i="13" l="1"/>
  <c r="AQ366" i="13"/>
  <c r="AR366" i="13"/>
  <c r="AV366" i="13" s="1"/>
  <c r="AS366" i="13"/>
  <c r="AT366" i="13"/>
  <c r="AU366" i="13"/>
  <c r="A368" i="16"/>
  <c r="B367" i="16"/>
  <c r="AM367" i="13" s="1"/>
  <c r="C367" i="16"/>
  <c r="AN367" i="13" s="1"/>
  <c r="D367" i="16"/>
  <c r="AO367" i="13" s="1"/>
  <c r="E367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AL367" i="13"/>
  <c r="B368" i="16" l="1"/>
  <c r="AM368" i="13" s="1"/>
  <c r="C368" i="16"/>
  <c r="AN368" i="13" s="1"/>
  <c r="D368" i="16"/>
  <c r="AO368" i="13" s="1"/>
  <c r="E368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AL368" i="13"/>
  <c r="A369" i="16"/>
  <c r="AP367" i="13"/>
  <c r="AQ367" i="13"/>
  <c r="AR367" i="13"/>
  <c r="AV367" i="13" s="1"/>
  <c r="AS367" i="13"/>
  <c r="AT367" i="13"/>
  <c r="AU367" i="13"/>
  <c r="AP368" i="13" l="1"/>
  <c r="AQ368" i="13"/>
  <c r="AR368" i="13"/>
  <c r="AV368" i="13" s="1"/>
  <c r="AS368" i="13"/>
  <c r="AT368" i="13"/>
  <c r="AU368" i="13"/>
  <c r="A370" i="16"/>
  <c r="B369" i="16"/>
  <c r="AM369" i="13" s="1"/>
  <c r="C369" i="16"/>
  <c r="AN369" i="13" s="1"/>
  <c r="D369" i="16"/>
  <c r="AO369" i="13" s="1"/>
  <c r="E369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AL369" i="13"/>
  <c r="B370" i="16" l="1"/>
  <c r="AM370" i="13" s="1"/>
  <c r="C370" i="16"/>
  <c r="AN370" i="13" s="1"/>
  <c r="D370" i="16"/>
  <c r="AO370" i="13" s="1"/>
  <c r="E370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AL370" i="13"/>
  <c r="A371" i="16"/>
  <c r="AP369" i="13"/>
  <c r="AQ369" i="13"/>
  <c r="AR369" i="13"/>
  <c r="AV369" i="13" s="1"/>
  <c r="AS369" i="13"/>
  <c r="AT369" i="13"/>
  <c r="AU369" i="13"/>
  <c r="AP370" i="13" l="1"/>
  <c r="AQ370" i="13"/>
  <c r="AR370" i="13"/>
  <c r="AV370" i="13" s="1"/>
  <c r="AS370" i="13"/>
  <c r="AT370" i="13"/>
  <c r="AU370" i="13"/>
  <c r="A372" i="16"/>
  <c r="B371" i="16"/>
  <c r="AM371" i="13" s="1"/>
  <c r="C371" i="16"/>
  <c r="AN371" i="13" s="1"/>
  <c r="D371" i="16"/>
  <c r="AO371" i="13" s="1"/>
  <c r="E371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AL371" i="13"/>
  <c r="B372" i="16" l="1"/>
  <c r="AM372" i="13" s="1"/>
  <c r="C372" i="16"/>
  <c r="AN372" i="13" s="1"/>
  <c r="D372" i="16"/>
  <c r="AO372" i="13" s="1"/>
  <c r="E372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AL372" i="13"/>
  <c r="A373" i="16"/>
  <c r="AP371" i="13"/>
  <c r="AQ371" i="13"/>
  <c r="AR371" i="13"/>
  <c r="AV371" i="13" s="1"/>
  <c r="AS371" i="13"/>
  <c r="AT371" i="13"/>
  <c r="AU371" i="13"/>
  <c r="AP372" i="13" l="1"/>
  <c r="AQ372" i="13"/>
  <c r="AR372" i="13"/>
  <c r="AV372" i="13" s="1"/>
  <c r="AS372" i="13"/>
  <c r="AT372" i="13"/>
  <c r="AU372" i="13"/>
  <c r="A374" i="16"/>
  <c r="B373" i="16"/>
  <c r="AM373" i="13" s="1"/>
  <c r="C373" i="16"/>
  <c r="AN373" i="13" s="1"/>
  <c r="D373" i="16"/>
  <c r="AO373" i="13" s="1"/>
  <c r="E373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AL373" i="13"/>
  <c r="B374" i="16" l="1"/>
  <c r="AM374" i="13" s="1"/>
  <c r="C374" i="16"/>
  <c r="AN374" i="13" s="1"/>
  <c r="D374" i="16"/>
  <c r="AO374" i="13" s="1"/>
  <c r="E374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AL374" i="13"/>
  <c r="A375" i="16"/>
  <c r="AP373" i="13"/>
  <c r="AQ373" i="13"/>
  <c r="AR373" i="13"/>
  <c r="AV373" i="13" s="1"/>
  <c r="AS373" i="13"/>
  <c r="AT373" i="13"/>
  <c r="AU373" i="13"/>
  <c r="AP374" i="13" l="1"/>
  <c r="AQ374" i="13"/>
  <c r="AR374" i="13"/>
  <c r="AV374" i="13" s="1"/>
  <c r="AS374" i="13"/>
  <c r="AT374" i="13"/>
  <c r="AU374" i="13"/>
  <c r="B375" i="16"/>
  <c r="AM375" i="13" s="1"/>
  <c r="C375" i="16"/>
  <c r="AN375" i="13" s="1"/>
  <c r="D375" i="16"/>
  <c r="AO375" i="13" s="1"/>
  <c r="E375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AL375" i="13"/>
  <c r="A376" i="16"/>
  <c r="AP375" i="13" l="1"/>
  <c r="AQ375" i="13"/>
  <c r="AR375" i="13"/>
  <c r="AV375" i="13" s="1"/>
  <c r="AS375" i="13"/>
  <c r="AT375" i="13"/>
  <c r="AU375" i="13"/>
  <c r="B376" i="16"/>
  <c r="AM376" i="13" s="1"/>
  <c r="C376" i="16"/>
  <c r="AN376" i="13" s="1"/>
  <c r="D376" i="16"/>
  <c r="AO376" i="13" s="1"/>
  <c r="E376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AL376" i="13"/>
  <c r="A377" i="16"/>
  <c r="AP376" i="13" l="1"/>
  <c r="AQ376" i="13"/>
  <c r="AR376" i="13"/>
  <c r="AV376" i="13" s="1"/>
  <c r="AS376" i="13"/>
  <c r="AT376" i="13"/>
  <c r="AU376" i="13"/>
  <c r="A378" i="16"/>
  <c r="B377" i="16"/>
  <c r="AM377" i="13" s="1"/>
  <c r="C377" i="16"/>
  <c r="AN377" i="13" s="1"/>
  <c r="D377" i="16"/>
  <c r="AO377" i="13" s="1"/>
  <c r="E377" i="16"/>
  <c r="F377" i="16"/>
  <c r="G377" i="16"/>
  <c r="H377" i="16"/>
  <c r="I377" i="16"/>
  <c r="J377" i="16"/>
  <c r="K377" i="16"/>
  <c r="L377" i="16"/>
  <c r="M377" i="16"/>
  <c r="N377" i="16"/>
  <c r="O377" i="16"/>
  <c r="P377" i="16"/>
  <c r="Q377" i="16"/>
  <c r="AL377" i="13"/>
  <c r="B378" i="16" l="1"/>
  <c r="AM378" i="13" s="1"/>
  <c r="C378" i="16"/>
  <c r="AN378" i="13" s="1"/>
  <c r="D378" i="16"/>
  <c r="AO378" i="13" s="1"/>
  <c r="E378" i="16"/>
  <c r="F378" i="16"/>
  <c r="G378" i="16"/>
  <c r="H378" i="16"/>
  <c r="I378" i="16"/>
  <c r="J378" i="16"/>
  <c r="K378" i="16"/>
  <c r="L378" i="16"/>
  <c r="M378" i="16"/>
  <c r="N378" i="16"/>
  <c r="O378" i="16"/>
  <c r="P378" i="16"/>
  <c r="Q378" i="16"/>
  <c r="AL378" i="13"/>
  <c r="A379" i="16"/>
  <c r="AP377" i="13"/>
  <c r="AQ377" i="13"/>
  <c r="AR377" i="13"/>
  <c r="AV377" i="13" s="1"/>
  <c r="AS377" i="13"/>
  <c r="AT377" i="13"/>
  <c r="AU377" i="13"/>
  <c r="AP378" i="13" l="1"/>
  <c r="AQ378" i="13"/>
  <c r="AR378" i="13"/>
  <c r="AV378" i="13" s="1"/>
  <c r="AS378" i="13"/>
  <c r="AT378" i="13"/>
  <c r="AU378" i="13"/>
  <c r="A380" i="16"/>
  <c r="B379" i="16"/>
  <c r="AM379" i="13" s="1"/>
  <c r="C379" i="16"/>
  <c r="AN379" i="13" s="1"/>
  <c r="D379" i="16"/>
  <c r="AO379" i="13" s="1"/>
  <c r="E379" i="16"/>
  <c r="F379" i="16"/>
  <c r="G379" i="16"/>
  <c r="H379" i="16"/>
  <c r="I379" i="16"/>
  <c r="J379" i="16"/>
  <c r="K379" i="16"/>
  <c r="L379" i="16"/>
  <c r="M379" i="16"/>
  <c r="N379" i="16"/>
  <c r="O379" i="16"/>
  <c r="P379" i="16"/>
  <c r="Q379" i="16"/>
  <c r="AL379" i="13"/>
  <c r="B380" i="16" l="1"/>
  <c r="AM380" i="13" s="1"/>
  <c r="C380" i="16"/>
  <c r="AN380" i="13" s="1"/>
  <c r="D380" i="16"/>
  <c r="AO380" i="13" s="1"/>
  <c r="E380" i="16"/>
  <c r="F380" i="16"/>
  <c r="G380" i="16"/>
  <c r="H380" i="16"/>
  <c r="I380" i="16"/>
  <c r="J380" i="16"/>
  <c r="K380" i="16"/>
  <c r="L380" i="16"/>
  <c r="M380" i="16"/>
  <c r="N380" i="16"/>
  <c r="O380" i="16"/>
  <c r="P380" i="16"/>
  <c r="Q380" i="16"/>
  <c r="AL380" i="13"/>
  <c r="A381" i="16"/>
  <c r="AP379" i="13"/>
  <c r="AQ379" i="13"/>
  <c r="AR379" i="13"/>
  <c r="AV379" i="13" s="1"/>
  <c r="AS379" i="13"/>
  <c r="AT379" i="13"/>
  <c r="AU379" i="13"/>
  <c r="AP380" i="13" l="1"/>
  <c r="AQ380" i="13"/>
  <c r="AR380" i="13"/>
  <c r="AV380" i="13" s="1"/>
  <c r="AS380" i="13"/>
  <c r="AT380" i="13"/>
  <c r="AU380" i="13"/>
  <c r="B381" i="16"/>
  <c r="AM381" i="13" s="1"/>
  <c r="C381" i="16"/>
  <c r="AN381" i="13" s="1"/>
  <c r="D381" i="16"/>
  <c r="AO381" i="13" s="1"/>
  <c r="E381" i="16"/>
  <c r="F381" i="16"/>
  <c r="G381" i="16"/>
  <c r="H381" i="16"/>
  <c r="I381" i="16"/>
  <c r="J381" i="16"/>
  <c r="K381" i="16"/>
  <c r="L381" i="16"/>
  <c r="M381" i="16"/>
  <c r="N381" i="16"/>
  <c r="O381" i="16"/>
  <c r="P381" i="16"/>
  <c r="Q381" i="16"/>
  <c r="AL381" i="13"/>
  <c r="A382" i="16"/>
  <c r="AP381" i="13" l="1"/>
  <c r="AQ381" i="13"/>
  <c r="AR381" i="13"/>
  <c r="AV381" i="13" s="1"/>
  <c r="AS381" i="13"/>
  <c r="AT381" i="13"/>
  <c r="AU381" i="13"/>
  <c r="B382" i="16"/>
  <c r="AM382" i="13" s="1"/>
  <c r="C382" i="16"/>
  <c r="AN382" i="13" s="1"/>
  <c r="D382" i="16"/>
  <c r="AO382" i="13" s="1"/>
  <c r="E382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AL382" i="13"/>
  <c r="A383" i="16"/>
  <c r="AP382" i="13" l="1"/>
  <c r="AQ382" i="13"/>
  <c r="AR382" i="13"/>
  <c r="AV382" i="13" s="1"/>
  <c r="AS382" i="13"/>
  <c r="AT382" i="13"/>
  <c r="AU382" i="13"/>
  <c r="B383" i="16"/>
  <c r="AM383" i="13" s="1"/>
  <c r="C383" i="16"/>
  <c r="AN383" i="13" s="1"/>
  <c r="D383" i="16"/>
  <c r="AO383" i="13" s="1"/>
  <c r="E383" i="16"/>
  <c r="F383" i="16"/>
  <c r="G383" i="16"/>
  <c r="H383" i="16"/>
  <c r="I383" i="16"/>
  <c r="J383" i="16"/>
  <c r="K383" i="16"/>
  <c r="L383" i="16"/>
  <c r="M383" i="16"/>
  <c r="N383" i="16"/>
  <c r="O383" i="16"/>
  <c r="P383" i="16"/>
  <c r="Q383" i="16"/>
  <c r="AL383" i="13"/>
  <c r="A384" i="16"/>
  <c r="AP383" i="13" l="1"/>
  <c r="AQ383" i="13"/>
  <c r="AR383" i="13"/>
  <c r="AV383" i="13" s="1"/>
  <c r="AS383" i="13"/>
  <c r="AT383" i="13"/>
  <c r="AU383" i="13"/>
  <c r="B384" i="16"/>
  <c r="AM384" i="13" s="1"/>
  <c r="C384" i="16"/>
  <c r="AN384" i="13" s="1"/>
  <c r="D384" i="16"/>
  <c r="AO384" i="13" s="1"/>
  <c r="E384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AL384" i="13"/>
  <c r="A385" i="16"/>
  <c r="AP384" i="13" l="1"/>
  <c r="AQ384" i="13"/>
  <c r="AR384" i="13"/>
  <c r="AV384" i="13" s="1"/>
  <c r="AS384" i="13"/>
  <c r="AT384" i="13"/>
  <c r="AU384" i="13"/>
  <c r="B385" i="16"/>
  <c r="AM385" i="13" s="1"/>
  <c r="C385" i="16"/>
  <c r="AN385" i="13" s="1"/>
  <c r="D385" i="16"/>
  <c r="AO385" i="13" s="1"/>
  <c r="E385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AL385" i="13"/>
  <c r="A386" i="16"/>
  <c r="AP385" i="13" l="1"/>
  <c r="AQ385" i="13"/>
  <c r="AR385" i="13"/>
  <c r="AV385" i="13" s="1"/>
  <c r="AS385" i="13"/>
  <c r="AT385" i="13"/>
  <c r="AU385" i="13"/>
  <c r="B386" i="16"/>
  <c r="AM386" i="13" s="1"/>
  <c r="C386" i="16"/>
  <c r="AN386" i="13" s="1"/>
  <c r="D386" i="16"/>
  <c r="AO386" i="13" s="1"/>
  <c r="E386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AL386" i="13"/>
  <c r="A387" i="16"/>
  <c r="AP386" i="13" l="1"/>
  <c r="AQ386" i="13"/>
  <c r="AR386" i="13"/>
  <c r="AV386" i="13" s="1"/>
  <c r="AS386" i="13"/>
  <c r="AT386" i="13"/>
  <c r="AU386" i="13"/>
  <c r="A388" i="16"/>
  <c r="B387" i="16"/>
  <c r="AM387" i="13" s="1"/>
  <c r="C387" i="16"/>
  <c r="AN387" i="13" s="1"/>
  <c r="D387" i="16"/>
  <c r="AO387" i="13" s="1"/>
  <c r="E387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AL387" i="13"/>
  <c r="B388" i="16" l="1"/>
  <c r="AM388" i="13" s="1"/>
  <c r="C388" i="16"/>
  <c r="AN388" i="13" s="1"/>
  <c r="D388" i="16"/>
  <c r="AO388" i="13" s="1"/>
  <c r="E388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AL388" i="13"/>
  <c r="A389" i="16"/>
  <c r="AP387" i="13"/>
  <c r="AQ387" i="13"/>
  <c r="AR387" i="13"/>
  <c r="AV387" i="13" s="1"/>
  <c r="AS387" i="13"/>
  <c r="AT387" i="13"/>
  <c r="AU387" i="13"/>
  <c r="AP388" i="13" l="1"/>
  <c r="AQ388" i="13"/>
  <c r="AR388" i="13"/>
  <c r="AV388" i="13" s="1"/>
  <c r="AS388" i="13"/>
  <c r="AT388" i="13"/>
  <c r="AU388" i="13"/>
  <c r="B389" i="16"/>
  <c r="AM389" i="13" s="1"/>
  <c r="C389" i="16"/>
  <c r="AN389" i="13" s="1"/>
  <c r="D389" i="16"/>
  <c r="AO389" i="13" s="1"/>
  <c r="E389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AL389" i="13"/>
  <c r="A390" i="16"/>
  <c r="AP389" i="13" l="1"/>
  <c r="AQ389" i="13"/>
  <c r="AR389" i="13"/>
  <c r="AV389" i="13" s="1"/>
  <c r="AS389" i="13"/>
  <c r="AT389" i="13"/>
  <c r="AU389" i="13"/>
  <c r="A391" i="16"/>
  <c r="B390" i="16"/>
  <c r="AM390" i="13" s="1"/>
  <c r="C390" i="16"/>
  <c r="AN390" i="13" s="1"/>
  <c r="D390" i="16"/>
  <c r="AO390" i="13" s="1"/>
  <c r="E390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AL390" i="13"/>
  <c r="B391" i="16" l="1"/>
  <c r="AM391" i="13" s="1"/>
  <c r="C391" i="16"/>
  <c r="AN391" i="13" s="1"/>
  <c r="D391" i="16"/>
  <c r="AO391" i="13" s="1"/>
  <c r="E391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AL391" i="13"/>
  <c r="A392" i="16"/>
  <c r="AP390" i="13"/>
  <c r="AQ390" i="13"/>
  <c r="AR390" i="13"/>
  <c r="AV390" i="13" s="1"/>
  <c r="AS390" i="13"/>
  <c r="AT390" i="13"/>
  <c r="AU390" i="13"/>
  <c r="AP391" i="13" l="1"/>
  <c r="AQ391" i="13"/>
  <c r="AR391" i="13"/>
  <c r="AV391" i="13" s="1"/>
  <c r="AS391" i="13"/>
  <c r="AT391" i="13"/>
  <c r="AU391" i="13"/>
  <c r="B392" i="16"/>
  <c r="AM392" i="13" s="1"/>
  <c r="C392" i="16"/>
  <c r="AN392" i="13" s="1"/>
  <c r="D392" i="16"/>
  <c r="AO392" i="13" s="1"/>
  <c r="E392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AL392" i="13"/>
  <c r="A393" i="16"/>
  <c r="AP392" i="13" l="1"/>
  <c r="AQ392" i="13"/>
  <c r="AR392" i="13"/>
  <c r="AV392" i="13" s="1"/>
  <c r="AS392" i="13"/>
  <c r="AT392" i="13"/>
  <c r="AU392" i="13"/>
  <c r="A394" i="16"/>
  <c r="B393" i="16"/>
  <c r="AM393" i="13" s="1"/>
  <c r="C393" i="16"/>
  <c r="AN393" i="13" s="1"/>
  <c r="D393" i="16"/>
  <c r="AO393" i="13" s="1"/>
  <c r="E393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AL393" i="13"/>
  <c r="B394" i="16" l="1"/>
  <c r="AM394" i="13" s="1"/>
  <c r="C394" i="16"/>
  <c r="AN394" i="13" s="1"/>
  <c r="D394" i="16"/>
  <c r="AO394" i="13" s="1"/>
  <c r="E394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AL394" i="13"/>
  <c r="A395" i="16"/>
  <c r="AP393" i="13"/>
  <c r="AQ393" i="13"/>
  <c r="AR393" i="13"/>
  <c r="AV393" i="13" s="1"/>
  <c r="AS393" i="13"/>
  <c r="AT393" i="13"/>
  <c r="AU393" i="13"/>
  <c r="AP394" i="13" l="1"/>
  <c r="AQ394" i="13"/>
  <c r="AR394" i="13"/>
  <c r="AV394" i="13" s="1"/>
  <c r="AS394" i="13"/>
  <c r="AT394" i="13"/>
  <c r="AU394" i="13"/>
  <c r="B395" i="16"/>
  <c r="AM395" i="13" s="1"/>
  <c r="C395" i="16"/>
  <c r="AN395" i="13" s="1"/>
  <c r="D395" i="16"/>
  <c r="AO395" i="13" s="1"/>
  <c r="E395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AL395" i="13"/>
  <c r="A396" i="16"/>
  <c r="AP395" i="13" l="1"/>
  <c r="AQ395" i="13"/>
  <c r="AR395" i="13"/>
  <c r="AV395" i="13" s="1"/>
  <c r="AS395" i="13"/>
  <c r="AT395" i="13"/>
  <c r="AU395" i="13"/>
  <c r="B396" i="16"/>
  <c r="AM396" i="13" s="1"/>
  <c r="C396" i="16"/>
  <c r="AN396" i="13" s="1"/>
  <c r="D396" i="16"/>
  <c r="AO396" i="13" s="1"/>
  <c r="E396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AL396" i="13"/>
  <c r="A397" i="16"/>
  <c r="AP396" i="13" l="1"/>
  <c r="AQ396" i="13"/>
  <c r="AR396" i="13"/>
  <c r="AV396" i="13" s="1"/>
  <c r="AS396" i="13"/>
  <c r="AT396" i="13"/>
  <c r="AU396" i="13"/>
  <c r="A398" i="16"/>
  <c r="B397" i="16"/>
  <c r="AM397" i="13" s="1"/>
  <c r="C397" i="16"/>
  <c r="AN397" i="13" s="1"/>
  <c r="D397" i="16"/>
  <c r="AO397" i="13" s="1"/>
  <c r="E397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AL397" i="13"/>
  <c r="B398" i="16" l="1"/>
  <c r="AM398" i="13" s="1"/>
  <c r="C398" i="16"/>
  <c r="AN398" i="13" s="1"/>
  <c r="D398" i="16"/>
  <c r="AO398" i="13" s="1"/>
  <c r="E398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AL398" i="13"/>
  <c r="A399" i="16"/>
  <c r="AP397" i="13"/>
  <c r="AQ397" i="13"/>
  <c r="AR397" i="13"/>
  <c r="AV397" i="13" s="1"/>
  <c r="AS397" i="13"/>
  <c r="AT397" i="13"/>
  <c r="AU397" i="13"/>
  <c r="AP398" i="13" l="1"/>
  <c r="AQ398" i="13"/>
  <c r="AR398" i="13"/>
  <c r="AV398" i="13" s="1"/>
  <c r="AS398" i="13"/>
  <c r="AT398" i="13"/>
  <c r="AU398" i="13"/>
  <c r="B399" i="16"/>
  <c r="AM399" i="13" s="1"/>
  <c r="C399" i="16"/>
  <c r="AN399" i="13" s="1"/>
  <c r="D399" i="16"/>
  <c r="AO399" i="13" s="1"/>
  <c r="E399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AL399" i="13"/>
  <c r="A400" i="16"/>
  <c r="AP399" i="13" l="1"/>
  <c r="AQ399" i="13"/>
  <c r="AR399" i="13"/>
  <c r="AV399" i="13" s="1"/>
  <c r="AS399" i="13"/>
  <c r="AT399" i="13"/>
  <c r="AU399" i="13"/>
  <c r="A401" i="16"/>
  <c r="B400" i="16"/>
  <c r="AM400" i="13" s="1"/>
  <c r="C400" i="16"/>
  <c r="AN400" i="13" s="1"/>
  <c r="D400" i="16"/>
  <c r="AO400" i="13" s="1"/>
  <c r="E400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AL400" i="13"/>
  <c r="B401" i="16" l="1"/>
  <c r="AM401" i="13" s="1"/>
  <c r="C401" i="16"/>
  <c r="AN401" i="13" s="1"/>
  <c r="D401" i="16"/>
  <c r="AO401" i="13" s="1"/>
  <c r="E401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AL401" i="13"/>
  <c r="A402" i="16"/>
  <c r="AP400" i="13"/>
  <c r="AQ400" i="13"/>
  <c r="AR400" i="13"/>
  <c r="AV400" i="13" s="1"/>
  <c r="AS400" i="13"/>
  <c r="AT400" i="13"/>
  <c r="AU400" i="13"/>
  <c r="AP401" i="13" l="1"/>
  <c r="AQ401" i="13"/>
  <c r="AR401" i="13"/>
  <c r="AV401" i="13" s="1"/>
  <c r="AS401" i="13"/>
  <c r="AT401" i="13"/>
  <c r="AU401" i="13"/>
  <c r="B402" i="16"/>
  <c r="AM402" i="13" s="1"/>
  <c r="C402" i="16"/>
  <c r="AN402" i="13" s="1"/>
  <c r="D402" i="16"/>
  <c r="AO402" i="13" s="1"/>
  <c r="E402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AL402" i="13"/>
  <c r="A403" i="16"/>
  <c r="AP402" i="13" l="1"/>
  <c r="AQ402" i="13"/>
  <c r="AR402" i="13"/>
  <c r="AV402" i="13" s="1"/>
  <c r="AS402" i="13"/>
  <c r="AT402" i="13"/>
  <c r="AU402" i="13"/>
  <c r="B403" i="16"/>
  <c r="AM403" i="13" s="1"/>
  <c r="C403" i="16"/>
  <c r="AN403" i="13" s="1"/>
  <c r="D403" i="16"/>
  <c r="AO403" i="13" s="1"/>
  <c r="E403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AL403" i="13"/>
  <c r="A404" i="16"/>
  <c r="AP403" i="13" l="1"/>
  <c r="AQ403" i="13"/>
  <c r="AR403" i="13"/>
  <c r="AV403" i="13" s="1"/>
  <c r="AS403" i="13"/>
  <c r="AT403" i="13"/>
  <c r="AU403" i="13"/>
  <c r="B404" i="16"/>
  <c r="AM404" i="13" s="1"/>
  <c r="C404" i="16"/>
  <c r="AN404" i="13" s="1"/>
  <c r="D404" i="16"/>
  <c r="AO404" i="13" s="1"/>
  <c r="E404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AL404" i="13"/>
  <c r="A405" i="16"/>
  <c r="AP404" i="13" l="1"/>
  <c r="AQ404" i="13"/>
  <c r="AR404" i="13"/>
  <c r="AV404" i="13" s="1"/>
  <c r="AS404" i="13"/>
  <c r="AT404" i="13"/>
  <c r="AU404" i="13"/>
  <c r="B405" i="16"/>
  <c r="AM405" i="13" s="1"/>
  <c r="C405" i="16"/>
  <c r="AN405" i="13" s="1"/>
  <c r="D405" i="16"/>
  <c r="AO405" i="13" s="1"/>
  <c r="E405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AL405" i="13"/>
  <c r="A406" i="16"/>
  <c r="AP405" i="13" l="1"/>
  <c r="AQ405" i="13"/>
  <c r="AR405" i="13"/>
  <c r="AV405" i="13" s="1"/>
  <c r="AS405" i="13"/>
  <c r="AT405" i="13"/>
  <c r="AU405" i="13"/>
  <c r="A407" i="16"/>
  <c r="B406" i="16"/>
  <c r="AM406" i="13" s="1"/>
  <c r="C406" i="16"/>
  <c r="AN406" i="13" s="1"/>
  <c r="D406" i="16"/>
  <c r="AO406" i="13" s="1"/>
  <c r="E406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AL406" i="13"/>
  <c r="B407" i="16" l="1"/>
  <c r="AM407" i="13" s="1"/>
  <c r="C407" i="16"/>
  <c r="AN407" i="13" s="1"/>
  <c r="D407" i="16"/>
  <c r="AO407" i="13" s="1"/>
  <c r="E407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AL407" i="13"/>
  <c r="A408" i="16"/>
  <c r="AP406" i="13"/>
  <c r="AQ406" i="13"/>
  <c r="AR406" i="13"/>
  <c r="AV406" i="13" s="1"/>
  <c r="AS406" i="13"/>
  <c r="AT406" i="13"/>
  <c r="AU406" i="13"/>
  <c r="AP407" i="13" l="1"/>
  <c r="AQ407" i="13"/>
  <c r="AR407" i="13"/>
  <c r="AV407" i="13" s="1"/>
  <c r="AS407" i="13"/>
  <c r="AT407" i="13"/>
  <c r="AU407" i="13"/>
  <c r="B408" i="16"/>
  <c r="AM408" i="13" s="1"/>
  <c r="C408" i="16"/>
  <c r="AN408" i="13" s="1"/>
  <c r="D408" i="16"/>
  <c r="AO408" i="13" s="1"/>
  <c r="E408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AL408" i="13"/>
  <c r="A409" i="16"/>
  <c r="AP408" i="13" l="1"/>
  <c r="AQ408" i="13"/>
  <c r="AR408" i="13"/>
  <c r="AV408" i="13" s="1"/>
  <c r="AS408" i="13"/>
  <c r="AT408" i="13"/>
  <c r="AU408" i="13"/>
  <c r="B409" i="16"/>
  <c r="AM409" i="13" s="1"/>
  <c r="C409" i="16"/>
  <c r="AN409" i="13" s="1"/>
  <c r="D409" i="16"/>
  <c r="AO409" i="13" s="1"/>
  <c r="E409" i="16"/>
  <c r="F409" i="16"/>
  <c r="G409" i="16"/>
  <c r="H409" i="16"/>
  <c r="I409" i="16"/>
  <c r="J409" i="16"/>
  <c r="K409" i="16"/>
  <c r="L409" i="16"/>
  <c r="M409" i="16"/>
  <c r="N409" i="16"/>
  <c r="O409" i="16"/>
  <c r="P409" i="16"/>
  <c r="Q409" i="16"/>
  <c r="AL409" i="13"/>
  <c r="A410" i="16"/>
  <c r="AP409" i="13" l="1"/>
  <c r="AQ409" i="13"/>
  <c r="AR409" i="13"/>
  <c r="AV409" i="13" s="1"/>
  <c r="AS409" i="13"/>
  <c r="AT409" i="13"/>
  <c r="AU409" i="13"/>
  <c r="B410" i="16"/>
  <c r="AM410" i="13" s="1"/>
  <c r="C410" i="16"/>
  <c r="AN410" i="13" s="1"/>
  <c r="D410" i="16"/>
  <c r="AO410" i="13" s="1"/>
  <c r="E410" i="16"/>
  <c r="F410" i="16"/>
  <c r="G410" i="16"/>
  <c r="H410" i="16"/>
  <c r="I410" i="16"/>
  <c r="J410" i="16"/>
  <c r="K410" i="16"/>
  <c r="L410" i="16"/>
  <c r="M410" i="16"/>
  <c r="N410" i="16"/>
  <c r="O410" i="16"/>
  <c r="P410" i="16"/>
  <c r="Q410" i="16"/>
  <c r="AL410" i="13"/>
  <c r="A411" i="16"/>
  <c r="AP410" i="13" l="1"/>
  <c r="AQ410" i="13"/>
  <c r="AR410" i="13"/>
  <c r="AV410" i="13" s="1"/>
  <c r="AS410" i="13"/>
  <c r="AT410" i="13"/>
  <c r="AU410" i="13"/>
  <c r="B411" i="16"/>
  <c r="AM411" i="13" s="1"/>
  <c r="C411" i="16"/>
  <c r="AN411" i="13" s="1"/>
  <c r="D411" i="16"/>
  <c r="AO411" i="13" s="1"/>
  <c r="E411" i="16"/>
  <c r="F411" i="16"/>
  <c r="G411" i="16"/>
  <c r="H411" i="16"/>
  <c r="I411" i="16"/>
  <c r="J411" i="16"/>
  <c r="K411" i="16"/>
  <c r="L411" i="16"/>
  <c r="M411" i="16"/>
  <c r="N411" i="16"/>
  <c r="O411" i="16"/>
  <c r="P411" i="16"/>
  <c r="Q411" i="16"/>
  <c r="AL411" i="13"/>
  <c r="A412" i="16"/>
  <c r="AP411" i="13" l="1"/>
  <c r="AQ411" i="13"/>
  <c r="AR411" i="13"/>
  <c r="AV411" i="13" s="1"/>
  <c r="AS411" i="13"/>
  <c r="AT411" i="13"/>
  <c r="AU411" i="13"/>
  <c r="B412" i="16"/>
  <c r="AM412" i="13" s="1"/>
  <c r="C412" i="16"/>
  <c r="AN412" i="13" s="1"/>
  <c r="D412" i="16"/>
  <c r="AO412" i="13" s="1"/>
  <c r="E412" i="16"/>
  <c r="F412" i="16"/>
  <c r="G412" i="16"/>
  <c r="H412" i="16"/>
  <c r="I412" i="16"/>
  <c r="J412" i="16"/>
  <c r="K412" i="16"/>
  <c r="L412" i="16"/>
  <c r="M412" i="16"/>
  <c r="N412" i="16"/>
  <c r="O412" i="16"/>
  <c r="P412" i="16"/>
  <c r="Q412" i="16"/>
  <c r="AL412" i="13"/>
  <c r="A413" i="16"/>
  <c r="AP412" i="13" l="1"/>
  <c r="AQ412" i="13"/>
  <c r="AR412" i="13"/>
  <c r="AV412" i="13" s="1"/>
  <c r="AS412" i="13"/>
  <c r="AT412" i="13"/>
  <c r="AU412" i="13"/>
  <c r="B413" i="16"/>
  <c r="AM413" i="13" s="1"/>
  <c r="C413" i="16"/>
  <c r="AN413" i="13" s="1"/>
  <c r="D413" i="16"/>
  <c r="AO413" i="13" s="1"/>
  <c r="E413" i="16"/>
  <c r="F413" i="16"/>
  <c r="G413" i="16"/>
  <c r="H413" i="16"/>
  <c r="I413" i="16"/>
  <c r="J413" i="16"/>
  <c r="K413" i="16"/>
  <c r="L413" i="16"/>
  <c r="M413" i="16"/>
  <c r="N413" i="16"/>
  <c r="O413" i="16"/>
  <c r="P413" i="16"/>
  <c r="Q413" i="16"/>
  <c r="AL413" i="13"/>
  <c r="A414" i="16"/>
  <c r="AP413" i="13" l="1"/>
  <c r="AQ413" i="13"/>
  <c r="AR413" i="13"/>
  <c r="AV413" i="13" s="1"/>
  <c r="AS413" i="13"/>
  <c r="AT413" i="13"/>
  <c r="AU413" i="13"/>
  <c r="B414" i="16"/>
  <c r="AM414" i="13" s="1"/>
  <c r="C414" i="16"/>
  <c r="AN414" i="13" s="1"/>
  <c r="D414" i="16"/>
  <c r="AO414" i="13" s="1"/>
  <c r="E414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AL414" i="13"/>
  <c r="A415" i="16"/>
  <c r="AP414" i="13" l="1"/>
  <c r="AQ414" i="13"/>
  <c r="AR414" i="13"/>
  <c r="AV414" i="13" s="1"/>
  <c r="AS414" i="13"/>
  <c r="AT414" i="13"/>
  <c r="AU414" i="13"/>
  <c r="A416" i="16"/>
  <c r="B415" i="16"/>
  <c r="AM415" i="13" s="1"/>
  <c r="C415" i="16"/>
  <c r="AN415" i="13" s="1"/>
  <c r="D415" i="16"/>
  <c r="AO415" i="13" s="1"/>
  <c r="E415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AL415" i="13"/>
  <c r="B416" i="16" l="1"/>
  <c r="AM416" i="13" s="1"/>
  <c r="C416" i="16"/>
  <c r="AN416" i="13" s="1"/>
  <c r="D416" i="16"/>
  <c r="AO416" i="13" s="1"/>
  <c r="E416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AL416" i="13"/>
  <c r="A417" i="16"/>
  <c r="AP415" i="13"/>
  <c r="AQ415" i="13"/>
  <c r="AR415" i="13"/>
  <c r="AV415" i="13" s="1"/>
  <c r="AS415" i="13"/>
  <c r="AT415" i="13"/>
  <c r="AU415" i="13"/>
  <c r="AP416" i="13" l="1"/>
  <c r="AQ416" i="13"/>
  <c r="AR416" i="13"/>
  <c r="AV416" i="13" s="1"/>
  <c r="AS416" i="13"/>
  <c r="AT416" i="13"/>
  <c r="AU416" i="13"/>
  <c r="B417" i="16"/>
  <c r="AM417" i="13" s="1"/>
  <c r="C417" i="16"/>
  <c r="AN417" i="13" s="1"/>
  <c r="D417" i="16"/>
  <c r="AO417" i="13" s="1"/>
  <c r="E417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AL417" i="13"/>
  <c r="A418" i="16"/>
  <c r="AP417" i="13" l="1"/>
  <c r="AQ417" i="13"/>
  <c r="AR417" i="13"/>
  <c r="AV417" i="13" s="1"/>
  <c r="AS417" i="13"/>
  <c r="AT417" i="13"/>
  <c r="AU417" i="13"/>
  <c r="B418" i="16"/>
  <c r="AM418" i="13" s="1"/>
  <c r="C418" i="16"/>
  <c r="AN418" i="13" s="1"/>
  <c r="D418" i="16"/>
  <c r="AO418" i="13" s="1"/>
  <c r="E418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AL418" i="13"/>
  <c r="A419" i="16"/>
  <c r="AP418" i="13" l="1"/>
  <c r="AQ418" i="13"/>
  <c r="AR418" i="13"/>
  <c r="AV418" i="13" s="1"/>
  <c r="AS418" i="13"/>
  <c r="AT418" i="13"/>
  <c r="AU418" i="13"/>
  <c r="A420" i="16"/>
  <c r="B419" i="16"/>
  <c r="AM419" i="13" s="1"/>
  <c r="C419" i="16"/>
  <c r="AN419" i="13" s="1"/>
  <c r="D419" i="16"/>
  <c r="AO419" i="13" s="1"/>
  <c r="E419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AL419" i="13"/>
  <c r="B420" i="16" l="1"/>
  <c r="AM420" i="13" s="1"/>
  <c r="C420" i="16"/>
  <c r="AN420" i="13" s="1"/>
  <c r="D420" i="16"/>
  <c r="AO420" i="13" s="1"/>
  <c r="E420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AL420" i="13"/>
  <c r="A421" i="16"/>
  <c r="AP419" i="13"/>
  <c r="AQ419" i="13"/>
  <c r="AR419" i="13"/>
  <c r="AV419" i="13" s="1"/>
  <c r="AS419" i="13"/>
  <c r="AT419" i="13"/>
  <c r="AU419" i="13"/>
  <c r="AP420" i="13" l="1"/>
  <c r="AQ420" i="13"/>
  <c r="AR420" i="13"/>
  <c r="AV420" i="13" s="1"/>
  <c r="AS420" i="13"/>
  <c r="AT420" i="13"/>
  <c r="AU420" i="13"/>
  <c r="B421" i="16"/>
  <c r="AM421" i="13" s="1"/>
  <c r="C421" i="16"/>
  <c r="AN421" i="13" s="1"/>
  <c r="D421" i="16"/>
  <c r="AO421" i="13" s="1"/>
  <c r="E421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AL421" i="13"/>
  <c r="A422" i="16"/>
  <c r="AP421" i="13" l="1"/>
  <c r="AQ421" i="13"/>
  <c r="AR421" i="13"/>
  <c r="AV421" i="13" s="1"/>
  <c r="AS421" i="13"/>
  <c r="AT421" i="13"/>
  <c r="AU421" i="13"/>
  <c r="B422" i="16"/>
  <c r="AM422" i="13" s="1"/>
  <c r="C422" i="16"/>
  <c r="AN422" i="13" s="1"/>
  <c r="D422" i="16"/>
  <c r="AO422" i="13" s="1"/>
  <c r="E422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AL422" i="13"/>
  <c r="A423" i="16"/>
  <c r="AP422" i="13" l="1"/>
  <c r="AQ422" i="13"/>
  <c r="AR422" i="13"/>
  <c r="AV422" i="13" s="1"/>
  <c r="AS422" i="13"/>
  <c r="AT422" i="13"/>
  <c r="AU422" i="13"/>
  <c r="B423" i="16"/>
  <c r="AM423" i="13" s="1"/>
  <c r="C423" i="16"/>
  <c r="AN423" i="13" s="1"/>
  <c r="D423" i="16"/>
  <c r="AO423" i="13" s="1"/>
  <c r="E423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AL423" i="13"/>
  <c r="A424" i="16"/>
  <c r="AP423" i="13" l="1"/>
  <c r="AQ423" i="13"/>
  <c r="AR423" i="13"/>
  <c r="AV423" i="13" s="1"/>
  <c r="AS423" i="13"/>
  <c r="AT423" i="13"/>
  <c r="AU423" i="13"/>
  <c r="A425" i="16"/>
  <c r="B424" i="16"/>
  <c r="AM424" i="13" s="1"/>
  <c r="C424" i="16"/>
  <c r="AN424" i="13" s="1"/>
  <c r="D424" i="16"/>
  <c r="AO424" i="13" s="1"/>
  <c r="E424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AL424" i="13"/>
  <c r="B425" i="16" l="1"/>
  <c r="AM425" i="13" s="1"/>
  <c r="C425" i="16"/>
  <c r="AN425" i="13" s="1"/>
  <c r="D425" i="16"/>
  <c r="AO425" i="13" s="1"/>
  <c r="E425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AL425" i="13"/>
  <c r="A426" i="16"/>
  <c r="AP424" i="13"/>
  <c r="AQ424" i="13"/>
  <c r="AR424" i="13"/>
  <c r="AV424" i="13" s="1"/>
  <c r="AS424" i="13"/>
  <c r="AT424" i="13"/>
  <c r="AU424" i="13"/>
  <c r="AP425" i="13" l="1"/>
  <c r="AQ425" i="13"/>
  <c r="AR425" i="13"/>
  <c r="AV425" i="13" s="1"/>
  <c r="AS425" i="13"/>
  <c r="AT425" i="13"/>
  <c r="AU425" i="13"/>
  <c r="B426" i="16"/>
  <c r="AM426" i="13" s="1"/>
  <c r="C426" i="16"/>
  <c r="AN426" i="13" s="1"/>
  <c r="D426" i="16"/>
  <c r="AO426" i="13" s="1"/>
  <c r="E426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AL426" i="13"/>
  <c r="A427" i="16"/>
  <c r="AP426" i="13" l="1"/>
  <c r="AQ426" i="13"/>
  <c r="AR426" i="13"/>
  <c r="AV426" i="13" s="1"/>
  <c r="AS426" i="13"/>
  <c r="AT426" i="13"/>
  <c r="AU426" i="13"/>
  <c r="B427" i="16"/>
  <c r="AM427" i="13" s="1"/>
  <c r="C427" i="16"/>
  <c r="AN427" i="13" s="1"/>
  <c r="D427" i="16"/>
  <c r="AO427" i="13" s="1"/>
  <c r="E427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AL427" i="13"/>
  <c r="A428" i="16"/>
  <c r="AP427" i="13" l="1"/>
  <c r="AQ427" i="13"/>
  <c r="AR427" i="13"/>
  <c r="AV427" i="13" s="1"/>
  <c r="AS427" i="13"/>
  <c r="AT427" i="13"/>
  <c r="AU427" i="13"/>
  <c r="A429" i="16"/>
  <c r="B428" i="16"/>
  <c r="AM428" i="13" s="1"/>
  <c r="C428" i="16"/>
  <c r="AN428" i="13" s="1"/>
  <c r="D428" i="16"/>
  <c r="AO428" i="13" s="1"/>
  <c r="E428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AL428" i="13"/>
  <c r="B429" i="16" l="1"/>
  <c r="AM429" i="13" s="1"/>
  <c r="C429" i="16"/>
  <c r="AN429" i="13" s="1"/>
  <c r="D429" i="16"/>
  <c r="AO429" i="13" s="1"/>
  <c r="E429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AL429" i="13"/>
  <c r="A430" i="16"/>
  <c r="AP428" i="13"/>
  <c r="AQ428" i="13"/>
  <c r="AR428" i="13"/>
  <c r="AV428" i="13" s="1"/>
  <c r="AS428" i="13"/>
  <c r="AT428" i="13"/>
  <c r="AU428" i="13"/>
  <c r="AP429" i="13" l="1"/>
  <c r="AQ429" i="13"/>
  <c r="AR429" i="13"/>
  <c r="AV429" i="13" s="1"/>
  <c r="AS429" i="13"/>
  <c r="AT429" i="13"/>
  <c r="AU429" i="13"/>
  <c r="B430" i="16"/>
  <c r="AM430" i="13" s="1"/>
  <c r="C430" i="16"/>
  <c r="AN430" i="13" s="1"/>
  <c r="D430" i="16"/>
  <c r="AO430" i="13" s="1"/>
  <c r="E430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AL430" i="13"/>
  <c r="A431" i="16"/>
  <c r="AP430" i="13" l="1"/>
  <c r="AQ430" i="13"/>
  <c r="AR430" i="13"/>
  <c r="AV430" i="13" s="1"/>
  <c r="AS430" i="13"/>
  <c r="AT430" i="13"/>
  <c r="AU430" i="13"/>
  <c r="A432" i="16"/>
  <c r="B431" i="16"/>
  <c r="AM431" i="13" s="1"/>
  <c r="C431" i="16"/>
  <c r="AN431" i="13" s="1"/>
  <c r="D431" i="16"/>
  <c r="AO431" i="13" s="1"/>
  <c r="E431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AL431" i="13"/>
  <c r="B432" i="16" l="1"/>
  <c r="AM432" i="13" s="1"/>
  <c r="C432" i="16"/>
  <c r="AN432" i="13" s="1"/>
  <c r="D432" i="16"/>
  <c r="AO432" i="13" s="1"/>
  <c r="E432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AL432" i="13"/>
  <c r="A433" i="16"/>
  <c r="AP431" i="13"/>
  <c r="AQ431" i="13"/>
  <c r="AR431" i="13"/>
  <c r="AV431" i="13" s="1"/>
  <c r="AS431" i="13"/>
  <c r="AT431" i="13"/>
  <c r="AU431" i="13"/>
  <c r="AP432" i="13" l="1"/>
  <c r="AQ432" i="13"/>
  <c r="AR432" i="13"/>
  <c r="AV432" i="13" s="1"/>
  <c r="AS432" i="13"/>
  <c r="AT432" i="13"/>
  <c r="AU432" i="13"/>
  <c r="B433" i="16"/>
  <c r="AM433" i="13" s="1"/>
  <c r="C433" i="16"/>
  <c r="AN433" i="13" s="1"/>
  <c r="D433" i="16"/>
  <c r="AO433" i="13" s="1"/>
  <c r="E433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AL433" i="13"/>
  <c r="A434" i="16"/>
  <c r="AP433" i="13" l="1"/>
  <c r="AQ433" i="13"/>
  <c r="AR433" i="13"/>
  <c r="AV433" i="13" s="1"/>
  <c r="AS433" i="13"/>
  <c r="AT433" i="13"/>
  <c r="AU433" i="13"/>
  <c r="B434" i="16"/>
  <c r="AM434" i="13" s="1"/>
  <c r="C434" i="16"/>
  <c r="AN434" i="13" s="1"/>
  <c r="D434" i="16"/>
  <c r="AO434" i="13" s="1"/>
  <c r="E434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AL434" i="13"/>
  <c r="A435" i="16"/>
  <c r="AP434" i="13" l="1"/>
  <c r="AQ434" i="13"/>
  <c r="AR434" i="13"/>
  <c r="AV434" i="13" s="1"/>
  <c r="AS434" i="13"/>
  <c r="AT434" i="13"/>
  <c r="AU434" i="13"/>
  <c r="A436" i="16"/>
  <c r="B435" i="16"/>
  <c r="AM435" i="13" s="1"/>
  <c r="C435" i="16"/>
  <c r="AN435" i="13" s="1"/>
  <c r="D435" i="16"/>
  <c r="AO435" i="13" s="1"/>
  <c r="E435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AL435" i="13"/>
  <c r="B436" i="16" l="1"/>
  <c r="AM436" i="13" s="1"/>
  <c r="C436" i="16"/>
  <c r="AN436" i="13" s="1"/>
  <c r="D436" i="16"/>
  <c r="AO436" i="13" s="1"/>
  <c r="E436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AL436" i="13"/>
  <c r="A437" i="16"/>
  <c r="AP435" i="13"/>
  <c r="AQ435" i="13"/>
  <c r="AR435" i="13"/>
  <c r="AV435" i="13" s="1"/>
  <c r="AS435" i="13"/>
  <c r="AT435" i="13"/>
  <c r="AU435" i="13"/>
  <c r="AP436" i="13" l="1"/>
  <c r="AQ436" i="13"/>
  <c r="AR436" i="13"/>
  <c r="AV436" i="13" s="1"/>
  <c r="AS436" i="13"/>
  <c r="AT436" i="13"/>
  <c r="AU436" i="13"/>
  <c r="B437" i="16"/>
  <c r="AM437" i="13" s="1"/>
  <c r="C437" i="16"/>
  <c r="AN437" i="13" s="1"/>
  <c r="D437" i="16"/>
  <c r="AO437" i="13" s="1"/>
  <c r="E437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AL437" i="13"/>
  <c r="A438" i="16"/>
  <c r="AP437" i="13" l="1"/>
  <c r="AQ437" i="13"/>
  <c r="AR437" i="13"/>
  <c r="AV437" i="13" s="1"/>
  <c r="AS437" i="13"/>
  <c r="AT437" i="13"/>
  <c r="AU437" i="13"/>
  <c r="B438" i="16"/>
  <c r="AM438" i="13" s="1"/>
  <c r="C438" i="16"/>
  <c r="AN438" i="13" s="1"/>
  <c r="D438" i="16"/>
  <c r="AO438" i="13" s="1"/>
  <c r="E438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AL438" i="13"/>
  <c r="A439" i="16"/>
  <c r="AP438" i="13" l="1"/>
  <c r="AQ438" i="13"/>
  <c r="AR438" i="13"/>
  <c r="AV438" i="13" s="1"/>
  <c r="AS438" i="13"/>
  <c r="AT438" i="13"/>
  <c r="AU438" i="13"/>
  <c r="B439" i="16"/>
  <c r="AM439" i="13" s="1"/>
  <c r="C439" i="16"/>
  <c r="AN439" i="13" s="1"/>
  <c r="D439" i="16"/>
  <c r="AO439" i="13" s="1"/>
  <c r="E439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AL439" i="13"/>
  <c r="A440" i="16"/>
  <c r="AP439" i="13" l="1"/>
  <c r="AQ439" i="13"/>
  <c r="AR439" i="13"/>
  <c r="AV439" i="13" s="1"/>
  <c r="AS439" i="13"/>
  <c r="AT439" i="13"/>
  <c r="AU439" i="13"/>
  <c r="B440" i="16"/>
  <c r="AM440" i="13" s="1"/>
  <c r="C440" i="16"/>
  <c r="AN440" i="13" s="1"/>
  <c r="D440" i="16"/>
  <c r="AO440" i="13" s="1"/>
  <c r="E440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AL440" i="13"/>
  <c r="A441" i="16"/>
  <c r="AP440" i="13" l="1"/>
  <c r="AQ440" i="13"/>
  <c r="AR440" i="13"/>
  <c r="AV440" i="13" s="1"/>
  <c r="AS440" i="13"/>
  <c r="AT440" i="13"/>
  <c r="AU440" i="13"/>
  <c r="A442" i="16"/>
  <c r="B441" i="16"/>
  <c r="AM441" i="13" s="1"/>
  <c r="C441" i="16"/>
  <c r="AN441" i="13" s="1"/>
  <c r="D441" i="16"/>
  <c r="AO441" i="13" s="1"/>
  <c r="E441" i="16"/>
  <c r="F441" i="16"/>
  <c r="G441" i="16"/>
  <c r="H441" i="16"/>
  <c r="I441" i="16"/>
  <c r="J441" i="16"/>
  <c r="K441" i="16"/>
  <c r="L441" i="16"/>
  <c r="M441" i="16"/>
  <c r="N441" i="16"/>
  <c r="O441" i="16"/>
  <c r="P441" i="16"/>
  <c r="Q441" i="16"/>
  <c r="AL441" i="13"/>
  <c r="B442" i="16" l="1"/>
  <c r="AM442" i="13" s="1"/>
  <c r="C442" i="16"/>
  <c r="AN442" i="13" s="1"/>
  <c r="D442" i="16"/>
  <c r="AO442" i="13" s="1"/>
  <c r="E442" i="16"/>
  <c r="F442" i="16"/>
  <c r="G442" i="16"/>
  <c r="H442" i="16"/>
  <c r="I442" i="16"/>
  <c r="J442" i="16"/>
  <c r="K442" i="16"/>
  <c r="L442" i="16"/>
  <c r="M442" i="16"/>
  <c r="N442" i="16"/>
  <c r="O442" i="16"/>
  <c r="P442" i="16"/>
  <c r="Q442" i="16"/>
  <c r="AL442" i="13"/>
  <c r="A443" i="16"/>
  <c r="AP441" i="13"/>
  <c r="AQ441" i="13"/>
  <c r="AR441" i="13"/>
  <c r="AV441" i="13" s="1"/>
  <c r="AS441" i="13"/>
  <c r="AT441" i="13"/>
  <c r="AU441" i="13"/>
  <c r="AP442" i="13" l="1"/>
  <c r="AQ442" i="13"/>
  <c r="AR442" i="13"/>
  <c r="AV442" i="13" s="1"/>
  <c r="AS442" i="13"/>
  <c r="AT442" i="13"/>
  <c r="AU442" i="13"/>
  <c r="A444" i="16"/>
  <c r="B443" i="16"/>
  <c r="AM443" i="13" s="1"/>
  <c r="C443" i="16"/>
  <c r="AN443" i="13" s="1"/>
  <c r="D443" i="16"/>
  <c r="AO443" i="13" s="1"/>
  <c r="E443" i="16"/>
  <c r="F443" i="16"/>
  <c r="G443" i="16"/>
  <c r="H443" i="16"/>
  <c r="I443" i="16"/>
  <c r="J443" i="16"/>
  <c r="K443" i="16"/>
  <c r="L443" i="16"/>
  <c r="M443" i="16"/>
  <c r="N443" i="16"/>
  <c r="O443" i="16"/>
  <c r="P443" i="16"/>
  <c r="Q443" i="16"/>
  <c r="AL443" i="13"/>
  <c r="B444" i="16" l="1"/>
  <c r="AM444" i="13" s="1"/>
  <c r="C444" i="16"/>
  <c r="AN444" i="13" s="1"/>
  <c r="D444" i="16"/>
  <c r="AO444" i="13" s="1"/>
  <c r="E444" i="16"/>
  <c r="F444" i="16"/>
  <c r="G444" i="16"/>
  <c r="H444" i="16"/>
  <c r="I444" i="16"/>
  <c r="J444" i="16"/>
  <c r="K444" i="16"/>
  <c r="L444" i="16"/>
  <c r="M444" i="16"/>
  <c r="N444" i="16"/>
  <c r="O444" i="16"/>
  <c r="P444" i="16"/>
  <c r="Q444" i="16"/>
  <c r="AL444" i="13"/>
  <c r="A445" i="16"/>
  <c r="AP443" i="13"/>
  <c r="AQ443" i="13"/>
  <c r="AR443" i="13"/>
  <c r="AV443" i="13" s="1"/>
  <c r="AS443" i="13"/>
  <c r="AT443" i="13"/>
  <c r="AU443" i="13"/>
  <c r="AP444" i="13" l="1"/>
  <c r="AQ444" i="13"/>
  <c r="AR444" i="13"/>
  <c r="AV444" i="13" s="1"/>
  <c r="AS444" i="13"/>
  <c r="AT444" i="13"/>
  <c r="AU444" i="13"/>
  <c r="B445" i="16"/>
  <c r="AM445" i="13" s="1"/>
  <c r="C445" i="16"/>
  <c r="AN445" i="13" s="1"/>
  <c r="D445" i="16"/>
  <c r="AO445" i="13" s="1"/>
  <c r="E445" i="16"/>
  <c r="F445" i="16"/>
  <c r="G445" i="16"/>
  <c r="H445" i="16"/>
  <c r="I445" i="16"/>
  <c r="J445" i="16"/>
  <c r="K445" i="16"/>
  <c r="L445" i="16"/>
  <c r="M445" i="16"/>
  <c r="N445" i="16"/>
  <c r="O445" i="16"/>
  <c r="P445" i="16"/>
  <c r="Q445" i="16"/>
  <c r="AL445" i="13"/>
  <c r="A446" i="16"/>
  <c r="AP445" i="13" l="1"/>
  <c r="AQ445" i="13"/>
  <c r="AR445" i="13"/>
  <c r="AV445" i="13" s="1"/>
  <c r="AS445" i="13"/>
  <c r="AT445" i="13"/>
  <c r="AU445" i="13"/>
  <c r="B446" i="16"/>
  <c r="AM446" i="13" s="1"/>
  <c r="C446" i="16"/>
  <c r="AN446" i="13" s="1"/>
  <c r="D446" i="16"/>
  <c r="AO446" i="13" s="1"/>
  <c r="E446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AL446" i="13"/>
  <c r="A447" i="16"/>
  <c r="AP446" i="13" l="1"/>
  <c r="AQ446" i="13"/>
  <c r="AR446" i="13"/>
  <c r="AV446" i="13" s="1"/>
  <c r="AS446" i="13"/>
  <c r="AT446" i="13"/>
  <c r="AU446" i="13"/>
  <c r="B447" i="16"/>
  <c r="AM447" i="13" s="1"/>
  <c r="C447" i="16"/>
  <c r="AN447" i="13" s="1"/>
  <c r="D447" i="16"/>
  <c r="AO447" i="13" s="1"/>
  <c r="E447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AL447" i="13"/>
  <c r="A448" i="16"/>
  <c r="AP447" i="13" l="1"/>
  <c r="AQ447" i="13"/>
  <c r="AR447" i="13"/>
  <c r="AV447" i="13" s="1"/>
  <c r="AS447" i="13"/>
  <c r="AT447" i="13"/>
  <c r="AU447" i="13"/>
  <c r="B448" i="16"/>
  <c r="AM448" i="13" s="1"/>
  <c r="C448" i="16"/>
  <c r="AN448" i="13" s="1"/>
  <c r="D448" i="16"/>
  <c r="AO448" i="13" s="1"/>
  <c r="E448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AL448" i="13"/>
  <c r="A449" i="16"/>
  <c r="AP448" i="13" l="1"/>
  <c r="AQ448" i="13"/>
  <c r="AR448" i="13"/>
  <c r="AV448" i="13" s="1"/>
  <c r="AS448" i="13"/>
  <c r="AT448" i="13"/>
  <c r="AU448" i="13"/>
  <c r="A450" i="16"/>
  <c r="B449" i="16"/>
  <c r="AM449" i="13" s="1"/>
  <c r="C449" i="16"/>
  <c r="AN449" i="13" s="1"/>
  <c r="D449" i="16"/>
  <c r="AO449" i="13" s="1"/>
  <c r="E449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AL449" i="13"/>
  <c r="B450" i="16" l="1"/>
  <c r="AM450" i="13" s="1"/>
  <c r="C450" i="16"/>
  <c r="AN450" i="13" s="1"/>
  <c r="D450" i="16"/>
  <c r="AO450" i="13" s="1"/>
  <c r="E450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AL450" i="13"/>
  <c r="A451" i="16"/>
  <c r="AP449" i="13"/>
  <c r="AQ449" i="13"/>
  <c r="AR449" i="13"/>
  <c r="AV449" i="13" s="1"/>
  <c r="AS449" i="13"/>
  <c r="AT449" i="13"/>
  <c r="AU449" i="13"/>
  <c r="AP450" i="13" l="1"/>
  <c r="AQ450" i="13"/>
  <c r="AR450" i="13"/>
  <c r="AV450" i="13" s="1"/>
  <c r="AS450" i="13"/>
  <c r="AT450" i="13"/>
  <c r="AU450" i="13"/>
  <c r="B451" i="16"/>
  <c r="AM451" i="13" s="1"/>
  <c r="C451" i="16"/>
  <c r="AN451" i="13" s="1"/>
  <c r="D451" i="16"/>
  <c r="AO451" i="13" s="1"/>
  <c r="E451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AL451" i="13"/>
  <c r="A452" i="16"/>
  <c r="AP451" i="13" l="1"/>
  <c r="AQ451" i="13"/>
  <c r="AR451" i="13"/>
  <c r="AV451" i="13" s="1"/>
  <c r="AS451" i="13"/>
  <c r="AT451" i="13"/>
  <c r="AU451" i="13"/>
  <c r="A453" i="16"/>
  <c r="B452" i="16"/>
  <c r="AM452" i="13" s="1"/>
  <c r="C452" i="16"/>
  <c r="AN452" i="13" s="1"/>
  <c r="D452" i="16"/>
  <c r="AO452" i="13" s="1"/>
  <c r="E452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AL452" i="13"/>
  <c r="B453" i="16" l="1"/>
  <c r="AM453" i="13" s="1"/>
  <c r="C453" i="16"/>
  <c r="AN453" i="13" s="1"/>
  <c r="D453" i="16"/>
  <c r="AO453" i="13" s="1"/>
  <c r="E453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AL453" i="13"/>
  <c r="A454" i="16"/>
  <c r="AP452" i="13"/>
  <c r="AQ452" i="13"/>
  <c r="AR452" i="13"/>
  <c r="AV452" i="13" s="1"/>
  <c r="AS452" i="13"/>
  <c r="AT452" i="13"/>
  <c r="AU452" i="13"/>
  <c r="AP453" i="13" l="1"/>
  <c r="AQ453" i="13"/>
  <c r="AR453" i="13"/>
  <c r="AV453" i="13" s="1"/>
  <c r="AS453" i="13"/>
  <c r="AT453" i="13"/>
  <c r="AU453" i="13"/>
  <c r="B454" i="16"/>
  <c r="AM454" i="13" s="1"/>
  <c r="C454" i="16"/>
  <c r="AN454" i="13" s="1"/>
  <c r="D454" i="16"/>
  <c r="AO454" i="13" s="1"/>
  <c r="E454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AL454" i="13"/>
  <c r="A455" i="16"/>
  <c r="AP454" i="13" l="1"/>
  <c r="AQ454" i="13"/>
  <c r="AR454" i="13"/>
  <c r="AV454" i="13" s="1"/>
  <c r="AS454" i="13"/>
  <c r="AT454" i="13"/>
  <c r="AU454" i="13"/>
  <c r="B455" i="16"/>
  <c r="AM455" i="13" s="1"/>
  <c r="C455" i="16"/>
  <c r="AN455" i="13" s="1"/>
  <c r="D455" i="16"/>
  <c r="AO455" i="13" s="1"/>
  <c r="E455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AL455" i="13"/>
  <c r="A456" i="16"/>
  <c r="AP455" i="13" l="1"/>
  <c r="AQ455" i="13"/>
  <c r="AR455" i="13"/>
  <c r="AV455" i="13" s="1"/>
  <c r="AS455" i="13"/>
  <c r="AT455" i="13"/>
  <c r="AU455" i="13"/>
  <c r="B456" i="16"/>
  <c r="AM456" i="13" s="1"/>
  <c r="C456" i="16"/>
  <c r="AN456" i="13" s="1"/>
  <c r="D456" i="16"/>
  <c r="AO456" i="13" s="1"/>
  <c r="E456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AL456" i="13"/>
  <c r="A457" i="16"/>
  <c r="AP456" i="13" l="1"/>
  <c r="AQ456" i="13"/>
  <c r="AR456" i="13"/>
  <c r="AV456" i="13" s="1"/>
  <c r="AS456" i="13"/>
  <c r="AT456" i="13"/>
  <c r="AU456" i="13"/>
  <c r="A458" i="16"/>
  <c r="B457" i="16"/>
  <c r="AM457" i="13" s="1"/>
  <c r="C457" i="16"/>
  <c r="AN457" i="13" s="1"/>
  <c r="D457" i="16"/>
  <c r="AO457" i="13" s="1"/>
  <c r="E457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AL457" i="13"/>
  <c r="B458" i="16" l="1"/>
  <c r="AM458" i="13" s="1"/>
  <c r="C458" i="16"/>
  <c r="AN458" i="13" s="1"/>
  <c r="D458" i="16"/>
  <c r="AO458" i="13" s="1"/>
  <c r="E458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AL458" i="13"/>
  <c r="A459" i="16"/>
  <c r="AP457" i="13"/>
  <c r="AQ457" i="13"/>
  <c r="AR457" i="13"/>
  <c r="AV457" i="13" s="1"/>
  <c r="AS457" i="13"/>
  <c r="AT457" i="13"/>
  <c r="AU457" i="13"/>
  <c r="AP458" i="13" l="1"/>
  <c r="AQ458" i="13"/>
  <c r="AR458" i="13"/>
  <c r="AV458" i="13" s="1"/>
  <c r="AS458" i="13"/>
  <c r="AT458" i="13"/>
  <c r="AU458" i="13"/>
  <c r="B459" i="16"/>
  <c r="AM459" i="13" s="1"/>
  <c r="C459" i="16"/>
  <c r="AN459" i="13" s="1"/>
  <c r="D459" i="16"/>
  <c r="AO459" i="13" s="1"/>
  <c r="E459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AL459" i="13"/>
  <c r="A460" i="16"/>
  <c r="AP459" i="13" l="1"/>
  <c r="AQ459" i="13"/>
  <c r="AR459" i="13"/>
  <c r="AV459" i="13" s="1"/>
  <c r="AS459" i="13"/>
  <c r="AT459" i="13"/>
  <c r="AU459" i="13"/>
  <c r="B460" i="16"/>
  <c r="AM460" i="13" s="1"/>
  <c r="C460" i="16"/>
  <c r="AN460" i="13" s="1"/>
  <c r="D460" i="16"/>
  <c r="AO460" i="13" s="1"/>
  <c r="E460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AL460" i="13"/>
  <c r="A461" i="16"/>
  <c r="AP460" i="13" l="1"/>
  <c r="AQ460" i="13"/>
  <c r="AR460" i="13"/>
  <c r="AV460" i="13" s="1"/>
  <c r="AS460" i="13"/>
  <c r="AT460" i="13"/>
  <c r="AU460" i="13"/>
  <c r="A462" i="16"/>
  <c r="B461" i="16"/>
  <c r="AM461" i="13" s="1"/>
  <c r="C461" i="16"/>
  <c r="AN461" i="13" s="1"/>
  <c r="D461" i="16"/>
  <c r="AO461" i="13" s="1"/>
  <c r="E461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AL461" i="13"/>
  <c r="B462" i="16" l="1"/>
  <c r="AM462" i="13" s="1"/>
  <c r="C462" i="16"/>
  <c r="AN462" i="13" s="1"/>
  <c r="D462" i="16"/>
  <c r="AO462" i="13" s="1"/>
  <c r="E462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AL462" i="13"/>
  <c r="A463" i="16"/>
  <c r="AP461" i="13"/>
  <c r="AQ461" i="13"/>
  <c r="AR461" i="13"/>
  <c r="AV461" i="13" s="1"/>
  <c r="AS461" i="13"/>
  <c r="AT461" i="13"/>
  <c r="AU461" i="13"/>
  <c r="AP462" i="13" l="1"/>
  <c r="AQ462" i="13"/>
  <c r="AR462" i="13"/>
  <c r="AV462" i="13" s="1"/>
  <c r="AS462" i="13"/>
  <c r="AT462" i="13"/>
  <c r="AU462" i="13"/>
  <c r="B463" i="16"/>
  <c r="AM463" i="13" s="1"/>
  <c r="C463" i="16"/>
  <c r="AN463" i="13" s="1"/>
  <c r="D463" i="16"/>
  <c r="AO463" i="13" s="1"/>
  <c r="E463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AL463" i="13"/>
  <c r="A464" i="16"/>
  <c r="AP463" i="13" l="1"/>
  <c r="AQ463" i="13"/>
  <c r="AR463" i="13"/>
  <c r="AV463" i="13" s="1"/>
  <c r="AS463" i="13"/>
  <c r="AT463" i="13"/>
  <c r="AU463" i="13"/>
  <c r="B464" i="16"/>
  <c r="AM464" i="13" s="1"/>
  <c r="C464" i="16"/>
  <c r="AN464" i="13" s="1"/>
  <c r="D464" i="16"/>
  <c r="AO464" i="13" s="1"/>
  <c r="E464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AL464" i="13"/>
  <c r="A465" i="16"/>
  <c r="AP464" i="13" l="1"/>
  <c r="AQ464" i="13"/>
  <c r="AR464" i="13"/>
  <c r="AV464" i="13" s="1"/>
  <c r="AS464" i="13"/>
  <c r="AT464" i="13"/>
  <c r="AU464" i="13"/>
  <c r="B465" i="16"/>
  <c r="AM465" i="13" s="1"/>
  <c r="C465" i="16"/>
  <c r="AN465" i="13" s="1"/>
  <c r="D465" i="16"/>
  <c r="AO465" i="13" s="1"/>
  <c r="E465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AL465" i="13"/>
  <c r="A466" i="16"/>
  <c r="AP465" i="13" l="1"/>
  <c r="AQ465" i="13"/>
  <c r="AR465" i="13"/>
  <c r="AV465" i="13" s="1"/>
  <c r="AS465" i="13"/>
  <c r="AT465" i="13"/>
  <c r="AU465" i="13"/>
  <c r="B466" i="16"/>
  <c r="AM466" i="13" s="1"/>
  <c r="C466" i="16"/>
  <c r="AN466" i="13" s="1"/>
  <c r="D466" i="16"/>
  <c r="AO466" i="13" s="1"/>
  <c r="E466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AL466" i="13"/>
  <c r="A467" i="16"/>
  <c r="AP466" i="13" l="1"/>
  <c r="AQ466" i="13"/>
  <c r="AR466" i="13"/>
  <c r="AV466" i="13" s="1"/>
  <c r="AS466" i="13"/>
  <c r="AT466" i="13"/>
  <c r="AU466" i="13"/>
  <c r="B467" i="16"/>
  <c r="AM467" i="13" s="1"/>
  <c r="C467" i="16"/>
  <c r="AN467" i="13" s="1"/>
  <c r="D467" i="16"/>
  <c r="AO467" i="13" s="1"/>
  <c r="E467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AL467" i="13"/>
  <c r="A468" i="16"/>
  <c r="AP467" i="13" l="1"/>
  <c r="AQ467" i="13"/>
  <c r="AR467" i="13"/>
  <c r="AV467" i="13" s="1"/>
  <c r="AS467" i="13"/>
  <c r="AT467" i="13"/>
  <c r="AU467" i="13"/>
  <c r="A469" i="16"/>
  <c r="B468" i="16"/>
  <c r="AM468" i="13" s="1"/>
  <c r="C468" i="16"/>
  <c r="AN468" i="13" s="1"/>
  <c r="D468" i="16"/>
  <c r="AO468" i="13" s="1"/>
  <c r="E468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AL468" i="13"/>
  <c r="B469" i="16" l="1"/>
  <c r="AM469" i="13" s="1"/>
  <c r="C469" i="16"/>
  <c r="AN469" i="13" s="1"/>
  <c r="D469" i="16"/>
  <c r="AO469" i="13" s="1"/>
  <c r="E469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AL469" i="13"/>
  <c r="A470" i="16"/>
  <c r="AP468" i="13"/>
  <c r="AQ468" i="13"/>
  <c r="AR468" i="13"/>
  <c r="AV468" i="13" s="1"/>
  <c r="AS468" i="13"/>
  <c r="AT468" i="13"/>
  <c r="AU468" i="13"/>
  <c r="AP469" i="13" l="1"/>
  <c r="AQ469" i="13"/>
  <c r="AR469" i="13"/>
  <c r="AV469" i="13" s="1"/>
  <c r="AS469" i="13"/>
  <c r="AT469" i="13"/>
  <c r="AU469" i="13"/>
  <c r="B470" i="16"/>
  <c r="AM470" i="13" s="1"/>
  <c r="C470" i="16"/>
  <c r="AN470" i="13" s="1"/>
  <c r="D470" i="16"/>
  <c r="AO470" i="13" s="1"/>
  <c r="E470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AL470" i="13"/>
  <c r="A471" i="16"/>
  <c r="AP470" i="13" l="1"/>
  <c r="AQ470" i="13"/>
  <c r="AR470" i="13"/>
  <c r="AV470" i="13" s="1"/>
  <c r="AS470" i="13"/>
  <c r="AT470" i="13"/>
  <c r="AU470" i="13"/>
  <c r="A472" i="16"/>
  <c r="B471" i="16"/>
  <c r="AM471" i="13" s="1"/>
  <c r="C471" i="16"/>
  <c r="AN471" i="13" s="1"/>
  <c r="D471" i="16"/>
  <c r="AO471" i="13" s="1"/>
  <c r="E471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AL471" i="13"/>
  <c r="B472" i="16" l="1"/>
  <c r="AM472" i="13" s="1"/>
  <c r="C472" i="16"/>
  <c r="AN472" i="13" s="1"/>
  <c r="D472" i="16"/>
  <c r="AO472" i="13" s="1"/>
  <c r="E472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AL472" i="13"/>
  <c r="A473" i="16"/>
  <c r="AP471" i="13"/>
  <c r="AQ471" i="13"/>
  <c r="AR471" i="13"/>
  <c r="AV471" i="13" s="1"/>
  <c r="AS471" i="13"/>
  <c r="AT471" i="13"/>
  <c r="AU471" i="13"/>
  <c r="AP472" i="13" l="1"/>
  <c r="AQ472" i="13"/>
  <c r="AR472" i="13"/>
  <c r="AV472" i="13" s="1"/>
  <c r="AS472" i="13"/>
  <c r="AT472" i="13"/>
  <c r="AU472" i="13"/>
  <c r="B473" i="16"/>
  <c r="AM473" i="13" s="1"/>
  <c r="C473" i="16"/>
  <c r="AN473" i="13" s="1"/>
  <c r="D473" i="16"/>
  <c r="AO473" i="13" s="1"/>
  <c r="E473" i="16"/>
  <c r="F473" i="16"/>
  <c r="G473" i="16"/>
  <c r="H473" i="16"/>
  <c r="I473" i="16"/>
  <c r="J473" i="16"/>
  <c r="K473" i="16"/>
  <c r="L473" i="16"/>
  <c r="M473" i="16"/>
  <c r="N473" i="16"/>
  <c r="O473" i="16"/>
  <c r="P473" i="16"/>
  <c r="Q473" i="16"/>
  <c r="AL473" i="13"/>
  <c r="A474" i="16"/>
  <c r="AP473" i="13" l="1"/>
  <c r="AQ473" i="13"/>
  <c r="AR473" i="13"/>
  <c r="AV473" i="13" s="1"/>
  <c r="AS473" i="13"/>
  <c r="AT473" i="13"/>
  <c r="AU473" i="13"/>
  <c r="B474" i="16"/>
  <c r="AM474" i="13" s="1"/>
  <c r="C474" i="16"/>
  <c r="AN474" i="13" s="1"/>
  <c r="D474" i="16"/>
  <c r="AO474" i="13" s="1"/>
  <c r="E474" i="16"/>
  <c r="F474" i="16"/>
  <c r="G474" i="16"/>
  <c r="H474" i="16"/>
  <c r="I474" i="16"/>
  <c r="J474" i="16"/>
  <c r="K474" i="16"/>
  <c r="L474" i="16"/>
  <c r="M474" i="16"/>
  <c r="N474" i="16"/>
  <c r="O474" i="16"/>
  <c r="P474" i="16"/>
  <c r="Q474" i="16"/>
  <c r="AL474" i="13"/>
  <c r="A475" i="16"/>
  <c r="AP474" i="13" l="1"/>
  <c r="AQ474" i="13"/>
  <c r="AR474" i="13"/>
  <c r="AV474" i="13" s="1"/>
  <c r="AS474" i="13"/>
  <c r="AT474" i="13"/>
  <c r="AU474" i="13"/>
  <c r="B475" i="16"/>
  <c r="AM475" i="13" s="1"/>
  <c r="C475" i="16"/>
  <c r="AN475" i="13" s="1"/>
  <c r="D475" i="16"/>
  <c r="AO475" i="13" s="1"/>
  <c r="E475" i="16"/>
  <c r="F475" i="16"/>
  <c r="G475" i="16"/>
  <c r="H475" i="16"/>
  <c r="I475" i="16"/>
  <c r="J475" i="16"/>
  <c r="K475" i="16"/>
  <c r="L475" i="16"/>
  <c r="M475" i="16"/>
  <c r="N475" i="16"/>
  <c r="O475" i="16"/>
  <c r="P475" i="16"/>
  <c r="Q475" i="16"/>
  <c r="AL475" i="13"/>
  <c r="A476" i="16"/>
  <c r="AP475" i="13" l="1"/>
  <c r="AQ475" i="13"/>
  <c r="AR475" i="13"/>
  <c r="AV475" i="13" s="1"/>
  <c r="AS475" i="13"/>
  <c r="AT475" i="13"/>
  <c r="AU475" i="13"/>
  <c r="B476" i="16"/>
  <c r="AM476" i="13" s="1"/>
  <c r="C476" i="16"/>
  <c r="AN476" i="13" s="1"/>
  <c r="D476" i="16"/>
  <c r="AO476" i="13" s="1"/>
  <c r="E476" i="16"/>
  <c r="F476" i="16"/>
  <c r="G476" i="16"/>
  <c r="H476" i="16"/>
  <c r="I476" i="16"/>
  <c r="J476" i="16"/>
  <c r="K476" i="16"/>
  <c r="L476" i="16"/>
  <c r="M476" i="16"/>
  <c r="N476" i="16"/>
  <c r="O476" i="16"/>
  <c r="P476" i="16"/>
  <c r="Q476" i="16"/>
  <c r="AL476" i="13"/>
  <c r="A477" i="16"/>
  <c r="AP476" i="13" l="1"/>
  <c r="AQ476" i="13"/>
  <c r="AR476" i="13"/>
  <c r="AV476" i="13" s="1"/>
  <c r="AS476" i="13"/>
  <c r="AT476" i="13"/>
  <c r="AU476" i="13"/>
  <c r="B477" i="16"/>
  <c r="AM477" i="13" s="1"/>
  <c r="C477" i="16"/>
  <c r="AN477" i="13" s="1"/>
  <c r="D477" i="16"/>
  <c r="AO477" i="13" s="1"/>
  <c r="E477" i="16"/>
  <c r="F477" i="16"/>
  <c r="G477" i="16"/>
  <c r="H477" i="16"/>
  <c r="I477" i="16"/>
  <c r="J477" i="16"/>
  <c r="K477" i="16"/>
  <c r="L477" i="16"/>
  <c r="M477" i="16"/>
  <c r="N477" i="16"/>
  <c r="O477" i="16"/>
  <c r="P477" i="16"/>
  <c r="Q477" i="16"/>
  <c r="AL477" i="13"/>
  <c r="A478" i="16"/>
  <c r="AP477" i="13" l="1"/>
  <c r="AQ477" i="13"/>
  <c r="AR477" i="13"/>
  <c r="AV477" i="13" s="1"/>
  <c r="AS477" i="13"/>
  <c r="AT477" i="13"/>
  <c r="AU477" i="13"/>
  <c r="B478" i="16"/>
  <c r="AM478" i="13" s="1"/>
  <c r="C478" i="16"/>
  <c r="AN478" i="13" s="1"/>
  <c r="D478" i="16"/>
  <c r="AO478" i="13" s="1"/>
  <c r="E478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AL478" i="13"/>
  <c r="A479" i="16"/>
  <c r="AP478" i="13" l="1"/>
  <c r="AQ478" i="13"/>
  <c r="AR478" i="13"/>
  <c r="AV478" i="13" s="1"/>
  <c r="AS478" i="13"/>
  <c r="AT478" i="13"/>
  <c r="AU478" i="13"/>
  <c r="B479" i="16"/>
  <c r="AM479" i="13" s="1"/>
  <c r="C479" i="16"/>
  <c r="AN479" i="13" s="1"/>
  <c r="D479" i="16"/>
  <c r="AO479" i="13" s="1"/>
  <c r="E479" i="16"/>
  <c r="F479" i="16"/>
  <c r="G479" i="16"/>
  <c r="H479" i="16"/>
  <c r="I479" i="16"/>
  <c r="J479" i="16"/>
  <c r="K479" i="16"/>
  <c r="L479" i="16"/>
  <c r="M479" i="16"/>
  <c r="N479" i="16"/>
  <c r="O479" i="16"/>
  <c r="P479" i="16"/>
  <c r="Q479" i="16"/>
  <c r="AL479" i="13"/>
  <c r="A480" i="16"/>
  <c r="AP479" i="13" l="1"/>
  <c r="AQ479" i="13"/>
  <c r="AR479" i="13"/>
  <c r="AV479" i="13" s="1"/>
  <c r="AS479" i="13"/>
  <c r="AT479" i="13"/>
  <c r="AU479" i="13"/>
  <c r="A481" i="16"/>
  <c r="B480" i="16"/>
  <c r="AM480" i="13" s="1"/>
  <c r="C480" i="16"/>
  <c r="AN480" i="13" s="1"/>
  <c r="D480" i="16"/>
  <c r="AO480" i="13" s="1"/>
  <c r="E480" i="16"/>
  <c r="F480" i="16"/>
  <c r="G480" i="16"/>
  <c r="H480" i="16"/>
  <c r="I480" i="16"/>
  <c r="J480" i="16"/>
  <c r="K480" i="16"/>
  <c r="L480" i="16"/>
  <c r="M480" i="16"/>
  <c r="N480" i="16"/>
  <c r="O480" i="16"/>
  <c r="P480" i="16"/>
  <c r="Q480" i="16"/>
  <c r="AL480" i="13"/>
  <c r="B481" i="16" l="1"/>
  <c r="AM481" i="13" s="1"/>
  <c r="C481" i="16"/>
  <c r="AN481" i="13" s="1"/>
  <c r="D481" i="16"/>
  <c r="AO481" i="13" s="1"/>
  <c r="E481" i="16"/>
  <c r="F481" i="16"/>
  <c r="G481" i="16"/>
  <c r="H481" i="16"/>
  <c r="I481" i="16"/>
  <c r="J481" i="16"/>
  <c r="K481" i="16"/>
  <c r="L481" i="16"/>
  <c r="M481" i="16"/>
  <c r="N481" i="16"/>
  <c r="O481" i="16"/>
  <c r="P481" i="16"/>
  <c r="Q481" i="16"/>
  <c r="AL481" i="13"/>
  <c r="A482" i="16"/>
  <c r="AP480" i="13"/>
  <c r="AQ480" i="13"/>
  <c r="AR480" i="13"/>
  <c r="AV480" i="13" s="1"/>
  <c r="AS480" i="13"/>
  <c r="AT480" i="13"/>
  <c r="AU480" i="13"/>
  <c r="AP481" i="13" l="1"/>
  <c r="AQ481" i="13"/>
  <c r="AR481" i="13"/>
  <c r="AV481" i="13" s="1"/>
  <c r="AS481" i="13"/>
  <c r="AT481" i="13"/>
  <c r="AU481" i="13"/>
  <c r="A483" i="16"/>
  <c r="B482" i="16"/>
  <c r="AM482" i="13" s="1"/>
  <c r="C482" i="16"/>
  <c r="AN482" i="13" s="1"/>
  <c r="D482" i="16"/>
  <c r="AO482" i="13" s="1"/>
  <c r="E482" i="16"/>
  <c r="F482" i="16"/>
  <c r="G482" i="16"/>
  <c r="H482" i="16"/>
  <c r="I482" i="16"/>
  <c r="J482" i="16"/>
  <c r="K482" i="16"/>
  <c r="L482" i="16"/>
  <c r="M482" i="16"/>
  <c r="N482" i="16"/>
  <c r="O482" i="16"/>
  <c r="P482" i="16"/>
  <c r="Q482" i="16"/>
  <c r="AL482" i="13"/>
  <c r="B483" i="16" l="1"/>
  <c r="AM483" i="13" s="1"/>
  <c r="C483" i="16"/>
  <c r="AN483" i="13" s="1"/>
  <c r="D483" i="16"/>
  <c r="AO483" i="13" s="1"/>
  <c r="E483" i="16"/>
  <c r="F483" i="16"/>
  <c r="G483" i="16"/>
  <c r="H483" i="16"/>
  <c r="I483" i="16"/>
  <c r="J483" i="16"/>
  <c r="K483" i="16"/>
  <c r="L483" i="16"/>
  <c r="M483" i="16"/>
  <c r="N483" i="16"/>
  <c r="O483" i="16"/>
  <c r="P483" i="16"/>
  <c r="Q483" i="16"/>
  <c r="AL483" i="13"/>
  <c r="A484" i="16"/>
  <c r="AP482" i="13"/>
  <c r="AQ482" i="13"/>
  <c r="AR482" i="13"/>
  <c r="AV482" i="13" s="1"/>
  <c r="AS482" i="13"/>
  <c r="AT482" i="13"/>
  <c r="AU482" i="13"/>
  <c r="AP483" i="13" l="1"/>
  <c r="AQ483" i="13"/>
  <c r="AR483" i="13"/>
  <c r="AV483" i="13" s="1"/>
  <c r="AS483" i="13"/>
  <c r="AT483" i="13"/>
  <c r="AU483" i="13"/>
  <c r="B484" i="16"/>
  <c r="AM484" i="13" s="1"/>
  <c r="C484" i="16"/>
  <c r="AN484" i="13" s="1"/>
  <c r="D484" i="16"/>
  <c r="AO484" i="13" s="1"/>
  <c r="E484" i="16"/>
  <c r="F484" i="16"/>
  <c r="G484" i="16"/>
  <c r="H484" i="16"/>
  <c r="I484" i="16"/>
  <c r="J484" i="16"/>
  <c r="K484" i="16"/>
  <c r="L484" i="16"/>
  <c r="M484" i="16"/>
  <c r="N484" i="16"/>
  <c r="O484" i="16"/>
  <c r="P484" i="16"/>
  <c r="Q484" i="16"/>
  <c r="AL484" i="13"/>
  <c r="A485" i="16"/>
  <c r="AP484" i="13" l="1"/>
  <c r="AQ484" i="13"/>
  <c r="AR484" i="13"/>
  <c r="AV484" i="13" s="1"/>
  <c r="AS484" i="13"/>
  <c r="AT484" i="13"/>
  <c r="AU484" i="13"/>
  <c r="B485" i="16"/>
  <c r="AM485" i="13" s="1"/>
  <c r="C485" i="16"/>
  <c r="AN485" i="13" s="1"/>
  <c r="D485" i="16"/>
  <c r="AO485" i="13" s="1"/>
  <c r="E485" i="16"/>
  <c r="F485" i="16"/>
  <c r="G485" i="16"/>
  <c r="H485" i="16"/>
  <c r="I485" i="16"/>
  <c r="J485" i="16"/>
  <c r="K485" i="16"/>
  <c r="L485" i="16"/>
  <c r="M485" i="16"/>
  <c r="N485" i="16"/>
  <c r="O485" i="16"/>
  <c r="P485" i="16"/>
  <c r="Q485" i="16"/>
  <c r="AL485" i="13"/>
  <c r="A486" i="16"/>
  <c r="AP485" i="13" l="1"/>
  <c r="AQ485" i="13"/>
  <c r="AR485" i="13"/>
  <c r="AV485" i="13" s="1"/>
  <c r="AS485" i="13"/>
  <c r="AT485" i="13"/>
  <c r="AU485" i="13"/>
  <c r="B486" i="16"/>
  <c r="AM486" i="13" s="1"/>
  <c r="C486" i="16"/>
  <c r="AN486" i="13" s="1"/>
  <c r="D486" i="16"/>
  <c r="AO486" i="13" s="1"/>
  <c r="E486" i="16"/>
  <c r="F486" i="16"/>
  <c r="G486" i="16"/>
  <c r="H486" i="16"/>
  <c r="I486" i="16"/>
  <c r="J486" i="16"/>
  <c r="K486" i="16"/>
  <c r="L486" i="16"/>
  <c r="M486" i="16"/>
  <c r="N486" i="16"/>
  <c r="O486" i="16"/>
  <c r="P486" i="16"/>
  <c r="Q486" i="16"/>
  <c r="AL486" i="13"/>
  <c r="A487" i="16"/>
  <c r="AP486" i="13" l="1"/>
  <c r="AQ486" i="13"/>
  <c r="AR486" i="13"/>
  <c r="AV486" i="13" s="1"/>
  <c r="AS486" i="13"/>
  <c r="AT486" i="13"/>
  <c r="AU486" i="13"/>
  <c r="B487" i="16"/>
  <c r="AM487" i="13" s="1"/>
  <c r="C487" i="16"/>
  <c r="AN487" i="13" s="1"/>
  <c r="D487" i="16"/>
  <c r="AO487" i="13" s="1"/>
  <c r="E487" i="16"/>
  <c r="F487" i="16"/>
  <c r="G487" i="16"/>
  <c r="H487" i="16"/>
  <c r="I487" i="16"/>
  <c r="J487" i="16"/>
  <c r="K487" i="16"/>
  <c r="L487" i="16"/>
  <c r="M487" i="16"/>
  <c r="N487" i="16"/>
  <c r="O487" i="16"/>
  <c r="P487" i="16"/>
  <c r="Q487" i="16"/>
  <c r="AL487" i="13"/>
  <c r="A488" i="16"/>
  <c r="AP487" i="13" l="1"/>
  <c r="AQ487" i="13"/>
  <c r="AR487" i="13"/>
  <c r="AV487" i="13" s="1"/>
  <c r="AS487" i="13"/>
  <c r="AT487" i="13"/>
  <c r="AU487" i="13"/>
  <c r="A489" i="16"/>
  <c r="B488" i="16"/>
  <c r="AM488" i="13" s="1"/>
  <c r="C488" i="16"/>
  <c r="AN488" i="13" s="1"/>
  <c r="D488" i="16"/>
  <c r="AO488" i="13" s="1"/>
  <c r="E488" i="16"/>
  <c r="F488" i="16"/>
  <c r="G488" i="16"/>
  <c r="H488" i="16"/>
  <c r="I488" i="16"/>
  <c r="J488" i="16"/>
  <c r="K488" i="16"/>
  <c r="L488" i="16"/>
  <c r="M488" i="16"/>
  <c r="N488" i="16"/>
  <c r="O488" i="16"/>
  <c r="P488" i="16"/>
  <c r="Q488" i="16"/>
  <c r="AL488" i="13"/>
  <c r="B489" i="16" l="1"/>
  <c r="AM489" i="13" s="1"/>
  <c r="C489" i="16"/>
  <c r="AN489" i="13" s="1"/>
  <c r="D489" i="16"/>
  <c r="AO489" i="13" s="1"/>
  <c r="E489" i="16"/>
  <c r="F489" i="16"/>
  <c r="G489" i="16"/>
  <c r="H489" i="16"/>
  <c r="I489" i="16"/>
  <c r="J489" i="16"/>
  <c r="K489" i="16"/>
  <c r="L489" i="16"/>
  <c r="M489" i="16"/>
  <c r="N489" i="16"/>
  <c r="O489" i="16"/>
  <c r="P489" i="16"/>
  <c r="Q489" i="16"/>
  <c r="AL489" i="13"/>
  <c r="A490" i="16"/>
  <c r="AP488" i="13"/>
  <c r="AQ488" i="13"/>
  <c r="AR488" i="13"/>
  <c r="AV488" i="13" s="1"/>
  <c r="AS488" i="13"/>
  <c r="AT488" i="13"/>
  <c r="AU488" i="13"/>
  <c r="AP489" i="13" l="1"/>
  <c r="AQ489" i="13"/>
  <c r="AR489" i="13"/>
  <c r="AV489" i="13" s="1"/>
  <c r="AS489" i="13"/>
  <c r="AT489" i="13"/>
  <c r="AU489" i="13"/>
  <c r="B490" i="16"/>
  <c r="AM490" i="13" s="1"/>
  <c r="C490" i="16"/>
  <c r="AN490" i="13" s="1"/>
  <c r="D490" i="16"/>
  <c r="AO490" i="13" s="1"/>
  <c r="E490" i="16"/>
  <c r="F490" i="16"/>
  <c r="G490" i="16"/>
  <c r="H490" i="16"/>
  <c r="I490" i="16"/>
  <c r="J490" i="16"/>
  <c r="K490" i="16"/>
  <c r="L490" i="16"/>
  <c r="M490" i="16"/>
  <c r="N490" i="16"/>
  <c r="O490" i="16"/>
  <c r="P490" i="16"/>
  <c r="Q490" i="16"/>
  <c r="AL490" i="13"/>
  <c r="A491" i="16"/>
  <c r="AP490" i="13" l="1"/>
  <c r="AQ490" i="13"/>
  <c r="AR490" i="13"/>
  <c r="AV490" i="13" s="1"/>
  <c r="AS490" i="13"/>
  <c r="AT490" i="13"/>
  <c r="AU490" i="13"/>
  <c r="B491" i="16"/>
  <c r="AM491" i="13" s="1"/>
  <c r="C491" i="16"/>
  <c r="AN491" i="13" s="1"/>
  <c r="D491" i="16"/>
  <c r="AO491" i="13" s="1"/>
  <c r="E491" i="16"/>
  <c r="F491" i="16"/>
  <c r="G491" i="16"/>
  <c r="H491" i="16"/>
  <c r="I491" i="16"/>
  <c r="J491" i="16"/>
  <c r="K491" i="16"/>
  <c r="L491" i="16"/>
  <c r="M491" i="16"/>
  <c r="N491" i="16"/>
  <c r="O491" i="16"/>
  <c r="P491" i="16"/>
  <c r="Q491" i="16"/>
  <c r="AL491" i="13"/>
  <c r="A492" i="16"/>
  <c r="AP491" i="13" l="1"/>
  <c r="AQ491" i="13"/>
  <c r="AR491" i="13"/>
  <c r="AV491" i="13" s="1"/>
  <c r="AS491" i="13"/>
  <c r="AT491" i="13"/>
  <c r="AU491" i="13"/>
  <c r="B492" i="16"/>
  <c r="AM492" i="13" s="1"/>
  <c r="C492" i="16"/>
  <c r="AN492" i="13" s="1"/>
  <c r="D492" i="16"/>
  <c r="AO492" i="13" s="1"/>
  <c r="E492" i="16"/>
  <c r="F492" i="16"/>
  <c r="G492" i="16"/>
  <c r="H492" i="16"/>
  <c r="I492" i="16"/>
  <c r="J492" i="16"/>
  <c r="K492" i="16"/>
  <c r="L492" i="16"/>
  <c r="M492" i="16"/>
  <c r="N492" i="16"/>
  <c r="O492" i="16"/>
  <c r="P492" i="16"/>
  <c r="Q492" i="16"/>
  <c r="AL492" i="13"/>
  <c r="A493" i="16"/>
  <c r="AP492" i="13" l="1"/>
  <c r="AQ492" i="13"/>
  <c r="AR492" i="13"/>
  <c r="AV492" i="13" s="1"/>
  <c r="AS492" i="13"/>
  <c r="AT492" i="13"/>
  <c r="AU492" i="13"/>
  <c r="B493" i="16"/>
  <c r="AM493" i="13" s="1"/>
  <c r="C493" i="16"/>
  <c r="AN493" i="13" s="1"/>
  <c r="D493" i="16"/>
  <c r="AO493" i="13" s="1"/>
  <c r="E493" i="16"/>
  <c r="F493" i="16"/>
  <c r="G493" i="16"/>
  <c r="H493" i="16"/>
  <c r="I493" i="16"/>
  <c r="J493" i="16"/>
  <c r="K493" i="16"/>
  <c r="L493" i="16"/>
  <c r="M493" i="16"/>
  <c r="N493" i="16"/>
  <c r="O493" i="16"/>
  <c r="P493" i="16"/>
  <c r="Q493" i="16"/>
  <c r="AL493" i="13"/>
  <c r="A494" i="16"/>
  <c r="AP493" i="13" l="1"/>
  <c r="AQ493" i="13"/>
  <c r="AR493" i="13"/>
  <c r="AV493" i="13" s="1"/>
  <c r="AS493" i="13"/>
  <c r="AT493" i="13"/>
  <c r="AU493" i="13"/>
  <c r="B494" i="16"/>
  <c r="AM494" i="13" s="1"/>
  <c r="C494" i="16"/>
  <c r="AN494" i="13" s="1"/>
  <c r="D494" i="16"/>
  <c r="AO494" i="13" s="1"/>
  <c r="E494" i="16"/>
  <c r="F494" i="16"/>
  <c r="G494" i="16"/>
  <c r="H494" i="16"/>
  <c r="I494" i="16"/>
  <c r="J494" i="16"/>
  <c r="K494" i="16"/>
  <c r="L494" i="16"/>
  <c r="M494" i="16"/>
  <c r="N494" i="16"/>
  <c r="O494" i="16"/>
  <c r="P494" i="16"/>
  <c r="Q494" i="16"/>
  <c r="AL494" i="13"/>
  <c r="A495" i="16"/>
  <c r="AP494" i="13" l="1"/>
  <c r="AQ494" i="13"/>
  <c r="AR494" i="13"/>
  <c r="AV494" i="13" s="1"/>
  <c r="AS494" i="13"/>
  <c r="AT494" i="13"/>
  <c r="AU494" i="13"/>
  <c r="B495" i="16"/>
  <c r="AM495" i="13" s="1"/>
  <c r="C495" i="16"/>
  <c r="AN495" i="13" s="1"/>
  <c r="D495" i="16"/>
  <c r="AO495" i="13" s="1"/>
  <c r="E495" i="16"/>
  <c r="F495" i="16"/>
  <c r="G495" i="16"/>
  <c r="H495" i="16"/>
  <c r="I495" i="16"/>
  <c r="J495" i="16"/>
  <c r="K495" i="16"/>
  <c r="L495" i="16"/>
  <c r="M495" i="16"/>
  <c r="N495" i="16"/>
  <c r="O495" i="16"/>
  <c r="P495" i="16"/>
  <c r="Q495" i="16"/>
  <c r="AL495" i="13"/>
  <c r="A496" i="16"/>
  <c r="AP495" i="13" l="1"/>
  <c r="AQ495" i="13"/>
  <c r="AR495" i="13"/>
  <c r="AV495" i="13" s="1"/>
  <c r="AS495" i="13"/>
  <c r="AT495" i="13"/>
  <c r="AU495" i="13"/>
  <c r="B496" i="16"/>
  <c r="AM496" i="13" s="1"/>
  <c r="C496" i="16"/>
  <c r="AN496" i="13" s="1"/>
  <c r="D496" i="16"/>
  <c r="AO496" i="13" s="1"/>
  <c r="E496" i="16"/>
  <c r="F496" i="16"/>
  <c r="G496" i="16"/>
  <c r="H496" i="16"/>
  <c r="I496" i="16"/>
  <c r="J496" i="16"/>
  <c r="K496" i="16"/>
  <c r="L496" i="16"/>
  <c r="M496" i="16"/>
  <c r="N496" i="16"/>
  <c r="O496" i="16"/>
  <c r="P496" i="16"/>
  <c r="Q496" i="16"/>
  <c r="AL496" i="13"/>
  <c r="A497" i="16"/>
  <c r="AP496" i="13" l="1"/>
  <c r="AQ496" i="13"/>
  <c r="AR496" i="13"/>
  <c r="AV496" i="13" s="1"/>
  <c r="AS496" i="13"/>
  <c r="AT496" i="13"/>
  <c r="AU496" i="13"/>
  <c r="B497" i="16"/>
  <c r="AM497" i="13" s="1"/>
  <c r="C497" i="16"/>
  <c r="AN497" i="13" s="1"/>
  <c r="D497" i="16"/>
  <c r="AO497" i="13" s="1"/>
  <c r="E497" i="16"/>
  <c r="F497" i="16"/>
  <c r="G497" i="16"/>
  <c r="H497" i="16"/>
  <c r="I497" i="16"/>
  <c r="J497" i="16"/>
  <c r="K497" i="16"/>
  <c r="L497" i="16"/>
  <c r="M497" i="16"/>
  <c r="N497" i="16"/>
  <c r="O497" i="16"/>
  <c r="P497" i="16"/>
  <c r="Q497" i="16"/>
  <c r="AL497" i="13"/>
  <c r="A498" i="16"/>
  <c r="AP497" i="13" l="1"/>
  <c r="AQ497" i="13"/>
  <c r="AR497" i="13"/>
  <c r="AV497" i="13" s="1"/>
  <c r="AS497" i="13"/>
  <c r="AT497" i="13"/>
  <c r="AU497" i="13"/>
  <c r="B498" i="16"/>
  <c r="AM498" i="13" s="1"/>
  <c r="C498" i="16"/>
  <c r="AN498" i="13" s="1"/>
  <c r="D498" i="16"/>
  <c r="AO498" i="13" s="1"/>
  <c r="E498" i="16"/>
  <c r="F498" i="16"/>
  <c r="G498" i="16"/>
  <c r="H498" i="16"/>
  <c r="I498" i="16"/>
  <c r="J498" i="16"/>
  <c r="K498" i="16"/>
  <c r="L498" i="16"/>
  <c r="M498" i="16"/>
  <c r="N498" i="16"/>
  <c r="O498" i="16"/>
  <c r="P498" i="16"/>
  <c r="Q498" i="16"/>
  <c r="AL498" i="13"/>
  <c r="A499" i="16"/>
  <c r="AP498" i="13" l="1"/>
  <c r="AQ498" i="13"/>
  <c r="AR498" i="13"/>
  <c r="AV498" i="13" s="1"/>
  <c r="AS498" i="13"/>
  <c r="AT498" i="13"/>
  <c r="AU498" i="13"/>
  <c r="B499" i="16"/>
  <c r="AM499" i="13" s="1"/>
  <c r="C499" i="16"/>
  <c r="AN499" i="13" s="1"/>
  <c r="D499" i="16"/>
  <c r="AO499" i="13" s="1"/>
  <c r="E499" i="16"/>
  <c r="F499" i="16"/>
  <c r="G499" i="16"/>
  <c r="H499" i="16"/>
  <c r="I499" i="16"/>
  <c r="J499" i="16"/>
  <c r="K499" i="16"/>
  <c r="L499" i="16"/>
  <c r="M499" i="16"/>
  <c r="N499" i="16"/>
  <c r="O499" i="16"/>
  <c r="P499" i="16"/>
  <c r="Q499" i="16"/>
  <c r="AL499" i="13"/>
  <c r="A500" i="16"/>
  <c r="AP499" i="13" l="1"/>
  <c r="AQ499" i="13"/>
  <c r="AR499" i="13"/>
  <c r="AV499" i="13" s="1"/>
  <c r="AS499" i="13"/>
  <c r="AT499" i="13"/>
  <c r="AU499" i="13"/>
  <c r="B500" i="16"/>
  <c r="AM500" i="13" s="1"/>
  <c r="C500" i="16"/>
  <c r="AN500" i="13" s="1"/>
  <c r="D500" i="16"/>
  <c r="AO500" i="13" s="1"/>
  <c r="E500" i="16"/>
  <c r="F500" i="16"/>
  <c r="G500" i="16"/>
  <c r="H500" i="16"/>
  <c r="I500" i="16"/>
  <c r="J500" i="16"/>
  <c r="K500" i="16"/>
  <c r="L500" i="16"/>
  <c r="M500" i="16"/>
  <c r="N500" i="16"/>
  <c r="O500" i="16"/>
  <c r="P500" i="16"/>
  <c r="Q500" i="16"/>
  <c r="AL500" i="13"/>
  <c r="A501" i="16"/>
  <c r="AP500" i="13" l="1"/>
  <c r="AQ500" i="13"/>
  <c r="AR500" i="13"/>
  <c r="AV500" i="13" s="1"/>
  <c r="AS500" i="13"/>
  <c r="AT500" i="13"/>
  <c r="AU500" i="13"/>
  <c r="B501" i="16"/>
  <c r="AM501" i="13" s="1"/>
  <c r="C501" i="16"/>
  <c r="AN501" i="13" s="1"/>
  <c r="D501" i="16"/>
  <c r="AO501" i="13" s="1"/>
  <c r="E501" i="16"/>
  <c r="F501" i="16"/>
  <c r="G501" i="16"/>
  <c r="H501" i="16"/>
  <c r="I501" i="16"/>
  <c r="J501" i="16"/>
  <c r="K501" i="16"/>
  <c r="L501" i="16"/>
  <c r="M501" i="16"/>
  <c r="N501" i="16"/>
  <c r="O501" i="16"/>
  <c r="P501" i="16"/>
  <c r="Q501" i="16"/>
  <c r="AL501" i="13"/>
  <c r="A502" i="16"/>
  <c r="AP501" i="13" l="1"/>
  <c r="AQ501" i="13"/>
  <c r="AR501" i="13"/>
  <c r="AV501" i="13" s="1"/>
  <c r="AS501" i="13"/>
  <c r="AT501" i="13"/>
  <c r="AU501" i="13"/>
  <c r="B502" i="16"/>
  <c r="AM502" i="13" s="1"/>
  <c r="C502" i="16"/>
  <c r="AN502" i="13" s="1"/>
  <c r="D502" i="16"/>
  <c r="AO502" i="13" s="1"/>
  <c r="E502" i="16"/>
  <c r="F502" i="16"/>
  <c r="G502" i="16"/>
  <c r="H502" i="16"/>
  <c r="I502" i="16"/>
  <c r="J502" i="16"/>
  <c r="K502" i="16"/>
  <c r="L502" i="16"/>
  <c r="M502" i="16"/>
  <c r="N502" i="16"/>
  <c r="O502" i="16"/>
  <c r="P502" i="16"/>
  <c r="Q502" i="16"/>
  <c r="AL502" i="13"/>
  <c r="A503" i="16"/>
  <c r="AP502" i="13" l="1"/>
  <c r="AQ502" i="13"/>
  <c r="AR502" i="13"/>
  <c r="AV502" i="13" s="1"/>
  <c r="AS502" i="13"/>
  <c r="AT502" i="13"/>
  <c r="AU502" i="13"/>
  <c r="B503" i="16"/>
  <c r="AM503" i="13" s="1"/>
  <c r="C503" i="16"/>
  <c r="AN503" i="13" s="1"/>
  <c r="D503" i="16"/>
  <c r="AO503" i="13" s="1"/>
  <c r="E503" i="16"/>
  <c r="F503" i="16"/>
  <c r="G503" i="16"/>
  <c r="H503" i="16"/>
  <c r="I503" i="16"/>
  <c r="J503" i="16"/>
  <c r="K503" i="16"/>
  <c r="L503" i="16"/>
  <c r="M503" i="16"/>
  <c r="N503" i="16"/>
  <c r="O503" i="16"/>
  <c r="P503" i="16"/>
  <c r="Q503" i="16"/>
  <c r="AL503" i="13"/>
  <c r="A504" i="16"/>
  <c r="AP503" i="13" l="1"/>
  <c r="AQ503" i="13"/>
  <c r="AR503" i="13"/>
  <c r="AV503" i="13" s="1"/>
  <c r="AS503" i="13"/>
  <c r="AT503" i="13"/>
  <c r="AU503" i="13"/>
  <c r="B504" i="16"/>
  <c r="AM504" i="13" s="1"/>
  <c r="C504" i="16"/>
  <c r="AN504" i="13" s="1"/>
  <c r="D504" i="16"/>
  <c r="AO504" i="13" s="1"/>
  <c r="E504" i="16"/>
  <c r="F504" i="16"/>
  <c r="G504" i="16"/>
  <c r="H504" i="16"/>
  <c r="I504" i="16"/>
  <c r="J504" i="16"/>
  <c r="K504" i="16"/>
  <c r="L504" i="16"/>
  <c r="M504" i="16"/>
  <c r="N504" i="16"/>
  <c r="O504" i="16"/>
  <c r="P504" i="16"/>
  <c r="Q504" i="16"/>
  <c r="AL504" i="13"/>
  <c r="A505" i="16"/>
  <c r="AP504" i="13" l="1"/>
  <c r="AQ504" i="13"/>
  <c r="AR504" i="13"/>
  <c r="AV504" i="13" s="1"/>
  <c r="AS504" i="13"/>
  <c r="AT504" i="13"/>
  <c r="AU504" i="13"/>
  <c r="B505" i="16"/>
  <c r="AM505" i="13" s="1"/>
  <c r="C505" i="16"/>
  <c r="AN505" i="13" s="1"/>
  <c r="D505" i="16"/>
  <c r="AO505" i="13" s="1"/>
  <c r="E505" i="16"/>
  <c r="F505" i="16"/>
  <c r="G505" i="16"/>
  <c r="H505" i="16"/>
  <c r="I505" i="16"/>
  <c r="J505" i="16"/>
  <c r="K505" i="16"/>
  <c r="L505" i="16"/>
  <c r="M505" i="16"/>
  <c r="N505" i="16"/>
  <c r="O505" i="16"/>
  <c r="P505" i="16"/>
  <c r="Q505" i="16"/>
  <c r="AL505" i="13"/>
  <c r="A506" i="16"/>
  <c r="AP505" i="13" l="1"/>
  <c r="AQ505" i="13"/>
  <c r="AR505" i="13"/>
  <c r="AV505" i="13" s="1"/>
  <c r="AS505" i="13"/>
  <c r="AT505" i="13"/>
  <c r="AU505" i="13"/>
  <c r="B506" i="16"/>
  <c r="AM506" i="13" s="1"/>
  <c r="C506" i="16"/>
  <c r="AN506" i="13" s="1"/>
  <c r="D506" i="16"/>
  <c r="AO506" i="13" s="1"/>
  <c r="E506" i="16"/>
  <c r="F506" i="16"/>
  <c r="G506" i="16"/>
  <c r="H506" i="16"/>
  <c r="I506" i="16"/>
  <c r="J506" i="16"/>
  <c r="K506" i="16"/>
  <c r="L506" i="16"/>
  <c r="M506" i="16"/>
  <c r="N506" i="16"/>
  <c r="O506" i="16"/>
  <c r="P506" i="16"/>
  <c r="Q506" i="16"/>
  <c r="AL506" i="13"/>
  <c r="A507" i="16"/>
  <c r="AP506" i="13" l="1"/>
  <c r="AQ506" i="13"/>
  <c r="AR506" i="13"/>
  <c r="AV506" i="13" s="1"/>
  <c r="AS506" i="13"/>
  <c r="AT506" i="13"/>
  <c r="AU506" i="13"/>
  <c r="B507" i="16"/>
  <c r="AM507" i="13" s="1"/>
  <c r="C507" i="16"/>
  <c r="AN507" i="13" s="1"/>
  <c r="D507" i="16"/>
  <c r="AO507" i="13" s="1"/>
  <c r="E507" i="16"/>
  <c r="F507" i="16"/>
  <c r="G507" i="16"/>
  <c r="H507" i="16"/>
  <c r="I507" i="16"/>
  <c r="J507" i="16"/>
  <c r="K507" i="16"/>
  <c r="L507" i="16"/>
  <c r="M507" i="16"/>
  <c r="N507" i="16"/>
  <c r="O507" i="16"/>
  <c r="P507" i="16"/>
  <c r="Q507" i="16"/>
  <c r="AL507" i="13"/>
  <c r="A508" i="16"/>
  <c r="AP507" i="13" l="1"/>
  <c r="AQ507" i="13"/>
  <c r="AR507" i="13"/>
  <c r="AV507" i="13" s="1"/>
  <c r="AS507" i="13"/>
  <c r="AT507" i="13"/>
  <c r="AU507" i="13"/>
  <c r="B508" i="16"/>
  <c r="AM508" i="13" s="1"/>
  <c r="C508" i="16"/>
  <c r="AN508" i="13" s="1"/>
  <c r="D508" i="16"/>
  <c r="AO508" i="13" s="1"/>
  <c r="E508" i="16"/>
  <c r="F508" i="16"/>
  <c r="G508" i="16"/>
  <c r="H508" i="16"/>
  <c r="I508" i="16"/>
  <c r="J508" i="16"/>
  <c r="K508" i="16"/>
  <c r="L508" i="16"/>
  <c r="M508" i="16"/>
  <c r="N508" i="16"/>
  <c r="O508" i="16"/>
  <c r="P508" i="16"/>
  <c r="Q508" i="16"/>
  <c r="AL508" i="13"/>
  <c r="A509" i="16"/>
  <c r="AP508" i="13" l="1"/>
  <c r="AQ508" i="13"/>
  <c r="AR508" i="13"/>
  <c r="AV508" i="13" s="1"/>
  <c r="AS508" i="13"/>
  <c r="AT508" i="13"/>
  <c r="AU508" i="13"/>
  <c r="B509" i="16"/>
  <c r="AM509" i="13" s="1"/>
  <c r="C509" i="16"/>
  <c r="AN509" i="13" s="1"/>
  <c r="D509" i="16"/>
  <c r="AO509" i="13" s="1"/>
  <c r="E509" i="16"/>
  <c r="F509" i="16"/>
  <c r="G509" i="16"/>
  <c r="H509" i="16"/>
  <c r="I509" i="16"/>
  <c r="J509" i="16"/>
  <c r="K509" i="16"/>
  <c r="L509" i="16"/>
  <c r="M509" i="16"/>
  <c r="N509" i="16"/>
  <c r="O509" i="16"/>
  <c r="P509" i="16"/>
  <c r="Q509" i="16"/>
  <c r="AL509" i="13"/>
  <c r="A510" i="16"/>
  <c r="AP509" i="13" l="1"/>
  <c r="AQ509" i="13"/>
  <c r="AR509" i="13"/>
  <c r="AV509" i="13" s="1"/>
  <c r="AS509" i="13"/>
  <c r="AT509" i="13"/>
  <c r="AU509" i="13"/>
  <c r="B510" i="16"/>
  <c r="AM510" i="13" s="1"/>
  <c r="C510" i="16"/>
  <c r="AN510" i="13" s="1"/>
  <c r="D510" i="16"/>
  <c r="AO510" i="13" s="1"/>
  <c r="E510" i="16"/>
  <c r="F510" i="16"/>
  <c r="G510" i="16"/>
  <c r="H510" i="16"/>
  <c r="I510" i="16"/>
  <c r="J510" i="16"/>
  <c r="K510" i="16"/>
  <c r="L510" i="16"/>
  <c r="M510" i="16"/>
  <c r="N510" i="16"/>
  <c r="O510" i="16"/>
  <c r="P510" i="16"/>
  <c r="Q510" i="16"/>
  <c r="AL510" i="13"/>
  <c r="A511" i="16"/>
  <c r="AP510" i="13" l="1"/>
  <c r="AQ510" i="13"/>
  <c r="AR510" i="13"/>
  <c r="AV510" i="13" s="1"/>
  <c r="AS510" i="13"/>
  <c r="AT510" i="13"/>
  <c r="AU510" i="13"/>
  <c r="B511" i="16"/>
  <c r="AM511" i="13" s="1"/>
  <c r="C511" i="16"/>
  <c r="AN511" i="13" s="1"/>
  <c r="D511" i="16"/>
  <c r="AO511" i="13" s="1"/>
  <c r="E511" i="16"/>
  <c r="F511" i="16"/>
  <c r="G511" i="16"/>
  <c r="H511" i="16"/>
  <c r="I511" i="16"/>
  <c r="J511" i="16"/>
  <c r="K511" i="16"/>
  <c r="L511" i="16"/>
  <c r="M511" i="16"/>
  <c r="N511" i="16"/>
  <c r="O511" i="16"/>
  <c r="P511" i="16"/>
  <c r="Q511" i="16"/>
  <c r="AL511" i="13"/>
  <c r="A512" i="16"/>
  <c r="AP511" i="13" l="1"/>
  <c r="AQ511" i="13"/>
  <c r="AR511" i="13"/>
  <c r="AV511" i="13" s="1"/>
  <c r="AS511" i="13"/>
  <c r="AT511" i="13"/>
  <c r="AU511" i="13"/>
  <c r="A513" i="16"/>
  <c r="B512" i="16"/>
  <c r="AM512" i="13" s="1"/>
  <c r="C512" i="16"/>
  <c r="AN512" i="13" s="1"/>
  <c r="D512" i="16"/>
  <c r="AO512" i="13" s="1"/>
  <c r="E512" i="16"/>
  <c r="F512" i="16"/>
  <c r="G512" i="16"/>
  <c r="H512" i="16"/>
  <c r="I512" i="16"/>
  <c r="J512" i="16"/>
  <c r="K512" i="16"/>
  <c r="L512" i="16"/>
  <c r="M512" i="16"/>
  <c r="N512" i="16"/>
  <c r="O512" i="16"/>
  <c r="P512" i="16"/>
  <c r="Q512" i="16"/>
  <c r="AL512" i="13"/>
  <c r="B513" i="16" l="1"/>
  <c r="AM513" i="13" s="1"/>
  <c r="C513" i="16"/>
  <c r="AN513" i="13" s="1"/>
  <c r="D513" i="16"/>
  <c r="AO513" i="13" s="1"/>
  <c r="E513" i="16"/>
  <c r="F513" i="16"/>
  <c r="G513" i="16"/>
  <c r="H513" i="16"/>
  <c r="I513" i="16"/>
  <c r="J513" i="16"/>
  <c r="K513" i="16"/>
  <c r="L513" i="16"/>
  <c r="M513" i="16"/>
  <c r="N513" i="16"/>
  <c r="O513" i="16"/>
  <c r="P513" i="16"/>
  <c r="Q513" i="16"/>
  <c r="AL513" i="13"/>
  <c r="A514" i="16"/>
  <c r="AP512" i="13"/>
  <c r="AQ512" i="13"/>
  <c r="AR512" i="13"/>
  <c r="AV512" i="13" s="1"/>
  <c r="AS512" i="13"/>
  <c r="AT512" i="13"/>
  <c r="AU512" i="13"/>
  <c r="AP513" i="13" l="1"/>
  <c r="AQ513" i="13"/>
  <c r="AR513" i="13"/>
  <c r="AV513" i="13" s="1"/>
  <c r="AS513" i="13"/>
  <c r="AT513" i="13"/>
  <c r="AU513" i="13"/>
  <c r="B514" i="16"/>
  <c r="AM514" i="13" s="1"/>
  <c r="C514" i="16"/>
  <c r="AN514" i="13" s="1"/>
  <c r="D514" i="16"/>
  <c r="AO514" i="13" s="1"/>
  <c r="E514" i="16"/>
  <c r="F514" i="16"/>
  <c r="G514" i="16"/>
  <c r="H514" i="16"/>
  <c r="I514" i="16"/>
  <c r="J514" i="16"/>
  <c r="K514" i="16"/>
  <c r="L514" i="16"/>
  <c r="M514" i="16"/>
  <c r="N514" i="16"/>
  <c r="O514" i="16"/>
  <c r="P514" i="16"/>
  <c r="Q514" i="16"/>
  <c r="AL514" i="13"/>
  <c r="A515" i="16"/>
  <c r="AP514" i="13" l="1"/>
  <c r="AQ514" i="13"/>
  <c r="AR514" i="13"/>
  <c r="AV514" i="13" s="1"/>
  <c r="AS514" i="13"/>
  <c r="AT514" i="13"/>
  <c r="AU514" i="13"/>
  <c r="B515" i="16"/>
  <c r="AM515" i="13" s="1"/>
  <c r="C515" i="16"/>
  <c r="AN515" i="13" s="1"/>
  <c r="D515" i="16"/>
  <c r="AO515" i="13" s="1"/>
  <c r="E515" i="16"/>
  <c r="F515" i="16"/>
  <c r="G515" i="16"/>
  <c r="H515" i="16"/>
  <c r="I515" i="16"/>
  <c r="J515" i="16"/>
  <c r="K515" i="16"/>
  <c r="L515" i="16"/>
  <c r="M515" i="16"/>
  <c r="N515" i="16"/>
  <c r="O515" i="16"/>
  <c r="P515" i="16"/>
  <c r="Q515" i="16"/>
  <c r="AL515" i="13"/>
  <c r="A516" i="16"/>
  <c r="AP515" i="13" l="1"/>
  <c r="AQ515" i="13"/>
  <c r="AR515" i="13"/>
  <c r="AV515" i="13" s="1"/>
  <c r="AS515" i="13"/>
  <c r="AT515" i="13"/>
  <c r="AU515" i="13"/>
  <c r="A517" i="16"/>
  <c r="B516" i="16"/>
  <c r="AM516" i="13" s="1"/>
  <c r="C516" i="16"/>
  <c r="AN516" i="13" s="1"/>
  <c r="D516" i="16"/>
  <c r="AO516" i="13" s="1"/>
  <c r="E516" i="16"/>
  <c r="F516" i="16"/>
  <c r="G516" i="16"/>
  <c r="H516" i="16"/>
  <c r="I516" i="16"/>
  <c r="J516" i="16"/>
  <c r="K516" i="16"/>
  <c r="L516" i="16"/>
  <c r="M516" i="16"/>
  <c r="N516" i="16"/>
  <c r="O516" i="16"/>
  <c r="P516" i="16"/>
  <c r="Q516" i="16"/>
  <c r="AL516" i="13"/>
  <c r="B517" i="16" l="1"/>
  <c r="AM517" i="13" s="1"/>
  <c r="C517" i="16"/>
  <c r="AN517" i="13" s="1"/>
  <c r="D517" i="16"/>
  <c r="AO517" i="13" s="1"/>
  <c r="E517" i="16"/>
  <c r="F517" i="16"/>
  <c r="G517" i="16"/>
  <c r="H517" i="16"/>
  <c r="I517" i="16"/>
  <c r="J517" i="16"/>
  <c r="K517" i="16"/>
  <c r="L517" i="16"/>
  <c r="M517" i="16"/>
  <c r="N517" i="16"/>
  <c r="O517" i="16"/>
  <c r="P517" i="16"/>
  <c r="Q517" i="16"/>
  <c r="AL517" i="13"/>
  <c r="A518" i="16"/>
  <c r="AP516" i="13"/>
  <c r="AQ516" i="13"/>
  <c r="AR516" i="13"/>
  <c r="AV516" i="13" s="1"/>
  <c r="AS516" i="13"/>
  <c r="AT516" i="13"/>
  <c r="AU516" i="13"/>
  <c r="AP517" i="13" l="1"/>
  <c r="AQ517" i="13"/>
  <c r="AR517" i="13"/>
  <c r="AV517" i="13" s="1"/>
  <c r="AS517" i="13"/>
  <c r="AT517" i="13"/>
  <c r="AU517" i="13"/>
  <c r="B518" i="16"/>
  <c r="AM518" i="13" s="1"/>
  <c r="C518" i="16"/>
  <c r="AN518" i="13" s="1"/>
  <c r="D518" i="16"/>
  <c r="AO518" i="13" s="1"/>
  <c r="E518" i="16"/>
  <c r="F518" i="16"/>
  <c r="G518" i="16"/>
  <c r="H518" i="16"/>
  <c r="I518" i="16"/>
  <c r="J518" i="16"/>
  <c r="K518" i="16"/>
  <c r="L518" i="16"/>
  <c r="M518" i="16"/>
  <c r="N518" i="16"/>
  <c r="O518" i="16"/>
  <c r="P518" i="16"/>
  <c r="Q518" i="16"/>
  <c r="AL518" i="13"/>
  <c r="A519" i="16"/>
  <c r="AP518" i="13" l="1"/>
  <c r="AQ518" i="13"/>
  <c r="AR518" i="13"/>
  <c r="AV518" i="13" s="1"/>
  <c r="AS518" i="13"/>
  <c r="AT518" i="13"/>
  <c r="AU518" i="13"/>
  <c r="B519" i="16"/>
  <c r="AM519" i="13" s="1"/>
  <c r="C519" i="16"/>
  <c r="AN519" i="13" s="1"/>
  <c r="D519" i="16"/>
  <c r="AO519" i="13" s="1"/>
  <c r="E519" i="16"/>
  <c r="F519" i="16"/>
  <c r="G519" i="16"/>
  <c r="H519" i="16"/>
  <c r="I519" i="16"/>
  <c r="J519" i="16"/>
  <c r="K519" i="16"/>
  <c r="L519" i="16"/>
  <c r="M519" i="16"/>
  <c r="N519" i="16"/>
  <c r="O519" i="16"/>
  <c r="P519" i="16"/>
  <c r="Q519" i="16"/>
  <c r="AL519" i="13"/>
  <c r="A520" i="16"/>
  <c r="AP519" i="13" l="1"/>
  <c r="AQ519" i="13"/>
  <c r="AR519" i="13"/>
  <c r="AV519" i="13" s="1"/>
  <c r="AS519" i="13"/>
  <c r="AT519" i="13"/>
  <c r="AU519" i="13"/>
  <c r="B520" i="16"/>
  <c r="AM520" i="13" s="1"/>
  <c r="C520" i="16"/>
  <c r="AN520" i="13" s="1"/>
  <c r="D520" i="16"/>
  <c r="AO520" i="13" s="1"/>
  <c r="E520" i="16"/>
  <c r="F520" i="16"/>
  <c r="G520" i="16"/>
  <c r="H520" i="16"/>
  <c r="I520" i="16"/>
  <c r="J520" i="16"/>
  <c r="K520" i="16"/>
  <c r="L520" i="16"/>
  <c r="M520" i="16"/>
  <c r="N520" i="16"/>
  <c r="O520" i="16"/>
  <c r="P520" i="16"/>
  <c r="Q520" i="16"/>
  <c r="AL520" i="13"/>
  <c r="A521" i="16"/>
  <c r="AP520" i="13" l="1"/>
  <c r="AQ520" i="13"/>
  <c r="AR520" i="13"/>
  <c r="AV520" i="13" s="1"/>
  <c r="AS520" i="13"/>
  <c r="AT520" i="13"/>
  <c r="AU520" i="13"/>
  <c r="B521" i="16"/>
  <c r="AM521" i="13" s="1"/>
  <c r="C521" i="16"/>
  <c r="AN521" i="13" s="1"/>
  <c r="D521" i="16"/>
  <c r="AO521" i="13" s="1"/>
  <c r="E521" i="16"/>
  <c r="F521" i="16"/>
  <c r="G521" i="16"/>
  <c r="H521" i="16"/>
  <c r="I521" i="16"/>
  <c r="J521" i="16"/>
  <c r="K521" i="16"/>
  <c r="L521" i="16"/>
  <c r="M521" i="16"/>
  <c r="N521" i="16"/>
  <c r="O521" i="16"/>
  <c r="P521" i="16"/>
  <c r="Q521" i="16"/>
  <c r="AL521" i="13"/>
  <c r="A522" i="16"/>
  <c r="AP521" i="13" l="1"/>
  <c r="AQ521" i="13"/>
  <c r="AR521" i="13"/>
  <c r="AV521" i="13" s="1"/>
  <c r="AS521" i="13"/>
  <c r="AT521" i="13"/>
  <c r="AU521" i="13"/>
  <c r="B522" i="16"/>
  <c r="AM522" i="13" s="1"/>
  <c r="C522" i="16"/>
  <c r="AN522" i="13" s="1"/>
  <c r="D522" i="16"/>
  <c r="AO522" i="13" s="1"/>
  <c r="E522" i="16"/>
  <c r="F522" i="16"/>
  <c r="G522" i="16"/>
  <c r="H522" i="16"/>
  <c r="I522" i="16"/>
  <c r="J522" i="16"/>
  <c r="K522" i="16"/>
  <c r="L522" i="16"/>
  <c r="M522" i="16"/>
  <c r="N522" i="16"/>
  <c r="O522" i="16"/>
  <c r="P522" i="16"/>
  <c r="Q522" i="16"/>
  <c r="AL522" i="13"/>
  <c r="A523" i="16"/>
  <c r="AP522" i="13" l="1"/>
  <c r="AQ522" i="13"/>
  <c r="AR522" i="13"/>
  <c r="AV522" i="13" s="1"/>
  <c r="AS522" i="13"/>
  <c r="AT522" i="13"/>
  <c r="AU522" i="13"/>
  <c r="A524" i="16"/>
  <c r="B523" i="16"/>
  <c r="AM523" i="13" s="1"/>
  <c r="C523" i="16"/>
  <c r="AN523" i="13" s="1"/>
  <c r="D523" i="16"/>
  <c r="AO523" i="13" s="1"/>
  <c r="E523" i="16"/>
  <c r="F523" i="16"/>
  <c r="G523" i="16"/>
  <c r="H523" i="16"/>
  <c r="I523" i="16"/>
  <c r="J523" i="16"/>
  <c r="K523" i="16"/>
  <c r="L523" i="16"/>
  <c r="M523" i="16"/>
  <c r="N523" i="16"/>
  <c r="O523" i="16"/>
  <c r="P523" i="16"/>
  <c r="Q523" i="16"/>
  <c r="AL523" i="13"/>
  <c r="B524" i="16" l="1"/>
  <c r="AM524" i="13" s="1"/>
  <c r="C524" i="16"/>
  <c r="AN524" i="13" s="1"/>
  <c r="D524" i="16"/>
  <c r="AO524" i="13" s="1"/>
  <c r="E524" i="16"/>
  <c r="F524" i="16"/>
  <c r="G524" i="16"/>
  <c r="H524" i="16"/>
  <c r="I524" i="16"/>
  <c r="J524" i="16"/>
  <c r="K524" i="16"/>
  <c r="L524" i="16"/>
  <c r="M524" i="16"/>
  <c r="N524" i="16"/>
  <c r="O524" i="16"/>
  <c r="P524" i="16"/>
  <c r="Q524" i="16"/>
  <c r="AL524" i="13"/>
  <c r="A525" i="16"/>
  <c r="AP523" i="13"/>
  <c r="AQ523" i="13"/>
  <c r="AR523" i="13"/>
  <c r="AV523" i="13" s="1"/>
  <c r="AS523" i="13"/>
  <c r="AT523" i="13"/>
  <c r="AU523" i="13"/>
  <c r="AP524" i="13" l="1"/>
  <c r="AQ524" i="13"/>
  <c r="AR524" i="13"/>
  <c r="AV524" i="13" s="1"/>
  <c r="AS524" i="13"/>
  <c r="AT524" i="13"/>
  <c r="AU524" i="13"/>
  <c r="B525" i="16"/>
  <c r="AM525" i="13" s="1"/>
  <c r="C525" i="16"/>
  <c r="AN525" i="13" s="1"/>
  <c r="D525" i="16"/>
  <c r="AO525" i="13" s="1"/>
  <c r="E525" i="16"/>
  <c r="F525" i="16"/>
  <c r="G525" i="16"/>
  <c r="H525" i="16"/>
  <c r="I525" i="16"/>
  <c r="J525" i="16"/>
  <c r="K525" i="16"/>
  <c r="L525" i="16"/>
  <c r="M525" i="16"/>
  <c r="N525" i="16"/>
  <c r="O525" i="16"/>
  <c r="P525" i="16"/>
  <c r="Q525" i="16"/>
  <c r="AL525" i="13"/>
  <c r="A526" i="16"/>
  <c r="AP525" i="13" l="1"/>
  <c r="AQ525" i="13"/>
  <c r="AR525" i="13"/>
  <c r="AV525" i="13" s="1"/>
  <c r="AS525" i="13"/>
  <c r="AT525" i="13"/>
  <c r="AU525" i="13"/>
  <c r="B526" i="16"/>
  <c r="AM526" i="13" s="1"/>
  <c r="C526" i="16"/>
  <c r="AN526" i="13" s="1"/>
  <c r="D526" i="16"/>
  <c r="AO526" i="13" s="1"/>
  <c r="E526" i="16"/>
  <c r="F526" i="16"/>
  <c r="G526" i="16"/>
  <c r="H526" i="16"/>
  <c r="I526" i="16"/>
  <c r="J526" i="16"/>
  <c r="K526" i="16"/>
  <c r="L526" i="16"/>
  <c r="M526" i="16"/>
  <c r="N526" i="16"/>
  <c r="O526" i="16"/>
  <c r="P526" i="16"/>
  <c r="Q526" i="16"/>
  <c r="AL526" i="13"/>
  <c r="A527" i="16"/>
  <c r="AP526" i="13" l="1"/>
  <c r="AQ526" i="13"/>
  <c r="AR526" i="13"/>
  <c r="AV526" i="13" s="1"/>
  <c r="AS526" i="13"/>
  <c r="AT526" i="13"/>
  <c r="AU526" i="13"/>
  <c r="A528" i="16"/>
  <c r="B527" i="16"/>
  <c r="AM527" i="13" s="1"/>
  <c r="C527" i="16"/>
  <c r="AN527" i="13" s="1"/>
  <c r="D527" i="16"/>
  <c r="AO527" i="13" s="1"/>
  <c r="E527" i="16"/>
  <c r="F527" i="16"/>
  <c r="G527" i="16"/>
  <c r="H527" i="16"/>
  <c r="I527" i="16"/>
  <c r="J527" i="16"/>
  <c r="K527" i="16"/>
  <c r="L527" i="16"/>
  <c r="M527" i="16"/>
  <c r="N527" i="16"/>
  <c r="O527" i="16"/>
  <c r="P527" i="16"/>
  <c r="Q527" i="16"/>
  <c r="AL527" i="13"/>
  <c r="B528" i="16" l="1"/>
  <c r="AM528" i="13" s="1"/>
  <c r="C528" i="16"/>
  <c r="AN528" i="13" s="1"/>
  <c r="D528" i="16"/>
  <c r="AO528" i="13" s="1"/>
  <c r="E528" i="16"/>
  <c r="F528" i="16"/>
  <c r="G528" i="16"/>
  <c r="H528" i="16"/>
  <c r="I528" i="16"/>
  <c r="J528" i="16"/>
  <c r="K528" i="16"/>
  <c r="L528" i="16"/>
  <c r="M528" i="16"/>
  <c r="N528" i="16"/>
  <c r="O528" i="16"/>
  <c r="P528" i="16"/>
  <c r="Q528" i="16"/>
  <c r="AL528" i="13"/>
  <c r="A529" i="16"/>
  <c r="AP527" i="13"/>
  <c r="AQ527" i="13"/>
  <c r="AR527" i="13"/>
  <c r="AV527" i="13" s="1"/>
  <c r="AS527" i="13"/>
  <c r="AT527" i="13"/>
  <c r="AU527" i="13"/>
  <c r="AP528" i="13" l="1"/>
  <c r="AQ528" i="13"/>
  <c r="AR528" i="13"/>
  <c r="AV528" i="13" s="1"/>
  <c r="AS528" i="13"/>
  <c r="AT528" i="13"/>
  <c r="AU528" i="13"/>
  <c r="B529" i="16"/>
  <c r="AM529" i="13" s="1"/>
  <c r="C529" i="16"/>
  <c r="AN529" i="13" s="1"/>
  <c r="D529" i="16"/>
  <c r="AO529" i="13" s="1"/>
  <c r="E529" i="16"/>
  <c r="F529" i="16"/>
  <c r="G529" i="16"/>
  <c r="H529" i="16"/>
  <c r="I529" i="16"/>
  <c r="J529" i="16"/>
  <c r="K529" i="16"/>
  <c r="L529" i="16"/>
  <c r="M529" i="16"/>
  <c r="N529" i="16"/>
  <c r="O529" i="16"/>
  <c r="P529" i="16"/>
  <c r="Q529" i="16"/>
  <c r="AL529" i="13"/>
  <c r="A530" i="16"/>
  <c r="AP529" i="13" l="1"/>
  <c r="AQ529" i="13"/>
  <c r="AR529" i="13"/>
  <c r="AV529" i="13" s="1"/>
  <c r="AS529" i="13"/>
  <c r="AT529" i="13"/>
  <c r="AU529" i="13"/>
  <c r="B530" i="16"/>
  <c r="AM530" i="13" s="1"/>
  <c r="C530" i="16"/>
  <c r="AN530" i="13" s="1"/>
  <c r="D530" i="16"/>
  <c r="AO530" i="13" s="1"/>
  <c r="E530" i="16"/>
  <c r="F530" i="16"/>
  <c r="G530" i="16"/>
  <c r="H530" i="16"/>
  <c r="I530" i="16"/>
  <c r="J530" i="16"/>
  <c r="K530" i="16"/>
  <c r="L530" i="16"/>
  <c r="M530" i="16"/>
  <c r="N530" i="16"/>
  <c r="O530" i="16"/>
  <c r="P530" i="16"/>
  <c r="Q530" i="16"/>
  <c r="AL530" i="13"/>
  <c r="A531" i="16"/>
  <c r="AP530" i="13" l="1"/>
  <c r="AQ530" i="13"/>
  <c r="AR530" i="13"/>
  <c r="AV530" i="13" s="1"/>
  <c r="AS530" i="13"/>
  <c r="AT530" i="13"/>
  <c r="AU530" i="13"/>
  <c r="A532" i="16"/>
  <c r="B531" i="16"/>
  <c r="AM531" i="13" s="1"/>
  <c r="C531" i="16"/>
  <c r="AN531" i="13" s="1"/>
  <c r="D531" i="16"/>
  <c r="AO531" i="13" s="1"/>
  <c r="E531" i="16"/>
  <c r="F531" i="16"/>
  <c r="G531" i="16"/>
  <c r="H531" i="16"/>
  <c r="I531" i="16"/>
  <c r="J531" i="16"/>
  <c r="K531" i="16"/>
  <c r="L531" i="16"/>
  <c r="M531" i="16"/>
  <c r="N531" i="16"/>
  <c r="O531" i="16"/>
  <c r="P531" i="16"/>
  <c r="Q531" i="16"/>
  <c r="AL531" i="13"/>
  <c r="B532" i="16" l="1"/>
  <c r="AM532" i="13" s="1"/>
  <c r="C532" i="16"/>
  <c r="AN532" i="13" s="1"/>
  <c r="D532" i="16"/>
  <c r="AO532" i="13" s="1"/>
  <c r="E532" i="16"/>
  <c r="F532" i="16"/>
  <c r="G532" i="16"/>
  <c r="H532" i="16"/>
  <c r="I532" i="16"/>
  <c r="J532" i="16"/>
  <c r="K532" i="16"/>
  <c r="L532" i="16"/>
  <c r="M532" i="16"/>
  <c r="N532" i="16"/>
  <c r="O532" i="16"/>
  <c r="P532" i="16"/>
  <c r="Q532" i="16"/>
  <c r="AL532" i="13"/>
  <c r="A533" i="16"/>
  <c r="AP531" i="13"/>
  <c r="AQ531" i="13"/>
  <c r="AR531" i="13"/>
  <c r="AV531" i="13" s="1"/>
  <c r="AS531" i="13"/>
  <c r="AT531" i="13"/>
  <c r="AU531" i="13"/>
  <c r="AP532" i="13" l="1"/>
  <c r="AQ532" i="13"/>
  <c r="AR532" i="13"/>
  <c r="AV532" i="13" s="1"/>
  <c r="AS532" i="13"/>
  <c r="AT532" i="13"/>
  <c r="AU532" i="13"/>
  <c r="B533" i="16"/>
  <c r="AM533" i="13" s="1"/>
  <c r="C533" i="16"/>
  <c r="AN533" i="13" s="1"/>
  <c r="D533" i="16"/>
  <c r="AO533" i="13" s="1"/>
  <c r="E533" i="16"/>
  <c r="F533" i="16"/>
  <c r="G533" i="16"/>
  <c r="H533" i="16"/>
  <c r="I533" i="16"/>
  <c r="J533" i="16"/>
  <c r="K533" i="16"/>
  <c r="L533" i="16"/>
  <c r="M533" i="16"/>
  <c r="N533" i="16"/>
  <c r="O533" i="16"/>
  <c r="P533" i="16"/>
  <c r="Q533" i="16"/>
  <c r="AL533" i="13"/>
  <c r="A534" i="16"/>
  <c r="AP533" i="13" l="1"/>
  <c r="AQ533" i="13"/>
  <c r="AR533" i="13"/>
  <c r="AV533" i="13" s="1"/>
  <c r="AS533" i="13"/>
  <c r="AT533" i="13"/>
  <c r="AU533" i="13"/>
  <c r="B534" i="16"/>
  <c r="AM534" i="13" s="1"/>
  <c r="C534" i="16"/>
  <c r="AN534" i="13" s="1"/>
  <c r="D534" i="16"/>
  <c r="AO534" i="13" s="1"/>
  <c r="E534" i="16"/>
  <c r="F534" i="16"/>
  <c r="G534" i="16"/>
  <c r="H534" i="16"/>
  <c r="I534" i="16"/>
  <c r="J534" i="16"/>
  <c r="K534" i="16"/>
  <c r="L534" i="16"/>
  <c r="M534" i="16"/>
  <c r="N534" i="16"/>
  <c r="O534" i="16"/>
  <c r="P534" i="16"/>
  <c r="Q534" i="16"/>
  <c r="AL534" i="13"/>
  <c r="A535" i="16"/>
  <c r="AP534" i="13" l="1"/>
  <c r="AQ534" i="13"/>
  <c r="AR534" i="13"/>
  <c r="AV534" i="13" s="1"/>
  <c r="AS534" i="13"/>
  <c r="AT534" i="13"/>
  <c r="AU534" i="13"/>
  <c r="A536" i="16"/>
  <c r="B535" i="16"/>
  <c r="AM535" i="13" s="1"/>
  <c r="C535" i="16"/>
  <c r="AN535" i="13" s="1"/>
  <c r="D535" i="16"/>
  <c r="AO535" i="13" s="1"/>
  <c r="E535" i="16"/>
  <c r="F535" i="16"/>
  <c r="G535" i="16"/>
  <c r="H535" i="16"/>
  <c r="I535" i="16"/>
  <c r="J535" i="16"/>
  <c r="K535" i="16"/>
  <c r="L535" i="16"/>
  <c r="M535" i="16"/>
  <c r="N535" i="16"/>
  <c r="O535" i="16"/>
  <c r="P535" i="16"/>
  <c r="Q535" i="16"/>
  <c r="AL535" i="13"/>
  <c r="B536" i="16" l="1"/>
  <c r="AM536" i="13" s="1"/>
  <c r="C536" i="16"/>
  <c r="AN536" i="13" s="1"/>
  <c r="D536" i="16"/>
  <c r="AO536" i="13" s="1"/>
  <c r="E536" i="16"/>
  <c r="F536" i="16"/>
  <c r="G536" i="16"/>
  <c r="H536" i="16"/>
  <c r="I536" i="16"/>
  <c r="J536" i="16"/>
  <c r="K536" i="16"/>
  <c r="L536" i="16"/>
  <c r="M536" i="16"/>
  <c r="N536" i="16"/>
  <c r="O536" i="16"/>
  <c r="P536" i="16"/>
  <c r="Q536" i="16"/>
  <c r="AL536" i="13"/>
  <c r="A537" i="16"/>
  <c r="AP535" i="13"/>
  <c r="AQ535" i="13"/>
  <c r="AR535" i="13"/>
  <c r="AV535" i="13" s="1"/>
  <c r="AS535" i="13"/>
  <c r="AT535" i="13"/>
  <c r="AU535" i="13"/>
  <c r="AP536" i="13" l="1"/>
  <c r="AQ536" i="13"/>
  <c r="AR536" i="13"/>
  <c r="AV536" i="13" s="1"/>
  <c r="AS536" i="13"/>
  <c r="AT536" i="13"/>
  <c r="AU536" i="13"/>
  <c r="A538" i="16"/>
  <c r="B537" i="16"/>
  <c r="AM537" i="13" s="1"/>
  <c r="C537" i="16"/>
  <c r="AN537" i="13" s="1"/>
  <c r="D537" i="16"/>
  <c r="AO537" i="13" s="1"/>
  <c r="E537" i="16"/>
  <c r="F537" i="16"/>
  <c r="G537" i="16"/>
  <c r="H537" i="16"/>
  <c r="I537" i="16"/>
  <c r="J537" i="16"/>
  <c r="K537" i="16"/>
  <c r="L537" i="16"/>
  <c r="M537" i="16"/>
  <c r="N537" i="16"/>
  <c r="O537" i="16"/>
  <c r="P537" i="16"/>
  <c r="Q537" i="16"/>
  <c r="AL537" i="13"/>
  <c r="B538" i="16" l="1"/>
  <c r="AM538" i="13" s="1"/>
  <c r="C538" i="16"/>
  <c r="AN538" i="13" s="1"/>
  <c r="D538" i="16"/>
  <c r="AO538" i="13" s="1"/>
  <c r="E538" i="16"/>
  <c r="F538" i="16"/>
  <c r="G538" i="16"/>
  <c r="H538" i="16"/>
  <c r="I538" i="16"/>
  <c r="J538" i="16"/>
  <c r="K538" i="16"/>
  <c r="L538" i="16"/>
  <c r="M538" i="16"/>
  <c r="N538" i="16"/>
  <c r="O538" i="16"/>
  <c r="P538" i="16"/>
  <c r="Q538" i="16"/>
  <c r="AL538" i="13"/>
  <c r="A539" i="16"/>
  <c r="AP537" i="13"/>
  <c r="AQ537" i="13"/>
  <c r="AR537" i="13"/>
  <c r="AV537" i="13" s="1"/>
  <c r="AS537" i="13"/>
  <c r="AT537" i="13"/>
  <c r="AU537" i="13"/>
  <c r="AP538" i="13" l="1"/>
  <c r="AQ538" i="13"/>
  <c r="AR538" i="13"/>
  <c r="AV538" i="13" s="1"/>
  <c r="AS538" i="13"/>
  <c r="AT538" i="13"/>
  <c r="AU538" i="13"/>
  <c r="B539" i="16"/>
  <c r="AM539" i="13" s="1"/>
  <c r="C539" i="16"/>
  <c r="AN539" i="13" s="1"/>
  <c r="D539" i="16"/>
  <c r="AO539" i="13" s="1"/>
  <c r="E539" i="16"/>
  <c r="F539" i="16"/>
  <c r="G539" i="16"/>
  <c r="H539" i="16"/>
  <c r="I539" i="16"/>
  <c r="J539" i="16"/>
  <c r="K539" i="16"/>
  <c r="L539" i="16"/>
  <c r="M539" i="16"/>
  <c r="N539" i="16"/>
  <c r="O539" i="16"/>
  <c r="P539" i="16"/>
  <c r="Q539" i="16"/>
  <c r="AL539" i="13"/>
  <c r="A540" i="16"/>
  <c r="AP539" i="13" l="1"/>
  <c r="AQ539" i="13"/>
  <c r="AR539" i="13"/>
  <c r="AV539" i="13" s="1"/>
  <c r="AS539" i="13"/>
  <c r="AT539" i="13"/>
  <c r="AU539" i="13"/>
  <c r="A541" i="16"/>
  <c r="B540" i="16"/>
  <c r="AM540" i="13" s="1"/>
  <c r="C540" i="16"/>
  <c r="AN540" i="13" s="1"/>
  <c r="D540" i="16"/>
  <c r="AO540" i="13" s="1"/>
  <c r="E540" i="16"/>
  <c r="F540" i="16"/>
  <c r="G540" i="16"/>
  <c r="H540" i="16"/>
  <c r="I540" i="16"/>
  <c r="J540" i="16"/>
  <c r="K540" i="16"/>
  <c r="L540" i="16"/>
  <c r="M540" i="16"/>
  <c r="N540" i="16"/>
  <c r="O540" i="16"/>
  <c r="P540" i="16"/>
  <c r="Q540" i="16"/>
  <c r="AL540" i="13"/>
  <c r="B541" i="16" l="1"/>
  <c r="AM541" i="13" s="1"/>
  <c r="C541" i="16"/>
  <c r="AN541" i="13" s="1"/>
  <c r="D541" i="16"/>
  <c r="AO541" i="13" s="1"/>
  <c r="E541" i="16"/>
  <c r="F541" i="16"/>
  <c r="G541" i="16"/>
  <c r="H541" i="16"/>
  <c r="I541" i="16"/>
  <c r="J541" i="16"/>
  <c r="K541" i="16"/>
  <c r="L541" i="16"/>
  <c r="M541" i="16"/>
  <c r="N541" i="16"/>
  <c r="O541" i="16"/>
  <c r="P541" i="16"/>
  <c r="Q541" i="16"/>
  <c r="AL541" i="13"/>
  <c r="A542" i="16"/>
  <c r="AP540" i="13"/>
  <c r="AQ540" i="13"/>
  <c r="AR540" i="13"/>
  <c r="AV540" i="13" s="1"/>
  <c r="AS540" i="13"/>
  <c r="AT540" i="13"/>
  <c r="AU540" i="13"/>
  <c r="AP541" i="13" l="1"/>
  <c r="AQ541" i="13"/>
  <c r="AR541" i="13"/>
  <c r="AV541" i="13" s="1"/>
  <c r="AS541" i="13"/>
  <c r="AT541" i="13"/>
  <c r="AU541" i="13"/>
  <c r="B542" i="16"/>
  <c r="AM542" i="13" s="1"/>
  <c r="C542" i="16"/>
  <c r="AN542" i="13" s="1"/>
  <c r="D542" i="16"/>
  <c r="AO542" i="13" s="1"/>
  <c r="E542" i="16"/>
  <c r="F542" i="16"/>
  <c r="G542" i="16"/>
  <c r="H542" i="16"/>
  <c r="I542" i="16"/>
  <c r="J542" i="16"/>
  <c r="K542" i="16"/>
  <c r="L542" i="16"/>
  <c r="M542" i="16"/>
  <c r="N542" i="16"/>
  <c r="O542" i="16"/>
  <c r="P542" i="16"/>
  <c r="Q542" i="16"/>
  <c r="AL542" i="13"/>
  <c r="A543" i="16"/>
  <c r="AP542" i="13" l="1"/>
  <c r="AQ542" i="13"/>
  <c r="AR542" i="13"/>
  <c r="AV542" i="13" s="1"/>
  <c r="AS542" i="13"/>
  <c r="AT542" i="13"/>
  <c r="AU542" i="13"/>
  <c r="B543" i="16"/>
  <c r="AM543" i="13" s="1"/>
  <c r="C543" i="16"/>
  <c r="AN543" i="13" s="1"/>
  <c r="D543" i="16"/>
  <c r="AO543" i="13" s="1"/>
  <c r="E543" i="16"/>
  <c r="F543" i="16"/>
  <c r="G543" i="16"/>
  <c r="H543" i="16"/>
  <c r="I543" i="16"/>
  <c r="J543" i="16"/>
  <c r="K543" i="16"/>
  <c r="L543" i="16"/>
  <c r="M543" i="16"/>
  <c r="N543" i="16"/>
  <c r="O543" i="16"/>
  <c r="P543" i="16"/>
  <c r="Q543" i="16"/>
  <c r="AL543" i="13"/>
  <c r="A544" i="16"/>
  <c r="AP543" i="13" l="1"/>
  <c r="AQ543" i="13"/>
  <c r="AR543" i="13"/>
  <c r="AV543" i="13" s="1"/>
  <c r="AS543" i="13"/>
  <c r="AT543" i="13"/>
  <c r="AU543" i="13"/>
  <c r="B544" i="16"/>
  <c r="AM544" i="13" s="1"/>
  <c r="C544" i="16"/>
  <c r="AN544" i="13" s="1"/>
  <c r="D544" i="16"/>
  <c r="AO544" i="13" s="1"/>
  <c r="E544" i="16"/>
  <c r="F544" i="16"/>
  <c r="G544" i="16"/>
  <c r="H544" i="16"/>
  <c r="I544" i="16"/>
  <c r="J544" i="16"/>
  <c r="K544" i="16"/>
  <c r="L544" i="16"/>
  <c r="M544" i="16"/>
  <c r="N544" i="16"/>
  <c r="O544" i="16"/>
  <c r="P544" i="16"/>
  <c r="Q544" i="16"/>
  <c r="AL544" i="13"/>
  <c r="A545" i="16"/>
  <c r="AP544" i="13" l="1"/>
  <c r="AQ544" i="13"/>
  <c r="AR544" i="13"/>
  <c r="AV544" i="13" s="1"/>
  <c r="AS544" i="13"/>
  <c r="AT544" i="13"/>
  <c r="AU544" i="13"/>
  <c r="A546" i="16"/>
  <c r="B545" i="16"/>
  <c r="AM545" i="13" s="1"/>
  <c r="C545" i="16"/>
  <c r="AN545" i="13" s="1"/>
  <c r="D545" i="16"/>
  <c r="AO545" i="13" s="1"/>
  <c r="E545" i="16"/>
  <c r="F545" i="16"/>
  <c r="G545" i="16"/>
  <c r="H545" i="16"/>
  <c r="I545" i="16"/>
  <c r="J545" i="16"/>
  <c r="K545" i="16"/>
  <c r="L545" i="16"/>
  <c r="M545" i="16"/>
  <c r="N545" i="16"/>
  <c r="O545" i="16"/>
  <c r="P545" i="16"/>
  <c r="Q545" i="16"/>
  <c r="AL545" i="13"/>
  <c r="B546" i="16" l="1"/>
  <c r="AM546" i="13" s="1"/>
  <c r="C546" i="16"/>
  <c r="AN546" i="13" s="1"/>
  <c r="D546" i="16"/>
  <c r="AO546" i="13" s="1"/>
  <c r="E546" i="16"/>
  <c r="F546" i="16"/>
  <c r="G546" i="16"/>
  <c r="H546" i="16"/>
  <c r="I546" i="16"/>
  <c r="J546" i="16"/>
  <c r="K546" i="16"/>
  <c r="L546" i="16"/>
  <c r="M546" i="16"/>
  <c r="N546" i="16"/>
  <c r="O546" i="16"/>
  <c r="P546" i="16"/>
  <c r="Q546" i="16"/>
  <c r="AL546" i="13"/>
  <c r="A547" i="16"/>
  <c r="AP545" i="13"/>
  <c r="AQ545" i="13"/>
  <c r="AR545" i="13"/>
  <c r="AV545" i="13" s="1"/>
  <c r="AS545" i="13"/>
  <c r="AT545" i="13"/>
  <c r="AU545" i="13"/>
  <c r="AP546" i="13" l="1"/>
  <c r="AQ546" i="13"/>
  <c r="AR546" i="13"/>
  <c r="AV546" i="13" s="1"/>
  <c r="AS546" i="13"/>
  <c r="AT546" i="13"/>
  <c r="AU546" i="13"/>
  <c r="A548" i="16"/>
  <c r="B547" i="16"/>
  <c r="AM547" i="13" s="1"/>
  <c r="C547" i="16"/>
  <c r="AN547" i="13" s="1"/>
  <c r="D547" i="16"/>
  <c r="AO547" i="13" s="1"/>
  <c r="E547" i="16"/>
  <c r="F547" i="16"/>
  <c r="G547" i="16"/>
  <c r="H547" i="16"/>
  <c r="I547" i="16"/>
  <c r="J547" i="16"/>
  <c r="K547" i="16"/>
  <c r="L547" i="16"/>
  <c r="M547" i="16"/>
  <c r="N547" i="16"/>
  <c r="O547" i="16"/>
  <c r="P547" i="16"/>
  <c r="Q547" i="16"/>
  <c r="AL547" i="13"/>
  <c r="B548" i="16" l="1"/>
  <c r="AM548" i="13" s="1"/>
  <c r="C548" i="16"/>
  <c r="AN548" i="13" s="1"/>
  <c r="D548" i="16"/>
  <c r="AO548" i="13" s="1"/>
  <c r="E548" i="16"/>
  <c r="F548" i="16"/>
  <c r="G548" i="16"/>
  <c r="H548" i="16"/>
  <c r="I548" i="16"/>
  <c r="J548" i="16"/>
  <c r="K548" i="16"/>
  <c r="L548" i="16"/>
  <c r="M548" i="16"/>
  <c r="N548" i="16"/>
  <c r="O548" i="16"/>
  <c r="P548" i="16"/>
  <c r="Q548" i="16"/>
  <c r="AL548" i="13"/>
  <c r="A549" i="16"/>
  <c r="AP547" i="13"/>
  <c r="AQ547" i="13"/>
  <c r="AR547" i="13"/>
  <c r="AV547" i="13" s="1"/>
  <c r="AS547" i="13"/>
  <c r="AT547" i="13"/>
  <c r="AU547" i="13"/>
  <c r="AP548" i="13" l="1"/>
  <c r="AQ548" i="13"/>
  <c r="AR548" i="13"/>
  <c r="AV548" i="13" s="1"/>
  <c r="AS548" i="13"/>
  <c r="AT548" i="13"/>
  <c r="AU548" i="13"/>
  <c r="B549" i="16"/>
  <c r="AM549" i="13" s="1"/>
  <c r="C549" i="16"/>
  <c r="AN549" i="13" s="1"/>
  <c r="D549" i="16"/>
  <c r="AO549" i="13" s="1"/>
  <c r="E549" i="16"/>
  <c r="F549" i="16"/>
  <c r="G549" i="16"/>
  <c r="H549" i="16"/>
  <c r="I549" i="16"/>
  <c r="J549" i="16"/>
  <c r="K549" i="16"/>
  <c r="L549" i="16"/>
  <c r="M549" i="16"/>
  <c r="N549" i="16"/>
  <c r="O549" i="16"/>
  <c r="P549" i="16"/>
  <c r="Q549" i="16"/>
  <c r="AL549" i="13"/>
  <c r="A550" i="16"/>
  <c r="AP549" i="13" l="1"/>
  <c r="AQ549" i="13"/>
  <c r="AR549" i="13"/>
  <c r="AV549" i="13" s="1"/>
  <c r="AS549" i="13"/>
  <c r="AT549" i="13"/>
  <c r="AU549" i="13"/>
  <c r="A551" i="16"/>
  <c r="B550" i="16"/>
  <c r="AM550" i="13" s="1"/>
  <c r="C550" i="16"/>
  <c r="AN550" i="13" s="1"/>
  <c r="D550" i="16"/>
  <c r="AO550" i="13" s="1"/>
  <c r="E550" i="16"/>
  <c r="F550" i="16"/>
  <c r="G550" i="16"/>
  <c r="H550" i="16"/>
  <c r="I550" i="16"/>
  <c r="J550" i="16"/>
  <c r="K550" i="16"/>
  <c r="L550" i="16"/>
  <c r="M550" i="16"/>
  <c r="N550" i="16"/>
  <c r="O550" i="16"/>
  <c r="P550" i="16"/>
  <c r="Q550" i="16"/>
  <c r="AL550" i="13"/>
  <c r="B551" i="16" l="1"/>
  <c r="AM551" i="13" s="1"/>
  <c r="C551" i="16"/>
  <c r="AN551" i="13" s="1"/>
  <c r="D551" i="16"/>
  <c r="AO551" i="13" s="1"/>
  <c r="E551" i="16"/>
  <c r="F551" i="16"/>
  <c r="G551" i="16"/>
  <c r="H551" i="16"/>
  <c r="I551" i="16"/>
  <c r="J551" i="16"/>
  <c r="K551" i="16"/>
  <c r="L551" i="16"/>
  <c r="M551" i="16"/>
  <c r="N551" i="16"/>
  <c r="O551" i="16"/>
  <c r="P551" i="16"/>
  <c r="Q551" i="16"/>
  <c r="AL551" i="13"/>
  <c r="A552" i="16"/>
  <c r="AP550" i="13"/>
  <c r="AQ550" i="13"/>
  <c r="AR550" i="13"/>
  <c r="AV550" i="13" s="1"/>
  <c r="AS550" i="13"/>
  <c r="AT550" i="13"/>
  <c r="AU550" i="13"/>
  <c r="AP551" i="13" l="1"/>
  <c r="AQ551" i="13"/>
  <c r="AR551" i="13"/>
  <c r="AV551" i="13" s="1"/>
  <c r="AS551" i="13"/>
  <c r="AT551" i="13"/>
  <c r="AU551" i="13"/>
  <c r="B552" i="16"/>
  <c r="AM552" i="13" s="1"/>
  <c r="C552" i="16"/>
  <c r="AN552" i="13" s="1"/>
  <c r="D552" i="16"/>
  <c r="AO552" i="13" s="1"/>
  <c r="E552" i="16"/>
  <c r="F552" i="16"/>
  <c r="G552" i="16"/>
  <c r="H552" i="16"/>
  <c r="I552" i="16"/>
  <c r="J552" i="16"/>
  <c r="K552" i="16"/>
  <c r="L552" i="16"/>
  <c r="M552" i="16"/>
  <c r="N552" i="16"/>
  <c r="O552" i="16"/>
  <c r="P552" i="16"/>
  <c r="Q552" i="16"/>
  <c r="AL552" i="13"/>
  <c r="A553" i="16"/>
  <c r="AP552" i="13" l="1"/>
  <c r="AQ552" i="13"/>
  <c r="AR552" i="13"/>
  <c r="AV552" i="13" s="1"/>
  <c r="AS552" i="13"/>
  <c r="AT552" i="13"/>
  <c r="AU552" i="13"/>
  <c r="B553" i="16"/>
  <c r="AM553" i="13" s="1"/>
  <c r="C553" i="16"/>
  <c r="AN553" i="13" s="1"/>
  <c r="D553" i="16"/>
  <c r="AO553" i="13" s="1"/>
  <c r="E553" i="16"/>
  <c r="F553" i="16"/>
  <c r="G553" i="16"/>
  <c r="H553" i="16"/>
  <c r="I553" i="16"/>
  <c r="J553" i="16"/>
  <c r="K553" i="16"/>
  <c r="L553" i="16"/>
  <c r="M553" i="16"/>
  <c r="N553" i="16"/>
  <c r="O553" i="16"/>
  <c r="P553" i="16"/>
  <c r="Q553" i="16"/>
  <c r="AL553" i="13"/>
  <c r="A554" i="16"/>
  <c r="AP553" i="13" l="1"/>
  <c r="AQ553" i="13"/>
  <c r="AR553" i="13"/>
  <c r="AV553" i="13" s="1"/>
  <c r="AS553" i="13"/>
  <c r="AT553" i="13"/>
  <c r="AU553" i="13"/>
  <c r="A555" i="16"/>
  <c r="B554" i="16"/>
  <c r="AM554" i="13" s="1"/>
  <c r="C554" i="16"/>
  <c r="AN554" i="13" s="1"/>
  <c r="D554" i="16"/>
  <c r="AO554" i="13" s="1"/>
  <c r="E554" i="16"/>
  <c r="F554" i="16"/>
  <c r="G554" i="16"/>
  <c r="H554" i="16"/>
  <c r="I554" i="16"/>
  <c r="J554" i="16"/>
  <c r="K554" i="16"/>
  <c r="L554" i="16"/>
  <c r="M554" i="16"/>
  <c r="N554" i="16"/>
  <c r="O554" i="16"/>
  <c r="P554" i="16"/>
  <c r="Q554" i="16"/>
  <c r="AL554" i="13"/>
  <c r="B555" i="16" l="1"/>
  <c r="AM555" i="13" s="1"/>
  <c r="C555" i="16"/>
  <c r="AN555" i="13" s="1"/>
  <c r="D555" i="16"/>
  <c r="AO555" i="13" s="1"/>
  <c r="E555" i="16"/>
  <c r="F555" i="16"/>
  <c r="G555" i="16"/>
  <c r="H555" i="16"/>
  <c r="I555" i="16"/>
  <c r="J555" i="16"/>
  <c r="K555" i="16"/>
  <c r="L555" i="16"/>
  <c r="M555" i="16"/>
  <c r="N555" i="16"/>
  <c r="O555" i="16"/>
  <c r="P555" i="16"/>
  <c r="Q555" i="16"/>
  <c r="AL555" i="13"/>
  <c r="A556" i="16"/>
  <c r="AP554" i="13"/>
  <c r="AQ554" i="13"/>
  <c r="AR554" i="13"/>
  <c r="AV554" i="13" s="1"/>
  <c r="AS554" i="13"/>
  <c r="AT554" i="13"/>
  <c r="AU554" i="13"/>
  <c r="AP555" i="13" l="1"/>
  <c r="AQ555" i="13"/>
  <c r="AR555" i="13"/>
  <c r="AV555" i="13" s="1"/>
  <c r="AS555" i="13"/>
  <c r="AT555" i="13"/>
  <c r="AU555" i="13"/>
  <c r="B556" i="16"/>
  <c r="AM556" i="13" s="1"/>
  <c r="C556" i="16"/>
  <c r="AN556" i="13" s="1"/>
  <c r="D556" i="16"/>
  <c r="AO556" i="13" s="1"/>
  <c r="E556" i="16"/>
  <c r="F556" i="16"/>
  <c r="G556" i="16"/>
  <c r="H556" i="16"/>
  <c r="I556" i="16"/>
  <c r="J556" i="16"/>
  <c r="K556" i="16"/>
  <c r="L556" i="16"/>
  <c r="M556" i="16"/>
  <c r="N556" i="16"/>
  <c r="O556" i="16"/>
  <c r="P556" i="16"/>
  <c r="Q556" i="16"/>
  <c r="AL556" i="13"/>
  <c r="A557" i="16"/>
  <c r="AP556" i="13" l="1"/>
  <c r="AQ556" i="13"/>
  <c r="AR556" i="13"/>
  <c r="AV556" i="13" s="1"/>
  <c r="AS556" i="13"/>
  <c r="AT556" i="13"/>
  <c r="AU556" i="13"/>
  <c r="A558" i="16"/>
  <c r="B557" i="16"/>
  <c r="AM557" i="13" s="1"/>
  <c r="C557" i="16"/>
  <c r="AN557" i="13" s="1"/>
  <c r="D557" i="16"/>
  <c r="AO557" i="13" s="1"/>
  <c r="E557" i="16"/>
  <c r="F557" i="16"/>
  <c r="G557" i="16"/>
  <c r="H557" i="16"/>
  <c r="I557" i="16"/>
  <c r="J557" i="16"/>
  <c r="K557" i="16"/>
  <c r="L557" i="16"/>
  <c r="M557" i="16"/>
  <c r="N557" i="16"/>
  <c r="O557" i="16"/>
  <c r="P557" i="16"/>
  <c r="Q557" i="16"/>
  <c r="AL557" i="13"/>
  <c r="B558" i="16" l="1"/>
  <c r="AM558" i="13" s="1"/>
  <c r="C558" i="16"/>
  <c r="AN558" i="13" s="1"/>
  <c r="D558" i="16"/>
  <c r="AO558" i="13" s="1"/>
  <c r="E558" i="16"/>
  <c r="F558" i="16"/>
  <c r="G558" i="16"/>
  <c r="H558" i="16"/>
  <c r="I558" i="16"/>
  <c r="J558" i="16"/>
  <c r="K558" i="16"/>
  <c r="L558" i="16"/>
  <c r="M558" i="16"/>
  <c r="N558" i="16"/>
  <c r="O558" i="16"/>
  <c r="P558" i="16"/>
  <c r="Q558" i="16"/>
  <c r="AL558" i="13"/>
  <c r="A559" i="16"/>
  <c r="AP557" i="13"/>
  <c r="AQ557" i="13"/>
  <c r="AR557" i="13"/>
  <c r="AV557" i="13" s="1"/>
  <c r="AS557" i="13"/>
  <c r="AT557" i="13"/>
  <c r="AU557" i="13"/>
  <c r="AP558" i="13" l="1"/>
  <c r="AQ558" i="13"/>
  <c r="AR558" i="13"/>
  <c r="AV558" i="13" s="1"/>
  <c r="AS558" i="13"/>
  <c r="AT558" i="13"/>
  <c r="AU558" i="13"/>
  <c r="A560" i="16"/>
  <c r="B559" i="16"/>
  <c r="AM559" i="13" s="1"/>
  <c r="C559" i="16"/>
  <c r="AN559" i="13" s="1"/>
  <c r="D559" i="16"/>
  <c r="AO559" i="13" s="1"/>
  <c r="E559" i="16"/>
  <c r="F559" i="16"/>
  <c r="G559" i="16"/>
  <c r="H559" i="16"/>
  <c r="I559" i="16"/>
  <c r="J559" i="16"/>
  <c r="K559" i="16"/>
  <c r="L559" i="16"/>
  <c r="M559" i="16"/>
  <c r="N559" i="16"/>
  <c r="O559" i="16"/>
  <c r="P559" i="16"/>
  <c r="Q559" i="16"/>
  <c r="AL559" i="13"/>
  <c r="B560" i="16" l="1"/>
  <c r="AM560" i="13" s="1"/>
  <c r="C560" i="16"/>
  <c r="AN560" i="13" s="1"/>
  <c r="D560" i="16"/>
  <c r="AO560" i="13" s="1"/>
  <c r="E560" i="16"/>
  <c r="F560" i="16"/>
  <c r="G560" i="16"/>
  <c r="H560" i="16"/>
  <c r="I560" i="16"/>
  <c r="J560" i="16"/>
  <c r="K560" i="16"/>
  <c r="L560" i="16"/>
  <c r="M560" i="16"/>
  <c r="N560" i="16"/>
  <c r="O560" i="16"/>
  <c r="P560" i="16"/>
  <c r="Q560" i="16"/>
  <c r="AL560" i="13"/>
  <c r="A561" i="16"/>
  <c r="AP559" i="13"/>
  <c r="AQ559" i="13"/>
  <c r="AR559" i="13"/>
  <c r="AV559" i="13" s="1"/>
  <c r="AS559" i="13"/>
  <c r="AT559" i="13"/>
  <c r="AU559" i="13"/>
  <c r="AP560" i="13" l="1"/>
  <c r="AQ560" i="13"/>
  <c r="AR560" i="13"/>
  <c r="AV560" i="13" s="1"/>
  <c r="AS560" i="13"/>
  <c r="AT560" i="13"/>
  <c r="AU560" i="13"/>
  <c r="B561" i="16"/>
  <c r="AM561" i="13" s="1"/>
  <c r="C561" i="16"/>
  <c r="AN561" i="13" s="1"/>
  <c r="D561" i="16"/>
  <c r="AO561" i="13" s="1"/>
  <c r="E561" i="16"/>
  <c r="F561" i="16"/>
  <c r="G561" i="16"/>
  <c r="H561" i="16"/>
  <c r="I561" i="16"/>
  <c r="J561" i="16"/>
  <c r="K561" i="16"/>
  <c r="L561" i="16"/>
  <c r="M561" i="16"/>
  <c r="N561" i="16"/>
  <c r="O561" i="16"/>
  <c r="P561" i="16"/>
  <c r="Q561" i="16"/>
  <c r="AL561" i="13"/>
  <c r="A562" i="16"/>
  <c r="AP561" i="13" l="1"/>
  <c r="AQ561" i="13"/>
  <c r="AR561" i="13"/>
  <c r="AV561" i="13" s="1"/>
  <c r="AS561" i="13"/>
  <c r="AT561" i="13"/>
  <c r="AU561" i="13"/>
  <c r="B562" i="16"/>
  <c r="AM562" i="13" s="1"/>
  <c r="C562" i="16"/>
  <c r="AN562" i="13" s="1"/>
  <c r="D562" i="16"/>
  <c r="AO562" i="13" s="1"/>
  <c r="E562" i="16"/>
  <c r="F562" i="16"/>
  <c r="G562" i="16"/>
  <c r="H562" i="16"/>
  <c r="I562" i="16"/>
  <c r="J562" i="16"/>
  <c r="K562" i="16"/>
  <c r="L562" i="16"/>
  <c r="M562" i="16"/>
  <c r="N562" i="16"/>
  <c r="O562" i="16"/>
  <c r="P562" i="16"/>
  <c r="Q562" i="16"/>
  <c r="AL562" i="13"/>
  <c r="A563" i="16"/>
  <c r="AP562" i="13" l="1"/>
  <c r="AQ562" i="13"/>
  <c r="AR562" i="13"/>
  <c r="AV562" i="13" s="1"/>
  <c r="AS562" i="13"/>
  <c r="AT562" i="13"/>
  <c r="AU562" i="13"/>
  <c r="B563" i="16"/>
  <c r="AM563" i="13" s="1"/>
  <c r="C563" i="16"/>
  <c r="AN563" i="13" s="1"/>
  <c r="D563" i="16"/>
  <c r="AO563" i="13" s="1"/>
  <c r="E563" i="16"/>
  <c r="F563" i="16"/>
  <c r="G563" i="16"/>
  <c r="H563" i="16"/>
  <c r="I563" i="16"/>
  <c r="J563" i="16"/>
  <c r="K563" i="16"/>
  <c r="L563" i="16"/>
  <c r="M563" i="16"/>
  <c r="N563" i="16"/>
  <c r="O563" i="16"/>
  <c r="P563" i="16"/>
  <c r="Q563" i="16"/>
  <c r="AL563" i="13"/>
  <c r="A564" i="16"/>
  <c r="AP563" i="13" l="1"/>
  <c r="AQ563" i="13"/>
  <c r="AR563" i="13"/>
  <c r="AV563" i="13" s="1"/>
  <c r="AS563" i="13"/>
  <c r="AT563" i="13"/>
  <c r="AU563" i="13"/>
  <c r="B564" i="16"/>
  <c r="AM564" i="13" s="1"/>
  <c r="C564" i="16"/>
  <c r="AN564" i="13" s="1"/>
  <c r="D564" i="16"/>
  <c r="AO564" i="13" s="1"/>
  <c r="E564" i="16"/>
  <c r="F564" i="16"/>
  <c r="G564" i="16"/>
  <c r="H564" i="16"/>
  <c r="I564" i="16"/>
  <c r="J564" i="16"/>
  <c r="K564" i="16"/>
  <c r="L564" i="16"/>
  <c r="M564" i="16"/>
  <c r="N564" i="16"/>
  <c r="O564" i="16"/>
  <c r="P564" i="16"/>
  <c r="Q564" i="16"/>
  <c r="AL564" i="13"/>
  <c r="A565" i="16"/>
  <c r="AP564" i="13" l="1"/>
  <c r="AQ564" i="13"/>
  <c r="AR564" i="13"/>
  <c r="AV564" i="13" s="1"/>
  <c r="AS564" i="13"/>
  <c r="AT564" i="13"/>
  <c r="AU564" i="13"/>
  <c r="A566" i="16"/>
  <c r="B565" i="16"/>
  <c r="AM565" i="13" s="1"/>
  <c r="C565" i="16"/>
  <c r="AN565" i="13" s="1"/>
  <c r="D565" i="16"/>
  <c r="AO565" i="13" s="1"/>
  <c r="E565" i="16"/>
  <c r="F565" i="16"/>
  <c r="G565" i="16"/>
  <c r="H565" i="16"/>
  <c r="I565" i="16"/>
  <c r="J565" i="16"/>
  <c r="K565" i="16"/>
  <c r="L565" i="16"/>
  <c r="M565" i="16"/>
  <c r="N565" i="16"/>
  <c r="O565" i="16"/>
  <c r="P565" i="16"/>
  <c r="Q565" i="16"/>
  <c r="AL565" i="13"/>
  <c r="B566" i="16" l="1"/>
  <c r="AM566" i="13" s="1"/>
  <c r="C566" i="16"/>
  <c r="AN566" i="13" s="1"/>
  <c r="D566" i="16"/>
  <c r="AO566" i="13" s="1"/>
  <c r="E566" i="16"/>
  <c r="F566" i="16"/>
  <c r="G566" i="16"/>
  <c r="H566" i="16"/>
  <c r="I566" i="16"/>
  <c r="J566" i="16"/>
  <c r="K566" i="16"/>
  <c r="L566" i="16"/>
  <c r="M566" i="16"/>
  <c r="N566" i="16"/>
  <c r="O566" i="16"/>
  <c r="P566" i="16"/>
  <c r="Q566" i="16"/>
  <c r="AL566" i="13"/>
  <c r="A567" i="16"/>
  <c r="AP565" i="13"/>
  <c r="AQ565" i="13"/>
  <c r="AR565" i="13"/>
  <c r="AV565" i="13" s="1"/>
  <c r="AS565" i="13"/>
  <c r="AT565" i="13"/>
  <c r="AU565" i="13"/>
  <c r="AP566" i="13" l="1"/>
  <c r="AQ566" i="13"/>
  <c r="AR566" i="13"/>
  <c r="AV566" i="13" s="1"/>
  <c r="AS566" i="13"/>
  <c r="AT566" i="13"/>
  <c r="AU566" i="13"/>
  <c r="B567" i="16"/>
  <c r="AM567" i="13" s="1"/>
  <c r="C567" i="16"/>
  <c r="AN567" i="13" s="1"/>
  <c r="D567" i="16"/>
  <c r="AO567" i="13" s="1"/>
  <c r="E567" i="16"/>
  <c r="F567" i="16"/>
  <c r="G567" i="16"/>
  <c r="H567" i="16"/>
  <c r="I567" i="16"/>
  <c r="J567" i="16"/>
  <c r="K567" i="16"/>
  <c r="L567" i="16"/>
  <c r="M567" i="16"/>
  <c r="N567" i="16"/>
  <c r="O567" i="16"/>
  <c r="P567" i="16"/>
  <c r="Q567" i="16"/>
  <c r="AL567" i="13"/>
  <c r="A568" i="16"/>
  <c r="AP567" i="13" l="1"/>
  <c r="AQ567" i="13"/>
  <c r="AR567" i="13"/>
  <c r="AV567" i="13" s="1"/>
  <c r="AS567" i="13"/>
  <c r="AT567" i="13"/>
  <c r="AU567" i="13"/>
  <c r="B568" i="16"/>
  <c r="AM568" i="13" s="1"/>
  <c r="C568" i="16"/>
  <c r="AN568" i="13" s="1"/>
  <c r="D568" i="16"/>
  <c r="AO568" i="13" s="1"/>
  <c r="E568" i="16"/>
  <c r="F568" i="16"/>
  <c r="G568" i="16"/>
  <c r="H568" i="16"/>
  <c r="I568" i="16"/>
  <c r="J568" i="16"/>
  <c r="K568" i="16"/>
  <c r="L568" i="16"/>
  <c r="M568" i="16"/>
  <c r="N568" i="16"/>
  <c r="O568" i="16"/>
  <c r="P568" i="16"/>
  <c r="Q568" i="16"/>
  <c r="AL568" i="13"/>
  <c r="A569" i="16"/>
  <c r="AP568" i="13" l="1"/>
  <c r="AQ568" i="13"/>
  <c r="AR568" i="13"/>
  <c r="AV568" i="13" s="1"/>
  <c r="AS568" i="13"/>
  <c r="AT568" i="13"/>
  <c r="AU568" i="13"/>
  <c r="A570" i="16"/>
  <c r="B569" i="16"/>
  <c r="AM569" i="13" s="1"/>
  <c r="C569" i="16"/>
  <c r="AN569" i="13" s="1"/>
  <c r="D569" i="16"/>
  <c r="AO569" i="13" s="1"/>
  <c r="E569" i="16"/>
  <c r="F569" i="16"/>
  <c r="G569" i="16"/>
  <c r="H569" i="16"/>
  <c r="I569" i="16"/>
  <c r="J569" i="16"/>
  <c r="K569" i="16"/>
  <c r="L569" i="16"/>
  <c r="M569" i="16"/>
  <c r="N569" i="16"/>
  <c r="O569" i="16"/>
  <c r="P569" i="16"/>
  <c r="Q569" i="16"/>
  <c r="AL569" i="13"/>
  <c r="B570" i="16" l="1"/>
  <c r="AM570" i="13" s="1"/>
  <c r="C570" i="16"/>
  <c r="AN570" i="13" s="1"/>
  <c r="D570" i="16"/>
  <c r="AO570" i="13" s="1"/>
  <c r="E570" i="16"/>
  <c r="F570" i="16"/>
  <c r="G570" i="16"/>
  <c r="H570" i="16"/>
  <c r="I570" i="16"/>
  <c r="J570" i="16"/>
  <c r="K570" i="16"/>
  <c r="L570" i="16"/>
  <c r="M570" i="16"/>
  <c r="N570" i="16"/>
  <c r="O570" i="16"/>
  <c r="P570" i="16"/>
  <c r="Q570" i="16"/>
  <c r="AL570" i="13"/>
  <c r="A571" i="16"/>
  <c r="AP569" i="13"/>
  <c r="AQ569" i="13"/>
  <c r="AR569" i="13"/>
  <c r="AV569" i="13" s="1"/>
  <c r="AS569" i="13"/>
  <c r="AT569" i="13"/>
  <c r="AU569" i="13"/>
  <c r="AP570" i="13" l="1"/>
  <c r="AQ570" i="13"/>
  <c r="AR570" i="13"/>
  <c r="AV570" i="13" s="1"/>
  <c r="AS570" i="13"/>
  <c r="AT570" i="13"/>
  <c r="AU570" i="13"/>
  <c r="B571" i="16"/>
  <c r="AM571" i="13" s="1"/>
  <c r="C571" i="16"/>
  <c r="AN571" i="13" s="1"/>
  <c r="D571" i="16"/>
  <c r="AO571" i="13" s="1"/>
  <c r="E571" i="16"/>
  <c r="F571" i="16"/>
  <c r="G571" i="16"/>
  <c r="H571" i="16"/>
  <c r="I571" i="16"/>
  <c r="J571" i="16"/>
  <c r="K571" i="16"/>
  <c r="L571" i="16"/>
  <c r="M571" i="16"/>
  <c r="N571" i="16"/>
  <c r="O571" i="16"/>
  <c r="P571" i="16"/>
  <c r="Q571" i="16"/>
  <c r="AL571" i="13"/>
  <c r="A572" i="16"/>
  <c r="AP571" i="13" l="1"/>
  <c r="AQ571" i="13"/>
  <c r="AR571" i="13"/>
  <c r="AV571" i="13" s="1"/>
  <c r="AS571" i="13"/>
  <c r="AT571" i="13"/>
  <c r="AU571" i="13"/>
  <c r="B572" i="16"/>
  <c r="AM572" i="13" s="1"/>
  <c r="C572" i="16"/>
  <c r="AN572" i="13" s="1"/>
  <c r="D572" i="16"/>
  <c r="AO572" i="13" s="1"/>
  <c r="E572" i="16"/>
  <c r="F572" i="16"/>
  <c r="G572" i="16"/>
  <c r="H572" i="16"/>
  <c r="I572" i="16"/>
  <c r="J572" i="16"/>
  <c r="K572" i="16"/>
  <c r="L572" i="16"/>
  <c r="M572" i="16"/>
  <c r="N572" i="16"/>
  <c r="O572" i="16"/>
  <c r="P572" i="16"/>
  <c r="Q572" i="16"/>
  <c r="AL572" i="13"/>
  <c r="A573" i="16"/>
  <c r="AP572" i="13" l="1"/>
  <c r="AQ572" i="13"/>
  <c r="AR572" i="13"/>
  <c r="AV572" i="13" s="1"/>
  <c r="AS572" i="13"/>
  <c r="AT572" i="13"/>
  <c r="AU572" i="13"/>
  <c r="A574" i="16"/>
  <c r="B573" i="16"/>
  <c r="AM573" i="13" s="1"/>
  <c r="C573" i="16"/>
  <c r="AN573" i="13" s="1"/>
  <c r="D573" i="16"/>
  <c r="AO573" i="13" s="1"/>
  <c r="E573" i="16"/>
  <c r="F573" i="16"/>
  <c r="G573" i="16"/>
  <c r="H573" i="16"/>
  <c r="I573" i="16"/>
  <c r="J573" i="16"/>
  <c r="K573" i="16"/>
  <c r="L573" i="16"/>
  <c r="M573" i="16"/>
  <c r="N573" i="16"/>
  <c r="O573" i="16"/>
  <c r="P573" i="16"/>
  <c r="Q573" i="16"/>
  <c r="AL573" i="13"/>
  <c r="B574" i="16" l="1"/>
  <c r="AM574" i="13" s="1"/>
  <c r="C574" i="16"/>
  <c r="AN574" i="13" s="1"/>
  <c r="D574" i="16"/>
  <c r="AO574" i="13" s="1"/>
  <c r="E574" i="16"/>
  <c r="F574" i="16"/>
  <c r="G574" i="16"/>
  <c r="H574" i="16"/>
  <c r="I574" i="16"/>
  <c r="J574" i="16"/>
  <c r="K574" i="16"/>
  <c r="L574" i="16"/>
  <c r="M574" i="16"/>
  <c r="N574" i="16"/>
  <c r="O574" i="16"/>
  <c r="P574" i="16"/>
  <c r="Q574" i="16"/>
  <c r="AL574" i="13"/>
  <c r="A575" i="16"/>
  <c r="AP573" i="13"/>
  <c r="AQ573" i="13"/>
  <c r="AR573" i="13"/>
  <c r="AV573" i="13" s="1"/>
  <c r="AS573" i="13"/>
  <c r="AT573" i="13"/>
  <c r="AU573" i="13"/>
  <c r="AP574" i="13" l="1"/>
  <c r="AQ574" i="13"/>
  <c r="AR574" i="13"/>
  <c r="AV574" i="13" s="1"/>
  <c r="AS574" i="13"/>
  <c r="AT574" i="13"/>
  <c r="AU574" i="13"/>
  <c r="B575" i="16"/>
  <c r="AM575" i="13" s="1"/>
  <c r="C575" i="16"/>
  <c r="AN575" i="13" s="1"/>
  <c r="D575" i="16"/>
  <c r="AO575" i="13" s="1"/>
  <c r="E575" i="16"/>
  <c r="F575" i="16"/>
  <c r="G575" i="16"/>
  <c r="H575" i="16"/>
  <c r="I575" i="16"/>
  <c r="J575" i="16"/>
  <c r="K575" i="16"/>
  <c r="L575" i="16"/>
  <c r="M575" i="16"/>
  <c r="N575" i="16"/>
  <c r="O575" i="16"/>
  <c r="P575" i="16"/>
  <c r="Q575" i="16"/>
  <c r="AL575" i="13"/>
  <c r="A576" i="16"/>
  <c r="AP575" i="13" l="1"/>
  <c r="AQ575" i="13"/>
  <c r="AR575" i="13"/>
  <c r="AV575" i="13" s="1"/>
  <c r="AS575" i="13"/>
  <c r="AT575" i="13"/>
  <c r="AU575" i="13"/>
  <c r="B576" i="16"/>
  <c r="AM576" i="13" s="1"/>
  <c r="C576" i="16"/>
  <c r="AN576" i="13" s="1"/>
  <c r="D576" i="16"/>
  <c r="AO576" i="13" s="1"/>
  <c r="E576" i="16"/>
  <c r="F576" i="16"/>
  <c r="G576" i="16"/>
  <c r="H576" i="16"/>
  <c r="I576" i="16"/>
  <c r="J576" i="16"/>
  <c r="K576" i="16"/>
  <c r="L576" i="16"/>
  <c r="M576" i="16"/>
  <c r="N576" i="16"/>
  <c r="O576" i="16"/>
  <c r="P576" i="16"/>
  <c r="Q576" i="16"/>
  <c r="AL576" i="13"/>
  <c r="A577" i="16"/>
  <c r="AP576" i="13" l="1"/>
  <c r="AQ576" i="13"/>
  <c r="AR576" i="13"/>
  <c r="AV576" i="13" s="1"/>
  <c r="AS576" i="13"/>
  <c r="AT576" i="13"/>
  <c r="AU576" i="13"/>
  <c r="A578" i="16"/>
  <c r="B577" i="16"/>
  <c r="AM577" i="13" s="1"/>
  <c r="C577" i="16"/>
  <c r="AN577" i="13" s="1"/>
  <c r="D577" i="16"/>
  <c r="AO577" i="13" s="1"/>
  <c r="E577" i="16"/>
  <c r="F577" i="16"/>
  <c r="G577" i="16"/>
  <c r="H577" i="16"/>
  <c r="I577" i="16"/>
  <c r="J577" i="16"/>
  <c r="K577" i="16"/>
  <c r="L577" i="16"/>
  <c r="M577" i="16"/>
  <c r="N577" i="16"/>
  <c r="O577" i="16"/>
  <c r="P577" i="16"/>
  <c r="Q577" i="16"/>
  <c r="AL577" i="13"/>
  <c r="B578" i="16" l="1"/>
  <c r="AM578" i="13" s="1"/>
  <c r="C578" i="16"/>
  <c r="AN578" i="13" s="1"/>
  <c r="D578" i="16"/>
  <c r="AO578" i="13" s="1"/>
  <c r="E578" i="16"/>
  <c r="F578" i="16"/>
  <c r="G578" i="16"/>
  <c r="H578" i="16"/>
  <c r="I578" i="16"/>
  <c r="J578" i="16"/>
  <c r="K578" i="16"/>
  <c r="L578" i="16"/>
  <c r="M578" i="16"/>
  <c r="N578" i="16"/>
  <c r="O578" i="16"/>
  <c r="P578" i="16"/>
  <c r="Q578" i="16"/>
  <c r="AL578" i="13"/>
  <c r="A579" i="16"/>
  <c r="AP577" i="13"/>
  <c r="AQ577" i="13"/>
  <c r="AR577" i="13"/>
  <c r="AV577" i="13" s="1"/>
  <c r="AS577" i="13"/>
  <c r="AT577" i="13"/>
  <c r="AU577" i="13"/>
  <c r="AP578" i="13" l="1"/>
  <c r="AQ578" i="13"/>
  <c r="AR578" i="13"/>
  <c r="AV578" i="13" s="1"/>
  <c r="AS578" i="13"/>
  <c r="AT578" i="13"/>
  <c r="AU578" i="13"/>
  <c r="B579" i="16"/>
  <c r="AM579" i="13" s="1"/>
  <c r="C579" i="16"/>
  <c r="AN579" i="13" s="1"/>
  <c r="D579" i="16"/>
  <c r="AO579" i="13" s="1"/>
  <c r="E579" i="16"/>
  <c r="F579" i="16"/>
  <c r="G579" i="16"/>
  <c r="H579" i="16"/>
  <c r="I579" i="16"/>
  <c r="J579" i="16"/>
  <c r="K579" i="16"/>
  <c r="L579" i="16"/>
  <c r="M579" i="16"/>
  <c r="N579" i="16"/>
  <c r="O579" i="16"/>
  <c r="P579" i="16"/>
  <c r="Q579" i="16"/>
  <c r="AL579" i="13"/>
  <c r="A580" i="16"/>
  <c r="AP579" i="13" l="1"/>
  <c r="AQ579" i="13"/>
  <c r="AR579" i="13"/>
  <c r="AV579" i="13" s="1"/>
  <c r="AS579" i="13"/>
  <c r="AT579" i="13"/>
  <c r="AU579" i="13"/>
  <c r="B580" i="16"/>
  <c r="AM580" i="13" s="1"/>
  <c r="C580" i="16"/>
  <c r="AN580" i="13" s="1"/>
  <c r="D580" i="16"/>
  <c r="AO580" i="13" s="1"/>
  <c r="E580" i="16"/>
  <c r="F580" i="16"/>
  <c r="G580" i="16"/>
  <c r="H580" i="16"/>
  <c r="I580" i="16"/>
  <c r="J580" i="16"/>
  <c r="K580" i="16"/>
  <c r="L580" i="16"/>
  <c r="M580" i="16"/>
  <c r="N580" i="16"/>
  <c r="O580" i="16"/>
  <c r="P580" i="16"/>
  <c r="Q580" i="16"/>
  <c r="AL580" i="13"/>
  <c r="A581" i="16"/>
  <c r="AP580" i="13" l="1"/>
  <c r="AQ580" i="13"/>
  <c r="AR580" i="13"/>
  <c r="AV580" i="13" s="1"/>
  <c r="AS580" i="13"/>
  <c r="AT580" i="13"/>
  <c r="AU580" i="13"/>
  <c r="B581" i="16"/>
  <c r="AM581" i="13" s="1"/>
  <c r="C581" i="16"/>
  <c r="AN581" i="13" s="1"/>
  <c r="D581" i="16"/>
  <c r="AO581" i="13" s="1"/>
  <c r="E581" i="16"/>
  <c r="F581" i="16"/>
  <c r="G581" i="16"/>
  <c r="H581" i="16"/>
  <c r="I581" i="16"/>
  <c r="J581" i="16"/>
  <c r="K581" i="16"/>
  <c r="L581" i="16"/>
  <c r="M581" i="16"/>
  <c r="N581" i="16"/>
  <c r="O581" i="16"/>
  <c r="P581" i="16"/>
  <c r="Q581" i="16"/>
  <c r="AL581" i="13"/>
  <c r="A582" i="16"/>
  <c r="AP581" i="13" l="1"/>
  <c r="AQ581" i="13"/>
  <c r="AR581" i="13"/>
  <c r="AV581" i="13" s="1"/>
  <c r="AS581" i="13"/>
  <c r="AT581" i="13"/>
  <c r="AU581" i="13"/>
  <c r="B582" i="16"/>
  <c r="AM582" i="13" s="1"/>
  <c r="C582" i="16"/>
  <c r="AN582" i="13" s="1"/>
  <c r="D582" i="16"/>
  <c r="AO582" i="13" s="1"/>
  <c r="E582" i="16"/>
  <c r="F582" i="16"/>
  <c r="G582" i="16"/>
  <c r="H582" i="16"/>
  <c r="I582" i="16"/>
  <c r="J582" i="16"/>
  <c r="K582" i="16"/>
  <c r="L582" i="16"/>
  <c r="M582" i="16"/>
  <c r="N582" i="16"/>
  <c r="O582" i="16"/>
  <c r="P582" i="16"/>
  <c r="Q582" i="16"/>
  <c r="AL582" i="13"/>
  <c r="A583" i="16"/>
  <c r="AP582" i="13" l="1"/>
  <c r="AQ582" i="13"/>
  <c r="AR582" i="13"/>
  <c r="AV582" i="13" s="1"/>
  <c r="AS582" i="13"/>
  <c r="AT582" i="13"/>
  <c r="AU582" i="13"/>
  <c r="B583" i="16"/>
  <c r="AM583" i="13" s="1"/>
  <c r="C583" i="16"/>
  <c r="AN583" i="13" s="1"/>
  <c r="D583" i="16"/>
  <c r="AO583" i="13" s="1"/>
  <c r="E583" i="16"/>
  <c r="F583" i="16"/>
  <c r="G583" i="16"/>
  <c r="H583" i="16"/>
  <c r="I583" i="16"/>
  <c r="J583" i="16"/>
  <c r="K583" i="16"/>
  <c r="L583" i="16"/>
  <c r="M583" i="16"/>
  <c r="N583" i="16"/>
  <c r="O583" i="16"/>
  <c r="P583" i="16"/>
  <c r="Q583" i="16"/>
  <c r="AL583" i="13"/>
  <c r="A584" i="16"/>
  <c r="AP583" i="13" l="1"/>
  <c r="AQ583" i="13"/>
  <c r="AR583" i="13"/>
  <c r="AV583" i="13" s="1"/>
  <c r="AS583" i="13"/>
  <c r="AT583" i="13"/>
  <c r="AU583" i="13"/>
  <c r="B584" i="16"/>
  <c r="AM584" i="13" s="1"/>
  <c r="C584" i="16"/>
  <c r="AN584" i="13" s="1"/>
  <c r="D584" i="16"/>
  <c r="AO584" i="13" s="1"/>
  <c r="E584" i="16"/>
  <c r="F584" i="16"/>
  <c r="G584" i="16"/>
  <c r="H584" i="16"/>
  <c r="I584" i="16"/>
  <c r="J584" i="16"/>
  <c r="K584" i="16"/>
  <c r="L584" i="16"/>
  <c r="M584" i="16"/>
  <c r="N584" i="16"/>
  <c r="O584" i="16"/>
  <c r="P584" i="16"/>
  <c r="Q584" i="16"/>
  <c r="AL584" i="13"/>
  <c r="A585" i="16"/>
  <c r="AP584" i="13" l="1"/>
  <c r="AQ584" i="13"/>
  <c r="AR584" i="13"/>
  <c r="AV584" i="13" s="1"/>
  <c r="AS584" i="13"/>
  <c r="AT584" i="13"/>
  <c r="AU584" i="13"/>
  <c r="B585" i="16"/>
  <c r="AM585" i="13" s="1"/>
  <c r="C585" i="16"/>
  <c r="AN585" i="13" s="1"/>
  <c r="D585" i="16"/>
  <c r="AO585" i="13" s="1"/>
  <c r="E585" i="16"/>
  <c r="F585" i="16"/>
  <c r="G585" i="16"/>
  <c r="H585" i="16"/>
  <c r="I585" i="16"/>
  <c r="J585" i="16"/>
  <c r="K585" i="16"/>
  <c r="L585" i="16"/>
  <c r="M585" i="16"/>
  <c r="N585" i="16"/>
  <c r="O585" i="16"/>
  <c r="P585" i="16"/>
  <c r="Q585" i="16"/>
  <c r="AL585" i="13"/>
  <c r="A586" i="16"/>
  <c r="AP585" i="13" l="1"/>
  <c r="AQ585" i="13"/>
  <c r="AR585" i="13"/>
  <c r="AV585" i="13" s="1"/>
  <c r="AS585" i="13"/>
  <c r="AT585" i="13"/>
  <c r="AU585" i="13"/>
  <c r="A587" i="16"/>
  <c r="B586" i="16"/>
  <c r="AM586" i="13" s="1"/>
  <c r="C586" i="16"/>
  <c r="AN586" i="13" s="1"/>
  <c r="D586" i="16"/>
  <c r="AO586" i="13" s="1"/>
  <c r="E586" i="16"/>
  <c r="F586" i="16"/>
  <c r="G586" i="16"/>
  <c r="H586" i="16"/>
  <c r="I586" i="16"/>
  <c r="J586" i="16"/>
  <c r="K586" i="16"/>
  <c r="L586" i="16"/>
  <c r="M586" i="16"/>
  <c r="N586" i="16"/>
  <c r="O586" i="16"/>
  <c r="P586" i="16"/>
  <c r="Q586" i="16"/>
  <c r="AL586" i="13"/>
  <c r="B587" i="16" l="1"/>
  <c r="AM587" i="13" s="1"/>
  <c r="C587" i="16"/>
  <c r="AN587" i="13" s="1"/>
  <c r="D587" i="16"/>
  <c r="AO587" i="13" s="1"/>
  <c r="E587" i="16"/>
  <c r="F587" i="16"/>
  <c r="G587" i="16"/>
  <c r="H587" i="16"/>
  <c r="I587" i="16"/>
  <c r="J587" i="16"/>
  <c r="K587" i="16"/>
  <c r="L587" i="16"/>
  <c r="M587" i="16"/>
  <c r="N587" i="16"/>
  <c r="O587" i="16"/>
  <c r="P587" i="16"/>
  <c r="Q587" i="16"/>
  <c r="AL587" i="13"/>
  <c r="A588" i="16"/>
  <c r="AP586" i="13"/>
  <c r="AQ586" i="13"/>
  <c r="AR586" i="13"/>
  <c r="AV586" i="13" s="1"/>
  <c r="AS586" i="13"/>
  <c r="AT586" i="13"/>
  <c r="AU586" i="13"/>
  <c r="AP587" i="13" l="1"/>
  <c r="AQ587" i="13"/>
  <c r="AR587" i="13"/>
  <c r="AV587" i="13" s="1"/>
  <c r="AS587" i="13"/>
  <c r="AT587" i="13"/>
  <c r="AU587" i="13"/>
  <c r="A589" i="16"/>
  <c r="B588" i="16"/>
  <c r="AM588" i="13" s="1"/>
  <c r="C588" i="16"/>
  <c r="AN588" i="13" s="1"/>
  <c r="D588" i="16"/>
  <c r="AO588" i="13" s="1"/>
  <c r="E588" i="16"/>
  <c r="F588" i="16"/>
  <c r="G588" i="16"/>
  <c r="H588" i="16"/>
  <c r="I588" i="16"/>
  <c r="J588" i="16"/>
  <c r="K588" i="16"/>
  <c r="L588" i="16"/>
  <c r="M588" i="16"/>
  <c r="N588" i="16"/>
  <c r="O588" i="16"/>
  <c r="P588" i="16"/>
  <c r="Q588" i="16"/>
  <c r="AL588" i="13"/>
  <c r="B589" i="16" l="1"/>
  <c r="AM589" i="13" s="1"/>
  <c r="C589" i="16"/>
  <c r="AN589" i="13" s="1"/>
  <c r="D589" i="16"/>
  <c r="AO589" i="13" s="1"/>
  <c r="E589" i="16"/>
  <c r="F589" i="16"/>
  <c r="G589" i="16"/>
  <c r="H589" i="16"/>
  <c r="I589" i="16"/>
  <c r="J589" i="16"/>
  <c r="K589" i="16"/>
  <c r="L589" i="16"/>
  <c r="M589" i="16"/>
  <c r="N589" i="16"/>
  <c r="O589" i="16"/>
  <c r="P589" i="16"/>
  <c r="Q589" i="16"/>
  <c r="AL589" i="13"/>
  <c r="A590" i="16"/>
  <c r="AP588" i="13"/>
  <c r="AQ588" i="13"/>
  <c r="AR588" i="13"/>
  <c r="AV588" i="13" s="1"/>
  <c r="AS588" i="13"/>
  <c r="AT588" i="13"/>
  <c r="AU588" i="13"/>
  <c r="AP589" i="13" l="1"/>
  <c r="AQ589" i="13"/>
  <c r="AR589" i="13"/>
  <c r="AV589" i="13" s="1"/>
  <c r="AS589" i="13"/>
  <c r="AT589" i="13"/>
  <c r="AU589" i="13"/>
  <c r="B590" i="16"/>
  <c r="AM590" i="13" s="1"/>
  <c r="C590" i="16"/>
  <c r="AN590" i="13" s="1"/>
  <c r="D590" i="16"/>
  <c r="AO590" i="13" s="1"/>
  <c r="E590" i="16"/>
  <c r="F590" i="16"/>
  <c r="G590" i="16"/>
  <c r="H590" i="16"/>
  <c r="I590" i="16"/>
  <c r="J590" i="16"/>
  <c r="K590" i="16"/>
  <c r="L590" i="16"/>
  <c r="M590" i="16"/>
  <c r="N590" i="16"/>
  <c r="O590" i="16"/>
  <c r="P590" i="16"/>
  <c r="Q590" i="16"/>
  <c r="AL590" i="13"/>
  <c r="A591" i="16"/>
  <c r="AP590" i="13" l="1"/>
  <c r="AQ590" i="13"/>
  <c r="AR590" i="13"/>
  <c r="AV590" i="13" s="1"/>
  <c r="AS590" i="13"/>
  <c r="AT590" i="13"/>
  <c r="AU590" i="13"/>
  <c r="A592" i="16"/>
  <c r="B591" i="16"/>
  <c r="AM591" i="13" s="1"/>
  <c r="C591" i="16"/>
  <c r="AN591" i="13" s="1"/>
  <c r="D591" i="16"/>
  <c r="AO591" i="13" s="1"/>
  <c r="E591" i="16"/>
  <c r="F591" i="16"/>
  <c r="G591" i="16"/>
  <c r="H591" i="16"/>
  <c r="I591" i="16"/>
  <c r="J591" i="16"/>
  <c r="K591" i="16"/>
  <c r="L591" i="16"/>
  <c r="M591" i="16"/>
  <c r="N591" i="16"/>
  <c r="O591" i="16"/>
  <c r="P591" i="16"/>
  <c r="Q591" i="16"/>
  <c r="AL591" i="13"/>
  <c r="B592" i="16" l="1"/>
  <c r="AM592" i="13" s="1"/>
  <c r="C592" i="16"/>
  <c r="AN592" i="13" s="1"/>
  <c r="D592" i="16"/>
  <c r="AO592" i="13" s="1"/>
  <c r="E592" i="16"/>
  <c r="F592" i="16"/>
  <c r="G592" i="16"/>
  <c r="H592" i="16"/>
  <c r="I592" i="16"/>
  <c r="J592" i="16"/>
  <c r="K592" i="16"/>
  <c r="L592" i="16"/>
  <c r="M592" i="16"/>
  <c r="N592" i="16"/>
  <c r="O592" i="16"/>
  <c r="P592" i="16"/>
  <c r="Q592" i="16"/>
  <c r="AL592" i="13"/>
  <c r="A593" i="16"/>
  <c r="AP591" i="13"/>
  <c r="AQ591" i="13"/>
  <c r="AR591" i="13"/>
  <c r="AV591" i="13" s="1"/>
  <c r="AS591" i="13"/>
  <c r="AT591" i="13"/>
  <c r="AU591" i="13"/>
  <c r="AP592" i="13" l="1"/>
  <c r="AQ592" i="13"/>
  <c r="AR592" i="13"/>
  <c r="AV592" i="13" s="1"/>
  <c r="AS592" i="13"/>
  <c r="AT592" i="13"/>
  <c r="AU592" i="13"/>
  <c r="A594" i="16"/>
  <c r="B593" i="16"/>
  <c r="AM593" i="13" s="1"/>
  <c r="C593" i="16"/>
  <c r="AN593" i="13" s="1"/>
  <c r="D593" i="16"/>
  <c r="AO593" i="13" s="1"/>
  <c r="E593" i="16"/>
  <c r="F593" i="16"/>
  <c r="G593" i="16"/>
  <c r="H593" i="16"/>
  <c r="I593" i="16"/>
  <c r="J593" i="16"/>
  <c r="K593" i="16"/>
  <c r="L593" i="16"/>
  <c r="M593" i="16"/>
  <c r="N593" i="16"/>
  <c r="O593" i="16"/>
  <c r="P593" i="16"/>
  <c r="Q593" i="16"/>
  <c r="AL593" i="13"/>
  <c r="B594" i="16" l="1"/>
  <c r="AM594" i="13" s="1"/>
  <c r="C594" i="16"/>
  <c r="AN594" i="13" s="1"/>
  <c r="D594" i="16"/>
  <c r="AO594" i="13" s="1"/>
  <c r="E594" i="16"/>
  <c r="F594" i="16"/>
  <c r="G594" i="16"/>
  <c r="H594" i="16"/>
  <c r="I594" i="16"/>
  <c r="J594" i="16"/>
  <c r="K594" i="16"/>
  <c r="L594" i="16"/>
  <c r="M594" i="16"/>
  <c r="N594" i="16"/>
  <c r="O594" i="16"/>
  <c r="P594" i="16"/>
  <c r="Q594" i="16"/>
  <c r="AL594" i="13"/>
  <c r="A595" i="16"/>
  <c r="AP593" i="13"/>
  <c r="AQ593" i="13"/>
  <c r="AR593" i="13"/>
  <c r="AV593" i="13" s="1"/>
  <c r="AS593" i="13"/>
  <c r="AT593" i="13"/>
  <c r="AU593" i="13"/>
  <c r="AP594" i="13" l="1"/>
  <c r="AQ594" i="13"/>
  <c r="AR594" i="13"/>
  <c r="AV594" i="13" s="1"/>
  <c r="AS594" i="13"/>
  <c r="AT594" i="13"/>
  <c r="AU594" i="13"/>
  <c r="B595" i="16"/>
  <c r="AM595" i="13" s="1"/>
  <c r="C595" i="16"/>
  <c r="AN595" i="13" s="1"/>
  <c r="D595" i="16"/>
  <c r="AO595" i="13" s="1"/>
  <c r="E595" i="16"/>
  <c r="F595" i="16"/>
  <c r="G595" i="16"/>
  <c r="H595" i="16"/>
  <c r="I595" i="16"/>
  <c r="J595" i="16"/>
  <c r="K595" i="16"/>
  <c r="L595" i="16"/>
  <c r="M595" i="16"/>
  <c r="N595" i="16"/>
  <c r="O595" i="16"/>
  <c r="P595" i="16"/>
  <c r="Q595" i="16"/>
  <c r="AL595" i="13"/>
  <c r="A596" i="16"/>
  <c r="AP595" i="13" l="1"/>
  <c r="AQ595" i="13"/>
  <c r="AR595" i="13"/>
  <c r="AV595" i="13" s="1"/>
  <c r="AS595" i="13"/>
  <c r="AT595" i="13"/>
  <c r="AU595" i="13"/>
  <c r="B596" i="16"/>
  <c r="AM596" i="13" s="1"/>
  <c r="C596" i="16"/>
  <c r="AN596" i="13" s="1"/>
  <c r="D596" i="16"/>
  <c r="AO596" i="13" s="1"/>
  <c r="E596" i="16"/>
  <c r="F596" i="16"/>
  <c r="G596" i="16"/>
  <c r="H596" i="16"/>
  <c r="I596" i="16"/>
  <c r="J596" i="16"/>
  <c r="K596" i="16"/>
  <c r="L596" i="16"/>
  <c r="M596" i="16"/>
  <c r="N596" i="16"/>
  <c r="O596" i="16"/>
  <c r="P596" i="16"/>
  <c r="Q596" i="16"/>
  <c r="AL596" i="13"/>
  <c r="A597" i="16"/>
  <c r="AP596" i="13" l="1"/>
  <c r="AQ596" i="13"/>
  <c r="AR596" i="13"/>
  <c r="AV596" i="13" s="1"/>
  <c r="AS596" i="13"/>
  <c r="AT596" i="13"/>
  <c r="AU596" i="13"/>
  <c r="B597" i="16"/>
  <c r="AM597" i="13" s="1"/>
  <c r="C597" i="16"/>
  <c r="AN597" i="13" s="1"/>
  <c r="D597" i="16"/>
  <c r="AO597" i="13" s="1"/>
  <c r="E597" i="16"/>
  <c r="F597" i="16"/>
  <c r="G597" i="16"/>
  <c r="H597" i="16"/>
  <c r="I597" i="16"/>
  <c r="J597" i="16"/>
  <c r="K597" i="16"/>
  <c r="L597" i="16"/>
  <c r="M597" i="16"/>
  <c r="N597" i="16"/>
  <c r="O597" i="16"/>
  <c r="P597" i="16"/>
  <c r="Q597" i="16"/>
  <c r="AL597" i="13"/>
  <c r="A598" i="16"/>
  <c r="AP597" i="13" l="1"/>
  <c r="AQ597" i="13"/>
  <c r="AR597" i="13"/>
  <c r="AV597" i="13" s="1"/>
  <c r="AS597" i="13"/>
  <c r="AT597" i="13"/>
  <c r="AU597" i="13"/>
  <c r="B598" i="16"/>
  <c r="AM598" i="13" s="1"/>
  <c r="C598" i="16"/>
  <c r="AN598" i="13" s="1"/>
  <c r="D598" i="16"/>
  <c r="AO598" i="13" s="1"/>
  <c r="E598" i="16"/>
  <c r="F598" i="16"/>
  <c r="G598" i="16"/>
  <c r="H598" i="16"/>
  <c r="I598" i="16"/>
  <c r="J598" i="16"/>
  <c r="K598" i="16"/>
  <c r="L598" i="16"/>
  <c r="M598" i="16"/>
  <c r="N598" i="16"/>
  <c r="O598" i="16"/>
  <c r="P598" i="16"/>
  <c r="Q598" i="16"/>
  <c r="AL598" i="13"/>
  <c r="A599" i="16"/>
  <c r="AP598" i="13" l="1"/>
  <c r="AQ598" i="13"/>
  <c r="AR598" i="13"/>
  <c r="AV598" i="13" s="1"/>
  <c r="AS598" i="13"/>
  <c r="AT598" i="13"/>
  <c r="AU598" i="13"/>
  <c r="B599" i="16"/>
  <c r="AM599" i="13" s="1"/>
  <c r="C599" i="16"/>
  <c r="AN599" i="13" s="1"/>
  <c r="D599" i="16"/>
  <c r="AO599" i="13" s="1"/>
  <c r="E599" i="16"/>
  <c r="F599" i="16"/>
  <c r="G599" i="16"/>
  <c r="H599" i="16"/>
  <c r="I599" i="16"/>
  <c r="J599" i="16"/>
  <c r="K599" i="16"/>
  <c r="L599" i="16"/>
  <c r="M599" i="16"/>
  <c r="N599" i="16"/>
  <c r="O599" i="16"/>
  <c r="P599" i="16"/>
  <c r="Q599" i="16"/>
  <c r="AL599" i="13"/>
  <c r="A600" i="16"/>
  <c r="AP599" i="13" l="1"/>
  <c r="AQ599" i="13"/>
  <c r="AR599" i="13"/>
  <c r="AV599" i="13" s="1"/>
  <c r="AS599" i="13"/>
  <c r="AT599" i="13"/>
  <c r="AU599" i="13"/>
  <c r="B600" i="16"/>
  <c r="AM600" i="13" s="1"/>
  <c r="C600" i="16"/>
  <c r="AN600" i="13" s="1"/>
  <c r="D600" i="16"/>
  <c r="AO600" i="13" s="1"/>
  <c r="E600" i="16"/>
  <c r="F600" i="16"/>
  <c r="G600" i="16"/>
  <c r="H600" i="16"/>
  <c r="I600" i="16"/>
  <c r="J600" i="16"/>
  <c r="K600" i="16"/>
  <c r="L600" i="16"/>
  <c r="M600" i="16"/>
  <c r="N600" i="16"/>
  <c r="O600" i="16"/>
  <c r="P600" i="16"/>
  <c r="Q600" i="16"/>
  <c r="AL600" i="13"/>
  <c r="A601" i="16"/>
  <c r="AP600" i="13" l="1"/>
  <c r="AQ600" i="13"/>
  <c r="AR600" i="13"/>
  <c r="AV600" i="13" s="1"/>
  <c r="AS600" i="13"/>
  <c r="AT600" i="13"/>
  <c r="AU600" i="13"/>
  <c r="B601" i="16"/>
  <c r="AM601" i="13" s="1"/>
  <c r="C601" i="16"/>
  <c r="AN601" i="13" s="1"/>
  <c r="D601" i="16"/>
  <c r="AO601" i="13" s="1"/>
  <c r="E601" i="16"/>
  <c r="F601" i="16"/>
  <c r="G601" i="16"/>
  <c r="H601" i="16"/>
  <c r="I601" i="16"/>
  <c r="J601" i="16"/>
  <c r="K601" i="16"/>
  <c r="L601" i="16"/>
  <c r="M601" i="16"/>
  <c r="N601" i="16"/>
  <c r="O601" i="16"/>
  <c r="P601" i="16"/>
  <c r="Q601" i="16"/>
  <c r="AL601" i="13"/>
  <c r="A602" i="16"/>
  <c r="AP601" i="13" l="1"/>
  <c r="AQ601" i="13"/>
  <c r="AR601" i="13"/>
  <c r="AV601" i="13" s="1"/>
  <c r="AS601" i="13"/>
  <c r="AT601" i="13"/>
  <c r="AU601" i="13"/>
  <c r="A603" i="16"/>
  <c r="B602" i="16"/>
  <c r="AM602" i="13" s="1"/>
  <c r="C602" i="16"/>
  <c r="AN602" i="13" s="1"/>
  <c r="D602" i="16"/>
  <c r="AO602" i="13" s="1"/>
  <c r="E602" i="16"/>
  <c r="F602" i="16"/>
  <c r="G602" i="16"/>
  <c r="H602" i="16"/>
  <c r="I602" i="16"/>
  <c r="J602" i="16"/>
  <c r="K602" i="16"/>
  <c r="L602" i="16"/>
  <c r="M602" i="16"/>
  <c r="N602" i="16"/>
  <c r="O602" i="16"/>
  <c r="P602" i="16"/>
  <c r="Q602" i="16"/>
  <c r="AL602" i="13"/>
  <c r="B603" i="16" l="1"/>
  <c r="AM603" i="13" s="1"/>
  <c r="C603" i="16"/>
  <c r="AN603" i="13" s="1"/>
  <c r="D603" i="16"/>
  <c r="AO603" i="13" s="1"/>
  <c r="E603" i="16"/>
  <c r="F603" i="16"/>
  <c r="G603" i="16"/>
  <c r="H603" i="16"/>
  <c r="I603" i="16"/>
  <c r="J603" i="16"/>
  <c r="K603" i="16"/>
  <c r="L603" i="16"/>
  <c r="M603" i="16"/>
  <c r="N603" i="16"/>
  <c r="O603" i="16"/>
  <c r="P603" i="16"/>
  <c r="Q603" i="16"/>
  <c r="AL603" i="13"/>
  <c r="A604" i="16"/>
  <c r="AP602" i="13"/>
  <c r="AQ602" i="13"/>
  <c r="AR602" i="13"/>
  <c r="AV602" i="13" s="1"/>
  <c r="AS602" i="13"/>
  <c r="AT602" i="13"/>
  <c r="AU602" i="13"/>
  <c r="AP603" i="13" l="1"/>
  <c r="AQ603" i="13"/>
  <c r="AR603" i="13"/>
  <c r="AV603" i="13" s="1"/>
  <c r="AS603" i="13"/>
  <c r="AT603" i="13"/>
  <c r="AU603" i="13"/>
  <c r="B604" i="16"/>
  <c r="AM604" i="13" s="1"/>
  <c r="C604" i="16"/>
  <c r="AN604" i="13" s="1"/>
  <c r="D604" i="16"/>
  <c r="AO604" i="13" s="1"/>
  <c r="E604" i="16"/>
  <c r="F604" i="16"/>
  <c r="G604" i="16"/>
  <c r="H604" i="16"/>
  <c r="I604" i="16"/>
  <c r="J604" i="16"/>
  <c r="K604" i="16"/>
  <c r="L604" i="16"/>
  <c r="M604" i="16"/>
  <c r="N604" i="16"/>
  <c r="O604" i="16"/>
  <c r="P604" i="16"/>
  <c r="Q604" i="16"/>
  <c r="AL604" i="13"/>
  <c r="A605" i="16"/>
  <c r="AP604" i="13" l="1"/>
  <c r="AQ604" i="13"/>
  <c r="AR604" i="13"/>
  <c r="AV604" i="13" s="1"/>
  <c r="AS604" i="13"/>
  <c r="AT604" i="13"/>
  <c r="AU604" i="13"/>
  <c r="A606" i="16"/>
  <c r="B605" i="16"/>
  <c r="AM605" i="13" s="1"/>
  <c r="C605" i="16"/>
  <c r="AN605" i="13" s="1"/>
  <c r="D605" i="16"/>
  <c r="AO605" i="13" s="1"/>
  <c r="E605" i="16"/>
  <c r="F605" i="16"/>
  <c r="G605" i="16"/>
  <c r="H605" i="16"/>
  <c r="I605" i="16"/>
  <c r="J605" i="16"/>
  <c r="K605" i="16"/>
  <c r="L605" i="16"/>
  <c r="M605" i="16"/>
  <c r="N605" i="16"/>
  <c r="O605" i="16"/>
  <c r="P605" i="16"/>
  <c r="Q605" i="16"/>
  <c r="AL605" i="13"/>
  <c r="B606" i="16" l="1"/>
  <c r="AM606" i="13" s="1"/>
  <c r="C606" i="16"/>
  <c r="AN606" i="13" s="1"/>
  <c r="D606" i="16"/>
  <c r="AO606" i="13" s="1"/>
  <c r="E606" i="16"/>
  <c r="F606" i="16"/>
  <c r="G606" i="16"/>
  <c r="H606" i="16"/>
  <c r="I606" i="16"/>
  <c r="J606" i="16"/>
  <c r="K606" i="16"/>
  <c r="L606" i="16"/>
  <c r="M606" i="16"/>
  <c r="N606" i="16"/>
  <c r="O606" i="16"/>
  <c r="P606" i="16"/>
  <c r="Q606" i="16"/>
  <c r="AL606" i="13"/>
  <c r="A607" i="16"/>
  <c r="AP605" i="13"/>
  <c r="AQ605" i="13"/>
  <c r="AR605" i="13"/>
  <c r="AV605" i="13" s="1"/>
  <c r="AS605" i="13"/>
  <c r="AT605" i="13"/>
  <c r="AU605" i="13"/>
  <c r="AP606" i="13" l="1"/>
  <c r="AQ606" i="13"/>
  <c r="AR606" i="13"/>
  <c r="AV606" i="13" s="1"/>
  <c r="AS606" i="13"/>
  <c r="AT606" i="13"/>
  <c r="AU606" i="13"/>
  <c r="B607" i="16"/>
  <c r="AM607" i="13" s="1"/>
  <c r="C607" i="16"/>
  <c r="AN607" i="13" s="1"/>
  <c r="D607" i="16"/>
  <c r="AO607" i="13" s="1"/>
  <c r="E607" i="16"/>
  <c r="F607" i="16"/>
  <c r="G607" i="16"/>
  <c r="H607" i="16"/>
  <c r="I607" i="16"/>
  <c r="J607" i="16"/>
  <c r="K607" i="16"/>
  <c r="L607" i="16"/>
  <c r="M607" i="16"/>
  <c r="N607" i="16"/>
  <c r="O607" i="16"/>
  <c r="P607" i="16"/>
  <c r="Q607" i="16"/>
  <c r="AL607" i="13"/>
  <c r="A608" i="16"/>
  <c r="AP607" i="13" l="1"/>
  <c r="AQ607" i="13"/>
  <c r="AR607" i="13"/>
  <c r="AV607" i="13" s="1"/>
  <c r="AS607" i="13"/>
  <c r="AT607" i="13"/>
  <c r="AU607" i="13"/>
  <c r="B608" i="16"/>
  <c r="AM608" i="13" s="1"/>
  <c r="C608" i="16"/>
  <c r="AN608" i="13" s="1"/>
  <c r="D608" i="16"/>
  <c r="AO608" i="13" s="1"/>
  <c r="E608" i="16"/>
  <c r="F608" i="16"/>
  <c r="G608" i="16"/>
  <c r="H608" i="16"/>
  <c r="I608" i="16"/>
  <c r="J608" i="16"/>
  <c r="K608" i="16"/>
  <c r="L608" i="16"/>
  <c r="M608" i="16"/>
  <c r="N608" i="16"/>
  <c r="O608" i="16"/>
  <c r="P608" i="16"/>
  <c r="Q608" i="16"/>
  <c r="AL608" i="13"/>
  <c r="A609" i="16"/>
  <c r="AP608" i="13" l="1"/>
  <c r="AQ608" i="13"/>
  <c r="AR608" i="13"/>
  <c r="AV608" i="13" s="1"/>
  <c r="AS608" i="13"/>
  <c r="AT608" i="13"/>
  <c r="AU608" i="13"/>
  <c r="B609" i="16"/>
  <c r="AM609" i="13" s="1"/>
  <c r="C609" i="16"/>
  <c r="AN609" i="13" s="1"/>
  <c r="D609" i="16"/>
  <c r="AO609" i="13" s="1"/>
  <c r="E609" i="16"/>
  <c r="F609" i="16"/>
  <c r="G609" i="16"/>
  <c r="H609" i="16"/>
  <c r="I609" i="16"/>
  <c r="J609" i="16"/>
  <c r="K609" i="16"/>
  <c r="L609" i="16"/>
  <c r="M609" i="16"/>
  <c r="N609" i="16"/>
  <c r="O609" i="16"/>
  <c r="P609" i="16"/>
  <c r="Q609" i="16"/>
  <c r="AL609" i="13"/>
  <c r="A610" i="16"/>
  <c r="AP609" i="13" l="1"/>
  <c r="AQ609" i="13"/>
  <c r="AR609" i="13"/>
  <c r="AV609" i="13" s="1"/>
  <c r="AS609" i="13"/>
  <c r="AT609" i="13"/>
  <c r="AU609" i="13"/>
  <c r="B610" i="16"/>
  <c r="AM610" i="13" s="1"/>
  <c r="C610" i="16"/>
  <c r="AN610" i="13" s="1"/>
  <c r="D610" i="16"/>
  <c r="AO610" i="13" s="1"/>
  <c r="E610" i="16"/>
  <c r="F610" i="16"/>
  <c r="G610" i="16"/>
  <c r="H610" i="16"/>
  <c r="I610" i="16"/>
  <c r="J610" i="16"/>
  <c r="K610" i="16"/>
  <c r="L610" i="16"/>
  <c r="M610" i="16"/>
  <c r="N610" i="16"/>
  <c r="O610" i="16"/>
  <c r="P610" i="16"/>
  <c r="Q610" i="16"/>
  <c r="AL610" i="13"/>
  <c r="A611" i="16"/>
  <c r="AP610" i="13" l="1"/>
  <c r="AQ610" i="13"/>
  <c r="AR610" i="13"/>
  <c r="AV610" i="13" s="1"/>
  <c r="AS610" i="13"/>
  <c r="AT610" i="13"/>
  <c r="AU610" i="13"/>
  <c r="B611" i="16"/>
  <c r="AM611" i="13" s="1"/>
  <c r="C611" i="16"/>
  <c r="AN611" i="13" s="1"/>
  <c r="D611" i="16"/>
  <c r="AO611" i="13" s="1"/>
  <c r="E611" i="16"/>
  <c r="F611" i="16"/>
  <c r="G611" i="16"/>
  <c r="H611" i="16"/>
  <c r="I611" i="16"/>
  <c r="J611" i="16"/>
  <c r="K611" i="16"/>
  <c r="L611" i="16"/>
  <c r="M611" i="16"/>
  <c r="N611" i="16"/>
  <c r="O611" i="16"/>
  <c r="P611" i="16"/>
  <c r="Q611" i="16"/>
  <c r="AL611" i="13"/>
  <c r="A612" i="16"/>
  <c r="AP611" i="13" l="1"/>
  <c r="AQ611" i="13"/>
  <c r="AR611" i="13"/>
  <c r="AV611" i="13" s="1"/>
  <c r="AS611" i="13"/>
  <c r="AT611" i="13"/>
  <c r="AU611" i="13"/>
  <c r="B612" i="16"/>
  <c r="AM612" i="13" s="1"/>
  <c r="C612" i="16"/>
  <c r="AN612" i="13" s="1"/>
  <c r="D612" i="16"/>
  <c r="AO612" i="13" s="1"/>
  <c r="E612" i="16"/>
  <c r="F612" i="16"/>
  <c r="G612" i="16"/>
  <c r="H612" i="16"/>
  <c r="I612" i="16"/>
  <c r="J612" i="16"/>
  <c r="K612" i="16"/>
  <c r="L612" i="16"/>
  <c r="M612" i="16"/>
  <c r="N612" i="16"/>
  <c r="O612" i="16"/>
  <c r="P612" i="16"/>
  <c r="Q612" i="16"/>
  <c r="AL612" i="13"/>
  <c r="A613" i="16"/>
  <c r="AP612" i="13" l="1"/>
  <c r="AQ612" i="13"/>
  <c r="AR612" i="13"/>
  <c r="AV612" i="13" s="1"/>
  <c r="AS612" i="13"/>
  <c r="AT612" i="13"/>
  <c r="AU612" i="13"/>
  <c r="A614" i="16"/>
  <c r="B613" i="16"/>
  <c r="AM613" i="13" s="1"/>
  <c r="C613" i="16"/>
  <c r="AN613" i="13" s="1"/>
  <c r="D613" i="16"/>
  <c r="AO613" i="13" s="1"/>
  <c r="E613" i="16"/>
  <c r="F613" i="16"/>
  <c r="G613" i="16"/>
  <c r="H613" i="16"/>
  <c r="I613" i="16"/>
  <c r="J613" i="16"/>
  <c r="K613" i="16"/>
  <c r="L613" i="16"/>
  <c r="M613" i="16"/>
  <c r="N613" i="16"/>
  <c r="O613" i="16"/>
  <c r="P613" i="16"/>
  <c r="Q613" i="16"/>
  <c r="AL613" i="13"/>
  <c r="B614" i="16" l="1"/>
  <c r="AM614" i="13" s="1"/>
  <c r="C614" i="16"/>
  <c r="AN614" i="13" s="1"/>
  <c r="D614" i="16"/>
  <c r="AO614" i="13" s="1"/>
  <c r="E614" i="16"/>
  <c r="F614" i="16"/>
  <c r="G614" i="16"/>
  <c r="H614" i="16"/>
  <c r="I614" i="16"/>
  <c r="J614" i="16"/>
  <c r="K614" i="16"/>
  <c r="L614" i="16"/>
  <c r="M614" i="16"/>
  <c r="N614" i="16"/>
  <c r="O614" i="16"/>
  <c r="P614" i="16"/>
  <c r="Q614" i="16"/>
  <c r="AL614" i="13"/>
  <c r="A615" i="16"/>
  <c r="AP613" i="13"/>
  <c r="AQ613" i="13"/>
  <c r="AR613" i="13"/>
  <c r="AV613" i="13" s="1"/>
  <c r="AS613" i="13"/>
  <c r="AT613" i="13"/>
  <c r="AU613" i="13"/>
  <c r="AP614" i="13" l="1"/>
  <c r="AQ614" i="13"/>
  <c r="AR614" i="13"/>
  <c r="AV614" i="13" s="1"/>
  <c r="AS614" i="13"/>
  <c r="AT614" i="13"/>
  <c r="AU614" i="13"/>
  <c r="A616" i="16"/>
  <c r="B615" i="16"/>
  <c r="AM615" i="13" s="1"/>
  <c r="C615" i="16"/>
  <c r="AN615" i="13" s="1"/>
  <c r="D615" i="16"/>
  <c r="AO615" i="13" s="1"/>
  <c r="E615" i="16"/>
  <c r="F615" i="16"/>
  <c r="G615" i="16"/>
  <c r="H615" i="16"/>
  <c r="I615" i="16"/>
  <c r="J615" i="16"/>
  <c r="K615" i="16"/>
  <c r="L615" i="16"/>
  <c r="M615" i="16"/>
  <c r="N615" i="16"/>
  <c r="O615" i="16"/>
  <c r="P615" i="16"/>
  <c r="Q615" i="16"/>
  <c r="AL615" i="13"/>
  <c r="B616" i="16" l="1"/>
  <c r="AM616" i="13" s="1"/>
  <c r="C616" i="16"/>
  <c r="AN616" i="13" s="1"/>
  <c r="D616" i="16"/>
  <c r="AO616" i="13" s="1"/>
  <c r="E616" i="16"/>
  <c r="F616" i="16"/>
  <c r="G616" i="16"/>
  <c r="H616" i="16"/>
  <c r="I616" i="16"/>
  <c r="J616" i="16"/>
  <c r="K616" i="16"/>
  <c r="L616" i="16"/>
  <c r="M616" i="16"/>
  <c r="N616" i="16"/>
  <c r="O616" i="16"/>
  <c r="P616" i="16"/>
  <c r="Q616" i="16"/>
  <c r="AL616" i="13"/>
  <c r="A617" i="16"/>
  <c r="AP615" i="13"/>
  <c r="AQ615" i="13"/>
  <c r="AR615" i="13"/>
  <c r="AV615" i="13" s="1"/>
  <c r="AS615" i="13"/>
  <c r="AT615" i="13"/>
  <c r="AU615" i="13"/>
  <c r="AP616" i="13" l="1"/>
  <c r="AQ616" i="13"/>
  <c r="AR616" i="13"/>
  <c r="AV616" i="13" s="1"/>
  <c r="AS616" i="13"/>
  <c r="AT616" i="13"/>
  <c r="AU616" i="13"/>
  <c r="A618" i="16"/>
  <c r="B617" i="16"/>
  <c r="AM617" i="13" s="1"/>
  <c r="C617" i="16"/>
  <c r="AN617" i="13" s="1"/>
  <c r="D617" i="16"/>
  <c r="AO617" i="13" s="1"/>
  <c r="E617" i="16"/>
  <c r="F617" i="16"/>
  <c r="G617" i="16"/>
  <c r="H617" i="16"/>
  <c r="I617" i="16"/>
  <c r="J617" i="16"/>
  <c r="K617" i="16"/>
  <c r="L617" i="16"/>
  <c r="M617" i="16"/>
  <c r="N617" i="16"/>
  <c r="O617" i="16"/>
  <c r="P617" i="16"/>
  <c r="Q617" i="16"/>
  <c r="AL617" i="13"/>
  <c r="B618" i="16" l="1"/>
  <c r="AM618" i="13" s="1"/>
  <c r="C618" i="16"/>
  <c r="AN618" i="13" s="1"/>
  <c r="D618" i="16"/>
  <c r="AO618" i="13" s="1"/>
  <c r="E618" i="16"/>
  <c r="F618" i="16"/>
  <c r="G618" i="16"/>
  <c r="H618" i="16"/>
  <c r="I618" i="16"/>
  <c r="J618" i="16"/>
  <c r="K618" i="16"/>
  <c r="L618" i="16"/>
  <c r="M618" i="16"/>
  <c r="N618" i="16"/>
  <c r="O618" i="16"/>
  <c r="P618" i="16"/>
  <c r="Q618" i="16"/>
  <c r="AL618" i="13"/>
  <c r="A619" i="16"/>
  <c r="AP617" i="13"/>
  <c r="AQ617" i="13"/>
  <c r="AR617" i="13"/>
  <c r="AV617" i="13" s="1"/>
  <c r="AS617" i="13"/>
  <c r="AT617" i="13"/>
  <c r="AU617" i="13"/>
  <c r="AP618" i="13" l="1"/>
  <c r="AQ618" i="13"/>
  <c r="AR618" i="13"/>
  <c r="AV618" i="13" s="1"/>
  <c r="AS618" i="13"/>
  <c r="AT618" i="13"/>
  <c r="AU618" i="13"/>
  <c r="B619" i="16"/>
  <c r="AM619" i="13" s="1"/>
  <c r="C619" i="16"/>
  <c r="AN619" i="13" s="1"/>
  <c r="D619" i="16"/>
  <c r="AO619" i="13" s="1"/>
  <c r="E619" i="16"/>
  <c r="F619" i="16"/>
  <c r="G619" i="16"/>
  <c r="H619" i="16"/>
  <c r="I619" i="16"/>
  <c r="J619" i="16"/>
  <c r="K619" i="16"/>
  <c r="L619" i="16"/>
  <c r="M619" i="16"/>
  <c r="N619" i="16"/>
  <c r="O619" i="16"/>
  <c r="P619" i="16"/>
  <c r="Q619" i="16"/>
  <c r="AL619" i="13"/>
  <c r="A620" i="16"/>
  <c r="AP619" i="13" l="1"/>
  <c r="AQ619" i="13"/>
  <c r="AR619" i="13"/>
  <c r="AV619" i="13" s="1"/>
  <c r="AS619" i="13"/>
  <c r="AT619" i="13"/>
  <c r="AU619" i="13"/>
  <c r="B620" i="16"/>
  <c r="AM620" i="13" s="1"/>
  <c r="C620" i="16"/>
  <c r="AN620" i="13" s="1"/>
  <c r="D620" i="16"/>
  <c r="AO620" i="13" s="1"/>
  <c r="E620" i="16"/>
  <c r="F620" i="16"/>
  <c r="G620" i="16"/>
  <c r="H620" i="16"/>
  <c r="I620" i="16"/>
  <c r="J620" i="16"/>
  <c r="K620" i="16"/>
  <c r="L620" i="16"/>
  <c r="M620" i="16"/>
  <c r="N620" i="16"/>
  <c r="O620" i="16"/>
  <c r="P620" i="16"/>
  <c r="Q620" i="16"/>
  <c r="AL620" i="13"/>
  <c r="A621" i="16"/>
  <c r="AP620" i="13" l="1"/>
  <c r="AQ620" i="13"/>
  <c r="AR620" i="13"/>
  <c r="AV620" i="13" s="1"/>
  <c r="AS620" i="13"/>
  <c r="AT620" i="13"/>
  <c r="AU620" i="13"/>
  <c r="A622" i="16"/>
  <c r="B621" i="16"/>
  <c r="AM621" i="13" s="1"/>
  <c r="C621" i="16"/>
  <c r="AN621" i="13" s="1"/>
  <c r="D621" i="16"/>
  <c r="AO621" i="13" s="1"/>
  <c r="E621" i="16"/>
  <c r="F621" i="16"/>
  <c r="G621" i="16"/>
  <c r="H621" i="16"/>
  <c r="I621" i="16"/>
  <c r="J621" i="16"/>
  <c r="K621" i="16"/>
  <c r="L621" i="16"/>
  <c r="M621" i="16"/>
  <c r="N621" i="16"/>
  <c r="O621" i="16"/>
  <c r="P621" i="16"/>
  <c r="Q621" i="16"/>
  <c r="AL621" i="13"/>
  <c r="B622" i="16" l="1"/>
  <c r="AM622" i="13" s="1"/>
  <c r="C622" i="16"/>
  <c r="AN622" i="13" s="1"/>
  <c r="D622" i="16"/>
  <c r="AO622" i="13" s="1"/>
  <c r="E622" i="16"/>
  <c r="F622" i="16"/>
  <c r="G622" i="16"/>
  <c r="H622" i="16"/>
  <c r="I622" i="16"/>
  <c r="J622" i="16"/>
  <c r="K622" i="16"/>
  <c r="L622" i="16"/>
  <c r="M622" i="16"/>
  <c r="N622" i="16"/>
  <c r="O622" i="16"/>
  <c r="P622" i="16"/>
  <c r="Q622" i="16"/>
  <c r="AL622" i="13"/>
  <c r="A623" i="16"/>
  <c r="AP621" i="13"/>
  <c r="AQ621" i="13"/>
  <c r="AR621" i="13"/>
  <c r="AV621" i="13" s="1"/>
  <c r="AS621" i="13"/>
  <c r="AT621" i="13"/>
  <c r="AU621" i="13"/>
  <c r="AP622" i="13" l="1"/>
  <c r="AQ622" i="13"/>
  <c r="AR622" i="13"/>
  <c r="AV622" i="13" s="1"/>
  <c r="AS622" i="13"/>
  <c r="AT622" i="13"/>
  <c r="AU622" i="13"/>
  <c r="B623" i="16"/>
  <c r="AM623" i="13" s="1"/>
  <c r="C623" i="16"/>
  <c r="AN623" i="13" s="1"/>
  <c r="D623" i="16"/>
  <c r="AO623" i="13" s="1"/>
  <c r="E623" i="16"/>
  <c r="F623" i="16"/>
  <c r="G623" i="16"/>
  <c r="H623" i="16"/>
  <c r="I623" i="16"/>
  <c r="J623" i="16"/>
  <c r="K623" i="16"/>
  <c r="L623" i="16"/>
  <c r="M623" i="16"/>
  <c r="N623" i="16"/>
  <c r="O623" i="16"/>
  <c r="P623" i="16"/>
  <c r="Q623" i="16"/>
  <c r="AL623" i="13"/>
  <c r="A624" i="16"/>
  <c r="AP623" i="13" l="1"/>
  <c r="AQ623" i="13"/>
  <c r="AR623" i="13"/>
  <c r="AV623" i="13" s="1"/>
  <c r="AS623" i="13"/>
  <c r="AT623" i="13"/>
  <c r="AU623" i="13"/>
  <c r="A625" i="16"/>
  <c r="B624" i="16"/>
  <c r="AM624" i="13" s="1"/>
  <c r="C624" i="16"/>
  <c r="AN624" i="13" s="1"/>
  <c r="D624" i="16"/>
  <c r="AO624" i="13" s="1"/>
  <c r="E624" i="16"/>
  <c r="F624" i="16"/>
  <c r="G624" i="16"/>
  <c r="H624" i="16"/>
  <c r="I624" i="16"/>
  <c r="J624" i="16"/>
  <c r="K624" i="16"/>
  <c r="L624" i="16"/>
  <c r="M624" i="16"/>
  <c r="N624" i="16"/>
  <c r="O624" i="16"/>
  <c r="P624" i="16"/>
  <c r="Q624" i="16"/>
  <c r="AL624" i="13"/>
  <c r="B625" i="16" l="1"/>
  <c r="AM625" i="13" s="1"/>
  <c r="C625" i="16"/>
  <c r="AN625" i="13" s="1"/>
  <c r="D625" i="16"/>
  <c r="AO625" i="13" s="1"/>
  <c r="E625" i="16"/>
  <c r="F625" i="16"/>
  <c r="G625" i="16"/>
  <c r="H625" i="16"/>
  <c r="I625" i="16"/>
  <c r="J625" i="16"/>
  <c r="K625" i="16"/>
  <c r="L625" i="16"/>
  <c r="M625" i="16"/>
  <c r="N625" i="16"/>
  <c r="O625" i="16"/>
  <c r="P625" i="16"/>
  <c r="Q625" i="16"/>
  <c r="AL625" i="13"/>
  <c r="A626" i="16"/>
  <c r="AP624" i="13"/>
  <c r="AQ624" i="13"/>
  <c r="AR624" i="13"/>
  <c r="AV624" i="13" s="1"/>
  <c r="AS624" i="13"/>
  <c r="AT624" i="13"/>
  <c r="AU624" i="13"/>
  <c r="AP625" i="13" l="1"/>
  <c r="AQ625" i="13"/>
  <c r="AR625" i="13"/>
  <c r="AV625" i="13" s="1"/>
  <c r="AS625" i="13"/>
  <c r="AT625" i="13"/>
  <c r="AU625" i="13"/>
  <c r="B626" i="16"/>
  <c r="AM626" i="13" s="1"/>
  <c r="C626" i="16"/>
  <c r="AN626" i="13" s="1"/>
  <c r="D626" i="16"/>
  <c r="AO626" i="13" s="1"/>
  <c r="E626" i="16"/>
  <c r="F626" i="16"/>
  <c r="G626" i="16"/>
  <c r="H626" i="16"/>
  <c r="I626" i="16"/>
  <c r="J626" i="16"/>
  <c r="K626" i="16"/>
  <c r="L626" i="16"/>
  <c r="M626" i="16"/>
  <c r="N626" i="16"/>
  <c r="O626" i="16"/>
  <c r="P626" i="16"/>
  <c r="Q626" i="16"/>
  <c r="AL626" i="13"/>
  <c r="A627" i="16"/>
  <c r="AP626" i="13" l="1"/>
  <c r="AQ626" i="13"/>
  <c r="AR626" i="13"/>
  <c r="AV626" i="13" s="1"/>
  <c r="AS626" i="13"/>
  <c r="AT626" i="13"/>
  <c r="AU626" i="13"/>
  <c r="B627" i="16"/>
  <c r="AM627" i="13" s="1"/>
  <c r="C627" i="16"/>
  <c r="AN627" i="13" s="1"/>
  <c r="D627" i="16"/>
  <c r="AO627" i="13" s="1"/>
  <c r="E627" i="16"/>
  <c r="F627" i="16"/>
  <c r="G627" i="16"/>
  <c r="H627" i="16"/>
  <c r="I627" i="16"/>
  <c r="J627" i="16"/>
  <c r="K627" i="16"/>
  <c r="L627" i="16"/>
  <c r="M627" i="16"/>
  <c r="N627" i="16"/>
  <c r="O627" i="16"/>
  <c r="P627" i="16"/>
  <c r="Q627" i="16"/>
  <c r="AL627" i="13"/>
  <c r="A628" i="16"/>
  <c r="AP627" i="13" l="1"/>
  <c r="AQ627" i="13"/>
  <c r="AR627" i="13"/>
  <c r="AV627" i="13" s="1"/>
  <c r="AS627" i="13"/>
  <c r="AT627" i="13"/>
  <c r="AU627" i="13"/>
  <c r="A629" i="16"/>
  <c r="B628" i="16"/>
  <c r="AM628" i="13" s="1"/>
  <c r="C628" i="16"/>
  <c r="AN628" i="13" s="1"/>
  <c r="D628" i="16"/>
  <c r="AO628" i="13" s="1"/>
  <c r="E628" i="16"/>
  <c r="F628" i="16"/>
  <c r="G628" i="16"/>
  <c r="H628" i="16"/>
  <c r="I628" i="16"/>
  <c r="J628" i="16"/>
  <c r="K628" i="16"/>
  <c r="L628" i="16"/>
  <c r="M628" i="16"/>
  <c r="N628" i="16"/>
  <c r="O628" i="16"/>
  <c r="P628" i="16"/>
  <c r="Q628" i="16"/>
  <c r="AL628" i="13"/>
  <c r="B629" i="16" l="1"/>
  <c r="AM629" i="13" s="1"/>
  <c r="C629" i="16"/>
  <c r="AN629" i="13" s="1"/>
  <c r="D629" i="16"/>
  <c r="AO629" i="13" s="1"/>
  <c r="E629" i="16"/>
  <c r="F629" i="16"/>
  <c r="G629" i="16"/>
  <c r="H629" i="16"/>
  <c r="I629" i="16"/>
  <c r="J629" i="16"/>
  <c r="K629" i="16"/>
  <c r="L629" i="16"/>
  <c r="M629" i="16"/>
  <c r="N629" i="16"/>
  <c r="O629" i="16"/>
  <c r="P629" i="16"/>
  <c r="Q629" i="16"/>
  <c r="AL629" i="13"/>
  <c r="A630" i="16"/>
  <c r="AP628" i="13"/>
  <c r="AQ628" i="13"/>
  <c r="AR628" i="13"/>
  <c r="AV628" i="13" s="1"/>
  <c r="AS628" i="13"/>
  <c r="AT628" i="13"/>
  <c r="AU628" i="13"/>
  <c r="AP629" i="13" l="1"/>
  <c r="AQ629" i="13"/>
  <c r="AR629" i="13"/>
  <c r="AV629" i="13" s="1"/>
  <c r="AS629" i="13"/>
  <c r="AT629" i="13"/>
  <c r="AU629" i="13"/>
  <c r="B630" i="16"/>
  <c r="AM630" i="13" s="1"/>
  <c r="C630" i="16"/>
  <c r="AN630" i="13" s="1"/>
  <c r="D630" i="16"/>
  <c r="AO630" i="13" s="1"/>
  <c r="E630" i="16"/>
  <c r="F630" i="16"/>
  <c r="G630" i="16"/>
  <c r="H630" i="16"/>
  <c r="I630" i="16"/>
  <c r="J630" i="16"/>
  <c r="K630" i="16"/>
  <c r="L630" i="16"/>
  <c r="M630" i="16"/>
  <c r="N630" i="16"/>
  <c r="O630" i="16"/>
  <c r="P630" i="16"/>
  <c r="Q630" i="16"/>
  <c r="AL630" i="13"/>
  <c r="A631" i="16"/>
  <c r="AP630" i="13" l="1"/>
  <c r="AQ630" i="13"/>
  <c r="AR630" i="13"/>
  <c r="AV630" i="13" s="1"/>
  <c r="AS630" i="13"/>
  <c r="AT630" i="13"/>
  <c r="AU630" i="13"/>
  <c r="B631" i="16"/>
  <c r="AM631" i="13" s="1"/>
  <c r="C631" i="16"/>
  <c r="AN631" i="13" s="1"/>
  <c r="D631" i="16"/>
  <c r="AO631" i="13" s="1"/>
  <c r="E631" i="16"/>
  <c r="F631" i="16"/>
  <c r="G631" i="16"/>
  <c r="H631" i="16"/>
  <c r="I631" i="16"/>
  <c r="J631" i="16"/>
  <c r="K631" i="16"/>
  <c r="L631" i="16"/>
  <c r="M631" i="16"/>
  <c r="N631" i="16"/>
  <c r="O631" i="16"/>
  <c r="P631" i="16"/>
  <c r="Q631" i="16"/>
  <c r="AL631" i="13"/>
  <c r="A632" i="16"/>
  <c r="AP631" i="13" l="1"/>
  <c r="AQ631" i="13"/>
  <c r="AR631" i="13"/>
  <c r="AV631" i="13" s="1"/>
  <c r="AS631" i="13"/>
  <c r="AT631" i="13"/>
  <c r="AU631" i="13"/>
  <c r="B632" i="16"/>
  <c r="AM632" i="13" s="1"/>
  <c r="C632" i="16"/>
  <c r="AN632" i="13" s="1"/>
  <c r="D632" i="16"/>
  <c r="AO632" i="13" s="1"/>
  <c r="E632" i="16"/>
  <c r="F632" i="16"/>
  <c r="G632" i="16"/>
  <c r="H632" i="16"/>
  <c r="I632" i="16"/>
  <c r="J632" i="16"/>
  <c r="K632" i="16"/>
  <c r="L632" i="16"/>
  <c r="M632" i="16"/>
  <c r="N632" i="16"/>
  <c r="O632" i="16"/>
  <c r="P632" i="16"/>
  <c r="Q632" i="16"/>
  <c r="AL632" i="13"/>
  <c r="A633" i="16"/>
  <c r="AP632" i="13" l="1"/>
  <c r="AQ632" i="13"/>
  <c r="AR632" i="13"/>
  <c r="AV632" i="13" s="1"/>
  <c r="AS632" i="13"/>
  <c r="AT632" i="13"/>
  <c r="AU632" i="13"/>
  <c r="A634" i="16"/>
  <c r="B633" i="16"/>
  <c r="AM633" i="13" s="1"/>
  <c r="C633" i="16"/>
  <c r="AN633" i="13" s="1"/>
  <c r="D633" i="16"/>
  <c r="AO633" i="13" s="1"/>
  <c r="E633" i="16"/>
  <c r="F633" i="16"/>
  <c r="G633" i="16"/>
  <c r="H633" i="16"/>
  <c r="I633" i="16"/>
  <c r="J633" i="16"/>
  <c r="K633" i="16"/>
  <c r="L633" i="16"/>
  <c r="M633" i="16"/>
  <c r="N633" i="16"/>
  <c r="O633" i="16"/>
  <c r="P633" i="16"/>
  <c r="Q633" i="16"/>
  <c r="AL633" i="13"/>
  <c r="B634" i="16" l="1"/>
  <c r="AM634" i="13" s="1"/>
  <c r="C634" i="16"/>
  <c r="AN634" i="13" s="1"/>
  <c r="D634" i="16"/>
  <c r="AO634" i="13" s="1"/>
  <c r="E634" i="16"/>
  <c r="F634" i="16"/>
  <c r="G634" i="16"/>
  <c r="H634" i="16"/>
  <c r="I634" i="16"/>
  <c r="J634" i="16"/>
  <c r="K634" i="16"/>
  <c r="L634" i="16"/>
  <c r="M634" i="16"/>
  <c r="N634" i="16"/>
  <c r="O634" i="16"/>
  <c r="P634" i="16"/>
  <c r="Q634" i="16"/>
  <c r="AL634" i="13"/>
  <c r="A635" i="16"/>
  <c r="AP633" i="13"/>
  <c r="AQ633" i="13"/>
  <c r="AR633" i="13"/>
  <c r="AV633" i="13" s="1"/>
  <c r="AS633" i="13"/>
  <c r="AT633" i="13"/>
  <c r="AU633" i="13"/>
  <c r="AP634" i="13" l="1"/>
  <c r="AQ634" i="13"/>
  <c r="AR634" i="13"/>
  <c r="AV634" i="13" s="1"/>
  <c r="AS634" i="13"/>
  <c r="AT634" i="13"/>
  <c r="AU634" i="13"/>
  <c r="B635" i="16"/>
  <c r="AM635" i="13" s="1"/>
  <c r="C635" i="16"/>
  <c r="AN635" i="13" s="1"/>
  <c r="D635" i="16"/>
  <c r="AO635" i="13" s="1"/>
  <c r="E635" i="16"/>
  <c r="F635" i="16"/>
  <c r="G635" i="16"/>
  <c r="H635" i="16"/>
  <c r="I635" i="16"/>
  <c r="J635" i="16"/>
  <c r="K635" i="16"/>
  <c r="L635" i="16"/>
  <c r="M635" i="16"/>
  <c r="N635" i="16"/>
  <c r="O635" i="16"/>
  <c r="P635" i="16"/>
  <c r="Q635" i="16"/>
  <c r="AL635" i="13"/>
  <c r="A636" i="16"/>
  <c r="AP635" i="13" l="1"/>
  <c r="AQ635" i="13"/>
  <c r="AR635" i="13"/>
  <c r="AV635" i="13" s="1"/>
  <c r="AS635" i="13"/>
  <c r="AT635" i="13"/>
  <c r="AU635" i="13"/>
  <c r="A637" i="16"/>
  <c r="B636" i="16"/>
  <c r="AM636" i="13" s="1"/>
  <c r="C636" i="16"/>
  <c r="AN636" i="13" s="1"/>
  <c r="D636" i="16"/>
  <c r="AO636" i="13" s="1"/>
  <c r="E636" i="16"/>
  <c r="F636" i="16"/>
  <c r="G636" i="16"/>
  <c r="H636" i="16"/>
  <c r="I636" i="16"/>
  <c r="J636" i="16"/>
  <c r="K636" i="16"/>
  <c r="L636" i="16"/>
  <c r="M636" i="16"/>
  <c r="N636" i="16"/>
  <c r="O636" i="16"/>
  <c r="P636" i="16"/>
  <c r="Q636" i="16"/>
  <c r="AL636" i="13"/>
  <c r="B637" i="16" l="1"/>
  <c r="AM637" i="13" s="1"/>
  <c r="C637" i="16"/>
  <c r="AN637" i="13" s="1"/>
  <c r="D637" i="16"/>
  <c r="AO637" i="13" s="1"/>
  <c r="E637" i="16"/>
  <c r="F637" i="16"/>
  <c r="G637" i="16"/>
  <c r="H637" i="16"/>
  <c r="I637" i="16"/>
  <c r="J637" i="16"/>
  <c r="K637" i="16"/>
  <c r="L637" i="16"/>
  <c r="M637" i="16"/>
  <c r="N637" i="16"/>
  <c r="O637" i="16"/>
  <c r="P637" i="16"/>
  <c r="Q637" i="16"/>
  <c r="AL637" i="13"/>
  <c r="A638" i="16"/>
  <c r="AP636" i="13"/>
  <c r="AQ636" i="13"/>
  <c r="AR636" i="13"/>
  <c r="AV636" i="13" s="1"/>
  <c r="AS636" i="13"/>
  <c r="AT636" i="13"/>
  <c r="AU636" i="13"/>
  <c r="AP637" i="13" l="1"/>
  <c r="AQ637" i="13"/>
  <c r="AR637" i="13"/>
  <c r="AV637" i="13" s="1"/>
  <c r="AS637" i="13"/>
  <c r="AT637" i="13"/>
  <c r="AU637" i="13"/>
  <c r="B638" i="16"/>
  <c r="AM638" i="13" s="1"/>
  <c r="C638" i="16"/>
  <c r="AN638" i="13" s="1"/>
  <c r="D638" i="16"/>
  <c r="AO638" i="13" s="1"/>
  <c r="E638" i="16"/>
  <c r="F638" i="16"/>
  <c r="G638" i="16"/>
  <c r="H638" i="16"/>
  <c r="I638" i="16"/>
  <c r="J638" i="16"/>
  <c r="K638" i="16"/>
  <c r="L638" i="16"/>
  <c r="M638" i="16"/>
  <c r="N638" i="16"/>
  <c r="O638" i="16"/>
  <c r="P638" i="16"/>
  <c r="Q638" i="16"/>
  <c r="AL638" i="13"/>
  <c r="A639" i="16"/>
  <c r="AP638" i="13" l="1"/>
  <c r="AQ638" i="13"/>
  <c r="AR638" i="13"/>
  <c r="AV638" i="13" s="1"/>
  <c r="AS638" i="13"/>
  <c r="AT638" i="13"/>
  <c r="AU638" i="13"/>
  <c r="B639" i="16"/>
  <c r="AM639" i="13" s="1"/>
  <c r="C639" i="16"/>
  <c r="AN639" i="13" s="1"/>
  <c r="D639" i="16"/>
  <c r="AO639" i="13" s="1"/>
  <c r="E639" i="16"/>
  <c r="F639" i="16"/>
  <c r="G639" i="16"/>
  <c r="H639" i="16"/>
  <c r="I639" i="16"/>
  <c r="J639" i="16"/>
  <c r="K639" i="16"/>
  <c r="L639" i="16"/>
  <c r="M639" i="16"/>
  <c r="N639" i="16"/>
  <c r="O639" i="16"/>
  <c r="P639" i="16"/>
  <c r="Q639" i="16"/>
  <c r="AL639" i="13"/>
  <c r="A640" i="16"/>
  <c r="AP639" i="13" l="1"/>
  <c r="AQ639" i="13"/>
  <c r="AR639" i="13"/>
  <c r="AV639" i="13" s="1"/>
  <c r="AS639" i="13"/>
  <c r="AT639" i="13"/>
  <c r="AU639" i="13"/>
  <c r="B640" i="16"/>
  <c r="AM640" i="13" s="1"/>
  <c r="C640" i="16"/>
  <c r="AN640" i="13" s="1"/>
  <c r="D640" i="16"/>
  <c r="AO640" i="13" s="1"/>
  <c r="E640" i="16"/>
  <c r="F640" i="16"/>
  <c r="G640" i="16"/>
  <c r="H640" i="16"/>
  <c r="I640" i="16"/>
  <c r="J640" i="16"/>
  <c r="K640" i="16"/>
  <c r="L640" i="16"/>
  <c r="M640" i="16"/>
  <c r="N640" i="16"/>
  <c r="O640" i="16"/>
  <c r="P640" i="16"/>
  <c r="Q640" i="16"/>
  <c r="AL640" i="13"/>
  <c r="A641" i="16"/>
  <c r="AP640" i="13" l="1"/>
  <c r="AQ640" i="13"/>
  <c r="AR640" i="13"/>
  <c r="AV640" i="13" s="1"/>
  <c r="AS640" i="13"/>
  <c r="AT640" i="13"/>
  <c r="AU640" i="13"/>
  <c r="B641" i="16"/>
  <c r="AM641" i="13" s="1"/>
  <c r="C641" i="16"/>
  <c r="AN641" i="13" s="1"/>
  <c r="D641" i="16"/>
  <c r="AO641" i="13" s="1"/>
  <c r="E641" i="16"/>
  <c r="F641" i="16"/>
  <c r="G641" i="16"/>
  <c r="H641" i="16"/>
  <c r="I641" i="16"/>
  <c r="J641" i="16"/>
  <c r="K641" i="16"/>
  <c r="L641" i="16"/>
  <c r="M641" i="16"/>
  <c r="N641" i="16"/>
  <c r="O641" i="16"/>
  <c r="P641" i="16"/>
  <c r="Q641" i="16"/>
  <c r="AL641" i="13"/>
  <c r="A642" i="16"/>
  <c r="AP641" i="13" l="1"/>
  <c r="AQ641" i="13"/>
  <c r="AR641" i="13"/>
  <c r="AV641" i="13" s="1"/>
  <c r="AS641" i="13"/>
  <c r="AT641" i="13"/>
  <c r="AU641" i="13"/>
  <c r="A643" i="16"/>
  <c r="B642" i="16"/>
  <c r="AM642" i="13" s="1"/>
  <c r="C642" i="16"/>
  <c r="AN642" i="13" s="1"/>
  <c r="D642" i="16"/>
  <c r="AO642" i="13" s="1"/>
  <c r="E642" i="16"/>
  <c r="F642" i="16"/>
  <c r="G642" i="16"/>
  <c r="H642" i="16"/>
  <c r="I642" i="16"/>
  <c r="J642" i="16"/>
  <c r="K642" i="16"/>
  <c r="L642" i="16"/>
  <c r="M642" i="16"/>
  <c r="N642" i="16"/>
  <c r="O642" i="16"/>
  <c r="P642" i="16"/>
  <c r="Q642" i="16"/>
  <c r="AL642" i="13"/>
  <c r="B643" i="16" l="1"/>
  <c r="AM643" i="13" s="1"/>
  <c r="C643" i="16"/>
  <c r="AN643" i="13" s="1"/>
  <c r="D643" i="16"/>
  <c r="AO643" i="13" s="1"/>
  <c r="E643" i="16"/>
  <c r="F643" i="16"/>
  <c r="G643" i="16"/>
  <c r="H643" i="16"/>
  <c r="I643" i="16"/>
  <c r="J643" i="16"/>
  <c r="K643" i="16"/>
  <c r="L643" i="16"/>
  <c r="M643" i="16"/>
  <c r="N643" i="16"/>
  <c r="O643" i="16"/>
  <c r="P643" i="16"/>
  <c r="Q643" i="16"/>
  <c r="AL643" i="13"/>
  <c r="A644" i="16"/>
  <c r="AP642" i="13"/>
  <c r="AQ642" i="13"/>
  <c r="AR642" i="13"/>
  <c r="AV642" i="13" s="1"/>
  <c r="AS642" i="13"/>
  <c r="AT642" i="13"/>
  <c r="AU642" i="13"/>
  <c r="AP643" i="13" l="1"/>
  <c r="AQ643" i="13"/>
  <c r="AR643" i="13"/>
  <c r="AV643" i="13" s="1"/>
  <c r="AS643" i="13"/>
  <c r="AT643" i="13"/>
  <c r="AU643" i="13"/>
  <c r="B644" i="16"/>
  <c r="AM644" i="13" s="1"/>
  <c r="C644" i="16"/>
  <c r="AN644" i="13" s="1"/>
  <c r="D644" i="16"/>
  <c r="AO644" i="13" s="1"/>
  <c r="E644" i="16"/>
  <c r="F644" i="16"/>
  <c r="G644" i="16"/>
  <c r="H644" i="16"/>
  <c r="I644" i="16"/>
  <c r="J644" i="16"/>
  <c r="K644" i="16"/>
  <c r="L644" i="16"/>
  <c r="M644" i="16"/>
  <c r="N644" i="16"/>
  <c r="O644" i="16"/>
  <c r="P644" i="16"/>
  <c r="Q644" i="16"/>
  <c r="AL644" i="13"/>
  <c r="A645" i="16"/>
  <c r="AP644" i="13" l="1"/>
  <c r="AQ644" i="13"/>
  <c r="AR644" i="13"/>
  <c r="AV644" i="13" s="1"/>
  <c r="AS644" i="13"/>
  <c r="AT644" i="13"/>
  <c r="AU644" i="13"/>
  <c r="B645" i="16"/>
  <c r="AM645" i="13" s="1"/>
  <c r="C645" i="16"/>
  <c r="AN645" i="13" s="1"/>
  <c r="D645" i="16"/>
  <c r="AO645" i="13" s="1"/>
  <c r="E645" i="16"/>
  <c r="F645" i="16"/>
  <c r="G645" i="16"/>
  <c r="H645" i="16"/>
  <c r="I645" i="16"/>
  <c r="J645" i="16"/>
  <c r="K645" i="16"/>
  <c r="L645" i="16"/>
  <c r="M645" i="16"/>
  <c r="N645" i="16"/>
  <c r="O645" i="16"/>
  <c r="P645" i="16"/>
  <c r="Q645" i="16"/>
  <c r="AL645" i="13"/>
  <c r="A646" i="16"/>
  <c r="AP645" i="13" l="1"/>
  <c r="AQ645" i="13"/>
  <c r="AR645" i="13"/>
  <c r="AV645" i="13" s="1"/>
  <c r="AS645" i="13"/>
  <c r="AT645" i="13"/>
  <c r="AU645" i="13"/>
  <c r="A647" i="16"/>
  <c r="B646" i="16"/>
  <c r="AM646" i="13" s="1"/>
  <c r="C646" i="16"/>
  <c r="AN646" i="13" s="1"/>
  <c r="D646" i="16"/>
  <c r="AO646" i="13" s="1"/>
  <c r="E646" i="16"/>
  <c r="F646" i="16"/>
  <c r="G646" i="16"/>
  <c r="H646" i="16"/>
  <c r="I646" i="16"/>
  <c r="J646" i="16"/>
  <c r="K646" i="16"/>
  <c r="L646" i="16"/>
  <c r="M646" i="16"/>
  <c r="N646" i="16"/>
  <c r="O646" i="16"/>
  <c r="P646" i="16"/>
  <c r="Q646" i="16"/>
  <c r="AL646" i="13"/>
  <c r="B647" i="16" l="1"/>
  <c r="AM647" i="13" s="1"/>
  <c r="C647" i="16"/>
  <c r="AN647" i="13" s="1"/>
  <c r="D647" i="16"/>
  <c r="AO647" i="13" s="1"/>
  <c r="E647" i="16"/>
  <c r="F647" i="16"/>
  <c r="G647" i="16"/>
  <c r="H647" i="16"/>
  <c r="I647" i="16"/>
  <c r="J647" i="16"/>
  <c r="K647" i="16"/>
  <c r="L647" i="16"/>
  <c r="M647" i="16"/>
  <c r="N647" i="16"/>
  <c r="O647" i="16"/>
  <c r="P647" i="16"/>
  <c r="Q647" i="16"/>
  <c r="AL647" i="13"/>
  <c r="A648" i="16"/>
  <c r="AP646" i="13"/>
  <c r="AQ646" i="13"/>
  <c r="AR646" i="13"/>
  <c r="AV646" i="13" s="1"/>
  <c r="AS646" i="13"/>
  <c r="AT646" i="13"/>
  <c r="AU646" i="13"/>
  <c r="AP647" i="13" l="1"/>
  <c r="AQ647" i="13"/>
  <c r="AR647" i="13"/>
  <c r="AV647" i="13" s="1"/>
  <c r="AS647" i="13"/>
  <c r="AT647" i="13"/>
  <c r="AU647" i="13"/>
  <c r="B648" i="16"/>
  <c r="AM648" i="13" s="1"/>
  <c r="C648" i="16"/>
  <c r="AN648" i="13" s="1"/>
  <c r="D648" i="16"/>
  <c r="AO648" i="13" s="1"/>
  <c r="E648" i="16"/>
  <c r="F648" i="16"/>
  <c r="G648" i="16"/>
  <c r="H648" i="16"/>
  <c r="I648" i="16"/>
  <c r="J648" i="16"/>
  <c r="K648" i="16"/>
  <c r="L648" i="16"/>
  <c r="M648" i="16"/>
  <c r="N648" i="16"/>
  <c r="O648" i="16"/>
  <c r="P648" i="16"/>
  <c r="Q648" i="16"/>
  <c r="AL648" i="13"/>
  <c r="A649" i="16"/>
  <c r="AP648" i="13" l="1"/>
  <c r="AQ648" i="13"/>
  <c r="AR648" i="13"/>
  <c r="AV648" i="13" s="1"/>
  <c r="AS648" i="13"/>
  <c r="AT648" i="13"/>
  <c r="AU648" i="13"/>
  <c r="A650" i="16"/>
  <c r="B649" i="16"/>
  <c r="AM649" i="13" s="1"/>
  <c r="C649" i="16"/>
  <c r="AN649" i="13" s="1"/>
  <c r="D649" i="16"/>
  <c r="AO649" i="13" s="1"/>
  <c r="E649" i="16"/>
  <c r="F649" i="16"/>
  <c r="G649" i="16"/>
  <c r="H649" i="16"/>
  <c r="I649" i="16"/>
  <c r="J649" i="16"/>
  <c r="K649" i="16"/>
  <c r="L649" i="16"/>
  <c r="M649" i="16"/>
  <c r="N649" i="16"/>
  <c r="O649" i="16"/>
  <c r="P649" i="16"/>
  <c r="Q649" i="16"/>
  <c r="AL649" i="13"/>
  <c r="B650" i="16" l="1"/>
  <c r="AM650" i="13" s="1"/>
  <c r="C650" i="16"/>
  <c r="AN650" i="13" s="1"/>
  <c r="D650" i="16"/>
  <c r="AO650" i="13" s="1"/>
  <c r="E650" i="16"/>
  <c r="F650" i="16"/>
  <c r="G650" i="16"/>
  <c r="H650" i="16"/>
  <c r="I650" i="16"/>
  <c r="J650" i="16"/>
  <c r="K650" i="16"/>
  <c r="L650" i="16"/>
  <c r="M650" i="16"/>
  <c r="N650" i="16"/>
  <c r="O650" i="16"/>
  <c r="P650" i="16"/>
  <c r="Q650" i="16"/>
  <c r="AL650" i="13"/>
  <c r="A651" i="16"/>
  <c r="AP649" i="13"/>
  <c r="AQ649" i="13"/>
  <c r="AR649" i="13"/>
  <c r="AV649" i="13" s="1"/>
  <c r="AS649" i="13"/>
  <c r="AT649" i="13"/>
  <c r="AU649" i="13"/>
  <c r="AP650" i="13" l="1"/>
  <c r="AQ650" i="13"/>
  <c r="AR650" i="13"/>
  <c r="AV650" i="13" s="1"/>
  <c r="AS650" i="13"/>
  <c r="AT650" i="13"/>
  <c r="AU650" i="13"/>
  <c r="B651" i="16"/>
  <c r="AM651" i="13" s="1"/>
  <c r="C651" i="16"/>
  <c r="AN651" i="13" s="1"/>
  <c r="D651" i="16"/>
  <c r="AO651" i="13" s="1"/>
  <c r="E651" i="16"/>
  <c r="F651" i="16"/>
  <c r="G651" i="16"/>
  <c r="H651" i="16"/>
  <c r="I651" i="16"/>
  <c r="J651" i="16"/>
  <c r="K651" i="16"/>
  <c r="L651" i="16"/>
  <c r="M651" i="16"/>
  <c r="N651" i="16"/>
  <c r="O651" i="16"/>
  <c r="P651" i="16"/>
  <c r="Q651" i="16"/>
  <c r="AL651" i="13"/>
  <c r="A652" i="16"/>
  <c r="AP651" i="13" l="1"/>
  <c r="AQ651" i="13"/>
  <c r="AR651" i="13"/>
  <c r="AV651" i="13" s="1"/>
  <c r="AS651" i="13"/>
  <c r="AT651" i="13"/>
  <c r="AU651" i="13"/>
  <c r="A653" i="16"/>
  <c r="B652" i="16"/>
  <c r="AM652" i="13" s="1"/>
  <c r="C652" i="16"/>
  <c r="AN652" i="13" s="1"/>
  <c r="D652" i="16"/>
  <c r="AO652" i="13" s="1"/>
  <c r="E652" i="16"/>
  <c r="F652" i="16"/>
  <c r="G652" i="16"/>
  <c r="H652" i="16"/>
  <c r="I652" i="16"/>
  <c r="J652" i="16"/>
  <c r="K652" i="16"/>
  <c r="L652" i="16"/>
  <c r="M652" i="16"/>
  <c r="N652" i="16"/>
  <c r="O652" i="16"/>
  <c r="P652" i="16"/>
  <c r="Q652" i="16"/>
  <c r="AL652" i="13"/>
  <c r="A654" i="16" l="1"/>
  <c r="B653" i="16"/>
  <c r="AM653" i="13" s="1"/>
  <c r="C653" i="16"/>
  <c r="AN653" i="13" s="1"/>
  <c r="D653" i="16"/>
  <c r="AO653" i="13" s="1"/>
  <c r="E653" i="16"/>
  <c r="F653" i="16"/>
  <c r="G653" i="16"/>
  <c r="H653" i="16"/>
  <c r="I653" i="16"/>
  <c r="J653" i="16"/>
  <c r="K653" i="16"/>
  <c r="L653" i="16"/>
  <c r="M653" i="16"/>
  <c r="N653" i="16"/>
  <c r="O653" i="16"/>
  <c r="P653" i="16"/>
  <c r="Q653" i="16"/>
  <c r="AL653" i="13"/>
  <c r="AP652" i="13"/>
  <c r="AQ652" i="13"/>
  <c r="AR652" i="13"/>
  <c r="AV652" i="13" s="1"/>
  <c r="AS652" i="13"/>
  <c r="AT652" i="13"/>
  <c r="AU652" i="13"/>
  <c r="B654" i="16" l="1"/>
  <c r="AM654" i="13" s="1"/>
  <c r="C654" i="16"/>
  <c r="AN654" i="13" s="1"/>
  <c r="D654" i="16"/>
  <c r="AO654" i="13" s="1"/>
  <c r="E654" i="16"/>
  <c r="F654" i="16"/>
  <c r="G654" i="16"/>
  <c r="H654" i="16"/>
  <c r="I654" i="16"/>
  <c r="J654" i="16"/>
  <c r="K654" i="16"/>
  <c r="L654" i="16"/>
  <c r="M654" i="16"/>
  <c r="N654" i="16"/>
  <c r="O654" i="16"/>
  <c r="P654" i="16"/>
  <c r="Q654" i="16"/>
  <c r="AL654" i="13"/>
  <c r="A655" i="16"/>
  <c r="AP653" i="13"/>
  <c r="AQ653" i="13"/>
  <c r="AR653" i="13"/>
  <c r="AV653" i="13" s="1"/>
  <c r="AS653" i="13"/>
  <c r="AT653" i="13"/>
  <c r="AU653" i="13"/>
  <c r="AP654" i="13" l="1"/>
  <c r="AQ654" i="13"/>
  <c r="AR654" i="13"/>
  <c r="AV654" i="13" s="1"/>
  <c r="AS654" i="13"/>
  <c r="AT654" i="13"/>
  <c r="AU654" i="13"/>
  <c r="B655" i="16"/>
  <c r="AM655" i="13" s="1"/>
  <c r="C655" i="16"/>
  <c r="AN655" i="13" s="1"/>
  <c r="D655" i="16"/>
  <c r="AO655" i="13" s="1"/>
  <c r="E655" i="16"/>
  <c r="F655" i="16"/>
  <c r="G655" i="16"/>
  <c r="H655" i="16"/>
  <c r="I655" i="16"/>
  <c r="J655" i="16"/>
  <c r="K655" i="16"/>
  <c r="L655" i="16"/>
  <c r="M655" i="16"/>
  <c r="N655" i="16"/>
  <c r="O655" i="16"/>
  <c r="P655" i="16"/>
  <c r="Q655" i="16"/>
  <c r="AL655" i="13"/>
  <c r="A656" i="16"/>
  <c r="AP655" i="13" l="1"/>
  <c r="AQ655" i="13"/>
  <c r="AR655" i="13"/>
  <c r="AV655" i="13" s="1"/>
  <c r="AS655" i="13"/>
  <c r="AT655" i="13"/>
  <c r="AU655" i="13"/>
  <c r="B656" i="16"/>
  <c r="AM656" i="13" s="1"/>
  <c r="C656" i="16"/>
  <c r="AN656" i="13" s="1"/>
  <c r="D656" i="16"/>
  <c r="AO656" i="13" s="1"/>
  <c r="E656" i="16"/>
  <c r="F656" i="16"/>
  <c r="G656" i="16"/>
  <c r="H656" i="16"/>
  <c r="I656" i="16"/>
  <c r="J656" i="16"/>
  <c r="K656" i="16"/>
  <c r="L656" i="16"/>
  <c r="M656" i="16"/>
  <c r="N656" i="16"/>
  <c r="O656" i="16"/>
  <c r="P656" i="16"/>
  <c r="Q656" i="16"/>
  <c r="AL656" i="13"/>
  <c r="A657" i="16"/>
  <c r="AP656" i="13" l="1"/>
  <c r="AQ656" i="13"/>
  <c r="AR656" i="13"/>
  <c r="AV656" i="13" s="1"/>
  <c r="AS656" i="13"/>
  <c r="AT656" i="13"/>
  <c r="AU656" i="13"/>
  <c r="A658" i="16"/>
  <c r="B657" i="16"/>
  <c r="AM657" i="13" s="1"/>
  <c r="C657" i="16"/>
  <c r="AN657" i="13" s="1"/>
  <c r="D657" i="16"/>
  <c r="AO657" i="13" s="1"/>
  <c r="E657" i="16"/>
  <c r="F657" i="16"/>
  <c r="G657" i="16"/>
  <c r="H657" i="16"/>
  <c r="I657" i="16"/>
  <c r="J657" i="16"/>
  <c r="K657" i="16"/>
  <c r="L657" i="16"/>
  <c r="M657" i="16"/>
  <c r="N657" i="16"/>
  <c r="O657" i="16"/>
  <c r="P657" i="16"/>
  <c r="Q657" i="16"/>
  <c r="AL657" i="13"/>
  <c r="B658" i="16" l="1"/>
  <c r="AM658" i="13" s="1"/>
  <c r="C658" i="16"/>
  <c r="AN658" i="13" s="1"/>
  <c r="D658" i="16"/>
  <c r="AO658" i="13" s="1"/>
  <c r="E658" i="16"/>
  <c r="F658" i="16"/>
  <c r="G658" i="16"/>
  <c r="H658" i="16"/>
  <c r="I658" i="16"/>
  <c r="J658" i="16"/>
  <c r="K658" i="16"/>
  <c r="L658" i="16"/>
  <c r="M658" i="16"/>
  <c r="N658" i="16"/>
  <c r="O658" i="16"/>
  <c r="P658" i="16"/>
  <c r="Q658" i="16"/>
  <c r="AL658" i="13"/>
  <c r="A659" i="16"/>
  <c r="AP657" i="13"/>
  <c r="AQ657" i="13"/>
  <c r="AR657" i="13"/>
  <c r="AV657" i="13" s="1"/>
  <c r="AS657" i="13"/>
  <c r="AT657" i="13"/>
  <c r="AU657" i="13"/>
  <c r="AP658" i="13" l="1"/>
  <c r="AQ658" i="13"/>
  <c r="AR658" i="13"/>
  <c r="AV658" i="13" s="1"/>
  <c r="AS658" i="13"/>
  <c r="AT658" i="13"/>
  <c r="AU658" i="13"/>
  <c r="B659" i="16"/>
  <c r="AM659" i="13" s="1"/>
  <c r="C659" i="16"/>
  <c r="AN659" i="13" s="1"/>
  <c r="D659" i="16"/>
  <c r="AO659" i="13" s="1"/>
  <c r="E659" i="16"/>
  <c r="F659" i="16"/>
  <c r="G659" i="16"/>
  <c r="H659" i="16"/>
  <c r="I659" i="16"/>
  <c r="J659" i="16"/>
  <c r="K659" i="16"/>
  <c r="L659" i="16"/>
  <c r="M659" i="16"/>
  <c r="N659" i="16"/>
  <c r="O659" i="16"/>
  <c r="P659" i="16"/>
  <c r="Q659" i="16"/>
  <c r="AL659" i="13"/>
  <c r="A660" i="16"/>
  <c r="AP659" i="13" l="1"/>
  <c r="AQ659" i="13"/>
  <c r="AR659" i="13"/>
  <c r="AV659" i="13" s="1"/>
  <c r="AS659" i="13"/>
  <c r="AT659" i="13"/>
  <c r="AU659" i="13"/>
  <c r="A661" i="16"/>
  <c r="B660" i="16"/>
  <c r="AM660" i="13" s="1"/>
  <c r="C660" i="16"/>
  <c r="AN660" i="13" s="1"/>
  <c r="D660" i="16"/>
  <c r="AO660" i="13" s="1"/>
  <c r="E660" i="16"/>
  <c r="F660" i="16"/>
  <c r="G660" i="16"/>
  <c r="H660" i="16"/>
  <c r="I660" i="16"/>
  <c r="J660" i="16"/>
  <c r="K660" i="16"/>
  <c r="L660" i="16"/>
  <c r="M660" i="16"/>
  <c r="N660" i="16"/>
  <c r="O660" i="16"/>
  <c r="P660" i="16"/>
  <c r="Q660" i="16"/>
  <c r="AL660" i="13"/>
  <c r="B661" i="16" l="1"/>
  <c r="AM661" i="13" s="1"/>
  <c r="C661" i="16"/>
  <c r="AN661" i="13" s="1"/>
  <c r="D661" i="16"/>
  <c r="AO661" i="13" s="1"/>
  <c r="E661" i="16"/>
  <c r="F661" i="16"/>
  <c r="G661" i="16"/>
  <c r="H661" i="16"/>
  <c r="I661" i="16"/>
  <c r="J661" i="16"/>
  <c r="K661" i="16"/>
  <c r="L661" i="16"/>
  <c r="M661" i="16"/>
  <c r="N661" i="16"/>
  <c r="O661" i="16"/>
  <c r="P661" i="16"/>
  <c r="Q661" i="16"/>
  <c r="AL661" i="13"/>
  <c r="A662" i="16"/>
  <c r="AP660" i="13"/>
  <c r="AQ660" i="13"/>
  <c r="AR660" i="13"/>
  <c r="AV660" i="13" s="1"/>
  <c r="AS660" i="13"/>
  <c r="AT660" i="13"/>
  <c r="AU660" i="13"/>
  <c r="AP661" i="13" l="1"/>
  <c r="AQ661" i="13"/>
  <c r="AR661" i="13"/>
  <c r="AV661" i="13" s="1"/>
  <c r="AS661" i="13"/>
  <c r="AT661" i="13"/>
  <c r="AU661" i="13"/>
  <c r="B662" i="16"/>
  <c r="AM662" i="13" s="1"/>
  <c r="C662" i="16"/>
  <c r="AN662" i="13" s="1"/>
  <c r="D662" i="16"/>
  <c r="AO662" i="13" s="1"/>
  <c r="E662" i="16"/>
  <c r="F662" i="16"/>
  <c r="G662" i="16"/>
  <c r="H662" i="16"/>
  <c r="I662" i="16"/>
  <c r="J662" i="16"/>
  <c r="K662" i="16"/>
  <c r="L662" i="16"/>
  <c r="M662" i="16"/>
  <c r="N662" i="16"/>
  <c r="O662" i="16"/>
  <c r="P662" i="16"/>
  <c r="Q662" i="16"/>
  <c r="AL662" i="13"/>
  <c r="A663" i="16"/>
  <c r="AP662" i="13" l="1"/>
  <c r="AQ662" i="13"/>
  <c r="AR662" i="13"/>
  <c r="AV662" i="13" s="1"/>
  <c r="AS662" i="13"/>
  <c r="AT662" i="13"/>
  <c r="AU662" i="13"/>
  <c r="A664" i="16"/>
  <c r="B663" i="16"/>
  <c r="AM663" i="13" s="1"/>
  <c r="C663" i="16"/>
  <c r="AN663" i="13" s="1"/>
  <c r="D663" i="16"/>
  <c r="AO663" i="13" s="1"/>
  <c r="E663" i="16"/>
  <c r="F663" i="16"/>
  <c r="G663" i="16"/>
  <c r="H663" i="16"/>
  <c r="I663" i="16"/>
  <c r="J663" i="16"/>
  <c r="K663" i="16"/>
  <c r="L663" i="16"/>
  <c r="M663" i="16"/>
  <c r="N663" i="16"/>
  <c r="O663" i="16"/>
  <c r="P663" i="16"/>
  <c r="Q663" i="16"/>
  <c r="AL663" i="13"/>
  <c r="B664" i="16" l="1"/>
  <c r="AM664" i="13" s="1"/>
  <c r="C664" i="16"/>
  <c r="AN664" i="13" s="1"/>
  <c r="D664" i="16"/>
  <c r="AO664" i="13" s="1"/>
  <c r="E664" i="16"/>
  <c r="F664" i="16"/>
  <c r="G664" i="16"/>
  <c r="H664" i="16"/>
  <c r="I664" i="16"/>
  <c r="J664" i="16"/>
  <c r="K664" i="16"/>
  <c r="L664" i="16"/>
  <c r="M664" i="16"/>
  <c r="N664" i="16"/>
  <c r="O664" i="16"/>
  <c r="P664" i="16"/>
  <c r="Q664" i="16"/>
  <c r="AL664" i="13"/>
  <c r="A665" i="16"/>
  <c r="AP663" i="13"/>
  <c r="AQ663" i="13"/>
  <c r="AR663" i="13"/>
  <c r="AV663" i="13" s="1"/>
  <c r="AS663" i="13"/>
  <c r="AT663" i="13"/>
  <c r="AU663" i="13"/>
  <c r="AP664" i="13" l="1"/>
  <c r="AQ664" i="13"/>
  <c r="AR664" i="13"/>
  <c r="AV664" i="13" s="1"/>
  <c r="AS664" i="13"/>
  <c r="AT664" i="13"/>
  <c r="AU664" i="13"/>
  <c r="B665" i="16"/>
  <c r="AM665" i="13" s="1"/>
  <c r="C665" i="16"/>
  <c r="AN665" i="13" s="1"/>
  <c r="D665" i="16"/>
  <c r="AO665" i="13" s="1"/>
  <c r="E665" i="16"/>
  <c r="F665" i="16"/>
  <c r="G665" i="16"/>
  <c r="H665" i="16"/>
  <c r="I665" i="16"/>
  <c r="J665" i="16"/>
  <c r="K665" i="16"/>
  <c r="L665" i="16"/>
  <c r="M665" i="16"/>
  <c r="N665" i="16"/>
  <c r="O665" i="16"/>
  <c r="P665" i="16"/>
  <c r="Q665" i="16"/>
  <c r="AL665" i="13"/>
  <c r="A666" i="16"/>
  <c r="AP665" i="13" l="1"/>
  <c r="AQ665" i="13"/>
  <c r="AR665" i="13"/>
  <c r="AV665" i="13" s="1"/>
  <c r="AS665" i="13"/>
  <c r="AT665" i="13"/>
  <c r="AU665" i="13"/>
  <c r="B666" i="16"/>
  <c r="AM666" i="13" s="1"/>
  <c r="C666" i="16"/>
  <c r="AN666" i="13" s="1"/>
  <c r="D666" i="16"/>
  <c r="AO666" i="13" s="1"/>
  <c r="E666" i="16"/>
  <c r="F666" i="16"/>
  <c r="G666" i="16"/>
  <c r="H666" i="16"/>
  <c r="I666" i="16"/>
  <c r="J666" i="16"/>
  <c r="K666" i="16"/>
  <c r="L666" i="16"/>
  <c r="M666" i="16"/>
  <c r="N666" i="16"/>
  <c r="O666" i="16"/>
  <c r="P666" i="16"/>
  <c r="Q666" i="16"/>
  <c r="AL666" i="13"/>
  <c r="A667" i="16"/>
  <c r="AP666" i="13" l="1"/>
  <c r="AQ666" i="13"/>
  <c r="AR666" i="13"/>
  <c r="AV666" i="13" s="1"/>
  <c r="AS666" i="13"/>
  <c r="AT666" i="13"/>
  <c r="AU666" i="13"/>
  <c r="B667" i="16"/>
  <c r="AM667" i="13" s="1"/>
  <c r="C667" i="16"/>
  <c r="AN667" i="13" s="1"/>
  <c r="D667" i="16"/>
  <c r="AO667" i="13" s="1"/>
  <c r="E667" i="16"/>
  <c r="F667" i="16"/>
  <c r="G667" i="16"/>
  <c r="H667" i="16"/>
  <c r="I667" i="16"/>
  <c r="J667" i="16"/>
  <c r="K667" i="16"/>
  <c r="L667" i="16"/>
  <c r="M667" i="16"/>
  <c r="N667" i="16"/>
  <c r="O667" i="16"/>
  <c r="P667" i="16"/>
  <c r="Q667" i="16"/>
  <c r="AL667" i="13"/>
  <c r="A668" i="16"/>
  <c r="AP667" i="13" l="1"/>
  <c r="AQ667" i="13"/>
  <c r="AR667" i="13"/>
  <c r="AV667" i="13" s="1"/>
  <c r="AS667" i="13"/>
  <c r="AT667" i="13"/>
  <c r="AU667" i="13"/>
  <c r="A669" i="16"/>
  <c r="B668" i="16"/>
  <c r="AM668" i="13" s="1"/>
  <c r="C668" i="16"/>
  <c r="AN668" i="13" s="1"/>
  <c r="D668" i="16"/>
  <c r="AO668" i="13" s="1"/>
  <c r="E668" i="16"/>
  <c r="F668" i="16"/>
  <c r="G668" i="16"/>
  <c r="H668" i="16"/>
  <c r="I668" i="16"/>
  <c r="J668" i="16"/>
  <c r="K668" i="16"/>
  <c r="L668" i="16"/>
  <c r="M668" i="16"/>
  <c r="N668" i="16"/>
  <c r="O668" i="16"/>
  <c r="P668" i="16"/>
  <c r="Q668" i="16"/>
  <c r="AL668" i="13"/>
  <c r="B669" i="16" l="1"/>
  <c r="AM669" i="13" s="1"/>
  <c r="C669" i="16"/>
  <c r="AN669" i="13" s="1"/>
  <c r="D669" i="16"/>
  <c r="AO669" i="13" s="1"/>
  <c r="E669" i="16"/>
  <c r="F669" i="16"/>
  <c r="G669" i="16"/>
  <c r="H669" i="16"/>
  <c r="I669" i="16"/>
  <c r="J669" i="16"/>
  <c r="K669" i="16"/>
  <c r="L669" i="16"/>
  <c r="M669" i="16"/>
  <c r="N669" i="16"/>
  <c r="O669" i="16"/>
  <c r="P669" i="16"/>
  <c r="Q669" i="16"/>
  <c r="AL669" i="13"/>
  <c r="A670" i="16"/>
  <c r="AP668" i="13"/>
  <c r="AQ668" i="13"/>
  <c r="AR668" i="13"/>
  <c r="AV668" i="13" s="1"/>
  <c r="AS668" i="13"/>
  <c r="AT668" i="13"/>
  <c r="AU668" i="13"/>
  <c r="AP669" i="13" l="1"/>
  <c r="AQ669" i="13"/>
  <c r="AR669" i="13"/>
  <c r="AV669" i="13" s="1"/>
  <c r="AS669" i="13"/>
  <c r="AT669" i="13"/>
  <c r="AU669" i="13"/>
  <c r="B670" i="16"/>
  <c r="AM670" i="13" s="1"/>
  <c r="C670" i="16"/>
  <c r="AN670" i="13" s="1"/>
  <c r="D670" i="16"/>
  <c r="AO670" i="13" s="1"/>
  <c r="E670" i="16"/>
  <c r="F670" i="16"/>
  <c r="G670" i="16"/>
  <c r="H670" i="16"/>
  <c r="I670" i="16"/>
  <c r="J670" i="16"/>
  <c r="K670" i="16"/>
  <c r="L670" i="16"/>
  <c r="M670" i="16"/>
  <c r="N670" i="16"/>
  <c r="O670" i="16"/>
  <c r="P670" i="16"/>
  <c r="Q670" i="16"/>
  <c r="AL670" i="13"/>
  <c r="A671" i="16"/>
  <c r="AP670" i="13" l="1"/>
  <c r="AQ670" i="13"/>
  <c r="AR670" i="13"/>
  <c r="AV670" i="13" s="1"/>
  <c r="AS670" i="13"/>
  <c r="AT670" i="13"/>
  <c r="AU670" i="13"/>
  <c r="B671" i="16"/>
  <c r="AM671" i="13" s="1"/>
  <c r="C671" i="16"/>
  <c r="AN671" i="13" s="1"/>
  <c r="D671" i="16"/>
  <c r="AO671" i="13" s="1"/>
  <c r="E671" i="16"/>
  <c r="F671" i="16"/>
  <c r="G671" i="16"/>
  <c r="H671" i="16"/>
  <c r="I671" i="16"/>
  <c r="J671" i="16"/>
  <c r="K671" i="16"/>
  <c r="L671" i="16"/>
  <c r="M671" i="16"/>
  <c r="N671" i="16"/>
  <c r="O671" i="16"/>
  <c r="P671" i="16"/>
  <c r="Q671" i="16"/>
  <c r="AL671" i="13"/>
  <c r="A672" i="16"/>
  <c r="AP671" i="13" l="1"/>
  <c r="AQ671" i="13"/>
  <c r="AR671" i="13"/>
  <c r="AV671" i="13" s="1"/>
  <c r="AS671" i="13"/>
  <c r="AT671" i="13"/>
  <c r="AU671" i="13"/>
  <c r="A673" i="16"/>
  <c r="B672" i="16"/>
  <c r="AM672" i="13" s="1"/>
  <c r="C672" i="16"/>
  <c r="AN672" i="13" s="1"/>
  <c r="D672" i="16"/>
  <c r="AO672" i="13" s="1"/>
  <c r="E672" i="16"/>
  <c r="F672" i="16"/>
  <c r="G672" i="16"/>
  <c r="H672" i="16"/>
  <c r="I672" i="16"/>
  <c r="J672" i="16"/>
  <c r="K672" i="16"/>
  <c r="L672" i="16"/>
  <c r="M672" i="16"/>
  <c r="N672" i="16"/>
  <c r="O672" i="16"/>
  <c r="P672" i="16"/>
  <c r="Q672" i="16"/>
  <c r="AL672" i="13"/>
  <c r="B673" i="16" l="1"/>
  <c r="AM673" i="13" s="1"/>
  <c r="C673" i="16"/>
  <c r="AN673" i="13" s="1"/>
  <c r="D673" i="16"/>
  <c r="AO673" i="13" s="1"/>
  <c r="E673" i="16"/>
  <c r="F673" i="16"/>
  <c r="G673" i="16"/>
  <c r="H673" i="16"/>
  <c r="I673" i="16"/>
  <c r="J673" i="16"/>
  <c r="K673" i="16"/>
  <c r="L673" i="16"/>
  <c r="M673" i="16"/>
  <c r="N673" i="16"/>
  <c r="O673" i="16"/>
  <c r="P673" i="16"/>
  <c r="Q673" i="16"/>
  <c r="AL673" i="13"/>
  <c r="A674" i="16"/>
  <c r="AP672" i="13"/>
  <c r="AQ672" i="13"/>
  <c r="AR672" i="13"/>
  <c r="AV672" i="13" s="1"/>
  <c r="AS672" i="13"/>
  <c r="AT672" i="13"/>
  <c r="AU672" i="13"/>
  <c r="AP673" i="13" l="1"/>
  <c r="AQ673" i="13"/>
  <c r="AR673" i="13"/>
  <c r="AV673" i="13" s="1"/>
  <c r="AS673" i="13"/>
  <c r="AT673" i="13"/>
  <c r="AU673" i="13"/>
  <c r="B674" i="16"/>
  <c r="AM674" i="13" s="1"/>
  <c r="C674" i="16"/>
  <c r="AN674" i="13" s="1"/>
  <c r="D674" i="16"/>
  <c r="AO674" i="13" s="1"/>
  <c r="E674" i="16"/>
  <c r="F674" i="16"/>
  <c r="G674" i="16"/>
  <c r="H674" i="16"/>
  <c r="I674" i="16"/>
  <c r="J674" i="16"/>
  <c r="K674" i="16"/>
  <c r="L674" i="16"/>
  <c r="M674" i="16"/>
  <c r="N674" i="16"/>
  <c r="O674" i="16"/>
  <c r="P674" i="16"/>
  <c r="Q674" i="16"/>
  <c r="AL674" i="13"/>
  <c r="A675" i="16"/>
  <c r="AP674" i="13" l="1"/>
  <c r="AQ674" i="13"/>
  <c r="AR674" i="13"/>
  <c r="AV674" i="13" s="1"/>
  <c r="AS674" i="13"/>
  <c r="AT674" i="13"/>
  <c r="AU674" i="13"/>
  <c r="B675" i="16"/>
  <c r="AM675" i="13" s="1"/>
  <c r="C675" i="16"/>
  <c r="AN675" i="13" s="1"/>
  <c r="D675" i="16"/>
  <c r="AO675" i="13" s="1"/>
  <c r="E675" i="16"/>
  <c r="F675" i="16"/>
  <c r="G675" i="16"/>
  <c r="H675" i="16"/>
  <c r="I675" i="16"/>
  <c r="J675" i="16"/>
  <c r="K675" i="16"/>
  <c r="L675" i="16"/>
  <c r="M675" i="16"/>
  <c r="N675" i="16"/>
  <c r="O675" i="16"/>
  <c r="P675" i="16"/>
  <c r="Q675" i="16"/>
  <c r="AL675" i="13"/>
  <c r="A676" i="16"/>
  <c r="AP675" i="13" l="1"/>
  <c r="AQ675" i="13"/>
  <c r="AR675" i="13"/>
  <c r="AV675" i="13" s="1"/>
  <c r="AS675" i="13"/>
  <c r="AT675" i="13"/>
  <c r="AU675" i="13"/>
  <c r="B676" i="16"/>
  <c r="AM676" i="13" s="1"/>
  <c r="C676" i="16"/>
  <c r="AN676" i="13" s="1"/>
  <c r="D676" i="16"/>
  <c r="AO676" i="13" s="1"/>
  <c r="E676" i="16"/>
  <c r="F676" i="16"/>
  <c r="G676" i="16"/>
  <c r="H676" i="16"/>
  <c r="I676" i="16"/>
  <c r="J676" i="16"/>
  <c r="K676" i="16"/>
  <c r="L676" i="16"/>
  <c r="M676" i="16"/>
  <c r="N676" i="16"/>
  <c r="O676" i="16"/>
  <c r="P676" i="16"/>
  <c r="Q676" i="16"/>
  <c r="AL676" i="13"/>
  <c r="A677" i="16"/>
  <c r="AP676" i="13" l="1"/>
  <c r="AQ676" i="13"/>
  <c r="AR676" i="13"/>
  <c r="AV676" i="13" s="1"/>
  <c r="AS676" i="13"/>
  <c r="AT676" i="13"/>
  <c r="AU676" i="13"/>
  <c r="A678" i="16"/>
  <c r="B677" i="16"/>
  <c r="AM677" i="13" s="1"/>
  <c r="C677" i="16"/>
  <c r="AN677" i="13" s="1"/>
  <c r="D677" i="16"/>
  <c r="AO677" i="13" s="1"/>
  <c r="E677" i="16"/>
  <c r="F677" i="16"/>
  <c r="G677" i="16"/>
  <c r="H677" i="16"/>
  <c r="I677" i="16"/>
  <c r="J677" i="16"/>
  <c r="K677" i="16"/>
  <c r="L677" i="16"/>
  <c r="M677" i="16"/>
  <c r="N677" i="16"/>
  <c r="O677" i="16"/>
  <c r="P677" i="16"/>
  <c r="Q677" i="16"/>
  <c r="AL677" i="13"/>
  <c r="B678" i="16" l="1"/>
  <c r="AM678" i="13" s="1"/>
  <c r="C678" i="16"/>
  <c r="AN678" i="13" s="1"/>
  <c r="D678" i="16"/>
  <c r="AO678" i="13" s="1"/>
  <c r="E678" i="16"/>
  <c r="F678" i="16"/>
  <c r="G678" i="16"/>
  <c r="H678" i="16"/>
  <c r="I678" i="16"/>
  <c r="J678" i="16"/>
  <c r="K678" i="16"/>
  <c r="L678" i="16"/>
  <c r="M678" i="16"/>
  <c r="N678" i="16"/>
  <c r="O678" i="16"/>
  <c r="P678" i="16"/>
  <c r="Q678" i="16"/>
  <c r="AL678" i="13"/>
  <c r="A679" i="16"/>
  <c r="AP677" i="13"/>
  <c r="AQ677" i="13"/>
  <c r="AR677" i="13"/>
  <c r="AV677" i="13" s="1"/>
  <c r="AS677" i="13"/>
  <c r="AT677" i="13"/>
  <c r="AU677" i="13"/>
  <c r="AP678" i="13" l="1"/>
  <c r="AQ678" i="13"/>
  <c r="AR678" i="13"/>
  <c r="AV678" i="13" s="1"/>
  <c r="AS678" i="13"/>
  <c r="AT678" i="13"/>
  <c r="AU678" i="13"/>
  <c r="B679" i="16"/>
  <c r="AM679" i="13" s="1"/>
  <c r="C679" i="16"/>
  <c r="AN679" i="13" s="1"/>
  <c r="D679" i="16"/>
  <c r="AO679" i="13" s="1"/>
  <c r="E679" i="16"/>
  <c r="F679" i="16"/>
  <c r="G679" i="16"/>
  <c r="H679" i="16"/>
  <c r="I679" i="16"/>
  <c r="J679" i="16"/>
  <c r="K679" i="16"/>
  <c r="L679" i="16"/>
  <c r="M679" i="16"/>
  <c r="N679" i="16"/>
  <c r="O679" i="16"/>
  <c r="P679" i="16"/>
  <c r="Q679" i="16"/>
  <c r="AL679" i="13"/>
  <c r="A680" i="16"/>
  <c r="AP679" i="13" l="1"/>
  <c r="AQ679" i="13"/>
  <c r="AR679" i="13"/>
  <c r="AV679" i="13" s="1"/>
  <c r="AS679" i="13"/>
  <c r="AT679" i="13"/>
  <c r="AU679" i="13"/>
  <c r="B680" i="16"/>
  <c r="AM680" i="13" s="1"/>
  <c r="C680" i="16"/>
  <c r="AN680" i="13" s="1"/>
  <c r="D680" i="16"/>
  <c r="AO680" i="13" s="1"/>
  <c r="E680" i="16"/>
  <c r="F680" i="16"/>
  <c r="G680" i="16"/>
  <c r="H680" i="16"/>
  <c r="I680" i="16"/>
  <c r="J680" i="16"/>
  <c r="K680" i="16"/>
  <c r="L680" i="16"/>
  <c r="M680" i="16"/>
  <c r="N680" i="16"/>
  <c r="O680" i="16"/>
  <c r="P680" i="16"/>
  <c r="Q680" i="16"/>
  <c r="AL680" i="13"/>
  <c r="A681" i="16"/>
  <c r="AP680" i="13" l="1"/>
  <c r="AQ680" i="13"/>
  <c r="AR680" i="13"/>
  <c r="AV680" i="13" s="1"/>
  <c r="AS680" i="13"/>
  <c r="AT680" i="13"/>
  <c r="AU680" i="13"/>
  <c r="A682" i="16"/>
  <c r="B681" i="16"/>
  <c r="AM681" i="13" s="1"/>
  <c r="C681" i="16"/>
  <c r="AN681" i="13" s="1"/>
  <c r="D681" i="16"/>
  <c r="AO681" i="13" s="1"/>
  <c r="E681" i="16"/>
  <c r="F681" i="16"/>
  <c r="G681" i="16"/>
  <c r="H681" i="16"/>
  <c r="I681" i="16"/>
  <c r="J681" i="16"/>
  <c r="K681" i="16"/>
  <c r="L681" i="16"/>
  <c r="M681" i="16"/>
  <c r="N681" i="16"/>
  <c r="O681" i="16"/>
  <c r="P681" i="16"/>
  <c r="Q681" i="16"/>
  <c r="AL681" i="13"/>
  <c r="A683" i="16" l="1"/>
  <c r="B682" i="16"/>
  <c r="AM682" i="13" s="1"/>
  <c r="C682" i="16"/>
  <c r="AN682" i="13" s="1"/>
  <c r="D682" i="16"/>
  <c r="AO682" i="13" s="1"/>
  <c r="E682" i="16"/>
  <c r="F682" i="16"/>
  <c r="G682" i="16"/>
  <c r="H682" i="16"/>
  <c r="I682" i="16"/>
  <c r="J682" i="16"/>
  <c r="K682" i="16"/>
  <c r="L682" i="16"/>
  <c r="M682" i="16"/>
  <c r="N682" i="16"/>
  <c r="O682" i="16"/>
  <c r="P682" i="16"/>
  <c r="Q682" i="16"/>
  <c r="AL682" i="13"/>
  <c r="AP681" i="13"/>
  <c r="AQ681" i="13"/>
  <c r="AR681" i="13"/>
  <c r="AV681" i="13" s="1"/>
  <c r="AS681" i="13"/>
  <c r="AT681" i="13"/>
  <c r="AU681" i="13"/>
  <c r="B683" i="16" l="1"/>
  <c r="AM683" i="13" s="1"/>
  <c r="C683" i="16"/>
  <c r="AN683" i="13" s="1"/>
  <c r="D683" i="16"/>
  <c r="AO683" i="13" s="1"/>
  <c r="E683" i="16"/>
  <c r="F683" i="16"/>
  <c r="G683" i="16"/>
  <c r="H683" i="16"/>
  <c r="I683" i="16"/>
  <c r="J683" i="16"/>
  <c r="K683" i="16"/>
  <c r="L683" i="16"/>
  <c r="M683" i="16"/>
  <c r="N683" i="16"/>
  <c r="O683" i="16"/>
  <c r="P683" i="16"/>
  <c r="Q683" i="16"/>
  <c r="AL683" i="13"/>
  <c r="A684" i="16"/>
  <c r="AP682" i="13"/>
  <c r="AQ682" i="13"/>
  <c r="AR682" i="13"/>
  <c r="AV682" i="13" s="1"/>
  <c r="AS682" i="13"/>
  <c r="AT682" i="13"/>
  <c r="AU682" i="13"/>
  <c r="AP683" i="13" l="1"/>
  <c r="AQ683" i="13"/>
  <c r="AR683" i="13"/>
  <c r="AV683" i="13" s="1"/>
  <c r="AS683" i="13"/>
  <c r="AT683" i="13"/>
  <c r="AU683" i="13"/>
  <c r="B684" i="16"/>
  <c r="AM684" i="13" s="1"/>
  <c r="C684" i="16"/>
  <c r="AN684" i="13" s="1"/>
  <c r="D684" i="16"/>
  <c r="AO684" i="13" s="1"/>
  <c r="E684" i="16"/>
  <c r="F684" i="16"/>
  <c r="G684" i="16"/>
  <c r="H684" i="16"/>
  <c r="I684" i="16"/>
  <c r="J684" i="16"/>
  <c r="K684" i="16"/>
  <c r="L684" i="16"/>
  <c r="M684" i="16"/>
  <c r="N684" i="16"/>
  <c r="O684" i="16"/>
  <c r="P684" i="16"/>
  <c r="Q684" i="16"/>
  <c r="AL684" i="13"/>
  <c r="A685" i="16"/>
  <c r="AP684" i="13" l="1"/>
  <c r="AQ684" i="13"/>
  <c r="AR684" i="13"/>
  <c r="AV684" i="13" s="1"/>
  <c r="AS684" i="13"/>
  <c r="AT684" i="13"/>
  <c r="AU684" i="13"/>
  <c r="B685" i="16"/>
  <c r="AM685" i="13" s="1"/>
  <c r="C685" i="16"/>
  <c r="AN685" i="13" s="1"/>
  <c r="D685" i="16"/>
  <c r="AO685" i="13" s="1"/>
  <c r="E685" i="16"/>
  <c r="F685" i="16"/>
  <c r="G685" i="16"/>
  <c r="H685" i="16"/>
  <c r="I685" i="16"/>
  <c r="J685" i="16"/>
  <c r="K685" i="16"/>
  <c r="L685" i="16"/>
  <c r="M685" i="16"/>
  <c r="N685" i="16"/>
  <c r="O685" i="16"/>
  <c r="P685" i="16"/>
  <c r="Q685" i="16"/>
  <c r="AL685" i="13"/>
  <c r="A686" i="16"/>
  <c r="AP685" i="13" l="1"/>
  <c r="AQ685" i="13"/>
  <c r="AR685" i="13"/>
  <c r="AV685" i="13" s="1"/>
  <c r="AS685" i="13"/>
  <c r="AT685" i="13"/>
  <c r="AU685" i="13"/>
  <c r="A687" i="16"/>
  <c r="B686" i="16"/>
  <c r="AM686" i="13" s="1"/>
  <c r="C686" i="16"/>
  <c r="AN686" i="13" s="1"/>
  <c r="D686" i="16"/>
  <c r="AO686" i="13" s="1"/>
  <c r="E686" i="16"/>
  <c r="F686" i="16"/>
  <c r="G686" i="16"/>
  <c r="H686" i="16"/>
  <c r="I686" i="16"/>
  <c r="J686" i="16"/>
  <c r="K686" i="16"/>
  <c r="L686" i="16"/>
  <c r="M686" i="16"/>
  <c r="N686" i="16"/>
  <c r="O686" i="16"/>
  <c r="P686" i="16"/>
  <c r="Q686" i="16"/>
  <c r="AL686" i="13"/>
  <c r="B687" i="16" l="1"/>
  <c r="AM687" i="13" s="1"/>
  <c r="C687" i="16"/>
  <c r="AN687" i="13" s="1"/>
  <c r="D687" i="16"/>
  <c r="AO687" i="13" s="1"/>
  <c r="E687" i="16"/>
  <c r="F687" i="16"/>
  <c r="G687" i="16"/>
  <c r="H687" i="16"/>
  <c r="I687" i="16"/>
  <c r="J687" i="16"/>
  <c r="K687" i="16"/>
  <c r="L687" i="16"/>
  <c r="M687" i="16"/>
  <c r="N687" i="16"/>
  <c r="O687" i="16"/>
  <c r="P687" i="16"/>
  <c r="Q687" i="16"/>
  <c r="AL687" i="13"/>
  <c r="A688" i="16"/>
  <c r="AP686" i="13"/>
  <c r="AQ686" i="13"/>
  <c r="AR686" i="13"/>
  <c r="AV686" i="13" s="1"/>
  <c r="AS686" i="13"/>
  <c r="AT686" i="13"/>
  <c r="AU686" i="13"/>
  <c r="AP687" i="13" l="1"/>
  <c r="AQ687" i="13"/>
  <c r="AR687" i="13"/>
  <c r="AV687" i="13" s="1"/>
  <c r="AS687" i="13"/>
  <c r="AT687" i="13"/>
  <c r="AU687" i="13"/>
  <c r="B688" i="16"/>
  <c r="AM688" i="13" s="1"/>
  <c r="C688" i="16"/>
  <c r="AN688" i="13" s="1"/>
  <c r="D688" i="16"/>
  <c r="AO688" i="13" s="1"/>
  <c r="E688" i="16"/>
  <c r="F688" i="16"/>
  <c r="G688" i="16"/>
  <c r="H688" i="16"/>
  <c r="I688" i="16"/>
  <c r="J688" i="16"/>
  <c r="K688" i="16"/>
  <c r="L688" i="16"/>
  <c r="M688" i="16"/>
  <c r="N688" i="16"/>
  <c r="O688" i="16"/>
  <c r="P688" i="16"/>
  <c r="Q688" i="16"/>
  <c r="AL688" i="13"/>
  <c r="A689" i="16"/>
  <c r="AP688" i="13" l="1"/>
  <c r="AQ688" i="13"/>
  <c r="AR688" i="13"/>
  <c r="AV688" i="13" s="1"/>
  <c r="AS688" i="13"/>
  <c r="AT688" i="13"/>
  <c r="AU688" i="13"/>
  <c r="B689" i="16"/>
  <c r="AM689" i="13" s="1"/>
  <c r="C689" i="16"/>
  <c r="AN689" i="13" s="1"/>
  <c r="D689" i="16"/>
  <c r="AO689" i="13" s="1"/>
  <c r="E689" i="16"/>
  <c r="F689" i="16"/>
  <c r="G689" i="16"/>
  <c r="H689" i="16"/>
  <c r="I689" i="16"/>
  <c r="J689" i="16"/>
  <c r="K689" i="16"/>
  <c r="L689" i="16"/>
  <c r="M689" i="16"/>
  <c r="N689" i="16"/>
  <c r="O689" i="16"/>
  <c r="P689" i="16"/>
  <c r="Q689" i="16"/>
  <c r="AL689" i="13"/>
  <c r="A690" i="16"/>
  <c r="AP689" i="13" l="1"/>
  <c r="AQ689" i="13"/>
  <c r="AR689" i="13"/>
  <c r="AV689" i="13" s="1"/>
  <c r="AS689" i="13"/>
  <c r="AT689" i="13"/>
  <c r="AU689" i="13"/>
  <c r="B690" i="16"/>
  <c r="AM690" i="13" s="1"/>
  <c r="C690" i="16"/>
  <c r="AN690" i="13" s="1"/>
  <c r="D690" i="16"/>
  <c r="AO690" i="13" s="1"/>
  <c r="E690" i="16"/>
  <c r="F690" i="16"/>
  <c r="G690" i="16"/>
  <c r="H690" i="16"/>
  <c r="I690" i="16"/>
  <c r="J690" i="16"/>
  <c r="K690" i="16"/>
  <c r="L690" i="16"/>
  <c r="M690" i="16"/>
  <c r="N690" i="16"/>
  <c r="O690" i="16"/>
  <c r="P690" i="16"/>
  <c r="Q690" i="16"/>
  <c r="AL690" i="13"/>
  <c r="A691" i="16"/>
  <c r="AP690" i="13" l="1"/>
  <c r="AQ690" i="13"/>
  <c r="AR690" i="13"/>
  <c r="AV690" i="13" s="1"/>
  <c r="AS690" i="13"/>
  <c r="AT690" i="13"/>
  <c r="AU690" i="13"/>
  <c r="B691" i="16"/>
  <c r="AM691" i="13" s="1"/>
  <c r="C691" i="16"/>
  <c r="AN691" i="13" s="1"/>
  <c r="D691" i="16"/>
  <c r="AO691" i="13" s="1"/>
  <c r="E691" i="16"/>
  <c r="F691" i="16"/>
  <c r="G691" i="16"/>
  <c r="H691" i="16"/>
  <c r="I691" i="16"/>
  <c r="J691" i="16"/>
  <c r="K691" i="16"/>
  <c r="L691" i="16"/>
  <c r="M691" i="16"/>
  <c r="N691" i="16"/>
  <c r="O691" i="16"/>
  <c r="P691" i="16"/>
  <c r="Q691" i="16"/>
  <c r="AL691" i="13"/>
  <c r="A692" i="16"/>
  <c r="AP691" i="13" l="1"/>
  <c r="AQ691" i="13"/>
  <c r="AR691" i="13"/>
  <c r="AV691" i="13" s="1"/>
  <c r="AS691" i="13"/>
  <c r="AT691" i="13"/>
  <c r="AU691" i="13"/>
  <c r="A693" i="16"/>
  <c r="B692" i="16"/>
  <c r="AM692" i="13" s="1"/>
  <c r="C692" i="16"/>
  <c r="AN692" i="13" s="1"/>
  <c r="D692" i="16"/>
  <c r="AO692" i="13" s="1"/>
  <c r="E692" i="16"/>
  <c r="F692" i="16"/>
  <c r="G692" i="16"/>
  <c r="H692" i="16"/>
  <c r="I692" i="16"/>
  <c r="J692" i="16"/>
  <c r="K692" i="16"/>
  <c r="L692" i="16"/>
  <c r="M692" i="16"/>
  <c r="N692" i="16"/>
  <c r="O692" i="16"/>
  <c r="P692" i="16"/>
  <c r="Q692" i="16"/>
  <c r="AL692" i="13"/>
  <c r="B693" i="16" l="1"/>
  <c r="AM693" i="13" s="1"/>
  <c r="C693" i="16"/>
  <c r="AN693" i="13" s="1"/>
  <c r="D693" i="16"/>
  <c r="AO693" i="13" s="1"/>
  <c r="E693" i="16"/>
  <c r="F693" i="16"/>
  <c r="G693" i="16"/>
  <c r="H693" i="16"/>
  <c r="I693" i="16"/>
  <c r="J693" i="16"/>
  <c r="K693" i="16"/>
  <c r="L693" i="16"/>
  <c r="M693" i="16"/>
  <c r="N693" i="16"/>
  <c r="O693" i="16"/>
  <c r="P693" i="16"/>
  <c r="Q693" i="16"/>
  <c r="AL693" i="13"/>
  <c r="A694" i="16"/>
  <c r="AP692" i="13"/>
  <c r="AQ692" i="13"/>
  <c r="AR692" i="13"/>
  <c r="AV692" i="13" s="1"/>
  <c r="AS692" i="13"/>
  <c r="AT692" i="13"/>
  <c r="AU692" i="13"/>
  <c r="AP693" i="13" l="1"/>
  <c r="AQ693" i="13"/>
  <c r="AR693" i="13"/>
  <c r="AV693" i="13" s="1"/>
  <c r="AS693" i="13"/>
  <c r="AT693" i="13"/>
  <c r="AU693" i="13"/>
  <c r="A695" i="16"/>
  <c r="B694" i="16"/>
  <c r="AM694" i="13" s="1"/>
  <c r="C694" i="16"/>
  <c r="AN694" i="13" s="1"/>
  <c r="D694" i="16"/>
  <c r="AO694" i="13" s="1"/>
  <c r="E694" i="16"/>
  <c r="F694" i="16"/>
  <c r="G694" i="16"/>
  <c r="H694" i="16"/>
  <c r="I694" i="16"/>
  <c r="J694" i="16"/>
  <c r="K694" i="16"/>
  <c r="L694" i="16"/>
  <c r="M694" i="16"/>
  <c r="N694" i="16"/>
  <c r="O694" i="16"/>
  <c r="P694" i="16"/>
  <c r="Q694" i="16"/>
  <c r="AL694" i="13"/>
  <c r="B695" i="16" l="1"/>
  <c r="AM695" i="13" s="1"/>
  <c r="C695" i="16"/>
  <c r="AN695" i="13" s="1"/>
  <c r="D695" i="16"/>
  <c r="AO695" i="13" s="1"/>
  <c r="E695" i="16"/>
  <c r="F695" i="16"/>
  <c r="G695" i="16"/>
  <c r="H695" i="16"/>
  <c r="I695" i="16"/>
  <c r="J695" i="16"/>
  <c r="K695" i="16"/>
  <c r="L695" i="16"/>
  <c r="M695" i="16"/>
  <c r="N695" i="16"/>
  <c r="O695" i="16"/>
  <c r="P695" i="16"/>
  <c r="Q695" i="16"/>
  <c r="AL695" i="13"/>
  <c r="A696" i="16"/>
  <c r="AP694" i="13"/>
  <c r="AQ694" i="13"/>
  <c r="AR694" i="13"/>
  <c r="AV694" i="13" s="1"/>
  <c r="AS694" i="13"/>
  <c r="AT694" i="13"/>
  <c r="AU694" i="13"/>
  <c r="AP695" i="13" l="1"/>
  <c r="AQ695" i="13"/>
  <c r="AR695" i="13"/>
  <c r="AV695" i="13" s="1"/>
  <c r="AS695" i="13"/>
  <c r="AT695" i="13"/>
  <c r="AU695" i="13"/>
  <c r="B696" i="16"/>
  <c r="AM696" i="13" s="1"/>
  <c r="C696" i="16"/>
  <c r="AN696" i="13" s="1"/>
  <c r="D696" i="16"/>
  <c r="AO696" i="13" s="1"/>
  <c r="E696" i="16"/>
  <c r="F696" i="16"/>
  <c r="G696" i="16"/>
  <c r="H696" i="16"/>
  <c r="I696" i="16"/>
  <c r="J696" i="16"/>
  <c r="K696" i="16"/>
  <c r="L696" i="16"/>
  <c r="M696" i="16"/>
  <c r="N696" i="16"/>
  <c r="O696" i="16"/>
  <c r="P696" i="16"/>
  <c r="Q696" i="16"/>
  <c r="AL696" i="13"/>
  <c r="A697" i="16"/>
  <c r="AP696" i="13" l="1"/>
  <c r="AQ696" i="13"/>
  <c r="AR696" i="13"/>
  <c r="AV696" i="13" s="1"/>
  <c r="AS696" i="13"/>
  <c r="AT696" i="13"/>
  <c r="AU696" i="13"/>
  <c r="B697" i="16"/>
  <c r="AM697" i="13" s="1"/>
  <c r="C697" i="16"/>
  <c r="AN697" i="13" s="1"/>
  <c r="D697" i="16"/>
  <c r="AO697" i="13" s="1"/>
  <c r="E697" i="16"/>
  <c r="F697" i="16"/>
  <c r="G697" i="16"/>
  <c r="H697" i="16"/>
  <c r="I697" i="16"/>
  <c r="J697" i="16"/>
  <c r="K697" i="16"/>
  <c r="L697" i="16"/>
  <c r="M697" i="16"/>
  <c r="N697" i="16"/>
  <c r="O697" i="16"/>
  <c r="P697" i="16"/>
  <c r="Q697" i="16"/>
  <c r="AL697" i="13"/>
  <c r="A698" i="16"/>
  <c r="AP697" i="13" l="1"/>
  <c r="AQ697" i="13"/>
  <c r="AR697" i="13"/>
  <c r="AV697" i="13" s="1"/>
  <c r="AS697" i="13"/>
  <c r="AT697" i="13"/>
  <c r="AU697" i="13"/>
  <c r="B698" i="16"/>
  <c r="AM698" i="13" s="1"/>
  <c r="C698" i="16"/>
  <c r="AN698" i="13" s="1"/>
  <c r="D698" i="16"/>
  <c r="AO698" i="13" s="1"/>
  <c r="E698" i="16"/>
  <c r="F698" i="16"/>
  <c r="G698" i="16"/>
  <c r="H698" i="16"/>
  <c r="I698" i="16"/>
  <c r="J698" i="16"/>
  <c r="K698" i="16"/>
  <c r="L698" i="16"/>
  <c r="M698" i="16"/>
  <c r="N698" i="16"/>
  <c r="O698" i="16"/>
  <c r="P698" i="16"/>
  <c r="Q698" i="16"/>
  <c r="AL698" i="13"/>
  <c r="A699" i="16"/>
  <c r="AP698" i="13" l="1"/>
  <c r="AQ698" i="13"/>
  <c r="AR698" i="13"/>
  <c r="AV698" i="13" s="1"/>
  <c r="AS698" i="13"/>
  <c r="AT698" i="13"/>
  <c r="AU698" i="13"/>
  <c r="A700" i="16"/>
  <c r="B699" i="16"/>
  <c r="AM699" i="13" s="1"/>
  <c r="C699" i="16"/>
  <c r="AN699" i="13" s="1"/>
  <c r="D699" i="16"/>
  <c r="AO699" i="13" s="1"/>
  <c r="E699" i="16"/>
  <c r="F699" i="16"/>
  <c r="G699" i="16"/>
  <c r="H699" i="16"/>
  <c r="I699" i="16"/>
  <c r="J699" i="16"/>
  <c r="K699" i="16"/>
  <c r="L699" i="16"/>
  <c r="M699" i="16"/>
  <c r="N699" i="16"/>
  <c r="O699" i="16"/>
  <c r="P699" i="16"/>
  <c r="Q699" i="16"/>
  <c r="AL699" i="13"/>
  <c r="B700" i="16" l="1"/>
  <c r="AM700" i="13" s="1"/>
  <c r="C700" i="16"/>
  <c r="AN700" i="13" s="1"/>
  <c r="D700" i="16"/>
  <c r="AO700" i="13" s="1"/>
  <c r="E700" i="16"/>
  <c r="F700" i="16"/>
  <c r="G700" i="16"/>
  <c r="H700" i="16"/>
  <c r="I700" i="16"/>
  <c r="J700" i="16"/>
  <c r="K700" i="16"/>
  <c r="L700" i="16"/>
  <c r="M700" i="16"/>
  <c r="N700" i="16"/>
  <c r="O700" i="16"/>
  <c r="P700" i="16"/>
  <c r="Q700" i="16"/>
  <c r="AL700" i="13"/>
  <c r="A701" i="16"/>
  <c r="AP699" i="13"/>
  <c r="AQ699" i="13"/>
  <c r="AR699" i="13"/>
  <c r="AV699" i="13" s="1"/>
  <c r="AS699" i="13"/>
  <c r="AT699" i="13"/>
  <c r="AU699" i="13"/>
  <c r="AP700" i="13" l="1"/>
  <c r="AQ700" i="13"/>
  <c r="AR700" i="13"/>
  <c r="AV700" i="13" s="1"/>
  <c r="AS700" i="13"/>
  <c r="AT700" i="13"/>
  <c r="AU700" i="13"/>
  <c r="A702" i="16"/>
  <c r="B701" i="16"/>
  <c r="AM701" i="13" s="1"/>
  <c r="C701" i="16"/>
  <c r="AN701" i="13" s="1"/>
  <c r="D701" i="16"/>
  <c r="AO701" i="13" s="1"/>
  <c r="E701" i="16"/>
  <c r="F701" i="16"/>
  <c r="G701" i="16"/>
  <c r="H701" i="16"/>
  <c r="I701" i="16"/>
  <c r="J701" i="16"/>
  <c r="K701" i="16"/>
  <c r="L701" i="16"/>
  <c r="M701" i="16"/>
  <c r="N701" i="16"/>
  <c r="O701" i="16"/>
  <c r="P701" i="16"/>
  <c r="Q701" i="16"/>
  <c r="AL701" i="13"/>
  <c r="B702" i="16" l="1"/>
  <c r="AM702" i="13" s="1"/>
  <c r="C702" i="16"/>
  <c r="AN702" i="13" s="1"/>
  <c r="D702" i="16"/>
  <c r="AO702" i="13" s="1"/>
  <c r="E702" i="16"/>
  <c r="F702" i="16"/>
  <c r="G702" i="16"/>
  <c r="H702" i="16"/>
  <c r="I702" i="16"/>
  <c r="J702" i="16"/>
  <c r="K702" i="16"/>
  <c r="L702" i="16"/>
  <c r="M702" i="16"/>
  <c r="N702" i="16"/>
  <c r="O702" i="16"/>
  <c r="P702" i="16"/>
  <c r="Q702" i="16"/>
  <c r="AL702" i="13"/>
  <c r="A703" i="16"/>
  <c r="AP701" i="13"/>
  <c r="AQ701" i="13"/>
  <c r="AR701" i="13"/>
  <c r="AV701" i="13" s="1"/>
  <c r="AS701" i="13"/>
  <c r="AT701" i="13"/>
  <c r="AU701" i="13"/>
  <c r="AP702" i="13" l="1"/>
  <c r="AQ702" i="13"/>
  <c r="AR702" i="13"/>
  <c r="AV702" i="13" s="1"/>
  <c r="AS702" i="13"/>
  <c r="AT702" i="13"/>
  <c r="AU702" i="13"/>
  <c r="B703" i="16"/>
  <c r="AM703" i="13" s="1"/>
  <c r="C703" i="16"/>
  <c r="AN703" i="13" s="1"/>
  <c r="D703" i="16"/>
  <c r="AO703" i="13" s="1"/>
  <c r="E703" i="16"/>
  <c r="F703" i="16"/>
  <c r="G703" i="16"/>
  <c r="H703" i="16"/>
  <c r="I703" i="16"/>
  <c r="J703" i="16"/>
  <c r="K703" i="16"/>
  <c r="L703" i="16"/>
  <c r="M703" i="16"/>
  <c r="N703" i="16"/>
  <c r="O703" i="16"/>
  <c r="P703" i="16"/>
  <c r="Q703" i="16"/>
  <c r="AL703" i="13"/>
  <c r="A704" i="16"/>
  <c r="AP703" i="13" l="1"/>
  <c r="AQ703" i="13"/>
  <c r="AR703" i="13"/>
  <c r="AV703" i="13" s="1"/>
  <c r="AS703" i="13"/>
  <c r="AT703" i="13"/>
  <c r="AU703" i="13"/>
  <c r="B704" i="16"/>
  <c r="AM704" i="13" s="1"/>
  <c r="C704" i="16"/>
  <c r="AN704" i="13" s="1"/>
  <c r="D704" i="16"/>
  <c r="AO704" i="13" s="1"/>
  <c r="E704" i="16"/>
  <c r="F704" i="16"/>
  <c r="G704" i="16"/>
  <c r="H704" i="16"/>
  <c r="I704" i="16"/>
  <c r="J704" i="16"/>
  <c r="K704" i="16"/>
  <c r="L704" i="16"/>
  <c r="M704" i="16"/>
  <c r="N704" i="16"/>
  <c r="O704" i="16"/>
  <c r="P704" i="16"/>
  <c r="Q704" i="16"/>
  <c r="AL704" i="13"/>
  <c r="A705" i="16"/>
  <c r="AP704" i="13" l="1"/>
  <c r="AQ704" i="13"/>
  <c r="AR704" i="13"/>
  <c r="AV704" i="13" s="1"/>
  <c r="AS704" i="13"/>
  <c r="AT704" i="13"/>
  <c r="AU704" i="13"/>
  <c r="B705" i="16"/>
  <c r="AM705" i="13" s="1"/>
  <c r="C705" i="16"/>
  <c r="AN705" i="13" s="1"/>
  <c r="D705" i="16"/>
  <c r="AO705" i="13" s="1"/>
  <c r="E705" i="16"/>
  <c r="F705" i="16"/>
  <c r="G705" i="16"/>
  <c r="H705" i="16"/>
  <c r="I705" i="16"/>
  <c r="J705" i="16"/>
  <c r="K705" i="16"/>
  <c r="L705" i="16"/>
  <c r="M705" i="16"/>
  <c r="N705" i="16"/>
  <c r="O705" i="16"/>
  <c r="P705" i="16"/>
  <c r="Q705" i="16"/>
  <c r="AL705" i="13"/>
  <c r="A706" i="16"/>
  <c r="AP705" i="13" l="1"/>
  <c r="AQ705" i="13"/>
  <c r="AR705" i="13"/>
  <c r="AV705" i="13" s="1"/>
  <c r="AS705" i="13"/>
  <c r="AT705" i="13"/>
  <c r="AU705" i="13"/>
  <c r="B706" i="16"/>
  <c r="AM706" i="13" s="1"/>
  <c r="C706" i="16"/>
  <c r="AN706" i="13" s="1"/>
  <c r="D706" i="16"/>
  <c r="AO706" i="13" s="1"/>
  <c r="E706" i="16"/>
  <c r="F706" i="16"/>
  <c r="G706" i="16"/>
  <c r="H706" i="16"/>
  <c r="I706" i="16"/>
  <c r="J706" i="16"/>
  <c r="K706" i="16"/>
  <c r="L706" i="16"/>
  <c r="M706" i="16"/>
  <c r="N706" i="16"/>
  <c r="O706" i="16"/>
  <c r="P706" i="16"/>
  <c r="Q706" i="16"/>
  <c r="AL706" i="13"/>
  <c r="A707" i="16"/>
  <c r="AP706" i="13" l="1"/>
  <c r="AQ706" i="13"/>
  <c r="AR706" i="13"/>
  <c r="AV706" i="13" s="1"/>
  <c r="AS706" i="13"/>
  <c r="AT706" i="13"/>
  <c r="AU706" i="13"/>
  <c r="A708" i="16"/>
  <c r="B707" i="16"/>
  <c r="AM707" i="13" s="1"/>
  <c r="C707" i="16"/>
  <c r="AN707" i="13" s="1"/>
  <c r="D707" i="16"/>
  <c r="AO707" i="13" s="1"/>
  <c r="E707" i="16"/>
  <c r="F707" i="16"/>
  <c r="G707" i="16"/>
  <c r="H707" i="16"/>
  <c r="I707" i="16"/>
  <c r="J707" i="16"/>
  <c r="K707" i="16"/>
  <c r="L707" i="16"/>
  <c r="M707" i="16"/>
  <c r="N707" i="16"/>
  <c r="O707" i="16"/>
  <c r="P707" i="16"/>
  <c r="Q707" i="16"/>
  <c r="AL707" i="13"/>
  <c r="B708" i="16" l="1"/>
  <c r="AM708" i="13" s="1"/>
  <c r="C708" i="16"/>
  <c r="AN708" i="13" s="1"/>
  <c r="D708" i="16"/>
  <c r="AO708" i="13" s="1"/>
  <c r="E708" i="16"/>
  <c r="F708" i="16"/>
  <c r="G708" i="16"/>
  <c r="H708" i="16"/>
  <c r="I708" i="16"/>
  <c r="J708" i="16"/>
  <c r="K708" i="16"/>
  <c r="L708" i="16"/>
  <c r="M708" i="16"/>
  <c r="N708" i="16"/>
  <c r="O708" i="16"/>
  <c r="P708" i="16"/>
  <c r="Q708" i="16"/>
  <c r="AL708" i="13"/>
  <c r="A709" i="16"/>
  <c r="AP707" i="13"/>
  <c r="AQ707" i="13"/>
  <c r="AR707" i="13"/>
  <c r="AV707" i="13" s="1"/>
  <c r="AS707" i="13"/>
  <c r="AT707" i="13"/>
  <c r="AU707" i="13"/>
  <c r="AP708" i="13" l="1"/>
  <c r="AQ708" i="13"/>
  <c r="AR708" i="13"/>
  <c r="AV708" i="13" s="1"/>
  <c r="AS708" i="13"/>
  <c r="AT708" i="13"/>
  <c r="AU708" i="13"/>
  <c r="B709" i="16"/>
  <c r="AM709" i="13" s="1"/>
  <c r="C709" i="16"/>
  <c r="AN709" i="13" s="1"/>
  <c r="D709" i="16"/>
  <c r="AO709" i="13" s="1"/>
  <c r="E709" i="16"/>
  <c r="F709" i="16"/>
  <c r="G709" i="16"/>
  <c r="H709" i="16"/>
  <c r="I709" i="16"/>
  <c r="J709" i="16"/>
  <c r="K709" i="16"/>
  <c r="L709" i="16"/>
  <c r="M709" i="16"/>
  <c r="N709" i="16"/>
  <c r="O709" i="16"/>
  <c r="P709" i="16"/>
  <c r="Q709" i="16"/>
  <c r="AL709" i="13"/>
  <c r="A710" i="16"/>
  <c r="AP709" i="13" l="1"/>
  <c r="AQ709" i="13"/>
  <c r="AR709" i="13"/>
  <c r="AV709" i="13" s="1"/>
  <c r="AS709" i="13"/>
  <c r="AT709" i="13"/>
  <c r="AU709" i="13"/>
  <c r="B710" i="16"/>
  <c r="AM710" i="13" s="1"/>
  <c r="C710" i="16"/>
  <c r="AN710" i="13" s="1"/>
  <c r="D710" i="16"/>
  <c r="AO710" i="13" s="1"/>
  <c r="E710" i="16"/>
  <c r="F710" i="16"/>
  <c r="G710" i="16"/>
  <c r="H710" i="16"/>
  <c r="I710" i="16"/>
  <c r="J710" i="16"/>
  <c r="K710" i="16"/>
  <c r="L710" i="16"/>
  <c r="M710" i="16"/>
  <c r="N710" i="16"/>
  <c r="O710" i="16"/>
  <c r="P710" i="16"/>
  <c r="Q710" i="16"/>
  <c r="AL710" i="13"/>
  <c r="A711" i="16"/>
  <c r="AP710" i="13" l="1"/>
  <c r="AQ710" i="13"/>
  <c r="AR710" i="13"/>
  <c r="AV710" i="13" s="1"/>
  <c r="AS710" i="13"/>
  <c r="AT710" i="13"/>
  <c r="AU710" i="13"/>
  <c r="A712" i="16"/>
  <c r="B711" i="16"/>
  <c r="AM711" i="13" s="1"/>
  <c r="C711" i="16"/>
  <c r="AN711" i="13" s="1"/>
  <c r="D711" i="16"/>
  <c r="AO711" i="13" s="1"/>
  <c r="E711" i="16"/>
  <c r="F711" i="16"/>
  <c r="G711" i="16"/>
  <c r="H711" i="16"/>
  <c r="I711" i="16"/>
  <c r="J711" i="16"/>
  <c r="K711" i="16"/>
  <c r="L711" i="16"/>
  <c r="M711" i="16"/>
  <c r="N711" i="16"/>
  <c r="O711" i="16"/>
  <c r="P711" i="16"/>
  <c r="Q711" i="16"/>
  <c r="AL711" i="13"/>
  <c r="B712" i="16" l="1"/>
  <c r="AM712" i="13" s="1"/>
  <c r="C712" i="16"/>
  <c r="AN712" i="13" s="1"/>
  <c r="D712" i="16"/>
  <c r="AO712" i="13" s="1"/>
  <c r="E712" i="16"/>
  <c r="F712" i="16"/>
  <c r="G712" i="16"/>
  <c r="H712" i="16"/>
  <c r="I712" i="16"/>
  <c r="J712" i="16"/>
  <c r="K712" i="16"/>
  <c r="L712" i="16"/>
  <c r="M712" i="16"/>
  <c r="N712" i="16"/>
  <c r="O712" i="16"/>
  <c r="P712" i="16"/>
  <c r="Q712" i="16"/>
  <c r="AL712" i="13"/>
  <c r="A713" i="16"/>
  <c r="AP711" i="13"/>
  <c r="AQ711" i="13"/>
  <c r="AR711" i="13"/>
  <c r="AV711" i="13" s="1"/>
  <c r="AS711" i="13"/>
  <c r="AT711" i="13"/>
  <c r="AU711" i="13"/>
  <c r="AP712" i="13" l="1"/>
  <c r="AQ712" i="13"/>
  <c r="AR712" i="13"/>
  <c r="AV712" i="13" s="1"/>
  <c r="AS712" i="13"/>
  <c r="AT712" i="13"/>
  <c r="AU712" i="13"/>
  <c r="B713" i="16"/>
  <c r="AM713" i="13" s="1"/>
  <c r="C713" i="16"/>
  <c r="AN713" i="13" s="1"/>
  <c r="D713" i="16"/>
  <c r="AO713" i="13" s="1"/>
  <c r="E713" i="16"/>
  <c r="F713" i="16"/>
  <c r="G713" i="16"/>
  <c r="H713" i="16"/>
  <c r="I713" i="16"/>
  <c r="J713" i="16"/>
  <c r="K713" i="16"/>
  <c r="L713" i="16"/>
  <c r="M713" i="16"/>
  <c r="N713" i="16"/>
  <c r="O713" i="16"/>
  <c r="P713" i="16"/>
  <c r="Q713" i="16"/>
  <c r="AL713" i="13"/>
  <c r="A714" i="16"/>
  <c r="AP713" i="13" l="1"/>
  <c r="AQ713" i="13"/>
  <c r="AR713" i="13"/>
  <c r="AV713" i="13" s="1"/>
  <c r="AS713" i="13"/>
  <c r="AT713" i="13"/>
  <c r="AU713" i="13"/>
  <c r="A715" i="16"/>
  <c r="B714" i="16"/>
  <c r="AM714" i="13" s="1"/>
  <c r="C714" i="16"/>
  <c r="AN714" i="13" s="1"/>
  <c r="D714" i="16"/>
  <c r="AO714" i="13" s="1"/>
  <c r="E714" i="16"/>
  <c r="F714" i="16"/>
  <c r="G714" i="16"/>
  <c r="H714" i="16"/>
  <c r="I714" i="16"/>
  <c r="J714" i="16"/>
  <c r="K714" i="16"/>
  <c r="L714" i="16"/>
  <c r="M714" i="16"/>
  <c r="N714" i="16"/>
  <c r="O714" i="16"/>
  <c r="P714" i="16"/>
  <c r="Q714" i="16"/>
  <c r="AL714" i="13"/>
  <c r="B715" i="16" l="1"/>
  <c r="AM715" i="13" s="1"/>
  <c r="C715" i="16"/>
  <c r="AN715" i="13" s="1"/>
  <c r="D715" i="16"/>
  <c r="AO715" i="13" s="1"/>
  <c r="E715" i="16"/>
  <c r="F715" i="16"/>
  <c r="G715" i="16"/>
  <c r="H715" i="16"/>
  <c r="I715" i="16"/>
  <c r="J715" i="16"/>
  <c r="K715" i="16"/>
  <c r="L715" i="16"/>
  <c r="M715" i="16"/>
  <c r="N715" i="16"/>
  <c r="O715" i="16"/>
  <c r="P715" i="16"/>
  <c r="Q715" i="16"/>
  <c r="AL715" i="13"/>
  <c r="A716" i="16"/>
  <c r="AP714" i="13"/>
  <c r="AQ714" i="13"/>
  <c r="AR714" i="13"/>
  <c r="AV714" i="13" s="1"/>
  <c r="AS714" i="13"/>
  <c r="AT714" i="13"/>
  <c r="AU714" i="13"/>
  <c r="AP715" i="13" l="1"/>
  <c r="AQ715" i="13"/>
  <c r="AR715" i="13"/>
  <c r="AV715" i="13" s="1"/>
  <c r="AS715" i="13"/>
  <c r="AT715" i="13"/>
  <c r="AU715" i="13"/>
  <c r="B716" i="16"/>
  <c r="AM716" i="13" s="1"/>
  <c r="C716" i="16"/>
  <c r="AN716" i="13" s="1"/>
  <c r="D716" i="16"/>
  <c r="AO716" i="13" s="1"/>
  <c r="E716" i="16"/>
  <c r="F716" i="16"/>
  <c r="G716" i="16"/>
  <c r="H716" i="16"/>
  <c r="I716" i="16"/>
  <c r="J716" i="16"/>
  <c r="K716" i="16"/>
  <c r="L716" i="16"/>
  <c r="M716" i="16"/>
  <c r="N716" i="16"/>
  <c r="O716" i="16"/>
  <c r="P716" i="16"/>
  <c r="Q716" i="16"/>
  <c r="AL716" i="13"/>
  <c r="A717" i="16"/>
  <c r="AP716" i="13" l="1"/>
  <c r="AQ716" i="13"/>
  <c r="AR716" i="13"/>
  <c r="AV716" i="13" s="1"/>
  <c r="AS716" i="13"/>
  <c r="AT716" i="13"/>
  <c r="AU716" i="13"/>
  <c r="A718" i="16"/>
  <c r="B717" i="16"/>
  <c r="AM717" i="13" s="1"/>
  <c r="C717" i="16"/>
  <c r="AN717" i="13" s="1"/>
  <c r="D717" i="16"/>
  <c r="AO717" i="13" s="1"/>
  <c r="E717" i="16"/>
  <c r="F717" i="16"/>
  <c r="G717" i="16"/>
  <c r="H717" i="16"/>
  <c r="I717" i="16"/>
  <c r="J717" i="16"/>
  <c r="K717" i="16"/>
  <c r="L717" i="16"/>
  <c r="M717" i="16"/>
  <c r="N717" i="16"/>
  <c r="O717" i="16"/>
  <c r="P717" i="16"/>
  <c r="Q717" i="16"/>
  <c r="AL717" i="13"/>
  <c r="B718" i="16" l="1"/>
  <c r="AM718" i="13" s="1"/>
  <c r="C718" i="16"/>
  <c r="AN718" i="13" s="1"/>
  <c r="D718" i="16"/>
  <c r="AO718" i="13" s="1"/>
  <c r="E718" i="16"/>
  <c r="F718" i="16"/>
  <c r="G718" i="16"/>
  <c r="H718" i="16"/>
  <c r="I718" i="16"/>
  <c r="J718" i="16"/>
  <c r="K718" i="16"/>
  <c r="L718" i="16"/>
  <c r="M718" i="16"/>
  <c r="N718" i="16"/>
  <c r="O718" i="16"/>
  <c r="P718" i="16"/>
  <c r="Q718" i="16"/>
  <c r="AL718" i="13"/>
  <c r="A719" i="16"/>
  <c r="AP717" i="13"/>
  <c r="AQ717" i="13"/>
  <c r="AR717" i="13"/>
  <c r="AV717" i="13" s="1"/>
  <c r="AS717" i="13"/>
  <c r="AT717" i="13"/>
  <c r="AU717" i="13"/>
  <c r="AP718" i="13" l="1"/>
  <c r="AQ718" i="13"/>
  <c r="AR718" i="13"/>
  <c r="AV718" i="13" s="1"/>
  <c r="AS718" i="13"/>
  <c r="AT718" i="13"/>
  <c r="AU718" i="13"/>
  <c r="A720" i="16"/>
  <c r="B719" i="16"/>
  <c r="AM719" i="13" s="1"/>
  <c r="C719" i="16"/>
  <c r="AN719" i="13" s="1"/>
  <c r="D719" i="16"/>
  <c r="AO719" i="13" s="1"/>
  <c r="E719" i="16"/>
  <c r="F719" i="16"/>
  <c r="G719" i="16"/>
  <c r="H719" i="16"/>
  <c r="I719" i="16"/>
  <c r="J719" i="16"/>
  <c r="K719" i="16"/>
  <c r="L719" i="16"/>
  <c r="M719" i="16"/>
  <c r="N719" i="16"/>
  <c r="O719" i="16"/>
  <c r="P719" i="16"/>
  <c r="Q719" i="16"/>
  <c r="AL719" i="13"/>
  <c r="B720" i="16" l="1"/>
  <c r="AM720" i="13" s="1"/>
  <c r="C720" i="16"/>
  <c r="AN720" i="13" s="1"/>
  <c r="D720" i="16"/>
  <c r="AO720" i="13" s="1"/>
  <c r="E720" i="16"/>
  <c r="F720" i="16"/>
  <c r="G720" i="16"/>
  <c r="H720" i="16"/>
  <c r="I720" i="16"/>
  <c r="J720" i="16"/>
  <c r="K720" i="16"/>
  <c r="L720" i="16"/>
  <c r="M720" i="16"/>
  <c r="N720" i="16"/>
  <c r="O720" i="16"/>
  <c r="P720" i="16"/>
  <c r="Q720" i="16"/>
  <c r="AL720" i="13"/>
  <c r="A721" i="16"/>
  <c r="AP719" i="13"/>
  <c r="AQ719" i="13"/>
  <c r="AR719" i="13"/>
  <c r="AV719" i="13" s="1"/>
  <c r="AS719" i="13"/>
  <c r="AT719" i="13"/>
  <c r="AU719" i="13"/>
  <c r="AP720" i="13" l="1"/>
  <c r="AQ720" i="13"/>
  <c r="AR720" i="13"/>
  <c r="AV720" i="13" s="1"/>
  <c r="AS720" i="13"/>
  <c r="AT720" i="13"/>
  <c r="AU720" i="13"/>
  <c r="B721" i="16"/>
  <c r="AM721" i="13" s="1"/>
  <c r="C721" i="16"/>
  <c r="AN721" i="13" s="1"/>
  <c r="D721" i="16"/>
  <c r="AO721" i="13" s="1"/>
  <c r="E721" i="16"/>
  <c r="F721" i="16"/>
  <c r="G721" i="16"/>
  <c r="H721" i="16"/>
  <c r="I721" i="16"/>
  <c r="J721" i="16"/>
  <c r="K721" i="16"/>
  <c r="L721" i="16"/>
  <c r="M721" i="16"/>
  <c r="N721" i="16"/>
  <c r="O721" i="16"/>
  <c r="P721" i="16"/>
  <c r="Q721" i="16"/>
  <c r="AL721" i="13"/>
  <c r="A722" i="16"/>
  <c r="AP721" i="13" l="1"/>
  <c r="AQ721" i="13"/>
  <c r="AR721" i="13"/>
  <c r="AV721" i="13" s="1"/>
  <c r="AS721" i="13"/>
  <c r="AT721" i="13"/>
  <c r="AU721" i="13"/>
  <c r="B722" i="16"/>
  <c r="AM722" i="13" s="1"/>
  <c r="C722" i="16"/>
  <c r="AN722" i="13" s="1"/>
  <c r="D722" i="16"/>
  <c r="AO722" i="13" s="1"/>
  <c r="E722" i="16"/>
  <c r="F722" i="16"/>
  <c r="G722" i="16"/>
  <c r="H722" i="16"/>
  <c r="I722" i="16"/>
  <c r="J722" i="16"/>
  <c r="K722" i="16"/>
  <c r="L722" i="16"/>
  <c r="M722" i="16"/>
  <c r="N722" i="16"/>
  <c r="O722" i="16"/>
  <c r="P722" i="16"/>
  <c r="Q722" i="16"/>
  <c r="AL722" i="13"/>
  <c r="A723" i="16"/>
  <c r="AP722" i="13" l="1"/>
  <c r="AQ722" i="13"/>
  <c r="AR722" i="13"/>
  <c r="AV722" i="13" s="1"/>
  <c r="AS722" i="13"/>
  <c r="AT722" i="13"/>
  <c r="AU722" i="13"/>
  <c r="B723" i="16"/>
  <c r="AM723" i="13" s="1"/>
  <c r="C723" i="16"/>
  <c r="AN723" i="13" s="1"/>
  <c r="D723" i="16"/>
  <c r="AO723" i="13" s="1"/>
  <c r="E723" i="16"/>
  <c r="F723" i="16"/>
  <c r="G723" i="16"/>
  <c r="H723" i="16"/>
  <c r="I723" i="16"/>
  <c r="J723" i="16"/>
  <c r="K723" i="16"/>
  <c r="L723" i="16"/>
  <c r="M723" i="16"/>
  <c r="N723" i="16"/>
  <c r="O723" i="16"/>
  <c r="P723" i="16"/>
  <c r="Q723" i="16"/>
  <c r="AL723" i="13"/>
  <c r="A724" i="16"/>
  <c r="AP723" i="13" l="1"/>
  <c r="AQ723" i="13"/>
  <c r="AR723" i="13"/>
  <c r="AV723" i="13" s="1"/>
  <c r="AS723" i="13"/>
  <c r="AT723" i="13"/>
  <c r="AU723" i="13"/>
  <c r="B724" i="16"/>
  <c r="AM724" i="13" s="1"/>
  <c r="C724" i="16"/>
  <c r="AN724" i="13" s="1"/>
  <c r="D724" i="16"/>
  <c r="AO724" i="13" s="1"/>
  <c r="E724" i="16"/>
  <c r="F724" i="16"/>
  <c r="G724" i="16"/>
  <c r="H724" i="16"/>
  <c r="I724" i="16"/>
  <c r="J724" i="16"/>
  <c r="K724" i="16"/>
  <c r="L724" i="16"/>
  <c r="M724" i="16"/>
  <c r="N724" i="16"/>
  <c r="O724" i="16"/>
  <c r="P724" i="16"/>
  <c r="Q724" i="16"/>
  <c r="AL724" i="13"/>
  <c r="A725" i="16"/>
  <c r="AP724" i="13" l="1"/>
  <c r="AQ724" i="13"/>
  <c r="AR724" i="13"/>
  <c r="AV724" i="13" s="1"/>
  <c r="AS724" i="13"/>
  <c r="AT724" i="13"/>
  <c r="AU724" i="13"/>
  <c r="A726" i="16"/>
  <c r="B725" i="16"/>
  <c r="AM725" i="13" s="1"/>
  <c r="C725" i="16"/>
  <c r="AN725" i="13" s="1"/>
  <c r="D725" i="16"/>
  <c r="AO725" i="13" s="1"/>
  <c r="E725" i="16"/>
  <c r="F725" i="16"/>
  <c r="G725" i="16"/>
  <c r="H725" i="16"/>
  <c r="I725" i="16"/>
  <c r="J725" i="16"/>
  <c r="K725" i="16"/>
  <c r="L725" i="16"/>
  <c r="M725" i="16"/>
  <c r="N725" i="16"/>
  <c r="O725" i="16"/>
  <c r="P725" i="16"/>
  <c r="Q725" i="16"/>
  <c r="AL725" i="13"/>
  <c r="B726" i="16" l="1"/>
  <c r="AM726" i="13" s="1"/>
  <c r="C726" i="16"/>
  <c r="AN726" i="13" s="1"/>
  <c r="D726" i="16"/>
  <c r="AO726" i="13" s="1"/>
  <c r="E726" i="16"/>
  <c r="F726" i="16"/>
  <c r="G726" i="16"/>
  <c r="H726" i="16"/>
  <c r="I726" i="16"/>
  <c r="J726" i="16"/>
  <c r="K726" i="16"/>
  <c r="L726" i="16"/>
  <c r="M726" i="16"/>
  <c r="N726" i="16"/>
  <c r="O726" i="16"/>
  <c r="P726" i="16"/>
  <c r="Q726" i="16"/>
  <c r="AL726" i="13"/>
  <c r="A727" i="16"/>
  <c r="AP725" i="13"/>
  <c r="AQ725" i="13"/>
  <c r="AR725" i="13"/>
  <c r="AV725" i="13" s="1"/>
  <c r="AS725" i="13"/>
  <c r="AT725" i="13"/>
  <c r="AU725" i="13"/>
  <c r="AP726" i="13" l="1"/>
  <c r="AQ726" i="13"/>
  <c r="AR726" i="13"/>
  <c r="AV726" i="13" s="1"/>
  <c r="AS726" i="13"/>
  <c r="AT726" i="13"/>
  <c r="AU726" i="13"/>
  <c r="A728" i="16"/>
  <c r="B727" i="16"/>
  <c r="AM727" i="13" s="1"/>
  <c r="C727" i="16"/>
  <c r="AN727" i="13" s="1"/>
  <c r="D727" i="16"/>
  <c r="AO727" i="13" s="1"/>
  <c r="E727" i="16"/>
  <c r="F727" i="16"/>
  <c r="G727" i="16"/>
  <c r="H727" i="16"/>
  <c r="I727" i="16"/>
  <c r="J727" i="16"/>
  <c r="K727" i="16"/>
  <c r="L727" i="16"/>
  <c r="M727" i="16"/>
  <c r="N727" i="16"/>
  <c r="O727" i="16"/>
  <c r="P727" i="16"/>
  <c r="Q727" i="16"/>
  <c r="AL727" i="13"/>
  <c r="B728" i="16" l="1"/>
  <c r="AM728" i="13" s="1"/>
  <c r="C728" i="16"/>
  <c r="AN728" i="13" s="1"/>
  <c r="D728" i="16"/>
  <c r="AO728" i="13" s="1"/>
  <c r="E728" i="16"/>
  <c r="F728" i="16"/>
  <c r="G728" i="16"/>
  <c r="H728" i="16"/>
  <c r="I728" i="16"/>
  <c r="J728" i="16"/>
  <c r="K728" i="16"/>
  <c r="L728" i="16"/>
  <c r="M728" i="16"/>
  <c r="N728" i="16"/>
  <c r="O728" i="16"/>
  <c r="P728" i="16"/>
  <c r="Q728" i="16"/>
  <c r="AL728" i="13"/>
  <c r="A729" i="16"/>
  <c r="AP727" i="13"/>
  <c r="AQ727" i="13"/>
  <c r="AR727" i="13"/>
  <c r="AV727" i="13" s="1"/>
  <c r="AS727" i="13"/>
  <c r="AT727" i="13"/>
  <c r="AU727" i="13"/>
  <c r="AP728" i="13" l="1"/>
  <c r="AQ728" i="13"/>
  <c r="AR728" i="13"/>
  <c r="AV728" i="13" s="1"/>
  <c r="AS728" i="13"/>
  <c r="AT728" i="13"/>
  <c r="AU728" i="13"/>
  <c r="B729" i="16"/>
  <c r="AM729" i="13" s="1"/>
  <c r="C729" i="16"/>
  <c r="AN729" i="13" s="1"/>
  <c r="D729" i="16"/>
  <c r="AO729" i="13" s="1"/>
  <c r="E729" i="16"/>
  <c r="F729" i="16"/>
  <c r="G729" i="16"/>
  <c r="H729" i="16"/>
  <c r="I729" i="16"/>
  <c r="J729" i="16"/>
  <c r="K729" i="16"/>
  <c r="L729" i="16"/>
  <c r="M729" i="16"/>
  <c r="N729" i="16"/>
  <c r="O729" i="16"/>
  <c r="P729" i="16"/>
  <c r="Q729" i="16"/>
  <c r="AL729" i="13"/>
  <c r="A730" i="16"/>
  <c r="AP729" i="13" l="1"/>
  <c r="AQ729" i="13"/>
  <c r="AR729" i="13"/>
  <c r="AV729" i="13" s="1"/>
  <c r="AS729" i="13"/>
  <c r="AT729" i="13"/>
  <c r="AU729" i="13"/>
  <c r="B730" i="16"/>
  <c r="AM730" i="13" s="1"/>
  <c r="C730" i="16"/>
  <c r="AN730" i="13" s="1"/>
  <c r="D730" i="16"/>
  <c r="AO730" i="13" s="1"/>
  <c r="E730" i="16"/>
  <c r="F730" i="16"/>
  <c r="G730" i="16"/>
  <c r="H730" i="16"/>
  <c r="I730" i="16"/>
  <c r="J730" i="16"/>
  <c r="K730" i="16"/>
  <c r="L730" i="16"/>
  <c r="M730" i="16"/>
  <c r="N730" i="16"/>
  <c r="O730" i="16"/>
  <c r="P730" i="16"/>
  <c r="Q730" i="16"/>
  <c r="AL730" i="13"/>
  <c r="A731" i="16"/>
  <c r="AP730" i="13" l="1"/>
  <c r="AQ730" i="13"/>
  <c r="AR730" i="13"/>
  <c r="AV730" i="13" s="1"/>
  <c r="AS730" i="13"/>
  <c r="AT730" i="13"/>
  <c r="AU730" i="13"/>
  <c r="B731" i="16"/>
  <c r="AM731" i="13" s="1"/>
  <c r="C731" i="16"/>
  <c r="AN731" i="13" s="1"/>
  <c r="D731" i="16"/>
  <c r="AO731" i="13" s="1"/>
  <c r="E731" i="16"/>
  <c r="F731" i="16"/>
  <c r="G731" i="16"/>
  <c r="H731" i="16"/>
  <c r="I731" i="16"/>
  <c r="J731" i="16"/>
  <c r="K731" i="16"/>
  <c r="L731" i="16"/>
  <c r="M731" i="16"/>
  <c r="N731" i="16"/>
  <c r="O731" i="16"/>
  <c r="P731" i="16"/>
  <c r="Q731" i="16"/>
  <c r="AL731" i="13"/>
  <c r="A732" i="16"/>
  <c r="AP731" i="13" l="1"/>
  <c r="AQ731" i="13"/>
  <c r="AR731" i="13"/>
  <c r="AV731" i="13" s="1"/>
  <c r="AS731" i="13"/>
  <c r="AT731" i="13"/>
  <c r="AU731" i="13"/>
  <c r="B732" i="16"/>
  <c r="AM732" i="13" s="1"/>
  <c r="C732" i="16"/>
  <c r="AN732" i="13" s="1"/>
  <c r="D732" i="16"/>
  <c r="AO732" i="13" s="1"/>
  <c r="E732" i="16"/>
  <c r="F732" i="16"/>
  <c r="G732" i="16"/>
  <c r="H732" i="16"/>
  <c r="I732" i="16"/>
  <c r="J732" i="16"/>
  <c r="K732" i="16"/>
  <c r="L732" i="16"/>
  <c r="M732" i="16"/>
  <c r="N732" i="16"/>
  <c r="O732" i="16"/>
  <c r="P732" i="16"/>
  <c r="Q732" i="16"/>
  <c r="AL732" i="13"/>
  <c r="A733" i="16"/>
  <c r="AS732" i="13" l="1"/>
  <c r="AU732" i="13"/>
  <c r="AT732" i="13"/>
  <c r="AP732" i="13"/>
  <c r="AQ732" i="13"/>
  <c r="AR732" i="13"/>
  <c r="AV732" i="13" s="1"/>
  <c r="B733" i="16"/>
  <c r="AM733" i="13" s="1"/>
  <c r="C733" i="16"/>
  <c r="AN733" i="13" s="1"/>
  <c r="D733" i="16"/>
  <c r="AO733" i="13" s="1"/>
  <c r="E733" i="16"/>
  <c r="F733" i="16"/>
  <c r="G733" i="16"/>
  <c r="H733" i="16"/>
  <c r="I733" i="16"/>
  <c r="J733" i="16"/>
  <c r="K733" i="16"/>
  <c r="L733" i="16"/>
  <c r="M733" i="16"/>
  <c r="N733" i="16"/>
  <c r="O733" i="16"/>
  <c r="P733" i="16"/>
  <c r="Q733" i="16"/>
  <c r="AL733" i="13"/>
  <c r="A734" i="16"/>
  <c r="AT733" i="13" l="1"/>
  <c r="AU733" i="13"/>
  <c r="AR733" i="13"/>
  <c r="AV733" i="13" s="1"/>
  <c r="AP733" i="13"/>
  <c r="AS733" i="13"/>
  <c r="AQ733" i="13"/>
  <c r="A735" i="16"/>
  <c r="B734" i="16"/>
  <c r="AM734" i="13" s="1"/>
  <c r="C734" i="16"/>
  <c r="AN734" i="13" s="1"/>
  <c r="D734" i="16"/>
  <c r="AO734" i="13" s="1"/>
  <c r="E734" i="16"/>
  <c r="F734" i="16"/>
  <c r="G734" i="16"/>
  <c r="H734" i="16"/>
  <c r="I734" i="16"/>
  <c r="J734" i="16"/>
  <c r="K734" i="16"/>
  <c r="L734" i="16"/>
  <c r="M734" i="16"/>
  <c r="N734" i="16"/>
  <c r="O734" i="16"/>
  <c r="P734" i="16"/>
  <c r="Q734" i="16"/>
  <c r="AL734" i="13"/>
  <c r="B735" i="16" l="1"/>
  <c r="AM735" i="13" s="1"/>
  <c r="C735" i="16"/>
  <c r="AN735" i="13" s="1"/>
  <c r="D735" i="16"/>
  <c r="AO735" i="13" s="1"/>
  <c r="E735" i="16"/>
  <c r="F735" i="16"/>
  <c r="G735" i="16"/>
  <c r="H735" i="16"/>
  <c r="I735" i="16"/>
  <c r="J735" i="16"/>
  <c r="K735" i="16"/>
  <c r="L735" i="16"/>
  <c r="M735" i="16"/>
  <c r="N735" i="16"/>
  <c r="O735" i="16"/>
  <c r="P735" i="16"/>
  <c r="Q735" i="16"/>
  <c r="AL735" i="13"/>
  <c r="A736" i="16"/>
  <c r="AS734" i="13"/>
  <c r="AU734" i="13"/>
  <c r="AR734" i="13"/>
  <c r="AV734" i="13" s="1"/>
  <c r="AT734" i="13"/>
  <c r="AP734" i="13"/>
  <c r="AQ734" i="13"/>
  <c r="AR735" i="13" l="1"/>
  <c r="AV735" i="13" s="1"/>
  <c r="AP735" i="13"/>
  <c r="AQ735" i="13"/>
  <c r="AS735" i="13"/>
  <c r="AU735" i="13"/>
  <c r="AT735" i="13"/>
  <c r="B736" i="16"/>
  <c r="AM736" i="13" s="1"/>
  <c r="C736" i="16"/>
  <c r="AN736" i="13" s="1"/>
  <c r="D736" i="16"/>
  <c r="AO736" i="13" s="1"/>
  <c r="E736" i="16"/>
  <c r="F736" i="16"/>
  <c r="G736" i="16"/>
  <c r="H736" i="16"/>
  <c r="I736" i="16"/>
  <c r="J736" i="16"/>
  <c r="K736" i="16"/>
  <c r="L736" i="16"/>
  <c r="M736" i="16"/>
  <c r="N736" i="16"/>
  <c r="O736" i="16"/>
  <c r="P736" i="16"/>
  <c r="Q736" i="16"/>
  <c r="AL736" i="13"/>
  <c r="A737" i="16"/>
  <c r="AP736" i="13" l="1"/>
  <c r="AR736" i="13"/>
  <c r="AV736" i="13" s="1"/>
  <c r="AT736" i="13"/>
  <c r="AQ736" i="13"/>
  <c r="AS736" i="13"/>
  <c r="AU736" i="13"/>
  <c r="B737" i="16"/>
  <c r="AM737" i="13" s="1"/>
  <c r="C737" i="16"/>
  <c r="AN737" i="13" s="1"/>
  <c r="D737" i="16"/>
  <c r="AO737" i="13" s="1"/>
  <c r="E737" i="16"/>
  <c r="F737" i="16"/>
  <c r="G737" i="16"/>
  <c r="H737" i="16"/>
  <c r="I737" i="16"/>
  <c r="J737" i="16"/>
  <c r="K737" i="16"/>
  <c r="L737" i="16"/>
  <c r="M737" i="16"/>
  <c r="N737" i="16"/>
  <c r="O737" i="16"/>
  <c r="P737" i="16"/>
  <c r="Q737" i="16"/>
  <c r="AL737" i="13"/>
  <c r="A738" i="16"/>
  <c r="AQ737" i="13" l="1"/>
  <c r="AP737" i="13"/>
  <c r="AS737" i="13"/>
  <c r="AT737" i="13"/>
  <c r="AR737" i="13"/>
  <c r="AV737" i="13" s="1"/>
  <c r="AU737" i="13"/>
  <c r="A739" i="16"/>
  <c r="B738" i="16"/>
  <c r="AM738" i="13" s="1"/>
  <c r="C738" i="16"/>
  <c r="AN738" i="13" s="1"/>
  <c r="D738" i="16"/>
  <c r="AO738" i="13" s="1"/>
  <c r="E738" i="16"/>
  <c r="F738" i="16"/>
  <c r="G738" i="16"/>
  <c r="H738" i="16"/>
  <c r="I738" i="16"/>
  <c r="J738" i="16"/>
  <c r="K738" i="16"/>
  <c r="L738" i="16"/>
  <c r="M738" i="16"/>
  <c r="N738" i="16"/>
  <c r="O738" i="16"/>
  <c r="P738" i="16"/>
  <c r="Q738" i="16"/>
  <c r="AL738" i="13"/>
  <c r="B739" i="16" l="1"/>
  <c r="AM739" i="13" s="1"/>
  <c r="C739" i="16"/>
  <c r="AN739" i="13" s="1"/>
  <c r="D739" i="16"/>
  <c r="AO739" i="13" s="1"/>
  <c r="E739" i="16"/>
  <c r="F739" i="16"/>
  <c r="G739" i="16"/>
  <c r="H739" i="16"/>
  <c r="I739" i="16"/>
  <c r="J739" i="16"/>
  <c r="K739" i="16"/>
  <c r="L739" i="16"/>
  <c r="M739" i="16"/>
  <c r="N739" i="16"/>
  <c r="O739" i="16"/>
  <c r="P739" i="16"/>
  <c r="Q739" i="16"/>
  <c r="AL739" i="13"/>
  <c r="A740" i="16"/>
  <c r="AS738" i="13"/>
  <c r="AT738" i="13"/>
  <c r="AU738" i="13"/>
  <c r="AP738" i="13"/>
  <c r="AQ738" i="13"/>
  <c r="AR738" i="13"/>
  <c r="AV738" i="13" s="1"/>
  <c r="AP739" i="13" l="1"/>
  <c r="AR739" i="13"/>
  <c r="AV739" i="13" s="1"/>
  <c r="AT739" i="13"/>
  <c r="AQ739" i="13"/>
  <c r="AS739" i="13"/>
  <c r="AU739" i="13"/>
  <c r="B740" i="16"/>
  <c r="AM740" i="13" s="1"/>
  <c r="C740" i="16"/>
  <c r="AN740" i="13" s="1"/>
  <c r="D740" i="16"/>
  <c r="AO740" i="13" s="1"/>
  <c r="E740" i="16"/>
  <c r="F740" i="16"/>
  <c r="G740" i="16"/>
  <c r="H740" i="16"/>
  <c r="I740" i="16"/>
  <c r="J740" i="16"/>
  <c r="K740" i="16"/>
  <c r="L740" i="16"/>
  <c r="M740" i="16"/>
  <c r="N740" i="16"/>
  <c r="O740" i="16"/>
  <c r="P740" i="16"/>
  <c r="Q740" i="16"/>
  <c r="AL740" i="13"/>
  <c r="A741" i="16"/>
  <c r="AQ740" i="13" l="1"/>
  <c r="AT740" i="13"/>
  <c r="AR740" i="13"/>
  <c r="AV740" i="13" s="1"/>
  <c r="AS740" i="13"/>
  <c r="AP740" i="13"/>
  <c r="AU740" i="13"/>
  <c r="A742" i="16"/>
  <c r="B741" i="16"/>
  <c r="AM741" i="13" s="1"/>
  <c r="C741" i="16"/>
  <c r="AN741" i="13" s="1"/>
  <c r="D741" i="16"/>
  <c r="AO741" i="13" s="1"/>
  <c r="E741" i="16"/>
  <c r="F741" i="16"/>
  <c r="G741" i="16"/>
  <c r="H741" i="16"/>
  <c r="I741" i="16"/>
  <c r="J741" i="16"/>
  <c r="K741" i="16"/>
  <c r="L741" i="16"/>
  <c r="M741" i="16"/>
  <c r="N741" i="16"/>
  <c r="O741" i="16"/>
  <c r="P741" i="16"/>
  <c r="Q741" i="16"/>
  <c r="AL741" i="13"/>
  <c r="B742" i="16" l="1"/>
  <c r="AM742" i="13" s="1"/>
  <c r="C742" i="16"/>
  <c r="AN742" i="13" s="1"/>
  <c r="D742" i="16"/>
  <c r="AO742" i="13" s="1"/>
  <c r="E742" i="16"/>
  <c r="F742" i="16"/>
  <c r="G742" i="16"/>
  <c r="H742" i="16"/>
  <c r="I742" i="16"/>
  <c r="J742" i="16"/>
  <c r="K742" i="16"/>
  <c r="L742" i="16"/>
  <c r="M742" i="16"/>
  <c r="N742" i="16"/>
  <c r="O742" i="16"/>
  <c r="P742" i="16"/>
  <c r="Q742" i="16"/>
  <c r="AL742" i="13"/>
  <c r="A743" i="16"/>
  <c r="AP741" i="13"/>
  <c r="AT741" i="13"/>
  <c r="AQ741" i="13"/>
  <c r="AR741" i="13"/>
  <c r="AV741" i="13" s="1"/>
  <c r="AS741" i="13"/>
  <c r="AU741" i="13"/>
  <c r="AP742" i="13" l="1"/>
  <c r="AT742" i="13"/>
  <c r="AQ742" i="13"/>
  <c r="AR742" i="13"/>
  <c r="AV742" i="13" s="1"/>
  <c r="AU742" i="13"/>
  <c r="AS742" i="13"/>
  <c r="A744" i="16"/>
  <c r="B743" i="16"/>
  <c r="AM743" i="13" s="1"/>
  <c r="C743" i="16"/>
  <c r="AN743" i="13" s="1"/>
  <c r="D743" i="16"/>
  <c r="AO743" i="13" s="1"/>
  <c r="E743" i="16"/>
  <c r="F743" i="16"/>
  <c r="G743" i="16"/>
  <c r="H743" i="16"/>
  <c r="I743" i="16"/>
  <c r="J743" i="16"/>
  <c r="K743" i="16"/>
  <c r="L743" i="16"/>
  <c r="M743" i="16"/>
  <c r="N743" i="16"/>
  <c r="O743" i="16"/>
  <c r="P743" i="16"/>
  <c r="Q743" i="16"/>
  <c r="AL743" i="13"/>
  <c r="B744" i="16" l="1"/>
  <c r="AM744" i="13" s="1"/>
  <c r="C744" i="16"/>
  <c r="AN744" i="13" s="1"/>
  <c r="D744" i="16"/>
  <c r="AO744" i="13" s="1"/>
  <c r="E744" i="16"/>
  <c r="F744" i="16"/>
  <c r="G744" i="16"/>
  <c r="H744" i="16"/>
  <c r="I744" i="16"/>
  <c r="J744" i="16"/>
  <c r="K744" i="16"/>
  <c r="L744" i="16"/>
  <c r="M744" i="16"/>
  <c r="N744" i="16"/>
  <c r="O744" i="16"/>
  <c r="P744" i="16"/>
  <c r="Q744" i="16"/>
  <c r="AL744" i="13"/>
  <c r="A745" i="16"/>
  <c r="AP743" i="13"/>
  <c r="AS743" i="13"/>
  <c r="AU743" i="13"/>
  <c r="AQ743" i="13"/>
  <c r="AR743" i="13"/>
  <c r="AV743" i="13" s="1"/>
  <c r="AT743" i="13"/>
  <c r="AP744" i="13" l="1"/>
  <c r="AQ744" i="13"/>
  <c r="AU744" i="13"/>
  <c r="AT744" i="13"/>
  <c r="AR744" i="13"/>
  <c r="AV744" i="13" s="1"/>
  <c r="AS744" i="13"/>
  <c r="B745" i="16"/>
  <c r="AM745" i="13" s="1"/>
  <c r="C745" i="16"/>
  <c r="AN745" i="13" s="1"/>
  <c r="D745" i="16"/>
  <c r="AO745" i="13" s="1"/>
  <c r="E745" i="16"/>
  <c r="F745" i="16"/>
  <c r="G745" i="16"/>
  <c r="H745" i="16"/>
  <c r="I745" i="16"/>
  <c r="J745" i="16"/>
  <c r="K745" i="16"/>
  <c r="L745" i="16"/>
  <c r="M745" i="16"/>
  <c r="N745" i="16"/>
  <c r="O745" i="16"/>
  <c r="P745" i="16"/>
  <c r="Q745" i="16"/>
  <c r="AL745" i="13"/>
  <c r="A746" i="16"/>
  <c r="AR745" i="13" l="1"/>
  <c r="AV745" i="13" s="1"/>
  <c r="AT745" i="13"/>
  <c r="AS745" i="13"/>
  <c r="AP745" i="13"/>
  <c r="AU745" i="13"/>
  <c r="AQ745" i="13"/>
  <c r="A747" i="16"/>
  <c r="B746" i="16"/>
  <c r="AM746" i="13" s="1"/>
  <c r="C746" i="16"/>
  <c r="AN746" i="13" s="1"/>
  <c r="D746" i="16"/>
  <c r="AO746" i="13" s="1"/>
  <c r="E746" i="16"/>
  <c r="F746" i="16"/>
  <c r="G746" i="16"/>
  <c r="H746" i="16"/>
  <c r="I746" i="16"/>
  <c r="J746" i="16"/>
  <c r="K746" i="16"/>
  <c r="L746" i="16"/>
  <c r="M746" i="16"/>
  <c r="N746" i="16"/>
  <c r="O746" i="16"/>
  <c r="P746" i="16"/>
  <c r="Q746" i="16"/>
  <c r="AL746" i="13"/>
  <c r="B747" i="16" l="1"/>
  <c r="AM747" i="13" s="1"/>
  <c r="C747" i="16"/>
  <c r="AN747" i="13" s="1"/>
  <c r="D747" i="16"/>
  <c r="AO747" i="13" s="1"/>
  <c r="E747" i="16"/>
  <c r="F747" i="16"/>
  <c r="G747" i="16"/>
  <c r="H747" i="16"/>
  <c r="I747" i="16"/>
  <c r="J747" i="16"/>
  <c r="K747" i="16"/>
  <c r="L747" i="16"/>
  <c r="M747" i="16"/>
  <c r="N747" i="16"/>
  <c r="O747" i="16"/>
  <c r="P747" i="16"/>
  <c r="Q747" i="16"/>
  <c r="AL747" i="13"/>
  <c r="A748" i="16"/>
  <c r="AT746" i="13"/>
  <c r="AR746" i="13"/>
  <c r="AV746" i="13" s="1"/>
  <c r="AP746" i="13"/>
  <c r="AU746" i="13"/>
  <c r="AQ746" i="13"/>
  <c r="AS746" i="13"/>
  <c r="AT747" i="13" l="1"/>
  <c r="AP747" i="13"/>
  <c r="AQ747" i="13"/>
  <c r="AR747" i="13"/>
  <c r="AV747" i="13" s="1"/>
  <c r="AS747" i="13"/>
  <c r="AU747" i="13"/>
  <c r="B748" i="16"/>
  <c r="AM748" i="13" s="1"/>
  <c r="C748" i="16"/>
  <c r="AN748" i="13" s="1"/>
  <c r="D748" i="16"/>
  <c r="AO748" i="13" s="1"/>
  <c r="E748" i="16"/>
  <c r="F748" i="16"/>
  <c r="G748" i="16"/>
  <c r="H748" i="16"/>
  <c r="I748" i="16"/>
  <c r="J748" i="16"/>
  <c r="K748" i="16"/>
  <c r="L748" i="16"/>
  <c r="M748" i="16"/>
  <c r="N748" i="16"/>
  <c r="O748" i="16"/>
  <c r="P748" i="16"/>
  <c r="Q748" i="16"/>
  <c r="AL748" i="13"/>
  <c r="A749" i="16"/>
  <c r="AS748" i="13" l="1"/>
  <c r="AQ748" i="13"/>
  <c r="AU748" i="13"/>
  <c r="AP748" i="13"/>
  <c r="AT748" i="13"/>
  <c r="AR748" i="13"/>
  <c r="AV748" i="13" s="1"/>
  <c r="B749" i="16"/>
  <c r="AM749" i="13" s="1"/>
  <c r="C749" i="16"/>
  <c r="AN749" i="13" s="1"/>
  <c r="D749" i="16"/>
  <c r="AO749" i="13" s="1"/>
  <c r="E749" i="16"/>
  <c r="F749" i="16"/>
  <c r="G749" i="16"/>
  <c r="H749" i="16"/>
  <c r="I749" i="16"/>
  <c r="J749" i="16"/>
  <c r="K749" i="16"/>
  <c r="L749" i="16"/>
  <c r="M749" i="16"/>
  <c r="N749" i="16"/>
  <c r="O749" i="16"/>
  <c r="P749" i="16"/>
  <c r="Q749" i="16"/>
  <c r="AL749" i="13"/>
  <c r="A750" i="16"/>
  <c r="AQ749" i="13" l="1"/>
  <c r="AT749" i="13"/>
  <c r="AU749" i="13"/>
  <c r="AS749" i="13"/>
  <c r="AR749" i="13"/>
  <c r="AV749" i="13" s="1"/>
  <c r="AP749" i="13"/>
  <c r="A751" i="16"/>
  <c r="B750" i="16"/>
  <c r="AM750" i="13" s="1"/>
  <c r="C750" i="16"/>
  <c r="AN750" i="13" s="1"/>
  <c r="D750" i="16"/>
  <c r="AO750" i="13" s="1"/>
  <c r="E750" i="16"/>
  <c r="F750" i="16"/>
  <c r="G750" i="16"/>
  <c r="H750" i="16"/>
  <c r="I750" i="16"/>
  <c r="J750" i="16"/>
  <c r="K750" i="16"/>
  <c r="L750" i="16"/>
  <c r="M750" i="16"/>
  <c r="N750" i="16"/>
  <c r="O750" i="16"/>
  <c r="P750" i="16"/>
  <c r="Q750" i="16"/>
  <c r="AL750" i="13"/>
  <c r="B751" i="16" l="1"/>
  <c r="AM751" i="13" s="1"/>
  <c r="C751" i="16"/>
  <c r="AN751" i="13" s="1"/>
  <c r="D751" i="16"/>
  <c r="AO751" i="13" s="1"/>
  <c r="E751" i="16"/>
  <c r="F751" i="16"/>
  <c r="G751" i="16"/>
  <c r="H751" i="16"/>
  <c r="I751" i="16"/>
  <c r="J751" i="16"/>
  <c r="K751" i="16"/>
  <c r="L751" i="16"/>
  <c r="M751" i="16"/>
  <c r="N751" i="16"/>
  <c r="O751" i="16"/>
  <c r="P751" i="16"/>
  <c r="Q751" i="16"/>
  <c r="AL751" i="13"/>
  <c r="A752" i="16"/>
  <c r="AU750" i="13"/>
  <c r="AQ750" i="13"/>
  <c r="AS750" i="13"/>
  <c r="AR750" i="13"/>
  <c r="AV750" i="13" s="1"/>
  <c r="AT750" i="13"/>
  <c r="AP750" i="13"/>
  <c r="AQ751" i="13" l="1"/>
  <c r="AR751" i="13"/>
  <c r="AV751" i="13" s="1"/>
  <c r="AS751" i="13"/>
  <c r="AP751" i="13"/>
  <c r="AT751" i="13"/>
  <c r="AU751" i="13"/>
  <c r="A753" i="16"/>
  <c r="B752" i="16"/>
  <c r="AM752" i="13" s="1"/>
  <c r="C752" i="16"/>
  <c r="AN752" i="13" s="1"/>
  <c r="D752" i="16"/>
  <c r="AO752" i="13" s="1"/>
  <c r="E752" i="16"/>
  <c r="F752" i="16"/>
  <c r="G752" i="16"/>
  <c r="H752" i="16"/>
  <c r="I752" i="16"/>
  <c r="J752" i="16"/>
  <c r="K752" i="16"/>
  <c r="L752" i="16"/>
  <c r="M752" i="16"/>
  <c r="N752" i="16"/>
  <c r="O752" i="16"/>
  <c r="P752" i="16"/>
  <c r="Q752" i="16"/>
  <c r="AL752" i="13"/>
  <c r="B753" i="16" l="1"/>
  <c r="AM753" i="13" s="1"/>
  <c r="C753" i="16"/>
  <c r="AN753" i="13" s="1"/>
  <c r="D753" i="16"/>
  <c r="AO753" i="13" s="1"/>
  <c r="E753" i="16"/>
  <c r="F753" i="16"/>
  <c r="G753" i="16"/>
  <c r="H753" i="16"/>
  <c r="I753" i="16"/>
  <c r="J753" i="16"/>
  <c r="K753" i="16"/>
  <c r="L753" i="16"/>
  <c r="M753" i="16"/>
  <c r="N753" i="16"/>
  <c r="O753" i="16"/>
  <c r="P753" i="16"/>
  <c r="Q753" i="16"/>
  <c r="AL753" i="13"/>
  <c r="A754" i="16"/>
  <c r="AR752" i="13"/>
  <c r="AV752" i="13" s="1"/>
  <c r="AS752" i="13"/>
  <c r="AP752" i="13"/>
  <c r="AT752" i="13"/>
  <c r="AQ752" i="13"/>
  <c r="AU752" i="13"/>
  <c r="AP753" i="13" l="1"/>
  <c r="AQ753" i="13"/>
  <c r="AR753" i="13"/>
  <c r="AV753" i="13" s="1"/>
  <c r="AT753" i="13"/>
  <c r="AS753" i="13"/>
  <c r="AU753" i="13"/>
  <c r="B754" i="16"/>
  <c r="AM754" i="13" s="1"/>
  <c r="C754" i="16"/>
  <c r="AN754" i="13" s="1"/>
  <c r="D754" i="16"/>
  <c r="AO754" i="13" s="1"/>
  <c r="E754" i="16"/>
  <c r="F754" i="16"/>
  <c r="G754" i="16"/>
  <c r="H754" i="16"/>
  <c r="I754" i="16"/>
  <c r="J754" i="16"/>
  <c r="K754" i="16"/>
  <c r="L754" i="16"/>
  <c r="M754" i="16"/>
  <c r="N754" i="16"/>
  <c r="O754" i="16"/>
  <c r="P754" i="16"/>
  <c r="Q754" i="16"/>
  <c r="AL754" i="13"/>
  <c r="A755" i="16"/>
  <c r="AP754" i="13" l="1"/>
  <c r="AQ754" i="13"/>
  <c r="AR754" i="13"/>
  <c r="AV754" i="13" s="1"/>
  <c r="AT754" i="13"/>
  <c r="AS754" i="13"/>
  <c r="AU754" i="13"/>
  <c r="B755" i="16"/>
  <c r="AM755" i="13" s="1"/>
  <c r="C755" i="16"/>
  <c r="AN755" i="13" s="1"/>
  <c r="D755" i="16"/>
  <c r="AO755" i="13" s="1"/>
  <c r="E755" i="16"/>
  <c r="F755" i="16"/>
  <c r="G755" i="16"/>
  <c r="H755" i="16"/>
  <c r="I755" i="16"/>
  <c r="J755" i="16"/>
  <c r="K755" i="16"/>
  <c r="L755" i="16"/>
  <c r="M755" i="16"/>
  <c r="N755" i="16"/>
  <c r="O755" i="16"/>
  <c r="P755" i="16"/>
  <c r="Q755" i="16"/>
  <c r="AL755" i="13"/>
  <c r="A756" i="16"/>
  <c r="AR755" i="13" l="1"/>
  <c r="AV755" i="13" s="1"/>
  <c r="AU755" i="13"/>
  <c r="AT755" i="13"/>
  <c r="AS755" i="13"/>
  <c r="AP755" i="13"/>
  <c r="AQ755" i="13"/>
  <c r="A757" i="16"/>
  <c r="B756" i="16"/>
  <c r="AM756" i="13" s="1"/>
  <c r="C756" i="16"/>
  <c r="AN756" i="13" s="1"/>
  <c r="D756" i="16"/>
  <c r="AO756" i="13" s="1"/>
  <c r="E756" i="16"/>
  <c r="F756" i="16"/>
  <c r="G756" i="16"/>
  <c r="H756" i="16"/>
  <c r="I756" i="16"/>
  <c r="J756" i="16"/>
  <c r="K756" i="16"/>
  <c r="L756" i="16"/>
  <c r="M756" i="16"/>
  <c r="N756" i="16"/>
  <c r="O756" i="16"/>
  <c r="P756" i="16"/>
  <c r="Q756" i="16"/>
  <c r="AL756" i="13"/>
  <c r="B757" i="16" l="1"/>
  <c r="AM757" i="13" s="1"/>
  <c r="C757" i="16"/>
  <c r="AN757" i="13" s="1"/>
  <c r="D757" i="16"/>
  <c r="AO757" i="13" s="1"/>
  <c r="E757" i="16"/>
  <c r="F757" i="16"/>
  <c r="G757" i="16"/>
  <c r="H757" i="16"/>
  <c r="I757" i="16"/>
  <c r="J757" i="16"/>
  <c r="K757" i="16"/>
  <c r="L757" i="16"/>
  <c r="M757" i="16"/>
  <c r="N757" i="16"/>
  <c r="O757" i="16"/>
  <c r="P757" i="16"/>
  <c r="Q757" i="16"/>
  <c r="AL757" i="13"/>
  <c r="A758" i="16"/>
  <c r="AR756" i="13"/>
  <c r="AV756" i="13" s="1"/>
  <c r="AU756" i="13"/>
  <c r="AS756" i="13"/>
  <c r="AT756" i="13"/>
  <c r="AP756" i="13"/>
  <c r="AQ756" i="13"/>
  <c r="AR757" i="13" l="1"/>
  <c r="AV757" i="13" s="1"/>
  <c r="AT757" i="13"/>
  <c r="AU757" i="13"/>
  <c r="AP757" i="13"/>
  <c r="AQ757" i="13"/>
  <c r="AS757" i="13"/>
  <c r="B758" i="16"/>
  <c r="AM758" i="13" s="1"/>
  <c r="C758" i="16"/>
  <c r="AN758" i="13" s="1"/>
  <c r="D758" i="16"/>
  <c r="AO758" i="13" s="1"/>
  <c r="E758" i="16"/>
  <c r="F758" i="16"/>
  <c r="G758" i="16"/>
  <c r="H758" i="16"/>
  <c r="I758" i="16"/>
  <c r="J758" i="16"/>
  <c r="K758" i="16"/>
  <c r="L758" i="16"/>
  <c r="M758" i="16"/>
  <c r="N758" i="16"/>
  <c r="O758" i="16"/>
  <c r="P758" i="16"/>
  <c r="Q758" i="16"/>
  <c r="AL758" i="13"/>
  <c r="A759" i="16"/>
  <c r="AS758" i="13" l="1"/>
  <c r="AQ758" i="13"/>
  <c r="AR758" i="13"/>
  <c r="AV758" i="13" s="1"/>
  <c r="AT758" i="13"/>
  <c r="AU758" i="13"/>
  <c r="AP758" i="13"/>
  <c r="A760" i="16"/>
  <c r="B759" i="16"/>
  <c r="AM759" i="13" s="1"/>
  <c r="C759" i="16"/>
  <c r="AN759" i="13" s="1"/>
  <c r="D759" i="16"/>
  <c r="AO759" i="13" s="1"/>
  <c r="E759" i="16"/>
  <c r="F759" i="16"/>
  <c r="G759" i="16"/>
  <c r="H759" i="16"/>
  <c r="I759" i="16"/>
  <c r="J759" i="16"/>
  <c r="K759" i="16"/>
  <c r="L759" i="16"/>
  <c r="M759" i="16"/>
  <c r="N759" i="16"/>
  <c r="O759" i="16"/>
  <c r="P759" i="16"/>
  <c r="Q759" i="16"/>
  <c r="AL759" i="13"/>
  <c r="B760" i="16" l="1"/>
  <c r="AM760" i="13" s="1"/>
  <c r="C760" i="16"/>
  <c r="AN760" i="13" s="1"/>
  <c r="D760" i="16"/>
  <c r="AO760" i="13" s="1"/>
  <c r="E760" i="16"/>
  <c r="F760" i="16"/>
  <c r="G760" i="16"/>
  <c r="H760" i="16"/>
  <c r="I760" i="16"/>
  <c r="J760" i="16"/>
  <c r="K760" i="16"/>
  <c r="L760" i="16"/>
  <c r="M760" i="16"/>
  <c r="N760" i="16"/>
  <c r="O760" i="16"/>
  <c r="P760" i="16"/>
  <c r="Q760" i="16"/>
  <c r="AL760" i="13"/>
  <c r="A761" i="16"/>
  <c r="AP759" i="13"/>
  <c r="AS759" i="13"/>
  <c r="AU759" i="13"/>
  <c r="AQ759" i="13"/>
  <c r="AR759" i="13"/>
  <c r="AV759" i="13" s="1"/>
  <c r="AT759" i="13"/>
  <c r="AQ760" i="13" l="1"/>
  <c r="AT760" i="13"/>
  <c r="AU760" i="13"/>
  <c r="AR760" i="13"/>
  <c r="AV760" i="13" s="1"/>
  <c r="AS760" i="13"/>
  <c r="AP760" i="13"/>
  <c r="B761" i="16"/>
  <c r="AM761" i="13" s="1"/>
  <c r="C761" i="16"/>
  <c r="AN761" i="13" s="1"/>
  <c r="D761" i="16"/>
  <c r="AO761" i="13" s="1"/>
  <c r="E761" i="16"/>
  <c r="F761" i="16"/>
  <c r="G761" i="16"/>
  <c r="H761" i="16"/>
  <c r="I761" i="16"/>
  <c r="J761" i="16"/>
  <c r="K761" i="16"/>
  <c r="L761" i="16"/>
  <c r="M761" i="16"/>
  <c r="N761" i="16"/>
  <c r="O761" i="16"/>
  <c r="P761" i="16"/>
  <c r="Q761" i="16"/>
  <c r="AL761" i="13"/>
  <c r="A762" i="16"/>
  <c r="AR761" i="13" l="1"/>
  <c r="AV761" i="13" s="1"/>
  <c r="AS761" i="13"/>
  <c r="AP761" i="13"/>
  <c r="AQ761" i="13"/>
  <c r="AT761" i="13"/>
  <c r="AU761" i="13"/>
  <c r="B762" i="16"/>
  <c r="AM762" i="13" s="1"/>
  <c r="C762" i="16"/>
  <c r="AN762" i="13" s="1"/>
  <c r="D762" i="16"/>
  <c r="AO762" i="13" s="1"/>
  <c r="E762" i="16"/>
  <c r="F762" i="16"/>
  <c r="G762" i="16"/>
  <c r="H762" i="16"/>
  <c r="I762" i="16"/>
  <c r="J762" i="16"/>
  <c r="K762" i="16"/>
  <c r="L762" i="16"/>
  <c r="M762" i="16"/>
  <c r="N762" i="16"/>
  <c r="O762" i="16"/>
  <c r="P762" i="16"/>
  <c r="Q762" i="16"/>
  <c r="AL762" i="13"/>
  <c r="A763" i="16"/>
  <c r="AP762" i="13" l="1"/>
  <c r="AQ762" i="13"/>
  <c r="AR762" i="13"/>
  <c r="AV762" i="13" s="1"/>
  <c r="AT762" i="13"/>
  <c r="AU762" i="13"/>
  <c r="AS762" i="13"/>
  <c r="A764" i="16"/>
  <c r="B763" i="16"/>
  <c r="AM763" i="13" s="1"/>
  <c r="C763" i="16"/>
  <c r="AN763" i="13" s="1"/>
  <c r="D763" i="16"/>
  <c r="AO763" i="13" s="1"/>
  <c r="E763" i="16"/>
  <c r="F763" i="16"/>
  <c r="G763" i="16"/>
  <c r="H763" i="16"/>
  <c r="I763" i="16"/>
  <c r="J763" i="16"/>
  <c r="K763" i="16"/>
  <c r="L763" i="16"/>
  <c r="M763" i="16"/>
  <c r="N763" i="16"/>
  <c r="O763" i="16"/>
  <c r="P763" i="16"/>
  <c r="Q763" i="16"/>
  <c r="AL763" i="13"/>
  <c r="B764" i="16" l="1"/>
  <c r="AM764" i="13" s="1"/>
  <c r="C764" i="16"/>
  <c r="AN764" i="13" s="1"/>
  <c r="D764" i="16"/>
  <c r="AO764" i="13" s="1"/>
  <c r="E764" i="16"/>
  <c r="F764" i="16"/>
  <c r="G764" i="16"/>
  <c r="H764" i="16"/>
  <c r="I764" i="16"/>
  <c r="J764" i="16"/>
  <c r="K764" i="16"/>
  <c r="L764" i="16"/>
  <c r="M764" i="16"/>
  <c r="N764" i="16"/>
  <c r="O764" i="16"/>
  <c r="P764" i="16"/>
  <c r="Q764" i="16"/>
  <c r="AL764" i="13"/>
  <c r="A765" i="16"/>
  <c r="AP763" i="13"/>
  <c r="AR763" i="13"/>
  <c r="AV763" i="13" s="1"/>
  <c r="AT763" i="13"/>
  <c r="AU763" i="13"/>
  <c r="AS763" i="13"/>
  <c r="AQ763" i="13"/>
  <c r="AQ764" i="13" l="1"/>
  <c r="AR764" i="13"/>
  <c r="AV764" i="13" s="1"/>
  <c r="AP764" i="13"/>
  <c r="AT764" i="13"/>
  <c r="AS764" i="13"/>
  <c r="AU764" i="13"/>
  <c r="B765" i="16"/>
  <c r="AM765" i="13" s="1"/>
  <c r="C765" i="16"/>
  <c r="AN765" i="13" s="1"/>
  <c r="D765" i="16"/>
  <c r="AO765" i="13" s="1"/>
  <c r="E765" i="16"/>
  <c r="F765" i="16"/>
  <c r="G765" i="16"/>
  <c r="H765" i="16"/>
  <c r="I765" i="16"/>
  <c r="J765" i="16"/>
  <c r="K765" i="16"/>
  <c r="L765" i="16"/>
  <c r="M765" i="16"/>
  <c r="N765" i="16"/>
  <c r="O765" i="16"/>
  <c r="P765" i="16"/>
  <c r="Q765" i="16"/>
  <c r="AL765" i="13"/>
  <c r="A766" i="16"/>
  <c r="AP765" i="13" l="1"/>
  <c r="AQ765" i="13"/>
  <c r="AU765" i="13"/>
  <c r="AS765" i="13"/>
  <c r="AT765" i="13"/>
  <c r="AR765" i="13"/>
  <c r="AV765" i="13" s="1"/>
  <c r="B766" i="16"/>
  <c r="AM766" i="13" s="1"/>
  <c r="C766" i="16"/>
  <c r="AN766" i="13" s="1"/>
  <c r="D766" i="16"/>
  <c r="AO766" i="13" s="1"/>
  <c r="E766" i="16"/>
  <c r="F766" i="16"/>
  <c r="G766" i="16"/>
  <c r="H766" i="16"/>
  <c r="I766" i="16"/>
  <c r="J766" i="16"/>
  <c r="K766" i="16"/>
  <c r="L766" i="16"/>
  <c r="M766" i="16"/>
  <c r="N766" i="16"/>
  <c r="O766" i="16"/>
  <c r="P766" i="16"/>
  <c r="Q766" i="16"/>
  <c r="AL766" i="13"/>
  <c r="A767" i="16"/>
  <c r="AP766" i="13" l="1"/>
  <c r="AU766" i="13"/>
  <c r="AR766" i="13"/>
  <c r="AV766" i="13" s="1"/>
  <c r="AT766" i="13"/>
  <c r="AS766" i="13"/>
  <c r="AQ766" i="13"/>
  <c r="B767" i="16"/>
  <c r="AM767" i="13" s="1"/>
  <c r="C767" i="16"/>
  <c r="AN767" i="13" s="1"/>
  <c r="D767" i="16"/>
  <c r="AO767" i="13" s="1"/>
  <c r="E767" i="16"/>
  <c r="F767" i="16"/>
  <c r="G767" i="16"/>
  <c r="H767" i="16"/>
  <c r="I767" i="16"/>
  <c r="J767" i="16"/>
  <c r="K767" i="16"/>
  <c r="L767" i="16"/>
  <c r="M767" i="16"/>
  <c r="N767" i="16"/>
  <c r="O767" i="16"/>
  <c r="P767" i="16"/>
  <c r="Q767" i="16"/>
  <c r="AL767" i="13"/>
  <c r="A768" i="16"/>
  <c r="AS767" i="13" l="1"/>
  <c r="AQ767" i="13"/>
  <c r="AR767" i="13"/>
  <c r="AV767" i="13" s="1"/>
  <c r="AU767" i="13"/>
  <c r="AT767" i="13"/>
  <c r="AP767" i="13"/>
  <c r="A769" i="16"/>
  <c r="B768" i="16"/>
  <c r="AM768" i="13" s="1"/>
  <c r="C768" i="16"/>
  <c r="AN768" i="13" s="1"/>
  <c r="D768" i="16"/>
  <c r="AO768" i="13" s="1"/>
  <c r="E768" i="16"/>
  <c r="F768" i="16"/>
  <c r="G768" i="16"/>
  <c r="H768" i="16"/>
  <c r="I768" i="16"/>
  <c r="J768" i="16"/>
  <c r="K768" i="16"/>
  <c r="L768" i="16"/>
  <c r="M768" i="16"/>
  <c r="N768" i="16"/>
  <c r="O768" i="16"/>
  <c r="P768" i="16"/>
  <c r="Q768" i="16"/>
  <c r="AL768" i="13"/>
  <c r="B769" i="16" l="1"/>
  <c r="AM769" i="13" s="1"/>
  <c r="C769" i="16"/>
  <c r="AN769" i="13" s="1"/>
  <c r="D769" i="16"/>
  <c r="AO769" i="13" s="1"/>
  <c r="E769" i="16"/>
  <c r="F769" i="16"/>
  <c r="G769" i="16"/>
  <c r="H769" i="16"/>
  <c r="I769" i="16"/>
  <c r="J769" i="16"/>
  <c r="K769" i="16"/>
  <c r="L769" i="16"/>
  <c r="M769" i="16"/>
  <c r="N769" i="16"/>
  <c r="O769" i="16"/>
  <c r="P769" i="16"/>
  <c r="Q769" i="16"/>
  <c r="AL769" i="13"/>
  <c r="A770" i="16"/>
  <c r="AS768" i="13"/>
  <c r="AU768" i="13"/>
  <c r="AP768" i="13"/>
  <c r="AR768" i="13"/>
  <c r="AV768" i="13" s="1"/>
  <c r="AT768" i="13"/>
  <c r="AQ768" i="13"/>
  <c r="AQ769" i="13" l="1"/>
  <c r="AS769" i="13"/>
  <c r="AP769" i="13"/>
  <c r="AT769" i="13"/>
  <c r="AR769" i="13"/>
  <c r="AV769" i="13" s="1"/>
  <c r="AU769" i="13"/>
  <c r="A771" i="16"/>
  <c r="B770" i="16"/>
  <c r="AM770" i="13" s="1"/>
  <c r="C770" i="16"/>
  <c r="AN770" i="13" s="1"/>
  <c r="D770" i="16"/>
  <c r="AO770" i="13" s="1"/>
  <c r="E770" i="16"/>
  <c r="F770" i="16"/>
  <c r="G770" i="16"/>
  <c r="H770" i="16"/>
  <c r="I770" i="16"/>
  <c r="J770" i="16"/>
  <c r="K770" i="16"/>
  <c r="L770" i="16"/>
  <c r="M770" i="16"/>
  <c r="N770" i="16"/>
  <c r="O770" i="16"/>
  <c r="P770" i="16"/>
  <c r="Q770" i="16"/>
  <c r="AL770" i="13"/>
  <c r="B771" i="16" l="1"/>
  <c r="AM771" i="13" s="1"/>
  <c r="C771" i="16"/>
  <c r="AN771" i="13" s="1"/>
  <c r="D771" i="16"/>
  <c r="AO771" i="13" s="1"/>
  <c r="E771" i="16"/>
  <c r="F771" i="16"/>
  <c r="G771" i="16"/>
  <c r="H771" i="16"/>
  <c r="I771" i="16"/>
  <c r="J771" i="16"/>
  <c r="K771" i="16"/>
  <c r="L771" i="16"/>
  <c r="M771" i="16"/>
  <c r="N771" i="16"/>
  <c r="O771" i="16"/>
  <c r="P771" i="16"/>
  <c r="Q771" i="16"/>
  <c r="AL771" i="13"/>
  <c r="A772" i="16"/>
  <c r="AU770" i="13"/>
  <c r="AR770" i="13"/>
  <c r="AV770" i="13" s="1"/>
  <c r="AQ770" i="13"/>
  <c r="AP770" i="13"/>
  <c r="AT770" i="13"/>
  <c r="AS770" i="13"/>
  <c r="AP771" i="13" l="1"/>
  <c r="AS771" i="13"/>
  <c r="AQ771" i="13"/>
  <c r="AR771" i="13"/>
  <c r="AV771" i="13" s="1"/>
  <c r="AU771" i="13"/>
  <c r="AT771" i="13"/>
  <c r="B772" i="16"/>
  <c r="AM772" i="13" s="1"/>
  <c r="C772" i="16"/>
  <c r="AN772" i="13" s="1"/>
  <c r="D772" i="16"/>
  <c r="AO772" i="13" s="1"/>
  <c r="E772" i="16"/>
  <c r="F772" i="16"/>
  <c r="G772" i="16"/>
  <c r="H772" i="16"/>
  <c r="I772" i="16"/>
  <c r="J772" i="16"/>
  <c r="K772" i="16"/>
  <c r="L772" i="16"/>
  <c r="M772" i="16"/>
  <c r="N772" i="16"/>
  <c r="O772" i="16"/>
  <c r="P772" i="16"/>
  <c r="Q772" i="16"/>
  <c r="AL772" i="13"/>
  <c r="A773" i="16"/>
  <c r="AT772" i="13" l="1"/>
  <c r="AU772" i="13"/>
  <c r="AP772" i="13"/>
  <c r="AR772" i="13"/>
  <c r="AV772" i="13" s="1"/>
  <c r="AQ772" i="13"/>
  <c r="AS772" i="13"/>
  <c r="B773" i="16"/>
  <c r="AM773" i="13" s="1"/>
  <c r="C773" i="16"/>
  <c r="AN773" i="13" s="1"/>
  <c r="D773" i="16"/>
  <c r="AO773" i="13" s="1"/>
  <c r="E773" i="16"/>
  <c r="F773" i="16"/>
  <c r="G773" i="16"/>
  <c r="H773" i="16"/>
  <c r="I773" i="16"/>
  <c r="J773" i="16"/>
  <c r="K773" i="16"/>
  <c r="L773" i="16"/>
  <c r="M773" i="16"/>
  <c r="N773" i="16"/>
  <c r="O773" i="16"/>
  <c r="P773" i="16"/>
  <c r="Q773" i="16"/>
  <c r="AL773" i="13"/>
  <c r="A774" i="16"/>
  <c r="AP773" i="13" l="1"/>
  <c r="AU773" i="13"/>
  <c r="AR773" i="13"/>
  <c r="AV773" i="13" s="1"/>
  <c r="AS773" i="13"/>
  <c r="AT773" i="13"/>
  <c r="AQ773" i="13"/>
  <c r="A775" i="16"/>
  <c r="B774" i="16"/>
  <c r="AM774" i="13" s="1"/>
  <c r="C774" i="16"/>
  <c r="AN774" i="13" s="1"/>
  <c r="D774" i="16"/>
  <c r="AO774" i="13" s="1"/>
  <c r="E774" i="16"/>
  <c r="F774" i="16"/>
  <c r="G774" i="16"/>
  <c r="H774" i="16"/>
  <c r="I774" i="16"/>
  <c r="J774" i="16"/>
  <c r="K774" i="16"/>
  <c r="L774" i="16"/>
  <c r="M774" i="16"/>
  <c r="N774" i="16"/>
  <c r="O774" i="16"/>
  <c r="P774" i="16"/>
  <c r="Q774" i="16"/>
  <c r="AL774" i="13"/>
  <c r="B775" i="16" l="1"/>
  <c r="AM775" i="13" s="1"/>
  <c r="C775" i="16"/>
  <c r="AN775" i="13" s="1"/>
  <c r="D775" i="16"/>
  <c r="AO775" i="13" s="1"/>
  <c r="E775" i="16"/>
  <c r="F775" i="16"/>
  <c r="G775" i="16"/>
  <c r="H775" i="16"/>
  <c r="I775" i="16"/>
  <c r="J775" i="16"/>
  <c r="K775" i="16"/>
  <c r="L775" i="16"/>
  <c r="M775" i="16"/>
  <c r="N775" i="16"/>
  <c r="O775" i="16"/>
  <c r="P775" i="16"/>
  <c r="Q775" i="16"/>
  <c r="AL775" i="13"/>
  <c r="A776" i="16"/>
  <c r="AR774" i="13"/>
  <c r="AV774" i="13" s="1"/>
  <c r="AP774" i="13"/>
  <c r="AQ774" i="13"/>
  <c r="AS774" i="13"/>
  <c r="AT774" i="13"/>
  <c r="AU774" i="13"/>
  <c r="AU775" i="13" l="1"/>
  <c r="AS775" i="13"/>
  <c r="AP775" i="13"/>
  <c r="AQ775" i="13"/>
  <c r="AR775" i="13"/>
  <c r="AV775" i="13" s="1"/>
  <c r="AT775" i="13"/>
  <c r="B776" i="16"/>
  <c r="AM776" i="13" s="1"/>
  <c r="C776" i="16"/>
  <c r="AN776" i="13" s="1"/>
  <c r="D776" i="16"/>
  <c r="AO776" i="13" s="1"/>
  <c r="E776" i="16"/>
  <c r="F776" i="16"/>
  <c r="G776" i="16"/>
  <c r="H776" i="16"/>
  <c r="I776" i="16"/>
  <c r="J776" i="16"/>
  <c r="K776" i="16"/>
  <c r="L776" i="16"/>
  <c r="M776" i="16"/>
  <c r="N776" i="16"/>
  <c r="O776" i="16"/>
  <c r="P776" i="16"/>
  <c r="Q776" i="16"/>
  <c r="AL776" i="13"/>
  <c r="A777" i="16"/>
  <c r="AR776" i="13" l="1"/>
  <c r="AV776" i="13" s="1"/>
  <c r="AU776" i="13"/>
  <c r="AT776" i="13"/>
  <c r="AQ776" i="13"/>
  <c r="AP776" i="13"/>
  <c r="AS776" i="13"/>
  <c r="B777" i="16"/>
  <c r="AM777" i="13" s="1"/>
  <c r="C777" i="16"/>
  <c r="AN777" i="13" s="1"/>
  <c r="D777" i="16"/>
  <c r="AO777" i="13" s="1"/>
  <c r="E777" i="16"/>
  <c r="F777" i="16"/>
  <c r="G777" i="16"/>
  <c r="H777" i="16"/>
  <c r="I777" i="16"/>
  <c r="J777" i="16"/>
  <c r="K777" i="16"/>
  <c r="L777" i="16"/>
  <c r="M777" i="16"/>
  <c r="N777" i="16"/>
  <c r="O777" i="16"/>
  <c r="P777" i="16"/>
  <c r="Q777" i="16"/>
  <c r="AL777" i="13"/>
  <c r="A778" i="16"/>
  <c r="AU777" i="13" l="1"/>
  <c r="AQ777" i="13"/>
  <c r="AP777" i="13"/>
  <c r="AR777" i="13"/>
  <c r="AV777" i="13" s="1"/>
  <c r="AS777" i="13"/>
  <c r="AT777" i="13"/>
  <c r="B778" i="16"/>
  <c r="AM778" i="13" s="1"/>
  <c r="C778" i="16"/>
  <c r="AN778" i="13" s="1"/>
  <c r="D778" i="16"/>
  <c r="AO778" i="13" s="1"/>
  <c r="E778" i="16"/>
  <c r="F778" i="16"/>
  <c r="G778" i="16"/>
  <c r="H778" i="16"/>
  <c r="I778" i="16"/>
  <c r="J778" i="16"/>
  <c r="K778" i="16"/>
  <c r="L778" i="16"/>
  <c r="M778" i="16"/>
  <c r="N778" i="16"/>
  <c r="O778" i="16"/>
  <c r="P778" i="16"/>
  <c r="Q778" i="16"/>
  <c r="AL778" i="13"/>
  <c r="A779" i="16"/>
  <c r="AU778" i="13" l="1"/>
  <c r="AR778" i="13"/>
  <c r="AV778" i="13" s="1"/>
  <c r="AT778" i="13"/>
  <c r="AP778" i="13"/>
  <c r="AQ778" i="13"/>
  <c r="AS778" i="13"/>
  <c r="A780" i="16"/>
  <c r="B779" i="16"/>
  <c r="AM779" i="13" s="1"/>
  <c r="C779" i="16"/>
  <c r="AN779" i="13" s="1"/>
  <c r="D779" i="16"/>
  <c r="AO779" i="13" s="1"/>
  <c r="E779" i="16"/>
  <c r="F779" i="16"/>
  <c r="G779" i="16"/>
  <c r="H779" i="16"/>
  <c r="I779" i="16"/>
  <c r="J779" i="16"/>
  <c r="K779" i="16"/>
  <c r="L779" i="16"/>
  <c r="M779" i="16"/>
  <c r="N779" i="16"/>
  <c r="O779" i="16"/>
  <c r="P779" i="16"/>
  <c r="Q779" i="16"/>
  <c r="AL779" i="13"/>
  <c r="B780" i="16" l="1"/>
  <c r="AM780" i="13" s="1"/>
  <c r="C780" i="16"/>
  <c r="AN780" i="13" s="1"/>
  <c r="D780" i="16"/>
  <c r="AO780" i="13" s="1"/>
  <c r="E780" i="16"/>
  <c r="F780" i="16"/>
  <c r="G780" i="16"/>
  <c r="H780" i="16"/>
  <c r="I780" i="16"/>
  <c r="J780" i="16"/>
  <c r="K780" i="16"/>
  <c r="L780" i="16"/>
  <c r="M780" i="16"/>
  <c r="N780" i="16"/>
  <c r="O780" i="16"/>
  <c r="P780" i="16"/>
  <c r="Q780" i="16"/>
  <c r="AL780" i="13"/>
  <c r="A781" i="16"/>
  <c r="AP779" i="13"/>
  <c r="AR779" i="13"/>
  <c r="AV779" i="13" s="1"/>
  <c r="AS779" i="13"/>
  <c r="AU779" i="13"/>
  <c r="AQ779" i="13"/>
  <c r="AT779" i="13"/>
  <c r="AQ780" i="13" l="1"/>
  <c r="AS780" i="13"/>
  <c r="AU780" i="13"/>
  <c r="AP780" i="13"/>
  <c r="AT780" i="13"/>
  <c r="AR780" i="13"/>
  <c r="AV780" i="13" s="1"/>
  <c r="B781" i="16"/>
  <c r="AM781" i="13" s="1"/>
  <c r="C781" i="16"/>
  <c r="AN781" i="13" s="1"/>
  <c r="D781" i="16"/>
  <c r="AO781" i="13" s="1"/>
  <c r="E781" i="16"/>
  <c r="F781" i="16"/>
  <c r="G781" i="16"/>
  <c r="H781" i="16"/>
  <c r="I781" i="16"/>
  <c r="J781" i="16"/>
  <c r="K781" i="16"/>
  <c r="L781" i="16"/>
  <c r="M781" i="16"/>
  <c r="N781" i="16"/>
  <c r="O781" i="16"/>
  <c r="P781" i="16"/>
  <c r="Q781" i="16"/>
  <c r="AL781" i="13"/>
  <c r="A782" i="16"/>
  <c r="AR781" i="13" l="1"/>
  <c r="AV781" i="13" s="1"/>
  <c r="AT781" i="13"/>
  <c r="AP781" i="13"/>
  <c r="AQ781" i="13"/>
  <c r="AS781" i="13"/>
  <c r="AU781" i="13"/>
  <c r="B782" i="16"/>
  <c r="AM782" i="13" s="1"/>
  <c r="C782" i="16"/>
  <c r="AN782" i="13" s="1"/>
  <c r="D782" i="16"/>
  <c r="AO782" i="13" s="1"/>
  <c r="E782" i="16"/>
  <c r="F782" i="16"/>
  <c r="G782" i="16"/>
  <c r="H782" i="16"/>
  <c r="I782" i="16"/>
  <c r="J782" i="16"/>
  <c r="K782" i="16"/>
  <c r="L782" i="16"/>
  <c r="M782" i="16"/>
  <c r="N782" i="16"/>
  <c r="O782" i="16"/>
  <c r="P782" i="16"/>
  <c r="Q782" i="16"/>
  <c r="AL782" i="13"/>
  <c r="A783" i="16"/>
  <c r="AU782" i="13" l="1"/>
  <c r="AS782" i="13"/>
  <c r="AQ782" i="13"/>
  <c r="AR782" i="13"/>
  <c r="AV782" i="13" s="1"/>
  <c r="AT782" i="13"/>
  <c r="AP782" i="13"/>
  <c r="A784" i="16"/>
  <c r="B783" i="16"/>
  <c r="AM783" i="13" s="1"/>
  <c r="C783" i="16"/>
  <c r="AN783" i="13" s="1"/>
  <c r="D783" i="16"/>
  <c r="AO783" i="13" s="1"/>
  <c r="E783" i="16"/>
  <c r="F783" i="16"/>
  <c r="G783" i="16"/>
  <c r="H783" i="16"/>
  <c r="I783" i="16"/>
  <c r="J783" i="16"/>
  <c r="K783" i="16"/>
  <c r="L783" i="16"/>
  <c r="M783" i="16"/>
  <c r="N783" i="16"/>
  <c r="O783" i="16"/>
  <c r="P783" i="16"/>
  <c r="Q783" i="16"/>
  <c r="AL783" i="13"/>
  <c r="B784" i="16" l="1"/>
  <c r="AM784" i="13" s="1"/>
  <c r="C784" i="16"/>
  <c r="AN784" i="13" s="1"/>
  <c r="D784" i="16"/>
  <c r="AO784" i="13" s="1"/>
  <c r="E784" i="16"/>
  <c r="F784" i="16"/>
  <c r="G784" i="16"/>
  <c r="H784" i="16"/>
  <c r="I784" i="16"/>
  <c r="J784" i="16"/>
  <c r="K784" i="16"/>
  <c r="L784" i="16"/>
  <c r="M784" i="16"/>
  <c r="N784" i="16"/>
  <c r="O784" i="16"/>
  <c r="P784" i="16"/>
  <c r="Q784" i="16"/>
  <c r="AL784" i="13"/>
  <c r="A785" i="16"/>
  <c r="AP783" i="13"/>
  <c r="AQ783" i="13"/>
  <c r="AU783" i="13"/>
  <c r="AT783" i="13"/>
  <c r="AS783" i="13"/>
  <c r="AR783" i="13"/>
  <c r="AV783" i="13" s="1"/>
  <c r="AQ784" i="13" l="1"/>
  <c r="AU784" i="13"/>
  <c r="AP784" i="13"/>
  <c r="AR784" i="13"/>
  <c r="AV784" i="13" s="1"/>
  <c r="AS784" i="13"/>
  <c r="AT784" i="13"/>
  <c r="B785" i="16"/>
  <c r="AM785" i="13" s="1"/>
  <c r="C785" i="16"/>
  <c r="AN785" i="13" s="1"/>
  <c r="D785" i="16"/>
  <c r="AO785" i="13" s="1"/>
  <c r="E785" i="16"/>
  <c r="F785" i="16"/>
  <c r="G785" i="16"/>
  <c r="H785" i="16"/>
  <c r="I785" i="16"/>
  <c r="J785" i="16"/>
  <c r="K785" i="16"/>
  <c r="L785" i="16"/>
  <c r="M785" i="16"/>
  <c r="N785" i="16"/>
  <c r="O785" i="16"/>
  <c r="P785" i="16"/>
  <c r="Q785" i="16"/>
  <c r="AL785" i="13"/>
  <c r="A786" i="16"/>
  <c r="AQ785" i="13" l="1"/>
  <c r="AP785" i="13"/>
  <c r="AT785" i="13"/>
  <c r="AR785" i="13"/>
  <c r="AV785" i="13" s="1"/>
  <c r="AS785" i="13"/>
  <c r="AU785" i="13"/>
  <c r="B786" i="16"/>
  <c r="AM786" i="13" s="1"/>
  <c r="C786" i="16"/>
  <c r="AN786" i="13" s="1"/>
  <c r="D786" i="16"/>
  <c r="AO786" i="13" s="1"/>
  <c r="E786" i="16"/>
  <c r="F786" i="16"/>
  <c r="G786" i="16"/>
  <c r="H786" i="16"/>
  <c r="I786" i="16"/>
  <c r="J786" i="16"/>
  <c r="K786" i="16"/>
  <c r="L786" i="16"/>
  <c r="M786" i="16"/>
  <c r="N786" i="16"/>
  <c r="O786" i="16"/>
  <c r="P786" i="16"/>
  <c r="Q786" i="16"/>
  <c r="AL786" i="13"/>
  <c r="A787" i="16"/>
  <c r="AU786" i="13" l="1"/>
  <c r="AQ786" i="13"/>
  <c r="AS786" i="13"/>
  <c r="AR786" i="13"/>
  <c r="AV786" i="13" s="1"/>
  <c r="AP786" i="13"/>
  <c r="AT786" i="13"/>
  <c r="B787" i="16"/>
  <c r="AM787" i="13" s="1"/>
  <c r="C787" i="16"/>
  <c r="AN787" i="13" s="1"/>
  <c r="D787" i="16"/>
  <c r="AO787" i="13" s="1"/>
  <c r="E787" i="16"/>
  <c r="F787" i="16"/>
  <c r="G787" i="16"/>
  <c r="H787" i="16"/>
  <c r="I787" i="16"/>
  <c r="J787" i="16"/>
  <c r="K787" i="16"/>
  <c r="L787" i="16"/>
  <c r="M787" i="16"/>
  <c r="N787" i="16"/>
  <c r="O787" i="16"/>
  <c r="P787" i="16"/>
  <c r="Q787" i="16"/>
  <c r="AL787" i="13"/>
  <c r="A788" i="16"/>
  <c r="AQ787" i="13" l="1"/>
  <c r="AU787" i="13"/>
  <c r="AS787" i="13"/>
  <c r="AP787" i="13"/>
  <c r="AR787" i="13"/>
  <c r="AV787" i="13" s="1"/>
  <c r="AT787" i="13"/>
  <c r="B788" i="16"/>
  <c r="AM788" i="13" s="1"/>
  <c r="C788" i="16"/>
  <c r="AN788" i="13" s="1"/>
  <c r="D788" i="16"/>
  <c r="AO788" i="13" s="1"/>
  <c r="E788" i="16"/>
  <c r="F788" i="16"/>
  <c r="G788" i="16"/>
  <c r="H788" i="16"/>
  <c r="I788" i="16"/>
  <c r="J788" i="16"/>
  <c r="K788" i="16"/>
  <c r="L788" i="16"/>
  <c r="M788" i="16"/>
  <c r="N788" i="16"/>
  <c r="O788" i="16"/>
  <c r="P788" i="16"/>
  <c r="Q788" i="16"/>
  <c r="AL788" i="13"/>
  <c r="A789" i="16"/>
  <c r="AQ788" i="13" l="1"/>
  <c r="AT788" i="13"/>
  <c r="AU788" i="13"/>
  <c r="AP788" i="13"/>
  <c r="AS788" i="13"/>
  <c r="AR788" i="13"/>
  <c r="AV788" i="13" s="1"/>
  <c r="A790" i="16"/>
  <c r="B789" i="16"/>
  <c r="AM789" i="13" s="1"/>
  <c r="C789" i="16"/>
  <c r="AN789" i="13" s="1"/>
  <c r="D789" i="16"/>
  <c r="AO789" i="13" s="1"/>
  <c r="E789" i="16"/>
  <c r="F789" i="16"/>
  <c r="G789" i="16"/>
  <c r="H789" i="16"/>
  <c r="I789" i="16"/>
  <c r="J789" i="16"/>
  <c r="K789" i="16"/>
  <c r="L789" i="16"/>
  <c r="M789" i="16"/>
  <c r="N789" i="16"/>
  <c r="O789" i="16"/>
  <c r="P789" i="16"/>
  <c r="Q789" i="16"/>
  <c r="AL789" i="13"/>
  <c r="B790" i="16" l="1"/>
  <c r="AM790" i="13" s="1"/>
  <c r="C790" i="16"/>
  <c r="AN790" i="13" s="1"/>
  <c r="D790" i="16"/>
  <c r="AO790" i="13" s="1"/>
  <c r="E790" i="16"/>
  <c r="F790" i="16"/>
  <c r="G790" i="16"/>
  <c r="H790" i="16"/>
  <c r="I790" i="16"/>
  <c r="J790" i="16"/>
  <c r="K790" i="16"/>
  <c r="L790" i="16"/>
  <c r="M790" i="16"/>
  <c r="N790" i="16"/>
  <c r="O790" i="16"/>
  <c r="P790" i="16"/>
  <c r="Q790" i="16"/>
  <c r="AL790" i="13"/>
  <c r="A791" i="16"/>
  <c r="AU789" i="13"/>
  <c r="AR789" i="13"/>
  <c r="AV789" i="13" s="1"/>
  <c r="AT789" i="13"/>
  <c r="AP789" i="13"/>
  <c r="AS789" i="13"/>
  <c r="AQ789" i="13"/>
  <c r="AP790" i="13" l="1"/>
  <c r="AQ790" i="13"/>
  <c r="AS790" i="13"/>
  <c r="AT790" i="13"/>
  <c r="AR790" i="13"/>
  <c r="AV790" i="13" s="1"/>
  <c r="AU790" i="13"/>
  <c r="A792" i="16"/>
  <c r="B791" i="16"/>
  <c r="AM791" i="13" s="1"/>
  <c r="C791" i="16"/>
  <c r="AN791" i="13" s="1"/>
  <c r="D791" i="16"/>
  <c r="AO791" i="13" s="1"/>
  <c r="E791" i="16"/>
  <c r="F791" i="16"/>
  <c r="G791" i="16"/>
  <c r="H791" i="16"/>
  <c r="I791" i="16"/>
  <c r="J791" i="16"/>
  <c r="K791" i="16"/>
  <c r="L791" i="16"/>
  <c r="M791" i="16"/>
  <c r="N791" i="16"/>
  <c r="O791" i="16"/>
  <c r="P791" i="16"/>
  <c r="Q791" i="16"/>
  <c r="AL791" i="13"/>
  <c r="B792" i="16" l="1"/>
  <c r="AM792" i="13" s="1"/>
  <c r="C792" i="16"/>
  <c r="AN792" i="13" s="1"/>
  <c r="D792" i="16"/>
  <c r="AO792" i="13" s="1"/>
  <c r="E792" i="16"/>
  <c r="F792" i="16"/>
  <c r="G792" i="16"/>
  <c r="H792" i="16"/>
  <c r="I792" i="16"/>
  <c r="J792" i="16"/>
  <c r="K792" i="16"/>
  <c r="L792" i="16"/>
  <c r="M792" i="16"/>
  <c r="N792" i="16"/>
  <c r="O792" i="16"/>
  <c r="P792" i="16"/>
  <c r="Q792" i="16"/>
  <c r="AL792" i="13"/>
  <c r="A793" i="16"/>
  <c r="AR791" i="13"/>
  <c r="AV791" i="13" s="1"/>
  <c r="AS791" i="13"/>
  <c r="AU791" i="13"/>
  <c r="AQ791" i="13"/>
  <c r="AT791" i="13"/>
  <c r="AP791" i="13"/>
  <c r="AP792" i="13" l="1"/>
  <c r="AS792" i="13"/>
  <c r="AU792" i="13"/>
  <c r="AQ792" i="13"/>
  <c r="AR792" i="13"/>
  <c r="AV792" i="13" s="1"/>
  <c r="AT792" i="13"/>
  <c r="B793" i="16"/>
  <c r="AM793" i="13" s="1"/>
  <c r="C793" i="16"/>
  <c r="AN793" i="13" s="1"/>
  <c r="D793" i="16"/>
  <c r="AO793" i="13" s="1"/>
  <c r="E793" i="16"/>
  <c r="F793" i="16"/>
  <c r="G793" i="16"/>
  <c r="H793" i="16"/>
  <c r="I793" i="16"/>
  <c r="J793" i="16"/>
  <c r="K793" i="16"/>
  <c r="L793" i="16"/>
  <c r="M793" i="16"/>
  <c r="N793" i="16"/>
  <c r="O793" i="16"/>
  <c r="P793" i="16"/>
  <c r="Q793" i="16"/>
  <c r="AL793" i="13"/>
  <c r="A794" i="16"/>
  <c r="AT793" i="13" l="1"/>
  <c r="AP793" i="13"/>
  <c r="AS793" i="13"/>
  <c r="AR793" i="13"/>
  <c r="AV793" i="13" s="1"/>
  <c r="AQ793" i="13"/>
  <c r="AU793" i="13"/>
  <c r="A795" i="16"/>
  <c r="B794" i="16"/>
  <c r="AM794" i="13" s="1"/>
  <c r="C794" i="16"/>
  <c r="AN794" i="13" s="1"/>
  <c r="D794" i="16"/>
  <c r="AO794" i="13" s="1"/>
  <c r="E794" i="16"/>
  <c r="F794" i="16"/>
  <c r="G794" i="16"/>
  <c r="H794" i="16"/>
  <c r="I794" i="16"/>
  <c r="J794" i="16"/>
  <c r="K794" i="16"/>
  <c r="L794" i="16"/>
  <c r="M794" i="16"/>
  <c r="N794" i="16"/>
  <c r="O794" i="16"/>
  <c r="P794" i="16"/>
  <c r="Q794" i="16"/>
  <c r="AL794" i="13"/>
  <c r="B795" i="16" l="1"/>
  <c r="AM795" i="13" s="1"/>
  <c r="C795" i="16"/>
  <c r="AN795" i="13" s="1"/>
  <c r="D795" i="16"/>
  <c r="AO795" i="13" s="1"/>
  <c r="E795" i="16"/>
  <c r="F795" i="16"/>
  <c r="G795" i="16"/>
  <c r="H795" i="16"/>
  <c r="I795" i="16"/>
  <c r="J795" i="16"/>
  <c r="K795" i="16"/>
  <c r="L795" i="16"/>
  <c r="M795" i="16"/>
  <c r="N795" i="16"/>
  <c r="O795" i="16"/>
  <c r="P795" i="16"/>
  <c r="Q795" i="16"/>
  <c r="AL795" i="13"/>
  <c r="A796" i="16"/>
  <c r="AR794" i="13"/>
  <c r="AV794" i="13" s="1"/>
  <c r="AS794" i="13"/>
  <c r="AP794" i="13"/>
  <c r="AQ794" i="13"/>
  <c r="AU794" i="13"/>
  <c r="AT794" i="13"/>
  <c r="AQ795" i="13" l="1"/>
  <c r="AU795" i="13"/>
  <c r="AS795" i="13"/>
  <c r="AP795" i="13"/>
  <c r="AT795" i="13"/>
  <c r="AR795" i="13"/>
  <c r="AV795" i="13" s="1"/>
  <c r="A797" i="16"/>
  <c r="B796" i="16"/>
  <c r="AM796" i="13" s="1"/>
  <c r="C796" i="16"/>
  <c r="AN796" i="13" s="1"/>
  <c r="D796" i="16"/>
  <c r="AO796" i="13" s="1"/>
  <c r="E796" i="16"/>
  <c r="F796" i="16"/>
  <c r="G796" i="16"/>
  <c r="H796" i="16"/>
  <c r="I796" i="16"/>
  <c r="J796" i="16"/>
  <c r="K796" i="16"/>
  <c r="L796" i="16"/>
  <c r="M796" i="16"/>
  <c r="N796" i="16"/>
  <c r="O796" i="16"/>
  <c r="P796" i="16"/>
  <c r="Q796" i="16"/>
  <c r="AL796" i="13"/>
  <c r="A798" i="16" l="1"/>
  <c r="B797" i="16"/>
  <c r="AM797" i="13" s="1"/>
  <c r="C797" i="16"/>
  <c r="AN797" i="13" s="1"/>
  <c r="D797" i="16"/>
  <c r="AO797" i="13" s="1"/>
  <c r="E797" i="16"/>
  <c r="F797" i="16"/>
  <c r="G797" i="16"/>
  <c r="H797" i="16"/>
  <c r="I797" i="16"/>
  <c r="J797" i="16"/>
  <c r="K797" i="16"/>
  <c r="L797" i="16"/>
  <c r="M797" i="16"/>
  <c r="N797" i="16"/>
  <c r="O797" i="16"/>
  <c r="P797" i="16"/>
  <c r="Q797" i="16"/>
  <c r="AL797" i="13"/>
  <c r="AP796" i="13"/>
  <c r="AQ796" i="13"/>
  <c r="AR796" i="13"/>
  <c r="AV796" i="13" s="1"/>
  <c r="AS796" i="13"/>
  <c r="AU796" i="13"/>
  <c r="AT796" i="13"/>
  <c r="A799" i="16" l="1"/>
  <c r="B798" i="16"/>
  <c r="AM798" i="13" s="1"/>
  <c r="C798" i="16"/>
  <c r="AN798" i="13" s="1"/>
  <c r="D798" i="16"/>
  <c r="AO798" i="13" s="1"/>
  <c r="E798" i="16"/>
  <c r="F798" i="16"/>
  <c r="G798" i="16"/>
  <c r="H798" i="16"/>
  <c r="I798" i="16"/>
  <c r="J798" i="16"/>
  <c r="K798" i="16"/>
  <c r="L798" i="16"/>
  <c r="M798" i="16"/>
  <c r="N798" i="16"/>
  <c r="O798" i="16"/>
  <c r="P798" i="16"/>
  <c r="Q798" i="16"/>
  <c r="AL798" i="13"/>
  <c r="AQ797" i="13"/>
  <c r="AP797" i="13"/>
  <c r="AR797" i="13"/>
  <c r="AV797" i="13" s="1"/>
  <c r="AT797" i="13"/>
  <c r="AU797" i="13"/>
  <c r="AS797" i="13"/>
  <c r="B799" i="16" l="1"/>
  <c r="AM799" i="13" s="1"/>
  <c r="C799" i="16"/>
  <c r="AN799" i="13" s="1"/>
  <c r="D799" i="16"/>
  <c r="AO799" i="13" s="1"/>
  <c r="E799" i="16"/>
  <c r="F799" i="16"/>
  <c r="G799" i="16"/>
  <c r="H799" i="16"/>
  <c r="I799" i="16"/>
  <c r="J799" i="16"/>
  <c r="K799" i="16"/>
  <c r="L799" i="16"/>
  <c r="M799" i="16"/>
  <c r="N799" i="16"/>
  <c r="O799" i="16"/>
  <c r="P799" i="16"/>
  <c r="Q799" i="16"/>
  <c r="AL799" i="13"/>
  <c r="A800" i="16"/>
  <c r="AQ798" i="13"/>
  <c r="AS798" i="13"/>
  <c r="AP798" i="13"/>
  <c r="AR798" i="13"/>
  <c r="AV798" i="13" s="1"/>
  <c r="AT798" i="13"/>
  <c r="AU798" i="13"/>
  <c r="AP799" i="13" l="1"/>
  <c r="AT799" i="13"/>
  <c r="AQ799" i="13"/>
  <c r="AR799" i="13"/>
  <c r="AV799" i="13" s="1"/>
  <c r="AS799" i="13"/>
  <c r="AU799" i="13"/>
  <c r="A801" i="16"/>
  <c r="B800" i="16"/>
  <c r="AM800" i="13" s="1"/>
  <c r="C800" i="16"/>
  <c r="AN800" i="13" s="1"/>
  <c r="D800" i="16"/>
  <c r="AO800" i="13" s="1"/>
  <c r="E800" i="16"/>
  <c r="F800" i="16"/>
  <c r="G800" i="16"/>
  <c r="H800" i="16"/>
  <c r="I800" i="16"/>
  <c r="J800" i="16"/>
  <c r="K800" i="16"/>
  <c r="L800" i="16"/>
  <c r="M800" i="16"/>
  <c r="N800" i="16"/>
  <c r="O800" i="16"/>
  <c r="P800" i="16"/>
  <c r="Q800" i="16"/>
  <c r="AL800" i="13"/>
  <c r="B801" i="16" l="1"/>
  <c r="AM801" i="13" s="1"/>
  <c r="C801" i="16"/>
  <c r="AN801" i="13" s="1"/>
  <c r="D801" i="16"/>
  <c r="AO801" i="13" s="1"/>
  <c r="E801" i="16"/>
  <c r="F801" i="16"/>
  <c r="G801" i="16"/>
  <c r="H801" i="16"/>
  <c r="I801" i="16"/>
  <c r="J801" i="16"/>
  <c r="K801" i="16"/>
  <c r="L801" i="16"/>
  <c r="M801" i="16"/>
  <c r="N801" i="16"/>
  <c r="O801" i="16"/>
  <c r="P801" i="16"/>
  <c r="Q801" i="16"/>
  <c r="AL801" i="13"/>
  <c r="A802" i="16"/>
  <c r="AQ800" i="13"/>
  <c r="AP800" i="13"/>
  <c r="AS800" i="13"/>
  <c r="AU800" i="13"/>
  <c r="AR800" i="13"/>
  <c r="AV800" i="13" s="1"/>
  <c r="AT800" i="13"/>
  <c r="AR801" i="13" l="1"/>
  <c r="AV801" i="13" s="1"/>
  <c r="AU801" i="13"/>
  <c r="AS801" i="13"/>
  <c r="AT801" i="13"/>
  <c r="AP801" i="13"/>
  <c r="AQ801" i="13"/>
  <c r="B802" i="16"/>
  <c r="AM802" i="13" s="1"/>
  <c r="C802" i="16"/>
  <c r="AN802" i="13" s="1"/>
  <c r="D802" i="16"/>
  <c r="AO802" i="13" s="1"/>
  <c r="E802" i="16"/>
  <c r="F802" i="16"/>
  <c r="G802" i="16"/>
  <c r="H802" i="16"/>
  <c r="I802" i="16"/>
  <c r="J802" i="16"/>
  <c r="K802" i="16"/>
  <c r="L802" i="16"/>
  <c r="M802" i="16"/>
  <c r="N802" i="16"/>
  <c r="O802" i="16"/>
  <c r="P802" i="16"/>
  <c r="Q802" i="16"/>
  <c r="AL802" i="13"/>
  <c r="A803" i="16"/>
  <c r="AS802" i="13" l="1"/>
  <c r="AT802" i="13"/>
  <c r="AQ802" i="13"/>
  <c r="AU802" i="13"/>
  <c r="AP802" i="13"/>
  <c r="AR802" i="13"/>
  <c r="AV802" i="13" s="1"/>
  <c r="B803" i="16"/>
  <c r="AM803" i="13" s="1"/>
  <c r="C803" i="16"/>
  <c r="AN803" i="13" s="1"/>
  <c r="D803" i="16"/>
  <c r="AO803" i="13" s="1"/>
  <c r="E803" i="16"/>
  <c r="F803" i="16"/>
  <c r="G803" i="16"/>
  <c r="H803" i="16"/>
  <c r="I803" i="16"/>
  <c r="J803" i="16"/>
  <c r="K803" i="16"/>
  <c r="L803" i="16"/>
  <c r="M803" i="16"/>
  <c r="N803" i="16"/>
  <c r="O803" i="16"/>
  <c r="P803" i="16"/>
  <c r="Q803" i="16"/>
  <c r="AL803" i="13"/>
  <c r="A804" i="16"/>
  <c r="AP803" i="13" l="1"/>
  <c r="AQ803" i="13"/>
  <c r="AS803" i="13"/>
  <c r="AR803" i="13"/>
  <c r="AV803" i="13" s="1"/>
  <c r="AU803" i="13"/>
  <c r="AT803" i="13"/>
  <c r="B804" i="16"/>
  <c r="AM804" i="13" s="1"/>
  <c r="C804" i="16"/>
  <c r="AN804" i="13" s="1"/>
  <c r="D804" i="16"/>
  <c r="AO804" i="13" s="1"/>
  <c r="E804" i="16"/>
  <c r="F804" i="16"/>
  <c r="G804" i="16"/>
  <c r="H804" i="16"/>
  <c r="I804" i="16"/>
  <c r="J804" i="16"/>
  <c r="K804" i="16"/>
  <c r="L804" i="16"/>
  <c r="M804" i="16"/>
  <c r="N804" i="16"/>
  <c r="O804" i="16"/>
  <c r="P804" i="16"/>
  <c r="Q804" i="16"/>
  <c r="AL804" i="13"/>
  <c r="A805" i="16"/>
  <c r="AP804" i="13" l="1"/>
  <c r="AS804" i="13"/>
  <c r="AQ804" i="13"/>
  <c r="AU804" i="13"/>
  <c r="AR804" i="13"/>
  <c r="AV804" i="13" s="1"/>
  <c r="AT804" i="13"/>
  <c r="B805" i="16"/>
  <c r="AM805" i="13" s="1"/>
  <c r="C805" i="16"/>
  <c r="AN805" i="13" s="1"/>
  <c r="D805" i="16"/>
  <c r="AO805" i="13" s="1"/>
  <c r="E805" i="16"/>
  <c r="F805" i="16"/>
  <c r="G805" i="16"/>
  <c r="H805" i="16"/>
  <c r="I805" i="16"/>
  <c r="J805" i="16"/>
  <c r="K805" i="16"/>
  <c r="L805" i="16"/>
  <c r="M805" i="16"/>
  <c r="N805" i="16"/>
  <c r="O805" i="16"/>
  <c r="P805" i="16"/>
  <c r="Q805" i="16"/>
  <c r="AL805" i="13"/>
  <c r="A806" i="16"/>
  <c r="AS805" i="13" l="1"/>
  <c r="AQ805" i="13"/>
  <c r="AT805" i="13"/>
  <c r="AP805" i="13"/>
  <c r="AR805" i="13"/>
  <c r="AV805" i="13" s="1"/>
  <c r="AU805" i="13"/>
  <c r="B806" i="16"/>
  <c r="AM806" i="13" s="1"/>
  <c r="C806" i="16"/>
  <c r="AN806" i="13" s="1"/>
  <c r="D806" i="16"/>
  <c r="AO806" i="13" s="1"/>
  <c r="E806" i="16"/>
  <c r="F806" i="16"/>
  <c r="G806" i="16"/>
  <c r="H806" i="16"/>
  <c r="I806" i="16"/>
  <c r="J806" i="16"/>
  <c r="K806" i="16"/>
  <c r="L806" i="16"/>
  <c r="M806" i="16"/>
  <c r="N806" i="16"/>
  <c r="O806" i="16"/>
  <c r="P806" i="16"/>
  <c r="Q806" i="16"/>
  <c r="AL806" i="13"/>
  <c r="A807" i="16"/>
  <c r="AQ806" i="13" l="1"/>
  <c r="AP806" i="13"/>
  <c r="AT806" i="13"/>
  <c r="AR806" i="13"/>
  <c r="AV806" i="13" s="1"/>
  <c r="AS806" i="13"/>
  <c r="AU806" i="13"/>
  <c r="B807" i="16"/>
  <c r="AM807" i="13" s="1"/>
  <c r="C807" i="16"/>
  <c r="AN807" i="13" s="1"/>
  <c r="D807" i="16"/>
  <c r="AO807" i="13" s="1"/>
  <c r="E807" i="16"/>
  <c r="F807" i="16"/>
  <c r="G807" i="16"/>
  <c r="H807" i="16"/>
  <c r="I807" i="16"/>
  <c r="J807" i="16"/>
  <c r="K807" i="16"/>
  <c r="L807" i="16"/>
  <c r="M807" i="16"/>
  <c r="N807" i="16"/>
  <c r="O807" i="16"/>
  <c r="P807" i="16"/>
  <c r="Q807" i="16"/>
  <c r="AL807" i="13"/>
  <c r="A808" i="16"/>
  <c r="AR807" i="13" l="1"/>
  <c r="AV807" i="13" s="1"/>
  <c r="AU807" i="13"/>
  <c r="AS807" i="13"/>
  <c r="AQ807" i="13"/>
  <c r="AP807" i="13"/>
  <c r="AT807" i="13"/>
  <c r="A809" i="16"/>
  <c r="B808" i="16"/>
  <c r="AM808" i="13" s="1"/>
  <c r="C808" i="16"/>
  <c r="AN808" i="13" s="1"/>
  <c r="D808" i="16"/>
  <c r="AO808" i="13" s="1"/>
  <c r="E808" i="16"/>
  <c r="F808" i="16"/>
  <c r="G808" i="16"/>
  <c r="H808" i="16"/>
  <c r="I808" i="16"/>
  <c r="J808" i="16"/>
  <c r="K808" i="16"/>
  <c r="L808" i="16"/>
  <c r="M808" i="16"/>
  <c r="N808" i="16"/>
  <c r="O808" i="16"/>
  <c r="P808" i="16"/>
  <c r="Q808" i="16"/>
  <c r="AL808" i="13"/>
  <c r="B809" i="16" l="1"/>
  <c r="AM809" i="13" s="1"/>
  <c r="C809" i="16"/>
  <c r="AN809" i="13" s="1"/>
  <c r="D809" i="16"/>
  <c r="AO809" i="13" s="1"/>
  <c r="E809" i="16"/>
  <c r="F809" i="16"/>
  <c r="G809" i="16"/>
  <c r="H809" i="16"/>
  <c r="I809" i="16"/>
  <c r="J809" i="16"/>
  <c r="K809" i="16"/>
  <c r="L809" i="16"/>
  <c r="M809" i="16"/>
  <c r="N809" i="16"/>
  <c r="O809" i="16"/>
  <c r="P809" i="16"/>
  <c r="Q809" i="16"/>
  <c r="AL809" i="13"/>
  <c r="A810" i="16"/>
  <c r="AP808" i="13"/>
  <c r="AR808" i="13"/>
  <c r="AV808" i="13" s="1"/>
  <c r="AS808" i="13"/>
  <c r="AT808" i="13"/>
  <c r="AQ808" i="13"/>
  <c r="AU808" i="13"/>
  <c r="AT809" i="13" l="1"/>
  <c r="AQ809" i="13"/>
  <c r="AU809" i="13"/>
  <c r="AP809" i="13"/>
  <c r="AR809" i="13"/>
  <c r="AV809" i="13" s="1"/>
  <c r="AS809" i="13"/>
  <c r="B810" i="16"/>
  <c r="AM810" i="13" s="1"/>
  <c r="C810" i="16"/>
  <c r="AN810" i="13" s="1"/>
  <c r="D810" i="16"/>
  <c r="AO810" i="13" s="1"/>
  <c r="E810" i="16"/>
  <c r="F810" i="16"/>
  <c r="G810" i="16"/>
  <c r="H810" i="16"/>
  <c r="I810" i="16"/>
  <c r="J810" i="16"/>
  <c r="K810" i="16"/>
  <c r="L810" i="16"/>
  <c r="M810" i="16"/>
  <c r="N810" i="16"/>
  <c r="O810" i="16"/>
  <c r="P810" i="16"/>
  <c r="Q810" i="16"/>
  <c r="AL810" i="13"/>
  <c r="A811" i="16"/>
  <c r="AQ810" i="13" l="1"/>
  <c r="AU810" i="13"/>
  <c r="AP810" i="13"/>
  <c r="AT810" i="13"/>
  <c r="AS810" i="13"/>
  <c r="AR810" i="13"/>
  <c r="AV810" i="13" s="1"/>
  <c r="B811" i="16"/>
  <c r="AM811" i="13" s="1"/>
  <c r="C811" i="16"/>
  <c r="AN811" i="13" s="1"/>
  <c r="D811" i="16"/>
  <c r="AO811" i="13" s="1"/>
  <c r="E811" i="16"/>
  <c r="F811" i="16"/>
  <c r="G811" i="16"/>
  <c r="H811" i="16"/>
  <c r="I811" i="16"/>
  <c r="J811" i="16"/>
  <c r="K811" i="16"/>
  <c r="L811" i="16"/>
  <c r="M811" i="16"/>
  <c r="N811" i="16"/>
  <c r="O811" i="16"/>
  <c r="P811" i="16"/>
  <c r="Q811" i="16"/>
  <c r="AL811" i="13"/>
  <c r="A812" i="16"/>
  <c r="AP811" i="13" l="1"/>
  <c r="AS811" i="13"/>
  <c r="AU811" i="13"/>
  <c r="AQ811" i="13"/>
  <c r="AR811" i="13"/>
  <c r="AV811" i="13" s="1"/>
  <c r="AT811" i="13"/>
  <c r="B812" i="16"/>
  <c r="AM812" i="13" s="1"/>
  <c r="C812" i="16"/>
  <c r="AN812" i="13" s="1"/>
  <c r="D812" i="16"/>
  <c r="AO812" i="13" s="1"/>
  <c r="E812" i="16"/>
  <c r="F812" i="16"/>
  <c r="G812" i="16"/>
  <c r="H812" i="16"/>
  <c r="I812" i="16"/>
  <c r="J812" i="16"/>
  <c r="K812" i="16"/>
  <c r="L812" i="16"/>
  <c r="M812" i="16"/>
  <c r="N812" i="16"/>
  <c r="O812" i="16"/>
  <c r="P812" i="16"/>
  <c r="Q812" i="16"/>
  <c r="AL812" i="13"/>
  <c r="A813" i="16"/>
  <c r="AP812" i="13" l="1"/>
  <c r="AR812" i="13"/>
  <c r="AV812" i="13" s="1"/>
  <c r="AQ812" i="13"/>
  <c r="AT812" i="13"/>
  <c r="AS812" i="13"/>
  <c r="AU812" i="13"/>
  <c r="B813" i="16"/>
  <c r="AM813" i="13" s="1"/>
  <c r="C813" i="16"/>
  <c r="AN813" i="13" s="1"/>
  <c r="D813" i="16"/>
  <c r="AO813" i="13" s="1"/>
  <c r="E813" i="16"/>
  <c r="F813" i="16"/>
  <c r="G813" i="16"/>
  <c r="H813" i="16"/>
  <c r="I813" i="16"/>
  <c r="J813" i="16"/>
  <c r="K813" i="16"/>
  <c r="L813" i="16"/>
  <c r="M813" i="16"/>
  <c r="N813" i="16"/>
  <c r="O813" i="16"/>
  <c r="P813" i="16"/>
  <c r="Q813" i="16"/>
  <c r="AL813" i="13"/>
  <c r="A814" i="16"/>
  <c r="AR813" i="13" l="1"/>
  <c r="AV813" i="13" s="1"/>
  <c r="AP813" i="13"/>
  <c r="AU813" i="13"/>
  <c r="AQ813" i="13"/>
  <c r="AS813" i="13"/>
  <c r="AT813" i="13"/>
  <c r="B814" i="16"/>
  <c r="AM814" i="13" s="1"/>
  <c r="C814" i="16"/>
  <c r="AN814" i="13" s="1"/>
  <c r="D814" i="16"/>
  <c r="AO814" i="13" s="1"/>
  <c r="E814" i="16"/>
  <c r="F814" i="16"/>
  <c r="G814" i="16"/>
  <c r="H814" i="16"/>
  <c r="I814" i="16"/>
  <c r="J814" i="16"/>
  <c r="K814" i="16"/>
  <c r="L814" i="16"/>
  <c r="M814" i="16"/>
  <c r="N814" i="16"/>
  <c r="O814" i="16"/>
  <c r="P814" i="16"/>
  <c r="Q814" i="16"/>
  <c r="AL814" i="13"/>
  <c r="A815" i="16"/>
  <c r="AP814" i="13" l="1"/>
  <c r="AU814" i="13"/>
  <c r="AR814" i="13"/>
  <c r="AV814" i="13" s="1"/>
  <c r="AS814" i="13"/>
  <c r="AQ814" i="13"/>
  <c r="AT814" i="13"/>
  <c r="A816" i="16"/>
  <c r="B815" i="16"/>
  <c r="AM815" i="13" s="1"/>
  <c r="C815" i="16"/>
  <c r="AN815" i="13" s="1"/>
  <c r="D815" i="16"/>
  <c r="AO815" i="13" s="1"/>
  <c r="E815" i="16"/>
  <c r="F815" i="16"/>
  <c r="G815" i="16"/>
  <c r="H815" i="16"/>
  <c r="I815" i="16"/>
  <c r="J815" i="16"/>
  <c r="K815" i="16"/>
  <c r="L815" i="16"/>
  <c r="M815" i="16"/>
  <c r="N815" i="16"/>
  <c r="O815" i="16"/>
  <c r="P815" i="16"/>
  <c r="Q815" i="16"/>
  <c r="AL815" i="13"/>
  <c r="B816" i="16" l="1"/>
  <c r="AM816" i="13" s="1"/>
  <c r="C816" i="16"/>
  <c r="AN816" i="13" s="1"/>
  <c r="D816" i="16"/>
  <c r="AO816" i="13" s="1"/>
  <c r="E816" i="16"/>
  <c r="F816" i="16"/>
  <c r="G816" i="16"/>
  <c r="H816" i="16"/>
  <c r="I816" i="16"/>
  <c r="J816" i="16"/>
  <c r="K816" i="16"/>
  <c r="L816" i="16"/>
  <c r="M816" i="16"/>
  <c r="N816" i="16"/>
  <c r="O816" i="16"/>
  <c r="P816" i="16"/>
  <c r="Q816" i="16"/>
  <c r="AL816" i="13"/>
  <c r="A817" i="16"/>
  <c r="AS815" i="13"/>
  <c r="AQ815" i="13"/>
  <c r="AU815" i="13"/>
  <c r="AP815" i="13"/>
  <c r="AR815" i="13"/>
  <c r="AV815" i="13" s="1"/>
  <c r="AT815" i="13"/>
  <c r="AQ816" i="13" l="1"/>
  <c r="AU816" i="13"/>
  <c r="AP816" i="13"/>
  <c r="AT816" i="13"/>
  <c r="AS816" i="13"/>
  <c r="AR816" i="13"/>
  <c r="AV816" i="13" s="1"/>
  <c r="B817" i="16"/>
  <c r="AM817" i="13" s="1"/>
  <c r="C817" i="16"/>
  <c r="AN817" i="13" s="1"/>
  <c r="D817" i="16"/>
  <c r="AO817" i="13" s="1"/>
  <c r="E817" i="16"/>
  <c r="F817" i="16"/>
  <c r="G817" i="16"/>
  <c r="H817" i="16"/>
  <c r="I817" i="16"/>
  <c r="J817" i="16"/>
  <c r="K817" i="16"/>
  <c r="L817" i="16"/>
  <c r="M817" i="16"/>
  <c r="N817" i="16"/>
  <c r="O817" i="16"/>
  <c r="P817" i="16"/>
  <c r="Q817" i="16"/>
  <c r="AL817" i="13"/>
  <c r="A818" i="16"/>
  <c r="AS817" i="13" l="1"/>
  <c r="AQ817" i="13"/>
  <c r="AU817" i="13"/>
  <c r="AP817" i="13"/>
  <c r="AR817" i="13"/>
  <c r="AV817" i="13" s="1"/>
  <c r="AT817" i="13"/>
  <c r="B818" i="16"/>
  <c r="AM818" i="13" s="1"/>
  <c r="C818" i="16"/>
  <c r="AN818" i="13" s="1"/>
  <c r="D818" i="16"/>
  <c r="AO818" i="13" s="1"/>
  <c r="E818" i="16"/>
  <c r="F818" i="16"/>
  <c r="G818" i="16"/>
  <c r="H818" i="16"/>
  <c r="I818" i="16"/>
  <c r="J818" i="16"/>
  <c r="K818" i="16"/>
  <c r="L818" i="16"/>
  <c r="M818" i="16"/>
  <c r="N818" i="16"/>
  <c r="O818" i="16"/>
  <c r="P818" i="16"/>
  <c r="Q818" i="16"/>
  <c r="AL818" i="13"/>
  <c r="A819" i="16"/>
  <c r="AP818" i="13" l="1"/>
  <c r="AQ818" i="13"/>
  <c r="AU818" i="13"/>
  <c r="AS818" i="13"/>
  <c r="AR818" i="13"/>
  <c r="AV818" i="13" s="1"/>
  <c r="AT818" i="13"/>
  <c r="B819" i="16"/>
  <c r="AM819" i="13" s="1"/>
  <c r="C819" i="16"/>
  <c r="AN819" i="13" s="1"/>
  <c r="D819" i="16"/>
  <c r="AO819" i="13" s="1"/>
  <c r="E819" i="16"/>
  <c r="F819" i="16"/>
  <c r="G819" i="16"/>
  <c r="H819" i="16"/>
  <c r="I819" i="16"/>
  <c r="J819" i="16"/>
  <c r="K819" i="16"/>
  <c r="L819" i="16"/>
  <c r="M819" i="16"/>
  <c r="N819" i="16"/>
  <c r="O819" i="16"/>
  <c r="P819" i="16"/>
  <c r="Q819" i="16"/>
  <c r="AL819" i="13"/>
  <c r="A820" i="16"/>
  <c r="AU819" i="13" l="1"/>
  <c r="AQ819" i="13"/>
  <c r="AT819" i="13"/>
  <c r="AS819" i="13"/>
  <c r="AR819" i="13"/>
  <c r="AV819" i="13" s="1"/>
  <c r="AP819" i="13"/>
  <c r="A821" i="16"/>
  <c r="B820" i="16"/>
  <c r="AM820" i="13" s="1"/>
  <c r="C820" i="16"/>
  <c r="AN820" i="13" s="1"/>
  <c r="D820" i="16"/>
  <c r="AO820" i="13" s="1"/>
  <c r="E820" i="16"/>
  <c r="F820" i="16"/>
  <c r="G820" i="16"/>
  <c r="H820" i="16"/>
  <c r="I820" i="16"/>
  <c r="J820" i="16"/>
  <c r="K820" i="16"/>
  <c r="L820" i="16"/>
  <c r="M820" i="16"/>
  <c r="N820" i="16"/>
  <c r="O820" i="16"/>
  <c r="P820" i="16"/>
  <c r="Q820" i="16"/>
  <c r="AL820" i="13"/>
  <c r="B821" i="16" l="1"/>
  <c r="AM821" i="13" s="1"/>
  <c r="C821" i="16"/>
  <c r="AN821" i="13" s="1"/>
  <c r="D821" i="16"/>
  <c r="AO821" i="13" s="1"/>
  <c r="E821" i="16"/>
  <c r="F821" i="16"/>
  <c r="G821" i="16"/>
  <c r="H821" i="16"/>
  <c r="I821" i="16"/>
  <c r="J821" i="16"/>
  <c r="K821" i="16"/>
  <c r="L821" i="16"/>
  <c r="M821" i="16"/>
  <c r="N821" i="16"/>
  <c r="O821" i="16"/>
  <c r="P821" i="16"/>
  <c r="Q821" i="16"/>
  <c r="AL821" i="13"/>
  <c r="A822" i="16"/>
  <c r="AR820" i="13"/>
  <c r="AV820" i="13" s="1"/>
  <c r="AP820" i="13"/>
  <c r="AS820" i="13"/>
  <c r="AT820" i="13"/>
  <c r="AQ820" i="13"/>
  <c r="AU820" i="13"/>
  <c r="AP821" i="13" l="1"/>
  <c r="AS821" i="13"/>
  <c r="AQ821" i="13"/>
  <c r="AT821" i="13"/>
  <c r="AR821" i="13"/>
  <c r="AV821" i="13" s="1"/>
  <c r="AU821" i="13"/>
  <c r="A823" i="16"/>
  <c r="B822" i="16"/>
  <c r="AM822" i="13" s="1"/>
  <c r="C822" i="16"/>
  <c r="AN822" i="13" s="1"/>
  <c r="D822" i="16"/>
  <c r="AO822" i="13" s="1"/>
  <c r="E822" i="16"/>
  <c r="F822" i="16"/>
  <c r="G822" i="16"/>
  <c r="H822" i="16"/>
  <c r="I822" i="16"/>
  <c r="J822" i="16"/>
  <c r="K822" i="16"/>
  <c r="L822" i="16"/>
  <c r="M822" i="16"/>
  <c r="N822" i="16"/>
  <c r="O822" i="16"/>
  <c r="P822" i="16"/>
  <c r="Q822" i="16"/>
  <c r="AL822" i="13"/>
  <c r="B823" i="16" l="1"/>
  <c r="AM823" i="13" s="1"/>
  <c r="C823" i="16"/>
  <c r="AN823" i="13" s="1"/>
  <c r="D823" i="16"/>
  <c r="AO823" i="13" s="1"/>
  <c r="E823" i="16"/>
  <c r="F823" i="16"/>
  <c r="G823" i="16"/>
  <c r="H823" i="16"/>
  <c r="I823" i="16"/>
  <c r="J823" i="16"/>
  <c r="K823" i="16"/>
  <c r="L823" i="16"/>
  <c r="M823" i="16"/>
  <c r="N823" i="16"/>
  <c r="O823" i="16"/>
  <c r="P823" i="16"/>
  <c r="Q823" i="16"/>
  <c r="AL823" i="13"/>
  <c r="A824" i="16"/>
  <c r="AU822" i="13"/>
  <c r="AP822" i="13"/>
  <c r="AS822" i="13"/>
  <c r="AT822" i="13"/>
  <c r="AQ822" i="13"/>
  <c r="AR822" i="13"/>
  <c r="AV822" i="13" s="1"/>
  <c r="AT823" i="13" l="1"/>
  <c r="AP823" i="13"/>
  <c r="AQ823" i="13"/>
  <c r="AU823" i="13"/>
  <c r="AR823" i="13"/>
  <c r="AV823" i="13" s="1"/>
  <c r="AS823" i="13"/>
  <c r="A825" i="16"/>
  <c r="B824" i="16"/>
  <c r="AM824" i="13" s="1"/>
  <c r="C824" i="16"/>
  <c r="AN824" i="13" s="1"/>
  <c r="D824" i="16"/>
  <c r="AO824" i="13" s="1"/>
  <c r="E824" i="16"/>
  <c r="F824" i="16"/>
  <c r="G824" i="16"/>
  <c r="H824" i="16"/>
  <c r="I824" i="16"/>
  <c r="J824" i="16"/>
  <c r="K824" i="16"/>
  <c r="L824" i="16"/>
  <c r="M824" i="16"/>
  <c r="N824" i="16"/>
  <c r="O824" i="16"/>
  <c r="P824" i="16"/>
  <c r="Q824" i="16"/>
  <c r="AL824" i="13"/>
  <c r="B825" i="16" l="1"/>
  <c r="AM825" i="13" s="1"/>
  <c r="C825" i="16"/>
  <c r="AN825" i="13" s="1"/>
  <c r="D825" i="16"/>
  <c r="AO825" i="13" s="1"/>
  <c r="E825" i="16"/>
  <c r="F825" i="16"/>
  <c r="G825" i="16"/>
  <c r="H825" i="16"/>
  <c r="I825" i="16"/>
  <c r="J825" i="16"/>
  <c r="K825" i="16"/>
  <c r="L825" i="16"/>
  <c r="M825" i="16"/>
  <c r="N825" i="16"/>
  <c r="O825" i="16"/>
  <c r="P825" i="16"/>
  <c r="Q825" i="16"/>
  <c r="AL825" i="13"/>
  <c r="A826" i="16"/>
  <c r="AP824" i="13"/>
  <c r="AU824" i="13"/>
  <c r="AQ824" i="13"/>
  <c r="AS824" i="13"/>
  <c r="AR824" i="13"/>
  <c r="AV824" i="13" s="1"/>
  <c r="AT824" i="13"/>
  <c r="AQ825" i="13" l="1"/>
  <c r="AR825" i="13"/>
  <c r="AV825" i="13" s="1"/>
  <c r="AT825" i="13"/>
  <c r="AU825" i="13"/>
  <c r="AP825" i="13"/>
  <c r="AS825" i="13"/>
  <c r="A827" i="16"/>
  <c r="B826" i="16"/>
  <c r="AM826" i="13" s="1"/>
  <c r="C826" i="16"/>
  <c r="AN826" i="13" s="1"/>
  <c r="D826" i="16"/>
  <c r="AO826" i="13" s="1"/>
  <c r="E826" i="16"/>
  <c r="F826" i="16"/>
  <c r="G826" i="16"/>
  <c r="H826" i="16"/>
  <c r="I826" i="16"/>
  <c r="J826" i="16"/>
  <c r="K826" i="16"/>
  <c r="L826" i="16"/>
  <c r="M826" i="16"/>
  <c r="N826" i="16"/>
  <c r="O826" i="16"/>
  <c r="P826" i="16"/>
  <c r="Q826" i="16"/>
  <c r="AL826" i="13"/>
  <c r="B827" i="16" l="1"/>
  <c r="AM827" i="13" s="1"/>
  <c r="C827" i="16"/>
  <c r="AN827" i="13" s="1"/>
  <c r="D827" i="16"/>
  <c r="AO827" i="13" s="1"/>
  <c r="E827" i="16"/>
  <c r="F827" i="16"/>
  <c r="G827" i="16"/>
  <c r="H827" i="16"/>
  <c r="I827" i="16"/>
  <c r="J827" i="16"/>
  <c r="K827" i="16"/>
  <c r="L827" i="16"/>
  <c r="M827" i="16"/>
  <c r="N827" i="16"/>
  <c r="O827" i="16"/>
  <c r="P827" i="16"/>
  <c r="Q827" i="16"/>
  <c r="AL827" i="13"/>
  <c r="A828" i="16"/>
  <c r="AP826" i="13"/>
  <c r="AR826" i="13"/>
  <c r="AV826" i="13" s="1"/>
  <c r="AT826" i="13"/>
  <c r="AS826" i="13"/>
  <c r="AQ826" i="13"/>
  <c r="AU826" i="13"/>
  <c r="AT827" i="13" l="1"/>
  <c r="AP827" i="13"/>
  <c r="AQ827" i="13"/>
  <c r="AS827" i="13"/>
  <c r="AR827" i="13"/>
  <c r="AV827" i="13" s="1"/>
  <c r="AU827" i="13"/>
  <c r="B828" i="16"/>
  <c r="AM828" i="13" s="1"/>
  <c r="C828" i="16"/>
  <c r="AN828" i="13" s="1"/>
  <c r="D828" i="16"/>
  <c r="AO828" i="13" s="1"/>
  <c r="E828" i="16"/>
  <c r="F828" i="16"/>
  <c r="G828" i="16"/>
  <c r="H828" i="16"/>
  <c r="I828" i="16"/>
  <c r="J828" i="16"/>
  <c r="K828" i="16"/>
  <c r="L828" i="16"/>
  <c r="M828" i="16"/>
  <c r="N828" i="16"/>
  <c r="O828" i="16"/>
  <c r="P828" i="16"/>
  <c r="Q828" i="16"/>
  <c r="AL828" i="13"/>
  <c r="A829" i="16"/>
  <c r="AP828" i="13" l="1"/>
  <c r="AR828" i="13"/>
  <c r="AV828" i="13" s="1"/>
  <c r="AS828" i="13"/>
  <c r="AT828" i="13"/>
  <c r="AQ828" i="13"/>
  <c r="AU828" i="13"/>
  <c r="A830" i="16"/>
  <c r="B829" i="16"/>
  <c r="AM829" i="13" s="1"/>
  <c r="C829" i="16"/>
  <c r="AN829" i="13" s="1"/>
  <c r="D829" i="16"/>
  <c r="AO829" i="13" s="1"/>
  <c r="E829" i="16"/>
  <c r="F829" i="16"/>
  <c r="G829" i="16"/>
  <c r="H829" i="16"/>
  <c r="I829" i="16"/>
  <c r="J829" i="16"/>
  <c r="K829" i="16"/>
  <c r="L829" i="16"/>
  <c r="M829" i="16"/>
  <c r="N829" i="16"/>
  <c r="O829" i="16"/>
  <c r="P829" i="16"/>
  <c r="Q829" i="16"/>
  <c r="AL829" i="13"/>
  <c r="A831" i="16" l="1"/>
  <c r="B830" i="16"/>
  <c r="AM830" i="13" s="1"/>
  <c r="C830" i="16"/>
  <c r="AN830" i="13" s="1"/>
  <c r="D830" i="16"/>
  <c r="AO830" i="13" s="1"/>
  <c r="E830" i="16"/>
  <c r="F830" i="16"/>
  <c r="G830" i="16"/>
  <c r="H830" i="16"/>
  <c r="I830" i="16"/>
  <c r="J830" i="16"/>
  <c r="K830" i="16"/>
  <c r="L830" i="16"/>
  <c r="M830" i="16"/>
  <c r="N830" i="16"/>
  <c r="O830" i="16"/>
  <c r="P830" i="16"/>
  <c r="Q830" i="16"/>
  <c r="AL830" i="13"/>
  <c r="AP829" i="13"/>
  <c r="AT829" i="13"/>
  <c r="AR829" i="13"/>
  <c r="AV829" i="13" s="1"/>
  <c r="AQ829" i="13"/>
  <c r="AS829" i="13"/>
  <c r="AU829" i="13"/>
  <c r="B831" i="16" l="1"/>
  <c r="AM831" i="13" s="1"/>
  <c r="C831" i="16"/>
  <c r="AN831" i="13" s="1"/>
  <c r="D831" i="16"/>
  <c r="AO831" i="13" s="1"/>
  <c r="E831" i="16"/>
  <c r="F831" i="16"/>
  <c r="G831" i="16"/>
  <c r="H831" i="16"/>
  <c r="I831" i="16"/>
  <c r="J831" i="16"/>
  <c r="K831" i="16"/>
  <c r="L831" i="16"/>
  <c r="M831" i="16"/>
  <c r="N831" i="16"/>
  <c r="O831" i="16"/>
  <c r="P831" i="16"/>
  <c r="Q831" i="16"/>
  <c r="AL831" i="13"/>
  <c r="A832" i="16"/>
  <c r="AQ830" i="13"/>
  <c r="AU830" i="13"/>
  <c r="AP830" i="13"/>
  <c r="AS830" i="13"/>
  <c r="AT830" i="13"/>
  <c r="AR830" i="13"/>
  <c r="AV830" i="13" s="1"/>
  <c r="AT831" i="13" l="1"/>
  <c r="AP831" i="13"/>
  <c r="AQ831" i="13"/>
  <c r="AR831" i="13"/>
  <c r="AV831" i="13" s="1"/>
  <c r="AS831" i="13"/>
  <c r="AU831" i="13"/>
  <c r="B832" i="16"/>
  <c r="AM832" i="13" s="1"/>
  <c r="C832" i="16"/>
  <c r="AN832" i="13" s="1"/>
  <c r="D832" i="16"/>
  <c r="AO832" i="13" s="1"/>
  <c r="E832" i="16"/>
  <c r="F832" i="16"/>
  <c r="G832" i="16"/>
  <c r="H832" i="16"/>
  <c r="I832" i="16"/>
  <c r="J832" i="16"/>
  <c r="K832" i="16"/>
  <c r="L832" i="16"/>
  <c r="M832" i="16"/>
  <c r="N832" i="16"/>
  <c r="O832" i="16"/>
  <c r="P832" i="16"/>
  <c r="Q832" i="16"/>
  <c r="AL832" i="13"/>
  <c r="A833" i="16"/>
  <c r="AP832" i="13" l="1"/>
  <c r="AR832" i="13"/>
  <c r="AV832" i="13" s="1"/>
  <c r="AQ832" i="13"/>
  <c r="AT832" i="13"/>
  <c r="AS832" i="13"/>
  <c r="AU832" i="13"/>
  <c r="A834" i="16"/>
  <c r="B833" i="16"/>
  <c r="AM833" i="13" s="1"/>
  <c r="C833" i="16"/>
  <c r="AN833" i="13" s="1"/>
  <c r="D833" i="16"/>
  <c r="AO833" i="13" s="1"/>
  <c r="E833" i="16"/>
  <c r="F833" i="16"/>
  <c r="G833" i="16"/>
  <c r="H833" i="16"/>
  <c r="I833" i="16"/>
  <c r="J833" i="16"/>
  <c r="K833" i="16"/>
  <c r="L833" i="16"/>
  <c r="M833" i="16"/>
  <c r="N833" i="16"/>
  <c r="O833" i="16"/>
  <c r="P833" i="16"/>
  <c r="Q833" i="16"/>
  <c r="AL833" i="13"/>
  <c r="B834" i="16" l="1"/>
  <c r="AM834" i="13" s="1"/>
  <c r="C834" i="16"/>
  <c r="AN834" i="13" s="1"/>
  <c r="D834" i="16"/>
  <c r="AO834" i="13" s="1"/>
  <c r="E834" i="16"/>
  <c r="F834" i="16"/>
  <c r="G834" i="16"/>
  <c r="H834" i="16"/>
  <c r="I834" i="16"/>
  <c r="J834" i="16"/>
  <c r="K834" i="16"/>
  <c r="L834" i="16"/>
  <c r="M834" i="16"/>
  <c r="N834" i="16"/>
  <c r="O834" i="16"/>
  <c r="P834" i="16"/>
  <c r="Q834" i="16"/>
  <c r="AL834" i="13"/>
  <c r="A835" i="16"/>
  <c r="AP833" i="13"/>
  <c r="AU833" i="13"/>
  <c r="AT833" i="13"/>
  <c r="AQ833" i="13"/>
  <c r="AR833" i="13"/>
  <c r="AV833" i="13" s="1"/>
  <c r="AS833" i="13"/>
  <c r="AR834" i="13" l="1"/>
  <c r="AV834" i="13" s="1"/>
  <c r="AQ834" i="13"/>
  <c r="AU834" i="13"/>
  <c r="AS834" i="13"/>
  <c r="AP834" i="13"/>
  <c r="AT834" i="13"/>
  <c r="B835" i="16"/>
  <c r="AM835" i="13" s="1"/>
  <c r="C835" i="16"/>
  <c r="AN835" i="13" s="1"/>
  <c r="D835" i="16"/>
  <c r="AO835" i="13" s="1"/>
  <c r="E835" i="16"/>
  <c r="F835" i="16"/>
  <c r="G835" i="16"/>
  <c r="H835" i="16"/>
  <c r="I835" i="16"/>
  <c r="J835" i="16"/>
  <c r="K835" i="16"/>
  <c r="L835" i="16"/>
  <c r="M835" i="16"/>
  <c r="N835" i="16"/>
  <c r="O835" i="16"/>
  <c r="P835" i="16"/>
  <c r="Q835" i="16"/>
  <c r="AL835" i="13"/>
  <c r="A836" i="16"/>
  <c r="AP835" i="13" l="1"/>
  <c r="AT835" i="13"/>
  <c r="AQ835" i="13"/>
  <c r="AR835" i="13"/>
  <c r="AV835" i="13" s="1"/>
  <c r="AU835" i="13"/>
  <c r="AS835" i="13"/>
  <c r="B836" i="16"/>
  <c r="AM836" i="13" s="1"/>
  <c r="C836" i="16"/>
  <c r="AN836" i="13" s="1"/>
  <c r="D836" i="16"/>
  <c r="AO836" i="13" s="1"/>
  <c r="E836" i="16"/>
  <c r="F836" i="16"/>
  <c r="G836" i="16"/>
  <c r="H836" i="16"/>
  <c r="I836" i="16"/>
  <c r="J836" i="16"/>
  <c r="K836" i="16"/>
  <c r="L836" i="16"/>
  <c r="M836" i="16"/>
  <c r="N836" i="16"/>
  <c r="O836" i="16"/>
  <c r="P836" i="16"/>
  <c r="Q836" i="16"/>
  <c r="AL836" i="13"/>
  <c r="A837" i="16"/>
  <c r="AP836" i="13" l="1"/>
  <c r="AT836" i="13"/>
  <c r="AQ836" i="13"/>
  <c r="AR836" i="13"/>
  <c r="AV836" i="13" s="1"/>
  <c r="AU836" i="13"/>
  <c r="AS836" i="13"/>
  <c r="A838" i="16"/>
  <c r="B837" i="16"/>
  <c r="AM837" i="13" s="1"/>
  <c r="C837" i="16"/>
  <c r="AN837" i="13" s="1"/>
  <c r="D837" i="16"/>
  <c r="AO837" i="13" s="1"/>
  <c r="E837" i="16"/>
  <c r="F837" i="16"/>
  <c r="G837" i="16"/>
  <c r="H837" i="16"/>
  <c r="I837" i="16"/>
  <c r="J837" i="16"/>
  <c r="K837" i="16"/>
  <c r="L837" i="16"/>
  <c r="M837" i="16"/>
  <c r="N837" i="16"/>
  <c r="O837" i="16"/>
  <c r="P837" i="16"/>
  <c r="Q837" i="16"/>
  <c r="AL837" i="13"/>
  <c r="B838" i="16" l="1"/>
  <c r="AM838" i="13" s="1"/>
  <c r="C838" i="16"/>
  <c r="AN838" i="13" s="1"/>
  <c r="D838" i="16"/>
  <c r="AO838" i="13" s="1"/>
  <c r="E838" i="16"/>
  <c r="F838" i="16"/>
  <c r="G838" i="16"/>
  <c r="H838" i="16"/>
  <c r="I838" i="16"/>
  <c r="J838" i="16"/>
  <c r="K838" i="16"/>
  <c r="L838" i="16"/>
  <c r="M838" i="16"/>
  <c r="N838" i="16"/>
  <c r="O838" i="16"/>
  <c r="P838" i="16"/>
  <c r="Q838" i="16"/>
  <c r="AL838" i="13"/>
  <c r="A839" i="16"/>
  <c r="AU837" i="13"/>
  <c r="AP837" i="13"/>
  <c r="AR837" i="13"/>
  <c r="AV837" i="13" s="1"/>
  <c r="AQ837" i="13"/>
  <c r="AS837" i="13"/>
  <c r="AT837" i="13"/>
  <c r="AR838" i="13" l="1"/>
  <c r="AV838" i="13" s="1"/>
  <c r="AQ838" i="13"/>
  <c r="AT838" i="13"/>
  <c r="AP838" i="13"/>
  <c r="AS838" i="13"/>
  <c r="AU838" i="13"/>
  <c r="B839" i="16"/>
  <c r="AM839" i="13" s="1"/>
  <c r="C839" i="16"/>
  <c r="AN839" i="13" s="1"/>
  <c r="D839" i="16"/>
  <c r="AO839" i="13" s="1"/>
  <c r="E839" i="16"/>
  <c r="F839" i="16"/>
  <c r="G839" i="16"/>
  <c r="H839" i="16"/>
  <c r="I839" i="16"/>
  <c r="J839" i="16"/>
  <c r="K839" i="16"/>
  <c r="L839" i="16"/>
  <c r="M839" i="16"/>
  <c r="N839" i="16"/>
  <c r="O839" i="16"/>
  <c r="P839" i="16"/>
  <c r="Q839" i="16"/>
  <c r="AL839" i="13"/>
  <c r="A840" i="16"/>
  <c r="AR839" i="13" l="1"/>
  <c r="AV839" i="13" s="1"/>
  <c r="AU839" i="13"/>
  <c r="AQ839" i="13"/>
  <c r="AT839" i="13"/>
  <c r="AP839" i="13"/>
  <c r="AS839" i="13"/>
  <c r="B840" i="16"/>
  <c r="AM840" i="13" s="1"/>
  <c r="C840" i="16"/>
  <c r="AN840" i="13" s="1"/>
  <c r="D840" i="16"/>
  <c r="AO840" i="13" s="1"/>
  <c r="E840" i="16"/>
  <c r="F840" i="16"/>
  <c r="G840" i="16"/>
  <c r="H840" i="16"/>
  <c r="I840" i="16"/>
  <c r="J840" i="16"/>
  <c r="K840" i="16"/>
  <c r="L840" i="16"/>
  <c r="M840" i="16"/>
  <c r="N840" i="16"/>
  <c r="O840" i="16"/>
  <c r="P840" i="16"/>
  <c r="Q840" i="16"/>
  <c r="AL840" i="13"/>
  <c r="A841" i="16"/>
  <c r="AT840" i="13" l="1"/>
  <c r="AP840" i="13"/>
  <c r="AS840" i="13"/>
  <c r="AR840" i="13"/>
  <c r="AV840" i="13" s="1"/>
  <c r="AQ840" i="13"/>
  <c r="AU840" i="13"/>
  <c r="B841" i="16"/>
  <c r="AM841" i="13" s="1"/>
  <c r="C841" i="16"/>
  <c r="AN841" i="13" s="1"/>
  <c r="D841" i="16"/>
  <c r="AO841" i="13" s="1"/>
  <c r="E841" i="16"/>
  <c r="F841" i="16"/>
  <c r="G841" i="16"/>
  <c r="H841" i="16"/>
  <c r="I841" i="16"/>
  <c r="J841" i="16"/>
  <c r="K841" i="16"/>
  <c r="L841" i="16"/>
  <c r="M841" i="16"/>
  <c r="N841" i="16"/>
  <c r="O841" i="16"/>
  <c r="P841" i="16"/>
  <c r="Q841" i="16"/>
  <c r="AL841" i="13"/>
  <c r="A842" i="16"/>
  <c r="AP841" i="13" l="1"/>
  <c r="AQ841" i="13"/>
  <c r="AS841" i="13"/>
  <c r="AT841" i="13"/>
  <c r="AR841" i="13"/>
  <c r="AV841" i="13" s="1"/>
  <c r="AU841" i="13"/>
  <c r="B842" i="16"/>
  <c r="AM842" i="13" s="1"/>
  <c r="C842" i="16"/>
  <c r="AN842" i="13" s="1"/>
  <c r="D842" i="16"/>
  <c r="AO842" i="13" s="1"/>
  <c r="E842" i="16"/>
  <c r="F842" i="16"/>
  <c r="G842" i="16"/>
  <c r="H842" i="16"/>
  <c r="I842" i="16"/>
  <c r="J842" i="16"/>
  <c r="K842" i="16"/>
  <c r="L842" i="16"/>
  <c r="M842" i="16"/>
  <c r="N842" i="16"/>
  <c r="O842" i="16"/>
  <c r="P842" i="16"/>
  <c r="Q842" i="16"/>
  <c r="AL842" i="13"/>
  <c r="A843" i="16"/>
  <c r="AP842" i="13" l="1"/>
  <c r="AS842" i="13"/>
  <c r="AQ842" i="13"/>
  <c r="AU842" i="13"/>
  <c r="AR842" i="13"/>
  <c r="AV842" i="13" s="1"/>
  <c r="AT842" i="13"/>
  <c r="B843" i="16"/>
  <c r="AM843" i="13" s="1"/>
  <c r="C843" i="16"/>
  <c r="AN843" i="13" s="1"/>
  <c r="D843" i="16"/>
  <c r="AO843" i="13" s="1"/>
  <c r="E843" i="16"/>
  <c r="F843" i="16"/>
  <c r="G843" i="16"/>
  <c r="H843" i="16"/>
  <c r="I843" i="16"/>
  <c r="J843" i="16"/>
  <c r="K843" i="16"/>
  <c r="L843" i="16"/>
  <c r="M843" i="16"/>
  <c r="N843" i="16"/>
  <c r="O843" i="16"/>
  <c r="P843" i="16"/>
  <c r="Q843" i="16"/>
  <c r="AL843" i="13"/>
  <c r="A844" i="16"/>
  <c r="AS843" i="13" l="1"/>
  <c r="AP843" i="13"/>
  <c r="AR843" i="13"/>
  <c r="AV843" i="13" s="1"/>
  <c r="AQ843" i="13"/>
  <c r="AU843" i="13"/>
  <c r="AT843" i="13"/>
  <c r="A845" i="16"/>
  <c r="B844" i="16"/>
  <c r="AM844" i="13" s="1"/>
  <c r="C844" i="16"/>
  <c r="AN844" i="13" s="1"/>
  <c r="D844" i="16"/>
  <c r="AO844" i="13" s="1"/>
  <c r="E844" i="16"/>
  <c r="F844" i="16"/>
  <c r="G844" i="16"/>
  <c r="H844" i="16"/>
  <c r="I844" i="16"/>
  <c r="J844" i="16"/>
  <c r="K844" i="16"/>
  <c r="L844" i="16"/>
  <c r="M844" i="16"/>
  <c r="N844" i="16"/>
  <c r="O844" i="16"/>
  <c r="P844" i="16"/>
  <c r="Q844" i="16"/>
  <c r="AL844" i="13"/>
  <c r="B845" i="16" l="1"/>
  <c r="AM845" i="13" s="1"/>
  <c r="C845" i="16"/>
  <c r="AN845" i="13" s="1"/>
  <c r="D845" i="16"/>
  <c r="AO845" i="13" s="1"/>
  <c r="E845" i="16"/>
  <c r="F845" i="16"/>
  <c r="G845" i="16"/>
  <c r="H845" i="16"/>
  <c r="I845" i="16"/>
  <c r="J845" i="16"/>
  <c r="K845" i="16"/>
  <c r="L845" i="16"/>
  <c r="M845" i="16"/>
  <c r="N845" i="16"/>
  <c r="O845" i="16"/>
  <c r="P845" i="16"/>
  <c r="Q845" i="16"/>
  <c r="AL845" i="13"/>
  <c r="A846" i="16"/>
  <c r="AQ844" i="13"/>
  <c r="AP844" i="13"/>
  <c r="AR844" i="13"/>
  <c r="AV844" i="13" s="1"/>
  <c r="AU844" i="13"/>
  <c r="AS844" i="13"/>
  <c r="AT844" i="13"/>
  <c r="AS845" i="13" l="1"/>
  <c r="AQ845" i="13"/>
  <c r="AT845" i="13"/>
  <c r="AU845" i="13"/>
  <c r="AR845" i="13"/>
  <c r="AV845" i="13" s="1"/>
  <c r="AP845" i="13"/>
  <c r="B846" i="16"/>
  <c r="AM846" i="13" s="1"/>
  <c r="C846" i="16"/>
  <c r="AN846" i="13" s="1"/>
  <c r="D846" i="16"/>
  <c r="AO846" i="13" s="1"/>
  <c r="E846" i="16"/>
  <c r="F846" i="16"/>
  <c r="G846" i="16"/>
  <c r="H846" i="16"/>
  <c r="I846" i="16"/>
  <c r="J846" i="16"/>
  <c r="K846" i="16"/>
  <c r="L846" i="16"/>
  <c r="M846" i="16"/>
  <c r="N846" i="16"/>
  <c r="O846" i="16"/>
  <c r="P846" i="16"/>
  <c r="Q846" i="16"/>
  <c r="AL846" i="13"/>
  <c r="A847" i="16"/>
  <c r="AQ846" i="13" l="1"/>
  <c r="AR846" i="13"/>
  <c r="AV846" i="13" s="1"/>
  <c r="AU846" i="13"/>
  <c r="AP846" i="13"/>
  <c r="AT846" i="13"/>
  <c r="AS846" i="13"/>
  <c r="B847" i="16"/>
  <c r="AM847" i="13" s="1"/>
  <c r="C847" i="16"/>
  <c r="AN847" i="13" s="1"/>
  <c r="D847" i="16"/>
  <c r="AO847" i="13" s="1"/>
  <c r="E847" i="16"/>
  <c r="F847" i="16"/>
  <c r="G847" i="16"/>
  <c r="H847" i="16"/>
  <c r="I847" i="16"/>
  <c r="J847" i="16"/>
  <c r="K847" i="16"/>
  <c r="L847" i="16"/>
  <c r="M847" i="16"/>
  <c r="N847" i="16"/>
  <c r="O847" i="16"/>
  <c r="P847" i="16"/>
  <c r="Q847" i="16"/>
  <c r="AL847" i="13"/>
  <c r="A848" i="16"/>
  <c r="AR847" i="13" l="1"/>
  <c r="AV847" i="13" s="1"/>
  <c r="AT847" i="13"/>
  <c r="AQ847" i="13"/>
  <c r="AU847" i="13"/>
  <c r="AP847" i="13"/>
  <c r="AS847" i="13"/>
  <c r="A849" i="16"/>
  <c r="B848" i="16"/>
  <c r="AM848" i="13" s="1"/>
  <c r="C848" i="16"/>
  <c r="AN848" i="13" s="1"/>
  <c r="D848" i="16"/>
  <c r="AO848" i="13" s="1"/>
  <c r="E848" i="16"/>
  <c r="F848" i="16"/>
  <c r="G848" i="16"/>
  <c r="H848" i="16"/>
  <c r="I848" i="16"/>
  <c r="J848" i="16"/>
  <c r="K848" i="16"/>
  <c r="L848" i="16"/>
  <c r="M848" i="16"/>
  <c r="N848" i="16"/>
  <c r="O848" i="16"/>
  <c r="P848" i="16"/>
  <c r="Q848" i="16"/>
  <c r="AL848" i="13"/>
  <c r="B849" i="16" l="1"/>
  <c r="AM849" i="13" s="1"/>
  <c r="C849" i="16"/>
  <c r="AN849" i="13" s="1"/>
  <c r="D849" i="16"/>
  <c r="AO849" i="13" s="1"/>
  <c r="E849" i="16"/>
  <c r="F849" i="16"/>
  <c r="G849" i="16"/>
  <c r="H849" i="16"/>
  <c r="I849" i="16"/>
  <c r="J849" i="16"/>
  <c r="K849" i="16"/>
  <c r="L849" i="16"/>
  <c r="M849" i="16"/>
  <c r="N849" i="16"/>
  <c r="O849" i="16"/>
  <c r="P849" i="16"/>
  <c r="Q849" i="16"/>
  <c r="AL849" i="13"/>
  <c r="A850" i="16"/>
  <c r="AQ848" i="13"/>
  <c r="AR848" i="13"/>
  <c r="AV848" i="13" s="1"/>
  <c r="AT848" i="13"/>
  <c r="AU848" i="13"/>
  <c r="AP848" i="13"/>
  <c r="AS848" i="13"/>
  <c r="AQ849" i="13" l="1"/>
  <c r="AR849" i="13"/>
  <c r="AV849" i="13" s="1"/>
  <c r="AT849" i="13"/>
  <c r="AU849" i="13"/>
  <c r="AP849" i="13"/>
  <c r="AS849" i="13"/>
  <c r="A851" i="16"/>
  <c r="B850" i="16"/>
  <c r="AM850" i="13" s="1"/>
  <c r="C850" i="16"/>
  <c r="AN850" i="13" s="1"/>
  <c r="D850" i="16"/>
  <c r="AO850" i="13" s="1"/>
  <c r="E850" i="16"/>
  <c r="F850" i="16"/>
  <c r="G850" i="16"/>
  <c r="H850" i="16"/>
  <c r="I850" i="16"/>
  <c r="J850" i="16"/>
  <c r="K850" i="16"/>
  <c r="L850" i="16"/>
  <c r="M850" i="16"/>
  <c r="N850" i="16"/>
  <c r="O850" i="16"/>
  <c r="P850" i="16"/>
  <c r="Q850" i="16"/>
  <c r="AL850" i="13"/>
  <c r="B851" i="16" l="1"/>
  <c r="AM851" i="13" s="1"/>
  <c r="C851" i="16"/>
  <c r="AN851" i="13" s="1"/>
  <c r="D851" i="16"/>
  <c r="AO851" i="13" s="1"/>
  <c r="E851" i="16"/>
  <c r="F851" i="16"/>
  <c r="G851" i="16"/>
  <c r="H851" i="16"/>
  <c r="I851" i="16"/>
  <c r="J851" i="16"/>
  <c r="K851" i="16"/>
  <c r="L851" i="16"/>
  <c r="M851" i="16"/>
  <c r="N851" i="16"/>
  <c r="O851" i="16"/>
  <c r="P851" i="16"/>
  <c r="Q851" i="16"/>
  <c r="AL851" i="13"/>
  <c r="A852" i="16"/>
  <c r="AQ850" i="13"/>
  <c r="AU850" i="13"/>
  <c r="AP850" i="13"/>
  <c r="AR850" i="13"/>
  <c r="AV850" i="13" s="1"/>
  <c r="AT850" i="13"/>
  <c r="AS850" i="13"/>
  <c r="AS851" i="13" l="1"/>
  <c r="AU851" i="13"/>
  <c r="AT851" i="13"/>
  <c r="AP851" i="13"/>
  <c r="AR851" i="13"/>
  <c r="AV851" i="13" s="1"/>
  <c r="AQ851" i="13"/>
  <c r="B852" i="16"/>
  <c r="AM852" i="13" s="1"/>
  <c r="C852" i="16"/>
  <c r="AN852" i="13" s="1"/>
  <c r="D852" i="16"/>
  <c r="AO852" i="13" s="1"/>
  <c r="E852" i="16"/>
  <c r="F852" i="16"/>
  <c r="G852" i="16"/>
  <c r="H852" i="16"/>
  <c r="I852" i="16"/>
  <c r="J852" i="16"/>
  <c r="K852" i="16"/>
  <c r="L852" i="16"/>
  <c r="M852" i="16"/>
  <c r="N852" i="16"/>
  <c r="O852" i="16"/>
  <c r="P852" i="16"/>
  <c r="Q852" i="16"/>
  <c r="AL852" i="13"/>
  <c r="A853" i="16"/>
  <c r="AT852" i="13" l="1"/>
  <c r="AS852" i="13"/>
  <c r="AU852" i="13"/>
  <c r="AQ852" i="13"/>
  <c r="AP852" i="13"/>
  <c r="AR852" i="13"/>
  <c r="AV852" i="13" s="1"/>
  <c r="B853" i="16"/>
  <c r="AM853" i="13" s="1"/>
  <c r="C853" i="16"/>
  <c r="AN853" i="13" s="1"/>
  <c r="D853" i="16"/>
  <c r="AO853" i="13" s="1"/>
  <c r="E853" i="16"/>
  <c r="F853" i="16"/>
  <c r="G853" i="16"/>
  <c r="H853" i="16"/>
  <c r="I853" i="16"/>
  <c r="J853" i="16"/>
  <c r="K853" i="16"/>
  <c r="L853" i="16"/>
  <c r="M853" i="16"/>
  <c r="N853" i="16"/>
  <c r="O853" i="16"/>
  <c r="P853" i="16"/>
  <c r="Q853" i="16"/>
  <c r="AL853" i="13"/>
  <c r="A854" i="16"/>
  <c r="AS853" i="13" l="1"/>
  <c r="AT853" i="13"/>
  <c r="AP853" i="13"/>
  <c r="AR853" i="13"/>
  <c r="AV853" i="13" s="1"/>
  <c r="AU853" i="13"/>
  <c r="AQ853" i="13"/>
  <c r="B854" i="16"/>
  <c r="AM854" i="13" s="1"/>
  <c r="C854" i="16"/>
  <c r="AN854" i="13" s="1"/>
  <c r="D854" i="16"/>
  <c r="AO854" i="13" s="1"/>
  <c r="E854" i="16"/>
  <c r="F854" i="16"/>
  <c r="G854" i="16"/>
  <c r="H854" i="16"/>
  <c r="I854" i="16"/>
  <c r="J854" i="16"/>
  <c r="K854" i="16"/>
  <c r="L854" i="16"/>
  <c r="M854" i="16"/>
  <c r="N854" i="16"/>
  <c r="O854" i="16"/>
  <c r="P854" i="16"/>
  <c r="Q854" i="16"/>
  <c r="AL854" i="13"/>
  <c r="A855" i="16"/>
  <c r="AR854" i="13" l="1"/>
  <c r="AV854" i="13" s="1"/>
  <c r="AU854" i="13"/>
  <c r="AQ854" i="13"/>
  <c r="AS854" i="13"/>
  <c r="AT854" i="13"/>
  <c r="AP854" i="13"/>
  <c r="B855" i="16"/>
  <c r="AM855" i="13" s="1"/>
  <c r="C855" i="16"/>
  <c r="AN855" i="13" s="1"/>
  <c r="D855" i="16"/>
  <c r="AO855" i="13" s="1"/>
  <c r="E855" i="16"/>
  <c r="F855" i="16"/>
  <c r="G855" i="16"/>
  <c r="H855" i="16"/>
  <c r="I855" i="16"/>
  <c r="J855" i="16"/>
  <c r="K855" i="16"/>
  <c r="L855" i="16"/>
  <c r="M855" i="16"/>
  <c r="N855" i="16"/>
  <c r="O855" i="16"/>
  <c r="P855" i="16"/>
  <c r="Q855" i="16"/>
  <c r="AL855" i="13"/>
  <c r="A856" i="16"/>
  <c r="AQ855" i="13" l="1"/>
  <c r="AR855" i="13"/>
  <c r="AV855" i="13" s="1"/>
  <c r="AT855" i="13"/>
  <c r="AP855" i="13"/>
  <c r="AU855" i="13"/>
  <c r="AS855" i="13"/>
  <c r="B856" i="16"/>
  <c r="AM856" i="13" s="1"/>
  <c r="C856" i="16"/>
  <c r="AN856" i="13" s="1"/>
  <c r="D856" i="16"/>
  <c r="AO856" i="13" s="1"/>
  <c r="E856" i="16"/>
  <c r="F856" i="16"/>
  <c r="G856" i="16"/>
  <c r="H856" i="16"/>
  <c r="I856" i="16"/>
  <c r="J856" i="16"/>
  <c r="K856" i="16"/>
  <c r="L856" i="16"/>
  <c r="M856" i="16"/>
  <c r="N856" i="16"/>
  <c r="O856" i="16"/>
  <c r="P856" i="16"/>
  <c r="Q856" i="16"/>
  <c r="AL856" i="13"/>
  <c r="A857" i="16"/>
  <c r="AS856" i="13" l="1"/>
  <c r="AT856" i="13"/>
  <c r="AQ856" i="13"/>
  <c r="AR856" i="13"/>
  <c r="AV856" i="13" s="1"/>
  <c r="AU856" i="13"/>
  <c r="AP856" i="13"/>
  <c r="A858" i="16"/>
  <c r="B857" i="16"/>
  <c r="AM857" i="13" s="1"/>
  <c r="C857" i="16"/>
  <c r="AN857" i="13" s="1"/>
  <c r="D857" i="16"/>
  <c r="AO857" i="13" s="1"/>
  <c r="E857" i="16"/>
  <c r="F857" i="16"/>
  <c r="G857" i="16"/>
  <c r="H857" i="16"/>
  <c r="I857" i="16"/>
  <c r="J857" i="16"/>
  <c r="K857" i="16"/>
  <c r="L857" i="16"/>
  <c r="M857" i="16"/>
  <c r="N857" i="16"/>
  <c r="O857" i="16"/>
  <c r="P857" i="16"/>
  <c r="Q857" i="16"/>
  <c r="AL857" i="13"/>
  <c r="B858" i="16" l="1"/>
  <c r="AM858" i="13" s="1"/>
  <c r="C858" i="16"/>
  <c r="AN858" i="13" s="1"/>
  <c r="D858" i="16"/>
  <c r="AO858" i="13" s="1"/>
  <c r="E858" i="16"/>
  <c r="F858" i="16"/>
  <c r="G858" i="16"/>
  <c r="H858" i="16"/>
  <c r="I858" i="16"/>
  <c r="J858" i="16"/>
  <c r="K858" i="16"/>
  <c r="L858" i="16"/>
  <c r="M858" i="16"/>
  <c r="N858" i="16"/>
  <c r="O858" i="16"/>
  <c r="P858" i="16"/>
  <c r="Q858" i="16"/>
  <c r="AL858" i="13"/>
  <c r="A859" i="16"/>
  <c r="AT857" i="13"/>
  <c r="AR857" i="13"/>
  <c r="AV857" i="13" s="1"/>
  <c r="AP857" i="13"/>
  <c r="AU857" i="13"/>
  <c r="AQ857" i="13"/>
  <c r="AS857" i="13"/>
  <c r="AQ858" i="13" l="1"/>
  <c r="AU858" i="13"/>
  <c r="AR858" i="13"/>
  <c r="AV858" i="13" s="1"/>
  <c r="AT858" i="13"/>
  <c r="AS858" i="13"/>
  <c r="AP858" i="13"/>
  <c r="A860" i="16"/>
  <c r="B859" i="16"/>
  <c r="AM859" i="13" s="1"/>
  <c r="C859" i="16"/>
  <c r="AN859" i="13" s="1"/>
  <c r="D859" i="16"/>
  <c r="AO859" i="13" s="1"/>
  <c r="E859" i="16"/>
  <c r="F859" i="16"/>
  <c r="G859" i="16"/>
  <c r="H859" i="16"/>
  <c r="I859" i="16"/>
  <c r="J859" i="16"/>
  <c r="K859" i="16"/>
  <c r="L859" i="16"/>
  <c r="M859" i="16"/>
  <c r="N859" i="16"/>
  <c r="O859" i="16"/>
  <c r="P859" i="16"/>
  <c r="Q859" i="16"/>
  <c r="AL859" i="13"/>
  <c r="B860" i="16" l="1"/>
  <c r="AM860" i="13" s="1"/>
  <c r="C860" i="16"/>
  <c r="AN860" i="13" s="1"/>
  <c r="D860" i="16"/>
  <c r="AO860" i="13" s="1"/>
  <c r="E860" i="16"/>
  <c r="F860" i="16"/>
  <c r="G860" i="16"/>
  <c r="H860" i="16"/>
  <c r="I860" i="16"/>
  <c r="J860" i="16"/>
  <c r="K860" i="16"/>
  <c r="L860" i="16"/>
  <c r="M860" i="16"/>
  <c r="N860" i="16"/>
  <c r="O860" i="16"/>
  <c r="P860" i="16"/>
  <c r="Q860" i="16"/>
  <c r="AL860" i="13"/>
  <c r="A861" i="16"/>
  <c r="AQ859" i="13"/>
  <c r="AR859" i="13"/>
  <c r="AV859" i="13" s="1"/>
  <c r="AP859" i="13"/>
  <c r="AS859" i="13"/>
  <c r="AT859" i="13"/>
  <c r="AU859" i="13"/>
  <c r="AR860" i="13" l="1"/>
  <c r="AV860" i="13" s="1"/>
  <c r="AT860" i="13"/>
  <c r="AQ860" i="13"/>
  <c r="AS860" i="13"/>
  <c r="AP860" i="13"/>
  <c r="AU860" i="13"/>
  <c r="A862" i="16"/>
  <c r="B861" i="16"/>
  <c r="AM861" i="13" s="1"/>
  <c r="C861" i="16"/>
  <c r="AN861" i="13" s="1"/>
  <c r="D861" i="16"/>
  <c r="AO861" i="13" s="1"/>
  <c r="E861" i="16"/>
  <c r="F861" i="16"/>
  <c r="G861" i="16"/>
  <c r="H861" i="16"/>
  <c r="I861" i="16"/>
  <c r="J861" i="16"/>
  <c r="K861" i="16"/>
  <c r="L861" i="16"/>
  <c r="M861" i="16"/>
  <c r="N861" i="16"/>
  <c r="O861" i="16"/>
  <c r="P861" i="16"/>
  <c r="Q861" i="16"/>
  <c r="AL861" i="13"/>
  <c r="B862" i="16" l="1"/>
  <c r="AM862" i="13" s="1"/>
  <c r="C862" i="16"/>
  <c r="AN862" i="13" s="1"/>
  <c r="D862" i="16"/>
  <c r="AO862" i="13" s="1"/>
  <c r="E862" i="16"/>
  <c r="F862" i="16"/>
  <c r="G862" i="16"/>
  <c r="H862" i="16"/>
  <c r="I862" i="16"/>
  <c r="J862" i="16"/>
  <c r="K862" i="16"/>
  <c r="L862" i="16"/>
  <c r="M862" i="16"/>
  <c r="N862" i="16"/>
  <c r="O862" i="16"/>
  <c r="P862" i="16"/>
  <c r="Q862" i="16"/>
  <c r="AL862" i="13"/>
  <c r="A863" i="16"/>
  <c r="AQ861" i="13"/>
  <c r="AS861" i="13"/>
  <c r="AP861" i="13"/>
  <c r="AU861" i="13"/>
  <c r="AR861" i="13"/>
  <c r="AV861" i="13" s="1"/>
  <c r="AT861" i="13"/>
  <c r="AQ862" i="13" l="1"/>
  <c r="AS862" i="13"/>
  <c r="AU862" i="13"/>
  <c r="AT862" i="13"/>
  <c r="AP862" i="13"/>
  <c r="AR862" i="13"/>
  <c r="AV862" i="13" s="1"/>
  <c r="B863" i="16"/>
  <c r="AM863" i="13" s="1"/>
  <c r="C863" i="16"/>
  <c r="AN863" i="13" s="1"/>
  <c r="D863" i="16"/>
  <c r="AO863" i="13" s="1"/>
  <c r="E863" i="16"/>
  <c r="F863" i="16"/>
  <c r="G863" i="16"/>
  <c r="H863" i="16"/>
  <c r="I863" i="16"/>
  <c r="J863" i="16"/>
  <c r="K863" i="16"/>
  <c r="L863" i="16"/>
  <c r="M863" i="16"/>
  <c r="N863" i="16"/>
  <c r="O863" i="16"/>
  <c r="P863" i="16"/>
  <c r="Q863" i="16"/>
  <c r="AL863" i="13"/>
  <c r="A864" i="16"/>
  <c r="AQ863" i="13" l="1"/>
  <c r="AS863" i="13"/>
  <c r="AT863" i="13"/>
  <c r="AP863" i="13"/>
  <c r="AR863" i="13"/>
  <c r="AV863" i="13" s="1"/>
  <c r="AU863" i="13"/>
  <c r="A865" i="16"/>
  <c r="B864" i="16"/>
  <c r="AM864" i="13" s="1"/>
  <c r="C864" i="16"/>
  <c r="AN864" i="13" s="1"/>
  <c r="D864" i="16"/>
  <c r="AO864" i="13" s="1"/>
  <c r="E864" i="16"/>
  <c r="F864" i="16"/>
  <c r="G864" i="16"/>
  <c r="H864" i="16"/>
  <c r="I864" i="16"/>
  <c r="J864" i="16"/>
  <c r="K864" i="16"/>
  <c r="L864" i="16"/>
  <c r="M864" i="16"/>
  <c r="N864" i="16"/>
  <c r="O864" i="16"/>
  <c r="P864" i="16"/>
  <c r="Q864" i="16"/>
  <c r="AL864" i="13"/>
  <c r="B865" i="16" l="1"/>
  <c r="AM865" i="13" s="1"/>
  <c r="C865" i="16"/>
  <c r="AN865" i="13" s="1"/>
  <c r="D865" i="16"/>
  <c r="AO865" i="13" s="1"/>
  <c r="E865" i="16"/>
  <c r="F865" i="16"/>
  <c r="G865" i="16"/>
  <c r="H865" i="16"/>
  <c r="I865" i="16"/>
  <c r="J865" i="16"/>
  <c r="K865" i="16"/>
  <c r="L865" i="16"/>
  <c r="M865" i="16"/>
  <c r="N865" i="16"/>
  <c r="O865" i="16"/>
  <c r="P865" i="16"/>
  <c r="Q865" i="16"/>
  <c r="AL865" i="13"/>
  <c r="A866" i="16"/>
  <c r="AS864" i="13"/>
  <c r="AP864" i="13"/>
  <c r="AQ864" i="13"/>
  <c r="AT864" i="13"/>
  <c r="AU864" i="13"/>
  <c r="AR864" i="13"/>
  <c r="AV864" i="13" s="1"/>
  <c r="AS865" i="13" l="1"/>
  <c r="AQ865" i="13"/>
  <c r="AP865" i="13"/>
  <c r="AR865" i="13"/>
  <c r="AV865" i="13" s="1"/>
  <c r="AU865" i="13"/>
  <c r="AT865" i="13"/>
  <c r="B866" i="16"/>
  <c r="AM866" i="13" s="1"/>
  <c r="C866" i="16"/>
  <c r="AN866" i="13" s="1"/>
  <c r="D866" i="16"/>
  <c r="AO866" i="13" s="1"/>
  <c r="E866" i="16"/>
  <c r="F866" i="16"/>
  <c r="G866" i="16"/>
  <c r="H866" i="16"/>
  <c r="I866" i="16"/>
  <c r="J866" i="16"/>
  <c r="K866" i="16"/>
  <c r="L866" i="16"/>
  <c r="M866" i="16"/>
  <c r="N866" i="16"/>
  <c r="O866" i="16"/>
  <c r="P866" i="16"/>
  <c r="Q866" i="16"/>
  <c r="AL866" i="13"/>
  <c r="A867" i="16"/>
  <c r="AR866" i="13" l="1"/>
  <c r="AV866" i="13" s="1"/>
  <c r="AT866" i="13"/>
  <c r="AP866" i="13"/>
  <c r="AU866" i="13"/>
  <c r="AQ866" i="13"/>
  <c r="AS866" i="13"/>
  <c r="A868" i="16"/>
  <c r="B867" i="16"/>
  <c r="AM867" i="13" s="1"/>
  <c r="C867" i="16"/>
  <c r="AN867" i="13" s="1"/>
  <c r="D867" i="16"/>
  <c r="AO867" i="13" s="1"/>
  <c r="E867" i="16"/>
  <c r="F867" i="16"/>
  <c r="G867" i="16"/>
  <c r="H867" i="16"/>
  <c r="I867" i="16"/>
  <c r="J867" i="16"/>
  <c r="K867" i="16"/>
  <c r="L867" i="16"/>
  <c r="M867" i="16"/>
  <c r="N867" i="16"/>
  <c r="O867" i="16"/>
  <c r="P867" i="16"/>
  <c r="Q867" i="16"/>
  <c r="AL867" i="13"/>
  <c r="B868" i="16" l="1"/>
  <c r="AM868" i="13" s="1"/>
  <c r="C868" i="16"/>
  <c r="AN868" i="13" s="1"/>
  <c r="D868" i="16"/>
  <c r="AO868" i="13" s="1"/>
  <c r="E868" i="16"/>
  <c r="F868" i="16"/>
  <c r="G868" i="16"/>
  <c r="H868" i="16"/>
  <c r="I868" i="16"/>
  <c r="J868" i="16"/>
  <c r="K868" i="16"/>
  <c r="L868" i="16"/>
  <c r="M868" i="16"/>
  <c r="N868" i="16"/>
  <c r="O868" i="16"/>
  <c r="P868" i="16"/>
  <c r="Q868" i="16"/>
  <c r="AL868" i="13"/>
  <c r="A869" i="16"/>
  <c r="AQ867" i="13"/>
  <c r="AR867" i="13"/>
  <c r="AV867" i="13" s="1"/>
  <c r="AU867" i="13"/>
  <c r="AP867" i="13"/>
  <c r="AS867" i="13"/>
  <c r="AT867" i="13"/>
  <c r="AU868" i="13" l="1"/>
  <c r="AP868" i="13"/>
  <c r="AS868" i="13"/>
  <c r="AQ868" i="13"/>
  <c r="AR868" i="13"/>
  <c r="AV868" i="13" s="1"/>
  <c r="AT868" i="13"/>
  <c r="A870" i="16"/>
  <c r="B869" i="16"/>
  <c r="AM869" i="13" s="1"/>
  <c r="C869" i="16"/>
  <c r="AN869" i="13" s="1"/>
  <c r="D869" i="16"/>
  <c r="AO869" i="13" s="1"/>
  <c r="E869" i="16"/>
  <c r="F869" i="16"/>
  <c r="G869" i="16"/>
  <c r="H869" i="16"/>
  <c r="I869" i="16"/>
  <c r="J869" i="16"/>
  <c r="K869" i="16"/>
  <c r="L869" i="16"/>
  <c r="M869" i="16"/>
  <c r="N869" i="16"/>
  <c r="O869" i="16"/>
  <c r="P869" i="16"/>
  <c r="Q869" i="16"/>
  <c r="AL869" i="13"/>
  <c r="A871" i="16" l="1"/>
  <c r="B870" i="16"/>
  <c r="AM870" i="13" s="1"/>
  <c r="C870" i="16"/>
  <c r="AN870" i="13" s="1"/>
  <c r="D870" i="16"/>
  <c r="AO870" i="13" s="1"/>
  <c r="E870" i="16"/>
  <c r="F870" i="16"/>
  <c r="G870" i="16"/>
  <c r="H870" i="16"/>
  <c r="I870" i="16"/>
  <c r="J870" i="16"/>
  <c r="K870" i="16"/>
  <c r="L870" i="16"/>
  <c r="M870" i="16"/>
  <c r="N870" i="16"/>
  <c r="O870" i="16"/>
  <c r="P870" i="16"/>
  <c r="Q870" i="16"/>
  <c r="AL870" i="13"/>
  <c r="AP869" i="13"/>
  <c r="AR869" i="13"/>
  <c r="AV869" i="13" s="1"/>
  <c r="AQ869" i="13"/>
  <c r="AT869" i="13"/>
  <c r="AU869" i="13"/>
  <c r="AS869" i="13"/>
  <c r="B871" i="16" l="1"/>
  <c r="AM871" i="13" s="1"/>
  <c r="C871" i="16"/>
  <c r="AN871" i="13" s="1"/>
  <c r="D871" i="16"/>
  <c r="AO871" i="13" s="1"/>
  <c r="E871" i="16"/>
  <c r="F871" i="16"/>
  <c r="G871" i="16"/>
  <c r="H871" i="16"/>
  <c r="I871" i="16"/>
  <c r="J871" i="16"/>
  <c r="K871" i="16"/>
  <c r="L871" i="16"/>
  <c r="M871" i="16"/>
  <c r="N871" i="16"/>
  <c r="O871" i="16"/>
  <c r="P871" i="16"/>
  <c r="Q871" i="16"/>
  <c r="AL871" i="13"/>
  <c r="A872" i="16"/>
  <c r="AQ870" i="13"/>
  <c r="AR870" i="13"/>
  <c r="AV870" i="13" s="1"/>
  <c r="AS870" i="13"/>
  <c r="AP870" i="13"/>
  <c r="AU870" i="13"/>
  <c r="AT870" i="13"/>
  <c r="AR871" i="13" l="1"/>
  <c r="AV871" i="13" s="1"/>
  <c r="AS871" i="13"/>
  <c r="AT871" i="13"/>
  <c r="AQ871" i="13"/>
  <c r="AP871" i="13"/>
  <c r="AU871" i="13"/>
  <c r="B872" i="16"/>
  <c r="AM872" i="13" s="1"/>
  <c r="C872" i="16"/>
  <c r="AN872" i="13" s="1"/>
  <c r="D872" i="16"/>
  <c r="AO872" i="13" s="1"/>
  <c r="E872" i="16"/>
  <c r="F872" i="16"/>
  <c r="G872" i="16"/>
  <c r="H872" i="16"/>
  <c r="I872" i="16"/>
  <c r="J872" i="16"/>
  <c r="K872" i="16"/>
  <c r="L872" i="16"/>
  <c r="M872" i="16"/>
  <c r="N872" i="16"/>
  <c r="O872" i="16"/>
  <c r="P872" i="16"/>
  <c r="Q872" i="16"/>
  <c r="AL872" i="13"/>
  <c r="A873" i="16"/>
  <c r="AP872" i="13" l="1"/>
  <c r="AT872" i="13"/>
  <c r="AQ872" i="13"/>
  <c r="AR872" i="13"/>
  <c r="AV872" i="13" s="1"/>
  <c r="AS872" i="13"/>
  <c r="AU872" i="13"/>
  <c r="B873" i="16"/>
  <c r="AM873" i="13" s="1"/>
  <c r="C873" i="16"/>
  <c r="AN873" i="13" s="1"/>
  <c r="D873" i="16"/>
  <c r="AO873" i="13" s="1"/>
  <c r="E873" i="16"/>
  <c r="F873" i="16"/>
  <c r="G873" i="16"/>
  <c r="H873" i="16"/>
  <c r="I873" i="16"/>
  <c r="J873" i="16"/>
  <c r="K873" i="16"/>
  <c r="L873" i="16"/>
  <c r="M873" i="16"/>
  <c r="N873" i="16"/>
  <c r="O873" i="16"/>
  <c r="P873" i="16"/>
  <c r="Q873" i="16"/>
  <c r="AL873" i="13"/>
  <c r="A874" i="16"/>
  <c r="AQ873" i="13" l="1"/>
  <c r="AP873" i="13"/>
  <c r="AR873" i="13"/>
  <c r="AV873" i="13" s="1"/>
  <c r="AT873" i="13"/>
  <c r="AS873" i="13"/>
  <c r="AU873" i="13"/>
  <c r="B874" i="16"/>
  <c r="AM874" i="13" s="1"/>
  <c r="C874" i="16"/>
  <c r="AN874" i="13" s="1"/>
  <c r="D874" i="16"/>
  <c r="AO874" i="13" s="1"/>
  <c r="E874" i="16"/>
  <c r="F874" i="16"/>
  <c r="G874" i="16"/>
  <c r="H874" i="16"/>
  <c r="I874" i="16"/>
  <c r="J874" i="16"/>
  <c r="K874" i="16"/>
  <c r="L874" i="16"/>
  <c r="M874" i="16"/>
  <c r="N874" i="16"/>
  <c r="O874" i="16"/>
  <c r="P874" i="16"/>
  <c r="Q874" i="16"/>
  <c r="AL874" i="13"/>
  <c r="A875" i="16"/>
  <c r="AS874" i="13" l="1"/>
  <c r="AT874" i="13"/>
  <c r="AU874" i="13"/>
  <c r="AQ874" i="13"/>
  <c r="AR874" i="13"/>
  <c r="AV874" i="13" s="1"/>
  <c r="AP874" i="13"/>
  <c r="A876" i="16"/>
  <c r="B875" i="16"/>
  <c r="AM875" i="13" s="1"/>
  <c r="C875" i="16"/>
  <c r="AN875" i="13" s="1"/>
  <c r="D875" i="16"/>
  <c r="AO875" i="13" s="1"/>
  <c r="E875" i="16"/>
  <c r="F875" i="16"/>
  <c r="G875" i="16"/>
  <c r="H875" i="16"/>
  <c r="I875" i="16"/>
  <c r="J875" i="16"/>
  <c r="K875" i="16"/>
  <c r="L875" i="16"/>
  <c r="M875" i="16"/>
  <c r="N875" i="16"/>
  <c r="O875" i="16"/>
  <c r="P875" i="16"/>
  <c r="Q875" i="16"/>
  <c r="AL875" i="13"/>
  <c r="B876" i="16" l="1"/>
  <c r="AM876" i="13" s="1"/>
  <c r="C876" i="16"/>
  <c r="AN876" i="13" s="1"/>
  <c r="D876" i="16"/>
  <c r="AO876" i="13" s="1"/>
  <c r="E876" i="16"/>
  <c r="F876" i="16"/>
  <c r="G876" i="16"/>
  <c r="H876" i="16"/>
  <c r="I876" i="16"/>
  <c r="J876" i="16"/>
  <c r="K876" i="16"/>
  <c r="L876" i="16"/>
  <c r="M876" i="16"/>
  <c r="N876" i="16"/>
  <c r="O876" i="16"/>
  <c r="P876" i="16"/>
  <c r="Q876" i="16"/>
  <c r="AL876" i="13"/>
  <c r="A877" i="16"/>
  <c r="AS875" i="13"/>
  <c r="AP875" i="13"/>
  <c r="AR875" i="13"/>
  <c r="AV875" i="13" s="1"/>
  <c r="AQ875" i="13"/>
  <c r="AT875" i="13"/>
  <c r="AU875" i="13"/>
  <c r="AR876" i="13" l="1"/>
  <c r="AV876" i="13" s="1"/>
  <c r="AQ876" i="13"/>
  <c r="AU876" i="13"/>
  <c r="AP876" i="13"/>
  <c r="AS876" i="13"/>
  <c r="AT876" i="13"/>
  <c r="A878" i="16"/>
  <c r="B877" i="16"/>
  <c r="AM877" i="13" s="1"/>
  <c r="C877" i="16"/>
  <c r="AN877" i="13" s="1"/>
  <c r="D877" i="16"/>
  <c r="AO877" i="13" s="1"/>
  <c r="E877" i="16"/>
  <c r="F877" i="16"/>
  <c r="G877" i="16"/>
  <c r="H877" i="16"/>
  <c r="I877" i="16"/>
  <c r="J877" i="16"/>
  <c r="K877" i="16"/>
  <c r="L877" i="16"/>
  <c r="M877" i="16"/>
  <c r="N877" i="16"/>
  <c r="O877" i="16"/>
  <c r="P877" i="16"/>
  <c r="Q877" i="16"/>
  <c r="AL877" i="13"/>
  <c r="B878" i="16" l="1"/>
  <c r="AM878" i="13" s="1"/>
  <c r="C878" i="16"/>
  <c r="AN878" i="13" s="1"/>
  <c r="D878" i="16"/>
  <c r="AO878" i="13" s="1"/>
  <c r="E878" i="16"/>
  <c r="F878" i="16"/>
  <c r="G878" i="16"/>
  <c r="H878" i="16"/>
  <c r="I878" i="16"/>
  <c r="J878" i="16"/>
  <c r="K878" i="16"/>
  <c r="L878" i="16"/>
  <c r="M878" i="16"/>
  <c r="N878" i="16"/>
  <c r="O878" i="16"/>
  <c r="P878" i="16"/>
  <c r="Q878" i="16"/>
  <c r="AL878" i="13"/>
  <c r="A879" i="16"/>
  <c r="AR877" i="13"/>
  <c r="AV877" i="13" s="1"/>
  <c r="AT877" i="13"/>
  <c r="AQ877" i="13"/>
  <c r="AP877" i="13"/>
  <c r="AS877" i="13"/>
  <c r="AU877" i="13"/>
  <c r="AS878" i="13" l="1"/>
  <c r="AU878" i="13"/>
  <c r="AR878" i="13"/>
  <c r="AV878" i="13" s="1"/>
  <c r="AQ878" i="13"/>
  <c r="AT878" i="13"/>
  <c r="AP878" i="13"/>
  <c r="B879" i="16"/>
  <c r="AM879" i="13" s="1"/>
  <c r="C879" i="16"/>
  <c r="AN879" i="13" s="1"/>
  <c r="D879" i="16"/>
  <c r="AO879" i="13" s="1"/>
  <c r="E879" i="16"/>
  <c r="F879" i="16"/>
  <c r="G879" i="16"/>
  <c r="H879" i="16"/>
  <c r="I879" i="16"/>
  <c r="J879" i="16"/>
  <c r="K879" i="16"/>
  <c r="L879" i="16"/>
  <c r="M879" i="16"/>
  <c r="N879" i="16"/>
  <c r="O879" i="16"/>
  <c r="P879" i="16"/>
  <c r="Q879" i="16"/>
  <c r="AL879" i="13"/>
  <c r="A880" i="16"/>
  <c r="AP879" i="13" l="1"/>
  <c r="AS879" i="13"/>
  <c r="AT879" i="13"/>
  <c r="AU879" i="13"/>
  <c r="AQ879" i="13"/>
  <c r="AR879" i="13"/>
  <c r="AV879" i="13" s="1"/>
  <c r="A881" i="16"/>
  <c r="B880" i="16"/>
  <c r="AM880" i="13" s="1"/>
  <c r="C880" i="16"/>
  <c r="AN880" i="13" s="1"/>
  <c r="D880" i="16"/>
  <c r="AO880" i="13" s="1"/>
  <c r="E880" i="16"/>
  <c r="F880" i="16"/>
  <c r="G880" i="16"/>
  <c r="H880" i="16"/>
  <c r="I880" i="16"/>
  <c r="J880" i="16"/>
  <c r="K880" i="16"/>
  <c r="L880" i="16"/>
  <c r="M880" i="16"/>
  <c r="N880" i="16"/>
  <c r="O880" i="16"/>
  <c r="P880" i="16"/>
  <c r="Q880" i="16"/>
  <c r="AL880" i="13"/>
  <c r="A882" i="16" l="1"/>
  <c r="B881" i="16"/>
  <c r="AM881" i="13" s="1"/>
  <c r="C881" i="16"/>
  <c r="AN881" i="13" s="1"/>
  <c r="D881" i="16"/>
  <c r="AO881" i="13" s="1"/>
  <c r="E881" i="16"/>
  <c r="F881" i="16"/>
  <c r="G881" i="16"/>
  <c r="H881" i="16"/>
  <c r="I881" i="16"/>
  <c r="J881" i="16"/>
  <c r="K881" i="16"/>
  <c r="L881" i="16"/>
  <c r="M881" i="16"/>
  <c r="N881" i="16"/>
  <c r="O881" i="16"/>
  <c r="P881" i="16"/>
  <c r="Q881" i="16"/>
  <c r="AL881" i="13"/>
  <c r="AS880" i="13"/>
  <c r="AT880" i="13"/>
  <c r="AP880" i="13"/>
  <c r="AR880" i="13"/>
  <c r="AV880" i="13" s="1"/>
  <c r="AU880" i="13"/>
  <c r="AQ880" i="13"/>
  <c r="B882" i="16" l="1"/>
  <c r="AM882" i="13" s="1"/>
  <c r="C882" i="16"/>
  <c r="AN882" i="13" s="1"/>
  <c r="D882" i="16"/>
  <c r="AO882" i="13" s="1"/>
  <c r="E882" i="16"/>
  <c r="F882" i="16"/>
  <c r="G882" i="16"/>
  <c r="H882" i="16"/>
  <c r="I882" i="16"/>
  <c r="J882" i="16"/>
  <c r="K882" i="16"/>
  <c r="L882" i="16"/>
  <c r="M882" i="16"/>
  <c r="N882" i="16"/>
  <c r="O882" i="16"/>
  <c r="P882" i="16"/>
  <c r="Q882" i="16"/>
  <c r="AL882" i="13"/>
  <c r="A883" i="16"/>
  <c r="AR881" i="13"/>
  <c r="AV881" i="13" s="1"/>
  <c r="AQ881" i="13"/>
  <c r="AT881" i="13"/>
  <c r="AU881" i="13"/>
  <c r="AP881" i="13"/>
  <c r="AS881" i="13"/>
  <c r="AP882" i="13" l="1"/>
  <c r="AT882" i="13"/>
  <c r="AU882" i="13"/>
  <c r="AS882" i="13"/>
  <c r="AQ882" i="13"/>
  <c r="AR882" i="13"/>
  <c r="AV882" i="13" s="1"/>
  <c r="B883" i="16"/>
  <c r="AM883" i="13" s="1"/>
  <c r="C883" i="16"/>
  <c r="AN883" i="13" s="1"/>
  <c r="D883" i="16"/>
  <c r="AO883" i="13" s="1"/>
  <c r="E883" i="16"/>
  <c r="F883" i="16"/>
  <c r="G883" i="16"/>
  <c r="H883" i="16"/>
  <c r="I883" i="16"/>
  <c r="J883" i="16"/>
  <c r="K883" i="16"/>
  <c r="L883" i="16"/>
  <c r="M883" i="16"/>
  <c r="N883" i="16"/>
  <c r="O883" i="16"/>
  <c r="P883" i="16"/>
  <c r="Q883" i="16"/>
  <c r="AL883" i="13"/>
  <c r="A884" i="16"/>
  <c r="AP883" i="13" l="1"/>
  <c r="AQ883" i="13"/>
  <c r="AR883" i="13"/>
  <c r="AV883" i="13" s="1"/>
  <c r="AS883" i="13"/>
  <c r="AU883" i="13"/>
  <c r="AT883" i="13"/>
  <c r="B884" i="16"/>
  <c r="AM884" i="13" s="1"/>
  <c r="C884" i="16"/>
  <c r="AN884" i="13" s="1"/>
  <c r="D884" i="16"/>
  <c r="AO884" i="13" s="1"/>
  <c r="E884" i="16"/>
  <c r="F884" i="16"/>
  <c r="G884" i="16"/>
  <c r="H884" i="16"/>
  <c r="I884" i="16"/>
  <c r="J884" i="16"/>
  <c r="K884" i="16"/>
  <c r="L884" i="16"/>
  <c r="M884" i="16"/>
  <c r="N884" i="16"/>
  <c r="O884" i="16"/>
  <c r="P884" i="16"/>
  <c r="Q884" i="16"/>
  <c r="AL884" i="13"/>
  <c r="A885" i="16"/>
  <c r="AR884" i="13" l="1"/>
  <c r="AV884" i="13" s="1"/>
  <c r="AP884" i="13"/>
  <c r="AT884" i="13"/>
  <c r="AU884" i="13"/>
  <c r="AQ884" i="13"/>
  <c r="AS884" i="13"/>
  <c r="A886" i="16"/>
  <c r="B885" i="16"/>
  <c r="AM885" i="13" s="1"/>
  <c r="C885" i="16"/>
  <c r="AN885" i="13" s="1"/>
  <c r="D885" i="16"/>
  <c r="AO885" i="13" s="1"/>
  <c r="E885" i="16"/>
  <c r="F885" i="16"/>
  <c r="G885" i="16"/>
  <c r="H885" i="16"/>
  <c r="I885" i="16"/>
  <c r="J885" i="16"/>
  <c r="K885" i="16"/>
  <c r="L885" i="16"/>
  <c r="M885" i="16"/>
  <c r="N885" i="16"/>
  <c r="O885" i="16"/>
  <c r="P885" i="16"/>
  <c r="Q885" i="16"/>
  <c r="AL885" i="13"/>
  <c r="B886" i="16" l="1"/>
  <c r="AM886" i="13" s="1"/>
  <c r="C886" i="16"/>
  <c r="AN886" i="13" s="1"/>
  <c r="D886" i="16"/>
  <c r="AO886" i="13" s="1"/>
  <c r="E886" i="16"/>
  <c r="F886" i="16"/>
  <c r="G886" i="16"/>
  <c r="H886" i="16"/>
  <c r="I886" i="16"/>
  <c r="J886" i="16"/>
  <c r="K886" i="16"/>
  <c r="L886" i="16"/>
  <c r="M886" i="16"/>
  <c r="N886" i="16"/>
  <c r="O886" i="16"/>
  <c r="P886" i="16"/>
  <c r="Q886" i="16"/>
  <c r="AL886" i="13"/>
  <c r="A887" i="16"/>
  <c r="AP885" i="13"/>
  <c r="AS885" i="13"/>
  <c r="AU885" i="13"/>
  <c r="AR885" i="13"/>
  <c r="AV885" i="13" s="1"/>
  <c r="AT885" i="13"/>
  <c r="AQ885" i="13"/>
  <c r="AP886" i="13" l="1"/>
  <c r="AS886" i="13"/>
  <c r="AQ886" i="13"/>
  <c r="AR886" i="13"/>
  <c r="AV886" i="13" s="1"/>
  <c r="AT886" i="13"/>
  <c r="AU886" i="13"/>
  <c r="B887" i="16"/>
  <c r="AM887" i="13" s="1"/>
  <c r="C887" i="16"/>
  <c r="AN887" i="13" s="1"/>
  <c r="D887" i="16"/>
  <c r="AO887" i="13" s="1"/>
  <c r="E887" i="16"/>
  <c r="F887" i="16"/>
  <c r="G887" i="16"/>
  <c r="H887" i="16"/>
  <c r="I887" i="16"/>
  <c r="J887" i="16"/>
  <c r="K887" i="16"/>
  <c r="L887" i="16"/>
  <c r="M887" i="16"/>
  <c r="N887" i="16"/>
  <c r="O887" i="16"/>
  <c r="P887" i="16"/>
  <c r="Q887" i="16"/>
  <c r="AL887" i="13"/>
  <c r="A888" i="16"/>
  <c r="AQ887" i="13" l="1"/>
  <c r="AT887" i="13"/>
  <c r="AP887" i="13"/>
  <c r="AR887" i="13"/>
  <c r="AV887" i="13" s="1"/>
  <c r="AU887" i="13"/>
  <c r="AS887" i="13"/>
  <c r="B888" i="16"/>
  <c r="AM888" i="13" s="1"/>
  <c r="C888" i="16"/>
  <c r="AN888" i="13" s="1"/>
  <c r="D888" i="16"/>
  <c r="AO888" i="13" s="1"/>
  <c r="E888" i="16"/>
  <c r="F888" i="16"/>
  <c r="G888" i="16"/>
  <c r="H888" i="16"/>
  <c r="I888" i="16"/>
  <c r="J888" i="16"/>
  <c r="K888" i="16"/>
  <c r="L888" i="16"/>
  <c r="M888" i="16"/>
  <c r="N888" i="16"/>
  <c r="O888" i="16"/>
  <c r="P888" i="16"/>
  <c r="Q888" i="16"/>
  <c r="AL888" i="13"/>
  <c r="A889" i="16"/>
  <c r="AQ888" i="13" l="1"/>
  <c r="AP888" i="13"/>
  <c r="AS888" i="13"/>
  <c r="AR888" i="13"/>
  <c r="AV888" i="13" s="1"/>
  <c r="AT888" i="13"/>
  <c r="AU888" i="13"/>
  <c r="A890" i="16"/>
  <c r="B889" i="16"/>
  <c r="AM889" i="13" s="1"/>
  <c r="C889" i="16"/>
  <c r="AN889" i="13" s="1"/>
  <c r="D889" i="16"/>
  <c r="AO889" i="13" s="1"/>
  <c r="E889" i="16"/>
  <c r="F889" i="16"/>
  <c r="G889" i="16"/>
  <c r="H889" i="16"/>
  <c r="I889" i="16"/>
  <c r="J889" i="16"/>
  <c r="K889" i="16"/>
  <c r="L889" i="16"/>
  <c r="M889" i="16"/>
  <c r="N889" i="16"/>
  <c r="O889" i="16"/>
  <c r="P889" i="16"/>
  <c r="Q889" i="16"/>
  <c r="AL889" i="13"/>
  <c r="B890" i="16" l="1"/>
  <c r="AM890" i="13" s="1"/>
  <c r="C890" i="16"/>
  <c r="AN890" i="13" s="1"/>
  <c r="D890" i="16"/>
  <c r="AO890" i="13" s="1"/>
  <c r="E890" i="16"/>
  <c r="F890" i="16"/>
  <c r="G890" i="16"/>
  <c r="H890" i="16"/>
  <c r="I890" i="16"/>
  <c r="J890" i="16"/>
  <c r="K890" i="16"/>
  <c r="L890" i="16"/>
  <c r="M890" i="16"/>
  <c r="N890" i="16"/>
  <c r="O890" i="16"/>
  <c r="P890" i="16"/>
  <c r="Q890" i="16"/>
  <c r="AL890" i="13"/>
  <c r="A891" i="16"/>
  <c r="AP889" i="13"/>
  <c r="AT889" i="13"/>
  <c r="AR889" i="13"/>
  <c r="AV889" i="13" s="1"/>
  <c r="AU889" i="13"/>
  <c r="AQ889" i="13"/>
  <c r="AS889" i="13"/>
  <c r="AT890" i="13" l="1"/>
  <c r="AU890" i="13"/>
  <c r="AS890" i="13"/>
  <c r="AR890" i="13"/>
  <c r="AV890" i="13" s="1"/>
  <c r="AP890" i="13"/>
  <c r="AQ890" i="13"/>
  <c r="B891" i="16"/>
  <c r="AM891" i="13" s="1"/>
  <c r="C891" i="16"/>
  <c r="AN891" i="13" s="1"/>
  <c r="D891" i="16"/>
  <c r="AO891" i="13" s="1"/>
  <c r="E891" i="16"/>
  <c r="F891" i="16"/>
  <c r="G891" i="16"/>
  <c r="H891" i="16"/>
  <c r="I891" i="16"/>
  <c r="J891" i="16"/>
  <c r="K891" i="16"/>
  <c r="L891" i="16"/>
  <c r="M891" i="16"/>
  <c r="N891" i="16"/>
  <c r="O891" i="16"/>
  <c r="P891" i="16"/>
  <c r="Q891" i="16"/>
  <c r="AL891" i="13"/>
  <c r="A892" i="16"/>
  <c r="AQ891" i="13" l="1"/>
  <c r="AT891" i="13"/>
  <c r="AP891" i="13"/>
  <c r="AR891" i="13"/>
  <c r="AV891" i="13" s="1"/>
  <c r="AS891" i="13"/>
  <c r="AU891" i="13"/>
  <c r="B892" i="16"/>
  <c r="AM892" i="13" s="1"/>
  <c r="C892" i="16"/>
  <c r="AN892" i="13" s="1"/>
  <c r="D892" i="16"/>
  <c r="AO892" i="13" s="1"/>
  <c r="E892" i="16"/>
  <c r="F892" i="16"/>
  <c r="G892" i="16"/>
  <c r="H892" i="16"/>
  <c r="I892" i="16"/>
  <c r="J892" i="16"/>
  <c r="K892" i="16"/>
  <c r="L892" i="16"/>
  <c r="M892" i="16"/>
  <c r="N892" i="16"/>
  <c r="O892" i="16"/>
  <c r="P892" i="16"/>
  <c r="Q892" i="16"/>
  <c r="AL892" i="13"/>
  <c r="A893" i="16"/>
  <c r="AP892" i="13" l="1"/>
  <c r="AS892" i="13"/>
  <c r="AR892" i="13"/>
  <c r="AV892" i="13" s="1"/>
  <c r="AT892" i="13"/>
  <c r="AU892" i="13"/>
  <c r="AQ892" i="13"/>
  <c r="B893" i="16"/>
  <c r="AM893" i="13" s="1"/>
  <c r="C893" i="16"/>
  <c r="AN893" i="13" s="1"/>
  <c r="D893" i="16"/>
  <c r="AO893" i="13" s="1"/>
  <c r="E893" i="16"/>
  <c r="F893" i="16"/>
  <c r="G893" i="16"/>
  <c r="H893" i="16"/>
  <c r="I893" i="16"/>
  <c r="J893" i="16"/>
  <c r="K893" i="16"/>
  <c r="L893" i="16"/>
  <c r="M893" i="16"/>
  <c r="N893" i="16"/>
  <c r="O893" i="16"/>
  <c r="P893" i="16"/>
  <c r="Q893" i="16"/>
  <c r="AL893" i="13"/>
  <c r="A894" i="16"/>
  <c r="AQ893" i="13" l="1"/>
  <c r="AR893" i="13"/>
  <c r="AV893" i="13" s="1"/>
  <c r="AT893" i="13"/>
  <c r="AU893" i="13"/>
  <c r="AS893" i="13"/>
  <c r="AP893" i="13"/>
  <c r="B894" i="16"/>
  <c r="AM894" i="13" s="1"/>
  <c r="C894" i="16"/>
  <c r="AN894" i="13" s="1"/>
  <c r="D894" i="16"/>
  <c r="AO894" i="13" s="1"/>
  <c r="E894" i="16"/>
  <c r="F894" i="16"/>
  <c r="G894" i="16"/>
  <c r="H894" i="16"/>
  <c r="I894" i="16"/>
  <c r="J894" i="16"/>
  <c r="K894" i="16"/>
  <c r="L894" i="16"/>
  <c r="M894" i="16"/>
  <c r="N894" i="16"/>
  <c r="O894" i="16"/>
  <c r="P894" i="16"/>
  <c r="Q894" i="16"/>
  <c r="AL894" i="13"/>
  <c r="A895" i="16"/>
  <c r="AQ894" i="13" l="1"/>
  <c r="AT894" i="13"/>
  <c r="AS894" i="13"/>
  <c r="AP894" i="13"/>
  <c r="AR894" i="13"/>
  <c r="AV894" i="13" s="1"/>
  <c r="AU894" i="13"/>
  <c r="A896" i="16"/>
  <c r="B895" i="16"/>
  <c r="AM895" i="13" s="1"/>
  <c r="C895" i="16"/>
  <c r="AN895" i="13" s="1"/>
  <c r="D895" i="16"/>
  <c r="AO895" i="13" s="1"/>
  <c r="E895" i="16"/>
  <c r="F895" i="16"/>
  <c r="G895" i="16"/>
  <c r="H895" i="16"/>
  <c r="I895" i="16"/>
  <c r="J895" i="16"/>
  <c r="K895" i="16"/>
  <c r="L895" i="16"/>
  <c r="M895" i="16"/>
  <c r="N895" i="16"/>
  <c r="O895" i="16"/>
  <c r="P895" i="16"/>
  <c r="Q895" i="16"/>
  <c r="AL895" i="13"/>
  <c r="B896" i="16" l="1"/>
  <c r="AM896" i="13" s="1"/>
  <c r="C896" i="16"/>
  <c r="AN896" i="13" s="1"/>
  <c r="D896" i="16"/>
  <c r="AO896" i="13" s="1"/>
  <c r="E896" i="16"/>
  <c r="F896" i="16"/>
  <c r="G896" i="16"/>
  <c r="H896" i="16"/>
  <c r="I896" i="16"/>
  <c r="J896" i="16"/>
  <c r="K896" i="16"/>
  <c r="L896" i="16"/>
  <c r="M896" i="16"/>
  <c r="N896" i="16"/>
  <c r="O896" i="16"/>
  <c r="P896" i="16"/>
  <c r="Q896" i="16"/>
  <c r="AL896" i="13"/>
  <c r="A897" i="16"/>
  <c r="AP895" i="13"/>
  <c r="AR895" i="13"/>
  <c r="AV895" i="13" s="1"/>
  <c r="AS895" i="13"/>
  <c r="AQ895" i="13"/>
  <c r="AU895" i="13"/>
  <c r="AT895" i="13"/>
  <c r="AP896" i="13" l="1"/>
  <c r="AR896" i="13"/>
  <c r="AV896" i="13" s="1"/>
  <c r="AS896" i="13"/>
  <c r="AT896" i="13"/>
  <c r="AQ896" i="13"/>
  <c r="AU896" i="13"/>
  <c r="B897" i="16"/>
  <c r="AM897" i="13" s="1"/>
  <c r="C897" i="16"/>
  <c r="AN897" i="13" s="1"/>
  <c r="D897" i="16"/>
  <c r="AO897" i="13" s="1"/>
  <c r="E897" i="16"/>
  <c r="F897" i="16"/>
  <c r="G897" i="16"/>
  <c r="H897" i="16"/>
  <c r="I897" i="16"/>
  <c r="J897" i="16"/>
  <c r="K897" i="16"/>
  <c r="L897" i="16"/>
  <c r="M897" i="16"/>
  <c r="N897" i="16"/>
  <c r="O897" i="16"/>
  <c r="P897" i="16"/>
  <c r="Q897" i="16"/>
  <c r="AL897" i="13"/>
  <c r="A898" i="16"/>
  <c r="AP897" i="13" l="1"/>
  <c r="AU897" i="13"/>
  <c r="AT897" i="13"/>
  <c r="AS897" i="13"/>
  <c r="AQ897" i="13"/>
  <c r="AR897" i="13"/>
  <c r="AV897" i="13" s="1"/>
  <c r="B898" i="16"/>
  <c r="AM898" i="13" s="1"/>
  <c r="C898" i="16"/>
  <c r="AN898" i="13" s="1"/>
  <c r="D898" i="16"/>
  <c r="AO898" i="13" s="1"/>
  <c r="E898" i="16"/>
  <c r="F898" i="16"/>
  <c r="G898" i="16"/>
  <c r="H898" i="16"/>
  <c r="I898" i="16"/>
  <c r="J898" i="16"/>
  <c r="K898" i="16"/>
  <c r="L898" i="16"/>
  <c r="M898" i="16"/>
  <c r="N898" i="16"/>
  <c r="O898" i="16"/>
  <c r="P898" i="16"/>
  <c r="Q898" i="16"/>
  <c r="AL898" i="13"/>
  <c r="A899" i="16"/>
  <c r="AP898" i="13" l="1"/>
  <c r="AR898" i="13"/>
  <c r="AV898" i="13" s="1"/>
  <c r="AT898" i="13"/>
  <c r="AQ898" i="13"/>
  <c r="AS898" i="13"/>
  <c r="AU898" i="13"/>
  <c r="A900" i="16"/>
  <c r="B899" i="16"/>
  <c r="AM899" i="13" s="1"/>
  <c r="C899" i="16"/>
  <c r="AN899" i="13" s="1"/>
  <c r="D899" i="16"/>
  <c r="AO899" i="13" s="1"/>
  <c r="E899" i="16"/>
  <c r="F899" i="16"/>
  <c r="G899" i="16"/>
  <c r="H899" i="16"/>
  <c r="I899" i="16"/>
  <c r="J899" i="16"/>
  <c r="K899" i="16"/>
  <c r="L899" i="16"/>
  <c r="M899" i="16"/>
  <c r="N899" i="16"/>
  <c r="O899" i="16"/>
  <c r="P899" i="16"/>
  <c r="Q899" i="16"/>
  <c r="AL899" i="13"/>
  <c r="B900" i="16" l="1"/>
  <c r="AM900" i="13" s="1"/>
  <c r="C900" i="16"/>
  <c r="AN900" i="13" s="1"/>
  <c r="D900" i="16"/>
  <c r="AO900" i="13" s="1"/>
  <c r="E900" i="16"/>
  <c r="F900" i="16"/>
  <c r="G900" i="16"/>
  <c r="H900" i="16"/>
  <c r="I900" i="16"/>
  <c r="J900" i="16"/>
  <c r="K900" i="16"/>
  <c r="L900" i="16"/>
  <c r="M900" i="16"/>
  <c r="N900" i="16"/>
  <c r="O900" i="16"/>
  <c r="P900" i="16"/>
  <c r="Q900" i="16"/>
  <c r="AL900" i="13"/>
  <c r="A901" i="16"/>
  <c r="AQ899" i="13"/>
  <c r="AR899" i="13"/>
  <c r="AV899" i="13" s="1"/>
  <c r="AT899" i="13"/>
  <c r="AP899" i="13"/>
  <c r="AU899" i="13"/>
  <c r="AS899" i="13"/>
  <c r="AT900" i="13" l="1"/>
  <c r="AQ900" i="13"/>
  <c r="AR900" i="13"/>
  <c r="AV900" i="13" s="1"/>
  <c r="AP900" i="13"/>
  <c r="AS900" i="13"/>
  <c r="AU900" i="13"/>
  <c r="B901" i="16"/>
  <c r="AM901" i="13" s="1"/>
  <c r="C901" i="16"/>
  <c r="AN901" i="13" s="1"/>
  <c r="D901" i="16"/>
  <c r="AO901" i="13" s="1"/>
  <c r="E901" i="16"/>
  <c r="F901" i="16"/>
  <c r="G901" i="16"/>
  <c r="H901" i="16"/>
  <c r="I901" i="16"/>
  <c r="J901" i="16"/>
  <c r="K901" i="16"/>
  <c r="L901" i="16"/>
  <c r="M901" i="16"/>
  <c r="N901" i="16"/>
  <c r="O901" i="16"/>
  <c r="P901" i="16"/>
  <c r="Q901" i="16"/>
  <c r="AL901" i="13"/>
  <c r="A902" i="16"/>
  <c r="AQ901" i="13" l="1"/>
  <c r="AR901" i="13"/>
  <c r="AV901" i="13" s="1"/>
  <c r="AU901" i="13"/>
  <c r="AS901" i="13"/>
  <c r="AP901" i="13"/>
  <c r="AT901" i="13"/>
  <c r="A903" i="16"/>
  <c r="B902" i="16"/>
  <c r="AM902" i="13" s="1"/>
  <c r="C902" i="16"/>
  <c r="AN902" i="13" s="1"/>
  <c r="D902" i="16"/>
  <c r="AO902" i="13" s="1"/>
  <c r="E902" i="16"/>
  <c r="F902" i="16"/>
  <c r="G902" i="16"/>
  <c r="H902" i="16"/>
  <c r="I902" i="16"/>
  <c r="J902" i="16"/>
  <c r="K902" i="16"/>
  <c r="L902" i="16"/>
  <c r="M902" i="16"/>
  <c r="N902" i="16"/>
  <c r="O902" i="16"/>
  <c r="P902" i="16"/>
  <c r="Q902" i="16"/>
  <c r="AL902" i="13"/>
  <c r="B903" i="16" l="1"/>
  <c r="AM903" i="13" s="1"/>
  <c r="C903" i="16"/>
  <c r="AN903" i="13" s="1"/>
  <c r="D903" i="16"/>
  <c r="AO903" i="13" s="1"/>
  <c r="E903" i="16"/>
  <c r="F903" i="16"/>
  <c r="G903" i="16"/>
  <c r="H903" i="16"/>
  <c r="I903" i="16"/>
  <c r="J903" i="16"/>
  <c r="K903" i="16"/>
  <c r="L903" i="16"/>
  <c r="M903" i="16"/>
  <c r="N903" i="16"/>
  <c r="O903" i="16"/>
  <c r="P903" i="16"/>
  <c r="Q903" i="16"/>
  <c r="AL903" i="13"/>
  <c r="A904" i="16"/>
  <c r="AQ902" i="13"/>
  <c r="AT902" i="13"/>
  <c r="AS902" i="13"/>
  <c r="AU902" i="13"/>
  <c r="AP902" i="13"/>
  <c r="AR902" i="13"/>
  <c r="AV902" i="13" s="1"/>
  <c r="AP903" i="13" l="1"/>
  <c r="AQ903" i="13"/>
  <c r="AR903" i="13"/>
  <c r="AV903" i="13" s="1"/>
  <c r="AU903" i="13"/>
  <c r="AT903" i="13"/>
  <c r="AS903" i="13"/>
  <c r="B904" i="16"/>
  <c r="AM904" i="13" s="1"/>
  <c r="C904" i="16"/>
  <c r="AN904" i="13" s="1"/>
  <c r="D904" i="16"/>
  <c r="AO904" i="13" s="1"/>
  <c r="E904" i="16"/>
  <c r="F904" i="16"/>
  <c r="G904" i="16"/>
  <c r="H904" i="16"/>
  <c r="I904" i="16"/>
  <c r="J904" i="16"/>
  <c r="K904" i="16"/>
  <c r="L904" i="16"/>
  <c r="M904" i="16"/>
  <c r="N904" i="16"/>
  <c r="O904" i="16"/>
  <c r="P904" i="16"/>
  <c r="Q904" i="16"/>
  <c r="AL904" i="13"/>
  <c r="A905" i="16"/>
  <c r="AR904" i="13" l="1"/>
  <c r="AV904" i="13" s="1"/>
  <c r="AQ904" i="13"/>
  <c r="AP904" i="13"/>
  <c r="AT904" i="13"/>
  <c r="AS904" i="13"/>
  <c r="AU904" i="13"/>
  <c r="B905" i="16"/>
  <c r="AM905" i="13" s="1"/>
  <c r="C905" i="16"/>
  <c r="AN905" i="13" s="1"/>
  <c r="D905" i="16"/>
  <c r="AO905" i="13" s="1"/>
  <c r="E905" i="16"/>
  <c r="F905" i="16"/>
  <c r="G905" i="16"/>
  <c r="H905" i="16"/>
  <c r="I905" i="16"/>
  <c r="J905" i="16"/>
  <c r="K905" i="16"/>
  <c r="L905" i="16"/>
  <c r="M905" i="16"/>
  <c r="N905" i="16"/>
  <c r="O905" i="16"/>
  <c r="P905" i="16"/>
  <c r="Q905" i="16"/>
  <c r="AL905" i="13"/>
  <c r="A906" i="16"/>
  <c r="AU905" i="13" l="1"/>
  <c r="AT905" i="13"/>
  <c r="AQ905" i="13"/>
  <c r="AR905" i="13"/>
  <c r="AV905" i="13" s="1"/>
  <c r="AS905" i="13"/>
  <c r="AP905" i="13"/>
  <c r="A907" i="16"/>
  <c r="B906" i="16"/>
  <c r="AM906" i="13" s="1"/>
  <c r="C906" i="16"/>
  <c r="AN906" i="13" s="1"/>
  <c r="D906" i="16"/>
  <c r="AO906" i="13" s="1"/>
  <c r="E906" i="16"/>
  <c r="F906" i="16"/>
  <c r="G906" i="16"/>
  <c r="H906" i="16"/>
  <c r="I906" i="16"/>
  <c r="J906" i="16"/>
  <c r="K906" i="16"/>
  <c r="L906" i="16"/>
  <c r="M906" i="16"/>
  <c r="N906" i="16"/>
  <c r="O906" i="16"/>
  <c r="P906" i="16"/>
  <c r="Q906" i="16"/>
  <c r="AL906" i="13"/>
  <c r="B907" i="16" l="1"/>
  <c r="AM907" i="13" s="1"/>
  <c r="C907" i="16"/>
  <c r="AN907" i="13" s="1"/>
  <c r="D907" i="16"/>
  <c r="AO907" i="13" s="1"/>
  <c r="E907" i="16"/>
  <c r="F907" i="16"/>
  <c r="G907" i="16"/>
  <c r="H907" i="16"/>
  <c r="I907" i="16"/>
  <c r="J907" i="16"/>
  <c r="K907" i="16"/>
  <c r="L907" i="16"/>
  <c r="M907" i="16"/>
  <c r="N907" i="16"/>
  <c r="O907" i="16"/>
  <c r="P907" i="16"/>
  <c r="Q907" i="16"/>
  <c r="AL907" i="13"/>
  <c r="A908" i="16"/>
  <c r="AR906" i="13"/>
  <c r="AV906" i="13" s="1"/>
  <c r="AU906" i="13"/>
  <c r="AP906" i="13"/>
  <c r="AT906" i="13"/>
  <c r="AQ906" i="13"/>
  <c r="AS906" i="13"/>
  <c r="AS907" i="13" l="1"/>
  <c r="AU907" i="13"/>
  <c r="AP907" i="13"/>
  <c r="AQ907" i="13"/>
  <c r="AT907" i="13"/>
  <c r="AR907" i="13"/>
  <c r="AV907" i="13" s="1"/>
  <c r="B908" i="16"/>
  <c r="AM908" i="13" s="1"/>
  <c r="C908" i="16"/>
  <c r="AN908" i="13" s="1"/>
  <c r="D908" i="16"/>
  <c r="AO908" i="13" s="1"/>
  <c r="E908" i="16"/>
  <c r="F908" i="16"/>
  <c r="G908" i="16"/>
  <c r="H908" i="16"/>
  <c r="I908" i="16"/>
  <c r="J908" i="16"/>
  <c r="K908" i="16"/>
  <c r="L908" i="16"/>
  <c r="M908" i="16"/>
  <c r="N908" i="16"/>
  <c r="O908" i="16"/>
  <c r="P908" i="16"/>
  <c r="Q908" i="16"/>
  <c r="AL908" i="13"/>
  <c r="A909" i="16"/>
  <c r="AP908" i="13" l="1"/>
  <c r="AQ908" i="13"/>
  <c r="AT908" i="13"/>
  <c r="AU908" i="13"/>
  <c r="AR908" i="13"/>
  <c r="AV908" i="13" s="1"/>
  <c r="AS908" i="13"/>
  <c r="A910" i="16"/>
  <c r="B909" i="16"/>
  <c r="AM909" i="13" s="1"/>
  <c r="C909" i="16"/>
  <c r="AN909" i="13" s="1"/>
  <c r="D909" i="16"/>
  <c r="AO909" i="13" s="1"/>
  <c r="E909" i="16"/>
  <c r="F909" i="16"/>
  <c r="G909" i="16"/>
  <c r="H909" i="16"/>
  <c r="I909" i="16"/>
  <c r="J909" i="16"/>
  <c r="K909" i="16"/>
  <c r="L909" i="16"/>
  <c r="M909" i="16"/>
  <c r="N909" i="16"/>
  <c r="O909" i="16"/>
  <c r="P909" i="16"/>
  <c r="Q909" i="16"/>
  <c r="AL909" i="13"/>
  <c r="B910" i="16" l="1"/>
  <c r="AM910" i="13" s="1"/>
  <c r="C910" i="16"/>
  <c r="AN910" i="13" s="1"/>
  <c r="D910" i="16"/>
  <c r="AO910" i="13" s="1"/>
  <c r="E910" i="16"/>
  <c r="F910" i="16"/>
  <c r="G910" i="16"/>
  <c r="H910" i="16"/>
  <c r="I910" i="16"/>
  <c r="J910" i="16"/>
  <c r="K910" i="16"/>
  <c r="L910" i="16"/>
  <c r="M910" i="16"/>
  <c r="N910" i="16"/>
  <c r="O910" i="16"/>
  <c r="P910" i="16"/>
  <c r="Q910" i="16"/>
  <c r="AL910" i="13"/>
  <c r="A911" i="16"/>
  <c r="AR909" i="13"/>
  <c r="AV909" i="13" s="1"/>
  <c r="AP909" i="13"/>
  <c r="AQ909" i="13"/>
  <c r="AU909" i="13"/>
  <c r="AS909" i="13"/>
  <c r="AT909" i="13"/>
  <c r="AT910" i="13" l="1"/>
  <c r="AU910" i="13"/>
  <c r="AR910" i="13"/>
  <c r="AV910" i="13" s="1"/>
  <c r="AP910" i="13"/>
  <c r="AQ910" i="13"/>
  <c r="AS910" i="13"/>
  <c r="B911" i="16"/>
  <c r="AM911" i="13" s="1"/>
  <c r="C911" i="16"/>
  <c r="AN911" i="13" s="1"/>
  <c r="D911" i="16"/>
  <c r="AO911" i="13" s="1"/>
  <c r="E911" i="16"/>
  <c r="F911" i="16"/>
  <c r="G911" i="16"/>
  <c r="H911" i="16"/>
  <c r="I911" i="16"/>
  <c r="J911" i="16"/>
  <c r="K911" i="16"/>
  <c r="L911" i="16"/>
  <c r="M911" i="16"/>
  <c r="N911" i="16"/>
  <c r="O911" i="16"/>
  <c r="P911" i="16"/>
  <c r="Q911" i="16"/>
  <c r="AL911" i="13"/>
  <c r="A912" i="16"/>
  <c r="AQ911" i="13" l="1"/>
  <c r="AS911" i="13"/>
  <c r="AT911" i="13"/>
  <c r="AP911" i="13"/>
  <c r="AR911" i="13"/>
  <c r="AV911" i="13" s="1"/>
  <c r="AU911" i="13"/>
  <c r="B912" i="16"/>
  <c r="AM912" i="13" s="1"/>
  <c r="C912" i="16"/>
  <c r="AN912" i="13" s="1"/>
  <c r="D912" i="16"/>
  <c r="AO912" i="13" s="1"/>
  <c r="E912" i="16"/>
  <c r="F912" i="16"/>
  <c r="G912" i="16"/>
  <c r="H912" i="16"/>
  <c r="I912" i="16"/>
  <c r="J912" i="16"/>
  <c r="K912" i="16"/>
  <c r="L912" i="16"/>
  <c r="M912" i="16"/>
  <c r="N912" i="16"/>
  <c r="O912" i="16"/>
  <c r="P912" i="16"/>
  <c r="Q912" i="16"/>
  <c r="AL912" i="13"/>
  <c r="A913" i="16"/>
  <c r="AQ912" i="13" l="1"/>
  <c r="AT912" i="13"/>
  <c r="AU912" i="13"/>
  <c r="AR912" i="13"/>
  <c r="AV912" i="13" s="1"/>
  <c r="AS912" i="13"/>
  <c r="AP912" i="13"/>
  <c r="A914" i="16"/>
  <c r="B913" i="16"/>
  <c r="AM913" i="13" s="1"/>
  <c r="C913" i="16"/>
  <c r="AN913" i="13" s="1"/>
  <c r="D913" i="16"/>
  <c r="AO913" i="13" s="1"/>
  <c r="E913" i="16"/>
  <c r="F913" i="16"/>
  <c r="G913" i="16"/>
  <c r="H913" i="16"/>
  <c r="I913" i="16"/>
  <c r="J913" i="16"/>
  <c r="K913" i="16"/>
  <c r="L913" i="16"/>
  <c r="M913" i="16"/>
  <c r="N913" i="16"/>
  <c r="O913" i="16"/>
  <c r="P913" i="16"/>
  <c r="Q913" i="16"/>
  <c r="AL913" i="13"/>
  <c r="B914" i="16" l="1"/>
  <c r="AM914" i="13" s="1"/>
  <c r="C914" i="16"/>
  <c r="AN914" i="13" s="1"/>
  <c r="D914" i="16"/>
  <c r="AO914" i="13" s="1"/>
  <c r="E914" i="16"/>
  <c r="F914" i="16"/>
  <c r="G914" i="16"/>
  <c r="H914" i="16"/>
  <c r="I914" i="16"/>
  <c r="J914" i="16"/>
  <c r="K914" i="16"/>
  <c r="L914" i="16"/>
  <c r="M914" i="16"/>
  <c r="N914" i="16"/>
  <c r="O914" i="16"/>
  <c r="P914" i="16"/>
  <c r="Q914" i="16"/>
  <c r="AL914" i="13"/>
  <c r="A915" i="16"/>
  <c r="AP913" i="13"/>
  <c r="AQ913" i="13"/>
  <c r="AS913" i="13"/>
  <c r="AU913" i="13"/>
  <c r="AT913" i="13"/>
  <c r="AR913" i="13"/>
  <c r="AV913" i="13" s="1"/>
  <c r="AR914" i="13" l="1"/>
  <c r="AV914" i="13" s="1"/>
  <c r="AS914" i="13"/>
  <c r="AT914" i="13"/>
  <c r="AP914" i="13"/>
  <c r="AU914" i="13"/>
  <c r="AQ914" i="13"/>
  <c r="B915" i="16"/>
  <c r="AM915" i="13" s="1"/>
  <c r="C915" i="16"/>
  <c r="AN915" i="13" s="1"/>
  <c r="D915" i="16"/>
  <c r="AO915" i="13" s="1"/>
  <c r="E915" i="16"/>
  <c r="F915" i="16"/>
  <c r="G915" i="16"/>
  <c r="H915" i="16"/>
  <c r="I915" i="16"/>
  <c r="J915" i="16"/>
  <c r="K915" i="16"/>
  <c r="L915" i="16"/>
  <c r="M915" i="16"/>
  <c r="N915" i="16"/>
  <c r="O915" i="16"/>
  <c r="P915" i="16"/>
  <c r="Q915" i="16"/>
  <c r="AL915" i="13"/>
  <c r="A916" i="16"/>
  <c r="AP915" i="13" l="1"/>
  <c r="AR915" i="13"/>
  <c r="AV915" i="13" s="1"/>
  <c r="AS915" i="13"/>
  <c r="AU915" i="13"/>
  <c r="AQ915" i="13"/>
  <c r="AT915" i="13"/>
  <c r="B916" i="16"/>
  <c r="AM916" i="13" s="1"/>
  <c r="C916" i="16"/>
  <c r="AN916" i="13" s="1"/>
  <c r="D916" i="16"/>
  <c r="AO916" i="13" s="1"/>
  <c r="E916" i="16"/>
  <c r="F916" i="16"/>
  <c r="G916" i="16"/>
  <c r="H916" i="16"/>
  <c r="I916" i="16"/>
  <c r="J916" i="16"/>
  <c r="K916" i="16"/>
  <c r="L916" i="16"/>
  <c r="M916" i="16"/>
  <c r="N916" i="16"/>
  <c r="O916" i="16"/>
  <c r="P916" i="16"/>
  <c r="Q916" i="16"/>
  <c r="AL916" i="13"/>
  <c r="A917" i="16"/>
  <c r="AQ916" i="13" l="1"/>
  <c r="AU916" i="13"/>
  <c r="AR916" i="13"/>
  <c r="AV916" i="13" s="1"/>
  <c r="AT916" i="13"/>
  <c r="AP916" i="13"/>
  <c r="AS916" i="13"/>
  <c r="A918" i="16"/>
  <c r="B917" i="16"/>
  <c r="AM917" i="13" s="1"/>
  <c r="C917" i="16"/>
  <c r="AN917" i="13" s="1"/>
  <c r="D917" i="16"/>
  <c r="AO917" i="13" s="1"/>
  <c r="E917" i="16"/>
  <c r="F917" i="16"/>
  <c r="G917" i="16"/>
  <c r="H917" i="16"/>
  <c r="I917" i="16"/>
  <c r="J917" i="16"/>
  <c r="K917" i="16"/>
  <c r="L917" i="16"/>
  <c r="M917" i="16"/>
  <c r="N917" i="16"/>
  <c r="O917" i="16"/>
  <c r="P917" i="16"/>
  <c r="Q917" i="16"/>
  <c r="AL917" i="13"/>
  <c r="A919" i="16" l="1"/>
  <c r="B918" i="16"/>
  <c r="AM918" i="13" s="1"/>
  <c r="C918" i="16"/>
  <c r="AN918" i="13" s="1"/>
  <c r="D918" i="16"/>
  <c r="AO918" i="13" s="1"/>
  <c r="E918" i="16"/>
  <c r="F918" i="16"/>
  <c r="G918" i="16"/>
  <c r="H918" i="16"/>
  <c r="I918" i="16"/>
  <c r="J918" i="16"/>
  <c r="K918" i="16"/>
  <c r="L918" i="16"/>
  <c r="M918" i="16"/>
  <c r="N918" i="16"/>
  <c r="O918" i="16"/>
  <c r="P918" i="16"/>
  <c r="Q918" i="16"/>
  <c r="AL918" i="13"/>
  <c r="AS917" i="13"/>
  <c r="AQ917" i="13"/>
  <c r="AU917" i="13"/>
  <c r="AP917" i="13"/>
  <c r="AR917" i="13"/>
  <c r="AV917" i="13" s="1"/>
  <c r="AT917" i="13"/>
  <c r="B919" i="16" l="1"/>
  <c r="AM919" i="13" s="1"/>
  <c r="C919" i="16"/>
  <c r="AN919" i="13" s="1"/>
  <c r="D919" i="16"/>
  <c r="AO919" i="13" s="1"/>
  <c r="E919" i="16"/>
  <c r="F919" i="16"/>
  <c r="G919" i="16"/>
  <c r="H919" i="16"/>
  <c r="I919" i="16"/>
  <c r="J919" i="16"/>
  <c r="K919" i="16"/>
  <c r="L919" i="16"/>
  <c r="M919" i="16"/>
  <c r="N919" i="16"/>
  <c r="O919" i="16"/>
  <c r="P919" i="16"/>
  <c r="Q919" i="16"/>
  <c r="AL919" i="13"/>
  <c r="A920" i="16"/>
  <c r="AP918" i="13"/>
  <c r="AQ918" i="13"/>
  <c r="AS918" i="13"/>
  <c r="AT918" i="13"/>
  <c r="AU918" i="13"/>
  <c r="AR918" i="13"/>
  <c r="AV918" i="13" s="1"/>
  <c r="AP919" i="13" l="1"/>
  <c r="AQ919" i="13"/>
  <c r="AR919" i="13"/>
  <c r="AV919" i="13" s="1"/>
  <c r="AS919" i="13"/>
  <c r="AT919" i="13"/>
  <c r="AU919" i="13"/>
  <c r="B920" i="16"/>
  <c r="AM920" i="13" s="1"/>
  <c r="C920" i="16"/>
  <c r="AN920" i="13" s="1"/>
  <c r="D920" i="16"/>
  <c r="AO920" i="13" s="1"/>
  <c r="E920" i="16"/>
  <c r="F920" i="16"/>
  <c r="G920" i="16"/>
  <c r="H920" i="16"/>
  <c r="I920" i="16"/>
  <c r="J920" i="16"/>
  <c r="K920" i="16"/>
  <c r="L920" i="16"/>
  <c r="M920" i="16"/>
  <c r="N920" i="16"/>
  <c r="O920" i="16"/>
  <c r="P920" i="16"/>
  <c r="Q920" i="16"/>
  <c r="AL920" i="13"/>
  <c r="A921" i="16"/>
  <c r="AR920" i="13" l="1"/>
  <c r="AV920" i="13" s="1"/>
  <c r="AT920" i="13"/>
  <c r="AQ920" i="13"/>
  <c r="AS920" i="13"/>
  <c r="AU920" i="13"/>
  <c r="AP920" i="13"/>
  <c r="B921" i="16"/>
  <c r="AM921" i="13" s="1"/>
  <c r="C921" i="16"/>
  <c r="AN921" i="13" s="1"/>
  <c r="D921" i="16"/>
  <c r="AO921" i="13" s="1"/>
  <c r="E921" i="16"/>
  <c r="F921" i="16"/>
  <c r="G921" i="16"/>
  <c r="H921" i="16"/>
  <c r="I921" i="16"/>
  <c r="J921" i="16"/>
  <c r="K921" i="16"/>
  <c r="L921" i="16"/>
  <c r="M921" i="16"/>
  <c r="N921" i="16"/>
  <c r="O921" i="16"/>
  <c r="P921" i="16"/>
  <c r="Q921" i="16"/>
  <c r="AL921" i="13"/>
  <c r="A922" i="16"/>
  <c r="AQ921" i="13" l="1"/>
  <c r="AS921" i="13"/>
  <c r="AT921" i="13"/>
  <c r="AR921" i="13"/>
  <c r="AV921" i="13" s="1"/>
  <c r="AP921" i="13"/>
  <c r="AU921" i="13"/>
  <c r="A923" i="16"/>
  <c r="B922" i="16"/>
  <c r="AM922" i="13" s="1"/>
  <c r="C922" i="16"/>
  <c r="AN922" i="13" s="1"/>
  <c r="D922" i="16"/>
  <c r="AO922" i="13" s="1"/>
  <c r="E922" i="16"/>
  <c r="F922" i="16"/>
  <c r="G922" i="16"/>
  <c r="H922" i="16"/>
  <c r="I922" i="16"/>
  <c r="J922" i="16"/>
  <c r="K922" i="16"/>
  <c r="L922" i="16"/>
  <c r="M922" i="16"/>
  <c r="N922" i="16"/>
  <c r="O922" i="16"/>
  <c r="P922" i="16"/>
  <c r="Q922" i="16"/>
  <c r="AL922" i="13"/>
  <c r="B923" i="16" l="1"/>
  <c r="AM923" i="13" s="1"/>
  <c r="C923" i="16"/>
  <c r="AN923" i="13" s="1"/>
  <c r="D923" i="16"/>
  <c r="AO923" i="13" s="1"/>
  <c r="E923" i="16"/>
  <c r="F923" i="16"/>
  <c r="G923" i="16"/>
  <c r="H923" i="16"/>
  <c r="I923" i="16"/>
  <c r="J923" i="16"/>
  <c r="K923" i="16"/>
  <c r="L923" i="16"/>
  <c r="M923" i="16"/>
  <c r="N923" i="16"/>
  <c r="O923" i="16"/>
  <c r="P923" i="16"/>
  <c r="Q923" i="16"/>
  <c r="AL923" i="13"/>
  <c r="A924" i="16"/>
  <c r="AQ922" i="13"/>
  <c r="AS922" i="13"/>
  <c r="AU922" i="13"/>
  <c r="AT922" i="13"/>
  <c r="AR922" i="13"/>
  <c r="AV922" i="13" s="1"/>
  <c r="AP922" i="13"/>
  <c r="AT923" i="13" l="1"/>
  <c r="AQ923" i="13"/>
  <c r="AR923" i="13"/>
  <c r="AV923" i="13" s="1"/>
  <c r="AU923" i="13"/>
  <c r="AP923" i="13"/>
  <c r="AS923" i="13"/>
  <c r="B924" i="16"/>
  <c r="AM924" i="13" s="1"/>
  <c r="C924" i="16"/>
  <c r="AN924" i="13" s="1"/>
  <c r="D924" i="16"/>
  <c r="AO924" i="13" s="1"/>
  <c r="E924" i="16"/>
  <c r="F924" i="16"/>
  <c r="G924" i="16"/>
  <c r="H924" i="16"/>
  <c r="I924" i="16"/>
  <c r="J924" i="16"/>
  <c r="K924" i="16"/>
  <c r="L924" i="16"/>
  <c r="M924" i="16"/>
  <c r="N924" i="16"/>
  <c r="O924" i="16"/>
  <c r="P924" i="16"/>
  <c r="Q924" i="16"/>
  <c r="AL924" i="13"/>
  <c r="A925" i="16"/>
  <c r="AS924" i="13" l="1"/>
  <c r="AT924" i="13"/>
  <c r="AQ924" i="13"/>
  <c r="AU924" i="13"/>
  <c r="AP924" i="13"/>
  <c r="AR924" i="13"/>
  <c r="AV924" i="13" s="1"/>
  <c r="A926" i="16"/>
  <c r="B925" i="16"/>
  <c r="AM925" i="13" s="1"/>
  <c r="C925" i="16"/>
  <c r="AN925" i="13" s="1"/>
  <c r="D925" i="16"/>
  <c r="AO925" i="13" s="1"/>
  <c r="E925" i="16"/>
  <c r="F925" i="16"/>
  <c r="G925" i="16"/>
  <c r="H925" i="16"/>
  <c r="I925" i="16"/>
  <c r="J925" i="16"/>
  <c r="K925" i="16"/>
  <c r="L925" i="16"/>
  <c r="M925" i="16"/>
  <c r="N925" i="16"/>
  <c r="O925" i="16"/>
  <c r="P925" i="16"/>
  <c r="Q925" i="16"/>
  <c r="AL925" i="13"/>
  <c r="B926" i="16" l="1"/>
  <c r="AM926" i="13" s="1"/>
  <c r="C926" i="16"/>
  <c r="AN926" i="13" s="1"/>
  <c r="D926" i="16"/>
  <c r="AO926" i="13" s="1"/>
  <c r="E926" i="16"/>
  <c r="F926" i="16"/>
  <c r="G926" i="16"/>
  <c r="H926" i="16"/>
  <c r="I926" i="16"/>
  <c r="J926" i="16"/>
  <c r="K926" i="16"/>
  <c r="L926" i="16"/>
  <c r="M926" i="16"/>
  <c r="N926" i="16"/>
  <c r="O926" i="16"/>
  <c r="P926" i="16"/>
  <c r="Q926" i="16"/>
  <c r="AL926" i="13"/>
  <c r="A927" i="16"/>
  <c r="AS925" i="13"/>
  <c r="AU925" i="13"/>
  <c r="AT925" i="13"/>
  <c r="AP925" i="13"/>
  <c r="AQ925" i="13"/>
  <c r="AR925" i="13"/>
  <c r="AV925" i="13" s="1"/>
  <c r="AT926" i="13" l="1"/>
  <c r="AR926" i="13"/>
  <c r="AV926" i="13" s="1"/>
  <c r="AS926" i="13"/>
  <c r="AU926" i="13"/>
  <c r="AQ926" i="13"/>
  <c r="AP926" i="13"/>
  <c r="B927" i="16"/>
  <c r="AM927" i="13" s="1"/>
  <c r="C927" i="16"/>
  <c r="AN927" i="13" s="1"/>
  <c r="D927" i="16"/>
  <c r="AO927" i="13" s="1"/>
  <c r="E927" i="16"/>
  <c r="F927" i="16"/>
  <c r="G927" i="16"/>
  <c r="H927" i="16"/>
  <c r="I927" i="16"/>
  <c r="J927" i="16"/>
  <c r="K927" i="16"/>
  <c r="L927" i="16"/>
  <c r="M927" i="16"/>
  <c r="N927" i="16"/>
  <c r="O927" i="16"/>
  <c r="P927" i="16"/>
  <c r="Q927" i="16"/>
  <c r="AL927" i="13"/>
  <c r="A928" i="16"/>
  <c r="AQ927" i="13" l="1"/>
  <c r="AT927" i="13"/>
  <c r="AU927" i="13"/>
  <c r="AR927" i="13"/>
  <c r="AV927" i="13" s="1"/>
  <c r="AP927" i="13"/>
  <c r="AS927" i="13"/>
  <c r="A929" i="16"/>
  <c r="B928" i="16"/>
  <c r="AM928" i="13" s="1"/>
  <c r="C928" i="16"/>
  <c r="AN928" i="13" s="1"/>
  <c r="D928" i="16"/>
  <c r="AO928" i="13" s="1"/>
  <c r="E928" i="16"/>
  <c r="F928" i="16"/>
  <c r="G928" i="16"/>
  <c r="H928" i="16"/>
  <c r="I928" i="16"/>
  <c r="J928" i="16"/>
  <c r="K928" i="16"/>
  <c r="L928" i="16"/>
  <c r="M928" i="16"/>
  <c r="N928" i="16"/>
  <c r="O928" i="16"/>
  <c r="P928" i="16"/>
  <c r="Q928" i="16"/>
  <c r="AL928" i="13"/>
  <c r="B929" i="16" l="1"/>
  <c r="AM929" i="13" s="1"/>
  <c r="C929" i="16"/>
  <c r="AN929" i="13" s="1"/>
  <c r="D929" i="16"/>
  <c r="AO929" i="13" s="1"/>
  <c r="E929" i="16"/>
  <c r="F929" i="16"/>
  <c r="G929" i="16"/>
  <c r="H929" i="16"/>
  <c r="I929" i="16"/>
  <c r="J929" i="16"/>
  <c r="K929" i="16"/>
  <c r="L929" i="16"/>
  <c r="M929" i="16"/>
  <c r="N929" i="16"/>
  <c r="O929" i="16"/>
  <c r="P929" i="16"/>
  <c r="Q929" i="16"/>
  <c r="AL929" i="13"/>
  <c r="A930" i="16"/>
  <c r="AP928" i="13"/>
  <c r="AT928" i="13"/>
  <c r="AU928" i="13"/>
  <c r="AS928" i="13"/>
  <c r="AR928" i="13"/>
  <c r="AV928" i="13" s="1"/>
  <c r="AQ928" i="13"/>
  <c r="AS929" i="13" l="1"/>
  <c r="AP929" i="13"/>
  <c r="AT929" i="13"/>
  <c r="AU929" i="13"/>
  <c r="AQ929" i="13"/>
  <c r="AR929" i="13"/>
  <c r="AV929" i="13" s="1"/>
  <c r="B930" i="16"/>
  <c r="AM930" i="13" s="1"/>
  <c r="C930" i="16"/>
  <c r="AN930" i="13" s="1"/>
  <c r="D930" i="16"/>
  <c r="AO930" i="13" s="1"/>
  <c r="E930" i="16"/>
  <c r="F930" i="16"/>
  <c r="G930" i="16"/>
  <c r="H930" i="16"/>
  <c r="I930" i="16"/>
  <c r="J930" i="16"/>
  <c r="K930" i="16"/>
  <c r="L930" i="16"/>
  <c r="M930" i="16"/>
  <c r="N930" i="16"/>
  <c r="O930" i="16"/>
  <c r="P930" i="16"/>
  <c r="Q930" i="16"/>
  <c r="AL930" i="13"/>
  <c r="A931" i="16"/>
  <c r="AP930" i="13" l="1"/>
  <c r="AR930" i="13"/>
  <c r="AV930" i="13" s="1"/>
  <c r="AT930" i="13"/>
  <c r="AS930" i="13"/>
  <c r="AQ930" i="13"/>
  <c r="AU930" i="13"/>
  <c r="A932" i="16"/>
  <c r="B931" i="16"/>
  <c r="AM931" i="13" s="1"/>
  <c r="C931" i="16"/>
  <c r="AN931" i="13" s="1"/>
  <c r="D931" i="16"/>
  <c r="AO931" i="13" s="1"/>
  <c r="E931" i="16"/>
  <c r="F931" i="16"/>
  <c r="G931" i="16"/>
  <c r="H931" i="16"/>
  <c r="I931" i="16"/>
  <c r="J931" i="16"/>
  <c r="K931" i="16"/>
  <c r="L931" i="16"/>
  <c r="M931" i="16"/>
  <c r="N931" i="16"/>
  <c r="O931" i="16"/>
  <c r="P931" i="16"/>
  <c r="Q931" i="16"/>
  <c r="AL931" i="13"/>
  <c r="B932" i="16" l="1"/>
  <c r="AM932" i="13" s="1"/>
  <c r="C932" i="16"/>
  <c r="AN932" i="13" s="1"/>
  <c r="D932" i="16"/>
  <c r="AO932" i="13" s="1"/>
  <c r="E932" i="16"/>
  <c r="F932" i="16"/>
  <c r="G932" i="16"/>
  <c r="H932" i="16"/>
  <c r="I932" i="16"/>
  <c r="J932" i="16"/>
  <c r="K932" i="16"/>
  <c r="L932" i="16"/>
  <c r="M932" i="16"/>
  <c r="N932" i="16"/>
  <c r="O932" i="16"/>
  <c r="P932" i="16"/>
  <c r="Q932" i="16"/>
  <c r="AL932" i="13"/>
  <c r="A933" i="16"/>
  <c r="AS931" i="13"/>
  <c r="AU931" i="13"/>
  <c r="AT931" i="13"/>
  <c r="AQ931" i="13"/>
  <c r="AP931" i="13"/>
  <c r="AR931" i="13"/>
  <c r="AV931" i="13" s="1"/>
  <c r="AU932" i="13" l="1"/>
  <c r="AP932" i="13"/>
  <c r="AR932" i="13"/>
  <c r="AV932" i="13" s="1"/>
  <c r="AQ932" i="13"/>
  <c r="AT932" i="13"/>
  <c r="AS932" i="13"/>
  <c r="A934" i="16"/>
  <c r="B933" i="16"/>
  <c r="AM933" i="13" s="1"/>
  <c r="C933" i="16"/>
  <c r="AN933" i="13" s="1"/>
  <c r="D933" i="16"/>
  <c r="AO933" i="13" s="1"/>
  <c r="E933" i="16"/>
  <c r="F933" i="16"/>
  <c r="G933" i="16"/>
  <c r="H933" i="16"/>
  <c r="I933" i="16"/>
  <c r="J933" i="16"/>
  <c r="K933" i="16"/>
  <c r="L933" i="16"/>
  <c r="M933" i="16"/>
  <c r="N933" i="16"/>
  <c r="O933" i="16"/>
  <c r="P933" i="16"/>
  <c r="Q933" i="16"/>
  <c r="AL933" i="13"/>
  <c r="A935" i="16" l="1"/>
  <c r="B934" i="16"/>
  <c r="AM934" i="13" s="1"/>
  <c r="C934" i="16"/>
  <c r="AN934" i="13" s="1"/>
  <c r="D934" i="16"/>
  <c r="AO934" i="13" s="1"/>
  <c r="E934" i="16"/>
  <c r="F934" i="16"/>
  <c r="G934" i="16"/>
  <c r="H934" i="16"/>
  <c r="I934" i="16"/>
  <c r="J934" i="16"/>
  <c r="K934" i="16"/>
  <c r="L934" i="16"/>
  <c r="M934" i="16"/>
  <c r="N934" i="16"/>
  <c r="O934" i="16"/>
  <c r="P934" i="16"/>
  <c r="Q934" i="16"/>
  <c r="AL934" i="13"/>
  <c r="AP933" i="13"/>
  <c r="AS933" i="13"/>
  <c r="AR933" i="13"/>
  <c r="AV933" i="13" s="1"/>
  <c r="AU933" i="13"/>
  <c r="AT933" i="13"/>
  <c r="AQ933" i="13"/>
  <c r="B935" i="16" l="1"/>
  <c r="AM935" i="13" s="1"/>
  <c r="C935" i="16"/>
  <c r="AN935" i="13" s="1"/>
  <c r="D935" i="16"/>
  <c r="AO935" i="13" s="1"/>
  <c r="E935" i="16"/>
  <c r="F935" i="16"/>
  <c r="G935" i="16"/>
  <c r="H935" i="16"/>
  <c r="I935" i="16"/>
  <c r="J935" i="16"/>
  <c r="K935" i="16"/>
  <c r="L935" i="16"/>
  <c r="M935" i="16"/>
  <c r="N935" i="16"/>
  <c r="O935" i="16"/>
  <c r="P935" i="16"/>
  <c r="Q935" i="16"/>
  <c r="AL935" i="13"/>
  <c r="A936" i="16"/>
  <c r="AQ934" i="13"/>
  <c r="AR934" i="13"/>
  <c r="AV934" i="13" s="1"/>
  <c r="AT934" i="13"/>
  <c r="AP934" i="13"/>
  <c r="AU934" i="13"/>
  <c r="AS934" i="13"/>
  <c r="AQ935" i="13" l="1"/>
  <c r="AR935" i="13"/>
  <c r="AV935" i="13" s="1"/>
  <c r="AT935" i="13"/>
  <c r="AU935" i="13"/>
  <c r="AS935" i="13"/>
  <c r="AP935" i="13"/>
  <c r="B936" i="16"/>
  <c r="AM936" i="13" s="1"/>
  <c r="C936" i="16"/>
  <c r="AN936" i="13" s="1"/>
  <c r="D936" i="16"/>
  <c r="AO936" i="13" s="1"/>
  <c r="E936" i="16"/>
  <c r="F936" i="16"/>
  <c r="G936" i="16"/>
  <c r="H936" i="16"/>
  <c r="I936" i="16"/>
  <c r="J936" i="16"/>
  <c r="K936" i="16"/>
  <c r="L936" i="16"/>
  <c r="M936" i="16"/>
  <c r="N936" i="16"/>
  <c r="O936" i="16"/>
  <c r="P936" i="16"/>
  <c r="Q936" i="16"/>
  <c r="AL936" i="13"/>
  <c r="A937" i="16"/>
  <c r="AU936" i="13" l="1"/>
  <c r="AP936" i="13"/>
  <c r="AS936" i="13"/>
  <c r="AR936" i="13"/>
  <c r="AV936" i="13" s="1"/>
  <c r="AT936" i="13"/>
  <c r="AQ936" i="13"/>
  <c r="A938" i="16"/>
  <c r="B937" i="16"/>
  <c r="AM937" i="13" s="1"/>
  <c r="C937" i="16"/>
  <c r="AN937" i="13" s="1"/>
  <c r="D937" i="16"/>
  <c r="AO937" i="13" s="1"/>
  <c r="E937" i="16"/>
  <c r="F937" i="16"/>
  <c r="G937" i="16"/>
  <c r="H937" i="16"/>
  <c r="I937" i="16"/>
  <c r="J937" i="16"/>
  <c r="K937" i="16"/>
  <c r="L937" i="16"/>
  <c r="M937" i="16"/>
  <c r="N937" i="16"/>
  <c r="O937" i="16"/>
  <c r="P937" i="16"/>
  <c r="Q937" i="16"/>
  <c r="AL937" i="13"/>
  <c r="A939" i="16" l="1"/>
  <c r="B938" i="16"/>
  <c r="AM938" i="13" s="1"/>
  <c r="C938" i="16"/>
  <c r="AN938" i="13" s="1"/>
  <c r="D938" i="16"/>
  <c r="AO938" i="13" s="1"/>
  <c r="E938" i="16"/>
  <c r="F938" i="16"/>
  <c r="G938" i="16"/>
  <c r="H938" i="16"/>
  <c r="I938" i="16"/>
  <c r="J938" i="16"/>
  <c r="K938" i="16"/>
  <c r="L938" i="16"/>
  <c r="M938" i="16"/>
  <c r="N938" i="16"/>
  <c r="O938" i="16"/>
  <c r="P938" i="16"/>
  <c r="Q938" i="16"/>
  <c r="AL938" i="13"/>
  <c r="AQ937" i="13"/>
  <c r="AT937" i="13"/>
  <c r="AP937" i="13"/>
  <c r="AU937" i="13"/>
  <c r="AR937" i="13"/>
  <c r="AV937" i="13" s="1"/>
  <c r="AS937" i="13"/>
  <c r="B939" i="16" l="1"/>
  <c r="AM939" i="13" s="1"/>
  <c r="C939" i="16"/>
  <c r="AN939" i="13" s="1"/>
  <c r="D939" i="16"/>
  <c r="AO939" i="13" s="1"/>
  <c r="E939" i="16"/>
  <c r="F939" i="16"/>
  <c r="G939" i="16"/>
  <c r="H939" i="16"/>
  <c r="I939" i="16"/>
  <c r="J939" i="16"/>
  <c r="K939" i="16"/>
  <c r="L939" i="16"/>
  <c r="M939" i="16"/>
  <c r="N939" i="16"/>
  <c r="O939" i="16"/>
  <c r="P939" i="16"/>
  <c r="Q939" i="16"/>
  <c r="AL939" i="13"/>
  <c r="A940" i="16"/>
  <c r="AP938" i="13"/>
  <c r="AS938" i="13"/>
  <c r="AT938" i="13"/>
  <c r="AU938" i="13"/>
  <c r="AR938" i="13"/>
  <c r="AV938" i="13" s="1"/>
  <c r="AQ938" i="13"/>
  <c r="AP939" i="13" l="1"/>
  <c r="AT939" i="13"/>
  <c r="AQ939" i="13"/>
  <c r="AU939" i="13"/>
  <c r="AR939" i="13"/>
  <c r="AV939" i="13" s="1"/>
  <c r="AS939" i="13"/>
  <c r="B940" i="16"/>
  <c r="AM940" i="13" s="1"/>
  <c r="C940" i="16"/>
  <c r="AN940" i="13" s="1"/>
  <c r="D940" i="16"/>
  <c r="AO940" i="13" s="1"/>
  <c r="E940" i="16"/>
  <c r="F940" i="16"/>
  <c r="G940" i="16"/>
  <c r="H940" i="16"/>
  <c r="I940" i="16"/>
  <c r="J940" i="16"/>
  <c r="K940" i="16"/>
  <c r="L940" i="16"/>
  <c r="M940" i="16"/>
  <c r="N940" i="16"/>
  <c r="O940" i="16"/>
  <c r="P940" i="16"/>
  <c r="Q940" i="16"/>
  <c r="AL940" i="13"/>
  <c r="A941" i="16"/>
  <c r="AR940" i="13" l="1"/>
  <c r="AV940" i="13" s="1"/>
  <c r="AQ940" i="13"/>
  <c r="AS940" i="13"/>
  <c r="AT940" i="13"/>
  <c r="AU940" i="13"/>
  <c r="AP940" i="13"/>
  <c r="A942" i="16"/>
  <c r="B941" i="16"/>
  <c r="AM941" i="13" s="1"/>
  <c r="C941" i="16"/>
  <c r="AN941" i="13" s="1"/>
  <c r="D941" i="16"/>
  <c r="AO941" i="13" s="1"/>
  <c r="E941" i="16"/>
  <c r="F941" i="16"/>
  <c r="G941" i="16"/>
  <c r="H941" i="16"/>
  <c r="I941" i="16"/>
  <c r="J941" i="16"/>
  <c r="K941" i="16"/>
  <c r="L941" i="16"/>
  <c r="M941" i="16"/>
  <c r="N941" i="16"/>
  <c r="O941" i="16"/>
  <c r="P941" i="16"/>
  <c r="Q941" i="16"/>
  <c r="AL941" i="13"/>
  <c r="B942" i="16" l="1"/>
  <c r="AM942" i="13" s="1"/>
  <c r="C942" i="16"/>
  <c r="AN942" i="13" s="1"/>
  <c r="D942" i="16"/>
  <c r="AO942" i="13" s="1"/>
  <c r="E942" i="16"/>
  <c r="F942" i="16"/>
  <c r="G942" i="16"/>
  <c r="H942" i="16"/>
  <c r="I942" i="16"/>
  <c r="J942" i="16"/>
  <c r="K942" i="16"/>
  <c r="L942" i="16"/>
  <c r="M942" i="16"/>
  <c r="N942" i="16"/>
  <c r="O942" i="16"/>
  <c r="P942" i="16"/>
  <c r="Q942" i="16"/>
  <c r="AL942" i="13"/>
  <c r="A943" i="16"/>
  <c r="AP941" i="13"/>
  <c r="AR941" i="13"/>
  <c r="AV941" i="13" s="1"/>
  <c r="AS941" i="13"/>
  <c r="AU941" i="13"/>
  <c r="AQ941" i="13"/>
  <c r="AT941" i="13"/>
  <c r="AR942" i="13" l="1"/>
  <c r="AV942" i="13" s="1"/>
  <c r="AQ942" i="13"/>
  <c r="AU942" i="13"/>
  <c r="AP942" i="13"/>
  <c r="AS942" i="13"/>
  <c r="AT942" i="13"/>
  <c r="A944" i="16"/>
  <c r="B943" i="16"/>
  <c r="AM943" i="13" s="1"/>
  <c r="C943" i="16"/>
  <c r="AN943" i="13" s="1"/>
  <c r="D943" i="16"/>
  <c r="AO943" i="13" s="1"/>
  <c r="E943" i="16"/>
  <c r="F943" i="16"/>
  <c r="G943" i="16"/>
  <c r="H943" i="16"/>
  <c r="I943" i="16"/>
  <c r="J943" i="16"/>
  <c r="K943" i="16"/>
  <c r="L943" i="16"/>
  <c r="M943" i="16"/>
  <c r="N943" i="16"/>
  <c r="O943" i="16"/>
  <c r="P943" i="16"/>
  <c r="Q943" i="16"/>
  <c r="AL943" i="13"/>
  <c r="B944" i="16" l="1"/>
  <c r="AM944" i="13" s="1"/>
  <c r="C944" i="16"/>
  <c r="AN944" i="13" s="1"/>
  <c r="D944" i="16"/>
  <c r="AO944" i="13" s="1"/>
  <c r="E944" i="16"/>
  <c r="F944" i="16"/>
  <c r="G944" i="16"/>
  <c r="H944" i="16"/>
  <c r="I944" i="16"/>
  <c r="J944" i="16"/>
  <c r="K944" i="16"/>
  <c r="L944" i="16"/>
  <c r="M944" i="16"/>
  <c r="N944" i="16"/>
  <c r="O944" i="16"/>
  <c r="P944" i="16"/>
  <c r="Q944" i="16"/>
  <c r="AL944" i="13"/>
  <c r="A945" i="16"/>
  <c r="AT943" i="13"/>
  <c r="AQ943" i="13"/>
  <c r="AR943" i="13"/>
  <c r="AV943" i="13" s="1"/>
  <c r="AU943" i="13"/>
  <c r="AP943" i="13"/>
  <c r="AS943" i="13"/>
  <c r="AR944" i="13" l="1"/>
  <c r="AV944" i="13" s="1"/>
  <c r="AU944" i="13"/>
  <c r="AP944" i="13"/>
  <c r="AQ944" i="13"/>
  <c r="AS944" i="13"/>
  <c r="AT944" i="13"/>
  <c r="A946" i="16"/>
  <c r="B945" i="16"/>
  <c r="AM945" i="13" s="1"/>
  <c r="C945" i="16"/>
  <c r="AN945" i="13" s="1"/>
  <c r="D945" i="16"/>
  <c r="AO945" i="13" s="1"/>
  <c r="E945" i="16"/>
  <c r="F945" i="16"/>
  <c r="G945" i="16"/>
  <c r="H945" i="16"/>
  <c r="I945" i="16"/>
  <c r="J945" i="16"/>
  <c r="K945" i="16"/>
  <c r="L945" i="16"/>
  <c r="M945" i="16"/>
  <c r="N945" i="16"/>
  <c r="O945" i="16"/>
  <c r="P945" i="16"/>
  <c r="Q945" i="16"/>
  <c r="AL945" i="13"/>
  <c r="A947" i="16" l="1"/>
  <c r="B946" i="16"/>
  <c r="AM946" i="13" s="1"/>
  <c r="C946" i="16"/>
  <c r="AN946" i="13" s="1"/>
  <c r="D946" i="16"/>
  <c r="AO946" i="13" s="1"/>
  <c r="E946" i="16"/>
  <c r="F946" i="16"/>
  <c r="G946" i="16"/>
  <c r="H946" i="16"/>
  <c r="I946" i="16"/>
  <c r="J946" i="16"/>
  <c r="K946" i="16"/>
  <c r="L946" i="16"/>
  <c r="M946" i="16"/>
  <c r="N946" i="16"/>
  <c r="O946" i="16"/>
  <c r="P946" i="16"/>
  <c r="Q946" i="16"/>
  <c r="AL946" i="13"/>
  <c r="AU945" i="13"/>
  <c r="AT945" i="13"/>
  <c r="AP945" i="13"/>
  <c r="AR945" i="13"/>
  <c r="AV945" i="13" s="1"/>
  <c r="AS945" i="13"/>
  <c r="AQ945" i="13"/>
  <c r="B947" i="16" l="1"/>
  <c r="AM947" i="13" s="1"/>
  <c r="C947" i="16"/>
  <c r="AN947" i="13" s="1"/>
  <c r="D947" i="16"/>
  <c r="AO947" i="13" s="1"/>
  <c r="E947" i="16"/>
  <c r="F947" i="16"/>
  <c r="G947" i="16"/>
  <c r="H947" i="16"/>
  <c r="I947" i="16"/>
  <c r="J947" i="16"/>
  <c r="K947" i="16"/>
  <c r="L947" i="16"/>
  <c r="M947" i="16"/>
  <c r="N947" i="16"/>
  <c r="O947" i="16"/>
  <c r="P947" i="16"/>
  <c r="Q947" i="16"/>
  <c r="AL947" i="13"/>
  <c r="A948" i="16"/>
  <c r="AU946" i="13"/>
  <c r="AR946" i="13"/>
  <c r="AV946" i="13" s="1"/>
  <c r="AQ946" i="13"/>
  <c r="AS946" i="13"/>
  <c r="AT946" i="13"/>
  <c r="AP946" i="13"/>
  <c r="AS947" i="13" l="1"/>
  <c r="AQ947" i="13"/>
  <c r="AR947" i="13"/>
  <c r="AV947" i="13" s="1"/>
  <c r="AT947" i="13"/>
  <c r="AP947" i="13"/>
  <c r="AU947" i="13"/>
  <c r="B948" i="16"/>
  <c r="AM948" i="13" s="1"/>
  <c r="C948" i="16"/>
  <c r="AN948" i="13" s="1"/>
  <c r="D948" i="16"/>
  <c r="AO948" i="13" s="1"/>
  <c r="E948" i="16"/>
  <c r="F948" i="16"/>
  <c r="G948" i="16"/>
  <c r="H948" i="16"/>
  <c r="I948" i="16"/>
  <c r="J948" i="16"/>
  <c r="K948" i="16"/>
  <c r="L948" i="16"/>
  <c r="M948" i="16"/>
  <c r="N948" i="16"/>
  <c r="O948" i="16"/>
  <c r="P948" i="16"/>
  <c r="Q948" i="16"/>
  <c r="AL948" i="13"/>
  <c r="A949" i="16"/>
  <c r="AU948" i="13" l="1"/>
  <c r="AP948" i="13"/>
  <c r="AS948" i="13"/>
  <c r="AQ948" i="13"/>
  <c r="AT948" i="13"/>
  <c r="AR948" i="13"/>
  <c r="AV948" i="13" s="1"/>
  <c r="A950" i="16"/>
  <c r="B949" i="16"/>
  <c r="AM949" i="13" s="1"/>
  <c r="C949" i="16"/>
  <c r="AN949" i="13" s="1"/>
  <c r="D949" i="16"/>
  <c r="AO949" i="13" s="1"/>
  <c r="E949" i="16"/>
  <c r="F949" i="16"/>
  <c r="G949" i="16"/>
  <c r="H949" i="16"/>
  <c r="I949" i="16"/>
  <c r="J949" i="16"/>
  <c r="K949" i="16"/>
  <c r="L949" i="16"/>
  <c r="M949" i="16"/>
  <c r="N949" i="16"/>
  <c r="O949" i="16"/>
  <c r="P949" i="16"/>
  <c r="Q949" i="16"/>
  <c r="AL949" i="13"/>
  <c r="B950" i="16" l="1"/>
  <c r="AM950" i="13" s="1"/>
  <c r="C950" i="16"/>
  <c r="AN950" i="13" s="1"/>
  <c r="D950" i="16"/>
  <c r="AO950" i="13" s="1"/>
  <c r="E950" i="16"/>
  <c r="F950" i="16"/>
  <c r="G950" i="16"/>
  <c r="H950" i="16"/>
  <c r="I950" i="16"/>
  <c r="J950" i="16"/>
  <c r="K950" i="16"/>
  <c r="L950" i="16"/>
  <c r="M950" i="16"/>
  <c r="N950" i="16"/>
  <c r="O950" i="16"/>
  <c r="P950" i="16"/>
  <c r="Q950" i="16"/>
  <c r="AL950" i="13"/>
  <c r="A951" i="16"/>
  <c r="AQ949" i="13"/>
  <c r="AR949" i="13"/>
  <c r="AV949" i="13" s="1"/>
  <c r="AS949" i="13"/>
  <c r="AT949" i="13"/>
  <c r="AP949" i="13"/>
  <c r="AU949" i="13"/>
  <c r="AQ950" i="13" l="1"/>
  <c r="AR950" i="13"/>
  <c r="AV950" i="13" s="1"/>
  <c r="AT950" i="13"/>
  <c r="AU950" i="13"/>
  <c r="AS950" i="13"/>
  <c r="AP950" i="13"/>
  <c r="A952" i="16"/>
  <c r="B951" i="16"/>
  <c r="AM951" i="13" s="1"/>
  <c r="C951" i="16"/>
  <c r="AN951" i="13" s="1"/>
  <c r="D951" i="16"/>
  <c r="AO951" i="13" s="1"/>
  <c r="E951" i="16"/>
  <c r="F951" i="16"/>
  <c r="G951" i="16"/>
  <c r="H951" i="16"/>
  <c r="I951" i="16"/>
  <c r="J951" i="16"/>
  <c r="K951" i="16"/>
  <c r="L951" i="16"/>
  <c r="M951" i="16"/>
  <c r="N951" i="16"/>
  <c r="O951" i="16"/>
  <c r="P951" i="16"/>
  <c r="Q951" i="16"/>
  <c r="AL951" i="13"/>
  <c r="B952" i="16" l="1"/>
  <c r="AM952" i="13" s="1"/>
  <c r="C952" i="16"/>
  <c r="AN952" i="13" s="1"/>
  <c r="D952" i="16"/>
  <c r="AO952" i="13" s="1"/>
  <c r="E952" i="16"/>
  <c r="F952" i="16"/>
  <c r="G952" i="16"/>
  <c r="H952" i="16"/>
  <c r="I952" i="16"/>
  <c r="J952" i="16"/>
  <c r="K952" i="16"/>
  <c r="L952" i="16"/>
  <c r="M952" i="16"/>
  <c r="N952" i="16"/>
  <c r="O952" i="16"/>
  <c r="P952" i="16"/>
  <c r="Q952" i="16"/>
  <c r="AL952" i="13"/>
  <c r="A953" i="16"/>
  <c r="AS951" i="13"/>
  <c r="AQ951" i="13"/>
  <c r="AR951" i="13"/>
  <c r="AV951" i="13" s="1"/>
  <c r="AU951" i="13"/>
  <c r="AT951" i="13"/>
  <c r="AP951" i="13"/>
  <c r="AS952" i="13" l="1"/>
  <c r="AQ952" i="13"/>
  <c r="AR952" i="13"/>
  <c r="AV952" i="13" s="1"/>
  <c r="AP952" i="13"/>
  <c r="AT952" i="13"/>
  <c r="AU952" i="13"/>
  <c r="A954" i="16"/>
  <c r="B953" i="16"/>
  <c r="AM953" i="13" s="1"/>
  <c r="C953" i="16"/>
  <c r="AN953" i="13" s="1"/>
  <c r="D953" i="16"/>
  <c r="AO953" i="13" s="1"/>
  <c r="E953" i="16"/>
  <c r="F953" i="16"/>
  <c r="G953" i="16"/>
  <c r="H953" i="16"/>
  <c r="I953" i="16"/>
  <c r="J953" i="16"/>
  <c r="K953" i="16"/>
  <c r="L953" i="16"/>
  <c r="M953" i="16"/>
  <c r="N953" i="16"/>
  <c r="O953" i="16"/>
  <c r="P953" i="16"/>
  <c r="Q953" i="16"/>
  <c r="AL953" i="13"/>
  <c r="B954" i="16" l="1"/>
  <c r="AM954" i="13" s="1"/>
  <c r="C954" i="16"/>
  <c r="AN954" i="13" s="1"/>
  <c r="D954" i="16"/>
  <c r="AO954" i="13" s="1"/>
  <c r="E954" i="16"/>
  <c r="F954" i="16"/>
  <c r="G954" i="16"/>
  <c r="H954" i="16"/>
  <c r="I954" i="16"/>
  <c r="J954" i="16"/>
  <c r="K954" i="16"/>
  <c r="L954" i="16"/>
  <c r="M954" i="16"/>
  <c r="N954" i="16"/>
  <c r="O954" i="16"/>
  <c r="P954" i="16"/>
  <c r="Q954" i="16"/>
  <c r="AL954" i="13"/>
  <c r="A955" i="16"/>
  <c r="AT953" i="13"/>
  <c r="AP953" i="13"/>
  <c r="AR953" i="13"/>
  <c r="AV953" i="13" s="1"/>
  <c r="AU953" i="13"/>
  <c r="AS953" i="13"/>
  <c r="AQ953" i="13"/>
  <c r="AT954" i="13" l="1"/>
  <c r="AR954" i="13"/>
  <c r="AV954" i="13" s="1"/>
  <c r="AS954" i="13"/>
  <c r="AP954" i="13"/>
  <c r="AQ954" i="13"/>
  <c r="AU954" i="13"/>
  <c r="B955" i="16"/>
  <c r="AM955" i="13" s="1"/>
  <c r="C955" i="16"/>
  <c r="AN955" i="13" s="1"/>
  <c r="D955" i="16"/>
  <c r="AO955" i="13" s="1"/>
  <c r="E955" i="16"/>
  <c r="F955" i="16"/>
  <c r="G955" i="16"/>
  <c r="H955" i="16"/>
  <c r="I955" i="16"/>
  <c r="J955" i="16"/>
  <c r="K955" i="16"/>
  <c r="L955" i="16"/>
  <c r="M955" i="16"/>
  <c r="N955" i="16"/>
  <c r="O955" i="16"/>
  <c r="P955" i="16"/>
  <c r="Q955" i="16"/>
  <c r="AL955" i="13"/>
  <c r="A956" i="16"/>
  <c r="AP955" i="13" l="1"/>
  <c r="AQ955" i="13"/>
  <c r="AT955" i="13"/>
  <c r="AR955" i="13"/>
  <c r="AV955" i="13" s="1"/>
  <c r="AS955" i="13"/>
  <c r="AU955" i="13"/>
  <c r="B956" i="16"/>
  <c r="AM956" i="13" s="1"/>
  <c r="C956" i="16"/>
  <c r="AN956" i="13" s="1"/>
  <c r="D956" i="16"/>
  <c r="AO956" i="13" s="1"/>
  <c r="E956" i="16"/>
  <c r="F956" i="16"/>
  <c r="G956" i="16"/>
  <c r="H956" i="16"/>
  <c r="I956" i="16"/>
  <c r="J956" i="16"/>
  <c r="K956" i="16"/>
  <c r="L956" i="16"/>
  <c r="M956" i="16"/>
  <c r="N956" i="16"/>
  <c r="O956" i="16"/>
  <c r="P956" i="16"/>
  <c r="Q956" i="16"/>
  <c r="AL956" i="13"/>
  <c r="A957" i="16"/>
  <c r="AS956" i="13" l="1"/>
  <c r="AT956" i="13"/>
  <c r="AU956" i="13"/>
  <c r="AR956" i="13"/>
  <c r="AV956" i="13" s="1"/>
  <c r="AP956" i="13"/>
  <c r="AQ956" i="13"/>
  <c r="A958" i="16"/>
  <c r="B957" i="16"/>
  <c r="AM957" i="13" s="1"/>
  <c r="C957" i="16"/>
  <c r="AN957" i="13" s="1"/>
  <c r="D957" i="16"/>
  <c r="AO957" i="13" s="1"/>
  <c r="E957" i="16"/>
  <c r="F957" i="16"/>
  <c r="G957" i="16"/>
  <c r="H957" i="16"/>
  <c r="I957" i="16"/>
  <c r="J957" i="16"/>
  <c r="K957" i="16"/>
  <c r="L957" i="16"/>
  <c r="M957" i="16"/>
  <c r="N957" i="16"/>
  <c r="O957" i="16"/>
  <c r="P957" i="16"/>
  <c r="Q957" i="16"/>
  <c r="AL957" i="13"/>
  <c r="B958" i="16" l="1"/>
  <c r="AM958" i="13" s="1"/>
  <c r="C958" i="16"/>
  <c r="AN958" i="13" s="1"/>
  <c r="D958" i="16"/>
  <c r="AO958" i="13" s="1"/>
  <c r="E958" i="16"/>
  <c r="F958" i="16"/>
  <c r="G958" i="16"/>
  <c r="H958" i="16"/>
  <c r="I958" i="16"/>
  <c r="J958" i="16"/>
  <c r="K958" i="16"/>
  <c r="L958" i="16"/>
  <c r="M958" i="16"/>
  <c r="N958" i="16"/>
  <c r="O958" i="16"/>
  <c r="P958" i="16"/>
  <c r="Q958" i="16"/>
  <c r="AL958" i="13"/>
  <c r="A959" i="16"/>
  <c r="AQ957" i="13"/>
  <c r="AU957" i="13"/>
  <c r="AP957" i="13"/>
  <c r="AS957" i="13"/>
  <c r="AR957" i="13"/>
  <c r="AV957" i="13" s="1"/>
  <c r="AT957" i="13"/>
  <c r="AQ958" i="13" l="1"/>
  <c r="AT958" i="13"/>
  <c r="AU958" i="13"/>
  <c r="AP958" i="13"/>
  <c r="AS958" i="13"/>
  <c r="AR958" i="13"/>
  <c r="AV958" i="13" s="1"/>
  <c r="B959" i="16"/>
  <c r="AM959" i="13" s="1"/>
  <c r="C959" i="16"/>
  <c r="AN959" i="13" s="1"/>
  <c r="D959" i="16"/>
  <c r="AO959" i="13" s="1"/>
  <c r="E959" i="16"/>
  <c r="F959" i="16"/>
  <c r="G959" i="16"/>
  <c r="H959" i="16"/>
  <c r="I959" i="16"/>
  <c r="J959" i="16"/>
  <c r="K959" i="16"/>
  <c r="L959" i="16"/>
  <c r="M959" i="16"/>
  <c r="N959" i="16"/>
  <c r="O959" i="16"/>
  <c r="P959" i="16"/>
  <c r="Q959" i="16"/>
  <c r="AL959" i="13"/>
  <c r="A960" i="16"/>
  <c r="AS959" i="13" l="1"/>
  <c r="AT959" i="13"/>
  <c r="AP959" i="13"/>
  <c r="AR959" i="13"/>
  <c r="AV959" i="13" s="1"/>
  <c r="AQ959" i="13"/>
  <c r="AU959" i="13"/>
  <c r="B960" i="16"/>
  <c r="AM960" i="13" s="1"/>
  <c r="C960" i="16"/>
  <c r="AN960" i="13" s="1"/>
  <c r="D960" i="16"/>
  <c r="AO960" i="13" s="1"/>
  <c r="E960" i="16"/>
  <c r="F960" i="16"/>
  <c r="G960" i="16"/>
  <c r="H960" i="16"/>
  <c r="I960" i="16"/>
  <c r="J960" i="16"/>
  <c r="K960" i="16"/>
  <c r="L960" i="16"/>
  <c r="M960" i="16"/>
  <c r="N960" i="16"/>
  <c r="O960" i="16"/>
  <c r="P960" i="16"/>
  <c r="Q960" i="16"/>
  <c r="AL960" i="13"/>
  <c r="A961" i="16"/>
  <c r="AQ960" i="13" l="1"/>
  <c r="AS960" i="13"/>
  <c r="AP960" i="13"/>
  <c r="AR960" i="13"/>
  <c r="AV960" i="13" s="1"/>
  <c r="AT960" i="13"/>
  <c r="AU960" i="13"/>
  <c r="B961" i="16"/>
  <c r="AM961" i="13" s="1"/>
  <c r="C961" i="16"/>
  <c r="AN961" i="13" s="1"/>
  <c r="D961" i="16"/>
  <c r="AO961" i="13" s="1"/>
  <c r="E961" i="16"/>
  <c r="F961" i="16"/>
  <c r="G961" i="16"/>
  <c r="H961" i="16"/>
  <c r="I961" i="16"/>
  <c r="J961" i="16"/>
  <c r="K961" i="16"/>
  <c r="L961" i="16"/>
  <c r="M961" i="16"/>
  <c r="N961" i="16"/>
  <c r="O961" i="16"/>
  <c r="P961" i="16"/>
  <c r="Q961" i="16"/>
  <c r="AL961" i="13"/>
  <c r="A962" i="16"/>
  <c r="AR961" i="13" l="1"/>
  <c r="AV961" i="13" s="1"/>
  <c r="AT961" i="13"/>
  <c r="AU961" i="13"/>
  <c r="AP961" i="13"/>
  <c r="AQ961" i="13"/>
  <c r="AS961" i="13"/>
  <c r="A963" i="16"/>
  <c r="B962" i="16"/>
  <c r="AM962" i="13" s="1"/>
  <c r="C962" i="16"/>
  <c r="AN962" i="13" s="1"/>
  <c r="D962" i="16"/>
  <c r="AO962" i="13" s="1"/>
  <c r="E962" i="16"/>
  <c r="F962" i="16"/>
  <c r="G962" i="16"/>
  <c r="H962" i="16"/>
  <c r="I962" i="16"/>
  <c r="J962" i="16"/>
  <c r="K962" i="16"/>
  <c r="L962" i="16"/>
  <c r="M962" i="16"/>
  <c r="N962" i="16"/>
  <c r="O962" i="16"/>
  <c r="P962" i="16"/>
  <c r="Q962" i="16"/>
  <c r="AL962" i="13"/>
  <c r="B963" i="16" l="1"/>
  <c r="AM963" i="13" s="1"/>
  <c r="C963" i="16"/>
  <c r="AN963" i="13" s="1"/>
  <c r="D963" i="16"/>
  <c r="AO963" i="13" s="1"/>
  <c r="E963" i="16"/>
  <c r="F963" i="16"/>
  <c r="G963" i="16"/>
  <c r="H963" i="16"/>
  <c r="I963" i="16"/>
  <c r="J963" i="16"/>
  <c r="K963" i="16"/>
  <c r="L963" i="16"/>
  <c r="M963" i="16"/>
  <c r="N963" i="16"/>
  <c r="O963" i="16"/>
  <c r="P963" i="16"/>
  <c r="Q963" i="16"/>
  <c r="AL963" i="13"/>
  <c r="A964" i="16"/>
  <c r="AP962" i="13"/>
  <c r="AR962" i="13"/>
  <c r="AV962" i="13" s="1"/>
  <c r="AQ962" i="13"/>
  <c r="AT962" i="13"/>
  <c r="AS962" i="13"/>
  <c r="AU962" i="13"/>
  <c r="AQ963" i="13" l="1"/>
  <c r="AU963" i="13"/>
  <c r="AP963" i="13"/>
  <c r="AR963" i="13"/>
  <c r="AV963" i="13" s="1"/>
  <c r="AS963" i="13"/>
  <c r="AT963" i="13"/>
  <c r="B964" i="16"/>
  <c r="AM964" i="13" s="1"/>
  <c r="C964" i="16"/>
  <c r="AN964" i="13" s="1"/>
  <c r="D964" i="16"/>
  <c r="AO964" i="13" s="1"/>
  <c r="E964" i="16"/>
  <c r="F964" i="16"/>
  <c r="G964" i="16"/>
  <c r="H964" i="16"/>
  <c r="I964" i="16"/>
  <c r="J964" i="16"/>
  <c r="K964" i="16"/>
  <c r="L964" i="16"/>
  <c r="M964" i="16"/>
  <c r="N964" i="16"/>
  <c r="O964" i="16"/>
  <c r="P964" i="16"/>
  <c r="Q964" i="16"/>
  <c r="AL964" i="13"/>
  <c r="A965" i="16"/>
  <c r="AR964" i="13" l="1"/>
  <c r="AV964" i="13" s="1"/>
  <c r="AP964" i="13"/>
  <c r="AQ964" i="13"/>
  <c r="AS964" i="13"/>
  <c r="AU964" i="13"/>
  <c r="AT964" i="13"/>
  <c r="B965" i="16"/>
  <c r="AM965" i="13" s="1"/>
  <c r="C965" i="16"/>
  <c r="AN965" i="13" s="1"/>
  <c r="D965" i="16"/>
  <c r="AO965" i="13" s="1"/>
  <c r="E965" i="16"/>
  <c r="F965" i="16"/>
  <c r="G965" i="16"/>
  <c r="H965" i="16"/>
  <c r="I965" i="16"/>
  <c r="J965" i="16"/>
  <c r="K965" i="16"/>
  <c r="L965" i="16"/>
  <c r="M965" i="16"/>
  <c r="N965" i="16"/>
  <c r="O965" i="16"/>
  <c r="P965" i="16"/>
  <c r="Q965" i="16"/>
  <c r="AL965" i="13"/>
  <c r="A966" i="16"/>
  <c r="AR965" i="13" l="1"/>
  <c r="AV965" i="13" s="1"/>
  <c r="AQ965" i="13"/>
  <c r="AS965" i="13"/>
  <c r="AU965" i="13"/>
  <c r="AT965" i="13"/>
  <c r="AP965" i="13"/>
  <c r="A967" i="16"/>
  <c r="B966" i="16"/>
  <c r="AM966" i="13" s="1"/>
  <c r="C966" i="16"/>
  <c r="AN966" i="13" s="1"/>
  <c r="D966" i="16"/>
  <c r="AO966" i="13" s="1"/>
  <c r="E966" i="16"/>
  <c r="F966" i="16"/>
  <c r="G966" i="16"/>
  <c r="H966" i="16"/>
  <c r="I966" i="16"/>
  <c r="J966" i="16"/>
  <c r="K966" i="16"/>
  <c r="L966" i="16"/>
  <c r="M966" i="16"/>
  <c r="N966" i="16"/>
  <c r="O966" i="16"/>
  <c r="P966" i="16"/>
  <c r="Q966" i="16"/>
  <c r="AL966" i="13"/>
  <c r="B967" i="16" l="1"/>
  <c r="AM967" i="13" s="1"/>
  <c r="C967" i="16"/>
  <c r="AN967" i="13" s="1"/>
  <c r="D967" i="16"/>
  <c r="AO967" i="13" s="1"/>
  <c r="E967" i="16"/>
  <c r="F967" i="16"/>
  <c r="G967" i="16"/>
  <c r="H967" i="16"/>
  <c r="I967" i="16"/>
  <c r="J967" i="16"/>
  <c r="K967" i="16"/>
  <c r="L967" i="16"/>
  <c r="M967" i="16"/>
  <c r="N967" i="16"/>
  <c r="O967" i="16"/>
  <c r="P967" i="16"/>
  <c r="Q967" i="16"/>
  <c r="AL967" i="13"/>
  <c r="A968" i="16"/>
  <c r="AP966" i="13"/>
  <c r="AU966" i="13"/>
  <c r="AS966" i="13"/>
  <c r="AR966" i="13"/>
  <c r="AV966" i="13" s="1"/>
  <c r="AQ966" i="13"/>
  <c r="AT966" i="13"/>
  <c r="AP967" i="13" l="1"/>
  <c r="AQ967" i="13"/>
  <c r="AR967" i="13"/>
  <c r="AV967" i="13" s="1"/>
  <c r="AU967" i="13"/>
  <c r="AS967" i="13"/>
  <c r="AT967" i="13"/>
  <c r="A969" i="16"/>
  <c r="B968" i="16"/>
  <c r="AM968" i="13" s="1"/>
  <c r="C968" i="16"/>
  <c r="AN968" i="13" s="1"/>
  <c r="D968" i="16"/>
  <c r="AO968" i="13" s="1"/>
  <c r="E968" i="16"/>
  <c r="F968" i="16"/>
  <c r="G968" i="16"/>
  <c r="H968" i="16"/>
  <c r="I968" i="16"/>
  <c r="J968" i="16"/>
  <c r="K968" i="16"/>
  <c r="L968" i="16"/>
  <c r="M968" i="16"/>
  <c r="N968" i="16"/>
  <c r="O968" i="16"/>
  <c r="P968" i="16"/>
  <c r="Q968" i="16"/>
  <c r="AL968" i="13"/>
  <c r="B969" i="16" l="1"/>
  <c r="AM969" i="13" s="1"/>
  <c r="C969" i="16"/>
  <c r="AN969" i="13" s="1"/>
  <c r="D969" i="16"/>
  <c r="AO969" i="13" s="1"/>
  <c r="E969" i="16"/>
  <c r="F969" i="16"/>
  <c r="G969" i="16"/>
  <c r="H969" i="16"/>
  <c r="I969" i="16"/>
  <c r="J969" i="16"/>
  <c r="K969" i="16"/>
  <c r="L969" i="16"/>
  <c r="M969" i="16"/>
  <c r="N969" i="16"/>
  <c r="O969" i="16"/>
  <c r="P969" i="16"/>
  <c r="Q969" i="16"/>
  <c r="AL969" i="13"/>
  <c r="A970" i="16"/>
  <c r="AU968" i="13"/>
  <c r="AR968" i="13"/>
  <c r="AV968" i="13" s="1"/>
  <c r="AS968" i="13"/>
  <c r="AT968" i="13"/>
  <c r="AP968" i="13"/>
  <c r="AQ968" i="13"/>
  <c r="AP969" i="13" l="1"/>
  <c r="AQ969" i="13"/>
  <c r="AT969" i="13"/>
  <c r="AS969" i="13"/>
  <c r="AU969" i="13"/>
  <c r="AR969" i="13"/>
  <c r="AV969" i="13" s="1"/>
  <c r="A971" i="16"/>
  <c r="B970" i="16"/>
  <c r="AM970" i="13" s="1"/>
  <c r="C970" i="16"/>
  <c r="AN970" i="13" s="1"/>
  <c r="D970" i="16"/>
  <c r="AO970" i="13" s="1"/>
  <c r="E970" i="16"/>
  <c r="F970" i="16"/>
  <c r="G970" i="16"/>
  <c r="H970" i="16"/>
  <c r="I970" i="16"/>
  <c r="J970" i="16"/>
  <c r="K970" i="16"/>
  <c r="L970" i="16"/>
  <c r="M970" i="16"/>
  <c r="N970" i="16"/>
  <c r="O970" i="16"/>
  <c r="P970" i="16"/>
  <c r="Q970" i="16"/>
  <c r="AL970" i="13"/>
  <c r="B971" i="16" l="1"/>
  <c r="AM971" i="13" s="1"/>
  <c r="C971" i="16"/>
  <c r="AN971" i="13" s="1"/>
  <c r="D971" i="16"/>
  <c r="AO971" i="13" s="1"/>
  <c r="E971" i="16"/>
  <c r="F971" i="16"/>
  <c r="G971" i="16"/>
  <c r="H971" i="16"/>
  <c r="I971" i="16"/>
  <c r="J971" i="16"/>
  <c r="K971" i="16"/>
  <c r="L971" i="16"/>
  <c r="M971" i="16"/>
  <c r="N971" i="16"/>
  <c r="O971" i="16"/>
  <c r="P971" i="16"/>
  <c r="Q971" i="16"/>
  <c r="AL971" i="13"/>
  <c r="A972" i="16"/>
  <c r="AT970" i="13"/>
  <c r="AU970" i="13"/>
  <c r="AP970" i="13"/>
  <c r="AS970" i="13"/>
  <c r="AQ970" i="13"/>
  <c r="AR970" i="13"/>
  <c r="AV970" i="13" s="1"/>
  <c r="AR971" i="13" l="1"/>
  <c r="AV971" i="13" s="1"/>
  <c r="AU971" i="13"/>
  <c r="AP971" i="13"/>
  <c r="AQ971" i="13"/>
  <c r="AS971" i="13"/>
  <c r="AT971" i="13"/>
  <c r="A973" i="16"/>
  <c r="B972" i="16"/>
  <c r="AM972" i="13" s="1"/>
  <c r="C972" i="16"/>
  <c r="AN972" i="13" s="1"/>
  <c r="D972" i="16"/>
  <c r="AO972" i="13" s="1"/>
  <c r="E972" i="16"/>
  <c r="F972" i="16"/>
  <c r="G972" i="16"/>
  <c r="H972" i="16"/>
  <c r="I972" i="16"/>
  <c r="J972" i="16"/>
  <c r="K972" i="16"/>
  <c r="L972" i="16"/>
  <c r="M972" i="16"/>
  <c r="N972" i="16"/>
  <c r="O972" i="16"/>
  <c r="P972" i="16"/>
  <c r="Q972" i="16"/>
  <c r="AL972" i="13"/>
  <c r="B973" i="16" l="1"/>
  <c r="AM973" i="13" s="1"/>
  <c r="C973" i="16"/>
  <c r="AN973" i="13" s="1"/>
  <c r="D973" i="16"/>
  <c r="AO973" i="13" s="1"/>
  <c r="E973" i="16"/>
  <c r="F973" i="16"/>
  <c r="G973" i="16"/>
  <c r="H973" i="16"/>
  <c r="I973" i="16"/>
  <c r="J973" i="16"/>
  <c r="K973" i="16"/>
  <c r="L973" i="16"/>
  <c r="M973" i="16"/>
  <c r="N973" i="16"/>
  <c r="O973" i="16"/>
  <c r="P973" i="16"/>
  <c r="Q973" i="16"/>
  <c r="AL973" i="13"/>
  <c r="A974" i="16"/>
  <c r="AS972" i="13"/>
  <c r="AT972" i="13"/>
  <c r="AQ972" i="13"/>
  <c r="AP972" i="13"/>
  <c r="AR972" i="13"/>
  <c r="AV972" i="13" s="1"/>
  <c r="AU972" i="13"/>
  <c r="AS973" i="13" l="1"/>
  <c r="AT973" i="13"/>
  <c r="AP973" i="13"/>
  <c r="AQ973" i="13"/>
  <c r="AR973" i="13"/>
  <c r="AV973" i="13" s="1"/>
  <c r="AU973" i="13"/>
  <c r="A975" i="16"/>
  <c r="B974" i="16"/>
  <c r="AM974" i="13" s="1"/>
  <c r="C974" i="16"/>
  <c r="AN974" i="13" s="1"/>
  <c r="D974" i="16"/>
  <c r="AO974" i="13" s="1"/>
  <c r="E974" i="16"/>
  <c r="F974" i="16"/>
  <c r="G974" i="16"/>
  <c r="H974" i="16"/>
  <c r="I974" i="16"/>
  <c r="J974" i="16"/>
  <c r="K974" i="16"/>
  <c r="L974" i="16"/>
  <c r="M974" i="16"/>
  <c r="N974" i="16"/>
  <c r="O974" i="16"/>
  <c r="P974" i="16"/>
  <c r="Q974" i="16"/>
  <c r="AL974" i="13"/>
  <c r="B975" i="16" l="1"/>
  <c r="AM975" i="13" s="1"/>
  <c r="C975" i="16"/>
  <c r="AN975" i="13" s="1"/>
  <c r="D975" i="16"/>
  <c r="AO975" i="13" s="1"/>
  <c r="E975" i="16"/>
  <c r="F975" i="16"/>
  <c r="G975" i="16"/>
  <c r="H975" i="16"/>
  <c r="I975" i="16"/>
  <c r="J975" i="16"/>
  <c r="K975" i="16"/>
  <c r="L975" i="16"/>
  <c r="M975" i="16"/>
  <c r="N975" i="16"/>
  <c r="O975" i="16"/>
  <c r="P975" i="16"/>
  <c r="Q975" i="16"/>
  <c r="AL975" i="13"/>
  <c r="A976" i="16"/>
  <c r="AT974" i="13"/>
  <c r="AR974" i="13"/>
  <c r="AV974" i="13" s="1"/>
  <c r="AP974" i="13"/>
  <c r="AS974" i="13"/>
  <c r="AU974" i="13"/>
  <c r="AQ974" i="13"/>
  <c r="AP975" i="13" l="1"/>
  <c r="AR975" i="13"/>
  <c r="AV975" i="13" s="1"/>
  <c r="AT975" i="13"/>
  <c r="AU975" i="13"/>
  <c r="AQ975" i="13"/>
  <c r="AS975" i="13"/>
  <c r="B976" i="16"/>
  <c r="AM976" i="13" s="1"/>
  <c r="C976" i="16"/>
  <c r="AN976" i="13" s="1"/>
  <c r="D976" i="16"/>
  <c r="AO976" i="13" s="1"/>
  <c r="E976" i="16"/>
  <c r="F976" i="16"/>
  <c r="G976" i="16"/>
  <c r="H976" i="16"/>
  <c r="I976" i="16"/>
  <c r="J976" i="16"/>
  <c r="K976" i="16"/>
  <c r="L976" i="16"/>
  <c r="M976" i="16"/>
  <c r="N976" i="16"/>
  <c r="O976" i="16"/>
  <c r="P976" i="16"/>
  <c r="Q976" i="16"/>
  <c r="AL976" i="13"/>
  <c r="A977" i="16"/>
  <c r="AS976" i="13" l="1"/>
  <c r="AU976" i="13"/>
  <c r="AQ976" i="13"/>
  <c r="AR976" i="13"/>
  <c r="AV976" i="13" s="1"/>
  <c r="AP976" i="13"/>
  <c r="AT976" i="13"/>
  <c r="B977" i="16"/>
  <c r="AM977" i="13" s="1"/>
  <c r="C977" i="16"/>
  <c r="AN977" i="13" s="1"/>
  <c r="D977" i="16"/>
  <c r="AO977" i="13" s="1"/>
  <c r="E977" i="16"/>
  <c r="F977" i="16"/>
  <c r="G977" i="16"/>
  <c r="H977" i="16"/>
  <c r="I977" i="16"/>
  <c r="J977" i="16"/>
  <c r="K977" i="16"/>
  <c r="L977" i="16"/>
  <c r="M977" i="16"/>
  <c r="N977" i="16"/>
  <c r="O977" i="16"/>
  <c r="P977" i="16"/>
  <c r="Q977" i="16"/>
  <c r="AL977" i="13"/>
  <c r="A978" i="16"/>
  <c r="AQ977" i="13" l="1"/>
  <c r="AP977" i="13"/>
  <c r="AR977" i="13"/>
  <c r="AV977" i="13" s="1"/>
  <c r="AU977" i="13"/>
  <c r="AS977" i="13"/>
  <c r="AT977" i="13"/>
  <c r="B978" i="16"/>
  <c r="AM978" i="13" s="1"/>
  <c r="C978" i="16"/>
  <c r="AN978" i="13" s="1"/>
  <c r="D978" i="16"/>
  <c r="AO978" i="13" s="1"/>
  <c r="E978" i="16"/>
  <c r="F978" i="16"/>
  <c r="G978" i="16"/>
  <c r="H978" i="16"/>
  <c r="I978" i="16"/>
  <c r="J978" i="16"/>
  <c r="K978" i="16"/>
  <c r="L978" i="16"/>
  <c r="M978" i="16"/>
  <c r="N978" i="16"/>
  <c r="O978" i="16"/>
  <c r="P978" i="16"/>
  <c r="Q978" i="16"/>
  <c r="AL978" i="13"/>
  <c r="A979" i="16"/>
  <c r="AR978" i="13" l="1"/>
  <c r="AV978" i="13" s="1"/>
  <c r="AT978" i="13"/>
  <c r="AU978" i="13"/>
  <c r="AS978" i="13"/>
  <c r="AP978" i="13"/>
  <c r="AQ978" i="13"/>
  <c r="B979" i="16"/>
  <c r="AM979" i="13" s="1"/>
  <c r="C979" i="16"/>
  <c r="AN979" i="13" s="1"/>
  <c r="D979" i="16"/>
  <c r="AO979" i="13" s="1"/>
  <c r="E979" i="16"/>
  <c r="F979" i="16"/>
  <c r="G979" i="16"/>
  <c r="H979" i="16"/>
  <c r="I979" i="16"/>
  <c r="J979" i="16"/>
  <c r="K979" i="16"/>
  <c r="L979" i="16"/>
  <c r="M979" i="16"/>
  <c r="N979" i="16"/>
  <c r="O979" i="16"/>
  <c r="P979" i="16"/>
  <c r="Q979" i="16"/>
  <c r="AL979" i="13"/>
  <c r="A980" i="16"/>
  <c r="AS979" i="13" l="1"/>
  <c r="AP979" i="13"/>
  <c r="AQ979" i="13"/>
  <c r="AR979" i="13"/>
  <c r="AV979" i="13" s="1"/>
  <c r="AT979" i="13"/>
  <c r="AU979" i="13"/>
  <c r="B980" i="16"/>
  <c r="AM980" i="13" s="1"/>
  <c r="C980" i="16"/>
  <c r="AN980" i="13" s="1"/>
  <c r="D980" i="16"/>
  <c r="AO980" i="13" s="1"/>
  <c r="E980" i="16"/>
  <c r="F980" i="16"/>
  <c r="G980" i="16"/>
  <c r="H980" i="16"/>
  <c r="I980" i="16"/>
  <c r="J980" i="16"/>
  <c r="K980" i="16"/>
  <c r="L980" i="16"/>
  <c r="M980" i="16"/>
  <c r="N980" i="16"/>
  <c r="O980" i="16"/>
  <c r="P980" i="16"/>
  <c r="Q980" i="16"/>
  <c r="AL980" i="13"/>
  <c r="A981" i="16"/>
  <c r="AR980" i="13" l="1"/>
  <c r="AV980" i="13" s="1"/>
  <c r="AS980" i="13"/>
  <c r="AT980" i="13"/>
  <c r="AU980" i="13"/>
  <c r="AP980" i="13"/>
  <c r="AQ980" i="13"/>
  <c r="A982" i="16"/>
  <c r="B981" i="16"/>
  <c r="AM981" i="13" s="1"/>
  <c r="C981" i="16"/>
  <c r="AN981" i="13" s="1"/>
  <c r="D981" i="16"/>
  <c r="AO981" i="13" s="1"/>
  <c r="E981" i="16"/>
  <c r="F981" i="16"/>
  <c r="G981" i="16"/>
  <c r="H981" i="16"/>
  <c r="I981" i="16"/>
  <c r="J981" i="16"/>
  <c r="K981" i="16"/>
  <c r="L981" i="16"/>
  <c r="M981" i="16"/>
  <c r="N981" i="16"/>
  <c r="O981" i="16"/>
  <c r="P981" i="16"/>
  <c r="Q981" i="16"/>
  <c r="AL981" i="13"/>
  <c r="B982" i="16" l="1"/>
  <c r="AM982" i="13" s="1"/>
  <c r="C982" i="16"/>
  <c r="AN982" i="13" s="1"/>
  <c r="D982" i="16"/>
  <c r="AO982" i="13" s="1"/>
  <c r="E982" i="16"/>
  <c r="F982" i="16"/>
  <c r="G982" i="16"/>
  <c r="H982" i="16"/>
  <c r="I982" i="16"/>
  <c r="J982" i="16"/>
  <c r="K982" i="16"/>
  <c r="L982" i="16"/>
  <c r="M982" i="16"/>
  <c r="N982" i="16"/>
  <c r="O982" i="16"/>
  <c r="P982" i="16"/>
  <c r="Q982" i="16"/>
  <c r="AL982" i="13"/>
  <c r="A983" i="16"/>
  <c r="AR981" i="13"/>
  <c r="AV981" i="13" s="1"/>
  <c r="AT981" i="13"/>
  <c r="AU981" i="13"/>
  <c r="AP981" i="13"/>
  <c r="AQ981" i="13"/>
  <c r="AS981" i="13"/>
  <c r="AP982" i="13" l="1"/>
  <c r="AS982" i="13"/>
  <c r="AR982" i="13"/>
  <c r="AV982" i="13" s="1"/>
  <c r="AT982" i="13"/>
  <c r="AQ982" i="13"/>
  <c r="AU982" i="13"/>
  <c r="B983" i="16"/>
  <c r="AM983" i="13" s="1"/>
  <c r="C983" i="16"/>
  <c r="AN983" i="13" s="1"/>
  <c r="D983" i="16"/>
  <c r="AO983" i="13" s="1"/>
  <c r="E983" i="16"/>
  <c r="F983" i="16"/>
  <c r="G983" i="16"/>
  <c r="H983" i="16"/>
  <c r="I983" i="16"/>
  <c r="J983" i="16"/>
  <c r="K983" i="16"/>
  <c r="L983" i="16"/>
  <c r="M983" i="16"/>
  <c r="N983" i="16"/>
  <c r="O983" i="16"/>
  <c r="P983" i="16"/>
  <c r="Q983" i="16"/>
  <c r="AL983" i="13"/>
  <c r="A984" i="16"/>
  <c r="AQ983" i="13" l="1"/>
  <c r="AR983" i="13"/>
  <c r="AV983" i="13" s="1"/>
  <c r="AT983" i="13"/>
  <c r="AU983" i="13"/>
  <c r="AP983" i="13"/>
  <c r="AS983" i="13"/>
  <c r="B984" i="16"/>
  <c r="AM984" i="13" s="1"/>
  <c r="C984" i="16"/>
  <c r="AN984" i="13" s="1"/>
  <c r="D984" i="16"/>
  <c r="AO984" i="13" s="1"/>
  <c r="E984" i="16"/>
  <c r="F984" i="16"/>
  <c r="G984" i="16"/>
  <c r="H984" i="16"/>
  <c r="I984" i="16"/>
  <c r="J984" i="16"/>
  <c r="K984" i="16"/>
  <c r="L984" i="16"/>
  <c r="M984" i="16"/>
  <c r="N984" i="16"/>
  <c r="O984" i="16"/>
  <c r="P984" i="16"/>
  <c r="Q984" i="16"/>
  <c r="AL984" i="13"/>
  <c r="A985" i="16"/>
  <c r="AS984" i="13" l="1"/>
  <c r="AQ984" i="13"/>
  <c r="AU984" i="13"/>
  <c r="AT984" i="13"/>
  <c r="AP984" i="13"/>
  <c r="AR984" i="13"/>
  <c r="AV984" i="13" s="1"/>
  <c r="B985" i="16"/>
  <c r="AM985" i="13" s="1"/>
  <c r="C985" i="16"/>
  <c r="AN985" i="13" s="1"/>
  <c r="D985" i="16"/>
  <c r="AO985" i="13" s="1"/>
  <c r="E985" i="16"/>
  <c r="F985" i="16"/>
  <c r="G985" i="16"/>
  <c r="H985" i="16"/>
  <c r="I985" i="16"/>
  <c r="J985" i="16"/>
  <c r="K985" i="16"/>
  <c r="L985" i="16"/>
  <c r="M985" i="16"/>
  <c r="N985" i="16"/>
  <c r="O985" i="16"/>
  <c r="P985" i="16"/>
  <c r="Q985" i="16"/>
  <c r="AL985" i="13"/>
  <c r="A986" i="16"/>
  <c r="AP985" i="13" l="1"/>
  <c r="AU985" i="13"/>
  <c r="AT985" i="13"/>
  <c r="AQ985" i="13"/>
  <c r="AR985" i="13"/>
  <c r="AV985" i="13" s="1"/>
  <c r="AS985" i="13"/>
  <c r="B986" i="16"/>
  <c r="AM986" i="13" s="1"/>
  <c r="C986" i="16"/>
  <c r="AN986" i="13" s="1"/>
  <c r="D986" i="16"/>
  <c r="AO986" i="13" s="1"/>
  <c r="E986" i="16"/>
  <c r="F986" i="16"/>
  <c r="G986" i="16"/>
  <c r="H986" i="16"/>
  <c r="I986" i="16"/>
  <c r="J986" i="16"/>
  <c r="K986" i="16"/>
  <c r="L986" i="16"/>
  <c r="M986" i="16"/>
  <c r="N986" i="16"/>
  <c r="O986" i="16"/>
  <c r="P986" i="16"/>
  <c r="Q986" i="16"/>
  <c r="AL986" i="13"/>
  <c r="A987" i="16"/>
  <c r="AQ986" i="13" l="1"/>
  <c r="AR986" i="13"/>
  <c r="AV986" i="13" s="1"/>
  <c r="AT986" i="13"/>
  <c r="AP986" i="13"/>
  <c r="AU986" i="13"/>
  <c r="AS986" i="13"/>
  <c r="B987" i="16"/>
  <c r="AM987" i="13" s="1"/>
  <c r="C987" i="16"/>
  <c r="AN987" i="13" s="1"/>
  <c r="D987" i="16"/>
  <c r="AO987" i="13" s="1"/>
  <c r="E987" i="16"/>
  <c r="F987" i="16"/>
  <c r="G987" i="16"/>
  <c r="H987" i="16"/>
  <c r="I987" i="16"/>
  <c r="J987" i="16"/>
  <c r="K987" i="16"/>
  <c r="L987" i="16"/>
  <c r="M987" i="16"/>
  <c r="N987" i="16"/>
  <c r="O987" i="16"/>
  <c r="P987" i="16"/>
  <c r="Q987" i="16"/>
  <c r="AL987" i="13"/>
  <c r="A988" i="16"/>
  <c r="AU987" i="13" l="1"/>
  <c r="AQ987" i="13"/>
  <c r="AR987" i="13"/>
  <c r="AV987" i="13" s="1"/>
  <c r="AP987" i="13"/>
  <c r="AS987" i="13"/>
  <c r="AT987" i="13"/>
  <c r="B988" i="16"/>
  <c r="AM988" i="13" s="1"/>
  <c r="C988" i="16"/>
  <c r="AN988" i="13" s="1"/>
  <c r="D988" i="16"/>
  <c r="AO988" i="13" s="1"/>
  <c r="E988" i="16"/>
  <c r="F988" i="16"/>
  <c r="G988" i="16"/>
  <c r="H988" i="16"/>
  <c r="I988" i="16"/>
  <c r="J988" i="16"/>
  <c r="K988" i="16"/>
  <c r="L988" i="16"/>
  <c r="M988" i="16"/>
  <c r="N988" i="16"/>
  <c r="O988" i="16"/>
  <c r="P988" i="16"/>
  <c r="Q988" i="16"/>
  <c r="AL988" i="13"/>
  <c r="A989" i="16"/>
  <c r="AS988" i="13" l="1"/>
  <c r="AQ988" i="13"/>
  <c r="AR988" i="13"/>
  <c r="AV988" i="13" s="1"/>
  <c r="AP988" i="13"/>
  <c r="AT988" i="13"/>
  <c r="AU988" i="13"/>
  <c r="B989" i="16"/>
  <c r="AM989" i="13" s="1"/>
  <c r="C989" i="16"/>
  <c r="AN989" i="13" s="1"/>
  <c r="D989" i="16"/>
  <c r="AO989" i="13" s="1"/>
  <c r="E989" i="16"/>
  <c r="F989" i="16"/>
  <c r="G989" i="16"/>
  <c r="H989" i="16"/>
  <c r="I989" i="16"/>
  <c r="J989" i="16"/>
  <c r="K989" i="16"/>
  <c r="L989" i="16"/>
  <c r="M989" i="16"/>
  <c r="N989" i="16"/>
  <c r="O989" i="16"/>
  <c r="P989" i="16"/>
  <c r="Q989" i="16"/>
  <c r="AL989" i="13"/>
  <c r="A990" i="16"/>
  <c r="AP989" i="13" l="1"/>
  <c r="AS989" i="13"/>
  <c r="AU989" i="13"/>
  <c r="AQ989" i="13"/>
  <c r="AR989" i="13"/>
  <c r="AV989" i="13" s="1"/>
  <c r="AT989" i="13"/>
  <c r="B990" i="16"/>
  <c r="AM990" i="13" s="1"/>
  <c r="C990" i="16"/>
  <c r="AN990" i="13" s="1"/>
  <c r="D990" i="16"/>
  <c r="AO990" i="13" s="1"/>
  <c r="E990" i="16"/>
  <c r="F990" i="16"/>
  <c r="G990" i="16"/>
  <c r="H990" i="16"/>
  <c r="I990" i="16"/>
  <c r="J990" i="16"/>
  <c r="K990" i="16"/>
  <c r="L990" i="16"/>
  <c r="M990" i="16"/>
  <c r="N990" i="16"/>
  <c r="O990" i="16"/>
  <c r="P990" i="16"/>
  <c r="Q990" i="16"/>
  <c r="AL990" i="13"/>
  <c r="A991" i="16"/>
  <c r="AP990" i="13" l="1"/>
  <c r="AR990" i="13"/>
  <c r="AV990" i="13" s="1"/>
  <c r="AU990" i="13"/>
  <c r="AS990" i="13"/>
  <c r="AQ990" i="13"/>
  <c r="AT990" i="13"/>
  <c r="B991" i="16"/>
  <c r="AM991" i="13" s="1"/>
  <c r="C991" i="16"/>
  <c r="AN991" i="13" s="1"/>
  <c r="D991" i="16"/>
  <c r="AO991" i="13" s="1"/>
  <c r="E991" i="16"/>
  <c r="F991" i="16"/>
  <c r="G991" i="16"/>
  <c r="H991" i="16"/>
  <c r="I991" i="16"/>
  <c r="J991" i="16"/>
  <c r="K991" i="16"/>
  <c r="L991" i="16"/>
  <c r="M991" i="16"/>
  <c r="N991" i="16"/>
  <c r="O991" i="16"/>
  <c r="P991" i="16"/>
  <c r="Q991" i="16"/>
  <c r="AL991" i="13"/>
  <c r="A992" i="16"/>
  <c r="AQ991" i="13" l="1"/>
  <c r="AP991" i="13"/>
  <c r="AU991" i="13"/>
  <c r="AT991" i="13"/>
  <c r="AS991" i="13"/>
  <c r="AR991" i="13"/>
  <c r="AV991" i="13" s="1"/>
  <c r="B992" i="16"/>
  <c r="AM992" i="13" s="1"/>
  <c r="C992" i="16"/>
  <c r="AN992" i="13" s="1"/>
  <c r="D992" i="16"/>
  <c r="AO992" i="13" s="1"/>
  <c r="E992" i="16"/>
  <c r="F992" i="16"/>
  <c r="G992" i="16"/>
  <c r="H992" i="16"/>
  <c r="I992" i="16"/>
  <c r="J992" i="16"/>
  <c r="K992" i="16"/>
  <c r="L992" i="16"/>
  <c r="M992" i="16"/>
  <c r="N992" i="16"/>
  <c r="O992" i="16"/>
  <c r="P992" i="16"/>
  <c r="Q992" i="16"/>
  <c r="AL992" i="13"/>
  <c r="A993" i="16"/>
  <c r="AP992" i="13" l="1"/>
  <c r="AT992" i="13"/>
  <c r="AQ992" i="13"/>
  <c r="AR992" i="13"/>
  <c r="AV992" i="13" s="1"/>
  <c r="AS992" i="13"/>
  <c r="AU992" i="13"/>
  <c r="B993" i="16"/>
  <c r="AM993" i="13" s="1"/>
  <c r="C993" i="16"/>
  <c r="AN993" i="13" s="1"/>
  <c r="D993" i="16"/>
  <c r="AO993" i="13" s="1"/>
  <c r="E993" i="16"/>
  <c r="F993" i="16"/>
  <c r="G993" i="16"/>
  <c r="H993" i="16"/>
  <c r="I993" i="16"/>
  <c r="J993" i="16"/>
  <c r="K993" i="16"/>
  <c r="L993" i="16"/>
  <c r="M993" i="16"/>
  <c r="N993" i="16"/>
  <c r="O993" i="16"/>
  <c r="P993" i="16"/>
  <c r="Q993" i="16"/>
  <c r="AL993" i="13"/>
  <c r="A994" i="16"/>
  <c r="AR993" i="13" l="1"/>
  <c r="AV993" i="13" s="1"/>
  <c r="AU993" i="13"/>
  <c r="AP993" i="13"/>
  <c r="AS993" i="13"/>
  <c r="AT993" i="13"/>
  <c r="AQ993" i="13"/>
  <c r="B994" i="16"/>
  <c r="AM994" i="13" s="1"/>
  <c r="C994" i="16"/>
  <c r="AN994" i="13" s="1"/>
  <c r="D994" i="16"/>
  <c r="AO994" i="13" s="1"/>
  <c r="E994" i="16"/>
  <c r="F994" i="16"/>
  <c r="G994" i="16"/>
  <c r="H994" i="16"/>
  <c r="I994" i="16"/>
  <c r="J994" i="16"/>
  <c r="K994" i="16"/>
  <c r="L994" i="16"/>
  <c r="M994" i="16"/>
  <c r="N994" i="16"/>
  <c r="O994" i="16"/>
  <c r="P994" i="16"/>
  <c r="Q994" i="16"/>
  <c r="AL994" i="13"/>
  <c r="A995" i="16"/>
  <c r="AP994" i="13" l="1"/>
  <c r="AR994" i="13"/>
  <c r="AV994" i="13" s="1"/>
  <c r="AT994" i="13"/>
  <c r="AQ994" i="13"/>
  <c r="AS994" i="13"/>
  <c r="AU994" i="13"/>
  <c r="B995" i="16"/>
  <c r="AM995" i="13" s="1"/>
  <c r="C995" i="16"/>
  <c r="AN995" i="13" s="1"/>
  <c r="D995" i="16"/>
  <c r="AO995" i="13" s="1"/>
  <c r="E995" i="16"/>
  <c r="F995" i="16"/>
  <c r="G995" i="16"/>
  <c r="H995" i="16"/>
  <c r="I995" i="16"/>
  <c r="J995" i="16"/>
  <c r="K995" i="16"/>
  <c r="L995" i="16"/>
  <c r="M995" i="16"/>
  <c r="N995" i="16"/>
  <c r="O995" i="16"/>
  <c r="P995" i="16"/>
  <c r="Q995" i="16"/>
  <c r="AL995" i="13"/>
  <c r="A996" i="16"/>
  <c r="AP995" i="13" l="1"/>
  <c r="AT995" i="13"/>
  <c r="AQ995" i="13"/>
  <c r="AR995" i="13"/>
  <c r="AV995" i="13" s="1"/>
  <c r="AU995" i="13"/>
  <c r="AS995" i="13"/>
  <c r="B996" i="16"/>
  <c r="AM996" i="13" s="1"/>
  <c r="C996" i="16"/>
  <c r="AN996" i="13" s="1"/>
  <c r="D996" i="16"/>
  <c r="AO996" i="13" s="1"/>
  <c r="E996" i="16"/>
  <c r="F996" i="16"/>
  <c r="G996" i="16"/>
  <c r="H996" i="16"/>
  <c r="I996" i="16"/>
  <c r="J996" i="16"/>
  <c r="K996" i="16"/>
  <c r="L996" i="16"/>
  <c r="M996" i="16"/>
  <c r="N996" i="16"/>
  <c r="O996" i="16"/>
  <c r="P996" i="16"/>
  <c r="Q996" i="16"/>
  <c r="AL996" i="13"/>
  <c r="A997" i="16"/>
  <c r="AR996" i="13" l="1"/>
  <c r="AV996" i="13" s="1"/>
  <c r="AS996" i="13"/>
  <c r="AQ996" i="13"/>
  <c r="AT996" i="13"/>
  <c r="AU996" i="13"/>
  <c r="AP996" i="13"/>
  <c r="B997" i="16"/>
  <c r="AM997" i="13" s="1"/>
  <c r="C997" i="16"/>
  <c r="AN997" i="13" s="1"/>
  <c r="D997" i="16"/>
  <c r="AO997" i="13" s="1"/>
  <c r="E997" i="16"/>
  <c r="F997" i="16"/>
  <c r="G997" i="16"/>
  <c r="H997" i="16"/>
  <c r="I997" i="16"/>
  <c r="J997" i="16"/>
  <c r="K997" i="16"/>
  <c r="L997" i="16"/>
  <c r="M997" i="16"/>
  <c r="N997" i="16"/>
  <c r="O997" i="16"/>
  <c r="P997" i="16"/>
  <c r="Q997" i="16"/>
  <c r="AL997" i="13"/>
  <c r="A998" i="16"/>
  <c r="AT997" i="13" l="1"/>
  <c r="AP997" i="13"/>
  <c r="AQ997" i="13"/>
  <c r="AR997" i="13"/>
  <c r="AV997" i="13" s="1"/>
  <c r="AU997" i="13"/>
  <c r="AS997" i="13"/>
  <c r="B998" i="16"/>
  <c r="AM998" i="13" s="1"/>
  <c r="C998" i="16"/>
  <c r="AN998" i="13" s="1"/>
  <c r="D998" i="16"/>
  <c r="AO998" i="13" s="1"/>
  <c r="E998" i="16"/>
  <c r="F998" i="16"/>
  <c r="G998" i="16"/>
  <c r="H998" i="16"/>
  <c r="I998" i="16"/>
  <c r="J998" i="16"/>
  <c r="K998" i="16"/>
  <c r="L998" i="16"/>
  <c r="M998" i="16"/>
  <c r="N998" i="16"/>
  <c r="O998" i="16"/>
  <c r="P998" i="16"/>
  <c r="Q998" i="16"/>
  <c r="AL998" i="13"/>
  <c r="A999" i="16"/>
  <c r="AP998" i="13" l="1"/>
  <c r="AU998" i="13"/>
  <c r="AQ998" i="13"/>
  <c r="AT998" i="13"/>
  <c r="AR998" i="13"/>
  <c r="AV998" i="13" s="1"/>
  <c r="AS998" i="13"/>
  <c r="B999" i="16"/>
  <c r="AM999" i="13" s="1"/>
  <c r="C999" i="16"/>
  <c r="AN999" i="13" s="1"/>
  <c r="D999" i="16"/>
  <c r="AO999" i="13" s="1"/>
  <c r="E999" i="16"/>
  <c r="F999" i="16"/>
  <c r="G999" i="16"/>
  <c r="H999" i="16"/>
  <c r="I999" i="16"/>
  <c r="J999" i="16"/>
  <c r="K999" i="16"/>
  <c r="L999" i="16"/>
  <c r="M999" i="16"/>
  <c r="N999" i="16"/>
  <c r="O999" i="16"/>
  <c r="P999" i="16"/>
  <c r="Q999" i="16"/>
  <c r="AL999" i="13"/>
  <c r="A1000" i="16"/>
  <c r="AP999" i="13" l="1"/>
  <c r="AQ999" i="13"/>
  <c r="AR999" i="13"/>
  <c r="AV999" i="13" s="1"/>
  <c r="AT999" i="13"/>
  <c r="AU999" i="13"/>
  <c r="AS999" i="13"/>
  <c r="B1000" i="16"/>
  <c r="AM1000" i="13" s="1"/>
  <c r="C1000" i="16"/>
  <c r="AN1000" i="13" s="1"/>
  <c r="D1000" i="16"/>
  <c r="AO1000" i="13" s="1"/>
  <c r="E1000" i="16"/>
  <c r="F1000" i="16"/>
  <c r="G1000" i="16"/>
  <c r="H1000" i="16"/>
  <c r="I1000" i="16"/>
  <c r="J1000" i="16"/>
  <c r="K1000" i="16"/>
  <c r="L1000" i="16"/>
  <c r="M1000" i="16"/>
  <c r="N1000" i="16"/>
  <c r="O1000" i="16"/>
  <c r="P1000" i="16"/>
  <c r="Q1000" i="16"/>
  <c r="AL1000" i="13"/>
  <c r="A1001" i="16"/>
  <c r="AP1000" i="13" l="1"/>
  <c r="AQ1000" i="13"/>
  <c r="AR1000" i="13"/>
  <c r="AV1000" i="13" s="1"/>
  <c r="AU1000" i="13"/>
  <c r="AS1000" i="13"/>
  <c r="AT1000" i="13"/>
  <c r="B1001" i="16"/>
  <c r="AM1001" i="13" s="1"/>
  <c r="C1001" i="16"/>
  <c r="AN1001" i="13" s="1"/>
  <c r="D1001" i="16"/>
  <c r="AO1001" i="13" s="1"/>
  <c r="E1001" i="16"/>
  <c r="B9" i="13" s="1"/>
  <c r="F1001" i="16"/>
  <c r="B6" i="13" s="1"/>
  <c r="G1001" i="16"/>
  <c r="B7" i="13" s="1"/>
  <c r="H1001" i="16"/>
  <c r="I1001" i="16"/>
  <c r="J1001" i="16"/>
  <c r="K1001" i="16"/>
  <c r="L1001" i="16"/>
  <c r="B10" i="13" s="1"/>
  <c r="M1001" i="16"/>
  <c r="N1001" i="16"/>
  <c r="O1001" i="16"/>
  <c r="P1001" i="16"/>
  <c r="Q1001" i="16"/>
  <c r="AL1001" i="13"/>
  <c r="A1001" i="15" l="1"/>
  <c r="A303" i="15"/>
  <c r="A301" i="15"/>
  <c r="A302" i="15"/>
  <c r="A300" i="15"/>
  <c r="A304" i="15"/>
  <c r="A669" i="15"/>
  <c r="A572" i="15"/>
  <c r="A413" i="15"/>
  <c r="A411" i="15"/>
  <c r="A408" i="15"/>
  <c r="A406" i="15"/>
  <c r="A404" i="15"/>
  <c r="A401" i="15"/>
  <c r="A399" i="15"/>
  <c r="A397" i="15"/>
  <c r="A394" i="15"/>
  <c r="A391" i="15"/>
  <c r="A389" i="15"/>
  <c r="A386" i="15"/>
  <c r="A384" i="15"/>
  <c r="A381" i="15"/>
  <c r="A378" i="15"/>
  <c r="A376" i="15"/>
  <c r="A297" i="15"/>
  <c r="A296" i="15"/>
  <c r="A293" i="15"/>
  <c r="A291" i="15"/>
  <c r="A289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306" i="15"/>
  <c r="A970" i="15"/>
  <c r="A962" i="15"/>
  <c r="A953" i="15"/>
  <c r="A582" i="15"/>
  <c r="A577" i="15"/>
  <c r="A574" i="15"/>
  <c r="A562" i="15"/>
  <c r="A559" i="15"/>
  <c r="A543" i="15"/>
  <c r="A536" i="15"/>
  <c r="A522" i="15"/>
  <c r="A494" i="15"/>
  <c r="A487" i="15"/>
  <c r="A457" i="15"/>
  <c r="A447" i="15"/>
  <c r="A59" i="15"/>
  <c r="A441" i="15"/>
  <c r="A439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596" i="15"/>
  <c r="A552" i="15"/>
  <c r="A429" i="15"/>
  <c r="A231" i="15"/>
  <c r="A224" i="15"/>
  <c r="A218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2" i="15"/>
  <c r="A126" i="15"/>
  <c r="A118" i="15"/>
  <c r="A111" i="15"/>
  <c r="A104" i="15"/>
  <c r="A975" i="15"/>
  <c r="A44" i="15"/>
  <c r="A520" i="15"/>
  <c r="A508" i="15"/>
  <c r="A499" i="15"/>
  <c r="A453" i="15"/>
  <c r="A238" i="15"/>
  <c r="A233" i="15"/>
  <c r="A227" i="15"/>
  <c r="A217" i="15"/>
  <c r="A491" i="15"/>
  <c r="A941" i="15"/>
  <c r="A898" i="15"/>
  <c r="A502" i="15"/>
  <c r="A444" i="15"/>
  <c r="A855" i="15"/>
  <c r="A766" i="15"/>
  <c r="A648" i="15"/>
  <c r="A645" i="15"/>
  <c r="A641" i="15"/>
  <c r="A638" i="15"/>
  <c r="A634" i="15"/>
  <c r="A630" i="15"/>
  <c r="A627" i="15"/>
  <c r="A623" i="15"/>
  <c r="A619" i="15"/>
  <c r="A616" i="15"/>
  <c r="A612" i="15"/>
  <c r="A607" i="15"/>
  <c r="A603" i="15"/>
  <c r="A307" i="15"/>
  <c r="A29" i="15"/>
  <c r="A28" i="15"/>
  <c r="A27" i="15"/>
  <c r="A26" i="15"/>
  <c r="A25" i="15"/>
  <c r="A24" i="15"/>
  <c r="A23" i="15"/>
  <c r="A308" i="15"/>
  <c r="A137" i="15"/>
  <c r="A133" i="15"/>
  <c r="A129" i="15"/>
  <c r="A125" i="15"/>
  <c r="A121" i="15"/>
  <c r="A117" i="15"/>
  <c r="A113" i="15"/>
  <c r="A109" i="15"/>
  <c r="A105" i="15"/>
  <c r="A101" i="15"/>
  <c r="A68" i="15"/>
  <c r="A595" i="15"/>
  <c r="A956" i="15"/>
  <c r="A581" i="15"/>
  <c r="A573" i="15"/>
  <c r="A560" i="15"/>
  <c r="A549" i="15"/>
  <c r="A535" i="15"/>
  <c r="A524" i="15"/>
  <c r="A516" i="15"/>
  <c r="A488" i="15"/>
  <c r="A458" i="15"/>
  <c r="A446" i="15"/>
  <c r="A51" i="15"/>
  <c r="A438" i="15"/>
  <c r="A434" i="15"/>
  <c r="A430" i="15"/>
  <c r="A425" i="15"/>
  <c r="A420" i="15"/>
  <c r="A418" i="15"/>
  <c r="A412" i="15"/>
  <c r="A407" i="15"/>
  <c r="A403" i="15"/>
  <c r="A398" i="15"/>
  <c r="A393" i="15"/>
  <c r="A390" i="15"/>
  <c r="A385" i="15"/>
  <c r="A50" i="15"/>
  <c r="A229" i="15"/>
  <c r="A220" i="15"/>
  <c r="A484" i="15"/>
  <c r="A928" i="15"/>
  <c r="A861" i="15"/>
  <c r="A485" i="15"/>
  <c r="A31" i="15"/>
  <c r="A772" i="15"/>
  <c r="A377" i="15"/>
  <c r="A86" i="15"/>
  <c r="A72" i="15"/>
  <c r="A12" i="15"/>
  <c r="A47" i="15"/>
  <c r="A486" i="15"/>
  <c r="A477" i="15"/>
  <c r="A469" i="15"/>
  <c r="A464" i="15"/>
  <c r="A461" i="15"/>
  <c r="A459" i="15"/>
  <c r="A456" i="15"/>
  <c r="A443" i="15"/>
  <c r="A67" i="15"/>
  <c r="A62" i="15"/>
  <c r="A52" i="15"/>
  <c r="A43" i="15"/>
  <c r="A510" i="15"/>
  <c r="A507" i="15"/>
  <c r="A493" i="15"/>
  <c r="A489" i="15"/>
  <c r="A474" i="15"/>
  <c r="A449" i="15"/>
  <c r="A49" i="15"/>
  <c r="A1000" i="15"/>
  <c r="A998" i="15"/>
  <c r="A952" i="15"/>
  <c r="A947" i="15"/>
  <c r="A933" i="15"/>
  <c r="A924" i="15"/>
  <c r="A920" i="15"/>
  <c r="A909" i="15"/>
  <c r="A894" i="15"/>
  <c r="A874" i="15"/>
  <c r="A863" i="15"/>
  <c r="A569" i="15"/>
  <c r="A555" i="15"/>
  <c r="A532" i="15"/>
  <c r="A506" i="15"/>
  <c r="A501" i="15"/>
  <c r="A490" i="15"/>
  <c r="A482" i="15"/>
  <c r="A472" i="15"/>
  <c r="A452" i="15"/>
  <c r="A70" i="15"/>
  <c r="A63" i="15"/>
  <c r="A55" i="15"/>
  <c r="A42" i="15"/>
  <c r="A35" i="15"/>
  <c r="A854" i="15"/>
  <c r="A856" i="15"/>
  <c r="A558" i="15"/>
  <c r="A545" i="15"/>
  <c r="A537" i="15"/>
  <c r="A527" i="15"/>
  <c r="A785" i="15"/>
  <c r="A783" i="15"/>
  <c r="A780" i="15"/>
  <c r="A777" i="15"/>
  <c r="A774" i="15"/>
  <c r="A770" i="15"/>
  <c r="A668" i="15"/>
  <c r="A30" i="15"/>
  <c r="A415" i="15"/>
  <c r="A236" i="15"/>
  <c r="A232" i="15"/>
  <c r="A225" i="15"/>
  <c r="A216" i="15"/>
  <c r="A212" i="15"/>
  <c r="A34" i="15"/>
  <c r="A871" i="15"/>
  <c r="A480" i="15"/>
  <c r="A61" i="15"/>
  <c r="A563" i="15"/>
  <c r="A786" i="15"/>
  <c r="A762" i="15"/>
  <c r="A661" i="15"/>
  <c r="A93" i="15"/>
  <c r="A82" i="15"/>
  <c r="A58" i="15"/>
  <c r="A16" i="15"/>
  <c r="A11" i="15"/>
  <c r="A460" i="15"/>
  <c r="A500" i="15"/>
  <c r="A483" i="15"/>
  <c r="A481" i="15"/>
  <c r="A479" i="15"/>
  <c r="A475" i="15"/>
  <c r="A471" i="15"/>
  <c r="A467" i="15"/>
  <c r="A466" i="15"/>
  <c r="A465" i="15"/>
  <c r="A463" i="15"/>
  <c r="A767" i="15"/>
  <c r="A763" i="15"/>
  <c r="A761" i="15"/>
  <c r="A757" i="15"/>
  <c r="A754" i="15"/>
  <c r="A662" i="15"/>
  <c r="A660" i="15"/>
  <c r="A655" i="15"/>
  <c r="A652" i="15"/>
  <c r="A649" i="15"/>
  <c r="A644" i="15"/>
  <c r="A640" i="15"/>
  <c r="A637" i="15"/>
  <c r="A633" i="15"/>
  <c r="A629" i="15"/>
  <c r="A624" i="15"/>
  <c r="A621" i="15"/>
  <c r="A617" i="15"/>
  <c r="A613" i="15"/>
  <c r="A309" i="15"/>
  <c r="A138" i="15"/>
  <c r="A134" i="15"/>
  <c r="A130" i="15"/>
  <c r="A127" i="15"/>
  <c r="A124" i="15"/>
  <c r="A120" i="15"/>
  <c r="A116" i="15"/>
  <c r="A112" i="15"/>
  <c r="A108" i="15"/>
  <c r="A103" i="15"/>
  <c r="A100" i="15"/>
  <c r="A963" i="15"/>
  <c r="A600" i="15"/>
  <c r="A961" i="15"/>
  <c r="A583" i="15"/>
  <c r="A578" i="15"/>
  <c r="A570" i="15"/>
  <c r="A556" i="15"/>
  <c r="A538" i="15"/>
  <c r="A525" i="15"/>
  <c r="A519" i="15"/>
  <c r="A509" i="15"/>
  <c r="A470" i="15"/>
  <c r="A454" i="15"/>
  <c r="A66" i="15"/>
  <c r="A442" i="15"/>
  <c r="A440" i="15"/>
  <c r="A332" i="15"/>
  <c r="A432" i="15"/>
  <c r="A427" i="15"/>
  <c r="A422" i="15"/>
  <c r="A416" i="15"/>
  <c r="A414" i="15"/>
  <c r="A410" i="15"/>
  <c r="A405" i="15"/>
  <c r="A400" i="15"/>
  <c r="A396" i="15"/>
  <c r="A392" i="15"/>
  <c r="A387" i="15"/>
  <c r="A383" i="15"/>
  <c r="A379" i="15"/>
  <c r="A310" i="15"/>
  <c r="A295" i="15"/>
  <c r="A292" i="15"/>
  <c r="A288" i="15"/>
  <c r="A98" i="15"/>
  <c r="A96" i="15"/>
  <c r="A94" i="15"/>
  <c r="A92" i="15"/>
  <c r="A90" i="15"/>
  <c r="A89" i="15"/>
  <c r="A87" i="15"/>
  <c r="A85" i="15"/>
  <c r="A83" i="15"/>
  <c r="A81" i="15"/>
  <c r="A79" i="15"/>
  <c r="A77" i="15"/>
  <c r="A75" i="15"/>
  <c r="A73" i="15"/>
  <c r="A71" i="15"/>
  <c r="A60" i="15"/>
  <c r="A57" i="15"/>
  <c r="A46" i="15"/>
  <c r="A21" i="15"/>
  <c r="A19" i="15"/>
  <c r="A17" i="15"/>
  <c r="A15" i="15"/>
  <c r="A13" i="15"/>
  <c r="A608" i="15"/>
  <c r="A604" i="15"/>
  <c r="A601" i="15"/>
  <c r="A599" i="15"/>
  <c r="A594" i="15"/>
  <c r="A592" i="15"/>
  <c r="A41" i="15"/>
  <c r="A40" i="15"/>
  <c r="A33" i="15"/>
  <c r="A32" i="15"/>
  <c r="A996" i="15"/>
  <c r="A994" i="15"/>
  <c r="A993" i="15"/>
  <c r="A992" i="15"/>
  <c r="A991" i="15"/>
  <c r="A989" i="15"/>
  <c r="A988" i="15"/>
  <c r="A987" i="15"/>
  <c r="A985" i="15"/>
  <c r="A984" i="15"/>
  <c r="A983" i="15"/>
  <c r="A670" i="15"/>
  <c r="A589" i="15"/>
  <c r="A221" i="15"/>
  <c r="A214" i="15"/>
  <c r="A997" i="15"/>
  <c r="A906" i="15"/>
  <c r="A540" i="15"/>
  <c r="A468" i="15"/>
  <c r="A853" i="15"/>
  <c r="A768" i="15"/>
  <c r="A290" i="15"/>
  <c r="A80" i="15"/>
  <c r="A54" i="15"/>
  <c r="A10" i="15"/>
  <c r="A513" i="15"/>
  <c r="A976" i="15"/>
  <c r="A960" i="15"/>
  <c r="A935" i="15"/>
  <c r="A902" i="15"/>
  <c r="A888" i="15"/>
  <c r="A868" i="15"/>
  <c r="A553" i="15"/>
  <c r="A530" i="15"/>
  <c r="A495" i="15"/>
  <c r="A478" i="15"/>
  <c r="A967" i="15"/>
  <c r="A937" i="15"/>
  <c r="A916" i="15"/>
  <c r="A903" i="15"/>
  <c r="A877" i="15"/>
  <c r="A857" i="15"/>
  <c r="A548" i="15"/>
  <c r="A503" i="15"/>
  <c r="A496" i="15"/>
  <c r="A476" i="15"/>
  <c r="A69" i="15"/>
  <c r="A48" i="15"/>
  <c r="A36" i="15"/>
  <c r="A859" i="15"/>
  <c r="A557" i="15"/>
  <c r="A534" i="15"/>
  <c r="A504" i="15"/>
  <c r="A781" i="15"/>
  <c r="A776" i="15"/>
  <c r="A771" i="15"/>
  <c r="A765" i="15"/>
  <c r="A759" i="15"/>
  <c r="A753" i="15"/>
  <c r="A136" i="15"/>
  <c r="A128" i="15"/>
  <c r="A122" i="15"/>
  <c r="A115" i="15"/>
  <c r="A107" i="15"/>
  <c r="A990" i="15"/>
  <c r="A588" i="15"/>
  <c r="A575" i="15"/>
  <c r="A643" i="15"/>
  <c r="A622" i="15"/>
  <c r="A605" i="15"/>
  <c r="A591" i="15"/>
  <c r="A850" i="15"/>
  <c r="A847" i="15"/>
  <c r="A844" i="15"/>
  <c r="A842" i="15"/>
  <c r="A839" i="15"/>
  <c r="A667" i="15"/>
  <c r="A672" i="15"/>
  <c r="A436" i="15"/>
  <c r="A511" i="15"/>
  <c r="A437" i="15"/>
  <c r="A421" i="15"/>
  <c r="A234" i="15"/>
  <c r="A228" i="15"/>
  <c r="A213" i="15"/>
  <c r="A209" i="15"/>
  <c r="A448" i="15"/>
  <c r="A949" i="15"/>
  <c r="A37" i="15"/>
  <c r="A544" i="15"/>
  <c r="A778" i="15"/>
  <c r="A752" i="15"/>
  <c r="A380" i="15"/>
  <c r="A99" i="15"/>
  <c r="A91" i="15"/>
  <c r="A78" i="15"/>
  <c r="A64" i="15"/>
  <c r="A18" i="15"/>
  <c r="A445" i="15"/>
  <c r="A39" i="15"/>
  <c r="A492" i="15"/>
  <c r="A980" i="15"/>
  <c r="A979" i="15"/>
  <c r="A974" i="15"/>
  <c r="A971" i="15"/>
  <c r="A964" i="15"/>
  <c r="A957" i="15"/>
  <c r="A944" i="15"/>
  <c r="A932" i="15"/>
  <c r="A921" i="15"/>
  <c r="A910" i="15"/>
  <c r="A893" i="15"/>
  <c r="A890" i="15"/>
  <c r="A887" i="15"/>
  <c r="A883" i="15"/>
  <c r="A870" i="15"/>
  <c r="A858" i="15"/>
  <c r="A566" i="15"/>
  <c r="A547" i="15"/>
  <c r="A542" i="15"/>
  <c r="A539" i="15"/>
  <c r="A528" i="15"/>
  <c r="A521" i="15"/>
  <c r="A836" i="15"/>
  <c r="A833" i="15"/>
  <c r="A831" i="15"/>
  <c r="A828" i="15"/>
  <c r="A826" i="15"/>
  <c r="A823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986" i="15"/>
  <c r="A968" i="15"/>
  <c r="A958" i="15"/>
  <c r="A954" i="15"/>
  <c r="A951" i="15"/>
  <c r="A950" i="15"/>
  <c r="A948" i="15"/>
  <c r="A946" i="15"/>
  <c r="A942" i="15"/>
  <c r="A940" i="15"/>
  <c r="A939" i="15"/>
  <c r="A936" i="15"/>
  <c r="A934" i="15"/>
  <c r="A931" i="15"/>
  <c r="A930" i="15"/>
  <c r="A926" i="15"/>
  <c r="A925" i="15"/>
  <c r="A923" i="15"/>
  <c r="A922" i="15"/>
  <c r="A919" i="15"/>
  <c r="A917" i="15"/>
  <c r="A915" i="15"/>
  <c r="A912" i="15"/>
  <c r="A911" i="15"/>
  <c r="A908" i="15"/>
  <c r="A907" i="15"/>
  <c r="A905" i="15"/>
  <c r="A904" i="15"/>
  <c r="A901" i="15"/>
  <c r="A899" i="15"/>
  <c r="A897" i="15"/>
  <c r="A895" i="15"/>
  <c r="A884" i="15"/>
  <c r="A881" i="15"/>
  <c r="A878" i="15"/>
  <c r="A311" i="15"/>
  <c r="A139" i="15"/>
  <c r="A135" i="15"/>
  <c r="A131" i="15"/>
  <c r="A123" i="15"/>
  <c r="A119" i="15"/>
  <c r="A114" i="15"/>
  <c r="A110" i="15"/>
  <c r="A106" i="15"/>
  <c r="A102" i="15"/>
  <c r="A53" i="15"/>
  <c r="A593" i="15"/>
  <c r="A584" i="15"/>
  <c r="A576" i="15"/>
  <c r="A657" i="15"/>
  <c r="A650" i="15"/>
  <c r="A635" i="15"/>
  <c r="A628" i="15"/>
  <c r="A615" i="15"/>
  <c r="A610" i="15"/>
  <c r="A598" i="15"/>
  <c r="A852" i="15"/>
  <c r="A851" i="15"/>
  <c r="A849" i="15"/>
  <c r="A848" i="15"/>
  <c r="A846" i="15"/>
  <c r="A845" i="15"/>
  <c r="A843" i="15"/>
  <c r="A841" i="15"/>
  <c r="A840" i="15"/>
  <c r="A838" i="15"/>
  <c r="A837" i="15"/>
  <c r="A835" i="15"/>
  <c r="A580" i="15"/>
  <c r="A523" i="15"/>
  <c r="A431" i="15"/>
  <c r="A426" i="15"/>
  <c r="A419" i="15"/>
  <c r="A235" i="15"/>
  <c r="A230" i="15"/>
  <c r="A223" i="15"/>
  <c r="A215" i="15"/>
  <c r="A210" i="15"/>
  <c r="A999" i="15"/>
  <c r="A913" i="15"/>
  <c r="A880" i="15"/>
  <c r="A515" i="15"/>
  <c r="A65" i="15"/>
  <c r="A514" i="15"/>
  <c r="A775" i="15"/>
  <c r="A758" i="15"/>
  <c r="A656" i="15"/>
  <c r="A294" i="15"/>
  <c r="A95" i="15"/>
  <c r="A84" i="15"/>
  <c r="A74" i="15"/>
  <c r="A22" i="15"/>
  <c r="A14" i="15"/>
  <c r="A56" i="15"/>
  <c r="A505" i="15"/>
  <c r="A981" i="15"/>
  <c r="A978" i="15"/>
  <c r="A972" i="15"/>
  <c r="A965" i="15"/>
  <c r="A955" i="15"/>
  <c r="A943" i="15"/>
  <c r="A929" i="15"/>
  <c r="A918" i="15"/>
  <c r="A900" i="15"/>
  <c r="A892" i="15"/>
  <c r="A889" i="15"/>
  <c r="A886" i="15"/>
  <c r="A882" i="15"/>
  <c r="A866" i="15"/>
  <c r="A571" i="15"/>
  <c r="A565" i="15"/>
  <c r="A546" i="15"/>
  <c r="A541" i="15"/>
  <c r="A533" i="15"/>
  <c r="A526" i="15"/>
  <c r="A518" i="15"/>
  <c r="A834" i="15"/>
  <c r="A832" i="15"/>
  <c r="A830" i="15"/>
  <c r="A829" i="15"/>
  <c r="A827" i="15"/>
  <c r="A825" i="15"/>
  <c r="A824" i="15"/>
  <c r="A822" i="15"/>
  <c r="A876" i="15"/>
  <c r="A875" i="15"/>
  <c r="A873" i="15"/>
  <c r="A872" i="15"/>
  <c r="A869" i="15"/>
  <c r="A867" i="15"/>
  <c r="A865" i="15"/>
  <c r="A862" i="15"/>
  <c r="A860" i="15"/>
  <c r="A564" i="15"/>
  <c r="A554" i="15"/>
  <c r="A529" i="15"/>
  <c r="A512" i="15"/>
  <c r="A784" i="15"/>
  <c r="A779" i="15"/>
  <c r="A773" i="15"/>
  <c r="A769" i="15"/>
  <c r="A764" i="15"/>
  <c r="A760" i="15"/>
  <c r="A755" i="15"/>
  <c r="A659" i="15"/>
  <c r="A654" i="15"/>
  <c r="A647" i="15"/>
  <c r="A642" i="15"/>
  <c r="A636" i="15"/>
  <c r="A631" i="15"/>
  <c r="A626" i="15"/>
  <c r="A620" i="15"/>
  <c r="A614" i="15"/>
  <c r="A609" i="15"/>
  <c r="A602" i="15"/>
  <c r="A597" i="15"/>
  <c r="A590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66" i="15"/>
  <c r="A671" i="15"/>
  <c r="A587" i="15"/>
  <c r="A462" i="15"/>
  <c r="A433" i="15"/>
  <c r="A424" i="15"/>
  <c r="A237" i="15"/>
  <c r="A226" i="15"/>
  <c r="A222" i="15"/>
  <c r="A219" i="15"/>
  <c r="A211" i="15"/>
  <c r="A455" i="15"/>
  <c r="A561" i="15"/>
  <c r="A497" i="15"/>
  <c r="A45" i="15"/>
  <c r="A551" i="15"/>
  <c r="A782" i="15"/>
  <c r="A756" i="15"/>
  <c r="A653" i="15"/>
  <c r="A298" i="15"/>
  <c r="A97" i="15"/>
  <c r="A88" i="15"/>
  <c r="A76" i="15"/>
  <c r="A20" i="15"/>
  <c r="A451" i="15"/>
  <c r="A498" i="15"/>
  <c r="A982" i="15"/>
  <c r="A977" i="15"/>
  <c r="A973" i="15"/>
  <c r="A969" i="15"/>
  <c r="A959" i="15"/>
  <c r="A945" i="15"/>
  <c r="A938" i="15"/>
  <c r="A927" i="15"/>
  <c r="A914" i="15"/>
  <c r="A896" i="15"/>
  <c r="A891" i="15"/>
  <c r="A885" i="15"/>
  <c r="A879" i="15"/>
  <c r="A864" i="15"/>
  <c r="A567" i="15"/>
  <c r="A683" i="15"/>
  <c r="A682" i="15"/>
  <c r="A681" i="15"/>
  <c r="A680" i="15"/>
  <c r="A679" i="15"/>
  <c r="A678" i="15"/>
  <c r="A677" i="15"/>
  <c r="A676" i="15"/>
  <c r="A675" i="15"/>
  <c r="A674" i="15"/>
  <c r="A673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995" i="15"/>
  <c r="A299" i="15"/>
  <c r="A966" i="15"/>
  <c r="A586" i="15"/>
  <c r="A579" i="15"/>
  <c r="A568" i="15"/>
  <c r="A550" i="15"/>
  <c r="A531" i="15"/>
  <c r="A517" i="15"/>
  <c r="A473" i="15"/>
  <c r="A450" i="15"/>
  <c r="A38" i="15"/>
  <c r="A435" i="15"/>
  <c r="A428" i="15"/>
  <c r="A423" i="15"/>
  <c r="A417" i="15"/>
  <c r="A409" i="15"/>
  <c r="A402" i="15"/>
  <c r="A395" i="15"/>
  <c r="A388" i="15"/>
  <c r="A382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585" i="15"/>
  <c r="A305" i="15"/>
  <c r="A606" i="15"/>
  <c r="A611" i="15"/>
  <c r="A618" i="15"/>
  <c r="A625" i="15"/>
  <c r="A632" i="15"/>
  <c r="A639" i="15"/>
  <c r="A646" i="15"/>
  <c r="A651" i="15"/>
  <c r="A658" i="15"/>
  <c r="A663" i="15"/>
  <c r="A664" i="15"/>
  <c r="A665" i="15"/>
  <c r="AR1001" i="13"/>
  <c r="AT1001" i="13"/>
  <c r="AP1001" i="13"/>
  <c r="AQ1001" i="13"/>
  <c r="AS1001" i="13"/>
  <c r="AU1001" i="13"/>
  <c r="B11" i="13"/>
  <c r="Z1001" i="13" l="1"/>
  <c r="P1001" i="15"/>
  <c r="O1001" i="15"/>
  <c r="N1001" i="15"/>
  <c r="M1001" i="15"/>
  <c r="L1001" i="15"/>
  <c r="K1001" i="15"/>
  <c r="J1001" i="15"/>
  <c r="I1001" i="15"/>
  <c r="H1001" i="15"/>
  <c r="G1001" i="15"/>
  <c r="F1001" i="15"/>
  <c r="E1001" i="15"/>
  <c r="D1001" i="15"/>
  <c r="AC1001" i="13" s="1"/>
  <c r="C1001" i="15"/>
  <c r="AB1001" i="13" s="1"/>
  <c r="B1001" i="15"/>
  <c r="AA1001" i="13" s="1"/>
  <c r="B303" i="15"/>
  <c r="AA303" i="13" s="1"/>
  <c r="C303" i="15"/>
  <c r="AB303" i="13" s="1"/>
  <c r="D303" i="15"/>
  <c r="AC303" i="13" s="1"/>
  <c r="E303" i="15"/>
  <c r="F303" i="15"/>
  <c r="G303" i="15"/>
  <c r="H303" i="15"/>
  <c r="I303" i="15"/>
  <c r="J303" i="15"/>
  <c r="K303" i="15"/>
  <c r="L303" i="15"/>
  <c r="M303" i="15"/>
  <c r="N303" i="15"/>
  <c r="O303" i="15"/>
  <c r="P303" i="15"/>
  <c r="Z303" i="13"/>
  <c r="B301" i="15"/>
  <c r="AA301" i="13" s="1"/>
  <c r="C301" i="15"/>
  <c r="AB301" i="13" s="1"/>
  <c r="D301" i="15"/>
  <c r="AC301" i="13" s="1"/>
  <c r="E301" i="15"/>
  <c r="F301" i="15"/>
  <c r="G301" i="15"/>
  <c r="H301" i="15"/>
  <c r="I301" i="15"/>
  <c r="J301" i="15"/>
  <c r="K301" i="15"/>
  <c r="L301" i="15"/>
  <c r="M301" i="15"/>
  <c r="N301" i="15"/>
  <c r="O301" i="15"/>
  <c r="P301" i="15"/>
  <c r="Z301" i="13"/>
  <c r="B302" i="15"/>
  <c r="AA302" i="13" s="1"/>
  <c r="C302" i="15"/>
  <c r="AB302" i="13" s="1"/>
  <c r="D302" i="15"/>
  <c r="AC302" i="13" s="1"/>
  <c r="E302" i="15"/>
  <c r="F302" i="15"/>
  <c r="G302" i="15"/>
  <c r="H302" i="15"/>
  <c r="I302" i="15"/>
  <c r="J302" i="15"/>
  <c r="K302" i="15"/>
  <c r="L302" i="15"/>
  <c r="M302" i="15"/>
  <c r="N302" i="15"/>
  <c r="O302" i="15"/>
  <c r="P302" i="15"/>
  <c r="Z302" i="13"/>
  <c r="B300" i="15"/>
  <c r="AA300" i="13" s="1"/>
  <c r="C300" i="15"/>
  <c r="AB300" i="13" s="1"/>
  <c r="D300" i="15"/>
  <c r="AC300" i="13" s="1"/>
  <c r="E300" i="15"/>
  <c r="F300" i="15"/>
  <c r="G300" i="15"/>
  <c r="H300" i="15"/>
  <c r="I300" i="15"/>
  <c r="J300" i="15"/>
  <c r="K300" i="15"/>
  <c r="L300" i="15"/>
  <c r="M300" i="15"/>
  <c r="N300" i="15"/>
  <c r="O300" i="15"/>
  <c r="P300" i="15"/>
  <c r="Z300" i="13"/>
  <c r="B304" i="15"/>
  <c r="AA304" i="13" s="1"/>
  <c r="C304" i="15"/>
  <c r="AB304" i="13" s="1"/>
  <c r="D304" i="15"/>
  <c r="AC304" i="13" s="1"/>
  <c r="E304" i="15"/>
  <c r="F304" i="15"/>
  <c r="G304" i="15"/>
  <c r="H304" i="15"/>
  <c r="I304" i="15"/>
  <c r="J304" i="15"/>
  <c r="K304" i="15"/>
  <c r="L304" i="15"/>
  <c r="M304" i="15"/>
  <c r="N304" i="15"/>
  <c r="O304" i="15"/>
  <c r="P304" i="15"/>
  <c r="Z304" i="13"/>
  <c r="B669" i="15"/>
  <c r="AA669" i="13" s="1"/>
  <c r="C669" i="15"/>
  <c r="AB669" i="13" s="1"/>
  <c r="D669" i="15"/>
  <c r="AC669" i="13" s="1"/>
  <c r="E669" i="15"/>
  <c r="F669" i="15"/>
  <c r="G669" i="15"/>
  <c r="H669" i="15"/>
  <c r="I669" i="15"/>
  <c r="J669" i="15"/>
  <c r="K669" i="15"/>
  <c r="L669" i="15"/>
  <c r="M669" i="15"/>
  <c r="N669" i="15"/>
  <c r="O669" i="15"/>
  <c r="P669" i="15"/>
  <c r="Z669" i="13"/>
  <c r="B572" i="15"/>
  <c r="AA572" i="13" s="1"/>
  <c r="D572" i="15"/>
  <c r="AC572" i="13" s="1"/>
  <c r="E572" i="15"/>
  <c r="F572" i="15"/>
  <c r="K572" i="15"/>
  <c r="N572" i="15"/>
  <c r="O572" i="15"/>
  <c r="G572" i="15"/>
  <c r="I572" i="15"/>
  <c r="J572" i="15"/>
  <c r="L572" i="15"/>
  <c r="M572" i="15"/>
  <c r="P572" i="15"/>
  <c r="C572" i="15"/>
  <c r="AB572" i="13" s="1"/>
  <c r="H572" i="15"/>
  <c r="Z572" i="13"/>
  <c r="B413" i="15"/>
  <c r="AA413" i="13" s="1"/>
  <c r="C413" i="15"/>
  <c r="AB413" i="13" s="1"/>
  <c r="D413" i="15"/>
  <c r="AC413" i="13" s="1"/>
  <c r="E413" i="15"/>
  <c r="F413" i="15"/>
  <c r="G413" i="15"/>
  <c r="H413" i="15"/>
  <c r="I413" i="15"/>
  <c r="J413" i="15"/>
  <c r="K413" i="15"/>
  <c r="L413" i="15"/>
  <c r="M413" i="15"/>
  <c r="N413" i="15"/>
  <c r="O413" i="15"/>
  <c r="P413" i="15"/>
  <c r="Z413" i="13"/>
  <c r="B411" i="15"/>
  <c r="AA411" i="13" s="1"/>
  <c r="C411" i="15"/>
  <c r="AB411" i="13" s="1"/>
  <c r="D411" i="15"/>
  <c r="AC411" i="13" s="1"/>
  <c r="E411" i="15"/>
  <c r="F411" i="15"/>
  <c r="G411" i="15"/>
  <c r="H411" i="15"/>
  <c r="I411" i="15"/>
  <c r="J411" i="15"/>
  <c r="K411" i="15"/>
  <c r="L411" i="15"/>
  <c r="M411" i="15"/>
  <c r="N411" i="15"/>
  <c r="O411" i="15"/>
  <c r="P411" i="15"/>
  <c r="Z411" i="13"/>
  <c r="B408" i="15"/>
  <c r="AA408" i="13" s="1"/>
  <c r="C408" i="15"/>
  <c r="AB408" i="13" s="1"/>
  <c r="D408" i="15"/>
  <c r="AC408" i="13" s="1"/>
  <c r="E408" i="15"/>
  <c r="F408" i="15"/>
  <c r="G408" i="15"/>
  <c r="H408" i="15"/>
  <c r="I408" i="15"/>
  <c r="J408" i="15"/>
  <c r="K408" i="15"/>
  <c r="L408" i="15"/>
  <c r="M408" i="15"/>
  <c r="N408" i="15"/>
  <c r="O408" i="15"/>
  <c r="P408" i="15"/>
  <c r="Z408" i="13"/>
  <c r="B406" i="15"/>
  <c r="AA406" i="13" s="1"/>
  <c r="C406" i="15"/>
  <c r="AB406" i="13" s="1"/>
  <c r="D406" i="15"/>
  <c r="AC406" i="13" s="1"/>
  <c r="E406" i="15"/>
  <c r="F406" i="15"/>
  <c r="G406" i="15"/>
  <c r="H406" i="15"/>
  <c r="I406" i="15"/>
  <c r="J406" i="15"/>
  <c r="K406" i="15"/>
  <c r="L406" i="15"/>
  <c r="M406" i="15"/>
  <c r="N406" i="15"/>
  <c r="O406" i="15"/>
  <c r="P406" i="15"/>
  <c r="Z406" i="13"/>
  <c r="B404" i="15"/>
  <c r="AA404" i="13" s="1"/>
  <c r="C404" i="15"/>
  <c r="AB404" i="13" s="1"/>
  <c r="D404" i="15"/>
  <c r="AC404" i="13" s="1"/>
  <c r="E404" i="15"/>
  <c r="F404" i="15"/>
  <c r="G404" i="15"/>
  <c r="H404" i="15"/>
  <c r="I404" i="15"/>
  <c r="J404" i="15"/>
  <c r="K404" i="15"/>
  <c r="L404" i="15"/>
  <c r="M404" i="15"/>
  <c r="N404" i="15"/>
  <c r="O404" i="15"/>
  <c r="P404" i="15"/>
  <c r="Z404" i="13"/>
  <c r="B401" i="15"/>
  <c r="AA401" i="13" s="1"/>
  <c r="C401" i="15"/>
  <c r="AB401" i="13" s="1"/>
  <c r="D401" i="15"/>
  <c r="AC401" i="13" s="1"/>
  <c r="E401" i="15"/>
  <c r="F401" i="15"/>
  <c r="G401" i="15"/>
  <c r="H401" i="15"/>
  <c r="I401" i="15"/>
  <c r="J401" i="15"/>
  <c r="K401" i="15"/>
  <c r="L401" i="15"/>
  <c r="M401" i="15"/>
  <c r="N401" i="15"/>
  <c r="O401" i="15"/>
  <c r="P401" i="15"/>
  <c r="Z401" i="13"/>
  <c r="B399" i="15"/>
  <c r="AA399" i="13" s="1"/>
  <c r="C399" i="15"/>
  <c r="AB399" i="13" s="1"/>
  <c r="D399" i="15"/>
  <c r="AC399" i="13" s="1"/>
  <c r="E399" i="15"/>
  <c r="F399" i="15"/>
  <c r="G399" i="15"/>
  <c r="H399" i="15"/>
  <c r="I399" i="15"/>
  <c r="J399" i="15"/>
  <c r="K399" i="15"/>
  <c r="L399" i="15"/>
  <c r="M399" i="15"/>
  <c r="N399" i="15"/>
  <c r="O399" i="15"/>
  <c r="P399" i="15"/>
  <c r="Z399" i="13"/>
  <c r="B397" i="15"/>
  <c r="AA397" i="13" s="1"/>
  <c r="C397" i="15"/>
  <c r="AB397" i="13" s="1"/>
  <c r="D397" i="15"/>
  <c r="AC397" i="13" s="1"/>
  <c r="E397" i="15"/>
  <c r="F397" i="15"/>
  <c r="G397" i="15"/>
  <c r="H397" i="15"/>
  <c r="I397" i="15"/>
  <c r="J397" i="15"/>
  <c r="K397" i="15"/>
  <c r="L397" i="15"/>
  <c r="M397" i="15"/>
  <c r="N397" i="15"/>
  <c r="O397" i="15"/>
  <c r="P397" i="15"/>
  <c r="Z397" i="13"/>
  <c r="B394" i="15"/>
  <c r="AA394" i="13" s="1"/>
  <c r="C394" i="15"/>
  <c r="AB394" i="13" s="1"/>
  <c r="D394" i="15"/>
  <c r="AC394" i="13" s="1"/>
  <c r="E394" i="15"/>
  <c r="F394" i="15"/>
  <c r="G394" i="15"/>
  <c r="H394" i="15"/>
  <c r="I394" i="15"/>
  <c r="J394" i="15"/>
  <c r="K394" i="15"/>
  <c r="L394" i="15"/>
  <c r="M394" i="15"/>
  <c r="N394" i="15"/>
  <c r="O394" i="15"/>
  <c r="P394" i="15"/>
  <c r="Z394" i="13"/>
  <c r="B391" i="15"/>
  <c r="AA391" i="13" s="1"/>
  <c r="C391" i="15"/>
  <c r="AB391" i="13" s="1"/>
  <c r="D391" i="15"/>
  <c r="AC391" i="13" s="1"/>
  <c r="E391" i="15"/>
  <c r="F391" i="15"/>
  <c r="G391" i="15"/>
  <c r="H391" i="15"/>
  <c r="I391" i="15"/>
  <c r="J391" i="15"/>
  <c r="K391" i="15"/>
  <c r="L391" i="15"/>
  <c r="M391" i="15"/>
  <c r="N391" i="15"/>
  <c r="O391" i="15"/>
  <c r="P391" i="15"/>
  <c r="Z391" i="13"/>
  <c r="B389" i="15"/>
  <c r="AA389" i="13" s="1"/>
  <c r="C389" i="15"/>
  <c r="AB389" i="13" s="1"/>
  <c r="D389" i="15"/>
  <c r="AC389" i="13" s="1"/>
  <c r="E389" i="15"/>
  <c r="F389" i="15"/>
  <c r="G389" i="15"/>
  <c r="H389" i="15"/>
  <c r="I389" i="15"/>
  <c r="J389" i="15"/>
  <c r="K389" i="15"/>
  <c r="L389" i="15"/>
  <c r="M389" i="15"/>
  <c r="N389" i="15"/>
  <c r="O389" i="15"/>
  <c r="P389" i="15"/>
  <c r="Z389" i="13"/>
  <c r="B386" i="15"/>
  <c r="AA386" i="13" s="1"/>
  <c r="C386" i="15"/>
  <c r="AB386" i="13" s="1"/>
  <c r="D386" i="15"/>
  <c r="AC386" i="13" s="1"/>
  <c r="E386" i="15"/>
  <c r="F386" i="15"/>
  <c r="G386" i="15"/>
  <c r="H386" i="15"/>
  <c r="I386" i="15"/>
  <c r="J386" i="15"/>
  <c r="K386" i="15"/>
  <c r="L386" i="15"/>
  <c r="M386" i="15"/>
  <c r="N386" i="15"/>
  <c r="O386" i="15"/>
  <c r="P386" i="15"/>
  <c r="Z386" i="13"/>
  <c r="B384" i="15"/>
  <c r="AA384" i="13" s="1"/>
  <c r="C384" i="15"/>
  <c r="AB384" i="13" s="1"/>
  <c r="D384" i="15"/>
  <c r="AC384" i="13" s="1"/>
  <c r="E384" i="15"/>
  <c r="F384" i="15"/>
  <c r="G384" i="15"/>
  <c r="H384" i="15"/>
  <c r="I384" i="15"/>
  <c r="J384" i="15"/>
  <c r="K384" i="15"/>
  <c r="L384" i="15"/>
  <c r="M384" i="15"/>
  <c r="N384" i="15"/>
  <c r="O384" i="15"/>
  <c r="P384" i="15"/>
  <c r="Z384" i="13"/>
  <c r="B381" i="15"/>
  <c r="AA381" i="13" s="1"/>
  <c r="C381" i="15"/>
  <c r="AB381" i="13" s="1"/>
  <c r="D381" i="15"/>
  <c r="AC381" i="13" s="1"/>
  <c r="E381" i="15"/>
  <c r="F381" i="15"/>
  <c r="G381" i="15"/>
  <c r="H381" i="15"/>
  <c r="I381" i="15"/>
  <c r="J381" i="15"/>
  <c r="K381" i="15"/>
  <c r="L381" i="15"/>
  <c r="M381" i="15"/>
  <c r="N381" i="15"/>
  <c r="O381" i="15"/>
  <c r="P381" i="15"/>
  <c r="Z381" i="13"/>
  <c r="B378" i="15"/>
  <c r="AA378" i="13" s="1"/>
  <c r="C378" i="15"/>
  <c r="AB378" i="13" s="1"/>
  <c r="D378" i="15"/>
  <c r="AC378" i="13" s="1"/>
  <c r="E378" i="15"/>
  <c r="F378" i="15"/>
  <c r="G378" i="15"/>
  <c r="H378" i="15"/>
  <c r="I378" i="15"/>
  <c r="J378" i="15"/>
  <c r="K378" i="15"/>
  <c r="L378" i="15"/>
  <c r="M378" i="15"/>
  <c r="N378" i="15"/>
  <c r="O378" i="15"/>
  <c r="P378" i="15"/>
  <c r="Z378" i="13"/>
  <c r="B376" i="15"/>
  <c r="AA376" i="13" s="1"/>
  <c r="C376" i="15"/>
  <c r="AB376" i="13" s="1"/>
  <c r="D376" i="15"/>
  <c r="AC376" i="13" s="1"/>
  <c r="E376" i="15"/>
  <c r="F376" i="15"/>
  <c r="G376" i="15"/>
  <c r="H376" i="15"/>
  <c r="I376" i="15"/>
  <c r="J376" i="15"/>
  <c r="K376" i="15"/>
  <c r="L376" i="15"/>
  <c r="M376" i="15"/>
  <c r="N376" i="15"/>
  <c r="O376" i="15"/>
  <c r="P376" i="15"/>
  <c r="Z376" i="13"/>
  <c r="B297" i="15"/>
  <c r="AA297" i="13" s="1"/>
  <c r="C297" i="15"/>
  <c r="AB297" i="13" s="1"/>
  <c r="D297" i="15"/>
  <c r="AC297" i="13" s="1"/>
  <c r="E297" i="15"/>
  <c r="F297" i="15"/>
  <c r="G297" i="15"/>
  <c r="H297" i="15"/>
  <c r="I297" i="15"/>
  <c r="J297" i="15"/>
  <c r="K297" i="15"/>
  <c r="L297" i="15"/>
  <c r="M297" i="15"/>
  <c r="N297" i="15"/>
  <c r="O297" i="15"/>
  <c r="P297" i="15"/>
  <c r="Z297" i="13"/>
  <c r="B296" i="15"/>
  <c r="AA296" i="13" s="1"/>
  <c r="C296" i="15"/>
  <c r="AB296" i="13" s="1"/>
  <c r="D296" i="15"/>
  <c r="AC296" i="13" s="1"/>
  <c r="E296" i="15"/>
  <c r="F296" i="15"/>
  <c r="G296" i="15"/>
  <c r="H296" i="15"/>
  <c r="I296" i="15"/>
  <c r="J296" i="15"/>
  <c r="K296" i="15"/>
  <c r="L296" i="15"/>
  <c r="M296" i="15"/>
  <c r="N296" i="15"/>
  <c r="O296" i="15"/>
  <c r="P296" i="15"/>
  <c r="Z296" i="13"/>
  <c r="B293" i="15"/>
  <c r="AA293" i="13" s="1"/>
  <c r="C293" i="15"/>
  <c r="AB293" i="13" s="1"/>
  <c r="D293" i="15"/>
  <c r="AC293" i="13" s="1"/>
  <c r="E293" i="15"/>
  <c r="F293" i="15"/>
  <c r="G293" i="15"/>
  <c r="H293" i="15"/>
  <c r="I293" i="15"/>
  <c r="J293" i="15"/>
  <c r="K293" i="15"/>
  <c r="L293" i="15"/>
  <c r="M293" i="15"/>
  <c r="N293" i="15"/>
  <c r="O293" i="15"/>
  <c r="P293" i="15"/>
  <c r="Z293" i="13"/>
  <c r="B291" i="15"/>
  <c r="AA291" i="13" s="1"/>
  <c r="C291" i="15"/>
  <c r="AB291" i="13" s="1"/>
  <c r="D291" i="15"/>
  <c r="AC291" i="13" s="1"/>
  <c r="E291" i="15"/>
  <c r="F291" i="15"/>
  <c r="G291" i="15"/>
  <c r="H291" i="15"/>
  <c r="I291" i="15"/>
  <c r="J291" i="15"/>
  <c r="K291" i="15"/>
  <c r="L291" i="15"/>
  <c r="M291" i="15"/>
  <c r="N291" i="15"/>
  <c r="O291" i="15"/>
  <c r="P291" i="15"/>
  <c r="Z291" i="13"/>
  <c r="B289" i="15"/>
  <c r="AA289" i="13" s="1"/>
  <c r="C289" i="15"/>
  <c r="AB289" i="13" s="1"/>
  <c r="D289" i="15"/>
  <c r="AC289" i="13" s="1"/>
  <c r="E289" i="15"/>
  <c r="F289" i="15"/>
  <c r="G289" i="15"/>
  <c r="H289" i="15"/>
  <c r="I289" i="15"/>
  <c r="J289" i="15"/>
  <c r="K289" i="15"/>
  <c r="L289" i="15"/>
  <c r="M289" i="15"/>
  <c r="N289" i="15"/>
  <c r="O289" i="15"/>
  <c r="P289" i="15"/>
  <c r="Z289" i="13"/>
  <c r="B287" i="15"/>
  <c r="AA287" i="13" s="1"/>
  <c r="C287" i="15"/>
  <c r="AB287" i="13" s="1"/>
  <c r="D287" i="15"/>
  <c r="AC287" i="13" s="1"/>
  <c r="E287" i="15"/>
  <c r="F287" i="15"/>
  <c r="G287" i="15"/>
  <c r="H287" i="15"/>
  <c r="I287" i="15"/>
  <c r="J287" i="15"/>
  <c r="K287" i="15"/>
  <c r="L287" i="15"/>
  <c r="M287" i="15"/>
  <c r="N287" i="15"/>
  <c r="O287" i="15"/>
  <c r="P287" i="15"/>
  <c r="Z287" i="13"/>
  <c r="B286" i="15"/>
  <c r="AA286" i="13" s="1"/>
  <c r="C286" i="15"/>
  <c r="AB286" i="13" s="1"/>
  <c r="D286" i="15"/>
  <c r="AC286" i="13" s="1"/>
  <c r="E286" i="15"/>
  <c r="F286" i="15"/>
  <c r="G286" i="15"/>
  <c r="H286" i="15"/>
  <c r="I286" i="15"/>
  <c r="J286" i="15"/>
  <c r="K286" i="15"/>
  <c r="L286" i="15"/>
  <c r="M286" i="15"/>
  <c r="N286" i="15"/>
  <c r="O286" i="15"/>
  <c r="P286" i="15"/>
  <c r="Z286" i="13"/>
  <c r="B285" i="15"/>
  <c r="AA285" i="13" s="1"/>
  <c r="C285" i="15"/>
  <c r="AB285" i="13" s="1"/>
  <c r="D285" i="15"/>
  <c r="AC285" i="13" s="1"/>
  <c r="E285" i="15"/>
  <c r="F285" i="15"/>
  <c r="G285" i="15"/>
  <c r="H285" i="15"/>
  <c r="I285" i="15"/>
  <c r="J285" i="15"/>
  <c r="K285" i="15"/>
  <c r="L285" i="15"/>
  <c r="M285" i="15"/>
  <c r="N285" i="15"/>
  <c r="O285" i="15"/>
  <c r="P285" i="15"/>
  <c r="Z285" i="13"/>
  <c r="B284" i="15"/>
  <c r="AA284" i="13" s="1"/>
  <c r="C284" i="15"/>
  <c r="AB284" i="13" s="1"/>
  <c r="D284" i="15"/>
  <c r="AC284" i="13" s="1"/>
  <c r="E284" i="15"/>
  <c r="F284" i="15"/>
  <c r="G284" i="15"/>
  <c r="H284" i="15"/>
  <c r="I284" i="15"/>
  <c r="J284" i="15"/>
  <c r="K284" i="15"/>
  <c r="L284" i="15"/>
  <c r="M284" i="15"/>
  <c r="N284" i="15"/>
  <c r="O284" i="15"/>
  <c r="P284" i="15"/>
  <c r="Z284" i="13"/>
  <c r="B283" i="15"/>
  <c r="AA283" i="13" s="1"/>
  <c r="C283" i="15"/>
  <c r="AB283" i="13" s="1"/>
  <c r="D283" i="15"/>
  <c r="AC283" i="13" s="1"/>
  <c r="E283" i="15"/>
  <c r="F283" i="15"/>
  <c r="G283" i="15"/>
  <c r="H283" i="15"/>
  <c r="I283" i="15"/>
  <c r="J283" i="15"/>
  <c r="K283" i="15"/>
  <c r="L283" i="15"/>
  <c r="M283" i="15"/>
  <c r="N283" i="15"/>
  <c r="O283" i="15"/>
  <c r="P283" i="15"/>
  <c r="Z283" i="13"/>
  <c r="B282" i="15"/>
  <c r="AA282" i="13" s="1"/>
  <c r="C282" i="15"/>
  <c r="AB282" i="13" s="1"/>
  <c r="D282" i="15"/>
  <c r="AC282" i="13" s="1"/>
  <c r="E282" i="15"/>
  <c r="F282" i="15"/>
  <c r="G282" i="15"/>
  <c r="H282" i="15"/>
  <c r="I282" i="15"/>
  <c r="J282" i="15"/>
  <c r="K282" i="15"/>
  <c r="L282" i="15"/>
  <c r="M282" i="15"/>
  <c r="N282" i="15"/>
  <c r="O282" i="15"/>
  <c r="P282" i="15"/>
  <c r="Z282" i="13"/>
  <c r="B281" i="15"/>
  <c r="AA281" i="13" s="1"/>
  <c r="C281" i="15"/>
  <c r="AB281" i="13" s="1"/>
  <c r="D281" i="15"/>
  <c r="AC281" i="13" s="1"/>
  <c r="E281" i="15"/>
  <c r="F281" i="15"/>
  <c r="G281" i="15"/>
  <c r="H281" i="15"/>
  <c r="I281" i="15"/>
  <c r="J281" i="15"/>
  <c r="K281" i="15"/>
  <c r="L281" i="15"/>
  <c r="M281" i="15"/>
  <c r="N281" i="15"/>
  <c r="O281" i="15"/>
  <c r="P281" i="15"/>
  <c r="Z281" i="13"/>
  <c r="B280" i="15"/>
  <c r="AA280" i="13" s="1"/>
  <c r="C280" i="15"/>
  <c r="AB280" i="13" s="1"/>
  <c r="D280" i="15"/>
  <c r="AC280" i="13" s="1"/>
  <c r="E280" i="15"/>
  <c r="F280" i="15"/>
  <c r="G280" i="15"/>
  <c r="H280" i="15"/>
  <c r="I280" i="15"/>
  <c r="J280" i="15"/>
  <c r="K280" i="15"/>
  <c r="L280" i="15"/>
  <c r="M280" i="15"/>
  <c r="N280" i="15"/>
  <c r="O280" i="15"/>
  <c r="P280" i="15"/>
  <c r="Z280" i="13"/>
  <c r="B279" i="15"/>
  <c r="AA279" i="13" s="1"/>
  <c r="C279" i="15"/>
  <c r="AB279" i="13" s="1"/>
  <c r="D279" i="15"/>
  <c r="AC279" i="13" s="1"/>
  <c r="E279" i="15"/>
  <c r="F279" i="15"/>
  <c r="G279" i="15"/>
  <c r="H279" i="15"/>
  <c r="I279" i="15"/>
  <c r="J279" i="15"/>
  <c r="K279" i="15"/>
  <c r="L279" i="15"/>
  <c r="M279" i="15"/>
  <c r="N279" i="15"/>
  <c r="O279" i="15"/>
  <c r="P279" i="15"/>
  <c r="Z279" i="13"/>
  <c r="B278" i="15"/>
  <c r="AA278" i="13" s="1"/>
  <c r="C278" i="15"/>
  <c r="AB278" i="13" s="1"/>
  <c r="D278" i="15"/>
  <c r="AC278" i="13" s="1"/>
  <c r="E278" i="15"/>
  <c r="F278" i="15"/>
  <c r="G278" i="15"/>
  <c r="H278" i="15"/>
  <c r="I278" i="15"/>
  <c r="J278" i="15"/>
  <c r="K278" i="15"/>
  <c r="L278" i="15"/>
  <c r="M278" i="15"/>
  <c r="N278" i="15"/>
  <c r="O278" i="15"/>
  <c r="P278" i="15"/>
  <c r="Z278" i="13"/>
  <c r="B277" i="15"/>
  <c r="AA277" i="13" s="1"/>
  <c r="C277" i="15"/>
  <c r="AB277" i="13" s="1"/>
  <c r="D277" i="15"/>
  <c r="AC277" i="13" s="1"/>
  <c r="E277" i="15"/>
  <c r="F277" i="15"/>
  <c r="G277" i="15"/>
  <c r="H277" i="15"/>
  <c r="I277" i="15"/>
  <c r="J277" i="15"/>
  <c r="K277" i="15"/>
  <c r="L277" i="15"/>
  <c r="M277" i="15"/>
  <c r="N277" i="15"/>
  <c r="O277" i="15"/>
  <c r="P277" i="15"/>
  <c r="Z277" i="13"/>
  <c r="B276" i="15"/>
  <c r="AA276" i="13" s="1"/>
  <c r="C276" i="15"/>
  <c r="AB276" i="13" s="1"/>
  <c r="D276" i="15"/>
  <c r="AC276" i="13" s="1"/>
  <c r="E276" i="15"/>
  <c r="F276" i="15"/>
  <c r="G276" i="15"/>
  <c r="H276" i="15"/>
  <c r="I276" i="15"/>
  <c r="J276" i="15"/>
  <c r="K276" i="15"/>
  <c r="L276" i="15"/>
  <c r="M276" i="15"/>
  <c r="N276" i="15"/>
  <c r="O276" i="15"/>
  <c r="P276" i="15"/>
  <c r="Z276" i="13"/>
  <c r="B275" i="15"/>
  <c r="AA275" i="13" s="1"/>
  <c r="C275" i="15"/>
  <c r="AB275" i="13" s="1"/>
  <c r="D275" i="15"/>
  <c r="AC275" i="13" s="1"/>
  <c r="E275" i="15"/>
  <c r="F275" i="15"/>
  <c r="G275" i="15"/>
  <c r="H275" i="15"/>
  <c r="I275" i="15"/>
  <c r="J275" i="15"/>
  <c r="K275" i="15"/>
  <c r="L275" i="15"/>
  <c r="M275" i="15"/>
  <c r="N275" i="15"/>
  <c r="O275" i="15"/>
  <c r="P275" i="15"/>
  <c r="Z275" i="13"/>
  <c r="B274" i="15"/>
  <c r="AA274" i="13" s="1"/>
  <c r="C274" i="15"/>
  <c r="AB274" i="13" s="1"/>
  <c r="D274" i="15"/>
  <c r="AC274" i="13" s="1"/>
  <c r="E274" i="15"/>
  <c r="F274" i="15"/>
  <c r="G274" i="15"/>
  <c r="H274" i="15"/>
  <c r="I274" i="15"/>
  <c r="J274" i="15"/>
  <c r="K274" i="15"/>
  <c r="L274" i="15"/>
  <c r="M274" i="15"/>
  <c r="N274" i="15"/>
  <c r="O274" i="15"/>
  <c r="P274" i="15"/>
  <c r="Z274" i="13"/>
  <c r="B273" i="15"/>
  <c r="AA273" i="13" s="1"/>
  <c r="C273" i="15"/>
  <c r="AB273" i="13" s="1"/>
  <c r="D273" i="15"/>
  <c r="AC273" i="13" s="1"/>
  <c r="E273" i="15"/>
  <c r="F273" i="15"/>
  <c r="G273" i="15"/>
  <c r="H273" i="15"/>
  <c r="I273" i="15"/>
  <c r="J273" i="15"/>
  <c r="K273" i="15"/>
  <c r="L273" i="15"/>
  <c r="M273" i="15"/>
  <c r="N273" i="15"/>
  <c r="O273" i="15"/>
  <c r="P273" i="15"/>
  <c r="Z273" i="13"/>
  <c r="B272" i="15"/>
  <c r="AA272" i="13" s="1"/>
  <c r="C272" i="15"/>
  <c r="AB272" i="13" s="1"/>
  <c r="D272" i="15"/>
  <c r="AC272" i="13" s="1"/>
  <c r="E272" i="15"/>
  <c r="F272" i="15"/>
  <c r="G272" i="15"/>
  <c r="H272" i="15"/>
  <c r="I272" i="15"/>
  <c r="J272" i="15"/>
  <c r="K272" i="15"/>
  <c r="L272" i="15"/>
  <c r="M272" i="15"/>
  <c r="N272" i="15"/>
  <c r="O272" i="15"/>
  <c r="P272" i="15"/>
  <c r="Z272" i="13"/>
  <c r="B271" i="15"/>
  <c r="AA271" i="13" s="1"/>
  <c r="C271" i="15"/>
  <c r="AB271" i="13" s="1"/>
  <c r="D271" i="15"/>
  <c r="AC271" i="13" s="1"/>
  <c r="E271" i="15"/>
  <c r="F271" i="15"/>
  <c r="G271" i="15"/>
  <c r="H271" i="15"/>
  <c r="I271" i="15"/>
  <c r="J271" i="15"/>
  <c r="K271" i="15"/>
  <c r="L271" i="15"/>
  <c r="M271" i="15"/>
  <c r="N271" i="15"/>
  <c r="O271" i="15"/>
  <c r="P271" i="15"/>
  <c r="Z271" i="13"/>
  <c r="B270" i="15"/>
  <c r="AA270" i="13" s="1"/>
  <c r="C270" i="15"/>
  <c r="AB270" i="13" s="1"/>
  <c r="D270" i="15"/>
  <c r="AC270" i="13" s="1"/>
  <c r="E270" i="15"/>
  <c r="F270" i="15"/>
  <c r="G270" i="15"/>
  <c r="H270" i="15"/>
  <c r="I270" i="15"/>
  <c r="J270" i="15"/>
  <c r="K270" i="15"/>
  <c r="L270" i="15"/>
  <c r="M270" i="15"/>
  <c r="N270" i="15"/>
  <c r="O270" i="15"/>
  <c r="P270" i="15"/>
  <c r="Z270" i="13"/>
  <c r="B269" i="15"/>
  <c r="AA269" i="13" s="1"/>
  <c r="C269" i="15"/>
  <c r="AB269" i="13" s="1"/>
  <c r="D269" i="15"/>
  <c r="AC269" i="13" s="1"/>
  <c r="E269" i="15"/>
  <c r="F269" i="15"/>
  <c r="G269" i="15"/>
  <c r="H269" i="15"/>
  <c r="I269" i="15"/>
  <c r="J269" i="15"/>
  <c r="K269" i="15"/>
  <c r="L269" i="15"/>
  <c r="M269" i="15"/>
  <c r="N269" i="15"/>
  <c r="O269" i="15"/>
  <c r="P269" i="15"/>
  <c r="Z269" i="13"/>
  <c r="B268" i="15"/>
  <c r="AA268" i="13" s="1"/>
  <c r="C268" i="15"/>
  <c r="AB268" i="13" s="1"/>
  <c r="D268" i="15"/>
  <c r="AC268" i="13" s="1"/>
  <c r="E268" i="15"/>
  <c r="F268" i="15"/>
  <c r="G268" i="15"/>
  <c r="H268" i="15"/>
  <c r="I268" i="15"/>
  <c r="J268" i="15"/>
  <c r="K268" i="15"/>
  <c r="L268" i="15"/>
  <c r="M268" i="15"/>
  <c r="N268" i="15"/>
  <c r="O268" i="15"/>
  <c r="P268" i="15"/>
  <c r="Z268" i="13"/>
  <c r="B267" i="15"/>
  <c r="AA267" i="13" s="1"/>
  <c r="C267" i="15"/>
  <c r="AB267" i="13" s="1"/>
  <c r="D267" i="15"/>
  <c r="AC267" i="13" s="1"/>
  <c r="E267" i="15"/>
  <c r="F267" i="15"/>
  <c r="G267" i="15"/>
  <c r="H267" i="15"/>
  <c r="I267" i="15"/>
  <c r="J267" i="15"/>
  <c r="K267" i="15"/>
  <c r="L267" i="15"/>
  <c r="M267" i="15"/>
  <c r="N267" i="15"/>
  <c r="O267" i="15"/>
  <c r="P267" i="15"/>
  <c r="Z267" i="13"/>
  <c r="B266" i="15"/>
  <c r="AA266" i="13" s="1"/>
  <c r="C266" i="15"/>
  <c r="AB266" i="13" s="1"/>
  <c r="D266" i="15"/>
  <c r="AC266" i="13" s="1"/>
  <c r="E266" i="15"/>
  <c r="F266" i="15"/>
  <c r="G266" i="15"/>
  <c r="H266" i="15"/>
  <c r="I266" i="15"/>
  <c r="J266" i="15"/>
  <c r="K266" i="15"/>
  <c r="L266" i="15"/>
  <c r="M266" i="15"/>
  <c r="N266" i="15"/>
  <c r="O266" i="15"/>
  <c r="P266" i="15"/>
  <c r="Z266" i="13"/>
  <c r="B265" i="15"/>
  <c r="AA265" i="13" s="1"/>
  <c r="C265" i="15"/>
  <c r="AB265" i="13" s="1"/>
  <c r="D265" i="15"/>
  <c r="AC265" i="13" s="1"/>
  <c r="E265" i="15"/>
  <c r="F265" i="15"/>
  <c r="G265" i="15"/>
  <c r="H265" i="15"/>
  <c r="I265" i="15"/>
  <c r="J265" i="15"/>
  <c r="K265" i="15"/>
  <c r="L265" i="15"/>
  <c r="M265" i="15"/>
  <c r="N265" i="15"/>
  <c r="O265" i="15"/>
  <c r="P265" i="15"/>
  <c r="Z265" i="13"/>
  <c r="B264" i="15"/>
  <c r="AA264" i="13" s="1"/>
  <c r="C264" i="15"/>
  <c r="AB264" i="13" s="1"/>
  <c r="D264" i="15"/>
  <c r="AC264" i="13" s="1"/>
  <c r="E264" i="15"/>
  <c r="F264" i="15"/>
  <c r="G264" i="15"/>
  <c r="H264" i="15"/>
  <c r="I264" i="15"/>
  <c r="J264" i="15"/>
  <c r="K264" i="15"/>
  <c r="L264" i="15"/>
  <c r="M264" i="15"/>
  <c r="N264" i="15"/>
  <c r="O264" i="15"/>
  <c r="P264" i="15"/>
  <c r="Z264" i="13"/>
  <c r="B263" i="15"/>
  <c r="AA263" i="13" s="1"/>
  <c r="C263" i="15"/>
  <c r="AB263" i="13" s="1"/>
  <c r="D263" i="15"/>
  <c r="AC263" i="13" s="1"/>
  <c r="E263" i="15"/>
  <c r="F263" i="15"/>
  <c r="G263" i="15"/>
  <c r="H263" i="15"/>
  <c r="I263" i="15"/>
  <c r="J263" i="15"/>
  <c r="K263" i="15"/>
  <c r="L263" i="15"/>
  <c r="M263" i="15"/>
  <c r="N263" i="15"/>
  <c r="O263" i="15"/>
  <c r="P263" i="15"/>
  <c r="Z263" i="13"/>
  <c r="B262" i="15"/>
  <c r="AA262" i="13" s="1"/>
  <c r="C262" i="15"/>
  <c r="AB262" i="13" s="1"/>
  <c r="D262" i="15"/>
  <c r="AC262" i="13" s="1"/>
  <c r="E262" i="15"/>
  <c r="F262" i="15"/>
  <c r="G262" i="15"/>
  <c r="H262" i="15"/>
  <c r="I262" i="15"/>
  <c r="J262" i="15"/>
  <c r="K262" i="15"/>
  <c r="L262" i="15"/>
  <c r="M262" i="15"/>
  <c r="N262" i="15"/>
  <c r="O262" i="15"/>
  <c r="P262" i="15"/>
  <c r="Z262" i="13"/>
  <c r="B261" i="15"/>
  <c r="AA261" i="13" s="1"/>
  <c r="C261" i="15"/>
  <c r="AB261" i="13" s="1"/>
  <c r="D261" i="15"/>
  <c r="AC261" i="13" s="1"/>
  <c r="E261" i="15"/>
  <c r="F261" i="15"/>
  <c r="G261" i="15"/>
  <c r="H261" i="15"/>
  <c r="I261" i="15"/>
  <c r="J261" i="15"/>
  <c r="K261" i="15"/>
  <c r="L261" i="15"/>
  <c r="M261" i="15"/>
  <c r="N261" i="15"/>
  <c r="O261" i="15"/>
  <c r="P261" i="15"/>
  <c r="Z261" i="13"/>
  <c r="B260" i="15"/>
  <c r="AA260" i="13" s="1"/>
  <c r="C260" i="15"/>
  <c r="AB260" i="13" s="1"/>
  <c r="D260" i="15"/>
  <c r="AC260" i="13" s="1"/>
  <c r="E260" i="15"/>
  <c r="F260" i="15"/>
  <c r="G260" i="15"/>
  <c r="H260" i="15"/>
  <c r="I260" i="15"/>
  <c r="J260" i="15"/>
  <c r="K260" i="15"/>
  <c r="L260" i="15"/>
  <c r="M260" i="15"/>
  <c r="N260" i="15"/>
  <c r="O260" i="15"/>
  <c r="P260" i="15"/>
  <c r="Z260" i="13"/>
  <c r="B259" i="15"/>
  <c r="AA259" i="13" s="1"/>
  <c r="C259" i="15"/>
  <c r="AB259" i="13" s="1"/>
  <c r="D259" i="15"/>
  <c r="AC259" i="13" s="1"/>
  <c r="E259" i="15"/>
  <c r="F259" i="15"/>
  <c r="G259" i="15"/>
  <c r="H259" i="15"/>
  <c r="I259" i="15"/>
  <c r="J259" i="15"/>
  <c r="K259" i="15"/>
  <c r="L259" i="15"/>
  <c r="M259" i="15"/>
  <c r="N259" i="15"/>
  <c r="O259" i="15"/>
  <c r="P259" i="15"/>
  <c r="Z259" i="13"/>
  <c r="B258" i="15"/>
  <c r="AA258" i="13" s="1"/>
  <c r="C258" i="15"/>
  <c r="AB258" i="13" s="1"/>
  <c r="D258" i="15"/>
  <c r="AC258" i="13" s="1"/>
  <c r="E258" i="15"/>
  <c r="F258" i="15"/>
  <c r="G258" i="15"/>
  <c r="H258" i="15"/>
  <c r="I258" i="15"/>
  <c r="J258" i="15"/>
  <c r="K258" i="15"/>
  <c r="L258" i="15"/>
  <c r="M258" i="15"/>
  <c r="N258" i="15"/>
  <c r="O258" i="15"/>
  <c r="P258" i="15"/>
  <c r="Z258" i="13"/>
  <c r="B257" i="15"/>
  <c r="AA257" i="13" s="1"/>
  <c r="C257" i="15"/>
  <c r="AB257" i="13" s="1"/>
  <c r="D257" i="15"/>
  <c r="AC257" i="13" s="1"/>
  <c r="E257" i="15"/>
  <c r="F257" i="15"/>
  <c r="G257" i="15"/>
  <c r="H257" i="15"/>
  <c r="I257" i="15"/>
  <c r="J257" i="15"/>
  <c r="K257" i="15"/>
  <c r="L257" i="15"/>
  <c r="M257" i="15"/>
  <c r="N257" i="15"/>
  <c r="O257" i="15"/>
  <c r="P257" i="15"/>
  <c r="Z257" i="13"/>
  <c r="B256" i="15"/>
  <c r="AA256" i="13" s="1"/>
  <c r="C256" i="15"/>
  <c r="AB256" i="13" s="1"/>
  <c r="D256" i="15"/>
  <c r="AC256" i="13" s="1"/>
  <c r="E256" i="15"/>
  <c r="F256" i="15"/>
  <c r="G256" i="15"/>
  <c r="H256" i="15"/>
  <c r="I256" i="15"/>
  <c r="J256" i="15"/>
  <c r="K256" i="15"/>
  <c r="L256" i="15"/>
  <c r="M256" i="15"/>
  <c r="N256" i="15"/>
  <c r="O256" i="15"/>
  <c r="P256" i="15"/>
  <c r="Z256" i="13"/>
  <c r="B255" i="15"/>
  <c r="AA255" i="13" s="1"/>
  <c r="C255" i="15"/>
  <c r="AB255" i="13" s="1"/>
  <c r="D255" i="15"/>
  <c r="AC255" i="13" s="1"/>
  <c r="E255" i="15"/>
  <c r="F255" i="15"/>
  <c r="G255" i="15"/>
  <c r="H255" i="15"/>
  <c r="I255" i="15"/>
  <c r="J255" i="15"/>
  <c r="K255" i="15"/>
  <c r="L255" i="15"/>
  <c r="M255" i="15"/>
  <c r="N255" i="15"/>
  <c r="O255" i="15"/>
  <c r="P255" i="15"/>
  <c r="Z255" i="13"/>
  <c r="B254" i="15"/>
  <c r="AA254" i="13" s="1"/>
  <c r="C254" i="15"/>
  <c r="AB254" i="13" s="1"/>
  <c r="D254" i="15"/>
  <c r="AC254" i="13" s="1"/>
  <c r="E254" i="15"/>
  <c r="F254" i="15"/>
  <c r="G254" i="15"/>
  <c r="H254" i="15"/>
  <c r="I254" i="15"/>
  <c r="J254" i="15"/>
  <c r="K254" i="15"/>
  <c r="L254" i="15"/>
  <c r="M254" i="15"/>
  <c r="N254" i="15"/>
  <c r="O254" i="15"/>
  <c r="P254" i="15"/>
  <c r="Z254" i="13"/>
  <c r="B253" i="15"/>
  <c r="AA253" i="13" s="1"/>
  <c r="C253" i="15"/>
  <c r="AB253" i="13" s="1"/>
  <c r="D253" i="15"/>
  <c r="AC253" i="13" s="1"/>
  <c r="E253" i="15"/>
  <c r="F253" i="15"/>
  <c r="G253" i="15"/>
  <c r="H253" i="15"/>
  <c r="I253" i="15"/>
  <c r="J253" i="15"/>
  <c r="K253" i="15"/>
  <c r="L253" i="15"/>
  <c r="M253" i="15"/>
  <c r="N253" i="15"/>
  <c r="O253" i="15"/>
  <c r="P253" i="15"/>
  <c r="Z253" i="13"/>
  <c r="B252" i="15"/>
  <c r="AA252" i="13" s="1"/>
  <c r="C252" i="15"/>
  <c r="AB252" i="13" s="1"/>
  <c r="D252" i="15"/>
  <c r="AC252" i="13" s="1"/>
  <c r="E252" i="15"/>
  <c r="F252" i="15"/>
  <c r="G252" i="15"/>
  <c r="H252" i="15"/>
  <c r="I252" i="15"/>
  <c r="J252" i="15"/>
  <c r="K252" i="15"/>
  <c r="L252" i="15"/>
  <c r="M252" i="15"/>
  <c r="N252" i="15"/>
  <c r="O252" i="15"/>
  <c r="P252" i="15"/>
  <c r="Z252" i="13"/>
  <c r="B306" i="15"/>
  <c r="AA306" i="13" s="1"/>
  <c r="C306" i="15"/>
  <c r="AB306" i="13" s="1"/>
  <c r="D306" i="15"/>
  <c r="AC306" i="13" s="1"/>
  <c r="E306" i="15"/>
  <c r="F306" i="15"/>
  <c r="G306" i="15"/>
  <c r="H306" i="15"/>
  <c r="I306" i="15"/>
  <c r="J306" i="15"/>
  <c r="K306" i="15"/>
  <c r="L306" i="15"/>
  <c r="M306" i="15"/>
  <c r="N306" i="15"/>
  <c r="O306" i="15"/>
  <c r="P306" i="15"/>
  <c r="Z306" i="13"/>
  <c r="C970" i="15"/>
  <c r="AB970" i="13" s="1"/>
  <c r="F970" i="15"/>
  <c r="H970" i="15"/>
  <c r="J970" i="15"/>
  <c r="L970" i="15"/>
  <c r="N970" i="15"/>
  <c r="O970" i="15"/>
  <c r="P970" i="15"/>
  <c r="B970" i="15"/>
  <c r="AA970" i="13" s="1"/>
  <c r="D970" i="15"/>
  <c r="AC970" i="13" s="1"/>
  <c r="E970" i="15"/>
  <c r="G970" i="15"/>
  <c r="I970" i="15"/>
  <c r="K970" i="15"/>
  <c r="M970" i="15"/>
  <c r="Z970" i="13"/>
  <c r="C962" i="15"/>
  <c r="AB962" i="13" s="1"/>
  <c r="G962" i="15"/>
  <c r="B962" i="15"/>
  <c r="AA962" i="13" s="1"/>
  <c r="D962" i="15"/>
  <c r="AC962" i="13" s="1"/>
  <c r="E962" i="15"/>
  <c r="F962" i="15"/>
  <c r="H962" i="15"/>
  <c r="I962" i="15"/>
  <c r="J962" i="15"/>
  <c r="K962" i="15"/>
  <c r="L962" i="15"/>
  <c r="M962" i="15"/>
  <c r="N962" i="15"/>
  <c r="O962" i="15"/>
  <c r="P962" i="15"/>
  <c r="Z962" i="13"/>
  <c r="B953" i="15"/>
  <c r="AA953" i="13" s="1"/>
  <c r="F953" i="15"/>
  <c r="C953" i="15"/>
  <c r="AB953" i="13" s="1"/>
  <c r="D953" i="15"/>
  <c r="AC953" i="13" s="1"/>
  <c r="E953" i="15"/>
  <c r="G953" i="15"/>
  <c r="H953" i="15"/>
  <c r="I953" i="15"/>
  <c r="J953" i="15"/>
  <c r="K953" i="15"/>
  <c r="L953" i="15"/>
  <c r="M953" i="15"/>
  <c r="N953" i="15"/>
  <c r="O953" i="15"/>
  <c r="P953" i="15"/>
  <c r="Z953" i="13"/>
  <c r="B582" i="15"/>
  <c r="AA582" i="13" s="1"/>
  <c r="C582" i="15"/>
  <c r="AB582" i="13" s="1"/>
  <c r="D582" i="15"/>
  <c r="AC582" i="13" s="1"/>
  <c r="E582" i="15"/>
  <c r="F582" i="15"/>
  <c r="G582" i="15"/>
  <c r="H582" i="15"/>
  <c r="I582" i="15"/>
  <c r="J582" i="15"/>
  <c r="K582" i="15"/>
  <c r="L582" i="15"/>
  <c r="M582" i="15"/>
  <c r="N582" i="15"/>
  <c r="O582" i="15"/>
  <c r="P582" i="15"/>
  <c r="Z582" i="13"/>
  <c r="B577" i="15"/>
  <c r="AA577" i="13" s="1"/>
  <c r="C577" i="15"/>
  <c r="AB577" i="13" s="1"/>
  <c r="D577" i="15"/>
  <c r="AC577" i="13" s="1"/>
  <c r="E577" i="15"/>
  <c r="F577" i="15"/>
  <c r="G577" i="15"/>
  <c r="H577" i="15"/>
  <c r="I577" i="15"/>
  <c r="J577" i="15"/>
  <c r="K577" i="15"/>
  <c r="L577" i="15"/>
  <c r="M577" i="15"/>
  <c r="N577" i="15"/>
  <c r="O577" i="15"/>
  <c r="P577" i="15"/>
  <c r="Z577" i="13"/>
  <c r="B574" i="15"/>
  <c r="AA574" i="13" s="1"/>
  <c r="C574" i="15"/>
  <c r="AB574" i="13" s="1"/>
  <c r="D574" i="15"/>
  <c r="AC574" i="13" s="1"/>
  <c r="E574" i="15"/>
  <c r="F574" i="15"/>
  <c r="G574" i="15"/>
  <c r="H574" i="15"/>
  <c r="I574" i="15"/>
  <c r="J574" i="15"/>
  <c r="K574" i="15"/>
  <c r="L574" i="15"/>
  <c r="M574" i="15"/>
  <c r="N574" i="15"/>
  <c r="O574" i="15"/>
  <c r="P574" i="15"/>
  <c r="Z574" i="13"/>
  <c r="C562" i="15"/>
  <c r="AB562" i="13" s="1"/>
  <c r="E562" i="15"/>
  <c r="G562" i="15"/>
  <c r="L562" i="15"/>
  <c r="M562" i="15"/>
  <c r="P562" i="15"/>
  <c r="B562" i="15"/>
  <c r="AA562" i="13" s="1"/>
  <c r="F562" i="15"/>
  <c r="I562" i="15"/>
  <c r="J562" i="15"/>
  <c r="D562" i="15"/>
  <c r="AC562" i="13" s="1"/>
  <c r="H562" i="15"/>
  <c r="K562" i="15"/>
  <c r="N562" i="15"/>
  <c r="O562" i="15"/>
  <c r="Z562" i="13"/>
  <c r="B559" i="15"/>
  <c r="AA559" i="13" s="1"/>
  <c r="C559" i="15"/>
  <c r="AB559" i="13" s="1"/>
  <c r="D559" i="15"/>
  <c r="AC559" i="13" s="1"/>
  <c r="F559" i="15"/>
  <c r="G559" i="15"/>
  <c r="I559" i="15"/>
  <c r="J559" i="15"/>
  <c r="E559" i="15"/>
  <c r="H559" i="15"/>
  <c r="K559" i="15"/>
  <c r="L559" i="15"/>
  <c r="M559" i="15"/>
  <c r="N559" i="15"/>
  <c r="O559" i="15"/>
  <c r="P559" i="15"/>
  <c r="Z559" i="13"/>
  <c r="C543" i="15"/>
  <c r="AB543" i="13" s="1"/>
  <c r="G543" i="15"/>
  <c r="H543" i="15"/>
  <c r="I543" i="15"/>
  <c r="J543" i="15"/>
  <c r="K543" i="15"/>
  <c r="M543" i="15"/>
  <c r="P543" i="15"/>
  <c r="B543" i="15"/>
  <c r="AA543" i="13" s="1"/>
  <c r="D543" i="15"/>
  <c r="AC543" i="13" s="1"/>
  <c r="F543" i="15"/>
  <c r="E543" i="15"/>
  <c r="L543" i="15"/>
  <c r="N543" i="15"/>
  <c r="O543" i="15"/>
  <c r="Z543" i="13"/>
  <c r="C536" i="15"/>
  <c r="AB536" i="13" s="1"/>
  <c r="E536" i="15"/>
  <c r="G536" i="15"/>
  <c r="I536" i="15"/>
  <c r="J536" i="15"/>
  <c r="P536" i="15"/>
  <c r="D536" i="15"/>
  <c r="AC536" i="13" s="1"/>
  <c r="B536" i="15"/>
  <c r="AA536" i="13" s="1"/>
  <c r="F536" i="15"/>
  <c r="H536" i="15"/>
  <c r="K536" i="15"/>
  <c r="L536" i="15"/>
  <c r="M536" i="15"/>
  <c r="N536" i="15"/>
  <c r="O536" i="15"/>
  <c r="Z536" i="13"/>
  <c r="E522" i="15"/>
  <c r="B522" i="15"/>
  <c r="AA522" i="13" s="1"/>
  <c r="C522" i="15"/>
  <c r="AB522" i="13" s="1"/>
  <c r="D522" i="15"/>
  <c r="AC522" i="13" s="1"/>
  <c r="F522" i="15"/>
  <c r="G522" i="15"/>
  <c r="H522" i="15"/>
  <c r="I522" i="15"/>
  <c r="J522" i="15"/>
  <c r="K522" i="15"/>
  <c r="L522" i="15"/>
  <c r="M522" i="15"/>
  <c r="N522" i="15"/>
  <c r="O522" i="15"/>
  <c r="P522" i="15"/>
  <c r="Z522" i="13"/>
  <c r="B494" i="15"/>
  <c r="AA494" i="13" s="1"/>
  <c r="M494" i="15"/>
  <c r="C494" i="15"/>
  <c r="AB494" i="13" s="1"/>
  <c r="E494" i="15"/>
  <c r="F494" i="15"/>
  <c r="L494" i="15"/>
  <c r="N494" i="15"/>
  <c r="O494" i="15"/>
  <c r="G494" i="15"/>
  <c r="H494" i="15"/>
  <c r="I494" i="15"/>
  <c r="J494" i="15"/>
  <c r="D494" i="15"/>
  <c r="AC494" i="13" s="1"/>
  <c r="K494" i="15"/>
  <c r="P494" i="15"/>
  <c r="Z494" i="13"/>
  <c r="B487" i="15"/>
  <c r="AA487" i="13" s="1"/>
  <c r="E487" i="15"/>
  <c r="F487" i="15"/>
  <c r="H487" i="15"/>
  <c r="K487" i="15"/>
  <c r="C487" i="15"/>
  <c r="AB487" i="13" s="1"/>
  <c r="D487" i="15"/>
  <c r="AC487" i="13" s="1"/>
  <c r="L487" i="15"/>
  <c r="G487" i="15"/>
  <c r="J487" i="15"/>
  <c r="O487" i="15"/>
  <c r="I487" i="15"/>
  <c r="M487" i="15"/>
  <c r="N487" i="15"/>
  <c r="P487" i="15"/>
  <c r="Z487" i="13"/>
  <c r="B457" i="15"/>
  <c r="AA457" i="13" s="1"/>
  <c r="C457" i="15"/>
  <c r="AB457" i="13" s="1"/>
  <c r="E457" i="15"/>
  <c r="G457" i="15"/>
  <c r="H457" i="15"/>
  <c r="K457" i="15"/>
  <c r="M457" i="15"/>
  <c r="I457" i="15"/>
  <c r="F457" i="15"/>
  <c r="J457" i="15"/>
  <c r="L457" i="15"/>
  <c r="N457" i="15"/>
  <c r="O457" i="15"/>
  <c r="P457" i="15"/>
  <c r="D457" i="15"/>
  <c r="AC457" i="13" s="1"/>
  <c r="Z457" i="13"/>
  <c r="D447" i="15"/>
  <c r="AC447" i="13" s="1"/>
  <c r="E447" i="15"/>
  <c r="I447" i="15"/>
  <c r="P447" i="15"/>
  <c r="H447" i="15"/>
  <c r="J447" i="15"/>
  <c r="L447" i="15"/>
  <c r="O447" i="15"/>
  <c r="C447" i="15"/>
  <c r="AB447" i="13" s="1"/>
  <c r="F447" i="15"/>
  <c r="B447" i="15"/>
  <c r="AA447" i="13" s="1"/>
  <c r="G447" i="15"/>
  <c r="K447" i="15"/>
  <c r="M447" i="15"/>
  <c r="N447" i="15"/>
  <c r="Z447" i="13"/>
  <c r="O59" i="15"/>
  <c r="D59" i="15"/>
  <c r="AC59" i="13" s="1"/>
  <c r="F59" i="15"/>
  <c r="H59" i="15"/>
  <c r="M59" i="15"/>
  <c r="N59" i="15"/>
  <c r="B59" i="15"/>
  <c r="AA59" i="13" s="1"/>
  <c r="E59" i="15"/>
  <c r="G59" i="15"/>
  <c r="J59" i="15"/>
  <c r="L59" i="15"/>
  <c r="I59" i="15"/>
  <c r="K59" i="15"/>
  <c r="P59" i="15"/>
  <c r="Z59" i="13"/>
  <c r="C59" i="15"/>
  <c r="AB59" i="13" s="1"/>
  <c r="B441" i="15"/>
  <c r="AA441" i="13" s="1"/>
  <c r="C441" i="15"/>
  <c r="AB441" i="13" s="1"/>
  <c r="D441" i="15"/>
  <c r="AC441" i="13" s="1"/>
  <c r="E441" i="15"/>
  <c r="F441" i="15"/>
  <c r="G441" i="15"/>
  <c r="H441" i="15"/>
  <c r="I441" i="15"/>
  <c r="J441" i="15"/>
  <c r="K441" i="15"/>
  <c r="L441" i="15"/>
  <c r="M441" i="15"/>
  <c r="N441" i="15"/>
  <c r="O441" i="15"/>
  <c r="P441" i="15"/>
  <c r="Z441" i="13"/>
  <c r="B439" i="15"/>
  <c r="AA439" i="13" s="1"/>
  <c r="C439" i="15"/>
  <c r="AB439" i="13" s="1"/>
  <c r="D439" i="15"/>
  <c r="AC439" i="13" s="1"/>
  <c r="E439" i="15"/>
  <c r="F439" i="15"/>
  <c r="G439" i="15"/>
  <c r="H439" i="15"/>
  <c r="I439" i="15"/>
  <c r="J439" i="15"/>
  <c r="K439" i="15"/>
  <c r="L439" i="15"/>
  <c r="M439" i="15"/>
  <c r="N439" i="15"/>
  <c r="O439" i="15"/>
  <c r="P439" i="15"/>
  <c r="Z439" i="13"/>
  <c r="B251" i="15"/>
  <c r="AA251" i="13" s="1"/>
  <c r="C251" i="15"/>
  <c r="AB251" i="13" s="1"/>
  <c r="D251" i="15"/>
  <c r="AC251" i="13" s="1"/>
  <c r="E251" i="15"/>
  <c r="F251" i="15"/>
  <c r="G251" i="15"/>
  <c r="H251" i="15"/>
  <c r="I251" i="15"/>
  <c r="J251" i="15"/>
  <c r="K251" i="15"/>
  <c r="L251" i="15"/>
  <c r="M251" i="15"/>
  <c r="N251" i="15"/>
  <c r="O251" i="15"/>
  <c r="P251" i="15"/>
  <c r="Z251" i="13"/>
  <c r="B250" i="15"/>
  <c r="AA250" i="13" s="1"/>
  <c r="C250" i="15"/>
  <c r="AB250" i="13" s="1"/>
  <c r="D250" i="15"/>
  <c r="AC250" i="13" s="1"/>
  <c r="E250" i="15"/>
  <c r="F250" i="15"/>
  <c r="G250" i="15"/>
  <c r="H250" i="15"/>
  <c r="I250" i="15"/>
  <c r="J250" i="15"/>
  <c r="K250" i="15"/>
  <c r="L250" i="15"/>
  <c r="M250" i="15"/>
  <c r="N250" i="15"/>
  <c r="O250" i="15"/>
  <c r="P250" i="15"/>
  <c r="Z250" i="13"/>
  <c r="B249" i="15"/>
  <c r="AA249" i="13" s="1"/>
  <c r="C249" i="15"/>
  <c r="AB249" i="13" s="1"/>
  <c r="D249" i="15"/>
  <c r="AC249" i="13" s="1"/>
  <c r="E249" i="15"/>
  <c r="F249" i="15"/>
  <c r="G249" i="15"/>
  <c r="H249" i="15"/>
  <c r="I249" i="15"/>
  <c r="J249" i="15"/>
  <c r="K249" i="15"/>
  <c r="L249" i="15"/>
  <c r="M249" i="15"/>
  <c r="N249" i="15"/>
  <c r="O249" i="15"/>
  <c r="P249" i="15"/>
  <c r="Z249" i="13"/>
  <c r="B248" i="15"/>
  <c r="AA248" i="13" s="1"/>
  <c r="C248" i="15"/>
  <c r="AB248" i="13" s="1"/>
  <c r="D248" i="15"/>
  <c r="AC248" i="13" s="1"/>
  <c r="E248" i="15"/>
  <c r="F248" i="15"/>
  <c r="G248" i="15"/>
  <c r="H248" i="15"/>
  <c r="I248" i="15"/>
  <c r="J248" i="15"/>
  <c r="K248" i="15"/>
  <c r="L248" i="15"/>
  <c r="M248" i="15"/>
  <c r="N248" i="15"/>
  <c r="O248" i="15"/>
  <c r="P248" i="15"/>
  <c r="Z248" i="13"/>
  <c r="B247" i="15"/>
  <c r="AA247" i="13" s="1"/>
  <c r="C247" i="15"/>
  <c r="AB247" i="13" s="1"/>
  <c r="D247" i="15"/>
  <c r="AC247" i="13" s="1"/>
  <c r="E247" i="15"/>
  <c r="F247" i="15"/>
  <c r="G247" i="15"/>
  <c r="H247" i="15"/>
  <c r="I247" i="15"/>
  <c r="J247" i="15"/>
  <c r="K247" i="15"/>
  <c r="L247" i="15"/>
  <c r="M247" i="15"/>
  <c r="N247" i="15"/>
  <c r="O247" i="15"/>
  <c r="P247" i="15"/>
  <c r="Z247" i="13"/>
  <c r="B246" i="15"/>
  <c r="AA246" i="13" s="1"/>
  <c r="C246" i="15"/>
  <c r="AB246" i="13" s="1"/>
  <c r="D246" i="15"/>
  <c r="AC246" i="13" s="1"/>
  <c r="E246" i="15"/>
  <c r="F246" i="15"/>
  <c r="G246" i="15"/>
  <c r="H246" i="15"/>
  <c r="I246" i="15"/>
  <c r="J246" i="15"/>
  <c r="K246" i="15"/>
  <c r="L246" i="15"/>
  <c r="M246" i="15"/>
  <c r="N246" i="15"/>
  <c r="O246" i="15"/>
  <c r="P246" i="15"/>
  <c r="Z246" i="13"/>
  <c r="B245" i="15"/>
  <c r="AA245" i="13" s="1"/>
  <c r="C245" i="15"/>
  <c r="AB245" i="13" s="1"/>
  <c r="D245" i="15"/>
  <c r="AC245" i="13" s="1"/>
  <c r="E245" i="15"/>
  <c r="F245" i="15"/>
  <c r="G245" i="15"/>
  <c r="H245" i="15"/>
  <c r="I245" i="15"/>
  <c r="J245" i="15"/>
  <c r="K245" i="15"/>
  <c r="L245" i="15"/>
  <c r="M245" i="15"/>
  <c r="N245" i="15"/>
  <c r="O245" i="15"/>
  <c r="P245" i="15"/>
  <c r="Z245" i="13"/>
  <c r="B244" i="15"/>
  <c r="AA244" i="13" s="1"/>
  <c r="C244" i="15"/>
  <c r="AB244" i="13" s="1"/>
  <c r="D244" i="15"/>
  <c r="AC244" i="13" s="1"/>
  <c r="E244" i="15"/>
  <c r="F244" i="15"/>
  <c r="G244" i="15"/>
  <c r="H244" i="15"/>
  <c r="I244" i="15"/>
  <c r="J244" i="15"/>
  <c r="K244" i="15"/>
  <c r="L244" i="15"/>
  <c r="M244" i="15"/>
  <c r="N244" i="15"/>
  <c r="O244" i="15"/>
  <c r="P244" i="15"/>
  <c r="Z244" i="13"/>
  <c r="B243" i="15"/>
  <c r="AA243" i="13" s="1"/>
  <c r="C243" i="15"/>
  <c r="AB243" i="13" s="1"/>
  <c r="D243" i="15"/>
  <c r="AC243" i="13" s="1"/>
  <c r="E243" i="15"/>
  <c r="F243" i="15"/>
  <c r="G243" i="15"/>
  <c r="H243" i="15"/>
  <c r="I243" i="15"/>
  <c r="J243" i="15"/>
  <c r="K243" i="15"/>
  <c r="L243" i="15"/>
  <c r="M243" i="15"/>
  <c r="N243" i="15"/>
  <c r="O243" i="15"/>
  <c r="P243" i="15"/>
  <c r="Z243" i="13"/>
  <c r="B242" i="15"/>
  <c r="AA242" i="13" s="1"/>
  <c r="C242" i="15"/>
  <c r="AB242" i="13" s="1"/>
  <c r="D242" i="15"/>
  <c r="AC242" i="13" s="1"/>
  <c r="E242" i="15"/>
  <c r="F242" i="15"/>
  <c r="G242" i="15"/>
  <c r="H242" i="15"/>
  <c r="I242" i="15"/>
  <c r="J242" i="15"/>
  <c r="K242" i="15"/>
  <c r="L242" i="15"/>
  <c r="M242" i="15"/>
  <c r="N242" i="15"/>
  <c r="O242" i="15"/>
  <c r="P242" i="15"/>
  <c r="Z242" i="13"/>
  <c r="B241" i="15"/>
  <c r="AA241" i="13" s="1"/>
  <c r="C241" i="15"/>
  <c r="AB241" i="13" s="1"/>
  <c r="D241" i="15"/>
  <c r="AC241" i="13" s="1"/>
  <c r="E241" i="15"/>
  <c r="F241" i="15"/>
  <c r="G241" i="15"/>
  <c r="H241" i="15"/>
  <c r="I241" i="15"/>
  <c r="J241" i="15"/>
  <c r="K241" i="15"/>
  <c r="L241" i="15"/>
  <c r="M241" i="15"/>
  <c r="N241" i="15"/>
  <c r="O241" i="15"/>
  <c r="P241" i="15"/>
  <c r="Z241" i="13"/>
  <c r="B240" i="15"/>
  <c r="AA240" i="13" s="1"/>
  <c r="C240" i="15"/>
  <c r="AB240" i="13" s="1"/>
  <c r="D240" i="15"/>
  <c r="AC240" i="13" s="1"/>
  <c r="E240" i="15"/>
  <c r="F240" i="15"/>
  <c r="G240" i="15"/>
  <c r="H240" i="15"/>
  <c r="I240" i="15"/>
  <c r="J240" i="15"/>
  <c r="K240" i="15"/>
  <c r="L240" i="15"/>
  <c r="M240" i="15"/>
  <c r="N240" i="15"/>
  <c r="O240" i="15"/>
  <c r="P240" i="15"/>
  <c r="Z240" i="13"/>
  <c r="B239" i="15"/>
  <c r="AA239" i="13" s="1"/>
  <c r="C239" i="15"/>
  <c r="AB239" i="13" s="1"/>
  <c r="D239" i="15"/>
  <c r="AC239" i="13" s="1"/>
  <c r="E239" i="15"/>
  <c r="F239" i="15"/>
  <c r="G239" i="15"/>
  <c r="H239" i="15"/>
  <c r="I239" i="15"/>
  <c r="J239" i="15"/>
  <c r="K239" i="15"/>
  <c r="L239" i="15"/>
  <c r="M239" i="15"/>
  <c r="N239" i="15"/>
  <c r="O239" i="15"/>
  <c r="P239" i="15"/>
  <c r="Z239" i="13"/>
  <c r="B596" i="15"/>
  <c r="AA596" i="13" s="1"/>
  <c r="C596" i="15"/>
  <c r="AB596" i="13" s="1"/>
  <c r="D596" i="15"/>
  <c r="AC596" i="13" s="1"/>
  <c r="E596" i="15"/>
  <c r="F596" i="15"/>
  <c r="G596" i="15"/>
  <c r="H596" i="15"/>
  <c r="I596" i="15"/>
  <c r="J596" i="15"/>
  <c r="K596" i="15"/>
  <c r="L596" i="15"/>
  <c r="M596" i="15"/>
  <c r="N596" i="15"/>
  <c r="O596" i="15"/>
  <c r="P596" i="15"/>
  <c r="Z596" i="13"/>
  <c r="B552" i="15"/>
  <c r="AA552" i="13" s="1"/>
  <c r="C552" i="15"/>
  <c r="AB552" i="13" s="1"/>
  <c r="F552" i="15"/>
  <c r="G552" i="15"/>
  <c r="N552" i="15"/>
  <c r="P552" i="15"/>
  <c r="D552" i="15"/>
  <c r="AC552" i="13" s="1"/>
  <c r="E552" i="15"/>
  <c r="H552" i="15"/>
  <c r="I552" i="15"/>
  <c r="J552" i="15"/>
  <c r="K552" i="15"/>
  <c r="L552" i="15"/>
  <c r="M552" i="15"/>
  <c r="O552" i="15"/>
  <c r="Z552" i="13"/>
  <c r="B429" i="15"/>
  <c r="AA429" i="13" s="1"/>
  <c r="C429" i="15"/>
  <c r="AB429" i="13" s="1"/>
  <c r="D429" i="15"/>
  <c r="AC429" i="13" s="1"/>
  <c r="E429" i="15"/>
  <c r="F429" i="15"/>
  <c r="G429" i="15"/>
  <c r="H429" i="15"/>
  <c r="I429" i="15"/>
  <c r="J429" i="15"/>
  <c r="K429" i="15"/>
  <c r="L429" i="15"/>
  <c r="M429" i="15"/>
  <c r="N429" i="15"/>
  <c r="O429" i="15"/>
  <c r="P429" i="15"/>
  <c r="Z429" i="13"/>
  <c r="B231" i="15"/>
  <c r="AA231" i="13" s="1"/>
  <c r="C231" i="15"/>
  <c r="AB231" i="13" s="1"/>
  <c r="D231" i="15"/>
  <c r="AC231" i="13" s="1"/>
  <c r="E231" i="15"/>
  <c r="F231" i="15"/>
  <c r="G231" i="15"/>
  <c r="H231" i="15"/>
  <c r="I231" i="15"/>
  <c r="J231" i="15"/>
  <c r="K231" i="15"/>
  <c r="L231" i="15"/>
  <c r="M231" i="15"/>
  <c r="N231" i="15"/>
  <c r="O231" i="15"/>
  <c r="P231" i="15"/>
  <c r="Z231" i="13"/>
  <c r="B224" i="15"/>
  <c r="AA224" i="13" s="1"/>
  <c r="C224" i="15"/>
  <c r="AB224" i="13" s="1"/>
  <c r="D224" i="15"/>
  <c r="AC224" i="13" s="1"/>
  <c r="E224" i="15"/>
  <c r="F224" i="15"/>
  <c r="G224" i="15"/>
  <c r="H224" i="15"/>
  <c r="I224" i="15"/>
  <c r="J224" i="15"/>
  <c r="K224" i="15"/>
  <c r="L224" i="15"/>
  <c r="M224" i="15"/>
  <c r="N224" i="15"/>
  <c r="O224" i="15"/>
  <c r="P224" i="15"/>
  <c r="Z224" i="13"/>
  <c r="B218" i="15"/>
  <c r="AA218" i="13" s="1"/>
  <c r="C218" i="15"/>
  <c r="AB218" i="13" s="1"/>
  <c r="D218" i="15"/>
  <c r="AC218" i="13" s="1"/>
  <c r="E218" i="15"/>
  <c r="F218" i="15"/>
  <c r="G218" i="15"/>
  <c r="H218" i="15"/>
  <c r="I218" i="15"/>
  <c r="J218" i="15"/>
  <c r="K218" i="15"/>
  <c r="L218" i="15"/>
  <c r="M218" i="15"/>
  <c r="N218" i="15"/>
  <c r="O218" i="15"/>
  <c r="P218" i="15"/>
  <c r="Z218" i="13"/>
  <c r="B208" i="15"/>
  <c r="AA208" i="13" s="1"/>
  <c r="C208" i="15"/>
  <c r="AB208" i="13" s="1"/>
  <c r="D208" i="15"/>
  <c r="AC208" i="13" s="1"/>
  <c r="E208" i="15"/>
  <c r="F208" i="15"/>
  <c r="G208" i="15"/>
  <c r="H208" i="15"/>
  <c r="I208" i="15"/>
  <c r="J208" i="15"/>
  <c r="K208" i="15"/>
  <c r="L208" i="15"/>
  <c r="M208" i="15"/>
  <c r="N208" i="15"/>
  <c r="O208" i="15"/>
  <c r="P208" i="15"/>
  <c r="Z208" i="13"/>
  <c r="B207" i="15"/>
  <c r="AA207" i="13" s="1"/>
  <c r="C207" i="15"/>
  <c r="AB207" i="13" s="1"/>
  <c r="D207" i="15"/>
  <c r="AC207" i="13" s="1"/>
  <c r="E207" i="15"/>
  <c r="F207" i="15"/>
  <c r="G207" i="15"/>
  <c r="H207" i="15"/>
  <c r="I207" i="15"/>
  <c r="J207" i="15"/>
  <c r="K207" i="15"/>
  <c r="L207" i="15"/>
  <c r="M207" i="15"/>
  <c r="N207" i="15"/>
  <c r="O207" i="15"/>
  <c r="P207" i="15"/>
  <c r="Z207" i="13"/>
  <c r="B206" i="15"/>
  <c r="AA206" i="13" s="1"/>
  <c r="C206" i="15"/>
  <c r="AB206" i="13" s="1"/>
  <c r="D206" i="15"/>
  <c r="AC206" i="13" s="1"/>
  <c r="E206" i="15"/>
  <c r="F206" i="15"/>
  <c r="G206" i="15"/>
  <c r="H206" i="15"/>
  <c r="I206" i="15"/>
  <c r="J206" i="15"/>
  <c r="K206" i="15"/>
  <c r="L206" i="15"/>
  <c r="M206" i="15"/>
  <c r="N206" i="15"/>
  <c r="O206" i="15"/>
  <c r="P206" i="15"/>
  <c r="Z206" i="13"/>
  <c r="B205" i="15"/>
  <c r="AA205" i="13" s="1"/>
  <c r="C205" i="15"/>
  <c r="AB205" i="13" s="1"/>
  <c r="D205" i="15"/>
  <c r="AC205" i="13" s="1"/>
  <c r="E205" i="15"/>
  <c r="F205" i="15"/>
  <c r="G205" i="15"/>
  <c r="H205" i="15"/>
  <c r="I205" i="15"/>
  <c r="J205" i="15"/>
  <c r="K205" i="15"/>
  <c r="L205" i="15"/>
  <c r="M205" i="15"/>
  <c r="N205" i="15"/>
  <c r="O205" i="15"/>
  <c r="P205" i="15"/>
  <c r="Z205" i="13"/>
  <c r="B204" i="15"/>
  <c r="AA204" i="13" s="1"/>
  <c r="C204" i="15"/>
  <c r="AB204" i="13" s="1"/>
  <c r="D204" i="15"/>
  <c r="AC204" i="13" s="1"/>
  <c r="E204" i="15"/>
  <c r="F204" i="15"/>
  <c r="G204" i="15"/>
  <c r="H204" i="15"/>
  <c r="I204" i="15"/>
  <c r="J204" i="15"/>
  <c r="K204" i="15"/>
  <c r="L204" i="15"/>
  <c r="M204" i="15"/>
  <c r="N204" i="15"/>
  <c r="O204" i="15"/>
  <c r="P204" i="15"/>
  <c r="Z204" i="13"/>
  <c r="B203" i="15"/>
  <c r="AA203" i="13" s="1"/>
  <c r="C203" i="15"/>
  <c r="AB203" i="13" s="1"/>
  <c r="D203" i="15"/>
  <c r="AC203" i="13" s="1"/>
  <c r="E203" i="15"/>
  <c r="F203" i="15"/>
  <c r="G203" i="15"/>
  <c r="H203" i="15"/>
  <c r="I203" i="15"/>
  <c r="J203" i="15"/>
  <c r="K203" i="15"/>
  <c r="L203" i="15"/>
  <c r="M203" i="15"/>
  <c r="N203" i="15"/>
  <c r="O203" i="15"/>
  <c r="P203" i="15"/>
  <c r="Z203" i="13"/>
  <c r="B202" i="15"/>
  <c r="AA202" i="13" s="1"/>
  <c r="C202" i="15"/>
  <c r="AB202" i="13" s="1"/>
  <c r="D202" i="15"/>
  <c r="AC202" i="13" s="1"/>
  <c r="E202" i="15"/>
  <c r="F202" i="15"/>
  <c r="G202" i="15"/>
  <c r="H202" i="15"/>
  <c r="I202" i="15"/>
  <c r="J202" i="15"/>
  <c r="K202" i="15"/>
  <c r="L202" i="15"/>
  <c r="M202" i="15"/>
  <c r="N202" i="15"/>
  <c r="O202" i="15"/>
  <c r="P202" i="15"/>
  <c r="Z202" i="13"/>
  <c r="B201" i="15"/>
  <c r="AA201" i="13" s="1"/>
  <c r="C201" i="15"/>
  <c r="AB201" i="13" s="1"/>
  <c r="D201" i="15"/>
  <c r="AC201" i="13" s="1"/>
  <c r="E201" i="15"/>
  <c r="F201" i="15"/>
  <c r="G201" i="15"/>
  <c r="H201" i="15"/>
  <c r="I201" i="15"/>
  <c r="J201" i="15"/>
  <c r="K201" i="15"/>
  <c r="L201" i="15"/>
  <c r="M201" i="15"/>
  <c r="N201" i="15"/>
  <c r="O201" i="15"/>
  <c r="P201" i="15"/>
  <c r="Z201" i="13"/>
  <c r="B200" i="15"/>
  <c r="AA200" i="13" s="1"/>
  <c r="C200" i="15"/>
  <c r="AB200" i="13" s="1"/>
  <c r="D200" i="15"/>
  <c r="AC200" i="13" s="1"/>
  <c r="E200" i="15"/>
  <c r="F200" i="15"/>
  <c r="G200" i="15"/>
  <c r="H200" i="15"/>
  <c r="I200" i="15"/>
  <c r="J200" i="15"/>
  <c r="K200" i="15"/>
  <c r="L200" i="15"/>
  <c r="M200" i="15"/>
  <c r="N200" i="15"/>
  <c r="O200" i="15"/>
  <c r="P200" i="15"/>
  <c r="Z200" i="13"/>
  <c r="B199" i="15"/>
  <c r="AA199" i="13" s="1"/>
  <c r="C199" i="15"/>
  <c r="AB199" i="13" s="1"/>
  <c r="D199" i="15"/>
  <c r="AC199" i="13" s="1"/>
  <c r="E199" i="15"/>
  <c r="F199" i="15"/>
  <c r="G199" i="15"/>
  <c r="H199" i="15"/>
  <c r="I199" i="15"/>
  <c r="J199" i="15"/>
  <c r="K199" i="15"/>
  <c r="L199" i="15"/>
  <c r="M199" i="15"/>
  <c r="N199" i="15"/>
  <c r="O199" i="15"/>
  <c r="P199" i="15"/>
  <c r="Z199" i="13"/>
  <c r="B198" i="15"/>
  <c r="AA198" i="13" s="1"/>
  <c r="C198" i="15"/>
  <c r="AB198" i="13" s="1"/>
  <c r="D198" i="15"/>
  <c r="AC198" i="13" s="1"/>
  <c r="E198" i="15"/>
  <c r="F198" i="15"/>
  <c r="G198" i="15"/>
  <c r="H198" i="15"/>
  <c r="I198" i="15"/>
  <c r="J198" i="15"/>
  <c r="K198" i="15"/>
  <c r="L198" i="15"/>
  <c r="M198" i="15"/>
  <c r="N198" i="15"/>
  <c r="O198" i="15"/>
  <c r="P198" i="15"/>
  <c r="Z198" i="13"/>
  <c r="B197" i="15"/>
  <c r="AA197" i="13" s="1"/>
  <c r="C197" i="15"/>
  <c r="AB197" i="13" s="1"/>
  <c r="D197" i="15"/>
  <c r="AC197" i="13" s="1"/>
  <c r="E197" i="15"/>
  <c r="F197" i="15"/>
  <c r="G197" i="15"/>
  <c r="H197" i="15"/>
  <c r="I197" i="15"/>
  <c r="J197" i="15"/>
  <c r="K197" i="15"/>
  <c r="L197" i="15"/>
  <c r="M197" i="15"/>
  <c r="N197" i="15"/>
  <c r="O197" i="15"/>
  <c r="P197" i="15"/>
  <c r="Z197" i="13"/>
  <c r="B196" i="15"/>
  <c r="AA196" i="13" s="1"/>
  <c r="C196" i="15"/>
  <c r="AB196" i="13" s="1"/>
  <c r="D196" i="15"/>
  <c r="AC196" i="13" s="1"/>
  <c r="E196" i="15"/>
  <c r="F196" i="15"/>
  <c r="G196" i="15"/>
  <c r="H196" i="15"/>
  <c r="I196" i="15"/>
  <c r="J196" i="15"/>
  <c r="K196" i="15"/>
  <c r="L196" i="15"/>
  <c r="M196" i="15"/>
  <c r="N196" i="15"/>
  <c r="O196" i="15"/>
  <c r="P196" i="15"/>
  <c r="Z196" i="13"/>
  <c r="B195" i="15"/>
  <c r="AA195" i="13" s="1"/>
  <c r="C195" i="15"/>
  <c r="AB195" i="13" s="1"/>
  <c r="D195" i="15"/>
  <c r="AC195" i="13" s="1"/>
  <c r="E195" i="15"/>
  <c r="F195" i="15"/>
  <c r="G195" i="15"/>
  <c r="H195" i="15"/>
  <c r="I195" i="15"/>
  <c r="J195" i="15"/>
  <c r="K195" i="15"/>
  <c r="L195" i="15"/>
  <c r="M195" i="15"/>
  <c r="N195" i="15"/>
  <c r="O195" i="15"/>
  <c r="P195" i="15"/>
  <c r="Z195" i="13"/>
  <c r="B194" i="15"/>
  <c r="AA194" i="13" s="1"/>
  <c r="C194" i="15"/>
  <c r="AB194" i="13" s="1"/>
  <c r="D194" i="15"/>
  <c r="AC194" i="13" s="1"/>
  <c r="E194" i="15"/>
  <c r="F194" i="15"/>
  <c r="G194" i="15"/>
  <c r="H194" i="15"/>
  <c r="I194" i="15"/>
  <c r="J194" i="15"/>
  <c r="K194" i="15"/>
  <c r="L194" i="15"/>
  <c r="M194" i="15"/>
  <c r="N194" i="15"/>
  <c r="O194" i="15"/>
  <c r="P194" i="15"/>
  <c r="Z194" i="13"/>
  <c r="B193" i="15"/>
  <c r="AA193" i="13" s="1"/>
  <c r="C193" i="15"/>
  <c r="AB193" i="13" s="1"/>
  <c r="D193" i="15"/>
  <c r="AC193" i="13" s="1"/>
  <c r="E193" i="15"/>
  <c r="F193" i="15"/>
  <c r="G193" i="15"/>
  <c r="H193" i="15"/>
  <c r="I193" i="15"/>
  <c r="J193" i="15"/>
  <c r="K193" i="15"/>
  <c r="L193" i="15"/>
  <c r="M193" i="15"/>
  <c r="N193" i="15"/>
  <c r="O193" i="15"/>
  <c r="P193" i="15"/>
  <c r="Z193" i="13"/>
  <c r="B192" i="15"/>
  <c r="AA192" i="13" s="1"/>
  <c r="C192" i="15"/>
  <c r="AB192" i="13" s="1"/>
  <c r="D192" i="15"/>
  <c r="AC192" i="13" s="1"/>
  <c r="E192" i="15"/>
  <c r="F192" i="15"/>
  <c r="G192" i="15"/>
  <c r="H192" i="15"/>
  <c r="I192" i="15"/>
  <c r="J192" i="15"/>
  <c r="K192" i="15"/>
  <c r="L192" i="15"/>
  <c r="M192" i="15"/>
  <c r="N192" i="15"/>
  <c r="O192" i="15"/>
  <c r="P192" i="15"/>
  <c r="Z192" i="13"/>
  <c r="B191" i="15"/>
  <c r="AA191" i="13" s="1"/>
  <c r="C191" i="15"/>
  <c r="AB191" i="13" s="1"/>
  <c r="D191" i="15"/>
  <c r="AC191" i="13" s="1"/>
  <c r="E191" i="15"/>
  <c r="F191" i="15"/>
  <c r="G191" i="15"/>
  <c r="H191" i="15"/>
  <c r="I191" i="15"/>
  <c r="J191" i="15"/>
  <c r="K191" i="15"/>
  <c r="L191" i="15"/>
  <c r="M191" i="15"/>
  <c r="N191" i="15"/>
  <c r="O191" i="15"/>
  <c r="P191" i="15"/>
  <c r="Z191" i="13"/>
  <c r="B190" i="15"/>
  <c r="AA190" i="13" s="1"/>
  <c r="C190" i="15"/>
  <c r="AB190" i="13" s="1"/>
  <c r="D190" i="15"/>
  <c r="AC190" i="13" s="1"/>
  <c r="E190" i="15"/>
  <c r="F190" i="15"/>
  <c r="G190" i="15"/>
  <c r="H190" i="15"/>
  <c r="I190" i="15"/>
  <c r="J190" i="15"/>
  <c r="K190" i="15"/>
  <c r="L190" i="15"/>
  <c r="M190" i="15"/>
  <c r="N190" i="15"/>
  <c r="O190" i="15"/>
  <c r="P190" i="15"/>
  <c r="Z190" i="13"/>
  <c r="B189" i="15"/>
  <c r="AA189" i="13" s="1"/>
  <c r="C189" i="15"/>
  <c r="AB189" i="13" s="1"/>
  <c r="D189" i="15"/>
  <c r="AC189" i="13" s="1"/>
  <c r="E189" i="15"/>
  <c r="F189" i="15"/>
  <c r="G189" i="15"/>
  <c r="H189" i="15"/>
  <c r="I189" i="15"/>
  <c r="J189" i="15"/>
  <c r="K189" i="15"/>
  <c r="L189" i="15"/>
  <c r="M189" i="15"/>
  <c r="N189" i="15"/>
  <c r="O189" i="15"/>
  <c r="P189" i="15"/>
  <c r="Z189" i="13"/>
  <c r="B188" i="15"/>
  <c r="AA188" i="13" s="1"/>
  <c r="C188" i="15"/>
  <c r="AB188" i="13" s="1"/>
  <c r="D188" i="15"/>
  <c r="AC188" i="13" s="1"/>
  <c r="E188" i="15"/>
  <c r="F188" i="15"/>
  <c r="G188" i="15"/>
  <c r="H188" i="15"/>
  <c r="I188" i="15"/>
  <c r="J188" i="15"/>
  <c r="K188" i="15"/>
  <c r="L188" i="15"/>
  <c r="M188" i="15"/>
  <c r="N188" i="15"/>
  <c r="O188" i="15"/>
  <c r="P188" i="15"/>
  <c r="Z188" i="13"/>
  <c r="B187" i="15"/>
  <c r="AA187" i="13" s="1"/>
  <c r="C187" i="15"/>
  <c r="AB187" i="13" s="1"/>
  <c r="D187" i="15"/>
  <c r="AC187" i="13" s="1"/>
  <c r="E187" i="15"/>
  <c r="F187" i="15"/>
  <c r="G187" i="15"/>
  <c r="H187" i="15"/>
  <c r="I187" i="15"/>
  <c r="J187" i="15"/>
  <c r="K187" i="15"/>
  <c r="L187" i="15"/>
  <c r="M187" i="15"/>
  <c r="N187" i="15"/>
  <c r="O187" i="15"/>
  <c r="P187" i="15"/>
  <c r="Z187" i="13"/>
  <c r="B186" i="15"/>
  <c r="AA186" i="13" s="1"/>
  <c r="C186" i="15"/>
  <c r="AB186" i="13" s="1"/>
  <c r="D186" i="15"/>
  <c r="AC186" i="13" s="1"/>
  <c r="E186" i="15"/>
  <c r="F186" i="15"/>
  <c r="G186" i="15"/>
  <c r="H186" i="15"/>
  <c r="I186" i="15"/>
  <c r="J186" i="15"/>
  <c r="K186" i="15"/>
  <c r="L186" i="15"/>
  <c r="M186" i="15"/>
  <c r="N186" i="15"/>
  <c r="O186" i="15"/>
  <c r="P186" i="15"/>
  <c r="Z186" i="13"/>
  <c r="B185" i="15"/>
  <c r="AA185" i="13" s="1"/>
  <c r="C185" i="15"/>
  <c r="AB185" i="13" s="1"/>
  <c r="D185" i="15"/>
  <c r="AC185" i="13" s="1"/>
  <c r="E185" i="15"/>
  <c r="F185" i="15"/>
  <c r="G185" i="15"/>
  <c r="H185" i="15"/>
  <c r="I185" i="15"/>
  <c r="J185" i="15"/>
  <c r="K185" i="15"/>
  <c r="L185" i="15"/>
  <c r="M185" i="15"/>
  <c r="N185" i="15"/>
  <c r="O185" i="15"/>
  <c r="P185" i="15"/>
  <c r="Z185" i="13"/>
  <c r="B184" i="15"/>
  <c r="AA184" i="13" s="1"/>
  <c r="C184" i="15"/>
  <c r="AB184" i="13" s="1"/>
  <c r="D184" i="15"/>
  <c r="AC184" i="13" s="1"/>
  <c r="E184" i="15"/>
  <c r="F184" i="15"/>
  <c r="G184" i="15"/>
  <c r="H184" i="15"/>
  <c r="I184" i="15"/>
  <c r="J184" i="15"/>
  <c r="K184" i="15"/>
  <c r="L184" i="15"/>
  <c r="M184" i="15"/>
  <c r="N184" i="15"/>
  <c r="O184" i="15"/>
  <c r="P184" i="15"/>
  <c r="Z184" i="13"/>
  <c r="B183" i="15"/>
  <c r="AA183" i="13" s="1"/>
  <c r="C183" i="15"/>
  <c r="AB183" i="13" s="1"/>
  <c r="D183" i="15"/>
  <c r="AC183" i="13" s="1"/>
  <c r="E183" i="15"/>
  <c r="F183" i="15"/>
  <c r="G183" i="15"/>
  <c r="H183" i="15"/>
  <c r="I183" i="15"/>
  <c r="J183" i="15"/>
  <c r="K183" i="15"/>
  <c r="L183" i="15"/>
  <c r="M183" i="15"/>
  <c r="N183" i="15"/>
  <c r="O183" i="15"/>
  <c r="P183" i="15"/>
  <c r="Z183" i="13"/>
  <c r="B182" i="15"/>
  <c r="AA182" i="13" s="1"/>
  <c r="C182" i="15"/>
  <c r="AB182" i="13" s="1"/>
  <c r="D182" i="15"/>
  <c r="AC182" i="13" s="1"/>
  <c r="E182" i="15"/>
  <c r="F182" i="15"/>
  <c r="G182" i="15"/>
  <c r="H182" i="15"/>
  <c r="I182" i="15"/>
  <c r="J182" i="15"/>
  <c r="K182" i="15"/>
  <c r="L182" i="15"/>
  <c r="M182" i="15"/>
  <c r="N182" i="15"/>
  <c r="O182" i="15"/>
  <c r="P182" i="15"/>
  <c r="Z182" i="13"/>
  <c r="B181" i="15"/>
  <c r="AA181" i="13" s="1"/>
  <c r="C181" i="15"/>
  <c r="AB181" i="13" s="1"/>
  <c r="D181" i="15"/>
  <c r="AC181" i="13" s="1"/>
  <c r="E181" i="15"/>
  <c r="F181" i="15"/>
  <c r="G181" i="15"/>
  <c r="H181" i="15"/>
  <c r="I181" i="15"/>
  <c r="J181" i="15"/>
  <c r="K181" i="15"/>
  <c r="L181" i="15"/>
  <c r="M181" i="15"/>
  <c r="N181" i="15"/>
  <c r="O181" i="15"/>
  <c r="P181" i="15"/>
  <c r="Z181" i="13"/>
  <c r="B180" i="15"/>
  <c r="AA180" i="13" s="1"/>
  <c r="C180" i="15"/>
  <c r="AB180" i="13" s="1"/>
  <c r="D180" i="15"/>
  <c r="AC180" i="13" s="1"/>
  <c r="E180" i="15"/>
  <c r="F180" i="15"/>
  <c r="G180" i="15"/>
  <c r="H180" i="15"/>
  <c r="I180" i="15"/>
  <c r="J180" i="15"/>
  <c r="K180" i="15"/>
  <c r="L180" i="15"/>
  <c r="M180" i="15"/>
  <c r="N180" i="15"/>
  <c r="O180" i="15"/>
  <c r="P180" i="15"/>
  <c r="Z180" i="13"/>
  <c r="B179" i="15"/>
  <c r="AA179" i="13" s="1"/>
  <c r="C179" i="15"/>
  <c r="AB179" i="13" s="1"/>
  <c r="D179" i="15"/>
  <c r="AC179" i="13" s="1"/>
  <c r="E179" i="15"/>
  <c r="F179" i="15"/>
  <c r="G179" i="15"/>
  <c r="H179" i="15"/>
  <c r="I179" i="15"/>
  <c r="J179" i="15"/>
  <c r="K179" i="15"/>
  <c r="L179" i="15"/>
  <c r="M179" i="15"/>
  <c r="N179" i="15"/>
  <c r="O179" i="15"/>
  <c r="P179" i="15"/>
  <c r="Z179" i="13"/>
  <c r="B178" i="15"/>
  <c r="AA178" i="13" s="1"/>
  <c r="C178" i="15"/>
  <c r="AB178" i="13" s="1"/>
  <c r="D178" i="15"/>
  <c r="AC178" i="13" s="1"/>
  <c r="E178" i="15"/>
  <c r="F178" i="15"/>
  <c r="G178" i="15"/>
  <c r="H178" i="15"/>
  <c r="I178" i="15"/>
  <c r="J178" i="15"/>
  <c r="K178" i="15"/>
  <c r="L178" i="15"/>
  <c r="M178" i="15"/>
  <c r="N178" i="15"/>
  <c r="O178" i="15"/>
  <c r="P178" i="15"/>
  <c r="Z178" i="13"/>
  <c r="B177" i="15"/>
  <c r="AA177" i="13" s="1"/>
  <c r="C177" i="15"/>
  <c r="AB177" i="13" s="1"/>
  <c r="D177" i="15"/>
  <c r="AC177" i="13" s="1"/>
  <c r="E177" i="15"/>
  <c r="F177" i="15"/>
  <c r="G177" i="15"/>
  <c r="H177" i="15"/>
  <c r="I177" i="15"/>
  <c r="J177" i="15"/>
  <c r="K177" i="15"/>
  <c r="L177" i="15"/>
  <c r="M177" i="15"/>
  <c r="N177" i="15"/>
  <c r="O177" i="15"/>
  <c r="P177" i="15"/>
  <c r="Z177" i="13"/>
  <c r="B176" i="15"/>
  <c r="AA176" i="13" s="1"/>
  <c r="C176" i="15"/>
  <c r="AB176" i="13" s="1"/>
  <c r="D176" i="15"/>
  <c r="AC176" i="13" s="1"/>
  <c r="E176" i="15"/>
  <c r="F176" i="15"/>
  <c r="G176" i="15"/>
  <c r="H176" i="15"/>
  <c r="I176" i="15"/>
  <c r="J176" i="15"/>
  <c r="K176" i="15"/>
  <c r="L176" i="15"/>
  <c r="M176" i="15"/>
  <c r="N176" i="15"/>
  <c r="O176" i="15"/>
  <c r="P176" i="15"/>
  <c r="Z176" i="13"/>
  <c r="B175" i="15"/>
  <c r="AA175" i="13" s="1"/>
  <c r="C175" i="15"/>
  <c r="AB175" i="13" s="1"/>
  <c r="D175" i="15"/>
  <c r="AC175" i="13" s="1"/>
  <c r="E175" i="15"/>
  <c r="F175" i="15"/>
  <c r="G175" i="15"/>
  <c r="H175" i="15"/>
  <c r="I175" i="15"/>
  <c r="J175" i="15"/>
  <c r="K175" i="15"/>
  <c r="L175" i="15"/>
  <c r="M175" i="15"/>
  <c r="N175" i="15"/>
  <c r="O175" i="15"/>
  <c r="P175" i="15"/>
  <c r="Z175" i="13"/>
  <c r="B174" i="15"/>
  <c r="AA174" i="13" s="1"/>
  <c r="C174" i="15"/>
  <c r="AB174" i="13" s="1"/>
  <c r="D174" i="15"/>
  <c r="AC174" i="13" s="1"/>
  <c r="E174" i="15"/>
  <c r="F174" i="15"/>
  <c r="G174" i="15"/>
  <c r="H174" i="15"/>
  <c r="I174" i="15"/>
  <c r="J174" i="15"/>
  <c r="K174" i="15"/>
  <c r="L174" i="15"/>
  <c r="M174" i="15"/>
  <c r="N174" i="15"/>
  <c r="O174" i="15"/>
  <c r="P174" i="15"/>
  <c r="Z174" i="13"/>
  <c r="B173" i="15"/>
  <c r="AA173" i="13" s="1"/>
  <c r="C173" i="15"/>
  <c r="AB173" i="13" s="1"/>
  <c r="D173" i="15"/>
  <c r="AC173" i="13" s="1"/>
  <c r="E173" i="15"/>
  <c r="F173" i="15"/>
  <c r="G173" i="15"/>
  <c r="H173" i="15"/>
  <c r="I173" i="15"/>
  <c r="J173" i="15"/>
  <c r="K173" i="15"/>
  <c r="L173" i="15"/>
  <c r="M173" i="15"/>
  <c r="N173" i="15"/>
  <c r="O173" i="15"/>
  <c r="P173" i="15"/>
  <c r="Z173" i="13"/>
  <c r="B172" i="15"/>
  <c r="AA172" i="13" s="1"/>
  <c r="C172" i="15"/>
  <c r="AB172" i="13" s="1"/>
  <c r="D172" i="15"/>
  <c r="AC172" i="13" s="1"/>
  <c r="E172" i="15"/>
  <c r="F172" i="15"/>
  <c r="G172" i="15"/>
  <c r="H172" i="15"/>
  <c r="I172" i="15"/>
  <c r="J172" i="15"/>
  <c r="K172" i="15"/>
  <c r="L172" i="15"/>
  <c r="M172" i="15"/>
  <c r="N172" i="15"/>
  <c r="O172" i="15"/>
  <c r="P172" i="15"/>
  <c r="Z172" i="13"/>
  <c r="B171" i="15"/>
  <c r="AA171" i="13" s="1"/>
  <c r="C171" i="15"/>
  <c r="AB171" i="13" s="1"/>
  <c r="D171" i="15"/>
  <c r="AC171" i="13" s="1"/>
  <c r="E171" i="15"/>
  <c r="F171" i="15"/>
  <c r="G171" i="15"/>
  <c r="H171" i="15"/>
  <c r="I171" i="15"/>
  <c r="J171" i="15"/>
  <c r="K171" i="15"/>
  <c r="L171" i="15"/>
  <c r="M171" i="15"/>
  <c r="N171" i="15"/>
  <c r="O171" i="15"/>
  <c r="P171" i="15"/>
  <c r="Z171" i="13"/>
  <c r="B170" i="15"/>
  <c r="AA170" i="13" s="1"/>
  <c r="C170" i="15"/>
  <c r="AB170" i="13" s="1"/>
  <c r="D170" i="15"/>
  <c r="AC170" i="13" s="1"/>
  <c r="E170" i="15"/>
  <c r="F170" i="15"/>
  <c r="G170" i="15"/>
  <c r="H170" i="15"/>
  <c r="I170" i="15"/>
  <c r="J170" i="15"/>
  <c r="K170" i="15"/>
  <c r="L170" i="15"/>
  <c r="M170" i="15"/>
  <c r="N170" i="15"/>
  <c r="O170" i="15"/>
  <c r="P170" i="15"/>
  <c r="Z170" i="13"/>
  <c r="B169" i="15"/>
  <c r="AA169" i="13" s="1"/>
  <c r="C169" i="15"/>
  <c r="AB169" i="13" s="1"/>
  <c r="D169" i="15"/>
  <c r="AC169" i="13" s="1"/>
  <c r="E169" i="15"/>
  <c r="F169" i="15"/>
  <c r="G169" i="15"/>
  <c r="H169" i="15"/>
  <c r="I169" i="15"/>
  <c r="J169" i="15"/>
  <c r="K169" i="15"/>
  <c r="L169" i="15"/>
  <c r="M169" i="15"/>
  <c r="N169" i="15"/>
  <c r="O169" i="15"/>
  <c r="P169" i="15"/>
  <c r="Z169" i="13"/>
  <c r="B168" i="15"/>
  <c r="AA168" i="13" s="1"/>
  <c r="C168" i="15"/>
  <c r="AB168" i="13" s="1"/>
  <c r="D168" i="15"/>
  <c r="AC168" i="13" s="1"/>
  <c r="E168" i="15"/>
  <c r="F168" i="15"/>
  <c r="G168" i="15"/>
  <c r="H168" i="15"/>
  <c r="I168" i="15"/>
  <c r="J168" i="15"/>
  <c r="K168" i="15"/>
  <c r="L168" i="15"/>
  <c r="M168" i="15"/>
  <c r="N168" i="15"/>
  <c r="O168" i="15"/>
  <c r="P168" i="15"/>
  <c r="Z168" i="13"/>
  <c r="B167" i="15"/>
  <c r="AA167" i="13" s="1"/>
  <c r="C167" i="15"/>
  <c r="AB167" i="13" s="1"/>
  <c r="D167" i="15"/>
  <c r="AC167" i="13" s="1"/>
  <c r="E167" i="15"/>
  <c r="F167" i="15"/>
  <c r="G167" i="15"/>
  <c r="H167" i="15"/>
  <c r="I167" i="15"/>
  <c r="J167" i="15"/>
  <c r="K167" i="15"/>
  <c r="L167" i="15"/>
  <c r="M167" i="15"/>
  <c r="N167" i="15"/>
  <c r="O167" i="15"/>
  <c r="P167" i="15"/>
  <c r="Z167" i="13"/>
  <c r="B166" i="15"/>
  <c r="AA166" i="13" s="1"/>
  <c r="C166" i="15"/>
  <c r="AB166" i="13" s="1"/>
  <c r="D166" i="15"/>
  <c r="AC166" i="13" s="1"/>
  <c r="E166" i="15"/>
  <c r="F166" i="15"/>
  <c r="G166" i="15"/>
  <c r="H166" i="15"/>
  <c r="I166" i="15"/>
  <c r="J166" i="15"/>
  <c r="K166" i="15"/>
  <c r="L166" i="15"/>
  <c r="M166" i="15"/>
  <c r="N166" i="15"/>
  <c r="O166" i="15"/>
  <c r="P166" i="15"/>
  <c r="Z166" i="13"/>
  <c r="B165" i="15"/>
  <c r="AA165" i="13" s="1"/>
  <c r="C165" i="15"/>
  <c r="AB165" i="13" s="1"/>
  <c r="D165" i="15"/>
  <c r="AC165" i="13" s="1"/>
  <c r="E165" i="15"/>
  <c r="F165" i="15"/>
  <c r="G165" i="15"/>
  <c r="H165" i="15"/>
  <c r="I165" i="15"/>
  <c r="J165" i="15"/>
  <c r="K165" i="15"/>
  <c r="L165" i="15"/>
  <c r="M165" i="15"/>
  <c r="N165" i="15"/>
  <c r="O165" i="15"/>
  <c r="P165" i="15"/>
  <c r="Z165" i="13"/>
  <c r="B164" i="15"/>
  <c r="AA164" i="13" s="1"/>
  <c r="C164" i="15"/>
  <c r="AB164" i="13" s="1"/>
  <c r="D164" i="15"/>
  <c r="AC164" i="13" s="1"/>
  <c r="E164" i="15"/>
  <c r="F164" i="15"/>
  <c r="G164" i="15"/>
  <c r="H164" i="15"/>
  <c r="I164" i="15"/>
  <c r="J164" i="15"/>
  <c r="K164" i="15"/>
  <c r="L164" i="15"/>
  <c r="M164" i="15"/>
  <c r="N164" i="15"/>
  <c r="O164" i="15"/>
  <c r="P164" i="15"/>
  <c r="Z164" i="13"/>
  <c r="B163" i="15"/>
  <c r="AA163" i="13" s="1"/>
  <c r="C163" i="15"/>
  <c r="AB163" i="13" s="1"/>
  <c r="D163" i="15"/>
  <c r="AC163" i="13" s="1"/>
  <c r="E163" i="15"/>
  <c r="F163" i="15"/>
  <c r="G163" i="15"/>
  <c r="H163" i="15"/>
  <c r="I163" i="15"/>
  <c r="J163" i="15"/>
  <c r="K163" i="15"/>
  <c r="L163" i="15"/>
  <c r="M163" i="15"/>
  <c r="N163" i="15"/>
  <c r="O163" i="15"/>
  <c r="P163" i="15"/>
  <c r="Z163" i="13"/>
  <c r="B162" i="15"/>
  <c r="AA162" i="13" s="1"/>
  <c r="C162" i="15"/>
  <c r="AB162" i="13" s="1"/>
  <c r="D162" i="15"/>
  <c r="AC162" i="13" s="1"/>
  <c r="E162" i="15"/>
  <c r="F162" i="15"/>
  <c r="G162" i="15"/>
  <c r="H162" i="15"/>
  <c r="I162" i="15"/>
  <c r="J162" i="15"/>
  <c r="K162" i="15"/>
  <c r="L162" i="15"/>
  <c r="M162" i="15"/>
  <c r="N162" i="15"/>
  <c r="O162" i="15"/>
  <c r="P162" i="15"/>
  <c r="Z162" i="13"/>
  <c r="B161" i="15"/>
  <c r="AA161" i="13" s="1"/>
  <c r="C161" i="15"/>
  <c r="AB161" i="13" s="1"/>
  <c r="D161" i="15"/>
  <c r="AC161" i="13" s="1"/>
  <c r="E161" i="15"/>
  <c r="F161" i="15"/>
  <c r="G161" i="15"/>
  <c r="H161" i="15"/>
  <c r="I161" i="15"/>
  <c r="J161" i="15"/>
  <c r="K161" i="15"/>
  <c r="L161" i="15"/>
  <c r="M161" i="15"/>
  <c r="N161" i="15"/>
  <c r="O161" i="15"/>
  <c r="P161" i="15"/>
  <c r="Z161" i="13"/>
  <c r="B160" i="15"/>
  <c r="AA160" i="13" s="1"/>
  <c r="C160" i="15"/>
  <c r="AB160" i="13" s="1"/>
  <c r="D160" i="15"/>
  <c r="AC160" i="13" s="1"/>
  <c r="E160" i="15"/>
  <c r="F160" i="15"/>
  <c r="G160" i="15"/>
  <c r="H160" i="15"/>
  <c r="I160" i="15"/>
  <c r="J160" i="15"/>
  <c r="K160" i="15"/>
  <c r="L160" i="15"/>
  <c r="M160" i="15"/>
  <c r="N160" i="15"/>
  <c r="O160" i="15"/>
  <c r="P160" i="15"/>
  <c r="Z160" i="13"/>
  <c r="B159" i="15"/>
  <c r="AA159" i="13" s="1"/>
  <c r="C159" i="15"/>
  <c r="AB159" i="13" s="1"/>
  <c r="D159" i="15"/>
  <c r="AC159" i="13" s="1"/>
  <c r="E159" i="15"/>
  <c r="F159" i="15"/>
  <c r="G159" i="15"/>
  <c r="H159" i="15"/>
  <c r="I159" i="15"/>
  <c r="J159" i="15"/>
  <c r="K159" i="15"/>
  <c r="L159" i="15"/>
  <c r="M159" i="15"/>
  <c r="N159" i="15"/>
  <c r="O159" i="15"/>
  <c r="P159" i="15"/>
  <c r="Z159" i="13"/>
  <c r="B158" i="15"/>
  <c r="AA158" i="13" s="1"/>
  <c r="C158" i="15"/>
  <c r="AB158" i="13" s="1"/>
  <c r="D158" i="15"/>
  <c r="AC158" i="13" s="1"/>
  <c r="E158" i="15"/>
  <c r="F158" i="15"/>
  <c r="G158" i="15"/>
  <c r="H158" i="15"/>
  <c r="I158" i="15"/>
  <c r="J158" i="15"/>
  <c r="K158" i="15"/>
  <c r="L158" i="15"/>
  <c r="M158" i="15"/>
  <c r="N158" i="15"/>
  <c r="O158" i="15"/>
  <c r="P158" i="15"/>
  <c r="Z158" i="13"/>
  <c r="B157" i="15"/>
  <c r="AA157" i="13" s="1"/>
  <c r="C157" i="15"/>
  <c r="AB157" i="13" s="1"/>
  <c r="D157" i="15"/>
  <c r="AC157" i="13" s="1"/>
  <c r="E157" i="15"/>
  <c r="F157" i="15"/>
  <c r="G157" i="15"/>
  <c r="H157" i="15"/>
  <c r="I157" i="15"/>
  <c r="J157" i="15"/>
  <c r="K157" i="15"/>
  <c r="L157" i="15"/>
  <c r="M157" i="15"/>
  <c r="N157" i="15"/>
  <c r="O157" i="15"/>
  <c r="P157" i="15"/>
  <c r="Z157" i="13"/>
  <c r="B156" i="15"/>
  <c r="AA156" i="13" s="1"/>
  <c r="C156" i="15"/>
  <c r="AB156" i="13" s="1"/>
  <c r="D156" i="15"/>
  <c r="AC156" i="13" s="1"/>
  <c r="E156" i="15"/>
  <c r="F156" i="15"/>
  <c r="G156" i="15"/>
  <c r="H156" i="15"/>
  <c r="I156" i="15"/>
  <c r="J156" i="15"/>
  <c r="K156" i="15"/>
  <c r="L156" i="15"/>
  <c r="M156" i="15"/>
  <c r="N156" i="15"/>
  <c r="O156" i="15"/>
  <c r="P156" i="15"/>
  <c r="Z156" i="13"/>
  <c r="B155" i="15"/>
  <c r="AA155" i="13" s="1"/>
  <c r="C155" i="15"/>
  <c r="AB155" i="13" s="1"/>
  <c r="D155" i="15"/>
  <c r="AC155" i="13" s="1"/>
  <c r="E155" i="15"/>
  <c r="F155" i="15"/>
  <c r="G155" i="15"/>
  <c r="H155" i="15"/>
  <c r="I155" i="15"/>
  <c r="J155" i="15"/>
  <c r="K155" i="15"/>
  <c r="L155" i="15"/>
  <c r="M155" i="15"/>
  <c r="N155" i="15"/>
  <c r="O155" i="15"/>
  <c r="P155" i="15"/>
  <c r="Z155" i="13"/>
  <c r="B154" i="15"/>
  <c r="AA154" i="13" s="1"/>
  <c r="C154" i="15"/>
  <c r="AB154" i="13" s="1"/>
  <c r="D154" i="15"/>
  <c r="AC154" i="13" s="1"/>
  <c r="E154" i="15"/>
  <c r="F154" i="15"/>
  <c r="G154" i="15"/>
  <c r="H154" i="15"/>
  <c r="I154" i="15"/>
  <c r="J154" i="15"/>
  <c r="K154" i="15"/>
  <c r="L154" i="15"/>
  <c r="M154" i="15"/>
  <c r="N154" i="15"/>
  <c r="O154" i="15"/>
  <c r="P154" i="15"/>
  <c r="Z154" i="13"/>
  <c r="B153" i="15"/>
  <c r="AA153" i="13" s="1"/>
  <c r="C153" i="15"/>
  <c r="AB153" i="13" s="1"/>
  <c r="D153" i="15"/>
  <c r="AC153" i="13" s="1"/>
  <c r="E153" i="15"/>
  <c r="F153" i="15"/>
  <c r="G153" i="15"/>
  <c r="H153" i="15"/>
  <c r="I153" i="15"/>
  <c r="J153" i="15"/>
  <c r="K153" i="15"/>
  <c r="L153" i="15"/>
  <c r="M153" i="15"/>
  <c r="N153" i="15"/>
  <c r="O153" i="15"/>
  <c r="P153" i="15"/>
  <c r="Z153" i="13"/>
  <c r="B152" i="15"/>
  <c r="AA152" i="13" s="1"/>
  <c r="C152" i="15"/>
  <c r="AB152" i="13" s="1"/>
  <c r="D152" i="15"/>
  <c r="AC152" i="13" s="1"/>
  <c r="E152" i="15"/>
  <c r="F152" i="15"/>
  <c r="G152" i="15"/>
  <c r="H152" i="15"/>
  <c r="I152" i="15"/>
  <c r="J152" i="15"/>
  <c r="K152" i="15"/>
  <c r="L152" i="15"/>
  <c r="M152" i="15"/>
  <c r="N152" i="15"/>
  <c r="O152" i="15"/>
  <c r="P152" i="15"/>
  <c r="Z152" i="13"/>
  <c r="B151" i="15"/>
  <c r="AA151" i="13" s="1"/>
  <c r="C151" i="15"/>
  <c r="AB151" i="13" s="1"/>
  <c r="D151" i="15"/>
  <c r="AC151" i="13" s="1"/>
  <c r="E151" i="15"/>
  <c r="F151" i="15"/>
  <c r="G151" i="15"/>
  <c r="H151" i="15"/>
  <c r="I151" i="15"/>
  <c r="J151" i="15"/>
  <c r="K151" i="15"/>
  <c r="L151" i="15"/>
  <c r="M151" i="15"/>
  <c r="N151" i="15"/>
  <c r="O151" i="15"/>
  <c r="P151" i="15"/>
  <c r="Z151" i="13"/>
  <c r="B150" i="15"/>
  <c r="AA150" i="13" s="1"/>
  <c r="C150" i="15"/>
  <c r="AB150" i="13" s="1"/>
  <c r="D150" i="15"/>
  <c r="AC150" i="13" s="1"/>
  <c r="E150" i="15"/>
  <c r="F150" i="15"/>
  <c r="G150" i="15"/>
  <c r="H150" i="15"/>
  <c r="I150" i="15"/>
  <c r="J150" i="15"/>
  <c r="K150" i="15"/>
  <c r="L150" i="15"/>
  <c r="M150" i="15"/>
  <c r="N150" i="15"/>
  <c r="O150" i="15"/>
  <c r="P150" i="15"/>
  <c r="Z150" i="13"/>
  <c r="B149" i="15"/>
  <c r="AA149" i="13" s="1"/>
  <c r="C149" i="15"/>
  <c r="AB149" i="13" s="1"/>
  <c r="D149" i="15"/>
  <c r="AC149" i="13" s="1"/>
  <c r="E149" i="15"/>
  <c r="F149" i="15"/>
  <c r="G149" i="15"/>
  <c r="H149" i="15"/>
  <c r="I149" i="15"/>
  <c r="J149" i="15"/>
  <c r="K149" i="15"/>
  <c r="L149" i="15"/>
  <c r="M149" i="15"/>
  <c r="N149" i="15"/>
  <c r="O149" i="15"/>
  <c r="P149" i="15"/>
  <c r="Z149" i="13"/>
  <c r="B148" i="15"/>
  <c r="AA148" i="13" s="1"/>
  <c r="C148" i="15"/>
  <c r="AB148" i="13" s="1"/>
  <c r="D148" i="15"/>
  <c r="AC148" i="13" s="1"/>
  <c r="E148" i="15"/>
  <c r="F148" i="15"/>
  <c r="G148" i="15"/>
  <c r="H148" i="15"/>
  <c r="I148" i="15"/>
  <c r="J148" i="15"/>
  <c r="K148" i="15"/>
  <c r="L148" i="15"/>
  <c r="M148" i="15"/>
  <c r="N148" i="15"/>
  <c r="O148" i="15"/>
  <c r="P148" i="15"/>
  <c r="Z148" i="13"/>
  <c r="B147" i="15"/>
  <c r="AA147" i="13" s="1"/>
  <c r="C147" i="15"/>
  <c r="AB147" i="13" s="1"/>
  <c r="D147" i="15"/>
  <c r="AC147" i="13" s="1"/>
  <c r="E147" i="15"/>
  <c r="F147" i="15"/>
  <c r="G147" i="15"/>
  <c r="H147" i="15"/>
  <c r="I147" i="15"/>
  <c r="J147" i="15"/>
  <c r="K147" i="15"/>
  <c r="L147" i="15"/>
  <c r="M147" i="15"/>
  <c r="N147" i="15"/>
  <c r="O147" i="15"/>
  <c r="P147" i="15"/>
  <c r="Z147" i="13"/>
  <c r="B146" i="15"/>
  <c r="AA146" i="13" s="1"/>
  <c r="C146" i="15"/>
  <c r="AB146" i="13" s="1"/>
  <c r="D146" i="15"/>
  <c r="AC146" i="13" s="1"/>
  <c r="E146" i="15"/>
  <c r="F146" i="15"/>
  <c r="G146" i="15"/>
  <c r="H146" i="15"/>
  <c r="I146" i="15"/>
  <c r="J146" i="15"/>
  <c r="K146" i="15"/>
  <c r="L146" i="15"/>
  <c r="M146" i="15"/>
  <c r="N146" i="15"/>
  <c r="O146" i="15"/>
  <c r="P146" i="15"/>
  <c r="Z146" i="13"/>
  <c r="B145" i="15"/>
  <c r="AA145" i="13" s="1"/>
  <c r="C145" i="15"/>
  <c r="AB145" i="13" s="1"/>
  <c r="D145" i="15"/>
  <c r="AC145" i="13" s="1"/>
  <c r="E145" i="15"/>
  <c r="F145" i="15"/>
  <c r="G145" i="15"/>
  <c r="H145" i="15"/>
  <c r="I145" i="15"/>
  <c r="J145" i="15"/>
  <c r="K145" i="15"/>
  <c r="L145" i="15"/>
  <c r="M145" i="15"/>
  <c r="N145" i="15"/>
  <c r="O145" i="15"/>
  <c r="P145" i="15"/>
  <c r="Z145" i="13"/>
  <c r="B144" i="15"/>
  <c r="AA144" i="13" s="1"/>
  <c r="C144" i="15"/>
  <c r="AB144" i="13" s="1"/>
  <c r="D144" i="15"/>
  <c r="AC144" i="13" s="1"/>
  <c r="E144" i="15"/>
  <c r="F144" i="15"/>
  <c r="G144" i="15"/>
  <c r="H144" i="15"/>
  <c r="I144" i="15"/>
  <c r="J144" i="15"/>
  <c r="K144" i="15"/>
  <c r="L144" i="15"/>
  <c r="M144" i="15"/>
  <c r="N144" i="15"/>
  <c r="O144" i="15"/>
  <c r="P144" i="15"/>
  <c r="Z144" i="13"/>
  <c r="B143" i="15"/>
  <c r="AA143" i="13" s="1"/>
  <c r="C143" i="15"/>
  <c r="AB143" i="13" s="1"/>
  <c r="D143" i="15"/>
  <c r="AC143" i="13" s="1"/>
  <c r="E143" i="15"/>
  <c r="F143" i="15"/>
  <c r="G143" i="15"/>
  <c r="H143" i="15"/>
  <c r="I143" i="15"/>
  <c r="J143" i="15"/>
  <c r="K143" i="15"/>
  <c r="L143" i="15"/>
  <c r="M143" i="15"/>
  <c r="N143" i="15"/>
  <c r="O143" i="15"/>
  <c r="P143" i="15"/>
  <c r="Z143" i="13"/>
  <c r="B142" i="15"/>
  <c r="AA142" i="13" s="1"/>
  <c r="C142" i="15"/>
  <c r="AB142" i="13" s="1"/>
  <c r="D142" i="15"/>
  <c r="AC142" i="13" s="1"/>
  <c r="E142" i="15"/>
  <c r="F142" i="15"/>
  <c r="G142" i="15"/>
  <c r="H142" i="15"/>
  <c r="I142" i="15"/>
  <c r="J142" i="15"/>
  <c r="K142" i="15"/>
  <c r="L142" i="15"/>
  <c r="M142" i="15"/>
  <c r="N142" i="15"/>
  <c r="O142" i="15"/>
  <c r="P142" i="15"/>
  <c r="Z142" i="13"/>
  <c r="B141" i="15"/>
  <c r="AA141" i="13" s="1"/>
  <c r="C141" i="15"/>
  <c r="AB141" i="13" s="1"/>
  <c r="D141" i="15"/>
  <c r="AC141" i="13" s="1"/>
  <c r="E141" i="15"/>
  <c r="F141" i="15"/>
  <c r="G141" i="15"/>
  <c r="H141" i="15"/>
  <c r="I141" i="15"/>
  <c r="J141" i="15"/>
  <c r="K141" i="15"/>
  <c r="L141" i="15"/>
  <c r="M141" i="15"/>
  <c r="N141" i="15"/>
  <c r="O141" i="15"/>
  <c r="P141" i="15"/>
  <c r="Z141" i="13"/>
  <c r="B140" i="15"/>
  <c r="AA140" i="13" s="1"/>
  <c r="C140" i="15"/>
  <c r="AB140" i="13" s="1"/>
  <c r="D140" i="15"/>
  <c r="AC140" i="13" s="1"/>
  <c r="E140" i="15"/>
  <c r="F140" i="15"/>
  <c r="G140" i="15"/>
  <c r="H140" i="15"/>
  <c r="I140" i="15"/>
  <c r="J140" i="15"/>
  <c r="K140" i="15"/>
  <c r="L140" i="15"/>
  <c r="M140" i="15"/>
  <c r="N140" i="15"/>
  <c r="O140" i="15"/>
  <c r="P140" i="15"/>
  <c r="Z140" i="13"/>
  <c r="B132" i="15"/>
  <c r="AA132" i="13" s="1"/>
  <c r="C132" i="15"/>
  <c r="AB132" i="13" s="1"/>
  <c r="D132" i="15"/>
  <c r="AC132" i="13" s="1"/>
  <c r="E132" i="15"/>
  <c r="F132" i="15"/>
  <c r="G132" i="15"/>
  <c r="H132" i="15"/>
  <c r="I132" i="15"/>
  <c r="J132" i="15"/>
  <c r="K132" i="15"/>
  <c r="L132" i="15"/>
  <c r="M132" i="15"/>
  <c r="N132" i="15"/>
  <c r="O132" i="15"/>
  <c r="P132" i="15"/>
  <c r="Z132" i="13"/>
  <c r="B126" i="15"/>
  <c r="AA126" i="13" s="1"/>
  <c r="C126" i="15"/>
  <c r="AB126" i="13" s="1"/>
  <c r="D126" i="15"/>
  <c r="AC126" i="13" s="1"/>
  <c r="E126" i="15"/>
  <c r="F126" i="15"/>
  <c r="G126" i="15"/>
  <c r="H126" i="15"/>
  <c r="I126" i="15"/>
  <c r="J126" i="15"/>
  <c r="K126" i="15"/>
  <c r="L126" i="15"/>
  <c r="M126" i="15"/>
  <c r="N126" i="15"/>
  <c r="O126" i="15"/>
  <c r="P126" i="15"/>
  <c r="Z126" i="13"/>
  <c r="B118" i="15"/>
  <c r="AA118" i="13" s="1"/>
  <c r="C118" i="15"/>
  <c r="AB118" i="13" s="1"/>
  <c r="D118" i="15"/>
  <c r="AC118" i="13" s="1"/>
  <c r="E118" i="15"/>
  <c r="F118" i="15"/>
  <c r="G118" i="15"/>
  <c r="H118" i="15"/>
  <c r="I118" i="15"/>
  <c r="J118" i="15"/>
  <c r="K118" i="15"/>
  <c r="L118" i="15"/>
  <c r="M118" i="15"/>
  <c r="N118" i="15"/>
  <c r="O118" i="15"/>
  <c r="P118" i="15"/>
  <c r="Z118" i="13"/>
  <c r="B111" i="15"/>
  <c r="AA111" i="13" s="1"/>
  <c r="C111" i="15"/>
  <c r="AB111" i="13" s="1"/>
  <c r="D111" i="15"/>
  <c r="AC111" i="13" s="1"/>
  <c r="E111" i="15"/>
  <c r="F111" i="15"/>
  <c r="G111" i="15"/>
  <c r="H111" i="15"/>
  <c r="I111" i="15"/>
  <c r="J111" i="15"/>
  <c r="K111" i="15"/>
  <c r="L111" i="15"/>
  <c r="M111" i="15"/>
  <c r="N111" i="15"/>
  <c r="O111" i="15"/>
  <c r="P111" i="15"/>
  <c r="Z111" i="13"/>
  <c r="B104" i="15"/>
  <c r="AA104" i="13" s="1"/>
  <c r="C104" i="15"/>
  <c r="AB104" i="13" s="1"/>
  <c r="D104" i="15"/>
  <c r="AC104" i="13" s="1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Z104" i="13"/>
  <c r="C975" i="15"/>
  <c r="AB975" i="13" s="1"/>
  <c r="E975" i="15"/>
  <c r="G975" i="15"/>
  <c r="K975" i="15"/>
  <c r="M975" i="15"/>
  <c r="N975" i="15"/>
  <c r="O975" i="15"/>
  <c r="P975" i="15"/>
  <c r="B975" i="15"/>
  <c r="AA975" i="13" s="1"/>
  <c r="D975" i="15"/>
  <c r="AC975" i="13" s="1"/>
  <c r="F975" i="15"/>
  <c r="H975" i="15"/>
  <c r="I975" i="15"/>
  <c r="J975" i="15"/>
  <c r="L975" i="15"/>
  <c r="Z975" i="13"/>
  <c r="D44" i="15"/>
  <c r="AC44" i="13" s="1"/>
  <c r="F44" i="15"/>
  <c r="I44" i="15"/>
  <c r="M44" i="15"/>
  <c r="O44" i="15"/>
  <c r="H44" i="15"/>
  <c r="Z44" i="13"/>
  <c r="G44" i="15"/>
  <c r="N44" i="15"/>
  <c r="P44" i="15"/>
  <c r="B44" i="15"/>
  <c r="AA44" i="13" s="1"/>
  <c r="C44" i="15"/>
  <c r="AB44" i="13" s="1"/>
  <c r="E44" i="15"/>
  <c r="K44" i="15"/>
  <c r="J44" i="15"/>
  <c r="L44" i="15"/>
  <c r="C520" i="15"/>
  <c r="AB520" i="13" s="1"/>
  <c r="D520" i="15"/>
  <c r="AC520" i="13" s="1"/>
  <c r="Z520" i="13"/>
  <c r="B520" i="15"/>
  <c r="AA520" i="13" s="1"/>
  <c r="E520" i="15"/>
  <c r="F520" i="15"/>
  <c r="G520" i="15"/>
  <c r="H520" i="15"/>
  <c r="I520" i="15"/>
  <c r="J520" i="15"/>
  <c r="K520" i="15"/>
  <c r="L520" i="15"/>
  <c r="M520" i="15"/>
  <c r="N520" i="15"/>
  <c r="O520" i="15"/>
  <c r="P520" i="15"/>
  <c r="B508" i="15"/>
  <c r="AA508" i="13" s="1"/>
  <c r="H508" i="15"/>
  <c r="M508" i="15"/>
  <c r="N508" i="15"/>
  <c r="P508" i="15"/>
  <c r="E508" i="15"/>
  <c r="J508" i="15"/>
  <c r="Z508" i="13"/>
  <c r="D508" i="15"/>
  <c r="AC508" i="13" s="1"/>
  <c r="G508" i="15"/>
  <c r="L508" i="15"/>
  <c r="C508" i="15"/>
  <c r="AB508" i="13" s="1"/>
  <c r="F508" i="15"/>
  <c r="I508" i="15"/>
  <c r="K508" i="15"/>
  <c r="O508" i="15"/>
  <c r="B499" i="15"/>
  <c r="AA499" i="13" s="1"/>
  <c r="C499" i="15"/>
  <c r="AB499" i="13" s="1"/>
  <c r="F499" i="15"/>
  <c r="G499" i="15"/>
  <c r="H499" i="15"/>
  <c r="M499" i="15"/>
  <c r="Z499" i="13"/>
  <c r="D499" i="15"/>
  <c r="AC499" i="13" s="1"/>
  <c r="K499" i="15"/>
  <c r="L499" i="15"/>
  <c r="P499" i="15"/>
  <c r="E499" i="15"/>
  <c r="I499" i="15"/>
  <c r="J499" i="15"/>
  <c r="N499" i="15"/>
  <c r="O499" i="15"/>
  <c r="B453" i="15"/>
  <c r="AA453" i="13" s="1"/>
  <c r="E453" i="15"/>
  <c r="F453" i="15"/>
  <c r="I453" i="15"/>
  <c r="J453" i="15"/>
  <c r="L453" i="15"/>
  <c r="C453" i="15"/>
  <c r="AB453" i="13" s="1"/>
  <c r="D453" i="15"/>
  <c r="AC453" i="13" s="1"/>
  <c r="G453" i="15"/>
  <c r="H453" i="15"/>
  <c r="K453" i="15"/>
  <c r="N453" i="15"/>
  <c r="P453" i="15"/>
  <c r="M453" i="15"/>
  <c r="O453" i="15"/>
  <c r="Z453" i="13"/>
  <c r="B238" i="15"/>
  <c r="AA238" i="13" s="1"/>
  <c r="C238" i="15"/>
  <c r="AB238" i="13" s="1"/>
  <c r="D238" i="15"/>
  <c r="AC238" i="13" s="1"/>
  <c r="E238" i="15"/>
  <c r="F238" i="15"/>
  <c r="G238" i="15"/>
  <c r="H238" i="15"/>
  <c r="I238" i="15"/>
  <c r="J238" i="15"/>
  <c r="K238" i="15"/>
  <c r="L238" i="15"/>
  <c r="M238" i="15"/>
  <c r="N238" i="15"/>
  <c r="O238" i="15"/>
  <c r="P238" i="15"/>
  <c r="Z238" i="13"/>
  <c r="B233" i="15"/>
  <c r="AA233" i="13" s="1"/>
  <c r="C233" i="15"/>
  <c r="AB233" i="13" s="1"/>
  <c r="D233" i="15"/>
  <c r="AC233" i="13" s="1"/>
  <c r="E233" i="15"/>
  <c r="F233" i="15"/>
  <c r="G233" i="15"/>
  <c r="H233" i="15"/>
  <c r="I233" i="15"/>
  <c r="J233" i="15"/>
  <c r="K233" i="15"/>
  <c r="L233" i="15"/>
  <c r="M233" i="15"/>
  <c r="N233" i="15"/>
  <c r="O233" i="15"/>
  <c r="P233" i="15"/>
  <c r="Z233" i="13"/>
  <c r="B227" i="15"/>
  <c r="AA227" i="13" s="1"/>
  <c r="C227" i="15"/>
  <c r="AB227" i="13" s="1"/>
  <c r="D227" i="15"/>
  <c r="AC227" i="13" s="1"/>
  <c r="E227" i="15"/>
  <c r="F227" i="15"/>
  <c r="G227" i="15"/>
  <c r="H227" i="15"/>
  <c r="I227" i="15"/>
  <c r="J227" i="15"/>
  <c r="K227" i="15"/>
  <c r="L227" i="15"/>
  <c r="M227" i="15"/>
  <c r="N227" i="15"/>
  <c r="O227" i="15"/>
  <c r="P227" i="15"/>
  <c r="Z227" i="13"/>
  <c r="B217" i="15"/>
  <c r="AA217" i="13" s="1"/>
  <c r="C217" i="15"/>
  <c r="AB217" i="13" s="1"/>
  <c r="D217" i="15"/>
  <c r="AC217" i="13" s="1"/>
  <c r="E217" i="15"/>
  <c r="F217" i="15"/>
  <c r="G217" i="15"/>
  <c r="H217" i="15"/>
  <c r="I217" i="15"/>
  <c r="J217" i="15"/>
  <c r="K217" i="15"/>
  <c r="L217" i="15"/>
  <c r="M217" i="15"/>
  <c r="N217" i="15"/>
  <c r="O217" i="15"/>
  <c r="P217" i="15"/>
  <c r="Z217" i="13"/>
  <c r="C491" i="15"/>
  <c r="AB491" i="13" s="1"/>
  <c r="H491" i="15"/>
  <c r="I491" i="15"/>
  <c r="K491" i="15"/>
  <c r="L491" i="15"/>
  <c r="M491" i="15"/>
  <c r="P491" i="15"/>
  <c r="Z491" i="13"/>
  <c r="B491" i="15"/>
  <c r="AA491" i="13" s="1"/>
  <c r="D491" i="15"/>
  <c r="AC491" i="13" s="1"/>
  <c r="F491" i="15"/>
  <c r="G491" i="15"/>
  <c r="N491" i="15"/>
  <c r="E491" i="15"/>
  <c r="J491" i="15"/>
  <c r="O491" i="15"/>
  <c r="C941" i="15"/>
  <c r="AB941" i="13" s="1"/>
  <c r="E941" i="15"/>
  <c r="B941" i="15"/>
  <c r="AA941" i="13" s="1"/>
  <c r="D941" i="15"/>
  <c r="AC941" i="13" s="1"/>
  <c r="F941" i="15"/>
  <c r="G941" i="15"/>
  <c r="H941" i="15"/>
  <c r="I941" i="15"/>
  <c r="J941" i="15"/>
  <c r="K941" i="15"/>
  <c r="L941" i="15"/>
  <c r="M941" i="15"/>
  <c r="N941" i="15"/>
  <c r="O941" i="15"/>
  <c r="P941" i="15"/>
  <c r="Z941" i="13"/>
  <c r="C898" i="15"/>
  <c r="AB898" i="13" s="1"/>
  <c r="F898" i="15"/>
  <c r="B898" i="15"/>
  <c r="AA898" i="13" s="1"/>
  <c r="D898" i="15"/>
  <c r="AC898" i="13" s="1"/>
  <c r="E898" i="15"/>
  <c r="G898" i="15"/>
  <c r="H898" i="15"/>
  <c r="I898" i="15"/>
  <c r="J898" i="15"/>
  <c r="K898" i="15"/>
  <c r="L898" i="15"/>
  <c r="M898" i="15"/>
  <c r="N898" i="15"/>
  <c r="O898" i="15"/>
  <c r="P898" i="15"/>
  <c r="Z898" i="13"/>
  <c r="B502" i="15"/>
  <c r="AA502" i="13" s="1"/>
  <c r="D502" i="15"/>
  <c r="AC502" i="13" s="1"/>
  <c r="F502" i="15"/>
  <c r="I502" i="15"/>
  <c r="K502" i="15"/>
  <c r="C502" i="15"/>
  <c r="AB502" i="13" s="1"/>
  <c r="P502" i="15"/>
  <c r="E502" i="15"/>
  <c r="H502" i="15"/>
  <c r="J502" i="15"/>
  <c r="M502" i="15"/>
  <c r="Z502" i="13"/>
  <c r="G502" i="15"/>
  <c r="L502" i="15"/>
  <c r="N502" i="15"/>
  <c r="O502" i="15"/>
  <c r="E444" i="15"/>
  <c r="G444" i="15"/>
  <c r="J444" i="15"/>
  <c r="P444" i="15"/>
  <c r="D444" i="15"/>
  <c r="AC444" i="13" s="1"/>
  <c r="M444" i="15"/>
  <c r="N444" i="15"/>
  <c r="C444" i="15"/>
  <c r="AB444" i="13" s="1"/>
  <c r="F444" i="15"/>
  <c r="H444" i="15"/>
  <c r="K444" i="15"/>
  <c r="Z444" i="13"/>
  <c r="B444" i="15"/>
  <c r="AA444" i="13" s="1"/>
  <c r="I444" i="15"/>
  <c r="L444" i="15"/>
  <c r="O444" i="15"/>
  <c r="B855" i="15"/>
  <c r="AA855" i="13" s="1"/>
  <c r="C855" i="15"/>
  <c r="AB855" i="13" s="1"/>
  <c r="D855" i="15"/>
  <c r="AC855" i="13" s="1"/>
  <c r="E855" i="15"/>
  <c r="F855" i="15"/>
  <c r="H855" i="15"/>
  <c r="J855" i="15"/>
  <c r="K855" i="15"/>
  <c r="L855" i="15"/>
  <c r="G855" i="15"/>
  <c r="I855" i="15"/>
  <c r="M855" i="15"/>
  <c r="N855" i="15"/>
  <c r="O855" i="15"/>
  <c r="P855" i="15"/>
  <c r="Z855" i="13"/>
  <c r="B766" i="15"/>
  <c r="AA766" i="13" s="1"/>
  <c r="C766" i="15"/>
  <c r="AB766" i="13" s="1"/>
  <c r="D766" i="15"/>
  <c r="AC766" i="13" s="1"/>
  <c r="E766" i="15"/>
  <c r="F766" i="15"/>
  <c r="G766" i="15"/>
  <c r="H766" i="15"/>
  <c r="I766" i="15"/>
  <c r="J766" i="15"/>
  <c r="K766" i="15"/>
  <c r="L766" i="15"/>
  <c r="M766" i="15"/>
  <c r="N766" i="15"/>
  <c r="O766" i="15"/>
  <c r="P766" i="15"/>
  <c r="Z766" i="13"/>
  <c r="B648" i="15"/>
  <c r="AA648" i="13" s="1"/>
  <c r="C648" i="15"/>
  <c r="AB648" i="13" s="1"/>
  <c r="D648" i="15"/>
  <c r="AC648" i="13" s="1"/>
  <c r="E648" i="15"/>
  <c r="F648" i="15"/>
  <c r="G648" i="15"/>
  <c r="H648" i="15"/>
  <c r="I648" i="15"/>
  <c r="J648" i="15"/>
  <c r="K648" i="15"/>
  <c r="L648" i="15"/>
  <c r="M648" i="15"/>
  <c r="N648" i="15"/>
  <c r="O648" i="15"/>
  <c r="P648" i="15"/>
  <c r="Z648" i="13"/>
  <c r="B645" i="15"/>
  <c r="AA645" i="13" s="1"/>
  <c r="C645" i="15"/>
  <c r="AB645" i="13" s="1"/>
  <c r="D645" i="15"/>
  <c r="AC645" i="13" s="1"/>
  <c r="E645" i="15"/>
  <c r="F645" i="15"/>
  <c r="G645" i="15"/>
  <c r="H645" i="15"/>
  <c r="I645" i="15"/>
  <c r="J645" i="15"/>
  <c r="K645" i="15"/>
  <c r="L645" i="15"/>
  <c r="M645" i="15"/>
  <c r="N645" i="15"/>
  <c r="O645" i="15"/>
  <c r="P645" i="15"/>
  <c r="Z645" i="13"/>
  <c r="B641" i="15"/>
  <c r="AA641" i="13" s="1"/>
  <c r="C641" i="15"/>
  <c r="AB641" i="13" s="1"/>
  <c r="D641" i="15"/>
  <c r="AC641" i="13" s="1"/>
  <c r="E641" i="15"/>
  <c r="F641" i="15"/>
  <c r="G641" i="15"/>
  <c r="H641" i="15"/>
  <c r="I641" i="15"/>
  <c r="J641" i="15"/>
  <c r="K641" i="15"/>
  <c r="L641" i="15"/>
  <c r="M641" i="15"/>
  <c r="N641" i="15"/>
  <c r="O641" i="15"/>
  <c r="P641" i="15"/>
  <c r="Z641" i="13"/>
  <c r="B638" i="15"/>
  <c r="AA638" i="13" s="1"/>
  <c r="C638" i="15"/>
  <c r="AB638" i="13" s="1"/>
  <c r="D638" i="15"/>
  <c r="AC638" i="13" s="1"/>
  <c r="E638" i="15"/>
  <c r="F638" i="15"/>
  <c r="G638" i="15"/>
  <c r="H638" i="15"/>
  <c r="I638" i="15"/>
  <c r="J638" i="15"/>
  <c r="K638" i="15"/>
  <c r="L638" i="15"/>
  <c r="M638" i="15"/>
  <c r="N638" i="15"/>
  <c r="O638" i="15"/>
  <c r="P638" i="15"/>
  <c r="Z638" i="13"/>
  <c r="B634" i="15"/>
  <c r="AA634" i="13" s="1"/>
  <c r="C634" i="15"/>
  <c r="AB634" i="13" s="1"/>
  <c r="D634" i="15"/>
  <c r="AC634" i="13" s="1"/>
  <c r="E634" i="15"/>
  <c r="F634" i="15"/>
  <c r="G634" i="15"/>
  <c r="H634" i="15"/>
  <c r="I634" i="15"/>
  <c r="J634" i="15"/>
  <c r="K634" i="15"/>
  <c r="L634" i="15"/>
  <c r="M634" i="15"/>
  <c r="N634" i="15"/>
  <c r="O634" i="15"/>
  <c r="P634" i="15"/>
  <c r="Z634" i="13"/>
  <c r="B630" i="15"/>
  <c r="AA630" i="13" s="1"/>
  <c r="C630" i="15"/>
  <c r="AB630" i="13" s="1"/>
  <c r="D630" i="15"/>
  <c r="AC630" i="13" s="1"/>
  <c r="E630" i="15"/>
  <c r="F630" i="15"/>
  <c r="G630" i="15"/>
  <c r="H630" i="15"/>
  <c r="I630" i="15"/>
  <c r="J630" i="15"/>
  <c r="K630" i="15"/>
  <c r="L630" i="15"/>
  <c r="M630" i="15"/>
  <c r="N630" i="15"/>
  <c r="O630" i="15"/>
  <c r="P630" i="15"/>
  <c r="Z630" i="13"/>
  <c r="B627" i="15"/>
  <c r="AA627" i="13" s="1"/>
  <c r="C627" i="15"/>
  <c r="AB627" i="13" s="1"/>
  <c r="D627" i="15"/>
  <c r="AC627" i="13" s="1"/>
  <c r="E627" i="15"/>
  <c r="F627" i="15"/>
  <c r="G627" i="15"/>
  <c r="H627" i="15"/>
  <c r="I627" i="15"/>
  <c r="J627" i="15"/>
  <c r="K627" i="15"/>
  <c r="L627" i="15"/>
  <c r="M627" i="15"/>
  <c r="N627" i="15"/>
  <c r="O627" i="15"/>
  <c r="P627" i="15"/>
  <c r="Z627" i="13"/>
  <c r="B623" i="15"/>
  <c r="AA623" i="13" s="1"/>
  <c r="C623" i="15"/>
  <c r="AB623" i="13" s="1"/>
  <c r="D623" i="15"/>
  <c r="AC623" i="13" s="1"/>
  <c r="E623" i="15"/>
  <c r="F623" i="15"/>
  <c r="G623" i="15"/>
  <c r="H623" i="15"/>
  <c r="I623" i="15"/>
  <c r="J623" i="15"/>
  <c r="K623" i="15"/>
  <c r="L623" i="15"/>
  <c r="M623" i="15"/>
  <c r="N623" i="15"/>
  <c r="O623" i="15"/>
  <c r="P623" i="15"/>
  <c r="Z623" i="13"/>
  <c r="B619" i="15"/>
  <c r="AA619" i="13" s="1"/>
  <c r="C619" i="15"/>
  <c r="AB619" i="13" s="1"/>
  <c r="D619" i="15"/>
  <c r="AC619" i="13" s="1"/>
  <c r="E619" i="15"/>
  <c r="F619" i="15"/>
  <c r="G619" i="15"/>
  <c r="H619" i="15"/>
  <c r="I619" i="15"/>
  <c r="J619" i="15"/>
  <c r="K619" i="15"/>
  <c r="L619" i="15"/>
  <c r="M619" i="15"/>
  <c r="N619" i="15"/>
  <c r="O619" i="15"/>
  <c r="P619" i="15"/>
  <c r="Z619" i="13"/>
  <c r="B616" i="15"/>
  <c r="AA616" i="13" s="1"/>
  <c r="C616" i="15"/>
  <c r="AB616" i="13" s="1"/>
  <c r="D616" i="15"/>
  <c r="AC616" i="13" s="1"/>
  <c r="E616" i="15"/>
  <c r="F616" i="15"/>
  <c r="G616" i="15"/>
  <c r="H616" i="15"/>
  <c r="I616" i="15"/>
  <c r="J616" i="15"/>
  <c r="K616" i="15"/>
  <c r="L616" i="15"/>
  <c r="M616" i="15"/>
  <c r="N616" i="15"/>
  <c r="O616" i="15"/>
  <c r="P616" i="15"/>
  <c r="Z616" i="13"/>
  <c r="B612" i="15"/>
  <c r="AA612" i="13" s="1"/>
  <c r="C612" i="15"/>
  <c r="AB612" i="13" s="1"/>
  <c r="D612" i="15"/>
  <c r="AC612" i="13" s="1"/>
  <c r="E612" i="15"/>
  <c r="F612" i="15"/>
  <c r="G612" i="15"/>
  <c r="H612" i="15"/>
  <c r="I612" i="15"/>
  <c r="J612" i="15"/>
  <c r="K612" i="15"/>
  <c r="L612" i="15"/>
  <c r="M612" i="15"/>
  <c r="N612" i="15"/>
  <c r="O612" i="15"/>
  <c r="P612" i="15"/>
  <c r="Z612" i="13"/>
  <c r="B607" i="15"/>
  <c r="AA607" i="13" s="1"/>
  <c r="C607" i="15"/>
  <c r="AB607" i="13" s="1"/>
  <c r="D607" i="15"/>
  <c r="AC607" i="13" s="1"/>
  <c r="E607" i="15"/>
  <c r="F607" i="15"/>
  <c r="G607" i="15"/>
  <c r="H607" i="15"/>
  <c r="I607" i="15"/>
  <c r="J607" i="15"/>
  <c r="K607" i="15"/>
  <c r="L607" i="15"/>
  <c r="M607" i="15"/>
  <c r="N607" i="15"/>
  <c r="O607" i="15"/>
  <c r="P607" i="15"/>
  <c r="Z607" i="13"/>
  <c r="B603" i="15"/>
  <c r="AA603" i="13" s="1"/>
  <c r="C603" i="15"/>
  <c r="AB603" i="13" s="1"/>
  <c r="D603" i="15"/>
  <c r="AC603" i="13" s="1"/>
  <c r="E603" i="15"/>
  <c r="F603" i="15"/>
  <c r="G603" i="15"/>
  <c r="H603" i="15"/>
  <c r="I603" i="15"/>
  <c r="J603" i="15"/>
  <c r="K603" i="15"/>
  <c r="L603" i="15"/>
  <c r="M603" i="15"/>
  <c r="N603" i="15"/>
  <c r="O603" i="15"/>
  <c r="P603" i="15"/>
  <c r="Z603" i="13"/>
  <c r="B307" i="15"/>
  <c r="AA307" i="13" s="1"/>
  <c r="C307" i="15"/>
  <c r="AB307" i="13" s="1"/>
  <c r="D307" i="15"/>
  <c r="AC307" i="13" s="1"/>
  <c r="E307" i="15"/>
  <c r="F307" i="15"/>
  <c r="G307" i="15"/>
  <c r="H307" i="15"/>
  <c r="I307" i="15"/>
  <c r="J307" i="15"/>
  <c r="K307" i="15"/>
  <c r="L307" i="15"/>
  <c r="M307" i="15"/>
  <c r="N307" i="15"/>
  <c r="O307" i="15"/>
  <c r="P307" i="15"/>
  <c r="Z307" i="13"/>
  <c r="B29" i="15"/>
  <c r="AA29" i="13" s="1"/>
  <c r="C29" i="15"/>
  <c r="AB29" i="13" s="1"/>
  <c r="D29" i="15"/>
  <c r="AC29" i="13" s="1"/>
  <c r="E29" i="15"/>
  <c r="F29" i="15"/>
  <c r="G29" i="15"/>
  <c r="H29" i="15"/>
  <c r="I29" i="15"/>
  <c r="J29" i="15"/>
  <c r="K29" i="15"/>
  <c r="L29" i="15"/>
  <c r="M29" i="15"/>
  <c r="N29" i="15"/>
  <c r="O29" i="15"/>
  <c r="P29" i="15"/>
  <c r="Z29" i="13"/>
  <c r="B28" i="15"/>
  <c r="AA28" i="13" s="1"/>
  <c r="C28" i="15"/>
  <c r="AB28" i="13" s="1"/>
  <c r="D28" i="15"/>
  <c r="AC28" i="13" s="1"/>
  <c r="E28" i="15"/>
  <c r="F28" i="15"/>
  <c r="G28" i="15"/>
  <c r="H28" i="15"/>
  <c r="I28" i="15"/>
  <c r="J28" i="15"/>
  <c r="K28" i="15"/>
  <c r="L28" i="15"/>
  <c r="M28" i="15"/>
  <c r="N28" i="15"/>
  <c r="O28" i="15"/>
  <c r="P28" i="15"/>
  <c r="Z28" i="13"/>
  <c r="B27" i="15"/>
  <c r="AA27" i="13" s="1"/>
  <c r="C27" i="15"/>
  <c r="AB27" i="13" s="1"/>
  <c r="D27" i="15"/>
  <c r="AC27" i="13" s="1"/>
  <c r="E27" i="15"/>
  <c r="F27" i="15"/>
  <c r="G27" i="15"/>
  <c r="H27" i="15"/>
  <c r="I27" i="15"/>
  <c r="J27" i="15"/>
  <c r="K27" i="15"/>
  <c r="L27" i="15"/>
  <c r="M27" i="15"/>
  <c r="N27" i="15"/>
  <c r="O27" i="15"/>
  <c r="P27" i="15"/>
  <c r="Z27" i="13"/>
  <c r="B26" i="15"/>
  <c r="AA26" i="13" s="1"/>
  <c r="C26" i="15"/>
  <c r="AB26" i="13" s="1"/>
  <c r="D26" i="15"/>
  <c r="AC26" i="13" s="1"/>
  <c r="E26" i="15"/>
  <c r="F26" i="15"/>
  <c r="G26" i="15"/>
  <c r="H26" i="15"/>
  <c r="I26" i="15"/>
  <c r="J26" i="15"/>
  <c r="K26" i="15"/>
  <c r="L26" i="15"/>
  <c r="M26" i="15"/>
  <c r="N26" i="15"/>
  <c r="O26" i="15"/>
  <c r="P26" i="15"/>
  <c r="Z26" i="13"/>
  <c r="B25" i="15"/>
  <c r="AA25" i="13" s="1"/>
  <c r="C25" i="15"/>
  <c r="AB25" i="13" s="1"/>
  <c r="D25" i="15"/>
  <c r="AC25" i="13" s="1"/>
  <c r="E25" i="15"/>
  <c r="F25" i="15"/>
  <c r="G25" i="15"/>
  <c r="H25" i="15"/>
  <c r="I25" i="15"/>
  <c r="J25" i="15"/>
  <c r="K25" i="15"/>
  <c r="L25" i="15"/>
  <c r="M25" i="15"/>
  <c r="N25" i="15"/>
  <c r="O25" i="15"/>
  <c r="P25" i="15"/>
  <c r="Z25" i="13"/>
  <c r="B24" i="15"/>
  <c r="AA24" i="13" s="1"/>
  <c r="C24" i="15"/>
  <c r="AB24" i="13" s="1"/>
  <c r="D24" i="15"/>
  <c r="AC24" i="13" s="1"/>
  <c r="E24" i="15"/>
  <c r="F24" i="15"/>
  <c r="G24" i="15"/>
  <c r="H24" i="15"/>
  <c r="I24" i="15"/>
  <c r="J24" i="15"/>
  <c r="K24" i="15"/>
  <c r="L24" i="15"/>
  <c r="M24" i="15"/>
  <c r="N24" i="15"/>
  <c r="O24" i="15"/>
  <c r="P24" i="15"/>
  <c r="Z24" i="13"/>
  <c r="B23" i="15"/>
  <c r="AA23" i="13" s="1"/>
  <c r="C23" i="15"/>
  <c r="AB23" i="13" s="1"/>
  <c r="D23" i="15"/>
  <c r="AC23" i="13" s="1"/>
  <c r="E23" i="15"/>
  <c r="F23" i="15"/>
  <c r="G23" i="15"/>
  <c r="H23" i="15"/>
  <c r="I23" i="15"/>
  <c r="J23" i="15"/>
  <c r="K23" i="15"/>
  <c r="L23" i="15"/>
  <c r="M23" i="15"/>
  <c r="N23" i="15"/>
  <c r="O23" i="15"/>
  <c r="P23" i="15"/>
  <c r="Z23" i="13"/>
  <c r="B308" i="15"/>
  <c r="AA308" i="13" s="1"/>
  <c r="C308" i="15"/>
  <c r="AB308" i="13" s="1"/>
  <c r="D308" i="15"/>
  <c r="AC308" i="13" s="1"/>
  <c r="E308" i="15"/>
  <c r="F308" i="15"/>
  <c r="G308" i="15"/>
  <c r="H308" i="15"/>
  <c r="I308" i="15"/>
  <c r="J308" i="15"/>
  <c r="K308" i="15"/>
  <c r="L308" i="15"/>
  <c r="M308" i="15"/>
  <c r="N308" i="15"/>
  <c r="O308" i="15"/>
  <c r="P308" i="15"/>
  <c r="Z308" i="13"/>
  <c r="B137" i="15"/>
  <c r="AA137" i="13" s="1"/>
  <c r="C137" i="15"/>
  <c r="AB137" i="13" s="1"/>
  <c r="D137" i="15"/>
  <c r="AC137" i="13" s="1"/>
  <c r="E137" i="15"/>
  <c r="F137" i="15"/>
  <c r="G137" i="15"/>
  <c r="H137" i="15"/>
  <c r="I137" i="15"/>
  <c r="J137" i="15"/>
  <c r="K137" i="15"/>
  <c r="L137" i="15"/>
  <c r="M137" i="15"/>
  <c r="N137" i="15"/>
  <c r="O137" i="15"/>
  <c r="P137" i="15"/>
  <c r="Z137" i="13"/>
  <c r="B133" i="15"/>
  <c r="AA133" i="13" s="1"/>
  <c r="C133" i="15"/>
  <c r="AB133" i="13" s="1"/>
  <c r="D133" i="15"/>
  <c r="AC133" i="13" s="1"/>
  <c r="E133" i="15"/>
  <c r="F133" i="15"/>
  <c r="G133" i="15"/>
  <c r="H133" i="15"/>
  <c r="I133" i="15"/>
  <c r="J133" i="15"/>
  <c r="K133" i="15"/>
  <c r="L133" i="15"/>
  <c r="M133" i="15"/>
  <c r="N133" i="15"/>
  <c r="O133" i="15"/>
  <c r="P133" i="15"/>
  <c r="Z133" i="13"/>
  <c r="B129" i="15"/>
  <c r="AA129" i="13" s="1"/>
  <c r="C129" i="15"/>
  <c r="AB129" i="13" s="1"/>
  <c r="D129" i="15"/>
  <c r="AC129" i="13" s="1"/>
  <c r="E129" i="15"/>
  <c r="F129" i="15"/>
  <c r="G129" i="15"/>
  <c r="H129" i="15"/>
  <c r="I129" i="15"/>
  <c r="J129" i="15"/>
  <c r="K129" i="15"/>
  <c r="L129" i="15"/>
  <c r="M129" i="15"/>
  <c r="N129" i="15"/>
  <c r="O129" i="15"/>
  <c r="P129" i="15"/>
  <c r="Z129" i="13"/>
  <c r="B125" i="15"/>
  <c r="AA125" i="13" s="1"/>
  <c r="C125" i="15"/>
  <c r="AB125" i="13" s="1"/>
  <c r="D125" i="15"/>
  <c r="AC125" i="13" s="1"/>
  <c r="E125" i="15"/>
  <c r="F125" i="15"/>
  <c r="G125" i="15"/>
  <c r="H125" i="15"/>
  <c r="I125" i="15"/>
  <c r="J125" i="15"/>
  <c r="K125" i="15"/>
  <c r="L125" i="15"/>
  <c r="M125" i="15"/>
  <c r="N125" i="15"/>
  <c r="O125" i="15"/>
  <c r="P125" i="15"/>
  <c r="Z125" i="13"/>
  <c r="B121" i="15"/>
  <c r="AA121" i="13" s="1"/>
  <c r="C121" i="15"/>
  <c r="AB121" i="13" s="1"/>
  <c r="D121" i="15"/>
  <c r="AC121" i="13" s="1"/>
  <c r="E121" i="15"/>
  <c r="F121" i="15"/>
  <c r="G121" i="15"/>
  <c r="H121" i="15"/>
  <c r="I121" i="15"/>
  <c r="J121" i="15"/>
  <c r="K121" i="15"/>
  <c r="L121" i="15"/>
  <c r="M121" i="15"/>
  <c r="N121" i="15"/>
  <c r="O121" i="15"/>
  <c r="P121" i="15"/>
  <c r="Z121" i="13"/>
  <c r="B117" i="15"/>
  <c r="AA117" i="13" s="1"/>
  <c r="C117" i="15"/>
  <c r="AB117" i="13" s="1"/>
  <c r="D117" i="15"/>
  <c r="AC117" i="13" s="1"/>
  <c r="E117" i="15"/>
  <c r="F117" i="15"/>
  <c r="G117" i="15"/>
  <c r="H117" i="15"/>
  <c r="I117" i="15"/>
  <c r="J117" i="15"/>
  <c r="K117" i="15"/>
  <c r="L117" i="15"/>
  <c r="M117" i="15"/>
  <c r="N117" i="15"/>
  <c r="O117" i="15"/>
  <c r="P117" i="15"/>
  <c r="Z117" i="13"/>
  <c r="B113" i="15"/>
  <c r="AA113" i="13" s="1"/>
  <c r="C113" i="15"/>
  <c r="AB113" i="13" s="1"/>
  <c r="D113" i="15"/>
  <c r="AC113" i="13" s="1"/>
  <c r="E113" i="15"/>
  <c r="F113" i="15"/>
  <c r="G113" i="15"/>
  <c r="H113" i="15"/>
  <c r="I113" i="15"/>
  <c r="J113" i="15"/>
  <c r="K113" i="15"/>
  <c r="L113" i="15"/>
  <c r="M113" i="15"/>
  <c r="N113" i="15"/>
  <c r="O113" i="15"/>
  <c r="P113" i="15"/>
  <c r="Z113" i="13"/>
  <c r="B109" i="15"/>
  <c r="AA109" i="13" s="1"/>
  <c r="C109" i="15"/>
  <c r="AB109" i="13" s="1"/>
  <c r="D109" i="15"/>
  <c r="AC109" i="13" s="1"/>
  <c r="E109" i="15"/>
  <c r="F109" i="15"/>
  <c r="G109" i="15"/>
  <c r="H109" i="15"/>
  <c r="I109" i="15"/>
  <c r="J109" i="15"/>
  <c r="K109" i="15"/>
  <c r="L109" i="15"/>
  <c r="M109" i="15"/>
  <c r="N109" i="15"/>
  <c r="O109" i="15"/>
  <c r="P109" i="15"/>
  <c r="Z109" i="13"/>
  <c r="B105" i="15"/>
  <c r="AA105" i="13" s="1"/>
  <c r="C105" i="15"/>
  <c r="AB105" i="13" s="1"/>
  <c r="D105" i="15"/>
  <c r="AC105" i="13" s="1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Z105" i="13"/>
  <c r="B101" i="15"/>
  <c r="AA101" i="13" s="1"/>
  <c r="C101" i="15"/>
  <c r="AB101" i="13" s="1"/>
  <c r="D101" i="15"/>
  <c r="AC101" i="13" s="1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Z101" i="13"/>
  <c r="F68" i="15"/>
  <c r="I68" i="15"/>
  <c r="M68" i="15"/>
  <c r="P68" i="15"/>
  <c r="E68" i="15"/>
  <c r="G68" i="15"/>
  <c r="Z68" i="13"/>
  <c r="C68" i="15"/>
  <c r="AB68" i="13" s="1"/>
  <c r="N68" i="15"/>
  <c r="J68" i="15"/>
  <c r="B68" i="15"/>
  <c r="AA68" i="13" s="1"/>
  <c r="D68" i="15"/>
  <c r="AC68" i="13" s="1"/>
  <c r="H68" i="15"/>
  <c r="K68" i="15"/>
  <c r="L68" i="15"/>
  <c r="O68" i="15"/>
  <c r="B595" i="15"/>
  <c r="AA595" i="13" s="1"/>
  <c r="C595" i="15"/>
  <c r="AB595" i="13" s="1"/>
  <c r="D595" i="15"/>
  <c r="AC595" i="13" s="1"/>
  <c r="E595" i="15"/>
  <c r="F595" i="15"/>
  <c r="G595" i="15"/>
  <c r="H595" i="15"/>
  <c r="I595" i="15"/>
  <c r="J595" i="15"/>
  <c r="K595" i="15"/>
  <c r="L595" i="15"/>
  <c r="M595" i="15"/>
  <c r="N595" i="15"/>
  <c r="O595" i="15"/>
  <c r="P595" i="15"/>
  <c r="Z595" i="13"/>
  <c r="C956" i="15"/>
  <c r="AB956" i="13" s="1"/>
  <c r="F956" i="15"/>
  <c r="H956" i="15"/>
  <c r="J956" i="15"/>
  <c r="L956" i="15"/>
  <c r="N956" i="15"/>
  <c r="O956" i="15"/>
  <c r="P956" i="15"/>
  <c r="B956" i="15"/>
  <c r="AA956" i="13" s="1"/>
  <c r="D956" i="15"/>
  <c r="AC956" i="13" s="1"/>
  <c r="E956" i="15"/>
  <c r="G956" i="15"/>
  <c r="I956" i="15"/>
  <c r="K956" i="15"/>
  <c r="M956" i="15"/>
  <c r="Z956" i="13"/>
  <c r="B581" i="15"/>
  <c r="AA581" i="13" s="1"/>
  <c r="C581" i="15"/>
  <c r="AB581" i="13" s="1"/>
  <c r="D581" i="15"/>
  <c r="AC581" i="13" s="1"/>
  <c r="E581" i="15"/>
  <c r="F581" i="15"/>
  <c r="G581" i="15"/>
  <c r="H581" i="15"/>
  <c r="I581" i="15"/>
  <c r="J581" i="15"/>
  <c r="K581" i="15"/>
  <c r="L581" i="15"/>
  <c r="M581" i="15"/>
  <c r="N581" i="15"/>
  <c r="O581" i="15"/>
  <c r="P581" i="15"/>
  <c r="Z581" i="13"/>
  <c r="B573" i="15"/>
  <c r="AA573" i="13" s="1"/>
  <c r="C573" i="15"/>
  <c r="AB573" i="13" s="1"/>
  <c r="D573" i="15"/>
  <c r="AC573" i="13" s="1"/>
  <c r="E573" i="15"/>
  <c r="F573" i="15"/>
  <c r="G573" i="15"/>
  <c r="H573" i="15"/>
  <c r="I573" i="15"/>
  <c r="J573" i="15"/>
  <c r="K573" i="15"/>
  <c r="L573" i="15"/>
  <c r="M573" i="15"/>
  <c r="N573" i="15"/>
  <c r="O573" i="15"/>
  <c r="P573" i="15"/>
  <c r="Z573" i="13"/>
  <c r="B560" i="15"/>
  <c r="AA560" i="13" s="1"/>
  <c r="I560" i="15"/>
  <c r="P560" i="15"/>
  <c r="C560" i="15"/>
  <c r="AB560" i="13" s="1"/>
  <c r="D560" i="15"/>
  <c r="AC560" i="13" s="1"/>
  <c r="H560" i="15"/>
  <c r="J560" i="15"/>
  <c r="E560" i="15"/>
  <c r="F560" i="15"/>
  <c r="G560" i="15"/>
  <c r="K560" i="15"/>
  <c r="L560" i="15"/>
  <c r="M560" i="15"/>
  <c r="N560" i="15"/>
  <c r="O560" i="15"/>
  <c r="Z560" i="13"/>
  <c r="B549" i="15"/>
  <c r="AA549" i="13" s="1"/>
  <c r="C549" i="15"/>
  <c r="AB549" i="13" s="1"/>
  <c r="F549" i="15"/>
  <c r="I549" i="15"/>
  <c r="K549" i="15"/>
  <c r="H549" i="15"/>
  <c r="L549" i="15"/>
  <c r="N549" i="15"/>
  <c r="P549" i="15"/>
  <c r="D549" i="15"/>
  <c r="AC549" i="13" s="1"/>
  <c r="E549" i="15"/>
  <c r="G549" i="15"/>
  <c r="J549" i="15"/>
  <c r="M549" i="15"/>
  <c r="O549" i="15"/>
  <c r="Z549" i="13"/>
  <c r="D535" i="15"/>
  <c r="AC535" i="13" s="1"/>
  <c r="C535" i="15"/>
  <c r="AB535" i="13" s="1"/>
  <c r="F535" i="15"/>
  <c r="G535" i="15"/>
  <c r="H535" i="15"/>
  <c r="I535" i="15"/>
  <c r="J535" i="15"/>
  <c r="K535" i="15"/>
  <c r="L535" i="15"/>
  <c r="N535" i="15"/>
  <c r="O535" i="15"/>
  <c r="P535" i="15"/>
  <c r="B535" i="15"/>
  <c r="AA535" i="13" s="1"/>
  <c r="E535" i="15"/>
  <c r="M535" i="15"/>
  <c r="Z535" i="13"/>
  <c r="B524" i="15"/>
  <c r="AA524" i="13" s="1"/>
  <c r="C524" i="15"/>
  <c r="AB524" i="13" s="1"/>
  <c r="D524" i="15"/>
  <c r="AC524" i="13" s="1"/>
  <c r="E524" i="15"/>
  <c r="F524" i="15"/>
  <c r="G524" i="15"/>
  <c r="H524" i="15"/>
  <c r="I524" i="15"/>
  <c r="J524" i="15"/>
  <c r="K524" i="15"/>
  <c r="L524" i="15"/>
  <c r="M524" i="15"/>
  <c r="N524" i="15"/>
  <c r="O524" i="15"/>
  <c r="P524" i="15"/>
  <c r="Z524" i="13"/>
  <c r="B516" i="15"/>
  <c r="AA516" i="13" s="1"/>
  <c r="C516" i="15"/>
  <c r="AB516" i="13" s="1"/>
  <c r="D516" i="15"/>
  <c r="AC516" i="13" s="1"/>
  <c r="G516" i="15"/>
  <c r="H516" i="15"/>
  <c r="F516" i="15"/>
  <c r="J516" i="15"/>
  <c r="K516" i="15"/>
  <c r="L516" i="15"/>
  <c r="M516" i="15"/>
  <c r="P516" i="15"/>
  <c r="E516" i="15"/>
  <c r="I516" i="15"/>
  <c r="N516" i="15"/>
  <c r="O516" i="15"/>
  <c r="Z516" i="13"/>
  <c r="B488" i="15"/>
  <c r="AA488" i="13" s="1"/>
  <c r="E488" i="15"/>
  <c r="G488" i="15"/>
  <c r="K488" i="15"/>
  <c r="N488" i="15"/>
  <c r="O488" i="15"/>
  <c r="P488" i="15"/>
  <c r="D488" i="15"/>
  <c r="AC488" i="13" s="1"/>
  <c r="J488" i="15"/>
  <c r="L488" i="15"/>
  <c r="C488" i="15"/>
  <c r="AB488" i="13" s="1"/>
  <c r="F488" i="15"/>
  <c r="H488" i="15"/>
  <c r="I488" i="15"/>
  <c r="M488" i="15"/>
  <c r="Z488" i="13"/>
  <c r="B458" i="15"/>
  <c r="AA458" i="13" s="1"/>
  <c r="C458" i="15"/>
  <c r="AB458" i="13" s="1"/>
  <c r="D458" i="15"/>
  <c r="AC458" i="13" s="1"/>
  <c r="F458" i="15"/>
  <c r="G458" i="15"/>
  <c r="H458" i="15"/>
  <c r="I458" i="15"/>
  <c r="J458" i="15"/>
  <c r="K458" i="15"/>
  <c r="L458" i="15"/>
  <c r="M458" i="15"/>
  <c r="N458" i="15"/>
  <c r="O458" i="15"/>
  <c r="P458" i="15"/>
  <c r="E458" i="15"/>
  <c r="Z458" i="13"/>
  <c r="F446" i="15"/>
  <c r="K446" i="15"/>
  <c r="C446" i="15"/>
  <c r="AB446" i="13" s="1"/>
  <c r="J446" i="15"/>
  <c r="M446" i="15"/>
  <c r="P446" i="15"/>
  <c r="G446" i="15"/>
  <c r="H446" i="15"/>
  <c r="O446" i="15"/>
  <c r="B446" i="15"/>
  <c r="AA446" i="13" s="1"/>
  <c r="D446" i="15"/>
  <c r="AC446" i="13" s="1"/>
  <c r="I446" i="15"/>
  <c r="L446" i="15"/>
  <c r="N446" i="15"/>
  <c r="E446" i="15"/>
  <c r="Z446" i="13"/>
  <c r="K51" i="15"/>
  <c r="N51" i="15"/>
  <c r="C51" i="15"/>
  <c r="AB51" i="13" s="1"/>
  <c r="E51" i="15"/>
  <c r="G51" i="15"/>
  <c r="J51" i="15"/>
  <c r="L51" i="15"/>
  <c r="O51" i="15"/>
  <c r="B51" i="15"/>
  <c r="AA51" i="13" s="1"/>
  <c r="D51" i="15"/>
  <c r="AC51" i="13" s="1"/>
  <c r="F51" i="15"/>
  <c r="H51" i="15"/>
  <c r="Z51" i="13"/>
  <c r="I51" i="15"/>
  <c r="M51" i="15"/>
  <c r="P51" i="15"/>
  <c r="B438" i="15"/>
  <c r="AA438" i="13" s="1"/>
  <c r="C438" i="15"/>
  <c r="AB438" i="13" s="1"/>
  <c r="D438" i="15"/>
  <c r="AC438" i="13" s="1"/>
  <c r="E438" i="15"/>
  <c r="F438" i="15"/>
  <c r="G438" i="15"/>
  <c r="H438" i="15"/>
  <c r="I438" i="15"/>
  <c r="J438" i="15"/>
  <c r="K438" i="15"/>
  <c r="L438" i="15"/>
  <c r="M438" i="15"/>
  <c r="N438" i="15"/>
  <c r="O438" i="15"/>
  <c r="P438" i="15"/>
  <c r="Z438" i="13"/>
  <c r="B434" i="15"/>
  <c r="AA434" i="13" s="1"/>
  <c r="C434" i="15"/>
  <c r="AB434" i="13" s="1"/>
  <c r="D434" i="15"/>
  <c r="AC434" i="13" s="1"/>
  <c r="E434" i="15"/>
  <c r="F434" i="15"/>
  <c r="G434" i="15"/>
  <c r="H434" i="15"/>
  <c r="I434" i="15"/>
  <c r="J434" i="15"/>
  <c r="K434" i="15"/>
  <c r="L434" i="15"/>
  <c r="M434" i="15"/>
  <c r="N434" i="15"/>
  <c r="O434" i="15"/>
  <c r="P434" i="15"/>
  <c r="Z434" i="13"/>
  <c r="B430" i="15"/>
  <c r="AA430" i="13" s="1"/>
  <c r="C430" i="15"/>
  <c r="AB430" i="13" s="1"/>
  <c r="D430" i="15"/>
  <c r="AC430" i="13" s="1"/>
  <c r="E430" i="15"/>
  <c r="F430" i="15"/>
  <c r="G430" i="15"/>
  <c r="H430" i="15"/>
  <c r="I430" i="15"/>
  <c r="J430" i="15"/>
  <c r="K430" i="15"/>
  <c r="L430" i="15"/>
  <c r="M430" i="15"/>
  <c r="N430" i="15"/>
  <c r="O430" i="15"/>
  <c r="P430" i="15"/>
  <c r="Z430" i="13"/>
  <c r="B425" i="15"/>
  <c r="AA425" i="13" s="1"/>
  <c r="C425" i="15"/>
  <c r="AB425" i="13" s="1"/>
  <c r="D425" i="15"/>
  <c r="AC425" i="13" s="1"/>
  <c r="E425" i="15"/>
  <c r="F425" i="15"/>
  <c r="G425" i="15"/>
  <c r="H425" i="15"/>
  <c r="I425" i="15"/>
  <c r="J425" i="15"/>
  <c r="K425" i="15"/>
  <c r="L425" i="15"/>
  <c r="M425" i="15"/>
  <c r="N425" i="15"/>
  <c r="O425" i="15"/>
  <c r="P425" i="15"/>
  <c r="Z425" i="13"/>
  <c r="B420" i="15"/>
  <c r="AA420" i="13" s="1"/>
  <c r="C420" i="15"/>
  <c r="AB420" i="13" s="1"/>
  <c r="D420" i="15"/>
  <c r="AC420" i="13" s="1"/>
  <c r="E420" i="15"/>
  <c r="F420" i="15"/>
  <c r="G420" i="15"/>
  <c r="H420" i="15"/>
  <c r="I420" i="15"/>
  <c r="J420" i="15"/>
  <c r="K420" i="15"/>
  <c r="L420" i="15"/>
  <c r="M420" i="15"/>
  <c r="N420" i="15"/>
  <c r="O420" i="15"/>
  <c r="P420" i="15"/>
  <c r="Z420" i="13"/>
  <c r="B418" i="15"/>
  <c r="AA418" i="13" s="1"/>
  <c r="C418" i="15"/>
  <c r="AB418" i="13" s="1"/>
  <c r="D418" i="15"/>
  <c r="AC418" i="13" s="1"/>
  <c r="E418" i="15"/>
  <c r="F418" i="15"/>
  <c r="G418" i="15"/>
  <c r="H418" i="15"/>
  <c r="I418" i="15"/>
  <c r="J418" i="15"/>
  <c r="K418" i="15"/>
  <c r="L418" i="15"/>
  <c r="M418" i="15"/>
  <c r="N418" i="15"/>
  <c r="O418" i="15"/>
  <c r="P418" i="15"/>
  <c r="Z418" i="13"/>
  <c r="B412" i="15"/>
  <c r="AA412" i="13" s="1"/>
  <c r="C412" i="15"/>
  <c r="AB412" i="13" s="1"/>
  <c r="D412" i="15"/>
  <c r="AC412" i="13" s="1"/>
  <c r="E412" i="15"/>
  <c r="F412" i="15"/>
  <c r="G412" i="15"/>
  <c r="H412" i="15"/>
  <c r="I412" i="15"/>
  <c r="J412" i="15"/>
  <c r="K412" i="15"/>
  <c r="L412" i="15"/>
  <c r="M412" i="15"/>
  <c r="N412" i="15"/>
  <c r="O412" i="15"/>
  <c r="P412" i="15"/>
  <c r="Z412" i="13"/>
  <c r="B407" i="15"/>
  <c r="AA407" i="13" s="1"/>
  <c r="C407" i="15"/>
  <c r="AB407" i="13" s="1"/>
  <c r="D407" i="15"/>
  <c r="AC407" i="13" s="1"/>
  <c r="E407" i="15"/>
  <c r="F407" i="15"/>
  <c r="G407" i="15"/>
  <c r="H407" i="15"/>
  <c r="I407" i="15"/>
  <c r="J407" i="15"/>
  <c r="K407" i="15"/>
  <c r="L407" i="15"/>
  <c r="M407" i="15"/>
  <c r="N407" i="15"/>
  <c r="O407" i="15"/>
  <c r="P407" i="15"/>
  <c r="Z407" i="13"/>
  <c r="B403" i="15"/>
  <c r="AA403" i="13" s="1"/>
  <c r="C403" i="15"/>
  <c r="AB403" i="13" s="1"/>
  <c r="D403" i="15"/>
  <c r="AC403" i="13" s="1"/>
  <c r="E403" i="15"/>
  <c r="F403" i="15"/>
  <c r="G403" i="15"/>
  <c r="H403" i="15"/>
  <c r="I403" i="15"/>
  <c r="J403" i="15"/>
  <c r="K403" i="15"/>
  <c r="L403" i="15"/>
  <c r="M403" i="15"/>
  <c r="N403" i="15"/>
  <c r="O403" i="15"/>
  <c r="P403" i="15"/>
  <c r="Z403" i="13"/>
  <c r="B398" i="15"/>
  <c r="AA398" i="13" s="1"/>
  <c r="C398" i="15"/>
  <c r="AB398" i="13" s="1"/>
  <c r="D398" i="15"/>
  <c r="AC398" i="13" s="1"/>
  <c r="E398" i="15"/>
  <c r="F398" i="15"/>
  <c r="G398" i="15"/>
  <c r="H398" i="15"/>
  <c r="I398" i="15"/>
  <c r="J398" i="15"/>
  <c r="K398" i="15"/>
  <c r="L398" i="15"/>
  <c r="M398" i="15"/>
  <c r="N398" i="15"/>
  <c r="O398" i="15"/>
  <c r="P398" i="15"/>
  <c r="Z398" i="13"/>
  <c r="B393" i="15"/>
  <c r="AA393" i="13" s="1"/>
  <c r="C393" i="15"/>
  <c r="AB393" i="13" s="1"/>
  <c r="D393" i="15"/>
  <c r="AC393" i="13" s="1"/>
  <c r="E393" i="15"/>
  <c r="F393" i="15"/>
  <c r="G393" i="15"/>
  <c r="H393" i="15"/>
  <c r="I393" i="15"/>
  <c r="J393" i="15"/>
  <c r="K393" i="15"/>
  <c r="L393" i="15"/>
  <c r="M393" i="15"/>
  <c r="N393" i="15"/>
  <c r="O393" i="15"/>
  <c r="P393" i="15"/>
  <c r="Z393" i="13"/>
  <c r="B390" i="15"/>
  <c r="AA390" i="13" s="1"/>
  <c r="C390" i="15"/>
  <c r="AB390" i="13" s="1"/>
  <c r="D390" i="15"/>
  <c r="AC390" i="13" s="1"/>
  <c r="E390" i="15"/>
  <c r="F390" i="15"/>
  <c r="G390" i="15"/>
  <c r="H390" i="15"/>
  <c r="I390" i="15"/>
  <c r="J390" i="15"/>
  <c r="K390" i="15"/>
  <c r="L390" i="15"/>
  <c r="M390" i="15"/>
  <c r="N390" i="15"/>
  <c r="O390" i="15"/>
  <c r="P390" i="15"/>
  <c r="Z390" i="13"/>
  <c r="B385" i="15"/>
  <c r="AA385" i="13" s="1"/>
  <c r="C385" i="15"/>
  <c r="AB385" i="13" s="1"/>
  <c r="D385" i="15"/>
  <c r="AC385" i="13" s="1"/>
  <c r="E385" i="15"/>
  <c r="F385" i="15"/>
  <c r="G385" i="15"/>
  <c r="H385" i="15"/>
  <c r="I385" i="15"/>
  <c r="J385" i="15"/>
  <c r="K385" i="15"/>
  <c r="L385" i="15"/>
  <c r="M385" i="15"/>
  <c r="N385" i="15"/>
  <c r="O385" i="15"/>
  <c r="P385" i="15"/>
  <c r="Z385" i="13"/>
  <c r="G50" i="15"/>
  <c r="D50" i="15"/>
  <c r="AC50" i="13" s="1"/>
  <c r="I50" i="15"/>
  <c r="L50" i="15"/>
  <c r="O50" i="15"/>
  <c r="H50" i="15"/>
  <c r="B50" i="15"/>
  <c r="AA50" i="13" s="1"/>
  <c r="E50" i="15"/>
  <c r="J50" i="15"/>
  <c r="M50" i="15"/>
  <c r="P50" i="15"/>
  <c r="C50" i="15"/>
  <c r="AB50" i="13" s="1"/>
  <c r="F50" i="15"/>
  <c r="K50" i="15"/>
  <c r="Z50" i="13"/>
  <c r="N50" i="15"/>
  <c r="B229" i="15"/>
  <c r="AA229" i="13" s="1"/>
  <c r="C229" i="15"/>
  <c r="AB229" i="13" s="1"/>
  <c r="D229" i="15"/>
  <c r="AC229" i="13" s="1"/>
  <c r="E229" i="15"/>
  <c r="F229" i="15"/>
  <c r="G229" i="15"/>
  <c r="H229" i="15"/>
  <c r="I229" i="15"/>
  <c r="J229" i="15"/>
  <c r="K229" i="15"/>
  <c r="L229" i="15"/>
  <c r="M229" i="15"/>
  <c r="N229" i="15"/>
  <c r="O229" i="15"/>
  <c r="P229" i="15"/>
  <c r="Z229" i="13"/>
  <c r="B220" i="15"/>
  <c r="AA220" i="13" s="1"/>
  <c r="C220" i="15"/>
  <c r="AB220" i="13" s="1"/>
  <c r="D220" i="15"/>
  <c r="AC220" i="13" s="1"/>
  <c r="E220" i="15"/>
  <c r="F220" i="15"/>
  <c r="G220" i="15"/>
  <c r="H220" i="15"/>
  <c r="I220" i="15"/>
  <c r="J220" i="15"/>
  <c r="K220" i="15"/>
  <c r="L220" i="15"/>
  <c r="M220" i="15"/>
  <c r="N220" i="15"/>
  <c r="O220" i="15"/>
  <c r="P220" i="15"/>
  <c r="Z220" i="13"/>
  <c r="B484" i="15"/>
  <c r="AA484" i="13" s="1"/>
  <c r="E484" i="15"/>
  <c r="F484" i="15"/>
  <c r="I484" i="15"/>
  <c r="J484" i="15"/>
  <c r="L484" i="15"/>
  <c r="O484" i="15"/>
  <c r="H484" i="15"/>
  <c r="K484" i="15"/>
  <c r="N484" i="15"/>
  <c r="Z484" i="13"/>
  <c r="D484" i="15"/>
  <c r="AC484" i="13" s="1"/>
  <c r="G484" i="15"/>
  <c r="M484" i="15"/>
  <c r="P484" i="15"/>
  <c r="C484" i="15"/>
  <c r="AB484" i="13" s="1"/>
  <c r="C928" i="15"/>
  <c r="AB928" i="13" s="1"/>
  <c r="E928" i="15"/>
  <c r="G928" i="15"/>
  <c r="I928" i="15"/>
  <c r="K928" i="15"/>
  <c r="L928" i="15"/>
  <c r="M928" i="15"/>
  <c r="O928" i="15"/>
  <c r="P928" i="15"/>
  <c r="B928" i="15"/>
  <c r="AA928" i="13" s="1"/>
  <c r="D928" i="15"/>
  <c r="AC928" i="13" s="1"/>
  <c r="F928" i="15"/>
  <c r="H928" i="15"/>
  <c r="J928" i="15"/>
  <c r="N928" i="15"/>
  <c r="Z928" i="13"/>
  <c r="B861" i="15"/>
  <c r="AA861" i="13" s="1"/>
  <c r="C861" i="15"/>
  <c r="AB861" i="13" s="1"/>
  <c r="D861" i="15"/>
  <c r="AC861" i="13" s="1"/>
  <c r="E861" i="15"/>
  <c r="F861" i="15"/>
  <c r="H861" i="15"/>
  <c r="K861" i="15"/>
  <c r="G861" i="15"/>
  <c r="I861" i="15"/>
  <c r="J861" i="15"/>
  <c r="L861" i="15"/>
  <c r="M861" i="15"/>
  <c r="N861" i="15"/>
  <c r="O861" i="15"/>
  <c r="P861" i="15"/>
  <c r="Z861" i="13"/>
  <c r="B485" i="15"/>
  <c r="AA485" i="13" s="1"/>
  <c r="D485" i="15"/>
  <c r="AC485" i="13" s="1"/>
  <c r="F485" i="15"/>
  <c r="J485" i="15"/>
  <c r="K485" i="15"/>
  <c r="M485" i="15"/>
  <c r="N485" i="15"/>
  <c r="C485" i="15"/>
  <c r="AB485" i="13" s="1"/>
  <c r="E485" i="15"/>
  <c r="G485" i="15"/>
  <c r="I485" i="15"/>
  <c r="P485" i="15"/>
  <c r="Z485" i="13"/>
  <c r="H485" i="15"/>
  <c r="L485" i="15"/>
  <c r="O485" i="15"/>
  <c r="D31" i="15"/>
  <c r="AC31" i="13" s="1"/>
  <c r="J31" i="15"/>
  <c r="N31" i="15"/>
  <c r="P31" i="15"/>
  <c r="C31" i="15"/>
  <c r="AB31" i="13" s="1"/>
  <c r="E31" i="15"/>
  <c r="G31" i="15"/>
  <c r="H31" i="15"/>
  <c r="K31" i="15"/>
  <c r="L31" i="15"/>
  <c r="O31" i="15"/>
  <c r="Z31" i="13"/>
  <c r="B31" i="15"/>
  <c r="AA31" i="13" s="1"/>
  <c r="F31" i="15"/>
  <c r="I31" i="15"/>
  <c r="M31" i="15"/>
  <c r="B772" i="15"/>
  <c r="AA772" i="13" s="1"/>
  <c r="C772" i="15"/>
  <c r="AB772" i="13" s="1"/>
  <c r="D772" i="15"/>
  <c r="AC772" i="13" s="1"/>
  <c r="E772" i="15"/>
  <c r="F772" i="15"/>
  <c r="G772" i="15"/>
  <c r="H772" i="15"/>
  <c r="I772" i="15"/>
  <c r="J772" i="15"/>
  <c r="K772" i="15"/>
  <c r="L772" i="15"/>
  <c r="M772" i="15"/>
  <c r="N772" i="15"/>
  <c r="O772" i="15"/>
  <c r="P772" i="15"/>
  <c r="Z772" i="13"/>
  <c r="B377" i="15"/>
  <c r="AA377" i="13" s="1"/>
  <c r="C377" i="15"/>
  <c r="AB377" i="13" s="1"/>
  <c r="D377" i="15"/>
  <c r="AC377" i="13" s="1"/>
  <c r="E377" i="15"/>
  <c r="F377" i="15"/>
  <c r="G377" i="15"/>
  <c r="H377" i="15"/>
  <c r="I377" i="15"/>
  <c r="J377" i="15"/>
  <c r="K377" i="15"/>
  <c r="L377" i="15"/>
  <c r="M377" i="15"/>
  <c r="N377" i="15"/>
  <c r="O377" i="15"/>
  <c r="P377" i="15"/>
  <c r="Z377" i="13"/>
  <c r="B86" i="15"/>
  <c r="AA86" i="13" s="1"/>
  <c r="C86" i="15"/>
  <c r="AB86" i="13" s="1"/>
  <c r="D86" i="15"/>
  <c r="AC86" i="13" s="1"/>
  <c r="E86" i="15"/>
  <c r="F86" i="15"/>
  <c r="G86" i="15"/>
  <c r="H86" i="15"/>
  <c r="I86" i="15"/>
  <c r="J86" i="15"/>
  <c r="K86" i="15"/>
  <c r="L86" i="15"/>
  <c r="M86" i="15"/>
  <c r="N86" i="15"/>
  <c r="O86" i="15"/>
  <c r="P86" i="15"/>
  <c r="Z86" i="13"/>
  <c r="B72" i="15"/>
  <c r="AA72" i="13" s="1"/>
  <c r="C72" i="15"/>
  <c r="AB72" i="13" s="1"/>
  <c r="D72" i="15"/>
  <c r="AC72" i="13" s="1"/>
  <c r="E72" i="15"/>
  <c r="F72" i="15"/>
  <c r="G72" i="15"/>
  <c r="H72" i="15"/>
  <c r="I72" i="15"/>
  <c r="J72" i="15"/>
  <c r="K72" i="15"/>
  <c r="L72" i="15"/>
  <c r="M72" i="15"/>
  <c r="N72" i="15"/>
  <c r="O72" i="15"/>
  <c r="P72" i="15"/>
  <c r="Z72" i="13"/>
  <c r="B12" i="15"/>
  <c r="AA12" i="13" s="1"/>
  <c r="C12" i="15"/>
  <c r="AB12" i="13" s="1"/>
  <c r="D12" i="15"/>
  <c r="AC12" i="13" s="1"/>
  <c r="E12" i="15"/>
  <c r="F12" i="15"/>
  <c r="G12" i="15"/>
  <c r="H12" i="15"/>
  <c r="I12" i="15"/>
  <c r="J12" i="15"/>
  <c r="K12" i="15"/>
  <c r="L12" i="15"/>
  <c r="M12" i="15"/>
  <c r="N12" i="15"/>
  <c r="O12" i="15"/>
  <c r="P12" i="15"/>
  <c r="Z12" i="13"/>
  <c r="E47" i="15"/>
  <c r="N47" i="15"/>
  <c r="Z47" i="13"/>
  <c r="H47" i="15"/>
  <c r="P47" i="15"/>
  <c r="C47" i="15"/>
  <c r="AB47" i="13" s="1"/>
  <c r="J47" i="15"/>
  <c r="F47" i="15"/>
  <c r="L47" i="15"/>
  <c r="B47" i="15"/>
  <c r="AA47" i="13" s="1"/>
  <c r="D47" i="15"/>
  <c r="AC47" i="13" s="1"/>
  <c r="G47" i="15"/>
  <c r="I47" i="15"/>
  <c r="K47" i="15"/>
  <c r="M47" i="15"/>
  <c r="O47" i="15"/>
  <c r="E486" i="15"/>
  <c r="G486" i="15"/>
  <c r="O486" i="15"/>
  <c r="Z486" i="13"/>
  <c r="D486" i="15"/>
  <c r="AC486" i="13" s="1"/>
  <c r="F486" i="15"/>
  <c r="H486" i="15"/>
  <c r="M486" i="15"/>
  <c r="B486" i="15"/>
  <c r="AA486" i="13" s="1"/>
  <c r="I486" i="15"/>
  <c r="J486" i="15"/>
  <c r="K486" i="15"/>
  <c r="C486" i="15"/>
  <c r="AB486" i="13" s="1"/>
  <c r="L486" i="15"/>
  <c r="N486" i="15"/>
  <c r="P486" i="15"/>
  <c r="E477" i="15"/>
  <c r="J477" i="15"/>
  <c r="Z477" i="13"/>
  <c r="B477" i="15"/>
  <c r="AA477" i="13" s="1"/>
  <c r="C477" i="15"/>
  <c r="AB477" i="13" s="1"/>
  <c r="G477" i="15"/>
  <c r="M477" i="15"/>
  <c r="N477" i="15"/>
  <c r="P477" i="15"/>
  <c r="H477" i="15"/>
  <c r="I477" i="15"/>
  <c r="K477" i="15"/>
  <c r="L477" i="15"/>
  <c r="O477" i="15"/>
  <c r="D477" i="15"/>
  <c r="AC477" i="13" s="1"/>
  <c r="F477" i="15"/>
  <c r="D469" i="15"/>
  <c r="AC469" i="13" s="1"/>
  <c r="G469" i="15"/>
  <c r="I469" i="15"/>
  <c r="J469" i="15"/>
  <c r="L469" i="15"/>
  <c r="Z469" i="13"/>
  <c r="F469" i="15"/>
  <c r="K469" i="15"/>
  <c r="C469" i="15"/>
  <c r="AB469" i="13" s="1"/>
  <c r="E469" i="15"/>
  <c r="N469" i="15"/>
  <c r="O469" i="15"/>
  <c r="B469" i="15"/>
  <c r="AA469" i="13" s="1"/>
  <c r="H469" i="15"/>
  <c r="M469" i="15"/>
  <c r="P469" i="15"/>
  <c r="Z464" i="13"/>
  <c r="B464" i="15"/>
  <c r="AA464" i="13" s="1"/>
  <c r="H464" i="15"/>
  <c r="J464" i="15"/>
  <c r="M464" i="15"/>
  <c r="N464" i="15"/>
  <c r="P464" i="15"/>
  <c r="C464" i="15"/>
  <c r="AB464" i="13" s="1"/>
  <c r="D464" i="15"/>
  <c r="AC464" i="13" s="1"/>
  <c r="E464" i="15"/>
  <c r="F464" i="15"/>
  <c r="G464" i="15"/>
  <c r="I464" i="15"/>
  <c r="K464" i="15"/>
  <c r="L464" i="15"/>
  <c r="O464" i="15"/>
  <c r="C461" i="15"/>
  <c r="AB461" i="13" s="1"/>
  <c r="E461" i="15"/>
  <c r="G461" i="15"/>
  <c r="J461" i="15"/>
  <c r="L461" i="15"/>
  <c r="N461" i="15"/>
  <c r="P461" i="15"/>
  <c r="B461" i="15"/>
  <c r="AA461" i="13" s="1"/>
  <c r="D461" i="15"/>
  <c r="AC461" i="13" s="1"/>
  <c r="H461" i="15"/>
  <c r="K461" i="15"/>
  <c r="M461" i="15"/>
  <c r="O461" i="15"/>
  <c r="Z461" i="13"/>
  <c r="F461" i="15"/>
  <c r="I461" i="15"/>
  <c r="C459" i="15"/>
  <c r="AB459" i="13" s="1"/>
  <c r="E459" i="15"/>
  <c r="G459" i="15"/>
  <c r="I459" i="15"/>
  <c r="J459" i="15"/>
  <c r="L459" i="15"/>
  <c r="N459" i="15"/>
  <c r="P459" i="15"/>
  <c r="Z459" i="13"/>
  <c r="B459" i="15"/>
  <c r="AA459" i="13" s="1"/>
  <c r="D459" i="15"/>
  <c r="AC459" i="13" s="1"/>
  <c r="F459" i="15"/>
  <c r="H459" i="15"/>
  <c r="K459" i="15"/>
  <c r="M459" i="15"/>
  <c r="O459" i="15"/>
  <c r="H456" i="15"/>
  <c r="L456" i="15"/>
  <c r="O456" i="15"/>
  <c r="M456" i="15"/>
  <c r="P456" i="15"/>
  <c r="Z456" i="13"/>
  <c r="B456" i="15"/>
  <c r="AA456" i="13" s="1"/>
  <c r="D456" i="15"/>
  <c r="AC456" i="13" s="1"/>
  <c r="E456" i="15"/>
  <c r="G456" i="15"/>
  <c r="I456" i="15"/>
  <c r="J456" i="15"/>
  <c r="K456" i="15"/>
  <c r="N456" i="15"/>
  <c r="C456" i="15"/>
  <c r="AB456" i="13" s="1"/>
  <c r="F456" i="15"/>
  <c r="D443" i="15"/>
  <c r="AC443" i="13" s="1"/>
  <c r="F443" i="15"/>
  <c r="J443" i="15"/>
  <c r="P443" i="15"/>
  <c r="C443" i="15"/>
  <c r="AB443" i="13" s="1"/>
  <c r="I443" i="15"/>
  <c r="L443" i="15"/>
  <c r="N443" i="15"/>
  <c r="Z443" i="13"/>
  <c r="G443" i="15"/>
  <c r="M443" i="15"/>
  <c r="E443" i="15"/>
  <c r="B443" i="15"/>
  <c r="AA443" i="13" s="1"/>
  <c r="H443" i="15"/>
  <c r="K443" i="15"/>
  <c r="O443" i="15"/>
  <c r="D67" i="15"/>
  <c r="AC67" i="13" s="1"/>
  <c r="F67" i="15"/>
  <c r="H67" i="15"/>
  <c r="B67" i="15"/>
  <c r="AA67" i="13" s="1"/>
  <c r="Z67" i="13"/>
  <c r="K67" i="15"/>
  <c r="M67" i="15"/>
  <c r="O67" i="15"/>
  <c r="C67" i="15"/>
  <c r="AB67" i="13" s="1"/>
  <c r="E67" i="15"/>
  <c r="G67" i="15"/>
  <c r="I67" i="15"/>
  <c r="L67" i="15"/>
  <c r="N67" i="15"/>
  <c r="P67" i="15"/>
  <c r="J67" i="15"/>
  <c r="D62" i="15"/>
  <c r="AC62" i="13" s="1"/>
  <c r="F62" i="15"/>
  <c r="I62" i="15"/>
  <c r="L62" i="15"/>
  <c r="N62" i="15"/>
  <c r="P62" i="15"/>
  <c r="B62" i="15"/>
  <c r="AA62" i="13" s="1"/>
  <c r="G62" i="15"/>
  <c r="Z62" i="13"/>
  <c r="K62" i="15"/>
  <c r="O62" i="15"/>
  <c r="M62" i="15"/>
  <c r="C62" i="15"/>
  <c r="AB62" i="13" s="1"/>
  <c r="E62" i="15"/>
  <c r="J62" i="15"/>
  <c r="H62" i="15"/>
  <c r="C52" i="15"/>
  <c r="AB52" i="13" s="1"/>
  <c r="E52" i="15"/>
  <c r="G52" i="15"/>
  <c r="O52" i="15"/>
  <c r="Z52" i="13"/>
  <c r="B52" i="15"/>
  <c r="AA52" i="13" s="1"/>
  <c r="H52" i="15"/>
  <c r="L52" i="15"/>
  <c r="D52" i="15"/>
  <c r="AC52" i="13" s="1"/>
  <c r="F52" i="15"/>
  <c r="I52" i="15"/>
  <c r="K52" i="15"/>
  <c r="M52" i="15"/>
  <c r="N52" i="15"/>
  <c r="P52" i="15"/>
  <c r="J52" i="15"/>
  <c r="B43" i="15"/>
  <c r="AA43" i="13" s="1"/>
  <c r="D43" i="15"/>
  <c r="AC43" i="13" s="1"/>
  <c r="H43" i="15"/>
  <c r="L43" i="15"/>
  <c r="O43" i="15"/>
  <c r="Z43" i="13"/>
  <c r="G43" i="15"/>
  <c r="M43" i="15"/>
  <c r="C43" i="15"/>
  <c r="AB43" i="13" s="1"/>
  <c r="E43" i="15"/>
  <c r="F43" i="15"/>
  <c r="I43" i="15"/>
  <c r="J43" i="15"/>
  <c r="N43" i="15"/>
  <c r="P43" i="15"/>
  <c r="K43" i="15"/>
  <c r="I510" i="15"/>
  <c r="P510" i="15"/>
  <c r="Z510" i="13"/>
  <c r="D510" i="15"/>
  <c r="AC510" i="13" s="1"/>
  <c r="E510" i="15"/>
  <c r="F510" i="15"/>
  <c r="G510" i="15"/>
  <c r="H510" i="15"/>
  <c r="B510" i="15"/>
  <c r="AA510" i="13" s="1"/>
  <c r="C510" i="15"/>
  <c r="AB510" i="13" s="1"/>
  <c r="J510" i="15"/>
  <c r="K510" i="15"/>
  <c r="L510" i="15"/>
  <c r="M510" i="15"/>
  <c r="N510" i="15"/>
  <c r="O510" i="15"/>
  <c r="E507" i="15"/>
  <c r="I507" i="15"/>
  <c r="L507" i="15"/>
  <c r="M507" i="15"/>
  <c r="C507" i="15"/>
  <c r="AB507" i="13" s="1"/>
  <c r="F507" i="15"/>
  <c r="K507" i="15"/>
  <c r="N507" i="15"/>
  <c r="P507" i="15"/>
  <c r="Z507" i="13"/>
  <c r="B507" i="15"/>
  <c r="AA507" i="13" s="1"/>
  <c r="G507" i="15"/>
  <c r="J507" i="15"/>
  <c r="O507" i="15"/>
  <c r="D507" i="15"/>
  <c r="AC507" i="13" s="1"/>
  <c r="H507" i="15"/>
  <c r="C493" i="15"/>
  <c r="AB493" i="13" s="1"/>
  <c r="J493" i="15"/>
  <c r="M493" i="15"/>
  <c r="N493" i="15"/>
  <c r="P493" i="15"/>
  <c r="B493" i="15"/>
  <c r="AA493" i="13" s="1"/>
  <c r="E493" i="15"/>
  <c r="G493" i="15"/>
  <c r="L493" i="15"/>
  <c r="Z493" i="13"/>
  <c r="D493" i="15"/>
  <c r="AC493" i="13" s="1"/>
  <c r="F493" i="15"/>
  <c r="H493" i="15"/>
  <c r="K493" i="15"/>
  <c r="I493" i="15"/>
  <c r="O493" i="15"/>
  <c r="D489" i="15"/>
  <c r="AC489" i="13" s="1"/>
  <c r="E489" i="15"/>
  <c r="M489" i="15"/>
  <c r="O489" i="15"/>
  <c r="B489" i="15"/>
  <c r="AA489" i="13" s="1"/>
  <c r="H489" i="15"/>
  <c r="P489" i="15"/>
  <c r="Z489" i="13"/>
  <c r="F489" i="15"/>
  <c r="I489" i="15"/>
  <c r="J489" i="15"/>
  <c r="N489" i="15"/>
  <c r="C489" i="15"/>
  <c r="AB489" i="13" s="1"/>
  <c r="G489" i="15"/>
  <c r="K489" i="15"/>
  <c r="L489" i="15"/>
  <c r="B474" i="15"/>
  <c r="AA474" i="13" s="1"/>
  <c r="H474" i="15"/>
  <c r="N474" i="15"/>
  <c r="D474" i="15"/>
  <c r="AC474" i="13" s="1"/>
  <c r="Z474" i="13"/>
  <c r="C474" i="15"/>
  <c r="AB474" i="13" s="1"/>
  <c r="E474" i="15"/>
  <c r="F474" i="15"/>
  <c r="G474" i="15"/>
  <c r="J474" i="15"/>
  <c r="K474" i="15"/>
  <c r="L474" i="15"/>
  <c r="O474" i="15"/>
  <c r="I474" i="15"/>
  <c r="M474" i="15"/>
  <c r="P474" i="15"/>
  <c r="B449" i="15"/>
  <c r="AA449" i="13" s="1"/>
  <c r="H449" i="15"/>
  <c r="I449" i="15"/>
  <c r="E449" i="15"/>
  <c r="M449" i="15"/>
  <c r="O449" i="15"/>
  <c r="D449" i="15"/>
  <c r="AC449" i="13" s="1"/>
  <c r="J449" i="15"/>
  <c r="L449" i="15"/>
  <c r="P449" i="15"/>
  <c r="Z449" i="13"/>
  <c r="C449" i="15"/>
  <c r="AB449" i="13" s="1"/>
  <c r="F449" i="15"/>
  <c r="G449" i="15"/>
  <c r="N449" i="15"/>
  <c r="K449" i="15"/>
  <c r="B49" i="15"/>
  <c r="AA49" i="13" s="1"/>
  <c r="D49" i="15"/>
  <c r="AC49" i="13" s="1"/>
  <c r="F49" i="15"/>
  <c r="J49" i="15"/>
  <c r="L49" i="15"/>
  <c r="N49" i="15"/>
  <c r="Z49" i="13"/>
  <c r="O49" i="15"/>
  <c r="H49" i="15"/>
  <c r="C49" i="15"/>
  <c r="AB49" i="13" s="1"/>
  <c r="E49" i="15"/>
  <c r="G49" i="15"/>
  <c r="I49" i="15"/>
  <c r="K49" i="15"/>
  <c r="M49" i="15"/>
  <c r="P49" i="15"/>
  <c r="B1000" i="15"/>
  <c r="AA1000" i="13" s="1"/>
  <c r="C1000" i="15"/>
  <c r="AB1000" i="13" s="1"/>
  <c r="D1000" i="15"/>
  <c r="AC1000" i="13" s="1"/>
  <c r="E1000" i="15"/>
  <c r="F1000" i="15"/>
  <c r="G1000" i="15"/>
  <c r="H1000" i="15"/>
  <c r="I1000" i="15"/>
  <c r="J1000" i="15"/>
  <c r="K1000" i="15"/>
  <c r="L1000" i="15"/>
  <c r="M1000" i="15"/>
  <c r="N1000" i="15"/>
  <c r="O1000" i="15"/>
  <c r="P1000" i="15"/>
  <c r="Z1000" i="13"/>
  <c r="B998" i="15"/>
  <c r="AA998" i="13" s="1"/>
  <c r="C998" i="15"/>
  <c r="AB998" i="13" s="1"/>
  <c r="D998" i="15"/>
  <c r="AC998" i="13" s="1"/>
  <c r="E998" i="15"/>
  <c r="F998" i="15"/>
  <c r="G998" i="15"/>
  <c r="H998" i="15"/>
  <c r="I998" i="15"/>
  <c r="J998" i="15"/>
  <c r="K998" i="15"/>
  <c r="L998" i="15"/>
  <c r="M998" i="15"/>
  <c r="N998" i="15"/>
  <c r="O998" i="15"/>
  <c r="P998" i="15"/>
  <c r="Z998" i="13"/>
  <c r="B952" i="15"/>
  <c r="AA952" i="13" s="1"/>
  <c r="D952" i="15"/>
  <c r="AC952" i="13" s="1"/>
  <c r="F952" i="15"/>
  <c r="H952" i="15"/>
  <c r="C952" i="15"/>
  <c r="AB952" i="13" s="1"/>
  <c r="E952" i="15"/>
  <c r="G952" i="15"/>
  <c r="I952" i="15"/>
  <c r="J952" i="15"/>
  <c r="K952" i="15"/>
  <c r="L952" i="15"/>
  <c r="M952" i="15"/>
  <c r="N952" i="15"/>
  <c r="O952" i="15"/>
  <c r="P952" i="15"/>
  <c r="Z952" i="13"/>
  <c r="E947" i="15"/>
  <c r="B947" i="15"/>
  <c r="AA947" i="13" s="1"/>
  <c r="C947" i="15"/>
  <c r="AB947" i="13" s="1"/>
  <c r="D947" i="15"/>
  <c r="AC947" i="13" s="1"/>
  <c r="F947" i="15"/>
  <c r="G947" i="15"/>
  <c r="H947" i="15"/>
  <c r="I947" i="15"/>
  <c r="J947" i="15"/>
  <c r="K947" i="15"/>
  <c r="L947" i="15"/>
  <c r="M947" i="15"/>
  <c r="N947" i="15"/>
  <c r="O947" i="15"/>
  <c r="P947" i="15"/>
  <c r="Z947" i="13"/>
  <c r="F933" i="15"/>
  <c r="B933" i="15"/>
  <c r="AA933" i="13" s="1"/>
  <c r="C933" i="15"/>
  <c r="AB933" i="13" s="1"/>
  <c r="D933" i="15"/>
  <c r="AC933" i="13" s="1"/>
  <c r="E933" i="15"/>
  <c r="G933" i="15"/>
  <c r="H933" i="15"/>
  <c r="I933" i="15"/>
  <c r="J933" i="15"/>
  <c r="K933" i="15"/>
  <c r="L933" i="15"/>
  <c r="M933" i="15"/>
  <c r="N933" i="15"/>
  <c r="O933" i="15"/>
  <c r="P933" i="15"/>
  <c r="Z933" i="13"/>
  <c r="B924" i="15"/>
  <c r="AA924" i="13" s="1"/>
  <c r="D924" i="15"/>
  <c r="AC924" i="13" s="1"/>
  <c r="C924" i="15"/>
  <c r="AB924" i="13" s="1"/>
  <c r="E924" i="15"/>
  <c r="F924" i="15"/>
  <c r="G924" i="15"/>
  <c r="H924" i="15"/>
  <c r="I924" i="15"/>
  <c r="J924" i="15"/>
  <c r="K924" i="15"/>
  <c r="L924" i="15"/>
  <c r="M924" i="15"/>
  <c r="N924" i="15"/>
  <c r="O924" i="15"/>
  <c r="P924" i="15"/>
  <c r="Z924" i="13"/>
  <c r="B920" i="15"/>
  <c r="AA920" i="13" s="1"/>
  <c r="D920" i="15"/>
  <c r="AC920" i="13" s="1"/>
  <c r="F920" i="15"/>
  <c r="I920" i="15"/>
  <c r="J920" i="15"/>
  <c r="N920" i="15"/>
  <c r="O920" i="15"/>
  <c r="P920" i="15"/>
  <c r="C920" i="15"/>
  <c r="AB920" i="13" s="1"/>
  <c r="E920" i="15"/>
  <c r="G920" i="15"/>
  <c r="H920" i="15"/>
  <c r="K920" i="15"/>
  <c r="L920" i="15"/>
  <c r="M920" i="15"/>
  <c r="Z920" i="13"/>
  <c r="B909" i="15"/>
  <c r="AA909" i="13" s="1"/>
  <c r="D909" i="15"/>
  <c r="AC909" i="13" s="1"/>
  <c r="F909" i="15"/>
  <c r="I909" i="15"/>
  <c r="J909" i="15"/>
  <c r="L909" i="15"/>
  <c r="M909" i="15"/>
  <c r="O909" i="15"/>
  <c r="P909" i="15"/>
  <c r="C909" i="15"/>
  <c r="AB909" i="13" s="1"/>
  <c r="E909" i="15"/>
  <c r="G909" i="15"/>
  <c r="H909" i="15"/>
  <c r="K909" i="15"/>
  <c r="N909" i="15"/>
  <c r="Z909" i="13"/>
  <c r="C894" i="15"/>
  <c r="AB894" i="13" s="1"/>
  <c r="E894" i="15"/>
  <c r="G894" i="15"/>
  <c r="B894" i="15"/>
  <c r="AA894" i="13" s="1"/>
  <c r="D894" i="15"/>
  <c r="AC894" i="13" s="1"/>
  <c r="F894" i="15"/>
  <c r="H894" i="15"/>
  <c r="I894" i="15"/>
  <c r="J894" i="15"/>
  <c r="K894" i="15"/>
  <c r="L894" i="15"/>
  <c r="M894" i="15"/>
  <c r="N894" i="15"/>
  <c r="O894" i="15"/>
  <c r="P894" i="15"/>
  <c r="Z894" i="13"/>
  <c r="C874" i="15"/>
  <c r="AB874" i="13" s="1"/>
  <c r="D874" i="15"/>
  <c r="AC874" i="13" s="1"/>
  <c r="F874" i="15"/>
  <c r="G874" i="15"/>
  <c r="H874" i="15"/>
  <c r="J874" i="15"/>
  <c r="K874" i="15"/>
  <c r="M874" i="15"/>
  <c r="B874" i="15"/>
  <c r="AA874" i="13" s="1"/>
  <c r="E874" i="15"/>
  <c r="I874" i="15"/>
  <c r="L874" i="15"/>
  <c r="N874" i="15"/>
  <c r="O874" i="15"/>
  <c r="P874" i="15"/>
  <c r="Z874" i="13"/>
  <c r="B863" i="15"/>
  <c r="AA863" i="13" s="1"/>
  <c r="C863" i="15"/>
  <c r="AB863" i="13" s="1"/>
  <c r="D863" i="15"/>
  <c r="AC863" i="13" s="1"/>
  <c r="F863" i="15"/>
  <c r="G863" i="15"/>
  <c r="H863" i="15"/>
  <c r="I863" i="15"/>
  <c r="J863" i="15"/>
  <c r="K863" i="15"/>
  <c r="L863" i="15"/>
  <c r="M863" i="15"/>
  <c r="N863" i="15"/>
  <c r="O863" i="15"/>
  <c r="P863" i="15"/>
  <c r="E863" i="15"/>
  <c r="Z863" i="13"/>
  <c r="B569" i="15"/>
  <c r="AA569" i="13" s="1"/>
  <c r="F569" i="15"/>
  <c r="I569" i="15"/>
  <c r="J569" i="15"/>
  <c r="K569" i="15"/>
  <c r="L569" i="15"/>
  <c r="N569" i="15"/>
  <c r="O569" i="15"/>
  <c r="C569" i="15"/>
  <c r="AB569" i="13" s="1"/>
  <c r="D569" i="15"/>
  <c r="AC569" i="13" s="1"/>
  <c r="E569" i="15"/>
  <c r="H569" i="15"/>
  <c r="M569" i="15"/>
  <c r="P569" i="15"/>
  <c r="Z569" i="13"/>
  <c r="G569" i="15"/>
  <c r="B555" i="15"/>
  <c r="AA555" i="13" s="1"/>
  <c r="E555" i="15"/>
  <c r="F555" i="15"/>
  <c r="H555" i="15"/>
  <c r="I555" i="15"/>
  <c r="J555" i="15"/>
  <c r="K555" i="15"/>
  <c r="L555" i="15"/>
  <c r="M555" i="15"/>
  <c r="N555" i="15"/>
  <c r="O555" i="15"/>
  <c r="P555" i="15"/>
  <c r="Z555" i="13"/>
  <c r="C555" i="15"/>
  <c r="AB555" i="13" s="1"/>
  <c r="D555" i="15"/>
  <c r="AC555" i="13" s="1"/>
  <c r="G555" i="15"/>
  <c r="B532" i="15"/>
  <c r="AA532" i="13" s="1"/>
  <c r="D532" i="15"/>
  <c r="AC532" i="13" s="1"/>
  <c r="I532" i="15"/>
  <c r="P532" i="15"/>
  <c r="F532" i="15"/>
  <c r="G532" i="15"/>
  <c r="Z532" i="13"/>
  <c r="C532" i="15"/>
  <c r="AB532" i="13" s="1"/>
  <c r="E532" i="15"/>
  <c r="H532" i="15"/>
  <c r="J532" i="15"/>
  <c r="K532" i="15"/>
  <c r="L532" i="15"/>
  <c r="M532" i="15"/>
  <c r="N532" i="15"/>
  <c r="O532" i="15"/>
  <c r="C506" i="15"/>
  <c r="AB506" i="13" s="1"/>
  <c r="G506" i="15"/>
  <c r="I506" i="15"/>
  <c r="L506" i="15"/>
  <c r="O506" i="15"/>
  <c r="H506" i="15"/>
  <c r="J506" i="15"/>
  <c r="B506" i="15"/>
  <c r="AA506" i="13" s="1"/>
  <c r="D506" i="15"/>
  <c r="AC506" i="13" s="1"/>
  <c r="K506" i="15"/>
  <c r="P506" i="15"/>
  <c r="Z506" i="13"/>
  <c r="E506" i="15"/>
  <c r="F506" i="15"/>
  <c r="M506" i="15"/>
  <c r="N506" i="15"/>
  <c r="D501" i="15"/>
  <c r="AC501" i="13" s="1"/>
  <c r="F501" i="15"/>
  <c r="M501" i="15"/>
  <c r="H501" i="15"/>
  <c r="I501" i="15"/>
  <c r="J501" i="15"/>
  <c r="O501" i="15"/>
  <c r="B501" i="15"/>
  <c r="AA501" i="13" s="1"/>
  <c r="G501" i="15"/>
  <c r="L501" i="15"/>
  <c r="P501" i="15"/>
  <c r="Z501" i="13"/>
  <c r="C501" i="15"/>
  <c r="AB501" i="13" s="1"/>
  <c r="E501" i="15"/>
  <c r="K501" i="15"/>
  <c r="N501" i="15"/>
  <c r="H490" i="15"/>
  <c r="M490" i="15"/>
  <c r="I490" i="15"/>
  <c r="J490" i="15"/>
  <c r="C490" i="15"/>
  <c r="AB490" i="13" s="1"/>
  <c r="E490" i="15"/>
  <c r="L490" i="15"/>
  <c r="Z490" i="13"/>
  <c r="B490" i="15"/>
  <c r="AA490" i="13" s="1"/>
  <c r="D490" i="15"/>
  <c r="AC490" i="13" s="1"/>
  <c r="F490" i="15"/>
  <c r="G490" i="15"/>
  <c r="K490" i="15"/>
  <c r="N490" i="15"/>
  <c r="O490" i="15"/>
  <c r="P490" i="15"/>
  <c r="F482" i="15"/>
  <c r="H482" i="15"/>
  <c r="N482" i="15"/>
  <c r="C482" i="15"/>
  <c r="AB482" i="13" s="1"/>
  <c r="D482" i="15"/>
  <c r="AC482" i="13" s="1"/>
  <c r="E482" i="15"/>
  <c r="J482" i="15"/>
  <c r="M482" i="15"/>
  <c r="P482" i="15"/>
  <c r="B482" i="15"/>
  <c r="AA482" i="13" s="1"/>
  <c r="Z482" i="13"/>
  <c r="G482" i="15"/>
  <c r="I482" i="15"/>
  <c r="K482" i="15"/>
  <c r="L482" i="15"/>
  <c r="O482" i="15"/>
  <c r="G472" i="15"/>
  <c r="O472" i="15"/>
  <c r="E472" i="15"/>
  <c r="F472" i="15"/>
  <c r="J472" i="15"/>
  <c r="N472" i="15"/>
  <c r="B472" i="15"/>
  <c r="AA472" i="13" s="1"/>
  <c r="D472" i="15"/>
  <c r="AC472" i="13" s="1"/>
  <c r="M472" i="15"/>
  <c r="P472" i="15"/>
  <c r="Z472" i="13"/>
  <c r="C472" i="15"/>
  <c r="AB472" i="13" s="1"/>
  <c r="H472" i="15"/>
  <c r="I472" i="15"/>
  <c r="K472" i="15"/>
  <c r="L472" i="15"/>
  <c r="C452" i="15"/>
  <c r="AB452" i="13" s="1"/>
  <c r="M452" i="15"/>
  <c r="N452" i="15"/>
  <c r="E452" i="15"/>
  <c r="H452" i="15"/>
  <c r="I452" i="15"/>
  <c r="L452" i="15"/>
  <c r="P452" i="15"/>
  <c r="B452" i="15"/>
  <c r="AA452" i="13" s="1"/>
  <c r="G452" i="15"/>
  <c r="O452" i="15"/>
  <c r="Z452" i="13"/>
  <c r="D452" i="15"/>
  <c r="AC452" i="13" s="1"/>
  <c r="F452" i="15"/>
  <c r="J452" i="15"/>
  <c r="K452" i="15"/>
  <c r="F70" i="15"/>
  <c r="K70" i="15"/>
  <c r="O70" i="15"/>
  <c r="D70" i="15"/>
  <c r="AC70" i="13" s="1"/>
  <c r="H70" i="15"/>
  <c r="M70" i="15"/>
  <c r="Z70" i="13"/>
  <c r="C70" i="15"/>
  <c r="AB70" i="13" s="1"/>
  <c r="E70" i="15"/>
  <c r="B70" i="15"/>
  <c r="AA70" i="13" s="1"/>
  <c r="G70" i="15"/>
  <c r="I70" i="15"/>
  <c r="J70" i="15"/>
  <c r="L70" i="15"/>
  <c r="N70" i="15"/>
  <c r="P70" i="15"/>
  <c r="D63" i="15"/>
  <c r="AC63" i="13" s="1"/>
  <c r="G63" i="15"/>
  <c r="I63" i="15"/>
  <c r="M63" i="15"/>
  <c r="B63" i="15"/>
  <c r="AA63" i="13" s="1"/>
  <c r="J63" i="15"/>
  <c r="K63" i="15"/>
  <c r="C63" i="15"/>
  <c r="AB63" i="13" s="1"/>
  <c r="E63" i="15"/>
  <c r="H63" i="15"/>
  <c r="L63" i="15"/>
  <c r="O63" i="15"/>
  <c r="F63" i="15"/>
  <c r="N63" i="15"/>
  <c r="Z63" i="13"/>
  <c r="P63" i="15"/>
  <c r="E55" i="15"/>
  <c r="H55" i="15"/>
  <c r="K55" i="15"/>
  <c r="M55" i="15"/>
  <c r="C55" i="15"/>
  <c r="AB55" i="13" s="1"/>
  <c r="I55" i="15"/>
  <c r="P55" i="15"/>
  <c r="B55" i="15"/>
  <c r="AA55" i="13" s="1"/>
  <c r="D55" i="15"/>
  <c r="AC55" i="13" s="1"/>
  <c r="G55" i="15"/>
  <c r="J55" i="15"/>
  <c r="Z55" i="13"/>
  <c r="N55" i="15"/>
  <c r="F55" i="15"/>
  <c r="L55" i="15"/>
  <c r="O55" i="15"/>
  <c r="C42" i="15"/>
  <c r="AB42" i="13" s="1"/>
  <c r="D42" i="15"/>
  <c r="AC42" i="13" s="1"/>
  <c r="F42" i="15"/>
  <c r="I42" i="15"/>
  <c r="K42" i="15"/>
  <c r="M42" i="15"/>
  <c r="N42" i="15"/>
  <c r="P42" i="15"/>
  <c r="O42" i="15"/>
  <c r="E42" i="15"/>
  <c r="G42" i="15"/>
  <c r="H42" i="15"/>
  <c r="J42" i="15"/>
  <c r="B42" i="15"/>
  <c r="AA42" i="13" s="1"/>
  <c r="Z42" i="13"/>
  <c r="L42" i="15"/>
  <c r="F35" i="15"/>
  <c r="J35" i="15"/>
  <c r="B35" i="15"/>
  <c r="AA35" i="13" s="1"/>
  <c r="C35" i="15"/>
  <c r="AB35" i="13" s="1"/>
  <c r="G35" i="15"/>
  <c r="I35" i="15"/>
  <c r="L35" i="15"/>
  <c r="H35" i="15"/>
  <c r="K35" i="15"/>
  <c r="N35" i="15"/>
  <c r="P35" i="15"/>
  <c r="E35" i="15"/>
  <c r="Z35" i="13"/>
  <c r="M35" i="15"/>
  <c r="D35" i="15"/>
  <c r="AC35" i="13" s="1"/>
  <c r="O35" i="15"/>
  <c r="B854" i="15"/>
  <c r="AA854" i="13" s="1"/>
  <c r="C854" i="15"/>
  <c r="AB854" i="13" s="1"/>
  <c r="D854" i="15"/>
  <c r="AC854" i="13" s="1"/>
  <c r="E854" i="15"/>
  <c r="F854" i="15"/>
  <c r="G854" i="15"/>
  <c r="H854" i="15"/>
  <c r="I854" i="15"/>
  <c r="J854" i="15"/>
  <c r="K854" i="15"/>
  <c r="L854" i="15"/>
  <c r="M854" i="15"/>
  <c r="N854" i="15"/>
  <c r="O854" i="15"/>
  <c r="P854" i="15"/>
  <c r="Z854" i="13"/>
  <c r="B856" i="15"/>
  <c r="AA856" i="13" s="1"/>
  <c r="C856" i="15"/>
  <c r="AB856" i="13" s="1"/>
  <c r="E856" i="15"/>
  <c r="F856" i="15"/>
  <c r="G856" i="15"/>
  <c r="H856" i="15"/>
  <c r="I856" i="15"/>
  <c r="J856" i="15"/>
  <c r="K856" i="15"/>
  <c r="D856" i="15"/>
  <c r="AC856" i="13" s="1"/>
  <c r="L856" i="15"/>
  <c r="M856" i="15"/>
  <c r="N856" i="15"/>
  <c r="O856" i="15"/>
  <c r="P856" i="15"/>
  <c r="Z856" i="13"/>
  <c r="B558" i="15"/>
  <c r="AA558" i="13" s="1"/>
  <c r="C558" i="15"/>
  <c r="AB558" i="13" s="1"/>
  <c r="D558" i="15"/>
  <c r="AC558" i="13" s="1"/>
  <c r="E558" i="15"/>
  <c r="F558" i="15"/>
  <c r="G558" i="15"/>
  <c r="I558" i="15"/>
  <c r="J558" i="15"/>
  <c r="K558" i="15"/>
  <c r="L558" i="15"/>
  <c r="M558" i="15"/>
  <c r="N558" i="15"/>
  <c r="O558" i="15"/>
  <c r="P558" i="15"/>
  <c r="Z558" i="13"/>
  <c r="H558" i="15"/>
  <c r="B545" i="15"/>
  <c r="AA545" i="13" s="1"/>
  <c r="D545" i="15"/>
  <c r="AC545" i="13" s="1"/>
  <c r="F545" i="15"/>
  <c r="G545" i="15"/>
  <c r="M545" i="15"/>
  <c r="O545" i="15"/>
  <c r="P545" i="15"/>
  <c r="E545" i="15"/>
  <c r="Z545" i="13"/>
  <c r="C545" i="15"/>
  <c r="AB545" i="13" s="1"/>
  <c r="H545" i="15"/>
  <c r="I545" i="15"/>
  <c r="J545" i="15"/>
  <c r="K545" i="15"/>
  <c r="L545" i="15"/>
  <c r="N545" i="15"/>
  <c r="B537" i="15"/>
  <c r="AA537" i="13" s="1"/>
  <c r="C537" i="15"/>
  <c r="AB537" i="13" s="1"/>
  <c r="H537" i="15"/>
  <c r="K537" i="15"/>
  <c r="L537" i="15"/>
  <c r="N537" i="15"/>
  <c r="O537" i="15"/>
  <c r="P537" i="15"/>
  <c r="E537" i="15"/>
  <c r="J537" i="15"/>
  <c r="M537" i="15"/>
  <c r="Z537" i="13"/>
  <c r="D537" i="15"/>
  <c r="AC537" i="13" s="1"/>
  <c r="F537" i="15"/>
  <c r="G537" i="15"/>
  <c r="I537" i="15"/>
  <c r="D527" i="15"/>
  <c r="AC527" i="13" s="1"/>
  <c r="F527" i="15"/>
  <c r="I527" i="15"/>
  <c r="J527" i="15"/>
  <c r="L527" i="15"/>
  <c r="M527" i="15"/>
  <c r="N527" i="15"/>
  <c r="O527" i="15"/>
  <c r="P527" i="15"/>
  <c r="B527" i="15"/>
  <c r="AA527" i="13" s="1"/>
  <c r="E527" i="15"/>
  <c r="Z527" i="13"/>
  <c r="C527" i="15"/>
  <c r="AB527" i="13" s="1"/>
  <c r="G527" i="15"/>
  <c r="H527" i="15"/>
  <c r="K527" i="15"/>
  <c r="B785" i="15"/>
  <c r="AA785" i="13" s="1"/>
  <c r="C785" i="15"/>
  <c r="AB785" i="13" s="1"/>
  <c r="D785" i="15"/>
  <c r="AC785" i="13" s="1"/>
  <c r="E785" i="15"/>
  <c r="F785" i="15"/>
  <c r="G785" i="15"/>
  <c r="H785" i="15"/>
  <c r="I785" i="15"/>
  <c r="J785" i="15"/>
  <c r="K785" i="15"/>
  <c r="L785" i="15"/>
  <c r="M785" i="15"/>
  <c r="N785" i="15"/>
  <c r="O785" i="15"/>
  <c r="P785" i="15"/>
  <c r="Z785" i="13"/>
  <c r="B783" i="15"/>
  <c r="AA783" i="13" s="1"/>
  <c r="C783" i="15"/>
  <c r="AB783" i="13" s="1"/>
  <c r="D783" i="15"/>
  <c r="AC783" i="13" s="1"/>
  <c r="E783" i="15"/>
  <c r="F783" i="15"/>
  <c r="G783" i="15"/>
  <c r="H783" i="15"/>
  <c r="I783" i="15"/>
  <c r="J783" i="15"/>
  <c r="K783" i="15"/>
  <c r="L783" i="15"/>
  <c r="M783" i="15"/>
  <c r="N783" i="15"/>
  <c r="O783" i="15"/>
  <c r="P783" i="15"/>
  <c r="Z783" i="13"/>
  <c r="B780" i="15"/>
  <c r="AA780" i="13" s="1"/>
  <c r="C780" i="15"/>
  <c r="AB780" i="13" s="1"/>
  <c r="D780" i="15"/>
  <c r="AC780" i="13" s="1"/>
  <c r="E780" i="15"/>
  <c r="F780" i="15"/>
  <c r="G780" i="15"/>
  <c r="H780" i="15"/>
  <c r="I780" i="15"/>
  <c r="J780" i="15"/>
  <c r="K780" i="15"/>
  <c r="L780" i="15"/>
  <c r="M780" i="15"/>
  <c r="N780" i="15"/>
  <c r="O780" i="15"/>
  <c r="P780" i="15"/>
  <c r="Z780" i="13"/>
  <c r="B777" i="15"/>
  <c r="AA777" i="13" s="1"/>
  <c r="C777" i="15"/>
  <c r="AB777" i="13" s="1"/>
  <c r="D777" i="15"/>
  <c r="AC777" i="13" s="1"/>
  <c r="E777" i="15"/>
  <c r="F777" i="15"/>
  <c r="G777" i="15"/>
  <c r="H777" i="15"/>
  <c r="I777" i="15"/>
  <c r="J777" i="15"/>
  <c r="K777" i="15"/>
  <c r="L777" i="15"/>
  <c r="M777" i="15"/>
  <c r="N777" i="15"/>
  <c r="O777" i="15"/>
  <c r="P777" i="15"/>
  <c r="Z777" i="13"/>
  <c r="B774" i="15"/>
  <c r="AA774" i="13" s="1"/>
  <c r="C774" i="15"/>
  <c r="AB774" i="13" s="1"/>
  <c r="D774" i="15"/>
  <c r="AC774" i="13" s="1"/>
  <c r="E774" i="15"/>
  <c r="F774" i="15"/>
  <c r="G774" i="15"/>
  <c r="H774" i="15"/>
  <c r="I774" i="15"/>
  <c r="J774" i="15"/>
  <c r="K774" i="15"/>
  <c r="L774" i="15"/>
  <c r="M774" i="15"/>
  <c r="N774" i="15"/>
  <c r="O774" i="15"/>
  <c r="P774" i="15"/>
  <c r="Z774" i="13"/>
  <c r="B770" i="15"/>
  <c r="AA770" i="13" s="1"/>
  <c r="C770" i="15"/>
  <c r="AB770" i="13" s="1"/>
  <c r="D770" i="15"/>
  <c r="AC770" i="13" s="1"/>
  <c r="E770" i="15"/>
  <c r="F770" i="15"/>
  <c r="G770" i="15"/>
  <c r="H770" i="15"/>
  <c r="I770" i="15"/>
  <c r="J770" i="15"/>
  <c r="K770" i="15"/>
  <c r="L770" i="15"/>
  <c r="M770" i="15"/>
  <c r="N770" i="15"/>
  <c r="O770" i="15"/>
  <c r="P770" i="15"/>
  <c r="Z770" i="13"/>
  <c r="B668" i="15"/>
  <c r="AA668" i="13" s="1"/>
  <c r="C668" i="15"/>
  <c r="AB668" i="13" s="1"/>
  <c r="D668" i="15"/>
  <c r="AC668" i="13" s="1"/>
  <c r="E668" i="15"/>
  <c r="F668" i="15"/>
  <c r="G668" i="15"/>
  <c r="H668" i="15"/>
  <c r="I668" i="15"/>
  <c r="J668" i="15"/>
  <c r="K668" i="15"/>
  <c r="L668" i="15"/>
  <c r="M668" i="15"/>
  <c r="N668" i="15"/>
  <c r="O668" i="15"/>
  <c r="P668" i="15"/>
  <c r="Z668" i="13"/>
  <c r="B30" i="15"/>
  <c r="AA30" i="13" s="1"/>
  <c r="C30" i="15"/>
  <c r="AB30" i="13" s="1"/>
  <c r="D30" i="15"/>
  <c r="AC30" i="13" s="1"/>
  <c r="E30" i="15"/>
  <c r="F30" i="15"/>
  <c r="G30" i="15"/>
  <c r="H30" i="15"/>
  <c r="I30" i="15"/>
  <c r="J30" i="15"/>
  <c r="K30" i="15"/>
  <c r="L30" i="15"/>
  <c r="M30" i="15"/>
  <c r="N30" i="15"/>
  <c r="O30" i="15"/>
  <c r="P30" i="15"/>
  <c r="Z30" i="13"/>
  <c r="B415" i="15"/>
  <c r="AA415" i="13" s="1"/>
  <c r="C415" i="15"/>
  <c r="AB415" i="13" s="1"/>
  <c r="D415" i="15"/>
  <c r="AC415" i="13" s="1"/>
  <c r="E415" i="15"/>
  <c r="F415" i="15"/>
  <c r="G415" i="15"/>
  <c r="H415" i="15"/>
  <c r="I415" i="15"/>
  <c r="J415" i="15"/>
  <c r="K415" i="15"/>
  <c r="L415" i="15"/>
  <c r="M415" i="15"/>
  <c r="N415" i="15"/>
  <c r="O415" i="15"/>
  <c r="P415" i="15"/>
  <c r="Z415" i="13"/>
  <c r="B236" i="15"/>
  <c r="AA236" i="13" s="1"/>
  <c r="C236" i="15"/>
  <c r="AB236" i="13" s="1"/>
  <c r="D236" i="15"/>
  <c r="AC236" i="13" s="1"/>
  <c r="E236" i="15"/>
  <c r="F236" i="15"/>
  <c r="G236" i="15"/>
  <c r="H236" i="15"/>
  <c r="I236" i="15"/>
  <c r="J236" i="15"/>
  <c r="K236" i="15"/>
  <c r="L236" i="15"/>
  <c r="M236" i="15"/>
  <c r="N236" i="15"/>
  <c r="O236" i="15"/>
  <c r="P236" i="15"/>
  <c r="Z236" i="13"/>
  <c r="B232" i="15"/>
  <c r="AA232" i="13" s="1"/>
  <c r="C232" i="15"/>
  <c r="AB232" i="13" s="1"/>
  <c r="D232" i="15"/>
  <c r="AC232" i="13" s="1"/>
  <c r="E232" i="15"/>
  <c r="F232" i="15"/>
  <c r="G232" i="15"/>
  <c r="H232" i="15"/>
  <c r="I232" i="15"/>
  <c r="J232" i="15"/>
  <c r="K232" i="15"/>
  <c r="L232" i="15"/>
  <c r="M232" i="15"/>
  <c r="N232" i="15"/>
  <c r="O232" i="15"/>
  <c r="P232" i="15"/>
  <c r="Z232" i="13"/>
  <c r="B225" i="15"/>
  <c r="AA225" i="13" s="1"/>
  <c r="C225" i="15"/>
  <c r="AB225" i="13" s="1"/>
  <c r="D225" i="15"/>
  <c r="AC225" i="13" s="1"/>
  <c r="E225" i="15"/>
  <c r="F225" i="15"/>
  <c r="G225" i="15"/>
  <c r="H225" i="15"/>
  <c r="I225" i="15"/>
  <c r="J225" i="15"/>
  <c r="K225" i="15"/>
  <c r="L225" i="15"/>
  <c r="M225" i="15"/>
  <c r="N225" i="15"/>
  <c r="O225" i="15"/>
  <c r="P225" i="15"/>
  <c r="Z225" i="13"/>
  <c r="B216" i="15"/>
  <c r="AA216" i="13" s="1"/>
  <c r="C216" i="15"/>
  <c r="AB216" i="13" s="1"/>
  <c r="D216" i="15"/>
  <c r="AC216" i="13" s="1"/>
  <c r="E216" i="15"/>
  <c r="F216" i="15"/>
  <c r="G216" i="15"/>
  <c r="H216" i="15"/>
  <c r="I216" i="15"/>
  <c r="J216" i="15"/>
  <c r="K216" i="15"/>
  <c r="L216" i="15"/>
  <c r="M216" i="15"/>
  <c r="N216" i="15"/>
  <c r="O216" i="15"/>
  <c r="P216" i="15"/>
  <c r="Z216" i="13"/>
  <c r="B212" i="15"/>
  <c r="AA212" i="13" s="1"/>
  <c r="C212" i="15"/>
  <c r="AB212" i="13" s="1"/>
  <c r="D212" i="15"/>
  <c r="AC212" i="13" s="1"/>
  <c r="E212" i="15"/>
  <c r="F212" i="15"/>
  <c r="G212" i="15"/>
  <c r="H212" i="15"/>
  <c r="I212" i="15"/>
  <c r="J212" i="15"/>
  <c r="K212" i="15"/>
  <c r="L212" i="15"/>
  <c r="M212" i="15"/>
  <c r="N212" i="15"/>
  <c r="O212" i="15"/>
  <c r="P212" i="15"/>
  <c r="Z212" i="13"/>
  <c r="N34" i="15"/>
  <c r="E34" i="15"/>
  <c r="I34" i="15"/>
  <c r="M34" i="15"/>
  <c r="P34" i="15"/>
  <c r="C34" i="15"/>
  <c r="AB34" i="13" s="1"/>
  <c r="Z34" i="13"/>
  <c r="F34" i="15"/>
  <c r="K34" i="15"/>
  <c r="O34" i="15"/>
  <c r="D34" i="15"/>
  <c r="AC34" i="13" s="1"/>
  <c r="L34" i="15"/>
  <c r="B34" i="15"/>
  <c r="AA34" i="13" s="1"/>
  <c r="G34" i="15"/>
  <c r="H34" i="15"/>
  <c r="J34" i="15"/>
  <c r="B871" i="15"/>
  <c r="AA871" i="13" s="1"/>
  <c r="C871" i="15"/>
  <c r="AB871" i="13" s="1"/>
  <c r="D871" i="15"/>
  <c r="AC871" i="13" s="1"/>
  <c r="E871" i="15"/>
  <c r="G871" i="15"/>
  <c r="H871" i="15"/>
  <c r="F871" i="15"/>
  <c r="I871" i="15"/>
  <c r="J871" i="15"/>
  <c r="K871" i="15"/>
  <c r="L871" i="15"/>
  <c r="M871" i="15"/>
  <c r="N871" i="15"/>
  <c r="O871" i="15"/>
  <c r="P871" i="15"/>
  <c r="Z871" i="13"/>
  <c r="D480" i="15"/>
  <c r="AC480" i="13" s="1"/>
  <c r="H480" i="15"/>
  <c r="I480" i="15"/>
  <c r="J480" i="15"/>
  <c r="P480" i="15"/>
  <c r="C480" i="15"/>
  <c r="AB480" i="13" s="1"/>
  <c r="F480" i="15"/>
  <c r="K480" i="15"/>
  <c r="L480" i="15"/>
  <c r="M480" i="15"/>
  <c r="N480" i="15"/>
  <c r="E480" i="15"/>
  <c r="Z480" i="13"/>
  <c r="B480" i="15"/>
  <c r="AA480" i="13" s="1"/>
  <c r="G480" i="15"/>
  <c r="O480" i="15"/>
  <c r="C61" i="15"/>
  <c r="AB61" i="13" s="1"/>
  <c r="E61" i="15"/>
  <c r="G61" i="15"/>
  <c r="K61" i="15"/>
  <c r="P61" i="15"/>
  <c r="I61" i="15"/>
  <c r="L61" i="15"/>
  <c r="B61" i="15"/>
  <c r="AA61" i="13" s="1"/>
  <c r="D61" i="15"/>
  <c r="AC61" i="13" s="1"/>
  <c r="F61" i="15"/>
  <c r="H61" i="15"/>
  <c r="J61" i="15"/>
  <c r="N61" i="15"/>
  <c r="Z61" i="13"/>
  <c r="M61" i="15"/>
  <c r="O61" i="15"/>
  <c r="B563" i="15"/>
  <c r="AA563" i="13" s="1"/>
  <c r="E563" i="15"/>
  <c r="G563" i="15"/>
  <c r="C563" i="15"/>
  <c r="AB563" i="13" s="1"/>
  <c r="F563" i="15"/>
  <c r="H563" i="15"/>
  <c r="N563" i="15"/>
  <c r="O563" i="15"/>
  <c r="Z563" i="13"/>
  <c r="D563" i="15"/>
  <c r="AC563" i="13" s="1"/>
  <c r="I563" i="15"/>
  <c r="J563" i="15"/>
  <c r="K563" i="15"/>
  <c r="L563" i="15"/>
  <c r="M563" i="15"/>
  <c r="P563" i="15"/>
  <c r="B786" i="15"/>
  <c r="AA786" i="13" s="1"/>
  <c r="C786" i="15"/>
  <c r="AB786" i="13" s="1"/>
  <c r="D786" i="15"/>
  <c r="AC786" i="13" s="1"/>
  <c r="E786" i="15"/>
  <c r="F786" i="15"/>
  <c r="G786" i="15"/>
  <c r="H786" i="15"/>
  <c r="I786" i="15"/>
  <c r="J786" i="15"/>
  <c r="K786" i="15"/>
  <c r="L786" i="15"/>
  <c r="M786" i="15"/>
  <c r="N786" i="15"/>
  <c r="O786" i="15"/>
  <c r="P786" i="15"/>
  <c r="Z786" i="13"/>
  <c r="B762" i="15"/>
  <c r="AA762" i="13" s="1"/>
  <c r="C762" i="15"/>
  <c r="AB762" i="13" s="1"/>
  <c r="D762" i="15"/>
  <c r="AC762" i="13" s="1"/>
  <c r="E762" i="15"/>
  <c r="F762" i="15"/>
  <c r="G762" i="15"/>
  <c r="H762" i="15"/>
  <c r="I762" i="15"/>
  <c r="J762" i="15"/>
  <c r="K762" i="15"/>
  <c r="L762" i="15"/>
  <c r="M762" i="15"/>
  <c r="N762" i="15"/>
  <c r="O762" i="15"/>
  <c r="P762" i="15"/>
  <c r="Z762" i="13"/>
  <c r="B661" i="15"/>
  <c r="AA661" i="13" s="1"/>
  <c r="C661" i="15"/>
  <c r="AB661" i="13" s="1"/>
  <c r="D661" i="15"/>
  <c r="AC661" i="13" s="1"/>
  <c r="E661" i="15"/>
  <c r="F661" i="15"/>
  <c r="G661" i="15"/>
  <c r="H661" i="15"/>
  <c r="I661" i="15"/>
  <c r="J661" i="15"/>
  <c r="K661" i="15"/>
  <c r="L661" i="15"/>
  <c r="M661" i="15"/>
  <c r="N661" i="15"/>
  <c r="O661" i="15"/>
  <c r="P661" i="15"/>
  <c r="Z661" i="13"/>
  <c r="B93" i="15"/>
  <c r="AA93" i="13" s="1"/>
  <c r="C93" i="15"/>
  <c r="AB93" i="13" s="1"/>
  <c r="D93" i="15"/>
  <c r="AC93" i="13" s="1"/>
  <c r="E93" i="15"/>
  <c r="F93" i="15"/>
  <c r="G93" i="15"/>
  <c r="H93" i="15"/>
  <c r="I93" i="15"/>
  <c r="J93" i="15"/>
  <c r="K93" i="15"/>
  <c r="L93" i="15"/>
  <c r="M93" i="15"/>
  <c r="N93" i="15"/>
  <c r="O93" i="15"/>
  <c r="P93" i="15"/>
  <c r="Z93" i="13"/>
  <c r="B82" i="15"/>
  <c r="AA82" i="13" s="1"/>
  <c r="C82" i="15"/>
  <c r="AB82" i="13" s="1"/>
  <c r="D82" i="15"/>
  <c r="AC82" i="13" s="1"/>
  <c r="E82" i="15"/>
  <c r="F82" i="15"/>
  <c r="G82" i="15"/>
  <c r="H82" i="15"/>
  <c r="I82" i="15"/>
  <c r="J82" i="15"/>
  <c r="K82" i="15"/>
  <c r="L82" i="15"/>
  <c r="M82" i="15"/>
  <c r="N82" i="15"/>
  <c r="O82" i="15"/>
  <c r="P82" i="15"/>
  <c r="Z82" i="13"/>
  <c r="C58" i="15"/>
  <c r="AB58" i="13" s="1"/>
  <c r="G58" i="15"/>
  <c r="O58" i="15"/>
  <c r="I58" i="15"/>
  <c r="K58" i="15"/>
  <c r="L58" i="15"/>
  <c r="N58" i="15"/>
  <c r="B58" i="15"/>
  <c r="AA58" i="13" s="1"/>
  <c r="D58" i="15"/>
  <c r="AC58" i="13" s="1"/>
  <c r="E58" i="15"/>
  <c r="F58" i="15"/>
  <c r="H58" i="15"/>
  <c r="J58" i="15"/>
  <c r="M58" i="15"/>
  <c r="P58" i="15"/>
  <c r="Z58" i="13"/>
  <c r="B16" i="15"/>
  <c r="AA16" i="13" s="1"/>
  <c r="C16" i="15"/>
  <c r="AB16" i="13" s="1"/>
  <c r="D16" i="15"/>
  <c r="AC16" i="13" s="1"/>
  <c r="E16" i="15"/>
  <c r="F16" i="15"/>
  <c r="G16" i="15"/>
  <c r="H16" i="15"/>
  <c r="I16" i="15"/>
  <c r="J16" i="15"/>
  <c r="K16" i="15"/>
  <c r="L16" i="15"/>
  <c r="M16" i="15"/>
  <c r="N16" i="15"/>
  <c r="O16" i="15"/>
  <c r="P16" i="15"/>
  <c r="Z16" i="13"/>
  <c r="B11" i="15"/>
  <c r="AA11" i="13" s="1"/>
  <c r="C11" i="15"/>
  <c r="AB11" i="13" s="1"/>
  <c r="D11" i="15"/>
  <c r="AC11" i="13" s="1"/>
  <c r="E11" i="15"/>
  <c r="F11" i="15"/>
  <c r="G11" i="15"/>
  <c r="H11" i="15"/>
  <c r="I11" i="15"/>
  <c r="J11" i="15"/>
  <c r="K11" i="15"/>
  <c r="L11" i="15"/>
  <c r="M11" i="15"/>
  <c r="N11" i="15"/>
  <c r="O11" i="15"/>
  <c r="P11" i="15"/>
  <c r="Z11" i="13"/>
  <c r="B460" i="15"/>
  <c r="AA460" i="13" s="1"/>
  <c r="G460" i="15"/>
  <c r="I460" i="15"/>
  <c r="K460" i="15"/>
  <c r="M460" i="15"/>
  <c r="P460" i="15"/>
  <c r="Z460" i="13"/>
  <c r="D460" i="15"/>
  <c r="AC460" i="13" s="1"/>
  <c r="F460" i="15"/>
  <c r="J460" i="15"/>
  <c r="L460" i="15"/>
  <c r="N460" i="15"/>
  <c r="O460" i="15"/>
  <c r="C460" i="15"/>
  <c r="AB460" i="13" s="1"/>
  <c r="E460" i="15"/>
  <c r="H460" i="15"/>
  <c r="C500" i="15"/>
  <c r="AB500" i="13" s="1"/>
  <c r="F500" i="15"/>
  <c r="H500" i="15"/>
  <c r="J500" i="15"/>
  <c r="L500" i="15"/>
  <c r="P500" i="15"/>
  <c r="Z500" i="13"/>
  <c r="B500" i="15"/>
  <c r="AA500" i="13" s="1"/>
  <c r="D500" i="15"/>
  <c r="AC500" i="13" s="1"/>
  <c r="E500" i="15"/>
  <c r="M500" i="15"/>
  <c r="G500" i="15"/>
  <c r="I500" i="15"/>
  <c r="K500" i="15"/>
  <c r="N500" i="15"/>
  <c r="O500" i="15"/>
  <c r="D483" i="15"/>
  <c r="AC483" i="13" s="1"/>
  <c r="F483" i="15"/>
  <c r="O483" i="15"/>
  <c r="Z483" i="13"/>
  <c r="B483" i="15"/>
  <c r="AA483" i="13" s="1"/>
  <c r="E483" i="15"/>
  <c r="G483" i="15"/>
  <c r="I483" i="15"/>
  <c r="M483" i="15"/>
  <c r="N483" i="15"/>
  <c r="C483" i="15"/>
  <c r="AB483" i="13" s="1"/>
  <c r="L483" i="15"/>
  <c r="P483" i="15"/>
  <c r="H483" i="15"/>
  <c r="J483" i="15"/>
  <c r="K483" i="15"/>
  <c r="E481" i="15"/>
  <c r="J481" i="15"/>
  <c r="Z481" i="13"/>
  <c r="G481" i="15"/>
  <c r="L481" i="15"/>
  <c r="O481" i="15"/>
  <c r="B481" i="15"/>
  <c r="AA481" i="13" s="1"/>
  <c r="H481" i="15"/>
  <c r="I481" i="15"/>
  <c r="K481" i="15"/>
  <c r="C481" i="15"/>
  <c r="AB481" i="13" s="1"/>
  <c r="D481" i="15"/>
  <c r="AC481" i="13" s="1"/>
  <c r="F481" i="15"/>
  <c r="M481" i="15"/>
  <c r="N481" i="15"/>
  <c r="P481" i="15"/>
  <c r="D479" i="15"/>
  <c r="AC479" i="13" s="1"/>
  <c r="G479" i="15"/>
  <c r="I479" i="15"/>
  <c r="O479" i="15"/>
  <c r="Z479" i="13"/>
  <c r="B479" i="15"/>
  <c r="AA479" i="13" s="1"/>
  <c r="F479" i="15"/>
  <c r="H479" i="15"/>
  <c r="J479" i="15"/>
  <c r="K479" i="15"/>
  <c r="N479" i="15"/>
  <c r="C479" i="15"/>
  <c r="AB479" i="13" s="1"/>
  <c r="E479" i="15"/>
  <c r="L479" i="15"/>
  <c r="M479" i="15"/>
  <c r="P479" i="15"/>
  <c r="C475" i="15"/>
  <c r="AB475" i="13" s="1"/>
  <c r="H475" i="15"/>
  <c r="M475" i="15"/>
  <c r="Z475" i="13"/>
  <c r="D475" i="15"/>
  <c r="AC475" i="13" s="1"/>
  <c r="E475" i="15"/>
  <c r="F475" i="15"/>
  <c r="I475" i="15"/>
  <c r="L475" i="15"/>
  <c r="P475" i="15"/>
  <c r="K475" i="15"/>
  <c r="B475" i="15"/>
  <c r="AA475" i="13" s="1"/>
  <c r="G475" i="15"/>
  <c r="J475" i="15"/>
  <c r="N475" i="15"/>
  <c r="O475" i="15"/>
  <c r="C471" i="15"/>
  <c r="AB471" i="13" s="1"/>
  <c r="H471" i="15"/>
  <c r="L471" i="15"/>
  <c r="O471" i="15"/>
  <c r="Z471" i="13"/>
  <c r="K471" i="15"/>
  <c r="P471" i="15"/>
  <c r="E471" i="15"/>
  <c r="G471" i="15"/>
  <c r="I471" i="15"/>
  <c r="J471" i="15"/>
  <c r="M471" i="15"/>
  <c r="B471" i="15"/>
  <c r="AA471" i="13" s="1"/>
  <c r="D471" i="15"/>
  <c r="AC471" i="13" s="1"/>
  <c r="F471" i="15"/>
  <c r="N471" i="15"/>
  <c r="C467" i="15"/>
  <c r="AB467" i="13" s="1"/>
  <c r="E467" i="15"/>
  <c r="I467" i="15"/>
  <c r="M467" i="15"/>
  <c r="P467" i="15"/>
  <c r="Z467" i="13"/>
  <c r="D467" i="15"/>
  <c r="AC467" i="13" s="1"/>
  <c r="F467" i="15"/>
  <c r="H467" i="15"/>
  <c r="K467" i="15"/>
  <c r="O467" i="15"/>
  <c r="G467" i="15"/>
  <c r="L467" i="15"/>
  <c r="B467" i="15"/>
  <c r="AA467" i="13" s="1"/>
  <c r="J467" i="15"/>
  <c r="N467" i="15"/>
  <c r="E466" i="15"/>
  <c r="Z466" i="13"/>
  <c r="B466" i="15"/>
  <c r="AA466" i="13" s="1"/>
  <c r="H466" i="15"/>
  <c r="K466" i="15"/>
  <c r="L466" i="15"/>
  <c r="O466" i="15"/>
  <c r="P466" i="15"/>
  <c r="G466" i="15"/>
  <c r="J466" i="15"/>
  <c r="N466" i="15"/>
  <c r="C466" i="15"/>
  <c r="AB466" i="13" s="1"/>
  <c r="D466" i="15"/>
  <c r="AC466" i="13" s="1"/>
  <c r="F466" i="15"/>
  <c r="I466" i="15"/>
  <c r="M466" i="15"/>
  <c r="Z465" i="13"/>
  <c r="C465" i="15"/>
  <c r="AB465" i="13" s="1"/>
  <c r="D465" i="15"/>
  <c r="AC465" i="13" s="1"/>
  <c r="F465" i="15"/>
  <c r="H465" i="15"/>
  <c r="I465" i="15"/>
  <c r="J465" i="15"/>
  <c r="M465" i="15"/>
  <c r="O465" i="15"/>
  <c r="B465" i="15"/>
  <c r="AA465" i="13" s="1"/>
  <c r="E465" i="15"/>
  <c r="G465" i="15"/>
  <c r="K465" i="15"/>
  <c r="L465" i="15"/>
  <c r="N465" i="15"/>
  <c r="P465" i="15"/>
  <c r="D463" i="15"/>
  <c r="AC463" i="13" s="1"/>
  <c r="F463" i="15"/>
  <c r="Z463" i="13"/>
  <c r="C463" i="15"/>
  <c r="AB463" i="13" s="1"/>
  <c r="E463" i="15"/>
  <c r="H463" i="15"/>
  <c r="I463" i="15"/>
  <c r="M463" i="15"/>
  <c r="O463" i="15"/>
  <c r="P463" i="15"/>
  <c r="B463" i="15"/>
  <c r="AA463" i="13" s="1"/>
  <c r="G463" i="15"/>
  <c r="J463" i="15"/>
  <c r="K463" i="15"/>
  <c r="L463" i="15"/>
  <c r="N463" i="15"/>
  <c r="B767" i="15"/>
  <c r="AA767" i="13" s="1"/>
  <c r="C767" i="15"/>
  <c r="AB767" i="13" s="1"/>
  <c r="D767" i="15"/>
  <c r="AC767" i="13" s="1"/>
  <c r="E767" i="15"/>
  <c r="F767" i="15"/>
  <c r="G767" i="15"/>
  <c r="H767" i="15"/>
  <c r="I767" i="15"/>
  <c r="J767" i="15"/>
  <c r="K767" i="15"/>
  <c r="L767" i="15"/>
  <c r="M767" i="15"/>
  <c r="N767" i="15"/>
  <c r="O767" i="15"/>
  <c r="P767" i="15"/>
  <c r="Z767" i="13"/>
  <c r="B763" i="15"/>
  <c r="AA763" i="13" s="1"/>
  <c r="C763" i="15"/>
  <c r="AB763" i="13" s="1"/>
  <c r="D763" i="15"/>
  <c r="AC763" i="13" s="1"/>
  <c r="E763" i="15"/>
  <c r="F763" i="15"/>
  <c r="G763" i="15"/>
  <c r="H763" i="15"/>
  <c r="I763" i="15"/>
  <c r="J763" i="15"/>
  <c r="K763" i="15"/>
  <c r="L763" i="15"/>
  <c r="M763" i="15"/>
  <c r="N763" i="15"/>
  <c r="O763" i="15"/>
  <c r="P763" i="15"/>
  <c r="Z763" i="13"/>
  <c r="B761" i="15"/>
  <c r="AA761" i="13" s="1"/>
  <c r="C761" i="15"/>
  <c r="AB761" i="13" s="1"/>
  <c r="D761" i="15"/>
  <c r="AC761" i="13" s="1"/>
  <c r="E761" i="15"/>
  <c r="F761" i="15"/>
  <c r="G761" i="15"/>
  <c r="H761" i="15"/>
  <c r="I761" i="15"/>
  <c r="J761" i="15"/>
  <c r="K761" i="15"/>
  <c r="L761" i="15"/>
  <c r="M761" i="15"/>
  <c r="N761" i="15"/>
  <c r="O761" i="15"/>
  <c r="P761" i="15"/>
  <c r="Z761" i="13"/>
  <c r="B757" i="15"/>
  <c r="AA757" i="13" s="1"/>
  <c r="C757" i="15"/>
  <c r="AB757" i="13" s="1"/>
  <c r="D757" i="15"/>
  <c r="AC757" i="13" s="1"/>
  <c r="E757" i="15"/>
  <c r="F757" i="15"/>
  <c r="G757" i="15"/>
  <c r="H757" i="15"/>
  <c r="I757" i="15"/>
  <c r="J757" i="15"/>
  <c r="K757" i="15"/>
  <c r="L757" i="15"/>
  <c r="M757" i="15"/>
  <c r="N757" i="15"/>
  <c r="O757" i="15"/>
  <c r="P757" i="15"/>
  <c r="Z757" i="13"/>
  <c r="B754" i="15"/>
  <c r="AA754" i="13" s="1"/>
  <c r="C754" i="15"/>
  <c r="AB754" i="13" s="1"/>
  <c r="D754" i="15"/>
  <c r="AC754" i="13" s="1"/>
  <c r="E754" i="15"/>
  <c r="F754" i="15"/>
  <c r="G754" i="15"/>
  <c r="H754" i="15"/>
  <c r="I754" i="15"/>
  <c r="J754" i="15"/>
  <c r="K754" i="15"/>
  <c r="L754" i="15"/>
  <c r="M754" i="15"/>
  <c r="N754" i="15"/>
  <c r="O754" i="15"/>
  <c r="P754" i="15"/>
  <c r="Z754" i="13"/>
  <c r="B662" i="15"/>
  <c r="AA662" i="13" s="1"/>
  <c r="C662" i="15"/>
  <c r="AB662" i="13" s="1"/>
  <c r="D662" i="15"/>
  <c r="AC662" i="13" s="1"/>
  <c r="E662" i="15"/>
  <c r="F662" i="15"/>
  <c r="G662" i="15"/>
  <c r="H662" i="15"/>
  <c r="I662" i="15"/>
  <c r="J662" i="15"/>
  <c r="K662" i="15"/>
  <c r="L662" i="15"/>
  <c r="M662" i="15"/>
  <c r="N662" i="15"/>
  <c r="O662" i="15"/>
  <c r="P662" i="15"/>
  <c r="Z662" i="13"/>
  <c r="B660" i="15"/>
  <c r="AA660" i="13" s="1"/>
  <c r="C660" i="15"/>
  <c r="AB660" i="13" s="1"/>
  <c r="D660" i="15"/>
  <c r="AC660" i="13" s="1"/>
  <c r="E660" i="15"/>
  <c r="F660" i="15"/>
  <c r="G660" i="15"/>
  <c r="H660" i="15"/>
  <c r="I660" i="15"/>
  <c r="J660" i="15"/>
  <c r="K660" i="15"/>
  <c r="L660" i="15"/>
  <c r="M660" i="15"/>
  <c r="N660" i="15"/>
  <c r="O660" i="15"/>
  <c r="P660" i="15"/>
  <c r="Z660" i="13"/>
  <c r="B655" i="15"/>
  <c r="AA655" i="13" s="1"/>
  <c r="C655" i="15"/>
  <c r="AB655" i="13" s="1"/>
  <c r="D655" i="15"/>
  <c r="AC655" i="13" s="1"/>
  <c r="E655" i="15"/>
  <c r="F655" i="15"/>
  <c r="G655" i="15"/>
  <c r="H655" i="15"/>
  <c r="I655" i="15"/>
  <c r="J655" i="15"/>
  <c r="K655" i="15"/>
  <c r="L655" i="15"/>
  <c r="M655" i="15"/>
  <c r="N655" i="15"/>
  <c r="O655" i="15"/>
  <c r="P655" i="15"/>
  <c r="Z655" i="13"/>
  <c r="B652" i="15"/>
  <c r="AA652" i="13" s="1"/>
  <c r="C652" i="15"/>
  <c r="AB652" i="13" s="1"/>
  <c r="D652" i="15"/>
  <c r="AC652" i="13" s="1"/>
  <c r="E652" i="15"/>
  <c r="F652" i="15"/>
  <c r="G652" i="15"/>
  <c r="H652" i="15"/>
  <c r="I652" i="15"/>
  <c r="J652" i="15"/>
  <c r="K652" i="15"/>
  <c r="L652" i="15"/>
  <c r="M652" i="15"/>
  <c r="N652" i="15"/>
  <c r="O652" i="15"/>
  <c r="P652" i="15"/>
  <c r="Z652" i="13"/>
  <c r="B649" i="15"/>
  <c r="AA649" i="13" s="1"/>
  <c r="C649" i="15"/>
  <c r="AB649" i="13" s="1"/>
  <c r="D649" i="15"/>
  <c r="AC649" i="13" s="1"/>
  <c r="E649" i="15"/>
  <c r="F649" i="15"/>
  <c r="G649" i="15"/>
  <c r="H649" i="15"/>
  <c r="I649" i="15"/>
  <c r="J649" i="15"/>
  <c r="K649" i="15"/>
  <c r="L649" i="15"/>
  <c r="M649" i="15"/>
  <c r="N649" i="15"/>
  <c r="O649" i="15"/>
  <c r="P649" i="15"/>
  <c r="Z649" i="13"/>
  <c r="B644" i="15"/>
  <c r="AA644" i="13" s="1"/>
  <c r="C644" i="15"/>
  <c r="AB644" i="13" s="1"/>
  <c r="D644" i="15"/>
  <c r="AC644" i="13" s="1"/>
  <c r="E644" i="15"/>
  <c r="F644" i="15"/>
  <c r="G644" i="15"/>
  <c r="H644" i="15"/>
  <c r="I644" i="15"/>
  <c r="J644" i="15"/>
  <c r="K644" i="15"/>
  <c r="L644" i="15"/>
  <c r="M644" i="15"/>
  <c r="N644" i="15"/>
  <c r="O644" i="15"/>
  <c r="P644" i="15"/>
  <c r="Z644" i="13"/>
  <c r="B640" i="15"/>
  <c r="AA640" i="13" s="1"/>
  <c r="C640" i="15"/>
  <c r="AB640" i="13" s="1"/>
  <c r="D640" i="15"/>
  <c r="AC640" i="13" s="1"/>
  <c r="E640" i="15"/>
  <c r="F640" i="15"/>
  <c r="G640" i="15"/>
  <c r="H640" i="15"/>
  <c r="I640" i="15"/>
  <c r="J640" i="15"/>
  <c r="K640" i="15"/>
  <c r="L640" i="15"/>
  <c r="M640" i="15"/>
  <c r="N640" i="15"/>
  <c r="O640" i="15"/>
  <c r="P640" i="15"/>
  <c r="Z640" i="13"/>
  <c r="B637" i="15"/>
  <c r="AA637" i="13" s="1"/>
  <c r="C637" i="15"/>
  <c r="AB637" i="13" s="1"/>
  <c r="D637" i="15"/>
  <c r="AC637" i="13" s="1"/>
  <c r="E637" i="15"/>
  <c r="F637" i="15"/>
  <c r="G637" i="15"/>
  <c r="H637" i="15"/>
  <c r="I637" i="15"/>
  <c r="J637" i="15"/>
  <c r="K637" i="15"/>
  <c r="L637" i="15"/>
  <c r="M637" i="15"/>
  <c r="N637" i="15"/>
  <c r="O637" i="15"/>
  <c r="P637" i="15"/>
  <c r="Z637" i="13"/>
  <c r="B633" i="15"/>
  <c r="AA633" i="13" s="1"/>
  <c r="C633" i="15"/>
  <c r="AB633" i="13" s="1"/>
  <c r="D633" i="15"/>
  <c r="AC633" i="13" s="1"/>
  <c r="E633" i="15"/>
  <c r="F633" i="15"/>
  <c r="G633" i="15"/>
  <c r="H633" i="15"/>
  <c r="I633" i="15"/>
  <c r="J633" i="15"/>
  <c r="K633" i="15"/>
  <c r="L633" i="15"/>
  <c r="M633" i="15"/>
  <c r="N633" i="15"/>
  <c r="O633" i="15"/>
  <c r="P633" i="15"/>
  <c r="Z633" i="13"/>
  <c r="B629" i="15"/>
  <c r="AA629" i="13" s="1"/>
  <c r="C629" i="15"/>
  <c r="AB629" i="13" s="1"/>
  <c r="D629" i="15"/>
  <c r="AC629" i="13" s="1"/>
  <c r="E629" i="15"/>
  <c r="F629" i="15"/>
  <c r="G629" i="15"/>
  <c r="H629" i="15"/>
  <c r="I629" i="15"/>
  <c r="J629" i="15"/>
  <c r="K629" i="15"/>
  <c r="L629" i="15"/>
  <c r="M629" i="15"/>
  <c r="N629" i="15"/>
  <c r="O629" i="15"/>
  <c r="P629" i="15"/>
  <c r="Z629" i="13"/>
  <c r="B624" i="15"/>
  <c r="AA624" i="13" s="1"/>
  <c r="C624" i="15"/>
  <c r="AB624" i="13" s="1"/>
  <c r="D624" i="15"/>
  <c r="AC624" i="13" s="1"/>
  <c r="E624" i="15"/>
  <c r="F624" i="15"/>
  <c r="G624" i="15"/>
  <c r="H624" i="15"/>
  <c r="I624" i="15"/>
  <c r="J624" i="15"/>
  <c r="K624" i="15"/>
  <c r="L624" i="15"/>
  <c r="M624" i="15"/>
  <c r="N624" i="15"/>
  <c r="O624" i="15"/>
  <c r="P624" i="15"/>
  <c r="Z624" i="13"/>
  <c r="B621" i="15"/>
  <c r="AA621" i="13" s="1"/>
  <c r="C621" i="15"/>
  <c r="AB621" i="13" s="1"/>
  <c r="D621" i="15"/>
  <c r="AC621" i="13" s="1"/>
  <c r="E621" i="15"/>
  <c r="F621" i="15"/>
  <c r="G621" i="15"/>
  <c r="H621" i="15"/>
  <c r="I621" i="15"/>
  <c r="J621" i="15"/>
  <c r="K621" i="15"/>
  <c r="L621" i="15"/>
  <c r="M621" i="15"/>
  <c r="N621" i="15"/>
  <c r="O621" i="15"/>
  <c r="P621" i="15"/>
  <c r="Z621" i="13"/>
  <c r="B617" i="15"/>
  <c r="AA617" i="13" s="1"/>
  <c r="C617" i="15"/>
  <c r="AB617" i="13" s="1"/>
  <c r="D617" i="15"/>
  <c r="AC617" i="13" s="1"/>
  <c r="E617" i="15"/>
  <c r="F617" i="15"/>
  <c r="G617" i="15"/>
  <c r="H617" i="15"/>
  <c r="I617" i="15"/>
  <c r="J617" i="15"/>
  <c r="K617" i="15"/>
  <c r="L617" i="15"/>
  <c r="M617" i="15"/>
  <c r="N617" i="15"/>
  <c r="O617" i="15"/>
  <c r="P617" i="15"/>
  <c r="Z617" i="13"/>
  <c r="B613" i="15"/>
  <c r="AA613" i="13" s="1"/>
  <c r="C613" i="15"/>
  <c r="AB613" i="13" s="1"/>
  <c r="D613" i="15"/>
  <c r="AC613" i="13" s="1"/>
  <c r="E613" i="15"/>
  <c r="F613" i="15"/>
  <c r="G613" i="15"/>
  <c r="H613" i="15"/>
  <c r="I613" i="15"/>
  <c r="J613" i="15"/>
  <c r="K613" i="15"/>
  <c r="L613" i="15"/>
  <c r="M613" i="15"/>
  <c r="N613" i="15"/>
  <c r="O613" i="15"/>
  <c r="P613" i="15"/>
  <c r="Z613" i="13"/>
  <c r="B309" i="15"/>
  <c r="AA309" i="13" s="1"/>
  <c r="C309" i="15"/>
  <c r="AB309" i="13" s="1"/>
  <c r="D309" i="15"/>
  <c r="AC309" i="13" s="1"/>
  <c r="E309" i="15"/>
  <c r="F309" i="15"/>
  <c r="G309" i="15"/>
  <c r="H309" i="15"/>
  <c r="I309" i="15"/>
  <c r="J309" i="15"/>
  <c r="K309" i="15"/>
  <c r="L309" i="15"/>
  <c r="M309" i="15"/>
  <c r="N309" i="15"/>
  <c r="O309" i="15"/>
  <c r="P309" i="15"/>
  <c r="Z309" i="13"/>
  <c r="B138" i="15"/>
  <c r="AA138" i="13" s="1"/>
  <c r="C138" i="15"/>
  <c r="AB138" i="13" s="1"/>
  <c r="D138" i="15"/>
  <c r="AC138" i="13" s="1"/>
  <c r="E138" i="15"/>
  <c r="F138" i="15"/>
  <c r="G138" i="15"/>
  <c r="H138" i="15"/>
  <c r="I138" i="15"/>
  <c r="J138" i="15"/>
  <c r="K138" i="15"/>
  <c r="L138" i="15"/>
  <c r="M138" i="15"/>
  <c r="N138" i="15"/>
  <c r="O138" i="15"/>
  <c r="P138" i="15"/>
  <c r="Z138" i="13"/>
  <c r="B134" i="15"/>
  <c r="AA134" i="13" s="1"/>
  <c r="C134" i="15"/>
  <c r="AB134" i="13" s="1"/>
  <c r="D134" i="15"/>
  <c r="AC134" i="13" s="1"/>
  <c r="E134" i="15"/>
  <c r="F134" i="15"/>
  <c r="G134" i="15"/>
  <c r="H134" i="15"/>
  <c r="I134" i="15"/>
  <c r="J134" i="15"/>
  <c r="K134" i="15"/>
  <c r="L134" i="15"/>
  <c r="M134" i="15"/>
  <c r="N134" i="15"/>
  <c r="O134" i="15"/>
  <c r="P134" i="15"/>
  <c r="Z134" i="13"/>
  <c r="B130" i="15"/>
  <c r="AA130" i="13" s="1"/>
  <c r="C130" i="15"/>
  <c r="AB130" i="13" s="1"/>
  <c r="D130" i="15"/>
  <c r="AC130" i="13" s="1"/>
  <c r="E130" i="15"/>
  <c r="F130" i="15"/>
  <c r="G130" i="15"/>
  <c r="H130" i="15"/>
  <c r="I130" i="15"/>
  <c r="J130" i="15"/>
  <c r="K130" i="15"/>
  <c r="L130" i="15"/>
  <c r="M130" i="15"/>
  <c r="N130" i="15"/>
  <c r="O130" i="15"/>
  <c r="P130" i="15"/>
  <c r="Z130" i="13"/>
  <c r="B127" i="15"/>
  <c r="AA127" i="13" s="1"/>
  <c r="C127" i="15"/>
  <c r="AB127" i="13" s="1"/>
  <c r="D127" i="15"/>
  <c r="AC127" i="13" s="1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Z127" i="13"/>
  <c r="B124" i="15"/>
  <c r="AA124" i="13" s="1"/>
  <c r="C124" i="15"/>
  <c r="AB124" i="13" s="1"/>
  <c r="D124" i="15"/>
  <c r="AC124" i="13" s="1"/>
  <c r="E124" i="15"/>
  <c r="F124" i="15"/>
  <c r="G124" i="15"/>
  <c r="H124" i="15"/>
  <c r="I124" i="15"/>
  <c r="J124" i="15"/>
  <c r="K124" i="15"/>
  <c r="L124" i="15"/>
  <c r="M124" i="15"/>
  <c r="N124" i="15"/>
  <c r="O124" i="15"/>
  <c r="P124" i="15"/>
  <c r="Z124" i="13"/>
  <c r="B120" i="15"/>
  <c r="AA120" i="13" s="1"/>
  <c r="C120" i="15"/>
  <c r="AB120" i="13" s="1"/>
  <c r="D120" i="15"/>
  <c r="AC120" i="13" s="1"/>
  <c r="E120" i="15"/>
  <c r="F120" i="15"/>
  <c r="G120" i="15"/>
  <c r="H120" i="15"/>
  <c r="I120" i="15"/>
  <c r="J120" i="15"/>
  <c r="K120" i="15"/>
  <c r="L120" i="15"/>
  <c r="M120" i="15"/>
  <c r="N120" i="15"/>
  <c r="O120" i="15"/>
  <c r="P120" i="15"/>
  <c r="Z120" i="13"/>
  <c r="B116" i="15"/>
  <c r="AA116" i="13" s="1"/>
  <c r="C116" i="15"/>
  <c r="AB116" i="13" s="1"/>
  <c r="D116" i="15"/>
  <c r="AC116" i="13" s="1"/>
  <c r="E116" i="15"/>
  <c r="F116" i="15"/>
  <c r="G116" i="15"/>
  <c r="H116" i="15"/>
  <c r="I116" i="15"/>
  <c r="J116" i="15"/>
  <c r="K116" i="15"/>
  <c r="L116" i="15"/>
  <c r="M116" i="15"/>
  <c r="N116" i="15"/>
  <c r="O116" i="15"/>
  <c r="P116" i="15"/>
  <c r="Z116" i="13"/>
  <c r="B112" i="15"/>
  <c r="AA112" i="13" s="1"/>
  <c r="C112" i="15"/>
  <c r="AB112" i="13" s="1"/>
  <c r="D112" i="15"/>
  <c r="AC112" i="13" s="1"/>
  <c r="E112" i="15"/>
  <c r="F112" i="15"/>
  <c r="G112" i="15"/>
  <c r="H112" i="15"/>
  <c r="I112" i="15"/>
  <c r="J112" i="15"/>
  <c r="K112" i="15"/>
  <c r="L112" i="15"/>
  <c r="M112" i="15"/>
  <c r="N112" i="15"/>
  <c r="O112" i="15"/>
  <c r="P112" i="15"/>
  <c r="Z112" i="13"/>
  <c r="B108" i="15"/>
  <c r="AA108" i="13" s="1"/>
  <c r="C108" i="15"/>
  <c r="AB108" i="13" s="1"/>
  <c r="D108" i="15"/>
  <c r="AC108" i="13" s="1"/>
  <c r="E108" i="15"/>
  <c r="F108" i="15"/>
  <c r="G108" i="15"/>
  <c r="H108" i="15"/>
  <c r="I108" i="15"/>
  <c r="J108" i="15"/>
  <c r="K108" i="15"/>
  <c r="L108" i="15"/>
  <c r="M108" i="15"/>
  <c r="N108" i="15"/>
  <c r="O108" i="15"/>
  <c r="P108" i="15"/>
  <c r="Z108" i="13"/>
  <c r="B103" i="15"/>
  <c r="AA103" i="13" s="1"/>
  <c r="C103" i="15"/>
  <c r="AB103" i="13" s="1"/>
  <c r="D103" i="15"/>
  <c r="AC103" i="13" s="1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Z103" i="13"/>
  <c r="B100" i="15"/>
  <c r="AA100" i="13" s="1"/>
  <c r="C100" i="15"/>
  <c r="AB100" i="13" s="1"/>
  <c r="D100" i="15"/>
  <c r="AC100" i="13" s="1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Z100" i="13"/>
  <c r="C963" i="15"/>
  <c r="AB963" i="13" s="1"/>
  <c r="E963" i="15"/>
  <c r="G963" i="15"/>
  <c r="J963" i="15"/>
  <c r="L963" i="15"/>
  <c r="M963" i="15"/>
  <c r="N963" i="15"/>
  <c r="O963" i="15"/>
  <c r="P963" i="15"/>
  <c r="B963" i="15"/>
  <c r="AA963" i="13" s="1"/>
  <c r="D963" i="15"/>
  <c r="AC963" i="13" s="1"/>
  <c r="F963" i="15"/>
  <c r="H963" i="15"/>
  <c r="I963" i="15"/>
  <c r="K963" i="15"/>
  <c r="Z963" i="13"/>
  <c r="B600" i="15"/>
  <c r="AA600" i="13" s="1"/>
  <c r="C600" i="15"/>
  <c r="AB600" i="13" s="1"/>
  <c r="D600" i="15"/>
  <c r="AC600" i="13" s="1"/>
  <c r="E600" i="15"/>
  <c r="F600" i="15"/>
  <c r="G600" i="15"/>
  <c r="H600" i="15"/>
  <c r="I600" i="15"/>
  <c r="J600" i="15"/>
  <c r="K600" i="15"/>
  <c r="L600" i="15"/>
  <c r="M600" i="15"/>
  <c r="N600" i="15"/>
  <c r="O600" i="15"/>
  <c r="P600" i="15"/>
  <c r="Z600" i="13"/>
  <c r="B961" i="15"/>
  <c r="AA961" i="13" s="1"/>
  <c r="D961" i="15"/>
  <c r="AC961" i="13" s="1"/>
  <c r="G961" i="15"/>
  <c r="C961" i="15"/>
  <c r="AB961" i="13" s="1"/>
  <c r="E961" i="15"/>
  <c r="F961" i="15"/>
  <c r="H961" i="15"/>
  <c r="I961" i="15"/>
  <c r="J961" i="15"/>
  <c r="K961" i="15"/>
  <c r="L961" i="15"/>
  <c r="M961" i="15"/>
  <c r="N961" i="15"/>
  <c r="O961" i="15"/>
  <c r="P961" i="15"/>
  <c r="Z961" i="13"/>
  <c r="B583" i="15"/>
  <c r="AA583" i="13" s="1"/>
  <c r="C583" i="15"/>
  <c r="AB583" i="13" s="1"/>
  <c r="D583" i="15"/>
  <c r="AC583" i="13" s="1"/>
  <c r="E583" i="15"/>
  <c r="F583" i="15"/>
  <c r="G583" i="15"/>
  <c r="H583" i="15"/>
  <c r="I583" i="15"/>
  <c r="J583" i="15"/>
  <c r="K583" i="15"/>
  <c r="L583" i="15"/>
  <c r="M583" i="15"/>
  <c r="N583" i="15"/>
  <c r="O583" i="15"/>
  <c r="P583" i="15"/>
  <c r="Z583" i="13"/>
  <c r="B578" i="15"/>
  <c r="AA578" i="13" s="1"/>
  <c r="C578" i="15"/>
  <c r="AB578" i="13" s="1"/>
  <c r="D578" i="15"/>
  <c r="AC578" i="13" s="1"/>
  <c r="E578" i="15"/>
  <c r="F578" i="15"/>
  <c r="G578" i="15"/>
  <c r="H578" i="15"/>
  <c r="I578" i="15"/>
  <c r="J578" i="15"/>
  <c r="K578" i="15"/>
  <c r="L578" i="15"/>
  <c r="M578" i="15"/>
  <c r="N578" i="15"/>
  <c r="O578" i="15"/>
  <c r="P578" i="15"/>
  <c r="Z578" i="13"/>
  <c r="B570" i="15"/>
  <c r="AA570" i="13" s="1"/>
  <c r="I570" i="15"/>
  <c r="J570" i="15"/>
  <c r="N570" i="15"/>
  <c r="O570" i="15"/>
  <c r="D570" i="15"/>
  <c r="AC570" i="13" s="1"/>
  <c r="E570" i="15"/>
  <c r="F570" i="15"/>
  <c r="H570" i="15"/>
  <c r="K570" i="15"/>
  <c r="L570" i="15"/>
  <c r="M570" i="15"/>
  <c r="P570" i="15"/>
  <c r="C570" i="15"/>
  <c r="AB570" i="13" s="1"/>
  <c r="G570" i="15"/>
  <c r="Z570" i="13"/>
  <c r="D556" i="15"/>
  <c r="AC556" i="13" s="1"/>
  <c r="E556" i="15"/>
  <c r="F556" i="15"/>
  <c r="G556" i="15"/>
  <c r="H556" i="15"/>
  <c r="J556" i="15"/>
  <c r="K556" i="15"/>
  <c r="L556" i="15"/>
  <c r="M556" i="15"/>
  <c r="N556" i="15"/>
  <c r="O556" i="15"/>
  <c r="P556" i="15"/>
  <c r="B556" i="15"/>
  <c r="AA556" i="13" s="1"/>
  <c r="C556" i="15"/>
  <c r="AB556" i="13" s="1"/>
  <c r="I556" i="15"/>
  <c r="Z556" i="13"/>
  <c r="B538" i="15"/>
  <c r="AA538" i="13" s="1"/>
  <c r="F538" i="15"/>
  <c r="H538" i="15"/>
  <c r="K538" i="15"/>
  <c r="M538" i="15"/>
  <c r="O538" i="15"/>
  <c r="C538" i="15"/>
  <c r="AB538" i="13" s="1"/>
  <c r="D538" i="15"/>
  <c r="AC538" i="13" s="1"/>
  <c r="G538" i="15"/>
  <c r="I538" i="15"/>
  <c r="J538" i="15"/>
  <c r="L538" i="15"/>
  <c r="N538" i="15"/>
  <c r="P538" i="15"/>
  <c r="E538" i="15"/>
  <c r="Z538" i="13"/>
  <c r="B525" i="15"/>
  <c r="AA525" i="13" s="1"/>
  <c r="G525" i="15"/>
  <c r="H525" i="15"/>
  <c r="I525" i="15"/>
  <c r="J525" i="15"/>
  <c r="K525" i="15"/>
  <c r="L525" i="15"/>
  <c r="M525" i="15"/>
  <c r="N525" i="15"/>
  <c r="O525" i="15"/>
  <c r="P525" i="15"/>
  <c r="C525" i="15"/>
  <c r="AB525" i="13" s="1"/>
  <c r="D525" i="15"/>
  <c r="AC525" i="13" s="1"/>
  <c r="E525" i="15"/>
  <c r="F525" i="15"/>
  <c r="Z525" i="13"/>
  <c r="C519" i="15"/>
  <c r="AB519" i="13" s="1"/>
  <c r="D519" i="15"/>
  <c r="AC519" i="13" s="1"/>
  <c r="E519" i="15"/>
  <c r="G519" i="15"/>
  <c r="H519" i="15"/>
  <c r="I519" i="15"/>
  <c r="J519" i="15"/>
  <c r="K519" i="15"/>
  <c r="L519" i="15"/>
  <c r="M519" i="15"/>
  <c r="N519" i="15"/>
  <c r="O519" i="15"/>
  <c r="P519" i="15"/>
  <c r="B519" i="15"/>
  <c r="AA519" i="13" s="1"/>
  <c r="F519" i="15"/>
  <c r="Z519" i="13"/>
  <c r="C509" i="15"/>
  <c r="AB509" i="13" s="1"/>
  <c r="F509" i="15"/>
  <c r="H509" i="15"/>
  <c r="K509" i="15"/>
  <c r="M509" i="15"/>
  <c r="P509" i="15"/>
  <c r="E509" i="15"/>
  <c r="I509" i="15"/>
  <c r="J509" i="15"/>
  <c r="L509" i="15"/>
  <c r="N509" i="15"/>
  <c r="O509" i="15"/>
  <c r="D509" i="15"/>
  <c r="AC509" i="13" s="1"/>
  <c r="G509" i="15"/>
  <c r="B509" i="15"/>
  <c r="AA509" i="13" s="1"/>
  <c r="Z509" i="13"/>
  <c r="B470" i="15"/>
  <c r="AA470" i="13" s="1"/>
  <c r="F470" i="15"/>
  <c r="H470" i="15"/>
  <c r="J470" i="15"/>
  <c r="K470" i="15"/>
  <c r="O470" i="15"/>
  <c r="D470" i="15"/>
  <c r="AC470" i="13" s="1"/>
  <c r="G470" i="15"/>
  <c r="N470" i="15"/>
  <c r="E470" i="15"/>
  <c r="I470" i="15"/>
  <c r="L470" i="15"/>
  <c r="M470" i="15"/>
  <c r="P470" i="15"/>
  <c r="C470" i="15"/>
  <c r="AB470" i="13" s="1"/>
  <c r="Z470" i="13"/>
  <c r="E454" i="15"/>
  <c r="F454" i="15"/>
  <c r="I454" i="15"/>
  <c r="J454" i="15"/>
  <c r="L454" i="15"/>
  <c r="M454" i="15"/>
  <c r="P454" i="15"/>
  <c r="H454" i="15"/>
  <c r="D454" i="15"/>
  <c r="AC454" i="13" s="1"/>
  <c r="K454" i="15"/>
  <c r="B454" i="15"/>
  <c r="AA454" i="13" s="1"/>
  <c r="G454" i="15"/>
  <c r="N454" i="15"/>
  <c r="C454" i="15"/>
  <c r="AB454" i="13" s="1"/>
  <c r="O454" i="15"/>
  <c r="Z454" i="13"/>
  <c r="L66" i="15"/>
  <c r="C66" i="15"/>
  <c r="AB66" i="13" s="1"/>
  <c r="G66" i="15"/>
  <c r="J66" i="15"/>
  <c r="M66" i="15"/>
  <c r="O66" i="15"/>
  <c r="B66" i="15"/>
  <c r="AA66" i="13" s="1"/>
  <c r="D66" i="15"/>
  <c r="AC66" i="13" s="1"/>
  <c r="I66" i="15"/>
  <c r="K66" i="15"/>
  <c r="E66" i="15"/>
  <c r="F66" i="15"/>
  <c r="P66" i="15"/>
  <c r="Z66" i="13"/>
  <c r="H66" i="15"/>
  <c r="N66" i="15"/>
  <c r="B442" i="15"/>
  <c r="AA442" i="13" s="1"/>
  <c r="C442" i="15"/>
  <c r="AB442" i="13" s="1"/>
  <c r="D442" i="15"/>
  <c r="AC442" i="13" s="1"/>
  <c r="E442" i="15"/>
  <c r="F442" i="15"/>
  <c r="G442" i="15"/>
  <c r="H442" i="15"/>
  <c r="I442" i="15"/>
  <c r="J442" i="15"/>
  <c r="K442" i="15"/>
  <c r="L442" i="15"/>
  <c r="M442" i="15"/>
  <c r="N442" i="15"/>
  <c r="P442" i="15"/>
  <c r="O442" i="15"/>
  <c r="Z442" i="13"/>
  <c r="B440" i="15"/>
  <c r="AA440" i="13" s="1"/>
  <c r="C440" i="15"/>
  <c r="AB440" i="13" s="1"/>
  <c r="D440" i="15"/>
  <c r="AC440" i="13" s="1"/>
  <c r="E440" i="15"/>
  <c r="F440" i="15"/>
  <c r="G440" i="15"/>
  <c r="H440" i="15"/>
  <c r="I440" i="15"/>
  <c r="J440" i="15"/>
  <c r="K440" i="15"/>
  <c r="L440" i="15"/>
  <c r="M440" i="15"/>
  <c r="N440" i="15"/>
  <c r="O440" i="15"/>
  <c r="P440" i="15"/>
  <c r="Z440" i="13"/>
  <c r="B332" i="15"/>
  <c r="AA332" i="13" s="1"/>
  <c r="C332" i="15"/>
  <c r="AB332" i="13" s="1"/>
  <c r="D332" i="15"/>
  <c r="AC332" i="13" s="1"/>
  <c r="E332" i="15"/>
  <c r="F332" i="15"/>
  <c r="G332" i="15"/>
  <c r="H332" i="15"/>
  <c r="I332" i="15"/>
  <c r="J332" i="15"/>
  <c r="K332" i="15"/>
  <c r="L332" i="15"/>
  <c r="M332" i="15"/>
  <c r="N332" i="15"/>
  <c r="O332" i="15"/>
  <c r="P332" i="15"/>
  <c r="Z332" i="13"/>
  <c r="B432" i="15"/>
  <c r="AA432" i="13" s="1"/>
  <c r="C432" i="15"/>
  <c r="AB432" i="13" s="1"/>
  <c r="D432" i="15"/>
  <c r="AC432" i="13" s="1"/>
  <c r="E432" i="15"/>
  <c r="F432" i="15"/>
  <c r="G432" i="15"/>
  <c r="H432" i="15"/>
  <c r="I432" i="15"/>
  <c r="J432" i="15"/>
  <c r="K432" i="15"/>
  <c r="L432" i="15"/>
  <c r="M432" i="15"/>
  <c r="N432" i="15"/>
  <c r="O432" i="15"/>
  <c r="P432" i="15"/>
  <c r="Z432" i="13"/>
  <c r="B427" i="15"/>
  <c r="AA427" i="13" s="1"/>
  <c r="C427" i="15"/>
  <c r="AB427" i="13" s="1"/>
  <c r="D427" i="15"/>
  <c r="AC427" i="13" s="1"/>
  <c r="E427" i="15"/>
  <c r="F427" i="15"/>
  <c r="G427" i="15"/>
  <c r="H427" i="15"/>
  <c r="I427" i="15"/>
  <c r="J427" i="15"/>
  <c r="K427" i="15"/>
  <c r="L427" i="15"/>
  <c r="M427" i="15"/>
  <c r="N427" i="15"/>
  <c r="O427" i="15"/>
  <c r="P427" i="15"/>
  <c r="Z427" i="13"/>
  <c r="B422" i="15"/>
  <c r="AA422" i="13" s="1"/>
  <c r="C422" i="15"/>
  <c r="AB422" i="13" s="1"/>
  <c r="D422" i="15"/>
  <c r="AC422" i="13" s="1"/>
  <c r="E422" i="15"/>
  <c r="F422" i="15"/>
  <c r="G422" i="15"/>
  <c r="H422" i="15"/>
  <c r="I422" i="15"/>
  <c r="J422" i="15"/>
  <c r="K422" i="15"/>
  <c r="L422" i="15"/>
  <c r="M422" i="15"/>
  <c r="N422" i="15"/>
  <c r="O422" i="15"/>
  <c r="P422" i="15"/>
  <c r="Z422" i="13"/>
  <c r="B416" i="15"/>
  <c r="AA416" i="13" s="1"/>
  <c r="C416" i="15"/>
  <c r="AB416" i="13" s="1"/>
  <c r="D416" i="15"/>
  <c r="AC416" i="13" s="1"/>
  <c r="E416" i="15"/>
  <c r="F416" i="15"/>
  <c r="G416" i="15"/>
  <c r="H416" i="15"/>
  <c r="I416" i="15"/>
  <c r="J416" i="15"/>
  <c r="K416" i="15"/>
  <c r="L416" i="15"/>
  <c r="M416" i="15"/>
  <c r="N416" i="15"/>
  <c r="O416" i="15"/>
  <c r="P416" i="15"/>
  <c r="Z416" i="13"/>
  <c r="B414" i="15"/>
  <c r="AA414" i="13" s="1"/>
  <c r="C414" i="15"/>
  <c r="AB414" i="13" s="1"/>
  <c r="D414" i="15"/>
  <c r="AC414" i="13" s="1"/>
  <c r="E414" i="15"/>
  <c r="F414" i="15"/>
  <c r="G414" i="15"/>
  <c r="H414" i="15"/>
  <c r="I414" i="15"/>
  <c r="J414" i="15"/>
  <c r="K414" i="15"/>
  <c r="L414" i="15"/>
  <c r="M414" i="15"/>
  <c r="N414" i="15"/>
  <c r="O414" i="15"/>
  <c r="P414" i="15"/>
  <c r="Z414" i="13"/>
  <c r="B410" i="15"/>
  <c r="AA410" i="13" s="1"/>
  <c r="C410" i="15"/>
  <c r="AB410" i="13" s="1"/>
  <c r="D410" i="15"/>
  <c r="AC410" i="13" s="1"/>
  <c r="E410" i="15"/>
  <c r="F410" i="15"/>
  <c r="G410" i="15"/>
  <c r="H410" i="15"/>
  <c r="I410" i="15"/>
  <c r="J410" i="15"/>
  <c r="K410" i="15"/>
  <c r="L410" i="15"/>
  <c r="M410" i="15"/>
  <c r="N410" i="15"/>
  <c r="O410" i="15"/>
  <c r="P410" i="15"/>
  <c r="Z410" i="13"/>
  <c r="B405" i="15"/>
  <c r="AA405" i="13" s="1"/>
  <c r="C405" i="15"/>
  <c r="AB405" i="13" s="1"/>
  <c r="D405" i="15"/>
  <c r="AC405" i="13" s="1"/>
  <c r="E405" i="15"/>
  <c r="F405" i="15"/>
  <c r="G405" i="15"/>
  <c r="H405" i="15"/>
  <c r="I405" i="15"/>
  <c r="J405" i="15"/>
  <c r="K405" i="15"/>
  <c r="L405" i="15"/>
  <c r="M405" i="15"/>
  <c r="N405" i="15"/>
  <c r="O405" i="15"/>
  <c r="P405" i="15"/>
  <c r="Z405" i="13"/>
  <c r="B400" i="15"/>
  <c r="AA400" i="13" s="1"/>
  <c r="C400" i="15"/>
  <c r="AB400" i="13" s="1"/>
  <c r="D400" i="15"/>
  <c r="AC400" i="13" s="1"/>
  <c r="E400" i="15"/>
  <c r="F400" i="15"/>
  <c r="G400" i="15"/>
  <c r="H400" i="15"/>
  <c r="I400" i="15"/>
  <c r="J400" i="15"/>
  <c r="K400" i="15"/>
  <c r="L400" i="15"/>
  <c r="M400" i="15"/>
  <c r="N400" i="15"/>
  <c r="O400" i="15"/>
  <c r="P400" i="15"/>
  <c r="Z400" i="13"/>
  <c r="B396" i="15"/>
  <c r="AA396" i="13" s="1"/>
  <c r="C396" i="15"/>
  <c r="AB396" i="13" s="1"/>
  <c r="D396" i="15"/>
  <c r="AC396" i="13" s="1"/>
  <c r="E396" i="15"/>
  <c r="F396" i="15"/>
  <c r="G396" i="15"/>
  <c r="H396" i="15"/>
  <c r="I396" i="15"/>
  <c r="J396" i="15"/>
  <c r="K396" i="15"/>
  <c r="L396" i="15"/>
  <c r="M396" i="15"/>
  <c r="N396" i="15"/>
  <c r="O396" i="15"/>
  <c r="P396" i="15"/>
  <c r="Z396" i="13"/>
  <c r="B392" i="15"/>
  <c r="AA392" i="13" s="1"/>
  <c r="C392" i="15"/>
  <c r="AB392" i="13" s="1"/>
  <c r="D392" i="15"/>
  <c r="AC392" i="13" s="1"/>
  <c r="E392" i="15"/>
  <c r="F392" i="15"/>
  <c r="G392" i="15"/>
  <c r="H392" i="15"/>
  <c r="I392" i="15"/>
  <c r="J392" i="15"/>
  <c r="K392" i="15"/>
  <c r="L392" i="15"/>
  <c r="M392" i="15"/>
  <c r="N392" i="15"/>
  <c r="O392" i="15"/>
  <c r="P392" i="15"/>
  <c r="Z392" i="13"/>
  <c r="B387" i="15"/>
  <c r="AA387" i="13" s="1"/>
  <c r="C387" i="15"/>
  <c r="AB387" i="13" s="1"/>
  <c r="D387" i="15"/>
  <c r="AC387" i="13" s="1"/>
  <c r="E387" i="15"/>
  <c r="F387" i="15"/>
  <c r="G387" i="15"/>
  <c r="H387" i="15"/>
  <c r="I387" i="15"/>
  <c r="J387" i="15"/>
  <c r="K387" i="15"/>
  <c r="L387" i="15"/>
  <c r="M387" i="15"/>
  <c r="N387" i="15"/>
  <c r="O387" i="15"/>
  <c r="P387" i="15"/>
  <c r="Z387" i="13"/>
  <c r="B383" i="15"/>
  <c r="AA383" i="13" s="1"/>
  <c r="C383" i="15"/>
  <c r="AB383" i="13" s="1"/>
  <c r="D383" i="15"/>
  <c r="AC383" i="13" s="1"/>
  <c r="E383" i="15"/>
  <c r="F383" i="15"/>
  <c r="G383" i="15"/>
  <c r="H383" i="15"/>
  <c r="I383" i="15"/>
  <c r="J383" i="15"/>
  <c r="K383" i="15"/>
  <c r="L383" i="15"/>
  <c r="M383" i="15"/>
  <c r="N383" i="15"/>
  <c r="O383" i="15"/>
  <c r="P383" i="15"/>
  <c r="Z383" i="13"/>
  <c r="B379" i="15"/>
  <c r="AA379" i="13" s="1"/>
  <c r="C379" i="15"/>
  <c r="AB379" i="13" s="1"/>
  <c r="D379" i="15"/>
  <c r="AC379" i="13" s="1"/>
  <c r="E379" i="15"/>
  <c r="F379" i="15"/>
  <c r="G379" i="15"/>
  <c r="H379" i="15"/>
  <c r="I379" i="15"/>
  <c r="J379" i="15"/>
  <c r="K379" i="15"/>
  <c r="L379" i="15"/>
  <c r="M379" i="15"/>
  <c r="N379" i="15"/>
  <c r="O379" i="15"/>
  <c r="P379" i="15"/>
  <c r="Z379" i="13"/>
  <c r="B310" i="15"/>
  <c r="AA310" i="13" s="1"/>
  <c r="C310" i="15"/>
  <c r="AB310" i="13" s="1"/>
  <c r="D310" i="15"/>
  <c r="AC310" i="13" s="1"/>
  <c r="E310" i="15"/>
  <c r="F310" i="15"/>
  <c r="G310" i="15"/>
  <c r="H310" i="15"/>
  <c r="I310" i="15"/>
  <c r="J310" i="15"/>
  <c r="K310" i="15"/>
  <c r="L310" i="15"/>
  <c r="M310" i="15"/>
  <c r="N310" i="15"/>
  <c r="O310" i="15"/>
  <c r="P310" i="15"/>
  <c r="Z310" i="13"/>
  <c r="B295" i="15"/>
  <c r="AA295" i="13" s="1"/>
  <c r="C295" i="15"/>
  <c r="AB295" i="13" s="1"/>
  <c r="D295" i="15"/>
  <c r="AC295" i="13" s="1"/>
  <c r="E295" i="15"/>
  <c r="F295" i="15"/>
  <c r="G295" i="15"/>
  <c r="H295" i="15"/>
  <c r="I295" i="15"/>
  <c r="J295" i="15"/>
  <c r="K295" i="15"/>
  <c r="L295" i="15"/>
  <c r="M295" i="15"/>
  <c r="N295" i="15"/>
  <c r="O295" i="15"/>
  <c r="P295" i="15"/>
  <c r="Z295" i="13"/>
  <c r="B292" i="15"/>
  <c r="AA292" i="13" s="1"/>
  <c r="C292" i="15"/>
  <c r="AB292" i="13" s="1"/>
  <c r="D292" i="15"/>
  <c r="AC292" i="13" s="1"/>
  <c r="E292" i="15"/>
  <c r="F292" i="15"/>
  <c r="G292" i="15"/>
  <c r="H292" i="15"/>
  <c r="I292" i="15"/>
  <c r="J292" i="15"/>
  <c r="K292" i="15"/>
  <c r="L292" i="15"/>
  <c r="M292" i="15"/>
  <c r="N292" i="15"/>
  <c r="O292" i="15"/>
  <c r="P292" i="15"/>
  <c r="Z292" i="13"/>
  <c r="B288" i="15"/>
  <c r="AA288" i="13" s="1"/>
  <c r="C288" i="15"/>
  <c r="AB288" i="13" s="1"/>
  <c r="D288" i="15"/>
  <c r="AC288" i="13" s="1"/>
  <c r="E288" i="15"/>
  <c r="F288" i="15"/>
  <c r="G288" i="15"/>
  <c r="H288" i="15"/>
  <c r="I288" i="15"/>
  <c r="J288" i="15"/>
  <c r="K288" i="15"/>
  <c r="L288" i="15"/>
  <c r="M288" i="15"/>
  <c r="N288" i="15"/>
  <c r="O288" i="15"/>
  <c r="P288" i="15"/>
  <c r="Z288" i="13"/>
  <c r="B98" i="15"/>
  <c r="AA98" i="13" s="1"/>
  <c r="C98" i="15"/>
  <c r="AB98" i="13" s="1"/>
  <c r="D98" i="15"/>
  <c r="AC98" i="13" s="1"/>
  <c r="E98" i="15"/>
  <c r="F98" i="15"/>
  <c r="G98" i="15"/>
  <c r="H98" i="15"/>
  <c r="I98" i="15"/>
  <c r="J98" i="15"/>
  <c r="K98" i="15"/>
  <c r="L98" i="15"/>
  <c r="M98" i="15"/>
  <c r="N98" i="15"/>
  <c r="O98" i="15"/>
  <c r="P98" i="15"/>
  <c r="Z98" i="13"/>
  <c r="B96" i="15"/>
  <c r="AA96" i="13" s="1"/>
  <c r="C96" i="15"/>
  <c r="AB96" i="13" s="1"/>
  <c r="D96" i="15"/>
  <c r="AC96" i="13" s="1"/>
  <c r="E96" i="15"/>
  <c r="F96" i="15"/>
  <c r="G96" i="15"/>
  <c r="H96" i="15"/>
  <c r="I96" i="15"/>
  <c r="J96" i="15"/>
  <c r="K96" i="15"/>
  <c r="L96" i="15"/>
  <c r="M96" i="15"/>
  <c r="N96" i="15"/>
  <c r="O96" i="15"/>
  <c r="P96" i="15"/>
  <c r="Z96" i="13"/>
  <c r="B94" i="15"/>
  <c r="AA94" i="13" s="1"/>
  <c r="C94" i="15"/>
  <c r="AB94" i="13" s="1"/>
  <c r="D94" i="15"/>
  <c r="AC94" i="13" s="1"/>
  <c r="E94" i="15"/>
  <c r="F94" i="15"/>
  <c r="G94" i="15"/>
  <c r="H94" i="15"/>
  <c r="I94" i="15"/>
  <c r="J94" i="15"/>
  <c r="K94" i="15"/>
  <c r="L94" i="15"/>
  <c r="M94" i="15"/>
  <c r="N94" i="15"/>
  <c r="O94" i="15"/>
  <c r="P94" i="15"/>
  <c r="Z94" i="13"/>
  <c r="B92" i="15"/>
  <c r="AA92" i="13" s="1"/>
  <c r="C92" i="15"/>
  <c r="AB92" i="13" s="1"/>
  <c r="D92" i="15"/>
  <c r="AC92" i="13" s="1"/>
  <c r="E92" i="15"/>
  <c r="F92" i="15"/>
  <c r="G92" i="15"/>
  <c r="H92" i="15"/>
  <c r="I92" i="15"/>
  <c r="J92" i="15"/>
  <c r="K92" i="15"/>
  <c r="L92" i="15"/>
  <c r="M92" i="15"/>
  <c r="N92" i="15"/>
  <c r="O92" i="15"/>
  <c r="P92" i="15"/>
  <c r="Z92" i="13"/>
  <c r="B90" i="15"/>
  <c r="AA90" i="13" s="1"/>
  <c r="C90" i="15"/>
  <c r="AB90" i="13" s="1"/>
  <c r="D90" i="15"/>
  <c r="AC90" i="13" s="1"/>
  <c r="E90" i="15"/>
  <c r="F90" i="15"/>
  <c r="G90" i="15"/>
  <c r="H90" i="15"/>
  <c r="I90" i="15"/>
  <c r="J90" i="15"/>
  <c r="K90" i="15"/>
  <c r="L90" i="15"/>
  <c r="M90" i="15"/>
  <c r="N90" i="15"/>
  <c r="O90" i="15"/>
  <c r="P90" i="15"/>
  <c r="Z90" i="13"/>
  <c r="B89" i="15"/>
  <c r="AA89" i="13" s="1"/>
  <c r="C89" i="15"/>
  <c r="AB89" i="13" s="1"/>
  <c r="D89" i="15"/>
  <c r="AC89" i="13" s="1"/>
  <c r="E89" i="15"/>
  <c r="F89" i="15"/>
  <c r="G89" i="15"/>
  <c r="H89" i="15"/>
  <c r="I89" i="15"/>
  <c r="J89" i="15"/>
  <c r="K89" i="15"/>
  <c r="L89" i="15"/>
  <c r="M89" i="15"/>
  <c r="N89" i="15"/>
  <c r="O89" i="15"/>
  <c r="P89" i="15"/>
  <c r="Z89" i="13"/>
  <c r="B87" i="15"/>
  <c r="AA87" i="13" s="1"/>
  <c r="C87" i="15"/>
  <c r="AB87" i="13" s="1"/>
  <c r="D87" i="15"/>
  <c r="AC87" i="13" s="1"/>
  <c r="E87" i="15"/>
  <c r="F87" i="15"/>
  <c r="G87" i="15"/>
  <c r="H87" i="15"/>
  <c r="I87" i="15"/>
  <c r="J87" i="15"/>
  <c r="K87" i="15"/>
  <c r="L87" i="15"/>
  <c r="M87" i="15"/>
  <c r="N87" i="15"/>
  <c r="O87" i="15"/>
  <c r="P87" i="15"/>
  <c r="Z87" i="13"/>
  <c r="B85" i="15"/>
  <c r="AA85" i="13" s="1"/>
  <c r="C85" i="15"/>
  <c r="AB85" i="13" s="1"/>
  <c r="D85" i="15"/>
  <c r="AC85" i="13" s="1"/>
  <c r="E85" i="15"/>
  <c r="F85" i="15"/>
  <c r="G85" i="15"/>
  <c r="H85" i="15"/>
  <c r="I85" i="15"/>
  <c r="J85" i="15"/>
  <c r="K85" i="15"/>
  <c r="L85" i="15"/>
  <c r="M85" i="15"/>
  <c r="N85" i="15"/>
  <c r="O85" i="15"/>
  <c r="P85" i="15"/>
  <c r="Z85" i="13"/>
  <c r="B83" i="15"/>
  <c r="AA83" i="13" s="1"/>
  <c r="C83" i="15"/>
  <c r="AB83" i="13" s="1"/>
  <c r="D83" i="15"/>
  <c r="AC83" i="13" s="1"/>
  <c r="E83" i="15"/>
  <c r="F83" i="15"/>
  <c r="G83" i="15"/>
  <c r="H83" i="15"/>
  <c r="I83" i="15"/>
  <c r="J83" i="15"/>
  <c r="K83" i="15"/>
  <c r="L83" i="15"/>
  <c r="M83" i="15"/>
  <c r="N83" i="15"/>
  <c r="O83" i="15"/>
  <c r="P83" i="15"/>
  <c r="Z83" i="13"/>
  <c r="B81" i="15"/>
  <c r="AA81" i="13" s="1"/>
  <c r="C81" i="15"/>
  <c r="AB81" i="13" s="1"/>
  <c r="D81" i="15"/>
  <c r="AC81" i="13" s="1"/>
  <c r="E81" i="15"/>
  <c r="F81" i="15"/>
  <c r="G81" i="15"/>
  <c r="H81" i="15"/>
  <c r="I81" i="15"/>
  <c r="J81" i="15"/>
  <c r="K81" i="15"/>
  <c r="L81" i="15"/>
  <c r="M81" i="15"/>
  <c r="N81" i="15"/>
  <c r="O81" i="15"/>
  <c r="P81" i="15"/>
  <c r="Z81" i="13"/>
  <c r="B79" i="15"/>
  <c r="AA79" i="13" s="1"/>
  <c r="C79" i="15"/>
  <c r="AB79" i="13" s="1"/>
  <c r="D79" i="15"/>
  <c r="AC79" i="13" s="1"/>
  <c r="E79" i="15"/>
  <c r="F79" i="15"/>
  <c r="G79" i="15"/>
  <c r="H79" i="15"/>
  <c r="I79" i="15"/>
  <c r="J79" i="15"/>
  <c r="K79" i="15"/>
  <c r="L79" i="15"/>
  <c r="M79" i="15"/>
  <c r="N79" i="15"/>
  <c r="O79" i="15"/>
  <c r="P79" i="15"/>
  <c r="Z79" i="13"/>
  <c r="B77" i="15"/>
  <c r="AA77" i="13" s="1"/>
  <c r="C77" i="15"/>
  <c r="AB77" i="13" s="1"/>
  <c r="D77" i="15"/>
  <c r="AC77" i="13" s="1"/>
  <c r="E77" i="15"/>
  <c r="F77" i="15"/>
  <c r="G77" i="15"/>
  <c r="H77" i="15"/>
  <c r="I77" i="15"/>
  <c r="J77" i="15"/>
  <c r="K77" i="15"/>
  <c r="L77" i="15"/>
  <c r="M77" i="15"/>
  <c r="N77" i="15"/>
  <c r="O77" i="15"/>
  <c r="P77" i="15"/>
  <c r="Z77" i="13"/>
  <c r="B75" i="15"/>
  <c r="AA75" i="13" s="1"/>
  <c r="C75" i="15"/>
  <c r="AB75" i="13" s="1"/>
  <c r="D75" i="15"/>
  <c r="AC75" i="13" s="1"/>
  <c r="E75" i="15"/>
  <c r="F75" i="15"/>
  <c r="G75" i="15"/>
  <c r="H75" i="15"/>
  <c r="I75" i="15"/>
  <c r="J75" i="15"/>
  <c r="K75" i="15"/>
  <c r="L75" i="15"/>
  <c r="M75" i="15"/>
  <c r="N75" i="15"/>
  <c r="O75" i="15"/>
  <c r="P75" i="15"/>
  <c r="Z75" i="13"/>
  <c r="B73" i="15"/>
  <c r="AA73" i="13" s="1"/>
  <c r="C73" i="15"/>
  <c r="AB73" i="13" s="1"/>
  <c r="D73" i="15"/>
  <c r="AC73" i="13" s="1"/>
  <c r="E73" i="15"/>
  <c r="F73" i="15"/>
  <c r="G73" i="15"/>
  <c r="H73" i="15"/>
  <c r="I73" i="15"/>
  <c r="J73" i="15"/>
  <c r="K73" i="15"/>
  <c r="L73" i="15"/>
  <c r="M73" i="15"/>
  <c r="N73" i="15"/>
  <c r="O73" i="15"/>
  <c r="P73" i="15"/>
  <c r="Z73" i="13"/>
  <c r="B71" i="15"/>
  <c r="AA71" i="13" s="1"/>
  <c r="C71" i="15"/>
  <c r="AB71" i="13" s="1"/>
  <c r="D71" i="15"/>
  <c r="AC71" i="13" s="1"/>
  <c r="E71" i="15"/>
  <c r="F71" i="15"/>
  <c r="G71" i="15"/>
  <c r="H71" i="15"/>
  <c r="I71" i="15"/>
  <c r="J71" i="15"/>
  <c r="K71" i="15"/>
  <c r="L71" i="15"/>
  <c r="M71" i="15"/>
  <c r="N71" i="15"/>
  <c r="O71" i="15"/>
  <c r="P71" i="15"/>
  <c r="Z71" i="13"/>
  <c r="G60" i="15"/>
  <c r="N60" i="15"/>
  <c r="D60" i="15"/>
  <c r="AC60" i="13" s="1"/>
  <c r="P60" i="15"/>
  <c r="B60" i="15"/>
  <c r="AA60" i="13" s="1"/>
  <c r="E60" i="15"/>
  <c r="C60" i="15"/>
  <c r="AB60" i="13" s="1"/>
  <c r="H60" i="15"/>
  <c r="I60" i="15"/>
  <c r="K60" i="15"/>
  <c r="J60" i="15"/>
  <c r="L60" i="15"/>
  <c r="O60" i="15"/>
  <c r="F60" i="15"/>
  <c r="M60" i="15"/>
  <c r="Z60" i="13"/>
  <c r="I57" i="15"/>
  <c r="B57" i="15"/>
  <c r="AA57" i="13" s="1"/>
  <c r="D57" i="15"/>
  <c r="AC57" i="13" s="1"/>
  <c r="F57" i="15"/>
  <c r="H57" i="15"/>
  <c r="K57" i="15"/>
  <c r="M57" i="15"/>
  <c r="O57" i="15"/>
  <c r="N57" i="15"/>
  <c r="C57" i="15"/>
  <c r="AB57" i="13" s="1"/>
  <c r="E57" i="15"/>
  <c r="G57" i="15"/>
  <c r="J57" i="15"/>
  <c r="L57" i="15"/>
  <c r="P57" i="15"/>
  <c r="Z57" i="13"/>
  <c r="I46" i="15"/>
  <c r="M46" i="15"/>
  <c r="N46" i="15"/>
  <c r="B46" i="15"/>
  <c r="AA46" i="13" s="1"/>
  <c r="D46" i="15"/>
  <c r="AC46" i="13" s="1"/>
  <c r="G46" i="15"/>
  <c r="K46" i="15"/>
  <c r="O46" i="15"/>
  <c r="C46" i="15"/>
  <c r="AB46" i="13" s="1"/>
  <c r="E46" i="15"/>
  <c r="F46" i="15"/>
  <c r="H46" i="15"/>
  <c r="J46" i="15"/>
  <c r="L46" i="15"/>
  <c r="P46" i="15"/>
  <c r="Z46" i="13"/>
  <c r="B21" i="15"/>
  <c r="AA21" i="13" s="1"/>
  <c r="C21" i="15"/>
  <c r="AB21" i="13" s="1"/>
  <c r="D21" i="15"/>
  <c r="AC21" i="13" s="1"/>
  <c r="E21" i="15"/>
  <c r="F21" i="15"/>
  <c r="G21" i="15"/>
  <c r="H21" i="15"/>
  <c r="I21" i="15"/>
  <c r="J21" i="15"/>
  <c r="K21" i="15"/>
  <c r="L21" i="15"/>
  <c r="M21" i="15"/>
  <c r="N21" i="15"/>
  <c r="O21" i="15"/>
  <c r="P21" i="15"/>
  <c r="Z21" i="13"/>
  <c r="B19" i="15"/>
  <c r="AA19" i="13" s="1"/>
  <c r="C19" i="15"/>
  <c r="AB19" i="13" s="1"/>
  <c r="D19" i="15"/>
  <c r="AC19" i="13" s="1"/>
  <c r="E19" i="15"/>
  <c r="F19" i="15"/>
  <c r="G19" i="15"/>
  <c r="H19" i="15"/>
  <c r="I19" i="15"/>
  <c r="J19" i="15"/>
  <c r="K19" i="15"/>
  <c r="L19" i="15"/>
  <c r="M19" i="15"/>
  <c r="N19" i="15"/>
  <c r="O19" i="15"/>
  <c r="P19" i="15"/>
  <c r="Z19" i="13"/>
  <c r="B17" i="15"/>
  <c r="AA17" i="13" s="1"/>
  <c r="C17" i="15"/>
  <c r="AB17" i="13" s="1"/>
  <c r="D17" i="15"/>
  <c r="AC17" i="13" s="1"/>
  <c r="E17" i="15"/>
  <c r="F17" i="15"/>
  <c r="G17" i="15"/>
  <c r="H17" i="15"/>
  <c r="I17" i="15"/>
  <c r="J17" i="15"/>
  <c r="K17" i="15"/>
  <c r="L17" i="15"/>
  <c r="M17" i="15"/>
  <c r="N17" i="15"/>
  <c r="O17" i="15"/>
  <c r="P17" i="15"/>
  <c r="Z17" i="13"/>
  <c r="B15" i="15"/>
  <c r="AA15" i="13" s="1"/>
  <c r="C15" i="15"/>
  <c r="AB15" i="13" s="1"/>
  <c r="D15" i="15"/>
  <c r="AC15" i="13" s="1"/>
  <c r="E15" i="15"/>
  <c r="F15" i="15"/>
  <c r="G15" i="15"/>
  <c r="H15" i="15"/>
  <c r="I15" i="15"/>
  <c r="J15" i="15"/>
  <c r="K15" i="15"/>
  <c r="L15" i="15"/>
  <c r="M15" i="15"/>
  <c r="N15" i="15"/>
  <c r="O15" i="15"/>
  <c r="P15" i="15"/>
  <c r="Z15" i="13"/>
  <c r="B13" i="15"/>
  <c r="AA13" i="13" s="1"/>
  <c r="C13" i="15"/>
  <c r="AB13" i="13" s="1"/>
  <c r="D13" i="15"/>
  <c r="AC13" i="13" s="1"/>
  <c r="E13" i="15"/>
  <c r="F13" i="15"/>
  <c r="G13" i="15"/>
  <c r="H13" i="15"/>
  <c r="I13" i="15"/>
  <c r="J13" i="15"/>
  <c r="K13" i="15"/>
  <c r="L13" i="15"/>
  <c r="M13" i="15"/>
  <c r="N13" i="15"/>
  <c r="O13" i="15"/>
  <c r="P13" i="15"/>
  <c r="Z13" i="13"/>
  <c r="B608" i="15"/>
  <c r="AA608" i="13" s="1"/>
  <c r="C608" i="15"/>
  <c r="AB608" i="13" s="1"/>
  <c r="D608" i="15"/>
  <c r="AC608" i="13" s="1"/>
  <c r="E608" i="15"/>
  <c r="F608" i="15"/>
  <c r="G608" i="15"/>
  <c r="H608" i="15"/>
  <c r="I608" i="15"/>
  <c r="J608" i="15"/>
  <c r="K608" i="15"/>
  <c r="L608" i="15"/>
  <c r="M608" i="15"/>
  <c r="N608" i="15"/>
  <c r="O608" i="15"/>
  <c r="P608" i="15"/>
  <c r="Z608" i="13"/>
  <c r="B604" i="15"/>
  <c r="AA604" i="13" s="1"/>
  <c r="C604" i="15"/>
  <c r="AB604" i="13" s="1"/>
  <c r="D604" i="15"/>
  <c r="AC604" i="13" s="1"/>
  <c r="E604" i="15"/>
  <c r="F604" i="15"/>
  <c r="G604" i="15"/>
  <c r="H604" i="15"/>
  <c r="I604" i="15"/>
  <c r="J604" i="15"/>
  <c r="K604" i="15"/>
  <c r="L604" i="15"/>
  <c r="M604" i="15"/>
  <c r="N604" i="15"/>
  <c r="O604" i="15"/>
  <c r="P604" i="15"/>
  <c r="Z604" i="13"/>
  <c r="B601" i="15"/>
  <c r="AA601" i="13" s="1"/>
  <c r="C601" i="15"/>
  <c r="AB601" i="13" s="1"/>
  <c r="D601" i="15"/>
  <c r="AC601" i="13" s="1"/>
  <c r="E601" i="15"/>
  <c r="F601" i="15"/>
  <c r="G601" i="15"/>
  <c r="H601" i="15"/>
  <c r="I601" i="15"/>
  <c r="J601" i="15"/>
  <c r="K601" i="15"/>
  <c r="L601" i="15"/>
  <c r="M601" i="15"/>
  <c r="N601" i="15"/>
  <c r="O601" i="15"/>
  <c r="P601" i="15"/>
  <c r="Z601" i="13"/>
  <c r="B599" i="15"/>
  <c r="AA599" i="13" s="1"/>
  <c r="C599" i="15"/>
  <c r="AB599" i="13" s="1"/>
  <c r="D599" i="15"/>
  <c r="AC599" i="13" s="1"/>
  <c r="E599" i="15"/>
  <c r="F599" i="15"/>
  <c r="G599" i="15"/>
  <c r="H599" i="15"/>
  <c r="I599" i="15"/>
  <c r="J599" i="15"/>
  <c r="K599" i="15"/>
  <c r="L599" i="15"/>
  <c r="M599" i="15"/>
  <c r="N599" i="15"/>
  <c r="O599" i="15"/>
  <c r="P599" i="15"/>
  <c r="Z599" i="13"/>
  <c r="B594" i="15"/>
  <c r="AA594" i="13" s="1"/>
  <c r="C594" i="15"/>
  <c r="AB594" i="13" s="1"/>
  <c r="D594" i="15"/>
  <c r="AC594" i="13" s="1"/>
  <c r="E594" i="15"/>
  <c r="F594" i="15"/>
  <c r="G594" i="15"/>
  <c r="H594" i="15"/>
  <c r="I594" i="15"/>
  <c r="J594" i="15"/>
  <c r="K594" i="15"/>
  <c r="L594" i="15"/>
  <c r="M594" i="15"/>
  <c r="N594" i="15"/>
  <c r="O594" i="15"/>
  <c r="P594" i="15"/>
  <c r="Z594" i="13"/>
  <c r="B592" i="15"/>
  <c r="AA592" i="13" s="1"/>
  <c r="C592" i="15"/>
  <c r="AB592" i="13" s="1"/>
  <c r="D592" i="15"/>
  <c r="AC592" i="13" s="1"/>
  <c r="E592" i="15"/>
  <c r="F592" i="15"/>
  <c r="G592" i="15"/>
  <c r="H592" i="15"/>
  <c r="I592" i="15"/>
  <c r="J592" i="15"/>
  <c r="K592" i="15"/>
  <c r="L592" i="15"/>
  <c r="M592" i="15"/>
  <c r="N592" i="15"/>
  <c r="O592" i="15"/>
  <c r="P592" i="15"/>
  <c r="Z592" i="13"/>
  <c r="B41" i="15"/>
  <c r="AA41" i="13" s="1"/>
  <c r="E41" i="15"/>
  <c r="H41" i="15"/>
  <c r="M41" i="15"/>
  <c r="P41" i="15"/>
  <c r="Z41" i="13"/>
  <c r="D41" i="15"/>
  <c r="AC41" i="13" s="1"/>
  <c r="I41" i="15"/>
  <c r="J41" i="15"/>
  <c r="O41" i="15"/>
  <c r="G41" i="15"/>
  <c r="L41" i="15"/>
  <c r="N41" i="15"/>
  <c r="C41" i="15"/>
  <c r="AB41" i="13" s="1"/>
  <c r="F41" i="15"/>
  <c r="K41" i="15"/>
  <c r="C40" i="15"/>
  <c r="AB40" i="13" s="1"/>
  <c r="E40" i="15"/>
  <c r="F40" i="15"/>
  <c r="H40" i="15"/>
  <c r="K40" i="15"/>
  <c r="L40" i="15"/>
  <c r="Z40" i="13"/>
  <c r="I40" i="15"/>
  <c r="N40" i="15"/>
  <c r="D40" i="15"/>
  <c r="AC40" i="13" s="1"/>
  <c r="G40" i="15"/>
  <c r="J40" i="15"/>
  <c r="M40" i="15"/>
  <c r="O40" i="15"/>
  <c r="P40" i="15"/>
  <c r="B40" i="15"/>
  <c r="AA40" i="13" s="1"/>
  <c r="D33" i="15"/>
  <c r="AC33" i="13" s="1"/>
  <c r="G33" i="15"/>
  <c r="I33" i="15"/>
  <c r="K33" i="15"/>
  <c r="O33" i="15"/>
  <c r="Z33" i="13"/>
  <c r="B33" i="15"/>
  <c r="AA33" i="13" s="1"/>
  <c r="M33" i="15"/>
  <c r="N33" i="15"/>
  <c r="P33" i="15"/>
  <c r="C33" i="15"/>
  <c r="AB33" i="13" s="1"/>
  <c r="E33" i="15"/>
  <c r="H33" i="15"/>
  <c r="J33" i="15"/>
  <c r="L33" i="15"/>
  <c r="F33" i="15"/>
  <c r="C32" i="15"/>
  <c r="AB32" i="13" s="1"/>
  <c r="F32" i="15"/>
  <c r="H32" i="15"/>
  <c r="J32" i="15"/>
  <c r="Z32" i="13"/>
  <c r="D32" i="15"/>
  <c r="AC32" i="13" s="1"/>
  <c r="N32" i="15"/>
  <c r="P32" i="15"/>
  <c r="K32" i="15"/>
  <c r="B32" i="15"/>
  <c r="AA32" i="13" s="1"/>
  <c r="E32" i="15"/>
  <c r="G32" i="15"/>
  <c r="I32" i="15"/>
  <c r="L32" i="15"/>
  <c r="O32" i="15"/>
  <c r="M32" i="15"/>
  <c r="B996" i="15"/>
  <c r="AA996" i="13" s="1"/>
  <c r="D996" i="15"/>
  <c r="AC996" i="13" s="1"/>
  <c r="E996" i="15"/>
  <c r="G996" i="15"/>
  <c r="I996" i="15"/>
  <c r="L996" i="15"/>
  <c r="Z996" i="13"/>
  <c r="C996" i="15"/>
  <c r="AB996" i="13" s="1"/>
  <c r="F996" i="15"/>
  <c r="H996" i="15"/>
  <c r="J996" i="15"/>
  <c r="K996" i="15"/>
  <c r="M996" i="15"/>
  <c r="N996" i="15"/>
  <c r="O996" i="15"/>
  <c r="P996" i="15"/>
  <c r="B994" i="15"/>
  <c r="AA994" i="13" s="1"/>
  <c r="C994" i="15"/>
  <c r="AB994" i="13" s="1"/>
  <c r="E994" i="15"/>
  <c r="H994" i="15"/>
  <c r="Z994" i="13"/>
  <c r="D994" i="15"/>
  <c r="AC994" i="13" s="1"/>
  <c r="F994" i="15"/>
  <c r="G994" i="15"/>
  <c r="I994" i="15"/>
  <c r="J994" i="15"/>
  <c r="K994" i="15"/>
  <c r="L994" i="15"/>
  <c r="M994" i="15"/>
  <c r="N994" i="15"/>
  <c r="O994" i="15"/>
  <c r="P994" i="15"/>
  <c r="D993" i="15"/>
  <c r="AC993" i="13" s="1"/>
  <c r="F993" i="15"/>
  <c r="H993" i="15"/>
  <c r="Z993" i="13"/>
  <c r="B993" i="15"/>
  <c r="AA993" i="13" s="1"/>
  <c r="C993" i="15"/>
  <c r="AB993" i="13" s="1"/>
  <c r="E993" i="15"/>
  <c r="G993" i="15"/>
  <c r="I993" i="15"/>
  <c r="J993" i="15"/>
  <c r="K993" i="15"/>
  <c r="L993" i="15"/>
  <c r="M993" i="15"/>
  <c r="N993" i="15"/>
  <c r="O993" i="15"/>
  <c r="P993" i="15"/>
  <c r="C992" i="15"/>
  <c r="AB992" i="13" s="1"/>
  <c r="E992" i="15"/>
  <c r="H992" i="15"/>
  <c r="I992" i="15"/>
  <c r="J992" i="15"/>
  <c r="L992" i="15"/>
  <c r="O992" i="15"/>
  <c r="Z992" i="13"/>
  <c r="B992" i="15"/>
  <c r="AA992" i="13" s="1"/>
  <c r="D992" i="15"/>
  <c r="AC992" i="13" s="1"/>
  <c r="F992" i="15"/>
  <c r="G992" i="15"/>
  <c r="K992" i="15"/>
  <c r="M992" i="15"/>
  <c r="N992" i="15"/>
  <c r="P992" i="15"/>
  <c r="B991" i="15"/>
  <c r="AA991" i="13" s="1"/>
  <c r="D991" i="15"/>
  <c r="AC991" i="13" s="1"/>
  <c r="E991" i="15"/>
  <c r="G991" i="15"/>
  <c r="I991" i="15"/>
  <c r="J991" i="15"/>
  <c r="L991" i="15"/>
  <c r="Z991" i="13"/>
  <c r="C991" i="15"/>
  <c r="AB991" i="13" s="1"/>
  <c r="F991" i="15"/>
  <c r="H991" i="15"/>
  <c r="K991" i="15"/>
  <c r="M991" i="15"/>
  <c r="N991" i="15"/>
  <c r="O991" i="15"/>
  <c r="P991" i="15"/>
  <c r="B989" i="15"/>
  <c r="AA989" i="13" s="1"/>
  <c r="C989" i="15"/>
  <c r="AB989" i="13" s="1"/>
  <c r="D989" i="15"/>
  <c r="AC989" i="13" s="1"/>
  <c r="E989" i="15"/>
  <c r="F989" i="15"/>
  <c r="G989" i="15"/>
  <c r="H989" i="15"/>
  <c r="I989" i="15"/>
  <c r="J989" i="15"/>
  <c r="K989" i="15"/>
  <c r="L989" i="15"/>
  <c r="M989" i="15"/>
  <c r="N989" i="15"/>
  <c r="O989" i="15"/>
  <c r="P989" i="15"/>
  <c r="Z989" i="13"/>
  <c r="B988" i="15"/>
  <c r="AA988" i="13" s="1"/>
  <c r="D988" i="15"/>
  <c r="AC988" i="13" s="1"/>
  <c r="F988" i="15"/>
  <c r="H988" i="15"/>
  <c r="J988" i="15"/>
  <c r="L988" i="15"/>
  <c r="N988" i="15"/>
  <c r="Z988" i="13"/>
  <c r="C988" i="15"/>
  <c r="AB988" i="13" s="1"/>
  <c r="E988" i="15"/>
  <c r="G988" i="15"/>
  <c r="I988" i="15"/>
  <c r="K988" i="15"/>
  <c r="M988" i="15"/>
  <c r="O988" i="15"/>
  <c r="P988" i="15"/>
  <c r="B987" i="15"/>
  <c r="AA987" i="13" s="1"/>
  <c r="D987" i="15"/>
  <c r="AC987" i="13" s="1"/>
  <c r="F987" i="15"/>
  <c r="G987" i="15"/>
  <c r="I987" i="15"/>
  <c r="K987" i="15"/>
  <c r="Z987" i="13"/>
  <c r="C987" i="15"/>
  <c r="AB987" i="13" s="1"/>
  <c r="E987" i="15"/>
  <c r="H987" i="15"/>
  <c r="J987" i="15"/>
  <c r="L987" i="15"/>
  <c r="M987" i="15"/>
  <c r="N987" i="15"/>
  <c r="O987" i="15"/>
  <c r="P987" i="15"/>
  <c r="B985" i="15"/>
  <c r="AA985" i="13" s="1"/>
  <c r="C985" i="15"/>
  <c r="AB985" i="13" s="1"/>
  <c r="E985" i="15"/>
  <c r="F985" i="15"/>
  <c r="G985" i="15"/>
  <c r="H985" i="15"/>
  <c r="I985" i="15"/>
  <c r="J985" i="15"/>
  <c r="K985" i="15"/>
  <c r="L985" i="15"/>
  <c r="M985" i="15"/>
  <c r="N985" i="15"/>
  <c r="O985" i="15"/>
  <c r="P985" i="15"/>
  <c r="D985" i="15"/>
  <c r="AC985" i="13" s="1"/>
  <c r="Z985" i="13"/>
  <c r="B984" i="15"/>
  <c r="AA984" i="13" s="1"/>
  <c r="D984" i="15"/>
  <c r="AC984" i="13" s="1"/>
  <c r="E984" i="15"/>
  <c r="F984" i="15"/>
  <c r="I984" i="15"/>
  <c r="Z984" i="13"/>
  <c r="C984" i="15"/>
  <c r="AB984" i="13" s="1"/>
  <c r="G984" i="15"/>
  <c r="H984" i="15"/>
  <c r="J984" i="15"/>
  <c r="K984" i="15"/>
  <c r="L984" i="15"/>
  <c r="M984" i="15"/>
  <c r="N984" i="15"/>
  <c r="O984" i="15"/>
  <c r="P984" i="15"/>
  <c r="C983" i="15"/>
  <c r="AB983" i="13" s="1"/>
  <c r="E983" i="15"/>
  <c r="G983" i="15"/>
  <c r="H983" i="15"/>
  <c r="I983" i="15"/>
  <c r="J983" i="15"/>
  <c r="L983" i="15"/>
  <c r="Z983" i="13"/>
  <c r="B983" i="15"/>
  <c r="AA983" i="13" s="1"/>
  <c r="D983" i="15"/>
  <c r="AC983" i="13" s="1"/>
  <c r="F983" i="15"/>
  <c r="K983" i="15"/>
  <c r="M983" i="15"/>
  <c r="N983" i="15"/>
  <c r="O983" i="15"/>
  <c r="P983" i="15"/>
  <c r="B670" i="15"/>
  <c r="AA670" i="13" s="1"/>
  <c r="C670" i="15"/>
  <c r="AB670" i="13" s="1"/>
  <c r="D670" i="15"/>
  <c r="AC670" i="13" s="1"/>
  <c r="E670" i="15"/>
  <c r="F670" i="15"/>
  <c r="G670" i="15"/>
  <c r="H670" i="15"/>
  <c r="I670" i="15"/>
  <c r="J670" i="15"/>
  <c r="K670" i="15"/>
  <c r="L670" i="15"/>
  <c r="M670" i="15"/>
  <c r="N670" i="15"/>
  <c r="O670" i="15"/>
  <c r="P670" i="15"/>
  <c r="Z670" i="13"/>
  <c r="B589" i="15"/>
  <c r="AA589" i="13" s="1"/>
  <c r="C589" i="15"/>
  <c r="AB589" i="13" s="1"/>
  <c r="D589" i="15"/>
  <c r="AC589" i="13" s="1"/>
  <c r="E589" i="15"/>
  <c r="F589" i="15"/>
  <c r="G589" i="15"/>
  <c r="H589" i="15"/>
  <c r="I589" i="15"/>
  <c r="J589" i="15"/>
  <c r="K589" i="15"/>
  <c r="L589" i="15"/>
  <c r="M589" i="15"/>
  <c r="N589" i="15"/>
  <c r="O589" i="15"/>
  <c r="P589" i="15"/>
  <c r="Z589" i="13"/>
  <c r="B221" i="15"/>
  <c r="AA221" i="13" s="1"/>
  <c r="C221" i="15"/>
  <c r="AB221" i="13" s="1"/>
  <c r="D221" i="15"/>
  <c r="AC221" i="13" s="1"/>
  <c r="E221" i="15"/>
  <c r="F221" i="15"/>
  <c r="G221" i="15"/>
  <c r="H221" i="15"/>
  <c r="I221" i="15"/>
  <c r="J221" i="15"/>
  <c r="K221" i="15"/>
  <c r="L221" i="15"/>
  <c r="M221" i="15"/>
  <c r="N221" i="15"/>
  <c r="O221" i="15"/>
  <c r="P221" i="15"/>
  <c r="Z221" i="13"/>
  <c r="B214" i="15"/>
  <c r="AA214" i="13" s="1"/>
  <c r="C214" i="15"/>
  <c r="AB214" i="13" s="1"/>
  <c r="D214" i="15"/>
  <c r="AC214" i="13" s="1"/>
  <c r="E214" i="15"/>
  <c r="F214" i="15"/>
  <c r="G214" i="15"/>
  <c r="H214" i="15"/>
  <c r="I214" i="15"/>
  <c r="J214" i="15"/>
  <c r="K214" i="15"/>
  <c r="L214" i="15"/>
  <c r="M214" i="15"/>
  <c r="N214" i="15"/>
  <c r="O214" i="15"/>
  <c r="P214" i="15"/>
  <c r="Z214" i="13"/>
  <c r="B997" i="15"/>
  <c r="AA997" i="13" s="1"/>
  <c r="C997" i="15"/>
  <c r="AB997" i="13" s="1"/>
  <c r="D997" i="15"/>
  <c r="AC997" i="13" s="1"/>
  <c r="E997" i="15"/>
  <c r="F997" i="15"/>
  <c r="G997" i="15"/>
  <c r="H997" i="15"/>
  <c r="I997" i="15"/>
  <c r="J997" i="15"/>
  <c r="K997" i="15"/>
  <c r="L997" i="15"/>
  <c r="M997" i="15"/>
  <c r="N997" i="15"/>
  <c r="O997" i="15"/>
  <c r="P997" i="15"/>
  <c r="Z997" i="13"/>
  <c r="Z906" i="13"/>
  <c r="B906" i="15"/>
  <c r="AA906" i="13" s="1"/>
  <c r="C906" i="15"/>
  <c r="AB906" i="13" s="1"/>
  <c r="D906" i="15"/>
  <c r="AC906" i="13" s="1"/>
  <c r="E906" i="15"/>
  <c r="F906" i="15"/>
  <c r="G906" i="15"/>
  <c r="H906" i="15"/>
  <c r="I906" i="15"/>
  <c r="J906" i="15"/>
  <c r="K906" i="15"/>
  <c r="L906" i="15"/>
  <c r="M906" i="15"/>
  <c r="N906" i="15"/>
  <c r="O906" i="15"/>
  <c r="P906" i="15"/>
  <c r="G540" i="15"/>
  <c r="I540" i="15"/>
  <c r="J540" i="15"/>
  <c r="L540" i="15"/>
  <c r="M540" i="15"/>
  <c r="N540" i="15"/>
  <c r="E540" i="15"/>
  <c r="F540" i="15"/>
  <c r="Z540" i="13"/>
  <c r="B540" i="15"/>
  <c r="AA540" i="13" s="1"/>
  <c r="C540" i="15"/>
  <c r="AB540" i="13" s="1"/>
  <c r="D540" i="15"/>
  <c r="AC540" i="13" s="1"/>
  <c r="H540" i="15"/>
  <c r="K540" i="15"/>
  <c r="O540" i="15"/>
  <c r="P540" i="15"/>
  <c r="I468" i="15"/>
  <c r="M468" i="15"/>
  <c r="N468" i="15"/>
  <c r="B468" i="15"/>
  <c r="AA468" i="13" s="1"/>
  <c r="C468" i="15"/>
  <c r="AB468" i="13" s="1"/>
  <c r="D468" i="15"/>
  <c r="AC468" i="13" s="1"/>
  <c r="E468" i="15"/>
  <c r="F468" i="15"/>
  <c r="H468" i="15"/>
  <c r="J468" i="15"/>
  <c r="P468" i="15"/>
  <c r="Z468" i="13"/>
  <c r="G468" i="15"/>
  <c r="K468" i="15"/>
  <c r="L468" i="15"/>
  <c r="O468" i="15"/>
  <c r="B853" i="15"/>
  <c r="AA853" i="13" s="1"/>
  <c r="C853" i="15"/>
  <c r="AB853" i="13" s="1"/>
  <c r="D853" i="15"/>
  <c r="AC853" i="13" s="1"/>
  <c r="E853" i="15"/>
  <c r="F853" i="15"/>
  <c r="G853" i="15"/>
  <c r="H853" i="15"/>
  <c r="I853" i="15"/>
  <c r="J853" i="15"/>
  <c r="K853" i="15"/>
  <c r="L853" i="15"/>
  <c r="M853" i="15"/>
  <c r="N853" i="15"/>
  <c r="O853" i="15"/>
  <c r="P853" i="15"/>
  <c r="Z853" i="13"/>
  <c r="B768" i="15"/>
  <c r="AA768" i="13" s="1"/>
  <c r="C768" i="15"/>
  <c r="AB768" i="13" s="1"/>
  <c r="D768" i="15"/>
  <c r="AC768" i="13" s="1"/>
  <c r="E768" i="15"/>
  <c r="F768" i="15"/>
  <c r="G768" i="15"/>
  <c r="H768" i="15"/>
  <c r="I768" i="15"/>
  <c r="J768" i="15"/>
  <c r="K768" i="15"/>
  <c r="L768" i="15"/>
  <c r="M768" i="15"/>
  <c r="N768" i="15"/>
  <c r="O768" i="15"/>
  <c r="P768" i="15"/>
  <c r="Z768" i="13"/>
  <c r="B290" i="15"/>
  <c r="AA290" i="13" s="1"/>
  <c r="C290" i="15"/>
  <c r="AB290" i="13" s="1"/>
  <c r="D290" i="15"/>
  <c r="AC290" i="13" s="1"/>
  <c r="E290" i="15"/>
  <c r="F290" i="15"/>
  <c r="G290" i="15"/>
  <c r="H290" i="15"/>
  <c r="I290" i="15"/>
  <c r="J290" i="15"/>
  <c r="K290" i="15"/>
  <c r="L290" i="15"/>
  <c r="M290" i="15"/>
  <c r="N290" i="15"/>
  <c r="O290" i="15"/>
  <c r="P290" i="15"/>
  <c r="Z290" i="13"/>
  <c r="B80" i="15"/>
  <c r="AA80" i="13" s="1"/>
  <c r="C80" i="15"/>
  <c r="AB80" i="13" s="1"/>
  <c r="D80" i="15"/>
  <c r="AC80" i="13" s="1"/>
  <c r="E80" i="15"/>
  <c r="F80" i="15"/>
  <c r="G80" i="15"/>
  <c r="H80" i="15"/>
  <c r="I80" i="15"/>
  <c r="J80" i="15"/>
  <c r="K80" i="15"/>
  <c r="L80" i="15"/>
  <c r="M80" i="15"/>
  <c r="N80" i="15"/>
  <c r="O80" i="15"/>
  <c r="P80" i="15"/>
  <c r="Z80" i="13"/>
  <c r="M54" i="15"/>
  <c r="N54" i="15"/>
  <c r="P54" i="15"/>
  <c r="B54" i="15"/>
  <c r="AA54" i="13" s="1"/>
  <c r="E54" i="15"/>
  <c r="H54" i="15"/>
  <c r="J54" i="15"/>
  <c r="D54" i="15"/>
  <c r="AC54" i="13" s="1"/>
  <c r="C54" i="15"/>
  <c r="AB54" i="13" s="1"/>
  <c r="G54" i="15"/>
  <c r="I54" i="15"/>
  <c r="K54" i="15"/>
  <c r="L54" i="15"/>
  <c r="O54" i="15"/>
  <c r="F54" i="15"/>
  <c r="Z54" i="13"/>
  <c r="B10" i="15"/>
  <c r="AA10" i="13" s="1"/>
  <c r="C10" i="15"/>
  <c r="AB10" i="13" s="1"/>
  <c r="D10" i="15"/>
  <c r="AC10" i="13" s="1"/>
  <c r="E10" i="15"/>
  <c r="F10" i="15"/>
  <c r="G10" i="15"/>
  <c r="H10" i="15"/>
  <c r="I10" i="15"/>
  <c r="J10" i="15"/>
  <c r="K10" i="15"/>
  <c r="L10" i="15"/>
  <c r="M10" i="15"/>
  <c r="N10" i="15"/>
  <c r="O10" i="15"/>
  <c r="P10" i="15"/>
  <c r="Z10" i="13"/>
  <c r="E513" i="15"/>
  <c r="Z513" i="13"/>
  <c r="F513" i="15"/>
  <c r="I513" i="15"/>
  <c r="J513" i="15"/>
  <c r="L513" i="15"/>
  <c r="O513" i="15"/>
  <c r="P513" i="15"/>
  <c r="C513" i="15"/>
  <c r="AB513" i="13" s="1"/>
  <c r="D513" i="15"/>
  <c r="AC513" i="13" s="1"/>
  <c r="H513" i="15"/>
  <c r="K513" i="15"/>
  <c r="M513" i="15"/>
  <c r="B513" i="15"/>
  <c r="AA513" i="13" s="1"/>
  <c r="G513" i="15"/>
  <c r="N513" i="15"/>
  <c r="C976" i="15"/>
  <c r="AB976" i="13" s="1"/>
  <c r="E976" i="15"/>
  <c r="G976" i="15"/>
  <c r="H976" i="15"/>
  <c r="J976" i="15"/>
  <c r="K976" i="15"/>
  <c r="M976" i="15"/>
  <c r="Z976" i="13"/>
  <c r="B976" i="15"/>
  <c r="AA976" i="13" s="1"/>
  <c r="D976" i="15"/>
  <c r="AC976" i="13" s="1"/>
  <c r="F976" i="15"/>
  <c r="I976" i="15"/>
  <c r="L976" i="15"/>
  <c r="N976" i="15"/>
  <c r="O976" i="15"/>
  <c r="P976" i="15"/>
  <c r="B960" i="15"/>
  <c r="AA960" i="13" s="1"/>
  <c r="C960" i="15"/>
  <c r="AB960" i="13" s="1"/>
  <c r="D960" i="15"/>
  <c r="AC960" i="13" s="1"/>
  <c r="F960" i="15"/>
  <c r="H960" i="15"/>
  <c r="I960" i="15"/>
  <c r="J960" i="15"/>
  <c r="K960" i="15"/>
  <c r="L960" i="15"/>
  <c r="M960" i="15"/>
  <c r="N960" i="15"/>
  <c r="O960" i="15"/>
  <c r="P960" i="15"/>
  <c r="Z960" i="13"/>
  <c r="E960" i="15"/>
  <c r="G960" i="15"/>
  <c r="C935" i="15"/>
  <c r="AB935" i="13" s="1"/>
  <c r="D935" i="15"/>
  <c r="AC935" i="13" s="1"/>
  <c r="E935" i="15"/>
  <c r="F935" i="15"/>
  <c r="G935" i="15"/>
  <c r="H935" i="15"/>
  <c r="I935" i="15"/>
  <c r="J935" i="15"/>
  <c r="K935" i="15"/>
  <c r="L935" i="15"/>
  <c r="M935" i="15"/>
  <c r="N935" i="15"/>
  <c r="O935" i="15"/>
  <c r="P935" i="15"/>
  <c r="Z935" i="13"/>
  <c r="B935" i="15"/>
  <c r="AA935" i="13" s="1"/>
  <c r="C902" i="15"/>
  <c r="AB902" i="13" s="1"/>
  <c r="D902" i="15"/>
  <c r="AC902" i="13" s="1"/>
  <c r="E902" i="15"/>
  <c r="F902" i="15"/>
  <c r="G902" i="15"/>
  <c r="H902" i="15"/>
  <c r="I902" i="15"/>
  <c r="J902" i="15"/>
  <c r="K902" i="15"/>
  <c r="L902" i="15"/>
  <c r="M902" i="15"/>
  <c r="N902" i="15"/>
  <c r="O902" i="15"/>
  <c r="P902" i="15"/>
  <c r="Z902" i="13"/>
  <c r="B902" i="15"/>
  <c r="AA902" i="13" s="1"/>
  <c r="B888" i="15"/>
  <c r="AA888" i="13" s="1"/>
  <c r="C888" i="15"/>
  <c r="AB888" i="13" s="1"/>
  <c r="D888" i="15"/>
  <c r="AC888" i="13" s="1"/>
  <c r="E888" i="15"/>
  <c r="F888" i="15"/>
  <c r="G888" i="15"/>
  <c r="H888" i="15"/>
  <c r="I888" i="15"/>
  <c r="J888" i="15"/>
  <c r="K888" i="15"/>
  <c r="L888" i="15"/>
  <c r="M888" i="15"/>
  <c r="N888" i="15"/>
  <c r="O888" i="15"/>
  <c r="P888" i="15"/>
  <c r="Z888" i="13"/>
  <c r="C868" i="15"/>
  <c r="AB868" i="13" s="1"/>
  <c r="J868" i="15"/>
  <c r="M868" i="15"/>
  <c r="N868" i="15"/>
  <c r="O868" i="15"/>
  <c r="P868" i="15"/>
  <c r="Z868" i="13"/>
  <c r="B868" i="15"/>
  <c r="AA868" i="13" s="1"/>
  <c r="D868" i="15"/>
  <c r="AC868" i="13" s="1"/>
  <c r="E868" i="15"/>
  <c r="F868" i="15"/>
  <c r="G868" i="15"/>
  <c r="H868" i="15"/>
  <c r="I868" i="15"/>
  <c r="K868" i="15"/>
  <c r="L868" i="15"/>
  <c r="E553" i="15"/>
  <c r="G553" i="15"/>
  <c r="K553" i="15"/>
  <c r="Z553" i="13"/>
  <c r="B553" i="15"/>
  <c r="AA553" i="13" s="1"/>
  <c r="C553" i="15"/>
  <c r="AB553" i="13" s="1"/>
  <c r="D553" i="15"/>
  <c r="AC553" i="13" s="1"/>
  <c r="H553" i="15"/>
  <c r="I553" i="15"/>
  <c r="J553" i="15"/>
  <c r="L553" i="15"/>
  <c r="M553" i="15"/>
  <c r="N553" i="15"/>
  <c r="O553" i="15"/>
  <c r="P553" i="15"/>
  <c r="F553" i="15"/>
  <c r="B530" i="15"/>
  <c r="AA530" i="13" s="1"/>
  <c r="C530" i="15"/>
  <c r="AB530" i="13" s="1"/>
  <c r="D530" i="15"/>
  <c r="AC530" i="13" s="1"/>
  <c r="I530" i="15"/>
  <c r="M530" i="15"/>
  <c r="N530" i="15"/>
  <c r="O530" i="15"/>
  <c r="Z530" i="13"/>
  <c r="E530" i="15"/>
  <c r="F530" i="15"/>
  <c r="H530" i="15"/>
  <c r="G530" i="15"/>
  <c r="J530" i="15"/>
  <c r="K530" i="15"/>
  <c r="L530" i="15"/>
  <c r="P530" i="15"/>
  <c r="E495" i="15"/>
  <c r="J495" i="15"/>
  <c r="O495" i="15"/>
  <c r="P495" i="15"/>
  <c r="C495" i="15"/>
  <c r="AB495" i="13" s="1"/>
  <c r="L495" i="15"/>
  <c r="Z495" i="13"/>
  <c r="B495" i="15"/>
  <c r="AA495" i="13" s="1"/>
  <c r="D495" i="15"/>
  <c r="AC495" i="13" s="1"/>
  <c r="G495" i="15"/>
  <c r="I495" i="15"/>
  <c r="M495" i="15"/>
  <c r="N495" i="15"/>
  <c r="F495" i="15"/>
  <c r="H495" i="15"/>
  <c r="K495" i="15"/>
  <c r="C478" i="15"/>
  <c r="AB478" i="13" s="1"/>
  <c r="F478" i="15"/>
  <c r="L478" i="15"/>
  <c r="M478" i="15"/>
  <c r="P478" i="15"/>
  <c r="B478" i="15"/>
  <c r="AA478" i="13" s="1"/>
  <c r="Z478" i="13"/>
  <c r="E478" i="15"/>
  <c r="G478" i="15"/>
  <c r="H478" i="15"/>
  <c r="I478" i="15"/>
  <c r="J478" i="15"/>
  <c r="K478" i="15"/>
  <c r="O478" i="15"/>
  <c r="D478" i="15"/>
  <c r="AC478" i="13" s="1"/>
  <c r="N478" i="15"/>
  <c r="C967" i="15"/>
  <c r="AB967" i="13" s="1"/>
  <c r="D967" i="15"/>
  <c r="AC967" i="13" s="1"/>
  <c r="E967" i="15"/>
  <c r="H967" i="15"/>
  <c r="B967" i="15"/>
  <c r="AA967" i="13" s="1"/>
  <c r="F967" i="15"/>
  <c r="G967" i="15"/>
  <c r="I967" i="15"/>
  <c r="J967" i="15"/>
  <c r="K967" i="15"/>
  <c r="L967" i="15"/>
  <c r="M967" i="15"/>
  <c r="N967" i="15"/>
  <c r="O967" i="15"/>
  <c r="P967" i="15"/>
  <c r="Z967" i="13"/>
  <c r="C937" i="15"/>
  <c r="AB937" i="13" s="1"/>
  <c r="E937" i="15"/>
  <c r="G937" i="15"/>
  <c r="J937" i="15"/>
  <c r="L937" i="15"/>
  <c r="M937" i="15"/>
  <c r="N937" i="15"/>
  <c r="O937" i="15"/>
  <c r="P937" i="15"/>
  <c r="B937" i="15"/>
  <c r="AA937" i="13" s="1"/>
  <c r="D937" i="15"/>
  <c r="AC937" i="13" s="1"/>
  <c r="F937" i="15"/>
  <c r="H937" i="15"/>
  <c r="I937" i="15"/>
  <c r="K937" i="15"/>
  <c r="Z937" i="13"/>
  <c r="C916" i="15"/>
  <c r="AB916" i="13" s="1"/>
  <c r="F916" i="15"/>
  <c r="B916" i="15"/>
  <c r="AA916" i="13" s="1"/>
  <c r="D916" i="15"/>
  <c r="AC916" i="13" s="1"/>
  <c r="E916" i="15"/>
  <c r="G916" i="15"/>
  <c r="H916" i="15"/>
  <c r="I916" i="15"/>
  <c r="J916" i="15"/>
  <c r="K916" i="15"/>
  <c r="L916" i="15"/>
  <c r="M916" i="15"/>
  <c r="N916" i="15"/>
  <c r="O916" i="15"/>
  <c r="P916" i="15"/>
  <c r="Z916" i="13"/>
  <c r="C903" i="15"/>
  <c r="AB903" i="13" s="1"/>
  <c r="G903" i="15"/>
  <c r="B903" i="15"/>
  <c r="AA903" i="13" s="1"/>
  <c r="D903" i="15"/>
  <c r="AC903" i="13" s="1"/>
  <c r="E903" i="15"/>
  <c r="F903" i="15"/>
  <c r="H903" i="15"/>
  <c r="I903" i="15"/>
  <c r="J903" i="15"/>
  <c r="K903" i="15"/>
  <c r="L903" i="15"/>
  <c r="M903" i="15"/>
  <c r="N903" i="15"/>
  <c r="O903" i="15"/>
  <c r="P903" i="15"/>
  <c r="Z903" i="13"/>
  <c r="B877" i="15"/>
  <c r="AA877" i="13" s="1"/>
  <c r="J877" i="15"/>
  <c r="L877" i="15"/>
  <c r="C877" i="15"/>
  <c r="AB877" i="13" s="1"/>
  <c r="D877" i="15"/>
  <c r="AC877" i="13" s="1"/>
  <c r="E877" i="15"/>
  <c r="F877" i="15"/>
  <c r="G877" i="15"/>
  <c r="H877" i="15"/>
  <c r="I877" i="15"/>
  <c r="K877" i="15"/>
  <c r="M877" i="15"/>
  <c r="N877" i="15"/>
  <c r="O877" i="15"/>
  <c r="P877" i="15"/>
  <c r="Z877" i="13"/>
  <c r="B857" i="15"/>
  <c r="AA857" i="13" s="1"/>
  <c r="C857" i="15"/>
  <c r="AB857" i="13" s="1"/>
  <c r="E857" i="15"/>
  <c r="F857" i="15"/>
  <c r="G857" i="15"/>
  <c r="H857" i="15"/>
  <c r="I857" i="15"/>
  <c r="J857" i="15"/>
  <c r="K857" i="15"/>
  <c r="L857" i="15"/>
  <c r="M857" i="15"/>
  <c r="N857" i="15"/>
  <c r="O857" i="15"/>
  <c r="P857" i="15"/>
  <c r="D857" i="15"/>
  <c r="AC857" i="13" s="1"/>
  <c r="Z857" i="13"/>
  <c r="C548" i="15"/>
  <c r="AB548" i="13" s="1"/>
  <c r="E548" i="15"/>
  <c r="F548" i="15"/>
  <c r="H548" i="15"/>
  <c r="K548" i="15"/>
  <c r="N548" i="15"/>
  <c r="P548" i="15"/>
  <c r="B548" i="15"/>
  <c r="AA548" i="13" s="1"/>
  <c r="J548" i="15"/>
  <c r="L548" i="15"/>
  <c r="M548" i="15"/>
  <c r="O548" i="15"/>
  <c r="Z548" i="13"/>
  <c r="D548" i="15"/>
  <c r="AC548" i="13" s="1"/>
  <c r="G548" i="15"/>
  <c r="I548" i="15"/>
  <c r="F503" i="15"/>
  <c r="B503" i="15"/>
  <c r="AA503" i="13" s="1"/>
  <c r="D503" i="15"/>
  <c r="AC503" i="13" s="1"/>
  <c r="G503" i="15"/>
  <c r="H503" i="15"/>
  <c r="I503" i="15"/>
  <c r="J503" i="15"/>
  <c r="M503" i="15"/>
  <c r="N503" i="15"/>
  <c r="P503" i="15"/>
  <c r="E503" i="15"/>
  <c r="Z503" i="13"/>
  <c r="C503" i="15"/>
  <c r="AB503" i="13" s="1"/>
  <c r="K503" i="15"/>
  <c r="L503" i="15"/>
  <c r="O503" i="15"/>
  <c r="D496" i="15"/>
  <c r="AC496" i="13" s="1"/>
  <c r="G496" i="15"/>
  <c r="I496" i="15"/>
  <c r="J496" i="15"/>
  <c r="K496" i="15"/>
  <c r="L496" i="15"/>
  <c r="N496" i="15"/>
  <c r="P496" i="15"/>
  <c r="C496" i="15"/>
  <c r="AB496" i="13" s="1"/>
  <c r="F496" i="15"/>
  <c r="O496" i="15"/>
  <c r="Z496" i="13"/>
  <c r="B496" i="15"/>
  <c r="AA496" i="13" s="1"/>
  <c r="E496" i="15"/>
  <c r="H496" i="15"/>
  <c r="M496" i="15"/>
  <c r="K476" i="15"/>
  <c r="L476" i="15"/>
  <c r="P476" i="15"/>
  <c r="C476" i="15"/>
  <c r="AB476" i="13" s="1"/>
  <c r="D476" i="15"/>
  <c r="AC476" i="13" s="1"/>
  <c r="H476" i="15"/>
  <c r="M476" i="15"/>
  <c r="N476" i="15"/>
  <c r="B476" i="15"/>
  <c r="AA476" i="13" s="1"/>
  <c r="Z476" i="13"/>
  <c r="E476" i="15"/>
  <c r="F476" i="15"/>
  <c r="G476" i="15"/>
  <c r="I476" i="15"/>
  <c r="J476" i="15"/>
  <c r="O476" i="15"/>
  <c r="E69" i="15"/>
  <c r="G69" i="15"/>
  <c r="I69" i="15"/>
  <c r="D69" i="15"/>
  <c r="AC69" i="13" s="1"/>
  <c r="O69" i="15"/>
  <c r="C69" i="15"/>
  <c r="AB69" i="13" s="1"/>
  <c r="F69" i="15"/>
  <c r="H69" i="15"/>
  <c r="K69" i="15"/>
  <c r="M69" i="15"/>
  <c r="P69" i="15"/>
  <c r="B69" i="15"/>
  <c r="AA69" i="13" s="1"/>
  <c r="L69" i="15"/>
  <c r="Z69" i="13"/>
  <c r="J69" i="15"/>
  <c r="N69" i="15"/>
  <c r="D48" i="15"/>
  <c r="AC48" i="13" s="1"/>
  <c r="I48" i="15"/>
  <c r="M48" i="15"/>
  <c r="K48" i="15"/>
  <c r="C48" i="15"/>
  <c r="AB48" i="13" s="1"/>
  <c r="E48" i="15"/>
  <c r="G48" i="15"/>
  <c r="J48" i="15"/>
  <c r="B48" i="15"/>
  <c r="AA48" i="13" s="1"/>
  <c r="N48" i="15"/>
  <c r="P48" i="15"/>
  <c r="Z48" i="13"/>
  <c r="F48" i="15"/>
  <c r="H48" i="15"/>
  <c r="L48" i="15"/>
  <c r="O48" i="15"/>
  <c r="D36" i="15"/>
  <c r="AC36" i="13" s="1"/>
  <c r="F36" i="15"/>
  <c r="L36" i="15"/>
  <c r="N36" i="15"/>
  <c r="C36" i="15"/>
  <c r="AB36" i="13" s="1"/>
  <c r="E36" i="15"/>
  <c r="G36" i="15"/>
  <c r="H36" i="15"/>
  <c r="M36" i="15"/>
  <c r="O36" i="15"/>
  <c r="K36" i="15"/>
  <c r="Z36" i="13"/>
  <c r="I36" i="15"/>
  <c r="J36" i="15"/>
  <c r="B36" i="15"/>
  <c r="AA36" i="13" s="1"/>
  <c r="P36" i="15"/>
  <c r="B859" i="15"/>
  <c r="AA859" i="13" s="1"/>
  <c r="D859" i="15"/>
  <c r="AC859" i="13" s="1"/>
  <c r="E859" i="15"/>
  <c r="F859" i="15"/>
  <c r="H859" i="15"/>
  <c r="C859" i="15"/>
  <c r="AB859" i="13" s="1"/>
  <c r="G859" i="15"/>
  <c r="I859" i="15"/>
  <c r="J859" i="15"/>
  <c r="K859" i="15"/>
  <c r="L859" i="15"/>
  <c r="M859" i="15"/>
  <c r="N859" i="15"/>
  <c r="O859" i="15"/>
  <c r="P859" i="15"/>
  <c r="Z859" i="13"/>
  <c r="B557" i="15"/>
  <c r="AA557" i="13" s="1"/>
  <c r="H557" i="15"/>
  <c r="Z557" i="13"/>
  <c r="C557" i="15"/>
  <c r="AB557" i="13" s="1"/>
  <c r="D557" i="15"/>
  <c r="AC557" i="13" s="1"/>
  <c r="E557" i="15"/>
  <c r="F557" i="15"/>
  <c r="G557" i="15"/>
  <c r="I557" i="15"/>
  <c r="J557" i="15"/>
  <c r="K557" i="15"/>
  <c r="L557" i="15"/>
  <c r="M557" i="15"/>
  <c r="N557" i="15"/>
  <c r="O557" i="15"/>
  <c r="P557" i="15"/>
  <c r="B534" i="15"/>
  <c r="AA534" i="13" s="1"/>
  <c r="D534" i="15"/>
  <c r="AC534" i="13" s="1"/>
  <c r="F534" i="15"/>
  <c r="I534" i="15"/>
  <c r="J534" i="15"/>
  <c r="P534" i="15"/>
  <c r="C534" i="15"/>
  <c r="AB534" i="13" s="1"/>
  <c r="G534" i="15"/>
  <c r="H534" i="15"/>
  <c r="K534" i="15"/>
  <c r="L534" i="15"/>
  <c r="M534" i="15"/>
  <c r="N534" i="15"/>
  <c r="O534" i="15"/>
  <c r="Z534" i="13"/>
  <c r="E534" i="15"/>
  <c r="B504" i="15"/>
  <c r="AA504" i="13" s="1"/>
  <c r="C504" i="15"/>
  <c r="AB504" i="13" s="1"/>
  <c r="D504" i="15"/>
  <c r="AC504" i="13" s="1"/>
  <c r="E504" i="15"/>
  <c r="F504" i="15"/>
  <c r="I504" i="15"/>
  <c r="N504" i="15"/>
  <c r="G504" i="15"/>
  <c r="J504" i="15"/>
  <c r="P504" i="15"/>
  <c r="Z504" i="13"/>
  <c r="H504" i="15"/>
  <c r="K504" i="15"/>
  <c r="L504" i="15"/>
  <c r="M504" i="15"/>
  <c r="O504" i="15"/>
  <c r="B781" i="15"/>
  <c r="AA781" i="13" s="1"/>
  <c r="C781" i="15"/>
  <c r="AB781" i="13" s="1"/>
  <c r="D781" i="15"/>
  <c r="AC781" i="13" s="1"/>
  <c r="E781" i="15"/>
  <c r="F781" i="15"/>
  <c r="G781" i="15"/>
  <c r="H781" i="15"/>
  <c r="I781" i="15"/>
  <c r="J781" i="15"/>
  <c r="K781" i="15"/>
  <c r="L781" i="15"/>
  <c r="M781" i="15"/>
  <c r="N781" i="15"/>
  <c r="O781" i="15"/>
  <c r="P781" i="15"/>
  <c r="Z781" i="13"/>
  <c r="B776" i="15"/>
  <c r="AA776" i="13" s="1"/>
  <c r="C776" i="15"/>
  <c r="AB776" i="13" s="1"/>
  <c r="D776" i="15"/>
  <c r="AC776" i="13" s="1"/>
  <c r="E776" i="15"/>
  <c r="F776" i="15"/>
  <c r="G776" i="15"/>
  <c r="H776" i="15"/>
  <c r="I776" i="15"/>
  <c r="J776" i="15"/>
  <c r="K776" i="15"/>
  <c r="L776" i="15"/>
  <c r="M776" i="15"/>
  <c r="N776" i="15"/>
  <c r="O776" i="15"/>
  <c r="P776" i="15"/>
  <c r="Z776" i="13"/>
  <c r="B771" i="15"/>
  <c r="AA771" i="13" s="1"/>
  <c r="C771" i="15"/>
  <c r="AB771" i="13" s="1"/>
  <c r="D771" i="15"/>
  <c r="AC771" i="13" s="1"/>
  <c r="E771" i="15"/>
  <c r="F771" i="15"/>
  <c r="G771" i="15"/>
  <c r="H771" i="15"/>
  <c r="I771" i="15"/>
  <c r="J771" i="15"/>
  <c r="K771" i="15"/>
  <c r="L771" i="15"/>
  <c r="M771" i="15"/>
  <c r="N771" i="15"/>
  <c r="O771" i="15"/>
  <c r="P771" i="15"/>
  <c r="Z771" i="13"/>
  <c r="B765" i="15"/>
  <c r="AA765" i="13" s="1"/>
  <c r="C765" i="15"/>
  <c r="AB765" i="13" s="1"/>
  <c r="D765" i="15"/>
  <c r="AC765" i="13" s="1"/>
  <c r="E765" i="15"/>
  <c r="F765" i="15"/>
  <c r="G765" i="15"/>
  <c r="H765" i="15"/>
  <c r="I765" i="15"/>
  <c r="J765" i="15"/>
  <c r="K765" i="15"/>
  <c r="L765" i="15"/>
  <c r="M765" i="15"/>
  <c r="N765" i="15"/>
  <c r="O765" i="15"/>
  <c r="P765" i="15"/>
  <c r="Z765" i="13"/>
  <c r="B759" i="15"/>
  <c r="AA759" i="13" s="1"/>
  <c r="C759" i="15"/>
  <c r="AB759" i="13" s="1"/>
  <c r="D759" i="15"/>
  <c r="AC759" i="13" s="1"/>
  <c r="E759" i="15"/>
  <c r="F759" i="15"/>
  <c r="G759" i="15"/>
  <c r="H759" i="15"/>
  <c r="I759" i="15"/>
  <c r="J759" i="15"/>
  <c r="K759" i="15"/>
  <c r="L759" i="15"/>
  <c r="M759" i="15"/>
  <c r="N759" i="15"/>
  <c r="O759" i="15"/>
  <c r="P759" i="15"/>
  <c r="Z759" i="13"/>
  <c r="B753" i="15"/>
  <c r="AA753" i="13" s="1"/>
  <c r="C753" i="15"/>
  <c r="AB753" i="13" s="1"/>
  <c r="D753" i="15"/>
  <c r="AC753" i="13" s="1"/>
  <c r="E753" i="15"/>
  <c r="F753" i="15"/>
  <c r="G753" i="15"/>
  <c r="H753" i="15"/>
  <c r="I753" i="15"/>
  <c r="J753" i="15"/>
  <c r="K753" i="15"/>
  <c r="L753" i="15"/>
  <c r="M753" i="15"/>
  <c r="N753" i="15"/>
  <c r="O753" i="15"/>
  <c r="P753" i="15"/>
  <c r="Z753" i="13"/>
  <c r="B136" i="15"/>
  <c r="AA136" i="13" s="1"/>
  <c r="C136" i="15"/>
  <c r="AB136" i="13" s="1"/>
  <c r="D136" i="15"/>
  <c r="AC136" i="13" s="1"/>
  <c r="E136" i="15"/>
  <c r="F136" i="15"/>
  <c r="G136" i="15"/>
  <c r="H136" i="15"/>
  <c r="I136" i="15"/>
  <c r="J136" i="15"/>
  <c r="K136" i="15"/>
  <c r="L136" i="15"/>
  <c r="M136" i="15"/>
  <c r="N136" i="15"/>
  <c r="O136" i="15"/>
  <c r="P136" i="15"/>
  <c r="Z136" i="13"/>
  <c r="B128" i="15"/>
  <c r="AA128" i="13" s="1"/>
  <c r="C128" i="15"/>
  <c r="AB128" i="13" s="1"/>
  <c r="D128" i="15"/>
  <c r="AC128" i="13" s="1"/>
  <c r="E128" i="15"/>
  <c r="F128" i="15"/>
  <c r="G128" i="15"/>
  <c r="H128" i="15"/>
  <c r="I128" i="15"/>
  <c r="J128" i="15"/>
  <c r="K128" i="15"/>
  <c r="L128" i="15"/>
  <c r="M128" i="15"/>
  <c r="N128" i="15"/>
  <c r="O128" i="15"/>
  <c r="P128" i="15"/>
  <c r="Z128" i="13"/>
  <c r="B122" i="15"/>
  <c r="AA122" i="13" s="1"/>
  <c r="C122" i="15"/>
  <c r="AB122" i="13" s="1"/>
  <c r="D122" i="15"/>
  <c r="AC122" i="13" s="1"/>
  <c r="E122" i="15"/>
  <c r="F122" i="15"/>
  <c r="G122" i="15"/>
  <c r="H122" i="15"/>
  <c r="I122" i="15"/>
  <c r="J122" i="15"/>
  <c r="K122" i="15"/>
  <c r="L122" i="15"/>
  <c r="M122" i="15"/>
  <c r="N122" i="15"/>
  <c r="O122" i="15"/>
  <c r="P122" i="15"/>
  <c r="Z122" i="13"/>
  <c r="B115" i="15"/>
  <c r="AA115" i="13" s="1"/>
  <c r="C115" i="15"/>
  <c r="AB115" i="13" s="1"/>
  <c r="D115" i="15"/>
  <c r="AC115" i="13" s="1"/>
  <c r="E115" i="15"/>
  <c r="F115" i="15"/>
  <c r="G115" i="15"/>
  <c r="H115" i="15"/>
  <c r="I115" i="15"/>
  <c r="J115" i="15"/>
  <c r="K115" i="15"/>
  <c r="L115" i="15"/>
  <c r="M115" i="15"/>
  <c r="N115" i="15"/>
  <c r="O115" i="15"/>
  <c r="P115" i="15"/>
  <c r="Z115" i="13"/>
  <c r="B107" i="15"/>
  <c r="AA107" i="13" s="1"/>
  <c r="C107" i="15"/>
  <c r="AB107" i="13" s="1"/>
  <c r="D107" i="15"/>
  <c r="AC107" i="13" s="1"/>
  <c r="E107" i="15"/>
  <c r="F107" i="15"/>
  <c r="G107" i="15"/>
  <c r="H107" i="15"/>
  <c r="I107" i="15"/>
  <c r="J107" i="15"/>
  <c r="K107" i="15"/>
  <c r="L107" i="15"/>
  <c r="M107" i="15"/>
  <c r="N107" i="15"/>
  <c r="O107" i="15"/>
  <c r="P107" i="15"/>
  <c r="Z107" i="13"/>
  <c r="C990" i="15"/>
  <c r="AB990" i="13" s="1"/>
  <c r="E990" i="15"/>
  <c r="G990" i="15"/>
  <c r="K990" i="15"/>
  <c r="L990" i="15"/>
  <c r="N990" i="15"/>
  <c r="O990" i="15"/>
  <c r="P990" i="15"/>
  <c r="B990" i="15"/>
  <c r="AA990" i="13" s="1"/>
  <c r="D990" i="15"/>
  <c r="AC990" i="13" s="1"/>
  <c r="F990" i="15"/>
  <c r="H990" i="15"/>
  <c r="I990" i="15"/>
  <c r="J990" i="15"/>
  <c r="M990" i="15"/>
  <c r="Z990" i="13"/>
  <c r="B588" i="15"/>
  <c r="AA588" i="13" s="1"/>
  <c r="C588" i="15"/>
  <c r="AB588" i="13" s="1"/>
  <c r="D588" i="15"/>
  <c r="AC588" i="13" s="1"/>
  <c r="E588" i="15"/>
  <c r="F588" i="15"/>
  <c r="G588" i="15"/>
  <c r="H588" i="15"/>
  <c r="I588" i="15"/>
  <c r="J588" i="15"/>
  <c r="K588" i="15"/>
  <c r="L588" i="15"/>
  <c r="M588" i="15"/>
  <c r="N588" i="15"/>
  <c r="O588" i="15"/>
  <c r="P588" i="15"/>
  <c r="Z588" i="13"/>
  <c r="B575" i="15"/>
  <c r="AA575" i="13" s="1"/>
  <c r="C575" i="15"/>
  <c r="AB575" i="13" s="1"/>
  <c r="D575" i="15"/>
  <c r="AC575" i="13" s="1"/>
  <c r="E575" i="15"/>
  <c r="F575" i="15"/>
  <c r="G575" i="15"/>
  <c r="H575" i="15"/>
  <c r="I575" i="15"/>
  <c r="J575" i="15"/>
  <c r="K575" i="15"/>
  <c r="L575" i="15"/>
  <c r="M575" i="15"/>
  <c r="N575" i="15"/>
  <c r="O575" i="15"/>
  <c r="P575" i="15"/>
  <c r="Z575" i="13"/>
  <c r="B643" i="15"/>
  <c r="AA643" i="13" s="1"/>
  <c r="C643" i="15"/>
  <c r="AB643" i="13" s="1"/>
  <c r="D643" i="15"/>
  <c r="AC643" i="13" s="1"/>
  <c r="E643" i="15"/>
  <c r="F643" i="15"/>
  <c r="G643" i="15"/>
  <c r="H643" i="15"/>
  <c r="I643" i="15"/>
  <c r="J643" i="15"/>
  <c r="K643" i="15"/>
  <c r="L643" i="15"/>
  <c r="M643" i="15"/>
  <c r="N643" i="15"/>
  <c r="O643" i="15"/>
  <c r="P643" i="15"/>
  <c r="Z643" i="13"/>
  <c r="B622" i="15"/>
  <c r="AA622" i="13" s="1"/>
  <c r="C622" i="15"/>
  <c r="AB622" i="13" s="1"/>
  <c r="D622" i="15"/>
  <c r="AC622" i="13" s="1"/>
  <c r="E622" i="15"/>
  <c r="F622" i="15"/>
  <c r="G622" i="15"/>
  <c r="H622" i="15"/>
  <c r="I622" i="15"/>
  <c r="J622" i="15"/>
  <c r="K622" i="15"/>
  <c r="L622" i="15"/>
  <c r="M622" i="15"/>
  <c r="N622" i="15"/>
  <c r="O622" i="15"/>
  <c r="P622" i="15"/>
  <c r="Z622" i="13"/>
  <c r="B605" i="15"/>
  <c r="AA605" i="13" s="1"/>
  <c r="C605" i="15"/>
  <c r="AB605" i="13" s="1"/>
  <c r="D605" i="15"/>
  <c r="AC605" i="13" s="1"/>
  <c r="E605" i="15"/>
  <c r="F605" i="15"/>
  <c r="G605" i="15"/>
  <c r="H605" i="15"/>
  <c r="I605" i="15"/>
  <c r="J605" i="15"/>
  <c r="K605" i="15"/>
  <c r="L605" i="15"/>
  <c r="M605" i="15"/>
  <c r="N605" i="15"/>
  <c r="O605" i="15"/>
  <c r="P605" i="15"/>
  <c r="Z605" i="13"/>
  <c r="B591" i="15"/>
  <c r="AA591" i="13" s="1"/>
  <c r="C591" i="15"/>
  <c r="AB591" i="13" s="1"/>
  <c r="D591" i="15"/>
  <c r="AC591" i="13" s="1"/>
  <c r="E591" i="15"/>
  <c r="F591" i="15"/>
  <c r="G591" i="15"/>
  <c r="H591" i="15"/>
  <c r="I591" i="15"/>
  <c r="J591" i="15"/>
  <c r="K591" i="15"/>
  <c r="L591" i="15"/>
  <c r="M591" i="15"/>
  <c r="N591" i="15"/>
  <c r="O591" i="15"/>
  <c r="P591" i="15"/>
  <c r="Z591" i="13"/>
  <c r="B850" i="15"/>
  <c r="AA850" i="13" s="1"/>
  <c r="C850" i="15"/>
  <c r="AB850" i="13" s="1"/>
  <c r="D850" i="15"/>
  <c r="AC850" i="13" s="1"/>
  <c r="E850" i="15"/>
  <c r="F850" i="15"/>
  <c r="G850" i="15"/>
  <c r="H850" i="15"/>
  <c r="I850" i="15"/>
  <c r="J850" i="15"/>
  <c r="K850" i="15"/>
  <c r="L850" i="15"/>
  <c r="M850" i="15"/>
  <c r="N850" i="15"/>
  <c r="O850" i="15"/>
  <c r="P850" i="15"/>
  <c r="Z850" i="13"/>
  <c r="B847" i="15"/>
  <c r="AA847" i="13" s="1"/>
  <c r="C847" i="15"/>
  <c r="AB847" i="13" s="1"/>
  <c r="D847" i="15"/>
  <c r="AC847" i="13" s="1"/>
  <c r="E847" i="15"/>
  <c r="F847" i="15"/>
  <c r="G847" i="15"/>
  <c r="H847" i="15"/>
  <c r="I847" i="15"/>
  <c r="J847" i="15"/>
  <c r="K847" i="15"/>
  <c r="L847" i="15"/>
  <c r="M847" i="15"/>
  <c r="N847" i="15"/>
  <c r="O847" i="15"/>
  <c r="P847" i="15"/>
  <c r="Z847" i="13"/>
  <c r="B844" i="15"/>
  <c r="AA844" i="13" s="1"/>
  <c r="C844" i="15"/>
  <c r="AB844" i="13" s="1"/>
  <c r="D844" i="15"/>
  <c r="AC844" i="13" s="1"/>
  <c r="E844" i="15"/>
  <c r="F844" i="15"/>
  <c r="G844" i="15"/>
  <c r="H844" i="15"/>
  <c r="I844" i="15"/>
  <c r="J844" i="15"/>
  <c r="K844" i="15"/>
  <c r="L844" i="15"/>
  <c r="M844" i="15"/>
  <c r="N844" i="15"/>
  <c r="O844" i="15"/>
  <c r="P844" i="15"/>
  <c r="Z844" i="13"/>
  <c r="B842" i="15"/>
  <c r="AA842" i="13" s="1"/>
  <c r="C842" i="15"/>
  <c r="AB842" i="13" s="1"/>
  <c r="D842" i="15"/>
  <c r="AC842" i="13" s="1"/>
  <c r="E842" i="15"/>
  <c r="F842" i="15"/>
  <c r="G842" i="15"/>
  <c r="H842" i="15"/>
  <c r="I842" i="15"/>
  <c r="J842" i="15"/>
  <c r="K842" i="15"/>
  <c r="L842" i="15"/>
  <c r="M842" i="15"/>
  <c r="N842" i="15"/>
  <c r="O842" i="15"/>
  <c r="P842" i="15"/>
  <c r="Z842" i="13"/>
  <c r="B839" i="15"/>
  <c r="AA839" i="13" s="1"/>
  <c r="C839" i="15"/>
  <c r="AB839" i="13" s="1"/>
  <c r="D839" i="15"/>
  <c r="AC839" i="13" s="1"/>
  <c r="E839" i="15"/>
  <c r="F839" i="15"/>
  <c r="G839" i="15"/>
  <c r="H839" i="15"/>
  <c r="I839" i="15"/>
  <c r="J839" i="15"/>
  <c r="K839" i="15"/>
  <c r="L839" i="15"/>
  <c r="M839" i="15"/>
  <c r="N839" i="15"/>
  <c r="O839" i="15"/>
  <c r="P839" i="15"/>
  <c r="Z839" i="13"/>
  <c r="B667" i="15"/>
  <c r="AA667" i="13" s="1"/>
  <c r="C667" i="15"/>
  <c r="AB667" i="13" s="1"/>
  <c r="D667" i="15"/>
  <c r="AC667" i="13" s="1"/>
  <c r="E667" i="15"/>
  <c r="F667" i="15"/>
  <c r="G667" i="15"/>
  <c r="H667" i="15"/>
  <c r="I667" i="15"/>
  <c r="J667" i="15"/>
  <c r="K667" i="15"/>
  <c r="L667" i="15"/>
  <c r="M667" i="15"/>
  <c r="N667" i="15"/>
  <c r="O667" i="15"/>
  <c r="P667" i="15"/>
  <c r="Z667" i="13"/>
  <c r="B672" i="15"/>
  <c r="AA672" i="13" s="1"/>
  <c r="C672" i="15"/>
  <c r="AB672" i="13" s="1"/>
  <c r="D672" i="15"/>
  <c r="AC672" i="13" s="1"/>
  <c r="E672" i="15"/>
  <c r="F672" i="15"/>
  <c r="G672" i="15"/>
  <c r="H672" i="15"/>
  <c r="I672" i="15"/>
  <c r="J672" i="15"/>
  <c r="K672" i="15"/>
  <c r="L672" i="15"/>
  <c r="M672" i="15"/>
  <c r="N672" i="15"/>
  <c r="O672" i="15"/>
  <c r="P672" i="15"/>
  <c r="Z672" i="13"/>
  <c r="B436" i="15"/>
  <c r="AA436" i="13" s="1"/>
  <c r="C436" i="15"/>
  <c r="AB436" i="13" s="1"/>
  <c r="D436" i="15"/>
  <c r="AC436" i="13" s="1"/>
  <c r="E436" i="15"/>
  <c r="F436" i="15"/>
  <c r="G436" i="15"/>
  <c r="H436" i="15"/>
  <c r="I436" i="15"/>
  <c r="J436" i="15"/>
  <c r="K436" i="15"/>
  <c r="L436" i="15"/>
  <c r="M436" i="15"/>
  <c r="N436" i="15"/>
  <c r="O436" i="15"/>
  <c r="P436" i="15"/>
  <c r="Z436" i="13"/>
  <c r="C511" i="15"/>
  <c r="AB511" i="13" s="1"/>
  <c r="E511" i="15"/>
  <c r="F511" i="15"/>
  <c r="G511" i="15"/>
  <c r="J511" i="15"/>
  <c r="K511" i="15"/>
  <c r="L511" i="15"/>
  <c r="M511" i="15"/>
  <c r="N511" i="15"/>
  <c r="O511" i="15"/>
  <c r="B511" i="15"/>
  <c r="AA511" i="13" s="1"/>
  <c r="H511" i="15"/>
  <c r="D511" i="15"/>
  <c r="AC511" i="13" s="1"/>
  <c r="I511" i="15"/>
  <c r="P511" i="15"/>
  <c r="Z511" i="13"/>
  <c r="B437" i="15"/>
  <c r="AA437" i="13" s="1"/>
  <c r="C437" i="15"/>
  <c r="AB437" i="13" s="1"/>
  <c r="D437" i="15"/>
  <c r="AC437" i="13" s="1"/>
  <c r="E437" i="15"/>
  <c r="F437" i="15"/>
  <c r="G437" i="15"/>
  <c r="H437" i="15"/>
  <c r="I437" i="15"/>
  <c r="J437" i="15"/>
  <c r="K437" i="15"/>
  <c r="L437" i="15"/>
  <c r="M437" i="15"/>
  <c r="N437" i="15"/>
  <c r="O437" i="15"/>
  <c r="P437" i="15"/>
  <c r="Z437" i="13"/>
  <c r="B421" i="15"/>
  <c r="AA421" i="13" s="1"/>
  <c r="C421" i="15"/>
  <c r="AB421" i="13" s="1"/>
  <c r="D421" i="15"/>
  <c r="AC421" i="13" s="1"/>
  <c r="E421" i="15"/>
  <c r="F421" i="15"/>
  <c r="G421" i="15"/>
  <c r="H421" i="15"/>
  <c r="I421" i="15"/>
  <c r="J421" i="15"/>
  <c r="K421" i="15"/>
  <c r="L421" i="15"/>
  <c r="M421" i="15"/>
  <c r="N421" i="15"/>
  <c r="O421" i="15"/>
  <c r="P421" i="15"/>
  <c r="Z421" i="13"/>
  <c r="B234" i="15"/>
  <c r="AA234" i="13" s="1"/>
  <c r="C234" i="15"/>
  <c r="AB234" i="13" s="1"/>
  <c r="D234" i="15"/>
  <c r="AC234" i="13" s="1"/>
  <c r="E234" i="15"/>
  <c r="F234" i="15"/>
  <c r="G234" i="15"/>
  <c r="H234" i="15"/>
  <c r="I234" i="15"/>
  <c r="J234" i="15"/>
  <c r="K234" i="15"/>
  <c r="L234" i="15"/>
  <c r="M234" i="15"/>
  <c r="N234" i="15"/>
  <c r="O234" i="15"/>
  <c r="P234" i="15"/>
  <c r="Z234" i="13"/>
  <c r="B228" i="15"/>
  <c r="AA228" i="13" s="1"/>
  <c r="C228" i="15"/>
  <c r="AB228" i="13" s="1"/>
  <c r="D228" i="15"/>
  <c r="AC228" i="13" s="1"/>
  <c r="E228" i="15"/>
  <c r="F228" i="15"/>
  <c r="G228" i="15"/>
  <c r="H228" i="15"/>
  <c r="I228" i="15"/>
  <c r="J228" i="15"/>
  <c r="K228" i="15"/>
  <c r="L228" i="15"/>
  <c r="M228" i="15"/>
  <c r="N228" i="15"/>
  <c r="O228" i="15"/>
  <c r="P228" i="15"/>
  <c r="Z228" i="13"/>
  <c r="B213" i="15"/>
  <c r="AA213" i="13" s="1"/>
  <c r="C213" i="15"/>
  <c r="AB213" i="13" s="1"/>
  <c r="D213" i="15"/>
  <c r="AC213" i="13" s="1"/>
  <c r="E213" i="15"/>
  <c r="F213" i="15"/>
  <c r="G213" i="15"/>
  <c r="H213" i="15"/>
  <c r="I213" i="15"/>
  <c r="J213" i="15"/>
  <c r="K213" i="15"/>
  <c r="L213" i="15"/>
  <c r="M213" i="15"/>
  <c r="N213" i="15"/>
  <c r="O213" i="15"/>
  <c r="P213" i="15"/>
  <c r="Z213" i="13"/>
  <c r="B209" i="15"/>
  <c r="AA209" i="13" s="1"/>
  <c r="C209" i="15"/>
  <c r="AB209" i="13" s="1"/>
  <c r="D209" i="15"/>
  <c r="AC209" i="13" s="1"/>
  <c r="E209" i="15"/>
  <c r="F209" i="15"/>
  <c r="G209" i="15"/>
  <c r="H209" i="15"/>
  <c r="I209" i="15"/>
  <c r="J209" i="15"/>
  <c r="K209" i="15"/>
  <c r="L209" i="15"/>
  <c r="M209" i="15"/>
  <c r="N209" i="15"/>
  <c r="O209" i="15"/>
  <c r="P209" i="15"/>
  <c r="Z209" i="13"/>
  <c r="C448" i="15"/>
  <c r="AB448" i="13" s="1"/>
  <c r="E448" i="15"/>
  <c r="G448" i="15"/>
  <c r="H448" i="15"/>
  <c r="J448" i="15"/>
  <c r="K448" i="15"/>
  <c r="B448" i="15"/>
  <c r="AA448" i="13" s="1"/>
  <c r="F448" i="15"/>
  <c r="L448" i="15"/>
  <c r="O448" i="15"/>
  <c r="Z448" i="13"/>
  <c r="D448" i="15"/>
  <c r="AC448" i="13" s="1"/>
  <c r="N448" i="15"/>
  <c r="P448" i="15"/>
  <c r="I448" i="15"/>
  <c r="M448" i="15"/>
  <c r="C949" i="15"/>
  <c r="AB949" i="13" s="1"/>
  <c r="E949" i="15"/>
  <c r="B949" i="15"/>
  <c r="AA949" i="13" s="1"/>
  <c r="D949" i="15"/>
  <c r="AC949" i="13" s="1"/>
  <c r="F949" i="15"/>
  <c r="G949" i="15"/>
  <c r="H949" i="15"/>
  <c r="I949" i="15"/>
  <c r="J949" i="15"/>
  <c r="K949" i="15"/>
  <c r="L949" i="15"/>
  <c r="M949" i="15"/>
  <c r="N949" i="15"/>
  <c r="O949" i="15"/>
  <c r="P949" i="15"/>
  <c r="Z949" i="13"/>
  <c r="C37" i="15"/>
  <c r="AB37" i="13" s="1"/>
  <c r="E37" i="15"/>
  <c r="G37" i="15"/>
  <c r="I37" i="15"/>
  <c r="M37" i="15"/>
  <c r="N37" i="15"/>
  <c r="B37" i="15"/>
  <c r="AA37" i="13" s="1"/>
  <c r="D37" i="15"/>
  <c r="AC37" i="13" s="1"/>
  <c r="H37" i="15"/>
  <c r="L37" i="15"/>
  <c r="F37" i="15"/>
  <c r="O37" i="15"/>
  <c r="Z37" i="13"/>
  <c r="K37" i="15"/>
  <c r="P37" i="15"/>
  <c r="J37" i="15"/>
  <c r="B544" i="15"/>
  <c r="AA544" i="13" s="1"/>
  <c r="C544" i="15"/>
  <c r="AB544" i="13" s="1"/>
  <c r="D544" i="15"/>
  <c r="AC544" i="13" s="1"/>
  <c r="L544" i="15"/>
  <c r="E544" i="15"/>
  <c r="G544" i="15"/>
  <c r="K544" i="15"/>
  <c r="O544" i="15"/>
  <c r="Z544" i="13"/>
  <c r="F544" i="15"/>
  <c r="H544" i="15"/>
  <c r="I544" i="15"/>
  <c r="J544" i="15"/>
  <c r="M544" i="15"/>
  <c r="N544" i="15"/>
  <c r="P544" i="15"/>
  <c r="B778" i="15"/>
  <c r="AA778" i="13" s="1"/>
  <c r="C778" i="15"/>
  <c r="AB778" i="13" s="1"/>
  <c r="D778" i="15"/>
  <c r="AC778" i="13" s="1"/>
  <c r="E778" i="15"/>
  <c r="F778" i="15"/>
  <c r="G778" i="15"/>
  <c r="H778" i="15"/>
  <c r="I778" i="15"/>
  <c r="J778" i="15"/>
  <c r="K778" i="15"/>
  <c r="L778" i="15"/>
  <c r="M778" i="15"/>
  <c r="N778" i="15"/>
  <c r="O778" i="15"/>
  <c r="P778" i="15"/>
  <c r="Z778" i="13"/>
  <c r="B752" i="15"/>
  <c r="AA752" i="13" s="1"/>
  <c r="C752" i="15"/>
  <c r="AB752" i="13" s="1"/>
  <c r="D752" i="15"/>
  <c r="AC752" i="13" s="1"/>
  <c r="E752" i="15"/>
  <c r="F752" i="15"/>
  <c r="G752" i="15"/>
  <c r="H752" i="15"/>
  <c r="I752" i="15"/>
  <c r="J752" i="15"/>
  <c r="K752" i="15"/>
  <c r="L752" i="15"/>
  <c r="M752" i="15"/>
  <c r="N752" i="15"/>
  <c r="O752" i="15"/>
  <c r="P752" i="15"/>
  <c r="Z752" i="13"/>
  <c r="B380" i="15"/>
  <c r="AA380" i="13" s="1"/>
  <c r="C380" i="15"/>
  <c r="AB380" i="13" s="1"/>
  <c r="D380" i="15"/>
  <c r="AC380" i="13" s="1"/>
  <c r="E380" i="15"/>
  <c r="F380" i="15"/>
  <c r="G380" i="15"/>
  <c r="H380" i="15"/>
  <c r="I380" i="15"/>
  <c r="J380" i="15"/>
  <c r="K380" i="15"/>
  <c r="L380" i="15"/>
  <c r="M380" i="15"/>
  <c r="N380" i="15"/>
  <c r="O380" i="15"/>
  <c r="P380" i="15"/>
  <c r="Z380" i="13"/>
  <c r="B99" i="15"/>
  <c r="AA99" i="13" s="1"/>
  <c r="C99" i="15"/>
  <c r="AB99" i="13" s="1"/>
  <c r="D99" i="15"/>
  <c r="AC99" i="13" s="1"/>
  <c r="E99" i="15"/>
  <c r="F99" i="15"/>
  <c r="G99" i="15"/>
  <c r="H99" i="15"/>
  <c r="I99" i="15"/>
  <c r="J99" i="15"/>
  <c r="K99" i="15"/>
  <c r="L99" i="15"/>
  <c r="M99" i="15"/>
  <c r="N99" i="15"/>
  <c r="O99" i="15"/>
  <c r="P99" i="15"/>
  <c r="Z99" i="13"/>
  <c r="B91" i="15"/>
  <c r="AA91" i="13" s="1"/>
  <c r="C91" i="15"/>
  <c r="AB91" i="13" s="1"/>
  <c r="D91" i="15"/>
  <c r="AC91" i="13" s="1"/>
  <c r="E91" i="15"/>
  <c r="F91" i="15"/>
  <c r="G91" i="15"/>
  <c r="H91" i="15"/>
  <c r="I91" i="15"/>
  <c r="J91" i="15"/>
  <c r="K91" i="15"/>
  <c r="L91" i="15"/>
  <c r="M91" i="15"/>
  <c r="N91" i="15"/>
  <c r="O91" i="15"/>
  <c r="P91" i="15"/>
  <c r="Z91" i="13"/>
  <c r="B78" i="15"/>
  <c r="AA78" i="13" s="1"/>
  <c r="C78" i="15"/>
  <c r="AB78" i="13" s="1"/>
  <c r="D78" i="15"/>
  <c r="AC78" i="13" s="1"/>
  <c r="E78" i="15"/>
  <c r="F78" i="15"/>
  <c r="G78" i="15"/>
  <c r="H78" i="15"/>
  <c r="I78" i="15"/>
  <c r="J78" i="15"/>
  <c r="K78" i="15"/>
  <c r="L78" i="15"/>
  <c r="M78" i="15"/>
  <c r="N78" i="15"/>
  <c r="O78" i="15"/>
  <c r="P78" i="15"/>
  <c r="Z78" i="13"/>
  <c r="B64" i="15"/>
  <c r="AA64" i="13" s="1"/>
  <c r="D64" i="15"/>
  <c r="AC64" i="13" s="1"/>
  <c r="E64" i="15"/>
  <c r="F64" i="15"/>
  <c r="H64" i="15"/>
  <c r="K64" i="15"/>
  <c r="C64" i="15"/>
  <c r="AB64" i="13" s="1"/>
  <c r="G64" i="15"/>
  <c r="I64" i="15"/>
  <c r="L64" i="15"/>
  <c r="N64" i="15"/>
  <c r="O64" i="15"/>
  <c r="P64" i="15"/>
  <c r="J64" i="15"/>
  <c r="M64" i="15"/>
  <c r="Z64" i="13"/>
  <c r="B18" i="15"/>
  <c r="AA18" i="13" s="1"/>
  <c r="C18" i="15"/>
  <c r="AB18" i="13" s="1"/>
  <c r="D18" i="15"/>
  <c r="AC18" i="13" s="1"/>
  <c r="E18" i="15"/>
  <c r="F18" i="15"/>
  <c r="G18" i="15"/>
  <c r="H18" i="15"/>
  <c r="I18" i="15"/>
  <c r="J18" i="15"/>
  <c r="K18" i="15"/>
  <c r="L18" i="15"/>
  <c r="M18" i="15"/>
  <c r="N18" i="15"/>
  <c r="O18" i="15"/>
  <c r="P18" i="15"/>
  <c r="Z18" i="13"/>
  <c r="E445" i="15"/>
  <c r="I445" i="15"/>
  <c r="J445" i="15"/>
  <c r="Z445" i="13"/>
  <c r="B445" i="15"/>
  <c r="AA445" i="13" s="1"/>
  <c r="G445" i="15"/>
  <c r="L445" i="15"/>
  <c r="O445" i="15"/>
  <c r="D445" i="15"/>
  <c r="AC445" i="13" s="1"/>
  <c r="N445" i="15"/>
  <c r="C445" i="15"/>
  <c r="AB445" i="13" s="1"/>
  <c r="F445" i="15"/>
  <c r="H445" i="15"/>
  <c r="K445" i="15"/>
  <c r="M445" i="15"/>
  <c r="P445" i="15"/>
  <c r="E39" i="15"/>
  <c r="K39" i="15"/>
  <c r="Z39" i="13"/>
  <c r="C39" i="15"/>
  <c r="AB39" i="13" s="1"/>
  <c r="L39" i="15"/>
  <c r="N39" i="15"/>
  <c r="P39" i="15"/>
  <c r="J39" i="15"/>
  <c r="G39" i="15"/>
  <c r="I39" i="15"/>
  <c r="M39" i="15"/>
  <c r="O39" i="15"/>
  <c r="B39" i="15"/>
  <c r="AA39" i="13" s="1"/>
  <c r="D39" i="15"/>
  <c r="AC39" i="13" s="1"/>
  <c r="F39" i="15"/>
  <c r="H39" i="15"/>
  <c r="C492" i="15"/>
  <c r="AB492" i="13" s="1"/>
  <c r="H492" i="15"/>
  <c r="M492" i="15"/>
  <c r="Z492" i="13"/>
  <c r="K492" i="15"/>
  <c r="N492" i="15"/>
  <c r="O492" i="15"/>
  <c r="D492" i="15"/>
  <c r="AC492" i="13" s="1"/>
  <c r="G492" i="15"/>
  <c r="I492" i="15"/>
  <c r="L492" i="15"/>
  <c r="P492" i="15"/>
  <c r="B492" i="15"/>
  <c r="AA492" i="13" s="1"/>
  <c r="E492" i="15"/>
  <c r="F492" i="15"/>
  <c r="J492" i="15"/>
  <c r="C980" i="15"/>
  <c r="AB980" i="13" s="1"/>
  <c r="E980" i="15"/>
  <c r="G980" i="15"/>
  <c r="H980" i="15"/>
  <c r="I980" i="15"/>
  <c r="J980" i="15"/>
  <c r="L980" i="15"/>
  <c r="Z980" i="13"/>
  <c r="B980" i="15"/>
  <c r="AA980" i="13" s="1"/>
  <c r="D980" i="15"/>
  <c r="AC980" i="13" s="1"/>
  <c r="F980" i="15"/>
  <c r="K980" i="15"/>
  <c r="M980" i="15"/>
  <c r="N980" i="15"/>
  <c r="O980" i="15"/>
  <c r="P980" i="15"/>
  <c r="D979" i="15"/>
  <c r="AC979" i="13" s="1"/>
  <c r="F979" i="15"/>
  <c r="H979" i="15"/>
  <c r="J979" i="15"/>
  <c r="Z979" i="13"/>
  <c r="B979" i="15"/>
  <c r="AA979" i="13" s="1"/>
  <c r="C979" i="15"/>
  <c r="AB979" i="13" s="1"/>
  <c r="E979" i="15"/>
  <c r="G979" i="15"/>
  <c r="I979" i="15"/>
  <c r="K979" i="15"/>
  <c r="L979" i="15"/>
  <c r="M979" i="15"/>
  <c r="N979" i="15"/>
  <c r="O979" i="15"/>
  <c r="P979" i="15"/>
  <c r="C974" i="15"/>
  <c r="AB974" i="13" s="1"/>
  <c r="D974" i="15"/>
  <c r="AC974" i="13" s="1"/>
  <c r="E974" i="15"/>
  <c r="F974" i="15"/>
  <c r="G974" i="15"/>
  <c r="H974" i="15"/>
  <c r="I974" i="15"/>
  <c r="J974" i="15"/>
  <c r="K974" i="15"/>
  <c r="L974" i="15"/>
  <c r="M974" i="15"/>
  <c r="N974" i="15"/>
  <c r="O974" i="15"/>
  <c r="P974" i="15"/>
  <c r="Z974" i="13"/>
  <c r="B974" i="15"/>
  <c r="AA974" i="13" s="1"/>
  <c r="C971" i="15"/>
  <c r="AB971" i="13" s="1"/>
  <c r="E971" i="15"/>
  <c r="G971" i="15"/>
  <c r="I971" i="15"/>
  <c r="J971" i="15"/>
  <c r="L971" i="15"/>
  <c r="Z971" i="13"/>
  <c r="B971" i="15"/>
  <c r="AA971" i="13" s="1"/>
  <c r="D971" i="15"/>
  <c r="AC971" i="13" s="1"/>
  <c r="F971" i="15"/>
  <c r="H971" i="15"/>
  <c r="K971" i="15"/>
  <c r="M971" i="15"/>
  <c r="N971" i="15"/>
  <c r="O971" i="15"/>
  <c r="P971" i="15"/>
  <c r="B964" i="15"/>
  <c r="AA964" i="13" s="1"/>
  <c r="D964" i="15"/>
  <c r="AC964" i="13" s="1"/>
  <c r="F964" i="15"/>
  <c r="G964" i="15"/>
  <c r="I964" i="15"/>
  <c r="K964" i="15"/>
  <c r="M964" i="15"/>
  <c r="Z964" i="13"/>
  <c r="C964" i="15"/>
  <c r="AB964" i="13" s="1"/>
  <c r="E964" i="15"/>
  <c r="H964" i="15"/>
  <c r="J964" i="15"/>
  <c r="L964" i="15"/>
  <c r="N964" i="15"/>
  <c r="O964" i="15"/>
  <c r="P964" i="15"/>
  <c r="B957" i="15"/>
  <c r="AA957" i="13" s="1"/>
  <c r="C957" i="15"/>
  <c r="AB957" i="13" s="1"/>
  <c r="D957" i="15"/>
  <c r="AC957" i="13" s="1"/>
  <c r="E957" i="15"/>
  <c r="F957" i="15"/>
  <c r="G957" i="15"/>
  <c r="H957" i="15"/>
  <c r="I957" i="15"/>
  <c r="J957" i="15"/>
  <c r="K957" i="15"/>
  <c r="L957" i="15"/>
  <c r="M957" i="15"/>
  <c r="N957" i="15"/>
  <c r="O957" i="15"/>
  <c r="P957" i="15"/>
  <c r="Z957" i="13"/>
  <c r="B944" i="15"/>
  <c r="AA944" i="13" s="1"/>
  <c r="D944" i="15"/>
  <c r="AC944" i="13" s="1"/>
  <c r="F944" i="15"/>
  <c r="H944" i="15"/>
  <c r="J944" i="15"/>
  <c r="K944" i="15"/>
  <c r="M944" i="15"/>
  <c r="Z944" i="13"/>
  <c r="C944" i="15"/>
  <c r="AB944" i="13" s="1"/>
  <c r="E944" i="15"/>
  <c r="G944" i="15"/>
  <c r="I944" i="15"/>
  <c r="L944" i="15"/>
  <c r="N944" i="15"/>
  <c r="O944" i="15"/>
  <c r="P944" i="15"/>
  <c r="C932" i="15"/>
  <c r="AB932" i="13" s="1"/>
  <c r="D932" i="15"/>
  <c r="AC932" i="13" s="1"/>
  <c r="E932" i="15"/>
  <c r="F932" i="15"/>
  <c r="G932" i="15"/>
  <c r="H932" i="15"/>
  <c r="I932" i="15"/>
  <c r="J932" i="15"/>
  <c r="K932" i="15"/>
  <c r="L932" i="15"/>
  <c r="M932" i="15"/>
  <c r="N932" i="15"/>
  <c r="O932" i="15"/>
  <c r="P932" i="15"/>
  <c r="Z932" i="13"/>
  <c r="B932" i="15"/>
  <c r="AA932" i="13" s="1"/>
  <c r="B921" i="15"/>
  <c r="AA921" i="13" s="1"/>
  <c r="C921" i="15"/>
  <c r="AB921" i="13" s="1"/>
  <c r="D921" i="15"/>
  <c r="AC921" i="13" s="1"/>
  <c r="E921" i="15"/>
  <c r="F921" i="15"/>
  <c r="G921" i="15"/>
  <c r="H921" i="15"/>
  <c r="I921" i="15"/>
  <c r="J921" i="15"/>
  <c r="K921" i="15"/>
  <c r="L921" i="15"/>
  <c r="M921" i="15"/>
  <c r="N921" i="15"/>
  <c r="O921" i="15"/>
  <c r="P921" i="15"/>
  <c r="Z921" i="13"/>
  <c r="B910" i="15"/>
  <c r="AA910" i="13" s="1"/>
  <c r="C910" i="15"/>
  <c r="AB910" i="13" s="1"/>
  <c r="E910" i="15"/>
  <c r="F910" i="15"/>
  <c r="G910" i="15"/>
  <c r="H910" i="15"/>
  <c r="I910" i="15"/>
  <c r="J910" i="15"/>
  <c r="K910" i="15"/>
  <c r="L910" i="15"/>
  <c r="M910" i="15"/>
  <c r="N910" i="15"/>
  <c r="O910" i="15"/>
  <c r="P910" i="15"/>
  <c r="Z910" i="13"/>
  <c r="D910" i="15"/>
  <c r="AC910" i="13" s="1"/>
  <c r="C893" i="15"/>
  <c r="AB893" i="13" s="1"/>
  <c r="D893" i="15"/>
  <c r="AC893" i="13" s="1"/>
  <c r="F893" i="15"/>
  <c r="G893" i="15"/>
  <c r="H893" i="15"/>
  <c r="I893" i="15"/>
  <c r="J893" i="15"/>
  <c r="K893" i="15"/>
  <c r="L893" i="15"/>
  <c r="M893" i="15"/>
  <c r="N893" i="15"/>
  <c r="O893" i="15"/>
  <c r="P893" i="15"/>
  <c r="B893" i="15"/>
  <c r="AA893" i="13" s="1"/>
  <c r="E893" i="15"/>
  <c r="Z893" i="13"/>
  <c r="B890" i="15"/>
  <c r="AA890" i="13" s="1"/>
  <c r="C890" i="15"/>
  <c r="AB890" i="13" s="1"/>
  <c r="D890" i="15"/>
  <c r="AC890" i="13" s="1"/>
  <c r="E890" i="15"/>
  <c r="F890" i="15"/>
  <c r="G890" i="15"/>
  <c r="H890" i="15"/>
  <c r="I890" i="15"/>
  <c r="J890" i="15"/>
  <c r="K890" i="15"/>
  <c r="L890" i="15"/>
  <c r="M890" i="15"/>
  <c r="N890" i="15"/>
  <c r="O890" i="15"/>
  <c r="P890" i="15"/>
  <c r="Z890" i="13"/>
  <c r="B887" i="15"/>
  <c r="AA887" i="13" s="1"/>
  <c r="C887" i="15"/>
  <c r="AB887" i="13" s="1"/>
  <c r="D887" i="15"/>
  <c r="AC887" i="13" s="1"/>
  <c r="E887" i="15"/>
  <c r="F887" i="15"/>
  <c r="G887" i="15"/>
  <c r="H887" i="15"/>
  <c r="I887" i="15"/>
  <c r="J887" i="15"/>
  <c r="K887" i="15"/>
  <c r="L887" i="15"/>
  <c r="M887" i="15"/>
  <c r="N887" i="15"/>
  <c r="O887" i="15"/>
  <c r="P887" i="15"/>
  <c r="Z887" i="13"/>
  <c r="B883" i="15"/>
  <c r="AA883" i="13" s="1"/>
  <c r="C883" i="15"/>
  <c r="AB883" i="13" s="1"/>
  <c r="D883" i="15"/>
  <c r="AC883" i="13" s="1"/>
  <c r="E883" i="15"/>
  <c r="F883" i="15"/>
  <c r="G883" i="15"/>
  <c r="H883" i="15"/>
  <c r="I883" i="15"/>
  <c r="J883" i="15"/>
  <c r="K883" i="15"/>
  <c r="L883" i="15"/>
  <c r="M883" i="15"/>
  <c r="N883" i="15"/>
  <c r="O883" i="15"/>
  <c r="P883" i="15"/>
  <c r="Z883" i="13"/>
  <c r="B870" i="15"/>
  <c r="AA870" i="13" s="1"/>
  <c r="C870" i="15"/>
  <c r="AB870" i="13" s="1"/>
  <c r="D870" i="15"/>
  <c r="AC870" i="13" s="1"/>
  <c r="E870" i="15"/>
  <c r="F870" i="15"/>
  <c r="G870" i="15"/>
  <c r="K870" i="15"/>
  <c r="L870" i="15"/>
  <c r="M870" i="15"/>
  <c r="N870" i="15"/>
  <c r="O870" i="15"/>
  <c r="P870" i="15"/>
  <c r="Z870" i="13"/>
  <c r="H870" i="15"/>
  <c r="I870" i="15"/>
  <c r="J870" i="15"/>
  <c r="M858" i="15"/>
  <c r="N858" i="15"/>
  <c r="O858" i="15"/>
  <c r="P858" i="15"/>
  <c r="Z858" i="13"/>
  <c r="B858" i="15"/>
  <c r="AA858" i="13" s="1"/>
  <c r="C858" i="15"/>
  <c r="AB858" i="13" s="1"/>
  <c r="D858" i="15"/>
  <c r="AC858" i="13" s="1"/>
  <c r="E858" i="15"/>
  <c r="F858" i="15"/>
  <c r="G858" i="15"/>
  <c r="H858" i="15"/>
  <c r="I858" i="15"/>
  <c r="J858" i="15"/>
  <c r="K858" i="15"/>
  <c r="L858" i="15"/>
  <c r="C566" i="15"/>
  <c r="AB566" i="13" s="1"/>
  <c r="Z566" i="13"/>
  <c r="B566" i="15"/>
  <c r="AA566" i="13" s="1"/>
  <c r="D566" i="15"/>
  <c r="AC566" i="13" s="1"/>
  <c r="E566" i="15"/>
  <c r="F566" i="15"/>
  <c r="H566" i="15"/>
  <c r="K566" i="15"/>
  <c r="L566" i="15"/>
  <c r="M566" i="15"/>
  <c r="G566" i="15"/>
  <c r="I566" i="15"/>
  <c r="J566" i="15"/>
  <c r="N566" i="15"/>
  <c r="O566" i="15"/>
  <c r="P566" i="15"/>
  <c r="B547" i="15"/>
  <c r="AA547" i="13" s="1"/>
  <c r="C547" i="15"/>
  <c r="AB547" i="13" s="1"/>
  <c r="F547" i="15"/>
  <c r="I547" i="15"/>
  <c r="L547" i="15"/>
  <c r="M547" i="15"/>
  <c r="O547" i="15"/>
  <c r="Z547" i="13"/>
  <c r="H547" i="15"/>
  <c r="N547" i="15"/>
  <c r="P547" i="15"/>
  <c r="D547" i="15"/>
  <c r="AC547" i="13" s="1"/>
  <c r="E547" i="15"/>
  <c r="G547" i="15"/>
  <c r="J547" i="15"/>
  <c r="K547" i="15"/>
  <c r="E542" i="15"/>
  <c r="L542" i="15"/>
  <c r="P542" i="15"/>
  <c r="Z542" i="13"/>
  <c r="B542" i="15"/>
  <c r="AA542" i="13" s="1"/>
  <c r="C542" i="15"/>
  <c r="AB542" i="13" s="1"/>
  <c r="F542" i="15"/>
  <c r="G542" i="15"/>
  <c r="I542" i="15"/>
  <c r="J542" i="15"/>
  <c r="D542" i="15"/>
  <c r="AC542" i="13" s="1"/>
  <c r="H542" i="15"/>
  <c r="K542" i="15"/>
  <c r="M542" i="15"/>
  <c r="N542" i="15"/>
  <c r="O542" i="15"/>
  <c r="C539" i="15"/>
  <c r="AB539" i="13" s="1"/>
  <c r="F539" i="15"/>
  <c r="J539" i="15"/>
  <c r="N539" i="15"/>
  <c r="Z539" i="13"/>
  <c r="B539" i="15"/>
  <c r="AA539" i="13" s="1"/>
  <c r="D539" i="15"/>
  <c r="AC539" i="13" s="1"/>
  <c r="E539" i="15"/>
  <c r="K539" i="15"/>
  <c r="L539" i="15"/>
  <c r="M539" i="15"/>
  <c r="O539" i="15"/>
  <c r="P539" i="15"/>
  <c r="G539" i="15"/>
  <c r="H539" i="15"/>
  <c r="I539" i="15"/>
  <c r="E528" i="15"/>
  <c r="K528" i="15"/>
  <c r="N528" i="15"/>
  <c r="O528" i="15"/>
  <c r="Z528" i="13"/>
  <c r="C528" i="15"/>
  <c r="AB528" i="13" s="1"/>
  <c r="D528" i="15"/>
  <c r="AC528" i="13" s="1"/>
  <c r="G528" i="15"/>
  <c r="H528" i="15"/>
  <c r="L528" i="15"/>
  <c r="M528" i="15"/>
  <c r="P528" i="15"/>
  <c r="B528" i="15"/>
  <c r="AA528" i="13" s="1"/>
  <c r="F528" i="15"/>
  <c r="I528" i="15"/>
  <c r="J528" i="15"/>
  <c r="C521" i="15"/>
  <c r="AB521" i="13" s="1"/>
  <c r="E521" i="15"/>
  <c r="I521" i="15"/>
  <c r="J521" i="15"/>
  <c r="K521" i="15"/>
  <c r="L521" i="15"/>
  <c r="M521" i="15"/>
  <c r="N521" i="15"/>
  <c r="O521" i="15"/>
  <c r="P521" i="15"/>
  <c r="Z521" i="13"/>
  <c r="B521" i="15"/>
  <c r="AA521" i="13" s="1"/>
  <c r="D521" i="15"/>
  <c r="AC521" i="13" s="1"/>
  <c r="F521" i="15"/>
  <c r="G521" i="15"/>
  <c r="H521" i="15"/>
  <c r="B836" i="15"/>
  <c r="AA836" i="13" s="1"/>
  <c r="C836" i="15"/>
  <c r="AB836" i="13" s="1"/>
  <c r="D836" i="15"/>
  <c r="AC836" i="13" s="1"/>
  <c r="E836" i="15"/>
  <c r="F836" i="15"/>
  <c r="G836" i="15"/>
  <c r="H836" i="15"/>
  <c r="I836" i="15"/>
  <c r="J836" i="15"/>
  <c r="K836" i="15"/>
  <c r="L836" i="15"/>
  <c r="M836" i="15"/>
  <c r="N836" i="15"/>
  <c r="O836" i="15"/>
  <c r="P836" i="15"/>
  <c r="Z836" i="13"/>
  <c r="B833" i="15"/>
  <c r="AA833" i="13" s="1"/>
  <c r="C833" i="15"/>
  <c r="AB833" i="13" s="1"/>
  <c r="D833" i="15"/>
  <c r="AC833" i="13" s="1"/>
  <c r="E833" i="15"/>
  <c r="F833" i="15"/>
  <c r="G833" i="15"/>
  <c r="H833" i="15"/>
  <c r="I833" i="15"/>
  <c r="J833" i="15"/>
  <c r="K833" i="15"/>
  <c r="L833" i="15"/>
  <c r="M833" i="15"/>
  <c r="N833" i="15"/>
  <c r="O833" i="15"/>
  <c r="P833" i="15"/>
  <c r="Z833" i="13"/>
  <c r="B831" i="15"/>
  <c r="AA831" i="13" s="1"/>
  <c r="C831" i="15"/>
  <c r="AB831" i="13" s="1"/>
  <c r="D831" i="15"/>
  <c r="AC831" i="13" s="1"/>
  <c r="E831" i="15"/>
  <c r="F831" i="15"/>
  <c r="G831" i="15"/>
  <c r="H831" i="15"/>
  <c r="I831" i="15"/>
  <c r="J831" i="15"/>
  <c r="K831" i="15"/>
  <c r="L831" i="15"/>
  <c r="M831" i="15"/>
  <c r="N831" i="15"/>
  <c r="O831" i="15"/>
  <c r="P831" i="15"/>
  <c r="Z831" i="13"/>
  <c r="B828" i="15"/>
  <c r="AA828" i="13" s="1"/>
  <c r="C828" i="15"/>
  <c r="AB828" i="13" s="1"/>
  <c r="D828" i="15"/>
  <c r="AC828" i="13" s="1"/>
  <c r="E828" i="15"/>
  <c r="F828" i="15"/>
  <c r="G828" i="15"/>
  <c r="H828" i="15"/>
  <c r="I828" i="15"/>
  <c r="J828" i="15"/>
  <c r="K828" i="15"/>
  <c r="L828" i="15"/>
  <c r="M828" i="15"/>
  <c r="N828" i="15"/>
  <c r="O828" i="15"/>
  <c r="P828" i="15"/>
  <c r="Z828" i="13"/>
  <c r="B826" i="15"/>
  <c r="AA826" i="13" s="1"/>
  <c r="C826" i="15"/>
  <c r="AB826" i="13" s="1"/>
  <c r="D826" i="15"/>
  <c r="AC826" i="13" s="1"/>
  <c r="E826" i="15"/>
  <c r="F826" i="15"/>
  <c r="G826" i="15"/>
  <c r="H826" i="15"/>
  <c r="I826" i="15"/>
  <c r="J826" i="15"/>
  <c r="K826" i="15"/>
  <c r="L826" i="15"/>
  <c r="M826" i="15"/>
  <c r="N826" i="15"/>
  <c r="O826" i="15"/>
  <c r="P826" i="15"/>
  <c r="Z826" i="13"/>
  <c r="B823" i="15"/>
  <c r="AA823" i="13" s="1"/>
  <c r="C823" i="15"/>
  <c r="AB823" i="13" s="1"/>
  <c r="D823" i="15"/>
  <c r="AC823" i="13" s="1"/>
  <c r="E823" i="15"/>
  <c r="F823" i="15"/>
  <c r="G823" i="15"/>
  <c r="H823" i="15"/>
  <c r="I823" i="15"/>
  <c r="J823" i="15"/>
  <c r="K823" i="15"/>
  <c r="L823" i="15"/>
  <c r="M823" i="15"/>
  <c r="N823" i="15"/>
  <c r="O823" i="15"/>
  <c r="P823" i="15"/>
  <c r="Z823" i="13"/>
  <c r="B821" i="15"/>
  <c r="AA821" i="13" s="1"/>
  <c r="C821" i="15"/>
  <c r="AB821" i="13" s="1"/>
  <c r="D821" i="15"/>
  <c r="AC821" i="13" s="1"/>
  <c r="E821" i="15"/>
  <c r="F821" i="15"/>
  <c r="G821" i="15"/>
  <c r="H821" i="15"/>
  <c r="I821" i="15"/>
  <c r="J821" i="15"/>
  <c r="K821" i="15"/>
  <c r="L821" i="15"/>
  <c r="M821" i="15"/>
  <c r="N821" i="15"/>
  <c r="O821" i="15"/>
  <c r="P821" i="15"/>
  <c r="Z821" i="13"/>
  <c r="B820" i="15"/>
  <c r="AA820" i="13" s="1"/>
  <c r="C820" i="15"/>
  <c r="AB820" i="13" s="1"/>
  <c r="D820" i="15"/>
  <c r="AC820" i="13" s="1"/>
  <c r="E820" i="15"/>
  <c r="F820" i="15"/>
  <c r="G820" i="15"/>
  <c r="H820" i="15"/>
  <c r="I820" i="15"/>
  <c r="J820" i="15"/>
  <c r="K820" i="15"/>
  <c r="L820" i="15"/>
  <c r="M820" i="15"/>
  <c r="N820" i="15"/>
  <c r="O820" i="15"/>
  <c r="P820" i="15"/>
  <c r="Z820" i="13"/>
  <c r="B819" i="15"/>
  <c r="AA819" i="13" s="1"/>
  <c r="C819" i="15"/>
  <c r="AB819" i="13" s="1"/>
  <c r="D819" i="15"/>
  <c r="AC819" i="13" s="1"/>
  <c r="E819" i="15"/>
  <c r="F819" i="15"/>
  <c r="G819" i="15"/>
  <c r="H819" i="15"/>
  <c r="I819" i="15"/>
  <c r="J819" i="15"/>
  <c r="K819" i="15"/>
  <c r="L819" i="15"/>
  <c r="M819" i="15"/>
  <c r="N819" i="15"/>
  <c r="O819" i="15"/>
  <c r="P819" i="15"/>
  <c r="Z819" i="13"/>
  <c r="B818" i="15"/>
  <c r="AA818" i="13" s="1"/>
  <c r="C818" i="15"/>
  <c r="AB818" i="13" s="1"/>
  <c r="D818" i="15"/>
  <c r="AC818" i="13" s="1"/>
  <c r="E818" i="15"/>
  <c r="F818" i="15"/>
  <c r="G818" i="15"/>
  <c r="H818" i="15"/>
  <c r="I818" i="15"/>
  <c r="J818" i="15"/>
  <c r="K818" i="15"/>
  <c r="L818" i="15"/>
  <c r="M818" i="15"/>
  <c r="N818" i="15"/>
  <c r="O818" i="15"/>
  <c r="P818" i="15"/>
  <c r="Z818" i="13"/>
  <c r="B817" i="15"/>
  <c r="AA817" i="13" s="1"/>
  <c r="C817" i="15"/>
  <c r="AB817" i="13" s="1"/>
  <c r="D817" i="15"/>
  <c r="AC817" i="13" s="1"/>
  <c r="E817" i="15"/>
  <c r="F817" i="15"/>
  <c r="G817" i="15"/>
  <c r="H817" i="15"/>
  <c r="I817" i="15"/>
  <c r="J817" i="15"/>
  <c r="K817" i="15"/>
  <c r="L817" i="15"/>
  <c r="M817" i="15"/>
  <c r="N817" i="15"/>
  <c r="O817" i="15"/>
  <c r="P817" i="15"/>
  <c r="Z817" i="13"/>
  <c r="B816" i="15"/>
  <c r="AA816" i="13" s="1"/>
  <c r="C816" i="15"/>
  <c r="AB816" i="13" s="1"/>
  <c r="D816" i="15"/>
  <c r="AC816" i="13" s="1"/>
  <c r="E816" i="15"/>
  <c r="F816" i="15"/>
  <c r="G816" i="15"/>
  <c r="H816" i="15"/>
  <c r="I816" i="15"/>
  <c r="J816" i="15"/>
  <c r="K816" i="15"/>
  <c r="L816" i="15"/>
  <c r="M816" i="15"/>
  <c r="N816" i="15"/>
  <c r="O816" i="15"/>
  <c r="P816" i="15"/>
  <c r="Z816" i="13"/>
  <c r="B815" i="15"/>
  <c r="AA815" i="13" s="1"/>
  <c r="C815" i="15"/>
  <c r="AB815" i="13" s="1"/>
  <c r="D815" i="15"/>
  <c r="AC815" i="13" s="1"/>
  <c r="E815" i="15"/>
  <c r="F815" i="15"/>
  <c r="G815" i="15"/>
  <c r="H815" i="15"/>
  <c r="I815" i="15"/>
  <c r="J815" i="15"/>
  <c r="K815" i="15"/>
  <c r="L815" i="15"/>
  <c r="M815" i="15"/>
  <c r="N815" i="15"/>
  <c r="O815" i="15"/>
  <c r="P815" i="15"/>
  <c r="Z815" i="13"/>
  <c r="B814" i="15"/>
  <c r="AA814" i="13" s="1"/>
  <c r="C814" i="15"/>
  <c r="AB814" i="13" s="1"/>
  <c r="D814" i="15"/>
  <c r="AC814" i="13" s="1"/>
  <c r="E814" i="15"/>
  <c r="F814" i="15"/>
  <c r="G814" i="15"/>
  <c r="H814" i="15"/>
  <c r="I814" i="15"/>
  <c r="J814" i="15"/>
  <c r="K814" i="15"/>
  <c r="L814" i="15"/>
  <c r="M814" i="15"/>
  <c r="N814" i="15"/>
  <c r="O814" i="15"/>
  <c r="P814" i="15"/>
  <c r="Z814" i="13"/>
  <c r="B813" i="15"/>
  <c r="AA813" i="13" s="1"/>
  <c r="C813" i="15"/>
  <c r="AB813" i="13" s="1"/>
  <c r="D813" i="15"/>
  <c r="AC813" i="13" s="1"/>
  <c r="E813" i="15"/>
  <c r="F813" i="15"/>
  <c r="G813" i="15"/>
  <c r="H813" i="15"/>
  <c r="I813" i="15"/>
  <c r="J813" i="15"/>
  <c r="K813" i="15"/>
  <c r="L813" i="15"/>
  <c r="M813" i="15"/>
  <c r="N813" i="15"/>
  <c r="O813" i="15"/>
  <c r="P813" i="15"/>
  <c r="Z813" i="13"/>
  <c r="B812" i="15"/>
  <c r="AA812" i="13" s="1"/>
  <c r="C812" i="15"/>
  <c r="AB812" i="13" s="1"/>
  <c r="D812" i="15"/>
  <c r="AC812" i="13" s="1"/>
  <c r="E812" i="15"/>
  <c r="F812" i="15"/>
  <c r="G812" i="15"/>
  <c r="H812" i="15"/>
  <c r="I812" i="15"/>
  <c r="J812" i="15"/>
  <c r="K812" i="15"/>
  <c r="L812" i="15"/>
  <c r="M812" i="15"/>
  <c r="N812" i="15"/>
  <c r="O812" i="15"/>
  <c r="P812" i="15"/>
  <c r="Z812" i="13"/>
  <c r="B811" i="15"/>
  <c r="AA811" i="13" s="1"/>
  <c r="C811" i="15"/>
  <c r="AB811" i="13" s="1"/>
  <c r="D811" i="15"/>
  <c r="AC811" i="13" s="1"/>
  <c r="E811" i="15"/>
  <c r="F811" i="15"/>
  <c r="G811" i="15"/>
  <c r="H811" i="15"/>
  <c r="I811" i="15"/>
  <c r="J811" i="15"/>
  <c r="K811" i="15"/>
  <c r="L811" i="15"/>
  <c r="M811" i="15"/>
  <c r="N811" i="15"/>
  <c r="O811" i="15"/>
  <c r="P811" i="15"/>
  <c r="Z811" i="13"/>
  <c r="B810" i="15"/>
  <c r="AA810" i="13" s="1"/>
  <c r="C810" i="15"/>
  <c r="AB810" i="13" s="1"/>
  <c r="D810" i="15"/>
  <c r="AC810" i="13" s="1"/>
  <c r="E810" i="15"/>
  <c r="F810" i="15"/>
  <c r="G810" i="15"/>
  <c r="H810" i="15"/>
  <c r="I810" i="15"/>
  <c r="J810" i="15"/>
  <c r="K810" i="15"/>
  <c r="L810" i="15"/>
  <c r="M810" i="15"/>
  <c r="N810" i="15"/>
  <c r="O810" i="15"/>
  <c r="P810" i="15"/>
  <c r="Z810" i="13"/>
  <c r="B809" i="15"/>
  <c r="AA809" i="13" s="1"/>
  <c r="C809" i="15"/>
  <c r="AB809" i="13" s="1"/>
  <c r="D809" i="15"/>
  <c r="AC809" i="13" s="1"/>
  <c r="E809" i="15"/>
  <c r="F809" i="15"/>
  <c r="G809" i="15"/>
  <c r="H809" i="15"/>
  <c r="I809" i="15"/>
  <c r="J809" i="15"/>
  <c r="K809" i="15"/>
  <c r="L809" i="15"/>
  <c r="M809" i="15"/>
  <c r="N809" i="15"/>
  <c r="O809" i="15"/>
  <c r="P809" i="15"/>
  <c r="Z809" i="13"/>
  <c r="B808" i="15"/>
  <c r="AA808" i="13" s="1"/>
  <c r="C808" i="15"/>
  <c r="AB808" i="13" s="1"/>
  <c r="D808" i="15"/>
  <c r="AC808" i="13" s="1"/>
  <c r="E808" i="15"/>
  <c r="F808" i="15"/>
  <c r="G808" i="15"/>
  <c r="H808" i="15"/>
  <c r="I808" i="15"/>
  <c r="J808" i="15"/>
  <c r="K808" i="15"/>
  <c r="L808" i="15"/>
  <c r="M808" i="15"/>
  <c r="N808" i="15"/>
  <c r="O808" i="15"/>
  <c r="P808" i="15"/>
  <c r="Z808" i="13"/>
  <c r="B807" i="15"/>
  <c r="AA807" i="13" s="1"/>
  <c r="C807" i="15"/>
  <c r="AB807" i="13" s="1"/>
  <c r="D807" i="15"/>
  <c r="AC807" i="13" s="1"/>
  <c r="E807" i="15"/>
  <c r="F807" i="15"/>
  <c r="G807" i="15"/>
  <c r="H807" i="15"/>
  <c r="I807" i="15"/>
  <c r="J807" i="15"/>
  <c r="K807" i="15"/>
  <c r="L807" i="15"/>
  <c r="M807" i="15"/>
  <c r="N807" i="15"/>
  <c r="O807" i="15"/>
  <c r="P807" i="15"/>
  <c r="Z807" i="13"/>
  <c r="B806" i="15"/>
  <c r="AA806" i="13" s="1"/>
  <c r="C806" i="15"/>
  <c r="AB806" i="13" s="1"/>
  <c r="D806" i="15"/>
  <c r="AC806" i="13" s="1"/>
  <c r="E806" i="15"/>
  <c r="F806" i="15"/>
  <c r="G806" i="15"/>
  <c r="H806" i="15"/>
  <c r="I806" i="15"/>
  <c r="J806" i="15"/>
  <c r="K806" i="15"/>
  <c r="L806" i="15"/>
  <c r="M806" i="15"/>
  <c r="N806" i="15"/>
  <c r="O806" i="15"/>
  <c r="P806" i="15"/>
  <c r="Z806" i="13"/>
  <c r="B805" i="15"/>
  <c r="AA805" i="13" s="1"/>
  <c r="C805" i="15"/>
  <c r="AB805" i="13" s="1"/>
  <c r="D805" i="15"/>
  <c r="AC805" i="13" s="1"/>
  <c r="E805" i="15"/>
  <c r="F805" i="15"/>
  <c r="G805" i="15"/>
  <c r="H805" i="15"/>
  <c r="I805" i="15"/>
  <c r="J805" i="15"/>
  <c r="K805" i="15"/>
  <c r="L805" i="15"/>
  <c r="M805" i="15"/>
  <c r="N805" i="15"/>
  <c r="O805" i="15"/>
  <c r="P805" i="15"/>
  <c r="Z805" i="13"/>
  <c r="B804" i="15"/>
  <c r="AA804" i="13" s="1"/>
  <c r="C804" i="15"/>
  <c r="AB804" i="13" s="1"/>
  <c r="D804" i="15"/>
  <c r="AC804" i="13" s="1"/>
  <c r="E804" i="15"/>
  <c r="F804" i="15"/>
  <c r="G804" i="15"/>
  <c r="H804" i="15"/>
  <c r="I804" i="15"/>
  <c r="J804" i="15"/>
  <c r="K804" i="15"/>
  <c r="L804" i="15"/>
  <c r="M804" i="15"/>
  <c r="N804" i="15"/>
  <c r="O804" i="15"/>
  <c r="P804" i="15"/>
  <c r="Z804" i="13"/>
  <c r="B803" i="15"/>
  <c r="AA803" i="13" s="1"/>
  <c r="C803" i="15"/>
  <c r="AB803" i="13" s="1"/>
  <c r="D803" i="15"/>
  <c r="AC803" i="13" s="1"/>
  <c r="E803" i="15"/>
  <c r="F803" i="15"/>
  <c r="G803" i="15"/>
  <c r="H803" i="15"/>
  <c r="I803" i="15"/>
  <c r="J803" i="15"/>
  <c r="K803" i="15"/>
  <c r="L803" i="15"/>
  <c r="M803" i="15"/>
  <c r="N803" i="15"/>
  <c r="O803" i="15"/>
  <c r="P803" i="15"/>
  <c r="Z803" i="13"/>
  <c r="B802" i="15"/>
  <c r="AA802" i="13" s="1"/>
  <c r="C802" i="15"/>
  <c r="AB802" i="13" s="1"/>
  <c r="D802" i="15"/>
  <c r="AC802" i="13" s="1"/>
  <c r="E802" i="15"/>
  <c r="F802" i="15"/>
  <c r="G802" i="15"/>
  <c r="H802" i="15"/>
  <c r="I802" i="15"/>
  <c r="J802" i="15"/>
  <c r="K802" i="15"/>
  <c r="L802" i="15"/>
  <c r="M802" i="15"/>
  <c r="N802" i="15"/>
  <c r="O802" i="15"/>
  <c r="P802" i="15"/>
  <c r="Z802" i="13"/>
  <c r="B801" i="15"/>
  <c r="AA801" i="13" s="1"/>
  <c r="C801" i="15"/>
  <c r="AB801" i="13" s="1"/>
  <c r="D801" i="15"/>
  <c r="AC801" i="13" s="1"/>
  <c r="E801" i="15"/>
  <c r="F801" i="15"/>
  <c r="G801" i="15"/>
  <c r="H801" i="15"/>
  <c r="I801" i="15"/>
  <c r="J801" i="15"/>
  <c r="K801" i="15"/>
  <c r="L801" i="15"/>
  <c r="M801" i="15"/>
  <c r="N801" i="15"/>
  <c r="O801" i="15"/>
  <c r="P801" i="15"/>
  <c r="Z801" i="13"/>
  <c r="B800" i="15"/>
  <c r="AA800" i="13" s="1"/>
  <c r="C800" i="15"/>
  <c r="AB800" i="13" s="1"/>
  <c r="D800" i="15"/>
  <c r="AC800" i="13" s="1"/>
  <c r="E800" i="15"/>
  <c r="F800" i="15"/>
  <c r="G800" i="15"/>
  <c r="H800" i="15"/>
  <c r="I800" i="15"/>
  <c r="J800" i="15"/>
  <c r="K800" i="15"/>
  <c r="L800" i="15"/>
  <c r="M800" i="15"/>
  <c r="N800" i="15"/>
  <c r="O800" i="15"/>
  <c r="P800" i="15"/>
  <c r="Z800" i="13"/>
  <c r="B799" i="15"/>
  <c r="AA799" i="13" s="1"/>
  <c r="C799" i="15"/>
  <c r="AB799" i="13" s="1"/>
  <c r="D799" i="15"/>
  <c r="AC799" i="13" s="1"/>
  <c r="E799" i="15"/>
  <c r="F799" i="15"/>
  <c r="G799" i="15"/>
  <c r="H799" i="15"/>
  <c r="I799" i="15"/>
  <c r="J799" i="15"/>
  <c r="K799" i="15"/>
  <c r="L799" i="15"/>
  <c r="M799" i="15"/>
  <c r="N799" i="15"/>
  <c r="O799" i="15"/>
  <c r="P799" i="15"/>
  <c r="Z799" i="13"/>
  <c r="B798" i="15"/>
  <c r="AA798" i="13" s="1"/>
  <c r="C798" i="15"/>
  <c r="AB798" i="13" s="1"/>
  <c r="D798" i="15"/>
  <c r="AC798" i="13" s="1"/>
  <c r="E798" i="15"/>
  <c r="F798" i="15"/>
  <c r="G798" i="15"/>
  <c r="H798" i="15"/>
  <c r="I798" i="15"/>
  <c r="J798" i="15"/>
  <c r="K798" i="15"/>
  <c r="L798" i="15"/>
  <c r="M798" i="15"/>
  <c r="N798" i="15"/>
  <c r="O798" i="15"/>
  <c r="P798" i="15"/>
  <c r="Z798" i="13"/>
  <c r="B797" i="15"/>
  <c r="AA797" i="13" s="1"/>
  <c r="C797" i="15"/>
  <c r="AB797" i="13" s="1"/>
  <c r="D797" i="15"/>
  <c r="AC797" i="13" s="1"/>
  <c r="E797" i="15"/>
  <c r="F797" i="15"/>
  <c r="G797" i="15"/>
  <c r="H797" i="15"/>
  <c r="I797" i="15"/>
  <c r="J797" i="15"/>
  <c r="K797" i="15"/>
  <c r="L797" i="15"/>
  <c r="M797" i="15"/>
  <c r="N797" i="15"/>
  <c r="O797" i="15"/>
  <c r="P797" i="15"/>
  <c r="Z797" i="13"/>
  <c r="B796" i="15"/>
  <c r="AA796" i="13" s="1"/>
  <c r="C796" i="15"/>
  <c r="AB796" i="13" s="1"/>
  <c r="D796" i="15"/>
  <c r="AC796" i="13" s="1"/>
  <c r="E796" i="15"/>
  <c r="F796" i="15"/>
  <c r="G796" i="15"/>
  <c r="H796" i="15"/>
  <c r="I796" i="15"/>
  <c r="J796" i="15"/>
  <c r="K796" i="15"/>
  <c r="L796" i="15"/>
  <c r="M796" i="15"/>
  <c r="N796" i="15"/>
  <c r="O796" i="15"/>
  <c r="P796" i="15"/>
  <c r="Z796" i="13"/>
  <c r="B795" i="15"/>
  <c r="AA795" i="13" s="1"/>
  <c r="C795" i="15"/>
  <c r="AB795" i="13" s="1"/>
  <c r="D795" i="15"/>
  <c r="AC795" i="13" s="1"/>
  <c r="E795" i="15"/>
  <c r="F795" i="15"/>
  <c r="G795" i="15"/>
  <c r="H795" i="15"/>
  <c r="I795" i="15"/>
  <c r="J795" i="15"/>
  <c r="K795" i="15"/>
  <c r="L795" i="15"/>
  <c r="M795" i="15"/>
  <c r="N795" i="15"/>
  <c r="O795" i="15"/>
  <c r="P795" i="15"/>
  <c r="Z795" i="13"/>
  <c r="B794" i="15"/>
  <c r="AA794" i="13" s="1"/>
  <c r="C794" i="15"/>
  <c r="AB794" i="13" s="1"/>
  <c r="D794" i="15"/>
  <c r="AC794" i="13" s="1"/>
  <c r="E794" i="15"/>
  <c r="F794" i="15"/>
  <c r="G794" i="15"/>
  <c r="H794" i="15"/>
  <c r="I794" i="15"/>
  <c r="J794" i="15"/>
  <c r="K794" i="15"/>
  <c r="L794" i="15"/>
  <c r="M794" i="15"/>
  <c r="N794" i="15"/>
  <c r="O794" i="15"/>
  <c r="P794" i="15"/>
  <c r="Z794" i="13"/>
  <c r="B793" i="15"/>
  <c r="AA793" i="13" s="1"/>
  <c r="C793" i="15"/>
  <c r="AB793" i="13" s="1"/>
  <c r="D793" i="15"/>
  <c r="AC793" i="13" s="1"/>
  <c r="E793" i="15"/>
  <c r="F793" i="15"/>
  <c r="G793" i="15"/>
  <c r="H793" i="15"/>
  <c r="I793" i="15"/>
  <c r="J793" i="15"/>
  <c r="K793" i="15"/>
  <c r="L793" i="15"/>
  <c r="M793" i="15"/>
  <c r="N793" i="15"/>
  <c r="O793" i="15"/>
  <c r="P793" i="15"/>
  <c r="Z793" i="13"/>
  <c r="B792" i="15"/>
  <c r="AA792" i="13" s="1"/>
  <c r="C792" i="15"/>
  <c r="AB792" i="13" s="1"/>
  <c r="D792" i="15"/>
  <c r="AC792" i="13" s="1"/>
  <c r="E792" i="15"/>
  <c r="F792" i="15"/>
  <c r="G792" i="15"/>
  <c r="H792" i="15"/>
  <c r="I792" i="15"/>
  <c r="J792" i="15"/>
  <c r="K792" i="15"/>
  <c r="L792" i="15"/>
  <c r="M792" i="15"/>
  <c r="N792" i="15"/>
  <c r="O792" i="15"/>
  <c r="P792" i="15"/>
  <c r="Z792" i="13"/>
  <c r="B791" i="15"/>
  <c r="AA791" i="13" s="1"/>
  <c r="C791" i="15"/>
  <c r="AB791" i="13" s="1"/>
  <c r="D791" i="15"/>
  <c r="AC791" i="13" s="1"/>
  <c r="E791" i="15"/>
  <c r="F791" i="15"/>
  <c r="G791" i="15"/>
  <c r="H791" i="15"/>
  <c r="I791" i="15"/>
  <c r="J791" i="15"/>
  <c r="K791" i="15"/>
  <c r="L791" i="15"/>
  <c r="M791" i="15"/>
  <c r="N791" i="15"/>
  <c r="O791" i="15"/>
  <c r="P791" i="15"/>
  <c r="Z791" i="13"/>
  <c r="B790" i="15"/>
  <c r="AA790" i="13" s="1"/>
  <c r="C790" i="15"/>
  <c r="AB790" i="13" s="1"/>
  <c r="D790" i="15"/>
  <c r="AC790" i="13" s="1"/>
  <c r="E790" i="15"/>
  <c r="F790" i="15"/>
  <c r="G790" i="15"/>
  <c r="H790" i="15"/>
  <c r="I790" i="15"/>
  <c r="J790" i="15"/>
  <c r="K790" i="15"/>
  <c r="L790" i="15"/>
  <c r="M790" i="15"/>
  <c r="N790" i="15"/>
  <c r="O790" i="15"/>
  <c r="P790" i="15"/>
  <c r="Z790" i="13"/>
  <c r="B789" i="15"/>
  <c r="AA789" i="13" s="1"/>
  <c r="C789" i="15"/>
  <c r="AB789" i="13" s="1"/>
  <c r="D789" i="15"/>
  <c r="AC789" i="13" s="1"/>
  <c r="E789" i="15"/>
  <c r="F789" i="15"/>
  <c r="G789" i="15"/>
  <c r="H789" i="15"/>
  <c r="I789" i="15"/>
  <c r="J789" i="15"/>
  <c r="K789" i="15"/>
  <c r="L789" i="15"/>
  <c r="M789" i="15"/>
  <c r="N789" i="15"/>
  <c r="O789" i="15"/>
  <c r="P789" i="15"/>
  <c r="Z789" i="13"/>
  <c r="B788" i="15"/>
  <c r="AA788" i="13" s="1"/>
  <c r="C788" i="15"/>
  <c r="AB788" i="13" s="1"/>
  <c r="D788" i="15"/>
  <c r="AC788" i="13" s="1"/>
  <c r="E788" i="15"/>
  <c r="F788" i="15"/>
  <c r="G788" i="15"/>
  <c r="H788" i="15"/>
  <c r="I788" i="15"/>
  <c r="J788" i="15"/>
  <c r="K788" i="15"/>
  <c r="L788" i="15"/>
  <c r="M788" i="15"/>
  <c r="N788" i="15"/>
  <c r="O788" i="15"/>
  <c r="P788" i="15"/>
  <c r="Z788" i="13"/>
  <c r="B787" i="15"/>
  <c r="AA787" i="13" s="1"/>
  <c r="C787" i="15"/>
  <c r="AB787" i="13" s="1"/>
  <c r="D787" i="15"/>
  <c r="AC787" i="13" s="1"/>
  <c r="E787" i="15"/>
  <c r="F787" i="15"/>
  <c r="G787" i="15"/>
  <c r="H787" i="15"/>
  <c r="I787" i="15"/>
  <c r="J787" i="15"/>
  <c r="K787" i="15"/>
  <c r="L787" i="15"/>
  <c r="M787" i="15"/>
  <c r="N787" i="15"/>
  <c r="O787" i="15"/>
  <c r="P787" i="15"/>
  <c r="Z787" i="13"/>
  <c r="C986" i="15"/>
  <c r="AB986" i="13" s="1"/>
  <c r="G986" i="15"/>
  <c r="I986" i="15"/>
  <c r="K986" i="15"/>
  <c r="M986" i="15"/>
  <c r="N986" i="15"/>
  <c r="O986" i="15"/>
  <c r="P986" i="15"/>
  <c r="B986" i="15"/>
  <c r="AA986" i="13" s="1"/>
  <c r="D986" i="15"/>
  <c r="AC986" i="13" s="1"/>
  <c r="E986" i="15"/>
  <c r="F986" i="15"/>
  <c r="H986" i="15"/>
  <c r="J986" i="15"/>
  <c r="L986" i="15"/>
  <c r="Z986" i="13"/>
  <c r="B968" i="15"/>
  <c r="AA968" i="13" s="1"/>
  <c r="D968" i="15"/>
  <c r="AC968" i="13" s="1"/>
  <c r="F968" i="15"/>
  <c r="G968" i="15"/>
  <c r="J968" i="15"/>
  <c r="L968" i="15"/>
  <c r="M968" i="15"/>
  <c r="N968" i="15"/>
  <c r="O968" i="15"/>
  <c r="P968" i="15"/>
  <c r="C968" i="15"/>
  <c r="AB968" i="13" s="1"/>
  <c r="E968" i="15"/>
  <c r="H968" i="15"/>
  <c r="I968" i="15"/>
  <c r="K968" i="15"/>
  <c r="Z968" i="13"/>
  <c r="B958" i="15"/>
  <c r="AA958" i="13" s="1"/>
  <c r="C958" i="15"/>
  <c r="AB958" i="13" s="1"/>
  <c r="E958" i="15"/>
  <c r="H958" i="15"/>
  <c r="K958" i="15"/>
  <c r="N958" i="15"/>
  <c r="O958" i="15"/>
  <c r="P958" i="15"/>
  <c r="D958" i="15"/>
  <c r="AC958" i="13" s="1"/>
  <c r="F958" i="15"/>
  <c r="G958" i="15"/>
  <c r="I958" i="15"/>
  <c r="J958" i="15"/>
  <c r="L958" i="15"/>
  <c r="M958" i="15"/>
  <c r="Z958" i="13"/>
  <c r="B954" i="15"/>
  <c r="AA954" i="13" s="1"/>
  <c r="D954" i="15"/>
  <c r="AC954" i="13" s="1"/>
  <c r="F954" i="15"/>
  <c r="H954" i="15"/>
  <c r="K954" i="15"/>
  <c r="N954" i="15"/>
  <c r="O954" i="15"/>
  <c r="P954" i="15"/>
  <c r="C954" i="15"/>
  <c r="AB954" i="13" s="1"/>
  <c r="E954" i="15"/>
  <c r="G954" i="15"/>
  <c r="I954" i="15"/>
  <c r="J954" i="15"/>
  <c r="L954" i="15"/>
  <c r="M954" i="15"/>
  <c r="Z954" i="13"/>
  <c r="D951" i="15"/>
  <c r="AC951" i="13" s="1"/>
  <c r="B951" i="15"/>
  <c r="AA951" i="13" s="1"/>
  <c r="C951" i="15"/>
  <c r="AB951" i="13" s="1"/>
  <c r="E951" i="15"/>
  <c r="F951" i="15"/>
  <c r="G951" i="15"/>
  <c r="H951" i="15"/>
  <c r="I951" i="15"/>
  <c r="J951" i="15"/>
  <c r="K951" i="15"/>
  <c r="L951" i="15"/>
  <c r="M951" i="15"/>
  <c r="N951" i="15"/>
  <c r="O951" i="15"/>
  <c r="P951" i="15"/>
  <c r="Z951" i="13"/>
  <c r="C950" i="15"/>
  <c r="AB950" i="13" s="1"/>
  <c r="E950" i="15"/>
  <c r="B950" i="15"/>
  <c r="AA950" i="13" s="1"/>
  <c r="D950" i="15"/>
  <c r="AC950" i="13" s="1"/>
  <c r="F950" i="15"/>
  <c r="G950" i="15"/>
  <c r="H950" i="15"/>
  <c r="I950" i="15"/>
  <c r="J950" i="15"/>
  <c r="K950" i="15"/>
  <c r="L950" i="15"/>
  <c r="M950" i="15"/>
  <c r="N950" i="15"/>
  <c r="O950" i="15"/>
  <c r="P950" i="15"/>
  <c r="Z950" i="13"/>
  <c r="C948" i="15"/>
  <c r="AB948" i="13" s="1"/>
  <c r="D948" i="15"/>
  <c r="AC948" i="13" s="1"/>
  <c r="I948" i="15"/>
  <c r="B948" i="15"/>
  <c r="AA948" i="13" s="1"/>
  <c r="E948" i="15"/>
  <c r="F948" i="15"/>
  <c r="G948" i="15"/>
  <c r="H948" i="15"/>
  <c r="J948" i="15"/>
  <c r="K948" i="15"/>
  <c r="L948" i="15"/>
  <c r="M948" i="15"/>
  <c r="N948" i="15"/>
  <c r="O948" i="15"/>
  <c r="P948" i="15"/>
  <c r="Z948" i="13"/>
  <c r="B946" i="15"/>
  <c r="AA946" i="13" s="1"/>
  <c r="D946" i="15"/>
  <c r="AC946" i="13" s="1"/>
  <c r="F946" i="15"/>
  <c r="C946" i="15"/>
  <c r="AB946" i="13" s="1"/>
  <c r="E946" i="15"/>
  <c r="G946" i="15"/>
  <c r="H946" i="15"/>
  <c r="I946" i="15"/>
  <c r="J946" i="15"/>
  <c r="K946" i="15"/>
  <c r="L946" i="15"/>
  <c r="M946" i="15"/>
  <c r="N946" i="15"/>
  <c r="O946" i="15"/>
  <c r="P946" i="15"/>
  <c r="Z946" i="13"/>
  <c r="B942" i="15"/>
  <c r="AA942" i="13" s="1"/>
  <c r="D942" i="15"/>
  <c r="AC942" i="13" s="1"/>
  <c r="H942" i="15"/>
  <c r="I942" i="15"/>
  <c r="J942" i="15"/>
  <c r="K942" i="15"/>
  <c r="M942" i="15"/>
  <c r="N942" i="15"/>
  <c r="O942" i="15"/>
  <c r="P942" i="15"/>
  <c r="C942" i="15"/>
  <c r="AB942" i="13" s="1"/>
  <c r="E942" i="15"/>
  <c r="F942" i="15"/>
  <c r="G942" i="15"/>
  <c r="L942" i="15"/>
  <c r="Z942" i="13"/>
  <c r="B940" i="15"/>
  <c r="AA940" i="13" s="1"/>
  <c r="C940" i="15"/>
  <c r="AB940" i="13" s="1"/>
  <c r="D940" i="15"/>
  <c r="AC940" i="13" s="1"/>
  <c r="E940" i="15"/>
  <c r="F940" i="15"/>
  <c r="G940" i="15"/>
  <c r="H940" i="15"/>
  <c r="I940" i="15"/>
  <c r="J940" i="15"/>
  <c r="K940" i="15"/>
  <c r="L940" i="15"/>
  <c r="M940" i="15"/>
  <c r="N940" i="15"/>
  <c r="O940" i="15"/>
  <c r="P940" i="15"/>
  <c r="Z940" i="13"/>
  <c r="B939" i="15"/>
  <c r="AA939" i="13" s="1"/>
  <c r="D939" i="15"/>
  <c r="AC939" i="13" s="1"/>
  <c r="C939" i="15"/>
  <c r="AB939" i="13" s="1"/>
  <c r="E939" i="15"/>
  <c r="F939" i="15"/>
  <c r="G939" i="15"/>
  <c r="H939" i="15"/>
  <c r="I939" i="15"/>
  <c r="J939" i="15"/>
  <c r="K939" i="15"/>
  <c r="L939" i="15"/>
  <c r="M939" i="15"/>
  <c r="N939" i="15"/>
  <c r="O939" i="15"/>
  <c r="P939" i="15"/>
  <c r="Z939" i="13"/>
  <c r="B936" i="15"/>
  <c r="AA936" i="13" s="1"/>
  <c r="D936" i="15"/>
  <c r="AC936" i="13" s="1"/>
  <c r="F936" i="15"/>
  <c r="C936" i="15"/>
  <c r="AB936" i="13" s="1"/>
  <c r="E936" i="15"/>
  <c r="G936" i="15"/>
  <c r="H936" i="15"/>
  <c r="I936" i="15"/>
  <c r="J936" i="15"/>
  <c r="K936" i="15"/>
  <c r="L936" i="15"/>
  <c r="M936" i="15"/>
  <c r="N936" i="15"/>
  <c r="O936" i="15"/>
  <c r="P936" i="15"/>
  <c r="Z936" i="13"/>
  <c r="C934" i="15"/>
  <c r="AB934" i="13" s="1"/>
  <c r="E934" i="15"/>
  <c r="G934" i="15"/>
  <c r="I934" i="15"/>
  <c r="J934" i="15"/>
  <c r="L934" i="15"/>
  <c r="N934" i="15"/>
  <c r="O934" i="15"/>
  <c r="P934" i="15"/>
  <c r="B934" i="15"/>
  <c r="AA934" i="13" s="1"/>
  <c r="D934" i="15"/>
  <c r="AC934" i="13" s="1"/>
  <c r="F934" i="15"/>
  <c r="H934" i="15"/>
  <c r="K934" i="15"/>
  <c r="M934" i="15"/>
  <c r="Z934" i="13"/>
  <c r="C931" i="15"/>
  <c r="AB931" i="13" s="1"/>
  <c r="F931" i="15"/>
  <c r="I931" i="15"/>
  <c r="J931" i="15"/>
  <c r="L931" i="15"/>
  <c r="N931" i="15"/>
  <c r="O931" i="15"/>
  <c r="P931" i="15"/>
  <c r="B931" i="15"/>
  <c r="AA931" i="13" s="1"/>
  <c r="D931" i="15"/>
  <c r="AC931" i="13" s="1"/>
  <c r="E931" i="15"/>
  <c r="G931" i="15"/>
  <c r="H931" i="15"/>
  <c r="K931" i="15"/>
  <c r="M931" i="15"/>
  <c r="Z931" i="13"/>
  <c r="B930" i="15"/>
  <c r="AA930" i="13" s="1"/>
  <c r="F930" i="15"/>
  <c r="C930" i="15"/>
  <c r="AB930" i="13" s="1"/>
  <c r="D930" i="15"/>
  <c r="AC930" i="13" s="1"/>
  <c r="E930" i="15"/>
  <c r="G930" i="15"/>
  <c r="H930" i="15"/>
  <c r="I930" i="15"/>
  <c r="J930" i="15"/>
  <c r="K930" i="15"/>
  <c r="L930" i="15"/>
  <c r="M930" i="15"/>
  <c r="N930" i="15"/>
  <c r="O930" i="15"/>
  <c r="P930" i="15"/>
  <c r="Z930" i="13"/>
  <c r="C926" i="15"/>
  <c r="AB926" i="13" s="1"/>
  <c r="E926" i="15"/>
  <c r="G926" i="15"/>
  <c r="I926" i="15"/>
  <c r="J926" i="15"/>
  <c r="L926" i="15"/>
  <c r="N926" i="15"/>
  <c r="P926" i="15"/>
  <c r="B926" i="15"/>
  <c r="AA926" i="13" s="1"/>
  <c r="D926" i="15"/>
  <c r="AC926" i="13" s="1"/>
  <c r="F926" i="15"/>
  <c r="H926" i="15"/>
  <c r="K926" i="15"/>
  <c r="M926" i="15"/>
  <c r="O926" i="15"/>
  <c r="Z926" i="13"/>
  <c r="B925" i="15"/>
  <c r="AA925" i="13" s="1"/>
  <c r="D925" i="15"/>
  <c r="AC925" i="13" s="1"/>
  <c r="F925" i="15"/>
  <c r="C925" i="15"/>
  <c r="AB925" i="13" s="1"/>
  <c r="E925" i="15"/>
  <c r="G925" i="15"/>
  <c r="H925" i="15"/>
  <c r="I925" i="15"/>
  <c r="J925" i="15"/>
  <c r="K925" i="15"/>
  <c r="L925" i="15"/>
  <c r="M925" i="15"/>
  <c r="N925" i="15"/>
  <c r="O925" i="15"/>
  <c r="P925" i="15"/>
  <c r="Z925" i="13"/>
  <c r="D923" i="15"/>
  <c r="AC923" i="13" s="1"/>
  <c r="B923" i="15"/>
  <c r="AA923" i="13" s="1"/>
  <c r="C923" i="15"/>
  <c r="AB923" i="13" s="1"/>
  <c r="E923" i="15"/>
  <c r="F923" i="15"/>
  <c r="G923" i="15"/>
  <c r="H923" i="15"/>
  <c r="I923" i="15"/>
  <c r="J923" i="15"/>
  <c r="K923" i="15"/>
  <c r="L923" i="15"/>
  <c r="M923" i="15"/>
  <c r="N923" i="15"/>
  <c r="O923" i="15"/>
  <c r="P923" i="15"/>
  <c r="Z923" i="13"/>
  <c r="B922" i="15"/>
  <c r="AA922" i="13" s="1"/>
  <c r="D922" i="15"/>
  <c r="AC922" i="13" s="1"/>
  <c r="C922" i="15"/>
  <c r="AB922" i="13" s="1"/>
  <c r="E922" i="15"/>
  <c r="F922" i="15"/>
  <c r="G922" i="15"/>
  <c r="H922" i="15"/>
  <c r="I922" i="15"/>
  <c r="J922" i="15"/>
  <c r="K922" i="15"/>
  <c r="L922" i="15"/>
  <c r="M922" i="15"/>
  <c r="N922" i="15"/>
  <c r="O922" i="15"/>
  <c r="P922" i="15"/>
  <c r="Z922" i="13"/>
  <c r="B919" i="15"/>
  <c r="AA919" i="13" s="1"/>
  <c r="D919" i="15"/>
  <c r="AC919" i="13" s="1"/>
  <c r="F919" i="15"/>
  <c r="C919" i="15"/>
  <c r="AB919" i="13" s="1"/>
  <c r="E919" i="15"/>
  <c r="G919" i="15"/>
  <c r="H919" i="15"/>
  <c r="I919" i="15"/>
  <c r="J919" i="15"/>
  <c r="K919" i="15"/>
  <c r="L919" i="15"/>
  <c r="M919" i="15"/>
  <c r="N919" i="15"/>
  <c r="O919" i="15"/>
  <c r="P919" i="15"/>
  <c r="Z919" i="13"/>
  <c r="C917" i="15"/>
  <c r="AB917" i="13" s="1"/>
  <c r="E917" i="15"/>
  <c r="I917" i="15"/>
  <c r="J917" i="15"/>
  <c r="L917" i="15"/>
  <c r="N917" i="15"/>
  <c r="O917" i="15"/>
  <c r="P917" i="15"/>
  <c r="B917" i="15"/>
  <c r="AA917" i="13" s="1"/>
  <c r="D917" i="15"/>
  <c r="AC917" i="13" s="1"/>
  <c r="F917" i="15"/>
  <c r="G917" i="15"/>
  <c r="H917" i="15"/>
  <c r="K917" i="15"/>
  <c r="M917" i="15"/>
  <c r="Z917" i="13"/>
  <c r="E915" i="15"/>
  <c r="B915" i="15"/>
  <c r="AA915" i="13" s="1"/>
  <c r="C915" i="15"/>
  <c r="AB915" i="13" s="1"/>
  <c r="D915" i="15"/>
  <c r="AC915" i="13" s="1"/>
  <c r="F915" i="15"/>
  <c r="G915" i="15"/>
  <c r="H915" i="15"/>
  <c r="I915" i="15"/>
  <c r="J915" i="15"/>
  <c r="K915" i="15"/>
  <c r="L915" i="15"/>
  <c r="M915" i="15"/>
  <c r="N915" i="15"/>
  <c r="O915" i="15"/>
  <c r="P915" i="15"/>
  <c r="Z915" i="13"/>
  <c r="B912" i="15"/>
  <c r="AA912" i="13" s="1"/>
  <c r="E912" i="15"/>
  <c r="G912" i="15"/>
  <c r="I912" i="15"/>
  <c r="C912" i="15"/>
  <c r="AB912" i="13" s="1"/>
  <c r="D912" i="15"/>
  <c r="AC912" i="13" s="1"/>
  <c r="F912" i="15"/>
  <c r="H912" i="15"/>
  <c r="J912" i="15"/>
  <c r="K912" i="15"/>
  <c r="L912" i="15"/>
  <c r="M912" i="15"/>
  <c r="N912" i="15"/>
  <c r="O912" i="15"/>
  <c r="P912" i="15"/>
  <c r="Z912" i="13"/>
  <c r="E911" i="15"/>
  <c r="B911" i="15"/>
  <c r="AA911" i="13" s="1"/>
  <c r="C911" i="15"/>
  <c r="AB911" i="13" s="1"/>
  <c r="D911" i="15"/>
  <c r="AC911" i="13" s="1"/>
  <c r="F911" i="15"/>
  <c r="G911" i="15"/>
  <c r="H911" i="15"/>
  <c r="I911" i="15"/>
  <c r="J911" i="15"/>
  <c r="K911" i="15"/>
  <c r="L911" i="15"/>
  <c r="M911" i="15"/>
  <c r="N911" i="15"/>
  <c r="O911" i="15"/>
  <c r="P911" i="15"/>
  <c r="Z911" i="13"/>
  <c r="B908" i="15"/>
  <c r="AA908" i="13" s="1"/>
  <c r="D908" i="15"/>
  <c r="AC908" i="13" s="1"/>
  <c r="F908" i="15"/>
  <c r="C908" i="15"/>
  <c r="AB908" i="13" s="1"/>
  <c r="E908" i="15"/>
  <c r="G908" i="15"/>
  <c r="H908" i="15"/>
  <c r="I908" i="15"/>
  <c r="J908" i="15"/>
  <c r="K908" i="15"/>
  <c r="L908" i="15"/>
  <c r="M908" i="15"/>
  <c r="N908" i="15"/>
  <c r="O908" i="15"/>
  <c r="P908" i="15"/>
  <c r="Z908" i="13"/>
  <c r="C907" i="15"/>
  <c r="AB907" i="13" s="1"/>
  <c r="E907" i="15"/>
  <c r="G907" i="15"/>
  <c r="B907" i="15"/>
  <c r="AA907" i="13" s="1"/>
  <c r="D907" i="15"/>
  <c r="AC907" i="13" s="1"/>
  <c r="F907" i="15"/>
  <c r="H907" i="15"/>
  <c r="I907" i="15"/>
  <c r="J907" i="15"/>
  <c r="K907" i="15"/>
  <c r="L907" i="15"/>
  <c r="M907" i="15"/>
  <c r="N907" i="15"/>
  <c r="O907" i="15"/>
  <c r="P907" i="15"/>
  <c r="Z907" i="13"/>
  <c r="Z905" i="13"/>
  <c r="B905" i="15"/>
  <c r="AA905" i="13" s="1"/>
  <c r="C905" i="15"/>
  <c r="AB905" i="13" s="1"/>
  <c r="D905" i="15"/>
  <c r="AC905" i="13" s="1"/>
  <c r="E905" i="15"/>
  <c r="F905" i="15"/>
  <c r="G905" i="15"/>
  <c r="H905" i="15"/>
  <c r="I905" i="15"/>
  <c r="J905" i="15"/>
  <c r="K905" i="15"/>
  <c r="L905" i="15"/>
  <c r="M905" i="15"/>
  <c r="N905" i="15"/>
  <c r="O905" i="15"/>
  <c r="P905" i="15"/>
  <c r="B904" i="15"/>
  <c r="AA904" i="13" s="1"/>
  <c r="C904" i="15"/>
  <c r="AB904" i="13" s="1"/>
  <c r="D904" i="15"/>
  <c r="AC904" i="13" s="1"/>
  <c r="E904" i="15"/>
  <c r="F904" i="15"/>
  <c r="G904" i="15"/>
  <c r="H904" i="15"/>
  <c r="I904" i="15"/>
  <c r="J904" i="15"/>
  <c r="K904" i="15"/>
  <c r="L904" i="15"/>
  <c r="M904" i="15"/>
  <c r="N904" i="15"/>
  <c r="O904" i="15"/>
  <c r="P904" i="15"/>
  <c r="Z904" i="13"/>
  <c r="C901" i="15"/>
  <c r="AB901" i="13" s="1"/>
  <c r="E901" i="15"/>
  <c r="H901" i="15"/>
  <c r="K901" i="15"/>
  <c r="M901" i="15"/>
  <c r="O901" i="15"/>
  <c r="P901" i="15"/>
  <c r="B901" i="15"/>
  <c r="AA901" i="13" s="1"/>
  <c r="D901" i="15"/>
  <c r="AC901" i="13" s="1"/>
  <c r="F901" i="15"/>
  <c r="G901" i="15"/>
  <c r="I901" i="15"/>
  <c r="J901" i="15"/>
  <c r="L901" i="15"/>
  <c r="N901" i="15"/>
  <c r="Z901" i="13"/>
  <c r="C899" i="15"/>
  <c r="AB899" i="13" s="1"/>
  <c r="E899" i="15"/>
  <c r="G899" i="15"/>
  <c r="I899" i="15"/>
  <c r="K899" i="15"/>
  <c r="M899" i="15"/>
  <c r="N899" i="15"/>
  <c r="O899" i="15"/>
  <c r="P899" i="15"/>
  <c r="B899" i="15"/>
  <c r="AA899" i="13" s="1"/>
  <c r="D899" i="15"/>
  <c r="AC899" i="13" s="1"/>
  <c r="F899" i="15"/>
  <c r="H899" i="15"/>
  <c r="J899" i="15"/>
  <c r="L899" i="15"/>
  <c r="Z899" i="13"/>
  <c r="D897" i="15"/>
  <c r="AC897" i="13" s="1"/>
  <c r="G897" i="15"/>
  <c r="B897" i="15"/>
  <c r="AA897" i="13" s="1"/>
  <c r="C897" i="15"/>
  <c r="AB897" i="13" s="1"/>
  <c r="E897" i="15"/>
  <c r="F897" i="15"/>
  <c r="H897" i="15"/>
  <c r="I897" i="15"/>
  <c r="J897" i="15"/>
  <c r="K897" i="15"/>
  <c r="L897" i="15"/>
  <c r="M897" i="15"/>
  <c r="N897" i="15"/>
  <c r="O897" i="15"/>
  <c r="P897" i="15"/>
  <c r="Z897" i="13"/>
  <c r="B895" i="15"/>
  <c r="AA895" i="13" s="1"/>
  <c r="D895" i="15"/>
  <c r="AC895" i="13" s="1"/>
  <c r="G895" i="15"/>
  <c r="I895" i="15"/>
  <c r="K895" i="15"/>
  <c r="N895" i="15"/>
  <c r="O895" i="15"/>
  <c r="P895" i="15"/>
  <c r="C895" i="15"/>
  <c r="AB895" i="13" s="1"/>
  <c r="E895" i="15"/>
  <c r="F895" i="15"/>
  <c r="H895" i="15"/>
  <c r="J895" i="15"/>
  <c r="L895" i="15"/>
  <c r="M895" i="15"/>
  <c r="Z895" i="13"/>
  <c r="B884" i="15"/>
  <c r="AA884" i="13" s="1"/>
  <c r="D884" i="15"/>
  <c r="AC884" i="13" s="1"/>
  <c r="E884" i="15"/>
  <c r="G884" i="15"/>
  <c r="H884" i="15"/>
  <c r="I884" i="15"/>
  <c r="J884" i="15"/>
  <c r="K884" i="15"/>
  <c r="L884" i="15"/>
  <c r="M884" i="15"/>
  <c r="N884" i="15"/>
  <c r="O884" i="15"/>
  <c r="P884" i="15"/>
  <c r="C884" i="15"/>
  <c r="AB884" i="13" s="1"/>
  <c r="F884" i="15"/>
  <c r="Z884" i="13"/>
  <c r="B881" i="15"/>
  <c r="AA881" i="13" s="1"/>
  <c r="D881" i="15"/>
  <c r="AC881" i="13" s="1"/>
  <c r="E881" i="15"/>
  <c r="F881" i="15"/>
  <c r="H881" i="15"/>
  <c r="I881" i="15"/>
  <c r="J881" i="15"/>
  <c r="K881" i="15"/>
  <c r="L881" i="15"/>
  <c r="M881" i="15"/>
  <c r="N881" i="15"/>
  <c r="O881" i="15"/>
  <c r="P881" i="15"/>
  <c r="C881" i="15"/>
  <c r="AB881" i="13" s="1"/>
  <c r="G881" i="15"/>
  <c r="Z881" i="13"/>
  <c r="B878" i="15"/>
  <c r="AA878" i="13" s="1"/>
  <c r="C878" i="15"/>
  <c r="AB878" i="13" s="1"/>
  <c r="D878" i="15"/>
  <c r="AC878" i="13" s="1"/>
  <c r="E878" i="15"/>
  <c r="G878" i="15"/>
  <c r="H878" i="15"/>
  <c r="I878" i="15"/>
  <c r="J878" i="15"/>
  <c r="K878" i="15"/>
  <c r="L878" i="15"/>
  <c r="M878" i="15"/>
  <c r="N878" i="15"/>
  <c r="O878" i="15"/>
  <c r="P878" i="15"/>
  <c r="F878" i="15"/>
  <c r="Z878" i="13"/>
  <c r="B311" i="15"/>
  <c r="AA311" i="13" s="1"/>
  <c r="C311" i="15"/>
  <c r="AB311" i="13" s="1"/>
  <c r="D311" i="15"/>
  <c r="AC311" i="13" s="1"/>
  <c r="E311" i="15"/>
  <c r="F311" i="15"/>
  <c r="G311" i="15"/>
  <c r="H311" i="15"/>
  <c r="I311" i="15"/>
  <c r="J311" i="15"/>
  <c r="K311" i="15"/>
  <c r="L311" i="15"/>
  <c r="M311" i="15"/>
  <c r="N311" i="15"/>
  <c r="O311" i="15"/>
  <c r="P311" i="15"/>
  <c r="Z311" i="13"/>
  <c r="B139" i="15"/>
  <c r="AA139" i="13" s="1"/>
  <c r="C139" i="15"/>
  <c r="AB139" i="13" s="1"/>
  <c r="D139" i="15"/>
  <c r="AC139" i="13" s="1"/>
  <c r="E139" i="15"/>
  <c r="F139" i="15"/>
  <c r="G139" i="15"/>
  <c r="H139" i="15"/>
  <c r="I139" i="15"/>
  <c r="J139" i="15"/>
  <c r="K139" i="15"/>
  <c r="L139" i="15"/>
  <c r="M139" i="15"/>
  <c r="N139" i="15"/>
  <c r="O139" i="15"/>
  <c r="P139" i="15"/>
  <c r="Z139" i="13"/>
  <c r="B135" i="15"/>
  <c r="AA135" i="13" s="1"/>
  <c r="C135" i="15"/>
  <c r="AB135" i="13" s="1"/>
  <c r="D135" i="15"/>
  <c r="AC135" i="13" s="1"/>
  <c r="E135" i="15"/>
  <c r="F135" i="15"/>
  <c r="G135" i="15"/>
  <c r="H135" i="15"/>
  <c r="I135" i="15"/>
  <c r="J135" i="15"/>
  <c r="K135" i="15"/>
  <c r="L135" i="15"/>
  <c r="M135" i="15"/>
  <c r="N135" i="15"/>
  <c r="O135" i="15"/>
  <c r="P135" i="15"/>
  <c r="Z135" i="13"/>
  <c r="B131" i="15"/>
  <c r="AA131" i="13" s="1"/>
  <c r="C131" i="15"/>
  <c r="AB131" i="13" s="1"/>
  <c r="D131" i="15"/>
  <c r="AC131" i="13" s="1"/>
  <c r="E131" i="15"/>
  <c r="F131" i="15"/>
  <c r="G131" i="15"/>
  <c r="H131" i="15"/>
  <c r="I131" i="15"/>
  <c r="J131" i="15"/>
  <c r="K131" i="15"/>
  <c r="L131" i="15"/>
  <c r="M131" i="15"/>
  <c r="N131" i="15"/>
  <c r="O131" i="15"/>
  <c r="P131" i="15"/>
  <c r="Z131" i="13"/>
  <c r="B123" i="15"/>
  <c r="AA123" i="13" s="1"/>
  <c r="C123" i="15"/>
  <c r="AB123" i="13" s="1"/>
  <c r="D123" i="15"/>
  <c r="AC123" i="13" s="1"/>
  <c r="E123" i="15"/>
  <c r="F123" i="15"/>
  <c r="G123" i="15"/>
  <c r="H123" i="15"/>
  <c r="I123" i="15"/>
  <c r="J123" i="15"/>
  <c r="K123" i="15"/>
  <c r="L123" i="15"/>
  <c r="M123" i="15"/>
  <c r="N123" i="15"/>
  <c r="O123" i="15"/>
  <c r="P123" i="15"/>
  <c r="Z123" i="13"/>
  <c r="B119" i="15"/>
  <c r="AA119" i="13" s="1"/>
  <c r="C119" i="15"/>
  <c r="AB119" i="13" s="1"/>
  <c r="D119" i="15"/>
  <c r="AC119" i="13" s="1"/>
  <c r="E119" i="15"/>
  <c r="F119" i="15"/>
  <c r="G119" i="15"/>
  <c r="H119" i="15"/>
  <c r="I119" i="15"/>
  <c r="J119" i="15"/>
  <c r="K119" i="15"/>
  <c r="L119" i="15"/>
  <c r="M119" i="15"/>
  <c r="N119" i="15"/>
  <c r="O119" i="15"/>
  <c r="P119" i="15"/>
  <c r="Z119" i="13"/>
  <c r="B114" i="15"/>
  <c r="AA114" i="13" s="1"/>
  <c r="C114" i="15"/>
  <c r="AB114" i="13" s="1"/>
  <c r="D114" i="15"/>
  <c r="AC114" i="13" s="1"/>
  <c r="E114" i="15"/>
  <c r="F114" i="15"/>
  <c r="G114" i="15"/>
  <c r="H114" i="15"/>
  <c r="I114" i="15"/>
  <c r="J114" i="15"/>
  <c r="K114" i="15"/>
  <c r="L114" i="15"/>
  <c r="M114" i="15"/>
  <c r="N114" i="15"/>
  <c r="O114" i="15"/>
  <c r="P114" i="15"/>
  <c r="Z114" i="13"/>
  <c r="B110" i="15"/>
  <c r="AA110" i="13" s="1"/>
  <c r="C110" i="15"/>
  <c r="AB110" i="13" s="1"/>
  <c r="D110" i="15"/>
  <c r="AC110" i="13" s="1"/>
  <c r="E110" i="15"/>
  <c r="F110" i="15"/>
  <c r="G110" i="15"/>
  <c r="H110" i="15"/>
  <c r="I110" i="15"/>
  <c r="J110" i="15"/>
  <c r="K110" i="15"/>
  <c r="L110" i="15"/>
  <c r="M110" i="15"/>
  <c r="N110" i="15"/>
  <c r="O110" i="15"/>
  <c r="P110" i="15"/>
  <c r="Z110" i="13"/>
  <c r="B106" i="15"/>
  <c r="AA106" i="13" s="1"/>
  <c r="C106" i="15"/>
  <c r="AB106" i="13" s="1"/>
  <c r="D106" i="15"/>
  <c r="AC106" i="13" s="1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Z106" i="13"/>
  <c r="B102" i="15"/>
  <c r="AA102" i="13" s="1"/>
  <c r="C102" i="15"/>
  <c r="AB102" i="13" s="1"/>
  <c r="D102" i="15"/>
  <c r="AC102" i="13" s="1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Z102" i="13"/>
  <c r="C53" i="15"/>
  <c r="AB53" i="13" s="1"/>
  <c r="E53" i="15"/>
  <c r="G53" i="15"/>
  <c r="H53" i="15"/>
  <c r="J53" i="15"/>
  <c r="M53" i="15"/>
  <c r="O53" i="15"/>
  <c r="P53" i="15"/>
  <c r="Z53" i="13"/>
  <c r="L53" i="15"/>
  <c r="D53" i="15"/>
  <c r="AC53" i="13" s="1"/>
  <c r="K53" i="15"/>
  <c r="N53" i="15"/>
  <c r="B53" i="15"/>
  <c r="AA53" i="13" s="1"/>
  <c r="F53" i="15"/>
  <c r="I53" i="15"/>
  <c r="B593" i="15"/>
  <c r="AA593" i="13" s="1"/>
  <c r="C593" i="15"/>
  <c r="AB593" i="13" s="1"/>
  <c r="D593" i="15"/>
  <c r="AC593" i="13" s="1"/>
  <c r="E593" i="15"/>
  <c r="F593" i="15"/>
  <c r="G593" i="15"/>
  <c r="H593" i="15"/>
  <c r="I593" i="15"/>
  <c r="J593" i="15"/>
  <c r="K593" i="15"/>
  <c r="L593" i="15"/>
  <c r="M593" i="15"/>
  <c r="N593" i="15"/>
  <c r="O593" i="15"/>
  <c r="P593" i="15"/>
  <c r="Z593" i="13"/>
  <c r="B584" i="15"/>
  <c r="AA584" i="13" s="1"/>
  <c r="C584" i="15"/>
  <c r="AB584" i="13" s="1"/>
  <c r="D584" i="15"/>
  <c r="AC584" i="13" s="1"/>
  <c r="E584" i="15"/>
  <c r="F584" i="15"/>
  <c r="G584" i="15"/>
  <c r="H584" i="15"/>
  <c r="I584" i="15"/>
  <c r="J584" i="15"/>
  <c r="K584" i="15"/>
  <c r="L584" i="15"/>
  <c r="M584" i="15"/>
  <c r="N584" i="15"/>
  <c r="O584" i="15"/>
  <c r="P584" i="15"/>
  <c r="Z584" i="13"/>
  <c r="B576" i="15"/>
  <c r="AA576" i="13" s="1"/>
  <c r="C576" i="15"/>
  <c r="AB576" i="13" s="1"/>
  <c r="D576" i="15"/>
  <c r="AC576" i="13" s="1"/>
  <c r="E576" i="15"/>
  <c r="F576" i="15"/>
  <c r="G576" i="15"/>
  <c r="H576" i="15"/>
  <c r="I576" i="15"/>
  <c r="J576" i="15"/>
  <c r="K576" i="15"/>
  <c r="L576" i="15"/>
  <c r="M576" i="15"/>
  <c r="N576" i="15"/>
  <c r="O576" i="15"/>
  <c r="P576" i="15"/>
  <c r="Z576" i="13"/>
  <c r="B657" i="15"/>
  <c r="AA657" i="13" s="1"/>
  <c r="C657" i="15"/>
  <c r="AB657" i="13" s="1"/>
  <c r="D657" i="15"/>
  <c r="AC657" i="13" s="1"/>
  <c r="E657" i="15"/>
  <c r="F657" i="15"/>
  <c r="G657" i="15"/>
  <c r="H657" i="15"/>
  <c r="I657" i="15"/>
  <c r="J657" i="15"/>
  <c r="K657" i="15"/>
  <c r="L657" i="15"/>
  <c r="M657" i="15"/>
  <c r="N657" i="15"/>
  <c r="O657" i="15"/>
  <c r="P657" i="15"/>
  <c r="Z657" i="13"/>
  <c r="B650" i="15"/>
  <c r="AA650" i="13" s="1"/>
  <c r="C650" i="15"/>
  <c r="AB650" i="13" s="1"/>
  <c r="D650" i="15"/>
  <c r="AC650" i="13" s="1"/>
  <c r="E650" i="15"/>
  <c r="F650" i="15"/>
  <c r="G650" i="15"/>
  <c r="H650" i="15"/>
  <c r="I650" i="15"/>
  <c r="J650" i="15"/>
  <c r="K650" i="15"/>
  <c r="L650" i="15"/>
  <c r="M650" i="15"/>
  <c r="N650" i="15"/>
  <c r="O650" i="15"/>
  <c r="P650" i="15"/>
  <c r="Z650" i="13"/>
  <c r="B635" i="15"/>
  <c r="AA635" i="13" s="1"/>
  <c r="C635" i="15"/>
  <c r="AB635" i="13" s="1"/>
  <c r="D635" i="15"/>
  <c r="AC635" i="13" s="1"/>
  <c r="E635" i="15"/>
  <c r="F635" i="15"/>
  <c r="G635" i="15"/>
  <c r="H635" i="15"/>
  <c r="I635" i="15"/>
  <c r="J635" i="15"/>
  <c r="K635" i="15"/>
  <c r="L635" i="15"/>
  <c r="M635" i="15"/>
  <c r="N635" i="15"/>
  <c r="O635" i="15"/>
  <c r="P635" i="15"/>
  <c r="Z635" i="13"/>
  <c r="B628" i="15"/>
  <c r="AA628" i="13" s="1"/>
  <c r="C628" i="15"/>
  <c r="AB628" i="13" s="1"/>
  <c r="D628" i="15"/>
  <c r="AC628" i="13" s="1"/>
  <c r="E628" i="15"/>
  <c r="F628" i="15"/>
  <c r="G628" i="15"/>
  <c r="H628" i="15"/>
  <c r="I628" i="15"/>
  <c r="J628" i="15"/>
  <c r="K628" i="15"/>
  <c r="L628" i="15"/>
  <c r="M628" i="15"/>
  <c r="N628" i="15"/>
  <c r="O628" i="15"/>
  <c r="P628" i="15"/>
  <c r="Z628" i="13"/>
  <c r="B615" i="15"/>
  <c r="AA615" i="13" s="1"/>
  <c r="C615" i="15"/>
  <c r="AB615" i="13" s="1"/>
  <c r="D615" i="15"/>
  <c r="AC615" i="13" s="1"/>
  <c r="E615" i="15"/>
  <c r="F615" i="15"/>
  <c r="G615" i="15"/>
  <c r="H615" i="15"/>
  <c r="I615" i="15"/>
  <c r="J615" i="15"/>
  <c r="K615" i="15"/>
  <c r="L615" i="15"/>
  <c r="M615" i="15"/>
  <c r="N615" i="15"/>
  <c r="O615" i="15"/>
  <c r="P615" i="15"/>
  <c r="Z615" i="13"/>
  <c r="B610" i="15"/>
  <c r="AA610" i="13" s="1"/>
  <c r="C610" i="15"/>
  <c r="AB610" i="13" s="1"/>
  <c r="D610" i="15"/>
  <c r="AC610" i="13" s="1"/>
  <c r="E610" i="15"/>
  <c r="F610" i="15"/>
  <c r="G610" i="15"/>
  <c r="H610" i="15"/>
  <c r="I610" i="15"/>
  <c r="J610" i="15"/>
  <c r="K610" i="15"/>
  <c r="L610" i="15"/>
  <c r="M610" i="15"/>
  <c r="N610" i="15"/>
  <c r="O610" i="15"/>
  <c r="P610" i="15"/>
  <c r="Z610" i="13"/>
  <c r="B598" i="15"/>
  <c r="AA598" i="13" s="1"/>
  <c r="C598" i="15"/>
  <c r="AB598" i="13" s="1"/>
  <c r="D598" i="15"/>
  <c r="AC598" i="13" s="1"/>
  <c r="E598" i="15"/>
  <c r="F598" i="15"/>
  <c r="G598" i="15"/>
  <c r="H598" i="15"/>
  <c r="I598" i="15"/>
  <c r="J598" i="15"/>
  <c r="K598" i="15"/>
  <c r="L598" i="15"/>
  <c r="M598" i="15"/>
  <c r="N598" i="15"/>
  <c r="O598" i="15"/>
  <c r="P598" i="15"/>
  <c r="Z598" i="13"/>
  <c r="B852" i="15"/>
  <c r="AA852" i="13" s="1"/>
  <c r="C852" i="15"/>
  <c r="AB852" i="13" s="1"/>
  <c r="D852" i="15"/>
  <c r="AC852" i="13" s="1"/>
  <c r="E852" i="15"/>
  <c r="F852" i="15"/>
  <c r="G852" i="15"/>
  <c r="H852" i="15"/>
  <c r="I852" i="15"/>
  <c r="J852" i="15"/>
  <c r="K852" i="15"/>
  <c r="L852" i="15"/>
  <c r="M852" i="15"/>
  <c r="N852" i="15"/>
  <c r="O852" i="15"/>
  <c r="P852" i="15"/>
  <c r="Z852" i="13"/>
  <c r="B851" i="15"/>
  <c r="AA851" i="13" s="1"/>
  <c r="C851" i="15"/>
  <c r="AB851" i="13" s="1"/>
  <c r="D851" i="15"/>
  <c r="AC851" i="13" s="1"/>
  <c r="E851" i="15"/>
  <c r="F851" i="15"/>
  <c r="G851" i="15"/>
  <c r="H851" i="15"/>
  <c r="I851" i="15"/>
  <c r="J851" i="15"/>
  <c r="K851" i="15"/>
  <c r="L851" i="15"/>
  <c r="M851" i="15"/>
  <c r="N851" i="15"/>
  <c r="O851" i="15"/>
  <c r="P851" i="15"/>
  <c r="Z851" i="13"/>
  <c r="B849" i="15"/>
  <c r="AA849" i="13" s="1"/>
  <c r="C849" i="15"/>
  <c r="AB849" i="13" s="1"/>
  <c r="D849" i="15"/>
  <c r="AC849" i="13" s="1"/>
  <c r="E849" i="15"/>
  <c r="F849" i="15"/>
  <c r="G849" i="15"/>
  <c r="H849" i="15"/>
  <c r="I849" i="15"/>
  <c r="J849" i="15"/>
  <c r="K849" i="15"/>
  <c r="L849" i="15"/>
  <c r="M849" i="15"/>
  <c r="N849" i="15"/>
  <c r="O849" i="15"/>
  <c r="P849" i="15"/>
  <c r="Z849" i="13"/>
  <c r="B848" i="15"/>
  <c r="AA848" i="13" s="1"/>
  <c r="C848" i="15"/>
  <c r="AB848" i="13" s="1"/>
  <c r="D848" i="15"/>
  <c r="AC848" i="13" s="1"/>
  <c r="E848" i="15"/>
  <c r="F848" i="15"/>
  <c r="G848" i="15"/>
  <c r="H848" i="15"/>
  <c r="I848" i="15"/>
  <c r="J848" i="15"/>
  <c r="K848" i="15"/>
  <c r="L848" i="15"/>
  <c r="M848" i="15"/>
  <c r="N848" i="15"/>
  <c r="O848" i="15"/>
  <c r="P848" i="15"/>
  <c r="Z848" i="13"/>
  <c r="B846" i="15"/>
  <c r="AA846" i="13" s="1"/>
  <c r="C846" i="15"/>
  <c r="AB846" i="13" s="1"/>
  <c r="D846" i="15"/>
  <c r="AC846" i="13" s="1"/>
  <c r="E846" i="15"/>
  <c r="F846" i="15"/>
  <c r="G846" i="15"/>
  <c r="H846" i="15"/>
  <c r="I846" i="15"/>
  <c r="J846" i="15"/>
  <c r="K846" i="15"/>
  <c r="L846" i="15"/>
  <c r="M846" i="15"/>
  <c r="N846" i="15"/>
  <c r="O846" i="15"/>
  <c r="P846" i="15"/>
  <c r="Z846" i="13"/>
  <c r="B845" i="15"/>
  <c r="AA845" i="13" s="1"/>
  <c r="C845" i="15"/>
  <c r="AB845" i="13" s="1"/>
  <c r="D845" i="15"/>
  <c r="AC845" i="13" s="1"/>
  <c r="E845" i="15"/>
  <c r="F845" i="15"/>
  <c r="G845" i="15"/>
  <c r="H845" i="15"/>
  <c r="I845" i="15"/>
  <c r="J845" i="15"/>
  <c r="K845" i="15"/>
  <c r="L845" i="15"/>
  <c r="M845" i="15"/>
  <c r="N845" i="15"/>
  <c r="O845" i="15"/>
  <c r="P845" i="15"/>
  <c r="Z845" i="13"/>
  <c r="B843" i="15"/>
  <c r="AA843" i="13" s="1"/>
  <c r="C843" i="15"/>
  <c r="AB843" i="13" s="1"/>
  <c r="D843" i="15"/>
  <c r="AC843" i="13" s="1"/>
  <c r="E843" i="15"/>
  <c r="F843" i="15"/>
  <c r="G843" i="15"/>
  <c r="H843" i="15"/>
  <c r="I843" i="15"/>
  <c r="J843" i="15"/>
  <c r="K843" i="15"/>
  <c r="L843" i="15"/>
  <c r="M843" i="15"/>
  <c r="N843" i="15"/>
  <c r="O843" i="15"/>
  <c r="P843" i="15"/>
  <c r="Z843" i="13"/>
  <c r="B841" i="15"/>
  <c r="AA841" i="13" s="1"/>
  <c r="C841" i="15"/>
  <c r="AB841" i="13" s="1"/>
  <c r="D841" i="15"/>
  <c r="AC841" i="13" s="1"/>
  <c r="E841" i="15"/>
  <c r="F841" i="15"/>
  <c r="G841" i="15"/>
  <c r="H841" i="15"/>
  <c r="I841" i="15"/>
  <c r="J841" i="15"/>
  <c r="K841" i="15"/>
  <c r="L841" i="15"/>
  <c r="M841" i="15"/>
  <c r="N841" i="15"/>
  <c r="O841" i="15"/>
  <c r="P841" i="15"/>
  <c r="Z841" i="13"/>
  <c r="B840" i="15"/>
  <c r="AA840" i="13" s="1"/>
  <c r="C840" i="15"/>
  <c r="AB840" i="13" s="1"/>
  <c r="D840" i="15"/>
  <c r="AC840" i="13" s="1"/>
  <c r="E840" i="15"/>
  <c r="F840" i="15"/>
  <c r="G840" i="15"/>
  <c r="H840" i="15"/>
  <c r="I840" i="15"/>
  <c r="J840" i="15"/>
  <c r="K840" i="15"/>
  <c r="L840" i="15"/>
  <c r="M840" i="15"/>
  <c r="N840" i="15"/>
  <c r="O840" i="15"/>
  <c r="P840" i="15"/>
  <c r="Z840" i="13"/>
  <c r="B838" i="15"/>
  <c r="AA838" i="13" s="1"/>
  <c r="C838" i="15"/>
  <c r="AB838" i="13" s="1"/>
  <c r="D838" i="15"/>
  <c r="AC838" i="13" s="1"/>
  <c r="E838" i="15"/>
  <c r="F838" i="15"/>
  <c r="G838" i="15"/>
  <c r="H838" i="15"/>
  <c r="I838" i="15"/>
  <c r="J838" i="15"/>
  <c r="K838" i="15"/>
  <c r="L838" i="15"/>
  <c r="M838" i="15"/>
  <c r="N838" i="15"/>
  <c r="O838" i="15"/>
  <c r="P838" i="15"/>
  <c r="Z838" i="13"/>
  <c r="B837" i="15"/>
  <c r="AA837" i="13" s="1"/>
  <c r="C837" i="15"/>
  <c r="AB837" i="13" s="1"/>
  <c r="D837" i="15"/>
  <c r="AC837" i="13" s="1"/>
  <c r="E837" i="15"/>
  <c r="F837" i="15"/>
  <c r="G837" i="15"/>
  <c r="H837" i="15"/>
  <c r="I837" i="15"/>
  <c r="J837" i="15"/>
  <c r="K837" i="15"/>
  <c r="L837" i="15"/>
  <c r="M837" i="15"/>
  <c r="N837" i="15"/>
  <c r="O837" i="15"/>
  <c r="P837" i="15"/>
  <c r="Z837" i="13"/>
  <c r="B835" i="15"/>
  <c r="AA835" i="13" s="1"/>
  <c r="C835" i="15"/>
  <c r="AB835" i="13" s="1"/>
  <c r="D835" i="15"/>
  <c r="AC835" i="13" s="1"/>
  <c r="E835" i="15"/>
  <c r="F835" i="15"/>
  <c r="G835" i="15"/>
  <c r="H835" i="15"/>
  <c r="I835" i="15"/>
  <c r="J835" i="15"/>
  <c r="K835" i="15"/>
  <c r="L835" i="15"/>
  <c r="M835" i="15"/>
  <c r="N835" i="15"/>
  <c r="O835" i="15"/>
  <c r="P835" i="15"/>
  <c r="Z835" i="13"/>
  <c r="B580" i="15"/>
  <c r="AA580" i="13" s="1"/>
  <c r="C580" i="15"/>
  <c r="AB580" i="13" s="1"/>
  <c r="D580" i="15"/>
  <c r="AC580" i="13" s="1"/>
  <c r="E580" i="15"/>
  <c r="F580" i="15"/>
  <c r="G580" i="15"/>
  <c r="H580" i="15"/>
  <c r="I580" i="15"/>
  <c r="J580" i="15"/>
  <c r="K580" i="15"/>
  <c r="L580" i="15"/>
  <c r="M580" i="15"/>
  <c r="N580" i="15"/>
  <c r="O580" i="15"/>
  <c r="P580" i="15"/>
  <c r="Z580" i="13"/>
  <c r="B523" i="15"/>
  <c r="AA523" i="13" s="1"/>
  <c r="C523" i="15"/>
  <c r="AB523" i="13" s="1"/>
  <c r="D523" i="15"/>
  <c r="AC523" i="13" s="1"/>
  <c r="E523" i="15"/>
  <c r="F523" i="15"/>
  <c r="K523" i="15"/>
  <c r="L523" i="15"/>
  <c r="G523" i="15"/>
  <c r="H523" i="15"/>
  <c r="I523" i="15"/>
  <c r="J523" i="15"/>
  <c r="M523" i="15"/>
  <c r="N523" i="15"/>
  <c r="O523" i="15"/>
  <c r="P523" i="15"/>
  <c r="Z523" i="13"/>
  <c r="B431" i="15"/>
  <c r="AA431" i="13" s="1"/>
  <c r="C431" i="15"/>
  <c r="AB431" i="13" s="1"/>
  <c r="D431" i="15"/>
  <c r="AC431" i="13" s="1"/>
  <c r="E431" i="15"/>
  <c r="F431" i="15"/>
  <c r="G431" i="15"/>
  <c r="H431" i="15"/>
  <c r="I431" i="15"/>
  <c r="J431" i="15"/>
  <c r="K431" i="15"/>
  <c r="L431" i="15"/>
  <c r="M431" i="15"/>
  <c r="N431" i="15"/>
  <c r="O431" i="15"/>
  <c r="P431" i="15"/>
  <c r="Z431" i="13"/>
  <c r="B426" i="15"/>
  <c r="AA426" i="13" s="1"/>
  <c r="C426" i="15"/>
  <c r="AB426" i="13" s="1"/>
  <c r="D426" i="15"/>
  <c r="AC426" i="13" s="1"/>
  <c r="E426" i="15"/>
  <c r="F426" i="15"/>
  <c r="G426" i="15"/>
  <c r="H426" i="15"/>
  <c r="I426" i="15"/>
  <c r="J426" i="15"/>
  <c r="K426" i="15"/>
  <c r="L426" i="15"/>
  <c r="M426" i="15"/>
  <c r="N426" i="15"/>
  <c r="O426" i="15"/>
  <c r="P426" i="15"/>
  <c r="Z426" i="13"/>
  <c r="B419" i="15"/>
  <c r="AA419" i="13" s="1"/>
  <c r="C419" i="15"/>
  <c r="AB419" i="13" s="1"/>
  <c r="D419" i="15"/>
  <c r="AC419" i="13" s="1"/>
  <c r="E419" i="15"/>
  <c r="F419" i="15"/>
  <c r="G419" i="15"/>
  <c r="H419" i="15"/>
  <c r="I419" i="15"/>
  <c r="J419" i="15"/>
  <c r="K419" i="15"/>
  <c r="L419" i="15"/>
  <c r="M419" i="15"/>
  <c r="N419" i="15"/>
  <c r="O419" i="15"/>
  <c r="P419" i="15"/>
  <c r="Z419" i="13"/>
  <c r="B235" i="15"/>
  <c r="AA235" i="13" s="1"/>
  <c r="C235" i="15"/>
  <c r="AB235" i="13" s="1"/>
  <c r="D235" i="15"/>
  <c r="AC235" i="13" s="1"/>
  <c r="E235" i="15"/>
  <c r="F235" i="15"/>
  <c r="G235" i="15"/>
  <c r="H235" i="15"/>
  <c r="I235" i="15"/>
  <c r="J235" i="15"/>
  <c r="K235" i="15"/>
  <c r="L235" i="15"/>
  <c r="M235" i="15"/>
  <c r="N235" i="15"/>
  <c r="O235" i="15"/>
  <c r="P235" i="15"/>
  <c r="Z235" i="13"/>
  <c r="B230" i="15"/>
  <c r="AA230" i="13" s="1"/>
  <c r="C230" i="15"/>
  <c r="AB230" i="13" s="1"/>
  <c r="D230" i="15"/>
  <c r="AC230" i="13" s="1"/>
  <c r="E230" i="15"/>
  <c r="F230" i="15"/>
  <c r="G230" i="15"/>
  <c r="H230" i="15"/>
  <c r="I230" i="15"/>
  <c r="J230" i="15"/>
  <c r="K230" i="15"/>
  <c r="L230" i="15"/>
  <c r="M230" i="15"/>
  <c r="N230" i="15"/>
  <c r="O230" i="15"/>
  <c r="P230" i="15"/>
  <c r="Z230" i="13"/>
  <c r="B223" i="15"/>
  <c r="AA223" i="13" s="1"/>
  <c r="C223" i="15"/>
  <c r="AB223" i="13" s="1"/>
  <c r="D223" i="15"/>
  <c r="AC223" i="13" s="1"/>
  <c r="E223" i="15"/>
  <c r="F223" i="15"/>
  <c r="G223" i="15"/>
  <c r="H223" i="15"/>
  <c r="I223" i="15"/>
  <c r="J223" i="15"/>
  <c r="K223" i="15"/>
  <c r="L223" i="15"/>
  <c r="M223" i="15"/>
  <c r="N223" i="15"/>
  <c r="O223" i="15"/>
  <c r="P223" i="15"/>
  <c r="Z223" i="13"/>
  <c r="B215" i="15"/>
  <c r="AA215" i="13" s="1"/>
  <c r="C215" i="15"/>
  <c r="AB215" i="13" s="1"/>
  <c r="D215" i="15"/>
  <c r="AC215" i="13" s="1"/>
  <c r="E215" i="15"/>
  <c r="F215" i="15"/>
  <c r="G215" i="15"/>
  <c r="H215" i="15"/>
  <c r="I215" i="15"/>
  <c r="J215" i="15"/>
  <c r="K215" i="15"/>
  <c r="L215" i="15"/>
  <c r="M215" i="15"/>
  <c r="N215" i="15"/>
  <c r="O215" i="15"/>
  <c r="P215" i="15"/>
  <c r="Z215" i="13"/>
  <c r="B210" i="15"/>
  <c r="AA210" i="13" s="1"/>
  <c r="C210" i="15"/>
  <c r="AB210" i="13" s="1"/>
  <c r="D210" i="15"/>
  <c r="AC210" i="13" s="1"/>
  <c r="E210" i="15"/>
  <c r="F210" i="15"/>
  <c r="G210" i="15"/>
  <c r="H210" i="15"/>
  <c r="I210" i="15"/>
  <c r="J210" i="15"/>
  <c r="K210" i="15"/>
  <c r="L210" i="15"/>
  <c r="M210" i="15"/>
  <c r="N210" i="15"/>
  <c r="O210" i="15"/>
  <c r="P210" i="15"/>
  <c r="Z210" i="13"/>
  <c r="B999" i="15"/>
  <c r="AA999" i="13" s="1"/>
  <c r="C999" i="15"/>
  <c r="AB999" i="13" s="1"/>
  <c r="D999" i="15"/>
  <c r="AC999" i="13" s="1"/>
  <c r="E999" i="15"/>
  <c r="F999" i="15"/>
  <c r="G999" i="15"/>
  <c r="H999" i="15"/>
  <c r="I999" i="15"/>
  <c r="J999" i="15"/>
  <c r="K999" i="15"/>
  <c r="L999" i="15"/>
  <c r="M999" i="15"/>
  <c r="N999" i="15"/>
  <c r="O999" i="15"/>
  <c r="P999" i="15"/>
  <c r="Z999" i="13"/>
  <c r="C913" i="15"/>
  <c r="AB913" i="13" s="1"/>
  <c r="E913" i="15"/>
  <c r="I913" i="15"/>
  <c r="K913" i="15"/>
  <c r="M913" i="15"/>
  <c r="N913" i="15"/>
  <c r="O913" i="15"/>
  <c r="P913" i="15"/>
  <c r="B913" i="15"/>
  <c r="AA913" i="13" s="1"/>
  <c r="D913" i="15"/>
  <c r="AC913" i="13" s="1"/>
  <c r="F913" i="15"/>
  <c r="G913" i="15"/>
  <c r="H913" i="15"/>
  <c r="J913" i="15"/>
  <c r="L913" i="15"/>
  <c r="Z913" i="13"/>
  <c r="B880" i="15"/>
  <c r="AA880" i="13" s="1"/>
  <c r="C880" i="15"/>
  <c r="AB880" i="13" s="1"/>
  <c r="I880" i="15"/>
  <c r="D880" i="15"/>
  <c r="AC880" i="13" s="1"/>
  <c r="E880" i="15"/>
  <c r="F880" i="15"/>
  <c r="G880" i="15"/>
  <c r="H880" i="15"/>
  <c r="J880" i="15"/>
  <c r="K880" i="15"/>
  <c r="L880" i="15"/>
  <c r="M880" i="15"/>
  <c r="N880" i="15"/>
  <c r="O880" i="15"/>
  <c r="P880" i="15"/>
  <c r="Z880" i="13"/>
  <c r="B515" i="15"/>
  <c r="AA515" i="13" s="1"/>
  <c r="E515" i="15"/>
  <c r="G515" i="15"/>
  <c r="O515" i="15"/>
  <c r="C515" i="15"/>
  <c r="AB515" i="13" s="1"/>
  <c r="D515" i="15"/>
  <c r="AC515" i="13" s="1"/>
  <c r="H515" i="15"/>
  <c r="I515" i="15"/>
  <c r="J515" i="15"/>
  <c r="K515" i="15"/>
  <c r="L515" i="15"/>
  <c r="M515" i="15"/>
  <c r="N515" i="15"/>
  <c r="P515" i="15"/>
  <c r="Z515" i="13"/>
  <c r="F515" i="15"/>
  <c r="B65" i="15"/>
  <c r="AA65" i="13" s="1"/>
  <c r="E65" i="15"/>
  <c r="G65" i="15"/>
  <c r="I65" i="15"/>
  <c r="K65" i="15"/>
  <c r="M65" i="15"/>
  <c r="O65" i="15"/>
  <c r="D65" i="15"/>
  <c r="AC65" i="13" s="1"/>
  <c r="F65" i="15"/>
  <c r="J65" i="15"/>
  <c r="L65" i="15"/>
  <c r="N65" i="15"/>
  <c r="P65" i="15"/>
  <c r="H65" i="15"/>
  <c r="Z65" i="13"/>
  <c r="C65" i="15"/>
  <c r="AB65" i="13" s="1"/>
  <c r="B514" i="15"/>
  <c r="AA514" i="13" s="1"/>
  <c r="E514" i="15"/>
  <c r="G514" i="15"/>
  <c r="C514" i="15"/>
  <c r="AB514" i="13" s="1"/>
  <c r="F514" i="15"/>
  <c r="I514" i="15"/>
  <c r="J514" i="15"/>
  <c r="K514" i="15"/>
  <c r="L514" i="15"/>
  <c r="O514" i="15"/>
  <c r="Z514" i="13"/>
  <c r="D514" i="15"/>
  <c r="AC514" i="13" s="1"/>
  <c r="H514" i="15"/>
  <c r="M514" i="15"/>
  <c r="N514" i="15"/>
  <c r="P514" i="15"/>
  <c r="B775" i="15"/>
  <c r="AA775" i="13" s="1"/>
  <c r="C775" i="15"/>
  <c r="AB775" i="13" s="1"/>
  <c r="D775" i="15"/>
  <c r="AC775" i="13" s="1"/>
  <c r="E775" i="15"/>
  <c r="F775" i="15"/>
  <c r="G775" i="15"/>
  <c r="H775" i="15"/>
  <c r="I775" i="15"/>
  <c r="J775" i="15"/>
  <c r="K775" i="15"/>
  <c r="L775" i="15"/>
  <c r="M775" i="15"/>
  <c r="N775" i="15"/>
  <c r="O775" i="15"/>
  <c r="P775" i="15"/>
  <c r="Z775" i="13"/>
  <c r="B758" i="15"/>
  <c r="AA758" i="13" s="1"/>
  <c r="C758" i="15"/>
  <c r="AB758" i="13" s="1"/>
  <c r="D758" i="15"/>
  <c r="AC758" i="13" s="1"/>
  <c r="E758" i="15"/>
  <c r="F758" i="15"/>
  <c r="G758" i="15"/>
  <c r="H758" i="15"/>
  <c r="I758" i="15"/>
  <c r="J758" i="15"/>
  <c r="K758" i="15"/>
  <c r="L758" i="15"/>
  <c r="M758" i="15"/>
  <c r="N758" i="15"/>
  <c r="O758" i="15"/>
  <c r="P758" i="15"/>
  <c r="Z758" i="13"/>
  <c r="B656" i="15"/>
  <c r="AA656" i="13" s="1"/>
  <c r="C656" i="15"/>
  <c r="AB656" i="13" s="1"/>
  <c r="D656" i="15"/>
  <c r="AC656" i="13" s="1"/>
  <c r="E656" i="15"/>
  <c r="F656" i="15"/>
  <c r="G656" i="15"/>
  <c r="H656" i="15"/>
  <c r="I656" i="15"/>
  <c r="J656" i="15"/>
  <c r="K656" i="15"/>
  <c r="L656" i="15"/>
  <c r="M656" i="15"/>
  <c r="N656" i="15"/>
  <c r="O656" i="15"/>
  <c r="P656" i="15"/>
  <c r="Z656" i="13"/>
  <c r="B294" i="15"/>
  <c r="AA294" i="13" s="1"/>
  <c r="C294" i="15"/>
  <c r="AB294" i="13" s="1"/>
  <c r="D294" i="15"/>
  <c r="AC294" i="13" s="1"/>
  <c r="E294" i="15"/>
  <c r="F294" i="15"/>
  <c r="G294" i="15"/>
  <c r="H294" i="15"/>
  <c r="I294" i="15"/>
  <c r="J294" i="15"/>
  <c r="K294" i="15"/>
  <c r="L294" i="15"/>
  <c r="M294" i="15"/>
  <c r="N294" i="15"/>
  <c r="O294" i="15"/>
  <c r="P294" i="15"/>
  <c r="Z294" i="13"/>
  <c r="B95" i="15"/>
  <c r="AA95" i="13" s="1"/>
  <c r="C95" i="15"/>
  <c r="AB95" i="13" s="1"/>
  <c r="D95" i="15"/>
  <c r="AC95" i="13" s="1"/>
  <c r="E95" i="15"/>
  <c r="F95" i="15"/>
  <c r="G95" i="15"/>
  <c r="H95" i="15"/>
  <c r="I95" i="15"/>
  <c r="J95" i="15"/>
  <c r="K95" i="15"/>
  <c r="L95" i="15"/>
  <c r="M95" i="15"/>
  <c r="N95" i="15"/>
  <c r="O95" i="15"/>
  <c r="P95" i="15"/>
  <c r="Z95" i="13"/>
  <c r="B84" i="15"/>
  <c r="AA84" i="13" s="1"/>
  <c r="C84" i="15"/>
  <c r="AB84" i="13" s="1"/>
  <c r="D84" i="15"/>
  <c r="AC84" i="13" s="1"/>
  <c r="E84" i="15"/>
  <c r="F84" i="15"/>
  <c r="G84" i="15"/>
  <c r="H84" i="15"/>
  <c r="I84" i="15"/>
  <c r="J84" i="15"/>
  <c r="K84" i="15"/>
  <c r="L84" i="15"/>
  <c r="M84" i="15"/>
  <c r="N84" i="15"/>
  <c r="O84" i="15"/>
  <c r="P84" i="15"/>
  <c r="Z84" i="13"/>
  <c r="B74" i="15"/>
  <c r="AA74" i="13" s="1"/>
  <c r="C74" i="15"/>
  <c r="AB74" i="13" s="1"/>
  <c r="D74" i="15"/>
  <c r="AC74" i="13" s="1"/>
  <c r="E74" i="15"/>
  <c r="F74" i="15"/>
  <c r="G74" i="15"/>
  <c r="H74" i="15"/>
  <c r="I74" i="15"/>
  <c r="J74" i="15"/>
  <c r="K74" i="15"/>
  <c r="L74" i="15"/>
  <c r="M74" i="15"/>
  <c r="N74" i="15"/>
  <c r="O74" i="15"/>
  <c r="P74" i="15"/>
  <c r="Z74" i="13"/>
  <c r="B22" i="15"/>
  <c r="AA22" i="13" s="1"/>
  <c r="C22" i="15"/>
  <c r="AB22" i="13" s="1"/>
  <c r="D22" i="15"/>
  <c r="AC22" i="13" s="1"/>
  <c r="E22" i="15"/>
  <c r="F22" i="15"/>
  <c r="G22" i="15"/>
  <c r="H22" i="15"/>
  <c r="I22" i="15"/>
  <c r="J22" i="15"/>
  <c r="K22" i="15"/>
  <c r="L22" i="15"/>
  <c r="M22" i="15"/>
  <c r="N22" i="15"/>
  <c r="O22" i="15"/>
  <c r="P22" i="15"/>
  <c r="Z22" i="13"/>
  <c r="B14" i="15"/>
  <c r="AA14" i="13" s="1"/>
  <c r="C14" i="15"/>
  <c r="AB14" i="13" s="1"/>
  <c r="D14" i="15"/>
  <c r="AC14" i="13" s="1"/>
  <c r="E14" i="15"/>
  <c r="F14" i="15"/>
  <c r="G14" i="15"/>
  <c r="H14" i="15"/>
  <c r="I14" i="15"/>
  <c r="J14" i="15"/>
  <c r="K14" i="15"/>
  <c r="L14" i="15"/>
  <c r="M14" i="15"/>
  <c r="N14" i="15"/>
  <c r="O14" i="15"/>
  <c r="P14" i="15"/>
  <c r="Z14" i="13"/>
  <c r="E56" i="15"/>
  <c r="M56" i="15"/>
  <c r="O56" i="15"/>
  <c r="Z56" i="13"/>
  <c r="C56" i="15"/>
  <c r="AB56" i="13" s="1"/>
  <c r="G56" i="15"/>
  <c r="J56" i="15"/>
  <c r="B56" i="15"/>
  <c r="AA56" i="13" s="1"/>
  <c r="D56" i="15"/>
  <c r="AC56" i="13" s="1"/>
  <c r="F56" i="15"/>
  <c r="H56" i="15"/>
  <c r="I56" i="15"/>
  <c r="K56" i="15"/>
  <c r="N56" i="15"/>
  <c r="P56" i="15"/>
  <c r="L56" i="15"/>
  <c r="G505" i="15"/>
  <c r="J505" i="15"/>
  <c r="M505" i="15"/>
  <c r="Z505" i="13"/>
  <c r="C505" i="15"/>
  <c r="AB505" i="13" s="1"/>
  <c r="D505" i="15"/>
  <c r="AC505" i="13" s="1"/>
  <c r="F505" i="15"/>
  <c r="I505" i="15"/>
  <c r="K505" i="15"/>
  <c r="O505" i="15"/>
  <c r="P505" i="15"/>
  <c r="B505" i="15"/>
  <c r="AA505" i="13" s="1"/>
  <c r="L505" i="15"/>
  <c r="E505" i="15"/>
  <c r="H505" i="15"/>
  <c r="N505" i="15"/>
  <c r="C981" i="15"/>
  <c r="AB981" i="13" s="1"/>
  <c r="E981" i="15"/>
  <c r="G981" i="15"/>
  <c r="I981" i="15"/>
  <c r="J981" i="15"/>
  <c r="L981" i="15"/>
  <c r="Z981" i="13"/>
  <c r="B981" i="15"/>
  <c r="AA981" i="13" s="1"/>
  <c r="D981" i="15"/>
  <c r="AC981" i="13" s="1"/>
  <c r="F981" i="15"/>
  <c r="H981" i="15"/>
  <c r="K981" i="15"/>
  <c r="M981" i="15"/>
  <c r="N981" i="15"/>
  <c r="O981" i="15"/>
  <c r="P981" i="15"/>
  <c r="B978" i="15"/>
  <c r="AA978" i="13" s="1"/>
  <c r="D978" i="15"/>
  <c r="AC978" i="13" s="1"/>
  <c r="E978" i="15"/>
  <c r="G978" i="15"/>
  <c r="I978" i="15"/>
  <c r="K978" i="15"/>
  <c r="Z978" i="13"/>
  <c r="C978" i="15"/>
  <c r="AB978" i="13" s="1"/>
  <c r="F978" i="15"/>
  <c r="H978" i="15"/>
  <c r="J978" i="15"/>
  <c r="L978" i="15"/>
  <c r="M978" i="15"/>
  <c r="N978" i="15"/>
  <c r="O978" i="15"/>
  <c r="P978" i="15"/>
  <c r="C972" i="15"/>
  <c r="AB972" i="13" s="1"/>
  <c r="E972" i="15"/>
  <c r="G972" i="15"/>
  <c r="I972" i="15"/>
  <c r="K972" i="15"/>
  <c r="M972" i="15"/>
  <c r="Z972" i="13"/>
  <c r="B972" i="15"/>
  <c r="AA972" i="13" s="1"/>
  <c r="D972" i="15"/>
  <c r="AC972" i="13" s="1"/>
  <c r="F972" i="15"/>
  <c r="H972" i="15"/>
  <c r="J972" i="15"/>
  <c r="L972" i="15"/>
  <c r="N972" i="15"/>
  <c r="O972" i="15"/>
  <c r="P972" i="15"/>
  <c r="B965" i="15"/>
  <c r="AA965" i="13" s="1"/>
  <c r="D965" i="15"/>
  <c r="AC965" i="13" s="1"/>
  <c r="E965" i="15"/>
  <c r="F965" i="15"/>
  <c r="G965" i="15"/>
  <c r="H965" i="15"/>
  <c r="I965" i="15"/>
  <c r="J965" i="15"/>
  <c r="K965" i="15"/>
  <c r="L965" i="15"/>
  <c r="M965" i="15"/>
  <c r="N965" i="15"/>
  <c r="O965" i="15"/>
  <c r="P965" i="15"/>
  <c r="Z965" i="13"/>
  <c r="C965" i="15"/>
  <c r="AB965" i="13" s="1"/>
  <c r="B955" i="15"/>
  <c r="AA955" i="13" s="1"/>
  <c r="D955" i="15"/>
  <c r="AC955" i="13" s="1"/>
  <c r="F955" i="15"/>
  <c r="H955" i="15"/>
  <c r="I955" i="15"/>
  <c r="J955" i="15"/>
  <c r="K955" i="15"/>
  <c r="L955" i="15"/>
  <c r="M955" i="15"/>
  <c r="N955" i="15"/>
  <c r="O955" i="15"/>
  <c r="P955" i="15"/>
  <c r="Z955" i="13"/>
  <c r="C955" i="15"/>
  <c r="AB955" i="13" s="1"/>
  <c r="E955" i="15"/>
  <c r="G955" i="15"/>
  <c r="B943" i="15"/>
  <c r="AA943" i="13" s="1"/>
  <c r="D943" i="15"/>
  <c r="AC943" i="13" s="1"/>
  <c r="F943" i="15"/>
  <c r="H943" i="15"/>
  <c r="K943" i="15"/>
  <c r="M943" i="15"/>
  <c r="O943" i="15"/>
  <c r="Z943" i="13"/>
  <c r="C943" i="15"/>
  <c r="AB943" i="13" s="1"/>
  <c r="E943" i="15"/>
  <c r="G943" i="15"/>
  <c r="I943" i="15"/>
  <c r="J943" i="15"/>
  <c r="L943" i="15"/>
  <c r="N943" i="15"/>
  <c r="P943" i="15"/>
  <c r="B929" i="15"/>
  <c r="AA929" i="13" s="1"/>
  <c r="C929" i="15"/>
  <c r="AB929" i="13" s="1"/>
  <c r="D929" i="15"/>
  <c r="AC929" i="13" s="1"/>
  <c r="E929" i="15"/>
  <c r="F929" i="15"/>
  <c r="G929" i="15"/>
  <c r="H929" i="15"/>
  <c r="I929" i="15"/>
  <c r="J929" i="15"/>
  <c r="K929" i="15"/>
  <c r="L929" i="15"/>
  <c r="M929" i="15"/>
  <c r="N929" i="15"/>
  <c r="O929" i="15"/>
  <c r="P929" i="15"/>
  <c r="Z929" i="13"/>
  <c r="C918" i="15"/>
  <c r="AB918" i="13" s="1"/>
  <c r="E918" i="15"/>
  <c r="F918" i="15"/>
  <c r="H918" i="15"/>
  <c r="I918" i="15"/>
  <c r="J918" i="15"/>
  <c r="K918" i="15"/>
  <c r="L918" i="15"/>
  <c r="M918" i="15"/>
  <c r="N918" i="15"/>
  <c r="O918" i="15"/>
  <c r="P918" i="15"/>
  <c r="B918" i="15"/>
  <c r="AA918" i="13" s="1"/>
  <c r="D918" i="15"/>
  <c r="AC918" i="13" s="1"/>
  <c r="G918" i="15"/>
  <c r="Z918" i="13"/>
  <c r="C900" i="15"/>
  <c r="AB900" i="13" s="1"/>
  <c r="D900" i="15"/>
  <c r="AC900" i="13" s="1"/>
  <c r="F900" i="15"/>
  <c r="H900" i="15"/>
  <c r="I900" i="15"/>
  <c r="J900" i="15"/>
  <c r="K900" i="15"/>
  <c r="L900" i="15"/>
  <c r="M900" i="15"/>
  <c r="N900" i="15"/>
  <c r="O900" i="15"/>
  <c r="P900" i="15"/>
  <c r="Z900" i="13"/>
  <c r="B900" i="15"/>
  <c r="AA900" i="13" s="1"/>
  <c r="E900" i="15"/>
  <c r="G900" i="15"/>
  <c r="B892" i="15"/>
  <c r="AA892" i="13" s="1"/>
  <c r="C892" i="15"/>
  <c r="AB892" i="13" s="1"/>
  <c r="D892" i="15"/>
  <c r="AC892" i="13" s="1"/>
  <c r="E892" i="15"/>
  <c r="F892" i="15"/>
  <c r="G892" i="15"/>
  <c r="H892" i="15"/>
  <c r="I892" i="15"/>
  <c r="J892" i="15"/>
  <c r="L892" i="15"/>
  <c r="Z892" i="13"/>
  <c r="K892" i="15"/>
  <c r="M892" i="15"/>
  <c r="N892" i="15"/>
  <c r="O892" i="15"/>
  <c r="P892" i="15"/>
  <c r="B889" i="15"/>
  <c r="AA889" i="13" s="1"/>
  <c r="C889" i="15"/>
  <c r="AB889" i="13" s="1"/>
  <c r="D889" i="15"/>
  <c r="AC889" i="13" s="1"/>
  <c r="E889" i="15"/>
  <c r="F889" i="15"/>
  <c r="G889" i="15"/>
  <c r="H889" i="15"/>
  <c r="I889" i="15"/>
  <c r="J889" i="15"/>
  <c r="K889" i="15"/>
  <c r="L889" i="15"/>
  <c r="M889" i="15"/>
  <c r="N889" i="15"/>
  <c r="O889" i="15"/>
  <c r="P889" i="15"/>
  <c r="Z889" i="13"/>
  <c r="C886" i="15"/>
  <c r="AB886" i="13" s="1"/>
  <c r="G886" i="15"/>
  <c r="H886" i="15"/>
  <c r="I886" i="15"/>
  <c r="J886" i="15"/>
  <c r="K886" i="15"/>
  <c r="L886" i="15"/>
  <c r="M886" i="15"/>
  <c r="N886" i="15"/>
  <c r="O886" i="15"/>
  <c r="Z886" i="13"/>
  <c r="B886" i="15"/>
  <c r="AA886" i="13" s="1"/>
  <c r="D886" i="15"/>
  <c r="AC886" i="13" s="1"/>
  <c r="E886" i="15"/>
  <c r="F886" i="15"/>
  <c r="P886" i="15"/>
  <c r="B882" i="15"/>
  <c r="AA882" i="13" s="1"/>
  <c r="E882" i="15"/>
  <c r="G882" i="15"/>
  <c r="I882" i="15"/>
  <c r="J882" i="15"/>
  <c r="L882" i="15"/>
  <c r="M882" i="15"/>
  <c r="N882" i="15"/>
  <c r="O882" i="15"/>
  <c r="P882" i="15"/>
  <c r="Z882" i="13"/>
  <c r="C882" i="15"/>
  <c r="AB882" i="13" s="1"/>
  <c r="D882" i="15"/>
  <c r="AC882" i="13" s="1"/>
  <c r="F882" i="15"/>
  <c r="H882" i="15"/>
  <c r="K882" i="15"/>
  <c r="B866" i="15"/>
  <c r="AA866" i="13" s="1"/>
  <c r="C866" i="15"/>
  <c r="AB866" i="13" s="1"/>
  <c r="G866" i="15"/>
  <c r="K866" i="15"/>
  <c r="L866" i="15"/>
  <c r="M866" i="15"/>
  <c r="N866" i="15"/>
  <c r="O866" i="15"/>
  <c r="P866" i="15"/>
  <c r="Z866" i="13"/>
  <c r="D866" i="15"/>
  <c r="AC866" i="13" s="1"/>
  <c r="E866" i="15"/>
  <c r="F866" i="15"/>
  <c r="H866" i="15"/>
  <c r="I866" i="15"/>
  <c r="J866" i="15"/>
  <c r="F571" i="15"/>
  <c r="K571" i="15"/>
  <c r="O571" i="15"/>
  <c r="Z571" i="13"/>
  <c r="B571" i="15"/>
  <c r="AA571" i="13" s="1"/>
  <c r="C571" i="15"/>
  <c r="AB571" i="13" s="1"/>
  <c r="D571" i="15"/>
  <c r="AC571" i="13" s="1"/>
  <c r="G571" i="15"/>
  <c r="H571" i="15"/>
  <c r="J571" i="15"/>
  <c r="E571" i="15"/>
  <c r="I571" i="15"/>
  <c r="L571" i="15"/>
  <c r="M571" i="15"/>
  <c r="N571" i="15"/>
  <c r="P571" i="15"/>
  <c r="Z565" i="13"/>
  <c r="B565" i="15"/>
  <c r="AA565" i="13" s="1"/>
  <c r="E565" i="15"/>
  <c r="F565" i="15"/>
  <c r="G565" i="15"/>
  <c r="N565" i="15"/>
  <c r="C565" i="15"/>
  <c r="AB565" i="13" s="1"/>
  <c r="D565" i="15"/>
  <c r="AC565" i="13" s="1"/>
  <c r="H565" i="15"/>
  <c r="I565" i="15"/>
  <c r="J565" i="15"/>
  <c r="K565" i="15"/>
  <c r="L565" i="15"/>
  <c r="M565" i="15"/>
  <c r="O565" i="15"/>
  <c r="P565" i="15"/>
  <c r="B546" i="15"/>
  <c r="AA546" i="13" s="1"/>
  <c r="D546" i="15"/>
  <c r="AC546" i="13" s="1"/>
  <c r="E546" i="15"/>
  <c r="F546" i="15"/>
  <c r="Z546" i="13"/>
  <c r="G546" i="15"/>
  <c r="I546" i="15"/>
  <c r="K546" i="15"/>
  <c r="L546" i="15"/>
  <c r="M546" i="15"/>
  <c r="N546" i="15"/>
  <c r="P546" i="15"/>
  <c r="C546" i="15"/>
  <c r="AB546" i="13" s="1"/>
  <c r="H546" i="15"/>
  <c r="J546" i="15"/>
  <c r="O546" i="15"/>
  <c r="C541" i="15"/>
  <c r="AB541" i="13" s="1"/>
  <c r="Z541" i="13"/>
  <c r="D541" i="15"/>
  <c r="AC541" i="13" s="1"/>
  <c r="E541" i="15"/>
  <c r="F541" i="15"/>
  <c r="H541" i="15"/>
  <c r="N541" i="15"/>
  <c r="O541" i="15"/>
  <c r="B541" i="15"/>
  <c r="AA541" i="13" s="1"/>
  <c r="G541" i="15"/>
  <c r="I541" i="15"/>
  <c r="J541" i="15"/>
  <c r="K541" i="15"/>
  <c r="L541" i="15"/>
  <c r="M541" i="15"/>
  <c r="P541" i="15"/>
  <c r="B533" i="15"/>
  <c r="AA533" i="13" s="1"/>
  <c r="D533" i="15"/>
  <c r="AC533" i="13" s="1"/>
  <c r="F533" i="15"/>
  <c r="H533" i="15"/>
  <c r="I533" i="15"/>
  <c r="L533" i="15"/>
  <c r="N533" i="15"/>
  <c r="O533" i="15"/>
  <c r="Z533" i="13"/>
  <c r="C533" i="15"/>
  <c r="AB533" i="13" s="1"/>
  <c r="J533" i="15"/>
  <c r="K533" i="15"/>
  <c r="M533" i="15"/>
  <c r="P533" i="15"/>
  <c r="E533" i="15"/>
  <c r="G533" i="15"/>
  <c r="C526" i="15"/>
  <c r="AB526" i="13" s="1"/>
  <c r="D526" i="15"/>
  <c r="AC526" i="13" s="1"/>
  <c r="G526" i="15"/>
  <c r="M526" i="15"/>
  <c r="N526" i="15"/>
  <c r="O526" i="15"/>
  <c r="Z526" i="13"/>
  <c r="E526" i="15"/>
  <c r="I526" i="15"/>
  <c r="J526" i="15"/>
  <c r="K526" i="15"/>
  <c r="L526" i="15"/>
  <c r="P526" i="15"/>
  <c r="B526" i="15"/>
  <c r="AA526" i="13" s="1"/>
  <c r="F526" i="15"/>
  <c r="H526" i="15"/>
  <c r="F518" i="15"/>
  <c r="G518" i="15"/>
  <c r="H518" i="15"/>
  <c r="K518" i="15"/>
  <c r="L518" i="15"/>
  <c r="M518" i="15"/>
  <c r="N518" i="15"/>
  <c r="O518" i="15"/>
  <c r="P518" i="15"/>
  <c r="Z518" i="13"/>
  <c r="B518" i="15"/>
  <c r="AA518" i="13" s="1"/>
  <c r="C518" i="15"/>
  <c r="AB518" i="13" s="1"/>
  <c r="D518" i="15"/>
  <c r="AC518" i="13" s="1"/>
  <c r="E518" i="15"/>
  <c r="I518" i="15"/>
  <c r="J518" i="15"/>
  <c r="B834" i="15"/>
  <c r="AA834" i="13" s="1"/>
  <c r="C834" i="15"/>
  <c r="AB834" i="13" s="1"/>
  <c r="D834" i="15"/>
  <c r="AC834" i="13" s="1"/>
  <c r="E834" i="15"/>
  <c r="F834" i="15"/>
  <c r="G834" i="15"/>
  <c r="H834" i="15"/>
  <c r="I834" i="15"/>
  <c r="J834" i="15"/>
  <c r="K834" i="15"/>
  <c r="L834" i="15"/>
  <c r="M834" i="15"/>
  <c r="N834" i="15"/>
  <c r="O834" i="15"/>
  <c r="P834" i="15"/>
  <c r="Z834" i="13"/>
  <c r="B832" i="15"/>
  <c r="AA832" i="13" s="1"/>
  <c r="C832" i="15"/>
  <c r="AB832" i="13" s="1"/>
  <c r="D832" i="15"/>
  <c r="AC832" i="13" s="1"/>
  <c r="E832" i="15"/>
  <c r="F832" i="15"/>
  <c r="G832" i="15"/>
  <c r="H832" i="15"/>
  <c r="I832" i="15"/>
  <c r="J832" i="15"/>
  <c r="K832" i="15"/>
  <c r="L832" i="15"/>
  <c r="M832" i="15"/>
  <c r="N832" i="15"/>
  <c r="O832" i="15"/>
  <c r="P832" i="15"/>
  <c r="Z832" i="13"/>
  <c r="B830" i="15"/>
  <c r="AA830" i="13" s="1"/>
  <c r="C830" i="15"/>
  <c r="AB830" i="13" s="1"/>
  <c r="D830" i="15"/>
  <c r="AC830" i="13" s="1"/>
  <c r="E830" i="15"/>
  <c r="F830" i="15"/>
  <c r="G830" i="15"/>
  <c r="H830" i="15"/>
  <c r="I830" i="15"/>
  <c r="J830" i="15"/>
  <c r="K830" i="15"/>
  <c r="L830" i="15"/>
  <c r="M830" i="15"/>
  <c r="N830" i="15"/>
  <c r="O830" i="15"/>
  <c r="P830" i="15"/>
  <c r="Z830" i="13"/>
  <c r="B829" i="15"/>
  <c r="AA829" i="13" s="1"/>
  <c r="C829" i="15"/>
  <c r="AB829" i="13" s="1"/>
  <c r="D829" i="15"/>
  <c r="AC829" i="13" s="1"/>
  <c r="E829" i="15"/>
  <c r="F829" i="15"/>
  <c r="G829" i="15"/>
  <c r="H829" i="15"/>
  <c r="I829" i="15"/>
  <c r="J829" i="15"/>
  <c r="K829" i="15"/>
  <c r="L829" i="15"/>
  <c r="M829" i="15"/>
  <c r="N829" i="15"/>
  <c r="O829" i="15"/>
  <c r="P829" i="15"/>
  <c r="Z829" i="13"/>
  <c r="B827" i="15"/>
  <c r="AA827" i="13" s="1"/>
  <c r="C827" i="15"/>
  <c r="AB827" i="13" s="1"/>
  <c r="D827" i="15"/>
  <c r="AC827" i="13" s="1"/>
  <c r="E827" i="15"/>
  <c r="F827" i="15"/>
  <c r="G827" i="15"/>
  <c r="H827" i="15"/>
  <c r="I827" i="15"/>
  <c r="J827" i="15"/>
  <c r="K827" i="15"/>
  <c r="L827" i="15"/>
  <c r="M827" i="15"/>
  <c r="N827" i="15"/>
  <c r="O827" i="15"/>
  <c r="P827" i="15"/>
  <c r="Z827" i="13"/>
  <c r="B825" i="15"/>
  <c r="AA825" i="13" s="1"/>
  <c r="C825" i="15"/>
  <c r="AB825" i="13" s="1"/>
  <c r="D825" i="15"/>
  <c r="AC825" i="13" s="1"/>
  <c r="E825" i="15"/>
  <c r="F825" i="15"/>
  <c r="G825" i="15"/>
  <c r="H825" i="15"/>
  <c r="I825" i="15"/>
  <c r="J825" i="15"/>
  <c r="K825" i="15"/>
  <c r="L825" i="15"/>
  <c r="M825" i="15"/>
  <c r="N825" i="15"/>
  <c r="O825" i="15"/>
  <c r="P825" i="15"/>
  <c r="Z825" i="13"/>
  <c r="B824" i="15"/>
  <c r="AA824" i="13" s="1"/>
  <c r="C824" i="15"/>
  <c r="AB824" i="13" s="1"/>
  <c r="D824" i="15"/>
  <c r="AC824" i="13" s="1"/>
  <c r="E824" i="15"/>
  <c r="F824" i="15"/>
  <c r="G824" i="15"/>
  <c r="H824" i="15"/>
  <c r="I824" i="15"/>
  <c r="J824" i="15"/>
  <c r="K824" i="15"/>
  <c r="L824" i="15"/>
  <c r="M824" i="15"/>
  <c r="N824" i="15"/>
  <c r="O824" i="15"/>
  <c r="P824" i="15"/>
  <c r="Z824" i="13"/>
  <c r="B822" i="15"/>
  <c r="AA822" i="13" s="1"/>
  <c r="C822" i="15"/>
  <c r="AB822" i="13" s="1"/>
  <c r="D822" i="15"/>
  <c r="AC822" i="13" s="1"/>
  <c r="E822" i="15"/>
  <c r="F822" i="15"/>
  <c r="G822" i="15"/>
  <c r="H822" i="15"/>
  <c r="I822" i="15"/>
  <c r="J822" i="15"/>
  <c r="K822" i="15"/>
  <c r="L822" i="15"/>
  <c r="M822" i="15"/>
  <c r="N822" i="15"/>
  <c r="O822" i="15"/>
  <c r="P822" i="15"/>
  <c r="Z822" i="13"/>
  <c r="B876" i="15"/>
  <c r="AA876" i="13" s="1"/>
  <c r="E876" i="15"/>
  <c r="H876" i="15"/>
  <c r="I876" i="15"/>
  <c r="J876" i="15"/>
  <c r="Z876" i="13"/>
  <c r="C876" i="15"/>
  <c r="AB876" i="13" s="1"/>
  <c r="D876" i="15"/>
  <c r="AC876" i="13" s="1"/>
  <c r="F876" i="15"/>
  <c r="G876" i="15"/>
  <c r="K876" i="15"/>
  <c r="L876" i="15"/>
  <c r="M876" i="15"/>
  <c r="N876" i="15"/>
  <c r="O876" i="15"/>
  <c r="P876" i="15"/>
  <c r="B875" i="15"/>
  <c r="AA875" i="13" s="1"/>
  <c r="D875" i="15"/>
  <c r="AC875" i="13" s="1"/>
  <c r="E875" i="15"/>
  <c r="F875" i="15"/>
  <c r="G875" i="15"/>
  <c r="J875" i="15"/>
  <c r="K875" i="15"/>
  <c r="C875" i="15"/>
  <c r="AB875" i="13" s="1"/>
  <c r="H875" i="15"/>
  <c r="I875" i="15"/>
  <c r="L875" i="15"/>
  <c r="M875" i="15"/>
  <c r="N875" i="15"/>
  <c r="O875" i="15"/>
  <c r="P875" i="15"/>
  <c r="Z875" i="13"/>
  <c r="D873" i="15"/>
  <c r="AC873" i="13" s="1"/>
  <c r="E873" i="15"/>
  <c r="F873" i="15"/>
  <c r="H873" i="15"/>
  <c r="I873" i="15"/>
  <c r="J873" i="15"/>
  <c r="K873" i="15"/>
  <c r="B873" i="15"/>
  <c r="AA873" i="13" s="1"/>
  <c r="C873" i="15"/>
  <c r="AB873" i="13" s="1"/>
  <c r="G873" i="15"/>
  <c r="L873" i="15"/>
  <c r="M873" i="15"/>
  <c r="N873" i="15"/>
  <c r="O873" i="15"/>
  <c r="P873" i="15"/>
  <c r="Z873" i="13"/>
  <c r="B872" i="15"/>
  <c r="AA872" i="13" s="1"/>
  <c r="C872" i="15"/>
  <c r="AB872" i="13" s="1"/>
  <c r="G872" i="15"/>
  <c r="H872" i="15"/>
  <c r="I872" i="15"/>
  <c r="L872" i="15"/>
  <c r="D872" i="15"/>
  <c r="AC872" i="13" s="1"/>
  <c r="E872" i="15"/>
  <c r="F872" i="15"/>
  <c r="J872" i="15"/>
  <c r="K872" i="15"/>
  <c r="M872" i="15"/>
  <c r="N872" i="15"/>
  <c r="O872" i="15"/>
  <c r="P872" i="15"/>
  <c r="Z872" i="13"/>
  <c r="B869" i="15"/>
  <c r="AA869" i="13" s="1"/>
  <c r="C869" i="15"/>
  <c r="AB869" i="13" s="1"/>
  <c r="E869" i="15"/>
  <c r="F869" i="15"/>
  <c r="G869" i="15"/>
  <c r="H869" i="15"/>
  <c r="I869" i="15"/>
  <c r="J869" i="15"/>
  <c r="K869" i="15"/>
  <c r="L869" i="15"/>
  <c r="M869" i="15"/>
  <c r="N869" i="15"/>
  <c r="O869" i="15"/>
  <c r="P869" i="15"/>
  <c r="D869" i="15"/>
  <c r="AC869" i="13" s="1"/>
  <c r="Z869" i="13"/>
  <c r="B867" i="15"/>
  <c r="AA867" i="13" s="1"/>
  <c r="C867" i="15"/>
  <c r="AB867" i="13" s="1"/>
  <c r="E867" i="15"/>
  <c r="F867" i="15"/>
  <c r="G867" i="15"/>
  <c r="H867" i="15"/>
  <c r="I867" i="15"/>
  <c r="J867" i="15"/>
  <c r="K867" i="15"/>
  <c r="L867" i="15"/>
  <c r="M867" i="15"/>
  <c r="N867" i="15"/>
  <c r="O867" i="15"/>
  <c r="P867" i="15"/>
  <c r="D867" i="15"/>
  <c r="AC867" i="13" s="1"/>
  <c r="Z867" i="13"/>
  <c r="B865" i="15"/>
  <c r="AA865" i="13" s="1"/>
  <c r="C865" i="15"/>
  <c r="AB865" i="13" s="1"/>
  <c r="D865" i="15"/>
  <c r="AC865" i="13" s="1"/>
  <c r="H865" i="15"/>
  <c r="I865" i="15"/>
  <c r="J865" i="15"/>
  <c r="K865" i="15"/>
  <c r="L865" i="15"/>
  <c r="M865" i="15"/>
  <c r="N865" i="15"/>
  <c r="O865" i="15"/>
  <c r="P865" i="15"/>
  <c r="E865" i="15"/>
  <c r="F865" i="15"/>
  <c r="G865" i="15"/>
  <c r="Z865" i="13"/>
  <c r="B862" i="15"/>
  <c r="AA862" i="13" s="1"/>
  <c r="C862" i="15"/>
  <c r="AB862" i="13" s="1"/>
  <c r="E862" i="15"/>
  <c r="F862" i="15"/>
  <c r="H862" i="15"/>
  <c r="I862" i="15"/>
  <c r="J862" i="15"/>
  <c r="K862" i="15"/>
  <c r="L862" i="15"/>
  <c r="M862" i="15"/>
  <c r="D862" i="15"/>
  <c r="AC862" i="13" s="1"/>
  <c r="G862" i="15"/>
  <c r="N862" i="15"/>
  <c r="O862" i="15"/>
  <c r="P862" i="15"/>
  <c r="Z862" i="13"/>
  <c r="B860" i="15"/>
  <c r="AA860" i="13" s="1"/>
  <c r="C860" i="15"/>
  <c r="AB860" i="13" s="1"/>
  <c r="D860" i="15"/>
  <c r="AC860" i="13" s="1"/>
  <c r="E860" i="15"/>
  <c r="F860" i="15"/>
  <c r="H860" i="15"/>
  <c r="I860" i="15"/>
  <c r="J860" i="15"/>
  <c r="K860" i="15"/>
  <c r="G860" i="15"/>
  <c r="L860" i="15"/>
  <c r="M860" i="15"/>
  <c r="N860" i="15"/>
  <c r="O860" i="15"/>
  <c r="P860" i="15"/>
  <c r="Z860" i="13"/>
  <c r="E564" i="15"/>
  <c r="G564" i="15"/>
  <c r="L564" i="15"/>
  <c r="M564" i="15"/>
  <c r="O564" i="15"/>
  <c r="P564" i="15"/>
  <c r="B564" i="15"/>
  <c r="AA564" i="13" s="1"/>
  <c r="C564" i="15"/>
  <c r="AB564" i="13" s="1"/>
  <c r="D564" i="15"/>
  <c r="AC564" i="13" s="1"/>
  <c r="H564" i="15"/>
  <c r="I564" i="15"/>
  <c r="Z564" i="13"/>
  <c r="F564" i="15"/>
  <c r="J564" i="15"/>
  <c r="K564" i="15"/>
  <c r="N564" i="15"/>
  <c r="E554" i="15"/>
  <c r="F554" i="15"/>
  <c r="H554" i="15"/>
  <c r="I554" i="15"/>
  <c r="B554" i="15"/>
  <c r="AA554" i="13" s="1"/>
  <c r="Z554" i="13"/>
  <c r="C554" i="15"/>
  <c r="AB554" i="13" s="1"/>
  <c r="D554" i="15"/>
  <c r="AC554" i="13" s="1"/>
  <c r="G554" i="15"/>
  <c r="J554" i="15"/>
  <c r="K554" i="15"/>
  <c r="L554" i="15"/>
  <c r="M554" i="15"/>
  <c r="N554" i="15"/>
  <c r="O554" i="15"/>
  <c r="P554" i="15"/>
  <c r="B529" i="15"/>
  <c r="AA529" i="13" s="1"/>
  <c r="G529" i="15"/>
  <c r="H529" i="15"/>
  <c r="I529" i="15"/>
  <c r="M529" i="15"/>
  <c r="N529" i="15"/>
  <c r="O529" i="15"/>
  <c r="C529" i="15"/>
  <c r="AB529" i="13" s="1"/>
  <c r="E529" i="15"/>
  <c r="Z529" i="13"/>
  <c r="D529" i="15"/>
  <c r="AC529" i="13" s="1"/>
  <c r="F529" i="15"/>
  <c r="J529" i="15"/>
  <c r="K529" i="15"/>
  <c r="L529" i="15"/>
  <c r="P529" i="15"/>
  <c r="E512" i="15"/>
  <c r="G512" i="15"/>
  <c r="H512" i="15"/>
  <c r="N512" i="15"/>
  <c r="J512" i="15"/>
  <c r="K512" i="15"/>
  <c r="L512" i="15"/>
  <c r="O512" i="15"/>
  <c r="Z512" i="13"/>
  <c r="B512" i="15"/>
  <c r="AA512" i="13" s="1"/>
  <c r="C512" i="15"/>
  <c r="AB512" i="13" s="1"/>
  <c r="D512" i="15"/>
  <c r="AC512" i="13" s="1"/>
  <c r="F512" i="15"/>
  <c r="I512" i="15"/>
  <c r="M512" i="15"/>
  <c r="P512" i="15"/>
  <c r="B784" i="15"/>
  <c r="AA784" i="13" s="1"/>
  <c r="C784" i="15"/>
  <c r="AB784" i="13" s="1"/>
  <c r="D784" i="15"/>
  <c r="AC784" i="13" s="1"/>
  <c r="E784" i="15"/>
  <c r="F784" i="15"/>
  <c r="G784" i="15"/>
  <c r="H784" i="15"/>
  <c r="I784" i="15"/>
  <c r="J784" i="15"/>
  <c r="K784" i="15"/>
  <c r="L784" i="15"/>
  <c r="M784" i="15"/>
  <c r="N784" i="15"/>
  <c r="O784" i="15"/>
  <c r="P784" i="15"/>
  <c r="Z784" i="13"/>
  <c r="B779" i="15"/>
  <c r="AA779" i="13" s="1"/>
  <c r="C779" i="15"/>
  <c r="AB779" i="13" s="1"/>
  <c r="D779" i="15"/>
  <c r="AC779" i="13" s="1"/>
  <c r="E779" i="15"/>
  <c r="F779" i="15"/>
  <c r="G779" i="15"/>
  <c r="H779" i="15"/>
  <c r="I779" i="15"/>
  <c r="J779" i="15"/>
  <c r="K779" i="15"/>
  <c r="L779" i="15"/>
  <c r="M779" i="15"/>
  <c r="N779" i="15"/>
  <c r="O779" i="15"/>
  <c r="P779" i="15"/>
  <c r="Z779" i="13"/>
  <c r="B773" i="15"/>
  <c r="AA773" i="13" s="1"/>
  <c r="C773" i="15"/>
  <c r="AB773" i="13" s="1"/>
  <c r="D773" i="15"/>
  <c r="AC773" i="13" s="1"/>
  <c r="E773" i="15"/>
  <c r="F773" i="15"/>
  <c r="G773" i="15"/>
  <c r="H773" i="15"/>
  <c r="I773" i="15"/>
  <c r="J773" i="15"/>
  <c r="K773" i="15"/>
  <c r="L773" i="15"/>
  <c r="M773" i="15"/>
  <c r="N773" i="15"/>
  <c r="O773" i="15"/>
  <c r="P773" i="15"/>
  <c r="Z773" i="13"/>
  <c r="B769" i="15"/>
  <c r="AA769" i="13" s="1"/>
  <c r="C769" i="15"/>
  <c r="AB769" i="13" s="1"/>
  <c r="D769" i="15"/>
  <c r="AC769" i="13" s="1"/>
  <c r="E769" i="15"/>
  <c r="F769" i="15"/>
  <c r="G769" i="15"/>
  <c r="H769" i="15"/>
  <c r="I769" i="15"/>
  <c r="J769" i="15"/>
  <c r="K769" i="15"/>
  <c r="L769" i="15"/>
  <c r="M769" i="15"/>
  <c r="N769" i="15"/>
  <c r="O769" i="15"/>
  <c r="P769" i="15"/>
  <c r="Z769" i="13"/>
  <c r="B764" i="15"/>
  <c r="AA764" i="13" s="1"/>
  <c r="C764" i="15"/>
  <c r="AB764" i="13" s="1"/>
  <c r="D764" i="15"/>
  <c r="AC764" i="13" s="1"/>
  <c r="E764" i="15"/>
  <c r="F764" i="15"/>
  <c r="G764" i="15"/>
  <c r="H764" i="15"/>
  <c r="I764" i="15"/>
  <c r="J764" i="15"/>
  <c r="K764" i="15"/>
  <c r="L764" i="15"/>
  <c r="M764" i="15"/>
  <c r="N764" i="15"/>
  <c r="O764" i="15"/>
  <c r="P764" i="15"/>
  <c r="Z764" i="13"/>
  <c r="B760" i="15"/>
  <c r="AA760" i="13" s="1"/>
  <c r="C760" i="15"/>
  <c r="AB760" i="13" s="1"/>
  <c r="D760" i="15"/>
  <c r="AC760" i="13" s="1"/>
  <c r="E760" i="15"/>
  <c r="F760" i="15"/>
  <c r="G760" i="15"/>
  <c r="H760" i="15"/>
  <c r="I760" i="15"/>
  <c r="J760" i="15"/>
  <c r="K760" i="15"/>
  <c r="L760" i="15"/>
  <c r="M760" i="15"/>
  <c r="N760" i="15"/>
  <c r="O760" i="15"/>
  <c r="P760" i="15"/>
  <c r="Z760" i="13"/>
  <c r="B755" i="15"/>
  <c r="AA755" i="13" s="1"/>
  <c r="C755" i="15"/>
  <c r="AB755" i="13" s="1"/>
  <c r="D755" i="15"/>
  <c r="AC755" i="13" s="1"/>
  <c r="E755" i="15"/>
  <c r="F755" i="15"/>
  <c r="G755" i="15"/>
  <c r="H755" i="15"/>
  <c r="I755" i="15"/>
  <c r="J755" i="15"/>
  <c r="K755" i="15"/>
  <c r="L755" i="15"/>
  <c r="M755" i="15"/>
  <c r="N755" i="15"/>
  <c r="O755" i="15"/>
  <c r="P755" i="15"/>
  <c r="Z755" i="13"/>
  <c r="B659" i="15"/>
  <c r="AA659" i="13" s="1"/>
  <c r="C659" i="15"/>
  <c r="AB659" i="13" s="1"/>
  <c r="D659" i="15"/>
  <c r="AC659" i="13" s="1"/>
  <c r="E659" i="15"/>
  <c r="F659" i="15"/>
  <c r="G659" i="15"/>
  <c r="H659" i="15"/>
  <c r="I659" i="15"/>
  <c r="J659" i="15"/>
  <c r="K659" i="15"/>
  <c r="L659" i="15"/>
  <c r="M659" i="15"/>
  <c r="N659" i="15"/>
  <c r="O659" i="15"/>
  <c r="P659" i="15"/>
  <c r="Z659" i="13"/>
  <c r="B654" i="15"/>
  <c r="AA654" i="13" s="1"/>
  <c r="C654" i="15"/>
  <c r="AB654" i="13" s="1"/>
  <c r="D654" i="15"/>
  <c r="AC654" i="13" s="1"/>
  <c r="E654" i="15"/>
  <c r="F654" i="15"/>
  <c r="G654" i="15"/>
  <c r="H654" i="15"/>
  <c r="I654" i="15"/>
  <c r="J654" i="15"/>
  <c r="K654" i="15"/>
  <c r="L654" i="15"/>
  <c r="M654" i="15"/>
  <c r="N654" i="15"/>
  <c r="O654" i="15"/>
  <c r="P654" i="15"/>
  <c r="Z654" i="13"/>
  <c r="B647" i="15"/>
  <c r="AA647" i="13" s="1"/>
  <c r="C647" i="15"/>
  <c r="AB647" i="13" s="1"/>
  <c r="D647" i="15"/>
  <c r="AC647" i="13" s="1"/>
  <c r="E647" i="15"/>
  <c r="F647" i="15"/>
  <c r="G647" i="15"/>
  <c r="H647" i="15"/>
  <c r="I647" i="15"/>
  <c r="J647" i="15"/>
  <c r="K647" i="15"/>
  <c r="L647" i="15"/>
  <c r="M647" i="15"/>
  <c r="N647" i="15"/>
  <c r="O647" i="15"/>
  <c r="P647" i="15"/>
  <c r="Z647" i="13"/>
  <c r="B642" i="15"/>
  <c r="AA642" i="13" s="1"/>
  <c r="C642" i="15"/>
  <c r="AB642" i="13" s="1"/>
  <c r="D642" i="15"/>
  <c r="AC642" i="13" s="1"/>
  <c r="E642" i="15"/>
  <c r="F642" i="15"/>
  <c r="G642" i="15"/>
  <c r="H642" i="15"/>
  <c r="I642" i="15"/>
  <c r="J642" i="15"/>
  <c r="K642" i="15"/>
  <c r="L642" i="15"/>
  <c r="M642" i="15"/>
  <c r="N642" i="15"/>
  <c r="O642" i="15"/>
  <c r="P642" i="15"/>
  <c r="Z642" i="13"/>
  <c r="B636" i="15"/>
  <c r="AA636" i="13" s="1"/>
  <c r="C636" i="15"/>
  <c r="AB636" i="13" s="1"/>
  <c r="D636" i="15"/>
  <c r="AC636" i="13" s="1"/>
  <c r="E636" i="15"/>
  <c r="F636" i="15"/>
  <c r="G636" i="15"/>
  <c r="H636" i="15"/>
  <c r="I636" i="15"/>
  <c r="J636" i="15"/>
  <c r="K636" i="15"/>
  <c r="L636" i="15"/>
  <c r="M636" i="15"/>
  <c r="N636" i="15"/>
  <c r="O636" i="15"/>
  <c r="P636" i="15"/>
  <c r="Z636" i="13"/>
  <c r="B631" i="15"/>
  <c r="AA631" i="13" s="1"/>
  <c r="C631" i="15"/>
  <c r="AB631" i="13" s="1"/>
  <c r="D631" i="15"/>
  <c r="AC631" i="13" s="1"/>
  <c r="E631" i="15"/>
  <c r="F631" i="15"/>
  <c r="G631" i="15"/>
  <c r="H631" i="15"/>
  <c r="I631" i="15"/>
  <c r="J631" i="15"/>
  <c r="K631" i="15"/>
  <c r="L631" i="15"/>
  <c r="M631" i="15"/>
  <c r="N631" i="15"/>
  <c r="O631" i="15"/>
  <c r="P631" i="15"/>
  <c r="Z631" i="13"/>
  <c r="B626" i="15"/>
  <c r="AA626" i="13" s="1"/>
  <c r="C626" i="15"/>
  <c r="AB626" i="13" s="1"/>
  <c r="D626" i="15"/>
  <c r="AC626" i="13" s="1"/>
  <c r="E626" i="15"/>
  <c r="F626" i="15"/>
  <c r="G626" i="15"/>
  <c r="H626" i="15"/>
  <c r="I626" i="15"/>
  <c r="J626" i="15"/>
  <c r="K626" i="15"/>
  <c r="L626" i="15"/>
  <c r="M626" i="15"/>
  <c r="N626" i="15"/>
  <c r="O626" i="15"/>
  <c r="P626" i="15"/>
  <c r="Z626" i="13"/>
  <c r="B620" i="15"/>
  <c r="AA620" i="13" s="1"/>
  <c r="C620" i="15"/>
  <c r="AB620" i="13" s="1"/>
  <c r="D620" i="15"/>
  <c r="AC620" i="13" s="1"/>
  <c r="E620" i="15"/>
  <c r="F620" i="15"/>
  <c r="G620" i="15"/>
  <c r="H620" i="15"/>
  <c r="I620" i="15"/>
  <c r="J620" i="15"/>
  <c r="K620" i="15"/>
  <c r="L620" i="15"/>
  <c r="M620" i="15"/>
  <c r="N620" i="15"/>
  <c r="O620" i="15"/>
  <c r="P620" i="15"/>
  <c r="Z620" i="13"/>
  <c r="B614" i="15"/>
  <c r="AA614" i="13" s="1"/>
  <c r="C614" i="15"/>
  <c r="AB614" i="13" s="1"/>
  <c r="D614" i="15"/>
  <c r="AC614" i="13" s="1"/>
  <c r="E614" i="15"/>
  <c r="F614" i="15"/>
  <c r="G614" i="15"/>
  <c r="H614" i="15"/>
  <c r="I614" i="15"/>
  <c r="J614" i="15"/>
  <c r="K614" i="15"/>
  <c r="L614" i="15"/>
  <c r="M614" i="15"/>
  <c r="N614" i="15"/>
  <c r="O614" i="15"/>
  <c r="P614" i="15"/>
  <c r="Z614" i="13"/>
  <c r="B609" i="15"/>
  <c r="AA609" i="13" s="1"/>
  <c r="C609" i="15"/>
  <c r="AB609" i="13" s="1"/>
  <c r="D609" i="15"/>
  <c r="AC609" i="13" s="1"/>
  <c r="E609" i="15"/>
  <c r="F609" i="15"/>
  <c r="G609" i="15"/>
  <c r="H609" i="15"/>
  <c r="I609" i="15"/>
  <c r="J609" i="15"/>
  <c r="K609" i="15"/>
  <c r="L609" i="15"/>
  <c r="M609" i="15"/>
  <c r="N609" i="15"/>
  <c r="O609" i="15"/>
  <c r="P609" i="15"/>
  <c r="Z609" i="13"/>
  <c r="B602" i="15"/>
  <c r="AA602" i="13" s="1"/>
  <c r="C602" i="15"/>
  <c r="AB602" i="13" s="1"/>
  <c r="D602" i="15"/>
  <c r="AC602" i="13" s="1"/>
  <c r="E602" i="15"/>
  <c r="F602" i="15"/>
  <c r="G602" i="15"/>
  <c r="H602" i="15"/>
  <c r="I602" i="15"/>
  <c r="J602" i="15"/>
  <c r="K602" i="15"/>
  <c r="L602" i="15"/>
  <c r="M602" i="15"/>
  <c r="N602" i="15"/>
  <c r="O602" i="15"/>
  <c r="P602" i="15"/>
  <c r="Z602" i="13"/>
  <c r="B597" i="15"/>
  <c r="AA597" i="13" s="1"/>
  <c r="C597" i="15"/>
  <c r="AB597" i="13" s="1"/>
  <c r="D597" i="15"/>
  <c r="AC597" i="13" s="1"/>
  <c r="E597" i="15"/>
  <c r="F597" i="15"/>
  <c r="G597" i="15"/>
  <c r="H597" i="15"/>
  <c r="I597" i="15"/>
  <c r="J597" i="15"/>
  <c r="K597" i="15"/>
  <c r="L597" i="15"/>
  <c r="M597" i="15"/>
  <c r="N597" i="15"/>
  <c r="O597" i="15"/>
  <c r="P597" i="15"/>
  <c r="Z597" i="13"/>
  <c r="B590" i="15"/>
  <c r="AA590" i="13" s="1"/>
  <c r="C590" i="15"/>
  <c r="AB590" i="13" s="1"/>
  <c r="D590" i="15"/>
  <c r="AC590" i="13" s="1"/>
  <c r="E590" i="15"/>
  <c r="F590" i="15"/>
  <c r="G590" i="15"/>
  <c r="H590" i="15"/>
  <c r="I590" i="15"/>
  <c r="J590" i="15"/>
  <c r="K590" i="15"/>
  <c r="L590" i="15"/>
  <c r="M590" i="15"/>
  <c r="N590" i="15"/>
  <c r="O590" i="15"/>
  <c r="P590" i="15"/>
  <c r="Z590" i="13"/>
  <c r="B751" i="15"/>
  <c r="AA751" i="13" s="1"/>
  <c r="C751" i="15"/>
  <c r="AB751" i="13" s="1"/>
  <c r="D751" i="15"/>
  <c r="AC751" i="13" s="1"/>
  <c r="E751" i="15"/>
  <c r="F751" i="15"/>
  <c r="G751" i="15"/>
  <c r="H751" i="15"/>
  <c r="I751" i="15"/>
  <c r="J751" i="15"/>
  <c r="K751" i="15"/>
  <c r="L751" i="15"/>
  <c r="M751" i="15"/>
  <c r="N751" i="15"/>
  <c r="O751" i="15"/>
  <c r="P751" i="15"/>
  <c r="Z751" i="13"/>
  <c r="B750" i="15"/>
  <c r="AA750" i="13" s="1"/>
  <c r="C750" i="15"/>
  <c r="AB750" i="13" s="1"/>
  <c r="D750" i="15"/>
  <c r="AC750" i="13" s="1"/>
  <c r="E750" i="15"/>
  <c r="F750" i="15"/>
  <c r="G750" i="15"/>
  <c r="H750" i="15"/>
  <c r="I750" i="15"/>
  <c r="J750" i="15"/>
  <c r="K750" i="15"/>
  <c r="L750" i="15"/>
  <c r="M750" i="15"/>
  <c r="N750" i="15"/>
  <c r="O750" i="15"/>
  <c r="P750" i="15"/>
  <c r="Z750" i="13"/>
  <c r="B749" i="15"/>
  <c r="AA749" i="13" s="1"/>
  <c r="C749" i="15"/>
  <c r="AB749" i="13" s="1"/>
  <c r="D749" i="15"/>
  <c r="AC749" i="13" s="1"/>
  <c r="E749" i="15"/>
  <c r="F749" i="15"/>
  <c r="G749" i="15"/>
  <c r="H749" i="15"/>
  <c r="I749" i="15"/>
  <c r="J749" i="15"/>
  <c r="K749" i="15"/>
  <c r="L749" i="15"/>
  <c r="M749" i="15"/>
  <c r="N749" i="15"/>
  <c r="O749" i="15"/>
  <c r="P749" i="15"/>
  <c r="Z749" i="13"/>
  <c r="B748" i="15"/>
  <c r="AA748" i="13" s="1"/>
  <c r="C748" i="15"/>
  <c r="AB748" i="13" s="1"/>
  <c r="D748" i="15"/>
  <c r="AC748" i="13" s="1"/>
  <c r="E748" i="15"/>
  <c r="F748" i="15"/>
  <c r="G748" i="15"/>
  <c r="H748" i="15"/>
  <c r="I748" i="15"/>
  <c r="J748" i="15"/>
  <c r="K748" i="15"/>
  <c r="L748" i="15"/>
  <c r="M748" i="15"/>
  <c r="N748" i="15"/>
  <c r="O748" i="15"/>
  <c r="P748" i="15"/>
  <c r="Z748" i="13"/>
  <c r="B747" i="15"/>
  <c r="AA747" i="13" s="1"/>
  <c r="C747" i="15"/>
  <c r="AB747" i="13" s="1"/>
  <c r="D747" i="15"/>
  <c r="AC747" i="13" s="1"/>
  <c r="E747" i="15"/>
  <c r="F747" i="15"/>
  <c r="G747" i="15"/>
  <c r="H747" i="15"/>
  <c r="I747" i="15"/>
  <c r="J747" i="15"/>
  <c r="K747" i="15"/>
  <c r="L747" i="15"/>
  <c r="M747" i="15"/>
  <c r="N747" i="15"/>
  <c r="O747" i="15"/>
  <c r="P747" i="15"/>
  <c r="Z747" i="13"/>
  <c r="B746" i="15"/>
  <c r="AA746" i="13" s="1"/>
  <c r="C746" i="15"/>
  <c r="AB746" i="13" s="1"/>
  <c r="D746" i="15"/>
  <c r="AC746" i="13" s="1"/>
  <c r="E746" i="15"/>
  <c r="F746" i="15"/>
  <c r="G746" i="15"/>
  <c r="H746" i="15"/>
  <c r="I746" i="15"/>
  <c r="J746" i="15"/>
  <c r="K746" i="15"/>
  <c r="L746" i="15"/>
  <c r="M746" i="15"/>
  <c r="N746" i="15"/>
  <c r="O746" i="15"/>
  <c r="P746" i="15"/>
  <c r="Z746" i="13"/>
  <c r="B745" i="15"/>
  <c r="AA745" i="13" s="1"/>
  <c r="C745" i="15"/>
  <c r="AB745" i="13" s="1"/>
  <c r="D745" i="15"/>
  <c r="AC745" i="13" s="1"/>
  <c r="E745" i="15"/>
  <c r="F745" i="15"/>
  <c r="G745" i="15"/>
  <c r="H745" i="15"/>
  <c r="I745" i="15"/>
  <c r="J745" i="15"/>
  <c r="K745" i="15"/>
  <c r="L745" i="15"/>
  <c r="M745" i="15"/>
  <c r="N745" i="15"/>
  <c r="O745" i="15"/>
  <c r="P745" i="15"/>
  <c r="Z745" i="13"/>
  <c r="B744" i="15"/>
  <c r="AA744" i="13" s="1"/>
  <c r="C744" i="15"/>
  <c r="AB744" i="13" s="1"/>
  <c r="D744" i="15"/>
  <c r="AC744" i="13" s="1"/>
  <c r="E744" i="15"/>
  <c r="F744" i="15"/>
  <c r="G744" i="15"/>
  <c r="H744" i="15"/>
  <c r="I744" i="15"/>
  <c r="J744" i="15"/>
  <c r="K744" i="15"/>
  <c r="L744" i="15"/>
  <c r="M744" i="15"/>
  <c r="N744" i="15"/>
  <c r="O744" i="15"/>
  <c r="P744" i="15"/>
  <c r="Z744" i="13"/>
  <c r="B743" i="15"/>
  <c r="AA743" i="13" s="1"/>
  <c r="C743" i="15"/>
  <c r="AB743" i="13" s="1"/>
  <c r="D743" i="15"/>
  <c r="AC743" i="13" s="1"/>
  <c r="E743" i="15"/>
  <c r="F743" i="15"/>
  <c r="G743" i="15"/>
  <c r="H743" i="15"/>
  <c r="I743" i="15"/>
  <c r="J743" i="15"/>
  <c r="K743" i="15"/>
  <c r="L743" i="15"/>
  <c r="M743" i="15"/>
  <c r="N743" i="15"/>
  <c r="O743" i="15"/>
  <c r="P743" i="15"/>
  <c r="Z743" i="13"/>
  <c r="B742" i="15"/>
  <c r="AA742" i="13" s="1"/>
  <c r="C742" i="15"/>
  <c r="AB742" i="13" s="1"/>
  <c r="D742" i="15"/>
  <c r="AC742" i="13" s="1"/>
  <c r="E742" i="15"/>
  <c r="F742" i="15"/>
  <c r="G742" i="15"/>
  <c r="H742" i="15"/>
  <c r="I742" i="15"/>
  <c r="J742" i="15"/>
  <c r="K742" i="15"/>
  <c r="L742" i="15"/>
  <c r="M742" i="15"/>
  <c r="N742" i="15"/>
  <c r="O742" i="15"/>
  <c r="P742" i="15"/>
  <c r="Z742" i="13"/>
  <c r="B741" i="15"/>
  <c r="AA741" i="13" s="1"/>
  <c r="C741" i="15"/>
  <c r="AB741" i="13" s="1"/>
  <c r="D741" i="15"/>
  <c r="AC741" i="13" s="1"/>
  <c r="E741" i="15"/>
  <c r="F741" i="15"/>
  <c r="G741" i="15"/>
  <c r="H741" i="15"/>
  <c r="I741" i="15"/>
  <c r="J741" i="15"/>
  <c r="K741" i="15"/>
  <c r="L741" i="15"/>
  <c r="M741" i="15"/>
  <c r="N741" i="15"/>
  <c r="O741" i="15"/>
  <c r="P741" i="15"/>
  <c r="Z741" i="13"/>
  <c r="B740" i="15"/>
  <c r="AA740" i="13" s="1"/>
  <c r="C740" i="15"/>
  <c r="AB740" i="13" s="1"/>
  <c r="D740" i="15"/>
  <c r="AC740" i="13" s="1"/>
  <c r="E740" i="15"/>
  <c r="F740" i="15"/>
  <c r="G740" i="15"/>
  <c r="H740" i="15"/>
  <c r="I740" i="15"/>
  <c r="J740" i="15"/>
  <c r="K740" i="15"/>
  <c r="L740" i="15"/>
  <c r="M740" i="15"/>
  <c r="N740" i="15"/>
  <c r="O740" i="15"/>
  <c r="P740" i="15"/>
  <c r="Z740" i="13"/>
  <c r="B739" i="15"/>
  <c r="AA739" i="13" s="1"/>
  <c r="C739" i="15"/>
  <c r="AB739" i="13" s="1"/>
  <c r="D739" i="15"/>
  <c r="AC739" i="13" s="1"/>
  <c r="E739" i="15"/>
  <c r="F739" i="15"/>
  <c r="G739" i="15"/>
  <c r="H739" i="15"/>
  <c r="I739" i="15"/>
  <c r="J739" i="15"/>
  <c r="K739" i="15"/>
  <c r="L739" i="15"/>
  <c r="M739" i="15"/>
  <c r="N739" i="15"/>
  <c r="O739" i="15"/>
  <c r="P739" i="15"/>
  <c r="Z739" i="13"/>
  <c r="B738" i="15"/>
  <c r="AA738" i="13" s="1"/>
  <c r="C738" i="15"/>
  <c r="AB738" i="13" s="1"/>
  <c r="D738" i="15"/>
  <c r="AC738" i="13" s="1"/>
  <c r="E738" i="15"/>
  <c r="F738" i="15"/>
  <c r="G738" i="15"/>
  <c r="H738" i="15"/>
  <c r="I738" i="15"/>
  <c r="J738" i="15"/>
  <c r="K738" i="15"/>
  <c r="L738" i="15"/>
  <c r="M738" i="15"/>
  <c r="N738" i="15"/>
  <c r="O738" i="15"/>
  <c r="P738" i="15"/>
  <c r="Z738" i="13"/>
  <c r="B737" i="15"/>
  <c r="AA737" i="13" s="1"/>
  <c r="C737" i="15"/>
  <c r="AB737" i="13" s="1"/>
  <c r="D737" i="15"/>
  <c r="AC737" i="13" s="1"/>
  <c r="E737" i="15"/>
  <c r="F737" i="15"/>
  <c r="G737" i="15"/>
  <c r="H737" i="15"/>
  <c r="I737" i="15"/>
  <c r="J737" i="15"/>
  <c r="K737" i="15"/>
  <c r="L737" i="15"/>
  <c r="M737" i="15"/>
  <c r="N737" i="15"/>
  <c r="O737" i="15"/>
  <c r="P737" i="15"/>
  <c r="Z737" i="13"/>
  <c r="B736" i="15"/>
  <c r="AA736" i="13" s="1"/>
  <c r="C736" i="15"/>
  <c r="AB736" i="13" s="1"/>
  <c r="D736" i="15"/>
  <c r="AC736" i="13" s="1"/>
  <c r="E736" i="15"/>
  <c r="F736" i="15"/>
  <c r="G736" i="15"/>
  <c r="H736" i="15"/>
  <c r="I736" i="15"/>
  <c r="J736" i="15"/>
  <c r="K736" i="15"/>
  <c r="L736" i="15"/>
  <c r="M736" i="15"/>
  <c r="N736" i="15"/>
  <c r="O736" i="15"/>
  <c r="P736" i="15"/>
  <c r="Z736" i="13"/>
  <c r="B735" i="15"/>
  <c r="AA735" i="13" s="1"/>
  <c r="C735" i="15"/>
  <c r="AB735" i="13" s="1"/>
  <c r="D735" i="15"/>
  <c r="AC735" i="13" s="1"/>
  <c r="E735" i="15"/>
  <c r="F735" i="15"/>
  <c r="G735" i="15"/>
  <c r="H735" i="15"/>
  <c r="I735" i="15"/>
  <c r="J735" i="15"/>
  <c r="K735" i="15"/>
  <c r="L735" i="15"/>
  <c r="M735" i="15"/>
  <c r="N735" i="15"/>
  <c r="O735" i="15"/>
  <c r="P735" i="15"/>
  <c r="Z735" i="13"/>
  <c r="B734" i="15"/>
  <c r="AA734" i="13" s="1"/>
  <c r="C734" i="15"/>
  <c r="AB734" i="13" s="1"/>
  <c r="D734" i="15"/>
  <c r="AC734" i="13" s="1"/>
  <c r="E734" i="15"/>
  <c r="F734" i="15"/>
  <c r="G734" i="15"/>
  <c r="H734" i="15"/>
  <c r="I734" i="15"/>
  <c r="J734" i="15"/>
  <c r="K734" i="15"/>
  <c r="L734" i="15"/>
  <c r="M734" i="15"/>
  <c r="N734" i="15"/>
  <c r="O734" i="15"/>
  <c r="P734" i="15"/>
  <c r="Z734" i="13"/>
  <c r="B733" i="15"/>
  <c r="AA733" i="13" s="1"/>
  <c r="C733" i="15"/>
  <c r="AB733" i="13" s="1"/>
  <c r="D733" i="15"/>
  <c r="AC733" i="13" s="1"/>
  <c r="E733" i="15"/>
  <c r="F733" i="15"/>
  <c r="G733" i="15"/>
  <c r="H733" i="15"/>
  <c r="I733" i="15"/>
  <c r="J733" i="15"/>
  <c r="K733" i="15"/>
  <c r="L733" i="15"/>
  <c r="M733" i="15"/>
  <c r="N733" i="15"/>
  <c r="O733" i="15"/>
  <c r="P733" i="15"/>
  <c r="Z733" i="13"/>
  <c r="B732" i="15"/>
  <c r="AA732" i="13" s="1"/>
  <c r="C732" i="15"/>
  <c r="AB732" i="13" s="1"/>
  <c r="D732" i="15"/>
  <c r="AC732" i="13" s="1"/>
  <c r="E732" i="15"/>
  <c r="F732" i="15"/>
  <c r="G732" i="15"/>
  <c r="H732" i="15"/>
  <c r="I732" i="15"/>
  <c r="J732" i="15"/>
  <c r="K732" i="15"/>
  <c r="L732" i="15"/>
  <c r="M732" i="15"/>
  <c r="N732" i="15"/>
  <c r="O732" i="15"/>
  <c r="P732" i="15"/>
  <c r="Z732" i="13"/>
  <c r="B731" i="15"/>
  <c r="AA731" i="13" s="1"/>
  <c r="C731" i="15"/>
  <c r="AB731" i="13" s="1"/>
  <c r="D731" i="15"/>
  <c r="AC731" i="13" s="1"/>
  <c r="E731" i="15"/>
  <c r="F731" i="15"/>
  <c r="G731" i="15"/>
  <c r="H731" i="15"/>
  <c r="I731" i="15"/>
  <c r="J731" i="15"/>
  <c r="K731" i="15"/>
  <c r="L731" i="15"/>
  <c r="M731" i="15"/>
  <c r="N731" i="15"/>
  <c r="O731" i="15"/>
  <c r="P731" i="15"/>
  <c r="Z731" i="13"/>
  <c r="B730" i="15"/>
  <c r="AA730" i="13" s="1"/>
  <c r="C730" i="15"/>
  <c r="AB730" i="13" s="1"/>
  <c r="D730" i="15"/>
  <c r="AC730" i="13" s="1"/>
  <c r="E730" i="15"/>
  <c r="F730" i="15"/>
  <c r="G730" i="15"/>
  <c r="H730" i="15"/>
  <c r="I730" i="15"/>
  <c r="J730" i="15"/>
  <c r="K730" i="15"/>
  <c r="L730" i="15"/>
  <c r="M730" i="15"/>
  <c r="N730" i="15"/>
  <c r="O730" i="15"/>
  <c r="P730" i="15"/>
  <c r="Z730" i="13"/>
  <c r="B729" i="15"/>
  <c r="AA729" i="13" s="1"/>
  <c r="C729" i="15"/>
  <c r="AB729" i="13" s="1"/>
  <c r="D729" i="15"/>
  <c r="AC729" i="13" s="1"/>
  <c r="E729" i="15"/>
  <c r="F729" i="15"/>
  <c r="G729" i="15"/>
  <c r="H729" i="15"/>
  <c r="I729" i="15"/>
  <c r="J729" i="15"/>
  <c r="K729" i="15"/>
  <c r="L729" i="15"/>
  <c r="M729" i="15"/>
  <c r="N729" i="15"/>
  <c r="O729" i="15"/>
  <c r="P729" i="15"/>
  <c r="Z729" i="13"/>
  <c r="B728" i="15"/>
  <c r="AA728" i="13" s="1"/>
  <c r="C728" i="15"/>
  <c r="AB728" i="13" s="1"/>
  <c r="D728" i="15"/>
  <c r="AC728" i="13" s="1"/>
  <c r="E728" i="15"/>
  <c r="F728" i="15"/>
  <c r="G728" i="15"/>
  <c r="H728" i="15"/>
  <c r="I728" i="15"/>
  <c r="J728" i="15"/>
  <c r="K728" i="15"/>
  <c r="L728" i="15"/>
  <c r="M728" i="15"/>
  <c r="N728" i="15"/>
  <c r="O728" i="15"/>
  <c r="P728" i="15"/>
  <c r="Z728" i="13"/>
  <c r="B727" i="15"/>
  <c r="AA727" i="13" s="1"/>
  <c r="C727" i="15"/>
  <c r="AB727" i="13" s="1"/>
  <c r="D727" i="15"/>
  <c r="AC727" i="13" s="1"/>
  <c r="E727" i="15"/>
  <c r="F727" i="15"/>
  <c r="G727" i="15"/>
  <c r="H727" i="15"/>
  <c r="I727" i="15"/>
  <c r="J727" i="15"/>
  <c r="K727" i="15"/>
  <c r="L727" i="15"/>
  <c r="M727" i="15"/>
  <c r="N727" i="15"/>
  <c r="O727" i="15"/>
  <c r="P727" i="15"/>
  <c r="Z727" i="13"/>
  <c r="B726" i="15"/>
  <c r="AA726" i="13" s="1"/>
  <c r="C726" i="15"/>
  <c r="AB726" i="13" s="1"/>
  <c r="D726" i="15"/>
  <c r="AC726" i="13" s="1"/>
  <c r="E726" i="15"/>
  <c r="F726" i="15"/>
  <c r="G726" i="15"/>
  <c r="H726" i="15"/>
  <c r="I726" i="15"/>
  <c r="J726" i="15"/>
  <c r="K726" i="15"/>
  <c r="L726" i="15"/>
  <c r="M726" i="15"/>
  <c r="N726" i="15"/>
  <c r="O726" i="15"/>
  <c r="P726" i="15"/>
  <c r="Z726" i="13"/>
  <c r="B725" i="15"/>
  <c r="AA725" i="13" s="1"/>
  <c r="C725" i="15"/>
  <c r="AB725" i="13" s="1"/>
  <c r="D725" i="15"/>
  <c r="AC725" i="13" s="1"/>
  <c r="E725" i="15"/>
  <c r="F725" i="15"/>
  <c r="G725" i="15"/>
  <c r="H725" i="15"/>
  <c r="I725" i="15"/>
  <c r="J725" i="15"/>
  <c r="K725" i="15"/>
  <c r="L725" i="15"/>
  <c r="M725" i="15"/>
  <c r="N725" i="15"/>
  <c r="O725" i="15"/>
  <c r="P725" i="15"/>
  <c r="Z725" i="13"/>
  <c r="B724" i="15"/>
  <c r="AA724" i="13" s="1"/>
  <c r="C724" i="15"/>
  <c r="AB724" i="13" s="1"/>
  <c r="D724" i="15"/>
  <c r="AC724" i="13" s="1"/>
  <c r="E724" i="15"/>
  <c r="F724" i="15"/>
  <c r="G724" i="15"/>
  <c r="H724" i="15"/>
  <c r="I724" i="15"/>
  <c r="J724" i="15"/>
  <c r="K724" i="15"/>
  <c r="L724" i="15"/>
  <c r="M724" i="15"/>
  <c r="N724" i="15"/>
  <c r="O724" i="15"/>
  <c r="P724" i="15"/>
  <c r="Z724" i="13"/>
  <c r="B723" i="15"/>
  <c r="AA723" i="13" s="1"/>
  <c r="C723" i="15"/>
  <c r="AB723" i="13" s="1"/>
  <c r="D723" i="15"/>
  <c r="AC723" i="13" s="1"/>
  <c r="E723" i="15"/>
  <c r="F723" i="15"/>
  <c r="G723" i="15"/>
  <c r="H723" i="15"/>
  <c r="I723" i="15"/>
  <c r="J723" i="15"/>
  <c r="K723" i="15"/>
  <c r="L723" i="15"/>
  <c r="M723" i="15"/>
  <c r="N723" i="15"/>
  <c r="O723" i="15"/>
  <c r="P723" i="15"/>
  <c r="Z723" i="13"/>
  <c r="B722" i="15"/>
  <c r="AA722" i="13" s="1"/>
  <c r="C722" i="15"/>
  <c r="AB722" i="13" s="1"/>
  <c r="D722" i="15"/>
  <c r="AC722" i="13" s="1"/>
  <c r="E722" i="15"/>
  <c r="F722" i="15"/>
  <c r="G722" i="15"/>
  <c r="H722" i="15"/>
  <c r="I722" i="15"/>
  <c r="J722" i="15"/>
  <c r="K722" i="15"/>
  <c r="L722" i="15"/>
  <c r="M722" i="15"/>
  <c r="N722" i="15"/>
  <c r="O722" i="15"/>
  <c r="P722" i="15"/>
  <c r="Z722" i="13"/>
  <c r="B721" i="15"/>
  <c r="AA721" i="13" s="1"/>
  <c r="C721" i="15"/>
  <c r="AB721" i="13" s="1"/>
  <c r="D721" i="15"/>
  <c r="AC721" i="13" s="1"/>
  <c r="E721" i="15"/>
  <c r="F721" i="15"/>
  <c r="G721" i="15"/>
  <c r="H721" i="15"/>
  <c r="I721" i="15"/>
  <c r="J721" i="15"/>
  <c r="K721" i="15"/>
  <c r="L721" i="15"/>
  <c r="M721" i="15"/>
  <c r="N721" i="15"/>
  <c r="O721" i="15"/>
  <c r="P721" i="15"/>
  <c r="Z721" i="13"/>
  <c r="B720" i="15"/>
  <c r="AA720" i="13" s="1"/>
  <c r="C720" i="15"/>
  <c r="AB720" i="13" s="1"/>
  <c r="D720" i="15"/>
  <c r="AC720" i="13" s="1"/>
  <c r="E720" i="15"/>
  <c r="F720" i="15"/>
  <c r="G720" i="15"/>
  <c r="H720" i="15"/>
  <c r="I720" i="15"/>
  <c r="J720" i="15"/>
  <c r="K720" i="15"/>
  <c r="L720" i="15"/>
  <c r="M720" i="15"/>
  <c r="N720" i="15"/>
  <c r="O720" i="15"/>
  <c r="P720" i="15"/>
  <c r="Z720" i="13"/>
  <c r="B719" i="15"/>
  <c r="AA719" i="13" s="1"/>
  <c r="C719" i="15"/>
  <c r="AB719" i="13" s="1"/>
  <c r="D719" i="15"/>
  <c r="AC719" i="13" s="1"/>
  <c r="E719" i="15"/>
  <c r="F719" i="15"/>
  <c r="G719" i="15"/>
  <c r="H719" i="15"/>
  <c r="I719" i="15"/>
  <c r="J719" i="15"/>
  <c r="K719" i="15"/>
  <c r="L719" i="15"/>
  <c r="M719" i="15"/>
  <c r="N719" i="15"/>
  <c r="O719" i="15"/>
  <c r="P719" i="15"/>
  <c r="Z719" i="13"/>
  <c r="B718" i="15"/>
  <c r="AA718" i="13" s="1"/>
  <c r="C718" i="15"/>
  <c r="AB718" i="13" s="1"/>
  <c r="D718" i="15"/>
  <c r="AC718" i="13" s="1"/>
  <c r="E718" i="15"/>
  <c r="F718" i="15"/>
  <c r="G718" i="15"/>
  <c r="H718" i="15"/>
  <c r="I718" i="15"/>
  <c r="J718" i="15"/>
  <c r="K718" i="15"/>
  <c r="L718" i="15"/>
  <c r="M718" i="15"/>
  <c r="N718" i="15"/>
  <c r="O718" i="15"/>
  <c r="P718" i="15"/>
  <c r="Z718" i="13"/>
  <c r="B717" i="15"/>
  <c r="AA717" i="13" s="1"/>
  <c r="C717" i="15"/>
  <c r="AB717" i="13" s="1"/>
  <c r="D717" i="15"/>
  <c r="AC717" i="13" s="1"/>
  <c r="E717" i="15"/>
  <c r="F717" i="15"/>
  <c r="G717" i="15"/>
  <c r="H717" i="15"/>
  <c r="I717" i="15"/>
  <c r="J717" i="15"/>
  <c r="K717" i="15"/>
  <c r="L717" i="15"/>
  <c r="M717" i="15"/>
  <c r="N717" i="15"/>
  <c r="O717" i="15"/>
  <c r="P717" i="15"/>
  <c r="Z717" i="13"/>
  <c r="B716" i="15"/>
  <c r="AA716" i="13" s="1"/>
  <c r="C716" i="15"/>
  <c r="AB716" i="13" s="1"/>
  <c r="D716" i="15"/>
  <c r="AC716" i="13" s="1"/>
  <c r="E716" i="15"/>
  <c r="F716" i="15"/>
  <c r="G716" i="15"/>
  <c r="H716" i="15"/>
  <c r="I716" i="15"/>
  <c r="J716" i="15"/>
  <c r="K716" i="15"/>
  <c r="L716" i="15"/>
  <c r="M716" i="15"/>
  <c r="N716" i="15"/>
  <c r="O716" i="15"/>
  <c r="P716" i="15"/>
  <c r="Z716" i="13"/>
  <c r="B715" i="15"/>
  <c r="AA715" i="13" s="1"/>
  <c r="C715" i="15"/>
  <c r="AB715" i="13" s="1"/>
  <c r="D715" i="15"/>
  <c r="AC715" i="13" s="1"/>
  <c r="E715" i="15"/>
  <c r="F715" i="15"/>
  <c r="G715" i="15"/>
  <c r="H715" i="15"/>
  <c r="I715" i="15"/>
  <c r="J715" i="15"/>
  <c r="K715" i="15"/>
  <c r="L715" i="15"/>
  <c r="M715" i="15"/>
  <c r="N715" i="15"/>
  <c r="O715" i="15"/>
  <c r="P715" i="15"/>
  <c r="Z715" i="13"/>
  <c r="B714" i="15"/>
  <c r="AA714" i="13" s="1"/>
  <c r="C714" i="15"/>
  <c r="AB714" i="13" s="1"/>
  <c r="D714" i="15"/>
  <c r="AC714" i="13" s="1"/>
  <c r="E714" i="15"/>
  <c r="F714" i="15"/>
  <c r="G714" i="15"/>
  <c r="H714" i="15"/>
  <c r="I714" i="15"/>
  <c r="J714" i="15"/>
  <c r="K714" i="15"/>
  <c r="L714" i="15"/>
  <c r="M714" i="15"/>
  <c r="N714" i="15"/>
  <c r="O714" i="15"/>
  <c r="P714" i="15"/>
  <c r="Z714" i="13"/>
  <c r="B713" i="15"/>
  <c r="AA713" i="13" s="1"/>
  <c r="C713" i="15"/>
  <c r="AB713" i="13" s="1"/>
  <c r="D713" i="15"/>
  <c r="AC713" i="13" s="1"/>
  <c r="E713" i="15"/>
  <c r="F713" i="15"/>
  <c r="G713" i="15"/>
  <c r="H713" i="15"/>
  <c r="I713" i="15"/>
  <c r="J713" i="15"/>
  <c r="K713" i="15"/>
  <c r="L713" i="15"/>
  <c r="M713" i="15"/>
  <c r="N713" i="15"/>
  <c r="O713" i="15"/>
  <c r="P713" i="15"/>
  <c r="Z713" i="13"/>
  <c r="B712" i="15"/>
  <c r="AA712" i="13" s="1"/>
  <c r="C712" i="15"/>
  <c r="AB712" i="13" s="1"/>
  <c r="D712" i="15"/>
  <c r="AC712" i="13" s="1"/>
  <c r="E712" i="15"/>
  <c r="F712" i="15"/>
  <c r="G712" i="15"/>
  <c r="H712" i="15"/>
  <c r="I712" i="15"/>
  <c r="J712" i="15"/>
  <c r="K712" i="15"/>
  <c r="L712" i="15"/>
  <c r="M712" i="15"/>
  <c r="N712" i="15"/>
  <c r="O712" i="15"/>
  <c r="P712" i="15"/>
  <c r="Z712" i="13"/>
  <c r="B711" i="15"/>
  <c r="AA711" i="13" s="1"/>
  <c r="C711" i="15"/>
  <c r="AB711" i="13" s="1"/>
  <c r="D711" i="15"/>
  <c r="AC711" i="13" s="1"/>
  <c r="E711" i="15"/>
  <c r="F711" i="15"/>
  <c r="G711" i="15"/>
  <c r="H711" i="15"/>
  <c r="I711" i="15"/>
  <c r="J711" i="15"/>
  <c r="K711" i="15"/>
  <c r="L711" i="15"/>
  <c r="M711" i="15"/>
  <c r="N711" i="15"/>
  <c r="O711" i="15"/>
  <c r="P711" i="15"/>
  <c r="Z711" i="13"/>
  <c r="B710" i="15"/>
  <c r="AA710" i="13" s="1"/>
  <c r="C710" i="15"/>
  <c r="AB710" i="13" s="1"/>
  <c r="D710" i="15"/>
  <c r="AC710" i="13" s="1"/>
  <c r="E710" i="15"/>
  <c r="F710" i="15"/>
  <c r="G710" i="15"/>
  <c r="H710" i="15"/>
  <c r="I710" i="15"/>
  <c r="J710" i="15"/>
  <c r="K710" i="15"/>
  <c r="L710" i="15"/>
  <c r="M710" i="15"/>
  <c r="N710" i="15"/>
  <c r="O710" i="15"/>
  <c r="P710" i="15"/>
  <c r="Z710" i="13"/>
  <c r="B709" i="15"/>
  <c r="AA709" i="13" s="1"/>
  <c r="C709" i="15"/>
  <c r="AB709" i="13" s="1"/>
  <c r="D709" i="15"/>
  <c r="AC709" i="13" s="1"/>
  <c r="E709" i="15"/>
  <c r="F709" i="15"/>
  <c r="G709" i="15"/>
  <c r="H709" i="15"/>
  <c r="I709" i="15"/>
  <c r="J709" i="15"/>
  <c r="K709" i="15"/>
  <c r="L709" i="15"/>
  <c r="M709" i="15"/>
  <c r="N709" i="15"/>
  <c r="O709" i="15"/>
  <c r="P709" i="15"/>
  <c r="Z709" i="13"/>
  <c r="B708" i="15"/>
  <c r="AA708" i="13" s="1"/>
  <c r="C708" i="15"/>
  <c r="AB708" i="13" s="1"/>
  <c r="D708" i="15"/>
  <c r="AC708" i="13" s="1"/>
  <c r="E708" i="15"/>
  <c r="F708" i="15"/>
  <c r="G708" i="15"/>
  <c r="H708" i="15"/>
  <c r="I708" i="15"/>
  <c r="J708" i="15"/>
  <c r="K708" i="15"/>
  <c r="L708" i="15"/>
  <c r="M708" i="15"/>
  <c r="N708" i="15"/>
  <c r="O708" i="15"/>
  <c r="P708" i="15"/>
  <c r="Z708" i="13"/>
  <c r="B707" i="15"/>
  <c r="AA707" i="13" s="1"/>
  <c r="C707" i="15"/>
  <c r="AB707" i="13" s="1"/>
  <c r="D707" i="15"/>
  <c r="AC707" i="13" s="1"/>
  <c r="E707" i="15"/>
  <c r="F707" i="15"/>
  <c r="G707" i="15"/>
  <c r="H707" i="15"/>
  <c r="I707" i="15"/>
  <c r="J707" i="15"/>
  <c r="K707" i="15"/>
  <c r="L707" i="15"/>
  <c r="M707" i="15"/>
  <c r="N707" i="15"/>
  <c r="O707" i="15"/>
  <c r="P707" i="15"/>
  <c r="Z707" i="13"/>
  <c r="B706" i="15"/>
  <c r="AA706" i="13" s="1"/>
  <c r="C706" i="15"/>
  <c r="AB706" i="13" s="1"/>
  <c r="D706" i="15"/>
  <c r="AC706" i="13" s="1"/>
  <c r="E706" i="15"/>
  <c r="F706" i="15"/>
  <c r="G706" i="15"/>
  <c r="H706" i="15"/>
  <c r="I706" i="15"/>
  <c r="J706" i="15"/>
  <c r="K706" i="15"/>
  <c r="L706" i="15"/>
  <c r="M706" i="15"/>
  <c r="N706" i="15"/>
  <c r="O706" i="15"/>
  <c r="P706" i="15"/>
  <c r="Z706" i="13"/>
  <c r="B705" i="15"/>
  <c r="AA705" i="13" s="1"/>
  <c r="C705" i="15"/>
  <c r="AB705" i="13" s="1"/>
  <c r="D705" i="15"/>
  <c r="AC705" i="13" s="1"/>
  <c r="E705" i="15"/>
  <c r="F705" i="15"/>
  <c r="G705" i="15"/>
  <c r="H705" i="15"/>
  <c r="I705" i="15"/>
  <c r="J705" i="15"/>
  <c r="K705" i="15"/>
  <c r="L705" i="15"/>
  <c r="M705" i="15"/>
  <c r="N705" i="15"/>
  <c r="O705" i="15"/>
  <c r="P705" i="15"/>
  <c r="Z705" i="13"/>
  <c r="B704" i="15"/>
  <c r="AA704" i="13" s="1"/>
  <c r="C704" i="15"/>
  <c r="AB704" i="13" s="1"/>
  <c r="D704" i="15"/>
  <c r="AC704" i="13" s="1"/>
  <c r="E704" i="15"/>
  <c r="F704" i="15"/>
  <c r="G704" i="15"/>
  <c r="H704" i="15"/>
  <c r="I704" i="15"/>
  <c r="J704" i="15"/>
  <c r="K704" i="15"/>
  <c r="L704" i="15"/>
  <c r="M704" i="15"/>
  <c r="N704" i="15"/>
  <c r="O704" i="15"/>
  <c r="P704" i="15"/>
  <c r="Z704" i="13"/>
  <c r="B703" i="15"/>
  <c r="AA703" i="13" s="1"/>
  <c r="C703" i="15"/>
  <c r="AB703" i="13" s="1"/>
  <c r="D703" i="15"/>
  <c r="AC703" i="13" s="1"/>
  <c r="E703" i="15"/>
  <c r="F703" i="15"/>
  <c r="G703" i="15"/>
  <c r="H703" i="15"/>
  <c r="I703" i="15"/>
  <c r="J703" i="15"/>
  <c r="K703" i="15"/>
  <c r="L703" i="15"/>
  <c r="M703" i="15"/>
  <c r="N703" i="15"/>
  <c r="O703" i="15"/>
  <c r="P703" i="15"/>
  <c r="Z703" i="13"/>
  <c r="B702" i="15"/>
  <c r="AA702" i="13" s="1"/>
  <c r="C702" i="15"/>
  <c r="AB702" i="13" s="1"/>
  <c r="D702" i="15"/>
  <c r="AC702" i="13" s="1"/>
  <c r="E702" i="15"/>
  <c r="F702" i="15"/>
  <c r="G702" i="15"/>
  <c r="H702" i="15"/>
  <c r="I702" i="15"/>
  <c r="J702" i="15"/>
  <c r="K702" i="15"/>
  <c r="L702" i="15"/>
  <c r="M702" i="15"/>
  <c r="N702" i="15"/>
  <c r="O702" i="15"/>
  <c r="P702" i="15"/>
  <c r="Z702" i="13"/>
  <c r="B701" i="15"/>
  <c r="AA701" i="13" s="1"/>
  <c r="C701" i="15"/>
  <c r="AB701" i="13" s="1"/>
  <c r="D701" i="15"/>
  <c r="AC701" i="13" s="1"/>
  <c r="E701" i="15"/>
  <c r="F701" i="15"/>
  <c r="G701" i="15"/>
  <c r="H701" i="15"/>
  <c r="I701" i="15"/>
  <c r="J701" i="15"/>
  <c r="K701" i="15"/>
  <c r="L701" i="15"/>
  <c r="M701" i="15"/>
  <c r="N701" i="15"/>
  <c r="O701" i="15"/>
  <c r="P701" i="15"/>
  <c r="Z701" i="13"/>
  <c r="B700" i="15"/>
  <c r="AA700" i="13" s="1"/>
  <c r="C700" i="15"/>
  <c r="AB700" i="13" s="1"/>
  <c r="D700" i="15"/>
  <c r="AC700" i="13" s="1"/>
  <c r="E700" i="15"/>
  <c r="F700" i="15"/>
  <c r="G700" i="15"/>
  <c r="H700" i="15"/>
  <c r="I700" i="15"/>
  <c r="J700" i="15"/>
  <c r="K700" i="15"/>
  <c r="L700" i="15"/>
  <c r="M700" i="15"/>
  <c r="N700" i="15"/>
  <c r="O700" i="15"/>
  <c r="P700" i="15"/>
  <c r="Z700" i="13"/>
  <c r="B699" i="15"/>
  <c r="AA699" i="13" s="1"/>
  <c r="C699" i="15"/>
  <c r="AB699" i="13" s="1"/>
  <c r="D699" i="15"/>
  <c r="AC699" i="13" s="1"/>
  <c r="E699" i="15"/>
  <c r="F699" i="15"/>
  <c r="G699" i="15"/>
  <c r="H699" i="15"/>
  <c r="I699" i="15"/>
  <c r="J699" i="15"/>
  <c r="K699" i="15"/>
  <c r="L699" i="15"/>
  <c r="M699" i="15"/>
  <c r="N699" i="15"/>
  <c r="O699" i="15"/>
  <c r="P699" i="15"/>
  <c r="Z699" i="13"/>
  <c r="B698" i="15"/>
  <c r="AA698" i="13" s="1"/>
  <c r="C698" i="15"/>
  <c r="AB698" i="13" s="1"/>
  <c r="D698" i="15"/>
  <c r="AC698" i="13" s="1"/>
  <c r="E698" i="15"/>
  <c r="F698" i="15"/>
  <c r="G698" i="15"/>
  <c r="H698" i="15"/>
  <c r="I698" i="15"/>
  <c r="J698" i="15"/>
  <c r="K698" i="15"/>
  <c r="L698" i="15"/>
  <c r="M698" i="15"/>
  <c r="N698" i="15"/>
  <c r="O698" i="15"/>
  <c r="P698" i="15"/>
  <c r="Z698" i="13"/>
  <c r="B697" i="15"/>
  <c r="AA697" i="13" s="1"/>
  <c r="C697" i="15"/>
  <c r="AB697" i="13" s="1"/>
  <c r="D697" i="15"/>
  <c r="AC697" i="13" s="1"/>
  <c r="E697" i="15"/>
  <c r="F697" i="15"/>
  <c r="G697" i="15"/>
  <c r="H697" i="15"/>
  <c r="I697" i="15"/>
  <c r="J697" i="15"/>
  <c r="K697" i="15"/>
  <c r="L697" i="15"/>
  <c r="M697" i="15"/>
  <c r="N697" i="15"/>
  <c r="O697" i="15"/>
  <c r="P697" i="15"/>
  <c r="Z697" i="13"/>
  <c r="B696" i="15"/>
  <c r="AA696" i="13" s="1"/>
  <c r="C696" i="15"/>
  <c r="AB696" i="13" s="1"/>
  <c r="D696" i="15"/>
  <c r="AC696" i="13" s="1"/>
  <c r="E696" i="15"/>
  <c r="F696" i="15"/>
  <c r="G696" i="15"/>
  <c r="H696" i="15"/>
  <c r="I696" i="15"/>
  <c r="J696" i="15"/>
  <c r="K696" i="15"/>
  <c r="L696" i="15"/>
  <c r="M696" i="15"/>
  <c r="N696" i="15"/>
  <c r="O696" i="15"/>
  <c r="P696" i="15"/>
  <c r="Z696" i="13"/>
  <c r="B695" i="15"/>
  <c r="AA695" i="13" s="1"/>
  <c r="C695" i="15"/>
  <c r="AB695" i="13" s="1"/>
  <c r="D695" i="15"/>
  <c r="AC695" i="13" s="1"/>
  <c r="E695" i="15"/>
  <c r="F695" i="15"/>
  <c r="G695" i="15"/>
  <c r="H695" i="15"/>
  <c r="I695" i="15"/>
  <c r="J695" i="15"/>
  <c r="K695" i="15"/>
  <c r="L695" i="15"/>
  <c r="M695" i="15"/>
  <c r="N695" i="15"/>
  <c r="O695" i="15"/>
  <c r="P695" i="15"/>
  <c r="Z695" i="13"/>
  <c r="B694" i="15"/>
  <c r="AA694" i="13" s="1"/>
  <c r="C694" i="15"/>
  <c r="AB694" i="13" s="1"/>
  <c r="D694" i="15"/>
  <c r="AC694" i="13" s="1"/>
  <c r="E694" i="15"/>
  <c r="F694" i="15"/>
  <c r="G694" i="15"/>
  <c r="H694" i="15"/>
  <c r="I694" i="15"/>
  <c r="J694" i="15"/>
  <c r="K694" i="15"/>
  <c r="L694" i="15"/>
  <c r="M694" i="15"/>
  <c r="N694" i="15"/>
  <c r="O694" i="15"/>
  <c r="P694" i="15"/>
  <c r="Z694" i="13"/>
  <c r="B693" i="15"/>
  <c r="AA693" i="13" s="1"/>
  <c r="C693" i="15"/>
  <c r="AB693" i="13" s="1"/>
  <c r="D693" i="15"/>
  <c r="AC693" i="13" s="1"/>
  <c r="E693" i="15"/>
  <c r="F693" i="15"/>
  <c r="G693" i="15"/>
  <c r="H693" i="15"/>
  <c r="I693" i="15"/>
  <c r="J693" i="15"/>
  <c r="K693" i="15"/>
  <c r="L693" i="15"/>
  <c r="M693" i="15"/>
  <c r="N693" i="15"/>
  <c r="O693" i="15"/>
  <c r="P693" i="15"/>
  <c r="Z693" i="13"/>
  <c r="B692" i="15"/>
  <c r="AA692" i="13" s="1"/>
  <c r="C692" i="15"/>
  <c r="AB692" i="13" s="1"/>
  <c r="D692" i="15"/>
  <c r="AC692" i="13" s="1"/>
  <c r="E692" i="15"/>
  <c r="F692" i="15"/>
  <c r="G692" i="15"/>
  <c r="H692" i="15"/>
  <c r="I692" i="15"/>
  <c r="J692" i="15"/>
  <c r="K692" i="15"/>
  <c r="L692" i="15"/>
  <c r="M692" i="15"/>
  <c r="N692" i="15"/>
  <c r="O692" i="15"/>
  <c r="P692" i="15"/>
  <c r="Z692" i="13"/>
  <c r="B691" i="15"/>
  <c r="AA691" i="13" s="1"/>
  <c r="C691" i="15"/>
  <c r="AB691" i="13" s="1"/>
  <c r="D691" i="15"/>
  <c r="AC691" i="13" s="1"/>
  <c r="E691" i="15"/>
  <c r="F691" i="15"/>
  <c r="G691" i="15"/>
  <c r="H691" i="15"/>
  <c r="I691" i="15"/>
  <c r="J691" i="15"/>
  <c r="K691" i="15"/>
  <c r="L691" i="15"/>
  <c r="M691" i="15"/>
  <c r="N691" i="15"/>
  <c r="O691" i="15"/>
  <c r="P691" i="15"/>
  <c r="Z691" i="13"/>
  <c r="B690" i="15"/>
  <c r="AA690" i="13" s="1"/>
  <c r="C690" i="15"/>
  <c r="AB690" i="13" s="1"/>
  <c r="D690" i="15"/>
  <c r="AC690" i="13" s="1"/>
  <c r="E690" i="15"/>
  <c r="F690" i="15"/>
  <c r="G690" i="15"/>
  <c r="H690" i="15"/>
  <c r="I690" i="15"/>
  <c r="J690" i="15"/>
  <c r="K690" i="15"/>
  <c r="L690" i="15"/>
  <c r="M690" i="15"/>
  <c r="N690" i="15"/>
  <c r="O690" i="15"/>
  <c r="P690" i="15"/>
  <c r="Z690" i="13"/>
  <c r="B689" i="15"/>
  <c r="AA689" i="13" s="1"/>
  <c r="C689" i="15"/>
  <c r="AB689" i="13" s="1"/>
  <c r="D689" i="15"/>
  <c r="AC689" i="13" s="1"/>
  <c r="E689" i="15"/>
  <c r="F689" i="15"/>
  <c r="G689" i="15"/>
  <c r="H689" i="15"/>
  <c r="I689" i="15"/>
  <c r="J689" i="15"/>
  <c r="K689" i="15"/>
  <c r="L689" i="15"/>
  <c r="M689" i="15"/>
  <c r="N689" i="15"/>
  <c r="O689" i="15"/>
  <c r="P689" i="15"/>
  <c r="Z689" i="13"/>
  <c r="B688" i="15"/>
  <c r="AA688" i="13" s="1"/>
  <c r="C688" i="15"/>
  <c r="AB688" i="13" s="1"/>
  <c r="D688" i="15"/>
  <c r="AC688" i="13" s="1"/>
  <c r="E688" i="15"/>
  <c r="F688" i="15"/>
  <c r="G688" i="15"/>
  <c r="H688" i="15"/>
  <c r="I688" i="15"/>
  <c r="J688" i="15"/>
  <c r="K688" i="15"/>
  <c r="L688" i="15"/>
  <c r="M688" i="15"/>
  <c r="N688" i="15"/>
  <c r="O688" i="15"/>
  <c r="P688" i="15"/>
  <c r="Z688" i="13"/>
  <c r="B687" i="15"/>
  <c r="AA687" i="13" s="1"/>
  <c r="C687" i="15"/>
  <c r="AB687" i="13" s="1"/>
  <c r="D687" i="15"/>
  <c r="AC687" i="13" s="1"/>
  <c r="E687" i="15"/>
  <c r="F687" i="15"/>
  <c r="G687" i="15"/>
  <c r="H687" i="15"/>
  <c r="I687" i="15"/>
  <c r="J687" i="15"/>
  <c r="K687" i="15"/>
  <c r="L687" i="15"/>
  <c r="M687" i="15"/>
  <c r="N687" i="15"/>
  <c r="O687" i="15"/>
  <c r="P687" i="15"/>
  <c r="Z687" i="13"/>
  <c r="B686" i="15"/>
  <c r="AA686" i="13" s="1"/>
  <c r="C686" i="15"/>
  <c r="AB686" i="13" s="1"/>
  <c r="D686" i="15"/>
  <c r="AC686" i="13" s="1"/>
  <c r="E686" i="15"/>
  <c r="F686" i="15"/>
  <c r="G686" i="15"/>
  <c r="H686" i="15"/>
  <c r="I686" i="15"/>
  <c r="J686" i="15"/>
  <c r="K686" i="15"/>
  <c r="L686" i="15"/>
  <c r="M686" i="15"/>
  <c r="N686" i="15"/>
  <c r="O686" i="15"/>
  <c r="P686" i="15"/>
  <c r="Z686" i="13"/>
  <c r="B685" i="15"/>
  <c r="AA685" i="13" s="1"/>
  <c r="C685" i="15"/>
  <c r="AB685" i="13" s="1"/>
  <c r="D685" i="15"/>
  <c r="AC685" i="13" s="1"/>
  <c r="E685" i="15"/>
  <c r="F685" i="15"/>
  <c r="G685" i="15"/>
  <c r="H685" i="15"/>
  <c r="I685" i="15"/>
  <c r="J685" i="15"/>
  <c r="K685" i="15"/>
  <c r="L685" i="15"/>
  <c r="M685" i="15"/>
  <c r="N685" i="15"/>
  <c r="O685" i="15"/>
  <c r="P685" i="15"/>
  <c r="Z685" i="13"/>
  <c r="B684" i="15"/>
  <c r="AA684" i="13" s="1"/>
  <c r="C684" i="15"/>
  <c r="AB684" i="13" s="1"/>
  <c r="D684" i="15"/>
  <c r="AC684" i="13" s="1"/>
  <c r="E684" i="15"/>
  <c r="F684" i="15"/>
  <c r="G684" i="15"/>
  <c r="H684" i="15"/>
  <c r="I684" i="15"/>
  <c r="J684" i="15"/>
  <c r="K684" i="15"/>
  <c r="L684" i="15"/>
  <c r="M684" i="15"/>
  <c r="N684" i="15"/>
  <c r="O684" i="15"/>
  <c r="P684" i="15"/>
  <c r="Z684" i="13"/>
  <c r="B666" i="15"/>
  <c r="AA666" i="13" s="1"/>
  <c r="C666" i="15"/>
  <c r="AB666" i="13" s="1"/>
  <c r="D666" i="15"/>
  <c r="AC666" i="13" s="1"/>
  <c r="E666" i="15"/>
  <c r="F666" i="15"/>
  <c r="G666" i="15"/>
  <c r="H666" i="15"/>
  <c r="I666" i="15"/>
  <c r="J666" i="15"/>
  <c r="K666" i="15"/>
  <c r="L666" i="15"/>
  <c r="M666" i="15"/>
  <c r="N666" i="15"/>
  <c r="O666" i="15"/>
  <c r="P666" i="15"/>
  <c r="Z666" i="13"/>
  <c r="B671" i="15"/>
  <c r="AA671" i="13" s="1"/>
  <c r="C671" i="15"/>
  <c r="AB671" i="13" s="1"/>
  <c r="D671" i="15"/>
  <c r="AC671" i="13" s="1"/>
  <c r="E671" i="15"/>
  <c r="F671" i="15"/>
  <c r="G671" i="15"/>
  <c r="H671" i="15"/>
  <c r="I671" i="15"/>
  <c r="J671" i="15"/>
  <c r="K671" i="15"/>
  <c r="L671" i="15"/>
  <c r="M671" i="15"/>
  <c r="N671" i="15"/>
  <c r="O671" i="15"/>
  <c r="P671" i="15"/>
  <c r="Z671" i="13"/>
  <c r="B587" i="15"/>
  <c r="AA587" i="13" s="1"/>
  <c r="C587" i="15"/>
  <c r="AB587" i="13" s="1"/>
  <c r="D587" i="15"/>
  <c r="AC587" i="13" s="1"/>
  <c r="E587" i="15"/>
  <c r="F587" i="15"/>
  <c r="G587" i="15"/>
  <c r="H587" i="15"/>
  <c r="I587" i="15"/>
  <c r="J587" i="15"/>
  <c r="K587" i="15"/>
  <c r="L587" i="15"/>
  <c r="M587" i="15"/>
  <c r="N587" i="15"/>
  <c r="O587" i="15"/>
  <c r="P587" i="15"/>
  <c r="Z587" i="13"/>
  <c r="D462" i="15"/>
  <c r="AC462" i="13" s="1"/>
  <c r="E462" i="15"/>
  <c r="F462" i="15"/>
  <c r="H462" i="15"/>
  <c r="J462" i="15"/>
  <c r="L462" i="15"/>
  <c r="N462" i="15"/>
  <c r="O462" i="15"/>
  <c r="B462" i="15"/>
  <c r="AA462" i="13" s="1"/>
  <c r="C462" i="15"/>
  <c r="AB462" i="13" s="1"/>
  <c r="G462" i="15"/>
  <c r="I462" i="15"/>
  <c r="K462" i="15"/>
  <c r="M462" i="15"/>
  <c r="P462" i="15"/>
  <c r="Z462" i="13"/>
  <c r="B433" i="15"/>
  <c r="AA433" i="13" s="1"/>
  <c r="C433" i="15"/>
  <c r="AB433" i="13" s="1"/>
  <c r="D433" i="15"/>
  <c r="AC433" i="13" s="1"/>
  <c r="E433" i="15"/>
  <c r="F433" i="15"/>
  <c r="G433" i="15"/>
  <c r="H433" i="15"/>
  <c r="I433" i="15"/>
  <c r="J433" i="15"/>
  <c r="K433" i="15"/>
  <c r="L433" i="15"/>
  <c r="M433" i="15"/>
  <c r="N433" i="15"/>
  <c r="O433" i="15"/>
  <c r="P433" i="15"/>
  <c r="Z433" i="13"/>
  <c r="B424" i="15"/>
  <c r="AA424" i="13" s="1"/>
  <c r="C424" i="15"/>
  <c r="AB424" i="13" s="1"/>
  <c r="D424" i="15"/>
  <c r="AC424" i="13" s="1"/>
  <c r="E424" i="15"/>
  <c r="F424" i="15"/>
  <c r="G424" i="15"/>
  <c r="H424" i="15"/>
  <c r="I424" i="15"/>
  <c r="J424" i="15"/>
  <c r="K424" i="15"/>
  <c r="L424" i="15"/>
  <c r="M424" i="15"/>
  <c r="N424" i="15"/>
  <c r="O424" i="15"/>
  <c r="P424" i="15"/>
  <c r="Z424" i="13"/>
  <c r="B237" i="15"/>
  <c r="AA237" i="13" s="1"/>
  <c r="C237" i="15"/>
  <c r="AB237" i="13" s="1"/>
  <c r="D237" i="15"/>
  <c r="AC237" i="13" s="1"/>
  <c r="E237" i="15"/>
  <c r="F237" i="15"/>
  <c r="G237" i="15"/>
  <c r="H237" i="15"/>
  <c r="I237" i="15"/>
  <c r="J237" i="15"/>
  <c r="K237" i="15"/>
  <c r="L237" i="15"/>
  <c r="M237" i="15"/>
  <c r="N237" i="15"/>
  <c r="O237" i="15"/>
  <c r="P237" i="15"/>
  <c r="Z237" i="13"/>
  <c r="B226" i="15"/>
  <c r="AA226" i="13" s="1"/>
  <c r="C226" i="15"/>
  <c r="AB226" i="13" s="1"/>
  <c r="D226" i="15"/>
  <c r="AC226" i="13" s="1"/>
  <c r="E226" i="15"/>
  <c r="F226" i="15"/>
  <c r="G226" i="15"/>
  <c r="H226" i="15"/>
  <c r="I226" i="15"/>
  <c r="J226" i="15"/>
  <c r="K226" i="15"/>
  <c r="L226" i="15"/>
  <c r="M226" i="15"/>
  <c r="N226" i="15"/>
  <c r="O226" i="15"/>
  <c r="P226" i="15"/>
  <c r="Z226" i="13"/>
  <c r="B222" i="15"/>
  <c r="AA222" i="13" s="1"/>
  <c r="C222" i="15"/>
  <c r="AB222" i="13" s="1"/>
  <c r="D222" i="15"/>
  <c r="AC222" i="13" s="1"/>
  <c r="E222" i="15"/>
  <c r="F222" i="15"/>
  <c r="G222" i="15"/>
  <c r="H222" i="15"/>
  <c r="I222" i="15"/>
  <c r="J222" i="15"/>
  <c r="K222" i="15"/>
  <c r="L222" i="15"/>
  <c r="M222" i="15"/>
  <c r="N222" i="15"/>
  <c r="O222" i="15"/>
  <c r="P222" i="15"/>
  <c r="Z222" i="13"/>
  <c r="B219" i="15"/>
  <c r="AA219" i="13" s="1"/>
  <c r="C219" i="15"/>
  <c r="AB219" i="13" s="1"/>
  <c r="D219" i="15"/>
  <c r="AC219" i="13" s="1"/>
  <c r="E219" i="15"/>
  <c r="F219" i="15"/>
  <c r="G219" i="15"/>
  <c r="H219" i="15"/>
  <c r="I219" i="15"/>
  <c r="J219" i="15"/>
  <c r="K219" i="15"/>
  <c r="L219" i="15"/>
  <c r="M219" i="15"/>
  <c r="N219" i="15"/>
  <c r="O219" i="15"/>
  <c r="P219" i="15"/>
  <c r="Z219" i="13"/>
  <c r="B211" i="15"/>
  <c r="AA211" i="13" s="1"/>
  <c r="C211" i="15"/>
  <c r="AB211" i="13" s="1"/>
  <c r="D211" i="15"/>
  <c r="AC211" i="13" s="1"/>
  <c r="E211" i="15"/>
  <c r="F211" i="15"/>
  <c r="G211" i="15"/>
  <c r="H211" i="15"/>
  <c r="I211" i="15"/>
  <c r="J211" i="15"/>
  <c r="K211" i="15"/>
  <c r="L211" i="15"/>
  <c r="M211" i="15"/>
  <c r="N211" i="15"/>
  <c r="O211" i="15"/>
  <c r="P211" i="15"/>
  <c r="Z211" i="13"/>
  <c r="E455" i="15"/>
  <c r="J455" i="15"/>
  <c r="K455" i="15"/>
  <c r="G455" i="15"/>
  <c r="F455" i="15"/>
  <c r="H455" i="15"/>
  <c r="L455" i="15"/>
  <c r="N455" i="15"/>
  <c r="P455" i="15"/>
  <c r="Z455" i="13"/>
  <c r="B455" i="15"/>
  <c r="AA455" i="13" s="1"/>
  <c r="C455" i="15"/>
  <c r="AB455" i="13" s="1"/>
  <c r="D455" i="15"/>
  <c r="AC455" i="13" s="1"/>
  <c r="I455" i="15"/>
  <c r="M455" i="15"/>
  <c r="O455" i="15"/>
  <c r="B561" i="15"/>
  <c r="AA561" i="13" s="1"/>
  <c r="E561" i="15"/>
  <c r="F561" i="15"/>
  <c r="I561" i="15"/>
  <c r="J561" i="15"/>
  <c r="M561" i="15"/>
  <c r="O561" i="15"/>
  <c r="G561" i="15"/>
  <c r="K561" i="15"/>
  <c r="L561" i="15"/>
  <c r="N561" i="15"/>
  <c r="P561" i="15"/>
  <c r="Z561" i="13"/>
  <c r="C561" i="15"/>
  <c r="AB561" i="13" s="1"/>
  <c r="D561" i="15"/>
  <c r="AC561" i="13" s="1"/>
  <c r="H561" i="15"/>
  <c r="B497" i="15"/>
  <c r="AA497" i="13" s="1"/>
  <c r="C497" i="15"/>
  <c r="AB497" i="13" s="1"/>
  <c r="J497" i="15"/>
  <c r="M497" i="15"/>
  <c r="N497" i="15"/>
  <c r="H497" i="15"/>
  <c r="K497" i="15"/>
  <c r="P497" i="15"/>
  <c r="Z497" i="13"/>
  <c r="D497" i="15"/>
  <c r="AC497" i="13" s="1"/>
  <c r="E497" i="15"/>
  <c r="F497" i="15"/>
  <c r="G497" i="15"/>
  <c r="I497" i="15"/>
  <c r="L497" i="15"/>
  <c r="O497" i="15"/>
  <c r="D45" i="15"/>
  <c r="AC45" i="13" s="1"/>
  <c r="F45" i="15"/>
  <c r="K45" i="15"/>
  <c r="N45" i="15"/>
  <c r="P45" i="15"/>
  <c r="B45" i="15"/>
  <c r="AA45" i="13" s="1"/>
  <c r="E45" i="15"/>
  <c r="G45" i="15"/>
  <c r="I45" i="15"/>
  <c r="M45" i="15"/>
  <c r="O45" i="15"/>
  <c r="C45" i="15"/>
  <c r="AB45" i="13" s="1"/>
  <c r="Z45" i="13"/>
  <c r="H45" i="15"/>
  <c r="L45" i="15"/>
  <c r="J45" i="15"/>
  <c r="B551" i="15"/>
  <c r="AA551" i="13" s="1"/>
  <c r="C551" i="15"/>
  <c r="AB551" i="13" s="1"/>
  <c r="H551" i="15"/>
  <c r="I551" i="15"/>
  <c r="J551" i="15"/>
  <c r="K551" i="15"/>
  <c r="L551" i="15"/>
  <c r="M551" i="15"/>
  <c r="N551" i="15"/>
  <c r="O551" i="15"/>
  <c r="P551" i="15"/>
  <c r="E551" i="15"/>
  <c r="G551" i="15"/>
  <c r="Z551" i="13"/>
  <c r="D551" i="15"/>
  <c r="AC551" i="13" s="1"/>
  <c r="F551" i="15"/>
  <c r="B782" i="15"/>
  <c r="AA782" i="13" s="1"/>
  <c r="C782" i="15"/>
  <c r="AB782" i="13" s="1"/>
  <c r="D782" i="15"/>
  <c r="AC782" i="13" s="1"/>
  <c r="E782" i="15"/>
  <c r="F782" i="15"/>
  <c r="G782" i="15"/>
  <c r="H782" i="15"/>
  <c r="I782" i="15"/>
  <c r="J782" i="15"/>
  <c r="K782" i="15"/>
  <c r="L782" i="15"/>
  <c r="M782" i="15"/>
  <c r="N782" i="15"/>
  <c r="O782" i="15"/>
  <c r="P782" i="15"/>
  <c r="Z782" i="13"/>
  <c r="B756" i="15"/>
  <c r="AA756" i="13" s="1"/>
  <c r="C756" i="15"/>
  <c r="AB756" i="13" s="1"/>
  <c r="D756" i="15"/>
  <c r="AC756" i="13" s="1"/>
  <c r="E756" i="15"/>
  <c r="F756" i="15"/>
  <c r="G756" i="15"/>
  <c r="H756" i="15"/>
  <c r="I756" i="15"/>
  <c r="J756" i="15"/>
  <c r="K756" i="15"/>
  <c r="L756" i="15"/>
  <c r="M756" i="15"/>
  <c r="N756" i="15"/>
  <c r="O756" i="15"/>
  <c r="P756" i="15"/>
  <c r="Z756" i="13"/>
  <c r="B653" i="15"/>
  <c r="AA653" i="13" s="1"/>
  <c r="C653" i="15"/>
  <c r="AB653" i="13" s="1"/>
  <c r="D653" i="15"/>
  <c r="AC653" i="13" s="1"/>
  <c r="E653" i="15"/>
  <c r="F653" i="15"/>
  <c r="G653" i="15"/>
  <c r="H653" i="15"/>
  <c r="I653" i="15"/>
  <c r="J653" i="15"/>
  <c r="K653" i="15"/>
  <c r="L653" i="15"/>
  <c r="M653" i="15"/>
  <c r="N653" i="15"/>
  <c r="O653" i="15"/>
  <c r="P653" i="15"/>
  <c r="Z653" i="13"/>
  <c r="B298" i="15"/>
  <c r="AA298" i="13" s="1"/>
  <c r="C298" i="15"/>
  <c r="AB298" i="13" s="1"/>
  <c r="D298" i="15"/>
  <c r="AC298" i="13" s="1"/>
  <c r="E298" i="15"/>
  <c r="F298" i="15"/>
  <c r="G298" i="15"/>
  <c r="H298" i="15"/>
  <c r="I298" i="15"/>
  <c r="J298" i="15"/>
  <c r="K298" i="15"/>
  <c r="L298" i="15"/>
  <c r="M298" i="15"/>
  <c r="N298" i="15"/>
  <c r="O298" i="15"/>
  <c r="P298" i="15"/>
  <c r="Z298" i="13"/>
  <c r="B97" i="15"/>
  <c r="AA97" i="13" s="1"/>
  <c r="C97" i="15"/>
  <c r="AB97" i="13" s="1"/>
  <c r="D97" i="15"/>
  <c r="AC97" i="13" s="1"/>
  <c r="E97" i="15"/>
  <c r="F97" i="15"/>
  <c r="G97" i="15"/>
  <c r="H97" i="15"/>
  <c r="I97" i="15"/>
  <c r="J97" i="15"/>
  <c r="K97" i="15"/>
  <c r="L97" i="15"/>
  <c r="M97" i="15"/>
  <c r="N97" i="15"/>
  <c r="O97" i="15"/>
  <c r="P97" i="15"/>
  <c r="Z97" i="13"/>
  <c r="B88" i="15"/>
  <c r="AA88" i="13" s="1"/>
  <c r="C88" i="15"/>
  <c r="AB88" i="13" s="1"/>
  <c r="D88" i="15"/>
  <c r="AC88" i="13" s="1"/>
  <c r="E88" i="15"/>
  <c r="F88" i="15"/>
  <c r="G88" i="15"/>
  <c r="H88" i="15"/>
  <c r="I88" i="15"/>
  <c r="J88" i="15"/>
  <c r="K88" i="15"/>
  <c r="L88" i="15"/>
  <c r="M88" i="15"/>
  <c r="N88" i="15"/>
  <c r="O88" i="15"/>
  <c r="P88" i="15"/>
  <c r="Z88" i="13"/>
  <c r="B76" i="15"/>
  <c r="AA76" i="13" s="1"/>
  <c r="C76" i="15"/>
  <c r="AB76" i="13" s="1"/>
  <c r="D76" i="15"/>
  <c r="AC76" i="13" s="1"/>
  <c r="E76" i="15"/>
  <c r="F76" i="15"/>
  <c r="G76" i="15"/>
  <c r="H76" i="15"/>
  <c r="I76" i="15"/>
  <c r="J76" i="15"/>
  <c r="K76" i="15"/>
  <c r="L76" i="15"/>
  <c r="M76" i="15"/>
  <c r="N76" i="15"/>
  <c r="O76" i="15"/>
  <c r="P76" i="15"/>
  <c r="Z76" i="13"/>
  <c r="B20" i="15"/>
  <c r="AA20" i="13" s="1"/>
  <c r="C20" i="15"/>
  <c r="AB20" i="13" s="1"/>
  <c r="D20" i="15"/>
  <c r="AC20" i="13" s="1"/>
  <c r="E20" i="15"/>
  <c r="F20" i="15"/>
  <c r="G20" i="15"/>
  <c r="H20" i="15"/>
  <c r="I20" i="15"/>
  <c r="J20" i="15"/>
  <c r="K20" i="15"/>
  <c r="L20" i="15"/>
  <c r="M20" i="15"/>
  <c r="N20" i="15"/>
  <c r="O20" i="15"/>
  <c r="P20" i="15"/>
  <c r="Z20" i="13"/>
  <c r="F451" i="15"/>
  <c r="Z451" i="13"/>
  <c r="G451" i="15"/>
  <c r="I451" i="15"/>
  <c r="L451" i="15"/>
  <c r="N451" i="15"/>
  <c r="B451" i="15"/>
  <c r="AA451" i="13" s="1"/>
  <c r="D451" i="15"/>
  <c r="AC451" i="13" s="1"/>
  <c r="J451" i="15"/>
  <c r="K451" i="15"/>
  <c r="M451" i="15"/>
  <c r="P451" i="15"/>
  <c r="C451" i="15"/>
  <c r="AB451" i="13" s="1"/>
  <c r="E451" i="15"/>
  <c r="H451" i="15"/>
  <c r="O451" i="15"/>
  <c r="D498" i="15"/>
  <c r="AC498" i="13" s="1"/>
  <c r="H498" i="15"/>
  <c r="J498" i="15"/>
  <c r="Z498" i="13"/>
  <c r="E498" i="15"/>
  <c r="F498" i="15"/>
  <c r="G498" i="15"/>
  <c r="I498" i="15"/>
  <c r="M498" i="15"/>
  <c r="N498" i="15"/>
  <c r="B498" i="15"/>
  <c r="AA498" i="13" s="1"/>
  <c r="C498" i="15"/>
  <c r="AB498" i="13" s="1"/>
  <c r="K498" i="15"/>
  <c r="L498" i="15"/>
  <c r="O498" i="15"/>
  <c r="P498" i="15"/>
  <c r="B982" i="15"/>
  <c r="AA982" i="13" s="1"/>
  <c r="D982" i="15"/>
  <c r="AC982" i="13" s="1"/>
  <c r="F982" i="15"/>
  <c r="H982" i="15"/>
  <c r="I982" i="15"/>
  <c r="K982" i="15"/>
  <c r="M982" i="15"/>
  <c r="Z982" i="13"/>
  <c r="C982" i="15"/>
  <c r="AB982" i="13" s="1"/>
  <c r="E982" i="15"/>
  <c r="G982" i="15"/>
  <c r="J982" i="15"/>
  <c r="L982" i="15"/>
  <c r="N982" i="15"/>
  <c r="O982" i="15"/>
  <c r="P982" i="15"/>
  <c r="C977" i="15"/>
  <c r="AB977" i="13" s="1"/>
  <c r="E977" i="15"/>
  <c r="G977" i="15"/>
  <c r="I977" i="15"/>
  <c r="J977" i="15"/>
  <c r="K977" i="15"/>
  <c r="M977" i="15"/>
  <c r="Z977" i="13"/>
  <c r="B977" i="15"/>
  <c r="AA977" i="13" s="1"/>
  <c r="D977" i="15"/>
  <c r="AC977" i="13" s="1"/>
  <c r="F977" i="15"/>
  <c r="H977" i="15"/>
  <c r="L977" i="15"/>
  <c r="N977" i="15"/>
  <c r="O977" i="15"/>
  <c r="P977" i="15"/>
  <c r="C973" i="15"/>
  <c r="AB973" i="13" s="1"/>
  <c r="E973" i="15"/>
  <c r="G973" i="15"/>
  <c r="H973" i="15"/>
  <c r="I973" i="15"/>
  <c r="K973" i="15"/>
  <c r="M973" i="15"/>
  <c r="B973" i="15"/>
  <c r="AA973" i="13" s="1"/>
  <c r="D973" i="15"/>
  <c r="AC973" i="13" s="1"/>
  <c r="F973" i="15"/>
  <c r="J973" i="15"/>
  <c r="L973" i="15"/>
  <c r="N973" i="15"/>
  <c r="O973" i="15"/>
  <c r="P973" i="15"/>
  <c r="Z973" i="13"/>
  <c r="C969" i="15"/>
  <c r="AB969" i="13" s="1"/>
  <c r="E969" i="15"/>
  <c r="G969" i="15"/>
  <c r="H969" i="15"/>
  <c r="I969" i="15"/>
  <c r="J969" i="15"/>
  <c r="K969" i="15"/>
  <c r="L969" i="15"/>
  <c r="M969" i="15"/>
  <c r="N969" i="15"/>
  <c r="O969" i="15"/>
  <c r="P969" i="15"/>
  <c r="Z969" i="13"/>
  <c r="B969" i="15"/>
  <c r="AA969" i="13" s="1"/>
  <c r="D969" i="15"/>
  <c r="AC969" i="13" s="1"/>
  <c r="F969" i="15"/>
  <c r="B959" i="15"/>
  <c r="AA959" i="13" s="1"/>
  <c r="D959" i="15"/>
  <c r="AC959" i="13" s="1"/>
  <c r="F959" i="15"/>
  <c r="H959" i="15"/>
  <c r="J959" i="15"/>
  <c r="K959" i="15"/>
  <c r="L959" i="15"/>
  <c r="M959" i="15"/>
  <c r="Z959" i="13"/>
  <c r="C959" i="15"/>
  <c r="AB959" i="13" s="1"/>
  <c r="E959" i="15"/>
  <c r="G959" i="15"/>
  <c r="I959" i="15"/>
  <c r="N959" i="15"/>
  <c r="O959" i="15"/>
  <c r="P959" i="15"/>
  <c r="B945" i="15"/>
  <c r="AA945" i="13" s="1"/>
  <c r="D945" i="15"/>
  <c r="AC945" i="13" s="1"/>
  <c r="E945" i="15"/>
  <c r="F945" i="15"/>
  <c r="G945" i="15"/>
  <c r="H945" i="15"/>
  <c r="I945" i="15"/>
  <c r="J945" i="15"/>
  <c r="K945" i="15"/>
  <c r="L945" i="15"/>
  <c r="M945" i="15"/>
  <c r="N945" i="15"/>
  <c r="O945" i="15"/>
  <c r="P945" i="15"/>
  <c r="Z945" i="13"/>
  <c r="C945" i="15"/>
  <c r="AB945" i="13" s="1"/>
  <c r="C938" i="15"/>
  <c r="AB938" i="13" s="1"/>
  <c r="D938" i="15"/>
  <c r="AC938" i="13" s="1"/>
  <c r="E938" i="15"/>
  <c r="F938" i="15"/>
  <c r="G938" i="15"/>
  <c r="H938" i="15"/>
  <c r="I938" i="15"/>
  <c r="J938" i="15"/>
  <c r="K938" i="15"/>
  <c r="L938" i="15"/>
  <c r="M938" i="15"/>
  <c r="N938" i="15"/>
  <c r="O938" i="15"/>
  <c r="P938" i="15"/>
  <c r="Z938" i="13"/>
  <c r="B938" i="15"/>
  <c r="AA938" i="13" s="1"/>
  <c r="B927" i="15"/>
  <c r="AA927" i="13" s="1"/>
  <c r="C927" i="15"/>
  <c r="AB927" i="13" s="1"/>
  <c r="E927" i="15"/>
  <c r="F927" i="15"/>
  <c r="G927" i="15"/>
  <c r="H927" i="15"/>
  <c r="I927" i="15"/>
  <c r="J927" i="15"/>
  <c r="K927" i="15"/>
  <c r="L927" i="15"/>
  <c r="M927" i="15"/>
  <c r="N927" i="15"/>
  <c r="O927" i="15"/>
  <c r="P927" i="15"/>
  <c r="Z927" i="13"/>
  <c r="D927" i="15"/>
  <c r="AC927" i="13" s="1"/>
  <c r="C914" i="15"/>
  <c r="AB914" i="13" s="1"/>
  <c r="D914" i="15"/>
  <c r="AC914" i="13" s="1"/>
  <c r="E914" i="15"/>
  <c r="F914" i="15"/>
  <c r="G914" i="15"/>
  <c r="H914" i="15"/>
  <c r="I914" i="15"/>
  <c r="J914" i="15"/>
  <c r="K914" i="15"/>
  <c r="L914" i="15"/>
  <c r="M914" i="15"/>
  <c r="N914" i="15"/>
  <c r="O914" i="15"/>
  <c r="P914" i="15"/>
  <c r="Z914" i="13"/>
  <c r="B914" i="15"/>
  <c r="AA914" i="13" s="1"/>
  <c r="C896" i="15"/>
  <c r="AB896" i="13" s="1"/>
  <c r="D896" i="15"/>
  <c r="AC896" i="13" s="1"/>
  <c r="E896" i="15"/>
  <c r="G896" i="15"/>
  <c r="H896" i="15"/>
  <c r="I896" i="15"/>
  <c r="J896" i="15"/>
  <c r="K896" i="15"/>
  <c r="L896" i="15"/>
  <c r="M896" i="15"/>
  <c r="N896" i="15"/>
  <c r="O896" i="15"/>
  <c r="P896" i="15"/>
  <c r="Z896" i="13"/>
  <c r="B896" i="15"/>
  <c r="AA896" i="13" s="1"/>
  <c r="F896" i="15"/>
  <c r="B891" i="15"/>
  <c r="AA891" i="13" s="1"/>
  <c r="C891" i="15"/>
  <c r="AB891" i="13" s="1"/>
  <c r="D891" i="15"/>
  <c r="AC891" i="13" s="1"/>
  <c r="E891" i="15"/>
  <c r="F891" i="15"/>
  <c r="G891" i="15"/>
  <c r="H891" i="15"/>
  <c r="I891" i="15"/>
  <c r="J891" i="15"/>
  <c r="K891" i="15"/>
  <c r="L891" i="15"/>
  <c r="M891" i="15"/>
  <c r="N891" i="15"/>
  <c r="O891" i="15"/>
  <c r="P891" i="15"/>
  <c r="Z891" i="13"/>
  <c r="B885" i="15"/>
  <c r="AA885" i="13" s="1"/>
  <c r="F885" i="15"/>
  <c r="Z885" i="13"/>
  <c r="C885" i="15"/>
  <c r="AB885" i="13" s="1"/>
  <c r="D885" i="15"/>
  <c r="AC885" i="13" s="1"/>
  <c r="E885" i="15"/>
  <c r="G885" i="15"/>
  <c r="H885" i="15"/>
  <c r="I885" i="15"/>
  <c r="J885" i="15"/>
  <c r="K885" i="15"/>
  <c r="L885" i="15"/>
  <c r="M885" i="15"/>
  <c r="N885" i="15"/>
  <c r="O885" i="15"/>
  <c r="P885" i="15"/>
  <c r="B879" i="15"/>
  <c r="AA879" i="13" s="1"/>
  <c r="E879" i="15"/>
  <c r="F879" i="15"/>
  <c r="G879" i="15"/>
  <c r="I879" i="15"/>
  <c r="K879" i="15"/>
  <c r="L879" i="15"/>
  <c r="M879" i="15"/>
  <c r="N879" i="15"/>
  <c r="O879" i="15"/>
  <c r="P879" i="15"/>
  <c r="Z879" i="13"/>
  <c r="C879" i="15"/>
  <c r="AB879" i="13" s="1"/>
  <c r="D879" i="15"/>
  <c r="AC879" i="13" s="1"/>
  <c r="H879" i="15"/>
  <c r="J879" i="15"/>
  <c r="H864" i="15"/>
  <c r="J864" i="15"/>
  <c r="K864" i="15"/>
  <c r="L864" i="15"/>
  <c r="M864" i="15"/>
  <c r="N864" i="15"/>
  <c r="O864" i="15"/>
  <c r="P864" i="15"/>
  <c r="Z864" i="13"/>
  <c r="B864" i="15"/>
  <c r="AA864" i="13" s="1"/>
  <c r="C864" i="15"/>
  <c r="AB864" i="13" s="1"/>
  <c r="D864" i="15"/>
  <c r="AC864" i="13" s="1"/>
  <c r="E864" i="15"/>
  <c r="F864" i="15"/>
  <c r="G864" i="15"/>
  <c r="I864" i="15"/>
  <c r="B567" i="15"/>
  <c r="AA567" i="13" s="1"/>
  <c r="C567" i="15"/>
  <c r="AB567" i="13" s="1"/>
  <c r="F567" i="15"/>
  <c r="L567" i="15"/>
  <c r="N567" i="15"/>
  <c r="O567" i="15"/>
  <c r="P567" i="15"/>
  <c r="Z567" i="13"/>
  <c r="D567" i="15"/>
  <c r="AC567" i="13" s="1"/>
  <c r="G567" i="15"/>
  <c r="E567" i="15"/>
  <c r="H567" i="15"/>
  <c r="I567" i="15"/>
  <c r="J567" i="15"/>
  <c r="K567" i="15"/>
  <c r="M567" i="15"/>
  <c r="B683" i="15"/>
  <c r="AA683" i="13" s="1"/>
  <c r="C683" i="15"/>
  <c r="AB683" i="13" s="1"/>
  <c r="D683" i="15"/>
  <c r="AC683" i="13" s="1"/>
  <c r="E683" i="15"/>
  <c r="F683" i="15"/>
  <c r="G683" i="15"/>
  <c r="H683" i="15"/>
  <c r="I683" i="15"/>
  <c r="J683" i="15"/>
  <c r="K683" i="15"/>
  <c r="L683" i="15"/>
  <c r="M683" i="15"/>
  <c r="N683" i="15"/>
  <c r="O683" i="15"/>
  <c r="P683" i="15"/>
  <c r="Z683" i="13"/>
  <c r="B682" i="15"/>
  <c r="AA682" i="13" s="1"/>
  <c r="C682" i="15"/>
  <c r="AB682" i="13" s="1"/>
  <c r="D682" i="15"/>
  <c r="AC682" i="13" s="1"/>
  <c r="E682" i="15"/>
  <c r="F682" i="15"/>
  <c r="G682" i="15"/>
  <c r="H682" i="15"/>
  <c r="I682" i="15"/>
  <c r="J682" i="15"/>
  <c r="K682" i="15"/>
  <c r="L682" i="15"/>
  <c r="M682" i="15"/>
  <c r="N682" i="15"/>
  <c r="O682" i="15"/>
  <c r="P682" i="15"/>
  <c r="Z682" i="13"/>
  <c r="B681" i="15"/>
  <c r="AA681" i="13" s="1"/>
  <c r="C681" i="15"/>
  <c r="AB681" i="13" s="1"/>
  <c r="D681" i="15"/>
  <c r="AC681" i="13" s="1"/>
  <c r="E681" i="15"/>
  <c r="F681" i="15"/>
  <c r="G681" i="15"/>
  <c r="H681" i="15"/>
  <c r="I681" i="15"/>
  <c r="J681" i="15"/>
  <c r="K681" i="15"/>
  <c r="L681" i="15"/>
  <c r="M681" i="15"/>
  <c r="N681" i="15"/>
  <c r="O681" i="15"/>
  <c r="P681" i="15"/>
  <c r="Z681" i="13"/>
  <c r="B680" i="15"/>
  <c r="AA680" i="13" s="1"/>
  <c r="C680" i="15"/>
  <c r="AB680" i="13" s="1"/>
  <c r="D680" i="15"/>
  <c r="AC680" i="13" s="1"/>
  <c r="E680" i="15"/>
  <c r="F680" i="15"/>
  <c r="G680" i="15"/>
  <c r="H680" i="15"/>
  <c r="I680" i="15"/>
  <c r="J680" i="15"/>
  <c r="K680" i="15"/>
  <c r="L680" i="15"/>
  <c r="M680" i="15"/>
  <c r="N680" i="15"/>
  <c r="O680" i="15"/>
  <c r="P680" i="15"/>
  <c r="Z680" i="13"/>
  <c r="B679" i="15"/>
  <c r="AA679" i="13" s="1"/>
  <c r="C679" i="15"/>
  <c r="AB679" i="13" s="1"/>
  <c r="D679" i="15"/>
  <c r="AC679" i="13" s="1"/>
  <c r="E679" i="15"/>
  <c r="F679" i="15"/>
  <c r="G679" i="15"/>
  <c r="H679" i="15"/>
  <c r="I679" i="15"/>
  <c r="J679" i="15"/>
  <c r="K679" i="15"/>
  <c r="L679" i="15"/>
  <c r="M679" i="15"/>
  <c r="N679" i="15"/>
  <c r="O679" i="15"/>
  <c r="P679" i="15"/>
  <c r="Z679" i="13"/>
  <c r="B678" i="15"/>
  <c r="AA678" i="13" s="1"/>
  <c r="C678" i="15"/>
  <c r="AB678" i="13" s="1"/>
  <c r="D678" i="15"/>
  <c r="AC678" i="13" s="1"/>
  <c r="E678" i="15"/>
  <c r="F678" i="15"/>
  <c r="G678" i="15"/>
  <c r="H678" i="15"/>
  <c r="I678" i="15"/>
  <c r="J678" i="15"/>
  <c r="K678" i="15"/>
  <c r="L678" i="15"/>
  <c r="M678" i="15"/>
  <c r="N678" i="15"/>
  <c r="O678" i="15"/>
  <c r="P678" i="15"/>
  <c r="Z678" i="13"/>
  <c r="B677" i="15"/>
  <c r="AA677" i="13" s="1"/>
  <c r="C677" i="15"/>
  <c r="AB677" i="13" s="1"/>
  <c r="D677" i="15"/>
  <c r="AC677" i="13" s="1"/>
  <c r="E677" i="15"/>
  <c r="F677" i="15"/>
  <c r="G677" i="15"/>
  <c r="H677" i="15"/>
  <c r="I677" i="15"/>
  <c r="J677" i="15"/>
  <c r="K677" i="15"/>
  <c r="L677" i="15"/>
  <c r="M677" i="15"/>
  <c r="N677" i="15"/>
  <c r="O677" i="15"/>
  <c r="P677" i="15"/>
  <c r="Z677" i="13"/>
  <c r="B676" i="15"/>
  <c r="AA676" i="13" s="1"/>
  <c r="C676" i="15"/>
  <c r="AB676" i="13" s="1"/>
  <c r="D676" i="15"/>
  <c r="AC676" i="13" s="1"/>
  <c r="E676" i="15"/>
  <c r="F676" i="15"/>
  <c r="G676" i="15"/>
  <c r="H676" i="15"/>
  <c r="I676" i="15"/>
  <c r="J676" i="15"/>
  <c r="K676" i="15"/>
  <c r="L676" i="15"/>
  <c r="M676" i="15"/>
  <c r="N676" i="15"/>
  <c r="O676" i="15"/>
  <c r="P676" i="15"/>
  <c r="Z676" i="13"/>
  <c r="B675" i="15"/>
  <c r="AA675" i="13" s="1"/>
  <c r="C675" i="15"/>
  <c r="AB675" i="13" s="1"/>
  <c r="D675" i="15"/>
  <c r="AC675" i="13" s="1"/>
  <c r="E675" i="15"/>
  <c r="F675" i="15"/>
  <c r="G675" i="15"/>
  <c r="H675" i="15"/>
  <c r="I675" i="15"/>
  <c r="J675" i="15"/>
  <c r="K675" i="15"/>
  <c r="L675" i="15"/>
  <c r="M675" i="15"/>
  <c r="N675" i="15"/>
  <c r="O675" i="15"/>
  <c r="P675" i="15"/>
  <c r="Z675" i="13"/>
  <c r="B674" i="15"/>
  <c r="AA674" i="13" s="1"/>
  <c r="C674" i="15"/>
  <c r="AB674" i="13" s="1"/>
  <c r="D674" i="15"/>
  <c r="AC674" i="13" s="1"/>
  <c r="E674" i="15"/>
  <c r="F674" i="15"/>
  <c r="G674" i="15"/>
  <c r="H674" i="15"/>
  <c r="I674" i="15"/>
  <c r="J674" i="15"/>
  <c r="K674" i="15"/>
  <c r="L674" i="15"/>
  <c r="M674" i="15"/>
  <c r="N674" i="15"/>
  <c r="O674" i="15"/>
  <c r="P674" i="15"/>
  <c r="Z674" i="13"/>
  <c r="B673" i="15"/>
  <c r="AA673" i="13" s="1"/>
  <c r="C673" i="15"/>
  <c r="AB673" i="13" s="1"/>
  <c r="D673" i="15"/>
  <c r="AC673" i="13" s="1"/>
  <c r="E673" i="15"/>
  <c r="F673" i="15"/>
  <c r="G673" i="15"/>
  <c r="H673" i="15"/>
  <c r="I673" i="15"/>
  <c r="J673" i="15"/>
  <c r="K673" i="15"/>
  <c r="L673" i="15"/>
  <c r="M673" i="15"/>
  <c r="N673" i="15"/>
  <c r="O673" i="15"/>
  <c r="P673" i="15"/>
  <c r="Z673" i="13"/>
  <c r="B312" i="15"/>
  <c r="AA312" i="13" s="1"/>
  <c r="C312" i="15"/>
  <c r="AB312" i="13" s="1"/>
  <c r="D312" i="15"/>
  <c r="AC312" i="13" s="1"/>
  <c r="E312" i="15"/>
  <c r="F312" i="15"/>
  <c r="G312" i="15"/>
  <c r="H312" i="15"/>
  <c r="I312" i="15"/>
  <c r="J312" i="15"/>
  <c r="K312" i="15"/>
  <c r="L312" i="15"/>
  <c r="M312" i="15"/>
  <c r="N312" i="15"/>
  <c r="O312" i="15"/>
  <c r="P312" i="15"/>
  <c r="Z312" i="13"/>
  <c r="B313" i="15"/>
  <c r="AA313" i="13" s="1"/>
  <c r="C313" i="15"/>
  <c r="AB313" i="13" s="1"/>
  <c r="D313" i="15"/>
  <c r="AC313" i="13" s="1"/>
  <c r="E313" i="15"/>
  <c r="F313" i="15"/>
  <c r="G313" i="15"/>
  <c r="H313" i="15"/>
  <c r="I313" i="15"/>
  <c r="J313" i="15"/>
  <c r="K313" i="15"/>
  <c r="L313" i="15"/>
  <c r="M313" i="15"/>
  <c r="N313" i="15"/>
  <c r="O313" i="15"/>
  <c r="P313" i="15"/>
  <c r="Z313" i="13"/>
  <c r="B314" i="15"/>
  <c r="AA314" i="13" s="1"/>
  <c r="C314" i="15"/>
  <c r="AB314" i="13" s="1"/>
  <c r="D314" i="15"/>
  <c r="AC314" i="13" s="1"/>
  <c r="E314" i="15"/>
  <c r="F314" i="15"/>
  <c r="G314" i="15"/>
  <c r="H314" i="15"/>
  <c r="I314" i="15"/>
  <c r="J314" i="15"/>
  <c r="K314" i="15"/>
  <c r="L314" i="15"/>
  <c r="M314" i="15"/>
  <c r="N314" i="15"/>
  <c r="O314" i="15"/>
  <c r="P314" i="15"/>
  <c r="Z314" i="13"/>
  <c r="B315" i="15"/>
  <c r="AA315" i="13" s="1"/>
  <c r="C315" i="15"/>
  <c r="AB315" i="13" s="1"/>
  <c r="D315" i="15"/>
  <c r="AC315" i="13" s="1"/>
  <c r="E315" i="15"/>
  <c r="F315" i="15"/>
  <c r="G315" i="15"/>
  <c r="H315" i="15"/>
  <c r="I315" i="15"/>
  <c r="J315" i="15"/>
  <c r="K315" i="15"/>
  <c r="L315" i="15"/>
  <c r="M315" i="15"/>
  <c r="N315" i="15"/>
  <c r="O315" i="15"/>
  <c r="P315" i="15"/>
  <c r="Z315" i="13"/>
  <c r="B316" i="15"/>
  <c r="AA316" i="13" s="1"/>
  <c r="C316" i="15"/>
  <c r="AB316" i="13" s="1"/>
  <c r="D316" i="15"/>
  <c r="AC316" i="13" s="1"/>
  <c r="E316" i="15"/>
  <c r="F316" i="15"/>
  <c r="G316" i="15"/>
  <c r="H316" i="15"/>
  <c r="I316" i="15"/>
  <c r="J316" i="15"/>
  <c r="K316" i="15"/>
  <c r="L316" i="15"/>
  <c r="M316" i="15"/>
  <c r="N316" i="15"/>
  <c r="O316" i="15"/>
  <c r="P316" i="15"/>
  <c r="Z316" i="13"/>
  <c r="B317" i="15"/>
  <c r="AA317" i="13" s="1"/>
  <c r="C317" i="15"/>
  <c r="AB317" i="13" s="1"/>
  <c r="D317" i="15"/>
  <c r="AC317" i="13" s="1"/>
  <c r="E317" i="15"/>
  <c r="F317" i="15"/>
  <c r="G317" i="15"/>
  <c r="H317" i="15"/>
  <c r="I317" i="15"/>
  <c r="J317" i="15"/>
  <c r="K317" i="15"/>
  <c r="L317" i="15"/>
  <c r="M317" i="15"/>
  <c r="N317" i="15"/>
  <c r="O317" i="15"/>
  <c r="P317" i="15"/>
  <c r="Z317" i="13"/>
  <c r="B318" i="15"/>
  <c r="AA318" i="13" s="1"/>
  <c r="C318" i="15"/>
  <c r="AB318" i="13" s="1"/>
  <c r="D318" i="15"/>
  <c r="AC318" i="13" s="1"/>
  <c r="E318" i="15"/>
  <c r="F318" i="15"/>
  <c r="G318" i="15"/>
  <c r="H318" i="15"/>
  <c r="I318" i="15"/>
  <c r="J318" i="15"/>
  <c r="K318" i="15"/>
  <c r="L318" i="15"/>
  <c r="M318" i="15"/>
  <c r="N318" i="15"/>
  <c r="O318" i="15"/>
  <c r="P318" i="15"/>
  <c r="Z318" i="13"/>
  <c r="B319" i="15"/>
  <c r="AA319" i="13" s="1"/>
  <c r="C319" i="15"/>
  <c r="AB319" i="13" s="1"/>
  <c r="D319" i="15"/>
  <c r="AC319" i="13" s="1"/>
  <c r="E319" i="15"/>
  <c r="F319" i="15"/>
  <c r="G319" i="15"/>
  <c r="H319" i="15"/>
  <c r="I319" i="15"/>
  <c r="J319" i="15"/>
  <c r="K319" i="15"/>
  <c r="L319" i="15"/>
  <c r="M319" i="15"/>
  <c r="N319" i="15"/>
  <c r="O319" i="15"/>
  <c r="P319" i="15"/>
  <c r="Z319" i="13"/>
  <c r="B320" i="15"/>
  <c r="AA320" i="13" s="1"/>
  <c r="C320" i="15"/>
  <c r="AB320" i="13" s="1"/>
  <c r="D320" i="15"/>
  <c r="AC320" i="13" s="1"/>
  <c r="E320" i="15"/>
  <c r="F320" i="15"/>
  <c r="G320" i="15"/>
  <c r="H320" i="15"/>
  <c r="I320" i="15"/>
  <c r="J320" i="15"/>
  <c r="K320" i="15"/>
  <c r="L320" i="15"/>
  <c r="M320" i="15"/>
  <c r="N320" i="15"/>
  <c r="O320" i="15"/>
  <c r="P320" i="15"/>
  <c r="Z320" i="13"/>
  <c r="B321" i="15"/>
  <c r="AA321" i="13" s="1"/>
  <c r="C321" i="15"/>
  <c r="AB321" i="13" s="1"/>
  <c r="D321" i="15"/>
  <c r="AC321" i="13" s="1"/>
  <c r="E321" i="15"/>
  <c r="F321" i="15"/>
  <c r="G321" i="15"/>
  <c r="H321" i="15"/>
  <c r="I321" i="15"/>
  <c r="J321" i="15"/>
  <c r="K321" i="15"/>
  <c r="L321" i="15"/>
  <c r="M321" i="15"/>
  <c r="N321" i="15"/>
  <c r="O321" i="15"/>
  <c r="P321" i="15"/>
  <c r="Z321" i="13"/>
  <c r="B322" i="15"/>
  <c r="AA322" i="13" s="1"/>
  <c r="C322" i="15"/>
  <c r="AB322" i="13" s="1"/>
  <c r="D322" i="15"/>
  <c r="AC322" i="13" s="1"/>
  <c r="E322" i="15"/>
  <c r="F322" i="15"/>
  <c r="G322" i="15"/>
  <c r="H322" i="15"/>
  <c r="I322" i="15"/>
  <c r="J322" i="15"/>
  <c r="K322" i="15"/>
  <c r="L322" i="15"/>
  <c r="M322" i="15"/>
  <c r="N322" i="15"/>
  <c r="O322" i="15"/>
  <c r="P322" i="15"/>
  <c r="Z322" i="13"/>
  <c r="B323" i="15"/>
  <c r="AA323" i="13" s="1"/>
  <c r="C323" i="15"/>
  <c r="AB323" i="13" s="1"/>
  <c r="D323" i="15"/>
  <c r="AC323" i="13" s="1"/>
  <c r="E323" i="15"/>
  <c r="F323" i="15"/>
  <c r="G323" i="15"/>
  <c r="H323" i="15"/>
  <c r="I323" i="15"/>
  <c r="J323" i="15"/>
  <c r="K323" i="15"/>
  <c r="L323" i="15"/>
  <c r="M323" i="15"/>
  <c r="N323" i="15"/>
  <c r="O323" i="15"/>
  <c r="P323" i="15"/>
  <c r="Z323" i="13"/>
  <c r="B324" i="15"/>
  <c r="AA324" i="13" s="1"/>
  <c r="C324" i="15"/>
  <c r="AB324" i="13" s="1"/>
  <c r="D324" i="15"/>
  <c r="AC324" i="13" s="1"/>
  <c r="E324" i="15"/>
  <c r="F324" i="15"/>
  <c r="G324" i="15"/>
  <c r="H324" i="15"/>
  <c r="I324" i="15"/>
  <c r="J324" i="15"/>
  <c r="K324" i="15"/>
  <c r="L324" i="15"/>
  <c r="M324" i="15"/>
  <c r="N324" i="15"/>
  <c r="O324" i="15"/>
  <c r="P324" i="15"/>
  <c r="Z324" i="13"/>
  <c r="B325" i="15"/>
  <c r="AA325" i="13" s="1"/>
  <c r="C325" i="15"/>
  <c r="AB325" i="13" s="1"/>
  <c r="D325" i="15"/>
  <c r="AC325" i="13" s="1"/>
  <c r="E325" i="15"/>
  <c r="F325" i="15"/>
  <c r="G325" i="15"/>
  <c r="H325" i="15"/>
  <c r="I325" i="15"/>
  <c r="J325" i="15"/>
  <c r="K325" i="15"/>
  <c r="L325" i="15"/>
  <c r="M325" i="15"/>
  <c r="N325" i="15"/>
  <c r="O325" i="15"/>
  <c r="P325" i="15"/>
  <c r="Z325" i="13"/>
  <c r="B326" i="15"/>
  <c r="AA326" i="13" s="1"/>
  <c r="C326" i="15"/>
  <c r="AB326" i="13" s="1"/>
  <c r="D326" i="15"/>
  <c r="AC326" i="13" s="1"/>
  <c r="E326" i="15"/>
  <c r="F326" i="15"/>
  <c r="G326" i="15"/>
  <c r="H326" i="15"/>
  <c r="I326" i="15"/>
  <c r="J326" i="15"/>
  <c r="K326" i="15"/>
  <c r="L326" i="15"/>
  <c r="M326" i="15"/>
  <c r="N326" i="15"/>
  <c r="O326" i="15"/>
  <c r="P326" i="15"/>
  <c r="Z326" i="13"/>
  <c r="B327" i="15"/>
  <c r="AA327" i="13" s="1"/>
  <c r="C327" i="15"/>
  <c r="AB327" i="13" s="1"/>
  <c r="D327" i="15"/>
  <c r="AC327" i="13" s="1"/>
  <c r="E327" i="15"/>
  <c r="F327" i="15"/>
  <c r="G327" i="15"/>
  <c r="H327" i="15"/>
  <c r="I327" i="15"/>
  <c r="J327" i="15"/>
  <c r="K327" i="15"/>
  <c r="L327" i="15"/>
  <c r="M327" i="15"/>
  <c r="N327" i="15"/>
  <c r="O327" i="15"/>
  <c r="P327" i="15"/>
  <c r="Z327" i="13"/>
  <c r="B328" i="15"/>
  <c r="AA328" i="13" s="1"/>
  <c r="C328" i="15"/>
  <c r="AB328" i="13" s="1"/>
  <c r="D328" i="15"/>
  <c r="AC328" i="13" s="1"/>
  <c r="E328" i="15"/>
  <c r="F328" i="15"/>
  <c r="G328" i="15"/>
  <c r="H328" i="15"/>
  <c r="I328" i="15"/>
  <c r="J328" i="15"/>
  <c r="K328" i="15"/>
  <c r="L328" i="15"/>
  <c r="M328" i="15"/>
  <c r="N328" i="15"/>
  <c r="O328" i="15"/>
  <c r="P328" i="15"/>
  <c r="Z328" i="13"/>
  <c r="B329" i="15"/>
  <c r="AA329" i="13" s="1"/>
  <c r="C329" i="15"/>
  <c r="AB329" i="13" s="1"/>
  <c r="D329" i="15"/>
  <c r="AC329" i="13" s="1"/>
  <c r="E329" i="15"/>
  <c r="F329" i="15"/>
  <c r="G329" i="15"/>
  <c r="H329" i="15"/>
  <c r="I329" i="15"/>
  <c r="J329" i="15"/>
  <c r="K329" i="15"/>
  <c r="L329" i="15"/>
  <c r="M329" i="15"/>
  <c r="N329" i="15"/>
  <c r="O329" i="15"/>
  <c r="P329" i="15"/>
  <c r="Z329" i="13"/>
  <c r="B330" i="15"/>
  <c r="AA330" i="13" s="1"/>
  <c r="C330" i="15"/>
  <c r="AB330" i="13" s="1"/>
  <c r="D330" i="15"/>
  <c r="AC330" i="13" s="1"/>
  <c r="E330" i="15"/>
  <c r="F330" i="15"/>
  <c r="G330" i="15"/>
  <c r="H330" i="15"/>
  <c r="I330" i="15"/>
  <c r="J330" i="15"/>
  <c r="K330" i="15"/>
  <c r="L330" i="15"/>
  <c r="M330" i="15"/>
  <c r="N330" i="15"/>
  <c r="O330" i="15"/>
  <c r="P330" i="15"/>
  <c r="Z330" i="13"/>
  <c r="B331" i="15"/>
  <c r="AA331" i="13" s="1"/>
  <c r="C331" i="15"/>
  <c r="AB331" i="13" s="1"/>
  <c r="D331" i="15"/>
  <c r="AC331" i="13" s="1"/>
  <c r="E331" i="15"/>
  <c r="F331" i="15"/>
  <c r="G331" i="15"/>
  <c r="H331" i="15"/>
  <c r="I331" i="15"/>
  <c r="J331" i="15"/>
  <c r="K331" i="15"/>
  <c r="L331" i="15"/>
  <c r="M331" i="15"/>
  <c r="N331" i="15"/>
  <c r="O331" i="15"/>
  <c r="P331" i="15"/>
  <c r="Z331" i="13"/>
  <c r="B995" i="15"/>
  <c r="AA995" i="13" s="1"/>
  <c r="C995" i="15"/>
  <c r="AB995" i="13" s="1"/>
  <c r="D995" i="15"/>
  <c r="AC995" i="13" s="1"/>
  <c r="E995" i="15"/>
  <c r="F995" i="15"/>
  <c r="G995" i="15"/>
  <c r="H995" i="15"/>
  <c r="I995" i="15"/>
  <c r="J995" i="15"/>
  <c r="K995" i="15"/>
  <c r="L995" i="15"/>
  <c r="M995" i="15"/>
  <c r="N995" i="15"/>
  <c r="O995" i="15"/>
  <c r="P995" i="15"/>
  <c r="Z995" i="13"/>
  <c r="B299" i="15"/>
  <c r="AA299" i="13" s="1"/>
  <c r="C299" i="15"/>
  <c r="AB299" i="13" s="1"/>
  <c r="D299" i="15"/>
  <c r="AC299" i="13" s="1"/>
  <c r="E299" i="15"/>
  <c r="F299" i="15"/>
  <c r="G299" i="15"/>
  <c r="H299" i="15"/>
  <c r="I299" i="15"/>
  <c r="J299" i="15"/>
  <c r="K299" i="15"/>
  <c r="L299" i="15"/>
  <c r="M299" i="15"/>
  <c r="N299" i="15"/>
  <c r="O299" i="15"/>
  <c r="P299" i="15"/>
  <c r="Z299" i="13"/>
  <c r="B966" i="15"/>
  <c r="AA966" i="13" s="1"/>
  <c r="D966" i="15"/>
  <c r="AC966" i="13" s="1"/>
  <c r="G966" i="15"/>
  <c r="C966" i="15"/>
  <c r="AB966" i="13" s="1"/>
  <c r="E966" i="15"/>
  <c r="F966" i="15"/>
  <c r="H966" i="15"/>
  <c r="I966" i="15"/>
  <c r="J966" i="15"/>
  <c r="K966" i="15"/>
  <c r="L966" i="15"/>
  <c r="M966" i="15"/>
  <c r="N966" i="15"/>
  <c r="O966" i="15"/>
  <c r="P966" i="15"/>
  <c r="Z966" i="13"/>
  <c r="B586" i="15"/>
  <c r="AA586" i="13" s="1"/>
  <c r="C586" i="15"/>
  <c r="AB586" i="13" s="1"/>
  <c r="D586" i="15"/>
  <c r="AC586" i="13" s="1"/>
  <c r="E586" i="15"/>
  <c r="F586" i="15"/>
  <c r="G586" i="15"/>
  <c r="H586" i="15"/>
  <c r="I586" i="15"/>
  <c r="J586" i="15"/>
  <c r="K586" i="15"/>
  <c r="L586" i="15"/>
  <c r="M586" i="15"/>
  <c r="N586" i="15"/>
  <c r="O586" i="15"/>
  <c r="P586" i="15"/>
  <c r="Z586" i="13"/>
  <c r="B579" i="15"/>
  <c r="AA579" i="13" s="1"/>
  <c r="C579" i="15"/>
  <c r="AB579" i="13" s="1"/>
  <c r="D579" i="15"/>
  <c r="AC579" i="13" s="1"/>
  <c r="E579" i="15"/>
  <c r="F579" i="15"/>
  <c r="G579" i="15"/>
  <c r="H579" i="15"/>
  <c r="I579" i="15"/>
  <c r="J579" i="15"/>
  <c r="K579" i="15"/>
  <c r="L579" i="15"/>
  <c r="M579" i="15"/>
  <c r="N579" i="15"/>
  <c r="O579" i="15"/>
  <c r="P579" i="15"/>
  <c r="Z579" i="13"/>
  <c r="B568" i="15"/>
  <c r="AA568" i="13" s="1"/>
  <c r="E568" i="15"/>
  <c r="F568" i="15"/>
  <c r="G568" i="15"/>
  <c r="L568" i="15"/>
  <c r="M568" i="15"/>
  <c r="P568" i="15"/>
  <c r="D568" i="15"/>
  <c r="AC568" i="13" s="1"/>
  <c r="I568" i="15"/>
  <c r="C568" i="15"/>
  <c r="AB568" i="13" s="1"/>
  <c r="H568" i="15"/>
  <c r="J568" i="15"/>
  <c r="K568" i="15"/>
  <c r="N568" i="15"/>
  <c r="O568" i="15"/>
  <c r="Z568" i="13"/>
  <c r="E550" i="15"/>
  <c r="H550" i="15"/>
  <c r="K550" i="15"/>
  <c r="L550" i="15"/>
  <c r="M550" i="15"/>
  <c r="O550" i="15"/>
  <c r="B550" i="15"/>
  <c r="AA550" i="13" s="1"/>
  <c r="C550" i="15"/>
  <c r="AB550" i="13" s="1"/>
  <c r="D550" i="15"/>
  <c r="AC550" i="13" s="1"/>
  <c r="G550" i="15"/>
  <c r="J550" i="15"/>
  <c r="F550" i="15"/>
  <c r="I550" i="15"/>
  <c r="N550" i="15"/>
  <c r="P550" i="15"/>
  <c r="Z550" i="13"/>
  <c r="B531" i="15"/>
  <c r="AA531" i="13" s="1"/>
  <c r="C531" i="15"/>
  <c r="AB531" i="13" s="1"/>
  <c r="G531" i="15"/>
  <c r="H531" i="15"/>
  <c r="I531" i="15"/>
  <c r="J531" i="15"/>
  <c r="K531" i="15"/>
  <c r="L531" i="15"/>
  <c r="N531" i="15"/>
  <c r="O531" i="15"/>
  <c r="P531" i="15"/>
  <c r="D531" i="15"/>
  <c r="AC531" i="13" s="1"/>
  <c r="F531" i="15"/>
  <c r="E531" i="15"/>
  <c r="M531" i="15"/>
  <c r="Z531" i="13"/>
  <c r="D517" i="15"/>
  <c r="AC517" i="13" s="1"/>
  <c r="F517" i="15"/>
  <c r="G517" i="15"/>
  <c r="H517" i="15"/>
  <c r="I517" i="15"/>
  <c r="J517" i="15"/>
  <c r="K517" i="15"/>
  <c r="L517" i="15"/>
  <c r="M517" i="15"/>
  <c r="N517" i="15"/>
  <c r="O517" i="15"/>
  <c r="P517" i="15"/>
  <c r="B517" i="15"/>
  <c r="AA517" i="13" s="1"/>
  <c r="C517" i="15"/>
  <c r="AB517" i="13" s="1"/>
  <c r="E517" i="15"/>
  <c r="Z517" i="13"/>
  <c r="D473" i="15"/>
  <c r="AC473" i="13" s="1"/>
  <c r="I473" i="15"/>
  <c r="J473" i="15"/>
  <c r="N473" i="15"/>
  <c r="E473" i="15"/>
  <c r="F473" i="15"/>
  <c r="L473" i="15"/>
  <c r="M473" i="15"/>
  <c r="P473" i="15"/>
  <c r="B473" i="15"/>
  <c r="AA473" i="13" s="1"/>
  <c r="C473" i="15"/>
  <c r="AB473" i="13" s="1"/>
  <c r="G473" i="15"/>
  <c r="K473" i="15"/>
  <c r="H473" i="15"/>
  <c r="O473" i="15"/>
  <c r="Z473" i="13"/>
  <c r="D450" i="15"/>
  <c r="AC450" i="13" s="1"/>
  <c r="G450" i="15"/>
  <c r="P450" i="15"/>
  <c r="B450" i="15"/>
  <c r="AA450" i="13" s="1"/>
  <c r="K450" i="15"/>
  <c r="M450" i="15"/>
  <c r="E450" i="15"/>
  <c r="F450" i="15"/>
  <c r="I450" i="15"/>
  <c r="O450" i="15"/>
  <c r="H450" i="15"/>
  <c r="J450" i="15"/>
  <c r="L450" i="15"/>
  <c r="N450" i="15"/>
  <c r="C450" i="15"/>
  <c r="AB450" i="13" s="1"/>
  <c r="Z450" i="13"/>
  <c r="F38" i="15"/>
  <c r="B38" i="15"/>
  <c r="AA38" i="13" s="1"/>
  <c r="E38" i="15"/>
  <c r="G38" i="15"/>
  <c r="K38" i="15"/>
  <c r="M38" i="15"/>
  <c r="O38" i="15"/>
  <c r="N38" i="15"/>
  <c r="P38" i="15"/>
  <c r="C38" i="15"/>
  <c r="AB38" i="13" s="1"/>
  <c r="H38" i="15"/>
  <c r="J38" i="15"/>
  <c r="L38" i="15"/>
  <c r="Z38" i="13"/>
  <c r="D38" i="15"/>
  <c r="AC38" i="13" s="1"/>
  <c r="I38" i="15"/>
  <c r="B435" i="15"/>
  <c r="AA435" i="13" s="1"/>
  <c r="C435" i="15"/>
  <c r="AB435" i="13" s="1"/>
  <c r="D435" i="15"/>
  <c r="AC435" i="13" s="1"/>
  <c r="E435" i="15"/>
  <c r="F435" i="15"/>
  <c r="G435" i="15"/>
  <c r="H435" i="15"/>
  <c r="I435" i="15"/>
  <c r="J435" i="15"/>
  <c r="K435" i="15"/>
  <c r="L435" i="15"/>
  <c r="M435" i="15"/>
  <c r="N435" i="15"/>
  <c r="O435" i="15"/>
  <c r="P435" i="15"/>
  <c r="Z435" i="13"/>
  <c r="B428" i="15"/>
  <c r="AA428" i="13" s="1"/>
  <c r="C428" i="15"/>
  <c r="AB428" i="13" s="1"/>
  <c r="D428" i="15"/>
  <c r="AC428" i="13" s="1"/>
  <c r="E428" i="15"/>
  <c r="F428" i="15"/>
  <c r="G428" i="15"/>
  <c r="H428" i="15"/>
  <c r="I428" i="15"/>
  <c r="J428" i="15"/>
  <c r="K428" i="15"/>
  <c r="L428" i="15"/>
  <c r="M428" i="15"/>
  <c r="N428" i="15"/>
  <c r="O428" i="15"/>
  <c r="P428" i="15"/>
  <c r="Z428" i="13"/>
  <c r="B423" i="15"/>
  <c r="AA423" i="13" s="1"/>
  <c r="C423" i="15"/>
  <c r="AB423" i="13" s="1"/>
  <c r="D423" i="15"/>
  <c r="AC423" i="13" s="1"/>
  <c r="E423" i="15"/>
  <c r="F423" i="15"/>
  <c r="G423" i="15"/>
  <c r="H423" i="15"/>
  <c r="I423" i="15"/>
  <c r="J423" i="15"/>
  <c r="K423" i="15"/>
  <c r="L423" i="15"/>
  <c r="M423" i="15"/>
  <c r="N423" i="15"/>
  <c r="O423" i="15"/>
  <c r="P423" i="15"/>
  <c r="Z423" i="13"/>
  <c r="B417" i="15"/>
  <c r="AA417" i="13" s="1"/>
  <c r="C417" i="15"/>
  <c r="AB417" i="13" s="1"/>
  <c r="D417" i="15"/>
  <c r="AC417" i="13" s="1"/>
  <c r="E417" i="15"/>
  <c r="F417" i="15"/>
  <c r="G417" i="15"/>
  <c r="H417" i="15"/>
  <c r="I417" i="15"/>
  <c r="J417" i="15"/>
  <c r="K417" i="15"/>
  <c r="L417" i="15"/>
  <c r="M417" i="15"/>
  <c r="N417" i="15"/>
  <c r="O417" i="15"/>
  <c r="P417" i="15"/>
  <c r="Z417" i="13"/>
  <c r="B409" i="15"/>
  <c r="AA409" i="13" s="1"/>
  <c r="C409" i="15"/>
  <c r="AB409" i="13" s="1"/>
  <c r="D409" i="15"/>
  <c r="AC409" i="13" s="1"/>
  <c r="E409" i="15"/>
  <c r="F409" i="15"/>
  <c r="G409" i="15"/>
  <c r="H409" i="15"/>
  <c r="I409" i="15"/>
  <c r="J409" i="15"/>
  <c r="K409" i="15"/>
  <c r="L409" i="15"/>
  <c r="M409" i="15"/>
  <c r="N409" i="15"/>
  <c r="O409" i="15"/>
  <c r="P409" i="15"/>
  <c r="Z409" i="13"/>
  <c r="B402" i="15"/>
  <c r="AA402" i="13" s="1"/>
  <c r="C402" i="15"/>
  <c r="AB402" i="13" s="1"/>
  <c r="D402" i="15"/>
  <c r="AC402" i="13" s="1"/>
  <c r="E402" i="15"/>
  <c r="F402" i="15"/>
  <c r="G402" i="15"/>
  <c r="H402" i="15"/>
  <c r="I402" i="15"/>
  <c r="J402" i="15"/>
  <c r="K402" i="15"/>
  <c r="L402" i="15"/>
  <c r="M402" i="15"/>
  <c r="N402" i="15"/>
  <c r="O402" i="15"/>
  <c r="P402" i="15"/>
  <c r="Z402" i="13"/>
  <c r="B395" i="15"/>
  <c r="AA395" i="13" s="1"/>
  <c r="C395" i="15"/>
  <c r="AB395" i="13" s="1"/>
  <c r="D395" i="15"/>
  <c r="AC395" i="13" s="1"/>
  <c r="E395" i="15"/>
  <c r="F395" i="15"/>
  <c r="G395" i="15"/>
  <c r="H395" i="15"/>
  <c r="I395" i="15"/>
  <c r="J395" i="15"/>
  <c r="K395" i="15"/>
  <c r="L395" i="15"/>
  <c r="M395" i="15"/>
  <c r="N395" i="15"/>
  <c r="O395" i="15"/>
  <c r="P395" i="15"/>
  <c r="Z395" i="13"/>
  <c r="B388" i="15"/>
  <c r="AA388" i="13" s="1"/>
  <c r="C388" i="15"/>
  <c r="AB388" i="13" s="1"/>
  <c r="D388" i="15"/>
  <c r="AC388" i="13" s="1"/>
  <c r="E388" i="15"/>
  <c r="F388" i="15"/>
  <c r="G388" i="15"/>
  <c r="H388" i="15"/>
  <c r="I388" i="15"/>
  <c r="J388" i="15"/>
  <c r="K388" i="15"/>
  <c r="L388" i="15"/>
  <c r="M388" i="15"/>
  <c r="N388" i="15"/>
  <c r="O388" i="15"/>
  <c r="P388" i="15"/>
  <c r="Z388" i="13"/>
  <c r="B382" i="15"/>
  <c r="AA382" i="13" s="1"/>
  <c r="C382" i="15"/>
  <c r="AB382" i="13" s="1"/>
  <c r="D382" i="15"/>
  <c r="AC382" i="13" s="1"/>
  <c r="E382" i="15"/>
  <c r="F382" i="15"/>
  <c r="G382" i="15"/>
  <c r="H382" i="15"/>
  <c r="I382" i="15"/>
  <c r="J382" i="15"/>
  <c r="K382" i="15"/>
  <c r="L382" i="15"/>
  <c r="M382" i="15"/>
  <c r="N382" i="15"/>
  <c r="O382" i="15"/>
  <c r="P382" i="15"/>
  <c r="Z382" i="13"/>
  <c r="B375" i="15"/>
  <c r="AA375" i="13" s="1"/>
  <c r="C375" i="15"/>
  <c r="AB375" i="13" s="1"/>
  <c r="D375" i="15"/>
  <c r="AC375" i="13" s="1"/>
  <c r="E375" i="15"/>
  <c r="F375" i="15"/>
  <c r="G375" i="15"/>
  <c r="H375" i="15"/>
  <c r="I375" i="15"/>
  <c r="J375" i="15"/>
  <c r="K375" i="15"/>
  <c r="L375" i="15"/>
  <c r="M375" i="15"/>
  <c r="N375" i="15"/>
  <c r="O375" i="15"/>
  <c r="P375" i="15"/>
  <c r="Z375" i="13"/>
  <c r="B374" i="15"/>
  <c r="AA374" i="13" s="1"/>
  <c r="C374" i="15"/>
  <c r="AB374" i="13" s="1"/>
  <c r="D374" i="15"/>
  <c r="AC374" i="13" s="1"/>
  <c r="E374" i="15"/>
  <c r="F374" i="15"/>
  <c r="G374" i="15"/>
  <c r="H374" i="15"/>
  <c r="I374" i="15"/>
  <c r="J374" i="15"/>
  <c r="K374" i="15"/>
  <c r="L374" i="15"/>
  <c r="M374" i="15"/>
  <c r="N374" i="15"/>
  <c r="O374" i="15"/>
  <c r="P374" i="15"/>
  <c r="Z374" i="13"/>
  <c r="B373" i="15"/>
  <c r="AA373" i="13" s="1"/>
  <c r="C373" i="15"/>
  <c r="AB373" i="13" s="1"/>
  <c r="D373" i="15"/>
  <c r="AC373" i="13" s="1"/>
  <c r="E373" i="15"/>
  <c r="F373" i="15"/>
  <c r="G373" i="15"/>
  <c r="H373" i="15"/>
  <c r="I373" i="15"/>
  <c r="J373" i="15"/>
  <c r="K373" i="15"/>
  <c r="L373" i="15"/>
  <c r="M373" i="15"/>
  <c r="N373" i="15"/>
  <c r="O373" i="15"/>
  <c r="P373" i="15"/>
  <c r="Z373" i="13"/>
  <c r="B372" i="15"/>
  <c r="AA372" i="13" s="1"/>
  <c r="C372" i="15"/>
  <c r="AB372" i="13" s="1"/>
  <c r="D372" i="15"/>
  <c r="AC372" i="13" s="1"/>
  <c r="E372" i="15"/>
  <c r="F372" i="15"/>
  <c r="G372" i="15"/>
  <c r="H372" i="15"/>
  <c r="I372" i="15"/>
  <c r="J372" i="15"/>
  <c r="K372" i="15"/>
  <c r="L372" i="15"/>
  <c r="M372" i="15"/>
  <c r="N372" i="15"/>
  <c r="O372" i="15"/>
  <c r="P372" i="15"/>
  <c r="Z372" i="13"/>
  <c r="B371" i="15"/>
  <c r="AA371" i="13" s="1"/>
  <c r="C371" i="15"/>
  <c r="AB371" i="13" s="1"/>
  <c r="D371" i="15"/>
  <c r="AC371" i="13" s="1"/>
  <c r="E371" i="15"/>
  <c r="F371" i="15"/>
  <c r="G371" i="15"/>
  <c r="H371" i="15"/>
  <c r="I371" i="15"/>
  <c r="J371" i="15"/>
  <c r="K371" i="15"/>
  <c r="L371" i="15"/>
  <c r="M371" i="15"/>
  <c r="N371" i="15"/>
  <c r="O371" i="15"/>
  <c r="P371" i="15"/>
  <c r="Z371" i="13"/>
  <c r="B370" i="15"/>
  <c r="AA370" i="13" s="1"/>
  <c r="C370" i="15"/>
  <c r="AB370" i="13" s="1"/>
  <c r="D370" i="15"/>
  <c r="AC370" i="13" s="1"/>
  <c r="E370" i="15"/>
  <c r="F370" i="15"/>
  <c r="G370" i="15"/>
  <c r="H370" i="15"/>
  <c r="I370" i="15"/>
  <c r="J370" i="15"/>
  <c r="K370" i="15"/>
  <c r="L370" i="15"/>
  <c r="M370" i="15"/>
  <c r="N370" i="15"/>
  <c r="O370" i="15"/>
  <c r="P370" i="15"/>
  <c r="Z370" i="13"/>
  <c r="B369" i="15"/>
  <c r="AA369" i="13" s="1"/>
  <c r="C369" i="15"/>
  <c r="AB369" i="13" s="1"/>
  <c r="D369" i="15"/>
  <c r="AC369" i="13" s="1"/>
  <c r="E369" i="15"/>
  <c r="F369" i="15"/>
  <c r="G369" i="15"/>
  <c r="H369" i="15"/>
  <c r="I369" i="15"/>
  <c r="J369" i="15"/>
  <c r="K369" i="15"/>
  <c r="L369" i="15"/>
  <c r="M369" i="15"/>
  <c r="N369" i="15"/>
  <c r="O369" i="15"/>
  <c r="P369" i="15"/>
  <c r="Z369" i="13"/>
  <c r="B368" i="15"/>
  <c r="AA368" i="13" s="1"/>
  <c r="C368" i="15"/>
  <c r="AB368" i="13" s="1"/>
  <c r="D368" i="15"/>
  <c r="AC368" i="13" s="1"/>
  <c r="E368" i="15"/>
  <c r="F368" i="15"/>
  <c r="G368" i="15"/>
  <c r="H368" i="15"/>
  <c r="I368" i="15"/>
  <c r="J368" i="15"/>
  <c r="K368" i="15"/>
  <c r="L368" i="15"/>
  <c r="M368" i="15"/>
  <c r="N368" i="15"/>
  <c r="O368" i="15"/>
  <c r="P368" i="15"/>
  <c r="Z368" i="13"/>
  <c r="B367" i="15"/>
  <c r="AA367" i="13" s="1"/>
  <c r="C367" i="15"/>
  <c r="AB367" i="13" s="1"/>
  <c r="D367" i="15"/>
  <c r="AC367" i="13" s="1"/>
  <c r="E367" i="15"/>
  <c r="F367" i="15"/>
  <c r="G367" i="15"/>
  <c r="H367" i="15"/>
  <c r="I367" i="15"/>
  <c r="J367" i="15"/>
  <c r="K367" i="15"/>
  <c r="L367" i="15"/>
  <c r="M367" i="15"/>
  <c r="N367" i="15"/>
  <c r="O367" i="15"/>
  <c r="P367" i="15"/>
  <c r="Z367" i="13"/>
  <c r="B366" i="15"/>
  <c r="AA366" i="13" s="1"/>
  <c r="C366" i="15"/>
  <c r="AB366" i="13" s="1"/>
  <c r="D366" i="15"/>
  <c r="AC366" i="13" s="1"/>
  <c r="E366" i="15"/>
  <c r="F366" i="15"/>
  <c r="G366" i="15"/>
  <c r="H366" i="15"/>
  <c r="I366" i="15"/>
  <c r="J366" i="15"/>
  <c r="K366" i="15"/>
  <c r="L366" i="15"/>
  <c r="M366" i="15"/>
  <c r="N366" i="15"/>
  <c r="O366" i="15"/>
  <c r="P366" i="15"/>
  <c r="Z366" i="13"/>
  <c r="B365" i="15"/>
  <c r="AA365" i="13" s="1"/>
  <c r="C365" i="15"/>
  <c r="AB365" i="13" s="1"/>
  <c r="D365" i="15"/>
  <c r="AC365" i="13" s="1"/>
  <c r="E365" i="15"/>
  <c r="F365" i="15"/>
  <c r="G365" i="15"/>
  <c r="H365" i="15"/>
  <c r="I365" i="15"/>
  <c r="J365" i="15"/>
  <c r="K365" i="15"/>
  <c r="L365" i="15"/>
  <c r="M365" i="15"/>
  <c r="N365" i="15"/>
  <c r="O365" i="15"/>
  <c r="P365" i="15"/>
  <c r="Z365" i="13"/>
  <c r="B364" i="15"/>
  <c r="AA364" i="13" s="1"/>
  <c r="C364" i="15"/>
  <c r="AB364" i="13" s="1"/>
  <c r="D364" i="15"/>
  <c r="AC364" i="13" s="1"/>
  <c r="E364" i="15"/>
  <c r="F364" i="15"/>
  <c r="G364" i="15"/>
  <c r="H364" i="15"/>
  <c r="I364" i="15"/>
  <c r="J364" i="15"/>
  <c r="K364" i="15"/>
  <c r="L364" i="15"/>
  <c r="M364" i="15"/>
  <c r="N364" i="15"/>
  <c r="O364" i="15"/>
  <c r="P364" i="15"/>
  <c r="Z364" i="13"/>
  <c r="B363" i="15"/>
  <c r="AA363" i="13" s="1"/>
  <c r="C363" i="15"/>
  <c r="AB363" i="13" s="1"/>
  <c r="D363" i="15"/>
  <c r="AC363" i="13" s="1"/>
  <c r="E363" i="15"/>
  <c r="F363" i="15"/>
  <c r="G363" i="15"/>
  <c r="H363" i="15"/>
  <c r="I363" i="15"/>
  <c r="J363" i="15"/>
  <c r="K363" i="15"/>
  <c r="L363" i="15"/>
  <c r="M363" i="15"/>
  <c r="N363" i="15"/>
  <c r="O363" i="15"/>
  <c r="P363" i="15"/>
  <c r="Z363" i="13"/>
  <c r="B362" i="15"/>
  <c r="AA362" i="13" s="1"/>
  <c r="C362" i="15"/>
  <c r="AB362" i="13" s="1"/>
  <c r="D362" i="15"/>
  <c r="AC362" i="13" s="1"/>
  <c r="E362" i="15"/>
  <c r="F362" i="15"/>
  <c r="G362" i="15"/>
  <c r="H362" i="15"/>
  <c r="I362" i="15"/>
  <c r="J362" i="15"/>
  <c r="K362" i="15"/>
  <c r="L362" i="15"/>
  <c r="M362" i="15"/>
  <c r="N362" i="15"/>
  <c r="O362" i="15"/>
  <c r="P362" i="15"/>
  <c r="Z362" i="13"/>
  <c r="B361" i="15"/>
  <c r="AA361" i="13" s="1"/>
  <c r="C361" i="15"/>
  <c r="AB361" i="13" s="1"/>
  <c r="D361" i="15"/>
  <c r="AC361" i="13" s="1"/>
  <c r="E361" i="15"/>
  <c r="F361" i="15"/>
  <c r="G361" i="15"/>
  <c r="H361" i="15"/>
  <c r="I361" i="15"/>
  <c r="J361" i="15"/>
  <c r="K361" i="15"/>
  <c r="L361" i="15"/>
  <c r="M361" i="15"/>
  <c r="N361" i="15"/>
  <c r="O361" i="15"/>
  <c r="P361" i="15"/>
  <c r="Z361" i="13"/>
  <c r="B360" i="15"/>
  <c r="AA360" i="13" s="1"/>
  <c r="C360" i="15"/>
  <c r="AB360" i="13" s="1"/>
  <c r="D360" i="15"/>
  <c r="AC360" i="13" s="1"/>
  <c r="E360" i="15"/>
  <c r="F360" i="15"/>
  <c r="G360" i="15"/>
  <c r="H360" i="15"/>
  <c r="I360" i="15"/>
  <c r="J360" i="15"/>
  <c r="K360" i="15"/>
  <c r="L360" i="15"/>
  <c r="M360" i="15"/>
  <c r="N360" i="15"/>
  <c r="O360" i="15"/>
  <c r="P360" i="15"/>
  <c r="Z360" i="13"/>
  <c r="B359" i="15"/>
  <c r="AA359" i="13" s="1"/>
  <c r="C359" i="15"/>
  <c r="AB359" i="13" s="1"/>
  <c r="D359" i="15"/>
  <c r="AC359" i="13" s="1"/>
  <c r="E359" i="15"/>
  <c r="F359" i="15"/>
  <c r="G359" i="15"/>
  <c r="H359" i="15"/>
  <c r="I359" i="15"/>
  <c r="J359" i="15"/>
  <c r="K359" i="15"/>
  <c r="L359" i="15"/>
  <c r="M359" i="15"/>
  <c r="N359" i="15"/>
  <c r="O359" i="15"/>
  <c r="P359" i="15"/>
  <c r="Z359" i="13"/>
  <c r="B358" i="15"/>
  <c r="AA358" i="13" s="1"/>
  <c r="C358" i="15"/>
  <c r="AB358" i="13" s="1"/>
  <c r="D358" i="15"/>
  <c r="AC358" i="13" s="1"/>
  <c r="E358" i="15"/>
  <c r="F358" i="15"/>
  <c r="G358" i="15"/>
  <c r="H358" i="15"/>
  <c r="I358" i="15"/>
  <c r="J358" i="15"/>
  <c r="K358" i="15"/>
  <c r="L358" i="15"/>
  <c r="M358" i="15"/>
  <c r="N358" i="15"/>
  <c r="O358" i="15"/>
  <c r="P358" i="15"/>
  <c r="Z358" i="13"/>
  <c r="B357" i="15"/>
  <c r="AA357" i="13" s="1"/>
  <c r="C357" i="15"/>
  <c r="AB357" i="13" s="1"/>
  <c r="D357" i="15"/>
  <c r="AC357" i="13" s="1"/>
  <c r="E357" i="15"/>
  <c r="F357" i="15"/>
  <c r="G357" i="15"/>
  <c r="H357" i="15"/>
  <c r="I357" i="15"/>
  <c r="J357" i="15"/>
  <c r="K357" i="15"/>
  <c r="L357" i="15"/>
  <c r="M357" i="15"/>
  <c r="N357" i="15"/>
  <c r="O357" i="15"/>
  <c r="P357" i="15"/>
  <c r="Z357" i="13"/>
  <c r="B356" i="15"/>
  <c r="AA356" i="13" s="1"/>
  <c r="C356" i="15"/>
  <c r="AB356" i="13" s="1"/>
  <c r="D356" i="15"/>
  <c r="AC356" i="13" s="1"/>
  <c r="E356" i="15"/>
  <c r="F356" i="15"/>
  <c r="G356" i="15"/>
  <c r="H356" i="15"/>
  <c r="I356" i="15"/>
  <c r="J356" i="15"/>
  <c r="K356" i="15"/>
  <c r="L356" i="15"/>
  <c r="M356" i="15"/>
  <c r="N356" i="15"/>
  <c r="O356" i="15"/>
  <c r="P356" i="15"/>
  <c r="Z356" i="13"/>
  <c r="B355" i="15"/>
  <c r="AA355" i="13" s="1"/>
  <c r="C355" i="15"/>
  <c r="AB355" i="13" s="1"/>
  <c r="D355" i="15"/>
  <c r="AC355" i="13" s="1"/>
  <c r="E355" i="15"/>
  <c r="F355" i="15"/>
  <c r="G355" i="15"/>
  <c r="H355" i="15"/>
  <c r="I355" i="15"/>
  <c r="J355" i="15"/>
  <c r="K355" i="15"/>
  <c r="L355" i="15"/>
  <c r="M355" i="15"/>
  <c r="N355" i="15"/>
  <c r="O355" i="15"/>
  <c r="P355" i="15"/>
  <c r="Z355" i="13"/>
  <c r="B354" i="15"/>
  <c r="AA354" i="13" s="1"/>
  <c r="C354" i="15"/>
  <c r="AB354" i="13" s="1"/>
  <c r="D354" i="15"/>
  <c r="AC354" i="13" s="1"/>
  <c r="E354" i="15"/>
  <c r="F354" i="15"/>
  <c r="G354" i="15"/>
  <c r="H354" i="15"/>
  <c r="I354" i="15"/>
  <c r="J354" i="15"/>
  <c r="K354" i="15"/>
  <c r="L354" i="15"/>
  <c r="M354" i="15"/>
  <c r="N354" i="15"/>
  <c r="O354" i="15"/>
  <c r="P354" i="15"/>
  <c r="Z354" i="13"/>
  <c r="B353" i="15"/>
  <c r="AA353" i="13" s="1"/>
  <c r="C353" i="15"/>
  <c r="AB353" i="13" s="1"/>
  <c r="D353" i="15"/>
  <c r="AC353" i="13" s="1"/>
  <c r="E353" i="15"/>
  <c r="F353" i="15"/>
  <c r="G353" i="15"/>
  <c r="H353" i="15"/>
  <c r="I353" i="15"/>
  <c r="J353" i="15"/>
  <c r="K353" i="15"/>
  <c r="L353" i="15"/>
  <c r="M353" i="15"/>
  <c r="N353" i="15"/>
  <c r="O353" i="15"/>
  <c r="P353" i="15"/>
  <c r="Z353" i="13"/>
  <c r="B352" i="15"/>
  <c r="AA352" i="13" s="1"/>
  <c r="C352" i="15"/>
  <c r="AB352" i="13" s="1"/>
  <c r="D352" i="15"/>
  <c r="AC352" i="13" s="1"/>
  <c r="E352" i="15"/>
  <c r="F352" i="15"/>
  <c r="G352" i="15"/>
  <c r="H352" i="15"/>
  <c r="I352" i="15"/>
  <c r="J352" i="15"/>
  <c r="K352" i="15"/>
  <c r="L352" i="15"/>
  <c r="M352" i="15"/>
  <c r="N352" i="15"/>
  <c r="O352" i="15"/>
  <c r="P352" i="15"/>
  <c r="Z352" i="13"/>
  <c r="B351" i="15"/>
  <c r="AA351" i="13" s="1"/>
  <c r="C351" i="15"/>
  <c r="AB351" i="13" s="1"/>
  <c r="D351" i="15"/>
  <c r="AC351" i="13" s="1"/>
  <c r="E351" i="15"/>
  <c r="F351" i="15"/>
  <c r="G351" i="15"/>
  <c r="H351" i="15"/>
  <c r="I351" i="15"/>
  <c r="J351" i="15"/>
  <c r="K351" i="15"/>
  <c r="L351" i="15"/>
  <c r="M351" i="15"/>
  <c r="N351" i="15"/>
  <c r="O351" i="15"/>
  <c r="P351" i="15"/>
  <c r="Z351" i="13"/>
  <c r="B350" i="15"/>
  <c r="AA350" i="13" s="1"/>
  <c r="C350" i="15"/>
  <c r="AB350" i="13" s="1"/>
  <c r="D350" i="15"/>
  <c r="AC350" i="13" s="1"/>
  <c r="E350" i="15"/>
  <c r="F350" i="15"/>
  <c r="G350" i="15"/>
  <c r="H350" i="15"/>
  <c r="I350" i="15"/>
  <c r="J350" i="15"/>
  <c r="K350" i="15"/>
  <c r="L350" i="15"/>
  <c r="M350" i="15"/>
  <c r="N350" i="15"/>
  <c r="O350" i="15"/>
  <c r="P350" i="15"/>
  <c r="Z350" i="13"/>
  <c r="B349" i="15"/>
  <c r="AA349" i="13" s="1"/>
  <c r="C349" i="15"/>
  <c r="AB349" i="13" s="1"/>
  <c r="D349" i="15"/>
  <c r="AC349" i="13" s="1"/>
  <c r="E349" i="15"/>
  <c r="F349" i="15"/>
  <c r="G349" i="15"/>
  <c r="H349" i="15"/>
  <c r="I349" i="15"/>
  <c r="J349" i="15"/>
  <c r="K349" i="15"/>
  <c r="L349" i="15"/>
  <c r="M349" i="15"/>
  <c r="N349" i="15"/>
  <c r="O349" i="15"/>
  <c r="P349" i="15"/>
  <c r="Z349" i="13"/>
  <c r="B348" i="15"/>
  <c r="AA348" i="13" s="1"/>
  <c r="C348" i="15"/>
  <c r="AB348" i="13" s="1"/>
  <c r="D348" i="15"/>
  <c r="AC348" i="13" s="1"/>
  <c r="E348" i="15"/>
  <c r="F348" i="15"/>
  <c r="G348" i="15"/>
  <c r="H348" i="15"/>
  <c r="I348" i="15"/>
  <c r="J348" i="15"/>
  <c r="K348" i="15"/>
  <c r="L348" i="15"/>
  <c r="M348" i="15"/>
  <c r="N348" i="15"/>
  <c r="O348" i="15"/>
  <c r="P348" i="15"/>
  <c r="Z348" i="13"/>
  <c r="B347" i="15"/>
  <c r="AA347" i="13" s="1"/>
  <c r="C347" i="15"/>
  <c r="AB347" i="13" s="1"/>
  <c r="D347" i="15"/>
  <c r="AC347" i="13" s="1"/>
  <c r="E347" i="15"/>
  <c r="F347" i="15"/>
  <c r="G347" i="15"/>
  <c r="H347" i="15"/>
  <c r="I347" i="15"/>
  <c r="J347" i="15"/>
  <c r="K347" i="15"/>
  <c r="L347" i="15"/>
  <c r="M347" i="15"/>
  <c r="N347" i="15"/>
  <c r="O347" i="15"/>
  <c r="P347" i="15"/>
  <c r="Z347" i="13"/>
  <c r="B346" i="15"/>
  <c r="AA346" i="13" s="1"/>
  <c r="C346" i="15"/>
  <c r="AB346" i="13" s="1"/>
  <c r="D346" i="15"/>
  <c r="AC346" i="13" s="1"/>
  <c r="E346" i="15"/>
  <c r="F346" i="15"/>
  <c r="G346" i="15"/>
  <c r="H346" i="15"/>
  <c r="I346" i="15"/>
  <c r="J346" i="15"/>
  <c r="K346" i="15"/>
  <c r="L346" i="15"/>
  <c r="M346" i="15"/>
  <c r="N346" i="15"/>
  <c r="O346" i="15"/>
  <c r="P346" i="15"/>
  <c r="Z346" i="13"/>
  <c r="B345" i="15"/>
  <c r="AA345" i="13" s="1"/>
  <c r="C345" i="15"/>
  <c r="AB345" i="13" s="1"/>
  <c r="D345" i="15"/>
  <c r="AC345" i="13" s="1"/>
  <c r="E345" i="15"/>
  <c r="F345" i="15"/>
  <c r="G345" i="15"/>
  <c r="H345" i="15"/>
  <c r="I345" i="15"/>
  <c r="J345" i="15"/>
  <c r="K345" i="15"/>
  <c r="L345" i="15"/>
  <c r="M345" i="15"/>
  <c r="N345" i="15"/>
  <c r="O345" i="15"/>
  <c r="P345" i="15"/>
  <c r="Z345" i="13"/>
  <c r="B344" i="15"/>
  <c r="AA344" i="13" s="1"/>
  <c r="C344" i="15"/>
  <c r="AB344" i="13" s="1"/>
  <c r="D344" i="15"/>
  <c r="AC344" i="13" s="1"/>
  <c r="E344" i="15"/>
  <c r="F344" i="15"/>
  <c r="G344" i="15"/>
  <c r="H344" i="15"/>
  <c r="I344" i="15"/>
  <c r="J344" i="15"/>
  <c r="K344" i="15"/>
  <c r="L344" i="15"/>
  <c r="M344" i="15"/>
  <c r="N344" i="15"/>
  <c r="O344" i="15"/>
  <c r="P344" i="15"/>
  <c r="Z344" i="13"/>
  <c r="B343" i="15"/>
  <c r="AA343" i="13" s="1"/>
  <c r="C343" i="15"/>
  <c r="AB343" i="13" s="1"/>
  <c r="D343" i="15"/>
  <c r="AC343" i="13" s="1"/>
  <c r="E343" i="15"/>
  <c r="F343" i="15"/>
  <c r="G343" i="15"/>
  <c r="H343" i="15"/>
  <c r="I343" i="15"/>
  <c r="J343" i="15"/>
  <c r="K343" i="15"/>
  <c r="L343" i="15"/>
  <c r="M343" i="15"/>
  <c r="N343" i="15"/>
  <c r="O343" i="15"/>
  <c r="P343" i="15"/>
  <c r="Z343" i="13"/>
  <c r="B342" i="15"/>
  <c r="AA342" i="13" s="1"/>
  <c r="C342" i="15"/>
  <c r="AB342" i="13" s="1"/>
  <c r="D342" i="15"/>
  <c r="AC342" i="13" s="1"/>
  <c r="E342" i="15"/>
  <c r="F342" i="15"/>
  <c r="G342" i="15"/>
  <c r="H342" i="15"/>
  <c r="I342" i="15"/>
  <c r="J342" i="15"/>
  <c r="K342" i="15"/>
  <c r="L342" i="15"/>
  <c r="M342" i="15"/>
  <c r="N342" i="15"/>
  <c r="O342" i="15"/>
  <c r="P342" i="15"/>
  <c r="Z342" i="13"/>
  <c r="B341" i="15"/>
  <c r="AA341" i="13" s="1"/>
  <c r="C341" i="15"/>
  <c r="AB341" i="13" s="1"/>
  <c r="D341" i="15"/>
  <c r="AC341" i="13" s="1"/>
  <c r="E341" i="15"/>
  <c r="F341" i="15"/>
  <c r="G341" i="15"/>
  <c r="H341" i="15"/>
  <c r="I341" i="15"/>
  <c r="J341" i="15"/>
  <c r="K341" i="15"/>
  <c r="L341" i="15"/>
  <c r="M341" i="15"/>
  <c r="N341" i="15"/>
  <c r="O341" i="15"/>
  <c r="P341" i="15"/>
  <c r="Z341" i="13"/>
  <c r="B340" i="15"/>
  <c r="AA340" i="13" s="1"/>
  <c r="C340" i="15"/>
  <c r="AB340" i="13" s="1"/>
  <c r="D340" i="15"/>
  <c r="AC340" i="13" s="1"/>
  <c r="E340" i="15"/>
  <c r="F340" i="15"/>
  <c r="G340" i="15"/>
  <c r="H340" i="15"/>
  <c r="I340" i="15"/>
  <c r="J340" i="15"/>
  <c r="K340" i="15"/>
  <c r="L340" i="15"/>
  <c r="M340" i="15"/>
  <c r="N340" i="15"/>
  <c r="O340" i="15"/>
  <c r="P340" i="15"/>
  <c r="Z340" i="13"/>
  <c r="B339" i="15"/>
  <c r="AA339" i="13" s="1"/>
  <c r="C339" i="15"/>
  <c r="AB339" i="13" s="1"/>
  <c r="D339" i="15"/>
  <c r="AC339" i="13" s="1"/>
  <c r="E339" i="15"/>
  <c r="F339" i="15"/>
  <c r="G339" i="15"/>
  <c r="H339" i="15"/>
  <c r="I339" i="15"/>
  <c r="J339" i="15"/>
  <c r="K339" i="15"/>
  <c r="L339" i="15"/>
  <c r="M339" i="15"/>
  <c r="N339" i="15"/>
  <c r="O339" i="15"/>
  <c r="P339" i="15"/>
  <c r="Z339" i="13"/>
  <c r="B338" i="15"/>
  <c r="AA338" i="13" s="1"/>
  <c r="C338" i="15"/>
  <c r="AB338" i="13" s="1"/>
  <c r="D338" i="15"/>
  <c r="AC338" i="13" s="1"/>
  <c r="E338" i="15"/>
  <c r="F338" i="15"/>
  <c r="G338" i="15"/>
  <c r="H338" i="15"/>
  <c r="I338" i="15"/>
  <c r="J338" i="15"/>
  <c r="K338" i="15"/>
  <c r="L338" i="15"/>
  <c r="M338" i="15"/>
  <c r="N338" i="15"/>
  <c r="O338" i="15"/>
  <c r="P338" i="15"/>
  <c r="Z338" i="13"/>
  <c r="B337" i="15"/>
  <c r="AA337" i="13" s="1"/>
  <c r="C337" i="15"/>
  <c r="AB337" i="13" s="1"/>
  <c r="D337" i="15"/>
  <c r="AC337" i="13" s="1"/>
  <c r="E337" i="15"/>
  <c r="F337" i="15"/>
  <c r="G337" i="15"/>
  <c r="H337" i="15"/>
  <c r="I337" i="15"/>
  <c r="J337" i="15"/>
  <c r="K337" i="15"/>
  <c r="L337" i="15"/>
  <c r="M337" i="15"/>
  <c r="N337" i="15"/>
  <c r="O337" i="15"/>
  <c r="P337" i="15"/>
  <c r="Z337" i="13"/>
  <c r="B336" i="15"/>
  <c r="AA336" i="13" s="1"/>
  <c r="C336" i="15"/>
  <c r="AB336" i="13" s="1"/>
  <c r="D336" i="15"/>
  <c r="AC336" i="13" s="1"/>
  <c r="E336" i="15"/>
  <c r="F336" i="15"/>
  <c r="G336" i="15"/>
  <c r="H336" i="15"/>
  <c r="I336" i="15"/>
  <c r="J336" i="15"/>
  <c r="K336" i="15"/>
  <c r="L336" i="15"/>
  <c r="M336" i="15"/>
  <c r="N336" i="15"/>
  <c r="O336" i="15"/>
  <c r="P336" i="15"/>
  <c r="Z336" i="13"/>
  <c r="B335" i="15"/>
  <c r="AA335" i="13" s="1"/>
  <c r="C335" i="15"/>
  <c r="AB335" i="13" s="1"/>
  <c r="D335" i="15"/>
  <c r="AC335" i="13" s="1"/>
  <c r="E335" i="15"/>
  <c r="F335" i="15"/>
  <c r="G335" i="15"/>
  <c r="H335" i="15"/>
  <c r="I335" i="15"/>
  <c r="J335" i="15"/>
  <c r="K335" i="15"/>
  <c r="L335" i="15"/>
  <c r="M335" i="15"/>
  <c r="N335" i="15"/>
  <c r="O335" i="15"/>
  <c r="P335" i="15"/>
  <c r="Z335" i="13"/>
  <c r="B334" i="15"/>
  <c r="AA334" i="13" s="1"/>
  <c r="C334" i="15"/>
  <c r="AB334" i="13" s="1"/>
  <c r="D334" i="15"/>
  <c r="AC334" i="13" s="1"/>
  <c r="E334" i="15"/>
  <c r="F334" i="15"/>
  <c r="G334" i="15"/>
  <c r="H334" i="15"/>
  <c r="I334" i="15"/>
  <c r="J334" i="15"/>
  <c r="K334" i="15"/>
  <c r="L334" i="15"/>
  <c r="M334" i="15"/>
  <c r="N334" i="15"/>
  <c r="O334" i="15"/>
  <c r="P334" i="15"/>
  <c r="Z334" i="13"/>
  <c r="B333" i="15"/>
  <c r="AA333" i="13" s="1"/>
  <c r="C333" i="15"/>
  <c r="AB333" i="13" s="1"/>
  <c r="D333" i="15"/>
  <c r="AC333" i="13" s="1"/>
  <c r="E333" i="15"/>
  <c r="F333" i="15"/>
  <c r="G333" i="15"/>
  <c r="H333" i="15"/>
  <c r="I333" i="15"/>
  <c r="J333" i="15"/>
  <c r="K333" i="15"/>
  <c r="L333" i="15"/>
  <c r="M333" i="15"/>
  <c r="N333" i="15"/>
  <c r="O333" i="15"/>
  <c r="P333" i="15"/>
  <c r="Z333" i="13"/>
  <c r="B585" i="15"/>
  <c r="AA585" i="13" s="1"/>
  <c r="C585" i="15"/>
  <c r="AB585" i="13" s="1"/>
  <c r="D585" i="15"/>
  <c r="AC585" i="13" s="1"/>
  <c r="E585" i="15"/>
  <c r="F585" i="15"/>
  <c r="G585" i="15"/>
  <c r="H585" i="15"/>
  <c r="I585" i="15"/>
  <c r="J585" i="15"/>
  <c r="K585" i="15"/>
  <c r="L585" i="15"/>
  <c r="M585" i="15"/>
  <c r="N585" i="15"/>
  <c r="O585" i="15"/>
  <c r="P585" i="15"/>
  <c r="Z585" i="13"/>
  <c r="B305" i="15"/>
  <c r="AA305" i="13" s="1"/>
  <c r="C305" i="15"/>
  <c r="AB305" i="13" s="1"/>
  <c r="D305" i="15"/>
  <c r="AC305" i="13" s="1"/>
  <c r="E305" i="15"/>
  <c r="F305" i="15"/>
  <c r="G305" i="15"/>
  <c r="H305" i="15"/>
  <c r="I305" i="15"/>
  <c r="J305" i="15"/>
  <c r="K305" i="15"/>
  <c r="L305" i="15"/>
  <c r="M305" i="15"/>
  <c r="N305" i="15"/>
  <c r="O305" i="15"/>
  <c r="P305" i="15"/>
  <c r="Z305" i="13"/>
  <c r="B606" i="15"/>
  <c r="AA606" i="13" s="1"/>
  <c r="C606" i="15"/>
  <c r="AB606" i="13" s="1"/>
  <c r="D606" i="15"/>
  <c r="AC606" i="13" s="1"/>
  <c r="E606" i="15"/>
  <c r="F606" i="15"/>
  <c r="G606" i="15"/>
  <c r="H606" i="15"/>
  <c r="I606" i="15"/>
  <c r="J606" i="15"/>
  <c r="K606" i="15"/>
  <c r="L606" i="15"/>
  <c r="M606" i="15"/>
  <c r="N606" i="15"/>
  <c r="O606" i="15"/>
  <c r="P606" i="15"/>
  <c r="Z606" i="13"/>
  <c r="B611" i="15"/>
  <c r="AA611" i="13" s="1"/>
  <c r="C611" i="15"/>
  <c r="AB611" i="13" s="1"/>
  <c r="D611" i="15"/>
  <c r="AC611" i="13" s="1"/>
  <c r="E611" i="15"/>
  <c r="F611" i="15"/>
  <c r="G611" i="15"/>
  <c r="H611" i="15"/>
  <c r="I611" i="15"/>
  <c r="J611" i="15"/>
  <c r="K611" i="15"/>
  <c r="L611" i="15"/>
  <c r="M611" i="15"/>
  <c r="N611" i="15"/>
  <c r="O611" i="15"/>
  <c r="P611" i="15"/>
  <c r="Z611" i="13"/>
  <c r="B618" i="15"/>
  <c r="AA618" i="13" s="1"/>
  <c r="C618" i="15"/>
  <c r="AB618" i="13" s="1"/>
  <c r="D618" i="15"/>
  <c r="AC618" i="13" s="1"/>
  <c r="E618" i="15"/>
  <c r="F618" i="15"/>
  <c r="G618" i="15"/>
  <c r="H618" i="15"/>
  <c r="I618" i="15"/>
  <c r="J618" i="15"/>
  <c r="K618" i="15"/>
  <c r="L618" i="15"/>
  <c r="M618" i="15"/>
  <c r="N618" i="15"/>
  <c r="O618" i="15"/>
  <c r="P618" i="15"/>
  <c r="Z618" i="13"/>
  <c r="B625" i="15"/>
  <c r="AA625" i="13" s="1"/>
  <c r="C625" i="15"/>
  <c r="AB625" i="13" s="1"/>
  <c r="D625" i="15"/>
  <c r="AC625" i="13" s="1"/>
  <c r="E625" i="15"/>
  <c r="F625" i="15"/>
  <c r="G625" i="15"/>
  <c r="H625" i="15"/>
  <c r="I625" i="15"/>
  <c r="J625" i="15"/>
  <c r="K625" i="15"/>
  <c r="L625" i="15"/>
  <c r="M625" i="15"/>
  <c r="N625" i="15"/>
  <c r="O625" i="15"/>
  <c r="P625" i="15"/>
  <c r="Z625" i="13"/>
  <c r="B632" i="15"/>
  <c r="AA632" i="13" s="1"/>
  <c r="C632" i="15"/>
  <c r="AB632" i="13" s="1"/>
  <c r="D632" i="15"/>
  <c r="AC632" i="13" s="1"/>
  <c r="E632" i="15"/>
  <c r="F632" i="15"/>
  <c r="G632" i="15"/>
  <c r="H632" i="15"/>
  <c r="I632" i="15"/>
  <c r="J632" i="15"/>
  <c r="K632" i="15"/>
  <c r="L632" i="15"/>
  <c r="M632" i="15"/>
  <c r="N632" i="15"/>
  <c r="O632" i="15"/>
  <c r="P632" i="15"/>
  <c r="Z632" i="13"/>
  <c r="B639" i="15"/>
  <c r="AA639" i="13" s="1"/>
  <c r="C639" i="15"/>
  <c r="AB639" i="13" s="1"/>
  <c r="D639" i="15"/>
  <c r="AC639" i="13" s="1"/>
  <c r="E639" i="15"/>
  <c r="F639" i="15"/>
  <c r="G639" i="15"/>
  <c r="H639" i="15"/>
  <c r="I639" i="15"/>
  <c r="J639" i="15"/>
  <c r="K639" i="15"/>
  <c r="L639" i="15"/>
  <c r="M639" i="15"/>
  <c r="N639" i="15"/>
  <c r="O639" i="15"/>
  <c r="P639" i="15"/>
  <c r="Z639" i="13"/>
  <c r="B646" i="15"/>
  <c r="AA646" i="13" s="1"/>
  <c r="C646" i="15"/>
  <c r="AB646" i="13" s="1"/>
  <c r="D646" i="15"/>
  <c r="AC646" i="13" s="1"/>
  <c r="E646" i="15"/>
  <c r="F646" i="15"/>
  <c r="G646" i="15"/>
  <c r="H646" i="15"/>
  <c r="I646" i="15"/>
  <c r="J646" i="15"/>
  <c r="K646" i="15"/>
  <c r="L646" i="15"/>
  <c r="M646" i="15"/>
  <c r="N646" i="15"/>
  <c r="O646" i="15"/>
  <c r="P646" i="15"/>
  <c r="Z646" i="13"/>
  <c r="B651" i="15"/>
  <c r="AA651" i="13" s="1"/>
  <c r="C651" i="15"/>
  <c r="AB651" i="13" s="1"/>
  <c r="D651" i="15"/>
  <c r="AC651" i="13" s="1"/>
  <c r="E651" i="15"/>
  <c r="F651" i="15"/>
  <c r="G651" i="15"/>
  <c r="H651" i="15"/>
  <c r="I651" i="15"/>
  <c r="J651" i="15"/>
  <c r="K651" i="15"/>
  <c r="L651" i="15"/>
  <c r="M651" i="15"/>
  <c r="N651" i="15"/>
  <c r="O651" i="15"/>
  <c r="P651" i="15"/>
  <c r="Z651" i="13"/>
  <c r="B658" i="15"/>
  <c r="AA658" i="13" s="1"/>
  <c r="C658" i="15"/>
  <c r="AB658" i="13" s="1"/>
  <c r="D658" i="15"/>
  <c r="AC658" i="13" s="1"/>
  <c r="E658" i="15"/>
  <c r="F658" i="15"/>
  <c r="G658" i="15"/>
  <c r="H658" i="15"/>
  <c r="I658" i="15"/>
  <c r="J658" i="15"/>
  <c r="K658" i="15"/>
  <c r="L658" i="15"/>
  <c r="M658" i="15"/>
  <c r="N658" i="15"/>
  <c r="O658" i="15"/>
  <c r="P658" i="15"/>
  <c r="Z658" i="13"/>
  <c r="B663" i="15"/>
  <c r="AA663" i="13" s="1"/>
  <c r="C663" i="15"/>
  <c r="AB663" i="13" s="1"/>
  <c r="D663" i="15"/>
  <c r="AC663" i="13" s="1"/>
  <c r="E663" i="15"/>
  <c r="F663" i="15"/>
  <c r="G663" i="15"/>
  <c r="H663" i="15"/>
  <c r="I663" i="15"/>
  <c r="J663" i="15"/>
  <c r="K663" i="15"/>
  <c r="L663" i="15"/>
  <c r="M663" i="15"/>
  <c r="N663" i="15"/>
  <c r="O663" i="15"/>
  <c r="P663" i="15"/>
  <c r="Z663" i="13"/>
  <c r="B664" i="15"/>
  <c r="AA664" i="13" s="1"/>
  <c r="C664" i="15"/>
  <c r="AB664" i="13" s="1"/>
  <c r="D664" i="15"/>
  <c r="AC664" i="13" s="1"/>
  <c r="E664" i="15"/>
  <c r="F664" i="15"/>
  <c r="G664" i="15"/>
  <c r="H664" i="15"/>
  <c r="I664" i="15"/>
  <c r="J664" i="15"/>
  <c r="K664" i="15"/>
  <c r="L664" i="15"/>
  <c r="M664" i="15"/>
  <c r="N664" i="15"/>
  <c r="O664" i="15"/>
  <c r="P664" i="15"/>
  <c r="Z664" i="13"/>
  <c r="B665" i="15"/>
  <c r="AA665" i="13" s="1"/>
  <c r="C665" i="15"/>
  <c r="AB665" i="13" s="1"/>
  <c r="D665" i="15"/>
  <c r="AC665" i="13" s="1"/>
  <c r="E665" i="15"/>
  <c r="F665" i="15"/>
  <c r="G665" i="15"/>
  <c r="H665" i="15"/>
  <c r="I665" i="15"/>
  <c r="J665" i="15"/>
  <c r="K665" i="15"/>
  <c r="L665" i="15"/>
  <c r="M665" i="15"/>
  <c r="N665" i="15"/>
  <c r="O665" i="15"/>
  <c r="P665" i="15"/>
  <c r="Z665" i="13"/>
  <c r="AT11" i="13"/>
  <c r="AT7" i="13"/>
  <c r="AT10" i="13"/>
  <c r="AT8" i="13"/>
  <c r="AT6" i="13"/>
  <c r="AT9" i="13"/>
  <c r="AT3" i="13"/>
  <c r="AT4" i="13"/>
  <c r="AT5" i="13"/>
  <c r="AT2" i="13"/>
  <c r="AV1001" i="13"/>
  <c r="AE1001" i="13" l="1"/>
  <c r="AG1001" i="13"/>
  <c r="AI1001" i="13"/>
  <c r="AH1001" i="13"/>
  <c r="AD1001" i="13"/>
  <c r="AJ1001" i="13" s="1"/>
  <c r="U4" i="15"/>
  <c r="S3" i="15"/>
  <c r="U7" i="15"/>
  <c r="S6" i="15"/>
  <c r="S4" i="15"/>
  <c r="B21" i="13"/>
  <c r="B20" i="13"/>
  <c r="D19" i="13"/>
  <c r="G23" i="13"/>
  <c r="G20" i="13"/>
  <c r="G19" i="13"/>
  <c r="I22" i="13"/>
  <c r="G24" i="13"/>
  <c r="AD303" i="13"/>
  <c r="AJ303" i="13" s="1"/>
  <c r="AE303" i="13"/>
  <c r="AG303" i="13"/>
  <c r="AH303" i="13"/>
  <c r="AI303" i="13"/>
  <c r="AD301" i="13"/>
  <c r="AJ301" i="13" s="1"/>
  <c r="AE301" i="13"/>
  <c r="AG301" i="13"/>
  <c r="AH301" i="13"/>
  <c r="AI301" i="13"/>
  <c r="AD302" i="13"/>
  <c r="AJ302" i="13" s="1"/>
  <c r="AE302" i="13"/>
  <c r="AG302" i="13"/>
  <c r="AH302" i="13"/>
  <c r="AI302" i="13"/>
  <c r="AD300" i="13"/>
  <c r="AJ300" i="13" s="1"/>
  <c r="AE300" i="13"/>
  <c r="AG300" i="13"/>
  <c r="AH300" i="13"/>
  <c r="AI300" i="13"/>
  <c r="AD304" i="13"/>
  <c r="AJ304" i="13" s="1"/>
  <c r="AE304" i="13"/>
  <c r="AG304" i="13"/>
  <c r="AH304" i="13"/>
  <c r="AI304" i="13"/>
  <c r="AD669" i="13"/>
  <c r="AJ669" i="13" s="1"/>
  <c r="AE669" i="13"/>
  <c r="AG669" i="13"/>
  <c r="AH669" i="13"/>
  <c r="AI669" i="13"/>
  <c r="AD572" i="13"/>
  <c r="AJ572" i="13" s="1"/>
  <c r="AE572" i="13"/>
  <c r="AG572" i="13"/>
  <c r="AH572" i="13"/>
  <c r="AI572" i="13"/>
  <c r="AD413" i="13"/>
  <c r="AJ413" i="13" s="1"/>
  <c r="AE413" i="13"/>
  <c r="AG413" i="13"/>
  <c r="AH413" i="13"/>
  <c r="AI413" i="13"/>
  <c r="AD411" i="13"/>
  <c r="AJ411" i="13" s="1"/>
  <c r="AE411" i="13"/>
  <c r="AG411" i="13"/>
  <c r="AH411" i="13"/>
  <c r="AI411" i="13"/>
  <c r="AD408" i="13"/>
  <c r="AJ408" i="13" s="1"/>
  <c r="AE408" i="13"/>
  <c r="AG408" i="13"/>
  <c r="AH408" i="13"/>
  <c r="AI408" i="13"/>
  <c r="AD406" i="13"/>
  <c r="AJ406" i="13" s="1"/>
  <c r="AE406" i="13"/>
  <c r="AG406" i="13"/>
  <c r="AH406" i="13"/>
  <c r="AI406" i="13"/>
  <c r="AD404" i="13"/>
  <c r="AJ404" i="13" s="1"/>
  <c r="AE404" i="13"/>
  <c r="AG404" i="13"/>
  <c r="AH404" i="13"/>
  <c r="AI404" i="13"/>
  <c r="AD401" i="13"/>
  <c r="AJ401" i="13" s="1"/>
  <c r="AE401" i="13"/>
  <c r="AG401" i="13"/>
  <c r="AH401" i="13"/>
  <c r="AI401" i="13"/>
  <c r="AD399" i="13"/>
  <c r="AJ399" i="13" s="1"/>
  <c r="AE399" i="13"/>
  <c r="AG399" i="13"/>
  <c r="AH399" i="13"/>
  <c r="AI399" i="13"/>
  <c r="AD397" i="13"/>
  <c r="AJ397" i="13" s="1"/>
  <c r="AE397" i="13"/>
  <c r="AG397" i="13"/>
  <c r="AH397" i="13"/>
  <c r="AI397" i="13"/>
  <c r="AD394" i="13"/>
  <c r="AJ394" i="13" s="1"/>
  <c r="AE394" i="13"/>
  <c r="AG394" i="13"/>
  <c r="AH394" i="13"/>
  <c r="AI394" i="13"/>
  <c r="AD391" i="13"/>
  <c r="AJ391" i="13" s="1"/>
  <c r="AE391" i="13"/>
  <c r="AG391" i="13"/>
  <c r="AH391" i="13"/>
  <c r="AI391" i="13"/>
  <c r="AD389" i="13"/>
  <c r="AJ389" i="13" s="1"/>
  <c r="AE389" i="13"/>
  <c r="AG389" i="13"/>
  <c r="AH389" i="13"/>
  <c r="AI389" i="13"/>
  <c r="AD386" i="13"/>
  <c r="AJ386" i="13" s="1"/>
  <c r="AE386" i="13"/>
  <c r="AG386" i="13"/>
  <c r="AH386" i="13"/>
  <c r="AI386" i="13"/>
  <c r="AD384" i="13"/>
  <c r="AJ384" i="13" s="1"/>
  <c r="AE384" i="13"/>
  <c r="AG384" i="13"/>
  <c r="AH384" i="13"/>
  <c r="AI384" i="13"/>
  <c r="AD381" i="13"/>
  <c r="AJ381" i="13" s="1"/>
  <c r="AE381" i="13"/>
  <c r="AG381" i="13"/>
  <c r="AH381" i="13"/>
  <c r="AI381" i="13"/>
  <c r="AD378" i="13"/>
  <c r="AJ378" i="13" s="1"/>
  <c r="AE378" i="13"/>
  <c r="AG378" i="13"/>
  <c r="AH378" i="13"/>
  <c r="AI378" i="13"/>
  <c r="AD376" i="13"/>
  <c r="AJ376" i="13" s="1"/>
  <c r="AE376" i="13"/>
  <c r="AG376" i="13"/>
  <c r="AH376" i="13"/>
  <c r="AI376" i="13"/>
  <c r="AD297" i="13"/>
  <c r="AJ297" i="13" s="1"/>
  <c r="AE297" i="13"/>
  <c r="AG297" i="13"/>
  <c r="AH297" i="13"/>
  <c r="AI297" i="13"/>
  <c r="AD296" i="13"/>
  <c r="AJ296" i="13" s="1"/>
  <c r="AE296" i="13"/>
  <c r="AG296" i="13"/>
  <c r="AH296" i="13"/>
  <c r="AI296" i="13"/>
  <c r="AD293" i="13"/>
  <c r="AJ293" i="13" s="1"/>
  <c r="AE293" i="13"/>
  <c r="AG293" i="13"/>
  <c r="AH293" i="13"/>
  <c r="AI293" i="13"/>
  <c r="AD291" i="13"/>
  <c r="AJ291" i="13" s="1"/>
  <c r="AE291" i="13"/>
  <c r="AG291" i="13"/>
  <c r="AH291" i="13"/>
  <c r="AI291" i="13"/>
  <c r="AD289" i="13"/>
  <c r="AJ289" i="13" s="1"/>
  <c r="AE289" i="13"/>
  <c r="AG289" i="13"/>
  <c r="AH289" i="13"/>
  <c r="AI289" i="13"/>
  <c r="AD287" i="13"/>
  <c r="AJ287" i="13" s="1"/>
  <c r="AE287" i="13"/>
  <c r="AG287" i="13"/>
  <c r="AH287" i="13"/>
  <c r="AI287" i="13"/>
  <c r="AD286" i="13"/>
  <c r="AJ286" i="13" s="1"/>
  <c r="AE286" i="13"/>
  <c r="AG286" i="13"/>
  <c r="AH286" i="13"/>
  <c r="AI286" i="13"/>
  <c r="AD285" i="13"/>
  <c r="AJ285" i="13" s="1"/>
  <c r="AE285" i="13"/>
  <c r="AG285" i="13"/>
  <c r="AH285" i="13"/>
  <c r="AI285" i="13"/>
  <c r="AD284" i="13"/>
  <c r="AJ284" i="13" s="1"/>
  <c r="AE284" i="13"/>
  <c r="AG284" i="13"/>
  <c r="AH284" i="13"/>
  <c r="AI284" i="13"/>
  <c r="AD283" i="13"/>
  <c r="AJ283" i="13" s="1"/>
  <c r="AE283" i="13"/>
  <c r="AG283" i="13"/>
  <c r="AH283" i="13"/>
  <c r="AI283" i="13"/>
  <c r="AD282" i="13"/>
  <c r="AJ282" i="13" s="1"/>
  <c r="AE282" i="13"/>
  <c r="AG282" i="13"/>
  <c r="AH282" i="13"/>
  <c r="AI282" i="13"/>
  <c r="AD281" i="13"/>
  <c r="AJ281" i="13" s="1"/>
  <c r="AE281" i="13"/>
  <c r="AG281" i="13"/>
  <c r="AH281" i="13"/>
  <c r="AI281" i="13"/>
  <c r="AD280" i="13"/>
  <c r="AJ280" i="13" s="1"/>
  <c r="AE280" i="13"/>
  <c r="AG280" i="13"/>
  <c r="AH280" i="13"/>
  <c r="AI280" i="13"/>
  <c r="AD279" i="13"/>
  <c r="AJ279" i="13" s="1"/>
  <c r="AE279" i="13"/>
  <c r="AG279" i="13"/>
  <c r="AH279" i="13"/>
  <c r="AI279" i="13"/>
  <c r="AD278" i="13"/>
  <c r="AJ278" i="13" s="1"/>
  <c r="AE278" i="13"/>
  <c r="AG278" i="13"/>
  <c r="AH278" i="13"/>
  <c r="AI278" i="13"/>
  <c r="AD277" i="13"/>
  <c r="AJ277" i="13" s="1"/>
  <c r="AE277" i="13"/>
  <c r="AG277" i="13"/>
  <c r="AH277" i="13"/>
  <c r="AI277" i="13"/>
  <c r="AD276" i="13"/>
  <c r="AJ276" i="13" s="1"/>
  <c r="AE276" i="13"/>
  <c r="AG276" i="13"/>
  <c r="AH276" i="13"/>
  <c r="AI276" i="13"/>
  <c r="AD275" i="13"/>
  <c r="AJ275" i="13" s="1"/>
  <c r="AE275" i="13"/>
  <c r="AG275" i="13"/>
  <c r="AH275" i="13"/>
  <c r="AI275" i="13"/>
  <c r="AD274" i="13"/>
  <c r="AJ274" i="13" s="1"/>
  <c r="AE274" i="13"/>
  <c r="AG274" i="13"/>
  <c r="AH274" i="13"/>
  <c r="AI274" i="13"/>
  <c r="AD273" i="13"/>
  <c r="AJ273" i="13" s="1"/>
  <c r="AE273" i="13"/>
  <c r="AG273" i="13"/>
  <c r="AH273" i="13"/>
  <c r="AI273" i="13"/>
  <c r="AD272" i="13"/>
  <c r="AJ272" i="13" s="1"/>
  <c r="AE272" i="13"/>
  <c r="AG272" i="13"/>
  <c r="AH272" i="13"/>
  <c r="AI272" i="13"/>
  <c r="AD271" i="13"/>
  <c r="AJ271" i="13" s="1"/>
  <c r="AE271" i="13"/>
  <c r="AG271" i="13"/>
  <c r="AH271" i="13"/>
  <c r="AI271" i="13"/>
  <c r="AD270" i="13"/>
  <c r="AJ270" i="13" s="1"/>
  <c r="AE270" i="13"/>
  <c r="AG270" i="13"/>
  <c r="AH270" i="13"/>
  <c r="AI270" i="13"/>
  <c r="AD269" i="13"/>
  <c r="AJ269" i="13" s="1"/>
  <c r="AE269" i="13"/>
  <c r="AG269" i="13"/>
  <c r="AH269" i="13"/>
  <c r="AI269" i="13"/>
  <c r="AD268" i="13"/>
  <c r="AJ268" i="13" s="1"/>
  <c r="AE268" i="13"/>
  <c r="AG268" i="13"/>
  <c r="AH268" i="13"/>
  <c r="AI268" i="13"/>
  <c r="AD267" i="13"/>
  <c r="AJ267" i="13" s="1"/>
  <c r="AE267" i="13"/>
  <c r="AG267" i="13"/>
  <c r="AH267" i="13"/>
  <c r="AI267" i="13"/>
  <c r="AD266" i="13"/>
  <c r="AJ266" i="13" s="1"/>
  <c r="AE266" i="13"/>
  <c r="AG266" i="13"/>
  <c r="AH266" i="13"/>
  <c r="AI266" i="13"/>
  <c r="AD265" i="13"/>
  <c r="AJ265" i="13" s="1"/>
  <c r="AE265" i="13"/>
  <c r="AG265" i="13"/>
  <c r="AH265" i="13"/>
  <c r="AI265" i="13"/>
  <c r="AD264" i="13"/>
  <c r="AJ264" i="13" s="1"/>
  <c r="AE264" i="13"/>
  <c r="AG264" i="13"/>
  <c r="AH264" i="13"/>
  <c r="AI264" i="13"/>
  <c r="AD263" i="13"/>
  <c r="AJ263" i="13" s="1"/>
  <c r="AE263" i="13"/>
  <c r="AG263" i="13"/>
  <c r="AH263" i="13"/>
  <c r="AI263" i="13"/>
  <c r="AD262" i="13"/>
  <c r="AJ262" i="13" s="1"/>
  <c r="AE262" i="13"/>
  <c r="AG262" i="13"/>
  <c r="AH262" i="13"/>
  <c r="AI262" i="13"/>
  <c r="AD261" i="13"/>
  <c r="AJ261" i="13" s="1"/>
  <c r="AE261" i="13"/>
  <c r="AG261" i="13"/>
  <c r="AH261" i="13"/>
  <c r="AI261" i="13"/>
  <c r="AD260" i="13"/>
  <c r="AJ260" i="13" s="1"/>
  <c r="AE260" i="13"/>
  <c r="AG260" i="13"/>
  <c r="AH260" i="13"/>
  <c r="AI260" i="13"/>
  <c r="AD259" i="13"/>
  <c r="AJ259" i="13" s="1"/>
  <c r="AE259" i="13"/>
  <c r="AG259" i="13"/>
  <c r="AH259" i="13"/>
  <c r="AI259" i="13"/>
  <c r="AD258" i="13"/>
  <c r="AJ258" i="13" s="1"/>
  <c r="AE258" i="13"/>
  <c r="AG258" i="13"/>
  <c r="AH258" i="13"/>
  <c r="AI258" i="13"/>
  <c r="AD257" i="13"/>
  <c r="AJ257" i="13" s="1"/>
  <c r="AE257" i="13"/>
  <c r="AG257" i="13"/>
  <c r="AH257" i="13"/>
  <c r="AI257" i="13"/>
  <c r="AD256" i="13"/>
  <c r="AJ256" i="13" s="1"/>
  <c r="AE256" i="13"/>
  <c r="AG256" i="13"/>
  <c r="AH256" i="13"/>
  <c r="AI256" i="13"/>
  <c r="AD255" i="13"/>
  <c r="AJ255" i="13" s="1"/>
  <c r="AE255" i="13"/>
  <c r="AG255" i="13"/>
  <c r="AH255" i="13"/>
  <c r="AI255" i="13"/>
  <c r="AD254" i="13"/>
  <c r="AJ254" i="13" s="1"/>
  <c r="AE254" i="13"/>
  <c r="AG254" i="13"/>
  <c r="AH254" i="13"/>
  <c r="AI254" i="13"/>
  <c r="AD253" i="13"/>
  <c r="AJ253" i="13" s="1"/>
  <c r="AE253" i="13"/>
  <c r="AG253" i="13"/>
  <c r="AH253" i="13"/>
  <c r="AI253" i="13"/>
  <c r="AD252" i="13"/>
  <c r="AJ252" i="13" s="1"/>
  <c r="AE252" i="13"/>
  <c r="AG252" i="13"/>
  <c r="AH252" i="13"/>
  <c r="AI252" i="13"/>
  <c r="AD306" i="13"/>
  <c r="AJ306" i="13" s="1"/>
  <c r="AE306" i="13"/>
  <c r="AG306" i="13"/>
  <c r="AH306" i="13"/>
  <c r="AI306" i="13"/>
  <c r="AG970" i="13"/>
  <c r="AH970" i="13"/>
  <c r="AE970" i="13"/>
  <c r="AD970" i="13"/>
  <c r="AJ970" i="13" s="1"/>
  <c r="AI970" i="13"/>
  <c r="AE962" i="13"/>
  <c r="AG962" i="13"/>
  <c r="AH962" i="13"/>
  <c r="AI962" i="13"/>
  <c r="AD962" i="13"/>
  <c r="AJ962" i="13" s="1"/>
  <c r="AI953" i="13"/>
  <c r="AD953" i="13"/>
  <c r="AJ953" i="13" s="1"/>
  <c r="AE953" i="13"/>
  <c r="AG953" i="13"/>
  <c r="AH953" i="13"/>
  <c r="AD582" i="13"/>
  <c r="AJ582" i="13" s="1"/>
  <c r="AE582" i="13"/>
  <c r="AG582" i="13"/>
  <c r="AH582" i="13"/>
  <c r="AI582" i="13"/>
  <c r="AD577" i="13"/>
  <c r="AJ577" i="13" s="1"/>
  <c r="AE577" i="13"/>
  <c r="AG577" i="13"/>
  <c r="AH577" i="13"/>
  <c r="AI577" i="13"/>
  <c r="AD574" i="13"/>
  <c r="AJ574" i="13" s="1"/>
  <c r="AE574" i="13"/>
  <c r="AG574" i="13"/>
  <c r="AH574" i="13"/>
  <c r="AI574" i="13"/>
  <c r="AD562" i="13"/>
  <c r="AJ562" i="13" s="1"/>
  <c r="AE562" i="13"/>
  <c r="AG562" i="13"/>
  <c r="AH562" i="13"/>
  <c r="AI562" i="13"/>
  <c r="AD559" i="13"/>
  <c r="AJ559" i="13" s="1"/>
  <c r="AE559" i="13"/>
  <c r="AG559" i="13"/>
  <c r="AH559" i="13"/>
  <c r="AI559" i="13"/>
  <c r="AD543" i="13"/>
  <c r="AJ543" i="13" s="1"/>
  <c r="AE543" i="13"/>
  <c r="AG543" i="13"/>
  <c r="AH543" i="13"/>
  <c r="AI543" i="13"/>
  <c r="AD536" i="13"/>
  <c r="AJ536" i="13" s="1"/>
  <c r="AE536" i="13"/>
  <c r="AG536" i="13"/>
  <c r="AH536" i="13"/>
  <c r="AI536" i="13"/>
  <c r="AD522" i="13"/>
  <c r="AJ522" i="13" s="1"/>
  <c r="AE522" i="13"/>
  <c r="AG522" i="13"/>
  <c r="AH522" i="13"/>
  <c r="AI522" i="13"/>
  <c r="AD494" i="13"/>
  <c r="AJ494" i="13" s="1"/>
  <c r="AE494" i="13"/>
  <c r="AG494" i="13"/>
  <c r="AH494" i="13"/>
  <c r="AI494" i="13"/>
  <c r="AD487" i="13"/>
  <c r="AJ487" i="13" s="1"/>
  <c r="AE487" i="13"/>
  <c r="AG487" i="13"/>
  <c r="AH487" i="13"/>
  <c r="AI487" i="13"/>
  <c r="AD457" i="13"/>
  <c r="AJ457" i="13" s="1"/>
  <c r="AE457" i="13"/>
  <c r="AG457" i="13"/>
  <c r="AH457" i="13"/>
  <c r="AI457" i="13"/>
  <c r="AD447" i="13"/>
  <c r="AJ447" i="13" s="1"/>
  <c r="AE447" i="13"/>
  <c r="AG447" i="13"/>
  <c r="AH447" i="13"/>
  <c r="AI447" i="13"/>
  <c r="AD59" i="13"/>
  <c r="AJ59" i="13" s="1"/>
  <c r="AE59" i="13"/>
  <c r="AG59" i="13"/>
  <c r="AH59" i="13"/>
  <c r="AI59" i="13"/>
  <c r="AD441" i="13"/>
  <c r="AJ441" i="13" s="1"/>
  <c r="AE441" i="13"/>
  <c r="AG441" i="13"/>
  <c r="AH441" i="13"/>
  <c r="AI441" i="13"/>
  <c r="AD439" i="13"/>
  <c r="AJ439" i="13" s="1"/>
  <c r="AE439" i="13"/>
  <c r="AG439" i="13"/>
  <c r="AH439" i="13"/>
  <c r="AI439" i="13"/>
  <c r="AD251" i="13"/>
  <c r="AJ251" i="13" s="1"/>
  <c r="AE251" i="13"/>
  <c r="AG251" i="13"/>
  <c r="AH251" i="13"/>
  <c r="AI251" i="13"/>
  <c r="AD250" i="13"/>
  <c r="AJ250" i="13" s="1"/>
  <c r="AE250" i="13"/>
  <c r="AG250" i="13"/>
  <c r="AH250" i="13"/>
  <c r="AI250" i="13"/>
  <c r="AD249" i="13"/>
  <c r="AJ249" i="13" s="1"/>
  <c r="AE249" i="13"/>
  <c r="AG249" i="13"/>
  <c r="AH249" i="13"/>
  <c r="AI249" i="13"/>
  <c r="AD248" i="13"/>
  <c r="AJ248" i="13" s="1"/>
  <c r="AE248" i="13"/>
  <c r="AG248" i="13"/>
  <c r="AH248" i="13"/>
  <c r="AI248" i="13"/>
  <c r="AD247" i="13"/>
  <c r="AJ247" i="13" s="1"/>
  <c r="AE247" i="13"/>
  <c r="AG247" i="13"/>
  <c r="AH247" i="13"/>
  <c r="AI247" i="13"/>
  <c r="AD246" i="13"/>
  <c r="AJ246" i="13" s="1"/>
  <c r="AE246" i="13"/>
  <c r="AG246" i="13"/>
  <c r="AH246" i="13"/>
  <c r="AI246" i="13"/>
  <c r="AD245" i="13"/>
  <c r="AJ245" i="13" s="1"/>
  <c r="AE245" i="13"/>
  <c r="AG245" i="13"/>
  <c r="AH245" i="13"/>
  <c r="AI245" i="13"/>
  <c r="AD244" i="13"/>
  <c r="AJ244" i="13" s="1"/>
  <c r="AE244" i="13"/>
  <c r="AG244" i="13"/>
  <c r="AH244" i="13"/>
  <c r="AI244" i="13"/>
  <c r="AD243" i="13"/>
  <c r="AJ243" i="13" s="1"/>
  <c r="AE243" i="13"/>
  <c r="AG243" i="13"/>
  <c r="AH243" i="13"/>
  <c r="AI243" i="13"/>
  <c r="AD242" i="13"/>
  <c r="AJ242" i="13" s="1"/>
  <c r="AE242" i="13"/>
  <c r="AG242" i="13"/>
  <c r="AH242" i="13"/>
  <c r="AI242" i="13"/>
  <c r="AD241" i="13"/>
  <c r="AJ241" i="13" s="1"/>
  <c r="AE241" i="13"/>
  <c r="AG241" i="13"/>
  <c r="AH241" i="13"/>
  <c r="AI241" i="13"/>
  <c r="AD240" i="13"/>
  <c r="AJ240" i="13" s="1"/>
  <c r="AE240" i="13"/>
  <c r="AG240" i="13"/>
  <c r="AH240" i="13"/>
  <c r="AI240" i="13"/>
  <c r="AD239" i="13"/>
  <c r="AJ239" i="13" s="1"/>
  <c r="AE239" i="13"/>
  <c r="AG239" i="13"/>
  <c r="AH239" i="13"/>
  <c r="AI239" i="13"/>
  <c r="AD596" i="13"/>
  <c r="AJ596" i="13" s="1"/>
  <c r="AE596" i="13"/>
  <c r="AG596" i="13"/>
  <c r="AH596" i="13"/>
  <c r="AI596" i="13"/>
  <c r="AD552" i="13"/>
  <c r="AJ552" i="13" s="1"/>
  <c r="AE552" i="13"/>
  <c r="AG552" i="13"/>
  <c r="AH552" i="13"/>
  <c r="AI552" i="13"/>
  <c r="AD429" i="13"/>
  <c r="AJ429" i="13" s="1"/>
  <c r="AE429" i="13"/>
  <c r="AG429" i="13"/>
  <c r="AH429" i="13"/>
  <c r="AI429" i="13"/>
  <c r="AD231" i="13"/>
  <c r="AJ231" i="13" s="1"/>
  <c r="AE231" i="13"/>
  <c r="AG231" i="13"/>
  <c r="AH231" i="13"/>
  <c r="AI231" i="13"/>
  <c r="AD224" i="13"/>
  <c r="AJ224" i="13" s="1"/>
  <c r="AE224" i="13"/>
  <c r="AG224" i="13"/>
  <c r="AH224" i="13"/>
  <c r="AI224" i="13"/>
  <c r="AD218" i="13"/>
  <c r="AJ218" i="13" s="1"/>
  <c r="AE218" i="13"/>
  <c r="AG218" i="13"/>
  <c r="AH218" i="13"/>
  <c r="AI218" i="13"/>
  <c r="AD208" i="13"/>
  <c r="AJ208" i="13" s="1"/>
  <c r="AE208" i="13"/>
  <c r="AG208" i="13"/>
  <c r="AH208" i="13"/>
  <c r="AI208" i="13"/>
  <c r="AD207" i="13"/>
  <c r="AJ207" i="13" s="1"/>
  <c r="AE207" i="13"/>
  <c r="AG207" i="13"/>
  <c r="AH207" i="13"/>
  <c r="AI207" i="13"/>
  <c r="AD206" i="13"/>
  <c r="AJ206" i="13" s="1"/>
  <c r="AE206" i="13"/>
  <c r="AG206" i="13"/>
  <c r="AH206" i="13"/>
  <c r="AI206" i="13"/>
  <c r="AD205" i="13"/>
  <c r="AJ205" i="13" s="1"/>
  <c r="AE205" i="13"/>
  <c r="AG205" i="13"/>
  <c r="AH205" i="13"/>
  <c r="AI205" i="13"/>
  <c r="AD204" i="13"/>
  <c r="AJ204" i="13" s="1"/>
  <c r="AE204" i="13"/>
  <c r="AG204" i="13"/>
  <c r="AH204" i="13"/>
  <c r="AI204" i="13"/>
  <c r="AD203" i="13"/>
  <c r="AJ203" i="13" s="1"/>
  <c r="AE203" i="13"/>
  <c r="AG203" i="13"/>
  <c r="AH203" i="13"/>
  <c r="AI203" i="13"/>
  <c r="AD202" i="13"/>
  <c r="AJ202" i="13" s="1"/>
  <c r="AE202" i="13"/>
  <c r="AG202" i="13"/>
  <c r="AH202" i="13"/>
  <c r="AI202" i="13"/>
  <c r="AD201" i="13"/>
  <c r="AJ201" i="13" s="1"/>
  <c r="AE201" i="13"/>
  <c r="AG201" i="13"/>
  <c r="AH201" i="13"/>
  <c r="AI201" i="13"/>
  <c r="AD200" i="13"/>
  <c r="AJ200" i="13" s="1"/>
  <c r="AE200" i="13"/>
  <c r="AG200" i="13"/>
  <c r="AH200" i="13"/>
  <c r="AI200" i="13"/>
  <c r="AD199" i="13"/>
  <c r="AJ199" i="13" s="1"/>
  <c r="AE199" i="13"/>
  <c r="AG199" i="13"/>
  <c r="AH199" i="13"/>
  <c r="AI199" i="13"/>
  <c r="AD198" i="13"/>
  <c r="AJ198" i="13" s="1"/>
  <c r="AE198" i="13"/>
  <c r="AG198" i="13"/>
  <c r="AH198" i="13"/>
  <c r="AI198" i="13"/>
  <c r="AD197" i="13"/>
  <c r="AJ197" i="13" s="1"/>
  <c r="AE197" i="13"/>
  <c r="AG197" i="13"/>
  <c r="AH197" i="13"/>
  <c r="AI197" i="13"/>
  <c r="AD196" i="13"/>
  <c r="AJ196" i="13" s="1"/>
  <c r="AE196" i="13"/>
  <c r="AG196" i="13"/>
  <c r="AH196" i="13"/>
  <c r="AI196" i="13"/>
  <c r="AD195" i="13"/>
  <c r="AJ195" i="13" s="1"/>
  <c r="AE195" i="13"/>
  <c r="AG195" i="13"/>
  <c r="AH195" i="13"/>
  <c r="AI195" i="13"/>
  <c r="AD194" i="13"/>
  <c r="AJ194" i="13" s="1"/>
  <c r="AE194" i="13"/>
  <c r="AG194" i="13"/>
  <c r="AH194" i="13"/>
  <c r="AI194" i="13"/>
  <c r="AD193" i="13"/>
  <c r="AJ193" i="13" s="1"/>
  <c r="AE193" i="13"/>
  <c r="AG193" i="13"/>
  <c r="AH193" i="13"/>
  <c r="AI193" i="13"/>
  <c r="AD192" i="13"/>
  <c r="AJ192" i="13" s="1"/>
  <c r="AE192" i="13"/>
  <c r="AG192" i="13"/>
  <c r="AH192" i="13"/>
  <c r="AI192" i="13"/>
  <c r="AD191" i="13"/>
  <c r="AJ191" i="13" s="1"/>
  <c r="AE191" i="13"/>
  <c r="AG191" i="13"/>
  <c r="AH191" i="13"/>
  <c r="AI191" i="13"/>
  <c r="AD190" i="13"/>
  <c r="AJ190" i="13" s="1"/>
  <c r="AE190" i="13"/>
  <c r="AG190" i="13"/>
  <c r="AH190" i="13"/>
  <c r="AI190" i="13"/>
  <c r="AD189" i="13"/>
  <c r="AJ189" i="13" s="1"/>
  <c r="AE189" i="13"/>
  <c r="AG189" i="13"/>
  <c r="AH189" i="13"/>
  <c r="AI189" i="13"/>
  <c r="AD188" i="13"/>
  <c r="AJ188" i="13" s="1"/>
  <c r="AE188" i="13"/>
  <c r="AG188" i="13"/>
  <c r="AH188" i="13"/>
  <c r="AI188" i="13"/>
  <c r="AD187" i="13"/>
  <c r="AJ187" i="13" s="1"/>
  <c r="AE187" i="13"/>
  <c r="AG187" i="13"/>
  <c r="AH187" i="13"/>
  <c r="AI187" i="13"/>
  <c r="AD186" i="13"/>
  <c r="AJ186" i="13" s="1"/>
  <c r="AE186" i="13"/>
  <c r="AG186" i="13"/>
  <c r="AH186" i="13"/>
  <c r="AI186" i="13"/>
  <c r="AD185" i="13"/>
  <c r="AJ185" i="13" s="1"/>
  <c r="AE185" i="13"/>
  <c r="AG185" i="13"/>
  <c r="AH185" i="13"/>
  <c r="AI185" i="13"/>
  <c r="AD184" i="13"/>
  <c r="AJ184" i="13" s="1"/>
  <c r="AE184" i="13"/>
  <c r="AG184" i="13"/>
  <c r="AH184" i="13"/>
  <c r="AI184" i="13"/>
  <c r="AD183" i="13"/>
  <c r="AJ183" i="13" s="1"/>
  <c r="AE183" i="13"/>
  <c r="AG183" i="13"/>
  <c r="AH183" i="13"/>
  <c r="AI183" i="13"/>
  <c r="AD182" i="13"/>
  <c r="AJ182" i="13" s="1"/>
  <c r="AE182" i="13"/>
  <c r="AG182" i="13"/>
  <c r="AH182" i="13"/>
  <c r="AI182" i="13"/>
  <c r="AD181" i="13"/>
  <c r="AJ181" i="13" s="1"/>
  <c r="AE181" i="13"/>
  <c r="AG181" i="13"/>
  <c r="AH181" i="13"/>
  <c r="AI181" i="13"/>
  <c r="AD180" i="13"/>
  <c r="AJ180" i="13" s="1"/>
  <c r="AE180" i="13"/>
  <c r="AG180" i="13"/>
  <c r="AH180" i="13"/>
  <c r="AI180" i="13"/>
  <c r="AD179" i="13"/>
  <c r="AJ179" i="13" s="1"/>
  <c r="AE179" i="13"/>
  <c r="AG179" i="13"/>
  <c r="AH179" i="13"/>
  <c r="AI179" i="13"/>
  <c r="AD178" i="13"/>
  <c r="AJ178" i="13" s="1"/>
  <c r="AE178" i="13"/>
  <c r="AG178" i="13"/>
  <c r="AH178" i="13"/>
  <c r="AI178" i="13"/>
  <c r="AD177" i="13"/>
  <c r="AJ177" i="13" s="1"/>
  <c r="AE177" i="13"/>
  <c r="AG177" i="13"/>
  <c r="AH177" i="13"/>
  <c r="AI177" i="13"/>
  <c r="AD176" i="13"/>
  <c r="AJ176" i="13" s="1"/>
  <c r="AE176" i="13"/>
  <c r="AG176" i="13"/>
  <c r="AH176" i="13"/>
  <c r="AI176" i="13"/>
  <c r="AD175" i="13"/>
  <c r="AJ175" i="13" s="1"/>
  <c r="AE175" i="13"/>
  <c r="AG175" i="13"/>
  <c r="AH175" i="13"/>
  <c r="AI175" i="13"/>
  <c r="AD174" i="13"/>
  <c r="AJ174" i="13" s="1"/>
  <c r="AE174" i="13"/>
  <c r="AG174" i="13"/>
  <c r="AH174" i="13"/>
  <c r="AI174" i="13"/>
  <c r="AD173" i="13"/>
  <c r="AJ173" i="13" s="1"/>
  <c r="AE173" i="13"/>
  <c r="AG173" i="13"/>
  <c r="AH173" i="13"/>
  <c r="AI173" i="13"/>
  <c r="AD172" i="13"/>
  <c r="AJ172" i="13" s="1"/>
  <c r="AE172" i="13"/>
  <c r="AG172" i="13"/>
  <c r="AH172" i="13"/>
  <c r="AI172" i="13"/>
  <c r="AD171" i="13"/>
  <c r="AJ171" i="13" s="1"/>
  <c r="AE171" i="13"/>
  <c r="AG171" i="13"/>
  <c r="AH171" i="13"/>
  <c r="AI171" i="13"/>
  <c r="AD170" i="13"/>
  <c r="AJ170" i="13" s="1"/>
  <c r="AE170" i="13"/>
  <c r="AG170" i="13"/>
  <c r="AH170" i="13"/>
  <c r="AI170" i="13"/>
  <c r="AD169" i="13"/>
  <c r="AJ169" i="13" s="1"/>
  <c r="AE169" i="13"/>
  <c r="AG169" i="13"/>
  <c r="AH169" i="13"/>
  <c r="AI169" i="13"/>
  <c r="AD168" i="13"/>
  <c r="AJ168" i="13" s="1"/>
  <c r="AE168" i="13"/>
  <c r="AG168" i="13"/>
  <c r="AH168" i="13"/>
  <c r="AI168" i="13"/>
  <c r="AD167" i="13"/>
  <c r="AJ167" i="13" s="1"/>
  <c r="AE167" i="13"/>
  <c r="AG167" i="13"/>
  <c r="AH167" i="13"/>
  <c r="AI167" i="13"/>
  <c r="AD166" i="13"/>
  <c r="AJ166" i="13" s="1"/>
  <c r="AE166" i="13"/>
  <c r="AG166" i="13"/>
  <c r="AH166" i="13"/>
  <c r="AI166" i="13"/>
  <c r="AD165" i="13"/>
  <c r="AJ165" i="13" s="1"/>
  <c r="AE165" i="13"/>
  <c r="AG165" i="13"/>
  <c r="AH165" i="13"/>
  <c r="AI165" i="13"/>
  <c r="AD164" i="13"/>
  <c r="AJ164" i="13" s="1"/>
  <c r="AE164" i="13"/>
  <c r="AG164" i="13"/>
  <c r="AH164" i="13"/>
  <c r="AI164" i="13"/>
  <c r="AD163" i="13"/>
  <c r="AJ163" i="13" s="1"/>
  <c r="AE163" i="13"/>
  <c r="AG163" i="13"/>
  <c r="AH163" i="13"/>
  <c r="AI163" i="13"/>
  <c r="AD162" i="13"/>
  <c r="AJ162" i="13" s="1"/>
  <c r="AE162" i="13"/>
  <c r="AG162" i="13"/>
  <c r="AH162" i="13"/>
  <c r="AI162" i="13"/>
  <c r="AD161" i="13"/>
  <c r="AJ161" i="13" s="1"/>
  <c r="AE161" i="13"/>
  <c r="AG161" i="13"/>
  <c r="AH161" i="13"/>
  <c r="AI161" i="13"/>
  <c r="AD160" i="13"/>
  <c r="AJ160" i="13" s="1"/>
  <c r="AE160" i="13"/>
  <c r="AG160" i="13"/>
  <c r="AH160" i="13"/>
  <c r="AI160" i="13"/>
  <c r="AD159" i="13"/>
  <c r="AJ159" i="13" s="1"/>
  <c r="AE159" i="13"/>
  <c r="AG159" i="13"/>
  <c r="AH159" i="13"/>
  <c r="AI159" i="13"/>
  <c r="AD158" i="13"/>
  <c r="AJ158" i="13" s="1"/>
  <c r="AE158" i="13"/>
  <c r="AG158" i="13"/>
  <c r="AH158" i="13"/>
  <c r="AI158" i="13"/>
  <c r="AD157" i="13"/>
  <c r="AJ157" i="13" s="1"/>
  <c r="AE157" i="13"/>
  <c r="AG157" i="13"/>
  <c r="AH157" i="13"/>
  <c r="AI157" i="13"/>
  <c r="AD156" i="13"/>
  <c r="AJ156" i="13" s="1"/>
  <c r="AE156" i="13"/>
  <c r="AG156" i="13"/>
  <c r="AH156" i="13"/>
  <c r="AI156" i="13"/>
  <c r="AD155" i="13"/>
  <c r="AJ155" i="13" s="1"/>
  <c r="AE155" i="13"/>
  <c r="AG155" i="13"/>
  <c r="AH155" i="13"/>
  <c r="AI155" i="13"/>
  <c r="AD154" i="13"/>
  <c r="AJ154" i="13" s="1"/>
  <c r="AE154" i="13"/>
  <c r="AG154" i="13"/>
  <c r="AH154" i="13"/>
  <c r="AI154" i="13"/>
  <c r="AD153" i="13"/>
  <c r="AJ153" i="13" s="1"/>
  <c r="AE153" i="13"/>
  <c r="AG153" i="13"/>
  <c r="AH153" i="13"/>
  <c r="AI153" i="13"/>
  <c r="AD152" i="13"/>
  <c r="AJ152" i="13" s="1"/>
  <c r="AE152" i="13"/>
  <c r="AG152" i="13"/>
  <c r="AH152" i="13"/>
  <c r="AI152" i="13"/>
  <c r="AD151" i="13"/>
  <c r="AJ151" i="13" s="1"/>
  <c r="AE151" i="13"/>
  <c r="AG151" i="13"/>
  <c r="AH151" i="13"/>
  <c r="AI151" i="13"/>
  <c r="AD150" i="13"/>
  <c r="AJ150" i="13" s="1"/>
  <c r="AE150" i="13"/>
  <c r="AG150" i="13"/>
  <c r="AH150" i="13"/>
  <c r="AI150" i="13"/>
  <c r="AD149" i="13"/>
  <c r="AJ149" i="13" s="1"/>
  <c r="AE149" i="13"/>
  <c r="AG149" i="13"/>
  <c r="AH149" i="13"/>
  <c r="AI149" i="13"/>
  <c r="AD148" i="13"/>
  <c r="AJ148" i="13" s="1"/>
  <c r="AE148" i="13"/>
  <c r="AG148" i="13"/>
  <c r="AH148" i="13"/>
  <c r="AI148" i="13"/>
  <c r="AD147" i="13"/>
  <c r="AJ147" i="13" s="1"/>
  <c r="AE147" i="13"/>
  <c r="AG147" i="13"/>
  <c r="AH147" i="13"/>
  <c r="AI147" i="13"/>
  <c r="AD146" i="13"/>
  <c r="AJ146" i="13" s="1"/>
  <c r="AE146" i="13"/>
  <c r="AG146" i="13"/>
  <c r="AH146" i="13"/>
  <c r="AI146" i="13"/>
  <c r="AD145" i="13"/>
  <c r="AJ145" i="13" s="1"/>
  <c r="AE145" i="13"/>
  <c r="AG145" i="13"/>
  <c r="AH145" i="13"/>
  <c r="AI145" i="13"/>
  <c r="AD144" i="13"/>
  <c r="AJ144" i="13" s="1"/>
  <c r="AE144" i="13"/>
  <c r="AG144" i="13"/>
  <c r="AH144" i="13"/>
  <c r="AI144" i="13"/>
  <c r="AD143" i="13"/>
  <c r="AJ143" i="13" s="1"/>
  <c r="AE143" i="13"/>
  <c r="AG143" i="13"/>
  <c r="AH143" i="13"/>
  <c r="AI143" i="13"/>
  <c r="AD142" i="13"/>
  <c r="AJ142" i="13" s="1"/>
  <c r="AE142" i="13"/>
  <c r="AG142" i="13"/>
  <c r="AH142" i="13"/>
  <c r="AI142" i="13"/>
  <c r="AD141" i="13"/>
  <c r="AJ141" i="13" s="1"/>
  <c r="AE141" i="13"/>
  <c r="AG141" i="13"/>
  <c r="AH141" i="13"/>
  <c r="AI141" i="13"/>
  <c r="AD140" i="13"/>
  <c r="AJ140" i="13" s="1"/>
  <c r="AE140" i="13"/>
  <c r="AG140" i="13"/>
  <c r="AH140" i="13"/>
  <c r="AI140" i="13"/>
  <c r="AD132" i="13"/>
  <c r="AJ132" i="13" s="1"/>
  <c r="AE132" i="13"/>
  <c r="AG132" i="13"/>
  <c r="AH132" i="13"/>
  <c r="AI132" i="13"/>
  <c r="AD126" i="13"/>
  <c r="AJ126" i="13" s="1"/>
  <c r="AE126" i="13"/>
  <c r="AG126" i="13"/>
  <c r="AH126" i="13"/>
  <c r="AI126" i="13"/>
  <c r="AD118" i="13"/>
  <c r="AJ118" i="13" s="1"/>
  <c r="AE118" i="13"/>
  <c r="AG118" i="13"/>
  <c r="AH118" i="13"/>
  <c r="AI118" i="13"/>
  <c r="AD111" i="13"/>
  <c r="AJ111" i="13" s="1"/>
  <c r="AE111" i="13"/>
  <c r="AG111" i="13"/>
  <c r="AH111" i="13"/>
  <c r="AI111" i="13"/>
  <c r="AD104" i="13"/>
  <c r="AJ104" i="13" s="1"/>
  <c r="AE104" i="13"/>
  <c r="AG104" i="13"/>
  <c r="AH104" i="13"/>
  <c r="AI104" i="13"/>
  <c r="AH975" i="13"/>
  <c r="AE975" i="13"/>
  <c r="AD975" i="13"/>
  <c r="AJ975" i="13" s="1"/>
  <c r="AG975" i="13"/>
  <c r="AI975" i="13"/>
  <c r="AD44" i="13"/>
  <c r="AJ44" i="13" s="1"/>
  <c r="AE44" i="13"/>
  <c r="AG44" i="13"/>
  <c r="AH44" i="13"/>
  <c r="AI44" i="13"/>
  <c r="AD520" i="13"/>
  <c r="AJ520" i="13" s="1"/>
  <c r="AE520" i="13"/>
  <c r="AG520" i="13"/>
  <c r="AH520" i="13"/>
  <c r="AI520" i="13"/>
  <c r="AD508" i="13"/>
  <c r="AJ508" i="13" s="1"/>
  <c r="AE508" i="13"/>
  <c r="AG508" i="13"/>
  <c r="AH508" i="13"/>
  <c r="AI508" i="13"/>
  <c r="AD499" i="13"/>
  <c r="AJ499" i="13" s="1"/>
  <c r="AE499" i="13"/>
  <c r="AG499" i="13"/>
  <c r="AH499" i="13"/>
  <c r="AI499" i="13"/>
  <c r="AD453" i="13"/>
  <c r="AJ453" i="13" s="1"/>
  <c r="AE453" i="13"/>
  <c r="AG453" i="13"/>
  <c r="AH453" i="13"/>
  <c r="AI453" i="13"/>
  <c r="AD238" i="13"/>
  <c r="AJ238" i="13" s="1"/>
  <c r="AE238" i="13"/>
  <c r="AG238" i="13"/>
  <c r="AH238" i="13"/>
  <c r="AI238" i="13"/>
  <c r="AD233" i="13"/>
  <c r="AJ233" i="13" s="1"/>
  <c r="AE233" i="13"/>
  <c r="AG233" i="13"/>
  <c r="AH233" i="13"/>
  <c r="AI233" i="13"/>
  <c r="AD227" i="13"/>
  <c r="AJ227" i="13" s="1"/>
  <c r="AE227" i="13"/>
  <c r="AG227" i="13"/>
  <c r="AH227" i="13"/>
  <c r="AI227" i="13"/>
  <c r="AD217" i="13"/>
  <c r="AJ217" i="13" s="1"/>
  <c r="AE217" i="13"/>
  <c r="AG217" i="13"/>
  <c r="AH217" i="13"/>
  <c r="AI217" i="13"/>
  <c r="AD491" i="13"/>
  <c r="AJ491" i="13" s="1"/>
  <c r="AE491" i="13"/>
  <c r="AG491" i="13"/>
  <c r="AH491" i="13"/>
  <c r="AI491" i="13"/>
  <c r="AD941" i="13"/>
  <c r="AJ941" i="13" s="1"/>
  <c r="AE941" i="13"/>
  <c r="AG941" i="13"/>
  <c r="AH941" i="13"/>
  <c r="AI941" i="13"/>
  <c r="AG898" i="13"/>
  <c r="AH898" i="13"/>
  <c r="AD898" i="13"/>
  <c r="AJ898" i="13" s="1"/>
  <c r="AE898" i="13"/>
  <c r="AI898" i="13"/>
  <c r="AD502" i="13"/>
  <c r="AJ502" i="13" s="1"/>
  <c r="AE502" i="13"/>
  <c r="AG502" i="13"/>
  <c r="AH502" i="13"/>
  <c r="AI502" i="13"/>
  <c r="AD444" i="13"/>
  <c r="AJ444" i="13" s="1"/>
  <c r="AE444" i="13"/>
  <c r="AG444" i="13"/>
  <c r="AH444" i="13"/>
  <c r="AI444" i="13"/>
  <c r="AE855" i="13"/>
  <c r="AG855" i="13"/>
  <c r="AH855" i="13"/>
  <c r="AI855" i="13"/>
  <c r="AD855" i="13"/>
  <c r="AJ855" i="13" s="1"/>
  <c r="AD766" i="13"/>
  <c r="AJ766" i="13" s="1"/>
  <c r="AG766" i="13"/>
  <c r="AI766" i="13"/>
  <c r="AE766" i="13"/>
  <c r="AH766" i="13"/>
  <c r="AD648" i="13"/>
  <c r="AJ648" i="13" s="1"/>
  <c r="AE648" i="13"/>
  <c r="AG648" i="13"/>
  <c r="AH648" i="13"/>
  <c r="AI648" i="13"/>
  <c r="AD645" i="13"/>
  <c r="AJ645" i="13" s="1"/>
  <c r="AE645" i="13"/>
  <c r="AG645" i="13"/>
  <c r="AH645" i="13"/>
  <c r="AI645" i="13"/>
  <c r="AD641" i="13"/>
  <c r="AJ641" i="13" s="1"/>
  <c r="AE641" i="13"/>
  <c r="AG641" i="13"/>
  <c r="AH641" i="13"/>
  <c r="AI641" i="13"/>
  <c r="AD638" i="13"/>
  <c r="AJ638" i="13" s="1"/>
  <c r="AE638" i="13"/>
  <c r="AG638" i="13"/>
  <c r="AH638" i="13"/>
  <c r="AI638" i="13"/>
  <c r="AD634" i="13"/>
  <c r="AJ634" i="13" s="1"/>
  <c r="AE634" i="13"/>
  <c r="AG634" i="13"/>
  <c r="AH634" i="13"/>
  <c r="AI634" i="13"/>
  <c r="AD630" i="13"/>
  <c r="AJ630" i="13" s="1"/>
  <c r="AE630" i="13"/>
  <c r="AG630" i="13"/>
  <c r="AH630" i="13"/>
  <c r="AI630" i="13"/>
  <c r="AD627" i="13"/>
  <c r="AJ627" i="13" s="1"/>
  <c r="AE627" i="13"/>
  <c r="AG627" i="13"/>
  <c r="AH627" i="13"/>
  <c r="AI627" i="13"/>
  <c r="AD623" i="13"/>
  <c r="AJ623" i="13" s="1"/>
  <c r="AE623" i="13"/>
  <c r="AG623" i="13"/>
  <c r="AH623" i="13"/>
  <c r="AI623" i="13"/>
  <c r="AD619" i="13"/>
  <c r="AJ619" i="13" s="1"/>
  <c r="AE619" i="13"/>
  <c r="AG619" i="13"/>
  <c r="AH619" i="13"/>
  <c r="AI619" i="13"/>
  <c r="AD616" i="13"/>
  <c r="AJ616" i="13" s="1"/>
  <c r="AE616" i="13"/>
  <c r="AG616" i="13"/>
  <c r="AH616" i="13"/>
  <c r="AI616" i="13"/>
  <c r="AD612" i="13"/>
  <c r="AJ612" i="13" s="1"/>
  <c r="AE612" i="13"/>
  <c r="AG612" i="13"/>
  <c r="AH612" i="13"/>
  <c r="AI612" i="13"/>
  <c r="AD607" i="13"/>
  <c r="AJ607" i="13" s="1"/>
  <c r="AE607" i="13"/>
  <c r="AG607" i="13"/>
  <c r="AH607" i="13"/>
  <c r="AI607" i="13"/>
  <c r="AD603" i="13"/>
  <c r="AJ603" i="13" s="1"/>
  <c r="AE603" i="13"/>
  <c r="AG603" i="13"/>
  <c r="AH603" i="13"/>
  <c r="AI603" i="13"/>
  <c r="AD307" i="13"/>
  <c r="AJ307" i="13" s="1"/>
  <c r="AE307" i="13"/>
  <c r="AG307" i="13"/>
  <c r="AH307" i="13"/>
  <c r="AI307" i="13"/>
  <c r="AD29" i="13"/>
  <c r="AJ29" i="13" s="1"/>
  <c r="AE29" i="13"/>
  <c r="AG29" i="13"/>
  <c r="AH29" i="13"/>
  <c r="AI29" i="13"/>
  <c r="AD28" i="13"/>
  <c r="AJ28" i="13" s="1"/>
  <c r="AE28" i="13"/>
  <c r="AG28" i="13"/>
  <c r="AH28" i="13"/>
  <c r="AI28" i="13"/>
  <c r="AD27" i="13"/>
  <c r="AJ27" i="13" s="1"/>
  <c r="AE27" i="13"/>
  <c r="AG27" i="13"/>
  <c r="AH27" i="13"/>
  <c r="AI27" i="13"/>
  <c r="AD26" i="13"/>
  <c r="AJ26" i="13" s="1"/>
  <c r="AE26" i="13"/>
  <c r="AG26" i="13"/>
  <c r="AH26" i="13"/>
  <c r="AI26" i="13"/>
  <c r="AD25" i="13"/>
  <c r="AJ25" i="13" s="1"/>
  <c r="AE25" i="13"/>
  <c r="AG25" i="13"/>
  <c r="AH25" i="13"/>
  <c r="AI25" i="13"/>
  <c r="AD24" i="13"/>
  <c r="AJ24" i="13" s="1"/>
  <c r="AE24" i="13"/>
  <c r="AG24" i="13"/>
  <c r="AH24" i="13"/>
  <c r="AI24" i="13"/>
  <c r="AD23" i="13"/>
  <c r="AJ23" i="13" s="1"/>
  <c r="AE23" i="13"/>
  <c r="AG23" i="13"/>
  <c r="AH23" i="13"/>
  <c r="AI23" i="13"/>
  <c r="AD308" i="13"/>
  <c r="AJ308" i="13" s="1"/>
  <c r="AE308" i="13"/>
  <c r="AG308" i="13"/>
  <c r="AH308" i="13"/>
  <c r="AI308" i="13"/>
  <c r="AD137" i="13"/>
  <c r="AJ137" i="13" s="1"/>
  <c r="AE137" i="13"/>
  <c r="AG137" i="13"/>
  <c r="AH137" i="13"/>
  <c r="AI137" i="13"/>
  <c r="AD133" i="13"/>
  <c r="AJ133" i="13" s="1"/>
  <c r="AE133" i="13"/>
  <c r="AG133" i="13"/>
  <c r="AH133" i="13"/>
  <c r="AI133" i="13"/>
  <c r="AD129" i="13"/>
  <c r="AJ129" i="13" s="1"/>
  <c r="AE129" i="13"/>
  <c r="AG129" i="13"/>
  <c r="AH129" i="13"/>
  <c r="AI129" i="13"/>
  <c r="AD125" i="13"/>
  <c r="AJ125" i="13" s="1"/>
  <c r="AE125" i="13"/>
  <c r="AG125" i="13"/>
  <c r="AH125" i="13"/>
  <c r="AI125" i="13"/>
  <c r="AD121" i="13"/>
  <c r="AJ121" i="13" s="1"/>
  <c r="AE121" i="13"/>
  <c r="AG121" i="13"/>
  <c r="AH121" i="13"/>
  <c r="AI121" i="13"/>
  <c r="AD117" i="13"/>
  <c r="AJ117" i="13" s="1"/>
  <c r="AE117" i="13"/>
  <c r="AG117" i="13"/>
  <c r="AH117" i="13"/>
  <c r="AI117" i="13"/>
  <c r="AD113" i="13"/>
  <c r="AJ113" i="13" s="1"/>
  <c r="AE113" i="13"/>
  <c r="AG113" i="13"/>
  <c r="AH113" i="13"/>
  <c r="AI113" i="13"/>
  <c r="AD109" i="13"/>
  <c r="AJ109" i="13" s="1"/>
  <c r="AE109" i="13"/>
  <c r="AG109" i="13"/>
  <c r="AH109" i="13"/>
  <c r="AI109" i="13"/>
  <c r="AD105" i="13"/>
  <c r="AJ105" i="13" s="1"/>
  <c r="AE105" i="13"/>
  <c r="AG105" i="13"/>
  <c r="AH105" i="13"/>
  <c r="AI105" i="13"/>
  <c r="AD101" i="13"/>
  <c r="AJ101" i="13" s="1"/>
  <c r="AE101" i="13"/>
  <c r="AG101" i="13"/>
  <c r="AH101" i="13"/>
  <c r="AI101" i="13"/>
  <c r="AD68" i="13"/>
  <c r="AJ68" i="13" s="1"/>
  <c r="AE68" i="13"/>
  <c r="AG68" i="13"/>
  <c r="AH68" i="13"/>
  <c r="AI68" i="13"/>
  <c r="AD595" i="13"/>
  <c r="AJ595" i="13" s="1"/>
  <c r="AE595" i="13"/>
  <c r="AG595" i="13"/>
  <c r="AH595" i="13"/>
  <c r="AI595" i="13"/>
  <c r="AH956" i="13"/>
  <c r="AD956" i="13"/>
  <c r="AJ956" i="13" s="1"/>
  <c r="AE956" i="13"/>
  <c r="AI956" i="13"/>
  <c r="AG956" i="13"/>
  <c r="AD581" i="13"/>
  <c r="AJ581" i="13" s="1"/>
  <c r="AE581" i="13"/>
  <c r="AG581" i="13"/>
  <c r="AH581" i="13"/>
  <c r="AI581" i="13"/>
  <c r="AD573" i="13"/>
  <c r="AJ573" i="13" s="1"/>
  <c r="AE573" i="13"/>
  <c r="AG573" i="13"/>
  <c r="AH573" i="13"/>
  <c r="AI573" i="13"/>
  <c r="AD560" i="13"/>
  <c r="AJ560" i="13" s="1"/>
  <c r="AE560" i="13"/>
  <c r="AG560" i="13"/>
  <c r="AH560" i="13"/>
  <c r="AI560" i="13"/>
  <c r="AD549" i="13"/>
  <c r="AJ549" i="13" s="1"/>
  <c r="AE549" i="13"/>
  <c r="AG549" i="13"/>
  <c r="AH549" i="13"/>
  <c r="AI549" i="13"/>
  <c r="AD535" i="13"/>
  <c r="AJ535" i="13" s="1"/>
  <c r="AE535" i="13"/>
  <c r="AG535" i="13"/>
  <c r="AH535" i="13"/>
  <c r="AI535" i="13"/>
  <c r="AD524" i="13"/>
  <c r="AJ524" i="13" s="1"/>
  <c r="AE524" i="13"/>
  <c r="AG524" i="13"/>
  <c r="AH524" i="13"/>
  <c r="AI524" i="13"/>
  <c r="AD516" i="13"/>
  <c r="AJ516" i="13" s="1"/>
  <c r="AE516" i="13"/>
  <c r="AG516" i="13"/>
  <c r="AH516" i="13"/>
  <c r="AI516" i="13"/>
  <c r="AD488" i="13"/>
  <c r="AJ488" i="13" s="1"/>
  <c r="AE488" i="13"/>
  <c r="AG488" i="13"/>
  <c r="AH488" i="13"/>
  <c r="AI488" i="13"/>
  <c r="AD458" i="13"/>
  <c r="AJ458" i="13" s="1"/>
  <c r="AE458" i="13"/>
  <c r="AG458" i="13"/>
  <c r="AH458" i="13"/>
  <c r="AI458" i="13"/>
  <c r="AD446" i="13"/>
  <c r="AJ446" i="13" s="1"/>
  <c r="AE446" i="13"/>
  <c r="AG446" i="13"/>
  <c r="AH446" i="13"/>
  <c r="AI446" i="13"/>
  <c r="AD51" i="13"/>
  <c r="AJ51" i="13" s="1"/>
  <c r="AE51" i="13"/>
  <c r="AG51" i="13"/>
  <c r="AH51" i="13"/>
  <c r="AI51" i="13"/>
  <c r="AD438" i="13"/>
  <c r="AJ438" i="13" s="1"/>
  <c r="AE438" i="13"/>
  <c r="AG438" i="13"/>
  <c r="AH438" i="13"/>
  <c r="AI438" i="13"/>
  <c r="AD434" i="13"/>
  <c r="AJ434" i="13" s="1"/>
  <c r="AE434" i="13"/>
  <c r="AG434" i="13"/>
  <c r="AH434" i="13"/>
  <c r="AI434" i="13"/>
  <c r="AD430" i="13"/>
  <c r="AJ430" i="13" s="1"/>
  <c r="AE430" i="13"/>
  <c r="AG430" i="13"/>
  <c r="AH430" i="13"/>
  <c r="AI430" i="13"/>
  <c r="AD425" i="13"/>
  <c r="AJ425" i="13" s="1"/>
  <c r="AE425" i="13"/>
  <c r="AG425" i="13"/>
  <c r="AH425" i="13"/>
  <c r="AI425" i="13"/>
  <c r="AD420" i="13"/>
  <c r="AJ420" i="13" s="1"/>
  <c r="AE420" i="13"/>
  <c r="AG420" i="13"/>
  <c r="AH420" i="13"/>
  <c r="AI420" i="13"/>
  <c r="AD418" i="13"/>
  <c r="AJ418" i="13" s="1"/>
  <c r="AE418" i="13"/>
  <c r="AG418" i="13"/>
  <c r="AH418" i="13"/>
  <c r="AI418" i="13"/>
  <c r="AD412" i="13"/>
  <c r="AJ412" i="13" s="1"/>
  <c r="AE412" i="13"/>
  <c r="AG412" i="13"/>
  <c r="AH412" i="13"/>
  <c r="AI412" i="13"/>
  <c r="AD407" i="13"/>
  <c r="AJ407" i="13" s="1"/>
  <c r="AE407" i="13"/>
  <c r="AG407" i="13"/>
  <c r="AH407" i="13"/>
  <c r="AI407" i="13"/>
  <c r="AD403" i="13"/>
  <c r="AJ403" i="13" s="1"/>
  <c r="AE403" i="13"/>
  <c r="AG403" i="13"/>
  <c r="AH403" i="13"/>
  <c r="AI403" i="13"/>
  <c r="AD398" i="13"/>
  <c r="AJ398" i="13" s="1"/>
  <c r="AE398" i="13"/>
  <c r="AG398" i="13"/>
  <c r="AH398" i="13"/>
  <c r="AI398" i="13"/>
  <c r="AD393" i="13"/>
  <c r="AJ393" i="13" s="1"/>
  <c r="AE393" i="13"/>
  <c r="AG393" i="13"/>
  <c r="AH393" i="13"/>
  <c r="AI393" i="13"/>
  <c r="AD390" i="13"/>
  <c r="AJ390" i="13" s="1"/>
  <c r="AE390" i="13"/>
  <c r="AG390" i="13"/>
  <c r="AH390" i="13"/>
  <c r="AI390" i="13"/>
  <c r="AD385" i="13"/>
  <c r="AJ385" i="13" s="1"/>
  <c r="AE385" i="13"/>
  <c r="AG385" i="13"/>
  <c r="AH385" i="13"/>
  <c r="AI385" i="13"/>
  <c r="AD50" i="13"/>
  <c r="AJ50" i="13" s="1"/>
  <c r="AE50" i="13"/>
  <c r="AG50" i="13"/>
  <c r="AH50" i="13"/>
  <c r="AI50" i="13"/>
  <c r="AD229" i="13"/>
  <c r="AJ229" i="13" s="1"/>
  <c r="AE229" i="13"/>
  <c r="AG229" i="13"/>
  <c r="AH229" i="13"/>
  <c r="AI229" i="13"/>
  <c r="AD220" i="13"/>
  <c r="AJ220" i="13" s="1"/>
  <c r="AE220" i="13"/>
  <c r="AG220" i="13"/>
  <c r="AH220" i="13"/>
  <c r="AI220" i="13"/>
  <c r="AD484" i="13"/>
  <c r="AJ484" i="13" s="1"/>
  <c r="AE484" i="13"/>
  <c r="AG484" i="13"/>
  <c r="AH484" i="13"/>
  <c r="AI484" i="13"/>
  <c r="AI928" i="13"/>
  <c r="AD928" i="13"/>
  <c r="AJ928" i="13" s="1"/>
  <c r="AE928" i="13"/>
  <c r="AH928" i="13"/>
  <c r="AG928" i="13"/>
  <c r="AE861" i="13"/>
  <c r="AD861" i="13"/>
  <c r="AJ861" i="13" s="1"/>
  <c r="AH861" i="13"/>
  <c r="AI861" i="13"/>
  <c r="AG861" i="13"/>
  <c r="AD485" i="13"/>
  <c r="AJ485" i="13" s="1"/>
  <c r="AE485" i="13"/>
  <c r="AG485" i="13"/>
  <c r="AH485" i="13"/>
  <c r="AI485" i="13"/>
  <c r="AD31" i="13"/>
  <c r="AJ31" i="13" s="1"/>
  <c r="AE31" i="13"/>
  <c r="AG31" i="13"/>
  <c r="AH31" i="13"/>
  <c r="AI31" i="13"/>
  <c r="AI772" i="13"/>
  <c r="AG772" i="13"/>
  <c r="AE772" i="13"/>
  <c r="AD772" i="13"/>
  <c r="AJ772" i="13" s="1"/>
  <c r="AH772" i="13"/>
  <c r="AD377" i="13"/>
  <c r="AJ377" i="13" s="1"/>
  <c r="AE377" i="13"/>
  <c r="AG377" i="13"/>
  <c r="AH377" i="13"/>
  <c r="AI377" i="13"/>
  <c r="AD86" i="13"/>
  <c r="AJ86" i="13" s="1"/>
  <c r="AE86" i="13"/>
  <c r="AG86" i="13"/>
  <c r="AH86" i="13"/>
  <c r="AI86" i="13"/>
  <c r="AD72" i="13"/>
  <c r="AJ72" i="13" s="1"/>
  <c r="AE72" i="13"/>
  <c r="AG72" i="13"/>
  <c r="AH72" i="13"/>
  <c r="AI72" i="13"/>
  <c r="AD12" i="13"/>
  <c r="AJ12" i="13" s="1"/>
  <c r="AE12" i="13"/>
  <c r="AG12" i="13"/>
  <c r="AH12" i="13"/>
  <c r="AI12" i="13"/>
  <c r="AD47" i="13"/>
  <c r="AJ47" i="13" s="1"/>
  <c r="AE47" i="13"/>
  <c r="AG47" i="13"/>
  <c r="AH47" i="13"/>
  <c r="AI47" i="13"/>
  <c r="AD486" i="13"/>
  <c r="AJ486" i="13" s="1"/>
  <c r="AE486" i="13"/>
  <c r="AG486" i="13"/>
  <c r="AH486" i="13"/>
  <c r="AI486" i="13"/>
  <c r="AD477" i="13"/>
  <c r="AJ477" i="13" s="1"/>
  <c r="AE477" i="13"/>
  <c r="AG477" i="13"/>
  <c r="AH477" i="13"/>
  <c r="AI477" i="13"/>
  <c r="AD469" i="13"/>
  <c r="AJ469" i="13" s="1"/>
  <c r="AE469" i="13"/>
  <c r="AG469" i="13"/>
  <c r="AH469" i="13"/>
  <c r="AI469" i="13"/>
  <c r="AD464" i="13"/>
  <c r="AJ464" i="13" s="1"/>
  <c r="AE464" i="13"/>
  <c r="AG464" i="13"/>
  <c r="AH464" i="13"/>
  <c r="AI464" i="13"/>
  <c r="AD461" i="13"/>
  <c r="AJ461" i="13" s="1"/>
  <c r="AE461" i="13"/>
  <c r="AG461" i="13"/>
  <c r="AH461" i="13"/>
  <c r="AI461" i="13"/>
  <c r="AD459" i="13"/>
  <c r="AJ459" i="13" s="1"/>
  <c r="AE459" i="13"/>
  <c r="AG459" i="13"/>
  <c r="AH459" i="13"/>
  <c r="AI459" i="13"/>
  <c r="AD456" i="13"/>
  <c r="AJ456" i="13" s="1"/>
  <c r="AE456" i="13"/>
  <c r="AG456" i="13"/>
  <c r="AH456" i="13"/>
  <c r="AI456" i="13"/>
  <c r="AD443" i="13"/>
  <c r="AJ443" i="13" s="1"/>
  <c r="AE443" i="13"/>
  <c r="AG443" i="13"/>
  <c r="AH443" i="13"/>
  <c r="AI443" i="13"/>
  <c r="AD67" i="13"/>
  <c r="AJ67" i="13" s="1"/>
  <c r="AE67" i="13"/>
  <c r="AG67" i="13"/>
  <c r="AH67" i="13"/>
  <c r="AI67" i="13"/>
  <c r="AD62" i="13"/>
  <c r="AJ62" i="13" s="1"/>
  <c r="AE62" i="13"/>
  <c r="AG62" i="13"/>
  <c r="AH62" i="13"/>
  <c r="AI62" i="13"/>
  <c r="AD52" i="13"/>
  <c r="AJ52" i="13" s="1"/>
  <c r="AE52" i="13"/>
  <c r="AG52" i="13"/>
  <c r="AH52" i="13"/>
  <c r="AI52" i="13"/>
  <c r="AD43" i="13"/>
  <c r="AJ43" i="13" s="1"/>
  <c r="AE43" i="13"/>
  <c r="AG43" i="13"/>
  <c r="AH43" i="13"/>
  <c r="AI43" i="13"/>
  <c r="AD510" i="13"/>
  <c r="AJ510" i="13" s="1"/>
  <c r="AE510" i="13"/>
  <c r="AG510" i="13"/>
  <c r="AH510" i="13"/>
  <c r="AI510" i="13"/>
  <c r="AD507" i="13"/>
  <c r="AJ507" i="13" s="1"/>
  <c r="AE507" i="13"/>
  <c r="AG507" i="13"/>
  <c r="AH507" i="13"/>
  <c r="AI507" i="13"/>
  <c r="AD493" i="13"/>
  <c r="AJ493" i="13" s="1"/>
  <c r="AE493" i="13"/>
  <c r="AG493" i="13"/>
  <c r="AH493" i="13"/>
  <c r="AI493" i="13"/>
  <c r="AD489" i="13"/>
  <c r="AJ489" i="13" s="1"/>
  <c r="AE489" i="13"/>
  <c r="AG489" i="13"/>
  <c r="AH489" i="13"/>
  <c r="AI489" i="13"/>
  <c r="AD474" i="13"/>
  <c r="AJ474" i="13" s="1"/>
  <c r="AE474" i="13"/>
  <c r="AG474" i="13"/>
  <c r="AH474" i="13"/>
  <c r="AI474" i="13"/>
  <c r="AD449" i="13"/>
  <c r="AJ449" i="13" s="1"/>
  <c r="AE449" i="13"/>
  <c r="AG449" i="13"/>
  <c r="AH449" i="13"/>
  <c r="AI449" i="13"/>
  <c r="AD49" i="13"/>
  <c r="AJ49" i="13" s="1"/>
  <c r="AE49" i="13"/>
  <c r="AG49" i="13"/>
  <c r="AH49" i="13"/>
  <c r="AI49" i="13"/>
  <c r="AD1000" i="13"/>
  <c r="AJ1000" i="13" s="1"/>
  <c r="AE1000" i="13"/>
  <c r="AI1000" i="13"/>
  <c r="AG1000" i="13"/>
  <c r="AH1000" i="13"/>
  <c r="AG998" i="13"/>
  <c r="AI998" i="13"/>
  <c r="AE998" i="13"/>
  <c r="AD998" i="13"/>
  <c r="AJ998" i="13" s="1"/>
  <c r="AH998" i="13"/>
  <c r="AI952" i="13"/>
  <c r="AG952" i="13"/>
  <c r="AD952" i="13"/>
  <c r="AJ952" i="13" s="1"/>
  <c r="AH952" i="13"/>
  <c r="AE952" i="13"/>
  <c r="AD947" i="13"/>
  <c r="AJ947" i="13" s="1"/>
  <c r="AH947" i="13"/>
  <c r="AE947" i="13"/>
  <c r="AG947" i="13"/>
  <c r="AI947" i="13"/>
  <c r="AD933" i="13"/>
  <c r="AJ933" i="13" s="1"/>
  <c r="AE933" i="13"/>
  <c r="AI933" i="13"/>
  <c r="AG933" i="13"/>
  <c r="AH933" i="13"/>
  <c r="AD924" i="13"/>
  <c r="AJ924" i="13" s="1"/>
  <c r="AH924" i="13"/>
  <c r="AG924" i="13"/>
  <c r="AI924" i="13"/>
  <c r="AE924" i="13"/>
  <c r="AE920" i="13"/>
  <c r="AI920" i="13"/>
  <c r="AD920" i="13"/>
  <c r="AJ920" i="13" s="1"/>
  <c r="AG920" i="13"/>
  <c r="AH920" i="13"/>
  <c r="AG909" i="13"/>
  <c r="AD909" i="13"/>
  <c r="AJ909" i="13" s="1"/>
  <c r="AI909" i="13"/>
  <c r="AE909" i="13"/>
  <c r="AH909" i="13"/>
  <c r="AE894" i="13"/>
  <c r="AD894" i="13"/>
  <c r="AJ894" i="13" s="1"/>
  <c r="AG894" i="13"/>
  <c r="AH894" i="13"/>
  <c r="AI894" i="13"/>
  <c r="AD874" i="13"/>
  <c r="AJ874" i="13" s="1"/>
  <c r="AH874" i="13"/>
  <c r="AI874" i="13"/>
  <c r="AE874" i="13"/>
  <c r="AG874" i="13"/>
  <c r="AD863" i="13"/>
  <c r="AJ863" i="13" s="1"/>
  <c r="AG863" i="13"/>
  <c r="AH863" i="13"/>
  <c r="AI863" i="13"/>
  <c r="AE863" i="13"/>
  <c r="AD569" i="13"/>
  <c r="AJ569" i="13" s="1"/>
  <c r="AE569" i="13"/>
  <c r="AG569" i="13"/>
  <c r="AH569" i="13"/>
  <c r="AI569" i="13"/>
  <c r="AD555" i="13"/>
  <c r="AJ555" i="13" s="1"/>
  <c r="AE555" i="13"/>
  <c r="AG555" i="13"/>
  <c r="AH555" i="13"/>
  <c r="AI555" i="13"/>
  <c r="AD532" i="13"/>
  <c r="AJ532" i="13" s="1"/>
  <c r="AE532" i="13"/>
  <c r="AG532" i="13"/>
  <c r="AH532" i="13"/>
  <c r="AI532" i="13"/>
  <c r="AD506" i="13"/>
  <c r="AJ506" i="13" s="1"/>
  <c r="AE506" i="13"/>
  <c r="AG506" i="13"/>
  <c r="AH506" i="13"/>
  <c r="AI506" i="13"/>
  <c r="AD501" i="13"/>
  <c r="AJ501" i="13" s="1"/>
  <c r="AE501" i="13"/>
  <c r="AG501" i="13"/>
  <c r="AH501" i="13"/>
  <c r="AI501" i="13"/>
  <c r="AD490" i="13"/>
  <c r="AJ490" i="13" s="1"/>
  <c r="AE490" i="13"/>
  <c r="AG490" i="13"/>
  <c r="AH490" i="13"/>
  <c r="AI490" i="13"/>
  <c r="AD482" i="13"/>
  <c r="AJ482" i="13" s="1"/>
  <c r="AE482" i="13"/>
  <c r="AG482" i="13"/>
  <c r="AH482" i="13"/>
  <c r="AI482" i="13"/>
  <c r="AD472" i="13"/>
  <c r="AJ472" i="13" s="1"/>
  <c r="AE472" i="13"/>
  <c r="AG472" i="13"/>
  <c r="AH472" i="13"/>
  <c r="AI472" i="13"/>
  <c r="AD452" i="13"/>
  <c r="AJ452" i="13" s="1"/>
  <c r="AE452" i="13"/>
  <c r="AG452" i="13"/>
  <c r="AH452" i="13"/>
  <c r="AI452" i="13"/>
  <c r="AD70" i="13"/>
  <c r="AJ70" i="13" s="1"/>
  <c r="AE70" i="13"/>
  <c r="AG70" i="13"/>
  <c r="AH70" i="13"/>
  <c r="AI70" i="13"/>
  <c r="AD63" i="13"/>
  <c r="AJ63" i="13" s="1"/>
  <c r="AE63" i="13"/>
  <c r="AG63" i="13"/>
  <c r="AH63" i="13"/>
  <c r="AI63" i="13"/>
  <c r="AD55" i="13"/>
  <c r="AJ55" i="13" s="1"/>
  <c r="AE55" i="13"/>
  <c r="AG55" i="13"/>
  <c r="AH55" i="13"/>
  <c r="AI55" i="13"/>
  <c r="AD42" i="13"/>
  <c r="AJ42" i="13" s="1"/>
  <c r="AE42" i="13"/>
  <c r="AG42" i="13"/>
  <c r="AH42" i="13"/>
  <c r="AI42" i="13"/>
  <c r="AD35" i="13"/>
  <c r="AJ35" i="13" s="1"/>
  <c r="AE35" i="13"/>
  <c r="AG35" i="13"/>
  <c r="AH35" i="13"/>
  <c r="AI35" i="13"/>
  <c r="AG854" i="13"/>
  <c r="AH854" i="13"/>
  <c r="AI854" i="13"/>
  <c r="AD854" i="13"/>
  <c r="AJ854" i="13" s="1"/>
  <c r="AE854" i="13"/>
  <c r="AD856" i="13"/>
  <c r="AJ856" i="13" s="1"/>
  <c r="AI856" i="13"/>
  <c r="AE856" i="13"/>
  <c r="AG856" i="13"/>
  <c r="AH856" i="13"/>
  <c r="AD558" i="13"/>
  <c r="AJ558" i="13" s="1"/>
  <c r="AE558" i="13"/>
  <c r="AG558" i="13"/>
  <c r="AH558" i="13"/>
  <c r="AI558" i="13"/>
  <c r="AD545" i="13"/>
  <c r="AJ545" i="13" s="1"/>
  <c r="AE545" i="13"/>
  <c r="AG545" i="13"/>
  <c r="AH545" i="13"/>
  <c r="AI545" i="13"/>
  <c r="AD537" i="13"/>
  <c r="AJ537" i="13" s="1"/>
  <c r="AE537" i="13"/>
  <c r="AG537" i="13"/>
  <c r="AH537" i="13"/>
  <c r="AI537" i="13"/>
  <c r="AD527" i="13"/>
  <c r="AJ527" i="13" s="1"/>
  <c r="AE527" i="13"/>
  <c r="AG527" i="13"/>
  <c r="AH527" i="13"/>
  <c r="AI527" i="13"/>
  <c r="AI785" i="13"/>
  <c r="AD785" i="13"/>
  <c r="AJ785" i="13" s="1"/>
  <c r="AE785" i="13"/>
  <c r="AG785" i="13"/>
  <c r="AH785" i="13"/>
  <c r="AD783" i="13"/>
  <c r="AJ783" i="13" s="1"/>
  <c r="AE783" i="13"/>
  <c r="AG783" i="13"/>
  <c r="AI783" i="13"/>
  <c r="AH783" i="13"/>
  <c r="AI780" i="13"/>
  <c r="AH780" i="13"/>
  <c r="AG780" i="13"/>
  <c r="AD780" i="13"/>
  <c r="AJ780" i="13" s="1"/>
  <c r="AE780" i="13"/>
  <c r="AD777" i="13"/>
  <c r="AJ777" i="13" s="1"/>
  <c r="AE777" i="13"/>
  <c r="AG777" i="13"/>
  <c r="AI777" i="13"/>
  <c r="AH777" i="13"/>
  <c r="AE774" i="13"/>
  <c r="AI774" i="13"/>
  <c r="AG774" i="13"/>
  <c r="AD774" i="13"/>
  <c r="AJ774" i="13" s="1"/>
  <c r="AH774" i="13"/>
  <c r="AE770" i="13"/>
  <c r="AH770" i="13"/>
  <c r="AI770" i="13"/>
  <c r="AD770" i="13"/>
  <c r="AJ770" i="13" s="1"/>
  <c r="AG770" i="13"/>
  <c r="AD668" i="13"/>
  <c r="AJ668" i="13" s="1"/>
  <c r="AE668" i="13"/>
  <c r="AG668" i="13"/>
  <c r="AH668" i="13"/>
  <c r="AI668" i="13"/>
  <c r="AD30" i="13"/>
  <c r="AJ30" i="13" s="1"/>
  <c r="AE30" i="13"/>
  <c r="AG30" i="13"/>
  <c r="AH30" i="13"/>
  <c r="AI30" i="13"/>
  <c r="AD415" i="13"/>
  <c r="AJ415" i="13" s="1"/>
  <c r="AE415" i="13"/>
  <c r="AG415" i="13"/>
  <c r="AH415" i="13"/>
  <c r="AI415" i="13"/>
  <c r="AD236" i="13"/>
  <c r="AJ236" i="13" s="1"/>
  <c r="AE236" i="13"/>
  <c r="AG236" i="13"/>
  <c r="AH236" i="13"/>
  <c r="AI236" i="13"/>
  <c r="AD232" i="13"/>
  <c r="AJ232" i="13" s="1"/>
  <c r="AE232" i="13"/>
  <c r="AG232" i="13"/>
  <c r="AH232" i="13"/>
  <c r="AI232" i="13"/>
  <c r="AD225" i="13"/>
  <c r="AJ225" i="13" s="1"/>
  <c r="AE225" i="13"/>
  <c r="AG225" i="13"/>
  <c r="AH225" i="13"/>
  <c r="AI225" i="13"/>
  <c r="AD216" i="13"/>
  <c r="AJ216" i="13" s="1"/>
  <c r="AE216" i="13"/>
  <c r="AG216" i="13"/>
  <c r="AH216" i="13"/>
  <c r="AI216" i="13"/>
  <c r="AD212" i="13"/>
  <c r="AJ212" i="13" s="1"/>
  <c r="AE212" i="13"/>
  <c r="AG212" i="13"/>
  <c r="AH212" i="13"/>
  <c r="AI212" i="13"/>
  <c r="AD34" i="13"/>
  <c r="AJ34" i="13" s="1"/>
  <c r="AE34" i="13"/>
  <c r="AG34" i="13"/>
  <c r="AH34" i="13"/>
  <c r="AI34" i="13"/>
  <c r="AD871" i="13"/>
  <c r="AJ871" i="13" s="1"/>
  <c r="AE871" i="13"/>
  <c r="AI871" i="13"/>
  <c r="AH871" i="13"/>
  <c r="AG871" i="13"/>
  <c r="AD480" i="13"/>
  <c r="AJ480" i="13" s="1"/>
  <c r="AE480" i="13"/>
  <c r="AG480" i="13"/>
  <c r="AH480" i="13"/>
  <c r="AI480" i="13"/>
  <c r="AD61" i="13"/>
  <c r="AJ61" i="13" s="1"/>
  <c r="AE61" i="13"/>
  <c r="AG61" i="13"/>
  <c r="AH61" i="13"/>
  <c r="AI61" i="13"/>
  <c r="AD563" i="13"/>
  <c r="AJ563" i="13" s="1"/>
  <c r="AE563" i="13"/>
  <c r="AG563" i="13"/>
  <c r="AH563" i="13"/>
  <c r="AI563" i="13"/>
  <c r="AH786" i="13"/>
  <c r="AD786" i="13"/>
  <c r="AJ786" i="13" s="1"/>
  <c r="AG786" i="13"/>
  <c r="AI786" i="13"/>
  <c r="AE786" i="13"/>
  <c r="AD762" i="13"/>
  <c r="AJ762" i="13" s="1"/>
  <c r="AE762" i="13"/>
  <c r="AG762" i="13"/>
  <c r="AH762" i="13"/>
  <c r="AI762" i="13"/>
  <c r="AD661" i="13"/>
  <c r="AJ661" i="13" s="1"/>
  <c r="AE661" i="13"/>
  <c r="AG661" i="13"/>
  <c r="AH661" i="13"/>
  <c r="AI661" i="13"/>
  <c r="AD93" i="13"/>
  <c r="AJ93" i="13" s="1"/>
  <c r="AE93" i="13"/>
  <c r="AG93" i="13"/>
  <c r="AH93" i="13"/>
  <c r="AI93" i="13"/>
  <c r="AD82" i="13"/>
  <c r="AJ82" i="13" s="1"/>
  <c r="AE82" i="13"/>
  <c r="AG82" i="13"/>
  <c r="AH82" i="13"/>
  <c r="AI82" i="13"/>
  <c r="AD58" i="13"/>
  <c r="AJ58" i="13" s="1"/>
  <c r="AE58" i="13"/>
  <c r="AG58" i="13"/>
  <c r="AH58" i="13"/>
  <c r="AI58" i="13"/>
  <c r="AD16" i="13"/>
  <c r="AJ16" i="13" s="1"/>
  <c r="AE16" i="13"/>
  <c r="AG16" i="13"/>
  <c r="AH16" i="13"/>
  <c r="AI16" i="13"/>
  <c r="AD11" i="13"/>
  <c r="AJ11" i="13" s="1"/>
  <c r="AE11" i="13"/>
  <c r="AG11" i="13"/>
  <c r="AH11" i="13"/>
  <c r="AI11" i="13"/>
  <c r="AD460" i="13"/>
  <c r="AJ460" i="13" s="1"/>
  <c r="AE460" i="13"/>
  <c r="AG460" i="13"/>
  <c r="AH460" i="13"/>
  <c r="AI460" i="13"/>
  <c r="AD500" i="13"/>
  <c r="AJ500" i="13" s="1"/>
  <c r="AE500" i="13"/>
  <c r="AG500" i="13"/>
  <c r="AH500" i="13"/>
  <c r="AI500" i="13"/>
  <c r="AD483" i="13"/>
  <c r="AJ483" i="13" s="1"/>
  <c r="AE483" i="13"/>
  <c r="AG483" i="13"/>
  <c r="AH483" i="13"/>
  <c r="AI483" i="13"/>
  <c r="AD481" i="13"/>
  <c r="AJ481" i="13" s="1"/>
  <c r="AE481" i="13"/>
  <c r="AG481" i="13"/>
  <c r="AH481" i="13"/>
  <c r="AI481" i="13"/>
  <c r="AD479" i="13"/>
  <c r="AJ479" i="13" s="1"/>
  <c r="AE479" i="13"/>
  <c r="AG479" i="13"/>
  <c r="AH479" i="13"/>
  <c r="AI479" i="13"/>
  <c r="AD475" i="13"/>
  <c r="AJ475" i="13" s="1"/>
  <c r="AE475" i="13"/>
  <c r="AG475" i="13"/>
  <c r="AH475" i="13"/>
  <c r="AI475" i="13"/>
  <c r="AD471" i="13"/>
  <c r="AJ471" i="13" s="1"/>
  <c r="AE471" i="13"/>
  <c r="AG471" i="13"/>
  <c r="AH471" i="13"/>
  <c r="AI471" i="13"/>
  <c r="AD467" i="13"/>
  <c r="AJ467" i="13" s="1"/>
  <c r="AE467" i="13"/>
  <c r="AG467" i="13"/>
  <c r="AH467" i="13"/>
  <c r="AI467" i="13"/>
  <c r="AD466" i="13"/>
  <c r="AJ466" i="13" s="1"/>
  <c r="AE466" i="13"/>
  <c r="AG466" i="13"/>
  <c r="AH466" i="13"/>
  <c r="AI466" i="13"/>
  <c r="AD465" i="13"/>
  <c r="AJ465" i="13" s="1"/>
  <c r="AE465" i="13"/>
  <c r="AG465" i="13"/>
  <c r="AH465" i="13"/>
  <c r="AI465" i="13"/>
  <c r="AD463" i="13"/>
  <c r="AJ463" i="13" s="1"/>
  <c r="AE463" i="13"/>
  <c r="AG463" i="13"/>
  <c r="AH463" i="13"/>
  <c r="AI463" i="13"/>
  <c r="AG767" i="13"/>
  <c r="AI767" i="13"/>
  <c r="AH767" i="13"/>
  <c r="AD767" i="13"/>
  <c r="AJ767" i="13" s="1"/>
  <c r="AE767" i="13"/>
  <c r="AE763" i="13"/>
  <c r="AI763" i="13"/>
  <c r="AD763" i="13"/>
  <c r="AJ763" i="13" s="1"/>
  <c r="AH763" i="13"/>
  <c r="AG763" i="13"/>
  <c r="AE761" i="13"/>
  <c r="AI761" i="13"/>
  <c r="AD761" i="13"/>
  <c r="AJ761" i="13" s="1"/>
  <c r="AG761" i="13"/>
  <c r="AH761" i="13"/>
  <c r="AI757" i="13"/>
  <c r="AH757" i="13"/>
  <c r="AE757" i="13"/>
  <c r="AG757" i="13"/>
  <c r="AD757" i="13"/>
  <c r="AJ757" i="13" s="1"/>
  <c r="AH754" i="13"/>
  <c r="AE754" i="13"/>
  <c r="AI754" i="13"/>
  <c r="AD754" i="13"/>
  <c r="AJ754" i="13" s="1"/>
  <c r="AG754" i="13"/>
  <c r="AD662" i="13"/>
  <c r="AJ662" i="13" s="1"/>
  <c r="AE662" i="13"/>
  <c r="AG662" i="13"/>
  <c r="AH662" i="13"/>
  <c r="AI662" i="13"/>
  <c r="AD660" i="13"/>
  <c r="AJ660" i="13" s="1"/>
  <c r="AE660" i="13"/>
  <c r="AG660" i="13"/>
  <c r="AH660" i="13"/>
  <c r="AI660" i="13"/>
  <c r="AD655" i="13"/>
  <c r="AJ655" i="13" s="1"/>
  <c r="AE655" i="13"/>
  <c r="AG655" i="13"/>
  <c r="AH655" i="13"/>
  <c r="AI655" i="13"/>
  <c r="AD652" i="13"/>
  <c r="AJ652" i="13" s="1"/>
  <c r="AE652" i="13"/>
  <c r="AG652" i="13"/>
  <c r="AH652" i="13"/>
  <c r="AI652" i="13"/>
  <c r="AD649" i="13"/>
  <c r="AJ649" i="13" s="1"/>
  <c r="AE649" i="13"/>
  <c r="AG649" i="13"/>
  <c r="AH649" i="13"/>
  <c r="AI649" i="13"/>
  <c r="AD644" i="13"/>
  <c r="AJ644" i="13" s="1"/>
  <c r="AE644" i="13"/>
  <c r="AG644" i="13"/>
  <c r="AH644" i="13"/>
  <c r="AI644" i="13"/>
  <c r="AD640" i="13"/>
  <c r="AJ640" i="13" s="1"/>
  <c r="AE640" i="13"/>
  <c r="AG640" i="13"/>
  <c r="AH640" i="13"/>
  <c r="AI640" i="13"/>
  <c r="AD637" i="13"/>
  <c r="AJ637" i="13" s="1"/>
  <c r="AE637" i="13"/>
  <c r="AG637" i="13"/>
  <c r="AH637" i="13"/>
  <c r="AI637" i="13"/>
  <c r="AD633" i="13"/>
  <c r="AJ633" i="13" s="1"/>
  <c r="AE633" i="13"/>
  <c r="AG633" i="13"/>
  <c r="AH633" i="13"/>
  <c r="AI633" i="13"/>
  <c r="AD629" i="13"/>
  <c r="AJ629" i="13" s="1"/>
  <c r="AE629" i="13"/>
  <c r="AG629" i="13"/>
  <c r="AH629" i="13"/>
  <c r="AI629" i="13"/>
  <c r="AD624" i="13"/>
  <c r="AJ624" i="13" s="1"/>
  <c r="AE624" i="13"/>
  <c r="AG624" i="13"/>
  <c r="AH624" i="13"/>
  <c r="AI624" i="13"/>
  <c r="AD621" i="13"/>
  <c r="AJ621" i="13" s="1"/>
  <c r="AE621" i="13"/>
  <c r="AG621" i="13"/>
  <c r="AH621" i="13"/>
  <c r="AI621" i="13"/>
  <c r="AD617" i="13"/>
  <c r="AJ617" i="13" s="1"/>
  <c r="AE617" i="13"/>
  <c r="AG617" i="13"/>
  <c r="AH617" i="13"/>
  <c r="AI617" i="13"/>
  <c r="AD613" i="13"/>
  <c r="AJ613" i="13" s="1"/>
  <c r="AE613" i="13"/>
  <c r="AG613" i="13"/>
  <c r="AH613" i="13"/>
  <c r="AI613" i="13"/>
  <c r="AD309" i="13"/>
  <c r="AJ309" i="13" s="1"/>
  <c r="AE309" i="13"/>
  <c r="AG309" i="13"/>
  <c r="AH309" i="13"/>
  <c r="AI309" i="13"/>
  <c r="AD138" i="13"/>
  <c r="AJ138" i="13" s="1"/>
  <c r="AE138" i="13"/>
  <c r="AG138" i="13"/>
  <c r="AH138" i="13"/>
  <c r="AI138" i="13"/>
  <c r="AD134" i="13"/>
  <c r="AJ134" i="13" s="1"/>
  <c r="AE134" i="13"/>
  <c r="AG134" i="13"/>
  <c r="AH134" i="13"/>
  <c r="AI134" i="13"/>
  <c r="AD130" i="13"/>
  <c r="AJ130" i="13" s="1"/>
  <c r="AE130" i="13"/>
  <c r="AG130" i="13"/>
  <c r="AH130" i="13"/>
  <c r="AI130" i="13"/>
  <c r="AD127" i="13"/>
  <c r="AJ127" i="13" s="1"/>
  <c r="AE127" i="13"/>
  <c r="AG127" i="13"/>
  <c r="AH127" i="13"/>
  <c r="AI127" i="13"/>
  <c r="AD124" i="13"/>
  <c r="AJ124" i="13" s="1"/>
  <c r="AE124" i="13"/>
  <c r="AG124" i="13"/>
  <c r="AH124" i="13"/>
  <c r="AI124" i="13"/>
  <c r="AD120" i="13"/>
  <c r="AJ120" i="13" s="1"/>
  <c r="AE120" i="13"/>
  <c r="AG120" i="13"/>
  <c r="AH120" i="13"/>
  <c r="AI120" i="13"/>
  <c r="AD116" i="13"/>
  <c r="AJ116" i="13" s="1"/>
  <c r="AE116" i="13"/>
  <c r="AG116" i="13"/>
  <c r="AH116" i="13"/>
  <c r="AI116" i="13"/>
  <c r="AD112" i="13"/>
  <c r="AJ112" i="13" s="1"/>
  <c r="AE112" i="13"/>
  <c r="AG112" i="13"/>
  <c r="AH112" i="13"/>
  <c r="AI112" i="13"/>
  <c r="AD108" i="13"/>
  <c r="AJ108" i="13" s="1"/>
  <c r="AE108" i="13"/>
  <c r="AG108" i="13"/>
  <c r="AH108" i="13"/>
  <c r="AI108" i="13"/>
  <c r="AD103" i="13"/>
  <c r="AJ103" i="13" s="1"/>
  <c r="AE103" i="13"/>
  <c r="AG103" i="13"/>
  <c r="AH103" i="13"/>
  <c r="AI103" i="13"/>
  <c r="AD100" i="13"/>
  <c r="AJ100" i="13" s="1"/>
  <c r="AE100" i="13"/>
  <c r="AG100" i="13"/>
  <c r="AH100" i="13"/>
  <c r="AI100" i="13"/>
  <c r="AE963" i="13"/>
  <c r="AH963" i="13"/>
  <c r="AI963" i="13"/>
  <c r="AD963" i="13"/>
  <c r="AJ963" i="13" s="1"/>
  <c r="AG963" i="13"/>
  <c r="AD600" i="13"/>
  <c r="AJ600" i="13" s="1"/>
  <c r="AE600" i="13"/>
  <c r="AG600" i="13"/>
  <c r="AH600" i="13"/>
  <c r="AI600" i="13"/>
  <c r="AI961" i="13"/>
  <c r="AH961" i="13"/>
  <c r="AD961" i="13"/>
  <c r="AJ961" i="13" s="1"/>
  <c r="AE961" i="13"/>
  <c r="AG961" i="13"/>
  <c r="AD583" i="13"/>
  <c r="AJ583" i="13" s="1"/>
  <c r="AE583" i="13"/>
  <c r="AG583" i="13"/>
  <c r="AH583" i="13"/>
  <c r="AI583" i="13"/>
  <c r="AD578" i="13"/>
  <c r="AJ578" i="13" s="1"/>
  <c r="AE578" i="13"/>
  <c r="AG578" i="13"/>
  <c r="AH578" i="13"/>
  <c r="AI578" i="13"/>
  <c r="AD570" i="13"/>
  <c r="AJ570" i="13" s="1"/>
  <c r="AE570" i="13"/>
  <c r="AG570" i="13"/>
  <c r="AH570" i="13"/>
  <c r="AI570" i="13"/>
  <c r="AD556" i="13"/>
  <c r="AJ556" i="13" s="1"/>
  <c r="AE556" i="13"/>
  <c r="AG556" i="13"/>
  <c r="AH556" i="13"/>
  <c r="AI556" i="13"/>
  <c r="AD538" i="13"/>
  <c r="AJ538" i="13" s="1"/>
  <c r="AE538" i="13"/>
  <c r="AG538" i="13"/>
  <c r="AH538" i="13"/>
  <c r="AI538" i="13"/>
  <c r="AD525" i="13"/>
  <c r="AJ525" i="13" s="1"/>
  <c r="AE525" i="13"/>
  <c r="AG525" i="13"/>
  <c r="AH525" i="13"/>
  <c r="AI525" i="13"/>
  <c r="AD519" i="13"/>
  <c r="AJ519" i="13" s="1"/>
  <c r="AE519" i="13"/>
  <c r="AG519" i="13"/>
  <c r="AH519" i="13"/>
  <c r="AI519" i="13"/>
  <c r="AD509" i="13"/>
  <c r="AJ509" i="13" s="1"/>
  <c r="AE509" i="13"/>
  <c r="AG509" i="13"/>
  <c r="AH509" i="13"/>
  <c r="AI509" i="13"/>
  <c r="AD470" i="13"/>
  <c r="AJ470" i="13" s="1"/>
  <c r="AE470" i="13"/>
  <c r="AG470" i="13"/>
  <c r="AH470" i="13"/>
  <c r="AI470" i="13"/>
  <c r="AD454" i="13"/>
  <c r="AJ454" i="13" s="1"/>
  <c r="AE454" i="13"/>
  <c r="AG454" i="13"/>
  <c r="AH454" i="13"/>
  <c r="AI454" i="13"/>
  <c r="AD66" i="13"/>
  <c r="AJ66" i="13" s="1"/>
  <c r="AE66" i="13"/>
  <c r="AG66" i="13"/>
  <c r="AH66" i="13"/>
  <c r="AI66" i="13"/>
  <c r="AD442" i="13"/>
  <c r="AJ442" i="13" s="1"/>
  <c r="AE442" i="13"/>
  <c r="AG442" i="13"/>
  <c r="AH442" i="13"/>
  <c r="AI442" i="13"/>
  <c r="AD440" i="13"/>
  <c r="AJ440" i="13" s="1"/>
  <c r="AE440" i="13"/>
  <c r="AG440" i="13"/>
  <c r="AH440" i="13"/>
  <c r="AI440" i="13"/>
  <c r="AD332" i="13"/>
  <c r="AJ332" i="13" s="1"/>
  <c r="AE332" i="13"/>
  <c r="AG332" i="13"/>
  <c r="AH332" i="13"/>
  <c r="AI332" i="13"/>
  <c r="AD432" i="13"/>
  <c r="AJ432" i="13" s="1"/>
  <c r="AE432" i="13"/>
  <c r="AG432" i="13"/>
  <c r="AH432" i="13"/>
  <c r="AI432" i="13"/>
  <c r="AD427" i="13"/>
  <c r="AJ427" i="13" s="1"/>
  <c r="AE427" i="13"/>
  <c r="AG427" i="13"/>
  <c r="AH427" i="13"/>
  <c r="AI427" i="13"/>
  <c r="AD422" i="13"/>
  <c r="AJ422" i="13" s="1"/>
  <c r="AE422" i="13"/>
  <c r="AG422" i="13"/>
  <c r="AH422" i="13"/>
  <c r="AI422" i="13"/>
  <c r="AD416" i="13"/>
  <c r="AJ416" i="13" s="1"/>
  <c r="AE416" i="13"/>
  <c r="AG416" i="13"/>
  <c r="AH416" i="13"/>
  <c r="AI416" i="13"/>
  <c r="AD414" i="13"/>
  <c r="AJ414" i="13" s="1"/>
  <c r="AE414" i="13"/>
  <c r="AG414" i="13"/>
  <c r="AH414" i="13"/>
  <c r="AI414" i="13"/>
  <c r="AD410" i="13"/>
  <c r="AJ410" i="13" s="1"/>
  <c r="AE410" i="13"/>
  <c r="AG410" i="13"/>
  <c r="AH410" i="13"/>
  <c r="AI410" i="13"/>
  <c r="AD405" i="13"/>
  <c r="AJ405" i="13" s="1"/>
  <c r="AE405" i="13"/>
  <c r="AG405" i="13"/>
  <c r="AH405" i="13"/>
  <c r="AI405" i="13"/>
  <c r="AD400" i="13"/>
  <c r="AJ400" i="13" s="1"/>
  <c r="AE400" i="13"/>
  <c r="AG400" i="13"/>
  <c r="AH400" i="13"/>
  <c r="AI400" i="13"/>
  <c r="AD396" i="13"/>
  <c r="AJ396" i="13" s="1"/>
  <c r="AE396" i="13"/>
  <c r="AG396" i="13"/>
  <c r="AH396" i="13"/>
  <c r="AI396" i="13"/>
  <c r="AD392" i="13"/>
  <c r="AJ392" i="13" s="1"/>
  <c r="AE392" i="13"/>
  <c r="AG392" i="13"/>
  <c r="AH392" i="13"/>
  <c r="AI392" i="13"/>
  <c r="AD387" i="13"/>
  <c r="AJ387" i="13" s="1"/>
  <c r="AE387" i="13"/>
  <c r="AG387" i="13"/>
  <c r="AH387" i="13"/>
  <c r="AI387" i="13"/>
  <c r="AD383" i="13"/>
  <c r="AJ383" i="13" s="1"/>
  <c r="AE383" i="13"/>
  <c r="AG383" i="13"/>
  <c r="AH383" i="13"/>
  <c r="AI383" i="13"/>
  <c r="AD379" i="13"/>
  <c r="AJ379" i="13" s="1"/>
  <c r="AE379" i="13"/>
  <c r="AG379" i="13"/>
  <c r="AH379" i="13"/>
  <c r="AI379" i="13"/>
  <c r="AD310" i="13"/>
  <c r="AJ310" i="13" s="1"/>
  <c r="AE310" i="13"/>
  <c r="AG310" i="13"/>
  <c r="AH310" i="13"/>
  <c r="AI310" i="13"/>
  <c r="AD295" i="13"/>
  <c r="AJ295" i="13" s="1"/>
  <c r="AE295" i="13"/>
  <c r="AG295" i="13"/>
  <c r="AH295" i="13"/>
  <c r="AI295" i="13"/>
  <c r="AD292" i="13"/>
  <c r="AJ292" i="13" s="1"/>
  <c r="AE292" i="13"/>
  <c r="AG292" i="13"/>
  <c r="AH292" i="13"/>
  <c r="AI292" i="13"/>
  <c r="AD288" i="13"/>
  <c r="AJ288" i="13" s="1"/>
  <c r="AE288" i="13"/>
  <c r="AG288" i="13"/>
  <c r="AH288" i="13"/>
  <c r="AI288" i="13"/>
  <c r="AD98" i="13"/>
  <c r="AJ98" i="13" s="1"/>
  <c r="AE98" i="13"/>
  <c r="AG98" i="13"/>
  <c r="AH98" i="13"/>
  <c r="AI98" i="13"/>
  <c r="AD96" i="13"/>
  <c r="AJ96" i="13" s="1"/>
  <c r="AE96" i="13"/>
  <c r="AG96" i="13"/>
  <c r="AH96" i="13"/>
  <c r="AI96" i="13"/>
  <c r="AD94" i="13"/>
  <c r="AJ94" i="13" s="1"/>
  <c r="AE94" i="13"/>
  <c r="AG94" i="13"/>
  <c r="AH94" i="13"/>
  <c r="AI94" i="13"/>
  <c r="AD92" i="13"/>
  <c r="AJ92" i="13" s="1"/>
  <c r="AE92" i="13"/>
  <c r="AG92" i="13"/>
  <c r="AH92" i="13"/>
  <c r="AI92" i="13"/>
  <c r="AD90" i="13"/>
  <c r="AJ90" i="13" s="1"/>
  <c r="AE90" i="13"/>
  <c r="AG90" i="13"/>
  <c r="AH90" i="13"/>
  <c r="AI90" i="13"/>
  <c r="AD89" i="13"/>
  <c r="AJ89" i="13" s="1"/>
  <c r="AE89" i="13"/>
  <c r="AG89" i="13"/>
  <c r="AH89" i="13"/>
  <c r="AI89" i="13"/>
  <c r="AD87" i="13"/>
  <c r="AJ87" i="13" s="1"/>
  <c r="AE87" i="13"/>
  <c r="AG87" i="13"/>
  <c r="AH87" i="13"/>
  <c r="AI87" i="13"/>
  <c r="AD85" i="13"/>
  <c r="AJ85" i="13" s="1"/>
  <c r="AE85" i="13"/>
  <c r="AG85" i="13"/>
  <c r="AH85" i="13"/>
  <c r="AI85" i="13"/>
  <c r="AD83" i="13"/>
  <c r="AJ83" i="13" s="1"/>
  <c r="AE83" i="13"/>
  <c r="AG83" i="13"/>
  <c r="AH83" i="13"/>
  <c r="AI83" i="13"/>
  <c r="AD81" i="13"/>
  <c r="AJ81" i="13" s="1"/>
  <c r="AE81" i="13"/>
  <c r="AG81" i="13"/>
  <c r="AH81" i="13"/>
  <c r="AI81" i="13"/>
  <c r="AD79" i="13"/>
  <c r="AJ79" i="13" s="1"/>
  <c r="AE79" i="13"/>
  <c r="AG79" i="13"/>
  <c r="AH79" i="13"/>
  <c r="AI79" i="13"/>
  <c r="AD77" i="13"/>
  <c r="AJ77" i="13" s="1"/>
  <c r="AE77" i="13"/>
  <c r="AG77" i="13"/>
  <c r="AH77" i="13"/>
  <c r="AI77" i="13"/>
  <c r="AD75" i="13"/>
  <c r="AJ75" i="13" s="1"/>
  <c r="AE75" i="13"/>
  <c r="AG75" i="13"/>
  <c r="AH75" i="13"/>
  <c r="AI75" i="13"/>
  <c r="AD73" i="13"/>
  <c r="AJ73" i="13" s="1"/>
  <c r="AE73" i="13"/>
  <c r="AG73" i="13"/>
  <c r="AH73" i="13"/>
  <c r="AI73" i="13"/>
  <c r="AD71" i="13"/>
  <c r="AJ71" i="13" s="1"/>
  <c r="AE71" i="13"/>
  <c r="AG71" i="13"/>
  <c r="AH71" i="13"/>
  <c r="AI71" i="13"/>
  <c r="AD60" i="13"/>
  <c r="AJ60" i="13" s="1"/>
  <c r="AE60" i="13"/>
  <c r="AG60" i="13"/>
  <c r="AH60" i="13"/>
  <c r="AI60" i="13"/>
  <c r="AD57" i="13"/>
  <c r="AJ57" i="13" s="1"/>
  <c r="AE57" i="13"/>
  <c r="AG57" i="13"/>
  <c r="AH57" i="13"/>
  <c r="AI57" i="13"/>
  <c r="AD46" i="13"/>
  <c r="AJ46" i="13" s="1"/>
  <c r="AE46" i="13"/>
  <c r="AG46" i="13"/>
  <c r="AH46" i="13"/>
  <c r="AI46" i="13"/>
  <c r="AD21" i="13"/>
  <c r="AJ21" i="13" s="1"/>
  <c r="AE21" i="13"/>
  <c r="AG21" i="13"/>
  <c r="AH21" i="13"/>
  <c r="AI21" i="13"/>
  <c r="AD19" i="13"/>
  <c r="AJ19" i="13" s="1"/>
  <c r="AE19" i="13"/>
  <c r="AG19" i="13"/>
  <c r="AH19" i="13"/>
  <c r="AI19" i="13"/>
  <c r="AD17" i="13"/>
  <c r="AJ17" i="13" s="1"/>
  <c r="AE17" i="13"/>
  <c r="AG17" i="13"/>
  <c r="AH17" i="13"/>
  <c r="AI17" i="13"/>
  <c r="AD15" i="13"/>
  <c r="AJ15" i="13" s="1"/>
  <c r="AE15" i="13"/>
  <c r="AG15" i="13"/>
  <c r="AH15" i="13"/>
  <c r="AI15" i="13"/>
  <c r="AD13" i="13"/>
  <c r="AJ13" i="13" s="1"/>
  <c r="AE13" i="13"/>
  <c r="AG13" i="13"/>
  <c r="AH13" i="13"/>
  <c r="AI13" i="13"/>
  <c r="AD608" i="13"/>
  <c r="AJ608" i="13" s="1"/>
  <c r="AE608" i="13"/>
  <c r="AG608" i="13"/>
  <c r="AH608" i="13"/>
  <c r="AI608" i="13"/>
  <c r="AD604" i="13"/>
  <c r="AJ604" i="13" s="1"/>
  <c r="AE604" i="13"/>
  <c r="AG604" i="13"/>
  <c r="AH604" i="13"/>
  <c r="AI604" i="13"/>
  <c r="AD601" i="13"/>
  <c r="AJ601" i="13" s="1"/>
  <c r="AE601" i="13"/>
  <c r="AG601" i="13"/>
  <c r="AH601" i="13"/>
  <c r="AI601" i="13"/>
  <c r="AD599" i="13"/>
  <c r="AJ599" i="13" s="1"/>
  <c r="AE599" i="13"/>
  <c r="AG599" i="13"/>
  <c r="AH599" i="13"/>
  <c r="AI599" i="13"/>
  <c r="AD594" i="13"/>
  <c r="AJ594" i="13" s="1"/>
  <c r="AE594" i="13"/>
  <c r="AG594" i="13"/>
  <c r="AH594" i="13"/>
  <c r="AI594" i="13"/>
  <c r="AD592" i="13"/>
  <c r="AJ592" i="13" s="1"/>
  <c r="AE592" i="13"/>
  <c r="AG592" i="13"/>
  <c r="AH592" i="13"/>
  <c r="AI592" i="13"/>
  <c r="AD41" i="13"/>
  <c r="AJ41" i="13" s="1"/>
  <c r="AE41" i="13"/>
  <c r="AG41" i="13"/>
  <c r="AH41" i="13"/>
  <c r="AI41" i="13"/>
  <c r="AD40" i="13"/>
  <c r="AJ40" i="13" s="1"/>
  <c r="AE40" i="13"/>
  <c r="AG40" i="13"/>
  <c r="AH40" i="13"/>
  <c r="AI40" i="13"/>
  <c r="AD33" i="13"/>
  <c r="AJ33" i="13" s="1"/>
  <c r="AE33" i="13"/>
  <c r="AG33" i="13"/>
  <c r="AH33" i="13"/>
  <c r="AI33" i="13"/>
  <c r="AD32" i="13"/>
  <c r="AJ32" i="13" s="1"/>
  <c r="AE32" i="13"/>
  <c r="AG32" i="13"/>
  <c r="AH32" i="13"/>
  <c r="AI32" i="13"/>
  <c r="AE996" i="13"/>
  <c r="AG996" i="13"/>
  <c r="AD996" i="13"/>
  <c r="AJ996" i="13" s="1"/>
  <c r="AH996" i="13"/>
  <c r="AI996" i="13"/>
  <c r="AE994" i="13"/>
  <c r="AH994" i="13"/>
  <c r="AD994" i="13"/>
  <c r="AJ994" i="13" s="1"/>
  <c r="AI994" i="13"/>
  <c r="AG994" i="13"/>
  <c r="AE993" i="13"/>
  <c r="AI993" i="13"/>
  <c r="AG993" i="13"/>
  <c r="AD993" i="13"/>
  <c r="AJ993" i="13" s="1"/>
  <c r="AH993" i="13"/>
  <c r="AD992" i="13"/>
  <c r="AJ992" i="13" s="1"/>
  <c r="AH992" i="13"/>
  <c r="AG992" i="13"/>
  <c r="AE992" i="13"/>
  <c r="AI992" i="13"/>
  <c r="AD991" i="13"/>
  <c r="AJ991" i="13" s="1"/>
  <c r="AG991" i="13"/>
  <c r="AE991" i="13"/>
  <c r="AH991" i="13"/>
  <c r="AI991" i="13"/>
  <c r="AG989" i="13"/>
  <c r="AH989" i="13"/>
  <c r="AD989" i="13"/>
  <c r="AJ989" i="13" s="1"/>
  <c r="AE989" i="13"/>
  <c r="AI989" i="13"/>
  <c r="AD988" i="13"/>
  <c r="AJ988" i="13" s="1"/>
  <c r="AG988" i="13"/>
  <c r="AE988" i="13"/>
  <c r="AH988" i="13"/>
  <c r="AI988" i="13"/>
  <c r="AD987" i="13"/>
  <c r="AJ987" i="13" s="1"/>
  <c r="AE987" i="13"/>
  <c r="AH987" i="13"/>
  <c r="AI987" i="13"/>
  <c r="AG987" i="13"/>
  <c r="AI985" i="13"/>
  <c r="AD985" i="13"/>
  <c r="AJ985" i="13" s="1"/>
  <c r="AE985" i="13"/>
  <c r="AG985" i="13"/>
  <c r="AH985" i="13"/>
  <c r="AD984" i="13"/>
  <c r="AJ984" i="13" s="1"/>
  <c r="AE984" i="13"/>
  <c r="AG984" i="13"/>
  <c r="AH984" i="13"/>
  <c r="AI984" i="13"/>
  <c r="AE983" i="13"/>
  <c r="AG983" i="13"/>
  <c r="AH983" i="13"/>
  <c r="AI983" i="13"/>
  <c r="AD983" i="13"/>
  <c r="AJ983" i="13" s="1"/>
  <c r="AD670" i="13"/>
  <c r="AJ670" i="13" s="1"/>
  <c r="AE670" i="13"/>
  <c r="AG670" i="13"/>
  <c r="AH670" i="13"/>
  <c r="AI670" i="13"/>
  <c r="AD589" i="13"/>
  <c r="AJ589" i="13" s="1"/>
  <c r="AE589" i="13"/>
  <c r="AG589" i="13"/>
  <c r="AH589" i="13"/>
  <c r="AI589" i="13"/>
  <c r="AD221" i="13"/>
  <c r="AJ221" i="13" s="1"/>
  <c r="AE221" i="13"/>
  <c r="AG221" i="13"/>
  <c r="AH221" i="13"/>
  <c r="AI221" i="13"/>
  <c r="AD214" i="13"/>
  <c r="AJ214" i="13" s="1"/>
  <c r="AE214" i="13"/>
  <c r="AG214" i="13"/>
  <c r="AH214" i="13"/>
  <c r="AI214" i="13"/>
  <c r="AD997" i="13"/>
  <c r="AJ997" i="13" s="1"/>
  <c r="AE997" i="13"/>
  <c r="AH997" i="13"/>
  <c r="AI997" i="13"/>
  <c r="AG997" i="13"/>
  <c r="AG906" i="13"/>
  <c r="AD906" i="13"/>
  <c r="AJ906" i="13" s="1"/>
  <c r="AE906" i="13"/>
  <c r="AH906" i="13"/>
  <c r="AI906" i="13"/>
  <c r="AD540" i="13"/>
  <c r="AJ540" i="13" s="1"/>
  <c r="AE540" i="13"/>
  <c r="AG540" i="13"/>
  <c r="AH540" i="13"/>
  <c r="AI540" i="13"/>
  <c r="AD468" i="13"/>
  <c r="AJ468" i="13" s="1"/>
  <c r="AE468" i="13"/>
  <c r="AG468" i="13"/>
  <c r="AH468" i="13"/>
  <c r="AI468" i="13"/>
  <c r="AG853" i="13"/>
  <c r="AD853" i="13"/>
  <c r="AJ853" i="13" s="1"/>
  <c r="AI853" i="13"/>
  <c r="AE853" i="13"/>
  <c r="AH853" i="13"/>
  <c r="AI768" i="13"/>
  <c r="AH768" i="13"/>
  <c r="AE768" i="13"/>
  <c r="AG768" i="13"/>
  <c r="AD768" i="13"/>
  <c r="AJ768" i="13" s="1"/>
  <c r="AD290" i="13"/>
  <c r="AJ290" i="13" s="1"/>
  <c r="AE290" i="13"/>
  <c r="AG290" i="13"/>
  <c r="AH290" i="13"/>
  <c r="AI290" i="13"/>
  <c r="AD80" i="13"/>
  <c r="AJ80" i="13" s="1"/>
  <c r="AE80" i="13"/>
  <c r="AG80" i="13"/>
  <c r="AH80" i="13"/>
  <c r="AI80" i="13"/>
  <c r="AD54" i="13"/>
  <c r="AJ54" i="13" s="1"/>
  <c r="AE54" i="13"/>
  <c r="AG54" i="13"/>
  <c r="AH54" i="13"/>
  <c r="AI54" i="13"/>
  <c r="G21" i="13"/>
  <c r="I21" i="13"/>
  <c r="I20" i="13"/>
  <c r="I23" i="13"/>
  <c r="I24" i="13"/>
  <c r="I19" i="13"/>
  <c r="D20" i="13"/>
  <c r="D21" i="13"/>
  <c r="S8" i="15"/>
  <c r="U5" i="15"/>
  <c r="U8" i="15"/>
  <c r="S5" i="15"/>
  <c r="U6" i="15"/>
  <c r="S7" i="15"/>
  <c r="B4" i="13"/>
  <c r="AD10" i="13"/>
  <c r="AJ10" i="13" s="1"/>
  <c r="AE10" i="13"/>
  <c r="AG10" i="13"/>
  <c r="AH10" i="13"/>
  <c r="AD513" i="13"/>
  <c r="AJ513" i="13" s="1"/>
  <c r="AE513" i="13"/>
  <c r="AG513" i="13"/>
  <c r="AH513" i="13"/>
  <c r="AI513" i="13"/>
  <c r="AE976" i="13"/>
  <c r="AG976" i="13"/>
  <c r="AI976" i="13"/>
  <c r="AD976" i="13"/>
  <c r="AJ976" i="13" s="1"/>
  <c r="AH976" i="13"/>
  <c r="AH960" i="13"/>
  <c r="AD960" i="13"/>
  <c r="AJ960" i="13" s="1"/>
  <c r="AE960" i="13"/>
  <c r="AG960" i="13"/>
  <c r="AI960" i="13"/>
  <c r="AD935" i="13"/>
  <c r="AJ935" i="13" s="1"/>
  <c r="AE935" i="13"/>
  <c r="AG935" i="13"/>
  <c r="AH935" i="13"/>
  <c r="AI935" i="13"/>
  <c r="AH902" i="13"/>
  <c r="AI902" i="13"/>
  <c r="AG902" i="13"/>
  <c r="AE902" i="13"/>
  <c r="AD902" i="13"/>
  <c r="AJ902" i="13" s="1"/>
  <c r="AH888" i="13"/>
  <c r="AI888" i="13"/>
  <c r="AD888" i="13"/>
  <c r="AJ888" i="13" s="1"/>
  <c r="AE888" i="13"/>
  <c r="AG888" i="13"/>
  <c r="AG868" i="13"/>
  <c r="AD868" i="13"/>
  <c r="AJ868" i="13" s="1"/>
  <c r="AE868" i="13"/>
  <c r="AH868" i="13"/>
  <c r="AI868" i="13"/>
  <c r="AD553" i="13"/>
  <c r="AJ553" i="13" s="1"/>
  <c r="AE553" i="13"/>
  <c r="AG553" i="13"/>
  <c r="AH553" i="13"/>
  <c r="AI553" i="13"/>
  <c r="AD530" i="13"/>
  <c r="AJ530" i="13" s="1"/>
  <c r="AE530" i="13"/>
  <c r="AG530" i="13"/>
  <c r="AH530" i="13"/>
  <c r="AI530" i="13"/>
  <c r="AD495" i="13"/>
  <c r="AJ495" i="13" s="1"/>
  <c r="AE495" i="13"/>
  <c r="AG495" i="13"/>
  <c r="AH495" i="13"/>
  <c r="AI495" i="13"/>
  <c r="AD478" i="13"/>
  <c r="AJ478" i="13" s="1"/>
  <c r="AE478" i="13"/>
  <c r="AI10" i="13" s="1"/>
  <c r="AG478" i="13"/>
  <c r="AH478" i="13"/>
  <c r="AI478" i="13"/>
  <c r="AD967" i="13"/>
  <c r="AJ967" i="13" s="1"/>
  <c r="AH967" i="13"/>
  <c r="AG967" i="13"/>
  <c r="AI967" i="13"/>
  <c r="AE967" i="13"/>
  <c r="AD937" i="13"/>
  <c r="AJ937" i="13" s="1"/>
  <c r="AG937" i="13"/>
  <c r="AH937" i="13"/>
  <c r="AI937" i="13"/>
  <c r="AE937" i="13"/>
  <c r="AH916" i="13"/>
  <c r="AD916" i="13"/>
  <c r="AJ916" i="13" s="1"/>
  <c r="AE916" i="13"/>
  <c r="AG916" i="13"/>
  <c r="AI916" i="13"/>
  <c r="AG903" i="13"/>
  <c r="AD903" i="13"/>
  <c r="AJ903" i="13" s="1"/>
  <c r="AH903" i="13"/>
  <c r="AE903" i="13"/>
  <c r="AI903" i="13"/>
  <c r="AG877" i="13"/>
  <c r="AI877" i="13"/>
  <c r="AH877" i="13"/>
  <c r="AD877" i="13"/>
  <c r="AJ877" i="13" s="1"/>
  <c r="AE877" i="13"/>
  <c r="AG857" i="13"/>
  <c r="AE857" i="13"/>
  <c r="AH857" i="13"/>
  <c r="AD857" i="13"/>
  <c r="AJ857" i="13" s="1"/>
  <c r="AI857" i="13"/>
  <c r="AD548" i="13"/>
  <c r="AJ548" i="13" s="1"/>
  <c r="AE548" i="13"/>
  <c r="AG548" i="13"/>
  <c r="AH548" i="13"/>
  <c r="AI548" i="13"/>
  <c r="AD503" i="13"/>
  <c r="AJ503" i="13" s="1"/>
  <c r="AE503" i="13"/>
  <c r="AG503" i="13"/>
  <c r="AH503" i="13"/>
  <c r="AI503" i="13"/>
  <c r="AD496" i="13"/>
  <c r="AJ496" i="13" s="1"/>
  <c r="AE496" i="13"/>
  <c r="AG496" i="13"/>
  <c r="AH496" i="13"/>
  <c r="AI496" i="13"/>
  <c r="AD476" i="13"/>
  <c r="AJ476" i="13" s="1"/>
  <c r="AE476" i="13"/>
  <c r="AG476" i="13"/>
  <c r="AH476" i="13"/>
  <c r="AI476" i="13"/>
  <c r="AD69" i="13"/>
  <c r="AJ69" i="13" s="1"/>
  <c r="AE69" i="13"/>
  <c r="AG69" i="13"/>
  <c r="AH69" i="13"/>
  <c r="AI69" i="13"/>
  <c r="AD48" i="13"/>
  <c r="AJ48" i="13" s="1"/>
  <c r="AE48" i="13"/>
  <c r="AG48" i="13"/>
  <c r="AH48" i="13"/>
  <c r="AI48" i="13"/>
  <c r="AD36" i="13"/>
  <c r="AJ36" i="13" s="1"/>
  <c r="AE36" i="13"/>
  <c r="AG36" i="13"/>
  <c r="AH36" i="13"/>
  <c r="AI36" i="13"/>
  <c r="AG859" i="13"/>
  <c r="AD859" i="13"/>
  <c r="AJ859" i="13" s="1"/>
  <c r="AE859" i="13"/>
  <c r="AI859" i="13"/>
  <c r="AH859" i="13"/>
  <c r="AD557" i="13"/>
  <c r="AJ557" i="13" s="1"/>
  <c r="AE557" i="13"/>
  <c r="AG557" i="13"/>
  <c r="AH557" i="13"/>
  <c r="AI557" i="13"/>
  <c r="AD534" i="13"/>
  <c r="AJ534" i="13" s="1"/>
  <c r="AE534" i="13"/>
  <c r="AG534" i="13"/>
  <c r="AH534" i="13"/>
  <c r="AI534" i="13"/>
  <c r="AD504" i="13"/>
  <c r="AJ504" i="13" s="1"/>
  <c r="AE504" i="13"/>
  <c r="AG504" i="13"/>
  <c r="AH504" i="13"/>
  <c r="AI504" i="13"/>
  <c r="AD781" i="13"/>
  <c r="AJ781" i="13" s="1"/>
  <c r="AH781" i="13"/>
  <c r="AI781" i="13"/>
  <c r="AG781" i="13"/>
  <c r="AE781" i="13"/>
  <c r="AG776" i="13"/>
  <c r="AI776" i="13"/>
  <c r="AE776" i="13"/>
  <c r="AH776" i="13"/>
  <c r="AD776" i="13"/>
  <c r="AJ776" i="13" s="1"/>
  <c r="AE771" i="13"/>
  <c r="AD771" i="13"/>
  <c r="AJ771" i="13" s="1"/>
  <c r="AG771" i="13"/>
  <c r="AI771" i="13"/>
  <c r="AH771" i="13"/>
  <c r="AD765" i="13"/>
  <c r="AJ765" i="13" s="1"/>
  <c r="AI765" i="13"/>
  <c r="AH765" i="13"/>
  <c r="AG765" i="13"/>
  <c r="AE765" i="13"/>
  <c r="AE759" i="13"/>
  <c r="AH759" i="13"/>
  <c r="AG759" i="13"/>
  <c r="AI759" i="13"/>
  <c r="AD759" i="13"/>
  <c r="AJ759" i="13" s="1"/>
  <c r="AG753" i="13"/>
  <c r="AI753" i="13"/>
  <c r="AE753" i="13"/>
  <c r="AD753" i="13"/>
  <c r="AJ753" i="13" s="1"/>
  <c r="AH753" i="13"/>
  <c r="AD136" i="13"/>
  <c r="AJ136" i="13" s="1"/>
  <c r="AE136" i="13"/>
  <c r="AG136" i="13"/>
  <c r="AH136" i="13"/>
  <c r="AI136" i="13"/>
  <c r="AD128" i="13"/>
  <c r="AJ128" i="13" s="1"/>
  <c r="AE128" i="13"/>
  <c r="AG128" i="13"/>
  <c r="AH128" i="13"/>
  <c r="AI128" i="13"/>
  <c r="AD122" i="13"/>
  <c r="AJ122" i="13" s="1"/>
  <c r="AE122" i="13"/>
  <c r="AG122" i="13"/>
  <c r="AH122" i="13"/>
  <c r="AI122" i="13"/>
  <c r="AD115" i="13"/>
  <c r="AJ115" i="13" s="1"/>
  <c r="AE115" i="13"/>
  <c r="AG115" i="13"/>
  <c r="AH115" i="13"/>
  <c r="AI115" i="13"/>
  <c r="AD107" i="13"/>
  <c r="AJ107" i="13" s="1"/>
  <c r="AE107" i="13"/>
  <c r="AG107" i="13"/>
  <c r="AH107" i="13"/>
  <c r="AI107" i="13"/>
  <c r="AI990" i="13"/>
  <c r="AG990" i="13"/>
  <c r="AH990" i="13"/>
  <c r="AD990" i="13"/>
  <c r="AJ990" i="13" s="1"/>
  <c r="AE990" i="13"/>
  <c r="AD588" i="13"/>
  <c r="AJ588" i="13" s="1"/>
  <c r="AE588" i="13"/>
  <c r="AG588" i="13"/>
  <c r="AH588" i="13"/>
  <c r="AI588" i="13"/>
  <c r="AD575" i="13"/>
  <c r="AJ575" i="13" s="1"/>
  <c r="AE575" i="13"/>
  <c r="AG575" i="13"/>
  <c r="AH575" i="13"/>
  <c r="AI575" i="13"/>
  <c r="AD643" i="13"/>
  <c r="AJ643" i="13" s="1"/>
  <c r="AE643" i="13"/>
  <c r="AG643" i="13"/>
  <c r="AH643" i="13"/>
  <c r="AI643" i="13"/>
  <c r="AD622" i="13"/>
  <c r="AJ622" i="13" s="1"/>
  <c r="AE622" i="13"/>
  <c r="AG622" i="13"/>
  <c r="AH622" i="13"/>
  <c r="AI622" i="13"/>
  <c r="AD605" i="13"/>
  <c r="AJ605" i="13" s="1"/>
  <c r="AE605" i="13"/>
  <c r="AG605" i="13"/>
  <c r="AH605" i="13"/>
  <c r="AI605" i="13"/>
  <c r="AD591" i="13"/>
  <c r="AJ591" i="13" s="1"/>
  <c r="AE591" i="13"/>
  <c r="AG591" i="13"/>
  <c r="AH591" i="13"/>
  <c r="AI591" i="13"/>
  <c r="AE850" i="13"/>
  <c r="AG850" i="13"/>
  <c r="AH850" i="13"/>
  <c r="AI850" i="13"/>
  <c r="AD850" i="13"/>
  <c r="AJ850" i="13" s="1"/>
  <c r="AH847" i="13"/>
  <c r="AD847" i="13"/>
  <c r="AJ847" i="13" s="1"/>
  <c r="AG847" i="13"/>
  <c r="AE847" i="13"/>
  <c r="AI847" i="13"/>
  <c r="AI844" i="13"/>
  <c r="AD844" i="13"/>
  <c r="AJ844" i="13" s="1"/>
  <c r="AH844" i="13"/>
  <c r="AG844" i="13"/>
  <c r="AE844" i="13"/>
  <c r="AG842" i="13"/>
  <c r="AD842" i="13"/>
  <c r="AJ842" i="13" s="1"/>
  <c r="AH842" i="13"/>
  <c r="AE842" i="13"/>
  <c r="AI842" i="13"/>
  <c r="AD839" i="13"/>
  <c r="AJ839" i="13" s="1"/>
  <c r="AE839" i="13"/>
  <c r="AG839" i="13"/>
  <c r="AH839" i="13"/>
  <c r="AI839" i="13"/>
  <c r="AD667" i="13"/>
  <c r="AJ667" i="13" s="1"/>
  <c r="AE667" i="13"/>
  <c r="AG667" i="13"/>
  <c r="AH667" i="13"/>
  <c r="AI667" i="13"/>
  <c r="AD672" i="13"/>
  <c r="AJ672" i="13" s="1"/>
  <c r="AE672" i="13"/>
  <c r="AG672" i="13"/>
  <c r="AH672" i="13"/>
  <c r="AI672" i="13"/>
  <c r="AD436" i="13"/>
  <c r="AJ436" i="13" s="1"/>
  <c r="AE436" i="13"/>
  <c r="AG436" i="13"/>
  <c r="AH436" i="13"/>
  <c r="AI436" i="13"/>
  <c r="AD511" i="13"/>
  <c r="AJ511" i="13" s="1"/>
  <c r="AE511" i="13"/>
  <c r="AG511" i="13"/>
  <c r="AH511" i="13"/>
  <c r="AI511" i="13"/>
  <c r="AD437" i="13"/>
  <c r="AJ437" i="13" s="1"/>
  <c r="AE437" i="13"/>
  <c r="AG437" i="13"/>
  <c r="AH437" i="13"/>
  <c r="AI437" i="13"/>
  <c r="AD421" i="13"/>
  <c r="AJ421" i="13" s="1"/>
  <c r="AE421" i="13"/>
  <c r="AG421" i="13"/>
  <c r="AH421" i="13"/>
  <c r="AI421" i="13"/>
  <c r="AD234" i="13"/>
  <c r="AJ234" i="13" s="1"/>
  <c r="AE234" i="13"/>
  <c r="AG234" i="13"/>
  <c r="AH234" i="13"/>
  <c r="AI234" i="13"/>
  <c r="AD228" i="13"/>
  <c r="AJ228" i="13" s="1"/>
  <c r="AE228" i="13"/>
  <c r="AG228" i="13"/>
  <c r="AH228" i="13"/>
  <c r="AI228" i="13"/>
  <c r="AD213" i="13"/>
  <c r="AJ213" i="13" s="1"/>
  <c r="AE213" i="13"/>
  <c r="AG213" i="13"/>
  <c r="AH213" i="13"/>
  <c r="AI213" i="13"/>
  <c r="AD209" i="13"/>
  <c r="AJ209" i="13" s="1"/>
  <c r="AE209" i="13"/>
  <c r="AG209" i="13"/>
  <c r="AH209" i="13"/>
  <c r="AI209" i="13"/>
  <c r="AD448" i="13"/>
  <c r="AJ448" i="13" s="1"/>
  <c r="AE448" i="13"/>
  <c r="AG448" i="13"/>
  <c r="AH448" i="13"/>
  <c r="AI448" i="13"/>
  <c r="AD949" i="13"/>
  <c r="AJ949" i="13" s="1"/>
  <c r="AG949" i="13"/>
  <c r="AH949" i="13"/>
  <c r="AE949" i="13"/>
  <c r="AI949" i="13"/>
  <c r="AD37" i="13"/>
  <c r="AJ37" i="13" s="1"/>
  <c r="AE37" i="13"/>
  <c r="AG37" i="13"/>
  <c r="AH37" i="13"/>
  <c r="AI37" i="13"/>
  <c r="AD544" i="13"/>
  <c r="AJ544" i="13" s="1"/>
  <c r="AE544" i="13"/>
  <c r="AG544" i="13"/>
  <c r="AH544" i="13"/>
  <c r="AI544" i="13"/>
  <c r="AG778" i="13"/>
  <c r="AH778" i="13"/>
  <c r="AE778" i="13"/>
  <c r="AI778" i="13"/>
  <c r="AD778" i="13"/>
  <c r="AJ778" i="13" s="1"/>
  <c r="AD752" i="13"/>
  <c r="AJ752" i="13" s="1"/>
  <c r="AG752" i="13"/>
  <c r="AI752" i="13"/>
  <c r="AE752" i="13"/>
  <c r="AH752" i="13"/>
  <c r="AD380" i="13"/>
  <c r="AJ380" i="13" s="1"/>
  <c r="AE380" i="13"/>
  <c r="AG380" i="13"/>
  <c r="AH380" i="13"/>
  <c r="AI380" i="13"/>
  <c r="AD99" i="13"/>
  <c r="AJ99" i="13" s="1"/>
  <c r="AE99" i="13"/>
  <c r="AG99" i="13"/>
  <c r="AH99" i="13"/>
  <c r="AI99" i="13"/>
  <c r="AD91" i="13"/>
  <c r="AJ91" i="13" s="1"/>
  <c r="AE91" i="13"/>
  <c r="AG91" i="13"/>
  <c r="AH91" i="13"/>
  <c r="AI91" i="13"/>
  <c r="AD78" i="13"/>
  <c r="AJ78" i="13" s="1"/>
  <c r="AE78" i="13"/>
  <c r="AG78" i="13"/>
  <c r="AH78" i="13"/>
  <c r="AI78" i="13"/>
  <c r="AD64" i="13"/>
  <c r="AJ64" i="13" s="1"/>
  <c r="AE64" i="13"/>
  <c r="AG64" i="13"/>
  <c r="AH64" i="13"/>
  <c r="AI64" i="13"/>
  <c r="AD18" i="13"/>
  <c r="AJ18" i="13" s="1"/>
  <c r="AE18" i="13"/>
  <c r="AG18" i="13"/>
  <c r="AH18" i="13"/>
  <c r="AI18" i="13"/>
  <c r="AD445" i="13"/>
  <c r="AJ445" i="13" s="1"/>
  <c r="AE445" i="13"/>
  <c r="AG445" i="13"/>
  <c r="AH445" i="13"/>
  <c r="AI445" i="13"/>
  <c r="AD39" i="13"/>
  <c r="AJ39" i="13" s="1"/>
  <c r="AE39" i="13"/>
  <c r="AG39" i="13"/>
  <c r="AH39" i="13"/>
  <c r="AI39" i="13"/>
  <c r="AD492" i="13"/>
  <c r="AJ492" i="13" s="1"/>
  <c r="AE492" i="13"/>
  <c r="AG492" i="13"/>
  <c r="AH492" i="13"/>
  <c r="AI492" i="13"/>
  <c r="AE980" i="13"/>
  <c r="AH980" i="13"/>
  <c r="AD980" i="13"/>
  <c r="AJ980" i="13" s="1"/>
  <c r="AG980" i="13"/>
  <c r="AI980" i="13"/>
  <c r="AG979" i="13"/>
  <c r="AD979" i="13"/>
  <c r="AJ979" i="13" s="1"/>
  <c r="AH979" i="13"/>
  <c r="AI979" i="13"/>
  <c r="AE979" i="13"/>
  <c r="AG974" i="13"/>
  <c r="AI974" i="13"/>
  <c r="AE974" i="13"/>
  <c r="AH974" i="13"/>
  <c r="AD974" i="13"/>
  <c r="AJ974" i="13" s="1"/>
  <c r="AE971" i="13"/>
  <c r="AH971" i="13"/>
  <c r="AI971" i="13"/>
  <c r="AG971" i="13"/>
  <c r="AD971" i="13"/>
  <c r="AJ971" i="13" s="1"/>
  <c r="AD964" i="13"/>
  <c r="AJ964" i="13" s="1"/>
  <c r="AH964" i="13"/>
  <c r="AG964" i="13"/>
  <c r="AI964" i="13"/>
  <c r="AE964" i="13"/>
  <c r="AI957" i="13"/>
  <c r="AD957" i="13"/>
  <c r="AJ957" i="13" s="1"/>
  <c r="AE957" i="13"/>
  <c r="AG957" i="13"/>
  <c r="AH957" i="13"/>
  <c r="AI944" i="13"/>
  <c r="AD944" i="13"/>
  <c r="AJ944" i="13" s="1"/>
  <c r="AH944" i="13"/>
  <c r="AE944" i="13"/>
  <c r="AG944" i="13"/>
  <c r="AH932" i="13"/>
  <c r="AD932" i="13"/>
  <c r="AJ932" i="13" s="1"/>
  <c r="AE932" i="13"/>
  <c r="AG932" i="13"/>
  <c r="AI932" i="13"/>
  <c r="AD921" i="13"/>
  <c r="AJ921" i="13" s="1"/>
  <c r="AE921" i="13"/>
  <c r="AG921" i="13"/>
  <c r="AH921" i="13"/>
  <c r="AI921" i="13"/>
  <c r="AH910" i="13"/>
  <c r="AI910" i="13"/>
  <c r="AD910" i="13"/>
  <c r="AJ910" i="13" s="1"/>
  <c r="AE910" i="13"/>
  <c r="AG910" i="13"/>
  <c r="AH893" i="13"/>
  <c r="AG893" i="13"/>
  <c r="AD893" i="13"/>
  <c r="AJ893" i="13" s="1"/>
  <c r="AI893" i="13"/>
  <c r="AE893" i="13"/>
  <c r="AG890" i="13"/>
  <c r="AH890" i="13"/>
  <c r="AE890" i="13"/>
  <c r="AI890" i="13"/>
  <c r="AD890" i="13"/>
  <c r="AJ890" i="13" s="1"/>
  <c r="AH887" i="13"/>
  <c r="AE887" i="13"/>
  <c r="AD887" i="13"/>
  <c r="AJ887" i="13" s="1"/>
  <c r="AG887" i="13"/>
  <c r="AI887" i="13"/>
  <c r="AD883" i="13"/>
  <c r="AJ883" i="13" s="1"/>
  <c r="AH883" i="13"/>
  <c r="AG883" i="13"/>
  <c r="AE883" i="13"/>
  <c r="AI883" i="13"/>
  <c r="AG870" i="13"/>
  <c r="AH870" i="13"/>
  <c r="AE870" i="13"/>
  <c r="AD870" i="13"/>
  <c r="AJ870" i="13" s="1"/>
  <c r="AI870" i="13"/>
  <c r="AD858" i="13"/>
  <c r="AJ858" i="13" s="1"/>
  <c r="AG858" i="13"/>
  <c r="AH858" i="13"/>
  <c r="AI858" i="13"/>
  <c r="AE858" i="13"/>
  <c r="AD566" i="13"/>
  <c r="AJ566" i="13" s="1"/>
  <c r="AE566" i="13"/>
  <c r="AG566" i="13"/>
  <c r="AH566" i="13"/>
  <c r="AI566" i="13"/>
  <c r="AD547" i="13"/>
  <c r="AJ547" i="13" s="1"/>
  <c r="AE547" i="13"/>
  <c r="AG547" i="13"/>
  <c r="AH547" i="13"/>
  <c r="AI547" i="13"/>
  <c r="AD542" i="13"/>
  <c r="AJ542" i="13" s="1"/>
  <c r="AE542" i="13"/>
  <c r="AG542" i="13"/>
  <c r="AH542" i="13"/>
  <c r="AI542" i="13"/>
  <c r="AD539" i="13"/>
  <c r="AJ539" i="13" s="1"/>
  <c r="AE539" i="13"/>
  <c r="AG539" i="13"/>
  <c r="AH539" i="13"/>
  <c r="AI539" i="13"/>
  <c r="AD528" i="13"/>
  <c r="AJ528" i="13" s="1"/>
  <c r="AE528" i="13"/>
  <c r="AG528" i="13"/>
  <c r="AH528" i="13"/>
  <c r="AI528" i="13"/>
  <c r="AD521" i="13"/>
  <c r="AJ521" i="13" s="1"/>
  <c r="AE521" i="13"/>
  <c r="AG521" i="13"/>
  <c r="AH521" i="13"/>
  <c r="AI521" i="13"/>
  <c r="AH836" i="13"/>
  <c r="AD836" i="13"/>
  <c r="AJ836" i="13" s="1"/>
  <c r="AE836" i="13"/>
  <c r="AG836" i="13"/>
  <c r="AI836" i="13"/>
  <c r="AD833" i="13"/>
  <c r="AJ833" i="13" s="1"/>
  <c r="AE833" i="13"/>
  <c r="AH833" i="13"/>
  <c r="AG833" i="13"/>
  <c r="AI833" i="13"/>
  <c r="AH831" i="13"/>
  <c r="AE831" i="13"/>
  <c r="AD831" i="13"/>
  <c r="AJ831" i="13" s="1"/>
  <c r="AG831" i="13"/>
  <c r="AI831" i="13"/>
  <c r="AH828" i="13"/>
  <c r="AD828" i="13"/>
  <c r="AJ828" i="13" s="1"/>
  <c r="AE828" i="13"/>
  <c r="AI828" i="13"/>
  <c r="AG828" i="13"/>
  <c r="AE826" i="13"/>
  <c r="AD826" i="13"/>
  <c r="AJ826" i="13" s="1"/>
  <c r="AH826" i="13"/>
  <c r="AI826" i="13"/>
  <c r="AG826" i="13"/>
  <c r="AD823" i="13"/>
  <c r="AJ823" i="13" s="1"/>
  <c r="AE823" i="13"/>
  <c r="AH823" i="13"/>
  <c r="AI823" i="13"/>
  <c r="AG823" i="13"/>
  <c r="AD821" i="13"/>
  <c r="AJ821" i="13" s="1"/>
  <c r="AI821" i="13"/>
  <c r="AH821" i="13"/>
  <c r="AE821" i="13"/>
  <c r="AG821" i="13"/>
  <c r="AI820" i="13"/>
  <c r="AE820" i="13"/>
  <c r="AD820" i="13"/>
  <c r="AJ820" i="13" s="1"/>
  <c r="AH820" i="13"/>
  <c r="AG820" i="13"/>
  <c r="AH819" i="13"/>
  <c r="AG819" i="13"/>
  <c r="AD819" i="13"/>
  <c r="AJ819" i="13" s="1"/>
  <c r="AE819" i="13"/>
  <c r="AI819" i="13"/>
  <c r="AI818" i="13"/>
  <c r="AE818" i="13"/>
  <c r="AG818" i="13"/>
  <c r="AD818" i="13"/>
  <c r="AJ818" i="13" s="1"/>
  <c r="AH818" i="13"/>
  <c r="AD817" i="13"/>
  <c r="AJ817" i="13" s="1"/>
  <c r="AE817" i="13"/>
  <c r="AG817" i="13"/>
  <c r="AH817" i="13"/>
  <c r="AI817" i="13"/>
  <c r="AH816" i="13"/>
  <c r="AI816" i="13"/>
  <c r="AE816" i="13"/>
  <c r="AG816" i="13"/>
  <c r="AD816" i="13"/>
  <c r="AJ816" i="13" s="1"/>
  <c r="AE815" i="13"/>
  <c r="AG815" i="13"/>
  <c r="AI815" i="13"/>
  <c r="AD815" i="13"/>
  <c r="AJ815" i="13" s="1"/>
  <c r="AH815" i="13"/>
  <c r="AG814" i="13"/>
  <c r="AD814" i="13"/>
  <c r="AJ814" i="13" s="1"/>
  <c r="AI814" i="13"/>
  <c r="AH814" i="13"/>
  <c r="AE814" i="13"/>
  <c r="AE813" i="13"/>
  <c r="AI813" i="13"/>
  <c r="AH813" i="13"/>
  <c r="AD813" i="13"/>
  <c r="AJ813" i="13" s="1"/>
  <c r="AG813" i="13"/>
  <c r="AD812" i="13"/>
  <c r="AJ812" i="13" s="1"/>
  <c r="AG812" i="13"/>
  <c r="AH812" i="13"/>
  <c r="AI812" i="13"/>
  <c r="AE812" i="13"/>
  <c r="AH811" i="13"/>
  <c r="AG811" i="13"/>
  <c r="AI811" i="13"/>
  <c r="AD811" i="13"/>
  <c r="AJ811" i="13" s="1"/>
  <c r="AE811" i="13"/>
  <c r="AD810" i="13"/>
  <c r="AJ810" i="13" s="1"/>
  <c r="AG810" i="13"/>
  <c r="AI810" i="13"/>
  <c r="AE810" i="13"/>
  <c r="AH810" i="13"/>
  <c r="AI809" i="13"/>
  <c r="AH809" i="13"/>
  <c r="AD809" i="13"/>
  <c r="AJ809" i="13" s="1"/>
  <c r="AE809" i="13"/>
  <c r="AG809" i="13"/>
  <c r="AH808" i="13"/>
  <c r="AD808" i="13"/>
  <c r="AJ808" i="13" s="1"/>
  <c r="AE808" i="13"/>
  <c r="AI808" i="13"/>
  <c r="AG808" i="13"/>
  <c r="AG807" i="13"/>
  <c r="AE807" i="13"/>
  <c r="AH807" i="13"/>
  <c r="AI807" i="13"/>
  <c r="AD807" i="13"/>
  <c r="AJ807" i="13" s="1"/>
  <c r="AE806" i="13"/>
  <c r="AH806" i="13"/>
  <c r="AD806" i="13"/>
  <c r="AJ806" i="13" s="1"/>
  <c r="AG806" i="13"/>
  <c r="AI806" i="13"/>
  <c r="AD805" i="13"/>
  <c r="AJ805" i="13" s="1"/>
  <c r="AH805" i="13"/>
  <c r="AI805" i="13"/>
  <c r="AE805" i="13"/>
  <c r="AG805" i="13"/>
  <c r="AH804" i="13"/>
  <c r="AI804" i="13"/>
  <c r="AE804" i="13"/>
  <c r="AD804" i="13"/>
  <c r="AJ804" i="13" s="1"/>
  <c r="AG804" i="13"/>
  <c r="AH803" i="13"/>
  <c r="AE803" i="13"/>
  <c r="AI803" i="13"/>
  <c r="AD803" i="13"/>
  <c r="AJ803" i="13" s="1"/>
  <c r="AG803" i="13"/>
  <c r="AI802" i="13"/>
  <c r="AG802" i="13"/>
  <c r="AH802" i="13"/>
  <c r="AD802" i="13"/>
  <c r="AJ802" i="13" s="1"/>
  <c r="AE802" i="13"/>
  <c r="AH801" i="13"/>
  <c r="AG801" i="13"/>
  <c r="AE801" i="13"/>
  <c r="AI801" i="13"/>
  <c r="AD801" i="13"/>
  <c r="AJ801" i="13" s="1"/>
  <c r="AH800" i="13"/>
  <c r="AE800" i="13"/>
  <c r="AD800" i="13"/>
  <c r="AJ800" i="13" s="1"/>
  <c r="AG800" i="13"/>
  <c r="AI800" i="13"/>
  <c r="AE799" i="13"/>
  <c r="AG799" i="13"/>
  <c r="AD799" i="13"/>
  <c r="AJ799" i="13" s="1"/>
  <c r="AI799" i="13"/>
  <c r="AH799" i="13"/>
  <c r="AE798" i="13"/>
  <c r="AD798" i="13"/>
  <c r="AJ798" i="13" s="1"/>
  <c r="AH798" i="13"/>
  <c r="AI798" i="13"/>
  <c r="AG798" i="13"/>
  <c r="AD797" i="13"/>
  <c r="AJ797" i="13" s="1"/>
  <c r="AI797" i="13"/>
  <c r="AG797" i="13"/>
  <c r="AH797" i="13"/>
  <c r="AE797" i="13"/>
  <c r="AG796" i="13"/>
  <c r="AD796" i="13"/>
  <c r="AJ796" i="13" s="1"/>
  <c r="AE796" i="13"/>
  <c r="AI796" i="13"/>
  <c r="AH796" i="13"/>
  <c r="AD795" i="13"/>
  <c r="AJ795" i="13" s="1"/>
  <c r="AH795" i="13"/>
  <c r="AI795" i="13"/>
  <c r="AG795" i="13"/>
  <c r="AE795" i="13"/>
  <c r="AH794" i="13"/>
  <c r="AD794" i="13"/>
  <c r="AJ794" i="13" s="1"/>
  <c r="AG794" i="13"/>
  <c r="AE794" i="13"/>
  <c r="AI794" i="13"/>
  <c r="AE793" i="13"/>
  <c r="AI793" i="13"/>
  <c r="AH793" i="13"/>
  <c r="AD793" i="13"/>
  <c r="AJ793" i="13" s="1"/>
  <c r="AG793" i="13"/>
  <c r="AD792" i="13"/>
  <c r="AJ792" i="13" s="1"/>
  <c r="AG792" i="13"/>
  <c r="AE792" i="13"/>
  <c r="AH792" i="13"/>
  <c r="AI792" i="13"/>
  <c r="AH791" i="13"/>
  <c r="AI791" i="13"/>
  <c r="AD791" i="13"/>
  <c r="AJ791" i="13" s="1"/>
  <c r="AE791" i="13"/>
  <c r="AG791" i="13"/>
  <c r="AE790" i="13"/>
  <c r="AI790" i="13"/>
  <c r="AD790" i="13"/>
  <c r="AJ790" i="13" s="1"/>
  <c r="AG790" i="13"/>
  <c r="AH790" i="13"/>
  <c r="AE789" i="13"/>
  <c r="AI789" i="13"/>
  <c r="AD789" i="13"/>
  <c r="AJ789" i="13" s="1"/>
  <c r="AH789" i="13"/>
  <c r="AG789" i="13"/>
  <c r="AD788" i="13"/>
  <c r="AJ788" i="13" s="1"/>
  <c r="AI788" i="13"/>
  <c r="AE788" i="13"/>
  <c r="AH788" i="13"/>
  <c r="AG788" i="13"/>
  <c r="AH787" i="13"/>
  <c r="AE787" i="13"/>
  <c r="AI787" i="13"/>
  <c r="AG787" i="13"/>
  <c r="AD787" i="13"/>
  <c r="AJ787" i="13" s="1"/>
  <c r="AG986" i="13"/>
  <c r="AE986" i="13"/>
  <c r="AI986" i="13"/>
  <c r="AH986" i="13"/>
  <c r="AD986" i="13"/>
  <c r="AJ986" i="13" s="1"/>
  <c r="AH968" i="13"/>
  <c r="AG968" i="13"/>
  <c r="AI968" i="13"/>
  <c r="AD968" i="13"/>
  <c r="AJ968" i="13" s="1"/>
  <c r="AE968" i="13"/>
  <c r="AD958" i="13"/>
  <c r="AJ958" i="13" s="1"/>
  <c r="AE958" i="13"/>
  <c r="AG958" i="13"/>
  <c r="AI958" i="13"/>
  <c r="AH958" i="13"/>
  <c r="AE954" i="13"/>
  <c r="AG954" i="13"/>
  <c r="AD954" i="13"/>
  <c r="AJ954" i="13" s="1"/>
  <c r="AH954" i="13"/>
  <c r="AI954" i="13"/>
  <c r="AE951" i="13"/>
  <c r="AG951" i="13"/>
  <c r="AH951" i="13"/>
  <c r="AI951" i="13"/>
  <c r="AD951" i="13"/>
  <c r="AJ951" i="13" s="1"/>
  <c r="AH950" i="13"/>
  <c r="AE950" i="13"/>
  <c r="AI950" i="13"/>
  <c r="AD950" i="13"/>
  <c r="AJ950" i="13" s="1"/>
  <c r="AG950" i="13"/>
  <c r="AI948" i="13"/>
  <c r="AH948" i="13"/>
  <c r="AE948" i="13"/>
  <c r="AD948" i="13"/>
  <c r="AJ948" i="13" s="1"/>
  <c r="AG948" i="13"/>
  <c r="AE946" i="13"/>
  <c r="AH946" i="13"/>
  <c r="AI946" i="13"/>
  <c r="AG946" i="13"/>
  <c r="AD946" i="13"/>
  <c r="AJ946" i="13" s="1"/>
  <c r="AD942" i="13"/>
  <c r="AJ942" i="13" s="1"/>
  <c r="AE942" i="13"/>
  <c r="AI942" i="13"/>
  <c r="AG942" i="13"/>
  <c r="AH942" i="13"/>
  <c r="AD940" i="13"/>
  <c r="AJ940" i="13" s="1"/>
  <c r="AE940" i="13"/>
  <c r="AG940" i="13"/>
  <c r="AI940" i="13"/>
  <c r="AH940" i="13"/>
  <c r="AI939" i="13"/>
  <c r="AG939" i="13"/>
  <c r="AD939" i="13"/>
  <c r="AJ939" i="13" s="1"/>
  <c r="AE939" i="13"/>
  <c r="AH939" i="13"/>
  <c r="AE936" i="13"/>
  <c r="AI936" i="13"/>
  <c r="AH936" i="13"/>
  <c r="AG936" i="13"/>
  <c r="AD936" i="13"/>
  <c r="AJ936" i="13" s="1"/>
  <c r="AH934" i="13"/>
  <c r="AI934" i="13"/>
  <c r="AE934" i="13"/>
  <c r="AG934" i="13"/>
  <c r="AD934" i="13"/>
  <c r="AJ934" i="13" s="1"/>
  <c r="AG931" i="13"/>
  <c r="AE931" i="13"/>
  <c r="AD931" i="13"/>
  <c r="AJ931" i="13" s="1"/>
  <c r="AH931" i="13"/>
  <c r="AI931" i="13"/>
  <c r="AG930" i="13"/>
  <c r="AD930" i="13"/>
  <c r="AJ930" i="13" s="1"/>
  <c r="AH930" i="13"/>
  <c r="AI930" i="13"/>
  <c r="AE930" i="13"/>
  <c r="AD926" i="13"/>
  <c r="AJ926" i="13" s="1"/>
  <c r="AE926" i="13"/>
  <c r="AH926" i="13"/>
  <c r="AG926" i="13"/>
  <c r="AI926" i="13"/>
  <c r="AI925" i="13"/>
  <c r="AD925" i="13"/>
  <c r="AJ925" i="13" s="1"/>
  <c r="AE925" i="13"/>
  <c r="AG925" i="13"/>
  <c r="AH925" i="13"/>
  <c r="AH923" i="13"/>
  <c r="AD923" i="13"/>
  <c r="AJ923" i="13" s="1"/>
  <c r="AE923" i="13"/>
  <c r="AG923" i="13"/>
  <c r="AI923" i="13"/>
  <c r="AH922" i="13"/>
  <c r="AD922" i="13"/>
  <c r="AJ922" i="13" s="1"/>
  <c r="AE922" i="13"/>
  <c r="AG922" i="13"/>
  <c r="AI922" i="13"/>
  <c r="AI919" i="13"/>
  <c r="AG919" i="13"/>
  <c r="AE919" i="13"/>
  <c r="AH919" i="13"/>
  <c r="AD919" i="13"/>
  <c r="AJ919" i="13" s="1"/>
  <c r="AG917" i="13"/>
  <c r="AD917" i="13"/>
  <c r="AJ917" i="13" s="1"/>
  <c r="AE917" i="13"/>
  <c r="AH917" i="13"/>
  <c r="AI917" i="13"/>
  <c r="AD915" i="13"/>
  <c r="AJ915" i="13" s="1"/>
  <c r="AE915" i="13"/>
  <c r="AG915" i="13"/>
  <c r="AH915" i="13"/>
  <c r="AI915" i="13"/>
  <c r="AE912" i="13"/>
  <c r="AI912" i="13"/>
  <c r="AD912" i="13"/>
  <c r="AJ912" i="13" s="1"/>
  <c r="AH912" i="13"/>
  <c r="AG912" i="13"/>
  <c r="AH911" i="13"/>
  <c r="AD911" i="13"/>
  <c r="AJ911" i="13" s="1"/>
  <c r="AE911" i="13"/>
  <c r="AG911" i="13"/>
  <c r="AI911" i="13"/>
  <c r="AD908" i="13"/>
  <c r="AJ908" i="13" s="1"/>
  <c r="AE908" i="13"/>
  <c r="AG908" i="13"/>
  <c r="AI908" i="13"/>
  <c r="AH908" i="13"/>
  <c r="AD907" i="13"/>
  <c r="AJ907" i="13" s="1"/>
  <c r="AG907" i="13"/>
  <c r="AH907" i="13"/>
  <c r="AI907" i="13"/>
  <c r="AE907" i="13"/>
  <c r="AI905" i="13"/>
  <c r="AD905" i="13"/>
  <c r="AJ905" i="13" s="1"/>
  <c r="AE905" i="13"/>
  <c r="AG905" i="13"/>
  <c r="AH905" i="13"/>
  <c r="AD904" i="13"/>
  <c r="AJ904" i="13" s="1"/>
  <c r="AI904" i="13"/>
  <c r="AE904" i="13"/>
  <c r="AH904" i="13"/>
  <c r="AG904" i="13"/>
  <c r="AH901" i="13"/>
  <c r="AI901" i="13"/>
  <c r="AD901" i="13"/>
  <c r="AJ901" i="13" s="1"/>
  <c r="AE901" i="13"/>
  <c r="AG901" i="13"/>
  <c r="AD899" i="13"/>
  <c r="AJ899" i="13" s="1"/>
  <c r="AE899" i="13"/>
  <c r="AH899" i="13"/>
  <c r="AI899" i="13"/>
  <c r="AG899" i="13"/>
  <c r="AG897" i="13"/>
  <c r="AH897" i="13"/>
  <c r="AE897" i="13"/>
  <c r="AI897" i="13"/>
  <c r="AD897" i="13"/>
  <c r="AJ897" i="13" s="1"/>
  <c r="AH895" i="13"/>
  <c r="AE895" i="13"/>
  <c r="AG895" i="13"/>
  <c r="AD895" i="13"/>
  <c r="AJ895" i="13" s="1"/>
  <c r="AI895" i="13"/>
  <c r="AD884" i="13"/>
  <c r="AJ884" i="13" s="1"/>
  <c r="AG884" i="13"/>
  <c r="AE884" i="13"/>
  <c r="AH884" i="13"/>
  <c r="AI884" i="13"/>
  <c r="AH881" i="13"/>
  <c r="AG881" i="13"/>
  <c r="AE881" i="13"/>
  <c r="AI881" i="13"/>
  <c r="AD881" i="13"/>
  <c r="AJ881" i="13" s="1"/>
  <c r="AI878" i="13"/>
  <c r="AG878" i="13"/>
  <c r="AH878" i="13"/>
  <c r="AE878" i="13"/>
  <c r="AD878" i="13"/>
  <c r="AJ878" i="13" s="1"/>
  <c r="AD311" i="13"/>
  <c r="AJ311" i="13" s="1"/>
  <c r="AE311" i="13"/>
  <c r="AG311" i="13"/>
  <c r="AH311" i="13"/>
  <c r="AI311" i="13"/>
  <c r="AD139" i="13"/>
  <c r="AJ139" i="13" s="1"/>
  <c r="AE139" i="13"/>
  <c r="AG139" i="13"/>
  <c r="AH139" i="13"/>
  <c r="AI139" i="13"/>
  <c r="AD135" i="13"/>
  <c r="AJ135" i="13" s="1"/>
  <c r="AE135" i="13"/>
  <c r="AG135" i="13"/>
  <c r="AH135" i="13"/>
  <c r="AI135" i="13"/>
  <c r="AD131" i="13"/>
  <c r="AJ131" i="13" s="1"/>
  <c r="AE131" i="13"/>
  <c r="AG131" i="13"/>
  <c r="AH131" i="13"/>
  <c r="AI131" i="13"/>
  <c r="AD123" i="13"/>
  <c r="AJ123" i="13" s="1"/>
  <c r="AE123" i="13"/>
  <c r="AG123" i="13"/>
  <c r="AH123" i="13"/>
  <c r="AI123" i="13"/>
  <c r="AD119" i="13"/>
  <c r="AJ119" i="13" s="1"/>
  <c r="AE119" i="13"/>
  <c r="AG119" i="13"/>
  <c r="AH119" i="13"/>
  <c r="AI119" i="13"/>
  <c r="AD114" i="13"/>
  <c r="AJ114" i="13" s="1"/>
  <c r="AE114" i="13"/>
  <c r="AG114" i="13"/>
  <c r="AH114" i="13"/>
  <c r="AI114" i="13"/>
  <c r="AD110" i="13"/>
  <c r="AJ110" i="13" s="1"/>
  <c r="AE110" i="13"/>
  <c r="AG110" i="13"/>
  <c r="AH110" i="13"/>
  <c r="AI110" i="13"/>
  <c r="AD106" i="13"/>
  <c r="AJ106" i="13" s="1"/>
  <c r="AE106" i="13"/>
  <c r="AG106" i="13"/>
  <c r="AH106" i="13"/>
  <c r="AI106" i="13"/>
  <c r="AD102" i="13"/>
  <c r="AJ102" i="13" s="1"/>
  <c r="AE102" i="13"/>
  <c r="AG102" i="13"/>
  <c r="AH102" i="13"/>
  <c r="AI102" i="13"/>
  <c r="AD53" i="13"/>
  <c r="AJ53" i="13" s="1"/>
  <c r="AE53" i="13"/>
  <c r="AG53" i="13"/>
  <c r="AH53" i="13"/>
  <c r="AI53" i="13"/>
  <c r="AD593" i="13"/>
  <c r="AJ593" i="13" s="1"/>
  <c r="AE593" i="13"/>
  <c r="AG593" i="13"/>
  <c r="AH593" i="13"/>
  <c r="AI593" i="13"/>
  <c r="AD584" i="13"/>
  <c r="AJ584" i="13" s="1"/>
  <c r="AE584" i="13"/>
  <c r="AG584" i="13"/>
  <c r="AH584" i="13"/>
  <c r="AI584" i="13"/>
  <c r="AD576" i="13"/>
  <c r="AJ576" i="13" s="1"/>
  <c r="AE576" i="13"/>
  <c r="AG576" i="13"/>
  <c r="AH576" i="13"/>
  <c r="AI576" i="13"/>
  <c r="AD657" i="13"/>
  <c r="AJ657" i="13" s="1"/>
  <c r="AE657" i="13"/>
  <c r="AG657" i="13"/>
  <c r="AH657" i="13"/>
  <c r="AI657" i="13"/>
  <c r="AD650" i="13"/>
  <c r="AJ650" i="13" s="1"/>
  <c r="AE650" i="13"/>
  <c r="AG650" i="13"/>
  <c r="AH650" i="13"/>
  <c r="AI650" i="13"/>
  <c r="AD635" i="13"/>
  <c r="AJ635" i="13" s="1"/>
  <c r="AE635" i="13"/>
  <c r="AG635" i="13"/>
  <c r="AH635" i="13"/>
  <c r="AI635" i="13"/>
  <c r="AD628" i="13"/>
  <c r="AJ628" i="13" s="1"/>
  <c r="AE628" i="13"/>
  <c r="AG628" i="13"/>
  <c r="AH628" i="13"/>
  <c r="AI628" i="13"/>
  <c r="AD615" i="13"/>
  <c r="AJ615" i="13" s="1"/>
  <c r="AE615" i="13"/>
  <c r="AG615" i="13"/>
  <c r="AH615" i="13"/>
  <c r="AI615" i="13"/>
  <c r="AD610" i="13"/>
  <c r="AJ610" i="13" s="1"/>
  <c r="AE610" i="13"/>
  <c r="AG610" i="13"/>
  <c r="AH610" i="13"/>
  <c r="AI610" i="13"/>
  <c r="AD598" i="13"/>
  <c r="AJ598" i="13" s="1"/>
  <c r="AE598" i="13"/>
  <c r="AG598" i="13"/>
  <c r="AH598" i="13"/>
  <c r="AI598" i="13"/>
  <c r="AE852" i="13"/>
  <c r="AG852" i="13"/>
  <c r="AI852" i="13"/>
  <c r="AD852" i="13"/>
  <c r="AJ852" i="13" s="1"/>
  <c r="AH852" i="13"/>
  <c r="AG851" i="13"/>
  <c r="AI851" i="13"/>
  <c r="AE851" i="13"/>
  <c r="AH851" i="13"/>
  <c r="AD851" i="13"/>
  <c r="AJ851" i="13" s="1"/>
  <c r="AD849" i="13"/>
  <c r="AJ849" i="13" s="1"/>
  <c r="AG849" i="13"/>
  <c r="AE849" i="13"/>
  <c r="AI849" i="13"/>
  <c r="AH849" i="13"/>
  <c r="AE848" i="13"/>
  <c r="AD848" i="13"/>
  <c r="AJ848" i="13" s="1"/>
  <c r="AG848" i="13"/>
  <c r="AI848" i="13"/>
  <c r="AH848" i="13"/>
  <c r="AG846" i="13"/>
  <c r="AD846" i="13"/>
  <c r="AJ846" i="13" s="1"/>
  <c r="AE846" i="13"/>
  <c r="AH846" i="13"/>
  <c r="AI846" i="13"/>
  <c r="AD845" i="13"/>
  <c r="AJ845" i="13" s="1"/>
  <c r="AG845" i="13"/>
  <c r="AI845" i="13"/>
  <c r="AH845" i="13"/>
  <c r="AE845" i="13"/>
  <c r="AE843" i="13"/>
  <c r="AH843" i="13"/>
  <c r="AG843" i="13"/>
  <c r="AD843" i="13"/>
  <c r="AJ843" i="13" s="1"/>
  <c r="AI843" i="13"/>
  <c r="AI841" i="13"/>
  <c r="AD841" i="13"/>
  <c r="AJ841" i="13" s="1"/>
  <c r="AH841" i="13"/>
  <c r="AG841" i="13"/>
  <c r="AE841" i="13"/>
  <c r="AD840" i="13"/>
  <c r="AJ840" i="13" s="1"/>
  <c r="AG840" i="13"/>
  <c r="AI840" i="13"/>
  <c r="AH840" i="13"/>
  <c r="AE840" i="13"/>
  <c r="AD838" i="13"/>
  <c r="AJ838" i="13" s="1"/>
  <c r="AI838" i="13"/>
  <c r="AE838" i="13"/>
  <c r="AG838" i="13"/>
  <c r="AH838" i="13"/>
  <c r="AG837" i="13"/>
  <c r="AH837" i="13"/>
  <c r="AE837" i="13"/>
  <c r="AD837" i="13"/>
  <c r="AJ837" i="13" s="1"/>
  <c r="AI837" i="13"/>
  <c r="AH835" i="13"/>
  <c r="AI835" i="13"/>
  <c r="AD835" i="13"/>
  <c r="AJ835" i="13" s="1"/>
  <c r="AG835" i="13"/>
  <c r="AE835" i="13"/>
  <c r="AD580" i="13"/>
  <c r="AJ580" i="13" s="1"/>
  <c r="AE580" i="13"/>
  <c r="AG580" i="13"/>
  <c r="AH580" i="13"/>
  <c r="AI580" i="13"/>
  <c r="AD523" i="13"/>
  <c r="AJ523" i="13" s="1"/>
  <c r="AE523" i="13"/>
  <c r="AG523" i="13"/>
  <c r="AH523" i="13"/>
  <c r="AI523" i="13"/>
  <c r="AD431" i="13"/>
  <c r="AJ431" i="13" s="1"/>
  <c r="AE431" i="13"/>
  <c r="AG431" i="13"/>
  <c r="AH431" i="13"/>
  <c r="AI431" i="13"/>
  <c r="AD426" i="13"/>
  <c r="AJ426" i="13" s="1"/>
  <c r="AE426" i="13"/>
  <c r="AG426" i="13"/>
  <c r="AH426" i="13"/>
  <c r="AI426" i="13"/>
  <c r="AD419" i="13"/>
  <c r="AJ419" i="13" s="1"/>
  <c r="AE419" i="13"/>
  <c r="AG419" i="13"/>
  <c r="AH419" i="13"/>
  <c r="AI419" i="13"/>
  <c r="AD235" i="13"/>
  <c r="AJ235" i="13" s="1"/>
  <c r="AE235" i="13"/>
  <c r="AG235" i="13"/>
  <c r="AH235" i="13"/>
  <c r="AI235" i="13"/>
  <c r="AD230" i="13"/>
  <c r="AJ230" i="13" s="1"/>
  <c r="AE230" i="13"/>
  <c r="AG230" i="13"/>
  <c r="AH230" i="13"/>
  <c r="AI230" i="13"/>
  <c r="AD223" i="13"/>
  <c r="AJ223" i="13" s="1"/>
  <c r="AE223" i="13"/>
  <c r="AG223" i="13"/>
  <c r="AH223" i="13"/>
  <c r="AI223" i="13"/>
  <c r="AD215" i="13"/>
  <c r="AJ215" i="13" s="1"/>
  <c r="AE215" i="13"/>
  <c r="AG215" i="13"/>
  <c r="AH215" i="13"/>
  <c r="AI215" i="13"/>
  <c r="AD210" i="13"/>
  <c r="AJ210" i="13" s="1"/>
  <c r="AE210" i="13"/>
  <c r="AG210" i="13"/>
  <c r="AH210" i="13"/>
  <c r="AI210" i="13"/>
  <c r="AE999" i="13"/>
  <c r="AG999" i="13"/>
  <c r="AD999" i="13"/>
  <c r="AJ999" i="13" s="1"/>
  <c r="AH999" i="13"/>
  <c r="AI999" i="13"/>
  <c r="AD913" i="13"/>
  <c r="AJ913" i="13" s="1"/>
  <c r="AG913" i="13"/>
  <c r="AE913" i="13"/>
  <c r="AH913" i="13"/>
  <c r="AI913" i="13"/>
  <c r="AH880" i="13"/>
  <c r="AD880" i="13"/>
  <c r="AJ880" i="13" s="1"/>
  <c r="AI880" i="13"/>
  <c r="AG880" i="13"/>
  <c r="AE880" i="13"/>
  <c r="AD515" i="13"/>
  <c r="AJ515" i="13" s="1"/>
  <c r="AE515" i="13"/>
  <c r="AG515" i="13"/>
  <c r="AH515" i="13"/>
  <c r="AI515" i="13"/>
  <c r="AD65" i="13"/>
  <c r="AJ65" i="13" s="1"/>
  <c r="AE65" i="13"/>
  <c r="AG65" i="13"/>
  <c r="AH65" i="13"/>
  <c r="AI65" i="13"/>
  <c r="AD514" i="13"/>
  <c r="AJ514" i="13" s="1"/>
  <c r="AE514" i="13"/>
  <c r="AG514" i="13"/>
  <c r="AH514" i="13"/>
  <c r="AI514" i="13"/>
  <c r="AI775" i="13"/>
  <c r="AH775" i="13"/>
  <c r="AD775" i="13"/>
  <c r="AJ775" i="13" s="1"/>
  <c r="AE775" i="13"/>
  <c r="AG775" i="13"/>
  <c r="AH758" i="13"/>
  <c r="AD758" i="13"/>
  <c r="AJ758" i="13" s="1"/>
  <c r="AG758" i="13"/>
  <c r="AE758" i="13"/>
  <c r="AI758" i="13"/>
  <c r="AD656" i="13"/>
  <c r="AJ656" i="13" s="1"/>
  <c r="AE656" i="13"/>
  <c r="AG656" i="13"/>
  <c r="AH656" i="13"/>
  <c r="AI656" i="13"/>
  <c r="AD294" i="13"/>
  <c r="AJ294" i="13" s="1"/>
  <c r="AE294" i="13"/>
  <c r="AG294" i="13"/>
  <c r="AH294" i="13"/>
  <c r="AI294" i="13"/>
  <c r="AD95" i="13"/>
  <c r="AJ95" i="13" s="1"/>
  <c r="AE95" i="13"/>
  <c r="AG95" i="13"/>
  <c r="AH95" i="13"/>
  <c r="AI95" i="13"/>
  <c r="AD84" i="13"/>
  <c r="AJ84" i="13" s="1"/>
  <c r="AE84" i="13"/>
  <c r="AG84" i="13"/>
  <c r="AH84" i="13"/>
  <c r="AI84" i="13"/>
  <c r="AD74" i="13"/>
  <c r="AJ74" i="13" s="1"/>
  <c r="AE74" i="13"/>
  <c r="AG74" i="13"/>
  <c r="AH74" i="13"/>
  <c r="AI74" i="13"/>
  <c r="AD22" i="13"/>
  <c r="AJ22" i="13" s="1"/>
  <c r="AE22" i="13"/>
  <c r="AG22" i="13"/>
  <c r="AH22" i="13"/>
  <c r="AI22" i="13"/>
  <c r="AD14" i="13"/>
  <c r="AJ14" i="13" s="1"/>
  <c r="AE14" i="13"/>
  <c r="AG14" i="13"/>
  <c r="AH14" i="13"/>
  <c r="AI14" i="13"/>
  <c r="AD56" i="13"/>
  <c r="AJ56" i="13" s="1"/>
  <c r="AE56" i="13"/>
  <c r="AG56" i="13"/>
  <c r="AH56" i="13"/>
  <c r="AI56" i="13"/>
  <c r="AD505" i="13"/>
  <c r="AJ505" i="13" s="1"/>
  <c r="AE505" i="13"/>
  <c r="AG505" i="13"/>
  <c r="AH505" i="13"/>
  <c r="AI505" i="13"/>
  <c r="AE981" i="13"/>
  <c r="AI981" i="13"/>
  <c r="AD981" i="13"/>
  <c r="AJ981" i="13" s="1"/>
  <c r="AH981" i="13"/>
  <c r="AG981" i="13"/>
  <c r="AG978" i="13"/>
  <c r="AH978" i="13"/>
  <c r="AD978" i="13"/>
  <c r="AJ978" i="13" s="1"/>
  <c r="AE978" i="13"/>
  <c r="AI978" i="13"/>
  <c r="AI972" i="13"/>
  <c r="AH972" i="13"/>
  <c r="AD972" i="13"/>
  <c r="AJ972" i="13" s="1"/>
  <c r="AE972" i="13"/>
  <c r="AG972" i="13"/>
  <c r="AG965" i="13"/>
  <c r="AH965" i="13"/>
  <c r="AD965" i="13"/>
  <c r="AJ965" i="13" s="1"/>
  <c r="AE965" i="13"/>
  <c r="AI965" i="13"/>
  <c r="AE955" i="13"/>
  <c r="AG955" i="13"/>
  <c r="AH955" i="13"/>
  <c r="AI955" i="13"/>
  <c r="AD955" i="13"/>
  <c r="AJ955" i="13" s="1"/>
  <c r="AI943" i="13"/>
  <c r="AE943" i="13"/>
  <c r="AH943" i="13"/>
  <c r="AD943" i="13"/>
  <c r="AJ943" i="13" s="1"/>
  <c r="AG943" i="13"/>
  <c r="AD929" i="13"/>
  <c r="AJ929" i="13" s="1"/>
  <c r="AE929" i="13"/>
  <c r="AI929" i="13"/>
  <c r="AH929" i="13"/>
  <c r="AG929" i="13"/>
  <c r="AH918" i="13"/>
  <c r="AG918" i="13"/>
  <c r="AE918" i="13"/>
  <c r="AI918" i="13"/>
  <c r="AD918" i="13"/>
  <c r="AJ918" i="13" s="1"/>
  <c r="AH900" i="13"/>
  <c r="AD900" i="13"/>
  <c r="AJ900" i="13" s="1"/>
  <c r="AG900" i="13"/>
  <c r="AE900" i="13"/>
  <c r="AI900" i="13"/>
  <c r="AG892" i="13"/>
  <c r="AH892" i="13"/>
  <c r="AE892" i="13"/>
  <c r="AD892" i="13"/>
  <c r="AJ892" i="13" s="1"/>
  <c r="AI892" i="13"/>
  <c r="AE889" i="13"/>
  <c r="AI889" i="13"/>
  <c r="AD889" i="13"/>
  <c r="AJ889" i="13" s="1"/>
  <c r="AG889" i="13"/>
  <c r="AH889" i="13"/>
  <c r="AG886" i="13"/>
  <c r="AH886" i="13"/>
  <c r="AD886" i="13"/>
  <c r="AJ886" i="13" s="1"/>
  <c r="AE886" i="13"/>
  <c r="AI886" i="13"/>
  <c r="AI882" i="13"/>
  <c r="AD882" i="13"/>
  <c r="AJ882" i="13" s="1"/>
  <c r="AG882" i="13"/>
  <c r="AE882" i="13"/>
  <c r="AH882" i="13"/>
  <c r="AG866" i="13"/>
  <c r="AH866" i="13"/>
  <c r="AD866" i="13"/>
  <c r="AJ866" i="13" s="1"/>
  <c r="AE866" i="13"/>
  <c r="AI866" i="13"/>
  <c r="AD571" i="13"/>
  <c r="AJ571" i="13" s="1"/>
  <c r="AE571" i="13"/>
  <c r="AG571" i="13"/>
  <c r="AH571" i="13"/>
  <c r="AI571" i="13"/>
  <c r="AD565" i="13"/>
  <c r="AJ565" i="13" s="1"/>
  <c r="AE565" i="13"/>
  <c r="AG565" i="13"/>
  <c r="AH565" i="13"/>
  <c r="AI565" i="13"/>
  <c r="AD546" i="13"/>
  <c r="AJ546" i="13" s="1"/>
  <c r="AE546" i="13"/>
  <c r="AG546" i="13"/>
  <c r="AH546" i="13"/>
  <c r="AI546" i="13"/>
  <c r="AD541" i="13"/>
  <c r="AJ541" i="13" s="1"/>
  <c r="AE541" i="13"/>
  <c r="AG541" i="13"/>
  <c r="AH541" i="13"/>
  <c r="AI541" i="13"/>
  <c r="AD533" i="13"/>
  <c r="AJ533" i="13" s="1"/>
  <c r="AE533" i="13"/>
  <c r="AG533" i="13"/>
  <c r="AH533" i="13"/>
  <c r="AI533" i="13"/>
  <c r="AD526" i="13"/>
  <c r="AJ526" i="13" s="1"/>
  <c r="AE526" i="13"/>
  <c r="AG526" i="13"/>
  <c r="AH526" i="13"/>
  <c r="AI526" i="13"/>
  <c r="AD518" i="13"/>
  <c r="AJ518" i="13" s="1"/>
  <c r="AE518" i="13"/>
  <c r="AG518" i="13"/>
  <c r="AH518" i="13"/>
  <c r="AI518" i="13"/>
  <c r="AE834" i="13"/>
  <c r="AH834" i="13"/>
  <c r="AI834" i="13"/>
  <c r="AG834" i="13"/>
  <c r="AD834" i="13"/>
  <c r="AJ834" i="13" s="1"/>
  <c r="AG832" i="13"/>
  <c r="AI832" i="13"/>
  <c r="AE832" i="13"/>
  <c r="AD832" i="13"/>
  <c r="AJ832" i="13" s="1"/>
  <c r="AH832" i="13"/>
  <c r="AH830" i="13"/>
  <c r="AI830" i="13"/>
  <c r="AD830" i="13"/>
  <c r="AJ830" i="13" s="1"/>
  <c r="AG830" i="13"/>
  <c r="AE830" i="13"/>
  <c r="AI829" i="13"/>
  <c r="AG829" i="13"/>
  <c r="AE829" i="13"/>
  <c r="AH829" i="13"/>
  <c r="AD829" i="13"/>
  <c r="AJ829" i="13" s="1"/>
  <c r="AH827" i="13"/>
  <c r="AI827" i="13"/>
  <c r="AE827" i="13"/>
  <c r="AG827" i="13"/>
  <c r="AD827" i="13"/>
  <c r="AJ827" i="13" s="1"/>
  <c r="AG825" i="13"/>
  <c r="AH825" i="13"/>
  <c r="AD825" i="13"/>
  <c r="AJ825" i="13" s="1"/>
  <c r="AE825" i="13"/>
  <c r="AI825" i="13"/>
  <c r="AG824" i="13"/>
  <c r="AD824" i="13"/>
  <c r="AJ824" i="13" s="1"/>
  <c r="AI824" i="13"/>
  <c r="AH824" i="13"/>
  <c r="AE824" i="13"/>
  <c r="AG822" i="13"/>
  <c r="AD822" i="13"/>
  <c r="AJ822" i="13" s="1"/>
  <c r="AE822" i="13"/>
  <c r="AH822" i="13"/>
  <c r="AI822" i="13"/>
  <c r="AG876" i="13"/>
  <c r="AH876" i="13"/>
  <c r="AI876" i="13"/>
  <c r="AD876" i="13"/>
  <c r="AJ876" i="13" s="1"/>
  <c r="AE876" i="13"/>
  <c r="AD875" i="13"/>
  <c r="AJ875" i="13" s="1"/>
  <c r="AH875" i="13"/>
  <c r="AI875" i="13"/>
  <c r="AE875" i="13"/>
  <c r="AG875" i="13"/>
  <c r="AH873" i="13"/>
  <c r="AD873" i="13"/>
  <c r="AJ873" i="13" s="1"/>
  <c r="AG873" i="13"/>
  <c r="AI873" i="13"/>
  <c r="AE873" i="13"/>
  <c r="AG872" i="13"/>
  <c r="AD872" i="13"/>
  <c r="AJ872" i="13" s="1"/>
  <c r="AI872" i="13"/>
  <c r="AE872" i="13"/>
  <c r="AH872" i="13"/>
  <c r="AD869" i="13"/>
  <c r="AJ869" i="13" s="1"/>
  <c r="AG869" i="13"/>
  <c r="AE869" i="13"/>
  <c r="AH869" i="13"/>
  <c r="AI869" i="13"/>
  <c r="AH867" i="13"/>
  <c r="AD867" i="13"/>
  <c r="AJ867" i="13" s="1"/>
  <c r="AG867" i="13"/>
  <c r="AI867" i="13"/>
  <c r="AE867" i="13"/>
  <c r="AD865" i="13"/>
  <c r="AJ865" i="13" s="1"/>
  <c r="AH865" i="13"/>
  <c r="AG865" i="13"/>
  <c r="AI865" i="13"/>
  <c r="AE865" i="13"/>
  <c r="AE862" i="13"/>
  <c r="AG862" i="13"/>
  <c r="AH862" i="13"/>
  <c r="AD862" i="13"/>
  <c r="AJ862" i="13" s="1"/>
  <c r="AI862" i="13"/>
  <c r="AD860" i="13"/>
  <c r="AJ860" i="13" s="1"/>
  <c r="AI860" i="13"/>
  <c r="AH860" i="13"/>
  <c r="AG860" i="13"/>
  <c r="AE860" i="13"/>
  <c r="AD564" i="13"/>
  <c r="AJ564" i="13" s="1"/>
  <c r="AE564" i="13"/>
  <c r="AG564" i="13"/>
  <c r="AH564" i="13"/>
  <c r="AI564" i="13"/>
  <c r="AD554" i="13"/>
  <c r="AJ554" i="13" s="1"/>
  <c r="AE554" i="13"/>
  <c r="AG554" i="13"/>
  <c r="AH554" i="13"/>
  <c r="AI554" i="13"/>
  <c r="AD529" i="13"/>
  <c r="AJ529" i="13" s="1"/>
  <c r="AE529" i="13"/>
  <c r="AG529" i="13"/>
  <c r="AH529" i="13"/>
  <c r="AI529" i="13"/>
  <c r="AD512" i="13"/>
  <c r="AJ512" i="13" s="1"/>
  <c r="AE512" i="13"/>
  <c r="AG512" i="13"/>
  <c r="AH512" i="13"/>
  <c r="AI512" i="13"/>
  <c r="AH784" i="13"/>
  <c r="AG784" i="13"/>
  <c r="AI784" i="13"/>
  <c r="AD784" i="13"/>
  <c r="AJ784" i="13" s="1"/>
  <c r="AE784" i="13"/>
  <c r="AG779" i="13"/>
  <c r="AI779" i="13"/>
  <c r="AE779" i="13"/>
  <c r="AD779" i="13"/>
  <c r="AJ779" i="13" s="1"/>
  <c r="AH779" i="13"/>
  <c r="AD773" i="13"/>
  <c r="AJ773" i="13" s="1"/>
  <c r="AG773" i="13"/>
  <c r="AI773" i="13"/>
  <c r="AE773" i="13"/>
  <c r="AH773" i="13"/>
  <c r="AG769" i="13"/>
  <c r="AI769" i="13"/>
  <c r="AE769" i="13"/>
  <c r="AD769" i="13"/>
  <c r="AJ769" i="13" s="1"/>
  <c r="AH769" i="13"/>
  <c r="AD764" i="13"/>
  <c r="AJ764" i="13" s="1"/>
  <c r="AE764" i="13"/>
  <c r="AG764" i="13"/>
  <c r="AH764" i="13"/>
  <c r="AI764" i="13"/>
  <c r="AE760" i="13"/>
  <c r="AG760" i="13"/>
  <c r="AI760" i="13"/>
  <c r="AD760" i="13"/>
  <c r="AJ760" i="13" s="1"/>
  <c r="AH760" i="13"/>
  <c r="AH755" i="13"/>
  <c r="AE755" i="13"/>
  <c r="AI755" i="13"/>
  <c r="AD755" i="13"/>
  <c r="AJ755" i="13" s="1"/>
  <c r="AG755" i="13"/>
  <c r="AD659" i="13"/>
  <c r="AJ659" i="13" s="1"/>
  <c r="AE659" i="13"/>
  <c r="AG659" i="13"/>
  <c r="AH659" i="13"/>
  <c r="AI659" i="13"/>
  <c r="AD654" i="13"/>
  <c r="AJ654" i="13" s="1"/>
  <c r="AE654" i="13"/>
  <c r="AG654" i="13"/>
  <c r="AH654" i="13"/>
  <c r="AI654" i="13"/>
  <c r="AD647" i="13"/>
  <c r="AJ647" i="13" s="1"/>
  <c r="AE647" i="13"/>
  <c r="AG647" i="13"/>
  <c r="AH647" i="13"/>
  <c r="AI647" i="13"/>
  <c r="AD642" i="13"/>
  <c r="AJ642" i="13" s="1"/>
  <c r="AE642" i="13"/>
  <c r="AG642" i="13"/>
  <c r="AH642" i="13"/>
  <c r="AI642" i="13"/>
  <c r="AD636" i="13"/>
  <c r="AJ636" i="13" s="1"/>
  <c r="AE636" i="13"/>
  <c r="AG636" i="13"/>
  <c r="AH636" i="13"/>
  <c r="AI636" i="13"/>
  <c r="AD631" i="13"/>
  <c r="AJ631" i="13" s="1"/>
  <c r="AE631" i="13"/>
  <c r="AG631" i="13"/>
  <c r="AH631" i="13"/>
  <c r="AI631" i="13"/>
  <c r="AD626" i="13"/>
  <c r="AJ626" i="13" s="1"/>
  <c r="AE626" i="13"/>
  <c r="AG626" i="13"/>
  <c r="AH626" i="13"/>
  <c r="AI626" i="13"/>
  <c r="AD620" i="13"/>
  <c r="AJ620" i="13" s="1"/>
  <c r="AE620" i="13"/>
  <c r="AG620" i="13"/>
  <c r="AH620" i="13"/>
  <c r="AI620" i="13"/>
  <c r="AD614" i="13"/>
  <c r="AJ614" i="13" s="1"/>
  <c r="AE614" i="13"/>
  <c r="AG614" i="13"/>
  <c r="AH614" i="13"/>
  <c r="AI614" i="13"/>
  <c r="AD609" i="13"/>
  <c r="AJ609" i="13" s="1"/>
  <c r="AE609" i="13"/>
  <c r="AG609" i="13"/>
  <c r="AH609" i="13"/>
  <c r="AI609" i="13"/>
  <c r="AD602" i="13"/>
  <c r="AJ602" i="13" s="1"/>
  <c r="AE602" i="13"/>
  <c r="AG602" i="13"/>
  <c r="AH602" i="13"/>
  <c r="AI602" i="13"/>
  <c r="AD597" i="13"/>
  <c r="AJ597" i="13" s="1"/>
  <c r="AE597" i="13"/>
  <c r="AG597" i="13"/>
  <c r="AH597" i="13"/>
  <c r="AI597" i="13"/>
  <c r="AD590" i="13"/>
  <c r="AJ590" i="13" s="1"/>
  <c r="AE590" i="13"/>
  <c r="AG590" i="13"/>
  <c r="AH590" i="13"/>
  <c r="AI590" i="13"/>
  <c r="AE751" i="13"/>
  <c r="AI751" i="13"/>
  <c r="AH751" i="13"/>
  <c r="AG751" i="13"/>
  <c r="AD751" i="13"/>
  <c r="AJ751" i="13" s="1"/>
  <c r="AE750" i="13"/>
  <c r="AI750" i="13"/>
  <c r="AD750" i="13"/>
  <c r="AJ750" i="13" s="1"/>
  <c r="AG750" i="13"/>
  <c r="AH750" i="13"/>
  <c r="AE749" i="13"/>
  <c r="AI749" i="13"/>
  <c r="AG749" i="13"/>
  <c r="AH749" i="13"/>
  <c r="AD749" i="13"/>
  <c r="AJ749" i="13" s="1"/>
  <c r="AD748" i="13"/>
  <c r="AJ748" i="13" s="1"/>
  <c r="AH748" i="13"/>
  <c r="AG748" i="13"/>
  <c r="AI748" i="13"/>
  <c r="AE748" i="13"/>
  <c r="AH747" i="13"/>
  <c r="AG747" i="13"/>
  <c r="AD747" i="13"/>
  <c r="AJ747" i="13" s="1"/>
  <c r="AI747" i="13"/>
  <c r="AE747" i="13"/>
  <c r="AI746" i="13"/>
  <c r="AD746" i="13"/>
  <c r="AJ746" i="13" s="1"/>
  <c r="AG746" i="13"/>
  <c r="AE746" i="13"/>
  <c r="AH746" i="13"/>
  <c r="AD745" i="13"/>
  <c r="AJ745" i="13" s="1"/>
  <c r="AE745" i="13"/>
  <c r="AH745" i="13"/>
  <c r="AG745" i="13"/>
  <c r="AI745" i="13"/>
  <c r="AD744" i="13"/>
  <c r="AJ744" i="13" s="1"/>
  <c r="AE744" i="13"/>
  <c r="AH744" i="13"/>
  <c r="AI744" i="13"/>
  <c r="AG744" i="13"/>
  <c r="AE743" i="13"/>
  <c r="AH743" i="13"/>
  <c r="AI743" i="13"/>
  <c r="AD743" i="13"/>
  <c r="AJ743" i="13" s="1"/>
  <c r="AG743" i="13"/>
  <c r="AD742" i="13"/>
  <c r="AJ742" i="13" s="1"/>
  <c r="AE742" i="13"/>
  <c r="AI742" i="13"/>
  <c r="AG742" i="13"/>
  <c r="AH742" i="13"/>
  <c r="AG741" i="13"/>
  <c r="AI741" i="13"/>
  <c r="AD741" i="13"/>
  <c r="AJ741" i="13" s="1"/>
  <c r="AE741" i="13"/>
  <c r="AH741" i="13"/>
  <c r="AI740" i="13"/>
  <c r="AH740" i="13"/>
  <c r="AD740" i="13"/>
  <c r="AJ740" i="13" s="1"/>
  <c r="AG740" i="13"/>
  <c r="AE740" i="13"/>
  <c r="AD739" i="13"/>
  <c r="AJ739" i="13" s="1"/>
  <c r="AE739" i="13"/>
  <c r="AI739" i="13"/>
  <c r="AH739" i="13"/>
  <c r="AG739" i="13"/>
  <c r="AD738" i="13"/>
  <c r="AJ738" i="13" s="1"/>
  <c r="AE738" i="13"/>
  <c r="AI738" i="13"/>
  <c r="AG738" i="13"/>
  <c r="AH738" i="13"/>
  <c r="AI737" i="13"/>
  <c r="AG737" i="13"/>
  <c r="AH737" i="13"/>
  <c r="AD737" i="13"/>
  <c r="AJ737" i="13" s="1"/>
  <c r="AE737" i="13"/>
  <c r="AH736" i="13"/>
  <c r="AE736" i="13"/>
  <c r="AG736" i="13"/>
  <c r="AD736" i="13"/>
  <c r="AJ736" i="13" s="1"/>
  <c r="AI736" i="13"/>
  <c r="AE735" i="13"/>
  <c r="AI735" i="13"/>
  <c r="AH735" i="13"/>
  <c r="AD735" i="13"/>
  <c r="AJ735" i="13" s="1"/>
  <c r="AG735" i="13"/>
  <c r="AE734" i="13"/>
  <c r="AG734" i="13"/>
  <c r="AD734" i="13"/>
  <c r="AJ734" i="13" s="1"/>
  <c r="AI734" i="13"/>
  <c r="AH734" i="13"/>
  <c r="AD733" i="13"/>
  <c r="AJ733" i="13" s="1"/>
  <c r="AG733" i="13"/>
  <c r="AI733" i="13"/>
  <c r="AE733" i="13"/>
  <c r="AH733" i="13"/>
  <c r="AD732" i="13"/>
  <c r="AJ732" i="13" s="1"/>
  <c r="AE732" i="13"/>
  <c r="AG732" i="13"/>
  <c r="AH732" i="13"/>
  <c r="AI732" i="13"/>
  <c r="AD731" i="13"/>
  <c r="AJ731" i="13" s="1"/>
  <c r="AE731" i="13"/>
  <c r="AG731" i="13"/>
  <c r="AH731" i="13"/>
  <c r="AI731" i="13"/>
  <c r="AD730" i="13"/>
  <c r="AJ730" i="13" s="1"/>
  <c r="AE730" i="13"/>
  <c r="AG730" i="13"/>
  <c r="AH730" i="13"/>
  <c r="AI730" i="13"/>
  <c r="AD729" i="13"/>
  <c r="AJ729" i="13" s="1"/>
  <c r="AE729" i="13"/>
  <c r="AG729" i="13"/>
  <c r="AH729" i="13"/>
  <c r="AI729" i="13"/>
  <c r="AD728" i="13"/>
  <c r="AJ728" i="13" s="1"/>
  <c r="AE728" i="13"/>
  <c r="AG728" i="13"/>
  <c r="AH728" i="13"/>
  <c r="AI728" i="13"/>
  <c r="AD727" i="13"/>
  <c r="AJ727" i="13" s="1"/>
  <c r="AE727" i="13"/>
  <c r="AG727" i="13"/>
  <c r="AH727" i="13"/>
  <c r="AI727" i="13"/>
  <c r="AD726" i="13"/>
  <c r="AJ726" i="13" s="1"/>
  <c r="AE726" i="13"/>
  <c r="AG726" i="13"/>
  <c r="AH726" i="13"/>
  <c r="AI726" i="13"/>
  <c r="AD725" i="13"/>
  <c r="AJ725" i="13" s="1"/>
  <c r="AE725" i="13"/>
  <c r="AG725" i="13"/>
  <c r="AH725" i="13"/>
  <c r="AI725" i="13"/>
  <c r="AD724" i="13"/>
  <c r="AJ724" i="13" s="1"/>
  <c r="AE724" i="13"/>
  <c r="AG724" i="13"/>
  <c r="AH724" i="13"/>
  <c r="AI724" i="13"/>
  <c r="AD723" i="13"/>
  <c r="AJ723" i="13" s="1"/>
  <c r="AE723" i="13"/>
  <c r="AG723" i="13"/>
  <c r="AH723" i="13"/>
  <c r="AI723" i="13"/>
  <c r="AD722" i="13"/>
  <c r="AJ722" i="13" s="1"/>
  <c r="AE722" i="13"/>
  <c r="AG722" i="13"/>
  <c r="AH722" i="13"/>
  <c r="AI722" i="13"/>
  <c r="AD721" i="13"/>
  <c r="AJ721" i="13" s="1"/>
  <c r="AE721" i="13"/>
  <c r="AG721" i="13"/>
  <c r="AH721" i="13"/>
  <c r="AI721" i="13"/>
  <c r="AD720" i="13"/>
  <c r="AJ720" i="13" s="1"/>
  <c r="AE720" i="13"/>
  <c r="AG720" i="13"/>
  <c r="AH720" i="13"/>
  <c r="AI720" i="13"/>
  <c r="AD719" i="13"/>
  <c r="AJ719" i="13" s="1"/>
  <c r="AE719" i="13"/>
  <c r="AG719" i="13"/>
  <c r="AH719" i="13"/>
  <c r="AI719" i="13"/>
  <c r="AD718" i="13"/>
  <c r="AJ718" i="13" s="1"/>
  <c r="AE718" i="13"/>
  <c r="AG718" i="13"/>
  <c r="AH718" i="13"/>
  <c r="AI718" i="13"/>
  <c r="AD717" i="13"/>
  <c r="AJ717" i="13" s="1"/>
  <c r="AE717" i="13"/>
  <c r="AG717" i="13"/>
  <c r="AH717" i="13"/>
  <c r="AI717" i="13"/>
  <c r="AD716" i="13"/>
  <c r="AJ716" i="13" s="1"/>
  <c r="AE716" i="13"/>
  <c r="AG716" i="13"/>
  <c r="AH716" i="13"/>
  <c r="AI716" i="13"/>
  <c r="AD715" i="13"/>
  <c r="AJ715" i="13" s="1"/>
  <c r="AE715" i="13"/>
  <c r="AG715" i="13"/>
  <c r="AH715" i="13"/>
  <c r="AI715" i="13"/>
  <c r="AD714" i="13"/>
  <c r="AJ714" i="13" s="1"/>
  <c r="AE714" i="13"/>
  <c r="AG714" i="13"/>
  <c r="AH714" i="13"/>
  <c r="AI714" i="13"/>
  <c r="AD713" i="13"/>
  <c r="AJ713" i="13" s="1"/>
  <c r="AE713" i="13"/>
  <c r="AG713" i="13"/>
  <c r="AH713" i="13"/>
  <c r="AI713" i="13"/>
  <c r="AD712" i="13"/>
  <c r="AJ712" i="13" s="1"/>
  <c r="AE712" i="13"/>
  <c r="AG712" i="13"/>
  <c r="AH712" i="13"/>
  <c r="AI712" i="13"/>
  <c r="AD711" i="13"/>
  <c r="AJ711" i="13" s="1"/>
  <c r="AE711" i="13"/>
  <c r="AG711" i="13"/>
  <c r="AH711" i="13"/>
  <c r="AI711" i="13"/>
  <c r="AD710" i="13"/>
  <c r="AJ710" i="13" s="1"/>
  <c r="AE710" i="13"/>
  <c r="AG710" i="13"/>
  <c r="AH710" i="13"/>
  <c r="AI710" i="13"/>
  <c r="AD709" i="13"/>
  <c r="AJ709" i="13" s="1"/>
  <c r="AE709" i="13"/>
  <c r="AG709" i="13"/>
  <c r="AH709" i="13"/>
  <c r="AI709" i="13"/>
  <c r="AD708" i="13"/>
  <c r="AJ708" i="13" s="1"/>
  <c r="AE708" i="13"/>
  <c r="AG708" i="13"/>
  <c r="AH708" i="13"/>
  <c r="AI708" i="13"/>
  <c r="AD707" i="13"/>
  <c r="AJ707" i="13" s="1"/>
  <c r="AE707" i="13"/>
  <c r="AG707" i="13"/>
  <c r="AH707" i="13"/>
  <c r="AI707" i="13"/>
  <c r="AD706" i="13"/>
  <c r="AJ706" i="13" s="1"/>
  <c r="AE706" i="13"/>
  <c r="AG706" i="13"/>
  <c r="AH706" i="13"/>
  <c r="AI706" i="13"/>
  <c r="AD705" i="13"/>
  <c r="AJ705" i="13" s="1"/>
  <c r="AE705" i="13"/>
  <c r="AG705" i="13"/>
  <c r="AH705" i="13"/>
  <c r="AI705" i="13"/>
  <c r="AD704" i="13"/>
  <c r="AJ704" i="13" s="1"/>
  <c r="AE704" i="13"/>
  <c r="AG704" i="13"/>
  <c r="AH704" i="13"/>
  <c r="AI704" i="13"/>
  <c r="AD703" i="13"/>
  <c r="AJ703" i="13" s="1"/>
  <c r="AE703" i="13"/>
  <c r="AG703" i="13"/>
  <c r="AH703" i="13"/>
  <c r="AI703" i="13"/>
  <c r="AD702" i="13"/>
  <c r="AJ702" i="13" s="1"/>
  <c r="AE702" i="13"/>
  <c r="AG702" i="13"/>
  <c r="AH702" i="13"/>
  <c r="AI702" i="13"/>
  <c r="AD701" i="13"/>
  <c r="AJ701" i="13" s="1"/>
  <c r="AE701" i="13"/>
  <c r="AG701" i="13"/>
  <c r="AH701" i="13"/>
  <c r="AI701" i="13"/>
  <c r="AD700" i="13"/>
  <c r="AJ700" i="13" s="1"/>
  <c r="AE700" i="13"/>
  <c r="AG700" i="13"/>
  <c r="AH700" i="13"/>
  <c r="AI700" i="13"/>
  <c r="AD699" i="13"/>
  <c r="AJ699" i="13" s="1"/>
  <c r="AE699" i="13"/>
  <c r="AG699" i="13"/>
  <c r="AH699" i="13"/>
  <c r="AI699" i="13"/>
  <c r="AD698" i="13"/>
  <c r="AJ698" i="13" s="1"/>
  <c r="AE698" i="13"/>
  <c r="AG698" i="13"/>
  <c r="AH698" i="13"/>
  <c r="AI698" i="13"/>
  <c r="AD697" i="13"/>
  <c r="AJ697" i="13" s="1"/>
  <c r="AE697" i="13"/>
  <c r="AG697" i="13"/>
  <c r="AH697" i="13"/>
  <c r="AI697" i="13"/>
  <c r="AD696" i="13"/>
  <c r="AJ696" i="13" s="1"/>
  <c r="AE696" i="13"/>
  <c r="AG696" i="13"/>
  <c r="AH696" i="13"/>
  <c r="AI696" i="13"/>
  <c r="AD695" i="13"/>
  <c r="AJ695" i="13" s="1"/>
  <c r="AE695" i="13"/>
  <c r="AG695" i="13"/>
  <c r="AH695" i="13"/>
  <c r="AI695" i="13"/>
  <c r="AD694" i="13"/>
  <c r="AJ694" i="13" s="1"/>
  <c r="AE694" i="13"/>
  <c r="AG694" i="13"/>
  <c r="AH694" i="13"/>
  <c r="AI694" i="13"/>
  <c r="AD693" i="13"/>
  <c r="AJ693" i="13" s="1"/>
  <c r="AE693" i="13"/>
  <c r="AG693" i="13"/>
  <c r="AH693" i="13"/>
  <c r="AI693" i="13"/>
  <c r="AD692" i="13"/>
  <c r="AJ692" i="13" s="1"/>
  <c r="AE692" i="13"/>
  <c r="AG692" i="13"/>
  <c r="AH692" i="13"/>
  <c r="AI692" i="13"/>
  <c r="AD691" i="13"/>
  <c r="AJ691" i="13" s="1"/>
  <c r="AE691" i="13"/>
  <c r="AG691" i="13"/>
  <c r="AH691" i="13"/>
  <c r="AI691" i="13"/>
  <c r="AD690" i="13"/>
  <c r="AJ690" i="13" s="1"/>
  <c r="AE690" i="13"/>
  <c r="AG690" i="13"/>
  <c r="AH690" i="13"/>
  <c r="AI690" i="13"/>
  <c r="AD689" i="13"/>
  <c r="AJ689" i="13" s="1"/>
  <c r="AE689" i="13"/>
  <c r="AG689" i="13"/>
  <c r="AH689" i="13"/>
  <c r="AI689" i="13"/>
  <c r="AD688" i="13"/>
  <c r="AJ688" i="13" s="1"/>
  <c r="AE688" i="13"/>
  <c r="AG688" i="13"/>
  <c r="AH688" i="13"/>
  <c r="AI688" i="13"/>
  <c r="AD687" i="13"/>
  <c r="AJ687" i="13" s="1"/>
  <c r="AE687" i="13"/>
  <c r="AG687" i="13"/>
  <c r="AH687" i="13"/>
  <c r="AI687" i="13"/>
  <c r="AD686" i="13"/>
  <c r="AJ686" i="13" s="1"/>
  <c r="AE686" i="13"/>
  <c r="AG686" i="13"/>
  <c r="AH686" i="13"/>
  <c r="AI686" i="13"/>
  <c r="AD685" i="13"/>
  <c r="AJ685" i="13" s="1"/>
  <c r="AE685" i="13"/>
  <c r="AG685" i="13"/>
  <c r="AH685" i="13"/>
  <c r="AI685" i="13"/>
  <c r="AD684" i="13"/>
  <c r="AJ684" i="13" s="1"/>
  <c r="AE684" i="13"/>
  <c r="AG684" i="13"/>
  <c r="AH684" i="13"/>
  <c r="AI684" i="13"/>
  <c r="AD666" i="13"/>
  <c r="AJ666" i="13" s="1"/>
  <c r="AE666" i="13"/>
  <c r="AG666" i="13"/>
  <c r="AH666" i="13"/>
  <c r="AI666" i="13"/>
  <c r="AD671" i="13"/>
  <c r="AJ671" i="13" s="1"/>
  <c r="AE671" i="13"/>
  <c r="AG671" i="13"/>
  <c r="AH671" i="13"/>
  <c r="AI671" i="13"/>
  <c r="AD587" i="13"/>
  <c r="AJ587" i="13" s="1"/>
  <c r="AE587" i="13"/>
  <c r="AG587" i="13"/>
  <c r="AH587" i="13"/>
  <c r="AI587" i="13"/>
  <c r="AD462" i="13"/>
  <c r="AJ462" i="13" s="1"/>
  <c r="AE462" i="13"/>
  <c r="AG462" i="13"/>
  <c r="AH462" i="13"/>
  <c r="AI462" i="13"/>
  <c r="AD433" i="13"/>
  <c r="AJ433" i="13" s="1"/>
  <c r="AE433" i="13"/>
  <c r="AG433" i="13"/>
  <c r="AH433" i="13"/>
  <c r="AI433" i="13"/>
  <c r="AD424" i="13"/>
  <c r="AJ424" i="13" s="1"/>
  <c r="AE424" i="13"/>
  <c r="AG424" i="13"/>
  <c r="AH424" i="13"/>
  <c r="AI424" i="13"/>
  <c r="AD237" i="13"/>
  <c r="AJ237" i="13" s="1"/>
  <c r="AE237" i="13"/>
  <c r="AG237" i="13"/>
  <c r="AH237" i="13"/>
  <c r="AI237" i="13"/>
  <c r="AD226" i="13"/>
  <c r="AJ226" i="13" s="1"/>
  <c r="AE226" i="13"/>
  <c r="AG226" i="13"/>
  <c r="AH226" i="13"/>
  <c r="AI226" i="13"/>
  <c r="AD222" i="13"/>
  <c r="AJ222" i="13" s="1"/>
  <c r="AE222" i="13"/>
  <c r="AG222" i="13"/>
  <c r="AH222" i="13"/>
  <c r="AI222" i="13"/>
  <c r="AD219" i="13"/>
  <c r="AJ219" i="13" s="1"/>
  <c r="AE219" i="13"/>
  <c r="AG219" i="13"/>
  <c r="AH219" i="13"/>
  <c r="AI219" i="13"/>
  <c r="AD211" i="13"/>
  <c r="AJ211" i="13" s="1"/>
  <c r="AE211" i="13"/>
  <c r="AG211" i="13"/>
  <c r="AH211" i="13"/>
  <c r="AI211" i="13"/>
  <c r="AD455" i="13"/>
  <c r="AJ455" i="13" s="1"/>
  <c r="AE455" i="13"/>
  <c r="AG455" i="13"/>
  <c r="AH455" i="13"/>
  <c r="AI455" i="13"/>
  <c r="AD561" i="13"/>
  <c r="AJ561" i="13" s="1"/>
  <c r="AE561" i="13"/>
  <c r="AG561" i="13"/>
  <c r="AH561" i="13"/>
  <c r="AI561" i="13"/>
  <c r="AD497" i="13"/>
  <c r="AJ497" i="13" s="1"/>
  <c r="AE497" i="13"/>
  <c r="AG497" i="13"/>
  <c r="AH497" i="13"/>
  <c r="AI497" i="13"/>
  <c r="AD45" i="13"/>
  <c r="AJ45" i="13" s="1"/>
  <c r="AE45" i="13"/>
  <c r="AG45" i="13"/>
  <c r="AH45" i="13"/>
  <c r="AI45" i="13"/>
  <c r="AD551" i="13"/>
  <c r="AJ551" i="13" s="1"/>
  <c r="AE551" i="13"/>
  <c r="AG551" i="13"/>
  <c r="AH551" i="13"/>
  <c r="AI551" i="13"/>
  <c r="AE782" i="13"/>
  <c r="AH782" i="13"/>
  <c r="AD782" i="13"/>
  <c r="AJ782" i="13" s="1"/>
  <c r="AI782" i="13"/>
  <c r="AG782" i="13"/>
  <c r="AG756" i="13"/>
  <c r="AD756" i="13"/>
  <c r="AJ756" i="13" s="1"/>
  <c r="AI756" i="13"/>
  <c r="AE756" i="13"/>
  <c r="AH756" i="13"/>
  <c r="AD653" i="13"/>
  <c r="AJ653" i="13" s="1"/>
  <c r="AE653" i="13"/>
  <c r="AG653" i="13"/>
  <c r="AH653" i="13"/>
  <c r="AI653" i="13"/>
  <c r="AD298" i="13"/>
  <c r="AJ298" i="13" s="1"/>
  <c r="AE298" i="13"/>
  <c r="AG298" i="13"/>
  <c r="AH298" i="13"/>
  <c r="AI298" i="13"/>
  <c r="AD97" i="13"/>
  <c r="AJ97" i="13" s="1"/>
  <c r="AE97" i="13"/>
  <c r="AG97" i="13"/>
  <c r="AH97" i="13"/>
  <c r="AI97" i="13"/>
  <c r="AD88" i="13"/>
  <c r="AJ88" i="13" s="1"/>
  <c r="AE88" i="13"/>
  <c r="AG88" i="13"/>
  <c r="AH88" i="13"/>
  <c r="AI88" i="13"/>
  <c r="AD76" i="13"/>
  <c r="AJ76" i="13" s="1"/>
  <c r="AE76" i="13"/>
  <c r="AG76" i="13"/>
  <c r="AH76" i="13"/>
  <c r="AI76" i="13"/>
  <c r="AD20" i="13"/>
  <c r="AJ20" i="13" s="1"/>
  <c r="AE20" i="13"/>
  <c r="AG20" i="13"/>
  <c r="AH20" i="13"/>
  <c r="AI20" i="13"/>
  <c r="AD451" i="13"/>
  <c r="AJ451" i="13" s="1"/>
  <c r="AE451" i="13"/>
  <c r="AG451" i="13"/>
  <c r="AH451" i="13"/>
  <c r="AI451" i="13"/>
  <c r="AD498" i="13"/>
  <c r="AJ498" i="13" s="1"/>
  <c r="AE498" i="13"/>
  <c r="AG498" i="13"/>
  <c r="AH498" i="13"/>
  <c r="AI498" i="13"/>
  <c r="AI982" i="13"/>
  <c r="AD982" i="13"/>
  <c r="AJ982" i="13" s="1"/>
  <c r="AG982" i="13"/>
  <c r="AE982" i="13"/>
  <c r="AH982" i="13"/>
  <c r="AD977" i="13"/>
  <c r="AJ977" i="13" s="1"/>
  <c r="AE977" i="13"/>
  <c r="AH977" i="13"/>
  <c r="AI977" i="13"/>
  <c r="AG977" i="13"/>
  <c r="AE973" i="13"/>
  <c r="AG973" i="13"/>
  <c r="AI973" i="13"/>
  <c r="AH973" i="13"/>
  <c r="AD973" i="13"/>
  <c r="AJ973" i="13" s="1"/>
  <c r="AE969" i="13"/>
  <c r="AH969" i="13"/>
  <c r="AD969" i="13"/>
  <c r="AJ969" i="13" s="1"/>
  <c r="AG969" i="13"/>
  <c r="AI969" i="13"/>
  <c r="AH959" i="13"/>
  <c r="AI959" i="13"/>
  <c r="AG959" i="13"/>
  <c r="AD959" i="13"/>
  <c r="AJ959" i="13" s="1"/>
  <c r="AE959" i="13"/>
  <c r="AG945" i="13"/>
  <c r="AH945" i="13"/>
  <c r="AI945" i="13"/>
  <c r="AD945" i="13"/>
  <c r="AJ945" i="13" s="1"/>
  <c r="AE945" i="13"/>
  <c r="AD938" i="13"/>
  <c r="AJ938" i="13" s="1"/>
  <c r="AG938" i="13"/>
  <c r="AE938" i="13"/>
  <c r="AI938" i="13"/>
  <c r="AH938" i="13"/>
  <c r="AD927" i="13"/>
  <c r="AJ927" i="13" s="1"/>
  <c r="AE927" i="13"/>
  <c r="AH927" i="13"/>
  <c r="AG927" i="13"/>
  <c r="AI927" i="13"/>
  <c r="AI914" i="13"/>
  <c r="AE914" i="13"/>
  <c r="AD914" i="13"/>
  <c r="AJ914" i="13" s="1"/>
  <c r="AG914" i="13"/>
  <c r="AH914" i="13"/>
  <c r="AH896" i="13"/>
  <c r="AD896" i="13"/>
  <c r="AJ896" i="13" s="1"/>
  <c r="AI896" i="13"/>
  <c r="AE896" i="13"/>
  <c r="AG896" i="13"/>
  <c r="AD891" i="13"/>
  <c r="AJ891" i="13" s="1"/>
  <c r="AG891" i="13"/>
  <c r="AE891" i="13"/>
  <c r="AH891" i="13"/>
  <c r="AI891" i="13"/>
  <c r="AE885" i="13"/>
  <c r="AH885" i="13"/>
  <c r="AI885" i="13"/>
  <c r="AD885" i="13"/>
  <c r="AJ885" i="13" s="1"/>
  <c r="AG885" i="13"/>
  <c r="AI879" i="13"/>
  <c r="AG879" i="13"/>
  <c r="AD879" i="13"/>
  <c r="AJ879" i="13" s="1"/>
  <c r="AH879" i="13"/>
  <c r="AE879" i="13"/>
  <c r="AH864" i="13"/>
  <c r="AE864" i="13"/>
  <c r="AD864" i="13"/>
  <c r="AJ864" i="13" s="1"/>
  <c r="AI864" i="13"/>
  <c r="AG864" i="13"/>
  <c r="AD567" i="13"/>
  <c r="AJ567" i="13" s="1"/>
  <c r="AE567" i="13"/>
  <c r="AG567" i="13"/>
  <c r="AH567" i="13"/>
  <c r="AI567" i="13"/>
  <c r="AD683" i="13"/>
  <c r="AJ683" i="13" s="1"/>
  <c r="AE683" i="13"/>
  <c r="AG683" i="13"/>
  <c r="AH683" i="13"/>
  <c r="AI683" i="13"/>
  <c r="AD682" i="13"/>
  <c r="AJ682" i="13" s="1"/>
  <c r="AE682" i="13"/>
  <c r="AG682" i="13"/>
  <c r="AH682" i="13"/>
  <c r="AI682" i="13"/>
  <c r="AD681" i="13"/>
  <c r="AJ681" i="13" s="1"/>
  <c r="AE681" i="13"/>
  <c r="AG681" i="13"/>
  <c r="AH681" i="13"/>
  <c r="AI681" i="13"/>
  <c r="AD680" i="13"/>
  <c r="AJ680" i="13" s="1"/>
  <c r="AE680" i="13"/>
  <c r="AG680" i="13"/>
  <c r="AH680" i="13"/>
  <c r="AI680" i="13"/>
  <c r="AD679" i="13"/>
  <c r="AJ679" i="13" s="1"/>
  <c r="AE679" i="13"/>
  <c r="AG679" i="13"/>
  <c r="AH679" i="13"/>
  <c r="AI679" i="13"/>
  <c r="AD678" i="13"/>
  <c r="AJ678" i="13" s="1"/>
  <c r="AE678" i="13"/>
  <c r="AG678" i="13"/>
  <c r="AH678" i="13"/>
  <c r="AI678" i="13"/>
  <c r="AD677" i="13"/>
  <c r="AJ677" i="13" s="1"/>
  <c r="AE677" i="13"/>
  <c r="AG677" i="13"/>
  <c r="AH677" i="13"/>
  <c r="AI677" i="13"/>
  <c r="AD676" i="13"/>
  <c r="AJ676" i="13" s="1"/>
  <c r="AE676" i="13"/>
  <c r="AG676" i="13"/>
  <c r="AH676" i="13"/>
  <c r="AI676" i="13"/>
  <c r="AD675" i="13"/>
  <c r="AJ675" i="13" s="1"/>
  <c r="AE675" i="13"/>
  <c r="AG675" i="13"/>
  <c r="AH675" i="13"/>
  <c r="AI675" i="13"/>
  <c r="AD674" i="13"/>
  <c r="AJ674" i="13" s="1"/>
  <c r="AE674" i="13"/>
  <c r="AG674" i="13"/>
  <c r="AH674" i="13"/>
  <c r="AI674" i="13"/>
  <c r="AD673" i="13"/>
  <c r="AJ673" i="13" s="1"/>
  <c r="AE673" i="13"/>
  <c r="AG673" i="13"/>
  <c r="AH673" i="13"/>
  <c r="AI673" i="13"/>
  <c r="AD312" i="13"/>
  <c r="AJ312" i="13" s="1"/>
  <c r="AE312" i="13"/>
  <c r="AG312" i="13"/>
  <c r="AH312" i="13"/>
  <c r="AI312" i="13"/>
  <c r="AD313" i="13"/>
  <c r="AJ313" i="13" s="1"/>
  <c r="AE313" i="13"/>
  <c r="AG313" i="13"/>
  <c r="AH313" i="13"/>
  <c r="AI313" i="13"/>
  <c r="AD314" i="13"/>
  <c r="AJ314" i="13" s="1"/>
  <c r="AE314" i="13"/>
  <c r="AG314" i="13"/>
  <c r="AH314" i="13"/>
  <c r="AI314" i="13"/>
  <c r="AD315" i="13"/>
  <c r="AJ315" i="13" s="1"/>
  <c r="AE315" i="13"/>
  <c r="AG315" i="13"/>
  <c r="AH315" i="13"/>
  <c r="AI315" i="13"/>
  <c r="AD316" i="13"/>
  <c r="AJ316" i="13" s="1"/>
  <c r="AE316" i="13"/>
  <c r="AG316" i="13"/>
  <c r="AH316" i="13"/>
  <c r="AI316" i="13"/>
  <c r="AD317" i="13"/>
  <c r="AJ317" i="13" s="1"/>
  <c r="AE317" i="13"/>
  <c r="AG317" i="13"/>
  <c r="AH317" i="13"/>
  <c r="AI317" i="13"/>
  <c r="AD318" i="13"/>
  <c r="AJ318" i="13" s="1"/>
  <c r="AE318" i="13"/>
  <c r="AG318" i="13"/>
  <c r="AH318" i="13"/>
  <c r="AI318" i="13"/>
  <c r="AD319" i="13"/>
  <c r="AJ319" i="13" s="1"/>
  <c r="AE319" i="13"/>
  <c r="AG319" i="13"/>
  <c r="AH319" i="13"/>
  <c r="AI319" i="13"/>
  <c r="AD320" i="13"/>
  <c r="AJ320" i="13" s="1"/>
  <c r="AE320" i="13"/>
  <c r="AG320" i="13"/>
  <c r="AH320" i="13"/>
  <c r="AI320" i="13"/>
  <c r="AD321" i="13"/>
  <c r="AJ321" i="13" s="1"/>
  <c r="AE321" i="13"/>
  <c r="AG321" i="13"/>
  <c r="AH321" i="13"/>
  <c r="AI321" i="13"/>
  <c r="AD322" i="13"/>
  <c r="AJ322" i="13" s="1"/>
  <c r="AE322" i="13"/>
  <c r="AG322" i="13"/>
  <c r="AH322" i="13"/>
  <c r="AI322" i="13"/>
  <c r="AD323" i="13"/>
  <c r="AJ323" i="13" s="1"/>
  <c r="AE323" i="13"/>
  <c r="AG323" i="13"/>
  <c r="AH323" i="13"/>
  <c r="AI323" i="13"/>
  <c r="AD324" i="13"/>
  <c r="AJ324" i="13" s="1"/>
  <c r="AE324" i="13"/>
  <c r="AG324" i="13"/>
  <c r="AH324" i="13"/>
  <c r="AI324" i="13"/>
  <c r="AD325" i="13"/>
  <c r="AJ325" i="13" s="1"/>
  <c r="AE325" i="13"/>
  <c r="AG325" i="13"/>
  <c r="AH325" i="13"/>
  <c r="AI325" i="13"/>
  <c r="AD326" i="13"/>
  <c r="AJ326" i="13" s="1"/>
  <c r="AE326" i="13"/>
  <c r="AG326" i="13"/>
  <c r="AH326" i="13"/>
  <c r="AI326" i="13"/>
  <c r="AD327" i="13"/>
  <c r="AJ327" i="13" s="1"/>
  <c r="AE327" i="13"/>
  <c r="AG327" i="13"/>
  <c r="AH327" i="13"/>
  <c r="AI327" i="13"/>
  <c r="AD328" i="13"/>
  <c r="AJ328" i="13" s="1"/>
  <c r="AE328" i="13"/>
  <c r="AG328" i="13"/>
  <c r="AH328" i="13"/>
  <c r="AI328" i="13"/>
  <c r="AD329" i="13"/>
  <c r="AJ329" i="13" s="1"/>
  <c r="AE329" i="13"/>
  <c r="AG329" i="13"/>
  <c r="AH329" i="13"/>
  <c r="AI329" i="13"/>
  <c r="AD330" i="13"/>
  <c r="AJ330" i="13" s="1"/>
  <c r="AE330" i="13"/>
  <c r="AG330" i="13"/>
  <c r="AH330" i="13"/>
  <c r="AI330" i="13"/>
  <c r="AD331" i="13"/>
  <c r="AJ331" i="13" s="1"/>
  <c r="AE331" i="13"/>
  <c r="AG331" i="13"/>
  <c r="AH331" i="13"/>
  <c r="AI331" i="13"/>
  <c r="AE995" i="13"/>
  <c r="AH995" i="13"/>
  <c r="AI995" i="13"/>
  <c r="AD995" i="13"/>
  <c r="AJ995" i="13" s="1"/>
  <c r="AG995" i="13"/>
  <c r="AD299" i="13"/>
  <c r="AJ299" i="13" s="1"/>
  <c r="AE299" i="13"/>
  <c r="AG299" i="13"/>
  <c r="AH299" i="13"/>
  <c r="AI299" i="13"/>
  <c r="AH966" i="13"/>
  <c r="AI966" i="13"/>
  <c r="AG966" i="13"/>
  <c r="AD966" i="13"/>
  <c r="AJ966" i="13" s="1"/>
  <c r="AE966" i="13"/>
  <c r="AD586" i="13"/>
  <c r="AJ586" i="13" s="1"/>
  <c r="AE586" i="13"/>
  <c r="AG586" i="13"/>
  <c r="AH586" i="13"/>
  <c r="AI586" i="13"/>
  <c r="AD579" i="13"/>
  <c r="AJ579" i="13" s="1"/>
  <c r="AE579" i="13"/>
  <c r="AG579" i="13"/>
  <c r="AH579" i="13"/>
  <c r="AI579" i="13"/>
  <c r="AD568" i="13"/>
  <c r="AJ568" i="13" s="1"/>
  <c r="AE568" i="13"/>
  <c r="AG568" i="13"/>
  <c r="AH568" i="13"/>
  <c r="AI568" i="13"/>
  <c r="AD550" i="13"/>
  <c r="AJ550" i="13" s="1"/>
  <c r="AE550" i="13"/>
  <c r="AG550" i="13"/>
  <c r="AH550" i="13"/>
  <c r="AI550" i="13"/>
  <c r="AD531" i="13"/>
  <c r="AJ531" i="13" s="1"/>
  <c r="AE531" i="13"/>
  <c r="AG531" i="13"/>
  <c r="AH531" i="13"/>
  <c r="AI531" i="13"/>
  <c r="AD517" i="13"/>
  <c r="AJ517" i="13" s="1"/>
  <c r="AE517" i="13"/>
  <c r="AG517" i="13"/>
  <c r="AH517" i="13"/>
  <c r="AI517" i="13"/>
  <c r="AD473" i="13"/>
  <c r="AJ473" i="13" s="1"/>
  <c r="AE473" i="13"/>
  <c r="AG473" i="13"/>
  <c r="AH473" i="13"/>
  <c r="AI473" i="13"/>
  <c r="AD450" i="13"/>
  <c r="AJ450" i="13" s="1"/>
  <c r="AE450" i="13"/>
  <c r="AG450" i="13"/>
  <c r="AH450" i="13"/>
  <c r="AI450" i="13"/>
  <c r="AD38" i="13"/>
  <c r="AJ38" i="13" s="1"/>
  <c r="AE38" i="13"/>
  <c r="AG38" i="13"/>
  <c r="AH38" i="13"/>
  <c r="AI38" i="13"/>
  <c r="AD435" i="13"/>
  <c r="AJ435" i="13" s="1"/>
  <c r="AE435" i="13"/>
  <c r="AG435" i="13"/>
  <c r="AH435" i="13"/>
  <c r="AI435" i="13"/>
  <c r="AD428" i="13"/>
  <c r="AJ428" i="13" s="1"/>
  <c r="AE428" i="13"/>
  <c r="AG428" i="13"/>
  <c r="AH428" i="13"/>
  <c r="AI428" i="13"/>
  <c r="AD423" i="13"/>
  <c r="AJ423" i="13" s="1"/>
  <c r="AE423" i="13"/>
  <c r="AG423" i="13"/>
  <c r="AH423" i="13"/>
  <c r="AI423" i="13"/>
  <c r="AD417" i="13"/>
  <c r="AJ417" i="13" s="1"/>
  <c r="AE417" i="13"/>
  <c r="AG417" i="13"/>
  <c r="AH417" i="13"/>
  <c r="AI417" i="13"/>
  <c r="AD409" i="13"/>
  <c r="AJ409" i="13" s="1"/>
  <c r="AE409" i="13"/>
  <c r="AG409" i="13"/>
  <c r="AH409" i="13"/>
  <c r="AI409" i="13"/>
  <c r="AD402" i="13"/>
  <c r="AJ402" i="13" s="1"/>
  <c r="AE402" i="13"/>
  <c r="AG402" i="13"/>
  <c r="AH402" i="13"/>
  <c r="AI402" i="13"/>
  <c r="AD395" i="13"/>
  <c r="AJ395" i="13" s="1"/>
  <c r="AE395" i="13"/>
  <c r="AG395" i="13"/>
  <c r="AH395" i="13"/>
  <c r="AI395" i="13"/>
  <c r="AD388" i="13"/>
  <c r="AJ388" i="13" s="1"/>
  <c r="AE388" i="13"/>
  <c r="AG388" i="13"/>
  <c r="AH388" i="13"/>
  <c r="AI388" i="13"/>
  <c r="AD382" i="13"/>
  <c r="AJ382" i="13" s="1"/>
  <c r="AE382" i="13"/>
  <c r="AG382" i="13"/>
  <c r="AH382" i="13"/>
  <c r="AI382" i="13"/>
  <c r="AD375" i="13"/>
  <c r="AJ375" i="13" s="1"/>
  <c r="AE375" i="13"/>
  <c r="AG375" i="13"/>
  <c r="AH375" i="13"/>
  <c r="AI375" i="13"/>
  <c r="AD374" i="13"/>
  <c r="AJ374" i="13" s="1"/>
  <c r="AE374" i="13"/>
  <c r="AG374" i="13"/>
  <c r="AH374" i="13"/>
  <c r="AI374" i="13"/>
  <c r="AD373" i="13"/>
  <c r="AJ373" i="13" s="1"/>
  <c r="AE373" i="13"/>
  <c r="AG373" i="13"/>
  <c r="AH373" i="13"/>
  <c r="AI373" i="13"/>
  <c r="AD372" i="13"/>
  <c r="AJ372" i="13" s="1"/>
  <c r="AE372" i="13"/>
  <c r="AG372" i="13"/>
  <c r="AH372" i="13"/>
  <c r="AI372" i="13"/>
  <c r="AD371" i="13"/>
  <c r="AJ371" i="13" s="1"/>
  <c r="AE371" i="13"/>
  <c r="AG371" i="13"/>
  <c r="AH371" i="13"/>
  <c r="AI371" i="13"/>
  <c r="AD370" i="13"/>
  <c r="AJ370" i="13" s="1"/>
  <c r="AE370" i="13"/>
  <c r="AG370" i="13"/>
  <c r="AH370" i="13"/>
  <c r="AI370" i="13"/>
  <c r="AD369" i="13"/>
  <c r="AJ369" i="13" s="1"/>
  <c r="AE369" i="13"/>
  <c r="AG369" i="13"/>
  <c r="AH369" i="13"/>
  <c r="AI369" i="13"/>
  <c r="AD368" i="13"/>
  <c r="AJ368" i="13" s="1"/>
  <c r="AE368" i="13"/>
  <c r="AG368" i="13"/>
  <c r="AH368" i="13"/>
  <c r="AI368" i="13"/>
  <c r="AD367" i="13"/>
  <c r="AJ367" i="13" s="1"/>
  <c r="AE367" i="13"/>
  <c r="AG367" i="13"/>
  <c r="AH367" i="13"/>
  <c r="AI367" i="13"/>
  <c r="AD366" i="13"/>
  <c r="AJ366" i="13" s="1"/>
  <c r="AE366" i="13"/>
  <c r="AG366" i="13"/>
  <c r="AH366" i="13"/>
  <c r="AI366" i="13"/>
  <c r="AD365" i="13"/>
  <c r="AJ365" i="13" s="1"/>
  <c r="AE365" i="13"/>
  <c r="AG365" i="13"/>
  <c r="AH365" i="13"/>
  <c r="AI365" i="13"/>
  <c r="AD364" i="13"/>
  <c r="AJ364" i="13" s="1"/>
  <c r="AE364" i="13"/>
  <c r="AG364" i="13"/>
  <c r="AH364" i="13"/>
  <c r="AI364" i="13"/>
  <c r="AD363" i="13"/>
  <c r="AJ363" i="13" s="1"/>
  <c r="AE363" i="13"/>
  <c r="AG363" i="13"/>
  <c r="AH363" i="13"/>
  <c r="AI363" i="13"/>
  <c r="AD362" i="13"/>
  <c r="AJ362" i="13" s="1"/>
  <c r="AE362" i="13"/>
  <c r="AG362" i="13"/>
  <c r="AH362" i="13"/>
  <c r="AI362" i="13"/>
  <c r="AD361" i="13"/>
  <c r="AJ361" i="13" s="1"/>
  <c r="AE361" i="13"/>
  <c r="AG361" i="13"/>
  <c r="AH361" i="13"/>
  <c r="AI361" i="13"/>
  <c r="AD360" i="13"/>
  <c r="AJ360" i="13" s="1"/>
  <c r="AE360" i="13"/>
  <c r="AG360" i="13"/>
  <c r="AH360" i="13"/>
  <c r="AI360" i="13"/>
  <c r="AD359" i="13"/>
  <c r="AJ359" i="13" s="1"/>
  <c r="AE359" i="13"/>
  <c r="AG359" i="13"/>
  <c r="AH359" i="13"/>
  <c r="AI359" i="13"/>
  <c r="AD358" i="13"/>
  <c r="AJ358" i="13" s="1"/>
  <c r="AE358" i="13"/>
  <c r="AG358" i="13"/>
  <c r="AH358" i="13"/>
  <c r="AI358" i="13"/>
  <c r="AD357" i="13"/>
  <c r="AJ357" i="13" s="1"/>
  <c r="AE357" i="13"/>
  <c r="AG357" i="13"/>
  <c r="AH357" i="13"/>
  <c r="AI357" i="13"/>
  <c r="AD356" i="13"/>
  <c r="AJ356" i="13" s="1"/>
  <c r="AE356" i="13"/>
  <c r="AG356" i="13"/>
  <c r="AH356" i="13"/>
  <c r="AI356" i="13"/>
  <c r="AD355" i="13"/>
  <c r="AJ355" i="13" s="1"/>
  <c r="AE355" i="13"/>
  <c r="AG355" i="13"/>
  <c r="AH355" i="13"/>
  <c r="AI355" i="13"/>
  <c r="AD354" i="13"/>
  <c r="AJ354" i="13" s="1"/>
  <c r="AE354" i="13"/>
  <c r="AG354" i="13"/>
  <c r="AH354" i="13"/>
  <c r="AI354" i="13"/>
  <c r="AD353" i="13"/>
  <c r="AJ353" i="13" s="1"/>
  <c r="AE353" i="13"/>
  <c r="AG353" i="13"/>
  <c r="AH353" i="13"/>
  <c r="AI353" i="13"/>
  <c r="AD352" i="13"/>
  <c r="AJ352" i="13" s="1"/>
  <c r="AE352" i="13"/>
  <c r="AG352" i="13"/>
  <c r="AH352" i="13"/>
  <c r="AI352" i="13"/>
  <c r="AD351" i="13"/>
  <c r="AJ351" i="13" s="1"/>
  <c r="AE351" i="13"/>
  <c r="AG351" i="13"/>
  <c r="AH351" i="13"/>
  <c r="AI351" i="13"/>
  <c r="AD350" i="13"/>
  <c r="AJ350" i="13" s="1"/>
  <c r="AE350" i="13"/>
  <c r="AG350" i="13"/>
  <c r="AH350" i="13"/>
  <c r="AI350" i="13"/>
  <c r="AD349" i="13"/>
  <c r="AJ349" i="13" s="1"/>
  <c r="AE349" i="13"/>
  <c r="AG349" i="13"/>
  <c r="AH349" i="13"/>
  <c r="AI349" i="13"/>
  <c r="AD348" i="13"/>
  <c r="AJ348" i="13" s="1"/>
  <c r="AE348" i="13"/>
  <c r="AG348" i="13"/>
  <c r="AH348" i="13"/>
  <c r="AI348" i="13"/>
  <c r="AD347" i="13"/>
  <c r="AJ347" i="13" s="1"/>
  <c r="AE347" i="13"/>
  <c r="AG347" i="13"/>
  <c r="AH347" i="13"/>
  <c r="AI347" i="13"/>
  <c r="AD346" i="13"/>
  <c r="AJ346" i="13" s="1"/>
  <c r="AE346" i="13"/>
  <c r="AG346" i="13"/>
  <c r="AH346" i="13"/>
  <c r="AI346" i="13"/>
  <c r="AD345" i="13"/>
  <c r="AJ345" i="13" s="1"/>
  <c r="AE345" i="13"/>
  <c r="AG345" i="13"/>
  <c r="AH345" i="13"/>
  <c r="AI345" i="13"/>
  <c r="AD344" i="13"/>
  <c r="AJ344" i="13" s="1"/>
  <c r="AE344" i="13"/>
  <c r="AG344" i="13"/>
  <c r="AH344" i="13"/>
  <c r="AI344" i="13"/>
  <c r="AD343" i="13"/>
  <c r="AJ343" i="13" s="1"/>
  <c r="AE343" i="13"/>
  <c r="AG343" i="13"/>
  <c r="AH343" i="13"/>
  <c r="AI343" i="13"/>
  <c r="AD342" i="13"/>
  <c r="AJ342" i="13" s="1"/>
  <c r="AE342" i="13"/>
  <c r="AG342" i="13"/>
  <c r="AH342" i="13"/>
  <c r="AI342" i="13"/>
  <c r="AD341" i="13"/>
  <c r="AJ341" i="13" s="1"/>
  <c r="AE341" i="13"/>
  <c r="AG341" i="13"/>
  <c r="AH341" i="13"/>
  <c r="AI341" i="13"/>
  <c r="AD340" i="13"/>
  <c r="AJ340" i="13" s="1"/>
  <c r="AE340" i="13"/>
  <c r="AG340" i="13"/>
  <c r="AH340" i="13"/>
  <c r="AI340" i="13"/>
  <c r="AD339" i="13"/>
  <c r="AJ339" i="13" s="1"/>
  <c r="AE339" i="13"/>
  <c r="AG339" i="13"/>
  <c r="AH339" i="13"/>
  <c r="AI339" i="13"/>
  <c r="AD338" i="13"/>
  <c r="AJ338" i="13" s="1"/>
  <c r="AE338" i="13"/>
  <c r="AG338" i="13"/>
  <c r="AH338" i="13"/>
  <c r="AI338" i="13"/>
  <c r="AD337" i="13"/>
  <c r="AJ337" i="13" s="1"/>
  <c r="AE337" i="13"/>
  <c r="AG337" i="13"/>
  <c r="AH337" i="13"/>
  <c r="AI337" i="13"/>
  <c r="AD336" i="13"/>
  <c r="AJ336" i="13" s="1"/>
  <c r="AE336" i="13"/>
  <c r="AG336" i="13"/>
  <c r="AH336" i="13"/>
  <c r="AI336" i="13"/>
  <c r="AD335" i="13"/>
  <c r="AJ335" i="13" s="1"/>
  <c r="AE335" i="13"/>
  <c r="AG335" i="13"/>
  <c r="AH335" i="13"/>
  <c r="AI335" i="13"/>
  <c r="AD334" i="13"/>
  <c r="AJ334" i="13" s="1"/>
  <c r="AE334" i="13"/>
  <c r="AG334" i="13"/>
  <c r="AH334" i="13"/>
  <c r="AI334" i="13"/>
  <c r="AD333" i="13"/>
  <c r="AJ333" i="13" s="1"/>
  <c r="AE333" i="13"/>
  <c r="AG333" i="13"/>
  <c r="AH333" i="13"/>
  <c r="AI333" i="13"/>
  <c r="AD585" i="13"/>
  <c r="AJ585" i="13" s="1"/>
  <c r="AE585" i="13"/>
  <c r="AG585" i="13"/>
  <c r="AH585" i="13"/>
  <c r="AI585" i="13"/>
  <c r="AD305" i="13"/>
  <c r="AJ305" i="13" s="1"/>
  <c r="AE305" i="13"/>
  <c r="AG305" i="13"/>
  <c r="AH305" i="13"/>
  <c r="AI305" i="13"/>
  <c r="AD606" i="13"/>
  <c r="AJ606" i="13" s="1"/>
  <c r="AE606" i="13"/>
  <c r="AG606" i="13"/>
  <c r="AH606" i="13"/>
  <c r="AI606" i="13"/>
  <c r="AD611" i="13"/>
  <c r="AJ611" i="13" s="1"/>
  <c r="AE611" i="13"/>
  <c r="AG611" i="13"/>
  <c r="AH611" i="13"/>
  <c r="AI611" i="13"/>
  <c r="AD618" i="13"/>
  <c r="AJ618" i="13" s="1"/>
  <c r="AE618" i="13"/>
  <c r="AG618" i="13"/>
  <c r="AH618" i="13"/>
  <c r="AI618" i="13"/>
  <c r="AD625" i="13"/>
  <c r="AJ625" i="13" s="1"/>
  <c r="AE625" i="13"/>
  <c r="AG625" i="13"/>
  <c r="AH625" i="13"/>
  <c r="AI625" i="13"/>
  <c r="AD632" i="13"/>
  <c r="AJ632" i="13" s="1"/>
  <c r="AE632" i="13"/>
  <c r="AG632" i="13"/>
  <c r="AH632" i="13"/>
  <c r="AI632" i="13"/>
  <c r="AD639" i="13"/>
  <c r="AJ639" i="13" s="1"/>
  <c r="AE639" i="13"/>
  <c r="AG639" i="13"/>
  <c r="AH639" i="13"/>
  <c r="AI639" i="13"/>
  <c r="AD646" i="13"/>
  <c r="AJ646" i="13" s="1"/>
  <c r="AE646" i="13"/>
  <c r="AG646" i="13"/>
  <c r="AH646" i="13"/>
  <c r="AI646" i="13"/>
  <c r="AD651" i="13"/>
  <c r="AJ651" i="13" s="1"/>
  <c r="AE651" i="13"/>
  <c r="AG651" i="13"/>
  <c r="AH651" i="13"/>
  <c r="AI651" i="13"/>
  <c r="AD658" i="13"/>
  <c r="AJ658" i="13" s="1"/>
  <c r="AE658" i="13"/>
  <c r="AG658" i="13"/>
  <c r="AH658" i="13"/>
  <c r="AI658" i="13"/>
  <c r="AD663" i="13"/>
  <c r="AJ663" i="13" s="1"/>
  <c r="AE663" i="13"/>
  <c r="AG663" i="13"/>
  <c r="AH663" i="13"/>
  <c r="AI663" i="13"/>
  <c r="AD664" i="13"/>
  <c r="AJ664" i="13" s="1"/>
  <c r="AE664" i="13"/>
  <c r="AG664" i="13"/>
  <c r="AH664" i="13"/>
  <c r="AI664" i="13"/>
  <c r="AD665" i="13"/>
  <c r="AJ665" i="13" s="1"/>
  <c r="AE665" i="13"/>
  <c r="AG665" i="13"/>
  <c r="AH665" i="13"/>
  <c r="AI665" i="13"/>
  <c r="B35" i="13"/>
  <c r="B36" i="13"/>
  <c r="B37" i="13"/>
  <c r="B38" i="13"/>
  <c r="B39" i="13"/>
  <c r="B40" i="13"/>
  <c r="B41" i="13"/>
  <c r="B42" i="13"/>
  <c r="B43" i="13"/>
  <c r="B44" i="13"/>
  <c r="AU11" i="13"/>
  <c r="AU6" i="13"/>
  <c r="AU8" i="13"/>
  <c r="AU10" i="13"/>
  <c r="AU7" i="13"/>
  <c r="AU4" i="13"/>
  <c r="AU5" i="13"/>
  <c r="AU3" i="13"/>
  <c r="AU2" i="13"/>
  <c r="AU9" i="13"/>
  <c r="U3" i="15"/>
  <c r="B14" i="13"/>
  <c r="K49" i="13" s="1"/>
  <c r="B13" i="13"/>
  <c r="K48" i="13" s="1"/>
  <c r="B5" i="13" l="1"/>
  <c r="K50" i="13"/>
  <c r="AF1001" i="13"/>
  <c r="B56" i="13"/>
  <c r="B53" i="13"/>
  <c r="T3" i="15"/>
  <c r="V3" i="15" s="1"/>
  <c r="S9" i="15"/>
  <c r="B38" i="4"/>
  <c r="K36" i="4" s="1"/>
  <c r="B49" i="4"/>
  <c r="K40" i="4" s="1"/>
  <c r="W6" i="15"/>
  <c r="T6" i="15"/>
  <c r="V6" i="15" s="1"/>
  <c r="T4" i="15"/>
  <c r="V4" i="15" s="1"/>
  <c r="W4" i="15"/>
  <c r="B39" i="4"/>
  <c r="K37" i="4" s="1"/>
  <c r="B48" i="4"/>
  <c r="W8" i="15"/>
  <c r="T8" i="15"/>
  <c r="V8" i="15" s="1"/>
  <c r="B40" i="4"/>
  <c r="K35" i="4" s="1"/>
  <c r="T5" i="15"/>
  <c r="V5" i="15" s="1"/>
  <c r="B37" i="4"/>
  <c r="T7" i="15"/>
  <c r="V7" i="15" s="1"/>
  <c r="I25" i="13"/>
  <c r="D22" i="13"/>
  <c r="B49" i="13"/>
  <c r="B52" i="13"/>
  <c r="B54" i="13"/>
  <c r="B57" i="13"/>
  <c r="B51" i="13"/>
  <c r="B58" i="13"/>
  <c r="B55" i="13"/>
  <c r="B50" i="13"/>
  <c r="AI8" i="13"/>
  <c r="AI6" i="13"/>
  <c r="AI7" i="13"/>
  <c r="AI9" i="13"/>
  <c r="AI3" i="13"/>
  <c r="AI5" i="13"/>
  <c r="AI2" i="13"/>
  <c r="AI4" i="13"/>
  <c r="AF10" i="13"/>
  <c r="C35" i="13"/>
  <c r="D35" i="13"/>
  <c r="E35" i="13"/>
  <c r="F35" i="13"/>
  <c r="G35" i="13"/>
  <c r="H35" i="13"/>
  <c r="C36" i="13"/>
  <c r="D36" i="13"/>
  <c r="E36" i="13"/>
  <c r="F36" i="13"/>
  <c r="G36" i="13"/>
  <c r="H36" i="13"/>
  <c r="C37" i="13"/>
  <c r="D37" i="13"/>
  <c r="E37" i="13"/>
  <c r="F37" i="13"/>
  <c r="G37" i="13"/>
  <c r="H37" i="13"/>
  <c r="C38" i="13"/>
  <c r="D38" i="13"/>
  <c r="E38" i="13"/>
  <c r="F38" i="13"/>
  <c r="G38" i="13"/>
  <c r="H38" i="13"/>
  <c r="C39" i="13"/>
  <c r="D39" i="13"/>
  <c r="E39" i="13"/>
  <c r="F39" i="13"/>
  <c r="G39" i="13"/>
  <c r="H39" i="13"/>
  <c r="C40" i="13"/>
  <c r="D40" i="13"/>
  <c r="E40" i="13"/>
  <c r="F40" i="13"/>
  <c r="G40" i="13"/>
  <c r="H40" i="13"/>
  <c r="C41" i="13"/>
  <c r="D41" i="13"/>
  <c r="E41" i="13"/>
  <c r="F41" i="13"/>
  <c r="G41" i="13"/>
  <c r="H41" i="13"/>
  <c r="C42" i="13"/>
  <c r="D42" i="13"/>
  <c r="E42" i="13"/>
  <c r="F42" i="13"/>
  <c r="G42" i="13"/>
  <c r="H42" i="13"/>
  <c r="C43" i="13"/>
  <c r="D43" i="13"/>
  <c r="E43" i="13"/>
  <c r="F43" i="13"/>
  <c r="G43" i="13"/>
  <c r="H43" i="13"/>
  <c r="C44" i="13"/>
  <c r="D44" i="13"/>
  <c r="E44" i="13"/>
  <c r="F44" i="13"/>
  <c r="G44" i="13"/>
  <c r="H44" i="13"/>
  <c r="K35" i="13"/>
  <c r="K36" i="13"/>
  <c r="K37" i="13"/>
  <c r="K38" i="13"/>
  <c r="K39" i="13"/>
  <c r="K40" i="13"/>
  <c r="K41" i="13"/>
  <c r="K42" i="13"/>
  <c r="K43" i="13"/>
  <c r="K44" i="13"/>
  <c r="U9" i="15"/>
  <c r="B8" i="13"/>
  <c r="B19" i="13"/>
  <c r="C19" i="13" s="1"/>
  <c r="G22" i="13"/>
  <c r="H22" i="13" s="1"/>
  <c r="AF877" i="13" l="1"/>
  <c r="AF903" i="13"/>
  <c r="AF967" i="13"/>
  <c r="AF530" i="13"/>
  <c r="AF888" i="13"/>
  <c r="AF902" i="13"/>
  <c r="AF960" i="13"/>
  <c r="AF976" i="13"/>
  <c r="AF513" i="13"/>
  <c r="AF240" i="13"/>
  <c r="AF246" i="13"/>
  <c r="AF247" i="13"/>
  <c r="AF248" i="13"/>
  <c r="AF59" i="13"/>
  <c r="AF457" i="13"/>
  <c r="AF487" i="13"/>
  <c r="AF536" i="13"/>
  <c r="AF953" i="13"/>
  <c r="AF962" i="13"/>
  <c r="AF970" i="13"/>
  <c r="AF257" i="13"/>
  <c r="AF260" i="13"/>
  <c r="AF268" i="13"/>
  <c r="AF271" i="13"/>
  <c r="AF273" i="13"/>
  <c r="AF276" i="13"/>
  <c r="AF277" i="13"/>
  <c r="AF278" i="13"/>
  <c r="AF279" i="13"/>
  <c r="AF280" i="13"/>
  <c r="AF281" i="13"/>
  <c r="AF282" i="13"/>
  <c r="AF285" i="13"/>
  <c r="AF286" i="13"/>
  <c r="AF287" i="13"/>
  <c r="AF297" i="13"/>
  <c r="AF378" i="13"/>
  <c r="AF386" i="13"/>
  <c r="AF391" i="13"/>
  <c r="AF399" i="13"/>
  <c r="AF401" i="13"/>
  <c r="AF411" i="13"/>
  <c r="AF413" i="13"/>
  <c r="AF304" i="13"/>
  <c r="AF300" i="13"/>
  <c r="AF302" i="13"/>
  <c r="AF301" i="13"/>
  <c r="AF303" i="13"/>
  <c r="H20" i="13"/>
  <c r="C20" i="13"/>
  <c r="AF665" i="13"/>
  <c r="AF664" i="13"/>
  <c r="AF663" i="13"/>
  <c r="AF658" i="13"/>
  <c r="AF651" i="13"/>
  <c r="AF646" i="13"/>
  <c r="AF639" i="13"/>
  <c r="AF632" i="13"/>
  <c r="AF625" i="13"/>
  <c r="AF618" i="13"/>
  <c r="AF611" i="13"/>
  <c r="AF606" i="13"/>
  <c r="AF305" i="13"/>
  <c r="AF585" i="13"/>
  <c r="AF333" i="13"/>
  <c r="AF334" i="13"/>
  <c r="AF335" i="13"/>
  <c r="AF336" i="13"/>
  <c r="AF337" i="13"/>
  <c r="AF338" i="13"/>
  <c r="AF339" i="13"/>
  <c r="AF340" i="13"/>
  <c r="AF341" i="13"/>
  <c r="AF342" i="13"/>
  <c r="AF343" i="13"/>
  <c r="AF344" i="13"/>
  <c r="AF345" i="13"/>
  <c r="AF346" i="13"/>
  <c r="AF347" i="13"/>
  <c r="AF348" i="13"/>
  <c r="AF349" i="13"/>
  <c r="AF350" i="13"/>
  <c r="AF351" i="13"/>
  <c r="AF352" i="13"/>
  <c r="AF353" i="13"/>
  <c r="AF354" i="13"/>
  <c r="AF355" i="13"/>
  <c r="AF356" i="13"/>
  <c r="AF357" i="13"/>
  <c r="AF358" i="13"/>
  <c r="AF359" i="13"/>
  <c r="AF360" i="13"/>
  <c r="AF361" i="13"/>
  <c r="AF362" i="13"/>
  <c r="AF363" i="13"/>
  <c r="AF364" i="13"/>
  <c r="AF365" i="13"/>
  <c r="AF366" i="13"/>
  <c r="AF367" i="13"/>
  <c r="AF368" i="13"/>
  <c r="AF369" i="13"/>
  <c r="AF370" i="13"/>
  <c r="AF371" i="13"/>
  <c r="AF372" i="13"/>
  <c r="AF373" i="13"/>
  <c r="AF374" i="13"/>
  <c r="AF375" i="13"/>
  <c r="AF382" i="13"/>
  <c r="AF388" i="13"/>
  <c r="AF395" i="13"/>
  <c r="AF402" i="13"/>
  <c r="AF409" i="13"/>
  <c r="AF417" i="13"/>
  <c r="AF423" i="13"/>
  <c r="AF428" i="13"/>
  <c r="AF435" i="13"/>
  <c r="AF38" i="13"/>
  <c r="AF450" i="13"/>
  <c r="AF473" i="13"/>
  <c r="AF517" i="13"/>
  <c r="AF531" i="13"/>
  <c r="AF550" i="13"/>
  <c r="AF568" i="13"/>
  <c r="AF579" i="13"/>
  <c r="AF586" i="13"/>
  <c r="AF966" i="13"/>
  <c r="AF299" i="13"/>
  <c r="AF995" i="13"/>
  <c r="AF331" i="13"/>
  <c r="AF330" i="13"/>
  <c r="AF329" i="13"/>
  <c r="AF328" i="13"/>
  <c r="AF327" i="13"/>
  <c r="AF326" i="13"/>
  <c r="AF325" i="13"/>
  <c r="AF324" i="13"/>
  <c r="AF323" i="13"/>
  <c r="AF322" i="13"/>
  <c r="AF321" i="13"/>
  <c r="AF320" i="13"/>
  <c r="AF319" i="13"/>
  <c r="AF318" i="13"/>
  <c r="AF317" i="13"/>
  <c r="AF316" i="13"/>
  <c r="AF315" i="13"/>
  <c r="AF314" i="13"/>
  <c r="AF313" i="13"/>
  <c r="AF937" i="13"/>
  <c r="AF495" i="13"/>
  <c r="AF553" i="13"/>
  <c r="AF868" i="13"/>
  <c r="AF935" i="13"/>
  <c r="AF251" i="13"/>
  <c r="AF441" i="13"/>
  <c r="AF494" i="13"/>
  <c r="AF543" i="13"/>
  <c r="AF559" i="13"/>
  <c r="AF562" i="13"/>
  <c r="AF252" i="13"/>
  <c r="AF254" i="13"/>
  <c r="AF256" i="13"/>
  <c r="AF258" i="13"/>
  <c r="AF259" i="13"/>
  <c r="AF261" i="13"/>
  <c r="AF262" i="13"/>
  <c r="AF263" i="13"/>
  <c r="AF264" i="13"/>
  <c r="AF265" i="13"/>
  <c r="AF266" i="13"/>
  <c r="AF267" i="13"/>
  <c r="AF269" i="13"/>
  <c r="AF270" i="13"/>
  <c r="AF272" i="13"/>
  <c r="AF274" i="13"/>
  <c r="AF275" i="13"/>
  <c r="AF283" i="13"/>
  <c r="AF284" i="13"/>
  <c r="AF289" i="13"/>
  <c r="AF291" i="13"/>
  <c r="AF293" i="13"/>
  <c r="AF296" i="13"/>
  <c r="AF376" i="13"/>
  <c r="AF381" i="13"/>
  <c r="AF384" i="13"/>
  <c r="AF389" i="13"/>
  <c r="AF394" i="13"/>
  <c r="AF397" i="13"/>
  <c r="AF404" i="13"/>
  <c r="AF406" i="13"/>
  <c r="AF408" i="13"/>
  <c r="AF572" i="13"/>
  <c r="AF669" i="13"/>
  <c r="H24" i="13"/>
  <c r="H23" i="13"/>
  <c r="AF312" i="13"/>
  <c r="AF673" i="13"/>
  <c r="AF674" i="13"/>
  <c r="AF675" i="13"/>
  <c r="AF676" i="13"/>
  <c r="AF677" i="13"/>
  <c r="AF678" i="13"/>
  <c r="AF679" i="13"/>
  <c r="AF680" i="13"/>
  <c r="AF681" i="13"/>
  <c r="AF682" i="13"/>
  <c r="AF683" i="13"/>
  <c r="AF567" i="13"/>
  <c r="AF864" i="13"/>
  <c r="AF879" i="13"/>
  <c r="AF885" i="13"/>
  <c r="AF891" i="13"/>
  <c r="AF896" i="13"/>
  <c r="AF914" i="13"/>
  <c r="AF927" i="13"/>
  <c r="AF938" i="13"/>
  <c r="AF945" i="13"/>
  <c r="AF959" i="13"/>
  <c r="AF969" i="13"/>
  <c r="AF973" i="13"/>
  <c r="AF977" i="13"/>
  <c r="AF982" i="13"/>
  <c r="AF498" i="13"/>
  <c r="AF451" i="13"/>
  <c r="AF20" i="13"/>
  <c r="AF76" i="13"/>
  <c r="AF88" i="13"/>
  <c r="AF97" i="13"/>
  <c r="AF298" i="13"/>
  <c r="AF653" i="13"/>
  <c r="AF756" i="13"/>
  <c r="AF782" i="13"/>
  <c r="AF551" i="13"/>
  <c r="AF45" i="13"/>
  <c r="AF497" i="13"/>
  <c r="AF561" i="13"/>
  <c r="AF455" i="13"/>
  <c r="AF211" i="13"/>
  <c r="AF219" i="13"/>
  <c r="AF222" i="13"/>
  <c r="AF226" i="13"/>
  <c r="AF237" i="13"/>
  <c r="AF424" i="13"/>
  <c r="AF433" i="13"/>
  <c r="AF462" i="13"/>
  <c r="AF587" i="13"/>
  <c r="AF671" i="13"/>
  <c r="AF666" i="13"/>
  <c r="AF684" i="13"/>
  <c r="AF685" i="13"/>
  <c r="AF686" i="13"/>
  <c r="AF687" i="13"/>
  <c r="AF688" i="13"/>
  <c r="AF689" i="13"/>
  <c r="AF690" i="13"/>
  <c r="AF691" i="13"/>
  <c r="AF692" i="13"/>
  <c r="AF693" i="13"/>
  <c r="AF694" i="13"/>
  <c r="AF695" i="13"/>
  <c r="AF696" i="13"/>
  <c r="AF697" i="13"/>
  <c r="AF698" i="13"/>
  <c r="AF699" i="13"/>
  <c r="AF700" i="13"/>
  <c r="AF701" i="13"/>
  <c r="AF702" i="13"/>
  <c r="AF703" i="13"/>
  <c r="AF704" i="13"/>
  <c r="AF705" i="13"/>
  <c r="AF706" i="13"/>
  <c r="AF707" i="13"/>
  <c r="AF708" i="13"/>
  <c r="AF709" i="13"/>
  <c r="AF710" i="13"/>
  <c r="AF711" i="13"/>
  <c r="AF712" i="13"/>
  <c r="AF713" i="13"/>
  <c r="AF714" i="13"/>
  <c r="AF715" i="13"/>
  <c r="AF716" i="13"/>
  <c r="AF717" i="13"/>
  <c r="AF718" i="13"/>
  <c r="AF719" i="13"/>
  <c r="AF720" i="13"/>
  <c r="AF721" i="13"/>
  <c r="AF722" i="13"/>
  <c r="AF723" i="13"/>
  <c r="AF724" i="13"/>
  <c r="AF725" i="13"/>
  <c r="AF726" i="13"/>
  <c r="AF727" i="13"/>
  <c r="AF728" i="13"/>
  <c r="AF729" i="13"/>
  <c r="AF730" i="13"/>
  <c r="AF916" i="13"/>
  <c r="AF239" i="13"/>
  <c r="AF242" i="13"/>
  <c r="AF249" i="13"/>
  <c r="AF447" i="13"/>
  <c r="AF522" i="13"/>
  <c r="AF574" i="13"/>
  <c r="AF577" i="13"/>
  <c r="AF582" i="13"/>
  <c r="AF306" i="13"/>
  <c r="AF253" i="13"/>
  <c r="AF255" i="13"/>
  <c r="H19" i="13"/>
  <c r="AF733" i="13"/>
  <c r="AF738" i="13"/>
  <c r="AF740" i="13"/>
  <c r="AF742" i="13"/>
  <c r="AF743" i="13"/>
  <c r="AF744" i="13"/>
  <c r="AF745" i="13"/>
  <c r="AF747" i="13"/>
  <c r="AF597" i="13"/>
  <c r="AF614" i="13"/>
  <c r="AF626" i="13"/>
  <c r="AF631" i="13"/>
  <c r="AF642" i="13"/>
  <c r="AF647" i="13"/>
  <c r="AF654" i="13"/>
  <c r="AF659" i="13"/>
  <c r="AF755" i="13"/>
  <c r="AF760" i="13"/>
  <c r="AF764" i="13"/>
  <c r="AF769" i="13"/>
  <c r="AF773" i="13"/>
  <c r="AF779" i="13"/>
  <c r="AF784" i="13"/>
  <c r="AF512" i="13"/>
  <c r="AF529" i="13"/>
  <c r="AF554" i="13"/>
  <c r="AF564" i="13"/>
  <c r="AF860" i="13"/>
  <c r="AF862" i="13"/>
  <c r="AF865" i="13"/>
  <c r="AF867" i="13"/>
  <c r="AF869" i="13"/>
  <c r="AF872" i="13"/>
  <c r="AF873" i="13"/>
  <c r="AF875" i="13"/>
  <c r="AF876" i="13"/>
  <c r="AF822" i="13"/>
  <c r="AF824" i="13"/>
  <c r="AF825" i="13"/>
  <c r="AF827" i="13"/>
  <c r="AF829" i="13"/>
  <c r="AF830" i="13"/>
  <c r="AF832" i="13"/>
  <c r="AF834" i="13"/>
  <c r="AF518" i="13"/>
  <c r="AF526" i="13"/>
  <c r="AF533" i="13"/>
  <c r="AF541" i="13"/>
  <c r="AF546" i="13"/>
  <c r="AF565" i="13"/>
  <c r="AF571" i="13"/>
  <c r="AF866" i="13"/>
  <c r="AF882" i="13"/>
  <c r="AF886" i="13"/>
  <c r="AF889" i="13"/>
  <c r="AF892" i="13"/>
  <c r="AF900" i="13"/>
  <c r="AF918" i="13"/>
  <c r="AF929" i="13"/>
  <c r="AF943" i="13"/>
  <c r="AF955" i="13"/>
  <c r="AF965" i="13"/>
  <c r="AF972" i="13"/>
  <c r="AF978" i="13"/>
  <c r="AF981" i="13"/>
  <c r="AF505" i="13"/>
  <c r="AF56" i="13"/>
  <c r="AF14" i="13"/>
  <c r="AF22" i="13"/>
  <c r="AF74" i="13"/>
  <c r="AF84" i="13"/>
  <c r="AF95" i="13"/>
  <c r="AF294" i="13"/>
  <c r="AF656" i="13"/>
  <c r="AF758" i="13"/>
  <c r="AF775" i="13"/>
  <c r="AF514" i="13"/>
  <c r="AF65" i="13"/>
  <c r="AF515" i="13"/>
  <c r="AF880" i="13"/>
  <c r="AF913" i="13"/>
  <c r="AF999" i="13"/>
  <c r="AF857" i="13"/>
  <c r="AF478" i="13"/>
  <c r="AF241" i="13"/>
  <c r="AF243" i="13"/>
  <c r="AF244" i="13"/>
  <c r="AF245" i="13"/>
  <c r="AF250" i="13"/>
  <c r="AF439" i="13"/>
  <c r="AF732" i="13"/>
  <c r="AF737" i="13"/>
  <c r="AF739" i="13"/>
  <c r="AF748" i="13"/>
  <c r="AF749" i="13"/>
  <c r="AF602" i="13"/>
  <c r="AF609" i="13"/>
  <c r="AF620" i="13"/>
  <c r="AF223" i="13"/>
  <c r="AF230" i="13"/>
  <c r="AF426" i="13"/>
  <c r="AF431" i="13"/>
  <c r="AF523" i="13"/>
  <c r="AF580" i="13"/>
  <c r="AF838" i="13"/>
  <c r="AF840" i="13"/>
  <c r="AF845" i="13"/>
  <c r="AF846" i="13"/>
  <c r="AF848" i="13"/>
  <c r="AF852" i="13"/>
  <c r="AF650" i="13"/>
  <c r="AF584" i="13"/>
  <c r="AF593" i="13"/>
  <c r="AF119" i="13"/>
  <c r="AF123" i="13"/>
  <c r="AF131" i="13"/>
  <c r="AF135" i="13"/>
  <c r="AF899" i="13"/>
  <c r="AF905" i="13"/>
  <c r="AF907" i="13"/>
  <c r="AF908" i="13"/>
  <c r="AF911" i="13"/>
  <c r="AF912" i="13"/>
  <c r="AF915" i="13"/>
  <c r="AF917" i="13"/>
  <c r="AF919" i="13"/>
  <c r="AF922" i="13"/>
  <c r="AF923" i="13"/>
  <c r="AF925" i="13"/>
  <c r="AF926" i="13"/>
  <c r="AF930" i="13"/>
  <c r="AF931" i="13"/>
  <c r="AF934" i="13"/>
  <c r="AF936" i="13"/>
  <c r="AF939" i="13"/>
  <c r="AF940" i="13"/>
  <c r="AF942" i="13"/>
  <c r="AF946" i="13"/>
  <c r="AF948" i="13"/>
  <c r="AF950" i="13"/>
  <c r="AF951" i="13"/>
  <c r="AF954" i="13"/>
  <c r="AF958" i="13"/>
  <c r="AF968" i="13"/>
  <c r="AF986" i="13"/>
  <c r="AF787" i="13"/>
  <c r="AF788" i="13"/>
  <c r="AF789" i="13"/>
  <c r="AF790" i="13"/>
  <c r="AF791" i="13"/>
  <c r="AF792" i="13"/>
  <c r="AF793" i="13"/>
  <c r="AF794" i="13"/>
  <c r="AF795" i="13"/>
  <c r="AF796" i="13"/>
  <c r="AF797" i="13"/>
  <c r="AF798" i="13"/>
  <c r="AF799" i="13"/>
  <c r="AF800" i="13"/>
  <c r="AF801" i="13"/>
  <c r="AF802" i="13"/>
  <c r="AF803" i="13"/>
  <c r="AF804" i="13"/>
  <c r="AF805" i="13"/>
  <c r="AF806" i="13"/>
  <c r="AF807" i="13"/>
  <c r="AF808" i="13"/>
  <c r="C21" i="13"/>
  <c r="AF731" i="13"/>
  <c r="AF734" i="13"/>
  <c r="AF735" i="13"/>
  <c r="AF736" i="13"/>
  <c r="AF741" i="13"/>
  <c r="AF746" i="13"/>
  <c r="AF750" i="13"/>
  <c r="AF751" i="13"/>
  <c r="AF590" i="13"/>
  <c r="AF636" i="13"/>
  <c r="AF210" i="13"/>
  <c r="AF215" i="13"/>
  <c r="AF235" i="13"/>
  <c r="AF419" i="13"/>
  <c r="AF835" i="13"/>
  <c r="AF837" i="13"/>
  <c r="AF841" i="13"/>
  <c r="AF843" i="13"/>
  <c r="AF849" i="13"/>
  <c r="AF851" i="13"/>
  <c r="AF598" i="13"/>
  <c r="AF610" i="13"/>
  <c r="AF615" i="13"/>
  <c r="AF628" i="13"/>
  <c r="AF635" i="13"/>
  <c r="AF657" i="13"/>
  <c r="AF576" i="13"/>
  <c r="AF53" i="13"/>
  <c r="AF102" i="13"/>
  <c r="AF106" i="13"/>
  <c r="AF110" i="13"/>
  <c r="AF114" i="13"/>
  <c r="AF139" i="13"/>
  <c r="AF311" i="13"/>
  <c r="AF878" i="13"/>
  <c r="AF881" i="13"/>
  <c r="AF884" i="13"/>
  <c r="AF895" i="13"/>
  <c r="AF897" i="13"/>
  <c r="AF901" i="13"/>
  <c r="AF904" i="13"/>
  <c r="AF809" i="13"/>
  <c r="AF810" i="13"/>
  <c r="AF811" i="13"/>
  <c r="AF812" i="13"/>
  <c r="AF813" i="13"/>
  <c r="AF814" i="13"/>
  <c r="AF815" i="13"/>
  <c r="AF816" i="13"/>
  <c r="AF817" i="13"/>
  <c r="AF818" i="13"/>
  <c r="AF819" i="13"/>
  <c r="AF820" i="13"/>
  <c r="AF821" i="13"/>
  <c r="AF823" i="13"/>
  <c r="AF826" i="13"/>
  <c r="AF828" i="13"/>
  <c r="AF831" i="13"/>
  <c r="AF833" i="13"/>
  <c r="AF836" i="13"/>
  <c r="AF521" i="13"/>
  <c r="AF528" i="13"/>
  <c r="AF539" i="13"/>
  <c r="AF542" i="13"/>
  <c r="AF547" i="13"/>
  <c r="AF566" i="13"/>
  <c r="AF858" i="13"/>
  <c r="AF870" i="13"/>
  <c r="AF883" i="13"/>
  <c r="AF887" i="13"/>
  <c r="AF890" i="13"/>
  <c r="AF893" i="13"/>
  <c r="AF910" i="13"/>
  <c r="AF921" i="13"/>
  <c r="AF932" i="13"/>
  <c r="AF944" i="13"/>
  <c r="AF957" i="13"/>
  <c r="AF964" i="13"/>
  <c r="AF971" i="13"/>
  <c r="AF974" i="13"/>
  <c r="AF979" i="13"/>
  <c r="AF980" i="13"/>
  <c r="AF492" i="13"/>
  <c r="AF39" i="13"/>
  <c r="AF445" i="13"/>
  <c r="AF18" i="13"/>
  <c r="AF64" i="13"/>
  <c r="AF78" i="13"/>
  <c r="AF91" i="13"/>
  <c r="AF99" i="13"/>
  <c r="AF380" i="13"/>
  <c r="AF752" i="13"/>
  <c r="AF778" i="13"/>
  <c r="AF544" i="13"/>
  <c r="AF37" i="13"/>
  <c r="AF949" i="13"/>
  <c r="AF448" i="13"/>
  <c r="AF209" i="13"/>
  <c r="AF213" i="13"/>
  <c r="AF228" i="13"/>
  <c r="AF234" i="13"/>
  <c r="AF421" i="13"/>
  <c r="AF437" i="13"/>
  <c r="AF511" i="13"/>
  <c r="AF436" i="13"/>
  <c r="AF672" i="13"/>
  <c r="AF667" i="13"/>
  <c r="AF839" i="13"/>
  <c r="AF842" i="13"/>
  <c r="AF844" i="13"/>
  <c r="AF847" i="13"/>
  <c r="AF850" i="13"/>
  <c r="AF591" i="13"/>
  <c r="AF605" i="13"/>
  <c r="AF622" i="13"/>
  <c r="AF643" i="13"/>
  <c r="AF575" i="13"/>
  <c r="AF588" i="13"/>
  <c r="AF990" i="13"/>
  <c r="AF107" i="13"/>
  <c r="AF115" i="13"/>
  <c r="AF122" i="13"/>
  <c r="AF128" i="13"/>
  <c r="AF136" i="13"/>
  <c r="AF753" i="13"/>
  <c r="AF759" i="13"/>
  <c r="AF765" i="13"/>
  <c r="AF771" i="13"/>
  <c r="AF776" i="13"/>
  <c r="AF781" i="13"/>
  <c r="AF504" i="13"/>
  <c r="AF534" i="13"/>
  <c r="AF557" i="13"/>
  <c r="AF859" i="13"/>
  <c r="AF36" i="13"/>
  <c r="AF48" i="13"/>
  <c r="AF69" i="13"/>
  <c r="AF476" i="13"/>
  <c r="AF496" i="13"/>
  <c r="AF503" i="13"/>
  <c r="AF548" i="13"/>
  <c r="H21" i="13"/>
  <c r="AF80" i="13"/>
  <c r="AF290" i="13"/>
  <c r="AF768" i="13"/>
  <c r="AF853" i="13"/>
  <c r="AF221" i="13"/>
  <c r="AF589" i="13"/>
  <c r="AF983" i="13"/>
  <c r="AF984" i="13"/>
  <c r="AF985" i="13"/>
  <c r="AF988" i="13"/>
  <c r="AF994" i="13"/>
  <c r="AF996" i="13"/>
  <c r="AF601" i="13"/>
  <c r="AF604" i="13"/>
  <c r="AF57" i="13"/>
  <c r="AF60" i="13"/>
  <c r="AF71" i="13"/>
  <c r="AF73" i="13"/>
  <c r="AF75" i="13"/>
  <c r="AF77" i="13"/>
  <c r="AF79" i="13"/>
  <c r="AF81" i="13"/>
  <c r="AF83" i="13"/>
  <c r="AF85" i="13"/>
  <c r="AF87" i="13"/>
  <c r="AF89" i="13"/>
  <c r="AF90" i="13"/>
  <c r="AF92" i="13"/>
  <c r="AF94" i="13"/>
  <c r="AF96" i="13"/>
  <c r="AF98" i="13"/>
  <c r="AF288" i="13"/>
  <c r="AF292" i="13"/>
  <c r="AF295" i="13"/>
  <c r="AF310" i="13"/>
  <c r="AF379" i="13"/>
  <c r="AF383" i="13"/>
  <c r="AF387" i="13"/>
  <c r="AF392" i="13"/>
  <c r="AF396" i="13"/>
  <c r="AF400" i="13"/>
  <c r="AF405" i="13"/>
  <c r="AF410" i="13"/>
  <c r="AF414" i="13"/>
  <c r="AF416" i="13"/>
  <c r="AF422" i="13"/>
  <c r="AF427" i="13"/>
  <c r="AF432" i="13"/>
  <c r="AF332" i="13"/>
  <c r="AF440" i="13"/>
  <c r="AF442" i="13"/>
  <c r="AF66" i="13"/>
  <c r="AF454" i="13"/>
  <c r="AF470" i="13"/>
  <c r="AF54" i="13"/>
  <c r="AF468" i="13"/>
  <c r="AF540" i="13"/>
  <c r="AF906" i="13"/>
  <c r="AF997" i="13"/>
  <c r="AF214" i="13"/>
  <c r="AF670" i="13"/>
  <c r="AF987" i="13"/>
  <c r="AF989" i="13"/>
  <c r="AF991" i="13"/>
  <c r="AF992" i="13"/>
  <c r="AF993" i="13"/>
  <c r="AF32" i="13"/>
  <c r="AF33" i="13"/>
  <c r="AF40" i="13"/>
  <c r="AF41" i="13"/>
  <c r="AF592" i="13"/>
  <c r="AF594" i="13"/>
  <c r="AF599" i="13"/>
  <c r="AF608" i="13"/>
  <c r="AF13" i="13"/>
  <c r="AF15" i="13"/>
  <c r="AF17" i="13"/>
  <c r="AF19" i="13"/>
  <c r="AF21" i="13"/>
  <c r="AF46" i="13"/>
  <c r="AF509" i="13"/>
  <c r="AF519" i="13"/>
  <c r="AF525" i="13"/>
  <c r="AF538" i="13"/>
  <c r="AF556" i="13"/>
  <c r="AF570" i="13"/>
  <c r="AF578" i="13"/>
  <c r="AF583" i="13"/>
  <c r="AF961" i="13"/>
  <c r="AF600" i="13"/>
  <c r="AF963" i="13"/>
  <c r="AF100" i="13"/>
  <c r="AF103" i="13"/>
  <c r="AF108" i="13"/>
  <c r="AF112" i="13"/>
  <c r="AF116" i="13"/>
  <c r="AF120" i="13"/>
  <c r="AF124" i="13"/>
  <c r="AF127" i="13"/>
  <c r="AF130" i="13"/>
  <c r="AF134" i="13"/>
  <c r="AF138" i="13"/>
  <c r="AF309" i="13"/>
  <c r="AF613" i="13"/>
  <c r="AF617" i="13"/>
  <c r="AF621" i="13"/>
  <c r="AF624" i="13"/>
  <c r="AF629" i="13"/>
  <c r="AF633" i="13"/>
  <c r="AF637" i="13"/>
  <c r="AF640" i="13"/>
  <c r="AF644" i="13"/>
  <c r="AF649" i="13"/>
  <c r="AF652" i="13"/>
  <c r="AF655" i="13"/>
  <c r="AF660" i="13"/>
  <c r="AF662" i="13"/>
  <c r="AF754" i="13"/>
  <c r="AF757" i="13"/>
  <c r="AF761" i="13"/>
  <c r="AF763" i="13"/>
  <c r="AF767" i="13"/>
  <c r="AF463" i="13"/>
  <c r="AF465" i="13"/>
  <c r="AF466" i="13"/>
  <c r="AF467" i="13"/>
  <c r="AF471" i="13"/>
  <c r="AF475" i="13"/>
  <c r="AF479" i="13"/>
  <c r="AF481" i="13"/>
  <c r="AF483" i="13"/>
  <c r="AF500" i="13"/>
  <c r="AF460" i="13"/>
  <c r="AF11" i="13"/>
  <c r="AF16" i="13"/>
  <c r="AF58" i="13"/>
  <c r="AF82" i="13"/>
  <c r="AF93" i="13"/>
  <c r="AF661" i="13"/>
  <c r="AF762" i="13"/>
  <c r="AF786" i="13"/>
  <c r="AF563" i="13"/>
  <c r="AF61" i="13"/>
  <c r="AF480" i="13"/>
  <c r="AF871" i="13"/>
  <c r="AF34" i="13"/>
  <c r="AF212" i="13"/>
  <c r="AF216" i="13"/>
  <c r="AF225" i="13"/>
  <c r="AF232" i="13"/>
  <c r="AF236" i="13"/>
  <c r="AF415" i="13"/>
  <c r="AF30" i="13"/>
  <c r="AF668" i="13"/>
  <c r="AF770" i="13"/>
  <c r="AF774" i="13"/>
  <c r="AF777" i="13"/>
  <c r="AF780" i="13"/>
  <c r="AF783" i="13"/>
  <c r="AF785" i="13"/>
  <c r="AF527" i="13"/>
  <c r="AF537" i="13"/>
  <c r="AF545" i="13"/>
  <c r="AF558" i="13"/>
  <c r="AF856" i="13"/>
  <c r="AF854" i="13"/>
  <c r="AF35" i="13"/>
  <c r="AF42" i="13"/>
  <c r="AF55" i="13"/>
  <c r="AF63" i="13"/>
  <c r="AF70" i="13"/>
  <c r="AF452" i="13"/>
  <c r="AF472" i="13"/>
  <c r="AF482" i="13"/>
  <c r="AF490" i="13"/>
  <c r="AF501" i="13"/>
  <c r="AF506" i="13"/>
  <c r="AF532" i="13"/>
  <c r="AF555" i="13"/>
  <c r="AF569" i="13"/>
  <c r="AF874" i="13"/>
  <c r="AF920" i="13"/>
  <c r="AF933" i="13"/>
  <c r="AF947" i="13"/>
  <c r="AF952" i="13"/>
  <c r="AF998" i="13"/>
  <c r="AF1000" i="13"/>
  <c r="AF49" i="13"/>
  <c r="AF449" i="13"/>
  <c r="AF474" i="13"/>
  <c r="AF489" i="13"/>
  <c r="AF493" i="13"/>
  <c r="AF507" i="13"/>
  <c r="AF510" i="13"/>
  <c r="AF43" i="13"/>
  <c r="AF52" i="13"/>
  <c r="AF62" i="13"/>
  <c r="AF67" i="13"/>
  <c r="AF443" i="13"/>
  <c r="AF456" i="13"/>
  <c r="AF459" i="13"/>
  <c r="AF461" i="13"/>
  <c r="AF464" i="13"/>
  <c r="AF469" i="13"/>
  <c r="AF477" i="13"/>
  <c r="AF486" i="13"/>
  <c r="AF47" i="13"/>
  <c r="AF12" i="13"/>
  <c r="AF72" i="13"/>
  <c r="AF86" i="13"/>
  <c r="AF377" i="13"/>
  <c r="AF772" i="13"/>
  <c r="AF31" i="13"/>
  <c r="AF485" i="13"/>
  <c r="AF861" i="13"/>
  <c r="AF928" i="13"/>
  <c r="AF484" i="13"/>
  <c r="AF220" i="13"/>
  <c r="AF229" i="13"/>
  <c r="AF50" i="13"/>
  <c r="AF385" i="13"/>
  <c r="AF390" i="13"/>
  <c r="AF393" i="13"/>
  <c r="AF398" i="13"/>
  <c r="AF403" i="13"/>
  <c r="AF407" i="13"/>
  <c r="AF412" i="13"/>
  <c r="AF418" i="13"/>
  <c r="AF420" i="13"/>
  <c r="AF425" i="13"/>
  <c r="AF430" i="13"/>
  <c r="AF434" i="13"/>
  <c r="AF438" i="13"/>
  <c r="AF51" i="13"/>
  <c r="AF446" i="13"/>
  <c r="AF458" i="13"/>
  <c r="AF488" i="13"/>
  <c r="AF516" i="13"/>
  <c r="AF524" i="13"/>
  <c r="AF535" i="13"/>
  <c r="AF549" i="13"/>
  <c r="AF560" i="13"/>
  <c r="AF573" i="13"/>
  <c r="AF581" i="13"/>
  <c r="AF956" i="13"/>
  <c r="AF595" i="13"/>
  <c r="AF68" i="13"/>
  <c r="AF101" i="13"/>
  <c r="AF105" i="13"/>
  <c r="AF109" i="13"/>
  <c r="AF113" i="13"/>
  <c r="AF117" i="13"/>
  <c r="AF121" i="13"/>
  <c r="AF125" i="13"/>
  <c r="AF129" i="13"/>
  <c r="AF133" i="13"/>
  <c r="AF137" i="13"/>
  <c r="AF308" i="13"/>
  <c r="AF23" i="13"/>
  <c r="AF24" i="13"/>
  <c r="AF25" i="13"/>
  <c r="AF26" i="13"/>
  <c r="AF27" i="13"/>
  <c r="AF28" i="13"/>
  <c r="AF29" i="13"/>
  <c r="AF307" i="13"/>
  <c r="AF603" i="13"/>
  <c r="AF607" i="13"/>
  <c r="AF612" i="13"/>
  <c r="AF616" i="13"/>
  <c r="AF619" i="13"/>
  <c r="AF623" i="13"/>
  <c r="AF627" i="13"/>
  <c r="AF630" i="13"/>
  <c r="AF634" i="13"/>
  <c r="AF638" i="13"/>
  <c r="AF863" i="13"/>
  <c r="AF894" i="13"/>
  <c r="AF909" i="13"/>
  <c r="AF924" i="13"/>
  <c r="AF641" i="13"/>
  <c r="AF645" i="13"/>
  <c r="AF648" i="13"/>
  <c r="AF766" i="13"/>
  <c r="AF855" i="13"/>
  <c r="AF444" i="13"/>
  <c r="AF502" i="13"/>
  <c r="AF898" i="13"/>
  <c r="AF941" i="13"/>
  <c r="AF491" i="13"/>
  <c r="AF217" i="13"/>
  <c r="AF227" i="13"/>
  <c r="AF233" i="13"/>
  <c r="AF238" i="13"/>
  <c r="AF453" i="13"/>
  <c r="AF499" i="13"/>
  <c r="AF508" i="13"/>
  <c r="AF520" i="13"/>
  <c r="AF44" i="13"/>
  <c r="AF975" i="13"/>
  <c r="AF104" i="13"/>
  <c r="AF111" i="13"/>
  <c r="AF118" i="13"/>
  <c r="AF126" i="13"/>
  <c r="AF132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18" i="13"/>
  <c r="AF224" i="13"/>
  <c r="AF231" i="13"/>
  <c r="AF429" i="13"/>
  <c r="AF552" i="13"/>
  <c r="AF596" i="13"/>
  <c r="AF6" i="13"/>
  <c r="AF2" i="13"/>
  <c r="B22" i="13"/>
  <c r="C22" i="13" s="1"/>
  <c r="G25" i="13"/>
  <c r="H25" i="13" s="1"/>
  <c r="B5" i="14"/>
  <c r="B5" i="17"/>
  <c r="F1010" i="17"/>
  <c r="B3" i="17" s="1"/>
  <c r="B15" i="13" s="1"/>
  <c r="AF4" i="13"/>
  <c r="AF5" i="13"/>
  <c r="AF3" i="13"/>
  <c r="AF9" i="13"/>
  <c r="AF8" i="13"/>
  <c r="AF7" i="13"/>
  <c r="C56" i="13"/>
  <c r="D56" i="13"/>
  <c r="E56" i="13"/>
  <c r="F56" i="13"/>
  <c r="G56" i="13"/>
  <c r="H56" i="13"/>
  <c r="C53" i="13"/>
  <c r="D53" i="13"/>
  <c r="E53" i="13"/>
  <c r="F53" i="13"/>
  <c r="G53" i="13"/>
  <c r="H53" i="13"/>
  <c r="E10" i="2"/>
  <c r="E14" i="2"/>
  <c r="E11" i="2"/>
  <c r="B50" i="4"/>
  <c r="K39" i="4"/>
  <c r="E9" i="2"/>
  <c r="B41" i="4"/>
  <c r="K34" i="4"/>
  <c r="H49" i="13"/>
  <c r="G49" i="13"/>
  <c r="F49" i="13"/>
  <c r="E49" i="13"/>
  <c r="D49" i="13"/>
  <c r="C49" i="13"/>
  <c r="H52" i="13"/>
  <c r="G52" i="13"/>
  <c r="F52" i="13"/>
  <c r="E52" i="13"/>
  <c r="D52" i="13"/>
  <c r="C52" i="13"/>
  <c r="H54" i="13"/>
  <c r="G54" i="13"/>
  <c r="F54" i="13"/>
  <c r="E54" i="13"/>
  <c r="D54" i="13"/>
  <c r="C54" i="13"/>
  <c r="H57" i="13"/>
  <c r="G57" i="13"/>
  <c r="F57" i="13"/>
  <c r="E57" i="13"/>
  <c r="D57" i="13"/>
  <c r="C57" i="13"/>
  <c r="H51" i="13"/>
  <c r="G51" i="13"/>
  <c r="F51" i="13"/>
  <c r="E51" i="13"/>
  <c r="D51" i="13"/>
  <c r="C51" i="13"/>
  <c r="H58" i="13"/>
  <c r="G58" i="13"/>
  <c r="F58" i="13"/>
  <c r="E58" i="13"/>
  <c r="D58" i="13"/>
  <c r="C58" i="13"/>
  <c r="H55" i="13"/>
  <c r="G55" i="13"/>
  <c r="F55" i="13"/>
  <c r="E55" i="13"/>
  <c r="D55" i="13"/>
  <c r="C55" i="13"/>
  <c r="H50" i="13"/>
  <c r="G50" i="13"/>
  <c r="F50" i="13"/>
  <c r="E50" i="13"/>
  <c r="D50" i="13"/>
  <c r="C50" i="13"/>
  <c r="E14" i="13"/>
  <c r="E13" i="13"/>
  <c r="E12" i="13"/>
  <c r="E11" i="13"/>
  <c r="E10" i="13"/>
  <c r="E9" i="13"/>
  <c r="E8" i="13"/>
  <c r="E7" i="13"/>
  <c r="E6" i="13"/>
  <c r="E5" i="13"/>
  <c r="L35" i="13"/>
  <c r="M35" i="13"/>
  <c r="N35" i="13"/>
  <c r="O35" i="13"/>
  <c r="P35" i="13"/>
  <c r="Q35" i="13"/>
  <c r="L36" i="13"/>
  <c r="M36" i="13"/>
  <c r="N36" i="13"/>
  <c r="O36" i="13"/>
  <c r="P36" i="13"/>
  <c r="Q36" i="13"/>
  <c r="L37" i="13"/>
  <c r="M37" i="13"/>
  <c r="N37" i="13"/>
  <c r="O37" i="13"/>
  <c r="P37" i="13"/>
  <c r="Q37" i="13"/>
  <c r="L38" i="13"/>
  <c r="M38" i="13"/>
  <c r="N38" i="13"/>
  <c r="O38" i="13"/>
  <c r="P38" i="13"/>
  <c r="Q38" i="13"/>
  <c r="L39" i="13"/>
  <c r="M39" i="13"/>
  <c r="N39" i="13"/>
  <c r="O39" i="13"/>
  <c r="P39" i="13"/>
  <c r="Q39" i="13"/>
  <c r="L40" i="13"/>
  <c r="M40" i="13"/>
  <c r="N40" i="13"/>
  <c r="O40" i="13"/>
  <c r="P40" i="13"/>
  <c r="Q40" i="13"/>
  <c r="L41" i="13"/>
  <c r="M41" i="13"/>
  <c r="N41" i="13"/>
  <c r="O41" i="13"/>
  <c r="P41" i="13"/>
  <c r="Q41" i="13"/>
  <c r="L42" i="13"/>
  <c r="M42" i="13"/>
  <c r="N42" i="13"/>
  <c r="O42" i="13"/>
  <c r="P42" i="13"/>
  <c r="Q42" i="13"/>
  <c r="L43" i="13"/>
  <c r="M43" i="13"/>
  <c r="N43" i="13"/>
  <c r="O43" i="13"/>
  <c r="P43" i="13"/>
  <c r="Q43" i="13"/>
  <c r="L44" i="13"/>
  <c r="M44" i="13"/>
  <c r="N44" i="13"/>
  <c r="O44" i="13"/>
  <c r="P44" i="13"/>
  <c r="Q44" i="13"/>
  <c r="T9" i="15"/>
  <c r="V9" i="15" s="1"/>
  <c r="W3" i="15"/>
  <c r="W5" i="15"/>
  <c r="W7" i="15"/>
  <c r="B67" i="4" l="1"/>
  <c r="B68" i="4"/>
  <c r="B6" i="2" s="1"/>
  <c r="E13" i="2"/>
  <c r="L39" i="4"/>
  <c r="L43" i="4"/>
  <c r="K45" i="4"/>
  <c r="L32" i="4"/>
  <c r="L44" i="4"/>
  <c r="L41" i="4"/>
  <c r="L38" i="4"/>
  <c r="L42" i="4"/>
  <c r="L33" i="4"/>
  <c r="E8" i="2"/>
  <c r="L34" i="4"/>
  <c r="M37" i="4" s="1"/>
  <c r="F14" i="13"/>
  <c r="G14" i="13"/>
  <c r="H14" i="13"/>
  <c r="I14" i="13"/>
  <c r="J14" i="13"/>
  <c r="K14" i="13"/>
  <c r="F13" i="13"/>
  <c r="G13" i="13"/>
  <c r="H13" i="13"/>
  <c r="I13" i="13"/>
  <c r="J13" i="13"/>
  <c r="K13" i="13"/>
  <c r="F12" i="13"/>
  <c r="G12" i="13"/>
  <c r="H12" i="13"/>
  <c r="I12" i="13"/>
  <c r="J12" i="13"/>
  <c r="K12" i="13"/>
  <c r="F11" i="13"/>
  <c r="G11" i="13"/>
  <c r="H11" i="13"/>
  <c r="I11" i="13"/>
  <c r="J11" i="13"/>
  <c r="K11" i="13"/>
  <c r="F10" i="13"/>
  <c r="G10" i="13"/>
  <c r="H10" i="13"/>
  <c r="I10" i="13"/>
  <c r="J10" i="13"/>
  <c r="K10" i="13"/>
  <c r="F9" i="13"/>
  <c r="G9" i="13"/>
  <c r="H9" i="13"/>
  <c r="I9" i="13"/>
  <c r="J9" i="13"/>
  <c r="K9" i="13"/>
  <c r="F8" i="13"/>
  <c r="G8" i="13"/>
  <c r="H8" i="13"/>
  <c r="I8" i="13"/>
  <c r="J8" i="13"/>
  <c r="K8" i="13"/>
  <c r="F7" i="13"/>
  <c r="G7" i="13"/>
  <c r="H7" i="13"/>
  <c r="I7" i="13"/>
  <c r="J7" i="13"/>
  <c r="K7" i="13"/>
  <c r="F6" i="13"/>
  <c r="G6" i="13"/>
  <c r="H6" i="13"/>
  <c r="I6" i="13"/>
  <c r="J6" i="13"/>
  <c r="K6" i="13"/>
  <c r="F5" i="13"/>
  <c r="G5" i="13"/>
  <c r="H5" i="13"/>
  <c r="I5" i="13"/>
  <c r="J5" i="13"/>
  <c r="K5" i="13"/>
  <c r="B12" i="13"/>
  <c r="L36" i="4"/>
  <c r="L40" i="4"/>
  <c r="L37" i="4"/>
  <c r="L35" i="4"/>
  <c r="E68" i="4" l="1"/>
  <c r="B7" i="2"/>
  <c r="K51" i="13"/>
  <c r="B31" i="2"/>
  <c r="L45" i="4"/>
  <c r="F68" i="4" l="1"/>
  <c r="E69" i="4"/>
  <c r="E70" i="4" s="1"/>
  <c r="B5" i="2"/>
  <c r="B2" i="10"/>
  <c r="B10" i="2"/>
  <c r="F69" i="4" l="1"/>
  <c r="F70" i="4" s="1"/>
  <c r="C2" i="10"/>
  <c r="I15" i="10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L15" i="10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J15" i="10"/>
  <c r="M15" i="10"/>
  <c r="F15" i="10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G15" i="10"/>
  <c r="I34" i="10" l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B14" i="2"/>
  <c r="B33" i="2" s="1"/>
  <c r="J16" i="10"/>
  <c r="K15" i="10"/>
  <c r="M16" i="10"/>
  <c r="N15" i="10"/>
  <c r="G16" i="10"/>
  <c r="H15" i="10"/>
  <c r="J17" i="10" l="1"/>
  <c r="K16" i="10"/>
  <c r="M17" i="10"/>
  <c r="N16" i="10"/>
  <c r="G17" i="10"/>
  <c r="H16" i="10"/>
  <c r="J18" i="10" l="1"/>
  <c r="K17" i="10"/>
  <c r="M18" i="10"/>
  <c r="N17" i="10"/>
  <c r="G18" i="10"/>
  <c r="H17" i="10"/>
  <c r="J19" i="10" l="1"/>
  <c r="K18" i="10"/>
  <c r="M19" i="10"/>
  <c r="N18" i="10"/>
  <c r="G19" i="10"/>
  <c r="H18" i="10"/>
  <c r="J20" i="10" l="1"/>
  <c r="K19" i="10"/>
  <c r="M20" i="10"/>
  <c r="N19" i="10"/>
  <c r="G20" i="10"/>
  <c r="H19" i="10"/>
  <c r="J21" i="10" l="1"/>
  <c r="K20" i="10"/>
  <c r="M21" i="10"/>
  <c r="N20" i="10"/>
  <c r="G21" i="10"/>
  <c r="H20" i="10"/>
  <c r="J22" i="10" l="1"/>
  <c r="K21" i="10"/>
  <c r="M22" i="10"/>
  <c r="N21" i="10"/>
  <c r="G22" i="10"/>
  <c r="H21" i="10"/>
  <c r="J23" i="10" l="1"/>
  <c r="K22" i="10"/>
  <c r="M23" i="10"/>
  <c r="N22" i="10"/>
  <c r="G23" i="10"/>
  <c r="H22" i="10"/>
  <c r="J24" i="10" l="1"/>
  <c r="K23" i="10"/>
  <c r="M24" i="10"/>
  <c r="N23" i="10"/>
  <c r="G24" i="10"/>
  <c r="H23" i="10"/>
  <c r="J25" i="10" l="1"/>
  <c r="K24" i="10"/>
  <c r="M25" i="10"/>
  <c r="N24" i="10"/>
  <c r="G25" i="10"/>
  <c r="H24" i="10"/>
  <c r="J26" i="10" l="1"/>
  <c r="K25" i="10"/>
  <c r="M26" i="10"/>
  <c r="N25" i="10"/>
  <c r="G26" i="10"/>
  <c r="H25" i="10"/>
  <c r="J27" i="10" l="1"/>
  <c r="K26" i="10"/>
  <c r="M27" i="10"/>
  <c r="N26" i="10"/>
  <c r="G27" i="10"/>
  <c r="H26" i="10"/>
  <c r="J28" i="10" l="1"/>
  <c r="K27" i="10"/>
  <c r="M28" i="10"/>
  <c r="N27" i="10"/>
  <c r="G28" i="10"/>
  <c r="H27" i="10"/>
  <c r="J29" i="10" l="1"/>
  <c r="K28" i="10"/>
  <c r="M29" i="10"/>
  <c r="N28" i="10"/>
  <c r="G29" i="10"/>
  <c r="H28" i="10"/>
  <c r="J30" i="10" l="1"/>
  <c r="K29" i="10"/>
  <c r="M30" i="10"/>
  <c r="N29" i="10"/>
  <c r="G30" i="10"/>
  <c r="H29" i="10"/>
  <c r="J31" i="10" l="1"/>
  <c r="K30" i="10"/>
  <c r="M31" i="10"/>
  <c r="N30" i="10"/>
  <c r="G31" i="10"/>
  <c r="H30" i="10"/>
  <c r="J32" i="10" l="1"/>
  <c r="K31" i="10"/>
  <c r="M32" i="10"/>
  <c r="N31" i="10"/>
  <c r="G32" i="10"/>
  <c r="H31" i="10"/>
  <c r="J33" i="10" l="1"/>
  <c r="K32" i="10"/>
  <c r="M33" i="10"/>
  <c r="N32" i="10"/>
  <c r="G33" i="10"/>
  <c r="H32" i="10"/>
  <c r="J34" i="10" l="1"/>
  <c r="K33" i="10"/>
  <c r="B15" i="2" s="1"/>
  <c r="M34" i="10"/>
  <c r="N33" i="10"/>
  <c r="G34" i="10"/>
  <c r="H33" i="10"/>
  <c r="J35" i="10" l="1"/>
  <c r="K34" i="10"/>
  <c r="M35" i="10"/>
  <c r="N34" i="10"/>
  <c r="G35" i="10"/>
  <c r="H34" i="10"/>
  <c r="J36" i="10" l="1"/>
  <c r="K35" i="10"/>
  <c r="M36" i="10"/>
  <c r="N35" i="10"/>
  <c r="G36" i="10"/>
  <c r="H35" i="10"/>
  <c r="J37" i="10" l="1"/>
  <c r="K36" i="10"/>
  <c r="M37" i="10"/>
  <c r="N36" i="10"/>
  <c r="G37" i="10"/>
  <c r="H36" i="10"/>
  <c r="J38" i="10" l="1"/>
  <c r="K37" i="10"/>
  <c r="M38" i="10"/>
  <c r="N37" i="10"/>
  <c r="G38" i="10"/>
  <c r="H37" i="10"/>
  <c r="J39" i="10" l="1"/>
  <c r="K38" i="10"/>
  <c r="M39" i="10"/>
  <c r="N38" i="10"/>
  <c r="G39" i="10"/>
  <c r="H38" i="10"/>
  <c r="J40" i="10" l="1"/>
  <c r="K39" i="10"/>
  <c r="M40" i="10"/>
  <c r="N39" i="10"/>
  <c r="G40" i="10"/>
  <c r="H39" i="10"/>
  <c r="J41" i="10" l="1"/>
  <c r="K40" i="10"/>
  <c r="M41" i="10"/>
  <c r="N40" i="10"/>
  <c r="G41" i="10"/>
  <c r="H40" i="10"/>
  <c r="J42" i="10" l="1"/>
  <c r="K41" i="10"/>
  <c r="M42" i="10"/>
  <c r="N41" i="10"/>
  <c r="G42" i="10"/>
  <c r="H41" i="10"/>
  <c r="J43" i="10" l="1"/>
  <c r="K42" i="10"/>
  <c r="M43" i="10"/>
  <c r="N42" i="10"/>
  <c r="G43" i="10"/>
  <c r="H42" i="10"/>
  <c r="J44" i="10" l="1"/>
  <c r="K43" i="10"/>
  <c r="M44" i="10"/>
  <c r="N43" i="10"/>
  <c r="G44" i="10"/>
  <c r="H43" i="10"/>
  <c r="J45" i="10" l="1"/>
  <c r="K44" i="10"/>
  <c r="M45" i="10"/>
  <c r="N44" i="10"/>
  <c r="G45" i="10"/>
  <c r="H44" i="10"/>
  <c r="J46" i="10" l="1"/>
  <c r="K45" i="10"/>
  <c r="M46" i="10"/>
  <c r="N45" i="10"/>
  <c r="G46" i="10"/>
  <c r="H45" i="10"/>
  <c r="J47" i="10" l="1"/>
  <c r="K46" i="10"/>
  <c r="M47" i="10"/>
  <c r="N46" i="10"/>
  <c r="G47" i="10"/>
  <c r="H46" i="10"/>
  <c r="J48" i="10" l="1"/>
  <c r="K47" i="10"/>
  <c r="M48" i="10"/>
  <c r="N47" i="10"/>
  <c r="G48" i="10"/>
  <c r="H47" i="10"/>
  <c r="J49" i="10" l="1"/>
  <c r="K48" i="10"/>
  <c r="M49" i="10"/>
  <c r="N48" i="10"/>
  <c r="G49" i="10"/>
  <c r="H48" i="10"/>
  <c r="J50" i="10" l="1"/>
  <c r="K49" i="10"/>
  <c r="M50" i="10"/>
  <c r="N49" i="10"/>
  <c r="G50" i="10"/>
  <c r="H49" i="10"/>
  <c r="J51" i="10" l="1"/>
  <c r="K50" i="10"/>
  <c r="M51" i="10"/>
  <c r="N50" i="10"/>
  <c r="G51" i="10"/>
  <c r="H50" i="10"/>
  <c r="J52" i="10" l="1"/>
  <c r="K51" i="10"/>
  <c r="M52" i="10"/>
  <c r="N51" i="10"/>
  <c r="G52" i="10"/>
  <c r="H51" i="10"/>
  <c r="J53" i="10" l="1"/>
  <c r="K52" i="10"/>
  <c r="M53" i="10"/>
  <c r="N52" i="10"/>
  <c r="G53" i="10"/>
  <c r="H52" i="10"/>
  <c r="J54" i="10" l="1"/>
  <c r="K53" i="10"/>
  <c r="M54" i="10"/>
  <c r="N53" i="10"/>
  <c r="G54" i="10"/>
  <c r="H53" i="10"/>
  <c r="J55" i="10" l="1"/>
  <c r="K54" i="10"/>
  <c r="M55" i="10"/>
  <c r="N54" i="10"/>
  <c r="G55" i="10"/>
  <c r="H54" i="10"/>
  <c r="J56" i="10" l="1"/>
  <c r="K55" i="10"/>
  <c r="M56" i="10"/>
  <c r="N55" i="10"/>
  <c r="G56" i="10"/>
  <c r="H55" i="10"/>
  <c r="J57" i="10" l="1"/>
  <c r="K56" i="10"/>
  <c r="M57" i="10"/>
  <c r="N56" i="10"/>
  <c r="G57" i="10"/>
  <c r="H56" i="10"/>
  <c r="J58" i="10" l="1"/>
  <c r="K58" i="10" s="1"/>
  <c r="K57" i="10"/>
  <c r="M58" i="10"/>
  <c r="N58" i="10" s="1"/>
  <c r="N57" i="10"/>
  <c r="G58" i="10"/>
  <c r="H58" i="10" s="1"/>
  <c r="H5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B18" authorId="0" shapeId="0" xr:uid="{00000000-0006-0000-0300-000002000000}">
      <text>
        <r>
          <rPr>
            <sz val="10"/>
            <rFont val="Arial"/>
            <family val="2"/>
          </rPr>
          <t>Note:
Example: retain ~36 months of expenses as emergency cash 
Plus a CPF buffer for the upcoming home loan
Adjust to include SSB cash as needed</t>
        </r>
      </text>
    </comment>
    <comment ref="D25" authorId="0" shapeId="0" xr:uid="{00000000-0006-0000-0300-000005000000}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B32" authorId="0" shapeId="0" xr:uid="{00000000-0006-0000-0300-000003000000}">
      <text>
        <r>
          <rPr>
            <sz val="10"/>
            <rFont val="Arial"/>
            <family val="2"/>
          </rPr>
          <t>Note:
Update as needed</t>
        </r>
      </text>
    </comment>
    <comment ref="B33" authorId="0" shapeId="0" xr:uid="{00000000-0006-0000-0300-000004000000}">
      <text>
        <r>
          <rPr>
            <sz val="10"/>
            <rFont val="Arial"/>
            <family val="2"/>
          </rPr>
          <t>Note:
SRS accounted under shares</t>
        </r>
      </text>
    </comment>
    <comment ref="A37" authorId="0" shapeId="0" xr:uid="{00000000-0006-0000-0300-000001000000}">
      <text>
        <r>
          <rPr>
            <sz val="10"/>
            <rFont val="Arial"/>
            <family val="2"/>
          </rPr>
          <t xml:space="preserve">Note:
Example cost basis
</t>
        </r>
      </text>
    </comment>
    <comment ref="F68" authorId="0" shapeId="0" xr:uid="{00000000-0006-0000-0300-000006000000}">
      <text>
        <r>
          <rPr>
            <sz val="10"/>
            <rFont val="Arial"/>
            <family val="2"/>
          </rPr>
          <t>Note:
Deducts projected child university cost + allowance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7" authorId="0" shapeId="0" xr:uid="{00000000-0006-0000-0700-000001000000}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" authorId="0" shapeId="0" xr:uid="{00000000-0006-0000-0900-000003000000}">
      <text>
        <r>
          <rPr>
            <sz val="10"/>
            <rFont val="Arial"/>
            <family val="2"/>
          </rPr>
          <t>Note:
(Excludes child tertiary bills)</t>
        </r>
      </text>
    </comment>
    <comment ref="A16" authorId="0" shapeId="0" xr:uid="{00000000-0006-0000-0900-000001000000}">
      <text>
        <r>
          <rPr>
            <sz val="10"/>
            <rFont val="Arial"/>
            <family val="2"/>
          </rPr>
          <t>Note:
Worksheet start year</t>
        </r>
      </text>
    </comment>
    <comment ref="A35" authorId="0" shapeId="0" xr:uid="{00000000-0006-0000-0900-000002000000}">
      <text>
        <r>
          <rPr>
            <sz val="10"/>
            <rFont val="Arial"/>
            <family val="2"/>
          </rPr>
          <t>Note:
SRS withdrawal age</t>
        </r>
      </text>
    </comment>
  </commentList>
</comments>
</file>

<file path=xl/sharedStrings.xml><?xml version="1.0" encoding="utf-8"?>
<sst xmlns="http://schemas.openxmlformats.org/spreadsheetml/2006/main" count="816" uniqueCount="573">
  <si>
    <t>PERSONAL FINANCE TRACKER</t>
  </si>
  <si>
    <t>A free template that grows with you — from basic financial planning to full portfolio management.</t>
  </si>
  <si>
    <t>HOW THIS WORKBOOK IS ORGANISED</t>
  </si>
  <si>
    <t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</si>
  <si>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</si>
  <si>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>1.  Settings — your age, savings, growth &amp; inflation assumptions, FX rates. Everything reads from here.</t>
  </si>
  <si>
    <t>2.  Balance Sheet — list your accounts, investments, CPF and property. It totals your net worth and allocation.</t>
  </si>
  <si>
    <t>3.  Cash Flow — one row per month: income and expenses. This measures your real savings rate.</t>
  </si>
  <si>
    <t>4.  Net Worth History — one row per month with your latest net worth (from Balance Sheet E68).</t>
  </si>
  <si>
    <t>✓ Payoff: the Dashboard shows your net worth, asset allocation, emergency-fund months and savings-rate checks — red/amber/green.</t>
  </si>
  <si>
    <t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</si>
  <si>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</si>
  <si>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>5.  Insurance — your policies: coverage, premiums, cash values. Feeds the Balance Sheet and Retirement Plan.</t>
  </si>
  <si>
    <t>6.  Housing + Loan Calculator — plan a property purchase: mortgage amortisation, your equity share, and the CPF refund owed if you sell.</t>
  </si>
  <si>
    <t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</si>
  <si>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>✓ Payoff: retirement readiness %, your FI number, and an honest picture of whether the plan survives a low-growth world.</t>
  </si>
  <si>
    <t xml:space="preserve">  LEVEL 3 — PORTFOLIO MANAGEMENT · run your investments properly</t>
  </si>
  <si>
    <t>8.  Transactions — every buy (1), sell (-1), fee (0) and dividend (2). Type in the first blank row below the table; sample rows show the format. This single ledger drives everything.</t>
  </si>
  <si>
    <t>9.  Prices — keep current prices and FX up to date. New ticker? Add its Key here (Exchange:Symbol:Currency, e.g. USX:AMD:USD).</t>
  </si>
  <si>
    <t>10. Portfolio History — once a month, copy A5:B5 of the LIVE row and paste-values into the first empty row below. Columns C–E (net invested, return %, dividends) fill in automatically — don't paste over them.</t>
  </si>
  <si>
    <t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</si>
  <si>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</si>
  <si>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>CELL COLOUR LEGEND</t>
  </si>
  <si>
    <t>This colour = type your own number here (an input).</t>
  </si>
  <si>
    <t>No fill = calculated automatically. Dashboard, Stock Dashboard and the grey engine tabs are protected against accidental edits — Review &gt; Unprotect Sheet (no password). Other tabs are unprotected: stick to yellow cells.</t>
  </si>
  <si>
    <t>MONTHLY ROUTINE (≈10 minutes)</t>
  </si>
  <si>
    <t>1. Update Prices (prices &amp; FX).   2. Add a Cash Flow row.   3. Add a Net Worth History row.   4. Copy A5:B5 on Portfolio History, paste-values below.</t>
  </si>
  <si>
    <t>TIPS &amp; DISCLAIMERS</t>
  </si>
  <si>
    <t>•  All numbers and stock names in this template are fictional examples — replace them with your own.</t>
  </si>
  <si>
    <t>•  Singapore terms (CPF = Central Provident Fund, SRS = Supplementary Retirement Scheme, SSB = Singapore Savings Bonds, BSD = Buyer Stamp Duty, HDB = public housing) — swap for your local equivalents if you're elsewhere.</t>
  </si>
  <si>
    <t>•  Once filled in, this file is a complete map of your finances. Keep your copy private; only share the blank/sample version.</t>
  </si>
  <si>
    <t>•  This template and any AI commentary are for personal organisation and education only — not financial advice.</t>
  </si>
  <si>
    <t>STOCK TRACKER REFERENCE</t>
  </si>
  <si>
    <t>•  Overall P&amp;L = market value + sell proceeds − buy cost (portfolio tracking, not tax-grade FIFO lot accounting). Dividends are added on top in All Ticker P&amp;L columns O–Q and in XIRR.</t>
  </si>
  <si>
    <t>•  Fee rows: action 0, zero units, positive Total. Dividend rows: action 2, zero units, Total = amount received.</t>
  </si>
  <si>
    <t>•  Shares (grey) lists live positions only; All Ticker P&amp;L (grey) keeps closed ones for lifetime P&amp;L; Portfolio Analysis (grey) turns the ledger into dated cash flows for XIRR and the snapshot maths (historic FX approximated at current rates).</t>
  </si>
  <si>
    <t>•  The Stock Dashboard is current-state; Portfolio History is performance over time.</t>
  </si>
  <si>
    <t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</si>
  <si>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>IDEAS NOT YET BUILT</t>
  </si>
  <si>
    <t>Benchmark comparison vs an index · YTD return · monthly return bar chart · allocation drift tracking.</t>
  </si>
  <si>
    <t>VERSION HISTORY</t>
  </si>
  <si>
    <t>v8 — retirement projections fixed (drawdown after retirement age, editable cash-in events, live net-worth start), status checks, CPF refund on sale, sheet protection.</t>
  </si>
  <si>
    <t>v9 — dividends (action 2), portfolio XIRR, monthly snapshots (Portfolio History), household Cash Flow.</t>
  </si>
  <si>
    <t>v10 — presentation: number formats, red negatives, hidden helper columns, frozen headers, scenario colour-bands.</t>
  </si>
  <si>
    <t>v11 — public release: this start guide and journey-based tab colours (green → blue → purple, grey = engine).</t>
  </si>
  <si>
    <t>v12 — fixes from a cold usability review: snapshot routine copies A5:B5 only, allocation table includes property &amp; personal loans (with a Total row), SRS link repaired, honest 'Assets excl. home &amp; car' label, yellow marks inputs only (Transactions is now yellow), pseudo-ticker note, reset checklist below.</t>
  </si>
  <si>
    <t>v13 — clean sample data: a 20-row coherent ledger (buy, sell, fee and dividend examples, one closed position, no oversold positions), Prices trimmed to held tickers, and Net Worth History that finally matches the Balance Sheet.</t>
  </si>
  <si>
    <t>RESETTING THE SAMPLE DATA (make it yours)</t>
  </si>
  <si>
    <t>Level 1 — overwrite the yellow numbers in Settings and Balance Sheet with your own; delete the sample rows in Cash Flow (row 13) and Net Worth History (rows 5–11).</t>
  </si>
  <si>
    <t>Level 2 — replace the policy rows on Insurance; set your property &amp; loan in Housing and the Loan Calculator; edit the FUTURE CASH-IN EVENTS table on Retirement Plan (rows 62–66).</t>
  </si>
  <si>
    <t>Level 3 — delete the sample rows inside the Transactions table (keep the header; keep one row as a format example until you're confident), then remove tickers you don't own from Prices. Clear the Portfolio History snapshot rows.</t>
  </si>
  <si>
    <t>The Dashboard, Stock Dashboard and all grey tabs update themselves — never edit those.</t>
  </si>
  <si>
    <t>DASHBOARD</t>
  </si>
  <si>
    <t>A live snapshot. Numbers flow from the other tabs — update those and this refreshes automatically.</t>
  </si>
  <si>
    <t>NET WORTH</t>
  </si>
  <si>
    <t>ASSET ALLOCATION</t>
  </si>
  <si>
    <t>Net Worth</t>
  </si>
  <si>
    <t>Class</t>
  </si>
  <si>
    <t>Value</t>
  </si>
  <si>
    <t>Assets (excl. home &amp; car)</t>
  </si>
  <si>
    <t>Total Assets</t>
  </si>
  <si>
    <t>Total Liabilities</t>
  </si>
  <si>
    <t>Liquid / Emergency Cash</t>
  </si>
  <si>
    <t>Liquid as % of Net Worth</t>
  </si>
  <si>
    <t>RETIREMENT</t>
  </si>
  <si>
    <t>Planned retirement age</t>
  </si>
  <si>
    <t>Projected portfolio @ retirement (5%)</t>
  </si>
  <si>
    <t>Projected dividend income/yr (5%)</t>
  </si>
  <si>
    <t>Target annual retirement sum</t>
  </si>
  <si>
    <t>INSURANCE</t>
  </si>
  <si>
    <t>Life / death coverage</t>
  </si>
  <si>
    <t>Critical illness coverage</t>
  </si>
  <si>
    <t>Total annual premium</t>
  </si>
  <si>
    <t>Insurance cash value (in net worth)</t>
  </si>
  <si>
    <t>HOUSING</t>
  </si>
  <si>
    <t>Property value (your share)</t>
  </si>
  <si>
    <t>Mortgage (your share)</t>
  </si>
  <si>
    <t>Home equity (your share)</t>
  </si>
  <si>
    <t>STATUS CHECKS</t>
  </si>
  <si>
    <t>Emergency fund (months of expenses)</t>
  </si>
  <si>
    <t>target ≥ 6</t>
  </si>
  <si>
    <t>Top holding concentration (stocks)</t>
  </si>
  <si>
    <t>target &lt; 10%</t>
  </si>
  <si>
    <t>FI number (target income ÷ safe withdrawal rate)</t>
  </si>
  <si>
    <t>Retirement readiness (proj @5% ÷ FI number)</t>
  </si>
  <si>
    <t>target ≥ 100%</t>
  </si>
  <si>
    <t>Actual savings rate (Cash Flow, last 12m)</t>
  </si>
  <si>
    <t>Actual annual savings (Cash Flow)</t>
  </si>
  <si>
    <t>SETTINGS &amp; ASSUMPTIONS</t>
  </si>
  <si>
    <t>Edit the yellow cells. The rest of the workbook reads its assumptions from here.</t>
  </si>
  <si>
    <t>YOUR PROFILE</t>
  </si>
  <si>
    <t>Current age</t>
  </si>
  <si>
    <t>Current year (projection base)</t>
  </si>
  <si>
    <t>Annual savings ($/yr)</t>
  </si>
  <si>
    <t>RETURN ASSUMPTIONS</t>
  </si>
  <si>
    <t>Annual inflation</t>
  </si>
  <si>
    <t>Conservative growth</t>
  </si>
  <si>
    <t>Moderate growth</t>
  </si>
  <si>
    <t>Aggressive growth</t>
  </si>
  <si>
    <t>Dividend yield (on portfolio)</t>
  </si>
  <si>
    <t>RETIREMENT TARGETS (Singapore)</t>
  </si>
  <si>
    <t>Target annual retirement sum ($/yr)</t>
  </si>
  <si>
    <t>Reserve for housing / HDB ($)</t>
  </si>
  <si>
    <t>FX TO SGD  (single source of truth — the Prices tab reads these)</t>
  </si>
  <si>
    <t>USD -&gt; SGD</t>
  </si>
  <si>
    <t>HKD -&gt; SGD</t>
  </si>
  <si>
    <t>Notes:</t>
  </si>
  <si>
    <t>CPF (Central Provident Fund), SRS (Supplementary Retirement Scheme), SSB (Singapore Savings Bonds),</t>
  </si>
  <si>
    <t>BSD (Buyer Stamp Duty), HDB (public housing). Replace with your local equivalents if you are outside Singapore.</t>
  </si>
  <si>
    <t>‘Current year (projection base)’ = the year that matches your current age above; the Retirement Plan projection counts up from it to age 85.</t>
  </si>
  <si>
    <t>SPENDING &amp; RETIREMENT TARGETS</t>
  </si>
  <si>
    <t>Monthly household expenses ($/mth)</t>
  </si>
  <si>
    <t>Safe withdrawal rate (for FI number)</t>
  </si>
  <si>
    <t>CHILD / EDUCATION ASSUMPTIONS  (used by Balance Sheet liabilities)</t>
  </si>
  <si>
    <t>Education inflation</t>
  </si>
  <si>
    <t>Years until university</t>
  </si>
  <si>
    <t>Degree cost per year (today's $)</t>
  </si>
  <si>
    <t>Degree length (years)</t>
  </si>
  <si>
    <t>Allowance during studies ($/mth)</t>
  </si>
  <si>
    <t>As at today — values update live from the other tabs</t>
  </si>
  <si>
    <t>Assets</t>
  </si>
  <si>
    <t>Liabilities and Net Worth</t>
  </si>
  <si>
    <t>Liquid Assets</t>
  </si>
  <si>
    <t>Current Liabilities</t>
  </si>
  <si>
    <t>POSB Cash</t>
  </si>
  <si>
    <t>OCBC Credit Balance</t>
  </si>
  <si>
    <t>e$aver (Closed)</t>
  </si>
  <si>
    <t>Maribank + POSB</t>
  </si>
  <si>
    <t>XtraSaver (Closed)</t>
  </si>
  <si>
    <t>UOB</t>
  </si>
  <si>
    <t>DASH by Standchart (Closed)</t>
  </si>
  <si>
    <t>Maybank</t>
  </si>
  <si>
    <t>Total</t>
  </si>
  <si>
    <t>Trust Bank</t>
  </si>
  <si>
    <t>Super Salary Acct (Closed)</t>
  </si>
  <si>
    <t>Maribank + Funds</t>
  </si>
  <si>
    <t>POSB Joint</t>
  </si>
  <si>
    <t>UOB ONE Account</t>
  </si>
  <si>
    <t>UOB Savings</t>
  </si>
  <si>
    <t>OCBC 360 + Joint Account</t>
  </si>
  <si>
    <t>DBS Multicurrency + MooMoo Cash Account + Webull Cash</t>
  </si>
  <si>
    <t>Long Term Liabilities</t>
  </si>
  <si>
    <t>Child Savings</t>
  </si>
  <si>
    <t>Investments (Cap Protected 2-3%)</t>
  </si>
  <si>
    <t>University Study Fund</t>
  </si>
  <si>
    <t>AIA Endowment Deposit (4% p.a.)</t>
  </si>
  <si>
    <t>UOB Home Loan</t>
  </si>
  <si>
    <t>Prudential Savings (Projected $100,000 @ 52)</t>
  </si>
  <si>
    <t>UOB/Prudential Savings (Projected $46,000 @ 52)</t>
  </si>
  <si>
    <t>Prudential Saving (2%PA till 2022 using SRS) (Closed)</t>
  </si>
  <si>
    <t>Child University Fund (e.g. degree @ $33k/yr)</t>
  </si>
  <si>
    <t>NTUC Savings/Insurance (Projected $40,000 @ 55)</t>
  </si>
  <si>
    <t>Child Allowance during studies (e.g. $1,500/mth)</t>
  </si>
  <si>
    <t>SRS Account (Supplementary Retirement Scheme)</t>
  </si>
  <si>
    <t>CPF Cash Top-ups for Family Members (tax relief)</t>
  </si>
  <si>
    <t>Child Development Account (CDA) Contributions</t>
  </si>
  <si>
    <t>Singapore Savings Bond (1.89% coupon, using SRS)</t>
  </si>
  <si>
    <t>Asset Allocation</t>
  </si>
  <si>
    <t>Temasek Bond (2.7% coupon)</t>
  </si>
  <si>
    <t>Amount</t>
  </si>
  <si>
    <t>Percentage</t>
  </si>
  <si>
    <t>AIA ILP</t>
  </si>
  <si>
    <t>Cash</t>
  </si>
  <si>
    <t>Equities/Crypto/High Risk Loans</t>
  </si>
  <si>
    <t>Personal Loan to Friend</t>
  </si>
  <si>
    <t>&lt;- high-risk subtotal (rows 34-37)</t>
  </si>
  <si>
    <t>Bonds</t>
  </si>
  <si>
    <t>Gold/Silver</t>
  </si>
  <si>
    <t>CPF SA Medisave</t>
  </si>
  <si>
    <t>Bonds (Min Yield at 3.16%)</t>
  </si>
  <si>
    <t>Singapore Savings Bond (Cash)</t>
  </si>
  <si>
    <t>Singapore Savings Bond (SRS)</t>
  </si>
  <si>
    <t>Gold+Silver</t>
  </si>
  <si>
    <t>CPF</t>
  </si>
  <si>
    <t>CPF OA (2.5%)</t>
  </si>
  <si>
    <t>CPF SA (4%)</t>
  </si>
  <si>
    <t>CPF Medisave</t>
  </si>
  <si>
    <t>Investment</t>
  </si>
  <si>
    <t>Real Properties</t>
  </si>
  <si>
    <t>Primary Residence (Condo)</t>
  </si>
  <si>
    <t>Personal Properties</t>
  </si>
  <si>
    <t>Car</t>
  </si>
  <si>
    <t>Total Assets (excl House/Car)</t>
  </si>
  <si>
    <t>&lt;- net worth after reserving child education costs (E25:E26)</t>
  </si>
  <si>
    <t>Emergency Cash</t>
  </si>
  <si>
    <t>3% dividend out of networth</t>
  </si>
  <si>
    <t>3% dividend out of networth / mth</t>
  </si>
  <si>
    <t>CASH FLOW  (monthly income &amp; spending — your measured savings rate)</t>
  </si>
  <si>
    <t>One row per month, yellow cells only. The averages below use your last 12 months of entries and are compared against the plan numbers in Settings.</t>
  </si>
  <si>
    <t>ACTUALS (last 12 months of entries)</t>
  </si>
  <si>
    <t>Average monthly take-home income</t>
  </si>
  <si>
    <t>Average monthly expenses</t>
  </si>
  <si>
    <t>Average savings rate</t>
  </si>
  <si>
    <t>Implied annual savings (actual)</t>
  </si>
  <si>
    <t>Tip: once a few months are entered, consider updating the yellow plan numbers in Settings to match reality.</t>
  </si>
  <si>
    <t>Month</t>
  </si>
  <si>
    <t>Take-home income</t>
  </si>
  <si>
    <t>Fixed expenses</t>
  </si>
  <si>
    <t>Variable expenses</t>
  </si>
  <si>
    <t>Total expenses</t>
  </si>
  <si>
    <t>Saved</t>
  </si>
  <si>
    <t>Savings rate</t>
  </si>
  <si>
    <t>Notes</t>
  </si>
  <si>
    <t>[Sample] replace with your own</t>
  </si>
  <si>
    <t>NET WORTH HISTORY</t>
  </si>
  <si>
    <t>Each month, record your net worth (copy the value from Balance Sheet cell E68). Add new rows at the bottom; the formulas will extend if you copy them down. (Sample rows are quarterly just to demonstrate the formulas — monthly is better.)</t>
  </si>
  <si>
    <t>Date</t>
  </si>
  <si>
    <t>MoM Change</t>
  </si>
  <si>
    <t>YoY Change</t>
  </si>
  <si>
    <t>YoY %</t>
  </si>
  <si>
    <t>12-mo Avg (MoM)</t>
  </si>
  <si>
    <t>Starting point</t>
  </si>
  <si>
    <t>Market dip</t>
  </si>
  <si>
    <t>Year-end bonus saved</t>
  </si>
  <si>
    <t>One row per policy. Yellow cells = type your own number. Current cash/surrender value flows to the Balance Sheet; projected maturity value feeds the Retirement Plan. Coverage is protection, not an asset.</t>
  </si>
  <si>
    <t>SUMMARY</t>
  </si>
  <si>
    <t>Current cash / surrender value (asset today)</t>
  </si>
  <si>
    <t>&lt;- flows to the Balance Sheet</t>
  </si>
  <si>
    <t>Projected maturity value (future)</t>
  </si>
  <si>
    <t>&lt;- feeds the Retirement Plan</t>
  </si>
  <si>
    <t>Total life / death coverage</t>
  </si>
  <si>
    <t>Total TPD coverage</t>
  </si>
  <si>
    <t>Total critical illness coverage</t>
  </si>
  <si>
    <t>Number of policies</t>
  </si>
  <si>
    <t>Policy</t>
  </si>
  <si>
    <t>Company</t>
  </si>
  <si>
    <t>Policy No.</t>
  </si>
  <si>
    <t>Plan Type / Name</t>
  </si>
  <si>
    <t>Category</t>
  </si>
  <si>
    <t>Commencement</t>
  </si>
  <si>
    <t>Maturity Age</t>
  </si>
  <si>
    <t>Current Cash /
Surrender Value</t>
  </si>
  <si>
    <t>Projected
Maturity Value</t>
  </si>
  <si>
    <t>Premium
Amount</t>
  </si>
  <si>
    <t>Frequency</t>
  </si>
  <si>
    <t>Annual
Premium</t>
  </si>
  <si>
    <t>Sum Assured
(Basic)</t>
  </si>
  <si>
    <t>Death
Benefit</t>
  </si>
  <si>
    <t>TPD
Benefit</t>
  </si>
  <si>
    <t>Critical Illness
Benefit</t>
  </si>
  <si>
    <t>Remarks</t>
  </si>
  <si>
    <t>Policy 1</t>
  </si>
  <si>
    <t>NTUC</t>
  </si>
  <si>
    <t>POL-0001</t>
  </si>
  <si>
    <t>Living Policy (Whole Life)</t>
  </si>
  <si>
    <t>Protection</t>
  </si>
  <si>
    <t>Monthly</t>
  </si>
  <si>
    <t>Participating whole life. TPD: 10% of S/A+bonus yrs1-4, 60% yr5 (till age 60). Convertible to annuity @60 +5%. Hosp benefit $30/day.</t>
  </si>
  <si>
    <t>Policy 2</t>
  </si>
  <si>
    <t>POL-0002</t>
  </si>
  <si>
    <t>Whole life + term rider 13/20 x $100k (till age 45). Disability income: TPD $6k/yr from 6th yr (till 65); Major illness $500/mth 20 yrs. Convertible to annuity @60 +5%.</t>
  </si>
  <si>
    <t>Policy 3</t>
  </si>
  <si>
    <t>Aviva</t>
  </si>
  <si>
    <t>POL-C1 / POL-C2</t>
  </si>
  <si>
    <t>Group Term Life + Living Care</t>
  </si>
  <si>
    <t>Term</t>
  </si>
  <si>
    <t>Term to 65, no cash value. Critical illness $300k. Hosp benefit $120/day (day 11-30).</t>
  </si>
  <si>
    <t>Policy 4</t>
  </si>
  <si>
    <t>Prudential</t>
  </si>
  <si>
    <t>POL-0004</t>
  </si>
  <si>
    <t>PruSave (Endowment)</t>
  </si>
  <si>
    <t>Endowment/Savings</t>
  </si>
  <si>
    <t>Endowment/savings plan. Projected maturity ~$110k @60. Convertible to annuity @60 +5%.</t>
  </si>
  <si>
    <t>Policy 5</t>
  </si>
  <si>
    <t>(UOB/Pru)</t>
  </si>
  <si>
    <t>UOB/Prudential Savings</t>
  </si>
  <si>
    <t>Savings plan projected ~$46k @52. Update premium/coverage from your policy document.</t>
  </si>
  <si>
    <t>Policy 6</t>
  </si>
  <si>
    <t>AIA</t>
  </si>
  <si>
    <t>(ILP)</t>
  </si>
  <si>
    <t>Investment-Linked Policy</t>
  </si>
  <si>
    <t>Investment-Linked</t>
  </si>
  <si>
    <t>Market-linked policy; cash value moves with fund NAV. Not capital-guaranteed.</t>
  </si>
  <si>
    <t>Policy 7</t>
  </si>
  <si>
    <t>(Endowment)</t>
  </si>
  <si>
    <t>Endowment Deposit (4% p.a.)</t>
  </si>
  <si>
    <t>AIA endowment deposit, ~4% p.a. Enter current surrender value when available.</t>
  </si>
  <si>
    <t>Notes: Cash/surrender value = what you'd realise if you cashed out today (the asset figure). Term/protection-only policies have no cash value. Add more policies on new rows below the table - the SUMMARY and linked sheets update automatically.</t>
  </si>
  <si>
    <t>HOUSING &amp; MORTGAGE</t>
  </si>
  <si>
    <t>Yellow = type your own number. Loan terms &amp; the full repayment schedule live on the Loan Calculator tab. Your ownership share of the property value and loan flows to the Balance Sheet.</t>
  </si>
  <si>
    <t>PROPERTY</t>
  </si>
  <si>
    <t>Current market value (100%)</t>
  </si>
  <si>
    <t>Original purchase price (100%)</t>
  </si>
  <si>
    <t>Purchase date</t>
  </si>
  <si>
    <t>Your ownership share</t>
  </si>
  <si>
    <t>Spouse ownership share</t>
  </si>
  <si>
    <t>MORTGAGE   (set loan terms on the Loan Calculator tab)</t>
  </si>
  <si>
    <t>Original loan amount</t>
  </si>
  <si>
    <t>Interest rate (p.a.)</t>
  </si>
  <si>
    <t>Loan tenure (years)</t>
  </si>
  <si>
    <t>Loan start date</t>
  </si>
  <si>
    <t>Monthly repayment</t>
  </si>
  <si>
    <t>Outstanding balance (today, 100%)</t>
  </si>
  <si>
    <t>YOUR POSITION   (flows to Balance Sheet)</t>
  </si>
  <si>
    <t>Property value - your share</t>
  </si>
  <si>
    <t>&lt;- Balance Sheet asset</t>
  </si>
  <si>
    <t>Outstanding loan - your share</t>
  </si>
  <si>
    <t>&lt;- Balance Sheet liability</t>
  </si>
  <si>
    <t>Home equity - your share</t>
  </si>
  <si>
    <t>Home equity - full (100%)</t>
  </si>
  <si>
    <t>PAYDOWN PLAN   (optional target)</t>
  </si>
  <si>
    <t>Target loan balance (100%)</t>
  </si>
  <si>
    <t>Target date</t>
  </si>
  <si>
    <t>Amount still to pay down (100%)</t>
  </si>
  <si>
    <t xml:space="preserve">  - your share</t>
  </si>
  <si>
    <t xml:space="preserve">  - spouse share</t>
  </si>
  <si>
    <t>Years to target (approx)</t>
  </si>
  <si>
    <t>Annual paydown needed - your share</t>
  </si>
  <si>
    <t>CPF FUNDING   (planning)</t>
  </si>
  <si>
    <t>Current CPF OA balance</t>
  </si>
  <si>
    <t>CPF OA contribution / month</t>
  </si>
  <si>
    <t>CPF OA contribution / year (13 mths)</t>
  </si>
  <si>
    <t>Emergency CPF buffer to keep</t>
  </si>
  <si>
    <t>CPF OA available after buffer</t>
  </si>
  <si>
    <t>PURCHASE FUNDING   (one-time record of how the purchase was paid)</t>
  </si>
  <si>
    <t>Funding source</t>
  </si>
  <si>
    <t>Spouse (45%)</t>
  </si>
  <si>
    <t>Self (55%)</t>
  </si>
  <si>
    <t>CPF used</t>
  </si>
  <si>
    <t>Cash used</t>
  </si>
  <si>
    <t>Total upfront paid</t>
  </si>
  <si>
    <t>Note: 'Your Position' (rows 20-22) are the only figures used by the Balance Sheet. Paydown, CPF and purchase-funding sections are planning/records and do not affect net worth.</t>
  </si>
  <si>
    <t xml:space="preserve"> </t>
  </si>
  <si>
    <t>Simple loan calculator</t>
  </si>
  <si>
    <t>Annual summary (auto-updates from the schedule below)</t>
  </si>
  <si>
    <t>Loan details</t>
  </si>
  <si>
    <t>Year</t>
  </si>
  <si>
    <t>Principal Paid</t>
  </si>
  <si>
    <t>Interest Paid</t>
  </si>
  <si>
    <t>Total Paid</t>
  </si>
  <si>
    <t>Loan amount</t>
  </si>
  <si>
    <t>Annual interest rate</t>
  </si>
  <si>
    <t>Loan period in years</t>
  </si>
  <si>
    <t>Start date of loan</t>
  </si>
  <si>
    <t>Loan summary</t>
  </si>
  <si>
    <t>Monthly payment</t>
  </si>
  <si>
    <t>Number of payments</t>
  </si>
  <si>
    <t>Total interest</t>
  </si>
  <si>
    <t>Total cost of loan</t>
  </si>
  <si>
    <t>Outstanding balance (today)</t>
  </si>
  <si>
    <t>Pmt no.</t>
  </si>
  <si>
    <t>Payment
date</t>
  </si>
  <si>
    <t>Beginning 
balance</t>
  </si>
  <si>
    <t>Payment</t>
  </si>
  <si>
    <t>Principal</t>
  </si>
  <si>
    <t>Cumulative Principal</t>
  </si>
  <si>
    <t>Interest</t>
  </si>
  <si>
    <t>Cumulative Interest</t>
  </si>
  <si>
    <t>Ending 
balance</t>
  </si>
  <si>
    <t>Annual Inflation</t>
  </si>
  <si>
    <t>(assumptions are set on the Settings tab)</t>
  </si>
  <si>
    <t>Current Asset linked to Balance Sheet Latest</t>
  </si>
  <si>
    <t>Annual Savings Rate</t>
  </si>
  <si>
    <t>3% Growth</t>
  </si>
  <si>
    <t>PROPERTY (from Housing)</t>
  </si>
  <si>
    <t>5% Growth</t>
  </si>
  <si>
    <t>8% Growth</t>
  </si>
  <si>
    <t>Dividend %</t>
  </si>
  <si>
    <t>Outstanding mortgage - your share</t>
  </si>
  <si>
    <t>Amount to reserve for HDB</t>
  </si>
  <si>
    <t>Amount still in CPF @55 estimated</t>
  </si>
  <si>
    <t>Amount still in CPF @65 estimated</t>
  </si>
  <si>
    <t>Current SRS Amount (disburse @62)</t>
  </si>
  <si>
    <t>Insurance/Endowment projected maturity (from Insurance)</t>
  </si>
  <si>
    <t>Age</t>
  </si>
  <si>
    <t>Retirement Sum (inflated)</t>
  </si>
  <si>
    <t>Actual Assets (Dec)</t>
  </si>
  <si>
    <t>Actual Cash (Dec)</t>
  </si>
  <si>
    <t>Assets @3%</t>
  </si>
  <si>
    <t>Accessible @3%</t>
  </si>
  <si>
    <t>Dividends @3%</t>
  </si>
  <si>
    <t>Assets @5%</t>
  </si>
  <si>
    <t>Accessible @5%</t>
  </si>
  <si>
    <t>Dividends @5%</t>
  </si>
  <si>
    <t>Assets @8%</t>
  </si>
  <si>
    <t>Accessible @8%</t>
  </si>
  <si>
    <t>Dividends @8%</t>
  </si>
  <si>
    <t>v8: Savings are added until the planned retirement age (Settings), then the inflated Annual Retirement Sum (col C) is withdrawn each year. Locked assets below unlock into the accessible-cash columns at the given age.</t>
  </si>
  <si>
    <t>FUTURE CASH-IN EVENTS  (yellow = edit; replaces v7's hardcoded CPF/SRS/endowment formulas)</t>
  </si>
  <si>
    <t>Description</t>
  </si>
  <si>
    <t>Amount (today's $)</t>
  </si>
  <si>
    <t>Growth p.a.</t>
  </si>
  <si>
    <t>Value at unlock</t>
  </si>
  <si>
    <t>CPF withdrawable at 55</t>
  </si>
  <si>
    <t>SRS disbursement</t>
  </si>
  <si>
    <t>CPF payout eligibility + endowment</t>
  </si>
  <si>
    <t>Sell (-1) Buy (1) Fees (0) Dividend (2)</t>
  </si>
  <si>
    <t>Exchange</t>
  </si>
  <si>
    <t>Symbol</t>
  </si>
  <si>
    <t>Units Purchased or Sold</t>
  </si>
  <si>
    <t>Currency</t>
  </si>
  <si>
    <t>Price Paid or Received</t>
  </si>
  <si>
    <t>Date of transaction (YYYY-MM-DD)</t>
  </si>
  <si>
    <t>Total after fees</t>
  </si>
  <si>
    <t>Transaction Details (Optional)</t>
  </si>
  <si>
    <t>Key</t>
  </si>
  <si>
    <t>Signed Units</t>
  </si>
  <si>
    <t>Buy Cost</t>
  </si>
  <si>
    <t>Sell Proceeds</t>
  </si>
  <si>
    <t>CA</t>
  </si>
  <si>
    <t>GOLD</t>
  </si>
  <si>
    <t>SGD</t>
  </si>
  <si>
    <t>[Sample] Gold via pseudo-ticker</t>
  </si>
  <si>
    <t>SGX</t>
  </si>
  <si>
    <t>Z74</t>
  </si>
  <si>
    <t>USX</t>
  </si>
  <si>
    <t>AAPL</t>
  </si>
  <si>
    <t>USD</t>
  </si>
  <si>
    <t>C38U</t>
  </si>
  <si>
    <t>CG</t>
  </si>
  <si>
    <t>BITCOIN</t>
  </si>
  <si>
    <t>HKEX</t>
  </si>
  <si>
    <t>700</t>
  </si>
  <si>
    <t>HKD</t>
  </si>
  <si>
    <t>[Sample] HKD position, currently at a loss</t>
  </si>
  <si>
    <t>MSFT</t>
  </si>
  <si>
    <t>A17U</t>
  </si>
  <si>
    <t>[Sample] Brokerage fee — action 0, zero units</t>
  </si>
  <si>
    <t>NVDA</t>
  </si>
  <si>
    <t>CLR</t>
  </si>
  <si>
    <t>[Sample] Sold — a closed position (see All Ticker P&amp;L)</t>
  </si>
  <si>
    <t>[Sample] Dividend received — action 2, Total = amount</t>
  </si>
  <si>
    <t>[Sample] Dividend received</t>
  </si>
  <si>
    <t>Current Price</t>
  </si>
  <si>
    <t>FX to SGD</t>
  </si>
  <si>
    <t>CA:GOLD:SGD</t>
  </si>
  <si>
    <t>Sample price — update manually</t>
  </si>
  <si>
    <t>Gold &amp; Silver</t>
  </si>
  <si>
    <t>CG:BITCOIN:USD</t>
  </si>
  <si>
    <t>Crypto</t>
  </si>
  <si>
    <t>HKEX:700:HKD</t>
  </si>
  <si>
    <t>US/HK Growth</t>
  </si>
  <si>
    <t>SGX:A17U:SGD</t>
  </si>
  <si>
    <t>Reit/Dividend</t>
  </si>
  <si>
    <t>SGX:C38U:SGD</t>
  </si>
  <si>
    <t>SGX:CLR:SGD</t>
  </si>
  <si>
    <t>Small Cap</t>
  </si>
  <si>
    <t>SGX:Z74:SGD</t>
  </si>
  <si>
    <t>USX:AAPL:USD</t>
  </si>
  <si>
    <t>USX:AMD:USD</t>
  </si>
  <si>
    <t>AMD</t>
  </si>
  <si>
    <t>Format example from Start Here — not held</t>
  </si>
  <si>
    <t>USX:MSFT:USD</t>
  </si>
  <si>
    <t>USX:NVDA:USD</t>
  </si>
  <si>
    <t>Position closed — price kept for history</t>
  </si>
  <si>
    <t>Portfolio Dashboard</t>
  </si>
  <si>
    <t>Live Key</t>
  </si>
  <si>
    <t>Live Exchange</t>
  </si>
  <si>
    <t>Live Symbol</t>
  </si>
  <si>
    <t>Live Currency</t>
  </si>
  <si>
    <t>Live Units</t>
  </si>
  <si>
    <t>Live Market Value SGD</t>
  </si>
  <si>
    <t>Live Weight</t>
  </si>
  <si>
    <t>Live P&amp;L SGD</t>
  </si>
  <si>
    <t>Live P&amp;L %</t>
  </si>
  <si>
    <t>Holding Rank</t>
  </si>
  <si>
    <t>Negative Rank</t>
  </si>
  <si>
    <t>All Key</t>
  </si>
  <si>
    <t>All Exchange</t>
  </si>
  <si>
    <t>All Symbol</t>
  </si>
  <si>
    <t>All Currency</t>
  </si>
  <si>
    <t>All Units</t>
  </si>
  <si>
    <t>All Market Value SGD</t>
  </si>
  <si>
    <t>All P&amp;L SGD</t>
  </si>
  <si>
    <t>All P&amp;L %</t>
  </si>
  <si>
    <t>Winner Rank</t>
  </si>
  <si>
    <t>Loser Rank</t>
  </si>
  <si>
    <t>Negative P&amp;L Helper</t>
  </si>
  <si>
    <t>Current-state performance view. Performance over time lives on the Portfolio History tab; the XIRR engine is on Portfolio Analysis.</t>
  </si>
  <si>
    <t>Current Snapshot</t>
  </si>
  <si>
    <t>Top 10 Holdings by Market Value</t>
  </si>
  <si>
    <t>Open positions count</t>
  </si>
  <si>
    <t>Rank</t>
  </si>
  <si>
    <t>Market Value SGD</t>
  </si>
  <si>
    <t>Weight</t>
  </si>
  <si>
    <t>P&amp;L SGD</t>
  </si>
  <si>
    <t>P&amp;L %</t>
  </si>
  <si>
    <t>Portfolio market value SGD</t>
  </si>
  <si>
    <t>Total buy cost SGD</t>
  </si>
  <si>
    <t>Total sell proceeds SGD</t>
  </si>
  <si>
    <t>Open positions P&amp;L SGD</t>
  </si>
  <si>
    <t>Closed positions P&amp;L SGD</t>
  </si>
  <si>
    <t>Total P&amp;L SGD</t>
  </si>
  <si>
    <t>Total return on buy cost</t>
  </si>
  <si>
    <t>Top holding concentration</t>
  </si>
  <si>
    <t>Negative / short positions</t>
  </si>
  <si>
    <t>Price / FX warnings</t>
  </si>
  <si>
    <t>Portfolio XIRR p.a. (incl dividends)</t>
  </si>
  <si>
    <t>Dividends collected, all time (SGD)</t>
  </si>
  <si>
    <t>Allocation by Currency</t>
  </si>
  <si>
    <t>Allocation by Exchange</t>
  </si>
  <si>
    <t>Positions</t>
  </si>
  <si>
    <t>SSB</t>
  </si>
  <si>
    <t>Other / new categories</t>
  </si>
  <si>
    <t>Top 10 Winners by Total P&amp;L</t>
  </si>
  <si>
    <t>Top 10 Losers by Total P&amp;L</t>
  </si>
  <si>
    <t>Units Held</t>
  </si>
  <si>
    <t>Status</t>
  </si>
  <si>
    <t>Negative / Short Position Watchlist</t>
  </si>
  <si>
    <t>Data Checks</t>
  </si>
  <si>
    <t>Missing price or FX warnings</t>
  </si>
  <si>
    <t>Open positions with zero market value</t>
  </si>
  <si>
    <t>PORTFOLIO HISTORY  (monthly snapshots)</t>
  </si>
  <si>
    <t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</si>
  <si>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>Market value SGD</t>
  </si>
  <si>
    <t>Net invested since prev (auto)</t>
  </si>
  <si>
    <t>Return % (auto)</t>
  </si>
  <si>
    <t>Dividends to date (auto)</t>
  </si>
  <si>
    <t>LIVE — copy A5:B5 only, paste-values below</t>
  </si>
  <si>
    <t>SNAPSHOTS  (yellow = paste values here)</t>
  </si>
  <si>
    <t>Total Buy Cost</t>
  </si>
  <si>
    <t>Total Sell Proceeds</t>
  </si>
  <si>
    <t>Market Value</t>
  </si>
  <si>
    <t>Overall P&amp;L</t>
  </si>
  <si>
    <t>Overall P&amp;L SGD</t>
  </si>
  <si>
    <t>P&amp;L % on Buy Cost</t>
  </si>
  <si>
    <t>PORTFOLIO SUMMARY  (feeds Balance Sheet - equities/crypto/commodities only)</t>
  </si>
  <si>
    <t>Asset Class</t>
  </si>
  <si>
    <t>Market Value (S$)</t>
  </si>
  <si>
    <t>Cost (S$)</t>
  </si>
  <si>
    <t>Overall P/L (S$)</t>
  </si>
  <si>
    <t>P/L %</t>
  </si>
  <si>
    <t>Alloc %</t>
  </si>
  <si>
    <t>Commodities</t>
  </si>
  <si>
    <t>TOTAL PORTFOLIO</t>
  </si>
  <si>
    <t>Category is looked up from the Prices tab (editable). CPF &amp; SGS/SSB rows are</t>
  </si>
  <si>
    <t>tracked in the ledger but excluded here to avoid double-counting the Balance</t>
  </si>
  <si>
    <t>Sheet's own CPF/Bond sections.</t>
  </si>
  <si>
    <t>Live Rank</t>
  </si>
  <si>
    <t>Dividends SGD</t>
  </si>
  <si>
    <t>P&amp;L + Div SGD</t>
  </si>
  <si>
    <t>Return % incl Div</t>
  </si>
  <si>
    <t>PORTFOLIO ANALYSIS  (calculation engine — nothing to edit here)</t>
  </si>
  <si>
    <t>Every transaction becomes a dated cash flow in SGD (buys/fees out, sells/dividends in), plus today's market value. XIRR over these = money-weighted annual return. Assumption: historic flows are converted at CURRENT FX rates (Prices tab).</t>
  </si>
  <si>
    <t>Portfolio XIRR p.a. (since inception, incl dividends)</t>
  </si>
  <si>
    <t>Current portfolio market value (SGD)</t>
  </si>
  <si>
    <t>Action</t>
  </si>
  <si>
    <t>Total (txn ccy)</t>
  </si>
  <si>
    <t>Flow SGD</t>
  </si>
  <si>
    <t>Dividend SGD</t>
  </si>
  <si>
    <t>CURRENT PORTFOLIO VALUE (terminal flow)</t>
  </si>
  <si>
    <t>–  Savings Goal Calculator — solve for any one unknown: final amount, the return you would need, years to save, or the lump sum / annual amount to set aside for a goal. Uses your Settings growth rate.</t>
  </si>
  <si>
    <t>v14 — Savings Goal Calculator: a goal-based compound-growth planner (final amount, required return, years, or amount to set aside), wired to your Settings growth rate. Released as v1.1.</t>
  </si>
  <si>
    <t>SAVINGS GOAL CALCULATOR</t>
  </si>
  <si>
    <t>How much to set aside — and over how long, at what return — to reach a savings goal. Four ways to solve it.</t>
  </si>
  <si>
    <t>Contributions are assumed at the start of each year (annuity-due). Returns are nominal annual; taxes and fees are not modelled. The figures below are an illustrative worked example — edit the yellow cells to make it yours.</t>
  </si>
  <si>
    <t>Expected-return cells pull from Settings (moderate growth, currently 5%). Type a % over any of them for a one-off what-if; Settings also holds conservative (3%) and aggressive (8%).</t>
  </si>
  <si>
    <t>1 · What will my savings grow to?</t>
  </si>
  <si>
    <t/>
  </si>
  <si>
    <t>Initial lump sum now</t>
  </si>
  <si>
    <t>$</t>
  </si>
  <si>
    <t>Annual savings added</t>
  </si>
  <si>
    <t>$/yr</t>
  </si>
  <si>
    <t>Years to accumulate</t>
  </si>
  <si>
    <t>yrs</t>
  </si>
  <si>
    <t>Expected annual return (from Settings)</t>
  </si>
  <si>
    <t>%/yr</t>
  </si>
  <si>
    <t>→ Projected total at maturity</t>
  </si>
  <si>
    <t>2 · What return do I need to hit a target?</t>
  </si>
  <si>
    <t>Target amount at maturity</t>
  </si>
  <si>
    <t>→ Required annual return</t>
  </si>
  <si>
    <t>3 · How many years must I save?</t>
  </si>
  <si>
    <t>→ Years needed</t>
  </si>
  <si>
    <t>4 · How much must I set aside for a goal?</t>
  </si>
  <si>
    <t>A)  Either one of these on its own:</t>
  </si>
  <si>
    <t>→ Lump sum now only</t>
  </si>
  <si>
    <t>→ Or annual savings only</t>
  </si>
  <si>
    <t>B)  Or combine a lump sum with annual savings:</t>
  </si>
  <si>
    <t>If my lump sum now is</t>
  </si>
  <si>
    <t>→ Annual savings I will also need</t>
  </si>
  <si>
    <t>If my annual savings is</t>
  </si>
  <si>
    <t>→ Lump sum I will also need</t>
  </si>
  <si>
    <t>Not financial advice — a simplified compound-growth model for personal planning. Verify anything important with a qualified professional.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</si>
</sst>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\$#,##0.00"/>
    <numFmt numFmtId="165" formatCode="m/d/yyyy"/>
    <numFmt numFmtId="166" formatCode="\$#,##0"/>
    <numFmt numFmtId="167" formatCode="0.0%"/>
    <numFmt numFmtId="168" formatCode="0.0"/>
    <numFmt numFmtId="169" formatCode="_(\$* #,##0.00_);_(\$* \(#,##0.00\);_(\$* \-??_);_(@_)"/>
    <numFmt numFmtId="170" formatCode="_-* #,##0.00_-;\-* #,##0.00_-;_-* \-??_-;_-@_-"/>
    <numFmt numFmtId="171" formatCode="_-\$* #,##0.00_-;&quot;-$&quot;* #,##0.00_-;_-\$* \-??_-;_-@_-"/>
    <numFmt numFmtId="172" formatCode="mmm\ yyyy"/>
    <numFmt numFmtId="173" formatCode="dd\ mmm\ yyyy"/>
    <numFmt numFmtId="174" formatCode="[$$-4809]#,##0.00"/>
    <numFmt numFmtId="175" formatCode="[$$-1004]#,##0.00"/>
    <numFmt numFmtId="176" formatCode="#,##0.00;\(#,##0.00\);\-"/>
    <numFmt numFmtId="177" formatCode="#,##0.##"/>
    <numFmt numFmtId="178" formatCode="dd/mm/yyyy"/>
    <numFmt numFmtId="179" formatCode="#,##0.########;\(#,##0.########\);\-"/>
    <numFmt numFmtId="180" formatCode="0.0000"/>
    <numFmt numFmtId="181" formatCode="#,##0;\(#,##0\);\-"/>
    <numFmt numFmtId="182" formatCode="0.0%;\(0.0%\);\-"/>
    <numFmt numFmtId="183" formatCode="#,##0;[Red]\(#,##0\);\-"/>
    <numFmt numFmtId="184" formatCode="0.0%;[Red]\(0.0%\);\-"/>
    <numFmt numFmtId="185" formatCode="yyyy\-mm\-dd"/>
  </numFmts>
  <fonts count="76" x14ac:knownFonts="1">
    <font>
      <sz val="10"/>
      <name val="Arial"/>
      <charset val="1"/>
    </font>
    <font>
      <sz val="10"/>
      <name val="Arial"/>
      <family val="2"/>
    </font>
    <font>
      <sz val="11"/>
      <color theme="1" tint="0.24988555558946501"/>
      <name val="Calibri"/>
      <family val="2"/>
      <charset val="1"/>
    </font>
    <font>
      <sz val="11"/>
      <name val="Arial"/>
      <family val="2"/>
      <charset val="1"/>
    </font>
    <font>
      <i/>
      <sz val="11"/>
      <color theme="1" tint="0.3498947111423078"/>
      <name val="Calibri"/>
      <family val="2"/>
      <charset val="1"/>
    </font>
    <font>
      <b/>
      <sz val="10"/>
      <color theme="1" tint="0.24988555558946501"/>
      <name val="Cambria"/>
      <family val="2"/>
      <charset val="1"/>
    </font>
    <font>
      <sz val="11"/>
      <color theme="1"/>
      <name val="Calibri"/>
      <family val="2"/>
      <charset val="1"/>
    </font>
    <font>
      <b/>
      <sz val="16"/>
      <color theme="1" tint="0.24988555558946501"/>
      <name val="Cambria"/>
      <family val="2"/>
      <charset val="1"/>
    </font>
    <font>
      <b/>
      <sz val="20"/>
      <color rgb="FF1F4E78"/>
      <name val="Cambria"/>
      <family val="1"/>
    </font>
    <font>
      <i/>
      <sz val="11"/>
      <color rgb="FF595959"/>
      <name val="Cambria"/>
      <family val="1"/>
    </font>
    <font>
      <sz val="11"/>
      <name val="Cambria"/>
      <family val="1"/>
    </font>
    <font>
      <b/>
      <sz val="13"/>
      <color rgb="FF1F4E78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i/>
      <sz val="11"/>
      <color rgb="FF2F6B3F"/>
      <name val="Cambria"/>
      <family val="1"/>
    </font>
    <font>
      <i/>
      <sz val="11"/>
      <color rgb="FFC55A11"/>
      <name val="Cambria"/>
      <family val="1"/>
    </font>
    <font>
      <i/>
      <sz val="11"/>
      <color rgb="FF2F5597"/>
      <name val="Cambria"/>
      <family val="1"/>
    </font>
    <font>
      <i/>
      <sz val="11"/>
      <color rgb="FF7030A0"/>
      <name val="Cambria"/>
      <family val="1"/>
    </font>
    <font>
      <b/>
      <sz val="20"/>
      <color rgb="FF1F4E78"/>
      <name val="Arial"/>
      <family val="2"/>
    </font>
    <font>
      <i/>
      <sz val="10"/>
      <color rgb="FF808080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b/>
      <sz val="18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1"/>
      <color rgb="FF1F4E78"/>
      <name val="Cambria"/>
      <family val="1"/>
    </font>
    <font>
      <sz val="10"/>
      <color rgb="FF000000"/>
      <name val="Cambria"/>
      <family val="1"/>
    </font>
    <font>
      <b/>
      <sz val="12"/>
      <name val="Cambria"/>
      <family val="1"/>
    </font>
    <font>
      <i/>
      <sz val="9"/>
      <color rgb="FF808080"/>
      <name val="Cambria"/>
      <family val="1"/>
    </font>
    <font>
      <b/>
      <sz val="16"/>
      <color rgb="FF1F4E78"/>
      <name val="Arial"/>
      <family val="2"/>
    </font>
    <font>
      <i/>
      <sz val="9"/>
      <color rgb="FF808080"/>
      <name val="Arial"/>
      <family val="2"/>
    </font>
    <font>
      <b/>
      <i/>
      <sz val="10"/>
      <color rgb="FF808080"/>
      <name val="Arial"/>
      <family val="2"/>
    </font>
    <font>
      <b/>
      <sz val="13"/>
      <color rgb="FF1F4E78"/>
      <name val="Arial"/>
      <family val="2"/>
    </font>
    <font>
      <sz val="10"/>
      <name val="Arial"/>
      <family val="2"/>
      <charset val="1"/>
    </font>
    <font>
      <sz val="10"/>
      <color theme="0" tint="-0.14999847407452621"/>
      <name val="Arial"/>
      <family val="2"/>
      <charset val="1"/>
    </font>
    <font>
      <sz val="10"/>
      <color theme="0" tint="-0.499984740745262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1F4E78"/>
      <name val="Cambria"/>
      <family val="1"/>
    </font>
    <font>
      <b/>
      <sz val="11"/>
      <name val="Cambria"/>
      <family val="1"/>
    </font>
    <font>
      <sz val="16"/>
      <name val="Arial"/>
      <family val="2"/>
      <charset val="1"/>
    </font>
    <font>
      <sz val="10"/>
      <name val="Cambria"/>
      <family val="1"/>
    </font>
    <font>
      <b/>
      <sz val="10"/>
      <name val="Cambria"/>
      <family val="1"/>
    </font>
    <font>
      <i/>
      <sz val="10"/>
      <name val="Arial"/>
      <family val="2"/>
      <charset val="1"/>
    </font>
    <font>
      <b/>
      <sz val="13"/>
      <name val="Cambria"/>
      <family val="1"/>
    </font>
    <font>
      <b/>
      <sz val="10"/>
      <color theme="1"/>
      <name val="Arial"/>
      <family val="2"/>
      <charset val="1"/>
    </font>
    <font>
      <b/>
      <sz val="14"/>
      <color rgb="FF1F4E78"/>
      <name val="Cambria"/>
      <family val="1"/>
    </font>
    <font>
      <i/>
      <sz val="10"/>
      <color rgb="FF595959"/>
      <name val="Cambria"/>
      <family val="1"/>
    </font>
    <font>
      <b/>
      <sz val="10"/>
      <color rgb="FF000000"/>
      <name val="Cambria"/>
      <family val="1"/>
    </font>
    <font>
      <i/>
      <sz val="9"/>
      <color rgb="FF1F4E78"/>
      <name val="Cambria"/>
      <family val="1"/>
    </font>
    <font>
      <b/>
      <sz val="10"/>
      <color rgb="FFFFFFFF"/>
      <name val="Cambria"/>
      <family val="1"/>
    </font>
    <font>
      <i/>
      <sz val="9"/>
      <name val="Cambria"/>
      <family val="1"/>
    </font>
    <font>
      <sz val="10"/>
      <name val="Tahoma"/>
      <family val="2"/>
      <charset val="1"/>
    </font>
    <font>
      <sz val="8"/>
      <color theme="1" tint="0.24988555558946501"/>
      <name val="Calibri"/>
      <family val="2"/>
      <charset val="1"/>
    </font>
    <font>
      <b/>
      <sz val="16"/>
      <color theme="5" tint="-0.499984740745262"/>
      <name val="Cambria"/>
      <family val="2"/>
      <charset val="1"/>
    </font>
    <font>
      <sz val="10"/>
      <color theme="1" tint="0.24988555558946501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88555558946501"/>
      <name val="Calibri"/>
      <family val="2"/>
      <charset val="1"/>
    </font>
    <font>
      <sz val="10"/>
      <color rgb="FF80808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8"/>
      <color rgb="FFFFFFFF"/>
      <name val="Arial"/>
      <family val="2"/>
    </font>
    <font>
      <b/>
      <sz val="11"/>
      <name val="Arial"/>
      <family val="2"/>
    </font>
    <font>
      <i/>
      <sz val="11"/>
      <color rgb="FF666666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  <charset val="1"/>
    </font>
    <font>
      <b/>
      <sz val="16"/>
      <name val="Arial"/>
      <family val="2"/>
    </font>
    <font>
      <i/>
      <sz val="10"/>
      <color rgb="FF80808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88402966399123"/>
        <bgColor rgb="FF8EB3E3"/>
      </patternFill>
    </fill>
    <fill>
      <patternFill patternType="solid">
        <fgColor theme="8" tint="-0.249977111117893"/>
        <bgColor rgb="FF4F81BD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87182226020086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88402966399123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87182226020086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theme="8" tint="-9.9978637043366805E-2"/>
      </right>
      <top/>
      <bottom style="thick">
        <color theme="8" tint="-9.9978637043366805E-2"/>
      </bottom>
      <diagonal/>
    </border>
    <border>
      <left/>
      <right/>
      <top style="thick">
        <color theme="8" tint="-9.9978637043366805E-2"/>
      </top>
      <bottom/>
      <diagonal/>
    </border>
    <border>
      <left/>
      <right style="thick">
        <color theme="8" tint="-9.9978637043366805E-2"/>
      </right>
      <top/>
      <bottom/>
      <diagonal/>
    </border>
    <border>
      <left/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/>
      <diagonal/>
    </border>
    <border>
      <left style="thick">
        <color theme="8" tint="-9.9978637043366805E-2"/>
      </left>
      <right/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 style="thick">
        <color theme="8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2">
    <xf numFmtId="0" fontId="0" fillId="0" borderId="0"/>
    <xf numFmtId="3" fontId="2" fillId="0" borderId="0"/>
    <xf numFmtId="164" fontId="3" fillId="0" borderId="0">
      <alignment horizontal="right"/>
    </xf>
    <xf numFmtId="165" fontId="2" fillId="0" borderId="0">
      <alignment vertical="center"/>
    </xf>
    <xf numFmtId="0" fontId="4" fillId="0" borderId="1">
      <alignment vertical="center"/>
    </xf>
    <xf numFmtId="0" fontId="5" fillId="0" borderId="2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10" fontId="2" fillId="0" borderId="0"/>
    <xf numFmtId="0" fontId="7" fillId="2" borderId="3">
      <alignment vertical="center"/>
    </xf>
  </cellStyleXfs>
  <cellXfs count="313">
    <xf numFmtId="0" fontId="0" fillId="0" borderId="0" xfId="0"/>
    <xf numFmtId="0" fontId="20" fillId="21" borderId="0" xfId="0" applyFont="1" applyFill="1" applyAlignment="1">
      <alignment horizontal="center" vertical="center"/>
    </xf>
    <xf numFmtId="0" fontId="32" fillId="21" borderId="0" xfId="0" applyFont="1" applyFill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3" fillId="4" borderId="0" xfId="0" applyFont="1" applyFill="1"/>
    <xf numFmtId="0" fontId="12" fillId="0" borderId="0" xfId="0" applyFont="1"/>
    <xf numFmtId="0" fontId="16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7" fillId="0" borderId="0" xfId="0" applyFont="1"/>
    <xf numFmtId="0" fontId="13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1" fillId="0" borderId="0" xfId="0" applyFont="1"/>
    <xf numFmtId="0" fontId="18" fillId="0" borderId="0" xfId="0" applyFont="1"/>
    <xf numFmtId="0" fontId="19" fillId="0" borderId="0" xfId="0" applyFont="1"/>
    <xf numFmtId="0" fontId="20" fillId="8" borderId="0" xfId="0" applyFont="1" applyFill="1"/>
    <xf numFmtId="0" fontId="0" fillId="8" borderId="0" xfId="0" applyFill="1"/>
    <xf numFmtId="0" fontId="21" fillId="0" borderId="0" xfId="0" applyFont="1"/>
    <xf numFmtId="166" fontId="22" fillId="0" borderId="0" xfId="0" applyNumberFormat="1" applyFont="1"/>
    <xf numFmtId="0" fontId="23" fillId="9" borderId="4" xfId="0" applyFont="1" applyFill="1" applyBorder="1" applyAlignment="1">
      <alignment horizontal="center" vertical="center" wrapText="1"/>
    </xf>
    <xf numFmtId="0" fontId="20" fillId="0" borderId="0" xfId="0" applyFont="1"/>
    <xf numFmtId="166" fontId="24" fillId="0" borderId="0" xfId="0" applyNumberFormat="1" applyFont="1"/>
    <xf numFmtId="166" fontId="0" fillId="0" borderId="0" xfId="0" applyNumberFormat="1"/>
    <xf numFmtId="167" fontId="24" fillId="0" borderId="0" xfId="0" applyNumberFormat="1" applyFont="1"/>
    <xf numFmtId="1" fontId="24" fillId="0" borderId="0" xfId="0" applyNumberFormat="1" applyFont="1"/>
    <xf numFmtId="0" fontId="25" fillId="0" borderId="0" xfId="0" applyFont="1"/>
    <xf numFmtId="0" fontId="26" fillId="0" borderId="0" xfId="0" applyFont="1"/>
    <xf numFmtId="164" fontId="0" fillId="0" borderId="0" xfId="0" applyNumberFormat="1"/>
    <xf numFmtId="0" fontId="25" fillId="8" borderId="0" xfId="0" applyFont="1" applyFill="1"/>
    <xf numFmtId="168" fontId="27" fillId="0" borderId="0" xfId="0" applyNumberFormat="1" applyFont="1"/>
    <xf numFmtId="0" fontId="28" fillId="0" borderId="0" xfId="0" applyFont="1"/>
    <xf numFmtId="167" fontId="27" fillId="0" borderId="0" xfId="0" applyNumberFormat="1" applyFont="1"/>
    <xf numFmtId="166" fontId="27" fillId="0" borderId="0" xfId="0" applyNumberFormat="1" applyFont="1"/>
    <xf numFmtId="9" fontId="27" fillId="0" borderId="0" xfId="0" applyNumberFormat="1" applyFont="1"/>
    <xf numFmtId="0" fontId="29" fillId="0" borderId="0" xfId="0" applyFont="1"/>
    <xf numFmtId="1" fontId="0" fillId="7" borderId="4" xfId="0" applyNumberFormat="1" applyFill="1" applyBorder="1" applyAlignment="1">
      <alignment horizontal="right"/>
    </xf>
    <xf numFmtId="166" fontId="0" fillId="7" borderId="4" xfId="0" applyNumberFormat="1" applyFill="1" applyBorder="1" applyAlignment="1">
      <alignment horizontal="right"/>
    </xf>
    <xf numFmtId="167" fontId="0" fillId="7" borderId="4" xfId="0" applyNumberFormat="1" applyFill="1" applyBorder="1" applyAlignment="1">
      <alignment horizontal="right"/>
    </xf>
    <xf numFmtId="2" fontId="0" fillId="7" borderId="4" xfId="0" applyNumberFormat="1" applyFill="1" applyBorder="1" applyAlignment="1">
      <alignment horizontal="right"/>
    </xf>
    <xf numFmtId="0" fontId="30" fillId="0" borderId="0" xfId="0" applyFont="1"/>
    <xf numFmtId="166" fontId="0" fillId="7" borderId="0" xfId="0" applyNumberFormat="1" applyFill="1"/>
    <xf numFmtId="167" fontId="0" fillId="7" borderId="0" xfId="0" applyNumberFormat="1" applyFill="1"/>
    <xf numFmtId="1" fontId="0" fillId="7" borderId="0" xfId="0" applyNumberFormat="1" applyFill="1"/>
    <xf numFmtId="0" fontId="31" fillId="0" borderId="0" xfId="0" applyFont="1"/>
    <xf numFmtId="0" fontId="0" fillId="0" borderId="5" xfId="0" applyBorder="1"/>
    <xf numFmtId="169" fontId="0" fillId="0" borderId="0" xfId="0" applyNumberFormat="1"/>
    <xf numFmtId="0" fontId="33" fillId="0" borderId="0" xfId="0" applyFont="1"/>
    <xf numFmtId="166" fontId="33" fillId="7" borderId="4" xfId="0" applyNumberFormat="1" applyFont="1" applyFill="1" applyBorder="1"/>
    <xf numFmtId="166" fontId="0" fillId="7" borderId="4" xfId="0" applyNumberFormat="1" applyFill="1" applyBorder="1"/>
    <xf numFmtId="0" fontId="34" fillId="0" borderId="0" xfId="0" applyFont="1"/>
    <xf numFmtId="166" fontId="35" fillId="7" borderId="4" xfId="0" applyNumberFormat="1" applyFont="1" applyFill="1" applyBorder="1"/>
    <xf numFmtId="166" fontId="34" fillId="7" borderId="4" xfId="0" applyNumberFormat="1" applyFont="1" applyFill="1" applyBorder="1"/>
    <xf numFmtId="0" fontId="36" fillId="0" borderId="0" xfId="0" applyFont="1"/>
    <xf numFmtId="166" fontId="36" fillId="0" borderId="0" xfId="0" applyNumberFormat="1" applyFont="1"/>
    <xf numFmtId="0" fontId="37" fillId="0" borderId="0" xfId="0" applyFont="1"/>
    <xf numFmtId="166" fontId="37" fillId="7" borderId="4" xfId="0" applyNumberFormat="1" applyFont="1" applyFill="1" applyBorder="1"/>
    <xf numFmtId="0" fontId="38" fillId="0" borderId="0" xfId="0" applyFont="1"/>
    <xf numFmtId="169" fontId="38" fillId="0" borderId="0" xfId="0" applyNumberFormat="1" applyFont="1"/>
    <xf numFmtId="169" fontId="0" fillId="10" borderId="0" xfId="0" applyNumberFormat="1" applyFill="1"/>
    <xf numFmtId="0" fontId="35" fillId="11" borderId="0" xfId="0" applyFont="1" applyFill="1" applyAlignment="1">
      <alignment wrapText="1"/>
    </xf>
    <xf numFmtId="166" fontId="0" fillId="11" borderId="0" xfId="0" applyNumberFormat="1" applyFill="1"/>
    <xf numFmtId="0" fontId="0" fillId="10" borderId="0" xfId="0" applyFill="1" applyAlignment="1">
      <alignment wrapText="1"/>
    </xf>
    <xf numFmtId="166" fontId="0" fillId="0" borderId="4" xfId="0" applyNumberFormat="1" applyBorder="1"/>
    <xf numFmtId="170" fontId="0" fillId="0" borderId="0" xfId="0" applyNumberFormat="1"/>
    <xf numFmtId="0" fontId="33" fillId="10" borderId="0" xfId="0" applyFont="1" applyFill="1" applyAlignment="1">
      <alignment wrapText="1"/>
    </xf>
    <xf numFmtId="0" fontId="35" fillId="10" borderId="0" xfId="0" applyFont="1" applyFill="1" applyAlignment="1">
      <alignment wrapText="1"/>
    </xf>
    <xf numFmtId="0" fontId="38" fillId="0" borderId="0" xfId="0" applyFont="1" applyAlignment="1">
      <alignment wrapText="1"/>
    </xf>
    <xf numFmtId="166" fontId="38" fillId="0" borderId="0" xfId="0" applyNumberFormat="1" applyFont="1"/>
    <xf numFmtId="0" fontId="33" fillId="11" borderId="0" xfId="0" applyFont="1" applyFill="1" applyAlignment="1">
      <alignment wrapText="1"/>
    </xf>
    <xf numFmtId="169" fontId="39" fillId="0" borderId="0" xfId="0" applyNumberFormat="1" applyFont="1"/>
    <xf numFmtId="0" fontId="40" fillId="0" borderId="0" xfId="0" applyFont="1"/>
    <xf numFmtId="169" fontId="35" fillId="7" borderId="0" xfId="0" applyNumberFormat="1" applyFont="1" applyFill="1"/>
    <xf numFmtId="0" fontId="41" fillId="9" borderId="4" xfId="0" applyFont="1" applyFill="1" applyBorder="1" applyAlignment="1">
      <alignment horizontal="center" vertical="center" wrapText="1"/>
    </xf>
    <xf numFmtId="0" fontId="0" fillId="10" borderId="0" xfId="0" applyFill="1"/>
    <xf numFmtId="0" fontId="42" fillId="12" borderId="4" xfId="0" applyFont="1" applyFill="1" applyBorder="1"/>
    <xf numFmtId="166" fontId="43" fillId="12" borderId="4" xfId="0" applyNumberFormat="1" applyFont="1" applyFill="1" applyBorder="1"/>
    <xf numFmtId="167" fontId="0" fillId="0" borderId="4" xfId="0" applyNumberFormat="1" applyBorder="1"/>
    <xf numFmtId="0" fontId="36" fillId="10" borderId="0" xfId="0" applyFont="1" applyFill="1"/>
    <xf numFmtId="166" fontId="36" fillId="10" borderId="0" xfId="0" applyNumberFormat="1" applyFont="1" applyFill="1"/>
    <xf numFmtId="0" fontId="42" fillId="13" borderId="4" xfId="0" applyFont="1" applyFill="1" applyBorder="1"/>
    <xf numFmtId="166" fontId="43" fillId="13" borderId="4" xfId="0" applyNumberFormat="1" applyFont="1" applyFill="1" applyBorder="1"/>
    <xf numFmtId="0" fontId="42" fillId="14" borderId="4" xfId="0" applyFont="1" applyFill="1" applyBorder="1"/>
    <xf numFmtId="166" fontId="43" fillId="14" borderId="4" xfId="0" applyNumberFormat="1" applyFont="1" applyFill="1" applyBorder="1"/>
    <xf numFmtId="167" fontId="0" fillId="15" borderId="4" xfId="0" applyNumberFormat="1" applyFill="1" applyBorder="1"/>
    <xf numFmtId="169" fontId="0" fillId="16" borderId="0" xfId="0" applyNumberFormat="1" applyFill="1"/>
    <xf numFmtId="0" fontId="33" fillId="16" borderId="0" xfId="0" applyFont="1" applyFill="1"/>
    <xf numFmtId="0" fontId="33" fillId="16" borderId="0" xfId="0" applyFont="1" applyFill="1" applyAlignment="1">
      <alignment wrapText="1"/>
    </xf>
    <xf numFmtId="166" fontId="0" fillId="16" borderId="0" xfId="0" applyNumberFormat="1" applyFill="1" applyAlignment="1">
      <alignment vertical="center"/>
    </xf>
    <xf numFmtId="10" fontId="0" fillId="0" borderId="0" xfId="0" applyNumberFormat="1"/>
    <xf numFmtId="166" fontId="0" fillId="16" borderId="0" xfId="0" applyNumberFormat="1" applyFill="1"/>
    <xf numFmtId="0" fontId="42" fillId="17" borderId="4" xfId="0" applyFont="1" applyFill="1" applyBorder="1"/>
    <xf numFmtId="166" fontId="43" fillId="17" borderId="4" xfId="0" applyNumberFormat="1" applyFont="1" applyFill="1" applyBorder="1"/>
    <xf numFmtId="0" fontId="42" fillId="15" borderId="4" xfId="0" applyFont="1" applyFill="1" applyBorder="1"/>
    <xf numFmtId="166" fontId="43" fillId="15" borderId="4" xfId="0" applyNumberFormat="1" applyFont="1" applyFill="1" applyBorder="1"/>
    <xf numFmtId="0" fontId="36" fillId="16" borderId="0" xfId="0" applyFont="1" applyFill="1"/>
    <xf numFmtId="166" fontId="36" fillId="16" borderId="0" xfId="0" applyNumberFormat="1" applyFont="1" applyFill="1"/>
    <xf numFmtId="0" fontId="42" fillId="18" borderId="4" xfId="0" applyFont="1" applyFill="1" applyBorder="1"/>
    <xf numFmtId="166" fontId="43" fillId="18" borderId="4" xfId="0" applyNumberFormat="1" applyFont="1" applyFill="1" applyBorder="1"/>
    <xf numFmtId="0" fontId="42" fillId="0" borderId="4" xfId="0" applyFont="1" applyBorder="1"/>
    <xf numFmtId="166" fontId="42" fillId="0" borderId="4" xfId="0" applyNumberFormat="1" applyFont="1" applyBorder="1"/>
    <xf numFmtId="171" fontId="0" fillId="0" borderId="0" xfId="0" applyNumberFormat="1"/>
    <xf numFmtId="0" fontId="0" fillId="16" borderId="0" xfId="0" applyFill="1" applyAlignment="1">
      <alignment wrapText="1"/>
    </xf>
    <xf numFmtId="0" fontId="42" fillId="0" borderId="0" xfId="0" applyFont="1"/>
    <xf numFmtId="166" fontId="43" fillId="0" borderId="0" xfId="0" applyNumberFormat="1" applyFont="1"/>
    <xf numFmtId="167" fontId="0" fillId="0" borderId="0" xfId="0" applyNumberFormat="1"/>
    <xf numFmtId="0" fontId="41" fillId="0" borderId="0" xfId="0" applyFont="1"/>
    <xf numFmtId="166" fontId="44" fillId="0" borderId="0" xfId="0" applyNumberFormat="1" applyFont="1"/>
    <xf numFmtId="167" fontId="41" fillId="0" borderId="0" xfId="0" applyNumberFormat="1" applyFont="1"/>
    <xf numFmtId="169" fontId="42" fillId="0" borderId="0" xfId="0" applyNumberFormat="1" applyFont="1"/>
    <xf numFmtId="166" fontId="38" fillId="15" borderId="0" xfId="0" applyNumberFormat="1" applyFont="1" applyFill="1"/>
    <xf numFmtId="0" fontId="0" fillId="15" borderId="0" xfId="0" applyFill="1"/>
    <xf numFmtId="0" fontId="36" fillId="15" borderId="0" xfId="0" applyFont="1" applyFill="1"/>
    <xf numFmtId="166" fontId="36" fillId="15" borderId="0" xfId="0" applyNumberFormat="1" applyFont="1" applyFill="1"/>
    <xf numFmtId="0" fontId="45" fillId="0" borderId="0" xfId="0" applyFont="1"/>
    <xf numFmtId="166" fontId="45" fillId="7" borderId="4" xfId="0" applyNumberFormat="1" applyFont="1" applyFill="1" applyBorder="1"/>
    <xf numFmtId="169" fontId="45" fillId="0" borderId="0" xfId="0" applyNumberFormat="1" applyFont="1"/>
    <xf numFmtId="0" fontId="46" fillId="0" borderId="0" xfId="0" applyFont="1"/>
    <xf numFmtId="166" fontId="46" fillId="19" borderId="0" xfId="0" applyNumberFormat="1" applyFont="1" applyFill="1"/>
    <xf numFmtId="171" fontId="46" fillId="19" borderId="0" xfId="0" applyNumberFormat="1" applyFont="1" applyFill="1"/>
    <xf numFmtId="0" fontId="47" fillId="0" borderId="0" xfId="0" applyFont="1"/>
    <xf numFmtId="166" fontId="36" fillId="20" borderId="0" xfId="0" applyNumberFormat="1" applyFont="1" applyFill="1"/>
    <xf numFmtId="171" fontId="36" fillId="0" borderId="0" xfId="0" applyNumberFormat="1" applyFont="1"/>
    <xf numFmtId="166" fontId="41" fillId="0" borderId="0" xfId="0" applyNumberFormat="1" applyFont="1"/>
    <xf numFmtId="172" fontId="0" fillId="7" borderId="0" xfId="0" applyNumberFormat="1" applyFill="1"/>
    <xf numFmtId="173" fontId="0" fillId="7" borderId="4" xfId="0" applyNumberFormat="1" applyFill="1" applyBorder="1"/>
    <xf numFmtId="0" fontId="0" fillId="0" borderId="4" xfId="0" applyBorder="1"/>
    <xf numFmtId="173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/>
    <xf numFmtId="0" fontId="48" fillId="0" borderId="0" xfId="0" applyFont="1"/>
    <xf numFmtId="0" fontId="49" fillId="0" borderId="0" xfId="0" applyFont="1"/>
    <xf numFmtId="166" fontId="50" fillId="0" borderId="0" xfId="0" applyNumberFormat="1" applyFont="1"/>
    <xf numFmtId="0" fontId="51" fillId="0" borderId="0" xfId="0" applyFont="1"/>
    <xf numFmtId="173" fontId="10" fillId="0" borderId="0" xfId="0" applyNumberFormat="1" applyFont="1"/>
    <xf numFmtId="166" fontId="10" fillId="0" borderId="0" xfId="0" applyNumberFormat="1" applyFont="1"/>
    <xf numFmtId="164" fontId="10" fillId="0" borderId="0" xfId="0" applyNumberFormat="1" applyFont="1"/>
    <xf numFmtId="1" fontId="50" fillId="0" borderId="0" xfId="0" applyNumberFormat="1" applyFont="1"/>
    <xf numFmtId="0" fontId="52" fillId="9" borderId="4" xfId="0" applyFont="1" applyFill="1" applyBorder="1" applyAlignment="1">
      <alignment horizontal="center" vertical="center" wrapText="1"/>
    </xf>
    <xf numFmtId="164" fontId="52" fillId="9" borderId="4" xfId="0" applyNumberFormat="1" applyFont="1" applyFill="1" applyBorder="1" applyAlignment="1">
      <alignment horizontal="center" vertical="center" wrapText="1"/>
    </xf>
    <xf numFmtId="166" fontId="52" fillId="9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7" borderId="4" xfId="0" applyFont="1" applyFill="1" applyBorder="1" applyAlignment="1">
      <alignment horizontal="center" vertical="center"/>
    </xf>
    <xf numFmtId="173" fontId="10" fillId="0" borderId="4" xfId="0" applyNumberFormat="1" applyFont="1" applyBorder="1"/>
    <xf numFmtId="1" fontId="10" fillId="7" borderId="4" xfId="0" applyNumberFormat="1" applyFont="1" applyFill="1" applyBorder="1" applyAlignment="1">
      <alignment horizontal="right"/>
    </xf>
    <xf numFmtId="166" fontId="10" fillId="7" borderId="4" xfId="0" applyNumberFormat="1" applyFont="1" applyFill="1" applyBorder="1" applyAlignment="1">
      <alignment horizontal="right"/>
    </xf>
    <xf numFmtId="164" fontId="10" fillId="7" borderId="4" xfId="0" applyNumberFormat="1" applyFont="1" applyFill="1" applyBorder="1" applyAlignment="1">
      <alignment horizontal="right"/>
    </xf>
    <xf numFmtId="0" fontId="10" fillId="7" borderId="4" xfId="0" applyFont="1" applyFill="1" applyBorder="1"/>
    <xf numFmtId="164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vertical="top" wrapText="1"/>
    </xf>
    <xf numFmtId="166" fontId="10" fillId="0" borderId="4" xfId="0" applyNumberFormat="1" applyFont="1" applyBorder="1"/>
    <xf numFmtId="166" fontId="10" fillId="7" borderId="4" xfId="0" applyNumberFormat="1" applyFont="1" applyFill="1" applyBorder="1" applyAlignment="1">
      <alignment horizontal="center" vertical="center"/>
    </xf>
    <xf numFmtId="174" fontId="10" fillId="0" borderId="0" xfId="0" applyNumberFormat="1" applyFont="1"/>
    <xf numFmtId="174" fontId="25" fillId="8" borderId="0" xfId="0" applyNumberFormat="1" applyFont="1" applyFill="1"/>
    <xf numFmtId="166" fontId="26" fillId="7" borderId="0" xfId="0" applyNumberFormat="1" applyFont="1" applyFill="1"/>
    <xf numFmtId="173" fontId="26" fillId="7" borderId="0" xfId="0" applyNumberFormat="1" applyFont="1" applyFill="1"/>
    <xf numFmtId="167" fontId="26" fillId="7" borderId="0" xfId="0" applyNumberFormat="1" applyFont="1" applyFill="1"/>
    <xf numFmtId="167" fontId="26" fillId="0" borderId="0" xfId="0" applyNumberFormat="1" applyFont="1"/>
    <xf numFmtId="166" fontId="26" fillId="0" borderId="0" xfId="0" applyNumberFormat="1" applyFont="1"/>
    <xf numFmtId="1" fontId="26" fillId="0" borderId="0" xfId="0" applyNumberFormat="1" applyFont="1"/>
    <xf numFmtId="173" fontId="26" fillId="0" borderId="0" xfId="0" applyNumberFormat="1" applyFont="1"/>
    <xf numFmtId="174" fontId="51" fillId="0" borderId="0" xfId="0" applyNumberFormat="1" applyFont="1"/>
    <xf numFmtId="168" fontId="26" fillId="0" borderId="0" xfId="0" applyNumberFormat="1" applyFont="1"/>
    <xf numFmtId="0" fontId="52" fillId="9" borderId="4" xfId="0" applyFont="1" applyFill="1" applyBorder="1" applyAlignment="1">
      <alignment horizontal="center"/>
    </xf>
    <xf numFmtId="0" fontId="26" fillId="0" borderId="4" xfId="0" applyFont="1" applyBorder="1"/>
    <xf numFmtId="166" fontId="10" fillId="7" borderId="4" xfId="0" applyNumberFormat="1" applyFont="1" applyFill="1" applyBorder="1"/>
    <xf numFmtId="0" fontId="50" fillId="0" borderId="0" xfId="0" applyFont="1"/>
    <xf numFmtId="166" fontId="50" fillId="0" borderId="4" xfId="0" applyNumberFormat="1" applyFont="1" applyBorder="1"/>
    <xf numFmtId="0" fontId="53" fillId="0" borderId="0" xfId="0" applyFont="1"/>
    <xf numFmtId="0" fontId="2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0" fontId="2" fillId="18" borderId="0" xfId="0" applyFont="1" applyFill="1" applyAlignment="1">
      <alignment vertical="center"/>
    </xf>
    <xf numFmtId="0" fontId="54" fillId="18" borderId="0" xfId="0" applyFont="1" applyFill="1" applyAlignment="1">
      <alignment horizontal="center"/>
    </xf>
    <xf numFmtId="0" fontId="55" fillId="1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56" fillId="18" borderId="0" xfId="0" applyFont="1" applyFill="1" applyAlignment="1">
      <alignment horizontal="center" vertical="center"/>
    </xf>
    <xf numFmtId="0" fontId="56" fillId="18" borderId="0" xfId="0" applyFont="1" applyFill="1" applyAlignment="1">
      <alignment vertical="center"/>
    </xf>
    <xf numFmtId="0" fontId="57" fillId="18" borderId="0" xfId="0" applyFont="1" applyFill="1" applyAlignment="1">
      <alignment vertical="center"/>
    </xf>
    <xf numFmtId="0" fontId="57" fillId="18" borderId="6" xfId="0" applyFont="1" applyFill="1" applyBorder="1" applyAlignment="1">
      <alignment horizontal="right" vertical="center" indent="1"/>
    </xf>
    <xf numFmtId="166" fontId="58" fillId="7" borderId="4" xfId="0" applyNumberFormat="1" applyFont="1" applyFill="1" applyBorder="1" applyAlignment="1">
      <alignment horizontal="left" vertical="center" indent="1"/>
    </xf>
    <xf numFmtId="1" fontId="2" fillId="0" borderId="4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vertical="center"/>
    </xf>
    <xf numFmtId="0" fontId="57" fillId="18" borderId="7" xfId="0" applyFont="1" applyFill="1" applyBorder="1" applyAlignment="1">
      <alignment vertical="center"/>
    </xf>
    <xf numFmtId="0" fontId="57" fillId="18" borderId="8" xfId="0" applyFont="1" applyFill="1" applyBorder="1" applyAlignment="1">
      <alignment horizontal="right" vertical="center" indent="1"/>
    </xf>
    <xf numFmtId="167" fontId="58" fillId="7" borderId="4" xfId="0" applyNumberFormat="1" applyFont="1" applyFill="1" applyBorder="1" applyAlignment="1">
      <alignment horizontal="left" vertical="center" indent="1"/>
    </xf>
    <xf numFmtId="0" fontId="57" fillId="18" borderId="9" xfId="0" applyFont="1" applyFill="1" applyBorder="1" applyAlignment="1">
      <alignment vertical="center"/>
    </xf>
    <xf numFmtId="0" fontId="57" fillId="18" borderId="10" xfId="0" applyFont="1" applyFill="1" applyBorder="1" applyAlignment="1">
      <alignment horizontal="right" vertical="center" indent="1"/>
    </xf>
    <xf numFmtId="1" fontId="58" fillId="7" borderId="4" xfId="0" applyNumberFormat="1" applyFont="1" applyFill="1" applyBorder="1" applyAlignment="1">
      <alignment horizontal="left" vertical="center" indent="1"/>
    </xf>
    <xf numFmtId="0" fontId="57" fillId="18" borderId="0" xfId="0" applyFont="1" applyFill="1" applyAlignment="1">
      <alignment horizontal="right" vertical="center" indent="1"/>
    </xf>
    <xf numFmtId="173" fontId="58" fillId="7" borderId="4" xfId="0" applyNumberFormat="1" applyFont="1" applyFill="1" applyBorder="1" applyAlignment="1">
      <alignment horizontal="left" vertical="center" indent="1"/>
    </xf>
    <xf numFmtId="0" fontId="2" fillId="18" borderId="0" xfId="0" applyFont="1" applyFill="1" applyAlignment="1">
      <alignment horizontal="center" vertical="center"/>
    </xf>
    <xf numFmtId="166" fontId="59" fillId="18" borderId="11" xfId="0" applyNumberFormat="1" applyFont="1" applyFill="1" applyBorder="1" applyAlignment="1">
      <alignment horizontal="left" vertical="center" indent="1"/>
    </xf>
    <xf numFmtId="0" fontId="57" fillId="18" borderId="12" xfId="0" applyFont="1" applyFill="1" applyBorder="1" applyAlignment="1">
      <alignment horizontal="right" vertical="center" indent="1"/>
    </xf>
    <xf numFmtId="1" fontId="59" fillId="18" borderId="13" xfId="0" applyNumberFormat="1" applyFont="1" applyFill="1" applyBorder="1" applyAlignment="1">
      <alignment horizontal="left" vertical="center" indent="1"/>
    </xf>
    <xf numFmtId="166" fontId="59" fillId="18" borderId="14" xfId="0" applyNumberFormat="1" applyFont="1" applyFill="1" applyBorder="1" applyAlignment="1">
      <alignment horizontal="left" vertical="center" indent="1"/>
    </xf>
    <xf numFmtId="0" fontId="50" fillId="18" borderId="0" xfId="0" applyFont="1" applyFill="1" applyAlignment="1">
      <alignment vertical="center"/>
    </xf>
    <xf numFmtId="166" fontId="50" fillId="22" borderId="0" xfId="0" applyNumberFormat="1" applyFont="1" applyFill="1" applyAlignment="1">
      <alignment vertical="center"/>
    </xf>
    <xf numFmtId="3" fontId="60" fillId="0" borderId="0" xfId="0" applyNumberFormat="1" applyFont="1" applyAlignment="1">
      <alignment horizontal="center" vertical="center"/>
    </xf>
    <xf numFmtId="173" fontId="60" fillId="0" borderId="0" xfId="0" applyNumberFormat="1" applyFont="1" applyAlignment="1">
      <alignment horizontal="center" vertical="center"/>
    </xf>
    <xf numFmtId="166" fontId="60" fillId="0" borderId="0" xfId="0" applyNumberFormat="1" applyFont="1" applyAlignment="1">
      <alignment horizontal="center" vertical="center"/>
    </xf>
    <xf numFmtId="1" fontId="0" fillId="0" borderId="4" xfId="0" applyNumberFormat="1" applyBorder="1"/>
    <xf numFmtId="164" fontId="2" fillId="0" borderId="0" xfId="0" applyNumberFormat="1" applyFont="1" applyAlignment="1">
      <alignment vertical="center"/>
    </xf>
    <xf numFmtId="0" fontId="2" fillId="15" borderId="0" xfId="0" applyFont="1" applyFill="1" applyAlignment="1">
      <alignment vertical="center"/>
    </xf>
    <xf numFmtId="3" fontId="60" fillId="15" borderId="0" xfId="0" applyNumberFormat="1" applyFont="1" applyFill="1" applyAlignment="1">
      <alignment horizontal="center" vertical="center"/>
    </xf>
    <xf numFmtId="173" fontId="60" fillId="15" borderId="0" xfId="0" applyNumberFormat="1" applyFont="1" applyFill="1" applyAlignment="1">
      <alignment horizontal="center" vertical="center"/>
    </xf>
    <xf numFmtId="166" fontId="60" fillId="15" borderId="0" xfId="0" applyNumberFormat="1" applyFont="1" applyFill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164" fontId="60" fillId="0" borderId="0" xfId="0" applyNumberFormat="1" applyFont="1" applyAlignment="1">
      <alignment horizontal="center" vertical="center"/>
    </xf>
    <xf numFmtId="0" fontId="61" fillId="0" borderId="0" xfId="0" applyFont="1" applyAlignment="1">
      <alignment wrapText="1"/>
    </xf>
    <xf numFmtId="171" fontId="26" fillId="0" borderId="0" xfId="0" applyNumberFormat="1" applyFont="1"/>
    <xf numFmtId="17" fontId="13" fillId="9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25" fillId="23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25" fillId="2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3" fillId="0" borderId="15" xfId="0" applyNumberFormat="1" applyFont="1" applyBorder="1" applyAlignment="1">
      <alignment horizontal="right"/>
    </xf>
    <xf numFmtId="166" fontId="0" fillId="0" borderId="15" xfId="0" applyNumberFormat="1" applyBorder="1"/>
    <xf numFmtId="166" fontId="33" fillId="7" borderId="15" xfId="0" applyNumberFormat="1" applyFont="1" applyFill="1" applyBorder="1" applyAlignment="1">
      <alignment horizontal="center"/>
    </xf>
    <xf numFmtId="166" fontId="33" fillId="25" borderId="15" xfId="0" applyNumberFormat="1" applyFont="1" applyFill="1" applyBorder="1" applyAlignment="1">
      <alignment horizontal="center"/>
    </xf>
    <xf numFmtId="166" fontId="33" fillId="0" borderId="15" xfId="0" applyNumberFormat="1" applyFont="1" applyBorder="1" applyAlignment="1">
      <alignment horizontal="center"/>
    </xf>
    <xf numFmtId="1" fontId="0" fillId="26" borderId="15" xfId="0" applyNumberFormat="1" applyFill="1" applyBorder="1"/>
    <xf numFmtId="166" fontId="0" fillId="26" borderId="15" xfId="0" applyNumberFormat="1" applyFill="1" applyBorder="1"/>
    <xf numFmtId="166" fontId="0" fillId="7" borderId="15" xfId="0" applyNumberFormat="1" applyFill="1" applyBorder="1"/>
    <xf numFmtId="166" fontId="33" fillId="26" borderId="15" xfId="0" applyNumberFormat="1" applyFont="1" applyFill="1" applyBorder="1" applyAlignment="1">
      <alignment horizontal="center"/>
    </xf>
    <xf numFmtId="1" fontId="0" fillId="0" borderId="15" xfId="0" applyNumberFormat="1" applyBorder="1"/>
    <xf numFmtId="166" fontId="0" fillId="25" borderId="15" xfId="0" applyNumberFormat="1" applyFill="1" applyBorder="1"/>
    <xf numFmtId="1" fontId="0" fillId="27" borderId="15" xfId="0" applyNumberFormat="1" applyFill="1" applyBorder="1"/>
    <xf numFmtId="166" fontId="0" fillId="27" borderId="15" xfId="0" applyNumberFormat="1" applyFill="1" applyBorder="1"/>
    <xf numFmtId="166" fontId="33" fillId="10" borderId="15" xfId="0" applyNumberFormat="1" applyFont="1" applyFill="1" applyBorder="1" applyAlignment="1">
      <alignment horizontal="center"/>
    </xf>
    <xf numFmtId="0" fontId="0" fillId="27" borderId="0" xfId="0" applyFill="1"/>
    <xf numFmtId="1" fontId="0" fillId="10" borderId="15" xfId="0" applyNumberFormat="1" applyFill="1" applyBorder="1"/>
    <xf numFmtId="166" fontId="0" fillId="10" borderId="15" xfId="0" applyNumberFormat="1" applyFill="1" applyBorder="1"/>
    <xf numFmtId="0" fontId="0" fillId="26" borderId="0" xfId="0" applyFill="1"/>
    <xf numFmtId="175" fontId="0" fillId="0" borderId="0" xfId="0" applyNumberFormat="1"/>
    <xf numFmtId="0" fontId="0" fillId="7" borderId="0" xfId="0" applyFill="1"/>
    <xf numFmtId="0" fontId="62" fillId="0" borderId="0" xfId="0" applyFont="1"/>
    <xf numFmtId="176" fontId="63" fillId="7" borderId="15" xfId="0" applyNumberFormat="1" applyFont="1" applyFill="1" applyBorder="1"/>
    <xf numFmtId="0" fontId="63" fillId="7" borderId="15" xfId="0" applyFont="1" applyFill="1" applyBorder="1"/>
    <xf numFmtId="177" fontId="63" fillId="7" borderId="15" xfId="0" applyNumberFormat="1" applyFont="1" applyFill="1" applyBorder="1"/>
    <xf numFmtId="4" fontId="63" fillId="7" borderId="15" xfId="0" applyNumberFormat="1" applyFont="1" applyFill="1" applyBorder="1"/>
    <xf numFmtId="178" fontId="63" fillId="7" borderId="15" xfId="0" applyNumberFormat="1" applyFont="1" applyFill="1" applyBorder="1"/>
    <xf numFmtId="176" fontId="64" fillId="0" borderId="15" xfId="0" applyNumberFormat="1" applyFont="1" applyBorder="1"/>
    <xf numFmtId="179" fontId="64" fillId="0" borderId="15" xfId="0" applyNumberFormat="1" applyFont="1" applyBorder="1"/>
    <xf numFmtId="176" fontId="63" fillId="7" borderId="0" xfId="0" applyNumberFormat="1" applyFont="1" applyFill="1"/>
    <xf numFmtId="0" fontId="63" fillId="7" borderId="0" xfId="0" applyFont="1" applyFill="1"/>
    <xf numFmtId="177" fontId="63" fillId="7" borderId="0" xfId="0" applyNumberFormat="1" applyFont="1" applyFill="1"/>
    <xf numFmtId="4" fontId="63" fillId="7" borderId="0" xfId="0" applyNumberFormat="1" applyFont="1" applyFill="1"/>
    <xf numFmtId="178" fontId="63" fillId="7" borderId="0" xfId="0" applyNumberFormat="1" applyFont="1" applyFill="1"/>
    <xf numFmtId="177" fontId="0" fillId="7" borderId="0" xfId="0" applyNumberFormat="1" applyFill="1"/>
    <xf numFmtId="4" fontId="0" fillId="7" borderId="0" xfId="0" applyNumberFormat="1" applyFill="1"/>
    <xf numFmtId="0" fontId="65" fillId="7" borderId="15" xfId="0" applyFont="1" applyFill="1" applyBorder="1"/>
    <xf numFmtId="0" fontId="63" fillId="0" borderId="15" xfId="0" applyFont="1" applyBorder="1"/>
    <xf numFmtId="4" fontId="65" fillId="7" borderId="15" xfId="0" applyNumberFormat="1" applyFont="1" applyFill="1" applyBorder="1"/>
    <xf numFmtId="180" fontId="65" fillId="0" borderId="15" xfId="0" applyNumberFormat="1" applyFont="1" applyBorder="1"/>
    <xf numFmtId="0" fontId="66" fillId="9" borderId="0" xfId="0" applyFont="1" applyFill="1" applyAlignment="1">
      <alignment horizontal="left"/>
    </xf>
    <xf numFmtId="0" fontId="67" fillId="0" borderId="0" xfId="0" applyFont="1"/>
    <xf numFmtId="0" fontId="68" fillId="0" borderId="0" xfId="0" applyFont="1"/>
    <xf numFmtId="177" fontId="62" fillId="0" borderId="0" xfId="0" applyNumberFormat="1" applyFont="1"/>
    <xf numFmtId="181" fontId="62" fillId="0" borderId="0" xfId="0" applyNumberFormat="1" applyFont="1"/>
    <xf numFmtId="182" fontId="62" fillId="0" borderId="0" xfId="0" applyNumberFormat="1" applyFont="1"/>
    <xf numFmtId="0" fontId="23" fillId="9" borderId="16" xfId="0" applyFont="1" applyFill="1" applyBorder="1" applyAlignment="1">
      <alignment vertical="center"/>
    </xf>
    <xf numFmtId="0" fontId="23" fillId="28" borderId="16" xfId="0" applyFont="1" applyFill="1" applyBorder="1" applyAlignment="1">
      <alignment vertical="center"/>
    </xf>
    <xf numFmtId="1" fontId="23" fillId="28" borderId="16" xfId="0" applyNumberFormat="1" applyFont="1" applyFill="1" applyBorder="1" applyAlignment="1">
      <alignment vertical="center"/>
    </xf>
    <xf numFmtId="0" fontId="69" fillId="0" borderId="16" xfId="0" applyFont="1" applyBorder="1" applyAlignment="1">
      <alignment vertical="center"/>
    </xf>
    <xf numFmtId="183" fontId="69" fillId="0" borderId="16" xfId="0" applyNumberFormat="1" applyFont="1" applyBorder="1" applyAlignment="1">
      <alignment vertical="center"/>
    </xf>
    <xf numFmtId="184" fontId="69" fillId="0" borderId="16" xfId="0" applyNumberFormat="1" applyFont="1" applyBorder="1" applyAlignment="1">
      <alignment vertical="center"/>
    </xf>
    <xf numFmtId="1" fontId="69" fillId="7" borderId="16" xfId="0" applyNumberFormat="1" applyFont="1" applyFill="1" applyBorder="1" applyAlignment="1">
      <alignment vertical="center"/>
    </xf>
    <xf numFmtId="176" fontId="69" fillId="0" borderId="16" xfId="0" applyNumberFormat="1" applyFont="1" applyBorder="1" applyAlignment="1">
      <alignment vertical="center"/>
    </xf>
    <xf numFmtId="1" fontId="23" fillId="7" borderId="16" xfId="0" applyNumberFormat="1" applyFont="1" applyFill="1" applyBorder="1" applyAlignment="1">
      <alignment vertical="center"/>
    </xf>
    <xf numFmtId="0" fontId="69" fillId="24" borderId="16" xfId="0" applyFont="1" applyFill="1" applyBorder="1" applyAlignment="1">
      <alignment vertical="center"/>
    </xf>
    <xf numFmtId="176" fontId="69" fillId="24" borderId="16" xfId="0" applyNumberFormat="1" applyFont="1" applyFill="1" applyBorder="1" applyAlignment="1">
      <alignment vertical="center"/>
    </xf>
    <xf numFmtId="183" fontId="69" fillId="24" borderId="16" xfId="0" applyNumberFormat="1" applyFont="1" applyFill="1" applyBorder="1" applyAlignment="1">
      <alignment vertical="center"/>
    </xf>
    <xf numFmtId="184" fontId="69" fillId="24" borderId="16" xfId="0" applyNumberFormat="1" applyFont="1" applyFill="1" applyBorder="1" applyAlignment="1">
      <alignment vertical="center"/>
    </xf>
    <xf numFmtId="0" fontId="69" fillId="7" borderId="16" xfId="0" applyFont="1" applyFill="1" applyBorder="1" applyAlignment="1">
      <alignment vertical="center"/>
    </xf>
    <xf numFmtId="173" fontId="0" fillId="23" borderId="0" xfId="0" applyNumberFormat="1" applyFill="1"/>
    <xf numFmtId="166" fontId="0" fillId="23" borderId="0" xfId="0" applyNumberFormat="1" applyFill="1"/>
    <xf numFmtId="0" fontId="0" fillId="23" borderId="0" xfId="0" applyFill="1"/>
    <xf numFmtId="173" fontId="0" fillId="7" borderId="0" xfId="0" applyNumberFormat="1" applyFill="1"/>
    <xf numFmtId="0" fontId="70" fillId="29" borderId="15" xfId="0" applyFont="1" applyFill="1" applyBorder="1" applyAlignment="1">
      <alignment horizontal="center" vertical="center"/>
    </xf>
    <xf numFmtId="183" fontId="62" fillId="0" borderId="0" xfId="0" applyNumberFormat="1" applyFont="1"/>
    <xf numFmtId="4" fontId="62" fillId="0" borderId="0" xfId="0" applyNumberFormat="1" applyFont="1"/>
    <xf numFmtId="180" fontId="62" fillId="0" borderId="0" xfId="0" applyNumberFormat="1" applyFont="1"/>
    <xf numFmtId="184" fontId="62" fillId="0" borderId="0" xfId="0" applyNumberFormat="1" applyFont="1"/>
    <xf numFmtId="183" fontId="0" fillId="0" borderId="0" xfId="0" applyNumberFormat="1"/>
    <xf numFmtId="184" fontId="0" fillId="0" borderId="0" xfId="0" applyNumberFormat="1"/>
    <xf numFmtId="183" fontId="36" fillId="0" borderId="0" xfId="0" applyNumberFormat="1" applyFont="1"/>
    <xf numFmtId="184" fontId="36" fillId="0" borderId="0" xfId="0" applyNumberFormat="1" applyFont="1"/>
    <xf numFmtId="167" fontId="36" fillId="0" borderId="0" xfId="0" applyNumberFormat="1" applyFont="1"/>
    <xf numFmtId="0" fontId="70" fillId="9" borderId="15" xfId="0" applyFont="1" applyFill="1" applyBorder="1" applyAlignment="1">
      <alignment horizontal="center" vertical="center"/>
    </xf>
    <xf numFmtId="185" fontId="0" fillId="0" borderId="0" xfId="0" applyNumberFormat="1"/>
    <xf numFmtId="176" fontId="0" fillId="0" borderId="0" xfId="0" applyNumberFormat="1"/>
    <xf numFmtId="180" fontId="0" fillId="0" borderId="0" xfId="0" applyNumberFormat="1"/>
    <xf numFmtId="2" fontId="0" fillId="0" borderId="0" xfId="0" applyNumberFormat="1"/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 wrapText="1"/>
    </xf>
    <xf numFmtId="0" fontId="73" fillId="31" borderId="0" xfId="0" applyFont="1" applyFill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166" fontId="74" fillId="30" borderId="0" xfId="0" applyNumberFormat="1" applyFont="1" applyFill="1" applyAlignment="1">
      <alignment horizontal="right" vertical="center"/>
    </xf>
    <xf numFmtId="167" fontId="74" fillId="30" borderId="0" xfId="0" applyNumberFormat="1" applyFont="1" applyFill="1" applyAlignment="1">
      <alignment horizontal="right" vertical="center"/>
    </xf>
    <xf numFmtId="1" fontId="74" fillId="30" borderId="0" xfId="0" applyNumberFormat="1" applyFont="1" applyFill="1" applyAlignment="1">
      <alignment horizontal="right" vertical="center"/>
    </xf>
    <xf numFmtId="166" fontId="75" fillId="0" borderId="0" xfId="0" applyNumberFormat="1" applyFont="1" applyAlignment="1">
      <alignment horizontal="right" vertical="center"/>
    </xf>
    <xf numFmtId="167" fontId="75" fillId="0" borderId="0" xfId="0" applyNumberFormat="1" applyFont="1" applyAlignment="1">
      <alignment horizontal="right" vertical="center"/>
    </xf>
    <xf numFmtId="168" fontId="75" fillId="0" borderId="0" xfId="0" applyNumberFormat="1" applyFont="1" applyAlignment="1">
      <alignment horizontal="right" vertical="center"/>
    </xf>
    <xf numFmtId="0" fontId="74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</cellXfs>
  <cellStyles count="12">
    <cellStyle name="Comma 2" xfId="1" xr:uid="{00000000-0005-0000-0000-000006000000}"/>
    <cellStyle name="Currency 2" xfId="2" xr:uid="{00000000-0005-0000-0000-000007000000}"/>
    <cellStyle name="Date" xfId="3" xr:uid="{00000000-0005-0000-0000-000008000000}"/>
    <cellStyle name="Explanatory Text 2" xfId="4" xr:uid="{00000000-0005-0000-0000-000009000000}"/>
    <cellStyle name="Heading 1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Percent 2" xfId="10" xr:uid="{00000000-0005-0000-0000-00000F000000}"/>
    <cellStyle name="Title 2" xfId="11" xr:uid="{00000000-0005-0000-0000-000010000000}"/>
  </cellStyles>
  <dxfs count="15">
    <dxf>
      <fill>
        <patternFill>
          <bgColor rgb="FFFFE699"/>
        </patternFill>
      </fill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color rgb="FFFFFFFF"/>
      </font>
      <fill>
        <patternFill>
          <bgColor theme="0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718-5B4D-8C72-596B5BA2298B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18-5B4D-8C72-596B5BA2298B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718-5B4D-8C72-596B5BA2298B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718-5B4D-8C72-596B5BA2298B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718-5B4D-8C72-596B5BA2298B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718-5B4D-8C72-596B5BA229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718-5B4D-8C72-596B5BA2298B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F-F718-5B4D-8C72-596B5BA2298B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1-F718-5B4D-8C72-596B5BA2298B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3-F718-5B4D-8C72-596B5BA2298B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5-F718-5B4D-8C72-596B5BA2298B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7-F718-5B4D-8C72-596B5BA2298B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9-F718-5B4D-8C72-596B5BA2298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718-5B4D-8C72-596B5BA2298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718-5B4D-8C72-596B5BA2298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718-5B4D-8C72-596B5BA2298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718-5B4D-8C72-596B5BA2298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718-5B4D-8C72-596B5BA2298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718-5B4D-8C72-596B5BA2298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718-5B4D-8C72-596B5BA2298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F718-5B4D-8C72-596B5BA2298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718-5B4D-8C72-596B5BA2298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718-5B4D-8C72-596B5BA2298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F718-5B4D-8C72-596B5BA2298B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F718-5B4D-8C72-596B5BA2298B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F718-5B4D-8C72-596B5BA229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13252.53196468052</c:v>
                </c:pt>
                <c:pt idx="3">
                  <c:v>8149.9999999999991</c:v>
                </c:pt>
                <c:pt idx="4">
                  <c:v>39594.911132508634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244570.26412772574</c:v>
                </c:pt>
                <c:pt idx="1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18-5B4D-8C72-596B5BA2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'Net Worth History'!$A$5:$A$40</c:f>
              <c:numCache>
                <c:formatCode>dd\ mmm\ yyyy</c:formatCode>
                <c:ptCount val="36"/>
                <c:pt idx="0">
                  <c:v>45627</c:v>
                </c:pt>
                <c:pt idx="1">
                  <c:v>45717</c:v>
                </c:pt>
                <c:pt idx="2">
                  <c:v>45809</c:v>
                </c:pt>
                <c:pt idx="3">
                  <c:v>45901</c:v>
                </c:pt>
                <c:pt idx="4">
                  <c:v>45992</c:v>
                </c:pt>
                <c:pt idx="5">
                  <c:v>46082</c:v>
                </c:pt>
                <c:pt idx="6">
                  <c:v>46174</c:v>
                </c:pt>
              </c:numCache>
            </c:num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B1-284D-9F2B-62CC3070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35772"/>
        <c:axId val="81894000"/>
      </c:lineChart>
      <c:date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894000"/>
        <c:crosses val="autoZero"/>
        <c:auto val="1"/>
        <c:lblOffset val="100"/>
        <c:baseTimeUnit val="months"/>
      </c:date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3% growth</c:v>
          </c:tx>
          <c:spPr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1292764.2484416622</c:v>
                </c:pt>
                <c:pt idx="2">
                  <c:v>1361547.1758949121</c:v>
                </c:pt>
                <c:pt idx="3">
                  <c:v>1432393.5911717594</c:v>
                </c:pt>
                <c:pt idx="4">
                  <c:v>1505365.3989069122</c:v>
                </c:pt>
                <c:pt idx="5">
                  <c:v>1580526.3608741197</c:v>
                </c:pt>
                <c:pt idx="6">
                  <c:v>1657942.1517003432</c:v>
                </c:pt>
                <c:pt idx="7">
                  <c:v>1737680.4162513537</c:v>
                </c:pt>
                <c:pt idx="8">
                  <c:v>1819810.8287388943</c:v>
                </c:pt>
                <c:pt idx="9">
                  <c:v>1904405.1536010611</c:v>
                </c:pt>
                <c:pt idx="10">
                  <c:v>1991537.3082090931</c:v>
                </c:pt>
                <c:pt idx="11">
                  <c:v>2081283.4274553659</c:v>
                </c:pt>
                <c:pt idx="12">
                  <c:v>2173721.9302790267</c:v>
                </c:pt>
                <c:pt idx="13">
                  <c:v>2268933.5881873975</c:v>
                </c:pt>
                <c:pt idx="14">
                  <c:v>2367001.5958330194</c:v>
                </c:pt>
                <c:pt idx="15">
                  <c:v>2468011.6437080102</c:v>
                </c:pt>
                <c:pt idx="16">
                  <c:v>2572051.9930192507</c:v>
                </c:pt>
                <c:pt idx="17">
                  <c:v>2679213.5528098284</c:v>
                </c:pt>
                <c:pt idx="18">
                  <c:v>2789589.9593941234</c:v>
                </c:pt>
                <c:pt idx="19">
                  <c:v>2777358.6470369971</c:v>
                </c:pt>
                <c:pt idx="20">
                  <c:v>2762362.4200306837</c:v>
                </c:pt>
                <c:pt idx="21">
                  <c:v>2744458.3815537449</c:v>
                </c:pt>
                <c:pt idx="22">
                  <c:v>2723497.8491455517</c:v>
                </c:pt>
                <c:pt idx="23">
                  <c:v>2699326.1436687424</c:v>
                </c:pt>
                <c:pt idx="24">
                  <c:v>2671782.3710038494</c:v>
                </c:pt>
                <c:pt idx="25">
                  <c:v>2640699.1962346355</c:v>
                </c:pt>
                <c:pt idx="26">
                  <c:v>2605902.6100748624</c:v>
                </c:pt>
                <c:pt idx="27">
                  <c:v>2567211.6872791257</c:v>
                </c:pt>
                <c:pt idx="28">
                  <c:v>2524438.3367720675</c:v>
                </c:pt>
                <c:pt idx="29">
                  <c:v>2477387.0432216614</c:v>
                </c:pt>
                <c:pt idx="30">
                  <c:v>2425854.5997734042</c:v>
                </c:pt>
                <c:pt idx="31">
                  <c:v>2369629.8316530762</c:v>
                </c:pt>
                <c:pt idx="32">
                  <c:v>2308493.3103363002</c:v>
                </c:pt>
                <c:pt idx="33">
                  <c:v>2242217.057973362</c:v>
                </c:pt>
                <c:pt idx="34">
                  <c:v>2170564.2417477099</c:v>
                </c:pt>
                <c:pt idx="35">
                  <c:v>2093288.8578361671</c:v>
                </c:pt>
                <c:pt idx="36">
                  <c:v>2010135.4046281788</c:v>
                </c:pt>
                <c:pt idx="37">
                  <c:v>1920838.5448503739</c:v>
                </c:pt>
                <c:pt idx="38">
                  <c:v>1825122.7562313185</c:v>
                </c:pt>
                <c:pt idx="39">
                  <c:v>1722701.9703295773</c:v>
                </c:pt>
                <c:pt idx="40">
                  <c:v>1613279.1991360669</c:v>
                </c:pt>
                <c:pt idx="41">
                  <c:v>1496546.1490491664</c:v>
                </c:pt>
                <c:pt idx="42">
                  <c:v>1372182.8218081342</c:v>
                </c:pt>
                <c:pt idx="43">
                  <c:v>1239857.1019570583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0-244E-907F-4C7D1AE9E5DE}"/>
            </c:ext>
          </c:extLst>
        </c:ser>
        <c:ser>
          <c:idx val="1"/>
          <c:order val="1"/>
          <c:tx>
            <c:v>5% growth</c:v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1317283.9425861605</c:v>
                </c:pt>
                <c:pt idx="2">
                  <c:v>1413148.1397154685</c:v>
                </c:pt>
                <c:pt idx="3">
                  <c:v>1513805.546701242</c:v>
                </c:pt>
                <c:pt idx="4">
                  <c:v>1619495.8240363041</c:v>
                </c:pt>
                <c:pt idx="5">
                  <c:v>1730470.6152381194</c:v>
                </c:pt>
                <c:pt idx="6">
                  <c:v>1846994.1460000253</c:v>
                </c:pt>
                <c:pt idx="7">
                  <c:v>1969343.8533000266</c:v>
                </c:pt>
                <c:pt idx="8">
                  <c:v>2097811.045965028</c:v>
                </c:pt>
                <c:pt idx="9">
                  <c:v>2232701.5982632795</c:v>
                </c:pt>
                <c:pt idx="10">
                  <c:v>2374336.6781764436</c:v>
                </c:pt>
                <c:pt idx="11">
                  <c:v>2523053.5120852659</c:v>
                </c:pt>
                <c:pt idx="12">
                  <c:v>2679206.1876895293</c:v>
                </c:pt>
                <c:pt idx="13">
                  <c:v>2843166.4970740057</c:v>
                </c:pt>
                <c:pt idx="14">
                  <c:v>3015324.8219277062</c:v>
                </c:pt>
                <c:pt idx="15">
                  <c:v>3196091.0630240915</c:v>
                </c:pt>
                <c:pt idx="16">
                  <c:v>3385895.6161752963</c:v>
                </c:pt>
                <c:pt idx="17">
                  <c:v>3585190.3969840612</c:v>
                </c:pt>
                <c:pt idx="18">
                  <c:v>3794449.9168332643</c:v>
                </c:pt>
                <c:pt idx="19">
                  <c:v>3888253.4015359776</c:v>
                </c:pt>
                <c:pt idx="20">
                  <c:v>3984349.0851953533</c:v>
                </c:pt>
                <c:pt idx="21">
                  <c:v>4082791.6283772616</c:v>
                </c:pt>
                <c:pt idx="22">
                  <c:v>4183636.9259413192</c:v>
                </c:pt>
                <c:pt idx="23">
                  <c:v>4286942.1312872088</c:v>
                </c:pt>
                <c:pt idx="24">
                  <c:v>4392765.6808766145</c:v>
                </c:pt>
                <c:pt idx="25">
                  <c:v>4501167.319021116</c:v>
                </c:pt>
                <c:pt idx="26">
                  <c:v>4612208.1229253598</c:v>
                </c:pt>
                <c:pt idx="27">
                  <c:v>4725950.5279736454</c:v>
                </c:pt>
                <c:pt idx="28">
                  <c:v>4842458.3532468956</c:v>
                </c:pt>
                <c:pt idx="29">
                  <c:v>4961796.8272556728</c:v>
                </c:pt>
                <c:pt idx="30">
                  <c:v>5084032.6138735497</c:v>
                </c:pt>
                <c:pt idx="31">
                  <c:v>5209233.838453698</c:v>
                </c:pt>
                <c:pt idx="32">
                  <c:v>5337470.1141100153</c:v>
                </c:pt>
                <c:pt idx="33">
                  <c:v>5468812.5681424886</c:v>
                </c:pt>
                <c:pt idx="34">
                  <c:v>5603333.8685847605</c:v>
                </c:pt>
                <c:pt idx="35">
                  <c:v>5741108.2508500246</c:v>
                </c:pt>
                <c:pt idx="36">
                  <c:v>5882211.5444494523</c:v>
                </c:pt>
                <c:pt idx="37">
                  <c:v>6026721.1997552747</c:v>
                </c:pt>
                <c:pt idx="38">
                  <c:v>6174716.3147784723</c:v>
                </c:pt>
                <c:pt idx="39">
                  <c:v>6326277.6619287152</c:v>
                </c:pt>
                <c:pt idx="40">
                  <c:v>6481487.7147217533</c:v>
                </c:pt>
                <c:pt idx="41">
                  <c:v>6640430.6743968586</c:v>
                </c:pt>
                <c:pt idx="42">
                  <c:v>6803192.4964041943</c:v>
                </c:pt>
                <c:pt idx="43">
                  <c:v>6969860.9167190846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E0-244E-907F-4C7D1AE9E5DE}"/>
            </c:ext>
          </c:extLst>
        </c:ser>
        <c:ser>
          <c:idx val="2"/>
          <c:order val="2"/>
          <c:tx>
            <c:v>8% growth</c:v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1354063.4838029081</c:v>
                </c:pt>
                <c:pt idx="2">
                  <c:v>1492388.5625071409</c:v>
                </c:pt>
                <c:pt idx="3">
                  <c:v>1641779.6475077122</c:v>
                </c:pt>
                <c:pt idx="4">
                  <c:v>1803122.0193083293</c:v>
                </c:pt>
                <c:pt idx="5">
                  <c:v>1977371.7808529958</c:v>
                </c:pt>
                <c:pt idx="6">
                  <c:v>2165561.5233212356</c:v>
                </c:pt>
                <c:pt idx="7">
                  <c:v>2368806.4451869344</c:v>
                </c:pt>
                <c:pt idx="8">
                  <c:v>2588310.9608018892</c:v>
                </c:pt>
                <c:pt idx="9">
                  <c:v>2825375.8376660403</c:v>
                </c:pt>
                <c:pt idx="10">
                  <c:v>3081405.9046793235</c:v>
                </c:pt>
                <c:pt idx="11">
                  <c:v>3357918.3770536697</c:v>
                </c:pt>
                <c:pt idx="12">
                  <c:v>3656551.8472179635</c:v>
                </c:pt>
                <c:pt idx="13">
                  <c:v>3979075.9949954008</c:v>
                </c:pt>
                <c:pt idx="14">
                  <c:v>4327402.0745950332</c:v>
                </c:pt>
                <c:pt idx="15">
                  <c:v>4703594.2405626364</c:v>
                </c:pt>
                <c:pt idx="16">
                  <c:v>5109881.7798076477</c:v>
                </c:pt>
                <c:pt idx="17">
                  <c:v>5548672.3221922601</c:v>
                </c:pt>
                <c:pt idx="18">
                  <c:v>6022566.1079676412</c:v>
                </c:pt>
                <c:pt idx="19">
                  <c:v>6408452.3854661034</c:v>
                </c:pt>
                <c:pt idx="20">
                  <c:v>6822811.5898859678</c:v>
                </c:pt>
                <c:pt idx="21">
                  <c:v>7267861.6059989864</c:v>
                </c:pt>
                <c:pt idx="22">
                  <c:v>7745996.2506240997</c:v>
                </c:pt>
                <c:pt idx="23">
                  <c:v>8259799.309722852</c:v>
                </c:pt>
                <c:pt idx="24">
                  <c:v>8812059.6975257266</c:v>
                </c:pt>
                <c:pt idx="25">
                  <c:v>9405787.8274284564</c:v>
                </c:pt>
                <c:pt idx="26">
                  <c:v>10044233.29157592</c:v>
                </c:pt>
                <c:pt idx="27">
                  <c:v>10730903.953804011</c:v>
                </c:pt>
                <c:pt idx="28">
                  <c:v>11469586.568982901</c:v>
                </c:pt>
                <c:pt idx="29">
                  <c:v>12264369.050847966</c:v>
                </c:pt>
                <c:pt idx="30">
                  <c:v>13119664.520170897</c:v>
                </c:pt>
                <c:pt idx="31">
                  <c:v>14040237.275671041</c:v>
                </c:pt>
                <c:pt idx="32">
                  <c:v>15031230.841458356</c:v>
                </c:pt>
                <c:pt idx="33">
                  <c:v>16098198.257102</c:v>
                </c:pt>
                <c:pt idx="34">
                  <c:v>17247134.789705306</c:v>
                </c:pt>
                <c:pt idx="35">
                  <c:v>18484513.261717759</c:v>
                </c:pt>
                <c:pt idx="36">
                  <c:v>19817322.203712109</c:v>
                </c:pt>
                <c:pt idx="37">
                  <c:v>21253107.05809243</c:v>
                </c:pt>
                <c:pt idx="38">
                  <c:v>22800014.67777526</c:v>
                </c:pt>
                <c:pt idx="39">
                  <c:v>24466841.383408602</c:v>
                </c:pt>
                <c:pt idx="40">
                  <c:v>26263084.863777895</c:v>
                </c:pt>
                <c:pt idx="41">
                  <c:v>28199000.226819146</c:v>
                </c:pt>
                <c:pt idx="42">
                  <c:v>30285660.533252176</c:v>
                </c:pt>
                <c:pt idx="43">
                  <c:v>32535022.171407033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E0-244E-907F-4C7D1AE9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'Stock Dashboard'!$E$5:$E$14</c:f>
              <c:strCache>
                <c:ptCount val="9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20684.929735879363</c:v>
                </c:pt>
                <c:pt idx="2">
                  <c:v>16320</c:v>
                </c:pt>
                <c:pt idx="3">
                  <c:v>13252.53196468052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10859.588111336665</c:v>
                </c:pt>
                <c:pt idx="7">
                  <c:v>8149.9999999999991</c:v>
                </c:pt>
                <c:pt idx="8">
                  <c:v>8050.3932852926064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F-0A4A-B931-0FD43FD34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070"/>
        <c:axId val="76179940"/>
      </c:barChart>
      <c:catAx>
        <c:axId val="414310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5-254D-A952-F26BE89BC3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5-254D-A952-F26BE89BC3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5-254D-A952-F26BE89BC3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55-254D-A952-F26BE89BC3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B55-254D-A952-F26BE89BC3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B55-254D-A952-F26BE89BC3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B55-254D-A952-F26BE89BC31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B55-254D-A952-F26BE89BC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8050.3932852926064</c:v>
                </c:pt>
                <c:pt idx="2">
                  <c:v>44797.049811896548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5-254D-A952-F26BE89B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EE5-0A4F-B00E-1363058E63A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EE5-0A4F-B00E-1363058E63A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EE5-0A4F-B00E-1363058E63A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EE5-0A4F-B00E-1363058E63A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EE5-0A4F-B00E-1363058E63A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EE5-0A4F-B00E-1363058E63A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EE5-0A4F-B00E-1363058E63A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EE5-0A4F-B00E-1363058E63A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EE5-0A4F-B00E-1363058E63A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EE5-0A4F-B00E-1363058E63A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EE5-0A4F-B00E-1363058E63A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EE5-0A4F-B00E-1363058E63A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EE5-0A4F-B00E-1363058E63A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EE5-0A4F-B00E-1363058E6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8050.3932852926064</c:v>
                </c:pt>
                <c:pt idx="2">
                  <c:v>0</c:v>
                </c:pt>
                <c:pt idx="3">
                  <c:v>46890</c:v>
                </c:pt>
                <c:pt idx="4">
                  <c:v>31544.517847216026</c:v>
                </c:pt>
                <c:pt idx="5">
                  <c:v>13252.53196468052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E5-0A4F-B00E-1363058E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History'!$A$8:$A$60</c:f>
              <c:numCache>
                <c:formatCode>dd\ mmm\ yyyy</c:formatCode>
                <c:ptCount val="53"/>
              </c:numCache>
            </c:numRef>
          </c:cat>
          <c:val>
            <c:numRef>
              <c:f>'Portfolio History'!$B$8:$B$60</c:f>
              <c:numCache>
                <c:formatCode>\$#,##0</c:formatCode>
                <c:ptCount val="5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D04E-BBD9-B3A8083C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6:J256" totalsRowShown="0">
  <tableColumns count="9">
    <tableColumn id="1" xr3:uid="{00000000-0010-0000-0000-000001000000}" name="Pmt no."/>
    <tableColumn id="2" xr3:uid="{00000000-0010-0000-0000-000002000000}" name="Payment_x000a_date"/>
    <tableColumn id="3" xr3:uid="{00000000-0010-0000-0000-000003000000}" name="Beginning _x000a_balance"/>
    <tableColumn id="4" xr3:uid="{00000000-0010-0000-0000-000004000000}" name="Payment"/>
    <tableColumn id="5" xr3:uid="{00000000-0010-0000-0000-000005000000}" name="Principal"/>
    <tableColumn id="6" xr3:uid="{00000000-0010-0000-0000-000006000000}" name="Cumulative Principal"/>
    <tableColumn id="7" xr3:uid="{00000000-0010-0000-0000-000007000000}" name="Interest"/>
    <tableColumn id="8" xr3:uid="{00000000-0010-0000-0000-000008000000}" name="Cumulative Interest"/>
    <tableColumn id="9" xr3:uid="{00000000-0010-0000-0000-000009000000}" name="Ending _x000a_bal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xn" displayName="Txn" ref="A1:M21" totalsRowShown="0">
  <autoFilter ref="A1:M21" xr:uid="{00000000-0009-0000-0100-000003000000}"/>
  <tableColumns count="13">
    <tableColumn id="1" xr3:uid="{00000000-0010-0000-0100-000001000000}" name="Sell (-1) Buy (1) Fees (0) Dividend (2)"/>
    <tableColumn id="2" xr3:uid="{00000000-0010-0000-0100-000002000000}" name="Exchange"/>
    <tableColumn id="3" xr3:uid="{00000000-0010-0000-0100-000003000000}" name="Symbol"/>
    <tableColumn id="4" xr3:uid="{00000000-0010-0000-0100-000004000000}" name="Units Purchased or Sold"/>
    <tableColumn id="5" xr3:uid="{00000000-0010-0000-0100-000005000000}" name="Currency"/>
    <tableColumn id="6" xr3:uid="{00000000-0010-0000-0100-000006000000}" name="Price Paid or Received"/>
    <tableColumn id="7" xr3:uid="{00000000-0010-0000-0100-000007000000}" name="Date of transaction (YYYY-MM-DD)"/>
    <tableColumn id="8" xr3:uid="{00000000-0010-0000-0100-000008000000}" name="Total after fees"/>
    <tableColumn id="9" xr3:uid="{00000000-0010-0000-0100-000009000000}" name="Transaction Details (Optional)"/>
    <tableColumn id="10" xr3:uid="{00000000-0010-0000-0100-00000A000000}" name="Key"/>
    <tableColumn id="11" xr3:uid="{00000000-0010-0000-0100-00000B000000}" name="Signed Units"/>
    <tableColumn id="12" xr3:uid="{00000000-0010-0000-0100-00000C000000}" name="Buy Cost"/>
    <tableColumn id="13" xr3:uid="{00000000-0010-0000-0100-00000D000000}" name="Sell Proceed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ices" displayName="Prices" ref="A1:H12" totalsRowShown="0">
  <autoFilter ref="A1:H12" xr:uid="{00000000-0009-0000-0100-000002000000}"/>
  <tableColumns count="8">
    <tableColumn id="1" xr3:uid="{00000000-0010-0000-0200-000001000000}" name="Key"/>
    <tableColumn id="2" xr3:uid="{00000000-0010-0000-0200-000002000000}" name="Exchange"/>
    <tableColumn id="3" xr3:uid="{00000000-0010-0000-0200-000003000000}" name="Symbol"/>
    <tableColumn id="4" xr3:uid="{00000000-0010-0000-0200-000004000000}" name="Currency"/>
    <tableColumn id="5" xr3:uid="{00000000-0010-0000-0200-000005000000}" name="Current Price"/>
    <tableColumn id="6" xr3:uid="{00000000-0010-0000-0200-000006000000}" name="FX to SGD"/>
    <tableColumn id="7" xr3:uid="{00000000-0010-0000-0200-000007000000}" name="Notes"/>
    <tableColumn id="8" xr3:uid="{00000000-0010-0000-0200-000008000000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B1:B91"/>
  <sheetViews>
    <sheetView showGridLines="0" zoomScaleNormal="100" workbookViewId="0"/>
  </sheetViews>
  <sheetFormatPr baseColWidth="10" defaultColWidth="8.6640625" defaultRowHeight="13" x14ac:dyDescent="0.15"/>
  <cols>
    <col min="1" max="1" width="3" customWidth="1"/>
    <col min="2" max="2" width="100" customWidth="1"/>
  </cols>
  <sheetData>
    <row r="1" spans="2:2" ht="27.75" customHeight="1" x14ac:dyDescent="0.15">
      <c r="B1" s="4" t="s">
        <v>0</v>
      </c>
    </row>
    <row r="2" spans="2:2" ht="12.75" customHeight="1" x14ac:dyDescent="0.15">
      <c r="B2" s="5" t="s">
        <v>1</v>
      </c>
    </row>
    <row r="3" spans="2:2" ht="13.5" customHeight="1" x14ac:dyDescent="0.15">
      <c r="B3" s="6"/>
    </row>
    <row r="4" spans="2:2" ht="16.5" customHeight="1" x14ac:dyDescent="0.15">
      <c r="B4" s="7" t="s">
        <v>2</v>
      </c>
    </row>
    <row r="5" spans="2:2" ht="25.5" customHeight="1" x14ac:dyDescent="0.15">
      <c r="B5" s="8" t="s">
        <v>3</v>
      </c>
    </row>
    <row r="6" spans="2:2" ht="25.5" customHeight="1" x14ac:dyDescent="0.15">
      <c r="B6" s="9"/>
    </row>
    <row r="7" spans="2:2" ht="12.75" customHeight="1" x14ac:dyDescent="0.15">
      <c r="B7" s="10" t="s">
        <v>4</v>
      </c>
    </row>
    <row r="8" spans="2:2" ht="12.75" customHeight="1" x14ac:dyDescent="0.15">
      <c r="B8" s="8" t="s">
        <v>5</v>
      </c>
    </row>
    <row r="9" spans="2:2" ht="12.75" customHeight="1" x14ac:dyDescent="0.15">
      <c r="B9" s="8" t="s">
        <v>6</v>
      </c>
    </row>
    <row r="10" spans="2:2" ht="12.75" customHeight="1" x14ac:dyDescent="0.15">
      <c r="B10" s="8" t="s">
        <v>7</v>
      </c>
    </row>
    <row r="11" spans="2:2" ht="12.75" customHeight="1" x14ac:dyDescent="0.15">
      <c r="B11" s="8" t="s">
        <v>8</v>
      </c>
    </row>
    <row r="12" spans="2:2" ht="13.5" customHeight="1" x14ac:dyDescent="0.15">
      <c r="B12" s="11" t="s">
        <v>9</v>
      </c>
    </row>
    <row r="13" spans="2:2" ht="16.5" customHeight="1" x14ac:dyDescent="0.15">
      <c r="B13" s="12" t="s">
        <v>10</v>
      </c>
    </row>
    <row r="14" spans="2:2" ht="12.75" customHeight="1" x14ac:dyDescent="0.15">
      <c r="B14" s="13" t="s">
        <v>11</v>
      </c>
    </row>
    <row r="15" spans="2:2" ht="12.75" customHeight="1" x14ac:dyDescent="0.15">
      <c r="B15" s="8" t="s">
        <v>12</v>
      </c>
    </row>
    <row r="16" spans="2:2" ht="13.5" customHeight="1" x14ac:dyDescent="0.15">
      <c r="B16" s="14" t="s">
        <v>13</v>
      </c>
    </row>
    <row r="17" spans="2:2" ht="16.5" customHeight="1" x14ac:dyDescent="0.15">
      <c r="B17" s="8" t="s">
        <v>14</v>
      </c>
    </row>
    <row r="18" spans="2:2" ht="12.75" customHeight="1" x14ac:dyDescent="0.15">
      <c r="B18" s="8" t="s">
        <v>541</v>
      </c>
    </row>
    <row r="19" spans="2:2" ht="12.75" customHeight="1" x14ac:dyDescent="0.15">
      <c r="B19" s="15" t="s">
        <v>15</v>
      </c>
    </row>
    <row r="20" spans="2:2" ht="12.75" customHeight="1" x14ac:dyDescent="0.15">
      <c r="B20" s="9"/>
    </row>
    <row r="21" spans="2:2" ht="12.75" customHeight="1" x14ac:dyDescent="0.15">
      <c r="B21" s="16" t="s">
        <v>16</v>
      </c>
    </row>
    <row r="22" spans="2:2" ht="12.75" customHeight="1" x14ac:dyDescent="0.15">
      <c r="B22" s="8" t="s">
        <v>17</v>
      </c>
    </row>
    <row r="23" spans="2:2" ht="13.5" customHeight="1" x14ac:dyDescent="0.15">
      <c r="B23" s="14" t="s">
        <v>18</v>
      </c>
    </row>
    <row r="24" spans="2:2" ht="12.75" customHeight="1" x14ac:dyDescent="0.15">
      <c r="B24" s="9" t="s">
        <v>19</v>
      </c>
    </row>
    <row r="25" spans="2:2" ht="13.5" customHeight="1" x14ac:dyDescent="0.15">
      <c r="B25" s="17" t="s">
        <v>20</v>
      </c>
    </row>
    <row r="26" spans="2:2" ht="15" customHeight="1" x14ac:dyDescent="0.15">
      <c r="B26" s="9"/>
    </row>
    <row r="27" spans="2:2" ht="45" customHeight="1" x14ac:dyDescent="0.15">
      <c r="B27" s="18" t="s">
        <v>21</v>
      </c>
    </row>
    <row r="28" spans="2:2" ht="30" customHeight="1" x14ac:dyDescent="0.15">
      <c r="B28" s="9"/>
    </row>
    <row r="29" spans="2:2" ht="30" customHeight="1" x14ac:dyDescent="0.15">
      <c r="B29" s="7" t="s">
        <v>22</v>
      </c>
    </row>
    <row r="30" spans="2:2" ht="15" customHeight="1" x14ac:dyDescent="0.15">
      <c r="B30" s="19" t="s">
        <v>23</v>
      </c>
    </row>
    <row r="31" spans="2:2" ht="30" customHeight="1" x14ac:dyDescent="0.15">
      <c r="B31" s="9" t="s">
        <v>24</v>
      </c>
    </row>
    <row r="32" spans="2:2" ht="30" customHeight="1" x14ac:dyDescent="0.15">
      <c r="B32" s="9"/>
    </row>
    <row r="33" spans="2:2" ht="30" customHeight="1" x14ac:dyDescent="0.15">
      <c r="B33" s="7" t="s">
        <v>25</v>
      </c>
    </row>
    <row r="34" spans="2:2" ht="30" customHeight="1" x14ac:dyDescent="0.15">
      <c r="B34" s="9" t="s">
        <v>26</v>
      </c>
    </row>
    <row r="35" spans="2:2" ht="13.5" customHeight="1" x14ac:dyDescent="0.15">
      <c r="B35" s="6"/>
    </row>
    <row r="36" spans="2:2" ht="15" customHeight="1" x14ac:dyDescent="0.15">
      <c r="B36" s="7" t="s">
        <v>27</v>
      </c>
    </row>
    <row r="37" spans="2:2" ht="30" customHeight="1" x14ac:dyDescent="0.15">
      <c r="B37" s="8" t="s">
        <v>28</v>
      </c>
    </row>
    <row r="38" spans="2:2" ht="30" customHeight="1" x14ac:dyDescent="0.15">
      <c r="B38" s="8" t="s">
        <v>29</v>
      </c>
    </row>
    <row r="39" spans="2:2" ht="30" customHeight="1" x14ac:dyDescent="0.15">
      <c r="B39" s="8" t="s">
        <v>30</v>
      </c>
    </row>
    <row r="40" spans="2:2" ht="30" customHeight="1" x14ac:dyDescent="0.15">
      <c r="B40" s="8" t="s">
        <v>31</v>
      </c>
    </row>
    <row r="41" spans="2:2" ht="30" customHeight="1" x14ac:dyDescent="0.15">
      <c r="B41" s="9"/>
    </row>
    <row r="42" spans="2:2" ht="30" customHeight="1" x14ac:dyDescent="0.15">
      <c r="B42" s="7" t="s">
        <v>32</v>
      </c>
    </row>
    <row r="43" spans="2:2" ht="30" customHeight="1" x14ac:dyDescent="0.15">
      <c r="B43" s="8" t="s">
        <v>33</v>
      </c>
    </row>
    <row r="44" spans="2:2" ht="15" customHeight="1" x14ac:dyDescent="0.15">
      <c r="B44" s="8" t="s">
        <v>34</v>
      </c>
    </row>
    <row r="45" spans="2:2" ht="30" customHeight="1" x14ac:dyDescent="0.15">
      <c r="B45" s="8" t="s">
        <v>35</v>
      </c>
    </row>
    <row r="46" spans="2:2" ht="15" customHeight="1" x14ac:dyDescent="0.15">
      <c r="B46" s="8" t="s">
        <v>36</v>
      </c>
    </row>
    <row r="47" spans="2:2" ht="13.5" customHeight="1" x14ac:dyDescent="0.15">
      <c r="B47" s="6" t="s">
        <v>37</v>
      </c>
    </row>
    <row r="48" spans="2:2" ht="45" customHeight="1" x14ac:dyDescent="0.15">
      <c r="B48" s="7" t="s">
        <v>38</v>
      </c>
    </row>
    <row r="49" spans="2:2" ht="13.5" customHeight="1" x14ac:dyDescent="0.15">
      <c r="B49" s="14" t="s">
        <v>39</v>
      </c>
    </row>
    <row r="50" spans="2:2" ht="13.5" customHeight="1" x14ac:dyDescent="0.15">
      <c r="B50" s="6"/>
    </row>
    <row r="51" spans="2:2" ht="12.75" customHeight="1" x14ac:dyDescent="0.2">
      <c r="B51" s="20" t="s">
        <v>40</v>
      </c>
    </row>
    <row r="52" spans="2:2" ht="12.75" customHeight="1" x14ac:dyDescent="0.15">
      <c r="B52" s="14" t="s">
        <v>41</v>
      </c>
    </row>
    <row r="53" spans="2:2" ht="12.75" customHeight="1" x14ac:dyDescent="0.15">
      <c r="B53" s="14" t="s">
        <v>42</v>
      </c>
    </row>
    <row r="54" spans="2:2" ht="12.75" customHeight="1" x14ac:dyDescent="0.15">
      <c r="B54" s="14" t="s">
        <v>43</v>
      </c>
    </row>
    <row r="55" spans="2:2" ht="12.75" customHeight="1" x14ac:dyDescent="0.15">
      <c r="B55" s="14" t="s">
        <v>44</v>
      </c>
    </row>
    <row r="56" spans="2:2" ht="12.75" customHeight="1" x14ac:dyDescent="0.15">
      <c r="B56" s="6" t="s">
        <v>45</v>
      </c>
    </row>
    <row r="57" spans="2:2" ht="12.75" customHeight="1" x14ac:dyDescent="0.15">
      <c r="B57" s="6" t="s">
        <v>46</v>
      </c>
    </row>
    <row r="58" spans="2:2" ht="12.75" customHeight="1" x14ac:dyDescent="0.15">
      <c r="B58" s="6" t="s">
        <v>542</v>
      </c>
    </row>
    <row r="59" spans="2:2" ht="12.75" customHeight="1" x14ac:dyDescent="0.2">
      <c r="B59" s="20" t="s">
        <v>47</v>
      </c>
    </row>
    <row r="60" spans="2:2" ht="12.75" customHeight="1" x14ac:dyDescent="0.15">
      <c r="B60" s="6" t="s">
        <v>48</v>
      </c>
    </row>
    <row r="61" spans="2:2" ht="13.5" customHeight="1" x14ac:dyDescent="0.15">
      <c r="B61" s="6" t="s">
        <v>49</v>
      </c>
    </row>
    <row r="62" spans="2:2" ht="12.75" customHeight="1" x14ac:dyDescent="0.15">
      <c r="B62" s="6" t="s">
        <v>50</v>
      </c>
    </row>
    <row r="63" spans="2:2" ht="12.75" customHeight="1" x14ac:dyDescent="0.15">
      <c r="B63" s="6" t="s">
        <v>51</v>
      </c>
    </row>
    <row r="64" spans="2:2" ht="12.75" customHeight="1" x14ac:dyDescent="0.15">
      <c r="B64" s="6"/>
    </row>
    <row r="65" spans="2:2" ht="12.75" customHeight="1" x14ac:dyDescent="0.15">
      <c r="B65" s="6"/>
    </row>
    <row r="66" spans="2:2" ht="12.75" customHeight="1" x14ac:dyDescent="0.15">
      <c r="B66" s="6"/>
    </row>
    <row r="67" spans="2:2" ht="13.5" customHeight="1" x14ac:dyDescent="0.15">
      <c r="B67" s="6"/>
    </row>
    <row r="68" spans="2:2" ht="12.75" customHeight="1" x14ac:dyDescent="0.15">
      <c r="B68" s="6"/>
    </row>
    <row r="69" spans="2:2" ht="12.75" customHeight="1" x14ac:dyDescent="0.15">
      <c r="B69" s="6"/>
    </row>
    <row r="70" spans="2:2" ht="13.5" customHeight="1" x14ac:dyDescent="0.15">
      <c r="B70" s="6"/>
    </row>
    <row r="71" spans="2:2" ht="13.5" customHeight="1" x14ac:dyDescent="0.15">
      <c r="B71" s="6"/>
    </row>
    <row r="72" spans="2:2" ht="13.5" customHeight="1" x14ac:dyDescent="0.15">
      <c r="B72" s="6"/>
    </row>
    <row r="73" spans="2:2" ht="13.5" customHeight="1" x14ac:dyDescent="0.15">
      <c r="B73" s="6"/>
    </row>
    <row r="74" spans="2:2" ht="13.5" customHeight="1" x14ac:dyDescent="0.15">
      <c r="B74" s="6"/>
    </row>
    <row r="75" spans="2:2" ht="12.75" customHeight="1" x14ac:dyDescent="0.15">
      <c r="B75" s="6"/>
    </row>
    <row r="76" spans="2:2" ht="12.75" customHeight="1" x14ac:dyDescent="0.15">
      <c r="B76" s="6"/>
    </row>
    <row r="77" spans="2:2" ht="12.75" customHeight="1" x14ac:dyDescent="0.15">
      <c r="B77" s="6"/>
    </row>
    <row r="78" spans="2:2" ht="12.75" customHeight="1" x14ac:dyDescent="0.15">
      <c r="B78" s="6"/>
    </row>
    <row r="79" spans="2:2" ht="12.75" customHeight="1" x14ac:dyDescent="0.15">
      <c r="B79" s="6"/>
    </row>
    <row r="80" spans="2:2" ht="12.75" customHeight="1" x14ac:dyDescent="0.15">
      <c r="B80" s="6"/>
    </row>
    <row r="81" spans="2:2" ht="12.75" customHeight="1" x14ac:dyDescent="0.15">
      <c r="B81" s="6"/>
    </row>
    <row r="82" spans="2:2" ht="12.75" customHeight="1" x14ac:dyDescent="0.15">
      <c r="B82" s="6"/>
    </row>
    <row r="83" spans="2:2" ht="12.75" customHeight="1" x14ac:dyDescent="0.15">
      <c r="B83" s="6"/>
    </row>
    <row r="84" spans="2:2" ht="12.75" customHeight="1" x14ac:dyDescent="0.15">
      <c r="B84" s="6"/>
    </row>
    <row r="85" spans="2:2" ht="12.75" customHeight="1" x14ac:dyDescent="0.15">
      <c r="B85" s="6"/>
    </row>
    <row r="86" spans="2:2" ht="12.75" customHeight="1" x14ac:dyDescent="0.15">
      <c r="B86" s="6"/>
    </row>
    <row r="87" spans="2:2" ht="12.75" customHeight="1" x14ac:dyDescent="0.15">
      <c r="B87" s="6"/>
    </row>
    <row r="88" spans="2:2" ht="12.75" customHeight="1" x14ac:dyDescent="0.15">
      <c r="B88" s="6"/>
    </row>
    <row r="89" spans="2:2" ht="12.75" customHeight="1" x14ac:dyDescent="0.15">
      <c r="B89" s="6"/>
    </row>
    <row r="90" spans="2:2" ht="12.75" customHeight="1" x14ac:dyDescent="0.15">
      <c r="B90" s="6"/>
    </row>
    <row r="91" spans="2:2" ht="12.75" customHeight="1" x14ac:dyDescent="0.15">
      <c r="B9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35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2" width="24" customWidth="1"/>
    <col min="4" max="4" width="22" customWidth="1"/>
    <col min="5" max="5" width="15" customWidth="1"/>
  </cols>
  <sheetData>
    <row r="1" spans="1:5" ht="26.25" customHeight="1" x14ac:dyDescent="0.25">
      <c r="A1" s="21" t="s">
        <v>52</v>
      </c>
    </row>
    <row r="2" spans="1:5" ht="12.75" customHeight="1" x14ac:dyDescent="0.15">
      <c r="A2" s="22" t="s">
        <v>53</v>
      </c>
    </row>
    <row r="4" spans="1:5" ht="15" customHeight="1" x14ac:dyDescent="0.15">
      <c r="A4" s="23" t="s">
        <v>54</v>
      </c>
      <c r="B4" s="24"/>
      <c r="D4" s="23" t="s">
        <v>55</v>
      </c>
      <c r="E4" s="24"/>
    </row>
    <row r="5" spans="1:5" ht="23.25" customHeight="1" x14ac:dyDescent="0.25">
      <c r="A5" s="25" t="s">
        <v>56</v>
      </c>
      <c r="B5" s="26">
        <f ca="1">'Balance Sheet'!E68</f>
        <v>1225984.7072249148</v>
      </c>
      <c r="D5" s="27" t="s">
        <v>57</v>
      </c>
      <c r="E5" s="27" t="s">
        <v>58</v>
      </c>
    </row>
    <row r="6" spans="1:5" ht="15.75" customHeight="1" x14ac:dyDescent="0.2">
      <c r="A6" s="28" t="s">
        <v>59</v>
      </c>
      <c r="B6" s="29">
        <f>'Balance Sheet'!B68</f>
        <v>952364.44309718919</v>
      </c>
      <c r="D6" t="str">
        <f>'Balance Sheet'!J32</f>
        <v>Cash</v>
      </c>
      <c r="E6" s="30">
        <f>'Balance Sheet'!K32</f>
        <v>137500</v>
      </c>
    </row>
    <row r="7" spans="1:5" ht="15.75" customHeight="1" x14ac:dyDescent="0.2">
      <c r="A7" s="28" t="s">
        <v>60</v>
      </c>
      <c r="B7" s="29">
        <f>'Balance Sheet'!B67</f>
        <v>1822364.4430971893</v>
      </c>
      <c r="D7" t="str">
        <f>'Balance Sheet'!J33</f>
        <v>Investments (Cap Protected 2-3%)</v>
      </c>
      <c r="E7" s="30">
        <f>'Balance Sheet'!K33</f>
        <v>317000</v>
      </c>
    </row>
    <row r="8" spans="1:5" ht="15.75" customHeight="1" x14ac:dyDescent="0.2">
      <c r="A8" s="28" t="s">
        <v>61</v>
      </c>
      <c r="B8" s="29">
        <f ca="1">'Balance Sheet'!E67</f>
        <v>596379.73587227438</v>
      </c>
      <c r="D8" t="str">
        <f>'Balance Sheet'!J34</f>
        <v>Crypto</v>
      </c>
      <c r="E8" s="30">
        <f>'Balance Sheet'!K34</f>
        <v>13252.53196468052</v>
      </c>
    </row>
    <row r="9" spans="1:5" ht="15.75" customHeight="1" x14ac:dyDescent="0.2">
      <c r="A9" s="28" t="s">
        <v>62</v>
      </c>
      <c r="B9" s="29">
        <f>'Balance Sheet'!B18</f>
        <v>137500</v>
      </c>
      <c r="D9" t="str">
        <f>'Balance Sheet'!J35</f>
        <v>Small Cap</v>
      </c>
      <c r="E9" s="30">
        <f>'Balance Sheet'!K35</f>
        <v>8149.9999999999991</v>
      </c>
    </row>
    <row r="10" spans="1:5" ht="15.75" customHeight="1" x14ac:dyDescent="0.2">
      <c r="A10" s="28" t="s">
        <v>63</v>
      </c>
      <c r="B10" s="31">
        <f ca="1">IFERROR('Balance Sheet'!B18/'Balance Sheet'!E68,"")</f>
        <v>0.11215474319515695</v>
      </c>
      <c r="D10" t="str">
        <f>'Balance Sheet'!J36</f>
        <v>US/HK Growth</v>
      </c>
      <c r="E10" s="30">
        <f>'Balance Sheet'!K36</f>
        <v>39594.911132508634</v>
      </c>
    </row>
    <row r="11" spans="1:5" ht="12.75" customHeight="1" x14ac:dyDescent="0.15">
      <c r="D11" t="str">
        <f>'Balance Sheet'!J37</f>
        <v>Reit/Dividend</v>
      </c>
      <c r="E11" s="30">
        <f>'Balance Sheet'!K37</f>
        <v>38740</v>
      </c>
    </row>
    <row r="12" spans="1:5" ht="15" customHeight="1" x14ac:dyDescent="0.15">
      <c r="A12" s="23" t="s">
        <v>64</v>
      </c>
      <c r="B12" s="24"/>
      <c r="D12" t="str">
        <f>'Balance Sheet'!J38</f>
        <v>Bonds</v>
      </c>
      <c r="E12" s="30">
        <f>'Balance Sheet'!K38</f>
        <v>40000</v>
      </c>
    </row>
    <row r="13" spans="1:5" ht="15.75" customHeight="1" x14ac:dyDescent="0.2">
      <c r="A13" s="28" t="s">
        <v>65</v>
      </c>
      <c r="B13" s="32">
        <f>Settings!B7</f>
        <v>60</v>
      </c>
      <c r="D13" t="str">
        <f>'Balance Sheet'!J39</f>
        <v>Gold/Silver</v>
      </c>
      <c r="E13" s="30">
        <f>'Balance Sheet'!K39</f>
        <v>78127</v>
      </c>
    </row>
    <row r="14" spans="1:5" ht="15.75" customHeight="1" x14ac:dyDescent="0.2">
      <c r="A14" s="28" t="s">
        <v>66</v>
      </c>
      <c r="B14" s="29">
        <f ca="1">INDEX('Retirement Plan'!I15:I58,MATCH(Settings!B7,'Retirement Plan'!A15:A58,0))</f>
        <v>3794449.9168332643</v>
      </c>
      <c r="D14" t="str">
        <f>'Balance Sheet'!J40</f>
        <v>Commodities</v>
      </c>
      <c r="E14" s="30">
        <f>'Balance Sheet'!K40</f>
        <v>0</v>
      </c>
    </row>
    <row r="15" spans="1:5" ht="15.75" customHeight="1" x14ac:dyDescent="0.2">
      <c r="A15" s="28" t="s">
        <v>67</v>
      </c>
      <c r="B15" s="29">
        <f ca="1">INDEX('Retirement Plan'!K15:K58,MATCH(Settings!B7,'Retirement Plan'!A15:A58,0))</f>
        <v>101429.04133359881</v>
      </c>
      <c r="D15" t="str">
        <f>'Balance Sheet'!J41</f>
        <v>CPF OA (2.5%)</v>
      </c>
      <c r="E15" s="30">
        <f>'Balance Sheet'!K41</f>
        <v>95000</v>
      </c>
    </row>
    <row r="16" spans="1:5" ht="15.75" customHeight="1" x14ac:dyDescent="0.2">
      <c r="A16" s="28" t="s">
        <v>68</v>
      </c>
      <c r="B16" s="29">
        <f>Settings!B18</f>
        <v>60000</v>
      </c>
      <c r="D16" t="str">
        <f>'Balance Sheet'!J42</f>
        <v>CPF SA Medisave</v>
      </c>
      <c r="E16" s="30">
        <f>'Balance Sheet'!K42</f>
        <v>180000</v>
      </c>
    </row>
    <row r="17" spans="1:5" ht="12.75" customHeight="1" x14ac:dyDescent="0.15">
      <c r="D17" t="str">
        <f>'Balance Sheet'!J43</f>
        <v>Real Properties</v>
      </c>
      <c r="E17" s="30">
        <f ca="1">'Balance Sheet'!K43</f>
        <v>244570.26412772574</v>
      </c>
    </row>
    <row r="18" spans="1:5" ht="13.5" customHeight="1" x14ac:dyDescent="0.15">
      <c r="A18" s="33" t="s">
        <v>69</v>
      </c>
      <c r="D18" t="str">
        <f>'Balance Sheet'!J44</f>
        <v>Personal Loan to Friend</v>
      </c>
      <c r="E18" s="30">
        <f>'Balance Sheet'!K44</f>
        <v>5000</v>
      </c>
    </row>
    <row r="19" spans="1:5" ht="12.75" customHeight="1" x14ac:dyDescent="0.15">
      <c r="A19" s="34" t="s">
        <v>70</v>
      </c>
      <c r="B19" s="30">
        <f>Insurance!B8</f>
        <v>710000</v>
      </c>
    </row>
    <row r="20" spans="1:5" ht="12.75" customHeight="1" x14ac:dyDescent="0.15">
      <c r="A20" s="34" t="s">
        <v>71</v>
      </c>
      <c r="B20" s="30">
        <f>Insurance!B10</f>
        <v>410000</v>
      </c>
    </row>
    <row r="21" spans="1:5" ht="12.75" customHeight="1" x14ac:dyDescent="0.15">
      <c r="A21" s="34" t="s">
        <v>72</v>
      </c>
      <c r="B21" s="35">
        <f>Insurance!B7</f>
        <v>5048.8799999999992</v>
      </c>
    </row>
    <row r="22" spans="1:5" ht="12.75" customHeight="1" x14ac:dyDescent="0.15">
      <c r="A22" s="34" t="s">
        <v>73</v>
      </c>
      <c r="B22" s="30">
        <f>Insurance!B5</f>
        <v>135000</v>
      </c>
    </row>
    <row r="24" spans="1:5" ht="13.5" customHeight="1" x14ac:dyDescent="0.15">
      <c r="A24" s="33" t="s">
        <v>74</v>
      </c>
    </row>
    <row r="25" spans="1:5" ht="12.75" customHeight="1" x14ac:dyDescent="0.15">
      <c r="A25" s="34" t="s">
        <v>75</v>
      </c>
      <c r="B25" s="30">
        <f>Housing!B20</f>
        <v>825000.00000000012</v>
      </c>
    </row>
    <row r="26" spans="1:5" ht="12.75" customHeight="1" x14ac:dyDescent="0.15">
      <c r="A26" s="34" t="s">
        <v>76</v>
      </c>
      <c r="B26" s="30">
        <f ca="1">Housing!B21</f>
        <v>580429.73587227438</v>
      </c>
    </row>
    <row r="27" spans="1:5" ht="12.75" customHeight="1" x14ac:dyDescent="0.15">
      <c r="A27" s="34" t="s">
        <v>77</v>
      </c>
      <c r="B27" s="30">
        <f ca="1">Housing!B22</f>
        <v>244570.26412772574</v>
      </c>
    </row>
    <row r="29" spans="1:5" ht="13.5" customHeight="1" x14ac:dyDescent="0.15">
      <c r="A29" s="36" t="s">
        <v>78</v>
      </c>
    </row>
    <row r="30" spans="1:5" ht="12.75" customHeight="1" x14ac:dyDescent="0.2">
      <c r="A30" t="s">
        <v>79</v>
      </c>
      <c r="B30" s="37">
        <f>IFERROR('Balance Sheet'!B18/Settings!B31,"")</f>
        <v>27.5</v>
      </c>
      <c r="C30" s="38" t="s">
        <v>80</v>
      </c>
    </row>
    <row r="31" spans="1:5" ht="12.75" customHeight="1" x14ac:dyDescent="0.2">
      <c r="A31" t="s">
        <v>81</v>
      </c>
      <c r="B31" s="39">
        <f>'Stock Dashboard'!B12</f>
        <v>0.43925024383490546</v>
      </c>
      <c r="C31" s="38" t="s">
        <v>82</v>
      </c>
    </row>
    <row r="32" spans="1:5" ht="12.75" customHeight="1" x14ac:dyDescent="0.2">
      <c r="A32" t="s">
        <v>83</v>
      </c>
      <c r="B32" s="40">
        <f>IFERROR(Settings!B18/Settings!B32,"")</f>
        <v>1500000</v>
      </c>
    </row>
    <row r="33" spans="1:3" ht="12.75" customHeight="1" x14ac:dyDescent="0.2">
      <c r="A33" t="s">
        <v>84</v>
      </c>
      <c r="B33" s="41">
        <f ca="1">IFERROR(B14/B32,"")</f>
        <v>2.5296332778888431</v>
      </c>
      <c r="C33" s="38" t="s">
        <v>85</v>
      </c>
    </row>
    <row r="34" spans="1:3" ht="12.75" customHeight="1" x14ac:dyDescent="0.2">
      <c r="A34" t="s">
        <v>86</v>
      </c>
      <c r="B34" s="39">
        <f ca="1">'Cash Flow'!$B$7</f>
        <v>0.375</v>
      </c>
    </row>
    <row r="35" spans="1:3" ht="12.75" customHeight="1" x14ac:dyDescent="0.2">
      <c r="A35" t="s">
        <v>87</v>
      </c>
      <c r="B35" s="40">
        <f ca="1">'Cash Flow'!$B$8</f>
        <v>36000</v>
      </c>
      <c r="C35" s="38" t="str">
        <f>"plan: "&amp;TEXT(Settings!$B$8,"$#,##0")</f>
        <v>plan: $30,000</v>
      </c>
    </row>
  </sheetData>
  <sheetProtection sheet="1" formatColumns="0" formatRows="0"/>
  <conditionalFormatting sqref="B30">
    <cfRule type="cellIs" dxfId="14" priority="2" operator="greaterThanOrEqual">
      <formula>6</formula>
    </cfRule>
    <cfRule type="cellIs" dxfId="13" priority="3" operator="greaterThanOrEqual">
      <formula>3</formula>
    </cfRule>
    <cfRule type="cellIs" dxfId="12" priority="4" operator="lessThan">
      <formula>3</formula>
    </cfRule>
  </conditionalFormatting>
  <conditionalFormatting sqref="B31">
    <cfRule type="cellIs" dxfId="11" priority="5" operator="lessThan">
      <formula>0.1</formula>
    </cfRule>
    <cfRule type="cellIs" dxfId="10" priority="6" operator="greaterThanOrEqual">
      <formula>0.1</formula>
    </cfRule>
  </conditionalFormatting>
  <conditionalFormatting sqref="B33">
    <cfRule type="cellIs" dxfId="9" priority="7" operator="greaterThanOrEqual">
      <formula>1</formula>
    </cfRule>
    <cfRule type="cellIs" dxfId="8" priority="8" operator="greaterThanOrEqual">
      <formula>0.7</formula>
    </cfRule>
    <cfRule type="cellIs" dxfId="7" priority="9" operator="lessThan">
      <formula>0.7</formula>
    </cfRule>
  </conditionalFormatting>
  <conditionalFormatting sqref="B34">
    <cfRule type="cellIs" dxfId="6" priority="11" operator="greaterThanOrEqual">
      <formula>0.2</formula>
    </cfRule>
    <cfRule type="cellIs" dxfId="5" priority="12" operator="greaterThanOrEqual">
      <formula>0.1</formula>
    </cfRule>
    <cfRule type="cellIs" dxfId="4" priority="13" operator="lessThan">
      <formula>0.1</formula>
    </cfRule>
  </conditionalFormatting>
  <conditionalFormatting sqref="E6:E17">
    <cfRule type="dataBar" priority="10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axisPosition="none">
              <x14:cfvo type="num">
                <xm:f>0</xm:f>
              </x14:cfvo>
              <x14:cfvo type="max"/>
              <x14:negativeFillColor rgb="FF638EC6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39"/>
  <sheetViews>
    <sheetView zoomScaleNormal="100" workbookViewId="0"/>
  </sheetViews>
  <sheetFormatPr baseColWidth="10" defaultColWidth="8.6640625" defaultRowHeight="13" x14ac:dyDescent="0.15"/>
  <cols>
    <col min="1" max="1" width="34" customWidth="1"/>
    <col min="2" max="2" width="16" customWidth="1"/>
  </cols>
  <sheetData>
    <row r="1" spans="1:2" ht="20.25" customHeight="1" x14ac:dyDescent="0.2">
      <c r="A1" s="42" t="s">
        <v>88</v>
      </c>
    </row>
    <row r="2" spans="1:2" ht="12.75" customHeight="1" x14ac:dyDescent="0.15">
      <c r="A2" s="22" t="s">
        <v>89</v>
      </c>
    </row>
    <row r="4" spans="1:2" ht="15" customHeight="1" x14ac:dyDescent="0.15">
      <c r="A4" s="23" t="s">
        <v>90</v>
      </c>
      <c r="B4" s="24"/>
    </row>
    <row r="5" spans="1:2" ht="12.75" customHeight="1" x14ac:dyDescent="0.15">
      <c r="A5" t="s">
        <v>91</v>
      </c>
      <c r="B5" s="43">
        <v>42</v>
      </c>
    </row>
    <row r="6" spans="1:2" ht="12.75" customHeight="1" x14ac:dyDescent="0.15">
      <c r="A6" t="s">
        <v>92</v>
      </c>
      <c r="B6" s="43">
        <v>2026</v>
      </c>
    </row>
    <row r="7" spans="1:2" ht="12.75" customHeight="1" x14ac:dyDescent="0.15">
      <c r="A7" t="s">
        <v>65</v>
      </c>
      <c r="B7" s="43">
        <v>60</v>
      </c>
    </row>
    <row r="8" spans="1:2" ht="12.75" customHeight="1" x14ac:dyDescent="0.15">
      <c r="A8" t="s">
        <v>93</v>
      </c>
      <c r="B8" s="44">
        <v>30000</v>
      </c>
    </row>
    <row r="10" spans="1:2" ht="15" customHeight="1" x14ac:dyDescent="0.15">
      <c r="A10" s="23" t="s">
        <v>94</v>
      </c>
      <c r="B10" s="24"/>
    </row>
    <row r="11" spans="1:2" ht="12.75" customHeight="1" x14ac:dyDescent="0.15">
      <c r="A11" t="s">
        <v>95</v>
      </c>
      <c r="B11" s="45">
        <v>2.5000000000000001E-2</v>
      </c>
    </row>
    <row r="12" spans="1:2" ht="12.75" customHeight="1" x14ac:dyDescent="0.15">
      <c r="A12" t="s">
        <v>96</v>
      </c>
      <c r="B12" s="45">
        <v>0.03</v>
      </c>
    </row>
    <row r="13" spans="1:2" ht="12.75" customHeight="1" x14ac:dyDescent="0.15">
      <c r="A13" t="s">
        <v>97</v>
      </c>
      <c r="B13" s="45">
        <v>0.05</v>
      </c>
    </row>
    <row r="14" spans="1:2" ht="12.75" customHeight="1" x14ac:dyDescent="0.15">
      <c r="A14" t="s">
        <v>98</v>
      </c>
      <c r="B14" s="45">
        <v>0.08</v>
      </c>
    </row>
    <row r="15" spans="1:2" ht="12.75" customHeight="1" x14ac:dyDescent="0.15">
      <c r="A15" t="s">
        <v>99</v>
      </c>
      <c r="B15" s="45">
        <v>0.04</v>
      </c>
    </row>
    <row r="17" spans="1:2" ht="15" customHeight="1" x14ac:dyDescent="0.15">
      <c r="A17" s="23" t="s">
        <v>100</v>
      </c>
      <c r="B17" s="24"/>
    </row>
    <row r="18" spans="1:2" ht="12.75" customHeight="1" x14ac:dyDescent="0.15">
      <c r="A18" t="s">
        <v>101</v>
      </c>
      <c r="B18" s="44">
        <v>60000</v>
      </c>
    </row>
    <row r="19" spans="1:2" ht="12.75" customHeight="1" x14ac:dyDescent="0.15">
      <c r="A19" t="s">
        <v>102</v>
      </c>
      <c r="B19" s="44">
        <v>330000</v>
      </c>
    </row>
    <row r="21" spans="1:2" ht="15" customHeight="1" x14ac:dyDescent="0.15">
      <c r="A21" s="23" t="s">
        <v>103</v>
      </c>
      <c r="B21" s="24"/>
    </row>
    <row r="22" spans="1:2" ht="12.75" customHeight="1" x14ac:dyDescent="0.15">
      <c r="A22" t="s">
        <v>104</v>
      </c>
      <c r="B22" s="46">
        <v>1.2928081084924601</v>
      </c>
    </row>
    <row r="23" spans="1:2" ht="12.75" customHeight="1" x14ac:dyDescent="0.15">
      <c r="A23" t="s">
        <v>105</v>
      </c>
      <c r="B23" s="46">
        <v>0.16489949375855401</v>
      </c>
    </row>
    <row r="25" spans="1:2" ht="12.75" customHeight="1" x14ac:dyDescent="0.15">
      <c r="A25" s="47" t="s">
        <v>106</v>
      </c>
    </row>
    <row r="26" spans="1:2" ht="12.75" customHeight="1" x14ac:dyDescent="0.15">
      <c r="A26" s="47" t="s">
        <v>107</v>
      </c>
    </row>
    <row r="27" spans="1:2" ht="12.75" customHeight="1" x14ac:dyDescent="0.15">
      <c r="A27" s="47" t="s">
        <v>108</v>
      </c>
    </row>
    <row r="28" spans="1:2" ht="12.75" customHeight="1" x14ac:dyDescent="0.15">
      <c r="A28" s="47" t="s">
        <v>109</v>
      </c>
    </row>
    <row r="30" spans="1:2" ht="13.5" customHeight="1" x14ac:dyDescent="0.15">
      <c r="A30" s="33" t="s">
        <v>110</v>
      </c>
    </row>
    <row r="31" spans="1:2" ht="12.75" customHeight="1" x14ac:dyDescent="0.15">
      <c r="A31" t="s">
        <v>111</v>
      </c>
      <c r="B31" s="48">
        <v>5000</v>
      </c>
    </row>
    <row r="32" spans="1:2" ht="12.75" customHeight="1" x14ac:dyDescent="0.15">
      <c r="A32" t="s">
        <v>112</v>
      </c>
      <c r="B32" s="49">
        <v>0.04</v>
      </c>
    </row>
    <row r="34" spans="1:2" ht="13.5" customHeight="1" x14ac:dyDescent="0.15">
      <c r="A34" s="33" t="s">
        <v>113</v>
      </c>
    </row>
    <row r="35" spans="1:2" ht="12.75" customHeight="1" x14ac:dyDescent="0.15">
      <c r="A35" t="s">
        <v>114</v>
      </c>
      <c r="B35" s="49">
        <v>0.03</v>
      </c>
    </row>
    <row r="36" spans="1:2" ht="12.75" customHeight="1" x14ac:dyDescent="0.15">
      <c r="A36" t="s">
        <v>115</v>
      </c>
      <c r="B36" s="50">
        <v>14</v>
      </c>
    </row>
    <row r="37" spans="1:2" ht="12.75" customHeight="1" x14ac:dyDescent="0.15">
      <c r="A37" t="s">
        <v>116</v>
      </c>
      <c r="B37" s="48">
        <v>33000</v>
      </c>
    </row>
    <row r="38" spans="1:2" ht="12.75" customHeight="1" x14ac:dyDescent="0.15">
      <c r="A38" t="s">
        <v>117</v>
      </c>
      <c r="B38" s="50">
        <v>5</v>
      </c>
    </row>
    <row r="39" spans="1:2" ht="12.75" customHeight="1" x14ac:dyDescent="0.15">
      <c r="A39" t="s">
        <v>118</v>
      </c>
      <c r="B39" s="48">
        <v>1500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71"/>
  <sheetViews>
    <sheetView showGridLines="0" zoomScale="160" zoomScaleNormal="160" workbookViewId="0">
      <pane ySplit="2" topLeftCell="A3" activePane="bottomLeft" state="frozen"/>
      <selection pane="bottomLeft"/>
    </sheetView>
  </sheetViews>
  <sheetFormatPr baseColWidth="10" defaultColWidth="8.83203125" defaultRowHeight="13" x14ac:dyDescent="0.15"/>
  <cols>
    <col min="1" max="1" width="46" customWidth="1"/>
    <col min="2" max="2" width="15" customWidth="1"/>
    <col min="3" max="3" width="19.33203125" customWidth="1"/>
    <col min="4" max="4" width="42" customWidth="1"/>
    <col min="5" max="5" width="15" customWidth="1"/>
    <col min="6" max="6" width="41.33203125" customWidth="1"/>
    <col min="7" max="7" width="41.6640625" customWidth="1"/>
    <col min="8" max="8" width="12.5" customWidth="1"/>
    <col min="10" max="10" width="26" customWidth="1"/>
    <col min="11" max="11" width="14" customWidth="1"/>
    <col min="12" max="12" width="11" customWidth="1"/>
    <col min="13" max="13" width="11.6640625" customWidth="1"/>
  </cols>
  <sheetData>
    <row r="1" spans="1:5" ht="12.75" customHeight="1" x14ac:dyDescent="0.15">
      <c r="A1" s="51" t="s">
        <v>119</v>
      </c>
    </row>
    <row r="2" spans="1:5" ht="16.5" customHeight="1" x14ac:dyDescent="0.2">
      <c r="A2" s="3" t="s">
        <v>120</v>
      </c>
      <c r="B2" s="3"/>
      <c r="C2" s="52"/>
      <c r="D2" s="3" t="s">
        <v>121</v>
      </c>
      <c r="E2" s="3"/>
    </row>
    <row r="3" spans="1:5" ht="12.75" customHeight="1" x14ac:dyDescent="0.15">
      <c r="B3" s="53"/>
    </row>
    <row r="4" spans="1:5" ht="15" customHeight="1" x14ac:dyDescent="0.15">
      <c r="A4" s="23" t="s">
        <v>122</v>
      </c>
      <c r="B4" s="53"/>
      <c r="D4" s="23" t="s">
        <v>123</v>
      </c>
    </row>
    <row r="5" spans="1:5" ht="12.75" customHeight="1" x14ac:dyDescent="0.15">
      <c r="A5" s="54" t="s">
        <v>124</v>
      </c>
      <c r="B5" s="55">
        <v>8500</v>
      </c>
      <c r="D5" t="s">
        <v>125</v>
      </c>
      <c r="E5" s="56">
        <v>1800</v>
      </c>
    </row>
    <row r="6" spans="1:5" ht="12.75" customHeight="1" x14ac:dyDescent="0.15">
      <c r="A6" s="57" t="s">
        <v>126</v>
      </c>
      <c r="B6" s="58">
        <v>0</v>
      </c>
      <c r="D6" s="54" t="s">
        <v>127</v>
      </c>
      <c r="E6" s="56">
        <v>950</v>
      </c>
    </row>
    <row r="7" spans="1:5" ht="12.75" customHeight="1" x14ac:dyDescent="0.15">
      <c r="A7" s="57" t="s">
        <v>128</v>
      </c>
      <c r="B7" s="59">
        <v>0</v>
      </c>
      <c r="D7" s="54" t="s">
        <v>129</v>
      </c>
      <c r="E7" s="56">
        <v>1200</v>
      </c>
    </row>
    <row r="8" spans="1:5" ht="12.75" customHeight="1" x14ac:dyDescent="0.15">
      <c r="A8" s="57" t="s">
        <v>130</v>
      </c>
      <c r="B8" s="59">
        <v>0</v>
      </c>
      <c r="E8" s="53"/>
    </row>
    <row r="9" spans="1:5" ht="12.75" customHeight="1" x14ac:dyDescent="0.15">
      <c r="A9" t="s">
        <v>131</v>
      </c>
      <c r="B9" s="56">
        <v>15000</v>
      </c>
      <c r="D9" s="60" t="s">
        <v>132</v>
      </c>
      <c r="E9" s="61">
        <f>SUM(E5:E7)</f>
        <v>3950</v>
      </c>
    </row>
    <row r="10" spans="1:5" ht="12.75" customHeight="1" x14ac:dyDescent="0.15">
      <c r="A10" t="s">
        <v>133</v>
      </c>
      <c r="B10" s="56">
        <v>12000</v>
      </c>
      <c r="E10" s="53"/>
    </row>
    <row r="11" spans="1:5" ht="12.75" customHeight="1" x14ac:dyDescent="0.15">
      <c r="A11" s="57" t="s">
        <v>134</v>
      </c>
      <c r="B11" s="59">
        <v>0</v>
      </c>
      <c r="E11" s="53"/>
    </row>
    <row r="12" spans="1:5" ht="12.75" customHeight="1" x14ac:dyDescent="0.15">
      <c r="A12" s="62" t="s">
        <v>135</v>
      </c>
      <c r="B12" s="63">
        <v>20000</v>
      </c>
      <c r="E12" s="53"/>
    </row>
    <row r="13" spans="1:5" ht="12.75" customHeight="1" x14ac:dyDescent="0.15">
      <c r="A13" t="s">
        <v>136</v>
      </c>
      <c r="B13" s="56">
        <v>6500</v>
      </c>
      <c r="C13" s="53"/>
    </row>
    <row r="14" spans="1:5" ht="12.75" customHeight="1" x14ac:dyDescent="0.15">
      <c r="A14" t="s">
        <v>137</v>
      </c>
      <c r="B14" s="56">
        <v>38000</v>
      </c>
      <c r="C14" s="53"/>
      <c r="D14" s="64"/>
      <c r="E14" s="65"/>
    </row>
    <row r="15" spans="1:5" ht="12.75" customHeight="1" x14ac:dyDescent="0.15">
      <c r="A15" s="57" t="s">
        <v>138</v>
      </c>
      <c r="B15" s="59">
        <v>0</v>
      </c>
      <c r="C15" s="53"/>
      <c r="E15" s="53"/>
    </row>
    <row r="16" spans="1:5" ht="12.75" customHeight="1" x14ac:dyDescent="0.15">
      <c r="A16" t="s">
        <v>139</v>
      </c>
      <c r="B16" s="56">
        <v>28000</v>
      </c>
      <c r="C16" s="53"/>
      <c r="E16" s="53"/>
    </row>
    <row r="17" spans="1:12" ht="12.75" customHeight="1" x14ac:dyDescent="0.15">
      <c r="A17" s="54" t="s">
        <v>140</v>
      </c>
      <c r="B17" s="56">
        <v>9500</v>
      </c>
      <c r="C17" s="53"/>
      <c r="E17" s="53"/>
    </row>
    <row r="18" spans="1:12" ht="12.75" customHeight="1" x14ac:dyDescent="0.15">
      <c r="A18" s="60" t="s">
        <v>132</v>
      </c>
      <c r="B18" s="61">
        <f>SUM(B5:B17)</f>
        <v>137500</v>
      </c>
      <c r="E18" s="53"/>
    </row>
    <row r="19" spans="1:12" ht="15" customHeight="1" x14ac:dyDescent="0.15">
      <c r="B19" s="53"/>
      <c r="D19" s="23" t="s">
        <v>141</v>
      </c>
      <c r="E19" s="53"/>
    </row>
    <row r="20" spans="1:12" ht="12.75" customHeight="1" x14ac:dyDescent="0.15">
      <c r="D20" t="s">
        <v>142</v>
      </c>
      <c r="E20" s="56">
        <v>12000</v>
      </c>
    </row>
    <row r="21" spans="1:12" ht="15" customHeight="1" x14ac:dyDescent="0.15">
      <c r="A21" s="23" t="s">
        <v>143</v>
      </c>
      <c r="B21" s="66"/>
      <c r="D21" t="s">
        <v>144</v>
      </c>
      <c r="E21" s="56">
        <v>0</v>
      </c>
      <c r="H21" s="53"/>
    </row>
    <row r="22" spans="1:12" ht="12.75" customHeight="1" x14ac:dyDescent="0.15">
      <c r="A22" s="67" t="s">
        <v>145</v>
      </c>
      <c r="B22" s="68">
        <f>Insurance!H21</f>
        <v>0</v>
      </c>
      <c r="D22" t="s">
        <v>146</v>
      </c>
      <c r="E22" s="30">
        <f ca="1">Housing!B21</f>
        <v>580429.73587227438</v>
      </c>
    </row>
    <row r="23" spans="1:12" ht="12.75" customHeight="1" x14ac:dyDescent="0.15">
      <c r="A23" s="69" t="s">
        <v>147</v>
      </c>
      <c r="B23" s="70">
        <f>Insurance!H18</f>
        <v>60000</v>
      </c>
      <c r="C23" s="53"/>
      <c r="E23" s="53"/>
      <c r="F23" s="71"/>
    </row>
    <row r="24" spans="1:12" ht="12.75" customHeight="1" x14ac:dyDescent="0.15">
      <c r="A24" s="72" t="s">
        <v>148</v>
      </c>
      <c r="B24" s="70">
        <f>Insurance!H19</f>
        <v>28000</v>
      </c>
      <c r="C24" s="53"/>
      <c r="D24" s="60" t="s">
        <v>132</v>
      </c>
      <c r="E24" s="61">
        <f ca="1">SUM(E20:E22)</f>
        <v>592429.73587227438</v>
      </c>
      <c r="F24" s="71"/>
    </row>
    <row r="25" spans="1:12" ht="25.5" customHeight="1" x14ac:dyDescent="0.15">
      <c r="A25" s="73" t="s">
        <v>149</v>
      </c>
      <c r="B25" s="66"/>
      <c r="C25" s="53"/>
      <c r="D25" s="74" t="s">
        <v>150</v>
      </c>
      <c r="E25" s="75">
        <f>((1+Settings!$B$35)^Settings!$B$36)*Settings!$B$37*Settings!$B$38</f>
        <v>249577.30460109332</v>
      </c>
      <c r="F25" s="71"/>
    </row>
    <row r="26" spans="1:12" ht="25.5" customHeight="1" x14ac:dyDescent="0.15">
      <c r="A26" s="72" t="s">
        <v>151</v>
      </c>
      <c r="B26" s="70">
        <f>Insurance!H15+Insurance!H16</f>
        <v>22000</v>
      </c>
      <c r="C26" s="53"/>
      <c r="D26" s="74" t="s">
        <v>152</v>
      </c>
      <c r="E26" s="75">
        <f>((1+Settings!$B$35)^Settings!$B$36)*Settings!$B$39*12*Settings!$B$38</f>
        <v>136133.07523695999</v>
      </c>
      <c r="F26" s="53"/>
    </row>
    <row r="27" spans="1:12" ht="38.25" customHeight="1" x14ac:dyDescent="0.15">
      <c r="A27" s="72" t="s">
        <v>153</v>
      </c>
      <c r="B27" s="56">
        <v>120000</v>
      </c>
      <c r="C27" s="53"/>
      <c r="E27" s="53"/>
    </row>
    <row r="28" spans="1:12" ht="38.25" customHeight="1" x14ac:dyDescent="0.15">
      <c r="A28" s="72" t="s">
        <v>154</v>
      </c>
      <c r="B28" s="56">
        <v>35000</v>
      </c>
      <c r="C28" s="53"/>
      <c r="E28" s="53"/>
    </row>
    <row r="29" spans="1:12" ht="12.75" customHeight="1" x14ac:dyDescent="0.15">
      <c r="A29" s="72" t="s">
        <v>155</v>
      </c>
      <c r="B29" s="56">
        <v>9000</v>
      </c>
      <c r="C29" s="53"/>
      <c r="E29" s="53"/>
    </row>
    <row r="30" spans="1:12" ht="15" customHeight="1" x14ac:dyDescent="0.2">
      <c r="A30" s="76" t="s">
        <v>156</v>
      </c>
      <c r="B30" s="56">
        <v>18000</v>
      </c>
      <c r="C30" s="77"/>
      <c r="E30" s="53"/>
      <c r="J30" s="78" t="s">
        <v>157</v>
      </c>
    </row>
    <row r="31" spans="1:12" ht="30" customHeight="1" x14ac:dyDescent="0.15">
      <c r="A31" s="67" t="s">
        <v>158</v>
      </c>
      <c r="B31" s="79"/>
      <c r="C31" s="53"/>
      <c r="E31" s="53"/>
      <c r="J31" s="27"/>
      <c r="K31" s="80" t="s">
        <v>159</v>
      </c>
      <c r="L31" s="80" t="s">
        <v>160</v>
      </c>
    </row>
    <row r="32" spans="1:12" ht="20.25" customHeight="1" x14ac:dyDescent="0.2">
      <c r="A32" s="81" t="s">
        <v>161</v>
      </c>
      <c r="B32" s="70">
        <f>Insurance!H20</f>
        <v>25000</v>
      </c>
      <c r="C32" s="53"/>
      <c r="H32" s="53"/>
      <c r="J32" s="82" t="s">
        <v>162</v>
      </c>
      <c r="K32" s="83">
        <f>B18</f>
        <v>137500</v>
      </c>
      <c r="L32" s="84">
        <f t="shared" ref="L32:L44" ca="1" si="0">K32/SUM($K$32:$K$44)</f>
        <v>0.11487677579238456</v>
      </c>
    </row>
    <row r="33" spans="1:14" ht="20.25" customHeight="1" x14ac:dyDescent="0.2">
      <c r="A33" s="85" t="s">
        <v>132</v>
      </c>
      <c r="B33" s="86">
        <f>SUM(B22:B32)</f>
        <v>317000</v>
      </c>
      <c r="D33" s="64"/>
      <c r="E33" s="65"/>
      <c r="H33" s="53"/>
      <c r="J33" s="87" t="str">
        <f>$A$21</f>
        <v>Investments (Cap Protected 2-3%)</v>
      </c>
      <c r="K33" s="88">
        <f>$B$33</f>
        <v>317000</v>
      </c>
      <c r="L33" s="84">
        <f t="shared" ca="1" si="0"/>
        <v>0.26484318491771569</v>
      </c>
    </row>
    <row r="34" spans="1:14" ht="20.25" customHeight="1" x14ac:dyDescent="0.2">
      <c r="B34" s="53"/>
      <c r="D34" s="64"/>
      <c r="E34" s="65"/>
      <c r="H34" s="53"/>
      <c r="J34" s="89" t="str">
        <f>A37</f>
        <v>Crypto</v>
      </c>
      <c r="K34" s="90">
        <f>$B$37</f>
        <v>13252.53196468052</v>
      </c>
      <c r="L34" s="91">
        <f t="shared" ca="1" si="0"/>
        <v>1.1072059223185556E-2</v>
      </c>
    </row>
    <row r="35" spans="1:14" ht="20.25" customHeight="1" x14ac:dyDescent="0.2">
      <c r="A35" s="23" t="s">
        <v>163</v>
      </c>
      <c r="B35" s="92"/>
      <c r="D35" s="53"/>
      <c r="E35" s="65"/>
      <c r="H35" s="53"/>
      <c r="J35" s="89" t="str">
        <f>A40</f>
        <v>Small Cap</v>
      </c>
      <c r="K35" s="90">
        <f>$B$40</f>
        <v>8149.9999999999991</v>
      </c>
      <c r="L35" s="91">
        <f t="shared" ca="1" si="0"/>
        <v>6.8090598015122482E-3</v>
      </c>
    </row>
    <row r="36" spans="1:14" ht="20.25" customHeight="1" x14ac:dyDescent="0.2">
      <c r="A36" s="93" t="s">
        <v>164</v>
      </c>
      <c r="B36" s="56">
        <v>5000</v>
      </c>
      <c r="D36" s="53"/>
      <c r="E36" s="65"/>
      <c r="H36" s="53"/>
      <c r="J36" s="89" t="str">
        <f>A38</f>
        <v>US/HK Growth</v>
      </c>
      <c r="K36" s="90">
        <f>$B$38</f>
        <v>39594.911132508634</v>
      </c>
      <c r="L36" s="91">
        <f t="shared" ca="1" si="0"/>
        <v>3.3080259845007898E-2</v>
      </c>
    </row>
    <row r="37" spans="1:14" ht="20.25" customHeight="1" x14ac:dyDescent="0.2">
      <c r="A37" s="94" t="str">
        <f>Shares!R7</f>
        <v>Crypto</v>
      </c>
      <c r="B37" s="95">
        <f>Shares!S7</f>
        <v>13252.53196468052</v>
      </c>
      <c r="D37" s="53"/>
      <c r="E37" s="65"/>
      <c r="H37" s="53"/>
      <c r="J37" s="89" t="str">
        <f>A39</f>
        <v>Reit/Dividend</v>
      </c>
      <c r="K37" s="90">
        <f>$B$39</f>
        <v>38740</v>
      </c>
      <c r="L37" s="91">
        <f t="shared" ca="1" si="0"/>
        <v>3.2366009412341662E-2</v>
      </c>
      <c r="M37" s="96">
        <f ca="1">SUM(L34:L37)</f>
        <v>8.332738828204736E-2</v>
      </c>
      <c r="N37" s="38" t="s">
        <v>165</v>
      </c>
    </row>
    <row r="38" spans="1:14" ht="20.25" customHeight="1" x14ac:dyDescent="0.2">
      <c r="A38" s="93" t="str">
        <f>Shares!R3</f>
        <v>US/HK Growth</v>
      </c>
      <c r="B38" s="97">
        <f>Shares!S3</f>
        <v>39594.911132508634</v>
      </c>
      <c r="E38" s="65"/>
      <c r="H38" s="53"/>
      <c r="J38" s="98" t="s">
        <v>166</v>
      </c>
      <c r="K38" s="99">
        <f>$B$46</f>
        <v>40000</v>
      </c>
      <c r="L38" s="84">
        <f t="shared" ca="1" si="0"/>
        <v>3.3418698412330056E-2</v>
      </c>
    </row>
    <row r="39" spans="1:14" ht="20.25" customHeight="1" x14ac:dyDescent="0.2">
      <c r="A39" s="93" t="str">
        <f>Shares!R4</f>
        <v>Reit/Dividend</v>
      </c>
      <c r="B39" s="97">
        <f>Shares!S4</f>
        <v>38740</v>
      </c>
      <c r="E39" s="65"/>
      <c r="H39" s="53"/>
      <c r="J39" s="100" t="s">
        <v>167</v>
      </c>
      <c r="K39" s="101">
        <f>B48</f>
        <v>78127</v>
      </c>
      <c r="L39" s="84">
        <f t="shared" ca="1" si="0"/>
        <v>6.5272566271502755E-2</v>
      </c>
    </row>
    <row r="40" spans="1:14" ht="20.25" customHeight="1" x14ac:dyDescent="0.2">
      <c r="A40" s="93" t="str">
        <f>Shares!R5</f>
        <v>Small Cap</v>
      </c>
      <c r="B40" s="97">
        <f>Shares!S5</f>
        <v>8149.9999999999991</v>
      </c>
      <c r="E40" s="65"/>
      <c r="H40" s="53"/>
      <c r="J40" s="100" t="str">
        <f>A49</f>
        <v>Commodities</v>
      </c>
      <c r="K40" s="101">
        <f>B49</f>
        <v>0</v>
      </c>
      <c r="L40" s="84">
        <f t="shared" ca="1" si="0"/>
        <v>0</v>
      </c>
    </row>
    <row r="41" spans="1:14" ht="20.25" customHeight="1" x14ac:dyDescent="0.2">
      <c r="A41" s="102" t="s">
        <v>132</v>
      </c>
      <c r="B41" s="103">
        <f>SUM(B36:B40)</f>
        <v>104737.44309718916</v>
      </c>
      <c r="E41" s="65"/>
      <c r="J41" s="104" t="str">
        <f>$A$53</f>
        <v>CPF OA (2.5%)</v>
      </c>
      <c r="K41" s="105">
        <f>$B$53</f>
        <v>95000</v>
      </c>
      <c r="L41" s="84">
        <f t="shared" ca="1" si="0"/>
        <v>7.9369408729283886E-2</v>
      </c>
    </row>
    <row r="42" spans="1:14" ht="20.25" customHeight="1" x14ac:dyDescent="0.2">
      <c r="A42" s="54"/>
      <c r="B42" s="53"/>
      <c r="E42" s="65"/>
      <c r="J42" s="104" t="s">
        <v>168</v>
      </c>
      <c r="K42" s="105">
        <f>$B54+$B55</f>
        <v>180000</v>
      </c>
      <c r="L42" s="84">
        <f t="shared" ca="1" si="0"/>
        <v>0.15038414285548524</v>
      </c>
    </row>
    <row r="43" spans="1:14" ht="20.25" customHeight="1" x14ac:dyDescent="0.2">
      <c r="A43" s="23" t="s">
        <v>169</v>
      </c>
      <c r="B43" s="92"/>
      <c r="E43" s="65"/>
      <c r="J43" s="106" t="str">
        <f>$A$59</f>
        <v>Real Properties</v>
      </c>
      <c r="K43" s="107">
        <f ca="1">$B$60-E22</f>
        <v>244570.26412772574</v>
      </c>
      <c r="L43" s="84">
        <f t="shared" ca="1" si="0"/>
        <v>0.20433049743770926</v>
      </c>
      <c r="M43" s="108"/>
    </row>
    <row r="44" spans="1:14" ht="20.25" customHeight="1" x14ac:dyDescent="0.2">
      <c r="A44" s="109" t="s">
        <v>170</v>
      </c>
      <c r="B44" s="56">
        <v>25000</v>
      </c>
      <c r="E44" s="65"/>
      <c r="J44" s="110" t="str">
        <f>$A$36</f>
        <v>Personal Loan to Friend</v>
      </c>
      <c r="K44" s="111">
        <f>$B$36</f>
        <v>5000</v>
      </c>
      <c r="L44" s="112">
        <f t="shared" ca="1" si="0"/>
        <v>4.177337301541257E-3</v>
      </c>
    </row>
    <row r="45" spans="1:14" ht="20.25" customHeight="1" x14ac:dyDescent="0.15">
      <c r="A45" s="109" t="s">
        <v>171</v>
      </c>
      <c r="B45" s="56">
        <v>15000</v>
      </c>
      <c r="E45" s="65"/>
      <c r="J45" s="113" t="s">
        <v>132</v>
      </c>
      <c r="K45" s="114">
        <f ca="1">SUM(K32:K44)</f>
        <v>1196934.7072249148</v>
      </c>
      <c r="L45" s="115">
        <f ca="1">SUM(L32:L44)</f>
        <v>1.0000000000000002</v>
      </c>
    </row>
    <row r="46" spans="1:14" ht="20.25" customHeight="1" x14ac:dyDescent="0.2">
      <c r="A46" s="102" t="s">
        <v>132</v>
      </c>
      <c r="B46" s="103">
        <f>SUM(B44:B45)</f>
        <v>40000</v>
      </c>
      <c r="D46" s="65"/>
      <c r="E46" s="65"/>
      <c r="J46" s="110"/>
      <c r="K46" s="116"/>
    </row>
    <row r="47" spans="1:14" ht="28.5" customHeight="1" x14ac:dyDescent="0.2">
      <c r="A47" s="64"/>
      <c r="B47" s="65"/>
      <c r="D47" s="64"/>
      <c r="E47" s="65"/>
      <c r="J47" s="110"/>
      <c r="K47" s="116"/>
    </row>
    <row r="48" spans="1:14" ht="20.25" customHeight="1" x14ac:dyDescent="0.2">
      <c r="A48" s="23" t="s">
        <v>172</v>
      </c>
      <c r="B48" s="117">
        <f>Shares!S8</f>
        <v>78127</v>
      </c>
      <c r="D48" s="64"/>
      <c r="E48" s="65"/>
      <c r="J48" s="110"/>
      <c r="K48" s="116"/>
    </row>
    <row r="49" spans="1:11" ht="20.25" customHeight="1" x14ac:dyDescent="0.2">
      <c r="A49" s="118" t="str">
        <f>Shares!R6</f>
        <v>Commodities</v>
      </c>
      <c r="B49" s="117">
        <f>Shares!S6</f>
        <v>0</v>
      </c>
      <c r="D49" s="64"/>
      <c r="E49" s="65"/>
      <c r="J49" s="110"/>
      <c r="K49" s="116"/>
    </row>
    <row r="50" spans="1:11" ht="20.25" customHeight="1" x14ac:dyDescent="0.2">
      <c r="A50" s="119" t="s">
        <v>132</v>
      </c>
      <c r="B50" s="120">
        <f>SUM(B48:B49)</f>
        <v>78127</v>
      </c>
      <c r="D50" s="64"/>
      <c r="E50" s="65"/>
      <c r="J50" s="110"/>
      <c r="K50" s="116"/>
    </row>
    <row r="51" spans="1:11" ht="20.25" customHeight="1" x14ac:dyDescent="0.2">
      <c r="B51" s="53"/>
      <c r="D51" s="64"/>
      <c r="E51" s="65"/>
      <c r="J51" s="110"/>
      <c r="K51" s="116"/>
    </row>
    <row r="52" spans="1:11" ht="15" customHeight="1" x14ac:dyDescent="0.15">
      <c r="A52" s="23" t="s">
        <v>173</v>
      </c>
      <c r="B52" s="53"/>
      <c r="C52" s="53"/>
      <c r="D52" s="64"/>
      <c r="E52" s="65"/>
      <c r="J52" s="53"/>
    </row>
    <row r="53" spans="1:11" ht="12.75" customHeight="1" x14ac:dyDescent="0.15">
      <c r="A53" s="121" t="s">
        <v>174</v>
      </c>
      <c r="B53" s="122">
        <v>95000</v>
      </c>
      <c r="C53" s="53"/>
      <c r="D53" s="64"/>
      <c r="E53" s="65"/>
      <c r="J53" s="53"/>
    </row>
    <row r="54" spans="1:11" ht="12.75" customHeight="1" x14ac:dyDescent="0.15">
      <c r="A54" s="121" t="s">
        <v>175</v>
      </c>
      <c r="B54" s="122">
        <v>130000</v>
      </c>
      <c r="C54" s="53"/>
      <c r="E54" s="53"/>
    </row>
    <row r="55" spans="1:11" ht="12.75" customHeight="1" x14ac:dyDescent="0.15">
      <c r="A55" s="121" t="s">
        <v>176</v>
      </c>
      <c r="B55" s="122">
        <v>50000</v>
      </c>
      <c r="C55" s="108"/>
      <c r="E55" s="53"/>
    </row>
    <row r="56" spans="1:11" ht="12.75" customHeight="1" x14ac:dyDescent="0.15">
      <c r="A56" s="121" t="s">
        <v>177</v>
      </c>
      <c r="B56" s="122">
        <v>0</v>
      </c>
      <c r="E56" s="53"/>
    </row>
    <row r="57" spans="1:11" ht="12.75" customHeight="1" x14ac:dyDescent="0.15">
      <c r="A57" s="60" t="s">
        <v>132</v>
      </c>
      <c r="B57" s="61">
        <f>SUM(B53:B56)</f>
        <v>275000</v>
      </c>
      <c r="E57" s="53"/>
    </row>
    <row r="58" spans="1:11" ht="12.75" customHeight="1" x14ac:dyDescent="0.15">
      <c r="A58" s="121"/>
      <c r="B58" s="123"/>
      <c r="E58" s="53"/>
    </row>
    <row r="59" spans="1:11" ht="15" customHeight="1" x14ac:dyDescent="0.15">
      <c r="A59" s="23" t="s">
        <v>178</v>
      </c>
      <c r="B59" s="53"/>
      <c r="E59" s="53"/>
    </row>
    <row r="60" spans="1:11" ht="12.75" customHeight="1" x14ac:dyDescent="0.15">
      <c r="A60" t="s">
        <v>179</v>
      </c>
      <c r="B60" s="30">
        <f>Housing!B20</f>
        <v>825000.00000000012</v>
      </c>
      <c r="E60" s="53"/>
    </row>
    <row r="61" spans="1:11" ht="12.75" customHeight="1" x14ac:dyDescent="0.15">
      <c r="B61" s="53"/>
      <c r="E61" s="53"/>
    </row>
    <row r="62" spans="1:11" ht="15" customHeight="1" x14ac:dyDescent="0.15">
      <c r="A62" s="23" t="s">
        <v>180</v>
      </c>
      <c r="B62" s="53"/>
      <c r="E62" s="53"/>
    </row>
    <row r="63" spans="1:11" ht="12.75" customHeight="1" x14ac:dyDescent="0.15">
      <c r="A63" t="s">
        <v>181</v>
      </c>
      <c r="B63" s="56">
        <v>45000</v>
      </c>
      <c r="E63" s="53"/>
    </row>
    <row r="64" spans="1:11" ht="12.75" customHeight="1" x14ac:dyDescent="0.15">
      <c r="E64" s="53"/>
    </row>
    <row r="65" spans="1:7" ht="12.75" customHeight="1" x14ac:dyDescent="0.15">
      <c r="E65" s="53"/>
    </row>
    <row r="66" spans="1:7" ht="12.75" customHeight="1" x14ac:dyDescent="0.15">
      <c r="E66" s="53"/>
    </row>
    <row r="67" spans="1:7" ht="12.75" customHeight="1" x14ac:dyDescent="0.15">
      <c r="A67" s="60" t="s">
        <v>60</v>
      </c>
      <c r="B67" s="61">
        <f>B18+B33+B46+B57+B63+B50+B41+B60</f>
        <v>1822364.4430971893</v>
      </c>
      <c r="D67" s="60" t="s">
        <v>61</v>
      </c>
      <c r="E67" s="61">
        <f ca="1">E9+E24</f>
        <v>596379.73587227438</v>
      </c>
    </row>
    <row r="68" spans="1:7" ht="12.75" customHeight="1" x14ac:dyDescent="0.2">
      <c r="A68" s="60" t="s">
        <v>182</v>
      </c>
      <c r="B68" s="61">
        <f>B18+B33+B46+B50+B57+B41</f>
        <v>952364.44309718919</v>
      </c>
      <c r="D68" s="124" t="s">
        <v>56</v>
      </c>
      <c r="E68" s="125">
        <f ca="1">B67-E67</f>
        <v>1225984.7072249148</v>
      </c>
      <c r="F68" s="126">
        <f ca="1">E68-E25-E26</f>
        <v>840274.32738686155</v>
      </c>
      <c r="G68" s="38" t="s">
        <v>183</v>
      </c>
    </row>
    <row r="69" spans="1:7" ht="12.75" customHeight="1" x14ac:dyDescent="0.15">
      <c r="A69" s="127" t="s">
        <v>184</v>
      </c>
      <c r="B69" s="128">
        <f>B18</f>
        <v>137500</v>
      </c>
      <c r="D69" s="64" t="s">
        <v>185</v>
      </c>
      <c r="E69" s="61">
        <f ca="1">0.03*E68</f>
        <v>36779.541216747442</v>
      </c>
      <c r="F69" s="129">
        <f ca="1">0.03*F68</f>
        <v>25208.229821605844</v>
      </c>
    </row>
    <row r="70" spans="1:7" ht="12.75" customHeight="1" x14ac:dyDescent="0.15">
      <c r="D70" s="64" t="s">
        <v>186</v>
      </c>
      <c r="E70" s="61">
        <f ca="1">E69/12</f>
        <v>3064.9617680622869</v>
      </c>
      <c r="F70" s="129">
        <f ca="1">F69/12</f>
        <v>2100.6858184671537</v>
      </c>
    </row>
    <row r="71" spans="1:7" ht="12.75" customHeight="1" x14ac:dyDescent="0.15">
      <c r="E71" s="53"/>
    </row>
  </sheetData>
  <mergeCells count="2">
    <mergeCell ref="A2:B2"/>
    <mergeCell ref="D2:E2"/>
  </mergeCells>
  <conditionalFormatting sqref="L32:L42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ageMargins left="0.75" right="0.75" top="1" bottom="1" header="0.511811023622047" footer="0.511811023622047"/>
  <pageSetup scale="96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60"/>
  <sheetViews>
    <sheetView zoomScaleNormal="100" workbookViewId="0">
      <pane ySplit="12" topLeftCell="A13" activePane="bottomLeft" state="frozen"/>
      <selection pane="bottomLeft"/>
    </sheetView>
  </sheetViews>
  <sheetFormatPr baseColWidth="10" defaultColWidth="8.6640625" defaultRowHeight="13" x14ac:dyDescent="0.15"/>
  <cols>
    <col min="1" max="1" width="12" customWidth="1"/>
    <col min="2" max="2" width="16" customWidth="1"/>
    <col min="3" max="3" width="14" customWidth="1"/>
    <col min="4" max="4" width="16" customWidth="1"/>
    <col min="5" max="5" width="14" customWidth="1"/>
    <col min="6" max="7" width="12" customWidth="1"/>
    <col min="8" max="8" width="36" customWidth="1"/>
  </cols>
  <sheetData>
    <row r="1" spans="1:8" ht="15" customHeight="1" x14ac:dyDescent="0.2">
      <c r="A1" s="78" t="s">
        <v>187</v>
      </c>
    </row>
    <row r="2" spans="1:8" ht="15" customHeight="1" x14ac:dyDescent="0.15">
      <c r="A2" s="38" t="s">
        <v>188</v>
      </c>
    </row>
    <row r="4" spans="1:8" ht="15" customHeight="1" x14ac:dyDescent="0.15">
      <c r="A4" s="33" t="s">
        <v>189</v>
      </c>
    </row>
    <row r="5" spans="1:8" ht="15" customHeight="1" x14ac:dyDescent="0.15">
      <c r="A5" t="s">
        <v>190</v>
      </c>
      <c r="B5" s="130">
        <f ca="1">IFERROR(AVERAGEIFS($B$13:$B$60,$A$13:$A$60,"&gt;"&amp;EDATE(TODAY(),-12)),"")</f>
        <v>8000</v>
      </c>
    </row>
    <row r="6" spans="1:8" ht="15" customHeight="1" x14ac:dyDescent="0.15">
      <c r="A6" t="s">
        <v>191</v>
      </c>
      <c r="B6" s="130">
        <f ca="1">IFERROR(AVERAGEIFS($E$13:$E$60,$A$13:$A$60,"&gt;"&amp;EDATE(TODAY(),-12)),"")</f>
        <v>5000</v>
      </c>
      <c r="C6" s="38" t="str">
        <f>"plan (Settings): "&amp;TEXT(Settings!$B$31,"$#,##0")</f>
        <v>plan (Settings): $5,000</v>
      </c>
    </row>
    <row r="7" spans="1:8" ht="15" customHeight="1" x14ac:dyDescent="0.15">
      <c r="A7" t="s">
        <v>192</v>
      </c>
      <c r="B7" s="115">
        <f ca="1">IFERROR(1-B6/B5,"")</f>
        <v>0.375</v>
      </c>
    </row>
    <row r="8" spans="1:8" ht="15" customHeight="1" x14ac:dyDescent="0.15">
      <c r="A8" t="s">
        <v>193</v>
      </c>
      <c r="B8" s="130">
        <f ca="1">IFERROR((B5-B6)*12,"")</f>
        <v>36000</v>
      </c>
      <c r="C8" s="38" t="str">
        <f>"plan (Settings): "&amp;TEXT(Settings!$B$8,"$#,##0")</f>
        <v>plan (Settings): $30,000</v>
      </c>
    </row>
    <row r="10" spans="1:8" ht="15" customHeight="1" x14ac:dyDescent="0.15">
      <c r="A10" s="38" t="s">
        <v>194</v>
      </c>
    </row>
    <row r="12" spans="1:8" ht="15" customHeight="1" x14ac:dyDescent="0.15">
      <c r="A12" s="113" t="s">
        <v>195</v>
      </c>
      <c r="B12" s="113" t="s">
        <v>196</v>
      </c>
      <c r="C12" s="113" t="s">
        <v>197</v>
      </c>
      <c r="D12" s="113" t="s">
        <v>198</v>
      </c>
      <c r="E12" s="113" t="s">
        <v>199</v>
      </c>
      <c r="F12" s="113" t="s">
        <v>200</v>
      </c>
      <c r="G12" s="113" t="s">
        <v>201</v>
      </c>
      <c r="H12" s="113" t="s">
        <v>202</v>
      </c>
    </row>
    <row r="13" spans="1:8" ht="15" customHeight="1" x14ac:dyDescent="0.15">
      <c r="A13" s="131">
        <v>46174</v>
      </c>
      <c r="B13" s="48">
        <v>8000</v>
      </c>
      <c r="C13" s="48">
        <v>3500</v>
      </c>
      <c r="D13" s="48">
        <v>1500</v>
      </c>
      <c r="E13" s="30">
        <f t="shared" ref="E13:E60" si="0">IF($A13="","",$C13+$D13)</f>
        <v>5000</v>
      </c>
      <c r="F13" s="30">
        <f t="shared" ref="F13:F60" si="1">IF($A13="","",$B13-$E13)</f>
        <v>3000</v>
      </c>
      <c r="G13" s="112">
        <f t="shared" ref="G13:G60" si="2">IF(OR($A13="",$B13="",$B13=0),"",$F13/$B13)</f>
        <v>0.375</v>
      </c>
      <c r="H13" t="s">
        <v>203</v>
      </c>
    </row>
    <row r="14" spans="1:8" ht="15" customHeight="1" x14ac:dyDescent="0.15">
      <c r="A14" s="131"/>
      <c r="B14" s="48"/>
      <c r="C14" s="48"/>
      <c r="D14" s="48"/>
      <c r="E14" s="30" t="str">
        <f t="shared" si="0"/>
        <v/>
      </c>
      <c r="F14" s="30" t="str">
        <f t="shared" si="1"/>
        <v/>
      </c>
      <c r="G14" s="112" t="str">
        <f t="shared" si="2"/>
        <v/>
      </c>
    </row>
    <row r="15" spans="1:8" ht="15" customHeight="1" x14ac:dyDescent="0.15">
      <c r="A15" s="131"/>
      <c r="B15" s="48"/>
      <c r="C15" s="48"/>
      <c r="D15" s="48"/>
      <c r="E15" s="30" t="str">
        <f t="shared" si="0"/>
        <v/>
      </c>
      <c r="F15" s="30" t="str">
        <f t="shared" si="1"/>
        <v/>
      </c>
      <c r="G15" s="112" t="str">
        <f t="shared" si="2"/>
        <v/>
      </c>
    </row>
    <row r="16" spans="1:8" ht="15" customHeight="1" x14ac:dyDescent="0.15">
      <c r="A16" s="131"/>
      <c r="B16" s="48"/>
      <c r="C16" s="48"/>
      <c r="D16" s="48"/>
      <c r="E16" s="30" t="str">
        <f t="shared" si="0"/>
        <v/>
      </c>
      <c r="F16" s="30" t="str">
        <f t="shared" si="1"/>
        <v/>
      </c>
      <c r="G16" s="112" t="str">
        <f t="shared" si="2"/>
        <v/>
      </c>
    </row>
    <row r="17" spans="1:7" ht="15" customHeight="1" x14ac:dyDescent="0.15">
      <c r="A17" s="131"/>
      <c r="B17" s="48"/>
      <c r="C17" s="48"/>
      <c r="D17" s="48"/>
      <c r="E17" s="30" t="str">
        <f t="shared" si="0"/>
        <v/>
      </c>
      <c r="F17" s="30" t="str">
        <f t="shared" si="1"/>
        <v/>
      </c>
      <c r="G17" s="112" t="str">
        <f t="shared" si="2"/>
        <v/>
      </c>
    </row>
    <row r="18" spans="1:7" ht="15" customHeight="1" x14ac:dyDescent="0.15">
      <c r="A18" s="131"/>
      <c r="B18" s="48"/>
      <c r="C18" s="48"/>
      <c r="D18" s="48"/>
      <c r="E18" s="30" t="str">
        <f t="shared" si="0"/>
        <v/>
      </c>
      <c r="F18" s="30" t="str">
        <f t="shared" si="1"/>
        <v/>
      </c>
      <c r="G18" s="112" t="str">
        <f t="shared" si="2"/>
        <v/>
      </c>
    </row>
    <row r="19" spans="1:7" ht="15" customHeight="1" x14ac:dyDescent="0.15">
      <c r="A19" s="131"/>
      <c r="B19" s="48"/>
      <c r="C19" s="48"/>
      <c r="D19" s="48"/>
      <c r="E19" s="30" t="str">
        <f t="shared" si="0"/>
        <v/>
      </c>
      <c r="F19" s="30" t="str">
        <f t="shared" si="1"/>
        <v/>
      </c>
      <c r="G19" s="112" t="str">
        <f t="shared" si="2"/>
        <v/>
      </c>
    </row>
    <row r="20" spans="1:7" ht="15" customHeight="1" x14ac:dyDescent="0.15">
      <c r="A20" s="131"/>
      <c r="B20" s="48"/>
      <c r="C20" s="48"/>
      <c r="D20" s="48"/>
      <c r="E20" s="30" t="str">
        <f t="shared" si="0"/>
        <v/>
      </c>
      <c r="F20" s="30" t="str">
        <f t="shared" si="1"/>
        <v/>
      </c>
      <c r="G20" s="112" t="str">
        <f t="shared" si="2"/>
        <v/>
      </c>
    </row>
    <row r="21" spans="1:7" ht="15" customHeight="1" x14ac:dyDescent="0.15">
      <c r="A21" s="131"/>
      <c r="B21" s="48"/>
      <c r="C21" s="48"/>
      <c r="D21" s="48"/>
      <c r="E21" s="30" t="str">
        <f t="shared" si="0"/>
        <v/>
      </c>
      <c r="F21" s="30" t="str">
        <f t="shared" si="1"/>
        <v/>
      </c>
      <c r="G21" s="112" t="str">
        <f t="shared" si="2"/>
        <v/>
      </c>
    </row>
    <row r="22" spans="1:7" ht="15" customHeight="1" x14ac:dyDescent="0.15">
      <c r="A22" s="131"/>
      <c r="B22" s="48"/>
      <c r="C22" s="48"/>
      <c r="D22" s="48"/>
      <c r="E22" s="30" t="str">
        <f t="shared" si="0"/>
        <v/>
      </c>
      <c r="F22" s="30" t="str">
        <f t="shared" si="1"/>
        <v/>
      </c>
      <c r="G22" s="112" t="str">
        <f t="shared" si="2"/>
        <v/>
      </c>
    </row>
    <row r="23" spans="1:7" ht="15" customHeight="1" x14ac:dyDescent="0.15">
      <c r="A23" s="131"/>
      <c r="B23" s="48"/>
      <c r="C23" s="48"/>
      <c r="D23" s="48"/>
      <c r="E23" s="30" t="str">
        <f t="shared" si="0"/>
        <v/>
      </c>
      <c r="F23" s="30" t="str">
        <f t="shared" si="1"/>
        <v/>
      </c>
      <c r="G23" s="112" t="str">
        <f t="shared" si="2"/>
        <v/>
      </c>
    </row>
    <row r="24" spans="1:7" ht="15" customHeight="1" x14ac:dyDescent="0.15">
      <c r="A24" s="131"/>
      <c r="B24" s="48"/>
      <c r="C24" s="48"/>
      <c r="D24" s="48"/>
      <c r="E24" s="30" t="str">
        <f t="shared" si="0"/>
        <v/>
      </c>
      <c r="F24" s="30" t="str">
        <f t="shared" si="1"/>
        <v/>
      </c>
      <c r="G24" s="112" t="str">
        <f t="shared" si="2"/>
        <v/>
      </c>
    </row>
    <row r="25" spans="1:7" ht="15" customHeight="1" x14ac:dyDescent="0.15">
      <c r="A25" s="131"/>
      <c r="B25" s="48"/>
      <c r="C25" s="48"/>
      <c r="D25" s="48"/>
      <c r="E25" s="30" t="str">
        <f t="shared" si="0"/>
        <v/>
      </c>
      <c r="F25" s="30" t="str">
        <f t="shared" si="1"/>
        <v/>
      </c>
      <c r="G25" s="112" t="str">
        <f t="shared" si="2"/>
        <v/>
      </c>
    </row>
    <row r="26" spans="1:7" ht="15" customHeight="1" x14ac:dyDescent="0.15">
      <c r="A26" s="131"/>
      <c r="B26" s="48"/>
      <c r="C26" s="48"/>
      <c r="D26" s="48"/>
      <c r="E26" s="30" t="str">
        <f t="shared" si="0"/>
        <v/>
      </c>
      <c r="F26" s="30" t="str">
        <f t="shared" si="1"/>
        <v/>
      </c>
      <c r="G26" s="112" t="str">
        <f t="shared" si="2"/>
        <v/>
      </c>
    </row>
    <row r="27" spans="1:7" ht="15" customHeight="1" x14ac:dyDescent="0.15">
      <c r="A27" s="131"/>
      <c r="B27" s="48"/>
      <c r="C27" s="48"/>
      <c r="D27" s="48"/>
      <c r="E27" s="30" t="str">
        <f t="shared" si="0"/>
        <v/>
      </c>
      <c r="F27" s="30" t="str">
        <f t="shared" si="1"/>
        <v/>
      </c>
      <c r="G27" s="112" t="str">
        <f t="shared" si="2"/>
        <v/>
      </c>
    </row>
    <row r="28" spans="1:7" ht="15" customHeight="1" x14ac:dyDescent="0.15">
      <c r="A28" s="131"/>
      <c r="B28" s="48"/>
      <c r="C28" s="48"/>
      <c r="D28" s="48"/>
      <c r="E28" s="30" t="str">
        <f t="shared" si="0"/>
        <v/>
      </c>
      <c r="F28" s="30" t="str">
        <f t="shared" si="1"/>
        <v/>
      </c>
      <c r="G28" s="112" t="str">
        <f t="shared" si="2"/>
        <v/>
      </c>
    </row>
    <row r="29" spans="1:7" ht="15" customHeight="1" x14ac:dyDescent="0.15">
      <c r="A29" s="131"/>
      <c r="B29" s="48"/>
      <c r="C29" s="48"/>
      <c r="D29" s="48"/>
      <c r="E29" s="30" t="str">
        <f t="shared" si="0"/>
        <v/>
      </c>
      <c r="F29" s="30" t="str">
        <f t="shared" si="1"/>
        <v/>
      </c>
      <c r="G29" s="112" t="str">
        <f t="shared" si="2"/>
        <v/>
      </c>
    </row>
    <row r="30" spans="1:7" ht="15" customHeight="1" x14ac:dyDescent="0.15">
      <c r="A30" s="131"/>
      <c r="B30" s="48"/>
      <c r="C30" s="48"/>
      <c r="D30" s="48"/>
      <c r="E30" s="30" t="str">
        <f t="shared" si="0"/>
        <v/>
      </c>
      <c r="F30" s="30" t="str">
        <f t="shared" si="1"/>
        <v/>
      </c>
      <c r="G30" s="112" t="str">
        <f t="shared" si="2"/>
        <v/>
      </c>
    </row>
    <row r="31" spans="1:7" ht="15" customHeight="1" x14ac:dyDescent="0.15">
      <c r="A31" s="131"/>
      <c r="B31" s="48"/>
      <c r="C31" s="48"/>
      <c r="D31" s="48"/>
      <c r="E31" s="30" t="str">
        <f t="shared" si="0"/>
        <v/>
      </c>
      <c r="F31" s="30" t="str">
        <f t="shared" si="1"/>
        <v/>
      </c>
      <c r="G31" s="112" t="str">
        <f t="shared" si="2"/>
        <v/>
      </c>
    </row>
    <row r="32" spans="1:7" ht="15" customHeight="1" x14ac:dyDescent="0.15">
      <c r="A32" s="131"/>
      <c r="B32" s="48"/>
      <c r="C32" s="48"/>
      <c r="D32" s="48"/>
      <c r="E32" s="30" t="str">
        <f t="shared" si="0"/>
        <v/>
      </c>
      <c r="F32" s="30" t="str">
        <f t="shared" si="1"/>
        <v/>
      </c>
      <c r="G32" s="112" t="str">
        <f t="shared" si="2"/>
        <v/>
      </c>
    </row>
    <row r="33" spans="1:7" ht="15" customHeight="1" x14ac:dyDescent="0.15">
      <c r="A33" s="131"/>
      <c r="B33" s="48"/>
      <c r="C33" s="48"/>
      <c r="D33" s="48"/>
      <c r="E33" s="30" t="str">
        <f t="shared" si="0"/>
        <v/>
      </c>
      <c r="F33" s="30" t="str">
        <f t="shared" si="1"/>
        <v/>
      </c>
      <c r="G33" s="112" t="str">
        <f t="shared" si="2"/>
        <v/>
      </c>
    </row>
    <row r="34" spans="1:7" ht="15" customHeight="1" x14ac:dyDescent="0.15">
      <c r="A34" s="131"/>
      <c r="B34" s="48"/>
      <c r="C34" s="48"/>
      <c r="D34" s="48"/>
      <c r="E34" s="30" t="str">
        <f t="shared" si="0"/>
        <v/>
      </c>
      <c r="F34" s="30" t="str">
        <f t="shared" si="1"/>
        <v/>
      </c>
      <c r="G34" s="112" t="str">
        <f t="shared" si="2"/>
        <v/>
      </c>
    </row>
    <row r="35" spans="1:7" ht="15" customHeight="1" x14ac:dyDescent="0.15">
      <c r="A35" s="131"/>
      <c r="B35" s="48"/>
      <c r="C35" s="48"/>
      <c r="D35" s="48"/>
      <c r="E35" s="30" t="str">
        <f t="shared" si="0"/>
        <v/>
      </c>
      <c r="F35" s="30" t="str">
        <f t="shared" si="1"/>
        <v/>
      </c>
      <c r="G35" s="112" t="str">
        <f t="shared" si="2"/>
        <v/>
      </c>
    </row>
    <row r="36" spans="1:7" ht="15" customHeight="1" x14ac:dyDescent="0.15">
      <c r="A36" s="131"/>
      <c r="B36" s="48"/>
      <c r="C36" s="48"/>
      <c r="D36" s="48"/>
      <c r="E36" s="30" t="str">
        <f t="shared" si="0"/>
        <v/>
      </c>
      <c r="F36" s="30" t="str">
        <f t="shared" si="1"/>
        <v/>
      </c>
      <c r="G36" s="112" t="str">
        <f t="shared" si="2"/>
        <v/>
      </c>
    </row>
    <row r="37" spans="1:7" ht="15" customHeight="1" x14ac:dyDescent="0.15">
      <c r="A37" s="131"/>
      <c r="B37" s="48"/>
      <c r="C37" s="48"/>
      <c r="D37" s="48"/>
      <c r="E37" s="30" t="str">
        <f t="shared" si="0"/>
        <v/>
      </c>
      <c r="F37" s="30" t="str">
        <f t="shared" si="1"/>
        <v/>
      </c>
      <c r="G37" s="112" t="str">
        <f t="shared" si="2"/>
        <v/>
      </c>
    </row>
    <row r="38" spans="1:7" ht="15" customHeight="1" x14ac:dyDescent="0.15">
      <c r="A38" s="131"/>
      <c r="B38" s="48"/>
      <c r="C38" s="48"/>
      <c r="D38" s="48"/>
      <c r="E38" s="30" t="str">
        <f t="shared" si="0"/>
        <v/>
      </c>
      <c r="F38" s="30" t="str">
        <f t="shared" si="1"/>
        <v/>
      </c>
      <c r="G38" s="112" t="str">
        <f t="shared" si="2"/>
        <v/>
      </c>
    </row>
    <row r="39" spans="1:7" ht="15" customHeight="1" x14ac:dyDescent="0.15">
      <c r="A39" s="131"/>
      <c r="B39" s="48"/>
      <c r="C39" s="48"/>
      <c r="D39" s="48"/>
      <c r="E39" s="30" t="str">
        <f t="shared" si="0"/>
        <v/>
      </c>
      <c r="F39" s="30" t="str">
        <f t="shared" si="1"/>
        <v/>
      </c>
      <c r="G39" s="112" t="str">
        <f t="shared" si="2"/>
        <v/>
      </c>
    </row>
    <row r="40" spans="1:7" ht="15" customHeight="1" x14ac:dyDescent="0.15">
      <c r="A40" s="131"/>
      <c r="B40" s="48"/>
      <c r="C40" s="48"/>
      <c r="D40" s="48"/>
      <c r="E40" s="30" t="str">
        <f t="shared" si="0"/>
        <v/>
      </c>
      <c r="F40" s="30" t="str">
        <f t="shared" si="1"/>
        <v/>
      </c>
      <c r="G40" s="112" t="str">
        <f t="shared" si="2"/>
        <v/>
      </c>
    </row>
    <row r="41" spans="1:7" ht="15" customHeight="1" x14ac:dyDescent="0.15">
      <c r="A41" s="131"/>
      <c r="B41" s="48"/>
      <c r="C41" s="48"/>
      <c r="D41" s="48"/>
      <c r="E41" s="30" t="str">
        <f t="shared" si="0"/>
        <v/>
      </c>
      <c r="F41" s="30" t="str">
        <f t="shared" si="1"/>
        <v/>
      </c>
      <c r="G41" s="112" t="str">
        <f t="shared" si="2"/>
        <v/>
      </c>
    </row>
    <row r="42" spans="1:7" ht="15" customHeight="1" x14ac:dyDescent="0.15">
      <c r="A42" s="131"/>
      <c r="B42" s="48"/>
      <c r="C42" s="48"/>
      <c r="D42" s="48"/>
      <c r="E42" s="30" t="str">
        <f t="shared" si="0"/>
        <v/>
      </c>
      <c r="F42" s="30" t="str">
        <f t="shared" si="1"/>
        <v/>
      </c>
      <c r="G42" s="112" t="str">
        <f t="shared" si="2"/>
        <v/>
      </c>
    </row>
    <row r="43" spans="1:7" ht="15" customHeight="1" x14ac:dyDescent="0.15">
      <c r="A43" s="131"/>
      <c r="B43" s="48"/>
      <c r="C43" s="48"/>
      <c r="D43" s="48"/>
      <c r="E43" s="30" t="str">
        <f t="shared" si="0"/>
        <v/>
      </c>
      <c r="F43" s="30" t="str">
        <f t="shared" si="1"/>
        <v/>
      </c>
      <c r="G43" s="112" t="str">
        <f t="shared" si="2"/>
        <v/>
      </c>
    </row>
    <row r="44" spans="1:7" ht="15" customHeight="1" x14ac:dyDescent="0.15">
      <c r="A44" s="131"/>
      <c r="B44" s="48"/>
      <c r="C44" s="48"/>
      <c r="D44" s="48"/>
      <c r="E44" s="30" t="str">
        <f t="shared" si="0"/>
        <v/>
      </c>
      <c r="F44" s="30" t="str">
        <f t="shared" si="1"/>
        <v/>
      </c>
      <c r="G44" s="112" t="str">
        <f t="shared" si="2"/>
        <v/>
      </c>
    </row>
    <row r="45" spans="1:7" ht="15" customHeight="1" x14ac:dyDescent="0.15">
      <c r="A45" s="131"/>
      <c r="B45" s="48"/>
      <c r="C45" s="48"/>
      <c r="D45" s="48"/>
      <c r="E45" s="30" t="str">
        <f t="shared" si="0"/>
        <v/>
      </c>
      <c r="F45" s="30" t="str">
        <f t="shared" si="1"/>
        <v/>
      </c>
      <c r="G45" s="112" t="str">
        <f t="shared" si="2"/>
        <v/>
      </c>
    </row>
    <row r="46" spans="1:7" ht="15" customHeight="1" x14ac:dyDescent="0.15">
      <c r="A46" s="131"/>
      <c r="B46" s="48"/>
      <c r="C46" s="48"/>
      <c r="D46" s="48"/>
      <c r="E46" s="30" t="str">
        <f t="shared" si="0"/>
        <v/>
      </c>
      <c r="F46" s="30" t="str">
        <f t="shared" si="1"/>
        <v/>
      </c>
      <c r="G46" s="112" t="str">
        <f t="shared" si="2"/>
        <v/>
      </c>
    </row>
    <row r="47" spans="1:7" ht="15" customHeight="1" x14ac:dyDescent="0.15">
      <c r="A47" s="131"/>
      <c r="B47" s="48"/>
      <c r="C47" s="48"/>
      <c r="D47" s="48"/>
      <c r="E47" s="30" t="str">
        <f t="shared" si="0"/>
        <v/>
      </c>
      <c r="F47" s="30" t="str">
        <f t="shared" si="1"/>
        <v/>
      </c>
      <c r="G47" s="112" t="str">
        <f t="shared" si="2"/>
        <v/>
      </c>
    </row>
    <row r="48" spans="1:7" ht="15" customHeight="1" x14ac:dyDescent="0.15">
      <c r="A48" s="131"/>
      <c r="B48" s="48"/>
      <c r="C48" s="48"/>
      <c r="D48" s="48"/>
      <c r="E48" s="30" t="str">
        <f t="shared" si="0"/>
        <v/>
      </c>
      <c r="F48" s="30" t="str">
        <f t="shared" si="1"/>
        <v/>
      </c>
      <c r="G48" s="112" t="str">
        <f t="shared" si="2"/>
        <v/>
      </c>
    </row>
    <row r="49" spans="1:7" ht="15" customHeight="1" x14ac:dyDescent="0.15">
      <c r="A49" s="131"/>
      <c r="B49" s="48"/>
      <c r="C49" s="48"/>
      <c r="D49" s="48"/>
      <c r="E49" s="30" t="str">
        <f t="shared" si="0"/>
        <v/>
      </c>
      <c r="F49" s="30" t="str">
        <f t="shared" si="1"/>
        <v/>
      </c>
      <c r="G49" s="112" t="str">
        <f t="shared" si="2"/>
        <v/>
      </c>
    </row>
    <row r="50" spans="1:7" ht="15" customHeight="1" x14ac:dyDescent="0.15">
      <c r="A50" s="131"/>
      <c r="B50" s="48"/>
      <c r="C50" s="48"/>
      <c r="D50" s="48"/>
      <c r="E50" s="30" t="str">
        <f t="shared" si="0"/>
        <v/>
      </c>
      <c r="F50" s="30" t="str">
        <f t="shared" si="1"/>
        <v/>
      </c>
      <c r="G50" s="112" t="str">
        <f t="shared" si="2"/>
        <v/>
      </c>
    </row>
    <row r="51" spans="1:7" ht="15" customHeight="1" x14ac:dyDescent="0.15">
      <c r="A51" s="131"/>
      <c r="B51" s="48"/>
      <c r="C51" s="48"/>
      <c r="D51" s="48"/>
      <c r="E51" s="30" t="str">
        <f t="shared" si="0"/>
        <v/>
      </c>
      <c r="F51" s="30" t="str">
        <f t="shared" si="1"/>
        <v/>
      </c>
      <c r="G51" s="112" t="str">
        <f t="shared" si="2"/>
        <v/>
      </c>
    </row>
    <row r="52" spans="1:7" ht="15" customHeight="1" x14ac:dyDescent="0.15">
      <c r="A52" s="131"/>
      <c r="B52" s="48"/>
      <c r="C52" s="48"/>
      <c r="D52" s="48"/>
      <c r="E52" s="30" t="str">
        <f t="shared" si="0"/>
        <v/>
      </c>
      <c r="F52" s="30" t="str">
        <f t="shared" si="1"/>
        <v/>
      </c>
      <c r="G52" s="112" t="str">
        <f t="shared" si="2"/>
        <v/>
      </c>
    </row>
    <row r="53" spans="1:7" ht="15" customHeight="1" x14ac:dyDescent="0.15">
      <c r="A53" s="131"/>
      <c r="B53" s="48"/>
      <c r="C53" s="48"/>
      <c r="D53" s="48"/>
      <c r="E53" s="30" t="str">
        <f t="shared" si="0"/>
        <v/>
      </c>
      <c r="F53" s="30" t="str">
        <f t="shared" si="1"/>
        <v/>
      </c>
      <c r="G53" s="112" t="str">
        <f t="shared" si="2"/>
        <v/>
      </c>
    </row>
    <row r="54" spans="1:7" ht="15" customHeight="1" x14ac:dyDescent="0.15">
      <c r="A54" s="131"/>
      <c r="B54" s="48"/>
      <c r="C54" s="48"/>
      <c r="D54" s="48"/>
      <c r="E54" s="30" t="str">
        <f t="shared" si="0"/>
        <v/>
      </c>
      <c r="F54" s="30" t="str">
        <f t="shared" si="1"/>
        <v/>
      </c>
      <c r="G54" s="112" t="str">
        <f t="shared" si="2"/>
        <v/>
      </c>
    </row>
    <row r="55" spans="1:7" ht="15" customHeight="1" x14ac:dyDescent="0.15">
      <c r="A55" s="131"/>
      <c r="B55" s="48"/>
      <c r="C55" s="48"/>
      <c r="D55" s="48"/>
      <c r="E55" s="30" t="str">
        <f t="shared" si="0"/>
        <v/>
      </c>
      <c r="F55" s="30" t="str">
        <f t="shared" si="1"/>
        <v/>
      </c>
      <c r="G55" s="112" t="str">
        <f t="shared" si="2"/>
        <v/>
      </c>
    </row>
    <row r="56" spans="1:7" ht="15" customHeight="1" x14ac:dyDescent="0.15">
      <c r="A56" s="131"/>
      <c r="B56" s="48"/>
      <c r="C56" s="48"/>
      <c r="D56" s="48"/>
      <c r="E56" s="30" t="str">
        <f t="shared" si="0"/>
        <v/>
      </c>
      <c r="F56" s="30" t="str">
        <f t="shared" si="1"/>
        <v/>
      </c>
      <c r="G56" s="112" t="str">
        <f t="shared" si="2"/>
        <v/>
      </c>
    </row>
    <row r="57" spans="1:7" ht="15" customHeight="1" x14ac:dyDescent="0.15">
      <c r="A57" s="131"/>
      <c r="B57" s="48"/>
      <c r="C57" s="48"/>
      <c r="D57" s="48"/>
      <c r="E57" s="30" t="str">
        <f t="shared" si="0"/>
        <v/>
      </c>
      <c r="F57" s="30" t="str">
        <f t="shared" si="1"/>
        <v/>
      </c>
      <c r="G57" s="112" t="str">
        <f t="shared" si="2"/>
        <v/>
      </c>
    </row>
    <row r="58" spans="1:7" ht="15" customHeight="1" x14ac:dyDescent="0.15">
      <c r="A58" s="131"/>
      <c r="B58" s="48"/>
      <c r="C58" s="48"/>
      <c r="D58" s="48"/>
      <c r="E58" s="30" t="str">
        <f t="shared" si="0"/>
        <v/>
      </c>
      <c r="F58" s="30" t="str">
        <f t="shared" si="1"/>
        <v/>
      </c>
      <c r="G58" s="112" t="str">
        <f t="shared" si="2"/>
        <v/>
      </c>
    </row>
    <row r="59" spans="1:7" ht="15" customHeight="1" x14ac:dyDescent="0.15">
      <c r="A59" s="131"/>
      <c r="B59" s="48"/>
      <c r="C59" s="48"/>
      <c r="D59" s="48"/>
      <c r="E59" s="30" t="str">
        <f t="shared" si="0"/>
        <v/>
      </c>
      <c r="F59" s="30" t="str">
        <f t="shared" si="1"/>
        <v/>
      </c>
      <c r="G59" s="112" t="str">
        <f t="shared" si="2"/>
        <v/>
      </c>
    </row>
    <row r="60" spans="1:7" ht="15" customHeight="1" x14ac:dyDescent="0.15">
      <c r="A60" s="131"/>
      <c r="B60" s="48"/>
      <c r="C60" s="48"/>
      <c r="D60" s="48"/>
      <c r="E60" s="30" t="str">
        <f t="shared" si="0"/>
        <v/>
      </c>
      <c r="F60" s="30" t="str">
        <f t="shared" si="1"/>
        <v/>
      </c>
      <c r="G60" s="112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G4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4" width="15" customWidth="1"/>
    <col min="5" max="5" width="10" customWidth="1"/>
    <col min="6" max="6" width="15" customWidth="1"/>
    <col min="7" max="7" width="28" customWidth="1"/>
  </cols>
  <sheetData>
    <row r="1" spans="1:7" ht="20.25" customHeight="1" x14ac:dyDescent="0.2">
      <c r="A1" s="42" t="s">
        <v>204</v>
      </c>
    </row>
    <row r="2" spans="1:7" ht="12.75" customHeight="1" x14ac:dyDescent="0.15">
      <c r="A2" s="22" t="s">
        <v>205</v>
      </c>
    </row>
    <row r="4" spans="1:7" ht="30" customHeight="1" x14ac:dyDescent="0.15">
      <c r="A4" s="27" t="s">
        <v>206</v>
      </c>
      <c r="B4" s="27" t="s">
        <v>56</v>
      </c>
      <c r="C4" s="27" t="s">
        <v>207</v>
      </c>
      <c r="D4" s="27" t="s">
        <v>208</v>
      </c>
      <c r="E4" s="27" t="s">
        <v>209</v>
      </c>
      <c r="F4" s="27" t="s">
        <v>210</v>
      </c>
      <c r="G4" s="27" t="s">
        <v>202</v>
      </c>
    </row>
    <row r="5" spans="1:7" ht="12.75" customHeight="1" x14ac:dyDescent="0.15">
      <c r="A5" s="132">
        <v>45627</v>
      </c>
      <c r="B5" s="56">
        <v>1050000</v>
      </c>
      <c r="C5" s="70"/>
      <c r="D5" s="70"/>
      <c r="E5" s="84"/>
      <c r="F5" s="70"/>
      <c r="G5" s="133" t="s">
        <v>211</v>
      </c>
    </row>
    <row r="6" spans="1:7" ht="12.75" customHeight="1" x14ac:dyDescent="0.15">
      <c r="A6" s="132">
        <v>45717</v>
      </c>
      <c r="B6" s="56">
        <v>1082000</v>
      </c>
      <c r="C6" s="70">
        <f t="shared" ref="C6:C40" si="0">IF(OR($A6="",$B6=""),"",IF($B5="","",$B6-$B5))</f>
        <v>32000</v>
      </c>
      <c r="D6" s="70" t="str">
        <f>IF(OR($A6="",$B6=""),"",IFERROR($B6-LOOKUP(EDATE($A6,-12),$A$5:$A5,$B$5:$B5),""))</f>
        <v/>
      </c>
      <c r="E6" s="84" t="str">
        <f t="shared" ref="E6:E40" si="1">IF($D6="","",IFERROR($D6/($B6-$D6),""))</f>
        <v/>
      </c>
      <c r="F6" s="70">
        <f>IF(OR($A6="",$B6=""),"",IFERROR(AVERAGEIFS($C$5:$C6,$A$5:$A6,"&gt;"&amp;EDATE($A6,-12),$A$5:$A6,"&lt;="&amp;$A6),""))</f>
        <v>32000</v>
      </c>
      <c r="G6" s="133"/>
    </row>
    <row r="7" spans="1:7" ht="12.75" customHeight="1" x14ac:dyDescent="0.15">
      <c r="A7" s="132">
        <v>45809</v>
      </c>
      <c r="B7" s="56">
        <v>1068000</v>
      </c>
      <c r="C7" s="70">
        <f t="shared" si="0"/>
        <v>-14000</v>
      </c>
      <c r="D7" s="70" t="str">
        <f>IF(OR($A7="",$B7=""),"",IFERROR($B7-LOOKUP(EDATE($A7,-12),$A$5:$A6,$B$5:$B6),""))</f>
        <v/>
      </c>
      <c r="E7" s="84" t="str">
        <f t="shared" si="1"/>
        <v/>
      </c>
      <c r="F7" s="70">
        <f>IF(OR($A7="",$B7=""),"",IFERROR(AVERAGEIFS($C$5:$C7,$A$5:$A7,"&gt;"&amp;EDATE($A7,-12),$A$5:$A7,"&lt;="&amp;$A7),""))</f>
        <v>9000</v>
      </c>
      <c r="G7" s="133" t="s">
        <v>212</v>
      </c>
    </row>
    <row r="8" spans="1:7" ht="12.75" customHeight="1" x14ac:dyDescent="0.15">
      <c r="A8" s="132">
        <v>45901</v>
      </c>
      <c r="B8" s="56">
        <v>1120000</v>
      </c>
      <c r="C8" s="70">
        <f t="shared" si="0"/>
        <v>52000</v>
      </c>
      <c r="D8" s="70" t="str">
        <f>IF(OR($A8="",$B8=""),"",IFERROR($B8-LOOKUP(EDATE($A8,-12),$A$5:$A7,$B$5:$B7),""))</f>
        <v/>
      </c>
      <c r="E8" s="84" t="str">
        <f t="shared" si="1"/>
        <v/>
      </c>
      <c r="F8" s="70">
        <f>IF(OR($A8="",$B8=""),"",IFERROR(AVERAGEIFS($C$5:$C8,$A$5:$A8,"&gt;"&amp;EDATE($A8,-12),$A$5:$A8,"&lt;="&amp;$A8),""))</f>
        <v>23333.333333333332</v>
      </c>
      <c r="G8" s="133"/>
    </row>
    <row r="9" spans="1:7" ht="12.75" customHeight="1" x14ac:dyDescent="0.15">
      <c r="A9" s="132">
        <v>45992</v>
      </c>
      <c r="B9" s="56">
        <v>1168000</v>
      </c>
      <c r="C9" s="70">
        <f t="shared" si="0"/>
        <v>48000</v>
      </c>
      <c r="D9" s="70">
        <f>IF(OR($A9="",$B9=""),"",IFERROR($B9-LOOKUP(EDATE($A9,-12),$A$5:$A8,$B$5:$B8),""))</f>
        <v>118000</v>
      </c>
      <c r="E9" s="84">
        <f t="shared" si="1"/>
        <v>0.11238095238095239</v>
      </c>
      <c r="F9" s="70">
        <f>IF(OR($A9="",$B9=""),"",IFERROR(AVERAGEIFS($C$5:$C9,$A$5:$A9,"&gt;"&amp;EDATE($A9,-12),$A$5:$A9,"&lt;="&amp;$A9),""))</f>
        <v>29500</v>
      </c>
      <c r="G9" s="133" t="s">
        <v>213</v>
      </c>
    </row>
    <row r="10" spans="1:7" ht="12.75" customHeight="1" x14ac:dyDescent="0.15">
      <c r="A10" s="132">
        <v>46082</v>
      </c>
      <c r="B10" s="56">
        <v>1196000</v>
      </c>
      <c r="C10" s="70">
        <f t="shared" si="0"/>
        <v>28000</v>
      </c>
      <c r="D10" s="70">
        <f>IF(OR($A10="",$B10=""),"",IFERROR($B10-LOOKUP(EDATE($A10,-12),$A$5:$A9,$B$5:$B9),""))</f>
        <v>114000</v>
      </c>
      <c r="E10" s="84">
        <f t="shared" si="1"/>
        <v>0.10536044362292052</v>
      </c>
      <c r="F10" s="70">
        <f>IF(OR($A10="",$B10=""),"",IFERROR(AVERAGEIFS($C$5:$C10,$A$5:$A10,"&gt;"&amp;EDATE($A10,-12),$A$5:$A10,"&lt;="&amp;$A10),""))</f>
        <v>28500</v>
      </c>
      <c r="G10" s="133"/>
    </row>
    <row r="11" spans="1:7" ht="12.75" customHeight="1" x14ac:dyDescent="0.15">
      <c r="A11" s="132">
        <v>46174</v>
      </c>
      <c r="B11" s="56">
        <v>1224000</v>
      </c>
      <c r="C11" s="70">
        <f t="shared" si="0"/>
        <v>28000</v>
      </c>
      <c r="D11" s="70">
        <f>IF(OR($A11="",$B11=""),"",IFERROR($B11-LOOKUP(EDATE($A11,-12),$A$5:$A10,$B$5:$B10),""))</f>
        <v>156000</v>
      </c>
      <c r="E11" s="84">
        <f t="shared" si="1"/>
        <v>0.14606741573033707</v>
      </c>
      <c r="F11" s="70">
        <f>IF(OR($A11="",$B11=""),"",IFERROR(AVERAGEIFS($C$5:$C11,$A$5:$A11,"&gt;"&amp;EDATE($A11,-12),$A$5:$A11,"&lt;="&amp;$A11),""))</f>
        <v>39000</v>
      </c>
      <c r="G11" s="133"/>
    </row>
    <row r="12" spans="1:7" ht="12.75" customHeight="1" x14ac:dyDescent="0.15">
      <c r="A12" s="134"/>
      <c r="B12" s="30"/>
      <c r="C12" s="30" t="str">
        <f t="shared" si="0"/>
        <v/>
      </c>
      <c r="D12" s="30" t="str">
        <f>IF(OR($A12="",$B12=""),"",IFERROR($B12-LOOKUP(EDATE($A12,-12),$A$5:$A11,$B$5:$B11),""))</f>
        <v/>
      </c>
      <c r="E12" s="112" t="str">
        <f t="shared" si="1"/>
        <v/>
      </c>
      <c r="F12" s="30" t="str">
        <f>IF(OR($A12="",$B12=""),"",IFERROR(AVERAGEIFS($C$5:$C12,$A$5:$A12,"&gt;"&amp;EDATE($A12,-12),$A$5:$A12,"&lt;="&amp;$A12),""))</f>
        <v/>
      </c>
    </row>
    <row r="13" spans="1:7" ht="12.75" customHeight="1" x14ac:dyDescent="0.15">
      <c r="A13" s="134"/>
      <c r="B13" s="30"/>
      <c r="C13" s="30" t="str">
        <f t="shared" si="0"/>
        <v/>
      </c>
      <c r="D13" s="30" t="str">
        <f>IF(OR($A13="",$B13=""),"",IFERROR($B13-LOOKUP(EDATE($A13,-12),$A$5:$A12,$B$5:$B12),""))</f>
        <v/>
      </c>
      <c r="E13" s="112" t="str">
        <f t="shared" si="1"/>
        <v/>
      </c>
      <c r="F13" s="30" t="str">
        <f>IF(OR($A13="",$B13=""),"",IFERROR(AVERAGEIFS($C$5:$C13,$A$5:$A13,"&gt;"&amp;EDATE($A13,-12),$A$5:$A13,"&lt;="&amp;$A13),""))</f>
        <v/>
      </c>
    </row>
    <row r="14" spans="1:7" ht="12.75" customHeight="1" x14ac:dyDescent="0.15">
      <c r="A14" s="134"/>
      <c r="B14" s="30"/>
      <c r="C14" s="30" t="str">
        <f t="shared" si="0"/>
        <v/>
      </c>
      <c r="D14" s="30" t="str">
        <f>IF(OR($A14="",$B14=""),"",IFERROR($B14-LOOKUP(EDATE($A14,-12),$A$5:$A13,$B$5:$B13),""))</f>
        <v/>
      </c>
      <c r="E14" s="112" t="str">
        <f t="shared" si="1"/>
        <v/>
      </c>
      <c r="F14" s="30" t="str">
        <f>IF(OR($A14="",$B14=""),"",IFERROR(AVERAGEIFS($C$5:$C14,$A$5:$A14,"&gt;"&amp;EDATE($A14,-12),$A$5:$A14,"&lt;="&amp;$A14),""))</f>
        <v/>
      </c>
    </row>
    <row r="15" spans="1:7" ht="12.75" customHeight="1" x14ac:dyDescent="0.15">
      <c r="A15" s="134"/>
      <c r="B15" s="30"/>
      <c r="C15" s="30" t="str">
        <f t="shared" si="0"/>
        <v/>
      </c>
      <c r="D15" s="30" t="str">
        <f>IF(OR($A15="",$B15=""),"",IFERROR($B15-LOOKUP(EDATE($A15,-12),$A$5:$A14,$B$5:$B14),""))</f>
        <v/>
      </c>
      <c r="E15" s="112" t="str">
        <f t="shared" si="1"/>
        <v/>
      </c>
      <c r="F15" s="30" t="str">
        <f>IF(OR($A15="",$B15=""),"",IFERROR(AVERAGEIFS($C$5:$C15,$A$5:$A15,"&gt;"&amp;EDATE($A15,-12),$A$5:$A15,"&lt;="&amp;$A15),""))</f>
        <v/>
      </c>
    </row>
    <row r="16" spans="1:7" ht="12.75" customHeight="1" x14ac:dyDescent="0.15">
      <c r="A16" s="134"/>
      <c r="B16" s="30"/>
      <c r="C16" s="30" t="str">
        <f t="shared" si="0"/>
        <v/>
      </c>
      <c r="D16" s="30" t="str">
        <f>IF(OR($A16="",$B16=""),"",IFERROR($B16-LOOKUP(EDATE($A16,-12),$A$5:$A15,$B$5:$B15),""))</f>
        <v/>
      </c>
      <c r="E16" s="112" t="str">
        <f t="shared" si="1"/>
        <v/>
      </c>
      <c r="F16" s="30" t="str">
        <f>IF(OR($A16="",$B16=""),"",IFERROR(AVERAGEIFS($C$5:$C16,$A$5:$A16,"&gt;"&amp;EDATE($A16,-12),$A$5:$A16,"&lt;="&amp;$A16),""))</f>
        <v/>
      </c>
    </row>
    <row r="17" spans="1:6" ht="12.75" customHeight="1" x14ac:dyDescent="0.15">
      <c r="A17" s="134"/>
      <c r="B17" s="30"/>
      <c r="C17" s="30" t="str">
        <f t="shared" si="0"/>
        <v/>
      </c>
      <c r="D17" s="30" t="str">
        <f>IF(OR($A17="",$B17=""),"",IFERROR($B17-LOOKUP(EDATE($A17,-12),$A$5:$A16,$B$5:$B16),""))</f>
        <v/>
      </c>
      <c r="E17" s="112" t="str">
        <f t="shared" si="1"/>
        <v/>
      </c>
      <c r="F17" s="30" t="str">
        <f>IF(OR($A17="",$B17=""),"",IFERROR(AVERAGEIFS($C$5:$C17,$A$5:$A17,"&gt;"&amp;EDATE($A17,-12),$A$5:$A17,"&lt;="&amp;$A17),""))</f>
        <v/>
      </c>
    </row>
    <row r="18" spans="1:6" ht="12.75" customHeight="1" x14ac:dyDescent="0.15">
      <c r="A18" s="134"/>
      <c r="B18" s="30"/>
      <c r="C18" s="30" t="str">
        <f t="shared" si="0"/>
        <v/>
      </c>
      <c r="D18" s="30" t="str">
        <f>IF(OR($A18="",$B18=""),"",IFERROR($B18-LOOKUP(EDATE($A18,-12),$A$5:$A17,$B$5:$B17),""))</f>
        <v/>
      </c>
      <c r="E18" s="112" t="str">
        <f t="shared" si="1"/>
        <v/>
      </c>
      <c r="F18" s="30" t="str">
        <f>IF(OR($A18="",$B18=""),"",IFERROR(AVERAGEIFS($C$5:$C18,$A$5:$A18,"&gt;"&amp;EDATE($A18,-12),$A$5:$A18,"&lt;="&amp;$A18),""))</f>
        <v/>
      </c>
    </row>
    <row r="19" spans="1:6" ht="12.75" customHeight="1" x14ac:dyDescent="0.15">
      <c r="A19" s="134"/>
      <c r="B19" s="30"/>
      <c r="C19" s="30" t="str">
        <f t="shared" si="0"/>
        <v/>
      </c>
      <c r="D19" s="30" t="str">
        <f>IF(OR($A19="",$B19=""),"",IFERROR($B19-LOOKUP(EDATE($A19,-12),$A$5:$A18,$B$5:$B18),""))</f>
        <v/>
      </c>
      <c r="E19" s="112" t="str">
        <f t="shared" si="1"/>
        <v/>
      </c>
      <c r="F19" s="30" t="str">
        <f>IF(OR($A19="",$B19=""),"",IFERROR(AVERAGEIFS($C$5:$C19,$A$5:$A19,"&gt;"&amp;EDATE($A19,-12),$A$5:$A19,"&lt;="&amp;$A19),""))</f>
        <v/>
      </c>
    </row>
    <row r="20" spans="1:6" ht="12.75" customHeight="1" x14ac:dyDescent="0.15">
      <c r="A20" s="134"/>
      <c r="B20" s="30"/>
      <c r="C20" s="30" t="str">
        <f t="shared" si="0"/>
        <v/>
      </c>
      <c r="D20" s="30" t="str">
        <f>IF(OR($A20="",$B20=""),"",IFERROR($B20-LOOKUP(EDATE($A20,-12),$A$5:$A19,$B$5:$B19),""))</f>
        <v/>
      </c>
      <c r="E20" s="112" t="str">
        <f t="shared" si="1"/>
        <v/>
      </c>
      <c r="F20" s="30" t="str">
        <f>IF(OR($A20="",$B20=""),"",IFERROR(AVERAGEIFS($C$5:$C20,$A$5:$A20,"&gt;"&amp;EDATE($A20,-12),$A$5:$A20,"&lt;="&amp;$A20),""))</f>
        <v/>
      </c>
    </row>
    <row r="21" spans="1:6" ht="12.75" customHeight="1" x14ac:dyDescent="0.15">
      <c r="A21" s="134"/>
      <c r="B21" s="30"/>
      <c r="C21" s="30" t="str">
        <f t="shared" si="0"/>
        <v/>
      </c>
      <c r="D21" s="30" t="str">
        <f>IF(OR($A21="",$B21=""),"",IFERROR($B21-LOOKUP(EDATE($A21,-12),$A$5:$A20,$B$5:$B20),""))</f>
        <v/>
      </c>
      <c r="E21" s="112" t="str">
        <f t="shared" si="1"/>
        <v/>
      </c>
      <c r="F21" s="30" t="str">
        <f>IF(OR($A21="",$B21=""),"",IFERROR(AVERAGEIFS($C$5:$C21,$A$5:$A21,"&gt;"&amp;EDATE($A21,-12),$A$5:$A21,"&lt;="&amp;$A21),""))</f>
        <v/>
      </c>
    </row>
    <row r="22" spans="1:6" ht="12.75" customHeight="1" x14ac:dyDescent="0.15">
      <c r="A22" s="134"/>
      <c r="B22" s="30"/>
      <c r="C22" s="30" t="str">
        <f t="shared" si="0"/>
        <v/>
      </c>
      <c r="D22" s="30" t="str">
        <f>IF(OR($A22="",$B22=""),"",IFERROR($B22-LOOKUP(EDATE($A22,-12),$A$5:$A21,$B$5:$B21),""))</f>
        <v/>
      </c>
      <c r="E22" s="112" t="str">
        <f t="shared" si="1"/>
        <v/>
      </c>
      <c r="F22" s="30" t="str">
        <f>IF(OR($A22="",$B22=""),"",IFERROR(AVERAGEIFS($C$5:$C22,$A$5:$A22,"&gt;"&amp;EDATE($A22,-12),$A$5:$A22,"&lt;="&amp;$A22),""))</f>
        <v/>
      </c>
    </row>
    <row r="23" spans="1:6" ht="12.75" customHeight="1" x14ac:dyDescent="0.15">
      <c r="A23" s="134"/>
      <c r="B23" s="30"/>
      <c r="C23" s="30" t="str">
        <f t="shared" si="0"/>
        <v/>
      </c>
      <c r="D23" s="30" t="str">
        <f>IF(OR($A23="",$B23=""),"",IFERROR($B23-LOOKUP(EDATE($A23,-12),$A$5:$A22,$B$5:$B22),""))</f>
        <v/>
      </c>
      <c r="E23" s="112" t="str">
        <f t="shared" si="1"/>
        <v/>
      </c>
      <c r="F23" s="30" t="str">
        <f>IF(OR($A23="",$B23=""),"",IFERROR(AVERAGEIFS($C$5:$C23,$A$5:$A23,"&gt;"&amp;EDATE($A23,-12),$A$5:$A23,"&lt;="&amp;$A23),""))</f>
        <v/>
      </c>
    </row>
    <row r="24" spans="1:6" ht="12.75" customHeight="1" x14ac:dyDescent="0.15">
      <c r="A24" s="134"/>
      <c r="B24" s="30"/>
      <c r="C24" s="30" t="str">
        <f t="shared" si="0"/>
        <v/>
      </c>
      <c r="D24" s="30" t="str">
        <f>IF(OR($A24="",$B24=""),"",IFERROR($B24-LOOKUP(EDATE($A24,-12),$A$5:$A23,$B$5:$B23),""))</f>
        <v/>
      </c>
      <c r="E24" s="112" t="str">
        <f t="shared" si="1"/>
        <v/>
      </c>
      <c r="F24" s="30" t="str">
        <f>IF(OR($A24="",$B24=""),"",IFERROR(AVERAGEIFS($C$5:$C24,$A$5:$A24,"&gt;"&amp;EDATE($A24,-12),$A$5:$A24,"&lt;="&amp;$A24),""))</f>
        <v/>
      </c>
    </row>
    <row r="25" spans="1:6" ht="12.75" customHeight="1" x14ac:dyDescent="0.15">
      <c r="A25" s="134"/>
      <c r="B25" s="30"/>
      <c r="C25" s="30" t="str">
        <f t="shared" si="0"/>
        <v/>
      </c>
      <c r="D25" s="30" t="str">
        <f>IF(OR($A25="",$B25=""),"",IFERROR($B25-LOOKUP(EDATE($A25,-12),$A$5:$A24,$B$5:$B24),""))</f>
        <v/>
      </c>
      <c r="E25" s="112" t="str">
        <f t="shared" si="1"/>
        <v/>
      </c>
      <c r="F25" s="30" t="str">
        <f>IF(OR($A25="",$B25=""),"",IFERROR(AVERAGEIFS($C$5:$C25,$A$5:$A25,"&gt;"&amp;EDATE($A25,-12),$A$5:$A25,"&lt;="&amp;$A25),""))</f>
        <v/>
      </c>
    </row>
    <row r="26" spans="1:6" ht="12.75" customHeight="1" x14ac:dyDescent="0.15">
      <c r="A26" s="134"/>
      <c r="B26" s="30"/>
      <c r="C26" s="30" t="str">
        <f t="shared" si="0"/>
        <v/>
      </c>
      <c r="D26" s="30" t="str">
        <f>IF(OR($A26="",$B26=""),"",IFERROR($B26-LOOKUP(EDATE($A26,-12),$A$5:$A25,$B$5:$B25),""))</f>
        <v/>
      </c>
      <c r="E26" s="112" t="str">
        <f t="shared" si="1"/>
        <v/>
      </c>
      <c r="F26" s="30" t="str">
        <f>IF(OR($A26="",$B26=""),"",IFERROR(AVERAGEIFS($C$5:$C26,$A$5:$A26,"&gt;"&amp;EDATE($A26,-12),$A$5:$A26,"&lt;="&amp;$A26),""))</f>
        <v/>
      </c>
    </row>
    <row r="27" spans="1:6" ht="12.75" customHeight="1" x14ac:dyDescent="0.15">
      <c r="A27" s="134"/>
      <c r="B27" s="30"/>
      <c r="C27" s="30" t="str">
        <f t="shared" si="0"/>
        <v/>
      </c>
      <c r="D27" s="30" t="str">
        <f>IF(OR($A27="",$B27=""),"",IFERROR($B27-LOOKUP(EDATE($A27,-12),$A$5:$A26,$B$5:$B26),""))</f>
        <v/>
      </c>
      <c r="E27" s="112" t="str">
        <f t="shared" si="1"/>
        <v/>
      </c>
      <c r="F27" s="30" t="str">
        <f>IF(OR($A27="",$B27=""),"",IFERROR(AVERAGEIFS($C$5:$C27,$A$5:$A27,"&gt;"&amp;EDATE($A27,-12),$A$5:$A27,"&lt;="&amp;$A27),""))</f>
        <v/>
      </c>
    </row>
    <row r="28" spans="1:6" ht="12.75" customHeight="1" x14ac:dyDescent="0.15">
      <c r="A28" s="134"/>
      <c r="B28" s="30"/>
      <c r="C28" s="30" t="str">
        <f t="shared" si="0"/>
        <v/>
      </c>
      <c r="D28" s="30" t="str">
        <f>IF(OR($A28="",$B28=""),"",IFERROR($B28-LOOKUP(EDATE($A28,-12),$A$5:$A27,$B$5:$B27),""))</f>
        <v/>
      </c>
      <c r="E28" s="112" t="str">
        <f t="shared" si="1"/>
        <v/>
      </c>
      <c r="F28" s="30" t="str">
        <f>IF(OR($A28="",$B28=""),"",IFERROR(AVERAGEIFS($C$5:$C28,$A$5:$A28,"&gt;"&amp;EDATE($A28,-12),$A$5:$A28,"&lt;="&amp;$A28),""))</f>
        <v/>
      </c>
    </row>
    <row r="29" spans="1:6" ht="12.75" customHeight="1" x14ac:dyDescent="0.15">
      <c r="A29" s="134"/>
      <c r="B29" s="30"/>
      <c r="C29" s="30" t="str">
        <f t="shared" si="0"/>
        <v/>
      </c>
      <c r="D29" s="30" t="str">
        <f>IF(OR($A29="",$B29=""),"",IFERROR($B29-LOOKUP(EDATE($A29,-12),$A$5:$A28,$B$5:$B28),""))</f>
        <v/>
      </c>
      <c r="E29" s="112" t="str">
        <f t="shared" si="1"/>
        <v/>
      </c>
      <c r="F29" s="30" t="str">
        <f>IF(OR($A29="",$B29=""),"",IFERROR(AVERAGEIFS($C$5:$C29,$A$5:$A29,"&gt;"&amp;EDATE($A29,-12),$A$5:$A29,"&lt;="&amp;$A29),""))</f>
        <v/>
      </c>
    </row>
    <row r="30" spans="1:6" ht="12.75" customHeight="1" x14ac:dyDescent="0.15">
      <c r="A30" s="134"/>
      <c r="B30" s="30"/>
      <c r="C30" s="30" t="str">
        <f t="shared" si="0"/>
        <v/>
      </c>
      <c r="D30" s="30" t="str">
        <f>IF(OR($A30="",$B30=""),"",IFERROR($B30-LOOKUP(EDATE($A30,-12),$A$5:$A29,$B$5:$B29),""))</f>
        <v/>
      </c>
      <c r="E30" s="112" t="str">
        <f t="shared" si="1"/>
        <v/>
      </c>
      <c r="F30" s="30" t="str">
        <f>IF(OR($A30="",$B30=""),"",IFERROR(AVERAGEIFS($C$5:$C30,$A$5:$A30,"&gt;"&amp;EDATE($A30,-12),$A$5:$A30,"&lt;="&amp;$A30),""))</f>
        <v/>
      </c>
    </row>
    <row r="31" spans="1:6" ht="12.75" customHeight="1" x14ac:dyDescent="0.15">
      <c r="A31" s="134"/>
      <c r="B31" s="30"/>
      <c r="C31" s="30" t="str">
        <f t="shared" si="0"/>
        <v/>
      </c>
      <c r="D31" s="30" t="str">
        <f>IF(OR($A31="",$B31=""),"",IFERROR($B31-LOOKUP(EDATE($A31,-12),$A$5:$A30,$B$5:$B30),""))</f>
        <v/>
      </c>
      <c r="E31" s="112" t="str">
        <f t="shared" si="1"/>
        <v/>
      </c>
      <c r="F31" s="30" t="str">
        <f>IF(OR($A31="",$B31=""),"",IFERROR(AVERAGEIFS($C$5:$C31,$A$5:$A31,"&gt;"&amp;EDATE($A31,-12),$A$5:$A31,"&lt;="&amp;$A31),""))</f>
        <v/>
      </c>
    </row>
    <row r="32" spans="1:6" ht="12.75" customHeight="1" x14ac:dyDescent="0.15">
      <c r="A32" s="134"/>
      <c r="B32" s="30"/>
      <c r="C32" s="30" t="str">
        <f t="shared" si="0"/>
        <v/>
      </c>
      <c r="D32" s="30" t="str">
        <f>IF(OR($A32="",$B32=""),"",IFERROR($B32-LOOKUP(EDATE($A32,-12),$A$5:$A31,$B$5:$B31),""))</f>
        <v/>
      </c>
      <c r="E32" s="112" t="str">
        <f t="shared" si="1"/>
        <v/>
      </c>
      <c r="F32" s="30" t="str">
        <f>IF(OR($A32="",$B32=""),"",IFERROR(AVERAGEIFS($C$5:$C32,$A$5:$A32,"&gt;"&amp;EDATE($A32,-12),$A$5:$A32,"&lt;="&amp;$A32),""))</f>
        <v/>
      </c>
    </row>
    <row r="33" spans="1:6" ht="12.75" customHeight="1" x14ac:dyDescent="0.15">
      <c r="A33" s="134"/>
      <c r="B33" s="30"/>
      <c r="C33" s="30" t="str">
        <f t="shared" si="0"/>
        <v/>
      </c>
      <c r="D33" s="30" t="str">
        <f>IF(OR($A33="",$B33=""),"",IFERROR($B33-LOOKUP(EDATE($A33,-12),$A$5:$A32,$B$5:$B32),""))</f>
        <v/>
      </c>
      <c r="E33" s="112" t="str">
        <f t="shared" si="1"/>
        <v/>
      </c>
      <c r="F33" s="30" t="str">
        <f>IF(OR($A33="",$B33=""),"",IFERROR(AVERAGEIFS($C$5:$C33,$A$5:$A33,"&gt;"&amp;EDATE($A33,-12),$A$5:$A33,"&lt;="&amp;$A33),""))</f>
        <v/>
      </c>
    </row>
    <row r="34" spans="1:6" ht="12.75" customHeight="1" x14ac:dyDescent="0.15">
      <c r="A34" s="134"/>
      <c r="B34" s="30"/>
      <c r="C34" s="30" t="str">
        <f t="shared" si="0"/>
        <v/>
      </c>
      <c r="D34" s="30" t="str">
        <f>IF(OR($A34="",$B34=""),"",IFERROR($B34-LOOKUP(EDATE($A34,-12),$A$5:$A33,$B$5:$B33),""))</f>
        <v/>
      </c>
      <c r="E34" s="112" t="str">
        <f t="shared" si="1"/>
        <v/>
      </c>
      <c r="F34" s="30" t="str">
        <f>IF(OR($A34="",$B34=""),"",IFERROR(AVERAGEIFS($C$5:$C34,$A$5:$A34,"&gt;"&amp;EDATE($A34,-12),$A$5:$A34,"&lt;="&amp;$A34),""))</f>
        <v/>
      </c>
    </row>
    <row r="35" spans="1:6" ht="12.75" customHeight="1" x14ac:dyDescent="0.15">
      <c r="A35" s="134"/>
      <c r="B35" s="30"/>
      <c r="C35" s="30" t="str">
        <f t="shared" si="0"/>
        <v/>
      </c>
      <c r="D35" s="30" t="str">
        <f>IF(OR($A35="",$B35=""),"",IFERROR($B35-LOOKUP(EDATE($A35,-12),$A$5:$A34,$B$5:$B34),""))</f>
        <v/>
      </c>
      <c r="E35" s="112" t="str">
        <f t="shared" si="1"/>
        <v/>
      </c>
      <c r="F35" s="30" t="str">
        <f>IF(OR($A35="",$B35=""),"",IFERROR(AVERAGEIFS($C$5:$C35,$A$5:$A35,"&gt;"&amp;EDATE($A35,-12),$A$5:$A35,"&lt;="&amp;$A35),""))</f>
        <v/>
      </c>
    </row>
    <row r="36" spans="1:6" ht="12.75" customHeight="1" x14ac:dyDescent="0.15">
      <c r="A36" s="134"/>
      <c r="B36" s="30"/>
      <c r="C36" s="30" t="str">
        <f t="shared" si="0"/>
        <v/>
      </c>
      <c r="D36" s="30" t="str">
        <f>IF(OR($A36="",$B36=""),"",IFERROR($B36-LOOKUP(EDATE($A36,-12),$A$5:$A35,$B$5:$B35),""))</f>
        <v/>
      </c>
      <c r="E36" s="112" t="str">
        <f t="shared" si="1"/>
        <v/>
      </c>
      <c r="F36" s="30" t="str">
        <f>IF(OR($A36="",$B36=""),"",IFERROR(AVERAGEIFS($C$5:$C36,$A$5:$A36,"&gt;"&amp;EDATE($A36,-12),$A$5:$A36,"&lt;="&amp;$A36),""))</f>
        <v/>
      </c>
    </row>
    <row r="37" spans="1:6" ht="12.75" customHeight="1" x14ac:dyDescent="0.15">
      <c r="A37" s="134"/>
      <c r="B37" s="30"/>
      <c r="C37" s="30" t="str">
        <f t="shared" si="0"/>
        <v/>
      </c>
      <c r="D37" s="30" t="str">
        <f>IF(OR($A37="",$B37=""),"",IFERROR($B37-LOOKUP(EDATE($A37,-12),$A$5:$A36,$B$5:$B36),""))</f>
        <v/>
      </c>
      <c r="E37" s="112" t="str">
        <f t="shared" si="1"/>
        <v/>
      </c>
      <c r="F37" s="30" t="str">
        <f>IF(OR($A37="",$B37=""),"",IFERROR(AVERAGEIFS($C$5:$C37,$A$5:$A37,"&gt;"&amp;EDATE($A37,-12),$A$5:$A37,"&lt;="&amp;$A37),""))</f>
        <v/>
      </c>
    </row>
    <row r="38" spans="1:6" ht="12.75" customHeight="1" x14ac:dyDescent="0.15">
      <c r="A38" s="134"/>
      <c r="B38" s="30"/>
      <c r="C38" s="30" t="str">
        <f t="shared" si="0"/>
        <v/>
      </c>
      <c r="D38" s="30" t="str">
        <f>IF(OR($A38="",$B38=""),"",IFERROR($B38-LOOKUP(EDATE($A38,-12),$A$5:$A37,$B$5:$B37),""))</f>
        <v/>
      </c>
      <c r="E38" s="112" t="str">
        <f t="shared" si="1"/>
        <v/>
      </c>
      <c r="F38" s="30" t="str">
        <f>IF(OR($A38="",$B38=""),"",IFERROR(AVERAGEIFS($C$5:$C38,$A$5:$A38,"&gt;"&amp;EDATE($A38,-12),$A$5:$A38,"&lt;="&amp;$A38),""))</f>
        <v/>
      </c>
    </row>
    <row r="39" spans="1:6" ht="12.75" customHeight="1" x14ac:dyDescent="0.15">
      <c r="A39" s="134"/>
      <c r="B39" s="30"/>
      <c r="C39" s="30" t="str">
        <f t="shared" si="0"/>
        <v/>
      </c>
      <c r="D39" s="30" t="str">
        <f>IF(OR($A39="",$B39=""),"",IFERROR($B39-LOOKUP(EDATE($A39,-12),$A$5:$A38,$B$5:$B38),""))</f>
        <v/>
      </c>
      <c r="E39" s="112" t="str">
        <f t="shared" si="1"/>
        <v/>
      </c>
      <c r="F39" s="30" t="str">
        <f>IF(OR($A39="",$B39=""),"",IFERROR(AVERAGEIFS($C$5:$C39,$A$5:$A39,"&gt;"&amp;EDATE($A39,-12),$A$5:$A39,"&lt;="&amp;$A39),""))</f>
        <v/>
      </c>
    </row>
    <row r="40" spans="1:6" ht="12.75" customHeight="1" x14ac:dyDescent="0.15">
      <c r="A40" s="134"/>
      <c r="B40" s="30"/>
      <c r="C40" s="30" t="str">
        <f t="shared" si="0"/>
        <v/>
      </c>
      <c r="D40" s="30" t="str">
        <f>IF(OR($A40="",$B40=""),"",IFERROR($B40-LOOKUP(EDATE($A40,-12),$A$5:$A39,$B$5:$B39),""))</f>
        <v/>
      </c>
      <c r="E40" s="112" t="str">
        <f t="shared" si="1"/>
        <v/>
      </c>
      <c r="F40" s="30" t="str">
        <f>IF(OR($A40="",$B40=""),"",IFERROR(AVERAGEIFS($C$5:$C40,$A$5:$A40,"&gt;"&amp;EDATE($A40,-12),$A$5:$A40,"&lt;="&amp;$A40),""))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T40"/>
  <sheetViews>
    <sheetView zoomScaleNormal="100" workbookViewId="0">
      <pane ySplit="14" topLeftCell="A15" activePane="bottomLeft" state="frozen"/>
      <selection pane="bottomLeft"/>
    </sheetView>
  </sheetViews>
  <sheetFormatPr baseColWidth="10" defaultColWidth="15" defaultRowHeight="15" x14ac:dyDescent="0.2"/>
  <cols>
    <col min="1" max="1" width="10" style="135" customWidth="1"/>
    <col min="2" max="2" width="12" style="136" customWidth="1"/>
    <col min="3" max="4" width="16" style="136" customWidth="1"/>
    <col min="5" max="5" width="18" style="136" customWidth="1"/>
    <col min="6" max="6" width="14" style="136" customWidth="1"/>
    <col min="7" max="7" width="8" style="136" customWidth="1"/>
    <col min="8" max="16384" width="15" style="136"/>
  </cols>
  <sheetData>
    <row r="1" spans="1:20" ht="17.25" customHeight="1" x14ac:dyDescent="0.2">
      <c r="A1" s="137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customHeight="1" x14ac:dyDescent="0.2">
      <c r="A2" s="138" t="s">
        <v>214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5" customHeight="1" x14ac:dyDescent="0.2">
      <c r="A4" s="36" t="s">
        <v>215</v>
      </c>
      <c r="B4" s="36"/>
      <c r="C4" s="36"/>
      <c r="D4" s="36"/>
      <c r="E4" s="3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" customHeight="1" x14ac:dyDescent="0.2">
      <c r="A5" s="34" t="s">
        <v>216</v>
      </c>
      <c r="B5" s="139">
        <f>SUM(H15:H21)</f>
        <v>135000</v>
      </c>
      <c r="C5" s="140" t="s">
        <v>217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30" customHeight="1" x14ac:dyDescent="0.2">
      <c r="A6" s="34" t="s">
        <v>218</v>
      </c>
      <c r="B6" s="139">
        <f>SUM(I15:I21)</f>
        <v>237422</v>
      </c>
      <c r="C6" s="140" t="s">
        <v>219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15" customHeight="1" x14ac:dyDescent="0.2">
      <c r="A7" s="34" t="s">
        <v>72</v>
      </c>
      <c r="B7" s="139">
        <f>SUM(L15:L21)</f>
        <v>5048.8799999999992</v>
      </c>
      <c r="C7" s="141"/>
      <c r="D7" s="141"/>
      <c r="E7" s="14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5" customHeight="1" x14ac:dyDescent="0.2">
      <c r="A8" s="34" t="s">
        <v>220</v>
      </c>
      <c r="B8" s="139">
        <f>SUM(N15:N21)</f>
        <v>710000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30" customHeight="1" x14ac:dyDescent="0.2">
      <c r="A9" s="34" t="s">
        <v>221</v>
      </c>
      <c r="B9" s="139">
        <f>SUM(O15:O21)</f>
        <v>710000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5" customHeight="1" x14ac:dyDescent="0.2">
      <c r="A10" s="34" t="s">
        <v>222</v>
      </c>
      <c r="B10" s="139">
        <f>SUM(P15:P21)</f>
        <v>410000</v>
      </c>
      <c r="C10" s="142"/>
      <c r="D10" s="142"/>
      <c r="E10" s="142"/>
      <c r="F10" s="14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30" customHeight="1" x14ac:dyDescent="0.2">
      <c r="A11" s="34" t="s">
        <v>223</v>
      </c>
      <c r="B11" s="144">
        <f>COUNTA(A15:A21)</f>
        <v>7</v>
      </c>
      <c r="C11" s="143"/>
      <c r="D11" s="142"/>
      <c r="E11" s="142"/>
      <c r="F11" s="143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05" customHeight="1" x14ac:dyDescent="0.2">
      <c r="A12" s="6"/>
      <c r="B12" s="143"/>
      <c r="C12" s="143"/>
      <c r="D12" s="142"/>
      <c r="E12" s="142"/>
      <c r="F12" s="14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90" customHeight="1" x14ac:dyDescent="0.2">
      <c r="A13" s="6"/>
      <c r="B13" s="143"/>
      <c r="C13" s="143"/>
      <c r="D13" s="143"/>
      <c r="E13" s="143"/>
      <c r="F13" s="14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30" customHeight="1" x14ac:dyDescent="0.2">
      <c r="A14" s="145" t="s">
        <v>224</v>
      </c>
      <c r="B14" s="146" t="s">
        <v>225</v>
      </c>
      <c r="C14" s="146" t="s">
        <v>226</v>
      </c>
      <c r="D14" s="147" t="s">
        <v>227</v>
      </c>
      <c r="E14" s="147" t="s">
        <v>228</v>
      </c>
      <c r="F14" s="146" t="s">
        <v>229</v>
      </c>
      <c r="G14" s="145" t="s">
        <v>230</v>
      </c>
      <c r="H14" s="145" t="s">
        <v>231</v>
      </c>
      <c r="I14" s="145" t="s">
        <v>232</v>
      </c>
      <c r="J14" s="145" t="s">
        <v>233</v>
      </c>
      <c r="K14" s="145" t="s">
        <v>234</v>
      </c>
      <c r="L14" s="145" t="s">
        <v>235</v>
      </c>
      <c r="M14" s="145" t="s">
        <v>236</v>
      </c>
      <c r="N14" s="145" t="s">
        <v>237</v>
      </c>
      <c r="O14" s="145" t="s">
        <v>238</v>
      </c>
      <c r="P14" s="145" t="s">
        <v>239</v>
      </c>
      <c r="Q14" s="145" t="s">
        <v>240</v>
      </c>
      <c r="R14" s="6"/>
      <c r="S14" s="6"/>
      <c r="T14" s="6"/>
    </row>
    <row r="15" spans="1:20" ht="30" customHeight="1" x14ac:dyDescent="0.2">
      <c r="A15" s="148" t="s">
        <v>241</v>
      </c>
      <c r="B15" s="148" t="s">
        <v>242</v>
      </c>
      <c r="C15" s="148" t="s">
        <v>243</v>
      </c>
      <c r="D15" s="148" t="s">
        <v>244</v>
      </c>
      <c r="E15" s="149" t="s">
        <v>245</v>
      </c>
      <c r="F15" s="150">
        <v>37012</v>
      </c>
      <c r="G15" s="151">
        <v>60</v>
      </c>
      <c r="H15" s="152">
        <v>10000</v>
      </c>
      <c r="I15" s="152">
        <v>39188</v>
      </c>
      <c r="J15" s="153">
        <v>33.1</v>
      </c>
      <c r="K15" s="154" t="s">
        <v>246</v>
      </c>
      <c r="L15" s="155">
        <f t="shared" ref="L15:L21" si="0">IF(K15="Monthly",J15*12,IF(K15="Quarterly",J15*4,J15))</f>
        <v>397.20000000000005</v>
      </c>
      <c r="M15" s="152">
        <v>20000</v>
      </c>
      <c r="N15" s="152">
        <v>20000</v>
      </c>
      <c r="O15" s="152">
        <v>20000</v>
      </c>
      <c r="P15" s="152">
        <v>20000</v>
      </c>
      <c r="Q15" s="156" t="s">
        <v>247</v>
      </c>
      <c r="R15" s="6"/>
      <c r="S15" s="6"/>
      <c r="T15" s="6"/>
    </row>
    <row r="16" spans="1:20" ht="30" customHeight="1" x14ac:dyDescent="0.2">
      <c r="A16" s="148" t="s">
        <v>248</v>
      </c>
      <c r="B16" s="148" t="s">
        <v>242</v>
      </c>
      <c r="C16" s="148" t="s">
        <v>249</v>
      </c>
      <c r="D16" s="148" t="s">
        <v>244</v>
      </c>
      <c r="E16" s="149" t="s">
        <v>245</v>
      </c>
      <c r="F16" s="150">
        <v>38987</v>
      </c>
      <c r="G16" s="151">
        <v>60</v>
      </c>
      <c r="H16" s="152">
        <v>12000</v>
      </c>
      <c r="I16" s="152">
        <v>42234</v>
      </c>
      <c r="J16" s="153">
        <v>62.3</v>
      </c>
      <c r="K16" s="154" t="s">
        <v>246</v>
      </c>
      <c r="L16" s="155">
        <f t="shared" si="0"/>
        <v>747.59999999999991</v>
      </c>
      <c r="M16" s="152">
        <v>30000</v>
      </c>
      <c r="N16" s="152">
        <v>30000</v>
      </c>
      <c r="O16" s="152">
        <v>30000</v>
      </c>
      <c r="P16" s="152">
        <v>30000</v>
      </c>
      <c r="Q16" s="156" t="s">
        <v>250</v>
      </c>
      <c r="R16" s="6"/>
      <c r="S16" s="6"/>
      <c r="T16" s="6"/>
    </row>
    <row r="17" spans="1:20" ht="90" customHeight="1" x14ac:dyDescent="0.2">
      <c r="A17" s="148" t="s">
        <v>251</v>
      </c>
      <c r="B17" s="157" t="s">
        <v>252</v>
      </c>
      <c r="C17" s="157" t="s">
        <v>253</v>
      </c>
      <c r="D17" s="157" t="s">
        <v>254</v>
      </c>
      <c r="E17" s="158" t="s">
        <v>255</v>
      </c>
      <c r="F17" s="150">
        <v>40934</v>
      </c>
      <c r="G17" s="151">
        <v>65</v>
      </c>
      <c r="H17" s="152">
        <v>0</v>
      </c>
      <c r="I17" s="152">
        <v>0</v>
      </c>
      <c r="J17" s="153">
        <v>106.8</v>
      </c>
      <c r="K17" s="154" t="s">
        <v>246</v>
      </c>
      <c r="L17" s="155">
        <f t="shared" si="0"/>
        <v>1281.5999999999999</v>
      </c>
      <c r="M17" s="152">
        <v>600000</v>
      </c>
      <c r="N17" s="152">
        <v>600000</v>
      </c>
      <c r="O17" s="152">
        <v>600000</v>
      </c>
      <c r="P17" s="152">
        <v>300000</v>
      </c>
      <c r="Q17" s="156" t="s">
        <v>256</v>
      </c>
      <c r="R17" s="6"/>
      <c r="S17" s="6"/>
      <c r="T17" s="6"/>
    </row>
    <row r="18" spans="1:20" ht="102.75" customHeight="1" x14ac:dyDescent="0.2">
      <c r="A18" s="148" t="s">
        <v>257</v>
      </c>
      <c r="B18" s="148" t="s">
        <v>258</v>
      </c>
      <c r="C18" s="148" t="s">
        <v>259</v>
      </c>
      <c r="D18" s="148" t="s">
        <v>260</v>
      </c>
      <c r="E18" s="149" t="s">
        <v>261</v>
      </c>
      <c r="F18" s="150">
        <v>39499</v>
      </c>
      <c r="G18" s="151">
        <v>60</v>
      </c>
      <c r="H18" s="152">
        <v>60000</v>
      </c>
      <c r="I18" s="152">
        <v>110000</v>
      </c>
      <c r="J18" s="153">
        <v>218.54</v>
      </c>
      <c r="K18" s="154" t="s">
        <v>246</v>
      </c>
      <c r="L18" s="155">
        <f t="shared" si="0"/>
        <v>2622.48</v>
      </c>
      <c r="M18" s="152">
        <v>60000</v>
      </c>
      <c r="N18" s="152">
        <v>60000</v>
      </c>
      <c r="O18" s="152">
        <v>60000</v>
      </c>
      <c r="P18" s="152">
        <v>60000</v>
      </c>
      <c r="Q18" s="156" t="s">
        <v>262</v>
      </c>
      <c r="R18" s="6"/>
      <c r="S18" s="6"/>
      <c r="T18" s="6"/>
    </row>
    <row r="19" spans="1:20" ht="102.75" customHeight="1" x14ac:dyDescent="0.2">
      <c r="A19" s="148" t="s">
        <v>263</v>
      </c>
      <c r="B19" s="157" t="s">
        <v>258</v>
      </c>
      <c r="C19" s="157" t="s">
        <v>264</v>
      </c>
      <c r="D19" s="157" t="s">
        <v>265</v>
      </c>
      <c r="E19" s="158" t="s">
        <v>261</v>
      </c>
      <c r="F19" s="150"/>
      <c r="G19" s="151">
        <v>52</v>
      </c>
      <c r="H19" s="152">
        <v>28000</v>
      </c>
      <c r="I19" s="152">
        <v>46000</v>
      </c>
      <c r="J19" s="153"/>
      <c r="K19" s="154" t="s">
        <v>246</v>
      </c>
      <c r="L19" s="155">
        <f t="shared" si="0"/>
        <v>0</v>
      </c>
      <c r="M19" s="152"/>
      <c r="N19" s="152"/>
      <c r="O19" s="152"/>
      <c r="P19" s="152"/>
      <c r="Q19" s="156" t="s">
        <v>266</v>
      </c>
      <c r="R19" s="6"/>
      <c r="S19" s="6"/>
      <c r="T19" s="6"/>
    </row>
    <row r="20" spans="1:20" ht="30" customHeight="1" x14ac:dyDescent="0.2">
      <c r="A20" s="148" t="s">
        <v>267</v>
      </c>
      <c r="B20" s="148" t="s">
        <v>268</v>
      </c>
      <c r="C20" s="148" t="s">
        <v>269</v>
      </c>
      <c r="D20" s="148" t="s">
        <v>270</v>
      </c>
      <c r="E20" s="149" t="s">
        <v>271</v>
      </c>
      <c r="F20" s="150"/>
      <c r="G20" s="151"/>
      <c r="H20" s="152">
        <v>25000</v>
      </c>
      <c r="I20" s="152"/>
      <c r="J20" s="153"/>
      <c r="K20" s="154" t="s">
        <v>246</v>
      </c>
      <c r="L20" s="155">
        <f t="shared" si="0"/>
        <v>0</v>
      </c>
      <c r="M20" s="152"/>
      <c r="N20" s="152"/>
      <c r="O20" s="152"/>
      <c r="P20" s="152"/>
      <c r="Q20" s="156" t="s">
        <v>272</v>
      </c>
      <c r="R20" s="6"/>
      <c r="S20" s="6"/>
      <c r="T20" s="6"/>
    </row>
    <row r="21" spans="1:20" ht="77.25" customHeight="1" x14ac:dyDescent="0.2">
      <c r="A21" s="148" t="s">
        <v>273</v>
      </c>
      <c r="B21" s="148" t="s">
        <v>268</v>
      </c>
      <c r="C21" s="148" t="s">
        <v>274</v>
      </c>
      <c r="D21" s="148" t="s">
        <v>275</v>
      </c>
      <c r="E21" s="149" t="s">
        <v>261</v>
      </c>
      <c r="F21" s="150"/>
      <c r="G21" s="151"/>
      <c r="H21" s="152">
        <v>0</v>
      </c>
      <c r="I21" s="152"/>
      <c r="J21" s="153"/>
      <c r="K21" s="154" t="s">
        <v>246</v>
      </c>
      <c r="L21" s="155">
        <f t="shared" si="0"/>
        <v>0</v>
      </c>
      <c r="M21" s="152"/>
      <c r="N21" s="152"/>
      <c r="O21" s="152"/>
      <c r="P21" s="152"/>
      <c r="Q21" s="156" t="s">
        <v>276</v>
      </c>
      <c r="R21" s="6"/>
      <c r="S21" s="6"/>
      <c r="T21" s="6"/>
    </row>
    <row r="22" spans="1:20" ht="15" customHeight="1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5" customHeight="1" x14ac:dyDescent="0.2">
      <c r="A23" s="140" t="s">
        <v>277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5" customHeigh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1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15" customHeight="1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1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15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15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1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1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1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15" customHeight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15" customHeight="1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ht="1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</sheetData>
  <dataValidations count="2">
    <dataValidation type="list" allowBlank="1" sqref="E15:E31" xr:uid="{00000000-0002-0000-0600-000000000000}">
      <formula1>"Protection,Endowment/Savings,Investment-Linked,Term,Annuity,Health/Medical"</formula1>
      <formula2>0</formula2>
    </dataValidation>
    <dataValidation type="list" allowBlank="1" sqref="K15:K31" xr:uid="{00000000-0002-0000-0600-000001000000}">
      <formula1>"Monthly,Quarterly,Annual"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J51"/>
  <sheetViews>
    <sheetView tabSelected="1" zoomScale="130" zoomScaleNormal="130" workbookViewId="0">
      <pane ySplit="2" topLeftCell="A43" activePane="bottomLeft" state="frozen"/>
      <selection pane="bottomLeft" activeCell="A49" sqref="A49:XFD55"/>
    </sheetView>
  </sheetViews>
  <sheetFormatPr baseColWidth="10" defaultColWidth="9.1640625" defaultRowHeight="15" x14ac:dyDescent="0.2"/>
  <cols>
    <col min="1" max="1" width="40" style="136" customWidth="1"/>
    <col min="2" max="5" width="16" style="136" customWidth="1"/>
    <col min="6" max="6" width="14" customWidth="1"/>
    <col min="7" max="8" width="13.6640625" style="136" customWidth="1"/>
    <col min="9" max="16384" width="9.1640625" style="136"/>
  </cols>
  <sheetData>
    <row r="1" spans="1:10" ht="15" customHeight="1" x14ac:dyDescent="0.2">
      <c r="A1" s="137" t="s">
        <v>278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138" t="s">
        <v>279</v>
      </c>
      <c r="B2" s="6"/>
      <c r="C2" s="6"/>
      <c r="D2" s="6"/>
      <c r="E2" s="6"/>
      <c r="F2" s="159"/>
      <c r="G2" s="6"/>
      <c r="H2" s="6"/>
      <c r="I2" s="6"/>
      <c r="J2" s="6"/>
    </row>
    <row r="3" spans="1:10" ht="15" customHeight="1" x14ac:dyDescent="0.2">
      <c r="A3" s="6"/>
      <c r="B3" s="142"/>
      <c r="C3" s="6"/>
      <c r="D3" s="159"/>
      <c r="E3" s="6"/>
      <c r="F3" s="159"/>
      <c r="G3" s="159"/>
      <c r="H3" s="6"/>
      <c r="I3" s="6"/>
      <c r="J3" s="6"/>
    </row>
    <row r="4" spans="1:10" ht="15" customHeight="1" x14ac:dyDescent="0.2">
      <c r="A4" s="36" t="s">
        <v>280</v>
      </c>
      <c r="B4" s="160"/>
      <c r="C4" s="160"/>
      <c r="D4" s="160"/>
      <c r="E4" s="6"/>
      <c r="F4" s="159"/>
      <c r="G4" s="159"/>
      <c r="H4" s="6"/>
      <c r="I4" s="6"/>
      <c r="J4" s="6"/>
    </row>
    <row r="5" spans="1:10" ht="15" customHeight="1" x14ac:dyDescent="0.2">
      <c r="A5" s="34" t="s">
        <v>281</v>
      </c>
      <c r="B5" s="161">
        <v>1500000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2">
      <c r="A6" s="34" t="s">
        <v>282</v>
      </c>
      <c r="B6" s="161">
        <v>1500000</v>
      </c>
      <c r="C6" s="6"/>
      <c r="D6" s="6"/>
      <c r="E6" s="6"/>
      <c r="F6" s="6"/>
      <c r="G6" s="6"/>
      <c r="H6" s="6"/>
      <c r="I6" s="6"/>
      <c r="J6" s="6"/>
    </row>
    <row r="7" spans="1:10" ht="15" customHeight="1" x14ac:dyDescent="0.2">
      <c r="A7" s="34" t="s">
        <v>283</v>
      </c>
      <c r="B7" s="162">
        <v>45658</v>
      </c>
      <c r="C7" s="6"/>
      <c r="D7" s="159"/>
      <c r="E7" s="6"/>
      <c r="F7" s="6"/>
      <c r="G7" s="6"/>
      <c r="H7" s="6"/>
      <c r="I7" s="6"/>
      <c r="J7" s="6"/>
    </row>
    <row r="8" spans="1:10" ht="15" customHeight="1" x14ac:dyDescent="0.2">
      <c r="A8" s="34" t="s">
        <v>284</v>
      </c>
      <c r="B8" s="163">
        <v>0.55000000000000004</v>
      </c>
      <c r="C8" s="159"/>
      <c r="D8" s="159"/>
      <c r="E8" s="6"/>
      <c r="F8" s="6"/>
      <c r="G8" s="6"/>
      <c r="H8" s="6"/>
      <c r="I8" s="6"/>
      <c r="J8" s="6"/>
    </row>
    <row r="9" spans="1:10" ht="15" customHeight="1" x14ac:dyDescent="0.2">
      <c r="A9" s="34" t="s">
        <v>285</v>
      </c>
      <c r="B9" s="164">
        <f>1-B8</f>
        <v>0.44999999999999996</v>
      </c>
      <c r="C9" s="6"/>
      <c r="D9" s="6"/>
      <c r="E9" s="6"/>
      <c r="F9" s="6"/>
      <c r="G9" s="6"/>
      <c r="H9" s="6"/>
      <c r="I9" s="6"/>
      <c r="J9" s="6"/>
    </row>
    <row r="10" spans="1:10" ht="15" customHeight="1" x14ac:dyDescent="0.2">
      <c r="A10" s="6"/>
      <c r="B10" s="159"/>
      <c r="C10" s="6"/>
      <c r="D10" s="6"/>
      <c r="E10" s="6"/>
      <c r="F10" s="6"/>
      <c r="G10" s="6"/>
      <c r="H10" s="6"/>
      <c r="I10" s="6"/>
      <c r="J10" s="6"/>
    </row>
    <row r="11" spans="1:10" ht="15" customHeight="1" x14ac:dyDescent="0.2">
      <c r="A11" s="36" t="s">
        <v>286</v>
      </c>
      <c r="B11" s="160"/>
      <c r="C11" s="36"/>
      <c r="D11" s="36"/>
      <c r="E11" s="6"/>
      <c r="F11" s="6"/>
      <c r="G11" s="6"/>
      <c r="H11" s="6"/>
      <c r="I11" s="6"/>
      <c r="J11" s="6"/>
    </row>
    <row r="12" spans="1:10" ht="15" customHeight="1" x14ac:dyDescent="0.2">
      <c r="A12" s="34" t="s">
        <v>287</v>
      </c>
      <c r="B12" s="165">
        <f>'Loan Calculator'!D5</f>
        <v>1125000</v>
      </c>
      <c r="C12" s="6"/>
      <c r="D12" s="6"/>
      <c r="E12" s="6"/>
      <c r="F12" s="6"/>
      <c r="G12" s="6"/>
      <c r="H12" s="6"/>
      <c r="I12" s="6"/>
      <c r="J12" s="6"/>
    </row>
    <row r="13" spans="1:10" ht="15" customHeight="1" x14ac:dyDescent="0.2">
      <c r="A13" s="34" t="s">
        <v>288</v>
      </c>
      <c r="B13" s="164">
        <f>'Loan Calculator'!D6</f>
        <v>0.02</v>
      </c>
      <c r="C13" s="6"/>
      <c r="D13" s="6"/>
      <c r="E13" s="6"/>
      <c r="F13" s="6"/>
      <c r="G13" s="6"/>
      <c r="H13" s="6"/>
      <c r="I13" s="6"/>
      <c r="J13" s="6"/>
    </row>
    <row r="14" spans="1:10" ht="15" customHeight="1" x14ac:dyDescent="0.2">
      <c r="A14" s="34" t="s">
        <v>289</v>
      </c>
      <c r="B14" s="166">
        <f>'Loan Calculator'!D7</f>
        <v>20</v>
      </c>
      <c r="C14" s="159"/>
      <c r="D14" s="159"/>
      <c r="E14" s="6"/>
      <c r="F14" s="6"/>
      <c r="G14" s="6"/>
      <c r="H14" s="6"/>
      <c r="I14" s="6"/>
      <c r="J14" s="6"/>
    </row>
    <row r="15" spans="1:10" ht="15" customHeight="1" x14ac:dyDescent="0.2">
      <c r="A15" s="34" t="s">
        <v>290</v>
      </c>
      <c r="B15" s="167">
        <f>'Loan Calculator'!D8</f>
        <v>45658</v>
      </c>
      <c r="C15" s="159"/>
      <c r="D15" s="159"/>
      <c r="E15" s="6"/>
      <c r="F15" s="6"/>
      <c r="G15" s="6"/>
      <c r="H15" s="6"/>
      <c r="I15" s="6"/>
      <c r="J15" s="6"/>
    </row>
    <row r="16" spans="1:10" ht="15" customHeight="1" x14ac:dyDescent="0.2">
      <c r="A16" s="34" t="s">
        <v>291</v>
      </c>
      <c r="B16" s="165">
        <f>'Loan Calculator'!D11</f>
        <v>5691.1875192575681</v>
      </c>
      <c r="C16" s="159"/>
      <c r="D16" s="159"/>
      <c r="E16" s="6"/>
      <c r="F16" s="6"/>
      <c r="G16" s="6"/>
      <c r="H16" s="6"/>
      <c r="I16" s="6"/>
      <c r="J16" s="6"/>
    </row>
    <row r="17" spans="1:10" ht="15" customHeight="1" x14ac:dyDescent="0.2">
      <c r="A17" s="34" t="s">
        <v>292</v>
      </c>
      <c r="B17" s="139">
        <f ca="1">'Loan Calculator'!D15</f>
        <v>1055326.7924950442</v>
      </c>
      <c r="C17" s="159"/>
      <c r="D17" s="159"/>
      <c r="E17" s="6"/>
      <c r="F17" s="6"/>
      <c r="G17" s="6"/>
      <c r="H17" s="6"/>
      <c r="I17" s="6"/>
      <c r="J17" s="6"/>
    </row>
    <row r="18" spans="1:10" ht="15" customHeight="1" x14ac:dyDescent="0.2">
      <c r="A18" s="6"/>
      <c r="B18" s="159"/>
      <c r="C18" s="159"/>
      <c r="D18" s="159"/>
      <c r="E18" s="6"/>
      <c r="F18" s="6"/>
      <c r="G18" s="6"/>
      <c r="H18" s="6"/>
      <c r="I18" s="6"/>
      <c r="J18" s="6"/>
    </row>
    <row r="19" spans="1:10" ht="15" customHeight="1" x14ac:dyDescent="0.2">
      <c r="A19" s="36" t="s">
        <v>293</v>
      </c>
      <c r="B19" s="160"/>
      <c r="C19" s="160"/>
      <c r="D19" s="160"/>
      <c r="E19" s="6"/>
      <c r="F19" s="6"/>
      <c r="G19" s="6"/>
      <c r="H19" s="6"/>
      <c r="I19" s="6"/>
      <c r="J19" s="6"/>
    </row>
    <row r="20" spans="1:10" ht="15" customHeight="1" x14ac:dyDescent="0.2">
      <c r="A20" s="34" t="s">
        <v>294</v>
      </c>
      <c r="B20" s="139">
        <f>B5*B8</f>
        <v>825000.00000000012</v>
      </c>
      <c r="C20" s="159"/>
      <c r="D20" s="168" t="s">
        <v>295</v>
      </c>
      <c r="E20" s="6"/>
      <c r="F20" s="159"/>
      <c r="G20" s="159"/>
      <c r="H20" s="159"/>
      <c r="I20" s="6"/>
      <c r="J20" s="6"/>
    </row>
    <row r="21" spans="1:10" ht="15" customHeight="1" x14ac:dyDescent="0.2">
      <c r="A21" s="34" t="s">
        <v>296</v>
      </c>
      <c r="B21" s="139">
        <f ca="1">B17*B8</f>
        <v>580429.73587227438</v>
      </c>
      <c r="C21" s="159"/>
      <c r="D21" s="168" t="s">
        <v>297</v>
      </c>
      <c r="E21" s="6"/>
      <c r="F21" s="159"/>
      <c r="G21" s="159"/>
      <c r="H21" s="159"/>
      <c r="I21" s="6"/>
      <c r="J21" s="6"/>
    </row>
    <row r="22" spans="1:10" ht="15" customHeight="1" x14ac:dyDescent="0.2">
      <c r="A22" s="34" t="s">
        <v>298</v>
      </c>
      <c r="B22" s="139">
        <f ca="1">B20-B21</f>
        <v>244570.26412772574</v>
      </c>
      <c r="C22" s="159"/>
      <c r="D22" s="159"/>
      <c r="E22" s="6"/>
      <c r="F22" s="159"/>
      <c r="G22" s="159"/>
      <c r="H22" s="159"/>
      <c r="I22" s="6"/>
      <c r="J22" s="6"/>
    </row>
    <row r="23" spans="1:10" ht="15" customHeight="1" x14ac:dyDescent="0.2">
      <c r="A23" s="34" t="s">
        <v>299</v>
      </c>
      <c r="B23" s="165">
        <f ca="1">B5-B17</f>
        <v>444673.20750495582</v>
      </c>
      <c r="C23" s="159"/>
      <c r="D23" s="159"/>
      <c r="E23" s="6"/>
      <c r="F23" s="159"/>
      <c r="G23" s="159"/>
      <c r="H23" s="159"/>
      <c r="I23" s="6"/>
      <c r="J23" s="6"/>
    </row>
    <row r="24" spans="1:10" ht="15" customHeight="1" x14ac:dyDescent="0.2">
      <c r="A24" s="6"/>
      <c r="B24" s="159"/>
      <c r="C24" s="159"/>
      <c r="D24" s="159"/>
      <c r="E24" s="6"/>
      <c r="F24" s="159"/>
      <c r="G24" s="159"/>
      <c r="H24" s="159"/>
      <c r="I24" s="6"/>
      <c r="J24" s="6"/>
    </row>
    <row r="25" spans="1:10" ht="15" customHeight="1" x14ac:dyDescent="0.2">
      <c r="A25" s="36" t="s">
        <v>300</v>
      </c>
      <c r="B25" s="160"/>
      <c r="C25" s="160"/>
      <c r="D25" s="160"/>
      <c r="E25" s="6"/>
      <c r="F25" s="159"/>
      <c r="G25" s="159"/>
      <c r="H25" s="159"/>
      <c r="I25" s="6"/>
      <c r="J25" s="6"/>
    </row>
    <row r="26" spans="1:10" ht="15" customHeight="1" x14ac:dyDescent="0.2">
      <c r="A26" s="34" t="s">
        <v>301</v>
      </c>
      <c r="B26" s="161">
        <v>1000000</v>
      </c>
      <c r="C26" s="159"/>
      <c r="D26" s="159"/>
      <c r="E26" s="6"/>
      <c r="F26" s="6"/>
      <c r="G26" s="6"/>
      <c r="H26" s="6"/>
      <c r="I26" s="6"/>
      <c r="J26" s="6"/>
    </row>
    <row r="27" spans="1:10" ht="15" customHeight="1" x14ac:dyDescent="0.2">
      <c r="A27" s="34" t="s">
        <v>302</v>
      </c>
      <c r="B27" s="162">
        <v>47118</v>
      </c>
      <c r="C27" s="159"/>
      <c r="D27" s="159"/>
      <c r="E27" s="6"/>
      <c r="F27" s="6"/>
      <c r="G27" s="6"/>
      <c r="H27" s="6"/>
      <c r="I27" s="6"/>
      <c r="J27" s="6"/>
    </row>
    <row r="28" spans="1:10" ht="15" customHeight="1" x14ac:dyDescent="0.2">
      <c r="A28" s="34" t="s">
        <v>303</v>
      </c>
      <c r="B28" s="165">
        <f ca="1">MAX(0,B17-B26)</f>
        <v>55326.792495044181</v>
      </c>
      <c r="C28" s="142"/>
      <c r="D28" s="159"/>
      <c r="E28" s="6"/>
      <c r="F28" s="6"/>
      <c r="G28" s="6"/>
      <c r="H28" s="6"/>
      <c r="I28" s="6"/>
      <c r="J28" s="6"/>
    </row>
    <row r="29" spans="1:10" ht="15" customHeight="1" x14ac:dyDescent="0.2">
      <c r="A29" s="34" t="s">
        <v>304</v>
      </c>
      <c r="B29" s="165">
        <f ca="1">B28*B8</f>
        <v>30429.735872274301</v>
      </c>
      <c r="C29" s="159"/>
      <c r="D29" s="142"/>
      <c r="E29" s="6"/>
      <c r="F29" s="6"/>
      <c r="G29" s="6"/>
      <c r="H29" s="6"/>
      <c r="I29" s="6"/>
      <c r="J29" s="6"/>
    </row>
    <row r="30" spans="1:10" ht="15" customHeight="1" x14ac:dyDescent="0.2">
      <c r="A30" s="34" t="s">
        <v>305</v>
      </c>
      <c r="B30" s="165">
        <f ca="1">B28*B9</f>
        <v>24897.05662276988</v>
      </c>
      <c r="C30" s="159"/>
      <c r="D30" s="159"/>
      <c r="E30" s="159"/>
      <c r="F30" s="159"/>
      <c r="G30" s="6"/>
      <c r="H30" s="6"/>
      <c r="I30" s="6"/>
      <c r="J30" s="6"/>
    </row>
    <row r="31" spans="1:10" ht="15" customHeight="1" x14ac:dyDescent="0.2">
      <c r="A31" s="34" t="s">
        <v>306</v>
      </c>
      <c r="B31" s="169">
        <f ca="1">MAX(0,(B27-TODAY())/365)</f>
        <v>2.4712328767123286</v>
      </c>
      <c r="C31" s="159"/>
      <c r="D31" s="159"/>
      <c r="E31" s="6"/>
      <c r="F31" s="6"/>
      <c r="G31" s="6"/>
      <c r="H31" s="6"/>
      <c r="I31" s="6"/>
      <c r="J31" s="6"/>
    </row>
    <row r="32" spans="1:10" ht="15" customHeight="1" x14ac:dyDescent="0.2">
      <c r="A32" s="34" t="s">
        <v>307</v>
      </c>
      <c r="B32" s="165">
        <f ca="1">IFERROR(B29/B31,0)</f>
        <v>12313.584915055566</v>
      </c>
      <c r="C32" s="6"/>
      <c r="D32" s="6"/>
      <c r="E32" s="6"/>
      <c r="F32" s="6"/>
      <c r="G32" s="6"/>
      <c r="H32" s="6"/>
      <c r="I32" s="6"/>
      <c r="J32" s="6"/>
    </row>
    <row r="33" spans="1:10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5" customHeight="1" x14ac:dyDescent="0.2">
      <c r="A34" s="36" t="s">
        <v>308</v>
      </c>
      <c r="B34" s="36"/>
      <c r="C34" s="36"/>
      <c r="D34" s="36"/>
      <c r="E34" s="6"/>
      <c r="F34" s="6"/>
      <c r="G34" s="6"/>
      <c r="H34" s="6"/>
      <c r="I34" s="6"/>
      <c r="J34" s="6"/>
    </row>
    <row r="35" spans="1:10" ht="15" customHeight="1" x14ac:dyDescent="0.2">
      <c r="A35" s="34" t="s">
        <v>309</v>
      </c>
      <c r="B35" s="165">
        <f>'Balance Sheet'!B53</f>
        <v>95000</v>
      </c>
      <c r="C35" s="6"/>
      <c r="D35" s="6"/>
      <c r="E35" s="6"/>
      <c r="F35" s="6"/>
      <c r="G35" s="6"/>
      <c r="H35" s="6"/>
      <c r="I35" s="6"/>
      <c r="J35" s="6"/>
    </row>
    <row r="36" spans="1:10" ht="15" customHeight="1" x14ac:dyDescent="0.2">
      <c r="A36" s="34" t="s">
        <v>310</v>
      </c>
      <c r="B36" s="161">
        <v>2200</v>
      </c>
      <c r="C36" s="6"/>
      <c r="D36" s="6"/>
      <c r="E36" s="6"/>
      <c r="F36" s="6"/>
      <c r="G36" s="6"/>
      <c r="H36" s="6"/>
      <c r="I36" s="6"/>
      <c r="J36" s="6"/>
    </row>
    <row r="37" spans="1:10" ht="15" customHeight="1" x14ac:dyDescent="0.2">
      <c r="A37" s="34" t="s">
        <v>311</v>
      </c>
      <c r="B37" s="165">
        <f>B36*13</f>
        <v>28600</v>
      </c>
      <c r="C37" s="6"/>
      <c r="D37" s="6"/>
      <c r="E37" s="6"/>
      <c r="F37" s="6"/>
      <c r="G37" s="6"/>
      <c r="H37" s="6"/>
      <c r="I37" s="6"/>
      <c r="J37" s="6"/>
    </row>
    <row r="38" spans="1:10" ht="15" customHeight="1" x14ac:dyDescent="0.2">
      <c r="A38" s="34" t="s">
        <v>312</v>
      </c>
      <c r="B38" s="161">
        <v>236000</v>
      </c>
      <c r="C38" s="6"/>
      <c r="D38" s="6"/>
      <c r="E38" s="6"/>
      <c r="F38" s="6"/>
      <c r="G38" s="6"/>
      <c r="H38" s="6"/>
      <c r="I38" s="6"/>
      <c r="J38" s="6"/>
    </row>
    <row r="39" spans="1:10" ht="15" customHeight="1" x14ac:dyDescent="0.2">
      <c r="A39" s="34" t="s">
        <v>313</v>
      </c>
      <c r="B39" s="165">
        <f>B35-B38</f>
        <v>-141000</v>
      </c>
      <c r="C39" s="6"/>
      <c r="D39" s="6"/>
      <c r="E39" s="6"/>
      <c r="F39" s="6"/>
      <c r="G39" s="6"/>
      <c r="H39" s="6"/>
      <c r="I39" s="6"/>
      <c r="J39" s="6"/>
    </row>
    <row r="40" spans="1:10" ht="15" customHeight="1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" customHeight="1" x14ac:dyDescent="0.2">
      <c r="A41" s="36" t="s">
        <v>314</v>
      </c>
      <c r="B41" s="36"/>
      <c r="C41" s="36"/>
      <c r="D41" s="36"/>
      <c r="E41" s="6"/>
      <c r="F41" s="6"/>
      <c r="G41" s="6"/>
      <c r="H41" s="6"/>
      <c r="I41" s="6"/>
      <c r="J41" s="6"/>
    </row>
    <row r="42" spans="1:10" ht="15" customHeight="1" x14ac:dyDescent="0.2">
      <c r="A42" s="170" t="s">
        <v>315</v>
      </c>
      <c r="B42" s="170" t="s">
        <v>316</v>
      </c>
      <c r="C42" s="170" t="s">
        <v>317</v>
      </c>
      <c r="D42" s="170" t="s">
        <v>132</v>
      </c>
      <c r="E42" s="6"/>
      <c r="F42" s="6"/>
      <c r="G42" s="6"/>
      <c r="H42" s="6"/>
      <c r="I42" s="6"/>
      <c r="J42" s="6"/>
    </row>
    <row r="43" spans="1:10" ht="15" customHeight="1" x14ac:dyDescent="0.2">
      <c r="A43" s="171" t="s">
        <v>318</v>
      </c>
      <c r="B43" s="172">
        <v>90000</v>
      </c>
      <c r="C43" s="172">
        <v>120000</v>
      </c>
      <c r="D43" s="157">
        <f>B43+C43</f>
        <v>210000</v>
      </c>
      <c r="E43" s="6"/>
      <c r="F43" s="6"/>
      <c r="G43" s="6"/>
      <c r="H43" s="6"/>
      <c r="I43" s="6"/>
      <c r="J43" s="6"/>
    </row>
    <row r="44" spans="1:10" ht="15" customHeight="1" x14ac:dyDescent="0.2">
      <c r="A44" s="171" t="s">
        <v>319</v>
      </c>
      <c r="B44" s="172">
        <v>170000</v>
      </c>
      <c r="C44" s="172">
        <v>120000</v>
      </c>
      <c r="D44" s="157">
        <f>B44+C44</f>
        <v>290000</v>
      </c>
      <c r="E44" s="6"/>
      <c r="F44" s="6"/>
      <c r="G44" s="6"/>
      <c r="H44" s="6"/>
      <c r="I44" s="6"/>
      <c r="J44" s="6"/>
    </row>
    <row r="45" spans="1:10" ht="15" customHeight="1" x14ac:dyDescent="0.2">
      <c r="A45" s="173" t="s">
        <v>320</v>
      </c>
      <c r="B45" s="174">
        <f>SUM(B43:B44)</f>
        <v>260000</v>
      </c>
      <c r="C45" s="174">
        <f>SUM(C43:C44)</f>
        <v>240000</v>
      </c>
      <c r="D45" s="174">
        <f>SUM(D43:D44)</f>
        <v>500000</v>
      </c>
      <c r="E45" s="6"/>
      <c r="F45" s="6"/>
      <c r="G45" s="6"/>
      <c r="H45" s="6"/>
      <c r="I45" s="6"/>
      <c r="J45" s="6"/>
    </row>
    <row r="46" spans="1:10" ht="15" customHeight="1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5" customHeight="1" x14ac:dyDescent="0.2">
      <c r="A47" s="140" t="s">
        <v>321</v>
      </c>
      <c r="B47" s="6"/>
      <c r="C47" s="6"/>
      <c r="D47" s="6"/>
      <c r="E47" s="6"/>
      <c r="F47" s="6"/>
      <c r="G47" s="6"/>
      <c r="H47" s="6"/>
      <c r="I47" s="6"/>
      <c r="J47" s="6"/>
    </row>
    <row r="48" spans="1:10" ht="15" customHeight="1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5" customHeight="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R257"/>
  <sheetViews>
    <sheetView showGridLines="0" zoomScale="130" zoomScaleNormal="130" workbookViewId="0">
      <pane ySplit="16" topLeftCell="A17" activePane="bottomLeft" state="frozen"/>
      <selection pane="bottomLeft" activeCell="D7" sqref="D7"/>
    </sheetView>
  </sheetViews>
  <sheetFormatPr baseColWidth="10" defaultColWidth="9.1640625" defaultRowHeight="15" x14ac:dyDescent="0.15"/>
  <cols>
    <col min="1" max="1" width="3.83203125" style="176" customWidth="1"/>
    <col min="2" max="2" width="8" style="177" customWidth="1"/>
    <col min="3" max="3" width="13" style="177" customWidth="1"/>
    <col min="4" max="4" width="15" style="177" customWidth="1"/>
    <col min="5" max="6" width="13" customWidth="1"/>
    <col min="7" max="7" width="16" customWidth="1"/>
    <col min="8" max="8" width="13" customWidth="1"/>
    <col min="9" max="9" width="16" customWidth="1"/>
    <col min="10" max="10" width="15" customWidth="1"/>
    <col min="11" max="11" width="34.5" style="176" customWidth="1"/>
    <col min="12" max="12" width="42.5" style="176" customWidth="1"/>
    <col min="13" max="13" width="8" style="176" customWidth="1"/>
    <col min="14" max="16" width="15" style="176" customWidth="1"/>
    <col min="17" max="17" width="51.1640625" style="176" customWidth="1"/>
    <col min="18" max="18" width="13.6640625" style="176" customWidth="1"/>
    <col min="19" max="16384" width="9.1640625" style="176"/>
  </cols>
  <sheetData>
    <row r="1" spans="1:16" ht="19.5" customHeight="1" x14ac:dyDescent="0.15">
      <c r="A1" s="178"/>
      <c r="B1" s="179"/>
      <c r="C1" s="179"/>
      <c r="D1" s="179"/>
      <c r="E1" s="179"/>
      <c r="F1" s="179"/>
      <c r="G1" s="179"/>
      <c r="H1" s="179"/>
      <c r="I1" s="179"/>
      <c r="J1" s="179"/>
      <c r="K1" s="180" t="s">
        <v>322</v>
      </c>
    </row>
    <row r="2" spans="1:16" ht="60.75" customHeight="1" x14ac:dyDescent="0.15">
      <c r="A2" s="178"/>
      <c r="B2" s="2" t="s">
        <v>323</v>
      </c>
      <c r="C2" s="2"/>
      <c r="D2" s="2"/>
      <c r="E2" s="2"/>
      <c r="F2" s="2"/>
      <c r="G2" s="2"/>
      <c r="H2" s="2"/>
      <c r="I2" s="2"/>
      <c r="J2" s="2"/>
      <c r="K2" s="178"/>
      <c r="M2" s="181" t="s">
        <v>324</v>
      </c>
    </row>
    <row r="3" spans="1:16" ht="24" customHeight="1" x14ac:dyDescent="0.15">
      <c r="A3" s="178"/>
      <c r="B3" s="182"/>
      <c r="C3" s="183"/>
      <c r="D3" s="183"/>
      <c r="E3" s="183"/>
      <c r="F3" s="183"/>
      <c r="G3" s="183"/>
      <c r="H3" s="183"/>
      <c r="I3" s="183"/>
      <c r="J3" s="183"/>
      <c r="K3" s="178"/>
    </row>
    <row r="4" spans="1:16" ht="24" customHeight="1" x14ac:dyDescent="0.15">
      <c r="A4" s="178"/>
      <c r="B4" s="1" t="s">
        <v>325</v>
      </c>
      <c r="C4" s="1"/>
      <c r="D4" s="1"/>
      <c r="E4" s="178"/>
      <c r="F4" s="179"/>
      <c r="G4" s="179"/>
      <c r="H4" s="179"/>
      <c r="I4" s="179"/>
      <c r="J4" s="179"/>
      <c r="K4" s="178"/>
      <c r="M4" s="27" t="s">
        <v>326</v>
      </c>
      <c r="N4" s="27" t="s">
        <v>327</v>
      </c>
      <c r="O4" s="27" t="s">
        <v>328</v>
      </c>
      <c r="P4" s="27" t="s">
        <v>329</v>
      </c>
    </row>
    <row r="5" spans="1:16" ht="24" customHeight="1" x14ac:dyDescent="0.15">
      <c r="A5" s="178"/>
      <c r="B5" s="184"/>
      <c r="C5" s="185" t="s">
        <v>330</v>
      </c>
      <c r="D5" s="186">
        <v>1125000</v>
      </c>
      <c r="E5" s="178"/>
      <c r="F5" s="179"/>
      <c r="G5" s="179"/>
      <c r="H5" s="179"/>
      <c r="I5" s="179"/>
      <c r="J5" s="179"/>
      <c r="K5" s="178"/>
      <c r="M5" s="187">
        <f>YEAR($D$8)</f>
        <v>2025</v>
      </c>
      <c r="N5" s="188">
        <f t="shared" ref="N5:N29" si="0">SUMPRODUCT(($M5=YEAR($C$17:$C$256))*$F$17:$F$256)</f>
        <v>42329.634830958035</v>
      </c>
      <c r="O5" s="188">
        <f t="shared" ref="O5:O29" si="1">SUMPRODUCT(($M5=YEAR($C$17:$C$256))*$H$17:$H$256)</f>
        <v>20273.42788087521</v>
      </c>
      <c r="P5" s="188">
        <f t="shared" ref="P5:P29" si="2">N5+O5</f>
        <v>62603.062711833249</v>
      </c>
    </row>
    <row r="6" spans="1:16" ht="24" customHeight="1" x14ac:dyDescent="0.15">
      <c r="A6" s="178"/>
      <c r="B6" s="189"/>
      <c r="C6" s="190" t="s">
        <v>331</v>
      </c>
      <c r="D6" s="191">
        <v>0.02</v>
      </c>
      <c r="E6" s="178"/>
      <c r="F6" s="179"/>
      <c r="G6" s="179"/>
      <c r="H6" s="179"/>
      <c r="I6" s="179"/>
      <c r="J6" s="179"/>
      <c r="K6" s="178"/>
      <c r="M6" s="187">
        <f t="shared" ref="M6:M29" si="3">M5+1</f>
        <v>2026</v>
      </c>
      <c r="N6" s="188">
        <f t="shared" si="0"/>
        <v>47070.768146896655</v>
      </c>
      <c r="O6" s="188">
        <f t="shared" si="1"/>
        <v>21223.482084194155</v>
      </c>
      <c r="P6" s="188">
        <f t="shared" si="2"/>
        <v>68294.250231090817</v>
      </c>
    </row>
    <row r="7" spans="1:16" ht="24" customHeight="1" x14ac:dyDescent="0.15">
      <c r="A7" s="178"/>
      <c r="B7" s="192"/>
      <c r="C7" s="193" t="s">
        <v>332</v>
      </c>
      <c r="D7" s="194">
        <v>20</v>
      </c>
      <c r="E7" s="178"/>
      <c r="F7" s="179"/>
      <c r="G7" s="179"/>
      <c r="H7" s="179"/>
      <c r="I7" s="179"/>
      <c r="J7" s="179"/>
      <c r="K7" s="178"/>
      <c r="M7" s="187">
        <f t="shared" si="3"/>
        <v>2027</v>
      </c>
      <c r="N7" s="188">
        <f t="shared" si="0"/>
        <v>48020.861273375107</v>
      </c>
      <c r="O7" s="188">
        <f t="shared" si="1"/>
        <v>20273.38895771571</v>
      </c>
      <c r="P7" s="188">
        <f t="shared" si="2"/>
        <v>68294.250231090817</v>
      </c>
    </row>
    <row r="8" spans="1:16" ht="24" customHeight="1" x14ac:dyDescent="0.15">
      <c r="A8" s="178"/>
      <c r="B8" s="184"/>
      <c r="C8" s="195" t="s">
        <v>333</v>
      </c>
      <c r="D8" s="196">
        <v>45658</v>
      </c>
      <c r="E8" s="178"/>
      <c r="F8" s="179"/>
      <c r="G8" s="179"/>
      <c r="H8" s="179"/>
      <c r="I8" s="179"/>
      <c r="J8" s="179"/>
      <c r="K8" s="178"/>
      <c r="M8" s="187">
        <f t="shared" si="3"/>
        <v>2028</v>
      </c>
      <c r="N8" s="188">
        <f t="shared" si="0"/>
        <v>48990.131417448945</v>
      </c>
      <c r="O8" s="188">
        <f t="shared" si="1"/>
        <v>19304.118813641875</v>
      </c>
      <c r="P8" s="188">
        <f t="shared" si="2"/>
        <v>68294.250231090817</v>
      </c>
    </row>
    <row r="9" spans="1:16" ht="9" customHeight="1" x14ac:dyDescent="0.15">
      <c r="A9" s="178"/>
      <c r="B9" s="197"/>
      <c r="C9" s="178"/>
      <c r="D9" s="178"/>
      <c r="E9" s="178"/>
      <c r="F9" s="178"/>
      <c r="G9" s="178"/>
      <c r="H9" s="178"/>
      <c r="I9" s="178"/>
      <c r="J9" s="178"/>
      <c r="K9" s="178"/>
      <c r="M9" s="187">
        <f t="shared" si="3"/>
        <v>2029</v>
      </c>
      <c r="N9" s="188">
        <f t="shared" si="0"/>
        <v>49978.965654862222</v>
      </c>
      <c r="O9" s="188">
        <f t="shared" si="1"/>
        <v>18315.284576228594</v>
      </c>
      <c r="P9" s="188">
        <f t="shared" si="2"/>
        <v>68294.250231090817</v>
      </c>
    </row>
    <row r="10" spans="1:16" ht="24" customHeight="1" x14ac:dyDescent="0.15">
      <c r="A10" s="178"/>
      <c r="B10" s="1" t="s">
        <v>334</v>
      </c>
      <c r="C10" s="1"/>
      <c r="D10" s="1"/>
      <c r="E10" s="178"/>
      <c r="F10" s="178"/>
      <c r="G10" s="178"/>
      <c r="H10" s="178"/>
      <c r="I10" s="178"/>
      <c r="J10" s="178"/>
      <c r="K10" s="178"/>
      <c r="M10" s="187">
        <f t="shared" si="3"/>
        <v>2030</v>
      </c>
      <c r="N10" s="188">
        <f t="shared" si="0"/>
        <v>50987.758874233514</v>
      </c>
      <c r="O10" s="188">
        <f t="shared" si="1"/>
        <v>17306.491356857317</v>
      </c>
      <c r="P10" s="188">
        <f t="shared" si="2"/>
        <v>68294.250231090831</v>
      </c>
    </row>
    <row r="11" spans="1:16" ht="24" customHeight="1" x14ac:dyDescent="0.15">
      <c r="A11" s="178"/>
      <c r="B11" s="184"/>
      <c r="C11" s="195" t="s">
        <v>335</v>
      </c>
      <c r="D11" s="198">
        <f>IFERROR(IF(LoanIsGood,MonthlyPayment,""), "")</f>
        <v>5691.1875192575681</v>
      </c>
      <c r="E11" s="178"/>
      <c r="F11" s="178"/>
      <c r="G11" s="178"/>
      <c r="H11" s="178"/>
      <c r="I11" s="178"/>
      <c r="J11" s="178"/>
      <c r="K11" s="178"/>
      <c r="M11" s="187">
        <f t="shared" si="3"/>
        <v>2031</v>
      </c>
      <c r="N11" s="188">
        <f t="shared" si="0"/>
        <v>52016.913934753662</v>
      </c>
      <c r="O11" s="188">
        <f t="shared" si="1"/>
        <v>16277.336296337162</v>
      </c>
      <c r="P11" s="188">
        <f t="shared" si="2"/>
        <v>68294.250231090817</v>
      </c>
    </row>
    <row r="12" spans="1:16" ht="24" customHeight="1" x14ac:dyDescent="0.15">
      <c r="A12" s="178"/>
      <c r="B12" s="192"/>
      <c r="C12" s="199" t="s">
        <v>336</v>
      </c>
      <c r="D12" s="200">
        <f>IFERROR(IF(LoanIsGood,LoanYears*12,""), "")</f>
        <v>240</v>
      </c>
      <c r="E12" s="178"/>
      <c r="F12" s="178"/>
      <c r="G12" s="178"/>
      <c r="H12" s="178"/>
      <c r="I12" s="178"/>
      <c r="J12" s="178"/>
      <c r="K12" s="178"/>
      <c r="M12" s="187">
        <f t="shared" si="3"/>
        <v>2032</v>
      </c>
      <c r="N12" s="188">
        <f t="shared" si="0"/>
        <v>53066.841827066775</v>
      </c>
      <c r="O12" s="188">
        <f t="shared" si="1"/>
        <v>15227.408404024054</v>
      </c>
      <c r="P12" s="188">
        <f t="shared" si="2"/>
        <v>68294.250231090831</v>
      </c>
    </row>
    <row r="13" spans="1:16" ht="24" customHeight="1" x14ac:dyDescent="0.15">
      <c r="A13" s="178"/>
      <c r="B13" s="184"/>
      <c r="C13" s="193" t="s">
        <v>337</v>
      </c>
      <c r="D13" s="201">
        <f>IFERROR(IF(LoanIsGood,TotalLoanCost-LoanAmount,""), "")</f>
        <v>240885.00462181633</v>
      </c>
      <c r="E13" s="178"/>
      <c r="F13" s="178"/>
      <c r="G13" s="178"/>
      <c r="H13" s="178"/>
      <c r="I13" s="178"/>
      <c r="J13" s="178"/>
      <c r="K13" s="178"/>
      <c r="M13" s="187">
        <f t="shared" si="3"/>
        <v>2033</v>
      </c>
      <c r="N13" s="188">
        <f t="shared" si="0"/>
        <v>54137.961837398259</v>
      </c>
      <c r="O13" s="188">
        <f t="shared" si="1"/>
        <v>14156.288393692565</v>
      </c>
      <c r="P13" s="188">
        <f t="shared" si="2"/>
        <v>68294.250231090817</v>
      </c>
    </row>
    <row r="14" spans="1:16" ht="24" customHeight="1" x14ac:dyDescent="0.15">
      <c r="A14" s="178"/>
      <c r="B14" s="189"/>
      <c r="C14" s="195" t="s">
        <v>338</v>
      </c>
      <c r="D14" s="201">
        <f>IFERROR(IF(LoanIsGood,MonthlyPayment*NumberOfPayments,""), "")</f>
        <v>1365885.0046218163</v>
      </c>
      <c r="E14" s="178"/>
      <c r="F14" s="178"/>
      <c r="G14" s="178"/>
      <c r="H14" s="178"/>
      <c r="I14" s="178"/>
      <c r="J14" s="178"/>
      <c r="K14" s="178"/>
      <c r="M14" s="187">
        <f t="shared" si="3"/>
        <v>2034</v>
      </c>
      <c r="N14" s="188">
        <f t="shared" si="0"/>
        <v>55230.701714995841</v>
      </c>
      <c r="O14" s="188">
        <f t="shared" si="1"/>
        <v>13063.548516094976</v>
      </c>
      <c r="P14" s="188">
        <f t="shared" si="2"/>
        <v>68294.250231090817</v>
      </c>
    </row>
    <row r="15" spans="1:16" ht="24" customHeight="1" x14ac:dyDescent="0.15">
      <c r="A15" s="178"/>
      <c r="B15" s="197"/>
      <c r="C15" s="202" t="s">
        <v>339</v>
      </c>
      <c r="D15" s="203">
        <f ca="1">IFERROR(LOOKUP(2,1/($C$17:$C$256&lt;=TODAY()),$J$17:$J$256),D5)</f>
        <v>1055326.7924950442</v>
      </c>
      <c r="E15" s="178"/>
      <c r="F15" s="178"/>
      <c r="G15" s="178"/>
      <c r="H15" s="178"/>
      <c r="I15" s="178"/>
      <c r="J15" s="178"/>
      <c r="K15" s="178"/>
      <c r="M15" s="187">
        <f t="shared" si="3"/>
        <v>2035</v>
      </c>
      <c r="N15" s="188">
        <f t="shared" si="0"/>
        <v>56345.497842950223</v>
      </c>
      <c r="O15" s="188">
        <f t="shared" si="1"/>
        <v>11948.752388140592</v>
      </c>
      <c r="P15" s="188">
        <f t="shared" si="2"/>
        <v>68294.250231090817</v>
      </c>
    </row>
    <row r="16" spans="1:16" ht="40.5" customHeight="1" x14ac:dyDescent="0.15">
      <c r="A16" s="178"/>
      <c r="B16" s="27" t="s">
        <v>340</v>
      </c>
      <c r="C16" s="27" t="s">
        <v>341</v>
      </c>
      <c r="D16" s="27" t="s">
        <v>342</v>
      </c>
      <c r="E16" s="27" t="s">
        <v>343</v>
      </c>
      <c r="F16" s="27" t="s">
        <v>344</v>
      </c>
      <c r="G16" s="27" t="s">
        <v>345</v>
      </c>
      <c r="H16" s="27" t="s">
        <v>346</v>
      </c>
      <c r="I16" s="27" t="s">
        <v>347</v>
      </c>
      <c r="J16" s="27" t="s">
        <v>348</v>
      </c>
      <c r="K16" s="178"/>
      <c r="M16" s="187">
        <f t="shared" si="3"/>
        <v>2036</v>
      </c>
      <c r="N16" s="188">
        <f t="shared" si="0"/>
        <v>57482.795412463587</v>
      </c>
      <c r="O16" s="188">
        <f t="shared" si="1"/>
        <v>10811.454818627222</v>
      </c>
      <c r="P16" s="188">
        <f t="shared" si="2"/>
        <v>68294.250231090817</v>
      </c>
    </row>
    <row r="17" spans="1:18" ht="19.5" customHeight="1" x14ac:dyDescent="0.15">
      <c r="A17" s="178"/>
      <c r="B17" s="204">
        <f>IFERROR(IF(LoanIsNotPaid*LoanIsGood,PaymentNumber,""), "")</f>
        <v>1</v>
      </c>
      <c r="C17" s="205">
        <f>IFERROR(IF(LoanIsNotPaid*LoanIsGood,PaymentDate,LoanStartDate), LoanStartDate)</f>
        <v>45689</v>
      </c>
      <c r="D17" s="206">
        <f>IFERROR(IF(LoanIsNotPaid*LoanIsGood,LoanValue,""), "")</f>
        <v>1125000</v>
      </c>
      <c r="E17" s="206">
        <f>IFERROR(IF(LoanIsNotPaid*LoanIsGood,MonthlyPayment,0), 0)</f>
        <v>5691.1875192575681</v>
      </c>
      <c r="F17" s="206">
        <f>IFERROR(IF(LoanIsNotPaid*LoanIsGood,Principal,0), 0)</f>
        <v>3816.1875192575681</v>
      </c>
      <c r="G17" s="206">
        <f>SUM($F$17:F17)</f>
        <v>3816.1875192575681</v>
      </c>
      <c r="H17" s="206">
        <f>IFERROR(IF(LoanIsNotPaid*LoanIsGood,InterestAmt,0), 0)</f>
        <v>1875.0000000000002</v>
      </c>
      <c r="I17" s="206">
        <f>SUM($H$17:H17)</f>
        <v>1875.0000000000002</v>
      </c>
      <c r="J17" s="206">
        <f>IFERROR(IF(LoanIsNotPaid*LoanIsGood,EndingBalance,0), 0)</f>
        <v>1121183.8124807423</v>
      </c>
      <c r="K17" s="178"/>
      <c r="M17" s="207">
        <f t="shared" si="3"/>
        <v>2037</v>
      </c>
      <c r="N17" s="70">
        <f t="shared" si="0"/>
        <v>58643.048600635739</v>
      </c>
      <c r="O17" s="70">
        <f t="shared" si="1"/>
        <v>9651.2016304550853</v>
      </c>
      <c r="P17" s="70">
        <f t="shared" si="2"/>
        <v>68294.250231090817</v>
      </c>
      <c r="R17" s="208"/>
    </row>
    <row r="18" spans="1:18" ht="20.25" customHeight="1" x14ac:dyDescent="0.15">
      <c r="A18" s="178"/>
      <c r="B18" s="204">
        <f>IFERROR(IF(LoanIsNotPaid*LoanIsGood,PaymentNumber,""), "")</f>
        <v>2</v>
      </c>
      <c r="C18" s="205">
        <f>IFERROR(IF(LoanIsNotPaid*LoanIsGood,PaymentDate,LoanStartDate), LoanStartDate)</f>
        <v>45717</v>
      </c>
      <c r="D18" s="206">
        <f>IFERROR(IF(LoanIsNotPaid*LoanIsGood,LoanValue,""), "")</f>
        <v>1121183.8124807423</v>
      </c>
      <c r="E18" s="206">
        <f>IFERROR(IF(LoanIsNotPaid*LoanIsGood,MonthlyPayment,0), 0)</f>
        <v>5691.1875192575681</v>
      </c>
      <c r="F18" s="206">
        <f>IFERROR(IF(LoanIsNotPaid*LoanIsGood,Principal,0), 0)</f>
        <v>3822.5478317896636</v>
      </c>
      <c r="G18" s="206">
        <f>SUM($F$17:F18)</f>
        <v>7638.7353510472312</v>
      </c>
      <c r="H18" s="206">
        <f>IFERROR(IF(LoanIsNotPaid*LoanIsGood,InterestAmt,0), 0)</f>
        <v>1868.639687467904</v>
      </c>
      <c r="I18" s="206">
        <f>SUM($H$17:H18)</f>
        <v>3743.639687467904</v>
      </c>
      <c r="J18" s="206">
        <f>IFERROR(IF(LoanIsNotPaid*LoanIsGood,EndingBalance,0), 0)</f>
        <v>1117361.2646489525</v>
      </c>
      <c r="K18" s="178"/>
      <c r="M18" s="207">
        <f t="shared" si="3"/>
        <v>2038</v>
      </c>
      <c r="N18" s="70">
        <f t="shared" si="0"/>
        <v>59826.720751838533</v>
      </c>
      <c r="O18" s="70">
        <f t="shared" si="1"/>
        <v>8467.5294792522836</v>
      </c>
      <c r="P18" s="70">
        <f t="shared" si="2"/>
        <v>68294.250231090817</v>
      </c>
    </row>
    <row r="19" spans="1:18" ht="20.25" customHeight="1" x14ac:dyDescent="0.15">
      <c r="A19" s="178"/>
      <c r="B19" s="204">
        <f>IFERROR(IF(LoanIsNotPaid*LoanIsGood,PaymentNumber,""), "")</f>
        <v>3</v>
      </c>
      <c r="C19" s="205">
        <f>IFERROR(IF(LoanIsNotPaid*LoanIsGood,PaymentDate,LoanStartDate), LoanStartDate)</f>
        <v>45748</v>
      </c>
      <c r="D19" s="206">
        <f>IFERROR(IF(LoanIsNotPaid*LoanIsGood,LoanValue,""), "")</f>
        <v>1117361.2646489525</v>
      </c>
      <c r="E19" s="206">
        <f>IFERROR(IF(LoanIsNotPaid*LoanIsGood,MonthlyPayment,0), 0)</f>
        <v>5691.1875192575681</v>
      </c>
      <c r="F19" s="206">
        <f>IFERROR(IF(LoanIsNotPaid*LoanIsGood,Principal,0), 0)</f>
        <v>3828.9187448426464</v>
      </c>
      <c r="G19" s="206">
        <f>SUM($F$17:F19)</f>
        <v>11467.654095889877</v>
      </c>
      <c r="H19" s="206">
        <f>IFERROR(IF(LoanIsNotPaid*LoanIsGood,InterestAmt,0), 0)</f>
        <v>1862.2687744149214</v>
      </c>
      <c r="I19" s="206">
        <f>SUM($H$17:H19)</f>
        <v>5605.9084618828256</v>
      </c>
      <c r="J19" s="206">
        <f>IFERROR(IF(LoanIsNotPaid*LoanIsGood,EndingBalance,0), 0)</f>
        <v>1113532.34590411</v>
      </c>
      <c r="K19" s="178"/>
      <c r="M19" s="207">
        <f t="shared" si="3"/>
        <v>2039</v>
      </c>
      <c r="N19" s="70">
        <f t="shared" si="0"/>
        <v>61034.284562751491</v>
      </c>
      <c r="O19" s="70">
        <f t="shared" si="1"/>
        <v>7259.9656683393205</v>
      </c>
      <c r="P19" s="70">
        <f t="shared" si="2"/>
        <v>68294.250231090817</v>
      </c>
    </row>
    <row r="20" spans="1:18" ht="20.25" customHeight="1" x14ac:dyDescent="0.15">
      <c r="A20" s="178"/>
      <c r="B20" s="204">
        <f>IFERROR(IF(LoanIsNotPaid*LoanIsGood,PaymentNumber,""), "")</f>
        <v>4</v>
      </c>
      <c r="C20" s="205">
        <f>IFERROR(IF(LoanIsNotPaid*LoanIsGood,PaymentDate,LoanStartDate), LoanStartDate)</f>
        <v>45778</v>
      </c>
      <c r="D20" s="206">
        <f>IFERROR(IF(LoanIsNotPaid*LoanIsGood,LoanValue,""), "")</f>
        <v>1113532.34590411</v>
      </c>
      <c r="E20" s="206">
        <f>IFERROR(IF(LoanIsNotPaid*LoanIsGood,MonthlyPayment,0), 0)</f>
        <v>5691.1875192575681</v>
      </c>
      <c r="F20" s="206">
        <f>IFERROR(IF(LoanIsNotPaid*LoanIsGood,Principal,0), 0)</f>
        <v>3835.3002760840504</v>
      </c>
      <c r="G20" s="206">
        <f>SUM($F$17:F20)</f>
        <v>15302.954371973927</v>
      </c>
      <c r="H20" s="206">
        <f>IFERROR(IF(LoanIsNotPaid*LoanIsGood,InterestAmt,0), 0)</f>
        <v>1855.8872431735172</v>
      </c>
      <c r="I20" s="206">
        <f>SUM($H$17:H20)</f>
        <v>7461.7957050563427</v>
      </c>
      <c r="J20" s="206">
        <f>IFERROR(IF(LoanIsNotPaid*LoanIsGood,EndingBalance,0), 0)</f>
        <v>1109697.0456280254</v>
      </c>
      <c r="K20" s="178"/>
      <c r="M20" s="207">
        <f t="shared" si="3"/>
        <v>2040</v>
      </c>
      <c r="N20" s="70">
        <f t="shared" si="0"/>
        <v>62266.222271132036</v>
      </c>
      <c r="O20" s="70">
        <f t="shared" si="1"/>
        <v>6028.0279599587793</v>
      </c>
      <c r="P20" s="70">
        <f t="shared" si="2"/>
        <v>68294.250231090817</v>
      </c>
    </row>
    <row r="21" spans="1:18" ht="20.25" customHeight="1" x14ac:dyDescent="0.15">
      <c r="A21" s="178"/>
      <c r="B21" s="204">
        <f>IFERROR(IF(LoanIsNotPaid*LoanIsGood,PaymentNumber,""), "")</f>
        <v>5</v>
      </c>
      <c r="C21" s="205">
        <f>IFERROR(IF(LoanIsNotPaid*LoanIsGood,PaymentDate,LoanStartDate), LoanStartDate)</f>
        <v>45809</v>
      </c>
      <c r="D21" s="206">
        <f>IFERROR(IF(LoanIsNotPaid*LoanIsGood,LoanValue,""), "")</f>
        <v>1109697.0456280254</v>
      </c>
      <c r="E21" s="206">
        <f>IFERROR(IF(LoanIsNotPaid*LoanIsGood,MonthlyPayment,0), 0)</f>
        <v>5691.1875192575681</v>
      </c>
      <c r="F21" s="206">
        <f>IFERROR(IF(LoanIsNotPaid*LoanIsGood,Principal,0), 0)</f>
        <v>3841.6924432108576</v>
      </c>
      <c r="G21" s="206">
        <f>SUM($F$17:F21)</f>
        <v>19144.646815184784</v>
      </c>
      <c r="H21" s="206">
        <f>IFERROR(IF(LoanIsNotPaid*LoanIsGood,InterestAmt,0), 0)</f>
        <v>1849.4950760467104</v>
      </c>
      <c r="I21" s="206">
        <f>SUM($H$17:H21)</f>
        <v>9311.2907811030527</v>
      </c>
      <c r="J21" s="206">
        <f>IFERROR(IF(LoanIsNotPaid*LoanIsGood,EndingBalance,0), 0)</f>
        <v>1105855.3531848146</v>
      </c>
      <c r="K21" s="178"/>
      <c r="M21" s="207">
        <f t="shared" si="3"/>
        <v>2041</v>
      </c>
      <c r="N21" s="70">
        <f t="shared" si="0"/>
        <v>63523.025848395984</v>
      </c>
      <c r="O21" s="70">
        <f t="shared" si="1"/>
        <v>4771.2243826948306</v>
      </c>
      <c r="P21" s="70">
        <f t="shared" si="2"/>
        <v>68294.250231090817</v>
      </c>
    </row>
    <row r="22" spans="1:18" ht="20.25" customHeight="1" x14ac:dyDescent="0.15">
      <c r="A22" s="178"/>
      <c r="B22" s="204">
        <f>IFERROR(IF(LoanIsNotPaid*LoanIsGood,PaymentNumber,""), "")</f>
        <v>6</v>
      </c>
      <c r="C22" s="205">
        <f>IFERROR(IF(LoanIsNotPaid*LoanIsGood,PaymentDate,LoanStartDate), LoanStartDate)</f>
        <v>45839</v>
      </c>
      <c r="D22" s="206">
        <f>IFERROR(IF(LoanIsNotPaid*LoanIsGood,LoanValue,""), "")</f>
        <v>1105855.3531848146</v>
      </c>
      <c r="E22" s="206">
        <f>IFERROR(IF(LoanIsNotPaid*LoanIsGood,MonthlyPayment,0), 0)</f>
        <v>5691.1875192575681</v>
      </c>
      <c r="F22" s="206">
        <f>IFERROR(IF(LoanIsNotPaid*LoanIsGood,Principal,0), 0)</f>
        <v>3848.0952639495422</v>
      </c>
      <c r="G22" s="206">
        <f>SUM($F$17:F22)</f>
        <v>22992.742079134325</v>
      </c>
      <c r="H22" s="206">
        <f>IFERROR(IF(LoanIsNotPaid*LoanIsGood,InterestAmt,0), 0)</f>
        <v>1843.0922553080256</v>
      </c>
      <c r="I22" s="206">
        <f>SUM($H$17:H22)</f>
        <v>11154.383036411078</v>
      </c>
      <c r="J22" s="206">
        <f>IFERROR(IF(LoanIsNotPaid*LoanIsGood,EndingBalance,0), 0)</f>
        <v>1102007.257920865</v>
      </c>
      <c r="K22" s="178"/>
      <c r="M22" s="207">
        <f t="shared" si="3"/>
        <v>2042</v>
      </c>
      <c r="N22" s="70">
        <f t="shared" si="0"/>
        <v>64805.19719608521</v>
      </c>
      <c r="O22" s="70">
        <f t="shared" si="1"/>
        <v>3489.0530350056051</v>
      </c>
      <c r="P22" s="70">
        <f t="shared" si="2"/>
        <v>68294.250231090817</v>
      </c>
    </row>
    <row r="23" spans="1:18" ht="20.25" customHeight="1" x14ac:dyDescent="0.15">
      <c r="A23" s="178"/>
      <c r="B23" s="204">
        <f>IFERROR(IF(LoanIsNotPaid*LoanIsGood,PaymentNumber,""), "")</f>
        <v>7</v>
      </c>
      <c r="C23" s="205">
        <f>IFERROR(IF(LoanIsNotPaid*LoanIsGood,PaymentDate,LoanStartDate), LoanStartDate)</f>
        <v>45870</v>
      </c>
      <c r="D23" s="206">
        <f>IFERROR(IF(LoanIsNotPaid*LoanIsGood,LoanValue,""), "")</f>
        <v>1102007.257920865</v>
      </c>
      <c r="E23" s="206">
        <f>IFERROR(IF(LoanIsNotPaid*LoanIsGood,MonthlyPayment,0), 0)</f>
        <v>5691.1875192575681</v>
      </c>
      <c r="F23" s="206">
        <f>IFERROR(IF(LoanIsNotPaid*LoanIsGood,Principal,0), 0)</f>
        <v>3854.5087560561246</v>
      </c>
      <c r="G23" s="206">
        <f>SUM($F$17:F23)</f>
        <v>26847.250835190451</v>
      </c>
      <c r="H23" s="206">
        <f>IFERROR(IF(LoanIsNotPaid*LoanIsGood,InterestAmt,0), 0)</f>
        <v>1836.678763201443</v>
      </c>
      <c r="I23" s="206">
        <f>SUM($H$17:H23)</f>
        <v>12991.061799612522</v>
      </c>
      <c r="J23" s="206">
        <f>IFERROR(IF(LoanIsNotPaid*LoanIsGood,EndingBalance,0), 0)</f>
        <v>1098152.7491648088</v>
      </c>
      <c r="K23" s="178"/>
      <c r="M23" s="207">
        <f t="shared" si="3"/>
        <v>2043</v>
      </c>
      <c r="N23" s="70">
        <f t="shared" si="0"/>
        <v>66113.248346300825</v>
      </c>
      <c r="O23" s="70">
        <f t="shared" si="1"/>
        <v>2181.0018847899892</v>
      </c>
      <c r="P23" s="70">
        <f t="shared" si="2"/>
        <v>68294.250231090817</v>
      </c>
    </row>
    <row r="24" spans="1:18" ht="20.25" customHeight="1" x14ac:dyDescent="0.15">
      <c r="A24" s="178"/>
      <c r="B24" s="204">
        <f>IFERROR(IF(LoanIsNotPaid*LoanIsGood,PaymentNumber,""), "")</f>
        <v>8</v>
      </c>
      <c r="C24" s="205">
        <f>IFERROR(IF(LoanIsNotPaid*LoanIsGood,PaymentDate,LoanStartDate), LoanStartDate)</f>
        <v>45901</v>
      </c>
      <c r="D24" s="206">
        <f>IFERROR(IF(LoanIsNotPaid*LoanIsGood,LoanValue,""), "")</f>
        <v>1098152.7491648088</v>
      </c>
      <c r="E24" s="206">
        <f>IFERROR(IF(LoanIsNotPaid*LoanIsGood,MonthlyPayment,0), 0)</f>
        <v>5691.1875192575681</v>
      </c>
      <c r="F24" s="206">
        <f>IFERROR(IF(LoanIsNotPaid*LoanIsGood,Principal,0), 0)</f>
        <v>3860.9329373162182</v>
      </c>
      <c r="G24" s="206">
        <f>SUM($F$17:F24)</f>
        <v>30708.183772506669</v>
      </c>
      <c r="H24" s="206">
        <f>IFERROR(IF(LoanIsNotPaid*LoanIsGood,InterestAmt,0), 0)</f>
        <v>1830.2545819413497</v>
      </c>
      <c r="I24" s="206">
        <f>SUM($H$17:H24)</f>
        <v>14821.316381553872</v>
      </c>
      <c r="J24" s="206">
        <f>IFERROR(IF(LoanIsNotPaid*LoanIsGood,EndingBalance,0), 0)</f>
        <v>1094291.8162274919</v>
      </c>
      <c r="K24" s="178"/>
      <c r="M24" s="207">
        <f t="shared" si="3"/>
        <v>2044</v>
      </c>
      <c r="N24" s="70">
        <f t="shared" si="0"/>
        <v>67447.701666181994</v>
      </c>
      <c r="O24" s="70">
        <f t="shared" si="1"/>
        <v>846.54856490882412</v>
      </c>
      <c r="P24" s="70">
        <f t="shared" si="2"/>
        <v>68294.250231090817</v>
      </c>
    </row>
    <row r="25" spans="1:18" ht="20.25" customHeight="1" x14ac:dyDescent="0.15">
      <c r="A25" s="178"/>
      <c r="B25" s="204">
        <f>IFERROR(IF(LoanIsNotPaid*LoanIsGood,PaymentNumber,""), "")</f>
        <v>9</v>
      </c>
      <c r="C25" s="205">
        <f>IFERROR(IF(LoanIsNotPaid*LoanIsGood,PaymentDate,LoanStartDate), LoanStartDate)</f>
        <v>45931</v>
      </c>
      <c r="D25" s="206">
        <f>IFERROR(IF(LoanIsNotPaid*LoanIsGood,LoanValue,""), "")</f>
        <v>1094291.8162274919</v>
      </c>
      <c r="E25" s="206">
        <f>IFERROR(IF(LoanIsNotPaid*LoanIsGood,MonthlyPayment,0), 0)</f>
        <v>5691.1875192575681</v>
      </c>
      <c r="F25" s="206">
        <f>IFERROR(IF(LoanIsNotPaid*LoanIsGood,Principal,0), 0)</f>
        <v>3867.3678255450791</v>
      </c>
      <c r="G25" s="206">
        <f>SUM($F$17:F25)</f>
        <v>34575.551598051745</v>
      </c>
      <c r="H25" s="206">
        <f>IFERROR(IF(LoanIsNotPaid*LoanIsGood,InterestAmt,0), 0)</f>
        <v>1823.819693712489</v>
      </c>
      <c r="I25" s="206">
        <f>SUM($H$17:H25)</f>
        <v>16645.13607526636</v>
      </c>
      <c r="J25" s="206">
        <f>IFERROR(IF(LoanIsNotPaid*LoanIsGood,EndingBalance,0), 0)</f>
        <v>1090424.4484019473</v>
      </c>
      <c r="K25" s="178"/>
      <c r="M25" s="207">
        <f t="shared" si="3"/>
        <v>2045</v>
      </c>
      <c r="N25" s="70">
        <f t="shared" si="0"/>
        <v>5681.717989275443</v>
      </c>
      <c r="O25" s="70">
        <f t="shared" si="1"/>
        <v>9.4695299821257386</v>
      </c>
      <c r="P25" s="70">
        <f t="shared" si="2"/>
        <v>5691.187519257569</v>
      </c>
    </row>
    <row r="26" spans="1:18" ht="20.25" customHeight="1" x14ac:dyDescent="0.15">
      <c r="A26" s="178"/>
      <c r="B26" s="204">
        <f>IFERROR(IF(LoanIsNotPaid*LoanIsGood,PaymentNumber,""), "")</f>
        <v>10</v>
      </c>
      <c r="C26" s="205">
        <f>IFERROR(IF(LoanIsNotPaid*LoanIsGood,PaymentDate,LoanStartDate), LoanStartDate)</f>
        <v>45962</v>
      </c>
      <c r="D26" s="206">
        <f>IFERROR(IF(LoanIsNotPaid*LoanIsGood,LoanValue,""), "")</f>
        <v>1090424.4484019473</v>
      </c>
      <c r="E26" s="206">
        <f>IFERROR(IF(LoanIsNotPaid*LoanIsGood,MonthlyPayment,0), 0)</f>
        <v>5691.1875192575681</v>
      </c>
      <c r="F26" s="206">
        <f>IFERROR(IF(LoanIsNotPaid*LoanIsGood,Principal,0), 0)</f>
        <v>3873.8134385876538</v>
      </c>
      <c r="G26" s="206">
        <f>SUM($F$17:F26)</f>
        <v>38449.365036639399</v>
      </c>
      <c r="H26" s="206">
        <f>IFERROR(IF(LoanIsNotPaid*LoanIsGood,InterestAmt,0), 0)</f>
        <v>1817.3740806699141</v>
      </c>
      <c r="I26" s="206">
        <f>SUM($H$17:H26)</f>
        <v>18462.510155936274</v>
      </c>
      <c r="J26" s="206">
        <f>IFERROR(IF(LoanIsNotPaid*LoanIsGood,EndingBalance,0), 0)</f>
        <v>1086550.6349633592</v>
      </c>
      <c r="K26" s="178"/>
      <c r="M26" s="207">
        <f t="shared" si="3"/>
        <v>2046</v>
      </c>
      <c r="N26" s="70">
        <f t="shared" si="0"/>
        <v>0</v>
      </c>
      <c r="O26" s="70">
        <f t="shared" si="1"/>
        <v>0</v>
      </c>
      <c r="P26" s="70">
        <f t="shared" si="2"/>
        <v>0</v>
      </c>
    </row>
    <row r="27" spans="1:18" ht="20.25" customHeight="1" x14ac:dyDescent="0.15">
      <c r="A27" s="178"/>
      <c r="B27" s="204">
        <f>IFERROR(IF(LoanIsNotPaid*LoanIsGood,PaymentNumber,""), "")</f>
        <v>11</v>
      </c>
      <c r="C27" s="205">
        <f>IFERROR(IF(LoanIsNotPaid*LoanIsGood,PaymentDate,LoanStartDate), LoanStartDate)</f>
        <v>45992</v>
      </c>
      <c r="D27" s="206">
        <f>IFERROR(IF(LoanIsNotPaid*LoanIsGood,LoanValue,""), "")</f>
        <v>1086550.6349633592</v>
      </c>
      <c r="E27" s="206">
        <f>IFERROR(IF(LoanIsNotPaid*LoanIsGood,MonthlyPayment,0), 0)</f>
        <v>5691.1875192575681</v>
      </c>
      <c r="F27" s="206">
        <f>IFERROR(IF(LoanIsNotPaid*LoanIsGood,Principal,0), 0)</f>
        <v>3880.2697943186336</v>
      </c>
      <c r="G27" s="206">
        <f>SUM($F$17:F27)</f>
        <v>42329.634830958035</v>
      </c>
      <c r="H27" s="206">
        <f>IFERROR(IF(LoanIsNotPaid*LoanIsGood,InterestAmt,0), 0)</f>
        <v>1810.9177249389345</v>
      </c>
      <c r="I27" s="206">
        <f>SUM($H$17:H27)</f>
        <v>20273.42788087521</v>
      </c>
      <c r="J27" s="206">
        <f>IFERROR(IF(LoanIsNotPaid*LoanIsGood,EndingBalance,0), 0)</f>
        <v>1082670.3651690404</v>
      </c>
      <c r="K27" s="178"/>
      <c r="M27" s="207">
        <f t="shared" si="3"/>
        <v>2047</v>
      </c>
      <c r="N27" s="70">
        <f t="shared" si="0"/>
        <v>0</v>
      </c>
      <c r="O27" s="70">
        <f t="shared" si="1"/>
        <v>0</v>
      </c>
      <c r="P27" s="70">
        <f t="shared" si="2"/>
        <v>0</v>
      </c>
    </row>
    <row r="28" spans="1:18" ht="20.25" customHeight="1" x14ac:dyDescent="0.15">
      <c r="A28" s="178"/>
      <c r="B28" s="204">
        <f>IFERROR(IF(LoanIsNotPaid*LoanIsGood,PaymentNumber,""), "")</f>
        <v>12</v>
      </c>
      <c r="C28" s="205">
        <f>IFERROR(IF(LoanIsNotPaid*LoanIsGood,PaymentDate,LoanStartDate), LoanStartDate)</f>
        <v>46023</v>
      </c>
      <c r="D28" s="206">
        <f>IFERROR(IF(LoanIsNotPaid*LoanIsGood,LoanValue,""), "")</f>
        <v>1082670.3651690404</v>
      </c>
      <c r="E28" s="206">
        <f>IFERROR(IF(LoanIsNotPaid*LoanIsGood,MonthlyPayment,0), 0)</f>
        <v>5691.1875192575681</v>
      </c>
      <c r="F28" s="206">
        <f>IFERROR(IF(LoanIsNotPaid*LoanIsGood,Principal,0), 0)</f>
        <v>3886.7369106424976</v>
      </c>
      <c r="G28" s="206">
        <f>SUM($F$17:F28)</f>
        <v>46216.371741600531</v>
      </c>
      <c r="H28" s="206">
        <f>IFERROR(IF(LoanIsNotPaid*LoanIsGood,InterestAmt,0), 0)</f>
        <v>1804.4506086150702</v>
      </c>
      <c r="I28" s="206">
        <f>SUM($H$17:H28)</f>
        <v>22077.878489490278</v>
      </c>
      <c r="J28" s="206">
        <f>IFERROR(IF(LoanIsNotPaid*LoanIsGood,EndingBalance,0), 0)</f>
        <v>1078783.6282583978</v>
      </c>
      <c r="K28" s="178"/>
      <c r="M28" s="207">
        <f t="shared" si="3"/>
        <v>2048</v>
      </c>
      <c r="N28" s="70">
        <f t="shared" si="0"/>
        <v>0</v>
      </c>
      <c r="O28" s="70">
        <f t="shared" si="1"/>
        <v>0</v>
      </c>
      <c r="P28" s="70">
        <f t="shared" si="2"/>
        <v>0</v>
      </c>
    </row>
    <row r="29" spans="1:18" ht="20.25" customHeight="1" x14ac:dyDescent="0.15">
      <c r="A29" s="178"/>
      <c r="B29" s="204">
        <f>IFERROR(IF(LoanIsNotPaid*LoanIsGood,PaymentNumber,""), "")</f>
        <v>13</v>
      </c>
      <c r="C29" s="205">
        <f>IFERROR(IF(LoanIsNotPaid*LoanIsGood,PaymentDate,LoanStartDate), LoanStartDate)</f>
        <v>46054</v>
      </c>
      <c r="D29" s="206">
        <f>IFERROR(IF(LoanIsNotPaid*LoanIsGood,LoanValue,""), "")</f>
        <v>1078783.6282583978</v>
      </c>
      <c r="E29" s="206">
        <f>IFERROR(IF(LoanIsNotPaid*LoanIsGood,MonthlyPayment,0), 0)</f>
        <v>5691.1875192575681</v>
      </c>
      <c r="F29" s="206">
        <f>IFERROR(IF(LoanIsNotPaid*LoanIsGood,Principal,0), 0)</f>
        <v>3893.2148054935683</v>
      </c>
      <c r="G29" s="206">
        <f>SUM($F$17:F29)</f>
        <v>50109.586547094099</v>
      </c>
      <c r="H29" s="206">
        <f>IFERROR(IF(LoanIsNotPaid*LoanIsGood,InterestAmt,0), 0)</f>
        <v>1797.9727137639991</v>
      </c>
      <c r="I29" s="206">
        <f>SUM($H$17:H29)</f>
        <v>23875.851203254279</v>
      </c>
      <c r="J29" s="206">
        <f>IFERROR(IF(LoanIsNotPaid*LoanIsGood,EndingBalance,0), 0)</f>
        <v>1074890.4134529042</v>
      </c>
      <c r="K29" s="178"/>
      <c r="M29" s="207">
        <f t="shared" si="3"/>
        <v>2049</v>
      </c>
      <c r="N29" s="70">
        <f t="shared" si="0"/>
        <v>0</v>
      </c>
      <c r="O29" s="70">
        <f t="shared" si="1"/>
        <v>0</v>
      </c>
      <c r="P29" s="70">
        <f t="shared" si="2"/>
        <v>0</v>
      </c>
    </row>
    <row r="30" spans="1:18" ht="20.25" customHeight="1" x14ac:dyDescent="0.15">
      <c r="A30" s="178"/>
      <c r="B30" s="204">
        <f>IFERROR(IF(LoanIsNotPaid*LoanIsGood,PaymentNumber,""), "")</f>
        <v>14</v>
      </c>
      <c r="C30" s="205">
        <f>IFERROR(IF(LoanIsNotPaid*LoanIsGood,PaymentDate,LoanStartDate), LoanStartDate)</f>
        <v>46082</v>
      </c>
      <c r="D30" s="206">
        <f>IFERROR(IF(LoanIsNotPaid*LoanIsGood,LoanValue,""), "")</f>
        <v>1074890.4134529042</v>
      </c>
      <c r="E30" s="206">
        <f>IFERROR(IF(LoanIsNotPaid*LoanIsGood,MonthlyPayment,0), 0)</f>
        <v>5691.1875192575681</v>
      </c>
      <c r="F30" s="206">
        <f>IFERROR(IF(LoanIsNotPaid*LoanIsGood,Principal,0), 0)</f>
        <v>3899.7034968360576</v>
      </c>
      <c r="G30" s="206">
        <f>SUM($F$17:F30)</f>
        <v>54009.290043930159</v>
      </c>
      <c r="H30" s="206">
        <f>IFERROR(IF(LoanIsNotPaid*LoanIsGood,InterestAmt,0), 0)</f>
        <v>1791.4840224215097</v>
      </c>
      <c r="I30" s="206">
        <f>SUM($H$17:H30)</f>
        <v>25667.33522567579</v>
      </c>
      <c r="J30" s="206">
        <f>IFERROR(IF(LoanIsNotPaid*LoanIsGood,EndingBalance,0), 0)</f>
        <v>1070990.7099560676</v>
      </c>
      <c r="K30" s="178"/>
    </row>
    <row r="31" spans="1:18" ht="20.25" customHeight="1" x14ac:dyDescent="0.15">
      <c r="A31" s="178"/>
      <c r="B31" s="204">
        <f>IFERROR(IF(LoanIsNotPaid*LoanIsGood,PaymentNumber,""), "")</f>
        <v>15</v>
      </c>
      <c r="C31" s="205">
        <f>IFERROR(IF(LoanIsNotPaid*LoanIsGood,PaymentDate,LoanStartDate), LoanStartDate)</f>
        <v>46113</v>
      </c>
      <c r="D31" s="206">
        <f>IFERROR(IF(LoanIsNotPaid*LoanIsGood,LoanValue,""), "")</f>
        <v>1070990.7099560676</v>
      </c>
      <c r="E31" s="206">
        <f>IFERROR(IF(LoanIsNotPaid*LoanIsGood,MonthlyPayment,0), 0)</f>
        <v>5691.1875192575681</v>
      </c>
      <c r="F31" s="206">
        <f>IFERROR(IF(LoanIsNotPaid*LoanIsGood,Principal,0), 0)</f>
        <v>3906.2030026641182</v>
      </c>
      <c r="G31" s="206">
        <f>SUM($F$17:F31)</f>
        <v>57915.493046594274</v>
      </c>
      <c r="H31" s="206">
        <f>IFERROR(IF(LoanIsNotPaid*LoanIsGood,InterestAmt,0), 0)</f>
        <v>1784.9845165934505</v>
      </c>
      <c r="I31" s="206">
        <f>SUM($H$17:H31)</f>
        <v>27452.319742269239</v>
      </c>
      <c r="J31" s="206">
        <f>IFERROR(IF(LoanIsNotPaid*LoanIsGood,EndingBalance,0), 0)</f>
        <v>1067084.5069534036</v>
      </c>
      <c r="K31" s="178"/>
    </row>
    <row r="32" spans="1:18" ht="20.25" customHeight="1" x14ac:dyDescent="0.15">
      <c r="A32" s="178"/>
      <c r="B32" s="204">
        <f>IFERROR(IF(LoanIsNotPaid*LoanIsGood,PaymentNumber,""), "")</f>
        <v>16</v>
      </c>
      <c r="C32" s="205">
        <f>IFERROR(IF(LoanIsNotPaid*LoanIsGood,PaymentDate,LoanStartDate), LoanStartDate)</f>
        <v>46143</v>
      </c>
      <c r="D32" s="206">
        <f>IFERROR(IF(LoanIsNotPaid*LoanIsGood,LoanValue,""), "")</f>
        <v>1067084.5069534036</v>
      </c>
      <c r="E32" s="206">
        <f>IFERROR(IF(LoanIsNotPaid*LoanIsGood,MonthlyPayment,0), 0)</f>
        <v>5691.1875192575681</v>
      </c>
      <c r="F32" s="206">
        <f>IFERROR(IF(LoanIsNotPaid*LoanIsGood,Principal,0), 0)</f>
        <v>3912.713341001891</v>
      </c>
      <c r="G32" s="206">
        <f>SUM($F$17:F32)</f>
        <v>61828.206387596168</v>
      </c>
      <c r="H32" s="206">
        <f>IFERROR(IF(LoanIsNotPaid*LoanIsGood,InterestAmt,0), 0)</f>
        <v>1778.4741782556762</v>
      </c>
      <c r="I32" s="206">
        <f>SUM($H$17:H32)</f>
        <v>29230.793920524917</v>
      </c>
      <c r="J32" s="206">
        <f>IFERROR(IF(LoanIsNotPaid*LoanIsGood,EndingBalance,0), 0)</f>
        <v>1063171.7936124012</v>
      </c>
      <c r="K32" s="178"/>
    </row>
    <row r="33" spans="1:11" ht="20.25" customHeight="1" x14ac:dyDescent="0.15">
      <c r="A33" s="178"/>
      <c r="B33" s="204">
        <f>IFERROR(IF(LoanIsNotPaid*LoanIsGood,PaymentNumber,""), "")</f>
        <v>17</v>
      </c>
      <c r="C33" s="205">
        <f>IFERROR(IF(LoanIsNotPaid*LoanIsGood,PaymentDate,LoanStartDate), LoanStartDate)</f>
        <v>46174</v>
      </c>
      <c r="D33" s="206">
        <f>IFERROR(IF(LoanIsNotPaid*LoanIsGood,LoanValue,""), "")</f>
        <v>1063171.7936124012</v>
      </c>
      <c r="E33" s="206">
        <f>IFERROR(IF(LoanIsNotPaid*LoanIsGood,MonthlyPayment,0), 0)</f>
        <v>5691.1875192575681</v>
      </c>
      <c r="F33" s="206">
        <f>IFERROR(IF(LoanIsNotPaid*LoanIsGood,Principal,0), 0)</f>
        <v>3919.2345299035615</v>
      </c>
      <c r="G33" s="206">
        <f>SUM($F$17:F33)</f>
        <v>65747.440917499727</v>
      </c>
      <c r="H33" s="206">
        <f>IFERROR(IF(LoanIsNotPaid*LoanIsGood,InterestAmt,0), 0)</f>
        <v>1771.9529893540068</v>
      </c>
      <c r="I33" s="206">
        <f>SUM($H$17:H33)</f>
        <v>31002.746909878922</v>
      </c>
      <c r="J33" s="206">
        <f>IFERROR(IF(LoanIsNotPaid*LoanIsGood,EndingBalance,0), 0)</f>
        <v>1059252.5590824976</v>
      </c>
      <c r="K33" s="178"/>
    </row>
    <row r="34" spans="1:11" ht="20.25" customHeight="1" x14ac:dyDescent="0.15">
      <c r="A34" s="178"/>
      <c r="B34" s="204">
        <f>IFERROR(IF(LoanIsNotPaid*LoanIsGood,PaymentNumber,""), "")</f>
        <v>18</v>
      </c>
      <c r="C34" s="205">
        <f>IFERROR(IF(LoanIsNotPaid*LoanIsGood,PaymentDate,LoanStartDate), LoanStartDate)</f>
        <v>46204</v>
      </c>
      <c r="D34" s="206">
        <f>IFERROR(IF(LoanIsNotPaid*LoanIsGood,LoanValue,""), "")</f>
        <v>1059252.5590824976</v>
      </c>
      <c r="E34" s="206">
        <f>IFERROR(IF(LoanIsNotPaid*LoanIsGood,MonthlyPayment,0), 0)</f>
        <v>5691.1875192575681</v>
      </c>
      <c r="F34" s="206">
        <f>IFERROR(IF(LoanIsNotPaid*LoanIsGood,Principal,0), 0)</f>
        <v>3925.7665874534009</v>
      </c>
      <c r="G34" s="206">
        <f>SUM($F$17:F34)</f>
        <v>69673.207504953127</v>
      </c>
      <c r="H34" s="206">
        <f>IFERROR(IF(LoanIsNotPaid*LoanIsGood,InterestAmt,0), 0)</f>
        <v>1765.4209318041674</v>
      </c>
      <c r="I34" s="206">
        <f>SUM($H$17:H34)</f>
        <v>32768.167841683091</v>
      </c>
      <c r="J34" s="206">
        <f>IFERROR(IF(LoanIsNotPaid*LoanIsGood,EndingBalance,0), 0)</f>
        <v>1055326.7924950442</v>
      </c>
      <c r="K34" s="178"/>
    </row>
    <row r="35" spans="1:11" ht="20.25" customHeight="1" x14ac:dyDescent="0.15">
      <c r="A35" s="178"/>
      <c r="B35" s="204">
        <f>IFERROR(IF(LoanIsNotPaid*LoanIsGood,PaymentNumber,""), "")</f>
        <v>19</v>
      </c>
      <c r="C35" s="205">
        <f>IFERROR(IF(LoanIsNotPaid*LoanIsGood,PaymentDate,LoanStartDate), LoanStartDate)</f>
        <v>46235</v>
      </c>
      <c r="D35" s="206">
        <f>IFERROR(IF(LoanIsNotPaid*LoanIsGood,LoanValue,""), "")</f>
        <v>1055326.7924950442</v>
      </c>
      <c r="E35" s="206">
        <f>IFERROR(IF(LoanIsNotPaid*LoanIsGood,MonthlyPayment,0), 0)</f>
        <v>5691.1875192575681</v>
      </c>
      <c r="F35" s="206">
        <f>IFERROR(IF(LoanIsNotPaid*LoanIsGood,Principal,0), 0)</f>
        <v>3932.3095317658235</v>
      </c>
      <c r="G35" s="206">
        <f>SUM($F$17:F35)</f>
        <v>73605.517036718957</v>
      </c>
      <c r="H35" s="206">
        <f>IFERROR(IF(LoanIsNotPaid*LoanIsGood,InterestAmt,0), 0)</f>
        <v>1758.877987491745</v>
      </c>
      <c r="I35" s="206">
        <f>SUM($H$17:H35)</f>
        <v>34527.045829174836</v>
      </c>
      <c r="J35" s="206">
        <f>IFERROR(IF(LoanIsNotPaid*LoanIsGood,EndingBalance,0), 0)</f>
        <v>1051394.482963278</v>
      </c>
      <c r="K35" s="178"/>
    </row>
    <row r="36" spans="1:11" ht="20.25" customHeight="1" x14ac:dyDescent="0.15">
      <c r="A36" s="178"/>
      <c r="B36" s="204">
        <f>IFERROR(IF(LoanIsNotPaid*LoanIsGood,PaymentNumber,""), "")</f>
        <v>20</v>
      </c>
      <c r="C36" s="205">
        <f>IFERROR(IF(LoanIsNotPaid*LoanIsGood,PaymentDate,LoanStartDate), LoanStartDate)</f>
        <v>46266</v>
      </c>
      <c r="D36" s="206">
        <f>IFERROR(IF(LoanIsNotPaid*LoanIsGood,LoanValue,""), "")</f>
        <v>1051394.482963278</v>
      </c>
      <c r="E36" s="206">
        <f>IFERROR(IF(LoanIsNotPaid*LoanIsGood,MonthlyPayment,0), 0)</f>
        <v>5691.1875192575681</v>
      </c>
      <c r="F36" s="206">
        <f>IFERROR(IF(LoanIsNotPaid*LoanIsGood,Principal,0), 0)</f>
        <v>3938.8633809854327</v>
      </c>
      <c r="G36" s="206">
        <f>SUM($F$17:F36)</f>
        <v>77544.380417704393</v>
      </c>
      <c r="H36" s="206">
        <f>IFERROR(IF(LoanIsNotPaid*LoanIsGood,InterestAmt,0), 0)</f>
        <v>1752.3241382721355</v>
      </c>
      <c r="I36" s="206">
        <f>SUM($H$17:H36)</f>
        <v>36279.369967446975</v>
      </c>
      <c r="J36" s="206">
        <f>IFERROR(IF(LoanIsNotPaid*LoanIsGood,EndingBalance,0), 0)</f>
        <v>1047455.6195822926</v>
      </c>
      <c r="K36" s="178"/>
    </row>
    <row r="37" spans="1:11" ht="20.25" customHeight="1" x14ac:dyDescent="0.15">
      <c r="A37" s="178"/>
      <c r="B37" s="204">
        <f>IFERROR(IF(LoanIsNotPaid*LoanIsGood,PaymentNumber,""), "")</f>
        <v>21</v>
      </c>
      <c r="C37" s="205">
        <f>IFERROR(IF(LoanIsNotPaid*LoanIsGood,PaymentDate,LoanStartDate), LoanStartDate)</f>
        <v>46296</v>
      </c>
      <c r="D37" s="206">
        <f>IFERROR(IF(LoanIsNotPaid*LoanIsGood,LoanValue,""), "")</f>
        <v>1047455.6195822926</v>
      </c>
      <c r="E37" s="206">
        <f>IFERROR(IF(LoanIsNotPaid*LoanIsGood,MonthlyPayment,0), 0)</f>
        <v>5691.1875192575681</v>
      </c>
      <c r="F37" s="206">
        <f>IFERROR(IF(LoanIsNotPaid*LoanIsGood,Principal,0), 0)</f>
        <v>3945.4281532870755</v>
      </c>
      <c r="G37" s="206">
        <f>SUM($F$17:F37)</f>
        <v>81489.808570991474</v>
      </c>
      <c r="H37" s="206">
        <f>IFERROR(IF(LoanIsNotPaid*LoanIsGood,InterestAmt,0), 0)</f>
        <v>1745.759365970493</v>
      </c>
      <c r="I37" s="206">
        <f>SUM($H$17:H37)</f>
        <v>38025.12933341747</v>
      </c>
      <c r="J37" s="206">
        <f>IFERROR(IF(LoanIsNotPaid*LoanIsGood,EndingBalance,0), 0)</f>
        <v>1043510.1914290052</v>
      </c>
      <c r="K37" s="178"/>
    </row>
    <row r="38" spans="1:11" ht="20.25" customHeight="1" x14ac:dyDescent="0.15">
      <c r="A38" s="178"/>
      <c r="B38" s="204">
        <f>IFERROR(IF(LoanIsNotPaid*LoanIsGood,PaymentNumber,""), "")</f>
        <v>22</v>
      </c>
      <c r="C38" s="205">
        <f>IFERROR(IF(LoanIsNotPaid*LoanIsGood,PaymentDate,LoanStartDate), LoanStartDate)</f>
        <v>46327</v>
      </c>
      <c r="D38" s="206">
        <f>IFERROR(IF(LoanIsNotPaid*LoanIsGood,LoanValue,""), "")</f>
        <v>1043510.1914290052</v>
      </c>
      <c r="E38" s="206">
        <f>IFERROR(IF(LoanIsNotPaid*LoanIsGood,MonthlyPayment,0), 0)</f>
        <v>5691.1875192575681</v>
      </c>
      <c r="F38" s="206">
        <f>IFERROR(IF(LoanIsNotPaid*LoanIsGood,Principal,0), 0)</f>
        <v>3952.0038668758866</v>
      </c>
      <c r="G38" s="206">
        <f>SUM($F$17:F38)</f>
        <v>85441.812437867367</v>
      </c>
      <c r="H38" s="206">
        <f>IFERROR(IF(LoanIsNotPaid*LoanIsGood,InterestAmt,0), 0)</f>
        <v>1739.1836523816812</v>
      </c>
      <c r="I38" s="206">
        <f>SUM($H$17:H38)</f>
        <v>39764.312985799152</v>
      </c>
      <c r="J38" s="206">
        <f>IFERROR(IF(LoanIsNotPaid*LoanIsGood,EndingBalance,0), 0)</f>
        <v>1039558.1875621293</v>
      </c>
      <c r="K38" s="178"/>
    </row>
    <row r="39" spans="1:11" ht="20.25" customHeight="1" x14ac:dyDescent="0.15">
      <c r="A39" s="178"/>
      <c r="B39" s="204">
        <f>IFERROR(IF(LoanIsNotPaid*LoanIsGood,PaymentNumber,""), "")</f>
        <v>23</v>
      </c>
      <c r="C39" s="205">
        <f>IFERROR(IF(LoanIsNotPaid*LoanIsGood,PaymentDate,LoanStartDate), LoanStartDate)</f>
        <v>46357</v>
      </c>
      <c r="D39" s="206">
        <f>IFERROR(IF(LoanIsNotPaid*LoanIsGood,LoanValue,""), "")</f>
        <v>1039558.1875621293</v>
      </c>
      <c r="E39" s="206">
        <f>IFERROR(IF(LoanIsNotPaid*LoanIsGood,MonthlyPayment,0), 0)</f>
        <v>5691.1875192575681</v>
      </c>
      <c r="F39" s="206">
        <f>IFERROR(IF(LoanIsNotPaid*LoanIsGood,Principal,0), 0)</f>
        <v>3958.5905399873468</v>
      </c>
      <c r="G39" s="206">
        <f>SUM($F$17:F39)</f>
        <v>89400.402977854712</v>
      </c>
      <c r="H39" s="206">
        <f>IFERROR(IF(LoanIsNotPaid*LoanIsGood,InterestAmt,0), 0)</f>
        <v>1732.5969792702215</v>
      </c>
      <c r="I39" s="206">
        <f>SUM($H$17:H39)</f>
        <v>41496.909965069375</v>
      </c>
      <c r="J39" s="206">
        <f>IFERROR(IF(LoanIsNotPaid*LoanIsGood,EndingBalance,0), 0)</f>
        <v>1035599.5970221418</v>
      </c>
      <c r="K39" s="178"/>
    </row>
    <row r="40" spans="1:11" ht="20.25" customHeight="1" x14ac:dyDescent="0.15">
      <c r="A40" s="178"/>
      <c r="B40" s="204">
        <f>IFERROR(IF(LoanIsNotPaid*LoanIsGood,PaymentNumber,""), "")</f>
        <v>24</v>
      </c>
      <c r="C40" s="205">
        <f>IFERROR(IF(LoanIsNotPaid*LoanIsGood,PaymentDate,LoanStartDate), LoanStartDate)</f>
        <v>46388</v>
      </c>
      <c r="D40" s="206">
        <f>IFERROR(IF(LoanIsNotPaid*LoanIsGood,LoanValue,""), "")</f>
        <v>1035599.5970221418</v>
      </c>
      <c r="E40" s="206">
        <f>IFERROR(IF(LoanIsNotPaid*LoanIsGood,MonthlyPayment,0), 0)</f>
        <v>5691.1875192575681</v>
      </c>
      <c r="F40" s="206">
        <f>IFERROR(IF(LoanIsNotPaid*LoanIsGood,Principal,0), 0)</f>
        <v>3965.1881908873252</v>
      </c>
      <c r="G40" s="206">
        <f>SUM($F$17:F40)</f>
        <v>93365.59116874203</v>
      </c>
      <c r="H40" s="206">
        <f>IFERROR(IF(LoanIsNotPaid*LoanIsGood,InterestAmt,0), 0)</f>
        <v>1725.9993283702427</v>
      </c>
      <c r="I40" s="206">
        <f>SUM($H$17:H40)</f>
        <v>43222.909293439618</v>
      </c>
      <c r="J40" s="206">
        <f>IFERROR(IF(LoanIsNotPaid*LoanIsGood,EndingBalance,0), 0)</f>
        <v>1031634.4088312539</v>
      </c>
      <c r="K40" s="178"/>
    </row>
    <row r="41" spans="1:11" ht="20.25" customHeight="1" x14ac:dyDescent="0.15">
      <c r="A41" s="178"/>
      <c r="B41" s="204">
        <f>IFERROR(IF(LoanIsNotPaid*LoanIsGood,PaymentNumber,""), "")</f>
        <v>25</v>
      </c>
      <c r="C41" s="205">
        <f>IFERROR(IF(LoanIsNotPaid*LoanIsGood,PaymentDate,LoanStartDate), LoanStartDate)</f>
        <v>46419</v>
      </c>
      <c r="D41" s="206">
        <f>IFERROR(IF(LoanIsNotPaid*LoanIsGood,LoanValue,""), "")</f>
        <v>1031634.4088312539</v>
      </c>
      <c r="E41" s="206">
        <f>IFERROR(IF(LoanIsNotPaid*LoanIsGood,MonthlyPayment,0), 0)</f>
        <v>5691.1875192575681</v>
      </c>
      <c r="F41" s="206">
        <f>IFERROR(IF(LoanIsNotPaid*LoanIsGood,Principal,0), 0)</f>
        <v>3971.796837872138</v>
      </c>
      <c r="G41" s="206">
        <f>SUM($F$17:F41)</f>
        <v>97337.388006614172</v>
      </c>
      <c r="H41" s="206">
        <f>IFERROR(IF(LoanIsNotPaid*LoanIsGood,InterestAmt,0), 0)</f>
        <v>1719.3906813854303</v>
      </c>
      <c r="I41" s="206">
        <f>SUM($H$17:H41)</f>
        <v>44942.299974825051</v>
      </c>
      <c r="J41" s="206">
        <f>IFERROR(IF(LoanIsNotPaid*LoanIsGood,EndingBalance,0), 0)</f>
        <v>1027662.6119933822</v>
      </c>
      <c r="K41" s="178"/>
    </row>
    <row r="42" spans="1:11" ht="20.25" customHeight="1" x14ac:dyDescent="0.15">
      <c r="A42" s="178"/>
      <c r="B42" s="204">
        <f>IFERROR(IF(LoanIsNotPaid*LoanIsGood,PaymentNumber,""), "")</f>
        <v>26</v>
      </c>
      <c r="C42" s="205">
        <f>IFERROR(IF(LoanIsNotPaid*LoanIsGood,PaymentDate,LoanStartDate), LoanStartDate)</f>
        <v>46447</v>
      </c>
      <c r="D42" s="206">
        <f>IFERROR(IF(LoanIsNotPaid*LoanIsGood,LoanValue,""), "")</f>
        <v>1027662.6119933822</v>
      </c>
      <c r="E42" s="206">
        <f>IFERROR(IF(LoanIsNotPaid*LoanIsGood,MonthlyPayment,0), 0)</f>
        <v>5691.1875192575681</v>
      </c>
      <c r="F42" s="206">
        <f>IFERROR(IF(LoanIsNotPaid*LoanIsGood,Principal,0), 0)</f>
        <v>3978.4164992685915</v>
      </c>
      <c r="G42" s="206">
        <f>SUM($F$17:F42)</f>
        <v>101315.80450588277</v>
      </c>
      <c r="H42" s="206">
        <f>IFERROR(IF(LoanIsNotPaid*LoanIsGood,InterestAmt,0), 0)</f>
        <v>1712.7710199889766</v>
      </c>
      <c r="I42" s="206">
        <f>SUM($H$17:H42)</f>
        <v>46655.070994814028</v>
      </c>
      <c r="J42" s="206">
        <f>IFERROR(IF(LoanIsNotPaid*LoanIsGood,EndingBalance,0), 0)</f>
        <v>1023684.1954941133</v>
      </c>
      <c r="K42" s="178"/>
    </row>
    <row r="43" spans="1:11" ht="20.25" customHeight="1" x14ac:dyDescent="0.15">
      <c r="A43" s="178"/>
      <c r="B43" s="204">
        <f>IFERROR(IF(LoanIsNotPaid*LoanIsGood,PaymentNumber,""), "")</f>
        <v>27</v>
      </c>
      <c r="C43" s="205">
        <f>IFERROR(IF(LoanIsNotPaid*LoanIsGood,PaymentDate,LoanStartDate), LoanStartDate)</f>
        <v>46478</v>
      </c>
      <c r="D43" s="206">
        <f>IFERROR(IF(LoanIsNotPaid*LoanIsGood,LoanValue,""), "")</f>
        <v>1023684.1954941133</v>
      </c>
      <c r="E43" s="206">
        <f>IFERROR(IF(LoanIsNotPaid*LoanIsGood,MonthlyPayment,0), 0)</f>
        <v>5691.1875192575681</v>
      </c>
      <c r="F43" s="206">
        <f>IFERROR(IF(LoanIsNotPaid*LoanIsGood,Principal,0), 0)</f>
        <v>3985.0471934340394</v>
      </c>
      <c r="G43" s="206">
        <f>SUM($F$17:F43)</f>
        <v>105300.85169931682</v>
      </c>
      <c r="H43" s="206">
        <f>IFERROR(IF(LoanIsNotPaid*LoanIsGood,InterestAmt,0), 0)</f>
        <v>1706.1403258235289</v>
      </c>
      <c r="I43" s="206">
        <f>SUM($H$17:H43)</f>
        <v>48361.211320637558</v>
      </c>
      <c r="J43" s="206">
        <f>IFERROR(IF(LoanIsNotPaid*LoanIsGood,EndingBalance,0), 0)</f>
        <v>1019699.1483006791</v>
      </c>
      <c r="K43" s="178"/>
    </row>
    <row r="44" spans="1:11" ht="20.25" customHeight="1" x14ac:dyDescent="0.15">
      <c r="A44" s="178"/>
      <c r="B44" s="204">
        <f>IFERROR(IF(LoanIsNotPaid*LoanIsGood,PaymentNumber,""), "")</f>
        <v>28</v>
      </c>
      <c r="C44" s="205">
        <f>IFERROR(IF(LoanIsNotPaid*LoanIsGood,PaymentDate,LoanStartDate), LoanStartDate)</f>
        <v>46508</v>
      </c>
      <c r="D44" s="206">
        <f>IFERROR(IF(LoanIsNotPaid*LoanIsGood,LoanValue,""), "")</f>
        <v>1019699.1483006791</v>
      </c>
      <c r="E44" s="206">
        <f>IFERROR(IF(LoanIsNotPaid*LoanIsGood,MonthlyPayment,0), 0)</f>
        <v>5691.1875192575681</v>
      </c>
      <c r="F44" s="206">
        <f>IFERROR(IF(LoanIsNotPaid*LoanIsGood,Principal,0), 0)</f>
        <v>3991.6889387564293</v>
      </c>
      <c r="G44" s="206">
        <f>SUM($F$17:F44)</f>
        <v>109292.54063807325</v>
      </c>
      <c r="H44" s="206">
        <f>IFERROR(IF(LoanIsNotPaid*LoanIsGood,InterestAmt,0), 0)</f>
        <v>1699.498580501139</v>
      </c>
      <c r="I44" s="206">
        <f>SUM($H$17:H44)</f>
        <v>50060.709901138696</v>
      </c>
      <c r="J44" s="206">
        <f>IFERROR(IF(LoanIsNotPaid*LoanIsGood,EndingBalance,0), 0)</f>
        <v>1015707.4593619223</v>
      </c>
      <c r="K44" s="178"/>
    </row>
    <row r="45" spans="1:11" ht="20.25" customHeight="1" x14ac:dyDescent="0.15">
      <c r="A45" s="178"/>
      <c r="B45" s="204">
        <f>IFERROR(IF(LoanIsNotPaid*LoanIsGood,PaymentNumber,""), "")</f>
        <v>29</v>
      </c>
      <c r="C45" s="205">
        <f>IFERROR(IF(LoanIsNotPaid*LoanIsGood,PaymentDate,LoanStartDate), LoanStartDate)</f>
        <v>46539</v>
      </c>
      <c r="D45" s="206">
        <f>IFERROR(IF(LoanIsNotPaid*LoanIsGood,LoanValue,""), "")</f>
        <v>1015707.4593619223</v>
      </c>
      <c r="E45" s="206">
        <f>IFERROR(IF(LoanIsNotPaid*LoanIsGood,MonthlyPayment,0), 0)</f>
        <v>5691.1875192575681</v>
      </c>
      <c r="F45" s="206">
        <f>IFERROR(IF(LoanIsNotPaid*LoanIsGood,Principal,0), 0)</f>
        <v>3998.341753654357</v>
      </c>
      <c r="G45" s="206">
        <f>SUM($F$17:F45)</f>
        <v>113290.8823917276</v>
      </c>
      <c r="H45" s="206">
        <f>IFERROR(IF(LoanIsNotPaid*LoanIsGood,InterestAmt,0), 0)</f>
        <v>1692.8457656032115</v>
      </c>
      <c r="I45" s="206">
        <f>SUM($H$17:H45)</f>
        <v>51753.555666741908</v>
      </c>
      <c r="J45" s="206">
        <f>IFERROR(IF(LoanIsNotPaid*LoanIsGood,EndingBalance,0), 0)</f>
        <v>1011709.1176082677</v>
      </c>
      <c r="K45" s="178"/>
    </row>
    <row r="46" spans="1:11" ht="20.25" customHeight="1" x14ac:dyDescent="0.15">
      <c r="A46" s="178"/>
      <c r="B46" s="204">
        <f>IFERROR(IF(LoanIsNotPaid*LoanIsGood,PaymentNumber,""), "")</f>
        <v>30</v>
      </c>
      <c r="C46" s="205">
        <f>IFERROR(IF(LoanIsNotPaid*LoanIsGood,PaymentDate,LoanStartDate), LoanStartDate)</f>
        <v>46569</v>
      </c>
      <c r="D46" s="206">
        <f>IFERROR(IF(LoanIsNotPaid*LoanIsGood,LoanValue,""), "")</f>
        <v>1011709.1176082677</v>
      </c>
      <c r="E46" s="206">
        <f>IFERROR(IF(LoanIsNotPaid*LoanIsGood,MonthlyPayment,0), 0)</f>
        <v>5691.1875192575681</v>
      </c>
      <c r="F46" s="206">
        <f>IFERROR(IF(LoanIsNotPaid*LoanIsGood,Principal,0), 0)</f>
        <v>4005.0056565771138</v>
      </c>
      <c r="G46" s="206">
        <f>SUM($F$17:F46)</f>
        <v>117295.88804830471</v>
      </c>
      <c r="H46" s="206">
        <f>IFERROR(IF(LoanIsNotPaid*LoanIsGood,InterestAmt,0), 0)</f>
        <v>1686.1818626804543</v>
      </c>
      <c r="I46" s="206">
        <f>SUM($H$17:H46)</f>
        <v>53439.73752942236</v>
      </c>
      <c r="J46" s="206">
        <f>IFERROR(IF(LoanIsNotPaid*LoanIsGood,EndingBalance,0), 0)</f>
        <v>1007704.1119516906</v>
      </c>
      <c r="K46" s="178"/>
    </row>
    <row r="47" spans="1:11" ht="20.25" customHeight="1" x14ac:dyDescent="0.15">
      <c r="A47" s="178"/>
      <c r="B47" s="204">
        <f>IFERROR(IF(LoanIsNotPaid*LoanIsGood,PaymentNumber,""), "")</f>
        <v>31</v>
      </c>
      <c r="C47" s="205">
        <f>IFERROR(IF(LoanIsNotPaid*LoanIsGood,PaymentDate,LoanStartDate), LoanStartDate)</f>
        <v>46600</v>
      </c>
      <c r="D47" s="206">
        <f>IFERROR(IF(LoanIsNotPaid*LoanIsGood,LoanValue,""), "")</f>
        <v>1007704.1119516906</v>
      </c>
      <c r="E47" s="206">
        <f>IFERROR(IF(LoanIsNotPaid*LoanIsGood,MonthlyPayment,0), 0)</f>
        <v>5691.1875192575681</v>
      </c>
      <c r="F47" s="206">
        <f>IFERROR(IF(LoanIsNotPaid*LoanIsGood,Principal,0), 0)</f>
        <v>4011.6806660047423</v>
      </c>
      <c r="G47" s="206">
        <f>SUM($F$17:F47)</f>
        <v>121307.56871430945</v>
      </c>
      <c r="H47" s="206">
        <f>IFERROR(IF(LoanIsNotPaid*LoanIsGood,InterestAmt,0), 0)</f>
        <v>1679.506853252826</v>
      </c>
      <c r="I47" s="206">
        <f>SUM($H$17:H47)</f>
        <v>55119.244382675184</v>
      </c>
      <c r="J47" s="206">
        <f>IFERROR(IF(LoanIsNotPaid*LoanIsGood,EndingBalance,0), 0)</f>
        <v>1003692.4312856856</v>
      </c>
      <c r="K47" s="178"/>
    </row>
    <row r="48" spans="1:11" ht="20.25" customHeight="1" x14ac:dyDescent="0.15">
      <c r="A48" s="178"/>
      <c r="B48" s="204">
        <f>IFERROR(IF(LoanIsNotPaid*LoanIsGood,PaymentNumber,""), "")</f>
        <v>32</v>
      </c>
      <c r="C48" s="205">
        <f>IFERROR(IF(LoanIsNotPaid*LoanIsGood,PaymentDate,LoanStartDate), LoanStartDate)</f>
        <v>46631</v>
      </c>
      <c r="D48" s="206">
        <f>IFERROR(IF(LoanIsNotPaid*LoanIsGood,LoanValue,""), "")</f>
        <v>1003692.4312856856</v>
      </c>
      <c r="E48" s="206">
        <f>IFERROR(IF(LoanIsNotPaid*LoanIsGood,MonthlyPayment,0), 0)</f>
        <v>5691.1875192575681</v>
      </c>
      <c r="F48" s="206">
        <f>IFERROR(IF(LoanIsNotPaid*LoanIsGood,Principal,0), 0)</f>
        <v>4018.3668004480837</v>
      </c>
      <c r="G48" s="206">
        <f>SUM($F$17:F48)</f>
        <v>125325.93551475754</v>
      </c>
      <c r="H48" s="206">
        <f>IFERROR(IF(LoanIsNotPaid*LoanIsGood,InterestAmt,0), 0)</f>
        <v>1672.8207188094846</v>
      </c>
      <c r="I48" s="206">
        <f>SUM($H$17:H48)</f>
        <v>56792.065101484666</v>
      </c>
      <c r="J48" s="206">
        <f>IFERROR(IF(LoanIsNotPaid*LoanIsGood,EndingBalance,0), 0)</f>
        <v>999674.06448523724</v>
      </c>
      <c r="K48" s="178"/>
    </row>
    <row r="49" spans="1:11" ht="20.25" customHeight="1" x14ac:dyDescent="0.15">
      <c r="A49" s="178"/>
      <c r="B49" s="204">
        <f>IFERROR(IF(LoanIsNotPaid*LoanIsGood,PaymentNumber,""), "")</f>
        <v>33</v>
      </c>
      <c r="C49" s="205">
        <f>IFERROR(IF(LoanIsNotPaid*LoanIsGood,PaymentDate,LoanStartDate), LoanStartDate)</f>
        <v>46661</v>
      </c>
      <c r="D49" s="206">
        <f>IFERROR(IF(LoanIsNotPaid*LoanIsGood,LoanValue,""), "")</f>
        <v>999674.06448523724</v>
      </c>
      <c r="E49" s="206">
        <f>IFERROR(IF(LoanIsNotPaid*LoanIsGood,MonthlyPayment,0), 0)</f>
        <v>5691.1875192575681</v>
      </c>
      <c r="F49" s="206">
        <f>IFERROR(IF(LoanIsNotPaid*LoanIsGood,Principal,0), 0)</f>
        <v>4025.0640784488301</v>
      </c>
      <c r="G49" s="206">
        <f>SUM($F$17:F49)</f>
        <v>129350.99959320638</v>
      </c>
      <c r="H49" s="206">
        <f>IFERROR(IF(LoanIsNotPaid*LoanIsGood,InterestAmt,0), 0)</f>
        <v>1666.1234408087378</v>
      </c>
      <c r="I49" s="206">
        <f>SUM($H$17:H49)</f>
        <v>58458.188542293406</v>
      </c>
      <c r="J49" s="206">
        <f>IFERROR(IF(LoanIsNotPaid*LoanIsGood,EndingBalance,0), 0)</f>
        <v>995649.0004067882</v>
      </c>
      <c r="K49" s="178"/>
    </row>
    <row r="50" spans="1:11" ht="20.25" customHeight="1" x14ac:dyDescent="0.15">
      <c r="A50" s="178"/>
      <c r="B50" s="204">
        <f>IFERROR(IF(LoanIsNotPaid*LoanIsGood,PaymentNumber,""), "")</f>
        <v>34</v>
      </c>
      <c r="C50" s="205">
        <f>IFERROR(IF(LoanIsNotPaid*LoanIsGood,PaymentDate,LoanStartDate), LoanStartDate)</f>
        <v>46692</v>
      </c>
      <c r="D50" s="206">
        <f>IFERROR(IF(LoanIsNotPaid*LoanIsGood,LoanValue,""), "")</f>
        <v>995649.0004067882</v>
      </c>
      <c r="E50" s="206">
        <f>IFERROR(IF(LoanIsNotPaid*LoanIsGood,MonthlyPayment,0), 0)</f>
        <v>5691.1875192575681</v>
      </c>
      <c r="F50" s="206">
        <f>IFERROR(IF(LoanIsNotPaid*LoanIsGood,Principal,0), 0)</f>
        <v>4031.7725185795784</v>
      </c>
      <c r="G50" s="206">
        <f>SUM($F$17:F50)</f>
        <v>133382.77211178595</v>
      </c>
      <c r="H50" s="206">
        <f>IFERROR(IF(LoanIsNotPaid*LoanIsGood,InterestAmt,0), 0)</f>
        <v>1659.4150006779896</v>
      </c>
      <c r="I50" s="206">
        <f>SUM($H$17:H50)</f>
        <v>60117.603542971396</v>
      </c>
      <c r="J50" s="206">
        <f>IFERROR(IF(LoanIsNotPaid*LoanIsGood,EndingBalance,0), 0)</f>
        <v>991617.22788820858</v>
      </c>
      <c r="K50" s="178"/>
    </row>
    <row r="51" spans="1:11" ht="20.25" customHeight="1" x14ac:dyDescent="0.15">
      <c r="A51" s="178"/>
      <c r="B51" s="204">
        <f>IFERROR(IF(LoanIsNotPaid*LoanIsGood,PaymentNumber,""), "")</f>
        <v>35</v>
      </c>
      <c r="C51" s="205">
        <f>IFERROR(IF(LoanIsNotPaid*LoanIsGood,PaymentDate,LoanStartDate), LoanStartDate)</f>
        <v>46722</v>
      </c>
      <c r="D51" s="206">
        <f>IFERROR(IF(LoanIsNotPaid*LoanIsGood,LoanValue,""), "")</f>
        <v>991617.22788820858</v>
      </c>
      <c r="E51" s="206">
        <f>IFERROR(IF(LoanIsNotPaid*LoanIsGood,MonthlyPayment,0), 0)</f>
        <v>5691.1875192575681</v>
      </c>
      <c r="F51" s="206">
        <f>IFERROR(IF(LoanIsNotPaid*LoanIsGood,Principal,0), 0)</f>
        <v>4038.4921394438775</v>
      </c>
      <c r="G51" s="206">
        <f>SUM($F$17:F51)</f>
        <v>137421.26425122982</v>
      </c>
      <c r="H51" s="206">
        <f>IFERROR(IF(LoanIsNotPaid*LoanIsGood,InterestAmt,0), 0)</f>
        <v>1652.6953798136906</v>
      </c>
      <c r="I51" s="206">
        <f>SUM($H$17:H51)</f>
        <v>61770.298922785085</v>
      </c>
      <c r="J51" s="206">
        <f>IFERROR(IF(LoanIsNotPaid*LoanIsGood,EndingBalance,0), 0)</f>
        <v>987578.73574876459</v>
      </c>
      <c r="K51" s="178"/>
    </row>
    <row r="52" spans="1:11" ht="20.25" customHeight="1" x14ac:dyDescent="0.15">
      <c r="A52" s="178"/>
      <c r="B52" s="204">
        <f>IFERROR(IF(LoanIsNotPaid*LoanIsGood,PaymentNumber,""), "")</f>
        <v>36</v>
      </c>
      <c r="C52" s="205">
        <f>IFERROR(IF(LoanIsNotPaid*LoanIsGood,PaymentDate,LoanStartDate), LoanStartDate)</f>
        <v>46753</v>
      </c>
      <c r="D52" s="206">
        <f>IFERROR(IF(LoanIsNotPaid*LoanIsGood,LoanValue,""), "")</f>
        <v>987578.73574876459</v>
      </c>
      <c r="E52" s="206">
        <f>IFERROR(IF(LoanIsNotPaid*LoanIsGood,MonthlyPayment,0), 0)</f>
        <v>5691.1875192575681</v>
      </c>
      <c r="F52" s="206">
        <f>IFERROR(IF(LoanIsNotPaid*LoanIsGood,Principal,0), 0)</f>
        <v>4045.2229596762845</v>
      </c>
      <c r="G52" s="206">
        <f>SUM($F$17:F52)</f>
        <v>141466.48721090611</v>
      </c>
      <c r="H52" s="206">
        <f>IFERROR(IF(LoanIsNotPaid*LoanIsGood,InterestAmt,0), 0)</f>
        <v>1645.9645595812838</v>
      </c>
      <c r="I52" s="206">
        <f>SUM($H$17:H52)</f>
        <v>63416.263482366368</v>
      </c>
      <c r="J52" s="206">
        <f>IFERROR(IF(LoanIsNotPaid*LoanIsGood,EndingBalance,0), 0)</f>
        <v>983533.51278908807</v>
      </c>
      <c r="K52" s="178"/>
    </row>
    <row r="53" spans="1:11" ht="20.25" customHeight="1" x14ac:dyDescent="0.15">
      <c r="A53" s="178"/>
      <c r="B53" s="204">
        <f>IFERROR(IF(LoanIsNotPaid*LoanIsGood,PaymentNumber,""), "")</f>
        <v>37</v>
      </c>
      <c r="C53" s="205">
        <f>IFERROR(IF(LoanIsNotPaid*LoanIsGood,PaymentDate,LoanStartDate), LoanStartDate)</f>
        <v>46784</v>
      </c>
      <c r="D53" s="206">
        <f>IFERROR(IF(LoanIsNotPaid*LoanIsGood,LoanValue,""), "")</f>
        <v>983533.51278908807</v>
      </c>
      <c r="E53" s="206">
        <f>IFERROR(IF(LoanIsNotPaid*LoanIsGood,MonthlyPayment,0), 0)</f>
        <v>5691.1875192575681</v>
      </c>
      <c r="F53" s="206">
        <f>IFERROR(IF(LoanIsNotPaid*LoanIsGood,Principal,0), 0)</f>
        <v>4051.9649979424116</v>
      </c>
      <c r="G53" s="206">
        <f>SUM($F$17:F53)</f>
        <v>145518.45220884852</v>
      </c>
      <c r="H53" s="206">
        <f>IFERROR(IF(LoanIsNotPaid*LoanIsGood,InterestAmt,0), 0)</f>
        <v>1639.2225213151569</v>
      </c>
      <c r="I53" s="206">
        <f>SUM($H$17:H53)</f>
        <v>65055.486003681523</v>
      </c>
      <c r="J53" s="206">
        <f>IFERROR(IF(LoanIsNotPaid*LoanIsGood,EndingBalance,0), 0)</f>
        <v>979481.54779114539</v>
      </c>
      <c r="K53" s="178"/>
    </row>
    <row r="54" spans="1:11" ht="20.25" customHeight="1" x14ac:dyDescent="0.15">
      <c r="A54" s="178"/>
      <c r="B54" s="204">
        <f>IFERROR(IF(LoanIsNotPaid*LoanIsGood,PaymentNumber,""), "")</f>
        <v>38</v>
      </c>
      <c r="C54" s="205">
        <f>IFERROR(IF(LoanIsNotPaid*LoanIsGood,PaymentDate,LoanStartDate), LoanStartDate)</f>
        <v>46813</v>
      </c>
      <c r="D54" s="206">
        <f>IFERROR(IF(LoanIsNotPaid*LoanIsGood,LoanValue,""), "")</f>
        <v>979481.54779114539</v>
      </c>
      <c r="E54" s="206">
        <f>IFERROR(IF(LoanIsNotPaid*LoanIsGood,MonthlyPayment,0), 0)</f>
        <v>5691.1875192575681</v>
      </c>
      <c r="F54" s="206">
        <f>IFERROR(IF(LoanIsNotPaid*LoanIsGood,Principal,0), 0)</f>
        <v>4058.7182729389824</v>
      </c>
      <c r="G54" s="206">
        <f>SUM($F$17:F54)</f>
        <v>149577.1704817875</v>
      </c>
      <c r="H54" s="206">
        <f>IFERROR(IF(LoanIsNotPaid*LoanIsGood,InterestAmt,0), 0)</f>
        <v>1632.4692463185863</v>
      </c>
      <c r="I54" s="206">
        <f>SUM($H$17:H54)</f>
        <v>66687.955250000115</v>
      </c>
      <c r="J54" s="206">
        <f>IFERROR(IF(LoanIsNotPaid*LoanIsGood,EndingBalance,0), 0)</f>
        <v>975422.82951820653</v>
      </c>
      <c r="K54" s="178"/>
    </row>
    <row r="55" spans="1:11" ht="20.25" customHeight="1" x14ac:dyDescent="0.15">
      <c r="A55" s="178"/>
      <c r="B55" s="204">
        <f>IFERROR(IF(LoanIsNotPaid*LoanIsGood,PaymentNumber,""), "")</f>
        <v>39</v>
      </c>
      <c r="C55" s="205">
        <f>IFERROR(IF(LoanIsNotPaid*LoanIsGood,PaymentDate,LoanStartDate), LoanStartDate)</f>
        <v>46844</v>
      </c>
      <c r="D55" s="206">
        <f>IFERROR(IF(LoanIsNotPaid*LoanIsGood,LoanValue,""), "")</f>
        <v>975422.82951820653</v>
      </c>
      <c r="E55" s="206">
        <f>IFERROR(IF(LoanIsNotPaid*LoanIsGood,MonthlyPayment,0), 0)</f>
        <v>5691.1875192575681</v>
      </c>
      <c r="F55" s="206">
        <f>IFERROR(IF(LoanIsNotPaid*LoanIsGood,Principal,0), 0)</f>
        <v>4065.4828033938807</v>
      </c>
      <c r="G55" s="206">
        <f>SUM($F$17:F55)</f>
        <v>153642.65328518138</v>
      </c>
      <c r="H55" s="206">
        <f>IFERROR(IF(LoanIsNotPaid*LoanIsGood,InterestAmt,0), 0)</f>
        <v>1625.7047158636876</v>
      </c>
      <c r="I55" s="206">
        <f>SUM($H$17:H55)</f>
        <v>68313.659965863801</v>
      </c>
      <c r="J55" s="206">
        <f>IFERROR(IF(LoanIsNotPaid*LoanIsGood,EndingBalance,0), 0)</f>
        <v>971357.34671481221</v>
      </c>
      <c r="K55" s="178"/>
    </row>
    <row r="56" spans="1:11" ht="20.25" customHeight="1" x14ac:dyDescent="0.15">
      <c r="A56" s="178"/>
      <c r="B56" s="204">
        <f>IFERROR(IF(LoanIsNotPaid*LoanIsGood,PaymentNumber,""), "")</f>
        <v>40</v>
      </c>
      <c r="C56" s="205">
        <f>IFERROR(IF(LoanIsNotPaid*LoanIsGood,PaymentDate,LoanStartDate), LoanStartDate)</f>
        <v>46874</v>
      </c>
      <c r="D56" s="206">
        <f>IFERROR(IF(LoanIsNotPaid*LoanIsGood,LoanValue,""), "")</f>
        <v>971357.34671481221</v>
      </c>
      <c r="E56" s="206">
        <f>IFERROR(IF(LoanIsNotPaid*LoanIsGood,MonthlyPayment,0), 0)</f>
        <v>5691.1875192575681</v>
      </c>
      <c r="F56" s="206">
        <f>IFERROR(IF(LoanIsNotPaid*LoanIsGood,Principal,0), 0)</f>
        <v>4072.2586080662031</v>
      </c>
      <c r="G56" s="206">
        <f>SUM($F$17:F56)</f>
        <v>157714.9118932476</v>
      </c>
      <c r="H56" s="206">
        <f>IFERROR(IF(LoanIsNotPaid*LoanIsGood,InterestAmt,0), 0)</f>
        <v>1618.9289111913647</v>
      </c>
      <c r="I56" s="206">
        <f>SUM($H$17:H56)</f>
        <v>69932.588877055168</v>
      </c>
      <c r="J56" s="206">
        <f>IFERROR(IF(LoanIsNotPaid*LoanIsGood,EndingBalance,0), 0)</f>
        <v>967285.0881067455</v>
      </c>
      <c r="K56" s="178"/>
    </row>
    <row r="57" spans="1:11" ht="20.25" customHeight="1" x14ac:dyDescent="0.15">
      <c r="A57" s="178"/>
      <c r="B57" s="204">
        <f>IFERROR(IF(LoanIsNotPaid*LoanIsGood,PaymentNumber,""), "")</f>
        <v>41</v>
      </c>
      <c r="C57" s="205">
        <f>IFERROR(IF(LoanIsNotPaid*LoanIsGood,PaymentDate,LoanStartDate), LoanStartDate)</f>
        <v>46905</v>
      </c>
      <c r="D57" s="206">
        <f>IFERROR(IF(LoanIsNotPaid*LoanIsGood,LoanValue,""), "")</f>
        <v>967285.0881067455</v>
      </c>
      <c r="E57" s="206">
        <f>IFERROR(IF(LoanIsNotPaid*LoanIsGood,MonthlyPayment,0), 0)</f>
        <v>5691.1875192575681</v>
      </c>
      <c r="F57" s="206">
        <f>IFERROR(IF(LoanIsNotPaid*LoanIsGood,Principal,0), 0)</f>
        <v>4079.0457057463141</v>
      </c>
      <c r="G57" s="206">
        <f>SUM($F$17:F57)</f>
        <v>161793.9575989939</v>
      </c>
      <c r="H57" s="206">
        <f>IFERROR(IF(LoanIsNotPaid*LoanIsGood,InterestAmt,0), 0)</f>
        <v>1612.141813511254</v>
      </c>
      <c r="I57" s="206">
        <f>SUM($H$17:H57)</f>
        <v>71544.730690566415</v>
      </c>
      <c r="J57" s="206">
        <f>IFERROR(IF(LoanIsNotPaid*LoanIsGood,EndingBalance,0), 0)</f>
        <v>963206.04240099958</v>
      </c>
      <c r="K57" s="178"/>
    </row>
    <row r="58" spans="1:11" ht="20.25" customHeight="1" x14ac:dyDescent="0.15">
      <c r="A58" s="178"/>
      <c r="B58" s="204">
        <f>IFERROR(IF(LoanIsNotPaid*LoanIsGood,PaymentNumber,""), "")</f>
        <v>42</v>
      </c>
      <c r="C58" s="205">
        <f>IFERROR(IF(LoanIsNotPaid*LoanIsGood,PaymentDate,LoanStartDate), LoanStartDate)</f>
        <v>46935</v>
      </c>
      <c r="D58" s="206">
        <f>IFERROR(IF(LoanIsNotPaid*LoanIsGood,LoanValue,""), "")</f>
        <v>963206.04240099958</v>
      </c>
      <c r="E58" s="206">
        <f>IFERROR(IF(LoanIsNotPaid*LoanIsGood,MonthlyPayment,0), 0)</f>
        <v>5691.1875192575681</v>
      </c>
      <c r="F58" s="206">
        <f>IFERROR(IF(LoanIsNotPaid*LoanIsGood,Principal,0), 0)</f>
        <v>4085.8441152558912</v>
      </c>
      <c r="G58" s="206">
        <f>SUM($F$17:F58)</f>
        <v>165879.8017142498</v>
      </c>
      <c r="H58" s="206">
        <f>IFERROR(IF(LoanIsNotPaid*LoanIsGood,InterestAmt,0), 0)</f>
        <v>1605.3434040016773</v>
      </c>
      <c r="I58" s="206">
        <f>SUM($H$17:H58)</f>
        <v>73150.074094568088</v>
      </c>
      <c r="J58" s="206">
        <f>IFERROR(IF(LoanIsNotPaid*LoanIsGood,EndingBalance,0), 0)</f>
        <v>959120.19828574359</v>
      </c>
      <c r="K58" s="178"/>
    </row>
    <row r="59" spans="1:11" ht="20.25" customHeight="1" x14ac:dyDescent="0.15">
      <c r="A59" s="178"/>
      <c r="B59" s="204">
        <f>IFERROR(IF(LoanIsNotPaid*LoanIsGood,PaymentNumber,""), "")</f>
        <v>43</v>
      </c>
      <c r="C59" s="205">
        <f>IFERROR(IF(LoanIsNotPaid*LoanIsGood,PaymentDate,LoanStartDate), LoanStartDate)</f>
        <v>46966</v>
      </c>
      <c r="D59" s="206">
        <f>IFERROR(IF(LoanIsNotPaid*LoanIsGood,LoanValue,""), "")</f>
        <v>959120.19828574359</v>
      </c>
      <c r="E59" s="206">
        <f>IFERROR(IF(LoanIsNotPaid*LoanIsGood,MonthlyPayment,0), 0)</f>
        <v>5691.1875192575681</v>
      </c>
      <c r="F59" s="206">
        <f>IFERROR(IF(LoanIsNotPaid*LoanIsGood,Principal,0), 0)</f>
        <v>4092.6538554479835</v>
      </c>
      <c r="G59" s="206">
        <f>SUM($F$17:F59)</f>
        <v>169972.45556969778</v>
      </c>
      <c r="H59" s="206">
        <f>IFERROR(IF(LoanIsNotPaid*LoanIsGood,InterestAmt,0), 0)</f>
        <v>1598.5336638095839</v>
      </c>
      <c r="I59" s="206">
        <f>SUM($H$17:H59)</f>
        <v>74748.607758377679</v>
      </c>
      <c r="J59" s="206">
        <f>IFERROR(IF(LoanIsNotPaid*LoanIsGood,EndingBalance,0), 0)</f>
        <v>955027.54443029524</v>
      </c>
      <c r="K59" s="178"/>
    </row>
    <row r="60" spans="1:11" ht="20.25" customHeight="1" x14ac:dyDescent="0.15">
      <c r="A60" s="178"/>
      <c r="B60" s="204">
        <f>IFERROR(IF(LoanIsNotPaid*LoanIsGood,PaymentNumber,""), "")</f>
        <v>44</v>
      </c>
      <c r="C60" s="205">
        <f>IFERROR(IF(LoanIsNotPaid*LoanIsGood,PaymentDate,LoanStartDate), LoanStartDate)</f>
        <v>46997</v>
      </c>
      <c r="D60" s="206">
        <f>IFERROR(IF(LoanIsNotPaid*LoanIsGood,LoanValue,""), "")</f>
        <v>955027.54443029524</v>
      </c>
      <c r="E60" s="206">
        <f>IFERROR(IF(LoanIsNotPaid*LoanIsGood,MonthlyPayment,0), 0)</f>
        <v>5691.1875192575681</v>
      </c>
      <c r="F60" s="206">
        <f>IFERROR(IF(LoanIsNotPaid*LoanIsGood,Principal,0), 0)</f>
        <v>4099.4749452070637</v>
      </c>
      <c r="G60" s="206">
        <f>SUM($F$17:F60)</f>
        <v>174071.93051490485</v>
      </c>
      <c r="H60" s="206">
        <f>IFERROR(IF(LoanIsNotPaid*LoanIsGood,InterestAmt,0), 0)</f>
        <v>1591.7125740505039</v>
      </c>
      <c r="I60" s="206">
        <f>SUM($H$17:H60)</f>
        <v>76340.320332428179</v>
      </c>
      <c r="J60" s="206">
        <f>IFERROR(IF(LoanIsNotPaid*LoanIsGood,EndingBalance,0), 0)</f>
        <v>950928.06948508834</v>
      </c>
      <c r="K60" s="178"/>
    </row>
    <row r="61" spans="1:11" ht="20.25" customHeight="1" x14ac:dyDescent="0.15">
      <c r="A61" s="178"/>
      <c r="B61" s="204">
        <f>IFERROR(IF(LoanIsNotPaid*LoanIsGood,PaymentNumber,""), "")</f>
        <v>45</v>
      </c>
      <c r="C61" s="205">
        <f>IFERROR(IF(LoanIsNotPaid*LoanIsGood,PaymentDate,LoanStartDate), LoanStartDate)</f>
        <v>47027</v>
      </c>
      <c r="D61" s="206">
        <f>IFERROR(IF(LoanIsNotPaid*LoanIsGood,LoanValue,""), "")</f>
        <v>950928.06948508834</v>
      </c>
      <c r="E61" s="206">
        <f>IFERROR(IF(LoanIsNotPaid*LoanIsGood,MonthlyPayment,0), 0)</f>
        <v>5691.1875192575681</v>
      </c>
      <c r="F61" s="206">
        <f>IFERROR(IF(LoanIsNotPaid*LoanIsGood,Principal,0), 0)</f>
        <v>4106.3074034490755</v>
      </c>
      <c r="G61" s="206">
        <f>SUM($F$17:F61)</f>
        <v>178178.23791835393</v>
      </c>
      <c r="H61" s="206">
        <f>IFERROR(IF(LoanIsNotPaid*LoanIsGood,InterestAmt,0), 0)</f>
        <v>1584.8801158084921</v>
      </c>
      <c r="I61" s="206">
        <f>SUM($H$17:H61)</f>
        <v>77925.200448236676</v>
      </c>
      <c r="J61" s="206">
        <f>IFERROR(IF(LoanIsNotPaid*LoanIsGood,EndingBalance,0), 0)</f>
        <v>946821.76208163868</v>
      </c>
      <c r="K61" s="178"/>
    </row>
    <row r="62" spans="1:11" ht="20.25" customHeight="1" x14ac:dyDescent="0.15">
      <c r="A62" s="178"/>
      <c r="B62" s="204">
        <f>IFERROR(IF(LoanIsNotPaid*LoanIsGood,PaymentNumber,""), "")</f>
        <v>46</v>
      </c>
      <c r="C62" s="205">
        <f>IFERROR(IF(LoanIsNotPaid*LoanIsGood,PaymentDate,LoanStartDate), LoanStartDate)</f>
        <v>47058</v>
      </c>
      <c r="D62" s="206">
        <f>IFERROR(IF(LoanIsNotPaid*LoanIsGood,LoanValue,""), "")</f>
        <v>946821.76208163868</v>
      </c>
      <c r="E62" s="206">
        <f>IFERROR(IF(LoanIsNotPaid*LoanIsGood,MonthlyPayment,0), 0)</f>
        <v>5691.1875192575681</v>
      </c>
      <c r="F62" s="206">
        <f>IFERROR(IF(LoanIsNotPaid*LoanIsGood,Principal,0), 0)</f>
        <v>4113.1512491214908</v>
      </c>
      <c r="G62" s="206">
        <f>SUM($F$17:F62)</f>
        <v>182291.38916747543</v>
      </c>
      <c r="H62" s="206">
        <f>IFERROR(IF(LoanIsNotPaid*LoanIsGood,InterestAmt,0), 0)</f>
        <v>1578.0362701360773</v>
      </c>
      <c r="I62" s="206">
        <f>SUM($H$17:H62)</f>
        <v>79503.236718372747</v>
      </c>
      <c r="J62" s="206">
        <f>IFERROR(IF(LoanIsNotPaid*LoanIsGood,EndingBalance,0), 0)</f>
        <v>942708.61083251704</v>
      </c>
      <c r="K62" s="178"/>
    </row>
    <row r="63" spans="1:11" ht="20.25" customHeight="1" x14ac:dyDescent="0.15">
      <c r="A63" s="178"/>
      <c r="B63" s="204">
        <f>IFERROR(IF(LoanIsNotPaid*LoanIsGood,PaymentNumber,""), "")</f>
        <v>47</v>
      </c>
      <c r="C63" s="205">
        <f>IFERROR(IF(LoanIsNotPaid*LoanIsGood,PaymentDate,LoanStartDate), LoanStartDate)</f>
        <v>47088</v>
      </c>
      <c r="D63" s="206">
        <f>IFERROR(IF(LoanIsNotPaid*LoanIsGood,LoanValue,""), "")</f>
        <v>942708.61083251704</v>
      </c>
      <c r="E63" s="206">
        <f>IFERROR(IF(LoanIsNotPaid*LoanIsGood,MonthlyPayment,0), 0)</f>
        <v>5691.1875192575681</v>
      </c>
      <c r="F63" s="206">
        <f>IFERROR(IF(LoanIsNotPaid*LoanIsGood,Principal,0), 0)</f>
        <v>4120.0065012033601</v>
      </c>
      <c r="G63" s="206">
        <f>SUM($F$17:F63)</f>
        <v>186411.3956686788</v>
      </c>
      <c r="H63" s="206">
        <f>IFERROR(IF(LoanIsNotPaid*LoanIsGood,InterestAmt,0), 0)</f>
        <v>1571.1810180542079</v>
      </c>
      <c r="I63" s="206">
        <f>SUM($H$17:H63)</f>
        <v>81074.417736426956</v>
      </c>
      <c r="J63" s="206">
        <f>IFERROR(IF(LoanIsNotPaid*LoanIsGood,EndingBalance,0), 0)</f>
        <v>938588.60433131328</v>
      </c>
      <c r="K63" s="178"/>
    </row>
    <row r="64" spans="1:11" ht="20.25" customHeight="1" x14ac:dyDescent="0.15">
      <c r="A64" s="209"/>
      <c r="B64" s="210">
        <f>IFERROR(IF(LoanIsNotPaid*LoanIsGood,PaymentNumber,""), "")</f>
        <v>48</v>
      </c>
      <c r="C64" s="211">
        <f>IFERROR(IF(LoanIsNotPaid*LoanIsGood,PaymentDate,LoanStartDate), LoanStartDate)</f>
        <v>47119</v>
      </c>
      <c r="D64" s="212">
        <f>IFERROR(IF(LoanIsNotPaid*LoanIsGood,LoanValue,""), "")</f>
        <v>938588.60433131328</v>
      </c>
      <c r="E64" s="212">
        <f>IFERROR(IF(LoanIsNotPaid*LoanIsGood,MonthlyPayment,0), 0)</f>
        <v>5691.1875192575681</v>
      </c>
      <c r="F64" s="212">
        <f>IFERROR(IF(LoanIsNotPaid*LoanIsGood,Principal,0), 0)</f>
        <v>4126.8731787053657</v>
      </c>
      <c r="G64" s="212">
        <f>SUM($F$17:F64)</f>
        <v>190538.26884738417</v>
      </c>
      <c r="H64" s="212">
        <f>IFERROR(IF(LoanIsNotPaid*LoanIsGood,InterestAmt,0), 0)</f>
        <v>1564.3143405522026</v>
      </c>
      <c r="I64" s="212">
        <f>SUM($H$17:H64)</f>
        <v>82638.732076979155</v>
      </c>
      <c r="J64" s="212">
        <f>IFERROR(IF(LoanIsNotPaid*LoanIsGood,EndingBalance,0), 0)</f>
        <v>934461.73115260759</v>
      </c>
      <c r="K64" s="209"/>
    </row>
    <row r="65" spans="1:11" ht="20.25" customHeight="1" x14ac:dyDescent="0.15">
      <c r="A65" s="178"/>
      <c r="B65" s="204">
        <f>IFERROR(IF(LoanIsNotPaid*LoanIsGood,PaymentNumber,""), "")</f>
        <v>49</v>
      </c>
      <c r="C65" s="205">
        <f>IFERROR(IF(LoanIsNotPaid*LoanIsGood,PaymentDate,LoanStartDate), LoanStartDate)</f>
        <v>47150</v>
      </c>
      <c r="D65" s="206">
        <f>IFERROR(IF(LoanIsNotPaid*LoanIsGood,LoanValue,""), "")</f>
        <v>934461.73115260759</v>
      </c>
      <c r="E65" s="206">
        <f>IFERROR(IF(LoanIsNotPaid*LoanIsGood,MonthlyPayment,0), 0)</f>
        <v>5691.1875192575681</v>
      </c>
      <c r="F65" s="206">
        <f>IFERROR(IF(LoanIsNotPaid*LoanIsGood,Principal,0), 0)</f>
        <v>4133.7513006698746</v>
      </c>
      <c r="G65" s="206">
        <f>SUM($F$17:F65)</f>
        <v>194672.02014805406</v>
      </c>
      <c r="H65" s="206">
        <f>IFERROR(IF(LoanIsNotPaid*LoanIsGood,InterestAmt,0), 0)</f>
        <v>1557.4362185876935</v>
      </c>
      <c r="I65" s="206">
        <f>SUM($H$17:H65)</f>
        <v>84196.168295566851</v>
      </c>
      <c r="J65" s="206">
        <f>IFERROR(IF(LoanIsNotPaid*LoanIsGood,EndingBalance,0), 0)</f>
        <v>930327.97985193785</v>
      </c>
      <c r="K65" s="178"/>
    </row>
    <row r="66" spans="1:11" ht="20.25" customHeight="1" x14ac:dyDescent="0.15">
      <c r="A66" s="178"/>
      <c r="B66" s="204">
        <f>IFERROR(IF(LoanIsNotPaid*LoanIsGood,PaymentNumber,""), "")</f>
        <v>50</v>
      </c>
      <c r="C66" s="205">
        <f>IFERROR(IF(LoanIsNotPaid*LoanIsGood,PaymentDate,LoanStartDate), LoanStartDate)</f>
        <v>47178</v>
      </c>
      <c r="D66" s="206">
        <f>IFERROR(IF(LoanIsNotPaid*LoanIsGood,LoanValue,""), "")</f>
        <v>930327.97985193785</v>
      </c>
      <c r="E66" s="206">
        <f>IFERROR(IF(LoanIsNotPaid*LoanIsGood,MonthlyPayment,0), 0)</f>
        <v>5691.1875192575681</v>
      </c>
      <c r="F66" s="206">
        <f>IFERROR(IF(LoanIsNotPaid*LoanIsGood,Principal,0), 0)</f>
        <v>4140.6408861709906</v>
      </c>
      <c r="G66" s="206">
        <f>SUM($F$17:F66)</f>
        <v>198812.66103422505</v>
      </c>
      <c r="H66" s="206">
        <f>IFERROR(IF(LoanIsNotPaid*LoanIsGood,InterestAmt,0), 0)</f>
        <v>1550.546633086577</v>
      </c>
      <c r="I66" s="206">
        <f>SUM($H$17:H66)</f>
        <v>85746.714928653426</v>
      </c>
      <c r="J66" s="206">
        <f>IFERROR(IF(LoanIsNotPaid*LoanIsGood,EndingBalance,0), 0)</f>
        <v>926187.33896576683</v>
      </c>
      <c r="K66" s="178"/>
    </row>
    <row r="67" spans="1:11" ht="20.25" customHeight="1" x14ac:dyDescent="0.15">
      <c r="A67" s="178"/>
      <c r="B67" s="204">
        <f>IFERROR(IF(LoanIsNotPaid*LoanIsGood,PaymentNumber,""), "")</f>
        <v>51</v>
      </c>
      <c r="C67" s="205">
        <f>IFERROR(IF(LoanIsNotPaid*LoanIsGood,PaymentDate,LoanStartDate), LoanStartDate)</f>
        <v>47209</v>
      </c>
      <c r="D67" s="206">
        <f>IFERROR(IF(LoanIsNotPaid*LoanIsGood,LoanValue,""), "")</f>
        <v>926187.33896576683</v>
      </c>
      <c r="E67" s="206">
        <f>IFERROR(IF(LoanIsNotPaid*LoanIsGood,MonthlyPayment,0), 0)</f>
        <v>5691.1875192575681</v>
      </c>
      <c r="F67" s="206">
        <f>IFERROR(IF(LoanIsNotPaid*LoanIsGood,Principal,0), 0)</f>
        <v>4147.5419543146099</v>
      </c>
      <c r="G67" s="206">
        <f>SUM($F$17:F67)</f>
        <v>202960.20298853965</v>
      </c>
      <c r="H67" s="206">
        <f>IFERROR(IF(LoanIsNotPaid*LoanIsGood,InterestAmt,0), 0)</f>
        <v>1543.6455649429586</v>
      </c>
      <c r="I67" s="206">
        <f>SUM($H$17:H67)</f>
        <v>87290.360493596381</v>
      </c>
      <c r="J67" s="206">
        <f>IFERROR(IF(LoanIsNotPaid*LoanIsGood,EndingBalance,0), 0)</f>
        <v>922039.7970114518</v>
      </c>
      <c r="K67" s="178"/>
    </row>
    <row r="68" spans="1:11" ht="20.25" customHeight="1" x14ac:dyDescent="0.15">
      <c r="A68" s="178"/>
      <c r="B68" s="204">
        <f>IFERROR(IF(LoanIsNotPaid*LoanIsGood,PaymentNumber,""), "")</f>
        <v>52</v>
      </c>
      <c r="C68" s="205">
        <f>IFERROR(IF(LoanIsNotPaid*LoanIsGood,PaymentDate,LoanStartDate), LoanStartDate)</f>
        <v>47239</v>
      </c>
      <c r="D68" s="206">
        <f>IFERROR(IF(LoanIsNotPaid*LoanIsGood,LoanValue,""), "")</f>
        <v>922039.7970114518</v>
      </c>
      <c r="E68" s="206">
        <f>IFERROR(IF(LoanIsNotPaid*LoanIsGood,MonthlyPayment,0), 0)</f>
        <v>5691.1875192575681</v>
      </c>
      <c r="F68" s="206">
        <f>IFERROR(IF(LoanIsNotPaid*LoanIsGood,Principal,0), 0)</f>
        <v>4154.4545242384665</v>
      </c>
      <c r="G68" s="206">
        <f>SUM($F$17:F68)</f>
        <v>207114.65751277813</v>
      </c>
      <c r="H68" s="206">
        <f>IFERROR(IF(LoanIsNotPaid*LoanIsGood,InterestAmt,0), 0)</f>
        <v>1536.7329950191008</v>
      </c>
      <c r="I68" s="206">
        <f>SUM($H$17:H68)</f>
        <v>88827.093488615486</v>
      </c>
      <c r="J68" s="206">
        <f>IFERROR(IF(LoanIsNotPaid*LoanIsGood,EndingBalance,0), 0)</f>
        <v>917885.34248721343</v>
      </c>
      <c r="K68" s="178"/>
    </row>
    <row r="69" spans="1:11" ht="20.25" customHeight="1" x14ac:dyDescent="0.15">
      <c r="A69" s="178"/>
      <c r="B69" s="204">
        <f>IFERROR(IF(LoanIsNotPaid*LoanIsGood,PaymentNumber,""), "")</f>
        <v>53</v>
      </c>
      <c r="C69" s="205">
        <f>IFERROR(IF(LoanIsNotPaid*LoanIsGood,PaymentDate,LoanStartDate), LoanStartDate)</f>
        <v>47270</v>
      </c>
      <c r="D69" s="206">
        <f>IFERROR(IF(LoanIsNotPaid*LoanIsGood,LoanValue,""), "")</f>
        <v>917885.34248721343</v>
      </c>
      <c r="E69" s="206">
        <f>IFERROR(IF(LoanIsNotPaid*LoanIsGood,MonthlyPayment,0), 0)</f>
        <v>5691.1875192575681</v>
      </c>
      <c r="F69" s="206">
        <f>IFERROR(IF(LoanIsNotPaid*LoanIsGood,Principal,0), 0)</f>
        <v>4161.3786151121976</v>
      </c>
      <c r="G69" s="206">
        <f>SUM($F$17:F69)</f>
        <v>211276.03612789031</v>
      </c>
      <c r="H69" s="206">
        <f>IFERROR(IF(LoanIsNotPaid*LoanIsGood,InterestAmt,0), 0)</f>
        <v>1529.80890414537</v>
      </c>
      <c r="I69" s="206">
        <f>SUM($H$17:H69)</f>
        <v>90356.90239276085</v>
      </c>
      <c r="J69" s="206">
        <f>IFERROR(IF(LoanIsNotPaid*LoanIsGood,EndingBalance,0), 0)</f>
        <v>913723.96387210069</v>
      </c>
      <c r="K69" s="178"/>
    </row>
    <row r="70" spans="1:11" ht="20.25" customHeight="1" x14ac:dyDescent="0.15">
      <c r="A70" s="178"/>
      <c r="B70" s="204">
        <f>IFERROR(IF(LoanIsNotPaid*LoanIsGood,PaymentNumber,""), "")</f>
        <v>54</v>
      </c>
      <c r="C70" s="205">
        <f>IFERROR(IF(LoanIsNotPaid*LoanIsGood,PaymentDate,LoanStartDate), LoanStartDate)</f>
        <v>47300</v>
      </c>
      <c r="D70" s="206">
        <f>IFERROR(IF(LoanIsNotPaid*LoanIsGood,LoanValue,""), "")</f>
        <v>913723.96387210069</v>
      </c>
      <c r="E70" s="206">
        <f>IFERROR(IF(LoanIsNotPaid*LoanIsGood,MonthlyPayment,0), 0)</f>
        <v>5691.1875192575681</v>
      </c>
      <c r="F70" s="206">
        <f>IFERROR(IF(LoanIsNotPaid*LoanIsGood,Principal,0), 0)</f>
        <v>4168.3142461373855</v>
      </c>
      <c r="G70" s="206">
        <f>SUM($F$17:F70)</f>
        <v>215444.35037402771</v>
      </c>
      <c r="H70" s="206">
        <f>IFERROR(IF(LoanIsNotPaid*LoanIsGood,InterestAmt,0), 0)</f>
        <v>1522.8732731201833</v>
      </c>
      <c r="I70" s="206">
        <f>SUM($H$17:H70)</f>
        <v>91879.775665881039</v>
      </c>
      <c r="J70" s="206">
        <f>IFERROR(IF(LoanIsNotPaid*LoanIsGood,EndingBalance,0), 0)</f>
        <v>909555.64962596307</v>
      </c>
      <c r="K70" s="178"/>
    </row>
    <row r="71" spans="1:11" ht="20.25" customHeight="1" x14ac:dyDescent="0.15">
      <c r="A71" s="178"/>
      <c r="B71" s="204">
        <f>IFERROR(IF(LoanIsNotPaid*LoanIsGood,PaymentNumber,""), "")</f>
        <v>55</v>
      </c>
      <c r="C71" s="205">
        <f>IFERROR(IF(LoanIsNotPaid*LoanIsGood,PaymentDate,LoanStartDate), LoanStartDate)</f>
        <v>47331</v>
      </c>
      <c r="D71" s="206">
        <f>IFERROR(IF(LoanIsNotPaid*LoanIsGood,LoanValue,""), "")</f>
        <v>909555.64962596307</v>
      </c>
      <c r="E71" s="206">
        <f>IFERROR(IF(LoanIsNotPaid*LoanIsGood,MonthlyPayment,0), 0)</f>
        <v>5691.1875192575681</v>
      </c>
      <c r="F71" s="206">
        <f>IFERROR(IF(LoanIsNotPaid*LoanIsGood,Principal,0), 0)</f>
        <v>4175.2614365476138</v>
      </c>
      <c r="G71" s="206">
        <f>SUM($F$17:F71)</f>
        <v>219619.61181057533</v>
      </c>
      <c r="H71" s="206">
        <f>IFERROR(IF(LoanIsNotPaid*LoanIsGood,InterestAmt,0), 0)</f>
        <v>1515.9260827099542</v>
      </c>
      <c r="I71" s="206">
        <f>SUM($H$17:H71)</f>
        <v>93395.701748590989</v>
      </c>
      <c r="J71" s="206">
        <f>IFERROR(IF(LoanIsNotPaid*LoanIsGood,EndingBalance,0), 0)</f>
        <v>905380.38818941545</v>
      </c>
      <c r="K71" s="178"/>
    </row>
    <row r="72" spans="1:11" ht="20.25" customHeight="1" x14ac:dyDescent="0.15">
      <c r="A72" s="178"/>
      <c r="B72" s="204">
        <f>IFERROR(IF(LoanIsNotPaid*LoanIsGood,PaymentNumber,""), "")</f>
        <v>56</v>
      </c>
      <c r="C72" s="205">
        <f>IFERROR(IF(LoanIsNotPaid*LoanIsGood,PaymentDate,LoanStartDate), LoanStartDate)</f>
        <v>47362</v>
      </c>
      <c r="D72" s="206">
        <f>IFERROR(IF(LoanIsNotPaid*LoanIsGood,LoanValue,""), "")</f>
        <v>905380.38818941545</v>
      </c>
      <c r="E72" s="206">
        <f>IFERROR(IF(LoanIsNotPaid*LoanIsGood,MonthlyPayment,0), 0)</f>
        <v>5691.1875192575681</v>
      </c>
      <c r="F72" s="206">
        <f>IFERROR(IF(LoanIsNotPaid*LoanIsGood,Principal,0), 0)</f>
        <v>4182.2202056085271</v>
      </c>
      <c r="G72" s="206">
        <f>SUM($F$17:F72)</f>
        <v>223801.83201618385</v>
      </c>
      <c r="H72" s="206">
        <f>IFERROR(IF(LoanIsNotPaid*LoanIsGood,InterestAmt,0), 0)</f>
        <v>1508.9673136490414</v>
      </c>
      <c r="I72" s="206">
        <f>SUM($H$17:H72)</f>
        <v>94904.669062240035</v>
      </c>
      <c r="J72" s="206">
        <f>IFERROR(IF(LoanIsNotPaid*LoanIsGood,EndingBalance,0), 0)</f>
        <v>901198.16798380646</v>
      </c>
      <c r="K72" s="178"/>
    </row>
    <row r="73" spans="1:11" ht="20.25" customHeight="1" x14ac:dyDescent="0.15">
      <c r="A73" s="178"/>
      <c r="B73" s="204">
        <f>IFERROR(IF(LoanIsNotPaid*LoanIsGood,PaymentNumber,""), "")</f>
        <v>57</v>
      </c>
      <c r="C73" s="205">
        <f>IFERROR(IF(LoanIsNotPaid*LoanIsGood,PaymentDate,LoanStartDate), LoanStartDate)</f>
        <v>47392</v>
      </c>
      <c r="D73" s="206">
        <f>IFERROR(IF(LoanIsNotPaid*LoanIsGood,LoanValue,""), "")</f>
        <v>901198.16798380646</v>
      </c>
      <c r="E73" s="206">
        <f>IFERROR(IF(LoanIsNotPaid*LoanIsGood,MonthlyPayment,0), 0)</f>
        <v>5691.1875192575681</v>
      </c>
      <c r="F73" s="206">
        <f>IFERROR(IF(LoanIsNotPaid*LoanIsGood,Principal,0), 0)</f>
        <v>4189.1905726178738</v>
      </c>
      <c r="G73" s="206">
        <f>SUM($F$17:F73)</f>
        <v>227991.02258880172</v>
      </c>
      <c r="H73" s="206">
        <f>IFERROR(IF(LoanIsNotPaid*LoanIsGood,InterestAmt,0), 0)</f>
        <v>1501.996946639694</v>
      </c>
      <c r="I73" s="206">
        <f>SUM($H$17:H73)</f>
        <v>96406.666008879722</v>
      </c>
      <c r="J73" s="206">
        <f>IFERROR(IF(LoanIsNotPaid*LoanIsGood,EndingBalance,0), 0)</f>
        <v>897008.97741118865</v>
      </c>
      <c r="K73" s="178"/>
    </row>
    <row r="74" spans="1:11" ht="20.25" customHeight="1" x14ac:dyDescent="0.15">
      <c r="A74" s="178"/>
      <c r="B74" s="204">
        <f>IFERROR(IF(LoanIsNotPaid*LoanIsGood,PaymentNumber,""), "")</f>
        <v>58</v>
      </c>
      <c r="C74" s="205">
        <f>IFERROR(IF(LoanIsNotPaid*LoanIsGood,PaymentDate,LoanStartDate), LoanStartDate)</f>
        <v>47423</v>
      </c>
      <c r="D74" s="206">
        <f>IFERROR(IF(LoanIsNotPaid*LoanIsGood,LoanValue,""), "")</f>
        <v>897008.97741118865</v>
      </c>
      <c r="E74" s="206">
        <f>IFERROR(IF(LoanIsNotPaid*LoanIsGood,MonthlyPayment,0), 0)</f>
        <v>5691.1875192575681</v>
      </c>
      <c r="F74" s="206">
        <f>IFERROR(IF(LoanIsNotPaid*LoanIsGood,Principal,0), 0)</f>
        <v>4196.1725569055707</v>
      </c>
      <c r="G74" s="206">
        <f>SUM($F$17:F74)</f>
        <v>232187.19514570729</v>
      </c>
      <c r="H74" s="206">
        <f>IFERROR(IF(LoanIsNotPaid*LoanIsGood,InterestAmt,0), 0)</f>
        <v>1495.0149623519974</v>
      </c>
      <c r="I74" s="206">
        <f>SUM($H$17:H74)</f>
        <v>97901.680971231719</v>
      </c>
      <c r="J74" s="206">
        <f>IFERROR(IF(LoanIsNotPaid*LoanIsGood,EndingBalance,0), 0)</f>
        <v>892812.80485428311</v>
      </c>
      <c r="K74" s="178"/>
    </row>
    <row r="75" spans="1:11" ht="20.25" customHeight="1" x14ac:dyDescent="0.15">
      <c r="A75" s="178"/>
      <c r="B75" s="204">
        <f>IFERROR(IF(LoanIsNotPaid*LoanIsGood,PaymentNumber,""), "")</f>
        <v>59</v>
      </c>
      <c r="C75" s="205">
        <f>IFERROR(IF(LoanIsNotPaid*LoanIsGood,PaymentDate,LoanStartDate), LoanStartDate)</f>
        <v>47453</v>
      </c>
      <c r="D75" s="206">
        <f>IFERROR(IF(LoanIsNotPaid*LoanIsGood,LoanValue,""), "")</f>
        <v>892812.80485428311</v>
      </c>
      <c r="E75" s="206">
        <f>IFERROR(IF(LoanIsNotPaid*LoanIsGood,MonthlyPayment,0), 0)</f>
        <v>5691.1875192575681</v>
      </c>
      <c r="F75" s="206">
        <f>IFERROR(IF(LoanIsNotPaid*LoanIsGood,Principal,0), 0)</f>
        <v>4203.1661778337466</v>
      </c>
      <c r="G75" s="206">
        <f>SUM($F$17:F75)</f>
        <v>236390.36132354103</v>
      </c>
      <c r="H75" s="206">
        <f>IFERROR(IF(LoanIsNotPaid*LoanIsGood,InterestAmt,0), 0)</f>
        <v>1488.0213414238215</v>
      </c>
      <c r="I75" s="206">
        <f>SUM($H$17:H75)</f>
        <v>99389.702312655543</v>
      </c>
      <c r="J75" s="206">
        <f>IFERROR(IF(LoanIsNotPaid*LoanIsGood,EndingBalance,0), 0)</f>
        <v>888609.63867644896</v>
      </c>
      <c r="K75" s="178"/>
    </row>
    <row r="76" spans="1:11" ht="20.25" customHeight="1" x14ac:dyDescent="0.15">
      <c r="A76" s="178"/>
      <c r="B76" s="204">
        <f>IFERROR(IF(LoanIsNotPaid*LoanIsGood,PaymentNumber,""), "")</f>
        <v>60</v>
      </c>
      <c r="C76" s="205">
        <f>IFERROR(IF(LoanIsNotPaid*LoanIsGood,PaymentDate,LoanStartDate), LoanStartDate)</f>
        <v>47484</v>
      </c>
      <c r="D76" s="206">
        <f>IFERROR(IF(LoanIsNotPaid*LoanIsGood,LoanValue,""), "")</f>
        <v>888609.63867644896</v>
      </c>
      <c r="E76" s="206">
        <f>IFERROR(IF(LoanIsNotPaid*LoanIsGood,MonthlyPayment,0), 0)</f>
        <v>5691.1875192575681</v>
      </c>
      <c r="F76" s="206">
        <f>IFERROR(IF(LoanIsNotPaid*LoanIsGood,Principal,0), 0)</f>
        <v>4210.1714547968031</v>
      </c>
      <c r="G76" s="206">
        <f>SUM($F$17:F76)</f>
        <v>240600.53277833783</v>
      </c>
      <c r="H76" s="206">
        <f>IFERROR(IF(LoanIsNotPaid*LoanIsGood,InterestAmt,0), 0)</f>
        <v>1481.0160644607654</v>
      </c>
      <c r="I76" s="206">
        <f>SUM($H$17:H76)</f>
        <v>100870.71837711631</v>
      </c>
      <c r="J76" s="206">
        <f>IFERROR(IF(LoanIsNotPaid*LoanIsGood,EndingBalance,0), 0)</f>
        <v>884399.46722165239</v>
      </c>
      <c r="K76" s="178"/>
    </row>
    <row r="77" spans="1:11" ht="20.25" customHeight="1" x14ac:dyDescent="0.15">
      <c r="A77" s="178"/>
      <c r="B77" s="204">
        <f>IFERROR(IF(LoanIsNotPaid*LoanIsGood,PaymentNumber,""), "")</f>
        <v>61</v>
      </c>
      <c r="C77" s="205">
        <f>IFERROR(IF(LoanIsNotPaid*LoanIsGood,PaymentDate,LoanStartDate), LoanStartDate)</f>
        <v>47515</v>
      </c>
      <c r="D77" s="206">
        <f>IFERROR(IF(LoanIsNotPaid*LoanIsGood,LoanValue,""), "")</f>
        <v>884399.46722165239</v>
      </c>
      <c r="E77" s="206">
        <f>IFERROR(IF(LoanIsNotPaid*LoanIsGood,MonthlyPayment,0), 0)</f>
        <v>5691.1875192575681</v>
      </c>
      <c r="F77" s="206">
        <f>IFERROR(IF(LoanIsNotPaid*LoanIsGood,Principal,0), 0)</f>
        <v>4217.1884072214643</v>
      </c>
      <c r="G77" s="206">
        <f>SUM($F$17:F77)</f>
        <v>244817.72118555929</v>
      </c>
      <c r="H77" s="206">
        <f>IFERROR(IF(LoanIsNotPaid*LoanIsGood,InterestAmt,0), 0)</f>
        <v>1473.999112036104</v>
      </c>
      <c r="I77" s="206">
        <f>SUM($H$17:H77)</f>
        <v>102344.71748915242</v>
      </c>
      <c r="J77" s="206">
        <f>IFERROR(IF(LoanIsNotPaid*LoanIsGood,EndingBalance,0), 0)</f>
        <v>880182.27881443023</v>
      </c>
      <c r="K77" s="178"/>
    </row>
    <row r="78" spans="1:11" ht="20.25" customHeight="1" x14ac:dyDescent="0.15">
      <c r="A78" s="178"/>
      <c r="B78" s="204">
        <f>IFERROR(IF(LoanIsNotPaid*LoanIsGood,PaymentNumber,""), "")</f>
        <v>62</v>
      </c>
      <c r="C78" s="205">
        <f>IFERROR(IF(LoanIsNotPaid*LoanIsGood,PaymentDate,LoanStartDate), LoanStartDate)</f>
        <v>47543</v>
      </c>
      <c r="D78" s="206">
        <f>IFERROR(IF(LoanIsNotPaid*LoanIsGood,LoanValue,""), "")</f>
        <v>880182.27881443023</v>
      </c>
      <c r="E78" s="206">
        <f>IFERROR(IF(LoanIsNotPaid*LoanIsGood,MonthlyPayment,0), 0)</f>
        <v>5691.1875192575681</v>
      </c>
      <c r="F78" s="206">
        <f>IFERROR(IF(LoanIsNotPaid*LoanIsGood,Principal,0), 0)</f>
        <v>4224.2170545668332</v>
      </c>
      <c r="G78" s="206">
        <f>SUM($F$17:F78)</f>
        <v>249041.93824012612</v>
      </c>
      <c r="H78" s="206">
        <f>IFERROR(IF(LoanIsNotPaid*LoanIsGood,InterestAmt,0), 0)</f>
        <v>1466.9704646907348</v>
      </c>
      <c r="I78" s="206">
        <f>SUM($H$17:H78)</f>
        <v>103811.68795384315</v>
      </c>
      <c r="J78" s="206">
        <f>IFERROR(IF(LoanIsNotPaid*LoanIsGood,EndingBalance,0), 0)</f>
        <v>875958.06175986351</v>
      </c>
      <c r="K78" s="178"/>
    </row>
    <row r="79" spans="1:11" ht="20.25" customHeight="1" x14ac:dyDescent="0.15">
      <c r="A79" s="178"/>
      <c r="B79" s="204">
        <f>IFERROR(IF(LoanIsNotPaid*LoanIsGood,PaymentNumber,""), "")</f>
        <v>63</v>
      </c>
      <c r="C79" s="205">
        <f>IFERROR(IF(LoanIsNotPaid*LoanIsGood,PaymentDate,LoanStartDate), LoanStartDate)</f>
        <v>47574</v>
      </c>
      <c r="D79" s="206">
        <f>IFERROR(IF(LoanIsNotPaid*LoanIsGood,LoanValue,""), "")</f>
        <v>875958.06175986351</v>
      </c>
      <c r="E79" s="206">
        <f>IFERROR(IF(LoanIsNotPaid*LoanIsGood,MonthlyPayment,0), 0)</f>
        <v>5691.1875192575681</v>
      </c>
      <c r="F79" s="206">
        <f>IFERROR(IF(LoanIsNotPaid*LoanIsGood,Principal,0), 0)</f>
        <v>4231.2574163244453</v>
      </c>
      <c r="G79" s="206">
        <f>SUM($F$17:F79)</f>
        <v>253273.19565645058</v>
      </c>
      <c r="H79" s="206">
        <f>IFERROR(IF(LoanIsNotPaid*LoanIsGood,InterestAmt,0), 0)</f>
        <v>1459.9301029331232</v>
      </c>
      <c r="I79" s="206">
        <f>SUM($H$17:H79)</f>
        <v>105271.61805677628</v>
      </c>
      <c r="J79" s="206">
        <f>IFERROR(IF(LoanIsNotPaid*LoanIsGood,EndingBalance,0), 0)</f>
        <v>871726.80434353836</v>
      </c>
      <c r="K79" s="178"/>
    </row>
    <row r="80" spans="1:11" ht="20.25" customHeight="1" x14ac:dyDescent="0.15">
      <c r="A80" s="178"/>
      <c r="B80" s="204">
        <f>IFERROR(IF(LoanIsNotPaid*LoanIsGood,PaymentNumber,""), "")</f>
        <v>64</v>
      </c>
      <c r="C80" s="205">
        <f>IFERROR(IF(LoanIsNotPaid*LoanIsGood,PaymentDate,LoanStartDate), LoanStartDate)</f>
        <v>47604</v>
      </c>
      <c r="D80" s="206">
        <f>IFERROR(IF(LoanIsNotPaid*LoanIsGood,LoanValue,""), "")</f>
        <v>871726.80434353836</v>
      </c>
      <c r="E80" s="206">
        <f>IFERROR(IF(LoanIsNotPaid*LoanIsGood,MonthlyPayment,0), 0)</f>
        <v>5691.1875192575681</v>
      </c>
      <c r="F80" s="206">
        <f>IFERROR(IF(LoanIsNotPaid*LoanIsGood,Principal,0), 0)</f>
        <v>4238.3095120183189</v>
      </c>
      <c r="G80" s="206">
        <f>SUM($F$17:F80)</f>
        <v>257511.5051684689</v>
      </c>
      <c r="H80" s="206">
        <f>IFERROR(IF(LoanIsNotPaid*LoanIsGood,InterestAmt,0), 0)</f>
        <v>1452.8780072392494</v>
      </c>
      <c r="I80" s="206">
        <f>SUM($H$17:H80)</f>
        <v>106724.49606401553</v>
      </c>
      <c r="J80" s="206">
        <f>IFERROR(IF(LoanIsNotPaid*LoanIsGood,EndingBalance,0), 0)</f>
        <v>867488.49483152002</v>
      </c>
      <c r="K80" s="178"/>
    </row>
    <row r="81" spans="1:11" ht="20.25" customHeight="1" x14ac:dyDescent="0.15">
      <c r="A81" s="178"/>
      <c r="B81" s="204">
        <f>IFERROR(IF(LoanIsNotPaid*LoanIsGood,PaymentNumber,""), "")</f>
        <v>65</v>
      </c>
      <c r="C81" s="205">
        <f>IFERROR(IF(LoanIsNotPaid*LoanIsGood,PaymentDate,LoanStartDate), LoanStartDate)</f>
        <v>47635</v>
      </c>
      <c r="D81" s="206">
        <f>IFERROR(IF(LoanIsNotPaid*LoanIsGood,LoanValue,""), "")</f>
        <v>867488.49483152002</v>
      </c>
      <c r="E81" s="206">
        <f>IFERROR(IF(LoanIsNotPaid*LoanIsGood,MonthlyPayment,0), 0)</f>
        <v>5691.1875192575681</v>
      </c>
      <c r="F81" s="206">
        <f>IFERROR(IF(LoanIsNotPaid*LoanIsGood,Principal,0), 0)</f>
        <v>4245.3733612050155</v>
      </c>
      <c r="G81" s="206">
        <f>SUM($F$17:F81)</f>
        <v>261756.87852967391</v>
      </c>
      <c r="H81" s="206">
        <f>IFERROR(IF(LoanIsNotPaid*LoanIsGood,InterestAmt,0), 0)</f>
        <v>1445.8141580525521</v>
      </c>
      <c r="I81" s="206">
        <f>SUM($H$17:H81)</f>
        <v>108170.31022206809</v>
      </c>
      <c r="J81" s="206">
        <f>IFERROR(IF(LoanIsNotPaid*LoanIsGood,EndingBalance,0), 0)</f>
        <v>863243.12147031468</v>
      </c>
      <c r="K81" s="178"/>
    </row>
    <row r="82" spans="1:11" ht="20.25" customHeight="1" x14ac:dyDescent="0.15">
      <c r="A82" s="178"/>
      <c r="B82" s="204">
        <f>IFERROR(IF(LoanIsNotPaid*LoanIsGood,PaymentNumber,""), "")</f>
        <v>66</v>
      </c>
      <c r="C82" s="205">
        <f>IFERROR(IF(LoanIsNotPaid*LoanIsGood,PaymentDate,LoanStartDate), LoanStartDate)</f>
        <v>47665</v>
      </c>
      <c r="D82" s="206">
        <f>IFERROR(IF(LoanIsNotPaid*LoanIsGood,LoanValue,""), "")</f>
        <v>863243.12147031468</v>
      </c>
      <c r="E82" s="206">
        <f>IFERROR(IF(LoanIsNotPaid*LoanIsGood,MonthlyPayment,0), 0)</f>
        <v>5691.1875192575681</v>
      </c>
      <c r="F82" s="206">
        <f>IFERROR(IF(LoanIsNotPaid*LoanIsGood,Principal,0), 0)</f>
        <v>4252.4489834736914</v>
      </c>
      <c r="G82" s="206">
        <f>SUM($F$17:F82)</f>
        <v>266009.32751314761</v>
      </c>
      <c r="H82" s="206">
        <f>IFERROR(IF(LoanIsNotPaid*LoanIsGood,InterestAmt,0), 0)</f>
        <v>1438.7385357838771</v>
      </c>
      <c r="I82" s="206">
        <f>SUM($H$17:H82)</f>
        <v>109609.04875785197</v>
      </c>
      <c r="J82" s="206">
        <f>IFERROR(IF(LoanIsNotPaid*LoanIsGood,EndingBalance,0), 0)</f>
        <v>858990.67248684121</v>
      </c>
      <c r="K82" s="178"/>
    </row>
    <row r="83" spans="1:11" ht="20.25" customHeight="1" x14ac:dyDescent="0.15">
      <c r="A83" s="178"/>
      <c r="B83" s="204">
        <f>IFERROR(IF(LoanIsNotPaid*LoanIsGood,PaymentNumber,""), "")</f>
        <v>67</v>
      </c>
      <c r="C83" s="205">
        <f>IFERROR(IF(LoanIsNotPaid*LoanIsGood,PaymentDate,LoanStartDate), LoanStartDate)</f>
        <v>47696</v>
      </c>
      <c r="D83" s="206">
        <f>IFERROR(IF(LoanIsNotPaid*LoanIsGood,LoanValue,""), "")</f>
        <v>858990.67248684121</v>
      </c>
      <c r="E83" s="206">
        <f>IFERROR(IF(LoanIsNotPaid*LoanIsGood,MonthlyPayment,0), 0)</f>
        <v>5691.1875192575681</v>
      </c>
      <c r="F83" s="206">
        <f>IFERROR(IF(LoanIsNotPaid*LoanIsGood,Principal,0), 0)</f>
        <v>4259.5363984461474</v>
      </c>
      <c r="G83" s="206">
        <f>SUM($F$17:F83)</f>
        <v>270268.86391159374</v>
      </c>
      <c r="H83" s="206">
        <f>IFERROR(IF(LoanIsNotPaid*LoanIsGood,InterestAmt,0), 0)</f>
        <v>1431.6511208114207</v>
      </c>
      <c r="I83" s="206">
        <f>SUM($H$17:H83)</f>
        <v>111040.69987866339</v>
      </c>
      <c r="J83" s="206">
        <f>IFERROR(IF(LoanIsNotPaid*LoanIsGood,EndingBalance,0), 0)</f>
        <v>854731.13608839468</v>
      </c>
      <c r="K83" s="178"/>
    </row>
    <row r="84" spans="1:11" ht="20.25" customHeight="1" x14ac:dyDescent="0.15">
      <c r="A84" s="178"/>
      <c r="B84" s="204">
        <f>IFERROR(IF(LoanIsNotPaid*LoanIsGood,PaymentNumber,""), "")</f>
        <v>68</v>
      </c>
      <c r="C84" s="205">
        <f>IFERROR(IF(LoanIsNotPaid*LoanIsGood,PaymentDate,LoanStartDate), LoanStartDate)</f>
        <v>47727</v>
      </c>
      <c r="D84" s="206">
        <f>IFERROR(IF(LoanIsNotPaid*LoanIsGood,LoanValue,""), "")</f>
        <v>854731.13608839468</v>
      </c>
      <c r="E84" s="206">
        <f>IFERROR(IF(LoanIsNotPaid*LoanIsGood,MonthlyPayment,0), 0)</f>
        <v>5691.1875192575681</v>
      </c>
      <c r="F84" s="206">
        <f>IFERROR(IF(LoanIsNotPaid*LoanIsGood,Principal,0), 0)</f>
        <v>4266.6356257768912</v>
      </c>
      <c r="G84" s="206">
        <f>SUM($F$17:F84)</f>
        <v>274535.49953737063</v>
      </c>
      <c r="H84" s="206">
        <f>IFERROR(IF(LoanIsNotPaid*LoanIsGood,InterestAmt,0), 0)</f>
        <v>1424.5518934806776</v>
      </c>
      <c r="I84" s="206">
        <f>SUM($H$17:H84)</f>
        <v>112465.25177214407</v>
      </c>
      <c r="J84" s="206">
        <f>IFERROR(IF(LoanIsNotPaid*LoanIsGood,EndingBalance,0), 0)</f>
        <v>850464.50046261773</v>
      </c>
      <c r="K84" s="178"/>
    </row>
    <row r="85" spans="1:11" ht="20.25" customHeight="1" x14ac:dyDescent="0.15">
      <c r="A85" s="178"/>
      <c r="B85" s="204">
        <f>IFERROR(IF(LoanIsNotPaid*LoanIsGood,PaymentNumber,""), "")</f>
        <v>69</v>
      </c>
      <c r="C85" s="205">
        <f>IFERROR(IF(LoanIsNotPaid*LoanIsGood,PaymentDate,LoanStartDate), LoanStartDate)</f>
        <v>47757</v>
      </c>
      <c r="D85" s="206">
        <f>IFERROR(IF(LoanIsNotPaid*LoanIsGood,LoanValue,""), "")</f>
        <v>850464.50046261773</v>
      </c>
      <c r="E85" s="206">
        <f>IFERROR(IF(LoanIsNotPaid*LoanIsGood,MonthlyPayment,0), 0)</f>
        <v>5691.1875192575681</v>
      </c>
      <c r="F85" s="206">
        <f>IFERROR(IF(LoanIsNotPaid*LoanIsGood,Principal,0), 0)</f>
        <v>4273.7466851531844</v>
      </c>
      <c r="G85" s="206">
        <f>SUM($F$17:F85)</f>
        <v>278809.2462225238</v>
      </c>
      <c r="H85" s="206">
        <f>IFERROR(IF(LoanIsNotPaid*LoanIsGood,InterestAmt,0), 0)</f>
        <v>1417.4408341043829</v>
      </c>
      <c r="I85" s="206">
        <f>SUM($H$17:H85)</f>
        <v>113882.69260624846</v>
      </c>
      <c r="J85" s="206">
        <f>IFERROR(IF(LoanIsNotPaid*LoanIsGood,EndingBalance,0), 0)</f>
        <v>846190.75377746462</v>
      </c>
      <c r="K85" s="178"/>
    </row>
    <row r="86" spans="1:11" ht="20.25" customHeight="1" x14ac:dyDescent="0.15">
      <c r="A86" s="178"/>
      <c r="B86" s="204">
        <f>IFERROR(IF(LoanIsNotPaid*LoanIsGood,PaymentNumber,""), "")</f>
        <v>70</v>
      </c>
      <c r="C86" s="205">
        <f>IFERROR(IF(LoanIsNotPaid*LoanIsGood,PaymentDate,LoanStartDate), LoanStartDate)</f>
        <v>47788</v>
      </c>
      <c r="D86" s="206">
        <f>IFERROR(IF(LoanIsNotPaid*LoanIsGood,LoanValue,""), "")</f>
        <v>846190.75377746462</v>
      </c>
      <c r="E86" s="206">
        <f>IFERROR(IF(LoanIsNotPaid*LoanIsGood,MonthlyPayment,0), 0)</f>
        <v>5691.1875192575681</v>
      </c>
      <c r="F86" s="206">
        <f>IFERROR(IF(LoanIsNotPaid*LoanIsGood,Principal,0), 0)</f>
        <v>4280.8695962951069</v>
      </c>
      <c r="G86" s="206">
        <f>SUM($F$17:F86)</f>
        <v>283090.11581881891</v>
      </c>
      <c r="H86" s="206">
        <f>IFERROR(IF(LoanIsNotPaid*LoanIsGood,InterestAmt,0), 0)</f>
        <v>1410.3179229624604</v>
      </c>
      <c r="I86" s="206">
        <f>SUM($H$17:H86)</f>
        <v>115293.01052921092</v>
      </c>
      <c r="J86" s="206">
        <f>IFERROR(IF(LoanIsNotPaid*LoanIsGood,EndingBalance,0), 0)</f>
        <v>841909.88418116933</v>
      </c>
      <c r="K86" s="178"/>
    </row>
    <row r="87" spans="1:11" ht="20.25" customHeight="1" x14ac:dyDescent="0.15">
      <c r="A87" s="178"/>
      <c r="B87" s="204">
        <f>IFERROR(IF(LoanIsNotPaid*LoanIsGood,PaymentNumber,""), "")</f>
        <v>71</v>
      </c>
      <c r="C87" s="205">
        <f>IFERROR(IF(LoanIsNotPaid*LoanIsGood,PaymentDate,LoanStartDate), LoanStartDate)</f>
        <v>47818</v>
      </c>
      <c r="D87" s="206">
        <f>IFERROR(IF(LoanIsNotPaid*LoanIsGood,LoanValue,""), "")</f>
        <v>841909.88418116933</v>
      </c>
      <c r="E87" s="206">
        <f>IFERROR(IF(LoanIsNotPaid*LoanIsGood,MonthlyPayment,0), 0)</f>
        <v>5691.1875192575681</v>
      </c>
      <c r="F87" s="206">
        <f>IFERROR(IF(LoanIsNotPaid*LoanIsGood,Principal,0), 0)</f>
        <v>4288.0043789555993</v>
      </c>
      <c r="G87" s="206">
        <f>SUM($F$17:F87)</f>
        <v>287378.12019777449</v>
      </c>
      <c r="H87" s="206">
        <f>IFERROR(IF(LoanIsNotPaid*LoanIsGood,InterestAmt,0), 0)</f>
        <v>1403.1831403019689</v>
      </c>
      <c r="I87" s="206">
        <f>SUM($H$17:H87)</f>
        <v>116696.1936695129</v>
      </c>
      <c r="J87" s="206">
        <f>IFERROR(IF(LoanIsNotPaid*LoanIsGood,EndingBalance,0), 0)</f>
        <v>837621.87980221363</v>
      </c>
      <c r="K87" s="178"/>
    </row>
    <row r="88" spans="1:11" ht="20.25" customHeight="1" x14ac:dyDescent="0.15">
      <c r="A88" s="178"/>
      <c r="B88" s="204">
        <f>IFERROR(IF(LoanIsNotPaid*LoanIsGood,PaymentNumber,""), "")</f>
        <v>72</v>
      </c>
      <c r="C88" s="205">
        <f>IFERROR(IF(LoanIsNotPaid*LoanIsGood,PaymentDate,LoanStartDate), LoanStartDate)</f>
        <v>47849</v>
      </c>
      <c r="D88" s="206">
        <f>IFERROR(IF(LoanIsNotPaid*LoanIsGood,LoanValue,""), "")</f>
        <v>837621.87980221363</v>
      </c>
      <c r="E88" s="206">
        <f>IFERROR(IF(LoanIsNotPaid*LoanIsGood,MonthlyPayment,0), 0)</f>
        <v>5691.1875192575681</v>
      </c>
      <c r="F88" s="206">
        <f>IFERROR(IF(LoanIsNotPaid*LoanIsGood,Principal,0), 0)</f>
        <v>4295.1510529205252</v>
      </c>
      <c r="G88" s="206">
        <f>SUM($F$17:F88)</f>
        <v>291673.27125069499</v>
      </c>
      <c r="H88" s="206">
        <f>IFERROR(IF(LoanIsNotPaid*LoanIsGood,InterestAmt,0), 0)</f>
        <v>1396.0364663370426</v>
      </c>
      <c r="I88" s="206">
        <f>SUM($H$17:H88)</f>
        <v>118092.23013584994</v>
      </c>
      <c r="J88" s="206">
        <f>IFERROR(IF(LoanIsNotPaid*LoanIsGood,EndingBalance,0), 0)</f>
        <v>833326.72874929244</v>
      </c>
      <c r="K88" s="178"/>
    </row>
    <row r="89" spans="1:11" ht="20.25" customHeight="1" x14ac:dyDescent="0.15">
      <c r="A89" s="178"/>
      <c r="B89" s="204">
        <f>IFERROR(IF(LoanIsNotPaid*LoanIsGood,PaymentNumber,""), "")</f>
        <v>73</v>
      </c>
      <c r="C89" s="205">
        <f>IFERROR(IF(LoanIsNotPaid*LoanIsGood,PaymentDate,LoanStartDate), LoanStartDate)</f>
        <v>47880</v>
      </c>
      <c r="D89" s="206">
        <f>IFERROR(IF(LoanIsNotPaid*LoanIsGood,LoanValue,""), "")</f>
        <v>833326.72874929244</v>
      </c>
      <c r="E89" s="206">
        <f>IFERROR(IF(LoanIsNotPaid*LoanIsGood,MonthlyPayment,0), 0)</f>
        <v>5691.1875192575681</v>
      </c>
      <c r="F89" s="206">
        <f>IFERROR(IF(LoanIsNotPaid*LoanIsGood,Principal,0), 0)</f>
        <v>4302.3096380087263</v>
      </c>
      <c r="G89" s="206">
        <f>SUM($F$17:F89)</f>
        <v>295975.5808887037</v>
      </c>
      <c r="H89" s="206">
        <f>IFERROR(IF(LoanIsNotPaid*LoanIsGood,InterestAmt,0), 0)</f>
        <v>1388.877881248842</v>
      </c>
      <c r="I89" s="206">
        <f>SUM($H$17:H89)</f>
        <v>119481.10801709878</v>
      </c>
      <c r="J89" s="206">
        <f>IFERROR(IF(LoanIsNotPaid*LoanIsGood,EndingBalance,0), 0)</f>
        <v>829024.41911128373</v>
      </c>
      <c r="K89" s="178"/>
    </row>
    <row r="90" spans="1:11" ht="20.25" customHeight="1" x14ac:dyDescent="0.15">
      <c r="A90" s="178"/>
      <c r="B90" s="204">
        <f>IFERROR(IF(LoanIsNotPaid*LoanIsGood,PaymentNumber,""), "")</f>
        <v>74</v>
      </c>
      <c r="C90" s="205">
        <f>IFERROR(IF(LoanIsNotPaid*LoanIsGood,PaymentDate,LoanStartDate), LoanStartDate)</f>
        <v>47908</v>
      </c>
      <c r="D90" s="206">
        <f>IFERROR(IF(LoanIsNotPaid*LoanIsGood,LoanValue,""), "")</f>
        <v>829024.41911128373</v>
      </c>
      <c r="E90" s="206">
        <f>IFERROR(IF(LoanIsNotPaid*LoanIsGood,MonthlyPayment,0), 0)</f>
        <v>5691.1875192575681</v>
      </c>
      <c r="F90" s="206">
        <f>IFERROR(IF(LoanIsNotPaid*LoanIsGood,Principal,0), 0)</f>
        <v>4309.4801540720737</v>
      </c>
      <c r="G90" s="206">
        <f>SUM($F$17:F90)</f>
        <v>300285.06104277575</v>
      </c>
      <c r="H90" s="206">
        <f>IFERROR(IF(LoanIsNotPaid*LoanIsGood,InterestAmt,0), 0)</f>
        <v>1381.7073651854937</v>
      </c>
      <c r="I90" s="206">
        <f>SUM($H$17:H90)</f>
        <v>120862.81538228427</v>
      </c>
      <c r="J90" s="206">
        <f>IFERROR(IF(LoanIsNotPaid*LoanIsGood,EndingBalance,0), 0)</f>
        <v>824714.93895721156</v>
      </c>
      <c r="K90" s="178"/>
    </row>
    <row r="91" spans="1:11" ht="20.25" customHeight="1" x14ac:dyDescent="0.15">
      <c r="A91" s="178"/>
      <c r="B91" s="204">
        <f>IFERROR(IF(LoanIsNotPaid*LoanIsGood,PaymentNumber,""), "")</f>
        <v>75</v>
      </c>
      <c r="C91" s="205">
        <f>IFERROR(IF(LoanIsNotPaid*LoanIsGood,PaymentDate,LoanStartDate), LoanStartDate)</f>
        <v>47939</v>
      </c>
      <c r="D91" s="206">
        <f>IFERROR(IF(LoanIsNotPaid*LoanIsGood,LoanValue,""), "")</f>
        <v>824714.93895721156</v>
      </c>
      <c r="E91" s="206">
        <f>IFERROR(IF(LoanIsNotPaid*LoanIsGood,MonthlyPayment,0), 0)</f>
        <v>5691.1875192575681</v>
      </c>
      <c r="F91" s="206">
        <f>IFERROR(IF(LoanIsNotPaid*LoanIsGood,Principal,0), 0)</f>
        <v>4316.6626209955275</v>
      </c>
      <c r="G91" s="206">
        <f>SUM($F$17:F91)</f>
        <v>304601.72366377129</v>
      </c>
      <c r="H91" s="206">
        <f>IFERROR(IF(LoanIsNotPaid*LoanIsGood,InterestAmt,0), 0)</f>
        <v>1374.5248982620408</v>
      </c>
      <c r="I91" s="206">
        <f>SUM($H$17:H91)</f>
        <v>122237.34028054631</v>
      </c>
      <c r="J91" s="206">
        <f>IFERROR(IF(LoanIsNotPaid*LoanIsGood,EndingBalance,0), 0)</f>
        <v>820398.27633621567</v>
      </c>
      <c r="K91" s="178"/>
    </row>
    <row r="92" spans="1:11" ht="20.25" customHeight="1" x14ac:dyDescent="0.15">
      <c r="A92" s="178"/>
      <c r="B92" s="204">
        <f>IFERROR(IF(LoanIsNotPaid*LoanIsGood,PaymentNumber,""), "")</f>
        <v>76</v>
      </c>
      <c r="C92" s="205">
        <f>IFERROR(IF(LoanIsNotPaid*LoanIsGood,PaymentDate,LoanStartDate), LoanStartDate)</f>
        <v>47969</v>
      </c>
      <c r="D92" s="206">
        <f>IFERROR(IF(LoanIsNotPaid*LoanIsGood,LoanValue,""), "")</f>
        <v>820398.27633621567</v>
      </c>
      <c r="E92" s="206">
        <f>IFERROR(IF(LoanIsNotPaid*LoanIsGood,MonthlyPayment,0), 0)</f>
        <v>5691.1875192575681</v>
      </c>
      <c r="F92" s="206">
        <f>IFERROR(IF(LoanIsNotPaid*LoanIsGood,Principal,0), 0)</f>
        <v>4323.8570586971864</v>
      </c>
      <c r="G92" s="206">
        <f>SUM($F$17:F92)</f>
        <v>308925.5807224685</v>
      </c>
      <c r="H92" s="206">
        <f>IFERROR(IF(LoanIsNotPaid*LoanIsGood,InterestAmt,0), 0)</f>
        <v>1367.3304605603814</v>
      </c>
      <c r="I92" s="206">
        <f>SUM($H$17:H92)</f>
        <v>123604.67074110669</v>
      </c>
      <c r="J92" s="206">
        <f>IFERROR(IF(LoanIsNotPaid*LoanIsGood,EndingBalance,0), 0)</f>
        <v>816074.41927751841</v>
      </c>
      <c r="K92" s="178"/>
    </row>
    <row r="93" spans="1:11" ht="20.25" customHeight="1" x14ac:dyDescent="0.15">
      <c r="A93" s="178"/>
      <c r="B93" s="204">
        <f>IFERROR(IF(LoanIsNotPaid*LoanIsGood,PaymentNumber,""), "")</f>
        <v>77</v>
      </c>
      <c r="C93" s="205">
        <f>IFERROR(IF(LoanIsNotPaid*LoanIsGood,PaymentDate,LoanStartDate), LoanStartDate)</f>
        <v>48000</v>
      </c>
      <c r="D93" s="206">
        <f>IFERROR(IF(LoanIsNotPaid*LoanIsGood,LoanValue,""), "")</f>
        <v>816074.41927751841</v>
      </c>
      <c r="E93" s="206">
        <f>IFERROR(IF(LoanIsNotPaid*LoanIsGood,MonthlyPayment,0), 0)</f>
        <v>5691.1875192575681</v>
      </c>
      <c r="F93" s="206">
        <f>IFERROR(IF(LoanIsNotPaid*LoanIsGood,Principal,0), 0)</f>
        <v>4331.0634871283482</v>
      </c>
      <c r="G93" s="206">
        <f>SUM($F$17:F93)</f>
        <v>313256.64420959685</v>
      </c>
      <c r="H93" s="206">
        <f>IFERROR(IF(LoanIsNotPaid*LoanIsGood,InterestAmt,0), 0)</f>
        <v>1360.1240321292191</v>
      </c>
      <c r="I93" s="206">
        <f>SUM($H$17:H93)</f>
        <v>124964.7947732359</v>
      </c>
      <c r="J93" s="206">
        <f>IFERROR(IF(LoanIsNotPaid*LoanIsGood,EndingBalance,0), 0)</f>
        <v>811743.3557903897</v>
      </c>
      <c r="K93" s="178"/>
    </row>
    <row r="94" spans="1:11" ht="20.25" customHeight="1" x14ac:dyDescent="0.15">
      <c r="A94" s="178"/>
      <c r="B94" s="204">
        <f>IFERROR(IF(LoanIsNotPaid*LoanIsGood,PaymentNumber,""), "")</f>
        <v>78</v>
      </c>
      <c r="C94" s="205">
        <f>IFERROR(IF(LoanIsNotPaid*LoanIsGood,PaymentDate,LoanStartDate), LoanStartDate)</f>
        <v>48030</v>
      </c>
      <c r="D94" s="206">
        <f>IFERROR(IF(LoanIsNotPaid*LoanIsGood,LoanValue,""), "")</f>
        <v>811743.3557903897</v>
      </c>
      <c r="E94" s="206">
        <f>IFERROR(IF(LoanIsNotPaid*LoanIsGood,MonthlyPayment,0), 0)</f>
        <v>5691.1875192575681</v>
      </c>
      <c r="F94" s="206">
        <f>IFERROR(IF(LoanIsNotPaid*LoanIsGood,Principal,0), 0)</f>
        <v>4338.2819262735629</v>
      </c>
      <c r="G94" s="206">
        <f>SUM($F$17:F94)</f>
        <v>317594.9261358704</v>
      </c>
      <c r="H94" s="206">
        <f>IFERROR(IF(LoanIsNotPaid*LoanIsGood,InterestAmt,0), 0)</f>
        <v>1352.9055929840054</v>
      </c>
      <c r="I94" s="206">
        <f>SUM($H$17:H94)</f>
        <v>126317.70036621991</v>
      </c>
      <c r="J94" s="206">
        <f>IFERROR(IF(LoanIsNotPaid*LoanIsGood,EndingBalance,0), 0)</f>
        <v>807405.07386411587</v>
      </c>
      <c r="K94" s="178"/>
    </row>
    <row r="95" spans="1:11" ht="20.25" customHeight="1" x14ac:dyDescent="0.15">
      <c r="A95" s="178"/>
      <c r="B95" s="204">
        <f>IFERROR(IF(LoanIsNotPaid*LoanIsGood,PaymentNumber,""), "")</f>
        <v>79</v>
      </c>
      <c r="C95" s="205">
        <f>IFERROR(IF(LoanIsNotPaid*LoanIsGood,PaymentDate,LoanStartDate), LoanStartDate)</f>
        <v>48061</v>
      </c>
      <c r="D95" s="206">
        <f>IFERROR(IF(LoanIsNotPaid*LoanIsGood,LoanValue,""), "")</f>
        <v>807405.07386411587</v>
      </c>
      <c r="E95" s="206">
        <f>IFERROR(IF(LoanIsNotPaid*LoanIsGood,MonthlyPayment,0), 0)</f>
        <v>5691.1875192575681</v>
      </c>
      <c r="F95" s="206">
        <f>IFERROR(IF(LoanIsNotPaid*LoanIsGood,Principal,0), 0)</f>
        <v>4345.5123961506861</v>
      </c>
      <c r="G95" s="206">
        <f>SUM($F$17:F95)</f>
        <v>321940.43853202107</v>
      </c>
      <c r="H95" s="206">
        <f>IFERROR(IF(LoanIsNotPaid*LoanIsGood,InterestAmt,0), 0)</f>
        <v>1345.6751231068827</v>
      </c>
      <c r="I95" s="206">
        <f>SUM($H$17:H95)</f>
        <v>127663.37548932679</v>
      </c>
      <c r="J95" s="206">
        <f>IFERROR(IF(LoanIsNotPaid*LoanIsGood,EndingBalance,0), 0)</f>
        <v>803059.56146796537</v>
      </c>
      <c r="K95" s="178"/>
    </row>
    <row r="96" spans="1:11" ht="20.25" customHeight="1" x14ac:dyDescent="0.15">
      <c r="A96" s="178"/>
      <c r="B96" s="204">
        <f>IFERROR(IF(LoanIsNotPaid*LoanIsGood,PaymentNumber,""), "")</f>
        <v>80</v>
      </c>
      <c r="C96" s="205">
        <f>IFERROR(IF(LoanIsNotPaid*LoanIsGood,PaymentDate,LoanStartDate), LoanStartDate)</f>
        <v>48092</v>
      </c>
      <c r="D96" s="206">
        <f>IFERROR(IF(LoanIsNotPaid*LoanIsGood,LoanValue,""), "")</f>
        <v>803059.56146796537</v>
      </c>
      <c r="E96" s="206">
        <f>IFERROR(IF(LoanIsNotPaid*LoanIsGood,MonthlyPayment,0), 0)</f>
        <v>5691.1875192575681</v>
      </c>
      <c r="F96" s="206">
        <f>IFERROR(IF(LoanIsNotPaid*LoanIsGood,Principal,0), 0)</f>
        <v>4352.7549168109363</v>
      </c>
      <c r="G96" s="206">
        <f>SUM($F$17:F96)</f>
        <v>326293.19344883203</v>
      </c>
      <c r="H96" s="206">
        <f>IFERROR(IF(LoanIsNotPaid*LoanIsGood,InterestAmt,0), 0)</f>
        <v>1338.4326024466318</v>
      </c>
      <c r="I96" s="206">
        <f>SUM($H$17:H96)</f>
        <v>129001.80809177342</v>
      </c>
      <c r="J96" s="206">
        <f>IFERROR(IF(LoanIsNotPaid*LoanIsGood,EndingBalance,0), 0)</f>
        <v>798706.806551154</v>
      </c>
      <c r="K96" s="178"/>
    </row>
    <row r="97" spans="1:11" ht="20.25" customHeight="1" x14ac:dyDescent="0.15">
      <c r="A97" s="178"/>
      <c r="B97" s="204">
        <f>IFERROR(IF(LoanIsNotPaid*LoanIsGood,PaymentNumber,""), "")</f>
        <v>81</v>
      </c>
      <c r="C97" s="205">
        <f>IFERROR(IF(LoanIsNotPaid*LoanIsGood,PaymentDate,LoanStartDate), LoanStartDate)</f>
        <v>48122</v>
      </c>
      <c r="D97" s="206">
        <f>IFERROR(IF(LoanIsNotPaid*LoanIsGood,LoanValue,""), "")</f>
        <v>798706.806551154</v>
      </c>
      <c r="E97" s="206">
        <f>IFERROR(IF(LoanIsNotPaid*LoanIsGood,MonthlyPayment,0), 0)</f>
        <v>5691.1875192575681</v>
      </c>
      <c r="F97" s="206">
        <f>IFERROR(IF(LoanIsNotPaid*LoanIsGood,Principal,0), 0)</f>
        <v>4360.0095083389542</v>
      </c>
      <c r="G97" s="206">
        <f>SUM($F$17:F97)</f>
        <v>330653.20295717096</v>
      </c>
      <c r="H97" s="206">
        <f>IFERROR(IF(LoanIsNotPaid*LoanIsGood,InterestAmt,0), 0)</f>
        <v>1331.1780109186134</v>
      </c>
      <c r="I97" s="206">
        <f>SUM($H$17:H97)</f>
        <v>130332.98610269203</v>
      </c>
      <c r="J97" s="206">
        <f>IFERROR(IF(LoanIsNotPaid*LoanIsGood,EndingBalance,0), 0)</f>
        <v>794346.79704281478</v>
      </c>
      <c r="K97" s="178"/>
    </row>
    <row r="98" spans="1:11" ht="20.25" customHeight="1" x14ac:dyDescent="0.15">
      <c r="A98" s="178"/>
      <c r="B98" s="204">
        <f>IFERROR(IF(LoanIsNotPaid*LoanIsGood,PaymentNumber,""), "")</f>
        <v>82</v>
      </c>
      <c r="C98" s="205">
        <f>IFERROR(IF(LoanIsNotPaid*LoanIsGood,PaymentDate,LoanStartDate), LoanStartDate)</f>
        <v>48153</v>
      </c>
      <c r="D98" s="206">
        <f>IFERROR(IF(LoanIsNotPaid*LoanIsGood,LoanValue,""), "")</f>
        <v>794346.79704281478</v>
      </c>
      <c r="E98" s="206">
        <f>IFERROR(IF(LoanIsNotPaid*LoanIsGood,MonthlyPayment,0), 0)</f>
        <v>5691.1875192575681</v>
      </c>
      <c r="F98" s="206">
        <f>IFERROR(IF(LoanIsNotPaid*LoanIsGood,Principal,0), 0)</f>
        <v>4367.2761908528528</v>
      </c>
      <c r="G98" s="206">
        <f>SUM($F$17:F98)</f>
        <v>335020.47914802382</v>
      </c>
      <c r="H98" s="206">
        <f>IFERROR(IF(LoanIsNotPaid*LoanIsGood,InterestAmt,0), 0)</f>
        <v>1323.9113284047153</v>
      </c>
      <c r="I98" s="206">
        <f>SUM($H$17:H98)</f>
        <v>131656.89743109673</v>
      </c>
      <c r="J98" s="206">
        <f>IFERROR(IF(LoanIsNotPaid*LoanIsGood,EndingBalance,0), 0)</f>
        <v>789979.52085196192</v>
      </c>
      <c r="K98" s="178"/>
    </row>
    <row r="99" spans="1:11" ht="20.25" customHeight="1" x14ac:dyDescent="0.15">
      <c r="A99" s="178"/>
      <c r="B99" s="204">
        <f>IFERROR(IF(LoanIsNotPaid*LoanIsGood,PaymentNumber,""), "")</f>
        <v>83</v>
      </c>
      <c r="C99" s="205">
        <f>IFERROR(IF(LoanIsNotPaid*LoanIsGood,PaymentDate,LoanStartDate), LoanStartDate)</f>
        <v>48183</v>
      </c>
      <c r="D99" s="206">
        <f>IFERROR(IF(LoanIsNotPaid*LoanIsGood,LoanValue,""), "")</f>
        <v>789979.52085196192</v>
      </c>
      <c r="E99" s="206">
        <f>IFERROR(IF(LoanIsNotPaid*LoanIsGood,MonthlyPayment,0), 0)</f>
        <v>5691.1875192575681</v>
      </c>
      <c r="F99" s="206">
        <f>IFERROR(IF(LoanIsNotPaid*LoanIsGood,Principal,0), 0)</f>
        <v>4374.5549845042742</v>
      </c>
      <c r="G99" s="206">
        <f>SUM($F$17:F99)</f>
        <v>339395.03413252812</v>
      </c>
      <c r="H99" s="206">
        <f>IFERROR(IF(LoanIsNotPaid*LoanIsGood,InterestAmt,0), 0)</f>
        <v>1316.6325347532938</v>
      </c>
      <c r="I99" s="206">
        <f>SUM($H$17:H99)</f>
        <v>132973.52996585003</v>
      </c>
      <c r="J99" s="206">
        <f>IFERROR(IF(LoanIsNotPaid*LoanIsGood,EndingBalance,0), 0)</f>
        <v>785604.96586745721</v>
      </c>
      <c r="K99" s="178"/>
    </row>
    <row r="100" spans="1:11" ht="20.25" customHeight="1" x14ac:dyDescent="0.15">
      <c r="A100" s="178"/>
      <c r="B100" s="204">
        <f>IFERROR(IF(LoanIsNotPaid*LoanIsGood,PaymentNumber,""), "")</f>
        <v>84</v>
      </c>
      <c r="C100" s="205">
        <f>IFERROR(IF(LoanIsNotPaid*LoanIsGood,PaymentDate,LoanStartDate), LoanStartDate)</f>
        <v>48214</v>
      </c>
      <c r="D100" s="206">
        <f>IFERROR(IF(LoanIsNotPaid*LoanIsGood,LoanValue,""), "")</f>
        <v>785604.96586745721</v>
      </c>
      <c r="E100" s="206">
        <f>IFERROR(IF(LoanIsNotPaid*LoanIsGood,MonthlyPayment,0), 0)</f>
        <v>5691.1875192575681</v>
      </c>
      <c r="F100" s="206">
        <f>IFERROR(IF(LoanIsNotPaid*LoanIsGood,Principal,0), 0)</f>
        <v>4381.8459094784475</v>
      </c>
      <c r="G100" s="206">
        <f>SUM($F$17:F100)</f>
        <v>343776.88004200655</v>
      </c>
      <c r="H100" s="206">
        <f>IFERROR(IF(LoanIsNotPaid*LoanIsGood,InterestAmt,0), 0)</f>
        <v>1309.3416097791201</v>
      </c>
      <c r="I100" s="206">
        <f>SUM($H$17:H100)</f>
        <v>134282.87157562916</v>
      </c>
      <c r="J100" s="206">
        <f>IFERROR(IF(LoanIsNotPaid*LoanIsGood,EndingBalance,0), 0)</f>
        <v>781223.11995797837</v>
      </c>
      <c r="K100" s="178"/>
    </row>
    <row r="101" spans="1:11" ht="20.25" customHeight="1" x14ac:dyDescent="0.15">
      <c r="A101" s="178"/>
      <c r="B101" s="204">
        <f>IFERROR(IF(LoanIsNotPaid*LoanIsGood,PaymentNumber,""), "")</f>
        <v>85</v>
      </c>
      <c r="C101" s="205">
        <f>IFERROR(IF(LoanIsNotPaid*LoanIsGood,PaymentDate,LoanStartDate), LoanStartDate)</f>
        <v>48245</v>
      </c>
      <c r="D101" s="206">
        <f>IFERROR(IF(LoanIsNotPaid*LoanIsGood,LoanValue,""), "")</f>
        <v>781223.11995797837</v>
      </c>
      <c r="E101" s="206">
        <f>IFERROR(IF(LoanIsNotPaid*LoanIsGood,MonthlyPayment,0), 0)</f>
        <v>5691.1875192575681</v>
      </c>
      <c r="F101" s="206">
        <f>IFERROR(IF(LoanIsNotPaid*LoanIsGood,Principal,0), 0)</f>
        <v>4389.1489859942449</v>
      </c>
      <c r="G101" s="206">
        <f>SUM($F$17:F101)</f>
        <v>348166.02902800078</v>
      </c>
      <c r="H101" s="206">
        <f>IFERROR(IF(LoanIsNotPaid*LoanIsGood,InterestAmt,0), 0)</f>
        <v>1302.0385332633225</v>
      </c>
      <c r="I101" s="206">
        <f>SUM($H$17:H101)</f>
        <v>135584.91010889248</v>
      </c>
      <c r="J101" s="206">
        <f>IFERROR(IF(LoanIsNotPaid*LoanIsGood,EndingBalance,0), 0)</f>
        <v>776833.97097198362</v>
      </c>
      <c r="K101" s="178"/>
    </row>
    <row r="102" spans="1:11" ht="20.25" customHeight="1" x14ac:dyDescent="0.15">
      <c r="A102" s="178"/>
      <c r="B102" s="204">
        <f>IFERROR(IF(LoanIsNotPaid*LoanIsGood,PaymentNumber,""), "")</f>
        <v>86</v>
      </c>
      <c r="C102" s="205">
        <f>IFERROR(IF(LoanIsNotPaid*LoanIsGood,PaymentDate,LoanStartDate), LoanStartDate)</f>
        <v>48274</v>
      </c>
      <c r="D102" s="206">
        <f>IFERROR(IF(LoanIsNotPaid*LoanIsGood,LoanValue,""), "")</f>
        <v>776833.97097198362</v>
      </c>
      <c r="E102" s="206">
        <f>IFERROR(IF(LoanIsNotPaid*LoanIsGood,MonthlyPayment,0), 0)</f>
        <v>5691.1875192575681</v>
      </c>
      <c r="F102" s="206">
        <f>IFERROR(IF(LoanIsNotPaid*LoanIsGood,Principal,0), 0)</f>
        <v>4396.464234304236</v>
      </c>
      <c r="G102" s="206">
        <f>SUM($F$17:F102)</f>
        <v>352562.49326230504</v>
      </c>
      <c r="H102" s="206">
        <f>IFERROR(IF(LoanIsNotPaid*LoanIsGood,InterestAmt,0), 0)</f>
        <v>1294.7232849533323</v>
      </c>
      <c r="I102" s="206">
        <f>SUM($H$17:H102)</f>
        <v>136879.63339384581</v>
      </c>
      <c r="J102" s="206">
        <f>IFERROR(IF(LoanIsNotPaid*LoanIsGood,EndingBalance,0), 0)</f>
        <v>772437.50673767994</v>
      </c>
      <c r="K102" s="178"/>
    </row>
    <row r="103" spans="1:11" ht="20.25" customHeight="1" x14ac:dyDescent="0.15">
      <c r="A103" s="178"/>
      <c r="B103" s="204">
        <f>IFERROR(IF(LoanIsNotPaid*LoanIsGood,PaymentNumber,""), "")</f>
        <v>87</v>
      </c>
      <c r="C103" s="205">
        <f>IFERROR(IF(LoanIsNotPaid*LoanIsGood,PaymentDate,LoanStartDate), LoanStartDate)</f>
        <v>48305</v>
      </c>
      <c r="D103" s="206">
        <f>IFERROR(IF(LoanIsNotPaid*LoanIsGood,LoanValue,""), "")</f>
        <v>772437.50673767994</v>
      </c>
      <c r="E103" s="206">
        <f>IFERROR(IF(LoanIsNotPaid*LoanIsGood,MonthlyPayment,0), 0)</f>
        <v>5691.1875192575681</v>
      </c>
      <c r="F103" s="206">
        <f>IFERROR(IF(LoanIsNotPaid*LoanIsGood,Principal,0), 0)</f>
        <v>4403.7916746947431</v>
      </c>
      <c r="G103" s="206">
        <f>SUM($F$17:F103)</f>
        <v>356966.28493699979</v>
      </c>
      <c r="H103" s="206">
        <f>IFERROR(IF(LoanIsNotPaid*LoanIsGood,InterestAmt,0), 0)</f>
        <v>1287.3958445628252</v>
      </c>
      <c r="I103" s="206">
        <f>SUM($H$17:H103)</f>
        <v>138167.02923840864</v>
      </c>
      <c r="J103" s="206">
        <f>IFERROR(IF(LoanIsNotPaid*LoanIsGood,EndingBalance,0), 0)</f>
        <v>768033.71506298438</v>
      </c>
      <c r="K103" s="178"/>
    </row>
    <row r="104" spans="1:11" ht="20.25" customHeight="1" x14ac:dyDescent="0.15">
      <c r="A104" s="178"/>
      <c r="B104" s="204">
        <f>IFERROR(IF(LoanIsNotPaid*LoanIsGood,PaymentNumber,""), "")</f>
        <v>88</v>
      </c>
      <c r="C104" s="205">
        <f>IFERROR(IF(LoanIsNotPaid*LoanIsGood,PaymentDate,LoanStartDate), LoanStartDate)</f>
        <v>48335</v>
      </c>
      <c r="D104" s="206">
        <f>IFERROR(IF(LoanIsNotPaid*LoanIsGood,LoanValue,""), "")</f>
        <v>768033.71506298438</v>
      </c>
      <c r="E104" s="206">
        <f>IFERROR(IF(LoanIsNotPaid*LoanIsGood,MonthlyPayment,0), 0)</f>
        <v>5691.1875192575681</v>
      </c>
      <c r="F104" s="206">
        <f>IFERROR(IF(LoanIsNotPaid*LoanIsGood,Principal,0), 0)</f>
        <v>4411.1313274859012</v>
      </c>
      <c r="G104" s="206">
        <f>SUM($F$17:F104)</f>
        <v>361377.41626448568</v>
      </c>
      <c r="H104" s="206">
        <f>IFERROR(IF(LoanIsNotPaid*LoanIsGood,InterestAmt,0), 0)</f>
        <v>1280.0561917716673</v>
      </c>
      <c r="I104" s="206">
        <f>SUM($H$17:H104)</f>
        <v>139447.0854301803</v>
      </c>
      <c r="J104" s="206">
        <f>IFERROR(IF(LoanIsNotPaid*LoanIsGood,EndingBalance,0), 0)</f>
        <v>763622.58373549802</v>
      </c>
      <c r="K104" s="178"/>
    </row>
    <row r="105" spans="1:11" ht="20.25" customHeight="1" x14ac:dyDescent="0.15">
      <c r="A105" s="178"/>
      <c r="B105" s="204">
        <f>IFERROR(IF(LoanIsNotPaid*LoanIsGood,PaymentNumber,""), "")</f>
        <v>89</v>
      </c>
      <c r="C105" s="205">
        <f>IFERROR(IF(LoanIsNotPaid*LoanIsGood,PaymentDate,LoanStartDate), LoanStartDate)</f>
        <v>48366</v>
      </c>
      <c r="D105" s="206">
        <f>IFERROR(IF(LoanIsNotPaid*LoanIsGood,LoanValue,""), "")</f>
        <v>763622.58373549802</v>
      </c>
      <c r="E105" s="206">
        <f>IFERROR(IF(LoanIsNotPaid*LoanIsGood,MonthlyPayment,0), 0)</f>
        <v>5691.1875192575681</v>
      </c>
      <c r="F105" s="206">
        <f>IFERROR(IF(LoanIsNotPaid*LoanIsGood,Principal,0), 0)</f>
        <v>4418.4832130317109</v>
      </c>
      <c r="G105" s="206">
        <f>SUM($F$17:F105)</f>
        <v>365795.89947751741</v>
      </c>
      <c r="H105" s="206">
        <f>IFERROR(IF(LoanIsNotPaid*LoanIsGood,InterestAmt,0), 0)</f>
        <v>1272.7043062258574</v>
      </c>
      <c r="I105" s="206">
        <f>SUM($H$17:H105)</f>
        <v>140719.78973640615</v>
      </c>
      <c r="J105" s="206">
        <f>IFERROR(IF(LoanIsNotPaid*LoanIsGood,EndingBalance,0), 0)</f>
        <v>759204.10052246705</v>
      </c>
      <c r="K105" s="178"/>
    </row>
    <row r="106" spans="1:11" ht="20.25" customHeight="1" x14ac:dyDescent="0.15">
      <c r="A106" s="178"/>
      <c r="B106" s="204">
        <f>IFERROR(IF(LoanIsNotPaid*LoanIsGood,PaymentNumber,""), "")</f>
        <v>90</v>
      </c>
      <c r="C106" s="205">
        <f>IFERROR(IF(LoanIsNotPaid*LoanIsGood,PaymentDate,LoanStartDate), LoanStartDate)</f>
        <v>48396</v>
      </c>
      <c r="D106" s="206">
        <f>IFERROR(IF(LoanIsNotPaid*LoanIsGood,LoanValue,""), "")</f>
        <v>759204.10052246705</v>
      </c>
      <c r="E106" s="206">
        <f>IFERROR(IF(LoanIsNotPaid*LoanIsGood,MonthlyPayment,0), 0)</f>
        <v>5691.1875192575681</v>
      </c>
      <c r="F106" s="206">
        <f>IFERROR(IF(LoanIsNotPaid*LoanIsGood,Principal,0), 0)</f>
        <v>4425.8473517200964</v>
      </c>
      <c r="G106" s="206">
        <f>SUM($F$17:F106)</f>
        <v>370221.7468292375</v>
      </c>
      <c r="H106" s="206">
        <f>IFERROR(IF(LoanIsNotPaid*LoanIsGood,InterestAmt,0), 0)</f>
        <v>1265.3401675374714</v>
      </c>
      <c r="I106" s="206">
        <f>SUM($H$17:H106)</f>
        <v>141985.12990394363</v>
      </c>
      <c r="J106" s="206">
        <f>IFERROR(IF(LoanIsNotPaid*LoanIsGood,EndingBalance,0), 0)</f>
        <v>754778.25317074661</v>
      </c>
      <c r="K106" s="178"/>
    </row>
    <row r="107" spans="1:11" ht="20.25" customHeight="1" x14ac:dyDescent="0.15">
      <c r="A107" s="178"/>
      <c r="B107" s="204">
        <f>IFERROR(IF(LoanIsNotPaid*LoanIsGood,PaymentNumber,""), "")</f>
        <v>91</v>
      </c>
      <c r="C107" s="205">
        <f>IFERROR(IF(LoanIsNotPaid*LoanIsGood,PaymentDate,LoanStartDate), LoanStartDate)</f>
        <v>48427</v>
      </c>
      <c r="D107" s="206">
        <f>IFERROR(IF(LoanIsNotPaid*LoanIsGood,LoanValue,""), "")</f>
        <v>754778.25317074661</v>
      </c>
      <c r="E107" s="206">
        <f>IFERROR(IF(LoanIsNotPaid*LoanIsGood,MonthlyPayment,0), 0)</f>
        <v>5691.1875192575681</v>
      </c>
      <c r="F107" s="206">
        <f>IFERROR(IF(LoanIsNotPaid*LoanIsGood,Principal,0), 0)</f>
        <v>4433.2237639729638</v>
      </c>
      <c r="G107" s="206">
        <f>SUM($F$17:F107)</f>
        <v>374654.97059321048</v>
      </c>
      <c r="H107" s="206">
        <f>IFERROR(IF(LoanIsNotPaid*LoanIsGood,InterestAmt,0), 0)</f>
        <v>1257.9637552846043</v>
      </c>
      <c r="I107" s="206">
        <f>SUM($H$17:H107)</f>
        <v>143243.09365922824</v>
      </c>
      <c r="J107" s="206">
        <f>IFERROR(IF(LoanIsNotPaid*LoanIsGood,EndingBalance,0), 0)</f>
        <v>750345.02940677316</v>
      </c>
      <c r="K107" s="178"/>
    </row>
    <row r="108" spans="1:11" ht="20.25" customHeight="1" x14ac:dyDescent="0.15">
      <c r="A108" s="178"/>
      <c r="B108" s="204">
        <f>IFERROR(IF(LoanIsNotPaid*LoanIsGood,PaymentNumber,""), "")</f>
        <v>92</v>
      </c>
      <c r="C108" s="205">
        <f>IFERROR(IF(LoanIsNotPaid*LoanIsGood,PaymentDate,LoanStartDate), LoanStartDate)</f>
        <v>48458</v>
      </c>
      <c r="D108" s="206">
        <f>IFERROR(IF(LoanIsNotPaid*LoanIsGood,LoanValue,""), "")</f>
        <v>750345.02940677316</v>
      </c>
      <c r="E108" s="206">
        <f>IFERROR(IF(LoanIsNotPaid*LoanIsGood,MonthlyPayment,0), 0)</f>
        <v>5691.1875192575681</v>
      </c>
      <c r="F108" s="206">
        <f>IFERROR(IF(LoanIsNotPaid*LoanIsGood,Principal,0), 0)</f>
        <v>4440.6124702462521</v>
      </c>
      <c r="G108" s="206">
        <f>SUM($F$17:F108)</f>
        <v>379095.58306345675</v>
      </c>
      <c r="H108" s="206">
        <f>IFERROR(IF(LoanIsNotPaid*LoanIsGood,InterestAmt,0), 0)</f>
        <v>1250.5750490113162</v>
      </c>
      <c r="I108" s="206">
        <f>SUM($H$17:H108)</f>
        <v>144493.66870823957</v>
      </c>
      <c r="J108" s="206">
        <f>IFERROR(IF(LoanIsNotPaid*LoanIsGood,EndingBalance,0), 0)</f>
        <v>745904.41693652654</v>
      </c>
      <c r="K108" s="178"/>
    </row>
    <row r="109" spans="1:11" ht="20.25" customHeight="1" x14ac:dyDescent="0.15">
      <c r="A109" s="178"/>
      <c r="B109" s="204">
        <f>IFERROR(IF(LoanIsNotPaid*LoanIsGood,PaymentNumber,""), "")</f>
        <v>93</v>
      </c>
      <c r="C109" s="205">
        <f>IFERROR(IF(LoanIsNotPaid*LoanIsGood,PaymentDate,LoanStartDate), LoanStartDate)</f>
        <v>48488</v>
      </c>
      <c r="D109" s="206">
        <f>IFERROR(IF(LoanIsNotPaid*LoanIsGood,LoanValue,""), "")</f>
        <v>745904.41693652654</v>
      </c>
      <c r="E109" s="206">
        <f>IFERROR(IF(LoanIsNotPaid*LoanIsGood,MonthlyPayment,0), 0)</f>
        <v>5691.1875192575681</v>
      </c>
      <c r="F109" s="206">
        <f>IFERROR(IF(LoanIsNotPaid*LoanIsGood,Principal,0), 0)</f>
        <v>4448.0134910299957</v>
      </c>
      <c r="G109" s="206">
        <f>SUM($F$17:F109)</f>
        <v>383543.59655448672</v>
      </c>
      <c r="H109" s="206">
        <f>IFERROR(IF(LoanIsNotPaid*LoanIsGood,InterestAmt,0), 0)</f>
        <v>1243.1740282275723</v>
      </c>
      <c r="I109" s="206">
        <f>SUM($H$17:H109)</f>
        <v>145736.84273646714</v>
      </c>
      <c r="J109" s="206">
        <f>IFERROR(IF(LoanIsNotPaid*LoanIsGood,EndingBalance,0), 0)</f>
        <v>741456.40344549622</v>
      </c>
      <c r="K109" s="178"/>
    </row>
    <row r="110" spans="1:11" ht="20.25" customHeight="1" x14ac:dyDescent="0.15">
      <c r="A110" s="178"/>
      <c r="B110" s="204">
        <f>IFERROR(IF(LoanIsNotPaid*LoanIsGood,PaymentNumber,""), "")</f>
        <v>94</v>
      </c>
      <c r="C110" s="205">
        <f>IFERROR(IF(LoanIsNotPaid*LoanIsGood,PaymentDate,LoanStartDate), LoanStartDate)</f>
        <v>48519</v>
      </c>
      <c r="D110" s="206">
        <f>IFERROR(IF(LoanIsNotPaid*LoanIsGood,LoanValue,""), "")</f>
        <v>741456.40344549622</v>
      </c>
      <c r="E110" s="206">
        <f>IFERROR(IF(LoanIsNotPaid*LoanIsGood,MonthlyPayment,0), 0)</f>
        <v>5691.1875192575681</v>
      </c>
      <c r="F110" s="206">
        <f>IFERROR(IF(LoanIsNotPaid*LoanIsGood,Principal,0), 0)</f>
        <v>4455.4268468483788</v>
      </c>
      <c r="G110" s="206">
        <f>SUM($F$17:F110)</f>
        <v>387999.02340133511</v>
      </c>
      <c r="H110" s="206">
        <f>IFERROR(IF(LoanIsNotPaid*LoanIsGood,InterestAmt,0), 0)</f>
        <v>1235.7606724091891</v>
      </c>
      <c r="I110" s="206">
        <f>SUM($H$17:H110)</f>
        <v>146972.60340887631</v>
      </c>
      <c r="J110" s="206">
        <f>IFERROR(IF(LoanIsNotPaid*LoanIsGood,EndingBalance,0), 0)</f>
        <v>737000.97659864824</v>
      </c>
      <c r="K110" s="178"/>
    </row>
    <row r="111" spans="1:11" ht="20.25" customHeight="1" x14ac:dyDescent="0.15">
      <c r="A111" s="178"/>
      <c r="B111" s="204">
        <f>IFERROR(IF(LoanIsNotPaid*LoanIsGood,PaymentNumber,""), "")</f>
        <v>95</v>
      </c>
      <c r="C111" s="205">
        <f>IFERROR(IF(LoanIsNotPaid*LoanIsGood,PaymentDate,LoanStartDate), LoanStartDate)</f>
        <v>48549</v>
      </c>
      <c r="D111" s="206">
        <f>IFERROR(IF(LoanIsNotPaid*LoanIsGood,LoanValue,""), "")</f>
        <v>737000.97659864824</v>
      </c>
      <c r="E111" s="206">
        <f>IFERROR(IF(LoanIsNotPaid*LoanIsGood,MonthlyPayment,0), 0)</f>
        <v>5691.1875192575681</v>
      </c>
      <c r="F111" s="206">
        <f>IFERROR(IF(LoanIsNotPaid*LoanIsGood,Principal,0), 0)</f>
        <v>4462.8525582597931</v>
      </c>
      <c r="G111" s="206">
        <f>SUM($F$17:F111)</f>
        <v>392461.87595959491</v>
      </c>
      <c r="H111" s="206">
        <f>IFERROR(IF(LoanIsNotPaid*LoanIsGood,InterestAmt,0), 0)</f>
        <v>1228.3349609977752</v>
      </c>
      <c r="I111" s="206">
        <f>SUM($H$17:H111)</f>
        <v>148200.93836987409</v>
      </c>
      <c r="J111" s="206">
        <f>IFERROR(IF(LoanIsNotPaid*LoanIsGood,EndingBalance,0), 0)</f>
        <v>732538.12404038792</v>
      </c>
      <c r="K111" s="178"/>
    </row>
    <row r="112" spans="1:11" ht="20.25" customHeight="1" x14ac:dyDescent="0.15">
      <c r="A112" s="178"/>
      <c r="B112" s="204">
        <f>IFERROR(IF(LoanIsNotPaid*LoanIsGood,PaymentNumber,""), "")</f>
        <v>96</v>
      </c>
      <c r="C112" s="205">
        <f>IFERROR(IF(LoanIsNotPaid*LoanIsGood,PaymentDate,LoanStartDate), LoanStartDate)</f>
        <v>48580</v>
      </c>
      <c r="D112" s="206">
        <f>IFERROR(IF(LoanIsNotPaid*LoanIsGood,LoanValue,""), "")</f>
        <v>732538.12404038792</v>
      </c>
      <c r="E112" s="206">
        <f>IFERROR(IF(LoanIsNotPaid*LoanIsGood,MonthlyPayment,0), 0)</f>
        <v>5691.1875192575681</v>
      </c>
      <c r="F112" s="206">
        <f>IFERROR(IF(LoanIsNotPaid*LoanIsGood,Principal,0), 0)</f>
        <v>4470.2906458568923</v>
      </c>
      <c r="G112" s="206">
        <f>SUM($F$17:F112)</f>
        <v>396932.16660545178</v>
      </c>
      <c r="H112" s="206">
        <f>IFERROR(IF(LoanIsNotPaid*LoanIsGood,InterestAmt,0), 0)</f>
        <v>1220.8968734006753</v>
      </c>
      <c r="I112" s="206">
        <f>SUM($H$17:H112)</f>
        <v>149421.83524327475</v>
      </c>
      <c r="J112" s="206">
        <f>IFERROR(IF(LoanIsNotPaid*LoanIsGood,EndingBalance,0), 0)</f>
        <v>728067.83339453023</v>
      </c>
      <c r="K112" s="178"/>
    </row>
    <row r="113" spans="1:11" ht="20.25" customHeight="1" x14ac:dyDescent="0.15">
      <c r="A113" s="178"/>
      <c r="B113" s="204">
        <f>IFERROR(IF(LoanIsNotPaid*LoanIsGood,PaymentNumber,""), "")</f>
        <v>97</v>
      </c>
      <c r="C113" s="205">
        <f>IFERROR(IF(LoanIsNotPaid*LoanIsGood,PaymentDate,LoanStartDate), LoanStartDate)</f>
        <v>48611</v>
      </c>
      <c r="D113" s="206">
        <f>IFERROR(IF(LoanIsNotPaid*LoanIsGood,LoanValue,""), "")</f>
        <v>728067.83339453023</v>
      </c>
      <c r="E113" s="206">
        <f>IFERROR(IF(LoanIsNotPaid*LoanIsGood,MonthlyPayment,0), 0)</f>
        <v>5691.1875192575681</v>
      </c>
      <c r="F113" s="206">
        <f>IFERROR(IF(LoanIsNotPaid*LoanIsGood,Principal,0), 0)</f>
        <v>4477.7411302666542</v>
      </c>
      <c r="G113" s="206">
        <f>SUM($F$17:F113)</f>
        <v>401409.90773571841</v>
      </c>
      <c r="H113" s="206">
        <f>IFERROR(IF(LoanIsNotPaid*LoanIsGood,InterestAmt,0), 0)</f>
        <v>1213.4463889909139</v>
      </c>
      <c r="I113" s="206">
        <f>SUM($H$17:H113)</f>
        <v>150635.28163226566</v>
      </c>
      <c r="J113" s="206">
        <f>IFERROR(IF(LoanIsNotPaid*LoanIsGood,EndingBalance,0), 0)</f>
        <v>723590.09226426354</v>
      </c>
      <c r="K113" s="178"/>
    </row>
    <row r="114" spans="1:11" ht="20.25" customHeight="1" x14ac:dyDescent="0.15">
      <c r="A114" s="178"/>
      <c r="B114" s="204">
        <f>IFERROR(IF(LoanIsNotPaid*LoanIsGood,PaymentNumber,""), "")</f>
        <v>98</v>
      </c>
      <c r="C114" s="205">
        <f>IFERROR(IF(LoanIsNotPaid*LoanIsGood,PaymentDate,LoanStartDate), LoanStartDate)</f>
        <v>48639</v>
      </c>
      <c r="D114" s="206">
        <f>IFERROR(IF(LoanIsNotPaid*LoanIsGood,LoanValue,""), "")</f>
        <v>723590.09226426354</v>
      </c>
      <c r="E114" s="206">
        <f>IFERROR(IF(LoanIsNotPaid*LoanIsGood,MonthlyPayment,0), 0)</f>
        <v>5691.1875192575681</v>
      </c>
      <c r="F114" s="206">
        <f>IFERROR(IF(LoanIsNotPaid*LoanIsGood,Principal,0), 0)</f>
        <v>4485.2040321504319</v>
      </c>
      <c r="G114" s="206">
        <f>SUM($F$17:F114)</f>
        <v>405895.11176786886</v>
      </c>
      <c r="H114" s="206">
        <f>IFERROR(IF(LoanIsNotPaid*LoanIsGood,InterestAmt,0), 0)</f>
        <v>1205.9834871071359</v>
      </c>
      <c r="I114" s="206">
        <f>SUM($H$17:H114)</f>
        <v>151841.26511937278</v>
      </c>
      <c r="J114" s="206">
        <f>IFERROR(IF(LoanIsNotPaid*LoanIsGood,EndingBalance,0), 0)</f>
        <v>719104.8882321131</v>
      </c>
      <c r="K114" s="178"/>
    </row>
    <row r="115" spans="1:11" ht="20.25" customHeight="1" x14ac:dyDescent="0.15">
      <c r="A115" s="178"/>
      <c r="B115" s="204">
        <f>IFERROR(IF(LoanIsNotPaid*LoanIsGood,PaymentNumber,""), "")</f>
        <v>99</v>
      </c>
      <c r="C115" s="205">
        <f>IFERROR(IF(LoanIsNotPaid*LoanIsGood,PaymentDate,LoanStartDate), LoanStartDate)</f>
        <v>48670</v>
      </c>
      <c r="D115" s="206">
        <f>IFERROR(IF(LoanIsNotPaid*LoanIsGood,LoanValue,""), "")</f>
        <v>719104.8882321131</v>
      </c>
      <c r="E115" s="206">
        <f>IFERROR(IF(LoanIsNotPaid*LoanIsGood,MonthlyPayment,0), 0)</f>
        <v>5691.1875192575681</v>
      </c>
      <c r="F115" s="206">
        <f>IFERROR(IF(LoanIsNotPaid*LoanIsGood,Principal,0), 0)</f>
        <v>4492.6793722040165</v>
      </c>
      <c r="G115" s="206">
        <f>SUM($F$17:F115)</f>
        <v>410387.79114007286</v>
      </c>
      <c r="H115" s="206">
        <f>IFERROR(IF(LoanIsNotPaid*LoanIsGood,InterestAmt,0), 0)</f>
        <v>1198.5081470535522</v>
      </c>
      <c r="I115" s="206">
        <f>SUM($H$17:H115)</f>
        <v>153039.77326642635</v>
      </c>
      <c r="J115" s="206">
        <f>IFERROR(IF(LoanIsNotPaid*LoanIsGood,EndingBalance,0), 0)</f>
        <v>714612.20885990874</v>
      </c>
      <c r="K115" s="178"/>
    </row>
    <row r="116" spans="1:11" ht="20.25" customHeight="1" x14ac:dyDescent="0.15">
      <c r="A116" s="178"/>
      <c r="B116" s="204">
        <f>IFERROR(IF(LoanIsNotPaid*LoanIsGood,PaymentNumber,""), "")</f>
        <v>100</v>
      </c>
      <c r="C116" s="205">
        <f>IFERROR(IF(LoanIsNotPaid*LoanIsGood,PaymentDate,LoanStartDate), LoanStartDate)</f>
        <v>48700</v>
      </c>
      <c r="D116" s="206">
        <f>IFERROR(IF(LoanIsNotPaid*LoanIsGood,LoanValue,""), "")</f>
        <v>714612.20885990874</v>
      </c>
      <c r="E116" s="206">
        <f>IFERROR(IF(LoanIsNotPaid*LoanIsGood,MonthlyPayment,0), 0)</f>
        <v>5691.1875192575681</v>
      </c>
      <c r="F116" s="206">
        <f>IFERROR(IF(LoanIsNotPaid*LoanIsGood,Principal,0), 0)</f>
        <v>4500.1671711576892</v>
      </c>
      <c r="G116" s="206">
        <f>SUM($F$17:F116)</f>
        <v>414887.95831123053</v>
      </c>
      <c r="H116" s="206">
        <f>IFERROR(IF(LoanIsNotPaid*LoanIsGood,InterestAmt,0), 0)</f>
        <v>1191.0203480998789</v>
      </c>
      <c r="I116" s="206">
        <f>SUM($H$17:H116)</f>
        <v>154230.79361452622</v>
      </c>
      <c r="J116" s="206">
        <f>IFERROR(IF(LoanIsNotPaid*LoanIsGood,EndingBalance,0), 0)</f>
        <v>710112.04168875085</v>
      </c>
      <c r="K116" s="178"/>
    </row>
    <row r="117" spans="1:11" ht="20.25" customHeight="1" x14ac:dyDescent="0.15">
      <c r="A117" s="178"/>
      <c r="B117" s="204">
        <f>IFERROR(IF(LoanIsNotPaid*LoanIsGood,PaymentNumber,""), "")</f>
        <v>101</v>
      </c>
      <c r="C117" s="205">
        <f>IFERROR(IF(LoanIsNotPaid*LoanIsGood,PaymentDate,LoanStartDate), LoanStartDate)</f>
        <v>48731</v>
      </c>
      <c r="D117" s="206">
        <f>IFERROR(IF(LoanIsNotPaid*LoanIsGood,LoanValue,""), "")</f>
        <v>710112.04168875085</v>
      </c>
      <c r="E117" s="206">
        <f>IFERROR(IF(LoanIsNotPaid*LoanIsGood,MonthlyPayment,0), 0)</f>
        <v>5691.1875192575681</v>
      </c>
      <c r="F117" s="206">
        <f>IFERROR(IF(LoanIsNotPaid*LoanIsGood,Principal,0), 0)</f>
        <v>4507.6674497762851</v>
      </c>
      <c r="G117" s="206">
        <f>SUM($F$17:F117)</f>
        <v>419395.62576100678</v>
      </c>
      <c r="H117" s="206">
        <f>IFERROR(IF(LoanIsNotPaid*LoanIsGood,InterestAmt,0), 0)</f>
        <v>1183.5200694812827</v>
      </c>
      <c r="I117" s="206">
        <f>SUM($H$17:H117)</f>
        <v>155414.3136840075</v>
      </c>
      <c r="J117" s="206">
        <f>IFERROR(IF(LoanIsNotPaid*LoanIsGood,EndingBalance,0), 0)</f>
        <v>705604.37423897453</v>
      </c>
      <c r="K117" s="178"/>
    </row>
    <row r="118" spans="1:11" ht="20.25" customHeight="1" x14ac:dyDescent="0.15">
      <c r="A118" s="178"/>
      <c r="B118" s="204">
        <f>IFERROR(IF(LoanIsNotPaid*LoanIsGood,PaymentNumber,""), "")</f>
        <v>102</v>
      </c>
      <c r="C118" s="205">
        <f>IFERROR(IF(LoanIsNotPaid*LoanIsGood,PaymentDate,LoanStartDate), LoanStartDate)</f>
        <v>48761</v>
      </c>
      <c r="D118" s="206">
        <f>IFERROR(IF(LoanIsNotPaid*LoanIsGood,LoanValue,""), "")</f>
        <v>705604.37423897453</v>
      </c>
      <c r="E118" s="206">
        <f>IFERROR(IF(LoanIsNotPaid*LoanIsGood,MonthlyPayment,0), 0)</f>
        <v>5691.1875192575681</v>
      </c>
      <c r="F118" s="206">
        <f>IFERROR(IF(LoanIsNotPaid*LoanIsGood,Principal,0), 0)</f>
        <v>4515.1802288592462</v>
      </c>
      <c r="G118" s="206">
        <f>SUM($F$17:F118)</f>
        <v>423910.80598986603</v>
      </c>
      <c r="H118" s="206">
        <f>IFERROR(IF(LoanIsNotPaid*LoanIsGood,InterestAmt,0), 0)</f>
        <v>1176.0072903983223</v>
      </c>
      <c r="I118" s="206">
        <f>SUM($H$17:H118)</f>
        <v>156590.32097440583</v>
      </c>
      <c r="J118" s="206">
        <f>IFERROR(IF(LoanIsNotPaid*LoanIsGood,EndingBalance,0), 0)</f>
        <v>701089.19401011546</v>
      </c>
      <c r="K118" s="178"/>
    </row>
    <row r="119" spans="1:11" ht="20.25" customHeight="1" x14ac:dyDescent="0.15">
      <c r="A119" s="178"/>
      <c r="B119" s="204">
        <f>IFERROR(IF(LoanIsNotPaid*LoanIsGood,PaymentNumber,""), "")</f>
        <v>103</v>
      </c>
      <c r="C119" s="205">
        <f>IFERROR(IF(LoanIsNotPaid*LoanIsGood,PaymentDate,LoanStartDate), LoanStartDate)</f>
        <v>48792</v>
      </c>
      <c r="D119" s="206">
        <f>IFERROR(IF(LoanIsNotPaid*LoanIsGood,LoanValue,""), "")</f>
        <v>701089.19401011546</v>
      </c>
      <c r="E119" s="206">
        <f>IFERROR(IF(LoanIsNotPaid*LoanIsGood,MonthlyPayment,0), 0)</f>
        <v>5691.1875192575681</v>
      </c>
      <c r="F119" s="206">
        <f>IFERROR(IF(LoanIsNotPaid*LoanIsGood,Principal,0), 0)</f>
        <v>4522.7055292406776</v>
      </c>
      <c r="G119" s="206">
        <f>SUM($F$17:F119)</f>
        <v>428433.51151910669</v>
      </c>
      <c r="H119" s="206">
        <f>IFERROR(IF(LoanIsNotPaid*LoanIsGood,InterestAmt,0), 0)</f>
        <v>1168.48199001689</v>
      </c>
      <c r="I119" s="206">
        <f>SUM($H$17:H119)</f>
        <v>157758.80296442271</v>
      </c>
      <c r="J119" s="206">
        <f>IFERROR(IF(LoanIsNotPaid*LoanIsGood,EndingBalance,0), 0)</f>
        <v>696566.4884808741</v>
      </c>
      <c r="K119" s="178"/>
    </row>
    <row r="120" spans="1:11" ht="20.25" customHeight="1" x14ac:dyDescent="0.15">
      <c r="A120" s="178"/>
      <c r="B120" s="204">
        <f>IFERROR(IF(LoanIsNotPaid*LoanIsGood,PaymentNumber,""), "")</f>
        <v>104</v>
      </c>
      <c r="C120" s="205">
        <f>IFERROR(IF(LoanIsNotPaid*LoanIsGood,PaymentDate,LoanStartDate), LoanStartDate)</f>
        <v>48823</v>
      </c>
      <c r="D120" s="206">
        <f>IFERROR(IF(LoanIsNotPaid*LoanIsGood,LoanValue,""), "")</f>
        <v>696566.4884808741</v>
      </c>
      <c r="E120" s="206">
        <f>IFERROR(IF(LoanIsNotPaid*LoanIsGood,MonthlyPayment,0), 0)</f>
        <v>5691.1875192575681</v>
      </c>
      <c r="F120" s="206">
        <f>IFERROR(IF(LoanIsNotPaid*LoanIsGood,Principal,0), 0)</f>
        <v>4530.2433717894128</v>
      </c>
      <c r="G120" s="206">
        <f>SUM($F$17:F120)</f>
        <v>432963.75489089609</v>
      </c>
      <c r="H120" s="206">
        <f>IFERROR(IF(LoanIsNotPaid*LoanIsGood,InterestAmt,0), 0)</f>
        <v>1160.9441474681555</v>
      </c>
      <c r="I120" s="206">
        <f>SUM($H$17:H120)</f>
        <v>158919.74711189087</v>
      </c>
      <c r="J120" s="206">
        <f>IFERROR(IF(LoanIsNotPaid*LoanIsGood,EndingBalance,0), 0)</f>
        <v>692036.2451090843</v>
      </c>
      <c r="K120" s="178"/>
    </row>
    <row r="121" spans="1:11" ht="20.25" customHeight="1" x14ac:dyDescent="0.15">
      <c r="A121" s="178"/>
      <c r="B121" s="204">
        <f>IFERROR(IF(LoanIsNotPaid*LoanIsGood,PaymentNumber,""), "")</f>
        <v>105</v>
      </c>
      <c r="C121" s="205">
        <f>IFERROR(IF(LoanIsNotPaid*LoanIsGood,PaymentDate,LoanStartDate), LoanStartDate)</f>
        <v>48853</v>
      </c>
      <c r="D121" s="206">
        <f>IFERROR(IF(LoanIsNotPaid*LoanIsGood,LoanValue,""), "")</f>
        <v>692036.2451090843</v>
      </c>
      <c r="E121" s="206">
        <f>IFERROR(IF(LoanIsNotPaid*LoanIsGood,MonthlyPayment,0), 0)</f>
        <v>5691.1875192575681</v>
      </c>
      <c r="F121" s="206">
        <f>IFERROR(IF(LoanIsNotPaid*LoanIsGood,Principal,0), 0)</f>
        <v>4537.7937774090615</v>
      </c>
      <c r="G121" s="206">
        <f>SUM($F$17:F121)</f>
        <v>437501.54866830516</v>
      </c>
      <c r="H121" s="206">
        <f>IFERROR(IF(LoanIsNotPaid*LoanIsGood,InterestAmt,0), 0)</f>
        <v>1153.3937418485066</v>
      </c>
      <c r="I121" s="206">
        <f>SUM($H$17:H121)</f>
        <v>160073.14085373937</v>
      </c>
      <c r="J121" s="206">
        <f>IFERROR(IF(LoanIsNotPaid*LoanIsGood,EndingBalance,0), 0)</f>
        <v>687498.45133167552</v>
      </c>
      <c r="K121" s="178"/>
    </row>
    <row r="122" spans="1:11" ht="20.25" customHeight="1" x14ac:dyDescent="0.15">
      <c r="A122" s="178"/>
      <c r="B122" s="204">
        <f>IFERROR(IF(LoanIsNotPaid*LoanIsGood,PaymentNumber,""), "")</f>
        <v>106</v>
      </c>
      <c r="C122" s="205">
        <f>IFERROR(IF(LoanIsNotPaid*LoanIsGood,PaymentDate,LoanStartDate), LoanStartDate)</f>
        <v>48884</v>
      </c>
      <c r="D122" s="206">
        <f>IFERROR(IF(LoanIsNotPaid*LoanIsGood,LoanValue,""), "")</f>
        <v>687498.45133167552</v>
      </c>
      <c r="E122" s="206">
        <f>IFERROR(IF(LoanIsNotPaid*LoanIsGood,MonthlyPayment,0), 0)</f>
        <v>5691.1875192575681</v>
      </c>
      <c r="F122" s="206">
        <f>IFERROR(IF(LoanIsNotPaid*LoanIsGood,Principal,0), 0)</f>
        <v>4545.3567670380762</v>
      </c>
      <c r="G122" s="206">
        <f>SUM($F$17:F122)</f>
        <v>442046.90543534321</v>
      </c>
      <c r="H122" s="206">
        <f>IFERROR(IF(LoanIsNotPaid*LoanIsGood,InterestAmt,0), 0)</f>
        <v>1145.8307522194914</v>
      </c>
      <c r="I122" s="206">
        <f>SUM($H$17:H122)</f>
        <v>161218.97160595885</v>
      </c>
      <c r="J122" s="206">
        <f>IFERROR(IF(LoanIsNotPaid*LoanIsGood,EndingBalance,0), 0)</f>
        <v>682953.0945646374</v>
      </c>
      <c r="K122" s="178"/>
    </row>
    <row r="123" spans="1:11" ht="20.25" customHeight="1" x14ac:dyDescent="0.15">
      <c r="A123" s="178"/>
      <c r="B123" s="204">
        <f>IFERROR(IF(LoanIsNotPaid*LoanIsGood,PaymentNumber,""), "")</f>
        <v>107</v>
      </c>
      <c r="C123" s="205">
        <f>IFERROR(IF(LoanIsNotPaid*LoanIsGood,PaymentDate,LoanStartDate), LoanStartDate)</f>
        <v>48914</v>
      </c>
      <c r="D123" s="206">
        <f>IFERROR(IF(LoanIsNotPaid*LoanIsGood,LoanValue,""), "")</f>
        <v>682953.0945646374</v>
      </c>
      <c r="E123" s="206">
        <f>IFERROR(IF(LoanIsNotPaid*LoanIsGood,MonthlyPayment,0), 0)</f>
        <v>5691.1875192575681</v>
      </c>
      <c r="F123" s="206">
        <f>IFERROR(IF(LoanIsNotPaid*LoanIsGood,Principal,0), 0)</f>
        <v>4552.9323616498068</v>
      </c>
      <c r="G123" s="206">
        <f>SUM($F$17:F123)</f>
        <v>446599.83779699303</v>
      </c>
      <c r="H123" s="206">
        <f>IFERROR(IF(LoanIsNotPaid*LoanIsGood,InterestAmt,0), 0)</f>
        <v>1138.2551576077612</v>
      </c>
      <c r="I123" s="206">
        <f>SUM($H$17:H123)</f>
        <v>162357.22676356661</v>
      </c>
      <c r="J123" s="206">
        <f>IFERROR(IF(LoanIsNotPaid*LoanIsGood,EndingBalance,0), 0)</f>
        <v>678400.16220298689</v>
      </c>
      <c r="K123" s="178"/>
    </row>
    <row r="124" spans="1:11" ht="20.25" customHeight="1" x14ac:dyDescent="0.15">
      <c r="A124" s="209"/>
      <c r="B124" s="210">
        <f>IFERROR(IF(LoanIsNotPaid*LoanIsGood,PaymentNumber,""), "")</f>
        <v>108</v>
      </c>
      <c r="C124" s="211">
        <f>IFERROR(IF(LoanIsNotPaid*LoanIsGood,PaymentDate,LoanStartDate), LoanStartDate)</f>
        <v>48945</v>
      </c>
      <c r="D124" s="212">
        <f>IFERROR(IF(LoanIsNotPaid*LoanIsGood,LoanValue,""), "")</f>
        <v>678400.16220298689</v>
      </c>
      <c r="E124" s="212">
        <f>IFERROR(IF(LoanIsNotPaid*LoanIsGood,MonthlyPayment,0), 0)</f>
        <v>5691.1875192575681</v>
      </c>
      <c r="F124" s="212">
        <f>IFERROR(IF(LoanIsNotPaid*LoanIsGood,Principal,0), 0)</f>
        <v>4560.5205822525568</v>
      </c>
      <c r="G124" s="212">
        <f>SUM($F$17:F124)</f>
        <v>451160.35837924556</v>
      </c>
      <c r="H124" s="212">
        <f>IFERROR(IF(LoanIsNotPaid*LoanIsGood,InterestAmt,0), 0)</f>
        <v>1130.6669370050115</v>
      </c>
      <c r="I124" s="212">
        <f>SUM($H$17:H124)</f>
        <v>163487.89370057161</v>
      </c>
      <c r="J124" s="212">
        <f>IFERROR(IF(LoanIsNotPaid*LoanIsGood,EndingBalance,0), 0)</f>
        <v>673839.64162073459</v>
      </c>
      <c r="K124" s="209"/>
    </row>
    <row r="125" spans="1:11" ht="20.25" customHeight="1" x14ac:dyDescent="0.15">
      <c r="A125" s="178"/>
      <c r="B125" s="204">
        <f>IFERROR(IF(LoanIsNotPaid*LoanIsGood,PaymentNumber,""), "")</f>
        <v>109</v>
      </c>
      <c r="C125" s="205">
        <f>IFERROR(IF(LoanIsNotPaid*LoanIsGood,PaymentDate,LoanStartDate), LoanStartDate)</f>
        <v>48976</v>
      </c>
      <c r="D125" s="206">
        <f>IFERROR(IF(LoanIsNotPaid*LoanIsGood,LoanValue,""), "")</f>
        <v>673839.64162073459</v>
      </c>
      <c r="E125" s="206">
        <f>IFERROR(IF(LoanIsNotPaid*LoanIsGood,MonthlyPayment,0), 0)</f>
        <v>5691.1875192575681</v>
      </c>
      <c r="F125" s="206">
        <f>IFERROR(IF(LoanIsNotPaid*LoanIsGood,Principal,0), 0)</f>
        <v>4568.1214498896443</v>
      </c>
      <c r="G125" s="206">
        <f>SUM($F$17:F125)</f>
        <v>455728.47982913523</v>
      </c>
      <c r="H125" s="206">
        <f>IFERROR(IF(LoanIsNotPaid*LoanIsGood,InterestAmt,0), 0)</f>
        <v>1123.066069367924</v>
      </c>
      <c r="I125" s="206">
        <f>SUM($H$17:H125)</f>
        <v>164610.95976993954</v>
      </c>
      <c r="J125" s="206">
        <f>IFERROR(IF(LoanIsNotPaid*LoanIsGood,EndingBalance,0), 0)</f>
        <v>669271.52017084451</v>
      </c>
      <c r="K125" s="178"/>
    </row>
    <row r="126" spans="1:11" ht="20.25" customHeight="1" x14ac:dyDescent="0.15">
      <c r="A126" s="178"/>
      <c r="B126" s="204">
        <f>IFERROR(IF(LoanIsNotPaid*LoanIsGood,PaymentNumber,""), "")</f>
        <v>110</v>
      </c>
      <c r="C126" s="205">
        <f>IFERROR(IF(LoanIsNotPaid*LoanIsGood,PaymentDate,LoanStartDate), LoanStartDate)</f>
        <v>49004</v>
      </c>
      <c r="D126" s="206">
        <f>IFERROR(IF(LoanIsNotPaid*LoanIsGood,LoanValue,""), "")</f>
        <v>669271.52017084451</v>
      </c>
      <c r="E126" s="206">
        <f>IFERROR(IF(LoanIsNotPaid*LoanIsGood,MonthlyPayment,0), 0)</f>
        <v>5691.1875192575681</v>
      </c>
      <c r="F126" s="206">
        <f>IFERROR(IF(LoanIsNotPaid*LoanIsGood,Principal,0), 0)</f>
        <v>4575.7349856394603</v>
      </c>
      <c r="G126" s="206">
        <f>SUM($F$17:F126)</f>
        <v>460304.21481477469</v>
      </c>
      <c r="H126" s="206">
        <f>IFERROR(IF(LoanIsNotPaid*LoanIsGood,InterestAmt,0), 0)</f>
        <v>1115.452533618108</v>
      </c>
      <c r="I126" s="206">
        <f>SUM($H$17:H126)</f>
        <v>165726.41230355765</v>
      </c>
      <c r="J126" s="206">
        <f>IFERROR(IF(LoanIsNotPaid*LoanIsGood,EndingBalance,0), 0)</f>
        <v>664695.78518520447</v>
      </c>
      <c r="K126" s="178"/>
    </row>
    <row r="127" spans="1:11" ht="20.25" customHeight="1" x14ac:dyDescent="0.15">
      <c r="A127" s="178"/>
      <c r="B127" s="204">
        <f>IFERROR(IF(LoanIsNotPaid*LoanIsGood,PaymentNumber,""), "")</f>
        <v>111</v>
      </c>
      <c r="C127" s="205">
        <f>IFERROR(IF(LoanIsNotPaid*LoanIsGood,PaymentDate,LoanStartDate), LoanStartDate)</f>
        <v>49035</v>
      </c>
      <c r="D127" s="206">
        <f>IFERROR(IF(LoanIsNotPaid*LoanIsGood,LoanValue,""), "")</f>
        <v>664695.78518520447</v>
      </c>
      <c r="E127" s="206">
        <f>IFERROR(IF(LoanIsNotPaid*LoanIsGood,MonthlyPayment,0), 0)</f>
        <v>5691.1875192575681</v>
      </c>
      <c r="F127" s="206">
        <f>IFERROR(IF(LoanIsNotPaid*LoanIsGood,Principal,0), 0)</f>
        <v>4583.361210615526</v>
      </c>
      <c r="G127" s="206">
        <f>SUM($F$17:F127)</f>
        <v>464887.57602539024</v>
      </c>
      <c r="H127" s="206">
        <f>IFERROR(IF(LoanIsNotPaid*LoanIsGood,InterestAmt,0), 0)</f>
        <v>1107.8263086420422</v>
      </c>
      <c r="I127" s="206">
        <f>SUM($H$17:H127)</f>
        <v>166834.2386121997</v>
      </c>
      <c r="J127" s="206">
        <f>IFERROR(IF(LoanIsNotPaid*LoanIsGood,EndingBalance,0), 0)</f>
        <v>660112.42397458886</v>
      </c>
      <c r="K127" s="178"/>
    </row>
    <row r="128" spans="1:11" ht="20.25" customHeight="1" x14ac:dyDescent="0.15">
      <c r="A128" s="178"/>
      <c r="B128" s="204">
        <f>IFERROR(IF(LoanIsNotPaid*LoanIsGood,PaymentNumber,""), "")</f>
        <v>112</v>
      </c>
      <c r="C128" s="205">
        <f>IFERROR(IF(LoanIsNotPaid*LoanIsGood,PaymentDate,LoanStartDate), LoanStartDate)</f>
        <v>49065</v>
      </c>
      <c r="D128" s="206">
        <f>IFERROR(IF(LoanIsNotPaid*LoanIsGood,LoanValue,""), "")</f>
        <v>660112.42397458886</v>
      </c>
      <c r="E128" s="206">
        <f>IFERROR(IF(LoanIsNotPaid*LoanIsGood,MonthlyPayment,0), 0)</f>
        <v>5691.1875192575681</v>
      </c>
      <c r="F128" s="206">
        <f>IFERROR(IF(LoanIsNotPaid*LoanIsGood,Principal,0), 0)</f>
        <v>4591.0001459665518</v>
      </c>
      <c r="G128" s="206">
        <f>SUM($F$17:F128)</f>
        <v>469478.57617135678</v>
      </c>
      <c r="H128" s="206">
        <f>IFERROR(IF(LoanIsNotPaid*LoanIsGood,InterestAmt,0), 0)</f>
        <v>1100.1873732910165</v>
      </c>
      <c r="I128" s="206">
        <f>SUM($H$17:H128)</f>
        <v>167934.4259854907</v>
      </c>
      <c r="J128" s="206">
        <f>IFERROR(IF(LoanIsNotPaid*LoanIsGood,EndingBalance,0), 0)</f>
        <v>655521.42382862186</v>
      </c>
      <c r="K128" s="178"/>
    </row>
    <row r="129" spans="1:11" ht="20.25" customHeight="1" x14ac:dyDescent="0.15">
      <c r="A129" s="178"/>
      <c r="B129" s="204">
        <f>IFERROR(IF(LoanIsNotPaid*LoanIsGood,PaymentNumber,""), "")</f>
        <v>113</v>
      </c>
      <c r="C129" s="205">
        <f>IFERROR(IF(LoanIsNotPaid*LoanIsGood,PaymentDate,LoanStartDate), LoanStartDate)</f>
        <v>49096</v>
      </c>
      <c r="D129" s="206">
        <f>IFERROR(IF(LoanIsNotPaid*LoanIsGood,LoanValue,""), "")</f>
        <v>655521.42382862186</v>
      </c>
      <c r="E129" s="206">
        <f>IFERROR(IF(LoanIsNotPaid*LoanIsGood,MonthlyPayment,0), 0)</f>
        <v>5691.1875192575681</v>
      </c>
      <c r="F129" s="206">
        <f>IFERROR(IF(LoanIsNotPaid*LoanIsGood,Principal,0), 0)</f>
        <v>4598.6518128764956</v>
      </c>
      <c r="G129" s="206">
        <f>SUM($F$17:F129)</f>
        <v>474077.22798423329</v>
      </c>
      <c r="H129" s="206">
        <f>IFERROR(IF(LoanIsNotPaid*LoanIsGood,InterestAmt,0), 0)</f>
        <v>1092.5357063810723</v>
      </c>
      <c r="I129" s="206">
        <f>SUM($H$17:H129)</f>
        <v>169026.96169187178</v>
      </c>
      <c r="J129" s="206">
        <f>IFERROR(IF(LoanIsNotPaid*LoanIsGood,EndingBalance,0), 0)</f>
        <v>650922.77201574529</v>
      </c>
      <c r="K129" s="178"/>
    </row>
    <row r="130" spans="1:11" ht="20.25" customHeight="1" x14ac:dyDescent="0.15">
      <c r="A130" s="178"/>
      <c r="B130" s="204">
        <f>IFERROR(IF(LoanIsNotPaid*LoanIsGood,PaymentNumber,""), "")</f>
        <v>114</v>
      </c>
      <c r="C130" s="205">
        <f>IFERROR(IF(LoanIsNotPaid*LoanIsGood,PaymentDate,LoanStartDate), LoanStartDate)</f>
        <v>49126</v>
      </c>
      <c r="D130" s="206">
        <f>IFERROR(IF(LoanIsNotPaid*LoanIsGood,LoanValue,""), "")</f>
        <v>650922.77201574529</v>
      </c>
      <c r="E130" s="206">
        <f>IFERROR(IF(LoanIsNotPaid*LoanIsGood,MonthlyPayment,0), 0)</f>
        <v>5691.1875192575681</v>
      </c>
      <c r="F130" s="206">
        <f>IFERROR(IF(LoanIsNotPaid*LoanIsGood,Principal,0), 0)</f>
        <v>4606.3162325646235</v>
      </c>
      <c r="G130" s="206">
        <f>SUM($F$17:F130)</f>
        <v>478683.54421679792</v>
      </c>
      <c r="H130" s="206">
        <f>IFERROR(IF(LoanIsNotPaid*LoanIsGood,InterestAmt,0), 0)</f>
        <v>1084.8712866929443</v>
      </c>
      <c r="I130" s="206">
        <f>SUM($H$17:H130)</f>
        <v>170111.83297856472</v>
      </c>
      <c r="J130" s="206">
        <f>IFERROR(IF(LoanIsNotPaid*LoanIsGood,EndingBalance,0), 0)</f>
        <v>646316.45578318078</v>
      </c>
      <c r="K130" s="178"/>
    </row>
    <row r="131" spans="1:11" ht="20.25" customHeight="1" x14ac:dyDescent="0.15">
      <c r="A131" s="178"/>
      <c r="B131" s="204">
        <f>IFERROR(IF(LoanIsNotPaid*LoanIsGood,PaymentNumber,""), "")</f>
        <v>115</v>
      </c>
      <c r="C131" s="205">
        <f>IFERROR(IF(LoanIsNotPaid*LoanIsGood,PaymentDate,LoanStartDate), LoanStartDate)</f>
        <v>49157</v>
      </c>
      <c r="D131" s="206">
        <f>IFERROR(IF(LoanIsNotPaid*LoanIsGood,LoanValue,""), "")</f>
        <v>646316.45578318078</v>
      </c>
      <c r="E131" s="206">
        <f>IFERROR(IF(LoanIsNotPaid*LoanIsGood,MonthlyPayment,0), 0)</f>
        <v>5691.1875192575681</v>
      </c>
      <c r="F131" s="206">
        <f>IFERROR(IF(LoanIsNotPaid*LoanIsGood,Principal,0), 0)</f>
        <v>4613.9934262855641</v>
      </c>
      <c r="G131" s="206">
        <f>SUM($F$17:F131)</f>
        <v>483297.53764308349</v>
      </c>
      <c r="H131" s="206">
        <f>IFERROR(IF(LoanIsNotPaid*LoanIsGood,InterestAmt,0), 0)</f>
        <v>1077.1940929720035</v>
      </c>
      <c r="I131" s="206">
        <f>SUM($H$17:H131)</f>
        <v>171189.02707153672</v>
      </c>
      <c r="J131" s="206">
        <f>IFERROR(IF(LoanIsNotPaid*LoanIsGood,EndingBalance,0), 0)</f>
        <v>641702.46235689451</v>
      </c>
      <c r="K131" s="178"/>
    </row>
    <row r="132" spans="1:11" ht="20.25" customHeight="1" x14ac:dyDescent="0.15">
      <c r="A132" s="178"/>
      <c r="B132" s="204">
        <f>IFERROR(IF(LoanIsNotPaid*LoanIsGood,PaymentNumber,""), "")</f>
        <v>116</v>
      </c>
      <c r="C132" s="205">
        <f>IFERROR(IF(LoanIsNotPaid*LoanIsGood,PaymentDate,LoanStartDate), LoanStartDate)</f>
        <v>49188</v>
      </c>
      <c r="D132" s="206">
        <f>IFERROR(IF(LoanIsNotPaid*LoanIsGood,LoanValue,""), "")</f>
        <v>641702.46235689451</v>
      </c>
      <c r="E132" s="206">
        <f>IFERROR(IF(LoanIsNotPaid*LoanIsGood,MonthlyPayment,0), 0)</f>
        <v>5691.1875192575681</v>
      </c>
      <c r="F132" s="206">
        <f>IFERROR(IF(LoanIsNotPaid*LoanIsGood,Principal,0), 0)</f>
        <v>4621.6834153293739</v>
      </c>
      <c r="G132" s="206">
        <f>SUM($F$17:F132)</f>
        <v>487919.22105841286</v>
      </c>
      <c r="H132" s="206">
        <f>IFERROR(IF(LoanIsNotPaid*LoanIsGood,InterestAmt,0), 0)</f>
        <v>1069.5041039281944</v>
      </c>
      <c r="I132" s="206">
        <f>SUM($H$17:H132)</f>
        <v>172258.53117546492</v>
      </c>
      <c r="J132" s="206">
        <f>IFERROR(IF(LoanIsNotPaid*LoanIsGood,EndingBalance,0), 0)</f>
        <v>637080.77894156519</v>
      </c>
      <c r="K132" s="178"/>
    </row>
    <row r="133" spans="1:11" ht="20.25" customHeight="1" x14ac:dyDescent="0.15">
      <c r="A133" s="178"/>
      <c r="B133" s="204">
        <f>IFERROR(IF(LoanIsNotPaid*LoanIsGood,PaymentNumber,""), "")</f>
        <v>117</v>
      </c>
      <c r="C133" s="205">
        <f>IFERROR(IF(LoanIsNotPaid*LoanIsGood,PaymentDate,LoanStartDate), LoanStartDate)</f>
        <v>49218</v>
      </c>
      <c r="D133" s="206">
        <f>IFERROR(IF(LoanIsNotPaid*LoanIsGood,LoanValue,""), "")</f>
        <v>637080.77894156519</v>
      </c>
      <c r="E133" s="206">
        <f>IFERROR(IF(LoanIsNotPaid*LoanIsGood,MonthlyPayment,0), 0)</f>
        <v>5691.1875192575681</v>
      </c>
      <c r="F133" s="206">
        <f>IFERROR(IF(LoanIsNotPaid*LoanIsGood,Principal,0), 0)</f>
        <v>4629.3862210215893</v>
      </c>
      <c r="G133" s="206">
        <f>SUM($F$17:F133)</f>
        <v>492548.60727943445</v>
      </c>
      <c r="H133" s="206">
        <f>IFERROR(IF(LoanIsNotPaid*LoanIsGood,InterestAmt,0), 0)</f>
        <v>1061.8012982359785</v>
      </c>
      <c r="I133" s="206">
        <f>SUM($H$17:H133)</f>
        <v>173320.3324737009</v>
      </c>
      <c r="J133" s="206">
        <f>IFERROR(IF(LoanIsNotPaid*LoanIsGood,EndingBalance,0), 0)</f>
        <v>632451.39272054308</v>
      </c>
      <c r="K133" s="178"/>
    </row>
    <row r="134" spans="1:11" ht="20.25" customHeight="1" x14ac:dyDescent="0.15">
      <c r="A134" s="178"/>
      <c r="B134" s="204">
        <f>IFERROR(IF(LoanIsNotPaid*LoanIsGood,PaymentNumber,""), "")</f>
        <v>118</v>
      </c>
      <c r="C134" s="205">
        <f>IFERROR(IF(LoanIsNotPaid*LoanIsGood,PaymentDate,LoanStartDate), LoanStartDate)</f>
        <v>49249</v>
      </c>
      <c r="D134" s="206">
        <f>IFERROR(IF(LoanIsNotPaid*LoanIsGood,LoanValue,""), "")</f>
        <v>632451.39272054308</v>
      </c>
      <c r="E134" s="206">
        <f>IFERROR(IF(LoanIsNotPaid*LoanIsGood,MonthlyPayment,0), 0)</f>
        <v>5691.1875192575681</v>
      </c>
      <c r="F134" s="206">
        <f>IFERROR(IF(LoanIsNotPaid*LoanIsGood,Principal,0), 0)</f>
        <v>4637.1018647232922</v>
      </c>
      <c r="G134" s="206">
        <f>SUM($F$17:F134)</f>
        <v>497185.70914415776</v>
      </c>
      <c r="H134" s="206">
        <f>IFERROR(IF(LoanIsNotPaid*LoanIsGood,InterestAmt,0), 0)</f>
        <v>1054.0856545342763</v>
      </c>
      <c r="I134" s="206">
        <f>SUM($H$17:H134)</f>
        <v>174374.41812823518</v>
      </c>
      <c r="J134" s="206">
        <f>IFERROR(IF(LoanIsNotPaid*LoanIsGood,EndingBalance,0), 0)</f>
        <v>627814.29085582017</v>
      </c>
      <c r="K134" s="178"/>
    </row>
    <row r="135" spans="1:11" ht="20.25" customHeight="1" x14ac:dyDescent="0.15">
      <c r="A135" s="178"/>
      <c r="B135" s="204">
        <f>IFERROR(IF(LoanIsNotPaid*LoanIsGood,PaymentNumber,""), "")</f>
        <v>119</v>
      </c>
      <c r="C135" s="205">
        <f>IFERROR(IF(LoanIsNotPaid*LoanIsGood,PaymentDate,LoanStartDate), LoanStartDate)</f>
        <v>49279</v>
      </c>
      <c r="D135" s="206">
        <f>IFERROR(IF(LoanIsNotPaid*LoanIsGood,LoanValue,""), "")</f>
        <v>627814.29085582017</v>
      </c>
      <c r="E135" s="206">
        <f>IFERROR(IF(LoanIsNotPaid*LoanIsGood,MonthlyPayment,0), 0)</f>
        <v>5691.1875192575681</v>
      </c>
      <c r="F135" s="206">
        <f>IFERROR(IF(LoanIsNotPaid*LoanIsGood,Principal,0), 0)</f>
        <v>4644.830367831164</v>
      </c>
      <c r="G135" s="206">
        <f>SUM($F$17:F135)</f>
        <v>501830.53951198893</v>
      </c>
      <c r="H135" s="206">
        <f>IFERROR(IF(LoanIsNotPaid*LoanIsGood,InterestAmt,0), 0)</f>
        <v>1046.3571514264038</v>
      </c>
      <c r="I135" s="206">
        <f>SUM($H$17:H135)</f>
        <v>175420.77527966158</v>
      </c>
      <c r="J135" s="206">
        <f>IFERROR(IF(LoanIsNotPaid*LoanIsGood,EndingBalance,0), 0)</f>
        <v>623169.46048798854</v>
      </c>
      <c r="K135" s="178"/>
    </row>
    <row r="136" spans="1:11" ht="20.25" customHeight="1" x14ac:dyDescent="0.15">
      <c r="A136" s="178"/>
      <c r="B136" s="204">
        <f>IFERROR(IF(LoanIsNotPaid*LoanIsGood,PaymentNumber,""), "")</f>
        <v>120</v>
      </c>
      <c r="C136" s="205">
        <f>IFERROR(IF(LoanIsNotPaid*LoanIsGood,PaymentDate,LoanStartDate), LoanStartDate)</f>
        <v>49310</v>
      </c>
      <c r="D136" s="206">
        <f>IFERROR(IF(LoanIsNotPaid*LoanIsGood,LoanValue,""), "")</f>
        <v>623169.46048798854</v>
      </c>
      <c r="E136" s="206">
        <f>IFERROR(IF(LoanIsNotPaid*LoanIsGood,MonthlyPayment,0), 0)</f>
        <v>5691.1875192575681</v>
      </c>
      <c r="F136" s="206">
        <f>IFERROR(IF(LoanIsNotPaid*LoanIsGood,Principal,0), 0)</f>
        <v>4652.5717517775493</v>
      </c>
      <c r="G136" s="206">
        <f>SUM($F$17:F136)</f>
        <v>506483.11126376648</v>
      </c>
      <c r="H136" s="206">
        <f>IFERROR(IF(LoanIsNotPaid*LoanIsGood,InterestAmt,0), 0)</f>
        <v>1038.6157674800186</v>
      </c>
      <c r="I136" s="206">
        <f>SUM($H$17:H136)</f>
        <v>176459.3910471416</v>
      </c>
      <c r="J136" s="206">
        <f>IFERROR(IF(LoanIsNotPaid*LoanIsGood,EndingBalance,0), 0)</f>
        <v>618516.8887362103</v>
      </c>
      <c r="K136" s="178"/>
    </row>
    <row r="137" spans="1:11" ht="20.25" customHeight="1" x14ac:dyDescent="0.15">
      <c r="A137" s="178"/>
      <c r="B137" s="204">
        <f>IFERROR(IF(LoanIsNotPaid*LoanIsGood,PaymentNumber,""), "")</f>
        <v>121</v>
      </c>
      <c r="C137" s="205">
        <f>IFERROR(IF(LoanIsNotPaid*LoanIsGood,PaymentDate,LoanStartDate), LoanStartDate)</f>
        <v>49341</v>
      </c>
      <c r="D137" s="206">
        <f>IFERROR(IF(LoanIsNotPaid*LoanIsGood,LoanValue,""), "")</f>
        <v>618516.8887362103</v>
      </c>
      <c r="E137" s="206">
        <f>IFERROR(IF(LoanIsNotPaid*LoanIsGood,MonthlyPayment,0), 0)</f>
        <v>5691.1875192575681</v>
      </c>
      <c r="F137" s="206">
        <f>IFERROR(IF(LoanIsNotPaid*LoanIsGood,Principal,0), 0)</f>
        <v>4660.3260380305119</v>
      </c>
      <c r="G137" s="206">
        <f>SUM($F$17:F137)</f>
        <v>511143.43730179698</v>
      </c>
      <c r="H137" s="206">
        <f>IFERROR(IF(LoanIsNotPaid*LoanIsGood,InterestAmt,0), 0)</f>
        <v>1030.8614812270559</v>
      </c>
      <c r="I137" s="206">
        <f>SUM($H$17:H137)</f>
        <v>177490.25252836867</v>
      </c>
      <c r="J137" s="206">
        <f>IFERROR(IF(LoanIsNotPaid*LoanIsGood,EndingBalance,0), 0)</f>
        <v>613856.56269817997</v>
      </c>
      <c r="K137" s="178"/>
    </row>
    <row r="138" spans="1:11" ht="15" customHeight="1" x14ac:dyDescent="0.15">
      <c r="A138" s="178"/>
      <c r="B138" s="204">
        <f>IFERROR(IF(LoanIsNotPaid*LoanIsGood,PaymentNumber,""), "")</f>
        <v>122</v>
      </c>
      <c r="C138" s="205">
        <f>IFERROR(IF(LoanIsNotPaid*LoanIsGood,PaymentDate,LoanStartDate), LoanStartDate)</f>
        <v>49369</v>
      </c>
      <c r="D138" s="206">
        <f>IFERROR(IF(LoanIsNotPaid*LoanIsGood,LoanValue,""), "")</f>
        <v>613856.56269817997</v>
      </c>
      <c r="E138" s="206">
        <f>IFERROR(IF(LoanIsNotPaid*LoanIsGood,MonthlyPayment,0), 0)</f>
        <v>5691.1875192575681</v>
      </c>
      <c r="F138" s="206">
        <f>IFERROR(IF(LoanIsNotPaid*LoanIsGood,Principal,0), 0)</f>
        <v>4668.0932480938973</v>
      </c>
      <c r="G138" s="206">
        <f>SUM($F$17:F138)</f>
        <v>515811.53054989089</v>
      </c>
      <c r="H138" s="206">
        <f>IFERROR(IF(LoanIsNotPaid*LoanIsGood,InterestAmt,0), 0)</f>
        <v>1023.0942711636718</v>
      </c>
      <c r="I138" s="206">
        <f>SUM($H$17:H138)</f>
        <v>178513.34679953233</v>
      </c>
      <c r="J138" s="206">
        <f>IFERROR(IF(LoanIsNotPaid*LoanIsGood,EndingBalance,0), 0)</f>
        <v>609188.46945008554</v>
      </c>
    </row>
    <row r="139" spans="1:11" ht="15" customHeight="1" x14ac:dyDescent="0.15">
      <c r="A139" s="178"/>
      <c r="B139" s="204">
        <f>IFERROR(IF(LoanIsNotPaid*LoanIsGood,PaymentNumber,""), "")</f>
        <v>123</v>
      </c>
      <c r="C139" s="205">
        <f>IFERROR(IF(LoanIsNotPaid*LoanIsGood,PaymentDate,LoanStartDate), LoanStartDate)</f>
        <v>49400</v>
      </c>
      <c r="D139" s="206">
        <f>IFERROR(IF(LoanIsNotPaid*LoanIsGood,LoanValue,""), "")</f>
        <v>609188.46945008554</v>
      </c>
      <c r="E139" s="206">
        <f>IFERROR(IF(LoanIsNotPaid*LoanIsGood,MonthlyPayment,0), 0)</f>
        <v>5691.1875192575681</v>
      </c>
      <c r="F139" s="206">
        <f>IFERROR(IF(LoanIsNotPaid*LoanIsGood,Principal,0), 0)</f>
        <v>4675.8734035073858</v>
      </c>
      <c r="G139" s="206">
        <f>SUM($F$17:F139)</f>
        <v>520487.40395339829</v>
      </c>
      <c r="H139" s="206">
        <f>IFERROR(IF(LoanIsNotPaid*LoanIsGood,InterestAmt,0), 0)</f>
        <v>1015.3141157501821</v>
      </c>
      <c r="I139" s="206">
        <f>SUM($H$17:H139)</f>
        <v>179528.66091528253</v>
      </c>
      <c r="J139" s="206">
        <f>IFERROR(IF(LoanIsNotPaid*LoanIsGood,EndingBalance,0), 0)</f>
        <v>604512.59604657791</v>
      </c>
    </row>
    <row r="140" spans="1:11" ht="15" customHeight="1" x14ac:dyDescent="0.15">
      <c r="A140" s="178"/>
      <c r="B140" s="204">
        <f>IFERROR(IF(LoanIsNotPaid*LoanIsGood,PaymentNumber,""), "")</f>
        <v>124</v>
      </c>
      <c r="C140" s="205">
        <f>IFERROR(IF(LoanIsNotPaid*LoanIsGood,PaymentDate,LoanStartDate), LoanStartDate)</f>
        <v>49430</v>
      </c>
      <c r="D140" s="206">
        <f>IFERROR(IF(LoanIsNotPaid*LoanIsGood,LoanValue,""), "")</f>
        <v>604512.59604657791</v>
      </c>
      <c r="E140" s="206">
        <f>IFERROR(IF(LoanIsNotPaid*LoanIsGood,MonthlyPayment,0), 0)</f>
        <v>5691.1875192575681</v>
      </c>
      <c r="F140" s="206">
        <f>IFERROR(IF(LoanIsNotPaid*LoanIsGood,Principal,0), 0)</f>
        <v>4683.6665258465646</v>
      </c>
      <c r="G140" s="206">
        <f>SUM($F$17:F140)</f>
        <v>525171.07047924481</v>
      </c>
      <c r="H140" s="206">
        <f>IFERROR(IF(LoanIsNotPaid*LoanIsGood,InterestAmt,0), 0)</f>
        <v>1007.5209934110032</v>
      </c>
      <c r="I140" s="206">
        <f>SUM($H$17:H140)</f>
        <v>180536.18190869354</v>
      </c>
      <c r="J140" s="206">
        <f>IFERROR(IF(LoanIsNotPaid*LoanIsGood,EndingBalance,0), 0)</f>
        <v>599828.92952073179</v>
      </c>
    </row>
    <row r="141" spans="1:11" ht="15" customHeight="1" x14ac:dyDescent="0.15">
      <c r="A141" s="178"/>
      <c r="B141" s="204">
        <f>IFERROR(IF(LoanIsNotPaid*LoanIsGood,PaymentNumber,""), "")</f>
        <v>125</v>
      </c>
      <c r="C141" s="205">
        <f>IFERROR(IF(LoanIsNotPaid*LoanIsGood,PaymentDate,LoanStartDate), LoanStartDate)</f>
        <v>49461</v>
      </c>
      <c r="D141" s="206">
        <f>IFERROR(IF(LoanIsNotPaid*LoanIsGood,LoanValue,""), "")</f>
        <v>599828.92952073179</v>
      </c>
      <c r="E141" s="206">
        <f>IFERROR(IF(LoanIsNotPaid*LoanIsGood,MonthlyPayment,0), 0)</f>
        <v>5691.1875192575681</v>
      </c>
      <c r="F141" s="206">
        <f>IFERROR(IF(LoanIsNotPaid*LoanIsGood,Principal,0), 0)</f>
        <v>4691.4726367229759</v>
      </c>
      <c r="G141" s="206">
        <f>SUM($F$17:F141)</f>
        <v>529862.54311596777</v>
      </c>
      <c r="H141" s="206">
        <f>IFERROR(IF(LoanIsNotPaid*LoanIsGood,InterestAmt,0), 0)</f>
        <v>999.71488253459199</v>
      </c>
      <c r="I141" s="206">
        <f>SUM($H$17:H141)</f>
        <v>181535.89679122812</v>
      </c>
      <c r="J141" s="206">
        <f>IFERROR(IF(LoanIsNotPaid*LoanIsGood,EndingBalance,0), 0)</f>
        <v>595137.4568840079</v>
      </c>
    </row>
    <row r="142" spans="1:11" ht="15" customHeight="1" x14ac:dyDescent="0.15">
      <c r="A142" s="178"/>
      <c r="B142" s="204">
        <f>IFERROR(IF(LoanIsNotPaid*LoanIsGood,PaymentNumber,""), "")</f>
        <v>126</v>
      </c>
      <c r="C142" s="205">
        <f>IFERROR(IF(LoanIsNotPaid*LoanIsGood,PaymentDate,LoanStartDate), LoanStartDate)</f>
        <v>49491</v>
      </c>
      <c r="D142" s="206">
        <f>IFERROR(IF(LoanIsNotPaid*LoanIsGood,LoanValue,""), "")</f>
        <v>595137.4568840079</v>
      </c>
      <c r="E142" s="206">
        <f>IFERROR(IF(LoanIsNotPaid*LoanIsGood,MonthlyPayment,0), 0)</f>
        <v>5691.1875192575681</v>
      </c>
      <c r="F142" s="206">
        <f>IFERROR(IF(LoanIsNotPaid*LoanIsGood,Principal,0), 0)</f>
        <v>4699.2917577841808</v>
      </c>
      <c r="G142" s="206">
        <f>SUM($F$17:F142)</f>
        <v>534561.83487375197</v>
      </c>
      <c r="H142" s="206">
        <f>IFERROR(IF(LoanIsNotPaid*LoanIsGood,InterestAmt,0), 0)</f>
        <v>991.89576147338687</v>
      </c>
      <c r="I142" s="206">
        <f>SUM($H$17:H142)</f>
        <v>182527.79255270152</v>
      </c>
      <c r="J142" s="206">
        <f>IFERROR(IF(LoanIsNotPaid*LoanIsGood,EndingBalance,0), 0)</f>
        <v>590438.16512622405</v>
      </c>
    </row>
    <row r="143" spans="1:11" ht="15" customHeight="1" x14ac:dyDescent="0.15">
      <c r="A143" s="178"/>
      <c r="B143" s="204">
        <f>IFERROR(IF(LoanIsNotPaid*LoanIsGood,PaymentNumber,""), "")</f>
        <v>127</v>
      </c>
      <c r="C143" s="205">
        <f>IFERROR(IF(LoanIsNotPaid*LoanIsGood,PaymentDate,LoanStartDate), LoanStartDate)</f>
        <v>49522</v>
      </c>
      <c r="D143" s="206">
        <f>IFERROR(IF(LoanIsNotPaid*LoanIsGood,LoanValue,""), "")</f>
        <v>590438.16512622405</v>
      </c>
      <c r="E143" s="206">
        <f>IFERROR(IF(LoanIsNotPaid*LoanIsGood,MonthlyPayment,0), 0)</f>
        <v>5691.1875192575681</v>
      </c>
      <c r="F143" s="206">
        <f>IFERROR(IF(LoanIsNotPaid*LoanIsGood,Principal,0), 0)</f>
        <v>4707.1239107138217</v>
      </c>
      <c r="G143" s="206">
        <f>SUM($F$17:F143)</f>
        <v>539268.95878446579</v>
      </c>
      <c r="H143" s="206">
        <f>IFERROR(IF(LoanIsNotPaid*LoanIsGood,InterestAmt,0), 0)</f>
        <v>984.0636085437468</v>
      </c>
      <c r="I143" s="206">
        <f>SUM($H$17:H143)</f>
        <v>183511.85616124526</v>
      </c>
      <c r="J143" s="206">
        <f>IFERROR(IF(LoanIsNotPaid*LoanIsGood,EndingBalance,0), 0)</f>
        <v>585731.04121550918</v>
      </c>
    </row>
    <row r="144" spans="1:11" ht="15" customHeight="1" x14ac:dyDescent="0.15">
      <c r="A144" s="178"/>
      <c r="B144" s="204">
        <f>IFERROR(IF(LoanIsNotPaid*LoanIsGood,PaymentNumber,""), "")</f>
        <v>128</v>
      </c>
      <c r="C144" s="205">
        <f>IFERROR(IF(LoanIsNotPaid*LoanIsGood,PaymentDate,LoanStartDate), LoanStartDate)</f>
        <v>49553</v>
      </c>
      <c r="D144" s="206">
        <f>IFERROR(IF(LoanIsNotPaid*LoanIsGood,LoanValue,""), "")</f>
        <v>585731.04121550918</v>
      </c>
      <c r="E144" s="206">
        <f>IFERROR(IF(LoanIsNotPaid*LoanIsGood,MonthlyPayment,0), 0)</f>
        <v>5691.1875192575681</v>
      </c>
      <c r="F144" s="206">
        <f>IFERROR(IF(LoanIsNotPaid*LoanIsGood,Principal,0), 0)</f>
        <v>4714.969117231677</v>
      </c>
      <c r="G144" s="206">
        <f>SUM($F$17:F144)</f>
        <v>543983.92790169746</v>
      </c>
      <c r="H144" s="206">
        <f>IFERROR(IF(LoanIsNotPaid*LoanIsGood,InterestAmt,0), 0)</f>
        <v>976.21840202589044</v>
      </c>
      <c r="I144" s="206">
        <f>SUM($H$17:H144)</f>
        <v>184488.07456327116</v>
      </c>
      <c r="J144" s="206">
        <f>IFERROR(IF(LoanIsNotPaid*LoanIsGood,EndingBalance,0), 0)</f>
        <v>581016.07209827751</v>
      </c>
    </row>
    <row r="145" spans="1:10" ht="15" customHeight="1" x14ac:dyDescent="0.15">
      <c r="A145" s="178"/>
      <c r="B145" s="204">
        <f>IFERROR(IF(LoanIsNotPaid*LoanIsGood,PaymentNumber,""), "")</f>
        <v>129</v>
      </c>
      <c r="C145" s="205">
        <f>IFERROR(IF(LoanIsNotPaid*LoanIsGood,PaymentDate,LoanStartDate), LoanStartDate)</f>
        <v>49583</v>
      </c>
      <c r="D145" s="206">
        <f>IFERROR(IF(LoanIsNotPaid*LoanIsGood,LoanValue,""), "")</f>
        <v>581016.07209827751</v>
      </c>
      <c r="E145" s="206">
        <f>IFERROR(IF(LoanIsNotPaid*LoanIsGood,MonthlyPayment,0), 0)</f>
        <v>5691.1875192575681</v>
      </c>
      <c r="F145" s="206">
        <f>IFERROR(IF(LoanIsNotPaid*LoanIsGood,Principal,0), 0)</f>
        <v>4722.8273990937305</v>
      </c>
      <c r="G145" s="206">
        <f>SUM($F$17:F145)</f>
        <v>548706.75530079124</v>
      </c>
      <c r="H145" s="206">
        <f>IFERROR(IF(LoanIsNotPaid*LoanIsGood,InterestAmt,0), 0)</f>
        <v>968.36012016383768</v>
      </c>
      <c r="I145" s="206">
        <f>SUM($H$17:H145)</f>
        <v>185456.43468343501</v>
      </c>
      <c r="J145" s="206">
        <f>IFERROR(IF(LoanIsNotPaid*LoanIsGood,EndingBalance,0), 0)</f>
        <v>576293.2446991835</v>
      </c>
    </row>
    <row r="146" spans="1:10" ht="15" customHeight="1" x14ac:dyDescent="0.15">
      <c r="A146" s="178"/>
      <c r="B146" s="204">
        <f>IFERROR(IF(LoanIsNotPaid*LoanIsGood,PaymentNumber,""), "")</f>
        <v>130</v>
      </c>
      <c r="C146" s="205">
        <f>IFERROR(IF(LoanIsNotPaid*LoanIsGood,PaymentDate,LoanStartDate), LoanStartDate)</f>
        <v>49614</v>
      </c>
      <c r="D146" s="206">
        <f>IFERROR(IF(LoanIsNotPaid*LoanIsGood,LoanValue,""), "")</f>
        <v>576293.2446991835</v>
      </c>
      <c r="E146" s="206">
        <f>IFERROR(IF(LoanIsNotPaid*LoanIsGood,MonthlyPayment,0), 0)</f>
        <v>5691.1875192575681</v>
      </c>
      <c r="F146" s="206">
        <f>IFERROR(IF(LoanIsNotPaid*LoanIsGood,Principal,0), 0)</f>
        <v>4730.69877809222</v>
      </c>
      <c r="G146" s="206">
        <f>SUM($F$17:F146)</f>
        <v>553437.4540788834</v>
      </c>
      <c r="H146" s="206">
        <f>IFERROR(IF(LoanIsNotPaid*LoanIsGood,InterestAmt,0), 0)</f>
        <v>960.48874116534796</v>
      </c>
      <c r="I146" s="206">
        <f>SUM($H$17:H146)</f>
        <v>186416.92342460036</v>
      </c>
      <c r="J146" s="206">
        <f>IFERROR(IF(LoanIsNotPaid*LoanIsGood,EndingBalance,0), 0)</f>
        <v>571562.54592109122</v>
      </c>
    </row>
    <row r="147" spans="1:10" ht="15" customHeight="1" x14ac:dyDescent="0.15">
      <c r="A147" s="178"/>
      <c r="B147" s="204">
        <f>IFERROR(IF(LoanIsNotPaid*LoanIsGood,PaymentNumber,""), "")</f>
        <v>131</v>
      </c>
      <c r="C147" s="205">
        <f>IFERROR(IF(LoanIsNotPaid*LoanIsGood,PaymentDate,LoanStartDate), LoanStartDate)</f>
        <v>49644</v>
      </c>
      <c r="D147" s="206">
        <f>IFERROR(IF(LoanIsNotPaid*LoanIsGood,LoanValue,""), "")</f>
        <v>571562.54592109122</v>
      </c>
      <c r="E147" s="206">
        <f>IFERROR(IF(LoanIsNotPaid*LoanIsGood,MonthlyPayment,0), 0)</f>
        <v>5691.1875192575681</v>
      </c>
      <c r="F147" s="206">
        <f>IFERROR(IF(LoanIsNotPaid*LoanIsGood,Principal,0), 0)</f>
        <v>4738.5832760557068</v>
      </c>
      <c r="G147" s="206">
        <f>SUM($F$17:F147)</f>
        <v>558176.03735493915</v>
      </c>
      <c r="H147" s="206">
        <f>IFERROR(IF(LoanIsNotPaid*LoanIsGood,InterestAmt,0), 0)</f>
        <v>952.6042432018611</v>
      </c>
      <c r="I147" s="206">
        <f>SUM($H$17:H147)</f>
        <v>187369.52766780223</v>
      </c>
      <c r="J147" s="206">
        <f>IFERROR(IF(LoanIsNotPaid*LoanIsGood,EndingBalance,0), 0)</f>
        <v>566823.96264503535</v>
      </c>
    </row>
    <row r="148" spans="1:10" ht="15" customHeight="1" x14ac:dyDescent="0.15">
      <c r="A148" s="178"/>
      <c r="B148" s="204">
        <f>IFERROR(IF(LoanIsNotPaid*LoanIsGood,PaymentNumber,""), "")</f>
        <v>132</v>
      </c>
      <c r="C148" s="205">
        <f>IFERROR(IF(LoanIsNotPaid*LoanIsGood,PaymentDate,LoanStartDate), LoanStartDate)</f>
        <v>49675</v>
      </c>
      <c r="D148" s="206">
        <f>IFERROR(IF(LoanIsNotPaid*LoanIsGood,LoanValue,""), "")</f>
        <v>566823.96264503535</v>
      </c>
      <c r="E148" s="206">
        <f>IFERROR(IF(LoanIsNotPaid*LoanIsGood,MonthlyPayment,0), 0)</f>
        <v>5691.1875192575681</v>
      </c>
      <c r="F148" s="206">
        <f>IFERROR(IF(LoanIsNotPaid*LoanIsGood,Principal,0), 0)</f>
        <v>4746.4809148491331</v>
      </c>
      <c r="G148" s="206">
        <f>SUM($F$17:F148)</f>
        <v>562922.51826978824</v>
      </c>
      <c r="H148" s="206">
        <f>IFERROR(IF(LoanIsNotPaid*LoanIsGood,InterestAmt,0), 0)</f>
        <v>944.70660440843483</v>
      </c>
      <c r="I148" s="206">
        <f>SUM($H$17:H148)</f>
        <v>188314.23427221066</v>
      </c>
      <c r="J148" s="206">
        <f>IFERROR(IF(LoanIsNotPaid*LoanIsGood,EndingBalance,0), 0)</f>
        <v>562077.48173018557</v>
      </c>
    </row>
    <row r="149" spans="1:10" ht="15" customHeight="1" x14ac:dyDescent="0.15">
      <c r="A149" s="178"/>
      <c r="B149" s="204">
        <f>IFERROR(IF(LoanIsNotPaid*LoanIsGood,PaymentNumber,""), "")</f>
        <v>133</v>
      </c>
      <c r="C149" s="205">
        <f>IFERROR(IF(LoanIsNotPaid*LoanIsGood,PaymentDate,LoanStartDate), LoanStartDate)</f>
        <v>49706</v>
      </c>
      <c r="D149" s="206">
        <f>IFERROR(IF(LoanIsNotPaid*LoanIsGood,LoanValue,""), "")</f>
        <v>562077.48173018557</v>
      </c>
      <c r="E149" s="206">
        <f>IFERROR(IF(LoanIsNotPaid*LoanIsGood,MonthlyPayment,0), 0)</f>
        <v>5691.1875192575681</v>
      </c>
      <c r="F149" s="206">
        <f>IFERROR(IF(LoanIsNotPaid*LoanIsGood,Principal,0), 0)</f>
        <v>4754.3917163738815</v>
      </c>
      <c r="G149" s="206">
        <f>SUM($F$17:F149)</f>
        <v>567676.90998616209</v>
      </c>
      <c r="H149" s="206">
        <f>IFERROR(IF(LoanIsNotPaid*LoanIsGood,InterestAmt,0), 0)</f>
        <v>936.79580288368629</v>
      </c>
      <c r="I149" s="206">
        <f>SUM($H$17:H149)</f>
        <v>189251.03007509434</v>
      </c>
      <c r="J149" s="206">
        <f>IFERROR(IF(LoanIsNotPaid*LoanIsGood,EndingBalance,0), 0)</f>
        <v>557323.09001381195</v>
      </c>
    </row>
    <row r="150" spans="1:10" ht="15" customHeight="1" x14ac:dyDescent="0.15">
      <c r="A150" s="178"/>
      <c r="B150" s="204">
        <f>IFERROR(IF(LoanIsNotPaid*LoanIsGood,PaymentNumber,""), "")</f>
        <v>134</v>
      </c>
      <c r="C150" s="205">
        <f>IFERROR(IF(LoanIsNotPaid*LoanIsGood,PaymentDate,LoanStartDate), LoanStartDate)</f>
        <v>49735</v>
      </c>
      <c r="D150" s="206">
        <f>IFERROR(IF(LoanIsNotPaid*LoanIsGood,LoanValue,""), "")</f>
        <v>557323.09001381195</v>
      </c>
      <c r="E150" s="206">
        <f>IFERROR(IF(LoanIsNotPaid*LoanIsGood,MonthlyPayment,0), 0)</f>
        <v>5691.1875192575681</v>
      </c>
      <c r="F150" s="206">
        <f>IFERROR(IF(LoanIsNotPaid*LoanIsGood,Principal,0), 0)</f>
        <v>4762.3157025678383</v>
      </c>
      <c r="G150" s="206">
        <f>SUM($F$17:F150)</f>
        <v>572439.2256887299</v>
      </c>
      <c r="H150" s="206">
        <f>IFERROR(IF(LoanIsNotPaid*LoanIsGood,InterestAmt,0), 0)</f>
        <v>928.87181668972994</v>
      </c>
      <c r="I150" s="206">
        <f>SUM($H$17:H150)</f>
        <v>190179.90189178407</v>
      </c>
      <c r="J150" s="206">
        <f>IFERROR(IF(LoanIsNotPaid*LoanIsGood,EndingBalance,0), 0)</f>
        <v>552560.77431124402</v>
      </c>
    </row>
    <row r="151" spans="1:10" ht="15" customHeight="1" x14ac:dyDescent="0.15">
      <c r="A151" s="178"/>
      <c r="B151" s="204">
        <f>IFERROR(IF(LoanIsNotPaid*LoanIsGood,PaymentNumber,""), "")</f>
        <v>135</v>
      </c>
      <c r="C151" s="205">
        <f>IFERROR(IF(LoanIsNotPaid*LoanIsGood,PaymentDate,LoanStartDate), LoanStartDate)</f>
        <v>49766</v>
      </c>
      <c r="D151" s="206">
        <f>IFERROR(IF(LoanIsNotPaid*LoanIsGood,LoanValue,""), "")</f>
        <v>552560.77431124402</v>
      </c>
      <c r="E151" s="206">
        <f>IFERROR(IF(LoanIsNotPaid*LoanIsGood,MonthlyPayment,0), 0)</f>
        <v>5691.1875192575681</v>
      </c>
      <c r="F151" s="206">
        <f>IFERROR(IF(LoanIsNotPaid*LoanIsGood,Principal,0), 0)</f>
        <v>4770.2528954054515</v>
      </c>
      <c r="G151" s="206">
        <f>SUM($F$17:F151)</f>
        <v>577209.4785841353</v>
      </c>
      <c r="H151" s="206">
        <f>IFERROR(IF(LoanIsNotPaid*LoanIsGood,InterestAmt,0), 0)</f>
        <v>920.93462385211672</v>
      </c>
      <c r="I151" s="206">
        <f>SUM($H$17:H151)</f>
        <v>191100.83651563618</v>
      </c>
      <c r="J151" s="206">
        <f>IFERROR(IF(LoanIsNotPaid*LoanIsGood,EndingBalance,0), 0)</f>
        <v>547790.52141583827</v>
      </c>
    </row>
    <row r="152" spans="1:10" ht="15" customHeight="1" x14ac:dyDescent="0.15">
      <c r="A152" s="178"/>
      <c r="B152" s="204">
        <f>IFERROR(IF(LoanIsNotPaid*LoanIsGood,PaymentNumber,""), "")</f>
        <v>136</v>
      </c>
      <c r="C152" s="205">
        <f>IFERROR(IF(LoanIsNotPaid*LoanIsGood,PaymentDate,LoanStartDate), LoanStartDate)</f>
        <v>49796</v>
      </c>
      <c r="D152" s="206">
        <f>IFERROR(IF(LoanIsNotPaid*LoanIsGood,LoanValue,""), "")</f>
        <v>547790.52141583827</v>
      </c>
      <c r="E152" s="206">
        <f>IFERROR(IF(LoanIsNotPaid*LoanIsGood,MonthlyPayment,0), 0)</f>
        <v>5691.1875192575681</v>
      </c>
      <c r="F152" s="206">
        <f>IFERROR(IF(LoanIsNotPaid*LoanIsGood,Principal,0), 0)</f>
        <v>4778.2033168977932</v>
      </c>
      <c r="G152" s="206">
        <f>SUM($F$17:F152)</f>
        <v>581987.68190103304</v>
      </c>
      <c r="H152" s="206">
        <f>IFERROR(IF(LoanIsNotPaid*LoanIsGood,InterestAmt,0), 0)</f>
        <v>912.98420235977437</v>
      </c>
      <c r="I152" s="206">
        <f>SUM($H$17:H152)</f>
        <v>192013.82071799596</v>
      </c>
      <c r="J152" s="206">
        <f>IFERROR(IF(LoanIsNotPaid*LoanIsGood,EndingBalance,0), 0)</f>
        <v>543012.31809893972</v>
      </c>
    </row>
    <row r="153" spans="1:10" ht="15" customHeight="1" x14ac:dyDescent="0.15">
      <c r="A153" s="178"/>
      <c r="B153" s="204">
        <f>IFERROR(IF(LoanIsNotPaid*LoanIsGood,PaymentNumber,""), "")</f>
        <v>137</v>
      </c>
      <c r="C153" s="205">
        <f>IFERROR(IF(LoanIsNotPaid*LoanIsGood,PaymentDate,LoanStartDate), LoanStartDate)</f>
        <v>49827</v>
      </c>
      <c r="D153" s="206">
        <f>IFERROR(IF(LoanIsNotPaid*LoanIsGood,LoanValue,""), "")</f>
        <v>543012.31809893972</v>
      </c>
      <c r="E153" s="206">
        <f>IFERROR(IF(LoanIsNotPaid*LoanIsGood,MonthlyPayment,0), 0)</f>
        <v>5691.1875192575681</v>
      </c>
      <c r="F153" s="206">
        <f>IFERROR(IF(LoanIsNotPaid*LoanIsGood,Principal,0), 0)</f>
        <v>4786.1669890926241</v>
      </c>
      <c r="G153" s="206">
        <f>SUM($F$17:F153)</f>
        <v>586773.84889012564</v>
      </c>
      <c r="H153" s="206">
        <f>IFERROR(IF(LoanIsNotPaid*LoanIsGood,InterestAmt,0), 0)</f>
        <v>905.02053016494483</v>
      </c>
      <c r="I153" s="206">
        <f>SUM($H$17:H153)</f>
        <v>192918.8412481609</v>
      </c>
      <c r="J153" s="206">
        <f>IFERROR(IF(LoanIsNotPaid*LoanIsGood,EndingBalance,0), 0)</f>
        <v>538226.15110984747</v>
      </c>
    </row>
    <row r="154" spans="1:10" ht="15" customHeight="1" x14ac:dyDescent="0.15">
      <c r="A154" s="178"/>
      <c r="B154" s="204">
        <f>IFERROR(IF(LoanIsNotPaid*LoanIsGood,PaymentNumber,""), "")</f>
        <v>138</v>
      </c>
      <c r="C154" s="205">
        <f>IFERROR(IF(LoanIsNotPaid*LoanIsGood,PaymentDate,LoanStartDate), LoanStartDate)</f>
        <v>49857</v>
      </c>
      <c r="D154" s="206">
        <f>IFERROR(IF(LoanIsNotPaid*LoanIsGood,LoanValue,""), "")</f>
        <v>538226.15110984747</v>
      </c>
      <c r="E154" s="206">
        <f>IFERROR(IF(LoanIsNotPaid*LoanIsGood,MonthlyPayment,0), 0)</f>
        <v>5691.1875192575681</v>
      </c>
      <c r="F154" s="206">
        <f>IFERROR(IF(LoanIsNotPaid*LoanIsGood,Principal,0), 0)</f>
        <v>4794.1439340744446</v>
      </c>
      <c r="G154" s="206">
        <f>SUM($F$17:F154)</f>
        <v>591567.99282420008</v>
      </c>
      <c r="H154" s="206">
        <f>IFERROR(IF(LoanIsNotPaid*LoanIsGood,InterestAmt,0), 0)</f>
        <v>897.04358518312358</v>
      </c>
      <c r="I154" s="206">
        <f>SUM($H$17:H154)</f>
        <v>193815.88483334403</v>
      </c>
      <c r="J154" s="206">
        <f>IFERROR(IF(LoanIsNotPaid*LoanIsGood,EndingBalance,0), 0)</f>
        <v>533432.00717577257</v>
      </c>
    </row>
    <row r="155" spans="1:10" ht="15" customHeight="1" x14ac:dyDescent="0.15">
      <c r="A155" s="178"/>
      <c r="B155" s="204">
        <f>IFERROR(IF(LoanIsNotPaid*LoanIsGood,PaymentNumber,""), "")</f>
        <v>139</v>
      </c>
      <c r="C155" s="205">
        <f>IFERROR(IF(LoanIsNotPaid*LoanIsGood,PaymentDate,LoanStartDate), LoanStartDate)</f>
        <v>49888</v>
      </c>
      <c r="D155" s="206">
        <f>IFERROR(IF(LoanIsNotPaid*LoanIsGood,LoanValue,""), "")</f>
        <v>533432.00717577257</v>
      </c>
      <c r="E155" s="206">
        <f>IFERROR(IF(LoanIsNotPaid*LoanIsGood,MonthlyPayment,0), 0)</f>
        <v>5691.1875192575681</v>
      </c>
      <c r="F155" s="206">
        <f>IFERROR(IF(LoanIsNotPaid*LoanIsGood,Principal,0), 0)</f>
        <v>4802.1341739645686</v>
      </c>
      <c r="G155" s="206">
        <f>SUM($F$17:F155)</f>
        <v>596370.12699816469</v>
      </c>
      <c r="H155" s="206">
        <f>IFERROR(IF(LoanIsNotPaid*LoanIsGood,InterestAmt,0), 0)</f>
        <v>889.05334529299978</v>
      </c>
      <c r="I155" s="206">
        <f>SUM($H$17:H155)</f>
        <v>194704.93817863704</v>
      </c>
      <c r="J155" s="206">
        <f>IFERROR(IF(LoanIsNotPaid*LoanIsGood,EndingBalance,0), 0)</f>
        <v>528629.87300180749</v>
      </c>
    </row>
    <row r="156" spans="1:10" ht="15" customHeight="1" x14ac:dyDescent="0.15">
      <c r="A156" s="178"/>
      <c r="B156" s="204">
        <f>IFERROR(IF(LoanIsNotPaid*LoanIsGood,PaymentNumber,""), "")</f>
        <v>140</v>
      </c>
      <c r="C156" s="205">
        <f>IFERROR(IF(LoanIsNotPaid*LoanIsGood,PaymentDate,LoanStartDate), LoanStartDate)</f>
        <v>49919</v>
      </c>
      <c r="D156" s="206">
        <f>IFERROR(IF(LoanIsNotPaid*LoanIsGood,LoanValue,""), "")</f>
        <v>528629.87300180749</v>
      </c>
      <c r="E156" s="206">
        <f>IFERROR(IF(LoanIsNotPaid*LoanIsGood,MonthlyPayment,0), 0)</f>
        <v>5691.1875192575681</v>
      </c>
      <c r="F156" s="206">
        <f>IFERROR(IF(LoanIsNotPaid*LoanIsGood,Principal,0), 0)</f>
        <v>4810.1377309211766</v>
      </c>
      <c r="G156" s="206">
        <f>SUM($F$17:F156)</f>
        <v>601180.26472908584</v>
      </c>
      <c r="H156" s="206">
        <f>IFERROR(IF(LoanIsNotPaid*LoanIsGood,InterestAmt,0), 0)</f>
        <v>881.049788336392</v>
      </c>
      <c r="I156" s="206">
        <f>SUM($H$17:H156)</f>
        <v>195585.98796697342</v>
      </c>
      <c r="J156" s="206">
        <f>IFERROR(IF(LoanIsNotPaid*LoanIsGood,EndingBalance,0), 0)</f>
        <v>523819.73527088633</v>
      </c>
    </row>
    <row r="157" spans="1:10" ht="15" customHeight="1" x14ac:dyDescent="0.15">
      <c r="A157" s="178"/>
      <c r="B157" s="204">
        <f>IFERROR(IF(LoanIsNotPaid*LoanIsGood,PaymentNumber,""), "")</f>
        <v>141</v>
      </c>
      <c r="C157" s="205">
        <f>IFERROR(IF(LoanIsNotPaid*LoanIsGood,PaymentDate,LoanStartDate), LoanStartDate)</f>
        <v>49949</v>
      </c>
      <c r="D157" s="206">
        <f>IFERROR(IF(LoanIsNotPaid*LoanIsGood,LoanValue,""), "")</f>
        <v>523819.73527088633</v>
      </c>
      <c r="E157" s="206">
        <f>IFERROR(IF(LoanIsNotPaid*LoanIsGood,MonthlyPayment,0), 0)</f>
        <v>5691.1875192575681</v>
      </c>
      <c r="F157" s="206">
        <f>IFERROR(IF(LoanIsNotPaid*LoanIsGood,Principal,0), 0)</f>
        <v>4818.1546271393781</v>
      </c>
      <c r="G157" s="206">
        <f>SUM($F$17:F157)</f>
        <v>605998.41935622517</v>
      </c>
      <c r="H157" s="206">
        <f>IFERROR(IF(LoanIsNotPaid*LoanIsGood,InterestAmt,0), 0)</f>
        <v>873.03289211819003</v>
      </c>
      <c r="I157" s="206">
        <f>SUM($H$17:H157)</f>
        <v>196459.0208590916</v>
      </c>
      <c r="J157" s="206">
        <f>IFERROR(IF(LoanIsNotPaid*LoanIsGood,EndingBalance,0), 0)</f>
        <v>519001.58064374665</v>
      </c>
    </row>
    <row r="158" spans="1:10" ht="15" customHeight="1" x14ac:dyDescent="0.15">
      <c r="A158" s="178"/>
      <c r="B158" s="204">
        <f>IFERROR(IF(LoanIsNotPaid*LoanIsGood,PaymentNumber,""), "")</f>
        <v>142</v>
      </c>
      <c r="C158" s="205">
        <f>IFERROR(IF(LoanIsNotPaid*LoanIsGood,PaymentDate,LoanStartDate), LoanStartDate)</f>
        <v>49980</v>
      </c>
      <c r="D158" s="206">
        <f>IFERROR(IF(LoanIsNotPaid*LoanIsGood,LoanValue,""), "")</f>
        <v>519001.58064374665</v>
      </c>
      <c r="E158" s="206">
        <f>IFERROR(IF(LoanIsNotPaid*LoanIsGood,MonthlyPayment,0), 0)</f>
        <v>5691.1875192575681</v>
      </c>
      <c r="F158" s="206">
        <f>IFERROR(IF(LoanIsNotPaid*LoanIsGood,Principal,0), 0)</f>
        <v>4826.1848848512773</v>
      </c>
      <c r="G158" s="206">
        <f>SUM($F$17:F158)</f>
        <v>610824.60424107651</v>
      </c>
      <c r="H158" s="206">
        <f>IFERROR(IF(LoanIsNotPaid*LoanIsGood,InterestAmt,0), 0)</f>
        <v>865.00263440629089</v>
      </c>
      <c r="I158" s="206">
        <f>SUM($H$17:H158)</f>
        <v>197324.02349349789</v>
      </c>
      <c r="J158" s="206">
        <f>IFERROR(IF(LoanIsNotPaid*LoanIsGood,EndingBalance,0), 0)</f>
        <v>514175.39575889485</v>
      </c>
    </row>
    <row r="159" spans="1:10" ht="15" customHeight="1" x14ac:dyDescent="0.15">
      <c r="A159" s="178"/>
      <c r="B159" s="204">
        <f>IFERROR(IF(LoanIsNotPaid*LoanIsGood,PaymentNumber,""), "")</f>
        <v>143</v>
      </c>
      <c r="C159" s="205">
        <f>IFERROR(IF(LoanIsNotPaid*LoanIsGood,PaymentDate,LoanStartDate), LoanStartDate)</f>
        <v>50010</v>
      </c>
      <c r="D159" s="206">
        <f>IFERROR(IF(LoanIsNotPaid*LoanIsGood,LoanValue,""), "")</f>
        <v>514175.39575889485</v>
      </c>
      <c r="E159" s="206">
        <f>IFERROR(IF(LoanIsNotPaid*LoanIsGood,MonthlyPayment,0), 0)</f>
        <v>5691.1875192575681</v>
      </c>
      <c r="F159" s="206">
        <f>IFERROR(IF(LoanIsNotPaid*LoanIsGood,Principal,0), 0)</f>
        <v>4834.2285263260292</v>
      </c>
      <c r="G159" s="206">
        <f>SUM($F$17:F159)</f>
        <v>615658.83276740252</v>
      </c>
      <c r="H159" s="206">
        <f>IFERROR(IF(LoanIsNotPaid*LoanIsGood,InterestAmt,0), 0)</f>
        <v>856.95899293153889</v>
      </c>
      <c r="I159" s="206">
        <f>SUM($H$17:H159)</f>
        <v>198180.98248642942</v>
      </c>
      <c r="J159" s="206">
        <f>IFERROR(IF(LoanIsNotPaid*LoanIsGood,EndingBalance,0), 0)</f>
        <v>509341.16723256896</v>
      </c>
    </row>
    <row r="160" spans="1:10" ht="15" customHeight="1" x14ac:dyDescent="0.15">
      <c r="A160" s="178"/>
      <c r="B160" s="204">
        <f>IFERROR(IF(LoanIsNotPaid*LoanIsGood,PaymentNumber,""), "")</f>
        <v>144</v>
      </c>
      <c r="C160" s="205">
        <f>IFERROR(IF(LoanIsNotPaid*LoanIsGood,PaymentDate,LoanStartDate), LoanStartDate)</f>
        <v>50041</v>
      </c>
      <c r="D160" s="206">
        <f>IFERROR(IF(LoanIsNotPaid*LoanIsGood,LoanValue,""), "")</f>
        <v>509341.16723256896</v>
      </c>
      <c r="E160" s="206">
        <f>IFERROR(IF(LoanIsNotPaid*LoanIsGood,MonthlyPayment,0), 0)</f>
        <v>5691.1875192575681</v>
      </c>
      <c r="F160" s="206">
        <f>IFERROR(IF(LoanIsNotPaid*LoanIsGood,Principal,0), 0)</f>
        <v>4842.2855738699063</v>
      </c>
      <c r="G160" s="206">
        <f>SUM($F$17:F160)</f>
        <v>620501.11834127246</v>
      </c>
      <c r="H160" s="206">
        <f>IFERROR(IF(LoanIsNotPaid*LoanIsGood,InterestAmt,0), 0)</f>
        <v>848.90194538766218</v>
      </c>
      <c r="I160" s="206">
        <f>SUM($H$17:H160)</f>
        <v>199029.88443181707</v>
      </c>
      <c r="J160" s="206">
        <f>IFERROR(IF(LoanIsNotPaid*LoanIsGood,EndingBalance,0), 0)</f>
        <v>504498.88165869832</v>
      </c>
    </row>
    <row r="161" spans="1:10" ht="15" customHeight="1" x14ac:dyDescent="0.15">
      <c r="A161" s="178"/>
      <c r="B161" s="204">
        <f>IFERROR(IF(LoanIsNotPaid*LoanIsGood,PaymentNumber,""), "")</f>
        <v>145</v>
      </c>
      <c r="C161" s="205">
        <f>IFERROR(IF(LoanIsNotPaid*LoanIsGood,PaymentDate,LoanStartDate), LoanStartDate)</f>
        <v>50072</v>
      </c>
      <c r="D161" s="206">
        <f>IFERROR(IF(LoanIsNotPaid*LoanIsGood,LoanValue,""), "")</f>
        <v>504498.88165869832</v>
      </c>
      <c r="E161" s="206">
        <f>IFERROR(IF(LoanIsNotPaid*LoanIsGood,MonthlyPayment,0), 0)</f>
        <v>5691.1875192575681</v>
      </c>
      <c r="F161" s="206">
        <f>IFERROR(IF(LoanIsNotPaid*LoanIsGood,Principal,0), 0)</f>
        <v>4850.356049826356</v>
      </c>
      <c r="G161" s="206">
        <f>SUM($F$17:F161)</f>
        <v>625351.47439109883</v>
      </c>
      <c r="H161" s="206">
        <f>IFERROR(IF(LoanIsNotPaid*LoanIsGood,InterestAmt,0), 0)</f>
        <v>840.83146943121244</v>
      </c>
      <c r="I161" s="206">
        <f>SUM($H$17:H161)</f>
        <v>199870.71590124827</v>
      </c>
      <c r="J161" s="206">
        <f>IFERROR(IF(LoanIsNotPaid*LoanIsGood,EndingBalance,0), 0)</f>
        <v>499648.52560887218</v>
      </c>
    </row>
    <row r="162" spans="1:10" ht="15" customHeight="1" x14ac:dyDescent="0.15">
      <c r="A162" s="178"/>
      <c r="B162" s="204">
        <f>IFERROR(IF(LoanIsNotPaid*LoanIsGood,PaymentNumber,""), "")</f>
        <v>146</v>
      </c>
      <c r="C162" s="205">
        <f>IFERROR(IF(LoanIsNotPaid*LoanIsGood,PaymentDate,LoanStartDate), LoanStartDate)</f>
        <v>50100</v>
      </c>
      <c r="D162" s="206">
        <f>IFERROR(IF(LoanIsNotPaid*LoanIsGood,LoanValue,""), "")</f>
        <v>499648.52560887218</v>
      </c>
      <c r="E162" s="206">
        <f>IFERROR(IF(LoanIsNotPaid*LoanIsGood,MonthlyPayment,0), 0)</f>
        <v>5691.1875192575681</v>
      </c>
      <c r="F162" s="206">
        <f>IFERROR(IF(LoanIsNotPaid*LoanIsGood,Principal,0), 0)</f>
        <v>4858.4399765760663</v>
      </c>
      <c r="G162" s="206">
        <f>SUM($F$17:F162)</f>
        <v>630209.91436767485</v>
      </c>
      <c r="H162" s="206">
        <f>IFERROR(IF(LoanIsNotPaid*LoanIsGood,InterestAmt,0), 0)</f>
        <v>832.74754268150184</v>
      </c>
      <c r="I162" s="206">
        <f>SUM($H$17:H162)</f>
        <v>200703.46344392977</v>
      </c>
      <c r="J162" s="206">
        <f>IFERROR(IF(LoanIsNotPaid*LoanIsGood,EndingBalance,0), 0)</f>
        <v>494790.0856322957</v>
      </c>
    </row>
    <row r="163" spans="1:10" ht="15" customHeight="1" x14ac:dyDescent="0.15">
      <c r="A163" s="178"/>
      <c r="B163" s="204">
        <f>IFERROR(IF(LoanIsNotPaid*LoanIsGood,PaymentNumber,""), "")</f>
        <v>147</v>
      </c>
      <c r="C163" s="205">
        <f>IFERROR(IF(LoanIsNotPaid*LoanIsGood,PaymentDate,LoanStartDate), LoanStartDate)</f>
        <v>50131</v>
      </c>
      <c r="D163" s="206">
        <f>IFERROR(IF(LoanIsNotPaid*LoanIsGood,LoanValue,""), "")</f>
        <v>494790.0856322957</v>
      </c>
      <c r="E163" s="206">
        <f>IFERROR(IF(LoanIsNotPaid*LoanIsGood,MonthlyPayment,0), 0)</f>
        <v>5691.1875192575681</v>
      </c>
      <c r="F163" s="206">
        <f>IFERROR(IF(LoanIsNotPaid*LoanIsGood,Principal,0), 0)</f>
        <v>4866.5373765370259</v>
      </c>
      <c r="G163" s="206">
        <f>SUM($F$17:F163)</f>
        <v>635076.45174421184</v>
      </c>
      <c r="H163" s="206">
        <f>IFERROR(IF(LoanIsNotPaid*LoanIsGood,InterestAmt,0), 0)</f>
        <v>824.65014272054168</v>
      </c>
      <c r="I163" s="206">
        <f>SUM($H$17:H163)</f>
        <v>201528.11358665032</v>
      </c>
      <c r="J163" s="206">
        <f>IFERROR(IF(LoanIsNotPaid*LoanIsGood,EndingBalance,0), 0)</f>
        <v>489923.54825575836</v>
      </c>
    </row>
    <row r="164" spans="1:10" ht="15" customHeight="1" x14ac:dyDescent="0.15">
      <c r="A164" s="178"/>
      <c r="B164" s="204">
        <f>IFERROR(IF(LoanIsNotPaid*LoanIsGood,PaymentNumber,""), "")</f>
        <v>148</v>
      </c>
      <c r="C164" s="205">
        <f>IFERROR(IF(LoanIsNotPaid*LoanIsGood,PaymentDate,LoanStartDate), LoanStartDate)</f>
        <v>50161</v>
      </c>
      <c r="D164" s="206">
        <f>IFERROR(IF(LoanIsNotPaid*LoanIsGood,LoanValue,""), "")</f>
        <v>489923.54825575836</v>
      </c>
      <c r="E164" s="206">
        <f>IFERROR(IF(LoanIsNotPaid*LoanIsGood,MonthlyPayment,0), 0)</f>
        <v>5691.1875192575681</v>
      </c>
      <c r="F164" s="206">
        <f>IFERROR(IF(LoanIsNotPaid*LoanIsGood,Principal,0), 0)</f>
        <v>4874.648272164588</v>
      </c>
      <c r="G164" s="206">
        <f>SUM($F$17:F164)</f>
        <v>639951.10001637647</v>
      </c>
      <c r="H164" s="206">
        <f>IFERROR(IF(LoanIsNotPaid*LoanIsGood,InterestAmt,0), 0)</f>
        <v>816.53924709297985</v>
      </c>
      <c r="I164" s="206">
        <f>SUM($H$17:H164)</f>
        <v>202344.65283374328</v>
      </c>
      <c r="J164" s="206">
        <f>IFERROR(IF(LoanIsNotPaid*LoanIsGood,EndingBalance,0), 0)</f>
        <v>485048.89998359373</v>
      </c>
    </row>
    <row r="165" spans="1:10" ht="15" customHeight="1" x14ac:dyDescent="0.15">
      <c r="A165" s="178"/>
      <c r="B165" s="204">
        <f>IFERROR(IF(LoanIsNotPaid*LoanIsGood,PaymentNumber,""), "")</f>
        <v>149</v>
      </c>
      <c r="C165" s="205">
        <f>IFERROR(IF(LoanIsNotPaid*LoanIsGood,PaymentDate,LoanStartDate), LoanStartDate)</f>
        <v>50192</v>
      </c>
      <c r="D165" s="206">
        <f>IFERROR(IF(LoanIsNotPaid*LoanIsGood,LoanValue,""), "")</f>
        <v>485048.89998359373</v>
      </c>
      <c r="E165" s="206">
        <f>IFERROR(IF(LoanIsNotPaid*LoanIsGood,MonthlyPayment,0), 0)</f>
        <v>5691.1875192575681</v>
      </c>
      <c r="F165" s="206">
        <f>IFERROR(IF(LoanIsNotPaid*LoanIsGood,Principal,0), 0)</f>
        <v>4882.7726859515296</v>
      </c>
      <c r="G165" s="206">
        <f>SUM($F$17:F165)</f>
        <v>644833.87270232802</v>
      </c>
      <c r="H165" s="206">
        <f>IFERROR(IF(LoanIsNotPaid*LoanIsGood,InterestAmt,0), 0)</f>
        <v>808.41483330603899</v>
      </c>
      <c r="I165" s="206">
        <f>SUM($H$17:H165)</f>
        <v>203153.06766704933</v>
      </c>
      <c r="J165" s="206">
        <f>IFERROR(IF(LoanIsNotPaid*LoanIsGood,EndingBalance,0), 0)</f>
        <v>480166.12729764159</v>
      </c>
    </row>
    <row r="166" spans="1:10" ht="15" customHeight="1" x14ac:dyDescent="0.15">
      <c r="A166" s="178"/>
      <c r="B166" s="204">
        <f>IFERROR(IF(LoanIsNotPaid*LoanIsGood,PaymentNumber,""), "")</f>
        <v>150</v>
      </c>
      <c r="C166" s="205">
        <f>IFERROR(IF(LoanIsNotPaid*LoanIsGood,PaymentDate,LoanStartDate), LoanStartDate)</f>
        <v>50222</v>
      </c>
      <c r="D166" s="206">
        <f>IFERROR(IF(LoanIsNotPaid*LoanIsGood,LoanValue,""), "")</f>
        <v>480166.12729764159</v>
      </c>
      <c r="E166" s="206">
        <f>IFERROR(IF(LoanIsNotPaid*LoanIsGood,MonthlyPayment,0), 0)</f>
        <v>5691.1875192575681</v>
      </c>
      <c r="F166" s="206">
        <f>IFERROR(IF(LoanIsNotPaid*LoanIsGood,Principal,0), 0)</f>
        <v>4890.9106404281147</v>
      </c>
      <c r="G166" s="206">
        <f>SUM($F$17:F166)</f>
        <v>649724.7833427561</v>
      </c>
      <c r="H166" s="206">
        <f>IFERROR(IF(LoanIsNotPaid*LoanIsGood,InterestAmt,0), 0)</f>
        <v>800.27687882945304</v>
      </c>
      <c r="I166" s="206">
        <f>SUM($H$17:H166)</f>
        <v>203953.34454587879</v>
      </c>
      <c r="J166" s="206">
        <f>IFERROR(IF(LoanIsNotPaid*LoanIsGood,EndingBalance,0), 0)</f>
        <v>475275.21665721387</v>
      </c>
    </row>
    <row r="167" spans="1:10" ht="15" customHeight="1" x14ac:dyDescent="0.15">
      <c r="A167" s="178"/>
      <c r="B167" s="204">
        <f>IFERROR(IF(LoanIsNotPaid*LoanIsGood,PaymentNumber,""), "")</f>
        <v>151</v>
      </c>
      <c r="C167" s="205">
        <f>IFERROR(IF(LoanIsNotPaid*LoanIsGood,PaymentDate,LoanStartDate), LoanStartDate)</f>
        <v>50253</v>
      </c>
      <c r="D167" s="206">
        <f>IFERROR(IF(LoanIsNotPaid*LoanIsGood,LoanValue,""), "")</f>
        <v>475275.21665721387</v>
      </c>
      <c r="E167" s="206">
        <f>IFERROR(IF(LoanIsNotPaid*LoanIsGood,MonthlyPayment,0), 0)</f>
        <v>5691.1875192575681</v>
      </c>
      <c r="F167" s="206">
        <f>IFERROR(IF(LoanIsNotPaid*LoanIsGood,Principal,0), 0)</f>
        <v>4899.0621581621617</v>
      </c>
      <c r="G167" s="206">
        <f>SUM($F$17:F167)</f>
        <v>654623.84550091822</v>
      </c>
      <c r="H167" s="206">
        <f>IFERROR(IF(LoanIsNotPaid*LoanIsGood,InterestAmt,0), 0)</f>
        <v>792.12536109540622</v>
      </c>
      <c r="I167" s="206">
        <f>SUM($H$17:H167)</f>
        <v>204745.46990697421</v>
      </c>
      <c r="J167" s="206">
        <f>IFERROR(IF(LoanIsNotPaid*LoanIsGood,EndingBalance,0), 0)</f>
        <v>470376.15449905116</v>
      </c>
    </row>
    <row r="168" spans="1:10" ht="15" customHeight="1" x14ac:dyDescent="0.15">
      <c r="A168" s="178"/>
      <c r="B168" s="204">
        <f>IFERROR(IF(LoanIsNotPaid*LoanIsGood,PaymentNumber,""), "")</f>
        <v>152</v>
      </c>
      <c r="C168" s="205">
        <f>IFERROR(IF(LoanIsNotPaid*LoanIsGood,PaymentDate,LoanStartDate), LoanStartDate)</f>
        <v>50284</v>
      </c>
      <c r="D168" s="206">
        <f>IFERROR(IF(LoanIsNotPaid*LoanIsGood,LoanValue,""), "")</f>
        <v>470376.15449905116</v>
      </c>
      <c r="E168" s="206">
        <f>IFERROR(IF(LoanIsNotPaid*LoanIsGood,MonthlyPayment,0), 0)</f>
        <v>5691.1875192575681</v>
      </c>
      <c r="F168" s="206">
        <f>IFERROR(IF(LoanIsNotPaid*LoanIsGood,Principal,0), 0)</f>
        <v>4907.2272617590988</v>
      </c>
      <c r="G168" s="206">
        <f>SUM($F$17:F168)</f>
        <v>659531.07276267733</v>
      </c>
      <c r="H168" s="206">
        <f>IFERROR(IF(LoanIsNotPaid*LoanIsGood,InterestAmt,0), 0)</f>
        <v>783.96025749846922</v>
      </c>
      <c r="I168" s="206">
        <f>SUM($H$17:H168)</f>
        <v>205529.43016447267</v>
      </c>
      <c r="J168" s="206">
        <f>IFERROR(IF(LoanIsNotPaid*LoanIsGood,EndingBalance,0), 0)</f>
        <v>465468.92723729147</v>
      </c>
    </row>
    <row r="169" spans="1:10" ht="15" customHeight="1" x14ac:dyDescent="0.15">
      <c r="A169" s="178"/>
      <c r="B169" s="204">
        <f>IFERROR(IF(LoanIsNotPaid*LoanIsGood,PaymentNumber,""), "")</f>
        <v>153</v>
      </c>
      <c r="C169" s="205">
        <f>IFERROR(IF(LoanIsNotPaid*LoanIsGood,PaymentDate,LoanStartDate), LoanStartDate)</f>
        <v>50314</v>
      </c>
      <c r="D169" s="206">
        <f>IFERROR(IF(LoanIsNotPaid*LoanIsGood,LoanValue,""), "")</f>
        <v>465468.92723729147</v>
      </c>
      <c r="E169" s="206">
        <f>IFERROR(IF(LoanIsNotPaid*LoanIsGood,MonthlyPayment,0), 0)</f>
        <v>5691.1875192575681</v>
      </c>
      <c r="F169" s="206">
        <f>IFERROR(IF(LoanIsNotPaid*LoanIsGood,Principal,0), 0)</f>
        <v>4915.4059738620308</v>
      </c>
      <c r="G169" s="206">
        <f>SUM($F$17:F169)</f>
        <v>664446.47873653937</v>
      </c>
      <c r="H169" s="206">
        <f>IFERROR(IF(LoanIsNotPaid*LoanIsGood,InterestAmt,0), 0)</f>
        <v>775.78154539553725</v>
      </c>
      <c r="I169" s="206">
        <f>SUM($H$17:H169)</f>
        <v>206305.21170986819</v>
      </c>
      <c r="J169" s="206">
        <f>IFERROR(IF(LoanIsNotPaid*LoanIsGood,EndingBalance,0), 0)</f>
        <v>460553.52126342966</v>
      </c>
    </row>
    <row r="170" spans="1:10" ht="15" customHeight="1" x14ac:dyDescent="0.15">
      <c r="A170" s="178"/>
      <c r="B170" s="204">
        <f>IFERROR(IF(LoanIsNotPaid*LoanIsGood,PaymentNumber,""), "")</f>
        <v>154</v>
      </c>
      <c r="C170" s="205">
        <f>IFERROR(IF(LoanIsNotPaid*LoanIsGood,PaymentDate,LoanStartDate), LoanStartDate)</f>
        <v>50345</v>
      </c>
      <c r="D170" s="206">
        <f>IFERROR(IF(LoanIsNotPaid*LoanIsGood,LoanValue,""), "")</f>
        <v>460553.52126342966</v>
      </c>
      <c r="E170" s="206">
        <f>IFERROR(IF(LoanIsNotPaid*LoanIsGood,MonthlyPayment,0), 0)</f>
        <v>5691.1875192575681</v>
      </c>
      <c r="F170" s="206">
        <f>IFERROR(IF(LoanIsNotPaid*LoanIsGood,Principal,0), 0)</f>
        <v>4923.5983171518001</v>
      </c>
      <c r="G170" s="206">
        <f>SUM($F$17:F170)</f>
        <v>669370.07705369114</v>
      </c>
      <c r="H170" s="206">
        <f>IFERROR(IF(LoanIsNotPaid*LoanIsGood,InterestAmt,0), 0)</f>
        <v>767.5892021057673</v>
      </c>
      <c r="I170" s="206">
        <f>SUM($H$17:H170)</f>
        <v>207072.80091197396</v>
      </c>
      <c r="J170" s="206">
        <f>IFERROR(IF(LoanIsNotPaid*LoanIsGood,EndingBalance,0), 0)</f>
        <v>455629.92294627742</v>
      </c>
    </row>
    <row r="171" spans="1:10" ht="15" customHeight="1" x14ac:dyDescent="0.15">
      <c r="A171" s="178"/>
      <c r="B171" s="204">
        <f>IFERROR(IF(LoanIsNotPaid*LoanIsGood,PaymentNumber,""), "")</f>
        <v>155</v>
      </c>
      <c r="C171" s="205">
        <f>IFERROR(IF(LoanIsNotPaid*LoanIsGood,PaymentDate,LoanStartDate), LoanStartDate)</f>
        <v>50375</v>
      </c>
      <c r="D171" s="206">
        <f>IFERROR(IF(LoanIsNotPaid*LoanIsGood,LoanValue,""), "")</f>
        <v>455629.92294627742</v>
      </c>
      <c r="E171" s="206">
        <f>IFERROR(IF(LoanIsNotPaid*LoanIsGood,MonthlyPayment,0), 0)</f>
        <v>5691.1875192575681</v>
      </c>
      <c r="F171" s="206">
        <f>IFERROR(IF(LoanIsNotPaid*LoanIsGood,Principal,0), 0)</f>
        <v>4931.8043143470532</v>
      </c>
      <c r="G171" s="206">
        <f>SUM($F$17:F171)</f>
        <v>674301.88136803824</v>
      </c>
      <c r="H171" s="206">
        <f>IFERROR(IF(LoanIsNotPaid*LoanIsGood,InterestAmt,0), 0)</f>
        <v>759.38320491051434</v>
      </c>
      <c r="I171" s="206">
        <f>SUM($H$17:H171)</f>
        <v>207832.18411688448</v>
      </c>
      <c r="J171" s="206">
        <f>IFERROR(IF(LoanIsNotPaid*LoanIsGood,EndingBalance,0), 0)</f>
        <v>450698.11863192986</v>
      </c>
    </row>
    <row r="172" spans="1:10" ht="15" customHeight="1" x14ac:dyDescent="0.15">
      <c r="A172" s="178"/>
      <c r="B172" s="204">
        <f>IFERROR(IF(LoanIsNotPaid*LoanIsGood,PaymentNumber,""), "")</f>
        <v>156</v>
      </c>
      <c r="C172" s="205">
        <f>IFERROR(IF(LoanIsNotPaid*LoanIsGood,PaymentDate,LoanStartDate), LoanStartDate)</f>
        <v>50406</v>
      </c>
      <c r="D172" s="206">
        <f>IFERROR(IF(LoanIsNotPaid*LoanIsGood,LoanValue,""), "")</f>
        <v>450698.11863192986</v>
      </c>
      <c r="E172" s="206">
        <f>IFERROR(IF(LoanIsNotPaid*LoanIsGood,MonthlyPayment,0), 0)</f>
        <v>5691.1875192575681</v>
      </c>
      <c r="F172" s="206">
        <f>IFERROR(IF(LoanIsNotPaid*LoanIsGood,Principal,0), 0)</f>
        <v>4940.0239882042988</v>
      </c>
      <c r="G172" s="206">
        <f>SUM($F$17:F172)</f>
        <v>679241.90535624255</v>
      </c>
      <c r="H172" s="206">
        <f>IFERROR(IF(LoanIsNotPaid*LoanIsGood,InterestAmt,0), 0)</f>
        <v>751.16353105326937</v>
      </c>
      <c r="I172" s="206">
        <f>SUM($H$17:H172)</f>
        <v>208583.34764793774</v>
      </c>
      <c r="J172" s="206">
        <f>IFERROR(IF(LoanIsNotPaid*LoanIsGood,EndingBalance,0), 0)</f>
        <v>445758.09464372578</v>
      </c>
    </row>
    <row r="173" spans="1:10" ht="15" customHeight="1" x14ac:dyDescent="0.15">
      <c r="A173" s="178"/>
      <c r="B173" s="204">
        <f>IFERROR(IF(LoanIsNotPaid*LoanIsGood,PaymentNumber,""), "")</f>
        <v>157</v>
      </c>
      <c r="C173" s="205">
        <f>IFERROR(IF(LoanIsNotPaid*LoanIsGood,PaymentDate,LoanStartDate), LoanStartDate)</f>
        <v>50437</v>
      </c>
      <c r="D173" s="206">
        <f>IFERROR(IF(LoanIsNotPaid*LoanIsGood,LoanValue,""), "")</f>
        <v>445758.09464372578</v>
      </c>
      <c r="E173" s="206">
        <f>IFERROR(IF(LoanIsNotPaid*LoanIsGood,MonthlyPayment,0), 0)</f>
        <v>5691.1875192575681</v>
      </c>
      <c r="F173" s="206">
        <f>IFERROR(IF(LoanIsNotPaid*LoanIsGood,Principal,0), 0)</f>
        <v>4948.2573615179726</v>
      </c>
      <c r="G173" s="206">
        <f>SUM($F$17:F173)</f>
        <v>684190.16271776054</v>
      </c>
      <c r="H173" s="206">
        <f>IFERROR(IF(LoanIsNotPaid*LoanIsGood,InterestAmt,0), 0)</f>
        <v>742.93015773959553</v>
      </c>
      <c r="I173" s="206">
        <f>SUM($H$17:H173)</f>
        <v>209326.27780567732</v>
      </c>
      <c r="J173" s="206">
        <f>IFERROR(IF(LoanIsNotPaid*LoanIsGood,EndingBalance,0), 0)</f>
        <v>440809.8372822071</v>
      </c>
    </row>
    <row r="174" spans="1:10" ht="15" customHeight="1" x14ac:dyDescent="0.15">
      <c r="A174" s="178"/>
      <c r="B174" s="204">
        <f>IFERROR(IF(LoanIsNotPaid*LoanIsGood,PaymentNumber,""), "")</f>
        <v>158</v>
      </c>
      <c r="C174" s="205">
        <f>IFERROR(IF(LoanIsNotPaid*LoanIsGood,PaymentDate,LoanStartDate), LoanStartDate)</f>
        <v>50465</v>
      </c>
      <c r="D174" s="206">
        <f>IFERROR(IF(LoanIsNotPaid*LoanIsGood,LoanValue,""), "")</f>
        <v>440809.8372822071</v>
      </c>
      <c r="E174" s="206">
        <f>IFERROR(IF(LoanIsNotPaid*LoanIsGood,MonthlyPayment,0), 0)</f>
        <v>5691.1875192575681</v>
      </c>
      <c r="F174" s="206">
        <f>IFERROR(IF(LoanIsNotPaid*LoanIsGood,Principal,0), 0)</f>
        <v>4956.5044571205026</v>
      </c>
      <c r="G174" s="206">
        <f>SUM($F$17:F174)</f>
        <v>689146.66717488109</v>
      </c>
      <c r="H174" s="206">
        <f>IFERROR(IF(LoanIsNotPaid*LoanIsGood,InterestAmt,0), 0)</f>
        <v>734.68306213706558</v>
      </c>
      <c r="I174" s="206">
        <f>SUM($H$17:H174)</f>
        <v>210060.9608678144</v>
      </c>
      <c r="J174" s="206">
        <f>IFERROR(IF(LoanIsNotPaid*LoanIsGood,EndingBalance,0), 0)</f>
        <v>435853.33282508689</v>
      </c>
    </row>
    <row r="175" spans="1:10" ht="15" customHeight="1" x14ac:dyDescent="0.15">
      <c r="A175" s="178"/>
      <c r="B175" s="204">
        <f>IFERROR(IF(LoanIsNotPaid*LoanIsGood,PaymentNumber,""), "")</f>
        <v>159</v>
      </c>
      <c r="C175" s="205">
        <f>IFERROR(IF(LoanIsNotPaid*LoanIsGood,PaymentDate,LoanStartDate), LoanStartDate)</f>
        <v>50496</v>
      </c>
      <c r="D175" s="206">
        <f>IFERROR(IF(LoanIsNotPaid*LoanIsGood,LoanValue,""), "")</f>
        <v>435853.33282508689</v>
      </c>
      <c r="E175" s="206">
        <f>IFERROR(IF(LoanIsNotPaid*LoanIsGood,MonthlyPayment,0), 0)</f>
        <v>5691.1875192575681</v>
      </c>
      <c r="F175" s="206">
        <f>IFERROR(IF(LoanIsNotPaid*LoanIsGood,Principal,0), 0)</f>
        <v>4964.7652978823699</v>
      </c>
      <c r="G175" s="206">
        <f>SUM($F$17:F175)</f>
        <v>694111.43247276347</v>
      </c>
      <c r="H175" s="206">
        <f>IFERROR(IF(LoanIsNotPaid*LoanIsGood,InterestAmt,0), 0)</f>
        <v>726.42222137519798</v>
      </c>
      <c r="I175" s="206">
        <f>SUM($H$17:H175)</f>
        <v>210787.38308918959</v>
      </c>
      <c r="J175" s="206">
        <f>IFERROR(IF(LoanIsNotPaid*LoanIsGood,EndingBalance,0), 0)</f>
        <v>430888.56752720382</v>
      </c>
    </row>
    <row r="176" spans="1:10" ht="15" customHeight="1" x14ac:dyDescent="0.15">
      <c r="A176" s="178"/>
      <c r="B176" s="204">
        <f>IFERROR(IF(LoanIsNotPaid*LoanIsGood,PaymentNumber,""), "")</f>
        <v>160</v>
      </c>
      <c r="C176" s="205">
        <f>IFERROR(IF(LoanIsNotPaid*LoanIsGood,PaymentDate,LoanStartDate), LoanStartDate)</f>
        <v>50526</v>
      </c>
      <c r="D176" s="206">
        <f>IFERROR(IF(LoanIsNotPaid*LoanIsGood,LoanValue,""), "")</f>
        <v>430888.56752720382</v>
      </c>
      <c r="E176" s="206">
        <f>IFERROR(IF(LoanIsNotPaid*LoanIsGood,MonthlyPayment,0), 0)</f>
        <v>5691.1875192575681</v>
      </c>
      <c r="F176" s="206">
        <f>IFERROR(IF(LoanIsNotPaid*LoanIsGood,Principal,0), 0)</f>
        <v>4973.0399067121743</v>
      </c>
      <c r="G176" s="206">
        <f>SUM($F$17:F176)</f>
        <v>699084.4723794756</v>
      </c>
      <c r="H176" s="206">
        <f>IFERROR(IF(LoanIsNotPaid*LoanIsGood,InterestAmt,0), 0)</f>
        <v>718.14761254539394</v>
      </c>
      <c r="I176" s="206">
        <f>SUM($H$17:H176)</f>
        <v>211505.530701735</v>
      </c>
      <c r="J176" s="206">
        <f>IFERROR(IF(LoanIsNotPaid*LoanIsGood,EndingBalance,0), 0)</f>
        <v>425915.52762049146</v>
      </c>
    </row>
    <row r="177" spans="1:10" ht="15" customHeight="1" x14ac:dyDescent="0.15">
      <c r="A177" s="178"/>
      <c r="B177" s="204">
        <f>IFERROR(IF(LoanIsNotPaid*LoanIsGood,PaymentNumber,""), "")</f>
        <v>161</v>
      </c>
      <c r="C177" s="205">
        <f>IFERROR(IF(LoanIsNotPaid*LoanIsGood,PaymentDate,LoanStartDate), LoanStartDate)</f>
        <v>50557</v>
      </c>
      <c r="D177" s="206">
        <f>IFERROR(IF(LoanIsNotPaid*LoanIsGood,LoanValue,""), "")</f>
        <v>425915.52762049146</v>
      </c>
      <c r="E177" s="206">
        <f>IFERROR(IF(LoanIsNotPaid*LoanIsGood,MonthlyPayment,0), 0)</f>
        <v>5691.1875192575681</v>
      </c>
      <c r="F177" s="206">
        <f>IFERROR(IF(LoanIsNotPaid*LoanIsGood,Principal,0), 0)</f>
        <v>4981.3283065566948</v>
      </c>
      <c r="G177" s="206">
        <f>SUM($F$17:F177)</f>
        <v>704065.80068603228</v>
      </c>
      <c r="H177" s="206">
        <f>IFERROR(IF(LoanIsNotPaid*LoanIsGood,InterestAmt,0), 0)</f>
        <v>709.85921270087363</v>
      </c>
      <c r="I177" s="206">
        <f>SUM($H$17:H177)</f>
        <v>212215.38991443586</v>
      </c>
      <c r="J177" s="206">
        <f>IFERROR(IF(LoanIsNotPaid*LoanIsGood,EndingBalance,0), 0)</f>
        <v>420934.19931393396</v>
      </c>
    </row>
    <row r="178" spans="1:10" ht="15" customHeight="1" x14ac:dyDescent="0.15">
      <c r="A178" s="178"/>
      <c r="B178" s="204">
        <f>IFERROR(IF(LoanIsNotPaid*LoanIsGood,PaymentNumber,""), "")</f>
        <v>162</v>
      </c>
      <c r="C178" s="205">
        <f>IFERROR(IF(LoanIsNotPaid*LoanIsGood,PaymentDate,LoanStartDate), LoanStartDate)</f>
        <v>50587</v>
      </c>
      <c r="D178" s="206">
        <f>IFERROR(IF(LoanIsNotPaid*LoanIsGood,LoanValue,""), "")</f>
        <v>420934.19931393396</v>
      </c>
      <c r="E178" s="206">
        <f>IFERROR(IF(LoanIsNotPaid*LoanIsGood,MonthlyPayment,0), 0)</f>
        <v>5691.1875192575681</v>
      </c>
      <c r="F178" s="206">
        <f>IFERROR(IF(LoanIsNotPaid*LoanIsGood,Principal,0), 0)</f>
        <v>4989.6305204009559</v>
      </c>
      <c r="G178" s="206">
        <f>SUM($F$17:F178)</f>
        <v>709055.43120643322</v>
      </c>
      <c r="H178" s="206">
        <f>IFERROR(IF(LoanIsNotPaid*LoanIsGood,InterestAmt,0), 0)</f>
        <v>701.55699885661249</v>
      </c>
      <c r="I178" s="206">
        <f>SUM($H$17:H178)</f>
        <v>212916.94691329246</v>
      </c>
      <c r="J178" s="206">
        <f>IFERROR(IF(LoanIsNotPaid*LoanIsGood,EndingBalance,0), 0)</f>
        <v>415944.56879353337</v>
      </c>
    </row>
    <row r="179" spans="1:10" ht="15" customHeight="1" x14ac:dyDescent="0.15">
      <c r="A179" s="178"/>
      <c r="B179" s="204">
        <f>IFERROR(IF(LoanIsNotPaid*LoanIsGood,PaymentNumber,""), "")</f>
        <v>163</v>
      </c>
      <c r="C179" s="205">
        <f>IFERROR(IF(LoanIsNotPaid*LoanIsGood,PaymentDate,LoanStartDate), LoanStartDate)</f>
        <v>50618</v>
      </c>
      <c r="D179" s="206">
        <f>IFERROR(IF(LoanIsNotPaid*LoanIsGood,LoanValue,""), "")</f>
        <v>415944.56879353337</v>
      </c>
      <c r="E179" s="206">
        <f>IFERROR(IF(LoanIsNotPaid*LoanIsGood,MonthlyPayment,0), 0)</f>
        <v>5691.1875192575681</v>
      </c>
      <c r="F179" s="206">
        <f>IFERROR(IF(LoanIsNotPaid*LoanIsGood,Principal,0), 0)</f>
        <v>4997.9465712682904</v>
      </c>
      <c r="G179" s="206">
        <f>SUM($F$17:F179)</f>
        <v>714053.37777770148</v>
      </c>
      <c r="H179" s="206">
        <f>IFERROR(IF(LoanIsNotPaid*LoanIsGood,InterestAmt,0), 0)</f>
        <v>693.24094798927774</v>
      </c>
      <c r="I179" s="206">
        <f>SUM($H$17:H179)</f>
        <v>213610.18786128174</v>
      </c>
      <c r="J179" s="206">
        <f>IFERROR(IF(LoanIsNotPaid*LoanIsGood,EndingBalance,0), 0)</f>
        <v>410946.62222226453</v>
      </c>
    </row>
    <row r="180" spans="1:10" ht="15" customHeight="1" x14ac:dyDescent="0.15">
      <c r="A180" s="178"/>
      <c r="B180" s="204">
        <f>IFERROR(IF(LoanIsNotPaid*LoanIsGood,PaymentNumber,""), "")</f>
        <v>164</v>
      </c>
      <c r="C180" s="205">
        <f>IFERROR(IF(LoanIsNotPaid*LoanIsGood,PaymentDate,LoanStartDate), LoanStartDate)</f>
        <v>50649</v>
      </c>
      <c r="D180" s="206">
        <f>IFERROR(IF(LoanIsNotPaid*LoanIsGood,LoanValue,""), "")</f>
        <v>410946.62222226453</v>
      </c>
      <c r="E180" s="206">
        <f>IFERROR(IF(LoanIsNotPaid*LoanIsGood,MonthlyPayment,0), 0)</f>
        <v>5691.1875192575681</v>
      </c>
      <c r="F180" s="206">
        <f>IFERROR(IF(LoanIsNotPaid*LoanIsGood,Principal,0), 0)</f>
        <v>5006.2764822204044</v>
      </c>
      <c r="G180" s="206">
        <f>SUM($F$17:F180)</f>
        <v>719059.65425992187</v>
      </c>
      <c r="H180" s="206">
        <f>IFERROR(IF(LoanIsNotPaid*LoanIsGood,InterestAmt,0), 0)</f>
        <v>684.91103703716385</v>
      </c>
      <c r="I180" s="206">
        <f>SUM($H$17:H180)</f>
        <v>214295.09889831892</v>
      </c>
      <c r="J180" s="206">
        <f>IFERROR(IF(LoanIsNotPaid*LoanIsGood,EndingBalance,0), 0)</f>
        <v>405940.34574004379</v>
      </c>
    </row>
    <row r="181" spans="1:10" ht="15" customHeight="1" x14ac:dyDescent="0.15">
      <c r="A181" s="178"/>
      <c r="B181" s="204">
        <f>IFERROR(IF(LoanIsNotPaid*LoanIsGood,PaymentNumber,""), "")</f>
        <v>165</v>
      </c>
      <c r="C181" s="205">
        <f>IFERROR(IF(LoanIsNotPaid*LoanIsGood,PaymentDate,LoanStartDate), LoanStartDate)</f>
        <v>50679</v>
      </c>
      <c r="D181" s="206">
        <f>IFERROR(IF(LoanIsNotPaid*LoanIsGood,LoanValue,""), "")</f>
        <v>405940.34574004379</v>
      </c>
      <c r="E181" s="206">
        <f>IFERROR(IF(LoanIsNotPaid*LoanIsGood,MonthlyPayment,0), 0)</f>
        <v>5691.1875192575681</v>
      </c>
      <c r="F181" s="206">
        <f>IFERROR(IF(LoanIsNotPaid*LoanIsGood,Principal,0), 0)</f>
        <v>5014.6202763574383</v>
      </c>
      <c r="G181" s="206">
        <f>SUM($F$17:F181)</f>
        <v>724074.27453627926</v>
      </c>
      <c r="H181" s="206">
        <f>IFERROR(IF(LoanIsNotPaid*LoanIsGood,InterestAmt,0), 0)</f>
        <v>676.56724290012983</v>
      </c>
      <c r="I181" s="206">
        <f>SUM($H$17:H181)</f>
        <v>214971.66614121906</v>
      </c>
      <c r="J181" s="206">
        <f>IFERROR(IF(LoanIsNotPaid*LoanIsGood,EndingBalance,0), 0)</f>
        <v>400925.72546368605</v>
      </c>
    </row>
    <row r="182" spans="1:10" ht="15" customHeight="1" x14ac:dyDescent="0.15">
      <c r="A182" s="178"/>
      <c r="B182" s="204">
        <f>IFERROR(IF(LoanIsNotPaid*LoanIsGood,PaymentNumber,""), "")</f>
        <v>166</v>
      </c>
      <c r="C182" s="205">
        <f>IFERROR(IF(LoanIsNotPaid*LoanIsGood,PaymentDate,LoanStartDate), LoanStartDate)</f>
        <v>50710</v>
      </c>
      <c r="D182" s="206">
        <f>IFERROR(IF(LoanIsNotPaid*LoanIsGood,LoanValue,""), "")</f>
        <v>400925.72546368605</v>
      </c>
      <c r="E182" s="206">
        <f>IFERROR(IF(LoanIsNotPaid*LoanIsGood,MonthlyPayment,0), 0)</f>
        <v>5691.1875192575681</v>
      </c>
      <c r="F182" s="206">
        <f>IFERROR(IF(LoanIsNotPaid*LoanIsGood,Principal,0), 0)</f>
        <v>5022.9779768180342</v>
      </c>
      <c r="G182" s="206">
        <f>SUM($F$17:F182)</f>
        <v>729097.25251309725</v>
      </c>
      <c r="H182" s="206">
        <f>IFERROR(IF(LoanIsNotPaid*LoanIsGood,InterestAmt,0), 0)</f>
        <v>668.20954243953418</v>
      </c>
      <c r="I182" s="206">
        <f>SUM($H$17:H182)</f>
        <v>215639.87568365858</v>
      </c>
      <c r="J182" s="206">
        <f>IFERROR(IF(LoanIsNotPaid*LoanIsGood,EndingBalance,0), 0)</f>
        <v>395902.74748686794</v>
      </c>
    </row>
    <row r="183" spans="1:10" ht="15" customHeight="1" x14ac:dyDescent="0.15">
      <c r="A183" s="178"/>
      <c r="B183" s="204">
        <f>IFERROR(IF(LoanIsNotPaid*LoanIsGood,PaymentNumber,""), "")</f>
        <v>167</v>
      </c>
      <c r="C183" s="205">
        <f>IFERROR(IF(LoanIsNotPaid*LoanIsGood,PaymentDate,LoanStartDate), LoanStartDate)</f>
        <v>50740</v>
      </c>
      <c r="D183" s="206">
        <f>IFERROR(IF(LoanIsNotPaid*LoanIsGood,LoanValue,""), "")</f>
        <v>395902.74748686794</v>
      </c>
      <c r="E183" s="206">
        <f>IFERROR(IF(LoanIsNotPaid*LoanIsGood,MonthlyPayment,0), 0)</f>
        <v>5691.1875192575681</v>
      </c>
      <c r="F183" s="206">
        <f>IFERROR(IF(LoanIsNotPaid*LoanIsGood,Principal,0), 0)</f>
        <v>5031.3496067793976</v>
      </c>
      <c r="G183" s="206">
        <f>SUM($F$17:F183)</f>
        <v>734128.60211987665</v>
      </c>
      <c r="H183" s="206">
        <f>IFERROR(IF(LoanIsNotPaid*LoanIsGood,InterestAmt,0), 0)</f>
        <v>659.83791247817078</v>
      </c>
      <c r="I183" s="206">
        <f>SUM($H$17:H183)</f>
        <v>216299.71359613675</v>
      </c>
      <c r="J183" s="206">
        <f>IFERROR(IF(LoanIsNotPaid*LoanIsGood,EndingBalance,0), 0)</f>
        <v>390871.39788008854</v>
      </c>
    </row>
    <row r="184" spans="1:10" ht="15" customHeight="1" x14ac:dyDescent="0.15">
      <c r="A184" s="178"/>
      <c r="B184" s="204">
        <f>IFERROR(IF(LoanIsNotPaid*LoanIsGood,PaymentNumber,""), "")</f>
        <v>168</v>
      </c>
      <c r="C184" s="205">
        <f>IFERROR(IF(LoanIsNotPaid*LoanIsGood,PaymentDate,LoanStartDate), LoanStartDate)</f>
        <v>50771</v>
      </c>
      <c r="D184" s="206">
        <f>IFERROR(IF(LoanIsNotPaid*LoanIsGood,LoanValue,""), "")</f>
        <v>390871.39788008854</v>
      </c>
      <c r="E184" s="206">
        <f>IFERROR(IF(LoanIsNotPaid*LoanIsGood,MonthlyPayment,0), 0)</f>
        <v>5691.1875192575681</v>
      </c>
      <c r="F184" s="206">
        <f>IFERROR(IF(LoanIsNotPaid*LoanIsGood,Principal,0), 0)</f>
        <v>5039.735189457363</v>
      </c>
      <c r="G184" s="206">
        <f>SUM($F$17:F184)</f>
        <v>739168.33730933396</v>
      </c>
      <c r="H184" s="206">
        <f>IFERROR(IF(LoanIsNotPaid*LoanIsGood,InterestAmt,0), 0)</f>
        <v>651.45232980020501</v>
      </c>
      <c r="I184" s="206">
        <f>SUM($H$17:H184)</f>
        <v>216951.16592593695</v>
      </c>
      <c r="J184" s="206">
        <f>IFERROR(IF(LoanIsNotPaid*LoanIsGood,EndingBalance,0), 0)</f>
        <v>385831.66269062995</v>
      </c>
    </row>
    <row r="185" spans="1:10" ht="15" customHeight="1" x14ac:dyDescent="0.15">
      <c r="A185" s="178"/>
      <c r="B185" s="204">
        <f>IFERROR(IF(LoanIsNotPaid*LoanIsGood,PaymentNumber,""), "")</f>
        <v>169</v>
      </c>
      <c r="C185" s="205">
        <f>IFERROR(IF(LoanIsNotPaid*LoanIsGood,PaymentDate,LoanStartDate), LoanStartDate)</f>
        <v>50802</v>
      </c>
      <c r="D185" s="206">
        <f>IFERROR(IF(LoanIsNotPaid*LoanIsGood,LoanValue,""), "")</f>
        <v>385831.66269062995</v>
      </c>
      <c r="E185" s="206">
        <f>IFERROR(IF(LoanIsNotPaid*LoanIsGood,MonthlyPayment,0), 0)</f>
        <v>5691.1875192575681</v>
      </c>
      <c r="F185" s="206">
        <f>IFERROR(IF(LoanIsNotPaid*LoanIsGood,Principal,0), 0)</f>
        <v>5048.1347481064586</v>
      </c>
      <c r="G185" s="206">
        <f>SUM($F$17:F185)</f>
        <v>744216.47205744043</v>
      </c>
      <c r="H185" s="206">
        <f>IFERROR(IF(LoanIsNotPaid*LoanIsGood,InterestAmt,0), 0)</f>
        <v>643.05277115110948</v>
      </c>
      <c r="I185" s="206">
        <f>SUM($H$17:H185)</f>
        <v>217594.21869708807</v>
      </c>
      <c r="J185" s="206">
        <f>IFERROR(IF(LoanIsNotPaid*LoanIsGood,EndingBalance,0), 0)</f>
        <v>380783.52794252429</v>
      </c>
    </row>
    <row r="186" spans="1:10" ht="15" customHeight="1" x14ac:dyDescent="0.15">
      <c r="A186" s="178"/>
      <c r="B186" s="204">
        <f>IFERROR(IF(LoanIsNotPaid*LoanIsGood,PaymentNumber,""), "")</f>
        <v>170</v>
      </c>
      <c r="C186" s="205">
        <f>IFERROR(IF(LoanIsNotPaid*LoanIsGood,PaymentDate,LoanStartDate), LoanStartDate)</f>
        <v>50830</v>
      </c>
      <c r="D186" s="206">
        <f>IFERROR(IF(LoanIsNotPaid*LoanIsGood,LoanValue,""), "")</f>
        <v>380783.52794252429</v>
      </c>
      <c r="E186" s="206">
        <f>IFERROR(IF(LoanIsNotPaid*LoanIsGood,MonthlyPayment,0), 0)</f>
        <v>5691.1875192575681</v>
      </c>
      <c r="F186" s="206">
        <f>IFERROR(IF(LoanIsNotPaid*LoanIsGood,Principal,0), 0)</f>
        <v>5056.5483060199695</v>
      </c>
      <c r="G186" s="206">
        <f>SUM($F$17:F186)</f>
        <v>749273.02036346041</v>
      </c>
      <c r="H186" s="206">
        <f>IFERROR(IF(LoanIsNotPaid*LoanIsGood,InterestAmt,0), 0)</f>
        <v>634.6392132375986</v>
      </c>
      <c r="I186" s="206">
        <f>SUM($H$17:H186)</f>
        <v>218228.85791032566</v>
      </c>
      <c r="J186" s="206">
        <f>IFERROR(IF(LoanIsNotPaid*LoanIsGood,EndingBalance,0), 0)</f>
        <v>375726.97963650408</v>
      </c>
    </row>
    <row r="187" spans="1:10" ht="15" customHeight="1" x14ac:dyDescent="0.15">
      <c r="A187" s="178"/>
      <c r="B187" s="204">
        <f>IFERROR(IF(LoanIsNotPaid*LoanIsGood,PaymentNumber,""), "")</f>
        <v>171</v>
      </c>
      <c r="C187" s="205">
        <f>IFERROR(IF(LoanIsNotPaid*LoanIsGood,PaymentDate,LoanStartDate), LoanStartDate)</f>
        <v>50861</v>
      </c>
      <c r="D187" s="206">
        <f>IFERROR(IF(LoanIsNotPaid*LoanIsGood,LoanValue,""), "")</f>
        <v>375726.97963650408</v>
      </c>
      <c r="E187" s="206">
        <f>IFERROR(IF(LoanIsNotPaid*LoanIsGood,MonthlyPayment,0), 0)</f>
        <v>5691.1875192575681</v>
      </c>
      <c r="F187" s="206">
        <f>IFERROR(IF(LoanIsNotPaid*LoanIsGood,Principal,0), 0)</f>
        <v>5064.9758865300028</v>
      </c>
      <c r="G187" s="206">
        <f>SUM($F$17:F187)</f>
        <v>754337.99624999042</v>
      </c>
      <c r="H187" s="206">
        <f>IFERROR(IF(LoanIsNotPaid*LoanIsGood,InterestAmt,0), 0)</f>
        <v>626.21163272756542</v>
      </c>
      <c r="I187" s="206">
        <f>SUM($H$17:H187)</f>
        <v>218855.06954305322</v>
      </c>
      <c r="J187" s="206">
        <f>IFERROR(IF(LoanIsNotPaid*LoanIsGood,EndingBalance,0), 0)</f>
        <v>370662.00374997361</v>
      </c>
    </row>
    <row r="188" spans="1:10" ht="15" customHeight="1" x14ac:dyDescent="0.15">
      <c r="A188" s="178"/>
      <c r="B188" s="204">
        <f>IFERROR(IF(LoanIsNotPaid*LoanIsGood,PaymentNumber,""), "")</f>
        <v>172</v>
      </c>
      <c r="C188" s="205">
        <f>IFERROR(IF(LoanIsNotPaid*LoanIsGood,PaymentDate,LoanStartDate), LoanStartDate)</f>
        <v>50891</v>
      </c>
      <c r="D188" s="206">
        <f>IFERROR(IF(LoanIsNotPaid*LoanIsGood,LoanValue,""), "")</f>
        <v>370662.00374997361</v>
      </c>
      <c r="E188" s="206">
        <f>IFERROR(IF(LoanIsNotPaid*LoanIsGood,MonthlyPayment,0), 0)</f>
        <v>5691.1875192575681</v>
      </c>
      <c r="F188" s="206">
        <f>IFERROR(IF(LoanIsNotPaid*LoanIsGood,Principal,0), 0)</f>
        <v>5073.4175130075528</v>
      </c>
      <c r="G188" s="206">
        <f>SUM($F$17:F188)</f>
        <v>759411.41376299795</v>
      </c>
      <c r="H188" s="206">
        <f>IFERROR(IF(LoanIsNotPaid*LoanIsGood,InterestAmt,0), 0)</f>
        <v>617.7700062500154</v>
      </c>
      <c r="I188" s="206">
        <f>SUM($H$17:H188)</f>
        <v>219472.83954930323</v>
      </c>
      <c r="J188" s="206">
        <f>IFERROR(IF(LoanIsNotPaid*LoanIsGood,EndingBalance,0), 0)</f>
        <v>365588.58623696584</v>
      </c>
    </row>
    <row r="189" spans="1:10" ht="15" customHeight="1" x14ac:dyDescent="0.15">
      <c r="A189" s="178"/>
      <c r="B189" s="204">
        <f>IFERROR(IF(LoanIsNotPaid*LoanIsGood,PaymentNumber,""), "")</f>
        <v>173</v>
      </c>
      <c r="C189" s="205">
        <f>IFERROR(IF(LoanIsNotPaid*LoanIsGood,PaymentDate,LoanStartDate), LoanStartDate)</f>
        <v>50922</v>
      </c>
      <c r="D189" s="206">
        <f>IFERROR(IF(LoanIsNotPaid*LoanIsGood,LoanValue,""), "")</f>
        <v>365588.58623696584</v>
      </c>
      <c r="E189" s="206">
        <f>IFERROR(IF(LoanIsNotPaid*LoanIsGood,MonthlyPayment,0), 0)</f>
        <v>5691.1875192575681</v>
      </c>
      <c r="F189" s="206">
        <f>IFERROR(IF(LoanIsNotPaid*LoanIsGood,Principal,0), 0)</f>
        <v>5081.8732088625648</v>
      </c>
      <c r="G189" s="206">
        <f>SUM($F$17:F189)</f>
        <v>764493.28697186057</v>
      </c>
      <c r="H189" s="206">
        <f>IFERROR(IF(LoanIsNotPaid*LoanIsGood,InterestAmt,0), 0)</f>
        <v>609.31431039500274</v>
      </c>
      <c r="I189" s="206">
        <f>SUM($H$17:H189)</f>
        <v>220082.15385969824</v>
      </c>
      <c r="J189" s="206">
        <f>IFERROR(IF(LoanIsNotPaid*LoanIsGood,EndingBalance,0), 0)</f>
        <v>360506.71302810265</v>
      </c>
    </row>
    <row r="190" spans="1:10" ht="15" customHeight="1" x14ac:dyDescent="0.15">
      <c r="A190" s="178"/>
      <c r="B190" s="204">
        <f>IFERROR(IF(LoanIsNotPaid*LoanIsGood,PaymentNumber,""), "")</f>
        <v>174</v>
      </c>
      <c r="C190" s="205">
        <f>IFERROR(IF(LoanIsNotPaid*LoanIsGood,PaymentDate,LoanStartDate), LoanStartDate)</f>
        <v>50952</v>
      </c>
      <c r="D190" s="206">
        <f>IFERROR(IF(LoanIsNotPaid*LoanIsGood,LoanValue,""), "")</f>
        <v>360506.71302810265</v>
      </c>
      <c r="E190" s="206">
        <f>IFERROR(IF(LoanIsNotPaid*LoanIsGood,MonthlyPayment,0), 0)</f>
        <v>5691.1875192575681</v>
      </c>
      <c r="F190" s="206">
        <f>IFERROR(IF(LoanIsNotPaid*LoanIsGood,Principal,0), 0)</f>
        <v>5090.3429975440031</v>
      </c>
      <c r="G190" s="206">
        <f>SUM($F$17:F190)</f>
        <v>769583.62996940454</v>
      </c>
      <c r="H190" s="206">
        <f>IFERROR(IF(LoanIsNotPaid*LoanIsGood,InterestAmt,0), 0)</f>
        <v>600.8445217135652</v>
      </c>
      <c r="I190" s="206">
        <f>SUM($H$17:H190)</f>
        <v>220682.9983814118</v>
      </c>
      <c r="J190" s="206">
        <f>IFERROR(IF(LoanIsNotPaid*LoanIsGood,EndingBalance,0), 0)</f>
        <v>355416.37003055867</v>
      </c>
    </row>
    <row r="191" spans="1:10" ht="15" customHeight="1" x14ac:dyDescent="0.15">
      <c r="A191" s="178"/>
      <c r="B191" s="204">
        <f>IFERROR(IF(LoanIsNotPaid*LoanIsGood,PaymentNumber,""), "")</f>
        <v>175</v>
      </c>
      <c r="C191" s="205">
        <f>IFERROR(IF(LoanIsNotPaid*LoanIsGood,PaymentDate,LoanStartDate), LoanStartDate)</f>
        <v>50983</v>
      </c>
      <c r="D191" s="206">
        <f>IFERROR(IF(LoanIsNotPaid*LoanIsGood,LoanValue,""), "")</f>
        <v>355416.37003055867</v>
      </c>
      <c r="E191" s="206">
        <f>IFERROR(IF(LoanIsNotPaid*LoanIsGood,MonthlyPayment,0), 0)</f>
        <v>5691.1875192575681</v>
      </c>
      <c r="F191" s="206">
        <f>IFERROR(IF(LoanIsNotPaid*LoanIsGood,Principal,0), 0)</f>
        <v>5098.8269025399086</v>
      </c>
      <c r="G191" s="206">
        <f>SUM($F$17:F191)</f>
        <v>774682.45687194448</v>
      </c>
      <c r="H191" s="206">
        <f>IFERROR(IF(LoanIsNotPaid*LoanIsGood,InterestAmt,0), 0)</f>
        <v>592.36061671765856</v>
      </c>
      <c r="I191" s="206">
        <f>SUM($H$17:H191)</f>
        <v>221275.35899812946</v>
      </c>
      <c r="J191" s="206">
        <f>IFERROR(IF(LoanIsNotPaid*LoanIsGood,EndingBalance,0), 0)</f>
        <v>350317.5431280185</v>
      </c>
    </row>
    <row r="192" spans="1:10" ht="15" customHeight="1" x14ac:dyDescent="0.15">
      <c r="A192" s="178"/>
      <c r="B192" s="204">
        <f>IFERROR(IF(LoanIsNotPaid*LoanIsGood,PaymentNumber,""), "")</f>
        <v>176</v>
      </c>
      <c r="C192" s="205">
        <f>IFERROR(IF(LoanIsNotPaid*LoanIsGood,PaymentDate,LoanStartDate), LoanStartDate)</f>
        <v>51014</v>
      </c>
      <c r="D192" s="206">
        <f>IFERROR(IF(LoanIsNotPaid*LoanIsGood,LoanValue,""), "")</f>
        <v>350317.5431280185</v>
      </c>
      <c r="E192" s="206">
        <f>IFERROR(IF(LoanIsNotPaid*LoanIsGood,MonthlyPayment,0), 0)</f>
        <v>5691.1875192575681</v>
      </c>
      <c r="F192" s="206">
        <f>IFERROR(IF(LoanIsNotPaid*LoanIsGood,Principal,0), 0)</f>
        <v>5107.3249473774758</v>
      </c>
      <c r="G192" s="206">
        <f>SUM($F$17:F192)</f>
        <v>779789.78181932191</v>
      </c>
      <c r="H192" s="206">
        <f>IFERROR(IF(LoanIsNotPaid*LoanIsGood,InterestAmt,0), 0)</f>
        <v>583.86257188009199</v>
      </c>
      <c r="I192" s="206">
        <f>SUM($H$17:H192)</f>
        <v>221859.22157000957</v>
      </c>
      <c r="J192" s="206">
        <f>IFERROR(IF(LoanIsNotPaid*LoanIsGood,EndingBalance,0), 0)</f>
        <v>345210.21818064013</v>
      </c>
    </row>
    <row r="193" spans="1:10" ht="15" customHeight="1" x14ac:dyDescent="0.15">
      <c r="A193" s="178"/>
      <c r="B193" s="204">
        <f>IFERROR(IF(LoanIsNotPaid*LoanIsGood,PaymentNumber,""), "")</f>
        <v>177</v>
      </c>
      <c r="C193" s="205">
        <f>IFERROR(IF(LoanIsNotPaid*LoanIsGood,PaymentDate,LoanStartDate), LoanStartDate)</f>
        <v>51044</v>
      </c>
      <c r="D193" s="206">
        <f>IFERROR(IF(LoanIsNotPaid*LoanIsGood,LoanValue,""), "")</f>
        <v>345210.21818064013</v>
      </c>
      <c r="E193" s="206">
        <f>IFERROR(IF(LoanIsNotPaid*LoanIsGood,MonthlyPayment,0), 0)</f>
        <v>5691.1875192575681</v>
      </c>
      <c r="F193" s="206">
        <f>IFERROR(IF(LoanIsNotPaid*LoanIsGood,Principal,0), 0)</f>
        <v>5115.837155623105</v>
      </c>
      <c r="G193" s="206">
        <f>SUM($F$17:F193)</f>
        <v>784905.61897494504</v>
      </c>
      <c r="H193" s="206">
        <f>IFERROR(IF(LoanIsNotPaid*LoanIsGood,InterestAmt,0), 0)</f>
        <v>575.35036363446284</v>
      </c>
      <c r="I193" s="206">
        <f>SUM($H$17:H193)</f>
        <v>222434.57193364404</v>
      </c>
      <c r="J193" s="206">
        <f>IFERROR(IF(LoanIsNotPaid*LoanIsGood,EndingBalance,0), 0)</f>
        <v>340094.38102501724</v>
      </c>
    </row>
    <row r="194" spans="1:10" ht="15" customHeight="1" x14ac:dyDescent="0.15">
      <c r="A194" s="178"/>
      <c r="B194" s="204">
        <f>IFERROR(IF(LoanIsNotPaid*LoanIsGood,PaymentNumber,""), "")</f>
        <v>178</v>
      </c>
      <c r="C194" s="205">
        <f>IFERROR(IF(LoanIsNotPaid*LoanIsGood,PaymentDate,LoanStartDate), LoanStartDate)</f>
        <v>51075</v>
      </c>
      <c r="D194" s="206">
        <f>IFERROR(IF(LoanIsNotPaid*LoanIsGood,LoanValue,""), "")</f>
        <v>340094.38102501724</v>
      </c>
      <c r="E194" s="206">
        <f>IFERROR(IF(LoanIsNotPaid*LoanIsGood,MonthlyPayment,0), 0)</f>
        <v>5691.1875192575681</v>
      </c>
      <c r="F194" s="206">
        <f>IFERROR(IF(LoanIsNotPaid*LoanIsGood,Principal,0), 0)</f>
        <v>5124.3635508824764</v>
      </c>
      <c r="G194" s="206">
        <f>SUM($F$17:F194)</f>
        <v>790029.98252582748</v>
      </c>
      <c r="H194" s="206">
        <f>IFERROR(IF(LoanIsNotPaid*LoanIsGood,InterestAmt,0), 0)</f>
        <v>566.823968375091</v>
      </c>
      <c r="I194" s="206">
        <f>SUM($H$17:H194)</f>
        <v>223001.39590201914</v>
      </c>
      <c r="J194" s="206">
        <f>IFERROR(IF(LoanIsNotPaid*LoanIsGood,EndingBalance,0), 0)</f>
        <v>334970.01747413469</v>
      </c>
    </row>
    <row r="195" spans="1:10" ht="15" customHeight="1" x14ac:dyDescent="0.15">
      <c r="A195" s="178"/>
      <c r="B195" s="204">
        <f>IFERROR(IF(LoanIsNotPaid*LoanIsGood,PaymentNumber,""), "")</f>
        <v>179</v>
      </c>
      <c r="C195" s="205">
        <f>IFERROR(IF(LoanIsNotPaid*LoanIsGood,PaymentDate,LoanStartDate), LoanStartDate)</f>
        <v>51105</v>
      </c>
      <c r="D195" s="206">
        <f>IFERROR(IF(LoanIsNotPaid*LoanIsGood,LoanValue,""), "")</f>
        <v>334970.01747413469</v>
      </c>
      <c r="E195" s="206">
        <f>IFERROR(IF(LoanIsNotPaid*LoanIsGood,MonthlyPayment,0), 0)</f>
        <v>5691.1875192575681</v>
      </c>
      <c r="F195" s="206">
        <f>IFERROR(IF(LoanIsNotPaid*LoanIsGood,Principal,0), 0)</f>
        <v>5132.9041568006141</v>
      </c>
      <c r="G195" s="206">
        <f>SUM($F$17:F195)</f>
        <v>795162.88668262807</v>
      </c>
      <c r="H195" s="206">
        <f>IFERROR(IF(LoanIsNotPaid*LoanIsGood,InterestAmt,0), 0)</f>
        <v>558.28336245695345</v>
      </c>
      <c r="I195" s="206">
        <f>SUM($H$17:H195)</f>
        <v>223559.67926447609</v>
      </c>
      <c r="J195" s="206">
        <f>IFERROR(IF(LoanIsNotPaid*LoanIsGood,EndingBalance,0), 0)</f>
        <v>329837.11331733316</v>
      </c>
    </row>
    <row r="196" spans="1:10" ht="15" customHeight="1" x14ac:dyDescent="0.15">
      <c r="A196" s="178"/>
      <c r="B196" s="204">
        <f>IFERROR(IF(LoanIsNotPaid*LoanIsGood,PaymentNumber,""), "")</f>
        <v>180</v>
      </c>
      <c r="C196" s="205">
        <f>IFERROR(IF(LoanIsNotPaid*LoanIsGood,PaymentDate,LoanStartDate), LoanStartDate)</f>
        <v>51136</v>
      </c>
      <c r="D196" s="206">
        <f>IFERROR(IF(LoanIsNotPaid*LoanIsGood,LoanValue,""), "")</f>
        <v>329837.11331733316</v>
      </c>
      <c r="E196" s="206">
        <f>IFERROR(IF(LoanIsNotPaid*LoanIsGood,MonthlyPayment,0), 0)</f>
        <v>5691.1875192575681</v>
      </c>
      <c r="F196" s="206">
        <f>IFERROR(IF(LoanIsNotPaid*LoanIsGood,Principal,0), 0)</f>
        <v>5141.4589970619481</v>
      </c>
      <c r="G196" s="206">
        <f>SUM($F$17:F196)</f>
        <v>800304.34567969001</v>
      </c>
      <c r="H196" s="206">
        <f>IFERROR(IF(LoanIsNotPaid*LoanIsGood,InterestAmt,0), 0)</f>
        <v>549.72852219561923</v>
      </c>
      <c r="I196" s="206">
        <f>SUM($H$17:H196)</f>
        <v>224109.40778667171</v>
      </c>
      <c r="J196" s="206">
        <f>IFERROR(IF(LoanIsNotPaid*LoanIsGood,EndingBalance,0), 0)</f>
        <v>324695.65432027122</v>
      </c>
    </row>
    <row r="197" spans="1:10" ht="15" customHeight="1" x14ac:dyDescent="0.15">
      <c r="A197" s="178"/>
      <c r="B197" s="204">
        <f>IFERROR(IF(LoanIsNotPaid*LoanIsGood,PaymentNumber,""), "")</f>
        <v>181</v>
      </c>
      <c r="C197" s="205">
        <f>IFERROR(IF(LoanIsNotPaid*LoanIsGood,PaymentDate,LoanStartDate), LoanStartDate)</f>
        <v>51167</v>
      </c>
      <c r="D197" s="206">
        <f>IFERROR(IF(LoanIsNotPaid*LoanIsGood,LoanValue,""), "")</f>
        <v>324695.65432027122</v>
      </c>
      <c r="E197" s="206">
        <f>IFERROR(IF(LoanIsNotPaid*LoanIsGood,MonthlyPayment,0), 0)</f>
        <v>5691.1875192575681</v>
      </c>
      <c r="F197" s="206">
        <f>IFERROR(IF(LoanIsNotPaid*LoanIsGood,Principal,0), 0)</f>
        <v>5150.0280953903857</v>
      </c>
      <c r="G197" s="206">
        <f>SUM($F$17:F197)</f>
        <v>805454.37377508043</v>
      </c>
      <c r="H197" s="206">
        <f>IFERROR(IF(LoanIsNotPaid*LoanIsGood,InterestAmt,0), 0)</f>
        <v>541.15942386718268</v>
      </c>
      <c r="I197" s="206">
        <f>SUM($H$17:H197)</f>
        <v>224650.56721053889</v>
      </c>
      <c r="J197" s="206">
        <f>IFERROR(IF(LoanIsNotPaid*LoanIsGood,EndingBalance,0), 0)</f>
        <v>319545.62622488057</v>
      </c>
    </row>
    <row r="198" spans="1:10" ht="15" customHeight="1" x14ac:dyDescent="0.15">
      <c r="A198" s="178"/>
      <c r="B198" s="204">
        <f>IFERROR(IF(LoanIsNotPaid*LoanIsGood,PaymentNumber,""), "")</f>
        <v>182</v>
      </c>
      <c r="C198" s="205">
        <f>IFERROR(IF(LoanIsNotPaid*LoanIsGood,PaymentDate,LoanStartDate), LoanStartDate)</f>
        <v>51196</v>
      </c>
      <c r="D198" s="206">
        <f>IFERROR(IF(LoanIsNotPaid*LoanIsGood,LoanValue,""), "")</f>
        <v>319545.62622488057</v>
      </c>
      <c r="E198" s="206">
        <f>IFERROR(IF(LoanIsNotPaid*LoanIsGood,MonthlyPayment,0), 0)</f>
        <v>5691.1875192575681</v>
      </c>
      <c r="F198" s="206">
        <f>IFERROR(IF(LoanIsNotPaid*LoanIsGood,Principal,0), 0)</f>
        <v>5158.6114755493691</v>
      </c>
      <c r="G198" s="206">
        <f>SUM($F$17:F198)</f>
        <v>810612.98525062983</v>
      </c>
      <c r="H198" s="206">
        <f>IFERROR(IF(LoanIsNotPaid*LoanIsGood,InterestAmt,0), 0)</f>
        <v>532.57604370819877</v>
      </c>
      <c r="I198" s="206">
        <f>SUM($H$17:H198)</f>
        <v>225183.14325424709</v>
      </c>
      <c r="J198" s="206">
        <f>IFERROR(IF(LoanIsNotPaid*LoanIsGood,EndingBalance,0), 0)</f>
        <v>314387.01474933093</v>
      </c>
    </row>
    <row r="199" spans="1:10" ht="15" customHeight="1" x14ac:dyDescent="0.15">
      <c r="A199" s="178"/>
      <c r="B199" s="204">
        <f>IFERROR(IF(LoanIsNotPaid*LoanIsGood,PaymentNumber,""), "")</f>
        <v>183</v>
      </c>
      <c r="C199" s="205">
        <f>IFERROR(IF(LoanIsNotPaid*LoanIsGood,PaymentDate,LoanStartDate), LoanStartDate)</f>
        <v>51227</v>
      </c>
      <c r="D199" s="206">
        <f>IFERROR(IF(LoanIsNotPaid*LoanIsGood,LoanValue,""), "")</f>
        <v>314387.01474933093</v>
      </c>
      <c r="E199" s="206">
        <f>IFERROR(IF(LoanIsNotPaid*LoanIsGood,MonthlyPayment,0), 0)</f>
        <v>5691.1875192575681</v>
      </c>
      <c r="F199" s="206">
        <f>IFERROR(IF(LoanIsNotPaid*LoanIsGood,Principal,0), 0)</f>
        <v>5167.2091613419516</v>
      </c>
      <c r="G199" s="206">
        <f>SUM($F$17:F199)</f>
        <v>815780.19441197184</v>
      </c>
      <c r="H199" s="206">
        <f>IFERROR(IF(LoanIsNotPaid*LoanIsGood,InterestAmt,0), 0)</f>
        <v>523.97835791561636</v>
      </c>
      <c r="I199" s="206">
        <f>SUM($H$17:H199)</f>
        <v>225707.12161216271</v>
      </c>
      <c r="J199" s="206">
        <f>IFERROR(IF(LoanIsNotPaid*LoanIsGood,EndingBalance,0), 0)</f>
        <v>309219.80558798905</v>
      </c>
    </row>
    <row r="200" spans="1:10" ht="15" customHeight="1" x14ac:dyDescent="0.15">
      <c r="A200" s="178"/>
      <c r="B200" s="204">
        <f>IFERROR(IF(LoanIsNotPaid*LoanIsGood,PaymentNumber,""), "")</f>
        <v>184</v>
      </c>
      <c r="C200" s="205">
        <f>IFERROR(IF(LoanIsNotPaid*LoanIsGood,PaymentDate,LoanStartDate), LoanStartDate)</f>
        <v>51257</v>
      </c>
      <c r="D200" s="206">
        <f>IFERROR(IF(LoanIsNotPaid*LoanIsGood,LoanValue,""), "")</f>
        <v>309219.80558798905</v>
      </c>
      <c r="E200" s="206">
        <f>IFERROR(IF(LoanIsNotPaid*LoanIsGood,MonthlyPayment,0), 0)</f>
        <v>5691.1875192575681</v>
      </c>
      <c r="F200" s="206">
        <f>IFERROR(IF(LoanIsNotPaid*LoanIsGood,Principal,0), 0)</f>
        <v>5175.8211766108552</v>
      </c>
      <c r="G200" s="206">
        <f>SUM($F$17:F200)</f>
        <v>820956.01558858273</v>
      </c>
      <c r="H200" s="206">
        <f>IFERROR(IF(LoanIsNotPaid*LoanIsGood,InterestAmt,0), 0)</f>
        <v>515.36634264671329</v>
      </c>
      <c r="I200" s="206">
        <f>SUM($H$17:H200)</f>
        <v>226222.48795480942</v>
      </c>
      <c r="J200" s="206">
        <f>IFERROR(IF(LoanIsNotPaid*LoanIsGood,EndingBalance,0), 0)</f>
        <v>304043.98441137699</v>
      </c>
    </row>
    <row r="201" spans="1:10" ht="15" customHeight="1" x14ac:dyDescent="0.15">
      <c r="A201" s="178"/>
      <c r="B201" s="204">
        <f>IFERROR(IF(LoanIsNotPaid*LoanIsGood,PaymentNumber,""), "")</f>
        <v>185</v>
      </c>
      <c r="C201" s="205">
        <f>IFERROR(IF(LoanIsNotPaid*LoanIsGood,PaymentDate,LoanStartDate), LoanStartDate)</f>
        <v>51288</v>
      </c>
      <c r="D201" s="206">
        <f>IFERROR(IF(LoanIsNotPaid*LoanIsGood,LoanValue,""), "")</f>
        <v>304043.98441137699</v>
      </c>
      <c r="E201" s="206">
        <f>IFERROR(IF(LoanIsNotPaid*LoanIsGood,MonthlyPayment,0), 0)</f>
        <v>5691.1875192575681</v>
      </c>
      <c r="F201" s="206">
        <f>IFERROR(IF(LoanIsNotPaid*LoanIsGood,Principal,0), 0)</f>
        <v>5184.4475452385395</v>
      </c>
      <c r="G201" s="206">
        <f>SUM($F$17:F201)</f>
        <v>826140.46313382126</v>
      </c>
      <c r="H201" s="206">
        <f>IFERROR(IF(LoanIsNotPaid*LoanIsGood,InterestAmt,0), 0)</f>
        <v>506.73997401902835</v>
      </c>
      <c r="I201" s="206">
        <f>SUM($H$17:H201)</f>
        <v>226729.22792882845</v>
      </c>
      <c r="J201" s="206">
        <f>IFERROR(IF(LoanIsNotPaid*LoanIsGood,EndingBalance,0), 0)</f>
        <v>298859.53686613915</v>
      </c>
    </row>
    <row r="202" spans="1:10" ht="15" customHeight="1" x14ac:dyDescent="0.15">
      <c r="A202" s="178"/>
      <c r="B202" s="204">
        <f>IFERROR(IF(LoanIsNotPaid*LoanIsGood,PaymentNumber,""), "")</f>
        <v>186</v>
      </c>
      <c r="C202" s="205">
        <f>IFERROR(IF(LoanIsNotPaid*LoanIsGood,PaymentDate,LoanStartDate), LoanStartDate)</f>
        <v>51318</v>
      </c>
      <c r="D202" s="206">
        <f>IFERROR(IF(LoanIsNotPaid*LoanIsGood,LoanValue,""), "")</f>
        <v>298859.53686613915</v>
      </c>
      <c r="E202" s="206">
        <f>IFERROR(IF(LoanIsNotPaid*LoanIsGood,MonthlyPayment,0), 0)</f>
        <v>5691.1875192575681</v>
      </c>
      <c r="F202" s="206">
        <f>IFERROR(IF(LoanIsNotPaid*LoanIsGood,Principal,0), 0)</f>
        <v>5193.0882911472709</v>
      </c>
      <c r="G202" s="206">
        <f>SUM($F$17:F202)</f>
        <v>831333.55142496852</v>
      </c>
      <c r="H202" s="206">
        <f>IFERROR(IF(LoanIsNotPaid*LoanIsGood,InterestAmt,0), 0)</f>
        <v>498.09922811029753</v>
      </c>
      <c r="I202" s="206">
        <f>SUM($H$17:H202)</f>
        <v>227227.32715693876</v>
      </c>
      <c r="J202" s="206">
        <f>IFERROR(IF(LoanIsNotPaid*LoanIsGood,EndingBalance,0), 0)</f>
        <v>293666.4485749912</v>
      </c>
    </row>
    <row r="203" spans="1:10" ht="15" customHeight="1" x14ac:dyDescent="0.15">
      <c r="A203" s="178"/>
      <c r="B203" s="204">
        <f>IFERROR(IF(LoanIsNotPaid*LoanIsGood,PaymentNumber,""), "")</f>
        <v>187</v>
      </c>
      <c r="C203" s="205">
        <f>IFERROR(IF(LoanIsNotPaid*LoanIsGood,PaymentDate,LoanStartDate), LoanStartDate)</f>
        <v>51349</v>
      </c>
      <c r="D203" s="206">
        <f>IFERROR(IF(LoanIsNotPaid*LoanIsGood,LoanValue,""), "")</f>
        <v>293666.4485749912</v>
      </c>
      <c r="E203" s="206">
        <f>IFERROR(IF(LoanIsNotPaid*LoanIsGood,MonthlyPayment,0), 0)</f>
        <v>5691.1875192575681</v>
      </c>
      <c r="F203" s="206">
        <f>IFERROR(IF(LoanIsNotPaid*LoanIsGood,Principal,0), 0)</f>
        <v>5201.7434382991833</v>
      </c>
      <c r="G203" s="206">
        <f>SUM($F$17:F203)</f>
        <v>836535.29486326769</v>
      </c>
      <c r="H203" s="206">
        <f>IFERROR(IF(LoanIsNotPaid*LoanIsGood,InterestAmt,0), 0)</f>
        <v>489.44408095838537</v>
      </c>
      <c r="I203" s="206">
        <f>SUM($H$17:H203)</f>
        <v>227716.77123789713</v>
      </c>
      <c r="J203" s="206">
        <f>IFERROR(IF(LoanIsNotPaid*LoanIsGood,EndingBalance,0), 0)</f>
        <v>288464.70513669215</v>
      </c>
    </row>
    <row r="204" spans="1:10" ht="15" customHeight="1" x14ac:dyDescent="0.15">
      <c r="A204" s="178"/>
      <c r="B204" s="204">
        <f>IFERROR(IF(LoanIsNotPaid*LoanIsGood,PaymentNumber,""), "")</f>
        <v>188</v>
      </c>
      <c r="C204" s="205">
        <f>IFERROR(IF(LoanIsNotPaid*LoanIsGood,PaymentDate,LoanStartDate), LoanStartDate)</f>
        <v>51380</v>
      </c>
      <c r="D204" s="206">
        <f>IFERROR(IF(LoanIsNotPaid*LoanIsGood,LoanValue,""), "")</f>
        <v>288464.70513669215</v>
      </c>
      <c r="E204" s="206">
        <f>IFERROR(IF(LoanIsNotPaid*LoanIsGood,MonthlyPayment,0), 0)</f>
        <v>5691.1875192575681</v>
      </c>
      <c r="F204" s="206">
        <f>IFERROR(IF(LoanIsNotPaid*LoanIsGood,Principal,0), 0)</f>
        <v>5210.4130106963485</v>
      </c>
      <c r="G204" s="206">
        <f>SUM($F$17:F204)</f>
        <v>841745.70787396398</v>
      </c>
      <c r="H204" s="206">
        <f>IFERROR(IF(LoanIsNotPaid*LoanIsGood,InterestAmt,0), 0)</f>
        <v>480.77450856121999</v>
      </c>
      <c r="I204" s="206">
        <f>SUM($H$17:H204)</f>
        <v>228197.54574645835</v>
      </c>
      <c r="J204" s="206">
        <f>IFERROR(IF(LoanIsNotPaid*LoanIsGood,EndingBalance,0), 0)</f>
        <v>283254.29212599527</v>
      </c>
    </row>
    <row r="205" spans="1:10" ht="15" customHeight="1" x14ac:dyDescent="0.15">
      <c r="A205" s="178"/>
      <c r="B205" s="204">
        <f>IFERROR(IF(LoanIsNotPaid*LoanIsGood,PaymentNumber,""), "")</f>
        <v>189</v>
      </c>
      <c r="C205" s="205">
        <f>IFERROR(IF(LoanIsNotPaid*LoanIsGood,PaymentDate,LoanStartDate), LoanStartDate)</f>
        <v>51410</v>
      </c>
      <c r="D205" s="206">
        <f>IFERROR(IF(LoanIsNotPaid*LoanIsGood,LoanValue,""), "")</f>
        <v>283254.29212599527</v>
      </c>
      <c r="E205" s="206">
        <f>IFERROR(IF(LoanIsNotPaid*LoanIsGood,MonthlyPayment,0), 0)</f>
        <v>5691.1875192575681</v>
      </c>
      <c r="F205" s="206">
        <f>IFERROR(IF(LoanIsNotPaid*LoanIsGood,Principal,0), 0)</f>
        <v>5219.0970323808415</v>
      </c>
      <c r="G205" s="206">
        <f>SUM($F$17:F205)</f>
        <v>846964.80490634486</v>
      </c>
      <c r="H205" s="206">
        <f>IFERROR(IF(LoanIsNotPaid*LoanIsGood,InterestAmt,0), 0)</f>
        <v>472.09048687672612</v>
      </c>
      <c r="I205" s="206">
        <f>SUM($H$17:H205)</f>
        <v>228669.63623333507</v>
      </c>
      <c r="J205" s="206">
        <f>IFERROR(IF(LoanIsNotPaid*LoanIsGood,EndingBalance,0), 0)</f>
        <v>278035.19509361428</v>
      </c>
    </row>
    <row r="206" spans="1:10" ht="15" customHeight="1" x14ac:dyDescent="0.15">
      <c r="A206" s="178"/>
      <c r="B206" s="204">
        <f>IFERROR(IF(LoanIsNotPaid*LoanIsGood,PaymentNumber,""), "")</f>
        <v>190</v>
      </c>
      <c r="C206" s="205">
        <f>IFERROR(IF(LoanIsNotPaid*LoanIsGood,PaymentDate,LoanStartDate), LoanStartDate)</f>
        <v>51441</v>
      </c>
      <c r="D206" s="206">
        <f>IFERROR(IF(LoanIsNotPaid*LoanIsGood,LoanValue,""), "")</f>
        <v>278035.19509361428</v>
      </c>
      <c r="E206" s="206">
        <f>IFERROR(IF(LoanIsNotPaid*LoanIsGood,MonthlyPayment,0), 0)</f>
        <v>5691.1875192575681</v>
      </c>
      <c r="F206" s="206">
        <f>IFERROR(IF(LoanIsNotPaid*LoanIsGood,Principal,0), 0)</f>
        <v>5227.7955274348096</v>
      </c>
      <c r="G206" s="206">
        <f>SUM($F$17:F206)</f>
        <v>852192.60043377965</v>
      </c>
      <c r="H206" s="206">
        <f>IFERROR(IF(LoanIsNotPaid*LoanIsGood,InterestAmt,0), 0)</f>
        <v>463.39199182275803</v>
      </c>
      <c r="I206" s="206">
        <f>SUM($H$17:H206)</f>
        <v>229133.02822515782</v>
      </c>
      <c r="J206" s="206">
        <f>IFERROR(IF(LoanIsNotPaid*LoanIsGood,EndingBalance,0), 0)</f>
        <v>272807.39956617937</v>
      </c>
    </row>
    <row r="207" spans="1:10" ht="15" customHeight="1" x14ac:dyDescent="0.15">
      <c r="A207" s="178"/>
      <c r="B207" s="204">
        <f>IFERROR(IF(LoanIsNotPaid*LoanIsGood,PaymentNumber,""), "")</f>
        <v>191</v>
      </c>
      <c r="C207" s="205">
        <f>IFERROR(IF(LoanIsNotPaid*LoanIsGood,PaymentDate,LoanStartDate), LoanStartDate)</f>
        <v>51471</v>
      </c>
      <c r="D207" s="206">
        <f>IFERROR(IF(LoanIsNotPaid*LoanIsGood,LoanValue,""), "")</f>
        <v>272807.39956617937</v>
      </c>
      <c r="E207" s="206">
        <f>IFERROR(IF(LoanIsNotPaid*LoanIsGood,MonthlyPayment,0), 0)</f>
        <v>5691.1875192575681</v>
      </c>
      <c r="F207" s="206">
        <f>IFERROR(IF(LoanIsNotPaid*LoanIsGood,Principal,0), 0)</f>
        <v>5236.5085199805344</v>
      </c>
      <c r="G207" s="206">
        <f>SUM($F$17:F207)</f>
        <v>857429.10895376024</v>
      </c>
      <c r="H207" s="206">
        <f>IFERROR(IF(LoanIsNotPaid*LoanIsGood,InterestAmt,0), 0)</f>
        <v>454.67899927703337</v>
      </c>
      <c r="I207" s="206">
        <f>SUM($H$17:H207)</f>
        <v>229587.70722443485</v>
      </c>
      <c r="J207" s="206">
        <f>IFERROR(IF(LoanIsNotPaid*LoanIsGood,EndingBalance,0), 0)</f>
        <v>267570.89104619785</v>
      </c>
    </row>
    <row r="208" spans="1:10" ht="15" customHeight="1" x14ac:dyDescent="0.15">
      <c r="A208" s="178"/>
      <c r="B208" s="204">
        <f>IFERROR(IF(LoanIsNotPaid*LoanIsGood,PaymentNumber,""), "")</f>
        <v>192</v>
      </c>
      <c r="C208" s="205">
        <f>IFERROR(IF(LoanIsNotPaid*LoanIsGood,PaymentDate,LoanStartDate), LoanStartDate)</f>
        <v>51502</v>
      </c>
      <c r="D208" s="206">
        <f>IFERROR(IF(LoanIsNotPaid*LoanIsGood,LoanValue,""), "")</f>
        <v>267570.89104619785</v>
      </c>
      <c r="E208" s="206">
        <f>IFERROR(IF(LoanIsNotPaid*LoanIsGood,MonthlyPayment,0), 0)</f>
        <v>5691.1875192575681</v>
      </c>
      <c r="F208" s="206">
        <f>IFERROR(IF(LoanIsNotPaid*LoanIsGood,Principal,0), 0)</f>
        <v>5245.2360341805024</v>
      </c>
      <c r="G208" s="206">
        <f>SUM($F$17:F208)</f>
        <v>862674.34498794074</v>
      </c>
      <c r="H208" s="206">
        <f>IFERROR(IF(LoanIsNotPaid*LoanIsGood,InterestAmt,0), 0)</f>
        <v>445.9514850770658</v>
      </c>
      <c r="I208" s="206">
        <f>SUM($H$17:H208)</f>
        <v>230033.65870951192</v>
      </c>
      <c r="J208" s="206">
        <f>IFERROR(IF(LoanIsNotPaid*LoanIsGood,EndingBalance,0), 0)</f>
        <v>262325.65501201712</v>
      </c>
    </row>
    <row r="209" spans="1:10" ht="15" customHeight="1" x14ac:dyDescent="0.15">
      <c r="A209" s="178"/>
      <c r="B209" s="204">
        <f>IFERROR(IF(LoanIsNotPaid*LoanIsGood,PaymentNumber,""), "")</f>
        <v>193</v>
      </c>
      <c r="C209" s="205">
        <f>IFERROR(IF(LoanIsNotPaid*LoanIsGood,PaymentDate,LoanStartDate), LoanStartDate)</f>
        <v>51533</v>
      </c>
      <c r="D209" s="206">
        <f>IFERROR(IF(LoanIsNotPaid*LoanIsGood,LoanValue,""), "")</f>
        <v>262325.65501201712</v>
      </c>
      <c r="E209" s="206">
        <f>IFERROR(IF(LoanIsNotPaid*LoanIsGood,MonthlyPayment,0), 0)</f>
        <v>5691.1875192575681</v>
      </c>
      <c r="F209" s="206">
        <f>IFERROR(IF(LoanIsNotPaid*LoanIsGood,Principal,0), 0)</f>
        <v>5253.97809423747</v>
      </c>
      <c r="G209" s="206">
        <f>SUM($F$17:F209)</f>
        <v>867928.32308217825</v>
      </c>
      <c r="H209" s="206">
        <f>IFERROR(IF(LoanIsNotPaid*LoanIsGood,InterestAmt,0), 0)</f>
        <v>437.20942502009842</v>
      </c>
      <c r="I209" s="206">
        <f>SUM($H$17:H209)</f>
        <v>230470.86813453201</v>
      </c>
      <c r="J209" s="206">
        <f>IFERROR(IF(LoanIsNotPaid*LoanIsGood,EndingBalance,0), 0)</f>
        <v>257071.67691777926</v>
      </c>
    </row>
    <row r="210" spans="1:10" ht="15" customHeight="1" x14ac:dyDescent="0.15">
      <c r="A210" s="178"/>
      <c r="B210" s="204">
        <f>IFERROR(IF(LoanIsNotPaid*LoanIsGood,PaymentNumber,""), "")</f>
        <v>194</v>
      </c>
      <c r="C210" s="205">
        <f>IFERROR(IF(LoanIsNotPaid*LoanIsGood,PaymentDate,LoanStartDate), LoanStartDate)</f>
        <v>51561</v>
      </c>
      <c r="D210" s="206">
        <f>IFERROR(IF(LoanIsNotPaid*LoanIsGood,LoanValue,""), "")</f>
        <v>257071.67691777926</v>
      </c>
      <c r="E210" s="206">
        <f>IFERROR(IF(LoanIsNotPaid*LoanIsGood,MonthlyPayment,0), 0)</f>
        <v>5691.1875192575681</v>
      </c>
      <c r="F210" s="206">
        <f>IFERROR(IF(LoanIsNotPaid*LoanIsGood,Principal,0), 0)</f>
        <v>5262.7347243945323</v>
      </c>
      <c r="G210" s="206">
        <f>SUM($F$17:F210)</f>
        <v>873191.05780657276</v>
      </c>
      <c r="H210" s="206">
        <f>IFERROR(IF(LoanIsNotPaid*LoanIsGood,InterestAmt,0), 0)</f>
        <v>428.45279486303588</v>
      </c>
      <c r="I210" s="206">
        <f>SUM($H$17:H210)</f>
        <v>230899.32092939503</v>
      </c>
      <c r="J210" s="206">
        <f>IFERROR(IF(LoanIsNotPaid*LoanIsGood,EndingBalance,0), 0)</f>
        <v>251808.94219338475</v>
      </c>
    </row>
    <row r="211" spans="1:10" ht="15" customHeight="1" x14ac:dyDescent="0.15">
      <c r="A211" s="178"/>
      <c r="B211" s="204">
        <f>IFERROR(IF(LoanIsNotPaid*LoanIsGood,PaymentNumber,""), "")</f>
        <v>195</v>
      </c>
      <c r="C211" s="205">
        <f>IFERROR(IF(LoanIsNotPaid*LoanIsGood,PaymentDate,LoanStartDate), LoanStartDate)</f>
        <v>51592</v>
      </c>
      <c r="D211" s="206">
        <f>IFERROR(IF(LoanIsNotPaid*LoanIsGood,LoanValue,""), "")</f>
        <v>251808.94219338475</v>
      </c>
      <c r="E211" s="206">
        <f>IFERROR(IF(LoanIsNotPaid*LoanIsGood,MonthlyPayment,0), 0)</f>
        <v>5691.1875192575681</v>
      </c>
      <c r="F211" s="206">
        <f>IFERROR(IF(LoanIsNotPaid*LoanIsGood,Principal,0), 0)</f>
        <v>5271.5059489351897</v>
      </c>
      <c r="G211" s="206">
        <f>SUM($F$17:F211)</f>
        <v>878462.56375550793</v>
      </c>
      <c r="H211" s="206">
        <f>IFERROR(IF(LoanIsNotPaid*LoanIsGood,InterestAmt,0), 0)</f>
        <v>419.68157032237832</v>
      </c>
      <c r="I211" s="206">
        <f>SUM($H$17:H211)</f>
        <v>231319.0024997174</v>
      </c>
      <c r="J211" s="206">
        <f>IFERROR(IF(LoanIsNotPaid*LoanIsGood,EndingBalance,0), 0)</f>
        <v>246537.43624444911</v>
      </c>
    </row>
    <row r="212" spans="1:10" ht="15" customHeight="1" x14ac:dyDescent="0.15">
      <c r="A212" s="178"/>
      <c r="B212" s="204">
        <f>IFERROR(IF(LoanIsNotPaid*LoanIsGood,PaymentNumber,""), "")</f>
        <v>196</v>
      </c>
      <c r="C212" s="205">
        <f>IFERROR(IF(LoanIsNotPaid*LoanIsGood,PaymentDate,LoanStartDate), LoanStartDate)</f>
        <v>51622</v>
      </c>
      <c r="D212" s="206">
        <f>IFERROR(IF(LoanIsNotPaid*LoanIsGood,LoanValue,""), "")</f>
        <v>246537.43624444911</v>
      </c>
      <c r="E212" s="206">
        <f>IFERROR(IF(LoanIsNotPaid*LoanIsGood,MonthlyPayment,0), 0)</f>
        <v>5691.1875192575681</v>
      </c>
      <c r="F212" s="206">
        <f>IFERROR(IF(LoanIsNotPaid*LoanIsGood,Principal,0), 0)</f>
        <v>5280.2917921834151</v>
      </c>
      <c r="G212" s="206">
        <f>SUM($F$17:F212)</f>
        <v>883742.85554769135</v>
      </c>
      <c r="H212" s="206">
        <f>IFERROR(IF(LoanIsNotPaid*LoanIsGood,InterestAmt,0), 0)</f>
        <v>410.895727074153</v>
      </c>
      <c r="I212" s="206">
        <f>SUM($H$17:H212)</f>
        <v>231729.89822679156</v>
      </c>
      <c r="J212" s="206">
        <f>IFERROR(IF(LoanIsNotPaid*LoanIsGood,EndingBalance,0), 0)</f>
        <v>241257.14445226546</v>
      </c>
    </row>
    <row r="213" spans="1:10" ht="15" customHeight="1" x14ac:dyDescent="0.15">
      <c r="A213" s="178"/>
      <c r="B213" s="204">
        <f>IFERROR(IF(LoanIsNotPaid*LoanIsGood,PaymentNumber,""), "")</f>
        <v>197</v>
      </c>
      <c r="C213" s="205">
        <f>IFERROR(IF(LoanIsNotPaid*LoanIsGood,PaymentDate,LoanStartDate), LoanStartDate)</f>
        <v>51653</v>
      </c>
      <c r="D213" s="206">
        <f>IFERROR(IF(LoanIsNotPaid*LoanIsGood,LoanValue,""), "")</f>
        <v>241257.14445226546</v>
      </c>
      <c r="E213" s="206">
        <f>IFERROR(IF(LoanIsNotPaid*LoanIsGood,MonthlyPayment,0), 0)</f>
        <v>5691.1875192575681</v>
      </c>
      <c r="F213" s="206">
        <f>IFERROR(IF(LoanIsNotPaid*LoanIsGood,Principal,0), 0)</f>
        <v>5289.092278503721</v>
      </c>
      <c r="G213" s="206">
        <f>SUM($F$17:F213)</f>
        <v>889031.94782619504</v>
      </c>
      <c r="H213" s="206">
        <f>IFERROR(IF(LoanIsNotPaid*LoanIsGood,InterestAmt,0), 0)</f>
        <v>402.09524075384724</v>
      </c>
      <c r="I213" s="206">
        <f>SUM($H$17:H213)</f>
        <v>232131.9934675454</v>
      </c>
      <c r="J213" s="206">
        <f>IFERROR(IF(LoanIsNotPaid*LoanIsGood,EndingBalance,0), 0)</f>
        <v>235968.05217376212</v>
      </c>
    </row>
    <row r="214" spans="1:10" ht="15" customHeight="1" x14ac:dyDescent="0.15">
      <c r="A214" s="178"/>
      <c r="B214" s="204">
        <f>IFERROR(IF(LoanIsNotPaid*LoanIsGood,PaymentNumber,""), "")</f>
        <v>198</v>
      </c>
      <c r="C214" s="205">
        <f>IFERROR(IF(LoanIsNotPaid*LoanIsGood,PaymentDate,LoanStartDate), LoanStartDate)</f>
        <v>51683</v>
      </c>
      <c r="D214" s="206">
        <f>IFERROR(IF(LoanIsNotPaid*LoanIsGood,LoanValue,""), "")</f>
        <v>235968.05217376212</v>
      </c>
      <c r="E214" s="206">
        <f>IFERROR(IF(LoanIsNotPaid*LoanIsGood,MonthlyPayment,0), 0)</f>
        <v>5691.1875192575681</v>
      </c>
      <c r="F214" s="206">
        <f>IFERROR(IF(LoanIsNotPaid*LoanIsGood,Principal,0), 0)</f>
        <v>5297.9074323012264</v>
      </c>
      <c r="G214" s="206">
        <f>SUM($F$17:F214)</f>
        <v>894329.85525849625</v>
      </c>
      <c r="H214" s="206">
        <f>IFERROR(IF(LoanIsNotPaid*LoanIsGood,InterestAmt,0), 0)</f>
        <v>393.28008695634111</v>
      </c>
      <c r="I214" s="206">
        <f>SUM($H$17:H214)</f>
        <v>232525.27355450173</v>
      </c>
      <c r="J214" s="206">
        <f>IFERROR(IF(LoanIsNotPaid*LoanIsGood,EndingBalance,0), 0)</f>
        <v>230670.14474146068</v>
      </c>
    </row>
    <row r="215" spans="1:10" ht="15" customHeight="1" x14ac:dyDescent="0.15">
      <c r="A215" s="178"/>
      <c r="B215" s="204">
        <f>IFERROR(IF(LoanIsNotPaid*LoanIsGood,PaymentNumber,""), "")</f>
        <v>199</v>
      </c>
      <c r="C215" s="205">
        <f>IFERROR(IF(LoanIsNotPaid*LoanIsGood,PaymentDate,LoanStartDate), LoanStartDate)</f>
        <v>51714</v>
      </c>
      <c r="D215" s="206">
        <f>IFERROR(IF(LoanIsNotPaid*LoanIsGood,LoanValue,""), "")</f>
        <v>230670.14474146068</v>
      </c>
      <c r="E215" s="206">
        <f>IFERROR(IF(LoanIsNotPaid*LoanIsGood,MonthlyPayment,0), 0)</f>
        <v>5691.1875192575681</v>
      </c>
      <c r="F215" s="206">
        <f>IFERROR(IF(LoanIsNotPaid*LoanIsGood,Principal,0), 0)</f>
        <v>5306.7372780217293</v>
      </c>
      <c r="G215" s="206">
        <f>SUM($F$17:F215)</f>
        <v>899636.592536518</v>
      </c>
      <c r="H215" s="206">
        <f>IFERROR(IF(LoanIsNotPaid*LoanIsGood,InterestAmt,0), 0)</f>
        <v>384.45024123583903</v>
      </c>
      <c r="I215" s="206">
        <f>SUM($H$17:H215)</f>
        <v>232909.72379573758</v>
      </c>
      <c r="J215" s="206">
        <f>IFERROR(IF(LoanIsNotPaid*LoanIsGood,EndingBalance,0), 0)</f>
        <v>225363.40746343858</v>
      </c>
    </row>
    <row r="216" spans="1:10" ht="15" customHeight="1" x14ac:dyDescent="0.15">
      <c r="A216" s="178"/>
      <c r="B216" s="204">
        <f>IFERROR(IF(LoanIsNotPaid*LoanIsGood,PaymentNumber,""), "")</f>
        <v>200</v>
      </c>
      <c r="C216" s="205">
        <f>IFERROR(IF(LoanIsNotPaid*LoanIsGood,PaymentDate,LoanStartDate), LoanStartDate)</f>
        <v>51745</v>
      </c>
      <c r="D216" s="206">
        <f>IFERROR(IF(LoanIsNotPaid*LoanIsGood,LoanValue,""), "")</f>
        <v>225363.40746343858</v>
      </c>
      <c r="E216" s="206">
        <f>IFERROR(IF(LoanIsNotPaid*LoanIsGood,MonthlyPayment,0), 0)</f>
        <v>5691.1875192575681</v>
      </c>
      <c r="F216" s="206">
        <f>IFERROR(IF(LoanIsNotPaid*LoanIsGood,Principal,0), 0)</f>
        <v>5315.5818401517654</v>
      </c>
      <c r="G216" s="206">
        <f>SUM($F$17:F216)</f>
        <v>904952.17437666981</v>
      </c>
      <c r="H216" s="206">
        <f>IFERROR(IF(LoanIsNotPaid*LoanIsGood,InterestAmt,0), 0)</f>
        <v>375.60567910580284</v>
      </c>
      <c r="I216" s="206">
        <f>SUM($H$17:H216)</f>
        <v>233285.32947484337</v>
      </c>
      <c r="J216" s="206">
        <f>IFERROR(IF(LoanIsNotPaid*LoanIsGood,EndingBalance,0), 0)</f>
        <v>220047.82562328596</v>
      </c>
    </row>
    <row r="217" spans="1:10" ht="15" customHeight="1" x14ac:dyDescent="0.15">
      <c r="A217" s="178"/>
      <c r="B217" s="204">
        <f>IFERROR(IF(LoanIsNotPaid*LoanIsGood,PaymentNumber,""), "")</f>
        <v>201</v>
      </c>
      <c r="C217" s="205">
        <f>IFERROR(IF(LoanIsNotPaid*LoanIsGood,PaymentDate,LoanStartDate), LoanStartDate)</f>
        <v>51775</v>
      </c>
      <c r="D217" s="206">
        <f>IFERROR(IF(LoanIsNotPaid*LoanIsGood,LoanValue,""), "")</f>
        <v>220047.82562328596</v>
      </c>
      <c r="E217" s="206">
        <f>IFERROR(IF(LoanIsNotPaid*LoanIsGood,MonthlyPayment,0), 0)</f>
        <v>5691.1875192575681</v>
      </c>
      <c r="F217" s="206">
        <f>IFERROR(IF(LoanIsNotPaid*LoanIsGood,Principal,0), 0)</f>
        <v>5324.4411432186853</v>
      </c>
      <c r="G217" s="206">
        <f>SUM($F$17:F217)</f>
        <v>910276.61551988847</v>
      </c>
      <c r="H217" s="206">
        <f>IFERROR(IF(LoanIsNotPaid*LoanIsGood,InterestAmt,0), 0)</f>
        <v>366.74637603888323</v>
      </c>
      <c r="I217" s="206">
        <f>SUM($H$17:H217)</f>
        <v>233652.07585088225</v>
      </c>
      <c r="J217" s="206">
        <f>IFERROR(IF(LoanIsNotPaid*LoanIsGood,EndingBalance,0), 0)</f>
        <v>214723.38448006753</v>
      </c>
    </row>
    <row r="218" spans="1:10" ht="15" customHeight="1" x14ac:dyDescent="0.15">
      <c r="A218" s="178"/>
      <c r="B218" s="204">
        <f>IFERROR(IF(LoanIsNotPaid*LoanIsGood,PaymentNumber,""), "")</f>
        <v>202</v>
      </c>
      <c r="C218" s="205">
        <f>IFERROR(IF(LoanIsNotPaid*LoanIsGood,PaymentDate,LoanStartDate), LoanStartDate)</f>
        <v>51806</v>
      </c>
      <c r="D218" s="206">
        <f>IFERROR(IF(LoanIsNotPaid*LoanIsGood,LoanValue,""), "")</f>
        <v>214723.38448006753</v>
      </c>
      <c r="E218" s="206">
        <f>IFERROR(IF(LoanIsNotPaid*LoanIsGood,MonthlyPayment,0), 0)</f>
        <v>5691.1875192575681</v>
      </c>
      <c r="F218" s="206">
        <f>IFERROR(IF(LoanIsNotPaid*LoanIsGood,Principal,0), 0)</f>
        <v>5333.3152117907157</v>
      </c>
      <c r="G218" s="206">
        <f>SUM($F$17:F218)</f>
        <v>915609.9307316792</v>
      </c>
      <c r="H218" s="206">
        <f>IFERROR(IF(LoanIsNotPaid*LoanIsGood,InterestAmt,0), 0)</f>
        <v>357.87230746685202</v>
      </c>
      <c r="I218" s="206">
        <f>SUM($H$17:H218)</f>
        <v>234009.94815834909</v>
      </c>
      <c r="J218" s="206">
        <f>IFERROR(IF(LoanIsNotPaid*LoanIsGood,EndingBalance,0), 0)</f>
        <v>209390.06926827622</v>
      </c>
    </row>
    <row r="219" spans="1:10" ht="15" customHeight="1" x14ac:dyDescent="0.15">
      <c r="A219" s="178"/>
      <c r="B219" s="204">
        <f>IFERROR(IF(LoanIsNotPaid*LoanIsGood,PaymentNumber,""), "")</f>
        <v>203</v>
      </c>
      <c r="C219" s="205">
        <f>IFERROR(IF(LoanIsNotPaid*LoanIsGood,PaymentDate,LoanStartDate), LoanStartDate)</f>
        <v>51836</v>
      </c>
      <c r="D219" s="206">
        <f>IFERROR(IF(LoanIsNotPaid*LoanIsGood,LoanValue,""), "")</f>
        <v>209390.06926827622</v>
      </c>
      <c r="E219" s="206">
        <f>IFERROR(IF(LoanIsNotPaid*LoanIsGood,MonthlyPayment,0), 0)</f>
        <v>5691.1875192575681</v>
      </c>
      <c r="F219" s="206">
        <f>IFERROR(IF(LoanIsNotPaid*LoanIsGood,Principal,0), 0)</f>
        <v>5342.2040704770334</v>
      </c>
      <c r="G219" s="206">
        <f>SUM($F$17:F219)</f>
        <v>920952.13480215624</v>
      </c>
      <c r="H219" s="206">
        <f>IFERROR(IF(LoanIsNotPaid*LoanIsGood,InterestAmt,0), 0)</f>
        <v>348.98344878053422</v>
      </c>
      <c r="I219" s="206">
        <f>SUM($H$17:H219)</f>
        <v>234358.93160712961</v>
      </c>
      <c r="J219" s="206">
        <f>IFERROR(IF(LoanIsNotPaid*LoanIsGood,EndingBalance,0), 0)</f>
        <v>204047.8651977987</v>
      </c>
    </row>
    <row r="220" spans="1:10" ht="15" customHeight="1" x14ac:dyDescent="0.15">
      <c r="A220" s="178"/>
      <c r="B220" s="204">
        <f>IFERROR(IF(LoanIsNotPaid*LoanIsGood,PaymentNumber,""), "")</f>
        <v>204</v>
      </c>
      <c r="C220" s="205">
        <f>IFERROR(IF(LoanIsNotPaid*LoanIsGood,PaymentDate,LoanStartDate), LoanStartDate)</f>
        <v>51867</v>
      </c>
      <c r="D220" s="206">
        <f>IFERROR(IF(LoanIsNotPaid*LoanIsGood,LoanValue,""), "")</f>
        <v>204047.8651977987</v>
      </c>
      <c r="E220" s="206">
        <f>IFERROR(IF(LoanIsNotPaid*LoanIsGood,MonthlyPayment,0), 0)</f>
        <v>5691.1875192575681</v>
      </c>
      <c r="F220" s="206">
        <f>IFERROR(IF(LoanIsNotPaid*LoanIsGood,Principal,0), 0)</f>
        <v>5351.1077439278288</v>
      </c>
      <c r="G220" s="206">
        <f>SUM($F$17:F220)</f>
        <v>926303.2425460841</v>
      </c>
      <c r="H220" s="206">
        <f>IFERROR(IF(LoanIsNotPaid*LoanIsGood,InterestAmt,0), 0)</f>
        <v>340.07977532973916</v>
      </c>
      <c r="I220" s="206">
        <f>SUM($H$17:H220)</f>
        <v>234699.01138245934</v>
      </c>
      <c r="J220" s="206">
        <f>IFERROR(IF(LoanIsNotPaid*LoanIsGood,EndingBalance,0), 0)</f>
        <v>198696.75745387096</v>
      </c>
    </row>
    <row r="221" spans="1:10" ht="15" customHeight="1" x14ac:dyDescent="0.15">
      <c r="A221" s="178"/>
      <c r="B221" s="204">
        <f>IFERROR(IF(LoanIsNotPaid*LoanIsGood,PaymentNumber,""), "")</f>
        <v>205</v>
      </c>
      <c r="C221" s="205">
        <f>IFERROR(IF(LoanIsNotPaid*LoanIsGood,PaymentDate,LoanStartDate), LoanStartDate)</f>
        <v>51898</v>
      </c>
      <c r="D221" s="206">
        <f>IFERROR(IF(LoanIsNotPaid*LoanIsGood,LoanValue,""), "")</f>
        <v>198696.75745387096</v>
      </c>
      <c r="E221" s="206">
        <f>IFERROR(IF(LoanIsNotPaid*LoanIsGood,MonthlyPayment,0), 0)</f>
        <v>5691.1875192575681</v>
      </c>
      <c r="F221" s="206">
        <f>IFERROR(IF(LoanIsNotPaid*LoanIsGood,Principal,0), 0)</f>
        <v>5360.0262568343751</v>
      </c>
      <c r="G221" s="206">
        <f>SUM($F$17:F221)</f>
        <v>931663.26880291849</v>
      </c>
      <c r="H221" s="206">
        <f>IFERROR(IF(LoanIsNotPaid*LoanIsGood,InterestAmt,0), 0)</f>
        <v>331.16126242319274</v>
      </c>
      <c r="I221" s="206">
        <f>SUM($H$17:H221)</f>
        <v>235030.17264488252</v>
      </c>
      <c r="J221" s="206">
        <f>IFERROR(IF(LoanIsNotPaid*LoanIsGood,EndingBalance,0), 0)</f>
        <v>193336.73119703587</v>
      </c>
    </row>
    <row r="222" spans="1:10" ht="15" customHeight="1" x14ac:dyDescent="0.15">
      <c r="A222" s="178"/>
      <c r="B222" s="204">
        <f>IFERROR(IF(LoanIsNotPaid*LoanIsGood,PaymentNumber,""), "")</f>
        <v>206</v>
      </c>
      <c r="C222" s="205">
        <f>IFERROR(IF(LoanIsNotPaid*LoanIsGood,PaymentDate,LoanStartDate), LoanStartDate)</f>
        <v>51926</v>
      </c>
      <c r="D222" s="206">
        <f>IFERROR(IF(LoanIsNotPaid*LoanIsGood,LoanValue,""), "")</f>
        <v>193336.73119703587</v>
      </c>
      <c r="E222" s="206">
        <f>IFERROR(IF(LoanIsNotPaid*LoanIsGood,MonthlyPayment,0), 0)</f>
        <v>5691.1875192575681</v>
      </c>
      <c r="F222" s="206">
        <f>IFERROR(IF(LoanIsNotPaid*LoanIsGood,Principal,0), 0)</f>
        <v>5368.9596339290993</v>
      </c>
      <c r="G222" s="206">
        <f>SUM($F$17:F222)</f>
        <v>937032.22843684757</v>
      </c>
      <c r="H222" s="206">
        <f>IFERROR(IF(LoanIsNotPaid*LoanIsGood,InterestAmt,0), 0)</f>
        <v>322.22788532846886</v>
      </c>
      <c r="I222" s="206">
        <f>SUM($H$17:H222)</f>
        <v>235352.40053021099</v>
      </c>
      <c r="J222" s="206">
        <f>IFERROR(IF(LoanIsNotPaid*LoanIsGood,EndingBalance,0), 0)</f>
        <v>187967.77156310668</v>
      </c>
    </row>
    <row r="223" spans="1:10" ht="15" customHeight="1" x14ac:dyDescent="0.15">
      <c r="A223" s="178"/>
      <c r="B223" s="204">
        <f>IFERROR(IF(LoanIsNotPaid*LoanIsGood,PaymentNumber,""), "")</f>
        <v>207</v>
      </c>
      <c r="C223" s="205">
        <f>IFERROR(IF(LoanIsNotPaid*LoanIsGood,PaymentDate,LoanStartDate), LoanStartDate)</f>
        <v>51957</v>
      </c>
      <c r="D223" s="206">
        <f>IFERROR(IF(LoanIsNotPaid*LoanIsGood,LoanValue,""), "")</f>
        <v>187967.77156310668</v>
      </c>
      <c r="E223" s="206">
        <f>IFERROR(IF(LoanIsNotPaid*LoanIsGood,MonthlyPayment,0), 0)</f>
        <v>5691.1875192575681</v>
      </c>
      <c r="F223" s="206">
        <f>IFERROR(IF(LoanIsNotPaid*LoanIsGood,Principal,0), 0)</f>
        <v>5377.9078999856483</v>
      </c>
      <c r="G223" s="206">
        <f>SUM($F$17:F223)</f>
        <v>942410.13633683324</v>
      </c>
      <c r="H223" s="206">
        <f>IFERROR(IF(LoanIsNotPaid*LoanIsGood,InterestAmt,0), 0)</f>
        <v>313.2796192719203</v>
      </c>
      <c r="I223" s="206">
        <f>SUM($H$17:H223)</f>
        <v>235665.68014948291</v>
      </c>
      <c r="J223" s="206">
        <f>IFERROR(IF(LoanIsNotPaid*LoanIsGood,EndingBalance,0), 0)</f>
        <v>182589.86366312136</v>
      </c>
    </row>
    <row r="224" spans="1:10" ht="15" customHeight="1" x14ac:dyDescent="0.15">
      <c r="A224" s="178"/>
      <c r="B224" s="204">
        <f>IFERROR(IF(LoanIsNotPaid*LoanIsGood,PaymentNumber,""), "")</f>
        <v>208</v>
      </c>
      <c r="C224" s="205">
        <f>IFERROR(IF(LoanIsNotPaid*LoanIsGood,PaymentDate,LoanStartDate), LoanStartDate)</f>
        <v>51987</v>
      </c>
      <c r="D224" s="206">
        <f>IFERROR(IF(LoanIsNotPaid*LoanIsGood,LoanValue,""), "")</f>
        <v>182589.86366312136</v>
      </c>
      <c r="E224" s="206">
        <f>IFERROR(IF(LoanIsNotPaid*LoanIsGood,MonthlyPayment,0), 0)</f>
        <v>5691.1875192575681</v>
      </c>
      <c r="F224" s="206">
        <f>IFERROR(IF(LoanIsNotPaid*LoanIsGood,Principal,0), 0)</f>
        <v>5386.8710798189568</v>
      </c>
      <c r="G224" s="206">
        <f>SUM($F$17:F224)</f>
        <v>947797.00741665217</v>
      </c>
      <c r="H224" s="206">
        <f>IFERROR(IF(LoanIsNotPaid*LoanIsGood,InterestAmt,0), 0)</f>
        <v>304.31643943861093</v>
      </c>
      <c r="I224" s="206">
        <f>SUM($H$17:H224)</f>
        <v>235969.99658892152</v>
      </c>
      <c r="J224" s="206">
        <f>IFERROR(IF(LoanIsNotPaid*LoanIsGood,EndingBalance,0), 0)</f>
        <v>177202.99258330115</v>
      </c>
    </row>
    <row r="225" spans="1:10" ht="15" customHeight="1" x14ac:dyDescent="0.15">
      <c r="A225" s="178"/>
      <c r="B225" s="204">
        <f>IFERROR(IF(LoanIsNotPaid*LoanIsGood,PaymentNumber,""), "")</f>
        <v>209</v>
      </c>
      <c r="C225" s="205">
        <f>IFERROR(IF(LoanIsNotPaid*LoanIsGood,PaymentDate,LoanStartDate), LoanStartDate)</f>
        <v>52018</v>
      </c>
      <c r="D225" s="206">
        <f>IFERROR(IF(LoanIsNotPaid*LoanIsGood,LoanValue,""), "")</f>
        <v>177202.99258330115</v>
      </c>
      <c r="E225" s="206">
        <f>IFERROR(IF(LoanIsNotPaid*LoanIsGood,MonthlyPayment,0), 0)</f>
        <v>5691.1875192575681</v>
      </c>
      <c r="F225" s="206">
        <f>IFERROR(IF(LoanIsNotPaid*LoanIsGood,Principal,0), 0)</f>
        <v>5395.849198285322</v>
      </c>
      <c r="G225" s="206">
        <f>SUM($F$17:F225)</f>
        <v>953192.85661493754</v>
      </c>
      <c r="H225" s="206">
        <f>IFERROR(IF(LoanIsNotPaid*LoanIsGood,InterestAmt,0), 0)</f>
        <v>295.33832097224598</v>
      </c>
      <c r="I225" s="206">
        <f>SUM($H$17:H225)</f>
        <v>236265.33490989378</v>
      </c>
      <c r="J225" s="206">
        <f>IFERROR(IF(LoanIsNotPaid*LoanIsGood,EndingBalance,0), 0)</f>
        <v>171807.14338501589</v>
      </c>
    </row>
    <row r="226" spans="1:10" ht="15" customHeight="1" x14ac:dyDescent="0.15">
      <c r="A226" s="178"/>
      <c r="B226" s="204">
        <f>IFERROR(IF(LoanIsNotPaid*LoanIsGood,PaymentNumber,""), "")</f>
        <v>210</v>
      </c>
      <c r="C226" s="205">
        <f>IFERROR(IF(LoanIsNotPaid*LoanIsGood,PaymentDate,LoanStartDate), LoanStartDate)</f>
        <v>52048</v>
      </c>
      <c r="D226" s="206">
        <f>IFERROR(IF(LoanIsNotPaid*LoanIsGood,LoanValue,""), "")</f>
        <v>171807.14338501589</v>
      </c>
      <c r="E226" s="206">
        <f>IFERROR(IF(LoanIsNotPaid*LoanIsGood,MonthlyPayment,0), 0)</f>
        <v>5691.1875192575681</v>
      </c>
      <c r="F226" s="206">
        <f>IFERROR(IF(LoanIsNotPaid*LoanIsGood,Principal,0), 0)</f>
        <v>5404.8422802824643</v>
      </c>
      <c r="G226" s="206">
        <f>SUM($F$17:F226)</f>
        <v>958597.69889521995</v>
      </c>
      <c r="H226" s="206">
        <f>IFERROR(IF(LoanIsNotPaid*LoanIsGood,InterestAmt,0), 0)</f>
        <v>286.34523897510371</v>
      </c>
      <c r="I226" s="206">
        <f>SUM($H$17:H226)</f>
        <v>236551.68014886888</v>
      </c>
      <c r="J226" s="206">
        <f>IFERROR(IF(LoanIsNotPaid*LoanIsGood,EndingBalance,0), 0)</f>
        <v>166402.30110473372</v>
      </c>
    </row>
    <row r="227" spans="1:10" ht="15" customHeight="1" x14ac:dyDescent="0.15">
      <c r="A227" s="178"/>
      <c r="B227" s="204">
        <f>IFERROR(IF(LoanIsNotPaid*LoanIsGood,PaymentNumber,""), "")</f>
        <v>211</v>
      </c>
      <c r="C227" s="205">
        <f>IFERROR(IF(LoanIsNotPaid*LoanIsGood,PaymentDate,LoanStartDate), LoanStartDate)</f>
        <v>52079</v>
      </c>
      <c r="D227" s="206">
        <f>IFERROR(IF(LoanIsNotPaid*LoanIsGood,LoanValue,""), "")</f>
        <v>166402.30110473372</v>
      </c>
      <c r="E227" s="206">
        <f>IFERROR(IF(LoanIsNotPaid*LoanIsGood,MonthlyPayment,0), 0)</f>
        <v>5691.1875192575681</v>
      </c>
      <c r="F227" s="206">
        <f>IFERROR(IF(LoanIsNotPaid*LoanIsGood,Principal,0), 0)</f>
        <v>5413.8503507496016</v>
      </c>
      <c r="G227" s="206">
        <f>SUM($F$17:F227)</f>
        <v>964011.54924596951</v>
      </c>
      <c r="H227" s="206">
        <f>IFERROR(IF(LoanIsNotPaid*LoanIsGood,InterestAmt,0), 0)</f>
        <v>277.3371685079664</v>
      </c>
      <c r="I227" s="206">
        <f>SUM($H$17:H227)</f>
        <v>236829.01731737686</v>
      </c>
      <c r="J227" s="206">
        <f>IFERROR(IF(LoanIsNotPaid*LoanIsGood,EndingBalance,0), 0)</f>
        <v>160988.45075398334</v>
      </c>
    </row>
    <row r="228" spans="1:10" ht="15" customHeight="1" x14ac:dyDescent="0.15">
      <c r="A228" s="178"/>
      <c r="B228" s="204">
        <f>IFERROR(IF(LoanIsNotPaid*LoanIsGood,PaymentNumber,""), "")</f>
        <v>212</v>
      </c>
      <c r="C228" s="205">
        <f>IFERROR(IF(LoanIsNotPaid*LoanIsGood,PaymentDate,LoanStartDate), LoanStartDate)</f>
        <v>52110</v>
      </c>
      <c r="D228" s="206">
        <f>IFERROR(IF(LoanIsNotPaid*LoanIsGood,LoanValue,""), "")</f>
        <v>160988.45075398334</v>
      </c>
      <c r="E228" s="206">
        <f>IFERROR(IF(LoanIsNotPaid*LoanIsGood,MonthlyPayment,0), 0)</f>
        <v>5691.1875192575681</v>
      </c>
      <c r="F228" s="206">
        <f>IFERROR(IF(LoanIsNotPaid*LoanIsGood,Principal,0), 0)</f>
        <v>5422.8734346675174</v>
      </c>
      <c r="G228" s="206">
        <f>SUM($F$17:F228)</f>
        <v>969434.42268063698</v>
      </c>
      <c r="H228" s="206">
        <f>IFERROR(IF(LoanIsNotPaid*LoanIsGood,InterestAmt,0), 0)</f>
        <v>268.3140845900503</v>
      </c>
      <c r="I228" s="206">
        <f>SUM($H$17:H228)</f>
        <v>237097.33140196692</v>
      </c>
      <c r="J228" s="206">
        <f>IFERROR(IF(LoanIsNotPaid*LoanIsGood,EndingBalance,0), 0)</f>
        <v>155565.57731931517</v>
      </c>
    </row>
    <row r="229" spans="1:10" ht="15" customHeight="1" x14ac:dyDescent="0.15">
      <c r="A229" s="178"/>
      <c r="B229" s="204">
        <f>IFERROR(IF(LoanIsNotPaid*LoanIsGood,PaymentNumber,""), "")</f>
        <v>213</v>
      </c>
      <c r="C229" s="205">
        <f>IFERROR(IF(LoanIsNotPaid*LoanIsGood,PaymentDate,LoanStartDate), LoanStartDate)</f>
        <v>52140</v>
      </c>
      <c r="D229" s="206">
        <f>IFERROR(IF(LoanIsNotPaid*LoanIsGood,LoanValue,""), "")</f>
        <v>155565.57731931517</v>
      </c>
      <c r="E229" s="206">
        <f>IFERROR(IF(LoanIsNotPaid*LoanIsGood,MonthlyPayment,0), 0)</f>
        <v>5691.1875192575681</v>
      </c>
      <c r="F229" s="206">
        <f>IFERROR(IF(LoanIsNotPaid*LoanIsGood,Principal,0), 0)</f>
        <v>5431.91155705863</v>
      </c>
      <c r="G229" s="206">
        <f>SUM($F$17:F229)</f>
        <v>974866.33423769567</v>
      </c>
      <c r="H229" s="206">
        <f>IFERROR(IF(LoanIsNotPaid*LoanIsGood,InterestAmt,0), 0)</f>
        <v>259.27596219893786</v>
      </c>
      <c r="I229" s="206">
        <f>SUM($H$17:H229)</f>
        <v>237356.60736416586</v>
      </c>
      <c r="J229" s="206">
        <f>IFERROR(IF(LoanIsNotPaid*LoanIsGood,EndingBalance,0), 0)</f>
        <v>150133.66576225567</v>
      </c>
    </row>
    <row r="230" spans="1:10" ht="15" customHeight="1" x14ac:dyDescent="0.15">
      <c r="A230" s="178"/>
      <c r="B230" s="204">
        <f>IFERROR(IF(LoanIsNotPaid*LoanIsGood,PaymentNumber,""), "")</f>
        <v>214</v>
      </c>
      <c r="C230" s="205">
        <f>IFERROR(IF(LoanIsNotPaid*LoanIsGood,PaymentDate,LoanStartDate), LoanStartDate)</f>
        <v>52171</v>
      </c>
      <c r="D230" s="206">
        <f>IFERROR(IF(LoanIsNotPaid*LoanIsGood,LoanValue,""), "")</f>
        <v>150133.66576225567</v>
      </c>
      <c r="E230" s="206">
        <f>IFERROR(IF(LoanIsNotPaid*LoanIsGood,MonthlyPayment,0), 0)</f>
        <v>5691.1875192575681</v>
      </c>
      <c r="F230" s="206">
        <f>IFERROR(IF(LoanIsNotPaid*LoanIsGood,Principal,0), 0)</f>
        <v>5440.964742987062</v>
      </c>
      <c r="G230" s="206">
        <f>SUM($F$17:F230)</f>
        <v>980307.29898068274</v>
      </c>
      <c r="H230" s="206">
        <f>IFERROR(IF(LoanIsNotPaid*LoanIsGood,InterestAmt,0), 0)</f>
        <v>250.22277627050678</v>
      </c>
      <c r="I230" s="206">
        <f>SUM($H$17:H230)</f>
        <v>237606.83014043636</v>
      </c>
      <c r="J230" s="206">
        <f>IFERROR(IF(LoanIsNotPaid*LoanIsGood,EndingBalance,0), 0)</f>
        <v>144692.70101926941</v>
      </c>
    </row>
    <row r="231" spans="1:10" ht="15" customHeight="1" x14ac:dyDescent="0.15">
      <c r="A231" s="178"/>
      <c r="B231" s="204">
        <f>IFERROR(IF(LoanIsNotPaid*LoanIsGood,PaymentNumber,""), "")</f>
        <v>215</v>
      </c>
      <c r="C231" s="205">
        <f>IFERROR(IF(LoanIsNotPaid*LoanIsGood,PaymentDate,LoanStartDate), LoanStartDate)</f>
        <v>52201</v>
      </c>
      <c r="D231" s="206">
        <f>IFERROR(IF(LoanIsNotPaid*LoanIsGood,LoanValue,""), "")</f>
        <v>144692.70101926941</v>
      </c>
      <c r="E231" s="206">
        <f>IFERROR(IF(LoanIsNotPaid*LoanIsGood,MonthlyPayment,0), 0)</f>
        <v>5691.1875192575681</v>
      </c>
      <c r="F231" s="206">
        <f>IFERROR(IF(LoanIsNotPaid*LoanIsGood,Principal,0), 0)</f>
        <v>5450.0330175587069</v>
      </c>
      <c r="G231" s="206">
        <f>SUM($F$17:F231)</f>
        <v>985757.33199824148</v>
      </c>
      <c r="H231" s="206">
        <f>IFERROR(IF(LoanIsNotPaid*LoanIsGood,InterestAmt,0), 0)</f>
        <v>241.15450169886168</v>
      </c>
      <c r="I231" s="206">
        <f>SUM($H$17:H231)</f>
        <v>237847.98464213521</v>
      </c>
      <c r="J231" s="206">
        <f>IFERROR(IF(LoanIsNotPaid*LoanIsGood,EndingBalance,0), 0)</f>
        <v>139242.66800170974</v>
      </c>
    </row>
    <row r="232" spans="1:10" ht="15" customHeight="1" x14ac:dyDescent="0.15">
      <c r="A232" s="178"/>
      <c r="B232" s="204">
        <f>IFERROR(IF(LoanIsNotPaid*LoanIsGood,PaymentNumber,""), "")</f>
        <v>216</v>
      </c>
      <c r="C232" s="205">
        <f>IFERROR(IF(LoanIsNotPaid*LoanIsGood,PaymentDate,LoanStartDate), LoanStartDate)</f>
        <v>52232</v>
      </c>
      <c r="D232" s="206">
        <f>IFERROR(IF(LoanIsNotPaid*LoanIsGood,LoanValue,""), "")</f>
        <v>139242.66800170974</v>
      </c>
      <c r="E232" s="206">
        <f>IFERROR(IF(LoanIsNotPaid*LoanIsGood,MonthlyPayment,0), 0)</f>
        <v>5691.1875192575681</v>
      </c>
      <c r="F232" s="206">
        <f>IFERROR(IF(LoanIsNotPaid*LoanIsGood,Principal,0), 0)</f>
        <v>5459.1164059213042</v>
      </c>
      <c r="G232" s="206">
        <f>SUM($F$17:F232)</f>
        <v>991216.44840416277</v>
      </c>
      <c r="H232" s="206">
        <f>IFERROR(IF(LoanIsNotPaid*LoanIsGood,InterestAmt,0), 0)</f>
        <v>232.07111333626378</v>
      </c>
      <c r="I232" s="206">
        <f>SUM($H$17:H232)</f>
        <v>238080.05575547146</v>
      </c>
      <c r="J232" s="206">
        <f>IFERROR(IF(LoanIsNotPaid*LoanIsGood,EndingBalance,0), 0)</f>
        <v>133783.55159578752</v>
      </c>
    </row>
    <row r="233" spans="1:10" ht="15" customHeight="1" x14ac:dyDescent="0.15">
      <c r="A233" s="178"/>
      <c r="B233" s="204">
        <f>IFERROR(IF(LoanIsNotPaid*LoanIsGood,PaymentNumber,""), "")</f>
        <v>217</v>
      </c>
      <c r="C233" s="205">
        <f>IFERROR(IF(LoanIsNotPaid*LoanIsGood,PaymentDate,LoanStartDate), LoanStartDate)</f>
        <v>52263</v>
      </c>
      <c r="D233" s="206">
        <f>IFERROR(IF(LoanIsNotPaid*LoanIsGood,LoanValue,""), "")</f>
        <v>133783.55159578752</v>
      </c>
      <c r="E233" s="206">
        <f>IFERROR(IF(LoanIsNotPaid*LoanIsGood,MonthlyPayment,0), 0)</f>
        <v>5691.1875192575681</v>
      </c>
      <c r="F233" s="206">
        <f>IFERROR(IF(LoanIsNotPaid*LoanIsGood,Principal,0), 0)</f>
        <v>5468.2149332645067</v>
      </c>
      <c r="G233" s="206">
        <f>SUM($F$17:F233)</f>
        <v>996684.66333742731</v>
      </c>
      <c r="H233" s="206">
        <f>IFERROR(IF(LoanIsNotPaid*LoanIsGood,InterestAmt,0), 0)</f>
        <v>222.97258599306161</v>
      </c>
      <c r="I233" s="206">
        <f>SUM($H$17:H233)</f>
        <v>238303.02834146452</v>
      </c>
      <c r="J233" s="206">
        <f>IFERROR(IF(LoanIsNotPaid*LoanIsGood,EndingBalance,0), 0)</f>
        <v>128315.33666252345</v>
      </c>
    </row>
    <row r="234" spans="1:10" ht="15" customHeight="1" x14ac:dyDescent="0.15">
      <c r="A234" s="178"/>
      <c r="B234" s="204">
        <f>IFERROR(IF(LoanIsNotPaid*LoanIsGood,PaymentNumber,""), "")</f>
        <v>218</v>
      </c>
      <c r="C234" s="205">
        <f>IFERROR(IF(LoanIsNotPaid*LoanIsGood,PaymentDate,LoanStartDate), LoanStartDate)</f>
        <v>52291</v>
      </c>
      <c r="D234" s="206">
        <f>IFERROR(IF(LoanIsNotPaid*LoanIsGood,LoanValue,""), "")</f>
        <v>128315.33666252345</v>
      </c>
      <c r="E234" s="206">
        <f>IFERROR(IF(LoanIsNotPaid*LoanIsGood,MonthlyPayment,0), 0)</f>
        <v>5691.1875192575681</v>
      </c>
      <c r="F234" s="206">
        <f>IFERROR(IF(LoanIsNotPaid*LoanIsGood,Principal,0), 0)</f>
        <v>5477.3286248199474</v>
      </c>
      <c r="G234" s="206">
        <f>SUM($F$17:F234)</f>
        <v>1002161.9919622473</v>
      </c>
      <c r="H234" s="206">
        <f>IFERROR(IF(LoanIsNotPaid*LoanIsGood,InterestAmt,0), 0)</f>
        <v>213.85889443762079</v>
      </c>
      <c r="I234" s="206">
        <f>SUM($H$17:H234)</f>
        <v>238516.88723590213</v>
      </c>
      <c r="J234" s="206">
        <f>IFERROR(IF(LoanIsNotPaid*LoanIsGood,EndingBalance,0), 0)</f>
        <v>122838.00803770381</v>
      </c>
    </row>
    <row r="235" spans="1:10" ht="15" customHeight="1" x14ac:dyDescent="0.15">
      <c r="A235" s="178"/>
      <c r="B235" s="204">
        <f>IFERROR(IF(LoanIsNotPaid*LoanIsGood,PaymentNumber,""), "")</f>
        <v>219</v>
      </c>
      <c r="C235" s="205">
        <f>IFERROR(IF(LoanIsNotPaid*LoanIsGood,PaymentDate,LoanStartDate), LoanStartDate)</f>
        <v>52322</v>
      </c>
      <c r="D235" s="206">
        <f>IFERROR(IF(LoanIsNotPaid*LoanIsGood,LoanValue,""), "")</f>
        <v>122838.00803770381</v>
      </c>
      <c r="E235" s="206">
        <f>IFERROR(IF(LoanIsNotPaid*LoanIsGood,MonthlyPayment,0), 0)</f>
        <v>5691.1875192575681</v>
      </c>
      <c r="F235" s="206">
        <f>IFERROR(IF(LoanIsNotPaid*LoanIsGood,Principal,0), 0)</f>
        <v>5486.4575058613136</v>
      </c>
      <c r="G235" s="206">
        <f>SUM($F$17:F235)</f>
        <v>1007648.4494681086</v>
      </c>
      <c r="H235" s="206">
        <f>IFERROR(IF(LoanIsNotPaid*LoanIsGood,InterestAmt,0), 0)</f>
        <v>204.73001339625415</v>
      </c>
      <c r="I235" s="206">
        <f>SUM($H$17:H235)</f>
        <v>238721.61724929838</v>
      </c>
      <c r="J235" s="206">
        <f>IFERROR(IF(LoanIsNotPaid*LoanIsGood,EndingBalance,0), 0)</f>
        <v>117351.55053184181</v>
      </c>
    </row>
    <row r="236" spans="1:10" ht="15" customHeight="1" x14ac:dyDescent="0.15">
      <c r="A236" s="178"/>
      <c r="B236" s="204">
        <f>IFERROR(IF(LoanIsNotPaid*LoanIsGood,PaymentNumber,""), "")</f>
        <v>220</v>
      </c>
      <c r="C236" s="205">
        <f>IFERROR(IF(LoanIsNotPaid*LoanIsGood,PaymentDate,LoanStartDate), LoanStartDate)</f>
        <v>52352</v>
      </c>
      <c r="D236" s="206">
        <f>IFERROR(IF(LoanIsNotPaid*LoanIsGood,LoanValue,""), "")</f>
        <v>117351.55053184181</v>
      </c>
      <c r="E236" s="206">
        <f>IFERROR(IF(LoanIsNotPaid*LoanIsGood,MonthlyPayment,0), 0)</f>
        <v>5691.1875192575681</v>
      </c>
      <c r="F236" s="206">
        <f>IFERROR(IF(LoanIsNotPaid*LoanIsGood,Principal,0), 0)</f>
        <v>5495.6016017044158</v>
      </c>
      <c r="G236" s="206">
        <f>SUM($F$17:F236)</f>
        <v>1013144.051069813</v>
      </c>
      <c r="H236" s="206">
        <f>IFERROR(IF(LoanIsNotPaid*LoanIsGood,InterestAmt,0), 0)</f>
        <v>195.58591755315203</v>
      </c>
      <c r="I236" s="206">
        <f>SUM($H$17:H236)</f>
        <v>238917.20316685154</v>
      </c>
      <c r="J236" s="206">
        <f>IFERROR(IF(LoanIsNotPaid*LoanIsGood,EndingBalance,0), 0)</f>
        <v>111855.94893013686</v>
      </c>
    </row>
    <row r="237" spans="1:10" ht="15" customHeight="1" x14ac:dyDescent="0.15">
      <c r="A237" s="178"/>
      <c r="B237" s="204">
        <f>IFERROR(IF(LoanIsNotPaid*LoanIsGood,PaymentNumber,""), "")</f>
        <v>221</v>
      </c>
      <c r="C237" s="205">
        <f>IFERROR(IF(LoanIsNotPaid*LoanIsGood,PaymentDate,LoanStartDate), LoanStartDate)</f>
        <v>52383</v>
      </c>
      <c r="D237" s="206">
        <f>IFERROR(IF(LoanIsNotPaid*LoanIsGood,LoanValue,""), "")</f>
        <v>111855.94893013686</v>
      </c>
      <c r="E237" s="206">
        <f>IFERROR(IF(LoanIsNotPaid*LoanIsGood,MonthlyPayment,0), 0)</f>
        <v>5691.1875192575681</v>
      </c>
      <c r="F237" s="206">
        <f>IFERROR(IF(LoanIsNotPaid*LoanIsGood,Principal,0), 0)</f>
        <v>5504.7609377072567</v>
      </c>
      <c r="G237" s="206">
        <f>SUM($F$17:F237)</f>
        <v>1018648.8120075202</v>
      </c>
      <c r="H237" s="206">
        <f>IFERROR(IF(LoanIsNotPaid*LoanIsGood,InterestAmt,0), 0)</f>
        <v>186.42658155031131</v>
      </c>
      <c r="I237" s="206">
        <f>SUM($H$17:H237)</f>
        <v>239103.62974840184</v>
      </c>
      <c r="J237" s="206">
        <f>IFERROR(IF(LoanIsNotPaid*LoanIsGood,EndingBalance,0), 0)</f>
        <v>106351.18799242866</v>
      </c>
    </row>
    <row r="238" spans="1:10" ht="15" customHeight="1" x14ac:dyDescent="0.15">
      <c r="A238" s="178"/>
      <c r="B238" s="204">
        <f>IFERROR(IF(LoanIsNotPaid*LoanIsGood,PaymentNumber,""), "")</f>
        <v>222</v>
      </c>
      <c r="C238" s="205">
        <f>IFERROR(IF(LoanIsNotPaid*LoanIsGood,PaymentDate,LoanStartDate), LoanStartDate)</f>
        <v>52413</v>
      </c>
      <c r="D238" s="206">
        <f>IFERROR(IF(LoanIsNotPaid*LoanIsGood,LoanValue,""), "")</f>
        <v>106351.18799242866</v>
      </c>
      <c r="E238" s="206">
        <f>IFERROR(IF(LoanIsNotPaid*LoanIsGood,MonthlyPayment,0), 0)</f>
        <v>5691.1875192575681</v>
      </c>
      <c r="F238" s="206">
        <f>IFERROR(IF(LoanIsNotPaid*LoanIsGood,Principal,0), 0)</f>
        <v>5513.9355392701018</v>
      </c>
      <c r="G238" s="206">
        <f>SUM($F$17:F238)</f>
        <v>1024162.7475467903</v>
      </c>
      <c r="H238" s="206">
        <f>IFERROR(IF(LoanIsNotPaid*LoanIsGood,InterestAmt,0), 0)</f>
        <v>177.25197998746589</v>
      </c>
      <c r="I238" s="206">
        <f>SUM($H$17:H238)</f>
        <v>239280.8817283893</v>
      </c>
      <c r="J238" s="206">
        <f>IFERROR(IF(LoanIsNotPaid*LoanIsGood,EndingBalance,0), 0)</f>
        <v>100837.25245315931</v>
      </c>
    </row>
    <row r="239" spans="1:10" ht="15" customHeight="1" x14ac:dyDescent="0.15">
      <c r="A239" s="178"/>
      <c r="B239" s="204">
        <f>IFERROR(IF(LoanIsNotPaid*LoanIsGood,PaymentNumber,""), "")</f>
        <v>223</v>
      </c>
      <c r="C239" s="205">
        <f>IFERROR(IF(LoanIsNotPaid*LoanIsGood,PaymentDate,LoanStartDate), LoanStartDate)</f>
        <v>52444</v>
      </c>
      <c r="D239" s="206">
        <f>IFERROR(IF(LoanIsNotPaid*LoanIsGood,LoanValue,""), "")</f>
        <v>100837.25245315931</v>
      </c>
      <c r="E239" s="206">
        <f>IFERROR(IF(LoanIsNotPaid*LoanIsGood,MonthlyPayment,0), 0)</f>
        <v>5691.1875192575681</v>
      </c>
      <c r="F239" s="206">
        <f>IFERROR(IF(LoanIsNotPaid*LoanIsGood,Principal,0), 0)</f>
        <v>5523.1254318355523</v>
      </c>
      <c r="G239" s="206">
        <f>SUM($F$17:F239)</f>
        <v>1029685.8729786258</v>
      </c>
      <c r="H239" s="206">
        <f>IFERROR(IF(LoanIsNotPaid*LoanIsGood,InterestAmt,0), 0)</f>
        <v>168.06208742201571</v>
      </c>
      <c r="I239" s="206">
        <f>SUM($H$17:H239)</f>
        <v>239448.9438158113</v>
      </c>
      <c r="J239" s="206">
        <f>IFERROR(IF(LoanIsNotPaid*LoanIsGood,EndingBalance,0), 0)</f>
        <v>95314.127021323191</v>
      </c>
    </row>
    <row r="240" spans="1:10" ht="15" customHeight="1" x14ac:dyDescent="0.15">
      <c r="A240" s="178"/>
      <c r="B240" s="204">
        <f>IFERROR(IF(LoanIsNotPaid*LoanIsGood,PaymentNumber,""), "")</f>
        <v>224</v>
      </c>
      <c r="C240" s="205">
        <f>IFERROR(IF(LoanIsNotPaid*LoanIsGood,PaymentDate,LoanStartDate), LoanStartDate)</f>
        <v>52475</v>
      </c>
      <c r="D240" s="206">
        <f>IFERROR(IF(LoanIsNotPaid*LoanIsGood,LoanValue,""), "")</f>
        <v>95314.127021323191</v>
      </c>
      <c r="E240" s="206">
        <f>IFERROR(IF(LoanIsNotPaid*LoanIsGood,MonthlyPayment,0), 0)</f>
        <v>5691.1875192575681</v>
      </c>
      <c r="F240" s="206">
        <f>IFERROR(IF(LoanIsNotPaid*LoanIsGood,Principal,0), 0)</f>
        <v>5532.3306408886119</v>
      </c>
      <c r="G240" s="206">
        <f>SUM($F$17:F240)</f>
        <v>1035218.2036195145</v>
      </c>
      <c r="H240" s="206">
        <f>IFERROR(IF(LoanIsNotPaid*LoanIsGood,InterestAmt,0), 0)</f>
        <v>158.85687836895644</v>
      </c>
      <c r="I240" s="206">
        <f>SUM($H$17:H240)</f>
        <v>239607.80069418027</v>
      </c>
      <c r="J240" s="206">
        <f>IFERROR(IF(LoanIsNotPaid*LoanIsGood,EndingBalance,0), 0)</f>
        <v>89781.796380433487</v>
      </c>
    </row>
    <row r="241" spans="1:10" ht="15" customHeight="1" x14ac:dyDescent="0.15">
      <c r="A241" s="178"/>
      <c r="B241" s="204">
        <f>IFERROR(IF(LoanIsNotPaid*LoanIsGood,PaymentNumber,""), "")</f>
        <v>225</v>
      </c>
      <c r="C241" s="205">
        <f>IFERROR(IF(LoanIsNotPaid*LoanIsGood,PaymentDate,LoanStartDate), LoanStartDate)</f>
        <v>52505</v>
      </c>
      <c r="D241" s="206">
        <f>IFERROR(IF(LoanIsNotPaid*LoanIsGood,LoanValue,""), "")</f>
        <v>89781.796380433487</v>
      </c>
      <c r="E241" s="206">
        <f>IFERROR(IF(LoanIsNotPaid*LoanIsGood,MonthlyPayment,0), 0)</f>
        <v>5691.1875192575681</v>
      </c>
      <c r="F241" s="206">
        <f>IFERROR(IF(LoanIsNotPaid*LoanIsGood,Principal,0), 0)</f>
        <v>5541.5511919567589</v>
      </c>
      <c r="G241" s="206">
        <f>SUM($F$17:F241)</f>
        <v>1040759.7548114712</v>
      </c>
      <c r="H241" s="206">
        <f>IFERROR(IF(LoanIsNotPaid*LoanIsGood,InterestAmt,0), 0)</f>
        <v>149.63632730080874</v>
      </c>
      <c r="I241" s="206">
        <f>SUM($H$17:H241)</f>
        <v>239757.43702148108</v>
      </c>
      <c r="J241" s="206">
        <f>IFERROR(IF(LoanIsNotPaid*LoanIsGood,EndingBalance,0), 0)</f>
        <v>84240.245188476518</v>
      </c>
    </row>
    <row r="242" spans="1:10" ht="15" customHeight="1" x14ac:dyDescent="0.15">
      <c r="A242" s="178"/>
      <c r="B242" s="204">
        <f>IFERROR(IF(LoanIsNotPaid*LoanIsGood,PaymentNumber,""), "")</f>
        <v>226</v>
      </c>
      <c r="C242" s="205">
        <f>IFERROR(IF(LoanIsNotPaid*LoanIsGood,PaymentDate,LoanStartDate), LoanStartDate)</f>
        <v>52536</v>
      </c>
      <c r="D242" s="206">
        <f>IFERROR(IF(LoanIsNotPaid*LoanIsGood,LoanValue,""), "")</f>
        <v>84240.245188476518</v>
      </c>
      <c r="E242" s="206">
        <f>IFERROR(IF(LoanIsNotPaid*LoanIsGood,MonthlyPayment,0), 0)</f>
        <v>5691.1875192575681</v>
      </c>
      <c r="F242" s="206">
        <f>IFERROR(IF(LoanIsNotPaid*LoanIsGood,Principal,0), 0)</f>
        <v>5550.787110610021</v>
      </c>
      <c r="G242" s="206">
        <f>SUM($F$17:F242)</f>
        <v>1046310.5419220813</v>
      </c>
      <c r="H242" s="206">
        <f>IFERROR(IF(LoanIsNotPaid*LoanIsGood,InterestAmt,0), 0)</f>
        <v>140.40040864754749</v>
      </c>
      <c r="I242" s="206">
        <f>SUM($H$17:H242)</f>
        <v>239897.83743012862</v>
      </c>
      <c r="J242" s="206">
        <f>IFERROR(IF(LoanIsNotPaid*LoanIsGood,EndingBalance,0), 0)</f>
        <v>78689.458077866584</v>
      </c>
    </row>
    <row r="243" spans="1:10" ht="15" customHeight="1" x14ac:dyDescent="0.15">
      <c r="A243" s="178"/>
      <c r="B243" s="204">
        <f>IFERROR(IF(LoanIsNotPaid*LoanIsGood,PaymentNumber,""), "")</f>
        <v>227</v>
      </c>
      <c r="C243" s="205">
        <f>IFERROR(IF(LoanIsNotPaid*LoanIsGood,PaymentDate,LoanStartDate), LoanStartDate)</f>
        <v>52566</v>
      </c>
      <c r="D243" s="206">
        <f>IFERROR(IF(LoanIsNotPaid*LoanIsGood,LoanValue,""), "")</f>
        <v>78689.458077866584</v>
      </c>
      <c r="E243" s="206">
        <f>IFERROR(IF(LoanIsNotPaid*LoanIsGood,MonthlyPayment,0), 0)</f>
        <v>5691.1875192575681</v>
      </c>
      <c r="F243" s="206">
        <f>IFERROR(IF(LoanIsNotPaid*LoanIsGood,Principal,0), 0)</f>
        <v>5560.038422461037</v>
      </c>
      <c r="G243" s="206">
        <f>SUM($F$17:F243)</f>
        <v>1051870.5803445424</v>
      </c>
      <c r="H243" s="206">
        <f>IFERROR(IF(LoanIsNotPaid*LoanIsGood,InterestAmt,0), 0)</f>
        <v>131.14909679653081</v>
      </c>
      <c r="I243" s="206">
        <f>SUM($H$17:H243)</f>
        <v>240028.98652692515</v>
      </c>
      <c r="J243" s="206">
        <f>IFERROR(IF(LoanIsNotPaid*LoanIsGood,EndingBalance,0), 0)</f>
        <v>73129.419655404985</v>
      </c>
    </row>
    <row r="244" spans="1:10" ht="15" customHeight="1" x14ac:dyDescent="0.15">
      <c r="A244" s="178"/>
      <c r="B244" s="204">
        <f>IFERROR(IF(LoanIsNotPaid*LoanIsGood,PaymentNumber,""), "")</f>
        <v>228</v>
      </c>
      <c r="C244" s="205">
        <f>IFERROR(IF(LoanIsNotPaid*LoanIsGood,PaymentDate,LoanStartDate), LoanStartDate)</f>
        <v>52597</v>
      </c>
      <c r="D244" s="206">
        <f>IFERROR(IF(LoanIsNotPaid*LoanIsGood,LoanValue,""), "")</f>
        <v>73129.419655404985</v>
      </c>
      <c r="E244" s="206">
        <f>IFERROR(IF(LoanIsNotPaid*LoanIsGood,MonthlyPayment,0), 0)</f>
        <v>5691.1875192575681</v>
      </c>
      <c r="F244" s="206">
        <f>IFERROR(IF(LoanIsNotPaid*LoanIsGood,Principal,0), 0)</f>
        <v>5569.305153165139</v>
      </c>
      <c r="G244" s="206">
        <f>SUM($F$17:F244)</f>
        <v>1057439.8854977076</v>
      </c>
      <c r="H244" s="206">
        <f>IFERROR(IF(LoanIsNotPaid*LoanIsGood,InterestAmt,0), 0)</f>
        <v>121.88236609242908</v>
      </c>
      <c r="I244" s="206">
        <f>SUM($H$17:H244)</f>
        <v>240150.86889301758</v>
      </c>
      <c r="J244" s="206">
        <f>IFERROR(IF(LoanIsNotPaid*LoanIsGood,EndingBalance,0), 0)</f>
        <v>67560.114502239972</v>
      </c>
    </row>
    <row r="245" spans="1:10" ht="15" customHeight="1" x14ac:dyDescent="0.15">
      <c r="A245" s="178"/>
      <c r="B245" s="204">
        <f>IFERROR(IF(LoanIsNotPaid*LoanIsGood,PaymentNumber,""), "")</f>
        <v>229</v>
      </c>
      <c r="C245" s="205">
        <f>IFERROR(IF(LoanIsNotPaid*LoanIsGood,PaymentDate,LoanStartDate), LoanStartDate)</f>
        <v>52628</v>
      </c>
      <c r="D245" s="206">
        <f>IFERROR(IF(LoanIsNotPaid*LoanIsGood,LoanValue,""), "")</f>
        <v>67560.114502239972</v>
      </c>
      <c r="E245" s="206">
        <f>IFERROR(IF(LoanIsNotPaid*LoanIsGood,MonthlyPayment,0), 0)</f>
        <v>5691.1875192575681</v>
      </c>
      <c r="F245" s="206">
        <f>IFERROR(IF(LoanIsNotPaid*LoanIsGood,Principal,0), 0)</f>
        <v>5578.5873284204135</v>
      </c>
      <c r="G245" s="206">
        <f>SUM($F$17:F245)</f>
        <v>1063018.4728261281</v>
      </c>
      <c r="H245" s="206">
        <f>IFERROR(IF(LoanIsNotPaid*LoanIsGood,InterestAmt,0), 0)</f>
        <v>112.60019083715385</v>
      </c>
      <c r="I245" s="206">
        <f>SUM($H$17:H245)</f>
        <v>240263.46908385472</v>
      </c>
      <c r="J245" s="206">
        <f>IFERROR(IF(LoanIsNotPaid*LoanIsGood,EndingBalance,0), 0)</f>
        <v>61981.527173819253</v>
      </c>
    </row>
    <row r="246" spans="1:10" ht="15" customHeight="1" x14ac:dyDescent="0.15">
      <c r="A246" s="178"/>
      <c r="B246" s="204">
        <f>IFERROR(IF(LoanIsNotPaid*LoanIsGood,PaymentNumber,""), "")</f>
        <v>230</v>
      </c>
      <c r="C246" s="205">
        <f>IFERROR(IF(LoanIsNotPaid*LoanIsGood,PaymentDate,LoanStartDate), LoanStartDate)</f>
        <v>52657</v>
      </c>
      <c r="D246" s="206">
        <f>IFERROR(IF(LoanIsNotPaid*LoanIsGood,LoanValue,""), "")</f>
        <v>61981.527173819253</v>
      </c>
      <c r="E246" s="206">
        <f>IFERROR(IF(LoanIsNotPaid*LoanIsGood,MonthlyPayment,0), 0)</f>
        <v>5691.1875192575681</v>
      </c>
      <c r="F246" s="206">
        <f>IFERROR(IF(LoanIsNotPaid*LoanIsGood,Principal,0), 0)</f>
        <v>5587.8849739677808</v>
      </c>
      <c r="G246" s="206">
        <f>SUM($F$17:F246)</f>
        <v>1068606.3578000958</v>
      </c>
      <c r="H246" s="206">
        <f>IFERROR(IF(LoanIsNotPaid*LoanIsGood,InterestAmt,0), 0)</f>
        <v>103.30254528978647</v>
      </c>
      <c r="I246" s="206">
        <f>SUM($H$17:H246)</f>
        <v>240366.77162914452</v>
      </c>
      <c r="J246" s="206">
        <f>IFERROR(IF(LoanIsNotPaid*LoanIsGood,EndingBalance,0), 0)</f>
        <v>56393.642199852038</v>
      </c>
    </row>
    <row r="247" spans="1:10" ht="15" customHeight="1" x14ac:dyDescent="0.15">
      <c r="A247" s="178"/>
      <c r="B247" s="204">
        <f>IFERROR(IF(LoanIsNotPaid*LoanIsGood,PaymentNumber,""), "")</f>
        <v>231</v>
      </c>
      <c r="C247" s="205">
        <f>IFERROR(IF(LoanIsNotPaid*LoanIsGood,PaymentDate,LoanStartDate), LoanStartDate)</f>
        <v>52688</v>
      </c>
      <c r="D247" s="206">
        <f>IFERROR(IF(LoanIsNotPaid*LoanIsGood,LoanValue,""), "")</f>
        <v>56393.642199852038</v>
      </c>
      <c r="E247" s="206">
        <f>IFERROR(IF(LoanIsNotPaid*LoanIsGood,MonthlyPayment,0), 0)</f>
        <v>5691.1875192575681</v>
      </c>
      <c r="F247" s="206">
        <f>IFERROR(IF(LoanIsNotPaid*LoanIsGood,Principal,0), 0)</f>
        <v>5597.1981155910607</v>
      </c>
      <c r="G247" s="206">
        <f>SUM($F$17:F247)</f>
        <v>1074203.5559156868</v>
      </c>
      <c r="H247" s="206">
        <f>IFERROR(IF(LoanIsNotPaid*LoanIsGood,InterestAmt,0), 0)</f>
        <v>93.989403666506831</v>
      </c>
      <c r="I247" s="206">
        <f>SUM($H$17:H247)</f>
        <v>240460.76103281105</v>
      </c>
      <c r="J247" s="206">
        <f>IFERROR(IF(LoanIsNotPaid*LoanIsGood,EndingBalance,0), 0)</f>
        <v>50796.444084259449</v>
      </c>
    </row>
    <row r="248" spans="1:10" ht="15" customHeight="1" x14ac:dyDescent="0.15">
      <c r="A248" s="178"/>
      <c r="B248" s="204">
        <f>IFERROR(IF(LoanIsNotPaid*LoanIsGood,PaymentNumber,""), "")</f>
        <v>232</v>
      </c>
      <c r="C248" s="205">
        <f>IFERROR(IF(LoanIsNotPaid*LoanIsGood,PaymentDate,LoanStartDate), LoanStartDate)</f>
        <v>52718</v>
      </c>
      <c r="D248" s="206">
        <f>IFERROR(IF(LoanIsNotPaid*LoanIsGood,LoanValue,""), "")</f>
        <v>50796.444084259449</v>
      </c>
      <c r="E248" s="206">
        <f>IFERROR(IF(LoanIsNotPaid*LoanIsGood,MonthlyPayment,0), 0)</f>
        <v>5691.1875192575681</v>
      </c>
      <c r="F248" s="206">
        <f>IFERROR(IF(LoanIsNotPaid*LoanIsGood,Principal,0), 0)</f>
        <v>5606.5267791170463</v>
      </c>
      <c r="G248" s="206">
        <f>SUM($F$17:F248)</f>
        <v>1079810.0826948038</v>
      </c>
      <c r="H248" s="206">
        <f>IFERROR(IF(LoanIsNotPaid*LoanIsGood,InterestAmt,0), 0)</f>
        <v>84.660740140521739</v>
      </c>
      <c r="I248" s="206">
        <f>SUM($H$17:H248)</f>
        <v>240545.42177295158</v>
      </c>
      <c r="J248" s="206">
        <f>IFERROR(IF(LoanIsNotPaid*LoanIsGood,EndingBalance,0), 0)</f>
        <v>45189.917305141687</v>
      </c>
    </row>
    <row r="249" spans="1:10" ht="15" customHeight="1" x14ac:dyDescent="0.15">
      <c r="A249" s="178"/>
      <c r="B249" s="204">
        <f>IFERROR(IF(LoanIsNotPaid*LoanIsGood,PaymentNumber,""), "")</f>
        <v>233</v>
      </c>
      <c r="C249" s="205">
        <f>IFERROR(IF(LoanIsNotPaid*LoanIsGood,PaymentDate,LoanStartDate), LoanStartDate)</f>
        <v>52749</v>
      </c>
      <c r="D249" s="206">
        <f>IFERROR(IF(LoanIsNotPaid*LoanIsGood,LoanValue,""), "")</f>
        <v>45189.917305141687</v>
      </c>
      <c r="E249" s="206">
        <f>IFERROR(IF(LoanIsNotPaid*LoanIsGood,MonthlyPayment,0), 0)</f>
        <v>5691.1875192575681</v>
      </c>
      <c r="F249" s="206">
        <f>IFERROR(IF(LoanIsNotPaid*LoanIsGood,Principal,0), 0)</f>
        <v>5615.8709904155749</v>
      </c>
      <c r="G249" s="206">
        <f>SUM($F$17:F249)</f>
        <v>1085425.9536852194</v>
      </c>
      <c r="H249" s="206">
        <f>IFERROR(IF(LoanIsNotPaid*LoanIsGood,InterestAmt,0), 0)</f>
        <v>75.316528841993332</v>
      </c>
      <c r="I249" s="206">
        <f>SUM($H$17:H249)</f>
        <v>240620.73830179358</v>
      </c>
      <c r="J249" s="206">
        <f>IFERROR(IF(LoanIsNotPaid*LoanIsGood,EndingBalance,0), 0)</f>
        <v>39574.046314727049</v>
      </c>
    </row>
    <row r="250" spans="1:10" ht="15" customHeight="1" x14ac:dyDescent="0.15">
      <c r="A250" s="178"/>
      <c r="B250" s="204">
        <f>IFERROR(IF(LoanIsNotPaid*LoanIsGood,PaymentNumber,""), "")</f>
        <v>234</v>
      </c>
      <c r="C250" s="205">
        <f>IFERROR(IF(LoanIsNotPaid*LoanIsGood,PaymentDate,LoanStartDate), LoanStartDate)</f>
        <v>52779</v>
      </c>
      <c r="D250" s="206">
        <f>IFERROR(IF(LoanIsNotPaid*LoanIsGood,LoanValue,""), "")</f>
        <v>39574.046314727049</v>
      </c>
      <c r="E250" s="206">
        <f>IFERROR(IF(LoanIsNotPaid*LoanIsGood,MonthlyPayment,0), 0)</f>
        <v>5691.1875192575681</v>
      </c>
      <c r="F250" s="206">
        <f>IFERROR(IF(LoanIsNotPaid*LoanIsGood,Principal,0), 0)</f>
        <v>5625.2307753996001</v>
      </c>
      <c r="G250" s="206">
        <f>SUM($F$17:F250)</f>
        <v>1091051.184460619</v>
      </c>
      <c r="H250" s="206">
        <f>IFERROR(IF(LoanIsNotPaid*LoanIsGood,InterestAmt,0), 0)</f>
        <v>65.956743857967368</v>
      </c>
      <c r="I250" s="206">
        <f>SUM($H$17:H250)</f>
        <v>240686.69504565155</v>
      </c>
      <c r="J250" s="206">
        <f>IFERROR(IF(LoanIsNotPaid*LoanIsGood,EndingBalance,0), 0)</f>
        <v>33948.815539327217</v>
      </c>
    </row>
    <row r="251" spans="1:10" ht="15" customHeight="1" x14ac:dyDescent="0.15">
      <c r="A251" s="178"/>
      <c r="B251" s="204">
        <f>IFERROR(IF(LoanIsNotPaid*LoanIsGood,PaymentNumber,""), "")</f>
        <v>235</v>
      </c>
      <c r="C251" s="205">
        <f>IFERROR(IF(LoanIsNotPaid*LoanIsGood,PaymentDate,LoanStartDate), LoanStartDate)</f>
        <v>52810</v>
      </c>
      <c r="D251" s="206">
        <f>IFERROR(IF(LoanIsNotPaid*LoanIsGood,LoanValue,""), "")</f>
        <v>33948.815539327217</v>
      </c>
      <c r="E251" s="206">
        <f>IFERROR(IF(LoanIsNotPaid*LoanIsGood,MonthlyPayment,0), 0)</f>
        <v>5691.1875192575681</v>
      </c>
      <c r="F251" s="206">
        <f>IFERROR(IF(LoanIsNotPaid*LoanIsGood,Principal,0), 0)</f>
        <v>5634.606160025266</v>
      </c>
      <c r="G251" s="206">
        <f>SUM($F$17:F251)</f>
        <v>1096685.7906206443</v>
      </c>
      <c r="H251" s="206">
        <f>IFERROR(IF(LoanIsNotPaid*LoanIsGood,InterestAmt,0), 0)</f>
        <v>56.581359232301381</v>
      </c>
      <c r="I251" s="206">
        <f>SUM($H$17:H251)</f>
        <v>240743.27640488386</v>
      </c>
      <c r="J251" s="206">
        <f>IFERROR(IF(LoanIsNotPaid*LoanIsGood,EndingBalance,0), 0)</f>
        <v>28314.209379300941</v>
      </c>
    </row>
    <row r="252" spans="1:10" ht="15" customHeight="1" x14ac:dyDescent="0.15">
      <c r="A252" s="178"/>
      <c r="B252" s="204">
        <f>IFERROR(IF(LoanIsNotPaid*LoanIsGood,PaymentNumber,""), "")</f>
        <v>236</v>
      </c>
      <c r="C252" s="205">
        <f>IFERROR(IF(LoanIsNotPaid*LoanIsGood,PaymentDate,LoanStartDate), LoanStartDate)</f>
        <v>52841</v>
      </c>
      <c r="D252" s="206">
        <f>IFERROR(IF(LoanIsNotPaid*LoanIsGood,LoanValue,""), "")</f>
        <v>28314.209379300941</v>
      </c>
      <c r="E252" s="206">
        <f>IFERROR(IF(LoanIsNotPaid*LoanIsGood,MonthlyPayment,0), 0)</f>
        <v>5691.1875192575681</v>
      </c>
      <c r="F252" s="206">
        <f>IFERROR(IF(LoanIsNotPaid*LoanIsGood,Principal,0), 0)</f>
        <v>5643.9971702919756</v>
      </c>
      <c r="G252" s="206">
        <f>SUM($F$17:F252)</f>
        <v>1102329.7877909364</v>
      </c>
      <c r="H252" s="206">
        <f>IFERROR(IF(LoanIsNotPaid*LoanIsGood,InterestAmt,0), 0)</f>
        <v>47.190348965592584</v>
      </c>
      <c r="I252" s="206">
        <f>SUM($H$17:H252)</f>
        <v>240790.46675384944</v>
      </c>
      <c r="J252" s="206">
        <f>IFERROR(IF(LoanIsNotPaid*LoanIsGood,EndingBalance,0), 0)</f>
        <v>22670.2122090091</v>
      </c>
    </row>
    <row r="253" spans="1:10" ht="15" customHeight="1" x14ac:dyDescent="0.15">
      <c r="A253" s="178"/>
      <c r="B253" s="204">
        <f>IFERROR(IF(LoanIsNotPaid*LoanIsGood,PaymentNumber,""), "")</f>
        <v>237</v>
      </c>
      <c r="C253" s="205">
        <f>IFERROR(IF(LoanIsNotPaid*LoanIsGood,PaymentDate,LoanStartDate), LoanStartDate)</f>
        <v>52871</v>
      </c>
      <c r="D253" s="206">
        <f>IFERROR(IF(LoanIsNotPaid*LoanIsGood,LoanValue,""), "")</f>
        <v>22670.2122090091</v>
      </c>
      <c r="E253" s="206">
        <f>IFERROR(IF(LoanIsNotPaid*LoanIsGood,MonthlyPayment,0), 0)</f>
        <v>5691.1875192575681</v>
      </c>
      <c r="F253" s="206">
        <f>IFERROR(IF(LoanIsNotPaid*LoanIsGood,Principal,0), 0)</f>
        <v>5653.4038322424622</v>
      </c>
      <c r="G253" s="206">
        <f>SUM($F$17:F253)</f>
        <v>1107983.1916231788</v>
      </c>
      <c r="H253" s="206">
        <f>IFERROR(IF(LoanIsNotPaid*LoanIsGood,InterestAmt,0), 0)</f>
        <v>37.783687015105968</v>
      </c>
      <c r="I253" s="206">
        <f>SUM($H$17:H253)</f>
        <v>240828.25044086453</v>
      </c>
      <c r="J253" s="206">
        <f>IFERROR(IF(LoanIsNotPaid*LoanIsGood,EndingBalance,0), 0)</f>
        <v>17016.808376765577</v>
      </c>
    </row>
    <row r="254" spans="1:10" ht="15" customHeight="1" x14ac:dyDescent="0.15">
      <c r="A254" s="178"/>
      <c r="B254" s="204">
        <f>IFERROR(IF(LoanIsNotPaid*LoanIsGood,PaymentNumber,""), "")</f>
        <v>238</v>
      </c>
      <c r="C254" s="205">
        <f>IFERROR(IF(LoanIsNotPaid*LoanIsGood,PaymentDate,LoanStartDate), LoanStartDate)</f>
        <v>52902</v>
      </c>
      <c r="D254" s="206">
        <f>IFERROR(IF(LoanIsNotPaid*LoanIsGood,LoanValue,""), "")</f>
        <v>17016.808376765577</v>
      </c>
      <c r="E254" s="206">
        <f>IFERROR(IF(LoanIsNotPaid*LoanIsGood,MonthlyPayment,0), 0)</f>
        <v>5691.1875192575681</v>
      </c>
      <c r="F254" s="206">
        <f>IFERROR(IF(LoanIsNotPaid*LoanIsGood,Principal,0), 0)</f>
        <v>5662.8261719628663</v>
      </c>
      <c r="G254" s="206">
        <f>SUM($F$17:F254)</f>
        <v>1113646.0177951416</v>
      </c>
      <c r="H254" s="206">
        <f>IFERROR(IF(LoanIsNotPaid*LoanIsGood,InterestAmt,0), 0)</f>
        <v>28.361347294701858</v>
      </c>
      <c r="I254" s="206">
        <f>SUM($H$17:H254)</f>
        <v>240856.61178815924</v>
      </c>
      <c r="J254" s="206">
        <f>IFERROR(IF(LoanIsNotPaid*LoanIsGood,EndingBalance,0), 0)</f>
        <v>11353.982204802334</v>
      </c>
    </row>
    <row r="255" spans="1:10" ht="15" customHeight="1" x14ac:dyDescent="0.15">
      <c r="A255" s="178"/>
      <c r="B255" s="204">
        <f>IFERROR(IF(LoanIsNotPaid*LoanIsGood,PaymentNumber,""), "")</f>
        <v>239</v>
      </c>
      <c r="C255" s="205">
        <f>IFERROR(IF(LoanIsNotPaid*LoanIsGood,PaymentDate,LoanStartDate), LoanStartDate)</f>
        <v>52932</v>
      </c>
      <c r="D255" s="206">
        <f>IFERROR(IF(LoanIsNotPaid*LoanIsGood,LoanValue,""), "")</f>
        <v>11353.982204802334</v>
      </c>
      <c r="E255" s="206">
        <f>IFERROR(IF(LoanIsNotPaid*LoanIsGood,MonthlyPayment,0), 0)</f>
        <v>5691.1875192575681</v>
      </c>
      <c r="F255" s="206">
        <f>IFERROR(IF(LoanIsNotPaid*LoanIsGood,Principal,0), 0)</f>
        <v>5672.2642155828044</v>
      </c>
      <c r="G255" s="206">
        <f>SUM($F$17:F255)</f>
        <v>1119318.2820107243</v>
      </c>
      <c r="H255" s="206">
        <f>IFERROR(IF(LoanIsNotPaid*LoanIsGood,InterestAmt,0), 0)</f>
        <v>18.923303674763744</v>
      </c>
      <c r="I255" s="206">
        <f>SUM($H$17:H255)</f>
        <v>240875.535091834</v>
      </c>
      <c r="J255" s="206">
        <f>IFERROR(IF(LoanIsNotPaid*LoanIsGood,EndingBalance,0), 0)</f>
        <v>5681.7179892195854</v>
      </c>
    </row>
    <row r="256" spans="1:10" ht="15" customHeight="1" x14ac:dyDescent="0.15">
      <c r="A256" s="178"/>
      <c r="B256" s="204">
        <f>IFERROR(IF(LoanIsNotPaid*LoanIsGood,PaymentNumber,""), "")</f>
        <v>240</v>
      </c>
      <c r="C256" s="205">
        <f>IFERROR(IF(LoanIsNotPaid*LoanIsGood,PaymentDate,LoanStartDate), LoanStartDate)</f>
        <v>52963</v>
      </c>
      <c r="D256" s="206">
        <f>IFERROR(IF(LoanIsNotPaid*LoanIsGood,LoanValue,""), "")</f>
        <v>5681.7179892195854</v>
      </c>
      <c r="E256" s="206">
        <f>IFERROR(IF(LoanIsNotPaid*LoanIsGood,MonthlyPayment,0), 0)</f>
        <v>5691.1875192575681</v>
      </c>
      <c r="F256" s="206">
        <f>IFERROR(IF(LoanIsNotPaid*LoanIsGood,Principal,0), 0)</f>
        <v>5681.717989275443</v>
      </c>
      <c r="G256" s="206">
        <f>SUM($F$17:F256)</f>
        <v>1124999.9999999998</v>
      </c>
      <c r="H256" s="206">
        <f>IFERROR(IF(LoanIsNotPaid*LoanIsGood,InterestAmt,0), 0)</f>
        <v>9.4695299821257386</v>
      </c>
      <c r="I256" s="206">
        <f>SUM($H$17:H256)</f>
        <v>240885.00462181613</v>
      </c>
      <c r="J256" s="206">
        <f>IFERROR(IF(LoanIsNotPaid*LoanIsGood,EndingBalance,0), 0)</f>
        <v>-5.634501576423645E-8</v>
      </c>
    </row>
    <row r="257" spans="2:10" ht="15" customHeight="1" x14ac:dyDescent="0.15">
      <c r="B257" s="204"/>
      <c r="C257" s="213"/>
      <c r="D257" s="214"/>
      <c r="E257" s="214"/>
      <c r="F257" s="214"/>
      <c r="G257" s="214"/>
      <c r="H257" s="214"/>
      <c r="I257" s="214"/>
      <c r="J257" s="214"/>
    </row>
  </sheetData>
  <mergeCells count="3">
    <mergeCell ref="B2:J2"/>
    <mergeCell ref="B4:D4"/>
    <mergeCell ref="B10:D10"/>
  </mergeCells>
  <conditionalFormatting sqref="B17:J257">
    <cfRule type="expression" dxfId="3" priority="2">
      <formula>$B17=""</formula>
    </cfRule>
    <cfRule type="expression" dxfId="2" priority="3">
      <formula>NOT(LoanIsNotPaid)</formula>
    </cfRule>
    <cfRule type="expression" dxfId="1" priority="4">
      <formula>IF(ROW(B17)=LastRow,1,0)</formula>
    </cfRule>
  </conditionalFormatting>
  <dataValidations count="19">
    <dataValidation allowBlank="1" showInputMessage="1" showErrorMessage="1" prompt="Title of this worksheet is in this cell" sqref="B2:J2" xr:uid="{00000000-0002-0000-0800-000000000000}">
      <formula1>0</formula1>
      <formula2>0</formula2>
    </dataValidation>
    <dataValidation allowBlank="1" showInputMessage="1" showErrorMessage="1" prompt="Enter loan details to cells D5 to D8._x000a__x000a_The loan summary and payment table will auto update._x000a__x000a_To update the chart, go to Data ribbon -&gt; Refresh All" sqref="A1" xr:uid="{00000000-0002-0000-0800-000001000000}">
      <formula1>0</formula1>
      <formula2>0</formula2>
    </dataValidation>
    <dataValidation allowBlank="1" showInputMessage="1" showErrorMessage="1" prompt="Enter loan details to the cells below" sqref="B4:D4" xr:uid="{00000000-0002-0000-0800-000002000000}">
      <formula1>0</formula1>
      <formula2>0</formula2>
    </dataValidation>
    <dataValidation allowBlank="1" showInputMessage="1" showErrorMessage="1" prompt="Ending Balance is automatically updated in this column under this heading" sqref="J16" xr:uid="{00000000-0002-0000-0800-000003000000}">
      <formula1>0</formula1>
      <formula2>0</formula2>
    </dataValidation>
    <dataValidation allowBlank="1" showInputMessage="1" showErrorMessage="1" prompt="Interest amount is automatically updated in this column under this heading" sqref="H16:I16" xr:uid="{00000000-0002-0000-0800-000004000000}">
      <formula1>0</formula1>
      <formula2>0</formula2>
    </dataValidation>
    <dataValidation allowBlank="1" showInputMessage="1" showErrorMessage="1" prompt="Principal amount is automatically updated in this column under this heading" sqref="F16:G16" xr:uid="{00000000-0002-0000-0800-000005000000}">
      <formula1>0</formula1>
      <formula2>0</formula2>
    </dataValidation>
    <dataValidation allowBlank="1" showInputMessage="1" showErrorMessage="1" prompt="Payment amount is automatically calculated in this column under this heading" sqref="E16" xr:uid="{00000000-0002-0000-0800-000006000000}">
      <formula1>0</formula1>
      <formula2>0</formula2>
    </dataValidation>
    <dataValidation allowBlank="1" showInputMessage="1" showErrorMessage="1" prompt="Beginning Balance is automatically calculated in this column under this heading" sqref="D16" xr:uid="{00000000-0002-0000-0800-000007000000}">
      <formula1>0</formula1>
      <formula2>0</formula2>
    </dataValidation>
    <dataValidation allowBlank="1" showInputMessage="1" showErrorMessage="1" prompt="Payment Date is automatically updated in this column under this heading" sqref="C16" xr:uid="{00000000-0002-0000-0800-000008000000}">
      <formula1>0</formula1>
      <formula2>0</formula2>
    </dataValidation>
    <dataValidation allowBlank="1" showInputMessage="1" showErrorMessage="1" prompt="Payment Number is automatically updated in this column under this heading" sqref="B16" xr:uid="{00000000-0002-0000-0800-000009000000}">
      <formula1>0</formula1>
      <formula2>0</formula2>
    </dataValidation>
    <dataValidation allowBlank="1" showInputMessage="1" showErrorMessage="1" prompt="Number of payments is automatically calculated in this cell" sqref="D12" xr:uid="{00000000-0002-0000-0800-00000A000000}">
      <formula1>0</formula1>
      <formula2>0</formula2>
    </dataValidation>
    <dataValidation allowBlank="1" showInputMessage="1" showErrorMessage="1" prompt="Total interest is automatically calculated in this cell" sqref="D13" xr:uid="{00000000-0002-0000-0800-00000B000000}">
      <formula1>0</formula1>
      <formula2>0</formula2>
    </dataValidation>
    <dataValidation allowBlank="1" showInputMessage="1" showErrorMessage="1" prompt="Total cost of loan is automatically calculated in this cell" sqref="D14" xr:uid="{00000000-0002-0000-0800-00000C000000}">
      <formula1>0</formula1>
      <formula2>0</formula2>
    </dataValidation>
    <dataValidation allowBlank="1" showInputMessage="1" showErrorMessage="1" prompt="Monthly payment is automatically calculated in this cell" sqref="D11" xr:uid="{00000000-0002-0000-0800-00000D000000}">
      <formula1>0</formula1>
      <formula2>0</formula2>
    </dataValidation>
    <dataValidation allowBlank="1" showInputMessage="1" showErrorMessage="1" prompt="Enter start date of loan in this cell" sqref="D8" xr:uid="{00000000-0002-0000-0800-00000E000000}">
      <formula1>0</formula1>
      <formula2>0</formula2>
    </dataValidation>
    <dataValidation allowBlank="1" showInputMessage="1" showErrorMessage="1" prompt="Enter loan period in years in this cell" sqref="D7" xr:uid="{00000000-0002-0000-0800-00000F000000}">
      <formula1>0</formula1>
      <formula2>0</formula2>
    </dataValidation>
    <dataValidation allowBlank="1" showInputMessage="1" showErrorMessage="1" prompt="Enter annual interest rate in this cell" sqref="D6" xr:uid="{00000000-0002-0000-0800-000010000000}">
      <formula1>0</formula1>
      <formula2>0</formula2>
    </dataValidation>
    <dataValidation allowBlank="1" showInputMessage="1" showErrorMessage="1" prompt="Enter loan amount in this cell" sqref="D5" xr:uid="{00000000-0002-0000-0800-000011000000}">
      <formula1>0</formula1>
      <formula2>0</formula2>
    </dataValidation>
    <dataValidation allowBlank="1" showInputMessage="1" showErrorMessage="1" prompt="Loan Summary is automatically updated in cells below" sqref="B10" xr:uid="{00000000-0002-0000-0800-000012000000}">
      <formula1>0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P66"/>
  <sheetViews>
    <sheetView zoomScale="130" zoomScaleNormal="13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baseColWidth="10" defaultColWidth="8.83203125" defaultRowHeight="13" x14ac:dyDescent="0.15"/>
  <cols>
    <col min="1" max="2" width="8" customWidth="1"/>
    <col min="3" max="14" width="13" customWidth="1"/>
    <col min="15" max="15" width="27.5" customWidth="1"/>
    <col min="16" max="16" width="12.33203125" customWidth="1"/>
  </cols>
  <sheetData>
    <row r="1" spans="1:14" ht="25.5" customHeight="1" x14ac:dyDescent="0.15">
      <c r="A1" s="215" t="s">
        <v>349</v>
      </c>
      <c r="B1" s="112">
        <f>Settings!B11</f>
        <v>2.5000000000000001E-2</v>
      </c>
      <c r="E1" s="22" t="s">
        <v>350</v>
      </c>
    </row>
    <row r="2" spans="1:14" ht="25.5" customHeight="1" x14ac:dyDescent="0.15">
      <c r="A2" s="215" t="s">
        <v>351</v>
      </c>
      <c r="B2" s="30">
        <f ca="1">'Balance Sheet'!E68</f>
        <v>1225984.7072249148</v>
      </c>
      <c r="C2" s="30">
        <f ca="1">'Balance Sheet'!F68</f>
        <v>840274.32738686155</v>
      </c>
      <c r="D2" s="108"/>
      <c r="E2" s="108"/>
    </row>
    <row r="3" spans="1:14" ht="38.25" customHeight="1" x14ac:dyDescent="0.15">
      <c r="A3" s="215" t="s">
        <v>352</v>
      </c>
      <c r="B3" s="30">
        <f>Settings!B8</f>
        <v>30000</v>
      </c>
    </row>
    <row r="4" spans="1:14" ht="25.5" customHeight="1" x14ac:dyDescent="0.15">
      <c r="A4" s="215" t="s">
        <v>353</v>
      </c>
      <c r="B4" s="112">
        <f>Settings!B12</f>
        <v>0.03</v>
      </c>
      <c r="D4" s="33" t="s">
        <v>354</v>
      </c>
    </row>
    <row r="5" spans="1:14" ht="25.5" customHeight="1" x14ac:dyDescent="0.15">
      <c r="A5" s="215" t="s">
        <v>355</v>
      </c>
      <c r="B5" s="112">
        <f>Settings!B13</f>
        <v>0.05</v>
      </c>
      <c r="D5" s="34" t="s">
        <v>298</v>
      </c>
      <c r="E5" s="30">
        <f ca="1">Housing!B22</f>
        <v>244570.26412772574</v>
      </c>
    </row>
    <row r="6" spans="1:14" ht="25.5" customHeight="1" x14ac:dyDescent="0.15">
      <c r="A6" s="215" t="s">
        <v>356</v>
      </c>
      <c r="B6" s="112">
        <f>Settings!B14</f>
        <v>0.08</v>
      </c>
      <c r="D6" s="34" t="s">
        <v>294</v>
      </c>
      <c r="E6" s="30">
        <f>Housing!B20</f>
        <v>825000.00000000012</v>
      </c>
    </row>
    <row r="7" spans="1:14" ht="25.5" customHeight="1" x14ac:dyDescent="0.15">
      <c r="A7" s="215" t="s">
        <v>357</v>
      </c>
      <c r="B7" s="112">
        <f>Settings!B15</f>
        <v>0.04</v>
      </c>
      <c r="C7" s="108"/>
      <c r="D7" s="216" t="s">
        <v>358</v>
      </c>
      <c r="E7" s="30">
        <f ca="1">Housing!B21</f>
        <v>580429.73587227438</v>
      </c>
    </row>
    <row r="9" spans="1:14" ht="51" customHeight="1" x14ac:dyDescent="0.15">
      <c r="A9" s="215" t="s">
        <v>359</v>
      </c>
      <c r="B9" s="30">
        <f>Settings!B19</f>
        <v>330000</v>
      </c>
    </row>
    <row r="10" spans="1:14" ht="76.5" customHeight="1" x14ac:dyDescent="0.15">
      <c r="A10" s="215" t="s">
        <v>360</v>
      </c>
      <c r="B10" s="30">
        <f>'Balance Sheet'!B53</f>
        <v>95000</v>
      </c>
    </row>
    <row r="11" spans="1:14" ht="76.5" customHeight="1" x14ac:dyDescent="0.15">
      <c r="A11" s="215" t="s">
        <v>361</v>
      </c>
      <c r="B11" s="30">
        <f>'Balance Sheet'!B54+'Balance Sheet'!B55</f>
        <v>180000</v>
      </c>
    </row>
    <row r="12" spans="1:14" ht="63.75" customHeight="1" x14ac:dyDescent="0.15">
      <c r="A12" s="215" t="s">
        <v>362</v>
      </c>
      <c r="B12" s="30">
        <f>'Balance Sheet'!B27</f>
        <v>120000</v>
      </c>
    </row>
    <row r="13" spans="1:14" ht="12.75" customHeight="1" x14ac:dyDescent="0.15">
      <c r="A13" t="s">
        <v>363</v>
      </c>
      <c r="B13" s="30">
        <f>Insurance!B6</f>
        <v>237422</v>
      </c>
    </row>
    <row r="14" spans="1:14" s="222" customFormat="1" ht="48" customHeight="1" x14ac:dyDescent="0.15">
      <c r="A14" s="217" t="s">
        <v>364</v>
      </c>
      <c r="B14" s="218" t="s">
        <v>326</v>
      </c>
      <c r="C14" s="218" t="s">
        <v>365</v>
      </c>
      <c r="D14" s="218" t="s">
        <v>366</v>
      </c>
      <c r="E14" s="218" t="s">
        <v>367</v>
      </c>
      <c r="F14" s="219" t="s">
        <v>368</v>
      </c>
      <c r="G14" s="219" t="s">
        <v>369</v>
      </c>
      <c r="H14" s="219" t="s">
        <v>370</v>
      </c>
      <c r="I14" s="220" t="s">
        <v>371</v>
      </c>
      <c r="J14" s="220" t="s">
        <v>372</v>
      </c>
      <c r="K14" s="220" t="s">
        <v>373</v>
      </c>
      <c r="L14" s="221" t="s">
        <v>374</v>
      </c>
      <c r="M14" s="221" t="s">
        <v>375</v>
      </c>
      <c r="N14" s="221" t="s">
        <v>376</v>
      </c>
    </row>
    <row r="15" spans="1:14" ht="12.75" customHeight="1" x14ac:dyDescent="0.15">
      <c r="A15" s="223">
        <f>Settings!B5</f>
        <v>42</v>
      </c>
      <c r="B15" s="223">
        <f>Settings!B6</f>
        <v>2026</v>
      </c>
      <c r="C15" s="224">
        <f>Settings!B18</f>
        <v>60000</v>
      </c>
      <c r="D15" s="225">
        <v>1225000</v>
      </c>
      <c r="E15" s="226"/>
      <c r="F15" s="227">
        <f ca="1">$B$2</f>
        <v>1225984.7072249148</v>
      </c>
      <c r="G15" s="227">
        <f ca="1">MAX(0,$B$2-SUM($C$64:$C$66))</f>
        <v>373984.7072249148</v>
      </c>
      <c r="H15" s="224">
        <f t="shared" ref="H15:H58" ca="1" si="0">G15*$B$7</f>
        <v>14959.388288996592</v>
      </c>
      <c r="I15" s="227">
        <f ca="1">$B$2</f>
        <v>1225984.7072249148</v>
      </c>
      <c r="J15" s="227">
        <f ca="1">MAX(0,$B$2-SUM($C$64:$C$66))</f>
        <v>373984.7072249148</v>
      </c>
      <c r="K15" s="224">
        <f t="shared" ref="K15:K58" ca="1" si="1">J15*$B$7</f>
        <v>14959.388288996592</v>
      </c>
      <c r="L15" s="227">
        <f ca="1">$B$2</f>
        <v>1225984.7072249148</v>
      </c>
      <c r="M15" s="227">
        <f ca="1">MAX(0,$B$2-SUM($C$64:$C$66))</f>
        <v>373984.7072249148</v>
      </c>
      <c r="N15" s="224">
        <f t="shared" ref="N15:N58" ca="1" si="2">M15*$B$7</f>
        <v>14959.388288996592</v>
      </c>
    </row>
    <row r="16" spans="1:14" ht="12.75" customHeight="1" x14ac:dyDescent="0.15">
      <c r="A16" s="228">
        <f t="shared" ref="A16:A58" si="3">A15+1</f>
        <v>43</v>
      </c>
      <c r="B16" s="228">
        <f t="shared" ref="B16:B58" si="4">B15+1</f>
        <v>2027</v>
      </c>
      <c r="C16" s="229">
        <f t="shared" ref="C16:C58" si="5">(1+$B$1)*C15</f>
        <v>61499.999999999993</v>
      </c>
      <c r="D16" s="48"/>
      <c r="E16" s="230"/>
      <c r="F16" s="229">
        <f ca="1">(1+$B$4)*F15+IF($A16&lt;=Settings!$B$7,$B$3,-$C16)</f>
        <v>1292764.2484416622</v>
      </c>
      <c r="G16" s="231">
        <f ca="1">(1+$B$4)*G15+IF($A16&lt;=Settings!$B$7,$B$3,-$C16)+SUMIFS($E$64:$E$66,$A$64:$A$66,$A16)</f>
        <v>415204.24844166223</v>
      </c>
      <c r="H16" s="229">
        <f t="shared" ca="1" si="0"/>
        <v>16608.169937666491</v>
      </c>
      <c r="I16" s="229">
        <f ca="1">(1+$B$5)*I15+IF($A16&lt;=Settings!$B$7,$B$3,-$C16)</f>
        <v>1317283.9425861605</v>
      </c>
      <c r="J16" s="231">
        <f ca="1">(1+$B$5)*J15+IF($A16&lt;=Settings!$B$7,$B$3,-$C16)+SUMIFS($E$64:$E$66,$A$64:$A$66,$A16)</f>
        <v>422683.94258616056</v>
      </c>
      <c r="K16" s="229">
        <f t="shared" ca="1" si="1"/>
        <v>16907.357703446422</v>
      </c>
      <c r="L16" s="229">
        <f ca="1">(1+$B$6)*L15+IF($A16&lt;=Settings!$B$7,$B$3,-$C16)</f>
        <v>1354063.4838029081</v>
      </c>
      <c r="M16" s="231">
        <f ca="1">(1+$B$6)*M15+IF($A16&lt;=Settings!$B$7,$B$3,-$C16)+SUMIFS($E$64:$E$66,$A$64:$A$66,$A16)</f>
        <v>433903.48380290804</v>
      </c>
      <c r="N16" s="229">
        <f t="shared" ca="1" si="2"/>
        <v>17356.139352116323</v>
      </c>
    </row>
    <row r="17" spans="1:16" ht="12.75" customHeight="1" x14ac:dyDescent="0.15">
      <c r="A17" s="232">
        <f t="shared" si="3"/>
        <v>44</v>
      </c>
      <c r="B17" s="232">
        <f t="shared" si="4"/>
        <v>2028</v>
      </c>
      <c r="C17" s="224">
        <f t="shared" si="5"/>
        <v>63037.499999999985</v>
      </c>
      <c r="D17" s="230"/>
      <c r="E17" s="233"/>
      <c r="F17" s="224">
        <f ca="1">(1+$B$4)*F16+IF($A17&lt;=Settings!$B$7,$B$3,-$C17)</f>
        <v>1361547.1758949121</v>
      </c>
      <c r="G17" s="227">
        <f ca="1">(1+$B$4)*G16+IF($A17&lt;=Settings!$B$7,$B$3,-$C17)+SUMIFS($E$64:$E$66,$A$64:$A$66,$A17)</f>
        <v>457660.37589491211</v>
      </c>
      <c r="H17" s="224">
        <f t="shared" ca="1" si="0"/>
        <v>18306.415035796486</v>
      </c>
      <c r="I17" s="224">
        <f ca="1">(1+$B$5)*I16+IF($A17&lt;=Settings!$B$7,$B$3,-$C17)</f>
        <v>1413148.1397154685</v>
      </c>
      <c r="J17" s="227">
        <f ca="1">(1+$B$5)*J16+IF($A17&lt;=Settings!$B$7,$B$3,-$C17)+SUMIFS($E$64:$E$66,$A$64:$A$66,$A17)</f>
        <v>473818.13971546863</v>
      </c>
      <c r="K17" s="224">
        <f t="shared" ca="1" si="1"/>
        <v>18952.725588618745</v>
      </c>
      <c r="L17" s="224">
        <f ca="1">(1+$B$6)*L16+IF($A17&lt;=Settings!$B$7,$B$3,-$C17)</f>
        <v>1492388.5625071409</v>
      </c>
      <c r="M17" s="227">
        <f ca="1">(1+$B$6)*M16+IF($A17&lt;=Settings!$B$7,$B$3,-$C17)+SUMIFS($E$64:$E$66,$A$64:$A$66,$A17)</f>
        <v>498615.76250714069</v>
      </c>
      <c r="N17" s="224">
        <f t="shared" ca="1" si="2"/>
        <v>19944.630500285628</v>
      </c>
    </row>
    <row r="18" spans="1:16" ht="12.75" customHeight="1" x14ac:dyDescent="0.15">
      <c r="A18" s="228">
        <f t="shared" si="3"/>
        <v>45</v>
      </c>
      <c r="B18" s="228">
        <f t="shared" si="4"/>
        <v>2029</v>
      </c>
      <c r="C18" s="229">
        <f t="shared" si="5"/>
        <v>64613.437499999978</v>
      </c>
      <c r="D18" s="233"/>
      <c r="E18" s="233"/>
      <c r="F18" s="229">
        <f ca="1">(1+$B$4)*F17+IF($A18&lt;=Settings!$B$7,$B$3,-$C18)</f>
        <v>1432393.5911717594</v>
      </c>
      <c r="G18" s="231">
        <f ca="1">(1+$B$4)*G17+IF($A18&lt;=Settings!$B$7,$B$3,-$C18)+SUMIFS($E$64:$E$66,$A$64:$A$66,$A18)</f>
        <v>501390.18717175949</v>
      </c>
      <c r="H18" s="229">
        <f t="shared" ca="1" si="0"/>
        <v>20055.60748687038</v>
      </c>
      <c r="I18" s="229">
        <f ca="1">(1+$B$5)*I17+IF($A18&lt;=Settings!$B$7,$B$3,-$C18)</f>
        <v>1513805.546701242</v>
      </c>
      <c r="J18" s="231">
        <f ca="1">(1+$B$5)*J17+IF($A18&lt;=Settings!$B$7,$B$3,-$C18)+SUMIFS($E$64:$E$66,$A$64:$A$66,$A18)</f>
        <v>527509.0467012421</v>
      </c>
      <c r="K18" s="229">
        <f t="shared" ca="1" si="1"/>
        <v>21100.361868049684</v>
      </c>
      <c r="L18" s="229">
        <f ca="1">(1+$B$6)*L17+IF($A18&lt;=Settings!$B$7,$B$3,-$C18)</f>
        <v>1641779.6475077122</v>
      </c>
      <c r="M18" s="231">
        <f ca="1">(1+$B$6)*M17+IF($A18&lt;=Settings!$B$7,$B$3,-$C18)+SUMIFS($E$64:$E$66,$A$64:$A$66,$A18)</f>
        <v>568505.02350771194</v>
      </c>
      <c r="N18" s="229">
        <f t="shared" ca="1" si="2"/>
        <v>22740.200940308478</v>
      </c>
      <c r="P18" s="108"/>
    </row>
    <row r="19" spans="1:16" ht="12.75" customHeight="1" x14ac:dyDescent="0.15">
      <c r="A19" s="232">
        <f t="shared" si="3"/>
        <v>46</v>
      </c>
      <c r="B19" s="232">
        <f t="shared" si="4"/>
        <v>2030</v>
      </c>
      <c r="C19" s="224">
        <f t="shared" si="5"/>
        <v>66228.773437499971</v>
      </c>
      <c r="D19" s="233"/>
      <c r="E19" s="233"/>
      <c r="F19" s="224">
        <f ca="1">(1+$B$4)*F18+IF($A19&lt;=Settings!$B$7,$B$3,-$C19)</f>
        <v>1505365.3989069122</v>
      </c>
      <c r="G19" s="227">
        <f ca="1">(1+$B$4)*G18+IF($A19&lt;=Settings!$B$7,$B$3,-$C19)+SUMIFS($E$64:$E$66,$A$64:$A$66,$A19)</f>
        <v>546431.89278691227</v>
      </c>
      <c r="H19" s="224">
        <f t="shared" ca="1" si="0"/>
        <v>21857.27571147649</v>
      </c>
      <c r="I19" s="224">
        <f ca="1">(1+$B$5)*I18+IF($A19&lt;=Settings!$B$7,$B$3,-$C19)</f>
        <v>1619495.8240363041</v>
      </c>
      <c r="J19" s="227">
        <f ca="1">(1+$B$5)*J18+IF($A19&lt;=Settings!$B$7,$B$3,-$C19)+SUMIFS($E$64:$E$66,$A$64:$A$66,$A19)</f>
        <v>583884.49903630419</v>
      </c>
      <c r="K19" s="224">
        <f t="shared" ca="1" si="1"/>
        <v>23355.379961452167</v>
      </c>
      <c r="L19" s="224">
        <f ca="1">(1+$B$6)*L18+IF($A19&lt;=Settings!$B$7,$B$3,-$C19)</f>
        <v>1803122.0193083293</v>
      </c>
      <c r="M19" s="227">
        <f ca="1">(1+$B$6)*M18+IF($A19&lt;=Settings!$B$7,$B$3,-$C19)+SUMIFS($E$64:$E$66,$A$64:$A$66,$A19)</f>
        <v>643985.42538832896</v>
      </c>
      <c r="N19" s="224">
        <f t="shared" ca="1" si="2"/>
        <v>25759.417015533159</v>
      </c>
      <c r="P19" s="108"/>
    </row>
    <row r="20" spans="1:16" ht="12.75" customHeight="1" x14ac:dyDescent="0.15">
      <c r="A20" s="232">
        <f t="shared" si="3"/>
        <v>47</v>
      </c>
      <c r="B20" s="232">
        <f t="shared" si="4"/>
        <v>2031</v>
      </c>
      <c r="C20" s="224">
        <f t="shared" si="5"/>
        <v>67884.492773437465</v>
      </c>
      <c r="D20" s="233"/>
      <c r="E20" s="233"/>
      <c r="F20" s="224">
        <f ca="1">(1+$B$4)*F19+IF($A20&lt;=Settings!$B$7,$B$3,-$C20)</f>
        <v>1580526.3608741197</v>
      </c>
      <c r="G20" s="227">
        <f ca="1">(1+$B$4)*G19+IF($A20&lt;=Settings!$B$7,$B$3,-$C20)+SUMIFS($E$64:$E$66,$A$64:$A$66,$A20)</f>
        <v>592824.84957051964</v>
      </c>
      <c r="H20" s="224">
        <f t="shared" ca="1" si="0"/>
        <v>23712.993982820786</v>
      </c>
      <c r="I20" s="224">
        <f ca="1">(1+$B$5)*I19+IF($A20&lt;=Settings!$B$7,$B$3,-$C20)</f>
        <v>1730470.6152381194</v>
      </c>
      <c r="J20" s="227">
        <f ca="1">(1+$B$5)*J19+IF($A20&lt;=Settings!$B$7,$B$3,-$C20)+SUMIFS($E$64:$E$66,$A$64:$A$66,$A20)</f>
        <v>643078.7239881194</v>
      </c>
      <c r="K20" s="224">
        <f t="shared" ca="1" si="1"/>
        <v>25723.148959524777</v>
      </c>
      <c r="L20" s="224">
        <f ca="1">(1+$B$6)*L19+IF($A20&lt;=Settings!$B$7,$B$3,-$C20)</f>
        <v>1977371.7808529958</v>
      </c>
      <c r="M20" s="227">
        <f ca="1">(1+$B$6)*M19+IF($A20&lt;=Settings!$B$7,$B$3,-$C20)+SUMIFS($E$64:$E$66,$A$64:$A$66,$A20)</f>
        <v>725504.25941939536</v>
      </c>
      <c r="N20" s="224">
        <f t="shared" ca="1" si="2"/>
        <v>29020.170376775815</v>
      </c>
      <c r="P20" s="108"/>
    </row>
    <row r="21" spans="1:16" ht="12.75" customHeight="1" x14ac:dyDescent="0.15">
      <c r="A21" s="232">
        <f t="shared" si="3"/>
        <v>48</v>
      </c>
      <c r="B21" s="232">
        <f t="shared" si="4"/>
        <v>2032</v>
      </c>
      <c r="C21" s="224">
        <f t="shared" si="5"/>
        <v>69581.605092773389</v>
      </c>
      <c r="D21" s="233"/>
      <c r="E21" s="233"/>
      <c r="F21" s="224">
        <f ca="1">(1+$B$4)*F20+IF($A21&lt;=Settings!$B$7,$B$3,-$C21)</f>
        <v>1657942.1517003432</v>
      </c>
      <c r="G21" s="227">
        <f ca="1">(1+$B$4)*G20+IF($A21&lt;=Settings!$B$7,$B$3,-$C21)+SUMIFS($E$64:$E$66,$A$64:$A$66,$A21)</f>
        <v>640609.59505763522</v>
      </c>
      <c r="H21" s="224">
        <f t="shared" ca="1" si="0"/>
        <v>25624.383802305409</v>
      </c>
      <c r="I21" s="224">
        <f ca="1">(1+$B$5)*I20+IF($A21&lt;=Settings!$B$7,$B$3,-$C21)</f>
        <v>1846994.1460000253</v>
      </c>
      <c r="J21" s="227">
        <f ca="1">(1+$B$5)*J20+IF($A21&lt;=Settings!$B$7,$B$3,-$C21)+SUMIFS($E$64:$E$66,$A$64:$A$66,$A21)</f>
        <v>705232.66018752544</v>
      </c>
      <c r="K21" s="224">
        <f t="shared" ca="1" si="1"/>
        <v>28209.306407501019</v>
      </c>
      <c r="L21" s="224">
        <f ca="1">(1+$B$6)*L20+IF($A21&lt;=Settings!$B$7,$B$3,-$C21)</f>
        <v>2165561.5233212356</v>
      </c>
      <c r="M21" s="227">
        <f ca="1">(1+$B$6)*M20+IF($A21&lt;=Settings!$B$7,$B$3,-$C21)+SUMIFS($E$64:$E$66,$A$64:$A$66,$A21)</f>
        <v>813544.60017294704</v>
      </c>
      <c r="N21" s="224">
        <f t="shared" ca="1" si="2"/>
        <v>32541.784006917882</v>
      </c>
      <c r="P21" s="108"/>
    </row>
    <row r="22" spans="1:16" ht="12.75" customHeight="1" x14ac:dyDescent="0.15">
      <c r="A22" s="232">
        <f t="shared" si="3"/>
        <v>49</v>
      </c>
      <c r="B22" s="232">
        <f t="shared" si="4"/>
        <v>2033</v>
      </c>
      <c r="C22" s="224">
        <f t="shared" si="5"/>
        <v>71321.145220092716</v>
      </c>
      <c r="D22" s="233"/>
      <c r="E22" s="233"/>
      <c r="F22" s="224">
        <f ca="1">(1+$B$4)*F21+IF($A22&lt;=Settings!$B$7,$B$3,-$C22)</f>
        <v>1737680.4162513537</v>
      </c>
      <c r="G22" s="227">
        <f ca="1">(1+$B$4)*G21+IF($A22&lt;=Settings!$B$7,$B$3,-$C22)+SUMIFS($E$64:$E$66,$A$64:$A$66,$A22)</f>
        <v>689827.8829093643</v>
      </c>
      <c r="H22" s="224">
        <f t="shared" ca="1" si="0"/>
        <v>27593.115316374573</v>
      </c>
      <c r="I22" s="224">
        <f ca="1">(1+$B$5)*I21+IF($A22&lt;=Settings!$B$7,$B$3,-$C22)</f>
        <v>1969343.8533000266</v>
      </c>
      <c r="J22" s="227">
        <f ca="1">(1+$B$5)*J21+IF($A22&lt;=Settings!$B$7,$B$3,-$C22)+SUMIFS($E$64:$E$66,$A$64:$A$66,$A22)</f>
        <v>770494.2931969018</v>
      </c>
      <c r="K22" s="224">
        <f t="shared" ca="1" si="1"/>
        <v>30819.771727876072</v>
      </c>
      <c r="L22" s="224">
        <f ca="1">(1+$B$6)*L21+IF($A22&lt;=Settings!$B$7,$B$3,-$C22)</f>
        <v>2368806.4451869344</v>
      </c>
      <c r="M22" s="227">
        <f ca="1">(1+$B$6)*M21+IF($A22&lt;=Settings!$B$7,$B$3,-$C22)+SUMIFS($E$64:$E$66,$A$64:$A$66,$A22)</f>
        <v>908628.16818678286</v>
      </c>
      <c r="N22" s="224">
        <f t="shared" ca="1" si="2"/>
        <v>36345.126727471317</v>
      </c>
      <c r="P22" s="108"/>
    </row>
    <row r="23" spans="1:16" ht="12.75" customHeight="1" x14ac:dyDescent="0.15">
      <c r="A23" s="228">
        <f t="shared" si="3"/>
        <v>50</v>
      </c>
      <c r="B23" s="228">
        <f t="shared" si="4"/>
        <v>2034</v>
      </c>
      <c r="C23" s="229">
        <f t="shared" si="5"/>
        <v>73104.173850595034</v>
      </c>
      <c r="D23" s="233"/>
      <c r="E23" s="233"/>
      <c r="F23" s="229">
        <f ca="1">(1+$B$4)*F22+IF($A23&lt;=Settings!$B$7,$B$3,-$C23)</f>
        <v>1819810.8287388943</v>
      </c>
      <c r="G23" s="231">
        <f ca="1">(1+$B$4)*G22+IF($A23&lt;=Settings!$B$7,$B$3,-$C23)+SUMIFS($E$64:$E$66,$A$64:$A$66,$A23)</f>
        <v>740522.7193966452</v>
      </c>
      <c r="H23" s="229">
        <f t="shared" ca="1" si="0"/>
        <v>29620.90877586581</v>
      </c>
      <c r="I23" s="229">
        <f ca="1">(1+$B$5)*I22+IF($A23&lt;=Settings!$B$7,$B$3,-$C23)</f>
        <v>2097811.045965028</v>
      </c>
      <c r="J23" s="231">
        <f ca="1">(1+$B$5)*J22+IF($A23&lt;=Settings!$B$7,$B$3,-$C23)+SUMIFS($E$64:$E$66,$A$64:$A$66,$A23)</f>
        <v>839019.0078567469</v>
      </c>
      <c r="K23" s="229">
        <f t="shared" ca="1" si="1"/>
        <v>33560.760314269879</v>
      </c>
      <c r="L23" s="229">
        <f ca="1">(1+$B$6)*L22+IF($A23&lt;=Settings!$B$7,$B$3,-$C23)</f>
        <v>2588310.9608018892</v>
      </c>
      <c r="M23" s="231">
        <f ca="1">(1+$B$6)*M22+IF($A23&lt;=Settings!$B$7,$B$3,-$C23)+SUMIFS($E$64:$E$66,$A$64:$A$66,$A23)</f>
        <v>1011318.4216417256</v>
      </c>
      <c r="N23" s="229">
        <f t="shared" ca="1" si="2"/>
        <v>40452.736865669023</v>
      </c>
      <c r="P23" s="108"/>
    </row>
    <row r="24" spans="1:16" ht="12.75" customHeight="1" x14ac:dyDescent="0.15">
      <c r="A24" s="232">
        <f t="shared" si="3"/>
        <v>51</v>
      </c>
      <c r="B24" s="232">
        <f t="shared" si="4"/>
        <v>2035</v>
      </c>
      <c r="C24" s="224">
        <f t="shared" si="5"/>
        <v>74931.778196859901</v>
      </c>
      <c r="D24" s="233"/>
      <c r="E24" s="233"/>
      <c r="F24" s="224">
        <f ca="1">(1+$B$4)*F23+IF($A24&lt;=Settings!$B$7,$B$3,-$C24)</f>
        <v>1904405.1536010611</v>
      </c>
      <c r="G24" s="227">
        <f ca="1">(1+$B$4)*G23+IF($A24&lt;=Settings!$B$7,$B$3,-$C24)+SUMIFS($E$64:$E$66,$A$64:$A$66,$A24)</f>
        <v>792738.40097854461</v>
      </c>
      <c r="H24" s="224">
        <f t="shared" ca="1" si="0"/>
        <v>31709.536039141785</v>
      </c>
      <c r="I24" s="224">
        <f ca="1">(1+$B$5)*I23+IF($A24&lt;=Settings!$B$7,$B$3,-$C24)</f>
        <v>2232701.5982632795</v>
      </c>
      <c r="J24" s="227">
        <f ca="1">(1+$B$5)*J23+IF($A24&lt;=Settings!$B$7,$B$3,-$C24)+SUMIFS($E$64:$E$66,$A$64:$A$66,$A24)</f>
        <v>910969.95824958431</v>
      </c>
      <c r="K24" s="224">
        <f t="shared" ca="1" si="1"/>
        <v>36438.798329983372</v>
      </c>
      <c r="L24" s="224">
        <f ca="1">(1+$B$6)*L23+IF($A24&lt;=Settings!$B$7,$B$3,-$C24)</f>
        <v>2825375.8376660403</v>
      </c>
      <c r="M24" s="227">
        <f ca="1">(1+$B$6)*M23+IF($A24&lt;=Settings!$B$7,$B$3,-$C24)+SUMIFS($E$64:$E$66,$A$64:$A$66,$A24)</f>
        <v>1122223.8953730636</v>
      </c>
      <c r="N24" s="224">
        <f t="shared" ca="1" si="2"/>
        <v>44888.955814922549</v>
      </c>
    </row>
    <row r="25" spans="1:16" ht="12.75" customHeight="1" x14ac:dyDescent="0.15">
      <c r="A25" s="232">
        <f t="shared" si="3"/>
        <v>52</v>
      </c>
      <c r="B25" s="232">
        <f t="shared" si="4"/>
        <v>2036</v>
      </c>
      <c r="C25" s="224">
        <f t="shared" si="5"/>
        <v>76805.072651781389</v>
      </c>
      <c r="D25" s="233"/>
      <c r="E25" s="233"/>
      <c r="F25" s="224">
        <f ca="1">(1+$B$4)*F24+IF($A25&lt;=Settings!$B$7,$B$3,-$C25)</f>
        <v>1991537.3082090931</v>
      </c>
      <c r="G25" s="227">
        <f ca="1">(1+$B$4)*G24+IF($A25&lt;=Settings!$B$7,$B$3,-$C25)+SUMIFS($E$64:$E$66,$A$64:$A$66,$A25)</f>
        <v>846520.55300790095</v>
      </c>
      <c r="H25" s="224">
        <f t="shared" ca="1" si="0"/>
        <v>33860.822120316036</v>
      </c>
      <c r="I25" s="224">
        <f ca="1">(1+$B$5)*I24+IF($A25&lt;=Settings!$B$7,$B$3,-$C25)</f>
        <v>2374336.6781764436</v>
      </c>
      <c r="J25" s="227">
        <f ca="1">(1+$B$5)*J24+IF($A25&lt;=Settings!$B$7,$B$3,-$C25)+SUMIFS($E$64:$E$66,$A$64:$A$66,$A25)</f>
        <v>986518.45616206352</v>
      </c>
      <c r="K25" s="224">
        <f t="shared" ca="1" si="1"/>
        <v>39460.738246482542</v>
      </c>
      <c r="L25" s="224">
        <f ca="1">(1+$B$6)*L24+IF($A25&lt;=Settings!$B$7,$B$3,-$C25)</f>
        <v>3081405.9046793235</v>
      </c>
      <c r="M25" s="227">
        <f ca="1">(1+$B$6)*M24+IF($A25&lt;=Settings!$B$7,$B$3,-$C25)+SUMIFS($E$64:$E$66,$A$64:$A$66,$A25)</f>
        <v>1242001.8070029088</v>
      </c>
      <c r="N25" s="224">
        <f t="shared" ca="1" si="2"/>
        <v>49680.07228011635</v>
      </c>
    </row>
    <row r="26" spans="1:16" ht="12.75" customHeight="1" x14ac:dyDescent="0.15">
      <c r="A26" s="232">
        <f t="shared" si="3"/>
        <v>53</v>
      </c>
      <c r="B26" s="232">
        <f t="shared" si="4"/>
        <v>2037</v>
      </c>
      <c r="C26" s="224">
        <f t="shared" si="5"/>
        <v>78725.199468075924</v>
      </c>
      <c r="D26" s="233"/>
      <c r="E26" s="233"/>
      <c r="F26" s="224">
        <f ca="1">(1+$B$4)*F25+IF($A26&lt;=Settings!$B$7,$B$3,-$C26)</f>
        <v>2081283.4274553659</v>
      </c>
      <c r="G26" s="227">
        <f ca="1">(1+$B$4)*G25+IF($A26&lt;=Settings!$B$7,$B$3,-$C26)+SUMIFS($E$64:$E$66,$A$64:$A$66,$A26)</f>
        <v>901916.16959813796</v>
      </c>
      <c r="H26" s="224">
        <f t="shared" ca="1" si="0"/>
        <v>36076.64678392552</v>
      </c>
      <c r="I26" s="224">
        <f ca="1">(1+$B$5)*I25+IF($A26&lt;=Settings!$B$7,$B$3,-$C26)</f>
        <v>2523053.5120852659</v>
      </c>
      <c r="J26" s="227">
        <f ca="1">(1+$B$5)*J25+IF($A26&lt;=Settings!$B$7,$B$3,-$C26)+SUMIFS($E$64:$E$66,$A$64:$A$66,$A26)</f>
        <v>1065844.3789701667</v>
      </c>
      <c r="K26" s="224">
        <f t="shared" ca="1" si="1"/>
        <v>42633.775158806668</v>
      </c>
      <c r="L26" s="224">
        <f ca="1">(1+$B$6)*L25+IF($A26&lt;=Settings!$B$7,$B$3,-$C26)</f>
        <v>3357918.3770536697</v>
      </c>
      <c r="M26" s="227">
        <f ca="1">(1+$B$6)*M25+IF($A26&lt;=Settings!$B$7,$B$3,-$C26)+SUMIFS($E$64:$E$66,$A$64:$A$66,$A26)</f>
        <v>1371361.9515631415</v>
      </c>
      <c r="N26" s="224">
        <f t="shared" ca="1" si="2"/>
        <v>54854.478062525661</v>
      </c>
    </row>
    <row r="27" spans="1:16" ht="12.75" customHeight="1" x14ac:dyDescent="0.15">
      <c r="A27" s="232">
        <f t="shared" si="3"/>
        <v>54</v>
      </c>
      <c r="B27" s="232">
        <f t="shared" si="4"/>
        <v>2038</v>
      </c>
      <c r="C27" s="224">
        <f t="shared" si="5"/>
        <v>80693.329454777821</v>
      </c>
      <c r="D27" s="233"/>
      <c r="E27" s="233"/>
      <c r="F27" s="224">
        <f ca="1">(1+$B$4)*F26+IF($A27&lt;=Settings!$B$7,$B$3,-$C27)</f>
        <v>2173721.9302790267</v>
      </c>
      <c r="G27" s="227">
        <f ca="1">(1+$B$4)*G26+IF($A27&lt;=Settings!$B$7,$B$3,-$C27)+SUMIFS($E$64:$E$66,$A$64:$A$66,$A27)</f>
        <v>958973.65468608215</v>
      </c>
      <c r="H27" s="224">
        <f t="shared" ca="1" si="0"/>
        <v>38358.946187443289</v>
      </c>
      <c r="I27" s="224">
        <f ca="1">(1+$B$5)*I26+IF($A27&lt;=Settings!$B$7,$B$3,-$C27)</f>
        <v>2679206.1876895293</v>
      </c>
      <c r="J27" s="227">
        <f ca="1">(1+$B$5)*J26+IF($A27&lt;=Settings!$B$7,$B$3,-$C27)+SUMIFS($E$64:$E$66,$A$64:$A$66,$A27)</f>
        <v>1149136.597918675</v>
      </c>
      <c r="K27" s="224">
        <f t="shared" ca="1" si="1"/>
        <v>45965.463916747001</v>
      </c>
      <c r="L27" s="224">
        <f ca="1">(1+$B$6)*L26+IF($A27&lt;=Settings!$B$7,$B$3,-$C27)</f>
        <v>3656551.8472179635</v>
      </c>
      <c r="M27" s="227">
        <f ca="1">(1+$B$6)*M26+IF($A27&lt;=Settings!$B$7,$B$3,-$C27)+SUMIFS($E$64:$E$66,$A$64:$A$66,$A27)</f>
        <v>1511070.907688193</v>
      </c>
      <c r="N27" s="224">
        <f t="shared" ca="1" si="2"/>
        <v>60442.836307527723</v>
      </c>
    </row>
    <row r="28" spans="1:16" s="237" customFormat="1" ht="12.75" customHeight="1" x14ac:dyDescent="0.15">
      <c r="A28" s="234">
        <f t="shared" si="3"/>
        <v>55</v>
      </c>
      <c r="B28" s="234">
        <f t="shared" si="4"/>
        <v>2039</v>
      </c>
      <c r="C28" s="235">
        <f t="shared" si="5"/>
        <v>82710.662691147256</v>
      </c>
      <c r="D28" s="235"/>
      <c r="E28" s="235"/>
      <c r="F28" s="235">
        <f ca="1">(1+$B$4)*F27+IF($A28&lt;=Settings!$B$7,$B$3,-$C28)</f>
        <v>2268933.5881873975</v>
      </c>
      <c r="G28" s="236">
        <f ca="1">(1+$B$4)*G27+IF($A28&lt;=Settings!$B$7,$B$3,-$C28)+SUMIFS($E$64:$E$66,$A$64:$A$66,$A28)</f>
        <v>1638072.8345102693</v>
      </c>
      <c r="H28" s="235">
        <f t="shared" ca="1" si="0"/>
        <v>65522.913380410777</v>
      </c>
      <c r="I28" s="235">
        <f ca="1">(1+$B$5)*I27+IF($A28&lt;=Settings!$B$7,$B$3,-$C28)</f>
        <v>2843166.4970740057</v>
      </c>
      <c r="J28" s="236">
        <f ca="1">(1+$B$5)*J27+IF($A28&lt;=Settings!$B$7,$B$3,-$C28)+SUMIFS($E$64:$E$66,$A$64:$A$66,$A28)</f>
        <v>1856923.3979982138</v>
      </c>
      <c r="K28" s="235">
        <f t="shared" ca="1" si="1"/>
        <v>74276.935919928554</v>
      </c>
      <c r="L28" s="235">
        <f ca="1">(1+$B$6)*L27+IF($A28&lt;=Settings!$B$7,$B$3,-$C28)</f>
        <v>3979075.9949954008</v>
      </c>
      <c r="M28" s="236">
        <f ca="1">(1+$B$6)*M27+IF($A28&lt;=Settings!$B$7,$B$3,-$C28)+SUMIFS($E$64:$E$66,$A$64:$A$66,$A28)</f>
        <v>2282286.5504868533</v>
      </c>
      <c r="N28" s="235">
        <f t="shared" ca="1" si="2"/>
        <v>91291.462019474129</v>
      </c>
    </row>
    <row r="29" spans="1:16" ht="12.75" customHeight="1" x14ac:dyDescent="0.15">
      <c r="A29" s="232">
        <f t="shared" si="3"/>
        <v>56</v>
      </c>
      <c r="B29" s="232">
        <f t="shared" si="4"/>
        <v>2040</v>
      </c>
      <c r="C29" s="224">
        <f t="shared" si="5"/>
        <v>84778.429258425924</v>
      </c>
      <c r="D29" s="233"/>
      <c r="E29" s="233"/>
      <c r="F29" s="224">
        <f ca="1">(1+$B$4)*F28+IF($A29&lt;=Settings!$B$7,$B$3,-$C29)</f>
        <v>2367001.5958330194</v>
      </c>
      <c r="G29" s="227">
        <f ca="1">(1+$B$4)*G28+IF($A29&lt;=Settings!$B$7,$B$3,-$C29)+SUMIFS($E$64:$E$66,$A$64:$A$66,$A29)</f>
        <v>1717215.0195455775</v>
      </c>
      <c r="H29" s="224">
        <f t="shared" ca="1" si="0"/>
        <v>68688.600781823101</v>
      </c>
      <c r="I29" s="224">
        <f ca="1">(1+$B$5)*I28+IF($A29&lt;=Settings!$B$7,$B$3,-$C29)</f>
        <v>3015324.8219277062</v>
      </c>
      <c r="J29" s="227">
        <f ca="1">(1+$B$5)*J28+IF($A29&lt;=Settings!$B$7,$B$3,-$C29)+SUMIFS($E$64:$E$66,$A$64:$A$66,$A29)</f>
        <v>1979769.5678981245</v>
      </c>
      <c r="K29" s="224">
        <f t="shared" ca="1" si="1"/>
        <v>79190.782715924986</v>
      </c>
      <c r="L29" s="224">
        <f ca="1">(1+$B$6)*L28+IF($A29&lt;=Settings!$B$7,$B$3,-$C29)</f>
        <v>4327402.0745950332</v>
      </c>
      <c r="M29" s="227">
        <f ca="1">(1+$B$6)*M28+IF($A29&lt;=Settings!$B$7,$B$3,-$C29)+SUMIFS($E$64:$E$66,$A$64:$A$66,$A29)</f>
        <v>2494869.4745258018</v>
      </c>
      <c r="N29" s="224">
        <f t="shared" ca="1" si="2"/>
        <v>99794.778981032083</v>
      </c>
    </row>
    <row r="30" spans="1:16" ht="12.75" customHeight="1" x14ac:dyDescent="0.15">
      <c r="A30" s="232">
        <f t="shared" si="3"/>
        <v>57</v>
      </c>
      <c r="B30" s="232">
        <f t="shared" si="4"/>
        <v>2041</v>
      </c>
      <c r="C30" s="224">
        <f t="shared" si="5"/>
        <v>86897.889989886564</v>
      </c>
      <c r="D30" s="233"/>
      <c r="E30" s="233"/>
      <c r="F30" s="224">
        <f ca="1">(1+$B$4)*F29+IF($A30&lt;=Settings!$B$7,$B$3,-$C30)</f>
        <v>2468011.6437080102</v>
      </c>
      <c r="G30" s="227">
        <f ca="1">(1+$B$4)*G29+IF($A30&lt;=Settings!$B$7,$B$3,-$C30)+SUMIFS($E$64:$E$66,$A$64:$A$66,$A30)</f>
        <v>1798731.4701319449</v>
      </c>
      <c r="H30" s="224">
        <f t="shared" ca="1" si="0"/>
        <v>71949.258805277801</v>
      </c>
      <c r="I30" s="224">
        <f ca="1">(1+$B$5)*I29+IF($A30&lt;=Settings!$B$7,$B$3,-$C30)</f>
        <v>3196091.0630240915</v>
      </c>
      <c r="J30" s="227">
        <f ca="1">(1+$B$5)*J29+IF($A30&lt;=Settings!$B$7,$B$3,-$C30)+SUMIFS($E$64:$E$66,$A$64:$A$66,$A30)</f>
        <v>2108758.0462930305</v>
      </c>
      <c r="K30" s="224">
        <f t="shared" ca="1" si="1"/>
        <v>84350.321851721223</v>
      </c>
      <c r="L30" s="224">
        <f ca="1">(1+$B$6)*L29+IF($A30&lt;=Settings!$B$7,$B$3,-$C30)</f>
        <v>4703594.2405626364</v>
      </c>
      <c r="M30" s="227">
        <f ca="1">(1+$B$6)*M29+IF($A30&lt;=Settings!$B$7,$B$3,-$C30)+SUMIFS($E$64:$E$66,$A$64:$A$66,$A30)</f>
        <v>2724459.032487866</v>
      </c>
      <c r="N30" s="224">
        <f t="shared" ca="1" si="2"/>
        <v>108978.36129951464</v>
      </c>
    </row>
    <row r="31" spans="1:16" ht="12.75" customHeight="1" x14ac:dyDescent="0.15">
      <c r="A31" s="232">
        <f t="shared" si="3"/>
        <v>58</v>
      </c>
      <c r="B31" s="232">
        <f t="shared" si="4"/>
        <v>2042</v>
      </c>
      <c r="C31" s="224">
        <f t="shared" si="5"/>
        <v>89070.337239633722</v>
      </c>
      <c r="D31" s="233"/>
      <c r="E31" s="233"/>
      <c r="F31" s="224">
        <f ca="1">(1+$B$4)*F30+IF($A31&lt;=Settings!$B$7,$B$3,-$C31)</f>
        <v>2572051.9930192507</v>
      </c>
      <c r="G31" s="227">
        <f ca="1">(1+$B$4)*G30+IF($A31&lt;=Settings!$B$7,$B$3,-$C31)+SUMIFS($E$64:$E$66,$A$64:$A$66,$A31)</f>
        <v>1882693.4142359032</v>
      </c>
      <c r="H31" s="224">
        <f t="shared" ca="1" si="0"/>
        <v>75307.736569436136</v>
      </c>
      <c r="I31" s="224">
        <f ca="1">(1+$B$5)*I30+IF($A31&lt;=Settings!$B$7,$B$3,-$C31)</f>
        <v>3385895.6161752963</v>
      </c>
      <c r="J31" s="227">
        <f ca="1">(1+$B$5)*J30+IF($A31&lt;=Settings!$B$7,$B$3,-$C31)+SUMIFS($E$64:$E$66,$A$64:$A$66,$A31)</f>
        <v>2244195.9486076823</v>
      </c>
      <c r="K31" s="224">
        <f t="shared" ca="1" si="1"/>
        <v>89767.837944307292</v>
      </c>
      <c r="L31" s="224">
        <f ca="1">(1+$B$6)*L30+IF($A31&lt;=Settings!$B$7,$B$3,-$C31)</f>
        <v>5109881.7798076477</v>
      </c>
      <c r="M31" s="227">
        <f ca="1">(1+$B$6)*M30+IF($A31&lt;=Settings!$B$7,$B$3,-$C31)+SUMIFS($E$64:$E$66,$A$64:$A$66,$A31)</f>
        <v>2972415.7550868955</v>
      </c>
      <c r="N31" s="224">
        <f t="shared" ca="1" si="2"/>
        <v>118896.63020347583</v>
      </c>
    </row>
    <row r="32" spans="1:16" ht="12.75" customHeight="1" x14ac:dyDescent="0.15">
      <c r="A32" s="232">
        <f t="shared" si="3"/>
        <v>59</v>
      </c>
      <c r="B32" s="232">
        <f t="shared" si="4"/>
        <v>2043</v>
      </c>
      <c r="C32" s="224">
        <f t="shared" si="5"/>
        <v>91297.095670624563</v>
      </c>
      <c r="D32" s="233"/>
      <c r="E32" s="233"/>
      <c r="F32" s="224">
        <f ca="1">(1+$B$4)*F31+IF($A32&lt;=Settings!$B$7,$B$3,-$C32)</f>
        <v>2679213.5528098284</v>
      </c>
      <c r="G32" s="227">
        <f ca="1">(1+$B$4)*G31+IF($A32&lt;=Settings!$B$7,$B$3,-$C32)+SUMIFS($E$64:$E$66,$A$64:$A$66,$A32)</f>
        <v>1969174.2166629804</v>
      </c>
      <c r="H32" s="224">
        <f t="shared" ca="1" si="0"/>
        <v>78766.968666519213</v>
      </c>
      <c r="I32" s="224">
        <f ca="1">(1+$B$5)*I31+IF($A32&lt;=Settings!$B$7,$B$3,-$C32)</f>
        <v>3585190.3969840612</v>
      </c>
      <c r="J32" s="227">
        <f ca="1">(1+$B$5)*J31+IF($A32&lt;=Settings!$B$7,$B$3,-$C32)+SUMIFS($E$64:$E$66,$A$64:$A$66,$A32)</f>
        <v>2386405.7460380667</v>
      </c>
      <c r="K32" s="224">
        <f t="shared" ca="1" si="1"/>
        <v>95456.229841522669</v>
      </c>
      <c r="L32" s="224">
        <f ca="1">(1+$B$6)*L31+IF($A32&lt;=Settings!$B$7,$B$3,-$C32)</f>
        <v>5548672.3221922601</v>
      </c>
      <c r="M32" s="227">
        <f ca="1">(1+$B$6)*M31+IF($A32&lt;=Settings!$B$7,$B$3,-$C32)+SUMIFS($E$64:$E$66,$A$64:$A$66,$A32)</f>
        <v>3240209.0154938474</v>
      </c>
      <c r="N32" s="224">
        <f t="shared" ca="1" si="2"/>
        <v>129608.3606197539</v>
      </c>
    </row>
    <row r="33" spans="1:14" ht="12.75" customHeight="1" x14ac:dyDescent="0.15">
      <c r="A33" s="228">
        <f t="shared" si="3"/>
        <v>60</v>
      </c>
      <c r="B33" s="228">
        <f t="shared" si="4"/>
        <v>2044</v>
      </c>
      <c r="C33" s="229">
        <f t="shared" si="5"/>
        <v>93579.523062390173</v>
      </c>
      <c r="D33" s="233"/>
      <c r="E33" s="233"/>
      <c r="F33" s="229">
        <f ca="1">(1+$B$4)*F32+IF($A33&lt;=Settings!$B$7,$B$3,-$C33)</f>
        <v>2789589.9593941234</v>
      </c>
      <c r="G33" s="231">
        <f ca="1">(1+$B$4)*G32+IF($A33&lt;=Settings!$B$7,$B$3,-$C33)+SUMIFS($E$64:$E$66,$A$64:$A$66,$A33)</f>
        <v>2058249.4431628699</v>
      </c>
      <c r="H33" s="229">
        <f t="shared" ca="1" si="0"/>
        <v>82329.9777265148</v>
      </c>
      <c r="I33" s="229">
        <f ca="1">(1+$B$5)*I32+IF($A33&lt;=Settings!$B$7,$B$3,-$C33)</f>
        <v>3794449.9168332643</v>
      </c>
      <c r="J33" s="231">
        <f ca="1">(1+$B$5)*J32+IF($A33&lt;=Settings!$B$7,$B$3,-$C33)+SUMIFS($E$64:$E$66,$A$64:$A$66,$A33)</f>
        <v>2535726.0333399703</v>
      </c>
      <c r="K33" s="229">
        <f t="shared" ca="1" si="1"/>
        <v>101429.04133359881</v>
      </c>
      <c r="L33" s="229">
        <f ca="1">(1+$B$6)*L32+IF($A33&lt;=Settings!$B$7,$B$3,-$C33)</f>
        <v>6022566.1079676412</v>
      </c>
      <c r="M33" s="231">
        <f ca="1">(1+$B$6)*M32+IF($A33&lt;=Settings!$B$7,$B$3,-$C33)+SUMIFS($E$64:$E$66,$A$64:$A$66,$A33)</f>
        <v>3529425.7367333556</v>
      </c>
      <c r="N33" s="229">
        <f t="shared" ca="1" si="2"/>
        <v>141177.02946933423</v>
      </c>
    </row>
    <row r="34" spans="1:14" ht="12.75" customHeight="1" x14ac:dyDescent="0.15">
      <c r="A34" s="232">
        <f t="shared" si="3"/>
        <v>61</v>
      </c>
      <c r="B34" s="232">
        <f t="shared" si="4"/>
        <v>2045</v>
      </c>
      <c r="C34" s="224">
        <f t="shared" si="5"/>
        <v>95919.011138949922</v>
      </c>
      <c r="D34" s="233"/>
      <c r="E34" s="233"/>
      <c r="F34" s="224">
        <f ca="1">(1+$B$4)*F33+IF($A34&lt;=Settings!$B$7,$B$3,-$C34)</f>
        <v>2777358.6470369971</v>
      </c>
      <c r="G34" s="227">
        <f ca="1">(1+$B$4)*G33+IF($A34&lt;=Settings!$B$7,$B$3,-$C34)+SUMIFS($E$64:$E$66,$A$64:$A$66,$A34)</f>
        <v>2024077.9153188062</v>
      </c>
      <c r="H34" s="224">
        <f t="shared" ca="1" si="0"/>
        <v>80963.116612752245</v>
      </c>
      <c r="I34" s="224">
        <f ca="1">(1+$B$5)*I33+IF($A34&lt;=Settings!$B$7,$B$3,-$C34)</f>
        <v>3888253.4015359776</v>
      </c>
      <c r="J34" s="227">
        <f ca="1">(1+$B$5)*J33+IF($A34&lt;=Settings!$B$7,$B$3,-$C34)+SUMIFS($E$64:$E$66,$A$64:$A$66,$A34)</f>
        <v>2566593.323868019</v>
      </c>
      <c r="K34" s="224">
        <f t="shared" ca="1" si="1"/>
        <v>102663.73295472076</v>
      </c>
      <c r="L34" s="224">
        <f ca="1">(1+$B$6)*L33+IF($A34&lt;=Settings!$B$7,$B$3,-$C34)</f>
        <v>6408452.3854661034</v>
      </c>
      <c r="M34" s="227">
        <f ca="1">(1+$B$6)*M33+IF($A34&lt;=Settings!$B$7,$B$3,-$C34)+SUMIFS($E$64:$E$66,$A$64:$A$66,$A34)</f>
        <v>3715860.7845330741</v>
      </c>
      <c r="N34" s="224">
        <f t="shared" ca="1" si="2"/>
        <v>148634.43138132297</v>
      </c>
    </row>
    <row r="35" spans="1:14" s="81" customFormat="1" ht="12.75" customHeight="1" x14ac:dyDescent="0.15">
      <c r="A35" s="238">
        <f t="shared" si="3"/>
        <v>62</v>
      </c>
      <c r="B35" s="238">
        <f t="shared" si="4"/>
        <v>2046</v>
      </c>
      <c r="C35" s="239">
        <f t="shared" si="5"/>
        <v>98316.986417423657</v>
      </c>
      <c r="D35" s="239"/>
      <c r="E35" s="239"/>
      <c r="F35" s="239">
        <f ca="1">(1+$B$4)*F34+IF($A35&lt;=Settings!$B$7,$B$3,-$C35)</f>
        <v>2762362.4200306837</v>
      </c>
      <c r="G35" s="236">
        <f ca="1">(1+$B$4)*G34+IF($A35&lt;=Settings!$B$7,$B$3,-$C35)+SUMIFS($E$64:$E$66,$A$64:$A$66,$A35)</f>
        <v>2239338.8392146644</v>
      </c>
      <c r="H35" s="239">
        <f t="shared" ca="1" si="0"/>
        <v>89573.553568586576</v>
      </c>
      <c r="I35" s="239">
        <f ca="1">(1+$B$5)*I34+IF($A35&lt;=Settings!$B$7,$B$3,-$C35)</f>
        <v>3984349.0851953533</v>
      </c>
      <c r="J35" s="236">
        <f ca="1">(1+$B$5)*J34+IF($A35&lt;=Settings!$B$7,$B$3,-$C35)+SUMIFS($E$64:$E$66,$A$64:$A$66,$A35)</f>
        <v>2849461.5764977145</v>
      </c>
      <c r="K35" s="239">
        <f t="shared" ca="1" si="1"/>
        <v>113978.46305990858</v>
      </c>
      <c r="L35" s="239">
        <f ca="1">(1+$B$6)*L34+IF($A35&lt;=Settings!$B$7,$B$3,-$C35)</f>
        <v>6822811.5898859678</v>
      </c>
      <c r="M35" s="236">
        <f ca="1">(1+$B$6)*M34+IF($A35&lt;=Settings!$B$7,$B$3,-$C35)+SUMIFS($E$64:$E$66,$A$64:$A$66,$A35)</f>
        <v>4167668.2337320149</v>
      </c>
      <c r="N35" s="239">
        <f t="shared" ca="1" si="2"/>
        <v>166706.72934928059</v>
      </c>
    </row>
    <row r="36" spans="1:14" ht="12.75" customHeight="1" x14ac:dyDescent="0.15">
      <c r="A36" s="232">
        <f t="shared" si="3"/>
        <v>63</v>
      </c>
      <c r="B36" s="232">
        <f t="shared" si="4"/>
        <v>2047</v>
      </c>
      <c r="C36" s="224">
        <f t="shared" si="5"/>
        <v>100774.91107785924</v>
      </c>
      <c r="D36" s="233"/>
      <c r="E36" s="233"/>
      <c r="F36" s="224">
        <f ca="1">(1+$B$4)*F35+IF($A36&lt;=Settings!$B$7,$B$3,-$C36)</f>
        <v>2744458.3815537449</v>
      </c>
      <c r="G36" s="227">
        <f ca="1">(1+$B$4)*G35+IF($A36&lt;=Settings!$B$7,$B$3,-$C36)+SUMIFS($E$64:$E$66,$A$64:$A$66,$A36)</f>
        <v>2205744.0933132451</v>
      </c>
      <c r="H36" s="224">
        <f t="shared" ca="1" si="0"/>
        <v>88229.763732529813</v>
      </c>
      <c r="I36" s="224">
        <f ca="1">(1+$B$5)*I35+IF($A36&lt;=Settings!$B$7,$B$3,-$C36)</f>
        <v>4082791.6283772616</v>
      </c>
      <c r="J36" s="227">
        <f ca="1">(1+$B$5)*J35+IF($A36&lt;=Settings!$B$7,$B$3,-$C36)+SUMIFS($E$64:$E$66,$A$64:$A$66,$A36)</f>
        <v>2891159.7442447408</v>
      </c>
      <c r="K36" s="224">
        <f t="shared" ca="1" si="1"/>
        <v>115646.38976978963</v>
      </c>
      <c r="L36" s="224">
        <f ca="1">(1+$B$6)*L35+IF($A36&lt;=Settings!$B$7,$B$3,-$C36)</f>
        <v>7267861.6059989864</v>
      </c>
      <c r="M36" s="227">
        <f ca="1">(1+$B$6)*M35+IF($A36&lt;=Settings!$B$7,$B$3,-$C36)+SUMIFS($E$64:$E$66,$A$64:$A$66,$A36)</f>
        <v>4400306.7813527174</v>
      </c>
      <c r="N36" s="224">
        <f t="shared" ca="1" si="2"/>
        <v>176012.27125410869</v>
      </c>
    </row>
    <row r="37" spans="1:14" ht="12.75" customHeight="1" x14ac:dyDescent="0.15">
      <c r="A37" s="232">
        <f t="shared" si="3"/>
        <v>64</v>
      </c>
      <c r="B37" s="232">
        <f t="shared" si="4"/>
        <v>2048</v>
      </c>
      <c r="C37" s="224">
        <f t="shared" si="5"/>
        <v>103294.28385480572</v>
      </c>
      <c r="D37" s="233"/>
      <c r="E37" s="233"/>
      <c r="F37" s="224">
        <f ca="1">(1+$B$4)*F36+IF($A37&lt;=Settings!$B$7,$B$3,-$C37)</f>
        <v>2723497.8491455517</v>
      </c>
      <c r="G37" s="227">
        <f ca="1">(1+$B$4)*G36+IF($A37&lt;=Settings!$B$7,$B$3,-$C37)+SUMIFS($E$64:$E$66,$A$64:$A$66,$A37)</f>
        <v>2168622.1322578369</v>
      </c>
      <c r="H37" s="224">
        <f t="shared" ca="1" si="0"/>
        <v>86744.885290313483</v>
      </c>
      <c r="I37" s="224">
        <f ca="1">(1+$B$5)*I36+IF($A37&lt;=Settings!$B$7,$B$3,-$C37)</f>
        <v>4183636.9259413192</v>
      </c>
      <c r="J37" s="227">
        <f ca="1">(1+$B$5)*J36+IF($A37&lt;=Settings!$B$7,$B$3,-$C37)+SUMIFS($E$64:$E$66,$A$64:$A$66,$A37)</f>
        <v>2932423.4476021719</v>
      </c>
      <c r="K37" s="224">
        <f t="shared" ca="1" si="1"/>
        <v>117296.93790408688</v>
      </c>
      <c r="L37" s="224">
        <f ca="1">(1+$B$6)*L36+IF($A37&lt;=Settings!$B$7,$B$3,-$C37)</f>
        <v>7745996.2506240997</v>
      </c>
      <c r="M37" s="227">
        <f ca="1">(1+$B$6)*M36+IF($A37&lt;=Settings!$B$7,$B$3,-$C37)+SUMIFS($E$64:$E$66,$A$64:$A$66,$A37)</f>
        <v>4649037.0400061291</v>
      </c>
      <c r="N37" s="224">
        <f t="shared" ca="1" si="2"/>
        <v>185961.48160024517</v>
      </c>
    </row>
    <row r="38" spans="1:14" s="240" customFormat="1" ht="12.75" customHeight="1" x14ac:dyDescent="0.15">
      <c r="A38" s="228">
        <f t="shared" si="3"/>
        <v>65</v>
      </c>
      <c r="B38" s="228">
        <f t="shared" si="4"/>
        <v>2049</v>
      </c>
      <c r="C38" s="229">
        <f t="shared" si="5"/>
        <v>105876.64095117585</v>
      </c>
      <c r="D38" s="229"/>
      <c r="E38" s="229"/>
      <c r="F38" s="229">
        <f ca="1">(1+$B$4)*F37+IF($A38&lt;=Settings!$B$7,$B$3,-$C38)</f>
        <v>2699326.1436687424</v>
      </c>
      <c r="G38" s="231">
        <f ca="1">(1+$B$4)*G37+IF($A38&lt;=Settings!$B$7,$B$3,-$C38)+SUMIFS($E$64:$E$66,$A$64:$A$66,$A38)</f>
        <v>2773559.6275836648</v>
      </c>
      <c r="H38" s="229">
        <f t="shared" ca="1" si="0"/>
        <v>110942.38510334659</v>
      </c>
      <c r="I38" s="229">
        <f ca="1">(1+$B$5)*I37+IF($A38&lt;=Settings!$B$7,$B$3,-$C38)</f>
        <v>4286942.1312872088</v>
      </c>
      <c r="J38" s="231">
        <f ca="1">(1+$B$5)*J37+IF($A38&lt;=Settings!$B$7,$B$3,-$C38)+SUMIFS($E$64:$E$66,$A$64:$A$66,$A38)</f>
        <v>3618923.4513403736</v>
      </c>
      <c r="K38" s="229">
        <f t="shared" ca="1" si="1"/>
        <v>144756.93805361495</v>
      </c>
      <c r="L38" s="229">
        <f ca="1">(1+$B$6)*L37+IF($A38&lt;=Settings!$B$7,$B$3,-$C38)</f>
        <v>8259799.309722852</v>
      </c>
      <c r="M38" s="231">
        <f ca="1">(1+$B$6)*M37+IF($A38&lt;=Settings!$B$7,$B$3,-$C38)+SUMIFS($E$64:$E$66,$A$64:$A$66,$A38)</f>
        <v>5560838.8345647119</v>
      </c>
      <c r="N38" s="229">
        <f t="shared" ca="1" si="2"/>
        <v>222433.55338258849</v>
      </c>
    </row>
    <row r="39" spans="1:14" ht="12.75" customHeight="1" x14ac:dyDescent="0.15">
      <c r="A39" s="232">
        <f t="shared" si="3"/>
        <v>66</v>
      </c>
      <c r="B39" s="232">
        <f t="shared" si="4"/>
        <v>2050</v>
      </c>
      <c r="C39" s="224">
        <f t="shared" si="5"/>
        <v>108523.55697495524</v>
      </c>
      <c r="D39" s="233"/>
      <c r="E39" s="233"/>
      <c r="F39" s="224">
        <f ca="1">(1+$B$4)*F38+IF($A39&lt;=Settings!$B$7,$B$3,-$C39)</f>
        <v>2671782.3710038494</v>
      </c>
      <c r="G39" s="227">
        <f ca="1">(1+$B$4)*G38+IF($A39&lt;=Settings!$B$7,$B$3,-$C39)+SUMIFS($E$64:$E$66,$A$64:$A$66,$A39)</f>
        <v>2748242.8594362196</v>
      </c>
      <c r="H39" s="224">
        <f t="shared" ca="1" si="0"/>
        <v>109929.71437744878</v>
      </c>
      <c r="I39" s="224">
        <f ca="1">(1+$B$5)*I38+IF($A39&lt;=Settings!$B$7,$B$3,-$C39)</f>
        <v>4392765.6808766145</v>
      </c>
      <c r="J39" s="227">
        <f ca="1">(1+$B$5)*J38+IF($A39&lt;=Settings!$B$7,$B$3,-$C39)+SUMIFS($E$64:$E$66,$A$64:$A$66,$A39)</f>
        <v>3691346.066932437</v>
      </c>
      <c r="K39" s="224">
        <f t="shared" ca="1" si="1"/>
        <v>147653.84267729748</v>
      </c>
      <c r="L39" s="224">
        <f ca="1">(1+$B$6)*L38+IF($A39&lt;=Settings!$B$7,$B$3,-$C39)</f>
        <v>8812059.6975257266</v>
      </c>
      <c r="M39" s="227">
        <f ca="1">(1+$B$6)*M38+IF($A39&lt;=Settings!$B$7,$B$3,-$C39)+SUMIFS($E$64:$E$66,$A$64:$A$66,$A39)</f>
        <v>5897182.3843549341</v>
      </c>
      <c r="N39" s="224">
        <f t="shared" ca="1" si="2"/>
        <v>235887.29537419736</v>
      </c>
    </row>
    <row r="40" spans="1:14" ht="12.75" customHeight="1" x14ac:dyDescent="0.15">
      <c r="A40" s="232">
        <f t="shared" si="3"/>
        <v>67</v>
      </c>
      <c r="B40" s="232">
        <f t="shared" si="4"/>
        <v>2051</v>
      </c>
      <c r="C40" s="224">
        <f t="shared" si="5"/>
        <v>111236.64589932912</v>
      </c>
      <c r="D40" s="233"/>
      <c r="E40" s="233"/>
      <c r="F40" s="224">
        <f ca="1">(1+$B$4)*F39+IF($A40&lt;=Settings!$B$7,$B$3,-$C40)</f>
        <v>2640699.1962346355</v>
      </c>
      <c r="G40" s="227">
        <f ca="1">(1+$B$4)*G39+IF($A40&lt;=Settings!$B$7,$B$3,-$C40)+SUMIFS($E$64:$E$66,$A$64:$A$66,$A40)</f>
        <v>2719453.4993199767</v>
      </c>
      <c r="H40" s="224">
        <f t="shared" ca="1" si="0"/>
        <v>108778.13997279906</v>
      </c>
      <c r="I40" s="224">
        <f ca="1">(1+$B$5)*I39+IF($A40&lt;=Settings!$B$7,$B$3,-$C40)</f>
        <v>4501167.319021116</v>
      </c>
      <c r="J40" s="227">
        <f ca="1">(1+$B$5)*J39+IF($A40&lt;=Settings!$B$7,$B$3,-$C40)+SUMIFS($E$64:$E$66,$A$64:$A$66,$A40)</f>
        <v>3764676.7243797295</v>
      </c>
      <c r="K40" s="224">
        <f t="shared" ca="1" si="1"/>
        <v>150587.06897518918</v>
      </c>
      <c r="L40" s="224">
        <f ca="1">(1+$B$6)*L39+IF($A40&lt;=Settings!$B$7,$B$3,-$C40)</f>
        <v>9405787.8274284564</v>
      </c>
      <c r="M40" s="227">
        <f ca="1">(1+$B$6)*M39+IF($A40&lt;=Settings!$B$7,$B$3,-$C40)+SUMIFS($E$64:$E$66,$A$64:$A$66,$A40)</f>
        <v>6257720.3292039996</v>
      </c>
      <c r="N40" s="224">
        <f t="shared" ca="1" si="2"/>
        <v>250308.81316815998</v>
      </c>
    </row>
    <row r="41" spans="1:14" ht="12.75" customHeight="1" x14ac:dyDescent="0.15">
      <c r="A41" s="232">
        <f t="shared" si="3"/>
        <v>68</v>
      </c>
      <c r="B41" s="232">
        <f t="shared" si="4"/>
        <v>2052</v>
      </c>
      <c r="C41" s="224">
        <f t="shared" si="5"/>
        <v>114017.56204681234</v>
      </c>
      <c r="D41" s="233"/>
      <c r="E41" s="233"/>
      <c r="F41" s="224">
        <f ca="1">(1+$B$4)*F40+IF($A41&lt;=Settings!$B$7,$B$3,-$C41)</f>
        <v>2605902.6100748624</v>
      </c>
      <c r="G41" s="227">
        <f ca="1">(1+$B$4)*G40+IF($A41&lt;=Settings!$B$7,$B$3,-$C41)+SUMIFS($E$64:$E$66,$A$64:$A$66,$A41)</f>
        <v>2687019.5422527636</v>
      </c>
      <c r="H41" s="224">
        <f t="shared" ca="1" si="0"/>
        <v>107480.78169011055</v>
      </c>
      <c r="I41" s="224">
        <f ca="1">(1+$B$5)*I40+IF($A41&lt;=Settings!$B$7,$B$3,-$C41)</f>
        <v>4612208.1229253598</v>
      </c>
      <c r="J41" s="227">
        <f ca="1">(1+$B$5)*J40+IF($A41&lt;=Settings!$B$7,$B$3,-$C41)+SUMIFS($E$64:$E$66,$A$64:$A$66,$A41)</f>
        <v>3838892.9985519038</v>
      </c>
      <c r="K41" s="224">
        <f t="shared" ca="1" si="1"/>
        <v>153555.71994207616</v>
      </c>
      <c r="L41" s="224">
        <f ca="1">(1+$B$6)*L40+IF($A41&lt;=Settings!$B$7,$B$3,-$C41)</f>
        <v>10044233.29157592</v>
      </c>
      <c r="M41" s="227">
        <f ca="1">(1+$B$6)*M40+IF($A41&lt;=Settings!$B$7,$B$3,-$C41)+SUMIFS($E$64:$E$66,$A$64:$A$66,$A41)</f>
        <v>6644320.393493508</v>
      </c>
      <c r="N41" s="224">
        <f t="shared" ca="1" si="2"/>
        <v>265772.81573974033</v>
      </c>
    </row>
    <row r="42" spans="1:14" ht="12.75" customHeight="1" x14ac:dyDescent="0.15">
      <c r="A42" s="232">
        <f t="shared" si="3"/>
        <v>69</v>
      </c>
      <c r="B42" s="232">
        <f t="shared" si="4"/>
        <v>2053</v>
      </c>
      <c r="C42" s="224">
        <f t="shared" si="5"/>
        <v>116868.00109798263</v>
      </c>
      <c r="D42" s="233"/>
      <c r="E42" s="233"/>
      <c r="F42" s="224">
        <f ca="1">(1+$B$4)*F41+IF($A42&lt;=Settings!$B$7,$B$3,-$C42)</f>
        <v>2567211.6872791257</v>
      </c>
      <c r="G42" s="227">
        <f ca="1">(1+$B$4)*G41+IF($A42&lt;=Settings!$B$7,$B$3,-$C42)+SUMIFS($E$64:$E$66,$A$64:$A$66,$A42)</f>
        <v>2650762.127422364</v>
      </c>
      <c r="H42" s="224">
        <f t="shared" ca="1" si="0"/>
        <v>106030.48509689455</v>
      </c>
      <c r="I42" s="224">
        <f ca="1">(1+$B$5)*I41+IF($A42&lt;=Settings!$B$7,$B$3,-$C42)</f>
        <v>4725950.5279736454</v>
      </c>
      <c r="J42" s="227">
        <f ca="1">(1+$B$5)*J41+IF($A42&lt;=Settings!$B$7,$B$3,-$C42)+SUMIFS($E$64:$E$66,$A$64:$A$66,$A42)</f>
        <v>3913969.6473815162</v>
      </c>
      <c r="K42" s="224">
        <f t="shared" ca="1" si="1"/>
        <v>156558.78589526066</v>
      </c>
      <c r="L42" s="224">
        <f ca="1">(1+$B$6)*L41+IF($A42&lt;=Settings!$B$7,$B$3,-$C42)</f>
        <v>10730903.953804011</v>
      </c>
      <c r="M42" s="227">
        <f ca="1">(1+$B$6)*M41+IF($A42&lt;=Settings!$B$7,$B$3,-$C42)+SUMIFS($E$64:$E$66,$A$64:$A$66,$A42)</f>
        <v>7058998.0238750065</v>
      </c>
      <c r="N42" s="224">
        <f t="shared" ca="1" si="2"/>
        <v>282359.92095500027</v>
      </c>
    </row>
    <row r="43" spans="1:14" ht="12.75" customHeight="1" x14ac:dyDescent="0.15">
      <c r="A43" s="232">
        <f t="shared" si="3"/>
        <v>70</v>
      </c>
      <c r="B43" s="232">
        <f t="shared" si="4"/>
        <v>2054</v>
      </c>
      <c r="C43" s="224">
        <f t="shared" si="5"/>
        <v>119789.70112543218</v>
      </c>
      <c r="D43" s="233"/>
      <c r="E43" s="233"/>
      <c r="F43" s="224">
        <f ca="1">(1+$B$4)*F42+IF($A43&lt;=Settings!$B$7,$B$3,-$C43)</f>
        <v>2524438.3367720675</v>
      </c>
      <c r="G43" s="227">
        <f ca="1">(1+$B$4)*G42+IF($A43&lt;=Settings!$B$7,$B$3,-$C43)+SUMIFS($E$64:$E$66,$A$64:$A$66,$A43)</f>
        <v>2610495.2901196028</v>
      </c>
      <c r="H43" s="224">
        <f t="shared" ca="1" si="0"/>
        <v>104419.81160478412</v>
      </c>
      <c r="I43" s="224">
        <f ca="1">(1+$B$5)*I42+IF($A43&lt;=Settings!$B$7,$B$3,-$C43)</f>
        <v>4842458.3532468956</v>
      </c>
      <c r="J43" s="227">
        <f ca="1">(1+$B$5)*J42+IF($A43&lt;=Settings!$B$7,$B$3,-$C43)+SUMIFS($E$64:$E$66,$A$64:$A$66,$A43)</f>
        <v>3989878.4286251599</v>
      </c>
      <c r="K43" s="224">
        <f t="shared" ca="1" si="1"/>
        <v>159595.13714500639</v>
      </c>
      <c r="L43" s="224">
        <f ca="1">(1+$B$6)*L42+IF($A43&lt;=Settings!$B$7,$B$3,-$C43)</f>
        <v>11469586.568982901</v>
      </c>
      <c r="M43" s="227">
        <f ca="1">(1+$B$6)*M42+IF($A43&lt;=Settings!$B$7,$B$3,-$C43)+SUMIFS($E$64:$E$66,$A$64:$A$66,$A43)</f>
        <v>7503928.1646595756</v>
      </c>
      <c r="N43" s="224">
        <f t="shared" ca="1" si="2"/>
        <v>300157.12658638303</v>
      </c>
    </row>
    <row r="44" spans="1:14" ht="12.75" customHeight="1" x14ac:dyDescent="0.15">
      <c r="A44" s="232">
        <f t="shared" si="3"/>
        <v>71</v>
      </c>
      <c r="B44" s="232">
        <f t="shared" si="4"/>
        <v>2055</v>
      </c>
      <c r="C44" s="224">
        <f t="shared" si="5"/>
        <v>122784.44365356799</v>
      </c>
      <c r="D44" s="233"/>
      <c r="E44" s="233"/>
      <c r="F44" s="224">
        <f ca="1">(1+$B$4)*F43+IF($A44&lt;=Settings!$B$7,$B$3,-$C44)</f>
        <v>2477387.0432216614</v>
      </c>
      <c r="G44" s="227">
        <f ca="1">(1+$B$4)*G43+IF($A44&lt;=Settings!$B$7,$B$3,-$C44)+SUMIFS($E$64:$E$66,$A$64:$A$66,$A44)</f>
        <v>2566025.7051696228</v>
      </c>
      <c r="H44" s="224">
        <f t="shared" ca="1" si="0"/>
        <v>102641.02820678492</v>
      </c>
      <c r="I44" s="224">
        <f ca="1">(1+$B$5)*I43+IF($A44&lt;=Settings!$B$7,$B$3,-$C44)</f>
        <v>4961796.8272556728</v>
      </c>
      <c r="J44" s="227">
        <f ca="1">(1+$B$5)*J43+IF($A44&lt;=Settings!$B$7,$B$3,-$C44)+SUMIFS($E$64:$E$66,$A$64:$A$66,$A44)</f>
        <v>4066587.9064028501</v>
      </c>
      <c r="K44" s="224">
        <f t="shared" ca="1" si="1"/>
        <v>162663.516256114</v>
      </c>
      <c r="L44" s="224">
        <f ca="1">(1+$B$6)*L43+IF($A44&lt;=Settings!$B$7,$B$3,-$C44)</f>
        <v>12264369.050847966</v>
      </c>
      <c r="M44" s="227">
        <f ca="1">(1+$B$6)*M43+IF($A44&lt;=Settings!$B$7,$B$3,-$C44)+SUMIFS($E$64:$E$66,$A$64:$A$66,$A44)</f>
        <v>7981457.9741787743</v>
      </c>
      <c r="N44" s="224">
        <f t="shared" ca="1" si="2"/>
        <v>319258.31896715099</v>
      </c>
    </row>
    <row r="45" spans="1:14" ht="12.75" customHeight="1" x14ac:dyDescent="0.15">
      <c r="A45" s="232">
        <f t="shared" si="3"/>
        <v>72</v>
      </c>
      <c r="B45" s="232">
        <f t="shared" si="4"/>
        <v>2056</v>
      </c>
      <c r="C45" s="224">
        <f t="shared" si="5"/>
        <v>125854.05474490717</v>
      </c>
      <c r="D45" s="233"/>
      <c r="E45" s="233"/>
      <c r="F45" s="224">
        <f ca="1">(1+$B$4)*F44+IF($A45&lt;=Settings!$B$7,$B$3,-$C45)</f>
        <v>2425854.5997734042</v>
      </c>
      <c r="G45" s="227">
        <f ca="1">(1+$B$4)*G44+IF($A45&lt;=Settings!$B$7,$B$3,-$C45)+SUMIFS($E$64:$E$66,$A$64:$A$66,$A45)</f>
        <v>2517152.4215798043</v>
      </c>
      <c r="H45" s="224">
        <f t="shared" ca="1" si="0"/>
        <v>100686.09686319217</v>
      </c>
      <c r="I45" s="224">
        <f ca="1">(1+$B$5)*I44+IF($A45&lt;=Settings!$B$7,$B$3,-$C45)</f>
        <v>5084032.6138735497</v>
      </c>
      <c r="J45" s="227">
        <f ca="1">(1+$B$5)*J44+IF($A45&lt;=Settings!$B$7,$B$3,-$C45)+SUMIFS($E$64:$E$66,$A$64:$A$66,$A45)</f>
        <v>4144063.246978086</v>
      </c>
      <c r="K45" s="224">
        <f t="shared" ca="1" si="1"/>
        <v>165762.52987912344</v>
      </c>
      <c r="L45" s="224">
        <f ca="1">(1+$B$6)*L44+IF($A45&lt;=Settings!$B$7,$B$3,-$C45)</f>
        <v>13119664.520170897</v>
      </c>
      <c r="M45" s="227">
        <f ca="1">(1+$B$6)*M44+IF($A45&lt;=Settings!$B$7,$B$3,-$C45)+SUMIFS($E$64:$E$66,$A$64:$A$66,$A45)</f>
        <v>8494120.5573681705</v>
      </c>
      <c r="N45" s="224">
        <f t="shared" ca="1" si="2"/>
        <v>339764.82229472685</v>
      </c>
    </row>
    <row r="46" spans="1:14" ht="12.75" customHeight="1" x14ac:dyDescent="0.15">
      <c r="A46" s="232">
        <f t="shared" si="3"/>
        <v>73</v>
      </c>
      <c r="B46" s="232">
        <f t="shared" si="4"/>
        <v>2057</v>
      </c>
      <c r="C46" s="224">
        <f t="shared" si="5"/>
        <v>129000.40611352984</v>
      </c>
      <c r="D46" s="233"/>
      <c r="E46" s="233"/>
      <c r="F46" s="224">
        <f ca="1">(1+$B$4)*F45+IF($A46&lt;=Settings!$B$7,$B$3,-$C46)</f>
        <v>2369629.8316530762</v>
      </c>
      <c r="G46" s="227">
        <f ca="1">(1+$B$4)*G45+IF($A46&lt;=Settings!$B$7,$B$3,-$C46)+SUMIFS($E$64:$E$66,$A$64:$A$66,$A46)</f>
        <v>2463666.5881136684</v>
      </c>
      <c r="H46" s="224">
        <f t="shared" ca="1" si="0"/>
        <v>98546.663524546733</v>
      </c>
      <c r="I46" s="224">
        <f ca="1">(1+$B$5)*I45+IF($A46&lt;=Settings!$B$7,$B$3,-$C46)</f>
        <v>5209233.838453698</v>
      </c>
      <c r="J46" s="227">
        <f ca="1">(1+$B$5)*J45+IF($A46&lt;=Settings!$B$7,$B$3,-$C46)+SUMIFS($E$64:$E$66,$A$64:$A$66,$A46)</f>
        <v>4222266.0032134606</v>
      </c>
      <c r="K46" s="224">
        <f t="shared" ca="1" si="1"/>
        <v>168890.64012853842</v>
      </c>
      <c r="L46" s="224">
        <f ca="1">(1+$B$6)*L45+IF($A46&lt;=Settings!$B$7,$B$3,-$C46)</f>
        <v>14040237.275671041</v>
      </c>
      <c r="M46" s="227">
        <f ca="1">(1+$B$6)*M45+IF($A46&lt;=Settings!$B$7,$B$3,-$C46)+SUMIFS($E$64:$E$66,$A$64:$A$66,$A46)</f>
        <v>9044649.7958440948</v>
      </c>
      <c r="N46" s="224">
        <f t="shared" ca="1" si="2"/>
        <v>361785.99183376378</v>
      </c>
    </row>
    <row r="47" spans="1:14" ht="12.75" customHeight="1" x14ac:dyDescent="0.15">
      <c r="A47" s="232">
        <f t="shared" si="3"/>
        <v>74</v>
      </c>
      <c r="B47" s="232">
        <f t="shared" si="4"/>
        <v>2058</v>
      </c>
      <c r="C47" s="224">
        <f t="shared" si="5"/>
        <v>132225.41626636806</v>
      </c>
      <c r="D47" s="233"/>
      <c r="E47" s="233"/>
      <c r="F47" s="224">
        <f ca="1">(1+$B$4)*F46+IF($A47&lt;=Settings!$B$7,$B$3,-$C47)</f>
        <v>2308493.3103363002</v>
      </c>
      <c r="G47" s="227">
        <f ca="1">(1+$B$4)*G46+IF($A47&lt;=Settings!$B$7,$B$3,-$C47)+SUMIFS($E$64:$E$66,$A$64:$A$66,$A47)</f>
        <v>2405351.1694907104</v>
      </c>
      <c r="H47" s="224">
        <f t="shared" ca="1" si="0"/>
        <v>96214.046779628421</v>
      </c>
      <c r="I47" s="224">
        <f ca="1">(1+$B$5)*I46+IF($A47&lt;=Settings!$B$7,$B$3,-$C47)</f>
        <v>5337470.1141100153</v>
      </c>
      <c r="J47" s="227">
        <f ca="1">(1+$B$5)*J46+IF($A47&lt;=Settings!$B$7,$B$3,-$C47)+SUMIFS($E$64:$E$66,$A$64:$A$66,$A47)</f>
        <v>4301153.8871077662</v>
      </c>
      <c r="K47" s="224">
        <f t="shared" ca="1" si="1"/>
        <v>172046.15548431064</v>
      </c>
      <c r="L47" s="224">
        <f ca="1">(1+$B$6)*L46+IF($A47&lt;=Settings!$B$7,$B$3,-$C47)</f>
        <v>15031230.841458356</v>
      </c>
      <c r="M47" s="227">
        <f ca="1">(1+$B$6)*M46+IF($A47&lt;=Settings!$B$7,$B$3,-$C47)+SUMIFS($E$64:$E$66,$A$64:$A$66,$A47)</f>
        <v>9635996.3632452544</v>
      </c>
      <c r="N47" s="224">
        <f t="shared" ca="1" si="2"/>
        <v>385439.8545298102</v>
      </c>
    </row>
    <row r="48" spans="1:14" ht="12.75" customHeight="1" x14ac:dyDescent="0.15">
      <c r="A48" s="232">
        <f t="shared" si="3"/>
        <v>75</v>
      </c>
      <c r="B48" s="232">
        <f t="shared" si="4"/>
        <v>2059</v>
      </c>
      <c r="C48" s="224">
        <f t="shared" si="5"/>
        <v>135531.05167302725</v>
      </c>
      <c r="D48" s="233"/>
      <c r="E48" s="233"/>
      <c r="F48" s="224">
        <f ca="1">(1+$B$4)*F47+IF($A48&lt;=Settings!$B$7,$B$3,-$C48)</f>
        <v>2242217.057973362</v>
      </c>
      <c r="G48" s="227">
        <f ca="1">(1+$B$4)*G47+IF($A48&lt;=Settings!$B$7,$B$3,-$C48)+SUMIFS($E$64:$E$66,$A$64:$A$66,$A48)</f>
        <v>2341980.6529024043</v>
      </c>
      <c r="H48" s="224">
        <f t="shared" ca="1" si="0"/>
        <v>93679.226116096179</v>
      </c>
      <c r="I48" s="224">
        <f ca="1">(1+$B$5)*I47+IF($A48&lt;=Settings!$B$7,$B$3,-$C48)</f>
        <v>5468812.5681424886</v>
      </c>
      <c r="J48" s="227">
        <f ca="1">(1+$B$5)*J47+IF($A48&lt;=Settings!$B$7,$B$3,-$C48)+SUMIFS($E$64:$E$66,$A$64:$A$66,$A48)</f>
        <v>4380680.5297901267</v>
      </c>
      <c r="K48" s="224">
        <f t="shared" ca="1" si="1"/>
        <v>175227.22119160506</v>
      </c>
      <c r="L48" s="224">
        <f ca="1">(1+$B$6)*L47+IF($A48&lt;=Settings!$B$7,$B$3,-$C48)</f>
        <v>16098198.257102</v>
      </c>
      <c r="M48" s="227">
        <f ca="1">(1+$B$6)*M47+IF($A48&lt;=Settings!$B$7,$B$3,-$C48)+SUMIFS($E$64:$E$66,$A$64:$A$66,$A48)</f>
        <v>10271345.020631848</v>
      </c>
      <c r="N48" s="224">
        <f t="shared" ca="1" si="2"/>
        <v>410853.80082527391</v>
      </c>
    </row>
    <row r="49" spans="1:14" ht="12.75" customHeight="1" x14ac:dyDescent="0.15">
      <c r="A49" s="232">
        <f t="shared" si="3"/>
        <v>76</v>
      </c>
      <c r="B49" s="232">
        <f t="shared" si="4"/>
        <v>2060</v>
      </c>
      <c r="C49" s="224">
        <f t="shared" si="5"/>
        <v>138919.32796485291</v>
      </c>
      <c r="D49" s="233"/>
      <c r="E49" s="233"/>
      <c r="F49" s="224">
        <f ca="1">(1+$B$4)*F48+IF($A49&lt;=Settings!$B$7,$B$3,-$C49)</f>
        <v>2170564.2417477099</v>
      </c>
      <c r="G49" s="227">
        <f ca="1">(1+$B$4)*G48+IF($A49&lt;=Settings!$B$7,$B$3,-$C49)+SUMIFS($E$64:$E$66,$A$64:$A$66,$A49)</f>
        <v>2273320.7445246233</v>
      </c>
      <c r="H49" s="224">
        <f t="shared" ca="1" si="0"/>
        <v>90932.829780984932</v>
      </c>
      <c r="I49" s="224">
        <f ca="1">(1+$B$5)*I48+IF($A49&lt;=Settings!$B$7,$B$3,-$C49)</f>
        <v>5603333.8685847605</v>
      </c>
      <c r="J49" s="227">
        <f ca="1">(1+$B$5)*J48+IF($A49&lt;=Settings!$B$7,$B$3,-$C49)+SUMIFS($E$64:$E$66,$A$64:$A$66,$A49)</f>
        <v>4460795.2283147806</v>
      </c>
      <c r="K49" s="224">
        <f t="shared" ca="1" si="1"/>
        <v>178431.80913259124</v>
      </c>
      <c r="L49" s="224">
        <f ca="1">(1+$B$6)*L48+IF($A49&lt;=Settings!$B$7,$B$3,-$C49)</f>
        <v>17247134.789705306</v>
      </c>
      <c r="M49" s="227">
        <f ca="1">(1+$B$6)*M48+IF($A49&lt;=Settings!$B$7,$B$3,-$C49)+SUMIFS($E$64:$E$66,$A$64:$A$66,$A49)</f>
        <v>10954133.294317544</v>
      </c>
      <c r="N49" s="224">
        <f t="shared" ca="1" si="2"/>
        <v>438165.33177270176</v>
      </c>
    </row>
    <row r="50" spans="1:14" ht="12.75" customHeight="1" x14ac:dyDescent="0.15">
      <c r="A50" s="232">
        <f t="shared" si="3"/>
        <v>77</v>
      </c>
      <c r="B50" s="232">
        <f t="shared" si="4"/>
        <v>2061</v>
      </c>
      <c r="C50" s="224">
        <f t="shared" si="5"/>
        <v>142392.31116397423</v>
      </c>
      <c r="D50" s="233"/>
      <c r="E50" s="233"/>
      <c r="F50" s="224">
        <f ca="1">(1+$B$4)*F49+IF($A50&lt;=Settings!$B$7,$B$3,-$C50)</f>
        <v>2093288.8578361671</v>
      </c>
      <c r="G50" s="227">
        <f ca="1">(1+$B$4)*G49+IF($A50&lt;=Settings!$B$7,$B$3,-$C50)+SUMIFS($E$64:$E$66,$A$64:$A$66,$A50)</f>
        <v>2199128.0556963878</v>
      </c>
      <c r="H50" s="224">
        <f t="shared" ca="1" si="0"/>
        <v>87965.122227855507</v>
      </c>
      <c r="I50" s="224">
        <f ca="1">(1+$B$5)*I49+IF($A50&lt;=Settings!$B$7,$B$3,-$C50)</f>
        <v>5741108.2508500246</v>
      </c>
      <c r="J50" s="227">
        <f ca="1">(1+$B$5)*J49+IF($A50&lt;=Settings!$B$7,$B$3,-$C50)+SUMIFS($E$64:$E$66,$A$64:$A$66,$A50)</f>
        <v>4541442.6785665462</v>
      </c>
      <c r="K50" s="224">
        <f t="shared" ca="1" si="1"/>
        <v>181657.70714266185</v>
      </c>
      <c r="L50" s="224">
        <f ca="1">(1+$B$6)*L49+IF($A50&lt;=Settings!$B$7,$B$3,-$C50)</f>
        <v>18484513.261717759</v>
      </c>
      <c r="M50" s="227">
        <f ca="1">(1+$B$6)*M49+IF($A50&lt;=Settings!$B$7,$B$3,-$C50)+SUMIFS($E$64:$E$66,$A$64:$A$66,$A50)</f>
        <v>11688071.646698972</v>
      </c>
      <c r="N50" s="224">
        <f t="shared" ca="1" si="2"/>
        <v>467522.86586795887</v>
      </c>
    </row>
    <row r="51" spans="1:14" ht="12.75" customHeight="1" x14ac:dyDescent="0.15">
      <c r="A51" s="232">
        <f t="shared" si="3"/>
        <v>78</v>
      </c>
      <c r="B51" s="232">
        <f t="shared" si="4"/>
        <v>2062</v>
      </c>
      <c r="C51" s="224">
        <f t="shared" si="5"/>
        <v>145952.11894307358</v>
      </c>
      <c r="D51" s="233"/>
      <c r="E51" s="233"/>
      <c r="F51" s="224">
        <f ca="1">(1+$B$4)*F50+IF($A51&lt;=Settings!$B$7,$B$3,-$C51)</f>
        <v>2010135.4046281788</v>
      </c>
      <c r="G51" s="227">
        <f ca="1">(1+$B$4)*G50+IF($A51&lt;=Settings!$B$7,$B$3,-$C51)+SUMIFS($E$64:$E$66,$A$64:$A$66,$A51)</f>
        <v>2119149.7784242057</v>
      </c>
      <c r="H51" s="224">
        <f t="shared" ca="1" si="0"/>
        <v>84765.991136968238</v>
      </c>
      <c r="I51" s="224">
        <f ca="1">(1+$B$5)*I50+IF($A51&lt;=Settings!$B$7,$B$3,-$C51)</f>
        <v>5882211.5444494523</v>
      </c>
      <c r="J51" s="227">
        <f ca="1">(1+$B$5)*J50+IF($A51&lt;=Settings!$B$7,$B$3,-$C51)+SUMIFS($E$64:$E$66,$A$64:$A$66,$A51)</f>
        <v>4622562.6935518002</v>
      </c>
      <c r="K51" s="224">
        <f t="shared" ca="1" si="1"/>
        <v>184902.50774207202</v>
      </c>
      <c r="L51" s="224">
        <f ca="1">(1+$B$6)*L50+IF($A51&lt;=Settings!$B$7,$B$3,-$C51)</f>
        <v>19817322.203712109</v>
      </c>
      <c r="M51" s="227">
        <f ca="1">(1+$B$6)*M50+IF($A51&lt;=Settings!$B$7,$B$3,-$C51)+SUMIFS($E$64:$E$66,$A$64:$A$66,$A51)</f>
        <v>12477165.259491818</v>
      </c>
      <c r="N51" s="224">
        <f t="shared" ca="1" si="2"/>
        <v>499086.61037967273</v>
      </c>
    </row>
    <row r="52" spans="1:14" ht="12.75" customHeight="1" x14ac:dyDescent="0.15">
      <c r="A52" s="232">
        <f t="shared" si="3"/>
        <v>79</v>
      </c>
      <c r="B52" s="232">
        <f t="shared" si="4"/>
        <v>2063</v>
      </c>
      <c r="C52" s="224">
        <f t="shared" si="5"/>
        <v>149600.9219166504</v>
      </c>
      <c r="D52" s="233"/>
      <c r="E52" s="233"/>
      <c r="F52" s="224">
        <f ca="1">(1+$B$4)*F51+IF($A52&lt;=Settings!$B$7,$B$3,-$C52)</f>
        <v>1920838.5448503739</v>
      </c>
      <c r="G52" s="227">
        <f ca="1">(1+$B$4)*G51+IF($A52&lt;=Settings!$B$7,$B$3,-$C52)+SUMIFS($E$64:$E$66,$A$64:$A$66,$A52)</f>
        <v>2033123.3498602815</v>
      </c>
      <c r="H52" s="224">
        <f t="shared" ca="1" si="0"/>
        <v>81324.933994411258</v>
      </c>
      <c r="I52" s="224">
        <f ca="1">(1+$B$5)*I51+IF($A52&lt;=Settings!$B$7,$B$3,-$C52)</f>
        <v>6026721.1997552747</v>
      </c>
      <c r="J52" s="227">
        <f ca="1">(1+$B$5)*J51+IF($A52&lt;=Settings!$B$7,$B$3,-$C52)+SUMIFS($E$64:$E$66,$A$64:$A$66,$A52)</f>
        <v>4704089.9063127395</v>
      </c>
      <c r="K52" s="224">
        <f t="shared" ca="1" si="1"/>
        <v>188163.5962525096</v>
      </c>
      <c r="L52" s="224">
        <f ca="1">(1+$B$6)*L51+IF($A52&lt;=Settings!$B$7,$B$3,-$C52)</f>
        <v>21253107.05809243</v>
      </c>
      <c r="M52" s="227">
        <f ca="1">(1+$B$6)*M51+IF($A52&lt;=Settings!$B$7,$B$3,-$C52)+SUMIFS($E$64:$E$66,$A$64:$A$66,$A52)</f>
        <v>13325737.558334514</v>
      </c>
      <c r="N52" s="224">
        <f t="shared" ca="1" si="2"/>
        <v>533029.50233338063</v>
      </c>
    </row>
    <row r="53" spans="1:14" ht="12.75" customHeight="1" x14ac:dyDescent="0.15">
      <c r="A53" s="232">
        <f t="shared" si="3"/>
        <v>80</v>
      </c>
      <c r="B53" s="232">
        <f t="shared" si="4"/>
        <v>2064</v>
      </c>
      <c r="C53" s="224">
        <f t="shared" si="5"/>
        <v>153340.94496456665</v>
      </c>
      <c r="D53" s="233"/>
      <c r="E53" s="233"/>
      <c r="F53" s="224">
        <f ca="1">(1+$B$4)*F52+IF($A53&lt;=Settings!$B$7,$B$3,-$C53)</f>
        <v>1825122.7562313185</v>
      </c>
      <c r="G53" s="227">
        <f ca="1">(1+$B$4)*G52+IF($A53&lt;=Settings!$B$7,$B$3,-$C53)+SUMIFS($E$64:$E$66,$A$64:$A$66,$A53)</f>
        <v>1940776.1053915231</v>
      </c>
      <c r="H53" s="224">
        <f t="shared" ca="1" si="0"/>
        <v>77631.044215660921</v>
      </c>
      <c r="I53" s="224">
        <f ca="1">(1+$B$5)*I52+IF($A53&lt;=Settings!$B$7,$B$3,-$C53)</f>
        <v>6174716.3147784723</v>
      </c>
      <c r="J53" s="227">
        <f ca="1">(1+$B$5)*J52+IF($A53&lt;=Settings!$B$7,$B$3,-$C53)+SUMIFS($E$64:$E$66,$A$64:$A$66,$A53)</f>
        <v>4785953.4566638106</v>
      </c>
      <c r="K53" s="224">
        <f t="shared" ca="1" si="1"/>
        <v>191438.13826655244</v>
      </c>
      <c r="L53" s="224">
        <f ca="1">(1+$B$6)*L52+IF($A53&lt;=Settings!$B$7,$B$3,-$C53)</f>
        <v>22800014.67777526</v>
      </c>
      <c r="M53" s="227">
        <f ca="1">(1+$B$6)*M52+IF($A53&lt;=Settings!$B$7,$B$3,-$C53)+SUMIFS($E$64:$E$66,$A$64:$A$66,$A53)</f>
        <v>14238455.61803671</v>
      </c>
      <c r="N53" s="224">
        <f t="shared" ca="1" si="2"/>
        <v>569538.2247214684</v>
      </c>
    </row>
    <row r="54" spans="1:14" ht="12.75" customHeight="1" x14ac:dyDescent="0.15">
      <c r="A54" s="232">
        <f t="shared" si="3"/>
        <v>81</v>
      </c>
      <c r="B54" s="232">
        <f t="shared" si="4"/>
        <v>2065</v>
      </c>
      <c r="C54" s="224">
        <f t="shared" si="5"/>
        <v>157174.46858868079</v>
      </c>
      <c r="D54" s="233"/>
      <c r="E54" s="233"/>
      <c r="F54" s="224">
        <f ca="1">(1+$B$4)*F53+IF($A54&lt;=Settings!$B$7,$B$3,-$C54)</f>
        <v>1722701.9703295773</v>
      </c>
      <c r="G54" s="227">
        <f ca="1">(1+$B$4)*G53+IF($A54&lt;=Settings!$B$7,$B$3,-$C54)+SUMIFS($E$64:$E$66,$A$64:$A$66,$A54)</f>
        <v>1841824.919964588</v>
      </c>
      <c r="H54" s="224">
        <f t="shared" ca="1" si="0"/>
        <v>73672.996798583525</v>
      </c>
      <c r="I54" s="224">
        <f ca="1">(1+$B$5)*I53+IF($A54&lt;=Settings!$B$7,$B$3,-$C54)</f>
        <v>6326277.6619287152</v>
      </c>
      <c r="J54" s="227">
        <f ca="1">(1+$B$5)*J53+IF($A54&lt;=Settings!$B$7,$B$3,-$C54)+SUMIFS($E$64:$E$66,$A$64:$A$66,$A54)</f>
        <v>4868076.66090832</v>
      </c>
      <c r="K54" s="224">
        <f t="shared" ca="1" si="1"/>
        <v>194723.0664363328</v>
      </c>
      <c r="L54" s="224">
        <f ca="1">(1+$B$6)*L53+IF($A54&lt;=Settings!$B$7,$B$3,-$C54)</f>
        <v>24466841.383408602</v>
      </c>
      <c r="M54" s="227">
        <f ca="1">(1+$B$6)*M53+IF($A54&lt;=Settings!$B$7,$B$3,-$C54)+SUMIFS($E$64:$E$66,$A$64:$A$66,$A54)</f>
        <v>15220357.598890968</v>
      </c>
      <c r="N54" s="224">
        <f t="shared" ca="1" si="2"/>
        <v>608814.30395563866</v>
      </c>
    </row>
    <row r="55" spans="1:14" ht="12.75" customHeight="1" x14ac:dyDescent="0.15">
      <c r="A55" s="232">
        <f t="shared" si="3"/>
        <v>82</v>
      </c>
      <c r="B55" s="232">
        <f t="shared" si="4"/>
        <v>2066</v>
      </c>
      <c r="C55" s="224">
        <f t="shared" si="5"/>
        <v>161103.83030339779</v>
      </c>
      <c r="D55" s="233"/>
      <c r="E55" s="233"/>
      <c r="F55" s="224">
        <f ca="1">(1+$B$4)*F54+IF($A55&lt;=Settings!$B$7,$B$3,-$C55)</f>
        <v>1613279.1991360669</v>
      </c>
      <c r="G55" s="227">
        <f ca="1">(1+$B$4)*G54+IF($A55&lt;=Settings!$B$7,$B$3,-$C55)+SUMIFS($E$64:$E$66,$A$64:$A$66,$A55)</f>
        <v>1735975.837260128</v>
      </c>
      <c r="H55" s="224">
        <f t="shared" ca="1" si="0"/>
        <v>69439.033490405127</v>
      </c>
      <c r="I55" s="224">
        <f ca="1">(1+$B$5)*I54+IF($A55&lt;=Settings!$B$7,$B$3,-$C55)</f>
        <v>6481487.7147217533</v>
      </c>
      <c r="J55" s="227">
        <f ca="1">(1+$B$5)*J54+IF($A55&lt;=Settings!$B$7,$B$3,-$C55)+SUMIFS($E$64:$E$66,$A$64:$A$66,$A55)</f>
        <v>4950376.6636503385</v>
      </c>
      <c r="K55" s="224">
        <f t="shared" ca="1" si="1"/>
        <v>198015.06654601355</v>
      </c>
      <c r="L55" s="224">
        <f ca="1">(1+$B$6)*L54+IF($A55&lt;=Settings!$B$7,$B$3,-$C55)</f>
        <v>26263084.863777895</v>
      </c>
      <c r="M55" s="227">
        <f ca="1">(1+$B$6)*M54+IF($A55&lt;=Settings!$B$7,$B$3,-$C55)+SUMIFS($E$64:$E$66,$A$64:$A$66,$A55)</f>
        <v>16276882.37649885</v>
      </c>
      <c r="N55" s="224">
        <f t="shared" ca="1" si="2"/>
        <v>651075.29505995405</v>
      </c>
    </row>
    <row r="56" spans="1:14" ht="12.75" customHeight="1" x14ac:dyDescent="0.15">
      <c r="A56" s="232">
        <f t="shared" si="3"/>
        <v>83</v>
      </c>
      <c r="B56" s="232">
        <f t="shared" si="4"/>
        <v>2067</v>
      </c>
      <c r="C56" s="224">
        <f t="shared" si="5"/>
        <v>165131.42606098272</v>
      </c>
      <c r="D56" s="233"/>
      <c r="E56" s="233"/>
      <c r="F56" s="224">
        <f ca="1">(1+$B$4)*F55+IF($A56&lt;=Settings!$B$7,$B$3,-$C56)</f>
        <v>1496546.1490491664</v>
      </c>
      <c r="G56" s="227">
        <f ca="1">(1+$B$4)*G55+IF($A56&lt;=Settings!$B$7,$B$3,-$C56)+SUMIFS($E$64:$E$66,$A$64:$A$66,$A56)</f>
        <v>1622923.6863169491</v>
      </c>
      <c r="H56" s="224">
        <f t="shared" ca="1" si="0"/>
        <v>64916.947452677967</v>
      </c>
      <c r="I56" s="224">
        <f ca="1">(1+$B$5)*I55+IF($A56&lt;=Settings!$B$7,$B$3,-$C56)</f>
        <v>6640430.6743968586</v>
      </c>
      <c r="J56" s="227">
        <f ca="1">(1+$B$5)*J55+IF($A56&lt;=Settings!$B$7,$B$3,-$C56)+SUMIFS($E$64:$E$66,$A$64:$A$66,$A56)</f>
        <v>5032764.070771873</v>
      </c>
      <c r="K56" s="224">
        <f t="shared" ca="1" si="1"/>
        <v>201310.56283087493</v>
      </c>
      <c r="L56" s="224">
        <f ca="1">(1+$B$6)*L55+IF($A56&lt;=Settings!$B$7,$B$3,-$C56)</f>
        <v>28199000.226819146</v>
      </c>
      <c r="M56" s="227">
        <f ca="1">(1+$B$6)*M55+IF($A56&lt;=Settings!$B$7,$B$3,-$C56)+SUMIFS($E$64:$E$66,$A$64:$A$66,$A56)</f>
        <v>17413901.540557776</v>
      </c>
      <c r="N56" s="224">
        <f t="shared" ca="1" si="2"/>
        <v>696556.06162231101</v>
      </c>
    </row>
    <row r="57" spans="1:14" ht="12.75" customHeight="1" x14ac:dyDescent="0.15">
      <c r="A57" s="232">
        <f t="shared" si="3"/>
        <v>84</v>
      </c>
      <c r="B57" s="232">
        <f t="shared" si="4"/>
        <v>2068</v>
      </c>
      <c r="C57" s="224">
        <f t="shared" si="5"/>
        <v>169259.71171250727</v>
      </c>
      <c r="D57" s="233"/>
      <c r="E57" s="233"/>
      <c r="F57" s="224">
        <f ca="1">(1+$B$4)*F56+IF($A57&lt;=Settings!$B$7,$B$3,-$C57)</f>
        <v>1372182.8218081342</v>
      </c>
      <c r="G57" s="227">
        <f ca="1">(1+$B$4)*G56+IF($A57&lt;=Settings!$B$7,$B$3,-$C57)+SUMIFS($E$64:$E$66,$A$64:$A$66,$A57)</f>
        <v>1502351.6851939503</v>
      </c>
      <c r="H57" s="224">
        <f t="shared" ca="1" si="0"/>
        <v>60094.067407758012</v>
      </c>
      <c r="I57" s="224">
        <f ca="1">(1+$B$5)*I56+IF($A57&lt;=Settings!$B$7,$B$3,-$C57)</f>
        <v>6803192.4964041943</v>
      </c>
      <c r="J57" s="227">
        <f ca="1">(1+$B$5)*J56+IF($A57&lt;=Settings!$B$7,$B$3,-$C57)+SUMIFS($E$64:$E$66,$A$64:$A$66,$A57)</f>
        <v>5115142.5625979593</v>
      </c>
      <c r="K57" s="224">
        <f t="shared" ca="1" si="1"/>
        <v>204605.70250391838</v>
      </c>
      <c r="L57" s="224">
        <f ca="1">(1+$B$6)*L56+IF($A57&lt;=Settings!$B$7,$B$3,-$C57)</f>
        <v>30285660.533252176</v>
      </c>
      <c r="M57" s="227">
        <f ca="1">(1+$B$6)*M56+IF($A57&lt;=Settings!$B$7,$B$3,-$C57)+SUMIFS($E$64:$E$66,$A$64:$A$66,$A57)</f>
        <v>18637753.952089895</v>
      </c>
      <c r="N57" s="224">
        <f t="shared" ca="1" si="2"/>
        <v>745510.1580835958</v>
      </c>
    </row>
    <row r="58" spans="1:14" ht="12.75" customHeight="1" x14ac:dyDescent="0.15">
      <c r="A58" s="232">
        <f t="shared" si="3"/>
        <v>85</v>
      </c>
      <c r="B58" s="232">
        <f t="shared" si="4"/>
        <v>2069</v>
      </c>
      <c r="C58" s="224">
        <f t="shared" si="5"/>
        <v>173491.20450531994</v>
      </c>
      <c r="D58" s="233"/>
      <c r="E58" s="233"/>
      <c r="F58" s="224">
        <f ca="1">(1+$B$4)*F57+IF($A58&lt;=Settings!$B$7,$B$3,-$C58)</f>
        <v>1239857.1019570583</v>
      </c>
      <c r="G58" s="227">
        <f ca="1">(1+$B$4)*G57+IF($A58&lt;=Settings!$B$7,$B$3,-$C58)+SUMIFS($E$64:$E$66,$A$64:$A$66,$A58)</f>
        <v>1373931.0312444489</v>
      </c>
      <c r="H58" s="224">
        <f t="shared" ca="1" si="0"/>
        <v>54957.241249777959</v>
      </c>
      <c r="I58" s="224">
        <f ca="1">(1+$B$5)*I57+IF($A58&lt;=Settings!$B$7,$B$3,-$C58)</f>
        <v>6969860.9167190846</v>
      </c>
      <c r="J58" s="227">
        <f ca="1">(1+$B$5)*J57+IF($A58&lt;=Settings!$B$7,$B$3,-$C58)+SUMIFS($E$64:$E$66,$A$64:$A$66,$A58)</f>
        <v>5197408.4862225382</v>
      </c>
      <c r="K58" s="224">
        <f t="shared" ca="1" si="1"/>
        <v>207896.33944890153</v>
      </c>
      <c r="L58" s="224">
        <f ca="1">(1+$B$6)*L57+IF($A58&lt;=Settings!$B$7,$B$3,-$C58)</f>
        <v>32535022.171407033</v>
      </c>
      <c r="M58" s="227">
        <f ca="1">(1+$B$6)*M57+IF($A58&lt;=Settings!$B$7,$B$3,-$C58)+SUMIFS($E$64:$E$66,$A$64:$A$66,$A58)</f>
        <v>19955283.063751768</v>
      </c>
      <c r="N58" s="224">
        <f t="shared" ca="1" si="2"/>
        <v>798211.3225500707</v>
      </c>
    </row>
    <row r="59" spans="1:14" ht="12.75" customHeight="1" x14ac:dyDescent="0.15">
      <c r="B59" s="241"/>
      <c r="C59" s="241"/>
      <c r="D59" s="241"/>
      <c r="E59" s="241"/>
      <c r="F59" s="241"/>
      <c r="G59" s="241"/>
      <c r="H59" s="241"/>
    </row>
    <row r="60" spans="1:14" ht="12.75" customHeight="1" x14ac:dyDescent="0.15">
      <c r="A60" s="175" t="s">
        <v>377</v>
      </c>
      <c r="B60" s="241"/>
      <c r="C60" s="241"/>
      <c r="D60" s="241"/>
      <c r="E60" s="241"/>
      <c r="F60" s="241"/>
      <c r="G60" s="241"/>
      <c r="H60" s="241"/>
    </row>
    <row r="62" spans="1:14" ht="13.5" customHeight="1" x14ac:dyDescent="0.15">
      <c r="A62" s="33" t="s">
        <v>378</v>
      </c>
    </row>
    <row r="63" spans="1:14" ht="13.5" customHeight="1" x14ac:dyDescent="0.15">
      <c r="A63" s="113" t="s">
        <v>364</v>
      </c>
      <c r="B63" s="113" t="s">
        <v>379</v>
      </c>
      <c r="C63" s="113" t="s">
        <v>380</v>
      </c>
      <c r="D63" s="113" t="s">
        <v>381</v>
      </c>
      <c r="E63" s="113" t="s">
        <v>382</v>
      </c>
    </row>
    <row r="64" spans="1:14" ht="12.75" customHeight="1" x14ac:dyDescent="0.15">
      <c r="A64" s="242">
        <v>55</v>
      </c>
      <c r="B64" s="242" t="s">
        <v>383</v>
      </c>
      <c r="C64" s="48">
        <v>450000</v>
      </c>
      <c r="D64" s="49">
        <v>2.5000000000000001E-2</v>
      </c>
      <c r="E64" s="30">
        <f>C64*(1+D64)^(A64-Settings!$B$5)</f>
        <v>620329.97018360475</v>
      </c>
    </row>
    <row r="65" spans="1:5" ht="12.75" customHeight="1" x14ac:dyDescent="0.15">
      <c r="A65" s="242">
        <v>62</v>
      </c>
      <c r="B65" s="242" t="s">
        <v>384</v>
      </c>
      <c r="C65" s="48">
        <v>140000</v>
      </c>
      <c r="D65" s="49">
        <v>0.03</v>
      </c>
      <c r="E65" s="30">
        <f>C65*(1+D65)^(A65-Settings!$B$5)</f>
        <v>252855.57285371787</v>
      </c>
    </row>
    <row r="66" spans="1:5" ht="12.75" customHeight="1" x14ac:dyDescent="0.15">
      <c r="A66" s="242">
        <v>65</v>
      </c>
      <c r="B66" s="242" t="s">
        <v>385</v>
      </c>
      <c r="C66" s="48">
        <v>262000</v>
      </c>
      <c r="D66" s="49">
        <v>0.04</v>
      </c>
      <c r="E66" s="30">
        <f>C66*(1+D66)^(A66-Settings!$B$5)</f>
        <v>645755.47230926843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$A15=Settings!$B$7</xm:f>
            <x14:dxf>
              <fill>
                <patternFill>
                  <bgColor rgb="FFFFE699"/>
                </patternFill>
              </fill>
            </x14:dxf>
          </x14:cfRule>
          <xm:sqref>A15:N58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C40"/>
  <sheetViews>
    <sheetView showGridLines="0" workbookViewId="0"/>
  </sheetViews>
  <sheetFormatPr baseColWidth="10" defaultColWidth="8.83203125" defaultRowHeight="13" x14ac:dyDescent="0.15"/>
  <cols>
    <col min="1" max="1" width="46" customWidth="1"/>
    <col min="2" max="2" width="16" customWidth="1"/>
    <col min="3" max="3" width="9" customWidth="1"/>
  </cols>
  <sheetData>
    <row r="1" spans="1:3" ht="20" x14ac:dyDescent="0.15">
      <c r="A1" s="301" t="s">
        <v>543</v>
      </c>
    </row>
    <row r="2" spans="1:3" ht="28" x14ac:dyDescent="0.15">
      <c r="A2" s="302" t="s">
        <v>544</v>
      </c>
    </row>
    <row r="3" spans="1:3" ht="70" x14ac:dyDescent="0.15">
      <c r="A3" s="302" t="s">
        <v>545</v>
      </c>
    </row>
    <row r="4" spans="1:3" ht="56" x14ac:dyDescent="0.15">
      <c r="A4" s="302" t="s">
        <v>546</v>
      </c>
    </row>
    <row r="6" spans="1:3" ht="14" x14ac:dyDescent="0.15">
      <c r="A6" s="303" t="s">
        <v>547</v>
      </c>
      <c r="B6" s="303" t="s">
        <v>548</v>
      </c>
      <c r="C6" s="303" t="s">
        <v>548</v>
      </c>
    </row>
    <row r="7" spans="1:3" ht="14" x14ac:dyDescent="0.15">
      <c r="A7" s="304" t="s">
        <v>549</v>
      </c>
      <c r="B7" s="305">
        <v>50000</v>
      </c>
      <c r="C7" s="311" t="s">
        <v>550</v>
      </c>
    </row>
    <row r="8" spans="1:3" ht="14" x14ac:dyDescent="0.15">
      <c r="A8" s="304" t="s">
        <v>551</v>
      </c>
      <c r="B8" s="305">
        <v>10000</v>
      </c>
      <c r="C8" s="311" t="s">
        <v>552</v>
      </c>
    </row>
    <row r="9" spans="1:3" ht="14" x14ac:dyDescent="0.15">
      <c r="A9" s="304" t="s">
        <v>553</v>
      </c>
      <c r="B9" s="307">
        <v>28</v>
      </c>
      <c r="C9" s="311" t="s">
        <v>554</v>
      </c>
    </row>
    <row r="10" spans="1:3" ht="14" x14ac:dyDescent="0.15">
      <c r="A10" s="304" t="s">
        <v>555</v>
      </c>
      <c r="B10" s="306">
        <f>Settings!$B$13</f>
        <v>0.05</v>
      </c>
      <c r="C10" s="311" t="s">
        <v>556</v>
      </c>
    </row>
    <row r="11" spans="1:3" x14ac:dyDescent="0.15">
      <c r="A11" s="312" t="s">
        <v>557</v>
      </c>
      <c r="B11" s="308">
        <f>FV(B10,B9,-B8,-B7,1)</f>
        <v>809233.57599924935</v>
      </c>
    </row>
    <row r="13" spans="1:3" ht="14" x14ac:dyDescent="0.15">
      <c r="A13" s="303" t="s">
        <v>558</v>
      </c>
      <c r="B13" s="303" t="s">
        <v>548</v>
      </c>
      <c r="C13" s="303" t="s">
        <v>548</v>
      </c>
    </row>
    <row r="14" spans="1:3" ht="14" x14ac:dyDescent="0.15">
      <c r="A14" s="304" t="s">
        <v>549</v>
      </c>
      <c r="B14" s="305">
        <v>50000</v>
      </c>
      <c r="C14" s="311" t="s">
        <v>550</v>
      </c>
    </row>
    <row r="15" spans="1:3" ht="14" x14ac:dyDescent="0.15">
      <c r="A15" s="304" t="s">
        <v>551</v>
      </c>
      <c r="B15" s="305">
        <v>10000</v>
      </c>
      <c r="C15" s="311" t="s">
        <v>552</v>
      </c>
    </row>
    <row r="16" spans="1:3" ht="14" x14ac:dyDescent="0.15">
      <c r="A16" s="304" t="s">
        <v>553</v>
      </c>
      <c r="B16" s="307">
        <v>28</v>
      </c>
      <c r="C16" s="311" t="s">
        <v>554</v>
      </c>
    </row>
    <row r="17" spans="1:3" ht="14" x14ac:dyDescent="0.15">
      <c r="A17" s="304" t="s">
        <v>559</v>
      </c>
      <c r="B17" s="305">
        <v>800000</v>
      </c>
      <c r="C17" s="311" t="s">
        <v>550</v>
      </c>
    </row>
    <row r="18" spans="1:3" x14ac:dyDescent="0.15">
      <c r="A18" s="312" t="s">
        <v>560</v>
      </c>
      <c r="B18" s="309">
        <f>IFERROR(RATE(B16,-B15,-B14,B17,1),"")</f>
        <v>4.9400440457586181E-2</v>
      </c>
      <c r="C18" s="311" t="s">
        <v>556</v>
      </c>
    </row>
    <row r="20" spans="1:3" ht="14" x14ac:dyDescent="0.15">
      <c r="A20" s="303" t="s">
        <v>561</v>
      </c>
      <c r="B20" s="303" t="s">
        <v>548</v>
      </c>
      <c r="C20" s="303" t="s">
        <v>548</v>
      </c>
    </row>
    <row r="21" spans="1:3" ht="14" x14ac:dyDescent="0.15">
      <c r="A21" s="304" t="s">
        <v>549</v>
      </c>
      <c r="B21" s="305">
        <v>50000</v>
      </c>
      <c r="C21" s="311" t="s">
        <v>550</v>
      </c>
    </row>
    <row r="22" spans="1:3" ht="14" x14ac:dyDescent="0.15">
      <c r="A22" s="304" t="s">
        <v>551</v>
      </c>
      <c r="B22" s="305">
        <v>16000</v>
      </c>
      <c r="C22" s="311" t="s">
        <v>552</v>
      </c>
    </row>
    <row r="23" spans="1:3" ht="14" x14ac:dyDescent="0.15">
      <c r="A23" s="304" t="s">
        <v>559</v>
      </c>
      <c r="B23" s="305">
        <v>800000</v>
      </c>
      <c r="C23" s="311" t="s">
        <v>550</v>
      </c>
    </row>
    <row r="24" spans="1:3" ht="14" x14ac:dyDescent="0.15">
      <c r="A24" s="304" t="s">
        <v>555</v>
      </c>
      <c r="B24" s="306">
        <f>Settings!$B$13</f>
        <v>0.05</v>
      </c>
      <c r="C24" s="311" t="s">
        <v>556</v>
      </c>
    </row>
    <row r="25" spans="1:3" x14ac:dyDescent="0.15">
      <c r="A25" s="312" t="s">
        <v>562</v>
      </c>
      <c r="B25" s="310">
        <f>IFERROR(NPER(B24,-B22,-B21,B23,1),"")</f>
        <v>22.123951583105139</v>
      </c>
      <c r="C25" s="311" t="s">
        <v>554</v>
      </c>
    </row>
    <row r="27" spans="1:3" ht="14" x14ac:dyDescent="0.15">
      <c r="A27" s="303" t="s">
        <v>563</v>
      </c>
      <c r="B27" s="303" t="s">
        <v>548</v>
      </c>
      <c r="C27" s="303" t="s">
        <v>548</v>
      </c>
    </row>
    <row r="28" spans="1:3" ht="14" x14ac:dyDescent="0.15">
      <c r="A28" s="304" t="s">
        <v>559</v>
      </c>
      <c r="B28" s="305">
        <v>800000</v>
      </c>
      <c r="C28" s="311" t="s">
        <v>550</v>
      </c>
    </row>
    <row r="29" spans="1:3" ht="14" x14ac:dyDescent="0.15">
      <c r="A29" s="304" t="s">
        <v>553</v>
      </c>
      <c r="B29" s="307">
        <v>28</v>
      </c>
      <c r="C29" s="311" t="s">
        <v>554</v>
      </c>
    </row>
    <row r="30" spans="1:3" ht="14" x14ac:dyDescent="0.15">
      <c r="A30" s="304" t="s">
        <v>555</v>
      </c>
      <c r="B30" s="306">
        <f>Settings!$B$13</f>
        <v>0.05</v>
      </c>
      <c r="C30" s="311" t="s">
        <v>556</v>
      </c>
    </row>
    <row r="31" spans="1:3" x14ac:dyDescent="0.15">
      <c r="A31" s="312" t="s">
        <v>564</v>
      </c>
    </row>
    <row r="32" spans="1:3" x14ac:dyDescent="0.15">
      <c r="A32" s="312" t="s">
        <v>565</v>
      </c>
      <c r="B32" s="308">
        <f>-PV(B30,B29,0,B28)</f>
        <v>204074.90971446686</v>
      </c>
      <c r="C32" s="311" t="s">
        <v>550</v>
      </c>
    </row>
    <row r="33" spans="1:3" x14ac:dyDescent="0.15">
      <c r="A33" s="312" t="s">
        <v>566</v>
      </c>
      <c r="B33" s="308">
        <f>-PMT(B30,B29,0,B28,1)</f>
        <v>13045.737461921326</v>
      </c>
      <c r="C33" s="311" t="s">
        <v>552</v>
      </c>
    </row>
    <row r="34" spans="1:3" x14ac:dyDescent="0.15">
      <c r="A34" s="312" t="s">
        <v>567</v>
      </c>
    </row>
    <row r="35" spans="1:3" ht="14" x14ac:dyDescent="0.15">
      <c r="A35" s="304" t="s">
        <v>568</v>
      </c>
      <c r="B35" s="305">
        <v>25000</v>
      </c>
      <c r="C35" s="311" t="s">
        <v>550</v>
      </c>
    </row>
    <row r="36" spans="1:3" x14ac:dyDescent="0.15">
      <c r="A36" s="312" t="s">
        <v>569</v>
      </c>
      <c r="B36" s="308">
        <f>-PMT(B30,B29,-B35,B28,1)</f>
        <v>11447.581975760098</v>
      </c>
      <c r="C36" s="311" t="s">
        <v>552</v>
      </c>
    </row>
    <row r="37" spans="1:3" ht="14" x14ac:dyDescent="0.15">
      <c r="A37" s="304" t="s">
        <v>570</v>
      </c>
      <c r="B37" s="305">
        <v>8000</v>
      </c>
      <c r="C37" s="311" t="s">
        <v>552</v>
      </c>
    </row>
    <row r="38" spans="1:3" x14ac:dyDescent="0.15">
      <c r="A38" s="312" t="s">
        <v>571</v>
      </c>
      <c r="B38" s="308">
        <f>-PV(B30,B29,-B37,B28,1)</f>
        <v>78930.640754504886</v>
      </c>
      <c r="C38" s="311" t="s">
        <v>550</v>
      </c>
    </row>
    <row r="40" spans="1:3" ht="42" x14ac:dyDescent="0.15">
      <c r="A40" s="302" t="s">
        <v>572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M104857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4" max="4" width="18.6640625" customWidth="1"/>
    <col min="5" max="5" width="10.83203125" customWidth="1"/>
    <col min="6" max="6" width="18.6640625" customWidth="1"/>
    <col min="8" max="8" width="16.6640625" customWidth="1"/>
    <col min="9" max="9" width="34.6640625" customWidth="1"/>
    <col min="10" max="10" width="18.6640625" customWidth="1"/>
    <col min="11" max="11" width="16.6640625" customWidth="1"/>
  </cols>
  <sheetData>
    <row r="1" spans="1:13" ht="15" customHeight="1" x14ac:dyDescent="0.2">
      <c r="A1" s="243" t="s">
        <v>386</v>
      </c>
      <c r="B1" s="243" t="s">
        <v>387</v>
      </c>
      <c r="C1" s="243" t="s">
        <v>388</v>
      </c>
      <c r="D1" s="243" t="s">
        <v>389</v>
      </c>
      <c r="E1" s="243" t="s">
        <v>390</v>
      </c>
      <c r="F1" s="243" t="s">
        <v>391</v>
      </c>
      <c r="G1" s="243" t="s">
        <v>392</v>
      </c>
      <c r="H1" s="243" t="s">
        <v>393</v>
      </c>
      <c r="I1" s="243" t="s">
        <v>394</v>
      </c>
      <c r="J1" s="243" t="s">
        <v>395</v>
      </c>
      <c r="K1" s="243" t="s">
        <v>396</v>
      </c>
      <c r="L1" s="243" t="s">
        <v>397</v>
      </c>
      <c r="M1" s="243" t="s">
        <v>398</v>
      </c>
    </row>
    <row r="2" spans="1:13" ht="15" customHeight="1" x14ac:dyDescent="0.15">
      <c r="A2" s="244">
        <v>1</v>
      </c>
      <c r="B2" s="245" t="s">
        <v>399</v>
      </c>
      <c r="C2" s="245" t="s">
        <v>400</v>
      </c>
      <c r="D2" s="246">
        <v>400</v>
      </c>
      <c r="E2" s="245" t="s">
        <v>401</v>
      </c>
      <c r="F2" s="247">
        <v>75</v>
      </c>
      <c r="G2" s="248">
        <v>43525</v>
      </c>
      <c r="H2" s="247">
        <v>30000</v>
      </c>
      <c r="I2" s="245" t="s">
        <v>402</v>
      </c>
      <c r="J2" s="249" t="str">
        <f t="shared" ref="J2:J21" si="0">IF(OR(B2="",C2="",E2=""),"",B2&amp;":"&amp;C2&amp;":"&amp;E2)</f>
        <v>CA:GOLD:SGD</v>
      </c>
      <c r="K2" s="250">
        <f t="shared" ref="K2:K21" si="1">IF(A2="",0,A2*D2)</f>
        <v>400</v>
      </c>
      <c r="L2" s="249">
        <f t="shared" ref="L2:L21" si="2">IF(A2="",0,IF(OR(A2=1,A2=0),H2,0))</f>
        <v>30000</v>
      </c>
      <c r="M2" s="249">
        <f t="shared" ref="M2:M21" si="3">IF(A2=-1,H2,0)</f>
        <v>0</v>
      </c>
    </row>
    <row r="3" spans="1:13" ht="15" customHeight="1" x14ac:dyDescent="0.15">
      <c r="A3" s="244">
        <v>1</v>
      </c>
      <c r="B3" s="245" t="s">
        <v>403</v>
      </c>
      <c r="C3" s="245" t="s">
        <v>404</v>
      </c>
      <c r="D3" s="246">
        <v>3000</v>
      </c>
      <c r="E3" s="245" t="s">
        <v>401</v>
      </c>
      <c r="F3" s="247">
        <v>3.1</v>
      </c>
      <c r="G3" s="248">
        <v>43770</v>
      </c>
      <c r="H3" s="247">
        <v>9325</v>
      </c>
      <c r="I3" s="245"/>
      <c r="J3" s="249" t="str">
        <f t="shared" si="0"/>
        <v>SGX:Z74:SGD</v>
      </c>
      <c r="K3" s="250">
        <f t="shared" si="1"/>
        <v>3000</v>
      </c>
      <c r="L3" s="249">
        <f t="shared" si="2"/>
        <v>9325</v>
      </c>
      <c r="M3" s="249">
        <f t="shared" si="3"/>
        <v>0</v>
      </c>
    </row>
    <row r="4" spans="1:13" ht="15" customHeight="1" x14ac:dyDescent="0.15">
      <c r="A4" s="244">
        <v>1</v>
      </c>
      <c r="B4" s="245" t="s">
        <v>405</v>
      </c>
      <c r="C4" s="245" t="s">
        <v>406</v>
      </c>
      <c r="D4" s="246">
        <v>50</v>
      </c>
      <c r="E4" s="245" t="s">
        <v>407</v>
      </c>
      <c r="F4" s="247">
        <v>80</v>
      </c>
      <c r="G4" s="248">
        <v>43966</v>
      </c>
      <c r="H4" s="247">
        <v>4005</v>
      </c>
      <c r="I4" s="245"/>
      <c r="J4" s="249" t="str">
        <f t="shared" si="0"/>
        <v>USX:AAPL:USD</v>
      </c>
      <c r="K4" s="250">
        <f t="shared" si="1"/>
        <v>50</v>
      </c>
      <c r="L4" s="249">
        <f t="shared" si="2"/>
        <v>4005</v>
      </c>
      <c r="M4" s="249">
        <f t="shared" si="3"/>
        <v>0</v>
      </c>
    </row>
    <row r="5" spans="1:13" ht="15" customHeight="1" x14ac:dyDescent="0.15">
      <c r="A5" s="244">
        <v>1</v>
      </c>
      <c r="B5" s="245" t="s">
        <v>403</v>
      </c>
      <c r="C5" s="245" t="s">
        <v>408</v>
      </c>
      <c r="D5" s="246">
        <v>5000</v>
      </c>
      <c r="E5" s="245" t="s">
        <v>401</v>
      </c>
      <c r="F5" s="247">
        <v>1.9</v>
      </c>
      <c r="G5" s="248">
        <v>44046</v>
      </c>
      <c r="H5" s="247">
        <v>9525</v>
      </c>
      <c r="I5" s="245"/>
      <c r="J5" s="249" t="str">
        <f t="shared" si="0"/>
        <v>SGX:C38U:SGD</v>
      </c>
      <c r="K5" s="250">
        <f t="shared" si="1"/>
        <v>5000</v>
      </c>
      <c r="L5" s="249">
        <f t="shared" si="2"/>
        <v>9525</v>
      </c>
      <c r="M5" s="249">
        <f t="shared" si="3"/>
        <v>0</v>
      </c>
    </row>
    <row r="6" spans="1:13" ht="15" customHeight="1" x14ac:dyDescent="0.15">
      <c r="A6" s="244">
        <v>1</v>
      </c>
      <c r="B6" s="245" t="s">
        <v>409</v>
      </c>
      <c r="C6" s="245" t="s">
        <v>410</v>
      </c>
      <c r="D6" s="246">
        <v>0.05</v>
      </c>
      <c r="E6" s="245" t="s">
        <v>407</v>
      </c>
      <c r="F6" s="247">
        <v>20000</v>
      </c>
      <c r="G6" s="248">
        <v>44166</v>
      </c>
      <c r="H6" s="247">
        <v>1000</v>
      </c>
      <c r="I6" s="245"/>
      <c r="J6" s="249" t="str">
        <f t="shared" si="0"/>
        <v>CG:BITCOIN:USD</v>
      </c>
      <c r="K6" s="250">
        <f t="shared" si="1"/>
        <v>0.05</v>
      </c>
      <c r="L6" s="249">
        <f t="shared" si="2"/>
        <v>1000</v>
      </c>
      <c r="M6" s="249">
        <f t="shared" si="3"/>
        <v>0</v>
      </c>
    </row>
    <row r="7" spans="1:13" ht="15" customHeight="1" x14ac:dyDescent="0.15">
      <c r="A7" s="244">
        <v>1</v>
      </c>
      <c r="B7" s="245" t="s">
        <v>411</v>
      </c>
      <c r="C7" s="245" t="s">
        <v>412</v>
      </c>
      <c r="D7" s="246">
        <v>100</v>
      </c>
      <c r="E7" s="245" t="s">
        <v>413</v>
      </c>
      <c r="F7" s="247">
        <v>600</v>
      </c>
      <c r="G7" s="248">
        <v>44228</v>
      </c>
      <c r="H7" s="247">
        <v>60100</v>
      </c>
      <c r="I7" s="245" t="s">
        <v>414</v>
      </c>
      <c r="J7" s="249" t="str">
        <f t="shared" si="0"/>
        <v>HKEX:700:HKD</v>
      </c>
      <c r="K7" s="250">
        <f t="shared" si="1"/>
        <v>100</v>
      </c>
      <c r="L7" s="249">
        <f t="shared" si="2"/>
        <v>60100</v>
      </c>
      <c r="M7" s="249">
        <f t="shared" si="3"/>
        <v>0</v>
      </c>
    </row>
    <row r="8" spans="1:13" ht="15" customHeight="1" x14ac:dyDescent="0.15">
      <c r="A8" s="244">
        <v>1</v>
      </c>
      <c r="B8" s="245" t="s">
        <v>405</v>
      </c>
      <c r="C8" s="245" t="s">
        <v>415</v>
      </c>
      <c r="D8" s="246">
        <v>20</v>
      </c>
      <c r="E8" s="245" t="s">
        <v>407</v>
      </c>
      <c r="F8" s="247">
        <v>230</v>
      </c>
      <c r="G8" s="248">
        <v>44256</v>
      </c>
      <c r="H8" s="247">
        <v>4605</v>
      </c>
      <c r="I8" s="245"/>
      <c r="J8" s="249" t="str">
        <f t="shared" si="0"/>
        <v>USX:MSFT:USD</v>
      </c>
      <c r="K8" s="250">
        <f t="shared" si="1"/>
        <v>20</v>
      </c>
      <c r="L8" s="249">
        <f t="shared" si="2"/>
        <v>4605</v>
      </c>
      <c r="M8" s="249">
        <f t="shared" si="3"/>
        <v>0</v>
      </c>
    </row>
    <row r="9" spans="1:13" ht="15" customHeight="1" x14ac:dyDescent="0.15">
      <c r="A9" s="244">
        <v>1</v>
      </c>
      <c r="B9" s="245" t="s">
        <v>403</v>
      </c>
      <c r="C9" s="245" t="s">
        <v>416</v>
      </c>
      <c r="D9" s="246">
        <v>4000</v>
      </c>
      <c r="E9" s="245" t="s">
        <v>401</v>
      </c>
      <c r="F9" s="247">
        <v>2.95</v>
      </c>
      <c r="G9" s="248">
        <v>44326</v>
      </c>
      <c r="H9" s="247">
        <v>11825</v>
      </c>
      <c r="I9" s="245"/>
      <c r="J9" s="249" t="str">
        <f t="shared" si="0"/>
        <v>SGX:A17U:SGD</v>
      </c>
      <c r="K9" s="250">
        <f t="shared" si="1"/>
        <v>4000</v>
      </c>
      <c r="L9" s="249">
        <f t="shared" si="2"/>
        <v>11825</v>
      </c>
      <c r="M9" s="249">
        <f t="shared" si="3"/>
        <v>0</v>
      </c>
    </row>
    <row r="10" spans="1:13" ht="15" customHeight="1" x14ac:dyDescent="0.15">
      <c r="A10" s="244">
        <v>0</v>
      </c>
      <c r="B10" s="245" t="s">
        <v>403</v>
      </c>
      <c r="C10" s="245" t="s">
        <v>416</v>
      </c>
      <c r="D10" s="246">
        <v>0</v>
      </c>
      <c r="E10" s="245" t="s">
        <v>401</v>
      </c>
      <c r="F10" s="247">
        <v>0</v>
      </c>
      <c r="G10" s="248">
        <v>44326</v>
      </c>
      <c r="H10" s="247">
        <v>25</v>
      </c>
      <c r="I10" s="245" t="s">
        <v>417</v>
      </c>
      <c r="J10" s="249" t="str">
        <f t="shared" si="0"/>
        <v>SGX:A17U:SGD</v>
      </c>
      <c r="K10" s="250">
        <f t="shared" si="1"/>
        <v>0</v>
      </c>
      <c r="L10" s="249">
        <f t="shared" si="2"/>
        <v>25</v>
      </c>
      <c r="M10" s="249">
        <f t="shared" si="3"/>
        <v>0</v>
      </c>
    </row>
    <row r="11" spans="1:13" ht="15" customHeight="1" x14ac:dyDescent="0.15">
      <c r="A11" s="244">
        <v>1</v>
      </c>
      <c r="B11" s="245" t="s">
        <v>399</v>
      </c>
      <c r="C11" s="245" t="s">
        <v>400</v>
      </c>
      <c r="D11" s="246">
        <v>300</v>
      </c>
      <c r="E11" s="245" t="s">
        <v>401</v>
      </c>
      <c r="F11" s="247">
        <v>85</v>
      </c>
      <c r="G11" s="248">
        <v>44348</v>
      </c>
      <c r="H11" s="247">
        <v>25500</v>
      </c>
      <c r="I11" s="245"/>
      <c r="J11" s="249" t="str">
        <f t="shared" si="0"/>
        <v>CA:GOLD:SGD</v>
      </c>
      <c r="K11" s="250">
        <f t="shared" si="1"/>
        <v>300</v>
      </c>
      <c r="L11" s="249">
        <f t="shared" si="2"/>
        <v>25500</v>
      </c>
      <c r="M11" s="249">
        <f t="shared" si="3"/>
        <v>0</v>
      </c>
    </row>
    <row r="12" spans="1:13" ht="15" customHeight="1" x14ac:dyDescent="0.15">
      <c r="A12" s="244">
        <v>1</v>
      </c>
      <c r="B12" s="245" t="s">
        <v>405</v>
      </c>
      <c r="C12" s="245" t="s">
        <v>406</v>
      </c>
      <c r="D12" s="246">
        <v>30</v>
      </c>
      <c r="E12" s="245" t="s">
        <v>407</v>
      </c>
      <c r="F12" s="247">
        <v>170</v>
      </c>
      <c r="G12" s="248">
        <v>44571</v>
      </c>
      <c r="H12" s="247">
        <v>5105</v>
      </c>
      <c r="I12" s="245"/>
      <c r="J12" s="249" t="str">
        <f t="shared" si="0"/>
        <v>USX:AAPL:USD</v>
      </c>
      <c r="K12" s="250">
        <f t="shared" si="1"/>
        <v>30</v>
      </c>
      <c r="L12" s="249">
        <f t="shared" si="2"/>
        <v>5105</v>
      </c>
      <c r="M12" s="249">
        <f t="shared" si="3"/>
        <v>0</v>
      </c>
    </row>
    <row r="13" spans="1:13" ht="15" customHeight="1" x14ac:dyDescent="0.15">
      <c r="A13" s="244">
        <v>1</v>
      </c>
      <c r="B13" s="245" t="s">
        <v>403</v>
      </c>
      <c r="C13" s="245" t="s">
        <v>408</v>
      </c>
      <c r="D13" s="246">
        <v>3000</v>
      </c>
      <c r="E13" s="245" t="s">
        <v>401</v>
      </c>
      <c r="F13" s="247">
        <v>2.2000000000000002</v>
      </c>
      <c r="G13" s="248">
        <v>44621</v>
      </c>
      <c r="H13" s="247">
        <v>6625</v>
      </c>
      <c r="I13" s="245"/>
      <c r="J13" s="249" t="str">
        <f t="shared" si="0"/>
        <v>SGX:C38U:SGD</v>
      </c>
      <c r="K13" s="250">
        <f t="shared" si="1"/>
        <v>3000</v>
      </c>
      <c r="L13" s="249">
        <f t="shared" si="2"/>
        <v>6625</v>
      </c>
      <c r="M13" s="249">
        <f t="shared" si="3"/>
        <v>0</v>
      </c>
    </row>
    <row r="14" spans="1:13" ht="15" customHeight="1" x14ac:dyDescent="0.15">
      <c r="A14" s="244">
        <v>1</v>
      </c>
      <c r="B14" s="245" t="s">
        <v>405</v>
      </c>
      <c r="C14" s="245" t="s">
        <v>418</v>
      </c>
      <c r="D14" s="246">
        <v>40</v>
      </c>
      <c r="E14" s="245" t="s">
        <v>407</v>
      </c>
      <c r="F14" s="247">
        <v>120</v>
      </c>
      <c r="G14" s="248">
        <v>44837</v>
      </c>
      <c r="H14" s="247">
        <v>4805</v>
      </c>
      <c r="I14" s="245"/>
      <c r="J14" s="249" t="str">
        <f t="shared" si="0"/>
        <v>USX:NVDA:USD</v>
      </c>
      <c r="K14" s="250">
        <f t="shared" si="1"/>
        <v>40</v>
      </c>
      <c r="L14" s="249">
        <f t="shared" si="2"/>
        <v>4805</v>
      </c>
      <c r="M14" s="249">
        <f t="shared" si="3"/>
        <v>0</v>
      </c>
    </row>
    <row r="15" spans="1:13" ht="15" customHeight="1" x14ac:dyDescent="0.15">
      <c r="A15" s="244">
        <v>1</v>
      </c>
      <c r="B15" s="245" t="s">
        <v>409</v>
      </c>
      <c r="C15" s="245" t="s">
        <v>410</v>
      </c>
      <c r="D15" s="246">
        <v>0.05</v>
      </c>
      <c r="E15" s="245" t="s">
        <v>407</v>
      </c>
      <c r="F15" s="247">
        <v>17000</v>
      </c>
      <c r="G15" s="248">
        <v>44942</v>
      </c>
      <c r="H15" s="247">
        <v>850</v>
      </c>
      <c r="I15" s="245"/>
      <c r="J15" s="249" t="str">
        <f t="shared" si="0"/>
        <v>CG:BITCOIN:USD</v>
      </c>
      <c r="K15" s="250">
        <f t="shared" si="1"/>
        <v>0.05</v>
      </c>
      <c r="L15" s="249">
        <f t="shared" si="2"/>
        <v>850</v>
      </c>
      <c r="M15" s="249">
        <f t="shared" si="3"/>
        <v>0</v>
      </c>
    </row>
    <row r="16" spans="1:13" ht="15" customHeight="1" x14ac:dyDescent="0.15">
      <c r="A16" s="244">
        <v>1</v>
      </c>
      <c r="B16" s="245" t="s">
        <v>403</v>
      </c>
      <c r="C16" s="245" t="s">
        <v>419</v>
      </c>
      <c r="D16" s="246">
        <v>10000</v>
      </c>
      <c r="E16" s="245" t="s">
        <v>401</v>
      </c>
      <c r="F16" s="247">
        <v>0.7</v>
      </c>
      <c r="G16" s="248">
        <v>45019</v>
      </c>
      <c r="H16" s="247">
        <v>7025</v>
      </c>
      <c r="I16" s="245"/>
      <c r="J16" s="249" t="str">
        <f t="shared" si="0"/>
        <v>SGX:CLR:SGD</v>
      </c>
      <c r="K16" s="250">
        <f t="shared" si="1"/>
        <v>10000</v>
      </c>
      <c r="L16" s="249">
        <f t="shared" si="2"/>
        <v>7025</v>
      </c>
      <c r="M16" s="249">
        <f t="shared" si="3"/>
        <v>0</v>
      </c>
    </row>
    <row r="17" spans="1:13" ht="15" customHeight="1" x14ac:dyDescent="0.15">
      <c r="A17" s="244">
        <v>-1</v>
      </c>
      <c r="B17" s="245" t="s">
        <v>405</v>
      </c>
      <c r="C17" s="245" t="s">
        <v>418</v>
      </c>
      <c r="D17" s="246">
        <v>40</v>
      </c>
      <c r="E17" s="245" t="s">
        <v>407</v>
      </c>
      <c r="F17" s="247">
        <v>450</v>
      </c>
      <c r="G17" s="248">
        <v>45446</v>
      </c>
      <c r="H17" s="247">
        <v>17995</v>
      </c>
      <c r="I17" s="245" t="s">
        <v>420</v>
      </c>
      <c r="J17" s="249" t="str">
        <f t="shared" si="0"/>
        <v>USX:NVDA:USD</v>
      </c>
      <c r="K17" s="250">
        <f t="shared" si="1"/>
        <v>-40</v>
      </c>
      <c r="L17" s="249">
        <f t="shared" si="2"/>
        <v>0</v>
      </c>
      <c r="M17" s="249">
        <f t="shared" si="3"/>
        <v>17995</v>
      </c>
    </row>
    <row r="18" spans="1:13" ht="15" customHeight="1" x14ac:dyDescent="0.15">
      <c r="A18" s="244">
        <v>2</v>
      </c>
      <c r="B18" s="245" t="s">
        <v>403</v>
      </c>
      <c r="C18" s="245" t="s">
        <v>408</v>
      </c>
      <c r="D18" s="246">
        <v>0</v>
      </c>
      <c r="E18" s="245" t="s">
        <v>401</v>
      </c>
      <c r="F18" s="247">
        <v>0</v>
      </c>
      <c r="G18" s="248">
        <v>45889</v>
      </c>
      <c r="H18" s="247">
        <v>280</v>
      </c>
      <c r="I18" s="245" t="s">
        <v>421</v>
      </c>
      <c r="J18" s="249" t="str">
        <f t="shared" si="0"/>
        <v>SGX:C38U:SGD</v>
      </c>
      <c r="K18" s="250">
        <f t="shared" si="1"/>
        <v>0</v>
      </c>
      <c r="L18" s="249">
        <f t="shared" si="2"/>
        <v>0</v>
      </c>
      <c r="M18" s="249">
        <f t="shared" si="3"/>
        <v>0</v>
      </c>
    </row>
    <row r="19" spans="1:13" ht="15" customHeight="1" x14ac:dyDescent="0.15">
      <c r="A19" s="244">
        <v>2</v>
      </c>
      <c r="B19" s="245" t="s">
        <v>403</v>
      </c>
      <c r="C19" s="245" t="s">
        <v>404</v>
      </c>
      <c r="D19" s="246">
        <v>0</v>
      </c>
      <c r="E19" s="245" t="s">
        <v>401</v>
      </c>
      <c r="F19" s="247">
        <v>0</v>
      </c>
      <c r="G19" s="248">
        <v>46037</v>
      </c>
      <c r="H19" s="247">
        <v>200</v>
      </c>
      <c r="I19" s="245" t="s">
        <v>422</v>
      </c>
      <c r="J19" s="249" t="str">
        <f t="shared" si="0"/>
        <v>SGX:Z74:SGD</v>
      </c>
      <c r="K19" s="250">
        <f t="shared" si="1"/>
        <v>0</v>
      </c>
      <c r="L19" s="249">
        <f t="shared" si="2"/>
        <v>0</v>
      </c>
      <c r="M19" s="249">
        <f t="shared" si="3"/>
        <v>0</v>
      </c>
    </row>
    <row r="20" spans="1:13" ht="15" customHeight="1" x14ac:dyDescent="0.15">
      <c r="A20" s="244">
        <v>2</v>
      </c>
      <c r="B20" s="245" t="s">
        <v>403</v>
      </c>
      <c r="C20" s="245" t="s">
        <v>408</v>
      </c>
      <c r="D20" s="246">
        <v>0</v>
      </c>
      <c r="E20" s="245" t="s">
        <v>401</v>
      </c>
      <c r="F20" s="247">
        <v>0</v>
      </c>
      <c r="G20" s="248">
        <v>46073</v>
      </c>
      <c r="H20" s="247">
        <v>300</v>
      </c>
      <c r="I20" s="245" t="s">
        <v>422</v>
      </c>
      <c r="J20" s="249" t="str">
        <f t="shared" si="0"/>
        <v>SGX:C38U:SGD</v>
      </c>
      <c r="K20" s="250">
        <f t="shared" si="1"/>
        <v>0</v>
      </c>
      <c r="L20" s="249">
        <f t="shared" si="2"/>
        <v>0</v>
      </c>
      <c r="M20" s="249">
        <f t="shared" si="3"/>
        <v>0</v>
      </c>
    </row>
    <row r="21" spans="1:13" ht="15" customHeight="1" x14ac:dyDescent="0.15">
      <c r="A21" s="244">
        <v>2</v>
      </c>
      <c r="B21" s="245" t="s">
        <v>403</v>
      </c>
      <c r="C21" s="245" t="s">
        <v>416</v>
      </c>
      <c r="D21" s="246">
        <v>0</v>
      </c>
      <c r="E21" s="245" t="s">
        <v>401</v>
      </c>
      <c r="F21" s="247">
        <v>0</v>
      </c>
      <c r="G21" s="248">
        <v>46203</v>
      </c>
      <c r="H21" s="247">
        <v>310</v>
      </c>
      <c r="I21" s="245" t="s">
        <v>422</v>
      </c>
      <c r="J21" s="249" t="str">
        <f t="shared" si="0"/>
        <v>SGX:A17U:SGD</v>
      </c>
      <c r="K21" s="250">
        <f t="shared" si="1"/>
        <v>0</v>
      </c>
      <c r="L21" s="249">
        <f t="shared" si="2"/>
        <v>0</v>
      </c>
      <c r="M21" s="249">
        <f t="shared" si="3"/>
        <v>0</v>
      </c>
    </row>
    <row r="22" spans="1:13" ht="15" customHeight="1" x14ac:dyDescent="0.15">
      <c r="A22" s="244"/>
      <c r="B22" s="245"/>
      <c r="C22" s="245"/>
      <c r="D22" s="246"/>
      <c r="E22" s="245"/>
      <c r="F22" s="247"/>
      <c r="G22" s="248"/>
      <c r="H22" s="247"/>
      <c r="I22" s="245"/>
      <c r="J22" s="249"/>
      <c r="K22" s="250"/>
      <c r="L22" s="249"/>
      <c r="M22" s="249"/>
    </row>
    <row r="23" spans="1:13" ht="15" customHeight="1" x14ac:dyDescent="0.15">
      <c r="A23" s="244"/>
      <c r="B23" s="245"/>
      <c r="C23" s="245"/>
      <c r="D23" s="246"/>
      <c r="E23" s="245"/>
      <c r="F23" s="247"/>
      <c r="G23" s="248"/>
      <c r="H23" s="247"/>
      <c r="I23" s="245"/>
      <c r="J23" s="249"/>
      <c r="K23" s="250"/>
      <c r="L23" s="249"/>
      <c r="M23" s="249"/>
    </row>
    <row r="24" spans="1:13" ht="15" customHeight="1" x14ac:dyDescent="0.15">
      <c r="A24" s="244"/>
      <c r="B24" s="245"/>
      <c r="C24" s="245"/>
      <c r="D24" s="246"/>
      <c r="E24" s="245"/>
      <c r="F24" s="247"/>
      <c r="G24" s="248"/>
      <c r="H24" s="247"/>
      <c r="I24" s="245"/>
      <c r="J24" s="249"/>
      <c r="K24" s="250"/>
      <c r="L24" s="249"/>
      <c r="M24" s="249"/>
    </row>
    <row r="25" spans="1:13" ht="15" customHeight="1" x14ac:dyDescent="0.15">
      <c r="A25" s="244"/>
      <c r="B25" s="245"/>
      <c r="C25" s="245"/>
      <c r="D25" s="246"/>
      <c r="E25" s="245"/>
      <c r="F25" s="247"/>
      <c r="G25" s="248"/>
      <c r="H25" s="247"/>
      <c r="I25" s="245"/>
      <c r="J25" s="249"/>
      <c r="K25" s="250"/>
      <c r="L25" s="249"/>
      <c r="M25" s="249"/>
    </row>
    <row r="26" spans="1:13" ht="15" customHeight="1" x14ac:dyDescent="0.15">
      <c r="A26" s="244"/>
      <c r="B26" s="245"/>
      <c r="C26" s="245"/>
      <c r="D26" s="246"/>
      <c r="E26" s="245"/>
      <c r="F26" s="247"/>
      <c r="G26" s="248"/>
      <c r="H26" s="247"/>
      <c r="I26" s="245"/>
      <c r="J26" s="249"/>
      <c r="K26" s="250"/>
      <c r="L26" s="249"/>
      <c r="M26" s="249"/>
    </row>
    <row r="27" spans="1:13" ht="15" customHeight="1" x14ac:dyDescent="0.15">
      <c r="A27" s="244"/>
      <c r="B27" s="245"/>
      <c r="C27" s="245"/>
      <c r="D27" s="246"/>
      <c r="E27" s="245"/>
      <c r="F27" s="247"/>
      <c r="G27" s="248"/>
      <c r="H27" s="247"/>
      <c r="I27" s="245"/>
      <c r="J27" s="249"/>
      <c r="K27" s="250"/>
      <c r="L27" s="249"/>
      <c r="M27" s="249"/>
    </row>
    <row r="28" spans="1:13" ht="15" customHeight="1" x14ac:dyDescent="0.15">
      <c r="A28" s="244"/>
      <c r="B28" s="245"/>
      <c r="C28" s="245"/>
      <c r="D28" s="246"/>
      <c r="E28" s="245"/>
      <c r="F28" s="247"/>
      <c r="G28" s="248"/>
      <c r="H28" s="247"/>
      <c r="I28" s="245"/>
      <c r="J28" s="249"/>
      <c r="K28" s="250"/>
      <c r="L28" s="249"/>
      <c r="M28" s="249"/>
    </row>
    <row r="29" spans="1:13" ht="15" customHeight="1" x14ac:dyDescent="0.15">
      <c r="A29" s="244"/>
      <c r="B29" s="245"/>
      <c r="C29" s="245"/>
      <c r="D29" s="246"/>
      <c r="E29" s="245"/>
      <c r="F29" s="247"/>
      <c r="G29" s="248"/>
      <c r="H29" s="247"/>
      <c r="I29" s="245"/>
      <c r="J29" s="249"/>
      <c r="K29" s="250"/>
      <c r="L29" s="249"/>
      <c r="M29" s="249"/>
    </row>
    <row r="30" spans="1:13" ht="15" customHeight="1" x14ac:dyDescent="0.15">
      <c r="A30" s="244"/>
      <c r="B30" s="245"/>
      <c r="C30" s="245"/>
      <c r="D30" s="246"/>
      <c r="E30" s="245"/>
      <c r="F30" s="247"/>
      <c r="G30" s="248"/>
      <c r="H30" s="247"/>
      <c r="I30" s="245"/>
      <c r="J30" s="249"/>
      <c r="K30" s="250"/>
      <c r="L30" s="249"/>
      <c r="M30" s="249"/>
    </row>
    <row r="31" spans="1:13" ht="15" customHeight="1" x14ac:dyDescent="0.15">
      <c r="A31" s="244"/>
      <c r="B31" s="245"/>
      <c r="C31" s="245"/>
      <c r="D31" s="246"/>
      <c r="E31" s="245"/>
      <c r="F31" s="247"/>
      <c r="G31" s="248"/>
      <c r="H31" s="247"/>
      <c r="I31" s="245"/>
      <c r="J31" s="249"/>
      <c r="K31" s="250"/>
      <c r="L31" s="249"/>
      <c r="M31" s="249"/>
    </row>
    <row r="32" spans="1:13" ht="15" customHeight="1" x14ac:dyDescent="0.15">
      <c r="A32" s="244"/>
      <c r="B32" s="245"/>
      <c r="C32" s="245"/>
      <c r="D32" s="246"/>
      <c r="E32" s="245"/>
      <c r="F32" s="247"/>
      <c r="G32" s="248"/>
      <c r="H32" s="247"/>
      <c r="I32" s="245"/>
      <c r="J32" s="249"/>
      <c r="K32" s="250"/>
      <c r="L32" s="249"/>
      <c r="M32" s="249"/>
    </row>
    <row r="33" spans="1:13" ht="15" customHeight="1" x14ac:dyDescent="0.15">
      <c r="A33" s="244"/>
      <c r="B33" s="245"/>
      <c r="C33" s="245"/>
      <c r="D33" s="246"/>
      <c r="E33" s="245"/>
      <c r="F33" s="247"/>
      <c r="G33" s="248"/>
      <c r="H33" s="247"/>
      <c r="I33" s="245"/>
      <c r="J33" s="249"/>
      <c r="K33" s="250"/>
      <c r="L33" s="249"/>
      <c r="M33" s="249"/>
    </row>
    <row r="34" spans="1:13" ht="15" customHeight="1" x14ac:dyDescent="0.15">
      <c r="A34" s="244"/>
      <c r="B34" s="245"/>
      <c r="C34" s="245"/>
      <c r="D34" s="246"/>
      <c r="E34" s="245"/>
      <c r="F34" s="247"/>
      <c r="G34" s="248"/>
      <c r="H34" s="247"/>
      <c r="I34" s="245"/>
      <c r="J34" s="249"/>
      <c r="K34" s="250"/>
      <c r="L34" s="249"/>
      <c r="M34" s="249"/>
    </row>
    <row r="35" spans="1:13" ht="15" customHeight="1" x14ac:dyDescent="0.15">
      <c r="A35" s="244"/>
      <c r="B35" s="245"/>
      <c r="C35" s="245"/>
      <c r="D35" s="246"/>
      <c r="E35" s="245"/>
      <c r="F35" s="247"/>
      <c r="G35" s="248"/>
      <c r="H35" s="247"/>
      <c r="I35" s="245"/>
      <c r="J35" s="249"/>
      <c r="K35" s="250"/>
      <c r="L35" s="249"/>
      <c r="M35" s="249"/>
    </row>
    <row r="36" spans="1:13" ht="15" customHeight="1" x14ac:dyDescent="0.15">
      <c r="A36" s="244"/>
      <c r="B36" s="245"/>
      <c r="C36" s="245"/>
      <c r="D36" s="246"/>
      <c r="E36" s="245"/>
      <c r="F36" s="247"/>
      <c r="G36" s="248"/>
      <c r="H36" s="247"/>
      <c r="I36" s="245"/>
      <c r="J36" s="249"/>
      <c r="K36" s="250"/>
      <c r="L36" s="249"/>
      <c r="M36" s="249"/>
    </row>
    <row r="37" spans="1:13" ht="15" customHeight="1" x14ac:dyDescent="0.15">
      <c r="A37" s="244"/>
      <c r="B37" s="245"/>
      <c r="C37" s="245"/>
      <c r="D37" s="246"/>
      <c r="E37" s="245"/>
      <c r="F37" s="247"/>
      <c r="G37" s="248"/>
      <c r="H37" s="247"/>
      <c r="I37" s="245"/>
      <c r="J37" s="249"/>
      <c r="K37" s="250"/>
      <c r="L37" s="249"/>
      <c r="M37" s="249"/>
    </row>
    <row r="38" spans="1:13" ht="15" customHeight="1" x14ac:dyDescent="0.15">
      <c r="A38" s="244"/>
      <c r="B38" s="245"/>
      <c r="C38" s="245"/>
      <c r="D38" s="246"/>
      <c r="E38" s="245"/>
      <c r="F38" s="247"/>
      <c r="G38" s="248"/>
      <c r="H38" s="247"/>
      <c r="I38" s="245"/>
      <c r="J38" s="249"/>
      <c r="K38" s="250"/>
      <c r="L38" s="249"/>
      <c r="M38" s="249"/>
    </row>
    <row r="39" spans="1:13" ht="15" customHeight="1" x14ac:dyDescent="0.15">
      <c r="A39" s="244"/>
      <c r="B39" s="245"/>
      <c r="C39" s="245"/>
      <c r="D39" s="246"/>
      <c r="E39" s="245"/>
      <c r="F39" s="247"/>
      <c r="G39" s="248"/>
      <c r="H39" s="247"/>
      <c r="I39" s="245"/>
      <c r="J39" s="249"/>
      <c r="K39" s="250"/>
      <c r="L39" s="249"/>
      <c r="M39" s="249"/>
    </row>
    <row r="40" spans="1:13" ht="15" customHeight="1" x14ac:dyDescent="0.15">
      <c r="A40" s="244"/>
      <c r="B40" s="245"/>
      <c r="C40" s="245"/>
      <c r="D40" s="246"/>
      <c r="E40" s="245"/>
      <c r="F40" s="247"/>
      <c r="G40" s="248"/>
      <c r="H40" s="247"/>
      <c r="I40" s="245"/>
      <c r="J40" s="249"/>
      <c r="K40" s="250"/>
      <c r="L40" s="249"/>
      <c r="M40" s="249"/>
    </row>
    <row r="41" spans="1:13" ht="15" customHeight="1" x14ac:dyDescent="0.15">
      <c r="A41" s="244"/>
      <c r="B41" s="245"/>
      <c r="C41" s="245"/>
      <c r="D41" s="246"/>
      <c r="E41" s="245"/>
      <c r="F41" s="247"/>
      <c r="G41" s="248"/>
      <c r="H41" s="247"/>
      <c r="I41" s="245"/>
      <c r="J41" s="249"/>
      <c r="K41" s="250"/>
      <c r="L41" s="249"/>
      <c r="M41" s="249"/>
    </row>
    <row r="42" spans="1:13" ht="15" customHeight="1" x14ac:dyDescent="0.15">
      <c r="A42" s="244"/>
      <c r="B42" s="245"/>
      <c r="C42" s="245"/>
      <c r="D42" s="246"/>
      <c r="E42" s="245"/>
      <c r="F42" s="247"/>
      <c r="G42" s="248"/>
      <c r="H42" s="247"/>
      <c r="I42" s="245"/>
      <c r="J42" s="249"/>
      <c r="K42" s="250"/>
      <c r="L42" s="249"/>
      <c r="M42" s="249"/>
    </row>
    <row r="43" spans="1:13" ht="15" customHeight="1" x14ac:dyDescent="0.15">
      <c r="A43" s="244"/>
      <c r="B43" s="245"/>
      <c r="C43" s="245"/>
      <c r="D43" s="246"/>
      <c r="E43" s="245"/>
      <c r="F43" s="247"/>
      <c r="G43" s="248"/>
      <c r="H43" s="247"/>
      <c r="I43" s="245"/>
      <c r="J43" s="249"/>
      <c r="K43" s="250"/>
      <c r="L43" s="249"/>
      <c r="M43" s="249"/>
    </row>
    <row r="44" spans="1:13" ht="15" customHeight="1" x14ac:dyDescent="0.15">
      <c r="A44" s="244"/>
      <c r="B44" s="245"/>
      <c r="C44" s="245"/>
      <c r="D44" s="246"/>
      <c r="E44" s="245"/>
      <c r="F44" s="247"/>
      <c r="G44" s="248"/>
      <c r="H44" s="247"/>
      <c r="I44" s="245"/>
      <c r="J44" s="249"/>
      <c r="K44" s="250"/>
      <c r="L44" s="249"/>
      <c r="M44" s="249"/>
    </row>
    <row r="45" spans="1:13" ht="15" customHeight="1" x14ac:dyDescent="0.15">
      <c r="A45" s="244"/>
      <c r="B45" s="245"/>
      <c r="C45" s="245"/>
      <c r="D45" s="246"/>
      <c r="E45" s="245"/>
      <c r="F45" s="247"/>
      <c r="G45" s="248"/>
      <c r="H45" s="247"/>
      <c r="I45" s="245"/>
      <c r="J45" s="249"/>
      <c r="K45" s="250"/>
      <c r="L45" s="249"/>
      <c r="M45" s="249"/>
    </row>
    <row r="46" spans="1:13" ht="15" customHeight="1" x14ac:dyDescent="0.15">
      <c r="A46" s="244"/>
      <c r="B46" s="245"/>
      <c r="C46" s="245"/>
      <c r="D46" s="246"/>
      <c r="E46" s="245"/>
      <c r="F46" s="247"/>
      <c r="G46" s="248"/>
      <c r="H46" s="247"/>
      <c r="I46" s="245"/>
      <c r="J46" s="249"/>
      <c r="K46" s="250"/>
      <c r="L46" s="249"/>
      <c r="M46" s="249"/>
    </row>
    <row r="47" spans="1:13" ht="15" customHeight="1" x14ac:dyDescent="0.15">
      <c r="A47" s="244"/>
      <c r="B47" s="245"/>
      <c r="C47" s="245"/>
      <c r="D47" s="246"/>
      <c r="E47" s="245"/>
      <c r="F47" s="247"/>
      <c r="G47" s="248"/>
      <c r="H47" s="247"/>
      <c r="I47" s="245"/>
      <c r="J47" s="249"/>
      <c r="K47" s="250"/>
      <c r="L47" s="249"/>
      <c r="M47" s="249"/>
    </row>
    <row r="48" spans="1:13" ht="15" customHeight="1" x14ac:dyDescent="0.15">
      <c r="A48" s="244"/>
      <c r="B48" s="245"/>
      <c r="C48" s="245"/>
      <c r="D48" s="246"/>
      <c r="E48" s="245"/>
      <c r="F48" s="247"/>
      <c r="G48" s="248"/>
      <c r="H48" s="247"/>
      <c r="I48" s="245"/>
      <c r="J48" s="249"/>
      <c r="K48" s="250"/>
      <c r="L48" s="249"/>
      <c r="M48" s="249"/>
    </row>
    <row r="49" spans="1:13" ht="15" customHeight="1" x14ac:dyDescent="0.15">
      <c r="A49" s="244"/>
      <c r="B49" s="245"/>
      <c r="C49" s="245"/>
      <c r="D49" s="246"/>
      <c r="E49" s="245"/>
      <c r="F49" s="247"/>
      <c r="G49" s="248"/>
      <c r="H49" s="247"/>
      <c r="I49" s="245"/>
      <c r="J49" s="249"/>
      <c r="K49" s="250"/>
      <c r="L49" s="249"/>
      <c r="M49" s="249"/>
    </row>
    <row r="50" spans="1:13" ht="15" customHeight="1" x14ac:dyDescent="0.15">
      <c r="A50" s="244"/>
      <c r="B50" s="245"/>
      <c r="C50" s="245"/>
      <c r="D50" s="246"/>
      <c r="E50" s="245"/>
      <c r="F50" s="247"/>
      <c r="G50" s="248"/>
      <c r="H50" s="247"/>
      <c r="I50" s="245"/>
      <c r="J50" s="249"/>
      <c r="K50" s="250"/>
      <c r="L50" s="249"/>
      <c r="M50" s="249"/>
    </row>
    <row r="51" spans="1:13" ht="15" customHeight="1" x14ac:dyDescent="0.15">
      <c r="A51" s="244"/>
      <c r="B51" s="245"/>
      <c r="C51" s="245"/>
      <c r="D51" s="246"/>
      <c r="E51" s="245"/>
      <c r="F51" s="247"/>
      <c r="G51" s="248"/>
      <c r="H51" s="247"/>
      <c r="I51" s="245"/>
      <c r="J51" s="249"/>
      <c r="K51" s="250"/>
      <c r="L51" s="249"/>
      <c r="M51" s="249"/>
    </row>
    <row r="52" spans="1:13" ht="15" customHeight="1" x14ac:dyDescent="0.15">
      <c r="A52" s="244"/>
      <c r="B52" s="245"/>
      <c r="C52" s="245"/>
      <c r="D52" s="246"/>
      <c r="E52" s="245"/>
      <c r="F52" s="247"/>
      <c r="G52" s="248"/>
      <c r="H52" s="247"/>
      <c r="I52" s="245"/>
      <c r="J52" s="249"/>
      <c r="K52" s="250"/>
      <c r="L52" s="249"/>
      <c r="M52" s="249"/>
    </row>
    <row r="53" spans="1:13" ht="15" customHeight="1" x14ac:dyDescent="0.15">
      <c r="A53" s="244"/>
      <c r="B53" s="245"/>
      <c r="C53" s="245"/>
      <c r="D53" s="246"/>
      <c r="E53" s="245"/>
      <c r="F53" s="247"/>
      <c r="G53" s="248"/>
      <c r="H53" s="247"/>
      <c r="I53" s="245"/>
      <c r="J53" s="249"/>
      <c r="K53" s="250"/>
      <c r="L53" s="249"/>
      <c r="M53" s="249"/>
    </row>
    <row r="54" spans="1:13" ht="15" customHeight="1" x14ac:dyDescent="0.15">
      <c r="A54" s="244"/>
      <c r="B54" s="245"/>
      <c r="C54" s="245"/>
      <c r="D54" s="246"/>
      <c r="E54" s="245"/>
      <c r="F54" s="247"/>
      <c r="G54" s="248"/>
      <c r="H54" s="247"/>
      <c r="I54" s="245"/>
      <c r="J54" s="249"/>
      <c r="K54" s="250"/>
      <c r="L54" s="249"/>
      <c r="M54" s="249"/>
    </row>
    <row r="55" spans="1:13" ht="15" customHeight="1" x14ac:dyDescent="0.15">
      <c r="A55" s="244"/>
      <c r="B55" s="245"/>
      <c r="C55" s="245"/>
      <c r="D55" s="246"/>
      <c r="E55" s="245"/>
      <c r="F55" s="247"/>
      <c r="G55" s="248"/>
      <c r="H55" s="247"/>
      <c r="I55" s="245"/>
      <c r="J55" s="249"/>
      <c r="K55" s="250"/>
      <c r="L55" s="249"/>
      <c r="M55" s="249"/>
    </row>
    <row r="56" spans="1:13" ht="15" customHeight="1" x14ac:dyDescent="0.15">
      <c r="A56" s="244"/>
      <c r="B56" s="245"/>
      <c r="C56" s="245"/>
      <c r="D56" s="246"/>
      <c r="E56" s="245"/>
      <c r="F56" s="247"/>
      <c r="G56" s="248"/>
      <c r="H56" s="247"/>
      <c r="I56" s="245"/>
      <c r="J56" s="249"/>
      <c r="K56" s="250"/>
      <c r="L56" s="249"/>
      <c r="M56" s="249"/>
    </row>
    <row r="57" spans="1:13" ht="15" customHeight="1" x14ac:dyDescent="0.15">
      <c r="A57" s="244"/>
      <c r="B57" s="245"/>
      <c r="C57" s="245"/>
      <c r="D57" s="246"/>
      <c r="E57" s="245"/>
      <c r="F57" s="247"/>
      <c r="G57" s="248"/>
      <c r="H57" s="247"/>
      <c r="I57" s="245"/>
      <c r="J57" s="249"/>
      <c r="K57" s="250"/>
      <c r="L57" s="249"/>
      <c r="M57" s="249"/>
    </row>
    <row r="58" spans="1:13" ht="15" customHeight="1" x14ac:dyDescent="0.15">
      <c r="A58" s="244"/>
      <c r="B58" s="245"/>
      <c r="C58" s="245"/>
      <c r="D58" s="246"/>
      <c r="E58" s="245"/>
      <c r="F58" s="247"/>
      <c r="G58" s="248"/>
      <c r="H58" s="247"/>
      <c r="I58" s="245"/>
      <c r="J58" s="249"/>
      <c r="K58" s="250"/>
      <c r="L58" s="249"/>
      <c r="M58" s="249"/>
    </row>
    <row r="59" spans="1:13" ht="15" customHeight="1" x14ac:dyDescent="0.15">
      <c r="A59" s="244"/>
      <c r="B59" s="245"/>
      <c r="C59" s="245"/>
      <c r="D59" s="246"/>
      <c r="E59" s="245"/>
      <c r="F59" s="247"/>
      <c r="G59" s="248"/>
      <c r="H59" s="247"/>
      <c r="I59" s="245"/>
      <c r="J59" s="249"/>
      <c r="K59" s="250"/>
      <c r="L59" s="249"/>
      <c r="M59" s="249"/>
    </row>
    <row r="60" spans="1:13" ht="15" customHeight="1" x14ac:dyDescent="0.15">
      <c r="A60" s="244"/>
      <c r="B60" s="245"/>
      <c r="C60" s="245"/>
      <c r="D60" s="246"/>
      <c r="E60" s="245"/>
      <c r="F60" s="247"/>
      <c r="G60" s="248"/>
      <c r="H60" s="247"/>
      <c r="I60" s="245"/>
      <c r="J60" s="249"/>
      <c r="K60" s="250"/>
      <c r="L60" s="249"/>
      <c r="M60" s="249"/>
    </row>
    <row r="61" spans="1:13" ht="15" customHeight="1" x14ac:dyDescent="0.15">
      <c r="A61" s="244"/>
      <c r="B61" s="245"/>
      <c r="C61" s="245"/>
      <c r="D61" s="246"/>
      <c r="E61" s="245"/>
      <c r="F61" s="247"/>
      <c r="G61" s="248"/>
      <c r="H61" s="247"/>
      <c r="I61" s="245"/>
      <c r="J61" s="249"/>
      <c r="K61" s="250"/>
      <c r="L61" s="249"/>
      <c r="M61" s="249"/>
    </row>
    <row r="62" spans="1:13" ht="15" customHeight="1" x14ac:dyDescent="0.15">
      <c r="A62" s="244"/>
      <c r="B62" s="245"/>
      <c r="C62" s="245"/>
      <c r="D62" s="246"/>
      <c r="E62" s="245"/>
      <c r="F62" s="247"/>
      <c r="G62" s="248"/>
      <c r="H62" s="247"/>
      <c r="I62" s="245"/>
      <c r="J62" s="249"/>
      <c r="K62" s="250"/>
      <c r="L62" s="249"/>
      <c r="M62" s="249"/>
    </row>
    <row r="63" spans="1:13" ht="15" customHeight="1" x14ac:dyDescent="0.15">
      <c r="A63" s="244"/>
      <c r="B63" s="245"/>
      <c r="C63" s="245"/>
      <c r="D63" s="246"/>
      <c r="E63" s="245"/>
      <c r="F63" s="247"/>
      <c r="G63" s="248"/>
      <c r="H63" s="247"/>
      <c r="I63" s="245"/>
      <c r="J63" s="249"/>
      <c r="K63" s="250"/>
      <c r="L63" s="249"/>
      <c r="M63" s="249"/>
    </row>
    <row r="64" spans="1:13" ht="15" customHeight="1" x14ac:dyDescent="0.15">
      <c r="A64" s="244"/>
      <c r="B64" s="245"/>
      <c r="C64" s="245"/>
      <c r="D64" s="246"/>
      <c r="E64" s="245"/>
      <c r="F64" s="247"/>
      <c r="G64" s="248"/>
      <c r="H64" s="247"/>
      <c r="I64" s="245"/>
      <c r="J64" s="249"/>
      <c r="K64" s="250"/>
      <c r="L64" s="249"/>
      <c r="M64" s="249"/>
    </row>
    <row r="65" spans="1:13" ht="15" customHeight="1" x14ac:dyDescent="0.15">
      <c r="A65" s="244"/>
      <c r="B65" s="245"/>
      <c r="C65" s="245"/>
      <c r="D65" s="246"/>
      <c r="E65" s="245"/>
      <c r="F65" s="247"/>
      <c r="G65" s="248"/>
      <c r="H65" s="247"/>
      <c r="I65" s="245"/>
      <c r="J65" s="249"/>
      <c r="K65" s="250"/>
      <c r="L65" s="249"/>
      <c r="M65" s="249"/>
    </row>
    <row r="66" spans="1:13" ht="15" customHeight="1" x14ac:dyDescent="0.15">
      <c r="A66" s="244"/>
      <c r="B66" s="245"/>
      <c r="C66" s="245"/>
      <c r="D66" s="246"/>
      <c r="E66" s="245"/>
      <c r="F66" s="247"/>
      <c r="G66" s="248"/>
      <c r="H66" s="247"/>
      <c r="I66" s="245"/>
      <c r="J66" s="249"/>
      <c r="K66" s="250"/>
      <c r="L66" s="249"/>
      <c r="M66" s="249"/>
    </row>
    <row r="67" spans="1:13" ht="15" customHeight="1" x14ac:dyDescent="0.15">
      <c r="A67" s="244"/>
      <c r="B67" s="245"/>
      <c r="C67" s="245"/>
      <c r="D67" s="246"/>
      <c r="E67" s="245"/>
      <c r="F67" s="247"/>
      <c r="G67" s="248"/>
      <c r="H67" s="247"/>
      <c r="I67" s="245"/>
      <c r="J67" s="249"/>
      <c r="K67" s="250"/>
      <c r="L67" s="249"/>
      <c r="M67" s="249"/>
    </row>
    <row r="68" spans="1:13" ht="15" customHeight="1" x14ac:dyDescent="0.15">
      <c r="A68" s="244"/>
      <c r="B68" s="245"/>
      <c r="C68" s="245"/>
      <c r="D68" s="246"/>
      <c r="E68" s="245"/>
      <c r="F68" s="247"/>
      <c r="G68" s="248"/>
      <c r="H68" s="247"/>
      <c r="I68" s="245"/>
      <c r="J68" s="249"/>
      <c r="K68" s="250"/>
      <c r="L68" s="249"/>
      <c r="M68" s="249"/>
    </row>
    <row r="69" spans="1:13" ht="15" customHeight="1" x14ac:dyDescent="0.15">
      <c r="A69" s="244"/>
      <c r="B69" s="245"/>
      <c r="C69" s="245"/>
      <c r="D69" s="246"/>
      <c r="E69" s="245"/>
      <c r="F69" s="247"/>
      <c r="G69" s="248"/>
      <c r="H69" s="247"/>
      <c r="I69" s="245"/>
      <c r="J69" s="249"/>
      <c r="K69" s="250"/>
      <c r="L69" s="249"/>
      <c r="M69" s="249"/>
    </row>
    <row r="70" spans="1:13" ht="15" customHeight="1" x14ac:dyDescent="0.15">
      <c r="A70" s="244"/>
      <c r="B70" s="245"/>
      <c r="C70" s="245"/>
      <c r="D70" s="246"/>
      <c r="E70" s="245"/>
      <c r="F70" s="247"/>
      <c r="G70" s="248"/>
      <c r="H70" s="247"/>
      <c r="I70" s="245"/>
      <c r="J70" s="249"/>
      <c r="K70" s="250"/>
      <c r="L70" s="249"/>
      <c r="M70" s="249"/>
    </row>
    <row r="71" spans="1:13" ht="15" customHeight="1" x14ac:dyDescent="0.15">
      <c r="A71" s="244"/>
      <c r="B71" s="245"/>
      <c r="C71" s="245"/>
      <c r="D71" s="246"/>
      <c r="E71" s="245"/>
      <c r="F71" s="247"/>
      <c r="G71" s="248"/>
      <c r="H71" s="247"/>
      <c r="I71" s="245"/>
      <c r="J71" s="249"/>
      <c r="K71" s="250"/>
      <c r="L71" s="249"/>
      <c r="M71" s="249"/>
    </row>
    <row r="72" spans="1:13" ht="15" customHeight="1" x14ac:dyDescent="0.15">
      <c r="A72" s="244"/>
      <c r="B72" s="245"/>
      <c r="C72" s="245"/>
      <c r="D72" s="246"/>
      <c r="E72" s="245"/>
      <c r="F72" s="247"/>
      <c r="G72" s="248"/>
      <c r="H72" s="247"/>
      <c r="I72" s="245"/>
      <c r="J72" s="249"/>
      <c r="K72" s="250"/>
      <c r="L72" s="249"/>
      <c r="M72" s="249"/>
    </row>
    <row r="73" spans="1:13" ht="15" customHeight="1" x14ac:dyDescent="0.15">
      <c r="A73" s="244"/>
      <c r="B73" s="245"/>
      <c r="C73" s="245"/>
      <c r="D73" s="246"/>
      <c r="E73" s="245"/>
      <c r="F73" s="247"/>
      <c r="G73" s="248"/>
      <c r="H73" s="247"/>
      <c r="I73" s="245"/>
      <c r="J73" s="249"/>
      <c r="K73" s="250"/>
      <c r="L73" s="249"/>
      <c r="M73" s="249"/>
    </row>
    <row r="74" spans="1:13" ht="15" customHeight="1" x14ac:dyDescent="0.15">
      <c r="A74" s="244"/>
      <c r="B74" s="245"/>
      <c r="C74" s="245"/>
      <c r="D74" s="246"/>
      <c r="E74" s="245"/>
      <c r="F74" s="247"/>
      <c r="G74" s="248"/>
      <c r="H74" s="247"/>
      <c r="I74" s="245"/>
      <c r="J74" s="249"/>
      <c r="K74" s="250"/>
      <c r="L74" s="249"/>
      <c r="M74" s="249"/>
    </row>
    <row r="75" spans="1:13" ht="15" customHeight="1" x14ac:dyDescent="0.15">
      <c r="A75" s="244"/>
      <c r="B75" s="245"/>
      <c r="C75" s="245"/>
      <c r="D75" s="246"/>
      <c r="E75" s="245"/>
      <c r="F75" s="247"/>
      <c r="G75" s="248"/>
      <c r="H75" s="247"/>
      <c r="I75" s="245"/>
      <c r="J75" s="249"/>
      <c r="K75" s="250"/>
      <c r="L75" s="249"/>
      <c r="M75" s="249"/>
    </row>
    <row r="76" spans="1:13" ht="15" customHeight="1" x14ac:dyDescent="0.15">
      <c r="A76" s="244"/>
      <c r="B76" s="245"/>
      <c r="C76" s="245"/>
      <c r="D76" s="246"/>
      <c r="E76" s="245"/>
      <c r="F76" s="247"/>
      <c r="G76" s="248"/>
      <c r="H76" s="247"/>
      <c r="I76" s="245"/>
      <c r="J76" s="249"/>
      <c r="K76" s="250"/>
      <c r="L76" s="249"/>
      <c r="M76" s="249"/>
    </row>
    <row r="77" spans="1:13" ht="15" customHeight="1" x14ac:dyDescent="0.15">
      <c r="A77" s="244"/>
      <c r="B77" s="245"/>
      <c r="C77" s="245"/>
      <c r="D77" s="246"/>
      <c r="E77" s="245"/>
      <c r="F77" s="247"/>
      <c r="G77" s="248"/>
      <c r="H77" s="247"/>
      <c r="I77" s="245"/>
      <c r="J77" s="249"/>
      <c r="K77" s="250"/>
      <c r="L77" s="249"/>
      <c r="M77" s="249"/>
    </row>
    <row r="78" spans="1:13" ht="15" customHeight="1" x14ac:dyDescent="0.15">
      <c r="A78" s="244"/>
      <c r="B78" s="245"/>
      <c r="C78" s="245"/>
      <c r="D78" s="246"/>
      <c r="E78" s="245"/>
      <c r="F78" s="247"/>
      <c r="G78" s="248"/>
      <c r="H78" s="247"/>
      <c r="I78" s="245"/>
      <c r="J78" s="249"/>
      <c r="K78" s="250"/>
      <c r="L78" s="249"/>
      <c r="M78" s="249"/>
    </row>
    <row r="79" spans="1:13" ht="15" customHeight="1" x14ac:dyDescent="0.15">
      <c r="A79" s="244"/>
      <c r="B79" s="245"/>
      <c r="C79" s="245"/>
      <c r="D79" s="246"/>
      <c r="E79" s="245"/>
      <c r="F79" s="247"/>
      <c r="G79" s="248"/>
      <c r="H79" s="247"/>
      <c r="I79" s="245"/>
      <c r="J79" s="249"/>
      <c r="K79" s="250"/>
      <c r="L79" s="249"/>
      <c r="M79" s="249"/>
    </row>
    <row r="80" spans="1:13" ht="15" customHeight="1" x14ac:dyDescent="0.15">
      <c r="A80" s="244"/>
      <c r="B80" s="245"/>
      <c r="C80" s="245"/>
      <c r="D80" s="246"/>
      <c r="E80" s="245"/>
      <c r="F80" s="247"/>
      <c r="G80" s="248"/>
      <c r="H80" s="247"/>
      <c r="I80" s="245"/>
      <c r="J80" s="249"/>
      <c r="K80" s="250"/>
      <c r="L80" s="249"/>
      <c r="M80" s="249"/>
    </row>
    <row r="81" spans="1:13" ht="15" customHeight="1" x14ac:dyDescent="0.15">
      <c r="A81" s="244"/>
      <c r="B81" s="245"/>
      <c r="C81" s="245"/>
      <c r="D81" s="246"/>
      <c r="E81" s="245"/>
      <c r="F81" s="247"/>
      <c r="G81" s="248"/>
      <c r="H81" s="247"/>
      <c r="I81" s="245"/>
      <c r="J81" s="249"/>
      <c r="K81" s="250"/>
      <c r="L81" s="249"/>
      <c r="M81" s="249"/>
    </row>
    <row r="82" spans="1:13" ht="15" customHeight="1" x14ac:dyDescent="0.15">
      <c r="A82" s="244"/>
      <c r="B82" s="245"/>
      <c r="C82" s="245"/>
      <c r="D82" s="246"/>
      <c r="E82" s="245"/>
      <c r="F82" s="247"/>
      <c r="G82" s="248"/>
      <c r="H82" s="247"/>
      <c r="I82" s="245"/>
      <c r="J82" s="249"/>
      <c r="K82" s="250"/>
      <c r="L82" s="249"/>
      <c r="M82" s="249"/>
    </row>
    <row r="83" spans="1:13" ht="15" customHeight="1" x14ac:dyDescent="0.15">
      <c r="A83" s="244"/>
      <c r="B83" s="245"/>
      <c r="C83" s="245"/>
      <c r="D83" s="246"/>
      <c r="E83" s="245"/>
      <c r="F83" s="247"/>
      <c r="G83" s="248"/>
      <c r="H83" s="247"/>
      <c r="I83" s="245"/>
      <c r="J83" s="249"/>
      <c r="K83" s="250"/>
      <c r="L83" s="249"/>
      <c r="M83" s="249"/>
    </row>
    <row r="84" spans="1:13" ht="15" customHeight="1" x14ac:dyDescent="0.15">
      <c r="A84" s="244"/>
      <c r="B84" s="245"/>
      <c r="C84" s="245"/>
      <c r="D84" s="246"/>
      <c r="E84" s="245"/>
      <c r="F84" s="247"/>
      <c r="G84" s="248"/>
      <c r="H84" s="247"/>
      <c r="I84" s="245"/>
      <c r="J84" s="249"/>
      <c r="K84" s="250"/>
      <c r="L84" s="249"/>
      <c r="M84" s="249"/>
    </row>
    <row r="85" spans="1:13" ht="15" customHeight="1" x14ac:dyDescent="0.15">
      <c r="A85" s="244"/>
      <c r="B85" s="245"/>
      <c r="C85" s="245"/>
      <c r="D85" s="246"/>
      <c r="E85" s="245"/>
      <c r="F85" s="247"/>
      <c r="G85" s="248"/>
      <c r="H85" s="247"/>
      <c r="I85" s="245"/>
      <c r="J85" s="249"/>
      <c r="K85" s="250"/>
      <c r="L85" s="249"/>
      <c r="M85" s="249"/>
    </row>
    <row r="86" spans="1:13" ht="15" customHeight="1" x14ac:dyDescent="0.15">
      <c r="A86" s="244"/>
      <c r="B86" s="245"/>
      <c r="C86" s="245"/>
      <c r="D86" s="246"/>
      <c r="E86" s="245"/>
      <c r="F86" s="247"/>
      <c r="G86" s="248"/>
      <c r="H86" s="247"/>
      <c r="I86" s="245"/>
      <c r="J86" s="249"/>
      <c r="K86" s="250"/>
      <c r="L86" s="249"/>
      <c r="M86" s="249"/>
    </row>
    <row r="87" spans="1:13" ht="15" customHeight="1" x14ac:dyDescent="0.15">
      <c r="A87" s="244"/>
      <c r="B87" s="245"/>
      <c r="C87" s="245"/>
      <c r="D87" s="246"/>
      <c r="E87" s="245"/>
      <c r="F87" s="247"/>
      <c r="G87" s="248"/>
      <c r="H87" s="247"/>
      <c r="I87" s="245"/>
      <c r="J87" s="249"/>
      <c r="K87" s="250"/>
      <c r="L87" s="249"/>
      <c r="M87" s="249"/>
    </row>
    <row r="88" spans="1:13" ht="15" customHeight="1" x14ac:dyDescent="0.15">
      <c r="A88" s="244"/>
      <c r="B88" s="245"/>
      <c r="C88" s="245"/>
      <c r="D88" s="246"/>
      <c r="E88" s="245"/>
      <c r="F88" s="247"/>
      <c r="G88" s="248"/>
      <c r="H88" s="247"/>
      <c r="I88" s="245"/>
      <c r="J88" s="249"/>
      <c r="K88" s="250"/>
      <c r="L88" s="249"/>
      <c r="M88" s="249"/>
    </row>
    <row r="89" spans="1:13" ht="15" customHeight="1" x14ac:dyDescent="0.15">
      <c r="A89" s="244"/>
      <c r="B89" s="245"/>
      <c r="C89" s="245"/>
      <c r="D89" s="246"/>
      <c r="E89" s="245"/>
      <c r="F89" s="247"/>
      <c r="G89" s="248"/>
      <c r="H89" s="247"/>
      <c r="I89" s="245"/>
      <c r="J89" s="249"/>
      <c r="K89" s="250"/>
      <c r="L89" s="249"/>
      <c r="M89" s="249"/>
    </row>
    <row r="90" spans="1:13" ht="15" customHeight="1" x14ac:dyDescent="0.15">
      <c r="A90" s="244"/>
      <c r="B90" s="245"/>
      <c r="C90" s="245"/>
      <c r="D90" s="246"/>
      <c r="E90" s="245"/>
      <c r="F90" s="247"/>
      <c r="G90" s="248"/>
      <c r="H90" s="247"/>
      <c r="I90" s="245"/>
      <c r="J90" s="249"/>
      <c r="K90" s="250"/>
      <c r="L90" s="249"/>
      <c r="M90" s="249"/>
    </row>
    <row r="91" spans="1:13" ht="15" customHeight="1" x14ac:dyDescent="0.15">
      <c r="A91" s="244"/>
      <c r="B91" s="245"/>
      <c r="C91" s="245"/>
      <c r="D91" s="246"/>
      <c r="E91" s="245"/>
      <c r="F91" s="247"/>
      <c r="G91" s="248"/>
      <c r="H91" s="247"/>
      <c r="I91" s="245"/>
      <c r="J91" s="249"/>
      <c r="K91" s="250"/>
      <c r="L91" s="249"/>
      <c r="M91" s="249"/>
    </row>
    <row r="92" spans="1:13" ht="15" customHeight="1" x14ac:dyDescent="0.15">
      <c r="A92" s="244"/>
      <c r="B92" s="245"/>
      <c r="C92" s="245"/>
      <c r="D92" s="246"/>
      <c r="E92" s="245"/>
      <c r="F92" s="247"/>
      <c r="G92" s="248"/>
      <c r="H92" s="247"/>
      <c r="I92" s="245"/>
      <c r="J92" s="249"/>
      <c r="K92" s="250"/>
      <c r="L92" s="249"/>
      <c r="M92" s="249"/>
    </row>
    <row r="93" spans="1:13" ht="15" customHeight="1" x14ac:dyDescent="0.15">
      <c r="A93" s="244"/>
      <c r="B93" s="245"/>
      <c r="C93" s="245"/>
      <c r="D93" s="246"/>
      <c r="E93" s="245"/>
      <c r="F93" s="247"/>
      <c r="G93" s="248"/>
      <c r="H93" s="247"/>
      <c r="I93" s="245"/>
      <c r="J93" s="249"/>
      <c r="K93" s="250"/>
      <c r="L93" s="249"/>
      <c r="M93" s="249"/>
    </row>
    <row r="94" spans="1:13" ht="15" customHeight="1" x14ac:dyDescent="0.15">
      <c r="A94" s="244"/>
      <c r="B94" s="245"/>
      <c r="C94" s="245"/>
      <c r="D94" s="246"/>
      <c r="E94" s="245"/>
      <c r="F94" s="247"/>
      <c r="G94" s="248"/>
      <c r="H94" s="247"/>
      <c r="I94" s="245"/>
      <c r="J94" s="249"/>
      <c r="K94" s="250"/>
      <c r="L94" s="249"/>
      <c r="M94" s="249"/>
    </row>
    <row r="95" spans="1:13" ht="15" customHeight="1" x14ac:dyDescent="0.15">
      <c r="A95" s="244"/>
      <c r="B95" s="245"/>
      <c r="C95" s="245"/>
      <c r="D95" s="246"/>
      <c r="E95" s="245"/>
      <c r="F95" s="247"/>
      <c r="G95" s="248"/>
      <c r="H95" s="247"/>
      <c r="I95" s="245"/>
      <c r="J95" s="249"/>
      <c r="K95" s="250"/>
      <c r="L95" s="249"/>
      <c r="M95" s="249"/>
    </row>
    <row r="96" spans="1:13" ht="15" customHeight="1" x14ac:dyDescent="0.15">
      <c r="A96" s="244"/>
      <c r="B96" s="245"/>
      <c r="C96" s="245"/>
      <c r="D96" s="246"/>
      <c r="E96" s="245"/>
      <c r="F96" s="247"/>
      <c r="G96" s="248"/>
      <c r="H96" s="247"/>
      <c r="I96" s="245"/>
      <c r="J96" s="249"/>
      <c r="K96" s="250"/>
      <c r="L96" s="249"/>
      <c r="M96" s="249"/>
    </row>
    <row r="97" spans="1:13" ht="15" customHeight="1" x14ac:dyDescent="0.15">
      <c r="A97" s="244"/>
      <c r="B97" s="245"/>
      <c r="C97" s="245"/>
      <c r="D97" s="246"/>
      <c r="E97" s="245"/>
      <c r="F97" s="247"/>
      <c r="G97" s="248"/>
      <c r="H97" s="247"/>
      <c r="I97" s="245"/>
      <c r="J97" s="249"/>
      <c r="K97" s="250"/>
      <c r="L97" s="249"/>
      <c r="M97" s="249"/>
    </row>
    <row r="98" spans="1:13" ht="15" customHeight="1" x14ac:dyDescent="0.15">
      <c r="A98" s="244"/>
      <c r="B98" s="245"/>
      <c r="C98" s="245"/>
      <c r="D98" s="246"/>
      <c r="E98" s="245"/>
      <c r="F98" s="247"/>
      <c r="G98" s="248"/>
      <c r="H98" s="247"/>
      <c r="I98" s="245"/>
      <c r="J98" s="249"/>
      <c r="K98" s="250"/>
      <c r="L98" s="249"/>
      <c r="M98" s="249"/>
    </row>
    <row r="99" spans="1:13" ht="15" customHeight="1" x14ac:dyDescent="0.15">
      <c r="A99" s="244"/>
      <c r="B99" s="245"/>
      <c r="C99" s="245"/>
      <c r="D99" s="246"/>
      <c r="E99" s="245"/>
      <c r="F99" s="247"/>
      <c r="G99" s="248"/>
      <c r="H99" s="247"/>
      <c r="I99" s="245"/>
      <c r="J99" s="249"/>
      <c r="K99" s="250"/>
      <c r="L99" s="249"/>
      <c r="M99" s="249"/>
    </row>
    <row r="100" spans="1:13" ht="15" customHeight="1" x14ac:dyDescent="0.15">
      <c r="A100" s="244"/>
      <c r="B100" s="245"/>
      <c r="C100" s="245"/>
      <c r="D100" s="246"/>
      <c r="E100" s="245"/>
      <c r="F100" s="247"/>
      <c r="G100" s="248"/>
      <c r="H100" s="247"/>
      <c r="I100" s="245"/>
      <c r="J100" s="249"/>
      <c r="K100" s="250"/>
      <c r="L100" s="249"/>
      <c r="M100" s="249"/>
    </row>
    <row r="101" spans="1:13" ht="15" customHeight="1" x14ac:dyDescent="0.15">
      <c r="A101" s="244"/>
      <c r="B101" s="245"/>
      <c r="C101" s="245"/>
      <c r="D101" s="246"/>
      <c r="E101" s="245"/>
      <c r="F101" s="247"/>
      <c r="G101" s="248"/>
      <c r="H101" s="247"/>
      <c r="I101" s="245"/>
      <c r="J101" s="249"/>
      <c r="K101" s="250"/>
      <c r="L101" s="249"/>
      <c r="M101" s="249"/>
    </row>
    <row r="102" spans="1:13" ht="15" customHeight="1" x14ac:dyDescent="0.15">
      <c r="A102" s="244"/>
      <c r="B102" s="245"/>
      <c r="C102" s="245"/>
      <c r="D102" s="246"/>
      <c r="E102" s="245"/>
      <c r="F102" s="247"/>
      <c r="G102" s="248"/>
      <c r="H102" s="247"/>
      <c r="I102" s="245"/>
      <c r="J102" s="249"/>
      <c r="K102" s="250"/>
      <c r="L102" s="249"/>
      <c r="M102" s="249"/>
    </row>
    <row r="103" spans="1:13" ht="15" customHeight="1" x14ac:dyDescent="0.15">
      <c r="A103" s="244"/>
      <c r="B103" s="245"/>
      <c r="C103" s="245"/>
      <c r="D103" s="246"/>
      <c r="E103" s="245"/>
      <c r="F103" s="247"/>
      <c r="G103" s="248"/>
      <c r="H103" s="247"/>
      <c r="I103" s="245"/>
      <c r="J103" s="249"/>
      <c r="K103" s="250"/>
      <c r="L103" s="249"/>
      <c r="M103" s="249"/>
    </row>
    <row r="104" spans="1:13" ht="15" customHeight="1" x14ac:dyDescent="0.15">
      <c r="A104" s="244"/>
      <c r="B104" s="245"/>
      <c r="C104" s="245"/>
      <c r="D104" s="246"/>
      <c r="E104" s="245"/>
      <c r="F104" s="247"/>
      <c r="G104" s="248"/>
      <c r="H104" s="247"/>
      <c r="I104" s="245"/>
      <c r="J104" s="249"/>
      <c r="K104" s="250"/>
      <c r="L104" s="249"/>
      <c r="M104" s="249"/>
    </row>
    <row r="105" spans="1:13" ht="15" customHeight="1" x14ac:dyDescent="0.15">
      <c r="A105" s="244"/>
      <c r="B105" s="245"/>
      <c r="C105" s="245"/>
      <c r="D105" s="246"/>
      <c r="E105" s="245"/>
      <c r="F105" s="247"/>
      <c r="G105" s="248"/>
      <c r="H105" s="247"/>
      <c r="I105" s="245"/>
      <c r="J105" s="249"/>
      <c r="K105" s="250"/>
      <c r="L105" s="249"/>
      <c r="M105" s="249"/>
    </row>
    <row r="106" spans="1:13" ht="15" customHeight="1" x14ac:dyDescent="0.15">
      <c r="A106" s="244"/>
      <c r="B106" s="245"/>
      <c r="C106" s="245"/>
      <c r="D106" s="246"/>
      <c r="E106" s="245"/>
      <c r="F106" s="247"/>
      <c r="G106" s="248"/>
      <c r="H106" s="247"/>
      <c r="I106" s="245"/>
      <c r="J106" s="249"/>
      <c r="K106" s="250"/>
      <c r="L106" s="249"/>
      <c r="M106" s="249"/>
    </row>
    <row r="107" spans="1:13" ht="15" customHeight="1" x14ac:dyDescent="0.15">
      <c r="A107" s="244"/>
      <c r="B107" s="245"/>
      <c r="C107" s="245"/>
      <c r="D107" s="246"/>
      <c r="E107" s="245"/>
      <c r="F107" s="247"/>
      <c r="G107" s="248"/>
      <c r="H107" s="247"/>
      <c r="I107" s="245"/>
      <c r="J107" s="249"/>
      <c r="K107" s="250"/>
      <c r="L107" s="249"/>
      <c r="M107" s="249"/>
    </row>
    <row r="108" spans="1:13" ht="15" customHeight="1" x14ac:dyDescent="0.15">
      <c r="A108" s="244"/>
      <c r="B108" s="245"/>
      <c r="C108" s="245"/>
      <c r="D108" s="246"/>
      <c r="E108" s="245"/>
      <c r="F108" s="247"/>
      <c r="G108" s="248"/>
      <c r="H108" s="247"/>
      <c r="I108" s="245"/>
      <c r="J108" s="249"/>
      <c r="K108" s="250"/>
      <c r="L108" s="249"/>
      <c r="M108" s="249"/>
    </row>
    <row r="109" spans="1:13" ht="15" customHeight="1" x14ac:dyDescent="0.15">
      <c r="A109" s="244"/>
      <c r="B109" s="245"/>
      <c r="C109" s="245"/>
      <c r="D109" s="246"/>
      <c r="E109" s="245"/>
      <c r="F109" s="247"/>
      <c r="G109" s="248"/>
      <c r="H109" s="247"/>
      <c r="I109" s="245"/>
      <c r="J109" s="249"/>
      <c r="K109" s="250"/>
      <c r="L109" s="249"/>
      <c r="M109" s="249"/>
    </row>
    <row r="110" spans="1:13" ht="15" customHeight="1" x14ac:dyDescent="0.15">
      <c r="A110" s="244"/>
      <c r="B110" s="245"/>
      <c r="C110" s="245"/>
      <c r="D110" s="246"/>
      <c r="E110" s="245"/>
      <c r="F110" s="247"/>
      <c r="G110" s="248"/>
      <c r="H110" s="247"/>
      <c r="I110" s="245"/>
      <c r="J110" s="249"/>
      <c r="K110" s="250"/>
      <c r="L110" s="249"/>
      <c r="M110" s="249"/>
    </row>
    <row r="111" spans="1:13" ht="15" customHeight="1" x14ac:dyDescent="0.15">
      <c r="A111" s="244"/>
      <c r="B111" s="245"/>
      <c r="C111" s="245"/>
      <c r="D111" s="246"/>
      <c r="E111" s="245"/>
      <c r="F111" s="247"/>
      <c r="G111" s="248"/>
      <c r="H111" s="247"/>
      <c r="I111" s="245"/>
      <c r="J111" s="249"/>
      <c r="K111" s="250"/>
      <c r="L111" s="249"/>
      <c r="M111" s="249"/>
    </row>
    <row r="112" spans="1:13" ht="15" customHeight="1" x14ac:dyDescent="0.15">
      <c r="A112" s="244"/>
      <c r="B112" s="245"/>
      <c r="C112" s="245"/>
      <c r="D112" s="246"/>
      <c r="E112" s="245"/>
      <c r="F112" s="247"/>
      <c r="G112" s="248"/>
      <c r="H112" s="247"/>
      <c r="I112" s="245"/>
      <c r="J112" s="249"/>
      <c r="K112" s="250"/>
      <c r="L112" s="249"/>
      <c r="M112" s="249"/>
    </row>
    <row r="113" spans="1:13" ht="15" customHeight="1" x14ac:dyDescent="0.15">
      <c r="A113" s="244"/>
      <c r="B113" s="245"/>
      <c r="C113" s="245"/>
      <c r="D113" s="246"/>
      <c r="E113" s="245"/>
      <c r="F113" s="247"/>
      <c r="G113" s="248"/>
      <c r="H113" s="247"/>
      <c r="I113" s="245"/>
      <c r="J113" s="249"/>
      <c r="K113" s="250"/>
      <c r="L113" s="249"/>
      <c r="M113" s="249"/>
    </row>
    <row r="114" spans="1:13" ht="15" customHeight="1" x14ac:dyDescent="0.15">
      <c r="A114" s="244"/>
      <c r="B114" s="245"/>
      <c r="C114" s="245"/>
      <c r="D114" s="246"/>
      <c r="E114" s="245"/>
      <c r="F114" s="247"/>
      <c r="G114" s="248"/>
      <c r="H114" s="247"/>
      <c r="I114" s="245"/>
      <c r="J114" s="249"/>
      <c r="K114" s="250"/>
      <c r="L114" s="249"/>
      <c r="M114" s="249"/>
    </row>
    <row r="115" spans="1:13" ht="15" customHeight="1" x14ac:dyDescent="0.15">
      <c r="A115" s="244"/>
      <c r="B115" s="245"/>
      <c r="C115" s="245"/>
      <c r="D115" s="246"/>
      <c r="E115" s="245"/>
      <c r="F115" s="247"/>
      <c r="G115" s="248"/>
      <c r="H115" s="247"/>
      <c r="I115" s="245"/>
      <c r="J115" s="249"/>
      <c r="K115" s="250"/>
      <c r="L115" s="249"/>
      <c r="M115" s="249"/>
    </row>
    <row r="116" spans="1:13" ht="15" customHeight="1" x14ac:dyDescent="0.15">
      <c r="A116" s="244"/>
      <c r="B116" s="245"/>
      <c r="C116" s="245"/>
      <c r="D116" s="246"/>
      <c r="E116" s="245"/>
      <c r="F116" s="247"/>
      <c r="G116" s="248"/>
      <c r="H116" s="247"/>
      <c r="I116" s="245"/>
      <c r="J116" s="249"/>
      <c r="K116" s="250"/>
      <c r="L116" s="249"/>
      <c r="M116" s="249"/>
    </row>
    <row r="117" spans="1:13" ht="15" customHeight="1" x14ac:dyDescent="0.15">
      <c r="A117" s="244"/>
      <c r="B117" s="245"/>
      <c r="C117" s="245"/>
      <c r="D117" s="246"/>
      <c r="E117" s="245"/>
      <c r="F117" s="247"/>
      <c r="G117" s="248"/>
      <c r="H117" s="247"/>
      <c r="I117" s="245"/>
      <c r="J117" s="249"/>
      <c r="K117" s="250"/>
      <c r="L117" s="249"/>
      <c r="M117" s="249"/>
    </row>
    <row r="118" spans="1:13" ht="15" customHeight="1" x14ac:dyDescent="0.15">
      <c r="A118" s="244"/>
      <c r="B118" s="245"/>
      <c r="C118" s="245"/>
      <c r="D118" s="246"/>
      <c r="E118" s="245"/>
      <c r="F118" s="247"/>
      <c r="G118" s="248"/>
      <c r="H118" s="247"/>
      <c r="I118" s="245"/>
      <c r="J118" s="249"/>
      <c r="K118" s="250"/>
      <c r="L118" s="249"/>
      <c r="M118" s="249"/>
    </row>
    <row r="119" spans="1:13" ht="15" customHeight="1" x14ac:dyDescent="0.15">
      <c r="A119" s="244"/>
      <c r="B119" s="245"/>
      <c r="C119" s="245"/>
      <c r="D119" s="246"/>
      <c r="E119" s="245"/>
      <c r="F119" s="247"/>
      <c r="G119" s="248"/>
      <c r="H119" s="247"/>
      <c r="I119" s="245"/>
      <c r="J119" s="249"/>
      <c r="K119" s="250"/>
      <c r="L119" s="249"/>
      <c r="M119" s="249"/>
    </row>
    <row r="120" spans="1:13" ht="15" customHeight="1" x14ac:dyDescent="0.15">
      <c r="A120" s="244"/>
      <c r="B120" s="245"/>
      <c r="C120" s="245"/>
      <c r="D120" s="246"/>
      <c r="E120" s="245"/>
      <c r="F120" s="247"/>
      <c r="G120" s="248"/>
      <c r="H120" s="247"/>
      <c r="I120" s="245"/>
      <c r="J120" s="249"/>
      <c r="K120" s="250"/>
      <c r="L120" s="249"/>
      <c r="M120" s="249"/>
    </row>
    <row r="121" spans="1:13" ht="15" customHeight="1" x14ac:dyDescent="0.15">
      <c r="A121" s="244"/>
      <c r="B121" s="245"/>
      <c r="C121" s="245"/>
      <c r="D121" s="246"/>
      <c r="E121" s="245"/>
      <c r="F121" s="247"/>
      <c r="G121" s="248"/>
      <c r="H121" s="247"/>
      <c r="I121" s="245"/>
      <c r="J121" s="249"/>
      <c r="K121" s="250"/>
      <c r="L121" s="249"/>
      <c r="M121" s="249"/>
    </row>
    <row r="122" spans="1:13" ht="15" customHeight="1" x14ac:dyDescent="0.15">
      <c r="A122" s="244"/>
      <c r="B122" s="245"/>
      <c r="C122" s="245"/>
      <c r="D122" s="246"/>
      <c r="E122" s="245"/>
      <c r="F122" s="247"/>
      <c r="G122" s="248"/>
      <c r="H122" s="247"/>
      <c r="I122" s="245"/>
      <c r="J122" s="249"/>
      <c r="K122" s="250"/>
      <c r="L122" s="249"/>
      <c r="M122" s="249"/>
    </row>
    <row r="123" spans="1:13" ht="15" customHeight="1" x14ac:dyDescent="0.15">
      <c r="A123" s="244"/>
      <c r="B123" s="245"/>
      <c r="C123" s="245"/>
      <c r="D123" s="246"/>
      <c r="E123" s="245"/>
      <c r="F123" s="247"/>
      <c r="G123" s="248"/>
      <c r="H123" s="247"/>
      <c r="I123" s="245"/>
      <c r="J123" s="249"/>
      <c r="K123" s="250"/>
      <c r="L123" s="249"/>
      <c r="M123" s="249"/>
    </row>
    <row r="124" spans="1:13" ht="15" customHeight="1" x14ac:dyDescent="0.15">
      <c r="A124" s="244"/>
      <c r="B124" s="245"/>
      <c r="C124" s="245"/>
      <c r="D124" s="246"/>
      <c r="E124" s="245"/>
      <c r="F124" s="247"/>
      <c r="G124" s="248"/>
      <c r="H124" s="247"/>
      <c r="I124" s="245"/>
      <c r="J124" s="249"/>
      <c r="K124" s="250"/>
      <c r="L124" s="249"/>
      <c r="M124" s="249"/>
    </row>
    <row r="125" spans="1:13" ht="15" customHeight="1" x14ac:dyDescent="0.15">
      <c r="A125" s="244"/>
      <c r="B125" s="245"/>
      <c r="C125" s="245"/>
      <c r="D125" s="246"/>
      <c r="E125" s="245"/>
      <c r="F125" s="247"/>
      <c r="G125" s="248"/>
      <c r="H125" s="247"/>
      <c r="I125" s="245"/>
      <c r="J125" s="249"/>
      <c r="K125" s="250"/>
      <c r="L125" s="249"/>
      <c r="M125" s="249"/>
    </row>
    <row r="126" spans="1:13" ht="15" customHeight="1" x14ac:dyDescent="0.15">
      <c r="A126" s="244"/>
      <c r="B126" s="245"/>
      <c r="C126" s="245"/>
      <c r="D126" s="246"/>
      <c r="E126" s="245"/>
      <c r="F126" s="247"/>
      <c r="G126" s="248"/>
      <c r="H126" s="247"/>
      <c r="I126" s="245"/>
      <c r="J126" s="249"/>
      <c r="K126" s="250"/>
      <c r="L126" s="249"/>
      <c r="M126" s="249"/>
    </row>
    <row r="127" spans="1:13" ht="15" customHeight="1" x14ac:dyDescent="0.15">
      <c r="A127" s="244"/>
      <c r="B127" s="245"/>
      <c r="C127" s="245"/>
      <c r="D127" s="246"/>
      <c r="E127" s="245"/>
      <c r="F127" s="247"/>
      <c r="G127" s="248"/>
      <c r="H127" s="247"/>
      <c r="I127" s="245"/>
      <c r="J127" s="249"/>
      <c r="K127" s="250"/>
      <c r="L127" s="249"/>
      <c r="M127" s="249"/>
    </row>
    <row r="128" spans="1:13" ht="15" customHeight="1" x14ac:dyDescent="0.15">
      <c r="A128" s="244"/>
      <c r="B128" s="245"/>
      <c r="C128" s="245"/>
      <c r="D128" s="246"/>
      <c r="E128" s="245"/>
      <c r="F128" s="247"/>
      <c r="G128" s="248"/>
      <c r="H128" s="247"/>
      <c r="I128" s="245"/>
      <c r="J128" s="249"/>
      <c r="K128" s="250"/>
      <c r="L128" s="249"/>
      <c r="M128" s="249"/>
    </row>
    <row r="129" spans="1:13" ht="15" customHeight="1" x14ac:dyDescent="0.15">
      <c r="A129" s="244"/>
      <c r="B129" s="245"/>
      <c r="C129" s="245"/>
      <c r="D129" s="246"/>
      <c r="E129" s="245"/>
      <c r="F129" s="247"/>
      <c r="G129" s="248"/>
      <c r="H129" s="247"/>
      <c r="I129" s="245"/>
      <c r="J129" s="249"/>
      <c r="K129" s="250"/>
      <c r="L129" s="249"/>
      <c r="M129" s="249"/>
    </row>
    <row r="130" spans="1:13" ht="15" customHeight="1" x14ac:dyDescent="0.15">
      <c r="A130" s="244"/>
      <c r="B130" s="245"/>
      <c r="C130" s="245"/>
      <c r="D130" s="246"/>
      <c r="E130" s="245"/>
      <c r="F130" s="247"/>
      <c r="G130" s="248"/>
      <c r="H130" s="247"/>
      <c r="I130" s="245"/>
      <c r="J130" s="249"/>
      <c r="K130" s="250"/>
      <c r="L130" s="249"/>
      <c r="M130" s="249"/>
    </row>
    <row r="131" spans="1:13" ht="15" customHeight="1" x14ac:dyDescent="0.15">
      <c r="A131" s="244"/>
      <c r="B131" s="245"/>
      <c r="C131" s="245"/>
      <c r="D131" s="246"/>
      <c r="E131" s="245"/>
      <c r="F131" s="247"/>
      <c r="G131" s="248"/>
      <c r="H131" s="247"/>
      <c r="I131" s="245"/>
      <c r="J131" s="249"/>
      <c r="K131" s="250"/>
      <c r="L131" s="249"/>
      <c r="M131" s="249"/>
    </row>
    <row r="132" spans="1:13" ht="15" customHeight="1" x14ac:dyDescent="0.15">
      <c r="A132" s="244"/>
      <c r="B132" s="245"/>
      <c r="C132" s="245"/>
      <c r="D132" s="246"/>
      <c r="E132" s="245"/>
      <c r="F132" s="247"/>
      <c r="G132" s="248"/>
      <c r="H132" s="247"/>
      <c r="I132" s="245"/>
      <c r="J132" s="249"/>
      <c r="K132" s="250"/>
      <c r="L132" s="249"/>
      <c r="M132" s="249"/>
    </row>
    <row r="133" spans="1:13" ht="15" customHeight="1" x14ac:dyDescent="0.15">
      <c r="A133" s="244"/>
      <c r="B133" s="245"/>
      <c r="C133" s="245"/>
      <c r="D133" s="246"/>
      <c r="E133" s="245"/>
      <c r="F133" s="247"/>
      <c r="G133" s="248"/>
      <c r="H133" s="247"/>
      <c r="I133" s="245"/>
      <c r="J133" s="249"/>
      <c r="K133" s="250"/>
      <c r="L133" s="249"/>
      <c r="M133" s="249"/>
    </row>
    <row r="134" spans="1:13" ht="15" customHeight="1" x14ac:dyDescent="0.15">
      <c r="A134" s="244"/>
      <c r="B134" s="245"/>
      <c r="C134" s="245"/>
      <c r="D134" s="246"/>
      <c r="E134" s="245"/>
      <c r="F134" s="247"/>
      <c r="G134" s="248"/>
      <c r="H134" s="247"/>
      <c r="I134" s="245"/>
      <c r="J134" s="249"/>
      <c r="K134" s="250"/>
      <c r="L134" s="249"/>
      <c r="M134" s="249"/>
    </row>
    <row r="135" spans="1:13" ht="15" customHeight="1" x14ac:dyDescent="0.15">
      <c r="A135" s="244"/>
      <c r="B135" s="245"/>
      <c r="C135" s="245"/>
      <c r="D135" s="246"/>
      <c r="E135" s="245"/>
      <c r="F135" s="247"/>
      <c r="G135" s="248"/>
      <c r="H135" s="247"/>
      <c r="I135" s="245"/>
      <c r="J135" s="249"/>
      <c r="K135" s="250"/>
      <c r="L135" s="249"/>
      <c r="M135" s="249"/>
    </row>
    <row r="136" spans="1:13" ht="15" customHeight="1" x14ac:dyDescent="0.15">
      <c r="A136" s="244"/>
      <c r="B136" s="245"/>
      <c r="C136" s="245"/>
      <c r="D136" s="246"/>
      <c r="E136" s="245"/>
      <c r="F136" s="247"/>
      <c r="G136" s="248"/>
      <c r="H136" s="247"/>
      <c r="I136" s="245"/>
      <c r="J136" s="249"/>
      <c r="K136" s="250"/>
      <c r="L136" s="249"/>
      <c r="M136" s="249"/>
    </row>
    <row r="137" spans="1:13" ht="15" customHeight="1" x14ac:dyDescent="0.15">
      <c r="A137" s="244"/>
      <c r="B137" s="245"/>
      <c r="C137" s="245"/>
      <c r="D137" s="246"/>
      <c r="E137" s="245"/>
      <c r="F137" s="247"/>
      <c r="G137" s="248"/>
      <c r="H137" s="247"/>
      <c r="I137" s="245"/>
      <c r="J137" s="249"/>
      <c r="K137" s="250"/>
      <c r="L137" s="249"/>
      <c r="M137" s="249"/>
    </row>
    <row r="138" spans="1:13" ht="15" customHeight="1" x14ac:dyDescent="0.15">
      <c r="A138" s="244"/>
      <c r="B138" s="245"/>
      <c r="C138" s="245"/>
      <c r="D138" s="246"/>
      <c r="E138" s="245"/>
      <c r="F138" s="247"/>
      <c r="G138" s="248"/>
      <c r="H138" s="247"/>
      <c r="I138" s="245"/>
      <c r="J138" s="249"/>
      <c r="K138" s="250"/>
      <c r="L138" s="249"/>
      <c r="M138" s="249"/>
    </row>
    <row r="139" spans="1:13" ht="15" customHeight="1" x14ac:dyDescent="0.15">
      <c r="A139" s="244"/>
      <c r="B139" s="245"/>
      <c r="C139" s="245"/>
      <c r="D139" s="246"/>
      <c r="E139" s="245"/>
      <c r="F139" s="247"/>
      <c r="G139" s="248"/>
      <c r="H139" s="247"/>
      <c r="I139" s="245"/>
      <c r="J139" s="249"/>
      <c r="K139" s="250"/>
      <c r="L139" s="249"/>
      <c r="M139" s="249"/>
    </row>
    <row r="140" spans="1:13" ht="15" customHeight="1" x14ac:dyDescent="0.15">
      <c r="A140" s="244"/>
      <c r="B140" s="245"/>
      <c r="C140" s="245"/>
      <c r="D140" s="246"/>
      <c r="E140" s="245"/>
      <c r="F140" s="247"/>
      <c r="G140" s="248"/>
      <c r="H140" s="247"/>
      <c r="I140" s="245"/>
      <c r="J140" s="249"/>
      <c r="K140" s="250"/>
      <c r="L140" s="249"/>
      <c r="M140" s="249"/>
    </row>
    <row r="141" spans="1:13" ht="15" customHeight="1" x14ac:dyDescent="0.15">
      <c r="A141" s="244"/>
      <c r="B141" s="245"/>
      <c r="C141" s="245"/>
      <c r="D141" s="246"/>
      <c r="E141" s="245"/>
      <c r="F141" s="247"/>
      <c r="G141" s="248"/>
      <c r="H141" s="247"/>
      <c r="I141" s="245"/>
      <c r="J141" s="249"/>
      <c r="K141" s="250"/>
      <c r="L141" s="249"/>
      <c r="M141" s="249"/>
    </row>
    <row r="142" spans="1:13" ht="15" customHeight="1" x14ac:dyDescent="0.15">
      <c r="A142" s="244"/>
      <c r="B142" s="245"/>
      <c r="C142" s="245"/>
      <c r="D142" s="246"/>
      <c r="E142" s="245"/>
      <c r="F142" s="247"/>
      <c r="G142" s="248"/>
      <c r="H142" s="247"/>
      <c r="I142" s="245"/>
      <c r="J142" s="249"/>
      <c r="K142" s="250"/>
      <c r="L142" s="249"/>
      <c r="M142" s="249"/>
    </row>
    <row r="143" spans="1:13" ht="15" customHeight="1" x14ac:dyDescent="0.15">
      <c r="A143" s="244"/>
      <c r="B143" s="245"/>
      <c r="C143" s="245"/>
      <c r="D143" s="246"/>
      <c r="E143" s="245"/>
      <c r="F143" s="247"/>
      <c r="G143" s="248"/>
      <c r="H143" s="247"/>
      <c r="I143" s="245"/>
      <c r="J143" s="249"/>
      <c r="K143" s="250"/>
      <c r="L143" s="249"/>
      <c r="M143" s="249"/>
    </row>
    <row r="144" spans="1:13" ht="15" customHeight="1" x14ac:dyDescent="0.15">
      <c r="A144" s="244"/>
      <c r="B144" s="245"/>
      <c r="C144" s="245"/>
      <c r="D144" s="246"/>
      <c r="E144" s="245"/>
      <c r="F144" s="247"/>
      <c r="G144" s="248"/>
      <c r="H144" s="247"/>
      <c r="I144" s="245"/>
      <c r="J144" s="249"/>
      <c r="K144" s="250"/>
      <c r="L144" s="249"/>
      <c r="M144" s="249"/>
    </row>
    <row r="145" spans="1:13" ht="15" customHeight="1" x14ac:dyDescent="0.15">
      <c r="A145" s="244"/>
      <c r="B145" s="245"/>
      <c r="C145" s="245"/>
      <c r="D145" s="246"/>
      <c r="E145" s="245"/>
      <c r="F145" s="247"/>
      <c r="G145" s="248"/>
      <c r="H145" s="247"/>
      <c r="I145" s="245"/>
      <c r="J145" s="249"/>
      <c r="K145" s="250"/>
      <c r="L145" s="249"/>
      <c r="M145" s="249"/>
    </row>
    <row r="146" spans="1:13" ht="15" customHeight="1" x14ac:dyDescent="0.15">
      <c r="A146" s="244"/>
      <c r="B146" s="245"/>
      <c r="C146" s="245"/>
      <c r="D146" s="246"/>
      <c r="E146" s="245"/>
      <c r="F146" s="247"/>
      <c r="G146" s="248"/>
      <c r="H146" s="247"/>
      <c r="I146" s="245"/>
      <c r="J146" s="249"/>
      <c r="K146" s="250"/>
      <c r="L146" s="249"/>
      <c r="M146" s="249"/>
    </row>
    <row r="147" spans="1:13" ht="15" customHeight="1" x14ac:dyDescent="0.15">
      <c r="A147" s="244"/>
      <c r="B147" s="245"/>
      <c r="C147" s="245"/>
      <c r="D147" s="246"/>
      <c r="E147" s="245"/>
      <c r="F147" s="247"/>
      <c r="G147" s="248"/>
      <c r="H147" s="247"/>
      <c r="I147" s="245"/>
      <c r="J147" s="249"/>
      <c r="K147" s="250"/>
      <c r="L147" s="249"/>
      <c r="M147" s="249"/>
    </row>
    <row r="148" spans="1:13" ht="15" customHeight="1" x14ac:dyDescent="0.15">
      <c r="A148" s="244"/>
      <c r="B148" s="245"/>
      <c r="C148" s="245"/>
      <c r="D148" s="246"/>
      <c r="E148" s="245"/>
      <c r="F148" s="247"/>
      <c r="G148" s="248"/>
      <c r="H148" s="247"/>
      <c r="I148" s="245"/>
      <c r="J148" s="249"/>
      <c r="K148" s="250"/>
      <c r="L148" s="249"/>
      <c r="M148" s="249"/>
    </row>
    <row r="149" spans="1:13" ht="15" customHeight="1" x14ac:dyDescent="0.15">
      <c r="A149" s="244"/>
      <c r="B149" s="245"/>
      <c r="C149" s="245"/>
      <c r="D149" s="246"/>
      <c r="E149" s="245"/>
      <c r="F149" s="247"/>
      <c r="G149" s="248"/>
      <c r="H149" s="247"/>
      <c r="I149" s="245"/>
      <c r="J149" s="249"/>
      <c r="K149" s="250"/>
      <c r="L149" s="249"/>
      <c r="M149" s="249"/>
    </row>
    <row r="150" spans="1:13" ht="15" customHeight="1" x14ac:dyDescent="0.15">
      <c r="A150" s="244"/>
      <c r="B150" s="245"/>
      <c r="C150" s="245"/>
      <c r="D150" s="246"/>
      <c r="E150" s="245"/>
      <c r="F150" s="247"/>
      <c r="G150" s="248"/>
      <c r="H150" s="247"/>
      <c r="I150" s="245"/>
      <c r="J150" s="249"/>
      <c r="K150" s="250"/>
      <c r="L150" s="249"/>
      <c r="M150" s="249"/>
    </row>
    <row r="151" spans="1:13" ht="15" customHeight="1" x14ac:dyDescent="0.15">
      <c r="A151" s="244"/>
      <c r="B151" s="245"/>
      <c r="C151" s="245"/>
      <c r="D151" s="246"/>
      <c r="E151" s="245"/>
      <c r="F151" s="247"/>
      <c r="G151" s="248"/>
      <c r="H151" s="247"/>
      <c r="I151" s="245"/>
      <c r="J151" s="249"/>
      <c r="K151" s="250"/>
      <c r="L151" s="249"/>
      <c r="M151" s="249"/>
    </row>
    <row r="152" spans="1:13" ht="15" customHeight="1" x14ac:dyDescent="0.15">
      <c r="A152" s="244"/>
      <c r="B152" s="245"/>
      <c r="C152" s="245"/>
      <c r="D152" s="246"/>
      <c r="E152" s="245"/>
      <c r="F152" s="247"/>
      <c r="G152" s="248"/>
      <c r="H152" s="247"/>
      <c r="I152" s="245"/>
      <c r="J152" s="249"/>
      <c r="K152" s="250"/>
      <c r="L152" s="249"/>
      <c r="M152" s="249"/>
    </row>
    <row r="153" spans="1:13" ht="15" customHeight="1" x14ac:dyDescent="0.15">
      <c r="A153" s="244"/>
      <c r="B153" s="245"/>
      <c r="C153" s="245"/>
      <c r="D153" s="246"/>
      <c r="E153" s="245"/>
      <c r="F153" s="247"/>
      <c r="G153" s="248"/>
      <c r="H153" s="247"/>
      <c r="I153" s="245"/>
      <c r="J153" s="249"/>
      <c r="K153" s="250"/>
      <c r="L153" s="249"/>
      <c r="M153" s="249"/>
    </row>
    <row r="154" spans="1:13" ht="15" customHeight="1" x14ac:dyDescent="0.15">
      <c r="A154" s="244"/>
      <c r="B154" s="245"/>
      <c r="C154" s="245"/>
      <c r="D154" s="246"/>
      <c r="E154" s="245"/>
      <c r="F154" s="247"/>
      <c r="G154" s="248"/>
      <c r="H154" s="247"/>
      <c r="I154" s="245"/>
      <c r="J154" s="249"/>
      <c r="K154" s="250"/>
      <c r="L154" s="249"/>
      <c r="M154" s="249"/>
    </row>
    <row r="155" spans="1:13" ht="15" customHeight="1" x14ac:dyDescent="0.15">
      <c r="A155" s="244"/>
      <c r="B155" s="245"/>
      <c r="C155" s="245"/>
      <c r="D155" s="246"/>
      <c r="E155" s="245"/>
      <c r="F155" s="247"/>
      <c r="G155" s="248"/>
      <c r="H155" s="247"/>
      <c r="I155" s="245"/>
      <c r="J155" s="249"/>
      <c r="K155" s="250"/>
      <c r="L155" s="249"/>
      <c r="M155" s="249"/>
    </row>
    <row r="156" spans="1:13" ht="15" customHeight="1" x14ac:dyDescent="0.15">
      <c r="A156" s="244"/>
      <c r="B156" s="245"/>
      <c r="C156" s="245"/>
      <c r="D156" s="246"/>
      <c r="E156" s="245"/>
      <c r="F156" s="247"/>
      <c r="G156" s="248"/>
      <c r="H156" s="247"/>
      <c r="I156" s="245"/>
      <c r="J156" s="249"/>
      <c r="K156" s="250"/>
      <c r="L156" s="249"/>
      <c r="M156" s="249"/>
    </row>
    <row r="157" spans="1:13" ht="15" customHeight="1" x14ac:dyDescent="0.15">
      <c r="A157" s="244"/>
      <c r="B157" s="245"/>
      <c r="C157" s="245"/>
      <c r="D157" s="246"/>
      <c r="E157" s="245"/>
      <c r="F157" s="247"/>
      <c r="G157" s="248"/>
      <c r="H157" s="247"/>
      <c r="I157" s="245"/>
      <c r="J157" s="249"/>
      <c r="K157" s="250"/>
      <c r="L157" s="249"/>
      <c r="M157" s="249"/>
    </row>
    <row r="158" spans="1:13" ht="15" customHeight="1" x14ac:dyDescent="0.15">
      <c r="A158" s="244"/>
      <c r="B158" s="245"/>
      <c r="C158" s="245"/>
      <c r="D158" s="246"/>
      <c r="E158" s="245"/>
      <c r="F158" s="247"/>
      <c r="G158" s="248"/>
      <c r="H158" s="247"/>
      <c r="I158" s="245"/>
      <c r="J158" s="249"/>
      <c r="K158" s="250"/>
      <c r="L158" s="249"/>
      <c r="M158" s="249"/>
    </row>
    <row r="159" spans="1:13" ht="15" customHeight="1" x14ac:dyDescent="0.15">
      <c r="A159" s="244"/>
      <c r="B159" s="245"/>
      <c r="C159" s="245"/>
      <c r="D159" s="246"/>
      <c r="E159" s="245"/>
      <c r="F159" s="247"/>
      <c r="G159" s="248"/>
      <c r="H159" s="247"/>
      <c r="I159" s="245"/>
      <c r="J159" s="249"/>
      <c r="K159" s="250"/>
      <c r="L159" s="249"/>
      <c r="M159" s="249"/>
    </row>
    <row r="160" spans="1:13" ht="15" customHeight="1" x14ac:dyDescent="0.15">
      <c r="A160" s="244"/>
      <c r="B160" s="245"/>
      <c r="C160" s="245"/>
      <c r="D160" s="246"/>
      <c r="E160" s="245"/>
      <c r="F160" s="247"/>
      <c r="G160" s="248"/>
      <c r="H160" s="247"/>
      <c r="I160" s="245"/>
      <c r="J160" s="249"/>
      <c r="K160" s="250"/>
      <c r="L160" s="249"/>
      <c r="M160" s="249"/>
    </row>
    <row r="161" spans="1:13" ht="15" customHeight="1" x14ac:dyDescent="0.15">
      <c r="A161" s="244"/>
      <c r="B161" s="245"/>
      <c r="C161" s="245"/>
      <c r="D161" s="246"/>
      <c r="E161" s="245"/>
      <c r="F161" s="247"/>
      <c r="G161" s="248"/>
      <c r="H161" s="247"/>
      <c r="I161" s="245"/>
      <c r="J161" s="249"/>
      <c r="K161" s="250"/>
      <c r="L161" s="249"/>
      <c r="M161" s="249"/>
    </row>
    <row r="162" spans="1:13" ht="15" customHeight="1" x14ac:dyDescent="0.15">
      <c r="A162" s="244"/>
      <c r="B162" s="245"/>
      <c r="C162" s="245"/>
      <c r="D162" s="246"/>
      <c r="E162" s="245"/>
      <c r="F162" s="247"/>
      <c r="G162" s="248"/>
      <c r="H162" s="247"/>
      <c r="I162" s="245"/>
      <c r="J162" s="249"/>
      <c r="K162" s="250"/>
      <c r="L162" s="249"/>
      <c r="M162" s="249"/>
    </row>
    <row r="163" spans="1:13" ht="15" customHeight="1" x14ac:dyDescent="0.15">
      <c r="A163" s="244"/>
      <c r="B163" s="245"/>
      <c r="C163" s="245"/>
      <c r="D163" s="246"/>
      <c r="E163" s="245"/>
      <c r="F163" s="247"/>
      <c r="G163" s="248"/>
      <c r="H163" s="247"/>
      <c r="I163" s="245"/>
      <c r="J163" s="249"/>
      <c r="K163" s="250"/>
      <c r="L163" s="249"/>
      <c r="M163" s="249"/>
    </row>
    <row r="164" spans="1:13" ht="15" customHeight="1" x14ac:dyDescent="0.15">
      <c r="A164" s="244"/>
      <c r="B164" s="245"/>
      <c r="C164" s="245"/>
      <c r="D164" s="246"/>
      <c r="E164" s="245"/>
      <c r="F164" s="247"/>
      <c r="G164" s="248"/>
      <c r="H164" s="247"/>
      <c r="I164" s="245"/>
      <c r="J164" s="249"/>
      <c r="K164" s="250"/>
      <c r="L164" s="249"/>
      <c r="M164" s="249"/>
    </row>
    <row r="165" spans="1:13" ht="15" customHeight="1" x14ac:dyDescent="0.15">
      <c r="A165" s="244"/>
      <c r="B165" s="245"/>
      <c r="C165" s="245"/>
      <c r="D165" s="246"/>
      <c r="E165" s="245"/>
      <c r="F165" s="247"/>
      <c r="G165" s="248"/>
      <c r="H165" s="247"/>
      <c r="I165" s="245"/>
      <c r="J165" s="249"/>
      <c r="K165" s="250"/>
      <c r="L165" s="249"/>
      <c r="M165" s="249"/>
    </row>
    <row r="166" spans="1:13" ht="15" customHeight="1" x14ac:dyDescent="0.15">
      <c r="A166" s="244"/>
      <c r="B166" s="245"/>
      <c r="C166" s="245"/>
      <c r="D166" s="246"/>
      <c r="E166" s="245"/>
      <c r="F166" s="247"/>
      <c r="G166" s="248"/>
      <c r="H166" s="247"/>
      <c r="I166" s="245"/>
      <c r="J166" s="249"/>
      <c r="K166" s="250"/>
      <c r="L166" s="249"/>
      <c r="M166" s="249"/>
    </row>
    <row r="167" spans="1:13" ht="15" customHeight="1" x14ac:dyDescent="0.15">
      <c r="A167" s="244"/>
      <c r="B167" s="245"/>
      <c r="C167" s="245"/>
      <c r="D167" s="246"/>
      <c r="E167" s="245"/>
      <c r="F167" s="247"/>
      <c r="G167" s="248"/>
      <c r="H167" s="247"/>
      <c r="I167" s="245"/>
      <c r="J167" s="249"/>
      <c r="K167" s="250"/>
      <c r="L167" s="249"/>
      <c r="M167" s="249"/>
    </row>
    <row r="168" spans="1:13" ht="15" customHeight="1" x14ac:dyDescent="0.15">
      <c r="A168" s="244"/>
      <c r="B168" s="245"/>
      <c r="C168" s="245"/>
      <c r="D168" s="246"/>
      <c r="E168" s="245"/>
      <c r="F168" s="247"/>
      <c r="G168" s="248"/>
      <c r="H168" s="247"/>
      <c r="I168" s="245"/>
      <c r="J168" s="249"/>
      <c r="K168" s="250"/>
      <c r="L168" s="249"/>
      <c r="M168" s="249"/>
    </row>
    <row r="169" spans="1:13" ht="15" customHeight="1" x14ac:dyDescent="0.15">
      <c r="A169" s="244"/>
      <c r="B169" s="245"/>
      <c r="C169" s="245"/>
      <c r="D169" s="246"/>
      <c r="E169" s="245"/>
      <c r="F169" s="247"/>
      <c r="G169" s="248"/>
      <c r="H169" s="247"/>
      <c r="I169" s="245"/>
      <c r="J169" s="249"/>
      <c r="K169" s="250"/>
      <c r="L169" s="249"/>
      <c r="M169" s="249"/>
    </row>
    <row r="170" spans="1:13" ht="15" customHeight="1" x14ac:dyDescent="0.15">
      <c r="A170" s="244"/>
      <c r="B170" s="245"/>
      <c r="C170" s="245"/>
      <c r="D170" s="246"/>
      <c r="E170" s="245"/>
      <c r="F170" s="247"/>
      <c r="G170" s="248"/>
      <c r="H170" s="247"/>
      <c r="I170" s="245"/>
      <c r="J170" s="249"/>
      <c r="K170" s="250"/>
      <c r="L170" s="249"/>
      <c r="M170" s="249"/>
    </row>
    <row r="171" spans="1:13" ht="15" customHeight="1" x14ac:dyDescent="0.15">
      <c r="A171" s="244"/>
      <c r="B171" s="245"/>
      <c r="C171" s="245"/>
      <c r="D171" s="246"/>
      <c r="E171" s="245"/>
      <c r="F171" s="247"/>
      <c r="G171" s="248"/>
      <c r="H171" s="247"/>
      <c r="I171" s="245"/>
      <c r="J171" s="249"/>
      <c r="K171" s="250"/>
      <c r="L171" s="249"/>
      <c r="M171" s="249"/>
    </row>
    <row r="172" spans="1:13" ht="15" customHeight="1" x14ac:dyDescent="0.15">
      <c r="A172" s="244"/>
      <c r="B172" s="245"/>
      <c r="C172" s="245"/>
      <c r="D172" s="246"/>
      <c r="E172" s="245"/>
      <c r="F172" s="247"/>
      <c r="G172" s="248"/>
      <c r="H172" s="247"/>
      <c r="I172" s="245"/>
      <c r="J172" s="249"/>
      <c r="K172" s="250"/>
      <c r="L172" s="249"/>
      <c r="M172" s="249"/>
    </row>
    <row r="173" spans="1:13" ht="15" customHeight="1" x14ac:dyDescent="0.15">
      <c r="A173" s="244"/>
      <c r="B173" s="245"/>
      <c r="C173" s="245"/>
      <c r="D173" s="246"/>
      <c r="E173" s="245"/>
      <c r="F173" s="247"/>
      <c r="G173" s="248"/>
      <c r="H173" s="247"/>
      <c r="I173" s="245"/>
      <c r="J173" s="249"/>
      <c r="K173" s="250"/>
      <c r="L173" s="249"/>
      <c r="M173" s="249"/>
    </row>
    <row r="174" spans="1:13" ht="15" customHeight="1" x14ac:dyDescent="0.15">
      <c r="A174" s="244"/>
      <c r="B174" s="245"/>
      <c r="C174" s="245"/>
      <c r="D174" s="246"/>
      <c r="E174" s="245"/>
      <c r="F174" s="247"/>
      <c r="G174" s="248"/>
      <c r="H174" s="247"/>
      <c r="I174" s="245"/>
      <c r="J174" s="249"/>
      <c r="K174" s="250"/>
      <c r="L174" s="249"/>
      <c r="M174" s="249"/>
    </row>
    <row r="175" spans="1:13" ht="15" customHeight="1" x14ac:dyDescent="0.15">
      <c r="A175" s="244"/>
      <c r="B175" s="245"/>
      <c r="C175" s="245"/>
      <c r="D175" s="246"/>
      <c r="E175" s="245"/>
      <c r="F175" s="247"/>
      <c r="G175" s="248"/>
      <c r="H175" s="247"/>
      <c r="I175" s="245"/>
      <c r="J175" s="249"/>
      <c r="K175" s="250"/>
      <c r="L175" s="249"/>
      <c r="M175" s="249"/>
    </row>
    <row r="176" spans="1:13" ht="15" customHeight="1" x14ac:dyDescent="0.15">
      <c r="A176" s="244"/>
      <c r="B176" s="245"/>
      <c r="C176" s="245"/>
      <c r="D176" s="246"/>
      <c r="E176" s="245"/>
      <c r="F176" s="247"/>
      <c r="G176" s="248"/>
      <c r="H176" s="247"/>
      <c r="I176" s="245"/>
      <c r="J176" s="249"/>
      <c r="K176" s="250"/>
      <c r="L176" s="249"/>
      <c r="M176" s="249"/>
    </row>
    <row r="177" spans="1:13" ht="15" customHeight="1" x14ac:dyDescent="0.15">
      <c r="A177" s="244"/>
      <c r="B177" s="245"/>
      <c r="C177" s="245"/>
      <c r="D177" s="246"/>
      <c r="E177" s="245"/>
      <c r="F177" s="247"/>
      <c r="G177" s="248"/>
      <c r="H177" s="247"/>
      <c r="I177" s="245"/>
      <c r="J177" s="249"/>
      <c r="K177" s="250"/>
      <c r="L177" s="249"/>
      <c r="M177" s="249"/>
    </row>
    <row r="178" spans="1:13" ht="15" customHeight="1" x14ac:dyDescent="0.15">
      <c r="A178" s="244"/>
      <c r="B178" s="245"/>
      <c r="C178" s="245"/>
      <c r="D178" s="246"/>
      <c r="E178" s="245"/>
      <c r="F178" s="247"/>
      <c r="G178" s="248"/>
      <c r="H178" s="247"/>
      <c r="I178" s="245"/>
      <c r="J178" s="249"/>
      <c r="K178" s="250"/>
      <c r="L178" s="249"/>
      <c r="M178" s="249"/>
    </row>
    <row r="179" spans="1:13" ht="15" customHeight="1" x14ac:dyDescent="0.15">
      <c r="A179" s="244"/>
      <c r="B179" s="245"/>
      <c r="C179" s="245"/>
      <c r="D179" s="246"/>
      <c r="E179" s="245"/>
      <c r="F179" s="247"/>
      <c r="G179" s="248"/>
      <c r="H179" s="247"/>
      <c r="I179" s="245"/>
      <c r="J179" s="249"/>
      <c r="K179" s="250"/>
      <c r="L179" s="249"/>
      <c r="M179" s="249"/>
    </row>
    <row r="180" spans="1:13" ht="15" customHeight="1" x14ac:dyDescent="0.15">
      <c r="A180" s="244"/>
      <c r="B180" s="245"/>
      <c r="C180" s="245"/>
      <c r="D180" s="246"/>
      <c r="E180" s="245"/>
      <c r="F180" s="247"/>
      <c r="G180" s="248"/>
      <c r="H180" s="247"/>
      <c r="I180" s="245"/>
      <c r="J180" s="249"/>
      <c r="K180" s="250"/>
      <c r="L180" s="249"/>
      <c r="M180" s="249"/>
    </row>
    <row r="181" spans="1:13" ht="15" customHeight="1" x14ac:dyDescent="0.15">
      <c r="A181" s="244"/>
      <c r="B181" s="245"/>
      <c r="C181" s="245"/>
      <c r="D181" s="246"/>
      <c r="E181" s="245"/>
      <c r="F181" s="247"/>
      <c r="G181" s="248"/>
      <c r="H181" s="247"/>
      <c r="I181" s="245"/>
      <c r="J181" s="249"/>
      <c r="K181" s="250"/>
      <c r="L181" s="249"/>
      <c r="M181" s="249"/>
    </row>
    <row r="182" spans="1:13" ht="15" customHeight="1" x14ac:dyDescent="0.15">
      <c r="A182" s="244"/>
      <c r="B182" s="245"/>
      <c r="C182" s="245"/>
      <c r="D182" s="246"/>
      <c r="E182" s="245"/>
      <c r="F182" s="247"/>
      <c r="G182" s="248"/>
      <c r="H182" s="247"/>
      <c r="I182" s="245"/>
      <c r="J182" s="249"/>
      <c r="K182" s="250"/>
      <c r="L182" s="249"/>
      <c r="M182" s="249"/>
    </row>
    <row r="183" spans="1:13" ht="15" customHeight="1" x14ac:dyDescent="0.15">
      <c r="A183" s="244"/>
      <c r="B183" s="245"/>
      <c r="C183" s="245"/>
      <c r="D183" s="246"/>
      <c r="E183" s="245"/>
      <c r="F183" s="247"/>
      <c r="G183" s="248"/>
      <c r="H183" s="247"/>
      <c r="I183" s="245"/>
      <c r="J183" s="249"/>
      <c r="K183" s="250"/>
      <c r="L183" s="249"/>
      <c r="M183" s="249"/>
    </row>
    <row r="184" spans="1:13" ht="15" customHeight="1" x14ac:dyDescent="0.15">
      <c r="A184" s="244"/>
      <c r="B184" s="245"/>
      <c r="C184" s="245"/>
      <c r="D184" s="246"/>
      <c r="E184" s="245"/>
      <c r="F184" s="247"/>
      <c r="G184" s="248"/>
      <c r="H184" s="247"/>
      <c r="I184" s="245"/>
      <c r="J184" s="249"/>
      <c r="K184" s="250"/>
      <c r="L184" s="249"/>
      <c r="M184" s="249"/>
    </row>
    <row r="185" spans="1:13" ht="15" customHeight="1" x14ac:dyDescent="0.15">
      <c r="A185" s="244"/>
      <c r="B185" s="245"/>
      <c r="C185" s="245"/>
      <c r="D185" s="246"/>
      <c r="E185" s="245"/>
      <c r="F185" s="247"/>
      <c r="G185" s="248"/>
      <c r="H185" s="247"/>
      <c r="I185" s="245"/>
      <c r="J185" s="249"/>
      <c r="K185" s="250"/>
      <c r="L185" s="249"/>
      <c r="M185" s="249"/>
    </row>
    <row r="186" spans="1:13" ht="15" customHeight="1" x14ac:dyDescent="0.15">
      <c r="A186" s="244"/>
      <c r="B186" s="245"/>
      <c r="C186" s="245"/>
      <c r="D186" s="246"/>
      <c r="E186" s="245"/>
      <c r="F186" s="247"/>
      <c r="G186" s="248"/>
      <c r="H186" s="247"/>
      <c r="I186" s="245"/>
      <c r="J186" s="249"/>
      <c r="K186" s="250"/>
      <c r="L186" s="249"/>
      <c r="M186" s="249"/>
    </row>
    <row r="187" spans="1:13" ht="15" customHeight="1" x14ac:dyDescent="0.15">
      <c r="A187" s="244"/>
      <c r="B187" s="245"/>
      <c r="C187" s="245"/>
      <c r="D187" s="246"/>
      <c r="E187" s="245"/>
      <c r="F187" s="247"/>
      <c r="G187" s="248"/>
      <c r="H187" s="247"/>
      <c r="I187" s="245"/>
      <c r="J187" s="249"/>
      <c r="K187" s="250"/>
      <c r="L187" s="249"/>
      <c r="M187" s="249"/>
    </row>
    <row r="188" spans="1:13" ht="15" customHeight="1" x14ac:dyDescent="0.15">
      <c r="A188" s="244"/>
      <c r="B188" s="245"/>
      <c r="C188" s="245"/>
      <c r="D188" s="246"/>
      <c r="E188" s="245"/>
      <c r="F188" s="247"/>
      <c r="G188" s="248"/>
      <c r="H188" s="247"/>
      <c r="I188" s="245"/>
      <c r="J188" s="249"/>
      <c r="K188" s="250"/>
      <c r="L188" s="249"/>
      <c r="M188" s="249"/>
    </row>
    <row r="189" spans="1:13" ht="15" customHeight="1" x14ac:dyDescent="0.15">
      <c r="A189" s="244"/>
      <c r="B189" s="245"/>
      <c r="C189" s="245"/>
      <c r="D189" s="246"/>
      <c r="E189" s="245"/>
      <c r="F189" s="247"/>
      <c r="G189" s="248"/>
      <c r="H189" s="247"/>
      <c r="I189" s="245"/>
      <c r="J189" s="249"/>
      <c r="K189" s="250"/>
      <c r="L189" s="249"/>
      <c r="M189" s="249"/>
    </row>
    <row r="190" spans="1:13" ht="15" customHeight="1" x14ac:dyDescent="0.15">
      <c r="A190" s="244"/>
      <c r="B190" s="245"/>
      <c r="C190" s="245"/>
      <c r="D190" s="246"/>
      <c r="E190" s="245"/>
      <c r="F190" s="247"/>
      <c r="G190" s="248"/>
      <c r="H190" s="247"/>
      <c r="I190" s="245"/>
      <c r="J190" s="249"/>
      <c r="K190" s="250"/>
      <c r="L190" s="249"/>
      <c r="M190" s="249"/>
    </row>
    <row r="191" spans="1:13" ht="15" customHeight="1" x14ac:dyDescent="0.15">
      <c r="A191" s="244"/>
      <c r="B191" s="245"/>
      <c r="C191" s="245"/>
      <c r="D191" s="246"/>
      <c r="E191" s="245"/>
      <c r="F191" s="247"/>
      <c r="G191" s="248"/>
      <c r="H191" s="247"/>
      <c r="I191" s="245"/>
      <c r="J191" s="249"/>
      <c r="K191" s="250"/>
      <c r="L191" s="249"/>
      <c r="M191" s="249"/>
    </row>
    <row r="192" spans="1:13" ht="15" customHeight="1" x14ac:dyDescent="0.15">
      <c r="A192" s="244"/>
      <c r="B192" s="245"/>
      <c r="C192" s="245"/>
      <c r="D192" s="246"/>
      <c r="E192" s="245"/>
      <c r="F192" s="247"/>
      <c r="G192" s="248"/>
      <c r="H192" s="247"/>
      <c r="I192" s="245"/>
      <c r="J192" s="249"/>
      <c r="K192" s="250"/>
      <c r="L192" s="249"/>
      <c r="M192" s="249"/>
    </row>
    <row r="193" spans="1:13" ht="15" customHeight="1" x14ac:dyDescent="0.15">
      <c r="A193" s="244"/>
      <c r="B193" s="245"/>
      <c r="C193" s="245"/>
      <c r="D193" s="246"/>
      <c r="E193" s="245"/>
      <c r="F193" s="247"/>
      <c r="G193" s="248"/>
      <c r="H193" s="247"/>
      <c r="I193" s="245"/>
      <c r="J193" s="249"/>
      <c r="K193" s="250"/>
      <c r="L193" s="249"/>
      <c r="M193" s="249"/>
    </row>
    <row r="194" spans="1:13" ht="15" customHeight="1" x14ac:dyDescent="0.15">
      <c r="A194" s="244"/>
      <c r="B194" s="245"/>
      <c r="C194" s="245"/>
      <c r="D194" s="246"/>
      <c r="E194" s="245"/>
      <c r="F194" s="247"/>
      <c r="G194" s="248"/>
      <c r="H194" s="247"/>
      <c r="I194" s="245"/>
      <c r="J194" s="249"/>
      <c r="K194" s="250"/>
      <c r="L194" s="249"/>
      <c r="M194" s="249"/>
    </row>
    <row r="195" spans="1:13" ht="15" customHeight="1" x14ac:dyDescent="0.15">
      <c r="A195" s="244"/>
      <c r="B195" s="245"/>
      <c r="C195" s="245"/>
      <c r="D195" s="246"/>
      <c r="E195" s="245"/>
      <c r="F195" s="247"/>
      <c r="G195" s="248"/>
      <c r="H195" s="247"/>
      <c r="I195" s="245"/>
      <c r="J195" s="249"/>
      <c r="K195" s="250"/>
      <c r="L195" s="249"/>
      <c r="M195" s="249"/>
    </row>
    <row r="196" spans="1:13" ht="15" customHeight="1" x14ac:dyDescent="0.15">
      <c r="A196" s="244"/>
      <c r="B196" s="245"/>
      <c r="C196" s="245"/>
      <c r="D196" s="246"/>
      <c r="E196" s="245"/>
      <c r="F196" s="247"/>
      <c r="G196" s="248"/>
      <c r="H196" s="247"/>
      <c r="I196" s="245"/>
      <c r="J196" s="249"/>
      <c r="K196" s="250"/>
      <c r="L196" s="249"/>
      <c r="M196" s="249"/>
    </row>
    <row r="197" spans="1:13" ht="15" customHeight="1" x14ac:dyDescent="0.15">
      <c r="A197" s="244"/>
      <c r="B197" s="245"/>
      <c r="C197" s="245"/>
      <c r="D197" s="246"/>
      <c r="E197" s="245"/>
      <c r="F197" s="247"/>
      <c r="G197" s="248"/>
      <c r="H197" s="247"/>
      <c r="I197" s="245"/>
      <c r="J197" s="249"/>
      <c r="K197" s="250"/>
      <c r="L197" s="249"/>
      <c r="M197" s="249"/>
    </row>
    <row r="198" spans="1:13" ht="15" customHeight="1" x14ac:dyDescent="0.15">
      <c r="A198" s="244"/>
      <c r="B198" s="245"/>
      <c r="C198" s="245"/>
      <c r="D198" s="246"/>
      <c r="E198" s="245"/>
      <c r="F198" s="247"/>
      <c r="G198" s="248"/>
      <c r="H198" s="247"/>
      <c r="I198" s="245"/>
      <c r="J198" s="249"/>
      <c r="K198" s="250"/>
      <c r="L198" s="249"/>
      <c r="M198" s="249"/>
    </row>
    <row r="199" spans="1:13" ht="15" customHeight="1" x14ac:dyDescent="0.15">
      <c r="A199" s="244"/>
      <c r="B199" s="245"/>
      <c r="C199" s="245"/>
      <c r="D199" s="246"/>
      <c r="E199" s="245"/>
      <c r="F199" s="247"/>
      <c r="G199" s="248"/>
      <c r="H199" s="247"/>
      <c r="I199" s="245"/>
      <c r="J199" s="249"/>
      <c r="K199" s="250"/>
      <c r="L199" s="249"/>
      <c r="M199" s="249"/>
    </row>
    <row r="200" spans="1:13" ht="15" customHeight="1" x14ac:dyDescent="0.15">
      <c r="A200" s="244"/>
      <c r="B200" s="245"/>
      <c r="C200" s="245"/>
      <c r="D200" s="246"/>
      <c r="E200" s="245"/>
      <c r="F200" s="247"/>
      <c r="G200" s="248"/>
      <c r="H200" s="247"/>
      <c r="I200" s="245"/>
      <c r="J200" s="249"/>
      <c r="K200" s="250"/>
      <c r="L200" s="249"/>
      <c r="M200" s="249"/>
    </row>
    <row r="201" spans="1:13" ht="15" customHeight="1" x14ac:dyDescent="0.15">
      <c r="A201" s="244"/>
      <c r="B201" s="245"/>
      <c r="C201" s="245"/>
      <c r="D201" s="246"/>
      <c r="E201" s="245"/>
      <c r="F201" s="247"/>
      <c r="G201" s="248"/>
      <c r="H201" s="247"/>
      <c r="I201" s="245"/>
      <c r="J201" s="249"/>
      <c r="K201" s="250"/>
      <c r="L201" s="249"/>
      <c r="M201" s="249"/>
    </row>
    <row r="202" spans="1:13" ht="15" customHeight="1" x14ac:dyDescent="0.15">
      <c r="A202" s="244"/>
      <c r="B202" s="245"/>
      <c r="C202" s="245"/>
      <c r="D202" s="246"/>
      <c r="E202" s="245"/>
      <c r="F202" s="247"/>
      <c r="G202" s="248"/>
      <c r="H202" s="247"/>
      <c r="I202" s="245"/>
      <c r="J202" s="249"/>
      <c r="K202" s="250"/>
      <c r="L202" s="249"/>
      <c r="M202" s="249"/>
    </row>
    <row r="203" spans="1:13" ht="15" customHeight="1" x14ac:dyDescent="0.15">
      <c r="A203" s="244"/>
      <c r="B203" s="245"/>
      <c r="C203" s="245"/>
      <c r="D203" s="246"/>
      <c r="E203" s="245"/>
      <c r="F203" s="247"/>
      <c r="G203" s="248"/>
      <c r="H203" s="247"/>
      <c r="I203" s="245"/>
      <c r="J203" s="249"/>
      <c r="K203" s="250"/>
      <c r="L203" s="249"/>
      <c r="M203" s="249"/>
    </row>
    <row r="204" spans="1:13" ht="15" customHeight="1" x14ac:dyDescent="0.15">
      <c r="A204" s="244"/>
      <c r="B204" s="245"/>
      <c r="C204" s="245"/>
      <c r="D204" s="246"/>
      <c r="E204" s="245"/>
      <c r="F204" s="247"/>
      <c r="G204" s="248"/>
      <c r="H204" s="247"/>
      <c r="I204" s="245"/>
      <c r="J204" s="249"/>
      <c r="K204" s="250"/>
      <c r="L204" s="249"/>
      <c r="M204" s="249"/>
    </row>
    <row r="205" spans="1:13" ht="15" customHeight="1" x14ac:dyDescent="0.15">
      <c r="A205" s="244"/>
      <c r="B205" s="245"/>
      <c r="C205" s="245"/>
      <c r="D205" s="246"/>
      <c r="E205" s="245"/>
      <c r="F205" s="247"/>
      <c r="G205" s="248"/>
      <c r="H205" s="247"/>
      <c r="I205" s="245"/>
      <c r="J205" s="249"/>
      <c r="K205" s="250"/>
      <c r="L205" s="249"/>
      <c r="M205" s="249"/>
    </row>
    <row r="206" spans="1:13" ht="15" customHeight="1" x14ac:dyDescent="0.15">
      <c r="A206" s="244"/>
      <c r="B206" s="245"/>
      <c r="C206" s="245"/>
      <c r="D206" s="246"/>
      <c r="E206" s="245"/>
      <c r="F206" s="247"/>
      <c r="G206" s="248"/>
      <c r="H206" s="247"/>
      <c r="I206" s="245"/>
      <c r="J206" s="249"/>
      <c r="K206" s="250"/>
      <c r="L206" s="249"/>
      <c r="M206" s="249"/>
    </row>
    <row r="207" spans="1:13" ht="15" customHeight="1" x14ac:dyDescent="0.15">
      <c r="A207" s="244"/>
      <c r="B207" s="245"/>
      <c r="C207" s="245"/>
      <c r="D207" s="246"/>
      <c r="E207" s="245"/>
      <c r="F207" s="247"/>
      <c r="G207" s="248"/>
      <c r="H207" s="247"/>
      <c r="I207" s="245"/>
      <c r="J207" s="249"/>
      <c r="K207" s="250"/>
      <c r="L207" s="249"/>
      <c r="M207" s="249"/>
    </row>
    <row r="208" spans="1:13" ht="15" customHeight="1" x14ac:dyDescent="0.15">
      <c r="A208" s="244"/>
      <c r="B208" s="245"/>
      <c r="C208" s="245"/>
      <c r="D208" s="246"/>
      <c r="E208" s="245"/>
      <c r="F208" s="247"/>
      <c r="G208" s="248"/>
      <c r="H208" s="247"/>
      <c r="I208" s="245"/>
      <c r="J208" s="249"/>
      <c r="K208" s="250"/>
      <c r="L208" s="249"/>
      <c r="M208" s="249"/>
    </row>
    <row r="209" spans="1:13" ht="15" customHeight="1" x14ac:dyDescent="0.15">
      <c r="A209" s="244"/>
      <c r="B209" s="245"/>
      <c r="C209" s="245"/>
      <c r="D209" s="246"/>
      <c r="E209" s="245"/>
      <c r="F209" s="247"/>
      <c r="G209" s="248"/>
      <c r="H209" s="247"/>
      <c r="I209" s="245"/>
      <c r="J209" s="249"/>
      <c r="K209" s="250"/>
      <c r="L209" s="249"/>
      <c r="M209" s="249"/>
    </row>
    <row r="210" spans="1:13" ht="15" customHeight="1" x14ac:dyDescent="0.15">
      <c r="A210" s="244"/>
      <c r="B210" s="245"/>
      <c r="C210" s="245"/>
      <c r="D210" s="246"/>
      <c r="E210" s="245"/>
      <c r="F210" s="247"/>
      <c r="G210" s="248"/>
      <c r="H210" s="247"/>
      <c r="I210" s="245"/>
      <c r="J210" s="249"/>
      <c r="K210" s="250"/>
      <c r="L210" s="249"/>
      <c r="M210" s="249"/>
    </row>
    <row r="211" spans="1:13" ht="15" customHeight="1" x14ac:dyDescent="0.15">
      <c r="A211" s="244"/>
      <c r="B211" s="245"/>
      <c r="C211" s="245"/>
      <c r="D211" s="246"/>
      <c r="E211" s="245"/>
      <c r="F211" s="247"/>
      <c r="G211" s="248"/>
      <c r="H211" s="247"/>
      <c r="I211" s="245"/>
      <c r="J211" s="249"/>
      <c r="K211" s="250"/>
      <c r="L211" s="249"/>
      <c r="M211" s="249"/>
    </row>
    <row r="212" spans="1:13" ht="15" customHeight="1" x14ac:dyDescent="0.15">
      <c r="A212" s="244"/>
      <c r="B212" s="245"/>
      <c r="C212" s="245"/>
      <c r="D212" s="246"/>
      <c r="E212" s="245"/>
      <c r="F212" s="247"/>
      <c r="G212" s="248"/>
      <c r="H212" s="247"/>
      <c r="I212" s="245"/>
      <c r="J212" s="249"/>
      <c r="K212" s="250"/>
      <c r="L212" s="249"/>
      <c r="M212" s="249"/>
    </row>
    <row r="213" spans="1:13" ht="15" customHeight="1" x14ac:dyDescent="0.15">
      <c r="A213" s="244"/>
      <c r="B213" s="245"/>
      <c r="C213" s="245"/>
      <c r="D213" s="246"/>
      <c r="E213" s="245"/>
      <c r="F213" s="247"/>
      <c r="G213" s="248"/>
      <c r="H213" s="247"/>
      <c r="I213" s="245"/>
      <c r="J213" s="249"/>
      <c r="K213" s="250"/>
      <c r="L213" s="249"/>
      <c r="M213" s="249"/>
    </row>
    <row r="214" spans="1:13" ht="15" customHeight="1" x14ac:dyDescent="0.15">
      <c r="A214" s="244"/>
      <c r="B214" s="245"/>
      <c r="C214" s="245"/>
      <c r="D214" s="246"/>
      <c r="E214" s="245"/>
      <c r="F214" s="247"/>
      <c r="G214" s="248"/>
      <c r="H214" s="247"/>
      <c r="I214" s="245"/>
      <c r="J214" s="249"/>
      <c r="K214" s="250"/>
      <c r="L214" s="249"/>
      <c r="M214" s="249"/>
    </row>
    <row r="215" spans="1:13" ht="15" customHeight="1" x14ac:dyDescent="0.15">
      <c r="A215" s="244"/>
      <c r="B215" s="245"/>
      <c r="C215" s="245"/>
      <c r="D215" s="246"/>
      <c r="E215" s="245"/>
      <c r="F215" s="247"/>
      <c r="G215" s="248"/>
      <c r="H215" s="247"/>
      <c r="I215" s="245"/>
      <c r="J215" s="249"/>
      <c r="K215" s="250"/>
      <c r="L215" s="249"/>
      <c r="M215" s="249"/>
    </row>
    <row r="216" spans="1:13" ht="15" customHeight="1" x14ac:dyDescent="0.15">
      <c r="A216" s="244"/>
      <c r="B216" s="245"/>
      <c r="C216" s="245"/>
      <c r="D216" s="246"/>
      <c r="E216" s="245"/>
      <c r="F216" s="247"/>
      <c r="G216" s="248"/>
      <c r="H216" s="247"/>
      <c r="I216" s="245"/>
      <c r="J216" s="249"/>
      <c r="K216" s="250"/>
      <c r="L216" s="249"/>
      <c r="M216" s="249"/>
    </row>
    <row r="217" spans="1:13" ht="15" customHeight="1" x14ac:dyDescent="0.15">
      <c r="A217" s="244"/>
      <c r="B217" s="245"/>
      <c r="C217" s="245"/>
      <c r="D217" s="246"/>
      <c r="E217" s="245"/>
      <c r="F217" s="247"/>
      <c r="G217" s="248"/>
      <c r="H217" s="247"/>
      <c r="I217" s="245"/>
      <c r="J217" s="249"/>
      <c r="K217" s="250"/>
      <c r="L217" s="249"/>
      <c r="M217" s="249"/>
    </row>
    <row r="218" spans="1:13" ht="15" customHeight="1" x14ac:dyDescent="0.15">
      <c r="A218" s="244"/>
      <c r="B218" s="245"/>
      <c r="C218" s="245"/>
      <c r="D218" s="246"/>
      <c r="E218" s="245"/>
      <c r="F218" s="247"/>
      <c r="G218" s="248"/>
      <c r="H218" s="247"/>
      <c r="I218" s="245"/>
      <c r="J218" s="249"/>
      <c r="K218" s="250"/>
      <c r="L218" s="249"/>
      <c r="M218" s="249"/>
    </row>
    <row r="219" spans="1:13" ht="15" customHeight="1" x14ac:dyDescent="0.15">
      <c r="A219" s="244"/>
      <c r="B219" s="245"/>
      <c r="C219" s="245"/>
      <c r="D219" s="246"/>
      <c r="E219" s="245"/>
      <c r="F219" s="247"/>
      <c r="G219" s="248"/>
      <c r="H219" s="247"/>
      <c r="I219" s="245"/>
      <c r="J219" s="249"/>
      <c r="K219" s="250"/>
      <c r="L219" s="249"/>
      <c r="M219" s="249"/>
    </row>
    <row r="220" spans="1:13" ht="15" customHeight="1" x14ac:dyDescent="0.15">
      <c r="A220" s="244"/>
      <c r="B220" s="245"/>
      <c r="C220" s="245"/>
      <c r="D220" s="246"/>
      <c r="E220" s="245"/>
      <c r="F220" s="247"/>
      <c r="G220" s="248"/>
      <c r="H220" s="247"/>
      <c r="I220" s="245"/>
      <c r="J220" s="249"/>
      <c r="K220" s="250"/>
      <c r="L220" s="249"/>
      <c r="M220" s="249"/>
    </row>
    <row r="221" spans="1:13" ht="15" customHeight="1" x14ac:dyDescent="0.15">
      <c r="A221" s="244"/>
      <c r="B221" s="245"/>
      <c r="C221" s="245"/>
      <c r="D221" s="246"/>
      <c r="E221" s="245"/>
      <c r="F221" s="247"/>
      <c r="G221" s="248"/>
      <c r="H221" s="247"/>
      <c r="I221" s="245"/>
      <c r="J221" s="249"/>
      <c r="K221" s="250"/>
      <c r="L221" s="249"/>
      <c r="M221" s="249"/>
    </row>
    <row r="222" spans="1:13" ht="15" customHeight="1" x14ac:dyDescent="0.15">
      <c r="A222" s="244"/>
      <c r="B222" s="245"/>
      <c r="C222" s="245"/>
      <c r="D222" s="246"/>
      <c r="E222" s="245"/>
      <c r="F222" s="247"/>
      <c r="G222" s="248"/>
      <c r="H222" s="247"/>
      <c r="I222" s="245"/>
      <c r="J222" s="249"/>
      <c r="K222" s="250"/>
      <c r="L222" s="249"/>
      <c r="M222" s="249"/>
    </row>
    <row r="223" spans="1:13" ht="15" customHeight="1" x14ac:dyDescent="0.15">
      <c r="A223" s="244"/>
      <c r="B223" s="245"/>
      <c r="C223" s="245"/>
      <c r="D223" s="246"/>
      <c r="E223" s="245"/>
      <c r="F223" s="247"/>
      <c r="G223" s="248"/>
      <c r="H223" s="247"/>
      <c r="I223" s="245"/>
      <c r="J223" s="249"/>
      <c r="K223" s="250"/>
      <c r="L223" s="249"/>
      <c r="M223" s="249"/>
    </row>
    <row r="224" spans="1:13" ht="15" customHeight="1" x14ac:dyDescent="0.15">
      <c r="A224" s="244"/>
      <c r="B224" s="245"/>
      <c r="C224" s="245"/>
      <c r="D224" s="246"/>
      <c r="E224" s="245"/>
      <c r="F224" s="247"/>
      <c r="G224" s="248"/>
      <c r="H224" s="247"/>
      <c r="I224" s="245"/>
      <c r="J224" s="249"/>
      <c r="K224" s="250"/>
      <c r="L224" s="249"/>
      <c r="M224" s="249"/>
    </row>
    <row r="225" spans="1:13" ht="15" customHeight="1" x14ac:dyDescent="0.15">
      <c r="A225" s="244"/>
      <c r="B225" s="245"/>
      <c r="C225" s="245"/>
      <c r="D225" s="246"/>
      <c r="E225" s="245"/>
      <c r="F225" s="247"/>
      <c r="G225" s="248"/>
      <c r="H225" s="247"/>
      <c r="I225" s="245"/>
      <c r="J225" s="249"/>
      <c r="K225" s="250"/>
      <c r="L225" s="249"/>
      <c r="M225" s="249"/>
    </row>
    <row r="226" spans="1:13" ht="15" customHeight="1" x14ac:dyDescent="0.15">
      <c r="A226" s="244"/>
      <c r="B226" s="245"/>
      <c r="C226" s="245"/>
      <c r="D226" s="246"/>
      <c r="E226" s="245"/>
      <c r="F226" s="247"/>
      <c r="G226" s="248"/>
      <c r="H226" s="247"/>
      <c r="I226" s="245"/>
      <c r="J226" s="249"/>
      <c r="K226" s="250"/>
      <c r="L226" s="249"/>
      <c r="M226" s="249"/>
    </row>
    <row r="227" spans="1:13" ht="15" customHeight="1" x14ac:dyDescent="0.15">
      <c r="A227" s="244"/>
      <c r="B227" s="245"/>
      <c r="C227" s="245"/>
      <c r="D227" s="246"/>
      <c r="E227" s="245"/>
      <c r="F227" s="247"/>
      <c r="G227" s="248"/>
      <c r="H227" s="247"/>
      <c r="I227" s="245"/>
      <c r="J227" s="249"/>
      <c r="K227" s="250"/>
      <c r="L227" s="249"/>
      <c r="M227" s="249"/>
    </row>
    <row r="228" spans="1:13" ht="15" customHeight="1" x14ac:dyDescent="0.15">
      <c r="A228" s="244"/>
      <c r="B228" s="245"/>
      <c r="C228" s="245"/>
      <c r="D228" s="246"/>
      <c r="E228" s="245"/>
      <c r="F228" s="247"/>
      <c r="G228" s="248"/>
      <c r="H228" s="247"/>
      <c r="I228" s="245"/>
      <c r="J228" s="249"/>
      <c r="K228" s="250"/>
      <c r="L228" s="249"/>
      <c r="M228" s="249"/>
    </row>
    <row r="229" spans="1:13" ht="15" customHeight="1" x14ac:dyDescent="0.15">
      <c r="A229" s="244"/>
      <c r="B229" s="245"/>
      <c r="C229" s="245"/>
      <c r="D229" s="246"/>
      <c r="E229" s="245"/>
      <c r="F229" s="247"/>
      <c r="G229" s="248"/>
      <c r="H229" s="247"/>
      <c r="I229" s="245"/>
      <c r="J229" s="249"/>
      <c r="K229" s="250"/>
      <c r="L229" s="249"/>
      <c r="M229" s="249"/>
    </row>
    <row r="230" spans="1:13" ht="15" customHeight="1" x14ac:dyDescent="0.15">
      <c r="A230" s="244"/>
      <c r="B230" s="245"/>
      <c r="C230" s="245"/>
      <c r="D230" s="246"/>
      <c r="E230" s="245"/>
      <c r="F230" s="247"/>
      <c r="G230" s="248"/>
      <c r="H230" s="247"/>
      <c r="I230" s="245"/>
      <c r="J230" s="249"/>
      <c r="K230" s="250"/>
      <c r="L230" s="249"/>
      <c r="M230" s="249"/>
    </row>
    <row r="231" spans="1:13" ht="15" customHeight="1" x14ac:dyDescent="0.15">
      <c r="A231" s="244"/>
      <c r="B231" s="245"/>
      <c r="C231" s="245"/>
      <c r="D231" s="246"/>
      <c r="E231" s="245"/>
      <c r="F231" s="247"/>
      <c r="G231" s="248"/>
      <c r="H231" s="247"/>
      <c r="I231" s="245"/>
      <c r="J231" s="249"/>
      <c r="K231" s="250"/>
      <c r="L231" s="249"/>
      <c r="M231" s="249"/>
    </row>
    <row r="232" spans="1:13" ht="15" customHeight="1" x14ac:dyDescent="0.15">
      <c r="A232" s="244"/>
      <c r="B232" s="245"/>
      <c r="C232" s="245"/>
      <c r="D232" s="246"/>
      <c r="E232" s="245"/>
      <c r="F232" s="247"/>
      <c r="G232" s="248"/>
      <c r="H232" s="247"/>
      <c r="I232" s="245"/>
      <c r="J232" s="249"/>
      <c r="K232" s="250"/>
      <c r="L232" s="249"/>
      <c r="M232" s="249"/>
    </row>
    <row r="233" spans="1:13" ht="15" customHeight="1" x14ac:dyDescent="0.15">
      <c r="A233" s="244"/>
      <c r="B233" s="245"/>
      <c r="C233" s="245"/>
      <c r="D233" s="246"/>
      <c r="E233" s="245"/>
      <c r="F233" s="247"/>
      <c r="G233" s="248"/>
      <c r="H233" s="247"/>
      <c r="I233" s="245"/>
      <c r="J233" s="249"/>
      <c r="K233" s="250"/>
      <c r="L233" s="249"/>
      <c r="M233" s="249"/>
    </row>
    <row r="234" spans="1:13" ht="15" customHeight="1" x14ac:dyDescent="0.15">
      <c r="A234" s="244"/>
      <c r="B234" s="245"/>
      <c r="C234" s="245"/>
      <c r="D234" s="246"/>
      <c r="E234" s="245"/>
      <c r="F234" s="247"/>
      <c r="G234" s="248"/>
      <c r="H234" s="247"/>
      <c r="I234" s="245"/>
      <c r="J234" s="249"/>
      <c r="K234" s="250"/>
      <c r="L234" s="249"/>
      <c r="M234" s="249"/>
    </row>
    <row r="235" spans="1:13" ht="15" customHeight="1" x14ac:dyDescent="0.15">
      <c r="A235" s="244"/>
      <c r="B235" s="245"/>
      <c r="C235" s="245"/>
      <c r="D235" s="246"/>
      <c r="E235" s="245"/>
      <c r="F235" s="247"/>
      <c r="G235" s="248"/>
      <c r="H235" s="247"/>
      <c r="I235" s="245"/>
      <c r="J235" s="249"/>
      <c r="K235" s="250"/>
      <c r="L235" s="249"/>
      <c r="M235" s="249"/>
    </row>
    <row r="236" spans="1:13" ht="15" customHeight="1" x14ac:dyDescent="0.15">
      <c r="A236" s="244"/>
      <c r="B236" s="245"/>
      <c r="C236" s="245"/>
      <c r="D236" s="246"/>
      <c r="E236" s="245"/>
      <c r="F236" s="247"/>
      <c r="G236" s="248"/>
      <c r="H236" s="247"/>
      <c r="I236" s="245"/>
      <c r="J236" s="249"/>
      <c r="K236" s="250"/>
      <c r="L236" s="249"/>
      <c r="M236" s="249"/>
    </row>
    <row r="237" spans="1:13" ht="15" customHeight="1" x14ac:dyDescent="0.15">
      <c r="A237" s="244"/>
      <c r="B237" s="245"/>
      <c r="C237" s="245"/>
      <c r="D237" s="246"/>
      <c r="E237" s="245"/>
      <c r="F237" s="247"/>
      <c r="G237" s="248"/>
      <c r="H237" s="247"/>
      <c r="I237" s="245"/>
      <c r="J237" s="249"/>
      <c r="K237" s="250"/>
      <c r="L237" s="249"/>
      <c r="M237" s="249"/>
    </row>
    <row r="238" spans="1:13" ht="15" customHeight="1" x14ac:dyDescent="0.15">
      <c r="A238" s="244"/>
      <c r="B238" s="245"/>
      <c r="C238" s="245"/>
      <c r="D238" s="246"/>
      <c r="E238" s="245"/>
      <c r="F238" s="247"/>
      <c r="G238" s="248"/>
      <c r="H238" s="247"/>
      <c r="I238" s="245"/>
      <c r="J238" s="249"/>
      <c r="K238" s="250"/>
      <c r="L238" s="249"/>
      <c r="M238" s="249"/>
    </row>
    <row r="239" spans="1:13" ht="15" customHeight="1" x14ac:dyDescent="0.15">
      <c r="A239" s="244"/>
      <c r="B239" s="245"/>
      <c r="C239" s="245"/>
      <c r="D239" s="246"/>
      <c r="E239" s="245"/>
      <c r="F239" s="247"/>
      <c r="G239" s="248"/>
      <c r="H239" s="247"/>
      <c r="I239" s="245"/>
      <c r="J239" s="249"/>
      <c r="K239" s="250"/>
      <c r="L239" s="249"/>
      <c r="M239" s="249"/>
    </row>
    <row r="240" spans="1:13" ht="15" customHeight="1" x14ac:dyDescent="0.15">
      <c r="A240" s="244"/>
      <c r="B240" s="245"/>
      <c r="C240" s="245"/>
      <c r="D240" s="246"/>
      <c r="E240" s="245"/>
      <c r="F240" s="247"/>
      <c r="G240" s="248"/>
      <c r="H240" s="247"/>
      <c r="I240" s="245"/>
      <c r="J240" s="249"/>
      <c r="K240" s="250"/>
      <c r="L240" s="249"/>
      <c r="M240" s="249"/>
    </row>
    <row r="241" spans="1:13" ht="15" customHeight="1" x14ac:dyDescent="0.15">
      <c r="A241" s="244"/>
      <c r="B241" s="245"/>
      <c r="C241" s="245"/>
      <c r="D241" s="246"/>
      <c r="E241" s="245"/>
      <c r="F241" s="247"/>
      <c r="G241" s="248"/>
      <c r="H241" s="247"/>
      <c r="I241" s="245"/>
      <c r="J241" s="249"/>
      <c r="K241" s="250"/>
      <c r="L241" s="249"/>
      <c r="M241" s="249"/>
    </row>
    <row r="242" spans="1:13" ht="15" customHeight="1" x14ac:dyDescent="0.15">
      <c r="A242" s="244"/>
      <c r="B242" s="245"/>
      <c r="C242" s="245"/>
      <c r="D242" s="246"/>
      <c r="E242" s="245"/>
      <c r="F242" s="247"/>
      <c r="G242" s="248"/>
      <c r="H242" s="247"/>
      <c r="I242" s="245"/>
      <c r="J242" s="249"/>
      <c r="K242" s="250"/>
      <c r="L242" s="249"/>
      <c r="M242" s="249"/>
    </row>
    <row r="243" spans="1:13" ht="15" customHeight="1" x14ac:dyDescent="0.15">
      <c r="A243" s="244"/>
      <c r="B243" s="245"/>
      <c r="C243" s="245"/>
      <c r="D243" s="246"/>
      <c r="E243" s="245"/>
      <c r="F243" s="247"/>
      <c r="G243" s="248"/>
      <c r="H243" s="247"/>
      <c r="I243" s="245"/>
      <c r="J243" s="249"/>
      <c r="K243" s="250"/>
      <c r="L243" s="249"/>
      <c r="M243" s="249"/>
    </row>
    <row r="244" spans="1:13" ht="15" customHeight="1" x14ac:dyDescent="0.15">
      <c r="A244" s="244"/>
      <c r="B244" s="245"/>
      <c r="C244" s="245"/>
      <c r="D244" s="246"/>
      <c r="E244" s="245"/>
      <c r="F244" s="247"/>
      <c r="G244" s="248"/>
      <c r="H244" s="247"/>
      <c r="I244" s="245"/>
      <c r="J244" s="249"/>
      <c r="K244" s="250"/>
      <c r="L244" s="249"/>
      <c r="M244" s="249"/>
    </row>
    <row r="245" spans="1:13" ht="15" customHeight="1" x14ac:dyDescent="0.15">
      <c r="A245" s="244"/>
      <c r="B245" s="245"/>
      <c r="C245" s="245"/>
      <c r="D245" s="246"/>
      <c r="E245" s="245"/>
      <c r="F245" s="247"/>
      <c r="G245" s="248"/>
      <c r="H245" s="247"/>
      <c r="I245" s="245"/>
      <c r="J245" s="249"/>
      <c r="K245" s="250"/>
      <c r="L245" s="249"/>
      <c r="M245" s="249"/>
    </row>
    <row r="246" spans="1:13" ht="15" customHeight="1" x14ac:dyDescent="0.15">
      <c r="A246" s="244"/>
      <c r="B246" s="245"/>
      <c r="C246" s="245"/>
      <c r="D246" s="246"/>
      <c r="E246" s="245"/>
      <c r="F246" s="247"/>
      <c r="G246" s="248"/>
      <c r="H246" s="247"/>
      <c r="I246" s="245"/>
      <c r="J246" s="249"/>
      <c r="K246" s="250"/>
      <c r="L246" s="249"/>
      <c r="M246" s="249"/>
    </row>
    <row r="247" spans="1:13" ht="15" customHeight="1" x14ac:dyDescent="0.15">
      <c r="A247" s="244"/>
      <c r="B247" s="245"/>
      <c r="C247" s="245"/>
      <c r="D247" s="246"/>
      <c r="E247" s="245"/>
      <c r="F247" s="247"/>
      <c r="G247" s="248"/>
      <c r="H247" s="247"/>
      <c r="I247" s="245"/>
      <c r="J247" s="249"/>
      <c r="K247" s="250"/>
      <c r="L247" s="249"/>
      <c r="M247" s="249"/>
    </row>
    <row r="248" spans="1:13" ht="15" customHeight="1" x14ac:dyDescent="0.15">
      <c r="A248" s="244"/>
      <c r="B248" s="245"/>
      <c r="C248" s="245"/>
      <c r="D248" s="246"/>
      <c r="E248" s="245"/>
      <c r="F248" s="247"/>
      <c r="G248" s="248"/>
      <c r="H248" s="247"/>
      <c r="I248" s="245"/>
      <c r="J248" s="249"/>
      <c r="K248" s="250"/>
      <c r="L248" s="249"/>
      <c r="M248" s="249"/>
    </row>
    <row r="249" spans="1:13" ht="15" customHeight="1" x14ac:dyDescent="0.15">
      <c r="A249" s="244"/>
      <c r="B249" s="245"/>
      <c r="C249" s="245"/>
      <c r="D249" s="246"/>
      <c r="E249" s="245"/>
      <c r="F249" s="247"/>
      <c r="G249" s="248"/>
      <c r="H249" s="247"/>
      <c r="I249" s="245"/>
      <c r="J249" s="249"/>
      <c r="K249" s="250"/>
      <c r="L249" s="249"/>
      <c r="M249" s="249"/>
    </row>
    <row r="250" spans="1:13" ht="15" customHeight="1" x14ac:dyDescent="0.15">
      <c r="A250" s="244"/>
      <c r="B250" s="245"/>
      <c r="C250" s="245"/>
      <c r="D250" s="246"/>
      <c r="E250" s="245"/>
      <c r="F250" s="247"/>
      <c r="G250" s="248"/>
      <c r="H250" s="247"/>
      <c r="I250" s="245"/>
      <c r="J250" s="249"/>
      <c r="K250" s="250"/>
      <c r="L250" s="249"/>
      <c r="M250" s="249"/>
    </row>
    <row r="251" spans="1:13" ht="15" customHeight="1" x14ac:dyDescent="0.15">
      <c r="A251" s="244"/>
      <c r="B251" s="245"/>
      <c r="C251" s="245"/>
      <c r="D251" s="246"/>
      <c r="E251" s="245"/>
      <c r="F251" s="247"/>
      <c r="G251" s="248"/>
      <c r="H251" s="247"/>
      <c r="I251" s="245"/>
      <c r="J251" s="249"/>
      <c r="K251" s="250"/>
      <c r="L251" s="249"/>
      <c r="M251" s="249"/>
    </row>
    <row r="252" spans="1:13" ht="15" customHeight="1" x14ac:dyDescent="0.15">
      <c r="A252" s="244"/>
      <c r="B252" s="245"/>
      <c r="C252" s="245"/>
      <c r="D252" s="246"/>
      <c r="E252" s="245"/>
      <c r="F252" s="247"/>
      <c r="G252" s="248"/>
      <c r="H252" s="247"/>
      <c r="I252" s="245"/>
      <c r="J252" s="249"/>
      <c r="K252" s="250"/>
      <c r="L252" s="249"/>
      <c r="M252" s="249"/>
    </row>
    <row r="253" spans="1:13" ht="15" customHeight="1" x14ac:dyDescent="0.15">
      <c r="A253" s="244"/>
      <c r="B253" s="245"/>
      <c r="C253" s="245"/>
      <c r="D253" s="246"/>
      <c r="E253" s="245"/>
      <c r="F253" s="247"/>
      <c r="G253" s="248"/>
      <c r="H253" s="247"/>
      <c r="I253" s="245"/>
      <c r="J253" s="249"/>
      <c r="K253" s="250"/>
      <c r="L253" s="249"/>
      <c r="M253" s="249"/>
    </row>
    <row r="254" spans="1:13" ht="15" customHeight="1" x14ac:dyDescent="0.15">
      <c r="A254" s="244"/>
      <c r="B254" s="245"/>
      <c r="C254" s="245"/>
      <c r="D254" s="246"/>
      <c r="E254" s="245"/>
      <c r="F254" s="247"/>
      <c r="G254" s="248"/>
      <c r="H254" s="247"/>
      <c r="I254" s="245"/>
      <c r="J254" s="249"/>
      <c r="K254" s="250"/>
      <c r="L254" s="249"/>
      <c r="M254" s="249"/>
    </row>
    <row r="255" spans="1:13" ht="15" customHeight="1" x14ac:dyDescent="0.15">
      <c r="A255" s="244"/>
      <c r="B255" s="245"/>
      <c r="C255" s="245"/>
      <c r="D255" s="246"/>
      <c r="E255" s="245"/>
      <c r="F255" s="247"/>
      <c r="G255" s="248"/>
      <c r="H255" s="247"/>
      <c r="I255" s="245"/>
      <c r="J255" s="249"/>
      <c r="K255" s="250"/>
      <c r="L255" s="249"/>
      <c r="M255" s="249"/>
    </row>
    <row r="256" spans="1:13" ht="15" customHeight="1" x14ac:dyDescent="0.15">
      <c r="A256" s="244"/>
      <c r="B256" s="245"/>
      <c r="C256" s="245"/>
      <c r="D256" s="246"/>
      <c r="E256" s="245"/>
      <c r="F256" s="247"/>
      <c r="G256" s="248"/>
      <c r="H256" s="247"/>
      <c r="I256" s="245"/>
      <c r="J256" s="249"/>
      <c r="K256" s="250"/>
      <c r="L256" s="249"/>
      <c r="M256" s="249"/>
    </row>
    <row r="257" spans="1:13" ht="15" customHeight="1" x14ac:dyDescent="0.15">
      <c r="A257" s="244"/>
      <c r="B257" s="245"/>
      <c r="C257" s="245"/>
      <c r="D257" s="246"/>
      <c r="E257" s="245"/>
      <c r="F257" s="247"/>
      <c r="G257" s="248"/>
      <c r="H257" s="247"/>
      <c r="I257" s="245"/>
      <c r="J257" s="249"/>
      <c r="K257" s="250"/>
      <c r="L257" s="249"/>
      <c r="M257" s="249"/>
    </row>
    <row r="258" spans="1:13" ht="15" customHeight="1" x14ac:dyDescent="0.15">
      <c r="A258" s="244"/>
      <c r="B258" s="245"/>
      <c r="C258" s="245"/>
      <c r="D258" s="246"/>
      <c r="E258" s="245"/>
      <c r="F258" s="247"/>
      <c r="G258" s="248"/>
      <c r="H258" s="247"/>
      <c r="I258" s="245"/>
      <c r="J258" s="249"/>
      <c r="K258" s="250"/>
      <c r="L258" s="249"/>
      <c r="M258" s="249"/>
    </row>
    <row r="259" spans="1:13" ht="15" customHeight="1" x14ac:dyDescent="0.15">
      <c r="A259" s="244"/>
      <c r="B259" s="245"/>
      <c r="C259" s="245"/>
      <c r="D259" s="246"/>
      <c r="E259" s="245"/>
      <c r="F259" s="247"/>
      <c r="G259" s="248"/>
      <c r="H259" s="247"/>
      <c r="I259" s="245"/>
      <c r="J259" s="249"/>
      <c r="K259" s="250"/>
      <c r="L259" s="249"/>
      <c r="M259" s="249"/>
    </row>
    <row r="260" spans="1:13" ht="15" customHeight="1" x14ac:dyDescent="0.15">
      <c r="A260" s="244"/>
      <c r="B260" s="245"/>
      <c r="C260" s="245"/>
      <c r="D260" s="246"/>
      <c r="E260" s="245"/>
      <c r="F260" s="247"/>
      <c r="G260" s="248"/>
      <c r="H260" s="247"/>
      <c r="I260" s="245"/>
      <c r="J260" s="249"/>
      <c r="K260" s="250"/>
      <c r="L260" s="249"/>
      <c r="M260" s="249"/>
    </row>
    <row r="261" spans="1:13" ht="15" customHeight="1" x14ac:dyDescent="0.15">
      <c r="A261" s="244"/>
      <c r="B261" s="245"/>
      <c r="C261" s="245"/>
      <c r="D261" s="246"/>
      <c r="E261" s="245"/>
      <c r="F261" s="247"/>
      <c r="G261" s="248"/>
      <c r="H261" s="247"/>
      <c r="I261" s="245"/>
      <c r="J261" s="249"/>
      <c r="K261" s="250"/>
      <c r="L261" s="249"/>
      <c r="M261" s="249"/>
    </row>
    <row r="262" spans="1:13" ht="15" customHeight="1" x14ac:dyDescent="0.15">
      <c r="A262" s="244"/>
      <c r="B262" s="245"/>
      <c r="C262" s="245"/>
      <c r="D262" s="246"/>
      <c r="E262" s="245"/>
      <c r="F262" s="247"/>
      <c r="G262" s="248"/>
      <c r="H262" s="247"/>
      <c r="I262" s="245"/>
      <c r="J262" s="249"/>
      <c r="K262" s="250"/>
      <c r="L262" s="249"/>
      <c r="M262" s="249"/>
    </row>
    <row r="263" spans="1:13" ht="15" customHeight="1" x14ac:dyDescent="0.15">
      <c r="A263" s="244"/>
      <c r="B263" s="245"/>
      <c r="C263" s="245"/>
      <c r="D263" s="246"/>
      <c r="E263" s="245"/>
      <c r="F263" s="247"/>
      <c r="G263" s="248"/>
      <c r="H263" s="247"/>
      <c r="I263" s="245"/>
      <c r="J263" s="249"/>
      <c r="K263" s="250"/>
      <c r="L263" s="249"/>
      <c r="M263" s="249"/>
    </row>
    <row r="264" spans="1:13" ht="15" customHeight="1" x14ac:dyDescent="0.15">
      <c r="A264" s="244"/>
      <c r="B264" s="245"/>
      <c r="C264" s="245"/>
      <c r="D264" s="246"/>
      <c r="E264" s="245"/>
      <c r="F264" s="247"/>
      <c r="G264" s="248"/>
      <c r="H264" s="247"/>
      <c r="I264" s="245"/>
      <c r="J264" s="249"/>
      <c r="K264" s="250"/>
      <c r="L264" s="249"/>
      <c r="M264" s="249"/>
    </row>
    <row r="265" spans="1:13" ht="15" customHeight="1" x14ac:dyDescent="0.15">
      <c r="A265" s="244"/>
      <c r="B265" s="245"/>
      <c r="C265" s="245"/>
      <c r="D265" s="246"/>
      <c r="E265" s="245"/>
      <c r="F265" s="247"/>
      <c r="G265" s="248"/>
      <c r="H265" s="247"/>
      <c r="I265" s="245"/>
      <c r="J265" s="249"/>
      <c r="K265" s="250"/>
      <c r="L265" s="249"/>
      <c r="M265" s="249"/>
    </row>
    <row r="266" spans="1:13" ht="15" customHeight="1" x14ac:dyDescent="0.15">
      <c r="A266" s="244"/>
      <c r="B266" s="245"/>
      <c r="C266" s="245"/>
      <c r="D266" s="246"/>
      <c r="E266" s="245"/>
      <c r="F266" s="247"/>
      <c r="G266" s="248"/>
      <c r="H266" s="247"/>
      <c r="I266" s="245"/>
      <c r="J266" s="249"/>
      <c r="K266" s="250"/>
      <c r="L266" s="249"/>
      <c r="M266" s="249"/>
    </row>
    <row r="267" spans="1:13" ht="15" customHeight="1" x14ac:dyDescent="0.15">
      <c r="A267" s="244"/>
      <c r="B267" s="245"/>
      <c r="C267" s="245"/>
      <c r="D267" s="246"/>
      <c r="E267" s="245"/>
      <c r="F267" s="247"/>
      <c r="G267" s="248"/>
      <c r="H267" s="247"/>
      <c r="I267" s="245"/>
      <c r="J267" s="249"/>
      <c r="K267" s="250"/>
      <c r="L267" s="249"/>
      <c r="M267" s="249"/>
    </row>
    <row r="268" spans="1:13" ht="15" customHeight="1" x14ac:dyDescent="0.15">
      <c r="A268" s="244"/>
      <c r="B268" s="245"/>
      <c r="C268" s="245"/>
      <c r="D268" s="246"/>
      <c r="E268" s="245"/>
      <c r="F268" s="247"/>
      <c r="G268" s="248"/>
      <c r="H268" s="247"/>
      <c r="I268" s="245"/>
      <c r="J268" s="249"/>
      <c r="K268" s="250"/>
      <c r="L268" s="249"/>
      <c r="M268" s="249"/>
    </row>
    <row r="269" spans="1:13" ht="15" customHeight="1" x14ac:dyDescent="0.15">
      <c r="A269" s="244"/>
      <c r="B269" s="245"/>
      <c r="C269" s="245"/>
      <c r="D269" s="246"/>
      <c r="E269" s="245"/>
      <c r="F269" s="247"/>
      <c r="G269" s="248"/>
      <c r="H269" s="247"/>
      <c r="I269" s="245"/>
      <c r="J269" s="249"/>
      <c r="K269" s="250"/>
      <c r="L269" s="249"/>
      <c r="M269" s="249"/>
    </row>
    <row r="270" spans="1:13" ht="15" customHeight="1" x14ac:dyDescent="0.15">
      <c r="A270" s="244"/>
      <c r="B270" s="245"/>
      <c r="C270" s="245"/>
      <c r="D270" s="246"/>
      <c r="E270" s="245"/>
      <c r="F270" s="247"/>
      <c r="G270" s="248"/>
      <c r="H270" s="247"/>
      <c r="I270" s="245"/>
      <c r="J270" s="249"/>
      <c r="K270" s="250"/>
      <c r="L270" s="249"/>
      <c r="M270" s="249"/>
    </row>
    <row r="271" spans="1:13" ht="15" customHeight="1" x14ac:dyDescent="0.15">
      <c r="A271" s="244"/>
      <c r="B271" s="245"/>
      <c r="C271" s="245"/>
      <c r="D271" s="246"/>
      <c r="E271" s="245"/>
      <c r="F271" s="247"/>
      <c r="G271" s="248"/>
      <c r="H271" s="247"/>
      <c r="I271" s="245"/>
      <c r="J271" s="249"/>
      <c r="K271" s="250"/>
      <c r="L271" s="249"/>
      <c r="M271" s="249"/>
    </row>
    <row r="272" spans="1:13" ht="15" customHeight="1" x14ac:dyDescent="0.15">
      <c r="A272" s="244"/>
      <c r="B272" s="245"/>
      <c r="C272" s="245"/>
      <c r="D272" s="246"/>
      <c r="E272" s="245"/>
      <c r="F272" s="247"/>
      <c r="G272" s="248"/>
      <c r="H272" s="247"/>
      <c r="I272" s="245"/>
      <c r="J272" s="249"/>
      <c r="K272" s="250"/>
      <c r="L272" s="249"/>
      <c r="M272" s="249"/>
    </row>
    <row r="273" spans="1:13" ht="15" customHeight="1" x14ac:dyDescent="0.15">
      <c r="A273" s="244"/>
      <c r="B273" s="245"/>
      <c r="C273" s="245"/>
      <c r="D273" s="246"/>
      <c r="E273" s="245"/>
      <c r="F273" s="247"/>
      <c r="G273" s="248"/>
      <c r="H273" s="247"/>
      <c r="I273" s="245"/>
      <c r="J273" s="249"/>
      <c r="K273" s="250"/>
      <c r="L273" s="249"/>
      <c r="M273" s="249"/>
    </row>
    <row r="274" spans="1:13" ht="15" customHeight="1" x14ac:dyDescent="0.15">
      <c r="A274" s="244"/>
      <c r="B274" s="245"/>
      <c r="C274" s="245"/>
      <c r="D274" s="246"/>
      <c r="E274" s="245"/>
      <c r="F274" s="247"/>
      <c r="G274" s="248"/>
      <c r="H274" s="247"/>
      <c r="I274" s="245"/>
      <c r="J274" s="249"/>
      <c r="K274" s="250"/>
      <c r="L274" s="249"/>
      <c r="M274" s="249"/>
    </row>
    <row r="275" spans="1:13" ht="15" customHeight="1" x14ac:dyDescent="0.15">
      <c r="A275" s="244"/>
      <c r="B275" s="245"/>
      <c r="C275" s="245"/>
      <c r="D275" s="246"/>
      <c r="E275" s="245"/>
      <c r="F275" s="247"/>
      <c r="G275" s="248"/>
      <c r="H275" s="247"/>
      <c r="I275" s="245"/>
      <c r="J275" s="249"/>
      <c r="K275" s="250"/>
      <c r="L275" s="249"/>
      <c r="M275" s="249"/>
    </row>
    <row r="276" spans="1:13" ht="15" customHeight="1" x14ac:dyDescent="0.15">
      <c r="A276" s="244"/>
      <c r="B276" s="245"/>
      <c r="C276" s="245"/>
      <c r="D276" s="246"/>
      <c r="E276" s="245"/>
      <c r="F276" s="247"/>
      <c r="G276" s="248"/>
      <c r="H276" s="247"/>
      <c r="I276" s="245"/>
      <c r="J276" s="249"/>
      <c r="K276" s="250"/>
      <c r="L276" s="249"/>
      <c r="M276" s="249"/>
    </row>
    <row r="277" spans="1:13" ht="15" customHeight="1" x14ac:dyDescent="0.15">
      <c r="A277" s="244"/>
      <c r="B277" s="245"/>
      <c r="C277" s="245"/>
      <c r="D277" s="246"/>
      <c r="E277" s="245"/>
      <c r="F277" s="247"/>
      <c r="G277" s="248"/>
      <c r="H277" s="247"/>
      <c r="I277" s="245"/>
      <c r="J277" s="249"/>
      <c r="K277" s="250"/>
      <c r="L277" s="249"/>
      <c r="M277" s="249"/>
    </row>
    <row r="278" spans="1:13" ht="15" customHeight="1" x14ac:dyDescent="0.15">
      <c r="A278" s="244"/>
      <c r="B278" s="245"/>
      <c r="C278" s="245"/>
      <c r="D278" s="246"/>
      <c r="E278" s="245"/>
      <c r="F278" s="247"/>
      <c r="G278" s="248"/>
      <c r="H278" s="247"/>
      <c r="I278" s="245"/>
      <c r="J278" s="249"/>
      <c r="K278" s="250"/>
      <c r="L278" s="249"/>
      <c r="M278" s="249"/>
    </row>
    <row r="279" spans="1:13" ht="15" customHeight="1" x14ac:dyDescent="0.15">
      <c r="A279" s="244"/>
      <c r="B279" s="245"/>
      <c r="C279" s="245"/>
      <c r="D279" s="246"/>
      <c r="E279" s="245"/>
      <c r="F279" s="247"/>
      <c r="G279" s="248"/>
      <c r="H279" s="247"/>
      <c r="I279" s="245"/>
      <c r="J279" s="249"/>
      <c r="K279" s="250"/>
      <c r="L279" s="249"/>
      <c r="M279" s="249"/>
    </row>
    <row r="280" spans="1:13" ht="15" customHeight="1" x14ac:dyDescent="0.15">
      <c r="A280" s="244"/>
      <c r="B280" s="245"/>
      <c r="C280" s="245"/>
      <c r="D280" s="246"/>
      <c r="E280" s="245"/>
      <c r="F280" s="247"/>
      <c r="G280" s="248"/>
      <c r="H280" s="247"/>
      <c r="I280" s="245"/>
      <c r="J280" s="249"/>
      <c r="K280" s="250"/>
      <c r="L280" s="249"/>
      <c r="M280" s="249"/>
    </row>
    <row r="281" spans="1:13" ht="15" customHeight="1" x14ac:dyDescent="0.15">
      <c r="A281" s="244"/>
      <c r="B281" s="245"/>
      <c r="C281" s="245"/>
      <c r="D281" s="246"/>
      <c r="E281" s="245"/>
      <c r="F281" s="247"/>
      <c r="G281" s="248"/>
      <c r="H281" s="247"/>
      <c r="I281" s="245"/>
      <c r="J281" s="249"/>
      <c r="K281" s="250"/>
      <c r="L281" s="249"/>
      <c r="M281" s="249"/>
    </row>
    <row r="282" spans="1:13" ht="15" customHeight="1" x14ac:dyDescent="0.15">
      <c r="A282" s="244"/>
      <c r="B282" s="245"/>
      <c r="C282" s="245"/>
      <c r="D282" s="246"/>
      <c r="E282" s="245"/>
      <c r="F282" s="247"/>
      <c r="G282" s="248"/>
      <c r="H282" s="247"/>
      <c r="I282" s="245"/>
      <c r="J282" s="249"/>
      <c r="K282" s="250"/>
      <c r="L282" s="249"/>
      <c r="M282" s="249"/>
    </row>
    <row r="283" spans="1:13" ht="15" customHeight="1" x14ac:dyDescent="0.15">
      <c r="A283" s="244"/>
      <c r="B283" s="245"/>
      <c r="C283" s="245"/>
      <c r="D283" s="246"/>
      <c r="E283" s="245"/>
      <c r="F283" s="247"/>
      <c r="G283" s="248"/>
      <c r="H283" s="247"/>
      <c r="I283" s="245"/>
      <c r="J283" s="249"/>
      <c r="K283" s="250"/>
      <c r="L283" s="249"/>
      <c r="M283" s="249"/>
    </row>
    <row r="284" spans="1:13" ht="15" customHeight="1" x14ac:dyDescent="0.15">
      <c r="A284" s="251"/>
      <c r="B284" s="252"/>
      <c r="C284" s="252"/>
      <c r="D284" s="253"/>
      <c r="E284" s="252"/>
      <c r="F284" s="254"/>
      <c r="G284" s="255"/>
      <c r="H284" s="254"/>
      <c r="I284" s="252"/>
    </row>
    <row r="285" spans="1:13" ht="15" customHeight="1" x14ac:dyDescent="0.15">
      <c r="A285" s="251"/>
      <c r="B285" s="252"/>
      <c r="C285" s="252"/>
      <c r="D285" s="253"/>
      <c r="E285" s="252"/>
      <c r="F285" s="254"/>
      <c r="G285" s="255"/>
      <c r="H285" s="254"/>
      <c r="I285" s="252"/>
    </row>
    <row r="286" spans="1:13" ht="15" customHeight="1" x14ac:dyDescent="0.15">
      <c r="A286" s="242"/>
      <c r="B286" s="242"/>
      <c r="C286" s="242"/>
      <c r="D286" s="256"/>
      <c r="E286" s="242"/>
      <c r="F286" s="257"/>
      <c r="G286" s="242"/>
      <c r="H286" s="257"/>
      <c r="I286" s="242"/>
    </row>
    <row r="287" spans="1:13" ht="15" customHeight="1" x14ac:dyDescent="0.15">
      <c r="A287" s="242"/>
      <c r="B287" s="242"/>
      <c r="C287" s="242"/>
      <c r="D287" s="256"/>
      <c r="E287" s="242"/>
      <c r="F287" s="257"/>
      <c r="G287" s="242"/>
      <c r="H287" s="257"/>
      <c r="I287" s="242"/>
    </row>
    <row r="288" spans="1:13" ht="15" customHeight="1" x14ac:dyDescent="0.15">
      <c r="A288" s="242"/>
      <c r="B288" s="242"/>
      <c r="C288" s="242"/>
      <c r="D288" s="256"/>
      <c r="E288" s="242"/>
      <c r="F288" s="257"/>
      <c r="G288" s="242"/>
      <c r="H288" s="257"/>
      <c r="I288" s="242"/>
    </row>
    <row r="289" spans="1:9" ht="15" customHeight="1" x14ac:dyDescent="0.15">
      <c r="A289" s="242"/>
      <c r="B289" s="242"/>
      <c r="C289" s="242"/>
      <c r="D289" s="256"/>
      <c r="E289" s="242"/>
      <c r="F289" s="257"/>
      <c r="G289" s="242"/>
      <c r="H289" s="257"/>
      <c r="I289" s="242"/>
    </row>
    <row r="290" spans="1:9" ht="15" customHeight="1" x14ac:dyDescent="0.15">
      <c r="A290" s="242"/>
      <c r="B290" s="242"/>
      <c r="C290" s="242"/>
      <c r="D290" s="256"/>
      <c r="E290" s="242"/>
      <c r="F290" s="257"/>
      <c r="G290" s="242"/>
      <c r="H290" s="257"/>
      <c r="I290" s="242"/>
    </row>
    <row r="291" spans="1:9" ht="15" customHeight="1" x14ac:dyDescent="0.15">
      <c r="A291" s="242"/>
      <c r="B291" s="242"/>
      <c r="C291" s="242"/>
      <c r="D291" s="256"/>
      <c r="E291" s="242"/>
      <c r="F291" s="257"/>
      <c r="G291" s="242"/>
      <c r="H291" s="257"/>
      <c r="I291" s="242"/>
    </row>
    <row r="292" spans="1:9" ht="15" customHeight="1" x14ac:dyDescent="0.15">
      <c r="A292" s="242"/>
      <c r="B292" s="242"/>
      <c r="C292" s="242"/>
      <c r="D292" s="256"/>
      <c r="E292" s="242"/>
      <c r="F292" s="257"/>
      <c r="G292" s="242"/>
      <c r="H292" s="257"/>
      <c r="I292" s="242"/>
    </row>
    <row r="293" spans="1:9" ht="15" customHeight="1" x14ac:dyDescent="0.15">
      <c r="A293" s="242"/>
      <c r="B293" s="242"/>
      <c r="C293" s="242"/>
      <c r="D293" s="256"/>
      <c r="E293" s="242"/>
      <c r="F293" s="257"/>
      <c r="G293" s="242"/>
      <c r="H293" s="257"/>
      <c r="I293" s="242"/>
    </row>
    <row r="294" spans="1:9" ht="15" customHeight="1" x14ac:dyDescent="0.15">
      <c r="A294" s="242"/>
      <c r="B294" s="242"/>
      <c r="C294" s="242"/>
      <c r="D294" s="256"/>
      <c r="E294" s="242"/>
      <c r="F294" s="257"/>
      <c r="G294" s="242"/>
      <c r="H294" s="257"/>
      <c r="I294" s="242"/>
    </row>
    <row r="295" spans="1:9" ht="15" customHeight="1" x14ac:dyDescent="0.15">
      <c r="A295" s="242"/>
      <c r="B295" s="242"/>
      <c r="C295" s="242"/>
      <c r="D295" s="256"/>
      <c r="E295" s="242"/>
      <c r="F295" s="257"/>
      <c r="G295" s="242"/>
      <c r="H295" s="257"/>
      <c r="I295" s="242"/>
    </row>
    <row r="296" spans="1:9" ht="15" customHeight="1" x14ac:dyDescent="0.15">
      <c r="A296" s="242"/>
      <c r="B296" s="242"/>
      <c r="C296" s="242"/>
      <c r="D296" s="256"/>
      <c r="E296" s="242"/>
      <c r="F296" s="257"/>
      <c r="G296" s="242"/>
      <c r="H296" s="257"/>
      <c r="I296" s="242"/>
    </row>
    <row r="297" spans="1:9" ht="15" customHeight="1" x14ac:dyDescent="0.15">
      <c r="A297" s="242"/>
      <c r="B297" s="242"/>
      <c r="C297" s="242"/>
      <c r="D297" s="256"/>
      <c r="E297" s="242"/>
      <c r="F297" s="257"/>
      <c r="G297" s="242"/>
      <c r="H297" s="257"/>
      <c r="I297" s="242"/>
    </row>
    <row r="298" spans="1:9" ht="15" customHeight="1" x14ac:dyDescent="0.15">
      <c r="A298" s="242"/>
      <c r="B298" s="242"/>
      <c r="C298" s="242"/>
      <c r="D298" s="256"/>
      <c r="E298" s="242"/>
      <c r="F298" s="257"/>
      <c r="G298" s="242"/>
      <c r="H298" s="257"/>
      <c r="I298" s="242"/>
    </row>
    <row r="299" spans="1:9" ht="15" customHeight="1" x14ac:dyDescent="0.15">
      <c r="A299" s="242"/>
      <c r="B299" s="242"/>
      <c r="C299" s="242"/>
      <c r="D299" s="256"/>
      <c r="E299" s="242"/>
      <c r="F299" s="257"/>
      <c r="G299" s="242"/>
      <c r="H299" s="257"/>
      <c r="I299" s="242"/>
    </row>
    <row r="300" spans="1:9" ht="15" customHeight="1" x14ac:dyDescent="0.15">
      <c r="A300" s="242"/>
      <c r="B300" s="242"/>
      <c r="C300" s="242"/>
      <c r="D300" s="256"/>
      <c r="E300" s="242"/>
      <c r="F300" s="257"/>
      <c r="G300" s="242"/>
      <c r="H300" s="257"/>
      <c r="I300" s="242"/>
    </row>
    <row r="301" spans="1:9" ht="15" customHeight="1" x14ac:dyDescent="0.15">
      <c r="A301" s="242"/>
      <c r="B301" s="242"/>
      <c r="C301" s="242"/>
      <c r="D301" s="256"/>
      <c r="E301" s="242"/>
      <c r="F301" s="257"/>
      <c r="G301" s="242"/>
      <c r="H301" s="257"/>
      <c r="I301" s="242"/>
    </row>
    <row r="302" spans="1:9" ht="15" customHeight="1" x14ac:dyDescent="0.15">
      <c r="A302" s="242"/>
      <c r="B302" s="242"/>
      <c r="C302" s="242"/>
      <c r="D302" s="256"/>
      <c r="E302" s="242"/>
      <c r="F302" s="257"/>
      <c r="G302" s="242"/>
      <c r="H302" s="257"/>
      <c r="I302" s="242"/>
    </row>
    <row r="303" spans="1:9" ht="15" customHeight="1" x14ac:dyDescent="0.15">
      <c r="A303" s="242"/>
      <c r="B303" s="242"/>
      <c r="C303" s="242"/>
      <c r="D303" s="256"/>
      <c r="E303" s="242"/>
      <c r="F303" s="257"/>
      <c r="G303" s="242"/>
      <c r="H303" s="257"/>
      <c r="I303" s="242"/>
    </row>
    <row r="304" spans="1:9" ht="15" customHeight="1" x14ac:dyDescent="0.15">
      <c r="A304" s="242"/>
      <c r="B304" s="242"/>
      <c r="C304" s="242"/>
      <c r="D304" s="256"/>
      <c r="E304" s="242"/>
      <c r="F304" s="257"/>
      <c r="G304" s="242"/>
      <c r="H304" s="257"/>
      <c r="I304" s="242"/>
    </row>
    <row r="305" spans="1:9" ht="15" customHeight="1" x14ac:dyDescent="0.15">
      <c r="A305" s="242"/>
      <c r="B305" s="242"/>
      <c r="C305" s="242"/>
      <c r="D305" s="256"/>
      <c r="E305" s="242"/>
      <c r="F305" s="257"/>
      <c r="G305" s="242"/>
      <c r="H305" s="257"/>
      <c r="I305" s="242"/>
    </row>
    <row r="306" spans="1:9" ht="15" customHeight="1" x14ac:dyDescent="0.15">
      <c r="A306" s="242"/>
      <c r="B306" s="242"/>
      <c r="C306" s="242"/>
      <c r="D306" s="256"/>
      <c r="E306" s="242"/>
      <c r="F306" s="257"/>
      <c r="G306" s="242"/>
      <c r="H306" s="257"/>
      <c r="I306" s="242"/>
    </row>
    <row r="307" spans="1:9" ht="15" customHeight="1" x14ac:dyDescent="0.15">
      <c r="A307" s="242"/>
      <c r="B307" s="242"/>
      <c r="C307" s="242"/>
      <c r="D307" s="256"/>
      <c r="E307" s="242"/>
      <c r="F307" s="257"/>
      <c r="G307" s="242"/>
      <c r="H307" s="257"/>
      <c r="I307" s="242"/>
    </row>
    <row r="308" spans="1:9" ht="15" customHeight="1" x14ac:dyDescent="0.15">
      <c r="A308" s="242"/>
      <c r="B308" s="242"/>
      <c r="C308" s="242"/>
      <c r="D308" s="256"/>
      <c r="E308" s="242"/>
      <c r="F308" s="257"/>
      <c r="G308" s="242"/>
      <c r="H308" s="257"/>
      <c r="I308" s="242"/>
    </row>
    <row r="309" spans="1:9" ht="15" customHeight="1" x14ac:dyDescent="0.15">
      <c r="A309" s="242"/>
      <c r="B309" s="242"/>
      <c r="C309" s="242"/>
      <c r="D309" s="256"/>
      <c r="E309" s="242"/>
      <c r="F309" s="257"/>
      <c r="G309" s="242"/>
      <c r="H309" s="257"/>
      <c r="I309" s="242"/>
    </row>
    <row r="310" spans="1:9" ht="15" customHeight="1" x14ac:dyDescent="0.15">
      <c r="A310" s="242"/>
      <c r="B310" s="242"/>
      <c r="C310" s="242"/>
      <c r="D310" s="256"/>
      <c r="E310" s="242"/>
      <c r="F310" s="257"/>
      <c r="G310" s="242"/>
      <c r="H310" s="257"/>
      <c r="I310" s="242"/>
    </row>
    <row r="311" spans="1:9" ht="15" customHeight="1" x14ac:dyDescent="0.15">
      <c r="A311" s="242"/>
      <c r="B311" s="242"/>
      <c r="C311" s="242"/>
      <c r="D311" s="256"/>
      <c r="E311" s="242"/>
      <c r="F311" s="257"/>
      <c r="G311" s="242"/>
      <c r="H311" s="257"/>
      <c r="I311" s="242"/>
    </row>
    <row r="312" spans="1:9" ht="15" customHeight="1" x14ac:dyDescent="0.15">
      <c r="A312" s="242"/>
      <c r="B312" s="242"/>
      <c r="C312" s="242"/>
      <c r="D312" s="256"/>
      <c r="E312" s="242"/>
      <c r="F312" s="257"/>
      <c r="G312" s="242"/>
      <c r="H312" s="257"/>
      <c r="I312" s="242"/>
    </row>
    <row r="313" spans="1:9" ht="15" customHeight="1" x14ac:dyDescent="0.15">
      <c r="A313" s="242"/>
      <c r="B313" s="242"/>
      <c r="C313" s="242"/>
      <c r="D313" s="256"/>
      <c r="E313" s="242"/>
      <c r="F313" s="257"/>
      <c r="G313" s="242"/>
      <c r="H313" s="257"/>
      <c r="I313" s="242"/>
    </row>
    <row r="314" spans="1:9" ht="15" customHeight="1" x14ac:dyDescent="0.15">
      <c r="A314" s="242"/>
      <c r="B314" s="242"/>
      <c r="C314" s="242"/>
      <c r="D314" s="256"/>
      <c r="E314" s="242"/>
      <c r="F314" s="257"/>
      <c r="G314" s="242"/>
      <c r="H314" s="257"/>
      <c r="I314" s="242"/>
    </row>
    <row r="315" spans="1:9" ht="15" customHeight="1" x14ac:dyDescent="0.15">
      <c r="A315" s="242"/>
      <c r="B315" s="242"/>
      <c r="C315" s="242"/>
      <c r="D315" s="256"/>
      <c r="E315" s="242"/>
      <c r="F315" s="257"/>
      <c r="G315" s="242"/>
      <c r="H315" s="257"/>
      <c r="I315" s="242"/>
    </row>
    <row r="316" spans="1:9" ht="15" customHeight="1" x14ac:dyDescent="0.15">
      <c r="A316" s="242"/>
      <c r="B316" s="242"/>
      <c r="C316" s="242"/>
      <c r="D316" s="256"/>
      <c r="E316" s="242"/>
      <c r="F316" s="257"/>
      <c r="G316" s="242"/>
      <c r="H316" s="257"/>
      <c r="I316" s="242"/>
    </row>
    <row r="317" spans="1:9" ht="15" customHeight="1" x14ac:dyDescent="0.15">
      <c r="A317" s="242"/>
      <c r="B317" s="242"/>
      <c r="C317" s="242"/>
      <c r="D317" s="256"/>
      <c r="E317" s="242"/>
      <c r="F317" s="257"/>
      <c r="G317" s="242"/>
      <c r="H317" s="257"/>
      <c r="I317" s="242"/>
    </row>
    <row r="318" spans="1:9" ht="15" customHeight="1" x14ac:dyDescent="0.15">
      <c r="A318" s="242"/>
      <c r="B318" s="242"/>
      <c r="C318" s="242"/>
      <c r="D318" s="256"/>
      <c r="E318" s="242"/>
      <c r="F318" s="257"/>
      <c r="G318" s="242"/>
      <c r="H318" s="257"/>
      <c r="I318" s="242"/>
    </row>
    <row r="319" spans="1:9" ht="15" customHeight="1" x14ac:dyDescent="0.15">
      <c r="A319" s="242"/>
      <c r="B319" s="242"/>
      <c r="C319" s="242"/>
      <c r="D319" s="256"/>
      <c r="E319" s="242"/>
      <c r="F319" s="257"/>
      <c r="G319" s="242"/>
      <c r="H319" s="257"/>
      <c r="I319" s="242"/>
    </row>
    <row r="320" spans="1:9" ht="15" customHeight="1" x14ac:dyDescent="0.15">
      <c r="A320" s="242"/>
      <c r="B320" s="242"/>
      <c r="C320" s="242"/>
      <c r="D320" s="256"/>
      <c r="E320" s="242"/>
      <c r="F320" s="257"/>
      <c r="G320" s="242"/>
      <c r="H320" s="257"/>
      <c r="I320" s="242"/>
    </row>
    <row r="321" spans="1:9" ht="15" customHeight="1" x14ac:dyDescent="0.15">
      <c r="A321" s="242"/>
      <c r="B321" s="242"/>
      <c r="C321" s="242"/>
      <c r="D321" s="256"/>
      <c r="E321" s="242"/>
      <c r="F321" s="257"/>
      <c r="G321" s="242"/>
      <c r="H321" s="257"/>
      <c r="I321" s="242"/>
    </row>
    <row r="322" spans="1:9" ht="15" customHeight="1" x14ac:dyDescent="0.15">
      <c r="A322" s="242"/>
      <c r="B322" s="242"/>
      <c r="C322" s="242"/>
      <c r="D322" s="256"/>
      <c r="E322" s="242"/>
      <c r="F322" s="257"/>
      <c r="G322" s="242"/>
      <c r="H322" s="257"/>
      <c r="I322" s="242"/>
    </row>
    <row r="323" spans="1:9" ht="15" customHeight="1" x14ac:dyDescent="0.15">
      <c r="A323" s="242"/>
      <c r="B323" s="242"/>
      <c r="C323" s="242"/>
      <c r="D323" s="256"/>
      <c r="E323" s="242"/>
      <c r="F323" s="257"/>
      <c r="G323" s="242"/>
      <c r="H323" s="257"/>
      <c r="I323" s="242"/>
    </row>
    <row r="324" spans="1:9" ht="15" customHeight="1" x14ac:dyDescent="0.15">
      <c r="A324" s="242"/>
      <c r="B324" s="242"/>
      <c r="C324" s="242"/>
      <c r="D324" s="256"/>
      <c r="E324" s="242"/>
      <c r="F324" s="257"/>
      <c r="G324" s="242"/>
      <c r="H324" s="257"/>
      <c r="I324" s="242"/>
    </row>
    <row r="325" spans="1:9" ht="15" customHeight="1" x14ac:dyDescent="0.15">
      <c r="A325" s="242"/>
      <c r="B325" s="242"/>
      <c r="C325" s="242"/>
      <c r="D325" s="256"/>
      <c r="E325" s="242"/>
      <c r="F325" s="257"/>
      <c r="G325" s="242"/>
      <c r="H325" s="257"/>
      <c r="I325" s="242"/>
    </row>
    <row r="326" spans="1:9" ht="15" customHeight="1" x14ac:dyDescent="0.15">
      <c r="A326" s="242"/>
      <c r="B326" s="242"/>
      <c r="C326" s="242"/>
      <c r="D326" s="256"/>
      <c r="E326" s="242"/>
      <c r="F326" s="257"/>
      <c r="G326" s="242"/>
      <c r="H326" s="257"/>
      <c r="I326" s="242"/>
    </row>
    <row r="327" spans="1:9" ht="15" customHeight="1" x14ac:dyDescent="0.15">
      <c r="A327" s="242"/>
      <c r="B327" s="242"/>
      <c r="C327" s="242"/>
      <c r="D327" s="256"/>
      <c r="E327" s="242"/>
      <c r="F327" s="257"/>
      <c r="G327" s="242"/>
      <c r="H327" s="257"/>
      <c r="I327" s="242"/>
    </row>
    <row r="328" spans="1:9" ht="15" customHeight="1" x14ac:dyDescent="0.15">
      <c r="A328" s="242"/>
      <c r="B328" s="242"/>
      <c r="C328" s="242"/>
      <c r="D328" s="256"/>
      <c r="E328" s="242"/>
      <c r="F328" s="257"/>
      <c r="G328" s="242"/>
      <c r="H328" s="257"/>
      <c r="I328" s="242"/>
    </row>
    <row r="329" spans="1:9" ht="15" customHeight="1" x14ac:dyDescent="0.15">
      <c r="A329" s="242"/>
      <c r="B329" s="242"/>
      <c r="C329" s="242"/>
      <c r="D329" s="256"/>
      <c r="E329" s="242"/>
      <c r="F329" s="257"/>
      <c r="G329" s="242"/>
      <c r="H329" s="257"/>
      <c r="I329" s="242"/>
    </row>
    <row r="330" spans="1:9" ht="15" customHeight="1" x14ac:dyDescent="0.15">
      <c r="A330" s="242"/>
      <c r="B330" s="242"/>
      <c r="C330" s="242"/>
      <c r="D330" s="256"/>
      <c r="E330" s="242"/>
      <c r="F330" s="257"/>
      <c r="G330" s="242"/>
      <c r="H330" s="257"/>
      <c r="I330" s="242"/>
    </row>
    <row r="331" spans="1:9" ht="15" customHeight="1" x14ac:dyDescent="0.15">
      <c r="A331" s="242"/>
      <c r="B331" s="242"/>
      <c r="C331" s="242"/>
      <c r="D331" s="256"/>
      <c r="E331" s="242"/>
      <c r="F331" s="257"/>
      <c r="G331" s="242"/>
      <c r="H331" s="257"/>
      <c r="I331" s="242"/>
    </row>
    <row r="332" spans="1:9" ht="15" customHeight="1" x14ac:dyDescent="0.15">
      <c r="A332" s="242"/>
      <c r="B332" s="242"/>
      <c r="C332" s="242"/>
      <c r="D332" s="256"/>
      <c r="E332" s="242"/>
      <c r="F332" s="257"/>
      <c r="G332" s="242"/>
      <c r="H332" s="257"/>
      <c r="I332" s="242"/>
    </row>
    <row r="333" spans="1:9" ht="15" customHeight="1" x14ac:dyDescent="0.15">
      <c r="A333" s="242"/>
      <c r="B333" s="242"/>
      <c r="C333" s="242"/>
      <c r="D333" s="256"/>
      <c r="E333" s="242"/>
      <c r="F333" s="257"/>
      <c r="G333" s="242"/>
      <c r="H333" s="257"/>
      <c r="I333" s="242"/>
    </row>
    <row r="334" spans="1:9" ht="15" customHeight="1" x14ac:dyDescent="0.15">
      <c r="A334" s="242"/>
      <c r="B334" s="242"/>
      <c r="C334" s="242"/>
      <c r="D334" s="256"/>
      <c r="E334" s="242"/>
      <c r="F334" s="257"/>
      <c r="G334" s="242"/>
      <c r="H334" s="257"/>
      <c r="I334" s="242"/>
    </row>
    <row r="335" spans="1:9" ht="15" customHeight="1" x14ac:dyDescent="0.15">
      <c r="A335" s="242"/>
      <c r="B335" s="242"/>
      <c r="C335" s="242"/>
      <c r="D335" s="256"/>
      <c r="E335" s="242"/>
      <c r="F335" s="257"/>
      <c r="G335" s="242"/>
      <c r="H335" s="257"/>
      <c r="I335" s="242"/>
    </row>
    <row r="336" spans="1:9" ht="15" customHeight="1" x14ac:dyDescent="0.15">
      <c r="A336" s="242"/>
      <c r="B336" s="242"/>
      <c r="C336" s="242"/>
      <c r="D336" s="256"/>
      <c r="E336" s="242"/>
      <c r="F336" s="257"/>
      <c r="G336" s="242"/>
      <c r="H336" s="257"/>
      <c r="I336" s="242"/>
    </row>
    <row r="337" spans="1:9" ht="15" customHeight="1" x14ac:dyDescent="0.15">
      <c r="A337" s="242"/>
      <c r="B337" s="242"/>
      <c r="C337" s="242"/>
      <c r="D337" s="256"/>
      <c r="E337" s="242"/>
      <c r="F337" s="257"/>
      <c r="G337" s="242"/>
      <c r="H337" s="257"/>
      <c r="I337" s="242"/>
    </row>
    <row r="338" spans="1:9" ht="15" customHeight="1" x14ac:dyDescent="0.15">
      <c r="A338" s="242"/>
      <c r="B338" s="242"/>
      <c r="C338" s="242"/>
      <c r="D338" s="256"/>
      <c r="E338" s="242"/>
      <c r="F338" s="257"/>
      <c r="G338" s="242"/>
      <c r="H338" s="257"/>
      <c r="I338" s="242"/>
    </row>
    <row r="339" spans="1:9" ht="15" customHeight="1" x14ac:dyDescent="0.15">
      <c r="A339" s="242"/>
      <c r="B339" s="242"/>
      <c r="C339" s="242"/>
      <c r="D339" s="256"/>
      <c r="E339" s="242"/>
      <c r="F339" s="257"/>
      <c r="G339" s="242"/>
      <c r="H339" s="257"/>
      <c r="I339" s="242"/>
    </row>
    <row r="340" spans="1:9" ht="15" customHeight="1" x14ac:dyDescent="0.15">
      <c r="A340" s="242"/>
      <c r="B340" s="242"/>
      <c r="C340" s="242"/>
      <c r="D340" s="256"/>
      <c r="E340" s="242"/>
      <c r="F340" s="257"/>
      <c r="G340" s="242"/>
      <c r="H340" s="257"/>
      <c r="I340" s="242"/>
    </row>
    <row r="341" spans="1:9" ht="15" customHeight="1" x14ac:dyDescent="0.15">
      <c r="A341" s="242"/>
      <c r="B341" s="242"/>
      <c r="C341" s="242"/>
      <c r="D341" s="256"/>
      <c r="E341" s="242"/>
      <c r="F341" s="257"/>
      <c r="G341" s="242"/>
      <c r="H341" s="257"/>
      <c r="I341" s="242"/>
    </row>
    <row r="342" spans="1:9" ht="15" customHeight="1" x14ac:dyDescent="0.15">
      <c r="A342" s="242"/>
      <c r="B342" s="242"/>
      <c r="C342" s="242"/>
      <c r="D342" s="256"/>
      <c r="E342" s="242"/>
      <c r="F342" s="257"/>
      <c r="G342" s="242"/>
      <c r="H342" s="257"/>
      <c r="I342" s="242"/>
    </row>
    <row r="343" spans="1:9" ht="15" customHeight="1" x14ac:dyDescent="0.15">
      <c r="A343" s="242"/>
      <c r="B343" s="242"/>
      <c r="C343" s="242"/>
      <c r="D343" s="256"/>
      <c r="E343" s="242"/>
      <c r="F343" s="257"/>
      <c r="G343" s="242"/>
      <c r="H343" s="257"/>
      <c r="I343" s="242"/>
    </row>
    <row r="344" spans="1:9" ht="15" customHeight="1" x14ac:dyDescent="0.15">
      <c r="A344" s="242"/>
      <c r="B344" s="242"/>
      <c r="C344" s="242"/>
      <c r="D344" s="256"/>
      <c r="E344" s="242"/>
      <c r="F344" s="257"/>
      <c r="G344" s="242"/>
      <c r="H344" s="257"/>
      <c r="I344" s="242"/>
    </row>
    <row r="345" spans="1:9" ht="15" customHeight="1" x14ac:dyDescent="0.15">
      <c r="A345" s="242"/>
      <c r="B345" s="242"/>
      <c r="C345" s="242"/>
      <c r="D345" s="256"/>
      <c r="E345" s="242"/>
      <c r="F345" s="257"/>
      <c r="G345" s="242"/>
      <c r="H345" s="257"/>
      <c r="I345" s="242"/>
    </row>
    <row r="346" spans="1:9" ht="15" customHeight="1" x14ac:dyDescent="0.15">
      <c r="A346" s="242"/>
      <c r="B346" s="242"/>
      <c r="C346" s="242"/>
      <c r="D346" s="256"/>
      <c r="E346" s="242"/>
      <c r="F346" s="257"/>
      <c r="G346" s="242"/>
      <c r="H346" s="257"/>
      <c r="I346" s="242"/>
    </row>
    <row r="347" spans="1:9" ht="15" customHeight="1" x14ac:dyDescent="0.15">
      <c r="A347" s="242"/>
      <c r="B347" s="242"/>
      <c r="C347" s="242"/>
      <c r="D347" s="256"/>
      <c r="E347" s="242"/>
      <c r="F347" s="257"/>
      <c r="G347" s="242"/>
      <c r="H347" s="257"/>
      <c r="I347" s="242"/>
    </row>
    <row r="348" spans="1:9" ht="15" customHeight="1" x14ac:dyDescent="0.15">
      <c r="A348" s="242"/>
      <c r="B348" s="242"/>
      <c r="C348" s="242"/>
      <c r="D348" s="256"/>
      <c r="E348" s="242"/>
      <c r="F348" s="257"/>
      <c r="G348" s="242"/>
      <c r="H348" s="257"/>
      <c r="I348" s="242"/>
    </row>
    <row r="349" spans="1:9" ht="15" customHeight="1" x14ac:dyDescent="0.15">
      <c r="A349" s="242"/>
      <c r="B349" s="242"/>
      <c r="C349" s="242"/>
      <c r="D349" s="256"/>
      <c r="E349" s="242"/>
      <c r="F349" s="257"/>
      <c r="G349" s="242"/>
      <c r="H349" s="257"/>
      <c r="I349" s="242"/>
    </row>
    <row r="350" spans="1:9" ht="15" customHeight="1" x14ac:dyDescent="0.15">
      <c r="A350" s="242"/>
      <c r="B350" s="242"/>
      <c r="C350" s="242"/>
      <c r="D350" s="256"/>
      <c r="E350" s="242"/>
      <c r="F350" s="257"/>
      <c r="G350" s="242"/>
      <c r="H350" s="257"/>
      <c r="I350" s="242"/>
    </row>
    <row r="351" spans="1:9" ht="15" customHeight="1" x14ac:dyDescent="0.15">
      <c r="A351" s="242"/>
      <c r="B351" s="242"/>
      <c r="C351" s="242"/>
      <c r="D351" s="256"/>
      <c r="E351" s="242"/>
      <c r="F351" s="257"/>
      <c r="G351" s="242"/>
      <c r="H351" s="257"/>
      <c r="I351" s="242"/>
    </row>
    <row r="352" spans="1:9" ht="15" customHeight="1" x14ac:dyDescent="0.15">
      <c r="A352" s="242"/>
      <c r="B352" s="242"/>
      <c r="C352" s="242"/>
      <c r="D352" s="256"/>
      <c r="E352" s="242"/>
      <c r="F352" s="257"/>
      <c r="G352" s="242"/>
      <c r="H352" s="257"/>
      <c r="I352" s="242"/>
    </row>
    <row r="353" spans="1:9" ht="15" customHeight="1" x14ac:dyDescent="0.15">
      <c r="A353" s="242"/>
      <c r="B353" s="242"/>
      <c r="C353" s="242"/>
      <c r="D353" s="256"/>
      <c r="E353" s="242"/>
      <c r="F353" s="257"/>
      <c r="G353" s="242"/>
      <c r="H353" s="257"/>
      <c r="I353" s="242"/>
    </row>
    <row r="354" spans="1:9" ht="15" customHeight="1" x14ac:dyDescent="0.15">
      <c r="A354" s="242"/>
      <c r="B354" s="242"/>
      <c r="C354" s="242"/>
      <c r="D354" s="256"/>
      <c r="E354" s="242"/>
      <c r="F354" s="257"/>
      <c r="G354" s="242"/>
      <c r="H354" s="257"/>
      <c r="I354" s="242"/>
    </row>
    <row r="355" spans="1:9" ht="15" customHeight="1" x14ac:dyDescent="0.15">
      <c r="A355" s="242"/>
      <c r="B355" s="242"/>
      <c r="C355" s="242"/>
      <c r="D355" s="256"/>
      <c r="E355" s="242"/>
      <c r="F355" s="257"/>
      <c r="G355" s="242"/>
      <c r="H355" s="257"/>
      <c r="I355" s="242"/>
    </row>
    <row r="356" spans="1:9" ht="15" customHeight="1" x14ac:dyDescent="0.15">
      <c r="A356" s="242"/>
      <c r="B356" s="242"/>
      <c r="C356" s="242"/>
      <c r="D356" s="256"/>
      <c r="E356" s="242"/>
      <c r="F356" s="257"/>
      <c r="G356" s="242"/>
      <c r="H356" s="257"/>
      <c r="I356" s="242"/>
    </row>
    <row r="357" spans="1:9" ht="15" customHeight="1" x14ac:dyDescent="0.15">
      <c r="A357" s="242"/>
      <c r="B357" s="242"/>
      <c r="C357" s="242"/>
      <c r="D357" s="256"/>
      <c r="E357" s="242"/>
      <c r="F357" s="257"/>
      <c r="G357" s="242"/>
      <c r="H357" s="257"/>
      <c r="I357" s="242"/>
    </row>
    <row r="358" spans="1:9" ht="15" customHeight="1" x14ac:dyDescent="0.15">
      <c r="A358" s="242"/>
      <c r="B358" s="242"/>
      <c r="C358" s="242"/>
      <c r="D358" s="256"/>
      <c r="E358" s="242"/>
      <c r="F358" s="257"/>
      <c r="G358" s="242"/>
      <c r="H358" s="257"/>
      <c r="I358" s="242"/>
    </row>
    <row r="359" spans="1:9" ht="15" customHeight="1" x14ac:dyDescent="0.15">
      <c r="A359" s="242"/>
      <c r="B359" s="242"/>
      <c r="C359" s="242"/>
      <c r="D359" s="256"/>
      <c r="E359" s="242"/>
      <c r="F359" s="257"/>
      <c r="G359" s="242"/>
      <c r="H359" s="257"/>
      <c r="I359" s="242"/>
    </row>
    <row r="360" spans="1:9" ht="15" customHeight="1" x14ac:dyDescent="0.15">
      <c r="A360" s="242"/>
      <c r="B360" s="242"/>
      <c r="C360" s="242"/>
      <c r="D360" s="256"/>
      <c r="E360" s="242"/>
      <c r="F360" s="257"/>
      <c r="G360" s="242"/>
      <c r="H360" s="257"/>
      <c r="I360" s="242"/>
    </row>
    <row r="361" spans="1:9" ht="15" customHeight="1" x14ac:dyDescent="0.15">
      <c r="A361" s="242"/>
      <c r="B361" s="242"/>
      <c r="C361" s="242"/>
      <c r="D361" s="256"/>
      <c r="E361" s="242"/>
      <c r="F361" s="257"/>
      <c r="G361" s="242"/>
      <c r="H361" s="257"/>
      <c r="I361" s="242"/>
    </row>
    <row r="362" spans="1:9" ht="15" customHeight="1" x14ac:dyDescent="0.15">
      <c r="A362" s="242"/>
      <c r="B362" s="242"/>
      <c r="C362" s="242"/>
      <c r="D362" s="256"/>
      <c r="E362" s="242"/>
      <c r="F362" s="257"/>
      <c r="G362" s="242"/>
      <c r="H362" s="257"/>
      <c r="I362" s="242"/>
    </row>
    <row r="363" spans="1:9" ht="15" customHeight="1" x14ac:dyDescent="0.15">
      <c r="A363" s="242"/>
      <c r="B363" s="242"/>
      <c r="C363" s="242"/>
      <c r="D363" s="256"/>
      <c r="E363" s="242"/>
      <c r="F363" s="257"/>
      <c r="G363" s="242"/>
      <c r="H363" s="257"/>
      <c r="I363" s="242"/>
    </row>
    <row r="364" spans="1:9" ht="15" customHeight="1" x14ac:dyDescent="0.15">
      <c r="A364" s="242"/>
      <c r="B364" s="242"/>
      <c r="C364" s="242"/>
      <c r="D364" s="256"/>
      <c r="E364" s="242"/>
      <c r="F364" s="257"/>
      <c r="G364" s="242"/>
      <c r="H364" s="257"/>
      <c r="I364" s="242"/>
    </row>
    <row r="365" spans="1:9" ht="15" customHeight="1" x14ac:dyDescent="0.15">
      <c r="A365" s="242"/>
      <c r="B365" s="242"/>
      <c r="C365" s="242"/>
      <c r="D365" s="256"/>
      <c r="E365" s="242"/>
      <c r="F365" s="257"/>
      <c r="G365" s="242"/>
      <c r="H365" s="257"/>
      <c r="I365" s="242"/>
    </row>
    <row r="366" spans="1:9" ht="15" customHeight="1" x14ac:dyDescent="0.15">
      <c r="A366" s="242"/>
      <c r="B366" s="242"/>
      <c r="C366" s="242"/>
      <c r="D366" s="256"/>
      <c r="E366" s="242"/>
      <c r="F366" s="257"/>
      <c r="G366" s="242"/>
      <c r="H366" s="257"/>
      <c r="I366" s="242"/>
    </row>
    <row r="367" spans="1:9" ht="15" customHeight="1" x14ac:dyDescent="0.15">
      <c r="A367" s="242"/>
      <c r="B367" s="242"/>
      <c r="C367" s="242"/>
      <c r="D367" s="256"/>
      <c r="E367" s="242"/>
      <c r="F367" s="257"/>
      <c r="G367" s="242"/>
      <c r="H367" s="257"/>
      <c r="I367" s="242"/>
    </row>
    <row r="368" spans="1:9" ht="15" customHeight="1" x14ac:dyDescent="0.15">
      <c r="A368" s="242"/>
      <c r="B368" s="242"/>
      <c r="C368" s="242"/>
      <c r="D368" s="256"/>
      <c r="E368" s="242"/>
      <c r="F368" s="257"/>
      <c r="G368" s="242"/>
      <c r="H368" s="257"/>
      <c r="I368" s="242"/>
    </row>
    <row r="369" spans="1:9" ht="15" customHeight="1" x14ac:dyDescent="0.15">
      <c r="A369" s="242"/>
      <c r="B369" s="242"/>
      <c r="C369" s="242"/>
      <c r="D369" s="256"/>
      <c r="E369" s="242"/>
      <c r="F369" s="257"/>
      <c r="G369" s="242"/>
      <c r="H369" s="257"/>
      <c r="I369" s="242"/>
    </row>
    <row r="370" spans="1:9" ht="15" customHeight="1" x14ac:dyDescent="0.15">
      <c r="A370" s="242"/>
      <c r="B370" s="242"/>
      <c r="C370" s="242"/>
      <c r="D370" s="256"/>
      <c r="E370" s="242"/>
      <c r="F370" s="257"/>
      <c r="G370" s="242"/>
      <c r="H370" s="257"/>
      <c r="I370" s="242"/>
    </row>
    <row r="371" spans="1:9" ht="15" customHeight="1" x14ac:dyDescent="0.15">
      <c r="A371" s="242"/>
      <c r="B371" s="242"/>
      <c r="C371" s="242"/>
      <c r="D371" s="256"/>
      <c r="E371" s="242"/>
      <c r="F371" s="257"/>
      <c r="G371" s="242"/>
      <c r="H371" s="257"/>
      <c r="I371" s="242"/>
    </row>
    <row r="372" spans="1:9" ht="15" customHeight="1" x14ac:dyDescent="0.15">
      <c r="A372" s="242"/>
      <c r="B372" s="242"/>
      <c r="C372" s="242"/>
      <c r="D372" s="256"/>
      <c r="E372" s="242"/>
      <c r="F372" s="257"/>
      <c r="G372" s="242"/>
      <c r="H372" s="257"/>
      <c r="I372" s="242"/>
    </row>
    <row r="373" spans="1:9" ht="15" customHeight="1" x14ac:dyDescent="0.15">
      <c r="A373" s="242"/>
      <c r="B373" s="242"/>
      <c r="C373" s="242"/>
      <c r="D373" s="256"/>
      <c r="E373" s="242"/>
      <c r="F373" s="257"/>
      <c r="G373" s="242"/>
      <c r="H373" s="257"/>
      <c r="I373" s="242"/>
    </row>
    <row r="374" spans="1:9" ht="15" customHeight="1" x14ac:dyDescent="0.15">
      <c r="A374" s="242"/>
      <c r="B374" s="242"/>
      <c r="C374" s="242"/>
      <c r="D374" s="256"/>
      <c r="E374" s="242"/>
      <c r="F374" s="257"/>
      <c r="G374" s="242"/>
      <c r="H374" s="257"/>
      <c r="I374" s="242"/>
    </row>
    <row r="375" spans="1:9" ht="15" customHeight="1" x14ac:dyDescent="0.15">
      <c r="A375" s="242"/>
      <c r="B375" s="242"/>
      <c r="C375" s="242"/>
      <c r="D375" s="256"/>
      <c r="E375" s="242"/>
      <c r="F375" s="257"/>
      <c r="G375" s="242"/>
      <c r="H375" s="257"/>
      <c r="I375" s="242"/>
    </row>
    <row r="376" spans="1:9" ht="15" customHeight="1" x14ac:dyDescent="0.15">
      <c r="A376" s="242"/>
      <c r="B376" s="242"/>
      <c r="C376" s="242"/>
      <c r="D376" s="256"/>
      <c r="E376" s="242"/>
      <c r="F376" s="257"/>
      <c r="G376" s="242"/>
      <c r="H376" s="257"/>
      <c r="I376" s="242"/>
    </row>
    <row r="377" spans="1:9" ht="15" customHeight="1" x14ac:dyDescent="0.15">
      <c r="A377" s="242"/>
      <c r="B377" s="242"/>
      <c r="C377" s="242"/>
      <c r="D377" s="256"/>
      <c r="E377" s="242"/>
      <c r="F377" s="257"/>
      <c r="G377" s="242"/>
      <c r="H377" s="257"/>
      <c r="I377" s="242"/>
    </row>
    <row r="378" spans="1:9" ht="15" customHeight="1" x14ac:dyDescent="0.15">
      <c r="A378" s="242"/>
      <c r="B378" s="242"/>
      <c r="C378" s="242"/>
      <c r="D378" s="256"/>
      <c r="E378" s="242"/>
      <c r="F378" s="257"/>
      <c r="G378" s="242"/>
      <c r="H378" s="257"/>
      <c r="I378" s="242"/>
    </row>
    <row r="379" spans="1:9" ht="15" customHeight="1" x14ac:dyDescent="0.15">
      <c r="A379" s="242"/>
      <c r="B379" s="242"/>
      <c r="C379" s="242"/>
      <c r="D379" s="256"/>
      <c r="E379" s="242"/>
      <c r="F379" s="257"/>
      <c r="G379" s="242"/>
      <c r="H379" s="257"/>
      <c r="I379" s="242"/>
    </row>
    <row r="380" spans="1:9" ht="15" customHeight="1" x14ac:dyDescent="0.15">
      <c r="A380" s="242"/>
      <c r="B380" s="242"/>
      <c r="C380" s="242"/>
      <c r="D380" s="256"/>
      <c r="E380" s="242"/>
      <c r="F380" s="257"/>
      <c r="G380" s="242"/>
      <c r="H380" s="257"/>
      <c r="I380" s="242"/>
    </row>
    <row r="381" spans="1:9" ht="15" customHeight="1" x14ac:dyDescent="0.15">
      <c r="A381" s="242"/>
      <c r="B381" s="242"/>
      <c r="C381" s="242"/>
      <c r="D381" s="256"/>
      <c r="E381" s="242"/>
      <c r="F381" s="257"/>
      <c r="G381" s="242"/>
      <c r="H381" s="257"/>
      <c r="I381" s="242"/>
    </row>
    <row r="382" spans="1:9" ht="15" customHeight="1" x14ac:dyDescent="0.15">
      <c r="A382" s="242"/>
      <c r="B382" s="242"/>
      <c r="C382" s="242"/>
      <c r="D382" s="256"/>
      <c r="E382" s="242"/>
      <c r="F382" s="257"/>
      <c r="G382" s="242"/>
      <c r="H382" s="257"/>
      <c r="I382" s="242"/>
    </row>
    <row r="383" spans="1:9" ht="15" customHeight="1" x14ac:dyDescent="0.15">
      <c r="A383" s="242"/>
      <c r="B383" s="242"/>
      <c r="C383" s="242"/>
      <c r="D383" s="256"/>
      <c r="E383" s="242"/>
      <c r="F383" s="257"/>
      <c r="G383" s="242"/>
      <c r="H383" s="257"/>
      <c r="I383" s="242"/>
    </row>
    <row r="384" spans="1:9" ht="15" customHeight="1" x14ac:dyDescent="0.15">
      <c r="A384" s="242"/>
      <c r="B384" s="242"/>
      <c r="C384" s="242"/>
      <c r="D384" s="256"/>
      <c r="E384" s="242"/>
      <c r="F384" s="257"/>
      <c r="G384" s="242"/>
      <c r="H384" s="257"/>
      <c r="I384" s="242"/>
    </row>
    <row r="385" spans="1:9" ht="15" customHeight="1" x14ac:dyDescent="0.15">
      <c r="A385" s="242"/>
      <c r="B385" s="242"/>
      <c r="C385" s="242"/>
      <c r="D385" s="256"/>
      <c r="E385" s="242"/>
      <c r="F385" s="257"/>
      <c r="G385" s="242"/>
      <c r="H385" s="257"/>
      <c r="I385" s="242"/>
    </row>
    <row r="386" spans="1:9" ht="15" customHeight="1" x14ac:dyDescent="0.15">
      <c r="A386" s="242"/>
      <c r="B386" s="242"/>
      <c r="C386" s="242"/>
      <c r="D386" s="256"/>
      <c r="E386" s="242"/>
      <c r="F386" s="257"/>
      <c r="G386" s="242"/>
      <c r="H386" s="257"/>
      <c r="I386" s="242"/>
    </row>
    <row r="387" spans="1:9" ht="15" customHeight="1" x14ac:dyDescent="0.15">
      <c r="A387" s="242"/>
      <c r="B387" s="242"/>
      <c r="C387" s="242"/>
      <c r="D387" s="256"/>
      <c r="E387" s="242"/>
      <c r="F387" s="257"/>
      <c r="G387" s="242"/>
      <c r="H387" s="257"/>
      <c r="I387" s="242"/>
    </row>
    <row r="388" spans="1:9" ht="15" customHeight="1" x14ac:dyDescent="0.15">
      <c r="A388" s="242"/>
      <c r="B388" s="242"/>
      <c r="C388" s="242"/>
      <c r="D388" s="256"/>
      <c r="E388" s="242"/>
      <c r="F388" s="257"/>
      <c r="G388" s="242"/>
      <c r="H388" s="257"/>
      <c r="I388" s="242"/>
    </row>
    <row r="389" spans="1:9" ht="15" customHeight="1" x14ac:dyDescent="0.15">
      <c r="A389" s="242"/>
      <c r="B389" s="242"/>
      <c r="C389" s="242"/>
      <c r="D389" s="256"/>
      <c r="E389" s="242"/>
      <c r="F389" s="257"/>
      <c r="G389" s="242"/>
      <c r="H389" s="257"/>
      <c r="I389" s="242"/>
    </row>
    <row r="390" spans="1:9" ht="15" customHeight="1" x14ac:dyDescent="0.15">
      <c r="A390" s="242"/>
      <c r="B390" s="242"/>
      <c r="C390" s="242"/>
      <c r="D390" s="256"/>
      <c r="E390" s="242"/>
      <c r="F390" s="257"/>
      <c r="G390" s="242"/>
      <c r="H390" s="257"/>
      <c r="I390" s="242"/>
    </row>
    <row r="391" spans="1:9" ht="15" customHeight="1" x14ac:dyDescent="0.15">
      <c r="A391" s="242"/>
      <c r="B391" s="242"/>
      <c r="C391" s="242"/>
      <c r="D391" s="256"/>
      <c r="E391" s="242"/>
      <c r="F391" s="257"/>
      <c r="G391" s="242"/>
      <c r="H391" s="257"/>
      <c r="I391" s="242"/>
    </row>
    <row r="392" spans="1:9" ht="15" customHeight="1" x14ac:dyDescent="0.15">
      <c r="A392" s="242"/>
      <c r="B392" s="242"/>
      <c r="C392" s="242"/>
      <c r="D392" s="256"/>
      <c r="E392" s="242"/>
      <c r="F392" s="257"/>
      <c r="G392" s="242"/>
      <c r="H392" s="257"/>
      <c r="I392" s="242"/>
    </row>
    <row r="393" spans="1:9" ht="15" customHeight="1" x14ac:dyDescent="0.15">
      <c r="A393" s="242"/>
      <c r="B393" s="242"/>
      <c r="C393" s="242"/>
      <c r="D393" s="256"/>
      <c r="E393" s="242"/>
      <c r="F393" s="257"/>
      <c r="G393" s="242"/>
      <c r="H393" s="257"/>
      <c r="I393" s="242"/>
    </row>
    <row r="394" spans="1:9" ht="15" customHeight="1" x14ac:dyDescent="0.15">
      <c r="A394" s="242"/>
      <c r="B394" s="242"/>
      <c r="C394" s="242"/>
      <c r="D394" s="256"/>
      <c r="E394" s="242"/>
      <c r="F394" s="257"/>
      <c r="G394" s="242"/>
      <c r="H394" s="257"/>
      <c r="I394" s="242"/>
    </row>
    <row r="395" spans="1:9" ht="15" customHeight="1" x14ac:dyDescent="0.15">
      <c r="A395" s="242"/>
      <c r="B395" s="242"/>
      <c r="C395" s="242"/>
      <c r="D395" s="256"/>
      <c r="E395" s="242"/>
      <c r="F395" s="257"/>
      <c r="G395" s="242"/>
      <c r="H395" s="257"/>
      <c r="I395" s="242"/>
    </row>
    <row r="396" spans="1:9" ht="15" customHeight="1" x14ac:dyDescent="0.15">
      <c r="A396" s="242"/>
      <c r="B396" s="242"/>
      <c r="C396" s="242"/>
      <c r="D396" s="256"/>
      <c r="E396" s="242"/>
      <c r="F396" s="257"/>
      <c r="G396" s="242"/>
      <c r="H396" s="257"/>
      <c r="I396" s="242"/>
    </row>
    <row r="397" spans="1:9" ht="15" customHeight="1" x14ac:dyDescent="0.15">
      <c r="A397" s="242"/>
      <c r="B397" s="242"/>
      <c r="C397" s="242"/>
      <c r="D397" s="256"/>
      <c r="E397" s="242"/>
      <c r="F397" s="257"/>
      <c r="G397" s="242"/>
      <c r="H397" s="257"/>
      <c r="I397" s="242"/>
    </row>
    <row r="398" spans="1:9" ht="15" customHeight="1" x14ac:dyDescent="0.15">
      <c r="A398" s="242"/>
      <c r="B398" s="242"/>
      <c r="C398" s="242"/>
      <c r="D398" s="256"/>
      <c r="E398" s="242"/>
      <c r="F398" s="257"/>
      <c r="G398" s="242"/>
      <c r="H398" s="257"/>
      <c r="I398" s="242"/>
    </row>
    <row r="399" spans="1:9" ht="15" customHeight="1" x14ac:dyDescent="0.15">
      <c r="A399" s="242"/>
      <c r="B399" s="242"/>
      <c r="C399" s="242"/>
      <c r="D399" s="256"/>
      <c r="E399" s="242"/>
      <c r="F399" s="257"/>
      <c r="G399" s="242"/>
      <c r="H399" s="257"/>
      <c r="I399" s="242"/>
    </row>
    <row r="400" spans="1:9" ht="15" customHeight="1" x14ac:dyDescent="0.15">
      <c r="A400" s="242"/>
      <c r="B400" s="242"/>
      <c r="C400" s="242"/>
      <c r="D400" s="256"/>
      <c r="E400" s="242"/>
      <c r="F400" s="257"/>
      <c r="G400" s="242"/>
      <c r="H400" s="257"/>
      <c r="I400" s="242"/>
    </row>
    <row r="401" spans="1:9" ht="15" customHeight="1" x14ac:dyDescent="0.15">
      <c r="A401" s="242"/>
      <c r="B401" s="242"/>
      <c r="C401" s="242"/>
      <c r="D401" s="256"/>
      <c r="E401" s="242"/>
      <c r="F401" s="257"/>
      <c r="G401" s="242"/>
      <c r="H401" s="257"/>
      <c r="I401" s="242"/>
    </row>
    <row r="402" spans="1:9" ht="15" customHeight="1" x14ac:dyDescent="0.15">
      <c r="A402" s="242"/>
      <c r="B402" s="242"/>
      <c r="C402" s="242"/>
      <c r="D402" s="256"/>
      <c r="E402" s="242"/>
      <c r="F402" s="257"/>
      <c r="G402" s="242"/>
      <c r="H402" s="257"/>
      <c r="I402" s="242"/>
    </row>
    <row r="403" spans="1:9" ht="15" customHeight="1" x14ac:dyDescent="0.15">
      <c r="A403" s="242"/>
      <c r="B403" s="242"/>
      <c r="C403" s="242"/>
      <c r="D403" s="256"/>
      <c r="E403" s="242"/>
      <c r="F403" s="257"/>
      <c r="G403" s="242"/>
      <c r="H403" s="257"/>
      <c r="I403" s="242"/>
    </row>
    <row r="404" spans="1:9" ht="15" customHeight="1" x14ac:dyDescent="0.15">
      <c r="A404" s="242"/>
      <c r="B404" s="242"/>
      <c r="C404" s="242"/>
      <c r="D404" s="256"/>
      <c r="E404" s="242"/>
      <c r="F404" s="257"/>
      <c r="G404" s="242"/>
      <c r="H404" s="257"/>
      <c r="I404" s="242"/>
    </row>
    <row r="405" spans="1:9" ht="15" customHeight="1" x14ac:dyDescent="0.15">
      <c r="A405" s="242"/>
      <c r="B405" s="242"/>
      <c r="C405" s="242"/>
      <c r="D405" s="256"/>
      <c r="E405" s="242"/>
      <c r="F405" s="257"/>
      <c r="G405" s="242"/>
      <c r="H405" s="257"/>
      <c r="I405" s="242"/>
    </row>
    <row r="406" spans="1:9" ht="15" customHeight="1" x14ac:dyDescent="0.15">
      <c r="A406" s="242"/>
      <c r="B406" s="242"/>
      <c r="C406" s="242"/>
      <c r="D406" s="256"/>
      <c r="E406" s="242"/>
      <c r="F406" s="257"/>
      <c r="G406" s="242"/>
      <c r="H406" s="257"/>
      <c r="I406" s="242"/>
    </row>
    <row r="407" spans="1:9" ht="15" customHeight="1" x14ac:dyDescent="0.15">
      <c r="A407" s="242"/>
      <c r="B407" s="242"/>
      <c r="C407" s="242"/>
      <c r="D407" s="256"/>
      <c r="E407" s="242"/>
      <c r="F407" s="257"/>
      <c r="G407" s="242"/>
      <c r="H407" s="257"/>
      <c r="I407" s="242"/>
    </row>
    <row r="408" spans="1:9" ht="15" customHeight="1" x14ac:dyDescent="0.15">
      <c r="A408" s="242"/>
      <c r="B408" s="242"/>
      <c r="C408" s="242"/>
      <c r="D408" s="256"/>
      <c r="E408" s="242"/>
      <c r="F408" s="257"/>
      <c r="G408" s="242"/>
      <c r="H408" s="257"/>
      <c r="I408" s="242"/>
    </row>
    <row r="409" spans="1:9" ht="15" customHeight="1" x14ac:dyDescent="0.15">
      <c r="A409" s="242"/>
      <c r="B409" s="242"/>
      <c r="C409" s="242"/>
      <c r="D409" s="256"/>
      <c r="E409" s="242"/>
      <c r="F409" s="257"/>
      <c r="G409" s="242"/>
      <c r="H409" s="257"/>
      <c r="I409" s="242"/>
    </row>
    <row r="410" spans="1:9" ht="15" customHeight="1" x14ac:dyDescent="0.15">
      <c r="A410" s="242"/>
      <c r="B410" s="242"/>
      <c r="C410" s="242"/>
      <c r="D410" s="256"/>
      <c r="E410" s="242"/>
      <c r="F410" s="257"/>
      <c r="G410" s="242"/>
      <c r="H410" s="257"/>
      <c r="I410" s="242"/>
    </row>
    <row r="411" spans="1:9" ht="15" customHeight="1" x14ac:dyDescent="0.15">
      <c r="A411" s="242"/>
      <c r="B411" s="242"/>
      <c r="C411" s="242"/>
      <c r="D411" s="256"/>
      <c r="E411" s="242"/>
      <c r="F411" s="257"/>
      <c r="G411" s="242"/>
      <c r="H411" s="257"/>
      <c r="I411" s="242"/>
    </row>
    <row r="412" spans="1:9" ht="15" customHeight="1" x14ac:dyDescent="0.15">
      <c r="A412" s="242"/>
      <c r="B412" s="242"/>
      <c r="C412" s="242"/>
      <c r="D412" s="256"/>
      <c r="E412" s="242"/>
      <c r="F412" s="257"/>
      <c r="G412" s="242"/>
      <c r="H412" s="257"/>
      <c r="I412" s="242"/>
    </row>
    <row r="413" spans="1:9" ht="15" customHeight="1" x14ac:dyDescent="0.15">
      <c r="A413" s="242"/>
      <c r="B413" s="242"/>
      <c r="C413" s="242"/>
      <c r="D413" s="256"/>
      <c r="E413" s="242"/>
      <c r="F413" s="257"/>
      <c r="G413" s="242"/>
      <c r="H413" s="257"/>
      <c r="I413" s="242"/>
    </row>
    <row r="414" spans="1:9" ht="15" customHeight="1" x14ac:dyDescent="0.15">
      <c r="A414" s="242"/>
      <c r="B414" s="242"/>
      <c r="C414" s="242"/>
      <c r="D414" s="256"/>
      <c r="E414" s="242"/>
      <c r="F414" s="257"/>
      <c r="G414" s="242"/>
      <c r="H414" s="257"/>
      <c r="I414" s="242"/>
    </row>
    <row r="415" spans="1:9" ht="15" customHeight="1" x14ac:dyDescent="0.15">
      <c r="A415" s="242"/>
      <c r="B415" s="242"/>
      <c r="C415" s="242"/>
      <c r="D415" s="256"/>
      <c r="E415" s="242"/>
      <c r="F415" s="257"/>
      <c r="G415" s="242"/>
      <c r="H415" s="257"/>
      <c r="I415" s="242"/>
    </row>
    <row r="416" spans="1:9" ht="15" customHeight="1" x14ac:dyDescent="0.15">
      <c r="A416" s="242"/>
      <c r="B416" s="242"/>
      <c r="C416" s="242"/>
      <c r="D416" s="256"/>
      <c r="E416" s="242"/>
      <c r="F416" s="257"/>
      <c r="G416" s="242"/>
      <c r="H416" s="257"/>
      <c r="I416" s="242"/>
    </row>
    <row r="417" spans="1:9" ht="15" customHeight="1" x14ac:dyDescent="0.15">
      <c r="A417" s="242"/>
      <c r="B417" s="242"/>
      <c r="C417" s="242"/>
      <c r="D417" s="256"/>
      <c r="E417" s="242"/>
      <c r="F417" s="257"/>
      <c r="G417" s="242"/>
      <c r="H417" s="257"/>
      <c r="I417" s="242"/>
    </row>
    <row r="418" spans="1:9" ht="15" customHeight="1" x14ac:dyDescent="0.15">
      <c r="A418" s="242"/>
      <c r="B418" s="242"/>
      <c r="C418" s="242"/>
      <c r="D418" s="256"/>
      <c r="E418" s="242"/>
      <c r="F418" s="257"/>
      <c r="G418" s="242"/>
      <c r="H418" s="257"/>
      <c r="I418" s="242"/>
    </row>
    <row r="419" spans="1:9" ht="15" customHeight="1" x14ac:dyDescent="0.15">
      <c r="A419" s="242"/>
      <c r="B419" s="242"/>
      <c r="C419" s="242"/>
      <c r="D419" s="256"/>
      <c r="E419" s="242"/>
      <c r="F419" s="257"/>
      <c r="G419" s="242"/>
      <c r="H419" s="257"/>
      <c r="I419" s="242"/>
    </row>
    <row r="420" spans="1:9" ht="15" customHeight="1" x14ac:dyDescent="0.15">
      <c r="A420" s="242"/>
      <c r="B420" s="242"/>
      <c r="C420" s="242"/>
      <c r="D420" s="256"/>
      <c r="E420" s="242"/>
      <c r="F420" s="257"/>
      <c r="G420" s="242"/>
      <c r="H420" s="257"/>
      <c r="I420" s="242"/>
    </row>
    <row r="421" spans="1:9" ht="15" customHeight="1" x14ac:dyDescent="0.15">
      <c r="A421" s="242"/>
      <c r="B421" s="242"/>
      <c r="C421" s="242"/>
      <c r="D421" s="256"/>
      <c r="E421" s="242"/>
      <c r="F421" s="257"/>
      <c r="G421" s="242"/>
      <c r="H421" s="257"/>
      <c r="I421" s="242"/>
    </row>
    <row r="422" spans="1:9" ht="15" customHeight="1" x14ac:dyDescent="0.15">
      <c r="A422" s="242"/>
      <c r="B422" s="242"/>
      <c r="C422" s="242"/>
      <c r="D422" s="256"/>
      <c r="E422" s="242"/>
      <c r="F422" s="257"/>
      <c r="G422" s="242"/>
      <c r="H422" s="257"/>
      <c r="I422" s="242"/>
    </row>
    <row r="423" spans="1:9" ht="15" customHeight="1" x14ac:dyDescent="0.15">
      <c r="A423" s="242"/>
      <c r="B423" s="242"/>
      <c r="C423" s="242"/>
      <c r="D423" s="256"/>
      <c r="E423" s="242"/>
      <c r="F423" s="257"/>
      <c r="G423" s="242"/>
      <c r="H423" s="257"/>
      <c r="I423" s="242"/>
    </row>
    <row r="424" spans="1:9" ht="15" customHeight="1" x14ac:dyDescent="0.15">
      <c r="A424" s="242"/>
      <c r="B424" s="242"/>
      <c r="C424" s="242"/>
      <c r="D424" s="256"/>
      <c r="E424" s="242"/>
      <c r="F424" s="257"/>
      <c r="G424" s="242"/>
      <c r="H424" s="257"/>
      <c r="I424" s="242"/>
    </row>
    <row r="425" spans="1:9" ht="15" customHeight="1" x14ac:dyDescent="0.15">
      <c r="A425" s="242"/>
      <c r="B425" s="242"/>
      <c r="C425" s="242"/>
      <c r="D425" s="256"/>
      <c r="E425" s="242"/>
      <c r="F425" s="257"/>
      <c r="G425" s="242"/>
      <c r="H425" s="257"/>
      <c r="I425" s="242"/>
    </row>
    <row r="426" spans="1:9" ht="15" customHeight="1" x14ac:dyDescent="0.15">
      <c r="A426" s="242"/>
      <c r="B426" s="242"/>
      <c r="C426" s="242"/>
      <c r="D426" s="256"/>
      <c r="E426" s="242"/>
      <c r="F426" s="257"/>
      <c r="G426" s="242"/>
      <c r="H426" s="257"/>
      <c r="I426" s="242"/>
    </row>
    <row r="427" spans="1:9" ht="15" customHeight="1" x14ac:dyDescent="0.15">
      <c r="A427" s="242"/>
      <c r="B427" s="242"/>
      <c r="C427" s="242"/>
      <c r="D427" s="256"/>
      <c r="E427" s="242"/>
      <c r="F427" s="257"/>
      <c r="G427" s="242"/>
      <c r="H427" s="257"/>
      <c r="I427" s="242"/>
    </row>
    <row r="428" spans="1:9" ht="15" customHeight="1" x14ac:dyDescent="0.15">
      <c r="A428" s="242"/>
      <c r="B428" s="242"/>
      <c r="C428" s="242"/>
      <c r="D428" s="256"/>
      <c r="E428" s="242"/>
      <c r="F428" s="257"/>
      <c r="G428" s="242"/>
      <c r="H428" s="257"/>
      <c r="I428" s="242"/>
    </row>
    <row r="429" spans="1:9" ht="15" customHeight="1" x14ac:dyDescent="0.15">
      <c r="A429" s="242"/>
      <c r="B429" s="242"/>
      <c r="C429" s="242"/>
      <c r="D429" s="256"/>
      <c r="E429" s="242"/>
      <c r="F429" s="257"/>
      <c r="G429" s="242"/>
      <c r="H429" s="257"/>
      <c r="I429" s="242"/>
    </row>
    <row r="430" spans="1:9" ht="15" customHeight="1" x14ac:dyDescent="0.15">
      <c r="A430" s="242"/>
      <c r="B430" s="242"/>
      <c r="C430" s="242"/>
      <c r="D430" s="256"/>
      <c r="E430" s="242"/>
      <c r="F430" s="257"/>
      <c r="G430" s="242"/>
      <c r="H430" s="257"/>
      <c r="I430" s="242"/>
    </row>
    <row r="431" spans="1:9" ht="15" customHeight="1" x14ac:dyDescent="0.15">
      <c r="A431" s="242"/>
      <c r="B431" s="242"/>
      <c r="C431" s="242"/>
      <c r="D431" s="256"/>
      <c r="E431" s="242"/>
      <c r="F431" s="257"/>
      <c r="G431" s="242"/>
      <c r="H431" s="257"/>
      <c r="I431" s="242"/>
    </row>
    <row r="432" spans="1:9" ht="15" customHeight="1" x14ac:dyDescent="0.15">
      <c r="A432" s="242"/>
      <c r="B432" s="242"/>
      <c r="C432" s="242"/>
      <c r="D432" s="256"/>
      <c r="E432" s="242"/>
      <c r="F432" s="257"/>
      <c r="G432" s="242"/>
      <c r="H432" s="257"/>
      <c r="I432" s="242"/>
    </row>
    <row r="433" spans="1:9" ht="15" customHeight="1" x14ac:dyDescent="0.15">
      <c r="A433" s="242"/>
      <c r="B433" s="242"/>
      <c r="C433" s="242"/>
      <c r="D433" s="256"/>
      <c r="E433" s="242"/>
      <c r="F433" s="257"/>
      <c r="G433" s="242"/>
      <c r="H433" s="257"/>
      <c r="I433" s="242"/>
    </row>
    <row r="434" spans="1:9" ht="15" customHeight="1" x14ac:dyDescent="0.15">
      <c r="A434" s="242"/>
      <c r="B434" s="242"/>
      <c r="C434" s="242"/>
      <c r="D434" s="256"/>
      <c r="E434" s="242"/>
      <c r="F434" s="257"/>
      <c r="G434" s="242"/>
      <c r="H434" s="257"/>
      <c r="I434" s="242"/>
    </row>
    <row r="435" spans="1:9" ht="15" customHeight="1" x14ac:dyDescent="0.15">
      <c r="A435" s="242"/>
      <c r="B435" s="242"/>
      <c r="C435" s="242"/>
      <c r="D435" s="256"/>
      <c r="E435" s="242"/>
      <c r="F435" s="257"/>
      <c r="G435" s="242"/>
      <c r="H435" s="257"/>
      <c r="I435" s="242"/>
    </row>
    <row r="436" spans="1:9" ht="15" customHeight="1" x14ac:dyDescent="0.15">
      <c r="A436" s="242"/>
      <c r="B436" s="242"/>
      <c r="C436" s="242"/>
      <c r="D436" s="256"/>
      <c r="E436" s="242"/>
      <c r="F436" s="257"/>
      <c r="G436" s="242"/>
      <c r="H436" s="257"/>
      <c r="I436" s="242"/>
    </row>
    <row r="437" spans="1:9" ht="15" customHeight="1" x14ac:dyDescent="0.15">
      <c r="A437" s="242"/>
      <c r="B437" s="242"/>
      <c r="C437" s="242"/>
      <c r="D437" s="256"/>
      <c r="E437" s="242"/>
      <c r="F437" s="257"/>
      <c r="G437" s="242"/>
      <c r="H437" s="257"/>
      <c r="I437" s="242"/>
    </row>
    <row r="438" spans="1:9" ht="15" customHeight="1" x14ac:dyDescent="0.15">
      <c r="A438" s="242"/>
      <c r="B438" s="242"/>
      <c r="C438" s="242"/>
      <c r="D438" s="256"/>
      <c r="E438" s="242"/>
      <c r="F438" s="257"/>
      <c r="G438" s="242"/>
      <c r="H438" s="257"/>
      <c r="I438" s="242"/>
    </row>
    <row r="439" spans="1:9" ht="15" customHeight="1" x14ac:dyDescent="0.15">
      <c r="A439" s="242"/>
      <c r="B439" s="242"/>
      <c r="C439" s="242"/>
      <c r="D439" s="256"/>
      <c r="E439" s="242"/>
      <c r="F439" s="257"/>
      <c r="G439" s="242"/>
      <c r="H439" s="257"/>
      <c r="I439" s="242"/>
    </row>
    <row r="440" spans="1:9" ht="15" customHeight="1" x14ac:dyDescent="0.15">
      <c r="A440" s="242"/>
      <c r="B440" s="242"/>
      <c r="C440" s="242"/>
      <c r="D440" s="256"/>
      <c r="E440" s="242"/>
      <c r="F440" s="257"/>
      <c r="G440" s="242"/>
      <c r="H440" s="257"/>
      <c r="I440" s="242"/>
    </row>
    <row r="441" spans="1:9" ht="15" customHeight="1" x14ac:dyDescent="0.15">
      <c r="A441" s="242"/>
      <c r="B441" s="242"/>
      <c r="C441" s="242"/>
      <c r="D441" s="256"/>
      <c r="E441" s="242"/>
      <c r="F441" s="257"/>
      <c r="G441" s="242"/>
      <c r="H441" s="257"/>
      <c r="I441" s="242"/>
    </row>
    <row r="442" spans="1:9" ht="15" customHeight="1" x14ac:dyDescent="0.15">
      <c r="A442" s="242"/>
      <c r="B442" s="242"/>
      <c r="C442" s="242"/>
      <c r="D442" s="256"/>
      <c r="E442" s="242"/>
      <c r="F442" s="257"/>
      <c r="G442" s="242"/>
      <c r="H442" s="257"/>
      <c r="I442" s="242"/>
    </row>
    <row r="443" spans="1:9" ht="15" customHeight="1" x14ac:dyDescent="0.15">
      <c r="A443" s="242"/>
      <c r="B443" s="242"/>
      <c r="C443" s="242"/>
      <c r="D443" s="256"/>
      <c r="E443" s="242"/>
      <c r="F443" s="257"/>
      <c r="G443" s="242"/>
      <c r="H443" s="257"/>
      <c r="I443" s="242"/>
    </row>
    <row r="444" spans="1:9" ht="15" customHeight="1" x14ac:dyDescent="0.15">
      <c r="A444" s="242"/>
      <c r="B444" s="242"/>
      <c r="C444" s="242"/>
      <c r="D444" s="256"/>
      <c r="E444" s="242"/>
      <c r="F444" s="257"/>
      <c r="G444" s="242"/>
      <c r="H444" s="257"/>
      <c r="I444" s="242"/>
    </row>
    <row r="445" spans="1:9" ht="15" customHeight="1" x14ac:dyDescent="0.15">
      <c r="A445" s="242"/>
      <c r="B445" s="242"/>
      <c r="C445" s="242"/>
      <c r="D445" s="256"/>
      <c r="E445" s="242"/>
      <c r="F445" s="257"/>
      <c r="G445" s="242"/>
      <c r="H445" s="257"/>
      <c r="I445" s="242"/>
    </row>
    <row r="446" spans="1:9" ht="15" customHeight="1" x14ac:dyDescent="0.15">
      <c r="A446" s="242"/>
      <c r="B446" s="242"/>
      <c r="C446" s="242"/>
      <c r="D446" s="256"/>
      <c r="E446" s="242"/>
      <c r="F446" s="257"/>
      <c r="G446" s="242"/>
      <c r="H446" s="257"/>
      <c r="I446" s="242"/>
    </row>
    <row r="447" spans="1:9" ht="15" customHeight="1" x14ac:dyDescent="0.15">
      <c r="A447" s="242"/>
      <c r="B447" s="242"/>
      <c r="C447" s="242"/>
      <c r="D447" s="256"/>
      <c r="E447" s="242"/>
      <c r="F447" s="257"/>
      <c r="G447" s="242"/>
      <c r="H447" s="257"/>
      <c r="I447" s="242"/>
    </row>
    <row r="448" spans="1:9" ht="15" customHeight="1" x14ac:dyDescent="0.15">
      <c r="A448" s="242"/>
      <c r="B448" s="242"/>
      <c r="C448" s="242"/>
      <c r="D448" s="256"/>
      <c r="E448" s="242"/>
      <c r="F448" s="257"/>
      <c r="G448" s="242"/>
      <c r="H448" s="257"/>
      <c r="I448" s="242"/>
    </row>
    <row r="449" spans="1:9" ht="15" customHeight="1" x14ac:dyDescent="0.15">
      <c r="A449" s="242"/>
      <c r="B449" s="242"/>
      <c r="C449" s="242"/>
      <c r="D449" s="256"/>
      <c r="E449" s="242"/>
      <c r="F449" s="257"/>
      <c r="G449" s="242"/>
      <c r="H449" s="257"/>
      <c r="I449" s="242"/>
    </row>
    <row r="450" spans="1:9" ht="15" customHeight="1" x14ac:dyDescent="0.15">
      <c r="A450" s="242"/>
      <c r="B450" s="242"/>
      <c r="C450" s="242"/>
      <c r="D450" s="256"/>
      <c r="E450" s="242"/>
      <c r="F450" s="257"/>
      <c r="G450" s="242"/>
      <c r="H450" s="257"/>
      <c r="I450" s="242"/>
    </row>
    <row r="451" spans="1:9" ht="15" customHeight="1" x14ac:dyDescent="0.15">
      <c r="A451" s="242"/>
      <c r="B451" s="242"/>
      <c r="C451" s="242"/>
      <c r="D451" s="256"/>
      <c r="E451" s="242"/>
      <c r="F451" s="257"/>
      <c r="G451" s="242"/>
      <c r="H451" s="257"/>
      <c r="I451" s="242"/>
    </row>
    <row r="452" spans="1:9" ht="15" customHeight="1" x14ac:dyDescent="0.15">
      <c r="A452" s="242"/>
      <c r="B452" s="242"/>
      <c r="C452" s="242"/>
      <c r="D452" s="256"/>
      <c r="E452" s="242"/>
      <c r="F452" s="257"/>
      <c r="G452" s="242"/>
      <c r="H452" s="257"/>
      <c r="I452" s="242"/>
    </row>
    <row r="453" spans="1:9" ht="15" customHeight="1" x14ac:dyDescent="0.15">
      <c r="A453" s="242"/>
      <c r="B453" s="242"/>
      <c r="C453" s="242"/>
      <c r="D453" s="256"/>
      <c r="E453" s="242"/>
      <c r="F453" s="257"/>
      <c r="G453" s="242"/>
      <c r="H453" s="257"/>
      <c r="I453" s="242"/>
    </row>
    <row r="454" spans="1:9" ht="15" customHeight="1" x14ac:dyDescent="0.15">
      <c r="A454" s="242"/>
      <c r="B454" s="242"/>
      <c r="C454" s="242"/>
      <c r="D454" s="256"/>
      <c r="E454" s="242"/>
      <c r="F454" s="257"/>
      <c r="G454" s="242"/>
      <c r="H454" s="257"/>
      <c r="I454" s="242"/>
    </row>
    <row r="455" spans="1:9" ht="15" customHeight="1" x14ac:dyDescent="0.15">
      <c r="A455" s="242"/>
      <c r="B455" s="242"/>
      <c r="C455" s="242"/>
      <c r="D455" s="256"/>
      <c r="E455" s="242"/>
      <c r="F455" s="257"/>
      <c r="G455" s="242"/>
      <c r="H455" s="257"/>
      <c r="I455" s="242"/>
    </row>
    <row r="456" spans="1:9" ht="15" customHeight="1" x14ac:dyDescent="0.15">
      <c r="A456" s="242"/>
      <c r="B456" s="242"/>
      <c r="C456" s="242"/>
      <c r="D456" s="256"/>
      <c r="E456" s="242"/>
      <c r="F456" s="257"/>
      <c r="G456" s="242"/>
      <c r="H456" s="257"/>
      <c r="I456" s="242"/>
    </row>
    <row r="457" spans="1:9" ht="15" customHeight="1" x14ac:dyDescent="0.15">
      <c r="A457" s="242"/>
      <c r="B457" s="242"/>
      <c r="C457" s="242"/>
      <c r="D457" s="256"/>
      <c r="E457" s="242"/>
      <c r="F457" s="257"/>
      <c r="G457" s="242"/>
      <c r="H457" s="257"/>
      <c r="I457" s="242"/>
    </row>
    <row r="458" spans="1:9" ht="15" customHeight="1" x14ac:dyDescent="0.15">
      <c r="A458" s="242"/>
      <c r="B458" s="242"/>
      <c r="C458" s="242"/>
      <c r="D458" s="256"/>
      <c r="E458" s="242"/>
      <c r="F458" s="257"/>
      <c r="G458" s="242"/>
      <c r="H458" s="257"/>
      <c r="I458" s="242"/>
    </row>
    <row r="459" spans="1:9" ht="15" customHeight="1" x14ac:dyDescent="0.15">
      <c r="A459" s="242"/>
      <c r="B459" s="242"/>
      <c r="C459" s="242"/>
      <c r="D459" s="256"/>
      <c r="E459" s="242"/>
      <c r="F459" s="257"/>
      <c r="G459" s="242"/>
      <c r="H459" s="257"/>
      <c r="I459" s="242"/>
    </row>
    <row r="460" spans="1:9" ht="15" customHeight="1" x14ac:dyDescent="0.15">
      <c r="A460" s="242"/>
      <c r="B460" s="242"/>
      <c r="C460" s="242"/>
      <c r="D460" s="256"/>
      <c r="E460" s="242"/>
      <c r="F460" s="257"/>
      <c r="G460" s="242"/>
      <c r="H460" s="257"/>
      <c r="I460" s="242"/>
    </row>
    <row r="461" spans="1:9" ht="15" customHeight="1" x14ac:dyDescent="0.15">
      <c r="A461" s="242"/>
      <c r="B461" s="242"/>
      <c r="C461" s="242"/>
      <c r="D461" s="256"/>
      <c r="E461" s="242"/>
      <c r="F461" s="257"/>
      <c r="G461" s="242"/>
      <c r="H461" s="257"/>
      <c r="I461" s="242"/>
    </row>
    <row r="462" spans="1:9" ht="15" customHeight="1" x14ac:dyDescent="0.15">
      <c r="A462" s="242"/>
      <c r="B462" s="242"/>
      <c r="C462" s="242"/>
      <c r="D462" s="256"/>
      <c r="E462" s="242"/>
      <c r="F462" s="257"/>
      <c r="G462" s="242"/>
      <c r="H462" s="257"/>
      <c r="I462" s="242"/>
    </row>
    <row r="463" spans="1:9" ht="15" customHeight="1" x14ac:dyDescent="0.15">
      <c r="A463" s="242"/>
      <c r="B463" s="242"/>
      <c r="C463" s="242"/>
      <c r="D463" s="256"/>
      <c r="E463" s="242"/>
      <c r="F463" s="257"/>
      <c r="G463" s="242"/>
      <c r="H463" s="257"/>
      <c r="I463" s="242"/>
    </row>
    <row r="464" spans="1:9" ht="15" customHeight="1" x14ac:dyDescent="0.15">
      <c r="A464" s="242"/>
      <c r="B464" s="242"/>
      <c r="C464" s="242"/>
      <c r="D464" s="256"/>
      <c r="E464" s="242"/>
      <c r="F464" s="257"/>
      <c r="G464" s="242"/>
      <c r="H464" s="257"/>
      <c r="I464" s="242"/>
    </row>
    <row r="465" spans="1:9" ht="15" customHeight="1" x14ac:dyDescent="0.15">
      <c r="A465" s="242"/>
      <c r="B465" s="242"/>
      <c r="C465" s="242"/>
      <c r="D465" s="256"/>
      <c r="E465" s="242"/>
      <c r="F465" s="257"/>
      <c r="G465" s="242"/>
      <c r="H465" s="257"/>
      <c r="I465" s="242"/>
    </row>
    <row r="466" spans="1:9" ht="15" customHeight="1" x14ac:dyDescent="0.15">
      <c r="A466" s="242"/>
      <c r="B466" s="242"/>
      <c r="C466" s="242"/>
      <c r="D466" s="256"/>
      <c r="E466" s="242"/>
      <c r="F466" s="257"/>
      <c r="G466" s="242"/>
      <c r="H466" s="257"/>
      <c r="I466" s="242"/>
    </row>
    <row r="467" spans="1:9" ht="15" customHeight="1" x14ac:dyDescent="0.15">
      <c r="A467" s="242"/>
      <c r="B467" s="242"/>
      <c r="C467" s="242"/>
      <c r="D467" s="256"/>
      <c r="E467" s="242"/>
      <c r="F467" s="257"/>
      <c r="G467" s="242"/>
      <c r="H467" s="257"/>
      <c r="I467" s="242"/>
    </row>
    <row r="468" spans="1:9" ht="15" customHeight="1" x14ac:dyDescent="0.15">
      <c r="A468" s="242"/>
      <c r="B468" s="242"/>
      <c r="C468" s="242"/>
      <c r="D468" s="256"/>
      <c r="E468" s="242"/>
      <c r="F468" s="257"/>
      <c r="G468" s="242"/>
      <c r="H468" s="257"/>
      <c r="I468" s="242"/>
    </row>
    <row r="469" spans="1:9" ht="15" customHeight="1" x14ac:dyDescent="0.15">
      <c r="A469" s="242"/>
      <c r="B469" s="242"/>
      <c r="C469" s="242"/>
      <c r="D469" s="256"/>
      <c r="E469" s="242"/>
      <c r="F469" s="257"/>
      <c r="G469" s="242"/>
      <c r="H469" s="257"/>
      <c r="I469" s="242"/>
    </row>
    <row r="470" spans="1:9" ht="15" customHeight="1" x14ac:dyDescent="0.15">
      <c r="A470" s="242"/>
      <c r="B470" s="242"/>
      <c r="C470" s="242"/>
      <c r="D470" s="256"/>
      <c r="E470" s="242"/>
      <c r="F470" s="257"/>
      <c r="G470" s="242"/>
      <c r="H470" s="257"/>
      <c r="I470" s="242"/>
    </row>
    <row r="471" spans="1:9" ht="15" customHeight="1" x14ac:dyDescent="0.15">
      <c r="A471" s="242"/>
      <c r="B471" s="242"/>
      <c r="C471" s="242"/>
      <c r="D471" s="256"/>
      <c r="E471" s="242"/>
      <c r="F471" s="257"/>
      <c r="G471" s="242"/>
      <c r="H471" s="257"/>
      <c r="I471" s="242"/>
    </row>
    <row r="472" spans="1:9" ht="15" customHeight="1" x14ac:dyDescent="0.15">
      <c r="A472" s="242"/>
      <c r="B472" s="242"/>
      <c r="C472" s="242"/>
      <c r="D472" s="256"/>
      <c r="E472" s="242"/>
      <c r="F472" s="257"/>
      <c r="G472" s="242"/>
      <c r="H472" s="257"/>
      <c r="I472" s="242"/>
    </row>
    <row r="473" spans="1:9" ht="15" customHeight="1" x14ac:dyDescent="0.15">
      <c r="A473" s="242"/>
      <c r="B473" s="242"/>
      <c r="C473" s="242"/>
      <c r="D473" s="256"/>
      <c r="E473" s="242"/>
      <c r="F473" s="257"/>
      <c r="G473" s="242"/>
      <c r="H473" s="257"/>
      <c r="I473" s="242"/>
    </row>
    <row r="474" spans="1:9" ht="15" customHeight="1" x14ac:dyDescent="0.15">
      <c r="A474" s="242"/>
      <c r="B474" s="242"/>
      <c r="C474" s="242"/>
      <c r="D474" s="256"/>
      <c r="E474" s="242"/>
      <c r="F474" s="257"/>
      <c r="G474" s="242"/>
      <c r="H474" s="257"/>
      <c r="I474" s="242"/>
    </row>
    <row r="475" spans="1:9" ht="15" customHeight="1" x14ac:dyDescent="0.15">
      <c r="A475" s="242"/>
      <c r="B475" s="242"/>
      <c r="C475" s="242"/>
      <c r="D475" s="256"/>
      <c r="E475" s="242"/>
      <c r="F475" s="257"/>
      <c r="G475" s="242"/>
      <c r="H475" s="257"/>
      <c r="I475" s="242"/>
    </row>
    <row r="476" spans="1:9" ht="15" customHeight="1" x14ac:dyDescent="0.15">
      <c r="A476" s="242"/>
      <c r="B476" s="242"/>
      <c r="C476" s="242"/>
      <c r="D476" s="256"/>
      <c r="E476" s="242"/>
      <c r="F476" s="257"/>
      <c r="G476" s="242"/>
      <c r="H476" s="257"/>
      <c r="I476" s="242"/>
    </row>
    <row r="477" spans="1:9" ht="15" customHeight="1" x14ac:dyDescent="0.15">
      <c r="A477" s="242"/>
      <c r="B477" s="242"/>
      <c r="C477" s="242"/>
      <c r="D477" s="256"/>
      <c r="E477" s="242"/>
      <c r="F477" s="257"/>
      <c r="G477" s="242"/>
      <c r="H477" s="257"/>
      <c r="I477" s="242"/>
    </row>
    <row r="478" spans="1:9" ht="15" customHeight="1" x14ac:dyDescent="0.15">
      <c r="A478" s="242"/>
      <c r="B478" s="242"/>
      <c r="C478" s="242"/>
      <c r="D478" s="256"/>
      <c r="E478" s="242"/>
      <c r="F478" s="257"/>
      <c r="G478" s="242"/>
      <c r="H478" s="257"/>
      <c r="I478" s="242"/>
    </row>
    <row r="479" spans="1:9" ht="15" customHeight="1" x14ac:dyDescent="0.15">
      <c r="A479" s="242"/>
      <c r="B479" s="242"/>
      <c r="C479" s="242"/>
      <c r="D479" s="256"/>
      <c r="E479" s="242"/>
      <c r="F479" s="257"/>
      <c r="G479" s="242"/>
      <c r="H479" s="257"/>
      <c r="I479" s="242"/>
    </row>
    <row r="480" spans="1:9" ht="15" customHeight="1" x14ac:dyDescent="0.15">
      <c r="A480" s="242"/>
      <c r="B480" s="242"/>
      <c r="C480" s="242"/>
      <c r="D480" s="256"/>
      <c r="E480" s="242"/>
      <c r="F480" s="257"/>
      <c r="G480" s="242"/>
      <c r="H480" s="257"/>
      <c r="I480" s="242"/>
    </row>
    <row r="481" spans="1:9" ht="15" customHeight="1" x14ac:dyDescent="0.15">
      <c r="A481" s="242"/>
      <c r="B481" s="242"/>
      <c r="C481" s="242"/>
      <c r="D481" s="256"/>
      <c r="E481" s="242"/>
      <c r="F481" s="257"/>
      <c r="G481" s="242"/>
      <c r="H481" s="257"/>
      <c r="I481" s="242"/>
    </row>
    <row r="482" spans="1:9" ht="15" customHeight="1" x14ac:dyDescent="0.15">
      <c r="A482" s="242"/>
      <c r="B482" s="242"/>
      <c r="C482" s="242"/>
      <c r="D482" s="256"/>
      <c r="E482" s="242"/>
      <c r="F482" s="257"/>
      <c r="G482" s="242"/>
      <c r="H482" s="257"/>
      <c r="I482" s="242"/>
    </row>
    <row r="483" spans="1:9" ht="15" customHeight="1" x14ac:dyDescent="0.15">
      <c r="A483" s="242"/>
      <c r="B483" s="242"/>
      <c r="C483" s="242"/>
      <c r="D483" s="256"/>
      <c r="E483" s="242"/>
      <c r="F483" s="257"/>
      <c r="G483" s="242"/>
      <c r="H483" s="257"/>
      <c r="I483" s="242"/>
    </row>
    <row r="484" spans="1:9" ht="15" customHeight="1" x14ac:dyDescent="0.15">
      <c r="A484" s="242"/>
      <c r="B484" s="242"/>
      <c r="C484" s="242"/>
      <c r="D484" s="256"/>
      <c r="E484" s="242"/>
      <c r="F484" s="257"/>
      <c r="G484" s="242"/>
      <c r="H484" s="257"/>
      <c r="I484" s="242"/>
    </row>
    <row r="485" spans="1:9" ht="15" customHeight="1" x14ac:dyDescent="0.15">
      <c r="A485" s="242"/>
      <c r="B485" s="242"/>
      <c r="C485" s="242"/>
      <c r="D485" s="256"/>
      <c r="E485" s="242"/>
      <c r="F485" s="257"/>
      <c r="G485" s="242"/>
      <c r="H485" s="257"/>
      <c r="I485" s="242"/>
    </row>
    <row r="486" spans="1:9" ht="15" customHeight="1" x14ac:dyDescent="0.15">
      <c r="A486" s="242"/>
      <c r="B486" s="242"/>
      <c r="C486" s="242"/>
      <c r="D486" s="256"/>
      <c r="E486" s="242"/>
      <c r="F486" s="257"/>
      <c r="G486" s="242"/>
      <c r="H486" s="257"/>
      <c r="I486" s="242"/>
    </row>
    <row r="487" spans="1:9" ht="15" customHeight="1" x14ac:dyDescent="0.15">
      <c r="A487" s="242"/>
      <c r="B487" s="242"/>
      <c r="C487" s="242"/>
      <c r="D487" s="256"/>
      <c r="E487" s="242"/>
      <c r="F487" s="257"/>
      <c r="G487" s="242"/>
      <c r="H487" s="257"/>
      <c r="I487" s="242"/>
    </row>
    <row r="488" spans="1:9" ht="15" customHeight="1" x14ac:dyDescent="0.15">
      <c r="A488" s="242"/>
      <c r="B488" s="242"/>
      <c r="C488" s="242"/>
      <c r="D488" s="256"/>
      <c r="E488" s="242"/>
      <c r="F488" s="257"/>
      <c r="G488" s="242"/>
      <c r="H488" s="257"/>
      <c r="I488" s="242"/>
    </row>
    <row r="489" spans="1:9" ht="15" customHeight="1" x14ac:dyDescent="0.15">
      <c r="A489" s="242"/>
      <c r="B489" s="242"/>
      <c r="C489" s="242"/>
      <c r="D489" s="256"/>
      <c r="E489" s="242"/>
      <c r="F489" s="257"/>
      <c r="G489" s="242"/>
      <c r="H489" s="257"/>
      <c r="I489" s="242"/>
    </row>
    <row r="490" spans="1:9" ht="15" customHeight="1" x14ac:dyDescent="0.15">
      <c r="A490" s="242"/>
      <c r="B490" s="242"/>
      <c r="C490" s="242"/>
      <c r="D490" s="256"/>
      <c r="E490" s="242"/>
      <c r="F490" s="257"/>
      <c r="G490" s="242"/>
      <c r="H490" s="257"/>
      <c r="I490" s="242"/>
    </row>
    <row r="491" spans="1:9" ht="15" customHeight="1" x14ac:dyDescent="0.15">
      <c r="A491" s="242"/>
      <c r="B491" s="242"/>
      <c r="C491" s="242"/>
      <c r="D491" s="256"/>
      <c r="E491" s="242"/>
      <c r="F491" s="257"/>
      <c r="G491" s="242"/>
      <c r="H491" s="257"/>
      <c r="I491" s="242"/>
    </row>
    <row r="492" spans="1:9" ht="15" customHeight="1" x14ac:dyDescent="0.15">
      <c r="A492" s="242"/>
      <c r="B492" s="242"/>
      <c r="C492" s="242"/>
      <c r="D492" s="256"/>
      <c r="E492" s="242"/>
      <c r="F492" s="257"/>
      <c r="G492" s="242"/>
      <c r="H492" s="257"/>
      <c r="I492" s="242"/>
    </row>
    <row r="493" spans="1:9" ht="15" customHeight="1" x14ac:dyDescent="0.15">
      <c r="A493" s="242"/>
      <c r="B493" s="242"/>
      <c r="C493" s="242"/>
      <c r="D493" s="256"/>
      <c r="E493" s="242"/>
      <c r="F493" s="257"/>
      <c r="G493" s="242"/>
      <c r="H493" s="257"/>
      <c r="I493" s="242"/>
    </row>
    <row r="494" spans="1:9" ht="15" customHeight="1" x14ac:dyDescent="0.15">
      <c r="A494" s="242"/>
      <c r="B494" s="242"/>
      <c r="C494" s="242"/>
      <c r="D494" s="256"/>
      <c r="E494" s="242"/>
      <c r="F494" s="257"/>
      <c r="G494" s="242"/>
      <c r="H494" s="257"/>
      <c r="I494" s="242"/>
    </row>
    <row r="495" spans="1:9" ht="15" customHeight="1" x14ac:dyDescent="0.15">
      <c r="A495" s="242"/>
      <c r="B495" s="242"/>
      <c r="C495" s="242"/>
      <c r="D495" s="256"/>
      <c r="E495" s="242"/>
      <c r="F495" s="257"/>
      <c r="G495" s="242"/>
      <c r="H495" s="257"/>
      <c r="I495" s="242"/>
    </row>
    <row r="496" spans="1:9" ht="15" customHeight="1" x14ac:dyDescent="0.15">
      <c r="A496" s="242"/>
      <c r="B496" s="242"/>
      <c r="C496" s="242"/>
      <c r="D496" s="256"/>
      <c r="E496" s="242"/>
      <c r="F496" s="257"/>
      <c r="G496" s="242"/>
      <c r="H496" s="257"/>
      <c r="I496" s="242"/>
    </row>
    <row r="497" spans="1:9" ht="15" customHeight="1" x14ac:dyDescent="0.15">
      <c r="A497" s="242"/>
      <c r="B497" s="242"/>
      <c r="C497" s="242"/>
      <c r="D497" s="256"/>
      <c r="E497" s="242"/>
      <c r="F497" s="257"/>
      <c r="G497" s="242"/>
      <c r="H497" s="257"/>
      <c r="I497" s="242"/>
    </row>
    <row r="498" spans="1:9" ht="15" customHeight="1" x14ac:dyDescent="0.15">
      <c r="A498" s="242"/>
      <c r="B498" s="242"/>
      <c r="C498" s="242"/>
      <c r="D498" s="256"/>
      <c r="E498" s="242"/>
      <c r="F498" s="257"/>
      <c r="G498" s="242"/>
      <c r="H498" s="257"/>
      <c r="I498" s="242"/>
    </row>
    <row r="499" spans="1:9" ht="15" customHeight="1" x14ac:dyDescent="0.15">
      <c r="A499" s="242"/>
      <c r="B499" s="242"/>
      <c r="C499" s="242"/>
      <c r="D499" s="256"/>
      <c r="E499" s="242"/>
      <c r="F499" s="257"/>
      <c r="G499" s="242"/>
      <c r="H499" s="257"/>
      <c r="I499" s="242"/>
    </row>
    <row r="500" spans="1:9" ht="15" customHeight="1" x14ac:dyDescent="0.15">
      <c r="A500" s="242"/>
      <c r="B500" s="242"/>
      <c r="C500" s="242"/>
      <c r="D500" s="256"/>
      <c r="E500" s="242"/>
      <c r="F500" s="257"/>
      <c r="G500" s="242"/>
      <c r="H500" s="257"/>
      <c r="I500" s="242"/>
    </row>
    <row r="501" spans="1:9" ht="15" customHeight="1" x14ac:dyDescent="0.15">
      <c r="A501" s="242"/>
      <c r="B501" s="242"/>
      <c r="C501" s="242"/>
      <c r="D501" s="256"/>
      <c r="E501" s="242"/>
      <c r="F501" s="257"/>
      <c r="G501" s="242"/>
      <c r="H501" s="257"/>
      <c r="I501" s="242"/>
    </row>
    <row r="502" spans="1:9" ht="15" customHeight="1" x14ac:dyDescent="0.15">
      <c r="A502" s="242"/>
      <c r="B502" s="242"/>
      <c r="C502" s="242"/>
      <c r="D502" s="256"/>
      <c r="E502" s="242"/>
      <c r="F502" s="257"/>
      <c r="G502" s="242"/>
      <c r="H502" s="257"/>
      <c r="I502" s="242"/>
    </row>
    <row r="503" spans="1:9" ht="15" customHeight="1" x14ac:dyDescent="0.15">
      <c r="A503" s="242"/>
      <c r="B503" s="242"/>
      <c r="C503" s="242"/>
      <c r="D503" s="256"/>
      <c r="E503" s="242"/>
      <c r="F503" s="257"/>
      <c r="G503" s="242"/>
      <c r="H503" s="257"/>
      <c r="I503" s="242"/>
    </row>
    <row r="504" spans="1:9" ht="15" customHeight="1" x14ac:dyDescent="0.15">
      <c r="A504" s="242"/>
      <c r="B504" s="242"/>
      <c r="C504" s="242"/>
      <c r="D504" s="256"/>
      <c r="E504" s="242"/>
      <c r="F504" s="257"/>
      <c r="G504" s="242"/>
      <c r="H504" s="257"/>
      <c r="I504" s="242"/>
    </row>
    <row r="505" spans="1:9" ht="15" customHeight="1" x14ac:dyDescent="0.15">
      <c r="A505" s="242"/>
      <c r="B505" s="242"/>
      <c r="C505" s="242"/>
      <c r="D505" s="256"/>
      <c r="E505" s="242"/>
      <c r="F505" s="257"/>
      <c r="G505" s="242"/>
      <c r="H505" s="257"/>
      <c r="I505" s="242"/>
    </row>
    <row r="506" spans="1:9" ht="15" customHeight="1" x14ac:dyDescent="0.15">
      <c r="A506" s="242"/>
      <c r="B506" s="242"/>
      <c r="C506" s="242"/>
      <c r="D506" s="256"/>
      <c r="E506" s="242"/>
      <c r="F506" s="257"/>
      <c r="G506" s="242"/>
      <c r="H506" s="257"/>
      <c r="I506" s="242"/>
    </row>
    <row r="507" spans="1:9" ht="15" customHeight="1" x14ac:dyDescent="0.15">
      <c r="A507" s="242"/>
      <c r="B507" s="242"/>
      <c r="C507" s="242"/>
      <c r="D507" s="256"/>
      <c r="E507" s="242"/>
      <c r="F507" s="257"/>
      <c r="G507" s="242"/>
      <c r="H507" s="257"/>
      <c r="I507" s="242"/>
    </row>
    <row r="508" spans="1:9" ht="15" customHeight="1" x14ac:dyDescent="0.15">
      <c r="A508" s="242"/>
      <c r="B508" s="242"/>
      <c r="C508" s="242"/>
      <c r="D508" s="256"/>
      <c r="E508" s="242"/>
      <c r="F508" s="257"/>
      <c r="G508" s="242"/>
      <c r="H508" s="257"/>
      <c r="I508" s="242"/>
    </row>
    <row r="509" spans="1:9" ht="15" customHeight="1" x14ac:dyDescent="0.15">
      <c r="A509" s="242"/>
      <c r="B509" s="242"/>
      <c r="C509" s="242"/>
      <c r="D509" s="256"/>
      <c r="E509" s="242"/>
      <c r="F509" s="257"/>
      <c r="G509" s="242"/>
      <c r="H509" s="257"/>
      <c r="I509" s="242"/>
    </row>
    <row r="510" spans="1:9" ht="15" customHeight="1" x14ac:dyDescent="0.15">
      <c r="A510" s="242"/>
      <c r="B510" s="242"/>
      <c r="C510" s="242"/>
      <c r="D510" s="256"/>
      <c r="E510" s="242"/>
      <c r="F510" s="257"/>
      <c r="G510" s="242"/>
      <c r="H510" s="257"/>
      <c r="I510" s="242"/>
    </row>
    <row r="511" spans="1:9" ht="15" customHeight="1" x14ac:dyDescent="0.15">
      <c r="A511" s="242"/>
      <c r="B511" s="242"/>
      <c r="C511" s="242"/>
      <c r="D511" s="256"/>
      <c r="E511" s="242"/>
      <c r="F511" s="257"/>
      <c r="G511" s="242"/>
      <c r="H511" s="257"/>
      <c r="I511" s="242"/>
    </row>
    <row r="512" spans="1:9" ht="15" customHeight="1" x14ac:dyDescent="0.15">
      <c r="A512" s="242"/>
      <c r="B512" s="242"/>
      <c r="C512" s="242"/>
      <c r="D512" s="256"/>
      <c r="E512" s="242"/>
      <c r="F512" s="257"/>
      <c r="G512" s="242"/>
      <c r="H512" s="257"/>
      <c r="I512" s="242"/>
    </row>
    <row r="513" spans="1:9" ht="15" customHeight="1" x14ac:dyDescent="0.15">
      <c r="A513" s="242"/>
      <c r="B513" s="242"/>
      <c r="C513" s="242"/>
      <c r="D513" s="256"/>
      <c r="E513" s="242"/>
      <c r="F513" s="257"/>
      <c r="G513" s="242"/>
      <c r="H513" s="257"/>
      <c r="I513" s="242"/>
    </row>
    <row r="514" spans="1:9" ht="15" customHeight="1" x14ac:dyDescent="0.15">
      <c r="A514" s="242"/>
      <c r="B514" s="242"/>
      <c r="C514" s="242"/>
      <c r="D514" s="256"/>
      <c r="E514" s="242"/>
      <c r="F514" s="257"/>
      <c r="G514" s="242"/>
      <c r="H514" s="257"/>
      <c r="I514" s="242"/>
    </row>
    <row r="515" spans="1:9" ht="15" customHeight="1" x14ac:dyDescent="0.15">
      <c r="A515" s="242"/>
      <c r="B515" s="242"/>
      <c r="C515" s="242"/>
      <c r="D515" s="256"/>
      <c r="E515" s="242"/>
      <c r="F515" s="257"/>
      <c r="G515" s="242"/>
      <c r="H515" s="257"/>
      <c r="I515" s="242"/>
    </row>
    <row r="516" spans="1:9" ht="15" customHeight="1" x14ac:dyDescent="0.15">
      <c r="A516" s="242"/>
      <c r="B516" s="242"/>
      <c r="C516" s="242"/>
      <c r="D516" s="256"/>
      <c r="E516" s="242"/>
      <c r="F516" s="257"/>
      <c r="G516" s="242"/>
      <c r="H516" s="257"/>
      <c r="I516" s="242"/>
    </row>
    <row r="517" spans="1:9" ht="15" customHeight="1" x14ac:dyDescent="0.15">
      <c r="A517" s="242"/>
      <c r="B517" s="242"/>
      <c r="C517" s="242"/>
      <c r="D517" s="256"/>
      <c r="E517" s="242"/>
      <c r="F517" s="257"/>
      <c r="G517" s="242"/>
      <c r="H517" s="257"/>
      <c r="I517" s="242"/>
    </row>
    <row r="518" spans="1:9" ht="15" customHeight="1" x14ac:dyDescent="0.15">
      <c r="A518" s="242"/>
      <c r="B518" s="242"/>
      <c r="C518" s="242"/>
      <c r="D518" s="256"/>
      <c r="E518" s="242"/>
      <c r="F518" s="257"/>
      <c r="G518" s="242"/>
      <c r="H518" s="257"/>
      <c r="I518" s="242"/>
    </row>
    <row r="519" spans="1:9" ht="15" customHeight="1" x14ac:dyDescent="0.15">
      <c r="A519" s="242"/>
      <c r="B519" s="242"/>
      <c r="C519" s="242"/>
      <c r="D519" s="256"/>
      <c r="E519" s="242"/>
      <c r="F519" s="257"/>
      <c r="G519" s="242"/>
      <c r="H519" s="257"/>
      <c r="I519" s="242"/>
    </row>
    <row r="520" spans="1:9" ht="15" customHeight="1" x14ac:dyDescent="0.15">
      <c r="A520" s="242"/>
      <c r="B520" s="242"/>
      <c r="C520" s="242"/>
      <c r="D520" s="256"/>
      <c r="E520" s="242"/>
      <c r="F520" s="257"/>
      <c r="G520" s="242"/>
      <c r="H520" s="257"/>
      <c r="I520" s="242"/>
    </row>
    <row r="521" spans="1:9" ht="15" customHeight="1" x14ac:dyDescent="0.15">
      <c r="A521" s="242"/>
      <c r="B521" s="242"/>
      <c r="C521" s="242"/>
      <c r="D521" s="256"/>
      <c r="E521" s="242"/>
      <c r="F521" s="257"/>
      <c r="G521" s="242"/>
      <c r="H521" s="257"/>
      <c r="I521" s="242"/>
    </row>
    <row r="522" spans="1:9" ht="15" customHeight="1" x14ac:dyDescent="0.15">
      <c r="A522" s="242"/>
      <c r="B522" s="242"/>
      <c r="C522" s="242"/>
      <c r="D522" s="256"/>
      <c r="E522" s="242"/>
      <c r="F522" s="257"/>
      <c r="G522" s="242"/>
      <c r="H522" s="257"/>
      <c r="I522" s="242"/>
    </row>
    <row r="523" spans="1:9" ht="15" customHeight="1" x14ac:dyDescent="0.15">
      <c r="A523" s="242"/>
      <c r="B523" s="242"/>
      <c r="C523" s="242"/>
      <c r="D523" s="256"/>
      <c r="E523" s="242"/>
      <c r="F523" s="257"/>
      <c r="G523" s="242"/>
      <c r="H523" s="257"/>
      <c r="I523" s="242"/>
    </row>
    <row r="524" spans="1:9" ht="15" customHeight="1" x14ac:dyDescent="0.15">
      <c r="A524" s="242"/>
      <c r="B524" s="242"/>
      <c r="C524" s="242"/>
      <c r="D524" s="256"/>
      <c r="E524" s="242"/>
      <c r="F524" s="257"/>
      <c r="G524" s="242"/>
      <c r="H524" s="257"/>
      <c r="I524" s="242"/>
    </row>
    <row r="525" spans="1:9" ht="15" customHeight="1" x14ac:dyDescent="0.15">
      <c r="A525" s="242"/>
      <c r="B525" s="242"/>
      <c r="C525" s="242"/>
      <c r="D525" s="256"/>
      <c r="E525" s="242"/>
      <c r="F525" s="257"/>
      <c r="G525" s="242"/>
      <c r="H525" s="257"/>
      <c r="I525" s="242"/>
    </row>
    <row r="526" spans="1:9" ht="15" customHeight="1" x14ac:dyDescent="0.15">
      <c r="A526" s="242"/>
      <c r="B526" s="242"/>
      <c r="C526" s="242"/>
      <c r="D526" s="256"/>
      <c r="E526" s="242"/>
      <c r="F526" s="257"/>
      <c r="G526" s="242"/>
      <c r="H526" s="257"/>
      <c r="I526" s="242"/>
    </row>
    <row r="527" spans="1:9" ht="15" customHeight="1" x14ac:dyDescent="0.15">
      <c r="A527" s="242"/>
      <c r="B527" s="242"/>
      <c r="C527" s="242"/>
      <c r="D527" s="256"/>
      <c r="E527" s="242"/>
      <c r="F527" s="257"/>
      <c r="G527" s="242"/>
      <c r="H527" s="257"/>
      <c r="I527" s="242"/>
    </row>
    <row r="528" spans="1:9" ht="15" customHeight="1" x14ac:dyDescent="0.15">
      <c r="A528" s="242"/>
      <c r="B528" s="242"/>
      <c r="C528" s="242"/>
      <c r="D528" s="256"/>
      <c r="E528" s="242"/>
      <c r="F528" s="257"/>
      <c r="G528" s="242"/>
      <c r="H528" s="257"/>
      <c r="I528" s="242"/>
    </row>
    <row r="529" spans="1:9" ht="15" customHeight="1" x14ac:dyDescent="0.15">
      <c r="A529" s="242"/>
      <c r="B529" s="242"/>
      <c r="C529" s="242"/>
      <c r="D529" s="256"/>
      <c r="E529" s="242"/>
      <c r="F529" s="257"/>
      <c r="G529" s="242"/>
      <c r="H529" s="257"/>
      <c r="I529" s="242"/>
    </row>
    <row r="530" spans="1:9" ht="15" customHeight="1" x14ac:dyDescent="0.15">
      <c r="A530" s="242"/>
      <c r="B530" s="242"/>
      <c r="C530" s="242"/>
      <c r="D530" s="256"/>
      <c r="E530" s="242"/>
      <c r="F530" s="257"/>
      <c r="G530" s="242"/>
      <c r="H530" s="257"/>
      <c r="I530" s="242"/>
    </row>
    <row r="531" spans="1:9" ht="15" customHeight="1" x14ac:dyDescent="0.15">
      <c r="A531" s="242"/>
      <c r="B531" s="242"/>
      <c r="C531" s="242"/>
      <c r="D531" s="256"/>
      <c r="E531" s="242"/>
      <c r="F531" s="257"/>
      <c r="G531" s="242"/>
      <c r="H531" s="257"/>
      <c r="I531" s="242"/>
    </row>
    <row r="532" spans="1:9" ht="15" customHeight="1" x14ac:dyDescent="0.15">
      <c r="A532" s="242"/>
      <c r="B532" s="242"/>
      <c r="C532" s="242"/>
      <c r="D532" s="256"/>
      <c r="E532" s="242"/>
      <c r="F532" s="257"/>
      <c r="G532" s="242"/>
      <c r="H532" s="257"/>
      <c r="I532" s="242"/>
    </row>
    <row r="533" spans="1:9" ht="15" customHeight="1" x14ac:dyDescent="0.15">
      <c r="A533" s="242"/>
      <c r="B533" s="242"/>
      <c r="C533" s="242"/>
      <c r="D533" s="256"/>
      <c r="E533" s="242"/>
      <c r="F533" s="257"/>
      <c r="G533" s="242"/>
      <c r="H533" s="257"/>
      <c r="I533" s="242"/>
    </row>
    <row r="534" spans="1:9" ht="15" customHeight="1" x14ac:dyDescent="0.15">
      <c r="A534" s="242"/>
      <c r="B534" s="242"/>
      <c r="C534" s="242"/>
      <c r="D534" s="256"/>
      <c r="E534" s="242"/>
      <c r="F534" s="257"/>
      <c r="G534" s="242"/>
      <c r="H534" s="257"/>
      <c r="I534" s="242"/>
    </row>
    <row r="535" spans="1:9" ht="15" customHeight="1" x14ac:dyDescent="0.15">
      <c r="A535" s="242"/>
      <c r="B535" s="242"/>
      <c r="C535" s="242"/>
      <c r="D535" s="256"/>
      <c r="E535" s="242"/>
      <c r="F535" s="257"/>
      <c r="G535" s="242"/>
      <c r="H535" s="257"/>
      <c r="I535" s="242"/>
    </row>
    <row r="536" spans="1:9" ht="15" customHeight="1" x14ac:dyDescent="0.15">
      <c r="A536" s="242"/>
      <c r="B536" s="242"/>
      <c r="C536" s="242"/>
      <c r="D536" s="256"/>
      <c r="E536" s="242"/>
      <c r="F536" s="257"/>
      <c r="G536" s="242"/>
      <c r="H536" s="257"/>
      <c r="I536" s="242"/>
    </row>
    <row r="537" spans="1:9" ht="15" customHeight="1" x14ac:dyDescent="0.15">
      <c r="A537" s="242"/>
      <c r="B537" s="242"/>
      <c r="C537" s="242"/>
      <c r="D537" s="256"/>
      <c r="E537" s="242"/>
      <c r="F537" s="257"/>
      <c r="G537" s="242"/>
      <c r="H537" s="257"/>
      <c r="I537" s="242"/>
    </row>
    <row r="538" spans="1:9" ht="15" customHeight="1" x14ac:dyDescent="0.15">
      <c r="A538" s="242"/>
      <c r="B538" s="242"/>
      <c r="C538" s="242"/>
      <c r="D538" s="256"/>
      <c r="E538" s="242"/>
      <c r="F538" s="257"/>
      <c r="G538" s="242"/>
      <c r="H538" s="257"/>
      <c r="I538" s="242"/>
    </row>
    <row r="539" spans="1:9" ht="15" customHeight="1" x14ac:dyDescent="0.15">
      <c r="A539" s="242"/>
      <c r="B539" s="242"/>
      <c r="C539" s="242"/>
      <c r="D539" s="256"/>
      <c r="E539" s="242"/>
      <c r="F539" s="257"/>
      <c r="G539" s="242"/>
      <c r="H539" s="257"/>
      <c r="I539" s="242"/>
    </row>
    <row r="540" spans="1:9" ht="15" customHeight="1" x14ac:dyDescent="0.15">
      <c r="A540" s="242"/>
      <c r="B540" s="242"/>
      <c r="C540" s="242"/>
      <c r="D540" s="256"/>
      <c r="E540" s="242"/>
      <c r="F540" s="257"/>
      <c r="G540" s="242"/>
      <c r="H540" s="257"/>
      <c r="I540" s="242"/>
    </row>
    <row r="541" spans="1:9" ht="15" customHeight="1" x14ac:dyDescent="0.15">
      <c r="A541" s="242"/>
      <c r="B541" s="242"/>
      <c r="C541" s="242"/>
      <c r="D541" s="256"/>
      <c r="E541" s="242"/>
      <c r="F541" s="257"/>
      <c r="G541" s="242"/>
      <c r="H541" s="257"/>
      <c r="I541" s="242"/>
    </row>
    <row r="542" spans="1:9" ht="15" customHeight="1" x14ac:dyDescent="0.15">
      <c r="A542" s="242"/>
      <c r="B542" s="242"/>
      <c r="C542" s="242"/>
      <c r="D542" s="256"/>
      <c r="E542" s="242"/>
      <c r="F542" s="257"/>
      <c r="G542" s="242"/>
      <c r="H542" s="257"/>
      <c r="I542" s="242"/>
    </row>
    <row r="543" spans="1:9" ht="15" customHeight="1" x14ac:dyDescent="0.15">
      <c r="A543" s="242"/>
      <c r="B543" s="242"/>
      <c r="C543" s="242"/>
      <c r="D543" s="256"/>
      <c r="E543" s="242"/>
      <c r="F543" s="257"/>
      <c r="G543" s="242"/>
      <c r="H543" s="257"/>
      <c r="I543" s="242"/>
    </row>
    <row r="544" spans="1:9" ht="15" customHeight="1" x14ac:dyDescent="0.15">
      <c r="A544" s="242"/>
      <c r="B544" s="242"/>
      <c r="C544" s="242"/>
      <c r="D544" s="256"/>
      <c r="E544" s="242"/>
      <c r="F544" s="257"/>
      <c r="G544" s="242"/>
      <c r="H544" s="257"/>
      <c r="I544" s="242"/>
    </row>
    <row r="545" spans="1:9" ht="15" customHeight="1" x14ac:dyDescent="0.15">
      <c r="A545" s="242"/>
      <c r="B545" s="242"/>
      <c r="C545" s="242"/>
      <c r="D545" s="256"/>
      <c r="E545" s="242"/>
      <c r="F545" s="257"/>
      <c r="G545" s="242"/>
      <c r="H545" s="257"/>
      <c r="I545" s="242"/>
    </row>
    <row r="546" spans="1:9" ht="15" customHeight="1" x14ac:dyDescent="0.15">
      <c r="A546" s="242"/>
      <c r="B546" s="242"/>
      <c r="C546" s="242"/>
      <c r="D546" s="256"/>
      <c r="E546" s="242"/>
      <c r="F546" s="257"/>
      <c r="G546" s="242"/>
      <c r="H546" s="257"/>
      <c r="I546" s="242"/>
    </row>
    <row r="547" spans="1:9" ht="15" customHeight="1" x14ac:dyDescent="0.15">
      <c r="A547" s="242"/>
      <c r="B547" s="242"/>
      <c r="C547" s="242"/>
      <c r="D547" s="256"/>
      <c r="E547" s="242"/>
      <c r="F547" s="257"/>
      <c r="G547" s="242"/>
      <c r="H547" s="257"/>
      <c r="I547" s="242"/>
    </row>
    <row r="548" spans="1:9" ht="15" customHeight="1" x14ac:dyDescent="0.15">
      <c r="A548" s="242"/>
      <c r="B548" s="242"/>
      <c r="C548" s="242"/>
      <c r="D548" s="256"/>
      <c r="E548" s="242"/>
      <c r="F548" s="257"/>
      <c r="G548" s="242"/>
      <c r="H548" s="257"/>
      <c r="I548" s="242"/>
    </row>
    <row r="549" spans="1:9" ht="15" customHeight="1" x14ac:dyDescent="0.15">
      <c r="A549" s="242"/>
      <c r="B549" s="242"/>
      <c r="C549" s="242"/>
      <c r="D549" s="256"/>
      <c r="E549" s="242"/>
      <c r="F549" s="257"/>
      <c r="G549" s="242"/>
      <c r="H549" s="257"/>
      <c r="I549" s="242"/>
    </row>
    <row r="550" spans="1:9" ht="15" customHeight="1" x14ac:dyDescent="0.15">
      <c r="A550" s="242"/>
      <c r="B550" s="242"/>
      <c r="C550" s="242"/>
      <c r="D550" s="256"/>
      <c r="E550" s="242"/>
      <c r="F550" s="257"/>
      <c r="G550" s="242"/>
      <c r="H550" s="257"/>
      <c r="I550" s="242"/>
    </row>
    <row r="551" spans="1:9" ht="15" customHeight="1" x14ac:dyDescent="0.15">
      <c r="A551" s="242"/>
      <c r="B551" s="242"/>
      <c r="C551" s="242"/>
      <c r="D551" s="256"/>
      <c r="E551" s="242"/>
      <c r="F551" s="257"/>
      <c r="G551" s="242"/>
      <c r="H551" s="257"/>
      <c r="I551" s="242"/>
    </row>
    <row r="552" spans="1:9" ht="15" customHeight="1" x14ac:dyDescent="0.15">
      <c r="A552" s="242"/>
      <c r="B552" s="242"/>
      <c r="C552" s="242"/>
      <c r="D552" s="256"/>
      <c r="E552" s="242"/>
      <c r="F552" s="257"/>
      <c r="G552" s="242"/>
      <c r="H552" s="257"/>
      <c r="I552" s="242"/>
    </row>
    <row r="553" spans="1:9" ht="15" customHeight="1" x14ac:dyDescent="0.15">
      <c r="A553" s="242"/>
      <c r="B553" s="242"/>
      <c r="C553" s="242"/>
      <c r="D553" s="256"/>
      <c r="E553" s="242"/>
      <c r="F553" s="257"/>
      <c r="G553" s="242"/>
      <c r="H553" s="257"/>
      <c r="I553" s="242"/>
    </row>
    <row r="554" spans="1:9" ht="15" customHeight="1" x14ac:dyDescent="0.15">
      <c r="A554" s="242"/>
      <c r="B554" s="242"/>
      <c r="C554" s="242"/>
      <c r="D554" s="256"/>
      <c r="E554" s="242"/>
      <c r="F554" s="257"/>
      <c r="G554" s="242"/>
      <c r="H554" s="257"/>
      <c r="I554" s="242"/>
    </row>
    <row r="555" spans="1:9" ht="15" customHeight="1" x14ac:dyDescent="0.15">
      <c r="A555" s="242"/>
      <c r="B555" s="242"/>
      <c r="C555" s="242"/>
      <c r="D555" s="256"/>
      <c r="E555" s="242"/>
      <c r="F555" s="257"/>
      <c r="G555" s="242"/>
      <c r="H555" s="257"/>
      <c r="I555" s="242"/>
    </row>
    <row r="556" spans="1:9" ht="15" customHeight="1" x14ac:dyDescent="0.15">
      <c r="A556" s="242"/>
      <c r="B556" s="242"/>
      <c r="C556" s="242"/>
      <c r="D556" s="256"/>
      <c r="E556" s="242"/>
      <c r="F556" s="257"/>
      <c r="G556" s="242"/>
      <c r="H556" s="257"/>
      <c r="I556" s="242"/>
    </row>
    <row r="557" spans="1:9" ht="15" customHeight="1" x14ac:dyDescent="0.15">
      <c r="A557" s="242"/>
      <c r="B557" s="242"/>
      <c r="C557" s="242"/>
      <c r="D557" s="256"/>
      <c r="E557" s="242"/>
      <c r="F557" s="257"/>
      <c r="G557" s="242"/>
      <c r="H557" s="257"/>
      <c r="I557" s="242"/>
    </row>
    <row r="558" spans="1:9" ht="15" customHeight="1" x14ac:dyDescent="0.15">
      <c r="A558" s="242"/>
      <c r="B558" s="242"/>
      <c r="C558" s="242"/>
      <c r="D558" s="256"/>
      <c r="E558" s="242"/>
      <c r="F558" s="257"/>
      <c r="G558" s="242"/>
      <c r="H558" s="257"/>
      <c r="I558" s="242"/>
    </row>
    <row r="559" spans="1:9" ht="15" customHeight="1" x14ac:dyDescent="0.15">
      <c r="A559" s="242"/>
      <c r="B559" s="242"/>
      <c r="C559" s="242"/>
      <c r="D559" s="256"/>
      <c r="E559" s="242"/>
      <c r="F559" s="257"/>
      <c r="G559" s="242"/>
      <c r="H559" s="257"/>
      <c r="I559" s="242"/>
    </row>
    <row r="560" spans="1:9" ht="15" customHeight="1" x14ac:dyDescent="0.15">
      <c r="A560" s="242"/>
      <c r="B560" s="242"/>
      <c r="C560" s="242"/>
      <c r="D560" s="256"/>
      <c r="E560" s="242"/>
      <c r="F560" s="257"/>
      <c r="G560" s="242"/>
      <c r="H560" s="257"/>
      <c r="I560" s="242"/>
    </row>
    <row r="561" spans="1:9" ht="15" customHeight="1" x14ac:dyDescent="0.15">
      <c r="A561" s="242"/>
      <c r="B561" s="242"/>
      <c r="C561" s="242"/>
      <c r="D561" s="256"/>
      <c r="E561" s="242"/>
      <c r="F561" s="257"/>
      <c r="G561" s="242"/>
      <c r="H561" s="257"/>
      <c r="I561" s="242"/>
    </row>
    <row r="562" spans="1:9" ht="15" customHeight="1" x14ac:dyDescent="0.15">
      <c r="A562" s="242"/>
      <c r="B562" s="242"/>
      <c r="C562" s="242"/>
      <c r="D562" s="256"/>
      <c r="E562" s="242"/>
      <c r="F562" s="257"/>
      <c r="G562" s="242"/>
      <c r="H562" s="257"/>
      <c r="I562" s="242"/>
    </row>
    <row r="563" spans="1:9" ht="15" customHeight="1" x14ac:dyDescent="0.15">
      <c r="A563" s="242"/>
      <c r="B563" s="242"/>
      <c r="C563" s="242"/>
      <c r="D563" s="256"/>
      <c r="E563" s="242"/>
      <c r="F563" s="257"/>
      <c r="G563" s="242"/>
      <c r="H563" s="257"/>
      <c r="I563" s="242"/>
    </row>
    <row r="564" spans="1:9" ht="15" customHeight="1" x14ac:dyDescent="0.15">
      <c r="A564" s="242"/>
      <c r="B564" s="242"/>
      <c r="C564" s="242"/>
      <c r="D564" s="256"/>
      <c r="E564" s="242"/>
      <c r="F564" s="257"/>
      <c r="G564" s="242"/>
      <c r="H564" s="257"/>
      <c r="I564" s="242"/>
    </row>
    <row r="565" spans="1:9" ht="15" customHeight="1" x14ac:dyDescent="0.15">
      <c r="A565" s="242"/>
      <c r="B565" s="242"/>
      <c r="C565" s="242"/>
      <c r="D565" s="256"/>
      <c r="E565" s="242"/>
      <c r="F565" s="257"/>
      <c r="G565" s="242"/>
      <c r="H565" s="257"/>
      <c r="I565" s="242"/>
    </row>
    <row r="566" spans="1:9" ht="15" customHeight="1" x14ac:dyDescent="0.15">
      <c r="A566" s="242"/>
      <c r="B566" s="242"/>
      <c r="C566" s="242"/>
      <c r="D566" s="256"/>
      <c r="E566" s="242"/>
      <c r="F566" s="257"/>
      <c r="G566" s="242"/>
      <c r="H566" s="257"/>
      <c r="I566" s="242"/>
    </row>
    <row r="567" spans="1:9" ht="15" customHeight="1" x14ac:dyDescent="0.15">
      <c r="A567" s="242"/>
      <c r="B567" s="242"/>
      <c r="C567" s="242"/>
      <c r="D567" s="256"/>
      <c r="E567" s="242"/>
      <c r="F567" s="257"/>
      <c r="G567" s="242"/>
      <c r="H567" s="257"/>
      <c r="I567" s="242"/>
    </row>
    <row r="568" spans="1:9" ht="15" customHeight="1" x14ac:dyDescent="0.15">
      <c r="A568" s="242"/>
      <c r="B568" s="242"/>
      <c r="C568" s="242"/>
      <c r="D568" s="256"/>
      <c r="E568" s="242"/>
      <c r="F568" s="257"/>
      <c r="G568" s="242"/>
      <c r="H568" s="257"/>
      <c r="I568" s="242"/>
    </row>
    <row r="569" spans="1:9" ht="15" customHeight="1" x14ac:dyDescent="0.15">
      <c r="A569" s="242"/>
      <c r="B569" s="242"/>
      <c r="C569" s="242"/>
      <c r="D569" s="256"/>
      <c r="E569" s="242"/>
      <c r="F569" s="257"/>
      <c r="G569" s="242"/>
      <c r="H569" s="257"/>
      <c r="I569" s="242"/>
    </row>
    <row r="570" spans="1:9" ht="15" customHeight="1" x14ac:dyDescent="0.15">
      <c r="A570" s="242"/>
      <c r="B570" s="242"/>
      <c r="C570" s="242"/>
      <c r="D570" s="256"/>
      <c r="E570" s="242"/>
      <c r="F570" s="257"/>
      <c r="G570" s="242"/>
      <c r="H570" s="257"/>
      <c r="I570" s="242"/>
    </row>
    <row r="571" spans="1:9" ht="15" customHeight="1" x14ac:dyDescent="0.15">
      <c r="A571" s="242"/>
      <c r="B571" s="242"/>
      <c r="C571" s="242"/>
      <c r="D571" s="256"/>
      <c r="E571" s="242"/>
      <c r="F571" s="257"/>
      <c r="G571" s="242"/>
      <c r="H571" s="257"/>
      <c r="I571" s="242"/>
    </row>
    <row r="572" spans="1:9" ht="15" customHeight="1" x14ac:dyDescent="0.15">
      <c r="A572" s="242"/>
      <c r="B572" s="242"/>
      <c r="C572" s="242"/>
      <c r="D572" s="256"/>
      <c r="E572" s="242"/>
      <c r="F572" s="257"/>
      <c r="G572" s="242"/>
      <c r="H572" s="257"/>
      <c r="I572" s="242"/>
    </row>
    <row r="573" spans="1:9" ht="15" customHeight="1" x14ac:dyDescent="0.15">
      <c r="A573" s="242"/>
      <c r="B573" s="242"/>
      <c r="C573" s="242"/>
      <c r="D573" s="256"/>
      <c r="E573" s="242"/>
      <c r="F573" s="257"/>
      <c r="G573" s="242"/>
      <c r="H573" s="257"/>
      <c r="I573" s="242"/>
    </row>
    <row r="574" spans="1:9" ht="15" customHeight="1" x14ac:dyDescent="0.15">
      <c r="A574" s="242"/>
      <c r="B574" s="242"/>
      <c r="C574" s="242"/>
      <c r="D574" s="256"/>
      <c r="E574" s="242"/>
      <c r="F574" s="257"/>
      <c r="G574" s="242"/>
      <c r="H574" s="257"/>
      <c r="I574" s="242"/>
    </row>
    <row r="575" spans="1:9" ht="15" customHeight="1" x14ac:dyDescent="0.15">
      <c r="A575" s="242"/>
      <c r="B575" s="242"/>
      <c r="C575" s="242"/>
      <c r="D575" s="256"/>
      <c r="E575" s="242"/>
      <c r="F575" s="257"/>
      <c r="G575" s="242"/>
      <c r="H575" s="257"/>
      <c r="I575" s="242"/>
    </row>
    <row r="576" spans="1:9" ht="15" customHeight="1" x14ac:dyDescent="0.15">
      <c r="A576" s="242"/>
      <c r="B576" s="242"/>
      <c r="C576" s="242"/>
      <c r="D576" s="256"/>
      <c r="E576" s="242"/>
      <c r="F576" s="257"/>
      <c r="G576" s="242"/>
      <c r="H576" s="257"/>
      <c r="I576" s="242"/>
    </row>
    <row r="577" spans="1:9" ht="15" customHeight="1" x14ac:dyDescent="0.15">
      <c r="A577" s="242"/>
      <c r="B577" s="242"/>
      <c r="C577" s="242"/>
      <c r="D577" s="256"/>
      <c r="E577" s="242"/>
      <c r="F577" s="257"/>
      <c r="G577" s="242"/>
      <c r="H577" s="257"/>
      <c r="I577" s="242"/>
    </row>
    <row r="578" spans="1:9" ht="15" customHeight="1" x14ac:dyDescent="0.15">
      <c r="A578" s="242"/>
      <c r="B578" s="242"/>
      <c r="C578" s="242"/>
      <c r="D578" s="256"/>
      <c r="E578" s="242"/>
      <c r="F578" s="257"/>
      <c r="G578" s="242"/>
      <c r="H578" s="257"/>
      <c r="I578" s="242"/>
    </row>
    <row r="579" spans="1:9" ht="15" customHeight="1" x14ac:dyDescent="0.15">
      <c r="A579" s="242"/>
      <c r="B579" s="242"/>
      <c r="C579" s="242"/>
      <c r="D579" s="256"/>
      <c r="E579" s="242"/>
      <c r="F579" s="257"/>
      <c r="G579" s="242"/>
      <c r="H579" s="257"/>
      <c r="I579" s="242"/>
    </row>
    <row r="580" spans="1:9" ht="15" customHeight="1" x14ac:dyDescent="0.15">
      <c r="A580" s="242"/>
      <c r="B580" s="242"/>
      <c r="C580" s="242"/>
      <c r="D580" s="256"/>
      <c r="E580" s="242"/>
      <c r="F580" s="257"/>
      <c r="G580" s="242"/>
      <c r="H580" s="257"/>
      <c r="I580" s="242"/>
    </row>
    <row r="581" spans="1:9" ht="15" customHeight="1" x14ac:dyDescent="0.15">
      <c r="A581" s="242"/>
      <c r="B581" s="242"/>
      <c r="C581" s="242"/>
      <c r="D581" s="256"/>
      <c r="E581" s="242"/>
      <c r="F581" s="257"/>
      <c r="G581" s="242"/>
      <c r="H581" s="257"/>
      <c r="I581" s="242"/>
    </row>
    <row r="582" spans="1:9" ht="15" customHeight="1" x14ac:dyDescent="0.15">
      <c r="A582" s="242"/>
      <c r="B582" s="242"/>
      <c r="C582" s="242"/>
      <c r="D582" s="256"/>
      <c r="E582" s="242"/>
      <c r="F582" s="257"/>
      <c r="G582" s="242"/>
      <c r="H582" s="257"/>
      <c r="I582" s="242"/>
    </row>
    <row r="583" spans="1:9" ht="15" customHeight="1" x14ac:dyDescent="0.15">
      <c r="A583" s="242"/>
      <c r="B583" s="242"/>
      <c r="C583" s="242"/>
      <c r="D583" s="256"/>
      <c r="E583" s="242"/>
      <c r="F583" s="257"/>
      <c r="G583" s="242"/>
      <c r="H583" s="257"/>
      <c r="I583" s="242"/>
    </row>
    <row r="584" spans="1:9" ht="15" customHeight="1" x14ac:dyDescent="0.15">
      <c r="A584" s="242"/>
      <c r="B584" s="242"/>
      <c r="C584" s="242"/>
      <c r="D584" s="256"/>
      <c r="E584" s="242"/>
      <c r="F584" s="257"/>
      <c r="G584" s="242"/>
      <c r="H584" s="257"/>
      <c r="I584" s="242"/>
    </row>
    <row r="585" spans="1:9" ht="15" customHeight="1" x14ac:dyDescent="0.15">
      <c r="A585" s="242"/>
      <c r="B585" s="242"/>
      <c r="C585" s="242"/>
      <c r="D585" s="256"/>
      <c r="E585" s="242"/>
      <c r="F585" s="257"/>
      <c r="G585" s="242"/>
      <c r="H585" s="257"/>
      <c r="I585" s="242"/>
    </row>
    <row r="586" spans="1:9" ht="15" customHeight="1" x14ac:dyDescent="0.15">
      <c r="A586" s="242"/>
      <c r="B586" s="242"/>
      <c r="C586" s="242"/>
      <c r="D586" s="256"/>
      <c r="E586" s="242"/>
      <c r="F586" s="257"/>
      <c r="G586" s="242"/>
      <c r="H586" s="257"/>
      <c r="I586" s="242"/>
    </row>
    <row r="587" spans="1:9" ht="15" customHeight="1" x14ac:dyDescent="0.15">
      <c r="A587" s="242"/>
      <c r="B587" s="242"/>
      <c r="C587" s="242"/>
      <c r="D587" s="256"/>
      <c r="E587" s="242"/>
      <c r="F587" s="257"/>
      <c r="G587" s="242"/>
      <c r="H587" s="257"/>
      <c r="I587" s="242"/>
    </row>
    <row r="588" spans="1:9" ht="15" customHeight="1" x14ac:dyDescent="0.15">
      <c r="A588" s="242"/>
      <c r="B588" s="242"/>
      <c r="C588" s="242"/>
      <c r="D588" s="256"/>
      <c r="E588" s="242"/>
      <c r="F588" s="257"/>
      <c r="G588" s="242"/>
      <c r="H588" s="257"/>
      <c r="I588" s="242"/>
    </row>
    <row r="589" spans="1:9" ht="15" customHeight="1" x14ac:dyDescent="0.15">
      <c r="A589" s="242"/>
      <c r="B589" s="242"/>
      <c r="C589" s="242"/>
      <c r="D589" s="256"/>
      <c r="E589" s="242"/>
      <c r="F589" s="257"/>
      <c r="G589" s="242"/>
      <c r="H589" s="257"/>
      <c r="I589" s="242"/>
    </row>
    <row r="590" spans="1:9" ht="15" customHeight="1" x14ac:dyDescent="0.15">
      <c r="A590" s="242"/>
      <c r="B590" s="242"/>
      <c r="C590" s="242"/>
      <c r="D590" s="256"/>
      <c r="E590" s="242"/>
      <c r="F590" s="257"/>
      <c r="G590" s="242"/>
      <c r="H590" s="257"/>
      <c r="I590" s="242"/>
    </row>
    <row r="591" spans="1:9" ht="15" customHeight="1" x14ac:dyDescent="0.15">
      <c r="A591" s="242"/>
      <c r="B591" s="242"/>
      <c r="C591" s="242"/>
      <c r="D591" s="256"/>
      <c r="E591" s="242"/>
      <c r="F591" s="257"/>
      <c r="G591" s="242"/>
      <c r="H591" s="257"/>
      <c r="I591" s="242"/>
    </row>
    <row r="592" spans="1:9" ht="15" customHeight="1" x14ac:dyDescent="0.15">
      <c r="A592" s="242"/>
      <c r="B592" s="242"/>
      <c r="C592" s="242"/>
      <c r="D592" s="256"/>
      <c r="E592" s="242"/>
      <c r="F592" s="257"/>
      <c r="G592" s="242"/>
      <c r="H592" s="257"/>
      <c r="I592" s="242"/>
    </row>
    <row r="593" spans="1:9" ht="15" customHeight="1" x14ac:dyDescent="0.15">
      <c r="A593" s="242"/>
      <c r="B593" s="242"/>
      <c r="C593" s="242"/>
      <c r="D593" s="256"/>
      <c r="E593" s="242"/>
      <c r="F593" s="257"/>
      <c r="G593" s="242"/>
      <c r="H593" s="257"/>
      <c r="I593" s="242"/>
    </row>
    <row r="594" spans="1:9" ht="15" customHeight="1" x14ac:dyDescent="0.15">
      <c r="A594" s="242"/>
      <c r="B594" s="242"/>
      <c r="C594" s="242"/>
      <c r="D594" s="256"/>
      <c r="E594" s="242"/>
      <c r="F594" s="257"/>
      <c r="G594" s="242"/>
      <c r="H594" s="257"/>
      <c r="I594" s="242"/>
    </row>
    <row r="595" spans="1:9" ht="15" customHeight="1" x14ac:dyDescent="0.15">
      <c r="A595" s="242"/>
      <c r="B595" s="242"/>
      <c r="C595" s="242"/>
      <c r="D595" s="256"/>
      <c r="E595" s="242"/>
      <c r="F595" s="257"/>
      <c r="G595" s="242"/>
      <c r="H595" s="257"/>
      <c r="I595" s="242"/>
    </row>
    <row r="596" spans="1:9" ht="15" customHeight="1" x14ac:dyDescent="0.15">
      <c r="A596" s="242"/>
      <c r="B596" s="242"/>
      <c r="C596" s="242"/>
      <c r="D596" s="256"/>
      <c r="E596" s="242"/>
      <c r="F596" s="257"/>
      <c r="G596" s="242"/>
      <c r="H596" s="257"/>
      <c r="I596" s="242"/>
    </row>
    <row r="597" spans="1:9" ht="15" customHeight="1" x14ac:dyDescent="0.15">
      <c r="A597" s="242"/>
      <c r="B597" s="242"/>
      <c r="C597" s="242"/>
      <c r="D597" s="256"/>
      <c r="E597" s="242"/>
      <c r="F597" s="257"/>
      <c r="G597" s="242"/>
      <c r="H597" s="257"/>
      <c r="I597" s="242"/>
    </row>
    <row r="598" spans="1:9" ht="15" customHeight="1" x14ac:dyDescent="0.15">
      <c r="A598" s="242"/>
      <c r="B598" s="242"/>
      <c r="C598" s="242"/>
      <c r="D598" s="256"/>
      <c r="E598" s="242"/>
      <c r="F598" s="257"/>
      <c r="G598" s="242"/>
      <c r="H598" s="257"/>
      <c r="I598" s="242"/>
    </row>
    <row r="599" spans="1:9" ht="15" customHeight="1" x14ac:dyDescent="0.15">
      <c r="A599" s="242"/>
      <c r="B599" s="242"/>
      <c r="C599" s="242"/>
      <c r="D599" s="256"/>
      <c r="E599" s="242"/>
      <c r="F599" s="257"/>
      <c r="G599" s="242"/>
      <c r="H599" s="257"/>
      <c r="I599" s="242"/>
    </row>
    <row r="600" spans="1:9" ht="15" customHeight="1" x14ac:dyDescent="0.15">
      <c r="A600" s="242"/>
      <c r="B600" s="242"/>
      <c r="C600" s="242"/>
      <c r="D600" s="256"/>
      <c r="E600" s="242"/>
      <c r="F600" s="257"/>
      <c r="G600" s="242"/>
      <c r="H600" s="257"/>
      <c r="I600" s="242"/>
    </row>
    <row r="601" spans="1:9" ht="15" customHeight="1" x14ac:dyDescent="0.15">
      <c r="A601" s="242"/>
      <c r="B601" s="242"/>
      <c r="C601" s="242"/>
      <c r="D601" s="256"/>
      <c r="E601" s="242"/>
      <c r="F601" s="257"/>
      <c r="G601" s="242"/>
      <c r="H601" s="257"/>
      <c r="I601" s="242"/>
    </row>
    <row r="602" spans="1:9" ht="15" customHeight="1" x14ac:dyDescent="0.15">
      <c r="A602" s="242"/>
      <c r="B602" s="242"/>
      <c r="C602" s="242"/>
      <c r="D602" s="256"/>
      <c r="E602" s="242"/>
      <c r="F602" s="257"/>
      <c r="G602" s="242"/>
      <c r="H602" s="257"/>
      <c r="I602" s="242"/>
    </row>
    <row r="603" spans="1:9" ht="15" customHeight="1" x14ac:dyDescent="0.15">
      <c r="A603" s="242"/>
      <c r="B603" s="242"/>
      <c r="C603" s="242"/>
      <c r="D603" s="256"/>
      <c r="E603" s="242"/>
      <c r="F603" s="257"/>
      <c r="G603" s="242"/>
      <c r="H603" s="257"/>
      <c r="I603" s="242"/>
    </row>
    <row r="604" spans="1:9" ht="15" customHeight="1" x14ac:dyDescent="0.15">
      <c r="A604" s="242"/>
      <c r="B604" s="242"/>
      <c r="C604" s="242"/>
      <c r="D604" s="256"/>
      <c r="E604" s="242"/>
      <c r="F604" s="257"/>
      <c r="G604" s="242"/>
      <c r="H604" s="257"/>
      <c r="I604" s="242"/>
    </row>
    <row r="605" spans="1:9" ht="15" customHeight="1" x14ac:dyDescent="0.15">
      <c r="A605" s="242"/>
      <c r="B605" s="242"/>
      <c r="C605" s="242"/>
      <c r="D605" s="256"/>
      <c r="E605" s="242"/>
      <c r="F605" s="257"/>
      <c r="G605" s="242"/>
      <c r="H605" s="257"/>
      <c r="I605" s="242"/>
    </row>
    <row r="606" spans="1:9" ht="15" customHeight="1" x14ac:dyDescent="0.15">
      <c r="A606" s="242"/>
      <c r="B606" s="242"/>
      <c r="C606" s="242"/>
      <c r="D606" s="256"/>
      <c r="E606" s="242"/>
      <c r="F606" s="257"/>
      <c r="G606" s="242"/>
      <c r="H606" s="257"/>
      <c r="I606" s="242"/>
    </row>
    <row r="607" spans="1:9" ht="15" customHeight="1" x14ac:dyDescent="0.15">
      <c r="A607" s="242"/>
      <c r="B607" s="242"/>
      <c r="C607" s="242"/>
      <c r="D607" s="256"/>
      <c r="E607" s="242"/>
      <c r="F607" s="257"/>
      <c r="G607" s="242"/>
      <c r="H607" s="257"/>
      <c r="I607" s="242"/>
    </row>
    <row r="608" spans="1:9" ht="15" customHeight="1" x14ac:dyDescent="0.15">
      <c r="A608" s="242"/>
      <c r="B608" s="242"/>
      <c r="C608" s="242"/>
      <c r="D608" s="256"/>
      <c r="E608" s="242"/>
      <c r="F608" s="257"/>
      <c r="G608" s="242"/>
      <c r="H608" s="257"/>
      <c r="I608" s="242"/>
    </row>
    <row r="609" spans="1:9" ht="15" customHeight="1" x14ac:dyDescent="0.15">
      <c r="A609" s="242"/>
      <c r="B609" s="242"/>
      <c r="C609" s="242"/>
      <c r="D609" s="256"/>
      <c r="E609" s="242"/>
      <c r="F609" s="257"/>
      <c r="G609" s="242"/>
      <c r="H609" s="257"/>
      <c r="I609" s="242"/>
    </row>
    <row r="610" spans="1:9" ht="15" customHeight="1" x14ac:dyDescent="0.15">
      <c r="A610" s="242"/>
      <c r="B610" s="242"/>
      <c r="C610" s="242"/>
      <c r="D610" s="256"/>
      <c r="E610" s="242"/>
      <c r="F610" s="257"/>
      <c r="G610" s="242"/>
      <c r="H610" s="257"/>
      <c r="I610" s="242"/>
    </row>
    <row r="611" spans="1:9" ht="15" customHeight="1" x14ac:dyDescent="0.15">
      <c r="A611" s="242"/>
      <c r="B611" s="242"/>
      <c r="C611" s="242"/>
      <c r="D611" s="256"/>
      <c r="E611" s="242"/>
      <c r="F611" s="257"/>
      <c r="G611" s="242"/>
      <c r="H611" s="257"/>
      <c r="I611" s="242"/>
    </row>
    <row r="612" spans="1:9" ht="15" customHeight="1" x14ac:dyDescent="0.15">
      <c r="A612" s="242"/>
      <c r="B612" s="242"/>
      <c r="C612" s="242"/>
      <c r="D612" s="256"/>
      <c r="E612" s="242"/>
      <c r="F612" s="257"/>
      <c r="G612" s="242"/>
      <c r="H612" s="257"/>
      <c r="I612" s="242"/>
    </row>
    <row r="613" spans="1:9" ht="15" customHeight="1" x14ac:dyDescent="0.15">
      <c r="A613" s="242"/>
      <c r="B613" s="242"/>
      <c r="C613" s="242"/>
      <c r="D613" s="256"/>
      <c r="E613" s="242"/>
      <c r="F613" s="257"/>
      <c r="G613" s="242"/>
      <c r="H613" s="257"/>
      <c r="I613" s="242"/>
    </row>
    <row r="614" spans="1:9" ht="15" customHeight="1" x14ac:dyDescent="0.15">
      <c r="A614" s="242"/>
      <c r="B614" s="242"/>
      <c r="C614" s="242"/>
      <c r="D614" s="256"/>
      <c r="E614" s="242"/>
      <c r="F614" s="257"/>
      <c r="G614" s="242"/>
      <c r="H614" s="257"/>
      <c r="I614" s="242"/>
    </row>
    <row r="615" spans="1:9" ht="15" customHeight="1" x14ac:dyDescent="0.15">
      <c r="A615" s="242"/>
      <c r="B615" s="242"/>
      <c r="C615" s="242"/>
      <c r="D615" s="256"/>
      <c r="E615" s="242"/>
      <c r="F615" s="257"/>
      <c r="G615" s="242"/>
      <c r="H615" s="257"/>
      <c r="I615" s="242"/>
    </row>
    <row r="616" spans="1:9" ht="15" customHeight="1" x14ac:dyDescent="0.15">
      <c r="A616" s="242"/>
      <c r="B616" s="242"/>
      <c r="C616" s="242"/>
      <c r="D616" s="256"/>
      <c r="E616" s="242"/>
      <c r="F616" s="257"/>
      <c r="G616" s="242"/>
      <c r="H616" s="257"/>
      <c r="I616" s="242"/>
    </row>
    <row r="617" spans="1:9" ht="15" customHeight="1" x14ac:dyDescent="0.15">
      <c r="A617" s="242"/>
      <c r="B617" s="242"/>
      <c r="C617" s="242"/>
      <c r="D617" s="256"/>
      <c r="E617" s="242"/>
      <c r="F617" s="257"/>
      <c r="G617" s="242"/>
      <c r="H617" s="257"/>
      <c r="I617" s="242"/>
    </row>
    <row r="618" spans="1:9" ht="15" customHeight="1" x14ac:dyDescent="0.15">
      <c r="A618" s="242"/>
      <c r="B618" s="242"/>
      <c r="C618" s="242"/>
      <c r="D618" s="256"/>
      <c r="E618" s="242"/>
      <c r="F618" s="257"/>
      <c r="G618" s="242"/>
      <c r="H618" s="257"/>
      <c r="I618" s="242"/>
    </row>
    <row r="619" spans="1:9" ht="15" customHeight="1" x14ac:dyDescent="0.15">
      <c r="A619" s="242"/>
      <c r="B619" s="242"/>
      <c r="C619" s="242"/>
      <c r="D619" s="256"/>
      <c r="E619" s="242"/>
      <c r="F619" s="257"/>
      <c r="G619" s="242"/>
      <c r="H619" s="257"/>
      <c r="I619" s="242"/>
    </row>
    <row r="620" spans="1:9" ht="15" customHeight="1" x14ac:dyDescent="0.15">
      <c r="A620" s="242"/>
      <c r="B620" s="242"/>
      <c r="C620" s="242"/>
      <c r="D620" s="256"/>
      <c r="E620" s="242"/>
      <c r="F620" s="257"/>
      <c r="G620" s="242"/>
      <c r="H620" s="257"/>
      <c r="I620" s="242"/>
    </row>
    <row r="621" spans="1:9" ht="15" customHeight="1" x14ac:dyDescent="0.15">
      <c r="A621" s="242"/>
      <c r="B621" s="242"/>
      <c r="C621" s="242"/>
      <c r="D621" s="256"/>
      <c r="E621" s="242"/>
      <c r="F621" s="257"/>
      <c r="G621" s="242"/>
      <c r="H621" s="257"/>
      <c r="I621" s="242"/>
    </row>
    <row r="622" spans="1:9" ht="15" customHeight="1" x14ac:dyDescent="0.15">
      <c r="A622" s="242"/>
      <c r="B622" s="242"/>
      <c r="C622" s="242"/>
      <c r="D622" s="256"/>
      <c r="E622" s="242"/>
      <c r="F622" s="257"/>
      <c r="G622" s="242"/>
      <c r="H622" s="257"/>
      <c r="I622" s="242"/>
    </row>
    <row r="623" spans="1:9" ht="15" customHeight="1" x14ac:dyDescent="0.15">
      <c r="A623" s="242"/>
      <c r="B623" s="242"/>
      <c r="C623" s="242"/>
      <c r="D623" s="256"/>
      <c r="E623" s="242"/>
      <c r="F623" s="257"/>
      <c r="G623" s="242"/>
      <c r="H623" s="257"/>
      <c r="I623" s="242"/>
    </row>
    <row r="624" spans="1:9" ht="15" customHeight="1" x14ac:dyDescent="0.15">
      <c r="A624" s="242"/>
      <c r="B624" s="242"/>
      <c r="C624" s="242"/>
      <c r="D624" s="256"/>
      <c r="E624" s="242"/>
      <c r="F624" s="257"/>
      <c r="G624" s="242"/>
      <c r="H624" s="257"/>
      <c r="I624" s="242"/>
    </row>
    <row r="625" spans="1:9" ht="15" customHeight="1" x14ac:dyDescent="0.15">
      <c r="A625" s="242"/>
      <c r="B625" s="242"/>
      <c r="C625" s="242"/>
      <c r="D625" s="256"/>
      <c r="E625" s="242"/>
      <c r="F625" s="257"/>
      <c r="G625" s="242"/>
      <c r="H625" s="257"/>
      <c r="I625" s="242"/>
    </row>
    <row r="626" spans="1:9" ht="15" customHeight="1" x14ac:dyDescent="0.15">
      <c r="A626" s="242"/>
      <c r="B626" s="242"/>
      <c r="C626" s="242"/>
      <c r="D626" s="256"/>
      <c r="E626" s="242"/>
      <c r="F626" s="257"/>
      <c r="G626" s="242"/>
      <c r="H626" s="257"/>
      <c r="I626" s="242"/>
    </row>
    <row r="627" spans="1:9" ht="15" customHeight="1" x14ac:dyDescent="0.15">
      <c r="A627" s="242"/>
      <c r="B627" s="242"/>
      <c r="C627" s="242"/>
      <c r="D627" s="256"/>
      <c r="E627" s="242"/>
      <c r="F627" s="257"/>
      <c r="G627" s="242"/>
      <c r="H627" s="257"/>
      <c r="I627" s="242"/>
    </row>
    <row r="628" spans="1:9" ht="15" customHeight="1" x14ac:dyDescent="0.15">
      <c r="A628" s="242"/>
      <c r="B628" s="242"/>
      <c r="C628" s="242"/>
      <c r="D628" s="256"/>
      <c r="E628" s="242"/>
      <c r="F628" s="257"/>
      <c r="G628" s="242"/>
      <c r="H628" s="257"/>
      <c r="I628" s="242"/>
    </row>
    <row r="629" spans="1:9" ht="15" customHeight="1" x14ac:dyDescent="0.15">
      <c r="A629" s="242"/>
      <c r="B629" s="242"/>
      <c r="C629" s="242"/>
      <c r="D629" s="256"/>
      <c r="E629" s="242"/>
      <c r="F629" s="257"/>
      <c r="G629" s="242"/>
      <c r="H629" s="257"/>
      <c r="I629" s="242"/>
    </row>
    <row r="630" spans="1:9" ht="15" customHeight="1" x14ac:dyDescent="0.15">
      <c r="A630" s="242"/>
      <c r="B630" s="242"/>
      <c r="C630" s="242"/>
      <c r="D630" s="256"/>
      <c r="E630" s="242"/>
      <c r="F630" s="257"/>
      <c r="G630" s="242"/>
      <c r="H630" s="257"/>
      <c r="I630" s="242"/>
    </row>
    <row r="631" spans="1:9" ht="15" customHeight="1" x14ac:dyDescent="0.15">
      <c r="A631" s="242"/>
      <c r="B631" s="242"/>
      <c r="C631" s="242"/>
      <c r="D631" s="256"/>
      <c r="E631" s="242"/>
      <c r="F631" s="257"/>
      <c r="G631" s="242"/>
      <c r="H631" s="257"/>
      <c r="I631" s="242"/>
    </row>
    <row r="632" spans="1:9" ht="15" customHeight="1" x14ac:dyDescent="0.15">
      <c r="A632" s="242"/>
      <c r="B632" s="242"/>
      <c r="C632" s="242"/>
      <c r="D632" s="256"/>
      <c r="E632" s="242"/>
      <c r="F632" s="257"/>
      <c r="G632" s="242"/>
      <c r="H632" s="257"/>
      <c r="I632" s="242"/>
    </row>
    <row r="633" spans="1:9" ht="15" customHeight="1" x14ac:dyDescent="0.15">
      <c r="A633" s="242"/>
      <c r="B633" s="242"/>
      <c r="C633" s="242"/>
      <c r="D633" s="256"/>
      <c r="E633" s="242"/>
      <c r="F633" s="257"/>
      <c r="G633" s="242"/>
      <c r="H633" s="257"/>
      <c r="I633" s="242"/>
    </row>
    <row r="634" spans="1:9" ht="15" customHeight="1" x14ac:dyDescent="0.15">
      <c r="A634" s="242"/>
      <c r="B634" s="242"/>
      <c r="C634" s="242"/>
      <c r="D634" s="256"/>
      <c r="E634" s="242"/>
      <c r="F634" s="257"/>
      <c r="G634" s="242"/>
      <c r="H634" s="257"/>
      <c r="I634" s="242"/>
    </row>
    <row r="635" spans="1:9" ht="15" customHeight="1" x14ac:dyDescent="0.15">
      <c r="A635" s="242"/>
      <c r="B635" s="242"/>
      <c r="C635" s="242"/>
      <c r="D635" s="256"/>
      <c r="E635" s="242"/>
      <c r="F635" s="257"/>
      <c r="G635" s="242"/>
      <c r="H635" s="257"/>
      <c r="I635" s="242"/>
    </row>
    <row r="636" spans="1:9" ht="15" customHeight="1" x14ac:dyDescent="0.15">
      <c r="A636" s="242"/>
      <c r="B636" s="242"/>
      <c r="C636" s="242"/>
      <c r="D636" s="256"/>
      <c r="E636" s="242"/>
      <c r="F636" s="257"/>
      <c r="G636" s="242"/>
      <c r="H636" s="257"/>
      <c r="I636" s="242"/>
    </row>
    <row r="637" spans="1:9" ht="15" customHeight="1" x14ac:dyDescent="0.15">
      <c r="A637" s="242"/>
      <c r="B637" s="242"/>
      <c r="C637" s="242"/>
      <c r="D637" s="256"/>
      <c r="E637" s="242"/>
      <c r="F637" s="257"/>
      <c r="G637" s="242"/>
      <c r="H637" s="257"/>
      <c r="I637" s="242"/>
    </row>
    <row r="638" spans="1:9" ht="15" customHeight="1" x14ac:dyDescent="0.15">
      <c r="A638" s="242"/>
      <c r="B638" s="242"/>
      <c r="C638" s="242"/>
      <c r="D638" s="256"/>
      <c r="E638" s="242"/>
      <c r="F638" s="257"/>
      <c r="G638" s="242"/>
      <c r="H638" s="257"/>
      <c r="I638" s="242"/>
    </row>
    <row r="639" spans="1:9" ht="15" customHeight="1" x14ac:dyDescent="0.15">
      <c r="A639" s="242"/>
      <c r="B639" s="242"/>
      <c r="C639" s="242"/>
      <c r="D639" s="256"/>
      <c r="E639" s="242"/>
      <c r="F639" s="257"/>
      <c r="G639" s="242"/>
      <c r="H639" s="257"/>
      <c r="I639" s="242"/>
    </row>
    <row r="640" spans="1:9" ht="15" customHeight="1" x14ac:dyDescent="0.15">
      <c r="A640" s="242"/>
      <c r="B640" s="242"/>
      <c r="C640" s="242"/>
      <c r="D640" s="256"/>
      <c r="E640" s="242"/>
      <c r="F640" s="257"/>
      <c r="G640" s="242"/>
      <c r="H640" s="257"/>
      <c r="I640" s="242"/>
    </row>
    <row r="641" spans="1:9" ht="15" customHeight="1" x14ac:dyDescent="0.15">
      <c r="A641" s="242"/>
      <c r="B641" s="242"/>
      <c r="C641" s="242"/>
      <c r="D641" s="256"/>
      <c r="E641" s="242"/>
      <c r="F641" s="257"/>
      <c r="G641" s="242"/>
      <c r="H641" s="257"/>
      <c r="I641" s="242"/>
    </row>
    <row r="642" spans="1:9" ht="15" customHeight="1" x14ac:dyDescent="0.15">
      <c r="A642" s="242"/>
      <c r="B642" s="242"/>
      <c r="C642" s="242"/>
      <c r="D642" s="256"/>
      <c r="E642" s="242"/>
      <c r="F642" s="257"/>
      <c r="G642" s="242"/>
      <c r="H642" s="257"/>
      <c r="I642" s="242"/>
    </row>
    <row r="643" spans="1:9" ht="15" customHeight="1" x14ac:dyDescent="0.15">
      <c r="A643" s="242"/>
      <c r="B643" s="242"/>
      <c r="C643" s="242"/>
      <c r="D643" s="256"/>
      <c r="E643" s="242"/>
      <c r="F643" s="257"/>
      <c r="G643" s="242"/>
      <c r="H643" s="257"/>
      <c r="I643" s="242"/>
    </row>
    <row r="644" spans="1:9" ht="15" customHeight="1" x14ac:dyDescent="0.15">
      <c r="A644" s="242"/>
      <c r="B644" s="242"/>
      <c r="C644" s="242"/>
      <c r="D644" s="256"/>
      <c r="E644" s="242"/>
      <c r="F644" s="257"/>
      <c r="G644" s="242"/>
      <c r="H644" s="257"/>
      <c r="I644" s="242"/>
    </row>
    <row r="645" spans="1:9" ht="15" customHeight="1" x14ac:dyDescent="0.15">
      <c r="A645" s="242"/>
      <c r="B645" s="242"/>
      <c r="C645" s="242"/>
      <c r="D645" s="256"/>
      <c r="E645" s="242"/>
      <c r="F645" s="257"/>
      <c r="G645" s="242"/>
      <c r="H645" s="257"/>
      <c r="I645" s="242"/>
    </row>
    <row r="646" spans="1:9" ht="15" customHeight="1" x14ac:dyDescent="0.15">
      <c r="A646" s="242"/>
      <c r="B646" s="242"/>
      <c r="C646" s="242"/>
      <c r="D646" s="256"/>
      <c r="E646" s="242"/>
      <c r="F646" s="257"/>
      <c r="G646" s="242"/>
      <c r="H646" s="257"/>
      <c r="I646" s="242"/>
    </row>
    <row r="647" spans="1:9" ht="15" customHeight="1" x14ac:dyDescent="0.15">
      <c r="A647" s="242"/>
      <c r="B647" s="242"/>
      <c r="C647" s="242"/>
      <c r="D647" s="256"/>
      <c r="E647" s="242"/>
      <c r="F647" s="257"/>
      <c r="G647" s="242"/>
      <c r="H647" s="257"/>
      <c r="I647" s="242"/>
    </row>
    <row r="648" spans="1:9" ht="15" customHeight="1" x14ac:dyDescent="0.15">
      <c r="A648" s="242"/>
      <c r="B648" s="242"/>
      <c r="C648" s="242"/>
      <c r="D648" s="256"/>
      <c r="E648" s="242"/>
      <c r="F648" s="257"/>
      <c r="G648" s="242"/>
      <c r="H648" s="257"/>
      <c r="I648" s="242"/>
    </row>
    <row r="649" spans="1:9" ht="15" customHeight="1" x14ac:dyDescent="0.15">
      <c r="A649" s="242"/>
      <c r="B649" s="242"/>
      <c r="C649" s="242"/>
      <c r="D649" s="256"/>
      <c r="E649" s="242"/>
      <c r="F649" s="257"/>
      <c r="G649" s="242"/>
      <c r="H649" s="257"/>
      <c r="I649" s="242"/>
    </row>
    <row r="650" spans="1:9" ht="15" customHeight="1" x14ac:dyDescent="0.15">
      <c r="A650" s="242"/>
      <c r="B650" s="242"/>
      <c r="C650" s="242"/>
      <c r="D650" s="256"/>
      <c r="E650" s="242"/>
      <c r="F650" s="257"/>
      <c r="G650" s="242"/>
      <c r="H650" s="257"/>
      <c r="I650" s="242"/>
    </row>
    <row r="651" spans="1:9" ht="15" customHeight="1" x14ac:dyDescent="0.15">
      <c r="A651" s="242"/>
      <c r="B651" s="242"/>
      <c r="C651" s="242"/>
      <c r="D651" s="256"/>
      <c r="E651" s="242"/>
      <c r="F651" s="257"/>
      <c r="G651" s="242"/>
      <c r="H651" s="257"/>
      <c r="I651" s="242"/>
    </row>
    <row r="652" spans="1:9" ht="15" customHeight="1" x14ac:dyDescent="0.15">
      <c r="A652" s="242"/>
      <c r="B652" s="242"/>
      <c r="C652" s="242"/>
      <c r="D652" s="256"/>
      <c r="E652" s="242"/>
      <c r="F652" s="257"/>
      <c r="G652" s="242"/>
      <c r="H652" s="257"/>
      <c r="I652" s="242"/>
    </row>
    <row r="653" spans="1:9" ht="15" customHeight="1" x14ac:dyDescent="0.15">
      <c r="A653" s="242"/>
      <c r="B653" s="242"/>
      <c r="C653" s="242"/>
      <c r="D653" s="256"/>
      <c r="E653" s="242"/>
      <c r="F653" s="257"/>
      <c r="G653" s="242"/>
      <c r="H653" s="257"/>
      <c r="I653" s="242"/>
    </row>
    <row r="654" spans="1:9" ht="15" customHeight="1" x14ac:dyDescent="0.15">
      <c r="A654" s="242"/>
      <c r="B654" s="242"/>
      <c r="C654" s="242"/>
      <c r="D654" s="256"/>
      <c r="E654" s="242"/>
      <c r="F654" s="257"/>
      <c r="G654" s="242"/>
      <c r="H654" s="257"/>
      <c r="I654" s="242"/>
    </row>
    <row r="655" spans="1:9" ht="15" customHeight="1" x14ac:dyDescent="0.15">
      <c r="A655" s="242"/>
      <c r="B655" s="242"/>
      <c r="C655" s="242"/>
      <c r="D655" s="256"/>
      <c r="E655" s="242"/>
      <c r="F655" s="257"/>
      <c r="G655" s="242"/>
      <c r="H655" s="257"/>
      <c r="I655" s="242"/>
    </row>
    <row r="656" spans="1:9" ht="15" customHeight="1" x14ac:dyDescent="0.15">
      <c r="A656" s="242"/>
      <c r="B656" s="242"/>
      <c r="C656" s="242"/>
      <c r="D656" s="256"/>
      <c r="E656" s="242"/>
      <c r="F656" s="257"/>
      <c r="G656" s="242"/>
      <c r="H656" s="257"/>
      <c r="I656" s="242"/>
    </row>
    <row r="657" spans="1:9" ht="15" customHeight="1" x14ac:dyDescent="0.15">
      <c r="A657" s="242"/>
      <c r="B657" s="242"/>
      <c r="C657" s="242"/>
      <c r="D657" s="256"/>
      <c r="E657" s="242"/>
      <c r="F657" s="257"/>
      <c r="G657" s="242"/>
      <c r="H657" s="257"/>
      <c r="I657" s="242"/>
    </row>
    <row r="658" spans="1:9" ht="15" customHeight="1" x14ac:dyDescent="0.15">
      <c r="A658" s="242"/>
      <c r="B658" s="242"/>
      <c r="C658" s="242"/>
      <c r="D658" s="256"/>
      <c r="E658" s="242"/>
      <c r="F658" s="257"/>
      <c r="G658" s="242"/>
      <c r="H658" s="257"/>
      <c r="I658" s="242"/>
    </row>
    <row r="659" spans="1:9" ht="15" customHeight="1" x14ac:dyDescent="0.15">
      <c r="A659" s="242"/>
      <c r="B659" s="242"/>
      <c r="C659" s="242"/>
      <c r="D659" s="256"/>
      <c r="E659" s="242"/>
      <c r="F659" s="257"/>
      <c r="G659" s="242"/>
      <c r="H659" s="257"/>
      <c r="I659" s="242"/>
    </row>
    <row r="660" spans="1:9" ht="15" customHeight="1" x14ac:dyDescent="0.15">
      <c r="A660" s="242"/>
      <c r="B660" s="242"/>
      <c r="C660" s="242"/>
      <c r="D660" s="256"/>
      <c r="E660" s="242"/>
      <c r="F660" s="257"/>
      <c r="G660" s="242"/>
      <c r="H660" s="257"/>
      <c r="I660" s="242"/>
    </row>
    <row r="661" spans="1:9" ht="15" customHeight="1" x14ac:dyDescent="0.15">
      <c r="A661" s="242"/>
      <c r="B661" s="242"/>
      <c r="C661" s="242"/>
      <c r="D661" s="256"/>
      <c r="E661" s="242"/>
      <c r="F661" s="257"/>
      <c r="G661" s="242"/>
      <c r="H661" s="257"/>
      <c r="I661" s="242"/>
    </row>
    <row r="662" spans="1:9" ht="15" customHeight="1" x14ac:dyDescent="0.15">
      <c r="A662" s="242"/>
      <c r="B662" s="242"/>
      <c r="C662" s="242"/>
      <c r="D662" s="256"/>
      <c r="E662" s="242"/>
      <c r="F662" s="257"/>
      <c r="G662" s="242"/>
      <c r="H662" s="257"/>
      <c r="I662" s="242"/>
    </row>
    <row r="663" spans="1:9" ht="15" customHeight="1" x14ac:dyDescent="0.15">
      <c r="A663" s="242"/>
      <c r="B663" s="242"/>
      <c r="C663" s="242"/>
      <c r="D663" s="256"/>
      <c r="E663" s="242"/>
      <c r="F663" s="257"/>
      <c r="G663" s="242"/>
      <c r="H663" s="257"/>
      <c r="I663" s="242"/>
    </row>
    <row r="664" spans="1:9" ht="15" customHeight="1" x14ac:dyDescent="0.15">
      <c r="A664" s="242"/>
      <c r="B664" s="242"/>
      <c r="C664" s="242"/>
      <c r="D664" s="256"/>
      <c r="E664" s="242"/>
      <c r="F664" s="257"/>
      <c r="G664" s="242"/>
      <c r="H664" s="257"/>
      <c r="I664" s="242"/>
    </row>
    <row r="665" spans="1:9" ht="15" customHeight="1" x14ac:dyDescent="0.15">
      <c r="A665" s="242"/>
      <c r="B665" s="242"/>
      <c r="C665" s="242"/>
      <c r="D665" s="256"/>
      <c r="E665" s="242"/>
      <c r="F665" s="257"/>
      <c r="G665" s="242"/>
      <c r="H665" s="257"/>
      <c r="I665" s="242"/>
    </row>
    <row r="666" spans="1:9" ht="15" customHeight="1" x14ac:dyDescent="0.15">
      <c r="A666" s="242"/>
      <c r="B666" s="242"/>
      <c r="C666" s="242"/>
      <c r="D666" s="256"/>
      <c r="E666" s="242"/>
      <c r="F666" s="257"/>
      <c r="G666" s="242"/>
      <c r="H666" s="257"/>
      <c r="I666" s="242"/>
    </row>
    <row r="667" spans="1:9" ht="15" customHeight="1" x14ac:dyDescent="0.15">
      <c r="A667" s="242"/>
      <c r="B667" s="242"/>
      <c r="C667" s="242"/>
      <c r="D667" s="256"/>
      <c r="E667" s="242"/>
      <c r="F667" s="257"/>
      <c r="G667" s="242"/>
      <c r="H667" s="257"/>
      <c r="I667" s="242"/>
    </row>
    <row r="668" spans="1:9" ht="15" customHeight="1" x14ac:dyDescent="0.15">
      <c r="A668" s="242"/>
      <c r="B668" s="242"/>
      <c r="C668" s="242"/>
      <c r="D668" s="256"/>
      <c r="E668" s="242"/>
      <c r="F668" s="257"/>
      <c r="G668" s="242"/>
      <c r="H668" s="257"/>
      <c r="I668" s="242"/>
    </row>
    <row r="669" spans="1:9" ht="15" customHeight="1" x14ac:dyDescent="0.15">
      <c r="A669" s="242"/>
      <c r="B669" s="242"/>
      <c r="C669" s="242"/>
      <c r="D669" s="256"/>
      <c r="E669" s="242"/>
      <c r="F669" s="257"/>
      <c r="G669" s="242"/>
      <c r="H669" s="257"/>
      <c r="I669" s="242"/>
    </row>
    <row r="670" spans="1:9" ht="15" customHeight="1" x14ac:dyDescent="0.15">
      <c r="A670" s="242"/>
      <c r="B670" s="242"/>
      <c r="C670" s="242"/>
      <c r="D670" s="256"/>
      <c r="E670" s="242"/>
      <c r="F670" s="257"/>
      <c r="G670" s="242"/>
      <c r="H670" s="257"/>
      <c r="I670" s="242"/>
    </row>
    <row r="671" spans="1:9" ht="15" customHeight="1" x14ac:dyDescent="0.15">
      <c r="A671" s="242"/>
      <c r="B671" s="242"/>
      <c r="C671" s="242"/>
      <c r="D671" s="256"/>
      <c r="E671" s="242"/>
      <c r="F671" s="257"/>
      <c r="G671" s="242"/>
      <c r="H671" s="257"/>
      <c r="I671" s="242"/>
    </row>
    <row r="672" spans="1:9" ht="15" customHeight="1" x14ac:dyDescent="0.15">
      <c r="A672" s="242"/>
      <c r="B672" s="242"/>
      <c r="C672" s="242"/>
      <c r="D672" s="256"/>
      <c r="E672" s="242"/>
      <c r="F672" s="257"/>
      <c r="G672" s="242"/>
      <c r="H672" s="257"/>
      <c r="I672" s="242"/>
    </row>
    <row r="673" spans="1:9" ht="15" customHeight="1" x14ac:dyDescent="0.15">
      <c r="A673" s="242"/>
      <c r="B673" s="242"/>
      <c r="C673" s="242"/>
      <c r="D673" s="256"/>
      <c r="E673" s="242"/>
      <c r="F673" s="257"/>
      <c r="G673" s="242"/>
      <c r="H673" s="257"/>
      <c r="I673" s="242"/>
    </row>
    <row r="674" spans="1:9" ht="15" customHeight="1" x14ac:dyDescent="0.15">
      <c r="A674" s="242"/>
      <c r="B674" s="242"/>
      <c r="C674" s="242"/>
      <c r="D674" s="256"/>
      <c r="E674" s="242"/>
      <c r="F674" s="257"/>
      <c r="G674" s="242"/>
      <c r="H674" s="257"/>
      <c r="I674" s="242"/>
    </row>
    <row r="675" spans="1:9" ht="15" customHeight="1" x14ac:dyDescent="0.15">
      <c r="A675" s="242"/>
      <c r="B675" s="242"/>
      <c r="C675" s="242"/>
      <c r="D675" s="256"/>
      <c r="E675" s="242"/>
      <c r="F675" s="257"/>
      <c r="G675" s="242"/>
      <c r="H675" s="257"/>
      <c r="I675" s="242"/>
    </row>
    <row r="676" spans="1:9" ht="15" customHeight="1" x14ac:dyDescent="0.15">
      <c r="A676" s="242"/>
      <c r="B676" s="242"/>
      <c r="C676" s="242"/>
      <c r="D676" s="256"/>
      <c r="E676" s="242"/>
      <c r="F676" s="257"/>
      <c r="G676" s="242"/>
      <c r="H676" s="257"/>
      <c r="I676" s="242"/>
    </row>
    <row r="677" spans="1:9" ht="15" customHeight="1" x14ac:dyDescent="0.15">
      <c r="A677" s="242"/>
      <c r="B677" s="242"/>
      <c r="C677" s="242"/>
      <c r="D677" s="256"/>
      <c r="E677" s="242"/>
      <c r="F677" s="257"/>
      <c r="G677" s="242"/>
      <c r="H677" s="257"/>
      <c r="I677" s="242"/>
    </row>
    <row r="678" spans="1:9" ht="15" customHeight="1" x14ac:dyDescent="0.15">
      <c r="A678" s="242"/>
      <c r="B678" s="242"/>
      <c r="C678" s="242"/>
      <c r="D678" s="256"/>
      <c r="E678" s="242"/>
      <c r="F678" s="257"/>
      <c r="G678" s="242"/>
      <c r="H678" s="257"/>
      <c r="I678" s="242"/>
    </row>
    <row r="679" spans="1:9" ht="15" customHeight="1" x14ac:dyDescent="0.15">
      <c r="A679" s="242"/>
      <c r="B679" s="242"/>
      <c r="C679" s="242"/>
      <c r="D679" s="256"/>
      <c r="E679" s="242"/>
      <c r="F679" s="257"/>
      <c r="G679" s="242"/>
      <c r="H679" s="257"/>
      <c r="I679" s="242"/>
    </row>
    <row r="680" spans="1:9" ht="15" customHeight="1" x14ac:dyDescent="0.15">
      <c r="A680" s="242"/>
      <c r="B680" s="242"/>
      <c r="C680" s="242"/>
      <c r="D680" s="256"/>
      <c r="E680" s="242"/>
      <c r="F680" s="257"/>
      <c r="G680" s="242"/>
      <c r="H680" s="257"/>
      <c r="I680" s="242"/>
    </row>
    <row r="681" spans="1:9" ht="15" customHeight="1" x14ac:dyDescent="0.15">
      <c r="A681" s="242"/>
      <c r="B681" s="242"/>
      <c r="C681" s="242"/>
      <c r="D681" s="256"/>
      <c r="E681" s="242"/>
      <c r="F681" s="257"/>
      <c r="G681" s="242"/>
      <c r="H681" s="257"/>
      <c r="I681" s="242"/>
    </row>
    <row r="682" spans="1:9" ht="15" customHeight="1" x14ac:dyDescent="0.15">
      <c r="A682" s="242"/>
      <c r="B682" s="242"/>
      <c r="C682" s="242"/>
      <c r="D682" s="256"/>
      <c r="E682" s="242"/>
      <c r="F682" s="257"/>
      <c r="G682" s="242"/>
      <c r="H682" s="257"/>
      <c r="I682" s="242"/>
    </row>
    <row r="683" spans="1:9" ht="15" customHeight="1" x14ac:dyDescent="0.15">
      <c r="A683" s="242"/>
      <c r="B683" s="242"/>
      <c r="C683" s="242"/>
      <c r="D683" s="256"/>
      <c r="E683" s="242"/>
      <c r="F683" s="257"/>
      <c r="G683" s="242"/>
      <c r="H683" s="257"/>
      <c r="I683" s="242"/>
    </row>
    <row r="684" spans="1:9" ht="15" customHeight="1" x14ac:dyDescent="0.15">
      <c r="A684" s="242"/>
      <c r="B684" s="242"/>
      <c r="C684" s="242"/>
      <c r="D684" s="256"/>
      <c r="E684" s="242"/>
      <c r="F684" s="257"/>
      <c r="G684" s="242"/>
      <c r="H684" s="257"/>
      <c r="I684" s="242"/>
    </row>
    <row r="685" spans="1:9" ht="15" customHeight="1" x14ac:dyDescent="0.15">
      <c r="A685" s="242"/>
      <c r="B685" s="242"/>
      <c r="C685" s="242"/>
      <c r="D685" s="256"/>
      <c r="E685" s="242"/>
      <c r="F685" s="257"/>
      <c r="G685" s="242"/>
      <c r="H685" s="257"/>
      <c r="I685" s="242"/>
    </row>
    <row r="686" spans="1:9" ht="15" customHeight="1" x14ac:dyDescent="0.15">
      <c r="A686" s="242"/>
      <c r="B686" s="242"/>
      <c r="C686" s="242"/>
      <c r="D686" s="256"/>
      <c r="E686" s="242"/>
      <c r="F686" s="257"/>
      <c r="G686" s="242"/>
      <c r="H686" s="257"/>
      <c r="I686" s="242"/>
    </row>
    <row r="687" spans="1:9" ht="15" customHeight="1" x14ac:dyDescent="0.15">
      <c r="A687" s="242"/>
      <c r="B687" s="242"/>
      <c r="C687" s="242"/>
      <c r="D687" s="256"/>
      <c r="E687" s="242"/>
      <c r="F687" s="257"/>
      <c r="G687" s="242"/>
      <c r="H687" s="257"/>
      <c r="I687" s="242"/>
    </row>
    <row r="688" spans="1:9" ht="15" customHeight="1" x14ac:dyDescent="0.15">
      <c r="A688" s="242"/>
      <c r="B688" s="242"/>
      <c r="C688" s="242"/>
      <c r="D688" s="256"/>
      <c r="E688" s="242"/>
      <c r="F688" s="257"/>
      <c r="G688" s="242"/>
      <c r="H688" s="257"/>
      <c r="I688" s="242"/>
    </row>
    <row r="689" spans="1:9" ht="15" customHeight="1" x14ac:dyDescent="0.15">
      <c r="A689" s="242"/>
      <c r="B689" s="242"/>
      <c r="C689" s="242"/>
      <c r="D689" s="256"/>
      <c r="E689" s="242"/>
      <c r="F689" s="257"/>
      <c r="G689" s="242"/>
      <c r="H689" s="257"/>
      <c r="I689" s="242"/>
    </row>
    <row r="690" spans="1:9" ht="15" customHeight="1" x14ac:dyDescent="0.15">
      <c r="A690" s="242"/>
      <c r="B690" s="242"/>
      <c r="C690" s="242"/>
      <c r="D690" s="256"/>
      <c r="E690" s="242"/>
      <c r="F690" s="257"/>
      <c r="G690" s="242"/>
      <c r="H690" s="257"/>
      <c r="I690" s="242"/>
    </row>
    <row r="691" spans="1:9" ht="15" customHeight="1" x14ac:dyDescent="0.15">
      <c r="A691" s="242"/>
      <c r="B691" s="242"/>
      <c r="C691" s="242"/>
      <c r="D691" s="256"/>
      <c r="E691" s="242"/>
      <c r="F691" s="257"/>
      <c r="G691" s="242"/>
      <c r="H691" s="257"/>
      <c r="I691" s="242"/>
    </row>
    <row r="692" spans="1:9" ht="15" customHeight="1" x14ac:dyDescent="0.15">
      <c r="A692" s="242"/>
      <c r="B692" s="242"/>
      <c r="C692" s="242"/>
      <c r="D692" s="256"/>
      <c r="E692" s="242"/>
      <c r="F692" s="257"/>
      <c r="G692" s="242"/>
      <c r="H692" s="257"/>
      <c r="I692" s="242"/>
    </row>
    <row r="693" spans="1:9" ht="15" customHeight="1" x14ac:dyDescent="0.15">
      <c r="A693" s="242"/>
      <c r="B693" s="242"/>
      <c r="C693" s="242"/>
      <c r="D693" s="256"/>
      <c r="E693" s="242"/>
      <c r="F693" s="257"/>
      <c r="G693" s="242"/>
      <c r="H693" s="257"/>
      <c r="I693" s="242"/>
    </row>
    <row r="694" spans="1:9" ht="15" customHeight="1" x14ac:dyDescent="0.15">
      <c r="A694" s="242"/>
      <c r="B694" s="242"/>
      <c r="C694" s="242"/>
      <c r="D694" s="256"/>
      <c r="E694" s="242"/>
      <c r="F694" s="257"/>
      <c r="G694" s="242"/>
      <c r="H694" s="257"/>
      <c r="I694" s="242"/>
    </row>
    <row r="695" spans="1:9" ht="15" customHeight="1" x14ac:dyDescent="0.15">
      <c r="A695" s="242"/>
      <c r="B695" s="242"/>
      <c r="C695" s="242"/>
      <c r="D695" s="256"/>
      <c r="E695" s="242"/>
      <c r="F695" s="257"/>
      <c r="G695" s="242"/>
      <c r="H695" s="257"/>
      <c r="I695" s="242"/>
    </row>
    <row r="696" spans="1:9" ht="15" customHeight="1" x14ac:dyDescent="0.15">
      <c r="A696" s="242"/>
      <c r="B696" s="242"/>
      <c r="C696" s="242"/>
      <c r="D696" s="256"/>
      <c r="E696" s="242"/>
      <c r="F696" s="257"/>
      <c r="G696" s="242"/>
      <c r="H696" s="257"/>
      <c r="I696" s="242"/>
    </row>
    <row r="697" spans="1:9" ht="15" customHeight="1" x14ac:dyDescent="0.15">
      <c r="A697" s="242"/>
      <c r="B697" s="242"/>
      <c r="C697" s="242"/>
      <c r="D697" s="256"/>
      <c r="E697" s="242"/>
      <c r="F697" s="257"/>
      <c r="G697" s="242"/>
      <c r="H697" s="257"/>
      <c r="I697" s="242"/>
    </row>
    <row r="698" spans="1:9" ht="15" customHeight="1" x14ac:dyDescent="0.15">
      <c r="A698" s="242"/>
      <c r="B698" s="242"/>
      <c r="C698" s="242"/>
      <c r="D698" s="256"/>
      <c r="E698" s="242"/>
      <c r="F698" s="257"/>
      <c r="G698" s="242"/>
      <c r="H698" s="257"/>
      <c r="I698" s="242"/>
    </row>
    <row r="699" spans="1:9" ht="15" customHeight="1" x14ac:dyDescent="0.15">
      <c r="A699" s="242"/>
      <c r="B699" s="242"/>
      <c r="C699" s="242"/>
      <c r="D699" s="256"/>
      <c r="E699" s="242"/>
      <c r="F699" s="257"/>
      <c r="G699" s="242"/>
      <c r="H699" s="257"/>
      <c r="I699" s="242"/>
    </row>
    <row r="700" spans="1:9" ht="15" customHeight="1" x14ac:dyDescent="0.15">
      <c r="A700" s="242"/>
      <c r="B700" s="242"/>
      <c r="C700" s="242"/>
      <c r="D700" s="256"/>
      <c r="E700" s="242"/>
      <c r="F700" s="257"/>
      <c r="G700" s="242"/>
      <c r="H700" s="257"/>
      <c r="I700" s="242"/>
    </row>
    <row r="701" spans="1:9" ht="15" customHeight="1" x14ac:dyDescent="0.15">
      <c r="A701" s="242"/>
      <c r="B701" s="242"/>
      <c r="C701" s="242"/>
      <c r="D701" s="256"/>
      <c r="E701" s="242"/>
      <c r="F701" s="257"/>
      <c r="G701" s="242"/>
      <c r="H701" s="257"/>
      <c r="I701" s="242"/>
    </row>
    <row r="702" spans="1:9" ht="15" customHeight="1" x14ac:dyDescent="0.15">
      <c r="A702" s="242"/>
      <c r="B702" s="242"/>
      <c r="C702" s="242"/>
      <c r="D702" s="256"/>
      <c r="E702" s="242"/>
      <c r="F702" s="257"/>
      <c r="G702" s="242"/>
      <c r="H702" s="257"/>
      <c r="I702" s="242"/>
    </row>
    <row r="703" spans="1:9" ht="15" customHeight="1" x14ac:dyDescent="0.15">
      <c r="A703" s="242"/>
      <c r="B703" s="242"/>
      <c r="C703" s="242"/>
      <c r="D703" s="256"/>
      <c r="E703" s="242"/>
      <c r="F703" s="257"/>
      <c r="G703" s="242"/>
      <c r="H703" s="257"/>
      <c r="I703" s="242"/>
    </row>
    <row r="704" spans="1:9" ht="15" customHeight="1" x14ac:dyDescent="0.15">
      <c r="A704" s="242"/>
      <c r="B704" s="242"/>
      <c r="C704" s="242"/>
      <c r="D704" s="256"/>
      <c r="E704" s="242"/>
      <c r="F704" s="257"/>
      <c r="G704" s="242"/>
      <c r="H704" s="257"/>
      <c r="I704" s="242"/>
    </row>
    <row r="705" spans="1:9" ht="15" customHeight="1" x14ac:dyDescent="0.15">
      <c r="A705" s="242"/>
      <c r="B705" s="242"/>
      <c r="C705" s="242"/>
      <c r="D705" s="256"/>
      <c r="E705" s="242"/>
      <c r="F705" s="257"/>
      <c r="G705" s="242"/>
      <c r="H705" s="257"/>
      <c r="I705" s="242"/>
    </row>
    <row r="706" spans="1:9" ht="15" customHeight="1" x14ac:dyDescent="0.15">
      <c r="A706" s="242"/>
      <c r="B706" s="242"/>
      <c r="C706" s="242"/>
      <c r="D706" s="256"/>
      <c r="E706" s="242"/>
      <c r="F706" s="257"/>
      <c r="G706" s="242"/>
      <c r="H706" s="257"/>
      <c r="I706" s="242"/>
    </row>
    <row r="707" spans="1:9" ht="15" customHeight="1" x14ac:dyDescent="0.15">
      <c r="A707" s="242"/>
      <c r="B707" s="242"/>
      <c r="C707" s="242"/>
      <c r="D707" s="256"/>
      <c r="E707" s="242"/>
      <c r="F707" s="257"/>
      <c r="G707" s="242"/>
      <c r="H707" s="257"/>
      <c r="I707" s="242"/>
    </row>
    <row r="708" spans="1:9" ht="15" customHeight="1" x14ac:dyDescent="0.15">
      <c r="A708" s="242"/>
      <c r="B708" s="242"/>
      <c r="C708" s="242"/>
      <c r="D708" s="256"/>
      <c r="E708" s="242"/>
      <c r="F708" s="257"/>
      <c r="G708" s="242"/>
      <c r="H708" s="257"/>
      <c r="I708" s="242"/>
    </row>
    <row r="709" spans="1:9" ht="15" customHeight="1" x14ac:dyDescent="0.15">
      <c r="A709" s="242"/>
      <c r="B709" s="242"/>
      <c r="C709" s="242"/>
      <c r="D709" s="256"/>
      <c r="E709" s="242"/>
      <c r="F709" s="257"/>
      <c r="G709" s="242"/>
      <c r="H709" s="257"/>
      <c r="I709" s="242"/>
    </row>
    <row r="710" spans="1:9" ht="15" customHeight="1" x14ac:dyDescent="0.15">
      <c r="A710" s="242"/>
      <c r="B710" s="242"/>
      <c r="C710" s="242"/>
      <c r="D710" s="256"/>
      <c r="E710" s="242"/>
      <c r="F710" s="257"/>
      <c r="G710" s="242"/>
      <c r="H710" s="257"/>
      <c r="I710" s="242"/>
    </row>
    <row r="711" spans="1:9" ht="15" customHeight="1" x14ac:dyDescent="0.15">
      <c r="A711" s="242"/>
      <c r="B711" s="242"/>
      <c r="C711" s="242"/>
      <c r="D711" s="256"/>
      <c r="E711" s="242"/>
      <c r="F711" s="257"/>
      <c r="G711" s="242"/>
      <c r="H711" s="257"/>
      <c r="I711" s="242"/>
    </row>
    <row r="712" spans="1:9" ht="15" customHeight="1" x14ac:dyDescent="0.15">
      <c r="A712" s="242"/>
      <c r="B712" s="242"/>
      <c r="C712" s="242"/>
      <c r="D712" s="256"/>
      <c r="E712" s="242"/>
      <c r="F712" s="257"/>
      <c r="G712" s="242"/>
      <c r="H712" s="257"/>
      <c r="I712" s="242"/>
    </row>
    <row r="713" spans="1:9" ht="15" customHeight="1" x14ac:dyDescent="0.15">
      <c r="A713" s="242"/>
      <c r="B713" s="242"/>
      <c r="C713" s="242"/>
      <c r="D713" s="256"/>
      <c r="E713" s="242"/>
      <c r="F713" s="257"/>
      <c r="G713" s="242"/>
      <c r="H713" s="257"/>
      <c r="I713" s="242"/>
    </row>
    <row r="714" spans="1:9" ht="15" customHeight="1" x14ac:dyDescent="0.15">
      <c r="A714" s="242"/>
      <c r="B714" s="242"/>
      <c r="C714" s="242"/>
      <c r="D714" s="256"/>
      <c r="E714" s="242"/>
      <c r="F714" s="257"/>
      <c r="G714" s="242"/>
      <c r="H714" s="257"/>
      <c r="I714" s="242"/>
    </row>
    <row r="715" spans="1:9" ht="15" customHeight="1" x14ac:dyDescent="0.15">
      <c r="A715" s="242"/>
      <c r="B715" s="242"/>
      <c r="C715" s="242"/>
      <c r="D715" s="256"/>
      <c r="E715" s="242"/>
      <c r="F715" s="257"/>
      <c r="G715" s="242"/>
      <c r="H715" s="257"/>
      <c r="I715" s="242"/>
    </row>
    <row r="716" spans="1:9" ht="15" customHeight="1" x14ac:dyDescent="0.15">
      <c r="A716" s="242"/>
      <c r="B716" s="242"/>
      <c r="C716" s="242"/>
      <c r="D716" s="256"/>
      <c r="E716" s="242"/>
      <c r="F716" s="257"/>
      <c r="G716" s="242"/>
      <c r="H716" s="257"/>
      <c r="I716" s="242"/>
    </row>
    <row r="717" spans="1:9" ht="15" customHeight="1" x14ac:dyDescent="0.15">
      <c r="A717" s="242"/>
      <c r="B717" s="242"/>
      <c r="C717" s="242"/>
      <c r="D717" s="256"/>
      <c r="E717" s="242"/>
      <c r="F717" s="257"/>
      <c r="G717" s="242"/>
      <c r="H717" s="257"/>
      <c r="I717" s="242"/>
    </row>
    <row r="718" spans="1:9" ht="15" customHeight="1" x14ac:dyDescent="0.15">
      <c r="A718" s="242"/>
      <c r="B718" s="242"/>
      <c r="C718" s="242"/>
      <c r="D718" s="256"/>
      <c r="E718" s="242"/>
      <c r="F718" s="257"/>
      <c r="G718" s="242"/>
      <c r="H718" s="257"/>
      <c r="I718" s="242"/>
    </row>
    <row r="719" spans="1:9" ht="15" customHeight="1" x14ac:dyDescent="0.15">
      <c r="A719" s="242"/>
      <c r="B719" s="242"/>
      <c r="C719" s="242"/>
      <c r="D719" s="256"/>
      <c r="E719" s="242"/>
      <c r="F719" s="257"/>
      <c r="G719" s="242"/>
      <c r="H719" s="257"/>
      <c r="I719" s="242"/>
    </row>
    <row r="720" spans="1:9" ht="15" customHeight="1" x14ac:dyDescent="0.15">
      <c r="A720" s="242"/>
      <c r="B720" s="242"/>
      <c r="C720" s="242"/>
      <c r="D720" s="256"/>
      <c r="E720" s="242"/>
      <c r="F720" s="257"/>
      <c r="G720" s="242"/>
      <c r="H720" s="257"/>
      <c r="I720" s="242"/>
    </row>
    <row r="721" spans="1:9" ht="15" customHeight="1" x14ac:dyDescent="0.15">
      <c r="A721" s="242"/>
      <c r="B721" s="242"/>
      <c r="C721" s="242"/>
      <c r="D721" s="256"/>
      <c r="E721" s="242"/>
      <c r="F721" s="257"/>
      <c r="G721" s="242"/>
      <c r="H721" s="257"/>
      <c r="I721" s="242"/>
    </row>
    <row r="722" spans="1:9" ht="15" customHeight="1" x14ac:dyDescent="0.15">
      <c r="A722" s="242"/>
      <c r="B722" s="242"/>
      <c r="C722" s="242"/>
      <c r="D722" s="256"/>
      <c r="E722" s="242"/>
      <c r="F722" s="257"/>
      <c r="G722" s="242"/>
      <c r="H722" s="257"/>
      <c r="I722" s="242"/>
    </row>
    <row r="723" spans="1:9" ht="15" customHeight="1" x14ac:dyDescent="0.15">
      <c r="A723" s="242"/>
      <c r="B723" s="242"/>
      <c r="C723" s="242"/>
      <c r="D723" s="256"/>
      <c r="E723" s="242"/>
      <c r="F723" s="257"/>
      <c r="G723" s="242"/>
      <c r="H723" s="257"/>
      <c r="I723" s="242"/>
    </row>
    <row r="724" spans="1:9" ht="15" customHeight="1" x14ac:dyDescent="0.15">
      <c r="A724" s="242"/>
      <c r="B724" s="242"/>
      <c r="C724" s="242"/>
      <c r="D724" s="256"/>
      <c r="E724" s="242"/>
      <c r="F724" s="257"/>
      <c r="G724" s="242"/>
      <c r="H724" s="257"/>
      <c r="I724" s="242"/>
    </row>
    <row r="725" spans="1:9" ht="15" customHeight="1" x14ac:dyDescent="0.15">
      <c r="A725" s="242"/>
      <c r="B725" s="242"/>
      <c r="C725" s="242"/>
      <c r="D725" s="256"/>
      <c r="E725" s="242"/>
      <c r="F725" s="257"/>
      <c r="G725" s="242"/>
      <c r="H725" s="257"/>
      <c r="I725" s="242"/>
    </row>
    <row r="726" spans="1:9" ht="15" customHeight="1" x14ac:dyDescent="0.15">
      <c r="A726" s="242"/>
      <c r="B726" s="242"/>
      <c r="C726" s="242"/>
      <c r="D726" s="256"/>
      <c r="E726" s="242"/>
      <c r="F726" s="257"/>
      <c r="G726" s="242"/>
      <c r="H726" s="257"/>
      <c r="I726" s="242"/>
    </row>
    <row r="727" spans="1:9" ht="15" customHeight="1" x14ac:dyDescent="0.15">
      <c r="A727" s="242"/>
      <c r="B727" s="242"/>
      <c r="C727" s="242"/>
      <c r="D727" s="256"/>
      <c r="E727" s="242"/>
      <c r="F727" s="257"/>
      <c r="G727" s="242"/>
      <c r="H727" s="257"/>
      <c r="I727" s="242"/>
    </row>
    <row r="728" spans="1:9" ht="15" customHeight="1" x14ac:dyDescent="0.15">
      <c r="A728" s="242"/>
      <c r="B728" s="242"/>
      <c r="C728" s="242"/>
      <c r="D728" s="256"/>
      <c r="E728" s="242"/>
      <c r="F728" s="257"/>
      <c r="G728" s="242"/>
      <c r="H728" s="257"/>
      <c r="I728" s="242"/>
    </row>
    <row r="729" spans="1:9" ht="15" customHeight="1" x14ac:dyDescent="0.15">
      <c r="A729" s="242"/>
      <c r="B729" s="242"/>
      <c r="C729" s="242"/>
      <c r="D729" s="256"/>
      <c r="E729" s="242"/>
      <c r="F729" s="257"/>
      <c r="G729" s="242"/>
      <c r="H729" s="257"/>
      <c r="I729" s="242"/>
    </row>
    <row r="730" spans="1:9" ht="15" customHeight="1" x14ac:dyDescent="0.15">
      <c r="A730" s="242"/>
      <c r="B730" s="242"/>
      <c r="C730" s="242"/>
      <c r="D730" s="256"/>
      <c r="E730" s="242"/>
      <c r="F730" s="257"/>
      <c r="G730" s="242"/>
      <c r="H730" s="257"/>
      <c r="I730" s="242"/>
    </row>
    <row r="731" spans="1:9" ht="15" customHeight="1" x14ac:dyDescent="0.15">
      <c r="A731" s="242"/>
      <c r="B731" s="242"/>
      <c r="C731" s="242"/>
      <c r="D731" s="256"/>
      <c r="E731" s="242"/>
      <c r="F731" s="257"/>
      <c r="G731" s="242"/>
      <c r="H731" s="257"/>
      <c r="I731" s="242"/>
    </row>
    <row r="732" spans="1:9" ht="15" customHeight="1" x14ac:dyDescent="0.15">
      <c r="A732" s="242"/>
      <c r="B732" s="242"/>
      <c r="C732" s="242"/>
      <c r="D732" s="256"/>
      <c r="E732" s="242"/>
      <c r="F732" s="257"/>
      <c r="G732" s="242"/>
      <c r="H732" s="257"/>
      <c r="I732" s="242"/>
    </row>
    <row r="733" spans="1:9" ht="15" customHeight="1" x14ac:dyDescent="0.15">
      <c r="A733" s="242"/>
      <c r="B733" s="242"/>
      <c r="C733" s="242"/>
      <c r="D733" s="256"/>
      <c r="E733" s="242"/>
      <c r="F733" s="257"/>
      <c r="G733" s="242"/>
      <c r="H733" s="257"/>
      <c r="I733" s="242"/>
    </row>
    <row r="734" spans="1:9" ht="15" customHeight="1" x14ac:dyDescent="0.15">
      <c r="A734" s="242"/>
      <c r="B734" s="242"/>
      <c r="C734" s="242"/>
      <c r="D734" s="256"/>
      <c r="E734" s="242"/>
      <c r="F734" s="257"/>
      <c r="G734" s="242"/>
      <c r="H734" s="257"/>
      <c r="I734" s="242"/>
    </row>
    <row r="735" spans="1:9" ht="15" customHeight="1" x14ac:dyDescent="0.15">
      <c r="A735" s="242"/>
      <c r="B735" s="242"/>
      <c r="C735" s="242"/>
      <c r="D735" s="256"/>
      <c r="E735" s="242"/>
      <c r="F735" s="257"/>
      <c r="G735" s="242"/>
      <c r="H735" s="257"/>
      <c r="I735" s="242"/>
    </row>
    <row r="736" spans="1:9" ht="15" customHeight="1" x14ac:dyDescent="0.15">
      <c r="A736" s="242"/>
      <c r="B736" s="242"/>
      <c r="C736" s="242"/>
      <c r="D736" s="256"/>
      <c r="E736" s="242"/>
      <c r="F736" s="257"/>
      <c r="G736" s="242"/>
      <c r="H736" s="257"/>
      <c r="I736" s="242"/>
    </row>
    <row r="737" spans="1:9" ht="15" customHeight="1" x14ac:dyDescent="0.15">
      <c r="A737" s="242"/>
      <c r="B737" s="242"/>
      <c r="C737" s="242"/>
      <c r="D737" s="256"/>
      <c r="E737" s="242"/>
      <c r="F737" s="257"/>
      <c r="G737" s="242"/>
      <c r="H737" s="257"/>
      <c r="I737" s="242"/>
    </row>
    <row r="738" spans="1:9" ht="15" customHeight="1" x14ac:dyDescent="0.15">
      <c r="A738" s="242"/>
      <c r="B738" s="242"/>
      <c r="C738" s="242"/>
      <c r="D738" s="256"/>
      <c r="E738" s="242"/>
      <c r="F738" s="257"/>
      <c r="G738" s="242"/>
      <c r="H738" s="257"/>
      <c r="I738" s="242"/>
    </row>
    <row r="739" spans="1:9" ht="15" customHeight="1" x14ac:dyDescent="0.15">
      <c r="A739" s="242"/>
      <c r="B739" s="242"/>
      <c r="C739" s="242"/>
      <c r="D739" s="256"/>
      <c r="E739" s="242"/>
      <c r="F739" s="257"/>
      <c r="G739" s="242"/>
      <c r="H739" s="257"/>
      <c r="I739" s="242"/>
    </row>
    <row r="740" spans="1:9" ht="15" customHeight="1" x14ac:dyDescent="0.15">
      <c r="A740" s="242"/>
      <c r="B740" s="242"/>
      <c r="C740" s="242"/>
      <c r="D740" s="256"/>
      <c r="E740" s="242"/>
      <c r="F740" s="257"/>
      <c r="G740" s="242"/>
      <c r="H740" s="257"/>
      <c r="I740" s="242"/>
    </row>
    <row r="741" spans="1:9" ht="15" customHeight="1" x14ac:dyDescent="0.15">
      <c r="A741" s="242"/>
      <c r="B741" s="242"/>
      <c r="C741" s="242"/>
      <c r="D741" s="256"/>
      <c r="E741" s="242"/>
      <c r="F741" s="257"/>
      <c r="G741" s="242"/>
      <c r="H741" s="257"/>
      <c r="I741" s="242"/>
    </row>
    <row r="742" spans="1:9" ht="15" customHeight="1" x14ac:dyDescent="0.15">
      <c r="A742" s="242"/>
      <c r="B742" s="242"/>
      <c r="C742" s="242"/>
      <c r="D742" s="256"/>
      <c r="E742" s="242"/>
      <c r="F742" s="257"/>
      <c r="G742" s="242"/>
      <c r="H742" s="257"/>
      <c r="I742" s="242"/>
    </row>
    <row r="743" spans="1:9" ht="15" customHeight="1" x14ac:dyDescent="0.15">
      <c r="A743" s="242"/>
      <c r="B743" s="242"/>
      <c r="C743" s="242"/>
      <c r="D743" s="256"/>
      <c r="E743" s="242"/>
      <c r="F743" s="257"/>
      <c r="G743" s="242"/>
      <c r="H743" s="257"/>
      <c r="I743" s="242"/>
    </row>
    <row r="744" spans="1:9" ht="15" customHeight="1" x14ac:dyDescent="0.15">
      <c r="A744" s="242"/>
      <c r="B744" s="242"/>
      <c r="C744" s="242"/>
      <c r="D744" s="256"/>
      <c r="E744" s="242"/>
      <c r="F744" s="257"/>
      <c r="G744" s="242"/>
      <c r="H744" s="257"/>
      <c r="I744" s="242"/>
    </row>
    <row r="745" spans="1:9" ht="15" customHeight="1" x14ac:dyDescent="0.15">
      <c r="A745" s="242"/>
      <c r="B745" s="242"/>
      <c r="C745" s="242"/>
      <c r="D745" s="256"/>
      <c r="E745" s="242"/>
      <c r="F745" s="257"/>
      <c r="G745" s="242"/>
      <c r="H745" s="257"/>
      <c r="I745" s="242"/>
    </row>
    <row r="746" spans="1:9" ht="15" customHeight="1" x14ac:dyDescent="0.15">
      <c r="A746" s="242"/>
      <c r="B746" s="242"/>
      <c r="C746" s="242"/>
      <c r="D746" s="256"/>
      <c r="E746" s="242"/>
      <c r="F746" s="257"/>
      <c r="G746" s="242"/>
      <c r="H746" s="257"/>
      <c r="I746" s="242"/>
    </row>
    <row r="747" spans="1:9" ht="15" customHeight="1" x14ac:dyDescent="0.15">
      <c r="A747" s="242"/>
      <c r="B747" s="242"/>
      <c r="C747" s="242"/>
      <c r="D747" s="256"/>
      <c r="E747" s="242"/>
      <c r="F747" s="257"/>
      <c r="G747" s="242"/>
      <c r="H747" s="257"/>
      <c r="I747" s="242"/>
    </row>
    <row r="748" spans="1:9" ht="15" customHeight="1" x14ac:dyDescent="0.15">
      <c r="A748" s="242"/>
      <c r="B748" s="242"/>
      <c r="C748" s="242"/>
      <c r="D748" s="256"/>
      <c r="E748" s="242"/>
      <c r="F748" s="257"/>
      <c r="G748" s="242"/>
      <c r="H748" s="257"/>
      <c r="I748" s="242"/>
    </row>
    <row r="749" spans="1:9" ht="15" customHeight="1" x14ac:dyDescent="0.15">
      <c r="A749" s="242"/>
      <c r="B749" s="242"/>
      <c r="C749" s="242"/>
      <c r="D749" s="256"/>
      <c r="E749" s="242"/>
      <c r="F749" s="257"/>
      <c r="G749" s="242"/>
      <c r="H749" s="257"/>
      <c r="I749" s="242"/>
    </row>
    <row r="750" spans="1:9" ht="15" customHeight="1" x14ac:dyDescent="0.15">
      <c r="A750" s="242"/>
      <c r="B750" s="242"/>
      <c r="C750" s="242"/>
      <c r="D750" s="256"/>
      <c r="E750" s="242"/>
      <c r="F750" s="257"/>
      <c r="G750" s="242"/>
      <c r="H750" s="257"/>
      <c r="I750" s="242"/>
    </row>
    <row r="751" spans="1:9" ht="15" customHeight="1" x14ac:dyDescent="0.15">
      <c r="A751" s="242"/>
      <c r="B751" s="242"/>
      <c r="C751" s="242"/>
      <c r="D751" s="256"/>
      <c r="E751" s="242"/>
      <c r="F751" s="257"/>
      <c r="G751" s="242"/>
      <c r="H751" s="257"/>
      <c r="I751" s="242"/>
    </row>
    <row r="752" spans="1:9" ht="15" customHeight="1" x14ac:dyDescent="0.15">
      <c r="A752" s="242"/>
      <c r="B752" s="242"/>
      <c r="C752" s="242"/>
      <c r="D752" s="256"/>
      <c r="E752" s="242"/>
      <c r="F752" s="257"/>
      <c r="G752" s="242"/>
      <c r="H752" s="257"/>
      <c r="I752" s="242"/>
    </row>
    <row r="753" spans="1:9" ht="15" customHeight="1" x14ac:dyDescent="0.15">
      <c r="A753" s="242"/>
      <c r="B753" s="242"/>
      <c r="C753" s="242"/>
      <c r="D753" s="256"/>
      <c r="E753" s="242"/>
      <c r="F753" s="257"/>
      <c r="G753" s="242"/>
      <c r="H753" s="257"/>
      <c r="I753" s="242"/>
    </row>
    <row r="754" spans="1:9" ht="15" customHeight="1" x14ac:dyDescent="0.15">
      <c r="A754" s="242"/>
      <c r="B754" s="242"/>
      <c r="C754" s="242"/>
      <c r="D754" s="256"/>
      <c r="E754" s="242"/>
      <c r="F754" s="257"/>
      <c r="G754" s="242"/>
      <c r="H754" s="257"/>
      <c r="I754" s="242"/>
    </row>
    <row r="755" spans="1:9" ht="15" customHeight="1" x14ac:dyDescent="0.15">
      <c r="A755" s="242"/>
      <c r="B755" s="242"/>
      <c r="C755" s="242"/>
      <c r="D755" s="256"/>
      <c r="E755" s="242"/>
      <c r="F755" s="257"/>
      <c r="G755" s="242"/>
      <c r="H755" s="257"/>
      <c r="I755" s="242"/>
    </row>
    <row r="756" spans="1:9" ht="15" customHeight="1" x14ac:dyDescent="0.15">
      <c r="A756" s="242"/>
      <c r="B756" s="242"/>
      <c r="C756" s="242"/>
      <c r="D756" s="256"/>
      <c r="E756" s="242"/>
      <c r="F756" s="257"/>
      <c r="G756" s="242"/>
      <c r="H756" s="257"/>
      <c r="I756" s="242"/>
    </row>
    <row r="757" spans="1:9" ht="15" customHeight="1" x14ac:dyDescent="0.15">
      <c r="A757" s="242"/>
      <c r="B757" s="242"/>
      <c r="C757" s="242"/>
      <c r="D757" s="256"/>
      <c r="E757" s="242"/>
      <c r="F757" s="257"/>
      <c r="G757" s="242"/>
      <c r="H757" s="257"/>
      <c r="I757" s="242"/>
    </row>
    <row r="758" spans="1:9" ht="15" customHeight="1" x14ac:dyDescent="0.15">
      <c r="A758" s="242"/>
      <c r="B758" s="242"/>
      <c r="C758" s="242"/>
      <c r="D758" s="256"/>
      <c r="E758" s="242"/>
      <c r="F758" s="257"/>
      <c r="G758" s="242"/>
      <c r="H758" s="257"/>
      <c r="I758" s="242"/>
    </row>
    <row r="759" spans="1:9" ht="15" customHeight="1" x14ac:dyDescent="0.15">
      <c r="A759" s="242"/>
      <c r="B759" s="242"/>
      <c r="C759" s="242"/>
      <c r="D759" s="256"/>
      <c r="E759" s="242"/>
      <c r="F759" s="257"/>
      <c r="G759" s="242"/>
      <c r="H759" s="257"/>
      <c r="I759" s="242"/>
    </row>
    <row r="760" spans="1:9" ht="15" customHeight="1" x14ac:dyDescent="0.15">
      <c r="A760" s="242"/>
      <c r="B760" s="242"/>
      <c r="C760" s="242"/>
      <c r="D760" s="256"/>
      <c r="E760" s="242"/>
      <c r="F760" s="257"/>
      <c r="G760" s="242"/>
      <c r="H760" s="257"/>
      <c r="I760" s="242"/>
    </row>
    <row r="761" spans="1:9" ht="15" customHeight="1" x14ac:dyDescent="0.15">
      <c r="A761" s="242"/>
      <c r="B761" s="242"/>
      <c r="C761" s="242"/>
      <c r="D761" s="256"/>
      <c r="E761" s="242"/>
      <c r="F761" s="257"/>
      <c r="G761" s="242"/>
      <c r="H761" s="257"/>
      <c r="I761" s="242"/>
    </row>
    <row r="762" spans="1:9" ht="15" customHeight="1" x14ac:dyDescent="0.15">
      <c r="A762" s="242"/>
      <c r="B762" s="242"/>
      <c r="C762" s="242"/>
      <c r="D762" s="256"/>
      <c r="E762" s="242"/>
      <c r="F762" s="257"/>
      <c r="G762" s="242"/>
      <c r="H762" s="257"/>
      <c r="I762" s="242"/>
    </row>
    <row r="763" spans="1:9" ht="15" customHeight="1" x14ac:dyDescent="0.15">
      <c r="A763" s="242"/>
      <c r="B763" s="242"/>
      <c r="C763" s="242"/>
      <c r="D763" s="256"/>
      <c r="E763" s="242"/>
      <c r="F763" s="257"/>
      <c r="G763" s="242"/>
      <c r="H763" s="257"/>
      <c r="I763" s="242"/>
    </row>
    <row r="764" spans="1:9" ht="15" customHeight="1" x14ac:dyDescent="0.15">
      <c r="A764" s="242"/>
      <c r="B764" s="242"/>
      <c r="C764" s="242"/>
      <c r="D764" s="256"/>
      <c r="E764" s="242"/>
      <c r="F764" s="257"/>
      <c r="G764" s="242"/>
      <c r="H764" s="257"/>
      <c r="I764" s="242"/>
    </row>
    <row r="765" spans="1:9" ht="15" customHeight="1" x14ac:dyDescent="0.15">
      <c r="A765" s="242"/>
      <c r="B765" s="242"/>
      <c r="C765" s="242"/>
      <c r="D765" s="256"/>
      <c r="E765" s="242"/>
      <c r="F765" s="257"/>
      <c r="G765" s="242"/>
      <c r="H765" s="257"/>
      <c r="I765" s="242"/>
    </row>
    <row r="766" spans="1:9" ht="15" customHeight="1" x14ac:dyDescent="0.15">
      <c r="A766" s="242"/>
      <c r="B766" s="242"/>
      <c r="C766" s="242"/>
      <c r="D766" s="256"/>
      <c r="E766" s="242"/>
      <c r="F766" s="257"/>
      <c r="G766" s="242"/>
      <c r="H766" s="257"/>
      <c r="I766" s="242"/>
    </row>
    <row r="767" spans="1:9" ht="15" customHeight="1" x14ac:dyDescent="0.15">
      <c r="A767" s="242"/>
      <c r="B767" s="242"/>
      <c r="C767" s="242"/>
      <c r="D767" s="256"/>
      <c r="E767" s="242"/>
      <c r="F767" s="257"/>
      <c r="G767" s="242"/>
      <c r="H767" s="257"/>
      <c r="I767" s="242"/>
    </row>
    <row r="768" spans="1:9" ht="15" customHeight="1" x14ac:dyDescent="0.15">
      <c r="A768" s="242"/>
      <c r="B768" s="242"/>
      <c r="C768" s="242"/>
      <c r="D768" s="256"/>
      <c r="E768" s="242"/>
      <c r="F768" s="257"/>
      <c r="G768" s="242"/>
      <c r="H768" s="257"/>
      <c r="I768" s="242"/>
    </row>
    <row r="769" spans="1:9" ht="15" customHeight="1" x14ac:dyDescent="0.15">
      <c r="A769" s="242"/>
      <c r="B769" s="242"/>
      <c r="C769" s="242"/>
      <c r="D769" s="256"/>
      <c r="E769" s="242"/>
      <c r="F769" s="257"/>
      <c r="G769" s="242"/>
      <c r="H769" s="257"/>
      <c r="I769" s="242"/>
    </row>
    <row r="770" spans="1:9" ht="15" customHeight="1" x14ac:dyDescent="0.15">
      <c r="A770" s="242"/>
      <c r="B770" s="242"/>
      <c r="C770" s="242"/>
      <c r="D770" s="256"/>
      <c r="E770" s="242"/>
      <c r="F770" s="257"/>
      <c r="G770" s="242"/>
      <c r="H770" s="257"/>
      <c r="I770" s="242"/>
    </row>
    <row r="771" spans="1:9" ht="15" customHeight="1" x14ac:dyDescent="0.15">
      <c r="A771" s="242"/>
      <c r="B771" s="242"/>
      <c r="C771" s="242"/>
      <c r="D771" s="256"/>
      <c r="E771" s="242"/>
      <c r="F771" s="257"/>
      <c r="G771" s="242"/>
      <c r="H771" s="257"/>
      <c r="I771" s="242"/>
    </row>
    <row r="772" spans="1:9" ht="15" customHeight="1" x14ac:dyDescent="0.15">
      <c r="A772" s="242"/>
      <c r="B772" s="242"/>
      <c r="C772" s="242"/>
      <c r="D772" s="256"/>
      <c r="E772" s="242"/>
      <c r="F772" s="257"/>
      <c r="G772" s="242"/>
      <c r="H772" s="257"/>
      <c r="I772" s="242"/>
    </row>
    <row r="773" spans="1:9" ht="15" customHeight="1" x14ac:dyDescent="0.15">
      <c r="A773" s="242"/>
      <c r="B773" s="242"/>
      <c r="C773" s="242"/>
      <c r="D773" s="256"/>
      <c r="E773" s="242"/>
      <c r="F773" s="257"/>
      <c r="G773" s="242"/>
      <c r="H773" s="257"/>
      <c r="I773" s="242"/>
    </row>
    <row r="774" spans="1:9" ht="15" customHeight="1" x14ac:dyDescent="0.15">
      <c r="A774" s="242"/>
      <c r="B774" s="242"/>
      <c r="C774" s="242"/>
      <c r="D774" s="256"/>
      <c r="E774" s="242"/>
      <c r="F774" s="257"/>
      <c r="G774" s="242"/>
      <c r="H774" s="257"/>
      <c r="I774" s="242"/>
    </row>
    <row r="775" spans="1:9" ht="15" customHeight="1" x14ac:dyDescent="0.15">
      <c r="A775" s="242"/>
      <c r="B775" s="242"/>
      <c r="C775" s="242"/>
      <c r="D775" s="256"/>
      <c r="E775" s="242"/>
      <c r="F775" s="257"/>
      <c r="G775" s="242"/>
      <c r="H775" s="257"/>
      <c r="I775" s="242"/>
    </row>
    <row r="776" spans="1:9" ht="15" customHeight="1" x14ac:dyDescent="0.15">
      <c r="A776" s="242"/>
      <c r="B776" s="242"/>
      <c r="C776" s="242"/>
      <c r="D776" s="256"/>
      <c r="E776" s="242"/>
      <c r="F776" s="257"/>
      <c r="G776" s="242"/>
      <c r="H776" s="257"/>
      <c r="I776" s="242"/>
    </row>
    <row r="777" spans="1:9" ht="15" customHeight="1" x14ac:dyDescent="0.15">
      <c r="A777" s="242"/>
      <c r="B777" s="242"/>
      <c r="C777" s="242"/>
      <c r="D777" s="256"/>
      <c r="E777" s="242"/>
      <c r="F777" s="257"/>
      <c r="G777" s="242"/>
      <c r="H777" s="257"/>
      <c r="I777" s="242"/>
    </row>
    <row r="778" spans="1:9" ht="15" customHeight="1" x14ac:dyDescent="0.15">
      <c r="A778" s="242"/>
      <c r="B778" s="242"/>
      <c r="C778" s="242"/>
      <c r="D778" s="256"/>
      <c r="E778" s="242"/>
      <c r="F778" s="257"/>
      <c r="G778" s="242"/>
      <c r="H778" s="257"/>
      <c r="I778" s="242"/>
    </row>
    <row r="779" spans="1:9" ht="15" customHeight="1" x14ac:dyDescent="0.15">
      <c r="A779" s="242"/>
      <c r="B779" s="242"/>
      <c r="C779" s="242"/>
      <c r="D779" s="256"/>
      <c r="E779" s="242"/>
      <c r="F779" s="257"/>
      <c r="G779" s="242"/>
      <c r="H779" s="257"/>
      <c r="I779" s="242"/>
    </row>
    <row r="780" spans="1:9" ht="15" customHeight="1" x14ac:dyDescent="0.15">
      <c r="A780" s="242"/>
      <c r="B780" s="242"/>
      <c r="C780" s="242"/>
      <c r="D780" s="256"/>
      <c r="E780" s="242"/>
      <c r="F780" s="257"/>
      <c r="G780" s="242"/>
      <c r="H780" s="257"/>
      <c r="I780" s="242"/>
    </row>
    <row r="781" spans="1:9" ht="15" customHeight="1" x14ac:dyDescent="0.15">
      <c r="A781" s="242"/>
      <c r="B781" s="242"/>
      <c r="C781" s="242"/>
      <c r="D781" s="256"/>
      <c r="E781" s="242"/>
      <c r="F781" s="257"/>
      <c r="G781" s="242"/>
      <c r="H781" s="257"/>
      <c r="I781" s="242"/>
    </row>
    <row r="782" spans="1:9" ht="15" customHeight="1" x14ac:dyDescent="0.15">
      <c r="A782" s="242"/>
      <c r="B782" s="242"/>
      <c r="C782" s="242"/>
      <c r="D782" s="256"/>
      <c r="E782" s="242"/>
      <c r="F782" s="257"/>
      <c r="G782" s="242"/>
      <c r="H782" s="257"/>
      <c r="I782" s="242"/>
    </row>
    <row r="783" spans="1:9" ht="15" customHeight="1" x14ac:dyDescent="0.15">
      <c r="A783" s="242"/>
      <c r="B783" s="242"/>
      <c r="C783" s="242"/>
      <c r="D783" s="256"/>
      <c r="E783" s="242"/>
      <c r="F783" s="257"/>
      <c r="G783" s="242"/>
      <c r="H783" s="257"/>
      <c r="I783" s="242"/>
    </row>
    <row r="784" spans="1:9" ht="15" customHeight="1" x14ac:dyDescent="0.15">
      <c r="A784" s="242"/>
      <c r="B784" s="242"/>
      <c r="C784" s="242"/>
      <c r="D784" s="256"/>
      <c r="E784" s="242"/>
      <c r="F784" s="257"/>
      <c r="G784" s="242"/>
      <c r="H784" s="257"/>
      <c r="I784" s="242"/>
    </row>
    <row r="785" spans="1:9" ht="15" customHeight="1" x14ac:dyDescent="0.15">
      <c r="A785" s="242"/>
      <c r="B785" s="242"/>
      <c r="C785" s="242"/>
      <c r="D785" s="256"/>
      <c r="E785" s="242"/>
      <c r="F785" s="257"/>
      <c r="G785" s="242"/>
      <c r="H785" s="257"/>
      <c r="I785" s="242"/>
    </row>
    <row r="786" spans="1:9" ht="15" customHeight="1" x14ac:dyDescent="0.15">
      <c r="A786" s="242"/>
      <c r="B786" s="242"/>
      <c r="C786" s="242"/>
      <c r="D786" s="256"/>
      <c r="E786" s="242"/>
      <c r="F786" s="257"/>
      <c r="G786" s="242"/>
      <c r="H786" s="257"/>
      <c r="I786" s="242"/>
    </row>
    <row r="787" spans="1:9" ht="15" customHeight="1" x14ac:dyDescent="0.15">
      <c r="A787" s="242"/>
      <c r="B787" s="242"/>
      <c r="C787" s="242"/>
      <c r="D787" s="256"/>
      <c r="E787" s="242"/>
      <c r="F787" s="257"/>
      <c r="G787" s="242"/>
      <c r="H787" s="257"/>
      <c r="I787" s="242"/>
    </row>
    <row r="788" spans="1:9" ht="15" customHeight="1" x14ac:dyDescent="0.15">
      <c r="A788" s="242"/>
      <c r="B788" s="242"/>
      <c r="C788" s="242"/>
      <c r="D788" s="256"/>
      <c r="E788" s="242"/>
      <c r="F788" s="257"/>
      <c r="G788" s="242"/>
      <c r="H788" s="257"/>
      <c r="I788" s="242"/>
    </row>
    <row r="789" spans="1:9" ht="15" customHeight="1" x14ac:dyDescent="0.15">
      <c r="A789" s="242"/>
      <c r="B789" s="242"/>
      <c r="C789" s="242"/>
      <c r="D789" s="256"/>
      <c r="E789" s="242"/>
      <c r="F789" s="257"/>
      <c r="G789" s="242"/>
      <c r="H789" s="257"/>
      <c r="I789" s="242"/>
    </row>
    <row r="790" spans="1:9" ht="15" customHeight="1" x14ac:dyDescent="0.15">
      <c r="A790" s="242"/>
      <c r="B790" s="242"/>
      <c r="C790" s="242"/>
      <c r="D790" s="256"/>
      <c r="E790" s="242"/>
      <c r="F790" s="257"/>
      <c r="G790" s="242"/>
      <c r="H790" s="257"/>
      <c r="I790" s="242"/>
    </row>
    <row r="791" spans="1:9" ht="15" customHeight="1" x14ac:dyDescent="0.15">
      <c r="A791" s="242"/>
      <c r="B791" s="242"/>
      <c r="C791" s="242"/>
      <c r="D791" s="256"/>
      <c r="E791" s="242"/>
      <c r="F791" s="257"/>
      <c r="G791" s="242"/>
      <c r="H791" s="257"/>
      <c r="I791" s="242"/>
    </row>
    <row r="792" spans="1:9" ht="15" customHeight="1" x14ac:dyDescent="0.15">
      <c r="A792" s="242"/>
      <c r="B792" s="242"/>
      <c r="C792" s="242"/>
      <c r="D792" s="256"/>
      <c r="E792" s="242"/>
      <c r="F792" s="257"/>
      <c r="G792" s="242"/>
      <c r="H792" s="257"/>
      <c r="I792" s="242"/>
    </row>
    <row r="793" spans="1:9" ht="15" customHeight="1" x14ac:dyDescent="0.15">
      <c r="A793" s="242"/>
      <c r="B793" s="242"/>
      <c r="C793" s="242"/>
      <c r="D793" s="256"/>
      <c r="E793" s="242"/>
      <c r="F793" s="257"/>
      <c r="G793" s="242"/>
      <c r="H793" s="257"/>
      <c r="I793" s="242"/>
    </row>
    <row r="794" spans="1:9" ht="15" customHeight="1" x14ac:dyDescent="0.15">
      <c r="A794" s="242"/>
      <c r="B794" s="242"/>
      <c r="C794" s="242"/>
      <c r="D794" s="256"/>
      <c r="E794" s="242"/>
      <c r="F794" s="257"/>
      <c r="G794" s="242"/>
      <c r="H794" s="257"/>
      <c r="I794" s="242"/>
    </row>
    <row r="795" spans="1:9" ht="15" customHeight="1" x14ac:dyDescent="0.15">
      <c r="A795" s="242"/>
      <c r="B795" s="242"/>
      <c r="C795" s="242"/>
      <c r="D795" s="256"/>
      <c r="E795" s="242"/>
      <c r="F795" s="257"/>
      <c r="G795" s="242"/>
      <c r="H795" s="257"/>
      <c r="I795" s="242"/>
    </row>
    <row r="796" spans="1:9" ht="15" customHeight="1" x14ac:dyDescent="0.15">
      <c r="A796" s="242"/>
      <c r="B796" s="242"/>
      <c r="C796" s="242"/>
      <c r="D796" s="256"/>
      <c r="E796" s="242"/>
      <c r="F796" s="257"/>
      <c r="G796" s="242"/>
      <c r="H796" s="257"/>
      <c r="I796" s="242"/>
    </row>
    <row r="797" spans="1:9" ht="15" customHeight="1" x14ac:dyDescent="0.15">
      <c r="A797" s="242"/>
      <c r="B797" s="242"/>
      <c r="C797" s="242"/>
      <c r="D797" s="256"/>
      <c r="E797" s="242"/>
      <c r="F797" s="257"/>
      <c r="G797" s="242"/>
      <c r="H797" s="257"/>
      <c r="I797" s="242"/>
    </row>
    <row r="798" spans="1:9" ht="15" customHeight="1" x14ac:dyDescent="0.15">
      <c r="A798" s="242"/>
      <c r="B798" s="242"/>
      <c r="C798" s="242"/>
      <c r="D798" s="256"/>
      <c r="E798" s="242"/>
      <c r="F798" s="257"/>
      <c r="G798" s="242"/>
      <c r="H798" s="257"/>
      <c r="I798" s="242"/>
    </row>
    <row r="799" spans="1:9" ht="15" customHeight="1" x14ac:dyDescent="0.15">
      <c r="A799" s="242"/>
      <c r="B799" s="242"/>
      <c r="C799" s="242"/>
      <c r="D799" s="256"/>
      <c r="E799" s="242"/>
      <c r="F799" s="257"/>
      <c r="G799" s="242"/>
      <c r="H799" s="257"/>
      <c r="I799" s="242"/>
    </row>
    <row r="800" spans="1:9" ht="15" customHeight="1" x14ac:dyDescent="0.15">
      <c r="A800" s="242"/>
      <c r="B800" s="242"/>
      <c r="C800" s="242"/>
      <c r="D800" s="256"/>
      <c r="E800" s="242"/>
      <c r="F800" s="257"/>
      <c r="G800" s="242"/>
      <c r="H800" s="257"/>
      <c r="I800" s="242"/>
    </row>
    <row r="801" spans="1:9" ht="15" customHeight="1" x14ac:dyDescent="0.15">
      <c r="A801" s="242"/>
      <c r="B801" s="242"/>
      <c r="C801" s="242"/>
      <c r="D801" s="256"/>
      <c r="E801" s="242"/>
      <c r="F801" s="257"/>
      <c r="G801" s="242"/>
      <c r="H801" s="257"/>
      <c r="I801" s="242"/>
    </row>
    <row r="802" spans="1:9" ht="15" customHeight="1" x14ac:dyDescent="0.15">
      <c r="A802" s="242"/>
      <c r="B802" s="242"/>
      <c r="C802" s="242"/>
      <c r="D802" s="256"/>
      <c r="E802" s="242"/>
      <c r="F802" s="257"/>
      <c r="G802" s="242"/>
      <c r="H802" s="257"/>
      <c r="I802" s="242"/>
    </row>
    <row r="803" spans="1:9" ht="15" customHeight="1" x14ac:dyDescent="0.15">
      <c r="A803" s="242"/>
      <c r="B803" s="242"/>
      <c r="C803" s="242"/>
      <c r="D803" s="256"/>
      <c r="E803" s="242"/>
      <c r="F803" s="257"/>
      <c r="G803" s="242"/>
      <c r="H803" s="257"/>
      <c r="I803" s="242"/>
    </row>
    <row r="804" spans="1:9" ht="15" customHeight="1" x14ac:dyDescent="0.15">
      <c r="A804" s="242"/>
      <c r="B804" s="242"/>
      <c r="C804" s="242"/>
      <c r="D804" s="256"/>
      <c r="E804" s="242"/>
      <c r="F804" s="257"/>
      <c r="G804" s="242"/>
      <c r="H804" s="257"/>
      <c r="I804" s="242"/>
    </row>
    <row r="805" spans="1:9" ht="15" customHeight="1" x14ac:dyDescent="0.15">
      <c r="A805" s="242"/>
      <c r="B805" s="242"/>
      <c r="C805" s="242"/>
      <c r="D805" s="256"/>
      <c r="E805" s="242"/>
      <c r="F805" s="257"/>
      <c r="G805" s="242"/>
      <c r="H805" s="257"/>
      <c r="I805" s="242"/>
    </row>
    <row r="806" spans="1:9" ht="15" customHeight="1" x14ac:dyDescent="0.15">
      <c r="A806" s="242"/>
      <c r="B806" s="242"/>
      <c r="C806" s="242"/>
      <c r="D806" s="256"/>
      <c r="E806" s="242"/>
      <c r="F806" s="257"/>
      <c r="G806" s="242"/>
      <c r="H806" s="257"/>
      <c r="I806" s="242"/>
    </row>
    <row r="807" spans="1:9" ht="15" customHeight="1" x14ac:dyDescent="0.15">
      <c r="A807" s="242"/>
      <c r="B807" s="242"/>
      <c r="C807" s="242"/>
      <c r="D807" s="256"/>
      <c r="E807" s="242"/>
      <c r="F807" s="257"/>
      <c r="G807" s="242"/>
      <c r="H807" s="257"/>
      <c r="I807" s="242"/>
    </row>
    <row r="808" spans="1:9" ht="15" customHeight="1" x14ac:dyDescent="0.15">
      <c r="A808" s="242"/>
      <c r="B808" s="242"/>
      <c r="C808" s="242"/>
      <c r="D808" s="256"/>
      <c r="E808" s="242"/>
      <c r="F808" s="257"/>
      <c r="G808" s="242"/>
      <c r="H808" s="257"/>
      <c r="I808" s="242"/>
    </row>
    <row r="809" spans="1:9" ht="15" customHeight="1" x14ac:dyDescent="0.15">
      <c r="A809" s="242"/>
      <c r="B809" s="242"/>
      <c r="C809" s="242"/>
      <c r="D809" s="256"/>
      <c r="E809" s="242"/>
      <c r="F809" s="257"/>
      <c r="G809" s="242"/>
      <c r="H809" s="257"/>
      <c r="I809" s="242"/>
    </row>
    <row r="810" spans="1:9" ht="15" customHeight="1" x14ac:dyDescent="0.15">
      <c r="A810" s="242"/>
      <c r="B810" s="242"/>
      <c r="C810" s="242"/>
      <c r="D810" s="256"/>
      <c r="E810" s="242"/>
      <c r="F810" s="257"/>
      <c r="G810" s="242"/>
      <c r="H810" s="257"/>
      <c r="I810" s="242"/>
    </row>
    <row r="811" spans="1:9" ht="15" customHeight="1" x14ac:dyDescent="0.15">
      <c r="A811" s="242"/>
      <c r="B811" s="242"/>
      <c r="C811" s="242"/>
      <c r="D811" s="256"/>
      <c r="E811" s="242"/>
      <c r="F811" s="257"/>
      <c r="G811" s="242"/>
      <c r="H811" s="257"/>
      <c r="I811" s="242"/>
    </row>
    <row r="812" spans="1:9" ht="15" customHeight="1" x14ac:dyDescent="0.15">
      <c r="A812" s="242"/>
      <c r="B812" s="242"/>
      <c r="C812" s="242"/>
      <c r="D812" s="256"/>
      <c r="E812" s="242"/>
      <c r="F812" s="257"/>
      <c r="G812" s="242"/>
      <c r="H812" s="257"/>
      <c r="I812" s="242"/>
    </row>
    <row r="813" spans="1:9" ht="15" customHeight="1" x14ac:dyDescent="0.15">
      <c r="A813" s="242"/>
      <c r="B813" s="242"/>
      <c r="C813" s="242"/>
      <c r="D813" s="256"/>
      <c r="E813" s="242"/>
      <c r="F813" s="257"/>
      <c r="G813" s="242"/>
      <c r="H813" s="257"/>
      <c r="I813" s="242"/>
    </row>
    <row r="814" spans="1:9" ht="15" customHeight="1" x14ac:dyDescent="0.15">
      <c r="A814" s="242"/>
      <c r="B814" s="242"/>
      <c r="C814" s="242"/>
      <c r="D814" s="256"/>
      <c r="E814" s="242"/>
      <c r="F814" s="257"/>
      <c r="G814" s="242"/>
      <c r="H814" s="257"/>
      <c r="I814" s="242"/>
    </row>
    <row r="815" spans="1:9" ht="15" customHeight="1" x14ac:dyDescent="0.15">
      <c r="A815" s="242"/>
      <c r="B815" s="242"/>
      <c r="C815" s="242"/>
      <c r="D815" s="256"/>
      <c r="E815" s="242"/>
      <c r="F815" s="257"/>
      <c r="G815" s="242"/>
      <c r="H815" s="257"/>
      <c r="I815" s="242"/>
    </row>
    <row r="816" spans="1:9" ht="15" customHeight="1" x14ac:dyDescent="0.15">
      <c r="A816" s="242"/>
      <c r="B816" s="242"/>
      <c r="C816" s="242"/>
      <c r="D816" s="256"/>
      <c r="E816" s="242"/>
      <c r="F816" s="257"/>
      <c r="G816" s="242"/>
      <c r="H816" s="257"/>
      <c r="I816" s="242"/>
    </row>
    <row r="817" spans="1:9" ht="15" customHeight="1" x14ac:dyDescent="0.15">
      <c r="A817" s="242"/>
      <c r="B817" s="242"/>
      <c r="C817" s="242"/>
      <c r="D817" s="256"/>
      <c r="E817" s="242"/>
      <c r="F817" s="257"/>
      <c r="G817" s="242"/>
      <c r="H817" s="257"/>
      <c r="I817" s="242"/>
    </row>
    <row r="818" spans="1:9" ht="15" customHeight="1" x14ac:dyDescent="0.15">
      <c r="A818" s="242"/>
      <c r="B818" s="242"/>
      <c r="C818" s="242"/>
      <c r="D818" s="256"/>
      <c r="E818" s="242"/>
      <c r="F818" s="257"/>
      <c r="G818" s="242"/>
      <c r="H818" s="257"/>
      <c r="I818" s="242"/>
    </row>
    <row r="819" spans="1:9" ht="15" customHeight="1" x14ac:dyDescent="0.15">
      <c r="A819" s="242"/>
      <c r="B819" s="242"/>
      <c r="C819" s="242"/>
      <c r="D819" s="256"/>
      <c r="E819" s="242"/>
      <c r="F819" s="257"/>
      <c r="G819" s="242"/>
      <c r="H819" s="257"/>
      <c r="I819" s="242"/>
    </row>
    <row r="820" spans="1:9" ht="15" customHeight="1" x14ac:dyDescent="0.15">
      <c r="A820" s="242"/>
      <c r="B820" s="242"/>
      <c r="C820" s="242"/>
      <c r="D820" s="256"/>
      <c r="E820" s="242"/>
      <c r="F820" s="257"/>
      <c r="G820" s="242"/>
      <c r="H820" s="257"/>
      <c r="I820" s="242"/>
    </row>
    <row r="821" spans="1:9" ht="15" customHeight="1" x14ac:dyDescent="0.15">
      <c r="A821" s="242"/>
      <c r="B821" s="242"/>
      <c r="C821" s="242"/>
      <c r="D821" s="256"/>
      <c r="E821" s="242"/>
      <c r="F821" s="257"/>
      <c r="G821" s="242"/>
      <c r="H821" s="257"/>
      <c r="I821" s="242"/>
    </row>
    <row r="822" spans="1:9" ht="15" customHeight="1" x14ac:dyDescent="0.15">
      <c r="A822" s="242"/>
      <c r="B822" s="242"/>
      <c r="C822" s="242"/>
      <c r="D822" s="256"/>
      <c r="E822" s="242"/>
      <c r="F822" s="257"/>
      <c r="G822" s="242"/>
      <c r="H822" s="257"/>
      <c r="I822" s="242"/>
    </row>
    <row r="823" spans="1:9" ht="15" customHeight="1" x14ac:dyDescent="0.15">
      <c r="A823" s="242"/>
      <c r="B823" s="242"/>
      <c r="C823" s="242"/>
      <c r="D823" s="256"/>
      <c r="E823" s="242"/>
      <c r="F823" s="257"/>
      <c r="G823" s="242"/>
      <c r="H823" s="257"/>
      <c r="I823" s="242"/>
    </row>
    <row r="824" spans="1:9" ht="15" customHeight="1" x14ac:dyDescent="0.15">
      <c r="A824" s="242"/>
      <c r="B824" s="242"/>
      <c r="C824" s="242"/>
      <c r="D824" s="256"/>
      <c r="E824" s="242"/>
      <c r="F824" s="257"/>
      <c r="G824" s="242"/>
      <c r="H824" s="257"/>
      <c r="I824" s="242"/>
    </row>
    <row r="825" spans="1:9" ht="15" customHeight="1" x14ac:dyDescent="0.15">
      <c r="A825" s="242"/>
      <c r="B825" s="242"/>
      <c r="C825" s="242"/>
      <c r="D825" s="256"/>
      <c r="E825" s="242"/>
      <c r="F825" s="257"/>
      <c r="G825" s="242"/>
      <c r="H825" s="257"/>
      <c r="I825" s="242"/>
    </row>
    <row r="826" spans="1:9" ht="15" customHeight="1" x14ac:dyDescent="0.15">
      <c r="A826" s="242"/>
      <c r="B826" s="242"/>
      <c r="C826" s="242"/>
      <c r="D826" s="256"/>
      <c r="E826" s="242"/>
      <c r="F826" s="257"/>
      <c r="G826" s="242"/>
      <c r="H826" s="257"/>
      <c r="I826" s="242"/>
    </row>
    <row r="827" spans="1:9" ht="15" customHeight="1" x14ac:dyDescent="0.15">
      <c r="A827" s="242"/>
      <c r="B827" s="242"/>
      <c r="C827" s="242"/>
      <c r="D827" s="256"/>
      <c r="E827" s="242"/>
      <c r="F827" s="257"/>
      <c r="G827" s="242"/>
      <c r="H827" s="257"/>
      <c r="I827" s="242"/>
    </row>
    <row r="828" spans="1:9" ht="15" customHeight="1" x14ac:dyDescent="0.15">
      <c r="A828" s="242"/>
      <c r="B828" s="242"/>
      <c r="C828" s="242"/>
      <c r="D828" s="256"/>
      <c r="E828" s="242"/>
      <c r="F828" s="257"/>
      <c r="G828" s="242"/>
      <c r="H828" s="257"/>
      <c r="I828" s="242"/>
    </row>
    <row r="829" spans="1:9" ht="15" customHeight="1" x14ac:dyDescent="0.15">
      <c r="A829" s="242"/>
      <c r="B829" s="242"/>
      <c r="C829" s="242"/>
      <c r="D829" s="256"/>
      <c r="E829" s="242"/>
      <c r="F829" s="257"/>
      <c r="G829" s="242"/>
      <c r="H829" s="257"/>
      <c r="I829" s="242"/>
    </row>
    <row r="830" spans="1:9" ht="15" customHeight="1" x14ac:dyDescent="0.15">
      <c r="A830" s="242"/>
      <c r="B830" s="242"/>
      <c r="C830" s="242"/>
      <c r="D830" s="256"/>
      <c r="E830" s="242"/>
      <c r="F830" s="257"/>
      <c r="G830" s="242"/>
      <c r="H830" s="257"/>
      <c r="I830" s="242"/>
    </row>
    <row r="831" spans="1:9" ht="15" customHeight="1" x14ac:dyDescent="0.15">
      <c r="A831" s="242"/>
      <c r="B831" s="242"/>
      <c r="C831" s="242"/>
      <c r="D831" s="256"/>
      <c r="E831" s="242"/>
      <c r="F831" s="257"/>
      <c r="G831" s="242"/>
      <c r="H831" s="257"/>
      <c r="I831" s="242"/>
    </row>
    <row r="832" spans="1:9" ht="15" customHeight="1" x14ac:dyDescent="0.15">
      <c r="A832" s="242"/>
      <c r="B832" s="242"/>
      <c r="C832" s="242"/>
      <c r="D832" s="256"/>
      <c r="E832" s="242"/>
      <c r="F832" s="257"/>
      <c r="G832" s="242"/>
      <c r="H832" s="257"/>
      <c r="I832" s="242"/>
    </row>
    <row r="833" spans="1:9" ht="15" customHeight="1" x14ac:dyDescent="0.15">
      <c r="A833" s="242"/>
      <c r="B833" s="242"/>
      <c r="C833" s="242"/>
      <c r="D833" s="256"/>
      <c r="E833" s="242"/>
      <c r="F833" s="257"/>
      <c r="G833" s="242"/>
      <c r="H833" s="257"/>
      <c r="I833" s="242"/>
    </row>
    <row r="834" spans="1:9" ht="15" customHeight="1" x14ac:dyDescent="0.15">
      <c r="A834" s="242"/>
      <c r="B834" s="242"/>
      <c r="C834" s="242"/>
      <c r="D834" s="256"/>
      <c r="E834" s="242"/>
      <c r="F834" s="257"/>
      <c r="G834" s="242"/>
      <c r="H834" s="257"/>
      <c r="I834" s="242"/>
    </row>
    <row r="835" spans="1:9" ht="15" customHeight="1" x14ac:dyDescent="0.15">
      <c r="A835" s="242"/>
      <c r="B835" s="242"/>
      <c r="C835" s="242"/>
      <c r="D835" s="256"/>
      <c r="E835" s="242"/>
      <c r="F835" s="257"/>
      <c r="G835" s="242"/>
      <c r="H835" s="257"/>
      <c r="I835" s="242"/>
    </row>
    <row r="836" spans="1:9" ht="15" customHeight="1" x14ac:dyDescent="0.15">
      <c r="A836" s="242"/>
      <c r="B836" s="242"/>
      <c r="C836" s="242"/>
      <c r="D836" s="256"/>
      <c r="E836" s="242"/>
      <c r="F836" s="257"/>
      <c r="G836" s="242"/>
      <c r="H836" s="257"/>
      <c r="I836" s="242"/>
    </row>
    <row r="837" spans="1:9" ht="15" customHeight="1" x14ac:dyDescent="0.15">
      <c r="A837" s="242"/>
      <c r="B837" s="242"/>
      <c r="C837" s="242"/>
      <c r="D837" s="256"/>
      <c r="E837" s="242"/>
      <c r="F837" s="257"/>
      <c r="G837" s="242"/>
      <c r="H837" s="257"/>
      <c r="I837" s="242"/>
    </row>
    <row r="838" spans="1:9" ht="15" customHeight="1" x14ac:dyDescent="0.15">
      <c r="A838" s="242"/>
      <c r="B838" s="242"/>
      <c r="C838" s="242"/>
      <c r="D838" s="256"/>
      <c r="E838" s="242"/>
      <c r="F838" s="257"/>
      <c r="G838" s="242"/>
      <c r="H838" s="257"/>
      <c r="I838" s="242"/>
    </row>
    <row r="839" spans="1:9" ht="15" customHeight="1" x14ac:dyDescent="0.15">
      <c r="A839" s="242"/>
      <c r="B839" s="242"/>
      <c r="C839" s="242"/>
      <c r="D839" s="256"/>
      <c r="E839" s="242"/>
      <c r="F839" s="257"/>
      <c r="G839" s="242"/>
      <c r="H839" s="257"/>
      <c r="I839" s="242"/>
    </row>
    <row r="840" spans="1:9" ht="15" customHeight="1" x14ac:dyDescent="0.15">
      <c r="A840" s="242"/>
      <c r="B840" s="242"/>
      <c r="C840" s="242"/>
      <c r="D840" s="256"/>
      <c r="E840" s="242"/>
      <c r="F840" s="257"/>
      <c r="G840" s="242"/>
      <c r="H840" s="257"/>
      <c r="I840" s="242"/>
    </row>
    <row r="841" spans="1:9" ht="15" customHeight="1" x14ac:dyDescent="0.15">
      <c r="A841" s="242"/>
      <c r="B841" s="242"/>
      <c r="C841" s="242"/>
      <c r="D841" s="256"/>
      <c r="E841" s="242"/>
      <c r="F841" s="257"/>
      <c r="G841" s="242"/>
      <c r="H841" s="257"/>
      <c r="I841" s="242"/>
    </row>
    <row r="842" spans="1:9" ht="15" customHeight="1" x14ac:dyDescent="0.15">
      <c r="A842" s="242"/>
      <c r="B842" s="242"/>
      <c r="C842" s="242"/>
      <c r="D842" s="256"/>
      <c r="E842" s="242"/>
      <c r="F842" s="257"/>
      <c r="G842" s="242"/>
      <c r="H842" s="257"/>
      <c r="I842" s="242"/>
    </row>
    <row r="843" spans="1:9" ht="15" customHeight="1" x14ac:dyDescent="0.15">
      <c r="A843" s="242"/>
      <c r="B843" s="242"/>
      <c r="C843" s="242"/>
      <c r="D843" s="256"/>
      <c r="E843" s="242"/>
      <c r="F843" s="257"/>
      <c r="G843" s="242"/>
      <c r="H843" s="257"/>
      <c r="I843" s="242"/>
    </row>
    <row r="844" spans="1:9" ht="15" customHeight="1" x14ac:dyDescent="0.15">
      <c r="A844" s="242"/>
      <c r="B844" s="242"/>
      <c r="C844" s="242"/>
      <c r="D844" s="256"/>
      <c r="E844" s="242"/>
      <c r="F844" s="257"/>
      <c r="G844" s="242"/>
      <c r="H844" s="257"/>
      <c r="I844" s="242"/>
    </row>
    <row r="845" spans="1:9" ht="15" customHeight="1" x14ac:dyDescent="0.15">
      <c r="A845" s="242"/>
      <c r="B845" s="242"/>
      <c r="C845" s="242"/>
      <c r="D845" s="256"/>
      <c r="E845" s="242"/>
      <c r="F845" s="257"/>
      <c r="G845" s="242"/>
      <c r="H845" s="257"/>
      <c r="I845" s="242"/>
    </row>
    <row r="846" spans="1:9" ht="15" customHeight="1" x14ac:dyDescent="0.15">
      <c r="A846" s="242"/>
      <c r="B846" s="242"/>
      <c r="C846" s="242"/>
      <c r="D846" s="256"/>
      <c r="E846" s="242"/>
      <c r="F846" s="257"/>
      <c r="G846" s="242"/>
      <c r="H846" s="257"/>
      <c r="I846" s="242"/>
    </row>
    <row r="847" spans="1:9" ht="15" customHeight="1" x14ac:dyDescent="0.15">
      <c r="A847" s="242"/>
      <c r="B847" s="242"/>
      <c r="C847" s="242"/>
      <c r="D847" s="256"/>
      <c r="E847" s="242"/>
      <c r="F847" s="257"/>
      <c r="G847" s="242"/>
      <c r="H847" s="257"/>
      <c r="I847" s="242"/>
    </row>
    <row r="848" spans="1:9" ht="15" customHeight="1" x14ac:dyDescent="0.15">
      <c r="A848" s="242"/>
      <c r="B848" s="242"/>
      <c r="C848" s="242"/>
      <c r="D848" s="256"/>
      <c r="E848" s="242"/>
      <c r="F848" s="257"/>
      <c r="G848" s="242"/>
      <c r="H848" s="257"/>
      <c r="I848" s="242"/>
    </row>
    <row r="849" spans="1:9" ht="15" customHeight="1" x14ac:dyDescent="0.15">
      <c r="A849" s="242"/>
      <c r="B849" s="242"/>
      <c r="C849" s="242"/>
      <c r="D849" s="256"/>
      <c r="E849" s="242"/>
      <c r="F849" s="257"/>
      <c r="G849" s="242"/>
      <c r="H849" s="257"/>
      <c r="I849" s="242"/>
    </row>
    <row r="850" spans="1:9" ht="15" customHeight="1" x14ac:dyDescent="0.15">
      <c r="A850" s="242"/>
      <c r="B850" s="242"/>
      <c r="C850" s="242"/>
      <c r="D850" s="256"/>
      <c r="E850" s="242"/>
      <c r="F850" s="257"/>
      <c r="G850" s="242"/>
      <c r="H850" s="257"/>
      <c r="I850" s="242"/>
    </row>
    <row r="851" spans="1:9" ht="15" customHeight="1" x14ac:dyDescent="0.15">
      <c r="A851" s="242"/>
      <c r="B851" s="242"/>
      <c r="C851" s="242"/>
      <c r="D851" s="256"/>
      <c r="E851" s="242"/>
      <c r="F851" s="257"/>
      <c r="G851" s="242"/>
      <c r="H851" s="257"/>
      <c r="I851" s="242"/>
    </row>
    <row r="852" spans="1:9" ht="15" customHeight="1" x14ac:dyDescent="0.15">
      <c r="A852" s="242"/>
      <c r="B852" s="242"/>
      <c r="C852" s="242"/>
      <c r="D852" s="256"/>
      <c r="E852" s="242"/>
      <c r="F852" s="257"/>
      <c r="G852" s="242"/>
      <c r="H852" s="257"/>
      <c r="I852" s="242"/>
    </row>
    <row r="853" spans="1:9" ht="15" customHeight="1" x14ac:dyDescent="0.15">
      <c r="A853" s="242"/>
      <c r="B853" s="242"/>
      <c r="C853" s="242"/>
      <c r="D853" s="256"/>
      <c r="E853" s="242"/>
      <c r="F853" s="257"/>
      <c r="G853" s="242"/>
      <c r="H853" s="257"/>
      <c r="I853" s="242"/>
    </row>
    <row r="854" spans="1:9" ht="15" customHeight="1" x14ac:dyDescent="0.15">
      <c r="A854" s="242"/>
      <c r="B854" s="242"/>
      <c r="C854" s="242"/>
      <c r="D854" s="256"/>
      <c r="E854" s="242"/>
      <c r="F854" s="257"/>
      <c r="G854" s="242"/>
      <c r="H854" s="257"/>
      <c r="I854" s="242"/>
    </row>
    <row r="855" spans="1:9" ht="15" customHeight="1" x14ac:dyDescent="0.15">
      <c r="A855" s="242"/>
      <c r="B855" s="242"/>
      <c r="C855" s="242"/>
      <c r="D855" s="256"/>
      <c r="E855" s="242"/>
      <c r="F855" s="257"/>
      <c r="G855" s="242"/>
      <c r="H855" s="257"/>
      <c r="I855" s="242"/>
    </row>
    <row r="856" spans="1:9" ht="15" customHeight="1" x14ac:dyDescent="0.15">
      <c r="A856" s="242"/>
      <c r="B856" s="242"/>
      <c r="C856" s="242"/>
      <c r="D856" s="256"/>
      <c r="E856" s="242"/>
      <c r="F856" s="257"/>
      <c r="G856" s="242"/>
      <c r="H856" s="257"/>
      <c r="I856" s="242"/>
    </row>
    <row r="857" spans="1:9" ht="15" customHeight="1" x14ac:dyDescent="0.15">
      <c r="A857" s="242"/>
      <c r="B857" s="242"/>
      <c r="C857" s="242"/>
      <c r="D857" s="256"/>
      <c r="E857" s="242"/>
      <c r="F857" s="257"/>
      <c r="G857" s="242"/>
      <c r="H857" s="257"/>
      <c r="I857" s="242"/>
    </row>
    <row r="858" spans="1:9" ht="15" customHeight="1" x14ac:dyDescent="0.15">
      <c r="A858" s="242"/>
      <c r="B858" s="242"/>
      <c r="C858" s="242"/>
      <c r="D858" s="256"/>
      <c r="E858" s="242"/>
      <c r="F858" s="257"/>
      <c r="G858" s="242"/>
      <c r="H858" s="257"/>
      <c r="I858" s="242"/>
    </row>
    <row r="859" spans="1:9" ht="15" customHeight="1" x14ac:dyDescent="0.15">
      <c r="A859" s="242"/>
      <c r="B859" s="242"/>
      <c r="C859" s="242"/>
      <c r="D859" s="256"/>
      <c r="E859" s="242"/>
      <c r="F859" s="257"/>
      <c r="G859" s="242"/>
      <c r="H859" s="257"/>
      <c r="I859" s="242"/>
    </row>
    <row r="860" spans="1:9" ht="15" customHeight="1" x14ac:dyDescent="0.15">
      <c r="A860" s="242"/>
      <c r="B860" s="242"/>
      <c r="C860" s="242"/>
      <c r="D860" s="256"/>
      <c r="E860" s="242"/>
      <c r="F860" s="257"/>
      <c r="G860" s="242"/>
      <c r="H860" s="257"/>
      <c r="I860" s="242"/>
    </row>
    <row r="861" spans="1:9" ht="15" customHeight="1" x14ac:dyDescent="0.15">
      <c r="A861" s="242"/>
      <c r="B861" s="242"/>
      <c r="C861" s="242"/>
      <c r="D861" s="256"/>
      <c r="E861" s="242"/>
      <c r="F861" s="257"/>
      <c r="G861" s="242"/>
      <c r="H861" s="257"/>
      <c r="I861" s="242"/>
    </row>
    <row r="862" spans="1:9" ht="15" customHeight="1" x14ac:dyDescent="0.15">
      <c r="A862" s="242"/>
      <c r="B862" s="242"/>
      <c r="C862" s="242"/>
      <c r="D862" s="256"/>
      <c r="E862" s="242"/>
      <c r="F862" s="257"/>
      <c r="G862" s="242"/>
      <c r="H862" s="257"/>
      <c r="I862" s="242"/>
    </row>
    <row r="863" spans="1:9" ht="15" customHeight="1" x14ac:dyDescent="0.15">
      <c r="A863" s="242"/>
      <c r="B863" s="242"/>
      <c r="C863" s="242"/>
      <c r="D863" s="256"/>
      <c r="E863" s="242"/>
      <c r="F863" s="257"/>
      <c r="G863" s="242"/>
      <c r="H863" s="257"/>
      <c r="I863" s="242"/>
    </row>
    <row r="864" spans="1:9" ht="15" customHeight="1" x14ac:dyDescent="0.15">
      <c r="A864" s="242"/>
      <c r="B864" s="242"/>
      <c r="C864" s="242"/>
      <c r="D864" s="256"/>
      <c r="E864" s="242"/>
      <c r="F864" s="257"/>
      <c r="G864" s="242"/>
      <c r="H864" s="257"/>
      <c r="I864" s="242"/>
    </row>
    <row r="865" spans="1:9" ht="15" customHeight="1" x14ac:dyDescent="0.15">
      <c r="A865" s="242"/>
      <c r="B865" s="242"/>
      <c r="C865" s="242"/>
      <c r="D865" s="256"/>
      <c r="E865" s="242"/>
      <c r="F865" s="257"/>
      <c r="G865" s="242"/>
      <c r="H865" s="257"/>
      <c r="I865" s="242"/>
    </row>
    <row r="866" spans="1:9" ht="15" customHeight="1" x14ac:dyDescent="0.15">
      <c r="A866" s="242"/>
      <c r="B866" s="242"/>
      <c r="C866" s="242"/>
      <c r="D866" s="256"/>
      <c r="E866" s="242"/>
      <c r="F866" s="257"/>
      <c r="G866" s="242"/>
      <c r="H866" s="257"/>
      <c r="I866" s="242"/>
    </row>
    <row r="867" spans="1:9" ht="15" customHeight="1" x14ac:dyDescent="0.15">
      <c r="A867" s="242"/>
      <c r="B867" s="242"/>
      <c r="C867" s="242"/>
      <c r="D867" s="256"/>
      <c r="E867" s="242"/>
      <c r="F867" s="257"/>
      <c r="G867" s="242"/>
      <c r="H867" s="257"/>
      <c r="I867" s="242"/>
    </row>
    <row r="868" spans="1:9" ht="15" customHeight="1" x14ac:dyDescent="0.15">
      <c r="A868" s="242"/>
      <c r="B868" s="242"/>
      <c r="C868" s="242"/>
      <c r="D868" s="256"/>
      <c r="E868" s="242"/>
      <c r="F868" s="257"/>
      <c r="G868" s="242"/>
      <c r="H868" s="257"/>
      <c r="I868" s="242"/>
    </row>
    <row r="869" spans="1:9" ht="15" customHeight="1" x14ac:dyDescent="0.15">
      <c r="A869" s="242"/>
      <c r="B869" s="242"/>
      <c r="C869" s="242"/>
      <c r="D869" s="256"/>
      <c r="E869" s="242"/>
      <c r="F869" s="257"/>
      <c r="G869" s="242"/>
      <c r="H869" s="257"/>
      <c r="I869" s="242"/>
    </row>
    <row r="870" spans="1:9" ht="15" customHeight="1" x14ac:dyDescent="0.15">
      <c r="A870" s="242"/>
      <c r="B870" s="242"/>
      <c r="C870" s="242"/>
      <c r="D870" s="256"/>
      <c r="E870" s="242"/>
      <c r="F870" s="257"/>
      <c r="G870" s="242"/>
      <c r="H870" s="257"/>
      <c r="I870" s="242"/>
    </row>
    <row r="871" spans="1:9" ht="15" customHeight="1" x14ac:dyDescent="0.15">
      <c r="A871" s="242"/>
      <c r="B871" s="242"/>
      <c r="C871" s="242"/>
      <c r="D871" s="256"/>
      <c r="E871" s="242"/>
      <c r="F871" s="257"/>
      <c r="G871" s="242"/>
      <c r="H871" s="257"/>
      <c r="I871" s="242"/>
    </row>
    <row r="872" spans="1:9" ht="15" customHeight="1" x14ac:dyDescent="0.15">
      <c r="A872" s="242"/>
      <c r="B872" s="242"/>
      <c r="C872" s="242"/>
      <c r="D872" s="256"/>
      <c r="E872" s="242"/>
      <c r="F872" s="257"/>
      <c r="G872" s="242"/>
      <c r="H872" s="257"/>
      <c r="I872" s="242"/>
    </row>
    <row r="873" spans="1:9" ht="15" customHeight="1" x14ac:dyDescent="0.15">
      <c r="A873" s="242"/>
      <c r="B873" s="242"/>
      <c r="C873" s="242"/>
      <c r="D873" s="256"/>
      <c r="E873" s="242"/>
      <c r="F873" s="257"/>
      <c r="G873" s="242"/>
      <c r="H873" s="257"/>
      <c r="I873" s="242"/>
    </row>
    <row r="874" spans="1:9" ht="15" customHeight="1" x14ac:dyDescent="0.15">
      <c r="A874" s="242"/>
      <c r="B874" s="242"/>
      <c r="C874" s="242"/>
      <c r="D874" s="256"/>
      <c r="E874" s="242"/>
      <c r="F874" s="257"/>
      <c r="G874" s="242"/>
      <c r="H874" s="257"/>
      <c r="I874" s="242"/>
    </row>
    <row r="875" spans="1:9" ht="15" customHeight="1" x14ac:dyDescent="0.15">
      <c r="A875" s="242"/>
      <c r="B875" s="242"/>
      <c r="C875" s="242"/>
      <c r="D875" s="256"/>
      <c r="E875" s="242"/>
      <c r="F875" s="257"/>
      <c r="G875" s="242"/>
      <c r="H875" s="257"/>
      <c r="I875" s="242"/>
    </row>
    <row r="876" spans="1:9" ht="15" customHeight="1" x14ac:dyDescent="0.15">
      <c r="A876" s="242"/>
      <c r="B876" s="242"/>
      <c r="C876" s="242"/>
      <c r="D876" s="256"/>
      <c r="E876" s="242"/>
      <c r="F876" s="257"/>
      <c r="G876" s="242"/>
      <c r="H876" s="257"/>
      <c r="I876" s="242"/>
    </row>
    <row r="877" spans="1:9" ht="15" customHeight="1" x14ac:dyDescent="0.15">
      <c r="A877" s="242"/>
      <c r="B877" s="242"/>
      <c r="C877" s="242"/>
      <c r="D877" s="256"/>
      <c r="E877" s="242"/>
      <c r="F877" s="257"/>
      <c r="G877" s="242"/>
      <c r="H877" s="257"/>
      <c r="I877" s="242"/>
    </row>
    <row r="878" spans="1:9" ht="15" customHeight="1" x14ac:dyDescent="0.15">
      <c r="A878" s="242"/>
      <c r="B878" s="242"/>
      <c r="C878" s="242"/>
      <c r="D878" s="256"/>
      <c r="E878" s="242"/>
      <c r="F878" s="257"/>
      <c r="G878" s="242"/>
      <c r="H878" s="257"/>
      <c r="I878" s="242"/>
    </row>
    <row r="879" spans="1:9" ht="15" customHeight="1" x14ac:dyDescent="0.15">
      <c r="A879" s="242"/>
      <c r="B879" s="242"/>
      <c r="C879" s="242"/>
      <c r="D879" s="256"/>
      <c r="E879" s="242"/>
      <c r="F879" s="257"/>
      <c r="G879" s="242"/>
      <c r="H879" s="257"/>
      <c r="I879" s="242"/>
    </row>
    <row r="880" spans="1:9" ht="15" customHeight="1" x14ac:dyDescent="0.15">
      <c r="A880" s="242"/>
      <c r="B880" s="242"/>
      <c r="C880" s="242"/>
      <c r="D880" s="256"/>
      <c r="E880" s="242"/>
      <c r="F880" s="257"/>
      <c r="G880" s="242"/>
      <c r="H880" s="257"/>
      <c r="I880" s="242"/>
    </row>
    <row r="881" spans="1:9" ht="15" customHeight="1" x14ac:dyDescent="0.15">
      <c r="A881" s="242"/>
      <c r="B881" s="242"/>
      <c r="C881" s="242"/>
      <c r="D881" s="256"/>
      <c r="E881" s="242"/>
      <c r="F881" s="257"/>
      <c r="G881" s="242"/>
      <c r="H881" s="257"/>
      <c r="I881" s="242"/>
    </row>
    <row r="882" spans="1:9" ht="15" customHeight="1" x14ac:dyDescent="0.15">
      <c r="A882" s="242"/>
      <c r="B882" s="242"/>
      <c r="C882" s="242"/>
      <c r="D882" s="256"/>
      <c r="E882" s="242"/>
      <c r="F882" s="257"/>
      <c r="G882" s="242"/>
      <c r="H882" s="257"/>
      <c r="I882" s="242"/>
    </row>
    <row r="883" spans="1:9" ht="15" customHeight="1" x14ac:dyDescent="0.15">
      <c r="A883" s="242"/>
      <c r="B883" s="242"/>
      <c r="C883" s="242"/>
      <c r="D883" s="256"/>
      <c r="E883" s="242"/>
      <c r="F883" s="257"/>
      <c r="G883" s="242"/>
      <c r="H883" s="257"/>
      <c r="I883" s="242"/>
    </row>
    <row r="884" spans="1:9" ht="15" customHeight="1" x14ac:dyDescent="0.15">
      <c r="A884" s="242"/>
      <c r="B884" s="242"/>
      <c r="C884" s="242"/>
      <c r="D884" s="256"/>
      <c r="E884" s="242"/>
      <c r="F884" s="257"/>
      <c r="G884" s="242"/>
      <c r="H884" s="257"/>
      <c r="I884" s="242"/>
    </row>
    <row r="885" spans="1:9" ht="15" customHeight="1" x14ac:dyDescent="0.15">
      <c r="A885" s="242"/>
      <c r="B885" s="242"/>
      <c r="C885" s="242"/>
      <c r="D885" s="256"/>
      <c r="E885" s="242"/>
      <c r="F885" s="257"/>
      <c r="G885" s="242"/>
      <c r="H885" s="257"/>
      <c r="I885" s="242"/>
    </row>
    <row r="886" spans="1:9" ht="15" customHeight="1" x14ac:dyDescent="0.15">
      <c r="A886" s="242"/>
      <c r="B886" s="242"/>
      <c r="C886" s="242"/>
      <c r="D886" s="256"/>
      <c r="E886" s="242"/>
      <c r="F886" s="257"/>
      <c r="G886" s="242"/>
      <c r="H886" s="257"/>
      <c r="I886" s="242"/>
    </row>
    <row r="887" spans="1:9" ht="15" customHeight="1" x14ac:dyDescent="0.15">
      <c r="A887" s="242"/>
      <c r="B887" s="242"/>
      <c r="C887" s="242"/>
      <c r="D887" s="256"/>
      <c r="E887" s="242"/>
      <c r="F887" s="257"/>
      <c r="G887" s="242"/>
      <c r="H887" s="257"/>
      <c r="I887" s="242"/>
    </row>
    <row r="888" spans="1:9" ht="15" customHeight="1" x14ac:dyDescent="0.15">
      <c r="A888" s="242"/>
      <c r="B888" s="242"/>
      <c r="C888" s="242"/>
      <c r="D888" s="256"/>
      <c r="E888" s="242"/>
      <c r="F888" s="257"/>
      <c r="G888" s="242"/>
      <c r="H888" s="257"/>
      <c r="I888" s="242"/>
    </row>
    <row r="889" spans="1:9" ht="15" customHeight="1" x14ac:dyDescent="0.15">
      <c r="A889" s="242"/>
      <c r="B889" s="242"/>
      <c r="C889" s="242"/>
      <c r="D889" s="256"/>
      <c r="E889" s="242"/>
      <c r="F889" s="257"/>
      <c r="G889" s="242"/>
      <c r="H889" s="257"/>
      <c r="I889" s="242"/>
    </row>
    <row r="890" spans="1:9" ht="15" customHeight="1" x14ac:dyDescent="0.15">
      <c r="A890" s="242"/>
      <c r="B890" s="242"/>
      <c r="C890" s="242"/>
      <c r="D890" s="256"/>
      <c r="E890" s="242"/>
      <c r="F890" s="257"/>
      <c r="G890" s="242"/>
      <c r="H890" s="257"/>
      <c r="I890" s="242"/>
    </row>
    <row r="891" spans="1:9" ht="15" customHeight="1" x14ac:dyDescent="0.15">
      <c r="A891" s="242"/>
      <c r="B891" s="242"/>
      <c r="C891" s="242"/>
      <c r="D891" s="256"/>
      <c r="E891" s="242"/>
      <c r="F891" s="257"/>
      <c r="G891" s="242"/>
      <c r="H891" s="257"/>
      <c r="I891" s="242"/>
    </row>
    <row r="892" spans="1:9" ht="15" customHeight="1" x14ac:dyDescent="0.15">
      <c r="A892" s="242"/>
      <c r="B892" s="242"/>
      <c r="C892" s="242"/>
      <c r="D892" s="256"/>
      <c r="E892" s="242"/>
      <c r="F892" s="257"/>
      <c r="G892" s="242"/>
      <c r="H892" s="257"/>
      <c r="I892" s="242"/>
    </row>
    <row r="893" spans="1:9" ht="15" customHeight="1" x14ac:dyDescent="0.15">
      <c r="A893" s="242"/>
      <c r="B893" s="242"/>
      <c r="C893" s="242"/>
      <c r="D893" s="256"/>
      <c r="E893" s="242"/>
      <c r="F893" s="257"/>
      <c r="G893" s="242"/>
      <c r="H893" s="257"/>
      <c r="I893" s="242"/>
    </row>
    <row r="894" spans="1:9" ht="15" customHeight="1" x14ac:dyDescent="0.15">
      <c r="A894" s="242"/>
      <c r="B894" s="242"/>
      <c r="C894" s="242"/>
      <c r="D894" s="256"/>
      <c r="E894" s="242"/>
      <c r="F894" s="257"/>
      <c r="G894" s="242"/>
      <c r="H894" s="257"/>
      <c r="I894" s="242"/>
    </row>
    <row r="895" spans="1:9" ht="15" customHeight="1" x14ac:dyDescent="0.15">
      <c r="A895" s="242"/>
      <c r="B895" s="242"/>
      <c r="C895" s="242"/>
      <c r="D895" s="256"/>
      <c r="E895" s="242"/>
      <c r="F895" s="257"/>
      <c r="G895" s="242"/>
      <c r="H895" s="257"/>
      <c r="I895" s="242"/>
    </row>
    <row r="896" spans="1:9" ht="15" customHeight="1" x14ac:dyDescent="0.15">
      <c r="A896" s="242"/>
      <c r="B896" s="242"/>
      <c r="C896" s="242"/>
      <c r="D896" s="256"/>
      <c r="E896" s="242"/>
      <c r="F896" s="257"/>
      <c r="G896" s="242"/>
      <c r="H896" s="257"/>
      <c r="I896" s="242"/>
    </row>
    <row r="897" spans="1:9" ht="15" customHeight="1" x14ac:dyDescent="0.15">
      <c r="A897" s="242"/>
      <c r="B897" s="242"/>
      <c r="C897" s="242"/>
      <c r="D897" s="256"/>
      <c r="E897" s="242"/>
      <c r="F897" s="257"/>
      <c r="G897" s="242"/>
      <c r="H897" s="257"/>
      <c r="I897" s="242"/>
    </row>
    <row r="898" spans="1:9" ht="15" customHeight="1" x14ac:dyDescent="0.15">
      <c r="A898" s="242"/>
      <c r="B898" s="242"/>
      <c r="C898" s="242"/>
      <c r="D898" s="256"/>
      <c r="E898" s="242"/>
      <c r="F898" s="257"/>
      <c r="G898" s="242"/>
      <c r="H898" s="257"/>
      <c r="I898" s="242"/>
    </row>
    <row r="899" spans="1:9" ht="15" customHeight="1" x14ac:dyDescent="0.15">
      <c r="A899" s="242"/>
      <c r="B899" s="242"/>
      <c r="C899" s="242"/>
      <c r="D899" s="256"/>
      <c r="E899" s="242"/>
      <c r="F899" s="257"/>
      <c r="G899" s="242"/>
      <c r="H899" s="257"/>
      <c r="I899" s="242"/>
    </row>
    <row r="900" spans="1:9" ht="15" customHeight="1" x14ac:dyDescent="0.15">
      <c r="A900" s="242"/>
      <c r="B900" s="242"/>
      <c r="C900" s="242"/>
      <c r="D900" s="256"/>
      <c r="E900" s="242"/>
      <c r="F900" s="257"/>
      <c r="G900" s="242"/>
      <c r="H900" s="257"/>
      <c r="I900" s="242"/>
    </row>
    <row r="901" spans="1:9" ht="15" customHeight="1" x14ac:dyDescent="0.15">
      <c r="A901" s="242"/>
      <c r="B901" s="242"/>
      <c r="C901" s="242"/>
      <c r="D901" s="256"/>
      <c r="E901" s="242"/>
      <c r="F901" s="257"/>
      <c r="G901" s="242"/>
      <c r="H901" s="257"/>
      <c r="I901" s="242"/>
    </row>
    <row r="902" spans="1:9" ht="15" customHeight="1" x14ac:dyDescent="0.15">
      <c r="A902" s="242"/>
      <c r="B902" s="242"/>
      <c r="C902" s="242"/>
      <c r="D902" s="256"/>
      <c r="E902" s="242"/>
      <c r="F902" s="257"/>
      <c r="G902" s="242"/>
      <c r="H902" s="257"/>
      <c r="I902" s="242"/>
    </row>
    <row r="903" spans="1:9" ht="15" customHeight="1" x14ac:dyDescent="0.15">
      <c r="A903" s="242"/>
      <c r="B903" s="242"/>
      <c r="C903" s="242"/>
      <c r="D903" s="256"/>
      <c r="E903" s="242"/>
      <c r="F903" s="257"/>
      <c r="G903" s="242"/>
      <c r="H903" s="257"/>
      <c r="I903" s="242"/>
    </row>
    <row r="904" spans="1:9" ht="15" customHeight="1" x14ac:dyDescent="0.15">
      <c r="A904" s="242"/>
      <c r="B904" s="242"/>
      <c r="C904" s="242"/>
      <c r="D904" s="256"/>
      <c r="E904" s="242"/>
      <c r="F904" s="257"/>
      <c r="G904" s="242"/>
      <c r="H904" s="257"/>
      <c r="I904" s="242"/>
    </row>
    <row r="905" spans="1:9" ht="15" customHeight="1" x14ac:dyDescent="0.15">
      <c r="A905" s="242"/>
      <c r="B905" s="242"/>
      <c r="C905" s="242"/>
      <c r="D905" s="256"/>
      <c r="E905" s="242"/>
      <c r="F905" s="257"/>
      <c r="G905" s="242"/>
      <c r="H905" s="257"/>
      <c r="I905" s="242"/>
    </row>
    <row r="906" spans="1:9" ht="15" customHeight="1" x14ac:dyDescent="0.15">
      <c r="A906" s="242"/>
      <c r="B906" s="242"/>
      <c r="C906" s="242"/>
      <c r="D906" s="256"/>
      <c r="E906" s="242"/>
      <c r="F906" s="257"/>
      <c r="G906" s="242"/>
      <c r="H906" s="257"/>
      <c r="I906" s="242"/>
    </row>
    <row r="907" spans="1:9" ht="15" customHeight="1" x14ac:dyDescent="0.15">
      <c r="A907" s="242"/>
      <c r="B907" s="242"/>
      <c r="C907" s="242"/>
      <c r="D907" s="256"/>
      <c r="E907" s="242"/>
      <c r="F907" s="257"/>
      <c r="G907" s="242"/>
      <c r="H907" s="257"/>
      <c r="I907" s="242"/>
    </row>
    <row r="908" spans="1:9" ht="15" customHeight="1" x14ac:dyDescent="0.15">
      <c r="A908" s="242"/>
      <c r="B908" s="242"/>
      <c r="C908" s="242"/>
      <c r="D908" s="256"/>
      <c r="E908" s="242"/>
      <c r="F908" s="257"/>
      <c r="G908" s="242"/>
      <c r="H908" s="257"/>
      <c r="I908" s="242"/>
    </row>
    <row r="909" spans="1:9" ht="15" customHeight="1" x14ac:dyDescent="0.15">
      <c r="A909" s="242"/>
      <c r="B909" s="242"/>
      <c r="C909" s="242"/>
      <c r="D909" s="256"/>
      <c r="E909" s="242"/>
      <c r="F909" s="257"/>
      <c r="G909" s="242"/>
      <c r="H909" s="257"/>
      <c r="I909" s="242"/>
    </row>
    <row r="910" spans="1:9" ht="15" customHeight="1" x14ac:dyDescent="0.15">
      <c r="A910" s="242"/>
      <c r="B910" s="242"/>
      <c r="C910" s="242"/>
      <c r="D910" s="256"/>
      <c r="E910" s="242"/>
      <c r="F910" s="257"/>
      <c r="G910" s="242"/>
      <c r="H910" s="257"/>
      <c r="I910" s="242"/>
    </row>
    <row r="911" spans="1:9" ht="15" customHeight="1" x14ac:dyDescent="0.15">
      <c r="A911" s="242"/>
      <c r="B911" s="242"/>
      <c r="C911" s="242"/>
      <c r="D911" s="256"/>
      <c r="E911" s="242"/>
      <c r="F911" s="257"/>
      <c r="G911" s="242"/>
      <c r="H911" s="257"/>
      <c r="I911" s="242"/>
    </row>
    <row r="912" spans="1:9" ht="15" customHeight="1" x14ac:dyDescent="0.15">
      <c r="A912" s="242"/>
      <c r="B912" s="242"/>
      <c r="C912" s="242"/>
      <c r="D912" s="256"/>
      <c r="E912" s="242"/>
      <c r="F912" s="257"/>
      <c r="G912" s="242"/>
      <c r="H912" s="257"/>
      <c r="I912" s="242"/>
    </row>
    <row r="913" spans="1:9" ht="15" customHeight="1" x14ac:dyDescent="0.15">
      <c r="A913" s="242"/>
      <c r="B913" s="242"/>
      <c r="C913" s="242"/>
      <c r="D913" s="256"/>
      <c r="E913" s="242"/>
      <c r="F913" s="257"/>
      <c r="G913" s="242"/>
      <c r="H913" s="257"/>
      <c r="I913" s="242"/>
    </row>
    <row r="914" spans="1:9" ht="15" customHeight="1" x14ac:dyDescent="0.15">
      <c r="A914" s="242"/>
      <c r="B914" s="242"/>
      <c r="C914" s="242"/>
      <c r="D914" s="256"/>
      <c r="E914" s="242"/>
      <c r="F914" s="257"/>
      <c r="G914" s="242"/>
      <c r="H914" s="257"/>
      <c r="I914" s="242"/>
    </row>
    <row r="915" spans="1:9" ht="15" customHeight="1" x14ac:dyDescent="0.15">
      <c r="A915" s="242"/>
      <c r="B915" s="242"/>
      <c r="C915" s="242"/>
      <c r="D915" s="256"/>
      <c r="E915" s="242"/>
      <c r="F915" s="257"/>
      <c r="G915" s="242"/>
      <c r="H915" s="257"/>
      <c r="I915" s="242"/>
    </row>
    <row r="916" spans="1:9" ht="15" customHeight="1" x14ac:dyDescent="0.15">
      <c r="A916" s="242"/>
      <c r="B916" s="242"/>
      <c r="C916" s="242"/>
      <c r="D916" s="256"/>
      <c r="E916" s="242"/>
      <c r="F916" s="257"/>
      <c r="G916" s="242"/>
      <c r="H916" s="257"/>
      <c r="I916" s="242"/>
    </row>
    <row r="917" spans="1:9" ht="15" customHeight="1" x14ac:dyDescent="0.15">
      <c r="A917" s="242"/>
      <c r="B917" s="242"/>
      <c r="C917" s="242"/>
      <c r="D917" s="256"/>
      <c r="E917" s="242"/>
      <c r="F917" s="257"/>
      <c r="G917" s="242"/>
      <c r="H917" s="257"/>
      <c r="I917" s="242"/>
    </row>
    <row r="918" spans="1:9" ht="15" customHeight="1" x14ac:dyDescent="0.15">
      <c r="A918" s="242"/>
      <c r="B918" s="242"/>
      <c r="C918" s="242"/>
      <c r="D918" s="256"/>
      <c r="E918" s="242"/>
      <c r="F918" s="257"/>
      <c r="G918" s="242"/>
      <c r="H918" s="257"/>
      <c r="I918" s="242"/>
    </row>
    <row r="919" spans="1:9" ht="15" customHeight="1" x14ac:dyDescent="0.15">
      <c r="A919" s="242"/>
      <c r="B919" s="242"/>
      <c r="C919" s="242"/>
      <c r="D919" s="256"/>
      <c r="E919" s="242"/>
      <c r="F919" s="257"/>
      <c r="G919" s="242"/>
      <c r="H919" s="257"/>
      <c r="I919" s="242"/>
    </row>
    <row r="920" spans="1:9" ht="15" customHeight="1" x14ac:dyDescent="0.15">
      <c r="A920" s="242"/>
      <c r="B920" s="242"/>
      <c r="C920" s="242"/>
      <c r="D920" s="256"/>
      <c r="E920" s="242"/>
      <c r="F920" s="257"/>
      <c r="G920" s="242"/>
      <c r="H920" s="257"/>
      <c r="I920" s="242"/>
    </row>
    <row r="921" spans="1:9" ht="15" customHeight="1" x14ac:dyDescent="0.15">
      <c r="A921" s="242"/>
      <c r="B921" s="242"/>
      <c r="C921" s="242"/>
      <c r="D921" s="256"/>
      <c r="E921" s="242"/>
      <c r="F921" s="257"/>
      <c r="G921" s="242"/>
      <c r="H921" s="257"/>
      <c r="I921" s="242"/>
    </row>
    <row r="922" spans="1:9" ht="15" customHeight="1" x14ac:dyDescent="0.15">
      <c r="A922" s="242"/>
      <c r="B922" s="242"/>
      <c r="C922" s="242"/>
      <c r="D922" s="256"/>
      <c r="E922" s="242"/>
      <c r="F922" s="257"/>
      <c r="G922" s="242"/>
      <c r="H922" s="257"/>
      <c r="I922" s="242"/>
    </row>
    <row r="923" spans="1:9" ht="15" customHeight="1" x14ac:dyDescent="0.15">
      <c r="A923" s="242"/>
      <c r="B923" s="242"/>
      <c r="C923" s="242"/>
      <c r="D923" s="256"/>
      <c r="E923" s="242"/>
      <c r="F923" s="257"/>
      <c r="G923" s="242"/>
      <c r="H923" s="257"/>
      <c r="I923" s="242"/>
    </row>
    <row r="924" spans="1:9" ht="15" customHeight="1" x14ac:dyDescent="0.15">
      <c r="A924" s="242"/>
      <c r="B924" s="242"/>
      <c r="C924" s="242"/>
      <c r="D924" s="256"/>
      <c r="E924" s="242"/>
      <c r="F924" s="257"/>
      <c r="G924" s="242"/>
      <c r="H924" s="257"/>
      <c r="I924" s="242"/>
    </row>
    <row r="925" spans="1:9" ht="15" customHeight="1" x14ac:dyDescent="0.15">
      <c r="A925" s="242"/>
      <c r="B925" s="242"/>
      <c r="C925" s="242"/>
      <c r="D925" s="256"/>
      <c r="E925" s="242"/>
      <c r="F925" s="257"/>
      <c r="G925" s="242"/>
      <c r="H925" s="257"/>
      <c r="I925" s="242"/>
    </row>
    <row r="926" spans="1:9" ht="15" customHeight="1" x14ac:dyDescent="0.15">
      <c r="A926" s="242"/>
      <c r="B926" s="242"/>
      <c r="C926" s="242"/>
      <c r="D926" s="256"/>
      <c r="E926" s="242"/>
      <c r="F926" s="257"/>
      <c r="G926" s="242"/>
      <c r="H926" s="257"/>
      <c r="I926" s="242"/>
    </row>
    <row r="927" spans="1:9" ht="15" customHeight="1" x14ac:dyDescent="0.15">
      <c r="A927" s="242"/>
      <c r="B927" s="242"/>
      <c r="C927" s="242"/>
      <c r="D927" s="256"/>
      <c r="E927" s="242"/>
      <c r="F927" s="257"/>
      <c r="G927" s="242"/>
      <c r="H927" s="257"/>
      <c r="I927" s="242"/>
    </row>
    <row r="928" spans="1:9" ht="15" customHeight="1" x14ac:dyDescent="0.15">
      <c r="A928" s="242"/>
      <c r="B928" s="242"/>
      <c r="C928" s="242"/>
      <c r="D928" s="256"/>
      <c r="E928" s="242"/>
      <c r="F928" s="257"/>
      <c r="G928" s="242"/>
      <c r="H928" s="257"/>
      <c r="I928" s="242"/>
    </row>
    <row r="929" spans="1:9" ht="15" customHeight="1" x14ac:dyDescent="0.15">
      <c r="A929" s="242"/>
      <c r="B929" s="242"/>
      <c r="C929" s="242"/>
      <c r="D929" s="256"/>
      <c r="E929" s="242"/>
      <c r="F929" s="257"/>
      <c r="G929" s="242"/>
      <c r="H929" s="257"/>
      <c r="I929" s="242"/>
    </row>
    <row r="930" spans="1:9" ht="15" customHeight="1" x14ac:dyDescent="0.15">
      <c r="A930" s="242"/>
      <c r="B930" s="242"/>
      <c r="C930" s="242"/>
      <c r="D930" s="256"/>
      <c r="E930" s="242"/>
      <c r="F930" s="257"/>
      <c r="G930" s="242"/>
      <c r="H930" s="257"/>
      <c r="I930" s="242"/>
    </row>
    <row r="931" spans="1:9" ht="15" customHeight="1" x14ac:dyDescent="0.15">
      <c r="A931" s="242"/>
      <c r="B931" s="242"/>
      <c r="C931" s="242"/>
      <c r="D931" s="256"/>
      <c r="E931" s="242"/>
      <c r="F931" s="257"/>
      <c r="G931" s="242"/>
      <c r="H931" s="257"/>
      <c r="I931" s="242"/>
    </row>
    <row r="932" spans="1:9" ht="15" customHeight="1" x14ac:dyDescent="0.15">
      <c r="A932" s="242"/>
      <c r="B932" s="242"/>
      <c r="C932" s="242"/>
      <c r="D932" s="256"/>
      <c r="E932" s="242"/>
      <c r="F932" s="257"/>
      <c r="G932" s="242"/>
      <c r="H932" s="257"/>
      <c r="I932" s="242"/>
    </row>
    <row r="933" spans="1:9" ht="15" customHeight="1" x14ac:dyDescent="0.15">
      <c r="A933" s="242"/>
      <c r="B933" s="242"/>
      <c r="C933" s="242"/>
      <c r="D933" s="256"/>
      <c r="E933" s="242"/>
      <c r="F933" s="257"/>
      <c r="G933" s="242"/>
      <c r="H933" s="257"/>
      <c r="I933" s="242"/>
    </row>
    <row r="934" spans="1:9" ht="15" customHeight="1" x14ac:dyDescent="0.15">
      <c r="A934" s="242"/>
      <c r="B934" s="242"/>
      <c r="C934" s="242"/>
      <c r="D934" s="256"/>
      <c r="E934" s="242"/>
      <c r="F934" s="257"/>
      <c r="G934" s="242"/>
      <c r="H934" s="257"/>
      <c r="I934" s="242"/>
    </row>
    <row r="935" spans="1:9" ht="15" customHeight="1" x14ac:dyDescent="0.15">
      <c r="A935" s="242"/>
      <c r="B935" s="242"/>
      <c r="C935" s="242"/>
      <c r="D935" s="256"/>
      <c r="E935" s="242"/>
      <c r="F935" s="257"/>
      <c r="G935" s="242"/>
      <c r="H935" s="257"/>
      <c r="I935" s="242"/>
    </row>
    <row r="936" spans="1:9" ht="15" customHeight="1" x14ac:dyDescent="0.15">
      <c r="A936" s="242"/>
      <c r="B936" s="242"/>
      <c r="C936" s="242"/>
      <c r="D936" s="256"/>
      <c r="E936" s="242"/>
      <c r="F936" s="257"/>
      <c r="G936" s="242"/>
      <c r="H936" s="257"/>
      <c r="I936" s="242"/>
    </row>
    <row r="937" spans="1:9" ht="15" customHeight="1" x14ac:dyDescent="0.15">
      <c r="A937" s="242"/>
      <c r="B937" s="242"/>
      <c r="C937" s="242"/>
      <c r="D937" s="256"/>
      <c r="E937" s="242"/>
      <c r="F937" s="257"/>
      <c r="G937" s="242"/>
      <c r="H937" s="257"/>
      <c r="I937" s="242"/>
    </row>
    <row r="938" spans="1:9" ht="15" customHeight="1" x14ac:dyDescent="0.15">
      <c r="A938" s="242"/>
      <c r="B938" s="242"/>
      <c r="C938" s="242"/>
      <c r="D938" s="256"/>
      <c r="E938" s="242"/>
      <c r="F938" s="257"/>
      <c r="G938" s="242"/>
      <c r="H938" s="257"/>
      <c r="I938" s="242"/>
    </row>
    <row r="939" spans="1:9" ht="15" customHeight="1" x14ac:dyDescent="0.15">
      <c r="A939" s="242"/>
      <c r="B939" s="242"/>
      <c r="C939" s="242"/>
      <c r="D939" s="256"/>
      <c r="E939" s="242"/>
      <c r="F939" s="257"/>
      <c r="G939" s="242"/>
      <c r="H939" s="257"/>
      <c r="I939" s="242"/>
    </row>
    <row r="940" spans="1:9" ht="15" customHeight="1" x14ac:dyDescent="0.15">
      <c r="A940" s="242"/>
      <c r="B940" s="242"/>
      <c r="C940" s="242"/>
      <c r="D940" s="256"/>
      <c r="E940" s="242"/>
      <c r="F940" s="257"/>
      <c r="G940" s="242"/>
      <c r="H940" s="257"/>
      <c r="I940" s="242"/>
    </row>
    <row r="941" spans="1:9" ht="15" customHeight="1" x14ac:dyDescent="0.15">
      <c r="A941" s="242"/>
      <c r="B941" s="242"/>
      <c r="C941" s="242"/>
      <c r="D941" s="256"/>
      <c r="E941" s="242"/>
      <c r="F941" s="257"/>
      <c r="G941" s="242"/>
      <c r="H941" s="257"/>
      <c r="I941" s="242"/>
    </row>
    <row r="942" spans="1:9" ht="15" customHeight="1" x14ac:dyDescent="0.15">
      <c r="A942" s="242"/>
      <c r="B942" s="242"/>
      <c r="C942" s="242"/>
      <c r="D942" s="256"/>
      <c r="E942" s="242"/>
      <c r="F942" s="257"/>
      <c r="G942" s="242"/>
      <c r="H942" s="257"/>
      <c r="I942" s="242"/>
    </row>
    <row r="943" spans="1:9" ht="15" customHeight="1" x14ac:dyDescent="0.15">
      <c r="A943" s="242"/>
      <c r="B943" s="242"/>
      <c r="C943" s="242"/>
      <c r="D943" s="256"/>
      <c r="E943" s="242"/>
      <c r="F943" s="257"/>
      <c r="G943" s="242"/>
      <c r="H943" s="257"/>
      <c r="I943" s="242"/>
    </row>
    <row r="944" spans="1:9" ht="15" customHeight="1" x14ac:dyDescent="0.15">
      <c r="A944" s="242"/>
      <c r="B944" s="242"/>
      <c r="C944" s="242"/>
      <c r="D944" s="256"/>
      <c r="E944" s="242"/>
      <c r="F944" s="257"/>
      <c r="G944" s="242"/>
      <c r="H944" s="257"/>
      <c r="I944" s="242"/>
    </row>
    <row r="945" spans="1:9" ht="15" customHeight="1" x14ac:dyDescent="0.15">
      <c r="A945" s="242"/>
      <c r="B945" s="242"/>
      <c r="C945" s="242"/>
      <c r="D945" s="256"/>
      <c r="E945" s="242"/>
      <c r="F945" s="257"/>
      <c r="G945" s="242"/>
      <c r="H945" s="257"/>
      <c r="I945" s="242"/>
    </row>
    <row r="946" spans="1:9" ht="15" customHeight="1" x14ac:dyDescent="0.15">
      <c r="A946" s="242"/>
      <c r="B946" s="242"/>
      <c r="C946" s="242"/>
      <c r="D946" s="256"/>
      <c r="E946" s="242"/>
      <c r="F946" s="257"/>
      <c r="G946" s="242"/>
      <c r="H946" s="257"/>
      <c r="I946" s="242"/>
    </row>
    <row r="947" spans="1:9" ht="15" customHeight="1" x14ac:dyDescent="0.15">
      <c r="A947" s="242"/>
      <c r="B947" s="242"/>
      <c r="C947" s="242"/>
      <c r="D947" s="256"/>
      <c r="E947" s="242"/>
      <c r="F947" s="257"/>
      <c r="G947" s="242"/>
      <c r="H947" s="257"/>
      <c r="I947" s="242"/>
    </row>
    <row r="948" spans="1:9" ht="15" customHeight="1" x14ac:dyDescent="0.15">
      <c r="A948" s="242"/>
      <c r="B948" s="242"/>
      <c r="C948" s="242"/>
      <c r="D948" s="256"/>
      <c r="E948" s="242"/>
      <c r="F948" s="257"/>
      <c r="G948" s="242"/>
      <c r="H948" s="257"/>
      <c r="I948" s="242"/>
    </row>
    <row r="949" spans="1:9" ht="15" customHeight="1" x14ac:dyDescent="0.15">
      <c r="A949" s="242"/>
      <c r="B949" s="242"/>
      <c r="C949" s="242"/>
      <c r="D949" s="256"/>
      <c r="E949" s="242"/>
      <c r="F949" s="257"/>
      <c r="G949" s="242"/>
      <c r="H949" s="257"/>
      <c r="I949" s="242"/>
    </row>
    <row r="950" spans="1:9" ht="15" customHeight="1" x14ac:dyDescent="0.15">
      <c r="A950" s="242"/>
      <c r="B950" s="242"/>
      <c r="C950" s="242"/>
      <c r="D950" s="256"/>
      <c r="E950" s="242"/>
      <c r="F950" s="257"/>
      <c r="G950" s="242"/>
      <c r="H950" s="257"/>
      <c r="I950" s="242"/>
    </row>
    <row r="951" spans="1:9" ht="15" customHeight="1" x14ac:dyDescent="0.15">
      <c r="A951" s="242"/>
      <c r="B951" s="242"/>
      <c r="C951" s="242"/>
      <c r="D951" s="256"/>
      <c r="E951" s="242"/>
      <c r="F951" s="257"/>
      <c r="G951" s="242"/>
      <c r="H951" s="257"/>
      <c r="I951" s="242"/>
    </row>
    <row r="952" spans="1:9" ht="15" customHeight="1" x14ac:dyDescent="0.15">
      <c r="A952" s="242"/>
      <c r="B952" s="242"/>
      <c r="C952" s="242"/>
      <c r="D952" s="256"/>
      <c r="E952" s="242"/>
      <c r="F952" s="257"/>
      <c r="G952" s="242"/>
      <c r="H952" s="257"/>
      <c r="I952" s="242"/>
    </row>
    <row r="953" spans="1:9" ht="15" customHeight="1" x14ac:dyDescent="0.15">
      <c r="A953" s="242"/>
      <c r="B953" s="242"/>
      <c r="C953" s="242"/>
      <c r="D953" s="256"/>
      <c r="E953" s="242"/>
      <c r="F953" s="257"/>
      <c r="G953" s="242"/>
      <c r="H953" s="257"/>
      <c r="I953" s="242"/>
    </row>
    <row r="954" spans="1:9" ht="15" customHeight="1" x14ac:dyDescent="0.15">
      <c r="A954" s="242"/>
      <c r="B954" s="242"/>
      <c r="C954" s="242"/>
      <c r="D954" s="256"/>
      <c r="E954" s="242"/>
      <c r="F954" s="257"/>
      <c r="G954" s="242"/>
      <c r="H954" s="257"/>
      <c r="I954" s="242"/>
    </row>
    <row r="955" spans="1:9" ht="15" customHeight="1" x14ac:dyDescent="0.15">
      <c r="A955" s="242"/>
      <c r="B955" s="242"/>
      <c r="C955" s="242"/>
      <c r="D955" s="256"/>
      <c r="E955" s="242"/>
      <c r="F955" s="257"/>
      <c r="G955" s="242"/>
      <c r="H955" s="257"/>
      <c r="I955" s="242"/>
    </row>
    <row r="956" spans="1:9" ht="15" customHeight="1" x14ac:dyDescent="0.15">
      <c r="A956" s="242"/>
      <c r="B956" s="242"/>
      <c r="C956" s="242"/>
      <c r="D956" s="256"/>
      <c r="E956" s="242"/>
      <c r="F956" s="257"/>
      <c r="G956" s="242"/>
      <c r="H956" s="257"/>
      <c r="I956" s="242"/>
    </row>
    <row r="957" spans="1:9" ht="15" customHeight="1" x14ac:dyDescent="0.15">
      <c r="A957" s="242"/>
      <c r="B957" s="242"/>
      <c r="C957" s="242"/>
      <c r="D957" s="256"/>
      <c r="E957" s="242"/>
      <c r="F957" s="257"/>
      <c r="G957" s="242"/>
      <c r="H957" s="257"/>
      <c r="I957" s="242"/>
    </row>
    <row r="958" spans="1:9" ht="15" customHeight="1" x14ac:dyDescent="0.15">
      <c r="A958" s="242"/>
      <c r="B958" s="242"/>
      <c r="C958" s="242"/>
      <c r="D958" s="256"/>
      <c r="E958" s="242"/>
      <c r="F958" s="257"/>
      <c r="G958" s="242"/>
      <c r="H958" s="257"/>
      <c r="I958" s="242"/>
    </row>
    <row r="959" spans="1:9" ht="15" customHeight="1" x14ac:dyDescent="0.15">
      <c r="A959" s="242"/>
      <c r="B959" s="242"/>
      <c r="C959" s="242"/>
      <c r="D959" s="256"/>
      <c r="E959" s="242"/>
      <c r="F959" s="257"/>
      <c r="G959" s="242"/>
      <c r="H959" s="257"/>
      <c r="I959" s="242"/>
    </row>
    <row r="960" spans="1:9" ht="15" customHeight="1" x14ac:dyDescent="0.15">
      <c r="A960" s="242"/>
      <c r="B960" s="242"/>
      <c r="C960" s="242"/>
      <c r="D960" s="256"/>
      <c r="E960" s="242"/>
      <c r="F960" s="257"/>
      <c r="G960" s="242"/>
      <c r="H960" s="257"/>
      <c r="I960" s="242"/>
    </row>
    <row r="961" spans="1:9" ht="15" customHeight="1" x14ac:dyDescent="0.15">
      <c r="A961" s="242"/>
      <c r="B961" s="242"/>
      <c r="C961" s="242"/>
      <c r="D961" s="256"/>
      <c r="E961" s="242"/>
      <c r="F961" s="257"/>
      <c r="G961" s="242"/>
      <c r="H961" s="257"/>
      <c r="I961" s="242"/>
    </row>
    <row r="962" spans="1:9" ht="15" customHeight="1" x14ac:dyDescent="0.15">
      <c r="A962" s="242"/>
      <c r="B962" s="242"/>
      <c r="C962" s="242"/>
      <c r="D962" s="256"/>
      <c r="E962" s="242"/>
      <c r="F962" s="257"/>
      <c r="G962" s="242"/>
      <c r="H962" s="257"/>
      <c r="I962" s="242"/>
    </row>
    <row r="963" spans="1:9" ht="15" customHeight="1" x14ac:dyDescent="0.15">
      <c r="A963" s="242"/>
      <c r="B963" s="242"/>
      <c r="C963" s="242"/>
      <c r="D963" s="256"/>
      <c r="E963" s="242"/>
      <c r="F963" s="257"/>
      <c r="G963" s="242"/>
      <c r="H963" s="257"/>
      <c r="I963" s="242"/>
    </row>
    <row r="964" spans="1:9" ht="15" customHeight="1" x14ac:dyDescent="0.15">
      <c r="A964" s="242"/>
      <c r="B964" s="242"/>
      <c r="C964" s="242"/>
      <c r="D964" s="256"/>
      <c r="E964" s="242"/>
      <c r="F964" s="257"/>
      <c r="G964" s="242"/>
      <c r="H964" s="257"/>
      <c r="I964" s="242"/>
    </row>
    <row r="965" spans="1:9" ht="15" customHeight="1" x14ac:dyDescent="0.15">
      <c r="A965" s="242"/>
      <c r="B965" s="242"/>
      <c r="C965" s="242"/>
      <c r="D965" s="256"/>
      <c r="E965" s="242"/>
      <c r="F965" s="257"/>
      <c r="G965" s="242"/>
      <c r="H965" s="257"/>
      <c r="I965" s="242"/>
    </row>
    <row r="966" spans="1:9" ht="15" customHeight="1" x14ac:dyDescent="0.15">
      <c r="A966" s="242"/>
      <c r="B966" s="242"/>
      <c r="C966" s="242"/>
      <c r="D966" s="256"/>
      <c r="E966" s="242"/>
      <c r="F966" s="257"/>
      <c r="G966" s="242"/>
      <c r="H966" s="257"/>
      <c r="I966" s="242"/>
    </row>
    <row r="967" spans="1:9" ht="15" customHeight="1" x14ac:dyDescent="0.15">
      <c r="A967" s="242"/>
      <c r="B967" s="242"/>
      <c r="C967" s="242"/>
      <c r="D967" s="256"/>
      <c r="E967" s="242"/>
      <c r="F967" s="257"/>
      <c r="G967" s="242"/>
      <c r="H967" s="257"/>
      <c r="I967" s="242"/>
    </row>
    <row r="968" spans="1:9" ht="15" customHeight="1" x14ac:dyDescent="0.15">
      <c r="A968" s="242"/>
      <c r="B968" s="242"/>
      <c r="C968" s="242"/>
      <c r="D968" s="256"/>
      <c r="E968" s="242"/>
      <c r="F968" s="257"/>
      <c r="G968" s="242"/>
      <c r="H968" s="257"/>
      <c r="I968" s="242"/>
    </row>
    <row r="969" spans="1:9" ht="15" customHeight="1" x14ac:dyDescent="0.15">
      <c r="A969" s="242"/>
      <c r="B969" s="242"/>
      <c r="C969" s="242"/>
      <c r="D969" s="256"/>
      <c r="E969" s="242"/>
      <c r="F969" s="257"/>
      <c r="G969" s="242"/>
      <c r="H969" s="257"/>
      <c r="I969" s="242"/>
    </row>
    <row r="970" spans="1:9" ht="15" customHeight="1" x14ac:dyDescent="0.15">
      <c r="A970" s="242"/>
      <c r="B970" s="242"/>
      <c r="C970" s="242"/>
      <c r="D970" s="256"/>
      <c r="E970" s="242"/>
      <c r="F970" s="257"/>
      <c r="G970" s="242"/>
      <c r="H970" s="257"/>
      <c r="I970" s="242"/>
    </row>
    <row r="971" spans="1:9" ht="15" customHeight="1" x14ac:dyDescent="0.15">
      <c r="A971" s="242"/>
      <c r="B971" s="242"/>
      <c r="C971" s="242"/>
      <c r="D971" s="256"/>
      <c r="E971" s="242"/>
      <c r="F971" s="257"/>
      <c r="G971" s="242"/>
      <c r="H971" s="257"/>
      <c r="I971" s="242"/>
    </row>
    <row r="972" spans="1:9" ht="15" customHeight="1" x14ac:dyDescent="0.15">
      <c r="A972" s="242"/>
      <c r="B972" s="242"/>
      <c r="C972" s="242"/>
      <c r="D972" s="256"/>
      <c r="E972" s="242"/>
      <c r="F972" s="257"/>
      <c r="G972" s="242"/>
      <c r="H972" s="257"/>
      <c r="I972" s="242"/>
    </row>
    <row r="973" spans="1:9" ht="15" customHeight="1" x14ac:dyDescent="0.15">
      <c r="A973" s="242"/>
      <c r="B973" s="242"/>
      <c r="C973" s="242"/>
      <c r="D973" s="256"/>
      <c r="E973" s="242"/>
      <c r="F973" s="257"/>
      <c r="G973" s="242"/>
      <c r="H973" s="257"/>
      <c r="I973" s="242"/>
    </row>
    <row r="974" spans="1:9" ht="15" customHeight="1" x14ac:dyDescent="0.15">
      <c r="A974" s="242"/>
      <c r="B974" s="242"/>
      <c r="C974" s="242"/>
      <c r="D974" s="256"/>
      <c r="E974" s="242"/>
      <c r="F974" s="257"/>
      <c r="G974" s="242"/>
      <c r="H974" s="257"/>
      <c r="I974" s="242"/>
    </row>
    <row r="975" spans="1:9" ht="15" customHeight="1" x14ac:dyDescent="0.15">
      <c r="A975" s="242"/>
      <c r="B975" s="242"/>
      <c r="C975" s="242"/>
      <c r="D975" s="256"/>
      <c r="E975" s="242"/>
      <c r="F975" s="257"/>
      <c r="G975" s="242"/>
      <c r="H975" s="257"/>
      <c r="I975" s="242"/>
    </row>
    <row r="976" spans="1:9" ht="15" customHeight="1" x14ac:dyDescent="0.15">
      <c r="A976" s="242"/>
      <c r="B976" s="242"/>
      <c r="C976" s="242"/>
      <c r="D976" s="256"/>
      <c r="E976" s="242"/>
      <c r="F976" s="257"/>
      <c r="G976" s="242"/>
      <c r="H976" s="257"/>
      <c r="I976" s="242"/>
    </row>
    <row r="977" spans="1:9" ht="15" customHeight="1" x14ac:dyDescent="0.15">
      <c r="A977" s="242"/>
      <c r="B977" s="242"/>
      <c r="C977" s="242"/>
      <c r="D977" s="256"/>
      <c r="E977" s="242"/>
      <c r="F977" s="257"/>
      <c r="G977" s="242"/>
      <c r="H977" s="257"/>
      <c r="I977" s="242"/>
    </row>
    <row r="978" spans="1:9" ht="15" customHeight="1" x14ac:dyDescent="0.15">
      <c r="A978" s="242"/>
      <c r="B978" s="242"/>
      <c r="C978" s="242"/>
      <c r="D978" s="256"/>
      <c r="E978" s="242"/>
      <c r="F978" s="257"/>
      <c r="G978" s="242"/>
      <c r="H978" s="257"/>
      <c r="I978" s="242"/>
    </row>
    <row r="979" spans="1:9" ht="15" customHeight="1" x14ac:dyDescent="0.15">
      <c r="A979" s="242"/>
      <c r="B979" s="242"/>
      <c r="C979" s="242"/>
      <c r="D979" s="256"/>
      <c r="E979" s="242"/>
      <c r="F979" s="257"/>
      <c r="G979" s="242"/>
      <c r="H979" s="257"/>
      <c r="I979" s="242"/>
    </row>
    <row r="980" spans="1:9" ht="15" customHeight="1" x14ac:dyDescent="0.15">
      <c r="A980" s="242"/>
      <c r="B980" s="242"/>
      <c r="C980" s="242"/>
      <c r="D980" s="256"/>
      <c r="E980" s="242"/>
      <c r="F980" s="257"/>
      <c r="G980" s="242"/>
      <c r="H980" s="257"/>
      <c r="I980" s="242"/>
    </row>
    <row r="981" spans="1:9" ht="15" customHeight="1" x14ac:dyDescent="0.15">
      <c r="A981" s="242"/>
      <c r="B981" s="242"/>
      <c r="C981" s="242"/>
      <c r="D981" s="256"/>
      <c r="E981" s="242"/>
      <c r="F981" s="257"/>
      <c r="G981" s="242"/>
      <c r="H981" s="257"/>
      <c r="I981" s="242"/>
    </row>
    <row r="982" spans="1:9" ht="15" customHeight="1" x14ac:dyDescent="0.15">
      <c r="A982" s="242"/>
      <c r="B982" s="242"/>
      <c r="C982" s="242"/>
      <c r="D982" s="256"/>
      <c r="E982" s="242"/>
      <c r="F982" s="257"/>
      <c r="G982" s="242"/>
      <c r="H982" s="257"/>
      <c r="I982" s="242"/>
    </row>
    <row r="983" spans="1:9" ht="15" customHeight="1" x14ac:dyDescent="0.15">
      <c r="A983" s="242"/>
      <c r="B983" s="242"/>
      <c r="C983" s="242"/>
      <c r="D983" s="256"/>
      <c r="E983" s="242"/>
      <c r="F983" s="257"/>
      <c r="G983" s="242"/>
      <c r="H983" s="257"/>
      <c r="I983" s="242"/>
    </row>
    <row r="984" spans="1:9" ht="15" customHeight="1" x14ac:dyDescent="0.15">
      <c r="A984" s="242"/>
      <c r="B984" s="242"/>
      <c r="C984" s="242"/>
      <c r="D984" s="256"/>
      <c r="E984" s="242"/>
      <c r="F984" s="257"/>
      <c r="G984" s="242"/>
      <c r="H984" s="257"/>
      <c r="I984" s="242"/>
    </row>
    <row r="985" spans="1:9" ht="15" customHeight="1" x14ac:dyDescent="0.15">
      <c r="A985" s="242"/>
      <c r="B985" s="242"/>
      <c r="C985" s="242"/>
      <c r="D985" s="256"/>
      <c r="E985" s="242"/>
      <c r="F985" s="257"/>
      <c r="G985" s="242"/>
      <c r="H985" s="257"/>
      <c r="I985" s="242"/>
    </row>
    <row r="986" spans="1:9" ht="15" customHeight="1" x14ac:dyDescent="0.15">
      <c r="A986" s="242"/>
      <c r="B986" s="242"/>
      <c r="C986" s="242"/>
      <c r="D986" s="256"/>
      <c r="E986" s="242"/>
      <c r="F986" s="257"/>
      <c r="G986" s="242"/>
      <c r="H986" s="257"/>
      <c r="I986" s="242"/>
    </row>
    <row r="987" spans="1:9" ht="15" customHeight="1" x14ac:dyDescent="0.15">
      <c r="A987" s="242"/>
      <c r="B987" s="242"/>
      <c r="C987" s="242"/>
      <c r="D987" s="256"/>
      <c r="E987" s="242"/>
      <c r="F987" s="257"/>
      <c r="G987" s="242"/>
      <c r="H987" s="257"/>
      <c r="I987" s="242"/>
    </row>
    <row r="988" spans="1:9" ht="15" customHeight="1" x14ac:dyDescent="0.15">
      <c r="A988" s="242"/>
      <c r="B988" s="242"/>
      <c r="C988" s="242"/>
      <c r="D988" s="256"/>
      <c r="E988" s="242"/>
      <c r="F988" s="257"/>
      <c r="G988" s="242"/>
      <c r="H988" s="257"/>
      <c r="I988" s="242"/>
    </row>
    <row r="989" spans="1:9" ht="15" customHeight="1" x14ac:dyDescent="0.15">
      <c r="A989" s="242"/>
      <c r="B989" s="242"/>
      <c r="C989" s="242"/>
      <c r="D989" s="256"/>
      <c r="E989" s="242"/>
      <c r="F989" s="257"/>
      <c r="G989" s="242"/>
      <c r="H989" s="257"/>
      <c r="I989" s="242"/>
    </row>
    <row r="990" spans="1:9" ht="15" customHeight="1" x14ac:dyDescent="0.15">
      <c r="A990" s="242"/>
      <c r="B990" s="242"/>
      <c r="C990" s="242"/>
      <c r="D990" s="256"/>
      <c r="E990" s="242"/>
      <c r="F990" s="257"/>
      <c r="G990" s="242"/>
      <c r="H990" s="257"/>
      <c r="I990" s="242"/>
    </row>
    <row r="991" spans="1:9" ht="15" customHeight="1" x14ac:dyDescent="0.15">
      <c r="A991" s="242"/>
      <c r="B991" s="242"/>
      <c r="C991" s="242"/>
      <c r="D991" s="256"/>
      <c r="E991" s="242"/>
      <c r="F991" s="257"/>
      <c r="G991" s="242"/>
      <c r="H991" s="257"/>
      <c r="I991" s="242"/>
    </row>
    <row r="992" spans="1:9" ht="15" customHeight="1" x14ac:dyDescent="0.15">
      <c r="A992" s="242"/>
      <c r="B992" s="242"/>
      <c r="C992" s="242"/>
      <c r="D992" s="256"/>
      <c r="E992" s="242"/>
      <c r="F992" s="257"/>
      <c r="G992" s="242"/>
      <c r="H992" s="257"/>
      <c r="I992" s="242"/>
    </row>
    <row r="993" spans="1:9" ht="15" customHeight="1" x14ac:dyDescent="0.15">
      <c r="A993" s="242"/>
      <c r="B993" s="242"/>
      <c r="C993" s="242"/>
      <c r="D993" s="256"/>
      <c r="E993" s="242"/>
      <c r="F993" s="257"/>
      <c r="G993" s="242"/>
      <c r="H993" s="257"/>
      <c r="I993" s="242"/>
    </row>
    <row r="994" spans="1:9" ht="15" customHeight="1" x14ac:dyDescent="0.15">
      <c r="A994" s="242"/>
      <c r="B994" s="242"/>
      <c r="C994" s="242"/>
      <c r="D994" s="256"/>
      <c r="E994" s="242"/>
      <c r="F994" s="257"/>
      <c r="G994" s="242"/>
      <c r="H994" s="257"/>
      <c r="I994" s="242"/>
    </row>
    <row r="995" spans="1:9" ht="15" customHeight="1" x14ac:dyDescent="0.15">
      <c r="A995" s="242"/>
      <c r="B995" s="242"/>
      <c r="C995" s="242"/>
      <c r="D995" s="256"/>
      <c r="E995" s="242"/>
      <c r="F995" s="257"/>
      <c r="G995" s="242"/>
      <c r="H995" s="257"/>
      <c r="I995" s="242"/>
    </row>
    <row r="996" spans="1:9" ht="15" customHeight="1" x14ac:dyDescent="0.15">
      <c r="A996" s="242"/>
      <c r="B996" s="242"/>
      <c r="C996" s="242"/>
      <c r="D996" s="256"/>
      <c r="E996" s="242"/>
      <c r="F996" s="257"/>
      <c r="G996" s="242"/>
      <c r="H996" s="257"/>
      <c r="I996" s="242"/>
    </row>
    <row r="997" spans="1:9" ht="15" customHeight="1" x14ac:dyDescent="0.15">
      <c r="A997" s="242"/>
      <c r="B997" s="242"/>
      <c r="C997" s="242"/>
      <c r="D997" s="256"/>
      <c r="E997" s="242"/>
      <c r="F997" s="257"/>
      <c r="G997" s="242"/>
      <c r="H997" s="257"/>
      <c r="I997" s="242"/>
    </row>
    <row r="998" spans="1:9" ht="15" customHeight="1" x14ac:dyDescent="0.15">
      <c r="A998" s="242"/>
      <c r="B998" s="242"/>
      <c r="C998" s="242"/>
      <c r="D998" s="256"/>
      <c r="E998" s="242"/>
      <c r="F998" s="257"/>
      <c r="G998" s="242"/>
      <c r="H998" s="257"/>
      <c r="I998" s="242"/>
    </row>
    <row r="999" spans="1:9" ht="15" customHeight="1" x14ac:dyDescent="0.15">
      <c r="A999" s="242"/>
      <c r="B999" s="242"/>
      <c r="C999" s="242"/>
      <c r="D999" s="256"/>
      <c r="E999" s="242"/>
      <c r="F999" s="257"/>
      <c r="G999" s="242"/>
      <c r="H999" s="257"/>
      <c r="I999" s="242"/>
    </row>
    <row r="1000" spans="1:9" ht="15" customHeight="1" x14ac:dyDescent="0.15">
      <c r="A1000" s="242"/>
      <c r="B1000" s="242"/>
      <c r="C1000" s="242"/>
      <c r="D1000" s="256"/>
      <c r="E1000" s="242"/>
      <c r="F1000" s="257"/>
      <c r="G1000" s="242"/>
      <c r="H1000" s="257"/>
      <c r="I1000" s="242"/>
    </row>
    <row r="1048576" ht="15" customHeight="1" x14ac:dyDescent="0.15"/>
  </sheetData>
  <dataValidations count="3">
    <dataValidation type="list" errorStyle="warning" allowBlank="1" showErrorMessage="1" errorTitle="Unusual action code" error="Expected 1 (buy), -1 (sell), 0 (fee) or 2 (dividend received). Click Yes to keep it anyway." sqref="A2:A1001" xr:uid="{00000000-0002-0000-0B00-000000000000}">
      <formula1>"1,-1,0,2"</formula1>
      <formula2>0</formula2>
    </dataValidation>
    <dataValidation type="list" errorStyle="warning" allowBlank="1" showErrorMessage="1" errorTitle="New exchange code" error="Not a known exchange. Fine for a new market — click Yes, then add its prices/FX to the Prices tab." sqref="B2:B1001" xr:uid="{00000000-0002-0000-0B00-000001000000}">
      <formula1>"SGX,USX,HKEX,SSB,CA,CG"</formula1>
      <formula2>0</formula2>
    </dataValidation>
    <dataValidation type="list" errorStyle="warning" allowBlank="1" showErrorMessage="1" errorTitle="New currency" error="Not a known currency. Click Yes to keep, then add its FX rate to Settings." sqref="E2:E1001" xr:uid="{00000000-0002-0000-0B00-000002000000}">
      <formula1>"SGD,USD,HKD"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H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3" max="3" width="14.6640625" customWidth="1"/>
    <col min="4" max="4" width="10.83203125" customWidth="1"/>
    <col min="5" max="5" width="16.6640625" customWidth="1"/>
    <col min="6" max="6" width="14.6640625" customWidth="1"/>
    <col min="7" max="7" width="46.6640625" customWidth="1"/>
    <col min="8" max="8" width="16" customWidth="1"/>
  </cols>
  <sheetData>
    <row r="1" spans="1:8" ht="15" customHeight="1" x14ac:dyDescent="0.2">
      <c r="A1" s="243" t="s">
        <v>395</v>
      </c>
      <c r="B1" s="243" t="s">
        <v>387</v>
      </c>
      <c r="C1" s="243" t="s">
        <v>388</v>
      </c>
      <c r="D1" s="243" t="s">
        <v>390</v>
      </c>
      <c r="E1" s="243" t="s">
        <v>423</v>
      </c>
      <c r="F1" s="243" t="s">
        <v>424</v>
      </c>
      <c r="G1" s="243" t="s">
        <v>202</v>
      </c>
      <c r="H1" s="243" t="s">
        <v>228</v>
      </c>
    </row>
    <row r="2" spans="1:8" ht="15" customHeight="1" x14ac:dyDescent="0.15">
      <c r="A2" s="258" t="s">
        <v>425</v>
      </c>
      <c r="B2" s="259" t="s">
        <v>399</v>
      </c>
      <c r="C2" s="259" t="s">
        <v>400</v>
      </c>
      <c r="D2" s="259" t="s">
        <v>401</v>
      </c>
      <c r="E2" s="260">
        <v>111.61</v>
      </c>
      <c r="F2" s="261">
        <f>IF($D2="SGD",1,IF($D2="USD",Settings!$B$22,IF($D2="HKD",Settings!$B$23,1)))</f>
        <v>1</v>
      </c>
      <c r="G2" s="259" t="s">
        <v>426</v>
      </c>
      <c r="H2" t="s">
        <v>427</v>
      </c>
    </row>
    <row r="3" spans="1:8" ht="15" customHeight="1" x14ac:dyDescent="0.15">
      <c r="A3" s="258" t="s">
        <v>428</v>
      </c>
      <c r="B3" s="259" t="s">
        <v>409</v>
      </c>
      <c r="C3" s="259" t="s">
        <v>410</v>
      </c>
      <c r="D3" s="259" t="s">
        <v>407</v>
      </c>
      <c r="E3" s="260">
        <v>102509.66</v>
      </c>
      <c r="F3" s="261">
        <f>IF($D3="SGD",1,IF($D3="USD",Settings!$B$22,IF($D3="HKD",Settings!$B$23,1)))</f>
        <v>1.2928081084924601</v>
      </c>
      <c r="G3" s="259" t="s">
        <v>426</v>
      </c>
      <c r="H3" t="s">
        <v>429</v>
      </c>
    </row>
    <row r="4" spans="1:8" ht="15" customHeight="1" x14ac:dyDescent="0.15">
      <c r="A4" s="258" t="s">
        <v>430</v>
      </c>
      <c r="B4" s="259" t="s">
        <v>411</v>
      </c>
      <c r="C4" s="259" t="s">
        <v>412</v>
      </c>
      <c r="D4" s="259" t="s">
        <v>413</v>
      </c>
      <c r="E4" s="260">
        <v>488.2</v>
      </c>
      <c r="F4" s="261">
        <f>IF($D4="SGD",1,IF($D4="USD",Settings!$B$22,IF($D4="HKD",Settings!$B$23,1)))</f>
        <v>0.16489949375855401</v>
      </c>
      <c r="G4" s="259" t="s">
        <v>426</v>
      </c>
      <c r="H4" t="s">
        <v>431</v>
      </c>
    </row>
    <row r="5" spans="1:8" ht="15" customHeight="1" x14ac:dyDescent="0.15">
      <c r="A5" s="258" t="s">
        <v>432</v>
      </c>
      <c r="B5" s="259" t="s">
        <v>403</v>
      </c>
      <c r="C5" s="259" t="s">
        <v>416</v>
      </c>
      <c r="D5" s="259" t="s">
        <v>401</v>
      </c>
      <c r="E5" s="260">
        <v>2.74</v>
      </c>
      <c r="F5" s="261">
        <f>IF($D5="SGD",1,IF($D5="USD",Settings!$B$22,IF($D5="HKD",Settings!$B$23,1)))</f>
        <v>1</v>
      </c>
      <c r="G5" s="259" t="s">
        <v>426</v>
      </c>
      <c r="H5" t="s">
        <v>433</v>
      </c>
    </row>
    <row r="6" spans="1:8" ht="15" customHeight="1" x14ac:dyDescent="0.15">
      <c r="A6" s="258" t="s">
        <v>434</v>
      </c>
      <c r="B6" s="259" t="s">
        <v>403</v>
      </c>
      <c r="C6" s="259" t="s">
        <v>408</v>
      </c>
      <c r="D6" s="259" t="s">
        <v>401</v>
      </c>
      <c r="E6" s="260">
        <v>2.04</v>
      </c>
      <c r="F6" s="261">
        <f>IF($D6="SGD",1,IF($D6="USD",Settings!$B$22,IF($D6="HKD",Settings!$B$23,1)))</f>
        <v>1</v>
      </c>
      <c r="G6" s="259" t="s">
        <v>426</v>
      </c>
      <c r="H6" t="s">
        <v>433</v>
      </c>
    </row>
    <row r="7" spans="1:8" ht="15" customHeight="1" x14ac:dyDescent="0.15">
      <c r="A7" s="258" t="s">
        <v>435</v>
      </c>
      <c r="B7" s="259" t="s">
        <v>403</v>
      </c>
      <c r="C7" s="259" t="s">
        <v>419</v>
      </c>
      <c r="D7" s="259" t="s">
        <v>401</v>
      </c>
      <c r="E7" s="260">
        <v>0.81499999999999995</v>
      </c>
      <c r="F7" s="261">
        <f>IF($D7="SGD",1,IF($D7="USD",Settings!$B$22,IF($D7="HKD",Settings!$B$23,1)))</f>
        <v>1</v>
      </c>
      <c r="G7" s="259" t="s">
        <v>426</v>
      </c>
      <c r="H7" t="s">
        <v>436</v>
      </c>
    </row>
    <row r="8" spans="1:8" ht="15" customHeight="1" x14ac:dyDescent="0.15">
      <c r="A8" s="258" t="s">
        <v>437</v>
      </c>
      <c r="B8" s="259" t="s">
        <v>403</v>
      </c>
      <c r="C8" s="259" t="s">
        <v>404</v>
      </c>
      <c r="D8" s="259" t="s">
        <v>401</v>
      </c>
      <c r="E8" s="260">
        <v>3.82</v>
      </c>
      <c r="F8" s="261">
        <f>IF($D8="SGD",1,IF($D8="USD",Settings!$B$22,IF($D8="HKD",Settings!$B$23,1)))</f>
        <v>1</v>
      </c>
      <c r="G8" s="259" t="s">
        <v>426</v>
      </c>
      <c r="H8" t="s">
        <v>433</v>
      </c>
    </row>
    <row r="9" spans="1:8" ht="15" customHeight="1" x14ac:dyDescent="0.15">
      <c r="A9" s="258" t="s">
        <v>438</v>
      </c>
      <c r="B9" s="259" t="s">
        <v>405</v>
      </c>
      <c r="C9" s="259" t="s">
        <v>406</v>
      </c>
      <c r="D9" s="259" t="s">
        <v>407</v>
      </c>
      <c r="E9" s="260">
        <v>200</v>
      </c>
      <c r="F9" s="261">
        <f>IF($D9="SGD",1,IF($D9="USD",Settings!$B$22,IF($D9="HKD",Settings!$B$23,1)))</f>
        <v>1.2928081084924601</v>
      </c>
      <c r="G9" s="259" t="s">
        <v>426</v>
      </c>
      <c r="H9" t="s">
        <v>431</v>
      </c>
    </row>
    <row r="10" spans="1:8" ht="15" customHeight="1" x14ac:dyDescent="0.15">
      <c r="A10" s="258" t="s">
        <v>439</v>
      </c>
      <c r="B10" s="259" t="s">
        <v>405</v>
      </c>
      <c r="C10" s="259" t="s">
        <v>440</v>
      </c>
      <c r="D10" s="259" t="s">
        <v>407</v>
      </c>
      <c r="E10" s="260">
        <v>165</v>
      </c>
      <c r="F10" s="261">
        <f>IF($D10="SGD",1,IF($D10="USD",Settings!$B$22,IF($D10="HKD",Settings!$B$23,1)))</f>
        <v>1.2928081084924601</v>
      </c>
      <c r="G10" s="259" t="s">
        <v>441</v>
      </c>
      <c r="H10" t="s">
        <v>431</v>
      </c>
    </row>
    <row r="11" spans="1:8" ht="15" customHeight="1" x14ac:dyDescent="0.15">
      <c r="A11" s="258" t="s">
        <v>442</v>
      </c>
      <c r="B11" s="259" t="s">
        <v>405</v>
      </c>
      <c r="C11" s="259" t="s">
        <v>415</v>
      </c>
      <c r="D11" s="259" t="s">
        <v>407</v>
      </c>
      <c r="E11" s="260">
        <v>420</v>
      </c>
      <c r="F11" s="261">
        <f>IF($D11="SGD",1,IF($D11="USD",Settings!$B$22,IF($D11="HKD",Settings!$B$23,1)))</f>
        <v>1.2928081084924601</v>
      </c>
      <c r="G11" s="259" t="s">
        <v>426</v>
      </c>
      <c r="H11" t="s">
        <v>431</v>
      </c>
    </row>
    <row r="12" spans="1:8" ht="15" customHeight="1" x14ac:dyDescent="0.15">
      <c r="A12" s="258" t="s">
        <v>443</v>
      </c>
      <c r="B12" s="259" t="s">
        <v>405</v>
      </c>
      <c r="C12" s="259" t="s">
        <v>418</v>
      </c>
      <c r="D12" s="259" t="s">
        <v>407</v>
      </c>
      <c r="E12" s="260">
        <v>170</v>
      </c>
      <c r="F12" s="261">
        <f>IF($D12="SGD",1,IF($D12="USD",Settings!$B$22,IF($D12="HKD",Settings!$B$23,1)))</f>
        <v>1.2928081084924601</v>
      </c>
      <c r="G12" s="259" t="s">
        <v>444</v>
      </c>
      <c r="H12" t="s">
        <v>431</v>
      </c>
    </row>
    <row r="13" spans="1:8" ht="15" customHeight="1" x14ac:dyDescent="0.15">
      <c r="A13" s="258"/>
      <c r="B13" s="259"/>
      <c r="C13" s="259"/>
      <c r="D13" s="259"/>
      <c r="E13" s="260"/>
      <c r="F13" s="261"/>
      <c r="G13" s="259"/>
    </row>
    <row r="14" spans="1:8" ht="15" customHeight="1" x14ac:dyDescent="0.15">
      <c r="A14" s="258"/>
      <c r="B14" s="259"/>
      <c r="C14" s="259"/>
      <c r="D14" s="259"/>
      <c r="E14" s="260"/>
      <c r="F14" s="261"/>
      <c r="G14" s="259"/>
    </row>
    <row r="15" spans="1:8" ht="15" customHeight="1" x14ac:dyDescent="0.15">
      <c r="A15" s="258"/>
      <c r="B15" s="259"/>
      <c r="C15" s="259"/>
      <c r="D15" s="259"/>
      <c r="E15" s="260"/>
      <c r="F15" s="261"/>
      <c r="G15" s="259"/>
    </row>
    <row r="16" spans="1:8" ht="15" customHeight="1" x14ac:dyDescent="0.15">
      <c r="A16" s="258"/>
      <c r="B16" s="259"/>
      <c r="C16" s="259"/>
      <c r="D16" s="259"/>
      <c r="E16" s="260"/>
      <c r="F16" s="261"/>
      <c r="G16" s="259"/>
    </row>
    <row r="17" spans="1:7" ht="15" customHeight="1" x14ac:dyDescent="0.15">
      <c r="A17" s="258"/>
      <c r="B17" s="259"/>
      <c r="C17" s="259"/>
      <c r="D17" s="259"/>
      <c r="E17" s="260"/>
      <c r="F17" s="261"/>
      <c r="G17" s="259"/>
    </row>
    <row r="18" spans="1:7" ht="15" customHeight="1" x14ac:dyDescent="0.15">
      <c r="A18" s="258"/>
      <c r="B18" s="259"/>
      <c r="C18" s="259"/>
      <c r="D18" s="259"/>
      <c r="E18" s="260"/>
      <c r="F18" s="261"/>
      <c r="G18" s="259"/>
    </row>
    <row r="19" spans="1:7" ht="15" customHeight="1" x14ac:dyDescent="0.15">
      <c r="A19" s="258"/>
      <c r="B19" s="259"/>
      <c r="C19" s="259"/>
      <c r="D19" s="259"/>
      <c r="E19" s="260"/>
      <c r="F19" s="261"/>
      <c r="G19" s="259"/>
    </row>
    <row r="20" spans="1:7" ht="15" customHeight="1" x14ac:dyDescent="0.15">
      <c r="A20" s="258"/>
      <c r="B20" s="259"/>
      <c r="C20" s="259"/>
      <c r="D20" s="259"/>
      <c r="E20" s="260"/>
      <c r="F20" s="261"/>
      <c r="G20" s="259"/>
    </row>
    <row r="21" spans="1:7" ht="15" customHeight="1" x14ac:dyDescent="0.15">
      <c r="A21" s="258"/>
      <c r="B21" s="259"/>
      <c r="C21" s="259"/>
      <c r="D21" s="259"/>
      <c r="E21" s="260"/>
      <c r="F21" s="261"/>
      <c r="G21" s="259"/>
    </row>
    <row r="22" spans="1:7" ht="15" customHeight="1" x14ac:dyDescent="0.15">
      <c r="A22" s="258"/>
      <c r="B22" s="259"/>
      <c r="C22" s="259"/>
      <c r="D22" s="259"/>
      <c r="E22" s="260"/>
      <c r="F22" s="261"/>
      <c r="G22" s="259"/>
    </row>
    <row r="23" spans="1:7" ht="15" customHeight="1" x14ac:dyDescent="0.15">
      <c r="A23" s="258"/>
      <c r="B23" s="259"/>
      <c r="C23" s="259"/>
      <c r="D23" s="259"/>
      <c r="E23" s="260"/>
      <c r="F23" s="261"/>
      <c r="G23" s="259"/>
    </row>
    <row r="24" spans="1:7" ht="15" customHeight="1" x14ac:dyDescent="0.15">
      <c r="A24" s="258"/>
      <c r="B24" s="259"/>
      <c r="C24" s="259"/>
      <c r="D24" s="259"/>
      <c r="E24" s="260"/>
      <c r="F24" s="261"/>
      <c r="G24" s="259"/>
    </row>
    <row r="25" spans="1:7" ht="15" customHeight="1" x14ac:dyDescent="0.15">
      <c r="A25" s="258"/>
      <c r="B25" s="259"/>
      <c r="C25" s="259"/>
      <c r="D25" s="259"/>
      <c r="E25" s="260"/>
      <c r="F25" s="261"/>
      <c r="G25" s="259"/>
    </row>
    <row r="26" spans="1:7" ht="15" customHeight="1" x14ac:dyDescent="0.15">
      <c r="A26" s="258"/>
      <c r="B26" s="259"/>
      <c r="C26" s="259"/>
      <c r="D26" s="259"/>
      <c r="E26" s="260"/>
      <c r="F26" s="261"/>
      <c r="G26" s="259"/>
    </row>
    <row r="27" spans="1:7" ht="15" customHeight="1" x14ac:dyDescent="0.15">
      <c r="A27" s="258"/>
      <c r="B27" s="259"/>
      <c r="C27" s="259"/>
      <c r="D27" s="259"/>
      <c r="E27" s="260"/>
      <c r="F27" s="261"/>
      <c r="G27" s="259"/>
    </row>
    <row r="28" spans="1:7" ht="15" customHeight="1" x14ac:dyDescent="0.15">
      <c r="A28" s="258"/>
      <c r="B28" s="259"/>
      <c r="C28" s="259"/>
      <c r="D28" s="259"/>
      <c r="E28" s="260"/>
      <c r="F28" s="261"/>
      <c r="G28" s="259"/>
    </row>
    <row r="29" spans="1:7" ht="15" customHeight="1" x14ac:dyDescent="0.15">
      <c r="A29" s="258"/>
      <c r="B29" s="259"/>
      <c r="C29" s="259"/>
      <c r="D29" s="259"/>
      <c r="E29" s="260"/>
      <c r="F29" s="261"/>
      <c r="G29" s="259"/>
    </row>
    <row r="30" spans="1:7" ht="15" customHeight="1" x14ac:dyDescent="0.15">
      <c r="A30" s="258"/>
      <c r="B30" s="259"/>
      <c r="C30" s="259"/>
      <c r="D30" s="259"/>
      <c r="E30" s="260"/>
      <c r="F30" s="261"/>
      <c r="G30" s="259"/>
    </row>
    <row r="31" spans="1:7" ht="15" customHeight="1" x14ac:dyDescent="0.15">
      <c r="A31" s="258"/>
      <c r="B31" s="259"/>
      <c r="C31" s="259"/>
      <c r="D31" s="259"/>
      <c r="E31" s="260"/>
      <c r="F31" s="261"/>
      <c r="G31" s="259"/>
    </row>
    <row r="32" spans="1:7" ht="15" customHeight="1" x14ac:dyDescent="0.15">
      <c r="A32" s="258"/>
      <c r="B32" s="259"/>
      <c r="C32" s="259"/>
      <c r="D32" s="259"/>
      <c r="E32" s="260"/>
      <c r="F32" s="261"/>
      <c r="G32" s="259"/>
    </row>
    <row r="33" spans="1:7" ht="15" customHeight="1" x14ac:dyDescent="0.15">
      <c r="A33" s="258"/>
      <c r="B33" s="259"/>
      <c r="C33" s="259"/>
      <c r="D33" s="259"/>
      <c r="E33" s="260"/>
      <c r="F33" s="261"/>
      <c r="G33" s="259"/>
    </row>
    <row r="34" spans="1:7" ht="15" customHeight="1" x14ac:dyDescent="0.15">
      <c r="A34" s="258"/>
      <c r="B34" s="259"/>
      <c r="C34" s="259"/>
      <c r="D34" s="259"/>
      <c r="E34" s="260"/>
      <c r="F34" s="261"/>
      <c r="G34" s="259"/>
    </row>
    <row r="35" spans="1:7" ht="15" customHeight="1" x14ac:dyDescent="0.15">
      <c r="A35" s="258"/>
      <c r="B35" s="259"/>
      <c r="C35" s="259"/>
      <c r="D35" s="259"/>
      <c r="E35" s="260"/>
      <c r="F35" s="261"/>
      <c r="G35" s="259"/>
    </row>
    <row r="36" spans="1:7" ht="15" customHeight="1" x14ac:dyDescent="0.15">
      <c r="A36" s="258"/>
      <c r="B36" s="259"/>
      <c r="C36" s="259"/>
      <c r="D36" s="259"/>
      <c r="E36" s="260"/>
      <c r="F36" s="261"/>
      <c r="G36" s="259"/>
    </row>
    <row r="37" spans="1:7" ht="15" customHeight="1" x14ac:dyDescent="0.15">
      <c r="A37" s="258"/>
      <c r="B37" s="259"/>
      <c r="C37" s="259"/>
      <c r="D37" s="259"/>
      <c r="E37" s="260"/>
      <c r="F37" s="261"/>
      <c r="G37" s="259"/>
    </row>
    <row r="38" spans="1:7" ht="15" customHeight="1" x14ac:dyDescent="0.15">
      <c r="A38" s="258"/>
      <c r="B38" s="259"/>
      <c r="C38" s="259"/>
      <c r="D38" s="259"/>
      <c r="E38" s="260"/>
      <c r="F38" s="261"/>
      <c r="G38" s="259"/>
    </row>
    <row r="39" spans="1:7" ht="15" customHeight="1" x14ac:dyDescent="0.15">
      <c r="A39" s="258"/>
      <c r="B39" s="259"/>
      <c r="C39" s="259"/>
      <c r="D39" s="259"/>
      <c r="E39" s="260"/>
      <c r="F39" s="261"/>
      <c r="G39" s="259"/>
    </row>
    <row r="40" spans="1:7" ht="15" customHeight="1" x14ac:dyDescent="0.15">
      <c r="A40" s="258"/>
      <c r="B40" s="259"/>
      <c r="C40" s="259"/>
      <c r="D40" s="259"/>
      <c r="E40" s="260"/>
      <c r="F40" s="261"/>
      <c r="G40" s="259"/>
    </row>
    <row r="41" spans="1:7" ht="15" customHeight="1" x14ac:dyDescent="0.15">
      <c r="A41" s="258"/>
      <c r="B41" s="259"/>
      <c r="C41" s="259"/>
      <c r="D41" s="259"/>
      <c r="E41" s="260"/>
      <c r="F41" s="261"/>
      <c r="G41" s="259"/>
    </row>
    <row r="42" spans="1:7" ht="15" customHeight="1" x14ac:dyDescent="0.15">
      <c r="A42" s="258"/>
      <c r="B42" s="259"/>
      <c r="C42" s="259"/>
      <c r="D42" s="259"/>
      <c r="E42" s="260"/>
      <c r="F42" s="261"/>
      <c r="G42" s="259"/>
    </row>
    <row r="43" spans="1:7" ht="15" customHeight="1" x14ac:dyDescent="0.15">
      <c r="A43" s="258"/>
      <c r="B43" s="259"/>
      <c r="C43" s="259"/>
      <c r="D43" s="259"/>
      <c r="E43" s="260"/>
      <c r="F43" s="261"/>
      <c r="G43" s="259"/>
    </row>
    <row r="44" spans="1:7" ht="15" customHeight="1" x14ac:dyDescent="0.15">
      <c r="A44" s="258"/>
      <c r="B44" s="259"/>
      <c r="C44" s="259"/>
      <c r="D44" s="259"/>
      <c r="E44" s="260"/>
      <c r="F44" s="261"/>
      <c r="G44" s="259"/>
    </row>
    <row r="45" spans="1:7" ht="15" customHeight="1" x14ac:dyDescent="0.15">
      <c r="A45" s="258"/>
      <c r="B45" s="259"/>
      <c r="C45" s="259"/>
      <c r="D45" s="259"/>
      <c r="E45" s="260"/>
      <c r="F45" s="261"/>
      <c r="G45" s="259"/>
    </row>
    <row r="46" spans="1:7" ht="15" customHeight="1" x14ac:dyDescent="0.15">
      <c r="A46" s="258"/>
      <c r="B46" s="259"/>
      <c r="C46" s="259"/>
      <c r="D46" s="259"/>
      <c r="E46" s="260"/>
      <c r="F46" s="261"/>
      <c r="G46" s="259"/>
    </row>
    <row r="47" spans="1:7" ht="15" customHeight="1" x14ac:dyDescent="0.15">
      <c r="A47" s="258"/>
      <c r="B47" s="259"/>
      <c r="C47" s="259"/>
      <c r="D47" s="259"/>
      <c r="E47" s="260"/>
      <c r="F47" s="261"/>
      <c r="G47" s="259"/>
    </row>
    <row r="48" spans="1:7" ht="15" customHeight="1" x14ac:dyDescent="0.15">
      <c r="A48" s="258"/>
      <c r="B48" s="259"/>
      <c r="C48" s="259"/>
      <c r="D48" s="259"/>
      <c r="E48" s="260"/>
      <c r="F48" s="261"/>
      <c r="G48" s="259"/>
    </row>
    <row r="49" spans="1:7" ht="15" customHeight="1" x14ac:dyDescent="0.15">
      <c r="A49" s="258"/>
      <c r="B49" s="259"/>
      <c r="C49" s="259"/>
      <c r="D49" s="259"/>
      <c r="E49" s="260"/>
      <c r="F49" s="261"/>
      <c r="G49" s="259"/>
    </row>
    <row r="50" spans="1:7" ht="15" customHeight="1" x14ac:dyDescent="0.15">
      <c r="A50" s="258"/>
      <c r="B50" s="259"/>
      <c r="C50" s="259"/>
      <c r="D50" s="259"/>
      <c r="E50" s="260"/>
      <c r="F50" s="261"/>
      <c r="G50" s="259"/>
    </row>
    <row r="51" spans="1:7" ht="15" customHeight="1" x14ac:dyDescent="0.15">
      <c r="A51" s="258"/>
      <c r="B51" s="259"/>
      <c r="C51" s="259"/>
      <c r="D51" s="259"/>
      <c r="E51" s="260"/>
      <c r="F51" s="261"/>
      <c r="G51" s="259"/>
    </row>
    <row r="52" spans="1:7" ht="15" customHeight="1" x14ac:dyDescent="0.15">
      <c r="A52" s="258"/>
      <c r="B52" s="259"/>
      <c r="C52" s="259"/>
      <c r="D52" s="259"/>
      <c r="E52" s="260"/>
      <c r="F52" s="261"/>
      <c r="G52" s="259"/>
    </row>
    <row r="53" spans="1:7" ht="15" customHeight="1" x14ac:dyDescent="0.15">
      <c r="A53" s="258"/>
      <c r="B53" s="259"/>
      <c r="C53" s="259"/>
      <c r="D53" s="259"/>
      <c r="E53" s="260"/>
      <c r="F53" s="261"/>
      <c r="G53" s="259"/>
    </row>
    <row r="54" spans="1:7" ht="15" customHeight="1" x14ac:dyDescent="0.15">
      <c r="A54" s="258"/>
      <c r="B54" s="259"/>
      <c r="C54" s="259"/>
      <c r="D54" s="259"/>
      <c r="E54" s="260"/>
      <c r="F54" s="261"/>
      <c r="G54" s="259"/>
    </row>
    <row r="55" spans="1:7" ht="15" customHeight="1" x14ac:dyDescent="0.15">
      <c r="A55" s="258"/>
      <c r="B55" s="259"/>
      <c r="C55" s="259"/>
      <c r="D55" s="259"/>
      <c r="E55" s="260"/>
      <c r="F55" s="261"/>
      <c r="G55" s="259"/>
    </row>
    <row r="56" spans="1:7" ht="15" customHeight="1" x14ac:dyDescent="0.15">
      <c r="A56" s="258"/>
      <c r="B56" s="259"/>
      <c r="C56" s="259"/>
      <c r="D56" s="259"/>
      <c r="E56" s="260"/>
      <c r="F56" s="261"/>
      <c r="G56" s="259"/>
    </row>
    <row r="57" spans="1:7" ht="15" customHeight="1" x14ac:dyDescent="0.15">
      <c r="A57" s="258"/>
      <c r="B57" s="259"/>
      <c r="C57" s="259"/>
      <c r="D57" s="259"/>
      <c r="E57" s="260"/>
      <c r="F57" s="261"/>
      <c r="G57" s="259"/>
    </row>
    <row r="58" spans="1:7" ht="15" customHeight="1" x14ac:dyDescent="0.15">
      <c r="A58" s="258"/>
      <c r="B58" s="259"/>
      <c r="C58" s="259"/>
      <c r="D58" s="259"/>
      <c r="E58" s="260"/>
      <c r="F58" s="261"/>
      <c r="G58" s="259"/>
    </row>
    <row r="59" spans="1:7" ht="15" customHeight="1" x14ac:dyDescent="0.15">
      <c r="A59" s="258"/>
      <c r="B59" s="259"/>
      <c r="C59" s="259"/>
      <c r="D59" s="259"/>
      <c r="E59" s="260"/>
      <c r="F59" s="261"/>
      <c r="G59" s="259"/>
    </row>
    <row r="60" spans="1:7" ht="15" customHeight="1" x14ac:dyDescent="0.15">
      <c r="A60" s="258"/>
      <c r="B60" s="259"/>
      <c r="C60" s="259"/>
      <c r="D60" s="259"/>
      <c r="E60" s="260"/>
      <c r="F60" s="261"/>
      <c r="G60" s="259"/>
    </row>
    <row r="61" spans="1:7" ht="15" customHeight="1" x14ac:dyDescent="0.15">
      <c r="A61" s="258"/>
      <c r="B61" s="259"/>
      <c r="C61" s="259"/>
      <c r="D61" s="259"/>
      <c r="E61" s="260"/>
      <c r="F61" s="261"/>
      <c r="G61" s="259"/>
    </row>
    <row r="62" spans="1:7" ht="15" customHeight="1" x14ac:dyDescent="0.15">
      <c r="A62" s="258"/>
      <c r="B62" s="259"/>
      <c r="C62" s="259"/>
      <c r="D62" s="259"/>
      <c r="E62" s="260"/>
      <c r="F62" s="261"/>
      <c r="G62" s="259"/>
    </row>
    <row r="63" spans="1:7" ht="15" customHeight="1" x14ac:dyDescent="0.15">
      <c r="A63" s="258"/>
      <c r="B63" s="259"/>
      <c r="C63" s="259"/>
      <c r="D63" s="259"/>
      <c r="E63" s="260"/>
      <c r="F63" s="261"/>
      <c r="G63" s="259"/>
    </row>
    <row r="64" spans="1:7" ht="15" customHeight="1" x14ac:dyDescent="0.15">
      <c r="A64" s="258"/>
      <c r="B64" s="259"/>
      <c r="C64" s="259"/>
      <c r="D64" s="259"/>
      <c r="E64" s="260"/>
      <c r="F64" s="261"/>
      <c r="G64" s="259"/>
    </row>
    <row r="65" spans="1:7" ht="15" customHeight="1" x14ac:dyDescent="0.15">
      <c r="A65" s="258"/>
      <c r="B65" s="259"/>
      <c r="C65" s="259"/>
      <c r="D65" s="259"/>
      <c r="E65" s="260"/>
      <c r="F65" s="261"/>
      <c r="G65" s="259"/>
    </row>
    <row r="66" spans="1:7" ht="15" customHeight="1" x14ac:dyDescent="0.15">
      <c r="A66" s="258"/>
      <c r="B66" s="259"/>
      <c r="C66" s="259"/>
      <c r="D66" s="259"/>
      <c r="E66" s="260"/>
      <c r="F66" s="261"/>
      <c r="G66" s="259"/>
    </row>
    <row r="67" spans="1:7" ht="15" customHeight="1" x14ac:dyDescent="0.15">
      <c r="A67" s="258"/>
      <c r="B67" s="259"/>
      <c r="C67" s="259"/>
      <c r="D67" s="259"/>
      <c r="E67" s="260"/>
      <c r="F67" s="261"/>
      <c r="G67" s="259"/>
    </row>
    <row r="68" spans="1:7" ht="15" customHeight="1" x14ac:dyDescent="0.15">
      <c r="A68" s="258"/>
      <c r="B68" s="259"/>
      <c r="C68" s="259"/>
      <c r="D68" s="259"/>
      <c r="E68" s="260"/>
      <c r="F68" s="261"/>
      <c r="G68" s="259"/>
    </row>
    <row r="69" spans="1:7" ht="15" customHeight="1" x14ac:dyDescent="0.15">
      <c r="A69" s="258"/>
      <c r="B69" s="259"/>
      <c r="C69" s="259"/>
      <c r="D69" s="259"/>
      <c r="E69" s="260"/>
      <c r="F69" s="261"/>
      <c r="G69" s="259"/>
    </row>
    <row r="70" spans="1:7" ht="15" customHeight="1" x14ac:dyDescent="0.15">
      <c r="A70" s="258"/>
      <c r="B70" s="259"/>
      <c r="C70" s="259"/>
      <c r="D70" s="259"/>
      <c r="E70" s="260"/>
      <c r="F70" s="261"/>
      <c r="G70" s="259"/>
    </row>
    <row r="71" spans="1:7" ht="15" customHeight="1" x14ac:dyDescent="0.15">
      <c r="A71" s="258"/>
      <c r="B71" s="259"/>
      <c r="C71" s="259"/>
      <c r="D71" s="259"/>
      <c r="E71" s="260"/>
      <c r="F71" s="261"/>
      <c r="G71" s="259"/>
    </row>
    <row r="72" spans="1:7" ht="15" customHeight="1" x14ac:dyDescent="0.15">
      <c r="A72" s="258"/>
      <c r="B72" s="259"/>
      <c r="C72" s="259"/>
      <c r="D72" s="259"/>
      <c r="E72" s="260"/>
      <c r="F72" s="261"/>
      <c r="G72" s="259"/>
    </row>
    <row r="73" spans="1:7" ht="15" customHeight="1" x14ac:dyDescent="0.15">
      <c r="A73" s="258"/>
      <c r="B73" s="259"/>
      <c r="C73" s="259"/>
      <c r="D73" s="259"/>
      <c r="E73" s="260"/>
      <c r="F73" s="261"/>
      <c r="G73" s="259"/>
    </row>
    <row r="74" spans="1:7" ht="15" customHeight="1" x14ac:dyDescent="0.15">
      <c r="A74" s="258"/>
      <c r="B74" s="259"/>
      <c r="C74" s="259"/>
      <c r="D74" s="259"/>
      <c r="E74" s="260"/>
      <c r="F74" s="261"/>
      <c r="G74" s="259"/>
    </row>
    <row r="75" spans="1:7" ht="15" customHeight="1" x14ac:dyDescent="0.15">
      <c r="A75" s="258"/>
      <c r="B75" s="259"/>
      <c r="C75" s="259"/>
      <c r="D75" s="259"/>
      <c r="E75" s="260"/>
      <c r="F75" s="261"/>
      <c r="G75" s="259"/>
    </row>
    <row r="76" spans="1:7" ht="15" customHeight="1" x14ac:dyDescent="0.15">
      <c r="A76" s="258"/>
      <c r="B76" s="259"/>
      <c r="C76" s="259"/>
      <c r="D76" s="259"/>
      <c r="E76" s="260"/>
      <c r="F76" s="261"/>
      <c r="G76" s="259"/>
    </row>
    <row r="77" spans="1:7" ht="15" customHeight="1" x14ac:dyDescent="0.15">
      <c r="A77" s="258"/>
      <c r="B77" s="259"/>
      <c r="C77" s="259"/>
      <c r="D77" s="259"/>
      <c r="E77" s="260"/>
      <c r="F77" s="261"/>
      <c r="G77" s="259"/>
    </row>
    <row r="78" spans="1:7" ht="15" customHeight="1" x14ac:dyDescent="0.15">
      <c r="A78" s="258"/>
      <c r="B78" s="259"/>
      <c r="C78" s="259"/>
      <c r="D78" s="259"/>
      <c r="E78" s="260"/>
      <c r="F78" s="261"/>
      <c r="G78" s="259"/>
    </row>
    <row r="79" spans="1:7" ht="15" customHeight="1" x14ac:dyDescent="0.15">
      <c r="A79" s="258"/>
      <c r="B79" s="259"/>
      <c r="C79" s="259"/>
      <c r="D79" s="259"/>
      <c r="E79" s="260"/>
      <c r="F79" s="261"/>
      <c r="G79" s="259"/>
    </row>
    <row r="80" spans="1:7" ht="15" customHeight="1" x14ac:dyDescent="0.15">
      <c r="A80" s="258"/>
      <c r="B80" s="259"/>
      <c r="C80" s="259"/>
      <c r="D80" s="259"/>
      <c r="E80" s="260"/>
      <c r="F80" s="261"/>
      <c r="G80" s="259"/>
    </row>
    <row r="81" spans="1:7" ht="15" customHeight="1" x14ac:dyDescent="0.15">
      <c r="A81" s="258"/>
      <c r="B81" s="259"/>
      <c r="C81" s="259"/>
      <c r="D81" s="259"/>
      <c r="E81" s="260"/>
      <c r="F81" s="261"/>
      <c r="G81" s="259"/>
    </row>
    <row r="82" spans="1:7" ht="15" customHeight="1" x14ac:dyDescent="0.15">
      <c r="A82" s="258"/>
      <c r="B82" s="259"/>
      <c r="C82" s="259"/>
      <c r="D82" s="259"/>
      <c r="E82" s="260"/>
      <c r="F82" s="261"/>
      <c r="G82" s="259"/>
    </row>
    <row r="83" spans="1:7" ht="15" customHeight="1" x14ac:dyDescent="0.15">
      <c r="A83" s="258"/>
      <c r="B83" s="259"/>
      <c r="C83" s="259"/>
      <c r="D83" s="259"/>
      <c r="E83" s="260"/>
      <c r="F83" s="261"/>
      <c r="G83" s="259"/>
    </row>
    <row r="84" spans="1:7" ht="15" customHeight="1" x14ac:dyDescent="0.15">
      <c r="A84" s="258"/>
      <c r="B84" s="259"/>
      <c r="C84" s="259"/>
      <c r="D84" s="259"/>
      <c r="E84" s="260"/>
      <c r="F84" s="261"/>
      <c r="G84" s="259"/>
    </row>
    <row r="85" spans="1:7" ht="15" customHeight="1" x14ac:dyDescent="0.15">
      <c r="A85" s="258"/>
      <c r="B85" s="259"/>
      <c r="C85" s="259"/>
      <c r="D85" s="259"/>
      <c r="E85" s="260"/>
      <c r="F85" s="261"/>
      <c r="G85" s="259"/>
    </row>
    <row r="86" spans="1:7" ht="15" customHeight="1" x14ac:dyDescent="0.15">
      <c r="A86" s="258"/>
      <c r="B86" s="259"/>
      <c r="C86" s="259"/>
      <c r="D86" s="259"/>
      <c r="E86" s="260"/>
      <c r="F86" s="261"/>
      <c r="G86" s="259"/>
    </row>
    <row r="87" spans="1:7" ht="15" customHeight="1" x14ac:dyDescent="0.15">
      <c r="A87" s="258"/>
      <c r="B87" s="259"/>
      <c r="C87" s="259"/>
      <c r="D87" s="259"/>
      <c r="E87" s="260"/>
      <c r="F87" s="261"/>
      <c r="G87" s="259"/>
    </row>
    <row r="88" spans="1:7" ht="15" customHeight="1" x14ac:dyDescent="0.15">
      <c r="A88" s="258"/>
      <c r="B88" s="259"/>
      <c r="C88" s="259"/>
      <c r="D88" s="259"/>
      <c r="E88" s="260"/>
      <c r="F88" s="261"/>
      <c r="G88" s="259"/>
    </row>
    <row r="89" spans="1:7" ht="15" customHeight="1" x14ac:dyDescent="0.15">
      <c r="A89" s="258"/>
      <c r="B89" s="259"/>
      <c r="C89" s="259"/>
      <c r="D89" s="259"/>
      <c r="E89" s="260"/>
      <c r="F89" s="261"/>
      <c r="G89" s="259"/>
    </row>
    <row r="90" spans="1:7" ht="15" customHeight="1" x14ac:dyDescent="0.15">
      <c r="A90" s="258"/>
      <c r="B90" s="259"/>
      <c r="C90" s="259"/>
      <c r="D90" s="259"/>
      <c r="E90" s="260"/>
      <c r="F90" s="261"/>
      <c r="G90" s="259"/>
    </row>
    <row r="91" spans="1:7" ht="15" customHeight="1" x14ac:dyDescent="0.15">
      <c r="A91" s="258"/>
      <c r="B91" s="259"/>
      <c r="C91" s="259"/>
      <c r="D91" s="259"/>
      <c r="E91" s="260"/>
      <c r="F91" s="261"/>
      <c r="G91" s="259"/>
    </row>
    <row r="92" spans="1:7" ht="15" customHeight="1" x14ac:dyDescent="0.15">
      <c r="A92" s="258"/>
      <c r="B92" s="259"/>
      <c r="C92" s="259"/>
      <c r="D92" s="259"/>
      <c r="E92" s="260"/>
      <c r="F92" s="261"/>
      <c r="G92" s="259"/>
    </row>
    <row r="93" spans="1:7" ht="15" customHeight="1" x14ac:dyDescent="0.15">
      <c r="A93" s="258"/>
      <c r="B93" s="259"/>
      <c r="C93" s="259"/>
      <c r="D93" s="259"/>
      <c r="E93" s="260"/>
      <c r="F93" s="261"/>
      <c r="G93" s="259"/>
    </row>
    <row r="94" spans="1:7" ht="15" customHeight="1" x14ac:dyDescent="0.15">
      <c r="A94" s="258"/>
      <c r="B94" s="259"/>
      <c r="C94" s="259"/>
      <c r="D94" s="259"/>
      <c r="E94" s="260"/>
      <c r="F94" s="261"/>
      <c r="G94" s="259"/>
    </row>
    <row r="95" spans="1:7" ht="15" customHeight="1" x14ac:dyDescent="0.15">
      <c r="A95" s="258"/>
      <c r="B95" s="259"/>
      <c r="C95" s="259"/>
      <c r="D95" s="259"/>
      <c r="E95" s="260"/>
      <c r="F95" s="261"/>
      <c r="G95" s="259"/>
    </row>
    <row r="96" spans="1:7" ht="15" customHeight="1" x14ac:dyDescent="0.15">
      <c r="A96" s="258"/>
      <c r="B96" s="259"/>
      <c r="C96" s="259"/>
      <c r="D96" s="259"/>
      <c r="E96" s="260"/>
      <c r="F96" s="261"/>
      <c r="G96" s="259"/>
    </row>
    <row r="97" spans="1:7" ht="15" customHeight="1" x14ac:dyDescent="0.15">
      <c r="A97" s="258"/>
      <c r="B97" s="259"/>
      <c r="C97" s="259"/>
      <c r="D97" s="259"/>
      <c r="E97" s="260"/>
      <c r="F97" s="261"/>
      <c r="G97" s="259"/>
    </row>
    <row r="98" spans="1:7" ht="15" customHeight="1" x14ac:dyDescent="0.15">
      <c r="A98" s="258"/>
      <c r="B98" s="259"/>
      <c r="C98" s="259"/>
      <c r="D98" s="259"/>
      <c r="E98" s="260"/>
      <c r="F98" s="261"/>
      <c r="G98" s="259"/>
    </row>
    <row r="99" spans="1:7" ht="15" customHeight="1" x14ac:dyDescent="0.15">
      <c r="A99" s="258"/>
      <c r="B99" s="259"/>
      <c r="C99" s="259"/>
      <c r="D99" s="259"/>
      <c r="E99" s="260"/>
      <c r="F99" s="261"/>
      <c r="G99" s="259"/>
    </row>
    <row r="100" spans="1:7" ht="15" customHeight="1" x14ac:dyDescent="0.15">
      <c r="A100" s="258"/>
      <c r="B100" s="259"/>
      <c r="C100" s="259"/>
      <c r="D100" s="259"/>
      <c r="E100" s="260"/>
      <c r="F100" s="261"/>
      <c r="G100" s="259"/>
    </row>
    <row r="101" spans="1:7" ht="15" customHeight="1" x14ac:dyDescent="0.15">
      <c r="A101" s="258"/>
      <c r="B101" s="259"/>
      <c r="C101" s="259"/>
      <c r="D101" s="259"/>
      <c r="E101" s="260"/>
      <c r="F101" s="261"/>
      <c r="G101" s="259"/>
    </row>
    <row r="102" spans="1:7" ht="15" customHeight="1" x14ac:dyDescent="0.15">
      <c r="A102" s="258"/>
      <c r="B102" s="259"/>
      <c r="C102" s="259"/>
      <c r="D102" s="259"/>
      <c r="E102" s="260"/>
      <c r="F102" s="261"/>
      <c r="G102" s="259"/>
    </row>
    <row r="103" spans="1:7" ht="15" customHeight="1" x14ac:dyDescent="0.15">
      <c r="A103" s="258"/>
      <c r="B103" s="259"/>
      <c r="C103" s="259"/>
      <c r="D103" s="259"/>
      <c r="E103" s="260"/>
      <c r="F103" s="261"/>
      <c r="G103" s="259"/>
    </row>
    <row r="104" spans="1:7" ht="15" customHeight="1" x14ac:dyDescent="0.15">
      <c r="A104" s="258"/>
      <c r="B104" s="259"/>
      <c r="C104" s="259"/>
      <c r="D104" s="259"/>
      <c r="E104" s="260"/>
      <c r="F104" s="261"/>
      <c r="G104" s="259"/>
    </row>
    <row r="105" spans="1:7" ht="15" customHeight="1" x14ac:dyDescent="0.15">
      <c r="A105" s="258"/>
      <c r="B105" s="259"/>
      <c r="C105" s="259"/>
      <c r="D105" s="259"/>
      <c r="E105" s="260"/>
      <c r="F105" s="261"/>
      <c r="G105" s="259"/>
    </row>
    <row r="106" spans="1:7" ht="15" customHeight="1" x14ac:dyDescent="0.15">
      <c r="A106" s="258"/>
      <c r="B106" s="259"/>
      <c r="C106" s="259"/>
      <c r="D106" s="259"/>
      <c r="E106" s="260"/>
      <c r="F106" s="261"/>
      <c r="G106" s="259"/>
    </row>
    <row r="107" spans="1:7" ht="15" customHeight="1" x14ac:dyDescent="0.15">
      <c r="A107" s="258"/>
      <c r="B107" s="259"/>
      <c r="C107" s="259"/>
      <c r="D107" s="259"/>
      <c r="E107" s="260"/>
      <c r="F107" s="261"/>
      <c r="G107" s="259"/>
    </row>
    <row r="108" spans="1:7" ht="15" customHeight="1" x14ac:dyDescent="0.15">
      <c r="A108" s="258"/>
      <c r="B108" s="259"/>
      <c r="C108" s="259"/>
      <c r="D108" s="259"/>
      <c r="E108" s="260"/>
      <c r="F108" s="261"/>
      <c r="G108" s="259"/>
    </row>
    <row r="109" spans="1:7" ht="15" customHeight="1" x14ac:dyDescent="0.15">
      <c r="A109" s="258"/>
      <c r="B109" s="259"/>
      <c r="C109" s="259"/>
      <c r="D109" s="259"/>
      <c r="E109" s="260"/>
      <c r="F109" s="261"/>
      <c r="G109" s="259"/>
    </row>
    <row r="110" spans="1:7" ht="15" customHeight="1" x14ac:dyDescent="0.15">
      <c r="A110" s="258"/>
      <c r="B110" s="259"/>
      <c r="C110" s="259"/>
      <c r="D110" s="259"/>
      <c r="E110" s="260"/>
      <c r="F110" s="261"/>
      <c r="G110" s="259"/>
    </row>
    <row r="111" spans="1:7" ht="15" customHeight="1" x14ac:dyDescent="0.15">
      <c r="A111" s="258"/>
      <c r="B111" s="259"/>
      <c r="C111" s="259"/>
      <c r="D111" s="259"/>
      <c r="E111" s="260"/>
      <c r="F111" s="261"/>
      <c r="G111" s="259"/>
    </row>
    <row r="112" spans="1:7" ht="15" customHeight="1" x14ac:dyDescent="0.15">
      <c r="A112" s="258"/>
      <c r="B112" s="259"/>
      <c r="C112" s="259"/>
      <c r="D112" s="259"/>
      <c r="E112" s="260"/>
      <c r="F112" s="261"/>
      <c r="G112" s="259"/>
    </row>
    <row r="113" spans="1:7" ht="15" customHeight="1" x14ac:dyDescent="0.15">
      <c r="A113" s="258"/>
      <c r="B113" s="259"/>
      <c r="C113" s="259"/>
      <c r="D113" s="259"/>
      <c r="E113" s="260"/>
      <c r="F113" s="261"/>
      <c r="G113" s="259"/>
    </row>
    <row r="114" spans="1:7" ht="15" customHeight="1" x14ac:dyDescent="0.15">
      <c r="A114" s="258"/>
      <c r="B114" s="259"/>
      <c r="C114" s="259"/>
      <c r="D114" s="259"/>
      <c r="E114" s="260"/>
      <c r="F114" s="261"/>
      <c r="G114" s="259"/>
    </row>
    <row r="115" spans="1:7" ht="15" customHeight="1" x14ac:dyDescent="0.15">
      <c r="A115" s="258"/>
      <c r="B115" s="259"/>
      <c r="C115" s="259"/>
      <c r="D115" s="259"/>
      <c r="E115" s="260"/>
      <c r="F115" s="261"/>
      <c r="G115" s="259"/>
    </row>
    <row r="116" spans="1:7" ht="15" customHeight="1" x14ac:dyDescent="0.15">
      <c r="A116" s="258"/>
      <c r="B116" s="259"/>
      <c r="C116" s="259"/>
      <c r="D116" s="259"/>
      <c r="E116" s="260"/>
      <c r="F116" s="261"/>
      <c r="G116" s="259"/>
    </row>
    <row r="117" spans="1:7" ht="15" customHeight="1" x14ac:dyDescent="0.15"/>
    <row r="118" spans="1:7" ht="15" customHeight="1" x14ac:dyDescent="0.15"/>
    <row r="119" spans="1:7" ht="15" customHeight="1" x14ac:dyDescent="0.15"/>
    <row r="120" spans="1:7" ht="15" customHeight="1" x14ac:dyDescent="0.15"/>
    <row r="121" spans="1:7" ht="15" customHeight="1" x14ac:dyDescent="0.15"/>
    <row r="122" spans="1:7" ht="15" customHeight="1" x14ac:dyDescent="0.15"/>
    <row r="123" spans="1:7" ht="15" customHeight="1" x14ac:dyDescent="0.15"/>
    <row r="124" spans="1:7" ht="15" customHeight="1" x14ac:dyDescent="0.15"/>
    <row r="125" spans="1:7" ht="15" customHeight="1" x14ac:dyDescent="0.15"/>
    <row r="126" spans="1:7" ht="15" customHeight="1" x14ac:dyDescent="0.15"/>
    <row r="127" spans="1:7" ht="15" customHeight="1" x14ac:dyDescent="0.15"/>
    <row r="128" spans="1:7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AV1001"/>
  <sheetViews>
    <sheetView showGridLines="0" zoomScaleNormal="100" workbookViewId="0"/>
  </sheetViews>
  <sheetFormatPr baseColWidth="10" defaultColWidth="8.6640625" defaultRowHeight="13" x14ac:dyDescent="0.15"/>
  <cols>
    <col min="1" max="1" width="28" customWidth="1"/>
    <col min="2" max="2" width="18" customWidth="1"/>
    <col min="3" max="3" width="12" customWidth="1"/>
    <col min="5" max="5" width="24" customWidth="1"/>
    <col min="6" max="6" width="14" customWidth="1"/>
    <col min="7" max="7" width="12" customWidth="1"/>
    <col min="8" max="8" width="16" customWidth="1"/>
    <col min="9" max="9" width="12" customWidth="1"/>
    <col min="10" max="10" width="28" customWidth="1"/>
    <col min="11" max="11" width="18" customWidth="1"/>
    <col min="12" max="12" width="12" customWidth="1"/>
    <col min="15" max="15" width="16" customWidth="1"/>
    <col min="16" max="16" width="12" customWidth="1"/>
    <col min="18" max="18" width="2" customWidth="1"/>
    <col min="26" max="48" width="13" hidden="1" customWidth="1"/>
  </cols>
  <sheetData>
    <row r="1" spans="1:48" ht="15" customHeight="1" x14ac:dyDescent="0.25">
      <c r="A1" s="262" t="s">
        <v>445</v>
      </c>
      <c r="Z1" s="263" t="s">
        <v>446</v>
      </c>
      <c r="AA1" s="263" t="s">
        <v>447</v>
      </c>
      <c r="AB1" s="263" t="s">
        <v>448</v>
      </c>
      <c r="AC1" s="263" t="s">
        <v>449</v>
      </c>
      <c r="AD1" s="263" t="s">
        <v>450</v>
      </c>
      <c r="AE1" s="263" t="s">
        <v>451</v>
      </c>
      <c r="AF1" s="263" t="s">
        <v>452</v>
      </c>
      <c r="AG1" s="263" t="s">
        <v>453</v>
      </c>
      <c r="AH1" s="263" t="s">
        <v>454</v>
      </c>
      <c r="AI1" s="263" t="s">
        <v>455</v>
      </c>
      <c r="AJ1" s="263" t="s">
        <v>456</v>
      </c>
      <c r="AL1" s="263" t="s">
        <v>457</v>
      </c>
      <c r="AM1" s="263" t="s">
        <v>458</v>
      </c>
      <c r="AN1" s="263" t="s">
        <v>459</v>
      </c>
      <c r="AO1" s="263" t="s">
        <v>460</v>
      </c>
      <c r="AP1" s="263" t="s">
        <v>461</v>
      </c>
      <c r="AQ1" s="263" t="s">
        <v>462</v>
      </c>
      <c r="AR1" s="263" t="s">
        <v>463</v>
      </c>
      <c r="AS1" s="263" t="s">
        <v>464</v>
      </c>
      <c r="AT1" s="263" t="s">
        <v>465</v>
      </c>
      <c r="AU1" s="263" t="s">
        <v>466</v>
      </c>
      <c r="AV1" s="263" t="s">
        <v>467</v>
      </c>
    </row>
    <row r="2" spans="1:48" ht="15" customHeight="1" x14ac:dyDescent="0.2">
      <c r="A2" s="264" t="s">
        <v>468</v>
      </c>
      <c r="Z2" s="243" t="str">
        <f>Shares!A2</f>
        <v>CA:GOLD:SGD</v>
      </c>
      <c r="AA2" s="243" t="str">
        <f>Shares!B2</f>
        <v>CA</v>
      </c>
      <c r="AB2" s="243" t="str">
        <f>Shares!C2</f>
        <v>GOLD</v>
      </c>
      <c r="AC2" s="243" t="str">
        <f>Shares!D2</f>
        <v>SGD</v>
      </c>
      <c r="AD2" s="265">
        <f>IF($Z2="",0,Shares!E2)</f>
        <v>700</v>
      </c>
      <c r="AE2" s="266">
        <f>IF($Z2="",0,Shares!J2*Shares!I2)</f>
        <v>78127</v>
      </c>
      <c r="AF2" s="267">
        <f t="shared" ref="AF2:AF65" si="0">IFERROR(AE2/$B$5,0)</f>
        <v>0.43925024383490546</v>
      </c>
      <c r="AG2" s="266">
        <f>IF($Z2="",0,Shares!L2)</f>
        <v>22627</v>
      </c>
      <c r="AH2" s="267">
        <f>IF($Z2="",0,Shares!M2)</f>
        <v>0.40769369369369368</v>
      </c>
      <c r="AI2" s="243">
        <f>IF($Z2="","",RANK(AE2,$AE$2:$AE$1001)+COUNTIF($AE$2:AE2,AE2)-1)</f>
        <v>1</v>
      </c>
      <c r="AJ2" s="243" t="str">
        <f>IF($AD2&lt;0,COUNT($AJ$1:AJ1)+1,"")</f>
        <v/>
      </c>
      <c r="AL2" s="243" t="str">
        <f>'All Ticker P&amp;L'!A2</f>
        <v>CA:GOLD:SGD</v>
      </c>
      <c r="AM2" s="243" t="str">
        <f>'All Ticker P&amp;L'!B2</f>
        <v>CA</v>
      </c>
      <c r="AN2" s="243" t="str">
        <f>'All Ticker P&amp;L'!C2</f>
        <v>GOLD</v>
      </c>
      <c r="AO2" s="243" t="str">
        <f>'All Ticker P&amp;L'!D2</f>
        <v>SGD</v>
      </c>
      <c r="AP2" s="265">
        <f>IF($AL2="",0,'All Ticker P&amp;L'!E2)</f>
        <v>700</v>
      </c>
      <c r="AQ2" s="266">
        <f>IF($AL2="",0,'All Ticker P&amp;L'!J2*'All Ticker P&amp;L'!I2)</f>
        <v>78127</v>
      </c>
      <c r="AR2" s="266">
        <f>IF($AL2="",0,'All Ticker P&amp;L'!L2)</f>
        <v>22627</v>
      </c>
      <c r="AS2" s="267">
        <f>IF($AL2="",0,'All Ticker P&amp;L'!M2)</f>
        <v>0.40769369369369368</v>
      </c>
      <c r="AT2" s="243">
        <f>IF($AL2="","",RANK(AR2,$AR$2:$AR$1001)+COUNTIF($AR$2:AR2,AR2)-1)</f>
        <v>1</v>
      </c>
      <c r="AU2" s="243">
        <f>IF($AL2="","",RANK(AV2,$AV$2:$AV$1001)+COUNTIF($AV$2:AV2,AV2)-1)</f>
        <v>1000</v>
      </c>
      <c r="AV2" s="266">
        <f t="shared" ref="AV2:AV65" si="1">-AR2</f>
        <v>-22627</v>
      </c>
    </row>
    <row r="3" spans="1:48" ht="15" customHeight="1" x14ac:dyDescent="0.2">
      <c r="A3" s="268" t="s">
        <v>469</v>
      </c>
      <c r="D3" s="268" t="s">
        <v>470</v>
      </c>
      <c r="Z3" s="243" t="str">
        <f>Shares!A3</f>
        <v>SGX:Z74:SGD</v>
      </c>
      <c r="AA3" s="243" t="str">
        <f>Shares!B3</f>
        <v>SGX</v>
      </c>
      <c r="AB3" s="243" t="str">
        <f>Shares!C3</f>
        <v>Z74</v>
      </c>
      <c r="AC3" s="243" t="str">
        <f>Shares!D3</f>
        <v>SGD</v>
      </c>
      <c r="AD3" s="265">
        <f>IF($Z3="",0,Shares!E3)</f>
        <v>3000</v>
      </c>
      <c r="AE3" s="266">
        <f>IF($Z3="",0,Shares!J3*Shares!I3)</f>
        <v>11460</v>
      </c>
      <c r="AF3" s="267">
        <f t="shared" si="0"/>
        <v>6.4431090331742116E-2</v>
      </c>
      <c r="AG3" s="266">
        <f>IF($Z3="",0,Shares!L3)</f>
        <v>2135</v>
      </c>
      <c r="AH3" s="267">
        <f>IF($Z3="",0,Shares!M3)</f>
        <v>0.22895442359249329</v>
      </c>
      <c r="AI3" s="243">
        <f>IF($Z3="","",RANK(AE3,$AE$2:$AE$1001)+COUNTIF($AE$2:AE3,AE3)-1)</f>
        <v>5</v>
      </c>
      <c r="AJ3" s="243" t="str">
        <f>IF($AD3&lt;0,COUNT($AJ$1:AJ2)+1,"")</f>
        <v/>
      </c>
      <c r="AL3" s="243" t="str">
        <f>'All Ticker P&amp;L'!A3</f>
        <v>SGX:Z74:SGD</v>
      </c>
      <c r="AM3" s="243" t="str">
        <f>'All Ticker P&amp;L'!B3</f>
        <v>SGX</v>
      </c>
      <c r="AN3" s="243" t="str">
        <f>'All Ticker P&amp;L'!C3</f>
        <v>Z74</v>
      </c>
      <c r="AO3" s="243" t="str">
        <f>'All Ticker P&amp;L'!D3</f>
        <v>SGD</v>
      </c>
      <c r="AP3" s="265">
        <f>IF($AL3="",0,'All Ticker P&amp;L'!E3)</f>
        <v>3000</v>
      </c>
      <c r="AQ3" s="266">
        <f>IF($AL3="",0,'All Ticker P&amp;L'!J3*'All Ticker P&amp;L'!I3)</f>
        <v>11460</v>
      </c>
      <c r="AR3" s="266">
        <f>IF($AL3="",0,'All Ticker P&amp;L'!L3)</f>
        <v>2135</v>
      </c>
      <c r="AS3" s="267">
        <f>IF($AL3="",0,'All Ticker P&amp;L'!M3)</f>
        <v>0.22895442359249329</v>
      </c>
      <c r="AT3" s="243">
        <f>IF($AL3="","",RANK(AR3,$AR$2:$AR$1001)+COUNTIF($AR$2:AR3,AR3)-1)</f>
        <v>6</v>
      </c>
      <c r="AU3" s="243">
        <f>IF($AL3="","",RANK(AV3,$AV$2:$AV$1001)+COUNTIF($AV$2:AV3,AV3)-1)</f>
        <v>995</v>
      </c>
      <c r="AV3" s="266">
        <f t="shared" si="1"/>
        <v>-2135</v>
      </c>
    </row>
    <row r="4" spans="1:48" ht="15" customHeight="1" x14ac:dyDescent="0.2">
      <c r="A4" s="269" t="s">
        <v>471</v>
      </c>
      <c r="B4" s="270">
        <f>COUNTIF($Z$2:$Z$1001,"?*")</f>
        <v>9</v>
      </c>
      <c r="D4" s="269" t="s">
        <v>472</v>
      </c>
      <c r="E4" s="269" t="s">
        <v>395</v>
      </c>
      <c r="F4" s="269" t="s">
        <v>387</v>
      </c>
      <c r="G4" s="269" t="s">
        <v>390</v>
      </c>
      <c r="H4" s="269" t="s">
        <v>473</v>
      </c>
      <c r="I4" s="269" t="s">
        <v>474</v>
      </c>
      <c r="J4" s="269" t="s">
        <v>475</v>
      </c>
      <c r="K4" s="269" t="s">
        <v>476</v>
      </c>
      <c r="Z4" s="243" t="str">
        <f>Shares!A4</f>
        <v>USX:AAPL:USD</v>
      </c>
      <c r="AA4" s="243" t="str">
        <f>Shares!B4</f>
        <v>USX</v>
      </c>
      <c r="AB4" s="243" t="str">
        <f>Shares!C4</f>
        <v>AAPL</v>
      </c>
      <c r="AC4" s="243" t="str">
        <f>Shares!D4</f>
        <v>USD</v>
      </c>
      <c r="AD4" s="265">
        <f>IF($Z4="",0,Shares!E4)</f>
        <v>80</v>
      </c>
      <c r="AE4" s="266">
        <f>IF($Z4="",0,Shares!J4*Shares!I4)</f>
        <v>20684.929735879363</v>
      </c>
      <c r="AF4" s="267">
        <f t="shared" si="0"/>
        <v>0.11629603632793907</v>
      </c>
      <c r="AG4" s="266">
        <f>IF($Z4="",0,Shares!L4)</f>
        <v>8907.4478675130504</v>
      </c>
      <c r="AH4" s="267">
        <f>IF($Z4="",0,Shares!M4)</f>
        <v>0.75631174533479695</v>
      </c>
      <c r="AI4" s="243">
        <f>IF($Z4="","",RANK(AE4,$AE$2:$AE$1001)+COUNTIF($AE$2:AE4,AE4)-1)</f>
        <v>2</v>
      </c>
      <c r="AJ4" s="243" t="str">
        <f>IF($AD4&lt;0,COUNT($AJ$1:AJ3)+1,"")</f>
        <v/>
      </c>
      <c r="AL4" s="243" t="str">
        <f>'All Ticker P&amp;L'!A4</f>
        <v>USX:AAPL:USD</v>
      </c>
      <c r="AM4" s="243" t="str">
        <f>'All Ticker P&amp;L'!B4</f>
        <v>USX</v>
      </c>
      <c r="AN4" s="243" t="str">
        <f>'All Ticker P&amp;L'!C4</f>
        <v>AAPL</v>
      </c>
      <c r="AO4" s="243" t="str">
        <f>'All Ticker P&amp;L'!D4</f>
        <v>USD</v>
      </c>
      <c r="AP4" s="265">
        <f>IF($AL4="",0,'All Ticker P&amp;L'!E4)</f>
        <v>80</v>
      </c>
      <c r="AQ4" s="266">
        <f>IF($AL4="",0,'All Ticker P&amp;L'!J4*'All Ticker P&amp;L'!I4)</f>
        <v>20684.929735879363</v>
      </c>
      <c r="AR4" s="266">
        <f>IF($AL4="",0,'All Ticker P&amp;L'!L4)</f>
        <v>8907.4478675130504</v>
      </c>
      <c r="AS4" s="267">
        <f>IF($AL4="",0,'All Ticker P&amp;L'!M4)</f>
        <v>0.75631174533479695</v>
      </c>
      <c r="AT4" s="243">
        <f>IF($AL4="","",RANK(AR4,$AR$2:$AR$1001)+COUNTIF($AR$2:AR4,AR4)-1)</f>
        <v>4</v>
      </c>
      <c r="AU4" s="243">
        <f>IF($AL4="","",RANK(AV4,$AV$2:$AV$1001)+COUNTIF($AV$2:AV4,AV4)-1)</f>
        <v>997</v>
      </c>
      <c r="AV4" s="266">
        <f t="shared" si="1"/>
        <v>-8907.4478675130504</v>
      </c>
    </row>
    <row r="5" spans="1:48" ht="15" customHeight="1" x14ac:dyDescent="0.2">
      <c r="A5" s="271" t="s">
        <v>477</v>
      </c>
      <c r="B5" s="272">
        <f>SUM($AE$2:$AE$1001)</f>
        <v>177864.44309718916</v>
      </c>
      <c r="D5" s="271">
        <v>1</v>
      </c>
      <c r="E5" s="271" t="str">
        <f t="shared" ref="E5:E14" si="2">IFERROR(INDEX($Z$2:$Z$1001,MATCH($D5,$AI$2:$AI$1001,0)),"")</f>
        <v>CA:GOLD:SGD</v>
      </c>
      <c r="F5" s="271" t="str">
        <f t="shared" ref="F5:F14" si="3">IF($E5="","",INDEX($AA$2:$AA$1001,MATCH($D5,$AI$2:$AI$1001,0)))</f>
        <v>CA</v>
      </c>
      <c r="G5" s="271" t="str">
        <f t="shared" ref="G5:G14" si="4">IF($E5="","",INDEX($AC$2:$AC$1001,MATCH($D5,$AI$2:$AI$1001,0)))</f>
        <v>SGD</v>
      </c>
      <c r="H5" s="272">
        <f t="shared" ref="H5:H14" si="5">IF($E5="","",INDEX($AE$2:$AE$1001,MATCH($D5,$AI$2:$AI$1001,0)))</f>
        <v>78127</v>
      </c>
      <c r="I5" s="273">
        <f t="shared" ref="I5:I14" si="6">IF($E5="","",INDEX($AF$2:$AF$1001,MATCH($D5,$AI$2:$AI$1001,0)))</f>
        <v>0.43925024383490546</v>
      </c>
      <c r="J5" s="272">
        <f t="shared" ref="J5:J14" si="7">IF($E5="","",INDEX($AG$2:$AG$1001,MATCH($D5,$AI$2:$AI$1001,0)))</f>
        <v>22627</v>
      </c>
      <c r="K5" s="273">
        <f t="shared" ref="K5:K14" si="8">IF($E5="","",INDEX($AH$2:$AH$1001,MATCH($D5,$AI$2:$AI$1001,0)))</f>
        <v>0.40769369369369368</v>
      </c>
      <c r="Z5" s="243" t="str">
        <f>Shares!A5</f>
        <v>SGX:C38U:SGD</v>
      </c>
      <c r="AA5" s="243" t="str">
        <f>Shares!B5</f>
        <v>SGX</v>
      </c>
      <c r="AB5" s="243" t="str">
        <f>Shares!C5</f>
        <v>C38U</v>
      </c>
      <c r="AC5" s="243" t="str">
        <f>Shares!D5</f>
        <v>SGD</v>
      </c>
      <c r="AD5" s="265">
        <f>IF($Z5="",0,Shares!E5)</f>
        <v>8000</v>
      </c>
      <c r="AE5" s="266">
        <f>IF($Z5="",0,Shares!J5*Shares!I5)</f>
        <v>16320</v>
      </c>
      <c r="AF5" s="267">
        <f t="shared" si="0"/>
        <v>9.1755270001224382E-2</v>
      </c>
      <c r="AG5" s="266">
        <f>IF($Z5="",0,Shares!L5)</f>
        <v>170</v>
      </c>
      <c r="AH5" s="267">
        <f>IF($Z5="",0,Shares!M5)</f>
        <v>1.0526315789473684E-2</v>
      </c>
      <c r="AI5" s="243">
        <f>IF($Z5="","",RANK(AE5,$AE$2:$AE$1001)+COUNTIF($AE$2:AE5,AE5)-1)</f>
        <v>3</v>
      </c>
      <c r="AJ5" s="243" t="str">
        <f>IF($AD5&lt;0,COUNT($AJ$1:AJ4)+1,"")</f>
        <v/>
      </c>
      <c r="AL5" s="243" t="str">
        <f>'All Ticker P&amp;L'!A5</f>
        <v>SGX:C38U:SGD</v>
      </c>
      <c r="AM5" s="243" t="str">
        <f>'All Ticker P&amp;L'!B5</f>
        <v>SGX</v>
      </c>
      <c r="AN5" s="243" t="str">
        <f>'All Ticker P&amp;L'!C5</f>
        <v>C38U</v>
      </c>
      <c r="AO5" s="243" t="str">
        <f>'All Ticker P&amp;L'!D5</f>
        <v>SGD</v>
      </c>
      <c r="AP5" s="265">
        <f>IF($AL5="",0,'All Ticker P&amp;L'!E5)</f>
        <v>8000</v>
      </c>
      <c r="AQ5" s="266">
        <f>IF($AL5="",0,'All Ticker P&amp;L'!J5*'All Ticker P&amp;L'!I5)</f>
        <v>16320</v>
      </c>
      <c r="AR5" s="266">
        <f>IF($AL5="",0,'All Ticker P&amp;L'!L5)</f>
        <v>170</v>
      </c>
      <c r="AS5" s="267">
        <f>IF($AL5="",0,'All Ticker P&amp;L'!M5)</f>
        <v>1.0526315789473684E-2</v>
      </c>
      <c r="AT5" s="243">
        <f>IF($AL5="","",RANK(AR5,$AR$2:$AR$1001)+COUNTIF($AR$2:AR5,AR5)-1)</f>
        <v>8</v>
      </c>
      <c r="AU5" s="243">
        <f>IF($AL5="","",RANK(AV5,$AV$2:$AV$1001)+COUNTIF($AV$2:AV5,AV5)-1)</f>
        <v>993</v>
      </c>
      <c r="AV5" s="266">
        <f t="shared" si="1"/>
        <v>-170</v>
      </c>
    </row>
    <row r="6" spans="1:48" ht="15" customHeight="1" x14ac:dyDescent="0.2">
      <c r="A6" s="271" t="s">
        <v>478</v>
      </c>
      <c r="B6" s="272">
        <f>SUMPRODUCT('All Ticker P&amp;L'!$F$2:$F$1001,'All Ticker P&amp;L'!$I$2:$I$1001)</f>
        <v>136094.96074488049</v>
      </c>
      <c r="D6" s="271">
        <v>2</v>
      </c>
      <c r="E6" s="271" t="str">
        <f t="shared" si="2"/>
        <v>USX:AAPL:USD</v>
      </c>
      <c r="F6" s="271" t="str">
        <f t="shared" si="3"/>
        <v>USX</v>
      </c>
      <c r="G6" s="271" t="str">
        <f t="shared" si="4"/>
        <v>USD</v>
      </c>
      <c r="H6" s="272">
        <f t="shared" si="5"/>
        <v>20684.929735879363</v>
      </c>
      <c r="I6" s="273">
        <f t="shared" si="6"/>
        <v>0.11629603632793907</v>
      </c>
      <c r="J6" s="272">
        <f t="shared" si="7"/>
        <v>8907.4478675130504</v>
      </c>
      <c r="K6" s="273">
        <f t="shared" si="8"/>
        <v>0.75631174533479695</v>
      </c>
      <c r="Z6" s="243" t="str">
        <f>Shares!A6</f>
        <v>CG:BITCOIN:USD</v>
      </c>
      <c r="AA6" s="243" t="str">
        <f>Shares!B6</f>
        <v>CG</v>
      </c>
      <c r="AB6" s="243" t="str">
        <f>Shares!C6</f>
        <v>BITCOIN</v>
      </c>
      <c r="AC6" s="243" t="str">
        <f>Shares!D6</f>
        <v>USD</v>
      </c>
      <c r="AD6" s="265">
        <f>IF($Z6="",0,Shares!E6)</f>
        <v>0.1</v>
      </c>
      <c r="AE6" s="266">
        <f>IF($Z6="",0,Shares!J6*Shares!I6)</f>
        <v>13252.53196468052</v>
      </c>
      <c r="AF6" s="267">
        <f t="shared" si="0"/>
        <v>7.4509169645779263E-2</v>
      </c>
      <c r="AG6" s="266">
        <f>IF($Z6="",0,Shares!L6)</f>
        <v>10860.836963969468</v>
      </c>
      <c r="AH6" s="267">
        <f>IF($Z6="",0,Shares!M6)</f>
        <v>4.5410627027027033</v>
      </c>
      <c r="AI6" s="243">
        <f>IF($Z6="","",RANK(AE6,$AE$2:$AE$1001)+COUNTIF($AE$2:AE6,AE6)-1)</f>
        <v>4</v>
      </c>
      <c r="AJ6" s="243" t="str">
        <f>IF($AD6&lt;0,COUNT($AJ$1:AJ5)+1,"")</f>
        <v/>
      </c>
      <c r="AL6" s="243" t="str">
        <f>'All Ticker P&amp;L'!A6</f>
        <v>CG:BITCOIN:USD</v>
      </c>
      <c r="AM6" s="243" t="str">
        <f>'All Ticker P&amp;L'!B6</f>
        <v>CG</v>
      </c>
      <c r="AN6" s="243" t="str">
        <f>'All Ticker P&amp;L'!C6</f>
        <v>BITCOIN</v>
      </c>
      <c r="AO6" s="243" t="str">
        <f>'All Ticker P&amp;L'!D6</f>
        <v>USD</v>
      </c>
      <c r="AP6" s="265">
        <f>IF($AL6="",0,'All Ticker P&amp;L'!E6)</f>
        <v>0.1</v>
      </c>
      <c r="AQ6" s="266">
        <f>IF($AL6="",0,'All Ticker P&amp;L'!J6*'All Ticker P&amp;L'!I6)</f>
        <v>13252.53196468052</v>
      </c>
      <c r="AR6" s="266">
        <f>IF($AL6="",0,'All Ticker P&amp;L'!L6)</f>
        <v>10860.836963969468</v>
      </c>
      <c r="AS6" s="267">
        <f>IF($AL6="",0,'All Ticker P&amp;L'!M6)</f>
        <v>4.5410627027027033</v>
      </c>
      <c r="AT6" s="243">
        <f>IF($AL6="","",RANK(AR6,$AR$2:$AR$1001)+COUNTIF($AR$2:AR6,AR6)-1)</f>
        <v>3</v>
      </c>
      <c r="AU6" s="243">
        <f>IF($AL6="","",RANK(AV6,$AV$2:$AV$1001)+COUNTIF($AV$2:AV6,AV6)-1)</f>
        <v>998</v>
      </c>
      <c r="AV6" s="266">
        <f t="shared" si="1"/>
        <v>-10860.836963969468</v>
      </c>
    </row>
    <row r="7" spans="1:48" ht="15" customHeight="1" x14ac:dyDescent="0.2">
      <c r="A7" s="271" t="s">
        <v>479</v>
      </c>
      <c r="B7" s="272">
        <f>SUMPRODUCT('All Ticker P&amp;L'!$G$2:$G$1001,'All Ticker P&amp;L'!$I$2:$I$1001)</f>
        <v>23264.081912321821</v>
      </c>
      <c r="D7" s="271">
        <v>3</v>
      </c>
      <c r="E7" s="271" t="str">
        <f t="shared" si="2"/>
        <v>SGX:C38U:SGD</v>
      </c>
      <c r="F7" s="271" t="str">
        <f t="shared" si="3"/>
        <v>SGX</v>
      </c>
      <c r="G7" s="271" t="str">
        <f t="shared" si="4"/>
        <v>SGD</v>
      </c>
      <c r="H7" s="272">
        <f t="shared" si="5"/>
        <v>16320</v>
      </c>
      <c r="I7" s="273">
        <f t="shared" si="6"/>
        <v>9.1755270001224382E-2</v>
      </c>
      <c r="J7" s="272">
        <f t="shared" si="7"/>
        <v>170</v>
      </c>
      <c r="K7" s="273">
        <f t="shared" si="8"/>
        <v>1.0526315789473684E-2</v>
      </c>
      <c r="Z7" s="243" t="str">
        <f>Shares!A7</f>
        <v>HKEX:700:HKD</v>
      </c>
      <c r="AA7" s="243" t="str">
        <f>Shares!B7</f>
        <v>HKEX</v>
      </c>
      <c r="AB7" s="243" t="str">
        <f>Shares!C7</f>
        <v>700</v>
      </c>
      <c r="AC7" s="243" t="str">
        <f>Shares!D7</f>
        <v>HKD</v>
      </c>
      <c r="AD7" s="265">
        <f>IF($Z7="",0,Shares!E7)</f>
        <v>100</v>
      </c>
      <c r="AE7" s="266">
        <f>IF($Z7="",0,Shares!J7*Shares!I7)</f>
        <v>8050.3932852926064</v>
      </c>
      <c r="AF7" s="267">
        <f t="shared" si="0"/>
        <v>4.5261397641425664E-2</v>
      </c>
      <c r="AG7" s="266">
        <f>IF($Z7="",0,Shares!L7)</f>
        <v>-1860.0662895964892</v>
      </c>
      <c r="AH7" s="267">
        <f>IF($Z7="",0,Shares!M7)</f>
        <v>-0.18768718801996673</v>
      </c>
      <c r="AI7" s="243">
        <f>IF($Z7="","",RANK(AE7,$AE$2:$AE$1001)+COUNTIF($AE$2:AE7,AE7)-1)</f>
        <v>9</v>
      </c>
      <c r="AJ7" s="243" t="str">
        <f>IF($AD7&lt;0,COUNT($AJ$1:AJ6)+1,"")</f>
        <v/>
      </c>
      <c r="AL7" s="243" t="str">
        <f>'All Ticker P&amp;L'!A7</f>
        <v>HKEX:700:HKD</v>
      </c>
      <c r="AM7" s="243" t="str">
        <f>'All Ticker P&amp;L'!B7</f>
        <v>HKEX</v>
      </c>
      <c r="AN7" s="243" t="str">
        <f>'All Ticker P&amp;L'!C7</f>
        <v>700</v>
      </c>
      <c r="AO7" s="243" t="str">
        <f>'All Ticker P&amp;L'!D7</f>
        <v>HKD</v>
      </c>
      <c r="AP7" s="265">
        <f>IF($AL7="",0,'All Ticker P&amp;L'!E7)</f>
        <v>100</v>
      </c>
      <c r="AQ7" s="266">
        <f>IF($AL7="",0,'All Ticker P&amp;L'!J7*'All Ticker P&amp;L'!I7)</f>
        <v>8050.3932852926064</v>
      </c>
      <c r="AR7" s="266">
        <f>IF($AL7="",0,'All Ticker P&amp;L'!L7)</f>
        <v>-1860.0662895964892</v>
      </c>
      <c r="AS7" s="267">
        <f>IF($AL7="",0,'All Ticker P&amp;L'!M7)</f>
        <v>-0.18768718801996673</v>
      </c>
      <c r="AT7" s="243">
        <f>IF($AL7="","",RANK(AR7,$AR$2:$AR$1001)+COUNTIF($AR$2:AR7,AR7)-1)</f>
        <v>1000</v>
      </c>
      <c r="AU7" s="243">
        <f>IF($AL7="","",RANK(AV7,$AV$2:$AV$1001)+COUNTIF($AV$2:AV7,AV7)-1)</f>
        <v>1</v>
      </c>
      <c r="AV7" s="266">
        <f t="shared" si="1"/>
        <v>1860.0662895964892</v>
      </c>
    </row>
    <row r="8" spans="1:48" ht="15" customHeight="1" x14ac:dyDescent="0.2">
      <c r="A8" s="271" t="s">
        <v>480</v>
      </c>
      <c r="B8" s="272">
        <f>SUM($AG$2:$AG$1001)</f>
        <v>47981.42531361492</v>
      </c>
      <c r="D8" s="271">
        <v>4</v>
      </c>
      <c r="E8" s="271" t="str">
        <f t="shared" si="2"/>
        <v>CG:BITCOIN:USD</v>
      </c>
      <c r="F8" s="271" t="str">
        <f t="shared" si="3"/>
        <v>CG</v>
      </c>
      <c r="G8" s="271" t="str">
        <f t="shared" si="4"/>
        <v>USD</v>
      </c>
      <c r="H8" s="272">
        <f t="shared" si="5"/>
        <v>13252.53196468052</v>
      </c>
      <c r="I8" s="273">
        <f t="shared" si="6"/>
        <v>7.4509169645779263E-2</v>
      </c>
      <c r="J8" s="272">
        <f t="shared" si="7"/>
        <v>10860.836963969468</v>
      </c>
      <c r="K8" s="273">
        <f t="shared" si="8"/>
        <v>4.5410627027027033</v>
      </c>
      <c r="Z8" s="243" t="str">
        <f>Shares!A8</f>
        <v>USX:MSFT:USD</v>
      </c>
      <c r="AA8" s="243" t="str">
        <f>Shares!B8</f>
        <v>USX</v>
      </c>
      <c r="AB8" s="243" t="str">
        <f>Shares!C8</f>
        <v>MSFT</v>
      </c>
      <c r="AC8" s="243" t="str">
        <f>Shares!D8</f>
        <v>USD</v>
      </c>
      <c r="AD8" s="265">
        <f>IF($Z8="",0,Shares!E8)</f>
        <v>20</v>
      </c>
      <c r="AE8" s="266">
        <f>IF($Z8="",0,Shares!J8*Shares!I8)</f>
        <v>10859.588111336665</v>
      </c>
      <c r="AF8" s="267">
        <f t="shared" si="0"/>
        <v>6.1055419072168014E-2</v>
      </c>
      <c r="AG8" s="266">
        <f>IF($Z8="",0,Shares!L8)</f>
        <v>4906.2067717288865</v>
      </c>
      <c r="AH8" s="267">
        <f>IF($Z8="",0,Shares!M8)</f>
        <v>0.82410423452768733</v>
      </c>
      <c r="AI8" s="243">
        <f>IF($Z8="","",RANK(AE8,$AE$2:$AE$1001)+COUNTIF($AE$2:AE8,AE8)-1)</f>
        <v>7</v>
      </c>
      <c r="AJ8" s="243" t="str">
        <f>IF($AD8&lt;0,COUNT($AJ$1:AJ7)+1,"")</f>
        <v/>
      </c>
      <c r="AL8" s="243" t="str">
        <f>'All Ticker P&amp;L'!A8</f>
        <v>USX:MSFT:USD</v>
      </c>
      <c r="AM8" s="243" t="str">
        <f>'All Ticker P&amp;L'!B8</f>
        <v>USX</v>
      </c>
      <c r="AN8" s="243" t="str">
        <f>'All Ticker P&amp;L'!C8</f>
        <v>MSFT</v>
      </c>
      <c r="AO8" s="243" t="str">
        <f>'All Ticker P&amp;L'!D8</f>
        <v>USD</v>
      </c>
      <c r="AP8" s="265">
        <f>IF($AL8="",0,'All Ticker P&amp;L'!E8)</f>
        <v>20</v>
      </c>
      <c r="AQ8" s="266">
        <f>IF($AL8="",0,'All Ticker P&amp;L'!J8*'All Ticker P&amp;L'!I8)</f>
        <v>10859.588111336665</v>
      </c>
      <c r="AR8" s="266">
        <f>IF($AL8="",0,'All Ticker P&amp;L'!L8)</f>
        <v>4906.2067717288865</v>
      </c>
      <c r="AS8" s="267">
        <f>IF($AL8="",0,'All Ticker P&amp;L'!M8)</f>
        <v>0.82410423452768733</v>
      </c>
      <c r="AT8" s="243">
        <f>IF($AL8="","",RANK(AR8,$AR$2:$AR$1001)+COUNTIF($AR$2:AR8,AR8)-1)</f>
        <v>5</v>
      </c>
      <c r="AU8" s="243">
        <f>IF($AL8="","",RANK(AV8,$AV$2:$AV$1001)+COUNTIF($AV$2:AV8,AV8)-1)</f>
        <v>996</v>
      </c>
      <c r="AV8" s="266">
        <f t="shared" si="1"/>
        <v>-4906.2067717288865</v>
      </c>
    </row>
    <row r="9" spans="1:48" ht="15" customHeight="1" x14ac:dyDescent="0.2">
      <c r="A9" s="271" t="s">
        <v>481</v>
      </c>
      <c r="B9" s="272">
        <f>SUMIFS('All Ticker P&amp;L'!$L$2:$L$1001,'All Ticker P&amp;L'!$E$2:$E$1001,0)</f>
        <v>17052.13895101555</v>
      </c>
      <c r="D9" s="271">
        <v>5</v>
      </c>
      <c r="E9" s="271" t="str">
        <f t="shared" si="2"/>
        <v>SGX:Z74:SGD</v>
      </c>
      <c r="F9" s="271" t="str">
        <f t="shared" si="3"/>
        <v>SGX</v>
      </c>
      <c r="G9" s="271" t="str">
        <f t="shared" si="4"/>
        <v>SGD</v>
      </c>
      <c r="H9" s="272">
        <f t="shared" si="5"/>
        <v>11460</v>
      </c>
      <c r="I9" s="273">
        <f t="shared" si="6"/>
        <v>6.4431090331742116E-2</v>
      </c>
      <c r="J9" s="272">
        <f t="shared" si="7"/>
        <v>2135</v>
      </c>
      <c r="K9" s="273">
        <f t="shared" si="8"/>
        <v>0.22895442359249329</v>
      </c>
      <c r="Z9" s="243" t="str">
        <f>Shares!A9</f>
        <v>SGX:A17U:SGD</v>
      </c>
      <c r="AA9" s="243" t="str">
        <f>Shares!B9</f>
        <v>SGX</v>
      </c>
      <c r="AB9" s="243" t="str">
        <f>Shares!C9</f>
        <v>A17U</v>
      </c>
      <c r="AC9" s="243" t="str">
        <f>Shares!D9</f>
        <v>SGD</v>
      </c>
      <c r="AD9" s="265">
        <f>IF($Z9="",0,Shares!E9)</f>
        <v>4000</v>
      </c>
      <c r="AE9" s="266">
        <f>IF($Z9="",0,Shares!J9*Shares!I9)</f>
        <v>10960</v>
      </c>
      <c r="AF9" s="267">
        <f t="shared" si="0"/>
        <v>6.1619960736116371E-2</v>
      </c>
      <c r="AG9" s="266">
        <f>IF($Z9="",0,Shares!L9)</f>
        <v>-890</v>
      </c>
      <c r="AH9" s="267">
        <f>IF($Z9="",0,Shares!M9)</f>
        <v>-7.5105485232067504E-2</v>
      </c>
      <c r="AI9" s="243">
        <f>IF($Z9="","",RANK(AE9,$AE$2:$AE$1001)+COUNTIF($AE$2:AE9,AE9)-1)</f>
        <v>6</v>
      </c>
      <c r="AJ9" s="243" t="str">
        <f>IF($AD9&lt;0,COUNT($AJ$1:AJ8)+1,"")</f>
        <v/>
      </c>
      <c r="AL9" s="243" t="str">
        <f>'All Ticker P&amp;L'!A9</f>
        <v>SGX:A17U:SGD</v>
      </c>
      <c r="AM9" s="243" t="str">
        <f>'All Ticker P&amp;L'!B9</f>
        <v>SGX</v>
      </c>
      <c r="AN9" s="243" t="str">
        <f>'All Ticker P&amp;L'!C9</f>
        <v>A17U</v>
      </c>
      <c r="AO9" s="243" t="str">
        <f>'All Ticker P&amp;L'!D9</f>
        <v>SGD</v>
      </c>
      <c r="AP9" s="265">
        <f>IF($AL9="",0,'All Ticker P&amp;L'!E9)</f>
        <v>4000</v>
      </c>
      <c r="AQ9" s="266">
        <f>IF($AL9="",0,'All Ticker P&amp;L'!J9*'All Ticker P&amp;L'!I9)</f>
        <v>10960</v>
      </c>
      <c r="AR9" s="266">
        <f>IF($AL9="",0,'All Ticker P&amp;L'!L9)</f>
        <v>-890</v>
      </c>
      <c r="AS9" s="267">
        <f>IF($AL9="",0,'All Ticker P&amp;L'!M9)</f>
        <v>-7.5105485232067504E-2</v>
      </c>
      <c r="AT9" s="243">
        <f>IF($AL9="","",RANK(AR9,$AR$2:$AR$1001)+COUNTIF($AR$2:AR9,AR9)-1)</f>
        <v>999</v>
      </c>
      <c r="AU9" s="243">
        <f>IF($AL9="","",RANK(AV9,$AV$2:$AV$1001)+COUNTIF($AV$2:AV9,AV9)-1)</f>
        <v>2</v>
      </c>
      <c r="AV9" s="266">
        <f t="shared" si="1"/>
        <v>890</v>
      </c>
    </row>
    <row r="10" spans="1:48" ht="15" customHeight="1" x14ac:dyDescent="0.2">
      <c r="A10" s="271" t="s">
        <v>482</v>
      </c>
      <c r="B10" s="272">
        <f>SUM('All Ticker P&amp;L'!$L$2:$L$1001)</f>
        <v>65033.56426463047</v>
      </c>
      <c r="D10" s="271">
        <v>6</v>
      </c>
      <c r="E10" s="271" t="str">
        <f t="shared" si="2"/>
        <v>SGX:A17U:SGD</v>
      </c>
      <c r="F10" s="271" t="str">
        <f t="shared" si="3"/>
        <v>SGX</v>
      </c>
      <c r="G10" s="271" t="str">
        <f t="shared" si="4"/>
        <v>SGD</v>
      </c>
      <c r="H10" s="272">
        <f t="shared" si="5"/>
        <v>10960</v>
      </c>
      <c r="I10" s="273">
        <f t="shared" si="6"/>
        <v>6.1619960736116371E-2</v>
      </c>
      <c r="J10" s="272">
        <f t="shared" si="7"/>
        <v>-890</v>
      </c>
      <c r="K10" s="273">
        <f t="shared" si="8"/>
        <v>-7.5105485232067504E-2</v>
      </c>
      <c r="Z10" s="243" t="str">
        <f>Shares!A10</f>
        <v>SGX:CLR:SGD</v>
      </c>
      <c r="AA10" s="243" t="str">
        <f>Shares!B10</f>
        <v>SGX</v>
      </c>
      <c r="AB10" s="243" t="str">
        <f>Shares!C10</f>
        <v>CLR</v>
      </c>
      <c r="AC10" s="243" t="str">
        <f>Shares!D10</f>
        <v>SGD</v>
      </c>
      <c r="AD10" s="265">
        <f>IF($Z10="",0,Shares!E10)</f>
        <v>10000</v>
      </c>
      <c r="AE10" s="266">
        <f>IF($Z10="",0,Shares!J10*Shares!I10)</f>
        <v>8149.9999999999991</v>
      </c>
      <c r="AF10" s="267">
        <f t="shared" si="0"/>
        <v>4.582141240869967E-2</v>
      </c>
      <c r="AG10" s="266">
        <f>IF($Z10="",0,Shares!L10)</f>
        <v>1124.9999999999991</v>
      </c>
      <c r="AH10" s="267">
        <f>IF($Z10="",0,Shares!M10)</f>
        <v>0.16014234875444827</v>
      </c>
      <c r="AI10" s="243">
        <f>IF($Z10="","",RANK(AE10,$AE$2:$AE$1001)+COUNTIF($AE$2:AE10,AE10)-1)</f>
        <v>8</v>
      </c>
      <c r="AJ10" s="243" t="str">
        <f>IF($AD10&lt;0,COUNT($AJ$1:AJ9)+1,"")</f>
        <v/>
      </c>
      <c r="AL10" s="243" t="str">
        <f>'All Ticker P&amp;L'!A10</f>
        <v>USX:NVDA:USD</v>
      </c>
      <c r="AM10" s="243" t="str">
        <f>'All Ticker P&amp;L'!B10</f>
        <v>USX</v>
      </c>
      <c r="AN10" s="243" t="str">
        <f>'All Ticker P&amp;L'!C10</f>
        <v>NVDA</v>
      </c>
      <c r="AO10" s="243" t="str">
        <f>'All Ticker P&amp;L'!D10</f>
        <v>USD</v>
      </c>
      <c r="AP10" s="265">
        <f>IF($AL10="",0,'All Ticker P&amp;L'!E10)</f>
        <v>0</v>
      </c>
      <c r="AQ10" s="266">
        <f>IF($AL10="",0,'All Ticker P&amp;L'!J10*'All Ticker P&amp;L'!I10)</f>
        <v>0</v>
      </c>
      <c r="AR10" s="266">
        <f>IF($AL10="",0,'All Ticker P&amp;L'!L10)</f>
        <v>17052.13895101555</v>
      </c>
      <c r="AS10" s="267">
        <f>IF($AL10="",0,'All Ticker P&amp;L'!M10)</f>
        <v>2.7450572320499478</v>
      </c>
      <c r="AT10" s="243">
        <f>IF($AL10="","",RANK(AR10,$AR$2:$AR$1001)+COUNTIF($AR$2:AR10,AR10)-1)</f>
        <v>2</v>
      </c>
      <c r="AU10" s="243">
        <f>IF($AL10="","",RANK(AV10,$AV$2:$AV$1001)+COUNTIF($AV$2:AV10,AV10)-1)</f>
        <v>999</v>
      </c>
      <c r="AV10" s="266">
        <f t="shared" si="1"/>
        <v>-17052.13895101555</v>
      </c>
    </row>
    <row r="11" spans="1:48" ht="15" customHeight="1" x14ac:dyDescent="0.2">
      <c r="A11" s="271" t="s">
        <v>483</v>
      </c>
      <c r="B11" s="273">
        <f>IFERROR($B$10/$B$6,0)</f>
        <v>0.47785431516851257</v>
      </c>
      <c r="D11" s="271">
        <v>7</v>
      </c>
      <c r="E11" s="271" t="str">
        <f t="shared" si="2"/>
        <v>USX:MSFT:USD</v>
      </c>
      <c r="F11" s="271" t="str">
        <f t="shared" si="3"/>
        <v>USX</v>
      </c>
      <c r="G11" s="271" t="str">
        <f t="shared" si="4"/>
        <v>USD</v>
      </c>
      <c r="H11" s="272">
        <f t="shared" si="5"/>
        <v>10859.588111336665</v>
      </c>
      <c r="I11" s="273">
        <f t="shared" si="6"/>
        <v>6.1055419072168014E-2</v>
      </c>
      <c r="J11" s="272">
        <f t="shared" si="7"/>
        <v>4906.2067717288865</v>
      </c>
      <c r="K11" s="273">
        <f t="shared" si="8"/>
        <v>0.82410423452768733</v>
      </c>
      <c r="Z11" s="243" t="str">
        <f>Shares!A11</f>
        <v/>
      </c>
      <c r="AA11" s="243" t="str">
        <f>Shares!B11</f>
        <v/>
      </c>
      <c r="AB11" s="243" t="str">
        <f>Shares!C11</f>
        <v/>
      </c>
      <c r="AC11" s="243" t="str">
        <f>Shares!D11</f>
        <v/>
      </c>
      <c r="AD11" s="265">
        <f>IF($Z11="",0,Shares!E11)</f>
        <v>0</v>
      </c>
      <c r="AE11" s="266">
        <f>IF($Z11="",0,Shares!J11*Shares!I11)</f>
        <v>0</v>
      </c>
      <c r="AF11" s="267">
        <f t="shared" si="0"/>
        <v>0</v>
      </c>
      <c r="AG11" s="266">
        <f>IF($Z11="",0,Shares!L11)</f>
        <v>0</v>
      </c>
      <c r="AH11" s="267">
        <f>IF($Z11="",0,Shares!M11)</f>
        <v>0</v>
      </c>
      <c r="AI11" s="243" t="str">
        <f>IF($Z11="","",RANK(AE11,$AE$2:$AE$1001)+COUNTIF($AE$2:AE11,AE11)-1)</f>
        <v/>
      </c>
      <c r="AJ11" s="243" t="str">
        <f>IF($AD11&lt;0,COUNT($AJ$1:AJ10)+1,"")</f>
        <v/>
      </c>
      <c r="AL11" s="243" t="str">
        <f>'All Ticker P&amp;L'!A11</f>
        <v>SGX:CLR:SGD</v>
      </c>
      <c r="AM11" s="243" t="str">
        <f>'All Ticker P&amp;L'!B11</f>
        <v>SGX</v>
      </c>
      <c r="AN11" s="243" t="str">
        <f>'All Ticker P&amp;L'!C11</f>
        <v>CLR</v>
      </c>
      <c r="AO11" s="243" t="str">
        <f>'All Ticker P&amp;L'!D11</f>
        <v>SGD</v>
      </c>
      <c r="AP11" s="265">
        <f>IF($AL11="",0,'All Ticker P&amp;L'!E11)</f>
        <v>10000</v>
      </c>
      <c r="AQ11" s="266">
        <f>IF($AL11="",0,'All Ticker P&amp;L'!J11*'All Ticker P&amp;L'!I11)</f>
        <v>8149.9999999999991</v>
      </c>
      <c r="AR11" s="266">
        <f>IF($AL11="",0,'All Ticker P&amp;L'!L11)</f>
        <v>1124.9999999999991</v>
      </c>
      <c r="AS11" s="267">
        <f>IF($AL11="",0,'All Ticker P&amp;L'!M11)</f>
        <v>0.16014234875444827</v>
      </c>
      <c r="AT11" s="243">
        <f>IF($AL11="","",RANK(AR11,$AR$2:$AR$1001)+COUNTIF($AR$2:AR11,AR11)-1)</f>
        <v>7</v>
      </c>
      <c r="AU11" s="243">
        <f>IF($AL11="","",RANK(AV11,$AV$2:$AV$1001)+COUNTIF($AV$2:AV11,AV11)-1)</f>
        <v>994</v>
      </c>
      <c r="AV11" s="266">
        <f t="shared" si="1"/>
        <v>-1124.9999999999991</v>
      </c>
    </row>
    <row r="12" spans="1:48" ht="15" customHeight="1" x14ac:dyDescent="0.2">
      <c r="A12" s="271" t="s">
        <v>484</v>
      </c>
      <c r="B12" s="273">
        <f>IFERROR(MAX($AF$2:$AF$1001),0)</f>
        <v>0.43925024383490546</v>
      </c>
      <c r="D12" s="271">
        <v>8</v>
      </c>
      <c r="E12" s="271" t="str">
        <f t="shared" si="2"/>
        <v>SGX:CLR:SGD</v>
      </c>
      <c r="F12" s="271" t="str">
        <f t="shared" si="3"/>
        <v>SGX</v>
      </c>
      <c r="G12" s="271" t="str">
        <f t="shared" si="4"/>
        <v>SGD</v>
      </c>
      <c r="H12" s="272">
        <f t="shared" si="5"/>
        <v>8149.9999999999991</v>
      </c>
      <c r="I12" s="273">
        <f t="shared" si="6"/>
        <v>4.582141240869967E-2</v>
      </c>
      <c r="J12" s="272">
        <f t="shared" si="7"/>
        <v>1124.9999999999991</v>
      </c>
      <c r="K12" s="273">
        <f t="shared" si="8"/>
        <v>0.16014234875444827</v>
      </c>
      <c r="Z12" s="243" t="str">
        <f>Shares!A12</f>
        <v/>
      </c>
      <c r="AA12" s="243" t="str">
        <f>Shares!B12</f>
        <v/>
      </c>
      <c r="AB12" s="243" t="str">
        <f>Shares!C12</f>
        <v/>
      </c>
      <c r="AC12" s="243" t="str">
        <f>Shares!D12</f>
        <v/>
      </c>
      <c r="AD12" s="265">
        <f>IF($Z12="",0,Shares!E12)</f>
        <v>0</v>
      </c>
      <c r="AE12" s="266">
        <f>IF($Z12="",0,Shares!J12*Shares!I12)</f>
        <v>0</v>
      </c>
      <c r="AF12" s="267">
        <f t="shared" si="0"/>
        <v>0</v>
      </c>
      <c r="AG12" s="266">
        <f>IF($Z12="",0,Shares!L12)</f>
        <v>0</v>
      </c>
      <c r="AH12" s="267">
        <f>IF($Z12="",0,Shares!M12)</f>
        <v>0</v>
      </c>
      <c r="AI12" s="243" t="str">
        <f>IF($Z12="","",RANK(AE12,$AE$2:$AE$1001)+COUNTIF($AE$2:AE12,AE12)-1)</f>
        <v/>
      </c>
      <c r="AJ12" s="243" t="str">
        <f>IF($AD12&lt;0,COUNT($AJ$1:AJ11)+1,"")</f>
        <v/>
      </c>
      <c r="AL12" s="243" t="str">
        <f>'All Ticker P&amp;L'!A12</f>
        <v/>
      </c>
      <c r="AM12" s="243" t="str">
        <f>'All Ticker P&amp;L'!B12</f>
        <v/>
      </c>
      <c r="AN12" s="243" t="str">
        <f>'All Ticker P&amp;L'!C12</f>
        <v/>
      </c>
      <c r="AO12" s="243" t="str">
        <f>'All Ticker P&amp;L'!D12</f>
        <v/>
      </c>
      <c r="AP12" s="265">
        <f>IF($AL12="",0,'All Ticker P&amp;L'!E12)</f>
        <v>0</v>
      </c>
      <c r="AQ12" s="266">
        <f>IF($AL12="",0,'All Ticker P&amp;L'!J12*'All Ticker P&amp;L'!I12)</f>
        <v>0</v>
      </c>
      <c r="AR12" s="266">
        <f>IF($AL12="",0,'All Ticker P&amp;L'!L12)</f>
        <v>0</v>
      </c>
      <c r="AS12" s="267">
        <f>IF($AL12="",0,'All Ticker P&amp;L'!M12)</f>
        <v>0</v>
      </c>
      <c r="AT12" s="243" t="str">
        <f>IF($AL12="","",RANK(AR12,$AR$2:$AR$1001)+COUNTIF($AR$2:AR12,AR12)-1)</f>
        <v/>
      </c>
      <c r="AU12" s="243" t="str">
        <f>IF($AL12="","",RANK(AV12,$AV$2:$AV$1001)+COUNTIF($AV$2:AV12,AV12)-1)</f>
        <v/>
      </c>
      <c r="AV12" s="266">
        <f t="shared" si="1"/>
        <v>0</v>
      </c>
    </row>
    <row r="13" spans="1:48" ht="15" customHeight="1" x14ac:dyDescent="0.2">
      <c r="A13" s="271" t="s">
        <v>485</v>
      </c>
      <c r="B13" s="274">
        <f>COUNTIF(Shares!$E$2:$E$1001,"&lt;0")</f>
        <v>0</v>
      </c>
      <c r="D13" s="271">
        <v>9</v>
      </c>
      <c r="E13" s="271" t="str">
        <f t="shared" si="2"/>
        <v>HKEX:700:HKD</v>
      </c>
      <c r="F13" s="271" t="str">
        <f t="shared" si="3"/>
        <v>HKEX</v>
      </c>
      <c r="G13" s="271" t="str">
        <f t="shared" si="4"/>
        <v>HKD</v>
      </c>
      <c r="H13" s="272">
        <f t="shared" si="5"/>
        <v>8050.3932852926064</v>
      </c>
      <c r="I13" s="273">
        <f t="shared" si="6"/>
        <v>4.5261397641425664E-2</v>
      </c>
      <c r="J13" s="272">
        <f t="shared" si="7"/>
        <v>-1860.0662895964892</v>
      </c>
      <c r="K13" s="273">
        <f t="shared" si="8"/>
        <v>-0.18768718801996673</v>
      </c>
      <c r="Z13" s="243" t="str">
        <f>Shares!A13</f>
        <v/>
      </c>
      <c r="AA13" s="243" t="str">
        <f>Shares!B13</f>
        <v/>
      </c>
      <c r="AB13" s="243" t="str">
        <f>Shares!C13</f>
        <v/>
      </c>
      <c r="AC13" s="243" t="str">
        <f>Shares!D13</f>
        <v/>
      </c>
      <c r="AD13" s="265">
        <f>IF($Z13="",0,Shares!E13)</f>
        <v>0</v>
      </c>
      <c r="AE13" s="266">
        <f>IF($Z13="",0,Shares!J13*Shares!I13)</f>
        <v>0</v>
      </c>
      <c r="AF13" s="267">
        <f t="shared" si="0"/>
        <v>0</v>
      </c>
      <c r="AG13" s="266">
        <f>IF($Z13="",0,Shares!L13)</f>
        <v>0</v>
      </c>
      <c r="AH13" s="267">
        <f>IF($Z13="",0,Shares!M13)</f>
        <v>0</v>
      </c>
      <c r="AI13" s="243" t="str">
        <f>IF($Z13="","",RANK(AE13,$AE$2:$AE$1001)+COUNTIF($AE$2:AE13,AE13)-1)</f>
        <v/>
      </c>
      <c r="AJ13" s="243" t="str">
        <f>IF($AD13&lt;0,COUNT($AJ$1:AJ12)+1,"")</f>
        <v/>
      </c>
      <c r="AL13" s="243" t="str">
        <f>'All Ticker P&amp;L'!A13</f>
        <v/>
      </c>
      <c r="AM13" s="243" t="str">
        <f>'All Ticker P&amp;L'!B13</f>
        <v/>
      </c>
      <c r="AN13" s="243" t="str">
        <f>'All Ticker P&amp;L'!C13</f>
        <v/>
      </c>
      <c r="AO13" s="243" t="str">
        <f>'All Ticker P&amp;L'!D13</f>
        <v/>
      </c>
      <c r="AP13" s="265">
        <f>IF($AL13="",0,'All Ticker P&amp;L'!E13)</f>
        <v>0</v>
      </c>
      <c r="AQ13" s="266">
        <f>IF($AL13="",0,'All Ticker P&amp;L'!J13*'All Ticker P&amp;L'!I13)</f>
        <v>0</v>
      </c>
      <c r="AR13" s="266">
        <f>IF($AL13="",0,'All Ticker P&amp;L'!L13)</f>
        <v>0</v>
      </c>
      <c r="AS13" s="267">
        <f>IF($AL13="",0,'All Ticker P&amp;L'!M13)</f>
        <v>0</v>
      </c>
      <c r="AT13" s="243" t="str">
        <f>IF($AL13="","",RANK(AR13,$AR$2:$AR$1001)+COUNTIF($AR$2:AR13,AR13)-1)</f>
        <v/>
      </c>
      <c r="AU13" s="243" t="str">
        <f>IF($AL13="","",RANK(AV13,$AV$2:$AV$1001)+COUNTIF($AV$2:AV13,AV13)-1)</f>
        <v/>
      </c>
      <c r="AV13" s="266">
        <f t="shared" si="1"/>
        <v>0</v>
      </c>
    </row>
    <row r="14" spans="1:48" ht="15" customHeight="1" x14ac:dyDescent="0.2">
      <c r="A14" s="271" t="s">
        <v>486</v>
      </c>
      <c r="B14" s="274">
        <f>COUNTIFS(Shares!$A$2:$A$1001,"?*",Shares!$H$2:$H$1001,0)+COUNTIFS(Shares!$A$2:$A$1001,"?*",Shares!$I$2:$I$1001,0)+COUNTIFS(Shares!$A$2:$A$1001,"?*",Shares!$D$2:$D$1001,"&lt;&gt;SGD",Shares!$I$2:$I$1001,1)</f>
        <v>0</v>
      </c>
      <c r="D14" s="271">
        <v>10</v>
      </c>
      <c r="E14" s="271" t="str">
        <f t="shared" si="2"/>
        <v/>
      </c>
      <c r="F14" s="271" t="str">
        <f t="shared" si="3"/>
        <v/>
      </c>
      <c r="G14" s="271" t="str">
        <f t="shared" si="4"/>
        <v/>
      </c>
      <c r="H14" s="272" t="str">
        <f t="shared" si="5"/>
        <v/>
      </c>
      <c r="I14" s="273" t="str">
        <f t="shared" si="6"/>
        <v/>
      </c>
      <c r="J14" s="272" t="str">
        <f t="shared" si="7"/>
        <v/>
      </c>
      <c r="K14" s="273" t="str">
        <f t="shared" si="8"/>
        <v/>
      </c>
      <c r="Z14" s="243" t="str">
        <f>Shares!A14</f>
        <v/>
      </c>
      <c r="AA14" s="243" t="str">
        <f>Shares!B14</f>
        <v/>
      </c>
      <c r="AB14" s="243" t="str">
        <f>Shares!C14</f>
        <v/>
      </c>
      <c r="AC14" s="243" t="str">
        <f>Shares!D14</f>
        <v/>
      </c>
      <c r="AD14" s="265">
        <f>IF($Z14="",0,Shares!E14)</f>
        <v>0</v>
      </c>
      <c r="AE14" s="266">
        <f>IF($Z14="",0,Shares!J14*Shares!I14)</f>
        <v>0</v>
      </c>
      <c r="AF14" s="267">
        <f t="shared" si="0"/>
        <v>0</v>
      </c>
      <c r="AG14" s="266">
        <f>IF($Z14="",0,Shares!L14)</f>
        <v>0</v>
      </c>
      <c r="AH14" s="267">
        <f>IF($Z14="",0,Shares!M14)</f>
        <v>0</v>
      </c>
      <c r="AI14" s="243" t="str">
        <f>IF($Z14="","",RANK(AE14,$AE$2:$AE$1001)+COUNTIF($AE$2:AE14,AE14)-1)</f>
        <v/>
      </c>
      <c r="AJ14" s="243" t="str">
        <f>IF($AD14&lt;0,COUNT($AJ$1:AJ13)+1,"")</f>
        <v/>
      </c>
      <c r="AL14" s="243" t="str">
        <f>'All Ticker P&amp;L'!A14</f>
        <v/>
      </c>
      <c r="AM14" s="243" t="str">
        <f>'All Ticker P&amp;L'!B14</f>
        <v/>
      </c>
      <c r="AN14" s="243" t="str">
        <f>'All Ticker P&amp;L'!C14</f>
        <v/>
      </c>
      <c r="AO14" s="243" t="str">
        <f>'All Ticker P&amp;L'!D14</f>
        <v/>
      </c>
      <c r="AP14" s="265">
        <f>IF($AL14="",0,'All Ticker P&amp;L'!E14)</f>
        <v>0</v>
      </c>
      <c r="AQ14" s="266">
        <f>IF($AL14="",0,'All Ticker P&amp;L'!J14*'All Ticker P&amp;L'!I14)</f>
        <v>0</v>
      </c>
      <c r="AR14" s="266">
        <f>IF($AL14="",0,'All Ticker P&amp;L'!L14)</f>
        <v>0</v>
      </c>
      <c r="AS14" s="267">
        <f>IF($AL14="",0,'All Ticker P&amp;L'!M14)</f>
        <v>0</v>
      </c>
      <c r="AT14" s="243" t="str">
        <f>IF($AL14="","",RANK(AR14,$AR$2:$AR$1001)+COUNTIF($AR$2:AR14,AR14)-1)</f>
        <v/>
      </c>
      <c r="AU14" s="243" t="str">
        <f>IF($AL14="","",RANK(AV14,$AV$2:$AV$1001)+COUNTIF($AV$2:AV14,AV14)-1)</f>
        <v/>
      </c>
      <c r="AV14" s="266">
        <f t="shared" si="1"/>
        <v>0</v>
      </c>
    </row>
    <row r="15" spans="1:48" ht="15" customHeight="1" x14ac:dyDescent="0.2">
      <c r="A15" s="113" t="s">
        <v>487</v>
      </c>
      <c r="B15" s="39">
        <f ca="1">'Portfolio Analysis'!$B$3</f>
        <v>7.5773295760154721E-2</v>
      </c>
      <c r="Z15" s="243" t="str">
        <f>Shares!A15</f>
        <v/>
      </c>
      <c r="AA15" s="243" t="str">
        <f>Shares!B15</f>
        <v/>
      </c>
      <c r="AB15" s="243" t="str">
        <f>Shares!C15</f>
        <v/>
      </c>
      <c r="AC15" s="243" t="str">
        <f>Shares!D15</f>
        <v/>
      </c>
      <c r="AD15" s="265">
        <f>IF($Z15="",0,Shares!E15)</f>
        <v>0</v>
      </c>
      <c r="AE15" s="266">
        <f>IF($Z15="",0,Shares!J15*Shares!I15)</f>
        <v>0</v>
      </c>
      <c r="AF15" s="267">
        <f t="shared" si="0"/>
        <v>0</v>
      </c>
      <c r="AG15" s="266">
        <f>IF($Z15="",0,Shares!L15)</f>
        <v>0</v>
      </c>
      <c r="AH15" s="267">
        <f>IF($Z15="",0,Shares!M15)</f>
        <v>0</v>
      </c>
      <c r="AI15" s="243" t="str">
        <f>IF($Z15="","",RANK(AE15,$AE$2:$AE$1001)+COUNTIF($AE$2:AE15,AE15)-1)</f>
        <v/>
      </c>
      <c r="AJ15" s="243" t="str">
        <f>IF($AD15&lt;0,COUNT($AJ$1:AJ14)+1,"")</f>
        <v/>
      </c>
      <c r="AL15" s="243" t="str">
        <f>'All Ticker P&amp;L'!A15</f>
        <v/>
      </c>
      <c r="AM15" s="243" t="str">
        <f>'All Ticker P&amp;L'!B15</f>
        <v/>
      </c>
      <c r="AN15" s="243" t="str">
        <f>'All Ticker P&amp;L'!C15</f>
        <v/>
      </c>
      <c r="AO15" s="243" t="str">
        <f>'All Ticker P&amp;L'!D15</f>
        <v/>
      </c>
      <c r="AP15" s="265">
        <f>IF($AL15="",0,'All Ticker P&amp;L'!E15)</f>
        <v>0</v>
      </c>
      <c r="AQ15" s="266">
        <f>IF($AL15="",0,'All Ticker P&amp;L'!J15*'All Ticker P&amp;L'!I15)</f>
        <v>0</v>
      </c>
      <c r="AR15" s="266">
        <f>IF($AL15="",0,'All Ticker P&amp;L'!L15)</f>
        <v>0</v>
      </c>
      <c r="AS15" s="267">
        <f>IF($AL15="",0,'All Ticker P&amp;L'!M15)</f>
        <v>0</v>
      </c>
      <c r="AT15" s="243" t="str">
        <f>IF($AL15="","",RANK(AR15,$AR$2:$AR$1001)+COUNTIF($AR$2:AR15,AR15)-1)</f>
        <v/>
      </c>
      <c r="AU15" s="243" t="str">
        <f>IF($AL15="","",RANK(AV15,$AV$2:$AV$1001)+COUNTIF($AV$2:AV15,AV15)-1)</f>
        <v/>
      </c>
      <c r="AV15" s="266">
        <f t="shared" si="1"/>
        <v>0</v>
      </c>
    </row>
    <row r="16" spans="1:48" ht="15" customHeight="1" x14ac:dyDescent="0.2">
      <c r="A16" s="113" t="s">
        <v>488</v>
      </c>
      <c r="B16" s="40">
        <f>'Portfolio Analysis'!$B$4</f>
        <v>1090</v>
      </c>
      <c r="Z16" s="243" t="str">
        <f>Shares!A16</f>
        <v/>
      </c>
      <c r="AA16" s="243" t="str">
        <f>Shares!B16</f>
        <v/>
      </c>
      <c r="AB16" s="243" t="str">
        <f>Shares!C16</f>
        <v/>
      </c>
      <c r="AC16" s="243" t="str">
        <f>Shares!D16</f>
        <v/>
      </c>
      <c r="AD16" s="265">
        <f>IF($Z16="",0,Shares!E16)</f>
        <v>0</v>
      </c>
      <c r="AE16" s="266">
        <f>IF($Z16="",0,Shares!J16*Shares!I16)</f>
        <v>0</v>
      </c>
      <c r="AF16" s="267">
        <f t="shared" si="0"/>
        <v>0</v>
      </c>
      <c r="AG16" s="266">
        <f>IF($Z16="",0,Shares!L16)</f>
        <v>0</v>
      </c>
      <c r="AH16" s="267">
        <f>IF($Z16="",0,Shares!M16)</f>
        <v>0</v>
      </c>
      <c r="AI16" s="243" t="str">
        <f>IF($Z16="","",RANK(AE16,$AE$2:$AE$1001)+COUNTIF($AE$2:AE16,AE16)-1)</f>
        <v/>
      </c>
      <c r="AJ16" s="243" t="str">
        <f>IF($AD16&lt;0,COUNT($AJ$1:AJ15)+1,"")</f>
        <v/>
      </c>
      <c r="AL16" s="243" t="str">
        <f>'All Ticker P&amp;L'!A16</f>
        <v/>
      </c>
      <c r="AM16" s="243" t="str">
        <f>'All Ticker P&amp;L'!B16</f>
        <v/>
      </c>
      <c r="AN16" s="243" t="str">
        <f>'All Ticker P&amp;L'!C16</f>
        <v/>
      </c>
      <c r="AO16" s="243" t="str">
        <f>'All Ticker P&amp;L'!D16</f>
        <v/>
      </c>
      <c r="AP16" s="265">
        <f>IF($AL16="",0,'All Ticker P&amp;L'!E16)</f>
        <v>0</v>
      </c>
      <c r="AQ16" s="266">
        <f>IF($AL16="",0,'All Ticker P&amp;L'!J16*'All Ticker P&amp;L'!I16)</f>
        <v>0</v>
      </c>
      <c r="AR16" s="266">
        <f>IF($AL16="",0,'All Ticker P&amp;L'!L16)</f>
        <v>0</v>
      </c>
      <c r="AS16" s="267">
        <f>IF($AL16="",0,'All Ticker P&amp;L'!M16)</f>
        <v>0</v>
      </c>
      <c r="AT16" s="243" t="str">
        <f>IF($AL16="","",RANK(AR16,$AR$2:$AR$1001)+COUNTIF($AR$2:AR16,AR16)-1)</f>
        <v/>
      </c>
      <c r="AU16" s="243" t="str">
        <f>IF($AL16="","",RANK(AV16,$AV$2:$AV$1001)+COUNTIF($AV$2:AV16,AV16)-1)</f>
        <v/>
      </c>
      <c r="AV16" s="266">
        <f t="shared" si="1"/>
        <v>0</v>
      </c>
    </row>
    <row r="17" spans="1:48" ht="15" customHeight="1" x14ac:dyDescent="0.2">
      <c r="A17" s="268" t="s">
        <v>489</v>
      </c>
      <c r="F17" s="268" t="s">
        <v>490</v>
      </c>
      <c r="Z17" s="243" t="str">
        <f>Shares!A17</f>
        <v/>
      </c>
      <c r="AA17" s="243" t="str">
        <f>Shares!B17</f>
        <v/>
      </c>
      <c r="AB17" s="243" t="str">
        <f>Shares!C17</f>
        <v/>
      </c>
      <c r="AC17" s="243" t="str">
        <f>Shares!D17</f>
        <v/>
      </c>
      <c r="AD17" s="265">
        <f>IF($Z17="",0,Shares!E17)</f>
        <v>0</v>
      </c>
      <c r="AE17" s="266">
        <f>IF($Z17="",0,Shares!J17*Shares!I17)</f>
        <v>0</v>
      </c>
      <c r="AF17" s="267">
        <f t="shared" si="0"/>
        <v>0</v>
      </c>
      <c r="AG17" s="266">
        <f>IF($Z17="",0,Shares!L17)</f>
        <v>0</v>
      </c>
      <c r="AH17" s="267">
        <f>IF($Z17="",0,Shares!M17)</f>
        <v>0</v>
      </c>
      <c r="AI17" s="243" t="str">
        <f>IF($Z17="","",RANK(AE17,$AE$2:$AE$1001)+COUNTIF($AE$2:AE17,AE17)-1)</f>
        <v/>
      </c>
      <c r="AJ17" s="243" t="str">
        <f>IF($AD17&lt;0,COUNT($AJ$1:AJ16)+1,"")</f>
        <v/>
      </c>
      <c r="AL17" s="243" t="str">
        <f>'All Ticker P&amp;L'!A17</f>
        <v/>
      </c>
      <c r="AM17" s="243" t="str">
        <f>'All Ticker P&amp;L'!B17</f>
        <v/>
      </c>
      <c r="AN17" s="243" t="str">
        <f>'All Ticker P&amp;L'!C17</f>
        <v/>
      </c>
      <c r="AO17" s="243" t="str">
        <f>'All Ticker P&amp;L'!D17</f>
        <v/>
      </c>
      <c r="AP17" s="265">
        <f>IF($AL17="",0,'All Ticker P&amp;L'!E17)</f>
        <v>0</v>
      </c>
      <c r="AQ17" s="266">
        <f>IF($AL17="",0,'All Ticker P&amp;L'!J17*'All Ticker P&amp;L'!I17)</f>
        <v>0</v>
      </c>
      <c r="AR17" s="266">
        <f>IF($AL17="",0,'All Ticker P&amp;L'!L17)</f>
        <v>0</v>
      </c>
      <c r="AS17" s="267">
        <f>IF($AL17="",0,'All Ticker P&amp;L'!M17)</f>
        <v>0</v>
      </c>
      <c r="AT17" s="243" t="str">
        <f>IF($AL17="","",RANK(AR17,$AR$2:$AR$1001)+COUNTIF($AR$2:AR17,AR17)-1)</f>
        <v/>
      </c>
      <c r="AU17" s="243" t="str">
        <f>IF($AL17="","",RANK(AV17,$AV$2:$AV$1001)+COUNTIF($AV$2:AV17,AV17)-1)</f>
        <v/>
      </c>
      <c r="AV17" s="266">
        <f t="shared" si="1"/>
        <v>0</v>
      </c>
    </row>
    <row r="18" spans="1:48" ht="15" customHeight="1" x14ac:dyDescent="0.2">
      <c r="A18" s="269" t="s">
        <v>390</v>
      </c>
      <c r="B18" s="269" t="s">
        <v>473</v>
      </c>
      <c r="C18" s="269" t="s">
        <v>474</v>
      </c>
      <c r="D18" s="269" t="s">
        <v>491</v>
      </c>
      <c r="F18" s="269" t="s">
        <v>387</v>
      </c>
      <c r="G18" s="269" t="s">
        <v>473</v>
      </c>
      <c r="H18" s="269" t="s">
        <v>474</v>
      </c>
      <c r="I18" s="269" t="s">
        <v>491</v>
      </c>
      <c r="Z18" s="243" t="str">
        <f>Shares!A18</f>
        <v/>
      </c>
      <c r="AA18" s="243" t="str">
        <f>Shares!B18</f>
        <v/>
      </c>
      <c r="AB18" s="243" t="str">
        <f>Shares!C18</f>
        <v/>
      </c>
      <c r="AC18" s="243" t="str">
        <f>Shares!D18</f>
        <v/>
      </c>
      <c r="AD18" s="265">
        <f>IF($Z18="",0,Shares!E18)</f>
        <v>0</v>
      </c>
      <c r="AE18" s="266">
        <f>IF($Z18="",0,Shares!J18*Shares!I18)</f>
        <v>0</v>
      </c>
      <c r="AF18" s="267">
        <f t="shared" si="0"/>
        <v>0</v>
      </c>
      <c r="AG18" s="266">
        <f>IF($Z18="",0,Shares!L18)</f>
        <v>0</v>
      </c>
      <c r="AH18" s="267">
        <f>IF($Z18="",0,Shares!M18)</f>
        <v>0</v>
      </c>
      <c r="AI18" s="243" t="str">
        <f>IF($Z18="","",RANK(AE18,$AE$2:$AE$1001)+COUNTIF($AE$2:AE18,AE18)-1)</f>
        <v/>
      </c>
      <c r="AJ18" s="243" t="str">
        <f>IF($AD18&lt;0,COUNT($AJ$1:AJ17)+1,"")</f>
        <v/>
      </c>
      <c r="AL18" s="243" t="str">
        <f>'All Ticker P&amp;L'!A18</f>
        <v/>
      </c>
      <c r="AM18" s="243" t="str">
        <f>'All Ticker P&amp;L'!B18</f>
        <v/>
      </c>
      <c r="AN18" s="243" t="str">
        <f>'All Ticker P&amp;L'!C18</f>
        <v/>
      </c>
      <c r="AO18" s="243" t="str">
        <f>'All Ticker P&amp;L'!D18</f>
        <v/>
      </c>
      <c r="AP18" s="265">
        <f>IF($AL18="",0,'All Ticker P&amp;L'!E18)</f>
        <v>0</v>
      </c>
      <c r="AQ18" s="266">
        <f>IF($AL18="",0,'All Ticker P&amp;L'!J18*'All Ticker P&amp;L'!I18)</f>
        <v>0</v>
      </c>
      <c r="AR18" s="266">
        <f>IF($AL18="",0,'All Ticker P&amp;L'!L18)</f>
        <v>0</v>
      </c>
      <c r="AS18" s="267">
        <f>IF($AL18="",0,'All Ticker P&amp;L'!M18)</f>
        <v>0</v>
      </c>
      <c r="AT18" s="243" t="str">
        <f>IF($AL18="","",RANK(AR18,$AR$2:$AR$1001)+COUNTIF($AR$2:AR18,AR18)-1)</f>
        <v/>
      </c>
      <c r="AU18" s="243" t="str">
        <f>IF($AL18="","",RANK(AV18,$AV$2:$AV$1001)+COUNTIF($AV$2:AV18,AV18)-1)</f>
        <v/>
      </c>
      <c r="AV18" s="266">
        <f t="shared" si="1"/>
        <v>0</v>
      </c>
    </row>
    <row r="19" spans="1:48" ht="15" customHeight="1" x14ac:dyDescent="0.2">
      <c r="A19" s="271" t="s">
        <v>401</v>
      </c>
      <c r="B19" s="272">
        <f>SUMIFS($AE$2:$AE$1001,$AC$2:$AC$1001,A19)</f>
        <v>125017</v>
      </c>
      <c r="C19" s="273">
        <f>IFERROR(B19/$B$5,0)</f>
        <v>0.70287797731268797</v>
      </c>
      <c r="D19" s="271">
        <f>COUNTIFS($AC$2:$AC$1001,A19,$Z$2:$Z$1001,"?*")</f>
        <v>5</v>
      </c>
      <c r="F19" s="271" t="s">
        <v>399</v>
      </c>
      <c r="G19" s="272">
        <f t="shared" ref="G19:G24" si="9">SUMIFS($AE$2:$AE$1001,$AA$2:$AA$1001,F19)</f>
        <v>78127</v>
      </c>
      <c r="H19" s="273">
        <f t="shared" ref="H19:H25" si="10">IFERROR(G19/$B$5,0)</f>
        <v>0.43925024383490546</v>
      </c>
      <c r="I19" s="271">
        <f t="shared" ref="I19:I24" si="11">COUNTIFS($AA$2:$AA$1001,F19,$Z$2:$Z$1001,"?*")</f>
        <v>1</v>
      </c>
      <c r="Z19" s="243" t="str">
        <f>Shares!A19</f>
        <v/>
      </c>
      <c r="AA19" s="243" t="str">
        <f>Shares!B19</f>
        <v/>
      </c>
      <c r="AB19" s="243" t="str">
        <f>Shares!C19</f>
        <v/>
      </c>
      <c r="AC19" s="243" t="str">
        <f>Shares!D19</f>
        <v/>
      </c>
      <c r="AD19" s="265">
        <f>IF($Z19="",0,Shares!E19)</f>
        <v>0</v>
      </c>
      <c r="AE19" s="266">
        <f>IF($Z19="",0,Shares!J19*Shares!I19)</f>
        <v>0</v>
      </c>
      <c r="AF19" s="267">
        <f t="shared" si="0"/>
        <v>0</v>
      </c>
      <c r="AG19" s="266">
        <f>IF($Z19="",0,Shares!L19)</f>
        <v>0</v>
      </c>
      <c r="AH19" s="267">
        <f>IF($Z19="",0,Shares!M19)</f>
        <v>0</v>
      </c>
      <c r="AI19" s="243" t="str">
        <f>IF($Z19="","",RANK(AE19,$AE$2:$AE$1001)+COUNTIF($AE$2:AE19,AE19)-1)</f>
        <v/>
      </c>
      <c r="AJ19" s="243" t="str">
        <f>IF($AD19&lt;0,COUNT($AJ$1:AJ18)+1,"")</f>
        <v/>
      </c>
      <c r="AL19" s="243" t="str">
        <f>'All Ticker P&amp;L'!A19</f>
        <v/>
      </c>
      <c r="AM19" s="243" t="str">
        <f>'All Ticker P&amp;L'!B19</f>
        <v/>
      </c>
      <c r="AN19" s="243" t="str">
        <f>'All Ticker P&amp;L'!C19</f>
        <v/>
      </c>
      <c r="AO19" s="243" t="str">
        <f>'All Ticker P&amp;L'!D19</f>
        <v/>
      </c>
      <c r="AP19" s="265">
        <f>IF($AL19="",0,'All Ticker P&amp;L'!E19)</f>
        <v>0</v>
      </c>
      <c r="AQ19" s="266">
        <f>IF($AL19="",0,'All Ticker P&amp;L'!J19*'All Ticker P&amp;L'!I19)</f>
        <v>0</v>
      </c>
      <c r="AR19" s="266">
        <f>IF($AL19="",0,'All Ticker P&amp;L'!L19)</f>
        <v>0</v>
      </c>
      <c r="AS19" s="267">
        <f>IF($AL19="",0,'All Ticker P&amp;L'!M19)</f>
        <v>0</v>
      </c>
      <c r="AT19" s="243" t="str">
        <f>IF($AL19="","",RANK(AR19,$AR$2:$AR$1001)+COUNTIF($AR$2:AR19,AR19)-1)</f>
        <v/>
      </c>
      <c r="AU19" s="243" t="str">
        <f>IF($AL19="","",RANK(AV19,$AV$2:$AV$1001)+COUNTIF($AV$2:AV19,AV19)-1)</f>
        <v/>
      </c>
      <c r="AV19" s="266">
        <f t="shared" si="1"/>
        <v>0</v>
      </c>
    </row>
    <row r="20" spans="1:48" ht="15" customHeight="1" x14ac:dyDescent="0.2">
      <c r="A20" s="271" t="s">
        <v>413</v>
      </c>
      <c r="B20" s="272">
        <f>SUMIFS($AE$2:$AE$1001,$AC$2:$AC$1001,A20)</f>
        <v>8050.3932852926064</v>
      </c>
      <c r="C20" s="273">
        <f>IFERROR(B20/$B$5,0)</f>
        <v>4.5261397641425664E-2</v>
      </c>
      <c r="D20" s="271">
        <f>COUNTIFS($AC$2:$AC$1001,A20,$Z$2:$Z$1001,"?*")</f>
        <v>1</v>
      </c>
      <c r="F20" s="271" t="s">
        <v>411</v>
      </c>
      <c r="G20" s="272">
        <f t="shared" si="9"/>
        <v>8050.3932852926064</v>
      </c>
      <c r="H20" s="273">
        <f t="shared" si="10"/>
        <v>4.5261397641425664E-2</v>
      </c>
      <c r="I20" s="271">
        <f t="shared" si="11"/>
        <v>1</v>
      </c>
      <c r="Z20" s="243" t="str">
        <f>Shares!A20</f>
        <v/>
      </c>
      <c r="AA20" s="243" t="str">
        <f>Shares!B20</f>
        <v/>
      </c>
      <c r="AB20" s="243" t="str">
        <f>Shares!C20</f>
        <v/>
      </c>
      <c r="AC20" s="243" t="str">
        <f>Shares!D20</f>
        <v/>
      </c>
      <c r="AD20" s="265">
        <f>IF($Z20="",0,Shares!E20)</f>
        <v>0</v>
      </c>
      <c r="AE20" s="266">
        <f>IF($Z20="",0,Shares!J20*Shares!I20)</f>
        <v>0</v>
      </c>
      <c r="AF20" s="267">
        <f t="shared" si="0"/>
        <v>0</v>
      </c>
      <c r="AG20" s="266">
        <f>IF($Z20="",0,Shares!L20)</f>
        <v>0</v>
      </c>
      <c r="AH20" s="267">
        <f>IF($Z20="",0,Shares!M20)</f>
        <v>0</v>
      </c>
      <c r="AI20" s="243" t="str">
        <f>IF($Z20="","",RANK(AE20,$AE$2:$AE$1001)+COUNTIF($AE$2:AE20,AE20)-1)</f>
        <v/>
      </c>
      <c r="AJ20" s="243" t="str">
        <f>IF($AD20&lt;0,COUNT($AJ$1:AJ19)+1,"")</f>
        <v/>
      </c>
      <c r="AL20" s="243" t="str">
        <f>'All Ticker P&amp;L'!A20</f>
        <v/>
      </c>
      <c r="AM20" s="243" t="str">
        <f>'All Ticker P&amp;L'!B20</f>
        <v/>
      </c>
      <c r="AN20" s="243" t="str">
        <f>'All Ticker P&amp;L'!C20</f>
        <v/>
      </c>
      <c r="AO20" s="243" t="str">
        <f>'All Ticker P&amp;L'!D20</f>
        <v/>
      </c>
      <c r="AP20" s="265">
        <f>IF($AL20="",0,'All Ticker P&amp;L'!E20)</f>
        <v>0</v>
      </c>
      <c r="AQ20" s="266">
        <f>IF($AL20="",0,'All Ticker P&amp;L'!J20*'All Ticker P&amp;L'!I20)</f>
        <v>0</v>
      </c>
      <c r="AR20" s="266">
        <f>IF($AL20="",0,'All Ticker P&amp;L'!L20)</f>
        <v>0</v>
      </c>
      <c r="AS20" s="267">
        <f>IF($AL20="",0,'All Ticker P&amp;L'!M20)</f>
        <v>0</v>
      </c>
      <c r="AT20" s="243" t="str">
        <f>IF($AL20="","",RANK(AR20,$AR$2:$AR$1001)+COUNTIF($AR$2:AR20,AR20)-1)</f>
        <v/>
      </c>
      <c r="AU20" s="243" t="str">
        <f>IF($AL20="","",RANK(AV20,$AV$2:$AV$1001)+COUNTIF($AV$2:AV20,AV20)-1)</f>
        <v/>
      </c>
      <c r="AV20" s="266">
        <f t="shared" si="1"/>
        <v>0</v>
      </c>
    </row>
    <row r="21" spans="1:48" ht="15" customHeight="1" x14ac:dyDescent="0.2">
      <c r="A21" s="271" t="s">
        <v>407</v>
      </c>
      <c r="B21" s="272">
        <f>SUMIFS($AE$2:$AE$1001,$AC$2:$AC$1001,A21)</f>
        <v>44797.049811896548</v>
      </c>
      <c r="C21" s="273">
        <f>IFERROR(B21/$B$5,0)</f>
        <v>0.25186062504588635</v>
      </c>
      <c r="D21" s="271">
        <f>COUNTIFS($AC$2:$AC$1001,A21,$Z$2:$Z$1001,"?*")</f>
        <v>3</v>
      </c>
      <c r="F21" s="271" t="s">
        <v>492</v>
      </c>
      <c r="G21" s="272">
        <f t="shared" si="9"/>
        <v>0</v>
      </c>
      <c r="H21" s="273">
        <f t="shared" si="10"/>
        <v>0</v>
      </c>
      <c r="I21" s="271">
        <f t="shared" si="11"/>
        <v>0</v>
      </c>
      <c r="Z21" s="243" t="str">
        <f>Shares!A21</f>
        <v/>
      </c>
      <c r="AA21" s="243" t="str">
        <f>Shares!B21</f>
        <v/>
      </c>
      <c r="AB21" s="243" t="str">
        <f>Shares!C21</f>
        <v/>
      </c>
      <c r="AC21" s="243" t="str">
        <f>Shares!D21</f>
        <v/>
      </c>
      <c r="AD21" s="265">
        <f>IF($Z21="",0,Shares!E21)</f>
        <v>0</v>
      </c>
      <c r="AE21" s="266">
        <f>IF($Z21="",0,Shares!J21*Shares!I21)</f>
        <v>0</v>
      </c>
      <c r="AF21" s="267">
        <f t="shared" si="0"/>
        <v>0</v>
      </c>
      <c r="AG21" s="266">
        <f>IF($Z21="",0,Shares!L21)</f>
        <v>0</v>
      </c>
      <c r="AH21" s="267">
        <f>IF($Z21="",0,Shares!M21)</f>
        <v>0</v>
      </c>
      <c r="AI21" s="243" t="str">
        <f>IF($Z21="","",RANK(AE21,$AE$2:$AE$1001)+COUNTIF($AE$2:AE21,AE21)-1)</f>
        <v/>
      </c>
      <c r="AJ21" s="243" t="str">
        <f>IF($AD21&lt;0,COUNT($AJ$1:AJ20)+1,"")</f>
        <v/>
      </c>
      <c r="AL21" s="243" t="str">
        <f>'All Ticker P&amp;L'!A21</f>
        <v/>
      </c>
      <c r="AM21" s="243" t="str">
        <f>'All Ticker P&amp;L'!B21</f>
        <v/>
      </c>
      <c r="AN21" s="243" t="str">
        <f>'All Ticker P&amp;L'!C21</f>
        <v/>
      </c>
      <c r="AO21" s="243" t="str">
        <f>'All Ticker P&amp;L'!D21</f>
        <v/>
      </c>
      <c r="AP21" s="265">
        <f>IF($AL21="",0,'All Ticker P&amp;L'!E21)</f>
        <v>0</v>
      </c>
      <c r="AQ21" s="266">
        <f>IF($AL21="",0,'All Ticker P&amp;L'!J21*'All Ticker P&amp;L'!I21)</f>
        <v>0</v>
      </c>
      <c r="AR21" s="266">
        <f>IF($AL21="",0,'All Ticker P&amp;L'!L21)</f>
        <v>0</v>
      </c>
      <c r="AS21" s="267">
        <f>IF($AL21="",0,'All Ticker P&amp;L'!M21)</f>
        <v>0</v>
      </c>
      <c r="AT21" s="243" t="str">
        <f>IF($AL21="","",RANK(AR21,$AR$2:$AR$1001)+COUNTIF($AR$2:AR21,AR21)-1)</f>
        <v/>
      </c>
      <c r="AU21" s="243" t="str">
        <f>IF($AL21="","",RANK(AV21,$AV$2:$AV$1001)+COUNTIF($AV$2:AV21,AV21)-1)</f>
        <v/>
      </c>
      <c r="AV21" s="266">
        <f t="shared" si="1"/>
        <v>0</v>
      </c>
    </row>
    <row r="22" spans="1:48" ht="15" customHeight="1" x14ac:dyDescent="0.2">
      <c r="A22" s="271" t="s">
        <v>493</v>
      </c>
      <c r="B22" s="272">
        <f>$B$5-SUM(B19:B21)</f>
        <v>0</v>
      </c>
      <c r="C22" s="273">
        <f>IFERROR(B22/$B$5,0)</f>
        <v>0</v>
      </c>
      <c r="D22" s="271">
        <f>$B$4-SUM(D19:D21)</f>
        <v>0</v>
      </c>
      <c r="F22" s="271" t="s">
        <v>403</v>
      </c>
      <c r="G22" s="272">
        <f t="shared" si="9"/>
        <v>46890</v>
      </c>
      <c r="H22" s="273">
        <f t="shared" si="10"/>
        <v>0.26362773347778251</v>
      </c>
      <c r="I22" s="271">
        <f t="shared" si="11"/>
        <v>4</v>
      </c>
      <c r="Z22" s="243" t="str">
        <f>Shares!A22</f>
        <v/>
      </c>
      <c r="AA22" s="243" t="str">
        <f>Shares!B22</f>
        <v/>
      </c>
      <c r="AB22" s="243" t="str">
        <f>Shares!C22</f>
        <v/>
      </c>
      <c r="AC22" s="243" t="str">
        <f>Shares!D22</f>
        <v/>
      </c>
      <c r="AD22" s="265">
        <f>IF($Z22="",0,Shares!E22)</f>
        <v>0</v>
      </c>
      <c r="AE22" s="266">
        <f>IF($Z22="",0,Shares!J22*Shares!I22)</f>
        <v>0</v>
      </c>
      <c r="AF22" s="267">
        <f t="shared" si="0"/>
        <v>0</v>
      </c>
      <c r="AG22" s="266">
        <f>IF($Z22="",0,Shares!L22)</f>
        <v>0</v>
      </c>
      <c r="AH22" s="267">
        <f>IF($Z22="",0,Shares!M22)</f>
        <v>0</v>
      </c>
      <c r="AI22" s="243" t="str">
        <f>IF($Z22="","",RANK(AE22,$AE$2:$AE$1001)+COUNTIF($AE$2:AE22,AE22)-1)</f>
        <v/>
      </c>
      <c r="AJ22" s="243" t="str">
        <f>IF($AD22&lt;0,COUNT($AJ$1:AJ21)+1,"")</f>
        <v/>
      </c>
      <c r="AL22" s="243" t="str">
        <f>'All Ticker P&amp;L'!A22</f>
        <v/>
      </c>
      <c r="AM22" s="243" t="str">
        <f>'All Ticker P&amp;L'!B22</f>
        <v/>
      </c>
      <c r="AN22" s="243" t="str">
        <f>'All Ticker P&amp;L'!C22</f>
        <v/>
      </c>
      <c r="AO22" s="243" t="str">
        <f>'All Ticker P&amp;L'!D22</f>
        <v/>
      </c>
      <c r="AP22" s="265">
        <f>IF($AL22="",0,'All Ticker P&amp;L'!E22)</f>
        <v>0</v>
      </c>
      <c r="AQ22" s="266">
        <f>IF($AL22="",0,'All Ticker P&amp;L'!J22*'All Ticker P&amp;L'!I22)</f>
        <v>0</v>
      </c>
      <c r="AR22" s="266">
        <f>IF($AL22="",0,'All Ticker P&amp;L'!L22)</f>
        <v>0</v>
      </c>
      <c r="AS22" s="267">
        <f>IF($AL22="",0,'All Ticker P&amp;L'!M22)</f>
        <v>0</v>
      </c>
      <c r="AT22" s="243" t="str">
        <f>IF($AL22="","",RANK(AR22,$AR$2:$AR$1001)+COUNTIF($AR$2:AR22,AR22)-1)</f>
        <v/>
      </c>
      <c r="AU22" s="243" t="str">
        <f>IF($AL22="","",RANK(AV22,$AV$2:$AV$1001)+COUNTIF($AV$2:AV22,AV22)-1)</f>
        <v/>
      </c>
      <c r="AV22" s="266">
        <f t="shared" si="1"/>
        <v>0</v>
      </c>
    </row>
    <row r="23" spans="1:48" ht="15" customHeight="1" x14ac:dyDescent="0.2">
      <c r="F23" s="271" t="s">
        <v>405</v>
      </c>
      <c r="G23" s="272">
        <f t="shared" si="9"/>
        <v>31544.517847216026</v>
      </c>
      <c r="H23" s="273">
        <f t="shared" si="10"/>
        <v>0.17735145540010708</v>
      </c>
      <c r="I23" s="271">
        <f t="shared" si="11"/>
        <v>2</v>
      </c>
      <c r="Z23" s="243" t="str">
        <f>Shares!A23</f>
        <v/>
      </c>
      <c r="AA23" s="243" t="str">
        <f>Shares!B23</f>
        <v/>
      </c>
      <c r="AB23" s="243" t="str">
        <f>Shares!C23</f>
        <v/>
      </c>
      <c r="AC23" s="243" t="str">
        <f>Shares!D23</f>
        <v/>
      </c>
      <c r="AD23" s="265">
        <f>IF($Z23="",0,Shares!E23)</f>
        <v>0</v>
      </c>
      <c r="AE23" s="266">
        <f>IF($Z23="",0,Shares!J23*Shares!I23)</f>
        <v>0</v>
      </c>
      <c r="AF23" s="267">
        <f t="shared" si="0"/>
        <v>0</v>
      </c>
      <c r="AG23" s="266">
        <f>IF($Z23="",0,Shares!L23)</f>
        <v>0</v>
      </c>
      <c r="AH23" s="267">
        <f>IF($Z23="",0,Shares!M23)</f>
        <v>0</v>
      </c>
      <c r="AI23" s="243" t="str">
        <f>IF($Z23="","",RANK(AE23,$AE$2:$AE$1001)+COUNTIF($AE$2:AE23,AE23)-1)</f>
        <v/>
      </c>
      <c r="AJ23" s="243" t="str">
        <f>IF($AD23&lt;0,COUNT($AJ$1:AJ22)+1,"")</f>
        <v/>
      </c>
      <c r="AL23" s="243" t="str">
        <f>'All Ticker P&amp;L'!A23</f>
        <v/>
      </c>
      <c r="AM23" s="243" t="str">
        <f>'All Ticker P&amp;L'!B23</f>
        <v/>
      </c>
      <c r="AN23" s="243" t="str">
        <f>'All Ticker P&amp;L'!C23</f>
        <v/>
      </c>
      <c r="AO23" s="243" t="str">
        <f>'All Ticker P&amp;L'!D23</f>
        <v/>
      </c>
      <c r="AP23" s="265">
        <f>IF($AL23="",0,'All Ticker P&amp;L'!E23)</f>
        <v>0</v>
      </c>
      <c r="AQ23" s="266">
        <f>IF($AL23="",0,'All Ticker P&amp;L'!J23*'All Ticker P&amp;L'!I23)</f>
        <v>0</v>
      </c>
      <c r="AR23" s="266">
        <f>IF($AL23="",0,'All Ticker P&amp;L'!L23)</f>
        <v>0</v>
      </c>
      <c r="AS23" s="267">
        <f>IF($AL23="",0,'All Ticker P&amp;L'!M23)</f>
        <v>0</v>
      </c>
      <c r="AT23" s="243" t="str">
        <f>IF($AL23="","",RANK(AR23,$AR$2:$AR$1001)+COUNTIF($AR$2:AR23,AR23)-1)</f>
        <v/>
      </c>
      <c r="AU23" s="243" t="str">
        <f>IF($AL23="","",RANK(AV23,$AV$2:$AV$1001)+COUNTIF($AV$2:AV23,AV23)-1)</f>
        <v/>
      </c>
      <c r="AV23" s="266">
        <f t="shared" si="1"/>
        <v>0</v>
      </c>
    </row>
    <row r="24" spans="1:48" ht="15" customHeight="1" x14ac:dyDescent="0.2">
      <c r="F24" s="271" t="s">
        <v>409</v>
      </c>
      <c r="G24" s="272">
        <f t="shared" si="9"/>
        <v>13252.53196468052</v>
      </c>
      <c r="H24" s="273">
        <f t="shared" si="10"/>
        <v>7.4509169645779263E-2</v>
      </c>
      <c r="I24" s="271">
        <f t="shared" si="11"/>
        <v>1</v>
      </c>
      <c r="Z24" s="243" t="str">
        <f>Shares!A24</f>
        <v/>
      </c>
      <c r="AA24" s="243" t="str">
        <f>Shares!B24</f>
        <v/>
      </c>
      <c r="AB24" s="243" t="str">
        <f>Shares!C24</f>
        <v/>
      </c>
      <c r="AC24" s="243" t="str">
        <f>Shares!D24</f>
        <v/>
      </c>
      <c r="AD24" s="265">
        <f>IF($Z24="",0,Shares!E24)</f>
        <v>0</v>
      </c>
      <c r="AE24" s="266">
        <f>IF($Z24="",0,Shares!J24*Shares!I24)</f>
        <v>0</v>
      </c>
      <c r="AF24" s="267">
        <f t="shared" si="0"/>
        <v>0</v>
      </c>
      <c r="AG24" s="266">
        <f>IF($Z24="",0,Shares!L24)</f>
        <v>0</v>
      </c>
      <c r="AH24" s="267">
        <f>IF($Z24="",0,Shares!M24)</f>
        <v>0</v>
      </c>
      <c r="AI24" s="243" t="str">
        <f>IF($Z24="","",RANK(AE24,$AE$2:$AE$1001)+COUNTIF($AE$2:AE24,AE24)-1)</f>
        <v/>
      </c>
      <c r="AJ24" s="243" t="str">
        <f>IF($AD24&lt;0,COUNT($AJ$1:AJ23)+1,"")</f>
        <v/>
      </c>
      <c r="AL24" s="243" t="str">
        <f>'All Ticker P&amp;L'!A24</f>
        <v/>
      </c>
      <c r="AM24" s="243" t="str">
        <f>'All Ticker P&amp;L'!B24</f>
        <v/>
      </c>
      <c r="AN24" s="243" t="str">
        <f>'All Ticker P&amp;L'!C24</f>
        <v/>
      </c>
      <c r="AO24" s="243" t="str">
        <f>'All Ticker P&amp;L'!D24</f>
        <v/>
      </c>
      <c r="AP24" s="265">
        <f>IF($AL24="",0,'All Ticker P&amp;L'!E24)</f>
        <v>0</v>
      </c>
      <c r="AQ24" s="266">
        <f>IF($AL24="",0,'All Ticker P&amp;L'!J24*'All Ticker P&amp;L'!I24)</f>
        <v>0</v>
      </c>
      <c r="AR24" s="266">
        <f>IF($AL24="",0,'All Ticker P&amp;L'!L24)</f>
        <v>0</v>
      </c>
      <c r="AS24" s="267">
        <f>IF($AL24="",0,'All Ticker P&amp;L'!M24)</f>
        <v>0</v>
      </c>
      <c r="AT24" s="243" t="str">
        <f>IF($AL24="","",RANK(AR24,$AR$2:$AR$1001)+COUNTIF($AR$2:AR24,AR24)-1)</f>
        <v/>
      </c>
      <c r="AU24" s="243" t="str">
        <f>IF($AL24="","",RANK(AV24,$AV$2:$AV$1001)+COUNTIF($AV$2:AV24,AV24)-1)</f>
        <v/>
      </c>
      <c r="AV24" s="266">
        <f t="shared" si="1"/>
        <v>0</v>
      </c>
    </row>
    <row r="25" spans="1:48" ht="15" customHeight="1" x14ac:dyDescent="0.2">
      <c r="F25" s="271" t="s">
        <v>493</v>
      </c>
      <c r="G25" s="272">
        <f>$B$5-SUM(G19:G24)</f>
        <v>0</v>
      </c>
      <c r="H25" s="273">
        <f t="shared" si="10"/>
        <v>0</v>
      </c>
      <c r="I25" s="271">
        <f>$B$4-SUM(I19:I24)</f>
        <v>0</v>
      </c>
      <c r="Z25" s="243" t="str">
        <f>Shares!A25</f>
        <v/>
      </c>
      <c r="AA25" s="243" t="str">
        <f>Shares!B25</f>
        <v/>
      </c>
      <c r="AB25" s="243" t="str">
        <f>Shares!C25</f>
        <v/>
      </c>
      <c r="AC25" s="243" t="str">
        <f>Shares!D25</f>
        <v/>
      </c>
      <c r="AD25" s="265">
        <f>IF($Z25="",0,Shares!E25)</f>
        <v>0</v>
      </c>
      <c r="AE25" s="266">
        <f>IF($Z25="",0,Shares!J25*Shares!I25)</f>
        <v>0</v>
      </c>
      <c r="AF25" s="267">
        <f t="shared" si="0"/>
        <v>0</v>
      </c>
      <c r="AG25" s="266">
        <f>IF($Z25="",0,Shares!L25)</f>
        <v>0</v>
      </c>
      <c r="AH25" s="267">
        <f>IF($Z25="",0,Shares!M25)</f>
        <v>0</v>
      </c>
      <c r="AI25" s="243" t="str">
        <f>IF($Z25="","",RANK(AE25,$AE$2:$AE$1001)+COUNTIF($AE$2:AE25,AE25)-1)</f>
        <v/>
      </c>
      <c r="AJ25" s="243" t="str">
        <f>IF($AD25&lt;0,COUNT($AJ$1:AJ24)+1,"")</f>
        <v/>
      </c>
      <c r="AL25" s="243" t="str">
        <f>'All Ticker P&amp;L'!A25</f>
        <v/>
      </c>
      <c r="AM25" s="243" t="str">
        <f>'All Ticker P&amp;L'!B25</f>
        <v/>
      </c>
      <c r="AN25" s="243" t="str">
        <f>'All Ticker P&amp;L'!C25</f>
        <v/>
      </c>
      <c r="AO25" s="243" t="str">
        <f>'All Ticker P&amp;L'!D25</f>
        <v/>
      </c>
      <c r="AP25" s="265">
        <f>IF($AL25="",0,'All Ticker P&amp;L'!E25)</f>
        <v>0</v>
      </c>
      <c r="AQ25" s="266">
        <f>IF($AL25="",0,'All Ticker P&amp;L'!J25*'All Ticker P&amp;L'!I25)</f>
        <v>0</v>
      </c>
      <c r="AR25" s="266">
        <f>IF($AL25="",0,'All Ticker P&amp;L'!L25)</f>
        <v>0</v>
      </c>
      <c r="AS25" s="267">
        <f>IF($AL25="",0,'All Ticker P&amp;L'!M25)</f>
        <v>0</v>
      </c>
      <c r="AT25" s="243" t="str">
        <f>IF($AL25="","",RANK(AR25,$AR$2:$AR$1001)+COUNTIF($AR$2:AR25,AR25)-1)</f>
        <v/>
      </c>
      <c r="AU25" s="243" t="str">
        <f>IF($AL25="","",RANK(AV25,$AV$2:$AV$1001)+COUNTIF($AV$2:AV25,AV25)-1)</f>
        <v/>
      </c>
      <c r="AV25" s="266">
        <f t="shared" si="1"/>
        <v>0</v>
      </c>
    </row>
    <row r="26" spans="1:48" ht="15" customHeight="1" x14ac:dyDescent="0.2">
      <c r="Z26" s="243" t="str">
        <f>Shares!A26</f>
        <v/>
      </c>
      <c r="AA26" s="243" t="str">
        <f>Shares!B26</f>
        <v/>
      </c>
      <c r="AB26" s="243" t="str">
        <f>Shares!C26</f>
        <v/>
      </c>
      <c r="AC26" s="243" t="str">
        <f>Shares!D26</f>
        <v/>
      </c>
      <c r="AD26" s="265">
        <f>IF($Z26="",0,Shares!E26)</f>
        <v>0</v>
      </c>
      <c r="AE26" s="266">
        <f>IF($Z26="",0,Shares!J26*Shares!I26)</f>
        <v>0</v>
      </c>
      <c r="AF26" s="267">
        <f t="shared" si="0"/>
        <v>0</v>
      </c>
      <c r="AG26" s="266">
        <f>IF($Z26="",0,Shares!L26)</f>
        <v>0</v>
      </c>
      <c r="AH26" s="267">
        <f>IF($Z26="",0,Shares!M26)</f>
        <v>0</v>
      </c>
      <c r="AI26" s="243" t="str">
        <f>IF($Z26="","",RANK(AE26,$AE$2:$AE$1001)+COUNTIF($AE$2:AE26,AE26)-1)</f>
        <v/>
      </c>
      <c r="AJ26" s="243" t="str">
        <f>IF($AD26&lt;0,COUNT($AJ$1:AJ25)+1,"")</f>
        <v/>
      </c>
      <c r="AL26" s="243" t="str">
        <f>'All Ticker P&amp;L'!A26</f>
        <v/>
      </c>
      <c r="AM26" s="243" t="str">
        <f>'All Ticker P&amp;L'!B26</f>
        <v/>
      </c>
      <c r="AN26" s="243" t="str">
        <f>'All Ticker P&amp;L'!C26</f>
        <v/>
      </c>
      <c r="AO26" s="243" t="str">
        <f>'All Ticker P&amp;L'!D26</f>
        <v/>
      </c>
      <c r="AP26" s="265">
        <f>IF($AL26="",0,'All Ticker P&amp;L'!E26)</f>
        <v>0</v>
      </c>
      <c r="AQ26" s="266">
        <f>IF($AL26="",0,'All Ticker P&amp;L'!J26*'All Ticker P&amp;L'!I26)</f>
        <v>0</v>
      </c>
      <c r="AR26" s="266">
        <f>IF($AL26="",0,'All Ticker P&amp;L'!L26)</f>
        <v>0</v>
      </c>
      <c r="AS26" s="267">
        <f>IF($AL26="",0,'All Ticker P&amp;L'!M26)</f>
        <v>0</v>
      </c>
      <c r="AT26" s="243" t="str">
        <f>IF($AL26="","",RANK(AR26,$AR$2:$AR$1001)+COUNTIF($AR$2:AR26,AR26)-1)</f>
        <v/>
      </c>
      <c r="AU26" s="243" t="str">
        <f>IF($AL26="","",RANK(AV26,$AV$2:$AV$1001)+COUNTIF($AV$2:AV26,AV26)-1)</f>
        <v/>
      </c>
      <c r="AV26" s="266">
        <f t="shared" si="1"/>
        <v>0</v>
      </c>
    </row>
    <row r="27" spans="1:48" ht="15" customHeight="1" x14ac:dyDescent="0.2">
      <c r="Z27" s="243" t="str">
        <f>Shares!A27</f>
        <v/>
      </c>
      <c r="AA27" s="243" t="str">
        <f>Shares!B27</f>
        <v/>
      </c>
      <c r="AB27" s="243" t="str">
        <f>Shares!C27</f>
        <v/>
      </c>
      <c r="AC27" s="243" t="str">
        <f>Shares!D27</f>
        <v/>
      </c>
      <c r="AD27" s="265">
        <f>IF($Z27="",0,Shares!E27)</f>
        <v>0</v>
      </c>
      <c r="AE27" s="266">
        <f>IF($Z27="",0,Shares!J27*Shares!I27)</f>
        <v>0</v>
      </c>
      <c r="AF27" s="267">
        <f t="shared" si="0"/>
        <v>0</v>
      </c>
      <c r="AG27" s="266">
        <f>IF($Z27="",0,Shares!L27)</f>
        <v>0</v>
      </c>
      <c r="AH27" s="267">
        <f>IF($Z27="",0,Shares!M27)</f>
        <v>0</v>
      </c>
      <c r="AI27" s="243" t="str">
        <f>IF($Z27="","",RANK(AE27,$AE$2:$AE$1001)+COUNTIF($AE$2:AE27,AE27)-1)</f>
        <v/>
      </c>
      <c r="AJ27" s="243" t="str">
        <f>IF($AD27&lt;0,COUNT($AJ$1:AJ26)+1,"")</f>
        <v/>
      </c>
      <c r="AL27" s="243" t="str">
        <f>'All Ticker P&amp;L'!A27</f>
        <v/>
      </c>
      <c r="AM27" s="243" t="str">
        <f>'All Ticker P&amp;L'!B27</f>
        <v/>
      </c>
      <c r="AN27" s="243" t="str">
        <f>'All Ticker P&amp;L'!C27</f>
        <v/>
      </c>
      <c r="AO27" s="243" t="str">
        <f>'All Ticker P&amp;L'!D27</f>
        <v/>
      </c>
      <c r="AP27" s="265">
        <f>IF($AL27="",0,'All Ticker P&amp;L'!E27)</f>
        <v>0</v>
      </c>
      <c r="AQ27" s="266">
        <f>IF($AL27="",0,'All Ticker P&amp;L'!J27*'All Ticker P&amp;L'!I27)</f>
        <v>0</v>
      </c>
      <c r="AR27" s="266">
        <f>IF($AL27="",0,'All Ticker P&amp;L'!L27)</f>
        <v>0</v>
      </c>
      <c r="AS27" s="267">
        <f>IF($AL27="",0,'All Ticker P&amp;L'!M27)</f>
        <v>0</v>
      </c>
      <c r="AT27" s="243" t="str">
        <f>IF($AL27="","",RANK(AR27,$AR$2:$AR$1001)+COUNTIF($AR$2:AR27,AR27)-1)</f>
        <v/>
      </c>
      <c r="AU27" s="243" t="str">
        <f>IF($AL27="","",RANK(AV27,$AV$2:$AV$1001)+COUNTIF($AV$2:AV27,AV27)-1)</f>
        <v/>
      </c>
      <c r="AV27" s="266">
        <f t="shared" si="1"/>
        <v>0</v>
      </c>
    </row>
    <row r="28" spans="1:48" ht="15" customHeight="1" x14ac:dyDescent="0.2">
      <c r="Z28" s="243" t="str">
        <f>Shares!A28</f>
        <v/>
      </c>
      <c r="AA28" s="243" t="str">
        <f>Shares!B28</f>
        <v/>
      </c>
      <c r="AB28" s="243" t="str">
        <f>Shares!C28</f>
        <v/>
      </c>
      <c r="AC28" s="243" t="str">
        <f>Shares!D28</f>
        <v/>
      </c>
      <c r="AD28" s="265">
        <f>IF($Z28="",0,Shares!E28)</f>
        <v>0</v>
      </c>
      <c r="AE28" s="266">
        <f>IF($Z28="",0,Shares!J28*Shares!I28)</f>
        <v>0</v>
      </c>
      <c r="AF28" s="267">
        <f t="shared" si="0"/>
        <v>0</v>
      </c>
      <c r="AG28" s="266">
        <f>IF($Z28="",0,Shares!L28)</f>
        <v>0</v>
      </c>
      <c r="AH28" s="267">
        <f>IF($Z28="",0,Shares!M28)</f>
        <v>0</v>
      </c>
      <c r="AI28" s="243" t="str">
        <f>IF($Z28="","",RANK(AE28,$AE$2:$AE$1001)+COUNTIF($AE$2:AE28,AE28)-1)</f>
        <v/>
      </c>
      <c r="AJ28" s="243" t="str">
        <f>IF($AD28&lt;0,COUNT($AJ$1:AJ27)+1,"")</f>
        <v/>
      </c>
      <c r="AL28" s="243" t="str">
        <f>'All Ticker P&amp;L'!A28</f>
        <v/>
      </c>
      <c r="AM28" s="243" t="str">
        <f>'All Ticker P&amp;L'!B28</f>
        <v/>
      </c>
      <c r="AN28" s="243" t="str">
        <f>'All Ticker P&amp;L'!C28</f>
        <v/>
      </c>
      <c r="AO28" s="243" t="str">
        <f>'All Ticker P&amp;L'!D28</f>
        <v/>
      </c>
      <c r="AP28" s="265">
        <f>IF($AL28="",0,'All Ticker P&amp;L'!E28)</f>
        <v>0</v>
      </c>
      <c r="AQ28" s="266">
        <f>IF($AL28="",0,'All Ticker P&amp;L'!J28*'All Ticker P&amp;L'!I28)</f>
        <v>0</v>
      </c>
      <c r="AR28" s="266">
        <f>IF($AL28="",0,'All Ticker P&amp;L'!L28)</f>
        <v>0</v>
      </c>
      <c r="AS28" s="267">
        <f>IF($AL28="",0,'All Ticker P&amp;L'!M28)</f>
        <v>0</v>
      </c>
      <c r="AT28" s="243" t="str">
        <f>IF($AL28="","",RANK(AR28,$AR$2:$AR$1001)+COUNTIF($AR$2:AR28,AR28)-1)</f>
        <v/>
      </c>
      <c r="AU28" s="243" t="str">
        <f>IF($AL28="","",RANK(AV28,$AV$2:$AV$1001)+COUNTIF($AV$2:AV28,AV28)-1)</f>
        <v/>
      </c>
      <c r="AV28" s="266">
        <f t="shared" si="1"/>
        <v>0</v>
      </c>
    </row>
    <row r="29" spans="1:48" ht="15" customHeight="1" x14ac:dyDescent="0.2">
      <c r="Z29" s="243" t="str">
        <f>Shares!A29</f>
        <v/>
      </c>
      <c r="AA29" s="243" t="str">
        <f>Shares!B29</f>
        <v/>
      </c>
      <c r="AB29" s="243" t="str">
        <f>Shares!C29</f>
        <v/>
      </c>
      <c r="AC29" s="243" t="str">
        <f>Shares!D29</f>
        <v/>
      </c>
      <c r="AD29" s="265">
        <f>IF($Z29="",0,Shares!E29)</f>
        <v>0</v>
      </c>
      <c r="AE29" s="266">
        <f>IF($Z29="",0,Shares!J29*Shares!I29)</f>
        <v>0</v>
      </c>
      <c r="AF29" s="267">
        <f t="shared" si="0"/>
        <v>0</v>
      </c>
      <c r="AG29" s="266">
        <f>IF($Z29="",0,Shares!L29)</f>
        <v>0</v>
      </c>
      <c r="AH29" s="267">
        <f>IF($Z29="",0,Shares!M29)</f>
        <v>0</v>
      </c>
      <c r="AI29" s="243" t="str">
        <f>IF($Z29="","",RANK(AE29,$AE$2:$AE$1001)+COUNTIF($AE$2:AE29,AE29)-1)</f>
        <v/>
      </c>
      <c r="AJ29" s="243" t="str">
        <f>IF($AD29&lt;0,COUNT($AJ$1:AJ28)+1,"")</f>
        <v/>
      </c>
      <c r="AL29" s="243" t="str">
        <f>'All Ticker P&amp;L'!A29</f>
        <v/>
      </c>
      <c r="AM29" s="243" t="str">
        <f>'All Ticker P&amp;L'!B29</f>
        <v/>
      </c>
      <c r="AN29" s="243" t="str">
        <f>'All Ticker P&amp;L'!C29</f>
        <v/>
      </c>
      <c r="AO29" s="243" t="str">
        <f>'All Ticker P&amp;L'!D29</f>
        <v/>
      </c>
      <c r="AP29" s="265">
        <f>IF($AL29="",0,'All Ticker P&amp;L'!E29)</f>
        <v>0</v>
      </c>
      <c r="AQ29" s="266">
        <f>IF($AL29="",0,'All Ticker P&amp;L'!J29*'All Ticker P&amp;L'!I29)</f>
        <v>0</v>
      </c>
      <c r="AR29" s="266">
        <f>IF($AL29="",0,'All Ticker P&amp;L'!L29)</f>
        <v>0</v>
      </c>
      <c r="AS29" s="267">
        <f>IF($AL29="",0,'All Ticker P&amp;L'!M29)</f>
        <v>0</v>
      </c>
      <c r="AT29" s="243" t="str">
        <f>IF($AL29="","",RANK(AR29,$AR$2:$AR$1001)+COUNTIF($AR$2:AR29,AR29)-1)</f>
        <v/>
      </c>
      <c r="AU29" s="243" t="str">
        <f>IF($AL29="","",RANK(AV29,$AV$2:$AV$1001)+COUNTIF($AV$2:AV29,AV29)-1)</f>
        <v/>
      </c>
      <c r="AV29" s="266">
        <f t="shared" si="1"/>
        <v>0</v>
      </c>
    </row>
    <row r="30" spans="1:48" ht="15" customHeight="1" x14ac:dyDescent="0.2">
      <c r="Z30" s="243" t="str">
        <f>Shares!A30</f>
        <v/>
      </c>
      <c r="AA30" s="243" t="str">
        <f>Shares!B30</f>
        <v/>
      </c>
      <c r="AB30" s="243" t="str">
        <f>Shares!C30</f>
        <v/>
      </c>
      <c r="AC30" s="243" t="str">
        <f>Shares!D30</f>
        <v/>
      </c>
      <c r="AD30" s="265">
        <f>IF($Z30="",0,Shares!E30)</f>
        <v>0</v>
      </c>
      <c r="AE30" s="266">
        <f>IF($Z30="",0,Shares!J30*Shares!I30)</f>
        <v>0</v>
      </c>
      <c r="AF30" s="267">
        <f t="shared" si="0"/>
        <v>0</v>
      </c>
      <c r="AG30" s="266">
        <f>IF($Z30="",0,Shares!L30)</f>
        <v>0</v>
      </c>
      <c r="AH30" s="267">
        <f>IF($Z30="",0,Shares!M30)</f>
        <v>0</v>
      </c>
      <c r="AI30" s="243" t="str">
        <f>IF($Z30="","",RANK(AE30,$AE$2:$AE$1001)+COUNTIF($AE$2:AE30,AE30)-1)</f>
        <v/>
      </c>
      <c r="AJ30" s="243" t="str">
        <f>IF($AD30&lt;0,COUNT($AJ$1:AJ29)+1,"")</f>
        <v/>
      </c>
      <c r="AL30" s="243" t="str">
        <f>'All Ticker P&amp;L'!A30</f>
        <v/>
      </c>
      <c r="AM30" s="243" t="str">
        <f>'All Ticker P&amp;L'!B30</f>
        <v/>
      </c>
      <c r="AN30" s="243" t="str">
        <f>'All Ticker P&amp;L'!C30</f>
        <v/>
      </c>
      <c r="AO30" s="243" t="str">
        <f>'All Ticker P&amp;L'!D30</f>
        <v/>
      </c>
      <c r="AP30" s="265">
        <f>IF($AL30="",0,'All Ticker P&amp;L'!E30)</f>
        <v>0</v>
      </c>
      <c r="AQ30" s="266">
        <f>IF($AL30="",0,'All Ticker P&amp;L'!J30*'All Ticker P&amp;L'!I30)</f>
        <v>0</v>
      </c>
      <c r="AR30" s="266">
        <f>IF($AL30="",0,'All Ticker P&amp;L'!L30)</f>
        <v>0</v>
      </c>
      <c r="AS30" s="267">
        <f>IF($AL30="",0,'All Ticker P&amp;L'!M30)</f>
        <v>0</v>
      </c>
      <c r="AT30" s="243" t="str">
        <f>IF($AL30="","",RANK(AR30,$AR$2:$AR$1001)+COUNTIF($AR$2:AR30,AR30)-1)</f>
        <v/>
      </c>
      <c r="AU30" s="243" t="str">
        <f>IF($AL30="","",RANK(AV30,$AV$2:$AV$1001)+COUNTIF($AV$2:AV30,AV30)-1)</f>
        <v/>
      </c>
      <c r="AV30" s="266">
        <f t="shared" si="1"/>
        <v>0</v>
      </c>
    </row>
    <row r="31" spans="1:48" ht="15" customHeight="1" x14ac:dyDescent="0.2">
      <c r="Z31" s="243" t="str">
        <f>Shares!A31</f>
        <v/>
      </c>
      <c r="AA31" s="243" t="str">
        <f>Shares!B31</f>
        <v/>
      </c>
      <c r="AB31" s="243" t="str">
        <f>Shares!C31</f>
        <v/>
      </c>
      <c r="AC31" s="243" t="str">
        <f>Shares!D31</f>
        <v/>
      </c>
      <c r="AD31" s="265">
        <f>IF($Z31="",0,Shares!E31)</f>
        <v>0</v>
      </c>
      <c r="AE31" s="266">
        <f>IF($Z31="",0,Shares!J31*Shares!I31)</f>
        <v>0</v>
      </c>
      <c r="AF31" s="267">
        <f t="shared" si="0"/>
        <v>0</v>
      </c>
      <c r="AG31" s="266">
        <f>IF($Z31="",0,Shares!L31)</f>
        <v>0</v>
      </c>
      <c r="AH31" s="267">
        <f>IF($Z31="",0,Shares!M31)</f>
        <v>0</v>
      </c>
      <c r="AI31" s="243" t="str">
        <f>IF($Z31="","",RANK(AE31,$AE$2:$AE$1001)+COUNTIF($AE$2:AE31,AE31)-1)</f>
        <v/>
      </c>
      <c r="AJ31" s="243" t="str">
        <f>IF($AD31&lt;0,COUNT($AJ$1:AJ30)+1,"")</f>
        <v/>
      </c>
      <c r="AL31" s="243" t="str">
        <f>'All Ticker P&amp;L'!A31</f>
        <v/>
      </c>
      <c r="AM31" s="243" t="str">
        <f>'All Ticker P&amp;L'!B31</f>
        <v/>
      </c>
      <c r="AN31" s="243" t="str">
        <f>'All Ticker P&amp;L'!C31</f>
        <v/>
      </c>
      <c r="AO31" s="243" t="str">
        <f>'All Ticker P&amp;L'!D31</f>
        <v/>
      </c>
      <c r="AP31" s="265">
        <f>IF($AL31="",0,'All Ticker P&amp;L'!E31)</f>
        <v>0</v>
      </c>
      <c r="AQ31" s="266">
        <f>IF($AL31="",0,'All Ticker P&amp;L'!J31*'All Ticker P&amp;L'!I31)</f>
        <v>0</v>
      </c>
      <c r="AR31" s="266">
        <f>IF($AL31="",0,'All Ticker P&amp;L'!L31)</f>
        <v>0</v>
      </c>
      <c r="AS31" s="267">
        <f>IF($AL31="",0,'All Ticker P&amp;L'!M31)</f>
        <v>0</v>
      </c>
      <c r="AT31" s="243" t="str">
        <f>IF($AL31="","",RANK(AR31,$AR$2:$AR$1001)+COUNTIF($AR$2:AR31,AR31)-1)</f>
        <v/>
      </c>
      <c r="AU31" s="243" t="str">
        <f>IF($AL31="","",RANK(AV31,$AV$2:$AV$1001)+COUNTIF($AV$2:AV31,AV31)-1)</f>
        <v/>
      </c>
      <c r="AV31" s="266">
        <f t="shared" si="1"/>
        <v>0</v>
      </c>
    </row>
    <row r="32" spans="1:48" ht="15" customHeight="1" x14ac:dyDescent="0.2">
      <c r="Z32" s="243" t="str">
        <f>Shares!A32</f>
        <v/>
      </c>
      <c r="AA32" s="243" t="str">
        <f>Shares!B32</f>
        <v/>
      </c>
      <c r="AB32" s="243" t="str">
        <f>Shares!C32</f>
        <v/>
      </c>
      <c r="AC32" s="243" t="str">
        <f>Shares!D32</f>
        <v/>
      </c>
      <c r="AD32" s="265">
        <f>IF($Z32="",0,Shares!E32)</f>
        <v>0</v>
      </c>
      <c r="AE32" s="266">
        <f>IF($Z32="",0,Shares!J32*Shares!I32)</f>
        <v>0</v>
      </c>
      <c r="AF32" s="267">
        <f t="shared" si="0"/>
        <v>0</v>
      </c>
      <c r="AG32" s="266">
        <f>IF($Z32="",0,Shares!L32)</f>
        <v>0</v>
      </c>
      <c r="AH32" s="267">
        <f>IF($Z32="",0,Shares!M32)</f>
        <v>0</v>
      </c>
      <c r="AI32" s="243" t="str">
        <f>IF($Z32="","",RANK(AE32,$AE$2:$AE$1001)+COUNTIF($AE$2:AE32,AE32)-1)</f>
        <v/>
      </c>
      <c r="AJ32" s="243" t="str">
        <f>IF($AD32&lt;0,COUNT($AJ$1:AJ31)+1,"")</f>
        <v/>
      </c>
      <c r="AL32" s="243" t="str">
        <f>'All Ticker P&amp;L'!A32</f>
        <v/>
      </c>
      <c r="AM32" s="243" t="str">
        <f>'All Ticker P&amp;L'!B32</f>
        <v/>
      </c>
      <c r="AN32" s="243" t="str">
        <f>'All Ticker P&amp;L'!C32</f>
        <v/>
      </c>
      <c r="AO32" s="243" t="str">
        <f>'All Ticker P&amp;L'!D32</f>
        <v/>
      </c>
      <c r="AP32" s="265">
        <f>IF($AL32="",0,'All Ticker P&amp;L'!E32)</f>
        <v>0</v>
      </c>
      <c r="AQ32" s="266">
        <f>IF($AL32="",0,'All Ticker P&amp;L'!J32*'All Ticker P&amp;L'!I32)</f>
        <v>0</v>
      </c>
      <c r="AR32" s="266">
        <f>IF($AL32="",0,'All Ticker P&amp;L'!L32)</f>
        <v>0</v>
      </c>
      <c r="AS32" s="267">
        <f>IF($AL32="",0,'All Ticker P&amp;L'!M32)</f>
        <v>0</v>
      </c>
      <c r="AT32" s="243" t="str">
        <f>IF($AL32="","",RANK(AR32,$AR$2:$AR$1001)+COUNTIF($AR$2:AR32,AR32)-1)</f>
        <v/>
      </c>
      <c r="AU32" s="243" t="str">
        <f>IF($AL32="","",RANK(AV32,$AV$2:$AV$1001)+COUNTIF($AV$2:AV32,AV32)-1)</f>
        <v/>
      </c>
      <c r="AV32" s="266">
        <f t="shared" si="1"/>
        <v>0</v>
      </c>
    </row>
    <row r="33" spans="1:48" ht="15" customHeight="1" x14ac:dyDescent="0.2">
      <c r="A33" s="268" t="s">
        <v>494</v>
      </c>
      <c r="J33" s="268" t="s">
        <v>495</v>
      </c>
      <c r="Z33" s="243" t="str">
        <f>Shares!A33</f>
        <v/>
      </c>
      <c r="AA33" s="243" t="str">
        <f>Shares!B33</f>
        <v/>
      </c>
      <c r="AB33" s="243" t="str">
        <f>Shares!C33</f>
        <v/>
      </c>
      <c r="AC33" s="243" t="str">
        <f>Shares!D33</f>
        <v/>
      </c>
      <c r="AD33" s="265">
        <f>IF($Z33="",0,Shares!E33)</f>
        <v>0</v>
      </c>
      <c r="AE33" s="266">
        <f>IF($Z33="",0,Shares!J33*Shares!I33)</f>
        <v>0</v>
      </c>
      <c r="AF33" s="267">
        <f t="shared" si="0"/>
        <v>0</v>
      </c>
      <c r="AG33" s="266">
        <f>IF($Z33="",0,Shares!L33)</f>
        <v>0</v>
      </c>
      <c r="AH33" s="267">
        <f>IF($Z33="",0,Shares!M33)</f>
        <v>0</v>
      </c>
      <c r="AI33" s="243" t="str">
        <f>IF($Z33="","",RANK(AE33,$AE$2:$AE$1001)+COUNTIF($AE$2:AE33,AE33)-1)</f>
        <v/>
      </c>
      <c r="AJ33" s="243" t="str">
        <f>IF($AD33&lt;0,COUNT($AJ$1:AJ32)+1,"")</f>
        <v/>
      </c>
      <c r="AL33" s="243" t="str">
        <f>'All Ticker P&amp;L'!A33</f>
        <v/>
      </c>
      <c r="AM33" s="243" t="str">
        <f>'All Ticker P&amp;L'!B33</f>
        <v/>
      </c>
      <c r="AN33" s="243" t="str">
        <f>'All Ticker P&amp;L'!C33</f>
        <v/>
      </c>
      <c r="AO33" s="243" t="str">
        <f>'All Ticker P&amp;L'!D33</f>
        <v/>
      </c>
      <c r="AP33" s="265">
        <f>IF($AL33="",0,'All Ticker P&amp;L'!E33)</f>
        <v>0</v>
      </c>
      <c r="AQ33" s="266">
        <f>IF($AL33="",0,'All Ticker P&amp;L'!J33*'All Ticker P&amp;L'!I33)</f>
        <v>0</v>
      </c>
      <c r="AR33" s="266">
        <f>IF($AL33="",0,'All Ticker P&amp;L'!L33)</f>
        <v>0</v>
      </c>
      <c r="AS33" s="267">
        <f>IF($AL33="",0,'All Ticker P&amp;L'!M33)</f>
        <v>0</v>
      </c>
      <c r="AT33" s="243" t="str">
        <f>IF($AL33="","",RANK(AR33,$AR$2:$AR$1001)+COUNTIF($AR$2:AR33,AR33)-1)</f>
        <v/>
      </c>
      <c r="AU33" s="243" t="str">
        <f>IF($AL33="","",RANK(AV33,$AV$2:$AV$1001)+COUNTIF($AV$2:AV33,AV33)-1)</f>
        <v/>
      </c>
      <c r="AV33" s="266">
        <f t="shared" si="1"/>
        <v>0</v>
      </c>
    </row>
    <row r="34" spans="1:48" ht="15" customHeight="1" x14ac:dyDescent="0.2">
      <c r="A34" s="269" t="s">
        <v>472</v>
      </c>
      <c r="B34" s="269" t="s">
        <v>395</v>
      </c>
      <c r="C34" s="269" t="s">
        <v>387</v>
      </c>
      <c r="D34" s="269" t="s">
        <v>390</v>
      </c>
      <c r="E34" s="269" t="s">
        <v>496</v>
      </c>
      <c r="F34" s="269" t="s">
        <v>475</v>
      </c>
      <c r="G34" s="269" t="s">
        <v>476</v>
      </c>
      <c r="H34" s="269" t="s">
        <v>497</v>
      </c>
      <c r="J34" s="269" t="s">
        <v>472</v>
      </c>
      <c r="K34" s="269" t="s">
        <v>395</v>
      </c>
      <c r="L34" s="269" t="s">
        <v>387</v>
      </c>
      <c r="M34" s="269" t="s">
        <v>390</v>
      </c>
      <c r="N34" s="269" t="s">
        <v>496</v>
      </c>
      <c r="O34" s="269" t="s">
        <v>475</v>
      </c>
      <c r="P34" s="269" t="s">
        <v>476</v>
      </c>
      <c r="Q34" s="269" t="s">
        <v>497</v>
      </c>
      <c r="Z34" s="243" t="str">
        <f>Shares!A34</f>
        <v/>
      </c>
      <c r="AA34" s="243" t="str">
        <f>Shares!B34</f>
        <v/>
      </c>
      <c r="AB34" s="243" t="str">
        <f>Shares!C34</f>
        <v/>
      </c>
      <c r="AC34" s="243" t="str">
        <f>Shares!D34</f>
        <v/>
      </c>
      <c r="AD34" s="265">
        <f>IF($Z34="",0,Shares!E34)</f>
        <v>0</v>
      </c>
      <c r="AE34" s="266">
        <f>IF($Z34="",0,Shares!J34*Shares!I34)</f>
        <v>0</v>
      </c>
      <c r="AF34" s="267">
        <f t="shared" si="0"/>
        <v>0</v>
      </c>
      <c r="AG34" s="266">
        <f>IF($Z34="",0,Shares!L34)</f>
        <v>0</v>
      </c>
      <c r="AH34" s="267">
        <f>IF($Z34="",0,Shares!M34)</f>
        <v>0</v>
      </c>
      <c r="AI34" s="243" t="str">
        <f>IF($Z34="","",RANK(AE34,$AE$2:$AE$1001)+COUNTIF($AE$2:AE34,AE34)-1)</f>
        <v/>
      </c>
      <c r="AJ34" s="243" t="str">
        <f>IF($AD34&lt;0,COUNT($AJ$1:AJ33)+1,"")</f>
        <v/>
      </c>
      <c r="AL34" s="243" t="str">
        <f>'All Ticker P&amp;L'!A34</f>
        <v/>
      </c>
      <c r="AM34" s="243" t="str">
        <f>'All Ticker P&amp;L'!B34</f>
        <v/>
      </c>
      <c r="AN34" s="243" t="str">
        <f>'All Ticker P&amp;L'!C34</f>
        <v/>
      </c>
      <c r="AO34" s="243" t="str">
        <f>'All Ticker P&amp;L'!D34</f>
        <v/>
      </c>
      <c r="AP34" s="265">
        <f>IF($AL34="",0,'All Ticker P&amp;L'!E34)</f>
        <v>0</v>
      </c>
      <c r="AQ34" s="266">
        <f>IF($AL34="",0,'All Ticker P&amp;L'!J34*'All Ticker P&amp;L'!I34)</f>
        <v>0</v>
      </c>
      <c r="AR34" s="266">
        <f>IF($AL34="",0,'All Ticker P&amp;L'!L34)</f>
        <v>0</v>
      </c>
      <c r="AS34" s="267">
        <f>IF($AL34="",0,'All Ticker P&amp;L'!M34)</f>
        <v>0</v>
      </c>
      <c r="AT34" s="243" t="str">
        <f>IF($AL34="","",RANK(AR34,$AR$2:$AR$1001)+COUNTIF($AR$2:AR34,AR34)-1)</f>
        <v/>
      </c>
      <c r="AU34" s="243" t="str">
        <f>IF($AL34="","",RANK(AV34,$AV$2:$AV$1001)+COUNTIF($AV$2:AV34,AV34)-1)</f>
        <v/>
      </c>
      <c r="AV34" s="266">
        <f t="shared" si="1"/>
        <v>0</v>
      </c>
    </row>
    <row r="35" spans="1:48" ht="15" customHeight="1" x14ac:dyDescent="0.2">
      <c r="A35" s="271">
        <v>1</v>
      </c>
      <c r="B35" s="271" t="str">
        <f t="shared" ref="B35:B44" si="12">IFERROR(INDEX($AL$2:$AL$1001,MATCH($A35,$AT$2:$AT$1001,0)),"")</f>
        <v>CA:GOLD:SGD</v>
      </c>
      <c r="C35" s="271" t="str">
        <f t="shared" ref="C35:C44" si="13">IF($B35="","",INDEX($AM$2:$AM$1001,MATCH($A35,$AT$2:$AT$1001,0)))</f>
        <v>CA</v>
      </c>
      <c r="D35" s="271" t="str">
        <f t="shared" ref="D35:D44" si="14">IF($B35="","",INDEX($AO$2:$AO$1001,MATCH($A35,$AT$2:$AT$1001,0)))</f>
        <v>SGD</v>
      </c>
      <c r="E35" s="275">
        <f t="shared" ref="E35:E44" si="15">IF($B35="","",INDEX($AP$2:$AP$1001,MATCH($A35,$AT$2:$AT$1001,0)))</f>
        <v>700</v>
      </c>
      <c r="F35" s="272">
        <f t="shared" ref="F35:F44" si="16">IF($B35="","",INDEX($AR$2:$AR$1001,MATCH($A35,$AT$2:$AT$1001,0)))</f>
        <v>22627</v>
      </c>
      <c r="G35" s="273">
        <f t="shared" ref="G35:G44" si="17">IF($B35="","",INDEX($AS$2:$AS$1001,MATCH($A35,$AT$2:$AT$1001,0)))</f>
        <v>0.40769369369369368</v>
      </c>
      <c r="H35" s="271" t="str">
        <f t="shared" ref="H35:H44" si="18">IF($B35="","",IF(E35=0,"Closed","Open"))</f>
        <v>Open</v>
      </c>
      <c r="J35" s="271">
        <v>1</v>
      </c>
      <c r="K35" s="271" t="str">
        <f t="shared" ref="K35:K44" si="19">IFERROR(INDEX($AL$2:$AL$1001,MATCH($J35,$AU$2:$AU$1001,0)),"")</f>
        <v>HKEX:700:HKD</v>
      </c>
      <c r="L35" s="271" t="str">
        <f t="shared" ref="L35:L44" si="20">IF($K35="","",INDEX($AM$2:$AM$1001,MATCH($J35,$AU$2:$AU$1001,0)))</f>
        <v>HKEX</v>
      </c>
      <c r="M35" s="271" t="str">
        <f t="shared" ref="M35:M44" si="21">IF($K35="","",INDEX($AO$2:$AO$1001,MATCH($J35,$AU$2:$AU$1001,0)))</f>
        <v>HKD</v>
      </c>
      <c r="N35" s="275">
        <f t="shared" ref="N35:N44" si="22">IF($K35="","",INDEX($AP$2:$AP$1001,MATCH($J35,$AU$2:$AU$1001,0)))</f>
        <v>100</v>
      </c>
      <c r="O35" s="272">
        <f t="shared" ref="O35:O44" si="23">IF($K35="","",INDEX($AR$2:$AR$1001,MATCH($J35,$AU$2:$AU$1001,0)))</f>
        <v>-1860.0662895964892</v>
      </c>
      <c r="P35" s="273">
        <f t="shared" ref="P35:P44" si="24">IF($K35="","",INDEX($AS$2:$AS$1001,MATCH($J35,$AU$2:$AU$1001,0)))</f>
        <v>-0.18768718801996673</v>
      </c>
      <c r="Q35" s="271" t="str">
        <f t="shared" ref="Q35:Q44" si="25">IF($K35="","",IF(N35=0,"Closed","Open"))</f>
        <v>Open</v>
      </c>
      <c r="Z35" s="243" t="str">
        <f>Shares!A35</f>
        <v/>
      </c>
      <c r="AA35" s="243" t="str">
        <f>Shares!B35</f>
        <v/>
      </c>
      <c r="AB35" s="243" t="str">
        <f>Shares!C35</f>
        <v/>
      </c>
      <c r="AC35" s="243" t="str">
        <f>Shares!D35</f>
        <v/>
      </c>
      <c r="AD35" s="265">
        <f>IF($Z35="",0,Shares!E35)</f>
        <v>0</v>
      </c>
      <c r="AE35" s="266">
        <f>IF($Z35="",0,Shares!J35*Shares!I35)</f>
        <v>0</v>
      </c>
      <c r="AF35" s="267">
        <f t="shared" si="0"/>
        <v>0</v>
      </c>
      <c r="AG35" s="266">
        <f>IF($Z35="",0,Shares!L35)</f>
        <v>0</v>
      </c>
      <c r="AH35" s="267">
        <f>IF($Z35="",0,Shares!M35)</f>
        <v>0</v>
      </c>
      <c r="AI35" s="243" t="str">
        <f>IF($Z35="","",RANK(AE35,$AE$2:$AE$1001)+COUNTIF($AE$2:AE35,AE35)-1)</f>
        <v/>
      </c>
      <c r="AJ35" s="243" t="str">
        <f>IF($AD35&lt;0,COUNT($AJ$1:AJ34)+1,"")</f>
        <v/>
      </c>
      <c r="AL35" s="243" t="str">
        <f>'All Ticker P&amp;L'!A35</f>
        <v/>
      </c>
      <c r="AM35" s="243" t="str">
        <f>'All Ticker P&amp;L'!B35</f>
        <v/>
      </c>
      <c r="AN35" s="243" t="str">
        <f>'All Ticker P&amp;L'!C35</f>
        <v/>
      </c>
      <c r="AO35" s="243" t="str">
        <f>'All Ticker P&amp;L'!D35</f>
        <v/>
      </c>
      <c r="AP35" s="265">
        <f>IF($AL35="",0,'All Ticker P&amp;L'!E35)</f>
        <v>0</v>
      </c>
      <c r="AQ35" s="266">
        <f>IF($AL35="",0,'All Ticker P&amp;L'!J35*'All Ticker P&amp;L'!I35)</f>
        <v>0</v>
      </c>
      <c r="AR35" s="266">
        <f>IF($AL35="",0,'All Ticker P&amp;L'!L35)</f>
        <v>0</v>
      </c>
      <c r="AS35" s="267">
        <f>IF($AL35="",0,'All Ticker P&amp;L'!M35)</f>
        <v>0</v>
      </c>
      <c r="AT35" s="243" t="str">
        <f>IF($AL35="","",RANK(AR35,$AR$2:$AR$1001)+COUNTIF($AR$2:AR35,AR35)-1)</f>
        <v/>
      </c>
      <c r="AU35" s="243" t="str">
        <f>IF($AL35="","",RANK(AV35,$AV$2:$AV$1001)+COUNTIF($AV$2:AV35,AV35)-1)</f>
        <v/>
      </c>
      <c r="AV35" s="266">
        <f t="shared" si="1"/>
        <v>0</v>
      </c>
    </row>
    <row r="36" spans="1:48" ht="15" customHeight="1" x14ac:dyDescent="0.2">
      <c r="A36" s="271">
        <v>2</v>
      </c>
      <c r="B36" s="271" t="str">
        <f t="shared" si="12"/>
        <v>USX:NVDA:USD</v>
      </c>
      <c r="C36" s="271" t="str">
        <f t="shared" si="13"/>
        <v>USX</v>
      </c>
      <c r="D36" s="271" t="str">
        <f t="shared" si="14"/>
        <v>USD</v>
      </c>
      <c r="E36" s="275">
        <f t="shared" si="15"/>
        <v>0</v>
      </c>
      <c r="F36" s="272">
        <f t="shared" si="16"/>
        <v>17052.13895101555</v>
      </c>
      <c r="G36" s="273">
        <f t="shared" si="17"/>
        <v>2.7450572320499478</v>
      </c>
      <c r="H36" s="271" t="str">
        <f t="shared" si="18"/>
        <v>Closed</v>
      </c>
      <c r="J36" s="271">
        <v>2</v>
      </c>
      <c r="K36" s="271" t="str">
        <f t="shared" si="19"/>
        <v>SGX:A17U:SGD</v>
      </c>
      <c r="L36" s="271" t="str">
        <f t="shared" si="20"/>
        <v>SGX</v>
      </c>
      <c r="M36" s="271" t="str">
        <f t="shared" si="21"/>
        <v>SGD</v>
      </c>
      <c r="N36" s="275">
        <f t="shared" si="22"/>
        <v>4000</v>
      </c>
      <c r="O36" s="272">
        <f t="shared" si="23"/>
        <v>-890</v>
      </c>
      <c r="P36" s="273">
        <f t="shared" si="24"/>
        <v>-7.5105485232067504E-2</v>
      </c>
      <c r="Q36" s="271" t="str">
        <f t="shared" si="25"/>
        <v>Open</v>
      </c>
      <c r="Z36" s="243" t="str">
        <f>Shares!A36</f>
        <v/>
      </c>
      <c r="AA36" s="243" t="str">
        <f>Shares!B36</f>
        <v/>
      </c>
      <c r="AB36" s="243" t="str">
        <f>Shares!C36</f>
        <v/>
      </c>
      <c r="AC36" s="243" t="str">
        <f>Shares!D36</f>
        <v/>
      </c>
      <c r="AD36" s="265">
        <f>IF($Z36="",0,Shares!E36)</f>
        <v>0</v>
      </c>
      <c r="AE36" s="266">
        <f>IF($Z36="",0,Shares!J36*Shares!I36)</f>
        <v>0</v>
      </c>
      <c r="AF36" s="267">
        <f t="shared" si="0"/>
        <v>0</v>
      </c>
      <c r="AG36" s="266">
        <f>IF($Z36="",0,Shares!L36)</f>
        <v>0</v>
      </c>
      <c r="AH36" s="267">
        <f>IF($Z36="",0,Shares!M36)</f>
        <v>0</v>
      </c>
      <c r="AI36" s="243" t="str">
        <f>IF($Z36="","",RANK(AE36,$AE$2:$AE$1001)+COUNTIF($AE$2:AE36,AE36)-1)</f>
        <v/>
      </c>
      <c r="AJ36" s="243" t="str">
        <f>IF($AD36&lt;0,COUNT($AJ$1:AJ35)+1,"")</f>
        <v/>
      </c>
      <c r="AL36" s="243" t="str">
        <f>'All Ticker P&amp;L'!A36</f>
        <v/>
      </c>
      <c r="AM36" s="243" t="str">
        <f>'All Ticker P&amp;L'!B36</f>
        <v/>
      </c>
      <c r="AN36" s="243" t="str">
        <f>'All Ticker P&amp;L'!C36</f>
        <v/>
      </c>
      <c r="AO36" s="243" t="str">
        <f>'All Ticker P&amp;L'!D36</f>
        <v/>
      </c>
      <c r="AP36" s="265">
        <f>IF($AL36="",0,'All Ticker P&amp;L'!E36)</f>
        <v>0</v>
      </c>
      <c r="AQ36" s="266">
        <f>IF($AL36="",0,'All Ticker P&amp;L'!J36*'All Ticker P&amp;L'!I36)</f>
        <v>0</v>
      </c>
      <c r="AR36" s="266">
        <f>IF($AL36="",0,'All Ticker P&amp;L'!L36)</f>
        <v>0</v>
      </c>
      <c r="AS36" s="267">
        <f>IF($AL36="",0,'All Ticker P&amp;L'!M36)</f>
        <v>0</v>
      </c>
      <c r="AT36" s="243" t="str">
        <f>IF($AL36="","",RANK(AR36,$AR$2:$AR$1001)+COUNTIF($AR$2:AR36,AR36)-1)</f>
        <v/>
      </c>
      <c r="AU36" s="243" t="str">
        <f>IF($AL36="","",RANK(AV36,$AV$2:$AV$1001)+COUNTIF($AV$2:AV36,AV36)-1)</f>
        <v/>
      </c>
      <c r="AV36" s="266">
        <f t="shared" si="1"/>
        <v>0</v>
      </c>
    </row>
    <row r="37" spans="1:48" ht="15" customHeight="1" x14ac:dyDescent="0.2">
      <c r="A37" s="271">
        <v>3</v>
      </c>
      <c r="B37" s="271" t="str">
        <f t="shared" si="12"/>
        <v>CG:BITCOIN:USD</v>
      </c>
      <c r="C37" s="271" t="str">
        <f t="shared" si="13"/>
        <v>CG</v>
      </c>
      <c r="D37" s="271" t="str">
        <f t="shared" si="14"/>
        <v>USD</v>
      </c>
      <c r="E37" s="275">
        <f t="shared" si="15"/>
        <v>0.1</v>
      </c>
      <c r="F37" s="272">
        <f t="shared" si="16"/>
        <v>10860.836963969468</v>
      </c>
      <c r="G37" s="273">
        <f t="shared" si="17"/>
        <v>4.5410627027027033</v>
      </c>
      <c r="H37" s="271" t="str">
        <f t="shared" si="18"/>
        <v>Open</v>
      </c>
      <c r="J37" s="271">
        <v>3</v>
      </c>
      <c r="K37" s="271" t="str">
        <f t="shared" si="19"/>
        <v/>
      </c>
      <c r="L37" s="271" t="str">
        <f t="shared" si="20"/>
        <v/>
      </c>
      <c r="M37" s="271" t="str">
        <f t="shared" si="21"/>
        <v/>
      </c>
      <c r="N37" s="275" t="str">
        <f t="shared" si="22"/>
        <v/>
      </c>
      <c r="O37" s="272" t="str">
        <f t="shared" si="23"/>
        <v/>
      </c>
      <c r="P37" s="273" t="str">
        <f t="shared" si="24"/>
        <v/>
      </c>
      <c r="Q37" s="271" t="str">
        <f t="shared" si="25"/>
        <v/>
      </c>
      <c r="Z37" s="243" t="str">
        <f>Shares!A37</f>
        <v/>
      </c>
      <c r="AA37" s="243" t="str">
        <f>Shares!B37</f>
        <v/>
      </c>
      <c r="AB37" s="243" t="str">
        <f>Shares!C37</f>
        <v/>
      </c>
      <c r="AC37" s="243" t="str">
        <f>Shares!D37</f>
        <v/>
      </c>
      <c r="AD37" s="265">
        <f>IF($Z37="",0,Shares!E37)</f>
        <v>0</v>
      </c>
      <c r="AE37" s="266">
        <f>IF($Z37="",0,Shares!J37*Shares!I37)</f>
        <v>0</v>
      </c>
      <c r="AF37" s="267">
        <f t="shared" si="0"/>
        <v>0</v>
      </c>
      <c r="AG37" s="266">
        <f>IF($Z37="",0,Shares!L37)</f>
        <v>0</v>
      </c>
      <c r="AH37" s="267">
        <f>IF($Z37="",0,Shares!M37)</f>
        <v>0</v>
      </c>
      <c r="AI37" s="243" t="str">
        <f>IF($Z37="","",RANK(AE37,$AE$2:$AE$1001)+COUNTIF($AE$2:AE37,AE37)-1)</f>
        <v/>
      </c>
      <c r="AJ37" s="243" t="str">
        <f>IF($AD37&lt;0,COUNT($AJ$1:AJ36)+1,"")</f>
        <v/>
      </c>
      <c r="AL37" s="243" t="str">
        <f>'All Ticker P&amp;L'!A37</f>
        <v/>
      </c>
      <c r="AM37" s="243" t="str">
        <f>'All Ticker P&amp;L'!B37</f>
        <v/>
      </c>
      <c r="AN37" s="243" t="str">
        <f>'All Ticker P&amp;L'!C37</f>
        <v/>
      </c>
      <c r="AO37" s="243" t="str">
        <f>'All Ticker P&amp;L'!D37</f>
        <v/>
      </c>
      <c r="AP37" s="265">
        <f>IF($AL37="",0,'All Ticker P&amp;L'!E37)</f>
        <v>0</v>
      </c>
      <c r="AQ37" s="266">
        <f>IF($AL37="",0,'All Ticker P&amp;L'!J37*'All Ticker P&amp;L'!I37)</f>
        <v>0</v>
      </c>
      <c r="AR37" s="266">
        <f>IF($AL37="",0,'All Ticker P&amp;L'!L37)</f>
        <v>0</v>
      </c>
      <c r="AS37" s="267">
        <f>IF($AL37="",0,'All Ticker P&amp;L'!M37)</f>
        <v>0</v>
      </c>
      <c r="AT37" s="243" t="str">
        <f>IF($AL37="","",RANK(AR37,$AR$2:$AR$1001)+COUNTIF($AR$2:AR37,AR37)-1)</f>
        <v/>
      </c>
      <c r="AU37" s="243" t="str">
        <f>IF($AL37="","",RANK(AV37,$AV$2:$AV$1001)+COUNTIF($AV$2:AV37,AV37)-1)</f>
        <v/>
      </c>
      <c r="AV37" s="266">
        <f t="shared" si="1"/>
        <v>0</v>
      </c>
    </row>
    <row r="38" spans="1:48" ht="15" customHeight="1" x14ac:dyDescent="0.2">
      <c r="A38" s="271">
        <v>4</v>
      </c>
      <c r="B38" s="271" t="str">
        <f t="shared" si="12"/>
        <v>USX:AAPL:USD</v>
      </c>
      <c r="C38" s="271" t="str">
        <f t="shared" si="13"/>
        <v>USX</v>
      </c>
      <c r="D38" s="271" t="str">
        <f t="shared" si="14"/>
        <v>USD</v>
      </c>
      <c r="E38" s="275">
        <f t="shared" si="15"/>
        <v>80</v>
      </c>
      <c r="F38" s="272">
        <f t="shared" si="16"/>
        <v>8907.4478675130504</v>
      </c>
      <c r="G38" s="273">
        <f t="shared" si="17"/>
        <v>0.75631174533479695</v>
      </c>
      <c r="H38" s="271" t="str">
        <f t="shared" si="18"/>
        <v>Open</v>
      </c>
      <c r="J38" s="271">
        <v>4</v>
      </c>
      <c r="K38" s="271" t="str">
        <f t="shared" si="19"/>
        <v/>
      </c>
      <c r="L38" s="271" t="str">
        <f t="shared" si="20"/>
        <v/>
      </c>
      <c r="M38" s="271" t="str">
        <f t="shared" si="21"/>
        <v/>
      </c>
      <c r="N38" s="275" t="str">
        <f t="shared" si="22"/>
        <v/>
      </c>
      <c r="O38" s="272" t="str">
        <f t="shared" si="23"/>
        <v/>
      </c>
      <c r="P38" s="273" t="str">
        <f t="shared" si="24"/>
        <v/>
      </c>
      <c r="Q38" s="271" t="str">
        <f t="shared" si="25"/>
        <v/>
      </c>
      <c r="Z38" s="243" t="str">
        <f>Shares!A38</f>
        <v/>
      </c>
      <c r="AA38" s="243" t="str">
        <f>Shares!B38</f>
        <v/>
      </c>
      <c r="AB38" s="243" t="str">
        <f>Shares!C38</f>
        <v/>
      </c>
      <c r="AC38" s="243" t="str">
        <f>Shares!D38</f>
        <v/>
      </c>
      <c r="AD38" s="265">
        <f>IF($Z38="",0,Shares!E38)</f>
        <v>0</v>
      </c>
      <c r="AE38" s="266">
        <f>IF($Z38="",0,Shares!J38*Shares!I38)</f>
        <v>0</v>
      </c>
      <c r="AF38" s="267">
        <f t="shared" si="0"/>
        <v>0</v>
      </c>
      <c r="AG38" s="266">
        <f>IF($Z38="",0,Shares!L38)</f>
        <v>0</v>
      </c>
      <c r="AH38" s="267">
        <f>IF($Z38="",0,Shares!M38)</f>
        <v>0</v>
      </c>
      <c r="AI38" s="243" t="str">
        <f>IF($Z38="","",RANK(AE38,$AE$2:$AE$1001)+COUNTIF($AE$2:AE38,AE38)-1)</f>
        <v/>
      </c>
      <c r="AJ38" s="243" t="str">
        <f>IF($AD38&lt;0,COUNT($AJ$1:AJ37)+1,"")</f>
        <v/>
      </c>
      <c r="AL38" s="243" t="str">
        <f>'All Ticker P&amp;L'!A38</f>
        <v/>
      </c>
      <c r="AM38" s="243" t="str">
        <f>'All Ticker P&amp;L'!B38</f>
        <v/>
      </c>
      <c r="AN38" s="243" t="str">
        <f>'All Ticker P&amp;L'!C38</f>
        <v/>
      </c>
      <c r="AO38" s="243" t="str">
        <f>'All Ticker P&amp;L'!D38</f>
        <v/>
      </c>
      <c r="AP38" s="265">
        <f>IF($AL38="",0,'All Ticker P&amp;L'!E38)</f>
        <v>0</v>
      </c>
      <c r="AQ38" s="266">
        <f>IF($AL38="",0,'All Ticker P&amp;L'!J38*'All Ticker P&amp;L'!I38)</f>
        <v>0</v>
      </c>
      <c r="AR38" s="266">
        <f>IF($AL38="",0,'All Ticker P&amp;L'!L38)</f>
        <v>0</v>
      </c>
      <c r="AS38" s="267">
        <f>IF($AL38="",0,'All Ticker P&amp;L'!M38)</f>
        <v>0</v>
      </c>
      <c r="AT38" s="243" t="str">
        <f>IF($AL38="","",RANK(AR38,$AR$2:$AR$1001)+COUNTIF($AR$2:AR38,AR38)-1)</f>
        <v/>
      </c>
      <c r="AU38" s="243" t="str">
        <f>IF($AL38="","",RANK(AV38,$AV$2:$AV$1001)+COUNTIF($AV$2:AV38,AV38)-1)</f>
        <v/>
      </c>
      <c r="AV38" s="266">
        <f t="shared" si="1"/>
        <v>0</v>
      </c>
    </row>
    <row r="39" spans="1:48" ht="15" customHeight="1" x14ac:dyDescent="0.2">
      <c r="A39" s="271">
        <v>5</v>
      </c>
      <c r="B39" s="271" t="str">
        <f t="shared" si="12"/>
        <v>USX:MSFT:USD</v>
      </c>
      <c r="C39" s="271" t="str">
        <f t="shared" si="13"/>
        <v>USX</v>
      </c>
      <c r="D39" s="271" t="str">
        <f t="shared" si="14"/>
        <v>USD</v>
      </c>
      <c r="E39" s="275">
        <f t="shared" si="15"/>
        <v>20</v>
      </c>
      <c r="F39" s="272">
        <f t="shared" si="16"/>
        <v>4906.2067717288865</v>
      </c>
      <c r="G39" s="273">
        <f t="shared" si="17"/>
        <v>0.82410423452768733</v>
      </c>
      <c r="H39" s="271" t="str">
        <f t="shared" si="18"/>
        <v>Open</v>
      </c>
      <c r="J39" s="271">
        <v>5</v>
      </c>
      <c r="K39" s="271" t="str">
        <f t="shared" si="19"/>
        <v/>
      </c>
      <c r="L39" s="271" t="str">
        <f t="shared" si="20"/>
        <v/>
      </c>
      <c r="M39" s="271" t="str">
        <f t="shared" si="21"/>
        <v/>
      </c>
      <c r="N39" s="275" t="str">
        <f t="shared" si="22"/>
        <v/>
      </c>
      <c r="O39" s="272" t="str">
        <f t="shared" si="23"/>
        <v/>
      </c>
      <c r="P39" s="273" t="str">
        <f t="shared" si="24"/>
        <v/>
      </c>
      <c r="Q39" s="271" t="str">
        <f t="shared" si="25"/>
        <v/>
      </c>
      <c r="Z39" s="243" t="str">
        <f>Shares!A39</f>
        <v/>
      </c>
      <c r="AA39" s="243" t="str">
        <f>Shares!B39</f>
        <v/>
      </c>
      <c r="AB39" s="243" t="str">
        <f>Shares!C39</f>
        <v/>
      </c>
      <c r="AC39" s="243" t="str">
        <f>Shares!D39</f>
        <v/>
      </c>
      <c r="AD39" s="265">
        <f>IF($Z39="",0,Shares!E39)</f>
        <v>0</v>
      </c>
      <c r="AE39" s="266">
        <f>IF($Z39="",0,Shares!J39*Shares!I39)</f>
        <v>0</v>
      </c>
      <c r="AF39" s="267">
        <f t="shared" si="0"/>
        <v>0</v>
      </c>
      <c r="AG39" s="266">
        <f>IF($Z39="",0,Shares!L39)</f>
        <v>0</v>
      </c>
      <c r="AH39" s="267">
        <f>IF($Z39="",0,Shares!M39)</f>
        <v>0</v>
      </c>
      <c r="AI39" s="243" t="str">
        <f>IF($Z39="","",RANK(AE39,$AE$2:$AE$1001)+COUNTIF($AE$2:AE39,AE39)-1)</f>
        <v/>
      </c>
      <c r="AJ39" s="243" t="str">
        <f>IF($AD39&lt;0,COUNT($AJ$1:AJ38)+1,"")</f>
        <v/>
      </c>
      <c r="AL39" s="243" t="str">
        <f>'All Ticker P&amp;L'!A39</f>
        <v/>
      </c>
      <c r="AM39" s="243" t="str">
        <f>'All Ticker P&amp;L'!B39</f>
        <v/>
      </c>
      <c r="AN39" s="243" t="str">
        <f>'All Ticker P&amp;L'!C39</f>
        <v/>
      </c>
      <c r="AO39" s="243" t="str">
        <f>'All Ticker P&amp;L'!D39</f>
        <v/>
      </c>
      <c r="AP39" s="265">
        <f>IF($AL39="",0,'All Ticker P&amp;L'!E39)</f>
        <v>0</v>
      </c>
      <c r="AQ39" s="266">
        <f>IF($AL39="",0,'All Ticker P&amp;L'!J39*'All Ticker P&amp;L'!I39)</f>
        <v>0</v>
      </c>
      <c r="AR39" s="266">
        <f>IF($AL39="",0,'All Ticker P&amp;L'!L39)</f>
        <v>0</v>
      </c>
      <c r="AS39" s="267">
        <f>IF($AL39="",0,'All Ticker P&amp;L'!M39)</f>
        <v>0</v>
      </c>
      <c r="AT39" s="243" t="str">
        <f>IF($AL39="","",RANK(AR39,$AR$2:$AR$1001)+COUNTIF($AR$2:AR39,AR39)-1)</f>
        <v/>
      </c>
      <c r="AU39" s="243" t="str">
        <f>IF($AL39="","",RANK(AV39,$AV$2:$AV$1001)+COUNTIF($AV$2:AV39,AV39)-1)</f>
        <v/>
      </c>
      <c r="AV39" s="266">
        <f t="shared" si="1"/>
        <v>0</v>
      </c>
    </row>
    <row r="40" spans="1:48" ht="15" customHeight="1" x14ac:dyDescent="0.2">
      <c r="A40" s="271">
        <v>6</v>
      </c>
      <c r="B40" s="271" t="str">
        <f t="shared" si="12"/>
        <v>SGX:Z74:SGD</v>
      </c>
      <c r="C40" s="271" t="str">
        <f t="shared" si="13"/>
        <v>SGX</v>
      </c>
      <c r="D40" s="271" t="str">
        <f t="shared" si="14"/>
        <v>SGD</v>
      </c>
      <c r="E40" s="275">
        <f t="shared" si="15"/>
        <v>3000</v>
      </c>
      <c r="F40" s="272">
        <f t="shared" si="16"/>
        <v>2135</v>
      </c>
      <c r="G40" s="273">
        <f t="shared" si="17"/>
        <v>0.22895442359249329</v>
      </c>
      <c r="H40" s="271" t="str">
        <f t="shared" si="18"/>
        <v>Open</v>
      </c>
      <c r="J40" s="271">
        <v>6</v>
      </c>
      <c r="K40" s="271" t="str">
        <f t="shared" si="19"/>
        <v/>
      </c>
      <c r="L40" s="271" t="str">
        <f t="shared" si="20"/>
        <v/>
      </c>
      <c r="M40" s="271" t="str">
        <f t="shared" si="21"/>
        <v/>
      </c>
      <c r="N40" s="275" t="str">
        <f t="shared" si="22"/>
        <v/>
      </c>
      <c r="O40" s="272" t="str">
        <f t="shared" si="23"/>
        <v/>
      </c>
      <c r="P40" s="273" t="str">
        <f t="shared" si="24"/>
        <v/>
      </c>
      <c r="Q40" s="271" t="str">
        <f t="shared" si="25"/>
        <v/>
      </c>
      <c r="Z40" s="243" t="str">
        <f>Shares!A40</f>
        <v/>
      </c>
      <c r="AA40" s="243" t="str">
        <f>Shares!B40</f>
        <v/>
      </c>
      <c r="AB40" s="243" t="str">
        <f>Shares!C40</f>
        <v/>
      </c>
      <c r="AC40" s="243" t="str">
        <f>Shares!D40</f>
        <v/>
      </c>
      <c r="AD40" s="265">
        <f>IF($Z40="",0,Shares!E40)</f>
        <v>0</v>
      </c>
      <c r="AE40" s="266">
        <f>IF($Z40="",0,Shares!J40*Shares!I40)</f>
        <v>0</v>
      </c>
      <c r="AF40" s="267">
        <f t="shared" si="0"/>
        <v>0</v>
      </c>
      <c r="AG40" s="266">
        <f>IF($Z40="",0,Shares!L40)</f>
        <v>0</v>
      </c>
      <c r="AH40" s="267">
        <f>IF($Z40="",0,Shares!M40)</f>
        <v>0</v>
      </c>
      <c r="AI40" s="243" t="str">
        <f>IF($Z40="","",RANK(AE40,$AE$2:$AE$1001)+COUNTIF($AE$2:AE40,AE40)-1)</f>
        <v/>
      </c>
      <c r="AJ40" s="243" t="str">
        <f>IF($AD40&lt;0,COUNT($AJ$1:AJ39)+1,"")</f>
        <v/>
      </c>
      <c r="AL40" s="243" t="str">
        <f>'All Ticker P&amp;L'!A40</f>
        <v/>
      </c>
      <c r="AM40" s="243" t="str">
        <f>'All Ticker P&amp;L'!B40</f>
        <v/>
      </c>
      <c r="AN40" s="243" t="str">
        <f>'All Ticker P&amp;L'!C40</f>
        <v/>
      </c>
      <c r="AO40" s="243" t="str">
        <f>'All Ticker P&amp;L'!D40</f>
        <v/>
      </c>
      <c r="AP40" s="265">
        <f>IF($AL40="",0,'All Ticker P&amp;L'!E40)</f>
        <v>0</v>
      </c>
      <c r="AQ40" s="266">
        <f>IF($AL40="",0,'All Ticker P&amp;L'!J40*'All Ticker P&amp;L'!I40)</f>
        <v>0</v>
      </c>
      <c r="AR40" s="266">
        <f>IF($AL40="",0,'All Ticker P&amp;L'!L40)</f>
        <v>0</v>
      </c>
      <c r="AS40" s="267">
        <f>IF($AL40="",0,'All Ticker P&amp;L'!M40)</f>
        <v>0</v>
      </c>
      <c r="AT40" s="243" t="str">
        <f>IF($AL40="","",RANK(AR40,$AR$2:$AR$1001)+COUNTIF($AR$2:AR40,AR40)-1)</f>
        <v/>
      </c>
      <c r="AU40" s="243" t="str">
        <f>IF($AL40="","",RANK(AV40,$AV$2:$AV$1001)+COUNTIF($AV$2:AV40,AV40)-1)</f>
        <v/>
      </c>
      <c r="AV40" s="266">
        <f t="shared" si="1"/>
        <v>0</v>
      </c>
    </row>
    <row r="41" spans="1:48" ht="15" customHeight="1" x14ac:dyDescent="0.2">
      <c r="A41" s="271">
        <v>7</v>
      </c>
      <c r="B41" s="271" t="str">
        <f t="shared" si="12"/>
        <v>SGX:CLR:SGD</v>
      </c>
      <c r="C41" s="271" t="str">
        <f t="shared" si="13"/>
        <v>SGX</v>
      </c>
      <c r="D41" s="271" t="str">
        <f t="shared" si="14"/>
        <v>SGD</v>
      </c>
      <c r="E41" s="275">
        <f t="shared" si="15"/>
        <v>10000</v>
      </c>
      <c r="F41" s="272">
        <f t="shared" si="16"/>
        <v>1124.9999999999991</v>
      </c>
      <c r="G41" s="273">
        <f t="shared" si="17"/>
        <v>0.16014234875444827</v>
      </c>
      <c r="H41" s="271" t="str">
        <f t="shared" si="18"/>
        <v>Open</v>
      </c>
      <c r="J41" s="271">
        <v>7</v>
      </c>
      <c r="K41" s="271" t="str">
        <f t="shared" si="19"/>
        <v/>
      </c>
      <c r="L41" s="271" t="str">
        <f t="shared" si="20"/>
        <v/>
      </c>
      <c r="M41" s="271" t="str">
        <f t="shared" si="21"/>
        <v/>
      </c>
      <c r="N41" s="275" t="str">
        <f t="shared" si="22"/>
        <v/>
      </c>
      <c r="O41" s="272" t="str">
        <f t="shared" si="23"/>
        <v/>
      </c>
      <c r="P41" s="273" t="str">
        <f t="shared" si="24"/>
        <v/>
      </c>
      <c r="Q41" s="271" t="str">
        <f t="shared" si="25"/>
        <v/>
      </c>
      <c r="Z41" s="243" t="str">
        <f>Shares!A41</f>
        <v/>
      </c>
      <c r="AA41" s="243" t="str">
        <f>Shares!B41</f>
        <v/>
      </c>
      <c r="AB41" s="243" t="str">
        <f>Shares!C41</f>
        <v/>
      </c>
      <c r="AC41" s="243" t="str">
        <f>Shares!D41</f>
        <v/>
      </c>
      <c r="AD41" s="265">
        <f>IF($Z41="",0,Shares!E41)</f>
        <v>0</v>
      </c>
      <c r="AE41" s="266">
        <f>IF($Z41="",0,Shares!J41*Shares!I41)</f>
        <v>0</v>
      </c>
      <c r="AF41" s="267">
        <f t="shared" si="0"/>
        <v>0</v>
      </c>
      <c r="AG41" s="266">
        <f>IF($Z41="",0,Shares!L41)</f>
        <v>0</v>
      </c>
      <c r="AH41" s="267">
        <f>IF($Z41="",0,Shares!M41)</f>
        <v>0</v>
      </c>
      <c r="AI41" s="243" t="str">
        <f>IF($Z41="","",RANK(AE41,$AE$2:$AE$1001)+COUNTIF($AE$2:AE41,AE41)-1)</f>
        <v/>
      </c>
      <c r="AJ41" s="243" t="str">
        <f>IF($AD41&lt;0,COUNT($AJ$1:AJ40)+1,"")</f>
        <v/>
      </c>
      <c r="AL41" s="243" t="str">
        <f>'All Ticker P&amp;L'!A41</f>
        <v/>
      </c>
      <c r="AM41" s="243" t="str">
        <f>'All Ticker P&amp;L'!B41</f>
        <v/>
      </c>
      <c r="AN41" s="243" t="str">
        <f>'All Ticker P&amp;L'!C41</f>
        <v/>
      </c>
      <c r="AO41" s="243" t="str">
        <f>'All Ticker P&amp;L'!D41</f>
        <v/>
      </c>
      <c r="AP41" s="265">
        <f>IF($AL41="",0,'All Ticker P&amp;L'!E41)</f>
        <v>0</v>
      </c>
      <c r="AQ41" s="266">
        <f>IF($AL41="",0,'All Ticker P&amp;L'!J41*'All Ticker P&amp;L'!I41)</f>
        <v>0</v>
      </c>
      <c r="AR41" s="266">
        <f>IF($AL41="",0,'All Ticker P&amp;L'!L41)</f>
        <v>0</v>
      </c>
      <c r="AS41" s="267">
        <f>IF($AL41="",0,'All Ticker P&amp;L'!M41)</f>
        <v>0</v>
      </c>
      <c r="AT41" s="243" t="str">
        <f>IF($AL41="","",RANK(AR41,$AR$2:$AR$1001)+COUNTIF($AR$2:AR41,AR41)-1)</f>
        <v/>
      </c>
      <c r="AU41" s="243" t="str">
        <f>IF($AL41="","",RANK(AV41,$AV$2:$AV$1001)+COUNTIF($AV$2:AV41,AV41)-1)</f>
        <v/>
      </c>
      <c r="AV41" s="266">
        <f t="shared" si="1"/>
        <v>0</v>
      </c>
    </row>
    <row r="42" spans="1:48" ht="15" customHeight="1" x14ac:dyDescent="0.2">
      <c r="A42" s="271">
        <v>8</v>
      </c>
      <c r="B42" s="271" t="str">
        <f t="shared" si="12"/>
        <v>SGX:C38U:SGD</v>
      </c>
      <c r="C42" s="271" t="str">
        <f t="shared" si="13"/>
        <v>SGX</v>
      </c>
      <c r="D42" s="271" t="str">
        <f t="shared" si="14"/>
        <v>SGD</v>
      </c>
      <c r="E42" s="275">
        <f t="shared" si="15"/>
        <v>8000</v>
      </c>
      <c r="F42" s="272">
        <f t="shared" si="16"/>
        <v>170</v>
      </c>
      <c r="G42" s="273">
        <f t="shared" si="17"/>
        <v>1.0526315789473684E-2</v>
      </c>
      <c r="H42" s="271" t="str">
        <f t="shared" si="18"/>
        <v>Open</v>
      </c>
      <c r="J42" s="271">
        <v>8</v>
      </c>
      <c r="K42" s="271" t="str">
        <f t="shared" si="19"/>
        <v/>
      </c>
      <c r="L42" s="271" t="str">
        <f t="shared" si="20"/>
        <v/>
      </c>
      <c r="M42" s="271" t="str">
        <f t="shared" si="21"/>
        <v/>
      </c>
      <c r="N42" s="275" t="str">
        <f t="shared" si="22"/>
        <v/>
      </c>
      <c r="O42" s="272" t="str">
        <f t="shared" si="23"/>
        <v/>
      </c>
      <c r="P42" s="273" t="str">
        <f t="shared" si="24"/>
        <v/>
      </c>
      <c r="Q42" s="271" t="str">
        <f t="shared" si="25"/>
        <v/>
      </c>
      <c r="Z42" s="243" t="str">
        <f>Shares!A42</f>
        <v/>
      </c>
      <c r="AA42" s="243" t="str">
        <f>Shares!B42</f>
        <v/>
      </c>
      <c r="AB42" s="243" t="str">
        <f>Shares!C42</f>
        <v/>
      </c>
      <c r="AC42" s="243" t="str">
        <f>Shares!D42</f>
        <v/>
      </c>
      <c r="AD42" s="265">
        <f>IF($Z42="",0,Shares!E42)</f>
        <v>0</v>
      </c>
      <c r="AE42" s="266">
        <f>IF($Z42="",0,Shares!J42*Shares!I42)</f>
        <v>0</v>
      </c>
      <c r="AF42" s="267">
        <f t="shared" si="0"/>
        <v>0</v>
      </c>
      <c r="AG42" s="266">
        <f>IF($Z42="",0,Shares!L42)</f>
        <v>0</v>
      </c>
      <c r="AH42" s="267">
        <f>IF($Z42="",0,Shares!M42)</f>
        <v>0</v>
      </c>
      <c r="AI42" s="243" t="str">
        <f>IF($Z42="","",RANK(AE42,$AE$2:$AE$1001)+COUNTIF($AE$2:AE42,AE42)-1)</f>
        <v/>
      </c>
      <c r="AJ42" s="243" t="str">
        <f>IF($AD42&lt;0,COUNT($AJ$1:AJ41)+1,"")</f>
        <v/>
      </c>
      <c r="AL42" s="243" t="str">
        <f>'All Ticker P&amp;L'!A42</f>
        <v/>
      </c>
      <c r="AM42" s="243" t="str">
        <f>'All Ticker P&amp;L'!B42</f>
        <v/>
      </c>
      <c r="AN42" s="243" t="str">
        <f>'All Ticker P&amp;L'!C42</f>
        <v/>
      </c>
      <c r="AO42" s="243" t="str">
        <f>'All Ticker P&amp;L'!D42</f>
        <v/>
      </c>
      <c r="AP42" s="265">
        <f>IF($AL42="",0,'All Ticker P&amp;L'!E42)</f>
        <v>0</v>
      </c>
      <c r="AQ42" s="266">
        <f>IF($AL42="",0,'All Ticker P&amp;L'!J42*'All Ticker P&amp;L'!I42)</f>
        <v>0</v>
      </c>
      <c r="AR42" s="266">
        <f>IF($AL42="",0,'All Ticker P&amp;L'!L42)</f>
        <v>0</v>
      </c>
      <c r="AS42" s="267">
        <f>IF($AL42="",0,'All Ticker P&amp;L'!M42)</f>
        <v>0</v>
      </c>
      <c r="AT42" s="243" t="str">
        <f>IF($AL42="","",RANK(AR42,$AR$2:$AR$1001)+COUNTIF($AR$2:AR42,AR42)-1)</f>
        <v/>
      </c>
      <c r="AU42" s="243" t="str">
        <f>IF($AL42="","",RANK(AV42,$AV$2:$AV$1001)+COUNTIF($AV$2:AV42,AV42)-1)</f>
        <v/>
      </c>
      <c r="AV42" s="266">
        <f t="shared" si="1"/>
        <v>0</v>
      </c>
    </row>
    <row r="43" spans="1:48" ht="15" customHeight="1" x14ac:dyDescent="0.2">
      <c r="A43" s="271">
        <v>9</v>
      </c>
      <c r="B43" s="271" t="str">
        <f t="shared" si="12"/>
        <v/>
      </c>
      <c r="C43" s="271" t="str">
        <f t="shared" si="13"/>
        <v/>
      </c>
      <c r="D43" s="271" t="str">
        <f t="shared" si="14"/>
        <v/>
      </c>
      <c r="E43" s="275" t="str">
        <f t="shared" si="15"/>
        <v/>
      </c>
      <c r="F43" s="272" t="str">
        <f t="shared" si="16"/>
        <v/>
      </c>
      <c r="G43" s="273" t="str">
        <f t="shared" si="17"/>
        <v/>
      </c>
      <c r="H43" s="271" t="str">
        <f t="shared" si="18"/>
        <v/>
      </c>
      <c r="J43" s="271">
        <v>9</v>
      </c>
      <c r="K43" s="271" t="str">
        <f t="shared" si="19"/>
        <v/>
      </c>
      <c r="L43" s="271" t="str">
        <f t="shared" si="20"/>
        <v/>
      </c>
      <c r="M43" s="271" t="str">
        <f t="shared" si="21"/>
        <v/>
      </c>
      <c r="N43" s="275" t="str">
        <f t="shared" si="22"/>
        <v/>
      </c>
      <c r="O43" s="272" t="str">
        <f t="shared" si="23"/>
        <v/>
      </c>
      <c r="P43" s="273" t="str">
        <f t="shared" si="24"/>
        <v/>
      </c>
      <c r="Q43" s="271" t="str">
        <f t="shared" si="25"/>
        <v/>
      </c>
      <c r="Z43" s="243" t="str">
        <f>Shares!A43</f>
        <v/>
      </c>
      <c r="AA43" s="243" t="str">
        <f>Shares!B43</f>
        <v/>
      </c>
      <c r="AB43" s="243" t="str">
        <f>Shares!C43</f>
        <v/>
      </c>
      <c r="AC43" s="243" t="str">
        <f>Shares!D43</f>
        <v/>
      </c>
      <c r="AD43" s="265">
        <f>IF($Z43="",0,Shares!E43)</f>
        <v>0</v>
      </c>
      <c r="AE43" s="266">
        <f>IF($Z43="",0,Shares!J43*Shares!I43)</f>
        <v>0</v>
      </c>
      <c r="AF43" s="267">
        <f t="shared" si="0"/>
        <v>0</v>
      </c>
      <c r="AG43" s="266">
        <f>IF($Z43="",0,Shares!L43)</f>
        <v>0</v>
      </c>
      <c r="AH43" s="267">
        <f>IF($Z43="",0,Shares!M43)</f>
        <v>0</v>
      </c>
      <c r="AI43" s="243" t="str">
        <f>IF($Z43="","",RANK(AE43,$AE$2:$AE$1001)+COUNTIF($AE$2:AE43,AE43)-1)</f>
        <v/>
      </c>
      <c r="AJ43" s="243" t="str">
        <f>IF($AD43&lt;0,COUNT($AJ$1:AJ42)+1,"")</f>
        <v/>
      </c>
      <c r="AL43" s="243" t="str">
        <f>'All Ticker P&amp;L'!A43</f>
        <v/>
      </c>
      <c r="AM43" s="243" t="str">
        <f>'All Ticker P&amp;L'!B43</f>
        <v/>
      </c>
      <c r="AN43" s="243" t="str">
        <f>'All Ticker P&amp;L'!C43</f>
        <v/>
      </c>
      <c r="AO43" s="243" t="str">
        <f>'All Ticker P&amp;L'!D43</f>
        <v/>
      </c>
      <c r="AP43" s="265">
        <f>IF($AL43="",0,'All Ticker P&amp;L'!E43)</f>
        <v>0</v>
      </c>
      <c r="AQ43" s="266">
        <f>IF($AL43="",0,'All Ticker P&amp;L'!J43*'All Ticker P&amp;L'!I43)</f>
        <v>0</v>
      </c>
      <c r="AR43" s="266">
        <f>IF($AL43="",0,'All Ticker P&amp;L'!L43)</f>
        <v>0</v>
      </c>
      <c r="AS43" s="267">
        <f>IF($AL43="",0,'All Ticker P&amp;L'!M43)</f>
        <v>0</v>
      </c>
      <c r="AT43" s="243" t="str">
        <f>IF($AL43="","",RANK(AR43,$AR$2:$AR$1001)+COUNTIF($AR$2:AR43,AR43)-1)</f>
        <v/>
      </c>
      <c r="AU43" s="243" t="str">
        <f>IF($AL43="","",RANK(AV43,$AV$2:$AV$1001)+COUNTIF($AV$2:AV43,AV43)-1)</f>
        <v/>
      </c>
      <c r="AV43" s="266">
        <f t="shared" si="1"/>
        <v>0</v>
      </c>
    </row>
    <row r="44" spans="1:48" ht="15" customHeight="1" x14ac:dyDescent="0.2">
      <c r="A44" s="271">
        <v>10</v>
      </c>
      <c r="B44" s="271" t="str">
        <f t="shared" si="12"/>
        <v/>
      </c>
      <c r="C44" s="271" t="str">
        <f t="shared" si="13"/>
        <v/>
      </c>
      <c r="D44" s="271" t="str">
        <f t="shared" si="14"/>
        <v/>
      </c>
      <c r="E44" s="275" t="str">
        <f t="shared" si="15"/>
        <v/>
      </c>
      <c r="F44" s="272" t="str">
        <f t="shared" si="16"/>
        <v/>
      </c>
      <c r="G44" s="273" t="str">
        <f t="shared" si="17"/>
        <v/>
      </c>
      <c r="H44" s="271" t="str">
        <f t="shared" si="18"/>
        <v/>
      </c>
      <c r="J44" s="271">
        <v>10</v>
      </c>
      <c r="K44" s="271" t="str">
        <f t="shared" si="19"/>
        <v/>
      </c>
      <c r="L44" s="271" t="str">
        <f t="shared" si="20"/>
        <v/>
      </c>
      <c r="M44" s="271" t="str">
        <f t="shared" si="21"/>
        <v/>
      </c>
      <c r="N44" s="275" t="str">
        <f t="shared" si="22"/>
        <v/>
      </c>
      <c r="O44" s="272" t="str">
        <f t="shared" si="23"/>
        <v/>
      </c>
      <c r="P44" s="273" t="str">
        <f t="shared" si="24"/>
        <v/>
      </c>
      <c r="Q44" s="271" t="str">
        <f t="shared" si="25"/>
        <v/>
      </c>
      <c r="Z44" s="243" t="str">
        <f>Shares!A44</f>
        <v/>
      </c>
      <c r="AA44" s="243" t="str">
        <f>Shares!B44</f>
        <v/>
      </c>
      <c r="AB44" s="243" t="str">
        <f>Shares!C44</f>
        <v/>
      </c>
      <c r="AC44" s="243" t="str">
        <f>Shares!D44</f>
        <v/>
      </c>
      <c r="AD44" s="265">
        <f>IF($Z44="",0,Shares!E44)</f>
        <v>0</v>
      </c>
      <c r="AE44" s="266">
        <f>IF($Z44="",0,Shares!J44*Shares!I44)</f>
        <v>0</v>
      </c>
      <c r="AF44" s="267">
        <f t="shared" si="0"/>
        <v>0</v>
      </c>
      <c r="AG44" s="266">
        <f>IF($Z44="",0,Shares!L44)</f>
        <v>0</v>
      </c>
      <c r="AH44" s="267">
        <f>IF($Z44="",0,Shares!M44)</f>
        <v>0</v>
      </c>
      <c r="AI44" s="243" t="str">
        <f>IF($Z44="","",RANK(AE44,$AE$2:$AE$1001)+COUNTIF($AE$2:AE44,AE44)-1)</f>
        <v/>
      </c>
      <c r="AJ44" s="243" t="str">
        <f>IF($AD44&lt;0,COUNT($AJ$1:AJ43)+1,"")</f>
        <v/>
      </c>
      <c r="AL44" s="243" t="str">
        <f>'All Ticker P&amp;L'!A44</f>
        <v/>
      </c>
      <c r="AM44" s="243" t="str">
        <f>'All Ticker P&amp;L'!B44</f>
        <v/>
      </c>
      <c r="AN44" s="243" t="str">
        <f>'All Ticker P&amp;L'!C44</f>
        <v/>
      </c>
      <c r="AO44" s="243" t="str">
        <f>'All Ticker P&amp;L'!D44</f>
        <v/>
      </c>
      <c r="AP44" s="265">
        <f>IF($AL44="",0,'All Ticker P&amp;L'!E44)</f>
        <v>0</v>
      </c>
      <c r="AQ44" s="266">
        <f>IF($AL44="",0,'All Ticker P&amp;L'!J44*'All Ticker P&amp;L'!I44)</f>
        <v>0</v>
      </c>
      <c r="AR44" s="266">
        <f>IF($AL44="",0,'All Ticker P&amp;L'!L44)</f>
        <v>0</v>
      </c>
      <c r="AS44" s="267">
        <f>IF($AL44="",0,'All Ticker P&amp;L'!M44)</f>
        <v>0</v>
      </c>
      <c r="AT44" s="243" t="str">
        <f>IF($AL44="","",RANK(AR44,$AR$2:$AR$1001)+COUNTIF($AR$2:AR44,AR44)-1)</f>
        <v/>
      </c>
      <c r="AU44" s="243" t="str">
        <f>IF($AL44="","",RANK(AV44,$AV$2:$AV$1001)+COUNTIF($AV$2:AV44,AV44)-1)</f>
        <v/>
      </c>
      <c r="AV44" s="266">
        <f t="shared" si="1"/>
        <v>0</v>
      </c>
    </row>
    <row r="45" spans="1:48" ht="15" customHeight="1" x14ac:dyDescent="0.2">
      <c r="Z45" s="243" t="str">
        <f>Shares!A45</f>
        <v/>
      </c>
      <c r="AA45" s="243" t="str">
        <f>Shares!B45</f>
        <v/>
      </c>
      <c r="AB45" s="243" t="str">
        <f>Shares!C45</f>
        <v/>
      </c>
      <c r="AC45" s="243" t="str">
        <f>Shares!D45</f>
        <v/>
      </c>
      <c r="AD45" s="265">
        <f>IF($Z45="",0,Shares!E45)</f>
        <v>0</v>
      </c>
      <c r="AE45" s="266">
        <f>IF($Z45="",0,Shares!J45*Shares!I45)</f>
        <v>0</v>
      </c>
      <c r="AF45" s="267">
        <f t="shared" si="0"/>
        <v>0</v>
      </c>
      <c r="AG45" s="266">
        <f>IF($Z45="",0,Shares!L45)</f>
        <v>0</v>
      </c>
      <c r="AH45" s="267">
        <f>IF($Z45="",0,Shares!M45)</f>
        <v>0</v>
      </c>
      <c r="AI45" s="243" t="str">
        <f>IF($Z45="","",RANK(AE45,$AE$2:$AE$1001)+COUNTIF($AE$2:AE45,AE45)-1)</f>
        <v/>
      </c>
      <c r="AJ45" s="243" t="str">
        <f>IF($AD45&lt;0,COUNT($AJ$1:AJ44)+1,"")</f>
        <v/>
      </c>
      <c r="AL45" s="243" t="str">
        <f>'All Ticker P&amp;L'!A45</f>
        <v/>
      </c>
      <c r="AM45" s="243" t="str">
        <f>'All Ticker P&amp;L'!B45</f>
        <v/>
      </c>
      <c r="AN45" s="243" t="str">
        <f>'All Ticker P&amp;L'!C45</f>
        <v/>
      </c>
      <c r="AO45" s="243" t="str">
        <f>'All Ticker P&amp;L'!D45</f>
        <v/>
      </c>
      <c r="AP45" s="265">
        <f>IF($AL45="",0,'All Ticker P&amp;L'!E45)</f>
        <v>0</v>
      </c>
      <c r="AQ45" s="266">
        <f>IF($AL45="",0,'All Ticker P&amp;L'!J45*'All Ticker P&amp;L'!I45)</f>
        <v>0</v>
      </c>
      <c r="AR45" s="266">
        <f>IF($AL45="",0,'All Ticker P&amp;L'!L45)</f>
        <v>0</v>
      </c>
      <c r="AS45" s="267">
        <f>IF($AL45="",0,'All Ticker P&amp;L'!M45)</f>
        <v>0</v>
      </c>
      <c r="AT45" s="243" t="str">
        <f>IF($AL45="","",RANK(AR45,$AR$2:$AR$1001)+COUNTIF($AR$2:AR45,AR45)-1)</f>
        <v/>
      </c>
      <c r="AU45" s="243" t="str">
        <f>IF($AL45="","",RANK(AV45,$AV$2:$AV$1001)+COUNTIF($AV$2:AV45,AV45)-1)</f>
        <v/>
      </c>
      <c r="AV45" s="266">
        <f t="shared" si="1"/>
        <v>0</v>
      </c>
    </row>
    <row r="46" spans="1:48" ht="15" customHeight="1" x14ac:dyDescent="0.2">
      <c r="Z46" s="243" t="str">
        <f>Shares!A46</f>
        <v/>
      </c>
      <c r="AA46" s="243" t="str">
        <f>Shares!B46</f>
        <v/>
      </c>
      <c r="AB46" s="243" t="str">
        <f>Shares!C46</f>
        <v/>
      </c>
      <c r="AC46" s="243" t="str">
        <f>Shares!D46</f>
        <v/>
      </c>
      <c r="AD46" s="265">
        <f>IF($Z46="",0,Shares!E46)</f>
        <v>0</v>
      </c>
      <c r="AE46" s="266">
        <f>IF($Z46="",0,Shares!J46*Shares!I46)</f>
        <v>0</v>
      </c>
      <c r="AF46" s="267">
        <f t="shared" si="0"/>
        <v>0</v>
      </c>
      <c r="AG46" s="266">
        <f>IF($Z46="",0,Shares!L46)</f>
        <v>0</v>
      </c>
      <c r="AH46" s="267">
        <f>IF($Z46="",0,Shares!M46)</f>
        <v>0</v>
      </c>
      <c r="AI46" s="243" t="str">
        <f>IF($Z46="","",RANK(AE46,$AE$2:$AE$1001)+COUNTIF($AE$2:AE46,AE46)-1)</f>
        <v/>
      </c>
      <c r="AJ46" s="243" t="str">
        <f>IF($AD46&lt;0,COUNT($AJ$1:AJ45)+1,"")</f>
        <v/>
      </c>
      <c r="AL46" s="243" t="str">
        <f>'All Ticker P&amp;L'!A46</f>
        <v/>
      </c>
      <c r="AM46" s="243" t="str">
        <f>'All Ticker P&amp;L'!B46</f>
        <v/>
      </c>
      <c r="AN46" s="243" t="str">
        <f>'All Ticker P&amp;L'!C46</f>
        <v/>
      </c>
      <c r="AO46" s="243" t="str">
        <f>'All Ticker P&amp;L'!D46</f>
        <v/>
      </c>
      <c r="AP46" s="265">
        <f>IF($AL46="",0,'All Ticker P&amp;L'!E46)</f>
        <v>0</v>
      </c>
      <c r="AQ46" s="266">
        <f>IF($AL46="",0,'All Ticker P&amp;L'!J46*'All Ticker P&amp;L'!I46)</f>
        <v>0</v>
      </c>
      <c r="AR46" s="266">
        <f>IF($AL46="",0,'All Ticker P&amp;L'!L46)</f>
        <v>0</v>
      </c>
      <c r="AS46" s="267">
        <f>IF($AL46="",0,'All Ticker P&amp;L'!M46)</f>
        <v>0</v>
      </c>
      <c r="AT46" s="243" t="str">
        <f>IF($AL46="","",RANK(AR46,$AR$2:$AR$1001)+COUNTIF($AR$2:AR46,AR46)-1)</f>
        <v/>
      </c>
      <c r="AU46" s="243" t="str">
        <f>IF($AL46="","",RANK(AV46,$AV$2:$AV$1001)+COUNTIF($AV$2:AV46,AV46)-1)</f>
        <v/>
      </c>
      <c r="AV46" s="266">
        <f t="shared" si="1"/>
        <v>0</v>
      </c>
    </row>
    <row r="47" spans="1:48" ht="15" customHeight="1" x14ac:dyDescent="0.2">
      <c r="A47" s="268" t="s">
        <v>498</v>
      </c>
      <c r="J47" s="268" t="s">
        <v>499</v>
      </c>
      <c r="Z47" s="243" t="str">
        <f>Shares!A47</f>
        <v/>
      </c>
      <c r="AA47" s="243" t="str">
        <f>Shares!B47</f>
        <v/>
      </c>
      <c r="AB47" s="243" t="str">
        <f>Shares!C47</f>
        <v/>
      </c>
      <c r="AC47" s="243" t="str">
        <f>Shares!D47</f>
        <v/>
      </c>
      <c r="AD47" s="265">
        <f>IF($Z47="",0,Shares!E47)</f>
        <v>0</v>
      </c>
      <c r="AE47" s="266">
        <f>IF($Z47="",0,Shares!J47*Shares!I47)</f>
        <v>0</v>
      </c>
      <c r="AF47" s="267">
        <f t="shared" si="0"/>
        <v>0</v>
      </c>
      <c r="AG47" s="266">
        <f>IF($Z47="",0,Shares!L47)</f>
        <v>0</v>
      </c>
      <c r="AH47" s="267">
        <f>IF($Z47="",0,Shares!M47)</f>
        <v>0</v>
      </c>
      <c r="AI47" s="243" t="str">
        <f>IF($Z47="","",RANK(AE47,$AE$2:$AE$1001)+COUNTIF($AE$2:AE47,AE47)-1)</f>
        <v/>
      </c>
      <c r="AJ47" s="243" t="str">
        <f>IF($AD47&lt;0,COUNT($AJ$1:AJ46)+1,"")</f>
        <v/>
      </c>
      <c r="AL47" s="243" t="str">
        <f>'All Ticker P&amp;L'!A47</f>
        <v/>
      </c>
      <c r="AM47" s="243" t="str">
        <f>'All Ticker P&amp;L'!B47</f>
        <v/>
      </c>
      <c r="AN47" s="243" t="str">
        <f>'All Ticker P&amp;L'!C47</f>
        <v/>
      </c>
      <c r="AO47" s="243" t="str">
        <f>'All Ticker P&amp;L'!D47</f>
        <v/>
      </c>
      <c r="AP47" s="265">
        <f>IF($AL47="",0,'All Ticker P&amp;L'!E47)</f>
        <v>0</v>
      </c>
      <c r="AQ47" s="266">
        <f>IF($AL47="",0,'All Ticker P&amp;L'!J47*'All Ticker P&amp;L'!I47)</f>
        <v>0</v>
      </c>
      <c r="AR47" s="266">
        <f>IF($AL47="",0,'All Ticker P&amp;L'!L47)</f>
        <v>0</v>
      </c>
      <c r="AS47" s="267">
        <f>IF($AL47="",0,'All Ticker P&amp;L'!M47)</f>
        <v>0</v>
      </c>
      <c r="AT47" s="243" t="str">
        <f>IF($AL47="","",RANK(AR47,$AR$2:$AR$1001)+COUNTIF($AR$2:AR47,AR47)-1)</f>
        <v/>
      </c>
      <c r="AU47" s="243" t="str">
        <f>IF($AL47="","",RANK(AV47,$AV$2:$AV$1001)+COUNTIF($AV$2:AV47,AV47)-1)</f>
        <v/>
      </c>
      <c r="AV47" s="266">
        <f t="shared" si="1"/>
        <v>0</v>
      </c>
    </row>
    <row r="48" spans="1:48" ht="15" customHeight="1" x14ac:dyDescent="0.2">
      <c r="A48" s="269" t="s">
        <v>472</v>
      </c>
      <c r="B48" s="269" t="s">
        <v>395</v>
      </c>
      <c r="C48" s="269" t="s">
        <v>387</v>
      </c>
      <c r="D48" s="269" t="s">
        <v>390</v>
      </c>
      <c r="E48" s="269" t="s">
        <v>496</v>
      </c>
      <c r="F48" s="269" t="s">
        <v>473</v>
      </c>
      <c r="G48" s="269" t="s">
        <v>475</v>
      </c>
      <c r="H48" s="269" t="s">
        <v>474</v>
      </c>
      <c r="J48" s="269" t="s">
        <v>485</v>
      </c>
      <c r="K48" s="276">
        <f>$B$13</f>
        <v>0</v>
      </c>
      <c r="Z48" s="243" t="str">
        <f>Shares!A48</f>
        <v/>
      </c>
      <c r="AA48" s="243" t="str">
        <f>Shares!B48</f>
        <v/>
      </c>
      <c r="AB48" s="243" t="str">
        <f>Shares!C48</f>
        <v/>
      </c>
      <c r="AC48" s="243" t="str">
        <f>Shares!D48</f>
        <v/>
      </c>
      <c r="AD48" s="265">
        <f>IF($Z48="",0,Shares!E48)</f>
        <v>0</v>
      </c>
      <c r="AE48" s="266">
        <f>IF($Z48="",0,Shares!J48*Shares!I48)</f>
        <v>0</v>
      </c>
      <c r="AF48" s="267">
        <f t="shared" si="0"/>
        <v>0</v>
      </c>
      <c r="AG48" s="266">
        <f>IF($Z48="",0,Shares!L48)</f>
        <v>0</v>
      </c>
      <c r="AH48" s="267">
        <f>IF($Z48="",0,Shares!M48)</f>
        <v>0</v>
      </c>
      <c r="AI48" s="243" t="str">
        <f>IF($Z48="","",RANK(AE48,$AE$2:$AE$1001)+COUNTIF($AE$2:AE48,AE48)-1)</f>
        <v/>
      </c>
      <c r="AJ48" s="243" t="str">
        <f>IF($AD48&lt;0,COUNT($AJ$1:AJ47)+1,"")</f>
        <v/>
      </c>
      <c r="AL48" s="243" t="str">
        <f>'All Ticker P&amp;L'!A48</f>
        <v/>
      </c>
      <c r="AM48" s="243" t="str">
        <f>'All Ticker P&amp;L'!B48</f>
        <v/>
      </c>
      <c r="AN48" s="243" t="str">
        <f>'All Ticker P&amp;L'!C48</f>
        <v/>
      </c>
      <c r="AO48" s="243" t="str">
        <f>'All Ticker P&amp;L'!D48</f>
        <v/>
      </c>
      <c r="AP48" s="265">
        <f>IF($AL48="",0,'All Ticker P&amp;L'!E48)</f>
        <v>0</v>
      </c>
      <c r="AQ48" s="266">
        <f>IF($AL48="",0,'All Ticker P&amp;L'!J48*'All Ticker P&amp;L'!I48)</f>
        <v>0</v>
      </c>
      <c r="AR48" s="266">
        <f>IF($AL48="",0,'All Ticker P&amp;L'!L48)</f>
        <v>0</v>
      </c>
      <c r="AS48" s="267">
        <f>IF($AL48="",0,'All Ticker P&amp;L'!M48)</f>
        <v>0</v>
      </c>
      <c r="AT48" s="243" t="str">
        <f>IF($AL48="","",RANK(AR48,$AR$2:$AR$1001)+COUNTIF($AR$2:AR48,AR48)-1)</f>
        <v/>
      </c>
      <c r="AU48" s="243" t="str">
        <f>IF($AL48="","",RANK(AV48,$AV$2:$AV$1001)+COUNTIF($AV$2:AV48,AV48)-1)</f>
        <v/>
      </c>
      <c r="AV48" s="266">
        <f t="shared" si="1"/>
        <v>0</v>
      </c>
    </row>
    <row r="49" spans="1:48" ht="15" customHeight="1" x14ac:dyDescent="0.2">
      <c r="A49" s="277">
        <v>1</v>
      </c>
      <c r="B49" s="277" t="str">
        <f t="shared" ref="B49:B58" si="26">IFERROR(INDEX($Z$2:$Z$1001,MATCH($A49,$AJ$2:$AJ$1001,0)),"")</f>
        <v/>
      </c>
      <c r="C49" s="277" t="str">
        <f t="shared" ref="C49:C58" si="27">IF($B49="","",INDEX($AA$2:$AA$1001,MATCH($A49,$AJ$2:$AJ$1001,0)))</f>
        <v/>
      </c>
      <c r="D49" s="277" t="str">
        <f t="shared" ref="D49:D58" si="28">IF($B49="","",INDEX($AC$2:$AC$1001,MATCH($A49,$AJ$2:$AJ$1001,0)))</f>
        <v/>
      </c>
      <c r="E49" s="278" t="str">
        <f t="shared" ref="E49:E58" si="29">IF($B49="","",INDEX($AD$2:$AD$1001,MATCH($A49,$AJ$2:$AJ$1001,0)))</f>
        <v/>
      </c>
      <c r="F49" s="279" t="str">
        <f t="shared" ref="F49:F58" si="30">IF($B49="","",INDEX($AE$2:$AE$1001,MATCH($A49,$AJ$2:$AJ$1001,0)))</f>
        <v/>
      </c>
      <c r="G49" s="279" t="str">
        <f t="shared" ref="G49:G58" si="31">IF($B49="","",INDEX($AG$2:$AG$1001,MATCH($A49,$AJ$2:$AJ$1001,0)))</f>
        <v/>
      </c>
      <c r="H49" s="280" t="str">
        <f t="shared" ref="H49:H58" si="32">IF($B49="","",INDEX($AF$2:$AF$1001,MATCH($A49,$AJ$2:$AJ$1001,0)))</f>
        <v/>
      </c>
      <c r="J49" s="271" t="s">
        <v>500</v>
      </c>
      <c r="K49" s="274">
        <f>$B$14</f>
        <v>0</v>
      </c>
      <c r="Z49" s="243" t="str">
        <f>Shares!A49</f>
        <v/>
      </c>
      <c r="AA49" s="243" t="str">
        <f>Shares!B49</f>
        <v/>
      </c>
      <c r="AB49" s="243" t="str">
        <f>Shares!C49</f>
        <v/>
      </c>
      <c r="AC49" s="243" t="str">
        <f>Shares!D49</f>
        <v/>
      </c>
      <c r="AD49" s="265">
        <f>IF($Z49="",0,Shares!E49)</f>
        <v>0</v>
      </c>
      <c r="AE49" s="266">
        <f>IF($Z49="",0,Shares!J49*Shares!I49)</f>
        <v>0</v>
      </c>
      <c r="AF49" s="267">
        <f t="shared" si="0"/>
        <v>0</v>
      </c>
      <c r="AG49" s="266">
        <f>IF($Z49="",0,Shares!L49)</f>
        <v>0</v>
      </c>
      <c r="AH49" s="267">
        <f>IF($Z49="",0,Shares!M49)</f>
        <v>0</v>
      </c>
      <c r="AI49" s="243" t="str">
        <f>IF($Z49="","",RANK(AE49,$AE$2:$AE$1001)+COUNTIF($AE$2:AE49,AE49)-1)</f>
        <v/>
      </c>
      <c r="AJ49" s="243" t="str">
        <f>IF($AD49&lt;0,COUNT($AJ$1:AJ48)+1,"")</f>
        <v/>
      </c>
      <c r="AL49" s="243" t="str">
        <f>'All Ticker P&amp;L'!A49</f>
        <v/>
      </c>
      <c r="AM49" s="243" t="str">
        <f>'All Ticker P&amp;L'!B49</f>
        <v/>
      </c>
      <c r="AN49" s="243" t="str">
        <f>'All Ticker P&amp;L'!C49</f>
        <v/>
      </c>
      <c r="AO49" s="243" t="str">
        <f>'All Ticker P&amp;L'!D49</f>
        <v/>
      </c>
      <c r="AP49" s="265">
        <f>IF($AL49="",0,'All Ticker P&amp;L'!E49)</f>
        <v>0</v>
      </c>
      <c r="AQ49" s="266">
        <f>IF($AL49="",0,'All Ticker P&amp;L'!J49*'All Ticker P&amp;L'!I49)</f>
        <v>0</v>
      </c>
      <c r="AR49" s="266">
        <f>IF($AL49="",0,'All Ticker P&amp;L'!L49)</f>
        <v>0</v>
      </c>
      <c r="AS49" s="267">
        <f>IF($AL49="",0,'All Ticker P&amp;L'!M49)</f>
        <v>0</v>
      </c>
      <c r="AT49" s="243" t="str">
        <f>IF($AL49="","",RANK(AR49,$AR$2:$AR$1001)+COUNTIF($AR$2:AR49,AR49)-1)</f>
        <v/>
      </c>
      <c r="AU49" s="243" t="str">
        <f>IF($AL49="","",RANK(AV49,$AV$2:$AV$1001)+COUNTIF($AV$2:AV49,AV49)-1)</f>
        <v/>
      </c>
      <c r="AV49" s="266">
        <f t="shared" si="1"/>
        <v>0</v>
      </c>
    </row>
    <row r="50" spans="1:48" ht="15" customHeight="1" x14ac:dyDescent="0.2">
      <c r="A50" s="277">
        <v>2</v>
      </c>
      <c r="B50" s="277" t="str">
        <f t="shared" si="26"/>
        <v/>
      </c>
      <c r="C50" s="277" t="str">
        <f t="shared" si="27"/>
        <v/>
      </c>
      <c r="D50" s="277" t="str">
        <f t="shared" si="28"/>
        <v/>
      </c>
      <c r="E50" s="278" t="str">
        <f t="shared" si="29"/>
        <v/>
      </c>
      <c r="F50" s="279" t="str">
        <f t="shared" si="30"/>
        <v/>
      </c>
      <c r="G50" s="279" t="str">
        <f t="shared" si="31"/>
        <v/>
      </c>
      <c r="H50" s="280" t="str">
        <f t="shared" si="32"/>
        <v/>
      </c>
      <c r="J50" s="271" t="s">
        <v>501</v>
      </c>
      <c r="K50" s="281">
        <f>COUNTIFS($Z$2:$Z$1001,"?*",$AE$2:$AE$1001,0)</f>
        <v>0</v>
      </c>
      <c r="Z50" s="243" t="str">
        <f>Shares!A50</f>
        <v/>
      </c>
      <c r="AA50" s="243" t="str">
        <f>Shares!B50</f>
        <v/>
      </c>
      <c r="AB50" s="243" t="str">
        <f>Shares!C50</f>
        <v/>
      </c>
      <c r="AC50" s="243" t="str">
        <f>Shares!D50</f>
        <v/>
      </c>
      <c r="AD50" s="265">
        <f>IF($Z50="",0,Shares!E50)</f>
        <v>0</v>
      </c>
      <c r="AE50" s="266">
        <f>IF($Z50="",0,Shares!J50*Shares!I50)</f>
        <v>0</v>
      </c>
      <c r="AF50" s="267">
        <f t="shared" si="0"/>
        <v>0</v>
      </c>
      <c r="AG50" s="266">
        <f>IF($Z50="",0,Shares!L50)</f>
        <v>0</v>
      </c>
      <c r="AH50" s="267">
        <f>IF($Z50="",0,Shares!M50)</f>
        <v>0</v>
      </c>
      <c r="AI50" s="243" t="str">
        <f>IF($Z50="","",RANK(AE50,$AE$2:$AE$1001)+COUNTIF($AE$2:AE50,AE50)-1)</f>
        <v/>
      </c>
      <c r="AJ50" s="243" t="str">
        <f>IF($AD50&lt;0,COUNT($AJ$1:AJ49)+1,"")</f>
        <v/>
      </c>
      <c r="AL50" s="243" t="str">
        <f>'All Ticker P&amp;L'!A50</f>
        <v/>
      </c>
      <c r="AM50" s="243" t="str">
        <f>'All Ticker P&amp;L'!B50</f>
        <v/>
      </c>
      <c r="AN50" s="243" t="str">
        <f>'All Ticker P&amp;L'!C50</f>
        <v/>
      </c>
      <c r="AO50" s="243" t="str">
        <f>'All Ticker P&amp;L'!D50</f>
        <v/>
      </c>
      <c r="AP50" s="265">
        <f>IF($AL50="",0,'All Ticker P&amp;L'!E50)</f>
        <v>0</v>
      </c>
      <c r="AQ50" s="266">
        <f>IF($AL50="",0,'All Ticker P&amp;L'!J50*'All Ticker P&amp;L'!I50)</f>
        <v>0</v>
      </c>
      <c r="AR50" s="266">
        <f>IF($AL50="",0,'All Ticker P&amp;L'!L50)</f>
        <v>0</v>
      </c>
      <c r="AS50" s="267">
        <f>IF($AL50="",0,'All Ticker P&amp;L'!M50)</f>
        <v>0</v>
      </c>
      <c r="AT50" s="243" t="str">
        <f>IF($AL50="","",RANK(AR50,$AR$2:$AR$1001)+COUNTIF($AR$2:AR50,AR50)-1)</f>
        <v/>
      </c>
      <c r="AU50" s="243" t="str">
        <f>IF($AL50="","",RANK(AV50,$AV$2:$AV$1001)+COUNTIF($AV$2:AV50,AV50)-1)</f>
        <v/>
      </c>
      <c r="AV50" s="266">
        <f t="shared" si="1"/>
        <v>0</v>
      </c>
    </row>
    <row r="51" spans="1:48" ht="15" customHeight="1" x14ac:dyDescent="0.2">
      <c r="A51" s="277">
        <v>3</v>
      </c>
      <c r="B51" s="277" t="str">
        <f t="shared" si="26"/>
        <v/>
      </c>
      <c r="C51" s="277" t="str">
        <f t="shared" si="27"/>
        <v/>
      </c>
      <c r="D51" s="277" t="str">
        <f t="shared" si="28"/>
        <v/>
      </c>
      <c r="E51" s="278" t="str">
        <f t="shared" si="29"/>
        <v/>
      </c>
      <c r="F51" s="279" t="str">
        <f t="shared" si="30"/>
        <v/>
      </c>
      <c r="G51" s="279" t="str">
        <f t="shared" si="31"/>
        <v/>
      </c>
      <c r="H51" s="280" t="str">
        <f t="shared" si="32"/>
        <v/>
      </c>
      <c r="J51" s="271" t="s">
        <v>484</v>
      </c>
      <c r="K51" s="273">
        <f>$B$12</f>
        <v>0.43925024383490546</v>
      </c>
      <c r="Z51" s="243" t="str">
        <f>Shares!A51</f>
        <v/>
      </c>
      <c r="AA51" s="243" t="str">
        <f>Shares!B51</f>
        <v/>
      </c>
      <c r="AB51" s="243" t="str">
        <f>Shares!C51</f>
        <v/>
      </c>
      <c r="AC51" s="243" t="str">
        <f>Shares!D51</f>
        <v/>
      </c>
      <c r="AD51" s="265">
        <f>IF($Z51="",0,Shares!E51)</f>
        <v>0</v>
      </c>
      <c r="AE51" s="266">
        <f>IF($Z51="",0,Shares!J51*Shares!I51)</f>
        <v>0</v>
      </c>
      <c r="AF51" s="267">
        <f t="shared" si="0"/>
        <v>0</v>
      </c>
      <c r="AG51" s="266">
        <f>IF($Z51="",0,Shares!L51)</f>
        <v>0</v>
      </c>
      <c r="AH51" s="267">
        <f>IF($Z51="",0,Shares!M51)</f>
        <v>0</v>
      </c>
      <c r="AI51" s="243" t="str">
        <f>IF($Z51="","",RANK(AE51,$AE$2:$AE$1001)+COUNTIF($AE$2:AE51,AE51)-1)</f>
        <v/>
      </c>
      <c r="AJ51" s="243" t="str">
        <f>IF($AD51&lt;0,COUNT($AJ$1:AJ50)+1,"")</f>
        <v/>
      </c>
      <c r="AL51" s="243" t="str">
        <f>'All Ticker P&amp;L'!A51</f>
        <v/>
      </c>
      <c r="AM51" s="243" t="str">
        <f>'All Ticker P&amp;L'!B51</f>
        <v/>
      </c>
      <c r="AN51" s="243" t="str">
        <f>'All Ticker P&amp;L'!C51</f>
        <v/>
      </c>
      <c r="AO51" s="243" t="str">
        <f>'All Ticker P&amp;L'!D51</f>
        <v/>
      </c>
      <c r="AP51" s="265">
        <f>IF($AL51="",0,'All Ticker P&amp;L'!E51)</f>
        <v>0</v>
      </c>
      <c r="AQ51" s="266">
        <f>IF($AL51="",0,'All Ticker P&amp;L'!J51*'All Ticker P&amp;L'!I51)</f>
        <v>0</v>
      </c>
      <c r="AR51" s="266">
        <f>IF($AL51="",0,'All Ticker P&amp;L'!L51)</f>
        <v>0</v>
      </c>
      <c r="AS51" s="267">
        <f>IF($AL51="",0,'All Ticker P&amp;L'!M51)</f>
        <v>0</v>
      </c>
      <c r="AT51" s="243" t="str">
        <f>IF($AL51="","",RANK(AR51,$AR$2:$AR$1001)+COUNTIF($AR$2:AR51,AR51)-1)</f>
        <v/>
      </c>
      <c r="AU51" s="243" t="str">
        <f>IF($AL51="","",RANK(AV51,$AV$2:$AV$1001)+COUNTIF($AV$2:AV51,AV51)-1)</f>
        <v/>
      </c>
      <c r="AV51" s="266">
        <f t="shared" si="1"/>
        <v>0</v>
      </c>
    </row>
    <row r="52" spans="1:48" ht="15" customHeight="1" x14ac:dyDescent="0.2">
      <c r="A52" s="277">
        <v>4</v>
      </c>
      <c r="B52" s="277" t="str">
        <f t="shared" si="26"/>
        <v/>
      </c>
      <c r="C52" s="277" t="str">
        <f t="shared" si="27"/>
        <v/>
      </c>
      <c r="D52" s="277" t="str">
        <f t="shared" si="28"/>
        <v/>
      </c>
      <c r="E52" s="278" t="str">
        <f t="shared" si="29"/>
        <v/>
      </c>
      <c r="F52" s="279" t="str">
        <f t="shared" si="30"/>
        <v/>
      </c>
      <c r="G52" s="279" t="str">
        <f t="shared" si="31"/>
        <v/>
      </c>
      <c r="H52" s="280" t="str">
        <f t="shared" si="32"/>
        <v/>
      </c>
      <c r="Z52" s="243" t="str">
        <f>Shares!A52</f>
        <v/>
      </c>
      <c r="AA52" s="243" t="str">
        <f>Shares!B52</f>
        <v/>
      </c>
      <c r="AB52" s="243" t="str">
        <f>Shares!C52</f>
        <v/>
      </c>
      <c r="AC52" s="243" t="str">
        <f>Shares!D52</f>
        <v/>
      </c>
      <c r="AD52" s="265">
        <f>IF($Z52="",0,Shares!E52)</f>
        <v>0</v>
      </c>
      <c r="AE52" s="266">
        <f>IF($Z52="",0,Shares!J52*Shares!I52)</f>
        <v>0</v>
      </c>
      <c r="AF52" s="267">
        <f t="shared" si="0"/>
        <v>0</v>
      </c>
      <c r="AG52" s="266">
        <f>IF($Z52="",0,Shares!L52)</f>
        <v>0</v>
      </c>
      <c r="AH52" s="267">
        <f>IF($Z52="",0,Shares!M52)</f>
        <v>0</v>
      </c>
      <c r="AI52" s="243" t="str">
        <f>IF($Z52="","",RANK(AE52,$AE$2:$AE$1001)+COUNTIF($AE$2:AE52,AE52)-1)</f>
        <v/>
      </c>
      <c r="AJ52" s="243" t="str">
        <f>IF($AD52&lt;0,COUNT($AJ$1:AJ51)+1,"")</f>
        <v/>
      </c>
      <c r="AL52" s="243" t="str">
        <f>'All Ticker P&amp;L'!A52</f>
        <v/>
      </c>
      <c r="AM52" s="243" t="str">
        <f>'All Ticker P&amp;L'!B52</f>
        <v/>
      </c>
      <c r="AN52" s="243" t="str">
        <f>'All Ticker P&amp;L'!C52</f>
        <v/>
      </c>
      <c r="AO52" s="243" t="str">
        <f>'All Ticker P&amp;L'!D52</f>
        <v/>
      </c>
      <c r="AP52" s="265">
        <f>IF($AL52="",0,'All Ticker P&amp;L'!E52)</f>
        <v>0</v>
      </c>
      <c r="AQ52" s="266">
        <f>IF($AL52="",0,'All Ticker P&amp;L'!J52*'All Ticker P&amp;L'!I52)</f>
        <v>0</v>
      </c>
      <c r="AR52" s="266">
        <f>IF($AL52="",0,'All Ticker P&amp;L'!L52)</f>
        <v>0</v>
      </c>
      <c r="AS52" s="267">
        <f>IF($AL52="",0,'All Ticker P&amp;L'!M52)</f>
        <v>0</v>
      </c>
      <c r="AT52" s="243" t="str">
        <f>IF($AL52="","",RANK(AR52,$AR$2:$AR$1001)+COUNTIF($AR$2:AR52,AR52)-1)</f>
        <v/>
      </c>
      <c r="AU52" s="243" t="str">
        <f>IF($AL52="","",RANK(AV52,$AV$2:$AV$1001)+COUNTIF($AV$2:AV52,AV52)-1)</f>
        <v/>
      </c>
      <c r="AV52" s="266">
        <f t="shared" si="1"/>
        <v>0</v>
      </c>
    </row>
    <row r="53" spans="1:48" ht="15" customHeight="1" x14ac:dyDescent="0.2">
      <c r="A53" s="277">
        <v>5</v>
      </c>
      <c r="B53" s="277" t="str">
        <f t="shared" si="26"/>
        <v/>
      </c>
      <c r="C53" s="277" t="str">
        <f t="shared" si="27"/>
        <v/>
      </c>
      <c r="D53" s="277" t="str">
        <f t="shared" si="28"/>
        <v/>
      </c>
      <c r="E53" s="278" t="str">
        <f t="shared" si="29"/>
        <v/>
      </c>
      <c r="F53" s="279" t="str">
        <f t="shared" si="30"/>
        <v/>
      </c>
      <c r="G53" s="279" t="str">
        <f t="shared" si="31"/>
        <v/>
      </c>
      <c r="H53" s="280" t="str">
        <f t="shared" si="32"/>
        <v/>
      </c>
      <c r="Z53" s="243" t="str">
        <f>Shares!A53</f>
        <v/>
      </c>
      <c r="AA53" s="243" t="str">
        <f>Shares!B53</f>
        <v/>
      </c>
      <c r="AB53" s="243" t="str">
        <f>Shares!C53</f>
        <v/>
      </c>
      <c r="AC53" s="243" t="str">
        <f>Shares!D53</f>
        <v/>
      </c>
      <c r="AD53" s="265">
        <f>IF($Z53="",0,Shares!E53)</f>
        <v>0</v>
      </c>
      <c r="AE53" s="266">
        <f>IF($Z53="",0,Shares!J53*Shares!I53)</f>
        <v>0</v>
      </c>
      <c r="AF53" s="267">
        <f t="shared" si="0"/>
        <v>0</v>
      </c>
      <c r="AG53" s="266">
        <f>IF($Z53="",0,Shares!L53)</f>
        <v>0</v>
      </c>
      <c r="AH53" s="267">
        <f>IF($Z53="",0,Shares!M53)</f>
        <v>0</v>
      </c>
      <c r="AI53" s="243" t="str">
        <f>IF($Z53="","",RANK(AE53,$AE$2:$AE$1001)+COUNTIF($AE$2:AE53,AE53)-1)</f>
        <v/>
      </c>
      <c r="AJ53" s="243" t="str">
        <f>IF($AD53&lt;0,COUNT($AJ$1:AJ52)+1,"")</f>
        <v/>
      </c>
      <c r="AL53" s="243" t="str">
        <f>'All Ticker P&amp;L'!A53</f>
        <v/>
      </c>
      <c r="AM53" s="243" t="str">
        <f>'All Ticker P&amp;L'!B53</f>
        <v/>
      </c>
      <c r="AN53" s="243" t="str">
        <f>'All Ticker P&amp;L'!C53</f>
        <v/>
      </c>
      <c r="AO53" s="243" t="str">
        <f>'All Ticker P&amp;L'!D53</f>
        <v/>
      </c>
      <c r="AP53" s="265">
        <f>IF($AL53="",0,'All Ticker P&amp;L'!E53)</f>
        <v>0</v>
      </c>
      <c r="AQ53" s="266">
        <f>IF($AL53="",0,'All Ticker P&amp;L'!J53*'All Ticker P&amp;L'!I53)</f>
        <v>0</v>
      </c>
      <c r="AR53" s="266">
        <f>IF($AL53="",0,'All Ticker P&amp;L'!L53)</f>
        <v>0</v>
      </c>
      <c r="AS53" s="267">
        <f>IF($AL53="",0,'All Ticker P&amp;L'!M53)</f>
        <v>0</v>
      </c>
      <c r="AT53" s="243" t="str">
        <f>IF($AL53="","",RANK(AR53,$AR$2:$AR$1001)+COUNTIF($AR$2:AR53,AR53)-1)</f>
        <v/>
      </c>
      <c r="AU53" s="243" t="str">
        <f>IF($AL53="","",RANK(AV53,$AV$2:$AV$1001)+COUNTIF($AV$2:AV53,AV53)-1)</f>
        <v/>
      </c>
      <c r="AV53" s="266">
        <f t="shared" si="1"/>
        <v>0</v>
      </c>
    </row>
    <row r="54" spans="1:48" ht="15" customHeight="1" x14ac:dyDescent="0.2">
      <c r="A54" s="277">
        <v>6</v>
      </c>
      <c r="B54" s="277" t="str">
        <f t="shared" si="26"/>
        <v/>
      </c>
      <c r="C54" s="277" t="str">
        <f t="shared" si="27"/>
        <v/>
      </c>
      <c r="D54" s="277" t="str">
        <f t="shared" si="28"/>
        <v/>
      </c>
      <c r="E54" s="278" t="str">
        <f t="shared" si="29"/>
        <v/>
      </c>
      <c r="F54" s="279" t="str">
        <f t="shared" si="30"/>
        <v/>
      </c>
      <c r="G54" s="279" t="str">
        <f t="shared" si="31"/>
        <v/>
      </c>
      <c r="H54" s="280" t="str">
        <f t="shared" si="32"/>
        <v/>
      </c>
      <c r="Z54" s="243" t="str">
        <f>Shares!A54</f>
        <v/>
      </c>
      <c r="AA54" s="243" t="str">
        <f>Shares!B54</f>
        <v/>
      </c>
      <c r="AB54" s="243" t="str">
        <f>Shares!C54</f>
        <v/>
      </c>
      <c r="AC54" s="243" t="str">
        <f>Shares!D54</f>
        <v/>
      </c>
      <c r="AD54" s="265">
        <f>IF($Z54="",0,Shares!E54)</f>
        <v>0</v>
      </c>
      <c r="AE54" s="266">
        <f>IF($Z54="",0,Shares!J54*Shares!I54)</f>
        <v>0</v>
      </c>
      <c r="AF54" s="267">
        <f t="shared" si="0"/>
        <v>0</v>
      </c>
      <c r="AG54" s="266">
        <f>IF($Z54="",0,Shares!L54)</f>
        <v>0</v>
      </c>
      <c r="AH54" s="267">
        <f>IF($Z54="",0,Shares!M54)</f>
        <v>0</v>
      </c>
      <c r="AI54" s="243" t="str">
        <f>IF($Z54="","",RANK(AE54,$AE$2:$AE$1001)+COUNTIF($AE$2:AE54,AE54)-1)</f>
        <v/>
      </c>
      <c r="AJ54" s="243" t="str">
        <f>IF($AD54&lt;0,COUNT($AJ$1:AJ53)+1,"")</f>
        <v/>
      </c>
      <c r="AL54" s="243" t="str">
        <f>'All Ticker P&amp;L'!A54</f>
        <v/>
      </c>
      <c r="AM54" s="243" t="str">
        <f>'All Ticker P&amp;L'!B54</f>
        <v/>
      </c>
      <c r="AN54" s="243" t="str">
        <f>'All Ticker P&amp;L'!C54</f>
        <v/>
      </c>
      <c r="AO54" s="243" t="str">
        <f>'All Ticker P&amp;L'!D54</f>
        <v/>
      </c>
      <c r="AP54" s="265">
        <f>IF($AL54="",0,'All Ticker P&amp;L'!E54)</f>
        <v>0</v>
      </c>
      <c r="AQ54" s="266">
        <f>IF($AL54="",0,'All Ticker P&amp;L'!J54*'All Ticker P&amp;L'!I54)</f>
        <v>0</v>
      </c>
      <c r="AR54" s="266">
        <f>IF($AL54="",0,'All Ticker P&amp;L'!L54)</f>
        <v>0</v>
      </c>
      <c r="AS54" s="267">
        <f>IF($AL54="",0,'All Ticker P&amp;L'!M54)</f>
        <v>0</v>
      </c>
      <c r="AT54" s="243" t="str">
        <f>IF($AL54="","",RANK(AR54,$AR$2:$AR$1001)+COUNTIF($AR$2:AR54,AR54)-1)</f>
        <v/>
      </c>
      <c r="AU54" s="243" t="str">
        <f>IF($AL54="","",RANK(AV54,$AV$2:$AV$1001)+COUNTIF($AV$2:AV54,AV54)-1)</f>
        <v/>
      </c>
      <c r="AV54" s="266">
        <f t="shared" si="1"/>
        <v>0</v>
      </c>
    </row>
    <row r="55" spans="1:48" ht="15" customHeight="1" x14ac:dyDescent="0.2">
      <c r="A55" s="277">
        <v>7</v>
      </c>
      <c r="B55" s="277" t="str">
        <f t="shared" si="26"/>
        <v/>
      </c>
      <c r="C55" s="277" t="str">
        <f t="shared" si="27"/>
        <v/>
      </c>
      <c r="D55" s="277" t="str">
        <f t="shared" si="28"/>
        <v/>
      </c>
      <c r="E55" s="278" t="str">
        <f t="shared" si="29"/>
        <v/>
      </c>
      <c r="F55" s="279" t="str">
        <f t="shared" si="30"/>
        <v/>
      </c>
      <c r="G55" s="279" t="str">
        <f t="shared" si="31"/>
        <v/>
      </c>
      <c r="H55" s="280" t="str">
        <f t="shared" si="32"/>
        <v/>
      </c>
      <c r="Z55" s="243" t="str">
        <f>Shares!A55</f>
        <v/>
      </c>
      <c r="AA55" s="243" t="str">
        <f>Shares!B55</f>
        <v/>
      </c>
      <c r="AB55" s="243" t="str">
        <f>Shares!C55</f>
        <v/>
      </c>
      <c r="AC55" s="243" t="str">
        <f>Shares!D55</f>
        <v/>
      </c>
      <c r="AD55" s="265">
        <f>IF($Z55="",0,Shares!E55)</f>
        <v>0</v>
      </c>
      <c r="AE55" s="266">
        <f>IF($Z55="",0,Shares!J55*Shares!I55)</f>
        <v>0</v>
      </c>
      <c r="AF55" s="267">
        <f t="shared" si="0"/>
        <v>0</v>
      </c>
      <c r="AG55" s="266">
        <f>IF($Z55="",0,Shares!L55)</f>
        <v>0</v>
      </c>
      <c r="AH55" s="267">
        <f>IF($Z55="",0,Shares!M55)</f>
        <v>0</v>
      </c>
      <c r="AI55" s="243" t="str">
        <f>IF($Z55="","",RANK(AE55,$AE$2:$AE$1001)+COUNTIF($AE$2:AE55,AE55)-1)</f>
        <v/>
      </c>
      <c r="AJ55" s="243" t="str">
        <f>IF($AD55&lt;0,COUNT($AJ$1:AJ54)+1,"")</f>
        <v/>
      </c>
      <c r="AL55" s="243" t="str">
        <f>'All Ticker P&amp;L'!A55</f>
        <v/>
      </c>
      <c r="AM55" s="243" t="str">
        <f>'All Ticker P&amp;L'!B55</f>
        <v/>
      </c>
      <c r="AN55" s="243" t="str">
        <f>'All Ticker P&amp;L'!C55</f>
        <v/>
      </c>
      <c r="AO55" s="243" t="str">
        <f>'All Ticker P&amp;L'!D55</f>
        <v/>
      </c>
      <c r="AP55" s="265">
        <f>IF($AL55="",0,'All Ticker P&amp;L'!E55)</f>
        <v>0</v>
      </c>
      <c r="AQ55" s="266">
        <f>IF($AL55="",0,'All Ticker P&amp;L'!J55*'All Ticker P&amp;L'!I55)</f>
        <v>0</v>
      </c>
      <c r="AR55" s="266">
        <f>IF($AL55="",0,'All Ticker P&amp;L'!L55)</f>
        <v>0</v>
      </c>
      <c r="AS55" s="267">
        <f>IF($AL55="",0,'All Ticker P&amp;L'!M55)</f>
        <v>0</v>
      </c>
      <c r="AT55" s="243" t="str">
        <f>IF($AL55="","",RANK(AR55,$AR$2:$AR$1001)+COUNTIF($AR$2:AR55,AR55)-1)</f>
        <v/>
      </c>
      <c r="AU55" s="243" t="str">
        <f>IF($AL55="","",RANK(AV55,$AV$2:$AV$1001)+COUNTIF($AV$2:AV55,AV55)-1)</f>
        <v/>
      </c>
      <c r="AV55" s="266">
        <f t="shared" si="1"/>
        <v>0</v>
      </c>
    </row>
    <row r="56" spans="1:48" ht="15" customHeight="1" x14ac:dyDescent="0.2">
      <c r="A56" s="277">
        <v>8</v>
      </c>
      <c r="B56" s="277" t="str">
        <f t="shared" si="26"/>
        <v/>
      </c>
      <c r="C56" s="277" t="str">
        <f t="shared" si="27"/>
        <v/>
      </c>
      <c r="D56" s="277" t="str">
        <f t="shared" si="28"/>
        <v/>
      </c>
      <c r="E56" s="278" t="str">
        <f t="shared" si="29"/>
        <v/>
      </c>
      <c r="F56" s="279" t="str">
        <f t="shared" si="30"/>
        <v/>
      </c>
      <c r="G56" s="279" t="str">
        <f t="shared" si="31"/>
        <v/>
      </c>
      <c r="H56" s="280" t="str">
        <f t="shared" si="32"/>
        <v/>
      </c>
      <c r="Z56" s="243" t="str">
        <f>Shares!A56</f>
        <v/>
      </c>
      <c r="AA56" s="243" t="str">
        <f>Shares!B56</f>
        <v/>
      </c>
      <c r="AB56" s="243" t="str">
        <f>Shares!C56</f>
        <v/>
      </c>
      <c r="AC56" s="243" t="str">
        <f>Shares!D56</f>
        <v/>
      </c>
      <c r="AD56" s="265">
        <f>IF($Z56="",0,Shares!E56)</f>
        <v>0</v>
      </c>
      <c r="AE56" s="266">
        <f>IF($Z56="",0,Shares!J56*Shares!I56)</f>
        <v>0</v>
      </c>
      <c r="AF56" s="267">
        <f t="shared" si="0"/>
        <v>0</v>
      </c>
      <c r="AG56" s="266">
        <f>IF($Z56="",0,Shares!L56)</f>
        <v>0</v>
      </c>
      <c r="AH56" s="267">
        <f>IF($Z56="",0,Shares!M56)</f>
        <v>0</v>
      </c>
      <c r="AI56" s="243" t="str">
        <f>IF($Z56="","",RANK(AE56,$AE$2:$AE$1001)+COUNTIF($AE$2:AE56,AE56)-1)</f>
        <v/>
      </c>
      <c r="AJ56" s="243" t="str">
        <f>IF($AD56&lt;0,COUNT($AJ$1:AJ55)+1,"")</f>
        <v/>
      </c>
      <c r="AL56" s="243" t="str">
        <f>'All Ticker P&amp;L'!A56</f>
        <v/>
      </c>
      <c r="AM56" s="243" t="str">
        <f>'All Ticker P&amp;L'!B56</f>
        <v/>
      </c>
      <c r="AN56" s="243" t="str">
        <f>'All Ticker P&amp;L'!C56</f>
        <v/>
      </c>
      <c r="AO56" s="243" t="str">
        <f>'All Ticker P&amp;L'!D56</f>
        <v/>
      </c>
      <c r="AP56" s="265">
        <f>IF($AL56="",0,'All Ticker P&amp;L'!E56)</f>
        <v>0</v>
      </c>
      <c r="AQ56" s="266">
        <f>IF($AL56="",0,'All Ticker P&amp;L'!J56*'All Ticker P&amp;L'!I56)</f>
        <v>0</v>
      </c>
      <c r="AR56" s="266">
        <f>IF($AL56="",0,'All Ticker P&amp;L'!L56)</f>
        <v>0</v>
      </c>
      <c r="AS56" s="267">
        <f>IF($AL56="",0,'All Ticker P&amp;L'!M56)</f>
        <v>0</v>
      </c>
      <c r="AT56" s="243" t="str">
        <f>IF($AL56="","",RANK(AR56,$AR$2:$AR$1001)+COUNTIF($AR$2:AR56,AR56)-1)</f>
        <v/>
      </c>
      <c r="AU56" s="243" t="str">
        <f>IF($AL56="","",RANK(AV56,$AV$2:$AV$1001)+COUNTIF($AV$2:AV56,AV56)-1)</f>
        <v/>
      </c>
      <c r="AV56" s="266">
        <f t="shared" si="1"/>
        <v>0</v>
      </c>
    </row>
    <row r="57" spans="1:48" ht="15" customHeight="1" x14ac:dyDescent="0.2">
      <c r="A57" s="277">
        <v>9</v>
      </c>
      <c r="B57" s="277" t="str">
        <f t="shared" si="26"/>
        <v/>
      </c>
      <c r="C57" s="277" t="str">
        <f t="shared" si="27"/>
        <v/>
      </c>
      <c r="D57" s="277" t="str">
        <f t="shared" si="28"/>
        <v/>
      </c>
      <c r="E57" s="278" t="str">
        <f t="shared" si="29"/>
        <v/>
      </c>
      <c r="F57" s="279" t="str">
        <f t="shared" si="30"/>
        <v/>
      </c>
      <c r="G57" s="279" t="str">
        <f t="shared" si="31"/>
        <v/>
      </c>
      <c r="H57" s="280" t="str">
        <f t="shared" si="32"/>
        <v/>
      </c>
      <c r="Z57" s="243" t="str">
        <f>Shares!A57</f>
        <v/>
      </c>
      <c r="AA57" s="243" t="str">
        <f>Shares!B57</f>
        <v/>
      </c>
      <c r="AB57" s="243" t="str">
        <f>Shares!C57</f>
        <v/>
      </c>
      <c r="AC57" s="243" t="str">
        <f>Shares!D57</f>
        <v/>
      </c>
      <c r="AD57" s="265">
        <f>IF($Z57="",0,Shares!E57)</f>
        <v>0</v>
      </c>
      <c r="AE57" s="266">
        <f>IF($Z57="",0,Shares!J57*Shares!I57)</f>
        <v>0</v>
      </c>
      <c r="AF57" s="267">
        <f t="shared" si="0"/>
        <v>0</v>
      </c>
      <c r="AG57" s="266">
        <f>IF($Z57="",0,Shares!L57)</f>
        <v>0</v>
      </c>
      <c r="AH57" s="267">
        <f>IF($Z57="",0,Shares!M57)</f>
        <v>0</v>
      </c>
      <c r="AI57" s="243" t="str">
        <f>IF($Z57="","",RANK(AE57,$AE$2:$AE$1001)+COUNTIF($AE$2:AE57,AE57)-1)</f>
        <v/>
      </c>
      <c r="AJ57" s="243" t="str">
        <f>IF($AD57&lt;0,COUNT($AJ$1:AJ56)+1,"")</f>
        <v/>
      </c>
      <c r="AL57" s="243" t="str">
        <f>'All Ticker P&amp;L'!A57</f>
        <v/>
      </c>
      <c r="AM57" s="243" t="str">
        <f>'All Ticker P&amp;L'!B57</f>
        <v/>
      </c>
      <c r="AN57" s="243" t="str">
        <f>'All Ticker P&amp;L'!C57</f>
        <v/>
      </c>
      <c r="AO57" s="243" t="str">
        <f>'All Ticker P&amp;L'!D57</f>
        <v/>
      </c>
      <c r="AP57" s="265">
        <f>IF($AL57="",0,'All Ticker P&amp;L'!E57)</f>
        <v>0</v>
      </c>
      <c r="AQ57" s="266">
        <f>IF($AL57="",0,'All Ticker P&amp;L'!J57*'All Ticker P&amp;L'!I57)</f>
        <v>0</v>
      </c>
      <c r="AR57" s="266">
        <f>IF($AL57="",0,'All Ticker P&amp;L'!L57)</f>
        <v>0</v>
      </c>
      <c r="AS57" s="267">
        <f>IF($AL57="",0,'All Ticker P&amp;L'!M57)</f>
        <v>0</v>
      </c>
      <c r="AT57" s="243" t="str">
        <f>IF($AL57="","",RANK(AR57,$AR$2:$AR$1001)+COUNTIF($AR$2:AR57,AR57)-1)</f>
        <v/>
      </c>
      <c r="AU57" s="243" t="str">
        <f>IF($AL57="","",RANK(AV57,$AV$2:$AV$1001)+COUNTIF($AV$2:AV57,AV57)-1)</f>
        <v/>
      </c>
      <c r="AV57" s="266">
        <f t="shared" si="1"/>
        <v>0</v>
      </c>
    </row>
    <row r="58" spans="1:48" ht="15" customHeight="1" x14ac:dyDescent="0.2">
      <c r="A58" s="277">
        <v>10</v>
      </c>
      <c r="B58" s="277" t="str">
        <f t="shared" si="26"/>
        <v/>
      </c>
      <c r="C58" s="277" t="str">
        <f t="shared" si="27"/>
        <v/>
      </c>
      <c r="D58" s="277" t="str">
        <f t="shared" si="28"/>
        <v/>
      </c>
      <c r="E58" s="278" t="str">
        <f t="shared" si="29"/>
        <v/>
      </c>
      <c r="F58" s="279" t="str">
        <f t="shared" si="30"/>
        <v/>
      </c>
      <c r="G58" s="279" t="str">
        <f t="shared" si="31"/>
        <v/>
      </c>
      <c r="H58" s="280" t="str">
        <f t="shared" si="32"/>
        <v/>
      </c>
      <c r="Z58" s="243" t="str">
        <f>Shares!A58</f>
        <v/>
      </c>
      <c r="AA58" s="243" t="str">
        <f>Shares!B58</f>
        <v/>
      </c>
      <c r="AB58" s="243" t="str">
        <f>Shares!C58</f>
        <v/>
      </c>
      <c r="AC58" s="243" t="str">
        <f>Shares!D58</f>
        <v/>
      </c>
      <c r="AD58" s="265">
        <f>IF($Z58="",0,Shares!E58)</f>
        <v>0</v>
      </c>
      <c r="AE58" s="266">
        <f>IF($Z58="",0,Shares!J58*Shares!I58)</f>
        <v>0</v>
      </c>
      <c r="AF58" s="267">
        <f t="shared" si="0"/>
        <v>0</v>
      </c>
      <c r="AG58" s="266">
        <f>IF($Z58="",0,Shares!L58)</f>
        <v>0</v>
      </c>
      <c r="AH58" s="267">
        <f>IF($Z58="",0,Shares!M58)</f>
        <v>0</v>
      </c>
      <c r="AI58" s="243" t="str">
        <f>IF($Z58="","",RANK(AE58,$AE$2:$AE$1001)+COUNTIF($AE$2:AE58,AE58)-1)</f>
        <v/>
      </c>
      <c r="AJ58" s="243" t="str">
        <f>IF($AD58&lt;0,COUNT($AJ$1:AJ57)+1,"")</f>
        <v/>
      </c>
      <c r="AL58" s="243" t="str">
        <f>'All Ticker P&amp;L'!A58</f>
        <v/>
      </c>
      <c r="AM58" s="243" t="str">
        <f>'All Ticker P&amp;L'!B58</f>
        <v/>
      </c>
      <c r="AN58" s="243" t="str">
        <f>'All Ticker P&amp;L'!C58</f>
        <v/>
      </c>
      <c r="AO58" s="243" t="str">
        <f>'All Ticker P&amp;L'!D58</f>
        <v/>
      </c>
      <c r="AP58" s="265">
        <f>IF($AL58="",0,'All Ticker P&amp;L'!E58)</f>
        <v>0</v>
      </c>
      <c r="AQ58" s="266">
        <f>IF($AL58="",0,'All Ticker P&amp;L'!J58*'All Ticker P&amp;L'!I58)</f>
        <v>0</v>
      </c>
      <c r="AR58" s="266">
        <f>IF($AL58="",0,'All Ticker P&amp;L'!L58)</f>
        <v>0</v>
      </c>
      <c r="AS58" s="267">
        <f>IF($AL58="",0,'All Ticker P&amp;L'!M58)</f>
        <v>0</v>
      </c>
      <c r="AT58" s="243" t="str">
        <f>IF($AL58="","",RANK(AR58,$AR$2:$AR$1001)+COUNTIF($AR$2:AR58,AR58)-1)</f>
        <v/>
      </c>
      <c r="AU58" s="243" t="str">
        <f>IF($AL58="","",RANK(AV58,$AV$2:$AV$1001)+COUNTIF($AV$2:AV58,AV58)-1)</f>
        <v/>
      </c>
      <c r="AV58" s="266">
        <f t="shared" si="1"/>
        <v>0</v>
      </c>
    </row>
    <row r="59" spans="1:48" ht="15" customHeight="1" x14ac:dyDescent="0.2">
      <c r="Z59" s="243" t="str">
        <f>Shares!A59</f>
        <v/>
      </c>
      <c r="AA59" s="243" t="str">
        <f>Shares!B59</f>
        <v/>
      </c>
      <c r="AB59" s="243" t="str">
        <f>Shares!C59</f>
        <v/>
      </c>
      <c r="AC59" s="243" t="str">
        <f>Shares!D59</f>
        <v/>
      </c>
      <c r="AD59" s="265">
        <f>IF($Z59="",0,Shares!E59)</f>
        <v>0</v>
      </c>
      <c r="AE59" s="266">
        <f>IF($Z59="",0,Shares!J59*Shares!I59)</f>
        <v>0</v>
      </c>
      <c r="AF59" s="267">
        <f t="shared" si="0"/>
        <v>0</v>
      </c>
      <c r="AG59" s="266">
        <f>IF($Z59="",0,Shares!L59)</f>
        <v>0</v>
      </c>
      <c r="AH59" s="267">
        <f>IF($Z59="",0,Shares!M59)</f>
        <v>0</v>
      </c>
      <c r="AI59" s="243" t="str">
        <f>IF($Z59="","",RANK(AE59,$AE$2:$AE$1001)+COUNTIF($AE$2:AE59,AE59)-1)</f>
        <v/>
      </c>
      <c r="AJ59" s="243" t="str">
        <f>IF($AD59&lt;0,COUNT($AJ$1:AJ58)+1,"")</f>
        <v/>
      </c>
      <c r="AL59" s="243" t="str">
        <f>'All Ticker P&amp;L'!A59</f>
        <v/>
      </c>
      <c r="AM59" s="243" t="str">
        <f>'All Ticker P&amp;L'!B59</f>
        <v/>
      </c>
      <c r="AN59" s="243" t="str">
        <f>'All Ticker P&amp;L'!C59</f>
        <v/>
      </c>
      <c r="AO59" s="243" t="str">
        <f>'All Ticker P&amp;L'!D59</f>
        <v/>
      </c>
      <c r="AP59" s="265">
        <f>IF($AL59="",0,'All Ticker P&amp;L'!E59)</f>
        <v>0</v>
      </c>
      <c r="AQ59" s="266">
        <f>IF($AL59="",0,'All Ticker P&amp;L'!J59*'All Ticker P&amp;L'!I59)</f>
        <v>0</v>
      </c>
      <c r="AR59" s="266">
        <f>IF($AL59="",0,'All Ticker P&amp;L'!L59)</f>
        <v>0</v>
      </c>
      <c r="AS59" s="267">
        <f>IF($AL59="",0,'All Ticker P&amp;L'!M59)</f>
        <v>0</v>
      </c>
      <c r="AT59" s="243" t="str">
        <f>IF($AL59="","",RANK(AR59,$AR$2:$AR$1001)+COUNTIF($AR$2:AR59,AR59)-1)</f>
        <v/>
      </c>
      <c r="AU59" s="243" t="str">
        <f>IF($AL59="","",RANK(AV59,$AV$2:$AV$1001)+COUNTIF($AV$2:AV59,AV59)-1)</f>
        <v/>
      </c>
      <c r="AV59" s="266">
        <f t="shared" si="1"/>
        <v>0</v>
      </c>
    </row>
    <row r="60" spans="1:48" ht="15" customHeight="1" x14ac:dyDescent="0.2">
      <c r="Z60" s="243" t="str">
        <f>Shares!A60</f>
        <v/>
      </c>
      <c r="AA60" s="243" t="str">
        <f>Shares!B60</f>
        <v/>
      </c>
      <c r="AB60" s="243" t="str">
        <f>Shares!C60</f>
        <v/>
      </c>
      <c r="AC60" s="243" t="str">
        <f>Shares!D60</f>
        <v/>
      </c>
      <c r="AD60" s="265">
        <f>IF($Z60="",0,Shares!E60)</f>
        <v>0</v>
      </c>
      <c r="AE60" s="266">
        <f>IF($Z60="",0,Shares!J60*Shares!I60)</f>
        <v>0</v>
      </c>
      <c r="AF60" s="267">
        <f t="shared" si="0"/>
        <v>0</v>
      </c>
      <c r="AG60" s="266">
        <f>IF($Z60="",0,Shares!L60)</f>
        <v>0</v>
      </c>
      <c r="AH60" s="267">
        <f>IF($Z60="",0,Shares!M60)</f>
        <v>0</v>
      </c>
      <c r="AI60" s="243" t="str">
        <f>IF($Z60="","",RANK(AE60,$AE$2:$AE$1001)+COUNTIF($AE$2:AE60,AE60)-1)</f>
        <v/>
      </c>
      <c r="AJ60" s="243" t="str">
        <f>IF($AD60&lt;0,COUNT($AJ$1:AJ59)+1,"")</f>
        <v/>
      </c>
      <c r="AL60" s="243" t="str">
        <f>'All Ticker P&amp;L'!A60</f>
        <v/>
      </c>
      <c r="AM60" s="243" t="str">
        <f>'All Ticker P&amp;L'!B60</f>
        <v/>
      </c>
      <c r="AN60" s="243" t="str">
        <f>'All Ticker P&amp;L'!C60</f>
        <v/>
      </c>
      <c r="AO60" s="243" t="str">
        <f>'All Ticker P&amp;L'!D60</f>
        <v/>
      </c>
      <c r="AP60" s="265">
        <f>IF($AL60="",0,'All Ticker P&amp;L'!E60)</f>
        <v>0</v>
      </c>
      <c r="AQ60" s="266">
        <f>IF($AL60="",0,'All Ticker P&amp;L'!J60*'All Ticker P&amp;L'!I60)</f>
        <v>0</v>
      </c>
      <c r="AR60" s="266">
        <f>IF($AL60="",0,'All Ticker P&amp;L'!L60)</f>
        <v>0</v>
      </c>
      <c r="AS60" s="267">
        <f>IF($AL60="",0,'All Ticker P&amp;L'!M60)</f>
        <v>0</v>
      </c>
      <c r="AT60" s="243" t="str">
        <f>IF($AL60="","",RANK(AR60,$AR$2:$AR$1001)+COUNTIF($AR$2:AR60,AR60)-1)</f>
        <v/>
      </c>
      <c r="AU60" s="243" t="str">
        <f>IF($AL60="","",RANK(AV60,$AV$2:$AV$1001)+COUNTIF($AV$2:AV60,AV60)-1)</f>
        <v/>
      </c>
      <c r="AV60" s="266">
        <f t="shared" si="1"/>
        <v>0</v>
      </c>
    </row>
    <row r="61" spans="1:48" ht="15" customHeight="1" x14ac:dyDescent="0.2">
      <c r="Z61" s="243" t="str">
        <f>Shares!A61</f>
        <v/>
      </c>
      <c r="AA61" s="243" t="str">
        <f>Shares!B61</f>
        <v/>
      </c>
      <c r="AB61" s="243" t="str">
        <f>Shares!C61</f>
        <v/>
      </c>
      <c r="AC61" s="243" t="str">
        <f>Shares!D61</f>
        <v/>
      </c>
      <c r="AD61" s="265">
        <f>IF($Z61="",0,Shares!E61)</f>
        <v>0</v>
      </c>
      <c r="AE61" s="266">
        <f>IF($Z61="",0,Shares!J61*Shares!I61)</f>
        <v>0</v>
      </c>
      <c r="AF61" s="267">
        <f t="shared" si="0"/>
        <v>0</v>
      </c>
      <c r="AG61" s="266">
        <f>IF($Z61="",0,Shares!L61)</f>
        <v>0</v>
      </c>
      <c r="AH61" s="267">
        <f>IF($Z61="",0,Shares!M61)</f>
        <v>0</v>
      </c>
      <c r="AI61" s="243" t="str">
        <f>IF($Z61="","",RANK(AE61,$AE$2:$AE$1001)+COUNTIF($AE$2:AE61,AE61)-1)</f>
        <v/>
      </c>
      <c r="AJ61" s="243" t="str">
        <f>IF($AD61&lt;0,COUNT($AJ$1:AJ60)+1,"")</f>
        <v/>
      </c>
      <c r="AL61" s="243" t="str">
        <f>'All Ticker P&amp;L'!A61</f>
        <v/>
      </c>
      <c r="AM61" s="243" t="str">
        <f>'All Ticker P&amp;L'!B61</f>
        <v/>
      </c>
      <c r="AN61" s="243" t="str">
        <f>'All Ticker P&amp;L'!C61</f>
        <v/>
      </c>
      <c r="AO61" s="243" t="str">
        <f>'All Ticker P&amp;L'!D61</f>
        <v/>
      </c>
      <c r="AP61" s="265">
        <f>IF($AL61="",0,'All Ticker P&amp;L'!E61)</f>
        <v>0</v>
      </c>
      <c r="AQ61" s="266">
        <f>IF($AL61="",0,'All Ticker P&amp;L'!J61*'All Ticker P&amp;L'!I61)</f>
        <v>0</v>
      </c>
      <c r="AR61" s="266">
        <f>IF($AL61="",0,'All Ticker P&amp;L'!L61)</f>
        <v>0</v>
      </c>
      <c r="AS61" s="267">
        <f>IF($AL61="",0,'All Ticker P&amp;L'!M61)</f>
        <v>0</v>
      </c>
      <c r="AT61" s="243" t="str">
        <f>IF($AL61="","",RANK(AR61,$AR$2:$AR$1001)+COUNTIF($AR$2:AR61,AR61)-1)</f>
        <v/>
      </c>
      <c r="AU61" s="243" t="str">
        <f>IF($AL61="","",RANK(AV61,$AV$2:$AV$1001)+COUNTIF($AV$2:AV61,AV61)-1)</f>
        <v/>
      </c>
      <c r="AV61" s="266">
        <f t="shared" si="1"/>
        <v>0</v>
      </c>
    </row>
    <row r="62" spans="1:48" ht="15" customHeight="1" x14ac:dyDescent="0.2">
      <c r="Z62" s="243" t="str">
        <f>Shares!A62</f>
        <v/>
      </c>
      <c r="AA62" s="243" t="str">
        <f>Shares!B62</f>
        <v/>
      </c>
      <c r="AB62" s="243" t="str">
        <f>Shares!C62</f>
        <v/>
      </c>
      <c r="AC62" s="243" t="str">
        <f>Shares!D62</f>
        <v/>
      </c>
      <c r="AD62" s="265">
        <f>IF($Z62="",0,Shares!E62)</f>
        <v>0</v>
      </c>
      <c r="AE62" s="266">
        <f>IF($Z62="",0,Shares!J62*Shares!I62)</f>
        <v>0</v>
      </c>
      <c r="AF62" s="267">
        <f t="shared" si="0"/>
        <v>0</v>
      </c>
      <c r="AG62" s="266">
        <f>IF($Z62="",0,Shares!L62)</f>
        <v>0</v>
      </c>
      <c r="AH62" s="267">
        <f>IF($Z62="",0,Shares!M62)</f>
        <v>0</v>
      </c>
      <c r="AI62" s="243" t="str">
        <f>IF($Z62="","",RANK(AE62,$AE$2:$AE$1001)+COUNTIF($AE$2:AE62,AE62)-1)</f>
        <v/>
      </c>
      <c r="AJ62" s="243" t="str">
        <f>IF($AD62&lt;0,COUNT($AJ$1:AJ61)+1,"")</f>
        <v/>
      </c>
      <c r="AL62" s="243" t="str">
        <f>'All Ticker P&amp;L'!A62</f>
        <v/>
      </c>
      <c r="AM62" s="243" t="str">
        <f>'All Ticker P&amp;L'!B62</f>
        <v/>
      </c>
      <c r="AN62" s="243" t="str">
        <f>'All Ticker P&amp;L'!C62</f>
        <v/>
      </c>
      <c r="AO62" s="243" t="str">
        <f>'All Ticker P&amp;L'!D62</f>
        <v/>
      </c>
      <c r="AP62" s="265">
        <f>IF($AL62="",0,'All Ticker P&amp;L'!E62)</f>
        <v>0</v>
      </c>
      <c r="AQ62" s="266">
        <f>IF($AL62="",0,'All Ticker P&amp;L'!J62*'All Ticker P&amp;L'!I62)</f>
        <v>0</v>
      </c>
      <c r="AR62" s="266">
        <f>IF($AL62="",0,'All Ticker P&amp;L'!L62)</f>
        <v>0</v>
      </c>
      <c r="AS62" s="267">
        <f>IF($AL62="",0,'All Ticker P&amp;L'!M62)</f>
        <v>0</v>
      </c>
      <c r="AT62" s="243" t="str">
        <f>IF($AL62="","",RANK(AR62,$AR$2:$AR$1001)+COUNTIF($AR$2:AR62,AR62)-1)</f>
        <v/>
      </c>
      <c r="AU62" s="243" t="str">
        <f>IF($AL62="","",RANK(AV62,$AV$2:$AV$1001)+COUNTIF($AV$2:AV62,AV62)-1)</f>
        <v/>
      </c>
      <c r="AV62" s="266">
        <f t="shared" si="1"/>
        <v>0</v>
      </c>
    </row>
    <row r="63" spans="1:48" ht="15" customHeight="1" x14ac:dyDescent="0.2">
      <c r="Z63" s="243" t="str">
        <f>Shares!A63</f>
        <v/>
      </c>
      <c r="AA63" s="243" t="str">
        <f>Shares!B63</f>
        <v/>
      </c>
      <c r="AB63" s="243" t="str">
        <f>Shares!C63</f>
        <v/>
      </c>
      <c r="AC63" s="243" t="str">
        <f>Shares!D63</f>
        <v/>
      </c>
      <c r="AD63" s="265">
        <f>IF($Z63="",0,Shares!E63)</f>
        <v>0</v>
      </c>
      <c r="AE63" s="266">
        <f>IF($Z63="",0,Shares!J63*Shares!I63)</f>
        <v>0</v>
      </c>
      <c r="AF63" s="267">
        <f t="shared" si="0"/>
        <v>0</v>
      </c>
      <c r="AG63" s="266">
        <f>IF($Z63="",0,Shares!L63)</f>
        <v>0</v>
      </c>
      <c r="AH63" s="267">
        <f>IF($Z63="",0,Shares!M63)</f>
        <v>0</v>
      </c>
      <c r="AI63" s="243" t="str">
        <f>IF($Z63="","",RANK(AE63,$AE$2:$AE$1001)+COUNTIF($AE$2:AE63,AE63)-1)</f>
        <v/>
      </c>
      <c r="AJ63" s="243" t="str">
        <f>IF($AD63&lt;0,COUNT($AJ$1:AJ62)+1,"")</f>
        <v/>
      </c>
      <c r="AL63" s="243" t="str">
        <f>'All Ticker P&amp;L'!A63</f>
        <v/>
      </c>
      <c r="AM63" s="243" t="str">
        <f>'All Ticker P&amp;L'!B63</f>
        <v/>
      </c>
      <c r="AN63" s="243" t="str">
        <f>'All Ticker P&amp;L'!C63</f>
        <v/>
      </c>
      <c r="AO63" s="243" t="str">
        <f>'All Ticker P&amp;L'!D63</f>
        <v/>
      </c>
      <c r="AP63" s="265">
        <f>IF($AL63="",0,'All Ticker P&amp;L'!E63)</f>
        <v>0</v>
      </c>
      <c r="AQ63" s="266">
        <f>IF($AL63="",0,'All Ticker P&amp;L'!J63*'All Ticker P&amp;L'!I63)</f>
        <v>0</v>
      </c>
      <c r="AR63" s="266">
        <f>IF($AL63="",0,'All Ticker P&amp;L'!L63)</f>
        <v>0</v>
      </c>
      <c r="AS63" s="267">
        <f>IF($AL63="",0,'All Ticker P&amp;L'!M63)</f>
        <v>0</v>
      </c>
      <c r="AT63" s="243" t="str">
        <f>IF($AL63="","",RANK(AR63,$AR$2:$AR$1001)+COUNTIF($AR$2:AR63,AR63)-1)</f>
        <v/>
      </c>
      <c r="AU63" s="243" t="str">
        <f>IF($AL63="","",RANK(AV63,$AV$2:$AV$1001)+COUNTIF($AV$2:AV63,AV63)-1)</f>
        <v/>
      </c>
      <c r="AV63" s="266">
        <f t="shared" si="1"/>
        <v>0</v>
      </c>
    </row>
    <row r="64" spans="1:48" ht="15" customHeight="1" x14ac:dyDescent="0.2">
      <c r="Z64" s="243" t="str">
        <f>Shares!A64</f>
        <v/>
      </c>
      <c r="AA64" s="243" t="str">
        <f>Shares!B64</f>
        <v/>
      </c>
      <c r="AB64" s="243" t="str">
        <f>Shares!C64</f>
        <v/>
      </c>
      <c r="AC64" s="243" t="str">
        <f>Shares!D64</f>
        <v/>
      </c>
      <c r="AD64" s="265">
        <f>IF($Z64="",0,Shares!E64)</f>
        <v>0</v>
      </c>
      <c r="AE64" s="266">
        <f>IF($Z64="",0,Shares!J64*Shares!I64)</f>
        <v>0</v>
      </c>
      <c r="AF64" s="267">
        <f t="shared" si="0"/>
        <v>0</v>
      </c>
      <c r="AG64" s="266">
        <f>IF($Z64="",0,Shares!L64)</f>
        <v>0</v>
      </c>
      <c r="AH64" s="267">
        <f>IF($Z64="",0,Shares!M64)</f>
        <v>0</v>
      </c>
      <c r="AI64" s="243" t="str">
        <f>IF($Z64="","",RANK(AE64,$AE$2:$AE$1001)+COUNTIF($AE$2:AE64,AE64)-1)</f>
        <v/>
      </c>
      <c r="AJ64" s="243" t="str">
        <f>IF($AD64&lt;0,COUNT($AJ$1:AJ63)+1,"")</f>
        <v/>
      </c>
      <c r="AL64" s="243" t="str">
        <f>'All Ticker P&amp;L'!A64</f>
        <v/>
      </c>
      <c r="AM64" s="243" t="str">
        <f>'All Ticker P&amp;L'!B64</f>
        <v/>
      </c>
      <c r="AN64" s="243" t="str">
        <f>'All Ticker P&amp;L'!C64</f>
        <v/>
      </c>
      <c r="AO64" s="243" t="str">
        <f>'All Ticker P&amp;L'!D64</f>
        <v/>
      </c>
      <c r="AP64" s="265">
        <f>IF($AL64="",0,'All Ticker P&amp;L'!E64)</f>
        <v>0</v>
      </c>
      <c r="AQ64" s="266">
        <f>IF($AL64="",0,'All Ticker P&amp;L'!J64*'All Ticker P&amp;L'!I64)</f>
        <v>0</v>
      </c>
      <c r="AR64" s="266">
        <f>IF($AL64="",0,'All Ticker P&amp;L'!L64)</f>
        <v>0</v>
      </c>
      <c r="AS64" s="267">
        <f>IF($AL64="",0,'All Ticker P&amp;L'!M64)</f>
        <v>0</v>
      </c>
      <c r="AT64" s="243" t="str">
        <f>IF($AL64="","",RANK(AR64,$AR$2:$AR$1001)+COUNTIF($AR$2:AR64,AR64)-1)</f>
        <v/>
      </c>
      <c r="AU64" s="243" t="str">
        <f>IF($AL64="","",RANK(AV64,$AV$2:$AV$1001)+COUNTIF($AV$2:AV64,AV64)-1)</f>
        <v/>
      </c>
      <c r="AV64" s="266">
        <f t="shared" si="1"/>
        <v>0</v>
      </c>
    </row>
    <row r="65" spans="26:48" ht="15" customHeight="1" x14ac:dyDescent="0.2">
      <c r="Z65" s="243" t="str">
        <f>Shares!A65</f>
        <v/>
      </c>
      <c r="AA65" s="243" t="str">
        <f>Shares!B65</f>
        <v/>
      </c>
      <c r="AB65" s="243" t="str">
        <f>Shares!C65</f>
        <v/>
      </c>
      <c r="AC65" s="243" t="str">
        <f>Shares!D65</f>
        <v/>
      </c>
      <c r="AD65" s="265">
        <f>IF($Z65="",0,Shares!E65)</f>
        <v>0</v>
      </c>
      <c r="AE65" s="266">
        <f>IF($Z65="",0,Shares!J65*Shares!I65)</f>
        <v>0</v>
      </c>
      <c r="AF65" s="267">
        <f t="shared" si="0"/>
        <v>0</v>
      </c>
      <c r="AG65" s="266">
        <f>IF($Z65="",0,Shares!L65)</f>
        <v>0</v>
      </c>
      <c r="AH65" s="267">
        <f>IF($Z65="",0,Shares!M65)</f>
        <v>0</v>
      </c>
      <c r="AI65" s="243" t="str">
        <f>IF($Z65="","",RANK(AE65,$AE$2:$AE$1001)+COUNTIF($AE$2:AE65,AE65)-1)</f>
        <v/>
      </c>
      <c r="AJ65" s="243" t="str">
        <f>IF($AD65&lt;0,COUNT($AJ$1:AJ64)+1,"")</f>
        <v/>
      </c>
      <c r="AL65" s="243" t="str">
        <f>'All Ticker P&amp;L'!A65</f>
        <v/>
      </c>
      <c r="AM65" s="243" t="str">
        <f>'All Ticker P&amp;L'!B65</f>
        <v/>
      </c>
      <c r="AN65" s="243" t="str">
        <f>'All Ticker P&amp;L'!C65</f>
        <v/>
      </c>
      <c r="AO65" s="243" t="str">
        <f>'All Ticker P&amp;L'!D65</f>
        <v/>
      </c>
      <c r="AP65" s="265">
        <f>IF($AL65="",0,'All Ticker P&amp;L'!E65)</f>
        <v>0</v>
      </c>
      <c r="AQ65" s="266">
        <f>IF($AL65="",0,'All Ticker P&amp;L'!J65*'All Ticker P&amp;L'!I65)</f>
        <v>0</v>
      </c>
      <c r="AR65" s="266">
        <f>IF($AL65="",0,'All Ticker P&amp;L'!L65)</f>
        <v>0</v>
      </c>
      <c r="AS65" s="267">
        <f>IF($AL65="",0,'All Ticker P&amp;L'!M65)</f>
        <v>0</v>
      </c>
      <c r="AT65" s="243" t="str">
        <f>IF($AL65="","",RANK(AR65,$AR$2:$AR$1001)+COUNTIF($AR$2:AR65,AR65)-1)</f>
        <v/>
      </c>
      <c r="AU65" s="243" t="str">
        <f>IF($AL65="","",RANK(AV65,$AV$2:$AV$1001)+COUNTIF($AV$2:AV65,AV65)-1)</f>
        <v/>
      </c>
      <c r="AV65" s="266">
        <f t="shared" si="1"/>
        <v>0</v>
      </c>
    </row>
    <row r="66" spans="26:48" ht="15" customHeight="1" x14ac:dyDescent="0.2">
      <c r="Z66" s="243" t="str">
        <f>Shares!A66</f>
        <v/>
      </c>
      <c r="AA66" s="243" t="str">
        <f>Shares!B66</f>
        <v/>
      </c>
      <c r="AB66" s="243" t="str">
        <f>Shares!C66</f>
        <v/>
      </c>
      <c r="AC66" s="243" t="str">
        <f>Shares!D66</f>
        <v/>
      </c>
      <c r="AD66" s="243">
        <f>IF($Z66="",0,Shares!E66)</f>
        <v>0</v>
      </c>
      <c r="AE66" s="266">
        <f>IF($Z66="",0,Shares!J66*Shares!I66)</f>
        <v>0</v>
      </c>
      <c r="AF66" s="267">
        <f t="shared" ref="AF66:AF129" si="33">IFERROR(AE66/$B$5,0)</f>
        <v>0</v>
      </c>
      <c r="AG66" s="266">
        <f>IF($Z66="",0,Shares!L66)</f>
        <v>0</v>
      </c>
      <c r="AH66" s="267">
        <f>IF($Z66="",0,Shares!M66)</f>
        <v>0</v>
      </c>
      <c r="AI66" s="243" t="str">
        <f>IF($Z66="","",RANK(AE66,$AE$2:$AE$1001)+COUNTIF($AE$2:AE66,AE66)-1)</f>
        <v/>
      </c>
      <c r="AJ66" s="243" t="str">
        <f>IF($AD66&lt;0,COUNT($AJ$1:AJ65)+1,"")</f>
        <v/>
      </c>
      <c r="AL66" s="243" t="str">
        <f>'All Ticker P&amp;L'!A66</f>
        <v/>
      </c>
      <c r="AM66" s="243" t="str">
        <f>'All Ticker P&amp;L'!B66</f>
        <v/>
      </c>
      <c r="AN66" s="243" t="str">
        <f>'All Ticker P&amp;L'!C66</f>
        <v/>
      </c>
      <c r="AO66" s="243" t="str">
        <f>'All Ticker P&amp;L'!D66</f>
        <v/>
      </c>
      <c r="AP66" s="265">
        <f>IF($AL66="",0,'All Ticker P&amp;L'!E66)</f>
        <v>0</v>
      </c>
      <c r="AQ66" s="266">
        <f>IF($AL66="",0,'All Ticker P&amp;L'!J66*'All Ticker P&amp;L'!I66)</f>
        <v>0</v>
      </c>
      <c r="AR66" s="266">
        <f>IF($AL66="",0,'All Ticker P&amp;L'!L66)</f>
        <v>0</v>
      </c>
      <c r="AS66" s="267">
        <f>IF($AL66="",0,'All Ticker P&amp;L'!M66)</f>
        <v>0</v>
      </c>
      <c r="AT66" s="243" t="str">
        <f>IF($AL66="","",RANK(AR66,$AR$2:$AR$1001)+COUNTIF($AR$2:AR66,AR66)-1)</f>
        <v/>
      </c>
      <c r="AU66" s="243" t="str">
        <f>IF($AL66="","",RANK(AV66,$AV$2:$AV$1001)+COUNTIF($AV$2:AV66,AV66)-1)</f>
        <v/>
      </c>
      <c r="AV66" s="266">
        <f t="shared" ref="AV66:AV129" si="34">-AR66</f>
        <v>0</v>
      </c>
    </row>
    <row r="67" spans="26:48" ht="15" customHeight="1" x14ac:dyDescent="0.2">
      <c r="Z67" s="243" t="str">
        <f>Shares!A67</f>
        <v/>
      </c>
      <c r="AA67" s="243" t="str">
        <f>Shares!B67</f>
        <v/>
      </c>
      <c r="AB67" s="243" t="str">
        <f>Shares!C67</f>
        <v/>
      </c>
      <c r="AC67" s="243" t="str">
        <f>Shares!D67</f>
        <v/>
      </c>
      <c r="AD67" s="243">
        <f>IF($Z67="",0,Shares!E67)</f>
        <v>0</v>
      </c>
      <c r="AE67" s="266">
        <f>IF($Z67="",0,Shares!J67*Shares!I67)</f>
        <v>0</v>
      </c>
      <c r="AF67" s="267">
        <f t="shared" si="33"/>
        <v>0</v>
      </c>
      <c r="AG67" s="266">
        <f>IF($Z67="",0,Shares!L67)</f>
        <v>0</v>
      </c>
      <c r="AH67" s="267">
        <f>IF($Z67="",0,Shares!M67)</f>
        <v>0</v>
      </c>
      <c r="AI67" s="243" t="str">
        <f>IF($Z67="","",RANK(AE67,$AE$2:$AE$1001)+COUNTIF($AE$2:AE67,AE67)-1)</f>
        <v/>
      </c>
      <c r="AJ67" s="243" t="str">
        <f>IF($AD67&lt;0,COUNT($AJ$1:AJ66)+1,"")</f>
        <v/>
      </c>
      <c r="AL67" s="243" t="str">
        <f>'All Ticker P&amp;L'!A67</f>
        <v/>
      </c>
      <c r="AM67" s="243" t="str">
        <f>'All Ticker P&amp;L'!B67</f>
        <v/>
      </c>
      <c r="AN67" s="243" t="str">
        <f>'All Ticker P&amp;L'!C67</f>
        <v/>
      </c>
      <c r="AO67" s="243" t="str">
        <f>'All Ticker P&amp;L'!D67</f>
        <v/>
      </c>
      <c r="AP67" s="265">
        <f>IF($AL67="",0,'All Ticker P&amp;L'!E67)</f>
        <v>0</v>
      </c>
      <c r="AQ67" s="266">
        <f>IF($AL67="",0,'All Ticker P&amp;L'!J67*'All Ticker P&amp;L'!I67)</f>
        <v>0</v>
      </c>
      <c r="AR67" s="266">
        <f>IF($AL67="",0,'All Ticker P&amp;L'!L67)</f>
        <v>0</v>
      </c>
      <c r="AS67" s="267">
        <f>IF($AL67="",0,'All Ticker P&amp;L'!M67)</f>
        <v>0</v>
      </c>
      <c r="AT67" s="243" t="str">
        <f>IF($AL67="","",RANK(AR67,$AR$2:$AR$1001)+COUNTIF($AR$2:AR67,AR67)-1)</f>
        <v/>
      </c>
      <c r="AU67" s="243" t="str">
        <f>IF($AL67="","",RANK(AV67,$AV$2:$AV$1001)+COUNTIF($AV$2:AV67,AV67)-1)</f>
        <v/>
      </c>
      <c r="AV67" s="266">
        <f t="shared" si="34"/>
        <v>0</v>
      </c>
    </row>
    <row r="68" spans="26:48" ht="15" customHeight="1" x14ac:dyDescent="0.2">
      <c r="Z68" s="243" t="str">
        <f>Shares!A68</f>
        <v/>
      </c>
      <c r="AA68" s="243" t="str">
        <f>Shares!B68</f>
        <v/>
      </c>
      <c r="AB68" s="243" t="str">
        <f>Shares!C68</f>
        <v/>
      </c>
      <c r="AC68" s="243" t="str">
        <f>Shares!D68</f>
        <v/>
      </c>
      <c r="AD68" s="243">
        <f>IF($Z68="",0,Shares!E68)</f>
        <v>0</v>
      </c>
      <c r="AE68" s="266">
        <f>IF($Z68="",0,Shares!J68*Shares!I68)</f>
        <v>0</v>
      </c>
      <c r="AF68" s="267">
        <f t="shared" si="33"/>
        <v>0</v>
      </c>
      <c r="AG68" s="266">
        <f>IF($Z68="",0,Shares!L68)</f>
        <v>0</v>
      </c>
      <c r="AH68" s="267">
        <f>IF($Z68="",0,Shares!M68)</f>
        <v>0</v>
      </c>
      <c r="AI68" s="243" t="str">
        <f>IF($Z68="","",RANK(AE68,$AE$2:$AE$1001)+COUNTIF($AE$2:AE68,AE68)-1)</f>
        <v/>
      </c>
      <c r="AJ68" s="243" t="str">
        <f>IF($AD68&lt;0,COUNT($AJ$1:AJ67)+1,"")</f>
        <v/>
      </c>
      <c r="AL68" s="243" t="str">
        <f>'All Ticker P&amp;L'!A68</f>
        <v/>
      </c>
      <c r="AM68" s="243" t="str">
        <f>'All Ticker P&amp;L'!B68</f>
        <v/>
      </c>
      <c r="AN68" s="243" t="str">
        <f>'All Ticker P&amp;L'!C68</f>
        <v/>
      </c>
      <c r="AO68" s="243" t="str">
        <f>'All Ticker P&amp;L'!D68</f>
        <v/>
      </c>
      <c r="AP68" s="265">
        <f>IF($AL68="",0,'All Ticker P&amp;L'!E68)</f>
        <v>0</v>
      </c>
      <c r="AQ68" s="266">
        <f>IF($AL68="",0,'All Ticker P&amp;L'!J68*'All Ticker P&amp;L'!I68)</f>
        <v>0</v>
      </c>
      <c r="AR68" s="266">
        <f>IF($AL68="",0,'All Ticker P&amp;L'!L68)</f>
        <v>0</v>
      </c>
      <c r="AS68" s="267">
        <f>IF($AL68="",0,'All Ticker P&amp;L'!M68)</f>
        <v>0</v>
      </c>
      <c r="AT68" s="243" t="str">
        <f>IF($AL68="","",RANK(AR68,$AR$2:$AR$1001)+COUNTIF($AR$2:AR68,AR68)-1)</f>
        <v/>
      </c>
      <c r="AU68" s="243" t="str">
        <f>IF($AL68="","",RANK(AV68,$AV$2:$AV$1001)+COUNTIF($AV$2:AV68,AV68)-1)</f>
        <v/>
      </c>
      <c r="AV68" s="266">
        <f t="shared" si="34"/>
        <v>0</v>
      </c>
    </row>
    <row r="69" spans="26:48" ht="15" customHeight="1" x14ac:dyDescent="0.2">
      <c r="Z69" s="243" t="str">
        <f>Shares!A69</f>
        <v/>
      </c>
      <c r="AA69" s="243" t="str">
        <f>Shares!B69</f>
        <v/>
      </c>
      <c r="AB69" s="243" t="str">
        <f>Shares!C69</f>
        <v/>
      </c>
      <c r="AC69" s="243" t="str">
        <f>Shares!D69</f>
        <v/>
      </c>
      <c r="AD69" s="243">
        <f>IF($Z69="",0,Shares!E69)</f>
        <v>0</v>
      </c>
      <c r="AE69" s="266">
        <f>IF($Z69="",0,Shares!J69*Shares!I69)</f>
        <v>0</v>
      </c>
      <c r="AF69" s="267">
        <f t="shared" si="33"/>
        <v>0</v>
      </c>
      <c r="AG69" s="266">
        <f>IF($Z69="",0,Shares!L69)</f>
        <v>0</v>
      </c>
      <c r="AH69" s="267">
        <f>IF($Z69="",0,Shares!M69)</f>
        <v>0</v>
      </c>
      <c r="AI69" s="243" t="str">
        <f>IF($Z69="","",RANK(AE69,$AE$2:$AE$1001)+COUNTIF($AE$2:AE69,AE69)-1)</f>
        <v/>
      </c>
      <c r="AJ69" s="243" t="str">
        <f>IF($AD69&lt;0,COUNT($AJ$1:AJ68)+1,"")</f>
        <v/>
      </c>
      <c r="AL69" s="243" t="str">
        <f>'All Ticker P&amp;L'!A69</f>
        <v/>
      </c>
      <c r="AM69" s="243" t="str">
        <f>'All Ticker P&amp;L'!B69</f>
        <v/>
      </c>
      <c r="AN69" s="243" t="str">
        <f>'All Ticker P&amp;L'!C69</f>
        <v/>
      </c>
      <c r="AO69" s="243" t="str">
        <f>'All Ticker P&amp;L'!D69</f>
        <v/>
      </c>
      <c r="AP69" s="265">
        <f>IF($AL69="",0,'All Ticker P&amp;L'!E69)</f>
        <v>0</v>
      </c>
      <c r="AQ69" s="266">
        <f>IF($AL69="",0,'All Ticker P&amp;L'!J69*'All Ticker P&amp;L'!I69)</f>
        <v>0</v>
      </c>
      <c r="AR69" s="266">
        <f>IF($AL69="",0,'All Ticker P&amp;L'!L69)</f>
        <v>0</v>
      </c>
      <c r="AS69" s="267">
        <f>IF($AL69="",0,'All Ticker P&amp;L'!M69)</f>
        <v>0</v>
      </c>
      <c r="AT69" s="243" t="str">
        <f>IF($AL69="","",RANK(AR69,$AR$2:$AR$1001)+COUNTIF($AR$2:AR69,AR69)-1)</f>
        <v/>
      </c>
      <c r="AU69" s="243" t="str">
        <f>IF($AL69="","",RANK(AV69,$AV$2:$AV$1001)+COUNTIF($AV$2:AV69,AV69)-1)</f>
        <v/>
      </c>
      <c r="AV69" s="266">
        <f t="shared" si="34"/>
        <v>0</v>
      </c>
    </row>
    <row r="70" spans="26:48" ht="15" customHeight="1" x14ac:dyDescent="0.2">
      <c r="Z70" s="243" t="str">
        <f>Shares!A70</f>
        <v/>
      </c>
      <c r="AA70" s="243" t="str">
        <f>Shares!B70</f>
        <v/>
      </c>
      <c r="AB70" s="243" t="str">
        <f>Shares!C70</f>
        <v/>
      </c>
      <c r="AC70" s="243" t="str">
        <f>Shares!D70</f>
        <v/>
      </c>
      <c r="AD70" s="243">
        <f>IF($Z70="",0,Shares!E70)</f>
        <v>0</v>
      </c>
      <c r="AE70" s="266">
        <f>IF($Z70="",0,Shares!J70*Shares!I70)</f>
        <v>0</v>
      </c>
      <c r="AF70" s="267">
        <f t="shared" si="33"/>
        <v>0</v>
      </c>
      <c r="AG70" s="266">
        <f>IF($Z70="",0,Shares!L70)</f>
        <v>0</v>
      </c>
      <c r="AH70" s="267">
        <f>IF($Z70="",0,Shares!M70)</f>
        <v>0</v>
      </c>
      <c r="AI70" s="243" t="str">
        <f>IF($Z70="","",RANK(AE70,$AE$2:$AE$1001)+COUNTIF($AE$2:AE70,AE70)-1)</f>
        <v/>
      </c>
      <c r="AJ70" s="243" t="str">
        <f>IF($AD70&lt;0,COUNT($AJ$1:AJ69)+1,"")</f>
        <v/>
      </c>
      <c r="AL70" s="243" t="str">
        <f>'All Ticker P&amp;L'!A70</f>
        <v/>
      </c>
      <c r="AM70" s="243" t="str">
        <f>'All Ticker P&amp;L'!B70</f>
        <v/>
      </c>
      <c r="AN70" s="243" t="str">
        <f>'All Ticker P&amp;L'!C70</f>
        <v/>
      </c>
      <c r="AO70" s="243" t="str">
        <f>'All Ticker P&amp;L'!D70</f>
        <v/>
      </c>
      <c r="AP70" s="265">
        <f>IF($AL70="",0,'All Ticker P&amp;L'!E70)</f>
        <v>0</v>
      </c>
      <c r="AQ70" s="266">
        <f>IF($AL70="",0,'All Ticker P&amp;L'!J70*'All Ticker P&amp;L'!I70)</f>
        <v>0</v>
      </c>
      <c r="AR70" s="266">
        <f>IF($AL70="",0,'All Ticker P&amp;L'!L70)</f>
        <v>0</v>
      </c>
      <c r="AS70" s="267">
        <f>IF($AL70="",0,'All Ticker P&amp;L'!M70)</f>
        <v>0</v>
      </c>
      <c r="AT70" s="243" t="str">
        <f>IF($AL70="","",RANK(AR70,$AR$2:$AR$1001)+COUNTIF($AR$2:AR70,AR70)-1)</f>
        <v/>
      </c>
      <c r="AU70" s="243" t="str">
        <f>IF($AL70="","",RANK(AV70,$AV$2:$AV$1001)+COUNTIF($AV$2:AV70,AV70)-1)</f>
        <v/>
      </c>
      <c r="AV70" s="266">
        <f t="shared" si="34"/>
        <v>0</v>
      </c>
    </row>
    <row r="71" spans="26:48" ht="15" customHeight="1" x14ac:dyDescent="0.2">
      <c r="Z71" s="243" t="str">
        <f>Shares!A71</f>
        <v/>
      </c>
      <c r="AA71" s="243" t="str">
        <f>Shares!B71</f>
        <v/>
      </c>
      <c r="AB71" s="243" t="str">
        <f>Shares!C71</f>
        <v/>
      </c>
      <c r="AC71" s="243" t="str">
        <f>Shares!D71</f>
        <v/>
      </c>
      <c r="AD71" s="243">
        <f>IF($Z71="",0,Shares!E71)</f>
        <v>0</v>
      </c>
      <c r="AE71" s="266">
        <f>IF($Z71="",0,Shares!J71*Shares!I71)</f>
        <v>0</v>
      </c>
      <c r="AF71" s="267">
        <f t="shared" si="33"/>
        <v>0</v>
      </c>
      <c r="AG71" s="266">
        <f>IF($Z71="",0,Shares!L71)</f>
        <v>0</v>
      </c>
      <c r="AH71" s="267">
        <f>IF($Z71="",0,Shares!M71)</f>
        <v>0</v>
      </c>
      <c r="AI71" s="243" t="str">
        <f>IF($Z71="","",RANK(AE71,$AE$2:$AE$1001)+COUNTIF($AE$2:AE71,AE71)-1)</f>
        <v/>
      </c>
      <c r="AJ71" s="243" t="str">
        <f>IF($AD71&lt;0,COUNT($AJ$1:AJ70)+1,"")</f>
        <v/>
      </c>
      <c r="AL71" s="243" t="str">
        <f>'All Ticker P&amp;L'!A71</f>
        <v/>
      </c>
      <c r="AM71" s="243" t="str">
        <f>'All Ticker P&amp;L'!B71</f>
        <v/>
      </c>
      <c r="AN71" s="243" t="str">
        <f>'All Ticker P&amp;L'!C71</f>
        <v/>
      </c>
      <c r="AO71" s="243" t="str">
        <f>'All Ticker P&amp;L'!D71</f>
        <v/>
      </c>
      <c r="AP71" s="265">
        <f>IF($AL71="",0,'All Ticker P&amp;L'!E71)</f>
        <v>0</v>
      </c>
      <c r="AQ71" s="266">
        <f>IF($AL71="",0,'All Ticker P&amp;L'!J71*'All Ticker P&amp;L'!I71)</f>
        <v>0</v>
      </c>
      <c r="AR71" s="266">
        <f>IF($AL71="",0,'All Ticker P&amp;L'!L71)</f>
        <v>0</v>
      </c>
      <c r="AS71" s="267">
        <f>IF($AL71="",0,'All Ticker P&amp;L'!M71)</f>
        <v>0</v>
      </c>
      <c r="AT71" s="243" t="str">
        <f>IF($AL71="","",RANK(AR71,$AR$2:$AR$1001)+COUNTIF($AR$2:AR71,AR71)-1)</f>
        <v/>
      </c>
      <c r="AU71" s="243" t="str">
        <f>IF($AL71="","",RANK(AV71,$AV$2:$AV$1001)+COUNTIF($AV$2:AV71,AV71)-1)</f>
        <v/>
      </c>
      <c r="AV71" s="266">
        <f t="shared" si="34"/>
        <v>0</v>
      </c>
    </row>
    <row r="72" spans="26:48" ht="15" customHeight="1" x14ac:dyDescent="0.2">
      <c r="Z72" s="243" t="str">
        <f>Shares!A72</f>
        <v/>
      </c>
      <c r="AA72" s="243" t="str">
        <f>Shares!B72</f>
        <v/>
      </c>
      <c r="AB72" s="243" t="str">
        <f>Shares!C72</f>
        <v/>
      </c>
      <c r="AC72" s="243" t="str">
        <f>Shares!D72</f>
        <v/>
      </c>
      <c r="AD72" s="243">
        <f>IF($Z72="",0,Shares!E72)</f>
        <v>0</v>
      </c>
      <c r="AE72" s="266">
        <f>IF($Z72="",0,Shares!J72*Shares!I72)</f>
        <v>0</v>
      </c>
      <c r="AF72" s="267">
        <f t="shared" si="33"/>
        <v>0</v>
      </c>
      <c r="AG72" s="266">
        <f>IF($Z72="",0,Shares!L72)</f>
        <v>0</v>
      </c>
      <c r="AH72" s="267">
        <f>IF($Z72="",0,Shares!M72)</f>
        <v>0</v>
      </c>
      <c r="AI72" s="243" t="str">
        <f>IF($Z72="","",RANK(AE72,$AE$2:$AE$1001)+COUNTIF($AE$2:AE72,AE72)-1)</f>
        <v/>
      </c>
      <c r="AJ72" s="243" t="str">
        <f>IF($AD72&lt;0,COUNT($AJ$1:AJ71)+1,"")</f>
        <v/>
      </c>
      <c r="AL72" s="243" t="str">
        <f>'All Ticker P&amp;L'!A72</f>
        <v/>
      </c>
      <c r="AM72" s="243" t="str">
        <f>'All Ticker P&amp;L'!B72</f>
        <v/>
      </c>
      <c r="AN72" s="243" t="str">
        <f>'All Ticker P&amp;L'!C72</f>
        <v/>
      </c>
      <c r="AO72" s="243" t="str">
        <f>'All Ticker P&amp;L'!D72</f>
        <v/>
      </c>
      <c r="AP72" s="265">
        <f>IF($AL72="",0,'All Ticker P&amp;L'!E72)</f>
        <v>0</v>
      </c>
      <c r="AQ72" s="266">
        <f>IF($AL72="",0,'All Ticker P&amp;L'!J72*'All Ticker P&amp;L'!I72)</f>
        <v>0</v>
      </c>
      <c r="AR72" s="266">
        <f>IF($AL72="",0,'All Ticker P&amp;L'!L72)</f>
        <v>0</v>
      </c>
      <c r="AS72" s="267">
        <f>IF($AL72="",0,'All Ticker P&amp;L'!M72)</f>
        <v>0</v>
      </c>
      <c r="AT72" s="243" t="str">
        <f>IF($AL72="","",RANK(AR72,$AR$2:$AR$1001)+COUNTIF($AR$2:AR72,AR72)-1)</f>
        <v/>
      </c>
      <c r="AU72" s="243" t="str">
        <f>IF($AL72="","",RANK(AV72,$AV$2:$AV$1001)+COUNTIF($AV$2:AV72,AV72)-1)</f>
        <v/>
      </c>
      <c r="AV72" s="266">
        <f t="shared" si="34"/>
        <v>0</v>
      </c>
    </row>
    <row r="73" spans="26:48" ht="15" customHeight="1" x14ac:dyDescent="0.2">
      <c r="Z73" s="243" t="str">
        <f>Shares!A73</f>
        <v/>
      </c>
      <c r="AA73" s="243" t="str">
        <f>Shares!B73</f>
        <v/>
      </c>
      <c r="AB73" s="243" t="str">
        <f>Shares!C73</f>
        <v/>
      </c>
      <c r="AC73" s="243" t="str">
        <f>Shares!D73</f>
        <v/>
      </c>
      <c r="AD73" s="243">
        <f>IF($Z73="",0,Shares!E73)</f>
        <v>0</v>
      </c>
      <c r="AE73" s="266">
        <f>IF($Z73="",0,Shares!J73*Shares!I73)</f>
        <v>0</v>
      </c>
      <c r="AF73" s="267">
        <f t="shared" si="33"/>
        <v>0</v>
      </c>
      <c r="AG73" s="266">
        <f>IF($Z73="",0,Shares!L73)</f>
        <v>0</v>
      </c>
      <c r="AH73" s="267">
        <f>IF($Z73="",0,Shares!M73)</f>
        <v>0</v>
      </c>
      <c r="AI73" s="243" t="str">
        <f>IF($Z73="","",RANK(AE73,$AE$2:$AE$1001)+COUNTIF($AE$2:AE73,AE73)-1)</f>
        <v/>
      </c>
      <c r="AJ73" s="243" t="str">
        <f>IF($AD73&lt;0,COUNT($AJ$1:AJ72)+1,"")</f>
        <v/>
      </c>
      <c r="AL73" s="243" t="str">
        <f>'All Ticker P&amp;L'!A73</f>
        <v/>
      </c>
      <c r="AM73" s="243" t="str">
        <f>'All Ticker P&amp;L'!B73</f>
        <v/>
      </c>
      <c r="AN73" s="243" t="str">
        <f>'All Ticker P&amp;L'!C73</f>
        <v/>
      </c>
      <c r="AO73" s="243" t="str">
        <f>'All Ticker P&amp;L'!D73</f>
        <v/>
      </c>
      <c r="AP73" s="265">
        <f>IF($AL73="",0,'All Ticker P&amp;L'!E73)</f>
        <v>0</v>
      </c>
      <c r="AQ73" s="266">
        <f>IF($AL73="",0,'All Ticker P&amp;L'!J73*'All Ticker P&amp;L'!I73)</f>
        <v>0</v>
      </c>
      <c r="AR73" s="266">
        <f>IF($AL73="",0,'All Ticker P&amp;L'!L73)</f>
        <v>0</v>
      </c>
      <c r="AS73" s="267">
        <f>IF($AL73="",0,'All Ticker P&amp;L'!M73)</f>
        <v>0</v>
      </c>
      <c r="AT73" s="243" t="str">
        <f>IF($AL73="","",RANK(AR73,$AR$2:$AR$1001)+COUNTIF($AR$2:AR73,AR73)-1)</f>
        <v/>
      </c>
      <c r="AU73" s="243" t="str">
        <f>IF($AL73="","",RANK(AV73,$AV$2:$AV$1001)+COUNTIF($AV$2:AV73,AV73)-1)</f>
        <v/>
      </c>
      <c r="AV73" s="266">
        <f t="shared" si="34"/>
        <v>0</v>
      </c>
    </row>
    <row r="74" spans="26:48" ht="15" customHeight="1" x14ac:dyDescent="0.2">
      <c r="Z74" s="243" t="str">
        <f>Shares!A74</f>
        <v/>
      </c>
      <c r="AA74" s="243" t="str">
        <f>Shares!B74</f>
        <v/>
      </c>
      <c r="AB74" s="243" t="str">
        <f>Shares!C74</f>
        <v/>
      </c>
      <c r="AC74" s="243" t="str">
        <f>Shares!D74</f>
        <v/>
      </c>
      <c r="AD74" s="243">
        <f>IF($Z74="",0,Shares!E74)</f>
        <v>0</v>
      </c>
      <c r="AE74" s="266">
        <f>IF($Z74="",0,Shares!J74*Shares!I74)</f>
        <v>0</v>
      </c>
      <c r="AF74" s="267">
        <f t="shared" si="33"/>
        <v>0</v>
      </c>
      <c r="AG74" s="266">
        <f>IF($Z74="",0,Shares!L74)</f>
        <v>0</v>
      </c>
      <c r="AH74" s="267">
        <f>IF($Z74="",0,Shares!M74)</f>
        <v>0</v>
      </c>
      <c r="AI74" s="243" t="str">
        <f>IF($Z74="","",RANK(AE74,$AE$2:$AE$1001)+COUNTIF($AE$2:AE74,AE74)-1)</f>
        <v/>
      </c>
      <c r="AJ74" s="243" t="str">
        <f>IF($AD74&lt;0,COUNT($AJ$1:AJ73)+1,"")</f>
        <v/>
      </c>
      <c r="AL74" s="243" t="str">
        <f>'All Ticker P&amp;L'!A74</f>
        <v/>
      </c>
      <c r="AM74" s="243" t="str">
        <f>'All Ticker P&amp;L'!B74</f>
        <v/>
      </c>
      <c r="AN74" s="243" t="str">
        <f>'All Ticker P&amp;L'!C74</f>
        <v/>
      </c>
      <c r="AO74" s="243" t="str">
        <f>'All Ticker P&amp;L'!D74</f>
        <v/>
      </c>
      <c r="AP74" s="265">
        <f>IF($AL74="",0,'All Ticker P&amp;L'!E74)</f>
        <v>0</v>
      </c>
      <c r="AQ74" s="266">
        <f>IF($AL74="",0,'All Ticker P&amp;L'!J74*'All Ticker P&amp;L'!I74)</f>
        <v>0</v>
      </c>
      <c r="AR74" s="266">
        <f>IF($AL74="",0,'All Ticker P&amp;L'!L74)</f>
        <v>0</v>
      </c>
      <c r="AS74" s="267">
        <f>IF($AL74="",0,'All Ticker P&amp;L'!M74)</f>
        <v>0</v>
      </c>
      <c r="AT74" s="243" t="str">
        <f>IF($AL74="","",RANK(AR74,$AR$2:$AR$1001)+COUNTIF($AR$2:AR74,AR74)-1)</f>
        <v/>
      </c>
      <c r="AU74" s="243" t="str">
        <f>IF($AL74="","",RANK(AV74,$AV$2:$AV$1001)+COUNTIF($AV$2:AV74,AV74)-1)</f>
        <v/>
      </c>
      <c r="AV74" s="266">
        <f t="shared" si="34"/>
        <v>0</v>
      </c>
    </row>
    <row r="75" spans="26:48" ht="15" customHeight="1" x14ac:dyDescent="0.2">
      <c r="Z75" s="243" t="str">
        <f>Shares!A75</f>
        <v/>
      </c>
      <c r="AA75" s="243" t="str">
        <f>Shares!B75</f>
        <v/>
      </c>
      <c r="AB75" s="243" t="str">
        <f>Shares!C75</f>
        <v/>
      </c>
      <c r="AC75" s="243" t="str">
        <f>Shares!D75</f>
        <v/>
      </c>
      <c r="AD75" s="243">
        <f>IF($Z75="",0,Shares!E75)</f>
        <v>0</v>
      </c>
      <c r="AE75" s="266">
        <f>IF($Z75="",0,Shares!J75*Shares!I75)</f>
        <v>0</v>
      </c>
      <c r="AF75" s="267">
        <f t="shared" si="33"/>
        <v>0</v>
      </c>
      <c r="AG75" s="266">
        <f>IF($Z75="",0,Shares!L75)</f>
        <v>0</v>
      </c>
      <c r="AH75" s="267">
        <f>IF($Z75="",0,Shares!M75)</f>
        <v>0</v>
      </c>
      <c r="AI75" s="243" t="str">
        <f>IF($Z75="","",RANK(AE75,$AE$2:$AE$1001)+COUNTIF($AE$2:AE75,AE75)-1)</f>
        <v/>
      </c>
      <c r="AJ75" s="243" t="str">
        <f>IF($AD75&lt;0,COUNT($AJ$1:AJ74)+1,"")</f>
        <v/>
      </c>
      <c r="AL75" s="243" t="str">
        <f>'All Ticker P&amp;L'!A75</f>
        <v/>
      </c>
      <c r="AM75" s="243" t="str">
        <f>'All Ticker P&amp;L'!B75</f>
        <v/>
      </c>
      <c r="AN75" s="243" t="str">
        <f>'All Ticker P&amp;L'!C75</f>
        <v/>
      </c>
      <c r="AO75" s="243" t="str">
        <f>'All Ticker P&amp;L'!D75</f>
        <v/>
      </c>
      <c r="AP75" s="265">
        <f>IF($AL75="",0,'All Ticker P&amp;L'!E75)</f>
        <v>0</v>
      </c>
      <c r="AQ75" s="266">
        <f>IF($AL75="",0,'All Ticker P&amp;L'!J75*'All Ticker P&amp;L'!I75)</f>
        <v>0</v>
      </c>
      <c r="AR75" s="266">
        <f>IF($AL75="",0,'All Ticker P&amp;L'!L75)</f>
        <v>0</v>
      </c>
      <c r="AS75" s="267">
        <f>IF($AL75="",0,'All Ticker P&amp;L'!M75)</f>
        <v>0</v>
      </c>
      <c r="AT75" s="243" t="str">
        <f>IF($AL75="","",RANK(AR75,$AR$2:$AR$1001)+COUNTIF($AR$2:AR75,AR75)-1)</f>
        <v/>
      </c>
      <c r="AU75" s="243" t="str">
        <f>IF($AL75="","",RANK(AV75,$AV$2:$AV$1001)+COUNTIF($AV$2:AV75,AV75)-1)</f>
        <v/>
      </c>
      <c r="AV75" s="266">
        <f t="shared" si="34"/>
        <v>0</v>
      </c>
    </row>
    <row r="76" spans="26:48" ht="15" customHeight="1" x14ac:dyDescent="0.2">
      <c r="Z76" s="243" t="str">
        <f>Shares!A76</f>
        <v/>
      </c>
      <c r="AA76" s="243" t="str">
        <f>Shares!B76</f>
        <v/>
      </c>
      <c r="AB76" s="243" t="str">
        <f>Shares!C76</f>
        <v/>
      </c>
      <c r="AC76" s="243" t="str">
        <f>Shares!D76</f>
        <v/>
      </c>
      <c r="AD76" s="243">
        <f>IF($Z76="",0,Shares!E76)</f>
        <v>0</v>
      </c>
      <c r="AE76" s="266">
        <f>IF($Z76="",0,Shares!J76*Shares!I76)</f>
        <v>0</v>
      </c>
      <c r="AF76" s="267">
        <f t="shared" si="33"/>
        <v>0</v>
      </c>
      <c r="AG76" s="266">
        <f>IF($Z76="",0,Shares!L76)</f>
        <v>0</v>
      </c>
      <c r="AH76" s="267">
        <f>IF($Z76="",0,Shares!M76)</f>
        <v>0</v>
      </c>
      <c r="AI76" s="243" t="str">
        <f>IF($Z76="","",RANK(AE76,$AE$2:$AE$1001)+COUNTIF($AE$2:AE76,AE76)-1)</f>
        <v/>
      </c>
      <c r="AJ76" s="243" t="str">
        <f>IF($AD76&lt;0,COUNT($AJ$1:AJ75)+1,"")</f>
        <v/>
      </c>
      <c r="AL76" s="243" t="str">
        <f>'All Ticker P&amp;L'!A76</f>
        <v/>
      </c>
      <c r="AM76" s="243" t="str">
        <f>'All Ticker P&amp;L'!B76</f>
        <v/>
      </c>
      <c r="AN76" s="243" t="str">
        <f>'All Ticker P&amp;L'!C76</f>
        <v/>
      </c>
      <c r="AO76" s="243" t="str">
        <f>'All Ticker P&amp;L'!D76</f>
        <v/>
      </c>
      <c r="AP76" s="265">
        <f>IF($AL76="",0,'All Ticker P&amp;L'!E76)</f>
        <v>0</v>
      </c>
      <c r="AQ76" s="266">
        <f>IF($AL76="",0,'All Ticker P&amp;L'!J76*'All Ticker P&amp;L'!I76)</f>
        <v>0</v>
      </c>
      <c r="AR76" s="266">
        <f>IF($AL76="",0,'All Ticker P&amp;L'!L76)</f>
        <v>0</v>
      </c>
      <c r="AS76" s="267">
        <f>IF($AL76="",0,'All Ticker P&amp;L'!M76)</f>
        <v>0</v>
      </c>
      <c r="AT76" s="243" t="str">
        <f>IF($AL76="","",RANK(AR76,$AR$2:$AR$1001)+COUNTIF($AR$2:AR76,AR76)-1)</f>
        <v/>
      </c>
      <c r="AU76" s="243" t="str">
        <f>IF($AL76="","",RANK(AV76,$AV$2:$AV$1001)+COUNTIF($AV$2:AV76,AV76)-1)</f>
        <v/>
      </c>
      <c r="AV76" s="266">
        <f t="shared" si="34"/>
        <v>0</v>
      </c>
    </row>
    <row r="77" spans="26:48" ht="15" customHeight="1" x14ac:dyDescent="0.2">
      <c r="Z77" s="243" t="str">
        <f>Shares!A77</f>
        <v/>
      </c>
      <c r="AA77" s="243" t="str">
        <f>Shares!B77</f>
        <v/>
      </c>
      <c r="AB77" s="243" t="str">
        <f>Shares!C77</f>
        <v/>
      </c>
      <c r="AC77" s="243" t="str">
        <f>Shares!D77</f>
        <v/>
      </c>
      <c r="AD77" s="243">
        <f>IF($Z77="",0,Shares!E77)</f>
        <v>0</v>
      </c>
      <c r="AE77" s="266">
        <f>IF($Z77="",0,Shares!J77*Shares!I77)</f>
        <v>0</v>
      </c>
      <c r="AF77" s="267">
        <f t="shared" si="33"/>
        <v>0</v>
      </c>
      <c r="AG77" s="266">
        <f>IF($Z77="",0,Shares!L77)</f>
        <v>0</v>
      </c>
      <c r="AH77" s="267">
        <f>IF($Z77="",0,Shares!M77)</f>
        <v>0</v>
      </c>
      <c r="AI77" s="243" t="str">
        <f>IF($Z77="","",RANK(AE77,$AE$2:$AE$1001)+COUNTIF($AE$2:AE77,AE77)-1)</f>
        <v/>
      </c>
      <c r="AJ77" s="243" t="str">
        <f>IF($AD77&lt;0,COUNT($AJ$1:AJ76)+1,"")</f>
        <v/>
      </c>
      <c r="AL77" s="243" t="str">
        <f>'All Ticker P&amp;L'!A77</f>
        <v/>
      </c>
      <c r="AM77" s="243" t="str">
        <f>'All Ticker P&amp;L'!B77</f>
        <v/>
      </c>
      <c r="AN77" s="243" t="str">
        <f>'All Ticker P&amp;L'!C77</f>
        <v/>
      </c>
      <c r="AO77" s="243" t="str">
        <f>'All Ticker P&amp;L'!D77</f>
        <v/>
      </c>
      <c r="AP77" s="265">
        <f>IF($AL77="",0,'All Ticker P&amp;L'!E77)</f>
        <v>0</v>
      </c>
      <c r="AQ77" s="266">
        <f>IF($AL77="",0,'All Ticker P&amp;L'!J77*'All Ticker P&amp;L'!I77)</f>
        <v>0</v>
      </c>
      <c r="AR77" s="266">
        <f>IF($AL77="",0,'All Ticker P&amp;L'!L77)</f>
        <v>0</v>
      </c>
      <c r="AS77" s="267">
        <f>IF($AL77="",0,'All Ticker P&amp;L'!M77)</f>
        <v>0</v>
      </c>
      <c r="AT77" s="243" t="str">
        <f>IF($AL77="","",RANK(AR77,$AR$2:$AR$1001)+COUNTIF($AR$2:AR77,AR77)-1)</f>
        <v/>
      </c>
      <c r="AU77" s="243" t="str">
        <f>IF($AL77="","",RANK(AV77,$AV$2:$AV$1001)+COUNTIF($AV$2:AV77,AV77)-1)</f>
        <v/>
      </c>
      <c r="AV77" s="266">
        <f t="shared" si="34"/>
        <v>0</v>
      </c>
    </row>
    <row r="78" spans="26:48" ht="15" customHeight="1" x14ac:dyDescent="0.2">
      <c r="Z78" s="243" t="str">
        <f>Shares!A78</f>
        <v/>
      </c>
      <c r="AA78" s="243" t="str">
        <f>Shares!B78</f>
        <v/>
      </c>
      <c r="AB78" s="243" t="str">
        <f>Shares!C78</f>
        <v/>
      </c>
      <c r="AC78" s="243" t="str">
        <f>Shares!D78</f>
        <v/>
      </c>
      <c r="AD78" s="243">
        <f>IF($Z78="",0,Shares!E78)</f>
        <v>0</v>
      </c>
      <c r="AE78" s="266">
        <f>IF($Z78="",0,Shares!J78*Shares!I78)</f>
        <v>0</v>
      </c>
      <c r="AF78" s="267">
        <f t="shared" si="33"/>
        <v>0</v>
      </c>
      <c r="AG78" s="266">
        <f>IF($Z78="",0,Shares!L78)</f>
        <v>0</v>
      </c>
      <c r="AH78" s="267">
        <f>IF($Z78="",0,Shares!M78)</f>
        <v>0</v>
      </c>
      <c r="AI78" s="243" t="str">
        <f>IF($Z78="","",RANK(AE78,$AE$2:$AE$1001)+COUNTIF($AE$2:AE78,AE78)-1)</f>
        <v/>
      </c>
      <c r="AJ78" s="243" t="str">
        <f>IF($AD78&lt;0,COUNT($AJ$1:AJ77)+1,"")</f>
        <v/>
      </c>
      <c r="AL78" s="243" t="str">
        <f>'All Ticker P&amp;L'!A78</f>
        <v/>
      </c>
      <c r="AM78" s="243" t="str">
        <f>'All Ticker P&amp;L'!B78</f>
        <v/>
      </c>
      <c r="AN78" s="243" t="str">
        <f>'All Ticker P&amp;L'!C78</f>
        <v/>
      </c>
      <c r="AO78" s="243" t="str">
        <f>'All Ticker P&amp;L'!D78</f>
        <v/>
      </c>
      <c r="AP78" s="265">
        <f>IF($AL78="",0,'All Ticker P&amp;L'!E78)</f>
        <v>0</v>
      </c>
      <c r="AQ78" s="266">
        <f>IF($AL78="",0,'All Ticker P&amp;L'!J78*'All Ticker P&amp;L'!I78)</f>
        <v>0</v>
      </c>
      <c r="AR78" s="266">
        <f>IF($AL78="",0,'All Ticker P&amp;L'!L78)</f>
        <v>0</v>
      </c>
      <c r="AS78" s="267">
        <f>IF($AL78="",0,'All Ticker P&amp;L'!M78)</f>
        <v>0</v>
      </c>
      <c r="AT78" s="243" t="str">
        <f>IF($AL78="","",RANK(AR78,$AR$2:$AR$1001)+COUNTIF($AR$2:AR78,AR78)-1)</f>
        <v/>
      </c>
      <c r="AU78" s="243" t="str">
        <f>IF($AL78="","",RANK(AV78,$AV$2:$AV$1001)+COUNTIF($AV$2:AV78,AV78)-1)</f>
        <v/>
      </c>
      <c r="AV78" s="266">
        <f t="shared" si="34"/>
        <v>0</v>
      </c>
    </row>
    <row r="79" spans="26:48" ht="15" customHeight="1" x14ac:dyDescent="0.2">
      <c r="Z79" s="243" t="str">
        <f>Shares!A79</f>
        <v/>
      </c>
      <c r="AA79" s="243" t="str">
        <f>Shares!B79</f>
        <v/>
      </c>
      <c r="AB79" s="243" t="str">
        <f>Shares!C79</f>
        <v/>
      </c>
      <c r="AC79" s="243" t="str">
        <f>Shares!D79</f>
        <v/>
      </c>
      <c r="AD79" s="243">
        <f>IF($Z79="",0,Shares!E79)</f>
        <v>0</v>
      </c>
      <c r="AE79" s="266">
        <f>IF($Z79="",0,Shares!J79*Shares!I79)</f>
        <v>0</v>
      </c>
      <c r="AF79" s="267">
        <f t="shared" si="33"/>
        <v>0</v>
      </c>
      <c r="AG79" s="266">
        <f>IF($Z79="",0,Shares!L79)</f>
        <v>0</v>
      </c>
      <c r="AH79" s="267">
        <f>IF($Z79="",0,Shares!M79)</f>
        <v>0</v>
      </c>
      <c r="AI79" s="243" t="str">
        <f>IF($Z79="","",RANK(AE79,$AE$2:$AE$1001)+COUNTIF($AE$2:AE79,AE79)-1)</f>
        <v/>
      </c>
      <c r="AJ79" s="243" t="str">
        <f>IF($AD79&lt;0,COUNT($AJ$1:AJ78)+1,"")</f>
        <v/>
      </c>
      <c r="AL79" s="243" t="str">
        <f>'All Ticker P&amp;L'!A79</f>
        <v/>
      </c>
      <c r="AM79" s="243" t="str">
        <f>'All Ticker P&amp;L'!B79</f>
        <v/>
      </c>
      <c r="AN79" s="243" t="str">
        <f>'All Ticker P&amp;L'!C79</f>
        <v/>
      </c>
      <c r="AO79" s="243" t="str">
        <f>'All Ticker P&amp;L'!D79</f>
        <v/>
      </c>
      <c r="AP79" s="265">
        <f>IF($AL79="",0,'All Ticker P&amp;L'!E79)</f>
        <v>0</v>
      </c>
      <c r="AQ79" s="266">
        <f>IF($AL79="",0,'All Ticker P&amp;L'!J79*'All Ticker P&amp;L'!I79)</f>
        <v>0</v>
      </c>
      <c r="AR79" s="266">
        <f>IF($AL79="",0,'All Ticker P&amp;L'!L79)</f>
        <v>0</v>
      </c>
      <c r="AS79" s="267">
        <f>IF($AL79="",0,'All Ticker P&amp;L'!M79)</f>
        <v>0</v>
      </c>
      <c r="AT79" s="243" t="str">
        <f>IF($AL79="","",RANK(AR79,$AR$2:$AR$1001)+COUNTIF($AR$2:AR79,AR79)-1)</f>
        <v/>
      </c>
      <c r="AU79" s="243" t="str">
        <f>IF($AL79="","",RANK(AV79,$AV$2:$AV$1001)+COUNTIF($AV$2:AV79,AV79)-1)</f>
        <v/>
      </c>
      <c r="AV79" s="266">
        <f t="shared" si="34"/>
        <v>0</v>
      </c>
    </row>
    <row r="80" spans="26:48" ht="15" customHeight="1" x14ac:dyDescent="0.2">
      <c r="Z80" s="243" t="str">
        <f>Shares!A80</f>
        <v/>
      </c>
      <c r="AA80" s="243" t="str">
        <f>Shares!B80</f>
        <v/>
      </c>
      <c r="AB80" s="243" t="str">
        <f>Shares!C80</f>
        <v/>
      </c>
      <c r="AC80" s="243" t="str">
        <f>Shares!D80</f>
        <v/>
      </c>
      <c r="AD80" s="243">
        <f>IF($Z80="",0,Shares!E80)</f>
        <v>0</v>
      </c>
      <c r="AE80" s="266">
        <f>IF($Z80="",0,Shares!J80*Shares!I80)</f>
        <v>0</v>
      </c>
      <c r="AF80" s="267">
        <f t="shared" si="33"/>
        <v>0</v>
      </c>
      <c r="AG80" s="266">
        <f>IF($Z80="",0,Shares!L80)</f>
        <v>0</v>
      </c>
      <c r="AH80" s="267">
        <f>IF($Z80="",0,Shares!M80)</f>
        <v>0</v>
      </c>
      <c r="AI80" s="243" t="str">
        <f>IF($Z80="","",RANK(AE80,$AE$2:$AE$1001)+COUNTIF($AE$2:AE80,AE80)-1)</f>
        <v/>
      </c>
      <c r="AJ80" s="243" t="str">
        <f>IF($AD80&lt;0,COUNT($AJ$1:AJ79)+1,"")</f>
        <v/>
      </c>
      <c r="AL80" s="243" t="str">
        <f>'All Ticker P&amp;L'!A80</f>
        <v/>
      </c>
      <c r="AM80" s="243" t="str">
        <f>'All Ticker P&amp;L'!B80</f>
        <v/>
      </c>
      <c r="AN80" s="243" t="str">
        <f>'All Ticker P&amp;L'!C80</f>
        <v/>
      </c>
      <c r="AO80" s="243" t="str">
        <f>'All Ticker P&amp;L'!D80</f>
        <v/>
      </c>
      <c r="AP80" s="265">
        <f>IF($AL80="",0,'All Ticker P&amp;L'!E80)</f>
        <v>0</v>
      </c>
      <c r="AQ80" s="266">
        <f>IF($AL80="",0,'All Ticker P&amp;L'!J80*'All Ticker P&amp;L'!I80)</f>
        <v>0</v>
      </c>
      <c r="AR80" s="266">
        <f>IF($AL80="",0,'All Ticker P&amp;L'!L80)</f>
        <v>0</v>
      </c>
      <c r="AS80" s="267">
        <f>IF($AL80="",0,'All Ticker P&amp;L'!M80)</f>
        <v>0</v>
      </c>
      <c r="AT80" s="243" t="str">
        <f>IF($AL80="","",RANK(AR80,$AR$2:$AR$1001)+COUNTIF($AR$2:AR80,AR80)-1)</f>
        <v/>
      </c>
      <c r="AU80" s="243" t="str">
        <f>IF($AL80="","",RANK(AV80,$AV$2:$AV$1001)+COUNTIF($AV$2:AV80,AV80)-1)</f>
        <v/>
      </c>
      <c r="AV80" s="266">
        <f t="shared" si="34"/>
        <v>0</v>
      </c>
    </row>
    <row r="81" spans="26:48" ht="15" customHeight="1" x14ac:dyDescent="0.2">
      <c r="Z81" s="243" t="str">
        <f>Shares!A81</f>
        <v/>
      </c>
      <c r="AA81" s="243" t="str">
        <f>Shares!B81</f>
        <v/>
      </c>
      <c r="AB81" s="243" t="str">
        <f>Shares!C81</f>
        <v/>
      </c>
      <c r="AC81" s="243" t="str">
        <f>Shares!D81</f>
        <v/>
      </c>
      <c r="AD81" s="243">
        <f>IF($Z81="",0,Shares!E81)</f>
        <v>0</v>
      </c>
      <c r="AE81" s="266">
        <f>IF($Z81="",0,Shares!J81*Shares!I81)</f>
        <v>0</v>
      </c>
      <c r="AF81" s="267">
        <f t="shared" si="33"/>
        <v>0</v>
      </c>
      <c r="AG81" s="266">
        <f>IF($Z81="",0,Shares!L81)</f>
        <v>0</v>
      </c>
      <c r="AH81" s="267">
        <f>IF($Z81="",0,Shares!M81)</f>
        <v>0</v>
      </c>
      <c r="AI81" s="243" t="str">
        <f>IF($Z81="","",RANK(AE81,$AE$2:$AE$1001)+COUNTIF($AE$2:AE81,AE81)-1)</f>
        <v/>
      </c>
      <c r="AJ81" s="243" t="str">
        <f>IF($AD81&lt;0,COUNT($AJ$1:AJ80)+1,"")</f>
        <v/>
      </c>
      <c r="AL81" s="243" t="str">
        <f>'All Ticker P&amp;L'!A81</f>
        <v/>
      </c>
      <c r="AM81" s="243" t="str">
        <f>'All Ticker P&amp;L'!B81</f>
        <v/>
      </c>
      <c r="AN81" s="243" t="str">
        <f>'All Ticker P&amp;L'!C81</f>
        <v/>
      </c>
      <c r="AO81" s="243" t="str">
        <f>'All Ticker P&amp;L'!D81</f>
        <v/>
      </c>
      <c r="AP81" s="265">
        <f>IF($AL81="",0,'All Ticker P&amp;L'!E81)</f>
        <v>0</v>
      </c>
      <c r="AQ81" s="266">
        <f>IF($AL81="",0,'All Ticker P&amp;L'!J81*'All Ticker P&amp;L'!I81)</f>
        <v>0</v>
      </c>
      <c r="AR81" s="266">
        <f>IF($AL81="",0,'All Ticker P&amp;L'!L81)</f>
        <v>0</v>
      </c>
      <c r="AS81" s="267">
        <f>IF($AL81="",0,'All Ticker P&amp;L'!M81)</f>
        <v>0</v>
      </c>
      <c r="AT81" s="243" t="str">
        <f>IF($AL81="","",RANK(AR81,$AR$2:$AR$1001)+COUNTIF($AR$2:AR81,AR81)-1)</f>
        <v/>
      </c>
      <c r="AU81" s="243" t="str">
        <f>IF($AL81="","",RANK(AV81,$AV$2:$AV$1001)+COUNTIF($AV$2:AV81,AV81)-1)</f>
        <v/>
      </c>
      <c r="AV81" s="266">
        <f t="shared" si="34"/>
        <v>0</v>
      </c>
    </row>
    <row r="82" spans="26:48" ht="15" customHeight="1" x14ac:dyDescent="0.2">
      <c r="Z82" s="243" t="str">
        <f>Shares!A82</f>
        <v/>
      </c>
      <c r="AA82" s="243" t="str">
        <f>Shares!B82</f>
        <v/>
      </c>
      <c r="AB82" s="243" t="str">
        <f>Shares!C82</f>
        <v/>
      </c>
      <c r="AC82" s="243" t="str">
        <f>Shares!D82</f>
        <v/>
      </c>
      <c r="AD82" s="243">
        <f>IF($Z82="",0,Shares!E82)</f>
        <v>0</v>
      </c>
      <c r="AE82" s="266">
        <f>IF($Z82="",0,Shares!J82*Shares!I82)</f>
        <v>0</v>
      </c>
      <c r="AF82" s="267">
        <f t="shared" si="33"/>
        <v>0</v>
      </c>
      <c r="AG82" s="266">
        <f>IF($Z82="",0,Shares!L82)</f>
        <v>0</v>
      </c>
      <c r="AH82" s="267">
        <f>IF($Z82="",0,Shares!M82)</f>
        <v>0</v>
      </c>
      <c r="AI82" s="243" t="str">
        <f>IF($Z82="","",RANK(AE82,$AE$2:$AE$1001)+COUNTIF($AE$2:AE82,AE82)-1)</f>
        <v/>
      </c>
      <c r="AJ82" s="243" t="str">
        <f>IF($AD82&lt;0,COUNT($AJ$1:AJ81)+1,"")</f>
        <v/>
      </c>
      <c r="AL82" s="243" t="str">
        <f>'All Ticker P&amp;L'!A82</f>
        <v/>
      </c>
      <c r="AM82" s="243" t="str">
        <f>'All Ticker P&amp;L'!B82</f>
        <v/>
      </c>
      <c r="AN82" s="243" t="str">
        <f>'All Ticker P&amp;L'!C82</f>
        <v/>
      </c>
      <c r="AO82" s="243" t="str">
        <f>'All Ticker P&amp;L'!D82</f>
        <v/>
      </c>
      <c r="AP82" s="265">
        <f>IF($AL82="",0,'All Ticker P&amp;L'!E82)</f>
        <v>0</v>
      </c>
      <c r="AQ82" s="266">
        <f>IF($AL82="",0,'All Ticker P&amp;L'!J82*'All Ticker P&amp;L'!I82)</f>
        <v>0</v>
      </c>
      <c r="AR82" s="266">
        <f>IF($AL82="",0,'All Ticker P&amp;L'!L82)</f>
        <v>0</v>
      </c>
      <c r="AS82" s="267">
        <f>IF($AL82="",0,'All Ticker P&amp;L'!M82)</f>
        <v>0</v>
      </c>
      <c r="AT82" s="243" t="str">
        <f>IF($AL82="","",RANK(AR82,$AR$2:$AR$1001)+COUNTIF($AR$2:AR82,AR82)-1)</f>
        <v/>
      </c>
      <c r="AU82" s="243" t="str">
        <f>IF($AL82="","",RANK(AV82,$AV$2:$AV$1001)+COUNTIF($AV$2:AV82,AV82)-1)</f>
        <v/>
      </c>
      <c r="AV82" s="266">
        <f t="shared" si="34"/>
        <v>0</v>
      </c>
    </row>
    <row r="83" spans="26:48" ht="15" customHeight="1" x14ac:dyDescent="0.2">
      <c r="Z83" s="243" t="str">
        <f>Shares!A83</f>
        <v/>
      </c>
      <c r="AA83" s="243" t="str">
        <f>Shares!B83</f>
        <v/>
      </c>
      <c r="AB83" s="243" t="str">
        <f>Shares!C83</f>
        <v/>
      </c>
      <c r="AC83" s="243" t="str">
        <f>Shares!D83</f>
        <v/>
      </c>
      <c r="AD83" s="243">
        <f>IF($Z83="",0,Shares!E83)</f>
        <v>0</v>
      </c>
      <c r="AE83" s="266">
        <f>IF($Z83="",0,Shares!J83*Shares!I83)</f>
        <v>0</v>
      </c>
      <c r="AF83" s="267">
        <f t="shared" si="33"/>
        <v>0</v>
      </c>
      <c r="AG83" s="266">
        <f>IF($Z83="",0,Shares!L83)</f>
        <v>0</v>
      </c>
      <c r="AH83" s="267">
        <f>IF($Z83="",0,Shares!M83)</f>
        <v>0</v>
      </c>
      <c r="AI83" s="243" t="str">
        <f>IF($Z83="","",RANK(AE83,$AE$2:$AE$1001)+COUNTIF($AE$2:AE83,AE83)-1)</f>
        <v/>
      </c>
      <c r="AJ83" s="243" t="str">
        <f>IF($AD83&lt;0,COUNT($AJ$1:AJ82)+1,"")</f>
        <v/>
      </c>
      <c r="AL83" s="243" t="str">
        <f>'All Ticker P&amp;L'!A83</f>
        <v/>
      </c>
      <c r="AM83" s="243" t="str">
        <f>'All Ticker P&amp;L'!B83</f>
        <v/>
      </c>
      <c r="AN83" s="243" t="str">
        <f>'All Ticker P&amp;L'!C83</f>
        <v/>
      </c>
      <c r="AO83" s="243" t="str">
        <f>'All Ticker P&amp;L'!D83</f>
        <v/>
      </c>
      <c r="AP83" s="265">
        <f>IF($AL83="",0,'All Ticker P&amp;L'!E83)</f>
        <v>0</v>
      </c>
      <c r="AQ83" s="266">
        <f>IF($AL83="",0,'All Ticker P&amp;L'!J83*'All Ticker P&amp;L'!I83)</f>
        <v>0</v>
      </c>
      <c r="AR83" s="266">
        <f>IF($AL83="",0,'All Ticker P&amp;L'!L83)</f>
        <v>0</v>
      </c>
      <c r="AS83" s="267">
        <f>IF($AL83="",0,'All Ticker P&amp;L'!M83)</f>
        <v>0</v>
      </c>
      <c r="AT83" s="243" t="str">
        <f>IF($AL83="","",RANK(AR83,$AR$2:$AR$1001)+COUNTIF($AR$2:AR83,AR83)-1)</f>
        <v/>
      </c>
      <c r="AU83" s="243" t="str">
        <f>IF($AL83="","",RANK(AV83,$AV$2:$AV$1001)+COUNTIF($AV$2:AV83,AV83)-1)</f>
        <v/>
      </c>
      <c r="AV83" s="266">
        <f t="shared" si="34"/>
        <v>0</v>
      </c>
    </row>
    <row r="84" spans="26:48" ht="15" customHeight="1" x14ac:dyDescent="0.2">
      <c r="Z84" s="243" t="str">
        <f>Shares!A84</f>
        <v/>
      </c>
      <c r="AA84" s="243" t="str">
        <f>Shares!B84</f>
        <v/>
      </c>
      <c r="AB84" s="243" t="str">
        <f>Shares!C84</f>
        <v/>
      </c>
      <c r="AC84" s="243" t="str">
        <f>Shares!D84</f>
        <v/>
      </c>
      <c r="AD84" s="243">
        <f>IF($Z84="",0,Shares!E84)</f>
        <v>0</v>
      </c>
      <c r="AE84" s="266">
        <f>IF($Z84="",0,Shares!J84*Shares!I84)</f>
        <v>0</v>
      </c>
      <c r="AF84" s="267">
        <f t="shared" si="33"/>
        <v>0</v>
      </c>
      <c r="AG84" s="266">
        <f>IF($Z84="",0,Shares!L84)</f>
        <v>0</v>
      </c>
      <c r="AH84" s="267">
        <f>IF($Z84="",0,Shares!M84)</f>
        <v>0</v>
      </c>
      <c r="AI84" s="243" t="str">
        <f>IF($Z84="","",RANK(AE84,$AE$2:$AE$1001)+COUNTIF($AE$2:AE84,AE84)-1)</f>
        <v/>
      </c>
      <c r="AJ84" s="243" t="str">
        <f>IF($AD84&lt;0,COUNT($AJ$1:AJ83)+1,"")</f>
        <v/>
      </c>
      <c r="AL84" s="243" t="str">
        <f>'All Ticker P&amp;L'!A84</f>
        <v/>
      </c>
      <c r="AM84" s="243" t="str">
        <f>'All Ticker P&amp;L'!B84</f>
        <v/>
      </c>
      <c r="AN84" s="243" t="str">
        <f>'All Ticker P&amp;L'!C84</f>
        <v/>
      </c>
      <c r="AO84" s="243" t="str">
        <f>'All Ticker P&amp;L'!D84</f>
        <v/>
      </c>
      <c r="AP84" s="265">
        <f>IF($AL84="",0,'All Ticker P&amp;L'!E84)</f>
        <v>0</v>
      </c>
      <c r="AQ84" s="266">
        <f>IF($AL84="",0,'All Ticker P&amp;L'!J84*'All Ticker P&amp;L'!I84)</f>
        <v>0</v>
      </c>
      <c r="AR84" s="266">
        <f>IF($AL84="",0,'All Ticker P&amp;L'!L84)</f>
        <v>0</v>
      </c>
      <c r="AS84" s="267">
        <f>IF($AL84="",0,'All Ticker P&amp;L'!M84)</f>
        <v>0</v>
      </c>
      <c r="AT84" s="243" t="str">
        <f>IF($AL84="","",RANK(AR84,$AR$2:$AR$1001)+COUNTIF($AR$2:AR84,AR84)-1)</f>
        <v/>
      </c>
      <c r="AU84" s="243" t="str">
        <f>IF($AL84="","",RANK(AV84,$AV$2:$AV$1001)+COUNTIF($AV$2:AV84,AV84)-1)</f>
        <v/>
      </c>
      <c r="AV84" s="266">
        <f t="shared" si="34"/>
        <v>0</v>
      </c>
    </row>
    <row r="85" spans="26:48" ht="15" customHeight="1" x14ac:dyDescent="0.2">
      <c r="Z85" s="243" t="str">
        <f>Shares!A85</f>
        <v/>
      </c>
      <c r="AA85" s="243" t="str">
        <f>Shares!B85</f>
        <v/>
      </c>
      <c r="AB85" s="243" t="str">
        <f>Shares!C85</f>
        <v/>
      </c>
      <c r="AC85" s="243" t="str">
        <f>Shares!D85</f>
        <v/>
      </c>
      <c r="AD85" s="243">
        <f>IF($Z85="",0,Shares!E85)</f>
        <v>0</v>
      </c>
      <c r="AE85" s="266">
        <f>IF($Z85="",0,Shares!J85*Shares!I85)</f>
        <v>0</v>
      </c>
      <c r="AF85" s="267">
        <f t="shared" si="33"/>
        <v>0</v>
      </c>
      <c r="AG85" s="266">
        <f>IF($Z85="",0,Shares!L85)</f>
        <v>0</v>
      </c>
      <c r="AH85" s="267">
        <f>IF($Z85="",0,Shares!M85)</f>
        <v>0</v>
      </c>
      <c r="AI85" s="243" t="str">
        <f>IF($Z85="","",RANK(AE85,$AE$2:$AE$1001)+COUNTIF($AE$2:AE85,AE85)-1)</f>
        <v/>
      </c>
      <c r="AJ85" s="243" t="str">
        <f>IF($AD85&lt;0,COUNT($AJ$1:AJ84)+1,"")</f>
        <v/>
      </c>
      <c r="AL85" s="243" t="str">
        <f>'All Ticker P&amp;L'!A85</f>
        <v/>
      </c>
      <c r="AM85" s="243" t="str">
        <f>'All Ticker P&amp;L'!B85</f>
        <v/>
      </c>
      <c r="AN85" s="243" t="str">
        <f>'All Ticker P&amp;L'!C85</f>
        <v/>
      </c>
      <c r="AO85" s="243" t="str">
        <f>'All Ticker P&amp;L'!D85</f>
        <v/>
      </c>
      <c r="AP85" s="265">
        <f>IF($AL85="",0,'All Ticker P&amp;L'!E85)</f>
        <v>0</v>
      </c>
      <c r="AQ85" s="266">
        <f>IF($AL85="",0,'All Ticker P&amp;L'!J85*'All Ticker P&amp;L'!I85)</f>
        <v>0</v>
      </c>
      <c r="AR85" s="266">
        <f>IF($AL85="",0,'All Ticker P&amp;L'!L85)</f>
        <v>0</v>
      </c>
      <c r="AS85" s="267">
        <f>IF($AL85="",0,'All Ticker P&amp;L'!M85)</f>
        <v>0</v>
      </c>
      <c r="AT85" s="243" t="str">
        <f>IF($AL85="","",RANK(AR85,$AR$2:$AR$1001)+COUNTIF($AR$2:AR85,AR85)-1)</f>
        <v/>
      </c>
      <c r="AU85" s="243" t="str">
        <f>IF($AL85="","",RANK(AV85,$AV$2:$AV$1001)+COUNTIF($AV$2:AV85,AV85)-1)</f>
        <v/>
      </c>
      <c r="AV85" s="266">
        <f t="shared" si="34"/>
        <v>0</v>
      </c>
    </row>
    <row r="86" spans="26:48" ht="15" customHeight="1" x14ac:dyDescent="0.2">
      <c r="Z86" s="243" t="str">
        <f>Shares!A86</f>
        <v/>
      </c>
      <c r="AA86" s="243" t="str">
        <f>Shares!B86</f>
        <v/>
      </c>
      <c r="AB86" s="243" t="str">
        <f>Shares!C86</f>
        <v/>
      </c>
      <c r="AC86" s="243" t="str">
        <f>Shares!D86</f>
        <v/>
      </c>
      <c r="AD86" s="243">
        <f>IF($Z86="",0,Shares!E86)</f>
        <v>0</v>
      </c>
      <c r="AE86" s="266">
        <f>IF($Z86="",0,Shares!J86*Shares!I86)</f>
        <v>0</v>
      </c>
      <c r="AF86" s="267">
        <f t="shared" si="33"/>
        <v>0</v>
      </c>
      <c r="AG86" s="266">
        <f>IF($Z86="",0,Shares!L86)</f>
        <v>0</v>
      </c>
      <c r="AH86" s="267">
        <f>IF($Z86="",0,Shares!M86)</f>
        <v>0</v>
      </c>
      <c r="AI86" s="243" t="str">
        <f>IF($Z86="","",RANK(AE86,$AE$2:$AE$1001)+COUNTIF($AE$2:AE86,AE86)-1)</f>
        <v/>
      </c>
      <c r="AJ86" s="243" t="str">
        <f>IF($AD86&lt;0,COUNT($AJ$1:AJ85)+1,"")</f>
        <v/>
      </c>
      <c r="AL86" s="243" t="str">
        <f>'All Ticker P&amp;L'!A86</f>
        <v/>
      </c>
      <c r="AM86" s="243" t="str">
        <f>'All Ticker P&amp;L'!B86</f>
        <v/>
      </c>
      <c r="AN86" s="243" t="str">
        <f>'All Ticker P&amp;L'!C86</f>
        <v/>
      </c>
      <c r="AO86" s="243" t="str">
        <f>'All Ticker P&amp;L'!D86</f>
        <v/>
      </c>
      <c r="AP86" s="265">
        <f>IF($AL86="",0,'All Ticker P&amp;L'!E86)</f>
        <v>0</v>
      </c>
      <c r="AQ86" s="266">
        <f>IF($AL86="",0,'All Ticker P&amp;L'!J86*'All Ticker P&amp;L'!I86)</f>
        <v>0</v>
      </c>
      <c r="AR86" s="266">
        <f>IF($AL86="",0,'All Ticker P&amp;L'!L86)</f>
        <v>0</v>
      </c>
      <c r="AS86" s="267">
        <f>IF($AL86="",0,'All Ticker P&amp;L'!M86)</f>
        <v>0</v>
      </c>
      <c r="AT86" s="243" t="str">
        <f>IF($AL86="","",RANK(AR86,$AR$2:$AR$1001)+COUNTIF($AR$2:AR86,AR86)-1)</f>
        <v/>
      </c>
      <c r="AU86" s="243" t="str">
        <f>IF($AL86="","",RANK(AV86,$AV$2:$AV$1001)+COUNTIF($AV$2:AV86,AV86)-1)</f>
        <v/>
      </c>
      <c r="AV86" s="266">
        <f t="shared" si="34"/>
        <v>0</v>
      </c>
    </row>
    <row r="87" spans="26:48" ht="15" customHeight="1" x14ac:dyDescent="0.2">
      <c r="Z87" s="243" t="str">
        <f>Shares!A87</f>
        <v/>
      </c>
      <c r="AA87" s="243" t="str">
        <f>Shares!B87</f>
        <v/>
      </c>
      <c r="AB87" s="243" t="str">
        <f>Shares!C87</f>
        <v/>
      </c>
      <c r="AC87" s="243" t="str">
        <f>Shares!D87</f>
        <v/>
      </c>
      <c r="AD87" s="243">
        <f>IF($Z87="",0,Shares!E87)</f>
        <v>0</v>
      </c>
      <c r="AE87" s="266">
        <f>IF($Z87="",0,Shares!J87*Shares!I87)</f>
        <v>0</v>
      </c>
      <c r="AF87" s="267">
        <f t="shared" si="33"/>
        <v>0</v>
      </c>
      <c r="AG87" s="266">
        <f>IF($Z87="",0,Shares!L87)</f>
        <v>0</v>
      </c>
      <c r="AH87" s="267">
        <f>IF($Z87="",0,Shares!M87)</f>
        <v>0</v>
      </c>
      <c r="AI87" s="243" t="str">
        <f>IF($Z87="","",RANK(AE87,$AE$2:$AE$1001)+COUNTIF($AE$2:AE87,AE87)-1)</f>
        <v/>
      </c>
      <c r="AJ87" s="243" t="str">
        <f>IF($AD87&lt;0,COUNT($AJ$1:AJ86)+1,"")</f>
        <v/>
      </c>
      <c r="AL87" s="243" t="str">
        <f>'All Ticker P&amp;L'!A87</f>
        <v/>
      </c>
      <c r="AM87" s="243" t="str">
        <f>'All Ticker P&amp;L'!B87</f>
        <v/>
      </c>
      <c r="AN87" s="243" t="str">
        <f>'All Ticker P&amp;L'!C87</f>
        <v/>
      </c>
      <c r="AO87" s="243" t="str">
        <f>'All Ticker P&amp;L'!D87</f>
        <v/>
      </c>
      <c r="AP87" s="265">
        <f>IF($AL87="",0,'All Ticker P&amp;L'!E87)</f>
        <v>0</v>
      </c>
      <c r="AQ87" s="266">
        <f>IF($AL87="",0,'All Ticker P&amp;L'!J87*'All Ticker P&amp;L'!I87)</f>
        <v>0</v>
      </c>
      <c r="AR87" s="266">
        <f>IF($AL87="",0,'All Ticker P&amp;L'!L87)</f>
        <v>0</v>
      </c>
      <c r="AS87" s="267">
        <f>IF($AL87="",0,'All Ticker P&amp;L'!M87)</f>
        <v>0</v>
      </c>
      <c r="AT87" s="243" t="str">
        <f>IF($AL87="","",RANK(AR87,$AR$2:$AR$1001)+COUNTIF($AR$2:AR87,AR87)-1)</f>
        <v/>
      </c>
      <c r="AU87" s="243" t="str">
        <f>IF($AL87="","",RANK(AV87,$AV$2:$AV$1001)+COUNTIF($AV$2:AV87,AV87)-1)</f>
        <v/>
      </c>
      <c r="AV87" s="266">
        <f t="shared" si="34"/>
        <v>0</v>
      </c>
    </row>
    <row r="88" spans="26:48" ht="15" customHeight="1" x14ac:dyDescent="0.2">
      <c r="Z88" s="243" t="str">
        <f>Shares!A88</f>
        <v/>
      </c>
      <c r="AA88" s="243" t="str">
        <f>Shares!B88</f>
        <v/>
      </c>
      <c r="AB88" s="243" t="str">
        <f>Shares!C88</f>
        <v/>
      </c>
      <c r="AC88" s="243" t="str">
        <f>Shares!D88</f>
        <v/>
      </c>
      <c r="AD88" s="243">
        <f>IF($Z88="",0,Shares!E88)</f>
        <v>0</v>
      </c>
      <c r="AE88" s="266">
        <f>IF($Z88="",0,Shares!J88*Shares!I88)</f>
        <v>0</v>
      </c>
      <c r="AF88" s="267">
        <f t="shared" si="33"/>
        <v>0</v>
      </c>
      <c r="AG88" s="266">
        <f>IF($Z88="",0,Shares!L88)</f>
        <v>0</v>
      </c>
      <c r="AH88" s="267">
        <f>IF($Z88="",0,Shares!M88)</f>
        <v>0</v>
      </c>
      <c r="AI88" s="243" t="str">
        <f>IF($Z88="","",RANK(AE88,$AE$2:$AE$1001)+COUNTIF($AE$2:AE88,AE88)-1)</f>
        <v/>
      </c>
      <c r="AJ88" s="243" t="str">
        <f>IF($AD88&lt;0,COUNT($AJ$1:AJ87)+1,"")</f>
        <v/>
      </c>
      <c r="AL88" s="243" t="str">
        <f>'All Ticker P&amp;L'!A88</f>
        <v/>
      </c>
      <c r="AM88" s="243" t="str">
        <f>'All Ticker P&amp;L'!B88</f>
        <v/>
      </c>
      <c r="AN88" s="243" t="str">
        <f>'All Ticker P&amp;L'!C88</f>
        <v/>
      </c>
      <c r="AO88" s="243" t="str">
        <f>'All Ticker P&amp;L'!D88</f>
        <v/>
      </c>
      <c r="AP88" s="265">
        <f>IF($AL88="",0,'All Ticker P&amp;L'!E88)</f>
        <v>0</v>
      </c>
      <c r="AQ88" s="266">
        <f>IF($AL88="",0,'All Ticker P&amp;L'!J88*'All Ticker P&amp;L'!I88)</f>
        <v>0</v>
      </c>
      <c r="AR88" s="266">
        <f>IF($AL88="",0,'All Ticker P&amp;L'!L88)</f>
        <v>0</v>
      </c>
      <c r="AS88" s="267">
        <f>IF($AL88="",0,'All Ticker P&amp;L'!M88)</f>
        <v>0</v>
      </c>
      <c r="AT88" s="243" t="str">
        <f>IF($AL88="","",RANK(AR88,$AR$2:$AR$1001)+COUNTIF($AR$2:AR88,AR88)-1)</f>
        <v/>
      </c>
      <c r="AU88" s="243" t="str">
        <f>IF($AL88="","",RANK(AV88,$AV$2:$AV$1001)+COUNTIF($AV$2:AV88,AV88)-1)</f>
        <v/>
      </c>
      <c r="AV88" s="266">
        <f t="shared" si="34"/>
        <v>0</v>
      </c>
    </row>
    <row r="89" spans="26:48" ht="15" customHeight="1" x14ac:dyDescent="0.2">
      <c r="Z89" s="243" t="str">
        <f>Shares!A89</f>
        <v/>
      </c>
      <c r="AA89" s="243" t="str">
        <f>Shares!B89</f>
        <v/>
      </c>
      <c r="AB89" s="243" t="str">
        <f>Shares!C89</f>
        <v/>
      </c>
      <c r="AC89" s="243" t="str">
        <f>Shares!D89</f>
        <v/>
      </c>
      <c r="AD89" s="243">
        <f>IF($Z89="",0,Shares!E89)</f>
        <v>0</v>
      </c>
      <c r="AE89" s="266">
        <f>IF($Z89="",0,Shares!J89*Shares!I89)</f>
        <v>0</v>
      </c>
      <c r="AF89" s="267">
        <f t="shared" si="33"/>
        <v>0</v>
      </c>
      <c r="AG89" s="266">
        <f>IF($Z89="",0,Shares!L89)</f>
        <v>0</v>
      </c>
      <c r="AH89" s="267">
        <f>IF($Z89="",0,Shares!M89)</f>
        <v>0</v>
      </c>
      <c r="AI89" s="243" t="str">
        <f>IF($Z89="","",RANK(AE89,$AE$2:$AE$1001)+COUNTIF($AE$2:AE89,AE89)-1)</f>
        <v/>
      </c>
      <c r="AJ89" s="243" t="str">
        <f>IF($AD89&lt;0,COUNT($AJ$1:AJ88)+1,"")</f>
        <v/>
      </c>
      <c r="AL89" s="243" t="str">
        <f>'All Ticker P&amp;L'!A89</f>
        <v/>
      </c>
      <c r="AM89" s="243" t="str">
        <f>'All Ticker P&amp;L'!B89</f>
        <v/>
      </c>
      <c r="AN89" s="243" t="str">
        <f>'All Ticker P&amp;L'!C89</f>
        <v/>
      </c>
      <c r="AO89" s="243" t="str">
        <f>'All Ticker P&amp;L'!D89</f>
        <v/>
      </c>
      <c r="AP89" s="265">
        <f>IF($AL89="",0,'All Ticker P&amp;L'!E89)</f>
        <v>0</v>
      </c>
      <c r="AQ89" s="266">
        <f>IF($AL89="",0,'All Ticker P&amp;L'!J89*'All Ticker P&amp;L'!I89)</f>
        <v>0</v>
      </c>
      <c r="AR89" s="266">
        <f>IF($AL89="",0,'All Ticker P&amp;L'!L89)</f>
        <v>0</v>
      </c>
      <c r="AS89" s="267">
        <f>IF($AL89="",0,'All Ticker P&amp;L'!M89)</f>
        <v>0</v>
      </c>
      <c r="AT89" s="243" t="str">
        <f>IF($AL89="","",RANK(AR89,$AR$2:$AR$1001)+COUNTIF($AR$2:AR89,AR89)-1)</f>
        <v/>
      </c>
      <c r="AU89" s="243" t="str">
        <f>IF($AL89="","",RANK(AV89,$AV$2:$AV$1001)+COUNTIF($AV$2:AV89,AV89)-1)</f>
        <v/>
      </c>
      <c r="AV89" s="266">
        <f t="shared" si="34"/>
        <v>0</v>
      </c>
    </row>
    <row r="90" spans="26:48" ht="15" customHeight="1" x14ac:dyDescent="0.2">
      <c r="Z90" s="243" t="str">
        <f>Shares!A90</f>
        <v/>
      </c>
      <c r="AA90" s="243" t="str">
        <f>Shares!B90</f>
        <v/>
      </c>
      <c r="AB90" s="243" t="str">
        <f>Shares!C90</f>
        <v/>
      </c>
      <c r="AC90" s="243" t="str">
        <f>Shares!D90</f>
        <v/>
      </c>
      <c r="AD90" s="243">
        <f>IF($Z90="",0,Shares!E90)</f>
        <v>0</v>
      </c>
      <c r="AE90" s="266">
        <f>IF($Z90="",0,Shares!J90*Shares!I90)</f>
        <v>0</v>
      </c>
      <c r="AF90" s="267">
        <f t="shared" si="33"/>
        <v>0</v>
      </c>
      <c r="AG90" s="266">
        <f>IF($Z90="",0,Shares!L90)</f>
        <v>0</v>
      </c>
      <c r="AH90" s="267">
        <f>IF($Z90="",0,Shares!M90)</f>
        <v>0</v>
      </c>
      <c r="AI90" s="243" t="str">
        <f>IF($Z90="","",RANK(AE90,$AE$2:$AE$1001)+COUNTIF($AE$2:AE90,AE90)-1)</f>
        <v/>
      </c>
      <c r="AJ90" s="243" t="str">
        <f>IF($AD90&lt;0,COUNT($AJ$1:AJ89)+1,"")</f>
        <v/>
      </c>
      <c r="AL90" s="243" t="str">
        <f>'All Ticker P&amp;L'!A90</f>
        <v/>
      </c>
      <c r="AM90" s="243" t="str">
        <f>'All Ticker P&amp;L'!B90</f>
        <v/>
      </c>
      <c r="AN90" s="243" t="str">
        <f>'All Ticker P&amp;L'!C90</f>
        <v/>
      </c>
      <c r="AO90" s="243" t="str">
        <f>'All Ticker P&amp;L'!D90</f>
        <v/>
      </c>
      <c r="AP90" s="265">
        <f>IF($AL90="",0,'All Ticker P&amp;L'!E90)</f>
        <v>0</v>
      </c>
      <c r="AQ90" s="266">
        <f>IF($AL90="",0,'All Ticker P&amp;L'!J90*'All Ticker P&amp;L'!I90)</f>
        <v>0</v>
      </c>
      <c r="AR90" s="266">
        <f>IF($AL90="",0,'All Ticker P&amp;L'!L90)</f>
        <v>0</v>
      </c>
      <c r="AS90" s="267">
        <f>IF($AL90="",0,'All Ticker P&amp;L'!M90)</f>
        <v>0</v>
      </c>
      <c r="AT90" s="243" t="str">
        <f>IF($AL90="","",RANK(AR90,$AR$2:$AR$1001)+COUNTIF($AR$2:AR90,AR90)-1)</f>
        <v/>
      </c>
      <c r="AU90" s="243" t="str">
        <f>IF($AL90="","",RANK(AV90,$AV$2:$AV$1001)+COUNTIF($AV$2:AV90,AV90)-1)</f>
        <v/>
      </c>
      <c r="AV90" s="266">
        <f t="shared" si="34"/>
        <v>0</v>
      </c>
    </row>
    <row r="91" spans="26:48" ht="15" customHeight="1" x14ac:dyDescent="0.2">
      <c r="Z91" s="243" t="str">
        <f>Shares!A91</f>
        <v/>
      </c>
      <c r="AA91" s="243" t="str">
        <f>Shares!B91</f>
        <v/>
      </c>
      <c r="AB91" s="243" t="str">
        <f>Shares!C91</f>
        <v/>
      </c>
      <c r="AC91" s="243" t="str">
        <f>Shares!D91</f>
        <v/>
      </c>
      <c r="AD91" s="243">
        <f>IF($Z91="",0,Shares!E91)</f>
        <v>0</v>
      </c>
      <c r="AE91" s="266">
        <f>IF($Z91="",0,Shares!J91*Shares!I91)</f>
        <v>0</v>
      </c>
      <c r="AF91" s="267">
        <f t="shared" si="33"/>
        <v>0</v>
      </c>
      <c r="AG91" s="266">
        <f>IF($Z91="",0,Shares!L91)</f>
        <v>0</v>
      </c>
      <c r="AH91" s="267">
        <f>IF($Z91="",0,Shares!M91)</f>
        <v>0</v>
      </c>
      <c r="AI91" s="243" t="str">
        <f>IF($Z91="","",RANK(AE91,$AE$2:$AE$1001)+COUNTIF($AE$2:AE91,AE91)-1)</f>
        <v/>
      </c>
      <c r="AJ91" s="243" t="str">
        <f>IF($AD91&lt;0,COUNT($AJ$1:AJ90)+1,"")</f>
        <v/>
      </c>
      <c r="AL91" s="243" t="str">
        <f>'All Ticker P&amp;L'!A91</f>
        <v/>
      </c>
      <c r="AM91" s="243" t="str">
        <f>'All Ticker P&amp;L'!B91</f>
        <v/>
      </c>
      <c r="AN91" s="243" t="str">
        <f>'All Ticker P&amp;L'!C91</f>
        <v/>
      </c>
      <c r="AO91" s="243" t="str">
        <f>'All Ticker P&amp;L'!D91</f>
        <v/>
      </c>
      <c r="AP91" s="265">
        <f>IF($AL91="",0,'All Ticker P&amp;L'!E91)</f>
        <v>0</v>
      </c>
      <c r="AQ91" s="266">
        <f>IF($AL91="",0,'All Ticker P&amp;L'!J91*'All Ticker P&amp;L'!I91)</f>
        <v>0</v>
      </c>
      <c r="AR91" s="266">
        <f>IF($AL91="",0,'All Ticker P&amp;L'!L91)</f>
        <v>0</v>
      </c>
      <c r="AS91" s="267">
        <f>IF($AL91="",0,'All Ticker P&amp;L'!M91)</f>
        <v>0</v>
      </c>
      <c r="AT91" s="243" t="str">
        <f>IF($AL91="","",RANK(AR91,$AR$2:$AR$1001)+COUNTIF($AR$2:AR91,AR91)-1)</f>
        <v/>
      </c>
      <c r="AU91" s="243" t="str">
        <f>IF($AL91="","",RANK(AV91,$AV$2:$AV$1001)+COUNTIF($AV$2:AV91,AV91)-1)</f>
        <v/>
      </c>
      <c r="AV91" s="266">
        <f t="shared" si="34"/>
        <v>0</v>
      </c>
    </row>
    <row r="92" spans="26:48" ht="15" customHeight="1" x14ac:dyDescent="0.2">
      <c r="Z92" s="243" t="str">
        <f>Shares!A92</f>
        <v/>
      </c>
      <c r="AA92" s="243" t="str">
        <f>Shares!B92</f>
        <v/>
      </c>
      <c r="AB92" s="243" t="str">
        <f>Shares!C92</f>
        <v/>
      </c>
      <c r="AC92" s="243" t="str">
        <f>Shares!D92</f>
        <v/>
      </c>
      <c r="AD92" s="243">
        <f>IF($Z92="",0,Shares!E92)</f>
        <v>0</v>
      </c>
      <c r="AE92" s="266">
        <f>IF($Z92="",0,Shares!J92*Shares!I92)</f>
        <v>0</v>
      </c>
      <c r="AF92" s="267">
        <f t="shared" si="33"/>
        <v>0</v>
      </c>
      <c r="AG92" s="266">
        <f>IF($Z92="",0,Shares!L92)</f>
        <v>0</v>
      </c>
      <c r="AH92" s="267">
        <f>IF($Z92="",0,Shares!M92)</f>
        <v>0</v>
      </c>
      <c r="AI92" s="243" t="str">
        <f>IF($Z92="","",RANK(AE92,$AE$2:$AE$1001)+COUNTIF($AE$2:AE92,AE92)-1)</f>
        <v/>
      </c>
      <c r="AJ92" s="243" t="str">
        <f>IF($AD92&lt;0,COUNT($AJ$1:AJ91)+1,"")</f>
        <v/>
      </c>
      <c r="AL92" s="243" t="str">
        <f>'All Ticker P&amp;L'!A92</f>
        <v/>
      </c>
      <c r="AM92" s="243" t="str">
        <f>'All Ticker P&amp;L'!B92</f>
        <v/>
      </c>
      <c r="AN92" s="243" t="str">
        <f>'All Ticker P&amp;L'!C92</f>
        <v/>
      </c>
      <c r="AO92" s="243" t="str">
        <f>'All Ticker P&amp;L'!D92</f>
        <v/>
      </c>
      <c r="AP92" s="265">
        <f>IF($AL92="",0,'All Ticker P&amp;L'!E92)</f>
        <v>0</v>
      </c>
      <c r="AQ92" s="266">
        <f>IF($AL92="",0,'All Ticker P&amp;L'!J92*'All Ticker P&amp;L'!I92)</f>
        <v>0</v>
      </c>
      <c r="AR92" s="266">
        <f>IF($AL92="",0,'All Ticker P&amp;L'!L92)</f>
        <v>0</v>
      </c>
      <c r="AS92" s="267">
        <f>IF($AL92="",0,'All Ticker P&amp;L'!M92)</f>
        <v>0</v>
      </c>
      <c r="AT92" s="243" t="str">
        <f>IF($AL92="","",RANK(AR92,$AR$2:$AR$1001)+COUNTIF($AR$2:AR92,AR92)-1)</f>
        <v/>
      </c>
      <c r="AU92" s="243" t="str">
        <f>IF($AL92="","",RANK(AV92,$AV$2:$AV$1001)+COUNTIF($AV$2:AV92,AV92)-1)</f>
        <v/>
      </c>
      <c r="AV92" s="266">
        <f t="shared" si="34"/>
        <v>0</v>
      </c>
    </row>
    <row r="93" spans="26:48" ht="15" customHeight="1" x14ac:dyDescent="0.2">
      <c r="Z93" s="243" t="str">
        <f>Shares!A93</f>
        <v/>
      </c>
      <c r="AA93" s="243" t="str">
        <f>Shares!B93</f>
        <v/>
      </c>
      <c r="AB93" s="243" t="str">
        <f>Shares!C93</f>
        <v/>
      </c>
      <c r="AC93" s="243" t="str">
        <f>Shares!D93</f>
        <v/>
      </c>
      <c r="AD93" s="243">
        <f>IF($Z93="",0,Shares!E93)</f>
        <v>0</v>
      </c>
      <c r="AE93" s="266">
        <f>IF($Z93="",0,Shares!J93*Shares!I93)</f>
        <v>0</v>
      </c>
      <c r="AF93" s="267">
        <f t="shared" si="33"/>
        <v>0</v>
      </c>
      <c r="AG93" s="266">
        <f>IF($Z93="",0,Shares!L93)</f>
        <v>0</v>
      </c>
      <c r="AH93" s="267">
        <f>IF($Z93="",0,Shares!M93)</f>
        <v>0</v>
      </c>
      <c r="AI93" s="243" t="str">
        <f>IF($Z93="","",RANK(AE93,$AE$2:$AE$1001)+COUNTIF($AE$2:AE93,AE93)-1)</f>
        <v/>
      </c>
      <c r="AJ93" s="243" t="str">
        <f>IF($AD93&lt;0,COUNT($AJ$1:AJ92)+1,"")</f>
        <v/>
      </c>
      <c r="AL93" s="243" t="str">
        <f>'All Ticker P&amp;L'!A93</f>
        <v/>
      </c>
      <c r="AM93" s="243" t="str">
        <f>'All Ticker P&amp;L'!B93</f>
        <v/>
      </c>
      <c r="AN93" s="243" t="str">
        <f>'All Ticker P&amp;L'!C93</f>
        <v/>
      </c>
      <c r="AO93" s="243" t="str">
        <f>'All Ticker P&amp;L'!D93</f>
        <v/>
      </c>
      <c r="AP93" s="265">
        <f>IF($AL93="",0,'All Ticker P&amp;L'!E93)</f>
        <v>0</v>
      </c>
      <c r="AQ93" s="266">
        <f>IF($AL93="",0,'All Ticker P&amp;L'!J93*'All Ticker P&amp;L'!I93)</f>
        <v>0</v>
      </c>
      <c r="AR93" s="266">
        <f>IF($AL93="",0,'All Ticker P&amp;L'!L93)</f>
        <v>0</v>
      </c>
      <c r="AS93" s="267">
        <f>IF($AL93="",0,'All Ticker P&amp;L'!M93)</f>
        <v>0</v>
      </c>
      <c r="AT93" s="243" t="str">
        <f>IF($AL93="","",RANK(AR93,$AR$2:$AR$1001)+COUNTIF($AR$2:AR93,AR93)-1)</f>
        <v/>
      </c>
      <c r="AU93" s="243" t="str">
        <f>IF($AL93="","",RANK(AV93,$AV$2:$AV$1001)+COUNTIF($AV$2:AV93,AV93)-1)</f>
        <v/>
      </c>
      <c r="AV93" s="266">
        <f t="shared" si="34"/>
        <v>0</v>
      </c>
    </row>
    <row r="94" spans="26:48" ht="15" customHeight="1" x14ac:dyDescent="0.2">
      <c r="Z94" s="243" t="str">
        <f>Shares!A94</f>
        <v/>
      </c>
      <c r="AA94" s="243" t="str">
        <f>Shares!B94</f>
        <v/>
      </c>
      <c r="AB94" s="243" t="str">
        <f>Shares!C94</f>
        <v/>
      </c>
      <c r="AC94" s="243" t="str">
        <f>Shares!D94</f>
        <v/>
      </c>
      <c r="AD94" s="243">
        <f>IF($Z94="",0,Shares!E94)</f>
        <v>0</v>
      </c>
      <c r="AE94" s="266">
        <f>IF($Z94="",0,Shares!J94*Shares!I94)</f>
        <v>0</v>
      </c>
      <c r="AF94" s="267">
        <f t="shared" si="33"/>
        <v>0</v>
      </c>
      <c r="AG94" s="266">
        <f>IF($Z94="",0,Shares!L94)</f>
        <v>0</v>
      </c>
      <c r="AH94" s="267">
        <f>IF($Z94="",0,Shares!M94)</f>
        <v>0</v>
      </c>
      <c r="AI94" s="243" t="str">
        <f>IF($Z94="","",RANK(AE94,$AE$2:$AE$1001)+COUNTIF($AE$2:AE94,AE94)-1)</f>
        <v/>
      </c>
      <c r="AJ94" s="243" t="str">
        <f>IF($AD94&lt;0,COUNT($AJ$1:AJ93)+1,"")</f>
        <v/>
      </c>
      <c r="AL94" s="243" t="str">
        <f>'All Ticker P&amp;L'!A94</f>
        <v/>
      </c>
      <c r="AM94" s="243" t="str">
        <f>'All Ticker P&amp;L'!B94</f>
        <v/>
      </c>
      <c r="AN94" s="243" t="str">
        <f>'All Ticker P&amp;L'!C94</f>
        <v/>
      </c>
      <c r="AO94" s="243" t="str">
        <f>'All Ticker P&amp;L'!D94</f>
        <v/>
      </c>
      <c r="AP94" s="265">
        <f>IF($AL94="",0,'All Ticker P&amp;L'!E94)</f>
        <v>0</v>
      </c>
      <c r="AQ94" s="266">
        <f>IF($AL94="",0,'All Ticker P&amp;L'!J94*'All Ticker P&amp;L'!I94)</f>
        <v>0</v>
      </c>
      <c r="AR94" s="266">
        <f>IF($AL94="",0,'All Ticker P&amp;L'!L94)</f>
        <v>0</v>
      </c>
      <c r="AS94" s="267">
        <f>IF($AL94="",0,'All Ticker P&amp;L'!M94)</f>
        <v>0</v>
      </c>
      <c r="AT94" s="243" t="str">
        <f>IF($AL94="","",RANK(AR94,$AR$2:$AR$1001)+COUNTIF($AR$2:AR94,AR94)-1)</f>
        <v/>
      </c>
      <c r="AU94" s="243" t="str">
        <f>IF($AL94="","",RANK(AV94,$AV$2:$AV$1001)+COUNTIF($AV$2:AV94,AV94)-1)</f>
        <v/>
      </c>
      <c r="AV94" s="266">
        <f t="shared" si="34"/>
        <v>0</v>
      </c>
    </row>
    <row r="95" spans="26:48" ht="15" customHeight="1" x14ac:dyDescent="0.2">
      <c r="Z95" s="243" t="str">
        <f>Shares!A95</f>
        <v/>
      </c>
      <c r="AA95" s="243" t="str">
        <f>Shares!B95</f>
        <v/>
      </c>
      <c r="AB95" s="243" t="str">
        <f>Shares!C95</f>
        <v/>
      </c>
      <c r="AC95" s="243" t="str">
        <f>Shares!D95</f>
        <v/>
      </c>
      <c r="AD95" s="243">
        <f>IF($Z95="",0,Shares!E95)</f>
        <v>0</v>
      </c>
      <c r="AE95" s="266">
        <f>IF($Z95="",0,Shares!J95*Shares!I95)</f>
        <v>0</v>
      </c>
      <c r="AF95" s="267">
        <f t="shared" si="33"/>
        <v>0</v>
      </c>
      <c r="AG95" s="266">
        <f>IF($Z95="",0,Shares!L95)</f>
        <v>0</v>
      </c>
      <c r="AH95" s="267">
        <f>IF($Z95="",0,Shares!M95)</f>
        <v>0</v>
      </c>
      <c r="AI95" s="243" t="str">
        <f>IF($Z95="","",RANK(AE95,$AE$2:$AE$1001)+COUNTIF($AE$2:AE95,AE95)-1)</f>
        <v/>
      </c>
      <c r="AJ95" s="243" t="str">
        <f>IF($AD95&lt;0,COUNT($AJ$1:AJ94)+1,"")</f>
        <v/>
      </c>
      <c r="AL95" s="243" t="str">
        <f>'All Ticker P&amp;L'!A95</f>
        <v/>
      </c>
      <c r="AM95" s="243" t="str">
        <f>'All Ticker P&amp;L'!B95</f>
        <v/>
      </c>
      <c r="AN95" s="243" t="str">
        <f>'All Ticker P&amp;L'!C95</f>
        <v/>
      </c>
      <c r="AO95" s="243" t="str">
        <f>'All Ticker P&amp;L'!D95</f>
        <v/>
      </c>
      <c r="AP95" s="265">
        <f>IF($AL95="",0,'All Ticker P&amp;L'!E95)</f>
        <v>0</v>
      </c>
      <c r="AQ95" s="266">
        <f>IF($AL95="",0,'All Ticker P&amp;L'!J95*'All Ticker P&amp;L'!I95)</f>
        <v>0</v>
      </c>
      <c r="AR95" s="266">
        <f>IF($AL95="",0,'All Ticker P&amp;L'!L95)</f>
        <v>0</v>
      </c>
      <c r="AS95" s="267">
        <f>IF($AL95="",0,'All Ticker P&amp;L'!M95)</f>
        <v>0</v>
      </c>
      <c r="AT95" s="243" t="str">
        <f>IF($AL95="","",RANK(AR95,$AR$2:$AR$1001)+COUNTIF($AR$2:AR95,AR95)-1)</f>
        <v/>
      </c>
      <c r="AU95" s="243" t="str">
        <f>IF($AL95="","",RANK(AV95,$AV$2:$AV$1001)+COUNTIF($AV$2:AV95,AV95)-1)</f>
        <v/>
      </c>
      <c r="AV95" s="266">
        <f t="shared" si="34"/>
        <v>0</v>
      </c>
    </row>
    <row r="96" spans="26:48" ht="15" customHeight="1" x14ac:dyDescent="0.2">
      <c r="Z96" s="243" t="str">
        <f>Shares!A96</f>
        <v/>
      </c>
      <c r="AA96" s="243" t="str">
        <f>Shares!B96</f>
        <v/>
      </c>
      <c r="AB96" s="243" t="str">
        <f>Shares!C96</f>
        <v/>
      </c>
      <c r="AC96" s="243" t="str">
        <f>Shares!D96</f>
        <v/>
      </c>
      <c r="AD96" s="243">
        <f>IF($Z96="",0,Shares!E96)</f>
        <v>0</v>
      </c>
      <c r="AE96" s="266">
        <f>IF($Z96="",0,Shares!J96*Shares!I96)</f>
        <v>0</v>
      </c>
      <c r="AF96" s="267">
        <f t="shared" si="33"/>
        <v>0</v>
      </c>
      <c r="AG96" s="266">
        <f>IF($Z96="",0,Shares!L96)</f>
        <v>0</v>
      </c>
      <c r="AH96" s="267">
        <f>IF($Z96="",0,Shares!M96)</f>
        <v>0</v>
      </c>
      <c r="AI96" s="243" t="str">
        <f>IF($Z96="","",RANK(AE96,$AE$2:$AE$1001)+COUNTIF($AE$2:AE96,AE96)-1)</f>
        <v/>
      </c>
      <c r="AJ96" s="243" t="str">
        <f>IF($AD96&lt;0,COUNT($AJ$1:AJ95)+1,"")</f>
        <v/>
      </c>
      <c r="AL96" s="243" t="str">
        <f>'All Ticker P&amp;L'!A96</f>
        <v/>
      </c>
      <c r="AM96" s="243" t="str">
        <f>'All Ticker P&amp;L'!B96</f>
        <v/>
      </c>
      <c r="AN96" s="243" t="str">
        <f>'All Ticker P&amp;L'!C96</f>
        <v/>
      </c>
      <c r="AO96" s="243" t="str">
        <f>'All Ticker P&amp;L'!D96</f>
        <v/>
      </c>
      <c r="AP96" s="265">
        <f>IF($AL96="",0,'All Ticker P&amp;L'!E96)</f>
        <v>0</v>
      </c>
      <c r="AQ96" s="266">
        <f>IF($AL96="",0,'All Ticker P&amp;L'!J96*'All Ticker P&amp;L'!I96)</f>
        <v>0</v>
      </c>
      <c r="AR96" s="266">
        <f>IF($AL96="",0,'All Ticker P&amp;L'!L96)</f>
        <v>0</v>
      </c>
      <c r="AS96" s="267">
        <f>IF($AL96="",0,'All Ticker P&amp;L'!M96)</f>
        <v>0</v>
      </c>
      <c r="AT96" s="243" t="str">
        <f>IF($AL96="","",RANK(AR96,$AR$2:$AR$1001)+COUNTIF($AR$2:AR96,AR96)-1)</f>
        <v/>
      </c>
      <c r="AU96" s="243" t="str">
        <f>IF($AL96="","",RANK(AV96,$AV$2:$AV$1001)+COUNTIF($AV$2:AV96,AV96)-1)</f>
        <v/>
      </c>
      <c r="AV96" s="266">
        <f t="shared" si="34"/>
        <v>0</v>
      </c>
    </row>
    <row r="97" spans="26:48" ht="15" customHeight="1" x14ac:dyDescent="0.2">
      <c r="Z97" s="243" t="str">
        <f>Shares!A97</f>
        <v/>
      </c>
      <c r="AA97" s="243" t="str">
        <f>Shares!B97</f>
        <v/>
      </c>
      <c r="AB97" s="243" t="str">
        <f>Shares!C97</f>
        <v/>
      </c>
      <c r="AC97" s="243" t="str">
        <f>Shares!D97</f>
        <v/>
      </c>
      <c r="AD97" s="243">
        <f>IF($Z97="",0,Shares!E97)</f>
        <v>0</v>
      </c>
      <c r="AE97" s="266">
        <f>IF($Z97="",0,Shares!J97*Shares!I97)</f>
        <v>0</v>
      </c>
      <c r="AF97" s="267">
        <f t="shared" si="33"/>
        <v>0</v>
      </c>
      <c r="AG97" s="266">
        <f>IF($Z97="",0,Shares!L97)</f>
        <v>0</v>
      </c>
      <c r="AH97" s="267">
        <f>IF($Z97="",0,Shares!M97)</f>
        <v>0</v>
      </c>
      <c r="AI97" s="243" t="str">
        <f>IF($Z97="","",RANK(AE97,$AE$2:$AE$1001)+COUNTIF($AE$2:AE97,AE97)-1)</f>
        <v/>
      </c>
      <c r="AJ97" s="243" t="str">
        <f>IF($AD97&lt;0,COUNT($AJ$1:AJ96)+1,"")</f>
        <v/>
      </c>
      <c r="AL97" s="243" t="str">
        <f>'All Ticker P&amp;L'!A97</f>
        <v/>
      </c>
      <c r="AM97" s="243" t="str">
        <f>'All Ticker P&amp;L'!B97</f>
        <v/>
      </c>
      <c r="AN97" s="243" t="str">
        <f>'All Ticker P&amp;L'!C97</f>
        <v/>
      </c>
      <c r="AO97" s="243" t="str">
        <f>'All Ticker P&amp;L'!D97</f>
        <v/>
      </c>
      <c r="AP97" s="265">
        <f>IF($AL97="",0,'All Ticker P&amp;L'!E97)</f>
        <v>0</v>
      </c>
      <c r="AQ97" s="266">
        <f>IF($AL97="",0,'All Ticker P&amp;L'!J97*'All Ticker P&amp;L'!I97)</f>
        <v>0</v>
      </c>
      <c r="AR97" s="266">
        <f>IF($AL97="",0,'All Ticker P&amp;L'!L97)</f>
        <v>0</v>
      </c>
      <c r="AS97" s="267">
        <f>IF($AL97="",0,'All Ticker P&amp;L'!M97)</f>
        <v>0</v>
      </c>
      <c r="AT97" s="243" t="str">
        <f>IF($AL97="","",RANK(AR97,$AR$2:$AR$1001)+COUNTIF($AR$2:AR97,AR97)-1)</f>
        <v/>
      </c>
      <c r="AU97" s="243" t="str">
        <f>IF($AL97="","",RANK(AV97,$AV$2:$AV$1001)+COUNTIF($AV$2:AV97,AV97)-1)</f>
        <v/>
      </c>
      <c r="AV97" s="266">
        <f t="shared" si="34"/>
        <v>0</v>
      </c>
    </row>
    <row r="98" spans="26:48" ht="15" customHeight="1" x14ac:dyDescent="0.2">
      <c r="Z98" s="243" t="str">
        <f>Shares!A98</f>
        <v/>
      </c>
      <c r="AA98" s="243" t="str">
        <f>Shares!B98</f>
        <v/>
      </c>
      <c r="AB98" s="243" t="str">
        <f>Shares!C98</f>
        <v/>
      </c>
      <c r="AC98" s="243" t="str">
        <f>Shares!D98</f>
        <v/>
      </c>
      <c r="AD98" s="243">
        <f>IF($Z98="",0,Shares!E98)</f>
        <v>0</v>
      </c>
      <c r="AE98" s="266">
        <f>IF($Z98="",0,Shares!J98*Shares!I98)</f>
        <v>0</v>
      </c>
      <c r="AF98" s="267">
        <f t="shared" si="33"/>
        <v>0</v>
      </c>
      <c r="AG98" s="266">
        <f>IF($Z98="",0,Shares!L98)</f>
        <v>0</v>
      </c>
      <c r="AH98" s="267">
        <f>IF($Z98="",0,Shares!M98)</f>
        <v>0</v>
      </c>
      <c r="AI98" s="243" t="str">
        <f>IF($Z98="","",RANK(AE98,$AE$2:$AE$1001)+COUNTIF($AE$2:AE98,AE98)-1)</f>
        <v/>
      </c>
      <c r="AJ98" s="243" t="str">
        <f>IF($AD98&lt;0,COUNT($AJ$1:AJ97)+1,"")</f>
        <v/>
      </c>
      <c r="AL98" s="243" t="str">
        <f>'All Ticker P&amp;L'!A98</f>
        <v/>
      </c>
      <c r="AM98" s="243" t="str">
        <f>'All Ticker P&amp;L'!B98</f>
        <v/>
      </c>
      <c r="AN98" s="243" t="str">
        <f>'All Ticker P&amp;L'!C98</f>
        <v/>
      </c>
      <c r="AO98" s="243" t="str">
        <f>'All Ticker P&amp;L'!D98</f>
        <v/>
      </c>
      <c r="AP98" s="265">
        <f>IF($AL98="",0,'All Ticker P&amp;L'!E98)</f>
        <v>0</v>
      </c>
      <c r="AQ98" s="266">
        <f>IF($AL98="",0,'All Ticker P&amp;L'!J98*'All Ticker P&amp;L'!I98)</f>
        <v>0</v>
      </c>
      <c r="AR98" s="266">
        <f>IF($AL98="",0,'All Ticker P&amp;L'!L98)</f>
        <v>0</v>
      </c>
      <c r="AS98" s="267">
        <f>IF($AL98="",0,'All Ticker P&amp;L'!M98)</f>
        <v>0</v>
      </c>
      <c r="AT98" s="243" t="str">
        <f>IF($AL98="","",RANK(AR98,$AR$2:$AR$1001)+COUNTIF($AR$2:AR98,AR98)-1)</f>
        <v/>
      </c>
      <c r="AU98" s="243" t="str">
        <f>IF($AL98="","",RANK(AV98,$AV$2:$AV$1001)+COUNTIF($AV$2:AV98,AV98)-1)</f>
        <v/>
      </c>
      <c r="AV98" s="266">
        <f t="shared" si="34"/>
        <v>0</v>
      </c>
    </row>
    <row r="99" spans="26:48" ht="15" customHeight="1" x14ac:dyDescent="0.2">
      <c r="Z99" s="243" t="str">
        <f>Shares!A99</f>
        <v/>
      </c>
      <c r="AA99" s="243" t="str">
        <f>Shares!B99</f>
        <v/>
      </c>
      <c r="AB99" s="243" t="str">
        <f>Shares!C99</f>
        <v/>
      </c>
      <c r="AC99" s="243" t="str">
        <f>Shares!D99</f>
        <v/>
      </c>
      <c r="AD99" s="243">
        <f>IF($Z99="",0,Shares!E99)</f>
        <v>0</v>
      </c>
      <c r="AE99" s="266">
        <f>IF($Z99="",0,Shares!J99*Shares!I99)</f>
        <v>0</v>
      </c>
      <c r="AF99" s="267">
        <f t="shared" si="33"/>
        <v>0</v>
      </c>
      <c r="AG99" s="266">
        <f>IF($Z99="",0,Shares!L99)</f>
        <v>0</v>
      </c>
      <c r="AH99" s="267">
        <f>IF($Z99="",0,Shares!M99)</f>
        <v>0</v>
      </c>
      <c r="AI99" s="243" t="str">
        <f>IF($Z99="","",RANK(AE99,$AE$2:$AE$1001)+COUNTIF($AE$2:AE99,AE99)-1)</f>
        <v/>
      </c>
      <c r="AJ99" s="243" t="str">
        <f>IF($AD99&lt;0,COUNT($AJ$1:AJ98)+1,"")</f>
        <v/>
      </c>
      <c r="AL99" s="243" t="str">
        <f>'All Ticker P&amp;L'!A99</f>
        <v/>
      </c>
      <c r="AM99" s="243" t="str">
        <f>'All Ticker P&amp;L'!B99</f>
        <v/>
      </c>
      <c r="AN99" s="243" t="str">
        <f>'All Ticker P&amp;L'!C99</f>
        <v/>
      </c>
      <c r="AO99" s="243" t="str">
        <f>'All Ticker P&amp;L'!D99</f>
        <v/>
      </c>
      <c r="AP99" s="265">
        <f>IF($AL99="",0,'All Ticker P&amp;L'!E99)</f>
        <v>0</v>
      </c>
      <c r="AQ99" s="266">
        <f>IF($AL99="",0,'All Ticker P&amp;L'!J99*'All Ticker P&amp;L'!I99)</f>
        <v>0</v>
      </c>
      <c r="AR99" s="266">
        <f>IF($AL99="",0,'All Ticker P&amp;L'!L99)</f>
        <v>0</v>
      </c>
      <c r="AS99" s="267">
        <f>IF($AL99="",0,'All Ticker P&amp;L'!M99)</f>
        <v>0</v>
      </c>
      <c r="AT99" s="243" t="str">
        <f>IF($AL99="","",RANK(AR99,$AR$2:$AR$1001)+COUNTIF($AR$2:AR99,AR99)-1)</f>
        <v/>
      </c>
      <c r="AU99" s="243" t="str">
        <f>IF($AL99="","",RANK(AV99,$AV$2:$AV$1001)+COUNTIF($AV$2:AV99,AV99)-1)</f>
        <v/>
      </c>
      <c r="AV99" s="266">
        <f t="shared" si="34"/>
        <v>0</v>
      </c>
    </row>
    <row r="100" spans="26:48" ht="15" customHeight="1" x14ac:dyDescent="0.2">
      <c r="Z100" s="243" t="str">
        <f>Shares!A100</f>
        <v/>
      </c>
      <c r="AA100" s="243" t="str">
        <f>Shares!B100</f>
        <v/>
      </c>
      <c r="AB100" s="243" t="str">
        <f>Shares!C100</f>
        <v/>
      </c>
      <c r="AC100" s="243" t="str">
        <f>Shares!D100</f>
        <v/>
      </c>
      <c r="AD100" s="243">
        <f>IF($Z100="",0,Shares!E100)</f>
        <v>0</v>
      </c>
      <c r="AE100" s="266">
        <f>IF($Z100="",0,Shares!J100*Shares!I100)</f>
        <v>0</v>
      </c>
      <c r="AF100" s="267">
        <f t="shared" si="33"/>
        <v>0</v>
      </c>
      <c r="AG100" s="266">
        <f>IF($Z100="",0,Shares!L100)</f>
        <v>0</v>
      </c>
      <c r="AH100" s="267">
        <f>IF($Z100="",0,Shares!M100)</f>
        <v>0</v>
      </c>
      <c r="AI100" s="243" t="str">
        <f>IF($Z100="","",RANK(AE100,$AE$2:$AE$1001)+COUNTIF($AE$2:AE100,AE100)-1)</f>
        <v/>
      </c>
      <c r="AJ100" s="243" t="str">
        <f>IF($AD100&lt;0,COUNT($AJ$1:AJ99)+1,"")</f>
        <v/>
      </c>
      <c r="AL100" s="243" t="str">
        <f>'All Ticker P&amp;L'!A100</f>
        <v/>
      </c>
      <c r="AM100" s="243" t="str">
        <f>'All Ticker P&amp;L'!B100</f>
        <v/>
      </c>
      <c r="AN100" s="243" t="str">
        <f>'All Ticker P&amp;L'!C100</f>
        <v/>
      </c>
      <c r="AO100" s="243" t="str">
        <f>'All Ticker P&amp;L'!D100</f>
        <v/>
      </c>
      <c r="AP100" s="265">
        <f>IF($AL100="",0,'All Ticker P&amp;L'!E100)</f>
        <v>0</v>
      </c>
      <c r="AQ100" s="266">
        <f>IF($AL100="",0,'All Ticker P&amp;L'!J100*'All Ticker P&amp;L'!I100)</f>
        <v>0</v>
      </c>
      <c r="AR100" s="266">
        <f>IF($AL100="",0,'All Ticker P&amp;L'!L100)</f>
        <v>0</v>
      </c>
      <c r="AS100" s="267">
        <f>IF($AL100="",0,'All Ticker P&amp;L'!M100)</f>
        <v>0</v>
      </c>
      <c r="AT100" s="243" t="str">
        <f>IF($AL100="","",RANK(AR100,$AR$2:$AR$1001)+COUNTIF($AR$2:AR100,AR100)-1)</f>
        <v/>
      </c>
      <c r="AU100" s="243" t="str">
        <f>IF($AL100="","",RANK(AV100,$AV$2:$AV$1001)+COUNTIF($AV$2:AV100,AV100)-1)</f>
        <v/>
      </c>
      <c r="AV100" s="266">
        <f t="shared" si="34"/>
        <v>0</v>
      </c>
    </row>
    <row r="101" spans="26:48" ht="15" customHeight="1" x14ac:dyDescent="0.2">
      <c r="Z101" s="243" t="str">
        <f>Shares!A101</f>
        <v/>
      </c>
      <c r="AA101" s="243" t="str">
        <f>Shares!B101</f>
        <v/>
      </c>
      <c r="AB101" s="243" t="str">
        <f>Shares!C101</f>
        <v/>
      </c>
      <c r="AC101" s="243" t="str">
        <f>Shares!D101</f>
        <v/>
      </c>
      <c r="AD101" s="243">
        <f>IF($Z101="",0,Shares!E101)</f>
        <v>0</v>
      </c>
      <c r="AE101" s="266">
        <f>IF($Z101="",0,Shares!J101*Shares!I101)</f>
        <v>0</v>
      </c>
      <c r="AF101" s="267">
        <f t="shared" si="33"/>
        <v>0</v>
      </c>
      <c r="AG101" s="266">
        <f>IF($Z101="",0,Shares!L101)</f>
        <v>0</v>
      </c>
      <c r="AH101" s="267">
        <f>IF($Z101="",0,Shares!M101)</f>
        <v>0</v>
      </c>
      <c r="AI101" s="243" t="str">
        <f>IF($Z101="","",RANK(AE101,$AE$2:$AE$1001)+COUNTIF($AE$2:AE101,AE101)-1)</f>
        <v/>
      </c>
      <c r="AJ101" s="243" t="str">
        <f>IF($AD101&lt;0,COUNT($AJ$1:AJ100)+1,"")</f>
        <v/>
      </c>
      <c r="AL101" s="243" t="str">
        <f>'All Ticker P&amp;L'!A101</f>
        <v/>
      </c>
      <c r="AM101" s="243" t="str">
        <f>'All Ticker P&amp;L'!B101</f>
        <v/>
      </c>
      <c r="AN101" s="243" t="str">
        <f>'All Ticker P&amp;L'!C101</f>
        <v/>
      </c>
      <c r="AO101" s="243" t="str">
        <f>'All Ticker P&amp;L'!D101</f>
        <v/>
      </c>
      <c r="AP101" s="265">
        <f>IF($AL101="",0,'All Ticker P&amp;L'!E101)</f>
        <v>0</v>
      </c>
      <c r="AQ101" s="266">
        <f>IF($AL101="",0,'All Ticker P&amp;L'!J101*'All Ticker P&amp;L'!I101)</f>
        <v>0</v>
      </c>
      <c r="AR101" s="266">
        <f>IF($AL101="",0,'All Ticker P&amp;L'!L101)</f>
        <v>0</v>
      </c>
      <c r="AS101" s="267">
        <f>IF($AL101="",0,'All Ticker P&amp;L'!M101)</f>
        <v>0</v>
      </c>
      <c r="AT101" s="243" t="str">
        <f>IF($AL101="","",RANK(AR101,$AR$2:$AR$1001)+COUNTIF($AR$2:AR101,AR101)-1)</f>
        <v/>
      </c>
      <c r="AU101" s="243" t="str">
        <f>IF($AL101="","",RANK(AV101,$AV$2:$AV$1001)+COUNTIF($AV$2:AV101,AV101)-1)</f>
        <v/>
      </c>
      <c r="AV101" s="266">
        <f t="shared" si="34"/>
        <v>0</v>
      </c>
    </row>
    <row r="102" spans="26:48" ht="15" customHeight="1" x14ac:dyDescent="0.2">
      <c r="Z102" s="243" t="str">
        <f>Shares!A102</f>
        <v/>
      </c>
      <c r="AA102" s="243" t="str">
        <f>Shares!B102</f>
        <v/>
      </c>
      <c r="AB102" s="243" t="str">
        <f>Shares!C102</f>
        <v/>
      </c>
      <c r="AC102" s="243" t="str">
        <f>Shares!D102</f>
        <v/>
      </c>
      <c r="AD102" s="243">
        <f>IF($Z102="",0,Shares!E102)</f>
        <v>0</v>
      </c>
      <c r="AE102" s="266">
        <f>IF($Z102="",0,Shares!J102*Shares!I102)</f>
        <v>0</v>
      </c>
      <c r="AF102" s="267">
        <f t="shared" si="33"/>
        <v>0</v>
      </c>
      <c r="AG102" s="266">
        <f>IF($Z102="",0,Shares!L102)</f>
        <v>0</v>
      </c>
      <c r="AH102" s="267">
        <f>IF($Z102="",0,Shares!M102)</f>
        <v>0</v>
      </c>
      <c r="AI102" s="243" t="str">
        <f>IF($Z102="","",RANK(AE102,$AE$2:$AE$1001)+COUNTIF($AE$2:AE102,AE102)-1)</f>
        <v/>
      </c>
      <c r="AJ102" s="243" t="str">
        <f>IF($AD102&lt;0,COUNT($AJ$1:AJ101)+1,"")</f>
        <v/>
      </c>
      <c r="AL102" s="243" t="str">
        <f>'All Ticker P&amp;L'!A102</f>
        <v/>
      </c>
      <c r="AM102" s="243" t="str">
        <f>'All Ticker P&amp;L'!B102</f>
        <v/>
      </c>
      <c r="AN102" s="243" t="str">
        <f>'All Ticker P&amp;L'!C102</f>
        <v/>
      </c>
      <c r="AO102" s="243" t="str">
        <f>'All Ticker P&amp;L'!D102</f>
        <v/>
      </c>
      <c r="AP102" s="265">
        <f>IF($AL102="",0,'All Ticker P&amp;L'!E102)</f>
        <v>0</v>
      </c>
      <c r="AQ102" s="266">
        <f>IF($AL102="",0,'All Ticker P&amp;L'!J102*'All Ticker P&amp;L'!I102)</f>
        <v>0</v>
      </c>
      <c r="AR102" s="266">
        <f>IF($AL102="",0,'All Ticker P&amp;L'!L102)</f>
        <v>0</v>
      </c>
      <c r="AS102" s="267">
        <f>IF($AL102="",0,'All Ticker P&amp;L'!M102)</f>
        <v>0</v>
      </c>
      <c r="AT102" s="243" t="str">
        <f>IF($AL102="","",RANK(AR102,$AR$2:$AR$1001)+COUNTIF($AR$2:AR102,AR102)-1)</f>
        <v/>
      </c>
      <c r="AU102" s="243" t="str">
        <f>IF($AL102="","",RANK(AV102,$AV$2:$AV$1001)+COUNTIF($AV$2:AV102,AV102)-1)</f>
        <v/>
      </c>
      <c r="AV102" s="266">
        <f t="shared" si="34"/>
        <v>0</v>
      </c>
    </row>
    <row r="103" spans="26:48" ht="15" customHeight="1" x14ac:dyDescent="0.2">
      <c r="Z103" s="243" t="str">
        <f>Shares!A103</f>
        <v/>
      </c>
      <c r="AA103" s="243" t="str">
        <f>Shares!B103</f>
        <v/>
      </c>
      <c r="AB103" s="243" t="str">
        <f>Shares!C103</f>
        <v/>
      </c>
      <c r="AC103" s="243" t="str">
        <f>Shares!D103</f>
        <v/>
      </c>
      <c r="AD103" s="243">
        <f>IF($Z103="",0,Shares!E103)</f>
        <v>0</v>
      </c>
      <c r="AE103" s="266">
        <f>IF($Z103="",0,Shares!J103*Shares!I103)</f>
        <v>0</v>
      </c>
      <c r="AF103" s="267">
        <f t="shared" si="33"/>
        <v>0</v>
      </c>
      <c r="AG103" s="266">
        <f>IF($Z103="",0,Shares!L103)</f>
        <v>0</v>
      </c>
      <c r="AH103" s="267">
        <f>IF($Z103="",0,Shares!M103)</f>
        <v>0</v>
      </c>
      <c r="AI103" s="243" t="str">
        <f>IF($Z103="","",RANK(AE103,$AE$2:$AE$1001)+COUNTIF($AE$2:AE103,AE103)-1)</f>
        <v/>
      </c>
      <c r="AJ103" s="243" t="str">
        <f>IF($AD103&lt;0,COUNT($AJ$1:AJ102)+1,"")</f>
        <v/>
      </c>
      <c r="AL103" s="243" t="str">
        <f>'All Ticker P&amp;L'!A103</f>
        <v/>
      </c>
      <c r="AM103" s="243" t="str">
        <f>'All Ticker P&amp;L'!B103</f>
        <v/>
      </c>
      <c r="AN103" s="243" t="str">
        <f>'All Ticker P&amp;L'!C103</f>
        <v/>
      </c>
      <c r="AO103" s="243" t="str">
        <f>'All Ticker P&amp;L'!D103</f>
        <v/>
      </c>
      <c r="AP103" s="265">
        <f>IF($AL103="",0,'All Ticker P&amp;L'!E103)</f>
        <v>0</v>
      </c>
      <c r="AQ103" s="266">
        <f>IF($AL103="",0,'All Ticker P&amp;L'!J103*'All Ticker P&amp;L'!I103)</f>
        <v>0</v>
      </c>
      <c r="AR103" s="266">
        <f>IF($AL103="",0,'All Ticker P&amp;L'!L103)</f>
        <v>0</v>
      </c>
      <c r="AS103" s="267">
        <f>IF($AL103="",0,'All Ticker P&amp;L'!M103)</f>
        <v>0</v>
      </c>
      <c r="AT103" s="243" t="str">
        <f>IF($AL103="","",RANK(AR103,$AR$2:$AR$1001)+COUNTIF($AR$2:AR103,AR103)-1)</f>
        <v/>
      </c>
      <c r="AU103" s="243" t="str">
        <f>IF($AL103="","",RANK(AV103,$AV$2:$AV$1001)+COUNTIF($AV$2:AV103,AV103)-1)</f>
        <v/>
      </c>
      <c r="AV103" s="266">
        <f t="shared" si="34"/>
        <v>0</v>
      </c>
    </row>
    <row r="104" spans="26:48" ht="15" customHeight="1" x14ac:dyDescent="0.2">
      <c r="Z104" s="243" t="str">
        <f>Shares!A104</f>
        <v/>
      </c>
      <c r="AA104" s="243" t="str">
        <f>Shares!B104</f>
        <v/>
      </c>
      <c r="AB104" s="243" t="str">
        <f>Shares!C104</f>
        <v/>
      </c>
      <c r="AC104" s="243" t="str">
        <f>Shares!D104</f>
        <v/>
      </c>
      <c r="AD104" s="243">
        <f>IF($Z104="",0,Shares!E104)</f>
        <v>0</v>
      </c>
      <c r="AE104" s="266">
        <f>IF($Z104="",0,Shares!J104*Shares!I104)</f>
        <v>0</v>
      </c>
      <c r="AF104" s="267">
        <f t="shared" si="33"/>
        <v>0</v>
      </c>
      <c r="AG104" s="266">
        <f>IF($Z104="",0,Shares!L104)</f>
        <v>0</v>
      </c>
      <c r="AH104" s="267">
        <f>IF($Z104="",0,Shares!M104)</f>
        <v>0</v>
      </c>
      <c r="AI104" s="243" t="str">
        <f>IF($Z104="","",RANK(AE104,$AE$2:$AE$1001)+COUNTIF($AE$2:AE104,AE104)-1)</f>
        <v/>
      </c>
      <c r="AJ104" s="243" t="str">
        <f>IF($AD104&lt;0,COUNT($AJ$1:AJ103)+1,"")</f>
        <v/>
      </c>
      <c r="AL104" s="243" t="str">
        <f>'All Ticker P&amp;L'!A104</f>
        <v/>
      </c>
      <c r="AM104" s="243" t="str">
        <f>'All Ticker P&amp;L'!B104</f>
        <v/>
      </c>
      <c r="AN104" s="243" t="str">
        <f>'All Ticker P&amp;L'!C104</f>
        <v/>
      </c>
      <c r="AO104" s="243" t="str">
        <f>'All Ticker P&amp;L'!D104</f>
        <v/>
      </c>
      <c r="AP104" s="265">
        <f>IF($AL104="",0,'All Ticker P&amp;L'!E104)</f>
        <v>0</v>
      </c>
      <c r="AQ104" s="266">
        <f>IF($AL104="",0,'All Ticker P&amp;L'!J104*'All Ticker P&amp;L'!I104)</f>
        <v>0</v>
      </c>
      <c r="AR104" s="266">
        <f>IF($AL104="",0,'All Ticker P&amp;L'!L104)</f>
        <v>0</v>
      </c>
      <c r="AS104" s="267">
        <f>IF($AL104="",0,'All Ticker P&amp;L'!M104)</f>
        <v>0</v>
      </c>
      <c r="AT104" s="243" t="str">
        <f>IF($AL104="","",RANK(AR104,$AR$2:$AR$1001)+COUNTIF($AR$2:AR104,AR104)-1)</f>
        <v/>
      </c>
      <c r="AU104" s="243" t="str">
        <f>IF($AL104="","",RANK(AV104,$AV$2:$AV$1001)+COUNTIF($AV$2:AV104,AV104)-1)</f>
        <v/>
      </c>
      <c r="AV104" s="266">
        <f t="shared" si="34"/>
        <v>0</v>
      </c>
    </row>
    <row r="105" spans="26:48" ht="15" customHeight="1" x14ac:dyDescent="0.2">
      <c r="Z105" s="243" t="str">
        <f>Shares!A105</f>
        <v/>
      </c>
      <c r="AA105" s="243" t="str">
        <f>Shares!B105</f>
        <v/>
      </c>
      <c r="AB105" s="243" t="str">
        <f>Shares!C105</f>
        <v/>
      </c>
      <c r="AC105" s="243" t="str">
        <f>Shares!D105</f>
        <v/>
      </c>
      <c r="AD105" s="243">
        <f>IF($Z105="",0,Shares!E105)</f>
        <v>0</v>
      </c>
      <c r="AE105" s="266">
        <f>IF($Z105="",0,Shares!J105*Shares!I105)</f>
        <v>0</v>
      </c>
      <c r="AF105" s="267">
        <f t="shared" si="33"/>
        <v>0</v>
      </c>
      <c r="AG105" s="266">
        <f>IF($Z105="",0,Shares!L105)</f>
        <v>0</v>
      </c>
      <c r="AH105" s="267">
        <f>IF($Z105="",0,Shares!M105)</f>
        <v>0</v>
      </c>
      <c r="AI105" s="243" t="str">
        <f>IF($Z105="","",RANK(AE105,$AE$2:$AE$1001)+COUNTIF($AE$2:AE105,AE105)-1)</f>
        <v/>
      </c>
      <c r="AJ105" s="243" t="str">
        <f>IF($AD105&lt;0,COUNT($AJ$1:AJ104)+1,"")</f>
        <v/>
      </c>
      <c r="AL105" s="243" t="str">
        <f>'All Ticker P&amp;L'!A105</f>
        <v/>
      </c>
      <c r="AM105" s="243" t="str">
        <f>'All Ticker P&amp;L'!B105</f>
        <v/>
      </c>
      <c r="AN105" s="243" t="str">
        <f>'All Ticker P&amp;L'!C105</f>
        <v/>
      </c>
      <c r="AO105" s="243" t="str">
        <f>'All Ticker P&amp;L'!D105</f>
        <v/>
      </c>
      <c r="AP105" s="265">
        <f>IF($AL105="",0,'All Ticker P&amp;L'!E105)</f>
        <v>0</v>
      </c>
      <c r="AQ105" s="266">
        <f>IF($AL105="",0,'All Ticker P&amp;L'!J105*'All Ticker P&amp;L'!I105)</f>
        <v>0</v>
      </c>
      <c r="AR105" s="266">
        <f>IF($AL105="",0,'All Ticker P&amp;L'!L105)</f>
        <v>0</v>
      </c>
      <c r="AS105" s="267">
        <f>IF($AL105="",0,'All Ticker P&amp;L'!M105)</f>
        <v>0</v>
      </c>
      <c r="AT105" s="243" t="str">
        <f>IF($AL105="","",RANK(AR105,$AR$2:$AR$1001)+COUNTIF($AR$2:AR105,AR105)-1)</f>
        <v/>
      </c>
      <c r="AU105" s="243" t="str">
        <f>IF($AL105="","",RANK(AV105,$AV$2:$AV$1001)+COUNTIF($AV$2:AV105,AV105)-1)</f>
        <v/>
      </c>
      <c r="AV105" s="266">
        <f t="shared" si="34"/>
        <v>0</v>
      </c>
    </row>
    <row r="106" spans="26:48" ht="15" customHeight="1" x14ac:dyDescent="0.2">
      <c r="Z106" s="243" t="str">
        <f>Shares!A106</f>
        <v/>
      </c>
      <c r="AA106" s="243" t="str">
        <f>Shares!B106</f>
        <v/>
      </c>
      <c r="AB106" s="243" t="str">
        <f>Shares!C106</f>
        <v/>
      </c>
      <c r="AC106" s="243" t="str">
        <f>Shares!D106</f>
        <v/>
      </c>
      <c r="AD106" s="243">
        <f>IF($Z106="",0,Shares!E106)</f>
        <v>0</v>
      </c>
      <c r="AE106" s="266">
        <f>IF($Z106="",0,Shares!J106*Shares!I106)</f>
        <v>0</v>
      </c>
      <c r="AF106" s="267">
        <f t="shared" si="33"/>
        <v>0</v>
      </c>
      <c r="AG106" s="266">
        <f>IF($Z106="",0,Shares!L106)</f>
        <v>0</v>
      </c>
      <c r="AH106" s="267">
        <f>IF($Z106="",0,Shares!M106)</f>
        <v>0</v>
      </c>
      <c r="AI106" s="243" t="str">
        <f>IF($Z106="","",RANK(AE106,$AE$2:$AE$1001)+COUNTIF($AE$2:AE106,AE106)-1)</f>
        <v/>
      </c>
      <c r="AJ106" s="243" t="str">
        <f>IF($AD106&lt;0,COUNT($AJ$1:AJ105)+1,"")</f>
        <v/>
      </c>
      <c r="AL106" s="243" t="str">
        <f>'All Ticker P&amp;L'!A106</f>
        <v/>
      </c>
      <c r="AM106" s="243" t="str">
        <f>'All Ticker P&amp;L'!B106</f>
        <v/>
      </c>
      <c r="AN106" s="243" t="str">
        <f>'All Ticker P&amp;L'!C106</f>
        <v/>
      </c>
      <c r="AO106" s="243" t="str">
        <f>'All Ticker P&amp;L'!D106</f>
        <v/>
      </c>
      <c r="AP106" s="265">
        <f>IF($AL106="",0,'All Ticker P&amp;L'!E106)</f>
        <v>0</v>
      </c>
      <c r="AQ106" s="266">
        <f>IF($AL106="",0,'All Ticker P&amp;L'!J106*'All Ticker P&amp;L'!I106)</f>
        <v>0</v>
      </c>
      <c r="AR106" s="266">
        <f>IF($AL106="",0,'All Ticker P&amp;L'!L106)</f>
        <v>0</v>
      </c>
      <c r="AS106" s="267">
        <f>IF($AL106="",0,'All Ticker P&amp;L'!M106)</f>
        <v>0</v>
      </c>
      <c r="AT106" s="243" t="str">
        <f>IF($AL106="","",RANK(AR106,$AR$2:$AR$1001)+COUNTIF($AR$2:AR106,AR106)-1)</f>
        <v/>
      </c>
      <c r="AU106" s="243" t="str">
        <f>IF($AL106="","",RANK(AV106,$AV$2:$AV$1001)+COUNTIF($AV$2:AV106,AV106)-1)</f>
        <v/>
      </c>
      <c r="AV106" s="266">
        <f t="shared" si="34"/>
        <v>0</v>
      </c>
    </row>
    <row r="107" spans="26:48" ht="15" customHeight="1" x14ac:dyDescent="0.2">
      <c r="Z107" s="243" t="str">
        <f>Shares!A107</f>
        <v/>
      </c>
      <c r="AA107" s="243" t="str">
        <f>Shares!B107</f>
        <v/>
      </c>
      <c r="AB107" s="243" t="str">
        <f>Shares!C107</f>
        <v/>
      </c>
      <c r="AC107" s="243" t="str">
        <f>Shares!D107</f>
        <v/>
      </c>
      <c r="AD107" s="243">
        <f>IF($Z107="",0,Shares!E107)</f>
        <v>0</v>
      </c>
      <c r="AE107" s="266">
        <f>IF($Z107="",0,Shares!J107*Shares!I107)</f>
        <v>0</v>
      </c>
      <c r="AF107" s="267">
        <f t="shared" si="33"/>
        <v>0</v>
      </c>
      <c r="AG107" s="266">
        <f>IF($Z107="",0,Shares!L107)</f>
        <v>0</v>
      </c>
      <c r="AH107" s="267">
        <f>IF($Z107="",0,Shares!M107)</f>
        <v>0</v>
      </c>
      <c r="AI107" s="243" t="str">
        <f>IF($Z107="","",RANK(AE107,$AE$2:$AE$1001)+COUNTIF($AE$2:AE107,AE107)-1)</f>
        <v/>
      </c>
      <c r="AJ107" s="243" t="str">
        <f>IF($AD107&lt;0,COUNT($AJ$1:AJ106)+1,"")</f>
        <v/>
      </c>
      <c r="AL107" s="243" t="str">
        <f>'All Ticker P&amp;L'!A107</f>
        <v/>
      </c>
      <c r="AM107" s="243" t="str">
        <f>'All Ticker P&amp;L'!B107</f>
        <v/>
      </c>
      <c r="AN107" s="243" t="str">
        <f>'All Ticker P&amp;L'!C107</f>
        <v/>
      </c>
      <c r="AO107" s="243" t="str">
        <f>'All Ticker P&amp;L'!D107</f>
        <v/>
      </c>
      <c r="AP107" s="265">
        <f>IF($AL107="",0,'All Ticker P&amp;L'!E107)</f>
        <v>0</v>
      </c>
      <c r="AQ107" s="266">
        <f>IF($AL107="",0,'All Ticker P&amp;L'!J107*'All Ticker P&amp;L'!I107)</f>
        <v>0</v>
      </c>
      <c r="AR107" s="266">
        <f>IF($AL107="",0,'All Ticker P&amp;L'!L107)</f>
        <v>0</v>
      </c>
      <c r="AS107" s="267">
        <f>IF($AL107="",0,'All Ticker P&amp;L'!M107)</f>
        <v>0</v>
      </c>
      <c r="AT107" s="243" t="str">
        <f>IF($AL107="","",RANK(AR107,$AR$2:$AR$1001)+COUNTIF($AR$2:AR107,AR107)-1)</f>
        <v/>
      </c>
      <c r="AU107" s="243" t="str">
        <f>IF($AL107="","",RANK(AV107,$AV$2:$AV$1001)+COUNTIF($AV$2:AV107,AV107)-1)</f>
        <v/>
      </c>
      <c r="AV107" s="266">
        <f t="shared" si="34"/>
        <v>0</v>
      </c>
    </row>
    <row r="108" spans="26:48" ht="15" customHeight="1" x14ac:dyDescent="0.2">
      <c r="Z108" s="243" t="str">
        <f>Shares!A108</f>
        <v/>
      </c>
      <c r="AA108" s="243" t="str">
        <f>Shares!B108</f>
        <v/>
      </c>
      <c r="AB108" s="243" t="str">
        <f>Shares!C108</f>
        <v/>
      </c>
      <c r="AC108" s="243" t="str">
        <f>Shares!D108</f>
        <v/>
      </c>
      <c r="AD108" s="243">
        <f>IF($Z108="",0,Shares!E108)</f>
        <v>0</v>
      </c>
      <c r="AE108" s="266">
        <f>IF($Z108="",0,Shares!J108*Shares!I108)</f>
        <v>0</v>
      </c>
      <c r="AF108" s="267">
        <f t="shared" si="33"/>
        <v>0</v>
      </c>
      <c r="AG108" s="266">
        <f>IF($Z108="",0,Shares!L108)</f>
        <v>0</v>
      </c>
      <c r="AH108" s="267">
        <f>IF($Z108="",0,Shares!M108)</f>
        <v>0</v>
      </c>
      <c r="AI108" s="243" t="str">
        <f>IF($Z108="","",RANK(AE108,$AE$2:$AE$1001)+COUNTIF($AE$2:AE108,AE108)-1)</f>
        <v/>
      </c>
      <c r="AJ108" s="243" t="str">
        <f>IF($AD108&lt;0,COUNT($AJ$1:AJ107)+1,"")</f>
        <v/>
      </c>
      <c r="AL108" s="243" t="str">
        <f>'All Ticker P&amp;L'!A108</f>
        <v/>
      </c>
      <c r="AM108" s="243" t="str">
        <f>'All Ticker P&amp;L'!B108</f>
        <v/>
      </c>
      <c r="AN108" s="243" t="str">
        <f>'All Ticker P&amp;L'!C108</f>
        <v/>
      </c>
      <c r="AO108" s="243" t="str">
        <f>'All Ticker P&amp;L'!D108</f>
        <v/>
      </c>
      <c r="AP108" s="265">
        <f>IF($AL108="",0,'All Ticker P&amp;L'!E108)</f>
        <v>0</v>
      </c>
      <c r="AQ108" s="266">
        <f>IF($AL108="",0,'All Ticker P&amp;L'!J108*'All Ticker P&amp;L'!I108)</f>
        <v>0</v>
      </c>
      <c r="AR108" s="266">
        <f>IF($AL108="",0,'All Ticker P&amp;L'!L108)</f>
        <v>0</v>
      </c>
      <c r="AS108" s="267">
        <f>IF($AL108="",0,'All Ticker P&amp;L'!M108)</f>
        <v>0</v>
      </c>
      <c r="AT108" s="243" t="str">
        <f>IF($AL108="","",RANK(AR108,$AR$2:$AR$1001)+COUNTIF($AR$2:AR108,AR108)-1)</f>
        <v/>
      </c>
      <c r="AU108" s="243" t="str">
        <f>IF($AL108="","",RANK(AV108,$AV$2:$AV$1001)+COUNTIF($AV$2:AV108,AV108)-1)</f>
        <v/>
      </c>
      <c r="AV108" s="266">
        <f t="shared" si="34"/>
        <v>0</v>
      </c>
    </row>
    <row r="109" spans="26:48" ht="15" customHeight="1" x14ac:dyDescent="0.2">
      <c r="Z109" s="243" t="str">
        <f>Shares!A109</f>
        <v/>
      </c>
      <c r="AA109" s="243" t="str">
        <f>Shares!B109</f>
        <v/>
      </c>
      <c r="AB109" s="243" t="str">
        <f>Shares!C109</f>
        <v/>
      </c>
      <c r="AC109" s="243" t="str">
        <f>Shares!D109</f>
        <v/>
      </c>
      <c r="AD109" s="243">
        <f>IF($Z109="",0,Shares!E109)</f>
        <v>0</v>
      </c>
      <c r="AE109" s="266">
        <f>IF($Z109="",0,Shares!J109*Shares!I109)</f>
        <v>0</v>
      </c>
      <c r="AF109" s="267">
        <f t="shared" si="33"/>
        <v>0</v>
      </c>
      <c r="AG109" s="266">
        <f>IF($Z109="",0,Shares!L109)</f>
        <v>0</v>
      </c>
      <c r="AH109" s="267">
        <f>IF($Z109="",0,Shares!M109)</f>
        <v>0</v>
      </c>
      <c r="AI109" s="243" t="str">
        <f>IF($Z109="","",RANK(AE109,$AE$2:$AE$1001)+COUNTIF($AE$2:AE109,AE109)-1)</f>
        <v/>
      </c>
      <c r="AJ109" s="243" t="str">
        <f>IF($AD109&lt;0,COUNT($AJ$1:AJ108)+1,"")</f>
        <v/>
      </c>
      <c r="AL109" s="243" t="str">
        <f>'All Ticker P&amp;L'!A109</f>
        <v/>
      </c>
      <c r="AM109" s="243" t="str">
        <f>'All Ticker P&amp;L'!B109</f>
        <v/>
      </c>
      <c r="AN109" s="243" t="str">
        <f>'All Ticker P&amp;L'!C109</f>
        <v/>
      </c>
      <c r="AO109" s="243" t="str">
        <f>'All Ticker P&amp;L'!D109</f>
        <v/>
      </c>
      <c r="AP109" s="265">
        <f>IF($AL109="",0,'All Ticker P&amp;L'!E109)</f>
        <v>0</v>
      </c>
      <c r="AQ109" s="266">
        <f>IF($AL109="",0,'All Ticker P&amp;L'!J109*'All Ticker P&amp;L'!I109)</f>
        <v>0</v>
      </c>
      <c r="AR109" s="266">
        <f>IF($AL109="",0,'All Ticker P&amp;L'!L109)</f>
        <v>0</v>
      </c>
      <c r="AS109" s="267">
        <f>IF($AL109="",0,'All Ticker P&amp;L'!M109)</f>
        <v>0</v>
      </c>
      <c r="AT109" s="243" t="str">
        <f>IF($AL109="","",RANK(AR109,$AR$2:$AR$1001)+COUNTIF($AR$2:AR109,AR109)-1)</f>
        <v/>
      </c>
      <c r="AU109" s="243" t="str">
        <f>IF($AL109="","",RANK(AV109,$AV$2:$AV$1001)+COUNTIF($AV$2:AV109,AV109)-1)</f>
        <v/>
      </c>
      <c r="AV109" s="266">
        <f t="shared" si="34"/>
        <v>0</v>
      </c>
    </row>
    <row r="110" spans="26:48" ht="15" customHeight="1" x14ac:dyDescent="0.2">
      <c r="Z110" s="243" t="str">
        <f>Shares!A110</f>
        <v/>
      </c>
      <c r="AA110" s="243" t="str">
        <f>Shares!B110</f>
        <v/>
      </c>
      <c r="AB110" s="243" t="str">
        <f>Shares!C110</f>
        <v/>
      </c>
      <c r="AC110" s="243" t="str">
        <f>Shares!D110</f>
        <v/>
      </c>
      <c r="AD110" s="243">
        <f>IF($Z110="",0,Shares!E110)</f>
        <v>0</v>
      </c>
      <c r="AE110" s="266">
        <f>IF($Z110="",0,Shares!J110*Shares!I110)</f>
        <v>0</v>
      </c>
      <c r="AF110" s="267">
        <f t="shared" si="33"/>
        <v>0</v>
      </c>
      <c r="AG110" s="266">
        <f>IF($Z110="",0,Shares!L110)</f>
        <v>0</v>
      </c>
      <c r="AH110" s="267">
        <f>IF($Z110="",0,Shares!M110)</f>
        <v>0</v>
      </c>
      <c r="AI110" s="243" t="str">
        <f>IF($Z110="","",RANK(AE110,$AE$2:$AE$1001)+COUNTIF($AE$2:AE110,AE110)-1)</f>
        <v/>
      </c>
      <c r="AJ110" s="243" t="str">
        <f>IF($AD110&lt;0,COUNT($AJ$1:AJ109)+1,"")</f>
        <v/>
      </c>
      <c r="AL110" s="243" t="str">
        <f>'All Ticker P&amp;L'!A110</f>
        <v/>
      </c>
      <c r="AM110" s="243" t="str">
        <f>'All Ticker P&amp;L'!B110</f>
        <v/>
      </c>
      <c r="AN110" s="243" t="str">
        <f>'All Ticker P&amp;L'!C110</f>
        <v/>
      </c>
      <c r="AO110" s="243" t="str">
        <f>'All Ticker P&amp;L'!D110</f>
        <v/>
      </c>
      <c r="AP110" s="265">
        <f>IF($AL110="",0,'All Ticker P&amp;L'!E110)</f>
        <v>0</v>
      </c>
      <c r="AQ110" s="266">
        <f>IF($AL110="",0,'All Ticker P&amp;L'!J110*'All Ticker P&amp;L'!I110)</f>
        <v>0</v>
      </c>
      <c r="AR110" s="266">
        <f>IF($AL110="",0,'All Ticker P&amp;L'!L110)</f>
        <v>0</v>
      </c>
      <c r="AS110" s="267">
        <f>IF($AL110="",0,'All Ticker P&amp;L'!M110)</f>
        <v>0</v>
      </c>
      <c r="AT110" s="243" t="str">
        <f>IF($AL110="","",RANK(AR110,$AR$2:$AR$1001)+COUNTIF($AR$2:AR110,AR110)-1)</f>
        <v/>
      </c>
      <c r="AU110" s="243" t="str">
        <f>IF($AL110="","",RANK(AV110,$AV$2:$AV$1001)+COUNTIF($AV$2:AV110,AV110)-1)</f>
        <v/>
      </c>
      <c r="AV110" s="266">
        <f t="shared" si="34"/>
        <v>0</v>
      </c>
    </row>
    <row r="111" spans="26:48" ht="15" customHeight="1" x14ac:dyDescent="0.2">
      <c r="Z111" s="243" t="str">
        <f>Shares!A111</f>
        <v/>
      </c>
      <c r="AA111" s="243" t="str">
        <f>Shares!B111</f>
        <v/>
      </c>
      <c r="AB111" s="243" t="str">
        <f>Shares!C111</f>
        <v/>
      </c>
      <c r="AC111" s="243" t="str">
        <f>Shares!D111</f>
        <v/>
      </c>
      <c r="AD111" s="243">
        <f>IF($Z111="",0,Shares!E111)</f>
        <v>0</v>
      </c>
      <c r="AE111" s="266">
        <f>IF($Z111="",0,Shares!J111*Shares!I111)</f>
        <v>0</v>
      </c>
      <c r="AF111" s="267">
        <f t="shared" si="33"/>
        <v>0</v>
      </c>
      <c r="AG111" s="266">
        <f>IF($Z111="",0,Shares!L111)</f>
        <v>0</v>
      </c>
      <c r="AH111" s="267">
        <f>IF($Z111="",0,Shares!M111)</f>
        <v>0</v>
      </c>
      <c r="AI111" s="243" t="str">
        <f>IF($Z111="","",RANK(AE111,$AE$2:$AE$1001)+COUNTIF($AE$2:AE111,AE111)-1)</f>
        <v/>
      </c>
      <c r="AJ111" s="243" t="str">
        <f>IF($AD111&lt;0,COUNT($AJ$1:AJ110)+1,"")</f>
        <v/>
      </c>
      <c r="AL111" s="243" t="str">
        <f>'All Ticker P&amp;L'!A111</f>
        <v/>
      </c>
      <c r="AM111" s="243" t="str">
        <f>'All Ticker P&amp;L'!B111</f>
        <v/>
      </c>
      <c r="AN111" s="243" t="str">
        <f>'All Ticker P&amp;L'!C111</f>
        <v/>
      </c>
      <c r="AO111" s="243" t="str">
        <f>'All Ticker P&amp;L'!D111</f>
        <v/>
      </c>
      <c r="AP111" s="265">
        <f>IF($AL111="",0,'All Ticker P&amp;L'!E111)</f>
        <v>0</v>
      </c>
      <c r="AQ111" s="266">
        <f>IF($AL111="",0,'All Ticker P&amp;L'!J111*'All Ticker P&amp;L'!I111)</f>
        <v>0</v>
      </c>
      <c r="AR111" s="266">
        <f>IF($AL111="",0,'All Ticker P&amp;L'!L111)</f>
        <v>0</v>
      </c>
      <c r="AS111" s="267">
        <f>IF($AL111="",0,'All Ticker P&amp;L'!M111)</f>
        <v>0</v>
      </c>
      <c r="AT111" s="243" t="str">
        <f>IF($AL111="","",RANK(AR111,$AR$2:$AR$1001)+COUNTIF($AR$2:AR111,AR111)-1)</f>
        <v/>
      </c>
      <c r="AU111" s="243" t="str">
        <f>IF($AL111="","",RANK(AV111,$AV$2:$AV$1001)+COUNTIF($AV$2:AV111,AV111)-1)</f>
        <v/>
      </c>
      <c r="AV111" s="266">
        <f t="shared" si="34"/>
        <v>0</v>
      </c>
    </row>
    <row r="112" spans="26:48" ht="15" customHeight="1" x14ac:dyDescent="0.2">
      <c r="Z112" s="243" t="str">
        <f>Shares!A112</f>
        <v/>
      </c>
      <c r="AA112" s="243" t="str">
        <f>Shares!B112</f>
        <v/>
      </c>
      <c r="AB112" s="243" t="str">
        <f>Shares!C112</f>
        <v/>
      </c>
      <c r="AC112" s="243" t="str">
        <f>Shares!D112</f>
        <v/>
      </c>
      <c r="AD112" s="243">
        <f>IF($Z112="",0,Shares!E112)</f>
        <v>0</v>
      </c>
      <c r="AE112" s="266">
        <f>IF($Z112="",0,Shares!J112*Shares!I112)</f>
        <v>0</v>
      </c>
      <c r="AF112" s="267">
        <f t="shared" si="33"/>
        <v>0</v>
      </c>
      <c r="AG112" s="266">
        <f>IF($Z112="",0,Shares!L112)</f>
        <v>0</v>
      </c>
      <c r="AH112" s="267">
        <f>IF($Z112="",0,Shares!M112)</f>
        <v>0</v>
      </c>
      <c r="AI112" s="243" t="str">
        <f>IF($Z112="","",RANK(AE112,$AE$2:$AE$1001)+COUNTIF($AE$2:AE112,AE112)-1)</f>
        <v/>
      </c>
      <c r="AJ112" s="243" t="str">
        <f>IF($AD112&lt;0,COUNT($AJ$1:AJ111)+1,"")</f>
        <v/>
      </c>
      <c r="AL112" s="243" t="str">
        <f>'All Ticker P&amp;L'!A112</f>
        <v/>
      </c>
      <c r="AM112" s="243" t="str">
        <f>'All Ticker P&amp;L'!B112</f>
        <v/>
      </c>
      <c r="AN112" s="243" t="str">
        <f>'All Ticker P&amp;L'!C112</f>
        <v/>
      </c>
      <c r="AO112" s="243" t="str">
        <f>'All Ticker P&amp;L'!D112</f>
        <v/>
      </c>
      <c r="AP112" s="265">
        <f>IF($AL112="",0,'All Ticker P&amp;L'!E112)</f>
        <v>0</v>
      </c>
      <c r="AQ112" s="266">
        <f>IF($AL112="",0,'All Ticker P&amp;L'!J112*'All Ticker P&amp;L'!I112)</f>
        <v>0</v>
      </c>
      <c r="AR112" s="266">
        <f>IF($AL112="",0,'All Ticker P&amp;L'!L112)</f>
        <v>0</v>
      </c>
      <c r="AS112" s="267">
        <f>IF($AL112="",0,'All Ticker P&amp;L'!M112)</f>
        <v>0</v>
      </c>
      <c r="AT112" s="243" t="str">
        <f>IF($AL112="","",RANK(AR112,$AR$2:$AR$1001)+COUNTIF($AR$2:AR112,AR112)-1)</f>
        <v/>
      </c>
      <c r="AU112" s="243" t="str">
        <f>IF($AL112="","",RANK(AV112,$AV$2:$AV$1001)+COUNTIF($AV$2:AV112,AV112)-1)</f>
        <v/>
      </c>
      <c r="AV112" s="266">
        <f t="shared" si="34"/>
        <v>0</v>
      </c>
    </row>
    <row r="113" spans="26:48" ht="15" customHeight="1" x14ac:dyDescent="0.2">
      <c r="Z113" s="243" t="str">
        <f>Shares!A113</f>
        <v/>
      </c>
      <c r="AA113" s="243" t="str">
        <f>Shares!B113</f>
        <v/>
      </c>
      <c r="AB113" s="243" t="str">
        <f>Shares!C113</f>
        <v/>
      </c>
      <c r="AC113" s="243" t="str">
        <f>Shares!D113</f>
        <v/>
      </c>
      <c r="AD113" s="243">
        <f>IF($Z113="",0,Shares!E113)</f>
        <v>0</v>
      </c>
      <c r="AE113" s="266">
        <f>IF($Z113="",0,Shares!J113*Shares!I113)</f>
        <v>0</v>
      </c>
      <c r="AF113" s="267">
        <f t="shared" si="33"/>
        <v>0</v>
      </c>
      <c r="AG113" s="266">
        <f>IF($Z113="",0,Shares!L113)</f>
        <v>0</v>
      </c>
      <c r="AH113" s="267">
        <f>IF($Z113="",0,Shares!M113)</f>
        <v>0</v>
      </c>
      <c r="AI113" s="243" t="str">
        <f>IF($Z113="","",RANK(AE113,$AE$2:$AE$1001)+COUNTIF($AE$2:AE113,AE113)-1)</f>
        <v/>
      </c>
      <c r="AJ113" s="243" t="str">
        <f>IF($AD113&lt;0,COUNT($AJ$1:AJ112)+1,"")</f>
        <v/>
      </c>
      <c r="AL113" s="243" t="str">
        <f>'All Ticker P&amp;L'!A113</f>
        <v/>
      </c>
      <c r="AM113" s="243" t="str">
        <f>'All Ticker P&amp;L'!B113</f>
        <v/>
      </c>
      <c r="AN113" s="243" t="str">
        <f>'All Ticker P&amp;L'!C113</f>
        <v/>
      </c>
      <c r="AO113" s="243" t="str">
        <f>'All Ticker P&amp;L'!D113</f>
        <v/>
      </c>
      <c r="AP113" s="265">
        <f>IF($AL113="",0,'All Ticker P&amp;L'!E113)</f>
        <v>0</v>
      </c>
      <c r="AQ113" s="266">
        <f>IF($AL113="",0,'All Ticker P&amp;L'!J113*'All Ticker P&amp;L'!I113)</f>
        <v>0</v>
      </c>
      <c r="AR113" s="266">
        <f>IF($AL113="",0,'All Ticker P&amp;L'!L113)</f>
        <v>0</v>
      </c>
      <c r="AS113" s="267">
        <f>IF($AL113="",0,'All Ticker P&amp;L'!M113)</f>
        <v>0</v>
      </c>
      <c r="AT113" s="243" t="str">
        <f>IF($AL113="","",RANK(AR113,$AR$2:$AR$1001)+COUNTIF($AR$2:AR113,AR113)-1)</f>
        <v/>
      </c>
      <c r="AU113" s="243" t="str">
        <f>IF($AL113="","",RANK(AV113,$AV$2:$AV$1001)+COUNTIF($AV$2:AV113,AV113)-1)</f>
        <v/>
      </c>
      <c r="AV113" s="266">
        <f t="shared" si="34"/>
        <v>0</v>
      </c>
    </row>
    <row r="114" spans="26:48" ht="15" customHeight="1" x14ac:dyDescent="0.2">
      <c r="Z114" s="243" t="str">
        <f>Shares!A114</f>
        <v/>
      </c>
      <c r="AA114" s="243" t="str">
        <f>Shares!B114</f>
        <v/>
      </c>
      <c r="AB114" s="243" t="str">
        <f>Shares!C114</f>
        <v/>
      </c>
      <c r="AC114" s="243" t="str">
        <f>Shares!D114</f>
        <v/>
      </c>
      <c r="AD114" s="243">
        <f>IF($Z114="",0,Shares!E114)</f>
        <v>0</v>
      </c>
      <c r="AE114" s="266">
        <f>IF($Z114="",0,Shares!J114*Shares!I114)</f>
        <v>0</v>
      </c>
      <c r="AF114" s="267">
        <f t="shared" si="33"/>
        <v>0</v>
      </c>
      <c r="AG114" s="266">
        <f>IF($Z114="",0,Shares!L114)</f>
        <v>0</v>
      </c>
      <c r="AH114" s="267">
        <f>IF($Z114="",0,Shares!M114)</f>
        <v>0</v>
      </c>
      <c r="AI114" s="243" t="str">
        <f>IF($Z114="","",RANK(AE114,$AE$2:$AE$1001)+COUNTIF($AE$2:AE114,AE114)-1)</f>
        <v/>
      </c>
      <c r="AJ114" s="243" t="str">
        <f>IF($AD114&lt;0,COUNT($AJ$1:AJ113)+1,"")</f>
        <v/>
      </c>
      <c r="AL114" s="243" t="str">
        <f>'All Ticker P&amp;L'!A114</f>
        <v/>
      </c>
      <c r="AM114" s="243" t="str">
        <f>'All Ticker P&amp;L'!B114</f>
        <v/>
      </c>
      <c r="AN114" s="243" t="str">
        <f>'All Ticker P&amp;L'!C114</f>
        <v/>
      </c>
      <c r="AO114" s="243" t="str">
        <f>'All Ticker P&amp;L'!D114</f>
        <v/>
      </c>
      <c r="AP114" s="265">
        <f>IF($AL114="",0,'All Ticker P&amp;L'!E114)</f>
        <v>0</v>
      </c>
      <c r="AQ114" s="266">
        <f>IF($AL114="",0,'All Ticker P&amp;L'!J114*'All Ticker P&amp;L'!I114)</f>
        <v>0</v>
      </c>
      <c r="AR114" s="266">
        <f>IF($AL114="",0,'All Ticker P&amp;L'!L114)</f>
        <v>0</v>
      </c>
      <c r="AS114" s="267">
        <f>IF($AL114="",0,'All Ticker P&amp;L'!M114)</f>
        <v>0</v>
      </c>
      <c r="AT114" s="243" t="str">
        <f>IF($AL114="","",RANK(AR114,$AR$2:$AR$1001)+COUNTIF($AR$2:AR114,AR114)-1)</f>
        <v/>
      </c>
      <c r="AU114" s="243" t="str">
        <f>IF($AL114="","",RANK(AV114,$AV$2:$AV$1001)+COUNTIF($AV$2:AV114,AV114)-1)</f>
        <v/>
      </c>
      <c r="AV114" s="266">
        <f t="shared" si="34"/>
        <v>0</v>
      </c>
    </row>
    <row r="115" spans="26:48" ht="15" customHeight="1" x14ac:dyDescent="0.2">
      <c r="Z115" s="243" t="str">
        <f>Shares!A115</f>
        <v/>
      </c>
      <c r="AA115" s="243" t="str">
        <f>Shares!B115</f>
        <v/>
      </c>
      <c r="AB115" s="243" t="str">
        <f>Shares!C115</f>
        <v/>
      </c>
      <c r="AC115" s="243" t="str">
        <f>Shares!D115</f>
        <v/>
      </c>
      <c r="AD115" s="243">
        <f>IF($Z115="",0,Shares!E115)</f>
        <v>0</v>
      </c>
      <c r="AE115" s="266">
        <f>IF($Z115="",0,Shares!J115*Shares!I115)</f>
        <v>0</v>
      </c>
      <c r="AF115" s="267">
        <f t="shared" si="33"/>
        <v>0</v>
      </c>
      <c r="AG115" s="266">
        <f>IF($Z115="",0,Shares!L115)</f>
        <v>0</v>
      </c>
      <c r="AH115" s="267">
        <f>IF($Z115="",0,Shares!M115)</f>
        <v>0</v>
      </c>
      <c r="AI115" s="243" t="str">
        <f>IF($Z115="","",RANK(AE115,$AE$2:$AE$1001)+COUNTIF($AE$2:AE115,AE115)-1)</f>
        <v/>
      </c>
      <c r="AJ115" s="243" t="str">
        <f>IF($AD115&lt;0,COUNT($AJ$1:AJ114)+1,"")</f>
        <v/>
      </c>
      <c r="AL115" s="243" t="str">
        <f>'All Ticker P&amp;L'!A115</f>
        <v/>
      </c>
      <c r="AM115" s="243" t="str">
        <f>'All Ticker P&amp;L'!B115</f>
        <v/>
      </c>
      <c r="AN115" s="243" t="str">
        <f>'All Ticker P&amp;L'!C115</f>
        <v/>
      </c>
      <c r="AO115" s="243" t="str">
        <f>'All Ticker P&amp;L'!D115</f>
        <v/>
      </c>
      <c r="AP115" s="265">
        <f>IF($AL115="",0,'All Ticker P&amp;L'!E115)</f>
        <v>0</v>
      </c>
      <c r="AQ115" s="266">
        <f>IF($AL115="",0,'All Ticker P&amp;L'!J115*'All Ticker P&amp;L'!I115)</f>
        <v>0</v>
      </c>
      <c r="AR115" s="266">
        <f>IF($AL115="",0,'All Ticker P&amp;L'!L115)</f>
        <v>0</v>
      </c>
      <c r="AS115" s="267">
        <f>IF($AL115="",0,'All Ticker P&amp;L'!M115)</f>
        <v>0</v>
      </c>
      <c r="AT115" s="243" t="str">
        <f>IF($AL115="","",RANK(AR115,$AR$2:$AR$1001)+COUNTIF($AR$2:AR115,AR115)-1)</f>
        <v/>
      </c>
      <c r="AU115" s="243" t="str">
        <f>IF($AL115="","",RANK(AV115,$AV$2:$AV$1001)+COUNTIF($AV$2:AV115,AV115)-1)</f>
        <v/>
      </c>
      <c r="AV115" s="266">
        <f t="shared" si="34"/>
        <v>0</v>
      </c>
    </row>
    <row r="116" spans="26:48" ht="15" customHeight="1" x14ac:dyDescent="0.2">
      <c r="Z116" s="243" t="str">
        <f>Shares!A116</f>
        <v/>
      </c>
      <c r="AA116" s="243" t="str">
        <f>Shares!B116</f>
        <v/>
      </c>
      <c r="AB116" s="243" t="str">
        <f>Shares!C116</f>
        <v/>
      </c>
      <c r="AC116" s="243" t="str">
        <f>Shares!D116</f>
        <v/>
      </c>
      <c r="AD116" s="243">
        <f>IF($Z116="",0,Shares!E116)</f>
        <v>0</v>
      </c>
      <c r="AE116" s="266">
        <f>IF($Z116="",0,Shares!J116*Shares!I116)</f>
        <v>0</v>
      </c>
      <c r="AF116" s="267">
        <f t="shared" si="33"/>
        <v>0</v>
      </c>
      <c r="AG116" s="266">
        <f>IF($Z116="",0,Shares!L116)</f>
        <v>0</v>
      </c>
      <c r="AH116" s="267">
        <f>IF($Z116="",0,Shares!M116)</f>
        <v>0</v>
      </c>
      <c r="AI116" s="243" t="str">
        <f>IF($Z116="","",RANK(AE116,$AE$2:$AE$1001)+COUNTIF($AE$2:AE116,AE116)-1)</f>
        <v/>
      </c>
      <c r="AJ116" s="243" t="str">
        <f>IF($AD116&lt;0,COUNT($AJ$1:AJ115)+1,"")</f>
        <v/>
      </c>
      <c r="AL116" s="243" t="str">
        <f>'All Ticker P&amp;L'!A116</f>
        <v/>
      </c>
      <c r="AM116" s="243" t="str">
        <f>'All Ticker P&amp;L'!B116</f>
        <v/>
      </c>
      <c r="AN116" s="243" t="str">
        <f>'All Ticker P&amp;L'!C116</f>
        <v/>
      </c>
      <c r="AO116" s="243" t="str">
        <f>'All Ticker P&amp;L'!D116</f>
        <v/>
      </c>
      <c r="AP116" s="265">
        <f>IF($AL116="",0,'All Ticker P&amp;L'!E116)</f>
        <v>0</v>
      </c>
      <c r="AQ116" s="266">
        <f>IF($AL116="",0,'All Ticker P&amp;L'!J116*'All Ticker P&amp;L'!I116)</f>
        <v>0</v>
      </c>
      <c r="AR116" s="266">
        <f>IF($AL116="",0,'All Ticker P&amp;L'!L116)</f>
        <v>0</v>
      </c>
      <c r="AS116" s="267">
        <f>IF($AL116="",0,'All Ticker P&amp;L'!M116)</f>
        <v>0</v>
      </c>
      <c r="AT116" s="243" t="str">
        <f>IF($AL116="","",RANK(AR116,$AR$2:$AR$1001)+COUNTIF($AR$2:AR116,AR116)-1)</f>
        <v/>
      </c>
      <c r="AU116" s="243" t="str">
        <f>IF($AL116="","",RANK(AV116,$AV$2:$AV$1001)+COUNTIF($AV$2:AV116,AV116)-1)</f>
        <v/>
      </c>
      <c r="AV116" s="266">
        <f t="shared" si="34"/>
        <v>0</v>
      </c>
    </row>
    <row r="117" spans="26:48" ht="15" customHeight="1" x14ac:dyDescent="0.2">
      <c r="Z117" s="243" t="str">
        <f>Shares!A117</f>
        <v/>
      </c>
      <c r="AA117" s="243" t="str">
        <f>Shares!B117</f>
        <v/>
      </c>
      <c r="AB117" s="243" t="str">
        <f>Shares!C117</f>
        <v/>
      </c>
      <c r="AC117" s="243" t="str">
        <f>Shares!D117</f>
        <v/>
      </c>
      <c r="AD117" s="243">
        <f>IF($Z117="",0,Shares!E117)</f>
        <v>0</v>
      </c>
      <c r="AE117" s="266">
        <f>IF($Z117="",0,Shares!J117*Shares!I117)</f>
        <v>0</v>
      </c>
      <c r="AF117" s="267">
        <f t="shared" si="33"/>
        <v>0</v>
      </c>
      <c r="AG117" s="266">
        <f>IF($Z117="",0,Shares!L117)</f>
        <v>0</v>
      </c>
      <c r="AH117" s="267">
        <f>IF($Z117="",0,Shares!M117)</f>
        <v>0</v>
      </c>
      <c r="AI117" s="243" t="str">
        <f>IF($Z117="","",RANK(AE117,$AE$2:$AE$1001)+COUNTIF($AE$2:AE117,AE117)-1)</f>
        <v/>
      </c>
      <c r="AJ117" s="243" t="str">
        <f>IF($AD117&lt;0,COUNT($AJ$1:AJ116)+1,"")</f>
        <v/>
      </c>
      <c r="AL117" s="243" t="str">
        <f>'All Ticker P&amp;L'!A117</f>
        <v/>
      </c>
      <c r="AM117" s="243" t="str">
        <f>'All Ticker P&amp;L'!B117</f>
        <v/>
      </c>
      <c r="AN117" s="243" t="str">
        <f>'All Ticker P&amp;L'!C117</f>
        <v/>
      </c>
      <c r="AO117" s="243" t="str">
        <f>'All Ticker P&amp;L'!D117</f>
        <v/>
      </c>
      <c r="AP117" s="243">
        <f>IF($AL117="",0,'All Ticker P&amp;L'!E117)</f>
        <v>0</v>
      </c>
      <c r="AQ117" s="266">
        <f>IF($AL117="",0,'All Ticker P&amp;L'!J117*'All Ticker P&amp;L'!I117)</f>
        <v>0</v>
      </c>
      <c r="AR117" s="266">
        <f>IF($AL117="",0,'All Ticker P&amp;L'!L117)</f>
        <v>0</v>
      </c>
      <c r="AS117" s="267">
        <f>IF($AL117="",0,'All Ticker P&amp;L'!M117)</f>
        <v>0</v>
      </c>
      <c r="AT117" s="243" t="str">
        <f>IF($AL117="","",RANK(AR117,$AR$2:$AR$1001)+COUNTIF($AR$2:AR117,AR117)-1)</f>
        <v/>
      </c>
      <c r="AU117" s="243" t="str">
        <f>IF($AL117="","",RANK(AV117,$AV$2:$AV$1001)+COUNTIF($AV$2:AV117,AV117)-1)</f>
        <v/>
      </c>
      <c r="AV117" s="266">
        <f t="shared" si="34"/>
        <v>0</v>
      </c>
    </row>
    <row r="118" spans="26:48" ht="15" customHeight="1" x14ac:dyDescent="0.2">
      <c r="Z118" s="243" t="str">
        <f>Shares!A118</f>
        <v/>
      </c>
      <c r="AA118" s="243" t="str">
        <f>Shares!B118</f>
        <v/>
      </c>
      <c r="AB118" s="243" t="str">
        <f>Shares!C118</f>
        <v/>
      </c>
      <c r="AC118" s="243" t="str">
        <f>Shares!D118</f>
        <v/>
      </c>
      <c r="AD118" s="243">
        <f>IF($Z118="",0,Shares!E118)</f>
        <v>0</v>
      </c>
      <c r="AE118" s="266">
        <f>IF($Z118="",0,Shares!J118*Shares!I118)</f>
        <v>0</v>
      </c>
      <c r="AF118" s="267">
        <f t="shared" si="33"/>
        <v>0</v>
      </c>
      <c r="AG118" s="266">
        <f>IF($Z118="",0,Shares!L118)</f>
        <v>0</v>
      </c>
      <c r="AH118" s="267">
        <f>IF($Z118="",0,Shares!M118)</f>
        <v>0</v>
      </c>
      <c r="AI118" s="243" t="str">
        <f>IF($Z118="","",RANK(AE118,$AE$2:$AE$1001)+COUNTIF($AE$2:AE118,AE118)-1)</f>
        <v/>
      </c>
      <c r="AJ118" s="243" t="str">
        <f>IF($AD118&lt;0,COUNT($AJ$1:AJ117)+1,"")</f>
        <v/>
      </c>
      <c r="AL118" s="243" t="str">
        <f>'All Ticker P&amp;L'!A118</f>
        <v/>
      </c>
      <c r="AM118" s="243" t="str">
        <f>'All Ticker P&amp;L'!B118</f>
        <v/>
      </c>
      <c r="AN118" s="243" t="str">
        <f>'All Ticker P&amp;L'!C118</f>
        <v/>
      </c>
      <c r="AO118" s="243" t="str">
        <f>'All Ticker P&amp;L'!D118</f>
        <v/>
      </c>
      <c r="AP118" s="243">
        <f>IF($AL118="",0,'All Ticker P&amp;L'!E118)</f>
        <v>0</v>
      </c>
      <c r="AQ118" s="266">
        <f>IF($AL118="",0,'All Ticker P&amp;L'!J118*'All Ticker P&amp;L'!I118)</f>
        <v>0</v>
      </c>
      <c r="AR118" s="266">
        <f>IF($AL118="",0,'All Ticker P&amp;L'!L118)</f>
        <v>0</v>
      </c>
      <c r="AS118" s="267">
        <f>IF($AL118="",0,'All Ticker P&amp;L'!M118)</f>
        <v>0</v>
      </c>
      <c r="AT118" s="243" t="str">
        <f>IF($AL118="","",RANK(AR118,$AR$2:$AR$1001)+COUNTIF($AR$2:AR118,AR118)-1)</f>
        <v/>
      </c>
      <c r="AU118" s="243" t="str">
        <f>IF($AL118="","",RANK(AV118,$AV$2:$AV$1001)+COUNTIF($AV$2:AV118,AV118)-1)</f>
        <v/>
      </c>
      <c r="AV118" s="266">
        <f t="shared" si="34"/>
        <v>0</v>
      </c>
    </row>
    <row r="119" spans="26:48" ht="15" customHeight="1" x14ac:dyDescent="0.2">
      <c r="Z119" s="243" t="str">
        <f>Shares!A119</f>
        <v/>
      </c>
      <c r="AA119" s="243" t="str">
        <f>Shares!B119</f>
        <v/>
      </c>
      <c r="AB119" s="243" t="str">
        <f>Shares!C119</f>
        <v/>
      </c>
      <c r="AC119" s="243" t="str">
        <f>Shares!D119</f>
        <v/>
      </c>
      <c r="AD119" s="243">
        <f>IF($Z119="",0,Shares!E119)</f>
        <v>0</v>
      </c>
      <c r="AE119" s="266">
        <f>IF($Z119="",0,Shares!J119*Shares!I119)</f>
        <v>0</v>
      </c>
      <c r="AF119" s="267">
        <f t="shared" si="33"/>
        <v>0</v>
      </c>
      <c r="AG119" s="266">
        <f>IF($Z119="",0,Shares!L119)</f>
        <v>0</v>
      </c>
      <c r="AH119" s="267">
        <f>IF($Z119="",0,Shares!M119)</f>
        <v>0</v>
      </c>
      <c r="AI119" s="243" t="str">
        <f>IF($Z119="","",RANK(AE119,$AE$2:$AE$1001)+COUNTIF($AE$2:AE119,AE119)-1)</f>
        <v/>
      </c>
      <c r="AJ119" s="243" t="str">
        <f>IF($AD119&lt;0,COUNT($AJ$1:AJ118)+1,"")</f>
        <v/>
      </c>
      <c r="AL119" s="243" t="str">
        <f>'All Ticker P&amp;L'!A119</f>
        <v/>
      </c>
      <c r="AM119" s="243" t="str">
        <f>'All Ticker P&amp;L'!B119</f>
        <v/>
      </c>
      <c r="AN119" s="243" t="str">
        <f>'All Ticker P&amp;L'!C119</f>
        <v/>
      </c>
      <c r="AO119" s="243" t="str">
        <f>'All Ticker P&amp;L'!D119</f>
        <v/>
      </c>
      <c r="AP119" s="243">
        <f>IF($AL119="",0,'All Ticker P&amp;L'!E119)</f>
        <v>0</v>
      </c>
      <c r="AQ119" s="266">
        <f>IF($AL119="",0,'All Ticker P&amp;L'!J119*'All Ticker P&amp;L'!I119)</f>
        <v>0</v>
      </c>
      <c r="AR119" s="266">
        <f>IF($AL119="",0,'All Ticker P&amp;L'!L119)</f>
        <v>0</v>
      </c>
      <c r="AS119" s="267">
        <f>IF($AL119="",0,'All Ticker P&amp;L'!M119)</f>
        <v>0</v>
      </c>
      <c r="AT119" s="243" t="str">
        <f>IF($AL119="","",RANK(AR119,$AR$2:$AR$1001)+COUNTIF($AR$2:AR119,AR119)-1)</f>
        <v/>
      </c>
      <c r="AU119" s="243" t="str">
        <f>IF($AL119="","",RANK(AV119,$AV$2:$AV$1001)+COUNTIF($AV$2:AV119,AV119)-1)</f>
        <v/>
      </c>
      <c r="AV119" s="266">
        <f t="shared" si="34"/>
        <v>0</v>
      </c>
    </row>
    <row r="120" spans="26:48" ht="15" customHeight="1" x14ac:dyDescent="0.2">
      <c r="Z120" s="243" t="str">
        <f>Shares!A120</f>
        <v/>
      </c>
      <c r="AA120" s="243" t="str">
        <f>Shares!B120</f>
        <v/>
      </c>
      <c r="AB120" s="243" t="str">
        <f>Shares!C120</f>
        <v/>
      </c>
      <c r="AC120" s="243" t="str">
        <f>Shares!D120</f>
        <v/>
      </c>
      <c r="AD120" s="243">
        <f>IF($Z120="",0,Shares!E120)</f>
        <v>0</v>
      </c>
      <c r="AE120" s="266">
        <f>IF($Z120="",0,Shares!J120*Shares!I120)</f>
        <v>0</v>
      </c>
      <c r="AF120" s="267">
        <f t="shared" si="33"/>
        <v>0</v>
      </c>
      <c r="AG120" s="266">
        <f>IF($Z120="",0,Shares!L120)</f>
        <v>0</v>
      </c>
      <c r="AH120" s="267">
        <f>IF($Z120="",0,Shares!M120)</f>
        <v>0</v>
      </c>
      <c r="AI120" s="243" t="str">
        <f>IF($Z120="","",RANK(AE120,$AE$2:$AE$1001)+COUNTIF($AE$2:AE120,AE120)-1)</f>
        <v/>
      </c>
      <c r="AJ120" s="243" t="str">
        <f>IF($AD120&lt;0,COUNT($AJ$1:AJ119)+1,"")</f>
        <v/>
      </c>
      <c r="AL120" s="243" t="str">
        <f>'All Ticker P&amp;L'!A120</f>
        <v/>
      </c>
      <c r="AM120" s="243" t="str">
        <f>'All Ticker P&amp;L'!B120</f>
        <v/>
      </c>
      <c r="AN120" s="243" t="str">
        <f>'All Ticker P&amp;L'!C120</f>
        <v/>
      </c>
      <c r="AO120" s="243" t="str">
        <f>'All Ticker P&amp;L'!D120</f>
        <v/>
      </c>
      <c r="AP120" s="243">
        <f>IF($AL120="",0,'All Ticker P&amp;L'!E120)</f>
        <v>0</v>
      </c>
      <c r="AQ120" s="266">
        <f>IF($AL120="",0,'All Ticker P&amp;L'!J120*'All Ticker P&amp;L'!I120)</f>
        <v>0</v>
      </c>
      <c r="AR120" s="266">
        <f>IF($AL120="",0,'All Ticker P&amp;L'!L120)</f>
        <v>0</v>
      </c>
      <c r="AS120" s="267">
        <f>IF($AL120="",0,'All Ticker P&amp;L'!M120)</f>
        <v>0</v>
      </c>
      <c r="AT120" s="243" t="str">
        <f>IF($AL120="","",RANK(AR120,$AR$2:$AR$1001)+COUNTIF($AR$2:AR120,AR120)-1)</f>
        <v/>
      </c>
      <c r="AU120" s="243" t="str">
        <f>IF($AL120="","",RANK(AV120,$AV$2:$AV$1001)+COUNTIF($AV$2:AV120,AV120)-1)</f>
        <v/>
      </c>
      <c r="AV120" s="266">
        <f t="shared" si="34"/>
        <v>0</v>
      </c>
    </row>
    <row r="121" spans="26:48" ht="15" customHeight="1" x14ac:dyDescent="0.2">
      <c r="Z121" s="243" t="str">
        <f>Shares!A121</f>
        <v/>
      </c>
      <c r="AA121" s="243" t="str">
        <f>Shares!B121</f>
        <v/>
      </c>
      <c r="AB121" s="243" t="str">
        <f>Shares!C121</f>
        <v/>
      </c>
      <c r="AC121" s="243" t="str">
        <f>Shares!D121</f>
        <v/>
      </c>
      <c r="AD121" s="243">
        <f>IF($Z121="",0,Shares!E121)</f>
        <v>0</v>
      </c>
      <c r="AE121" s="266">
        <f>IF($Z121="",0,Shares!J121*Shares!I121)</f>
        <v>0</v>
      </c>
      <c r="AF121" s="267">
        <f t="shared" si="33"/>
        <v>0</v>
      </c>
      <c r="AG121" s="266">
        <f>IF($Z121="",0,Shares!L121)</f>
        <v>0</v>
      </c>
      <c r="AH121" s="267">
        <f>IF($Z121="",0,Shares!M121)</f>
        <v>0</v>
      </c>
      <c r="AI121" s="243" t="str">
        <f>IF($Z121="","",RANK(AE121,$AE$2:$AE$1001)+COUNTIF($AE$2:AE121,AE121)-1)</f>
        <v/>
      </c>
      <c r="AJ121" s="243" t="str">
        <f>IF($AD121&lt;0,COUNT($AJ$1:AJ120)+1,"")</f>
        <v/>
      </c>
      <c r="AL121" s="243" t="str">
        <f>'All Ticker P&amp;L'!A121</f>
        <v/>
      </c>
      <c r="AM121" s="243" t="str">
        <f>'All Ticker P&amp;L'!B121</f>
        <v/>
      </c>
      <c r="AN121" s="243" t="str">
        <f>'All Ticker P&amp;L'!C121</f>
        <v/>
      </c>
      <c r="AO121" s="243" t="str">
        <f>'All Ticker P&amp;L'!D121</f>
        <v/>
      </c>
      <c r="AP121" s="243">
        <f>IF($AL121="",0,'All Ticker P&amp;L'!E121)</f>
        <v>0</v>
      </c>
      <c r="AQ121" s="266">
        <f>IF($AL121="",0,'All Ticker P&amp;L'!J121*'All Ticker P&amp;L'!I121)</f>
        <v>0</v>
      </c>
      <c r="AR121" s="266">
        <f>IF($AL121="",0,'All Ticker P&amp;L'!L121)</f>
        <v>0</v>
      </c>
      <c r="AS121" s="267">
        <f>IF($AL121="",0,'All Ticker P&amp;L'!M121)</f>
        <v>0</v>
      </c>
      <c r="AT121" s="243" t="str">
        <f>IF($AL121="","",RANK(AR121,$AR$2:$AR$1001)+COUNTIF($AR$2:AR121,AR121)-1)</f>
        <v/>
      </c>
      <c r="AU121" s="243" t="str">
        <f>IF($AL121="","",RANK(AV121,$AV$2:$AV$1001)+COUNTIF($AV$2:AV121,AV121)-1)</f>
        <v/>
      </c>
      <c r="AV121" s="266">
        <f t="shared" si="34"/>
        <v>0</v>
      </c>
    </row>
    <row r="122" spans="26:48" ht="15" customHeight="1" x14ac:dyDescent="0.2">
      <c r="Z122" s="243" t="str">
        <f>Shares!A122</f>
        <v/>
      </c>
      <c r="AA122" s="243" t="str">
        <f>Shares!B122</f>
        <v/>
      </c>
      <c r="AB122" s="243" t="str">
        <f>Shares!C122</f>
        <v/>
      </c>
      <c r="AC122" s="243" t="str">
        <f>Shares!D122</f>
        <v/>
      </c>
      <c r="AD122" s="243">
        <f>IF($Z122="",0,Shares!E122)</f>
        <v>0</v>
      </c>
      <c r="AE122" s="266">
        <f>IF($Z122="",0,Shares!J122*Shares!I122)</f>
        <v>0</v>
      </c>
      <c r="AF122" s="267">
        <f t="shared" si="33"/>
        <v>0</v>
      </c>
      <c r="AG122" s="266">
        <f>IF($Z122="",0,Shares!L122)</f>
        <v>0</v>
      </c>
      <c r="AH122" s="267">
        <f>IF($Z122="",0,Shares!M122)</f>
        <v>0</v>
      </c>
      <c r="AI122" s="243" t="str">
        <f>IF($Z122="","",RANK(AE122,$AE$2:$AE$1001)+COUNTIF($AE$2:AE122,AE122)-1)</f>
        <v/>
      </c>
      <c r="AJ122" s="243" t="str">
        <f>IF($AD122&lt;0,COUNT($AJ$1:AJ121)+1,"")</f>
        <v/>
      </c>
      <c r="AL122" s="243" t="str">
        <f>'All Ticker P&amp;L'!A122</f>
        <v/>
      </c>
      <c r="AM122" s="243" t="str">
        <f>'All Ticker P&amp;L'!B122</f>
        <v/>
      </c>
      <c r="AN122" s="243" t="str">
        <f>'All Ticker P&amp;L'!C122</f>
        <v/>
      </c>
      <c r="AO122" s="243" t="str">
        <f>'All Ticker P&amp;L'!D122</f>
        <v/>
      </c>
      <c r="AP122" s="243">
        <f>IF($AL122="",0,'All Ticker P&amp;L'!E122)</f>
        <v>0</v>
      </c>
      <c r="AQ122" s="266">
        <f>IF($AL122="",0,'All Ticker P&amp;L'!J122*'All Ticker P&amp;L'!I122)</f>
        <v>0</v>
      </c>
      <c r="AR122" s="266">
        <f>IF($AL122="",0,'All Ticker P&amp;L'!L122)</f>
        <v>0</v>
      </c>
      <c r="AS122" s="267">
        <f>IF($AL122="",0,'All Ticker P&amp;L'!M122)</f>
        <v>0</v>
      </c>
      <c r="AT122" s="243" t="str">
        <f>IF($AL122="","",RANK(AR122,$AR$2:$AR$1001)+COUNTIF($AR$2:AR122,AR122)-1)</f>
        <v/>
      </c>
      <c r="AU122" s="243" t="str">
        <f>IF($AL122="","",RANK(AV122,$AV$2:$AV$1001)+COUNTIF($AV$2:AV122,AV122)-1)</f>
        <v/>
      </c>
      <c r="AV122" s="266">
        <f t="shared" si="34"/>
        <v>0</v>
      </c>
    </row>
    <row r="123" spans="26:48" ht="15" customHeight="1" x14ac:dyDescent="0.2">
      <c r="Z123" s="243" t="str">
        <f>Shares!A123</f>
        <v/>
      </c>
      <c r="AA123" s="243" t="str">
        <f>Shares!B123</f>
        <v/>
      </c>
      <c r="AB123" s="243" t="str">
        <f>Shares!C123</f>
        <v/>
      </c>
      <c r="AC123" s="243" t="str">
        <f>Shares!D123</f>
        <v/>
      </c>
      <c r="AD123" s="243">
        <f>IF($Z123="",0,Shares!E123)</f>
        <v>0</v>
      </c>
      <c r="AE123" s="266">
        <f>IF($Z123="",0,Shares!J123*Shares!I123)</f>
        <v>0</v>
      </c>
      <c r="AF123" s="267">
        <f t="shared" si="33"/>
        <v>0</v>
      </c>
      <c r="AG123" s="266">
        <f>IF($Z123="",0,Shares!L123)</f>
        <v>0</v>
      </c>
      <c r="AH123" s="267">
        <f>IF($Z123="",0,Shares!M123)</f>
        <v>0</v>
      </c>
      <c r="AI123" s="243" t="str">
        <f>IF($Z123="","",RANK(AE123,$AE$2:$AE$1001)+COUNTIF($AE$2:AE123,AE123)-1)</f>
        <v/>
      </c>
      <c r="AJ123" s="243" t="str">
        <f>IF($AD123&lt;0,COUNT($AJ$1:AJ122)+1,"")</f>
        <v/>
      </c>
      <c r="AL123" s="243" t="str">
        <f>'All Ticker P&amp;L'!A123</f>
        <v/>
      </c>
      <c r="AM123" s="243" t="str">
        <f>'All Ticker P&amp;L'!B123</f>
        <v/>
      </c>
      <c r="AN123" s="243" t="str">
        <f>'All Ticker P&amp;L'!C123</f>
        <v/>
      </c>
      <c r="AO123" s="243" t="str">
        <f>'All Ticker P&amp;L'!D123</f>
        <v/>
      </c>
      <c r="AP123" s="243">
        <f>IF($AL123="",0,'All Ticker P&amp;L'!E123)</f>
        <v>0</v>
      </c>
      <c r="AQ123" s="266">
        <f>IF($AL123="",0,'All Ticker P&amp;L'!J123*'All Ticker P&amp;L'!I123)</f>
        <v>0</v>
      </c>
      <c r="AR123" s="266">
        <f>IF($AL123="",0,'All Ticker P&amp;L'!L123)</f>
        <v>0</v>
      </c>
      <c r="AS123" s="267">
        <f>IF($AL123="",0,'All Ticker P&amp;L'!M123)</f>
        <v>0</v>
      </c>
      <c r="AT123" s="243" t="str">
        <f>IF($AL123="","",RANK(AR123,$AR$2:$AR$1001)+COUNTIF($AR$2:AR123,AR123)-1)</f>
        <v/>
      </c>
      <c r="AU123" s="243" t="str">
        <f>IF($AL123="","",RANK(AV123,$AV$2:$AV$1001)+COUNTIF($AV$2:AV123,AV123)-1)</f>
        <v/>
      </c>
      <c r="AV123" s="266">
        <f t="shared" si="34"/>
        <v>0</v>
      </c>
    </row>
    <row r="124" spans="26:48" ht="15" customHeight="1" x14ac:dyDescent="0.2">
      <c r="Z124" s="243" t="str">
        <f>Shares!A124</f>
        <v/>
      </c>
      <c r="AA124" s="243" t="str">
        <f>Shares!B124</f>
        <v/>
      </c>
      <c r="AB124" s="243" t="str">
        <f>Shares!C124</f>
        <v/>
      </c>
      <c r="AC124" s="243" t="str">
        <f>Shares!D124</f>
        <v/>
      </c>
      <c r="AD124" s="243">
        <f>IF($Z124="",0,Shares!E124)</f>
        <v>0</v>
      </c>
      <c r="AE124" s="266">
        <f>IF($Z124="",0,Shares!J124*Shares!I124)</f>
        <v>0</v>
      </c>
      <c r="AF124" s="267">
        <f t="shared" si="33"/>
        <v>0</v>
      </c>
      <c r="AG124" s="266">
        <f>IF($Z124="",0,Shares!L124)</f>
        <v>0</v>
      </c>
      <c r="AH124" s="267">
        <f>IF($Z124="",0,Shares!M124)</f>
        <v>0</v>
      </c>
      <c r="AI124" s="243" t="str">
        <f>IF($Z124="","",RANK(AE124,$AE$2:$AE$1001)+COUNTIF($AE$2:AE124,AE124)-1)</f>
        <v/>
      </c>
      <c r="AJ124" s="243" t="str">
        <f>IF($AD124&lt;0,COUNT($AJ$1:AJ123)+1,"")</f>
        <v/>
      </c>
      <c r="AL124" s="243" t="str">
        <f>'All Ticker P&amp;L'!A124</f>
        <v/>
      </c>
      <c r="AM124" s="243" t="str">
        <f>'All Ticker P&amp;L'!B124</f>
        <v/>
      </c>
      <c r="AN124" s="243" t="str">
        <f>'All Ticker P&amp;L'!C124</f>
        <v/>
      </c>
      <c r="AO124" s="243" t="str">
        <f>'All Ticker P&amp;L'!D124</f>
        <v/>
      </c>
      <c r="AP124" s="243">
        <f>IF($AL124="",0,'All Ticker P&amp;L'!E124)</f>
        <v>0</v>
      </c>
      <c r="AQ124" s="266">
        <f>IF($AL124="",0,'All Ticker P&amp;L'!J124*'All Ticker P&amp;L'!I124)</f>
        <v>0</v>
      </c>
      <c r="AR124" s="266">
        <f>IF($AL124="",0,'All Ticker P&amp;L'!L124)</f>
        <v>0</v>
      </c>
      <c r="AS124" s="267">
        <f>IF($AL124="",0,'All Ticker P&amp;L'!M124)</f>
        <v>0</v>
      </c>
      <c r="AT124" s="243" t="str">
        <f>IF($AL124="","",RANK(AR124,$AR$2:$AR$1001)+COUNTIF($AR$2:AR124,AR124)-1)</f>
        <v/>
      </c>
      <c r="AU124" s="243" t="str">
        <f>IF($AL124="","",RANK(AV124,$AV$2:$AV$1001)+COUNTIF($AV$2:AV124,AV124)-1)</f>
        <v/>
      </c>
      <c r="AV124" s="266">
        <f t="shared" si="34"/>
        <v>0</v>
      </c>
    </row>
    <row r="125" spans="26:48" ht="15" customHeight="1" x14ac:dyDescent="0.2">
      <c r="Z125" s="243" t="str">
        <f>Shares!A125</f>
        <v/>
      </c>
      <c r="AA125" s="243" t="str">
        <f>Shares!B125</f>
        <v/>
      </c>
      <c r="AB125" s="243" t="str">
        <f>Shares!C125</f>
        <v/>
      </c>
      <c r="AC125" s="243" t="str">
        <f>Shares!D125</f>
        <v/>
      </c>
      <c r="AD125" s="243">
        <f>IF($Z125="",0,Shares!E125)</f>
        <v>0</v>
      </c>
      <c r="AE125" s="266">
        <f>IF($Z125="",0,Shares!J125*Shares!I125)</f>
        <v>0</v>
      </c>
      <c r="AF125" s="267">
        <f t="shared" si="33"/>
        <v>0</v>
      </c>
      <c r="AG125" s="266">
        <f>IF($Z125="",0,Shares!L125)</f>
        <v>0</v>
      </c>
      <c r="AH125" s="267">
        <f>IF($Z125="",0,Shares!M125)</f>
        <v>0</v>
      </c>
      <c r="AI125" s="243" t="str">
        <f>IF($Z125="","",RANK(AE125,$AE$2:$AE$1001)+COUNTIF($AE$2:AE125,AE125)-1)</f>
        <v/>
      </c>
      <c r="AJ125" s="243" t="str">
        <f>IF($AD125&lt;0,COUNT($AJ$1:AJ124)+1,"")</f>
        <v/>
      </c>
      <c r="AL125" s="243" t="str">
        <f>'All Ticker P&amp;L'!A125</f>
        <v/>
      </c>
      <c r="AM125" s="243" t="str">
        <f>'All Ticker P&amp;L'!B125</f>
        <v/>
      </c>
      <c r="AN125" s="243" t="str">
        <f>'All Ticker P&amp;L'!C125</f>
        <v/>
      </c>
      <c r="AO125" s="243" t="str">
        <f>'All Ticker P&amp;L'!D125</f>
        <v/>
      </c>
      <c r="AP125" s="243">
        <f>IF($AL125="",0,'All Ticker P&amp;L'!E125)</f>
        <v>0</v>
      </c>
      <c r="AQ125" s="266">
        <f>IF($AL125="",0,'All Ticker P&amp;L'!J125*'All Ticker P&amp;L'!I125)</f>
        <v>0</v>
      </c>
      <c r="AR125" s="266">
        <f>IF($AL125="",0,'All Ticker P&amp;L'!L125)</f>
        <v>0</v>
      </c>
      <c r="AS125" s="267">
        <f>IF($AL125="",0,'All Ticker P&amp;L'!M125)</f>
        <v>0</v>
      </c>
      <c r="AT125" s="243" t="str">
        <f>IF($AL125="","",RANK(AR125,$AR$2:$AR$1001)+COUNTIF($AR$2:AR125,AR125)-1)</f>
        <v/>
      </c>
      <c r="AU125" s="243" t="str">
        <f>IF($AL125="","",RANK(AV125,$AV$2:$AV$1001)+COUNTIF($AV$2:AV125,AV125)-1)</f>
        <v/>
      </c>
      <c r="AV125" s="266">
        <f t="shared" si="34"/>
        <v>0</v>
      </c>
    </row>
    <row r="126" spans="26:48" ht="15" customHeight="1" x14ac:dyDescent="0.2">
      <c r="Z126" s="243" t="str">
        <f>Shares!A126</f>
        <v/>
      </c>
      <c r="AA126" s="243" t="str">
        <f>Shares!B126</f>
        <v/>
      </c>
      <c r="AB126" s="243" t="str">
        <f>Shares!C126</f>
        <v/>
      </c>
      <c r="AC126" s="243" t="str">
        <f>Shares!D126</f>
        <v/>
      </c>
      <c r="AD126" s="243">
        <f>IF($Z126="",0,Shares!E126)</f>
        <v>0</v>
      </c>
      <c r="AE126" s="266">
        <f>IF($Z126="",0,Shares!J126*Shares!I126)</f>
        <v>0</v>
      </c>
      <c r="AF126" s="267">
        <f t="shared" si="33"/>
        <v>0</v>
      </c>
      <c r="AG126" s="266">
        <f>IF($Z126="",0,Shares!L126)</f>
        <v>0</v>
      </c>
      <c r="AH126" s="267">
        <f>IF($Z126="",0,Shares!M126)</f>
        <v>0</v>
      </c>
      <c r="AI126" s="243" t="str">
        <f>IF($Z126="","",RANK(AE126,$AE$2:$AE$1001)+COUNTIF($AE$2:AE126,AE126)-1)</f>
        <v/>
      </c>
      <c r="AJ126" s="243" t="str">
        <f>IF($AD126&lt;0,COUNT($AJ$1:AJ125)+1,"")</f>
        <v/>
      </c>
      <c r="AL126" s="243" t="str">
        <f>'All Ticker P&amp;L'!A126</f>
        <v/>
      </c>
      <c r="AM126" s="243" t="str">
        <f>'All Ticker P&amp;L'!B126</f>
        <v/>
      </c>
      <c r="AN126" s="243" t="str">
        <f>'All Ticker P&amp;L'!C126</f>
        <v/>
      </c>
      <c r="AO126" s="243" t="str">
        <f>'All Ticker P&amp;L'!D126</f>
        <v/>
      </c>
      <c r="AP126" s="243">
        <f>IF($AL126="",0,'All Ticker P&amp;L'!E126)</f>
        <v>0</v>
      </c>
      <c r="AQ126" s="266">
        <f>IF($AL126="",0,'All Ticker P&amp;L'!J126*'All Ticker P&amp;L'!I126)</f>
        <v>0</v>
      </c>
      <c r="AR126" s="266">
        <f>IF($AL126="",0,'All Ticker P&amp;L'!L126)</f>
        <v>0</v>
      </c>
      <c r="AS126" s="267">
        <f>IF($AL126="",0,'All Ticker P&amp;L'!M126)</f>
        <v>0</v>
      </c>
      <c r="AT126" s="243" t="str">
        <f>IF($AL126="","",RANK(AR126,$AR$2:$AR$1001)+COUNTIF($AR$2:AR126,AR126)-1)</f>
        <v/>
      </c>
      <c r="AU126" s="243" t="str">
        <f>IF($AL126="","",RANK(AV126,$AV$2:$AV$1001)+COUNTIF($AV$2:AV126,AV126)-1)</f>
        <v/>
      </c>
      <c r="AV126" s="266">
        <f t="shared" si="34"/>
        <v>0</v>
      </c>
    </row>
    <row r="127" spans="26:48" ht="15" customHeight="1" x14ac:dyDescent="0.2">
      <c r="Z127" s="243" t="str">
        <f>Shares!A127</f>
        <v/>
      </c>
      <c r="AA127" s="243" t="str">
        <f>Shares!B127</f>
        <v/>
      </c>
      <c r="AB127" s="243" t="str">
        <f>Shares!C127</f>
        <v/>
      </c>
      <c r="AC127" s="243" t="str">
        <f>Shares!D127</f>
        <v/>
      </c>
      <c r="AD127" s="243">
        <f>IF($Z127="",0,Shares!E127)</f>
        <v>0</v>
      </c>
      <c r="AE127" s="266">
        <f>IF($Z127="",0,Shares!J127*Shares!I127)</f>
        <v>0</v>
      </c>
      <c r="AF127" s="267">
        <f t="shared" si="33"/>
        <v>0</v>
      </c>
      <c r="AG127" s="266">
        <f>IF($Z127="",0,Shares!L127)</f>
        <v>0</v>
      </c>
      <c r="AH127" s="267">
        <f>IF($Z127="",0,Shares!M127)</f>
        <v>0</v>
      </c>
      <c r="AI127" s="243" t="str">
        <f>IF($Z127="","",RANK(AE127,$AE$2:$AE$1001)+COUNTIF($AE$2:AE127,AE127)-1)</f>
        <v/>
      </c>
      <c r="AJ127" s="243" t="str">
        <f>IF($AD127&lt;0,COUNT($AJ$1:AJ126)+1,"")</f>
        <v/>
      </c>
      <c r="AL127" s="243" t="str">
        <f>'All Ticker P&amp;L'!A127</f>
        <v/>
      </c>
      <c r="AM127" s="243" t="str">
        <f>'All Ticker P&amp;L'!B127</f>
        <v/>
      </c>
      <c r="AN127" s="243" t="str">
        <f>'All Ticker P&amp;L'!C127</f>
        <v/>
      </c>
      <c r="AO127" s="243" t="str">
        <f>'All Ticker P&amp;L'!D127</f>
        <v/>
      </c>
      <c r="AP127" s="243">
        <f>IF($AL127="",0,'All Ticker P&amp;L'!E127)</f>
        <v>0</v>
      </c>
      <c r="AQ127" s="266">
        <f>IF($AL127="",0,'All Ticker P&amp;L'!J127*'All Ticker P&amp;L'!I127)</f>
        <v>0</v>
      </c>
      <c r="AR127" s="266">
        <f>IF($AL127="",0,'All Ticker P&amp;L'!L127)</f>
        <v>0</v>
      </c>
      <c r="AS127" s="267">
        <f>IF($AL127="",0,'All Ticker P&amp;L'!M127)</f>
        <v>0</v>
      </c>
      <c r="AT127" s="243" t="str">
        <f>IF($AL127="","",RANK(AR127,$AR$2:$AR$1001)+COUNTIF($AR$2:AR127,AR127)-1)</f>
        <v/>
      </c>
      <c r="AU127" s="243" t="str">
        <f>IF($AL127="","",RANK(AV127,$AV$2:$AV$1001)+COUNTIF($AV$2:AV127,AV127)-1)</f>
        <v/>
      </c>
      <c r="AV127" s="266">
        <f t="shared" si="34"/>
        <v>0</v>
      </c>
    </row>
    <row r="128" spans="26:48" ht="15" customHeight="1" x14ac:dyDescent="0.2">
      <c r="Z128" s="243" t="str">
        <f>Shares!A128</f>
        <v/>
      </c>
      <c r="AA128" s="243" t="str">
        <f>Shares!B128</f>
        <v/>
      </c>
      <c r="AB128" s="243" t="str">
        <f>Shares!C128</f>
        <v/>
      </c>
      <c r="AC128" s="243" t="str">
        <f>Shares!D128</f>
        <v/>
      </c>
      <c r="AD128" s="243">
        <f>IF($Z128="",0,Shares!E128)</f>
        <v>0</v>
      </c>
      <c r="AE128" s="266">
        <f>IF($Z128="",0,Shares!J128*Shares!I128)</f>
        <v>0</v>
      </c>
      <c r="AF128" s="267">
        <f t="shared" si="33"/>
        <v>0</v>
      </c>
      <c r="AG128" s="266">
        <f>IF($Z128="",0,Shares!L128)</f>
        <v>0</v>
      </c>
      <c r="AH128" s="267">
        <f>IF($Z128="",0,Shares!M128)</f>
        <v>0</v>
      </c>
      <c r="AI128" s="243" t="str">
        <f>IF($Z128="","",RANK(AE128,$AE$2:$AE$1001)+COUNTIF($AE$2:AE128,AE128)-1)</f>
        <v/>
      </c>
      <c r="AJ128" s="243" t="str">
        <f>IF($AD128&lt;0,COUNT($AJ$1:AJ127)+1,"")</f>
        <v/>
      </c>
      <c r="AL128" s="243" t="str">
        <f>'All Ticker P&amp;L'!A128</f>
        <v/>
      </c>
      <c r="AM128" s="243" t="str">
        <f>'All Ticker P&amp;L'!B128</f>
        <v/>
      </c>
      <c r="AN128" s="243" t="str">
        <f>'All Ticker P&amp;L'!C128</f>
        <v/>
      </c>
      <c r="AO128" s="243" t="str">
        <f>'All Ticker P&amp;L'!D128</f>
        <v/>
      </c>
      <c r="AP128" s="243">
        <f>IF($AL128="",0,'All Ticker P&amp;L'!E128)</f>
        <v>0</v>
      </c>
      <c r="AQ128" s="266">
        <f>IF($AL128="",0,'All Ticker P&amp;L'!J128*'All Ticker P&amp;L'!I128)</f>
        <v>0</v>
      </c>
      <c r="AR128" s="266">
        <f>IF($AL128="",0,'All Ticker P&amp;L'!L128)</f>
        <v>0</v>
      </c>
      <c r="AS128" s="267">
        <f>IF($AL128="",0,'All Ticker P&amp;L'!M128)</f>
        <v>0</v>
      </c>
      <c r="AT128" s="243" t="str">
        <f>IF($AL128="","",RANK(AR128,$AR$2:$AR$1001)+COUNTIF($AR$2:AR128,AR128)-1)</f>
        <v/>
      </c>
      <c r="AU128" s="243" t="str">
        <f>IF($AL128="","",RANK(AV128,$AV$2:$AV$1001)+COUNTIF($AV$2:AV128,AV128)-1)</f>
        <v/>
      </c>
      <c r="AV128" s="266">
        <f t="shared" si="34"/>
        <v>0</v>
      </c>
    </row>
    <row r="129" spans="26:48" ht="15" customHeight="1" x14ac:dyDescent="0.2">
      <c r="Z129" s="243" t="str">
        <f>Shares!A129</f>
        <v/>
      </c>
      <c r="AA129" s="243" t="str">
        <f>Shares!B129</f>
        <v/>
      </c>
      <c r="AB129" s="243" t="str">
        <f>Shares!C129</f>
        <v/>
      </c>
      <c r="AC129" s="243" t="str">
        <f>Shares!D129</f>
        <v/>
      </c>
      <c r="AD129" s="243">
        <f>IF($Z129="",0,Shares!E129)</f>
        <v>0</v>
      </c>
      <c r="AE129" s="266">
        <f>IF($Z129="",0,Shares!J129*Shares!I129)</f>
        <v>0</v>
      </c>
      <c r="AF129" s="267">
        <f t="shared" si="33"/>
        <v>0</v>
      </c>
      <c r="AG129" s="266">
        <f>IF($Z129="",0,Shares!L129)</f>
        <v>0</v>
      </c>
      <c r="AH129" s="267">
        <f>IF($Z129="",0,Shares!M129)</f>
        <v>0</v>
      </c>
      <c r="AI129" s="243" t="str">
        <f>IF($Z129="","",RANK(AE129,$AE$2:$AE$1001)+COUNTIF($AE$2:AE129,AE129)-1)</f>
        <v/>
      </c>
      <c r="AJ129" s="243" t="str">
        <f>IF($AD129&lt;0,COUNT($AJ$1:AJ128)+1,"")</f>
        <v/>
      </c>
      <c r="AL129" s="243" t="str">
        <f>'All Ticker P&amp;L'!A129</f>
        <v/>
      </c>
      <c r="AM129" s="243" t="str">
        <f>'All Ticker P&amp;L'!B129</f>
        <v/>
      </c>
      <c r="AN129" s="243" t="str">
        <f>'All Ticker P&amp;L'!C129</f>
        <v/>
      </c>
      <c r="AO129" s="243" t="str">
        <f>'All Ticker P&amp;L'!D129</f>
        <v/>
      </c>
      <c r="AP129" s="243">
        <f>IF($AL129="",0,'All Ticker P&amp;L'!E129)</f>
        <v>0</v>
      </c>
      <c r="AQ129" s="266">
        <f>IF($AL129="",0,'All Ticker P&amp;L'!J129*'All Ticker P&amp;L'!I129)</f>
        <v>0</v>
      </c>
      <c r="AR129" s="266">
        <f>IF($AL129="",0,'All Ticker P&amp;L'!L129)</f>
        <v>0</v>
      </c>
      <c r="AS129" s="267">
        <f>IF($AL129="",0,'All Ticker P&amp;L'!M129)</f>
        <v>0</v>
      </c>
      <c r="AT129" s="243" t="str">
        <f>IF($AL129="","",RANK(AR129,$AR$2:$AR$1001)+COUNTIF($AR$2:AR129,AR129)-1)</f>
        <v/>
      </c>
      <c r="AU129" s="243" t="str">
        <f>IF($AL129="","",RANK(AV129,$AV$2:$AV$1001)+COUNTIF($AV$2:AV129,AV129)-1)</f>
        <v/>
      </c>
      <c r="AV129" s="266">
        <f t="shared" si="34"/>
        <v>0</v>
      </c>
    </row>
    <row r="130" spans="26:48" ht="15" customHeight="1" x14ac:dyDescent="0.2">
      <c r="Z130" s="243" t="str">
        <f>Shares!A130</f>
        <v/>
      </c>
      <c r="AA130" s="243" t="str">
        <f>Shares!B130</f>
        <v/>
      </c>
      <c r="AB130" s="243" t="str">
        <f>Shares!C130</f>
        <v/>
      </c>
      <c r="AC130" s="243" t="str">
        <f>Shares!D130</f>
        <v/>
      </c>
      <c r="AD130" s="243">
        <f>IF($Z130="",0,Shares!E130)</f>
        <v>0</v>
      </c>
      <c r="AE130" s="266">
        <f>IF($Z130="",0,Shares!J130*Shares!I130)</f>
        <v>0</v>
      </c>
      <c r="AF130" s="267">
        <f t="shared" ref="AF130:AF193" si="35">IFERROR(AE130/$B$5,0)</f>
        <v>0</v>
      </c>
      <c r="AG130" s="266">
        <f>IF($Z130="",0,Shares!L130)</f>
        <v>0</v>
      </c>
      <c r="AH130" s="267">
        <f>IF($Z130="",0,Shares!M130)</f>
        <v>0</v>
      </c>
      <c r="AI130" s="243" t="str">
        <f>IF($Z130="","",RANK(AE130,$AE$2:$AE$1001)+COUNTIF($AE$2:AE130,AE130)-1)</f>
        <v/>
      </c>
      <c r="AJ130" s="243" t="str">
        <f>IF($AD130&lt;0,COUNT($AJ$1:AJ129)+1,"")</f>
        <v/>
      </c>
      <c r="AL130" s="243" t="str">
        <f>'All Ticker P&amp;L'!A130</f>
        <v/>
      </c>
      <c r="AM130" s="243" t="str">
        <f>'All Ticker P&amp;L'!B130</f>
        <v/>
      </c>
      <c r="AN130" s="243" t="str">
        <f>'All Ticker P&amp;L'!C130</f>
        <v/>
      </c>
      <c r="AO130" s="243" t="str">
        <f>'All Ticker P&amp;L'!D130</f>
        <v/>
      </c>
      <c r="AP130" s="243">
        <f>IF($AL130="",0,'All Ticker P&amp;L'!E130)</f>
        <v>0</v>
      </c>
      <c r="AQ130" s="266">
        <f>IF($AL130="",0,'All Ticker P&amp;L'!J130*'All Ticker P&amp;L'!I130)</f>
        <v>0</v>
      </c>
      <c r="AR130" s="266">
        <f>IF($AL130="",0,'All Ticker P&amp;L'!L130)</f>
        <v>0</v>
      </c>
      <c r="AS130" s="267">
        <f>IF($AL130="",0,'All Ticker P&amp;L'!M130)</f>
        <v>0</v>
      </c>
      <c r="AT130" s="243" t="str">
        <f>IF($AL130="","",RANK(AR130,$AR$2:$AR$1001)+COUNTIF($AR$2:AR130,AR130)-1)</f>
        <v/>
      </c>
      <c r="AU130" s="243" t="str">
        <f>IF($AL130="","",RANK(AV130,$AV$2:$AV$1001)+COUNTIF($AV$2:AV130,AV130)-1)</f>
        <v/>
      </c>
      <c r="AV130" s="266">
        <f t="shared" ref="AV130:AV193" si="36">-AR130</f>
        <v>0</v>
      </c>
    </row>
    <row r="131" spans="26:48" ht="15" customHeight="1" x14ac:dyDescent="0.2">
      <c r="Z131" s="243" t="str">
        <f>Shares!A131</f>
        <v/>
      </c>
      <c r="AA131" s="243" t="str">
        <f>Shares!B131</f>
        <v/>
      </c>
      <c r="AB131" s="243" t="str">
        <f>Shares!C131</f>
        <v/>
      </c>
      <c r="AC131" s="243" t="str">
        <f>Shares!D131</f>
        <v/>
      </c>
      <c r="AD131" s="243">
        <f>IF($Z131="",0,Shares!E131)</f>
        <v>0</v>
      </c>
      <c r="AE131" s="266">
        <f>IF($Z131="",0,Shares!J131*Shares!I131)</f>
        <v>0</v>
      </c>
      <c r="AF131" s="267">
        <f t="shared" si="35"/>
        <v>0</v>
      </c>
      <c r="AG131" s="266">
        <f>IF($Z131="",0,Shares!L131)</f>
        <v>0</v>
      </c>
      <c r="AH131" s="267">
        <f>IF($Z131="",0,Shares!M131)</f>
        <v>0</v>
      </c>
      <c r="AI131" s="243" t="str">
        <f>IF($Z131="","",RANK(AE131,$AE$2:$AE$1001)+COUNTIF($AE$2:AE131,AE131)-1)</f>
        <v/>
      </c>
      <c r="AJ131" s="243" t="str">
        <f>IF($AD131&lt;0,COUNT($AJ$1:AJ130)+1,"")</f>
        <v/>
      </c>
      <c r="AL131" s="243" t="str">
        <f>'All Ticker P&amp;L'!A131</f>
        <v/>
      </c>
      <c r="AM131" s="243" t="str">
        <f>'All Ticker P&amp;L'!B131</f>
        <v/>
      </c>
      <c r="AN131" s="243" t="str">
        <f>'All Ticker P&amp;L'!C131</f>
        <v/>
      </c>
      <c r="AO131" s="243" t="str">
        <f>'All Ticker P&amp;L'!D131</f>
        <v/>
      </c>
      <c r="AP131" s="243">
        <f>IF($AL131="",0,'All Ticker P&amp;L'!E131)</f>
        <v>0</v>
      </c>
      <c r="AQ131" s="266">
        <f>IF($AL131="",0,'All Ticker P&amp;L'!J131*'All Ticker P&amp;L'!I131)</f>
        <v>0</v>
      </c>
      <c r="AR131" s="266">
        <f>IF($AL131="",0,'All Ticker P&amp;L'!L131)</f>
        <v>0</v>
      </c>
      <c r="AS131" s="267">
        <f>IF($AL131="",0,'All Ticker P&amp;L'!M131)</f>
        <v>0</v>
      </c>
      <c r="AT131" s="243" t="str">
        <f>IF($AL131="","",RANK(AR131,$AR$2:$AR$1001)+COUNTIF($AR$2:AR131,AR131)-1)</f>
        <v/>
      </c>
      <c r="AU131" s="243" t="str">
        <f>IF($AL131="","",RANK(AV131,$AV$2:$AV$1001)+COUNTIF($AV$2:AV131,AV131)-1)</f>
        <v/>
      </c>
      <c r="AV131" s="266">
        <f t="shared" si="36"/>
        <v>0</v>
      </c>
    </row>
    <row r="132" spans="26:48" ht="15" customHeight="1" x14ac:dyDescent="0.2">
      <c r="Z132" s="243" t="str">
        <f>Shares!A132</f>
        <v/>
      </c>
      <c r="AA132" s="243" t="str">
        <f>Shares!B132</f>
        <v/>
      </c>
      <c r="AB132" s="243" t="str">
        <f>Shares!C132</f>
        <v/>
      </c>
      <c r="AC132" s="243" t="str">
        <f>Shares!D132</f>
        <v/>
      </c>
      <c r="AD132" s="243">
        <f>IF($Z132="",0,Shares!E132)</f>
        <v>0</v>
      </c>
      <c r="AE132" s="266">
        <f>IF($Z132="",0,Shares!J132*Shares!I132)</f>
        <v>0</v>
      </c>
      <c r="AF132" s="267">
        <f t="shared" si="35"/>
        <v>0</v>
      </c>
      <c r="AG132" s="266">
        <f>IF($Z132="",0,Shares!L132)</f>
        <v>0</v>
      </c>
      <c r="AH132" s="267">
        <f>IF($Z132="",0,Shares!M132)</f>
        <v>0</v>
      </c>
      <c r="AI132" s="243" t="str">
        <f>IF($Z132="","",RANK(AE132,$AE$2:$AE$1001)+COUNTIF($AE$2:AE132,AE132)-1)</f>
        <v/>
      </c>
      <c r="AJ132" s="243" t="str">
        <f>IF($AD132&lt;0,COUNT($AJ$1:AJ131)+1,"")</f>
        <v/>
      </c>
      <c r="AL132" s="243" t="str">
        <f>'All Ticker P&amp;L'!A132</f>
        <v/>
      </c>
      <c r="AM132" s="243" t="str">
        <f>'All Ticker P&amp;L'!B132</f>
        <v/>
      </c>
      <c r="AN132" s="243" t="str">
        <f>'All Ticker P&amp;L'!C132</f>
        <v/>
      </c>
      <c r="AO132" s="243" t="str">
        <f>'All Ticker P&amp;L'!D132</f>
        <v/>
      </c>
      <c r="AP132" s="243">
        <f>IF($AL132="",0,'All Ticker P&amp;L'!E132)</f>
        <v>0</v>
      </c>
      <c r="AQ132" s="266">
        <f>IF($AL132="",0,'All Ticker P&amp;L'!J132*'All Ticker P&amp;L'!I132)</f>
        <v>0</v>
      </c>
      <c r="AR132" s="266">
        <f>IF($AL132="",0,'All Ticker P&amp;L'!L132)</f>
        <v>0</v>
      </c>
      <c r="AS132" s="267">
        <f>IF($AL132="",0,'All Ticker P&amp;L'!M132)</f>
        <v>0</v>
      </c>
      <c r="AT132" s="243" t="str">
        <f>IF($AL132="","",RANK(AR132,$AR$2:$AR$1001)+COUNTIF($AR$2:AR132,AR132)-1)</f>
        <v/>
      </c>
      <c r="AU132" s="243" t="str">
        <f>IF($AL132="","",RANK(AV132,$AV$2:$AV$1001)+COUNTIF($AV$2:AV132,AV132)-1)</f>
        <v/>
      </c>
      <c r="AV132" s="266">
        <f t="shared" si="36"/>
        <v>0</v>
      </c>
    </row>
    <row r="133" spans="26:48" ht="15" customHeight="1" x14ac:dyDescent="0.2">
      <c r="Z133" s="243" t="str">
        <f>Shares!A133</f>
        <v/>
      </c>
      <c r="AA133" s="243" t="str">
        <f>Shares!B133</f>
        <v/>
      </c>
      <c r="AB133" s="243" t="str">
        <f>Shares!C133</f>
        <v/>
      </c>
      <c r="AC133" s="243" t="str">
        <f>Shares!D133</f>
        <v/>
      </c>
      <c r="AD133" s="243">
        <f>IF($Z133="",0,Shares!E133)</f>
        <v>0</v>
      </c>
      <c r="AE133" s="266">
        <f>IF($Z133="",0,Shares!J133*Shares!I133)</f>
        <v>0</v>
      </c>
      <c r="AF133" s="267">
        <f t="shared" si="35"/>
        <v>0</v>
      </c>
      <c r="AG133" s="266">
        <f>IF($Z133="",0,Shares!L133)</f>
        <v>0</v>
      </c>
      <c r="AH133" s="267">
        <f>IF($Z133="",0,Shares!M133)</f>
        <v>0</v>
      </c>
      <c r="AI133" s="243" t="str">
        <f>IF($Z133="","",RANK(AE133,$AE$2:$AE$1001)+COUNTIF($AE$2:AE133,AE133)-1)</f>
        <v/>
      </c>
      <c r="AJ133" s="243" t="str">
        <f>IF($AD133&lt;0,COUNT($AJ$1:AJ132)+1,"")</f>
        <v/>
      </c>
      <c r="AL133" s="243" t="str">
        <f>'All Ticker P&amp;L'!A133</f>
        <v/>
      </c>
      <c r="AM133" s="243" t="str">
        <f>'All Ticker P&amp;L'!B133</f>
        <v/>
      </c>
      <c r="AN133" s="243" t="str">
        <f>'All Ticker P&amp;L'!C133</f>
        <v/>
      </c>
      <c r="AO133" s="243" t="str">
        <f>'All Ticker P&amp;L'!D133</f>
        <v/>
      </c>
      <c r="AP133" s="243">
        <f>IF($AL133="",0,'All Ticker P&amp;L'!E133)</f>
        <v>0</v>
      </c>
      <c r="AQ133" s="266">
        <f>IF($AL133="",0,'All Ticker P&amp;L'!J133*'All Ticker P&amp;L'!I133)</f>
        <v>0</v>
      </c>
      <c r="AR133" s="266">
        <f>IF($AL133="",0,'All Ticker P&amp;L'!L133)</f>
        <v>0</v>
      </c>
      <c r="AS133" s="267">
        <f>IF($AL133="",0,'All Ticker P&amp;L'!M133)</f>
        <v>0</v>
      </c>
      <c r="AT133" s="243" t="str">
        <f>IF($AL133="","",RANK(AR133,$AR$2:$AR$1001)+COUNTIF($AR$2:AR133,AR133)-1)</f>
        <v/>
      </c>
      <c r="AU133" s="243" t="str">
        <f>IF($AL133="","",RANK(AV133,$AV$2:$AV$1001)+COUNTIF($AV$2:AV133,AV133)-1)</f>
        <v/>
      </c>
      <c r="AV133" s="266">
        <f t="shared" si="36"/>
        <v>0</v>
      </c>
    </row>
    <row r="134" spans="26:48" ht="15" customHeight="1" x14ac:dyDescent="0.2">
      <c r="Z134" s="243" t="str">
        <f>Shares!A134</f>
        <v/>
      </c>
      <c r="AA134" s="243" t="str">
        <f>Shares!B134</f>
        <v/>
      </c>
      <c r="AB134" s="243" t="str">
        <f>Shares!C134</f>
        <v/>
      </c>
      <c r="AC134" s="243" t="str">
        <f>Shares!D134</f>
        <v/>
      </c>
      <c r="AD134" s="243">
        <f>IF($Z134="",0,Shares!E134)</f>
        <v>0</v>
      </c>
      <c r="AE134" s="266">
        <f>IF($Z134="",0,Shares!J134*Shares!I134)</f>
        <v>0</v>
      </c>
      <c r="AF134" s="267">
        <f t="shared" si="35"/>
        <v>0</v>
      </c>
      <c r="AG134" s="266">
        <f>IF($Z134="",0,Shares!L134)</f>
        <v>0</v>
      </c>
      <c r="AH134" s="267">
        <f>IF($Z134="",0,Shares!M134)</f>
        <v>0</v>
      </c>
      <c r="AI134" s="243" t="str">
        <f>IF($Z134="","",RANK(AE134,$AE$2:$AE$1001)+COUNTIF($AE$2:AE134,AE134)-1)</f>
        <v/>
      </c>
      <c r="AJ134" s="243" t="str">
        <f>IF($AD134&lt;0,COUNT($AJ$1:AJ133)+1,"")</f>
        <v/>
      </c>
      <c r="AL134" s="243" t="str">
        <f>'All Ticker P&amp;L'!A134</f>
        <v/>
      </c>
      <c r="AM134" s="243" t="str">
        <f>'All Ticker P&amp;L'!B134</f>
        <v/>
      </c>
      <c r="AN134" s="243" t="str">
        <f>'All Ticker P&amp;L'!C134</f>
        <v/>
      </c>
      <c r="AO134" s="243" t="str">
        <f>'All Ticker P&amp;L'!D134</f>
        <v/>
      </c>
      <c r="AP134" s="243">
        <f>IF($AL134="",0,'All Ticker P&amp;L'!E134)</f>
        <v>0</v>
      </c>
      <c r="AQ134" s="266">
        <f>IF($AL134="",0,'All Ticker P&amp;L'!J134*'All Ticker P&amp;L'!I134)</f>
        <v>0</v>
      </c>
      <c r="AR134" s="266">
        <f>IF($AL134="",0,'All Ticker P&amp;L'!L134)</f>
        <v>0</v>
      </c>
      <c r="AS134" s="267">
        <f>IF($AL134="",0,'All Ticker P&amp;L'!M134)</f>
        <v>0</v>
      </c>
      <c r="AT134" s="243" t="str">
        <f>IF($AL134="","",RANK(AR134,$AR$2:$AR$1001)+COUNTIF($AR$2:AR134,AR134)-1)</f>
        <v/>
      </c>
      <c r="AU134" s="243" t="str">
        <f>IF($AL134="","",RANK(AV134,$AV$2:$AV$1001)+COUNTIF($AV$2:AV134,AV134)-1)</f>
        <v/>
      </c>
      <c r="AV134" s="266">
        <f t="shared" si="36"/>
        <v>0</v>
      </c>
    </row>
    <row r="135" spans="26:48" ht="15" customHeight="1" x14ac:dyDescent="0.2">
      <c r="Z135" s="243" t="str">
        <f>Shares!A135</f>
        <v/>
      </c>
      <c r="AA135" s="243" t="str">
        <f>Shares!B135</f>
        <v/>
      </c>
      <c r="AB135" s="243" t="str">
        <f>Shares!C135</f>
        <v/>
      </c>
      <c r="AC135" s="243" t="str">
        <f>Shares!D135</f>
        <v/>
      </c>
      <c r="AD135" s="243">
        <f>IF($Z135="",0,Shares!E135)</f>
        <v>0</v>
      </c>
      <c r="AE135" s="266">
        <f>IF($Z135="",0,Shares!J135*Shares!I135)</f>
        <v>0</v>
      </c>
      <c r="AF135" s="267">
        <f t="shared" si="35"/>
        <v>0</v>
      </c>
      <c r="AG135" s="266">
        <f>IF($Z135="",0,Shares!L135)</f>
        <v>0</v>
      </c>
      <c r="AH135" s="267">
        <f>IF($Z135="",0,Shares!M135)</f>
        <v>0</v>
      </c>
      <c r="AI135" s="243" t="str">
        <f>IF($Z135="","",RANK(AE135,$AE$2:$AE$1001)+COUNTIF($AE$2:AE135,AE135)-1)</f>
        <v/>
      </c>
      <c r="AJ135" s="243" t="str">
        <f>IF($AD135&lt;0,COUNT($AJ$1:AJ134)+1,"")</f>
        <v/>
      </c>
      <c r="AL135" s="243" t="str">
        <f>'All Ticker P&amp;L'!A135</f>
        <v/>
      </c>
      <c r="AM135" s="243" t="str">
        <f>'All Ticker P&amp;L'!B135</f>
        <v/>
      </c>
      <c r="AN135" s="243" t="str">
        <f>'All Ticker P&amp;L'!C135</f>
        <v/>
      </c>
      <c r="AO135" s="243" t="str">
        <f>'All Ticker P&amp;L'!D135</f>
        <v/>
      </c>
      <c r="AP135" s="243">
        <f>IF($AL135="",0,'All Ticker P&amp;L'!E135)</f>
        <v>0</v>
      </c>
      <c r="AQ135" s="266">
        <f>IF($AL135="",0,'All Ticker P&amp;L'!J135*'All Ticker P&amp;L'!I135)</f>
        <v>0</v>
      </c>
      <c r="AR135" s="266">
        <f>IF($AL135="",0,'All Ticker P&amp;L'!L135)</f>
        <v>0</v>
      </c>
      <c r="AS135" s="267">
        <f>IF($AL135="",0,'All Ticker P&amp;L'!M135)</f>
        <v>0</v>
      </c>
      <c r="AT135" s="243" t="str">
        <f>IF($AL135="","",RANK(AR135,$AR$2:$AR$1001)+COUNTIF($AR$2:AR135,AR135)-1)</f>
        <v/>
      </c>
      <c r="AU135" s="243" t="str">
        <f>IF($AL135="","",RANK(AV135,$AV$2:$AV$1001)+COUNTIF($AV$2:AV135,AV135)-1)</f>
        <v/>
      </c>
      <c r="AV135" s="266">
        <f t="shared" si="36"/>
        <v>0</v>
      </c>
    </row>
    <row r="136" spans="26:48" ht="15" customHeight="1" x14ac:dyDescent="0.2">
      <c r="Z136" s="243" t="str">
        <f>Shares!A136</f>
        <v/>
      </c>
      <c r="AA136" s="243" t="str">
        <f>Shares!B136</f>
        <v/>
      </c>
      <c r="AB136" s="243" t="str">
        <f>Shares!C136</f>
        <v/>
      </c>
      <c r="AC136" s="243" t="str">
        <f>Shares!D136</f>
        <v/>
      </c>
      <c r="AD136" s="243">
        <f>IF($Z136="",0,Shares!E136)</f>
        <v>0</v>
      </c>
      <c r="AE136" s="266">
        <f>IF($Z136="",0,Shares!J136*Shares!I136)</f>
        <v>0</v>
      </c>
      <c r="AF136" s="267">
        <f t="shared" si="35"/>
        <v>0</v>
      </c>
      <c r="AG136" s="266">
        <f>IF($Z136="",0,Shares!L136)</f>
        <v>0</v>
      </c>
      <c r="AH136" s="267">
        <f>IF($Z136="",0,Shares!M136)</f>
        <v>0</v>
      </c>
      <c r="AI136" s="243" t="str">
        <f>IF($Z136="","",RANK(AE136,$AE$2:$AE$1001)+COUNTIF($AE$2:AE136,AE136)-1)</f>
        <v/>
      </c>
      <c r="AJ136" s="243" t="str">
        <f>IF($AD136&lt;0,COUNT($AJ$1:AJ135)+1,"")</f>
        <v/>
      </c>
      <c r="AL136" s="243" t="str">
        <f>'All Ticker P&amp;L'!A136</f>
        <v/>
      </c>
      <c r="AM136" s="243" t="str">
        <f>'All Ticker P&amp;L'!B136</f>
        <v/>
      </c>
      <c r="AN136" s="243" t="str">
        <f>'All Ticker P&amp;L'!C136</f>
        <v/>
      </c>
      <c r="AO136" s="243" t="str">
        <f>'All Ticker P&amp;L'!D136</f>
        <v/>
      </c>
      <c r="AP136" s="243">
        <f>IF($AL136="",0,'All Ticker P&amp;L'!E136)</f>
        <v>0</v>
      </c>
      <c r="AQ136" s="266">
        <f>IF($AL136="",0,'All Ticker P&amp;L'!J136*'All Ticker P&amp;L'!I136)</f>
        <v>0</v>
      </c>
      <c r="AR136" s="266">
        <f>IF($AL136="",0,'All Ticker P&amp;L'!L136)</f>
        <v>0</v>
      </c>
      <c r="AS136" s="267">
        <f>IF($AL136="",0,'All Ticker P&amp;L'!M136)</f>
        <v>0</v>
      </c>
      <c r="AT136" s="243" t="str">
        <f>IF($AL136="","",RANK(AR136,$AR$2:$AR$1001)+COUNTIF($AR$2:AR136,AR136)-1)</f>
        <v/>
      </c>
      <c r="AU136" s="243" t="str">
        <f>IF($AL136="","",RANK(AV136,$AV$2:$AV$1001)+COUNTIF($AV$2:AV136,AV136)-1)</f>
        <v/>
      </c>
      <c r="AV136" s="266">
        <f t="shared" si="36"/>
        <v>0</v>
      </c>
    </row>
    <row r="137" spans="26:48" ht="15" customHeight="1" x14ac:dyDescent="0.2">
      <c r="Z137" s="243" t="str">
        <f>Shares!A137</f>
        <v/>
      </c>
      <c r="AA137" s="243" t="str">
        <f>Shares!B137</f>
        <v/>
      </c>
      <c r="AB137" s="243" t="str">
        <f>Shares!C137</f>
        <v/>
      </c>
      <c r="AC137" s="243" t="str">
        <f>Shares!D137</f>
        <v/>
      </c>
      <c r="AD137" s="243">
        <f>IF($Z137="",0,Shares!E137)</f>
        <v>0</v>
      </c>
      <c r="AE137" s="266">
        <f>IF($Z137="",0,Shares!J137*Shares!I137)</f>
        <v>0</v>
      </c>
      <c r="AF137" s="267">
        <f t="shared" si="35"/>
        <v>0</v>
      </c>
      <c r="AG137" s="266">
        <f>IF($Z137="",0,Shares!L137)</f>
        <v>0</v>
      </c>
      <c r="AH137" s="267">
        <f>IF($Z137="",0,Shares!M137)</f>
        <v>0</v>
      </c>
      <c r="AI137" s="243" t="str">
        <f>IF($Z137="","",RANK(AE137,$AE$2:$AE$1001)+COUNTIF($AE$2:AE137,AE137)-1)</f>
        <v/>
      </c>
      <c r="AJ137" s="243" t="str">
        <f>IF($AD137&lt;0,COUNT($AJ$1:AJ136)+1,"")</f>
        <v/>
      </c>
      <c r="AL137" s="243" t="str">
        <f>'All Ticker P&amp;L'!A137</f>
        <v/>
      </c>
      <c r="AM137" s="243" t="str">
        <f>'All Ticker P&amp;L'!B137</f>
        <v/>
      </c>
      <c r="AN137" s="243" t="str">
        <f>'All Ticker P&amp;L'!C137</f>
        <v/>
      </c>
      <c r="AO137" s="243" t="str">
        <f>'All Ticker P&amp;L'!D137</f>
        <v/>
      </c>
      <c r="AP137" s="243">
        <f>IF($AL137="",0,'All Ticker P&amp;L'!E137)</f>
        <v>0</v>
      </c>
      <c r="AQ137" s="266">
        <f>IF($AL137="",0,'All Ticker P&amp;L'!J137*'All Ticker P&amp;L'!I137)</f>
        <v>0</v>
      </c>
      <c r="AR137" s="266">
        <f>IF($AL137="",0,'All Ticker P&amp;L'!L137)</f>
        <v>0</v>
      </c>
      <c r="AS137" s="267">
        <f>IF($AL137="",0,'All Ticker P&amp;L'!M137)</f>
        <v>0</v>
      </c>
      <c r="AT137" s="243" t="str">
        <f>IF($AL137="","",RANK(AR137,$AR$2:$AR$1001)+COUNTIF($AR$2:AR137,AR137)-1)</f>
        <v/>
      </c>
      <c r="AU137" s="243" t="str">
        <f>IF($AL137="","",RANK(AV137,$AV$2:$AV$1001)+COUNTIF($AV$2:AV137,AV137)-1)</f>
        <v/>
      </c>
      <c r="AV137" s="266">
        <f t="shared" si="36"/>
        <v>0</v>
      </c>
    </row>
    <row r="138" spans="26:48" ht="15" customHeight="1" x14ac:dyDescent="0.2">
      <c r="Z138" s="243" t="str">
        <f>Shares!A138</f>
        <v/>
      </c>
      <c r="AA138" s="243" t="str">
        <f>Shares!B138</f>
        <v/>
      </c>
      <c r="AB138" s="243" t="str">
        <f>Shares!C138</f>
        <v/>
      </c>
      <c r="AC138" s="243" t="str">
        <f>Shares!D138</f>
        <v/>
      </c>
      <c r="AD138" s="243">
        <f>IF($Z138="",0,Shares!E138)</f>
        <v>0</v>
      </c>
      <c r="AE138" s="266">
        <f>IF($Z138="",0,Shares!J138*Shares!I138)</f>
        <v>0</v>
      </c>
      <c r="AF138" s="267">
        <f t="shared" si="35"/>
        <v>0</v>
      </c>
      <c r="AG138" s="266">
        <f>IF($Z138="",0,Shares!L138)</f>
        <v>0</v>
      </c>
      <c r="AH138" s="267">
        <f>IF($Z138="",0,Shares!M138)</f>
        <v>0</v>
      </c>
      <c r="AI138" s="243" t="str">
        <f>IF($Z138="","",RANK(AE138,$AE$2:$AE$1001)+COUNTIF($AE$2:AE138,AE138)-1)</f>
        <v/>
      </c>
      <c r="AJ138" s="243" t="str">
        <f>IF($AD138&lt;0,COUNT($AJ$1:AJ137)+1,"")</f>
        <v/>
      </c>
      <c r="AL138" s="243" t="str">
        <f>'All Ticker P&amp;L'!A138</f>
        <v/>
      </c>
      <c r="AM138" s="243" t="str">
        <f>'All Ticker P&amp;L'!B138</f>
        <v/>
      </c>
      <c r="AN138" s="243" t="str">
        <f>'All Ticker P&amp;L'!C138</f>
        <v/>
      </c>
      <c r="AO138" s="243" t="str">
        <f>'All Ticker P&amp;L'!D138</f>
        <v/>
      </c>
      <c r="AP138" s="243">
        <f>IF($AL138="",0,'All Ticker P&amp;L'!E138)</f>
        <v>0</v>
      </c>
      <c r="AQ138" s="266">
        <f>IF($AL138="",0,'All Ticker P&amp;L'!J138*'All Ticker P&amp;L'!I138)</f>
        <v>0</v>
      </c>
      <c r="AR138" s="266">
        <f>IF($AL138="",0,'All Ticker P&amp;L'!L138)</f>
        <v>0</v>
      </c>
      <c r="AS138" s="267">
        <f>IF($AL138="",0,'All Ticker P&amp;L'!M138)</f>
        <v>0</v>
      </c>
      <c r="AT138" s="243" t="str">
        <f>IF($AL138="","",RANK(AR138,$AR$2:$AR$1001)+COUNTIF($AR$2:AR138,AR138)-1)</f>
        <v/>
      </c>
      <c r="AU138" s="243" t="str">
        <f>IF($AL138="","",RANK(AV138,$AV$2:$AV$1001)+COUNTIF($AV$2:AV138,AV138)-1)</f>
        <v/>
      </c>
      <c r="AV138" s="266">
        <f t="shared" si="36"/>
        <v>0</v>
      </c>
    </row>
    <row r="139" spans="26:48" ht="15" customHeight="1" x14ac:dyDescent="0.2">
      <c r="Z139" s="243" t="str">
        <f>Shares!A139</f>
        <v/>
      </c>
      <c r="AA139" s="243" t="str">
        <f>Shares!B139</f>
        <v/>
      </c>
      <c r="AB139" s="243" t="str">
        <f>Shares!C139</f>
        <v/>
      </c>
      <c r="AC139" s="243" t="str">
        <f>Shares!D139</f>
        <v/>
      </c>
      <c r="AD139" s="243">
        <f>IF($Z139="",0,Shares!E139)</f>
        <v>0</v>
      </c>
      <c r="AE139" s="266">
        <f>IF($Z139="",0,Shares!J139*Shares!I139)</f>
        <v>0</v>
      </c>
      <c r="AF139" s="267">
        <f t="shared" si="35"/>
        <v>0</v>
      </c>
      <c r="AG139" s="266">
        <f>IF($Z139="",0,Shares!L139)</f>
        <v>0</v>
      </c>
      <c r="AH139" s="267">
        <f>IF($Z139="",0,Shares!M139)</f>
        <v>0</v>
      </c>
      <c r="AI139" s="243" t="str">
        <f>IF($Z139="","",RANK(AE139,$AE$2:$AE$1001)+COUNTIF($AE$2:AE139,AE139)-1)</f>
        <v/>
      </c>
      <c r="AJ139" s="243" t="str">
        <f>IF($AD139&lt;0,COUNT($AJ$1:AJ138)+1,"")</f>
        <v/>
      </c>
      <c r="AL139" s="243" t="str">
        <f>'All Ticker P&amp;L'!A139</f>
        <v/>
      </c>
      <c r="AM139" s="243" t="str">
        <f>'All Ticker P&amp;L'!B139</f>
        <v/>
      </c>
      <c r="AN139" s="243" t="str">
        <f>'All Ticker P&amp;L'!C139</f>
        <v/>
      </c>
      <c r="AO139" s="243" t="str">
        <f>'All Ticker P&amp;L'!D139</f>
        <v/>
      </c>
      <c r="AP139" s="243">
        <f>IF($AL139="",0,'All Ticker P&amp;L'!E139)</f>
        <v>0</v>
      </c>
      <c r="AQ139" s="266">
        <f>IF($AL139="",0,'All Ticker P&amp;L'!J139*'All Ticker P&amp;L'!I139)</f>
        <v>0</v>
      </c>
      <c r="AR139" s="266">
        <f>IF($AL139="",0,'All Ticker P&amp;L'!L139)</f>
        <v>0</v>
      </c>
      <c r="AS139" s="267">
        <f>IF($AL139="",0,'All Ticker P&amp;L'!M139)</f>
        <v>0</v>
      </c>
      <c r="AT139" s="243" t="str">
        <f>IF($AL139="","",RANK(AR139,$AR$2:$AR$1001)+COUNTIF($AR$2:AR139,AR139)-1)</f>
        <v/>
      </c>
      <c r="AU139" s="243" t="str">
        <f>IF($AL139="","",RANK(AV139,$AV$2:$AV$1001)+COUNTIF($AV$2:AV139,AV139)-1)</f>
        <v/>
      </c>
      <c r="AV139" s="266">
        <f t="shared" si="36"/>
        <v>0</v>
      </c>
    </row>
    <row r="140" spans="26:48" ht="15" customHeight="1" x14ac:dyDescent="0.2">
      <c r="Z140" s="243" t="str">
        <f>Shares!A140</f>
        <v/>
      </c>
      <c r="AA140" s="243" t="str">
        <f>Shares!B140</f>
        <v/>
      </c>
      <c r="AB140" s="243" t="str">
        <f>Shares!C140</f>
        <v/>
      </c>
      <c r="AC140" s="243" t="str">
        <f>Shares!D140</f>
        <v/>
      </c>
      <c r="AD140" s="243">
        <f>IF($Z140="",0,Shares!E140)</f>
        <v>0</v>
      </c>
      <c r="AE140" s="266">
        <f>IF($Z140="",0,Shares!J140*Shares!I140)</f>
        <v>0</v>
      </c>
      <c r="AF140" s="267">
        <f t="shared" si="35"/>
        <v>0</v>
      </c>
      <c r="AG140" s="266">
        <f>IF($Z140="",0,Shares!L140)</f>
        <v>0</v>
      </c>
      <c r="AH140" s="267">
        <f>IF($Z140="",0,Shares!M140)</f>
        <v>0</v>
      </c>
      <c r="AI140" s="243" t="str">
        <f>IF($Z140="","",RANK(AE140,$AE$2:$AE$1001)+COUNTIF($AE$2:AE140,AE140)-1)</f>
        <v/>
      </c>
      <c r="AJ140" s="243" t="str">
        <f>IF($AD140&lt;0,COUNT($AJ$1:AJ139)+1,"")</f>
        <v/>
      </c>
      <c r="AL140" s="243" t="str">
        <f>'All Ticker P&amp;L'!A140</f>
        <v/>
      </c>
      <c r="AM140" s="243" t="str">
        <f>'All Ticker P&amp;L'!B140</f>
        <v/>
      </c>
      <c r="AN140" s="243" t="str">
        <f>'All Ticker P&amp;L'!C140</f>
        <v/>
      </c>
      <c r="AO140" s="243" t="str">
        <f>'All Ticker P&amp;L'!D140</f>
        <v/>
      </c>
      <c r="AP140" s="243">
        <f>IF($AL140="",0,'All Ticker P&amp;L'!E140)</f>
        <v>0</v>
      </c>
      <c r="AQ140" s="266">
        <f>IF($AL140="",0,'All Ticker P&amp;L'!J140*'All Ticker P&amp;L'!I140)</f>
        <v>0</v>
      </c>
      <c r="AR140" s="266">
        <f>IF($AL140="",0,'All Ticker P&amp;L'!L140)</f>
        <v>0</v>
      </c>
      <c r="AS140" s="267">
        <f>IF($AL140="",0,'All Ticker P&amp;L'!M140)</f>
        <v>0</v>
      </c>
      <c r="AT140" s="243" t="str">
        <f>IF($AL140="","",RANK(AR140,$AR$2:$AR$1001)+COUNTIF($AR$2:AR140,AR140)-1)</f>
        <v/>
      </c>
      <c r="AU140" s="243" t="str">
        <f>IF($AL140="","",RANK(AV140,$AV$2:$AV$1001)+COUNTIF($AV$2:AV140,AV140)-1)</f>
        <v/>
      </c>
      <c r="AV140" s="266">
        <f t="shared" si="36"/>
        <v>0</v>
      </c>
    </row>
    <row r="141" spans="26:48" ht="15" customHeight="1" x14ac:dyDescent="0.2">
      <c r="Z141" s="243" t="str">
        <f>Shares!A141</f>
        <v/>
      </c>
      <c r="AA141" s="243" t="str">
        <f>Shares!B141</f>
        <v/>
      </c>
      <c r="AB141" s="243" t="str">
        <f>Shares!C141</f>
        <v/>
      </c>
      <c r="AC141" s="243" t="str">
        <f>Shares!D141</f>
        <v/>
      </c>
      <c r="AD141" s="243">
        <f>IF($Z141="",0,Shares!E141)</f>
        <v>0</v>
      </c>
      <c r="AE141" s="266">
        <f>IF($Z141="",0,Shares!J141*Shares!I141)</f>
        <v>0</v>
      </c>
      <c r="AF141" s="267">
        <f t="shared" si="35"/>
        <v>0</v>
      </c>
      <c r="AG141" s="266">
        <f>IF($Z141="",0,Shares!L141)</f>
        <v>0</v>
      </c>
      <c r="AH141" s="267">
        <f>IF($Z141="",0,Shares!M141)</f>
        <v>0</v>
      </c>
      <c r="AI141" s="243" t="str">
        <f>IF($Z141="","",RANK(AE141,$AE$2:$AE$1001)+COUNTIF($AE$2:AE141,AE141)-1)</f>
        <v/>
      </c>
      <c r="AJ141" s="243" t="str">
        <f>IF($AD141&lt;0,COUNT($AJ$1:AJ140)+1,"")</f>
        <v/>
      </c>
      <c r="AL141" s="243" t="str">
        <f>'All Ticker P&amp;L'!A141</f>
        <v/>
      </c>
      <c r="AM141" s="243" t="str">
        <f>'All Ticker P&amp;L'!B141</f>
        <v/>
      </c>
      <c r="AN141" s="243" t="str">
        <f>'All Ticker P&amp;L'!C141</f>
        <v/>
      </c>
      <c r="AO141" s="243" t="str">
        <f>'All Ticker P&amp;L'!D141</f>
        <v/>
      </c>
      <c r="AP141" s="243">
        <f>IF($AL141="",0,'All Ticker P&amp;L'!E141)</f>
        <v>0</v>
      </c>
      <c r="AQ141" s="266">
        <f>IF($AL141="",0,'All Ticker P&amp;L'!J141*'All Ticker P&amp;L'!I141)</f>
        <v>0</v>
      </c>
      <c r="AR141" s="266">
        <f>IF($AL141="",0,'All Ticker P&amp;L'!L141)</f>
        <v>0</v>
      </c>
      <c r="AS141" s="267">
        <f>IF($AL141="",0,'All Ticker P&amp;L'!M141)</f>
        <v>0</v>
      </c>
      <c r="AT141" s="243" t="str">
        <f>IF($AL141="","",RANK(AR141,$AR$2:$AR$1001)+COUNTIF($AR$2:AR141,AR141)-1)</f>
        <v/>
      </c>
      <c r="AU141" s="243" t="str">
        <f>IF($AL141="","",RANK(AV141,$AV$2:$AV$1001)+COUNTIF($AV$2:AV141,AV141)-1)</f>
        <v/>
      </c>
      <c r="AV141" s="266">
        <f t="shared" si="36"/>
        <v>0</v>
      </c>
    </row>
    <row r="142" spans="26:48" ht="15" customHeight="1" x14ac:dyDescent="0.2">
      <c r="Z142" s="243" t="str">
        <f>Shares!A142</f>
        <v/>
      </c>
      <c r="AA142" s="243" t="str">
        <f>Shares!B142</f>
        <v/>
      </c>
      <c r="AB142" s="243" t="str">
        <f>Shares!C142</f>
        <v/>
      </c>
      <c r="AC142" s="243" t="str">
        <f>Shares!D142</f>
        <v/>
      </c>
      <c r="AD142" s="243">
        <f>IF($Z142="",0,Shares!E142)</f>
        <v>0</v>
      </c>
      <c r="AE142" s="266">
        <f>IF($Z142="",0,Shares!J142*Shares!I142)</f>
        <v>0</v>
      </c>
      <c r="AF142" s="267">
        <f t="shared" si="35"/>
        <v>0</v>
      </c>
      <c r="AG142" s="266">
        <f>IF($Z142="",0,Shares!L142)</f>
        <v>0</v>
      </c>
      <c r="AH142" s="267">
        <f>IF($Z142="",0,Shares!M142)</f>
        <v>0</v>
      </c>
      <c r="AI142" s="243" t="str">
        <f>IF($Z142="","",RANK(AE142,$AE$2:$AE$1001)+COUNTIF($AE$2:AE142,AE142)-1)</f>
        <v/>
      </c>
      <c r="AJ142" s="243" t="str">
        <f>IF($AD142&lt;0,COUNT($AJ$1:AJ141)+1,"")</f>
        <v/>
      </c>
      <c r="AL142" s="243" t="str">
        <f>'All Ticker P&amp;L'!A142</f>
        <v/>
      </c>
      <c r="AM142" s="243" t="str">
        <f>'All Ticker P&amp;L'!B142</f>
        <v/>
      </c>
      <c r="AN142" s="243" t="str">
        <f>'All Ticker P&amp;L'!C142</f>
        <v/>
      </c>
      <c r="AO142" s="243" t="str">
        <f>'All Ticker P&amp;L'!D142</f>
        <v/>
      </c>
      <c r="AP142" s="243">
        <f>IF($AL142="",0,'All Ticker P&amp;L'!E142)</f>
        <v>0</v>
      </c>
      <c r="AQ142" s="266">
        <f>IF($AL142="",0,'All Ticker P&amp;L'!J142*'All Ticker P&amp;L'!I142)</f>
        <v>0</v>
      </c>
      <c r="AR142" s="266">
        <f>IF($AL142="",0,'All Ticker P&amp;L'!L142)</f>
        <v>0</v>
      </c>
      <c r="AS142" s="267">
        <f>IF($AL142="",0,'All Ticker P&amp;L'!M142)</f>
        <v>0</v>
      </c>
      <c r="AT142" s="243" t="str">
        <f>IF($AL142="","",RANK(AR142,$AR$2:$AR$1001)+COUNTIF($AR$2:AR142,AR142)-1)</f>
        <v/>
      </c>
      <c r="AU142" s="243" t="str">
        <f>IF($AL142="","",RANK(AV142,$AV$2:$AV$1001)+COUNTIF($AV$2:AV142,AV142)-1)</f>
        <v/>
      </c>
      <c r="AV142" s="266">
        <f t="shared" si="36"/>
        <v>0</v>
      </c>
    </row>
    <row r="143" spans="26:48" ht="15" customHeight="1" x14ac:dyDescent="0.2">
      <c r="Z143" s="243" t="str">
        <f>Shares!A143</f>
        <v/>
      </c>
      <c r="AA143" s="243" t="str">
        <f>Shares!B143</f>
        <v/>
      </c>
      <c r="AB143" s="243" t="str">
        <f>Shares!C143</f>
        <v/>
      </c>
      <c r="AC143" s="243" t="str">
        <f>Shares!D143</f>
        <v/>
      </c>
      <c r="AD143" s="243">
        <f>IF($Z143="",0,Shares!E143)</f>
        <v>0</v>
      </c>
      <c r="AE143" s="266">
        <f>IF($Z143="",0,Shares!J143*Shares!I143)</f>
        <v>0</v>
      </c>
      <c r="AF143" s="267">
        <f t="shared" si="35"/>
        <v>0</v>
      </c>
      <c r="AG143" s="266">
        <f>IF($Z143="",0,Shares!L143)</f>
        <v>0</v>
      </c>
      <c r="AH143" s="267">
        <f>IF($Z143="",0,Shares!M143)</f>
        <v>0</v>
      </c>
      <c r="AI143" s="243" t="str">
        <f>IF($Z143="","",RANK(AE143,$AE$2:$AE$1001)+COUNTIF($AE$2:AE143,AE143)-1)</f>
        <v/>
      </c>
      <c r="AJ143" s="243" t="str">
        <f>IF($AD143&lt;0,COUNT($AJ$1:AJ142)+1,"")</f>
        <v/>
      </c>
      <c r="AL143" s="243" t="str">
        <f>'All Ticker P&amp;L'!A143</f>
        <v/>
      </c>
      <c r="AM143" s="243" t="str">
        <f>'All Ticker P&amp;L'!B143</f>
        <v/>
      </c>
      <c r="AN143" s="243" t="str">
        <f>'All Ticker P&amp;L'!C143</f>
        <v/>
      </c>
      <c r="AO143" s="243" t="str">
        <f>'All Ticker P&amp;L'!D143</f>
        <v/>
      </c>
      <c r="AP143" s="243">
        <f>IF($AL143="",0,'All Ticker P&amp;L'!E143)</f>
        <v>0</v>
      </c>
      <c r="AQ143" s="266">
        <f>IF($AL143="",0,'All Ticker P&amp;L'!J143*'All Ticker P&amp;L'!I143)</f>
        <v>0</v>
      </c>
      <c r="AR143" s="266">
        <f>IF($AL143="",0,'All Ticker P&amp;L'!L143)</f>
        <v>0</v>
      </c>
      <c r="AS143" s="267">
        <f>IF($AL143="",0,'All Ticker P&amp;L'!M143)</f>
        <v>0</v>
      </c>
      <c r="AT143" s="243" t="str">
        <f>IF($AL143="","",RANK(AR143,$AR$2:$AR$1001)+COUNTIF($AR$2:AR143,AR143)-1)</f>
        <v/>
      </c>
      <c r="AU143" s="243" t="str">
        <f>IF($AL143="","",RANK(AV143,$AV$2:$AV$1001)+COUNTIF($AV$2:AV143,AV143)-1)</f>
        <v/>
      </c>
      <c r="AV143" s="266">
        <f t="shared" si="36"/>
        <v>0</v>
      </c>
    </row>
    <row r="144" spans="26:48" ht="15" customHeight="1" x14ac:dyDescent="0.2">
      <c r="Z144" s="243" t="str">
        <f>Shares!A144</f>
        <v/>
      </c>
      <c r="AA144" s="243" t="str">
        <f>Shares!B144</f>
        <v/>
      </c>
      <c r="AB144" s="243" t="str">
        <f>Shares!C144</f>
        <v/>
      </c>
      <c r="AC144" s="243" t="str">
        <f>Shares!D144</f>
        <v/>
      </c>
      <c r="AD144" s="243">
        <f>IF($Z144="",0,Shares!E144)</f>
        <v>0</v>
      </c>
      <c r="AE144" s="266">
        <f>IF($Z144="",0,Shares!J144*Shares!I144)</f>
        <v>0</v>
      </c>
      <c r="AF144" s="267">
        <f t="shared" si="35"/>
        <v>0</v>
      </c>
      <c r="AG144" s="266">
        <f>IF($Z144="",0,Shares!L144)</f>
        <v>0</v>
      </c>
      <c r="AH144" s="267">
        <f>IF($Z144="",0,Shares!M144)</f>
        <v>0</v>
      </c>
      <c r="AI144" s="243" t="str">
        <f>IF($Z144="","",RANK(AE144,$AE$2:$AE$1001)+COUNTIF($AE$2:AE144,AE144)-1)</f>
        <v/>
      </c>
      <c r="AJ144" s="243" t="str">
        <f>IF($AD144&lt;0,COUNT($AJ$1:AJ143)+1,"")</f>
        <v/>
      </c>
      <c r="AL144" s="243" t="str">
        <f>'All Ticker P&amp;L'!A144</f>
        <v/>
      </c>
      <c r="AM144" s="243" t="str">
        <f>'All Ticker P&amp;L'!B144</f>
        <v/>
      </c>
      <c r="AN144" s="243" t="str">
        <f>'All Ticker P&amp;L'!C144</f>
        <v/>
      </c>
      <c r="AO144" s="243" t="str">
        <f>'All Ticker P&amp;L'!D144</f>
        <v/>
      </c>
      <c r="AP144" s="243">
        <f>IF($AL144="",0,'All Ticker P&amp;L'!E144)</f>
        <v>0</v>
      </c>
      <c r="AQ144" s="266">
        <f>IF($AL144="",0,'All Ticker P&amp;L'!J144*'All Ticker P&amp;L'!I144)</f>
        <v>0</v>
      </c>
      <c r="AR144" s="266">
        <f>IF($AL144="",0,'All Ticker P&amp;L'!L144)</f>
        <v>0</v>
      </c>
      <c r="AS144" s="267">
        <f>IF($AL144="",0,'All Ticker P&amp;L'!M144)</f>
        <v>0</v>
      </c>
      <c r="AT144" s="243" t="str">
        <f>IF($AL144="","",RANK(AR144,$AR$2:$AR$1001)+COUNTIF($AR$2:AR144,AR144)-1)</f>
        <v/>
      </c>
      <c r="AU144" s="243" t="str">
        <f>IF($AL144="","",RANK(AV144,$AV$2:$AV$1001)+COUNTIF($AV$2:AV144,AV144)-1)</f>
        <v/>
      </c>
      <c r="AV144" s="266">
        <f t="shared" si="36"/>
        <v>0</v>
      </c>
    </row>
    <row r="145" spans="26:48" ht="15" customHeight="1" x14ac:dyDescent="0.2">
      <c r="Z145" s="243" t="str">
        <f>Shares!A145</f>
        <v/>
      </c>
      <c r="AA145" s="243" t="str">
        <f>Shares!B145</f>
        <v/>
      </c>
      <c r="AB145" s="243" t="str">
        <f>Shares!C145</f>
        <v/>
      </c>
      <c r="AC145" s="243" t="str">
        <f>Shares!D145</f>
        <v/>
      </c>
      <c r="AD145" s="243">
        <f>IF($Z145="",0,Shares!E145)</f>
        <v>0</v>
      </c>
      <c r="AE145" s="266">
        <f>IF($Z145="",0,Shares!J145*Shares!I145)</f>
        <v>0</v>
      </c>
      <c r="AF145" s="267">
        <f t="shared" si="35"/>
        <v>0</v>
      </c>
      <c r="AG145" s="266">
        <f>IF($Z145="",0,Shares!L145)</f>
        <v>0</v>
      </c>
      <c r="AH145" s="267">
        <f>IF($Z145="",0,Shares!M145)</f>
        <v>0</v>
      </c>
      <c r="AI145" s="243" t="str">
        <f>IF($Z145="","",RANK(AE145,$AE$2:$AE$1001)+COUNTIF($AE$2:AE145,AE145)-1)</f>
        <v/>
      </c>
      <c r="AJ145" s="243" t="str">
        <f>IF($AD145&lt;0,COUNT($AJ$1:AJ144)+1,"")</f>
        <v/>
      </c>
      <c r="AL145" s="243" t="str">
        <f>'All Ticker P&amp;L'!A145</f>
        <v/>
      </c>
      <c r="AM145" s="243" t="str">
        <f>'All Ticker P&amp;L'!B145</f>
        <v/>
      </c>
      <c r="AN145" s="243" t="str">
        <f>'All Ticker P&amp;L'!C145</f>
        <v/>
      </c>
      <c r="AO145" s="243" t="str">
        <f>'All Ticker P&amp;L'!D145</f>
        <v/>
      </c>
      <c r="AP145" s="243">
        <f>IF($AL145="",0,'All Ticker P&amp;L'!E145)</f>
        <v>0</v>
      </c>
      <c r="AQ145" s="266">
        <f>IF($AL145="",0,'All Ticker P&amp;L'!J145*'All Ticker P&amp;L'!I145)</f>
        <v>0</v>
      </c>
      <c r="AR145" s="266">
        <f>IF($AL145="",0,'All Ticker P&amp;L'!L145)</f>
        <v>0</v>
      </c>
      <c r="AS145" s="267">
        <f>IF($AL145="",0,'All Ticker P&amp;L'!M145)</f>
        <v>0</v>
      </c>
      <c r="AT145" s="243" t="str">
        <f>IF($AL145="","",RANK(AR145,$AR$2:$AR$1001)+COUNTIF($AR$2:AR145,AR145)-1)</f>
        <v/>
      </c>
      <c r="AU145" s="243" t="str">
        <f>IF($AL145="","",RANK(AV145,$AV$2:$AV$1001)+COUNTIF($AV$2:AV145,AV145)-1)</f>
        <v/>
      </c>
      <c r="AV145" s="266">
        <f t="shared" si="36"/>
        <v>0</v>
      </c>
    </row>
    <row r="146" spans="26:48" ht="15" customHeight="1" x14ac:dyDescent="0.2">
      <c r="Z146" s="243" t="str">
        <f>Shares!A146</f>
        <v/>
      </c>
      <c r="AA146" s="243" t="str">
        <f>Shares!B146</f>
        <v/>
      </c>
      <c r="AB146" s="243" t="str">
        <f>Shares!C146</f>
        <v/>
      </c>
      <c r="AC146" s="243" t="str">
        <f>Shares!D146</f>
        <v/>
      </c>
      <c r="AD146" s="243">
        <f>IF($Z146="",0,Shares!E146)</f>
        <v>0</v>
      </c>
      <c r="AE146" s="266">
        <f>IF($Z146="",0,Shares!J146*Shares!I146)</f>
        <v>0</v>
      </c>
      <c r="AF146" s="267">
        <f t="shared" si="35"/>
        <v>0</v>
      </c>
      <c r="AG146" s="266">
        <f>IF($Z146="",0,Shares!L146)</f>
        <v>0</v>
      </c>
      <c r="AH146" s="267">
        <f>IF($Z146="",0,Shares!M146)</f>
        <v>0</v>
      </c>
      <c r="AI146" s="243" t="str">
        <f>IF($Z146="","",RANK(AE146,$AE$2:$AE$1001)+COUNTIF($AE$2:AE146,AE146)-1)</f>
        <v/>
      </c>
      <c r="AJ146" s="243" t="str">
        <f>IF($AD146&lt;0,COUNT($AJ$1:AJ145)+1,"")</f>
        <v/>
      </c>
      <c r="AL146" s="243" t="str">
        <f>'All Ticker P&amp;L'!A146</f>
        <v/>
      </c>
      <c r="AM146" s="243" t="str">
        <f>'All Ticker P&amp;L'!B146</f>
        <v/>
      </c>
      <c r="AN146" s="243" t="str">
        <f>'All Ticker P&amp;L'!C146</f>
        <v/>
      </c>
      <c r="AO146" s="243" t="str">
        <f>'All Ticker P&amp;L'!D146</f>
        <v/>
      </c>
      <c r="AP146" s="243">
        <f>IF($AL146="",0,'All Ticker P&amp;L'!E146)</f>
        <v>0</v>
      </c>
      <c r="AQ146" s="266">
        <f>IF($AL146="",0,'All Ticker P&amp;L'!J146*'All Ticker P&amp;L'!I146)</f>
        <v>0</v>
      </c>
      <c r="AR146" s="266">
        <f>IF($AL146="",0,'All Ticker P&amp;L'!L146)</f>
        <v>0</v>
      </c>
      <c r="AS146" s="267">
        <f>IF($AL146="",0,'All Ticker P&amp;L'!M146)</f>
        <v>0</v>
      </c>
      <c r="AT146" s="243" t="str">
        <f>IF($AL146="","",RANK(AR146,$AR$2:$AR$1001)+COUNTIF($AR$2:AR146,AR146)-1)</f>
        <v/>
      </c>
      <c r="AU146" s="243" t="str">
        <f>IF($AL146="","",RANK(AV146,$AV$2:$AV$1001)+COUNTIF($AV$2:AV146,AV146)-1)</f>
        <v/>
      </c>
      <c r="AV146" s="266">
        <f t="shared" si="36"/>
        <v>0</v>
      </c>
    </row>
    <row r="147" spans="26:48" ht="15" customHeight="1" x14ac:dyDescent="0.2">
      <c r="Z147" s="243" t="str">
        <f>Shares!A147</f>
        <v/>
      </c>
      <c r="AA147" s="243" t="str">
        <f>Shares!B147</f>
        <v/>
      </c>
      <c r="AB147" s="243" t="str">
        <f>Shares!C147</f>
        <v/>
      </c>
      <c r="AC147" s="243" t="str">
        <f>Shares!D147</f>
        <v/>
      </c>
      <c r="AD147" s="243">
        <f>IF($Z147="",0,Shares!E147)</f>
        <v>0</v>
      </c>
      <c r="AE147" s="266">
        <f>IF($Z147="",0,Shares!J147*Shares!I147)</f>
        <v>0</v>
      </c>
      <c r="AF147" s="267">
        <f t="shared" si="35"/>
        <v>0</v>
      </c>
      <c r="AG147" s="266">
        <f>IF($Z147="",0,Shares!L147)</f>
        <v>0</v>
      </c>
      <c r="AH147" s="267">
        <f>IF($Z147="",0,Shares!M147)</f>
        <v>0</v>
      </c>
      <c r="AI147" s="243" t="str">
        <f>IF($Z147="","",RANK(AE147,$AE$2:$AE$1001)+COUNTIF($AE$2:AE147,AE147)-1)</f>
        <v/>
      </c>
      <c r="AJ147" s="243" t="str">
        <f>IF($AD147&lt;0,COUNT($AJ$1:AJ146)+1,"")</f>
        <v/>
      </c>
      <c r="AL147" s="243" t="str">
        <f>'All Ticker P&amp;L'!A147</f>
        <v/>
      </c>
      <c r="AM147" s="243" t="str">
        <f>'All Ticker P&amp;L'!B147</f>
        <v/>
      </c>
      <c r="AN147" s="243" t="str">
        <f>'All Ticker P&amp;L'!C147</f>
        <v/>
      </c>
      <c r="AO147" s="243" t="str">
        <f>'All Ticker P&amp;L'!D147</f>
        <v/>
      </c>
      <c r="AP147" s="243">
        <f>IF($AL147="",0,'All Ticker P&amp;L'!E147)</f>
        <v>0</v>
      </c>
      <c r="AQ147" s="266">
        <f>IF($AL147="",0,'All Ticker P&amp;L'!J147*'All Ticker P&amp;L'!I147)</f>
        <v>0</v>
      </c>
      <c r="AR147" s="266">
        <f>IF($AL147="",0,'All Ticker P&amp;L'!L147)</f>
        <v>0</v>
      </c>
      <c r="AS147" s="267">
        <f>IF($AL147="",0,'All Ticker P&amp;L'!M147)</f>
        <v>0</v>
      </c>
      <c r="AT147" s="243" t="str">
        <f>IF($AL147="","",RANK(AR147,$AR$2:$AR$1001)+COUNTIF($AR$2:AR147,AR147)-1)</f>
        <v/>
      </c>
      <c r="AU147" s="243" t="str">
        <f>IF($AL147="","",RANK(AV147,$AV$2:$AV$1001)+COUNTIF($AV$2:AV147,AV147)-1)</f>
        <v/>
      </c>
      <c r="AV147" s="266">
        <f t="shared" si="36"/>
        <v>0</v>
      </c>
    </row>
    <row r="148" spans="26:48" ht="15" customHeight="1" x14ac:dyDescent="0.2">
      <c r="Z148" s="243" t="str">
        <f>Shares!A148</f>
        <v/>
      </c>
      <c r="AA148" s="243" t="str">
        <f>Shares!B148</f>
        <v/>
      </c>
      <c r="AB148" s="243" t="str">
        <f>Shares!C148</f>
        <v/>
      </c>
      <c r="AC148" s="243" t="str">
        <f>Shares!D148</f>
        <v/>
      </c>
      <c r="AD148" s="243">
        <f>IF($Z148="",0,Shares!E148)</f>
        <v>0</v>
      </c>
      <c r="AE148" s="266">
        <f>IF($Z148="",0,Shares!J148*Shares!I148)</f>
        <v>0</v>
      </c>
      <c r="AF148" s="267">
        <f t="shared" si="35"/>
        <v>0</v>
      </c>
      <c r="AG148" s="266">
        <f>IF($Z148="",0,Shares!L148)</f>
        <v>0</v>
      </c>
      <c r="AH148" s="267">
        <f>IF($Z148="",0,Shares!M148)</f>
        <v>0</v>
      </c>
      <c r="AI148" s="243" t="str">
        <f>IF($Z148="","",RANK(AE148,$AE$2:$AE$1001)+COUNTIF($AE$2:AE148,AE148)-1)</f>
        <v/>
      </c>
      <c r="AJ148" s="243" t="str">
        <f>IF($AD148&lt;0,COUNT($AJ$1:AJ147)+1,"")</f>
        <v/>
      </c>
      <c r="AL148" s="243" t="str">
        <f>'All Ticker P&amp;L'!A148</f>
        <v/>
      </c>
      <c r="AM148" s="243" t="str">
        <f>'All Ticker P&amp;L'!B148</f>
        <v/>
      </c>
      <c r="AN148" s="243" t="str">
        <f>'All Ticker P&amp;L'!C148</f>
        <v/>
      </c>
      <c r="AO148" s="243" t="str">
        <f>'All Ticker P&amp;L'!D148</f>
        <v/>
      </c>
      <c r="AP148" s="243">
        <f>IF($AL148="",0,'All Ticker P&amp;L'!E148)</f>
        <v>0</v>
      </c>
      <c r="AQ148" s="266">
        <f>IF($AL148="",0,'All Ticker P&amp;L'!J148*'All Ticker P&amp;L'!I148)</f>
        <v>0</v>
      </c>
      <c r="AR148" s="266">
        <f>IF($AL148="",0,'All Ticker P&amp;L'!L148)</f>
        <v>0</v>
      </c>
      <c r="AS148" s="267">
        <f>IF($AL148="",0,'All Ticker P&amp;L'!M148)</f>
        <v>0</v>
      </c>
      <c r="AT148" s="243" t="str">
        <f>IF($AL148="","",RANK(AR148,$AR$2:$AR$1001)+COUNTIF($AR$2:AR148,AR148)-1)</f>
        <v/>
      </c>
      <c r="AU148" s="243" t="str">
        <f>IF($AL148="","",RANK(AV148,$AV$2:$AV$1001)+COUNTIF($AV$2:AV148,AV148)-1)</f>
        <v/>
      </c>
      <c r="AV148" s="266">
        <f t="shared" si="36"/>
        <v>0</v>
      </c>
    </row>
    <row r="149" spans="26:48" ht="15" customHeight="1" x14ac:dyDescent="0.2">
      <c r="Z149" s="243" t="str">
        <f>Shares!A149</f>
        <v/>
      </c>
      <c r="AA149" s="243" t="str">
        <f>Shares!B149</f>
        <v/>
      </c>
      <c r="AB149" s="243" t="str">
        <f>Shares!C149</f>
        <v/>
      </c>
      <c r="AC149" s="243" t="str">
        <f>Shares!D149</f>
        <v/>
      </c>
      <c r="AD149" s="243">
        <f>IF($Z149="",0,Shares!E149)</f>
        <v>0</v>
      </c>
      <c r="AE149" s="266">
        <f>IF($Z149="",0,Shares!J149*Shares!I149)</f>
        <v>0</v>
      </c>
      <c r="AF149" s="267">
        <f t="shared" si="35"/>
        <v>0</v>
      </c>
      <c r="AG149" s="266">
        <f>IF($Z149="",0,Shares!L149)</f>
        <v>0</v>
      </c>
      <c r="AH149" s="267">
        <f>IF($Z149="",0,Shares!M149)</f>
        <v>0</v>
      </c>
      <c r="AI149" s="243" t="str">
        <f>IF($Z149="","",RANK(AE149,$AE$2:$AE$1001)+COUNTIF($AE$2:AE149,AE149)-1)</f>
        <v/>
      </c>
      <c r="AJ149" s="243" t="str">
        <f>IF($AD149&lt;0,COUNT($AJ$1:AJ148)+1,"")</f>
        <v/>
      </c>
      <c r="AL149" s="243" t="str">
        <f>'All Ticker P&amp;L'!A149</f>
        <v/>
      </c>
      <c r="AM149" s="243" t="str">
        <f>'All Ticker P&amp;L'!B149</f>
        <v/>
      </c>
      <c r="AN149" s="243" t="str">
        <f>'All Ticker P&amp;L'!C149</f>
        <v/>
      </c>
      <c r="AO149" s="243" t="str">
        <f>'All Ticker P&amp;L'!D149</f>
        <v/>
      </c>
      <c r="AP149" s="243">
        <f>IF($AL149="",0,'All Ticker P&amp;L'!E149)</f>
        <v>0</v>
      </c>
      <c r="AQ149" s="266">
        <f>IF($AL149="",0,'All Ticker P&amp;L'!J149*'All Ticker P&amp;L'!I149)</f>
        <v>0</v>
      </c>
      <c r="AR149" s="266">
        <f>IF($AL149="",0,'All Ticker P&amp;L'!L149)</f>
        <v>0</v>
      </c>
      <c r="AS149" s="267">
        <f>IF($AL149="",0,'All Ticker P&amp;L'!M149)</f>
        <v>0</v>
      </c>
      <c r="AT149" s="243" t="str">
        <f>IF($AL149="","",RANK(AR149,$AR$2:$AR$1001)+COUNTIF($AR$2:AR149,AR149)-1)</f>
        <v/>
      </c>
      <c r="AU149" s="243" t="str">
        <f>IF($AL149="","",RANK(AV149,$AV$2:$AV$1001)+COUNTIF($AV$2:AV149,AV149)-1)</f>
        <v/>
      </c>
      <c r="AV149" s="266">
        <f t="shared" si="36"/>
        <v>0</v>
      </c>
    </row>
    <row r="150" spans="26:48" ht="15" customHeight="1" x14ac:dyDescent="0.2">
      <c r="Z150" s="243" t="str">
        <f>Shares!A150</f>
        <v/>
      </c>
      <c r="AA150" s="243" t="str">
        <f>Shares!B150</f>
        <v/>
      </c>
      <c r="AB150" s="243" t="str">
        <f>Shares!C150</f>
        <v/>
      </c>
      <c r="AC150" s="243" t="str">
        <f>Shares!D150</f>
        <v/>
      </c>
      <c r="AD150" s="243">
        <f>IF($Z150="",0,Shares!E150)</f>
        <v>0</v>
      </c>
      <c r="AE150" s="266">
        <f>IF($Z150="",0,Shares!J150*Shares!I150)</f>
        <v>0</v>
      </c>
      <c r="AF150" s="267">
        <f t="shared" si="35"/>
        <v>0</v>
      </c>
      <c r="AG150" s="266">
        <f>IF($Z150="",0,Shares!L150)</f>
        <v>0</v>
      </c>
      <c r="AH150" s="267">
        <f>IF($Z150="",0,Shares!M150)</f>
        <v>0</v>
      </c>
      <c r="AI150" s="243" t="str">
        <f>IF($Z150="","",RANK(AE150,$AE$2:$AE$1001)+COUNTIF($AE$2:AE150,AE150)-1)</f>
        <v/>
      </c>
      <c r="AJ150" s="243" t="str">
        <f>IF($AD150&lt;0,COUNT($AJ$1:AJ149)+1,"")</f>
        <v/>
      </c>
      <c r="AL150" s="243" t="str">
        <f>'All Ticker P&amp;L'!A150</f>
        <v/>
      </c>
      <c r="AM150" s="243" t="str">
        <f>'All Ticker P&amp;L'!B150</f>
        <v/>
      </c>
      <c r="AN150" s="243" t="str">
        <f>'All Ticker P&amp;L'!C150</f>
        <v/>
      </c>
      <c r="AO150" s="243" t="str">
        <f>'All Ticker P&amp;L'!D150</f>
        <v/>
      </c>
      <c r="AP150" s="243">
        <f>IF($AL150="",0,'All Ticker P&amp;L'!E150)</f>
        <v>0</v>
      </c>
      <c r="AQ150" s="266">
        <f>IF($AL150="",0,'All Ticker P&amp;L'!J150*'All Ticker P&amp;L'!I150)</f>
        <v>0</v>
      </c>
      <c r="AR150" s="266">
        <f>IF($AL150="",0,'All Ticker P&amp;L'!L150)</f>
        <v>0</v>
      </c>
      <c r="AS150" s="267">
        <f>IF($AL150="",0,'All Ticker P&amp;L'!M150)</f>
        <v>0</v>
      </c>
      <c r="AT150" s="243" t="str">
        <f>IF($AL150="","",RANK(AR150,$AR$2:$AR$1001)+COUNTIF($AR$2:AR150,AR150)-1)</f>
        <v/>
      </c>
      <c r="AU150" s="243" t="str">
        <f>IF($AL150="","",RANK(AV150,$AV$2:$AV$1001)+COUNTIF($AV$2:AV150,AV150)-1)</f>
        <v/>
      </c>
      <c r="AV150" s="266">
        <f t="shared" si="36"/>
        <v>0</v>
      </c>
    </row>
    <row r="151" spans="26:48" ht="15" customHeight="1" x14ac:dyDescent="0.2">
      <c r="Z151" s="243" t="str">
        <f>Shares!A151</f>
        <v/>
      </c>
      <c r="AA151" s="243" t="str">
        <f>Shares!B151</f>
        <v/>
      </c>
      <c r="AB151" s="243" t="str">
        <f>Shares!C151</f>
        <v/>
      </c>
      <c r="AC151" s="243" t="str">
        <f>Shares!D151</f>
        <v/>
      </c>
      <c r="AD151" s="243">
        <f>IF($Z151="",0,Shares!E151)</f>
        <v>0</v>
      </c>
      <c r="AE151" s="266">
        <f>IF($Z151="",0,Shares!J151*Shares!I151)</f>
        <v>0</v>
      </c>
      <c r="AF151" s="267">
        <f t="shared" si="35"/>
        <v>0</v>
      </c>
      <c r="AG151" s="266">
        <f>IF($Z151="",0,Shares!L151)</f>
        <v>0</v>
      </c>
      <c r="AH151" s="267">
        <f>IF($Z151="",0,Shares!M151)</f>
        <v>0</v>
      </c>
      <c r="AI151" s="243" t="str">
        <f>IF($Z151="","",RANK(AE151,$AE$2:$AE$1001)+COUNTIF($AE$2:AE151,AE151)-1)</f>
        <v/>
      </c>
      <c r="AJ151" s="243" t="str">
        <f>IF($AD151&lt;0,COUNT($AJ$1:AJ150)+1,"")</f>
        <v/>
      </c>
      <c r="AL151" s="243" t="str">
        <f>'All Ticker P&amp;L'!A151</f>
        <v/>
      </c>
      <c r="AM151" s="243" t="str">
        <f>'All Ticker P&amp;L'!B151</f>
        <v/>
      </c>
      <c r="AN151" s="243" t="str">
        <f>'All Ticker P&amp;L'!C151</f>
        <v/>
      </c>
      <c r="AO151" s="243" t="str">
        <f>'All Ticker P&amp;L'!D151</f>
        <v/>
      </c>
      <c r="AP151" s="243">
        <f>IF($AL151="",0,'All Ticker P&amp;L'!E151)</f>
        <v>0</v>
      </c>
      <c r="AQ151" s="266">
        <f>IF($AL151="",0,'All Ticker P&amp;L'!J151*'All Ticker P&amp;L'!I151)</f>
        <v>0</v>
      </c>
      <c r="AR151" s="266">
        <f>IF($AL151="",0,'All Ticker P&amp;L'!L151)</f>
        <v>0</v>
      </c>
      <c r="AS151" s="267">
        <f>IF($AL151="",0,'All Ticker P&amp;L'!M151)</f>
        <v>0</v>
      </c>
      <c r="AT151" s="243" t="str">
        <f>IF($AL151="","",RANK(AR151,$AR$2:$AR$1001)+COUNTIF($AR$2:AR151,AR151)-1)</f>
        <v/>
      </c>
      <c r="AU151" s="243" t="str">
        <f>IF($AL151="","",RANK(AV151,$AV$2:$AV$1001)+COUNTIF($AV$2:AV151,AV151)-1)</f>
        <v/>
      </c>
      <c r="AV151" s="266">
        <f t="shared" si="36"/>
        <v>0</v>
      </c>
    </row>
    <row r="152" spans="26:48" ht="15" customHeight="1" x14ac:dyDescent="0.2">
      <c r="Z152" s="243" t="str">
        <f>Shares!A152</f>
        <v/>
      </c>
      <c r="AA152" s="243" t="str">
        <f>Shares!B152</f>
        <v/>
      </c>
      <c r="AB152" s="243" t="str">
        <f>Shares!C152</f>
        <v/>
      </c>
      <c r="AC152" s="243" t="str">
        <f>Shares!D152</f>
        <v/>
      </c>
      <c r="AD152" s="243">
        <f>IF($Z152="",0,Shares!E152)</f>
        <v>0</v>
      </c>
      <c r="AE152" s="266">
        <f>IF($Z152="",0,Shares!J152*Shares!I152)</f>
        <v>0</v>
      </c>
      <c r="AF152" s="267">
        <f t="shared" si="35"/>
        <v>0</v>
      </c>
      <c r="AG152" s="266">
        <f>IF($Z152="",0,Shares!L152)</f>
        <v>0</v>
      </c>
      <c r="AH152" s="267">
        <f>IF($Z152="",0,Shares!M152)</f>
        <v>0</v>
      </c>
      <c r="AI152" s="243" t="str">
        <f>IF($Z152="","",RANK(AE152,$AE$2:$AE$1001)+COUNTIF($AE$2:AE152,AE152)-1)</f>
        <v/>
      </c>
      <c r="AJ152" s="243" t="str">
        <f>IF($AD152&lt;0,COUNT($AJ$1:AJ151)+1,"")</f>
        <v/>
      </c>
      <c r="AL152" s="243" t="str">
        <f>'All Ticker P&amp;L'!A152</f>
        <v/>
      </c>
      <c r="AM152" s="243" t="str">
        <f>'All Ticker P&amp;L'!B152</f>
        <v/>
      </c>
      <c r="AN152" s="243" t="str">
        <f>'All Ticker P&amp;L'!C152</f>
        <v/>
      </c>
      <c r="AO152" s="243" t="str">
        <f>'All Ticker P&amp;L'!D152</f>
        <v/>
      </c>
      <c r="AP152" s="243">
        <f>IF($AL152="",0,'All Ticker P&amp;L'!E152)</f>
        <v>0</v>
      </c>
      <c r="AQ152" s="266">
        <f>IF($AL152="",0,'All Ticker P&amp;L'!J152*'All Ticker P&amp;L'!I152)</f>
        <v>0</v>
      </c>
      <c r="AR152" s="266">
        <f>IF($AL152="",0,'All Ticker P&amp;L'!L152)</f>
        <v>0</v>
      </c>
      <c r="AS152" s="267">
        <f>IF($AL152="",0,'All Ticker P&amp;L'!M152)</f>
        <v>0</v>
      </c>
      <c r="AT152" s="243" t="str">
        <f>IF($AL152="","",RANK(AR152,$AR$2:$AR$1001)+COUNTIF($AR$2:AR152,AR152)-1)</f>
        <v/>
      </c>
      <c r="AU152" s="243" t="str">
        <f>IF($AL152="","",RANK(AV152,$AV$2:$AV$1001)+COUNTIF($AV$2:AV152,AV152)-1)</f>
        <v/>
      </c>
      <c r="AV152" s="266">
        <f t="shared" si="36"/>
        <v>0</v>
      </c>
    </row>
    <row r="153" spans="26:48" ht="15" customHeight="1" x14ac:dyDescent="0.2">
      <c r="Z153" s="243" t="str">
        <f>Shares!A153</f>
        <v/>
      </c>
      <c r="AA153" s="243" t="str">
        <f>Shares!B153</f>
        <v/>
      </c>
      <c r="AB153" s="243" t="str">
        <f>Shares!C153</f>
        <v/>
      </c>
      <c r="AC153" s="243" t="str">
        <f>Shares!D153</f>
        <v/>
      </c>
      <c r="AD153" s="243">
        <f>IF($Z153="",0,Shares!E153)</f>
        <v>0</v>
      </c>
      <c r="AE153" s="266">
        <f>IF($Z153="",0,Shares!J153*Shares!I153)</f>
        <v>0</v>
      </c>
      <c r="AF153" s="267">
        <f t="shared" si="35"/>
        <v>0</v>
      </c>
      <c r="AG153" s="266">
        <f>IF($Z153="",0,Shares!L153)</f>
        <v>0</v>
      </c>
      <c r="AH153" s="267">
        <f>IF($Z153="",0,Shares!M153)</f>
        <v>0</v>
      </c>
      <c r="AI153" s="243" t="str">
        <f>IF($Z153="","",RANK(AE153,$AE$2:$AE$1001)+COUNTIF($AE$2:AE153,AE153)-1)</f>
        <v/>
      </c>
      <c r="AJ153" s="243" t="str">
        <f>IF($AD153&lt;0,COUNT($AJ$1:AJ152)+1,"")</f>
        <v/>
      </c>
      <c r="AL153" s="243" t="str">
        <f>'All Ticker P&amp;L'!A153</f>
        <v/>
      </c>
      <c r="AM153" s="243" t="str">
        <f>'All Ticker P&amp;L'!B153</f>
        <v/>
      </c>
      <c r="AN153" s="243" t="str">
        <f>'All Ticker P&amp;L'!C153</f>
        <v/>
      </c>
      <c r="AO153" s="243" t="str">
        <f>'All Ticker P&amp;L'!D153</f>
        <v/>
      </c>
      <c r="AP153" s="243">
        <f>IF($AL153="",0,'All Ticker P&amp;L'!E153)</f>
        <v>0</v>
      </c>
      <c r="AQ153" s="266">
        <f>IF($AL153="",0,'All Ticker P&amp;L'!J153*'All Ticker P&amp;L'!I153)</f>
        <v>0</v>
      </c>
      <c r="AR153" s="266">
        <f>IF($AL153="",0,'All Ticker P&amp;L'!L153)</f>
        <v>0</v>
      </c>
      <c r="AS153" s="267">
        <f>IF($AL153="",0,'All Ticker P&amp;L'!M153)</f>
        <v>0</v>
      </c>
      <c r="AT153" s="243" t="str">
        <f>IF($AL153="","",RANK(AR153,$AR$2:$AR$1001)+COUNTIF($AR$2:AR153,AR153)-1)</f>
        <v/>
      </c>
      <c r="AU153" s="243" t="str">
        <f>IF($AL153="","",RANK(AV153,$AV$2:$AV$1001)+COUNTIF($AV$2:AV153,AV153)-1)</f>
        <v/>
      </c>
      <c r="AV153" s="266">
        <f t="shared" si="36"/>
        <v>0</v>
      </c>
    </row>
    <row r="154" spans="26:48" ht="15" customHeight="1" x14ac:dyDescent="0.2">
      <c r="Z154" s="243" t="str">
        <f>Shares!A154</f>
        <v/>
      </c>
      <c r="AA154" s="243" t="str">
        <f>Shares!B154</f>
        <v/>
      </c>
      <c r="AB154" s="243" t="str">
        <f>Shares!C154</f>
        <v/>
      </c>
      <c r="AC154" s="243" t="str">
        <f>Shares!D154</f>
        <v/>
      </c>
      <c r="AD154" s="243">
        <f>IF($Z154="",0,Shares!E154)</f>
        <v>0</v>
      </c>
      <c r="AE154" s="266">
        <f>IF($Z154="",0,Shares!J154*Shares!I154)</f>
        <v>0</v>
      </c>
      <c r="AF154" s="267">
        <f t="shared" si="35"/>
        <v>0</v>
      </c>
      <c r="AG154" s="266">
        <f>IF($Z154="",0,Shares!L154)</f>
        <v>0</v>
      </c>
      <c r="AH154" s="267">
        <f>IF($Z154="",0,Shares!M154)</f>
        <v>0</v>
      </c>
      <c r="AI154" s="243" t="str">
        <f>IF($Z154="","",RANK(AE154,$AE$2:$AE$1001)+COUNTIF($AE$2:AE154,AE154)-1)</f>
        <v/>
      </c>
      <c r="AJ154" s="243" t="str">
        <f>IF($AD154&lt;0,COUNT($AJ$1:AJ153)+1,"")</f>
        <v/>
      </c>
      <c r="AL154" s="243" t="str">
        <f>'All Ticker P&amp;L'!A154</f>
        <v/>
      </c>
      <c r="AM154" s="243" t="str">
        <f>'All Ticker P&amp;L'!B154</f>
        <v/>
      </c>
      <c r="AN154" s="243" t="str">
        <f>'All Ticker P&amp;L'!C154</f>
        <v/>
      </c>
      <c r="AO154" s="243" t="str">
        <f>'All Ticker P&amp;L'!D154</f>
        <v/>
      </c>
      <c r="AP154" s="243">
        <f>IF($AL154="",0,'All Ticker P&amp;L'!E154)</f>
        <v>0</v>
      </c>
      <c r="AQ154" s="266">
        <f>IF($AL154="",0,'All Ticker P&amp;L'!J154*'All Ticker P&amp;L'!I154)</f>
        <v>0</v>
      </c>
      <c r="AR154" s="266">
        <f>IF($AL154="",0,'All Ticker P&amp;L'!L154)</f>
        <v>0</v>
      </c>
      <c r="AS154" s="267">
        <f>IF($AL154="",0,'All Ticker P&amp;L'!M154)</f>
        <v>0</v>
      </c>
      <c r="AT154" s="243" t="str">
        <f>IF($AL154="","",RANK(AR154,$AR$2:$AR$1001)+COUNTIF($AR$2:AR154,AR154)-1)</f>
        <v/>
      </c>
      <c r="AU154" s="243" t="str">
        <f>IF($AL154="","",RANK(AV154,$AV$2:$AV$1001)+COUNTIF($AV$2:AV154,AV154)-1)</f>
        <v/>
      </c>
      <c r="AV154" s="266">
        <f t="shared" si="36"/>
        <v>0</v>
      </c>
    </row>
    <row r="155" spans="26:48" ht="15" customHeight="1" x14ac:dyDescent="0.2">
      <c r="Z155" s="243" t="str">
        <f>Shares!A155</f>
        <v/>
      </c>
      <c r="AA155" s="243" t="str">
        <f>Shares!B155</f>
        <v/>
      </c>
      <c r="AB155" s="243" t="str">
        <f>Shares!C155</f>
        <v/>
      </c>
      <c r="AC155" s="243" t="str">
        <f>Shares!D155</f>
        <v/>
      </c>
      <c r="AD155" s="243">
        <f>IF($Z155="",0,Shares!E155)</f>
        <v>0</v>
      </c>
      <c r="AE155" s="266">
        <f>IF($Z155="",0,Shares!J155*Shares!I155)</f>
        <v>0</v>
      </c>
      <c r="AF155" s="267">
        <f t="shared" si="35"/>
        <v>0</v>
      </c>
      <c r="AG155" s="266">
        <f>IF($Z155="",0,Shares!L155)</f>
        <v>0</v>
      </c>
      <c r="AH155" s="267">
        <f>IF($Z155="",0,Shares!M155)</f>
        <v>0</v>
      </c>
      <c r="AI155" s="243" t="str">
        <f>IF($Z155="","",RANK(AE155,$AE$2:$AE$1001)+COUNTIF($AE$2:AE155,AE155)-1)</f>
        <v/>
      </c>
      <c r="AJ155" s="243" t="str">
        <f>IF($AD155&lt;0,COUNT($AJ$1:AJ154)+1,"")</f>
        <v/>
      </c>
      <c r="AL155" s="243" t="str">
        <f>'All Ticker P&amp;L'!A155</f>
        <v/>
      </c>
      <c r="AM155" s="243" t="str">
        <f>'All Ticker P&amp;L'!B155</f>
        <v/>
      </c>
      <c r="AN155" s="243" t="str">
        <f>'All Ticker P&amp;L'!C155</f>
        <v/>
      </c>
      <c r="AO155" s="243" t="str">
        <f>'All Ticker P&amp;L'!D155</f>
        <v/>
      </c>
      <c r="AP155" s="243">
        <f>IF($AL155="",0,'All Ticker P&amp;L'!E155)</f>
        <v>0</v>
      </c>
      <c r="AQ155" s="266">
        <f>IF($AL155="",0,'All Ticker P&amp;L'!J155*'All Ticker P&amp;L'!I155)</f>
        <v>0</v>
      </c>
      <c r="AR155" s="266">
        <f>IF($AL155="",0,'All Ticker P&amp;L'!L155)</f>
        <v>0</v>
      </c>
      <c r="AS155" s="267">
        <f>IF($AL155="",0,'All Ticker P&amp;L'!M155)</f>
        <v>0</v>
      </c>
      <c r="AT155" s="243" t="str">
        <f>IF($AL155="","",RANK(AR155,$AR$2:$AR$1001)+COUNTIF($AR$2:AR155,AR155)-1)</f>
        <v/>
      </c>
      <c r="AU155" s="243" t="str">
        <f>IF($AL155="","",RANK(AV155,$AV$2:$AV$1001)+COUNTIF($AV$2:AV155,AV155)-1)</f>
        <v/>
      </c>
      <c r="AV155" s="266">
        <f t="shared" si="36"/>
        <v>0</v>
      </c>
    </row>
    <row r="156" spans="26:48" ht="15" customHeight="1" x14ac:dyDescent="0.2">
      <c r="Z156" s="243" t="str">
        <f>Shares!A156</f>
        <v/>
      </c>
      <c r="AA156" s="243" t="str">
        <f>Shares!B156</f>
        <v/>
      </c>
      <c r="AB156" s="243" t="str">
        <f>Shares!C156</f>
        <v/>
      </c>
      <c r="AC156" s="243" t="str">
        <f>Shares!D156</f>
        <v/>
      </c>
      <c r="AD156" s="243">
        <f>IF($Z156="",0,Shares!E156)</f>
        <v>0</v>
      </c>
      <c r="AE156" s="266">
        <f>IF($Z156="",0,Shares!J156*Shares!I156)</f>
        <v>0</v>
      </c>
      <c r="AF156" s="267">
        <f t="shared" si="35"/>
        <v>0</v>
      </c>
      <c r="AG156" s="266">
        <f>IF($Z156="",0,Shares!L156)</f>
        <v>0</v>
      </c>
      <c r="AH156" s="267">
        <f>IF($Z156="",0,Shares!M156)</f>
        <v>0</v>
      </c>
      <c r="AI156" s="243" t="str">
        <f>IF($Z156="","",RANK(AE156,$AE$2:$AE$1001)+COUNTIF($AE$2:AE156,AE156)-1)</f>
        <v/>
      </c>
      <c r="AJ156" s="243" t="str">
        <f>IF($AD156&lt;0,COUNT($AJ$1:AJ155)+1,"")</f>
        <v/>
      </c>
      <c r="AL156" s="243" t="str">
        <f>'All Ticker P&amp;L'!A156</f>
        <v/>
      </c>
      <c r="AM156" s="243" t="str">
        <f>'All Ticker P&amp;L'!B156</f>
        <v/>
      </c>
      <c r="AN156" s="243" t="str">
        <f>'All Ticker P&amp;L'!C156</f>
        <v/>
      </c>
      <c r="AO156" s="243" t="str">
        <f>'All Ticker P&amp;L'!D156</f>
        <v/>
      </c>
      <c r="AP156" s="243">
        <f>IF($AL156="",0,'All Ticker P&amp;L'!E156)</f>
        <v>0</v>
      </c>
      <c r="AQ156" s="266">
        <f>IF($AL156="",0,'All Ticker P&amp;L'!J156*'All Ticker P&amp;L'!I156)</f>
        <v>0</v>
      </c>
      <c r="AR156" s="266">
        <f>IF($AL156="",0,'All Ticker P&amp;L'!L156)</f>
        <v>0</v>
      </c>
      <c r="AS156" s="267">
        <f>IF($AL156="",0,'All Ticker P&amp;L'!M156)</f>
        <v>0</v>
      </c>
      <c r="AT156" s="243" t="str">
        <f>IF($AL156="","",RANK(AR156,$AR$2:$AR$1001)+COUNTIF($AR$2:AR156,AR156)-1)</f>
        <v/>
      </c>
      <c r="AU156" s="243" t="str">
        <f>IF($AL156="","",RANK(AV156,$AV$2:$AV$1001)+COUNTIF($AV$2:AV156,AV156)-1)</f>
        <v/>
      </c>
      <c r="AV156" s="266">
        <f t="shared" si="36"/>
        <v>0</v>
      </c>
    </row>
    <row r="157" spans="26:48" ht="15" customHeight="1" x14ac:dyDescent="0.2">
      <c r="Z157" s="243" t="str">
        <f>Shares!A157</f>
        <v/>
      </c>
      <c r="AA157" s="243" t="str">
        <f>Shares!B157</f>
        <v/>
      </c>
      <c r="AB157" s="243" t="str">
        <f>Shares!C157</f>
        <v/>
      </c>
      <c r="AC157" s="243" t="str">
        <f>Shares!D157</f>
        <v/>
      </c>
      <c r="AD157" s="243">
        <f>IF($Z157="",0,Shares!E157)</f>
        <v>0</v>
      </c>
      <c r="AE157" s="266">
        <f>IF($Z157="",0,Shares!J157*Shares!I157)</f>
        <v>0</v>
      </c>
      <c r="AF157" s="267">
        <f t="shared" si="35"/>
        <v>0</v>
      </c>
      <c r="AG157" s="266">
        <f>IF($Z157="",0,Shares!L157)</f>
        <v>0</v>
      </c>
      <c r="AH157" s="267">
        <f>IF($Z157="",0,Shares!M157)</f>
        <v>0</v>
      </c>
      <c r="AI157" s="243" t="str">
        <f>IF($Z157="","",RANK(AE157,$AE$2:$AE$1001)+COUNTIF($AE$2:AE157,AE157)-1)</f>
        <v/>
      </c>
      <c r="AJ157" s="243" t="str">
        <f>IF($AD157&lt;0,COUNT($AJ$1:AJ156)+1,"")</f>
        <v/>
      </c>
      <c r="AL157" s="243" t="str">
        <f>'All Ticker P&amp;L'!A157</f>
        <v/>
      </c>
      <c r="AM157" s="243" t="str">
        <f>'All Ticker P&amp;L'!B157</f>
        <v/>
      </c>
      <c r="AN157" s="243" t="str">
        <f>'All Ticker P&amp;L'!C157</f>
        <v/>
      </c>
      <c r="AO157" s="243" t="str">
        <f>'All Ticker P&amp;L'!D157</f>
        <v/>
      </c>
      <c r="AP157" s="243">
        <f>IF($AL157="",0,'All Ticker P&amp;L'!E157)</f>
        <v>0</v>
      </c>
      <c r="AQ157" s="266">
        <f>IF($AL157="",0,'All Ticker P&amp;L'!J157*'All Ticker P&amp;L'!I157)</f>
        <v>0</v>
      </c>
      <c r="AR157" s="266">
        <f>IF($AL157="",0,'All Ticker P&amp;L'!L157)</f>
        <v>0</v>
      </c>
      <c r="AS157" s="267">
        <f>IF($AL157="",0,'All Ticker P&amp;L'!M157)</f>
        <v>0</v>
      </c>
      <c r="AT157" s="243" t="str">
        <f>IF($AL157="","",RANK(AR157,$AR$2:$AR$1001)+COUNTIF($AR$2:AR157,AR157)-1)</f>
        <v/>
      </c>
      <c r="AU157" s="243" t="str">
        <f>IF($AL157="","",RANK(AV157,$AV$2:$AV$1001)+COUNTIF($AV$2:AV157,AV157)-1)</f>
        <v/>
      </c>
      <c r="AV157" s="266">
        <f t="shared" si="36"/>
        <v>0</v>
      </c>
    </row>
    <row r="158" spans="26:48" ht="15" customHeight="1" x14ac:dyDescent="0.2">
      <c r="Z158" s="243" t="str">
        <f>Shares!A158</f>
        <v/>
      </c>
      <c r="AA158" s="243" t="str">
        <f>Shares!B158</f>
        <v/>
      </c>
      <c r="AB158" s="243" t="str">
        <f>Shares!C158</f>
        <v/>
      </c>
      <c r="AC158" s="243" t="str">
        <f>Shares!D158</f>
        <v/>
      </c>
      <c r="AD158" s="243">
        <f>IF($Z158="",0,Shares!E158)</f>
        <v>0</v>
      </c>
      <c r="AE158" s="266">
        <f>IF($Z158="",0,Shares!J158*Shares!I158)</f>
        <v>0</v>
      </c>
      <c r="AF158" s="267">
        <f t="shared" si="35"/>
        <v>0</v>
      </c>
      <c r="AG158" s="266">
        <f>IF($Z158="",0,Shares!L158)</f>
        <v>0</v>
      </c>
      <c r="AH158" s="267">
        <f>IF($Z158="",0,Shares!M158)</f>
        <v>0</v>
      </c>
      <c r="AI158" s="243" t="str">
        <f>IF($Z158="","",RANK(AE158,$AE$2:$AE$1001)+COUNTIF($AE$2:AE158,AE158)-1)</f>
        <v/>
      </c>
      <c r="AJ158" s="243" t="str">
        <f>IF($AD158&lt;0,COUNT($AJ$1:AJ157)+1,"")</f>
        <v/>
      </c>
      <c r="AL158" s="243" t="str">
        <f>'All Ticker P&amp;L'!A158</f>
        <v/>
      </c>
      <c r="AM158" s="243" t="str">
        <f>'All Ticker P&amp;L'!B158</f>
        <v/>
      </c>
      <c r="AN158" s="243" t="str">
        <f>'All Ticker P&amp;L'!C158</f>
        <v/>
      </c>
      <c r="AO158" s="243" t="str">
        <f>'All Ticker P&amp;L'!D158</f>
        <v/>
      </c>
      <c r="AP158" s="243">
        <f>IF($AL158="",0,'All Ticker P&amp;L'!E158)</f>
        <v>0</v>
      </c>
      <c r="AQ158" s="266">
        <f>IF($AL158="",0,'All Ticker P&amp;L'!J158*'All Ticker P&amp;L'!I158)</f>
        <v>0</v>
      </c>
      <c r="AR158" s="266">
        <f>IF($AL158="",0,'All Ticker P&amp;L'!L158)</f>
        <v>0</v>
      </c>
      <c r="AS158" s="267">
        <f>IF($AL158="",0,'All Ticker P&amp;L'!M158)</f>
        <v>0</v>
      </c>
      <c r="AT158" s="243" t="str">
        <f>IF($AL158="","",RANK(AR158,$AR$2:$AR$1001)+COUNTIF($AR$2:AR158,AR158)-1)</f>
        <v/>
      </c>
      <c r="AU158" s="243" t="str">
        <f>IF($AL158="","",RANK(AV158,$AV$2:$AV$1001)+COUNTIF($AV$2:AV158,AV158)-1)</f>
        <v/>
      </c>
      <c r="AV158" s="266">
        <f t="shared" si="36"/>
        <v>0</v>
      </c>
    </row>
    <row r="159" spans="26:48" ht="15" customHeight="1" x14ac:dyDescent="0.2">
      <c r="Z159" s="243" t="str">
        <f>Shares!A159</f>
        <v/>
      </c>
      <c r="AA159" s="243" t="str">
        <f>Shares!B159</f>
        <v/>
      </c>
      <c r="AB159" s="243" t="str">
        <f>Shares!C159</f>
        <v/>
      </c>
      <c r="AC159" s="243" t="str">
        <f>Shares!D159</f>
        <v/>
      </c>
      <c r="AD159" s="243">
        <f>IF($Z159="",0,Shares!E159)</f>
        <v>0</v>
      </c>
      <c r="AE159" s="266">
        <f>IF($Z159="",0,Shares!J159*Shares!I159)</f>
        <v>0</v>
      </c>
      <c r="AF159" s="267">
        <f t="shared" si="35"/>
        <v>0</v>
      </c>
      <c r="AG159" s="266">
        <f>IF($Z159="",0,Shares!L159)</f>
        <v>0</v>
      </c>
      <c r="AH159" s="267">
        <f>IF($Z159="",0,Shares!M159)</f>
        <v>0</v>
      </c>
      <c r="AI159" s="243" t="str">
        <f>IF($Z159="","",RANK(AE159,$AE$2:$AE$1001)+COUNTIF($AE$2:AE159,AE159)-1)</f>
        <v/>
      </c>
      <c r="AJ159" s="243" t="str">
        <f>IF($AD159&lt;0,COUNT($AJ$1:AJ158)+1,"")</f>
        <v/>
      </c>
      <c r="AL159" s="243" t="str">
        <f>'All Ticker P&amp;L'!A159</f>
        <v/>
      </c>
      <c r="AM159" s="243" t="str">
        <f>'All Ticker P&amp;L'!B159</f>
        <v/>
      </c>
      <c r="AN159" s="243" t="str">
        <f>'All Ticker P&amp;L'!C159</f>
        <v/>
      </c>
      <c r="AO159" s="243" t="str">
        <f>'All Ticker P&amp;L'!D159</f>
        <v/>
      </c>
      <c r="AP159" s="243">
        <f>IF($AL159="",0,'All Ticker P&amp;L'!E159)</f>
        <v>0</v>
      </c>
      <c r="AQ159" s="266">
        <f>IF($AL159="",0,'All Ticker P&amp;L'!J159*'All Ticker P&amp;L'!I159)</f>
        <v>0</v>
      </c>
      <c r="AR159" s="266">
        <f>IF($AL159="",0,'All Ticker P&amp;L'!L159)</f>
        <v>0</v>
      </c>
      <c r="AS159" s="267">
        <f>IF($AL159="",0,'All Ticker P&amp;L'!M159)</f>
        <v>0</v>
      </c>
      <c r="AT159" s="243" t="str">
        <f>IF($AL159="","",RANK(AR159,$AR$2:$AR$1001)+COUNTIF($AR$2:AR159,AR159)-1)</f>
        <v/>
      </c>
      <c r="AU159" s="243" t="str">
        <f>IF($AL159="","",RANK(AV159,$AV$2:$AV$1001)+COUNTIF($AV$2:AV159,AV159)-1)</f>
        <v/>
      </c>
      <c r="AV159" s="266">
        <f t="shared" si="36"/>
        <v>0</v>
      </c>
    </row>
    <row r="160" spans="26:48" ht="15" customHeight="1" x14ac:dyDescent="0.2">
      <c r="Z160" s="243" t="str">
        <f>Shares!A160</f>
        <v/>
      </c>
      <c r="AA160" s="243" t="str">
        <f>Shares!B160</f>
        <v/>
      </c>
      <c r="AB160" s="243" t="str">
        <f>Shares!C160</f>
        <v/>
      </c>
      <c r="AC160" s="243" t="str">
        <f>Shares!D160</f>
        <v/>
      </c>
      <c r="AD160" s="243">
        <f>IF($Z160="",0,Shares!E160)</f>
        <v>0</v>
      </c>
      <c r="AE160" s="266">
        <f>IF($Z160="",0,Shares!J160*Shares!I160)</f>
        <v>0</v>
      </c>
      <c r="AF160" s="267">
        <f t="shared" si="35"/>
        <v>0</v>
      </c>
      <c r="AG160" s="266">
        <f>IF($Z160="",0,Shares!L160)</f>
        <v>0</v>
      </c>
      <c r="AH160" s="267">
        <f>IF($Z160="",0,Shares!M160)</f>
        <v>0</v>
      </c>
      <c r="AI160" s="243" t="str">
        <f>IF($Z160="","",RANK(AE160,$AE$2:$AE$1001)+COUNTIF($AE$2:AE160,AE160)-1)</f>
        <v/>
      </c>
      <c r="AJ160" s="243" t="str">
        <f>IF($AD160&lt;0,COUNT($AJ$1:AJ159)+1,"")</f>
        <v/>
      </c>
      <c r="AL160" s="243" t="str">
        <f>'All Ticker P&amp;L'!A160</f>
        <v/>
      </c>
      <c r="AM160" s="243" t="str">
        <f>'All Ticker P&amp;L'!B160</f>
        <v/>
      </c>
      <c r="AN160" s="243" t="str">
        <f>'All Ticker P&amp;L'!C160</f>
        <v/>
      </c>
      <c r="AO160" s="243" t="str">
        <f>'All Ticker P&amp;L'!D160</f>
        <v/>
      </c>
      <c r="AP160" s="243">
        <f>IF($AL160="",0,'All Ticker P&amp;L'!E160)</f>
        <v>0</v>
      </c>
      <c r="AQ160" s="266">
        <f>IF($AL160="",0,'All Ticker P&amp;L'!J160*'All Ticker P&amp;L'!I160)</f>
        <v>0</v>
      </c>
      <c r="AR160" s="266">
        <f>IF($AL160="",0,'All Ticker P&amp;L'!L160)</f>
        <v>0</v>
      </c>
      <c r="AS160" s="267">
        <f>IF($AL160="",0,'All Ticker P&amp;L'!M160)</f>
        <v>0</v>
      </c>
      <c r="AT160" s="243" t="str">
        <f>IF($AL160="","",RANK(AR160,$AR$2:$AR$1001)+COUNTIF($AR$2:AR160,AR160)-1)</f>
        <v/>
      </c>
      <c r="AU160" s="243" t="str">
        <f>IF($AL160="","",RANK(AV160,$AV$2:$AV$1001)+COUNTIF($AV$2:AV160,AV160)-1)</f>
        <v/>
      </c>
      <c r="AV160" s="266">
        <f t="shared" si="36"/>
        <v>0</v>
      </c>
    </row>
    <row r="161" spans="26:48" ht="15" customHeight="1" x14ac:dyDescent="0.2">
      <c r="Z161" s="243" t="str">
        <f>Shares!A161</f>
        <v/>
      </c>
      <c r="AA161" s="243" t="str">
        <f>Shares!B161</f>
        <v/>
      </c>
      <c r="AB161" s="243" t="str">
        <f>Shares!C161</f>
        <v/>
      </c>
      <c r="AC161" s="243" t="str">
        <f>Shares!D161</f>
        <v/>
      </c>
      <c r="AD161" s="243">
        <f>IF($Z161="",0,Shares!E161)</f>
        <v>0</v>
      </c>
      <c r="AE161" s="266">
        <f>IF($Z161="",0,Shares!J161*Shares!I161)</f>
        <v>0</v>
      </c>
      <c r="AF161" s="267">
        <f t="shared" si="35"/>
        <v>0</v>
      </c>
      <c r="AG161" s="266">
        <f>IF($Z161="",0,Shares!L161)</f>
        <v>0</v>
      </c>
      <c r="AH161" s="267">
        <f>IF($Z161="",0,Shares!M161)</f>
        <v>0</v>
      </c>
      <c r="AI161" s="243" t="str">
        <f>IF($Z161="","",RANK(AE161,$AE$2:$AE$1001)+COUNTIF($AE$2:AE161,AE161)-1)</f>
        <v/>
      </c>
      <c r="AJ161" s="243" t="str">
        <f>IF($AD161&lt;0,COUNT($AJ$1:AJ160)+1,"")</f>
        <v/>
      </c>
      <c r="AL161" s="243" t="str">
        <f>'All Ticker P&amp;L'!A161</f>
        <v/>
      </c>
      <c r="AM161" s="243" t="str">
        <f>'All Ticker P&amp;L'!B161</f>
        <v/>
      </c>
      <c r="AN161" s="243" t="str">
        <f>'All Ticker P&amp;L'!C161</f>
        <v/>
      </c>
      <c r="AO161" s="243" t="str">
        <f>'All Ticker P&amp;L'!D161</f>
        <v/>
      </c>
      <c r="AP161" s="243">
        <f>IF($AL161="",0,'All Ticker P&amp;L'!E161)</f>
        <v>0</v>
      </c>
      <c r="AQ161" s="266">
        <f>IF($AL161="",0,'All Ticker P&amp;L'!J161*'All Ticker P&amp;L'!I161)</f>
        <v>0</v>
      </c>
      <c r="AR161" s="266">
        <f>IF($AL161="",0,'All Ticker P&amp;L'!L161)</f>
        <v>0</v>
      </c>
      <c r="AS161" s="267">
        <f>IF($AL161="",0,'All Ticker P&amp;L'!M161)</f>
        <v>0</v>
      </c>
      <c r="AT161" s="243" t="str">
        <f>IF($AL161="","",RANK(AR161,$AR$2:$AR$1001)+COUNTIF($AR$2:AR161,AR161)-1)</f>
        <v/>
      </c>
      <c r="AU161" s="243" t="str">
        <f>IF($AL161="","",RANK(AV161,$AV$2:$AV$1001)+COUNTIF($AV$2:AV161,AV161)-1)</f>
        <v/>
      </c>
      <c r="AV161" s="266">
        <f t="shared" si="36"/>
        <v>0</v>
      </c>
    </row>
    <row r="162" spans="26:48" ht="15" customHeight="1" x14ac:dyDescent="0.2">
      <c r="Z162" s="243" t="str">
        <f>Shares!A162</f>
        <v/>
      </c>
      <c r="AA162" s="243" t="str">
        <f>Shares!B162</f>
        <v/>
      </c>
      <c r="AB162" s="243" t="str">
        <f>Shares!C162</f>
        <v/>
      </c>
      <c r="AC162" s="243" t="str">
        <f>Shares!D162</f>
        <v/>
      </c>
      <c r="AD162" s="243">
        <f>IF($Z162="",0,Shares!E162)</f>
        <v>0</v>
      </c>
      <c r="AE162" s="266">
        <f>IF($Z162="",0,Shares!J162*Shares!I162)</f>
        <v>0</v>
      </c>
      <c r="AF162" s="267">
        <f t="shared" si="35"/>
        <v>0</v>
      </c>
      <c r="AG162" s="266">
        <f>IF($Z162="",0,Shares!L162)</f>
        <v>0</v>
      </c>
      <c r="AH162" s="267">
        <f>IF($Z162="",0,Shares!M162)</f>
        <v>0</v>
      </c>
      <c r="AI162" s="243" t="str">
        <f>IF($Z162="","",RANK(AE162,$AE$2:$AE$1001)+COUNTIF($AE$2:AE162,AE162)-1)</f>
        <v/>
      </c>
      <c r="AJ162" s="243" t="str">
        <f>IF($AD162&lt;0,COUNT($AJ$1:AJ161)+1,"")</f>
        <v/>
      </c>
      <c r="AL162" s="243" t="str">
        <f>'All Ticker P&amp;L'!A162</f>
        <v/>
      </c>
      <c r="AM162" s="243" t="str">
        <f>'All Ticker P&amp;L'!B162</f>
        <v/>
      </c>
      <c r="AN162" s="243" t="str">
        <f>'All Ticker P&amp;L'!C162</f>
        <v/>
      </c>
      <c r="AO162" s="243" t="str">
        <f>'All Ticker P&amp;L'!D162</f>
        <v/>
      </c>
      <c r="AP162" s="243">
        <f>IF($AL162="",0,'All Ticker P&amp;L'!E162)</f>
        <v>0</v>
      </c>
      <c r="AQ162" s="266">
        <f>IF($AL162="",0,'All Ticker P&amp;L'!J162*'All Ticker P&amp;L'!I162)</f>
        <v>0</v>
      </c>
      <c r="AR162" s="266">
        <f>IF($AL162="",0,'All Ticker P&amp;L'!L162)</f>
        <v>0</v>
      </c>
      <c r="AS162" s="267">
        <f>IF($AL162="",0,'All Ticker P&amp;L'!M162)</f>
        <v>0</v>
      </c>
      <c r="AT162" s="243" t="str">
        <f>IF($AL162="","",RANK(AR162,$AR$2:$AR$1001)+COUNTIF($AR$2:AR162,AR162)-1)</f>
        <v/>
      </c>
      <c r="AU162" s="243" t="str">
        <f>IF($AL162="","",RANK(AV162,$AV$2:$AV$1001)+COUNTIF($AV$2:AV162,AV162)-1)</f>
        <v/>
      </c>
      <c r="AV162" s="266">
        <f t="shared" si="36"/>
        <v>0</v>
      </c>
    </row>
    <row r="163" spans="26:48" ht="15" customHeight="1" x14ac:dyDescent="0.2">
      <c r="Z163" s="243" t="str">
        <f>Shares!A163</f>
        <v/>
      </c>
      <c r="AA163" s="243" t="str">
        <f>Shares!B163</f>
        <v/>
      </c>
      <c r="AB163" s="243" t="str">
        <f>Shares!C163</f>
        <v/>
      </c>
      <c r="AC163" s="243" t="str">
        <f>Shares!D163</f>
        <v/>
      </c>
      <c r="AD163" s="243">
        <f>IF($Z163="",0,Shares!E163)</f>
        <v>0</v>
      </c>
      <c r="AE163" s="266">
        <f>IF($Z163="",0,Shares!J163*Shares!I163)</f>
        <v>0</v>
      </c>
      <c r="AF163" s="267">
        <f t="shared" si="35"/>
        <v>0</v>
      </c>
      <c r="AG163" s="266">
        <f>IF($Z163="",0,Shares!L163)</f>
        <v>0</v>
      </c>
      <c r="AH163" s="267">
        <f>IF($Z163="",0,Shares!M163)</f>
        <v>0</v>
      </c>
      <c r="AI163" s="243" t="str">
        <f>IF($Z163="","",RANK(AE163,$AE$2:$AE$1001)+COUNTIF($AE$2:AE163,AE163)-1)</f>
        <v/>
      </c>
      <c r="AJ163" s="243" t="str">
        <f>IF($AD163&lt;0,COUNT($AJ$1:AJ162)+1,"")</f>
        <v/>
      </c>
      <c r="AL163" s="243" t="str">
        <f>'All Ticker P&amp;L'!A163</f>
        <v/>
      </c>
      <c r="AM163" s="243" t="str">
        <f>'All Ticker P&amp;L'!B163</f>
        <v/>
      </c>
      <c r="AN163" s="243" t="str">
        <f>'All Ticker P&amp;L'!C163</f>
        <v/>
      </c>
      <c r="AO163" s="243" t="str">
        <f>'All Ticker P&amp;L'!D163</f>
        <v/>
      </c>
      <c r="AP163" s="243">
        <f>IF($AL163="",0,'All Ticker P&amp;L'!E163)</f>
        <v>0</v>
      </c>
      <c r="AQ163" s="266">
        <f>IF($AL163="",0,'All Ticker P&amp;L'!J163*'All Ticker P&amp;L'!I163)</f>
        <v>0</v>
      </c>
      <c r="AR163" s="266">
        <f>IF($AL163="",0,'All Ticker P&amp;L'!L163)</f>
        <v>0</v>
      </c>
      <c r="AS163" s="267">
        <f>IF($AL163="",0,'All Ticker P&amp;L'!M163)</f>
        <v>0</v>
      </c>
      <c r="AT163" s="243" t="str">
        <f>IF($AL163="","",RANK(AR163,$AR$2:$AR$1001)+COUNTIF($AR$2:AR163,AR163)-1)</f>
        <v/>
      </c>
      <c r="AU163" s="243" t="str">
        <f>IF($AL163="","",RANK(AV163,$AV$2:$AV$1001)+COUNTIF($AV$2:AV163,AV163)-1)</f>
        <v/>
      </c>
      <c r="AV163" s="266">
        <f t="shared" si="36"/>
        <v>0</v>
      </c>
    </row>
    <row r="164" spans="26:48" ht="15" customHeight="1" x14ac:dyDescent="0.2">
      <c r="Z164" s="243" t="str">
        <f>Shares!A164</f>
        <v/>
      </c>
      <c r="AA164" s="243" t="str">
        <f>Shares!B164</f>
        <v/>
      </c>
      <c r="AB164" s="243" t="str">
        <f>Shares!C164</f>
        <v/>
      </c>
      <c r="AC164" s="243" t="str">
        <f>Shares!D164</f>
        <v/>
      </c>
      <c r="AD164" s="243">
        <f>IF($Z164="",0,Shares!E164)</f>
        <v>0</v>
      </c>
      <c r="AE164" s="266">
        <f>IF($Z164="",0,Shares!J164*Shares!I164)</f>
        <v>0</v>
      </c>
      <c r="AF164" s="267">
        <f t="shared" si="35"/>
        <v>0</v>
      </c>
      <c r="AG164" s="266">
        <f>IF($Z164="",0,Shares!L164)</f>
        <v>0</v>
      </c>
      <c r="AH164" s="267">
        <f>IF($Z164="",0,Shares!M164)</f>
        <v>0</v>
      </c>
      <c r="AI164" s="243" t="str">
        <f>IF($Z164="","",RANK(AE164,$AE$2:$AE$1001)+COUNTIF($AE$2:AE164,AE164)-1)</f>
        <v/>
      </c>
      <c r="AJ164" s="243" t="str">
        <f>IF($AD164&lt;0,COUNT($AJ$1:AJ163)+1,"")</f>
        <v/>
      </c>
      <c r="AL164" s="243" t="str">
        <f>'All Ticker P&amp;L'!A164</f>
        <v/>
      </c>
      <c r="AM164" s="243" t="str">
        <f>'All Ticker P&amp;L'!B164</f>
        <v/>
      </c>
      <c r="AN164" s="243" t="str">
        <f>'All Ticker P&amp;L'!C164</f>
        <v/>
      </c>
      <c r="AO164" s="243" t="str">
        <f>'All Ticker P&amp;L'!D164</f>
        <v/>
      </c>
      <c r="AP164" s="243">
        <f>IF($AL164="",0,'All Ticker P&amp;L'!E164)</f>
        <v>0</v>
      </c>
      <c r="AQ164" s="266">
        <f>IF($AL164="",0,'All Ticker P&amp;L'!J164*'All Ticker P&amp;L'!I164)</f>
        <v>0</v>
      </c>
      <c r="AR164" s="266">
        <f>IF($AL164="",0,'All Ticker P&amp;L'!L164)</f>
        <v>0</v>
      </c>
      <c r="AS164" s="267">
        <f>IF($AL164="",0,'All Ticker P&amp;L'!M164)</f>
        <v>0</v>
      </c>
      <c r="AT164" s="243" t="str">
        <f>IF($AL164="","",RANK(AR164,$AR$2:$AR$1001)+COUNTIF($AR$2:AR164,AR164)-1)</f>
        <v/>
      </c>
      <c r="AU164" s="243" t="str">
        <f>IF($AL164="","",RANK(AV164,$AV$2:$AV$1001)+COUNTIF($AV$2:AV164,AV164)-1)</f>
        <v/>
      </c>
      <c r="AV164" s="266">
        <f t="shared" si="36"/>
        <v>0</v>
      </c>
    </row>
    <row r="165" spans="26:48" ht="15" customHeight="1" x14ac:dyDescent="0.2">
      <c r="Z165" s="243" t="str">
        <f>Shares!A165</f>
        <v/>
      </c>
      <c r="AA165" s="243" t="str">
        <f>Shares!B165</f>
        <v/>
      </c>
      <c r="AB165" s="243" t="str">
        <f>Shares!C165</f>
        <v/>
      </c>
      <c r="AC165" s="243" t="str">
        <f>Shares!D165</f>
        <v/>
      </c>
      <c r="AD165" s="243">
        <f>IF($Z165="",0,Shares!E165)</f>
        <v>0</v>
      </c>
      <c r="AE165" s="266">
        <f>IF($Z165="",0,Shares!J165*Shares!I165)</f>
        <v>0</v>
      </c>
      <c r="AF165" s="267">
        <f t="shared" si="35"/>
        <v>0</v>
      </c>
      <c r="AG165" s="266">
        <f>IF($Z165="",0,Shares!L165)</f>
        <v>0</v>
      </c>
      <c r="AH165" s="267">
        <f>IF($Z165="",0,Shares!M165)</f>
        <v>0</v>
      </c>
      <c r="AI165" s="243" t="str">
        <f>IF($Z165="","",RANK(AE165,$AE$2:$AE$1001)+COUNTIF($AE$2:AE165,AE165)-1)</f>
        <v/>
      </c>
      <c r="AJ165" s="243" t="str">
        <f>IF($AD165&lt;0,COUNT($AJ$1:AJ164)+1,"")</f>
        <v/>
      </c>
      <c r="AL165" s="243" t="str">
        <f>'All Ticker P&amp;L'!A165</f>
        <v/>
      </c>
      <c r="AM165" s="243" t="str">
        <f>'All Ticker P&amp;L'!B165</f>
        <v/>
      </c>
      <c r="AN165" s="243" t="str">
        <f>'All Ticker P&amp;L'!C165</f>
        <v/>
      </c>
      <c r="AO165" s="243" t="str">
        <f>'All Ticker P&amp;L'!D165</f>
        <v/>
      </c>
      <c r="AP165" s="243">
        <f>IF($AL165="",0,'All Ticker P&amp;L'!E165)</f>
        <v>0</v>
      </c>
      <c r="AQ165" s="266">
        <f>IF($AL165="",0,'All Ticker P&amp;L'!J165*'All Ticker P&amp;L'!I165)</f>
        <v>0</v>
      </c>
      <c r="AR165" s="266">
        <f>IF($AL165="",0,'All Ticker P&amp;L'!L165)</f>
        <v>0</v>
      </c>
      <c r="AS165" s="267">
        <f>IF($AL165="",0,'All Ticker P&amp;L'!M165)</f>
        <v>0</v>
      </c>
      <c r="AT165" s="243" t="str">
        <f>IF($AL165="","",RANK(AR165,$AR$2:$AR$1001)+COUNTIF($AR$2:AR165,AR165)-1)</f>
        <v/>
      </c>
      <c r="AU165" s="243" t="str">
        <f>IF($AL165="","",RANK(AV165,$AV$2:$AV$1001)+COUNTIF($AV$2:AV165,AV165)-1)</f>
        <v/>
      </c>
      <c r="AV165" s="266">
        <f t="shared" si="36"/>
        <v>0</v>
      </c>
    </row>
    <row r="166" spans="26:48" ht="15" customHeight="1" x14ac:dyDescent="0.2">
      <c r="Z166" s="243" t="str">
        <f>Shares!A166</f>
        <v/>
      </c>
      <c r="AA166" s="243" t="str">
        <f>Shares!B166</f>
        <v/>
      </c>
      <c r="AB166" s="243" t="str">
        <f>Shares!C166</f>
        <v/>
      </c>
      <c r="AC166" s="243" t="str">
        <f>Shares!D166</f>
        <v/>
      </c>
      <c r="AD166" s="243">
        <f>IF($Z166="",0,Shares!E166)</f>
        <v>0</v>
      </c>
      <c r="AE166" s="266">
        <f>IF($Z166="",0,Shares!J166*Shares!I166)</f>
        <v>0</v>
      </c>
      <c r="AF166" s="267">
        <f t="shared" si="35"/>
        <v>0</v>
      </c>
      <c r="AG166" s="266">
        <f>IF($Z166="",0,Shares!L166)</f>
        <v>0</v>
      </c>
      <c r="AH166" s="267">
        <f>IF($Z166="",0,Shares!M166)</f>
        <v>0</v>
      </c>
      <c r="AI166" s="243" t="str">
        <f>IF($Z166="","",RANK(AE166,$AE$2:$AE$1001)+COUNTIF($AE$2:AE166,AE166)-1)</f>
        <v/>
      </c>
      <c r="AJ166" s="243" t="str">
        <f>IF($AD166&lt;0,COUNT($AJ$1:AJ165)+1,"")</f>
        <v/>
      </c>
      <c r="AL166" s="243" t="str">
        <f>'All Ticker P&amp;L'!A166</f>
        <v/>
      </c>
      <c r="AM166" s="243" t="str">
        <f>'All Ticker P&amp;L'!B166</f>
        <v/>
      </c>
      <c r="AN166" s="243" t="str">
        <f>'All Ticker P&amp;L'!C166</f>
        <v/>
      </c>
      <c r="AO166" s="243" t="str">
        <f>'All Ticker P&amp;L'!D166</f>
        <v/>
      </c>
      <c r="AP166" s="243">
        <f>IF($AL166="",0,'All Ticker P&amp;L'!E166)</f>
        <v>0</v>
      </c>
      <c r="AQ166" s="266">
        <f>IF($AL166="",0,'All Ticker P&amp;L'!J166*'All Ticker P&amp;L'!I166)</f>
        <v>0</v>
      </c>
      <c r="AR166" s="266">
        <f>IF($AL166="",0,'All Ticker P&amp;L'!L166)</f>
        <v>0</v>
      </c>
      <c r="AS166" s="267">
        <f>IF($AL166="",0,'All Ticker P&amp;L'!M166)</f>
        <v>0</v>
      </c>
      <c r="AT166" s="243" t="str">
        <f>IF($AL166="","",RANK(AR166,$AR$2:$AR$1001)+COUNTIF($AR$2:AR166,AR166)-1)</f>
        <v/>
      </c>
      <c r="AU166" s="243" t="str">
        <f>IF($AL166="","",RANK(AV166,$AV$2:$AV$1001)+COUNTIF($AV$2:AV166,AV166)-1)</f>
        <v/>
      </c>
      <c r="AV166" s="266">
        <f t="shared" si="36"/>
        <v>0</v>
      </c>
    </row>
    <row r="167" spans="26:48" ht="15" customHeight="1" x14ac:dyDescent="0.2">
      <c r="Z167" s="243" t="str">
        <f>Shares!A167</f>
        <v/>
      </c>
      <c r="AA167" s="243" t="str">
        <f>Shares!B167</f>
        <v/>
      </c>
      <c r="AB167" s="243" t="str">
        <f>Shares!C167</f>
        <v/>
      </c>
      <c r="AC167" s="243" t="str">
        <f>Shares!D167</f>
        <v/>
      </c>
      <c r="AD167" s="243">
        <f>IF($Z167="",0,Shares!E167)</f>
        <v>0</v>
      </c>
      <c r="AE167" s="266">
        <f>IF($Z167="",0,Shares!J167*Shares!I167)</f>
        <v>0</v>
      </c>
      <c r="AF167" s="267">
        <f t="shared" si="35"/>
        <v>0</v>
      </c>
      <c r="AG167" s="266">
        <f>IF($Z167="",0,Shares!L167)</f>
        <v>0</v>
      </c>
      <c r="AH167" s="267">
        <f>IF($Z167="",0,Shares!M167)</f>
        <v>0</v>
      </c>
      <c r="AI167" s="243" t="str">
        <f>IF($Z167="","",RANK(AE167,$AE$2:$AE$1001)+COUNTIF($AE$2:AE167,AE167)-1)</f>
        <v/>
      </c>
      <c r="AJ167" s="243" t="str">
        <f>IF($AD167&lt;0,COUNT($AJ$1:AJ166)+1,"")</f>
        <v/>
      </c>
      <c r="AL167" s="243" t="str">
        <f>'All Ticker P&amp;L'!A167</f>
        <v/>
      </c>
      <c r="AM167" s="243" t="str">
        <f>'All Ticker P&amp;L'!B167</f>
        <v/>
      </c>
      <c r="AN167" s="243" t="str">
        <f>'All Ticker P&amp;L'!C167</f>
        <v/>
      </c>
      <c r="AO167" s="243" t="str">
        <f>'All Ticker P&amp;L'!D167</f>
        <v/>
      </c>
      <c r="AP167" s="243">
        <f>IF($AL167="",0,'All Ticker P&amp;L'!E167)</f>
        <v>0</v>
      </c>
      <c r="AQ167" s="266">
        <f>IF($AL167="",0,'All Ticker P&amp;L'!J167*'All Ticker P&amp;L'!I167)</f>
        <v>0</v>
      </c>
      <c r="AR167" s="266">
        <f>IF($AL167="",0,'All Ticker P&amp;L'!L167)</f>
        <v>0</v>
      </c>
      <c r="AS167" s="267">
        <f>IF($AL167="",0,'All Ticker P&amp;L'!M167)</f>
        <v>0</v>
      </c>
      <c r="AT167" s="243" t="str">
        <f>IF($AL167="","",RANK(AR167,$AR$2:$AR$1001)+COUNTIF($AR$2:AR167,AR167)-1)</f>
        <v/>
      </c>
      <c r="AU167" s="243" t="str">
        <f>IF($AL167="","",RANK(AV167,$AV$2:$AV$1001)+COUNTIF($AV$2:AV167,AV167)-1)</f>
        <v/>
      </c>
      <c r="AV167" s="266">
        <f t="shared" si="36"/>
        <v>0</v>
      </c>
    </row>
    <row r="168" spans="26:48" ht="15" customHeight="1" x14ac:dyDescent="0.2">
      <c r="Z168" s="243" t="str">
        <f>Shares!A168</f>
        <v/>
      </c>
      <c r="AA168" s="243" t="str">
        <f>Shares!B168</f>
        <v/>
      </c>
      <c r="AB168" s="243" t="str">
        <f>Shares!C168</f>
        <v/>
      </c>
      <c r="AC168" s="243" t="str">
        <f>Shares!D168</f>
        <v/>
      </c>
      <c r="AD168" s="243">
        <f>IF($Z168="",0,Shares!E168)</f>
        <v>0</v>
      </c>
      <c r="AE168" s="266">
        <f>IF($Z168="",0,Shares!J168*Shares!I168)</f>
        <v>0</v>
      </c>
      <c r="AF168" s="267">
        <f t="shared" si="35"/>
        <v>0</v>
      </c>
      <c r="AG168" s="266">
        <f>IF($Z168="",0,Shares!L168)</f>
        <v>0</v>
      </c>
      <c r="AH168" s="267">
        <f>IF($Z168="",0,Shares!M168)</f>
        <v>0</v>
      </c>
      <c r="AI168" s="243" t="str">
        <f>IF($Z168="","",RANK(AE168,$AE$2:$AE$1001)+COUNTIF($AE$2:AE168,AE168)-1)</f>
        <v/>
      </c>
      <c r="AJ168" s="243" t="str">
        <f>IF($AD168&lt;0,COUNT($AJ$1:AJ167)+1,"")</f>
        <v/>
      </c>
      <c r="AL168" s="243" t="str">
        <f>'All Ticker P&amp;L'!A168</f>
        <v/>
      </c>
      <c r="AM168" s="243" t="str">
        <f>'All Ticker P&amp;L'!B168</f>
        <v/>
      </c>
      <c r="AN168" s="243" t="str">
        <f>'All Ticker P&amp;L'!C168</f>
        <v/>
      </c>
      <c r="AO168" s="243" t="str">
        <f>'All Ticker P&amp;L'!D168</f>
        <v/>
      </c>
      <c r="AP168" s="243">
        <f>IF($AL168="",0,'All Ticker P&amp;L'!E168)</f>
        <v>0</v>
      </c>
      <c r="AQ168" s="266">
        <f>IF($AL168="",0,'All Ticker P&amp;L'!J168*'All Ticker P&amp;L'!I168)</f>
        <v>0</v>
      </c>
      <c r="AR168" s="266">
        <f>IF($AL168="",0,'All Ticker P&amp;L'!L168)</f>
        <v>0</v>
      </c>
      <c r="AS168" s="267">
        <f>IF($AL168="",0,'All Ticker P&amp;L'!M168)</f>
        <v>0</v>
      </c>
      <c r="AT168" s="243" t="str">
        <f>IF($AL168="","",RANK(AR168,$AR$2:$AR$1001)+COUNTIF($AR$2:AR168,AR168)-1)</f>
        <v/>
      </c>
      <c r="AU168" s="243" t="str">
        <f>IF($AL168="","",RANK(AV168,$AV$2:$AV$1001)+COUNTIF($AV$2:AV168,AV168)-1)</f>
        <v/>
      </c>
      <c r="AV168" s="266">
        <f t="shared" si="36"/>
        <v>0</v>
      </c>
    </row>
    <row r="169" spans="26:48" ht="15" customHeight="1" x14ac:dyDescent="0.2">
      <c r="Z169" s="243" t="str">
        <f>Shares!A169</f>
        <v/>
      </c>
      <c r="AA169" s="243" t="str">
        <f>Shares!B169</f>
        <v/>
      </c>
      <c r="AB169" s="243" t="str">
        <f>Shares!C169</f>
        <v/>
      </c>
      <c r="AC169" s="243" t="str">
        <f>Shares!D169</f>
        <v/>
      </c>
      <c r="AD169" s="243">
        <f>IF($Z169="",0,Shares!E169)</f>
        <v>0</v>
      </c>
      <c r="AE169" s="266">
        <f>IF($Z169="",0,Shares!J169*Shares!I169)</f>
        <v>0</v>
      </c>
      <c r="AF169" s="267">
        <f t="shared" si="35"/>
        <v>0</v>
      </c>
      <c r="AG169" s="266">
        <f>IF($Z169="",0,Shares!L169)</f>
        <v>0</v>
      </c>
      <c r="AH169" s="267">
        <f>IF($Z169="",0,Shares!M169)</f>
        <v>0</v>
      </c>
      <c r="AI169" s="243" t="str">
        <f>IF($Z169="","",RANK(AE169,$AE$2:$AE$1001)+COUNTIF($AE$2:AE169,AE169)-1)</f>
        <v/>
      </c>
      <c r="AJ169" s="243" t="str">
        <f>IF($AD169&lt;0,COUNT($AJ$1:AJ168)+1,"")</f>
        <v/>
      </c>
      <c r="AL169" s="243" t="str">
        <f>'All Ticker P&amp;L'!A169</f>
        <v/>
      </c>
      <c r="AM169" s="243" t="str">
        <f>'All Ticker P&amp;L'!B169</f>
        <v/>
      </c>
      <c r="AN169" s="243" t="str">
        <f>'All Ticker P&amp;L'!C169</f>
        <v/>
      </c>
      <c r="AO169" s="243" t="str">
        <f>'All Ticker P&amp;L'!D169</f>
        <v/>
      </c>
      <c r="AP169" s="243">
        <f>IF($AL169="",0,'All Ticker P&amp;L'!E169)</f>
        <v>0</v>
      </c>
      <c r="AQ169" s="266">
        <f>IF($AL169="",0,'All Ticker P&amp;L'!J169*'All Ticker P&amp;L'!I169)</f>
        <v>0</v>
      </c>
      <c r="AR169" s="266">
        <f>IF($AL169="",0,'All Ticker P&amp;L'!L169)</f>
        <v>0</v>
      </c>
      <c r="AS169" s="267">
        <f>IF($AL169="",0,'All Ticker P&amp;L'!M169)</f>
        <v>0</v>
      </c>
      <c r="AT169" s="243" t="str">
        <f>IF($AL169="","",RANK(AR169,$AR$2:$AR$1001)+COUNTIF($AR$2:AR169,AR169)-1)</f>
        <v/>
      </c>
      <c r="AU169" s="243" t="str">
        <f>IF($AL169="","",RANK(AV169,$AV$2:$AV$1001)+COUNTIF($AV$2:AV169,AV169)-1)</f>
        <v/>
      </c>
      <c r="AV169" s="266">
        <f t="shared" si="36"/>
        <v>0</v>
      </c>
    </row>
    <row r="170" spans="26:48" ht="15" customHeight="1" x14ac:dyDescent="0.2">
      <c r="Z170" s="243" t="str">
        <f>Shares!A170</f>
        <v/>
      </c>
      <c r="AA170" s="243" t="str">
        <f>Shares!B170</f>
        <v/>
      </c>
      <c r="AB170" s="243" t="str">
        <f>Shares!C170</f>
        <v/>
      </c>
      <c r="AC170" s="243" t="str">
        <f>Shares!D170</f>
        <v/>
      </c>
      <c r="AD170" s="243">
        <f>IF($Z170="",0,Shares!E170)</f>
        <v>0</v>
      </c>
      <c r="AE170" s="266">
        <f>IF($Z170="",0,Shares!J170*Shares!I170)</f>
        <v>0</v>
      </c>
      <c r="AF170" s="267">
        <f t="shared" si="35"/>
        <v>0</v>
      </c>
      <c r="AG170" s="266">
        <f>IF($Z170="",0,Shares!L170)</f>
        <v>0</v>
      </c>
      <c r="AH170" s="267">
        <f>IF($Z170="",0,Shares!M170)</f>
        <v>0</v>
      </c>
      <c r="AI170" s="243" t="str">
        <f>IF($Z170="","",RANK(AE170,$AE$2:$AE$1001)+COUNTIF($AE$2:AE170,AE170)-1)</f>
        <v/>
      </c>
      <c r="AJ170" s="243" t="str">
        <f>IF($AD170&lt;0,COUNT($AJ$1:AJ169)+1,"")</f>
        <v/>
      </c>
      <c r="AL170" s="243" t="str">
        <f>'All Ticker P&amp;L'!A170</f>
        <v/>
      </c>
      <c r="AM170" s="243" t="str">
        <f>'All Ticker P&amp;L'!B170</f>
        <v/>
      </c>
      <c r="AN170" s="243" t="str">
        <f>'All Ticker P&amp;L'!C170</f>
        <v/>
      </c>
      <c r="AO170" s="243" t="str">
        <f>'All Ticker P&amp;L'!D170</f>
        <v/>
      </c>
      <c r="AP170" s="243">
        <f>IF($AL170="",0,'All Ticker P&amp;L'!E170)</f>
        <v>0</v>
      </c>
      <c r="AQ170" s="266">
        <f>IF($AL170="",0,'All Ticker P&amp;L'!J170*'All Ticker P&amp;L'!I170)</f>
        <v>0</v>
      </c>
      <c r="AR170" s="266">
        <f>IF($AL170="",0,'All Ticker P&amp;L'!L170)</f>
        <v>0</v>
      </c>
      <c r="AS170" s="267">
        <f>IF($AL170="",0,'All Ticker P&amp;L'!M170)</f>
        <v>0</v>
      </c>
      <c r="AT170" s="243" t="str">
        <f>IF($AL170="","",RANK(AR170,$AR$2:$AR$1001)+COUNTIF($AR$2:AR170,AR170)-1)</f>
        <v/>
      </c>
      <c r="AU170" s="243" t="str">
        <f>IF($AL170="","",RANK(AV170,$AV$2:$AV$1001)+COUNTIF($AV$2:AV170,AV170)-1)</f>
        <v/>
      </c>
      <c r="AV170" s="266">
        <f t="shared" si="36"/>
        <v>0</v>
      </c>
    </row>
    <row r="171" spans="26:48" ht="15" customHeight="1" x14ac:dyDescent="0.2">
      <c r="Z171" s="243" t="str">
        <f>Shares!A171</f>
        <v/>
      </c>
      <c r="AA171" s="243" t="str">
        <f>Shares!B171</f>
        <v/>
      </c>
      <c r="AB171" s="243" t="str">
        <f>Shares!C171</f>
        <v/>
      </c>
      <c r="AC171" s="243" t="str">
        <f>Shares!D171</f>
        <v/>
      </c>
      <c r="AD171" s="243">
        <f>IF($Z171="",0,Shares!E171)</f>
        <v>0</v>
      </c>
      <c r="AE171" s="266">
        <f>IF($Z171="",0,Shares!J171*Shares!I171)</f>
        <v>0</v>
      </c>
      <c r="AF171" s="267">
        <f t="shared" si="35"/>
        <v>0</v>
      </c>
      <c r="AG171" s="266">
        <f>IF($Z171="",0,Shares!L171)</f>
        <v>0</v>
      </c>
      <c r="AH171" s="267">
        <f>IF($Z171="",0,Shares!M171)</f>
        <v>0</v>
      </c>
      <c r="AI171" s="243" t="str">
        <f>IF($Z171="","",RANK(AE171,$AE$2:$AE$1001)+COUNTIF($AE$2:AE171,AE171)-1)</f>
        <v/>
      </c>
      <c r="AJ171" s="243" t="str">
        <f>IF($AD171&lt;0,COUNT($AJ$1:AJ170)+1,"")</f>
        <v/>
      </c>
      <c r="AL171" s="243" t="str">
        <f>'All Ticker P&amp;L'!A171</f>
        <v/>
      </c>
      <c r="AM171" s="243" t="str">
        <f>'All Ticker P&amp;L'!B171</f>
        <v/>
      </c>
      <c r="AN171" s="243" t="str">
        <f>'All Ticker P&amp;L'!C171</f>
        <v/>
      </c>
      <c r="AO171" s="243" t="str">
        <f>'All Ticker P&amp;L'!D171</f>
        <v/>
      </c>
      <c r="AP171" s="243">
        <f>IF($AL171="",0,'All Ticker P&amp;L'!E171)</f>
        <v>0</v>
      </c>
      <c r="AQ171" s="266">
        <f>IF($AL171="",0,'All Ticker P&amp;L'!J171*'All Ticker P&amp;L'!I171)</f>
        <v>0</v>
      </c>
      <c r="AR171" s="266">
        <f>IF($AL171="",0,'All Ticker P&amp;L'!L171)</f>
        <v>0</v>
      </c>
      <c r="AS171" s="267">
        <f>IF($AL171="",0,'All Ticker P&amp;L'!M171)</f>
        <v>0</v>
      </c>
      <c r="AT171" s="243" t="str">
        <f>IF($AL171="","",RANK(AR171,$AR$2:$AR$1001)+COUNTIF($AR$2:AR171,AR171)-1)</f>
        <v/>
      </c>
      <c r="AU171" s="243" t="str">
        <f>IF($AL171="","",RANK(AV171,$AV$2:$AV$1001)+COUNTIF($AV$2:AV171,AV171)-1)</f>
        <v/>
      </c>
      <c r="AV171" s="266">
        <f t="shared" si="36"/>
        <v>0</v>
      </c>
    </row>
    <row r="172" spans="26:48" ht="15" customHeight="1" x14ac:dyDescent="0.2">
      <c r="Z172" s="243" t="str">
        <f>Shares!A172</f>
        <v/>
      </c>
      <c r="AA172" s="243" t="str">
        <f>Shares!B172</f>
        <v/>
      </c>
      <c r="AB172" s="243" t="str">
        <f>Shares!C172</f>
        <v/>
      </c>
      <c r="AC172" s="243" t="str">
        <f>Shares!D172</f>
        <v/>
      </c>
      <c r="AD172" s="243">
        <f>IF($Z172="",0,Shares!E172)</f>
        <v>0</v>
      </c>
      <c r="AE172" s="266">
        <f>IF($Z172="",0,Shares!J172*Shares!I172)</f>
        <v>0</v>
      </c>
      <c r="AF172" s="267">
        <f t="shared" si="35"/>
        <v>0</v>
      </c>
      <c r="AG172" s="266">
        <f>IF($Z172="",0,Shares!L172)</f>
        <v>0</v>
      </c>
      <c r="AH172" s="267">
        <f>IF($Z172="",0,Shares!M172)</f>
        <v>0</v>
      </c>
      <c r="AI172" s="243" t="str">
        <f>IF($Z172="","",RANK(AE172,$AE$2:$AE$1001)+COUNTIF($AE$2:AE172,AE172)-1)</f>
        <v/>
      </c>
      <c r="AJ172" s="243" t="str">
        <f>IF($AD172&lt;0,COUNT($AJ$1:AJ171)+1,"")</f>
        <v/>
      </c>
      <c r="AL172" s="243" t="str">
        <f>'All Ticker P&amp;L'!A172</f>
        <v/>
      </c>
      <c r="AM172" s="243" t="str">
        <f>'All Ticker P&amp;L'!B172</f>
        <v/>
      </c>
      <c r="AN172" s="243" t="str">
        <f>'All Ticker P&amp;L'!C172</f>
        <v/>
      </c>
      <c r="AO172" s="243" t="str">
        <f>'All Ticker P&amp;L'!D172</f>
        <v/>
      </c>
      <c r="AP172" s="243">
        <f>IF($AL172="",0,'All Ticker P&amp;L'!E172)</f>
        <v>0</v>
      </c>
      <c r="AQ172" s="266">
        <f>IF($AL172="",0,'All Ticker P&amp;L'!J172*'All Ticker P&amp;L'!I172)</f>
        <v>0</v>
      </c>
      <c r="AR172" s="266">
        <f>IF($AL172="",0,'All Ticker P&amp;L'!L172)</f>
        <v>0</v>
      </c>
      <c r="AS172" s="267">
        <f>IF($AL172="",0,'All Ticker P&amp;L'!M172)</f>
        <v>0</v>
      </c>
      <c r="AT172" s="243" t="str">
        <f>IF($AL172="","",RANK(AR172,$AR$2:$AR$1001)+COUNTIF($AR$2:AR172,AR172)-1)</f>
        <v/>
      </c>
      <c r="AU172" s="243" t="str">
        <f>IF($AL172="","",RANK(AV172,$AV$2:$AV$1001)+COUNTIF($AV$2:AV172,AV172)-1)</f>
        <v/>
      </c>
      <c r="AV172" s="266">
        <f t="shared" si="36"/>
        <v>0</v>
      </c>
    </row>
    <row r="173" spans="26:48" ht="15" customHeight="1" x14ac:dyDescent="0.2">
      <c r="Z173" s="243" t="str">
        <f>Shares!A173</f>
        <v/>
      </c>
      <c r="AA173" s="243" t="str">
        <f>Shares!B173</f>
        <v/>
      </c>
      <c r="AB173" s="243" t="str">
        <f>Shares!C173</f>
        <v/>
      </c>
      <c r="AC173" s="243" t="str">
        <f>Shares!D173</f>
        <v/>
      </c>
      <c r="AD173" s="243">
        <f>IF($Z173="",0,Shares!E173)</f>
        <v>0</v>
      </c>
      <c r="AE173" s="266">
        <f>IF($Z173="",0,Shares!J173*Shares!I173)</f>
        <v>0</v>
      </c>
      <c r="AF173" s="267">
        <f t="shared" si="35"/>
        <v>0</v>
      </c>
      <c r="AG173" s="266">
        <f>IF($Z173="",0,Shares!L173)</f>
        <v>0</v>
      </c>
      <c r="AH173" s="267">
        <f>IF($Z173="",0,Shares!M173)</f>
        <v>0</v>
      </c>
      <c r="AI173" s="243" t="str">
        <f>IF($Z173="","",RANK(AE173,$AE$2:$AE$1001)+COUNTIF($AE$2:AE173,AE173)-1)</f>
        <v/>
      </c>
      <c r="AJ173" s="243" t="str">
        <f>IF($AD173&lt;0,COUNT($AJ$1:AJ172)+1,"")</f>
        <v/>
      </c>
      <c r="AL173" s="243" t="str">
        <f>'All Ticker P&amp;L'!A173</f>
        <v/>
      </c>
      <c r="AM173" s="243" t="str">
        <f>'All Ticker P&amp;L'!B173</f>
        <v/>
      </c>
      <c r="AN173" s="243" t="str">
        <f>'All Ticker P&amp;L'!C173</f>
        <v/>
      </c>
      <c r="AO173" s="243" t="str">
        <f>'All Ticker P&amp;L'!D173</f>
        <v/>
      </c>
      <c r="AP173" s="243">
        <f>IF($AL173="",0,'All Ticker P&amp;L'!E173)</f>
        <v>0</v>
      </c>
      <c r="AQ173" s="266">
        <f>IF($AL173="",0,'All Ticker P&amp;L'!J173*'All Ticker P&amp;L'!I173)</f>
        <v>0</v>
      </c>
      <c r="AR173" s="266">
        <f>IF($AL173="",0,'All Ticker P&amp;L'!L173)</f>
        <v>0</v>
      </c>
      <c r="AS173" s="267">
        <f>IF($AL173="",0,'All Ticker P&amp;L'!M173)</f>
        <v>0</v>
      </c>
      <c r="AT173" s="243" t="str">
        <f>IF($AL173="","",RANK(AR173,$AR$2:$AR$1001)+COUNTIF($AR$2:AR173,AR173)-1)</f>
        <v/>
      </c>
      <c r="AU173" s="243" t="str">
        <f>IF($AL173="","",RANK(AV173,$AV$2:$AV$1001)+COUNTIF($AV$2:AV173,AV173)-1)</f>
        <v/>
      </c>
      <c r="AV173" s="266">
        <f t="shared" si="36"/>
        <v>0</v>
      </c>
    </row>
    <row r="174" spans="26:48" ht="15" customHeight="1" x14ac:dyDescent="0.2">
      <c r="Z174" s="243" t="str">
        <f>Shares!A174</f>
        <v/>
      </c>
      <c r="AA174" s="243" t="str">
        <f>Shares!B174</f>
        <v/>
      </c>
      <c r="AB174" s="243" t="str">
        <f>Shares!C174</f>
        <v/>
      </c>
      <c r="AC174" s="243" t="str">
        <f>Shares!D174</f>
        <v/>
      </c>
      <c r="AD174" s="243">
        <f>IF($Z174="",0,Shares!E174)</f>
        <v>0</v>
      </c>
      <c r="AE174" s="266">
        <f>IF($Z174="",0,Shares!J174*Shares!I174)</f>
        <v>0</v>
      </c>
      <c r="AF174" s="267">
        <f t="shared" si="35"/>
        <v>0</v>
      </c>
      <c r="AG174" s="266">
        <f>IF($Z174="",0,Shares!L174)</f>
        <v>0</v>
      </c>
      <c r="AH174" s="267">
        <f>IF($Z174="",0,Shares!M174)</f>
        <v>0</v>
      </c>
      <c r="AI174" s="243" t="str">
        <f>IF($Z174="","",RANK(AE174,$AE$2:$AE$1001)+COUNTIF($AE$2:AE174,AE174)-1)</f>
        <v/>
      </c>
      <c r="AJ174" s="243" t="str">
        <f>IF($AD174&lt;0,COUNT($AJ$1:AJ173)+1,"")</f>
        <v/>
      </c>
      <c r="AL174" s="243" t="str">
        <f>'All Ticker P&amp;L'!A174</f>
        <v/>
      </c>
      <c r="AM174" s="243" t="str">
        <f>'All Ticker P&amp;L'!B174</f>
        <v/>
      </c>
      <c r="AN174" s="243" t="str">
        <f>'All Ticker P&amp;L'!C174</f>
        <v/>
      </c>
      <c r="AO174" s="243" t="str">
        <f>'All Ticker P&amp;L'!D174</f>
        <v/>
      </c>
      <c r="AP174" s="243">
        <f>IF($AL174="",0,'All Ticker P&amp;L'!E174)</f>
        <v>0</v>
      </c>
      <c r="AQ174" s="266">
        <f>IF($AL174="",0,'All Ticker P&amp;L'!J174*'All Ticker P&amp;L'!I174)</f>
        <v>0</v>
      </c>
      <c r="AR174" s="266">
        <f>IF($AL174="",0,'All Ticker P&amp;L'!L174)</f>
        <v>0</v>
      </c>
      <c r="AS174" s="267">
        <f>IF($AL174="",0,'All Ticker P&amp;L'!M174)</f>
        <v>0</v>
      </c>
      <c r="AT174" s="243" t="str">
        <f>IF($AL174="","",RANK(AR174,$AR$2:$AR$1001)+COUNTIF($AR$2:AR174,AR174)-1)</f>
        <v/>
      </c>
      <c r="AU174" s="243" t="str">
        <f>IF($AL174="","",RANK(AV174,$AV$2:$AV$1001)+COUNTIF($AV$2:AV174,AV174)-1)</f>
        <v/>
      </c>
      <c r="AV174" s="266">
        <f t="shared" si="36"/>
        <v>0</v>
      </c>
    </row>
    <row r="175" spans="26:48" ht="15" customHeight="1" x14ac:dyDescent="0.2">
      <c r="Z175" s="243" t="str">
        <f>Shares!A175</f>
        <v/>
      </c>
      <c r="AA175" s="243" t="str">
        <f>Shares!B175</f>
        <v/>
      </c>
      <c r="AB175" s="243" t="str">
        <f>Shares!C175</f>
        <v/>
      </c>
      <c r="AC175" s="243" t="str">
        <f>Shares!D175</f>
        <v/>
      </c>
      <c r="AD175" s="243">
        <f>IF($Z175="",0,Shares!E175)</f>
        <v>0</v>
      </c>
      <c r="AE175" s="266">
        <f>IF($Z175="",0,Shares!J175*Shares!I175)</f>
        <v>0</v>
      </c>
      <c r="AF175" s="267">
        <f t="shared" si="35"/>
        <v>0</v>
      </c>
      <c r="AG175" s="266">
        <f>IF($Z175="",0,Shares!L175)</f>
        <v>0</v>
      </c>
      <c r="AH175" s="267">
        <f>IF($Z175="",0,Shares!M175)</f>
        <v>0</v>
      </c>
      <c r="AI175" s="243" t="str">
        <f>IF($Z175="","",RANK(AE175,$AE$2:$AE$1001)+COUNTIF($AE$2:AE175,AE175)-1)</f>
        <v/>
      </c>
      <c r="AJ175" s="243" t="str">
        <f>IF($AD175&lt;0,COUNT($AJ$1:AJ174)+1,"")</f>
        <v/>
      </c>
      <c r="AL175" s="243" t="str">
        <f>'All Ticker P&amp;L'!A175</f>
        <v/>
      </c>
      <c r="AM175" s="243" t="str">
        <f>'All Ticker P&amp;L'!B175</f>
        <v/>
      </c>
      <c r="AN175" s="243" t="str">
        <f>'All Ticker P&amp;L'!C175</f>
        <v/>
      </c>
      <c r="AO175" s="243" t="str">
        <f>'All Ticker P&amp;L'!D175</f>
        <v/>
      </c>
      <c r="AP175" s="243">
        <f>IF($AL175="",0,'All Ticker P&amp;L'!E175)</f>
        <v>0</v>
      </c>
      <c r="AQ175" s="266">
        <f>IF($AL175="",0,'All Ticker P&amp;L'!J175*'All Ticker P&amp;L'!I175)</f>
        <v>0</v>
      </c>
      <c r="AR175" s="266">
        <f>IF($AL175="",0,'All Ticker P&amp;L'!L175)</f>
        <v>0</v>
      </c>
      <c r="AS175" s="267">
        <f>IF($AL175="",0,'All Ticker P&amp;L'!M175)</f>
        <v>0</v>
      </c>
      <c r="AT175" s="243" t="str">
        <f>IF($AL175="","",RANK(AR175,$AR$2:$AR$1001)+COUNTIF($AR$2:AR175,AR175)-1)</f>
        <v/>
      </c>
      <c r="AU175" s="243" t="str">
        <f>IF($AL175="","",RANK(AV175,$AV$2:$AV$1001)+COUNTIF($AV$2:AV175,AV175)-1)</f>
        <v/>
      </c>
      <c r="AV175" s="266">
        <f t="shared" si="36"/>
        <v>0</v>
      </c>
    </row>
    <row r="176" spans="26:48" ht="15" customHeight="1" x14ac:dyDescent="0.2">
      <c r="Z176" s="243" t="str">
        <f>Shares!A176</f>
        <v/>
      </c>
      <c r="AA176" s="243" t="str">
        <f>Shares!B176</f>
        <v/>
      </c>
      <c r="AB176" s="243" t="str">
        <f>Shares!C176</f>
        <v/>
      </c>
      <c r="AC176" s="243" t="str">
        <f>Shares!D176</f>
        <v/>
      </c>
      <c r="AD176" s="243">
        <f>IF($Z176="",0,Shares!E176)</f>
        <v>0</v>
      </c>
      <c r="AE176" s="266">
        <f>IF($Z176="",0,Shares!J176*Shares!I176)</f>
        <v>0</v>
      </c>
      <c r="AF176" s="267">
        <f t="shared" si="35"/>
        <v>0</v>
      </c>
      <c r="AG176" s="266">
        <f>IF($Z176="",0,Shares!L176)</f>
        <v>0</v>
      </c>
      <c r="AH176" s="267">
        <f>IF($Z176="",0,Shares!M176)</f>
        <v>0</v>
      </c>
      <c r="AI176" s="243" t="str">
        <f>IF($Z176="","",RANK(AE176,$AE$2:$AE$1001)+COUNTIF($AE$2:AE176,AE176)-1)</f>
        <v/>
      </c>
      <c r="AJ176" s="243" t="str">
        <f>IF($AD176&lt;0,COUNT($AJ$1:AJ175)+1,"")</f>
        <v/>
      </c>
      <c r="AL176" s="243" t="str">
        <f>'All Ticker P&amp;L'!A176</f>
        <v/>
      </c>
      <c r="AM176" s="243" t="str">
        <f>'All Ticker P&amp;L'!B176</f>
        <v/>
      </c>
      <c r="AN176" s="243" t="str">
        <f>'All Ticker P&amp;L'!C176</f>
        <v/>
      </c>
      <c r="AO176" s="243" t="str">
        <f>'All Ticker P&amp;L'!D176</f>
        <v/>
      </c>
      <c r="AP176" s="243">
        <f>IF($AL176="",0,'All Ticker P&amp;L'!E176)</f>
        <v>0</v>
      </c>
      <c r="AQ176" s="266">
        <f>IF($AL176="",0,'All Ticker P&amp;L'!J176*'All Ticker P&amp;L'!I176)</f>
        <v>0</v>
      </c>
      <c r="AR176" s="266">
        <f>IF($AL176="",0,'All Ticker P&amp;L'!L176)</f>
        <v>0</v>
      </c>
      <c r="AS176" s="267">
        <f>IF($AL176="",0,'All Ticker P&amp;L'!M176)</f>
        <v>0</v>
      </c>
      <c r="AT176" s="243" t="str">
        <f>IF($AL176="","",RANK(AR176,$AR$2:$AR$1001)+COUNTIF($AR$2:AR176,AR176)-1)</f>
        <v/>
      </c>
      <c r="AU176" s="243" t="str">
        <f>IF($AL176="","",RANK(AV176,$AV$2:$AV$1001)+COUNTIF($AV$2:AV176,AV176)-1)</f>
        <v/>
      </c>
      <c r="AV176" s="266">
        <f t="shared" si="36"/>
        <v>0</v>
      </c>
    </row>
    <row r="177" spans="26:48" ht="15" customHeight="1" x14ac:dyDescent="0.2">
      <c r="Z177" s="243" t="str">
        <f>Shares!A177</f>
        <v/>
      </c>
      <c r="AA177" s="243" t="str">
        <f>Shares!B177</f>
        <v/>
      </c>
      <c r="AB177" s="243" t="str">
        <f>Shares!C177</f>
        <v/>
      </c>
      <c r="AC177" s="243" t="str">
        <f>Shares!D177</f>
        <v/>
      </c>
      <c r="AD177" s="243">
        <f>IF($Z177="",0,Shares!E177)</f>
        <v>0</v>
      </c>
      <c r="AE177" s="266">
        <f>IF($Z177="",0,Shares!J177*Shares!I177)</f>
        <v>0</v>
      </c>
      <c r="AF177" s="267">
        <f t="shared" si="35"/>
        <v>0</v>
      </c>
      <c r="AG177" s="266">
        <f>IF($Z177="",0,Shares!L177)</f>
        <v>0</v>
      </c>
      <c r="AH177" s="267">
        <f>IF($Z177="",0,Shares!M177)</f>
        <v>0</v>
      </c>
      <c r="AI177" s="243" t="str">
        <f>IF($Z177="","",RANK(AE177,$AE$2:$AE$1001)+COUNTIF($AE$2:AE177,AE177)-1)</f>
        <v/>
      </c>
      <c r="AJ177" s="243" t="str">
        <f>IF($AD177&lt;0,COUNT($AJ$1:AJ176)+1,"")</f>
        <v/>
      </c>
      <c r="AL177" s="243" t="str">
        <f>'All Ticker P&amp;L'!A177</f>
        <v/>
      </c>
      <c r="AM177" s="243" t="str">
        <f>'All Ticker P&amp;L'!B177</f>
        <v/>
      </c>
      <c r="AN177" s="243" t="str">
        <f>'All Ticker P&amp;L'!C177</f>
        <v/>
      </c>
      <c r="AO177" s="243" t="str">
        <f>'All Ticker P&amp;L'!D177</f>
        <v/>
      </c>
      <c r="AP177" s="243">
        <f>IF($AL177="",0,'All Ticker P&amp;L'!E177)</f>
        <v>0</v>
      </c>
      <c r="AQ177" s="266">
        <f>IF($AL177="",0,'All Ticker P&amp;L'!J177*'All Ticker P&amp;L'!I177)</f>
        <v>0</v>
      </c>
      <c r="AR177" s="266">
        <f>IF($AL177="",0,'All Ticker P&amp;L'!L177)</f>
        <v>0</v>
      </c>
      <c r="AS177" s="267">
        <f>IF($AL177="",0,'All Ticker P&amp;L'!M177)</f>
        <v>0</v>
      </c>
      <c r="AT177" s="243" t="str">
        <f>IF($AL177="","",RANK(AR177,$AR$2:$AR$1001)+COUNTIF($AR$2:AR177,AR177)-1)</f>
        <v/>
      </c>
      <c r="AU177" s="243" t="str">
        <f>IF($AL177="","",RANK(AV177,$AV$2:$AV$1001)+COUNTIF($AV$2:AV177,AV177)-1)</f>
        <v/>
      </c>
      <c r="AV177" s="266">
        <f t="shared" si="36"/>
        <v>0</v>
      </c>
    </row>
    <row r="178" spans="26:48" ht="15" customHeight="1" x14ac:dyDescent="0.2">
      <c r="Z178" s="243" t="str">
        <f>Shares!A178</f>
        <v/>
      </c>
      <c r="AA178" s="243" t="str">
        <f>Shares!B178</f>
        <v/>
      </c>
      <c r="AB178" s="243" t="str">
        <f>Shares!C178</f>
        <v/>
      </c>
      <c r="AC178" s="243" t="str">
        <f>Shares!D178</f>
        <v/>
      </c>
      <c r="AD178" s="243">
        <f>IF($Z178="",0,Shares!E178)</f>
        <v>0</v>
      </c>
      <c r="AE178" s="266">
        <f>IF($Z178="",0,Shares!J178*Shares!I178)</f>
        <v>0</v>
      </c>
      <c r="AF178" s="267">
        <f t="shared" si="35"/>
        <v>0</v>
      </c>
      <c r="AG178" s="266">
        <f>IF($Z178="",0,Shares!L178)</f>
        <v>0</v>
      </c>
      <c r="AH178" s="267">
        <f>IF($Z178="",0,Shares!M178)</f>
        <v>0</v>
      </c>
      <c r="AI178" s="243" t="str">
        <f>IF($Z178="","",RANK(AE178,$AE$2:$AE$1001)+COUNTIF($AE$2:AE178,AE178)-1)</f>
        <v/>
      </c>
      <c r="AJ178" s="243" t="str">
        <f>IF($AD178&lt;0,COUNT($AJ$1:AJ177)+1,"")</f>
        <v/>
      </c>
      <c r="AL178" s="243" t="str">
        <f>'All Ticker P&amp;L'!A178</f>
        <v/>
      </c>
      <c r="AM178" s="243" t="str">
        <f>'All Ticker P&amp;L'!B178</f>
        <v/>
      </c>
      <c r="AN178" s="243" t="str">
        <f>'All Ticker P&amp;L'!C178</f>
        <v/>
      </c>
      <c r="AO178" s="243" t="str">
        <f>'All Ticker P&amp;L'!D178</f>
        <v/>
      </c>
      <c r="AP178" s="243">
        <f>IF($AL178="",0,'All Ticker P&amp;L'!E178)</f>
        <v>0</v>
      </c>
      <c r="AQ178" s="266">
        <f>IF($AL178="",0,'All Ticker P&amp;L'!J178*'All Ticker P&amp;L'!I178)</f>
        <v>0</v>
      </c>
      <c r="AR178" s="266">
        <f>IF($AL178="",0,'All Ticker P&amp;L'!L178)</f>
        <v>0</v>
      </c>
      <c r="AS178" s="267">
        <f>IF($AL178="",0,'All Ticker P&amp;L'!M178)</f>
        <v>0</v>
      </c>
      <c r="AT178" s="243" t="str">
        <f>IF($AL178="","",RANK(AR178,$AR$2:$AR$1001)+COUNTIF($AR$2:AR178,AR178)-1)</f>
        <v/>
      </c>
      <c r="AU178" s="243" t="str">
        <f>IF($AL178="","",RANK(AV178,$AV$2:$AV$1001)+COUNTIF($AV$2:AV178,AV178)-1)</f>
        <v/>
      </c>
      <c r="AV178" s="266">
        <f t="shared" si="36"/>
        <v>0</v>
      </c>
    </row>
    <row r="179" spans="26:48" ht="15" customHeight="1" x14ac:dyDescent="0.2">
      <c r="Z179" s="243" t="str">
        <f>Shares!A179</f>
        <v/>
      </c>
      <c r="AA179" s="243" t="str">
        <f>Shares!B179</f>
        <v/>
      </c>
      <c r="AB179" s="243" t="str">
        <f>Shares!C179</f>
        <v/>
      </c>
      <c r="AC179" s="243" t="str">
        <f>Shares!D179</f>
        <v/>
      </c>
      <c r="AD179" s="243">
        <f>IF($Z179="",0,Shares!E179)</f>
        <v>0</v>
      </c>
      <c r="AE179" s="266">
        <f>IF($Z179="",0,Shares!J179*Shares!I179)</f>
        <v>0</v>
      </c>
      <c r="AF179" s="267">
        <f t="shared" si="35"/>
        <v>0</v>
      </c>
      <c r="AG179" s="266">
        <f>IF($Z179="",0,Shares!L179)</f>
        <v>0</v>
      </c>
      <c r="AH179" s="267">
        <f>IF($Z179="",0,Shares!M179)</f>
        <v>0</v>
      </c>
      <c r="AI179" s="243" t="str">
        <f>IF($Z179="","",RANK(AE179,$AE$2:$AE$1001)+COUNTIF($AE$2:AE179,AE179)-1)</f>
        <v/>
      </c>
      <c r="AJ179" s="243" t="str">
        <f>IF($AD179&lt;0,COUNT($AJ$1:AJ178)+1,"")</f>
        <v/>
      </c>
      <c r="AL179" s="243" t="str">
        <f>'All Ticker P&amp;L'!A179</f>
        <v/>
      </c>
      <c r="AM179" s="243" t="str">
        <f>'All Ticker P&amp;L'!B179</f>
        <v/>
      </c>
      <c r="AN179" s="243" t="str">
        <f>'All Ticker P&amp;L'!C179</f>
        <v/>
      </c>
      <c r="AO179" s="243" t="str">
        <f>'All Ticker P&amp;L'!D179</f>
        <v/>
      </c>
      <c r="AP179" s="243">
        <f>IF($AL179="",0,'All Ticker P&amp;L'!E179)</f>
        <v>0</v>
      </c>
      <c r="AQ179" s="266">
        <f>IF($AL179="",0,'All Ticker P&amp;L'!J179*'All Ticker P&amp;L'!I179)</f>
        <v>0</v>
      </c>
      <c r="AR179" s="266">
        <f>IF($AL179="",0,'All Ticker P&amp;L'!L179)</f>
        <v>0</v>
      </c>
      <c r="AS179" s="267">
        <f>IF($AL179="",0,'All Ticker P&amp;L'!M179)</f>
        <v>0</v>
      </c>
      <c r="AT179" s="243" t="str">
        <f>IF($AL179="","",RANK(AR179,$AR$2:$AR$1001)+COUNTIF($AR$2:AR179,AR179)-1)</f>
        <v/>
      </c>
      <c r="AU179" s="243" t="str">
        <f>IF($AL179="","",RANK(AV179,$AV$2:$AV$1001)+COUNTIF($AV$2:AV179,AV179)-1)</f>
        <v/>
      </c>
      <c r="AV179" s="266">
        <f t="shared" si="36"/>
        <v>0</v>
      </c>
    </row>
    <row r="180" spans="26:48" ht="15" customHeight="1" x14ac:dyDescent="0.2">
      <c r="Z180" s="243" t="str">
        <f>Shares!A180</f>
        <v/>
      </c>
      <c r="AA180" s="243" t="str">
        <f>Shares!B180</f>
        <v/>
      </c>
      <c r="AB180" s="243" t="str">
        <f>Shares!C180</f>
        <v/>
      </c>
      <c r="AC180" s="243" t="str">
        <f>Shares!D180</f>
        <v/>
      </c>
      <c r="AD180" s="243">
        <f>IF($Z180="",0,Shares!E180)</f>
        <v>0</v>
      </c>
      <c r="AE180" s="266">
        <f>IF($Z180="",0,Shares!J180*Shares!I180)</f>
        <v>0</v>
      </c>
      <c r="AF180" s="267">
        <f t="shared" si="35"/>
        <v>0</v>
      </c>
      <c r="AG180" s="266">
        <f>IF($Z180="",0,Shares!L180)</f>
        <v>0</v>
      </c>
      <c r="AH180" s="267">
        <f>IF($Z180="",0,Shares!M180)</f>
        <v>0</v>
      </c>
      <c r="AI180" s="243" t="str">
        <f>IF($Z180="","",RANK(AE180,$AE$2:$AE$1001)+COUNTIF($AE$2:AE180,AE180)-1)</f>
        <v/>
      </c>
      <c r="AJ180" s="243" t="str">
        <f>IF($AD180&lt;0,COUNT($AJ$1:AJ179)+1,"")</f>
        <v/>
      </c>
      <c r="AL180" s="243" t="str">
        <f>'All Ticker P&amp;L'!A180</f>
        <v/>
      </c>
      <c r="AM180" s="243" t="str">
        <f>'All Ticker P&amp;L'!B180</f>
        <v/>
      </c>
      <c r="AN180" s="243" t="str">
        <f>'All Ticker P&amp;L'!C180</f>
        <v/>
      </c>
      <c r="AO180" s="243" t="str">
        <f>'All Ticker P&amp;L'!D180</f>
        <v/>
      </c>
      <c r="AP180" s="243">
        <f>IF($AL180="",0,'All Ticker P&amp;L'!E180)</f>
        <v>0</v>
      </c>
      <c r="AQ180" s="266">
        <f>IF($AL180="",0,'All Ticker P&amp;L'!J180*'All Ticker P&amp;L'!I180)</f>
        <v>0</v>
      </c>
      <c r="AR180" s="266">
        <f>IF($AL180="",0,'All Ticker P&amp;L'!L180)</f>
        <v>0</v>
      </c>
      <c r="AS180" s="267">
        <f>IF($AL180="",0,'All Ticker P&amp;L'!M180)</f>
        <v>0</v>
      </c>
      <c r="AT180" s="243" t="str">
        <f>IF($AL180="","",RANK(AR180,$AR$2:$AR$1001)+COUNTIF($AR$2:AR180,AR180)-1)</f>
        <v/>
      </c>
      <c r="AU180" s="243" t="str">
        <f>IF($AL180="","",RANK(AV180,$AV$2:$AV$1001)+COUNTIF($AV$2:AV180,AV180)-1)</f>
        <v/>
      </c>
      <c r="AV180" s="266">
        <f t="shared" si="36"/>
        <v>0</v>
      </c>
    </row>
    <row r="181" spans="26:48" ht="15" customHeight="1" x14ac:dyDescent="0.2">
      <c r="Z181" s="243" t="str">
        <f>Shares!A181</f>
        <v/>
      </c>
      <c r="AA181" s="243" t="str">
        <f>Shares!B181</f>
        <v/>
      </c>
      <c r="AB181" s="243" t="str">
        <f>Shares!C181</f>
        <v/>
      </c>
      <c r="AC181" s="243" t="str">
        <f>Shares!D181</f>
        <v/>
      </c>
      <c r="AD181" s="243">
        <f>IF($Z181="",0,Shares!E181)</f>
        <v>0</v>
      </c>
      <c r="AE181" s="266">
        <f>IF($Z181="",0,Shares!J181*Shares!I181)</f>
        <v>0</v>
      </c>
      <c r="AF181" s="267">
        <f t="shared" si="35"/>
        <v>0</v>
      </c>
      <c r="AG181" s="266">
        <f>IF($Z181="",0,Shares!L181)</f>
        <v>0</v>
      </c>
      <c r="AH181" s="267">
        <f>IF($Z181="",0,Shares!M181)</f>
        <v>0</v>
      </c>
      <c r="AI181" s="243" t="str">
        <f>IF($Z181="","",RANK(AE181,$AE$2:$AE$1001)+COUNTIF($AE$2:AE181,AE181)-1)</f>
        <v/>
      </c>
      <c r="AJ181" s="243" t="str">
        <f>IF($AD181&lt;0,COUNT($AJ$1:AJ180)+1,"")</f>
        <v/>
      </c>
      <c r="AL181" s="243" t="str">
        <f>'All Ticker P&amp;L'!A181</f>
        <v/>
      </c>
      <c r="AM181" s="243" t="str">
        <f>'All Ticker P&amp;L'!B181</f>
        <v/>
      </c>
      <c r="AN181" s="243" t="str">
        <f>'All Ticker P&amp;L'!C181</f>
        <v/>
      </c>
      <c r="AO181" s="243" t="str">
        <f>'All Ticker P&amp;L'!D181</f>
        <v/>
      </c>
      <c r="AP181" s="243">
        <f>IF($AL181="",0,'All Ticker P&amp;L'!E181)</f>
        <v>0</v>
      </c>
      <c r="AQ181" s="266">
        <f>IF($AL181="",0,'All Ticker P&amp;L'!J181*'All Ticker P&amp;L'!I181)</f>
        <v>0</v>
      </c>
      <c r="AR181" s="266">
        <f>IF($AL181="",0,'All Ticker P&amp;L'!L181)</f>
        <v>0</v>
      </c>
      <c r="AS181" s="267">
        <f>IF($AL181="",0,'All Ticker P&amp;L'!M181)</f>
        <v>0</v>
      </c>
      <c r="AT181" s="243" t="str">
        <f>IF($AL181="","",RANK(AR181,$AR$2:$AR$1001)+COUNTIF($AR$2:AR181,AR181)-1)</f>
        <v/>
      </c>
      <c r="AU181" s="243" t="str">
        <f>IF($AL181="","",RANK(AV181,$AV$2:$AV$1001)+COUNTIF($AV$2:AV181,AV181)-1)</f>
        <v/>
      </c>
      <c r="AV181" s="266">
        <f t="shared" si="36"/>
        <v>0</v>
      </c>
    </row>
    <row r="182" spans="26:48" ht="15" customHeight="1" x14ac:dyDescent="0.2">
      <c r="Z182" s="243" t="str">
        <f>Shares!A182</f>
        <v/>
      </c>
      <c r="AA182" s="243" t="str">
        <f>Shares!B182</f>
        <v/>
      </c>
      <c r="AB182" s="243" t="str">
        <f>Shares!C182</f>
        <v/>
      </c>
      <c r="AC182" s="243" t="str">
        <f>Shares!D182</f>
        <v/>
      </c>
      <c r="AD182" s="243">
        <f>IF($Z182="",0,Shares!E182)</f>
        <v>0</v>
      </c>
      <c r="AE182" s="266">
        <f>IF($Z182="",0,Shares!J182*Shares!I182)</f>
        <v>0</v>
      </c>
      <c r="AF182" s="267">
        <f t="shared" si="35"/>
        <v>0</v>
      </c>
      <c r="AG182" s="266">
        <f>IF($Z182="",0,Shares!L182)</f>
        <v>0</v>
      </c>
      <c r="AH182" s="267">
        <f>IF($Z182="",0,Shares!M182)</f>
        <v>0</v>
      </c>
      <c r="AI182" s="243" t="str">
        <f>IF($Z182="","",RANK(AE182,$AE$2:$AE$1001)+COUNTIF($AE$2:AE182,AE182)-1)</f>
        <v/>
      </c>
      <c r="AJ182" s="243" t="str">
        <f>IF($AD182&lt;0,COUNT($AJ$1:AJ181)+1,"")</f>
        <v/>
      </c>
      <c r="AL182" s="243" t="str">
        <f>'All Ticker P&amp;L'!A182</f>
        <v/>
      </c>
      <c r="AM182" s="243" t="str">
        <f>'All Ticker P&amp;L'!B182</f>
        <v/>
      </c>
      <c r="AN182" s="243" t="str">
        <f>'All Ticker P&amp;L'!C182</f>
        <v/>
      </c>
      <c r="AO182" s="243" t="str">
        <f>'All Ticker P&amp;L'!D182</f>
        <v/>
      </c>
      <c r="AP182" s="243">
        <f>IF($AL182="",0,'All Ticker P&amp;L'!E182)</f>
        <v>0</v>
      </c>
      <c r="AQ182" s="266">
        <f>IF($AL182="",0,'All Ticker P&amp;L'!J182*'All Ticker P&amp;L'!I182)</f>
        <v>0</v>
      </c>
      <c r="AR182" s="266">
        <f>IF($AL182="",0,'All Ticker P&amp;L'!L182)</f>
        <v>0</v>
      </c>
      <c r="AS182" s="267">
        <f>IF($AL182="",0,'All Ticker P&amp;L'!M182)</f>
        <v>0</v>
      </c>
      <c r="AT182" s="243" t="str">
        <f>IF($AL182="","",RANK(AR182,$AR$2:$AR$1001)+COUNTIF($AR$2:AR182,AR182)-1)</f>
        <v/>
      </c>
      <c r="AU182" s="243" t="str">
        <f>IF($AL182="","",RANK(AV182,$AV$2:$AV$1001)+COUNTIF($AV$2:AV182,AV182)-1)</f>
        <v/>
      </c>
      <c r="AV182" s="266">
        <f t="shared" si="36"/>
        <v>0</v>
      </c>
    </row>
    <row r="183" spans="26:48" ht="15" customHeight="1" x14ac:dyDescent="0.2">
      <c r="Z183" s="243" t="str">
        <f>Shares!A183</f>
        <v/>
      </c>
      <c r="AA183" s="243" t="str">
        <f>Shares!B183</f>
        <v/>
      </c>
      <c r="AB183" s="243" t="str">
        <f>Shares!C183</f>
        <v/>
      </c>
      <c r="AC183" s="243" t="str">
        <f>Shares!D183</f>
        <v/>
      </c>
      <c r="AD183" s="243">
        <f>IF($Z183="",0,Shares!E183)</f>
        <v>0</v>
      </c>
      <c r="AE183" s="266">
        <f>IF($Z183="",0,Shares!J183*Shares!I183)</f>
        <v>0</v>
      </c>
      <c r="AF183" s="267">
        <f t="shared" si="35"/>
        <v>0</v>
      </c>
      <c r="AG183" s="266">
        <f>IF($Z183="",0,Shares!L183)</f>
        <v>0</v>
      </c>
      <c r="AH183" s="267">
        <f>IF($Z183="",0,Shares!M183)</f>
        <v>0</v>
      </c>
      <c r="AI183" s="243" t="str">
        <f>IF($Z183="","",RANK(AE183,$AE$2:$AE$1001)+COUNTIF($AE$2:AE183,AE183)-1)</f>
        <v/>
      </c>
      <c r="AJ183" s="243" t="str">
        <f>IF($AD183&lt;0,COUNT($AJ$1:AJ182)+1,"")</f>
        <v/>
      </c>
      <c r="AL183" s="243" t="str">
        <f>'All Ticker P&amp;L'!A183</f>
        <v/>
      </c>
      <c r="AM183" s="243" t="str">
        <f>'All Ticker P&amp;L'!B183</f>
        <v/>
      </c>
      <c r="AN183" s="243" t="str">
        <f>'All Ticker P&amp;L'!C183</f>
        <v/>
      </c>
      <c r="AO183" s="243" t="str">
        <f>'All Ticker P&amp;L'!D183</f>
        <v/>
      </c>
      <c r="AP183" s="243">
        <f>IF($AL183="",0,'All Ticker P&amp;L'!E183)</f>
        <v>0</v>
      </c>
      <c r="AQ183" s="266">
        <f>IF($AL183="",0,'All Ticker P&amp;L'!J183*'All Ticker P&amp;L'!I183)</f>
        <v>0</v>
      </c>
      <c r="AR183" s="266">
        <f>IF($AL183="",0,'All Ticker P&amp;L'!L183)</f>
        <v>0</v>
      </c>
      <c r="AS183" s="267">
        <f>IF($AL183="",0,'All Ticker P&amp;L'!M183)</f>
        <v>0</v>
      </c>
      <c r="AT183" s="243" t="str">
        <f>IF($AL183="","",RANK(AR183,$AR$2:$AR$1001)+COUNTIF($AR$2:AR183,AR183)-1)</f>
        <v/>
      </c>
      <c r="AU183" s="243" t="str">
        <f>IF($AL183="","",RANK(AV183,$AV$2:$AV$1001)+COUNTIF($AV$2:AV183,AV183)-1)</f>
        <v/>
      </c>
      <c r="AV183" s="266">
        <f t="shared" si="36"/>
        <v>0</v>
      </c>
    </row>
    <row r="184" spans="26:48" ht="15" customHeight="1" x14ac:dyDescent="0.2">
      <c r="Z184" s="243" t="str">
        <f>Shares!A184</f>
        <v/>
      </c>
      <c r="AA184" s="243" t="str">
        <f>Shares!B184</f>
        <v/>
      </c>
      <c r="AB184" s="243" t="str">
        <f>Shares!C184</f>
        <v/>
      </c>
      <c r="AC184" s="243" t="str">
        <f>Shares!D184</f>
        <v/>
      </c>
      <c r="AD184" s="243">
        <f>IF($Z184="",0,Shares!E184)</f>
        <v>0</v>
      </c>
      <c r="AE184" s="266">
        <f>IF($Z184="",0,Shares!J184*Shares!I184)</f>
        <v>0</v>
      </c>
      <c r="AF184" s="267">
        <f t="shared" si="35"/>
        <v>0</v>
      </c>
      <c r="AG184" s="266">
        <f>IF($Z184="",0,Shares!L184)</f>
        <v>0</v>
      </c>
      <c r="AH184" s="267">
        <f>IF($Z184="",0,Shares!M184)</f>
        <v>0</v>
      </c>
      <c r="AI184" s="243" t="str">
        <f>IF($Z184="","",RANK(AE184,$AE$2:$AE$1001)+COUNTIF($AE$2:AE184,AE184)-1)</f>
        <v/>
      </c>
      <c r="AJ184" s="243" t="str">
        <f>IF($AD184&lt;0,COUNT($AJ$1:AJ183)+1,"")</f>
        <v/>
      </c>
      <c r="AL184" s="243" t="str">
        <f>'All Ticker P&amp;L'!A184</f>
        <v/>
      </c>
      <c r="AM184" s="243" t="str">
        <f>'All Ticker P&amp;L'!B184</f>
        <v/>
      </c>
      <c r="AN184" s="243" t="str">
        <f>'All Ticker P&amp;L'!C184</f>
        <v/>
      </c>
      <c r="AO184" s="243" t="str">
        <f>'All Ticker P&amp;L'!D184</f>
        <v/>
      </c>
      <c r="AP184" s="243">
        <f>IF($AL184="",0,'All Ticker P&amp;L'!E184)</f>
        <v>0</v>
      </c>
      <c r="AQ184" s="266">
        <f>IF($AL184="",0,'All Ticker P&amp;L'!J184*'All Ticker P&amp;L'!I184)</f>
        <v>0</v>
      </c>
      <c r="AR184" s="266">
        <f>IF($AL184="",0,'All Ticker P&amp;L'!L184)</f>
        <v>0</v>
      </c>
      <c r="AS184" s="267">
        <f>IF($AL184="",0,'All Ticker P&amp;L'!M184)</f>
        <v>0</v>
      </c>
      <c r="AT184" s="243" t="str">
        <f>IF($AL184="","",RANK(AR184,$AR$2:$AR$1001)+COUNTIF($AR$2:AR184,AR184)-1)</f>
        <v/>
      </c>
      <c r="AU184" s="243" t="str">
        <f>IF($AL184="","",RANK(AV184,$AV$2:$AV$1001)+COUNTIF($AV$2:AV184,AV184)-1)</f>
        <v/>
      </c>
      <c r="AV184" s="266">
        <f t="shared" si="36"/>
        <v>0</v>
      </c>
    </row>
    <row r="185" spans="26:48" ht="15" customHeight="1" x14ac:dyDescent="0.2">
      <c r="Z185" s="243" t="str">
        <f>Shares!A185</f>
        <v/>
      </c>
      <c r="AA185" s="243" t="str">
        <f>Shares!B185</f>
        <v/>
      </c>
      <c r="AB185" s="243" t="str">
        <f>Shares!C185</f>
        <v/>
      </c>
      <c r="AC185" s="243" t="str">
        <f>Shares!D185</f>
        <v/>
      </c>
      <c r="AD185" s="243">
        <f>IF($Z185="",0,Shares!E185)</f>
        <v>0</v>
      </c>
      <c r="AE185" s="266">
        <f>IF($Z185="",0,Shares!J185*Shares!I185)</f>
        <v>0</v>
      </c>
      <c r="AF185" s="267">
        <f t="shared" si="35"/>
        <v>0</v>
      </c>
      <c r="AG185" s="266">
        <f>IF($Z185="",0,Shares!L185)</f>
        <v>0</v>
      </c>
      <c r="AH185" s="267">
        <f>IF($Z185="",0,Shares!M185)</f>
        <v>0</v>
      </c>
      <c r="AI185" s="243" t="str">
        <f>IF($Z185="","",RANK(AE185,$AE$2:$AE$1001)+COUNTIF($AE$2:AE185,AE185)-1)</f>
        <v/>
      </c>
      <c r="AJ185" s="243" t="str">
        <f>IF($AD185&lt;0,COUNT($AJ$1:AJ184)+1,"")</f>
        <v/>
      </c>
      <c r="AL185" s="243" t="str">
        <f>'All Ticker P&amp;L'!A185</f>
        <v/>
      </c>
      <c r="AM185" s="243" t="str">
        <f>'All Ticker P&amp;L'!B185</f>
        <v/>
      </c>
      <c r="AN185" s="243" t="str">
        <f>'All Ticker P&amp;L'!C185</f>
        <v/>
      </c>
      <c r="AO185" s="243" t="str">
        <f>'All Ticker P&amp;L'!D185</f>
        <v/>
      </c>
      <c r="AP185" s="243">
        <f>IF($AL185="",0,'All Ticker P&amp;L'!E185)</f>
        <v>0</v>
      </c>
      <c r="AQ185" s="266">
        <f>IF($AL185="",0,'All Ticker P&amp;L'!J185*'All Ticker P&amp;L'!I185)</f>
        <v>0</v>
      </c>
      <c r="AR185" s="266">
        <f>IF($AL185="",0,'All Ticker P&amp;L'!L185)</f>
        <v>0</v>
      </c>
      <c r="AS185" s="267">
        <f>IF($AL185="",0,'All Ticker P&amp;L'!M185)</f>
        <v>0</v>
      </c>
      <c r="AT185" s="243" t="str">
        <f>IF($AL185="","",RANK(AR185,$AR$2:$AR$1001)+COUNTIF($AR$2:AR185,AR185)-1)</f>
        <v/>
      </c>
      <c r="AU185" s="243" t="str">
        <f>IF($AL185="","",RANK(AV185,$AV$2:$AV$1001)+COUNTIF($AV$2:AV185,AV185)-1)</f>
        <v/>
      </c>
      <c r="AV185" s="266">
        <f t="shared" si="36"/>
        <v>0</v>
      </c>
    </row>
    <row r="186" spans="26:48" ht="15" customHeight="1" x14ac:dyDescent="0.2">
      <c r="Z186" s="243" t="str">
        <f>Shares!A186</f>
        <v/>
      </c>
      <c r="AA186" s="243" t="str">
        <f>Shares!B186</f>
        <v/>
      </c>
      <c r="AB186" s="243" t="str">
        <f>Shares!C186</f>
        <v/>
      </c>
      <c r="AC186" s="243" t="str">
        <f>Shares!D186</f>
        <v/>
      </c>
      <c r="AD186" s="243">
        <f>IF($Z186="",0,Shares!E186)</f>
        <v>0</v>
      </c>
      <c r="AE186" s="266">
        <f>IF($Z186="",0,Shares!J186*Shares!I186)</f>
        <v>0</v>
      </c>
      <c r="AF186" s="267">
        <f t="shared" si="35"/>
        <v>0</v>
      </c>
      <c r="AG186" s="266">
        <f>IF($Z186="",0,Shares!L186)</f>
        <v>0</v>
      </c>
      <c r="AH186" s="267">
        <f>IF($Z186="",0,Shares!M186)</f>
        <v>0</v>
      </c>
      <c r="AI186" s="243" t="str">
        <f>IF($Z186="","",RANK(AE186,$AE$2:$AE$1001)+COUNTIF($AE$2:AE186,AE186)-1)</f>
        <v/>
      </c>
      <c r="AJ186" s="243" t="str">
        <f>IF($AD186&lt;0,COUNT($AJ$1:AJ185)+1,"")</f>
        <v/>
      </c>
      <c r="AL186" s="243" t="str">
        <f>'All Ticker P&amp;L'!A186</f>
        <v/>
      </c>
      <c r="AM186" s="243" t="str">
        <f>'All Ticker P&amp;L'!B186</f>
        <v/>
      </c>
      <c r="AN186" s="243" t="str">
        <f>'All Ticker P&amp;L'!C186</f>
        <v/>
      </c>
      <c r="AO186" s="243" t="str">
        <f>'All Ticker P&amp;L'!D186</f>
        <v/>
      </c>
      <c r="AP186" s="243">
        <f>IF($AL186="",0,'All Ticker P&amp;L'!E186)</f>
        <v>0</v>
      </c>
      <c r="AQ186" s="266">
        <f>IF($AL186="",0,'All Ticker P&amp;L'!J186*'All Ticker P&amp;L'!I186)</f>
        <v>0</v>
      </c>
      <c r="AR186" s="266">
        <f>IF($AL186="",0,'All Ticker P&amp;L'!L186)</f>
        <v>0</v>
      </c>
      <c r="AS186" s="267">
        <f>IF($AL186="",0,'All Ticker P&amp;L'!M186)</f>
        <v>0</v>
      </c>
      <c r="AT186" s="243" t="str">
        <f>IF($AL186="","",RANK(AR186,$AR$2:$AR$1001)+COUNTIF($AR$2:AR186,AR186)-1)</f>
        <v/>
      </c>
      <c r="AU186" s="243" t="str">
        <f>IF($AL186="","",RANK(AV186,$AV$2:$AV$1001)+COUNTIF($AV$2:AV186,AV186)-1)</f>
        <v/>
      </c>
      <c r="AV186" s="266">
        <f t="shared" si="36"/>
        <v>0</v>
      </c>
    </row>
    <row r="187" spans="26:48" ht="15" customHeight="1" x14ac:dyDescent="0.2">
      <c r="Z187" s="243" t="str">
        <f>Shares!A187</f>
        <v/>
      </c>
      <c r="AA187" s="243" t="str">
        <f>Shares!B187</f>
        <v/>
      </c>
      <c r="AB187" s="243" t="str">
        <f>Shares!C187</f>
        <v/>
      </c>
      <c r="AC187" s="243" t="str">
        <f>Shares!D187</f>
        <v/>
      </c>
      <c r="AD187" s="243">
        <f>IF($Z187="",0,Shares!E187)</f>
        <v>0</v>
      </c>
      <c r="AE187" s="266">
        <f>IF($Z187="",0,Shares!J187*Shares!I187)</f>
        <v>0</v>
      </c>
      <c r="AF187" s="267">
        <f t="shared" si="35"/>
        <v>0</v>
      </c>
      <c r="AG187" s="266">
        <f>IF($Z187="",0,Shares!L187)</f>
        <v>0</v>
      </c>
      <c r="AH187" s="267">
        <f>IF($Z187="",0,Shares!M187)</f>
        <v>0</v>
      </c>
      <c r="AI187" s="243" t="str">
        <f>IF($Z187="","",RANK(AE187,$AE$2:$AE$1001)+COUNTIF($AE$2:AE187,AE187)-1)</f>
        <v/>
      </c>
      <c r="AJ187" s="243" t="str">
        <f>IF($AD187&lt;0,COUNT($AJ$1:AJ186)+1,"")</f>
        <v/>
      </c>
      <c r="AL187" s="243" t="str">
        <f>'All Ticker P&amp;L'!A187</f>
        <v/>
      </c>
      <c r="AM187" s="243" t="str">
        <f>'All Ticker P&amp;L'!B187</f>
        <v/>
      </c>
      <c r="AN187" s="243" t="str">
        <f>'All Ticker P&amp;L'!C187</f>
        <v/>
      </c>
      <c r="AO187" s="243" t="str">
        <f>'All Ticker P&amp;L'!D187</f>
        <v/>
      </c>
      <c r="AP187" s="243">
        <f>IF($AL187="",0,'All Ticker P&amp;L'!E187)</f>
        <v>0</v>
      </c>
      <c r="AQ187" s="266">
        <f>IF($AL187="",0,'All Ticker P&amp;L'!J187*'All Ticker P&amp;L'!I187)</f>
        <v>0</v>
      </c>
      <c r="AR187" s="266">
        <f>IF($AL187="",0,'All Ticker P&amp;L'!L187)</f>
        <v>0</v>
      </c>
      <c r="AS187" s="267">
        <f>IF($AL187="",0,'All Ticker P&amp;L'!M187)</f>
        <v>0</v>
      </c>
      <c r="AT187" s="243" t="str">
        <f>IF($AL187="","",RANK(AR187,$AR$2:$AR$1001)+COUNTIF($AR$2:AR187,AR187)-1)</f>
        <v/>
      </c>
      <c r="AU187" s="243" t="str">
        <f>IF($AL187="","",RANK(AV187,$AV$2:$AV$1001)+COUNTIF($AV$2:AV187,AV187)-1)</f>
        <v/>
      </c>
      <c r="AV187" s="266">
        <f t="shared" si="36"/>
        <v>0</v>
      </c>
    </row>
    <row r="188" spans="26:48" ht="15" customHeight="1" x14ac:dyDescent="0.2">
      <c r="Z188" s="243" t="str">
        <f>Shares!A188</f>
        <v/>
      </c>
      <c r="AA188" s="243" t="str">
        <f>Shares!B188</f>
        <v/>
      </c>
      <c r="AB188" s="243" t="str">
        <f>Shares!C188</f>
        <v/>
      </c>
      <c r="AC188" s="243" t="str">
        <f>Shares!D188</f>
        <v/>
      </c>
      <c r="AD188" s="243">
        <f>IF($Z188="",0,Shares!E188)</f>
        <v>0</v>
      </c>
      <c r="AE188" s="266">
        <f>IF($Z188="",0,Shares!J188*Shares!I188)</f>
        <v>0</v>
      </c>
      <c r="AF188" s="267">
        <f t="shared" si="35"/>
        <v>0</v>
      </c>
      <c r="AG188" s="266">
        <f>IF($Z188="",0,Shares!L188)</f>
        <v>0</v>
      </c>
      <c r="AH188" s="267">
        <f>IF($Z188="",0,Shares!M188)</f>
        <v>0</v>
      </c>
      <c r="AI188" s="243" t="str">
        <f>IF($Z188="","",RANK(AE188,$AE$2:$AE$1001)+COUNTIF($AE$2:AE188,AE188)-1)</f>
        <v/>
      </c>
      <c r="AJ188" s="243" t="str">
        <f>IF($AD188&lt;0,COUNT($AJ$1:AJ187)+1,"")</f>
        <v/>
      </c>
      <c r="AL188" s="243" t="str">
        <f>'All Ticker P&amp;L'!A188</f>
        <v/>
      </c>
      <c r="AM188" s="243" t="str">
        <f>'All Ticker P&amp;L'!B188</f>
        <v/>
      </c>
      <c r="AN188" s="243" t="str">
        <f>'All Ticker P&amp;L'!C188</f>
        <v/>
      </c>
      <c r="AO188" s="243" t="str">
        <f>'All Ticker P&amp;L'!D188</f>
        <v/>
      </c>
      <c r="AP188" s="243">
        <f>IF($AL188="",0,'All Ticker P&amp;L'!E188)</f>
        <v>0</v>
      </c>
      <c r="AQ188" s="266">
        <f>IF($AL188="",0,'All Ticker P&amp;L'!J188*'All Ticker P&amp;L'!I188)</f>
        <v>0</v>
      </c>
      <c r="AR188" s="266">
        <f>IF($AL188="",0,'All Ticker P&amp;L'!L188)</f>
        <v>0</v>
      </c>
      <c r="AS188" s="267">
        <f>IF($AL188="",0,'All Ticker P&amp;L'!M188)</f>
        <v>0</v>
      </c>
      <c r="AT188" s="243" t="str">
        <f>IF($AL188="","",RANK(AR188,$AR$2:$AR$1001)+COUNTIF($AR$2:AR188,AR188)-1)</f>
        <v/>
      </c>
      <c r="AU188" s="243" t="str">
        <f>IF($AL188="","",RANK(AV188,$AV$2:$AV$1001)+COUNTIF($AV$2:AV188,AV188)-1)</f>
        <v/>
      </c>
      <c r="AV188" s="266">
        <f t="shared" si="36"/>
        <v>0</v>
      </c>
    </row>
    <row r="189" spans="26:48" ht="15" customHeight="1" x14ac:dyDescent="0.2">
      <c r="Z189" s="243" t="str">
        <f>Shares!A189</f>
        <v/>
      </c>
      <c r="AA189" s="243" t="str">
        <f>Shares!B189</f>
        <v/>
      </c>
      <c r="AB189" s="243" t="str">
        <f>Shares!C189</f>
        <v/>
      </c>
      <c r="AC189" s="243" t="str">
        <f>Shares!D189</f>
        <v/>
      </c>
      <c r="AD189" s="243">
        <f>IF($Z189="",0,Shares!E189)</f>
        <v>0</v>
      </c>
      <c r="AE189" s="266">
        <f>IF($Z189="",0,Shares!J189*Shares!I189)</f>
        <v>0</v>
      </c>
      <c r="AF189" s="267">
        <f t="shared" si="35"/>
        <v>0</v>
      </c>
      <c r="AG189" s="266">
        <f>IF($Z189="",0,Shares!L189)</f>
        <v>0</v>
      </c>
      <c r="AH189" s="267">
        <f>IF($Z189="",0,Shares!M189)</f>
        <v>0</v>
      </c>
      <c r="AI189" s="243" t="str">
        <f>IF($Z189="","",RANK(AE189,$AE$2:$AE$1001)+COUNTIF($AE$2:AE189,AE189)-1)</f>
        <v/>
      </c>
      <c r="AJ189" s="243" t="str">
        <f>IF($AD189&lt;0,COUNT($AJ$1:AJ188)+1,"")</f>
        <v/>
      </c>
      <c r="AL189" s="243" t="str">
        <f>'All Ticker P&amp;L'!A189</f>
        <v/>
      </c>
      <c r="AM189" s="243" t="str">
        <f>'All Ticker P&amp;L'!B189</f>
        <v/>
      </c>
      <c r="AN189" s="243" t="str">
        <f>'All Ticker P&amp;L'!C189</f>
        <v/>
      </c>
      <c r="AO189" s="243" t="str">
        <f>'All Ticker P&amp;L'!D189</f>
        <v/>
      </c>
      <c r="AP189" s="243">
        <f>IF($AL189="",0,'All Ticker P&amp;L'!E189)</f>
        <v>0</v>
      </c>
      <c r="AQ189" s="266">
        <f>IF($AL189="",0,'All Ticker P&amp;L'!J189*'All Ticker P&amp;L'!I189)</f>
        <v>0</v>
      </c>
      <c r="AR189" s="266">
        <f>IF($AL189="",0,'All Ticker P&amp;L'!L189)</f>
        <v>0</v>
      </c>
      <c r="AS189" s="267">
        <f>IF($AL189="",0,'All Ticker P&amp;L'!M189)</f>
        <v>0</v>
      </c>
      <c r="AT189" s="243" t="str">
        <f>IF($AL189="","",RANK(AR189,$AR$2:$AR$1001)+COUNTIF($AR$2:AR189,AR189)-1)</f>
        <v/>
      </c>
      <c r="AU189" s="243" t="str">
        <f>IF($AL189="","",RANK(AV189,$AV$2:$AV$1001)+COUNTIF($AV$2:AV189,AV189)-1)</f>
        <v/>
      </c>
      <c r="AV189" s="266">
        <f t="shared" si="36"/>
        <v>0</v>
      </c>
    </row>
    <row r="190" spans="26:48" ht="15" customHeight="1" x14ac:dyDescent="0.2">
      <c r="Z190" s="243" t="str">
        <f>Shares!A190</f>
        <v/>
      </c>
      <c r="AA190" s="243" t="str">
        <f>Shares!B190</f>
        <v/>
      </c>
      <c r="AB190" s="243" t="str">
        <f>Shares!C190</f>
        <v/>
      </c>
      <c r="AC190" s="243" t="str">
        <f>Shares!D190</f>
        <v/>
      </c>
      <c r="AD190" s="243">
        <f>IF($Z190="",0,Shares!E190)</f>
        <v>0</v>
      </c>
      <c r="AE190" s="266">
        <f>IF($Z190="",0,Shares!J190*Shares!I190)</f>
        <v>0</v>
      </c>
      <c r="AF190" s="267">
        <f t="shared" si="35"/>
        <v>0</v>
      </c>
      <c r="AG190" s="266">
        <f>IF($Z190="",0,Shares!L190)</f>
        <v>0</v>
      </c>
      <c r="AH190" s="267">
        <f>IF($Z190="",0,Shares!M190)</f>
        <v>0</v>
      </c>
      <c r="AI190" s="243" t="str">
        <f>IF($Z190="","",RANK(AE190,$AE$2:$AE$1001)+COUNTIF($AE$2:AE190,AE190)-1)</f>
        <v/>
      </c>
      <c r="AJ190" s="243" t="str">
        <f>IF($AD190&lt;0,COUNT($AJ$1:AJ189)+1,"")</f>
        <v/>
      </c>
      <c r="AL190" s="243" t="str">
        <f>'All Ticker P&amp;L'!A190</f>
        <v/>
      </c>
      <c r="AM190" s="243" t="str">
        <f>'All Ticker P&amp;L'!B190</f>
        <v/>
      </c>
      <c r="AN190" s="243" t="str">
        <f>'All Ticker P&amp;L'!C190</f>
        <v/>
      </c>
      <c r="AO190" s="243" t="str">
        <f>'All Ticker P&amp;L'!D190</f>
        <v/>
      </c>
      <c r="AP190" s="243">
        <f>IF($AL190="",0,'All Ticker P&amp;L'!E190)</f>
        <v>0</v>
      </c>
      <c r="AQ190" s="266">
        <f>IF($AL190="",0,'All Ticker P&amp;L'!J190*'All Ticker P&amp;L'!I190)</f>
        <v>0</v>
      </c>
      <c r="AR190" s="266">
        <f>IF($AL190="",0,'All Ticker P&amp;L'!L190)</f>
        <v>0</v>
      </c>
      <c r="AS190" s="267">
        <f>IF($AL190="",0,'All Ticker P&amp;L'!M190)</f>
        <v>0</v>
      </c>
      <c r="AT190" s="243" t="str">
        <f>IF($AL190="","",RANK(AR190,$AR$2:$AR$1001)+COUNTIF($AR$2:AR190,AR190)-1)</f>
        <v/>
      </c>
      <c r="AU190" s="243" t="str">
        <f>IF($AL190="","",RANK(AV190,$AV$2:$AV$1001)+COUNTIF($AV$2:AV190,AV190)-1)</f>
        <v/>
      </c>
      <c r="AV190" s="266">
        <f t="shared" si="36"/>
        <v>0</v>
      </c>
    </row>
    <row r="191" spans="26:48" ht="15" customHeight="1" x14ac:dyDescent="0.2">
      <c r="Z191" s="243" t="str">
        <f>Shares!A191</f>
        <v/>
      </c>
      <c r="AA191" s="243" t="str">
        <f>Shares!B191</f>
        <v/>
      </c>
      <c r="AB191" s="243" t="str">
        <f>Shares!C191</f>
        <v/>
      </c>
      <c r="AC191" s="243" t="str">
        <f>Shares!D191</f>
        <v/>
      </c>
      <c r="AD191" s="243">
        <f>IF($Z191="",0,Shares!E191)</f>
        <v>0</v>
      </c>
      <c r="AE191" s="266">
        <f>IF($Z191="",0,Shares!J191*Shares!I191)</f>
        <v>0</v>
      </c>
      <c r="AF191" s="267">
        <f t="shared" si="35"/>
        <v>0</v>
      </c>
      <c r="AG191" s="266">
        <f>IF($Z191="",0,Shares!L191)</f>
        <v>0</v>
      </c>
      <c r="AH191" s="267">
        <f>IF($Z191="",0,Shares!M191)</f>
        <v>0</v>
      </c>
      <c r="AI191" s="243" t="str">
        <f>IF($Z191="","",RANK(AE191,$AE$2:$AE$1001)+COUNTIF($AE$2:AE191,AE191)-1)</f>
        <v/>
      </c>
      <c r="AJ191" s="243" t="str">
        <f>IF($AD191&lt;0,COUNT($AJ$1:AJ190)+1,"")</f>
        <v/>
      </c>
      <c r="AL191" s="243" t="str">
        <f>'All Ticker P&amp;L'!A191</f>
        <v/>
      </c>
      <c r="AM191" s="243" t="str">
        <f>'All Ticker P&amp;L'!B191</f>
        <v/>
      </c>
      <c r="AN191" s="243" t="str">
        <f>'All Ticker P&amp;L'!C191</f>
        <v/>
      </c>
      <c r="AO191" s="243" t="str">
        <f>'All Ticker P&amp;L'!D191</f>
        <v/>
      </c>
      <c r="AP191" s="243">
        <f>IF($AL191="",0,'All Ticker P&amp;L'!E191)</f>
        <v>0</v>
      </c>
      <c r="AQ191" s="266">
        <f>IF($AL191="",0,'All Ticker P&amp;L'!J191*'All Ticker P&amp;L'!I191)</f>
        <v>0</v>
      </c>
      <c r="AR191" s="266">
        <f>IF($AL191="",0,'All Ticker P&amp;L'!L191)</f>
        <v>0</v>
      </c>
      <c r="AS191" s="267">
        <f>IF($AL191="",0,'All Ticker P&amp;L'!M191)</f>
        <v>0</v>
      </c>
      <c r="AT191" s="243" t="str">
        <f>IF($AL191="","",RANK(AR191,$AR$2:$AR$1001)+COUNTIF($AR$2:AR191,AR191)-1)</f>
        <v/>
      </c>
      <c r="AU191" s="243" t="str">
        <f>IF($AL191="","",RANK(AV191,$AV$2:$AV$1001)+COUNTIF($AV$2:AV191,AV191)-1)</f>
        <v/>
      </c>
      <c r="AV191" s="266">
        <f t="shared" si="36"/>
        <v>0</v>
      </c>
    </row>
    <row r="192" spans="26:48" ht="15" customHeight="1" x14ac:dyDescent="0.2">
      <c r="Z192" s="243" t="str">
        <f>Shares!A192</f>
        <v/>
      </c>
      <c r="AA192" s="243" t="str">
        <f>Shares!B192</f>
        <v/>
      </c>
      <c r="AB192" s="243" t="str">
        <f>Shares!C192</f>
        <v/>
      </c>
      <c r="AC192" s="243" t="str">
        <f>Shares!D192</f>
        <v/>
      </c>
      <c r="AD192" s="243">
        <f>IF($Z192="",0,Shares!E192)</f>
        <v>0</v>
      </c>
      <c r="AE192" s="266">
        <f>IF($Z192="",0,Shares!J192*Shares!I192)</f>
        <v>0</v>
      </c>
      <c r="AF192" s="267">
        <f t="shared" si="35"/>
        <v>0</v>
      </c>
      <c r="AG192" s="266">
        <f>IF($Z192="",0,Shares!L192)</f>
        <v>0</v>
      </c>
      <c r="AH192" s="267">
        <f>IF($Z192="",0,Shares!M192)</f>
        <v>0</v>
      </c>
      <c r="AI192" s="243" t="str">
        <f>IF($Z192="","",RANK(AE192,$AE$2:$AE$1001)+COUNTIF($AE$2:AE192,AE192)-1)</f>
        <v/>
      </c>
      <c r="AJ192" s="243" t="str">
        <f>IF($AD192&lt;0,COUNT($AJ$1:AJ191)+1,"")</f>
        <v/>
      </c>
      <c r="AL192" s="243" t="str">
        <f>'All Ticker P&amp;L'!A192</f>
        <v/>
      </c>
      <c r="AM192" s="243" t="str">
        <f>'All Ticker P&amp;L'!B192</f>
        <v/>
      </c>
      <c r="AN192" s="243" t="str">
        <f>'All Ticker P&amp;L'!C192</f>
        <v/>
      </c>
      <c r="AO192" s="243" t="str">
        <f>'All Ticker P&amp;L'!D192</f>
        <v/>
      </c>
      <c r="AP192" s="243">
        <f>IF($AL192="",0,'All Ticker P&amp;L'!E192)</f>
        <v>0</v>
      </c>
      <c r="AQ192" s="266">
        <f>IF($AL192="",0,'All Ticker P&amp;L'!J192*'All Ticker P&amp;L'!I192)</f>
        <v>0</v>
      </c>
      <c r="AR192" s="266">
        <f>IF($AL192="",0,'All Ticker P&amp;L'!L192)</f>
        <v>0</v>
      </c>
      <c r="AS192" s="267">
        <f>IF($AL192="",0,'All Ticker P&amp;L'!M192)</f>
        <v>0</v>
      </c>
      <c r="AT192" s="243" t="str">
        <f>IF($AL192="","",RANK(AR192,$AR$2:$AR$1001)+COUNTIF($AR$2:AR192,AR192)-1)</f>
        <v/>
      </c>
      <c r="AU192" s="243" t="str">
        <f>IF($AL192="","",RANK(AV192,$AV$2:$AV$1001)+COUNTIF($AV$2:AV192,AV192)-1)</f>
        <v/>
      </c>
      <c r="AV192" s="266">
        <f t="shared" si="36"/>
        <v>0</v>
      </c>
    </row>
    <row r="193" spans="26:48" ht="15" customHeight="1" x14ac:dyDescent="0.2">
      <c r="Z193" s="243" t="str">
        <f>Shares!A193</f>
        <v/>
      </c>
      <c r="AA193" s="243" t="str">
        <f>Shares!B193</f>
        <v/>
      </c>
      <c r="AB193" s="243" t="str">
        <f>Shares!C193</f>
        <v/>
      </c>
      <c r="AC193" s="243" t="str">
        <f>Shares!D193</f>
        <v/>
      </c>
      <c r="AD193" s="243">
        <f>IF($Z193="",0,Shares!E193)</f>
        <v>0</v>
      </c>
      <c r="AE193" s="266">
        <f>IF($Z193="",0,Shares!J193*Shares!I193)</f>
        <v>0</v>
      </c>
      <c r="AF193" s="267">
        <f t="shared" si="35"/>
        <v>0</v>
      </c>
      <c r="AG193" s="266">
        <f>IF($Z193="",0,Shares!L193)</f>
        <v>0</v>
      </c>
      <c r="AH193" s="267">
        <f>IF($Z193="",0,Shares!M193)</f>
        <v>0</v>
      </c>
      <c r="AI193" s="243" t="str">
        <f>IF($Z193="","",RANK(AE193,$AE$2:$AE$1001)+COUNTIF($AE$2:AE193,AE193)-1)</f>
        <v/>
      </c>
      <c r="AJ193" s="243" t="str">
        <f>IF($AD193&lt;0,COUNT($AJ$1:AJ192)+1,"")</f>
        <v/>
      </c>
      <c r="AL193" s="243" t="str">
        <f>'All Ticker P&amp;L'!A193</f>
        <v/>
      </c>
      <c r="AM193" s="243" t="str">
        <f>'All Ticker P&amp;L'!B193</f>
        <v/>
      </c>
      <c r="AN193" s="243" t="str">
        <f>'All Ticker P&amp;L'!C193</f>
        <v/>
      </c>
      <c r="AO193" s="243" t="str">
        <f>'All Ticker P&amp;L'!D193</f>
        <v/>
      </c>
      <c r="AP193" s="243">
        <f>IF($AL193="",0,'All Ticker P&amp;L'!E193)</f>
        <v>0</v>
      </c>
      <c r="AQ193" s="266">
        <f>IF($AL193="",0,'All Ticker P&amp;L'!J193*'All Ticker P&amp;L'!I193)</f>
        <v>0</v>
      </c>
      <c r="AR193" s="266">
        <f>IF($AL193="",0,'All Ticker P&amp;L'!L193)</f>
        <v>0</v>
      </c>
      <c r="AS193" s="267">
        <f>IF($AL193="",0,'All Ticker P&amp;L'!M193)</f>
        <v>0</v>
      </c>
      <c r="AT193" s="243" t="str">
        <f>IF($AL193="","",RANK(AR193,$AR$2:$AR$1001)+COUNTIF($AR$2:AR193,AR193)-1)</f>
        <v/>
      </c>
      <c r="AU193" s="243" t="str">
        <f>IF($AL193="","",RANK(AV193,$AV$2:$AV$1001)+COUNTIF($AV$2:AV193,AV193)-1)</f>
        <v/>
      </c>
      <c r="AV193" s="266">
        <f t="shared" si="36"/>
        <v>0</v>
      </c>
    </row>
    <row r="194" spans="26:48" ht="15" customHeight="1" x14ac:dyDescent="0.2">
      <c r="Z194" s="243" t="str">
        <f>Shares!A194</f>
        <v/>
      </c>
      <c r="AA194" s="243" t="str">
        <f>Shares!B194</f>
        <v/>
      </c>
      <c r="AB194" s="243" t="str">
        <f>Shares!C194</f>
        <v/>
      </c>
      <c r="AC194" s="243" t="str">
        <f>Shares!D194</f>
        <v/>
      </c>
      <c r="AD194" s="243">
        <f>IF($Z194="",0,Shares!E194)</f>
        <v>0</v>
      </c>
      <c r="AE194" s="266">
        <f>IF($Z194="",0,Shares!J194*Shares!I194)</f>
        <v>0</v>
      </c>
      <c r="AF194" s="267">
        <f t="shared" ref="AF194:AF257" si="37">IFERROR(AE194/$B$5,0)</f>
        <v>0</v>
      </c>
      <c r="AG194" s="266">
        <f>IF($Z194="",0,Shares!L194)</f>
        <v>0</v>
      </c>
      <c r="AH194" s="267">
        <f>IF($Z194="",0,Shares!M194)</f>
        <v>0</v>
      </c>
      <c r="AI194" s="243" t="str">
        <f>IF($Z194="","",RANK(AE194,$AE$2:$AE$1001)+COUNTIF($AE$2:AE194,AE194)-1)</f>
        <v/>
      </c>
      <c r="AJ194" s="243" t="str">
        <f>IF($AD194&lt;0,COUNT($AJ$1:AJ193)+1,"")</f>
        <v/>
      </c>
      <c r="AL194" s="243" t="str">
        <f>'All Ticker P&amp;L'!A194</f>
        <v/>
      </c>
      <c r="AM194" s="243" t="str">
        <f>'All Ticker P&amp;L'!B194</f>
        <v/>
      </c>
      <c r="AN194" s="243" t="str">
        <f>'All Ticker P&amp;L'!C194</f>
        <v/>
      </c>
      <c r="AO194" s="243" t="str">
        <f>'All Ticker P&amp;L'!D194</f>
        <v/>
      </c>
      <c r="AP194" s="243">
        <f>IF($AL194="",0,'All Ticker P&amp;L'!E194)</f>
        <v>0</v>
      </c>
      <c r="AQ194" s="266">
        <f>IF($AL194="",0,'All Ticker P&amp;L'!J194*'All Ticker P&amp;L'!I194)</f>
        <v>0</v>
      </c>
      <c r="AR194" s="266">
        <f>IF($AL194="",0,'All Ticker P&amp;L'!L194)</f>
        <v>0</v>
      </c>
      <c r="AS194" s="267">
        <f>IF($AL194="",0,'All Ticker P&amp;L'!M194)</f>
        <v>0</v>
      </c>
      <c r="AT194" s="243" t="str">
        <f>IF($AL194="","",RANK(AR194,$AR$2:$AR$1001)+COUNTIF($AR$2:AR194,AR194)-1)</f>
        <v/>
      </c>
      <c r="AU194" s="243" t="str">
        <f>IF($AL194="","",RANK(AV194,$AV$2:$AV$1001)+COUNTIF($AV$2:AV194,AV194)-1)</f>
        <v/>
      </c>
      <c r="AV194" s="266">
        <f t="shared" ref="AV194:AV257" si="38">-AR194</f>
        <v>0</v>
      </c>
    </row>
    <row r="195" spans="26:48" ht="15" customHeight="1" x14ac:dyDescent="0.2">
      <c r="Z195" s="243" t="str">
        <f>Shares!A195</f>
        <v/>
      </c>
      <c r="AA195" s="243" t="str">
        <f>Shares!B195</f>
        <v/>
      </c>
      <c r="AB195" s="243" t="str">
        <f>Shares!C195</f>
        <v/>
      </c>
      <c r="AC195" s="243" t="str">
        <f>Shares!D195</f>
        <v/>
      </c>
      <c r="AD195" s="243">
        <f>IF($Z195="",0,Shares!E195)</f>
        <v>0</v>
      </c>
      <c r="AE195" s="266">
        <f>IF($Z195="",0,Shares!J195*Shares!I195)</f>
        <v>0</v>
      </c>
      <c r="AF195" s="267">
        <f t="shared" si="37"/>
        <v>0</v>
      </c>
      <c r="AG195" s="266">
        <f>IF($Z195="",0,Shares!L195)</f>
        <v>0</v>
      </c>
      <c r="AH195" s="267">
        <f>IF($Z195="",0,Shares!M195)</f>
        <v>0</v>
      </c>
      <c r="AI195" s="243" t="str">
        <f>IF($Z195="","",RANK(AE195,$AE$2:$AE$1001)+COUNTIF($AE$2:AE195,AE195)-1)</f>
        <v/>
      </c>
      <c r="AJ195" s="243" t="str">
        <f>IF($AD195&lt;0,COUNT($AJ$1:AJ194)+1,"")</f>
        <v/>
      </c>
      <c r="AL195" s="243" t="str">
        <f>'All Ticker P&amp;L'!A195</f>
        <v/>
      </c>
      <c r="AM195" s="243" t="str">
        <f>'All Ticker P&amp;L'!B195</f>
        <v/>
      </c>
      <c r="AN195" s="243" t="str">
        <f>'All Ticker P&amp;L'!C195</f>
        <v/>
      </c>
      <c r="AO195" s="243" t="str">
        <f>'All Ticker P&amp;L'!D195</f>
        <v/>
      </c>
      <c r="AP195" s="243">
        <f>IF($AL195="",0,'All Ticker P&amp;L'!E195)</f>
        <v>0</v>
      </c>
      <c r="AQ195" s="266">
        <f>IF($AL195="",0,'All Ticker P&amp;L'!J195*'All Ticker P&amp;L'!I195)</f>
        <v>0</v>
      </c>
      <c r="AR195" s="266">
        <f>IF($AL195="",0,'All Ticker P&amp;L'!L195)</f>
        <v>0</v>
      </c>
      <c r="AS195" s="267">
        <f>IF($AL195="",0,'All Ticker P&amp;L'!M195)</f>
        <v>0</v>
      </c>
      <c r="AT195" s="243" t="str">
        <f>IF($AL195="","",RANK(AR195,$AR$2:$AR$1001)+COUNTIF($AR$2:AR195,AR195)-1)</f>
        <v/>
      </c>
      <c r="AU195" s="243" t="str">
        <f>IF($AL195="","",RANK(AV195,$AV$2:$AV$1001)+COUNTIF($AV$2:AV195,AV195)-1)</f>
        <v/>
      </c>
      <c r="AV195" s="266">
        <f t="shared" si="38"/>
        <v>0</v>
      </c>
    </row>
    <row r="196" spans="26:48" ht="15" customHeight="1" x14ac:dyDescent="0.2">
      <c r="Z196" s="243" t="str">
        <f>Shares!A196</f>
        <v/>
      </c>
      <c r="AA196" s="243" t="str">
        <f>Shares!B196</f>
        <v/>
      </c>
      <c r="AB196" s="243" t="str">
        <f>Shares!C196</f>
        <v/>
      </c>
      <c r="AC196" s="243" t="str">
        <f>Shares!D196</f>
        <v/>
      </c>
      <c r="AD196" s="243">
        <f>IF($Z196="",0,Shares!E196)</f>
        <v>0</v>
      </c>
      <c r="AE196" s="266">
        <f>IF($Z196="",0,Shares!J196*Shares!I196)</f>
        <v>0</v>
      </c>
      <c r="AF196" s="267">
        <f t="shared" si="37"/>
        <v>0</v>
      </c>
      <c r="AG196" s="266">
        <f>IF($Z196="",0,Shares!L196)</f>
        <v>0</v>
      </c>
      <c r="AH196" s="267">
        <f>IF($Z196="",0,Shares!M196)</f>
        <v>0</v>
      </c>
      <c r="AI196" s="243" t="str">
        <f>IF($Z196="","",RANK(AE196,$AE$2:$AE$1001)+COUNTIF($AE$2:AE196,AE196)-1)</f>
        <v/>
      </c>
      <c r="AJ196" s="243" t="str">
        <f>IF($AD196&lt;0,COUNT($AJ$1:AJ195)+1,"")</f>
        <v/>
      </c>
      <c r="AL196" s="243" t="str">
        <f>'All Ticker P&amp;L'!A196</f>
        <v/>
      </c>
      <c r="AM196" s="243" t="str">
        <f>'All Ticker P&amp;L'!B196</f>
        <v/>
      </c>
      <c r="AN196" s="243" t="str">
        <f>'All Ticker P&amp;L'!C196</f>
        <v/>
      </c>
      <c r="AO196" s="243" t="str">
        <f>'All Ticker P&amp;L'!D196</f>
        <v/>
      </c>
      <c r="AP196" s="243">
        <f>IF($AL196="",0,'All Ticker P&amp;L'!E196)</f>
        <v>0</v>
      </c>
      <c r="AQ196" s="266">
        <f>IF($AL196="",0,'All Ticker P&amp;L'!J196*'All Ticker P&amp;L'!I196)</f>
        <v>0</v>
      </c>
      <c r="AR196" s="266">
        <f>IF($AL196="",0,'All Ticker P&amp;L'!L196)</f>
        <v>0</v>
      </c>
      <c r="AS196" s="267">
        <f>IF($AL196="",0,'All Ticker P&amp;L'!M196)</f>
        <v>0</v>
      </c>
      <c r="AT196" s="243" t="str">
        <f>IF($AL196="","",RANK(AR196,$AR$2:$AR$1001)+COUNTIF($AR$2:AR196,AR196)-1)</f>
        <v/>
      </c>
      <c r="AU196" s="243" t="str">
        <f>IF($AL196="","",RANK(AV196,$AV$2:$AV$1001)+COUNTIF($AV$2:AV196,AV196)-1)</f>
        <v/>
      </c>
      <c r="AV196" s="266">
        <f t="shared" si="38"/>
        <v>0</v>
      </c>
    </row>
    <row r="197" spans="26:48" ht="15" customHeight="1" x14ac:dyDescent="0.2">
      <c r="Z197" s="243" t="str">
        <f>Shares!A197</f>
        <v/>
      </c>
      <c r="AA197" s="243" t="str">
        <f>Shares!B197</f>
        <v/>
      </c>
      <c r="AB197" s="243" t="str">
        <f>Shares!C197</f>
        <v/>
      </c>
      <c r="AC197" s="243" t="str">
        <f>Shares!D197</f>
        <v/>
      </c>
      <c r="AD197" s="243">
        <f>IF($Z197="",0,Shares!E197)</f>
        <v>0</v>
      </c>
      <c r="AE197" s="266">
        <f>IF($Z197="",0,Shares!J197*Shares!I197)</f>
        <v>0</v>
      </c>
      <c r="AF197" s="267">
        <f t="shared" si="37"/>
        <v>0</v>
      </c>
      <c r="AG197" s="266">
        <f>IF($Z197="",0,Shares!L197)</f>
        <v>0</v>
      </c>
      <c r="AH197" s="267">
        <f>IF($Z197="",0,Shares!M197)</f>
        <v>0</v>
      </c>
      <c r="AI197" s="243" t="str">
        <f>IF($Z197="","",RANK(AE197,$AE$2:$AE$1001)+COUNTIF($AE$2:AE197,AE197)-1)</f>
        <v/>
      </c>
      <c r="AJ197" s="243" t="str">
        <f>IF($AD197&lt;0,COUNT($AJ$1:AJ196)+1,"")</f>
        <v/>
      </c>
      <c r="AL197" s="243" t="str">
        <f>'All Ticker P&amp;L'!A197</f>
        <v/>
      </c>
      <c r="AM197" s="243" t="str">
        <f>'All Ticker P&amp;L'!B197</f>
        <v/>
      </c>
      <c r="AN197" s="243" t="str">
        <f>'All Ticker P&amp;L'!C197</f>
        <v/>
      </c>
      <c r="AO197" s="243" t="str">
        <f>'All Ticker P&amp;L'!D197</f>
        <v/>
      </c>
      <c r="AP197" s="243">
        <f>IF($AL197="",0,'All Ticker P&amp;L'!E197)</f>
        <v>0</v>
      </c>
      <c r="AQ197" s="266">
        <f>IF($AL197="",0,'All Ticker P&amp;L'!J197*'All Ticker P&amp;L'!I197)</f>
        <v>0</v>
      </c>
      <c r="AR197" s="266">
        <f>IF($AL197="",0,'All Ticker P&amp;L'!L197)</f>
        <v>0</v>
      </c>
      <c r="AS197" s="267">
        <f>IF($AL197="",0,'All Ticker P&amp;L'!M197)</f>
        <v>0</v>
      </c>
      <c r="AT197" s="243" t="str">
        <f>IF($AL197="","",RANK(AR197,$AR$2:$AR$1001)+COUNTIF($AR$2:AR197,AR197)-1)</f>
        <v/>
      </c>
      <c r="AU197" s="243" t="str">
        <f>IF($AL197="","",RANK(AV197,$AV$2:$AV$1001)+COUNTIF($AV$2:AV197,AV197)-1)</f>
        <v/>
      </c>
      <c r="AV197" s="266">
        <f t="shared" si="38"/>
        <v>0</v>
      </c>
    </row>
    <row r="198" spans="26:48" ht="15" customHeight="1" x14ac:dyDescent="0.2">
      <c r="Z198" s="243" t="str">
        <f>Shares!A198</f>
        <v/>
      </c>
      <c r="AA198" s="243" t="str">
        <f>Shares!B198</f>
        <v/>
      </c>
      <c r="AB198" s="243" t="str">
        <f>Shares!C198</f>
        <v/>
      </c>
      <c r="AC198" s="243" t="str">
        <f>Shares!D198</f>
        <v/>
      </c>
      <c r="AD198" s="243">
        <f>IF($Z198="",0,Shares!E198)</f>
        <v>0</v>
      </c>
      <c r="AE198" s="266">
        <f>IF($Z198="",0,Shares!J198*Shares!I198)</f>
        <v>0</v>
      </c>
      <c r="AF198" s="267">
        <f t="shared" si="37"/>
        <v>0</v>
      </c>
      <c r="AG198" s="266">
        <f>IF($Z198="",0,Shares!L198)</f>
        <v>0</v>
      </c>
      <c r="AH198" s="267">
        <f>IF($Z198="",0,Shares!M198)</f>
        <v>0</v>
      </c>
      <c r="AI198" s="243" t="str">
        <f>IF($Z198="","",RANK(AE198,$AE$2:$AE$1001)+COUNTIF($AE$2:AE198,AE198)-1)</f>
        <v/>
      </c>
      <c r="AJ198" s="243" t="str">
        <f>IF($AD198&lt;0,COUNT($AJ$1:AJ197)+1,"")</f>
        <v/>
      </c>
      <c r="AL198" s="243" t="str">
        <f>'All Ticker P&amp;L'!A198</f>
        <v/>
      </c>
      <c r="AM198" s="243" t="str">
        <f>'All Ticker P&amp;L'!B198</f>
        <v/>
      </c>
      <c r="AN198" s="243" t="str">
        <f>'All Ticker P&amp;L'!C198</f>
        <v/>
      </c>
      <c r="AO198" s="243" t="str">
        <f>'All Ticker P&amp;L'!D198</f>
        <v/>
      </c>
      <c r="AP198" s="243">
        <f>IF($AL198="",0,'All Ticker P&amp;L'!E198)</f>
        <v>0</v>
      </c>
      <c r="AQ198" s="266">
        <f>IF($AL198="",0,'All Ticker P&amp;L'!J198*'All Ticker P&amp;L'!I198)</f>
        <v>0</v>
      </c>
      <c r="AR198" s="266">
        <f>IF($AL198="",0,'All Ticker P&amp;L'!L198)</f>
        <v>0</v>
      </c>
      <c r="AS198" s="267">
        <f>IF($AL198="",0,'All Ticker P&amp;L'!M198)</f>
        <v>0</v>
      </c>
      <c r="AT198" s="243" t="str">
        <f>IF($AL198="","",RANK(AR198,$AR$2:$AR$1001)+COUNTIF($AR$2:AR198,AR198)-1)</f>
        <v/>
      </c>
      <c r="AU198" s="243" t="str">
        <f>IF($AL198="","",RANK(AV198,$AV$2:$AV$1001)+COUNTIF($AV$2:AV198,AV198)-1)</f>
        <v/>
      </c>
      <c r="AV198" s="266">
        <f t="shared" si="38"/>
        <v>0</v>
      </c>
    </row>
    <row r="199" spans="26:48" ht="15" customHeight="1" x14ac:dyDescent="0.2">
      <c r="Z199" s="243" t="str">
        <f>Shares!A199</f>
        <v/>
      </c>
      <c r="AA199" s="243" t="str">
        <f>Shares!B199</f>
        <v/>
      </c>
      <c r="AB199" s="243" t="str">
        <f>Shares!C199</f>
        <v/>
      </c>
      <c r="AC199" s="243" t="str">
        <f>Shares!D199</f>
        <v/>
      </c>
      <c r="AD199" s="243">
        <f>IF($Z199="",0,Shares!E199)</f>
        <v>0</v>
      </c>
      <c r="AE199" s="266">
        <f>IF($Z199="",0,Shares!J199*Shares!I199)</f>
        <v>0</v>
      </c>
      <c r="AF199" s="267">
        <f t="shared" si="37"/>
        <v>0</v>
      </c>
      <c r="AG199" s="266">
        <f>IF($Z199="",0,Shares!L199)</f>
        <v>0</v>
      </c>
      <c r="AH199" s="267">
        <f>IF($Z199="",0,Shares!M199)</f>
        <v>0</v>
      </c>
      <c r="AI199" s="243" t="str">
        <f>IF($Z199="","",RANK(AE199,$AE$2:$AE$1001)+COUNTIF($AE$2:AE199,AE199)-1)</f>
        <v/>
      </c>
      <c r="AJ199" s="243" t="str">
        <f>IF($AD199&lt;0,COUNT($AJ$1:AJ198)+1,"")</f>
        <v/>
      </c>
      <c r="AL199" s="243" t="str">
        <f>'All Ticker P&amp;L'!A199</f>
        <v/>
      </c>
      <c r="AM199" s="243" t="str">
        <f>'All Ticker P&amp;L'!B199</f>
        <v/>
      </c>
      <c r="AN199" s="243" t="str">
        <f>'All Ticker P&amp;L'!C199</f>
        <v/>
      </c>
      <c r="AO199" s="243" t="str">
        <f>'All Ticker P&amp;L'!D199</f>
        <v/>
      </c>
      <c r="AP199" s="243">
        <f>IF($AL199="",0,'All Ticker P&amp;L'!E199)</f>
        <v>0</v>
      </c>
      <c r="AQ199" s="266">
        <f>IF($AL199="",0,'All Ticker P&amp;L'!J199*'All Ticker P&amp;L'!I199)</f>
        <v>0</v>
      </c>
      <c r="AR199" s="266">
        <f>IF($AL199="",0,'All Ticker P&amp;L'!L199)</f>
        <v>0</v>
      </c>
      <c r="AS199" s="267">
        <f>IF($AL199="",0,'All Ticker P&amp;L'!M199)</f>
        <v>0</v>
      </c>
      <c r="AT199" s="243" t="str">
        <f>IF($AL199="","",RANK(AR199,$AR$2:$AR$1001)+COUNTIF($AR$2:AR199,AR199)-1)</f>
        <v/>
      </c>
      <c r="AU199" s="243" t="str">
        <f>IF($AL199="","",RANK(AV199,$AV$2:$AV$1001)+COUNTIF($AV$2:AV199,AV199)-1)</f>
        <v/>
      </c>
      <c r="AV199" s="266">
        <f t="shared" si="38"/>
        <v>0</v>
      </c>
    </row>
    <row r="200" spans="26:48" ht="15" customHeight="1" x14ac:dyDescent="0.2">
      <c r="Z200" s="243" t="str">
        <f>Shares!A200</f>
        <v/>
      </c>
      <c r="AA200" s="243" t="str">
        <f>Shares!B200</f>
        <v/>
      </c>
      <c r="AB200" s="243" t="str">
        <f>Shares!C200</f>
        <v/>
      </c>
      <c r="AC200" s="243" t="str">
        <f>Shares!D200</f>
        <v/>
      </c>
      <c r="AD200" s="243">
        <f>IF($Z200="",0,Shares!E200)</f>
        <v>0</v>
      </c>
      <c r="AE200" s="266">
        <f>IF($Z200="",0,Shares!J200*Shares!I200)</f>
        <v>0</v>
      </c>
      <c r="AF200" s="267">
        <f t="shared" si="37"/>
        <v>0</v>
      </c>
      <c r="AG200" s="266">
        <f>IF($Z200="",0,Shares!L200)</f>
        <v>0</v>
      </c>
      <c r="AH200" s="267">
        <f>IF($Z200="",0,Shares!M200)</f>
        <v>0</v>
      </c>
      <c r="AI200" s="243" t="str">
        <f>IF($Z200="","",RANK(AE200,$AE$2:$AE$1001)+COUNTIF($AE$2:AE200,AE200)-1)</f>
        <v/>
      </c>
      <c r="AJ200" s="243" t="str">
        <f>IF($AD200&lt;0,COUNT($AJ$1:AJ199)+1,"")</f>
        <v/>
      </c>
      <c r="AL200" s="243" t="str">
        <f>'All Ticker P&amp;L'!A200</f>
        <v/>
      </c>
      <c r="AM200" s="243" t="str">
        <f>'All Ticker P&amp;L'!B200</f>
        <v/>
      </c>
      <c r="AN200" s="243" t="str">
        <f>'All Ticker P&amp;L'!C200</f>
        <v/>
      </c>
      <c r="AO200" s="243" t="str">
        <f>'All Ticker P&amp;L'!D200</f>
        <v/>
      </c>
      <c r="AP200" s="243">
        <f>IF($AL200="",0,'All Ticker P&amp;L'!E200)</f>
        <v>0</v>
      </c>
      <c r="AQ200" s="266">
        <f>IF($AL200="",0,'All Ticker P&amp;L'!J200*'All Ticker P&amp;L'!I200)</f>
        <v>0</v>
      </c>
      <c r="AR200" s="266">
        <f>IF($AL200="",0,'All Ticker P&amp;L'!L200)</f>
        <v>0</v>
      </c>
      <c r="AS200" s="267">
        <f>IF($AL200="",0,'All Ticker P&amp;L'!M200)</f>
        <v>0</v>
      </c>
      <c r="AT200" s="243" t="str">
        <f>IF($AL200="","",RANK(AR200,$AR$2:$AR$1001)+COUNTIF($AR$2:AR200,AR200)-1)</f>
        <v/>
      </c>
      <c r="AU200" s="243" t="str">
        <f>IF($AL200="","",RANK(AV200,$AV$2:$AV$1001)+COUNTIF($AV$2:AV200,AV200)-1)</f>
        <v/>
      </c>
      <c r="AV200" s="266">
        <f t="shared" si="38"/>
        <v>0</v>
      </c>
    </row>
    <row r="201" spans="26:48" ht="15" customHeight="1" x14ac:dyDescent="0.2">
      <c r="Z201" s="243" t="str">
        <f>Shares!A201</f>
        <v/>
      </c>
      <c r="AA201" s="243" t="str">
        <f>Shares!B201</f>
        <v/>
      </c>
      <c r="AB201" s="243" t="str">
        <f>Shares!C201</f>
        <v/>
      </c>
      <c r="AC201" s="243" t="str">
        <f>Shares!D201</f>
        <v/>
      </c>
      <c r="AD201" s="243">
        <f>IF($Z201="",0,Shares!E201)</f>
        <v>0</v>
      </c>
      <c r="AE201" s="266">
        <f>IF($Z201="",0,Shares!J201*Shares!I201)</f>
        <v>0</v>
      </c>
      <c r="AF201" s="267">
        <f t="shared" si="37"/>
        <v>0</v>
      </c>
      <c r="AG201" s="266">
        <f>IF($Z201="",0,Shares!L201)</f>
        <v>0</v>
      </c>
      <c r="AH201" s="267">
        <f>IF($Z201="",0,Shares!M201)</f>
        <v>0</v>
      </c>
      <c r="AI201" s="243" t="str">
        <f>IF($Z201="","",RANK(AE201,$AE$2:$AE$1001)+COUNTIF($AE$2:AE201,AE201)-1)</f>
        <v/>
      </c>
      <c r="AJ201" s="243" t="str">
        <f>IF($AD201&lt;0,COUNT($AJ$1:AJ200)+1,"")</f>
        <v/>
      </c>
      <c r="AL201" s="243" t="str">
        <f>'All Ticker P&amp;L'!A201</f>
        <v/>
      </c>
      <c r="AM201" s="243" t="str">
        <f>'All Ticker P&amp;L'!B201</f>
        <v/>
      </c>
      <c r="AN201" s="243" t="str">
        <f>'All Ticker P&amp;L'!C201</f>
        <v/>
      </c>
      <c r="AO201" s="243" t="str">
        <f>'All Ticker P&amp;L'!D201</f>
        <v/>
      </c>
      <c r="AP201" s="243">
        <f>IF($AL201="",0,'All Ticker P&amp;L'!E201)</f>
        <v>0</v>
      </c>
      <c r="AQ201" s="266">
        <f>IF($AL201="",0,'All Ticker P&amp;L'!J201*'All Ticker P&amp;L'!I201)</f>
        <v>0</v>
      </c>
      <c r="AR201" s="266">
        <f>IF($AL201="",0,'All Ticker P&amp;L'!L201)</f>
        <v>0</v>
      </c>
      <c r="AS201" s="267">
        <f>IF($AL201="",0,'All Ticker P&amp;L'!M201)</f>
        <v>0</v>
      </c>
      <c r="AT201" s="243" t="str">
        <f>IF($AL201="","",RANK(AR201,$AR$2:$AR$1001)+COUNTIF($AR$2:AR201,AR201)-1)</f>
        <v/>
      </c>
      <c r="AU201" s="243" t="str">
        <f>IF($AL201="","",RANK(AV201,$AV$2:$AV$1001)+COUNTIF($AV$2:AV201,AV201)-1)</f>
        <v/>
      </c>
      <c r="AV201" s="266">
        <f t="shared" si="38"/>
        <v>0</v>
      </c>
    </row>
    <row r="202" spans="26:48" ht="15" customHeight="1" x14ac:dyDescent="0.2">
      <c r="Z202" s="243" t="str">
        <f>Shares!A202</f>
        <v/>
      </c>
      <c r="AA202" s="243" t="str">
        <f>Shares!B202</f>
        <v/>
      </c>
      <c r="AB202" s="243" t="str">
        <f>Shares!C202</f>
        <v/>
      </c>
      <c r="AC202" s="243" t="str">
        <f>Shares!D202</f>
        <v/>
      </c>
      <c r="AD202" s="243">
        <f>IF($Z202="",0,Shares!E202)</f>
        <v>0</v>
      </c>
      <c r="AE202" s="266">
        <f>IF($Z202="",0,Shares!J202*Shares!I202)</f>
        <v>0</v>
      </c>
      <c r="AF202" s="267">
        <f t="shared" si="37"/>
        <v>0</v>
      </c>
      <c r="AG202" s="266">
        <f>IF($Z202="",0,Shares!L202)</f>
        <v>0</v>
      </c>
      <c r="AH202" s="267">
        <f>IF($Z202="",0,Shares!M202)</f>
        <v>0</v>
      </c>
      <c r="AI202" s="243" t="str">
        <f>IF($Z202="","",RANK(AE202,$AE$2:$AE$1001)+COUNTIF($AE$2:AE202,AE202)-1)</f>
        <v/>
      </c>
      <c r="AJ202" s="243" t="str">
        <f>IF($AD202&lt;0,COUNT($AJ$1:AJ201)+1,"")</f>
        <v/>
      </c>
      <c r="AL202" s="243" t="str">
        <f>'All Ticker P&amp;L'!A202</f>
        <v/>
      </c>
      <c r="AM202" s="243" t="str">
        <f>'All Ticker P&amp;L'!B202</f>
        <v/>
      </c>
      <c r="AN202" s="243" t="str">
        <f>'All Ticker P&amp;L'!C202</f>
        <v/>
      </c>
      <c r="AO202" s="243" t="str">
        <f>'All Ticker P&amp;L'!D202</f>
        <v/>
      </c>
      <c r="AP202" s="243">
        <f>IF($AL202="",0,'All Ticker P&amp;L'!E202)</f>
        <v>0</v>
      </c>
      <c r="AQ202" s="266">
        <f>IF($AL202="",0,'All Ticker P&amp;L'!J202*'All Ticker P&amp;L'!I202)</f>
        <v>0</v>
      </c>
      <c r="AR202" s="266">
        <f>IF($AL202="",0,'All Ticker P&amp;L'!L202)</f>
        <v>0</v>
      </c>
      <c r="AS202" s="267">
        <f>IF($AL202="",0,'All Ticker P&amp;L'!M202)</f>
        <v>0</v>
      </c>
      <c r="AT202" s="243" t="str">
        <f>IF($AL202="","",RANK(AR202,$AR$2:$AR$1001)+COUNTIF($AR$2:AR202,AR202)-1)</f>
        <v/>
      </c>
      <c r="AU202" s="243" t="str">
        <f>IF($AL202="","",RANK(AV202,$AV$2:$AV$1001)+COUNTIF($AV$2:AV202,AV202)-1)</f>
        <v/>
      </c>
      <c r="AV202" s="266">
        <f t="shared" si="38"/>
        <v>0</v>
      </c>
    </row>
    <row r="203" spans="26:48" ht="15" customHeight="1" x14ac:dyDescent="0.2">
      <c r="Z203" s="243" t="str">
        <f>Shares!A203</f>
        <v/>
      </c>
      <c r="AA203" s="243" t="str">
        <f>Shares!B203</f>
        <v/>
      </c>
      <c r="AB203" s="243" t="str">
        <f>Shares!C203</f>
        <v/>
      </c>
      <c r="AC203" s="243" t="str">
        <f>Shares!D203</f>
        <v/>
      </c>
      <c r="AD203" s="243">
        <f>IF($Z203="",0,Shares!E203)</f>
        <v>0</v>
      </c>
      <c r="AE203" s="266">
        <f>IF($Z203="",0,Shares!J203*Shares!I203)</f>
        <v>0</v>
      </c>
      <c r="AF203" s="267">
        <f t="shared" si="37"/>
        <v>0</v>
      </c>
      <c r="AG203" s="266">
        <f>IF($Z203="",0,Shares!L203)</f>
        <v>0</v>
      </c>
      <c r="AH203" s="267">
        <f>IF($Z203="",0,Shares!M203)</f>
        <v>0</v>
      </c>
      <c r="AI203" s="243" t="str">
        <f>IF($Z203="","",RANK(AE203,$AE$2:$AE$1001)+COUNTIF($AE$2:AE203,AE203)-1)</f>
        <v/>
      </c>
      <c r="AJ203" s="243" t="str">
        <f>IF($AD203&lt;0,COUNT($AJ$1:AJ202)+1,"")</f>
        <v/>
      </c>
      <c r="AL203" s="243" t="str">
        <f>'All Ticker P&amp;L'!A203</f>
        <v/>
      </c>
      <c r="AM203" s="243" t="str">
        <f>'All Ticker P&amp;L'!B203</f>
        <v/>
      </c>
      <c r="AN203" s="243" t="str">
        <f>'All Ticker P&amp;L'!C203</f>
        <v/>
      </c>
      <c r="AO203" s="243" t="str">
        <f>'All Ticker P&amp;L'!D203</f>
        <v/>
      </c>
      <c r="AP203" s="243">
        <f>IF($AL203="",0,'All Ticker P&amp;L'!E203)</f>
        <v>0</v>
      </c>
      <c r="AQ203" s="266">
        <f>IF($AL203="",0,'All Ticker P&amp;L'!J203*'All Ticker P&amp;L'!I203)</f>
        <v>0</v>
      </c>
      <c r="AR203" s="266">
        <f>IF($AL203="",0,'All Ticker P&amp;L'!L203)</f>
        <v>0</v>
      </c>
      <c r="AS203" s="267">
        <f>IF($AL203="",0,'All Ticker P&amp;L'!M203)</f>
        <v>0</v>
      </c>
      <c r="AT203" s="243" t="str">
        <f>IF($AL203="","",RANK(AR203,$AR$2:$AR$1001)+COUNTIF($AR$2:AR203,AR203)-1)</f>
        <v/>
      </c>
      <c r="AU203" s="243" t="str">
        <f>IF($AL203="","",RANK(AV203,$AV$2:$AV$1001)+COUNTIF($AV$2:AV203,AV203)-1)</f>
        <v/>
      </c>
      <c r="AV203" s="266">
        <f t="shared" si="38"/>
        <v>0</v>
      </c>
    </row>
    <row r="204" spans="26:48" ht="15" customHeight="1" x14ac:dyDescent="0.2">
      <c r="Z204" s="243" t="str">
        <f>Shares!A204</f>
        <v/>
      </c>
      <c r="AA204" s="243" t="str">
        <f>Shares!B204</f>
        <v/>
      </c>
      <c r="AB204" s="243" t="str">
        <f>Shares!C204</f>
        <v/>
      </c>
      <c r="AC204" s="243" t="str">
        <f>Shares!D204</f>
        <v/>
      </c>
      <c r="AD204" s="243">
        <f>IF($Z204="",0,Shares!E204)</f>
        <v>0</v>
      </c>
      <c r="AE204" s="266">
        <f>IF($Z204="",0,Shares!J204*Shares!I204)</f>
        <v>0</v>
      </c>
      <c r="AF204" s="267">
        <f t="shared" si="37"/>
        <v>0</v>
      </c>
      <c r="AG204" s="266">
        <f>IF($Z204="",0,Shares!L204)</f>
        <v>0</v>
      </c>
      <c r="AH204" s="267">
        <f>IF($Z204="",0,Shares!M204)</f>
        <v>0</v>
      </c>
      <c r="AI204" s="243" t="str">
        <f>IF($Z204="","",RANK(AE204,$AE$2:$AE$1001)+COUNTIF($AE$2:AE204,AE204)-1)</f>
        <v/>
      </c>
      <c r="AJ204" s="243" t="str">
        <f>IF($AD204&lt;0,COUNT($AJ$1:AJ203)+1,"")</f>
        <v/>
      </c>
      <c r="AL204" s="243" t="str">
        <f>'All Ticker P&amp;L'!A204</f>
        <v/>
      </c>
      <c r="AM204" s="243" t="str">
        <f>'All Ticker P&amp;L'!B204</f>
        <v/>
      </c>
      <c r="AN204" s="243" t="str">
        <f>'All Ticker P&amp;L'!C204</f>
        <v/>
      </c>
      <c r="AO204" s="243" t="str">
        <f>'All Ticker P&amp;L'!D204</f>
        <v/>
      </c>
      <c r="AP204" s="243">
        <f>IF($AL204="",0,'All Ticker P&amp;L'!E204)</f>
        <v>0</v>
      </c>
      <c r="AQ204" s="266">
        <f>IF($AL204="",0,'All Ticker P&amp;L'!J204*'All Ticker P&amp;L'!I204)</f>
        <v>0</v>
      </c>
      <c r="AR204" s="266">
        <f>IF($AL204="",0,'All Ticker P&amp;L'!L204)</f>
        <v>0</v>
      </c>
      <c r="AS204" s="267">
        <f>IF($AL204="",0,'All Ticker P&amp;L'!M204)</f>
        <v>0</v>
      </c>
      <c r="AT204" s="243" t="str">
        <f>IF($AL204="","",RANK(AR204,$AR$2:$AR$1001)+COUNTIF($AR$2:AR204,AR204)-1)</f>
        <v/>
      </c>
      <c r="AU204" s="243" t="str">
        <f>IF($AL204="","",RANK(AV204,$AV$2:$AV$1001)+COUNTIF($AV$2:AV204,AV204)-1)</f>
        <v/>
      </c>
      <c r="AV204" s="266">
        <f t="shared" si="38"/>
        <v>0</v>
      </c>
    </row>
    <row r="205" spans="26:48" ht="15" customHeight="1" x14ac:dyDescent="0.2">
      <c r="Z205" s="243" t="str">
        <f>Shares!A205</f>
        <v/>
      </c>
      <c r="AA205" s="243" t="str">
        <f>Shares!B205</f>
        <v/>
      </c>
      <c r="AB205" s="243" t="str">
        <f>Shares!C205</f>
        <v/>
      </c>
      <c r="AC205" s="243" t="str">
        <f>Shares!D205</f>
        <v/>
      </c>
      <c r="AD205" s="243">
        <f>IF($Z205="",0,Shares!E205)</f>
        <v>0</v>
      </c>
      <c r="AE205" s="266">
        <f>IF($Z205="",0,Shares!J205*Shares!I205)</f>
        <v>0</v>
      </c>
      <c r="AF205" s="267">
        <f t="shared" si="37"/>
        <v>0</v>
      </c>
      <c r="AG205" s="266">
        <f>IF($Z205="",0,Shares!L205)</f>
        <v>0</v>
      </c>
      <c r="AH205" s="267">
        <f>IF($Z205="",0,Shares!M205)</f>
        <v>0</v>
      </c>
      <c r="AI205" s="243" t="str">
        <f>IF($Z205="","",RANK(AE205,$AE$2:$AE$1001)+COUNTIF($AE$2:AE205,AE205)-1)</f>
        <v/>
      </c>
      <c r="AJ205" s="243" t="str">
        <f>IF($AD205&lt;0,COUNT($AJ$1:AJ204)+1,"")</f>
        <v/>
      </c>
      <c r="AL205" s="243" t="str">
        <f>'All Ticker P&amp;L'!A205</f>
        <v/>
      </c>
      <c r="AM205" s="243" t="str">
        <f>'All Ticker P&amp;L'!B205</f>
        <v/>
      </c>
      <c r="AN205" s="243" t="str">
        <f>'All Ticker P&amp;L'!C205</f>
        <v/>
      </c>
      <c r="AO205" s="243" t="str">
        <f>'All Ticker P&amp;L'!D205</f>
        <v/>
      </c>
      <c r="AP205" s="243">
        <f>IF($AL205="",0,'All Ticker P&amp;L'!E205)</f>
        <v>0</v>
      </c>
      <c r="AQ205" s="266">
        <f>IF($AL205="",0,'All Ticker P&amp;L'!J205*'All Ticker P&amp;L'!I205)</f>
        <v>0</v>
      </c>
      <c r="AR205" s="266">
        <f>IF($AL205="",0,'All Ticker P&amp;L'!L205)</f>
        <v>0</v>
      </c>
      <c r="AS205" s="267">
        <f>IF($AL205="",0,'All Ticker P&amp;L'!M205)</f>
        <v>0</v>
      </c>
      <c r="AT205" s="243" t="str">
        <f>IF($AL205="","",RANK(AR205,$AR$2:$AR$1001)+COUNTIF($AR$2:AR205,AR205)-1)</f>
        <v/>
      </c>
      <c r="AU205" s="243" t="str">
        <f>IF($AL205="","",RANK(AV205,$AV$2:$AV$1001)+COUNTIF($AV$2:AV205,AV205)-1)</f>
        <v/>
      </c>
      <c r="AV205" s="266">
        <f t="shared" si="38"/>
        <v>0</v>
      </c>
    </row>
    <row r="206" spans="26:48" ht="15" customHeight="1" x14ac:dyDescent="0.2">
      <c r="Z206" s="243" t="str">
        <f>Shares!A206</f>
        <v/>
      </c>
      <c r="AA206" s="243" t="str">
        <f>Shares!B206</f>
        <v/>
      </c>
      <c r="AB206" s="243" t="str">
        <f>Shares!C206</f>
        <v/>
      </c>
      <c r="AC206" s="243" t="str">
        <f>Shares!D206</f>
        <v/>
      </c>
      <c r="AD206" s="243">
        <f>IF($Z206="",0,Shares!E206)</f>
        <v>0</v>
      </c>
      <c r="AE206" s="266">
        <f>IF($Z206="",0,Shares!J206*Shares!I206)</f>
        <v>0</v>
      </c>
      <c r="AF206" s="267">
        <f t="shared" si="37"/>
        <v>0</v>
      </c>
      <c r="AG206" s="266">
        <f>IF($Z206="",0,Shares!L206)</f>
        <v>0</v>
      </c>
      <c r="AH206" s="267">
        <f>IF($Z206="",0,Shares!M206)</f>
        <v>0</v>
      </c>
      <c r="AI206" s="243" t="str">
        <f>IF($Z206="","",RANK(AE206,$AE$2:$AE$1001)+COUNTIF($AE$2:AE206,AE206)-1)</f>
        <v/>
      </c>
      <c r="AJ206" s="243" t="str">
        <f>IF($AD206&lt;0,COUNT($AJ$1:AJ205)+1,"")</f>
        <v/>
      </c>
      <c r="AL206" s="243" t="str">
        <f>'All Ticker P&amp;L'!A206</f>
        <v/>
      </c>
      <c r="AM206" s="243" t="str">
        <f>'All Ticker P&amp;L'!B206</f>
        <v/>
      </c>
      <c r="AN206" s="243" t="str">
        <f>'All Ticker P&amp;L'!C206</f>
        <v/>
      </c>
      <c r="AO206" s="243" t="str">
        <f>'All Ticker P&amp;L'!D206</f>
        <v/>
      </c>
      <c r="AP206" s="243">
        <f>IF($AL206="",0,'All Ticker P&amp;L'!E206)</f>
        <v>0</v>
      </c>
      <c r="AQ206" s="266">
        <f>IF($AL206="",0,'All Ticker P&amp;L'!J206*'All Ticker P&amp;L'!I206)</f>
        <v>0</v>
      </c>
      <c r="AR206" s="266">
        <f>IF($AL206="",0,'All Ticker P&amp;L'!L206)</f>
        <v>0</v>
      </c>
      <c r="AS206" s="267">
        <f>IF($AL206="",0,'All Ticker P&amp;L'!M206)</f>
        <v>0</v>
      </c>
      <c r="AT206" s="243" t="str">
        <f>IF($AL206="","",RANK(AR206,$AR$2:$AR$1001)+COUNTIF($AR$2:AR206,AR206)-1)</f>
        <v/>
      </c>
      <c r="AU206" s="243" t="str">
        <f>IF($AL206="","",RANK(AV206,$AV$2:$AV$1001)+COUNTIF($AV$2:AV206,AV206)-1)</f>
        <v/>
      </c>
      <c r="AV206" s="266">
        <f t="shared" si="38"/>
        <v>0</v>
      </c>
    </row>
    <row r="207" spans="26:48" ht="15" customHeight="1" x14ac:dyDescent="0.2">
      <c r="Z207" s="243" t="str">
        <f>Shares!A207</f>
        <v/>
      </c>
      <c r="AA207" s="243" t="str">
        <f>Shares!B207</f>
        <v/>
      </c>
      <c r="AB207" s="243" t="str">
        <f>Shares!C207</f>
        <v/>
      </c>
      <c r="AC207" s="243" t="str">
        <f>Shares!D207</f>
        <v/>
      </c>
      <c r="AD207" s="243">
        <f>IF($Z207="",0,Shares!E207)</f>
        <v>0</v>
      </c>
      <c r="AE207" s="266">
        <f>IF($Z207="",0,Shares!J207*Shares!I207)</f>
        <v>0</v>
      </c>
      <c r="AF207" s="267">
        <f t="shared" si="37"/>
        <v>0</v>
      </c>
      <c r="AG207" s="266">
        <f>IF($Z207="",0,Shares!L207)</f>
        <v>0</v>
      </c>
      <c r="AH207" s="267">
        <f>IF($Z207="",0,Shares!M207)</f>
        <v>0</v>
      </c>
      <c r="AI207" s="243" t="str">
        <f>IF($Z207="","",RANK(AE207,$AE$2:$AE$1001)+COUNTIF($AE$2:AE207,AE207)-1)</f>
        <v/>
      </c>
      <c r="AJ207" s="243" t="str">
        <f>IF($AD207&lt;0,COUNT($AJ$1:AJ206)+1,"")</f>
        <v/>
      </c>
      <c r="AL207" s="243" t="str">
        <f>'All Ticker P&amp;L'!A207</f>
        <v/>
      </c>
      <c r="AM207" s="243" t="str">
        <f>'All Ticker P&amp;L'!B207</f>
        <v/>
      </c>
      <c r="AN207" s="243" t="str">
        <f>'All Ticker P&amp;L'!C207</f>
        <v/>
      </c>
      <c r="AO207" s="243" t="str">
        <f>'All Ticker P&amp;L'!D207</f>
        <v/>
      </c>
      <c r="AP207" s="243">
        <f>IF($AL207="",0,'All Ticker P&amp;L'!E207)</f>
        <v>0</v>
      </c>
      <c r="AQ207" s="266">
        <f>IF($AL207="",0,'All Ticker P&amp;L'!J207*'All Ticker P&amp;L'!I207)</f>
        <v>0</v>
      </c>
      <c r="AR207" s="266">
        <f>IF($AL207="",0,'All Ticker P&amp;L'!L207)</f>
        <v>0</v>
      </c>
      <c r="AS207" s="267">
        <f>IF($AL207="",0,'All Ticker P&amp;L'!M207)</f>
        <v>0</v>
      </c>
      <c r="AT207" s="243" t="str">
        <f>IF($AL207="","",RANK(AR207,$AR$2:$AR$1001)+COUNTIF($AR$2:AR207,AR207)-1)</f>
        <v/>
      </c>
      <c r="AU207" s="243" t="str">
        <f>IF($AL207="","",RANK(AV207,$AV$2:$AV$1001)+COUNTIF($AV$2:AV207,AV207)-1)</f>
        <v/>
      </c>
      <c r="AV207" s="266">
        <f t="shared" si="38"/>
        <v>0</v>
      </c>
    </row>
    <row r="208" spans="26:48" ht="15" customHeight="1" x14ac:dyDescent="0.2">
      <c r="Z208" s="243" t="str">
        <f>Shares!A208</f>
        <v/>
      </c>
      <c r="AA208" s="243" t="str">
        <f>Shares!B208</f>
        <v/>
      </c>
      <c r="AB208" s="243" t="str">
        <f>Shares!C208</f>
        <v/>
      </c>
      <c r="AC208" s="243" t="str">
        <f>Shares!D208</f>
        <v/>
      </c>
      <c r="AD208" s="243">
        <f>IF($Z208="",0,Shares!E208)</f>
        <v>0</v>
      </c>
      <c r="AE208" s="266">
        <f>IF($Z208="",0,Shares!J208*Shares!I208)</f>
        <v>0</v>
      </c>
      <c r="AF208" s="267">
        <f t="shared" si="37"/>
        <v>0</v>
      </c>
      <c r="AG208" s="266">
        <f>IF($Z208="",0,Shares!L208)</f>
        <v>0</v>
      </c>
      <c r="AH208" s="267">
        <f>IF($Z208="",0,Shares!M208)</f>
        <v>0</v>
      </c>
      <c r="AI208" s="243" t="str">
        <f>IF($Z208="","",RANK(AE208,$AE$2:$AE$1001)+COUNTIF($AE$2:AE208,AE208)-1)</f>
        <v/>
      </c>
      <c r="AJ208" s="243" t="str">
        <f>IF($AD208&lt;0,COUNT($AJ$1:AJ207)+1,"")</f>
        <v/>
      </c>
      <c r="AL208" s="243" t="str">
        <f>'All Ticker P&amp;L'!A208</f>
        <v/>
      </c>
      <c r="AM208" s="243" t="str">
        <f>'All Ticker P&amp;L'!B208</f>
        <v/>
      </c>
      <c r="AN208" s="243" t="str">
        <f>'All Ticker P&amp;L'!C208</f>
        <v/>
      </c>
      <c r="AO208" s="243" t="str">
        <f>'All Ticker P&amp;L'!D208</f>
        <v/>
      </c>
      <c r="AP208" s="243">
        <f>IF($AL208="",0,'All Ticker P&amp;L'!E208)</f>
        <v>0</v>
      </c>
      <c r="AQ208" s="266">
        <f>IF($AL208="",0,'All Ticker P&amp;L'!J208*'All Ticker P&amp;L'!I208)</f>
        <v>0</v>
      </c>
      <c r="AR208" s="266">
        <f>IF($AL208="",0,'All Ticker P&amp;L'!L208)</f>
        <v>0</v>
      </c>
      <c r="AS208" s="267">
        <f>IF($AL208="",0,'All Ticker P&amp;L'!M208)</f>
        <v>0</v>
      </c>
      <c r="AT208" s="243" t="str">
        <f>IF($AL208="","",RANK(AR208,$AR$2:$AR$1001)+COUNTIF($AR$2:AR208,AR208)-1)</f>
        <v/>
      </c>
      <c r="AU208" s="243" t="str">
        <f>IF($AL208="","",RANK(AV208,$AV$2:$AV$1001)+COUNTIF($AV$2:AV208,AV208)-1)</f>
        <v/>
      </c>
      <c r="AV208" s="266">
        <f t="shared" si="38"/>
        <v>0</v>
      </c>
    </row>
    <row r="209" spans="26:48" ht="15" customHeight="1" x14ac:dyDescent="0.2">
      <c r="Z209" s="243" t="str">
        <f>Shares!A209</f>
        <v/>
      </c>
      <c r="AA209" s="243" t="str">
        <f>Shares!B209</f>
        <v/>
      </c>
      <c r="AB209" s="243" t="str">
        <f>Shares!C209</f>
        <v/>
      </c>
      <c r="AC209" s="243" t="str">
        <f>Shares!D209</f>
        <v/>
      </c>
      <c r="AD209" s="243">
        <f>IF($Z209="",0,Shares!E209)</f>
        <v>0</v>
      </c>
      <c r="AE209" s="266">
        <f>IF($Z209="",0,Shares!J209*Shares!I209)</f>
        <v>0</v>
      </c>
      <c r="AF209" s="267">
        <f t="shared" si="37"/>
        <v>0</v>
      </c>
      <c r="AG209" s="266">
        <f>IF($Z209="",0,Shares!L209)</f>
        <v>0</v>
      </c>
      <c r="AH209" s="267">
        <f>IF($Z209="",0,Shares!M209)</f>
        <v>0</v>
      </c>
      <c r="AI209" s="243" t="str">
        <f>IF($Z209="","",RANK(AE209,$AE$2:$AE$1001)+COUNTIF($AE$2:AE209,AE209)-1)</f>
        <v/>
      </c>
      <c r="AJ209" s="243" t="str">
        <f>IF($AD209&lt;0,COUNT($AJ$1:AJ208)+1,"")</f>
        <v/>
      </c>
      <c r="AL209" s="243" t="str">
        <f>'All Ticker P&amp;L'!A209</f>
        <v/>
      </c>
      <c r="AM209" s="243" t="str">
        <f>'All Ticker P&amp;L'!B209</f>
        <v/>
      </c>
      <c r="AN209" s="243" t="str">
        <f>'All Ticker P&amp;L'!C209</f>
        <v/>
      </c>
      <c r="AO209" s="243" t="str">
        <f>'All Ticker P&amp;L'!D209</f>
        <v/>
      </c>
      <c r="AP209" s="243">
        <f>IF($AL209="",0,'All Ticker P&amp;L'!E209)</f>
        <v>0</v>
      </c>
      <c r="AQ209" s="266">
        <f>IF($AL209="",0,'All Ticker P&amp;L'!J209*'All Ticker P&amp;L'!I209)</f>
        <v>0</v>
      </c>
      <c r="AR209" s="266">
        <f>IF($AL209="",0,'All Ticker P&amp;L'!L209)</f>
        <v>0</v>
      </c>
      <c r="AS209" s="267">
        <f>IF($AL209="",0,'All Ticker P&amp;L'!M209)</f>
        <v>0</v>
      </c>
      <c r="AT209" s="243" t="str">
        <f>IF($AL209="","",RANK(AR209,$AR$2:$AR$1001)+COUNTIF($AR$2:AR209,AR209)-1)</f>
        <v/>
      </c>
      <c r="AU209" s="243" t="str">
        <f>IF($AL209="","",RANK(AV209,$AV$2:$AV$1001)+COUNTIF($AV$2:AV209,AV209)-1)</f>
        <v/>
      </c>
      <c r="AV209" s="266">
        <f t="shared" si="38"/>
        <v>0</v>
      </c>
    </row>
    <row r="210" spans="26:48" ht="15" customHeight="1" x14ac:dyDescent="0.2">
      <c r="Z210" s="243" t="str">
        <f>Shares!A210</f>
        <v/>
      </c>
      <c r="AA210" s="243" t="str">
        <f>Shares!B210</f>
        <v/>
      </c>
      <c r="AB210" s="243" t="str">
        <f>Shares!C210</f>
        <v/>
      </c>
      <c r="AC210" s="243" t="str">
        <f>Shares!D210</f>
        <v/>
      </c>
      <c r="AD210" s="243">
        <f>IF($Z210="",0,Shares!E210)</f>
        <v>0</v>
      </c>
      <c r="AE210" s="266">
        <f>IF($Z210="",0,Shares!J210*Shares!I210)</f>
        <v>0</v>
      </c>
      <c r="AF210" s="267">
        <f t="shared" si="37"/>
        <v>0</v>
      </c>
      <c r="AG210" s="266">
        <f>IF($Z210="",0,Shares!L210)</f>
        <v>0</v>
      </c>
      <c r="AH210" s="267">
        <f>IF($Z210="",0,Shares!M210)</f>
        <v>0</v>
      </c>
      <c r="AI210" s="243" t="str">
        <f>IF($Z210="","",RANK(AE210,$AE$2:$AE$1001)+COUNTIF($AE$2:AE210,AE210)-1)</f>
        <v/>
      </c>
      <c r="AJ210" s="243" t="str">
        <f>IF($AD210&lt;0,COUNT($AJ$1:AJ209)+1,"")</f>
        <v/>
      </c>
      <c r="AL210" s="243" t="str">
        <f>'All Ticker P&amp;L'!A210</f>
        <v/>
      </c>
      <c r="AM210" s="243" t="str">
        <f>'All Ticker P&amp;L'!B210</f>
        <v/>
      </c>
      <c r="AN210" s="243" t="str">
        <f>'All Ticker P&amp;L'!C210</f>
        <v/>
      </c>
      <c r="AO210" s="243" t="str">
        <f>'All Ticker P&amp;L'!D210</f>
        <v/>
      </c>
      <c r="AP210" s="243">
        <f>IF($AL210="",0,'All Ticker P&amp;L'!E210)</f>
        <v>0</v>
      </c>
      <c r="AQ210" s="266">
        <f>IF($AL210="",0,'All Ticker P&amp;L'!J210*'All Ticker P&amp;L'!I210)</f>
        <v>0</v>
      </c>
      <c r="AR210" s="266">
        <f>IF($AL210="",0,'All Ticker P&amp;L'!L210)</f>
        <v>0</v>
      </c>
      <c r="AS210" s="267">
        <f>IF($AL210="",0,'All Ticker P&amp;L'!M210)</f>
        <v>0</v>
      </c>
      <c r="AT210" s="243" t="str">
        <f>IF($AL210="","",RANK(AR210,$AR$2:$AR$1001)+COUNTIF($AR$2:AR210,AR210)-1)</f>
        <v/>
      </c>
      <c r="AU210" s="243" t="str">
        <f>IF($AL210="","",RANK(AV210,$AV$2:$AV$1001)+COUNTIF($AV$2:AV210,AV210)-1)</f>
        <v/>
      </c>
      <c r="AV210" s="266">
        <f t="shared" si="38"/>
        <v>0</v>
      </c>
    </row>
    <row r="211" spans="26:48" ht="15" customHeight="1" x14ac:dyDescent="0.2">
      <c r="Z211" s="243" t="str">
        <f>Shares!A211</f>
        <v/>
      </c>
      <c r="AA211" s="243" t="str">
        <f>Shares!B211</f>
        <v/>
      </c>
      <c r="AB211" s="243" t="str">
        <f>Shares!C211</f>
        <v/>
      </c>
      <c r="AC211" s="243" t="str">
        <f>Shares!D211</f>
        <v/>
      </c>
      <c r="AD211" s="243">
        <f>IF($Z211="",0,Shares!E211)</f>
        <v>0</v>
      </c>
      <c r="AE211" s="266">
        <f>IF($Z211="",0,Shares!J211*Shares!I211)</f>
        <v>0</v>
      </c>
      <c r="AF211" s="267">
        <f t="shared" si="37"/>
        <v>0</v>
      </c>
      <c r="AG211" s="266">
        <f>IF($Z211="",0,Shares!L211)</f>
        <v>0</v>
      </c>
      <c r="AH211" s="267">
        <f>IF($Z211="",0,Shares!M211)</f>
        <v>0</v>
      </c>
      <c r="AI211" s="243" t="str">
        <f>IF($Z211="","",RANK(AE211,$AE$2:$AE$1001)+COUNTIF($AE$2:AE211,AE211)-1)</f>
        <v/>
      </c>
      <c r="AJ211" s="243" t="str">
        <f>IF($AD211&lt;0,COUNT($AJ$1:AJ210)+1,"")</f>
        <v/>
      </c>
      <c r="AL211" s="243" t="str">
        <f>'All Ticker P&amp;L'!A211</f>
        <v/>
      </c>
      <c r="AM211" s="243" t="str">
        <f>'All Ticker P&amp;L'!B211</f>
        <v/>
      </c>
      <c r="AN211" s="243" t="str">
        <f>'All Ticker P&amp;L'!C211</f>
        <v/>
      </c>
      <c r="AO211" s="243" t="str">
        <f>'All Ticker P&amp;L'!D211</f>
        <v/>
      </c>
      <c r="AP211" s="243">
        <f>IF($AL211="",0,'All Ticker P&amp;L'!E211)</f>
        <v>0</v>
      </c>
      <c r="AQ211" s="266">
        <f>IF($AL211="",0,'All Ticker P&amp;L'!J211*'All Ticker P&amp;L'!I211)</f>
        <v>0</v>
      </c>
      <c r="AR211" s="266">
        <f>IF($AL211="",0,'All Ticker P&amp;L'!L211)</f>
        <v>0</v>
      </c>
      <c r="AS211" s="267">
        <f>IF($AL211="",0,'All Ticker P&amp;L'!M211)</f>
        <v>0</v>
      </c>
      <c r="AT211" s="243" t="str">
        <f>IF($AL211="","",RANK(AR211,$AR$2:$AR$1001)+COUNTIF($AR$2:AR211,AR211)-1)</f>
        <v/>
      </c>
      <c r="AU211" s="243" t="str">
        <f>IF($AL211="","",RANK(AV211,$AV$2:$AV$1001)+COUNTIF($AV$2:AV211,AV211)-1)</f>
        <v/>
      </c>
      <c r="AV211" s="266">
        <f t="shared" si="38"/>
        <v>0</v>
      </c>
    </row>
    <row r="212" spans="26:48" ht="15" customHeight="1" x14ac:dyDescent="0.2">
      <c r="Z212" s="243" t="str">
        <f>Shares!A212</f>
        <v/>
      </c>
      <c r="AA212" s="243" t="str">
        <f>Shares!B212</f>
        <v/>
      </c>
      <c r="AB212" s="243" t="str">
        <f>Shares!C212</f>
        <v/>
      </c>
      <c r="AC212" s="243" t="str">
        <f>Shares!D212</f>
        <v/>
      </c>
      <c r="AD212" s="243">
        <f>IF($Z212="",0,Shares!E212)</f>
        <v>0</v>
      </c>
      <c r="AE212" s="266">
        <f>IF($Z212="",0,Shares!J212*Shares!I212)</f>
        <v>0</v>
      </c>
      <c r="AF212" s="267">
        <f t="shared" si="37"/>
        <v>0</v>
      </c>
      <c r="AG212" s="266">
        <f>IF($Z212="",0,Shares!L212)</f>
        <v>0</v>
      </c>
      <c r="AH212" s="267">
        <f>IF($Z212="",0,Shares!M212)</f>
        <v>0</v>
      </c>
      <c r="AI212" s="243" t="str">
        <f>IF($Z212="","",RANK(AE212,$AE$2:$AE$1001)+COUNTIF($AE$2:AE212,AE212)-1)</f>
        <v/>
      </c>
      <c r="AJ212" s="243" t="str">
        <f>IF($AD212&lt;0,COUNT($AJ$1:AJ211)+1,"")</f>
        <v/>
      </c>
      <c r="AL212" s="243" t="str">
        <f>'All Ticker P&amp;L'!A212</f>
        <v/>
      </c>
      <c r="AM212" s="243" t="str">
        <f>'All Ticker P&amp;L'!B212</f>
        <v/>
      </c>
      <c r="AN212" s="243" t="str">
        <f>'All Ticker P&amp;L'!C212</f>
        <v/>
      </c>
      <c r="AO212" s="243" t="str">
        <f>'All Ticker P&amp;L'!D212</f>
        <v/>
      </c>
      <c r="AP212" s="243">
        <f>IF($AL212="",0,'All Ticker P&amp;L'!E212)</f>
        <v>0</v>
      </c>
      <c r="AQ212" s="266">
        <f>IF($AL212="",0,'All Ticker P&amp;L'!J212*'All Ticker P&amp;L'!I212)</f>
        <v>0</v>
      </c>
      <c r="AR212" s="266">
        <f>IF($AL212="",0,'All Ticker P&amp;L'!L212)</f>
        <v>0</v>
      </c>
      <c r="AS212" s="267">
        <f>IF($AL212="",0,'All Ticker P&amp;L'!M212)</f>
        <v>0</v>
      </c>
      <c r="AT212" s="243" t="str">
        <f>IF($AL212="","",RANK(AR212,$AR$2:$AR$1001)+COUNTIF($AR$2:AR212,AR212)-1)</f>
        <v/>
      </c>
      <c r="AU212" s="243" t="str">
        <f>IF($AL212="","",RANK(AV212,$AV$2:$AV$1001)+COUNTIF($AV$2:AV212,AV212)-1)</f>
        <v/>
      </c>
      <c r="AV212" s="266">
        <f t="shared" si="38"/>
        <v>0</v>
      </c>
    </row>
    <row r="213" spans="26:48" ht="15" customHeight="1" x14ac:dyDescent="0.2">
      <c r="Z213" s="243" t="str">
        <f>Shares!A213</f>
        <v/>
      </c>
      <c r="AA213" s="243" t="str">
        <f>Shares!B213</f>
        <v/>
      </c>
      <c r="AB213" s="243" t="str">
        <f>Shares!C213</f>
        <v/>
      </c>
      <c r="AC213" s="243" t="str">
        <f>Shares!D213</f>
        <v/>
      </c>
      <c r="AD213" s="243">
        <f>IF($Z213="",0,Shares!E213)</f>
        <v>0</v>
      </c>
      <c r="AE213" s="266">
        <f>IF($Z213="",0,Shares!J213*Shares!I213)</f>
        <v>0</v>
      </c>
      <c r="AF213" s="267">
        <f t="shared" si="37"/>
        <v>0</v>
      </c>
      <c r="AG213" s="266">
        <f>IF($Z213="",0,Shares!L213)</f>
        <v>0</v>
      </c>
      <c r="AH213" s="267">
        <f>IF($Z213="",0,Shares!M213)</f>
        <v>0</v>
      </c>
      <c r="AI213" s="243" t="str">
        <f>IF($Z213="","",RANK(AE213,$AE$2:$AE$1001)+COUNTIF($AE$2:AE213,AE213)-1)</f>
        <v/>
      </c>
      <c r="AJ213" s="243" t="str">
        <f>IF($AD213&lt;0,COUNT($AJ$1:AJ212)+1,"")</f>
        <v/>
      </c>
      <c r="AL213" s="243" t="str">
        <f>'All Ticker P&amp;L'!A213</f>
        <v/>
      </c>
      <c r="AM213" s="243" t="str">
        <f>'All Ticker P&amp;L'!B213</f>
        <v/>
      </c>
      <c r="AN213" s="243" t="str">
        <f>'All Ticker P&amp;L'!C213</f>
        <v/>
      </c>
      <c r="AO213" s="243" t="str">
        <f>'All Ticker P&amp;L'!D213</f>
        <v/>
      </c>
      <c r="AP213" s="243">
        <f>IF($AL213="",0,'All Ticker P&amp;L'!E213)</f>
        <v>0</v>
      </c>
      <c r="AQ213" s="266">
        <f>IF($AL213="",0,'All Ticker P&amp;L'!J213*'All Ticker P&amp;L'!I213)</f>
        <v>0</v>
      </c>
      <c r="AR213" s="266">
        <f>IF($AL213="",0,'All Ticker P&amp;L'!L213)</f>
        <v>0</v>
      </c>
      <c r="AS213" s="267">
        <f>IF($AL213="",0,'All Ticker P&amp;L'!M213)</f>
        <v>0</v>
      </c>
      <c r="AT213" s="243" t="str">
        <f>IF($AL213="","",RANK(AR213,$AR$2:$AR$1001)+COUNTIF($AR$2:AR213,AR213)-1)</f>
        <v/>
      </c>
      <c r="AU213" s="243" t="str">
        <f>IF($AL213="","",RANK(AV213,$AV$2:$AV$1001)+COUNTIF($AV$2:AV213,AV213)-1)</f>
        <v/>
      </c>
      <c r="AV213" s="266">
        <f t="shared" si="38"/>
        <v>0</v>
      </c>
    </row>
    <row r="214" spans="26:48" ht="15" customHeight="1" x14ac:dyDescent="0.2">
      <c r="Z214" s="243" t="str">
        <f>Shares!A214</f>
        <v/>
      </c>
      <c r="AA214" s="243" t="str">
        <f>Shares!B214</f>
        <v/>
      </c>
      <c r="AB214" s="243" t="str">
        <f>Shares!C214</f>
        <v/>
      </c>
      <c r="AC214" s="243" t="str">
        <f>Shares!D214</f>
        <v/>
      </c>
      <c r="AD214" s="243">
        <f>IF($Z214="",0,Shares!E214)</f>
        <v>0</v>
      </c>
      <c r="AE214" s="266">
        <f>IF($Z214="",0,Shares!J214*Shares!I214)</f>
        <v>0</v>
      </c>
      <c r="AF214" s="267">
        <f t="shared" si="37"/>
        <v>0</v>
      </c>
      <c r="AG214" s="266">
        <f>IF($Z214="",0,Shares!L214)</f>
        <v>0</v>
      </c>
      <c r="AH214" s="267">
        <f>IF($Z214="",0,Shares!M214)</f>
        <v>0</v>
      </c>
      <c r="AI214" s="243" t="str">
        <f>IF($Z214="","",RANK(AE214,$AE$2:$AE$1001)+COUNTIF($AE$2:AE214,AE214)-1)</f>
        <v/>
      </c>
      <c r="AJ214" s="243" t="str">
        <f>IF($AD214&lt;0,COUNT($AJ$1:AJ213)+1,"")</f>
        <v/>
      </c>
      <c r="AL214" s="243" t="str">
        <f>'All Ticker P&amp;L'!A214</f>
        <v/>
      </c>
      <c r="AM214" s="243" t="str">
        <f>'All Ticker P&amp;L'!B214</f>
        <v/>
      </c>
      <c r="AN214" s="243" t="str">
        <f>'All Ticker P&amp;L'!C214</f>
        <v/>
      </c>
      <c r="AO214" s="243" t="str">
        <f>'All Ticker P&amp;L'!D214</f>
        <v/>
      </c>
      <c r="AP214" s="243">
        <f>IF($AL214="",0,'All Ticker P&amp;L'!E214)</f>
        <v>0</v>
      </c>
      <c r="AQ214" s="266">
        <f>IF($AL214="",0,'All Ticker P&amp;L'!J214*'All Ticker P&amp;L'!I214)</f>
        <v>0</v>
      </c>
      <c r="AR214" s="266">
        <f>IF($AL214="",0,'All Ticker P&amp;L'!L214)</f>
        <v>0</v>
      </c>
      <c r="AS214" s="267">
        <f>IF($AL214="",0,'All Ticker P&amp;L'!M214)</f>
        <v>0</v>
      </c>
      <c r="AT214" s="243" t="str">
        <f>IF($AL214="","",RANK(AR214,$AR$2:$AR$1001)+COUNTIF($AR$2:AR214,AR214)-1)</f>
        <v/>
      </c>
      <c r="AU214" s="243" t="str">
        <f>IF($AL214="","",RANK(AV214,$AV$2:$AV$1001)+COUNTIF($AV$2:AV214,AV214)-1)</f>
        <v/>
      </c>
      <c r="AV214" s="266">
        <f t="shared" si="38"/>
        <v>0</v>
      </c>
    </row>
    <row r="215" spans="26:48" ht="15" customHeight="1" x14ac:dyDescent="0.2">
      <c r="Z215" s="243" t="str">
        <f>Shares!A215</f>
        <v/>
      </c>
      <c r="AA215" s="243" t="str">
        <f>Shares!B215</f>
        <v/>
      </c>
      <c r="AB215" s="243" t="str">
        <f>Shares!C215</f>
        <v/>
      </c>
      <c r="AC215" s="243" t="str">
        <f>Shares!D215</f>
        <v/>
      </c>
      <c r="AD215" s="243">
        <f>IF($Z215="",0,Shares!E215)</f>
        <v>0</v>
      </c>
      <c r="AE215" s="266">
        <f>IF($Z215="",0,Shares!J215*Shares!I215)</f>
        <v>0</v>
      </c>
      <c r="AF215" s="267">
        <f t="shared" si="37"/>
        <v>0</v>
      </c>
      <c r="AG215" s="266">
        <f>IF($Z215="",0,Shares!L215)</f>
        <v>0</v>
      </c>
      <c r="AH215" s="267">
        <f>IF($Z215="",0,Shares!M215)</f>
        <v>0</v>
      </c>
      <c r="AI215" s="243" t="str">
        <f>IF($Z215="","",RANK(AE215,$AE$2:$AE$1001)+COUNTIF($AE$2:AE215,AE215)-1)</f>
        <v/>
      </c>
      <c r="AJ215" s="243" t="str">
        <f>IF($AD215&lt;0,COUNT($AJ$1:AJ214)+1,"")</f>
        <v/>
      </c>
      <c r="AL215" s="243" t="str">
        <f>'All Ticker P&amp;L'!A215</f>
        <v/>
      </c>
      <c r="AM215" s="243" t="str">
        <f>'All Ticker P&amp;L'!B215</f>
        <v/>
      </c>
      <c r="AN215" s="243" t="str">
        <f>'All Ticker P&amp;L'!C215</f>
        <v/>
      </c>
      <c r="AO215" s="243" t="str">
        <f>'All Ticker P&amp;L'!D215</f>
        <v/>
      </c>
      <c r="AP215" s="243">
        <f>IF($AL215="",0,'All Ticker P&amp;L'!E215)</f>
        <v>0</v>
      </c>
      <c r="AQ215" s="266">
        <f>IF($AL215="",0,'All Ticker P&amp;L'!J215*'All Ticker P&amp;L'!I215)</f>
        <v>0</v>
      </c>
      <c r="AR215" s="266">
        <f>IF($AL215="",0,'All Ticker P&amp;L'!L215)</f>
        <v>0</v>
      </c>
      <c r="AS215" s="267">
        <f>IF($AL215="",0,'All Ticker P&amp;L'!M215)</f>
        <v>0</v>
      </c>
      <c r="AT215" s="243" t="str">
        <f>IF($AL215="","",RANK(AR215,$AR$2:$AR$1001)+COUNTIF($AR$2:AR215,AR215)-1)</f>
        <v/>
      </c>
      <c r="AU215" s="243" t="str">
        <f>IF($AL215="","",RANK(AV215,$AV$2:$AV$1001)+COUNTIF($AV$2:AV215,AV215)-1)</f>
        <v/>
      </c>
      <c r="AV215" s="266">
        <f t="shared" si="38"/>
        <v>0</v>
      </c>
    </row>
    <row r="216" spans="26:48" ht="15" customHeight="1" x14ac:dyDescent="0.2">
      <c r="Z216" s="243" t="str">
        <f>Shares!A216</f>
        <v/>
      </c>
      <c r="AA216" s="243" t="str">
        <f>Shares!B216</f>
        <v/>
      </c>
      <c r="AB216" s="243" t="str">
        <f>Shares!C216</f>
        <v/>
      </c>
      <c r="AC216" s="243" t="str">
        <f>Shares!D216</f>
        <v/>
      </c>
      <c r="AD216" s="243">
        <f>IF($Z216="",0,Shares!E216)</f>
        <v>0</v>
      </c>
      <c r="AE216" s="266">
        <f>IF($Z216="",0,Shares!J216*Shares!I216)</f>
        <v>0</v>
      </c>
      <c r="AF216" s="267">
        <f t="shared" si="37"/>
        <v>0</v>
      </c>
      <c r="AG216" s="266">
        <f>IF($Z216="",0,Shares!L216)</f>
        <v>0</v>
      </c>
      <c r="AH216" s="267">
        <f>IF($Z216="",0,Shares!M216)</f>
        <v>0</v>
      </c>
      <c r="AI216" s="243" t="str">
        <f>IF($Z216="","",RANK(AE216,$AE$2:$AE$1001)+COUNTIF($AE$2:AE216,AE216)-1)</f>
        <v/>
      </c>
      <c r="AJ216" s="243" t="str">
        <f>IF($AD216&lt;0,COUNT($AJ$1:AJ215)+1,"")</f>
        <v/>
      </c>
      <c r="AL216" s="243" t="str">
        <f>'All Ticker P&amp;L'!A216</f>
        <v/>
      </c>
      <c r="AM216" s="243" t="str">
        <f>'All Ticker P&amp;L'!B216</f>
        <v/>
      </c>
      <c r="AN216" s="243" t="str">
        <f>'All Ticker P&amp;L'!C216</f>
        <v/>
      </c>
      <c r="AO216" s="243" t="str">
        <f>'All Ticker P&amp;L'!D216</f>
        <v/>
      </c>
      <c r="AP216" s="243">
        <f>IF($AL216="",0,'All Ticker P&amp;L'!E216)</f>
        <v>0</v>
      </c>
      <c r="AQ216" s="266">
        <f>IF($AL216="",0,'All Ticker P&amp;L'!J216*'All Ticker P&amp;L'!I216)</f>
        <v>0</v>
      </c>
      <c r="AR216" s="266">
        <f>IF($AL216="",0,'All Ticker P&amp;L'!L216)</f>
        <v>0</v>
      </c>
      <c r="AS216" s="267">
        <f>IF($AL216="",0,'All Ticker P&amp;L'!M216)</f>
        <v>0</v>
      </c>
      <c r="AT216" s="243" t="str">
        <f>IF($AL216="","",RANK(AR216,$AR$2:$AR$1001)+COUNTIF($AR$2:AR216,AR216)-1)</f>
        <v/>
      </c>
      <c r="AU216" s="243" t="str">
        <f>IF($AL216="","",RANK(AV216,$AV$2:$AV$1001)+COUNTIF($AV$2:AV216,AV216)-1)</f>
        <v/>
      </c>
      <c r="AV216" s="266">
        <f t="shared" si="38"/>
        <v>0</v>
      </c>
    </row>
    <row r="217" spans="26:48" ht="15" customHeight="1" x14ac:dyDescent="0.2">
      <c r="Z217" s="243" t="str">
        <f>Shares!A217</f>
        <v/>
      </c>
      <c r="AA217" s="243" t="str">
        <f>Shares!B217</f>
        <v/>
      </c>
      <c r="AB217" s="243" t="str">
        <f>Shares!C217</f>
        <v/>
      </c>
      <c r="AC217" s="243" t="str">
        <f>Shares!D217</f>
        <v/>
      </c>
      <c r="AD217" s="243">
        <f>IF($Z217="",0,Shares!E217)</f>
        <v>0</v>
      </c>
      <c r="AE217" s="266">
        <f>IF($Z217="",0,Shares!J217*Shares!I217)</f>
        <v>0</v>
      </c>
      <c r="AF217" s="267">
        <f t="shared" si="37"/>
        <v>0</v>
      </c>
      <c r="AG217" s="266">
        <f>IF($Z217="",0,Shares!L217)</f>
        <v>0</v>
      </c>
      <c r="AH217" s="267">
        <f>IF($Z217="",0,Shares!M217)</f>
        <v>0</v>
      </c>
      <c r="AI217" s="243" t="str">
        <f>IF($Z217="","",RANK(AE217,$AE$2:$AE$1001)+COUNTIF($AE$2:AE217,AE217)-1)</f>
        <v/>
      </c>
      <c r="AJ217" s="243" t="str">
        <f>IF($AD217&lt;0,COUNT($AJ$1:AJ216)+1,"")</f>
        <v/>
      </c>
      <c r="AL217" s="243" t="str">
        <f>'All Ticker P&amp;L'!A217</f>
        <v/>
      </c>
      <c r="AM217" s="243" t="str">
        <f>'All Ticker P&amp;L'!B217</f>
        <v/>
      </c>
      <c r="AN217" s="243" t="str">
        <f>'All Ticker P&amp;L'!C217</f>
        <v/>
      </c>
      <c r="AO217" s="243" t="str">
        <f>'All Ticker P&amp;L'!D217</f>
        <v/>
      </c>
      <c r="AP217" s="243">
        <f>IF($AL217="",0,'All Ticker P&amp;L'!E217)</f>
        <v>0</v>
      </c>
      <c r="AQ217" s="266">
        <f>IF($AL217="",0,'All Ticker P&amp;L'!J217*'All Ticker P&amp;L'!I217)</f>
        <v>0</v>
      </c>
      <c r="AR217" s="266">
        <f>IF($AL217="",0,'All Ticker P&amp;L'!L217)</f>
        <v>0</v>
      </c>
      <c r="AS217" s="267">
        <f>IF($AL217="",0,'All Ticker P&amp;L'!M217)</f>
        <v>0</v>
      </c>
      <c r="AT217" s="243" t="str">
        <f>IF($AL217="","",RANK(AR217,$AR$2:$AR$1001)+COUNTIF($AR$2:AR217,AR217)-1)</f>
        <v/>
      </c>
      <c r="AU217" s="243" t="str">
        <f>IF($AL217="","",RANK(AV217,$AV$2:$AV$1001)+COUNTIF($AV$2:AV217,AV217)-1)</f>
        <v/>
      </c>
      <c r="AV217" s="266">
        <f t="shared" si="38"/>
        <v>0</v>
      </c>
    </row>
    <row r="218" spans="26:48" ht="15" customHeight="1" x14ac:dyDescent="0.2">
      <c r="Z218" s="243" t="str">
        <f>Shares!A218</f>
        <v/>
      </c>
      <c r="AA218" s="243" t="str">
        <f>Shares!B218</f>
        <v/>
      </c>
      <c r="AB218" s="243" t="str">
        <f>Shares!C218</f>
        <v/>
      </c>
      <c r="AC218" s="243" t="str">
        <f>Shares!D218</f>
        <v/>
      </c>
      <c r="AD218" s="243">
        <f>IF($Z218="",0,Shares!E218)</f>
        <v>0</v>
      </c>
      <c r="AE218" s="266">
        <f>IF($Z218="",0,Shares!J218*Shares!I218)</f>
        <v>0</v>
      </c>
      <c r="AF218" s="267">
        <f t="shared" si="37"/>
        <v>0</v>
      </c>
      <c r="AG218" s="266">
        <f>IF($Z218="",0,Shares!L218)</f>
        <v>0</v>
      </c>
      <c r="AH218" s="267">
        <f>IF($Z218="",0,Shares!M218)</f>
        <v>0</v>
      </c>
      <c r="AI218" s="243" t="str">
        <f>IF($Z218="","",RANK(AE218,$AE$2:$AE$1001)+COUNTIF($AE$2:AE218,AE218)-1)</f>
        <v/>
      </c>
      <c r="AJ218" s="243" t="str">
        <f>IF($AD218&lt;0,COUNT($AJ$1:AJ217)+1,"")</f>
        <v/>
      </c>
      <c r="AL218" s="243" t="str">
        <f>'All Ticker P&amp;L'!A218</f>
        <v/>
      </c>
      <c r="AM218" s="243" t="str">
        <f>'All Ticker P&amp;L'!B218</f>
        <v/>
      </c>
      <c r="AN218" s="243" t="str">
        <f>'All Ticker P&amp;L'!C218</f>
        <v/>
      </c>
      <c r="AO218" s="243" t="str">
        <f>'All Ticker P&amp;L'!D218</f>
        <v/>
      </c>
      <c r="AP218" s="243">
        <f>IF($AL218="",0,'All Ticker P&amp;L'!E218)</f>
        <v>0</v>
      </c>
      <c r="AQ218" s="266">
        <f>IF($AL218="",0,'All Ticker P&amp;L'!J218*'All Ticker P&amp;L'!I218)</f>
        <v>0</v>
      </c>
      <c r="AR218" s="266">
        <f>IF($AL218="",0,'All Ticker P&amp;L'!L218)</f>
        <v>0</v>
      </c>
      <c r="AS218" s="267">
        <f>IF($AL218="",0,'All Ticker P&amp;L'!M218)</f>
        <v>0</v>
      </c>
      <c r="AT218" s="243" t="str">
        <f>IF($AL218="","",RANK(AR218,$AR$2:$AR$1001)+COUNTIF($AR$2:AR218,AR218)-1)</f>
        <v/>
      </c>
      <c r="AU218" s="243" t="str">
        <f>IF($AL218="","",RANK(AV218,$AV$2:$AV$1001)+COUNTIF($AV$2:AV218,AV218)-1)</f>
        <v/>
      </c>
      <c r="AV218" s="266">
        <f t="shared" si="38"/>
        <v>0</v>
      </c>
    </row>
    <row r="219" spans="26:48" ht="15" customHeight="1" x14ac:dyDescent="0.2">
      <c r="Z219" s="243" t="str">
        <f>Shares!A219</f>
        <v/>
      </c>
      <c r="AA219" s="243" t="str">
        <f>Shares!B219</f>
        <v/>
      </c>
      <c r="AB219" s="243" t="str">
        <f>Shares!C219</f>
        <v/>
      </c>
      <c r="AC219" s="243" t="str">
        <f>Shares!D219</f>
        <v/>
      </c>
      <c r="AD219" s="243">
        <f>IF($Z219="",0,Shares!E219)</f>
        <v>0</v>
      </c>
      <c r="AE219" s="266">
        <f>IF($Z219="",0,Shares!J219*Shares!I219)</f>
        <v>0</v>
      </c>
      <c r="AF219" s="267">
        <f t="shared" si="37"/>
        <v>0</v>
      </c>
      <c r="AG219" s="266">
        <f>IF($Z219="",0,Shares!L219)</f>
        <v>0</v>
      </c>
      <c r="AH219" s="267">
        <f>IF($Z219="",0,Shares!M219)</f>
        <v>0</v>
      </c>
      <c r="AI219" s="243" t="str">
        <f>IF($Z219="","",RANK(AE219,$AE$2:$AE$1001)+COUNTIF($AE$2:AE219,AE219)-1)</f>
        <v/>
      </c>
      <c r="AJ219" s="243" t="str">
        <f>IF($AD219&lt;0,COUNT($AJ$1:AJ218)+1,"")</f>
        <v/>
      </c>
      <c r="AL219" s="243" t="str">
        <f>'All Ticker P&amp;L'!A219</f>
        <v/>
      </c>
      <c r="AM219" s="243" t="str">
        <f>'All Ticker P&amp;L'!B219</f>
        <v/>
      </c>
      <c r="AN219" s="243" t="str">
        <f>'All Ticker P&amp;L'!C219</f>
        <v/>
      </c>
      <c r="AO219" s="243" t="str">
        <f>'All Ticker P&amp;L'!D219</f>
        <v/>
      </c>
      <c r="AP219" s="243">
        <f>IF($AL219="",0,'All Ticker P&amp;L'!E219)</f>
        <v>0</v>
      </c>
      <c r="AQ219" s="266">
        <f>IF($AL219="",0,'All Ticker P&amp;L'!J219*'All Ticker P&amp;L'!I219)</f>
        <v>0</v>
      </c>
      <c r="AR219" s="266">
        <f>IF($AL219="",0,'All Ticker P&amp;L'!L219)</f>
        <v>0</v>
      </c>
      <c r="AS219" s="267">
        <f>IF($AL219="",0,'All Ticker P&amp;L'!M219)</f>
        <v>0</v>
      </c>
      <c r="AT219" s="243" t="str">
        <f>IF($AL219="","",RANK(AR219,$AR$2:$AR$1001)+COUNTIF($AR$2:AR219,AR219)-1)</f>
        <v/>
      </c>
      <c r="AU219" s="243" t="str">
        <f>IF($AL219="","",RANK(AV219,$AV$2:$AV$1001)+COUNTIF($AV$2:AV219,AV219)-1)</f>
        <v/>
      </c>
      <c r="AV219" s="266">
        <f t="shared" si="38"/>
        <v>0</v>
      </c>
    </row>
    <row r="220" spans="26:48" ht="15" customHeight="1" x14ac:dyDescent="0.2">
      <c r="Z220" s="243" t="str">
        <f>Shares!A220</f>
        <v/>
      </c>
      <c r="AA220" s="243" t="str">
        <f>Shares!B220</f>
        <v/>
      </c>
      <c r="AB220" s="243" t="str">
        <f>Shares!C220</f>
        <v/>
      </c>
      <c r="AC220" s="243" t="str">
        <f>Shares!D220</f>
        <v/>
      </c>
      <c r="AD220" s="243">
        <f>IF($Z220="",0,Shares!E220)</f>
        <v>0</v>
      </c>
      <c r="AE220" s="266">
        <f>IF($Z220="",0,Shares!J220*Shares!I220)</f>
        <v>0</v>
      </c>
      <c r="AF220" s="267">
        <f t="shared" si="37"/>
        <v>0</v>
      </c>
      <c r="AG220" s="266">
        <f>IF($Z220="",0,Shares!L220)</f>
        <v>0</v>
      </c>
      <c r="AH220" s="267">
        <f>IF($Z220="",0,Shares!M220)</f>
        <v>0</v>
      </c>
      <c r="AI220" s="243" t="str">
        <f>IF($Z220="","",RANK(AE220,$AE$2:$AE$1001)+COUNTIF($AE$2:AE220,AE220)-1)</f>
        <v/>
      </c>
      <c r="AJ220" s="243" t="str">
        <f>IF($AD220&lt;0,COUNT($AJ$1:AJ219)+1,"")</f>
        <v/>
      </c>
      <c r="AL220" s="243" t="str">
        <f>'All Ticker P&amp;L'!A220</f>
        <v/>
      </c>
      <c r="AM220" s="243" t="str">
        <f>'All Ticker P&amp;L'!B220</f>
        <v/>
      </c>
      <c r="AN220" s="243" t="str">
        <f>'All Ticker P&amp;L'!C220</f>
        <v/>
      </c>
      <c r="AO220" s="243" t="str">
        <f>'All Ticker P&amp;L'!D220</f>
        <v/>
      </c>
      <c r="AP220" s="243">
        <f>IF($AL220="",0,'All Ticker P&amp;L'!E220)</f>
        <v>0</v>
      </c>
      <c r="AQ220" s="266">
        <f>IF($AL220="",0,'All Ticker P&amp;L'!J220*'All Ticker P&amp;L'!I220)</f>
        <v>0</v>
      </c>
      <c r="AR220" s="266">
        <f>IF($AL220="",0,'All Ticker P&amp;L'!L220)</f>
        <v>0</v>
      </c>
      <c r="AS220" s="267">
        <f>IF($AL220="",0,'All Ticker P&amp;L'!M220)</f>
        <v>0</v>
      </c>
      <c r="AT220" s="243" t="str">
        <f>IF($AL220="","",RANK(AR220,$AR$2:$AR$1001)+COUNTIF($AR$2:AR220,AR220)-1)</f>
        <v/>
      </c>
      <c r="AU220" s="243" t="str">
        <f>IF($AL220="","",RANK(AV220,$AV$2:$AV$1001)+COUNTIF($AV$2:AV220,AV220)-1)</f>
        <v/>
      </c>
      <c r="AV220" s="266">
        <f t="shared" si="38"/>
        <v>0</v>
      </c>
    </row>
    <row r="221" spans="26:48" ht="15" customHeight="1" x14ac:dyDescent="0.2">
      <c r="Z221" s="243" t="str">
        <f>Shares!A221</f>
        <v/>
      </c>
      <c r="AA221" s="243" t="str">
        <f>Shares!B221</f>
        <v/>
      </c>
      <c r="AB221" s="243" t="str">
        <f>Shares!C221</f>
        <v/>
      </c>
      <c r="AC221" s="243" t="str">
        <f>Shares!D221</f>
        <v/>
      </c>
      <c r="AD221" s="243">
        <f>IF($Z221="",0,Shares!E221)</f>
        <v>0</v>
      </c>
      <c r="AE221" s="266">
        <f>IF($Z221="",0,Shares!J221*Shares!I221)</f>
        <v>0</v>
      </c>
      <c r="AF221" s="267">
        <f t="shared" si="37"/>
        <v>0</v>
      </c>
      <c r="AG221" s="266">
        <f>IF($Z221="",0,Shares!L221)</f>
        <v>0</v>
      </c>
      <c r="AH221" s="267">
        <f>IF($Z221="",0,Shares!M221)</f>
        <v>0</v>
      </c>
      <c r="AI221" s="243" t="str">
        <f>IF($Z221="","",RANK(AE221,$AE$2:$AE$1001)+COUNTIF($AE$2:AE221,AE221)-1)</f>
        <v/>
      </c>
      <c r="AJ221" s="243" t="str">
        <f>IF($AD221&lt;0,COUNT($AJ$1:AJ220)+1,"")</f>
        <v/>
      </c>
      <c r="AL221" s="243" t="str">
        <f>'All Ticker P&amp;L'!A221</f>
        <v/>
      </c>
      <c r="AM221" s="243" t="str">
        <f>'All Ticker P&amp;L'!B221</f>
        <v/>
      </c>
      <c r="AN221" s="243" t="str">
        <f>'All Ticker P&amp;L'!C221</f>
        <v/>
      </c>
      <c r="AO221" s="243" t="str">
        <f>'All Ticker P&amp;L'!D221</f>
        <v/>
      </c>
      <c r="AP221" s="243">
        <f>IF($AL221="",0,'All Ticker P&amp;L'!E221)</f>
        <v>0</v>
      </c>
      <c r="AQ221" s="266">
        <f>IF($AL221="",0,'All Ticker P&amp;L'!J221*'All Ticker P&amp;L'!I221)</f>
        <v>0</v>
      </c>
      <c r="AR221" s="266">
        <f>IF($AL221="",0,'All Ticker P&amp;L'!L221)</f>
        <v>0</v>
      </c>
      <c r="AS221" s="267">
        <f>IF($AL221="",0,'All Ticker P&amp;L'!M221)</f>
        <v>0</v>
      </c>
      <c r="AT221" s="243" t="str">
        <f>IF($AL221="","",RANK(AR221,$AR$2:$AR$1001)+COUNTIF($AR$2:AR221,AR221)-1)</f>
        <v/>
      </c>
      <c r="AU221" s="243" t="str">
        <f>IF($AL221="","",RANK(AV221,$AV$2:$AV$1001)+COUNTIF($AV$2:AV221,AV221)-1)</f>
        <v/>
      </c>
      <c r="AV221" s="266">
        <f t="shared" si="38"/>
        <v>0</v>
      </c>
    </row>
    <row r="222" spans="26:48" ht="15" customHeight="1" x14ac:dyDescent="0.2">
      <c r="Z222" s="243" t="str">
        <f>Shares!A222</f>
        <v/>
      </c>
      <c r="AA222" s="243" t="str">
        <f>Shares!B222</f>
        <v/>
      </c>
      <c r="AB222" s="243" t="str">
        <f>Shares!C222</f>
        <v/>
      </c>
      <c r="AC222" s="243" t="str">
        <f>Shares!D222</f>
        <v/>
      </c>
      <c r="AD222" s="243">
        <f>IF($Z222="",0,Shares!E222)</f>
        <v>0</v>
      </c>
      <c r="AE222" s="266">
        <f>IF($Z222="",0,Shares!J222*Shares!I222)</f>
        <v>0</v>
      </c>
      <c r="AF222" s="267">
        <f t="shared" si="37"/>
        <v>0</v>
      </c>
      <c r="AG222" s="266">
        <f>IF($Z222="",0,Shares!L222)</f>
        <v>0</v>
      </c>
      <c r="AH222" s="267">
        <f>IF($Z222="",0,Shares!M222)</f>
        <v>0</v>
      </c>
      <c r="AI222" s="243" t="str">
        <f>IF($Z222="","",RANK(AE222,$AE$2:$AE$1001)+COUNTIF($AE$2:AE222,AE222)-1)</f>
        <v/>
      </c>
      <c r="AJ222" s="243" t="str">
        <f>IF($AD222&lt;0,COUNT($AJ$1:AJ221)+1,"")</f>
        <v/>
      </c>
      <c r="AL222" s="243" t="str">
        <f>'All Ticker P&amp;L'!A222</f>
        <v/>
      </c>
      <c r="AM222" s="243" t="str">
        <f>'All Ticker P&amp;L'!B222</f>
        <v/>
      </c>
      <c r="AN222" s="243" t="str">
        <f>'All Ticker P&amp;L'!C222</f>
        <v/>
      </c>
      <c r="AO222" s="243" t="str">
        <f>'All Ticker P&amp;L'!D222</f>
        <v/>
      </c>
      <c r="AP222" s="243">
        <f>IF($AL222="",0,'All Ticker P&amp;L'!E222)</f>
        <v>0</v>
      </c>
      <c r="AQ222" s="266">
        <f>IF($AL222="",0,'All Ticker P&amp;L'!J222*'All Ticker P&amp;L'!I222)</f>
        <v>0</v>
      </c>
      <c r="AR222" s="266">
        <f>IF($AL222="",0,'All Ticker P&amp;L'!L222)</f>
        <v>0</v>
      </c>
      <c r="AS222" s="267">
        <f>IF($AL222="",0,'All Ticker P&amp;L'!M222)</f>
        <v>0</v>
      </c>
      <c r="AT222" s="243" t="str">
        <f>IF($AL222="","",RANK(AR222,$AR$2:$AR$1001)+COUNTIF($AR$2:AR222,AR222)-1)</f>
        <v/>
      </c>
      <c r="AU222" s="243" t="str">
        <f>IF($AL222="","",RANK(AV222,$AV$2:$AV$1001)+COUNTIF($AV$2:AV222,AV222)-1)</f>
        <v/>
      </c>
      <c r="AV222" s="266">
        <f t="shared" si="38"/>
        <v>0</v>
      </c>
    </row>
    <row r="223" spans="26:48" ht="15" customHeight="1" x14ac:dyDescent="0.2">
      <c r="Z223" s="243" t="str">
        <f>Shares!A223</f>
        <v/>
      </c>
      <c r="AA223" s="243" t="str">
        <f>Shares!B223</f>
        <v/>
      </c>
      <c r="AB223" s="243" t="str">
        <f>Shares!C223</f>
        <v/>
      </c>
      <c r="AC223" s="243" t="str">
        <f>Shares!D223</f>
        <v/>
      </c>
      <c r="AD223" s="243">
        <f>IF($Z223="",0,Shares!E223)</f>
        <v>0</v>
      </c>
      <c r="AE223" s="266">
        <f>IF($Z223="",0,Shares!J223*Shares!I223)</f>
        <v>0</v>
      </c>
      <c r="AF223" s="267">
        <f t="shared" si="37"/>
        <v>0</v>
      </c>
      <c r="AG223" s="266">
        <f>IF($Z223="",0,Shares!L223)</f>
        <v>0</v>
      </c>
      <c r="AH223" s="267">
        <f>IF($Z223="",0,Shares!M223)</f>
        <v>0</v>
      </c>
      <c r="AI223" s="243" t="str">
        <f>IF($Z223="","",RANK(AE223,$AE$2:$AE$1001)+COUNTIF($AE$2:AE223,AE223)-1)</f>
        <v/>
      </c>
      <c r="AJ223" s="243" t="str">
        <f>IF($AD223&lt;0,COUNT($AJ$1:AJ222)+1,"")</f>
        <v/>
      </c>
      <c r="AL223" s="243" t="str">
        <f>'All Ticker P&amp;L'!A223</f>
        <v/>
      </c>
      <c r="AM223" s="243" t="str">
        <f>'All Ticker P&amp;L'!B223</f>
        <v/>
      </c>
      <c r="AN223" s="243" t="str">
        <f>'All Ticker P&amp;L'!C223</f>
        <v/>
      </c>
      <c r="AO223" s="243" t="str">
        <f>'All Ticker P&amp;L'!D223</f>
        <v/>
      </c>
      <c r="AP223" s="243">
        <f>IF($AL223="",0,'All Ticker P&amp;L'!E223)</f>
        <v>0</v>
      </c>
      <c r="AQ223" s="266">
        <f>IF($AL223="",0,'All Ticker P&amp;L'!J223*'All Ticker P&amp;L'!I223)</f>
        <v>0</v>
      </c>
      <c r="AR223" s="266">
        <f>IF($AL223="",0,'All Ticker P&amp;L'!L223)</f>
        <v>0</v>
      </c>
      <c r="AS223" s="267">
        <f>IF($AL223="",0,'All Ticker P&amp;L'!M223)</f>
        <v>0</v>
      </c>
      <c r="AT223" s="243" t="str">
        <f>IF($AL223="","",RANK(AR223,$AR$2:$AR$1001)+COUNTIF($AR$2:AR223,AR223)-1)</f>
        <v/>
      </c>
      <c r="AU223" s="243" t="str">
        <f>IF($AL223="","",RANK(AV223,$AV$2:$AV$1001)+COUNTIF($AV$2:AV223,AV223)-1)</f>
        <v/>
      </c>
      <c r="AV223" s="266">
        <f t="shared" si="38"/>
        <v>0</v>
      </c>
    </row>
    <row r="224" spans="26:48" ht="15" customHeight="1" x14ac:dyDescent="0.2">
      <c r="Z224" s="243" t="str">
        <f>Shares!A224</f>
        <v/>
      </c>
      <c r="AA224" s="243" t="str">
        <f>Shares!B224</f>
        <v/>
      </c>
      <c r="AB224" s="243" t="str">
        <f>Shares!C224</f>
        <v/>
      </c>
      <c r="AC224" s="243" t="str">
        <f>Shares!D224</f>
        <v/>
      </c>
      <c r="AD224" s="243">
        <f>IF($Z224="",0,Shares!E224)</f>
        <v>0</v>
      </c>
      <c r="AE224" s="266">
        <f>IF($Z224="",0,Shares!J224*Shares!I224)</f>
        <v>0</v>
      </c>
      <c r="AF224" s="267">
        <f t="shared" si="37"/>
        <v>0</v>
      </c>
      <c r="AG224" s="266">
        <f>IF($Z224="",0,Shares!L224)</f>
        <v>0</v>
      </c>
      <c r="AH224" s="267">
        <f>IF($Z224="",0,Shares!M224)</f>
        <v>0</v>
      </c>
      <c r="AI224" s="243" t="str">
        <f>IF($Z224="","",RANK(AE224,$AE$2:$AE$1001)+COUNTIF($AE$2:AE224,AE224)-1)</f>
        <v/>
      </c>
      <c r="AJ224" s="243" t="str">
        <f>IF($AD224&lt;0,COUNT($AJ$1:AJ223)+1,"")</f>
        <v/>
      </c>
      <c r="AL224" s="243" t="str">
        <f>'All Ticker P&amp;L'!A224</f>
        <v/>
      </c>
      <c r="AM224" s="243" t="str">
        <f>'All Ticker P&amp;L'!B224</f>
        <v/>
      </c>
      <c r="AN224" s="243" t="str">
        <f>'All Ticker P&amp;L'!C224</f>
        <v/>
      </c>
      <c r="AO224" s="243" t="str">
        <f>'All Ticker P&amp;L'!D224</f>
        <v/>
      </c>
      <c r="AP224" s="243">
        <f>IF($AL224="",0,'All Ticker P&amp;L'!E224)</f>
        <v>0</v>
      </c>
      <c r="AQ224" s="266">
        <f>IF($AL224="",0,'All Ticker P&amp;L'!J224*'All Ticker P&amp;L'!I224)</f>
        <v>0</v>
      </c>
      <c r="AR224" s="266">
        <f>IF($AL224="",0,'All Ticker P&amp;L'!L224)</f>
        <v>0</v>
      </c>
      <c r="AS224" s="267">
        <f>IF($AL224="",0,'All Ticker P&amp;L'!M224)</f>
        <v>0</v>
      </c>
      <c r="AT224" s="243" t="str">
        <f>IF($AL224="","",RANK(AR224,$AR$2:$AR$1001)+COUNTIF($AR$2:AR224,AR224)-1)</f>
        <v/>
      </c>
      <c r="AU224" s="243" t="str">
        <f>IF($AL224="","",RANK(AV224,$AV$2:$AV$1001)+COUNTIF($AV$2:AV224,AV224)-1)</f>
        <v/>
      </c>
      <c r="AV224" s="266">
        <f t="shared" si="38"/>
        <v>0</v>
      </c>
    </row>
    <row r="225" spans="26:48" ht="15" customHeight="1" x14ac:dyDescent="0.2">
      <c r="Z225" s="243" t="str">
        <f>Shares!A225</f>
        <v/>
      </c>
      <c r="AA225" s="243" t="str">
        <f>Shares!B225</f>
        <v/>
      </c>
      <c r="AB225" s="243" t="str">
        <f>Shares!C225</f>
        <v/>
      </c>
      <c r="AC225" s="243" t="str">
        <f>Shares!D225</f>
        <v/>
      </c>
      <c r="AD225" s="243">
        <f>IF($Z225="",0,Shares!E225)</f>
        <v>0</v>
      </c>
      <c r="AE225" s="266">
        <f>IF($Z225="",0,Shares!J225*Shares!I225)</f>
        <v>0</v>
      </c>
      <c r="AF225" s="267">
        <f t="shared" si="37"/>
        <v>0</v>
      </c>
      <c r="AG225" s="266">
        <f>IF($Z225="",0,Shares!L225)</f>
        <v>0</v>
      </c>
      <c r="AH225" s="267">
        <f>IF($Z225="",0,Shares!M225)</f>
        <v>0</v>
      </c>
      <c r="AI225" s="243" t="str">
        <f>IF($Z225="","",RANK(AE225,$AE$2:$AE$1001)+COUNTIF($AE$2:AE225,AE225)-1)</f>
        <v/>
      </c>
      <c r="AJ225" s="243" t="str">
        <f>IF($AD225&lt;0,COUNT($AJ$1:AJ224)+1,"")</f>
        <v/>
      </c>
      <c r="AL225" s="243" t="str">
        <f>'All Ticker P&amp;L'!A225</f>
        <v/>
      </c>
      <c r="AM225" s="243" t="str">
        <f>'All Ticker P&amp;L'!B225</f>
        <v/>
      </c>
      <c r="AN225" s="243" t="str">
        <f>'All Ticker P&amp;L'!C225</f>
        <v/>
      </c>
      <c r="AO225" s="243" t="str">
        <f>'All Ticker P&amp;L'!D225</f>
        <v/>
      </c>
      <c r="AP225" s="243">
        <f>IF($AL225="",0,'All Ticker P&amp;L'!E225)</f>
        <v>0</v>
      </c>
      <c r="AQ225" s="266">
        <f>IF($AL225="",0,'All Ticker P&amp;L'!J225*'All Ticker P&amp;L'!I225)</f>
        <v>0</v>
      </c>
      <c r="AR225" s="266">
        <f>IF($AL225="",0,'All Ticker P&amp;L'!L225)</f>
        <v>0</v>
      </c>
      <c r="AS225" s="267">
        <f>IF($AL225="",0,'All Ticker P&amp;L'!M225)</f>
        <v>0</v>
      </c>
      <c r="AT225" s="243" t="str">
        <f>IF($AL225="","",RANK(AR225,$AR$2:$AR$1001)+COUNTIF($AR$2:AR225,AR225)-1)</f>
        <v/>
      </c>
      <c r="AU225" s="243" t="str">
        <f>IF($AL225="","",RANK(AV225,$AV$2:$AV$1001)+COUNTIF($AV$2:AV225,AV225)-1)</f>
        <v/>
      </c>
      <c r="AV225" s="266">
        <f t="shared" si="38"/>
        <v>0</v>
      </c>
    </row>
    <row r="226" spans="26:48" ht="15" customHeight="1" x14ac:dyDescent="0.2">
      <c r="Z226" s="243" t="str">
        <f>Shares!A226</f>
        <v/>
      </c>
      <c r="AA226" s="243" t="str">
        <f>Shares!B226</f>
        <v/>
      </c>
      <c r="AB226" s="243" t="str">
        <f>Shares!C226</f>
        <v/>
      </c>
      <c r="AC226" s="243" t="str">
        <f>Shares!D226</f>
        <v/>
      </c>
      <c r="AD226" s="243">
        <f>IF($Z226="",0,Shares!E226)</f>
        <v>0</v>
      </c>
      <c r="AE226" s="266">
        <f>IF($Z226="",0,Shares!J226*Shares!I226)</f>
        <v>0</v>
      </c>
      <c r="AF226" s="267">
        <f t="shared" si="37"/>
        <v>0</v>
      </c>
      <c r="AG226" s="266">
        <f>IF($Z226="",0,Shares!L226)</f>
        <v>0</v>
      </c>
      <c r="AH226" s="267">
        <f>IF($Z226="",0,Shares!M226)</f>
        <v>0</v>
      </c>
      <c r="AI226" s="243" t="str">
        <f>IF($Z226="","",RANK(AE226,$AE$2:$AE$1001)+COUNTIF($AE$2:AE226,AE226)-1)</f>
        <v/>
      </c>
      <c r="AJ226" s="243" t="str">
        <f>IF($AD226&lt;0,COUNT($AJ$1:AJ225)+1,"")</f>
        <v/>
      </c>
      <c r="AL226" s="243" t="str">
        <f>'All Ticker P&amp;L'!A226</f>
        <v/>
      </c>
      <c r="AM226" s="243" t="str">
        <f>'All Ticker P&amp;L'!B226</f>
        <v/>
      </c>
      <c r="AN226" s="243" t="str">
        <f>'All Ticker P&amp;L'!C226</f>
        <v/>
      </c>
      <c r="AO226" s="243" t="str">
        <f>'All Ticker P&amp;L'!D226</f>
        <v/>
      </c>
      <c r="AP226" s="243">
        <f>IF($AL226="",0,'All Ticker P&amp;L'!E226)</f>
        <v>0</v>
      </c>
      <c r="AQ226" s="266">
        <f>IF($AL226="",0,'All Ticker P&amp;L'!J226*'All Ticker P&amp;L'!I226)</f>
        <v>0</v>
      </c>
      <c r="AR226" s="266">
        <f>IF($AL226="",0,'All Ticker P&amp;L'!L226)</f>
        <v>0</v>
      </c>
      <c r="AS226" s="267">
        <f>IF($AL226="",0,'All Ticker P&amp;L'!M226)</f>
        <v>0</v>
      </c>
      <c r="AT226" s="243" t="str">
        <f>IF($AL226="","",RANK(AR226,$AR$2:$AR$1001)+COUNTIF($AR$2:AR226,AR226)-1)</f>
        <v/>
      </c>
      <c r="AU226" s="243" t="str">
        <f>IF($AL226="","",RANK(AV226,$AV$2:$AV$1001)+COUNTIF($AV$2:AV226,AV226)-1)</f>
        <v/>
      </c>
      <c r="AV226" s="266">
        <f t="shared" si="38"/>
        <v>0</v>
      </c>
    </row>
    <row r="227" spans="26:48" ht="15" customHeight="1" x14ac:dyDescent="0.2">
      <c r="Z227" s="243" t="str">
        <f>Shares!A227</f>
        <v/>
      </c>
      <c r="AA227" s="243" t="str">
        <f>Shares!B227</f>
        <v/>
      </c>
      <c r="AB227" s="243" t="str">
        <f>Shares!C227</f>
        <v/>
      </c>
      <c r="AC227" s="243" t="str">
        <f>Shares!D227</f>
        <v/>
      </c>
      <c r="AD227" s="243">
        <f>IF($Z227="",0,Shares!E227)</f>
        <v>0</v>
      </c>
      <c r="AE227" s="266">
        <f>IF($Z227="",0,Shares!J227*Shares!I227)</f>
        <v>0</v>
      </c>
      <c r="AF227" s="267">
        <f t="shared" si="37"/>
        <v>0</v>
      </c>
      <c r="AG227" s="266">
        <f>IF($Z227="",0,Shares!L227)</f>
        <v>0</v>
      </c>
      <c r="AH227" s="267">
        <f>IF($Z227="",0,Shares!M227)</f>
        <v>0</v>
      </c>
      <c r="AI227" s="243" t="str">
        <f>IF($Z227="","",RANK(AE227,$AE$2:$AE$1001)+COUNTIF($AE$2:AE227,AE227)-1)</f>
        <v/>
      </c>
      <c r="AJ227" s="243" t="str">
        <f>IF($AD227&lt;0,COUNT($AJ$1:AJ226)+1,"")</f>
        <v/>
      </c>
      <c r="AL227" s="243" t="str">
        <f>'All Ticker P&amp;L'!A227</f>
        <v/>
      </c>
      <c r="AM227" s="243" t="str">
        <f>'All Ticker P&amp;L'!B227</f>
        <v/>
      </c>
      <c r="AN227" s="243" t="str">
        <f>'All Ticker P&amp;L'!C227</f>
        <v/>
      </c>
      <c r="AO227" s="243" t="str">
        <f>'All Ticker P&amp;L'!D227</f>
        <v/>
      </c>
      <c r="AP227" s="243">
        <f>IF($AL227="",0,'All Ticker P&amp;L'!E227)</f>
        <v>0</v>
      </c>
      <c r="AQ227" s="266">
        <f>IF($AL227="",0,'All Ticker P&amp;L'!J227*'All Ticker P&amp;L'!I227)</f>
        <v>0</v>
      </c>
      <c r="AR227" s="266">
        <f>IF($AL227="",0,'All Ticker P&amp;L'!L227)</f>
        <v>0</v>
      </c>
      <c r="AS227" s="267">
        <f>IF($AL227="",0,'All Ticker P&amp;L'!M227)</f>
        <v>0</v>
      </c>
      <c r="AT227" s="243" t="str">
        <f>IF($AL227="","",RANK(AR227,$AR$2:$AR$1001)+COUNTIF($AR$2:AR227,AR227)-1)</f>
        <v/>
      </c>
      <c r="AU227" s="243" t="str">
        <f>IF($AL227="","",RANK(AV227,$AV$2:$AV$1001)+COUNTIF($AV$2:AV227,AV227)-1)</f>
        <v/>
      </c>
      <c r="AV227" s="266">
        <f t="shared" si="38"/>
        <v>0</v>
      </c>
    </row>
    <row r="228" spans="26:48" ht="15" customHeight="1" x14ac:dyDescent="0.2">
      <c r="Z228" s="243" t="str">
        <f>Shares!A228</f>
        <v/>
      </c>
      <c r="AA228" s="243" t="str">
        <f>Shares!B228</f>
        <v/>
      </c>
      <c r="AB228" s="243" t="str">
        <f>Shares!C228</f>
        <v/>
      </c>
      <c r="AC228" s="243" t="str">
        <f>Shares!D228</f>
        <v/>
      </c>
      <c r="AD228" s="243">
        <f>IF($Z228="",0,Shares!E228)</f>
        <v>0</v>
      </c>
      <c r="AE228" s="266">
        <f>IF($Z228="",0,Shares!J228*Shares!I228)</f>
        <v>0</v>
      </c>
      <c r="AF228" s="267">
        <f t="shared" si="37"/>
        <v>0</v>
      </c>
      <c r="AG228" s="266">
        <f>IF($Z228="",0,Shares!L228)</f>
        <v>0</v>
      </c>
      <c r="AH228" s="267">
        <f>IF($Z228="",0,Shares!M228)</f>
        <v>0</v>
      </c>
      <c r="AI228" s="243" t="str">
        <f>IF($Z228="","",RANK(AE228,$AE$2:$AE$1001)+COUNTIF($AE$2:AE228,AE228)-1)</f>
        <v/>
      </c>
      <c r="AJ228" s="243" t="str">
        <f>IF($AD228&lt;0,COUNT($AJ$1:AJ227)+1,"")</f>
        <v/>
      </c>
      <c r="AL228" s="243" t="str">
        <f>'All Ticker P&amp;L'!A228</f>
        <v/>
      </c>
      <c r="AM228" s="243" t="str">
        <f>'All Ticker P&amp;L'!B228</f>
        <v/>
      </c>
      <c r="AN228" s="243" t="str">
        <f>'All Ticker P&amp;L'!C228</f>
        <v/>
      </c>
      <c r="AO228" s="243" t="str">
        <f>'All Ticker P&amp;L'!D228</f>
        <v/>
      </c>
      <c r="AP228" s="243">
        <f>IF($AL228="",0,'All Ticker P&amp;L'!E228)</f>
        <v>0</v>
      </c>
      <c r="AQ228" s="266">
        <f>IF($AL228="",0,'All Ticker P&amp;L'!J228*'All Ticker P&amp;L'!I228)</f>
        <v>0</v>
      </c>
      <c r="AR228" s="266">
        <f>IF($AL228="",0,'All Ticker P&amp;L'!L228)</f>
        <v>0</v>
      </c>
      <c r="AS228" s="267">
        <f>IF($AL228="",0,'All Ticker P&amp;L'!M228)</f>
        <v>0</v>
      </c>
      <c r="AT228" s="243" t="str">
        <f>IF($AL228="","",RANK(AR228,$AR$2:$AR$1001)+COUNTIF($AR$2:AR228,AR228)-1)</f>
        <v/>
      </c>
      <c r="AU228" s="243" t="str">
        <f>IF($AL228="","",RANK(AV228,$AV$2:$AV$1001)+COUNTIF($AV$2:AV228,AV228)-1)</f>
        <v/>
      </c>
      <c r="AV228" s="266">
        <f t="shared" si="38"/>
        <v>0</v>
      </c>
    </row>
    <row r="229" spans="26:48" ht="15" customHeight="1" x14ac:dyDescent="0.2">
      <c r="Z229" s="243" t="str">
        <f>Shares!A229</f>
        <v/>
      </c>
      <c r="AA229" s="243" t="str">
        <f>Shares!B229</f>
        <v/>
      </c>
      <c r="AB229" s="243" t="str">
        <f>Shares!C229</f>
        <v/>
      </c>
      <c r="AC229" s="243" t="str">
        <f>Shares!D229</f>
        <v/>
      </c>
      <c r="AD229" s="243">
        <f>IF($Z229="",0,Shares!E229)</f>
        <v>0</v>
      </c>
      <c r="AE229" s="266">
        <f>IF($Z229="",0,Shares!J229*Shares!I229)</f>
        <v>0</v>
      </c>
      <c r="AF229" s="267">
        <f t="shared" si="37"/>
        <v>0</v>
      </c>
      <c r="AG229" s="266">
        <f>IF($Z229="",0,Shares!L229)</f>
        <v>0</v>
      </c>
      <c r="AH229" s="267">
        <f>IF($Z229="",0,Shares!M229)</f>
        <v>0</v>
      </c>
      <c r="AI229" s="243" t="str">
        <f>IF($Z229="","",RANK(AE229,$AE$2:$AE$1001)+COUNTIF($AE$2:AE229,AE229)-1)</f>
        <v/>
      </c>
      <c r="AJ229" s="243" t="str">
        <f>IF($AD229&lt;0,COUNT($AJ$1:AJ228)+1,"")</f>
        <v/>
      </c>
      <c r="AL229" s="243" t="str">
        <f>'All Ticker P&amp;L'!A229</f>
        <v/>
      </c>
      <c r="AM229" s="243" t="str">
        <f>'All Ticker P&amp;L'!B229</f>
        <v/>
      </c>
      <c r="AN229" s="243" t="str">
        <f>'All Ticker P&amp;L'!C229</f>
        <v/>
      </c>
      <c r="AO229" s="243" t="str">
        <f>'All Ticker P&amp;L'!D229</f>
        <v/>
      </c>
      <c r="AP229" s="243">
        <f>IF($AL229="",0,'All Ticker P&amp;L'!E229)</f>
        <v>0</v>
      </c>
      <c r="AQ229" s="266">
        <f>IF($AL229="",0,'All Ticker P&amp;L'!J229*'All Ticker P&amp;L'!I229)</f>
        <v>0</v>
      </c>
      <c r="AR229" s="266">
        <f>IF($AL229="",0,'All Ticker P&amp;L'!L229)</f>
        <v>0</v>
      </c>
      <c r="AS229" s="267">
        <f>IF($AL229="",0,'All Ticker P&amp;L'!M229)</f>
        <v>0</v>
      </c>
      <c r="AT229" s="243" t="str">
        <f>IF($AL229="","",RANK(AR229,$AR$2:$AR$1001)+COUNTIF($AR$2:AR229,AR229)-1)</f>
        <v/>
      </c>
      <c r="AU229" s="243" t="str">
        <f>IF($AL229="","",RANK(AV229,$AV$2:$AV$1001)+COUNTIF($AV$2:AV229,AV229)-1)</f>
        <v/>
      </c>
      <c r="AV229" s="266">
        <f t="shared" si="38"/>
        <v>0</v>
      </c>
    </row>
    <row r="230" spans="26:48" ht="15" customHeight="1" x14ac:dyDescent="0.2">
      <c r="Z230" s="243" t="str">
        <f>Shares!A230</f>
        <v/>
      </c>
      <c r="AA230" s="243" t="str">
        <f>Shares!B230</f>
        <v/>
      </c>
      <c r="AB230" s="243" t="str">
        <f>Shares!C230</f>
        <v/>
      </c>
      <c r="AC230" s="243" t="str">
        <f>Shares!D230</f>
        <v/>
      </c>
      <c r="AD230" s="243">
        <f>IF($Z230="",0,Shares!E230)</f>
        <v>0</v>
      </c>
      <c r="AE230" s="266">
        <f>IF($Z230="",0,Shares!J230*Shares!I230)</f>
        <v>0</v>
      </c>
      <c r="AF230" s="267">
        <f t="shared" si="37"/>
        <v>0</v>
      </c>
      <c r="AG230" s="266">
        <f>IF($Z230="",0,Shares!L230)</f>
        <v>0</v>
      </c>
      <c r="AH230" s="267">
        <f>IF($Z230="",0,Shares!M230)</f>
        <v>0</v>
      </c>
      <c r="AI230" s="243" t="str">
        <f>IF($Z230="","",RANK(AE230,$AE$2:$AE$1001)+COUNTIF($AE$2:AE230,AE230)-1)</f>
        <v/>
      </c>
      <c r="AJ230" s="243" t="str">
        <f>IF($AD230&lt;0,COUNT($AJ$1:AJ229)+1,"")</f>
        <v/>
      </c>
      <c r="AL230" s="243" t="str">
        <f>'All Ticker P&amp;L'!A230</f>
        <v/>
      </c>
      <c r="AM230" s="243" t="str">
        <f>'All Ticker P&amp;L'!B230</f>
        <v/>
      </c>
      <c r="AN230" s="243" t="str">
        <f>'All Ticker P&amp;L'!C230</f>
        <v/>
      </c>
      <c r="AO230" s="243" t="str">
        <f>'All Ticker P&amp;L'!D230</f>
        <v/>
      </c>
      <c r="AP230" s="243">
        <f>IF($AL230="",0,'All Ticker P&amp;L'!E230)</f>
        <v>0</v>
      </c>
      <c r="AQ230" s="266">
        <f>IF($AL230="",0,'All Ticker P&amp;L'!J230*'All Ticker P&amp;L'!I230)</f>
        <v>0</v>
      </c>
      <c r="AR230" s="266">
        <f>IF($AL230="",0,'All Ticker P&amp;L'!L230)</f>
        <v>0</v>
      </c>
      <c r="AS230" s="267">
        <f>IF($AL230="",0,'All Ticker P&amp;L'!M230)</f>
        <v>0</v>
      </c>
      <c r="AT230" s="243" t="str">
        <f>IF($AL230="","",RANK(AR230,$AR$2:$AR$1001)+COUNTIF($AR$2:AR230,AR230)-1)</f>
        <v/>
      </c>
      <c r="AU230" s="243" t="str">
        <f>IF($AL230="","",RANK(AV230,$AV$2:$AV$1001)+COUNTIF($AV$2:AV230,AV230)-1)</f>
        <v/>
      </c>
      <c r="AV230" s="266">
        <f t="shared" si="38"/>
        <v>0</v>
      </c>
    </row>
    <row r="231" spans="26:48" ht="15" customHeight="1" x14ac:dyDescent="0.2">
      <c r="Z231" s="243" t="str">
        <f>Shares!A231</f>
        <v/>
      </c>
      <c r="AA231" s="243" t="str">
        <f>Shares!B231</f>
        <v/>
      </c>
      <c r="AB231" s="243" t="str">
        <f>Shares!C231</f>
        <v/>
      </c>
      <c r="AC231" s="243" t="str">
        <f>Shares!D231</f>
        <v/>
      </c>
      <c r="AD231" s="243">
        <f>IF($Z231="",0,Shares!E231)</f>
        <v>0</v>
      </c>
      <c r="AE231" s="266">
        <f>IF($Z231="",0,Shares!J231*Shares!I231)</f>
        <v>0</v>
      </c>
      <c r="AF231" s="267">
        <f t="shared" si="37"/>
        <v>0</v>
      </c>
      <c r="AG231" s="266">
        <f>IF($Z231="",0,Shares!L231)</f>
        <v>0</v>
      </c>
      <c r="AH231" s="267">
        <f>IF($Z231="",0,Shares!M231)</f>
        <v>0</v>
      </c>
      <c r="AI231" s="243" t="str">
        <f>IF($Z231="","",RANK(AE231,$AE$2:$AE$1001)+COUNTIF($AE$2:AE231,AE231)-1)</f>
        <v/>
      </c>
      <c r="AJ231" s="243" t="str">
        <f>IF($AD231&lt;0,COUNT($AJ$1:AJ230)+1,"")</f>
        <v/>
      </c>
      <c r="AL231" s="243" t="str">
        <f>'All Ticker P&amp;L'!A231</f>
        <v/>
      </c>
      <c r="AM231" s="243" t="str">
        <f>'All Ticker P&amp;L'!B231</f>
        <v/>
      </c>
      <c r="AN231" s="243" t="str">
        <f>'All Ticker P&amp;L'!C231</f>
        <v/>
      </c>
      <c r="AO231" s="243" t="str">
        <f>'All Ticker P&amp;L'!D231</f>
        <v/>
      </c>
      <c r="AP231" s="243">
        <f>IF($AL231="",0,'All Ticker P&amp;L'!E231)</f>
        <v>0</v>
      </c>
      <c r="AQ231" s="266">
        <f>IF($AL231="",0,'All Ticker P&amp;L'!J231*'All Ticker P&amp;L'!I231)</f>
        <v>0</v>
      </c>
      <c r="AR231" s="266">
        <f>IF($AL231="",0,'All Ticker P&amp;L'!L231)</f>
        <v>0</v>
      </c>
      <c r="AS231" s="267">
        <f>IF($AL231="",0,'All Ticker P&amp;L'!M231)</f>
        <v>0</v>
      </c>
      <c r="AT231" s="243" t="str">
        <f>IF($AL231="","",RANK(AR231,$AR$2:$AR$1001)+COUNTIF($AR$2:AR231,AR231)-1)</f>
        <v/>
      </c>
      <c r="AU231" s="243" t="str">
        <f>IF($AL231="","",RANK(AV231,$AV$2:$AV$1001)+COUNTIF($AV$2:AV231,AV231)-1)</f>
        <v/>
      </c>
      <c r="AV231" s="266">
        <f t="shared" si="38"/>
        <v>0</v>
      </c>
    </row>
    <row r="232" spans="26:48" ht="15" customHeight="1" x14ac:dyDescent="0.2">
      <c r="Z232" s="243" t="str">
        <f>Shares!A232</f>
        <v/>
      </c>
      <c r="AA232" s="243" t="str">
        <f>Shares!B232</f>
        <v/>
      </c>
      <c r="AB232" s="243" t="str">
        <f>Shares!C232</f>
        <v/>
      </c>
      <c r="AC232" s="243" t="str">
        <f>Shares!D232</f>
        <v/>
      </c>
      <c r="AD232" s="243">
        <f>IF($Z232="",0,Shares!E232)</f>
        <v>0</v>
      </c>
      <c r="AE232" s="266">
        <f>IF($Z232="",0,Shares!J232*Shares!I232)</f>
        <v>0</v>
      </c>
      <c r="AF232" s="267">
        <f t="shared" si="37"/>
        <v>0</v>
      </c>
      <c r="AG232" s="266">
        <f>IF($Z232="",0,Shares!L232)</f>
        <v>0</v>
      </c>
      <c r="AH232" s="267">
        <f>IF($Z232="",0,Shares!M232)</f>
        <v>0</v>
      </c>
      <c r="AI232" s="243" t="str">
        <f>IF($Z232="","",RANK(AE232,$AE$2:$AE$1001)+COUNTIF($AE$2:AE232,AE232)-1)</f>
        <v/>
      </c>
      <c r="AJ232" s="243" t="str">
        <f>IF($AD232&lt;0,COUNT($AJ$1:AJ231)+1,"")</f>
        <v/>
      </c>
      <c r="AL232" s="243" t="str">
        <f>'All Ticker P&amp;L'!A232</f>
        <v/>
      </c>
      <c r="AM232" s="243" t="str">
        <f>'All Ticker P&amp;L'!B232</f>
        <v/>
      </c>
      <c r="AN232" s="243" t="str">
        <f>'All Ticker P&amp;L'!C232</f>
        <v/>
      </c>
      <c r="AO232" s="243" t="str">
        <f>'All Ticker P&amp;L'!D232</f>
        <v/>
      </c>
      <c r="AP232" s="243">
        <f>IF($AL232="",0,'All Ticker P&amp;L'!E232)</f>
        <v>0</v>
      </c>
      <c r="AQ232" s="266">
        <f>IF($AL232="",0,'All Ticker P&amp;L'!J232*'All Ticker P&amp;L'!I232)</f>
        <v>0</v>
      </c>
      <c r="AR232" s="266">
        <f>IF($AL232="",0,'All Ticker P&amp;L'!L232)</f>
        <v>0</v>
      </c>
      <c r="AS232" s="267">
        <f>IF($AL232="",0,'All Ticker P&amp;L'!M232)</f>
        <v>0</v>
      </c>
      <c r="AT232" s="243" t="str">
        <f>IF($AL232="","",RANK(AR232,$AR$2:$AR$1001)+COUNTIF($AR$2:AR232,AR232)-1)</f>
        <v/>
      </c>
      <c r="AU232" s="243" t="str">
        <f>IF($AL232="","",RANK(AV232,$AV$2:$AV$1001)+COUNTIF($AV$2:AV232,AV232)-1)</f>
        <v/>
      </c>
      <c r="AV232" s="266">
        <f t="shared" si="38"/>
        <v>0</v>
      </c>
    </row>
    <row r="233" spans="26:48" ht="15" customHeight="1" x14ac:dyDescent="0.2">
      <c r="Z233" s="243" t="str">
        <f>Shares!A233</f>
        <v/>
      </c>
      <c r="AA233" s="243" t="str">
        <f>Shares!B233</f>
        <v/>
      </c>
      <c r="AB233" s="243" t="str">
        <f>Shares!C233</f>
        <v/>
      </c>
      <c r="AC233" s="243" t="str">
        <f>Shares!D233</f>
        <v/>
      </c>
      <c r="AD233" s="243">
        <f>IF($Z233="",0,Shares!E233)</f>
        <v>0</v>
      </c>
      <c r="AE233" s="266">
        <f>IF($Z233="",0,Shares!J233*Shares!I233)</f>
        <v>0</v>
      </c>
      <c r="AF233" s="267">
        <f t="shared" si="37"/>
        <v>0</v>
      </c>
      <c r="AG233" s="266">
        <f>IF($Z233="",0,Shares!L233)</f>
        <v>0</v>
      </c>
      <c r="AH233" s="267">
        <f>IF($Z233="",0,Shares!M233)</f>
        <v>0</v>
      </c>
      <c r="AI233" s="243" t="str">
        <f>IF($Z233="","",RANK(AE233,$AE$2:$AE$1001)+COUNTIF($AE$2:AE233,AE233)-1)</f>
        <v/>
      </c>
      <c r="AJ233" s="243" t="str">
        <f>IF($AD233&lt;0,COUNT($AJ$1:AJ232)+1,"")</f>
        <v/>
      </c>
      <c r="AL233" s="243" t="str">
        <f>'All Ticker P&amp;L'!A233</f>
        <v/>
      </c>
      <c r="AM233" s="243" t="str">
        <f>'All Ticker P&amp;L'!B233</f>
        <v/>
      </c>
      <c r="AN233" s="243" t="str">
        <f>'All Ticker P&amp;L'!C233</f>
        <v/>
      </c>
      <c r="AO233" s="243" t="str">
        <f>'All Ticker P&amp;L'!D233</f>
        <v/>
      </c>
      <c r="AP233" s="243">
        <f>IF($AL233="",0,'All Ticker P&amp;L'!E233)</f>
        <v>0</v>
      </c>
      <c r="AQ233" s="266">
        <f>IF($AL233="",0,'All Ticker P&amp;L'!J233*'All Ticker P&amp;L'!I233)</f>
        <v>0</v>
      </c>
      <c r="AR233" s="266">
        <f>IF($AL233="",0,'All Ticker P&amp;L'!L233)</f>
        <v>0</v>
      </c>
      <c r="AS233" s="267">
        <f>IF($AL233="",0,'All Ticker P&amp;L'!M233)</f>
        <v>0</v>
      </c>
      <c r="AT233" s="243" t="str">
        <f>IF($AL233="","",RANK(AR233,$AR$2:$AR$1001)+COUNTIF($AR$2:AR233,AR233)-1)</f>
        <v/>
      </c>
      <c r="AU233" s="243" t="str">
        <f>IF($AL233="","",RANK(AV233,$AV$2:$AV$1001)+COUNTIF($AV$2:AV233,AV233)-1)</f>
        <v/>
      </c>
      <c r="AV233" s="266">
        <f t="shared" si="38"/>
        <v>0</v>
      </c>
    </row>
    <row r="234" spans="26:48" ht="15" customHeight="1" x14ac:dyDescent="0.2">
      <c r="Z234" s="243" t="str">
        <f>Shares!A234</f>
        <v/>
      </c>
      <c r="AA234" s="243" t="str">
        <f>Shares!B234</f>
        <v/>
      </c>
      <c r="AB234" s="243" t="str">
        <f>Shares!C234</f>
        <v/>
      </c>
      <c r="AC234" s="243" t="str">
        <f>Shares!D234</f>
        <v/>
      </c>
      <c r="AD234" s="243">
        <f>IF($Z234="",0,Shares!E234)</f>
        <v>0</v>
      </c>
      <c r="AE234" s="266">
        <f>IF($Z234="",0,Shares!J234*Shares!I234)</f>
        <v>0</v>
      </c>
      <c r="AF234" s="267">
        <f t="shared" si="37"/>
        <v>0</v>
      </c>
      <c r="AG234" s="266">
        <f>IF($Z234="",0,Shares!L234)</f>
        <v>0</v>
      </c>
      <c r="AH234" s="267">
        <f>IF($Z234="",0,Shares!M234)</f>
        <v>0</v>
      </c>
      <c r="AI234" s="243" t="str">
        <f>IF($Z234="","",RANK(AE234,$AE$2:$AE$1001)+COUNTIF($AE$2:AE234,AE234)-1)</f>
        <v/>
      </c>
      <c r="AJ234" s="243" t="str">
        <f>IF($AD234&lt;0,COUNT($AJ$1:AJ233)+1,"")</f>
        <v/>
      </c>
      <c r="AL234" s="243" t="str">
        <f>'All Ticker P&amp;L'!A234</f>
        <v/>
      </c>
      <c r="AM234" s="243" t="str">
        <f>'All Ticker P&amp;L'!B234</f>
        <v/>
      </c>
      <c r="AN234" s="243" t="str">
        <f>'All Ticker P&amp;L'!C234</f>
        <v/>
      </c>
      <c r="AO234" s="243" t="str">
        <f>'All Ticker P&amp;L'!D234</f>
        <v/>
      </c>
      <c r="AP234" s="243">
        <f>IF($AL234="",0,'All Ticker P&amp;L'!E234)</f>
        <v>0</v>
      </c>
      <c r="AQ234" s="266">
        <f>IF($AL234="",0,'All Ticker P&amp;L'!J234*'All Ticker P&amp;L'!I234)</f>
        <v>0</v>
      </c>
      <c r="AR234" s="266">
        <f>IF($AL234="",0,'All Ticker P&amp;L'!L234)</f>
        <v>0</v>
      </c>
      <c r="AS234" s="267">
        <f>IF($AL234="",0,'All Ticker P&amp;L'!M234)</f>
        <v>0</v>
      </c>
      <c r="AT234" s="243" t="str">
        <f>IF($AL234="","",RANK(AR234,$AR$2:$AR$1001)+COUNTIF($AR$2:AR234,AR234)-1)</f>
        <v/>
      </c>
      <c r="AU234" s="243" t="str">
        <f>IF($AL234="","",RANK(AV234,$AV$2:$AV$1001)+COUNTIF($AV$2:AV234,AV234)-1)</f>
        <v/>
      </c>
      <c r="AV234" s="266">
        <f t="shared" si="38"/>
        <v>0</v>
      </c>
    </row>
    <row r="235" spans="26:48" ht="15" customHeight="1" x14ac:dyDescent="0.2">
      <c r="Z235" s="243" t="str">
        <f>Shares!A235</f>
        <v/>
      </c>
      <c r="AA235" s="243" t="str">
        <f>Shares!B235</f>
        <v/>
      </c>
      <c r="AB235" s="243" t="str">
        <f>Shares!C235</f>
        <v/>
      </c>
      <c r="AC235" s="243" t="str">
        <f>Shares!D235</f>
        <v/>
      </c>
      <c r="AD235" s="243">
        <f>IF($Z235="",0,Shares!E235)</f>
        <v>0</v>
      </c>
      <c r="AE235" s="266">
        <f>IF($Z235="",0,Shares!J235*Shares!I235)</f>
        <v>0</v>
      </c>
      <c r="AF235" s="267">
        <f t="shared" si="37"/>
        <v>0</v>
      </c>
      <c r="AG235" s="266">
        <f>IF($Z235="",0,Shares!L235)</f>
        <v>0</v>
      </c>
      <c r="AH235" s="267">
        <f>IF($Z235="",0,Shares!M235)</f>
        <v>0</v>
      </c>
      <c r="AI235" s="243" t="str">
        <f>IF($Z235="","",RANK(AE235,$AE$2:$AE$1001)+COUNTIF($AE$2:AE235,AE235)-1)</f>
        <v/>
      </c>
      <c r="AJ235" s="243" t="str">
        <f>IF($AD235&lt;0,COUNT($AJ$1:AJ234)+1,"")</f>
        <v/>
      </c>
      <c r="AL235" s="243" t="str">
        <f>'All Ticker P&amp;L'!A235</f>
        <v/>
      </c>
      <c r="AM235" s="243" t="str">
        <f>'All Ticker P&amp;L'!B235</f>
        <v/>
      </c>
      <c r="AN235" s="243" t="str">
        <f>'All Ticker P&amp;L'!C235</f>
        <v/>
      </c>
      <c r="AO235" s="243" t="str">
        <f>'All Ticker P&amp;L'!D235</f>
        <v/>
      </c>
      <c r="AP235" s="243">
        <f>IF($AL235="",0,'All Ticker P&amp;L'!E235)</f>
        <v>0</v>
      </c>
      <c r="AQ235" s="266">
        <f>IF($AL235="",0,'All Ticker P&amp;L'!J235*'All Ticker P&amp;L'!I235)</f>
        <v>0</v>
      </c>
      <c r="AR235" s="266">
        <f>IF($AL235="",0,'All Ticker P&amp;L'!L235)</f>
        <v>0</v>
      </c>
      <c r="AS235" s="267">
        <f>IF($AL235="",0,'All Ticker P&amp;L'!M235)</f>
        <v>0</v>
      </c>
      <c r="AT235" s="243" t="str">
        <f>IF($AL235="","",RANK(AR235,$AR$2:$AR$1001)+COUNTIF($AR$2:AR235,AR235)-1)</f>
        <v/>
      </c>
      <c r="AU235" s="243" t="str">
        <f>IF($AL235="","",RANK(AV235,$AV$2:$AV$1001)+COUNTIF($AV$2:AV235,AV235)-1)</f>
        <v/>
      </c>
      <c r="AV235" s="266">
        <f t="shared" si="38"/>
        <v>0</v>
      </c>
    </row>
    <row r="236" spans="26:48" ht="15" customHeight="1" x14ac:dyDescent="0.2">
      <c r="Z236" s="243" t="str">
        <f>Shares!A236</f>
        <v/>
      </c>
      <c r="AA236" s="243" t="str">
        <f>Shares!B236</f>
        <v/>
      </c>
      <c r="AB236" s="243" t="str">
        <f>Shares!C236</f>
        <v/>
      </c>
      <c r="AC236" s="243" t="str">
        <f>Shares!D236</f>
        <v/>
      </c>
      <c r="AD236" s="243">
        <f>IF($Z236="",0,Shares!E236)</f>
        <v>0</v>
      </c>
      <c r="AE236" s="266">
        <f>IF($Z236="",0,Shares!J236*Shares!I236)</f>
        <v>0</v>
      </c>
      <c r="AF236" s="267">
        <f t="shared" si="37"/>
        <v>0</v>
      </c>
      <c r="AG236" s="266">
        <f>IF($Z236="",0,Shares!L236)</f>
        <v>0</v>
      </c>
      <c r="AH236" s="267">
        <f>IF($Z236="",0,Shares!M236)</f>
        <v>0</v>
      </c>
      <c r="AI236" s="243" t="str">
        <f>IF($Z236="","",RANK(AE236,$AE$2:$AE$1001)+COUNTIF($AE$2:AE236,AE236)-1)</f>
        <v/>
      </c>
      <c r="AJ236" s="243" t="str">
        <f>IF($AD236&lt;0,COUNT($AJ$1:AJ235)+1,"")</f>
        <v/>
      </c>
      <c r="AL236" s="243" t="str">
        <f>'All Ticker P&amp;L'!A236</f>
        <v/>
      </c>
      <c r="AM236" s="243" t="str">
        <f>'All Ticker P&amp;L'!B236</f>
        <v/>
      </c>
      <c r="AN236" s="243" t="str">
        <f>'All Ticker P&amp;L'!C236</f>
        <v/>
      </c>
      <c r="AO236" s="243" t="str">
        <f>'All Ticker P&amp;L'!D236</f>
        <v/>
      </c>
      <c r="AP236" s="243">
        <f>IF($AL236="",0,'All Ticker P&amp;L'!E236)</f>
        <v>0</v>
      </c>
      <c r="AQ236" s="266">
        <f>IF($AL236="",0,'All Ticker P&amp;L'!J236*'All Ticker P&amp;L'!I236)</f>
        <v>0</v>
      </c>
      <c r="AR236" s="266">
        <f>IF($AL236="",0,'All Ticker P&amp;L'!L236)</f>
        <v>0</v>
      </c>
      <c r="AS236" s="267">
        <f>IF($AL236="",0,'All Ticker P&amp;L'!M236)</f>
        <v>0</v>
      </c>
      <c r="AT236" s="243" t="str">
        <f>IF($AL236="","",RANK(AR236,$AR$2:$AR$1001)+COUNTIF($AR$2:AR236,AR236)-1)</f>
        <v/>
      </c>
      <c r="AU236" s="243" t="str">
        <f>IF($AL236="","",RANK(AV236,$AV$2:$AV$1001)+COUNTIF($AV$2:AV236,AV236)-1)</f>
        <v/>
      </c>
      <c r="AV236" s="266">
        <f t="shared" si="38"/>
        <v>0</v>
      </c>
    </row>
    <row r="237" spans="26:48" ht="15" customHeight="1" x14ac:dyDescent="0.2">
      <c r="Z237" s="243" t="str">
        <f>Shares!A237</f>
        <v/>
      </c>
      <c r="AA237" s="243" t="str">
        <f>Shares!B237</f>
        <v/>
      </c>
      <c r="AB237" s="243" t="str">
        <f>Shares!C237</f>
        <v/>
      </c>
      <c r="AC237" s="243" t="str">
        <f>Shares!D237</f>
        <v/>
      </c>
      <c r="AD237" s="243">
        <f>IF($Z237="",0,Shares!E237)</f>
        <v>0</v>
      </c>
      <c r="AE237" s="266">
        <f>IF($Z237="",0,Shares!J237*Shares!I237)</f>
        <v>0</v>
      </c>
      <c r="AF237" s="267">
        <f t="shared" si="37"/>
        <v>0</v>
      </c>
      <c r="AG237" s="266">
        <f>IF($Z237="",0,Shares!L237)</f>
        <v>0</v>
      </c>
      <c r="AH237" s="267">
        <f>IF($Z237="",0,Shares!M237)</f>
        <v>0</v>
      </c>
      <c r="AI237" s="243" t="str">
        <f>IF($Z237="","",RANK(AE237,$AE$2:$AE$1001)+COUNTIF($AE$2:AE237,AE237)-1)</f>
        <v/>
      </c>
      <c r="AJ237" s="243" t="str">
        <f>IF($AD237&lt;0,COUNT($AJ$1:AJ236)+1,"")</f>
        <v/>
      </c>
      <c r="AL237" s="243" t="str">
        <f>'All Ticker P&amp;L'!A237</f>
        <v/>
      </c>
      <c r="AM237" s="243" t="str">
        <f>'All Ticker P&amp;L'!B237</f>
        <v/>
      </c>
      <c r="AN237" s="243" t="str">
        <f>'All Ticker P&amp;L'!C237</f>
        <v/>
      </c>
      <c r="AO237" s="243" t="str">
        <f>'All Ticker P&amp;L'!D237</f>
        <v/>
      </c>
      <c r="AP237" s="243">
        <f>IF($AL237="",0,'All Ticker P&amp;L'!E237)</f>
        <v>0</v>
      </c>
      <c r="AQ237" s="266">
        <f>IF($AL237="",0,'All Ticker P&amp;L'!J237*'All Ticker P&amp;L'!I237)</f>
        <v>0</v>
      </c>
      <c r="AR237" s="266">
        <f>IF($AL237="",0,'All Ticker P&amp;L'!L237)</f>
        <v>0</v>
      </c>
      <c r="AS237" s="267">
        <f>IF($AL237="",0,'All Ticker P&amp;L'!M237)</f>
        <v>0</v>
      </c>
      <c r="AT237" s="243" t="str">
        <f>IF($AL237="","",RANK(AR237,$AR$2:$AR$1001)+COUNTIF($AR$2:AR237,AR237)-1)</f>
        <v/>
      </c>
      <c r="AU237" s="243" t="str">
        <f>IF($AL237="","",RANK(AV237,$AV$2:$AV$1001)+COUNTIF($AV$2:AV237,AV237)-1)</f>
        <v/>
      </c>
      <c r="AV237" s="266">
        <f t="shared" si="38"/>
        <v>0</v>
      </c>
    </row>
    <row r="238" spans="26:48" ht="15" customHeight="1" x14ac:dyDescent="0.2">
      <c r="Z238" s="243" t="str">
        <f>Shares!A238</f>
        <v/>
      </c>
      <c r="AA238" s="243" t="str">
        <f>Shares!B238</f>
        <v/>
      </c>
      <c r="AB238" s="243" t="str">
        <f>Shares!C238</f>
        <v/>
      </c>
      <c r="AC238" s="243" t="str">
        <f>Shares!D238</f>
        <v/>
      </c>
      <c r="AD238" s="243">
        <f>IF($Z238="",0,Shares!E238)</f>
        <v>0</v>
      </c>
      <c r="AE238" s="266">
        <f>IF($Z238="",0,Shares!J238*Shares!I238)</f>
        <v>0</v>
      </c>
      <c r="AF238" s="267">
        <f t="shared" si="37"/>
        <v>0</v>
      </c>
      <c r="AG238" s="266">
        <f>IF($Z238="",0,Shares!L238)</f>
        <v>0</v>
      </c>
      <c r="AH238" s="267">
        <f>IF($Z238="",0,Shares!M238)</f>
        <v>0</v>
      </c>
      <c r="AI238" s="243" t="str">
        <f>IF($Z238="","",RANK(AE238,$AE$2:$AE$1001)+COUNTIF($AE$2:AE238,AE238)-1)</f>
        <v/>
      </c>
      <c r="AJ238" s="243" t="str">
        <f>IF($AD238&lt;0,COUNT($AJ$1:AJ237)+1,"")</f>
        <v/>
      </c>
      <c r="AL238" s="243" t="str">
        <f>'All Ticker P&amp;L'!A238</f>
        <v/>
      </c>
      <c r="AM238" s="243" t="str">
        <f>'All Ticker P&amp;L'!B238</f>
        <v/>
      </c>
      <c r="AN238" s="243" t="str">
        <f>'All Ticker P&amp;L'!C238</f>
        <v/>
      </c>
      <c r="AO238" s="243" t="str">
        <f>'All Ticker P&amp;L'!D238</f>
        <v/>
      </c>
      <c r="AP238" s="243">
        <f>IF($AL238="",0,'All Ticker P&amp;L'!E238)</f>
        <v>0</v>
      </c>
      <c r="AQ238" s="266">
        <f>IF($AL238="",0,'All Ticker P&amp;L'!J238*'All Ticker P&amp;L'!I238)</f>
        <v>0</v>
      </c>
      <c r="AR238" s="266">
        <f>IF($AL238="",0,'All Ticker P&amp;L'!L238)</f>
        <v>0</v>
      </c>
      <c r="AS238" s="267">
        <f>IF($AL238="",0,'All Ticker P&amp;L'!M238)</f>
        <v>0</v>
      </c>
      <c r="AT238" s="243" t="str">
        <f>IF($AL238="","",RANK(AR238,$AR$2:$AR$1001)+COUNTIF($AR$2:AR238,AR238)-1)</f>
        <v/>
      </c>
      <c r="AU238" s="243" t="str">
        <f>IF($AL238="","",RANK(AV238,$AV$2:$AV$1001)+COUNTIF($AV$2:AV238,AV238)-1)</f>
        <v/>
      </c>
      <c r="AV238" s="266">
        <f t="shared" si="38"/>
        <v>0</v>
      </c>
    </row>
    <row r="239" spans="26:48" ht="15" customHeight="1" x14ac:dyDescent="0.2">
      <c r="Z239" s="243" t="str">
        <f>Shares!A239</f>
        <v/>
      </c>
      <c r="AA239" s="243" t="str">
        <f>Shares!B239</f>
        <v/>
      </c>
      <c r="AB239" s="243" t="str">
        <f>Shares!C239</f>
        <v/>
      </c>
      <c r="AC239" s="243" t="str">
        <f>Shares!D239</f>
        <v/>
      </c>
      <c r="AD239" s="243">
        <f>IF($Z239="",0,Shares!E239)</f>
        <v>0</v>
      </c>
      <c r="AE239" s="266">
        <f>IF($Z239="",0,Shares!J239*Shares!I239)</f>
        <v>0</v>
      </c>
      <c r="AF239" s="267">
        <f t="shared" si="37"/>
        <v>0</v>
      </c>
      <c r="AG239" s="266">
        <f>IF($Z239="",0,Shares!L239)</f>
        <v>0</v>
      </c>
      <c r="AH239" s="267">
        <f>IF($Z239="",0,Shares!M239)</f>
        <v>0</v>
      </c>
      <c r="AI239" s="243" t="str">
        <f>IF($Z239="","",RANK(AE239,$AE$2:$AE$1001)+COUNTIF($AE$2:AE239,AE239)-1)</f>
        <v/>
      </c>
      <c r="AJ239" s="243" t="str">
        <f>IF($AD239&lt;0,COUNT($AJ$1:AJ238)+1,"")</f>
        <v/>
      </c>
      <c r="AL239" s="243" t="str">
        <f>'All Ticker P&amp;L'!A239</f>
        <v/>
      </c>
      <c r="AM239" s="243" t="str">
        <f>'All Ticker P&amp;L'!B239</f>
        <v/>
      </c>
      <c r="AN239" s="243" t="str">
        <f>'All Ticker P&amp;L'!C239</f>
        <v/>
      </c>
      <c r="AO239" s="243" t="str">
        <f>'All Ticker P&amp;L'!D239</f>
        <v/>
      </c>
      <c r="AP239" s="243">
        <f>IF($AL239="",0,'All Ticker P&amp;L'!E239)</f>
        <v>0</v>
      </c>
      <c r="AQ239" s="266">
        <f>IF($AL239="",0,'All Ticker P&amp;L'!J239*'All Ticker P&amp;L'!I239)</f>
        <v>0</v>
      </c>
      <c r="AR239" s="266">
        <f>IF($AL239="",0,'All Ticker P&amp;L'!L239)</f>
        <v>0</v>
      </c>
      <c r="AS239" s="267">
        <f>IF($AL239="",0,'All Ticker P&amp;L'!M239)</f>
        <v>0</v>
      </c>
      <c r="AT239" s="243" t="str">
        <f>IF($AL239="","",RANK(AR239,$AR$2:$AR$1001)+COUNTIF($AR$2:AR239,AR239)-1)</f>
        <v/>
      </c>
      <c r="AU239" s="243" t="str">
        <f>IF($AL239="","",RANK(AV239,$AV$2:$AV$1001)+COUNTIF($AV$2:AV239,AV239)-1)</f>
        <v/>
      </c>
      <c r="AV239" s="266">
        <f t="shared" si="38"/>
        <v>0</v>
      </c>
    </row>
    <row r="240" spans="26:48" ht="15" customHeight="1" x14ac:dyDescent="0.2">
      <c r="Z240" s="243" t="str">
        <f>Shares!A240</f>
        <v/>
      </c>
      <c r="AA240" s="243" t="str">
        <f>Shares!B240</f>
        <v/>
      </c>
      <c r="AB240" s="243" t="str">
        <f>Shares!C240</f>
        <v/>
      </c>
      <c r="AC240" s="243" t="str">
        <f>Shares!D240</f>
        <v/>
      </c>
      <c r="AD240" s="243">
        <f>IF($Z240="",0,Shares!E240)</f>
        <v>0</v>
      </c>
      <c r="AE240" s="266">
        <f>IF($Z240="",0,Shares!J240*Shares!I240)</f>
        <v>0</v>
      </c>
      <c r="AF240" s="267">
        <f t="shared" si="37"/>
        <v>0</v>
      </c>
      <c r="AG240" s="266">
        <f>IF($Z240="",0,Shares!L240)</f>
        <v>0</v>
      </c>
      <c r="AH240" s="267">
        <f>IF($Z240="",0,Shares!M240)</f>
        <v>0</v>
      </c>
      <c r="AI240" s="243" t="str">
        <f>IF($Z240="","",RANK(AE240,$AE$2:$AE$1001)+COUNTIF($AE$2:AE240,AE240)-1)</f>
        <v/>
      </c>
      <c r="AJ240" s="243" t="str">
        <f>IF($AD240&lt;0,COUNT($AJ$1:AJ239)+1,"")</f>
        <v/>
      </c>
      <c r="AL240" s="243" t="str">
        <f>'All Ticker P&amp;L'!A240</f>
        <v/>
      </c>
      <c r="AM240" s="243" t="str">
        <f>'All Ticker P&amp;L'!B240</f>
        <v/>
      </c>
      <c r="AN240" s="243" t="str">
        <f>'All Ticker P&amp;L'!C240</f>
        <v/>
      </c>
      <c r="AO240" s="243" t="str">
        <f>'All Ticker P&amp;L'!D240</f>
        <v/>
      </c>
      <c r="AP240" s="243">
        <f>IF($AL240="",0,'All Ticker P&amp;L'!E240)</f>
        <v>0</v>
      </c>
      <c r="AQ240" s="266">
        <f>IF($AL240="",0,'All Ticker P&amp;L'!J240*'All Ticker P&amp;L'!I240)</f>
        <v>0</v>
      </c>
      <c r="AR240" s="266">
        <f>IF($AL240="",0,'All Ticker P&amp;L'!L240)</f>
        <v>0</v>
      </c>
      <c r="AS240" s="267">
        <f>IF($AL240="",0,'All Ticker P&amp;L'!M240)</f>
        <v>0</v>
      </c>
      <c r="AT240" s="243" t="str">
        <f>IF($AL240="","",RANK(AR240,$AR$2:$AR$1001)+COUNTIF($AR$2:AR240,AR240)-1)</f>
        <v/>
      </c>
      <c r="AU240" s="243" t="str">
        <f>IF($AL240="","",RANK(AV240,$AV$2:$AV$1001)+COUNTIF($AV$2:AV240,AV240)-1)</f>
        <v/>
      </c>
      <c r="AV240" s="266">
        <f t="shared" si="38"/>
        <v>0</v>
      </c>
    </row>
    <row r="241" spans="26:48" ht="15" customHeight="1" x14ac:dyDescent="0.2">
      <c r="Z241" s="243" t="str">
        <f>Shares!A241</f>
        <v/>
      </c>
      <c r="AA241" s="243" t="str">
        <f>Shares!B241</f>
        <v/>
      </c>
      <c r="AB241" s="243" t="str">
        <f>Shares!C241</f>
        <v/>
      </c>
      <c r="AC241" s="243" t="str">
        <f>Shares!D241</f>
        <v/>
      </c>
      <c r="AD241" s="243">
        <f>IF($Z241="",0,Shares!E241)</f>
        <v>0</v>
      </c>
      <c r="AE241" s="266">
        <f>IF($Z241="",0,Shares!J241*Shares!I241)</f>
        <v>0</v>
      </c>
      <c r="AF241" s="267">
        <f t="shared" si="37"/>
        <v>0</v>
      </c>
      <c r="AG241" s="266">
        <f>IF($Z241="",0,Shares!L241)</f>
        <v>0</v>
      </c>
      <c r="AH241" s="267">
        <f>IF($Z241="",0,Shares!M241)</f>
        <v>0</v>
      </c>
      <c r="AI241" s="243" t="str">
        <f>IF($Z241="","",RANK(AE241,$AE$2:$AE$1001)+COUNTIF($AE$2:AE241,AE241)-1)</f>
        <v/>
      </c>
      <c r="AJ241" s="243" t="str">
        <f>IF($AD241&lt;0,COUNT($AJ$1:AJ240)+1,"")</f>
        <v/>
      </c>
      <c r="AL241" s="243" t="str">
        <f>'All Ticker P&amp;L'!A241</f>
        <v/>
      </c>
      <c r="AM241" s="243" t="str">
        <f>'All Ticker P&amp;L'!B241</f>
        <v/>
      </c>
      <c r="AN241" s="243" t="str">
        <f>'All Ticker P&amp;L'!C241</f>
        <v/>
      </c>
      <c r="AO241" s="243" t="str">
        <f>'All Ticker P&amp;L'!D241</f>
        <v/>
      </c>
      <c r="AP241" s="243">
        <f>IF($AL241="",0,'All Ticker P&amp;L'!E241)</f>
        <v>0</v>
      </c>
      <c r="AQ241" s="266">
        <f>IF($AL241="",0,'All Ticker P&amp;L'!J241*'All Ticker P&amp;L'!I241)</f>
        <v>0</v>
      </c>
      <c r="AR241" s="266">
        <f>IF($AL241="",0,'All Ticker P&amp;L'!L241)</f>
        <v>0</v>
      </c>
      <c r="AS241" s="267">
        <f>IF($AL241="",0,'All Ticker P&amp;L'!M241)</f>
        <v>0</v>
      </c>
      <c r="AT241" s="243" t="str">
        <f>IF($AL241="","",RANK(AR241,$AR$2:$AR$1001)+COUNTIF($AR$2:AR241,AR241)-1)</f>
        <v/>
      </c>
      <c r="AU241" s="243" t="str">
        <f>IF($AL241="","",RANK(AV241,$AV$2:$AV$1001)+COUNTIF($AV$2:AV241,AV241)-1)</f>
        <v/>
      </c>
      <c r="AV241" s="266">
        <f t="shared" si="38"/>
        <v>0</v>
      </c>
    </row>
    <row r="242" spans="26:48" ht="15" customHeight="1" x14ac:dyDescent="0.2">
      <c r="Z242" s="243" t="str">
        <f>Shares!A242</f>
        <v/>
      </c>
      <c r="AA242" s="243" t="str">
        <f>Shares!B242</f>
        <v/>
      </c>
      <c r="AB242" s="243" t="str">
        <f>Shares!C242</f>
        <v/>
      </c>
      <c r="AC242" s="243" t="str">
        <f>Shares!D242</f>
        <v/>
      </c>
      <c r="AD242" s="243">
        <f>IF($Z242="",0,Shares!E242)</f>
        <v>0</v>
      </c>
      <c r="AE242" s="266">
        <f>IF($Z242="",0,Shares!J242*Shares!I242)</f>
        <v>0</v>
      </c>
      <c r="AF242" s="267">
        <f t="shared" si="37"/>
        <v>0</v>
      </c>
      <c r="AG242" s="266">
        <f>IF($Z242="",0,Shares!L242)</f>
        <v>0</v>
      </c>
      <c r="AH242" s="267">
        <f>IF($Z242="",0,Shares!M242)</f>
        <v>0</v>
      </c>
      <c r="AI242" s="243" t="str">
        <f>IF($Z242="","",RANK(AE242,$AE$2:$AE$1001)+COUNTIF($AE$2:AE242,AE242)-1)</f>
        <v/>
      </c>
      <c r="AJ242" s="243" t="str">
        <f>IF($AD242&lt;0,COUNT($AJ$1:AJ241)+1,"")</f>
        <v/>
      </c>
      <c r="AL242" s="243" t="str">
        <f>'All Ticker P&amp;L'!A242</f>
        <v/>
      </c>
      <c r="AM242" s="243" t="str">
        <f>'All Ticker P&amp;L'!B242</f>
        <v/>
      </c>
      <c r="AN242" s="243" t="str">
        <f>'All Ticker P&amp;L'!C242</f>
        <v/>
      </c>
      <c r="AO242" s="243" t="str">
        <f>'All Ticker P&amp;L'!D242</f>
        <v/>
      </c>
      <c r="AP242" s="243">
        <f>IF($AL242="",0,'All Ticker P&amp;L'!E242)</f>
        <v>0</v>
      </c>
      <c r="AQ242" s="266">
        <f>IF($AL242="",0,'All Ticker P&amp;L'!J242*'All Ticker P&amp;L'!I242)</f>
        <v>0</v>
      </c>
      <c r="AR242" s="266">
        <f>IF($AL242="",0,'All Ticker P&amp;L'!L242)</f>
        <v>0</v>
      </c>
      <c r="AS242" s="267">
        <f>IF($AL242="",0,'All Ticker P&amp;L'!M242)</f>
        <v>0</v>
      </c>
      <c r="AT242" s="243" t="str">
        <f>IF($AL242="","",RANK(AR242,$AR$2:$AR$1001)+COUNTIF($AR$2:AR242,AR242)-1)</f>
        <v/>
      </c>
      <c r="AU242" s="243" t="str">
        <f>IF($AL242="","",RANK(AV242,$AV$2:$AV$1001)+COUNTIF($AV$2:AV242,AV242)-1)</f>
        <v/>
      </c>
      <c r="AV242" s="266">
        <f t="shared" si="38"/>
        <v>0</v>
      </c>
    </row>
    <row r="243" spans="26:48" ht="15" customHeight="1" x14ac:dyDescent="0.2">
      <c r="Z243" s="243" t="str">
        <f>Shares!A243</f>
        <v/>
      </c>
      <c r="AA243" s="243" t="str">
        <f>Shares!B243</f>
        <v/>
      </c>
      <c r="AB243" s="243" t="str">
        <f>Shares!C243</f>
        <v/>
      </c>
      <c r="AC243" s="243" t="str">
        <f>Shares!D243</f>
        <v/>
      </c>
      <c r="AD243" s="243">
        <f>IF($Z243="",0,Shares!E243)</f>
        <v>0</v>
      </c>
      <c r="AE243" s="266">
        <f>IF($Z243="",0,Shares!J243*Shares!I243)</f>
        <v>0</v>
      </c>
      <c r="AF243" s="267">
        <f t="shared" si="37"/>
        <v>0</v>
      </c>
      <c r="AG243" s="266">
        <f>IF($Z243="",0,Shares!L243)</f>
        <v>0</v>
      </c>
      <c r="AH243" s="267">
        <f>IF($Z243="",0,Shares!M243)</f>
        <v>0</v>
      </c>
      <c r="AI243" s="243" t="str">
        <f>IF($Z243="","",RANK(AE243,$AE$2:$AE$1001)+COUNTIF($AE$2:AE243,AE243)-1)</f>
        <v/>
      </c>
      <c r="AJ243" s="243" t="str">
        <f>IF($AD243&lt;0,COUNT($AJ$1:AJ242)+1,"")</f>
        <v/>
      </c>
      <c r="AL243" s="243" t="str">
        <f>'All Ticker P&amp;L'!A243</f>
        <v/>
      </c>
      <c r="AM243" s="243" t="str">
        <f>'All Ticker P&amp;L'!B243</f>
        <v/>
      </c>
      <c r="AN243" s="243" t="str">
        <f>'All Ticker P&amp;L'!C243</f>
        <v/>
      </c>
      <c r="AO243" s="243" t="str">
        <f>'All Ticker P&amp;L'!D243</f>
        <v/>
      </c>
      <c r="AP243" s="243">
        <f>IF($AL243="",0,'All Ticker P&amp;L'!E243)</f>
        <v>0</v>
      </c>
      <c r="AQ243" s="266">
        <f>IF($AL243="",0,'All Ticker P&amp;L'!J243*'All Ticker P&amp;L'!I243)</f>
        <v>0</v>
      </c>
      <c r="AR243" s="266">
        <f>IF($AL243="",0,'All Ticker P&amp;L'!L243)</f>
        <v>0</v>
      </c>
      <c r="AS243" s="267">
        <f>IF($AL243="",0,'All Ticker P&amp;L'!M243)</f>
        <v>0</v>
      </c>
      <c r="AT243" s="243" t="str">
        <f>IF($AL243="","",RANK(AR243,$AR$2:$AR$1001)+COUNTIF($AR$2:AR243,AR243)-1)</f>
        <v/>
      </c>
      <c r="AU243" s="243" t="str">
        <f>IF($AL243="","",RANK(AV243,$AV$2:$AV$1001)+COUNTIF($AV$2:AV243,AV243)-1)</f>
        <v/>
      </c>
      <c r="AV243" s="266">
        <f t="shared" si="38"/>
        <v>0</v>
      </c>
    </row>
    <row r="244" spans="26:48" ht="15" customHeight="1" x14ac:dyDescent="0.2">
      <c r="Z244" s="243" t="str">
        <f>Shares!A244</f>
        <v/>
      </c>
      <c r="AA244" s="243" t="str">
        <f>Shares!B244</f>
        <v/>
      </c>
      <c r="AB244" s="243" t="str">
        <f>Shares!C244</f>
        <v/>
      </c>
      <c r="AC244" s="243" t="str">
        <f>Shares!D244</f>
        <v/>
      </c>
      <c r="AD244" s="243">
        <f>IF($Z244="",0,Shares!E244)</f>
        <v>0</v>
      </c>
      <c r="AE244" s="266">
        <f>IF($Z244="",0,Shares!J244*Shares!I244)</f>
        <v>0</v>
      </c>
      <c r="AF244" s="267">
        <f t="shared" si="37"/>
        <v>0</v>
      </c>
      <c r="AG244" s="266">
        <f>IF($Z244="",0,Shares!L244)</f>
        <v>0</v>
      </c>
      <c r="AH244" s="267">
        <f>IF($Z244="",0,Shares!M244)</f>
        <v>0</v>
      </c>
      <c r="AI244" s="243" t="str">
        <f>IF($Z244="","",RANK(AE244,$AE$2:$AE$1001)+COUNTIF($AE$2:AE244,AE244)-1)</f>
        <v/>
      </c>
      <c r="AJ244" s="243" t="str">
        <f>IF($AD244&lt;0,COUNT($AJ$1:AJ243)+1,"")</f>
        <v/>
      </c>
      <c r="AL244" s="243" t="str">
        <f>'All Ticker P&amp;L'!A244</f>
        <v/>
      </c>
      <c r="AM244" s="243" t="str">
        <f>'All Ticker P&amp;L'!B244</f>
        <v/>
      </c>
      <c r="AN244" s="243" t="str">
        <f>'All Ticker P&amp;L'!C244</f>
        <v/>
      </c>
      <c r="AO244" s="243" t="str">
        <f>'All Ticker P&amp;L'!D244</f>
        <v/>
      </c>
      <c r="AP244" s="243">
        <f>IF($AL244="",0,'All Ticker P&amp;L'!E244)</f>
        <v>0</v>
      </c>
      <c r="AQ244" s="266">
        <f>IF($AL244="",0,'All Ticker P&amp;L'!J244*'All Ticker P&amp;L'!I244)</f>
        <v>0</v>
      </c>
      <c r="AR244" s="266">
        <f>IF($AL244="",0,'All Ticker P&amp;L'!L244)</f>
        <v>0</v>
      </c>
      <c r="AS244" s="267">
        <f>IF($AL244="",0,'All Ticker P&amp;L'!M244)</f>
        <v>0</v>
      </c>
      <c r="AT244" s="243" t="str">
        <f>IF($AL244="","",RANK(AR244,$AR$2:$AR$1001)+COUNTIF($AR$2:AR244,AR244)-1)</f>
        <v/>
      </c>
      <c r="AU244" s="243" t="str">
        <f>IF($AL244="","",RANK(AV244,$AV$2:$AV$1001)+COUNTIF($AV$2:AV244,AV244)-1)</f>
        <v/>
      </c>
      <c r="AV244" s="266">
        <f t="shared" si="38"/>
        <v>0</v>
      </c>
    </row>
    <row r="245" spans="26:48" ht="15" customHeight="1" x14ac:dyDescent="0.2">
      <c r="Z245" s="243" t="str">
        <f>Shares!A245</f>
        <v/>
      </c>
      <c r="AA245" s="243" t="str">
        <f>Shares!B245</f>
        <v/>
      </c>
      <c r="AB245" s="243" t="str">
        <f>Shares!C245</f>
        <v/>
      </c>
      <c r="AC245" s="243" t="str">
        <f>Shares!D245</f>
        <v/>
      </c>
      <c r="AD245" s="243">
        <f>IF($Z245="",0,Shares!E245)</f>
        <v>0</v>
      </c>
      <c r="AE245" s="266">
        <f>IF($Z245="",0,Shares!J245*Shares!I245)</f>
        <v>0</v>
      </c>
      <c r="AF245" s="267">
        <f t="shared" si="37"/>
        <v>0</v>
      </c>
      <c r="AG245" s="266">
        <f>IF($Z245="",0,Shares!L245)</f>
        <v>0</v>
      </c>
      <c r="AH245" s="267">
        <f>IF($Z245="",0,Shares!M245)</f>
        <v>0</v>
      </c>
      <c r="AI245" s="243" t="str">
        <f>IF($Z245="","",RANK(AE245,$AE$2:$AE$1001)+COUNTIF($AE$2:AE245,AE245)-1)</f>
        <v/>
      </c>
      <c r="AJ245" s="243" t="str">
        <f>IF($AD245&lt;0,COUNT($AJ$1:AJ244)+1,"")</f>
        <v/>
      </c>
      <c r="AL245" s="243" t="str">
        <f>'All Ticker P&amp;L'!A245</f>
        <v/>
      </c>
      <c r="AM245" s="243" t="str">
        <f>'All Ticker P&amp;L'!B245</f>
        <v/>
      </c>
      <c r="AN245" s="243" t="str">
        <f>'All Ticker P&amp;L'!C245</f>
        <v/>
      </c>
      <c r="AO245" s="243" t="str">
        <f>'All Ticker P&amp;L'!D245</f>
        <v/>
      </c>
      <c r="AP245" s="243">
        <f>IF($AL245="",0,'All Ticker P&amp;L'!E245)</f>
        <v>0</v>
      </c>
      <c r="AQ245" s="266">
        <f>IF($AL245="",0,'All Ticker P&amp;L'!J245*'All Ticker P&amp;L'!I245)</f>
        <v>0</v>
      </c>
      <c r="AR245" s="266">
        <f>IF($AL245="",0,'All Ticker P&amp;L'!L245)</f>
        <v>0</v>
      </c>
      <c r="AS245" s="267">
        <f>IF($AL245="",0,'All Ticker P&amp;L'!M245)</f>
        <v>0</v>
      </c>
      <c r="AT245" s="243" t="str">
        <f>IF($AL245="","",RANK(AR245,$AR$2:$AR$1001)+COUNTIF($AR$2:AR245,AR245)-1)</f>
        <v/>
      </c>
      <c r="AU245" s="243" t="str">
        <f>IF($AL245="","",RANK(AV245,$AV$2:$AV$1001)+COUNTIF($AV$2:AV245,AV245)-1)</f>
        <v/>
      </c>
      <c r="AV245" s="266">
        <f t="shared" si="38"/>
        <v>0</v>
      </c>
    </row>
    <row r="246" spans="26:48" ht="15" customHeight="1" x14ac:dyDescent="0.2">
      <c r="Z246" s="243" t="str">
        <f>Shares!A246</f>
        <v/>
      </c>
      <c r="AA246" s="243" t="str">
        <f>Shares!B246</f>
        <v/>
      </c>
      <c r="AB246" s="243" t="str">
        <f>Shares!C246</f>
        <v/>
      </c>
      <c r="AC246" s="243" t="str">
        <f>Shares!D246</f>
        <v/>
      </c>
      <c r="AD246" s="243">
        <f>IF($Z246="",0,Shares!E246)</f>
        <v>0</v>
      </c>
      <c r="AE246" s="266">
        <f>IF($Z246="",0,Shares!J246*Shares!I246)</f>
        <v>0</v>
      </c>
      <c r="AF246" s="267">
        <f t="shared" si="37"/>
        <v>0</v>
      </c>
      <c r="AG246" s="266">
        <f>IF($Z246="",0,Shares!L246)</f>
        <v>0</v>
      </c>
      <c r="AH246" s="267">
        <f>IF($Z246="",0,Shares!M246)</f>
        <v>0</v>
      </c>
      <c r="AI246" s="243" t="str">
        <f>IF($Z246="","",RANK(AE246,$AE$2:$AE$1001)+COUNTIF($AE$2:AE246,AE246)-1)</f>
        <v/>
      </c>
      <c r="AJ246" s="243" t="str">
        <f>IF($AD246&lt;0,COUNT($AJ$1:AJ245)+1,"")</f>
        <v/>
      </c>
      <c r="AL246" s="243" t="str">
        <f>'All Ticker P&amp;L'!A246</f>
        <v/>
      </c>
      <c r="AM246" s="243" t="str">
        <f>'All Ticker P&amp;L'!B246</f>
        <v/>
      </c>
      <c r="AN246" s="243" t="str">
        <f>'All Ticker P&amp;L'!C246</f>
        <v/>
      </c>
      <c r="AO246" s="243" t="str">
        <f>'All Ticker P&amp;L'!D246</f>
        <v/>
      </c>
      <c r="AP246" s="243">
        <f>IF($AL246="",0,'All Ticker P&amp;L'!E246)</f>
        <v>0</v>
      </c>
      <c r="AQ246" s="266">
        <f>IF($AL246="",0,'All Ticker P&amp;L'!J246*'All Ticker P&amp;L'!I246)</f>
        <v>0</v>
      </c>
      <c r="AR246" s="266">
        <f>IF($AL246="",0,'All Ticker P&amp;L'!L246)</f>
        <v>0</v>
      </c>
      <c r="AS246" s="267">
        <f>IF($AL246="",0,'All Ticker P&amp;L'!M246)</f>
        <v>0</v>
      </c>
      <c r="AT246" s="243" t="str">
        <f>IF($AL246="","",RANK(AR246,$AR$2:$AR$1001)+COUNTIF($AR$2:AR246,AR246)-1)</f>
        <v/>
      </c>
      <c r="AU246" s="243" t="str">
        <f>IF($AL246="","",RANK(AV246,$AV$2:$AV$1001)+COUNTIF($AV$2:AV246,AV246)-1)</f>
        <v/>
      </c>
      <c r="AV246" s="266">
        <f t="shared" si="38"/>
        <v>0</v>
      </c>
    </row>
    <row r="247" spans="26:48" ht="15" customHeight="1" x14ac:dyDescent="0.2">
      <c r="Z247" s="243" t="str">
        <f>Shares!A247</f>
        <v/>
      </c>
      <c r="AA247" s="243" t="str">
        <f>Shares!B247</f>
        <v/>
      </c>
      <c r="AB247" s="243" t="str">
        <f>Shares!C247</f>
        <v/>
      </c>
      <c r="AC247" s="243" t="str">
        <f>Shares!D247</f>
        <v/>
      </c>
      <c r="AD247" s="243">
        <f>IF($Z247="",0,Shares!E247)</f>
        <v>0</v>
      </c>
      <c r="AE247" s="266">
        <f>IF($Z247="",0,Shares!J247*Shares!I247)</f>
        <v>0</v>
      </c>
      <c r="AF247" s="267">
        <f t="shared" si="37"/>
        <v>0</v>
      </c>
      <c r="AG247" s="266">
        <f>IF($Z247="",0,Shares!L247)</f>
        <v>0</v>
      </c>
      <c r="AH247" s="267">
        <f>IF($Z247="",0,Shares!M247)</f>
        <v>0</v>
      </c>
      <c r="AI247" s="243" t="str">
        <f>IF($Z247="","",RANK(AE247,$AE$2:$AE$1001)+COUNTIF($AE$2:AE247,AE247)-1)</f>
        <v/>
      </c>
      <c r="AJ247" s="243" t="str">
        <f>IF($AD247&lt;0,COUNT($AJ$1:AJ246)+1,"")</f>
        <v/>
      </c>
      <c r="AL247" s="243" t="str">
        <f>'All Ticker P&amp;L'!A247</f>
        <v/>
      </c>
      <c r="AM247" s="243" t="str">
        <f>'All Ticker P&amp;L'!B247</f>
        <v/>
      </c>
      <c r="AN247" s="243" t="str">
        <f>'All Ticker P&amp;L'!C247</f>
        <v/>
      </c>
      <c r="AO247" s="243" t="str">
        <f>'All Ticker P&amp;L'!D247</f>
        <v/>
      </c>
      <c r="AP247" s="243">
        <f>IF($AL247="",0,'All Ticker P&amp;L'!E247)</f>
        <v>0</v>
      </c>
      <c r="AQ247" s="266">
        <f>IF($AL247="",0,'All Ticker P&amp;L'!J247*'All Ticker P&amp;L'!I247)</f>
        <v>0</v>
      </c>
      <c r="AR247" s="266">
        <f>IF($AL247="",0,'All Ticker P&amp;L'!L247)</f>
        <v>0</v>
      </c>
      <c r="AS247" s="267">
        <f>IF($AL247="",0,'All Ticker P&amp;L'!M247)</f>
        <v>0</v>
      </c>
      <c r="AT247" s="243" t="str">
        <f>IF($AL247="","",RANK(AR247,$AR$2:$AR$1001)+COUNTIF($AR$2:AR247,AR247)-1)</f>
        <v/>
      </c>
      <c r="AU247" s="243" t="str">
        <f>IF($AL247="","",RANK(AV247,$AV$2:$AV$1001)+COUNTIF($AV$2:AV247,AV247)-1)</f>
        <v/>
      </c>
      <c r="AV247" s="266">
        <f t="shared" si="38"/>
        <v>0</v>
      </c>
    </row>
    <row r="248" spans="26:48" ht="15" customHeight="1" x14ac:dyDescent="0.2">
      <c r="Z248" s="243" t="str">
        <f>Shares!A248</f>
        <v/>
      </c>
      <c r="AA248" s="243" t="str">
        <f>Shares!B248</f>
        <v/>
      </c>
      <c r="AB248" s="243" t="str">
        <f>Shares!C248</f>
        <v/>
      </c>
      <c r="AC248" s="243" t="str">
        <f>Shares!D248</f>
        <v/>
      </c>
      <c r="AD248" s="243">
        <f>IF($Z248="",0,Shares!E248)</f>
        <v>0</v>
      </c>
      <c r="AE248" s="266">
        <f>IF($Z248="",0,Shares!J248*Shares!I248)</f>
        <v>0</v>
      </c>
      <c r="AF248" s="267">
        <f t="shared" si="37"/>
        <v>0</v>
      </c>
      <c r="AG248" s="266">
        <f>IF($Z248="",0,Shares!L248)</f>
        <v>0</v>
      </c>
      <c r="AH248" s="267">
        <f>IF($Z248="",0,Shares!M248)</f>
        <v>0</v>
      </c>
      <c r="AI248" s="243" t="str">
        <f>IF($Z248="","",RANK(AE248,$AE$2:$AE$1001)+COUNTIF($AE$2:AE248,AE248)-1)</f>
        <v/>
      </c>
      <c r="AJ248" s="243" t="str">
        <f>IF($AD248&lt;0,COUNT($AJ$1:AJ247)+1,"")</f>
        <v/>
      </c>
      <c r="AL248" s="243" t="str">
        <f>'All Ticker P&amp;L'!A248</f>
        <v/>
      </c>
      <c r="AM248" s="243" t="str">
        <f>'All Ticker P&amp;L'!B248</f>
        <v/>
      </c>
      <c r="AN248" s="243" t="str">
        <f>'All Ticker P&amp;L'!C248</f>
        <v/>
      </c>
      <c r="AO248" s="243" t="str">
        <f>'All Ticker P&amp;L'!D248</f>
        <v/>
      </c>
      <c r="AP248" s="243">
        <f>IF($AL248="",0,'All Ticker P&amp;L'!E248)</f>
        <v>0</v>
      </c>
      <c r="AQ248" s="266">
        <f>IF($AL248="",0,'All Ticker P&amp;L'!J248*'All Ticker P&amp;L'!I248)</f>
        <v>0</v>
      </c>
      <c r="AR248" s="266">
        <f>IF($AL248="",0,'All Ticker P&amp;L'!L248)</f>
        <v>0</v>
      </c>
      <c r="AS248" s="267">
        <f>IF($AL248="",0,'All Ticker P&amp;L'!M248)</f>
        <v>0</v>
      </c>
      <c r="AT248" s="243" t="str">
        <f>IF($AL248="","",RANK(AR248,$AR$2:$AR$1001)+COUNTIF($AR$2:AR248,AR248)-1)</f>
        <v/>
      </c>
      <c r="AU248" s="243" t="str">
        <f>IF($AL248="","",RANK(AV248,$AV$2:$AV$1001)+COUNTIF($AV$2:AV248,AV248)-1)</f>
        <v/>
      </c>
      <c r="AV248" s="266">
        <f t="shared" si="38"/>
        <v>0</v>
      </c>
    </row>
    <row r="249" spans="26:48" ht="15" customHeight="1" x14ac:dyDescent="0.2">
      <c r="Z249" s="243" t="str">
        <f>Shares!A249</f>
        <v/>
      </c>
      <c r="AA249" s="243" t="str">
        <f>Shares!B249</f>
        <v/>
      </c>
      <c r="AB249" s="243" t="str">
        <f>Shares!C249</f>
        <v/>
      </c>
      <c r="AC249" s="243" t="str">
        <f>Shares!D249</f>
        <v/>
      </c>
      <c r="AD249" s="243">
        <f>IF($Z249="",0,Shares!E249)</f>
        <v>0</v>
      </c>
      <c r="AE249" s="266">
        <f>IF($Z249="",0,Shares!J249*Shares!I249)</f>
        <v>0</v>
      </c>
      <c r="AF249" s="267">
        <f t="shared" si="37"/>
        <v>0</v>
      </c>
      <c r="AG249" s="266">
        <f>IF($Z249="",0,Shares!L249)</f>
        <v>0</v>
      </c>
      <c r="AH249" s="267">
        <f>IF($Z249="",0,Shares!M249)</f>
        <v>0</v>
      </c>
      <c r="AI249" s="243" t="str">
        <f>IF($Z249="","",RANK(AE249,$AE$2:$AE$1001)+COUNTIF($AE$2:AE249,AE249)-1)</f>
        <v/>
      </c>
      <c r="AJ249" s="243" t="str">
        <f>IF($AD249&lt;0,COUNT($AJ$1:AJ248)+1,"")</f>
        <v/>
      </c>
      <c r="AL249" s="243" t="str">
        <f>'All Ticker P&amp;L'!A249</f>
        <v/>
      </c>
      <c r="AM249" s="243" t="str">
        <f>'All Ticker P&amp;L'!B249</f>
        <v/>
      </c>
      <c r="AN249" s="243" t="str">
        <f>'All Ticker P&amp;L'!C249</f>
        <v/>
      </c>
      <c r="AO249" s="243" t="str">
        <f>'All Ticker P&amp;L'!D249</f>
        <v/>
      </c>
      <c r="AP249" s="243">
        <f>IF($AL249="",0,'All Ticker P&amp;L'!E249)</f>
        <v>0</v>
      </c>
      <c r="AQ249" s="266">
        <f>IF($AL249="",0,'All Ticker P&amp;L'!J249*'All Ticker P&amp;L'!I249)</f>
        <v>0</v>
      </c>
      <c r="AR249" s="266">
        <f>IF($AL249="",0,'All Ticker P&amp;L'!L249)</f>
        <v>0</v>
      </c>
      <c r="AS249" s="267">
        <f>IF($AL249="",0,'All Ticker P&amp;L'!M249)</f>
        <v>0</v>
      </c>
      <c r="AT249" s="243" t="str">
        <f>IF($AL249="","",RANK(AR249,$AR$2:$AR$1001)+COUNTIF($AR$2:AR249,AR249)-1)</f>
        <v/>
      </c>
      <c r="AU249" s="243" t="str">
        <f>IF($AL249="","",RANK(AV249,$AV$2:$AV$1001)+COUNTIF($AV$2:AV249,AV249)-1)</f>
        <v/>
      </c>
      <c r="AV249" s="266">
        <f t="shared" si="38"/>
        <v>0</v>
      </c>
    </row>
    <row r="250" spans="26:48" ht="15" customHeight="1" x14ac:dyDescent="0.2">
      <c r="Z250" s="243" t="str">
        <f>Shares!A250</f>
        <v/>
      </c>
      <c r="AA250" s="243" t="str">
        <f>Shares!B250</f>
        <v/>
      </c>
      <c r="AB250" s="243" t="str">
        <f>Shares!C250</f>
        <v/>
      </c>
      <c r="AC250" s="243" t="str">
        <f>Shares!D250</f>
        <v/>
      </c>
      <c r="AD250" s="243">
        <f>IF($Z250="",0,Shares!E250)</f>
        <v>0</v>
      </c>
      <c r="AE250" s="266">
        <f>IF($Z250="",0,Shares!J250*Shares!I250)</f>
        <v>0</v>
      </c>
      <c r="AF250" s="267">
        <f t="shared" si="37"/>
        <v>0</v>
      </c>
      <c r="AG250" s="266">
        <f>IF($Z250="",0,Shares!L250)</f>
        <v>0</v>
      </c>
      <c r="AH250" s="267">
        <f>IF($Z250="",0,Shares!M250)</f>
        <v>0</v>
      </c>
      <c r="AI250" s="243" t="str">
        <f>IF($Z250="","",RANK(AE250,$AE$2:$AE$1001)+COUNTIF($AE$2:AE250,AE250)-1)</f>
        <v/>
      </c>
      <c r="AJ250" s="243" t="str">
        <f>IF($AD250&lt;0,COUNT($AJ$1:AJ249)+1,"")</f>
        <v/>
      </c>
      <c r="AL250" s="243" t="str">
        <f>'All Ticker P&amp;L'!A250</f>
        <v/>
      </c>
      <c r="AM250" s="243" t="str">
        <f>'All Ticker P&amp;L'!B250</f>
        <v/>
      </c>
      <c r="AN250" s="243" t="str">
        <f>'All Ticker P&amp;L'!C250</f>
        <v/>
      </c>
      <c r="AO250" s="243" t="str">
        <f>'All Ticker P&amp;L'!D250</f>
        <v/>
      </c>
      <c r="AP250" s="243">
        <f>IF($AL250="",0,'All Ticker P&amp;L'!E250)</f>
        <v>0</v>
      </c>
      <c r="AQ250" s="266">
        <f>IF($AL250="",0,'All Ticker P&amp;L'!J250*'All Ticker P&amp;L'!I250)</f>
        <v>0</v>
      </c>
      <c r="AR250" s="266">
        <f>IF($AL250="",0,'All Ticker P&amp;L'!L250)</f>
        <v>0</v>
      </c>
      <c r="AS250" s="267">
        <f>IF($AL250="",0,'All Ticker P&amp;L'!M250)</f>
        <v>0</v>
      </c>
      <c r="AT250" s="243" t="str">
        <f>IF($AL250="","",RANK(AR250,$AR$2:$AR$1001)+COUNTIF($AR$2:AR250,AR250)-1)</f>
        <v/>
      </c>
      <c r="AU250" s="243" t="str">
        <f>IF($AL250="","",RANK(AV250,$AV$2:$AV$1001)+COUNTIF($AV$2:AV250,AV250)-1)</f>
        <v/>
      </c>
      <c r="AV250" s="266">
        <f t="shared" si="38"/>
        <v>0</v>
      </c>
    </row>
    <row r="251" spans="26:48" ht="15" customHeight="1" x14ac:dyDescent="0.2">
      <c r="Z251" s="243" t="str">
        <f>Shares!A251</f>
        <v/>
      </c>
      <c r="AA251" s="243" t="str">
        <f>Shares!B251</f>
        <v/>
      </c>
      <c r="AB251" s="243" t="str">
        <f>Shares!C251</f>
        <v/>
      </c>
      <c r="AC251" s="243" t="str">
        <f>Shares!D251</f>
        <v/>
      </c>
      <c r="AD251" s="243">
        <f>IF($Z251="",0,Shares!E251)</f>
        <v>0</v>
      </c>
      <c r="AE251" s="266">
        <f>IF($Z251="",0,Shares!J251*Shares!I251)</f>
        <v>0</v>
      </c>
      <c r="AF251" s="267">
        <f t="shared" si="37"/>
        <v>0</v>
      </c>
      <c r="AG251" s="266">
        <f>IF($Z251="",0,Shares!L251)</f>
        <v>0</v>
      </c>
      <c r="AH251" s="267">
        <f>IF($Z251="",0,Shares!M251)</f>
        <v>0</v>
      </c>
      <c r="AI251" s="243" t="str">
        <f>IF($Z251="","",RANK(AE251,$AE$2:$AE$1001)+COUNTIF($AE$2:AE251,AE251)-1)</f>
        <v/>
      </c>
      <c r="AJ251" s="243" t="str">
        <f>IF($AD251&lt;0,COUNT($AJ$1:AJ250)+1,"")</f>
        <v/>
      </c>
      <c r="AL251" s="243" t="str">
        <f>'All Ticker P&amp;L'!A251</f>
        <v/>
      </c>
      <c r="AM251" s="243" t="str">
        <f>'All Ticker P&amp;L'!B251</f>
        <v/>
      </c>
      <c r="AN251" s="243" t="str">
        <f>'All Ticker P&amp;L'!C251</f>
        <v/>
      </c>
      <c r="AO251" s="243" t="str">
        <f>'All Ticker P&amp;L'!D251</f>
        <v/>
      </c>
      <c r="AP251" s="243">
        <f>IF($AL251="",0,'All Ticker P&amp;L'!E251)</f>
        <v>0</v>
      </c>
      <c r="AQ251" s="266">
        <f>IF($AL251="",0,'All Ticker P&amp;L'!J251*'All Ticker P&amp;L'!I251)</f>
        <v>0</v>
      </c>
      <c r="AR251" s="266">
        <f>IF($AL251="",0,'All Ticker P&amp;L'!L251)</f>
        <v>0</v>
      </c>
      <c r="AS251" s="267">
        <f>IF($AL251="",0,'All Ticker P&amp;L'!M251)</f>
        <v>0</v>
      </c>
      <c r="AT251" s="243" t="str">
        <f>IF($AL251="","",RANK(AR251,$AR$2:$AR$1001)+COUNTIF($AR$2:AR251,AR251)-1)</f>
        <v/>
      </c>
      <c r="AU251" s="243" t="str">
        <f>IF($AL251="","",RANK(AV251,$AV$2:$AV$1001)+COUNTIF($AV$2:AV251,AV251)-1)</f>
        <v/>
      </c>
      <c r="AV251" s="266">
        <f t="shared" si="38"/>
        <v>0</v>
      </c>
    </row>
    <row r="252" spans="26:48" ht="15" customHeight="1" x14ac:dyDescent="0.2">
      <c r="Z252" s="243" t="str">
        <f>Shares!A252</f>
        <v/>
      </c>
      <c r="AA252" s="243" t="str">
        <f>Shares!B252</f>
        <v/>
      </c>
      <c r="AB252" s="243" t="str">
        <f>Shares!C252</f>
        <v/>
      </c>
      <c r="AC252" s="243" t="str">
        <f>Shares!D252</f>
        <v/>
      </c>
      <c r="AD252" s="243">
        <f>IF($Z252="",0,Shares!E252)</f>
        <v>0</v>
      </c>
      <c r="AE252" s="266">
        <f>IF($Z252="",0,Shares!J252*Shares!I252)</f>
        <v>0</v>
      </c>
      <c r="AF252" s="267">
        <f t="shared" si="37"/>
        <v>0</v>
      </c>
      <c r="AG252" s="266">
        <f>IF($Z252="",0,Shares!L252)</f>
        <v>0</v>
      </c>
      <c r="AH252" s="267">
        <f>IF($Z252="",0,Shares!M252)</f>
        <v>0</v>
      </c>
      <c r="AI252" s="243" t="str">
        <f>IF($Z252="","",RANK(AE252,$AE$2:$AE$1001)+COUNTIF($AE$2:AE252,AE252)-1)</f>
        <v/>
      </c>
      <c r="AJ252" s="243" t="str">
        <f>IF($AD252&lt;0,COUNT($AJ$1:AJ251)+1,"")</f>
        <v/>
      </c>
      <c r="AL252" s="243" t="str">
        <f>'All Ticker P&amp;L'!A252</f>
        <v/>
      </c>
      <c r="AM252" s="243" t="str">
        <f>'All Ticker P&amp;L'!B252</f>
        <v/>
      </c>
      <c r="AN252" s="243" t="str">
        <f>'All Ticker P&amp;L'!C252</f>
        <v/>
      </c>
      <c r="AO252" s="243" t="str">
        <f>'All Ticker P&amp;L'!D252</f>
        <v/>
      </c>
      <c r="AP252" s="243">
        <f>IF($AL252="",0,'All Ticker P&amp;L'!E252)</f>
        <v>0</v>
      </c>
      <c r="AQ252" s="266">
        <f>IF($AL252="",0,'All Ticker P&amp;L'!J252*'All Ticker P&amp;L'!I252)</f>
        <v>0</v>
      </c>
      <c r="AR252" s="266">
        <f>IF($AL252="",0,'All Ticker P&amp;L'!L252)</f>
        <v>0</v>
      </c>
      <c r="AS252" s="267">
        <f>IF($AL252="",0,'All Ticker P&amp;L'!M252)</f>
        <v>0</v>
      </c>
      <c r="AT252" s="243" t="str">
        <f>IF($AL252="","",RANK(AR252,$AR$2:$AR$1001)+COUNTIF($AR$2:AR252,AR252)-1)</f>
        <v/>
      </c>
      <c r="AU252" s="243" t="str">
        <f>IF($AL252="","",RANK(AV252,$AV$2:$AV$1001)+COUNTIF($AV$2:AV252,AV252)-1)</f>
        <v/>
      </c>
      <c r="AV252" s="266">
        <f t="shared" si="38"/>
        <v>0</v>
      </c>
    </row>
    <row r="253" spans="26:48" ht="15" customHeight="1" x14ac:dyDescent="0.2">
      <c r="Z253" s="243" t="str">
        <f>Shares!A253</f>
        <v/>
      </c>
      <c r="AA253" s="243" t="str">
        <f>Shares!B253</f>
        <v/>
      </c>
      <c r="AB253" s="243" t="str">
        <f>Shares!C253</f>
        <v/>
      </c>
      <c r="AC253" s="243" t="str">
        <f>Shares!D253</f>
        <v/>
      </c>
      <c r="AD253" s="243">
        <f>IF($Z253="",0,Shares!E253)</f>
        <v>0</v>
      </c>
      <c r="AE253" s="266">
        <f>IF($Z253="",0,Shares!J253*Shares!I253)</f>
        <v>0</v>
      </c>
      <c r="AF253" s="267">
        <f t="shared" si="37"/>
        <v>0</v>
      </c>
      <c r="AG253" s="266">
        <f>IF($Z253="",0,Shares!L253)</f>
        <v>0</v>
      </c>
      <c r="AH253" s="267">
        <f>IF($Z253="",0,Shares!M253)</f>
        <v>0</v>
      </c>
      <c r="AI253" s="243" t="str">
        <f>IF($Z253="","",RANK(AE253,$AE$2:$AE$1001)+COUNTIF($AE$2:AE253,AE253)-1)</f>
        <v/>
      </c>
      <c r="AJ253" s="243" t="str">
        <f>IF($AD253&lt;0,COUNT($AJ$1:AJ252)+1,"")</f>
        <v/>
      </c>
      <c r="AL253" s="243" t="str">
        <f>'All Ticker P&amp;L'!A253</f>
        <v/>
      </c>
      <c r="AM253" s="243" t="str">
        <f>'All Ticker P&amp;L'!B253</f>
        <v/>
      </c>
      <c r="AN253" s="243" t="str">
        <f>'All Ticker P&amp;L'!C253</f>
        <v/>
      </c>
      <c r="AO253" s="243" t="str">
        <f>'All Ticker P&amp;L'!D253</f>
        <v/>
      </c>
      <c r="AP253" s="243">
        <f>IF($AL253="",0,'All Ticker P&amp;L'!E253)</f>
        <v>0</v>
      </c>
      <c r="AQ253" s="266">
        <f>IF($AL253="",0,'All Ticker P&amp;L'!J253*'All Ticker P&amp;L'!I253)</f>
        <v>0</v>
      </c>
      <c r="AR253" s="266">
        <f>IF($AL253="",0,'All Ticker P&amp;L'!L253)</f>
        <v>0</v>
      </c>
      <c r="AS253" s="267">
        <f>IF($AL253="",0,'All Ticker P&amp;L'!M253)</f>
        <v>0</v>
      </c>
      <c r="AT253" s="243" t="str">
        <f>IF($AL253="","",RANK(AR253,$AR$2:$AR$1001)+COUNTIF($AR$2:AR253,AR253)-1)</f>
        <v/>
      </c>
      <c r="AU253" s="243" t="str">
        <f>IF($AL253="","",RANK(AV253,$AV$2:$AV$1001)+COUNTIF($AV$2:AV253,AV253)-1)</f>
        <v/>
      </c>
      <c r="AV253" s="266">
        <f t="shared" si="38"/>
        <v>0</v>
      </c>
    </row>
    <row r="254" spans="26:48" ht="15" customHeight="1" x14ac:dyDescent="0.2">
      <c r="Z254" s="243" t="str">
        <f>Shares!A254</f>
        <v/>
      </c>
      <c r="AA254" s="243" t="str">
        <f>Shares!B254</f>
        <v/>
      </c>
      <c r="AB254" s="243" t="str">
        <f>Shares!C254</f>
        <v/>
      </c>
      <c r="AC254" s="243" t="str">
        <f>Shares!D254</f>
        <v/>
      </c>
      <c r="AD254" s="243">
        <f>IF($Z254="",0,Shares!E254)</f>
        <v>0</v>
      </c>
      <c r="AE254" s="266">
        <f>IF($Z254="",0,Shares!J254*Shares!I254)</f>
        <v>0</v>
      </c>
      <c r="AF254" s="267">
        <f t="shared" si="37"/>
        <v>0</v>
      </c>
      <c r="AG254" s="266">
        <f>IF($Z254="",0,Shares!L254)</f>
        <v>0</v>
      </c>
      <c r="AH254" s="267">
        <f>IF($Z254="",0,Shares!M254)</f>
        <v>0</v>
      </c>
      <c r="AI254" s="243" t="str">
        <f>IF($Z254="","",RANK(AE254,$AE$2:$AE$1001)+COUNTIF($AE$2:AE254,AE254)-1)</f>
        <v/>
      </c>
      <c r="AJ254" s="243" t="str">
        <f>IF($AD254&lt;0,COUNT($AJ$1:AJ253)+1,"")</f>
        <v/>
      </c>
      <c r="AL254" s="243" t="str">
        <f>'All Ticker P&amp;L'!A254</f>
        <v/>
      </c>
      <c r="AM254" s="243" t="str">
        <f>'All Ticker P&amp;L'!B254</f>
        <v/>
      </c>
      <c r="AN254" s="243" t="str">
        <f>'All Ticker P&amp;L'!C254</f>
        <v/>
      </c>
      <c r="AO254" s="243" t="str">
        <f>'All Ticker P&amp;L'!D254</f>
        <v/>
      </c>
      <c r="AP254" s="243">
        <f>IF($AL254="",0,'All Ticker P&amp;L'!E254)</f>
        <v>0</v>
      </c>
      <c r="AQ254" s="266">
        <f>IF($AL254="",0,'All Ticker P&amp;L'!J254*'All Ticker P&amp;L'!I254)</f>
        <v>0</v>
      </c>
      <c r="AR254" s="266">
        <f>IF($AL254="",0,'All Ticker P&amp;L'!L254)</f>
        <v>0</v>
      </c>
      <c r="AS254" s="267">
        <f>IF($AL254="",0,'All Ticker P&amp;L'!M254)</f>
        <v>0</v>
      </c>
      <c r="AT254" s="243" t="str">
        <f>IF($AL254="","",RANK(AR254,$AR$2:$AR$1001)+COUNTIF($AR$2:AR254,AR254)-1)</f>
        <v/>
      </c>
      <c r="AU254" s="243" t="str">
        <f>IF($AL254="","",RANK(AV254,$AV$2:$AV$1001)+COUNTIF($AV$2:AV254,AV254)-1)</f>
        <v/>
      </c>
      <c r="AV254" s="266">
        <f t="shared" si="38"/>
        <v>0</v>
      </c>
    </row>
    <row r="255" spans="26:48" ht="15" customHeight="1" x14ac:dyDescent="0.2">
      <c r="Z255" s="243" t="str">
        <f>Shares!A255</f>
        <v/>
      </c>
      <c r="AA255" s="243" t="str">
        <f>Shares!B255</f>
        <v/>
      </c>
      <c r="AB255" s="243" t="str">
        <f>Shares!C255</f>
        <v/>
      </c>
      <c r="AC255" s="243" t="str">
        <f>Shares!D255</f>
        <v/>
      </c>
      <c r="AD255" s="243">
        <f>IF($Z255="",0,Shares!E255)</f>
        <v>0</v>
      </c>
      <c r="AE255" s="266">
        <f>IF($Z255="",0,Shares!J255*Shares!I255)</f>
        <v>0</v>
      </c>
      <c r="AF255" s="267">
        <f t="shared" si="37"/>
        <v>0</v>
      </c>
      <c r="AG255" s="266">
        <f>IF($Z255="",0,Shares!L255)</f>
        <v>0</v>
      </c>
      <c r="AH255" s="267">
        <f>IF($Z255="",0,Shares!M255)</f>
        <v>0</v>
      </c>
      <c r="AI255" s="243" t="str">
        <f>IF($Z255="","",RANK(AE255,$AE$2:$AE$1001)+COUNTIF($AE$2:AE255,AE255)-1)</f>
        <v/>
      </c>
      <c r="AJ255" s="243" t="str">
        <f>IF($AD255&lt;0,COUNT($AJ$1:AJ254)+1,"")</f>
        <v/>
      </c>
      <c r="AL255" s="243" t="str">
        <f>'All Ticker P&amp;L'!A255</f>
        <v/>
      </c>
      <c r="AM255" s="243" t="str">
        <f>'All Ticker P&amp;L'!B255</f>
        <v/>
      </c>
      <c r="AN255" s="243" t="str">
        <f>'All Ticker P&amp;L'!C255</f>
        <v/>
      </c>
      <c r="AO255" s="243" t="str">
        <f>'All Ticker P&amp;L'!D255</f>
        <v/>
      </c>
      <c r="AP255" s="243">
        <f>IF($AL255="",0,'All Ticker P&amp;L'!E255)</f>
        <v>0</v>
      </c>
      <c r="AQ255" s="266">
        <f>IF($AL255="",0,'All Ticker P&amp;L'!J255*'All Ticker P&amp;L'!I255)</f>
        <v>0</v>
      </c>
      <c r="AR255" s="266">
        <f>IF($AL255="",0,'All Ticker P&amp;L'!L255)</f>
        <v>0</v>
      </c>
      <c r="AS255" s="267">
        <f>IF($AL255="",0,'All Ticker P&amp;L'!M255)</f>
        <v>0</v>
      </c>
      <c r="AT255" s="243" t="str">
        <f>IF($AL255="","",RANK(AR255,$AR$2:$AR$1001)+COUNTIF($AR$2:AR255,AR255)-1)</f>
        <v/>
      </c>
      <c r="AU255" s="243" t="str">
        <f>IF($AL255="","",RANK(AV255,$AV$2:$AV$1001)+COUNTIF($AV$2:AV255,AV255)-1)</f>
        <v/>
      </c>
      <c r="AV255" s="266">
        <f t="shared" si="38"/>
        <v>0</v>
      </c>
    </row>
    <row r="256" spans="26:48" ht="15" customHeight="1" x14ac:dyDescent="0.2">
      <c r="Z256" s="243" t="str">
        <f>Shares!A256</f>
        <v/>
      </c>
      <c r="AA256" s="243" t="str">
        <f>Shares!B256</f>
        <v/>
      </c>
      <c r="AB256" s="243" t="str">
        <f>Shares!C256</f>
        <v/>
      </c>
      <c r="AC256" s="243" t="str">
        <f>Shares!D256</f>
        <v/>
      </c>
      <c r="AD256" s="243">
        <f>IF($Z256="",0,Shares!E256)</f>
        <v>0</v>
      </c>
      <c r="AE256" s="266">
        <f>IF($Z256="",0,Shares!J256*Shares!I256)</f>
        <v>0</v>
      </c>
      <c r="AF256" s="267">
        <f t="shared" si="37"/>
        <v>0</v>
      </c>
      <c r="AG256" s="266">
        <f>IF($Z256="",0,Shares!L256)</f>
        <v>0</v>
      </c>
      <c r="AH256" s="267">
        <f>IF($Z256="",0,Shares!M256)</f>
        <v>0</v>
      </c>
      <c r="AI256" s="243" t="str">
        <f>IF($Z256="","",RANK(AE256,$AE$2:$AE$1001)+COUNTIF($AE$2:AE256,AE256)-1)</f>
        <v/>
      </c>
      <c r="AJ256" s="243" t="str">
        <f>IF($AD256&lt;0,COUNT($AJ$1:AJ255)+1,"")</f>
        <v/>
      </c>
      <c r="AL256" s="243" t="str">
        <f>'All Ticker P&amp;L'!A256</f>
        <v/>
      </c>
      <c r="AM256" s="243" t="str">
        <f>'All Ticker P&amp;L'!B256</f>
        <v/>
      </c>
      <c r="AN256" s="243" t="str">
        <f>'All Ticker P&amp;L'!C256</f>
        <v/>
      </c>
      <c r="AO256" s="243" t="str">
        <f>'All Ticker P&amp;L'!D256</f>
        <v/>
      </c>
      <c r="AP256" s="243">
        <f>IF($AL256="",0,'All Ticker P&amp;L'!E256)</f>
        <v>0</v>
      </c>
      <c r="AQ256" s="266">
        <f>IF($AL256="",0,'All Ticker P&amp;L'!J256*'All Ticker P&amp;L'!I256)</f>
        <v>0</v>
      </c>
      <c r="AR256" s="266">
        <f>IF($AL256="",0,'All Ticker P&amp;L'!L256)</f>
        <v>0</v>
      </c>
      <c r="AS256" s="267">
        <f>IF($AL256="",0,'All Ticker P&amp;L'!M256)</f>
        <v>0</v>
      </c>
      <c r="AT256" s="243" t="str">
        <f>IF($AL256="","",RANK(AR256,$AR$2:$AR$1001)+COUNTIF($AR$2:AR256,AR256)-1)</f>
        <v/>
      </c>
      <c r="AU256" s="243" t="str">
        <f>IF($AL256="","",RANK(AV256,$AV$2:$AV$1001)+COUNTIF($AV$2:AV256,AV256)-1)</f>
        <v/>
      </c>
      <c r="AV256" s="266">
        <f t="shared" si="38"/>
        <v>0</v>
      </c>
    </row>
    <row r="257" spans="26:48" ht="15" customHeight="1" x14ac:dyDescent="0.2">
      <c r="Z257" s="243" t="str">
        <f>Shares!A257</f>
        <v/>
      </c>
      <c r="AA257" s="243" t="str">
        <f>Shares!B257</f>
        <v/>
      </c>
      <c r="AB257" s="243" t="str">
        <f>Shares!C257</f>
        <v/>
      </c>
      <c r="AC257" s="243" t="str">
        <f>Shares!D257</f>
        <v/>
      </c>
      <c r="AD257" s="243">
        <f>IF($Z257="",0,Shares!E257)</f>
        <v>0</v>
      </c>
      <c r="AE257" s="266">
        <f>IF($Z257="",0,Shares!J257*Shares!I257)</f>
        <v>0</v>
      </c>
      <c r="AF257" s="267">
        <f t="shared" si="37"/>
        <v>0</v>
      </c>
      <c r="AG257" s="266">
        <f>IF($Z257="",0,Shares!L257)</f>
        <v>0</v>
      </c>
      <c r="AH257" s="267">
        <f>IF($Z257="",0,Shares!M257)</f>
        <v>0</v>
      </c>
      <c r="AI257" s="243" t="str">
        <f>IF($Z257="","",RANK(AE257,$AE$2:$AE$1001)+COUNTIF($AE$2:AE257,AE257)-1)</f>
        <v/>
      </c>
      <c r="AJ257" s="243" t="str">
        <f>IF($AD257&lt;0,COUNT($AJ$1:AJ256)+1,"")</f>
        <v/>
      </c>
      <c r="AL257" s="243" t="str">
        <f>'All Ticker P&amp;L'!A257</f>
        <v/>
      </c>
      <c r="AM257" s="243" t="str">
        <f>'All Ticker P&amp;L'!B257</f>
        <v/>
      </c>
      <c r="AN257" s="243" t="str">
        <f>'All Ticker P&amp;L'!C257</f>
        <v/>
      </c>
      <c r="AO257" s="243" t="str">
        <f>'All Ticker P&amp;L'!D257</f>
        <v/>
      </c>
      <c r="AP257" s="243">
        <f>IF($AL257="",0,'All Ticker P&amp;L'!E257)</f>
        <v>0</v>
      </c>
      <c r="AQ257" s="266">
        <f>IF($AL257="",0,'All Ticker P&amp;L'!J257*'All Ticker P&amp;L'!I257)</f>
        <v>0</v>
      </c>
      <c r="AR257" s="266">
        <f>IF($AL257="",0,'All Ticker P&amp;L'!L257)</f>
        <v>0</v>
      </c>
      <c r="AS257" s="267">
        <f>IF($AL257="",0,'All Ticker P&amp;L'!M257)</f>
        <v>0</v>
      </c>
      <c r="AT257" s="243" t="str">
        <f>IF($AL257="","",RANK(AR257,$AR$2:$AR$1001)+COUNTIF($AR$2:AR257,AR257)-1)</f>
        <v/>
      </c>
      <c r="AU257" s="243" t="str">
        <f>IF($AL257="","",RANK(AV257,$AV$2:$AV$1001)+COUNTIF($AV$2:AV257,AV257)-1)</f>
        <v/>
      </c>
      <c r="AV257" s="266">
        <f t="shared" si="38"/>
        <v>0</v>
      </c>
    </row>
    <row r="258" spans="26:48" ht="15" customHeight="1" x14ac:dyDescent="0.2">
      <c r="Z258" s="243" t="str">
        <f>Shares!A258</f>
        <v/>
      </c>
      <c r="AA258" s="243" t="str">
        <f>Shares!B258</f>
        <v/>
      </c>
      <c r="AB258" s="243" t="str">
        <f>Shares!C258</f>
        <v/>
      </c>
      <c r="AC258" s="243" t="str">
        <f>Shares!D258</f>
        <v/>
      </c>
      <c r="AD258" s="243">
        <f>IF($Z258="",0,Shares!E258)</f>
        <v>0</v>
      </c>
      <c r="AE258" s="266">
        <f>IF($Z258="",0,Shares!J258*Shares!I258)</f>
        <v>0</v>
      </c>
      <c r="AF258" s="267">
        <f t="shared" ref="AF258:AF321" si="39">IFERROR(AE258/$B$5,0)</f>
        <v>0</v>
      </c>
      <c r="AG258" s="266">
        <f>IF($Z258="",0,Shares!L258)</f>
        <v>0</v>
      </c>
      <c r="AH258" s="267">
        <f>IF($Z258="",0,Shares!M258)</f>
        <v>0</v>
      </c>
      <c r="AI258" s="243" t="str">
        <f>IF($Z258="","",RANK(AE258,$AE$2:$AE$1001)+COUNTIF($AE$2:AE258,AE258)-1)</f>
        <v/>
      </c>
      <c r="AJ258" s="243" t="str">
        <f>IF($AD258&lt;0,COUNT($AJ$1:AJ257)+1,"")</f>
        <v/>
      </c>
      <c r="AL258" s="243" t="str">
        <f>'All Ticker P&amp;L'!A258</f>
        <v/>
      </c>
      <c r="AM258" s="243" t="str">
        <f>'All Ticker P&amp;L'!B258</f>
        <v/>
      </c>
      <c r="AN258" s="243" t="str">
        <f>'All Ticker P&amp;L'!C258</f>
        <v/>
      </c>
      <c r="AO258" s="243" t="str">
        <f>'All Ticker P&amp;L'!D258</f>
        <v/>
      </c>
      <c r="AP258" s="243">
        <f>IF($AL258="",0,'All Ticker P&amp;L'!E258)</f>
        <v>0</v>
      </c>
      <c r="AQ258" s="266">
        <f>IF($AL258="",0,'All Ticker P&amp;L'!J258*'All Ticker P&amp;L'!I258)</f>
        <v>0</v>
      </c>
      <c r="AR258" s="266">
        <f>IF($AL258="",0,'All Ticker P&amp;L'!L258)</f>
        <v>0</v>
      </c>
      <c r="AS258" s="267">
        <f>IF($AL258="",0,'All Ticker P&amp;L'!M258)</f>
        <v>0</v>
      </c>
      <c r="AT258" s="243" t="str">
        <f>IF($AL258="","",RANK(AR258,$AR$2:$AR$1001)+COUNTIF($AR$2:AR258,AR258)-1)</f>
        <v/>
      </c>
      <c r="AU258" s="243" t="str">
        <f>IF($AL258="","",RANK(AV258,$AV$2:$AV$1001)+COUNTIF($AV$2:AV258,AV258)-1)</f>
        <v/>
      </c>
      <c r="AV258" s="266">
        <f t="shared" ref="AV258:AV321" si="40">-AR258</f>
        <v>0</v>
      </c>
    </row>
    <row r="259" spans="26:48" ht="15" customHeight="1" x14ac:dyDescent="0.2">
      <c r="Z259" s="243" t="str">
        <f>Shares!A259</f>
        <v/>
      </c>
      <c r="AA259" s="243" t="str">
        <f>Shares!B259</f>
        <v/>
      </c>
      <c r="AB259" s="243" t="str">
        <f>Shares!C259</f>
        <v/>
      </c>
      <c r="AC259" s="243" t="str">
        <f>Shares!D259</f>
        <v/>
      </c>
      <c r="AD259" s="243">
        <f>IF($Z259="",0,Shares!E259)</f>
        <v>0</v>
      </c>
      <c r="AE259" s="266">
        <f>IF($Z259="",0,Shares!J259*Shares!I259)</f>
        <v>0</v>
      </c>
      <c r="AF259" s="267">
        <f t="shared" si="39"/>
        <v>0</v>
      </c>
      <c r="AG259" s="266">
        <f>IF($Z259="",0,Shares!L259)</f>
        <v>0</v>
      </c>
      <c r="AH259" s="267">
        <f>IF($Z259="",0,Shares!M259)</f>
        <v>0</v>
      </c>
      <c r="AI259" s="243" t="str">
        <f>IF($Z259="","",RANK(AE259,$AE$2:$AE$1001)+COUNTIF($AE$2:AE259,AE259)-1)</f>
        <v/>
      </c>
      <c r="AJ259" s="243" t="str">
        <f>IF($AD259&lt;0,COUNT($AJ$1:AJ258)+1,"")</f>
        <v/>
      </c>
      <c r="AL259" s="243" t="str">
        <f>'All Ticker P&amp;L'!A259</f>
        <v/>
      </c>
      <c r="AM259" s="243" t="str">
        <f>'All Ticker P&amp;L'!B259</f>
        <v/>
      </c>
      <c r="AN259" s="243" t="str">
        <f>'All Ticker P&amp;L'!C259</f>
        <v/>
      </c>
      <c r="AO259" s="243" t="str">
        <f>'All Ticker P&amp;L'!D259</f>
        <v/>
      </c>
      <c r="AP259" s="243">
        <f>IF($AL259="",0,'All Ticker P&amp;L'!E259)</f>
        <v>0</v>
      </c>
      <c r="AQ259" s="266">
        <f>IF($AL259="",0,'All Ticker P&amp;L'!J259*'All Ticker P&amp;L'!I259)</f>
        <v>0</v>
      </c>
      <c r="AR259" s="266">
        <f>IF($AL259="",0,'All Ticker P&amp;L'!L259)</f>
        <v>0</v>
      </c>
      <c r="AS259" s="267">
        <f>IF($AL259="",0,'All Ticker P&amp;L'!M259)</f>
        <v>0</v>
      </c>
      <c r="AT259" s="243" t="str">
        <f>IF($AL259="","",RANK(AR259,$AR$2:$AR$1001)+COUNTIF($AR$2:AR259,AR259)-1)</f>
        <v/>
      </c>
      <c r="AU259" s="243" t="str">
        <f>IF($AL259="","",RANK(AV259,$AV$2:$AV$1001)+COUNTIF($AV$2:AV259,AV259)-1)</f>
        <v/>
      </c>
      <c r="AV259" s="266">
        <f t="shared" si="40"/>
        <v>0</v>
      </c>
    </row>
    <row r="260" spans="26:48" ht="15" customHeight="1" x14ac:dyDescent="0.2">
      <c r="Z260" s="243" t="str">
        <f>Shares!A260</f>
        <v/>
      </c>
      <c r="AA260" s="243" t="str">
        <f>Shares!B260</f>
        <v/>
      </c>
      <c r="AB260" s="243" t="str">
        <f>Shares!C260</f>
        <v/>
      </c>
      <c r="AC260" s="243" t="str">
        <f>Shares!D260</f>
        <v/>
      </c>
      <c r="AD260" s="243">
        <f>IF($Z260="",0,Shares!E260)</f>
        <v>0</v>
      </c>
      <c r="AE260" s="266">
        <f>IF($Z260="",0,Shares!J260*Shares!I260)</f>
        <v>0</v>
      </c>
      <c r="AF260" s="267">
        <f t="shared" si="39"/>
        <v>0</v>
      </c>
      <c r="AG260" s="266">
        <f>IF($Z260="",0,Shares!L260)</f>
        <v>0</v>
      </c>
      <c r="AH260" s="267">
        <f>IF($Z260="",0,Shares!M260)</f>
        <v>0</v>
      </c>
      <c r="AI260" s="243" t="str">
        <f>IF($Z260="","",RANK(AE260,$AE$2:$AE$1001)+COUNTIF($AE$2:AE260,AE260)-1)</f>
        <v/>
      </c>
      <c r="AJ260" s="243" t="str">
        <f>IF($AD260&lt;0,COUNT($AJ$1:AJ259)+1,"")</f>
        <v/>
      </c>
      <c r="AL260" s="243" t="str">
        <f>'All Ticker P&amp;L'!A260</f>
        <v/>
      </c>
      <c r="AM260" s="243" t="str">
        <f>'All Ticker P&amp;L'!B260</f>
        <v/>
      </c>
      <c r="AN260" s="243" t="str">
        <f>'All Ticker P&amp;L'!C260</f>
        <v/>
      </c>
      <c r="AO260" s="243" t="str">
        <f>'All Ticker P&amp;L'!D260</f>
        <v/>
      </c>
      <c r="AP260" s="243">
        <f>IF($AL260="",0,'All Ticker P&amp;L'!E260)</f>
        <v>0</v>
      </c>
      <c r="AQ260" s="266">
        <f>IF($AL260="",0,'All Ticker P&amp;L'!J260*'All Ticker P&amp;L'!I260)</f>
        <v>0</v>
      </c>
      <c r="AR260" s="266">
        <f>IF($AL260="",0,'All Ticker P&amp;L'!L260)</f>
        <v>0</v>
      </c>
      <c r="AS260" s="267">
        <f>IF($AL260="",0,'All Ticker P&amp;L'!M260)</f>
        <v>0</v>
      </c>
      <c r="AT260" s="243" t="str">
        <f>IF($AL260="","",RANK(AR260,$AR$2:$AR$1001)+COUNTIF($AR$2:AR260,AR260)-1)</f>
        <v/>
      </c>
      <c r="AU260" s="243" t="str">
        <f>IF($AL260="","",RANK(AV260,$AV$2:$AV$1001)+COUNTIF($AV$2:AV260,AV260)-1)</f>
        <v/>
      </c>
      <c r="AV260" s="266">
        <f t="shared" si="40"/>
        <v>0</v>
      </c>
    </row>
    <row r="261" spans="26:48" ht="15" customHeight="1" x14ac:dyDescent="0.2">
      <c r="Z261" s="243" t="str">
        <f>Shares!A261</f>
        <v/>
      </c>
      <c r="AA261" s="243" t="str">
        <f>Shares!B261</f>
        <v/>
      </c>
      <c r="AB261" s="243" t="str">
        <f>Shares!C261</f>
        <v/>
      </c>
      <c r="AC261" s="243" t="str">
        <f>Shares!D261</f>
        <v/>
      </c>
      <c r="AD261" s="243">
        <f>IF($Z261="",0,Shares!E261)</f>
        <v>0</v>
      </c>
      <c r="AE261" s="266">
        <f>IF($Z261="",0,Shares!J261*Shares!I261)</f>
        <v>0</v>
      </c>
      <c r="AF261" s="267">
        <f t="shared" si="39"/>
        <v>0</v>
      </c>
      <c r="AG261" s="266">
        <f>IF($Z261="",0,Shares!L261)</f>
        <v>0</v>
      </c>
      <c r="AH261" s="267">
        <f>IF($Z261="",0,Shares!M261)</f>
        <v>0</v>
      </c>
      <c r="AI261" s="243" t="str">
        <f>IF($Z261="","",RANK(AE261,$AE$2:$AE$1001)+COUNTIF($AE$2:AE261,AE261)-1)</f>
        <v/>
      </c>
      <c r="AJ261" s="243" t="str">
        <f>IF($AD261&lt;0,COUNT($AJ$1:AJ260)+1,"")</f>
        <v/>
      </c>
      <c r="AL261" s="243" t="str">
        <f>'All Ticker P&amp;L'!A261</f>
        <v/>
      </c>
      <c r="AM261" s="243" t="str">
        <f>'All Ticker P&amp;L'!B261</f>
        <v/>
      </c>
      <c r="AN261" s="243" t="str">
        <f>'All Ticker P&amp;L'!C261</f>
        <v/>
      </c>
      <c r="AO261" s="243" t="str">
        <f>'All Ticker P&amp;L'!D261</f>
        <v/>
      </c>
      <c r="AP261" s="243">
        <f>IF($AL261="",0,'All Ticker P&amp;L'!E261)</f>
        <v>0</v>
      </c>
      <c r="AQ261" s="266">
        <f>IF($AL261="",0,'All Ticker P&amp;L'!J261*'All Ticker P&amp;L'!I261)</f>
        <v>0</v>
      </c>
      <c r="AR261" s="266">
        <f>IF($AL261="",0,'All Ticker P&amp;L'!L261)</f>
        <v>0</v>
      </c>
      <c r="AS261" s="267">
        <f>IF($AL261="",0,'All Ticker P&amp;L'!M261)</f>
        <v>0</v>
      </c>
      <c r="AT261" s="243" t="str">
        <f>IF($AL261="","",RANK(AR261,$AR$2:$AR$1001)+COUNTIF($AR$2:AR261,AR261)-1)</f>
        <v/>
      </c>
      <c r="AU261" s="243" t="str">
        <f>IF($AL261="","",RANK(AV261,$AV$2:$AV$1001)+COUNTIF($AV$2:AV261,AV261)-1)</f>
        <v/>
      </c>
      <c r="AV261" s="266">
        <f t="shared" si="40"/>
        <v>0</v>
      </c>
    </row>
    <row r="262" spans="26:48" ht="15" customHeight="1" x14ac:dyDescent="0.2">
      <c r="Z262" s="243" t="str">
        <f>Shares!A262</f>
        <v/>
      </c>
      <c r="AA262" s="243" t="str">
        <f>Shares!B262</f>
        <v/>
      </c>
      <c r="AB262" s="243" t="str">
        <f>Shares!C262</f>
        <v/>
      </c>
      <c r="AC262" s="243" t="str">
        <f>Shares!D262</f>
        <v/>
      </c>
      <c r="AD262" s="243">
        <f>IF($Z262="",0,Shares!E262)</f>
        <v>0</v>
      </c>
      <c r="AE262" s="266">
        <f>IF($Z262="",0,Shares!J262*Shares!I262)</f>
        <v>0</v>
      </c>
      <c r="AF262" s="267">
        <f t="shared" si="39"/>
        <v>0</v>
      </c>
      <c r="AG262" s="266">
        <f>IF($Z262="",0,Shares!L262)</f>
        <v>0</v>
      </c>
      <c r="AH262" s="267">
        <f>IF($Z262="",0,Shares!M262)</f>
        <v>0</v>
      </c>
      <c r="AI262" s="243" t="str">
        <f>IF($Z262="","",RANK(AE262,$AE$2:$AE$1001)+COUNTIF($AE$2:AE262,AE262)-1)</f>
        <v/>
      </c>
      <c r="AJ262" s="243" t="str">
        <f>IF($AD262&lt;0,COUNT($AJ$1:AJ261)+1,"")</f>
        <v/>
      </c>
      <c r="AL262" s="243" t="str">
        <f>'All Ticker P&amp;L'!A262</f>
        <v/>
      </c>
      <c r="AM262" s="243" t="str">
        <f>'All Ticker P&amp;L'!B262</f>
        <v/>
      </c>
      <c r="AN262" s="243" t="str">
        <f>'All Ticker P&amp;L'!C262</f>
        <v/>
      </c>
      <c r="AO262" s="243" t="str">
        <f>'All Ticker P&amp;L'!D262</f>
        <v/>
      </c>
      <c r="AP262" s="243">
        <f>IF($AL262="",0,'All Ticker P&amp;L'!E262)</f>
        <v>0</v>
      </c>
      <c r="AQ262" s="266">
        <f>IF($AL262="",0,'All Ticker P&amp;L'!J262*'All Ticker P&amp;L'!I262)</f>
        <v>0</v>
      </c>
      <c r="AR262" s="266">
        <f>IF($AL262="",0,'All Ticker P&amp;L'!L262)</f>
        <v>0</v>
      </c>
      <c r="AS262" s="267">
        <f>IF($AL262="",0,'All Ticker P&amp;L'!M262)</f>
        <v>0</v>
      </c>
      <c r="AT262" s="243" t="str">
        <f>IF($AL262="","",RANK(AR262,$AR$2:$AR$1001)+COUNTIF($AR$2:AR262,AR262)-1)</f>
        <v/>
      </c>
      <c r="AU262" s="243" t="str">
        <f>IF($AL262="","",RANK(AV262,$AV$2:$AV$1001)+COUNTIF($AV$2:AV262,AV262)-1)</f>
        <v/>
      </c>
      <c r="AV262" s="266">
        <f t="shared" si="40"/>
        <v>0</v>
      </c>
    </row>
    <row r="263" spans="26:48" ht="15" customHeight="1" x14ac:dyDescent="0.2">
      <c r="Z263" s="243" t="str">
        <f>Shares!A263</f>
        <v/>
      </c>
      <c r="AA263" s="243" t="str">
        <f>Shares!B263</f>
        <v/>
      </c>
      <c r="AB263" s="243" t="str">
        <f>Shares!C263</f>
        <v/>
      </c>
      <c r="AC263" s="243" t="str">
        <f>Shares!D263</f>
        <v/>
      </c>
      <c r="AD263" s="243">
        <f>IF($Z263="",0,Shares!E263)</f>
        <v>0</v>
      </c>
      <c r="AE263" s="266">
        <f>IF($Z263="",0,Shares!J263*Shares!I263)</f>
        <v>0</v>
      </c>
      <c r="AF263" s="267">
        <f t="shared" si="39"/>
        <v>0</v>
      </c>
      <c r="AG263" s="266">
        <f>IF($Z263="",0,Shares!L263)</f>
        <v>0</v>
      </c>
      <c r="AH263" s="267">
        <f>IF($Z263="",0,Shares!M263)</f>
        <v>0</v>
      </c>
      <c r="AI263" s="243" t="str">
        <f>IF($Z263="","",RANK(AE263,$AE$2:$AE$1001)+COUNTIF($AE$2:AE263,AE263)-1)</f>
        <v/>
      </c>
      <c r="AJ263" s="243" t="str">
        <f>IF($AD263&lt;0,COUNT($AJ$1:AJ262)+1,"")</f>
        <v/>
      </c>
      <c r="AL263" s="243" t="str">
        <f>'All Ticker P&amp;L'!A263</f>
        <v/>
      </c>
      <c r="AM263" s="243" t="str">
        <f>'All Ticker P&amp;L'!B263</f>
        <v/>
      </c>
      <c r="AN263" s="243" t="str">
        <f>'All Ticker P&amp;L'!C263</f>
        <v/>
      </c>
      <c r="AO263" s="243" t="str">
        <f>'All Ticker P&amp;L'!D263</f>
        <v/>
      </c>
      <c r="AP263" s="243">
        <f>IF($AL263="",0,'All Ticker P&amp;L'!E263)</f>
        <v>0</v>
      </c>
      <c r="AQ263" s="266">
        <f>IF($AL263="",0,'All Ticker P&amp;L'!J263*'All Ticker P&amp;L'!I263)</f>
        <v>0</v>
      </c>
      <c r="AR263" s="266">
        <f>IF($AL263="",0,'All Ticker P&amp;L'!L263)</f>
        <v>0</v>
      </c>
      <c r="AS263" s="267">
        <f>IF($AL263="",0,'All Ticker P&amp;L'!M263)</f>
        <v>0</v>
      </c>
      <c r="AT263" s="243" t="str">
        <f>IF($AL263="","",RANK(AR263,$AR$2:$AR$1001)+COUNTIF($AR$2:AR263,AR263)-1)</f>
        <v/>
      </c>
      <c r="AU263" s="243" t="str">
        <f>IF($AL263="","",RANK(AV263,$AV$2:$AV$1001)+COUNTIF($AV$2:AV263,AV263)-1)</f>
        <v/>
      </c>
      <c r="AV263" s="266">
        <f t="shared" si="40"/>
        <v>0</v>
      </c>
    </row>
    <row r="264" spans="26:48" ht="15" customHeight="1" x14ac:dyDescent="0.2">
      <c r="Z264" s="243" t="str">
        <f>Shares!A264</f>
        <v/>
      </c>
      <c r="AA264" s="243" t="str">
        <f>Shares!B264</f>
        <v/>
      </c>
      <c r="AB264" s="243" t="str">
        <f>Shares!C264</f>
        <v/>
      </c>
      <c r="AC264" s="243" t="str">
        <f>Shares!D264</f>
        <v/>
      </c>
      <c r="AD264" s="243">
        <f>IF($Z264="",0,Shares!E264)</f>
        <v>0</v>
      </c>
      <c r="AE264" s="266">
        <f>IF($Z264="",0,Shares!J264*Shares!I264)</f>
        <v>0</v>
      </c>
      <c r="AF264" s="267">
        <f t="shared" si="39"/>
        <v>0</v>
      </c>
      <c r="AG264" s="266">
        <f>IF($Z264="",0,Shares!L264)</f>
        <v>0</v>
      </c>
      <c r="AH264" s="267">
        <f>IF($Z264="",0,Shares!M264)</f>
        <v>0</v>
      </c>
      <c r="AI264" s="243" t="str">
        <f>IF($Z264="","",RANK(AE264,$AE$2:$AE$1001)+COUNTIF($AE$2:AE264,AE264)-1)</f>
        <v/>
      </c>
      <c r="AJ264" s="243" t="str">
        <f>IF($AD264&lt;0,COUNT($AJ$1:AJ263)+1,"")</f>
        <v/>
      </c>
      <c r="AL264" s="243" t="str">
        <f>'All Ticker P&amp;L'!A264</f>
        <v/>
      </c>
      <c r="AM264" s="243" t="str">
        <f>'All Ticker P&amp;L'!B264</f>
        <v/>
      </c>
      <c r="AN264" s="243" t="str">
        <f>'All Ticker P&amp;L'!C264</f>
        <v/>
      </c>
      <c r="AO264" s="243" t="str">
        <f>'All Ticker P&amp;L'!D264</f>
        <v/>
      </c>
      <c r="AP264" s="243">
        <f>IF($AL264="",0,'All Ticker P&amp;L'!E264)</f>
        <v>0</v>
      </c>
      <c r="AQ264" s="266">
        <f>IF($AL264="",0,'All Ticker P&amp;L'!J264*'All Ticker P&amp;L'!I264)</f>
        <v>0</v>
      </c>
      <c r="AR264" s="266">
        <f>IF($AL264="",0,'All Ticker P&amp;L'!L264)</f>
        <v>0</v>
      </c>
      <c r="AS264" s="267">
        <f>IF($AL264="",0,'All Ticker P&amp;L'!M264)</f>
        <v>0</v>
      </c>
      <c r="AT264" s="243" t="str">
        <f>IF($AL264="","",RANK(AR264,$AR$2:$AR$1001)+COUNTIF($AR$2:AR264,AR264)-1)</f>
        <v/>
      </c>
      <c r="AU264" s="243" t="str">
        <f>IF($AL264="","",RANK(AV264,$AV$2:$AV$1001)+COUNTIF($AV$2:AV264,AV264)-1)</f>
        <v/>
      </c>
      <c r="AV264" s="266">
        <f t="shared" si="40"/>
        <v>0</v>
      </c>
    </row>
    <row r="265" spans="26:48" ht="15" customHeight="1" x14ac:dyDescent="0.2">
      <c r="Z265" s="243" t="str">
        <f>Shares!A265</f>
        <v/>
      </c>
      <c r="AA265" s="243" t="str">
        <f>Shares!B265</f>
        <v/>
      </c>
      <c r="AB265" s="243" t="str">
        <f>Shares!C265</f>
        <v/>
      </c>
      <c r="AC265" s="243" t="str">
        <f>Shares!D265</f>
        <v/>
      </c>
      <c r="AD265" s="243">
        <f>IF($Z265="",0,Shares!E265)</f>
        <v>0</v>
      </c>
      <c r="AE265" s="266">
        <f>IF($Z265="",0,Shares!J265*Shares!I265)</f>
        <v>0</v>
      </c>
      <c r="AF265" s="267">
        <f t="shared" si="39"/>
        <v>0</v>
      </c>
      <c r="AG265" s="266">
        <f>IF($Z265="",0,Shares!L265)</f>
        <v>0</v>
      </c>
      <c r="AH265" s="267">
        <f>IF($Z265="",0,Shares!M265)</f>
        <v>0</v>
      </c>
      <c r="AI265" s="243" t="str">
        <f>IF($Z265="","",RANK(AE265,$AE$2:$AE$1001)+COUNTIF($AE$2:AE265,AE265)-1)</f>
        <v/>
      </c>
      <c r="AJ265" s="243" t="str">
        <f>IF($AD265&lt;0,COUNT($AJ$1:AJ264)+1,"")</f>
        <v/>
      </c>
      <c r="AL265" s="243" t="str">
        <f>'All Ticker P&amp;L'!A265</f>
        <v/>
      </c>
      <c r="AM265" s="243" t="str">
        <f>'All Ticker P&amp;L'!B265</f>
        <v/>
      </c>
      <c r="AN265" s="243" t="str">
        <f>'All Ticker P&amp;L'!C265</f>
        <v/>
      </c>
      <c r="AO265" s="243" t="str">
        <f>'All Ticker P&amp;L'!D265</f>
        <v/>
      </c>
      <c r="AP265" s="243">
        <f>IF($AL265="",0,'All Ticker P&amp;L'!E265)</f>
        <v>0</v>
      </c>
      <c r="AQ265" s="266">
        <f>IF($AL265="",0,'All Ticker P&amp;L'!J265*'All Ticker P&amp;L'!I265)</f>
        <v>0</v>
      </c>
      <c r="AR265" s="266">
        <f>IF($AL265="",0,'All Ticker P&amp;L'!L265)</f>
        <v>0</v>
      </c>
      <c r="AS265" s="267">
        <f>IF($AL265="",0,'All Ticker P&amp;L'!M265)</f>
        <v>0</v>
      </c>
      <c r="AT265" s="243" t="str">
        <f>IF($AL265="","",RANK(AR265,$AR$2:$AR$1001)+COUNTIF($AR$2:AR265,AR265)-1)</f>
        <v/>
      </c>
      <c r="AU265" s="243" t="str">
        <f>IF($AL265="","",RANK(AV265,$AV$2:$AV$1001)+COUNTIF($AV$2:AV265,AV265)-1)</f>
        <v/>
      </c>
      <c r="AV265" s="266">
        <f t="shared" si="40"/>
        <v>0</v>
      </c>
    </row>
    <row r="266" spans="26:48" ht="15" customHeight="1" x14ac:dyDescent="0.2">
      <c r="Z266" s="243" t="str">
        <f>Shares!A266</f>
        <v/>
      </c>
      <c r="AA266" s="243" t="str">
        <f>Shares!B266</f>
        <v/>
      </c>
      <c r="AB266" s="243" t="str">
        <f>Shares!C266</f>
        <v/>
      </c>
      <c r="AC266" s="243" t="str">
        <f>Shares!D266</f>
        <v/>
      </c>
      <c r="AD266" s="243">
        <f>IF($Z266="",0,Shares!E266)</f>
        <v>0</v>
      </c>
      <c r="AE266" s="266">
        <f>IF($Z266="",0,Shares!J266*Shares!I266)</f>
        <v>0</v>
      </c>
      <c r="AF266" s="267">
        <f t="shared" si="39"/>
        <v>0</v>
      </c>
      <c r="AG266" s="266">
        <f>IF($Z266="",0,Shares!L266)</f>
        <v>0</v>
      </c>
      <c r="AH266" s="267">
        <f>IF($Z266="",0,Shares!M266)</f>
        <v>0</v>
      </c>
      <c r="AI266" s="243" t="str">
        <f>IF($Z266="","",RANK(AE266,$AE$2:$AE$1001)+COUNTIF($AE$2:AE266,AE266)-1)</f>
        <v/>
      </c>
      <c r="AJ266" s="243" t="str">
        <f>IF($AD266&lt;0,COUNT($AJ$1:AJ265)+1,"")</f>
        <v/>
      </c>
      <c r="AL266" s="243" t="str">
        <f>'All Ticker P&amp;L'!A266</f>
        <v/>
      </c>
      <c r="AM266" s="243" t="str">
        <f>'All Ticker P&amp;L'!B266</f>
        <v/>
      </c>
      <c r="AN266" s="243" t="str">
        <f>'All Ticker P&amp;L'!C266</f>
        <v/>
      </c>
      <c r="AO266" s="243" t="str">
        <f>'All Ticker P&amp;L'!D266</f>
        <v/>
      </c>
      <c r="AP266" s="243">
        <f>IF($AL266="",0,'All Ticker P&amp;L'!E266)</f>
        <v>0</v>
      </c>
      <c r="AQ266" s="266">
        <f>IF($AL266="",0,'All Ticker P&amp;L'!J266*'All Ticker P&amp;L'!I266)</f>
        <v>0</v>
      </c>
      <c r="AR266" s="266">
        <f>IF($AL266="",0,'All Ticker P&amp;L'!L266)</f>
        <v>0</v>
      </c>
      <c r="AS266" s="267">
        <f>IF($AL266="",0,'All Ticker P&amp;L'!M266)</f>
        <v>0</v>
      </c>
      <c r="AT266" s="243" t="str">
        <f>IF($AL266="","",RANK(AR266,$AR$2:$AR$1001)+COUNTIF($AR$2:AR266,AR266)-1)</f>
        <v/>
      </c>
      <c r="AU266" s="243" t="str">
        <f>IF($AL266="","",RANK(AV266,$AV$2:$AV$1001)+COUNTIF($AV$2:AV266,AV266)-1)</f>
        <v/>
      </c>
      <c r="AV266" s="266">
        <f t="shared" si="40"/>
        <v>0</v>
      </c>
    </row>
    <row r="267" spans="26:48" ht="15" customHeight="1" x14ac:dyDescent="0.2">
      <c r="Z267" s="243" t="str">
        <f>Shares!A267</f>
        <v/>
      </c>
      <c r="AA267" s="243" t="str">
        <f>Shares!B267</f>
        <v/>
      </c>
      <c r="AB267" s="243" t="str">
        <f>Shares!C267</f>
        <v/>
      </c>
      <c r="AC267" s="243" t="str">
        <f>Shares!D267</f>
        <v/>
      </c>
      <c r="AD267" s="243">
        <f>IF($Z267="",0,Shares!E267)</f>
        <v>0</v>
      </c>
      <c r="AE267" s="266">
        <f>IF($Z267="",0,Shares!J267*Shares!I267)</f>
        <v>0</v>
      </c>
      <c r="AF267" s="267">
        <f t="shared" si="39"/>
        <v>0</v>
      </c>
      <c r="AG267" s="266">
        <f>IF($Z267="",0,Shares!L267)</f>
        <v>0</v>
      </c>
      <c r="AH267" s="267">
        <f>IF($Z267="",0,Shares!M267)</f>
        <v>0</v>
      </c>
      <c r="AI267" s="243" t="str">
        <f>IF($Z267="","",RANK(AE267,$AE$2:$AE$1001)+COUNTIF($AE$2:AE267,AE267)-1)</f>
        <v/>
      </c>
      <c r="AJ267" s="243" t="str">
        <f>IF($AD267&lt;0,COUNT($AJ$1:AJ266)+1,"")</f>
        <v/>
      </c>
      <c r="AL267" s="243" t="str">
        <f>'All Ticker P&amp;L'!A267</f>
        <v/>
      </c>
      <c r="AM267" s="243" t="str">
        <f>'All Ticker P&amp;L'!B267</f>
        <v/>
      </c>
      <c r="AN267" s="243" t="str">
        <f>'All Ticker P&amp;L'!C267</f>
        <v/>
      </c>
      <c r="AO267" s="243" t="str">
        <f>'All Ticker P&amp;L'!D267</f>
        <v/>
      </c>
      <c r="AP267" s="243">
        <f>IF($AL267="",0,'All Ticker P&amp;L'!E267)</f>
        <v>0</v>
      </c>
      <c r="AQ267" s="266">
        <f>IF($AL267="",0,'All Ticker P&amp;L'!J267*'All Ticker P&amp;L'!I267)</f>
        <v>0</v>
      </c>
      <c r="AR267" s="266">
        <f>IF($AL267="",0,'All Ticker P&amp;L'!L267)</f>
        <v>0</v>
      </c>
      <c r="AS267" s="267">
        <f>IF($AL267="",0,'All Ticker P&amp;L'!M267)</f>
        <v>0</v>
      </c>
      <c r="AT267" s="243" t="str">
        <f>IF($AL267="","",RANK(AR267,$AR$2:$AR$1001)+COUNTIF($AR$2:AR267,AR267)-1)</f>
        <v/>
      </c>
      <c r="AU267" s="243" t="str">
        <f>IF($AL267="","",RANK(AV267,$AV$2:$AV$1001)+COUNTIF($AV$2:AV267,AV267)-1)</f>
        <v/>
      </c>
      <c r="AV267" s="266">
        <f t="shared" si="40"/>
        <v>0</v>
      </c>
    </row>
    <row r="268" spans="26:48" ht="15" customHeight="1" x14ac:dyDescent="0.2">
      <c r="Z268" s="243" t="str">
        <f>Shares!A268</f>
        <v/>
      </c>
      <c r="AA268" s="243" t="str">
        <f>Shares!B268</f>
        <v/>
      </c>
      <c r="AB268" s="243" t="str">
        <f>Shares!C268</f>
        <v/>
      </c>
      <c r="AC268" s="243" t="str">
        <f>Shares!D268</f>
        <v/>
      </c>
      <c r="AD268" s="243">
        <f>IF($Z268="",0,Shares!E268)</f>
        <v>0</v>
      </c>
      <c r="AE268" s="266">
        <f>IF($Z268="",0,Shares!J268*Shares!I268)</f>
        <v>0</v>
      </c>
      <c r="AF268" s="267">
        <f t="shared" si="39"/>
        <v>0</v>
      </c>
      <c r="AG268" s="266">
        <f>IF($Z268="",0,Shares!L268)</f>
        <v>0</v>
      </c>
      <c r="AH268" s="267">
        <f>IF($Z268="",0,Shares!M268)</f>
        <v>0</v>
      </c>
      <c r="AI268" s="243" t="str">
        <f>IF($Z268="","",RANK(AE268,$AE$2:$AE$1001)+COUNTIF($AE$2:AE268,AE268)-1)</f>
        <v/>
      </c>
      <c r="AJ268" s="243" t="str">
        <f>IF($AD268&lt;0,COUNT($AJ$1:AJ267)+1,"")</f>
        <v/>
      </c>
      <c r="AL268" s="243" t="str">
        <f>'All Ticker P&amp;L'!A268</f>
        <v/>
      </c>
      <c r="AM268" s="243" t="str">
        <f>'All Ticker P&amp;L'!B268</f>
        <v/>
      </c>
      <c r="AN268" s="243" t="str">
        <f>'All Ticker P&amp;L'!C268</f>
        <v/>
      </c>
      <c r="AO268" s="243" t="str">
        <f>'All Ticker P&amp;L'!D268</f>
        <v/>
      </c>
      <c r="AP268" s="243">
        <f>IF($AL268="",0,'All Ticker P&amp;L'!E268)</f>
        <v>0</v>
      </c>
      <c r="AQ268" s="266">
        <f>IF($AL268="",0,'All Ticker P&amp;L'!J268*'All Ticker P&amp;L'!I268)</f>
        <v>0</v>
      </c>
      <c r="AR268" s="266">
        <f>IF($AL268="",0,'All Ticker P&amp;L'!L268)</f>
        <v>0</v>
      </c>
      <c r="AS268" s="267">
        <f>IF($AL268="",0,'All Ticker P&amp;L'!M268)</f>
        <v>0</v>
      </c>
      <c r="AT268" s="243" t="str">
        <f>IF($AL268="","",RANK(AR268,$AR$2:$AR$1001)+COUNTIF($AR$2:AR268,AR268)-1)</f>
        <v/>
      </c>
      <c r="AU268" s="243" t="str">
        <f>IF($AL268="","",RANK(AV268,$AV$2:$AV$1001)+COUNTIF($AV$2:AV268,AV268)-1)</f>
        <v/>
      </c>
      <c r="AV268" s="266">
        <f t="shared" si="40"/>
        <v>0</v>
      </c>
    </row>
    <row r="269" spans="26:48" ht="15" customHeight="1" x14ac:dyDescent="0.2">
      <c r="Z269" s="243" t="str">
        <f>Shares!A269</f>
        <v/>
      </c>
      <c r="AA269" s="243" t="str">
        <f>Shares!B269</f>
        <v/>
      </c>
      <c r="AB269" s="243" t="str">
        <f>Shares!C269</f>
        <v/>
      </c>
      <c r="AC269" s="243" t="str">
        <f>Shares!D269</f>
        <v/>
      </c>
      <c r="AD269" s="243">
        <f>IF($Z269="",0,Shares!E269)</f>
        <v>0</v>
      </c>
      <c r="AE269" s="266">
        <f>IF($Z269="",0,Shares!J269*Shares!I269)</f>
        <v>0</v>
      </c>
      <c r="AF269" s="267">
        <f t="shared" si="39"/>
        <v>0</v>
      </c>
      <c r="AG269" s="266">
        <f>IF($Z269="",0,Shares!L269)</f>
        <v>0</v>
      </c>
      <c r="AH269" s="267">
        <f>IF($Z269="",0,Shares!M269)</f>
        <v>0</v>
      </c>
      <c r="AI269" s="243" t="str">
        <f>IF($Z269="","",RANK(AE269,$AE$2:$AE$1001)+COUNTIF($AE$2:AE269,AE269)-1)</f>
        <v/>
      </c>
      <c r="AJ269" s="243" t="str">
        <f>IF($AD269&lt;0,COUNT($AJ$1:AJ268)+1,"")</f>
        <v/>
      </c>
      <c r="AL269" s="243" t="str">
        <f>'All Ticker P&amp;L'!A269</f>
        <v/>
      </c>
      <c r="AM269" s="243" t="str">
        <f>'All Ticker P&amp;L'!B269</f>
        <v/>
      </c>
      <c r="AN269" s="243" t="str">
        <f>'All Ticker P&amp;L'!C269</f>
        <v/>
      </c>
      <c r="AO269" s="243" t="str">
        <f>'All Ticker P&amp;L'!D269</f>
        <v/>
      </c>
      <c r="AP269" s="243">
        <f>IF($AL269="",0,'All Ticker P&amp;L'!E269)</f>
        <v>0</v>
      </c>
      <c r="AQ269" s="266">
        <f>IF($AL269="",0,'All Ticker P&amp;L'!J269*'All Ticker P&amp;L'!I269)</f>
        <v>0</v>
      </c>
      <c r="AR269" s="266">
        <f>IF($AL269="",0,'All Ticker P&amp;L'!L269)</f>
        <v>0</v>
      </c>
      <c r="AS269" s="267">
        <f>IF($AL269="",0,'All Ticker P&amp;L'!M269)</f>
        <v>0</v>
      </c>
      <c r="AT269" s="243" t="str">
        <f>IF($AL269="","",RANK(AR269,$AR$2:$AR$1001)+COUNTIF($AR$2:AR269,AR269)-1)</f>
        <v/>
      </c>
      <c r="AU269" s="243" t="str">
        <f>IF($AL269="","",RANK(AV269,$AV$2:$AV$1001)+COUNTIF($AV$2:AV269,AV269)-1)</f>
        <v/>
      </c>
      <c r="AV269" s="266">
        <f t="shared" si="40"/>
        <v>0</v>
      </c>
    </row>
    <row r="270" spans="26:48" ht="15" customHeight="1" x14ac:dyDescent="0.2">
      <c r="Z270" s="243" t="str">
        <f>Shares!A270</f>
        <v/>
      </c>
      <c r="AA270" s="243" t="str">
        <f>Shares!B270</f>
        <v/>
      </c>
      <c r="AB270" s="243" t="str">
        <f>Shares!C270</f>
        <v/>
      </c>
      <c r="AC270" s="243" t="str">
        <f>Shares!D270</f>
        <v/>
      </c>
      <c r="AD270" s="243">
        <f>IF($Z270="",0,Shares!E270)</f>
        <v>0</v>
      </c>
      <c r="AE270" s="266">
        <f>IF($Z270="",0,Shares!J270*Shares!I270)</f>
        <v>0</v>
      </c>
      <c r="AF270" s="267">
        <f t="shared" si="39"/>
        <v>0</v>
      </c>
      <c r="AG270" s="266">
        <f>IF($Z270="",0,Shares!L270)</f>
        <v>0</v>
      </c>
      <c r="AH270" s="267">
        <f>IF($Z270="",0,Shares!M270)</f>
        <v>0</v>
      </c>
      <c r="AI270" s="243" t="str">
        <f>IF($Z270="","",RANK(AE270,$AE$2:$AE$1001)+COUNTIF($AE$2:AE270,AE270)-1)</f>
        <v/>
      </c>
      <c r="AJ270" s="243" t="str">
        <f>IF($AD270&lt;0,COUNT($AJ$1:AJ269)+1,"")</f>
        <v/>
      </c>
      <c r="AL270" s="243" t="str">
        <f>'All Ticker P&amp;L'!A270</f>
        <v/>
      </c>
      <c r="AM270" s="243" t="str">
        <f>'All Ticker P&amp;L'!B270</f>
        <v/>
      </c>
      <c r="AN270" s="243" t="str">
        <f>'All Ticker P&amp;L'!C270</f>
        <v/>
      </c>
      <c r="AO270" s="243" t="str">
        <f>'All Ticker P&amp;L'!D270</f>
        <v/>
      </c>
      <c r="AP270" s="243">
        <f>IF($AL270="",0,'All Ticker P&amp;L'!E270)</f>
        <v>0</v>
      </c>
      <c r="AQ270" s="266">
        <f>IF($AL270="",0,'All Ticker P&amp;L'!J270*'All Ticker P&amp;L'!I270)</f>
        <v>0</v>
      </c>
      <c r="AR270" s="266">
        <f>IF($AL270="",0,'All Ticker P&amp;L'!L270)</f>
        <v>0</v>
      </c>
      <c r="AS270" s="267">
        <f>IF($AL270="",0,'All Ticker P&amp;L'!M270)</f>
        <v>0</v>
      </c>
      <c r="AT270" s="243" t="str">
        <f>IF($AL270="","",RANK(AR270,$AR$2:$AR$1001)+COUNTIF($AR$2:AR270,AR270)-1)</f>
        <v/>
      </c>
      <c r="AU270" s="243" t="str">
        <f>IF($AL270="","",RANK(AV270,$AV$2:$AV$1001)+COUNTIF($AV$2:AV270,AV270)-1)</f>
        <v/>
      </c>
      <c r="AV270" s="266">
        <f t="shared" si="40"/>
        <v>0</v>
      </c>
    </row>
    <row r="271" spans="26:48" ht="15" customHeight="1" x14ac:dyDescent="0.2">
      <c r="Z271" s="243" t="str">
        <f>Shares!A271</f>
        <v/>
      </c>
      <c r="AA271" s="243" t="str">
        <f>Shares!B271</f>
        <v/>
      </c>
      <c r="AB271" s="243" t="str">
        <f>Shares!C271</f>
        <v/>
      </c>
      <c r="AC271" s="243" t="str">
        <f>Shares!D271</f>
        <v/>
      </c>
      <c r="AD271" s="243">
        <f>IF($Z271="",0,Shares!E271)</f>
        <v>0</v>
      </c>
      <c r="AE271" s="266">
        <f>IF($Z271="",0,Shares!J271*Shares!I271)</f>
        <v>0</v>
      </c>
      <c r="AF271" s="267">
        <f t="shared" si="39"/>
        <v>0</v>
      </c>
      <c r="AG271" s="266">
        <f>IF($Z271="",0,Shares!L271)</f>
        <v>0</v>
      </c>
      <c r="AH271" s="267">
        <f>IF($Z271="",0,Shares!M271)</f>
        <v>0</v>
      </c>
      <c r="AI271" s="243" t="str">
        <f>IF($Z271="","",RANK(AE271,$AE$2:$AE$1001)+COUNTIF($AE$2:AE271,AE271)-1)</f>
        <v/>
      </c>
      <c r="AJ271" s="243" t="str">
        <f>IF($AD271&lt;0,COUNT($AJ$1:AJ270)+1,"")</f>
        <v/>
      </c>
      <c r="AL271" s="243" t="str">
        <f>'All Ticker P&amp;L'!A271</f>
        <v/>
      </c>
      <c r="AM271" s="243" t="str">
        <f>'All Ticker P&amp;L'!B271</f>
        <v/>
      </c>
      <c r="AN271" s="243" t="str">
        <f>'All Ticker P&amp;L'!C271</f>
        <v/>
      </c>
      <c r="AO271" s="243" t="str">
        <f>'All Ticker P&amp;L'!D271</f>
        <v/>
      </c>
      <c r="AP271" s="243">
        <f>IF($AL271="",0,'All Ticker P&amp;L'!E271)</f>
        <v>0</v>
      </c>
      <c r="AQ271" s="266">
        <f>IF($AL271="",0,'All Ticker P&amp;L'!J271*'All Ticker P&amp;L'!I271)</f>
        <v>0</v>
      </c>
      <c r="AR271" s="266">
        <f>IF($AL271="",0,'All Ticker P&amp;L'!L271)</f>
        <v>0</v>
      </c>
      <c r="AS271" s="267">
        <f>IF($AL271="",0,'All Ticker P&amp;L'!M271)</f>
        <v>0</v>
      </c>
      <c r="AT271" s="243" t="str">
        <f>IF($AL271="","",RANK(AR271,$AR$2:$AR$1001)+COUNTIF($AR$2:AR271,AR271)-1)</f>
        <v/>
      </c>
      <c r="AU271" s="243" t="str">
        <f>IF($AL271="","",RANK(AV271,$AV$2:$AV$1001)+COUNTIF($AV$2:AV271,AV271)-1)</f>
        <v/>
      </c>
      <c r="AV271" s="266">
        <f t="shared" si="40"/>
        <v>0</v>
      </c>
    </row>
    <row r="272" spans="26:48" ht="15" customHeight="1" x14ac:dyDescent="0.2">
      <c r="Z272" s="243" t="str">
        <f>Shares!A272</f>
        <v/>
      </c>
      <c r="AA272" s="243" t="str">
        <f>Shares!B272</f>
        <v/>
      </c>
      <c r="AB272" s="243" t="str">
        <f>Shares!C272</f>
        <v/>
      </c>
      <c r="AC272" s="243" t="str">
        <f>Shares!D272</f>
        <v/>
      </c>
      <c r="AD272" s="243">
        <f>IF($Z272="",0,Shares!E272)</f>
        <v>0</v>
      </c>
      <c r="AE272" s="266">
        <f>IF($Z272="",0,Shares!J272*Shares!I272)</f>
        <v>0</v>
      </c>
      <c r="AF272" s="267">
        <f t="shared" si="39"/>
        <v>0</v>
      </c>
      <c r="AG272" s="266">
        <f>IF($Z272="",0,Shares!L272)</f>
        <v>0</v>
      </c>
      <c r="AH272" s="267">
        <f>IF($Z272="",0,Shares!M272)</f>
        <v>0</v>
      </c>
      <c r="AI272" s="243" t="str">
        <f>IF($Z272="","",RANK(AE272,$AE$2:$AE$1001)+COUNTIF($AE$2:AE272,AE272)-1)</f>
        <v/>
      </c>
      <c r="AJ272" s="243" t="str">
        <f>IF($AD272&lt;0,COUNT($AJ$1:AJ271)+1,"")</f>
        <v/>
      </c>
      <c r="AL272" s="243" t="str">
        <f>'All Ticker P&amp;L'!A272</f>
        <v/>
      </c>
      <c r="AM272" s="243" t="str">
        <f>'All Ticker P&amp;L'!B272</f>
        <v/>
      </c>
      <c r="AN272" s="243" t="str">
        <f>'All Ticker P&amp;L'!C272</f>
        <v/>
      </c>
      <c r="AO272" s="243" t="str">
        <f>'All Ticker P&amp;L'!D272</f>
        <v/>
      </c>
      <c r="AP272" s="243">
        <f>IF($AL272="",0,'All Ticker P&amp;L'!E272)</f>
        <v>0</v>
      </c>
      <c r="AQ272" s="266">
        <f>IF($AL272="",0,'All Ticker P&amp;L'!J272*'All Ticker P&amp;L'!I272)</f>
        <v>0</v>
      </c>
      <c r="AR272" s="266">
        <f>IF($AL272="",0,'All Ticker P&amp;L'!L272)</f>
        <v>0</v>
      </c>
      <c r="AS272" s="267">
        <f>IF($AL272="",0,'All Ticker P&amp;L'!M272)</f>
        <v>0</v>
      </c>
      <c r="AT272" s="243" t="str">
        <f>IF($AL272="","",RANK(AR272,$AR$2:$AR$1001)+COUNTIF($AR$2:AR272,AR272)-1)</f>
        <v/>
      </c>
      <c r="AU272" s="243" t="str">
        <f>IF($AL272="","",RANK(AV272,$AV$2:$AV$1001)+COUNTIF($AV$2:AV272,AV272)-1)</f>
        <v/>
      </c>
      <c r="AV272" s="266">
        <f t="shared" si="40"/>
        <v>0</v>
      </c>
    </row>
    <row r="273" spans="26:48" ht="15" customHeight="1" x14ac:dyDescent="0.2">
      <c r="Z273" s="243" t="str">
        <f>Shares!A273</f>
        <v/>
      </c>
      <c r="AA273" s="243" t="str">
        <f>Shares!B273</f>
        <v/>
      </c>
      <c r="AB273" s="243" t="str">
        <f>Shares!C273</f>
        <v/>
      </c>
      <c r="AC273" s="243" t="str">
        <f>Shares!D273</f>
        <v/>
      </c>
      <c r="AD273" s="243">
        <f>IF($Z273="",0,Shares!E273)</f>
        <v>0</v>
      </c>
      <c r="AE273" s="266">
        <f>IF($Z273="",0,Shares!J273*Shares!I273)</f>
        <v>0</v>
      </c>
      <c r="AF273" s="267">
        <f t="shared" si="39"/>
        <v>0</v>
      </c>
      <c r="AG273" s="266">
        <f>IF($Z273="",0,Shares!L273)</f>
        <v>0</v>
      </c>
      <c r="AH273" s="267">
        <f>IF($Z273="",0,Shares!M273)</f>
        <v>0</v>
      </c>
      <c r="AI273" s="243" t="str">
        <f>IF($Z273="","",RANK(AE273,$AE$2:$AE$1001)+COUNTIF($AE$2:AE273,AE273)-1)</f>
        <v/>
      </c>
      <c r="AJ273" s="243" t="str">
        <f>IF($AD273&lt;0,COUNT($AJ$1:AJ272)+1,"")</f>
        <v/>
      </c>
      <c r="AL273" s="243" t="str">
        <f>'All Ticker P&amp;L'!A273</f>
        <v/>
      </c>
      <c r="AM273" s="243" t="str">
        <f>'All Ticker P&amp;L'!B273</f>
        <v/>
      </c>
      <c r="AN273" s="243" t="str">
        <f>'All Ticker P&amp;L'!C273</f>
        <v/>
      </c>
      <c r="AO273" s="243" t="str">
        <f>'All Ticker P&amp;L'!D273</f>
        <v/>
      </c>
      <c r="AP273" s="243">
        <f>IF($AL273="",0,'All Ticker P&amp;L'!E273)</f>
        <v>0</v>
      </c>
      <c r="AQ273" s="266">
        <f>IF($AL273="",0,'All Ticker P&amp;L'!J273*'All Ticker P&amp;L'!I273)</f>
        <v>0</v>
      </c>
      <c r="AR273" s="266">
        <f>IF($AL273="",0,'All Ticker P&amp;L'!L273)</f>
        <v>0</v>
      </c>
      <c r="AS273" s="267">
        <f>IF($AL273="",0,'All Ticker P&amp;L'!M273)</f>
        <v>0</v>
      </c>
      <c r="AT273" s="243" t="str">
        <f>IF($AL273="","",RANK(AR273,$AR$2:$AR$1001)+COUNTIF($AR$2:AR273,AR273)-1)</f>
        <v/>
      </c>
      <c r="AU273" s="243" t="str">
        <f>IF($AL273="","",RANK(AV273,$AV$2:$AV$1001)+COUNTIF($AV$2:AV273,AV273)-1)</f>
        <v/>
      </c>
      <c r="AV273" s="266">
        <f t="shared" si="40"/>
        <v>0</v>
      </c>
    </row>
    <row r="274" spans="26:48" ht="15" customHeight="1" x14ac:dyDescent="0.2">
      <c r="Z274" s="243" t="str">
        <f>Shares!A274</f>
        <v/>
      </c>
      <c r="AA274" s="243" t="str">
        <f>Shares!B274</f>
        <v/>
      </c>
      <c r="AB274" s="243" t="str">
        <f>Shares!C274</f>
        <v/>
      </c>
      <c r="AC274" s="243" t="str">
        <f>Shares!D274</f>
        <v/>
      </c>
      <c r="AD274" s="243">
        <f>IF($Z274="",0,Shares!E274)</f>
        <v>0</v>
      </c>
      <c r="AE274" s="266">
        <f>IF($Z274="",0,Shares!J274*Shares!I274)</f>
        <v>0</v>
      </c>
      <c r="AF274" s="267">
        <f t="shared" si="39"/>
        <v>0</v>
      </c>
      <c r="AG274" s="266">
        <f>IF($Z274="",0,Shares!L274)</f>
        <v>0</v>
      </c>
      <c r="AH274" s="267">
        <f>IF($Z274="",0,Shares!M274)</f>
        <v>0</v>
      </c>
      <c r="AI274" s="243" t="str">
        <f>IF($Z274="","",RANK(AE274,$AE$2:$AE$1001)+COUNTIF($AE$2:AE274,AE274)-1)</f>
        <v/>
      </c>
      <c r="AJ274" s="243" t="str">
        <f>IF($AD274&lt;0,COUNT($AJ$1:AJ273)+1,"")</f>
        <v/>
      </c>
      <c r="AL274" s="243" t="str">
        <f>'All Ticker P&amp;L'!A274</f>
        <v/>
      </c>
      <c r="AM274" s="243" t="str">
        <f>'All Ticker P&amp;L'!B274</f>
        <v/>
      </c>
      <c r="AN274" s="243" t="str">
        <f>'All Ticker P&amp;L'!C274</f>
        <v/>
      </c>
      <c r="AO274" s="243" t="str">
        <f>'All Ticker P&amp;L'!D274</f>
        <v/>
      </c>
      <c r="AP274" s="243">
        <f>IF($AL274="",0,'All Ticker P&amp;L'!E274)</f>
        <v>0</v>
      </c>
      <c r="AQ274" s="266">
        <f>IF($AL274="",0,'All Ticker P&amp;L'!J274*'All Ticker P&amp;L'!I274)</f>
        <v>0</v>
      </c>
      <c r="AR274" s="266">
        <f>IF($AL274="",0,'All Ticker P&amp;L'!L274)</f>
        <v>0</v>
      </c>
      <c r="AS274" s="267">
        <f>IF($AL274="",0,'All Ticker P&amp;L'!M274)</f>
        <v>0</v>
      </c>
      <c r="AT274" s="243" t="str">
        <f>IF($AL274="","",RANK(AR274,$AR$2:$AR$1001)+COUNTIF($AR$2:AR274,AR274)-1)</f>
        <v/>
      </c>
      <c r="AU274" s="243" t="str">
        <f>IF($AL274="","",RANK(AV274,$AV$2:$AV$1001)+COUNTIF($AV$2:AV274,AV274)-1)</f>
        <v/>
      </c>
      <c r="AV274" s="266">
        <f t="shared" si="40"/>
        <v>0</v>
      </c>
    </row>
    <row r="275" spans="26:48" ht="15" customHeight="1" x14ac:dyDescent="0.2">
      <c r="Z275" s="243" t="str">
        <f>Shares!A275</f>
        <v/>
      </c>
      <c r="AA275" s="243" t="str">
        <f>Shares!B275</f>
        <v/>
      </c>
      <c r="AB275" s="243" t="str">
        <f>Shares!C275</f>
        <v/>
      </c>
      <c r="AC275" s="243" t="str">
        <f>Shares!D275</f>
        <v/>
      </c>
      <c r="AD275" s="243">
        <f>IF($Z275="",0,Shares!E275)</f>
        <v>0</v>
      </c>
      <c r="AE275" s="266">
        <f>IF($Z275="",0,Shares!J275*Shares!I275)</f>
        <v>0</v>
      </c>
      <c r="AF275" s="267">
        <f t="shared" si="39"/>
        <v>0</v>
      </c>
      <c r="AG275" s="266">
        <f>IF($Z275="",0,Shares!L275)</f>
        <v>0</v>
      </c>
      <c r="AH275" s="267">
        <f>IF($Z275="",0,Shares!M275)</f>
        <v>0</v>
      </c>
      <c r="AI275" s="243" t="str">
        <f>IF($Z275="","",RANK(AE275,$AE$2:$AE$1001)+COUNTIF($AE$2:AE275,AE275)-1)</f>
        <v/>
      </c>
      <c r="AJ275" s="243" t="str">
        <f>IF($AD275&lt;0,COUNT($AJ$1:AJ274)+1,"")</f>
        <v/>
      </c>
      <c r="AL275" s="243" t="str">
        <f>'All Ticker P&amp;L'!A275</f>
        <v/>
      </c>
      <c r="AM275" s="243" t="str">
        <f>'All Ticker P&amp;L'!B275</f>
        <v/>
      </c>
      <c r="AN275" s="243" t="str">
        <f>'All Ticker P&amp;L'!C275</f>
        <v/>
      </c>
      <c r="AO275" s="243" t="str">
        <f>'All Ticker P&amp;L'!D275</f>
        <v/>
      </c>
      <c r="AP275" s="243">
        <f>IF($AL275="",0,'All Ticker P&amp;L'!E275)</f>
        <v>0</v>
      </c>
      <c r="AQ275" s="266">
        <f>IF($AL275="",0,'All Ticker P&amp;L'!J275*'All Ticker P&amp;L'!I275)</f>
        <v>0</v>
      </c>
      <c r="AR275" s="266">
        <f>IF($AL275="",0,'All Ticker P&amp;L'!L275)</f>
        <v>0</v>
      </c>
      <c r="AS275" s="267">
        <f>IF($AL275="",0,'All Ticker P&amp;L'!M275)</f>
        <v>0</v>
      </c>
      <c r="AT275" s="243" t="str">
        <f>IF($AL275="","",RANK(AR275,$AR$2:$AR$1001)+COUNTIF($AR$2:AR275,AR275)-1)</f>
        <v/>
      </c>
      <c r="AU275" s="243" t="str">
        <f>IF($AL275="","",RANK(AV275,$AV$2:$AV$1001)+COUNTIF($AV$2:AV275,AV275)-1)</f>
        <v/>
      </c>
      <c r="AV275" s="266">
        <f t="shared" si="40"/>
        <v>0</v>
      </c>
    </row>
    <row r="276" spans="26:48" ht="15" customHeight="1" x14ac:dyDescent="0.2">
      <c r="Z276" s="243" t="str">
        <f>Shares!A276</f>
        <v/>
      </c>
      <c r="AA276" s="243" t="str">
        <f>Shares!B276</f>
        <v/>
      </c>
      <c r="AB276" s="243" t="str">
        <f>Shares!C276</f>
        <v/>
      </c>
      <c r="AC276" s="243" t="str">
        <f>Shares!D276</f>
        <v/>
      </c>
      <c r="AD276" s="243">
        <f>IF($Z276="",0,Shares!E276)</f>
        <v>0</v>
      </c>
      <c r="AE276" s="266">
        <f>IF($Z276="",0,Shares!J276*Shares!I276)</f>
        <v>0</v>
      </c>
      <c r="AF276" s="267">
        <f t="shared" si="39"/>
        <v>0</v>
      </c>
      <c r="AG276" s="266">
        <f>IF($Z276="",0,Shares!L276)</f>
        <v>0</v>
      </c>
      <c r="AH276" s="267">
        <f>IF($Z276="",0,Shares!M276)</f>
        <v>0</v>
      </c>
      <c r="AI276" s="243" t="str">
        <f>IF($Z276="","",RANK(AE276,$AE$2:$AE$1001)+COUNTIF($AE$2:AE276,AE276)-1)</f>
        <v/>
      </c>
      <c r="AJ276" s="243" t="str">
        <f>IF($AD276&lt;0,COUNT($AJ$1:AJ275)+1,"")</f>
        <v/>
      </c>
      <c r="AL276" s="243" t="str">
        <f>'All Ticker P&amp;L'!A276</f>
        <v/>
      </c>
      <c r="AM276" s="243" t="str">
        <f>'All Ticker P&amp;L'!B276</f>
        <v/>
      </c>
      <c r="AN276" s="243" t="str">
        <f>'All Ticker P&amp;L'!C276</f>
        <v/>
      </c>
      <c r="AO276" s="243" t="str">
        <f>'All Ticker P&amp;L'!D276</f>
        <v/>
      </c>
      <c r="AP276" s="243">
        <f>IF($AL276="",0,'All Ticker P&amp;L'!E276)</f>
        <v>0</v>
      </c>
      <c r="AQ276" s="266">
        <f>IF($AL276="",0,'All Ticker P&amp;L'!J276*'All Ticker P&amp;L'!I276)</f>
        <v>0</v>
      </c>
      <c r="AR276" s="266">
        <f>IF($AL276="",0,'All Ticker P&amp;L'!L276)</f>
        <v>0</v>
      </c>
      <c r="AS276" s="267">
        <f>IF($AL276="",0,'All Ticker P&amp;L'!M276)</f>
        <v>0</v>
      </c>
      <c r="AT276" s="243" t="str">
        <f>IF($AL276="","",RANK(AR276,$AR$2:$AR$1001)+COUNTIF($AR$2:AR276,AR276)-1)</f>
        <v/>
      </c>
      <c r="AU276" s="243" t="str">
        <f>IF($AL276="","",RANK(AV276,$AV$2:$AV$1001)+COUNTIF($AV$2:AV276,AV276)-1)</f>
        <v/>
      </c>
      <c r="AV276" s="266">
        <f t="shared" si="40"/>
        <v>0</v>
      </c>
    </row>
    <row r="277" spans="26:48" ht="15" customHeight="1" x14ac:dyDescent="0.2">
      <c r="Z277" s="243" t="str">
        <f>Shares!A277</f>
        <v/>
      </c>
      <c r="AA277" s="243" t="str">
        <f>Shares!B277</f>
        <v/>
      </c>
      <c r="AB277" s="243" t="str">
        <f>Shares!C277</f>
        <v/>
      </c>
      <c r="AC277" s="243" t="str">
        <f>Shares!D277</f>
        <v/>
      </c>
      <c r="AD277" s="243">
        <f>IF($Z277="",0,Shares!E277)</f>
        <v>0</v>
      </c>
      <c r="AE277" s="266">
        <f>IF($Z277="",0,Shares!J277*Shares!I277)</f>
        <v>0</v>
      </c>
      <c r="AF277" s="267">
        <f t="shared" si="39"/>
        <v>0</v>
      </c>
      <c r="AG277" s="266">
        <f>IF($Z277="",0,Shares!L277)</f>
        <v>0</v>
      </c>
      <c r="AH277" s="267">
        <f>IF($Z277="",0,Shares!M277)</f>
        <v>0</v>
      </c>
      <c r="AI277" s="243" t="str">
        <f>IF($Z277="","",RANK(AE277,$AE$2:$AE$1001)+COUNTIF($AE$2:AE277,AE277)-1)</f>
        <v/>
      </c>
      <c r="AJ277" s="243" t="str">
        <f>IF($AD277&lt;0,COUNT($AJ$1:AJ276)+1,"")</f>
        <v/>
      </c>
      <c r="AL277" s="243" t="str">
        <f>'All Ticker P&amp;L'!A277</f>
        <v/>
      </c>
      <c r="AM277" s="243" t="str">
        <f>'All Ticker P&amp;L'!B277</f>
        <v/>
      </c>
      <c r="AN277" s="243" t="str">
        <f>'All Ticker P&amp;L'!C277</f>
        <v/>
      </c>
      <c r="AO277" s="243" t="str">
        <f>'All Ticker P&amp;L'!D277</f>
        <v/>
      </c>
      <c r="AP277" s="243">
        <f>IF($AL277="",0,'All Ticker P&amp;L'!E277)</f>
        <v>0</v>
      </c>
      <c r="AQ277" s="266">
        <f>IF($AL277="",0,'All Ticker P&amp;L'!J277*'All Ticker P&amp;L'!I277)</f>
        <v>0</v>
      </c>
      <c r="AR277" s="266">
        <f>IF($AL277="",0,'All Ticker P&amp;L'!L277)</f>
        <v>0</v>
      </c>
      <c r="AS277" s="267">
        <f>IF($AL277="",0,'All Ticker P&amp;L'!M277)</f>
        <v>0</v>
      </c>
      <c r="AT277" s="243" t="str">
        <f>IF($AL277="","",RANK(AR277,$AR$2:$AR$1001)+COUNTIF($AR$2:AR277,AR277)-1)</f>
        <v/>
      </c>
      <c r="AU277" s="243" t="str">
        <f>IF($AL277="","",RANK(AV277,$AV$2:$AV$1001)+COUNTIF($AV$2:AV277,AV277)-1)</f>
        <v/>
      </c>
      <c r="AV277" s="266">
        <f t="shared" si="40"/>
        <v>0</v>
      </c>
    </row>
    <row r="278" spans="26:48" ht="15" customHeight="1" x14ac:dyDescent="0.2">
      <c r="Z278" s="243" t="str">
        <f>Shares!A278</f>
        <v/>
      </c>
      <c r="AA278" s="243" t="str">
        <f>Shares!B278</f>
        <v/>
      </c>
      <c r="AB278" s="243" t="str">
        <f>Shares!C278</f>
        <v/>
      </c>
      <c r="AC278" s="243" t="str">
        <f>Shares!D278</f>
        <v/>
      </c>
      <c r="AD278" s="243">
        <f>IF($Z278="",0,Shares!E278)</f>
        <v>0</v>
      </c>
      <c r="AE278" s="266">
        <f>IF($Z278="",0,Shares!J278*Shares!I278)</f>
        <v>0</v>
      </c>
      <c r="AF278" s="267">
        <f t="shared" si="39"/>
        <v>0</v>
      </c>
      <c r="AG278" s="266">
        <f>IF($Z278="",0,Shares!L278)</f>
        <v>0</v>
      </c>
      <c r="AH278" s="267">
        <f>IF($Z278="",0,Shares!M278)</f>
        <v>0</v>
      </c>
      <c r="AI278" s="243" t="str">
        <f>IF($Z278="","",RANK(AE278,$AE$2:$AE$1001)+COUNTIF($AE$2:AE278,AE278)-1)</f>
        <v/>
      </c>
      <c r="AJ278" s="243" t="str">
        <f>IF($AD278&lt;0,COUNT($AJ$1:AJ277)+1,"")</f>
        <v/>
      </c>
      <c r="AL278" s="243" t="str">
        <f>'All Ticker P&amp;L'!A278</f>
        <v/>
      </c>
      <c r="AM278" s="243" t="str">
        <f>'All Ticker P&amp;L'!B278</f>
        <v/>
      </c>
      <c r="AN278" s="243" t="str">
        <f>'All Ticker P&amp;L'!C278</f>
        <v/>
      </c>
      <c r="AO278" s="243" t="str">
        <f>'All Ticker P&amp;L'!D278</f>
        <v/>
      </c>
      <c r="AP278" s="243">
        <f>IF($AL278="",0,'All Ticker P&amp;L'!E278)</f>
        <v>0</v>
      </c>
      <c r="AQ278" s="266">
        <f>IF($AL278="",0,'All Ticker P&amp;L'!J278*'All Ticker P&amp;L'!I278)</f>
        <v>0</v>
      </c>
      <c r="AR278" s="266">
        <f>IF($AL278="",0,'All Ticker P&amp;L'!L278)</f>
        <v>0</v>
      </c>
      <c r="AS278" s="267">
        <f>IF($AL278="",0,'All Ticker P&amp;L'!M278)</f>
        <v>0</v>
      </c>
      <c r="AT278" s="243" t="str">
        <f>IF($AL278="","",RANK(AR278,$AR$2:$AR$1001)+COUNTIF($AR$2:AR278,AR278)-1)</f>
        <v/>
      </c>
      <c r="AU278" s="243" t="str">
        <f>IF($AL278="","",RANK(AV278,$AV$2:$AV$1001)+COUNTIF($AV$2:AV278,AV278)-1)</f>
        <v/>
      </c>
      <c r="AV278" s="266">
        <f t="shared" si="40"/>
        <v>0</v>
      </c>
    </row>
    <row r="279" spans="26:48" ht="15" customHeight="1" x14ac:dyDescent="0.2">
      <c r="Z279" s="243" t="str">
        <f>Shares!A279</f>
        <v/>
      </c>
      <c r="AA279" s="243" t="str">
        <f>Shares!B279</f>
        <v/>
      </c>
      <c r="AB279" s="243" t="str">
        <f>Shares!C279</f>
        <v/>
      </c>
      <c r="AC279" s="243" t="str">
        <f>Shares!D279</f>
        <v/>
      </c>
      <c r="AD279" s="243">
        <f>IF($Z279="",0,Shares!E279)</f>
        <v>0</v>
      </c>
      <c r="AE279" s="266">
        <f>IF($Z279="",0,Shares!J279*Shares!I279)</f>
        <v>0</v>
      </c>
      <c r="AF279" s="267">
        <f t="shared" si="39"/>
        <v>0</v>
      </c>
      <c r="AG279" s="266">
        <f>IF($Z279="",0,Shares!L279)</f>
        <v>0</v>
      </c>
      <c r="AH279" s="267">
        <f>IF($Z279="",0,Shares!M279)</f>
        <v>0</v>
      </c>
      <c r="AI279" s="243" t="str">
        <f>IF($Z279="","",RANK(AE279,$AE$2:$AE$1001)+COUNTIF($AE$2:AE279,AE279)-1)</f>
        <v/>
      </c>
      <c r="AJ279" s="243" t="str">
        <f>IF($AD279&lt;0,COUNT($AJ$1:AJ278)+1,"")</f>
        <v/>
      </c>
      <c r="AL279" s="243" t="str">
        <f>'All Ticker P&amp;L'!A279</f>
        <v/>
      </c>
      <c r="AM279" s="243" t="str">
        <f>'All Ticker P&amp;L'!B279</f>
        <v/>
      </c>
      <c r="AN279" s="243" t="str">
        <f>'All Ticker P&amp;L'!C279</f>
        <v/>
      </c>
      <c r="AO279" s="243" t="str">
        <f>'All Ticker P&amp;L'!D279</f>
        <v/>
      </c>
      <c r="AP279" s="243">
        <f>IF($AL279="",0,'All Ticker P&amp;L'!E279)</f>
        <v>0</v>
      </c>
      <c r="AQ279" s="266">
        <f>IF($AL279="",0,'All Ticker P&amp;L'!J279*'All Ticker P&amp;L'!I279)</f>
        <v>0</v>
      </c>
      <c r="AR279" s="266">
        <f>IF($AL279="",0,'All Ticker P&amp;L'!L279)</f>
        <v>0</v>
      </c>
      <c r="AS279" s="267">
        <f>IF($AL279="",0,'All Ticker P&amp;L'!M279)</f>
        <v>0</v>
      </c>
      <c r="AT279" s="243" t="str">
        <f>IF($AL279="","",RANK(AR279,$AR$2:$AR$1001)+COUNTIF($AR$2:AR279,AR279)-1)</f>
        <v/>
      </c>
      <c r="AU279" s="243" t="str">
        <f>IF($AL279="","",RANK(AV279,$AV$2:$AV$1001)+COUNTIF($AV$2:AV279,AV279)-1)</f>
        <v/>
      </c>
      <c r="AV279" s="266">
        <f t="shared" si="40"/>
        <v>0</v>
      </c>
    </row>
    <row r="280" spans="26:48" ht="15" customHeight="1" x14ac:dyDescent="0.2">
      <c r="Z280" s="243" t="str">
        <f>Shares!A280</f>
        <v/>
      </c>
      <c r="AA280" s="243" t="str">
        <f>Shares!B280</f>
        <v/>
      </c>
      <c r="AB280" s="243" t="str">
        <f>Shares!C280</f>
        <v/>
      </c>
      <c r="AC280" s="243" t="str">
        <f>Shares!D280</f>
        <v/>
      </c>
      <c r="AD280" s="243">
        <f>IF($Z280="",0,Shares!E280)</f>
        <v>0</v>
      </c>
      <c r="AE280" s="266">
        <f>IF($Z280="",0,Shares!J280*Shares!I280)</f>
        <v>0</v>
      </c>
      <c r="AF280" s="267">
        <f t="shared" si="39"/>
        <v>0</v>
      </c>
      <c r="AG280" s="266">
        <f>IF($Z280="",0,Shares!L280)</f>
        <v>0</v>
      </c>
      <c r="AH280" s="267">
        <f>IF($Z280="",0,Shares!M280)</f>
        <v>0</v>
      </c>
      <c r="AI280" s="243" t="str">
        <f>IF($Z280="","",RANK(AE280,$AE$2:$AE$1001)+COUNTIF($AE$2:AE280,AE280)-1)</f>
        <v/>
      </c>
      <c r="AJ280" s="243" t="str">
        <f>IF($AD280&lt;0,COUNT($AJ$1:AJ279)+1,"")</f>
        <v/>
      </c>
      <c r="AL280" s="243" t="str">
        <f>'All Ticker P&amp;L'!A280</f>
        <v/>
      </c>
      <c r="AM280" s="243" t="str">
        <f>'All Ticker P&amp;L'!B280</f>
        <v/>
      </c>
      <c r="AN280" s="243" t="str">
        <f>'All Ticker P&amp;L'!C280</f>
        <v/>
      </c>
      <c r="AO280" s="243" t="str">
        <f>'All Ticker P&amp;L'!D280</f>
        <v/>
      </c>
      <c r="AP280" s="243">
        <f>IF($AL280="",0,'All Ticker P&amp;L'!E280)</f>
        <v>0</v>
      </c>
      <c r="AQ280" s="266">
        <f>IF($AL280="",0,'All Ticker P&amp;L'!J280*'All Ticker P&amp;L'!I280)</f>
        <v>0</v>
      </c>
      <c r="AR280" s="266">
        <f>IF($AL280="",0,'All Ticker P&amp;L'!L280)</f>
        <v>0</v>
      </c>
      <c r="AS280" s="267">
        <f>IF($AL280="",0,'All Ticker P&amp;L'!M280)</f>
        <v>0</v>
      </c>
      <c r="AT280" s="243" t="str">
        <f>IF($AL280="","",RANK(AR280,$AR$2:$AR$1001)+COUNTIF($AR$2:AR280,AR280)-1)</f>
        <v/>
      </c>
      <c r="AU280" s="243" t="str">
        <f>IF($AL280="","",RANK(AV280,$AV$2:$AV$1001)+COUNTIF($AV$2:AV280,AV280)-1)</f>
        <v/>
      </c>
      <c r="AV280" s="266">
        <f t="shared" si="40"/>
        <v>0</v>
      </c>
    </row>
    <row r="281" spans="26:48" ht="15" customHeight="1" x14ac:dyDescent="0.2">
      <c r="Z281" s="243" t="str">
        <f>Shares!A281</f>
        <v/>
      </c>
      <c r="AA281" s="243" t="str">
        <f>Shares!B281</f>
        <v/>
      </c>
      <c r="AB281" s="243" t="str">
        <f>Shares!C281</f>
        <v/>
      </c>
      <c r="AC281" s="243" t="str">
        <f>Shares!D281</f>
        <v/>
      </c>
      <c r="AD281" s="243">
        <f>IF($Z281="",0,Shares!E281)</f>
        <v>0</v>
      </c>
      <c r="AE281" s="266">
        <f>IF($Z281="",0,Shares!J281*Shares!I281)</f>
        <v>0</v>
      </c>
      <c r="AF281" s="267">
        <f t="shared" si="39"/>
        <v>0</v>
      </c>
      <c r="AG281" s="266">
        <f>IF($Z281="",0,Shares!L281)</f>
        <v>0</v>
      </c>
      <c r="AH281" s="267">
        <f>IF($Z281="",0,Shares!M281)</f>
        <v>0</v>
      </c>
      <c r="AI281" s="243" t="str">
        <f>IF($Z281="","",RANK(AE281,$AE$2:$AE$1001)+COUNTIF($AE$2:AE281,AE281)-1)</f>
        <v/>
      </c>
      <c r="AJ281" s="243" t="str">
        <f>IF($AD281&lt;0,COUNT($AJ$1:AJ280)+1,"")</f>
        <v/>
      </c>
      <c r="AL281" s="243" t="str">
        <f>'All Ticker P&amp;L'!A281</f>
        <v/>
      </c>
      <c r="AM281" s="243" t="str">
        <f>'All Ticker P&amp;L'!B281</f>
        <v/>
      </c>
      <c r="AN281" s="243" t="str">
        <f>'All Ticker P&amp;L'!C281</f>
        <v/>
      </c>
      <c r="AO281" s="243" t="str">
        <f>'All Ticker P&amp;L'!D281</f>
        <v/>
      </c>
      <c r="AP281" s="243">
        <f>IF($AL281="",0,'All Ticker P&amp;L'!E281)</f>
        <v>0</v>
      </c>
      <c r="AQ281" s="266">
        <f>IF($AL281="",0,'All Ticker P&amp;L'!J281*'All Ticker P&amp;L'!I281)</f>
        <v>0</v>
      </c>
      <c r="AR281" s="266">
        <f>IF($AL281="",0,'All Ticker P&amp;L'!L281)</f>
        <v>0</v>
      </c>
      <c r="AS281" s="267">
        <f>IF($AL281="",0,'All Ticker P&amp;L'!M281)</f>
        <v>0</v>
      </c>
      <c r="AT281" s="243" t="str">
        <f>IF($AL281="","",RANK(AR281,$AR$2:$AR$1001)+COUNTIF($AR$2:AR281,AR281)-1)</f>
        <v/>
      </c>
      <c r="AU281" s="243" t="str">
        <f>IF($AL281="","",RANK(AV281,$AV$2:$AV$1001)+COUNTIF($AV$2:AV281,AV281)-1)</f>
        <v/>
      </c>
      <c r="AV281" s="266">
        <f t="shared" si="40"/>
        <v>0</v>
      </c>
    </row>
    <row r="282" spans="26:48" ht="15" customHeight="1" x14ac:dyDescent="0.2">
      <c r="Z282" s="243" t="str">
        <f>Shares!A282</f>
        <v/>
      </c>
      <c r="AA282" s="243" t="str">
        <f>Shares!B282</f>
        <v/>
      </c>
      <c r="AB282" s="243" t="str">
        <f>Shares!C282</f>
        <v/>
      </c>
      <c r="AC282" s="243" t="str">
        <f>Shares!D282</f>
        <v/>
      </c>
      <c r="AD282" s="243">
        <f>IF($Z282="",0,Shares!E282)</f>
        <v>0</v>
      </c>
      <c r="AE282" s="266">
        <f>IF($Z282="",0,Shares!J282*Shares!I282)</f>
        <v>0</v>
      </c>
      <c r="AF282" s="267">
        <f t="shared" si="39"/>
        <v>0</v>
      </c>
      <c r="AG282" s="266">
        <f>IF($Z282="",0,Shares!L282)</f>
        <v>0</v>
      </c>
      <c r="AH282" s="267">
        <f>IF($Z282="",0,Shares!M282)</f>
        <v>0</v>
      </c>
      <c r="AI282" s="243" t="str">
        <f>IF($Z282="","",RANK(AE282,$AE$2:$AE$1001)+COUNTIF($AE$2:AE282,AE282)-1)</f>
        <v/>
      </c>
      <c r="AJ282" s="243" t="str">
        <f>IF($AD282&lt;0,COUNT($AJ$1:AJ281)+1,"")</f>
        <v/>
      </c>
      <c r="AL282" s="243" t="str">
        <f>'All Ticker P&amp;L'!A282</f>
        <v/>
      </c>
      <c r="AM282" s="243" t="str">
        <f>'All Ticker P&amp;L'!B282</f>
        <v/>
      </c>
      <c r="AN282" s="243" t="str">
        <f>'All Ticker P&amp;L'!C282</f>
        <v/>
      </c>
      <c r="AO282" s="243" t="str">
        <f>'All Ticker P&amp;L'!D282</f>
        <v/>
      </c>
      <c r="AP282" s="243">
        <f>IF($AL282="",0,'All Ticker P&amp;L'!E282)</f>
        <v>0</v>
      </c>
      <c r="AQ282" s="266">
        <f>IF($AL282="",0,'All Ticker P&amp;L'!J282*'All Ticker P&amp;L'!I282)</f>
        <v>0</v>
      </c>
      <c r="AR282" s="266">
        <f>IF($AL282="",0,'All Ticker P&amp;L'!L282)</f>
        <v>0</v>
      </c>
      <c r="AS282" s="267">
        <f>IF($AL282="",0,'All Ticker P&amp;L'!M282)</f>
        <v>0</v>
      </c>
      <c r="AT282" s="243" t="str">
        <f>IF($AL282="","",RANK(AR282,$AR$2:$AR$1001)+COUNTIF($AR$2:AR282,AR282)-1)</f>
        <v/>
      </c>
      <c r="AU282" s="243" t="str">
        <f>IF($AL282="","",RANK(AV282,$AV$2:$AV$1001)+COUNTIF($AV$2:AV282,AV282)-1)</f>
        <v/>
      </c>
      <c r="AV282" s="266">
        <f t="shared" si="40"/>
        <v>0</v>
      </c>
    </row>
    <row r="283" spans="26:48" ht="15" customHeight="1" x14ac:dyDescent="0.2">
      <c r="Z283" s="243" t="str">
        <f>Shares!A283</f>
        <v/>
      </c>
      <c r="AA283" s="243" t="str">
        <f>Shares!B283</f>
        <v/>
      </c>
      <c r="AB283" s="243" t="str">
        <f>Shares!C283</f>
        <v/>
      </c>
      <c r="AC283" s="243" t="str">
        <f>Shares!D283</f>
        <v/>
      </c>
      <c r="AD283" s="243">
        <f>IF($Z283="",0,Shares!E283)</f>
        <v>0</v>
      </c>
      <c r="AE283" s="266">
        <f>IF($Z283="",0,Shares!J283*Shares!I283)</f>
        <v>0</v>
      </c>
      <c r="AF283" s="267">
        <f t="shared" si="39"/>
        <v>0</v>
      </c>
      <c r="AG283" s="266">
        <f>IF($Z283="",0,Shares!L283)</f>
        <v>0</v>
      </c>
      <c r="AH283" s="267">
        <f>IF($Z283="",0,Shares!M283)</f>
        <v>0</v>
      </c>
      <c r="AI283" s="243" t="str">
        <f>IF($Z283="","",RANK(AE283,$AE$2:$AE$1001)+COUNTIF($AE$2:AE283,AE283)-1)</f>
        <v/>
      </c>
      <c r="AJ283" s="243" t="str">
        <f>IF($AD283&lt;0,COUNT($AJ$1:AJ282)+1,"")</f>
        <v/>
      </c>
      <c r="AL283" s="243" t="str">
        <f>'All Ticker P&amp;L'!A283</f>
        <v/>
      </c>
      <c r="AM283" s="243" t="str">
        <f>'All Ticker P&amp;L'!B283</f>
        <v/>
      </c>
      <c r="AN283" s="243" t="str">
        <f>'All Ticker P&amp;L'!C283</f>
        <v/>
      </c>
      <c r="AO283" s="243" t="str">
        <f>'All Ticker P&amp;L'!D283</f>
        <v/>
      </c>
      <c r="AP283" s="243">
        <f>IF($AL283="",0,'All Ticker P&amp;L'!E283)</f>
        <v>0</v>
      </c>
      <c r="AQ283" s="266">
        <f>IF($AL283="",0,'All Ticker P&amp;L'!J283*'All Ticker P&amp;L'!I283)</f>
        <v>0</v>
      </c>
      <c r="AR283" s="266">
        <f>IF($AL283="",0,'All Ticker P&amp;L'!L283)</f>
        <v>0</v>
      </c>
      <c r="AS283" s="267">
        <f>IF($AL283="",0,'All Ticker P&amp;L'!M283)</f>
        <v>0</v>
      </c>
      <c r="AT283" s="243" t="str">
        <f>IF($AL283="","",RANK(AR283,$AR$2:$AR$1001)+COUNTIF($AR$2:AR283,AR283)-1)</f>
        <v/>
      </c>
      <c r="AU283" s="243" t="str">
        <f>IF($AL283="","",RANK(AV283,$AV$2:$AV$1001)+COUNTIF($AV$2:AV283,AV283)-1)</f>
        <v/>
      </c>
      <c r="AV283" s="266">
        <f t="shared" si="40"/>
        <v>0</v>
      </c>
    </row>
    <row r="284" spans="26:48" ht="15" customHeight="1" x14ac:dyDescent="0.2">
      <c r="Z284" s="243" t="str">
        <f>Shares!A284</f>
        <v/>
      </c>
      <c r="AA284" s="243" t="str">
        <f>Shares!B284</f>
        <v/>
      </c>
      <c r="AB284" s="243" t="str">
        <f>Shares!C284</f>
        <v/>
      </c>
      <c r="AC284" s="243" t="str">
        <f>Shares!D284</f>
        <v/>
      </c>
      <c r="AD284" s="243">
        <f>IF($Z284="",0,Shares!E284)</f>
        <v>0</v>
      </c>
      <c r="AE284" s="266">
        <f>IF($Z284="",0,Shares!J284*Shares!I284)</f>
        <v>0</v>
      </c>
      <c r="AF284" s="267">
        <f t="shared" si="39"/>
        <v>0</v>
      </c>
      <c r="AG284" s="266">
        <f>IF($Z284="",0,Shares!L284)</f>
        <v>0</v>
      </c>
      <c r="AH284" s="267">
        <f>IF($Z284="",0,Shares!M284)</f>
        <v>0</v>
      </c>
      <c r="AI284" s="243" t="str">
        <f>IF($Z284="","",RANK(AE284,$AE$2:$AE$1001)+COUNTIF($AE$2:AE284,AE284)-1)</f>
        <v/>
      </c>
      <c r="AJ284" s="243" t="str">
        <f>IF($AD284&lt;0,COUNT($AJ$1:AJ283)+1,"")</f>
        <v/>
      </c>
      <c r="AL284" s="243" t="str">
        <f>'All Ticker P&amp;L'!A284</f>
        <v/>
      </c>
      <c r="AM284" s="243" t="str">
        <f>'All Ticker P&amp;L'!B284</f>
        <v/>
      </c>
      <c r="AN284" s="243" t="str">
        <f>'All Ticker P&amp;L'!C284</f>
        <v/>
      </c>
      <c r="AO284" s="243" t="str">
        <f>'All Ticker P&amp;L'!D284</f>
        <v/>
      </c>
      <c r="AP284" s="243">
        <f>IF($AL284="",0,'All Ticker P&amp;L'!E284)</f>
        <v>0</v>
      </c>
      <c r="AQ284" s="266">
        <f>IF($AL284="",0,'All Ticker P&amp;L'!J284*'All Ticker P&amp;L'!I284)</f>
        <v>0</v>
      </c>
      <c r="AR284" s="266">
        <f>IF($AL284="",0,'All Ticker P&amp;L'!L284)</f>
        <v>0</v>
      </c>
      <c r="AS284" s="267">
        <f>IF($AL284="",0,'All Ticker P&amp;L'!M284)</f>
        <v>0</v>
      </c>
      <c r="AT284" s="243" t="str">
        <f>IF($AL284="","",RANK(AR284,$AR$2:$AR$1001)+COUNTIF($AR$2:AR284,AR284)-1)</f>
        <v/>
      </c>
      <c r="AU284" s="243" t="str">
        <f>IF($AL284="","",RANK(AV284,$AV$2:$AV$1001)+COUNTIF($AV$2:AV284,AV284)-1)</f>
        <v/>
      </c>
      <c r="AV284" s="266">
        <f t="shared" si="40"/>
        <v>0</v>
      </c>
    </row>
    <row r="285" spans="26:48" ht="15" customHeight="1" x14ac:dyDescent="0.2">
      <c r="Z285" s="243" t="str">
        <f>Shares!A285</f>
        <v/>
      </c>
      <c r="AA285" s="243" t="str">
        <f>Shares!B285</f>
        <v/>
      </c>
      <c r="AB285" s="243" t="str">
        <f>Shares!C285</f>
        <v/>
      </c>
      <c r="AC285" s="243" t="str">
        <f>Shares!D285</f>
        <v/>
      </c>
      <c r="AD285" s="243">
        <f>IF($Z285="",0,Shares!E285)</f>
        <v>0</v>
      </c>
      <c r="AE285" s="266">
        <f>IF($Z285="",0,Shares!J285*Shares!I285)</f>
        <v>0</v>
      </c>
      <c r="AF285" s="267">
        <f t="shared" si="39"/>
        <v>0</v>
      </c>
      <c r="AG285" s="266">
        <f>IF($Z285="",0,Shares!L285)</f>
        <v>0</v>
      </c>
      <c r="AH285" s="267">
        <f>IF($Z285="",0,Shares!M285)</f>
        <v>0</v>
      </c>
      <c r="AI285" s="243" t="str">
        <f>IF($Z285="","",RANK(AE285,$AE$2:$AE$1001)+COUNTIF($AE$2:AE285,AE285)-1)</f>
        <v/>
      </c>
      <c r="AJ285" s="243" t="str">
        <f>IF($AD285&lt;0,COUNT($AJ$1:AJ284)+1,"")</f>
        <v/>
      </c>
      <c r="AL285" s="243" t="str">
        <f>'All Ticker P&amp;L'!A285</f>
        <v/>
      </c>
      <c r="AM285" s="243" t="str">
        <f>'All Ticker P&amp;L'!B285</f>
        <v/>
      </c>
      <c r="AN285" s="243" t="str">
        <f>'All Ticker P&amp;L'!C285</f>
        <v/>
      </c>
      <c r="AO285" s="243" t="str">
        <f>'All Ticker P&amp;L'!D285</f>
        <v/>
      </c>
      <c r="AP285" s="243">
        <f>IF($AL285="",0,'All Ticker P&amp;L'!E285)</f>
        <v>0</v>
      </c>
      <c r="AQ285" s="266">
        <f>IF($AL285="",0,'All Ticker P&amp;L'!J285*'All Ticker P&amp;L'!I285)</f>
        <v>0</v>
      </c>
      <c r="AR285" s="266">
        <f>IF($AL285="",0,'All Ticker P&amp;L'!L285)</f>
        <v>0</v>
      </c>
      <c r="AS285" s="267">
        <f>IF($AL285="",0,'All Ticker P&amp;L'!M285)</f>
        <v>0</v>
      </c>
      <c r="AT285" s="243" t="str">
        <f>IF($AL285="","",RANK(AR285,$AR$2:$AR$1001)+COUNTIF($AR$2:AR285,AR285)-1)</f>
        <v/>
      </c>
      <c r="AU285" s="243" t="str">
        <f>IF($AL285="","",RANK(AV285,$AV$2:$AV$1001)+COUNTIF($AV$2:AV285,AV285)-1)</f>
        <v/>
      </c>
      <c r="AV285" s="266">
        <f t="shared" si="40"/>
        <v>0</v>
      </c>
    </row>
    <row r="286" spans="26:48" ht="15" customHeight="1" x14ac:dyDescent="0.2">
      <c r="Z286" s="243" t="str">
        <f>Shares!A286</f>
        <v/>
      </c>
      <c r="AA286" s="243" t="str">
        <f>Shares!B286</f>
        <v/>
      </c>
      <c r="AB286" s="243" t="str">
        <f>Shares!C286</f>
        <v/>
      </c>
      <c r="AC286" s="243" t="str">
        <f>Shares!D286</f>
        <v/>
      </c>
      <c r="AD286" s="243">
        <f>IF($Z286="",0,Shares!E286)</f>
        <v>0</v>
      </c>
      <c r="AE286" s="266">
        <f>IF($Z286="",0,Shares!J286*Shares!I286)</f>
        <v>0</v>
      </c>
      <c r="AF286" s="267">
        <f t="shared" si="39"/>
        <v>0</v>
      </c>
      <c r="AG286" s="266">
        <f>IF($Z286="",0,Shares!L286)</f>
        <v>0</v>
      </c>
      <c r="AH286" s="267">
        <f>IF($Z286="",0,Shares!M286)</f>
        <v>0</v>
      </c>
      <c r="AI286" s="243" t="str">
        <f>IF($Z286="","",RANK(AE286,$AE$2:$AE$1001)+COUNTIF($AE$2:AE286,AE286)-1)</f>
        <v/>
      </c>
      <c r="AJ286" s="243" t="str">
        <f>IF($AD286&lt;0,COUNT($AJ$1:AJ285)+1,"")</f>
        <v/>
      </c>
      <c r="AL286" s="243" t="str">
        <f>'All Ticker P&amp;L'!A286</f>
        <v/>
      </c>
      <c r="AM286" s="243" t="str">
        <f>'All Ticker P&amp;L'!B286</f>
        <v/>
      </c>
      <c r="AN286" s="243" t="str">
        <f>'All Ticker P&amp;L'!C286</f>
        <v/>
      </c>
      <c r="AO286" s="243" t="str">
        <f>'All Ticker P&amp;L'!D286</f>
        <v/>
      </c>
      <c r="AP286" s="243">
        <f>IF($AL286="",0,'All Ticker P&amp;L'!E286)</f>
        <v>0</v>
      </c>
      <c r="AQ286" s="266">
        <f>IF($AL286="",0,'All Ticker P&amp;L'!J286*'All Ticker P&amp;L'!I286)</f>
        <v>0</v>
      </c>
      <c r="AR286" s="266">
        <f>IF($AL286="",0,'All Ticker P&amp;L'!L286)</f>
        <v>0</v>
      </c>
      <c r="AS286" s="267">
        <f>IF($AL286="",0,'All Ticker P&amp;L'!M286)</f>
        <v>0</v>
      </c>
      <c r="AT286" s="243" t="str">
        <f>IF($AL286="","",RANK(AR286,$AR$2:$AR$1001)+COUNTIF($AR$2:AR286,AR286)-1)</f>
        <v/>
      </c>
      <c r="AU286" s="243" t="str">
        <f>IF($AL286="","",RANK(AV286,$AV$2:$AV$1001)+COUNTIF($AV$2:AV286,AV286)-1)</f>
        <v/>
      </c>
      <c r="AV286" s="266">
        <f t="shared" si="40"/>
        <v>0</v>
      </c>
    </row>
    <row r="287" spans="26:48" ht="15" customHeight="1" x14ac:dyDescent="0.2">
      <c r="Z287" s="243" t="str">
        <f>Shares!A287</f>
        <v/>
      </c>
      <c r="AA287" s="243" t="str">
        <f>Shares!B287</f>
        <v/>
      </c>
      <c r="AB287" s="243" t="str">
        <f>Shares!C287</f>
        <v/>
      </c>
      <c r="AC287" s="243" t="str">
        <f>Shares!D287</f>
        <v/>
      </c>
      <c r="AD287" s="243">
        <f>IF($Z287="",0,Shares!E287)</f>
        <v>0</v>
      </c>
      <c r="AE287" s="266">
        <f>IF($Z287="",0,Shares!J287*Shares!I287)</f>
        <v>0</v>
      </c>
      <c r="AF287" s="267">
        <f t="shared" si="39"/>
        <v>0</v>
      </c>
      <c r="AG287" s="266">
        <f>IF($Z287="",0,Shares!L287)</f>
        <v>0</v>
      </c>
      <c r="AH287" s="267">
        <f>IF($Z287="",0,Shares!M287)</f>
        <v>0</v>
      </c>
      <c r="AI287" s="243" t="str">
        <f>IF($Z287="","",RANK(AE287,$AE$2:$AE$1001)+COUNTIF($AE$2:AE287,AE287)-1)</f>
        <v/>
      </c>
      <c r="AJ287" s="243" t="str">
        <f>IF($AD287&lt;0,COUNT($AJ$1:AJ286)+1,"")</f>
        <v/>
      </c>
      <c r="AL287" s="243" t="str">
        <f>'All Ticker P&amp;L'!A287</f>
        <v/>
      </c>
      <c r="AM287" s="243" t="str">
        <f>'All Ticker P&amp;L'!B287</f>
        <v/>
      </c>
      <c r="AN287" s="243" t="str">
        <f>'All Ticker P&amp;L'!C287</f>
        <v/>
      </c>
      <c r="AO287" s="243" t="str">
        <f>'All Ticker P&amp;L'!D287</f>
        <v/>
      </c>
      <c r="AP287" s="243">
        <f>IF($AL287="",0,'All Ticker P&amp;L'!E287)</f>
        <v>0</v>
      </c>
      <c r="AQ287" s="266">
        <f>IF($AL287="",0,'All Ticker P&amp;L'!J287*'All Ticker P&amp;L'!I287)</f>
        <v>0</v>
      </c>
      <c r="AR287" s="266">
        <f>IF($AL287="",0,'All Ticker P&amp;L'!L287)</f>
        <v>0</v>
      </c>
      <c r="AS287" s="267">
        <f>IF($AL287="",0,'All Ticker P&amp;L'!M287)</f>
        <v>0</v>
      </c>
      <c r="AT287" s="243" t="str">
        <f>IF($AL287="","",RANK(AR287,$AR$2:$AR$1001)+COUNTIF($AR$2:AR287,AR287)-1)</f>
        <v/>
      </c>
      <c r="AU287" s="243" t="str">
        <f>IF($AL287="","",RANK(AV287,$AV$2:$AV$1001)+COUNTIF($AV$2:AV287,AV287)-1)</f>
        <v/>
      </c>
      <c r="AV287" s="266">
        <f t="shared" si="40"/>
        <v>0</v>
      </c>
    </row>
    <row r="288" spans="26:48" ht="15" customHeight="1" x14ac:dyDescent="0.2">
      <c r="Z288" s="243" t="str">
        <f>Shares!A288</f>
        <v/>
      </c>
      <c r="AA288" s="243" t="str">
        <f>Shares!B288</f>
        <v/>
      </c>
      <c r="AB288" s="243" t="str">
        <f>Shares!C288</f>
        <v/>
      </c>
      <c r="AC288" s="243" t="str">
        <f>Shares!D288</f>
        <v/>
      </c>
      <c r="AD288" s="243">
        <f>IF($Z288="",0,Shares!E288)</f>
        <v>0</v>
      </c>
      <c r="AE288" s="266">
        <f>IF($Z288="",0,Shares!J288*Shares!I288)</f>
        <v>0</v>
      </c>
      <c r="AF288" s="267">
        <f t="shared" si="39"/>
        <v>0</v>
      </c>
      <c r="AG288" s="266">
        <f>IF($Z288="",0,Shares!L288)</f>
        <v>0</v>
      </c>
      <c r="AH288" s="267">
        <f>IF($Z288="",0,Shares!M288)</f>
        <v>0</v>
      </c>
      <c r="AI288" s="243" t="str">
        <f>IF($Z288="","",RANK(AE288,$AE$2:$AE$1001)+COUNTIF($AE$2:AE288,AE288)-1)</f>
        <v/>
      </c>
      <c r="AJ288" s="243" t="str">
        <f>IF($AD288&lt;0,COUNT($AJ$1:AJ287)+1,"")</f>
        <v/>
      </c>
      <c r="AL288" s="243" t="str">
        <f>'All Ticker P&amp;L'!A288</f>
        <v/>
      </c>
      <c r="AM288" s="243" t="str">
        <f>'All Ticker P&amp;L'!B288</f>
        <v/>
      </c>
      <c r="AN288" s="243" t="str">
        <f>'All Ticker P&amp;L'!C288</f>
        <v/>
      </c>
      <c r="AO288" s="243" t="str">
        <f>'All Ticker P&amp;L'!D288</f>
        <v/>
      </c>
      <c r="AP288" s="243">
        <f>IF($AL288="",0,'All Ticker P&amp;L'!E288)</f>
        <v>0</v>
      </c>
      <c r="AQ288" s="266">
        <f>IF($AL288="",0,'All Ticker P&amp;L'!J288*'All Ticker P&amp;L'!I288)</f>
        <v>0</v>
      </c>
      <c r="AR288" s="266">
        <f>IF($AL288="",0,'All Ticker P&amp;L'!L288)</f>
        <v>0</v>
      </c>
      <c r="AS288" s="267">
        <f>IF($AL288="",0,'All Ticker P&amp;L'!M288)</f>
        <v>0</v>
      </c>
      <c r="AT288" s="243" t="str">
        <f>IF($AL288="","",RANK(AR288,$AR$2:$AR$1001)+COUNTIF($AR$2:AR288,AR288)-1)</f>
        <v/>
      </c>
      <c r="AU288" s="243" t="str">
        <f>IF($AL288="","",RANK(AV288,$AV$2:$AV$1001)+COUNTIF($AV$2:AV288,AV288)-1)</f>
        <v/>
      </c>
      <c r="AV288" s="266">
        <f t="shared" si="40"/>
        <v>0</v>
      </c>
    </row>
    <row r="289" spans="26:48" ht="15" customHeight="1" x14ac:dyDescent="0.2">
      <c r="Z289" s="243" t="str">
        <f>Shares!A289</f>
        <v/>
      </c>
      <c r="AA289" s="243" t="str">
        <f>Shares!B289</f>
        <v/>
      </c>
      <c r="AB289" s="243" t="str">
        <f>Shares!C289</f>
        <v/>
      </c>
      <c r="AC289" s="243" t="str">
        <f>Shares!D289</f>
        <v/>
      </c>
      <c r="AD289" s="243">
        <f>IF($Z289="",0,Shares!E289)</f>
        <v>0</v>
      </c>
      <c r="AE289" s="266">
        <f>IF($Z289="",0,Shares!J289*Shares!I289)</f>
        <v>0</v>
      </c>
      <c r="AF289" s="267">
        <f t="shared" si="39"/>
        <v>0</v>
      </c>
      <c r="AG289" s="266">
        <f>IF($Z289="",0,Shares!L289)</f>
        <v>0</v>
      </c>
      <c r="AH289" s="267">
        <f>IF($Z289="",0,Shares!M289)</f>
        <v>0</v>
      </c>
      <c r="AI289" s="243" t="str">
        <f>IF($Z289="","",RANK(AE289,$AE$2:$AE$1001)+COUNTIF($AE$2:AE289,AE289)-1)</f>
        <v/>
      </c>
      <c r="AJ289" s="243" t="str">
        <f>IF($AD289&lt;0,COUNT($AJ$1:AJ288)+1,"")</f>
        <v/>
      </c>
      <c r="AL289" s="243" t="str">
        <f>'All Ticker P&amp;L'!A289</f>
        <v/>
      </c>
      <c r="AM289" s="243" t="str">
        <f>'All Ticker P&amp;L'!B289</f>
        <v/>
      </c>
      <c r="AN289" s="243" t="str">
        <f>'All Ticker P&amp;L'!C289</f>
        <v/>
      </c>
      <c r="AO289" s="243" t="str">
        <f>'All Ticker P&amp;L'!D289</f>
        <v/>
      </c>
      <c r="AP289" s="243">
        <f>IF($AL289="",0,'All Ticker P&amp;L'!E289)</f>
        <v>0</v>
      </c>
      <c r="AQ289" s="266">
        <f>IF($AL289="",0,'All Ticker P&amp;L'!J289*'All Ticker P&amp;L'!I289)</f>
        <v>0</v>
      </c>
      <c r="AR289" s="266">
        <f>IF($AL289="",0,'All Ticker P&amp;L'!L289)</f>
        <v>0</v>
      </c>
      <c r="AS289" s="267">
        <f>IF($AL289="",0,'All Ticker P&amp;L'!M289)</f>
        <v>0</v>
      </c>
      <c r="AT289" s="243" t="str">
        <f>IF($AL289="","",RANK(AR289,$AR$2:$AR$1001)+COUNTIF($AR$2:AR289,AR289)-1)</f>
        <v/>
      </c>
      <c r="AU289" s="243" t="str">
        <f>IF($AL289="","",RANK(AV289,$AV$2:$AV$1001)+COUNTIF($AV$2:AV289,AV289)-1)</f>
        <v/>
      </c>
      <c r="AV289" s="266">
        <f t="shared" si="40"/>
        <v>0</v>
      </c>
    </row>
    <row r="290" spans="26:48" ht="15" customHeight="1" x14ac:dyDescent="0.2">
      <c r="Z290" s="243" t="str">
        <f>Shares!A290</f>
        <v/>
      </c>
      <c r="AA290" s="243" t="str">
        <f>Shares!B290</f>
        <v/>
      </c>
      <c r="AB290" s="243" t="str">
        <f>Shares!C290</f>
        <v/>
      </c>
      <c r="AC290" s="243" t="str">
        <f>Shares!D290</f>
        <v/>
      </c>
      <c r="AD290" s="243">
        <f>IF($Z290="",0,Shares!E290)</f>
        <v>0</v>
      </c>
      <c r="AE290" s="266">
        <f>IF($Z290="",0,Shares!J290*Shares!I290)</f>
        <v>0</v>
      </c>
      <c r="AF290" s="267">
        <f t="shared" si="39"/>
        <v>0</v>
      </c>
      <c r="AG290" s="266">
        <f>IF($Z290="",0,Shares!L290)</f>
        <v>0</v>
      </c>
      <c r="AH290" s="267">
        <f>IF($Z290="",0,Shares!M290)</f>
        <v>0</v>
      </c>
      <c r="AI290" s="243" t="str">
        <f>IF($Z290="","",RANK(AE290,$AE$2:$AE$1001)+COUNTIF($AE$2:AE290,AE290)-1)</f>
        <v/>
      </c>
      <c r="AJ290" s="243" t="str">
        <f>IF($AD290&lt;0,COUNT($AJ$1:AJ289)+1,"")</f>
        <v/>
      </c>
      <c r="AL290" s="243" t="str">
        <f>'All Ticker P&amp;L'!A290</f>
        <v/>
      </c>
      <c r="AM290" s="243" t="str">
        <f>'All Ticker P&amp;L'!B290</f>
        <v/>
      </c>
      <c r="AN290" s="243" t="str">
        <f>'All Ticker P&amp;L'!C290</f>
        <v/>
      </c>
      <c r="AO290" s="243" t="str">
        <f>'All Ticker P&amp;L'!D290</f>
        <v/>
      </c>
      <c r="AP290" s="243">
        <f>IF($AL290="",0,'All Ticker P&amp;L'!E290)</f>
        <v>0</v>
      </c>
      <c r="AQ290" s="266">
        <f>IF($AL290="",0,'All Ticker P&amp;L'!J290*'All Ticker P&amp;L'!I290)</f>
        <v>0</v>
      </c>
      <c r="AR290" s="266">
        <f>IF($AL290="",0,'All Ticker P&amp;L'!L290)</f>
        <v>0</v>
      </c>
      <c r="AS290" s="267">
        <f>IF($AL290="",0,'All Ticker P&amp;L'!M290)</f>
        <v>0</v>
      </c>
      <c r="AT290" s="243" t="str">
        <f>IF($AL290="","",RANK(AR290,$AR$2:$AR$1001)+COUNTIF($AR$2:AR290,AR290)-1)</f>
        <v/>
      </c>
      <c r="AU290" s="243" t="str">
        <f>IF($AL290="","",RANK(AV290,$AV$2:$AV$1001)+COUNTIF($AV$2:AV290,AV290)-1)</f>
        <v/>
      </c>
      <c r="AV290" s="266">
        <f t="shared" si="40"/>
        <v>0</v>
      </c>
    </row>
    <row r="291" spans="26:48" ht="15" customHeight="1" x14ac:dyDescent="0.2">
      <c r="Z291" s="243" t="str">
        <f>Shares!A291</f>
        <v/>
      </c>
      <c r="AA291" s="243" t="str">
        <f>Shares!B291</f>
        <v/>
      </c>
      <c r="AB291" s="243" t="str">
        <f>Shares!C291</f>
        <v/>
      </c>
      <c r="AC291" s="243" t="str">
        <f>Shares!D291</f>
        <v/>
      </c>
      <c r="AD291" s="243">
        <f>IF($Z291="",0,Shares!E291)</f>
        <v>0</v>
      </c>
      <c r="AE291" s="266">
        <f>IF($Z291="",0,Shares!J291*Shares!I291)</f>
        <v>0</v>
      </c>
      <c r="AF291" s="267">
        <f t="shared" si="39"/>
        <v>0</v>
      </c>
      <c r="AG291" s="266">
        <f>IF($Z291="",0,Shares!L291)</f>
        <v>0</v>
      </c>
      <c r="AH291" s="267">
        <f>IF($Z291="",0,Shares!M291)</f>
        <v>0</v>
      </c>
      <c r="AI291" s="243" t="str">
        <f>IF($Z291="","",RANK(AE291,$AE$2:$AE$1001)+COUNTIF($AE$2:AE291,AE291)-1)</f>
        <v/>
      </c>
      <c r="AJ291" s="243" t="str">
        <f>IF($AD291&lt;0,COUNT($AJ$1:AJ290)+1,"")</f>
        <v/>
      </c>
      <c r="AL291" s="243" t="str">
        <f>'All Ticker P&amp;L'!A291</f>
        <v/>
      </c>
      <c r="AM291" s="243" t="str">
        <f>'All Ticker P&amp;L'!B291</f>
        <v/>
      </c>
      <c r="AN291" s="243" t="str">
        <f>'All Ticker P&amp;L'!C291</f>
        <v/>
      </c>
      <c r="AO291" s="243" t="str">
        <f>'All Ticker P&amp;L'!D291</f>
        <v/>
      </c>
      <c r="AP291" s="243">
        <f>IF($AL291="",0,'All Ticker P&amp;L'!E291)</f>
        <v>0</v>
      </c>
      <c r="AQ291" s="266">
        <f>IF($AL291="",0,'All Ticker P&amp;L'!J291*'All Ticker P&amp;L'!I291)</f>
        <v>0</v>
      </c>
      <c r="AR291" s="266">
        <f>IF($AL291="",0,'All Ticker P&amp;L'!L291)</f>
        <v>0</v>
      </c>
      <c r="AS291" s="267">
        <f>IF($AL291="",0,'All Ticker P&amp;L'!M291)</f>
        <v>0</v>
      </c>
      <c r="AT291" s="243" t="str">
        <f>IF($AL291="","",RANK(AR291,$AR$2:$AR$1001)+COUNTIF($AR$2:AR291,AR291)-1)</f>
        <v/>
      </c>
      <c r="AU291" s="243" t="str">
        <f>IF($AL291="","",RANK(AV291,$AV$2:$AV$1001)+COUNTIF($AV$2:AV291,AV291)-1)</f>
        <v/>
      </c>
      <c r="AV291" s="266">
        <f t="shared" si="40"/>
        <v>0</v>
      </c>
    </row>
    <row r="292" spans="26:48" ht="15" customHeight="1" x14ac:dyDescent="0.2">
      <c r="Z292" s="243" t="str">
        <f>Shares!A292</f>
        <v/>
      </c>
      <c r="AA292" s="243" t="str">
        <f>Shares!B292</f>
        <v/>
      </c>
      <c r="AB292" s="243" t="str">
        <f>Shares!C292</f>
        <v/>
      </c>
      <c r="AC292" s="243" t="str">
        <f>Shares!D292</f>
        <v/>
      </c>
      <c r="AD292" s="243">
        <f>IF($Z292="",0,Shares!E292)</f>
        <v>0</v>
      </c>
      <c r="AE292" s="266">
        <f>IF($Z292="",0,Shares!J292*Shares!I292)</f>
        <v>0</v>
      </c>
      <c r="AF292" s="267">
        <f t="shared" si="39"/>
        <v>0</v>
      </c>
      <c r="AG292" s="266">
        <f>IF($Z292="",0,Shares!L292)</f>
        <v>0</v>
      </c>
      <c r="AH292" s="267">
        <f>IF($Z292="",0,Shares!M292)</f>
        <v>0</v>
      </c>
      <c r="AI292" s="243" t="str">
        <f>IF($Z292="","",RANK(AE292,$AE$2:$AE$1001)+COUNTIF($AE$2:AE292,AE292)-1)</f>
        <v/>
      </c>
      <c r="AJ292" s="243" t="str">
        <f>IF($AD292&lt;0,COUNT($AJ$1:AJ291)+1,"")</f>
        <v/>
      </c>
      <c r="AL292" s="243" t="str">
        <f>'All Ticker P&amp;L'!A292</f>
        <v/>
      </c>
      <c r="AM292" s="243" t="str">
        <f>'All Ticker P&amp;L'!B292</f>
        <v/>
      </c>
      <c r="AN292" s="243" t="str">
        <f>'All Ticker P&amp;L'!C292</f>
        <v/>
      </c>
      <c r="AO292" s="243" t="str">
        <f>'All Ticker P&amp;L'!D292</f>
        <v/>
      </c>
      <c r="AP292" s="243">
        <f>IF($AL292="",0,'All Ticker P&amp;L'!E292)</f>
        <v>0</v>
      </c>
      <c r="AQ292" s="266">
        <f>IF($AL292="",0,'All Ticker P&amp;L'!J292*'All Ticker P&amp;L'!I292)</f>
        <v>0</v>
      </c>
      <c r="AR292" s="266">
        <f>IF($AL292="",0,'All Ticker P&amp;L'!L292)</f>
        <v>0</v>
      </c>
      <c r="AS292" s="267">
        <f>IF($AL292="",0,'All Ticker P&amp;L'!M292)</f>
        <v>0</v>
      </c>
      <c r="AT292" s="243" t="str">
        <f>IF($AL292="","",RANK(AR292,$AR$2:$AR$1001)+COUNTIF($AR$2:AR292,AR292)-1)</f>
        <v/>
      </c>
      <c r="AU292" s="243" t="str">
        <f>IF($AL292="","",RANK(AV292,$AV$2:$AV$1001)+COUNTIF($AV$2:AV292,AV292)-1)</f>
        <v/>
      </c>
      <c r="AV292" s="266">
        <f t="shared" si="40"/>
        <v>0</v>
      </c>
    </row>
    <row r="293" spans="26:48" ht="15" customHeight="1" x14ac:dyDescent="0.2">
      <c r="Z293" s="243" t="str">
        <f>Shares!A293</f>
        <v/>
      </c>
      <c r="AA293" s="243" t="str">
        <f>Shares!B293</f>
        <v/>
      </c>
      <c r="AB293" s="243" t="str">
        <f>Shares!C293</f>
        <v/>
      </c>
      <c r="AC293" s="243" t="str">
        <f>Shares!D293</f>
        <v/>
      </c>
      <c r="AD293" s="243">
        <f>IF($Z293="",0,Shares!E293)</f>
        <v>0</v>
      </c>
      <c r="AE293" s="266">
        <f>IF($Z293="",0,Shares!J293*Shares!I293)</f>
        <v>0</v>
      </c>
      <c r="AF293" s="267">
        <f t="shared" si="39"/>
        <v>0</v>
      </c>
      <c r="AG293" s="266">
        <f>IF($Z293="",0,Shares!L293)</f>
        <v>0</v>
      </c>
      <c r="AH293" s="267">
        <f>IF($Z293="",0,Shares!M293)</f>
        <v>0</v>
      </c>
      <c r="AI293" s="243" t="str">
        <f>IF($Z293="","",RANK(AE293,$AE$2:$AE$1001)+COUNTIF($AE$2:AE293,AE293)-1)</f>
        <v/>
      </c>
      <c r="AJ293" s="243" t="str">
        <f>IF($AD293&lt;0,COUNT($AJ$1:AJ292)+1,"")</f>
        <v/>
      </c>
      <c r="AL293" s="243" t="str">
        <f>'All Ticker P&amp;L'!A293</f>
        <v/>
      </c>
      <c r="AM293" s="243" t="str">
        <f>'All Ticker P&amp;L'!B293</f>
        <v/>
      </c>
      <c r="AN293" s="243" t="str">
        <f>'All Ticker P&amp;L'!C293</f>
        <v/>
      </c>
      <c r="AO293" s="243" t="str">
        <f>'All Ticker P&amp;L'!D293</f>
        <v/>
      </c>
      <c r="AP293" s="243">
        <f>IF($AL293="",0,'All Ticker P&amp;L'!E293)</f>
        <v>0</v>
      </c>
      <c r="AQ293" s="266">
        <f>IF($AL293="",0,'All Ticker P&amp;L'!J293*'All Ticker P&amp;L'!I293)</f>
        <v>0</v>
      </c>
      <c r="AR293" s="266">
        <f>IF($AL293="",0,'All Ticker P&amp;L'!L293)</f>
        <v>0</v>
      </c>
      <c r="AS293" s="267">
        <f>IF($AL293="",0,'All Ticker P&amp;L'!M293)</f>
        <v>0</v>
      </c>
      <c r="AT293" s="243" t="str">
        <f>IF($AL293="","",RANK(AR293,$AR$2:$AR$1001)+COUNTIF($AR$2:AR293,AR293)-1)</f>
        <v/>
      </c>
      <c r="AU293" s="243" t="str">
        <f>IF($AL293="","",RANK(AV293,$AV$2:$AV$1001)+COUNTIF($AV$2:AV293,AV293)-1)</f>
        <v/>
      </c>
      <c r="AV293" s="266">
        <f t="shared" si="40"/>
        <v>0</v>
      </c>
    </row>
    <row r="294" spans="26:48" ht="15" customHeight="1" x14ac:dyDescent="0.2">
      <c r="Z294" s="243" t="str">
        <f>Shares!A294</f>
        <v/>
      </c>
      <c r="AA294" s="243" t="str">
        <f>Shares!B294</f>
        <v/>
      </c>
      <c r="AB294" s="243" t="str">
        <f>Shares!C294</f>
        <v/>
      </c>
      <c r="AC294" s="243" t="str">
        <f>Shares!D294</f>
        <v/>
      </c>
      <c r="AD294" s="243">
        <f>IF($Z294="",0,Shares!E294)</f>
        <v>0</v>
      </c>
      <c r="AE294" s="266">
        <f>IF($Z294="",0,Shares!J294*Shares!I294)</f>
        <v>0</v>
      </c>
      <c r="AF294" s="267">
        <f t="shared" si="39"/>
        <v>0</v>
      </c>
      <c r="AG294" s="266">
        <f>IF($Z294="",0,Shares!L294)</f>
        <v>0</v>
      </c>
      <c r="AH294" s="267">
        <f>IF($Z294="",0,Shares!M294)</f>
        <v>0</v>
      </c>
      <c r="AI294" s="243" t="str">
        <f>IF($Z294="","",RANK(AE294,$AE$2:$AE$1001)+COUNTIF($AE$2:AE294,AE294)-1)</f>
        <v/>
      </c>
      <c r="AJ294" s="243" t="str">
        <f>IF($AD294&lt;0,COUNT($AJ$1:AJ293)+1,"")</f>
        <v/>
      </c>
      <c r="AL294" s="243" t="str">
        <f>'All Ticker P&amp;L'!A294</f>
        <v/>
      </c>
      <c r="AM294" s="243" t="str">
        <f>'All Ticker P&amp;L'!B294</f>
        <v/>
      </c>
      <c r="AN294" s="243" t="str">
        <f>'All Ticker P&amp;L'!C294</f>
        <v/>
      </c>
      <c r="AO294" s="243" t="str">
        <f>'All Ticker P&amp;L'!D294</f>
        <v/>
      </c>
      <c r="AP294" s="243">
        <f>IF($AL294="",0,'All Ticker P&amp;L'!E294)</f>
        <v>0</v>
      </c>
      <c r="AQ294" s="266">
        <f>IF($AL294="",0,'All Ticker P&amp;L'!J294*'All Ticker P&amp;L'!I294)</f>
        <v>0</v>
      </c>
      <c r="AR294" s="266">
        <f>IF($AL294="",0,'All Ticker P&amp;L'!L294)</f>
        <v>0</v>
      </c>
      <c r="AS294" s="267">
        <f>IF($AL294="",0,'All Ticker P&amp;L'!M294)</f>
        <v>0</v>
      </c>
      <c r="AT294" s="243" t="str">
        <f>IF($AL294="","",RANK(AR294,$AR$2:$AR$1001)+COUNTIF($AR$2:AR294,AR294)-1)</f>
        <v/>
      </c>
      <c r="AU294" s="243" t="str">
        <f>IF($AL294="","",RANK(AV294,$AV$2:$AV$1001)+COUNTIF($AV$2:AV294,AV294)-1)</f>
        <v/>
      </c>
      <c r="AV294" s="266">
        <f t="shared" si="40"/>
        <v>0</v>
      </c>
    </row>
    <row r="295" spans="26:48" ht="15" customHeight="1" x14ac:dyDescent="0.2">
      <c r="Z295" s="243" t="str">
        <f>Shares!A295</f>
        <v/>
      </c>
      <c r="AA295" s="243" t="str">
        <f>Shares!B295</f>
        <v/>
      </c>
      <c r="AB295" s="243" t="str">
        <f>Shares!C295</f>
        <v/>
      </c>
      <c r="AC295" s="243" t="str">
        <f>Shares!D295</f>
        <v/>
      </c>
      <c r="AD295" s="243">
        <f>IF($Z295="",0,Shares!E295)</f>
        <v>0</v>
      </c>
      <c r="AE295" s="266">
        <f>IF($Z295="",0,Shares!J295*Shares!I295)</f>
        <v>0</v>
      </c>
      <c r="AF295" s="267">
        <f t="shared" si="39"/>
        <v>0</v>
      </c>
      <c r="AG295" s="266">
        <f>IF($Z295="",0,Shares!L295)</f>
        <v>0</v>
      </c>
      <c r="AH295" s="267">
        <f>IF($Z295="",0,Shares!M295)</f>
        <v>0</v>
      </c>
      <c r="AI295" s="243" t="str">
        <f>IF($Z295="","",RANK(AE295,$AE$2:$AE$1001)+COUNTIF($AE$2:AE295,AE295)-1)</f>
        <v/>
      </c>
      <c r="AJ295" s="243" t="str">
        <f>IF($AD295&lt;0,COUNT($AJ$1:AJ294)+1,"")</f>
        <v/>
      </c>
      <c r="AL295" s="243" t="str">
        <f>'All Ticker P&amp;L'!A295</f>
        <v/>
      </c>
      <c r="AM295" s="243" t="str">
        <f>'All Ticker P&amp;L'!B295</f>
        <v/>
      </c>
      <c r="AN295" s="243" t="str">
        <f>'All Ticker P&amp;L'!C295</f>
        <v/>
      </c>
      <c r="AO295" s="243" t="str">
        <f>'All Ticker P&amp;L'!D295</f>
        <v/>
      </c>
      <c r="AP295" s="243">
        <f>IF($AL295="",0,'All Ticker P&amp;L'!E295)</f>
        <v>0</v>
      </c>
      <c r="AQ295" s="266">
        <f>IF($AL295="",0,'All Ticker P&amp;L'!J295*'All Ticker P&amp;L'!I295)</f>
        <v>0</v>
      </c>
      <c r="AR295" s="266">
        <f>IF($AL295="",0,'All Ticker P&amp;L'!L295)</f>
        <v>0</v>
      </c>
      <c r="AS295" s="267">
        <f>IF($AL295="",0,'All Ticker P&amp;L'!M295)</f>
        <v>0</v>
      </c>
      <c r="AT295" s="243" t="str">
        <f>IF($AL295="","",RANK(AR295,$AR$2:$AR$1001)+COUNTIF($AR$2:AR295,AR295)-1)</f>
        <v/>
      </c>
      <c r="AU295" s="243" t="str">
        <f>IF($AL295="","",RANK(AV295,$AV$2:$AV$1001)+COUNTIF($AV$2:AV295,AV295)-1)</f>
        <v/>
      </c>
      <c r="AV295" s="266">
        <f t="shared" si="40"/>
        <v>0</v>
      </c>
    </row>
    <row r="296" spans="26:48" ht="15" customHeight="1" x14ac:dyDescent="0.2">
      <c r="Z296" s="243" t="str">
        <f>Shares!A296</f>
        <v/>
      </c>
      <c r="AA296" s="243" t="str">
        <f>Shares!B296</f>
        <v/>
      </c>
      <c r="AB296" s="243" t="str">
        <f>Shares!C296</f>
        <v/>
      </c>
      <c r="AC296" s="243" t="str">
        <f>Shares!D296</f>
        <v/>
      </c>
      <c r="AD296" s="243">
        <f>IF($Z296="",0,Shares!E296)</f>
        <v>0</v>
      </c>
      <c r="AE296" s="266">
        <f>IF($Z296="",0,Shares!J296*Shares!I296)</f>
        <v>0</v>
      </c>
      <c r="AF296" s="267">
        <f t="shared" si="39"/>
        <v>0</v>
      </c>
      <c r="AG296" s="266">
        <f>IF($Z296="",0,Shares!L296)</f>
        <v>0</v>
      </c>
      <c r="AH296" s="267">
        <f>IF($Z296="",0,Shares!M296)</f>
        <v>0</v>
      </c>
      <c r="AI296" s="243" t="str">
        <f>IF($Z296="","",RANK(AE296,$AE$2:$AE$1001)+COUNTIF($AE$2:AE296,AE296)-1)</f>
        <v/>
      </c>
      <c r="AJ296" s="243" t="str">
        <f>IF($AD296&lt;0,COUNT($AJ$1:AJ295)+1,"")</f>
        <v/>
      </c>
      <c r="AL296" s="243" t="str">
        <f>'All Ticker P&amp;L'!A296</f>
        <v/>
      </c>
      <c r="AM296" s="243" t="str">
        <f>'All Ticker P&amp;L'!B296</f>
        <v/>
      </c>
      <c r="AN296" s="243" t="str">
        <f>'All Ticker P&amp;L'!C296</f>
        <v/>
      </c>
      <c r="AO296" s="243" t="str">
        <f>'All Ticker P&amp;L'!D296</f>
        <v/>
      </c>
      <c r="AP296" s="243">
        <f>IF($AL296="",0,'All Ticker P&amp;L'!E296)</f>
        <v>0</v>
      </c>
      <c r="AQ296" s="266">
        <f>IF($AL296="",0,'All Ticker P&amp;L'!J296*'All Ticker P&amp;L'!I296)</f>
        <v>0</v>
      </c>
      <c r="AR296" s="266">
        <f>IF($AL296="",0,'All Ticker P&amp;L'!L296)</f>
        <v>0</v>
      </c>
      <c r="AS296" s="267">
        <f>IF($AL296="",0,'All Ticker P&amp;L'!M296)</f>
        <v>0</v>
      </c>
      <c r="AT296" s="243" t="str">
        <f>IF($AL296="","",RANK(AR296,$AR$2:$AR$1001)+COUNTIF($AR$2:AR296,AR296)-1)</f>
        <v/>
      </c>
      <c r="AU296" s="243" t="str">
        <f>IF($AL296="","",RANK(AV296,$AV$2:$AV$1001)+COUNTIF($AV$2:AV296,AV296)-1)</f>
        <v/>
      </c>
      <c r="AV296" s="266">
        <f t="shared" si="40"/>
        <v>0</v>
      </c>
    </row>
    <row r="297" spans="26:48" ht="15" customHeight="1" x14ac:dyDescent="0.2">
      <c r="Z297" s="243" t="str">
        <f>Shares!A297</f>
        <v/>
      </c>
      <c r="AA297" s="243" t="str">
        <f>Shares!B297</f>
        <v/>
      </c>
      <c r="AB297" s="243" t="str">
        <f>Shares!C297</f>
        <v/>
      </c>
      <c r="AC297" s="243" t="str">
        <f>Shares!D297</f>
        <v/>
      </c>
      <c r="AD297" s="243">
        <f>IF($Z297="",0,Shares!E297)</f>
        <v>0</v>
      </c>
      <c r="AE297" s="266">
        <f>IF($Z297="",0,Shares!J297*Shares!I297)</f>
        <v>0</v>
      </c>
      <c r="AF297" s="267">
        <f t="shared" si="39"/>
        <v>0</v>
      </c>
      <c r="AG297" s="266">
        <f>IF($Z297="",0,Shares!L297)</f>
        <v>0</v>
      </c>
      <c r="AH297" s="267">
        <f>IF($Z297="",0,Shares!M297)</f>
        <v>0</v>
      </c>
      <c r="AI297" s="243" t="str">
        <f>IF($Z297="","",RANK(AE297,$AE$2:$AE$1001)+COUNTIF($AE$2:AE297,AE297)-1)</f>
        <v/>
      </c>
      <c r="AJ297" s="243" t="str">
        <f>IF($AD297&lt;0,COUNT($AJ$1:AJ296)+1,"")</f>
        <v/>
      </c>
      <c r="AL297" s="243" t="str">
        <f>'All Ticker P&amp;L'!A297</f>
        <v/>
      </c>
      <c r="AM297" s="243" t="str">
        <f>'All Ticker P&amp;L'!B297</f>
        <v/>
      </c>
      <c r="AN297" s="243" t="str">
        <f>'All Ticker P&amp;L'!C297</f>
        <v/>
      </c>
      <c r="AO297" s="243" t="str">
        <f>'All Ticker P&amp;L'!D297</f>
        <v/>
      </c>
      <c r="AP297" s="243">
        <f>IF($AL297="",0,'All Ticker P&amp;L'!E297)</f>
        <v>0</v>
      </c>
      <c r="AQ297" s="266">
        <f>IF($AL297="",0,'All Ticker P&amp;L'!J297*'All Ticker P&amp;L'!I297)</f>
        <v>0</v>
      </c>
      <c r="AR297" s="266">
        <f>IF($AL297="",0,'All Ticker P&amp;L'!L297)</f>
        <v>0</v>
      </c>
      <c r="AS297" s="267">
        <f>IF($AL297="",0,'All Ticker P&amp;L'!M297)</f>
        <v>0</v>
      </c>
      <c r="AT297" s="243" t="str">
        <f>IF($AL297="","",RANK(AR297,$AR$2:$AR$1001)+COUNTIF($AR$2:AR297,AR297)-1)</f>
        <v/>
      </c>
      <c r="AU297" s="243" t="str">
        <f>IF($AL297="","",RANK(AV297,$AV$2:$AV$1001)+COUNTIF($AV$2:AV297,AV297)-1)</f>
        <v/>
      </c>
      <c r="AV297" s="266">
        <f t="shared" si="40"/>
        <v>0</v>
      </c>
    </row>
    <row r="298" spans="26:48" ht="15" customHeight="1" x14ac:dyDescent="0.2">
      <c r="Z298" s="243" t="str">
        <f>Shares!A298</f>
        <v/>
      </c>
      <c r="AA298" s="243" t="str">
        <f>Shares!B298</f>
        <v/>
      </c>
      <c r="AB298" s="243" t="str">
        <f>Shares!C298</f>
        <v/>
      </c>
      <c r="AC298" s="243" t="str">
        <f>Shares!D298</f>
        <v/>
      </c>
      <c r="AD298" s="243">
        <f>IF($Z298="",0,Shares!E298)</f>
        <v>0</v>
      </c>
      <c r="AE298" s="266">
        <f>IF($Z298="",0,Shares!J298*Shares!I298)</f>
        <v>0</v>
      </c>
      <c r="AF298" s="267">
        <f t="shared" si="39"/>
        <v>0</v>
      </c>
      <c r="AG298" s="266">
        <f>IF($Z298="",0,Shares!L298)</f>
        <v>0</v>
      </c>
      <c r="AH298" s="267">
        <f>IF($Z298="",0,Shares!M298)</f>
        <v>0</v>
      </c>
      <c r="AI298" s="243" t="str">
        <f>IF($Z298="","",RANK(AE298,$AE$2:$AE$1001)+COUNTIF($AE$2:AE298,AE298)-1)</f>
        <v/>
      </c>
      <c r="AJ298" s="243" t="str">
        <f>IF($AD298&lt;0,COUNT($AJ$1:AJ297)+1,"")</f>
        <v/>
      </c>
      <c r="AL298" s="243" t="str">
        <f>'All Ticker P&amp;L'!A298</f>
        <v/>
      </c>
      <c r="AM298" s="243" t="str">
        <f>'All Ticker P&amp;L'!B298</f>
        <v/>
      </c>
      <c r="AN298" s="243" t="str">
        <f>'All Ticker P&amp;L'!C298</f>
        <v/>
      </c>
      <c r="AO298" s="243" t="str">
        <f>'All Ticker P&amp;L'!D298</f>
        <v/>
      </c>
      <c r="AP298" s="243">
        <f>IF($AL298="",0,'All Ticker P&amp;L'!E298)</f>
        <v>0</v>
      </c>
      <c r="AQ298" s="266">
        <f>IF($AL298="",0,'All Ticker P&amp;L'!J298*'All Ticker P&amp;L'!I298)</f>
        <v>0</v>
      </c>
      <c r="AR298" s="266">
        <f>IF($AL298="",0,'All Ticker P&amp;L'!L298)</f>
        <v>0</v>
      </c>
      <c r="AS298" s="267">
        <f>IF($AL298="",0,'All Ticker P&amp;L'!M298)</f>
        <v>0</v>
      </c>
      <c r="AT298" s="243" t="str">
        <f>IF($AL298="","",RANK(AR298,$AR$2:$AR$1001)+COUNTIF($AR$2:AR298,AR298)-1)</f>
        <v/>
      </c>
      <c r="AU298" s="243" t="str">
        <f>IF($AL298="","",RANK(AV298,$AV$2:$AV$1001)+COUNTIF($AV$2:AV298,AV298)-1)</f>
        <v/>
      </c>
      <c r="AV298" s="266">
        <f t="shared" si="40"/>
        <v>0</v>
      </c>
    </row>
    <row r="299" spans="26:48" ht="15" customHeight="1" x14ac:dyDescent="0.2">
      <c r="Z299" s="243" t="str">
        <f>Shares!A299</f>
        <v/>
      </c>
      <c r="AA299" s="243" t="str">
        <f>Shares!B299</f>
        <v/>
      </c>
      <c r="AB299" s="243" t="str">
        <f>Shares!C299</f>
        <v/>
      </c>
      <c r="AC299" s="243" t="str">
        <f>Shares!D299</f>
        <v/>
      </c>
      <c r="AD299" s="243">
        <f>IF($Z299="",0,Shares!E299)</f>
        <v>0</v>
      </c>
      <c r="AE299" s="266">
        <f>IF($Z299="",0,Shares!J299*Shares!I299)</f>
        <v>0</v>
      </c>
      <c r="AF299" s="267">
        <f t="shared" si="39"/>
        <v>0</v>
      </c>
      <c r="AG299" s="266">
        <f>IF($Z299="",0,Shares!L299)</f>
        <v>0</v>
      </c>
      <c r="AH299" s="267">
        <f>IF($Z299="",0,Shares!M299)</f>
        <v>0</v>
      </c>
      <c r="AI299" s="243" t="str">
        <f>IF($Z299="","",RANK(AE299,$AE$2:$AE$1001)+COUNTIF($AE$2:AE299,AE299)-1)</f>
        <v/>
      </c>
      <c r="AJ299" s="243" t="str">
        <f>IF($AD299&lt;0,COUNT($AJ$1:AJ298)+1,"")</f>
        <v/>
      </c>
      <c r="AL299" s="243" t="str">
        <f>'All Ticker P&amp;L'!A299</f>
        <v/>
      </c>
      <c r="AM299" s="243" t="str">
        <f>'All Ticker P&amp;L'!B299</f>
        <v/>
      </c>
      <c r="AN299" s="243" t="str">
        <f>'All Ticker P&amp;L'!C299</f>
        <v/>
      </c>
      <c r="AO299" s="243" t="str">
        <f>'All Ticker P&amp;L'!D299</f>
        <v/>
      </c>
      <c r="AP299" s="243">
        <f>IF($AL299="",0,'All Ticker P&amp;L'!E299)</f>
        <v>0</v>
      </c>
      <c r="AQ299" s="266">
        <f>IF($AL299="",0,'All Ticker P&amp;L'!J299*'All Ticker P&amp;L'!I299)</f>
        <v>0</v>
      </c>
      <c r="AR299" s="266">
        <f>IF($AL299="",0,'All Ticker P&amp;L'!L299)</f>
        <v>0</v>
      </c>
      <c r="AS299" s="267">
        <f>IF($AL299="",0,'All Ticker P&amp;L'!M299)</f>
        <v>0</v>
      </c>
      <c r="AT299" s="243" t="str">
        <f>IF($AL299="","",RANK(AR299,$AR$2:$AR$1001)+COUNTIF($AR$2:AR299,AR299)-1)</f>
        <v/>
      </c>
      <c r="AU299" s="243" t="str">
        <f>IF($AL299="","",RANK(AV299,$AV$2:$AV$1001)+COUNTIF($AV$2:AV299,AV299)-1)</f>
        <v/>
      </c>
      <c r="AV299" s="266">
        <f t="shared" si="40"/>
        <v>0</v>
      </c>
    </row>
    <row r="300" spans="26:48" ht="15" customHeight="1" x14ac:dyDescent="0.2">
      <c r="Z300" s="243" t="str">
        <f>Shares!A300</f>
        <v/>
      </c>
      <c r="AA300" s="243" t="str">
        <f>Shares!B300</f>
        <v/>
      </c>
      <c r="AB300" s="243" t="str">
        <f>Shares!C300</f>
        <v/>
      </c>
      <c r="AC300" s="243" t="str">
        <f>Shares!D300</f>
        <v/>
      </c>
      <c r="AD300" s="243">
        <f>IF($Z300="",0,Shares!E300)</f>
        <v>0</v>
      </c>
      <c r="AE300" s="266">
        <f>IF($Z300="",0,Shares!J300*Shares!I300)</f>
        <v>0</v>
      </c>
      <c r="AF300" s="267">
        <f t="shared" si="39"/>
        <v>0</v>
      </c>
      <c r="AG300" s="266">
        <f>IF($Z300="",0,Shares!L300)</f>
        <v>0</v>
      </c>
      <c r="AH300" s="267">
        <f>IF($Z300="",0,Shares!M300)</f>
        <v>0</v>
      </c>
      <c r="AI300" s="243" t="str">
        <f>IF($Z300="","",RANK(AE300,$AE$2:$AE$1001)+COUNTIF($AE$2:AE300,AE300)-1)</f>
        <v/>
      </c>
      <c r="AJ300" s="243" t="str">
        <f>IF($AD300&lt;0,COUNT($AJ$1:AJ299)+1,"")</f>
        <v/>
      </c>
      <c r="AL300" s="243" t="str">
        <f>'All Ticker P&amp;L'!A300</f>
        <v/>
      </c>
      <c r="AM300" s="243" t="str">
        <f>'All Ticker P&amp;L'!B300</f>
        <v/>
      </c>
      <c r="AN300" s="243" t="str">
        <f>'All Ticker P&amp;L'!C300</f>
        <v/>
      </c>
      <c r="AO300" s="243" t="str">
        <f>'All Ticker P&amp;L'!D300</f>
        <v/>
      </c>
      <c r="AP300" s="243">
        <f>IF($AL300="",0,'All Ticker P&amp;L'!E300)</f>
        <v>0</v>
      </c>
      <c r="AQ300" s="266">
        <f>IF($AL300="",0,'All Ticker P&amp;L'!J300*'All Ticker P&amp;L'!I300)</f>
        <v>0</v>
      </c>
      <c r="AR300" s="266">
        <f>IF($AL300="",0,'All Ticker P&amp;L'!L300)</f>
        <v>0</v>
      </c>
      <c r="AS300" s="267">
        <f>IF($AL300="",0,'All Ticker P&amp;L'!M300)</f>
        <v>0</v>
      </c>
      <c r="AT300" s="243" t="str">
        <f>IF($AL300="","",RANK(AR300,$AR$2:$AR$1001)+COUNTIF($AR$2:AR300,AR300)-1)</f>
        <v/>
      </c>
      <c r="AU300" s="243" t="str">
        <f>IF($AL300="","",RANK(AV300,$AV$2:$AV$1001)+COUNTIF($AV$2:AV300,AV300)-1)</f>
        <v/>
      </c>
      <c r="AV300" s="266">
        <f t="shared" si="40"/>
        <v>0</v>
      </c>
    </row>
    <row r="301" spans="26:48" ht="15" customHeight="1" x14ac:dyDescent="0.2">
      <c r="Z301" s="243" t="str">
        <f>Shares!A301</f>
        <v/>
      </c>
      <c r="AA301" s="243" t="str">
        <f>Shares!B301</f>
        <v/>
      </c>
      <c r="AB301" s="243" t="str">
        <f>Shares!C301</f>
        <v/>
      </c>
      <c r="AC301" s="243" t="str">
        <f>Shares!D301</f>
        <v/>
      </c>
      <c r="AD301" s="243">
        <f>IF($Z301="",0,Shares!E301)</f>
        <v>0</v>
      </c>
      <c r="AE301" s="266">
        <f>IF($Z301="",0,Shares!J301*Shares!I301)</f>
        <v>0</v>
      </c>
      <c r="AF301" s="267">
        <f t="shared" si="39"/>
        <v>0</v>
      </c>
      <c r="AG301" s="266">
        <f>IF($Z301="",0,Shares!L301)</f>
        <v>0</v>
      </c>
      <c r="AH301" s="267">
        <f>IF($Z301="",0,Shares!M301)</f>
        <v>0</v>
      </c>
      <c r="AI301" s="243" t="str">
        <f>IF($Z301="","",RANK(AE301,$AE$2:$AE$1001)+COUNTIF($AE$2:AE301,AE301)-1)</f>
        <v/>
      </c>
      <c r="AJ301" s="243" t="str">
        <f>IF($AD301&lt;0,COUNT($AJ$1:AJ300)+1,"")</f>
        <v/>
      </c>
      <c r="AL301" s="243" t="str">
        <f>'All Ticker P&amp;L'!A301</f>
        <v/>
      </c>
      <c r="AM301" s="243" t="str">
        <f>'All Ticker P&amp;L'!B301</f>
        <v/>
      </c>
      <c r="AN301" s="243" t="str">
        <f>'All Ticker P&amp;L'!C301</f>
        <v/>
      </c>
      <c r="AO301" s="243" t="str">
        <f>'All Ticker P&amp;L'!D301</f>
        <v/>
      </c>
      <c r="AP301" s="243">
        <f>IF($AL301="",0,'All Ticker P&amp;L'!E301)</f>
        <v>0</v>
      </c>
      <c r="AQ301" s="266">
        <f>IF($AL301="",0,'All Ticker P&amp;L'!J301*'All Ticker P&amp;L'!I301)</f>
        <v>0</v>
      </c>
      <c r="AR301" s="266">
        <f>IF($AL301="",0,'All Ticker P&amp;L'!L301)</f>
        <v>0</v>
      </c>
      <c r="AS301" s="267">
        <f>IF($AL301="",0,'All Ticker P&amp;L'!M301)</f>
        <v>0</v>
      </c>
      <c r="AT301" s="243" t="str">
        <f>IF($AL301="","",RANK(AR301,$AR$2:$AR$1001)+COUNTIF($AR$2:AR301,AR301)-1)</f>
        <v/>
      </c>
      <c r="AU301" s="243" t="str">
        <f>IF($AL301="","",RANK(AV301,$AV$2:$AV$1001)+COUNTIF($AV$2:AV301,AV301)-1)</f>
        <v/>
      </c>
      <c r="AV301" s="266">
        <f t="shared" si="40"/>
        <v>0</v>
      </c>
    </row>
    <row r="302" spans="26:48" ht="15" customHeight="1" x14ac:dyDescent="0.2">
      <c r="Z302" s="243" t="str">
        <f>Shares!A302</f>
        <v/>
      </c>
      <c r="AA302" s="243" t="str">
        <f>Shares!B302</f>
        <v/>
      </c>
      <c r="AB302" s="243" t="str">
        <f>Shares!C302</f>
        <v/>
      </c>
      <c r="AC302" s="243" t="str">
        <f>Shares!D302</f>
        <v/>
      </c>
      <c r="AD302" s="243">
        <f>IF($Z302="",0,Shares!E302)</f>
        <v>0</v>
      </c>
      <c r="AE302" s="266">
        <f>IF($Z302="",0,Shares!J302*Shares!I302)</f>
        <v>0</v>
      </c>
      <c r="AF302" s="267">
        <f t="shared" si="39"/>
        <v>0</v>
      </c>
      <c r="AG302" s="266">
        <f>IF($Z302="",0,Shares!L302)</f>
        <v>0</v>
      </c>
      <c r="AH302" s="267">
        <f>IF($Z302="",0,Shares!M302)</f>
        <v>0</v>
      </c>
      <c r="AI302" s="243" t="str">
        <f>IF($Z302="","",RANK(AE302,$AE$2:$AE$1001)+COUNTIF($AE$2:AE302,AE302)-1)</f>
        <v/>
      </c>
      <c r="AJ302" s="243" t="str">
        <f>IF($AD302&lt;0,COUNT($AJ$1:AJ301)+1,"")</f>
        <v/>
      </c>
      <c r="AL302" s="243" t="str">
        <f>'All Ticker P&amp;L'!A302</f>
        <v/>
      </c>
      <c r="AM302" s="243" t="str">
        <f>'All Ticker P&amp;L'!B302</f>
        <v/>
      </c>
      <c r="AN302" s="243" t="str">
        <f>'All Ticker P&amp;L'!C302</f>
        <v/>
      </c>
      <c r="AO302" s="243" t="str">
        <f>'All Ticker P&amp;L'!D302</f>
        <v/>
      </c>
      <c r="AP302" s="243">
        <f>IF($AL302="",0,'All Ticker P&amp;L'!E302)</f>
        <v>0</v>
      </c>
      <c r="AQ302" s="266">
        <f>IF($AL302="",0,'All Ticker P&amp;L'!J302*'All Ticker P&amp;L'!I302)</f>
        <v>0</v>
      </c>
      <c r="AR302" s="266">
        <f>IF($AL302="",0,'All Ticker P&amp;L'!L302)</f>
        <v>0</v>
      </c>
      <c r="AS302" s="267">
        <f>IF($AL302="",0,'All Ticker P&amp;L'!M302)</f>
        <v>0</v>
      </c>
      <c r="AT302" s="243" t="str">
        <f>IF($AL302="","",RANK(AR302,$AR$2:$AR$1001)+COUNTIF($AR$2:AR302,AR302)-1)</f>
        <v/>
      </c>
      <c r="AU302" s="243" t="str">
        <f>IF($AL302="","",RANK(AV302,$AV$2:$AV$1001)+COUNTIF($AV$2:AV302,AV302)-1)</f>
        <v/>
      </c>
      <c r="AV302" s="266">
        <f t="shared" si="40"/>
        <v>0</v>
      </c>
    </row>
    <row r="303" spans="26:48" ht="15" customHeight="1" x14ac:dyDescent="0.2">
      <c r="Z303" s="243" t="str">
        <f>Shares!A303</f>
        <v/>
      </c>
      <c r="AA303" s="243" t="str">
        <f>Shares!B303</f>
        <v/>
      </c>
      <c r="AB303" s="243" t="str">
        <f>Shares!C303</f>
        <v/>
      </c>
      <c r="AC303" s="243" t="str">
        <f>Shares!D303</f>
        <v/>
      </c>
      <c r="AD303" s="243">
        <f>IF($Z303="",0,Shares!E303)</f>
        <v>0</v>
      </c>
      <c r="AE303" s="266">
        <f>IF($Z303="",0,Shares!J303*Shares!I303)</f>
        <v>0</v>
      </c>
      <c r="AF303" s="267">
        <f t="shared" si="39"/>
        <v>0</v>
      </c>
      <c r="AG303" s="266">
        <f>IF($Z303="",0,Shares!L303)</f>
        <v>0</v>
      </c>
      <c r="AH303" s="267">
        <f>IF($Z303="",0,Shares!M303)</f>
        <v>0</v>
      </c>
      <c r="AI303" s="243" t="str">
        <f>IF($Z303="","",RANK(AE303,$AE$2:$AE$1001)+COUNTIF($AE$2:AE303,AE303)-1)</f>
        <v/>
      </c>
      <c r="AJ303" s="243" t="str">
        <f>IF($AD303&lt;0,COUNT($AJ$1:AJ302)+1,"")</f>
        <v/>
      </c>
      <c r="AL303" s="243" t="str">
        <f>'All Ticker P&amp;L'!A303</f>
        <v/>
      </c>
      <c r="AM303" s="243" t="str">
        <f>'All Ticker P&amp;L'!B303</f>
        <v/>
      </c>
      <c r="AN303" s="243" t="str">
        <f>'All Ticker P&amp;L'!C303</f>
        <v/>
      </c>
      <c r="AO303" s="243" t="str">
        <f>'All Ticker P&amp;L'!D303</f>
        <v/>
      </c>
      <c r="AP303" s="243">
        <f>IF($AL303="",0,'All Ticker P&amp;L'!E303)</f>
        <v>0</v>
      </c>
      <c r="AQ303" s="266">
        <f>IF($AL303="",0,'All Ticker P&amp;L'!J303*'All Ticker P&amp;L'!I303)</f>
        <v>0</v>
      </c>
      <c r="AR303" s="266">
        <f>IF($AL303="",0,'All Ticker P&amp;L'!L303)</f>
        <v>0</v>
      </c>
      <c r="AS303" s="267">
        <f>IF($AL303="",0,'All Ticker P&amp;L'!M303)</f>
        <v>0</v>
      </c>
      <c r="AT303" s="243" t="str">
        <f>IF($AL303="","",RANK(AR303,$AR$2:$AR$1001)+COUNTIF($AR$2:AR303,AR303)-1)</f>
        <v/>
      </c>
      <c r="AU303" s="243" t="str">
        <f>IF($AL303="","",RANK(AV303,$AV$2:$AV$1001)+COUNTIF($AV$2:AV303,AV303)-1)</f>
        <v/>
      </c>
      <c r="AV303" s="266">
        <f t="shared" si="40"/>
        <v>0</v>
      </c>
    </row>
    <row r="304" spans="26:48" ht="15" customHeight="1" x14ac:dyDescent="0.2">
      <c r="Z304" s="243" t="str">
        <f>Shares!A304</f>
        <v/>
      </c>
      <c r="AA304" s="243" t="str">
        <f>Shares!B304</f>
        <v/>
      </c>
      <c r="AB304" s="243" t="str">
        <f>Shares!C304</f>
        <v/>
      </c>
      <c r="AC304" s="243" t="str">
        <f>Shares!D304</f>
        <v/>
      </c>
      <c r="AD304" s="243">
        <f>IF($Z304="",0,Shares!E304)</f>
        <v>0</v>
      </c>
      <c r="AE304" s="266">
        <f>IF($Z304="",0,Shares!J304*Shares!I304)</f>
        <v>0</v>
      </c>
      <c r="AF304" s="267">
        <f t="shared" si="39"/>
        <v>0</v>
      </c>
      <c r="AG304" s="266">
        <f>IF($Z304="",0,Shares!L304)</f>
        <v>0</v>
      </c>
      <c r="AH304" s="267">
        <f>IF($Z304="",0,Shares!M304)</f>
        <v>0</v>
      </c>
      <c r="AI304" s="243" t="str">
        <f>IF($Z304="","",RANK(AE304,$AE$2:$AE$1001)+COUNTIF($AE$2:AE304,AE304)-1)</f>
        <v/>
      </c>
      <c r="AJ304" s="243" t="str">
        <f>IF($AD304&lt;0,COUNT($AJ$1:AJ303)+1,"")</f>
        <v/>
      </c>
      <c r="AL304" s="243" t="str">
        <f>'All Ticker P&amp;L'!A304</f>
        <v/>
      </c>
      <c r="AM304" s="243" t="str">
        <f>'All Ticker P&amp;L'!B304</f>
        <v/>
      </c>
      <c r="AN304" s="243" t="str">
        <f>'All Ticker P&amp;L'!C304</f>
        <v/>
      </c>
      <c r="AO304" s="243" t="str">
        <f>'All Ticker P&amp;L'!D304</f>
        <v/>
      </c>
      <c r="AP304" s="243">
        <f>IF($AL304="",0,'All Ticker P&amp;L'!E304)</f>
        <v>0</v>
      </c>
      <c r="AQ304" s="266">
        <f>IF($AL304="",0,'All Ticker P&amp;L'!J304*'All Ticker P&amp;L'!I304)</f>
        <v>0</v>
      </c>
      <c r="AR304" s="266">
        <f>IF($AL304="",0,'All Ticker P&amp;L'!L304)</f>
        <v>0</v>
      </c>
      <c r="AS304" s="267">
        <f>IF($AL304="",0,'All Ticker P&amp;L'!M304)</f>
        <v>0</v>
      </c>
      <c r="AT304" s="243" t="str">
        <f>IF($AL304="","",RANK(AR304,$AR$2:$AR$1001)+COUNTIF($AR$2:AR304,AR304)-1)</f>
        <v/>
      </c>
      <c r="AU304" s="243" t="str">
        <f>IF($AL304="","",RANK(AV304,$AV$2:$AV$1001)+COUNTIF($AV$2:AV304,AV304)-1)</f>
        <v/>
      </c>
      <c r="AV304" s="266">
        <f t="shared" si="40"/>
        <v>0</v>
      </c>
    </row>
    <row r="305" spans="26:48" ht="15" customHeight="1" x14ac:dyDescent="0.2">
      <c r="Z305" s="243" t="str">
        <f>Shares!A305</f>
        <v/>
      </c>
      <c r="AA305" s="243" t="str">
        <f>Shares!B305</f>
        <v/>
      </c>
      <c r="AB305" s="243" t="str">
        <f>Shares!C305</f>
        <v/>
      </c>
      <c r="AC305" s="243" t="str">
        <f>Shares!D305</f>
        <v/>
      </c>
      <c r="AD305" s="243">
        <f>IF($Z305="",0,Shares!E305)</f>
        <v>0</v>
      </c>
      <c r="AE305" s="266">
        <f>IF($Z305="",0,Shares!J305*Shares!I305)</f>
        <v>0</v>
      </c>
      <c r="AF305" s="267">
        <f t="shared" si="39"/>
        <v>0</v>
      </c>
      <c r="AG305" s="266">
        <f>IF($Z305="",0,Shares!L305)</f>
        <v>0</v>
      </c>
      <c r="AH305" s="267">
        <f>IF($Z305="",0,Shares!M305)</f>
        <v>0</v>
      </c>
      <c r="AI305" s="243" t="str">
        <f>IF($Z305="","",RANK(AE305,$AE$2:$AE$1001)+COUNTIF($AE$2:AE305,AE305)-1)</f>
        <v/>
      </c>
      <c r="AJ305" s="243" t="str">
        <f>IF($AD305&lt;0,COUNT($AJ$1:AJ304)+1,"")</f>
        <v/>
      </c>
      <c r="AL305" s="243" t="str">
        <f>'All Ticker P&amp;L'!A305</f>
        <v/>
      </c>
      <c r="AM305" s="243" t="str">
        <f>'All Ticker P&amp;L'!B305</f>
        <v/>
      </c>
      <c r="AN305" s="243" t="str">
        <f>'All Ticker P&amp;L'!C305</f>
        <v/>
      </c>
      <c r="AO305" s="243" t="str">
        <f>'All Ticker P&amp;L'!D305</f>
        <v/>
      </c>
      <c r="AP305" s="243">
        <f>IF($AL305="",0,'All Ticker P&amp;L'!E305)</f>
        <v>0</v>
      </c>
      <c r="AQ305" s="266">
        <f>IF($AL305="",0,'All Ticker P&amp;L'!J305*'All Ticker P&amp;L'!I305)</f>
        <v>0</v>
      </c>
      <c r="AR305" s="266">
        <f>IF($AL305="",0,'All Ticker P&amp;L'!L305)</f>
        <v>0</v>
      </c>
      <c r="AS305" s="267">
        <f>IF($AL305="",0,'All Ticker P&amp;L'!M305)</f>
        <v>0</v>
      </c>
      <c r="AT305" s="243" t="str">
        <f>IF($AL305="","",RANK(AR305,$AR$2:$AR$1001)+COUNTIF($AR$2:AR305,AR305)-1)</f>
        <v/>
      </c>
      <c r="AU305" s="243" t="str">
        <f>IF($AL305="","",RANK(AV305,$AV$2:$AV$1001)+COUNTIF($AV$2:AV305,AV305)-1)</f>
        <v/>
      </c>
      <c r="AV305" s="266">
        <f t="shared" si="40"/>
        <v>0</v>
      </c>
    </row>
    <row r="306" spans="26:48" ht="15" customHeight="1" x14ac:dyDescent="0.2">
      <c r="Z306" s="243" t="str">
        <f>Shares!A306</f>
        <v/>
      </c>
      <c r="AA306" s="243" t="str">
        <f>Shares!B306</f>
        <v/>
      </c>
      <c r="AB306" s="243" t="str">
        <f>Shares!C306</f>
        <v/>
      </c>
      <c r="AC306" s="243" t="str">
        <f>Shares!D306</f>
        <v/>
      </c>
      <c r="AD306" s="243">
        <f>IF($Z306="",0,Shares!E306)</f>
        <v>0</v>
      </c>
      <c r="AE306" s="266">
        <f>IF($Z306="",0,Shares!J306*Shares!I306)</f>
        <v>0</v>
      </c>
      <c r="AF306" s="267">
        <f t="shared" si="39"/>
        <v>0</v>
      </c>
      <c r="AG306" s="266">
        <f>IF($Z306="",0,Shares!L306)</f>
        <v>0</v>
      </c>
      <c r="AH306" s="267">
        <f>IF($Z306="",0,Shares!M306)</f>
        <v>0</v>
      </c>
      <c r="AI306" s="243" t="str">
        <f>IF($Z306="","",RANK(AE306,$AE$2:$AE$1001)+COUNTIF($AE$2:AE306,AE306)-1)</f>
        <v/>
      </c>
      <c r="AJ306" s="243" t="str">
        <f>IF($AD306&lt;0,COUNT($AJ$1:AJ305)+1,"")</f>
        <v/>
      </c>
      <c r="AL306" s="243" t="str">
        <f>'All Ticker P&amp;L'!A306</f>
        <v/>
      </c>
      <c r="AM306" s="243" t="str">
        <f>'All Ticker P&amp;L'!B306</f>
        <v/>
      </c>
      <c r="AN306" s="243" t="str">
        <f>'All Ticker P&amp;L'!C306</f>
        <v/>
      </c>
      <c r="AO306" s="243" t="str">
        <f>'All Ticker P&amp;L'!D306</f>
        <v/>
      </c>
      <c r="AP306" s="243">
        <f>IF($AL306="",0,'All Ticker P&amp;L'!E306)</f>
        <v>0</v>
      </c>
      <c r="AQ306" s="266">
        <f>IF($AL306="",0,'All Ticker P&amp;L'!J306*'All Ticker P&amp;L'!I306)</f>
        <v>0</v>
      </c>
      <c r="AR306" s="266">
        <f>IF($AL306="",0,'All Ticker P&amp;L'!L306)</f>
        <v>0</v>
      </c>
      <c r="AS306" s="267">
        <f>IF($AL306="",0,'All Ticker P&amp;L'!M306)</f>
        <v>0</v>
      </c>
      <c r="AT306" s="243" t="str">
        <f>IF($AL306="","",RANK(AR306,$AR$2:$AR$1001)+COUNTIF($AR$2:AR306,AR306)-1)</f>
        <v/>
      </c>
      <c r="AU306" s="243" t="str">
        <f>IF($AL306="","",RANK(AV306,$AV$2:$AV$1001)+COUNTIF($AV$2:AV306,AV306)-1)</f>
        <v/>
      </c>
      <c r="AV306" s="266">
        <f t="shared" si="40"/>
        <v>0</v>
      </c>
    </row>
    <row r="307" spans="26:48" ht="15" customHeight="1" x14ac:dyDescent="0.2">
      <c r="Z307" s="243" t="str">
        <f>Shares!A307</f>
        <v/>
      </c>
      <c r="AA307" s="243" t="str">
        <f>Shares!B307</f>
        <v/>
      </c>
      <c r="AB307" s="243" t="str">
        <f>Shares!C307</f>
        <v/>
      </c>
      <c r="AC307" s="243" t="str">
        <f>Shares!D307</f>
        <v/>
      </c>
      <c r="AD307" s="243">
        <f>IF($Z307="",0,Shares!E307)</f>
        <v>0</v>
      </c>
      <c r="AE307" s="266">
        <f>IF($Z307="",0,Shares!J307*Shares!I307)</f>
        <v>0</v>
      </c>
      <c r="AF307" s="267">
        <f t="shared" si="39"/>
        <v>0</v>
      </c>
      <c r="AG307" s="266">
        <f>IF($Z307="",0,Shares!L307)</f>
        <v>0</v>
      </c>
      <c r="AH307" s="267">
        <f>IF($Z307="",0,Shares!M307)</f>
        <v>0</v>
      </c>
      <c r="AI307" s="243" t="str">
        <f>IF($Z307="","",RANK(AE307,$AE$2:$AE$1001)+COUNTIF($AE$2:AE307,AE307)-1)</f>
        <v/>
      </c>
      <c r="AJ307" s="243" t="str">
        <f>IF($AD307&lt;0,COUNT($AJ$1:AJ306)+1,"")</f>
        <v/>
      </c>
      <c r="AL307" s="243" t="str">
        <f>'All Ticker P&amp;L'!A307</f>
        <v/>
      </c>
      <c r="AM307" s="243" t="str">
        <f>'All Ticker P&amp;L'!B307</f>
        <v/>
      </c>
      <c r="AN307" s="243" t="str">
        <f>'All Ticker P&amp;L'!C307</f>
        <v/>
      </c>
      <c r="AO307" s="243" t="str">
        <f>'All Ticker P&amp;L'!D307</f>
        <v/>
      </c>
      <c r="AP307" s="243">
        <f>IF($AL307="",0,'All Ticker P&amp;L'!E307)</f>
        <v>0</v>
      </c>
      <c r="AQ307" s="266">
        <f>IF($AL307="",0,'All Ticker P&amp;L'!J307*'All Ticker P&amp;L'!I307)</f>
        <v>0</v>
      </c>
      <c r="AR307" s="266">
        <f>IF($AL307="",0,'All Ticker P&amp;L'!L307)</f>
        <v>0</v>
      </c>
      <c r="AS307" s="267">
        <f>IF($AL307="",0,'All Ticker P&amp;L'!M307)</f>
        <v>0</v>
      </c>
      <c r="AT307" s="243" t="str">
        <f>IF($AL307="","",RANK(AR307,$AR$2:$AR$1001)+COUNTIF($AR$2:AR307,AR307)-1)</f>
        <v/>
      </c>
      <c r="AU307" s="243" t="str">
        <f>IF($AL307="","",RANK(AV307,$AV$2:$AV$1001)+COUNTIF($AV$2:AV307,AV307)-1)</f>
        <v/>
      </c>
      <c r="AV307" s="266">
        <f t="shared" si="40"/>
        <v>0</v>
      </c>
    </row>
    <row r="308" spans="26:48" ht="15" customHeight="1" x14ac:dyDescent="0.2">
      <c r="Z308" s="243" t="str">
        <f>Shares!A308</f>
        <v/>
      </c>
      <c r="AA308" s="243" t="str">
        <f>Shares!B308</f>
        <v/>
      </c>
      <c r="AB308" s="243" t="str">
        <f>Shares!C308</f>
        <v/>
      </c>
      <c r="AC308" s="243" t="str">
        <f>Shares!D308</f>
        <v/>
      </c>
      <c r="AD308" s="243">
        <f>IF($Z308="",0,Shares!E308)</f>
        <v>0</v>
      </c>
      <c r="AE308" s="266">
        <f>IF($Z308="",0,Shares!J308*Shares!I308)</f>
        <v>0</v>
      </c>
      <c r="AF308" s="267">
        <f t="shared" si="39"/>
        <v>0</v>
      </c>
      <c r="AG308" s="266">
        <f>IF($Z308="",0,Shares!L308)</f>
        <v>0</v>
      </c>
      <c r="AH308" s="267">
        <f>IF($Z308="",0,Shares!M308)</f>
        <v>0</v>
      </c>
      <c r="AI308" s="243" t="str">
        <f>IF($Z308="","",RANK(AE308,$AE$2:$AE$1001)+COUNTIF($AE$2:AE308,AE308)-1)</f>
        <v/>
      </c>
      <c r="AJ308" s="243" t="str">
        <f>IF($AD308&lt;0,COUNT($AJ$1:AJ307)+1,"")</f>
        <v/>
      </c>
      <c r="AL308" s="243" t="str">
        <f>'All Ticker P&amp;L'!A308</f>
        <v/>
      </c>
      <c r="AM308" s="243" t="str">
        <f>'All Ticker P&amp;L'!B308</f>
        <v/>
      </c>
      <c r="AN308" s="243" t="str">
        <f>'All Ticker P&amp;L'!C308</f>
        <v/>
      </c>
      <c r="AO308" s="243" t="str">
        <f>'All Ticker P&amp;L'!D308</f>
        <v/>
      </c>
      <c r="AP308" s="243">
        <f>IF($AL308="",0,'All Ticker P&amp;L'!E308)</f>
        <v>0</v>
      </c>
      <c r="AQ308" s="266">
        <f>IF($AL308="",0,'All Ticker P&amp;L'!J308*'All Ticker P&amp;L'!I308)</f>
        <v>0</v>
      </c>
      <c r="AR308" s="266">
        <f>IF($AL308="",0,'All Ticker P&amp;L'!L308)</f>
        <v>0</v>
      </c>
      <c r="AS308" s="267">
        <f>IF($AL308="",0,'All Ticker P&amp;L'!M308)</f>
        <v>0</v>
      </c>
      <c r="AT308" s="243" t="str">
        <f>IF($AL308="","",RANK(AR308,$AR$2:$AR$1001)+COUNTIF($AR$2:AR308,AR308)-1)</f>
        <v/>
      </c>
      <c r="AU308" s="243" t="str">
        <f>IF($AL308="","",RANK(AV308,$AV$2:$AV$1001)+COUNTIF($AV$2:AV308,AV308)-1)</f>
        <v/>
      </c>
      <c r="AV308" s="266">
        <f t="shared" si="40"/>
        <v>0</v>
      </c>
    </row>
    <row r="309" spans="26:48" ht="15" customHeight="1" x14ac:dyDescent="0.2">
      <c r="Z309" s="243" t="str">
        <f>Shares!A309</f>
        <v/>
      </c>
      <c r="AA309" s="243" t="str">
        <f>Shares!B309</f>
        <v/>
      </c>
      <c r="AB309" s="243" t="str">
        <f>Shares!C309</f>
        <v/>
      </c>
      <c r="AC309" s="243" t="str">
        <f>Shares!D309</f>
        <v/>
      </c>
      <c r="AD309" s="243">
        <f>IF($Z309="",0,Shares!E309)</f>
        <v>0</v>
      </c>
      <c r="AE309" s="266">
        <f>IF($Z309="",0,Shares!J309*Shares!I309)</f>
        <v>0</v>
      </c>
      <c r="AF309" s="267">
        <f t="shared" si="39"/>
        <v>0</v>
      </c>
      <c r="AG309" s="266">
        <f>IF($Z309="",0,Shares!L309)</f>
        <v>0</v>
      </c>
      <c r="AH309" s="267">
        <f>IF($Z309="",0,Shares!M309)</f>
        <v>0</v>
      </c>
      <c r="AI309" s="243" t="str">
        <f>IF($Z309="","",RANK(AE309,$AE$2:$AE$1001)+COUNTIF($AE$2:AE309,AE309)-1)</f>
        <v/>
      </c>
      <c r="AJ309" s="243" t="str">
        <f>IF($AD309&lt;0,COUNT($AJ$1:AJ308)+1,"")</f>
        <v/>
      </c>
      <c r="AL309" s="243" t="str">
        <f>'All Ticker P&amp;L'!A309</f>
        <v/>
      </c>
      <c r="AM309" s="243" t="str">
        <f>'All Ticker P&amp;L'!B309</f>
        <v/>
      </c>
      <c r="AN309" s="243" t="str">
        <f>'All Ticker P&amp;L'!C309</f>
        <v/>
      </c>
      <c r="AO309" s="243" t="str">
        <f>'All Ticker P&amp;L'!D309</f>
        <v/>
      </c>
      <c r="AP309" s="243">
        <f>IF($AL309="",0,'All Ticker P&amp;L'!E309)</f>
        <v>0</v>
      </c>
      <c r="AQ309" s="266">
        <f>IF($AL309="",0,'All Ticker P&amp;L'!J309*'All Ticker P&amp;L'!I309)</f>
        <v>0</v>
      </c>
      <c r="AR309" s="266">
        <f>IF($AL309="",0,'All Ticker P&amp;L'!L309)</f>
        <v>0</v>
      </c>
      <c r="AS309" s="267">
        <f>IF($AL309="",0,'All Ticker P&amp;L'!M309)</f>
        <v>0</v>
      </c>
      <c r="AT309" s="243" t="str">
        <f>IF($AL309="","",RANK(AR309,$AR$2:$AR$1001)+COUNTIF($AR$2:AR309,AR309)-1)</f>
        <v/>
      </c>
      <c r="AU309" s="243" t="str">
        <f>IF($AL309="","",RANK(AV309,$AV$2:$AV$1001)+COUNTIF($AV$2:AV309,AV309)-1)</f>
        <v/>
      </c>
      <c r="AV309" s="266">
        <f t="shared" si="40"/>
        <v>0</v>
      </c>
    </row>
    <row r="310" spans="26:48" ht="15" customHeight="1" x14ac:dyDescent="0.2">
      <c r="Z310" s="243" t="str">
        <f>Shares!A310</f>
        <v/>
      </c>
      <c r="AA310" s="243" t="str">
        <f>Shares!B310</f>
        <v/>
      </c>
      <c r="AB310" s="243" t="str">
        <f>Shares!C310</f>
        <v/>
      </c>
      <c r="AC310" s="243" t="str">
        <f>Shares!D310</f>
        <v/>
      </c>
      <c r="AD310" s="243">
        <f>IF($Z310="",0,Shares!E310)</f>
        <v>0</v>
      </c>
      <c r="AE310" s="266">
        <f>IF($Z310="",0,Shares!J310*Shares!I310)</f>
        <v>0</v>
      </c>
      <c r="AF310" s="267">
        <f t="shared" si="39"/>
        <v>0</v>
      </c>
      <c r="AG310" s="266">
        <f>IF($Z310="",0,Shares!L310)</f>
        <v>0</v>
      </c>
      <c r="AH310" s="267">
        <f>IF($Z310="",0,Shares!M310)</f>
        <v>0</v>
      </c>
      <c r="AI310" s="243" t="str">
        <f>IF($Z310="","",RANK(AE310,$AE$2:$AE$1001)+COUNTIF($AE$2:AE310,AE310)-1)</f>
        <v/>
      </c>
      <c r="AJ310" s="243" t="str">
        <f>IF($AD310&lt;0,COUNT($AJ$1:AJ309)+1,"")</f>
        <v/>
      </c>
      <c r="AL310" s="243" t="str">
        <f>'All Ticker P&amp;L'!A310</f>
        <v/>
      </c>
      <c r="AM310" s="243" t="str">
        <f>'All Ticker P&amp;L'!B310</f>
        <v/>
      </c>
      <c r="AN310" s="243" t="str">
        <f>'All Ticker P&amp;L'!C310</f>
        <v/>
      </c>
      <c r="AO310" s="243" t="str">
        <f>'All Ticker P&amp;L'!D310</f>
        <v/>
      </c>
      <c r="AP310" s="243">
        <f>IF($AL310="",0,'All Ticker P&amp;L'!E310)</f>
        <v>0</v>
      </c>
      <c r="AQ310" s="266">
        <f>IF($AL310="",0,'All Ticker P&amp;L'!J310*'All Ticker P&amp;L'!I310)</f>
        <v>0</v>
      </c>
      <c r="AR310" s="266">
        <f>IF($AL310="",0,'All Ticker P&amp;L'!L310)</f>
        <v>0</v>
      </c>
      <c r="AS310" s="267">
        <f>IF($AL310="",0,'All Ticker P&amp;L'!M310)</f>
        <v>0</v>
      </c>
      <c r="AT310" s="243" t="str">
        <f>IF($AL310="","",RANK(AR310,$AR$2:$AR$1001)+COUNTIF($AR$2:AR310,AR310)-1)</f>
        <v/>
      </c>
      <c r="AU310" s="243" t="str">
        <f>IF($AL310="","",RANK(AV310,$AV$2:$AV$1001)+COUNTIF($AV$2:AV310,AV310)-1)</f>
        <v/>
      </c>
      <c r="AV310" s="266">
        <f t="shared" si="40"/>
        <v>0</v>
      </c>
    </row>
    <row r="311" spans="26:48" ht="15" customHeight="1" x14ac:dyDescent="0.2">
      <c r="Z311" s="243" t="str">
        <f>Shares!A311</f>
        <v/>
      </c>
      <c r="AA311" s="243" t="str">
        <f>Shares!B311</f>
        <v/>
      </c>
      <c r="AB311" s="243" t="str">
        <f>Shares!C311</f>
        <v/>
      </c>
      <c r="AC311" s="243" t="str">
        <f>Shares!D311</f>
        <v/>
      </c>
      <c r="AD311" s="243">
        <f>IF($Z311="",0,Shares!E311)</f>
        <v>0</v>
      </c>
      <c r="AE311" s="266">
        <f>IF($Z311="",0,Shares!J311*Shares!I311)</f>
        <v>0</v>
      </c>
      <c r="AF311" s="267">
        <f t="shared" si="39"/>
        <v>0</v>
      </c>
      <c r="AG311" s="266">
        <f>IF($Z311="",0,Shares!L311)</f>
        <v>0</v>
      </c>
      <c r="AH311" s="267">
        <f>IF($Z311="",0,Shares!M311)</f>
        <v>0</v>
      </c>
      <c r="AI311" s="243" t="str">
        <f>IF($Z311="","",RANK(AE311,$AE$2:$AE$1001)+COUNTIF($AE$2:AE311,AE311)-1)</f>
        <v/>
      </c>
      <c r="AJ311" s="243" t="str">
        <f>IF($AD311&lt;0,COUNT($AJ$1:AJ310)+1,"")</f>
        <v/>
      </c>
      <c r="AL311" s="243" t="str">
        <f>'All Ticker P&amp;L'!A311</f>
        <v/>
      </c>
      <c r="AM311" s="243" t="str">
        <f>'All Ticker P&amp;L'!B311</f>
        <v/>
      </c>
      <c r="AN311" s="243" t="str">
        <f>'All Ticker P&amp;L'!C311</f>
        <v/>
      </c>
      <c r="AO311" s="243" t="str">
        <f>'All Ticker P&amp;L'!D311</f>
        <v/>
      </c>
      <c r="AP311" s="243">
        <f>IF($AL311="",0,'All Ticker P&amp;L'!E311)</f>
        <v>0</v>
      </c>
      <c r="AQ311" s="266">
        <f>IF($AL311="",0,'All Ticker P&amp;L'!J311*'All Ticker P&amp;L'!I311)</f>
        <v>0</v>
      </c>
      <c r="AR311" s="266">
        <f>IF($AL311="",0,'All Ticker P&amp;L'!L311)</f>
        <v>0</v>
      </c>
      <c r="AS311" s="267">
        <f>IF($AL311="",0,'All Ticker P&amp;L'!M311)</f>
        <v>0</v>
      </c>
      <c r="AT311" s="243" t="str">
        <f>IF($AL311="","",RANK(AR311,$AR$2:$AR$1001)+COUNTIF($AR$2:AR311,AR311)-1)</f>
        <v/>
      </c>
      <c r="AU311" s="243" t="str">
        <f>IF($AL311="","",RANK(AV311,$AV$2:$AV$1001)+COUNTIF($AV$2:AV311,AV311)-1)</f>
        <v/>
      </c>
      <c r="AV311" s="266">
        <f t="shared" si="40"/>
        <v>0</v>
      </c>
    </row>
    <row r="312" spans="26:48" ht="15" customHeight="1" x14ac:dyDescent="0.2">
      <c r="Z312" s="243" t="str">
        <f>Shares!A312</f>
        <v/>
      </c>
      <c r="AA312" s="243" t="str">
        <f>Shares!B312</f>
        <v/>
      </c>
      <c r="AB312" s="243" t="str">
        <f>Shares!C312</f>
        <v/>
      </c>
      <c r="AC312" s="243" t="str">
        <f>Shares!D312</f>
        <v/>
      </c>
      <c r="AD312" s="243">
        <f>IF($Z312="",0,Shares!E312)</f>
        <v>0</v>
      </c>
      <c r="AE312" s="266">
        <f>IF($Z312="",0,Shares!J312*Shares!I312)</f>
        <v>0</v>
      </c>
      <c r="AF312" s="267">
        <f t="shared" si="39"/>
        <v>0</v>
      </c>
      <c r="AG312" s="266">
        <f>IF($Z312="",0,Shares!L312)</f>
        <v>0</v>
      </c>
      <c r="AH312" s="267">
        <f>IF($Z312="",0,Shares!M312)</f>
        <v>0</v>
      </c>
      <c r="AI312" s="243" t="str">
        <f>IF($Z312="","",RANK(AE312,$AE$2:$AE$1001)+COUNTIF($AE$2:AE312,AE312)-1)</f>
        <v/>
      </c>
      <c r="AJ312" s="243" t="str">
        <f>IF($AD312&lt;0,COUNT($AJ$1:AJ311)+1,"")</f>
        <v/>
      </c>
      <c r="AL312" s="243" t="str">
        <f>'All Ticker P&amp;L'!A312</f>
        <v/>
      </c>
      <c r="AM312" s="243" t="str">
        <f>'All Ticker P&amp;L'!B312</f>
        <v/>
      </c>
      <c r="AN312" s="243" t="str">
        <f>'All Ticker P&amp;L'!C312</f>
        <v/>
      </c>
      <c r="AO312" s="243" t="str">
        <f>'All Ticker P&amp;L'!D312</f>
        <v/>
      </c>
      <c r="AP312" s="243">
        <f>IF($AL312="",0,'All Ticker P&amp;L'!E312)</f>
        <v>0</v>
      </c>
      <c r="AQ312" s="266">
        <f>IF($AL312="",0,'All Ticker P&amp;L'!J312*'All Ticker P&amp;L'!I312)</f>
        <v>0</v>
      </c>
      <c r="AR312" s="266">
        <f>IF($AL312="",0,'All Ticker P&amp;L'!L312)</f>
        <v>0</v>
      </c>
      <c r="AS312" s="267">
        <f>IF($AL312="",0,'All Ticker P&amp;L'!M312)</f>
        <v>0</v>
      </c>
      <c r="AT312" s="243" t="str">
        <f>IF($AL312="","",RANK(AR312,$AR$2:$AR$1001)+COUNTIF($AR$2:AR312,AR312)-1)</f>
        <v/>
      </c>
      <c r="AU312" s="243" t="str">
        <f>IF($AL312="","",RANK(AV312,$AV$2:$AV$1001)+COUNTIF($AV$2:AV312,AV312)-1)</f>
        <v/>
      </c>
      <c r="AV312" s="266">
        <f t="shared" si="40"/>
        <v>0</v>
      </c>
    </row>
    <row r="313" spans="26:48" ht="15" customHeight="1" x14ac:dyDescent="0.2">
      <c r="Z313" s="243" t="str">
        <f>Shares!A313</f>
        <v/>
      </c>
      <c r="AA313" s="243" t="str">
        <f>Shares!B313</f>
        <v/>
      </c>
      <c r="AB313" s="243" t="str">
        <f>Shares!C313</f>
        <v/>
      </c>
      <c r="AC313" s="243" t="str">
        <f>Shares!D313</f>
        <v/>
      </c>
      <c r="AD313" s="243">
        <f>IF($Z313="",0,Shares!E313)</f>
        <v>0</v>
      </c>
      <c r="AE313" s="266">
        <f>IF($Z313="",0,Shares!J313*Shares!I313)</f>
        <v>0</v>
      </c>
      <c r="AF313" s="267">
        <f t="shared" si="39"/>
        <v>0</v>
      </c>
      <c r="AG313" s="266">
        <f>IF($Z313="",0,Shares!L313)</f>
        <v>0</v>
      </c>
      <c r="AH313" s="267">
        <f>IF($Z313="",0,Shares!M313)</f>
        <v>0</v>
      </c>
      <c r="AI313" s="243" t="str">
        <f>IF($Z313="","",RANK(AE313,$AE$2:$AE$1001)+COUNTIF($AE$2:AE313,AE313)-1)</f>
        <v/>
      </c>
      <c r="AJ313" s="243" t="str">
        <f>IF($AD313&lt;0,COUNT($AJ$1:AJ312)+1,"")</f>
        <v/>
      </c>
      <c r="AL313" s="243" t="str">
        <f>'All Ticker P&amp;L'!A313</f>
        <v/>
      </c>
      <c r="AM313" s="243" t="str">
        <f>'All Ticker P&amp;L'!B313</f>
        <v/>
      </c>
      <c r="AN313" s="243" t="str">
        <f>'All Ticker P&amp;L'!C313</f>
        <v/>
      </c>
      <c r="AO313" s="243" t="str">
        <f>'All Ticker P&amp;L'!D313</f>
        <v/>
      </c>
      <c r="AP313" s="243">
        <f>IF($AL313="",0,'All Ticker P&amp;L'!E313)</f>
        <v>0</v>
      </c>
      <c r="AQ313" s="266">
        <f>IF($AL313="",0,'All Ticker P&amp;L'!J313*'All Ticker P&amp;L'!I313)</f>
        <v>0</v>
      </c>
      <c r="AR313" s="266">
        <f>IF($AL313="",0,'All Ticker P&amp;L'!L313)</f>
        <v>0</v>
      </c>
      <c r="AS313" s="267">
        <f>IF($AL313="",0,'All Ticker P&amp;L'!M313)</f>
        <v>0</v>
      </c>
      <c r="AT313" s="243" t="str">
        <f>IF($AL313="","",RANK(AR313,$AR$2:$AR$1001)+COUNTIF($AR$2:AR313,AR313)-1)</f>
        <v/>
      </c>
      <c r="AU313" s="243" t="str">
        <f>IF($AL313="","",RANK(AV313,$AV$2:$AV$1001)+COUNTIF($AV$2:AV313,AV313)-1)</f>
        <v/>
      </c>
      <c r="AV313" s="266">
        <f t="shared" si="40"/>
        <v>0</v>
      </c>
    </row>
    <row r="314" spans="26:48" ht="15" customHeight="1" x14ac:dyDescent="0.2">
      <c r="Z314" s="243" t="str">
        <f>Shares!A314</f>
        <v/>
      </c>
      <c r="AA314" s="243" t="str">
        <f>Shares!B314</f>
        <v/>
      </c>
      <c r="AB314" s="243" t="str">
        <f>Shares!C314</f>
        <v/>
      </c>
      <c r="AC314" s="243" t="str">
        <f>Shares!D314</f>
        <v/>
      </c>
      <c r="AD314" s="243">
        <f>IF($Z314="",0,Shares!E314)</f>
        <v>0</v>
      </c>
      <c r="AE314" s="266">
        <f>IF($Z314="",0,Shares!J314*Shares!I314)</f>
        <v>0</v>
      </c>
      <c r="AF314" s="267">
        <f t="shared" si="39"/>
        <v>0</v>
      </c>
      <c r="AG314" s="266">
        <f>IF($Z314="",0,Shares!L314)</f>
        <v>0</v>
      </c>
      <c r="AH314" s="267">
        <f>IF($Z314="",0,Shares!M314)</f>
        <v>0</v>
      </c>
      <c r="AI314" s="243" t="str">
        <f>IF($Z314="","",RANK(AE314,$AE$2:$AE$1001)+COUNTIF($AE$2:AE314,AE314)-1)</f>
        <v/>
      </c>
      <c r="AJ314" s="243" t="str">
        <f>IF($AD314&lt;0,COUNT($AJ$1:AJ313)+1,"")</f>
        <v/>
      </c>
      <c r="AL314" s="243" t="str">
        <f>'All Ticker P&amp;L'!A314</f>
        <v/>
      </c>
      <c r="AM314" s="243" t="str">
        <f>'All Ticker P&amp;L'!B314</f>
        <v/>
      </c>
      <c r="AN314" s="243" t="str">
        <f>'All Ticker P&amp;L'!C314</f>
        <v/>
      </c>
      <c r="AO314" s="243" t="str">
        <f>'All Ticker P&amp;L'!D314</f>
        <v/>
      </c>
      <c r="AP314" s="243">
        <f>IF($AL314="",0,'All Ticker P&amp;L'!E314)</f>
        <v>0</v>
      </c>
      <c r="AQ314" s="266">
        <f>IF($AL314="",0,'All Ticker P&amp;L'!J314*'All Ticker P&amp;L'!I314)</f>
        <v>0</v>
      </c>
      <c r="AR314" s="266">
        <f>IF($AL314="",0,'All Ticker P&amp;L'!L314)</f>
        <v>0</v>
      </c>
      <c r="AS314" s="267">
        <f>IF($AL314="",0,'All Ticker P&amp;L'!M314)</f>
        <v>0</v>
      </c>
      <c r="AT314" s="243" t="str">
        <f>IF($AL314="","",RANK(AR314,$AR$2:$AR$1001)+COUNTIF($AR$2:AR314,AR314)-1)</f>
        <v/>
      </c>
      <c r="AU314" s="243" t="str">
        <f>IF($AL314="","",RANK(AV314,$AV$2:$AV$1001)+COUNTIF($AV$2:AV314,AV314)-1)</f>
        <v/>
      </c>
      <c r="AV314" s="266">
        <f t="shared" si="40"/>
        <v>0</v>
      </c>
    </row>
    <row r="315" spans="26:48" ht="15" customHeight="1" x14ac:dyDescent="0.2">
      <c r="Z315" s="243" t="str">
        <f>Shares!A315</f>
        <v/>
      </c>
      <c r="AA315" s="243" t="str">
        <f>Shares!B315</f>
        <v/>
      </c>
      <c r="AB315" s="243" t="str">
        <f>Shares!C315</f>
        <v/>
      </c>
      <c r="AC315" s="243" t="str">
        <f>Shares!D315</f>
        <v/>
      </c>
      <c r="AD315" s="243">
        <f>IF($Z315="",0,Shares!E315)</f>
        <v>0</v>
      </c>
      <c r="AE315" s="266">
        <f>IF($Z315="",0,Shares!J315*Shares!I315)</f>
        <v>0</v>
      </c>
      <c r="AF315" s="267">
        <f t="shared" si="39"/>
        <v>0</v>
      </c>
      <c r="AG315" s="266">
        <f>IF($Z315="",0,Shares!L315)</f>
        <v>0</v>
      </c>
      <c r="AH315" s="267">
        <f>IF($Z315="",0,Shares!M315)</f>
        <v>0</v>
      </c>
      <c r="AI315" s="243" t="str">
        <f>IF($Z315="","",RANK(AE315,$AE$2:$AE$1001)+COUNTIF($AE$2:AE315,AE315)-1)</f>
        <v/>
      </c>
      <c r="AJ315" s="243" t="str">
        <f>IF($AD315&lt;0,COUNT($AJ$1:AJ314)+1,"")</f>
        <v/>
      </c>
      <c r="AL315" s="243" t="str">
        <f>'All Ticker P&amp;L'!A315</f>
        <v/>
      </c>
      <c r="AM315" s="243" t="str">
        <f>'All Ticker P&amp;L'!B315</f>
        <v/>
      </c>
      <c r="AN315" s="243" t="str">
        <f>'All Ticker P&amp;L'!C315</f>
        <v/>
      </c>
      <c r="AO315" s="243" t="str">
        <f>'All Ticker P&amp;L'!D315</f>
        <v/>
      </c>
      <c r="AP315" s="243">
        <f>IF($AL315="",0,'All Ticker P&amp;L'!E315)</f>
        <v>0</v>
      </c>
      <c r="AQ315" s="266">
        <f>IF($AL315="",0,'All Ticker P&amp;L'!J315*'All Ticker P&amp;L'!I315)</f>
        <v>0</v>
      </c>
      <c r="AR315" s="266">
        <f>IF($AL315="",0,'All Ticker P&amp;L'!L315)</f>
        <v>0</v>
      </c>
      <c r="AS315" s="267">
        <f>IF($AL315="",0,'All Ticker P&amp;L'!M315)</f>
        <v>0</v>
      </c>
      <c r="AT315" s="243" t="str">
        <f>IF($AL315="","",RANK(AR315,$AR$2:$AR$1001)+COUNTIF($AR$2:AR315,AR315)-1)</f>
        <v/>
      </c>
      <c r="AU315" s="243" t="str">
        <f>IF($AL315="","",RANK(AV315,$AV$2:$AV$1001)+COUNTIF($AV$2:AV315,AV315)-1)</f>
        <v/>
      </c>
      <c r="AV315" s="266">
        <f t="shared" si="40"/>
        <v>0</v>
      </c>
    </row>
    <row r="316" spans="26:48" ht="15" customHeight="1" x14ac:dyDescent="0.2">
      <c r="Z316" s="243" t="str">
        <f>Shares!A316</f>
        <v/>
      </c>
      <c r="AA316" s="243" t="str">
        <f>Shares!B316</f>
        <v/>
      </c>
      <c r="AB316" s="243" t="str">
        <f>Shares!C316</f>
        <v/>
      </c>
      <c r="AC316" s="243" t="str">
        <f>Shares!D316</f>
        <v/>
      </c>
      <c r="AD316" s="243">
        <f>IF($Z316="",0,Shares!E316)</f>
        <v>0</v>
      </c>
      <c r="AE316" s="266">
        <f>IF($Z316="",0,Shares!J316*Shares!I316)</f>
        <v>0</v>
      </c>
      <c r="AF316" s="267">
        <f t="shared" si="39"/>
        <v>0</v>
      </c>
      <c r="AG316" s="266">
        <f>IF($Z316="",0,Shares!L316)</f>
        <v>0</v>
      </c>
      <c r="AH316" s="267">
        <f>IF($Z316="",0,Shares!M316)</f>
        <v>0</v>
      </c>
      <c r="AI316" s="243" t="str">
        <f>IF($Z316="","",RANK(AE316,$AE$2:$AE$1001)+COUNTIF($AE$2:AE316,AE316)-1)</f>
        <v/>
      </c>
      <c r="AJ316" s="243" t="str">
        <f>IF($AD316&lt;0,COUNT($AJ$1:AJ315)+1,"")</f>
        <v/>
      </c>
      <c r="AL316" s="243" t="str">
        <f>'All Ticker P&amp;L'!A316</f>
        <v/>
      </c>
      <c r="AM316" s="243" t="str">
        <f>'All Ticker P&amp;L'!B316</f>
        <v/>
      </c>
      <c r="AN316" s="243" t="str">
        <f>'All Ticker P&amp;L'!C316</f>
        <v/>
      </c>
      <c r="AO316" s="243" t="str">
        <f>'All Ticker P&amp;L'!D316</f>
        <v/>
      </c>
      <c r="AP316" s="243">
        <f>IF($AL316="",0,'All Ticker P&amp;L'!E316)</f>
        <v>0</v>
      </c>
      <c r="AQ316" s="266">
        <f>IF($AL316="",0,'All Ticker P&amp;L'!J316*'All Ticker P&amp;L'!I316)</f>
        <v>0</v>
      </c>
      <c r="AR316" s="266">
        <f>IF($AL316="",0,'All Ticker P&amp;L'!L316)</f>
        <v>0</v>
      </c>
      <c r="AS316" s="267">
        <f>IF($AL316="",0,'All Ticker P&amp;L'!M316)</f>
        <v>0</v>
      </c>
      <c r="AT316" s="243" t="str">
        <f>IF($AL316="","",RANK(AR316,$AR$2:$AR$1001)+COUNTIF($AR$2:AR316,AR316)-1)</f>
        <v/>
      </c>
      <c r="AU316" s="243" t="str">
        <f>IF($AL316="","",RANK(AV316,$AV$2:$AV$1001)+COUNTIF($AV$2:AV316,AV316)-1)</f>
        <v/>
      </c>
      <c r="AV316" s="266">
        <f t="shared" si="40"/>
        <v>0</v>
      </c>
    </row>
    <row r="317" spans="26:48" ht="15" customHeight="1" x14ac:dyDescent="0.2">
      <c r="Z317" s="243" t="str">
        <f>Shares!A317</f>
        <v/>
      </c>
      <c r="AA317" s="243" t="str">
        <f>Shares!B317</f>
        <v/>
      </c>
      <c r="AB317" s="243" t="str">
        <f>Shares!C317</f>
        <v/>
      </c>
      <c r="AC317" s="243" t="str">
        <f>Shares!D317</f>
        <v/>
      </c>
      <c r="AD317" s="243">
        <f>IF($Z317="",0,Shares!E317)</f>
        <v>0</v>
      </c>
      <c r="AE317" s="266">
        <f>IF($Z317="",0,Shares!J317*Shares!I317)</f>
        <v>0</v>
      </c>
      <c r="AF317" s="267">
        <f t="shared" si="39"/>
        <v>0</v>
      </c>
      <c r="AG317" s="266">
        <f>IF($Z317="",0,Shares!L317)</f>
        <v>0</v>
      </c>
      <c r="AH317" s="267">
        <f>IF($Z317="",0,Shares!M317)</f>
        <v>0</v>
      </c>
      <c r="AI317" s="243" t="str">
        <f>IF($Z317="","",RANK(AE317,$AE$2:$AE$1001)+COUNTIF($AE$2:AE317,AE317)-1)</f>
        <v/>
      </c>
      <c r="AJ317" s="243" t="str">
        <f>IF($AD317&lt;0,COUNT($AJ$1:AJ316)+1,"")</f>
        <v/>
      </c>
      <c r="AL317" s="243" t="str">
        <f>'All Ticker P&amp;L'!A317</f>
        <v/>
      </c>
      <c r="AM317" s="243" t="str">
        <f>'All Ticker P&amp;L'!B317</f>
        <v/>
      </c>
      <c r="AN317" s="243" t="str">
        <f>'All Ticker P&amp;L'!C317</f>
        <v/>
      </c>
      <c r="AO317" s="243" t="str">
        <f>'All Ticker P&amp;L'!D317</f>
        <v/>
      </c>
      <c r="AP317" s="243">
        <f>IF($AL317="",0,'All Ticker P&amp;L'!E317)</f>
        <v>0</v>
      </c>
      <c r="AQ317" s="266">
        <f>IF($AL317="",0,'All Ticker P&amp;L'!J317*'All Ticker P&amp;L'!I317)</f>
        <v>0</v>
      </c>
      <c r="AR317" s="266">
        <f>IF($AL317="",0,'All Ticker P&amp;L'!L317)</f>
        <v>0</v>
      </c>
      <c r="AS317" s="267">
        <f>IF($AL317="",0,'All Ticker P&amp;L'!M317)</f>
        <v>0</v>
      </c>
      <c r="AT317" s="243" t="str">
        <f>IF($AL317="","",RANK(AR317,$AR$2:$AR$1001)+COUNTIF($AR$2:AR317,AR317)-1)</f>
        <v/>
      </c>
      <c r="AU317" s="243" t="str">
        <f>IF($AL317="","",RANK(AV317,$AV$2:$AV$1001)+COUNTIF($AV$2:AV317,AV317)-1)</f>
        <v/>
      </c>
      <c r="AV317" s="266">
        <f t="shared" si="40"/>
        <v>0</v>
      </c>
    </row>
    <row r="318" spans="26:48" ht="15" customHeight="1" x14ac:dyDescent="0.2">
      <c r="Z318" s="243" t="str">
        <f>Shares!A318</f>
        <v/>
      </c>
      <c r="AA318" s="243" t="str">
        <f>Shares!B318</f>
        <v/>
      </c>
      <c r="AB318" s="243" t="str">
        <f>Shares!C318</f>
        <v/>
      </c>
      <c r="AC318" s="243" t="str">
        <f>Shares!D318</f>
        <v/>
      </c>
      <c r="AD318" s="243">
        <f>IF($Z318="",0,Shares!E318)</f>
        <v>0</v>
      </c>
      <c r="AE318" s="266">
        <f>IF($Z318="",0,Shares!J318*Shares!I318)</f>
        <v>0</v>
      </c>
      <c r="AF318" s="267">
        <f t="shared" si="39"/>
        <v>0</v>
      </c>
      <c r="AG318" s="266">
        <f>IF($Z318="",0,Shares!L318)</f>
        <v>0</v>
      </c>
      <c r="AH318" s="267">
        <f>IF($Z318="",0,Shares!M318)</f>
        <v>0</v>
      </c>
      <c r="AI318" s="243" t="str">
        <f>IF($Z318="","",RANK(AE318,$AE$2:$AE$1001)+COUNTIF($AE$2:AE318,AE318)-1)</f>
        <v/>
      </c>
      <c r="AJ318" s="243" t="str">
        <f>IF($AD318&lt;0,COUNT($AJ$1:AJ317)+1,"")</f>
        <v/>
      </c>
      <c r="AL318" s="243" t="str">
        <f>'All Ticker P&amp;L'!A318</f>
        <v/>
      </c>
      <c r="AM318" s="243" t="str">
        <f>'All Ticker P&amp;L'!B318</f>
        <v/>
      </c>
      <c r="AN318" s="243" t="str">
        <f>'All Ticker P&amp;L'!C318</f>
        <v/>
      </c>
      <c r="AO318" s="243" t="str">
        <f>'All Ticker P&amp;L'!D318</f>
        <v/>
      </c>
      <c r="AP318" s="243">
        <f>IF($AL318="",0,'All Ticker P&amp;L'!E318)</f>
        <v>0</v>
      </c>
      <c r="AQ318" s="266">
        <f>IF($AL318="",0,'All Ticker P&amp;L'!J318*'All Ticker P&amp;L'!I318)</f>
        <v>0</v>
      </c>
      <c r="AR318" s="266">
        <f>IF($AL318="",0,'All Ticker P&amp;L'!L318)</f>
        <v>0</v>
      </c>
      <c r="AS318" s="267">
        <f>IF($AL318="",0,'All Ticker P&amp;L'!M318)</f>
        <v>0</v>
      </c>
      <c r="AT318" s="243" t="str">
        <f>IF($AL318="","",RANK(AR318,$AR$2:$AR$1001)+COUNTIF($AR$2:AR318,AR318)-1)</f>
        <v/>
      </c>
      <c r="AU318" s="243" t="str">
        <f>IF($AL318="","",RANK(AV318,$AV$2:$AV$1001)+COUNTIF($AV$2:AV318,AV318)-1)</f>
        <v/>
      </c>
      <c r="AV318" s="266">
        <f t="shared" si="40"/>
        <v>0</v>
      </c>
    </row>
    <row r="319" spans="26:48" ht="15" customHeight="1" x14ac:dyDescent="0.2">
      <c r="Z319" s="243" t="str">
        <f>Shares!A319</f>
        <v/>
      </c>
      <c r="AA319" s="243" t="str">
        <f>Shares!B319</f>
        <v/>
      </c>
      <c r="AB319" s="243" t="str">
        <f>Shares!C319</f>
        <v/>
      </c>
      <c r="AC319" s="243" t="str">
        <f>Shares!D319</f>
        <v/>
      </c>
      <c r="AD319" s="243">
        <f>IF($Z319="",0,Shares!E319)</f>
        <v>0</v>
      </c>
      <c r="AE319" s="266">
        <f>IF($Z319="",0,Shares!J319*Shares!I319)</f>
        <v>0</v>
      </c>
      <c r="AF319" s="267">
        <f t="shared" si="39"/>
        <v>0</v>
      </c>
      <c r="AG319" s="266">
        <f>IF($Z319="",0,Shares!L319)</f>
        <v>0</v>
      </c>
      <c r="AH319" s="267">
        <f>IF($Z319="",0,Shares!M319)</f>
        <v>0</v>
      </c>
      <c r="AI319" s="243" t="str">
        <f>IF($Z319="","",RANK(AE319,$AE$2:$AE$1001)+COUNTIF($AE$2:AE319,AE319)-1)</f>
        <v/>
      </c>
      <c r="AJ319" s="243" t="str">
        <f>IF($AD319&lt;0,COUNT($AJ$1:AJ318)+1,"")</f>
        <v/>
      </c>
      <c r="AL319" s="243" t="str">
        <f>'All Ticker P&amp;L'!A319</f>
        <v/>
      </c>
      <c r="AM319" s="243" t="str">
        <f>'All Ticker P&amp;L'!B319</f>
        <v/>
      </c>
      <c r="AN319" s="243" t="str">
        <f>'All Ticker P&amp;L'!C319</f>
        <v/>
      </c>
      <c r="AO319" s="243" t="str">
        <f>'All Ticker P&amp;L'!D319</f>
        <v/>
      </c>
      <c r="AP319" s="243">
        <f>IF($AL319="",0,'All Ticker P&amp;L'!E319)</f>
        <v>0</v>
      </c>
      <c r="AQ319" s="266">
        <f>IF($AL319="",0,'All Ticker P&amp;L'!J319*'All Ticker P&amp;L'!I319)</f>
        <v>0</v>
      </c>
      <c r="AR319" s="266">
        <f>IF($AL319="",0,'All Ticker P&amp;L'!L319)</f>
        <v>0</v>
      </c>
      <c r="AS319" s="267">
        <f>IF($AL319="",0,'All Ticker P&amp;L'!M319)</f>
        <v>0</v>
      </c>
      <c r="AT319" s="243" t="str">
        <f>IF($AL319="","",RANK(AR319,$AR$2:$AR$1001)+COUNTIF($AR$2:AR319,AR319)-1)</f>
        <v/>
      </c>
      <c r="AU319" s="243" t="str">
        <f>IF($AL319="","",RANK(AV319,$AV$2:$AV$1001)+COUNTIF($AV$2:AV319,AV319)-1)</f>
        <v/>
      </c>
      <c r="AV319" s="266">
        <f t="shared" si="40"/>
        <v>0</v>
      </c>
    </row>
    <row r="320" spans="26:48" ht="15" customHeight="1" x14ac:dyDescent="0.2">
      <c r="Z320" s="243" t="str">
        <f>Shares!A320</f>
        <v/>
      </c>
      <c r="AA320" s="243" t="str">
        <f>Shares!B320</f>
        <v/>
      </c>
      <c r="AB320" s="243" t="str">
        <f>Shares!C320</f>
        <v/>
      </c>
      <c r="AC320" s="243" t="str">
        <f>Shares!D320</f>
        <v/>
      </c>
      <c r="AD320" s="243">
        <f>IF($Z320="",0,Shares!E320)</f>
        <v>0</v>
      </c>
      <c r="AE320" s="266">
        <f>IF($Z320="",0,Shares!J320*Shares!I320)</f>
        <v>0</v>
      </c>
      <c r="AF320" s="267">
        <f t="shared" si="39"/>
        <v>0</v>
      </c>
      <c r="AG320" s="266">
        <f>IF($Z320="",0,Shares!L320)</f>
        <v>0</v>
      </c>
      <c r="AH320" s="267">
        <f>IF($Z320="",0,Shares!M320)</f>
        <v>0</v>
      </c>
      <c r="AI320" s="243" t="str">
        <f>IF($Z320="","",RANK(AE320,$AE$2:$AE$1001)+COUNTIF($AE$2:AE320,AE320)-1)</f>
        <v/>
      </c>
      <c r="AJ320" s="243" t="str">
        <f>IF($AD320&lt;0,COUNT($AJ$1:AJ319)+1,"")</f>
        <v/>
      </c>
      <c r="AL320" s="243" t="str">
        <f>'All Ticker P&amp;L'!A320</f>
        <v/>
      </c>
      <c r="AM320" s="243" t="str">
        <f>'All Ticker P&amp;L'!B320</f>
        <v/>
      </c>
      <c r="AN320" s="243" t="str">
        <f>'All Ticker P&amp;L'!C320</f>
        <v/>
      </c>
      <c r="AO320" s="243" t="str">
        <f>'All Ticker P&amp;L'!D320</f>
        <v/>
      </c>
      <c r="AP320" s="243">
        <f>IF($AL320="",0,'All Ticker P&amp;L'!E320)</f>
        <v>0</v>
      </c>
      <c r="AQ320" s="266">
        <f>IF($AL320="",0,'All Ticker P&amp;L'!J320*'All Ticker P&amp;L'!I320)</f>
        <v>0</v>
      </c>
      <c r="AR320" s="266">
        <f>IF($AL320="",0,'All Ticker P&amp;L'!L320)</f>
        <v>0</v>
      </c>
      <c r="AS320" s="267">
        <f>IF($AL320="",0,'All Ticker P&amp;L'!M320)</f>
        <v>0</v>
      </c>
      <c r="AT320" s="243" t="str">
        <f>IF($AL320="","",RANK(AR320,$AR$2:$AR$1001)+COUNTIF($AR$2:AR320,AR320)-1)</f>
        <v/>
      </c>
      <c r="AU320" s="243" t="str">
        <f>IF($AL320="","",RANK(AV320,$AV$2:$AV$1001)+COUNTIF($AV$2:AV320,AV320)-1)</f>
        <v/>
      </c>
      <c r="AV320" s="266">
        <f t="shared" si="40"/>
        <v>0</v>
      </c>
    </row>
    <row r="321" spans="26:48" ht="15" customHeight="1" x14ac:dyDescent="0.2">
      <c r="Z321" s="243" t="str">
        <f>Shares!A321</f>
        <v/>
      </c>
      <c r="AA321" s="243" t="str">
        <f>Shares!B321</f>
        <v/>
      </c>
      <c r="AB321" s="243" t="str">
        <f>Shares!C321</f>
        <v/>
      </c>
      <c r="AC321" s="243" t="str">
        <f>Shares!D321</f>
        <v/>
      </c>
      <c r="AD321" s="243">
        <f>IF($Z321="",0,Shares!E321)</f>
        <v>0</v>
      </c>
      <c r="AE321" s="266">
        <f>IF($Z321="",0,Shares!J321*Shares!I321)</f>
        <v>0</v>
      </c>
      <c r="AF321" s="267">
        <f t="shared" si="39"/>
        <v>0</v>
      </c>
      <c r="AG321" s="266">
        <f>IF($Z321="",0,Shares!L321)</f>
        <v>0</v>
      </c>
      <c r="AH321" s="267">
        <f>IF($Z321="",0,Shares!M321)</f>
        <v>0</v>
      </c>
      <c r="AI321" s="243" t="str">
        <f>IF($Z321="","",RANK(AE321,$AE$2:$AE$1001)+COUNTIF($AE$2:AE321,AE321)-1)</f>
        <v/>
      </c>
      <c r="AJ321" s="243" t="str">
        <f>IF($AD321&lt;0,COUNT($AJ$1:AJ320)+1,"")</f>
        <v/>
      </c>
      <c r="AL321" s="243" t="str">
        <f>'All Ticker P&amp;L'!A321</f>
        <v/>
      </c>
      <c r="AM321" s="243" t="str">
        <f>'All Ticker P&amp;L'!B321</f>
        <v/>
      </c>
      <c r="AN321" s="243" t="str">
        <f>'All Ticker P&amp;L'!C321</f>
        <v/>
      </c>
      <c r="AO321" s="243" t="str">
        <f>'All Ticker P&amp;L'!D321</f>
        <v/>
      </c>
      <c r="AP321" s="243">
        <f>IF($AL321="",0,'All Ticker P&amp;L'!E321)</f>
        <v>0</v>
      </c>
      <c r="AQ321" s="266">
        <f>IF($AL321="",0,'All Ticker P&amp;L'!J321*'All Ticker P&amp;L'!I321)</f>
        <v>0</v>
      </c>
      <c r="AR321" s="266">
        <f>IF($AL321="",0,'All Ticker P&amp;L'!L321)</f>
        <v>0</v>
      </c>
      <c r="AS321" s="267">
        <f>IF($AL321="",0,'All Ticker P&amp;L'!M321)</f>
        <v>0</v>
      </c>
      <c r="AT321" s="243" t="str">
        <f>IF($AL321="","",RANK(AR321,$AR$2:$AR$1001)+COUNTIF($AR$2:AR321,AR321)-1)</f>
        <v/>
      </c>
      <c r="AU321" s="243" t="str">
        <f>IF($AL321="","",RANK(AV321,$AV$2:$AV$1001)+COUNTIF($AV$2:AV321,AV321)-1)</f>
        <v/>
      </c>
      <c r="AV321" s="266">
        <f t="shared" si="40"/>
        <v>0</v>
      </c>
    </row>
    <row r="322" spans="26:48" ht="15" customHeight="1" x14ac:dyDescent="0.2">
      <c r="Z322" s="243" t="str">
        <f>Shares!A322</f>
        <v/>
      </c>
      <c r="AA322" s="243" t="str">
        <f>Shares!B322</f>
        <v/>
      </c>
      <c r="AB322" s="243" t="str">
        <f>Shares!C322</f>
        <v/>
      </c>
      <c r="AC322" s="243" t="str">
        <f>Shares!D322</f>
        <v/>
      </c>
      <c r="AD322" s="243">
        <f>IF($Z322="",0,Shares!E322)</f>
        <v>0</v>
      </c>
      <c r="AE322" s="266">
        <f>IF($Z322="",0,Shares!J322*Shares!I322)</f>
        <v>0</v>
      </c>
      <c r="AF322" s="267">
        <f t="shared" ref="AF322:AF385" si="41">IFERROR(AE322/$B$5,0)</f>
        <v>0</v>
      </c>
      <c r="AG322" s="266">
        <f>IF($Z322="",0,Shares!L322)</f>
        <v>0</v>
      </c>
      <c r="AH322" s="267">
        <f>IF($Z322="",0,Shares!M322)</f>
        <v>0</v>
      </c>
      <c r="AI322" s="243" t="str">
        <f>IF($Z322="","",RANK(AE322,$AE$2:$AE$1001)+COUNTIF($AE$2:AE322,AE322)-1)</f>
        <v/>
      </c>
      <c r="AJ322" s="243" t="str">
        <f>IF($AD322&lt;0,COUNT($AJ$1:AJ321)+1,"")</f>
        <v/>
      </c>
      <c r="AL322" s="243" t="str">
        <f>'All Ticker P&amp;L'!A322</f>
        <v/>
      </c>
      <c r="AM322" s="243" t="str">
        <f>'All Ticker P&amp;L'!B322</f>
        <v/>
      </c>
      <c r="AN322" s="243" t="str">
        <f>'All Ticker P&amp;L'!C322</f>
        <v/>
      </c>
      <c r="AO322" s="243" t="str">
        <f>'All Ticker P&amp;L'!D322</f>
        <v/>
      </c>
      <c r="AP322" s="243">
        <f>IF($AL322="",0,'All Ticker P&amp;L'!E322)</f>
        <v>0</v>
      </c>
      <c r="AQ322" s="266">
        <f>IF($AL322="",0,'All Ticker P&amp;L'!J322*'All Ticker P&amp;L'!I322)</f>
        <v>0</v>
      </c>
      <c r="AR322" s="266">
        <f>IF($AL322="",0,'All Ticker P&amp;L'!L322)</f>
        <v>0</v>
      </c>
      <c r="AS322" s="267">
        <f>IF($AL322="",0,'All Ticker P&amp;L'!M322)</f>
        <v>0</v>
      </c>
      <c r="AT322" s="243" t="str">
        <f>IF($AL322="","",RANK(AR322,$AR$2:$AR$1001)+COUNTIF($AR$2:AR322,AR322)-1)</f>
        <v/>
      </c>
      <c r="AU322" s="243" t="str">
        <f>IF($AL322="","",RANK(AV322,$AV$2:$AV$1001)+COUNTIF($AV$2:AV322,AV322)-1)</f>
        <v/>
      </c>
      <c r="AV322" s="266">
        <f t="shared" ref="AV322:AV385" si="42">-AR322</f>
        <v>0</v>
      </c>
    </row>
    <row r="323" spans="26:48" ht="15" customHeight="1" x14ac:dyDescent="0.2">
      <c r="Z323" s="243" t="str">
        <f>Shares!A323</f>
        <v/>
      </c>
      <c r="AA323" s="243" t="str">
        <f>Shares!B323</f>
        <v/>
      </c>
      <c r="AB323" s="243" t="str">
        <f>Shares!C323</f>
        <v/>
      </c>
      <c r="AC323" s="243" t="str">
        <f>Shares!D323</f>
        <v/>
      </c>
      <c r="AD323" s="243">
        <f>IF($Z323="",0,Shares!E323)</f>
        <v>0</v>
      </c>
      <c r="AE323" s="266">
        <f>IF($Z323="",0,Shares!J323*Shares!I323)</f>
        <v>0</v>
      </c>
      <c r="AF323" s="267">
        <f t="shared" si="41"/>
        <v>0</v>
      </c>
      <c r="AG323" s="266">
        <f>IF($Z323="",0,Shares!L323)</f>
        <v>0</v>
      </c>
      <c r="AH323" s="267">
        <f>IF($Z323="",0,Shares!M323)</f>
        <v>0</v>
      </c>
      <c r="AI323" s="243" t="str">
        <f>IF($Z323="","",RANK(AE323,$AE$2:$AE$1001)+COUNTIF($AE$2:AE323,AE323)-1)</f>
        <v/>
      </c>
      <c r="AJ323" s="243" t="str">
        <f>IF($AD323&lt;0,COUNT($AJ$1:AJ322)+1,"")</f>
        <v/>
      </c>
      <c r="AL323" s="243" t="str">
        <f>'All Ticker P&amp;L'!A323</f>
        <v/>
      </c>
      <c r="AM323" s="243" t="str">
        <f>'All Ticker P&amp;L'!B323</f>
        <v/>
      </c>
      <c r="AN323" s="243" t="str">
        <f>'All Ticker P&amp;L'!C323</f>
        <v/>
      </c>
      <c r="AO323" s="243" t="str">
        <f>'All Ticker P&amp;L'!D323</f>
        <v/>
      </c>
      <c r="AP323" s="243">
        <f>IF($AL323="",0,'All Ticker P&amp;L'!E323)</f>
        <v>0</v>
      </c>
      <c r="AQ323" s="266">
        <f>IF($AL323="",0,'All Ticker P&amp;L'!J323*'All Ticker P&amp;L'!I323)</f>
        <v>0</v>
      </c>
      <c r="AR323" s="266">
        <f>IF($AL323="",0,'All Ticker P&amp;L'!L323)</f>
        <v>0</v>
      </c>
      <c r="AS323" s="267">
        <f>IF($AL323="",0,'All Ticker P&amp;L'!M323)</f>
        <v>0</v>
      </c>
      <c r="AT323" s="243" t="str">
        <f>IF($AL323="","",RANK(AR323,$AR$2:$AR$1001)+COUNTIF($AR$2:AR323,AR323)-1)</f>
        <v/>
      </c>
      <c r="AU323" s="243" t="str">
        <f>IF($AL323="","",RANK(AV323,$AV$2:$AV$1001)+COUNTIF($AV$2:AV323,AV323)-1)</f>
        <v/>
      </c>
      <c r="AV323" s="266">
        <f t="shared" si="42"/>
        <v>0</v>
      </c>
    </row>
    <row r="324" spans="26:48" ht="15" customHeight="1" x14ac:dyDescent="0.2">
      <c r="Z324" s="243" t="str">
        <f>Shares!A324</f>
        <v/>
      </c>
      <c r="AA324" s="243" t="str">
        <f>Shares!B324</f>
        <v/>
      </c>
      <c r="AB324" s="243" t="str">
        <f>Shares!C324</f>
        <v/>
      </c>
      <c r="AC324" s="243" t="str">
        <f>Shares!D324</f>
        <v/>
      </c>
      <c r="AD324" s="243">
        <f>IF($Z324="",0,Shares!E324)</f>
        <v>0</v>
      </c>
      <c r="AE324" s="266">
        <f>IF($Z324="",0,Shares!J324*Shares!I324)</f>
        <v>0</v>
      </c>
      <c r="AF324" s="267">
        <f t="shared" si="41"/>
        <v>0</v>
      </c>
      <c r="AG324" s="266">
        <f>IF($Z324="",0,Shares!L324)</f>
        <v>0</v>
      </c>
      <c r="AH324" s="267">
        <f>IF($Z324="",0,Shares!M324)</f>
        <v>0</v>
      </c>
      <c r="AI324" s="243" t="str">
        <f>IF($Z324="","",RANK(AE324,$AE$2:$AE$1001)+COUNTIF($AE$2:AE324,AE324)-1)</f>
        <v/>
      </c>
      <c r="AJ324" s="243" t="str">
        <f>IF($AD324&lt;0,COUNT($AJ$1:AJ323)+1,"")</f>
        <v/>
      </c>
      <c r="AL324" s="243" t="str">
        <f>'All Ticker P&amp;L'!A324</f>
        <v/>
      </c>
      <c r="AM324" s="243" t="str">
        <f>'All Ticker P&amp;L'!B324</f>
        <v/>
      </c>
      <c r="AN324" s="243" t="str">
        <f>'All Ticker P&amp;L'!C324</f>
        <v/>
      </c>
      <c r="AO324" s="243" t="str">
        <f>'All Ticker P&amp;L'!D324</f>
        <v/>
      </c>
      <c r="AP324" s="243">
        <f>IF($AL324="",0,'All Ticker P&amp;L'!E324)</f>
        <v>0</v>
      </c>
      <c r="AQ324" s="266">
        <f>IF($AL324="",0,'All Ticker P&amp;L'!J324*'All Ticker P&amp;L'!I324)</f>
        <v>0</v>
      </c>
      <c r="AR324" s="266">
        <f>IF($AL324="",0,'All Ticker P&amp;L'!L324)</f>
        <v>0</v>
      </c>
      <c r="AS324" s="267">
        <f>IF($AL324="",0,'All Ticker P&amp;L'!M324)</f>
        <v>0</v>
      </c>
      <c r="AT324" s="243" t="str">
        <f>IF($AL324="","",RANK(AR324,$AR$2:$AR$1001)+COUNTIF($AR$2:AR324,AR324)-1)</f>
        <v/>
      </c>
      <c r="AU324" s="243" t="str">
        <f>IF($AL324="","",RANK(AV324,$AV$2:$AV$1001)+COUNTIF($AV$2:AV324,AV324)-1)</f>
        <v/>
      </c>
      <c r="AV324" s="266">
        <f t="shared" si="42"/>
        <v>0</v>
      </c>
    </row>
    <row r="325" spans="26:48" ht="15" customHeight="1" x14ac:dyDescent="0.2">
      <c r="Z325" s="243" t="str">
        <f>Shares!A325</f>
        <v/>
      </c>
      <c r="AA325" s="243" t="str">
        <f>Shares!B325</f>
        <v/>
      </c>
      <c r="AB325" s="243" t="str">
        <f>Shares!C325</f>
        <v/>
      </c>
      <c r="AC325" s="243" t="str">
        <f>Shares!D325</f>
        <v/>
      </c>
      <c r="AD325" s="243">
        <f>IF($Z325="",0,Shares!E325)</f>
        <v>0</v>
      </c>
      <c r="AE325" s="266">
        <f>IF($Z325="",0,Shares!J325*Shares!I325)</f>
        <v>0</v>
      </c>
      <c r="AF325" s="267">
        <f t="shared" si="41"/>
        <v>0</v>
      </c>
      <c r="AG325" s="266">
        <f>IF($Z325="",0,Shares!L325)</f>
        <v>0</v>
      </c>
      <c r="AH325" s="267">
        <f>IF($Z325="",0,Shares!M325)</f>
        <v>0</v>
      </c>
      <c r="AI325" s="243" t="str">
        <f>IF($Z325="","",RANK(AE325,$AE$2:$AE$1001)+COUNTIF($AE$2:AE325,AE325)-1)</f>
        <v/>
      </c>
      <c r="AJ325" s="243" t="str">
        <f>IF($AD325&lt;0,COUNT($AJ$1:AJ324)+1,"")</f>
        <v/>
      </c>
      <c r="AL325" s="243" t="str">
        <f>'All Ticker P&amp;L'!A325</f>
        <v/>
      </c>
      <c r="AM325" s="243" t="str">
        <f>'All Ticker P&amp;L'!B325</f>
        <v/>
      </c>
      <c r="AN325" s="243" t="str">
        <f>'All Ticker P&amp;L'!C325</f>
        <v/>
      </c>
      <c r="AO325" s="243" t="str">
        <f>'All Ticker P&amp;L'!D325</f>
        <v/>
      </c>
      <c r="AP325" s="243">
        <f>IF($AL325="",0,'All Ticker P&amp;L'!E325)</f>
        <v>0</v>
      </c>
      <c r="AQ325" s="266">
        <f>IF($AL325="",0,'All Ticker P&amp;L'!J325*'All Ticker P&amp;L'!I325)</f>
        <v>0</v>
      </c>
      <c r="AR325" s="266">
        <f>IF($AL325="",0,'All Ticker P&amp;L'!L325)</f>
        <v>0</v>
      </c>
      <c r="AS325" s="267">
        <f>IF($AL325="",0,'All Ticker P&amp;L'!M325)</f>
        <v>0</v>
      </c>
      <c r="AT325" s="243" t="str">
        <f>IF($AL325="","",RANK(AR325,$AR$2:$AR$1001)+COUNTIF($AR$2:AR325,AR325)-1)</f>
        <v/>
      </c>
      <c r="AU325" s="243" t="str">
        <f>IF($AL325="","",RANK(AV325,$AV$2:$AV$1001)+COUNTIF($AV$2:AV325,AV325)-1)</f>
        <v/>
      </c>
      <c r="AV325" s="266">
        <f t="shared" si="42"/>
        <v>0</v>
      </c>
    </row>
    <row r="326" spans="26:48" ht="15" customHeight="1" x14ac:dyDescent="0.2">
      <c r="Z326" s="243" t="str">
        <f>Shares!A326</f>
        <v/>
      </c>
      <c r="AA326" s="243" t="str">
        <f>Shares!B326</f>
        <v/>
      </c>
      <c r="AB326" s="243" t="str">
        <f>Shares!C326</f>
        <v/>
      </c>
      <c r="AC326" s="243" t="str">
        <f>Shares!D326</f>
        <v/>
      </c>
      <c r="AD326" s="243">
        <f>IF($Z326="",0,Shares!E326)</f>
        <v>0</v>
      </c>
      <c r="AE326" s="266">
        <f>IF($Z326="",0,Shares!J326*Shares!I326)</f>
        <v>0</v>
      </c>
      <c r="AF326" s="267">
        <f t="shared" si="41"/>
        <v>0</v>
      </c>
      <c r="AG326" s="266">
        <f>IF($Z326="",0,Shares!L326)</f>
        <v>0</v>
      </c>
      <c r="AH326" s="267">
        <f>IF($Z326="",0,Shares!M326)</f>
        <v>0</v>
      </c>
      <c r="AI326" s="243" t="str">
        <f>IF($Z326="","",RANK(AE326,$AE$2:$AE$1001)+COUNTIF($AE$2:AE326,AE326)-1)</f>
        <v/>
      </c>
      <c r="AJ326" s="243" t="str">
        <f>IF($AD326&lt;0,COUNT($AJ$1:AJ325)+1,"")</f>
        <v/>
      </c>
      <c r="AL326" s="243" t="str">
        <f>'All Ticker P&amp;L'!A326</f>
        <v/>
      </c>
      <c r="AM326" s="243" t="str">
        <f>'All Ticker P&amp;L'!B326</f>
        <v/>
      </c>
      <c r="AN326" s="243" t="str">
        <f>'All Ticker P&amp;L'!C326</f>
        <v/>
      </c>
      <c r="AO326" s="243" t="str">
        <f>'All Ticker P&amp;L'!D326</f>
        <v/>
      </c>
      <c r="AP326" s="243">
        <f>IF($AL326="",0,'All Ticker P&amp;L'!E326)</f>
        <v>0</v>
      </c>
      <c r="AQ326" s="266">
        <f>IF($AL326="",0,'All Ticker P&amp;L'!J326*'All Ticker P&amp;L'!I326)</f>
        <v>0</v>
      </c>
      <c r="AR326" s="266">
        <f>IF($AL326="",0,'All Ticker P&amp;L'!L326)</f>
        <v>0</v>
      </c>
      <c r="AS326" s="267">
        <f>IF($AL326="",0,'All Ticker P&amp;L'!M326)</f>
        <v>0</v>
      </c>
      <c r="AT326" s="243" t="str">
        <f>IF($AL326="","",RANK(AR326,$AR$2:$AR$1001)+COUNTIF($AR$2:AR326,AR326)-1)</f>
        <v/>
      </c>
      <c r="AU326" s="243" t="str">
        <f>IF($AL326="","",RANK(AV326,$AV$2:$AV$1001)+COUNTIF($AV$2:AV326,AV326)-1)</f>
        <v/>
      </c>
      <c r="AV326" s="266">
        <f t="shared" si="42"/>
        <v>0</v>
      </c>
    </row>
    <row r="327" spans="26:48" ht="15" customHeight="1" x14ac:dyDescent="0.2">
      <c r="Z327" s="243" t="str">
        <f>Shares!A327</f>
        <v/>
      </c>
      <c r="AA327" s="243" t="str">
        <f>Shares!B327</f>
        <v/>
      </c>
      <c r="AB327" s="243" t="str">
        <f>Shares!C327</f>
        <v/>
      </c>
      <c r="AC327" s="243" t="str">
        <f>Shares!D327</f>
        <v/>
      </c>
      <c r="AD327" s="243">
        <f>IF($Z327="",0,Shares!E327)</f>
        <v>0</v>
      </c>
      <c r="AE327" s="266">
        <f>IF($Z327="",0,Shares!J327*Shares!I327)</f>
        <v>0</v>
      </c>
      <c r="AF327" s="267">
        <f t="shared" si="41"/>
        <v>0</v>
      </c>
      <c r="AG327" s="266">
        <f>IF($Z327="",0,Shares!L327)</f>
        <v>0</v>
      </c>
      <c r="AH327" s="267">
        <f>IF($Z327="",0,Shares!M327)</f>
        <v>0</v>
      </c>
      <c r="AI327" s="243" t="str">
        <f>IF($Z327="","",RANK(AE327,$AE$2:$AE$1001)+COUNTIF($AE$2:AE327,AE327)-1)</f>
        <v/>
      </c>
      <c r="AJ327" s="243" t="str">
        <f>IF($AD327&lt;0,COUNT($AJ$1:AJ326)+1,"")</f>
        <v/>
      </c>
      <c r="AL327" s="243" t="str">
        <f>'All Ticker P&amp;L'!A327</f>
        <v/>
      </c>
      <c r="AM327" s="243" t="str">
        <f>'All Ticker P&amp;L'!B327</f>
        <v/>
      </c>
      <c r="AN327" s="243" t="str">
        <f>'All Ticker P&amp;L'!C327</f>
        <v/>
      </c>
      <c r="AO327" s="243" t="str">
        <f>'All Ticker P&amp;L'!D327</f>
        <v/>
      </c>
      <c r="AP327" s="243">
        <f>IF($AL327="",0,'All Ticker P&amp;L'!E327)</f>
        <v>0</v>
      </c>
      <c r="AQ327" s="266">
        <f>IF($AL327="",0,'All Ticker P&amp;L'!J327*'All Ticker P&amp;L'!I327)</f>
        <v>0</v>
      </c>
      <c r="AR327" s="266">
        <f>IF($AL327="",0,'All Ticker P&amp;L'!L327)</f>
        <v>0</v>
      </c>
      <c r="AS327" s="267">
        <f>IF($AL327="",0,'All Ticker P&amp;L'!M327)</f>
        <v>0</v>
      </c>
      <c r="AT327" s="243" t="str">
        <f>IF($AL327="","",RANK(AR327,$AR$2:$AR$1001)+COUNTIF($AR$2:AR327,AR327)-1)</f>
        <v/>
      </c>
      <c r="AU327" s="243" t="str">
        <f>IF($AL327="","",RANK(AV327,$AV$2:$AV$1001)+COUNTIF($AV$2:AV327,AV327)-1)</f>
        <v/>
      </c>
      <c r="AV327" s="266">
        <f t="shared" si="42"/>
        <v>0</v>
      </c>
    </row>
    <row r="328" spans="26:48" ht="15" customHeight="1" x14ac:dyDescent="0.2">
      <c r="Z328" s="243" t="str">
        <f>Shares!A328</f>
        <v/>
      </c>
      <c r="AA328" s="243" t="str">
        <f>Shares!B328</f>
        <v/>
      </c>
      <c r="AB328" s="243" t="str">
        <f>Shares!C328</f>
        <v/>
      </c>
      <c r="AC328" s="243" t="str">
        <f>Shares!D328</f>
        <v/>
      </c>
      <c r="AD328" s="243">
        <f>IF($Z328="",0,Shares!E328)</f>
        <v>0</v>
      </c>
      <c r="AE328" s="266">
        <f>IF($Z328="",0,Shares!J328*Shares!I328)</f>
        <v>0</v>
      </c>
      <c r="AF328" s="267">
        <f t="shared" si="41"/>
        <v>0</v>
      </c>
      <c r="AG328" s="266">
        <f>IF($Z328="",0,Shares!L328)</f>
        <v>0</v>
      </c>
      <c r="AH328" s="267">
        <f>IF($Z328="",0,Shares!M328)</f>
        <v>0</v>
      </c>
      <c r="AI328" s="243" t="str">
        <f>IF($Z328="","",RANK(AE328,$AE$2:$AE$1001)+COUNTIF($AE$2:AE328,AE328)-1)</f>
        <v/>
      </c>
      <c r="AJ328" s="243" t="str">
        <f>IF($AD328&lt;0,COUNT($AJ$1:AJ327)+1,"")</f>
        <v/>
      </c>
      <c r="AL328" s="243" t="str">
        <f>'All Ticker P&amp;L'!A328</f>
        <v/>
      </c>
      <c r="AM328" s="243" t="str">
        <f>'All Ticker P&amp;L'!B328</f>
        <v/>
      </c>
      <c r="AN328" s="243" t="str">
        <f>'All Ticker P&amp;L'!C328</f>
        <v/>
      </c>
      <c r="AO328" s="243" t="str">
        <f>'All Ticker P&amp;L'!D328</f>
        <v/>
      </c>
      <c r="AP328" s="243">
        <f>IF($AL328="",0,'All Ticker P&amp;L'!E328)</f>
        <v>0</v>
      </c>
      <c r="AQ328" s="266">
        <f>IF($AL328="",0,'All Ticker P&amp;L'!J328*'All Ticker P&amp;L'!I328)</f>
        <v>0</v>
      </c>
      <c r="AR328" s="266">
        <f>IF($AL328="",0,'All Ticker P&amp;L'!L328)</f>
        <v>0</v>
      </c>
      <c r="AS328" s="267">
        <f>IF($AL328="",0,'All Ticker P&amp;L'!M328)</f>
        <v>0</v>
      </c>
      <c r="AT328" s="243" t="str">
        <f>IF($AL328="","",RANK(AR328,$AR$2:$AR$1001)+COUNTIF($AR$2:AR328,AR328)-1)</f>
        <v/>
      </c>
      <c r="AU328" s="243" t="str">
        <f>IF($AL328="","",RANK(AV328,$AV$2:$AV$1001)+COUNTIF($AV$2:AV328,AV328)-1)</f>
        <v/>
      </c>
      <c r="AV328" s="266">
        <f t="shared" si="42"/>
        <v>0</v>
      </c>
    </row>
    <row r="329" spans="26:48" ht="15" customHeight="1" x14ac:dyDescent="0.2">
      <c r="Z329" s="243" t="str">
        <f>Shares!A329</f>
        <v/>
      </c>
      <c r="AA329" s="243" t="str">
        <f>Shares!B329</f>
        <v/>
      </c>
      <c r="AB329" s="243" t="str">
        <f>Shares!C329</f>
        <v/>
      </c>
      <c r="AC329" s="243" t="str">
        <f>Shares!D329</f>
        <v/>
      </c>
      <c r="AD329" s="243">
        <f>IF($Z329="",0,Shares!E329)</f>
        <v>0</v>
      </c>
      <c r="AE329" s="266">
        <f>IF($Z329="",0,Shares!J329*Shares!I329)</f>
        <v>0</v>
      </c>
      <c r="AF329" s="267">
        <f t="shared" si="41"/>
        <v>0</v>
      </c>
      <c r="AG329" s="266">
        <f>IF($Z329="",0,Shares!L329)</f>
        <v>0</v>
      </c>
      <c r="AH329" s="267">
        <f>IF($Z329="",0,Shares!M329)</f>
        <v>0</v>
      </c>
      <c r="AI329" s="243" t="str">
        <f>IF($Z329="","",RANK(AE329,$AE$2:$AE$1001)+COUNTIF($AE$2:AE329,AE329)-1)</f>
        <v/>
      </c>
      <c r="AJ329" s="243" t="str">
        <f>IF($AD329&lt;0,COUNT($AJ$1:AJ328)+1,"")</f>
        <v/>
      </c>
      <c r="AL329" s="243" t="str">
        <f>'All Ticker P&amp;L'!A329</f>
        <v/>
      </c>
      <c r="AM329" s="243" t="str">
        <f>'All Ticker P&amp;L'!B329</f>
        <v/>
      </c>
      <c r="AN329" s="243" t="str">
        <f>'All Ticker P&amp;L'!C329</f>
        <v/>
      </c>
      <c r="AO329" s="243" t="str">
        <f>'All Ticker P&amp;L'!D329</f>
        <v/>
      </c>
      <c r="AP329" s="243">
        <f>IF($AL329="",0,'All Ticker P&amp;L'!E329)</f>
        <v>0</v>
      </c>
      <c r="AQ329" s="266">
        <f>IF($AL329="",0,'All Ticker P&amp;L'!J329*'All Ticker P&amp;L'!I329)</f>
        <v>0</v>
      </c>
      <c r="AR329" s="266">
        <f>IF($AL329="",0,'All Ticker P&amp;L'!L329)</f>
        <v>0</v>
      </c>
      <c r="AS329" s="267">
        <f>IF($AL329="",0,'All Ticker P&amp;L'!M329)</f>
        <v>0</v>
      </c>
      <c r="AT329" s="243" t="str">
        <f>IF($AL329="","",RANK(AR329,$AR$2:$AR$1001)+COUNTIF($AR$2:AR329,AR329)-1)</f>
        <v/>
      </c>
      <c r="AU329" s="243" t="str">
        <f>IF($AL329="","",RANK(AV329,$AV$2:$AV$1001)+COUNTIF($AV$2:AV329,AV329)-1)</f>
        <v/>
      </c>
      <c r="AV329" s="266">
        <f t="shared" si="42"/>
        <v>0</v>
      </c>
    </row>
    <row r="330" spans="26:48" ht="15" customHeight="1" x14ac:dyDescent="0.2">
      <c r="Z330" s="243" t="str">
        <f>Shares!A330</f>
        <v/>
      </c>
      <c r="AA330" s="243" t="str">
        <f>Shares!B330</f>
        <v/>
      </c>
      <c r="AB330" s="243" t="str">
        <f>Shares!C330</f>
        <v/>
      </c>
      <c r="AC330" s="243" t="str">
        <f>Shares!D330</f>
        <v/>
      </c>
      <c r="AD330" s="243">
        <f>IF($Z330="",0,Shares!E330)</f>
        <v>0</v>
      </c>
      <c r="AE330" s="266">
        <f>IF($Z330="",0,Shares!J330*Shares!I330)</f>
        <v>0</v>
      </c>
      <c r="AF330" s="267">
        <f t="shared" si="41"/>
        <v>0</v>
      </c>
      <c r="AG330" s="266">
        <f>IF($Z330="",0,Shares!L330)</f>
        <v>0</v>
      </c>
      <c r="AH330" s="267">
        <f>IF($Z330="",0,Shares!M330)</f>
        <v>0</v>
      </c>
      <c r="AI330" s="243" t="str">
        <f>IF($Z330="","",RANK(AE330,$AE$2:$AE$1001)+COUNTIF($AE$2:AE330,AE330)-1)</f>
        <v/>
      </c>
      <c r="AJ330" s="243" t="str">
        <f>IF($AD330&lt;0,COUNT($AJ$1:AJ329)+1,"")</f>
        <v/>
      </c>
      <c r="AL330" s="243" t="str">
        <f>'All Ticker P&amp;L'!A330</f>
        <v/>
      </c>
      <c r="AM330" s="243" t="str">
        <f>'All Ticker P&amp;L'!B330</f>
        <v/>
      </c>
      <c r="AN330" s="243" t="str">
        <f>'All Ticker P&amp;L'!C330</f>
        <v/>
      </c>
      <c r="AO330" s="243" t="str">
        <f>'All Ticker P&amp;L'!D330</f>
        <v/>
      </c>
      <c r="AP330" s="243">
        <f>IF($AL330="",0,'All Ticker P&amp;L'!E330)</f>
        <v>0</v>
      </c>
      <c r="AQ330" s="266">
        <f>IF($AL330="",0,'All Ticker P&amp;L'!J330*'All Ticker P&amp;L'!I330)</f>
        <v>0</v>
      </c>
      <c r="AR330" s="266">
        <f>IF($AL330="",0,'All Ticker P&amp;L'!L330)</f>
        <v>0</v>
      </c>
      <c r="AS330" s="267">
        <f>IF($AL330="",0,'All Ticker P&amp;L'!M330)</f>
        <v>0</v>
      </c>
      <c r="AT330" s="243" t="str">
        <f>IF($AL330="","",RANK(AR330,$AR$2:$AR$1001)+COUNTIF($AR$2:AR330,AR330)-1)</f>
        <v/>
      </c>
      <c r="AU330" s="243" t="str">
        <f>IF($AL330="","",RANK(AV330,$AV$2:$AV$1001)+COUNTIF($AV$2:AV330,AV330)-1)</f>
        <v/>
      </c>
      <c r="AV330" s="266">
        <f t="shared" si="42"/>
        <v>0</v>
      </c>
    </row>
    <row r="331" spans="26:48" ht="15" customHeight="1" x14ac:dyDescent="0.2">
      <c r="Z331" s="243" t="str">
        <f>Shares!A331</f>
        <v/>
      </c>
      <c r="AA331" s="243" t="str">
        <f>Shares!B331</f>
        <v/>
      </c>
      <c r="AB331" s="243" t="str">
        <f>Shares!C331</f>
        <v/>
      </c>
      <c r="AC331" s="243" t="str">
        <f>Shares!D331</f>
        <v/>
      </c>
      <c r="AD331" s="243">
        <f>IF($Z331="",0,Shares!E331)</f>
        <v>0</v>
      </c>
      <c r="AE331" s="266">
        <f>IF($Z331="",0,Shares!J331*Shares!I331)</f>
        <v>0</v>
      </c>
      <c r="AF331" s="267">
        <f t="shared" si="41"/>
        <v>0</v>
      </c>
      <c r="AG331" s="266">
        <f>IF($Z331="",0,Shares!L331)</f>
        <v>0</v>
      </c>
      <c r="AH331" s="267">
        <f>IF($Z331="",0,Shares!M331)</f>
        <v>0</v>
      </c>
      <c r="AI331" s="243" t="str">
        <f>IF($Z331="","",RANK(AE331,$AE$2:$AE$1001)+COUNTIF($AE$2:AE331,AE331)-1)</f>
        <v/>
      </c>
      <c r="AJ331" s="243" t="str">
        <f>IF($AD331&lt;0,COUNT($AJ$1:AJ330)+1,"")</f>
        <v/>
      </c>
      <c r="AL331" s="243" t="str">
        <f>'All Ticker P&amp;L'!A331</f>
        <v/>
      </c>
      <c r="AM331" s="243" t="str">
        <f>'All Ticker P&amp;L'!B331</f>
        <v/>
      </c>
      <c r="AN331" s="243" t="str">
        <f>'All Ticker P&amp;L'!C331</f>
        <v/>
      </c>
      <c r="AO331" s="243" t="str">
        <f>'All Ticker P&amp;L'!D331</f>
        <v/>
      </c>
      <c r="AP331" s="243">
        <f>IF($AL331="",0,'All Ticker P&amp;L'!E331)</f>
        <v>0</v>
      </c>
      <c r="AQ331" s="266">
        <f>IF($AL331="",0,'All Ticker P&amp;L'!J331*'All Ticker P&amp;L'!I331)</f>
        <v>0</v>
      </c>
      <c r="AR331" s="266">
        <f>IF($AL331="",0,'All Ticker P&amp;L'!L331)</f>
        <v>0</v>
      </c>
      <c r="AS331" s="267">
        <f>IF($AL331="",0,'All Ticker P&amp;L'!M331)</f>
        <v>0</v>
      </c>
      <c r="AT331" s="243" t="str">
        <f>IF($AL331="","",RANK(AR331,$AR$2:$AR$1001)+COUNTIF($AR$2:AR331,AR331)-1)</f>
        <v/>
      </c>
      <c r="AU331" s="243" t="str">
        <f>IF($AL331="","",RANK(AV331,$AV$2:$AV$1001)+COUNTIF($AV$2:AV331,AV331)-1)</f>
        <v/>
      </c>
      <c r="AV331" s="266">
        <f t="shared" si="42"/>
        <v>0</v>
      </c>
    </row>
    <row r="332" spans="26:48" ht="15" customHeight="1" x14ac:dyDescent="0.2">
      <c r="Z332" s="243" t="str">
        <f>Shares!A332</f>
        <v/>
      </c>
      <c r="AA332" s="243" t="str">
        <f>Shares!B332</f>
        <v/>
      </c>
      <c r="AB332" s="243" t="str">
        <f>Shares!C332</f>
        <v/>
      </c>
      <c r="AC332" s="243" t="str">
        <f>Shares!D332</f>
        <v/>
      </c>
      <c r="AD332" s="243">
        <f>IF($Z332="",0,Shares!E332)</f>
        <v>0</v>
      </c>
      <c r="AE332" s="266">
        <f>IF($Z332="",0,Shares!J332*Shares!I332)</f>
        <v>0</v>
      </c>
      <c r="AF332" s="267">
        <f t="shared" si="41"/>
        <v>0</v>
      </c>
      <c r="AG332" s="266">
        <f>IF($Z332="",0,Shares!L332)</f>
        <v>0</v>
      </c>
      <c r="AH332" s="267">
        <f>IF($Z332="",0,Shares!M332)</f>
        <v>0</v>
      </c>
      <c r="AI332" s="243" t="str">
        <f>IF($Z332="","",RANK(AE332,$AE$2:$AE$1001)+COUNTIF($AE$2:AE332,AE332)-1)</f>
        <v/>
      </c>
      <c r="AJ332" s="243" t="str">
        <f>IF($AD332&lt;0,COUNT($AJ$1:AJ331)+1,"")</f>
        <v/>
      </c>
      <c r="AL332" s="243" t="str">
        <f>'All Ticker P&amp;L'!A332</f>
        <v/>
      </c>
      <c r="AM332" s="243" t="str">
        <f>'All Ticker P&amp;L'!B332</f>
        <v/>
      </c>
      <c r="AN332" s="243" t="str">
        <f>'All Ticker P&amp;L'!C332</f>
        <v/>
      </c>
      <c r="AO332" s="243" t="str">
        <f>'All Ticker P&amp;L'!D332</f>
        <v/>
      </c>
      <c r="AP332" s="243">
        <f>IF($AL332="",0,'All Ticker P&amp;L'!E332)</f>
        <v>0</v>
      </c>
      <c r="AQ332" s="266">
        <f>IF($AL332="",0,'All Ticker P&amp;L'!J332*'All Ticker P&amp;L'!I332)</f>
        <v>0</v>
      </c>
      <c r="AR332" s="266">
        <f>IF($AL332="",0,'All Ticker P&amp;L'!L332)</f>
        <v>0</v>
      </c>
      <c r="AS332" s="267">
        <f>IF($AL332="",0,'All Ticker P&amp;L'!M332)</f>
        <v>0</v>
      </c>
      <c r="AT332" s="243" t="str">
        <f>IF($AL332="","",RANK(AR332,$AR$2:$AR$1001)+COUNTIF($AR$2:AR332,AR332)-1)</f>
        <v/>
      </c>
      <c r="AU332" s="243" t="str">
        <f>IF($AL332="","",RANK(AV332,$AV$2:$AV$1001)+COUNTIF($AV$2:AV332,AV332)-1)</f>
        <v/>
      </c>
      <c r="AV332" s="266">
        <f t="shared" si="42"/>
        <v>0</v>
      </c>
    </row>
    <row r="333" spans="26:48" ht="15" customHeight="1" x14ac:dyDescent="0.2">
      <c r="Z333" s="243" t="str">
        <f>Shares!A333</f>
        <v/>
      </c>
      <c r="AA333" s="243" t="str">
        <f>Shares!B333</f>
        <v/>
      </c>
      <c r="AB333" s="243" t="str">
        <f>Shares!C333</f>
        <v/>
      </c>
      <c r="AC333" s="243" t="str">
        <f>Shares!D333</f>
        <v/>
      </c>
      <c r="AD333" s="243">
        <f>IF($Z333="",0,Shares!E333)</f>
        <v>0</v>
      </c>
      <c r="AE333" s="266">
        <f>IF($Z333="",0,Shares!J333*Shares!I333)</f>
        <v>0</v>
      </c>
      <c r="AF333" s="267">
        <f t="shared" si="41"/>
        <v>0</v>
      </c>
      <c r="AG333" s="266">
        <f>IF($Z333="",0,Shares!L333)</f>
        <v>0</v>
      </c>
      <c r="AH333" s="267">
        <f>IF($Z333="",0,Shares!M333)</f>
        <v>0</v>
      </c>
      <c r="AI333" s="243" t="str">
        <f>IF($Z333="","",RANK(AE333,$AE$2:$AE$1001)+COUNTIF($AE$2:AE333,AE333)-1)</f>
        <v/>
      </c>
      <c r="AJ333" s="243" t="str">
        <f>IF($AD333&lt;0,COUNT($AJ$1:AJ332)+1,"")</f>
        <v/>
      </c>
      <c r="AL333" s="243" t="str">
        <f>'All Ticker P&amp;L'!A333</f>
        <v/>
      </c>
      <c r="AM333" s="243" t="str">
        <f>'All Ticker P&amp;L'!B333</f>
        <v/>
      </c>
      <c r="AN333" s="243" t="str">
        <f>'All Ticker P&amp;L'!C333</f>
        <v/>
      </c>
      <c r="AO333" s="243" t="str">
        <f>'All Ticker P&amp;L'!D333</f>
        <v/>
      </c>
      <c r="AP333" s="243">
        <f>IF($AL333="",0,'All Ticker P&amp;L'!E333)</f>
        <v>0</v>
      </c>
      <c r="AQ333" s="266">
        <f>IF($AL333="",0,'All Ticker P&amp;L'!J333*'All Ticker P&amp;L'!I333)</f>
        <v>0</v>
      </c>
      <c r="AR333" s="266">
        <f>IF($AL333="",0,'All Ticker P&amp;L'!L333)</f>
        <v>0</v>
      </c>
      <c r="AS333" s="267">
        <f>IF($AL333="",0,'All Ticker P&amp;L'!M333)</f>
        <v>0</v>
      </c>
      <c r="AT333" s="243" t="str">
        <f>IF($AL333="","",RANK(AR333,$AR$2:$AR$1001)+COUNTIF($AR$2:AR333,AR333)-1)</f>
        <v/>
      </c>
      <c r="AU333" s="243" t="str">
        <f>IF($AL333="","",RANK(AV333,$AV$2:$AV$1001)+COUNTIF($AV$2:AV333,AV333)-1)</f>
        <v/>
      </c>
      <c r="AV333" s="266">
        <f t="shared" si="42"/>
        <v>0</v>
      </c>
    </row>
    <row r="334" spans="26:48" ht="15" customHeight="1" x14ac:dyDescent="0.2">
      <c r="Z334" s="243" t="str">
        <f>Shares!A334</f>
        <v/>
      </c>
      <c r="AA334" s="243" t="str">
        <f>Shares!B334</f>
        <v/>
      </c>
      <c r="AB334" s="243" t="str">
        <f>Shares!C334</f>
        <v/>
      </c>
      <c r="AC334" s="243" t="str">
        <f>Shares!D334</f>
        <v/>
      </c>
      <c r="AD334" s="243">
        <f>IF($Z334="",0,Shares!E334)</f>
        <v>0</v>
      </c>
      <c r="AE334" s="266">
        <f>IF($Z334="",0,Shares!J334*Shares!I334)</f>
        <v>0</v>
      </c>
      <c r="AF334" s="267">
        <f t="shared" si="41"/>
        <v>0</v>
      </c>
      <c r="AG334" s="266">
        <f>IF($Z334="",0,Shares!L334)</f>
        <v>0</v>
      </c>
      <c r="AH334" s="267">
        <f>IF($Z334="",0,Shares!M334)</f>
        <v>0</v>
      </c>
      <c r="AI334" s="243" t="str">
        <f>IF($Z334="","",RANK(AE334,$AE$2:$AE$1001)+COUNTIF($AE$2:AE334,AE334)-1)</f>
        <v/>
      </c>
      <c r="AJ334" s="243" t="str">
        <f>IF($AD334&lt;0,COUNT($AJ$1:AJ333)+1,"")</f>
        <v/>
      </c>
      <c r="AL334" s="243" t="str">
        <f>'All Ticker P&amp;L'!A334</f>
        <v/>
      </c>
      <c r="AM334" s="243" t="str">
        <f>'All Ticker P&amp;L'!B334</f>
        <v/>
      </c>
      <c r="AN334" s="243" t="str">
        <f>'All Ticker P&amp;L'!C334</f>
        <v/>
      </c>
      <c r="AO334" s="243" t="str">
        <f>'All Ticker P&amp;L'!D334</f>
        <v/>
      </c>
      <c r="AP334" s="243">
        <f>IF($AL334="",0,'All Ticker P&amp;L'!E334)</f>
        <v>0</v>
      </c>
      <c r="AQ334" s="266">
        <f>IF($AL334="",0,'All Ticker P&amp;L'!J334*'All Ticker P&amp;L'!I334)</f>
        <v>0</v>
      </c>
      <c r="AR334" s="266">
        <f>IF($AL334="",0,'All Ticker P&amp;L'!L334)</f>
        <v>0</v>
      </c>
      <c r="AS334" s="267">
        <f>IF($AL334="",0,'All Ticker P&amp;L'!M334)</f>
        <v>0</v>
      </c>
      <c r="AT334" s="243" t="str">
        <f>IF($AL334="","",RANK(AR334,$AR$2:$AR$1001)+COUNTIF($AR$2:AR334,AR334)-1)</f>
        <v/>
      </c>
      <c r="AU334" s="243" t="str">
        <f>IF($AL334="","",RANK(AV334,$AV$2:$AV$1001)+COUNTIF($AV$2:AV334,AV334)-1)</f>
        <v/>
      </c>
      <c r="AV334" s="266">
        <f t="shared" si="42"/>
        <v>0</v>
      </c>
    </row>
    <row r="335" spans="26:48" ht="15" customHeight="1" x14ac:dyDescent="0.2">
      <c r="Z335" s="243" t="str">
        <f>Shares!A335</f>
        <v/>
      </c>
      <c r="AA335" s="243" t="str">
        <f>Shares!B335</f>
        <v/>
      </c>
      <c r="AB335" s="243" t="str">
        <f>Shares!C335</f>
        <v/>
      </c>
      <c r="AC335" s="243" t="str">
        <f>Shares!D335</f>
        <v/>
      </c>
      <c r="AD335" s="243">
        <f>IF($Z335="",0,Shares!E335)</f>
        <v>0</v>
      </c>
      <c r="AE335" s="266">
        <f>IF($Z335="",0,Shares!J335*Shares!I335)</f>
        <v>0</v>
      </c>
      <c r="AF335" s="267">
        <f t="shared" si="41"/>
        <v>0</v>
      </c>
      <c r="AG335" s="266">
        <f>IF($Z335="",0,Shares!L335)</f>
        <v>0</v>
      </c>
      <c r="AH335" s="267">
        <f>IF($Z335="",0,Shares!M335)</f>
        <v>0</v>
      </c>
      <c r="AI335" s="243" t="str">
        <f>IF($Z335="","",RANK(AE335,$AE$2:$AE$1001)+COUNTIF($AE$2:AE335,AE335)-1)</f>
        <v/>
      </c>
      <c r="AJ335" s="243" t="str">
        <f>IF($AD335&lt;0,COUNT($AJ$1:AJ334)+1,"")</f>
        <v/>
      </c>
      <c r="AL335" s="243" t="str">
        <f>'All Ticker P&amp;L'!A335</f>
        <v/>
      </c>
      <c r="AM335" s="243" t="str">
        <f>'All Ticker P&amp;L'!B335</f>
        <v/>
      </c>
      <c r="AN335" s="243" t="str">
        <f>'All Ticker P&amp;L'!C335</f>
        <v/>
      </c>
      <c r="AO335" s="243" t="str">
        <f>'All Ticker P&amp;L'!D335</f>
        <v/>
      </c>
      <c r="AP335" s="243">
        <f>IF($AL335="",0,'All Ticker P&amp;L'!E335)</f>
        <v>0</v>
      </c>
      <c r="AQ335" s="266">
        <f>IF($AL335="",0,'All Ticker P&amp;L'!J335*'All Ticker P&amp;L'!I335)</f>
        <v>0</v>
      </c>
      <c r="AR335" s="266">
        <f>IF($AL335="",0,'All Ticker P&amp;L'!L335)</f>
        <v>0</v>
      </c>
      <c r="AS335" s="267">
        <f>IF($AL335="",0,'All Ticker P&amp;L'!M335)</f>
        <v>0</v>
      </c>
      <c r="AT335" s="243" t="str">
        <f>IF($AL335="","",RANK(AR335,$AR$2:$AR$1001)+COUNTIF($AR$2:AR335,AR335)-1)</f>
        <v/>
      </c>
      <c r="AU335" s="243" t="str">
        <f>IF($AL335="","",RANK(AV335,$AV$2:$AV$1001)+COUNTIF($AV$2:AV335,AV335)-1)</f>
        <v/>
      </c>
      <c r="AV335" s="266">
        <f t="shared" si="42"/>
        <v>0</v>
      </c>
    </row>
    <row r="336" spans="26:48" ht="15" customHeight="1" x14ac:dyDescent="0.2">
      <c r="Z336" s="243" t="str">
        <f>Shares!A336</f>
        <v/>
      </c>
      <c r="AA336" s="243" t="str">
        <f>Shares!B336</f>
        <v/>
      </c>
      <c r="AB336" s="243" t="str">
        <f>Shares!C336</f>
        <v/>
      </c>
      <c r="AC336" s="243" t="str">
        <f>Shares!D336</f>
        <v/>
      </c>
      <c r="AD336" s="243">
        <f>IF($Z336="",0,Shares!E336)</f>
        <v>0</v>
      </c>
      <c r="AE336" s="266">
        <f>IF($Z336="",0,Shares!J336*Shares!I336)</f>
        <v>0</v>
      </c>
      <c r="AF336" s="267">
        <f t="shared" si="41"/>
        <v>0</v>
      </c>
      <c r="AG336" s="266">
        <f>IF($Z336="",0,Shares!L336)</f>
        <v>0</v>
      </c>
      <c r="AH336" s="267">
        <f>IF($Z336="",0,Shares!M336)</f>
        <v>0</v>
      </c>
      <c r="AI336" s="243" t="str">
        <f>IF($Z336="","",RANK(AE336,$AE$2:$AE$1001)+COUNTIF($AE$2:AE336,AE336)-1)</f>
        <v/>
      </c>
      <c r="AJ336" s="243" t="str">
        <f>IF($AD336&lt;0,COUNT($AJ$1:AJ335)+1,"")</f>
        <v/>
      </c>
      <c r="AL336" s="243" t="str">
        <f>'All Ticker P&amp;L'!A336</f>
        <v/>
      </c>
      <c r="AM336" s="243" t="str">
        <f>'All Ticker P&amp;L'!B336</f>
        <v/>
      </c>
      <c r="AN336" s="243" t="str">
        <f>'All Ticker P&amp;L'!C336</f>
        <v/>
      </c>
      <c r="AO336" s="243" t="str">
        <f>'All Ticker P&amp;L'!D336</f>
        <v/>
      </c>
      <c r="AP336" s="243">
        <f>IF($AL336="",0,'All Ticker P&amp;L'!E336)</f>
        <v>0</v>
      </c>
      <c r="AQ336" s="266">
        <f>IF($AL336="",0,'All Ticker P&amp;L'!J336*'All Ticker P&amp;L'!I336)</f>
        <v>0</v>
      </c>
      <c r="AR336" s="266">
        <f>IF($AL336="",0,'All Ticker P&amp;L'!L336)</f>
        <v>0</v>
      </c>
      <c r="AS336" s="267">
        <f>IF($AL336="",0,'All Ticker P&amp;L'!M336)</f>
        <v>0</v>
      </c>
      <c r="AT336" s="243" t="str">
        <f>IF($AL336="","",RANK(AR336,$AR$2:$AR$1001)+COUNTIF($AR$2:AR336,AR336)-1)</f>
        <v/>
      </c>
      <c r="AU336" s="243" t="str">
        <f>IF($AL336="","",RANK(AV336,$AV$2:$AV$1001)+COUNTIF($AV$2:AV336,AV336)-1)</f>
        <v/>
      </c>
      <c r="AV336" s="266">
        <f t="shared" si="42"/>
        <v>0</v>
      </c>
    </row>
    <row r="337" spans="26:48" ht="15" customHeight="1" x14ac:dyDescent="0.2">
      <c r="Z337" s="243" t="str">
        <f>Shares!A337</f>
        <v/>
      </c>
      <c r="AA337" s="243" t="str">
        <f>Shares!B337</f>
        <v/>
      </c>
      <c r="AB337" s="243" t="str">
        <f>Shares!C337</f>
        <v/>
      </c>
      <c r="AC337" s="243" t="str">
        <f>Shares!D337</f>
        <v/>
      </c>
      <c r="AD337" s="243">
        <f>IF($Z337="",0,Shares!E337)</f>
        <v>0</v>
      </c>
      <c r="AE337" s="266">
        <f>IF($Z337="",0,Shares!J337*Shares!I337)</f>
        <v>0</v>
      </c>
      <c r="AF337" s="267">
        <f t="shared" si="41"/>
        <v>0</v>
      </c>
      <c r="AG337" s="266">
        <f>IF($Z337="",0,Shares!L337)</f>
        <v>0</v>
      </c>
      <c r="AH337" s="267">
        <f>IF($Z337="",0,Shares!M337)</f>
        <v>0</v>
      </c>
      <c r="AI337" s="243" t="str">
        <f>IF($Z337="","",RANK(AE337,$AE$2:$AE$1001)+COUNTIF($AE$2:AE337,AE337)-1)</f>
        <v/>
      </c>
      <c r="AJ337" s="243" t="str">
        <f>IF($AD337&lt;0,COUNT($AJ$1:AJ336)+1,"")</f>
        <v/>
      </c>
      <c r="AL337" s="243" t="str">
        <f>'All Ticker P&amp;L'!A337</f>
        <v/>
      </c>
      <c r="AM337" s="243" t="str">
        <f>'All Ticker P&amp;L'!B337</f>
        <v/>
      </c>
      <c r="AN337" s="243" t="str">
        <f>'All Ticker P&amp;L'!C337</f>
        <v/>
      </c>
      <c r="AO337" s="243" t="str">
        <f>'All Ticker P&amp;L'!D337</f>
        <v/>
      </c>
      <c r="AP337" s="243">
        <f>IF($AL337="",0,'All Ticker P&amp;L'!E337)</f>
        <v>0</v>
      </c>
      <c r="AQ337" s="266">
        <f>IF($AL337="",0,'All Ticker P&amp;L'!J337*'All Ticker P&amp;L'!I337)</f>
        <v>0</v>
      </c>
      <c r="AR337" s="266">
        <f>IF($AL337="",0,'All Ticker P&amp;L'!L337)</f>
        <v>0</v>
      </c>
      <c r="AS337" s="267">
        <f>IF($AL337="",0,'All Ticker P&amp;L'!M337)</f>
        <v>0</v>
      </c>
      <c r="AT337" s="243" t="str">
        <f>IF($AL337="","",RANK(AR337,$AR$2:$AR$1001)+COUNTIF($AR$2:AR337,AR337)-1)</f>
        <v/>
      </c>
      <c r="AU337" s="243" t="str">
        <f>IF($AL337="","",RANK(AV337,$AV$2:$AV$1001)+COUNTIF($AV$2:AV337,AV337)-1)</f>
        <v/>
      </c>
      <c r="AV337" s="266">
        <f t="shared" si="42"/>
        <v>0</v>
      </c>
    </row>
    <row r="338" spans="26:48" ht="15" customHeight="1" x14ac:dyDescent="0.2">
      <c r="Z338" s="243" t="str">
        <f>Shares!A338</f>
        <v/>
      </c>
      <c r="AA338" s="243" t="str">
        <f>Shares!B338</f>
        <v/>
      </c>
      <c r="AB338" s="243" t="str">
        <f>Shares!C338</f>
        <v/>
      </c>
      <c r="AC338" s="243" t="str">
        <f>Shares!D338</f>
        <v/>
      </c>
      <c r="AD338" s="243">
        <f>IF($Z338="",0,Shares!E338)</f>
        <v>0</v>
      </c>
      <c r="AE338" s="266">
        <f>IF($Z338="",0,Shares!J338*Shares!I338)</f>
        <v>0</v>
      </c>
      <c r="AF338" s="267">
        <f t="shared" si="41"/>
        <v>0</v>
      </c>
      <c r="AG338" s="266">
        <f>IF($Z338="",0,Shares!L338)</f>
        <v>0</v>
      </c>
      <c r="AH338" s="267">
        <f>IF($Z338="",0,Shares!M338)</f>
        <v>0</v>
      </c>
      <c r="AI338" s="243" t="str">
        <f>IF($Z338="","",RANK(AE338,$AE$2:$AE$1001)+COUNTIF($AE$2:AE338,AE338)-1)</f>
        <v/>
      </c>
      <c r="AJ338" s="243" t="str">
        <f>IF($AD338&lt;0,COUNT($AJ$1:AJ337)+1,"")</f>
        <v/>
      </c>
      <c r="AL338" s="243" t="str">
        <f>'All Ticker P&amp;L'!A338</f>
        <v/>
      </c>
      <c r="AM338" s="243" t="str">
        <f>'All Ticker P&amp;L'!B338</f>
        <v/>
      </c>
      <c r="AN338" s="243" t="str">
        <f>'All Ticker P&amp;L'!C338</f>
        <v/>
      </c>
      <c r="AO338" s="243" t="str">
        <f>'All Ticker P&amp;L'!D338</f>
        <v/>
      </c>
      <c r="AP338" s="243">
        <f>IF($AL338="",0,'All Ticker P&amp;L'!E338)</f>
        <v>0</v>
      </c>
      <c r="AQ338" s="266">
        <f>IF($AL338="",0,'All Ticker P&amp;L'!J338*'All Ticker P&amp;L'!I338)</f>
        <v>0</v>
      </c>
      <c r="AR338" s="266">
        <f>IF($AL338="",0,'All Ticker P&amp;L'!L338)</f>
        <v>0</v>
      </c>
      <c r="AS338" s="267">
        <f>IF($AL338="",0,'All Ticker P&amp;L'!M338)</f>
        <v>0</v>
      </c>
      <c r="AT338" s="243" t="str">
        <f>IF($AL338="","",RANK(AR338,$AR$2:$AR$1001)+COUNTIF($AR$2:AR338,AR338)-1)</f>
        <v/>
      </c>
      <c r="AU338" s="243" t="str">
        <f>IF($AL338="","",RANK(AV338,$AV$2:$AV$1001)+COUNTIF($AV$2:AV338,AV338)-1)</f>
        <v/>
      </c>
      <c r="AV338" s="266">
        <f t="shared" si="42"/>
        <v>0</v>
      </c>
    </row>
    <row r="339" spans="26:48" ht="15" customHeight="1" x14ac:dyDescent="0.2">
      <c r="Z339" s="243" t="str">
        <f>Shares!A339</f>
        <v/>
      </c>
      <c r="AA339" s="243" t="str">
        <f>Shares!B339</f>
        <v/>
      </c>
      <c r="AB339" s="243" t="str">
        <f>Shares!C339</f>
        <v/>
      </c>
      <c r="AC339" s="243" t="str">
        <f>Shares!D339</f>
        <v/>
      </c>
      <c r="AD339" s="243">
        <f>IF($Z339="",0,Shares!E339)</f>
        <v>0</v>
      </c>
      <c r="AE339" s="266">
        <f>IF($Z339="",0,Shares!J339*Shares!I339)</f>
        <v>0</v>
      </c>
      <c r="AF339" s="267">
        <f t="shared" si="41"/>
        <v>0</v>
      </c>
      <c r="AG339" s="266">
        <f>IF($Z339="",0,Shares!L339)</f>
        <v>0</v>
      </c>
      <c r="AH339" s="267">
        <f>IF($Z339="",0,Shares!M339)</f>
        <v>0</v>
      </c>
      <c r="AI339" s="243" t="str">
        <f>IF($Z339="","",RANK(AE339,$AE$2:$AE$1001)+COUNTIF($AE$2:AE339,AE339)-1)</f>
        <v/>
      </c>
      <c r="AJ339" s="243" t="str">
        <f>IF($AD339&lt;0,COUNT($AJ$1:AJ338)+1,"")</f>
        <v/>
      </c>
      <c r="AL339" s="243" t="str">
        <f>'All Ticker P&amp;L'!A339</f>
        <v/>
      </c>
      <c r="AM339" s="243" t="str">
        <f>'All Ticker P&amp;L'!B339</f>
        <v/>
      </c>
      <c r="AN339" s="243" t="str">
        <f>'All Ticker P&amp;L'!C339</f>
        <v/>
      </c>
      <c r="AO339" s="243" t="str">
        <f>'All Ticker P&amp;L'!D339</f>
        <v/>
      </c>
      <c r="AP339" s="243">
        <f>IF($AL339="",0,'All Ticker P&amp;L'!E339)</f>
        <v>0</v>
      </c>
      <c r="AQ339" s="266">
        <f>IF($AL339="",0,'All Ticker P&amp;L'!J339*'All Ticker P&amp;L'!I339)</f>
        <v>0</v>
      </c>
      <c r="AR339" s="266">
        <f>IF($AL339="",0,'All Ticker P&amp;L'!L339)</f>
        <v>0</v>
      </c>
      <c r="AS339" s="267">
        <f>IF($AL339="",0,'All Ticker P&amp;L'!M339)</f>
        <v>0</v>
      </c>
      <c r="AT339" s="243" t="str">
        <f>IF($AL339="","",RANK(AR339,$AR$2:$AR$1001)+COUNTIF($AR$2:AR339,AR339)-1)</f>
        <v/>
      </c>
      <c r="AU339" s="243" t="str">
        <f>IF($AL339="","",RANK(AV339,$AV$2:$AV$1001)+COUNTIF($AV$2:AV339,AV339)-1)</f>
        <v/>
      </c>
      <c r="AV339" s="266">
        <f t="shared" si="42"/>
        <v>0</v>
      </c>
    </row>
    <row r="340" spans="26:48" ht="15" customHeight="1" x14ac:dyDescent="0.2">
      <c r="Z340" s="243" t="str">
        <f>Shares!A340</f>
        <v/>
      </c>
      <c r="AA340" s="243" t="str">
        <f>Shares!B340</f>
        <v/>
      </c>
      <c r="AB340" s="243" t="str">
        <f>Shares!C340</f>
        <v/>
      </c>
      <c r="AC340" s="243" t="str">
        <f>Shares!D340</f>
        <v/>
      </c>
      <c r="AD340" s="243">
        <f>IF($Z340="",0,Shares!E340)</f>
        <v>0</v>
      </c>
      <c r="AE340" s="266">
        <f>IF($Z340="",0,Shares!J340*Shares!I340)</f>
        <v>0</v>
      </c>
      <c r="AF340" s="267">
        <f t="shared" si="41"/>
        <v>0</v>
      </c>
      <c r="AG340" s="266">
        <f>IF($Z340="",0,Shares!L340)</f>
        <v>0</v>
      </c>
      <c r="AH340" s="267">
        <f>IF($Z340="",0,Shares!M340)</f>
        <v>0</v>
      </c>
      <c r="AI340" s="243" t="str">
        <f>IF($Z340="","",RANK(AE340,$AE$2:$AE$1001)+COUNTIF($AE$2:AE340,AE340)-1)</f>
        <v/>
      </c>
      <c r="AJ340" s="243" t="str">
        <f>IF($AD340&lt;0,COUNT($AJ$1:AJ339)+1,"")</f>
        <v/>
      </c>
      <c r="AL340" s="243" t="str">
        <f>'All Ticker P&amp;L'!A340</f>
        <v/>
      </c>
      <c r="AM340" s="243" t="str">
        <f>'All Ticker P&amp;L'!B340</f>
        <v/>
      </c>
      <c r="AN340" s="243" t="str">
        <f>'All Ticker P&amp;L'!C340</f>
        <v/>
      </c>
      <c r="AO340" s="243" t="str">
        <f>'All Ticker P&amp;L'!D340</f>
        <v/>
      </c>
      <c r="AP340" s="243">
        <f>IF($AL340="",0,'All Ticker P&amp;L'!E340)</f>
        <v>0</v>
      </c>
      <c r="AQ340" s="266">
        <f>IF($AL340="",0,'All Ticker P&amp;L'!J340*'All Ticker P&amp;L'!I340)</f>
        <v>0</v>
      </c>
      <c r="AR340" s="266">
        <f>IF($AL340="",0,'All Ticker P&amp;L'!L340)</f>
        <v>0</v>
      </c>
      <c r="AS340" s="267">
        <f>IF($AL340="",0,'All Ticker P&amp;L'!M340)</f>
        <v>0</v>
      </c>
      <c r="AT340" s="243" t="str">
        <f>IF($AL340="","",RANK(AR340,$AR$2:$AR$1001)+COUNTIF($AR$2:AR340,AR340)-1)</f>
        <v/>
      </c>
      <c r="AU340" s="243" t="str">
        <f>IF($AL340="","",RANK(AV340,$AV$2:$AV$1001)+COUNTIF($AV$2:AV340,AV340)-1)</f>
        <v/>
      </c>
      <c r="AV340" s="266">
        <f t="shared" si="42"/>
        <v>0</v>
      </c>
    </row>
    <row r="341" spans="26:48" ht="15" customHeight="1" x14ac:dyDescent="0.2">
      <c r="Z341" s="243" t="str">
        <f>Shares!A341</f>
        <v/>
      </c>
      <c r="AA341" s="243" t="str">
        <f>Shares!B341</f>
        <v/>
      </c>
      <c r="AB341" s="243" t="str">
        <f>Shares!C341</f>
        <v/>
      </c>
      <c r="AC341" s="243" t="str">
        <f>Shares!D341</f>
        <v/>
      </c>
      <c r="AD341" s="243">
        <f>IF($Z341="",0,Shares!E341)</f>
        <v>0</v>
      </c>
      <c r="AE341" s="266">
        <f>IF($Z341="",0,Shares!J341*Shares!I341)</f>
        <v>0</v>
      </c>
      <c r="AF341" s="267">
        <f t="shared" si="41"/>
        <v>0</v>
      </c>
      <c r="AG341" s="266">
        <f>IF($Z341="",0,Shares!L341)</f>
        <v>0</v>
      </c>
      <c r="AH341" s="267">
        <f>IF($Z341="",0,Shares!M341)</f>
        <v>0</v>
      </c>
      <c r="AI341" s="243" t="str">
        <f>IF($Z341="","",RANK(AE341,$AE$2:$AE$1001)+COUNTIF($AE$2:AE341,AE341)-1)</f>
        <v/>
      </c>
      <c r="AJ341" s="243" t="str">
        <f>IF($AD341&lt;0,COUNT($AJ$1:AJ340)+1,"")</f>
        <v/>
      </c>
      <c r="AL341" s="243" t="str">
        <f>'All Ticker P&amp;L'!A341</f>
        <v/>
      </c>
      <c r="AM341" s="243" t="str">
        <f>'All Ticker P&amp;L'!B341</f>
        <v/>
      </c>
      <c r="AN341" s="243" t="str">
        <f>'All Ticker P&amp;L'!C341</f>
        <v/>
      </c>
      <c r="AO341" s="243" t="str">
        <f>'All Ticker P&amp;L'!D341</f>
        <v/>
      </c>
      <c r="AP341" s="243">
        <f>IF($AL341="",0,'All Ticker P&amp;L'!E341)</f>
        <v>0</v>
      </c>
      <c r="AQ341" s="266">
        <f>IF($AL341="",0,'All Ticker P&amp;L'!J341*'All Ticker P&amp;L'!I341)</f>
        <v>0</v>
      </c>
      <c r="AR341" s="266">
        <f>IF($AL341="",0,'All Ticker P&amp;L'!L341)</f>
        <v>0</v>
      </c>
      <c r="AS341" s="267">
        <f>IF($AL341="",0,'All Ticker P&amp;L'!M341)</f>
        <v>0</v>
      </c>
      <c r="AT341" s="243" t="str">
        <f>IF($AL341="","",RANK(AR341,$AR$2:$AR$1001)+COUNTIF($AR$2:AR341,AR341)-1)</f>
        <v/>
      </c>
      <c r="AU341" s="243" t="str">
        <f>IF($AL341="","",RANK(AV341,$AV$2:$AV$1001)+COUNTIF($AV$2:AV341,AV341)-1)</f>
        <v/>
      </c>
      <c r="AV341" s="266">
        <f t="shared" si="42"/>
        <v>0</v>
      </c>
    </row>
    <row r="342" spans="26:48" ht="15" customHeight="1" x14ac:dyDescent="0.2">
      <c r="Z342" s="243" t="str">
        <f>Shares!A342</f>
        <v/>
      </c>
      <c r="AA342" s="243" t="str">
        <f>Shares!B342</f>
        <v/>
      </c>
      <c r="AB342" s="243" t="str">
        <f>Shares!C342</f>
        <v/>
      </c>
      <c r="AC342" s="243" t="str">
        <f>Shares!D342</f>
        <v/>
      </c>
      <c r="AD342" s="243">
        <f>IF($Z342="",0,Shares!E342)</f>
        <v>0</v>
      </c>
      <c r="AE342" s="266">
        <f>IF($Z342="",0,Shares!J342*Shares!I342)</f>
        <v>0</v>
      </c>
      <c r="AF342" s="267">
        <f t="shared" si="41"/>
        <v>0</v>
      </c>
      <c r="AG342" s="266">
        <f>IF($Z342="",0,Shares!L342)</f>
        <v>0</v>
      </c>
      <c r="AH342" s="267">
        <f>IF($Z342="",0,Shares!M342)</f>
        <v>0</v>
      </c>
      <c r="AI342" s="243" t="str">
        <f>IF($Z342="","",RANK(AE342,$AE$2:$AE$1001)+COUNTIF($AE$2:AE342,AE342)-1)</f>
        <v/>
      </c>
      <c r="AJ342" s="243" t="str">
        <f>IF($AD342&lt;0,COUNT($AJ$1:AJ341)+1,"")</f>
        <v/>
      </c>
      <c r="AL342" s="243" t="str">
        <f>'All Ticker P&amp;L'!A342</f>
        <v/>
      </c>
      <c r="AM342" s="243" t="str">
        <f>'All Ticker P&amp;L'!B342</f>
        <v/>
      </c>
      <c r="AN342" s="243" t="str">
        <f>'All Ticker P&amp;L'!C342</f>
        <v/>
      </c>
      <c r="AO342" s="243" t="str">
        <f>'All Ticker P&amp;L'!D342</f>
        <v/>
      </c>
      <c r="AP342" s="243">
        <f>IF($AL342="",0,'All Ticker P&amp;L'!E342)</f>
        <v>0</v>
      </c>
      <c r="AQ342" s="266">
        <f>IF($AL342="",0,'All Ticker P&amp;L'!J342*'All Ticker P&amp;L'!I342)</f>
        <v>0</v>
      </c>
      <c r="AR342" s="266">
        <f>IF($AL342="",0,'All Ticker P&amp;L'!L342)</f>
        <v>0</v>
      </c>
      <c r="AS342" s="267">
        <f>IF($AL342="",0,'All Ticker P&amp;L'!M342)</f>
        <v>0</v>
      </c>
      <c r="AT342" s="243" t="str">
        <f>IF($AL342="","",RANK(AR342,$AR$2:$AR$1001)+COUNTIF($AR$2:AR342,AR342)-1)</f>
        <v/>
      </c>
      <c r="AU342" s="243" t="str">
        <f>IF($AL342="","",RANK(AV342,$AV$2:$AV$1001)+COUNTIF($AV$2:AV342,AV342)-1)</f>
        <v/>
      </c>
      <c r="AV342" s="266">
        <f t="shared" si="42"/>
        <v>0</v>
      </c>
    </row>
    <row r="343" spans="26:48" ht="15" customHeight="1" x14ac:dyDescent="0.2">
      <c r="Z343" s="243" t="str">
        <f>Shares!A343</f>
        <v/>
      </c>
      <c r="AA343" s="243" t="str">
        <f>Shares!B343</f>
        <v/>
      </c>
      <c r="AB343" s="243" t="str">
        <f>Shares!C343</f>
        <v/>
      </c>
      <c r="AC343" s="243" t="str">
        <f>Shares!D343</f>
        <v/>
      </c>
      <c r="AD343" s="243">
        <f>IF($Z343="",0,Shares!E343)</f>
        <v>0</v>
      </c>
      <c r="AE343" s="266">
        <f>IF($Z343="",0,Shares!J343*Shares!I343)</f>
        <v>0</v>
      </c>
      <c r="AF343" s="267">
        <f t="shared" si="41"/>
        <v>0</v>
      </c>
      <c r="AG343" s="266">
        <f>IF($Z343="",0,Shares!L343)</f>
        <v>0</v>
      </c>
      <c r="AH343" s="267">
        <f>IF($Z343="",0,Shares!M343)</f>
        <v>0</v>
      </c>
      <c r="AI343" s="243" t="str">
        <f>IF($Z343="","",RANK(AE343,$AE$2:$AE$1001)+COUNTIF($AE$2:AE343,AE343)-1)</f>
        <v/>
      </c>
      <c r="AJ343" s="243" t="str">
        <f>IF($AD343&lt;0,COUNT($AJ$1:AJ342)+1,"")</f>
        <v/>
      </c>
      <c r="AL343" s="243" t="str">
        <f>'All Ticker P&amp;L'!A343</f>
        <v/>
      </c>
      <c r="AM343" s="243" t="str">
        <f>'All Ticker P&amp;L'!B343</f>
        <v/>
      </c>
      <c r="AN343" s="243" t="str">
        <f>'All Ticker P&amp;L'!C343</f>
        <v/>
      </c>
      <c r="AO343" s="243" t="str">
        <f>'All Ticker P&amp;L'!D343</f>
        <v/>
      </c>
      <c r="AP343" s="243">
        <f>IF($AL343="",0,'All Ticker P&amp;L'!E343)</f>
        <v>0</v>
      </c>
      <c r="AQ343" s="266">
        <f>IF($AL343="",0,'All Ticker P&amp;L'!J343*'All Ticker P&amp;L'!I343)</f>
        <v>0</v>
      </c>
      <c r="AR343" s="266">
        <f>IF($AL343="",0,'All Ticker P&amp;L'!L343)</f>
        <v>0</v>
      </c>
      <c r="AS343" s="267">
        <f>IF($AL343="",0,'All Ticker P&amp;L'!M343)</f>
        <v>0</v>
      </c>
      <c r="AT343" s="243" t="str">
        <f>IF($AL343="","",RANK(AR343,$AR$2:$AR$1001)+COUNTIF($AR$2:AR343,AR343)-1)</f>
        <v/>
      </c>
      <c r="AU343" s="243" t="str">
        <f>IF($AL343="","",RANK(AV343,$AV$2:$AV$1001)+COUNTIF($AV$2:AV343,AV343)-1)</f>
        <v/>
      </c>
      <c r="AV343" s="266">
        <f t="shared" si="42"/>
        <v>0</v>
      </c>
    </row>
    <row r="344" spans="26:48" ht="15" customHeight="1" x14ac:dyDescent="0.2">
      <c r="Z344" s="243" t="str">
        <f>Shares!A344</f>
        <v/>
      </c>
      <c r="AA344" s="243" t="str">
        <f>Shares!B344</f>
        <v/>
      </c>
      <c r="AB344" s="243" t="str">
        <f>Shares!C344</f>
        <v/>
      </c>
      <c r="AC344" s="243" t="str">
        <f>Shares!D344</f>
        <v/>
      </c>
      <c r="AD344" s="243">
        <f>IF($Z344="",0,Shares!E344)</f>
        <v>0</v>
      </c>
      <c r="AE344" s="266">
        <f>IF($Z344="",0,Shares!J344*Shares!I344)</f>
        <v>0</v>
      </c>
      <c r="AF344" s="267">
        <f t="shared" si="41"/>
        <v>0</v>
      </c>
      <c r="AG344" s="266">
        <f>IF($Z344="",0,Shares!L344)</f>
        <v>0</v>
      </c>
      <c r="AH344" s="267">
        <f>IF($Z344="",0,Shares!M344)</f>
        <v>0</v>
      </c>
      <c r="AI344" s="243" t="str">
        <f>IF($Z344="","",RANK(AE344,$AE$2:$AE$1001)+COUNTIF($AE$2:AE344,AE344)-1)</f>
        <v/>
      </c>
      <c r="AJ344" s="243" t="str">
        <f>IF($AD344&lt;0,COUNT($AJ$1:AJ343)+1,"")</f>
        <v/>
      </c>
      <c r="AL344" s="243" t="str">
        <f>'All Ticker P&amp;L'!A344</f>
        <v/>
      </c>
      <c r="AM344" s="243" t="str">
        <f>'All Ticker P&amp;L'!B344</f>
        <v/>
      </c>
      <c r="AN344" s="243" t="str">
        <f>'All Ticker P&amp;L'!C344</f>
        <v/>
      </c>
      <c r="AO344" s="243" t="str">
        <f>'All Ticker P&amp;L'!D344</f>
        <v/>
      </c>
      <c r="AP344" s="243">
        <f>IF($AL344="",0,'All Ticker P&amp;L'!E344)</f>
        <v>0</v>
      </c>
      <c r="AQ344" s="266">
        <f>IF($AL344="",0,'All Ticker P&amp;L'!J344*'All Ticker P&amp;L'!I344)</f>
        <v>0</v>
      </c>
      <c r="AR344" s="266">
        <f>IF($AL344="",0,'All Ticker P&amp;L'!L344)</f>
        <v>0</v>
      </c>
      <c r="AS344" s="267">
        <f>IF($AL344="",0,'All Ticker P&amp;L'!M344)</f>
        <v>0</v>
      </c>
      <c r="AT344" s="243" t="str">
        <f>IF($AL344="","",RANK(AR344,$AR$2:$AR$1001)+COUNTIF($AR$2:AR344,AR344)-1)</f>
        <v/>
      </c>
      <c r="AU344" s="243" t="str">
        <f>IF($AL344="","",RANK(AV344,$AV$2:$AV$1001)+COUNTIF($AV$2:AV344,AV344)-1)</f>
        <v/>
      </c>
      <c r="AV344" s="266">
        <f t="shared" si="42"/>
        <v>0</v>
      </c>
    </row>
    <row r="345" spans="26:48" ht="15" customHeight="1" x14ac:dyDescent="0.2">
      <c r="Z345" s="243" t="str">
        <f>Shares!A345</f>
        <v/>
      </c>
      <c r="AA345" s="243" t="str">
        <f>Shares!B345</f>
        <v/>
      </c>
      <c r="AB345" s="243" t="str">
        <f>Shares!C345</f>
        <v/>
      </c>
      <c r="AC345" s="243" t="str">
        <f>Shares!D345</f>
        <v/>
      </c>
      <c r="AD345" s="243">
        <f>IF($Z345="",0,Shares!E345)</f>
        <v>0</v>
      </c>
      <c r="AE345" s="266">
        <f>IF($Z345="",0,Shares!J345*Shares!I345)</f>
        <v>0</v>
      </c>
      <c r="AF345" s="267">
        <f t="shared" si="41"/>
        <v>0</v>
      </c>
      <c r="AG345" s="266">
        <f>IF($Z345="",0,Shares!L345)</f>
        <v>0</v>
      </c>
      <c r="AH345" s="267">
        <f>IF($Z345="",0,Shares!M345)</f>
        <v>0</v>
      </c>
      <c r="AI345" s="243" t="str">
        <f>IF($Z345="","",RANK(AE345,$AE$2:$AE$1001)+COUNTIF($AE$2:AE345,AE345)-1)</f>
        <v/>
      </c>
      <c r="AJ345" s="243" t="str">
        <f>IF($AD345&lt;0,COUNT($AJ$1:AJ344)+1,"")</f>
        <v/>
      </c>
      <c r="AL345" s="243" t="str">
        <f>'All Ticker P&amp;L'!A345</f>
        <v/>
      </c>
      <c r="AM345" s="243" t="str">
        <f>'All Ticker P&amp;L'!B345</f>
        <v/>
      </c>
      <c r="AN345" s="243" t="str">
        <f>'All Ticker P&amp;L'!C345</f>
        <v/>
      </c>
      <c r="AO345" s="243" t="str">
        <f>'All Ticker P&amp;L'!D345</f>
        <v/>
      </c>
      <c r="AP345" s="243">
        <f>IF($AL345="",0,'All Ticker P&amp;L'!E345)</f>
        <v>0</v>
      </c>
      <c r="AQ345" s="266">
        <f>IF($AL345="",0,'All Ticker P&amp;L'!J345*'All Ticker P&amp;L'!I345)</f>
        <v>0</v>
      </c>
      <c r="AR345" s="266">
        <f>IF($AL345="",0,'All Ticker P&amp;L'!L345)</f>
        <v>0</v>
      </c>
      <c r="AS345" s="267">
        <f>IF($AL345="",0,'All Ticker P&amp;L'!M345)</f>
        <v>0</v>
      </c>
      <c r="AT345" s="243" t="str">
        <f>IF($AL345="","",RANK(AR345,$AR$2:$AR$1001)+COUNTIF($AR$2:AR345,AR345)-1)</f>
        <v/>
      </c>
      <c r="AU345" s="243" t="str">
        <f>IF($AL345="","",RANK(AV345,$AV$2:$AV$1001)+COUNTIF($AV$2:AV345,AV345)-1)</f>
        <v/>
      </c>
      <c r="AV345" s="266">
        <f t="shared" si="42"/>
        <v>0</v>
      </c>
    </row>
    <row r="346" spans="26:48" ht="15" customHeight="1" x14ac:dyDescent="0.2">
      <c r="Z346" s="243" t="str">
        <f>Shares!A346</f>
        <v/>
      </c>
      <c r="AA346" s="243" t="str">
        <f>Shares!B346</f>
        <v/>
      </c>
      <c r="AB346" s="243" t="str">
        <f>Shares!C346</f>
        <v/>
      </c>
      <c r="AC346" s="243" t="str">
        <f>Shares!D346</f>
        <v/>
      </c>
      <c r="AD346" s="243">
        <f>IF($Z346="",0,Shares!E346)</f>
        <v>0</v>
      </c>
      <c r="AE346" s="266">
        <f>IF($Z346="",0,Shares!J346*Shares!I346)</f>
        <v>0</v>
      </c>
      <c r="AF346" s="267">
        <f t="shared" si="41"/>
        <v>0</v>
      </c>
      <c r="AG346" s="266">
        <f>IF($Z346="",0,Shares!L346)</f>
        <v>0</v>
      </c>
      <c r="AH346" s="267">
        <f>IF($Z346="",0,Shares!M346)</f>
        <v>0</v>
      </c>
      <c r="AI346" s="243" t="str">
        <f>IF($Z346="","",RANK(AE346,$AE$2:$AE$1001)+COUNTIF($AE$2:AE346,AE346)-1)</f>
        <v/>
      </c>
      <c r="AJ346" s="243" t="str">
        <f>IF($AD346&lt;0,COUNT($AJ$1:AJ345)+1,"")</f>
        <v/>
      </c>
      <c r="AL346" s="243" t="str">
        <f>'All Ticker P&amp;L'!A346</f>
        <v/>
      </c>
      <c r="AM346" s="243" t="str">
        <f>'All Ticker P&amp;L'!B346</f>
        <v/>
      </c>
      <c r="AN346" s="243" t="str">
        <f>'All Ticker P&amp;L'!C346</f>
        <v/>
      </c>
      <c r="AO346" s="243" t="str">
        <f>'All Ticker P&amp;L'!D346</f>
        <v/>
      </c>
      <c r="AP346" s="243">
        <f>IF($AL346="",0,'All Ticker P&amp;L'!E346)</f>
        <v>0</v>
      </c>
      <c r="AQ346" s="266">
        <f>IF($AL346="",0,'All Ticker P&amp;L'!J346*'All Ticker P&amp;L'!I346)</f>
        <v>0</v>
      </c>
      <c r="AR346" s="266">
        <f>IF($AL346="",0,'All Ticker P&amp;L'!L346)</f>
        <v>0</v>
      </c>
      <c r="AS346" s="267">
        <f>IF($AL346="",0,'All Ticker P&amp;L'!M346)</f>
        <v>0</v>
      </c>
      <c r="AT346" s="243" t="str">
        <f>IF($AL346="","",RANK(AR346,$AR$2:$AR$1001)+COUNTIF($AR$2:AR346,AR346)-1)</f>
        <v/>
      </c>
      <c r="AU346" s="243" t="str">
        <f>IF($AL346="","",RANK(AV346,$AV$2:$AV$1001)+COUNTIF($AV$2:AV346,AV346)-1)</f>
        <v/>
      </c>
      <c r="AV346" s="266">
        <f t="shared" si="42"/>
        <v>0</v>
      </c>
    </row>
    <row r="347" spans="26:48" ht="15" customHeight="1" x14ac:dyDescent="0.2">
      <c r="Z347" s="243" t="str">
        <f>Shares!A347</f>
        <v/>
      </c>
      <c r="AA347" s="243" t="str">
        <f>Shares!B347</f>
        <v/>
      </c>
      <c r="AB347" s="243" t="str">
        <f>Shares!C347</f>
        <v/>
      </c>
      <c r="AC347" s="243" t="str">
        <f>Shares!D347</f>
        <v/>
      </c>
      <c r="AD347" s="243">
        <f>IF($Z347="",0,Shares!E347)</f>
        <v>0</v>
      </c>
      <c r="AE347" s="266">
        <f>IF($Z347="",0,Shares!J347*Shares!I347)</f>
        <v>0</v>
      </c>
      <c r="AF347" s="267">
        <f t="shared" si="41"/>
        <v>0</v>
      </c>
      <c r="AG347" s="266">
        <f>IF($Z347="",0,Shares!L347)</f>
        <v>0</v>
      </c>
      <c r="AH347" s="267">
        <f>IF($Z347="",0,Shares!M347)</f>
        <v>0</v>
      </c>
      <c r="AI347" s="243" t="str">
        <f>IF($Z347="","",RANK(AE347,$AE$2:$AE$1001)+COUNTIF($AE$2:AE347,AE347)-1)</f>
        <v/>
      </c>
      <c r="AJ347" s="243" t="str">
        <f>IF($AD347&lt;0,COUNT($AJ$1:AJ346)+1,"")</f>
        <v/>
      </c>
      <c r="AL347" s="243" t="str">
        <f>'All Ticker P&amp;L'!A347</f>
        <v/>
      </c>
      <c r="AM347" s="243" t="str">
        <f>'All Ticker P&amp;L'!B347</f>
        <v/>
      </c>
      <c r="AN347" s="243" t="str">
        <f>'All Ticker P&amp;L'!C347</f>
        <v/>
      </c>
      <c r="AO347" s="243" t="str">
        <f>'All Ticker P&amp;L'!D347</f>
        <v/>
      </c>
      <c r="AP347" s="243">
        <f>IF($AL347="",0,'All Ticker P&amp;L'!E347)</f>
        <v>0</v>
      </c>
      <c r="AQ347" s="266">
        <f>IF($AL347="",0,'All Ticker P&amp;L'!J347*'All Ticker P&amp;L'!I347)</f>
        <v>0</v>
      </c>
      <c r="AR347" s="266">
        <f>IF($AL347="",0,'All Ticker P&amp;L'!L347)</f>
        <v>0</v>
      </c>
      <c r="AS347" s="267">
        <f>IF($AL347="",0,'All Ticker P&amp;L'!M347)</f>
        <v>0</v>
      </c>
      <c r="AT347" s="243" t="str">
        <f>IF($AL347="","",RANK(AR347,$AR$2:$AR$1001)+COUNTIF($AR$2:AR347,AR347)-1)</f>
        <v/>
      </c>
      <c r="AU347" s="243" t="str">
        <f>IF($AL347="","",RANK(AV347,$AV$2:$AV$1001)+COUNTIF($AV$2:AV347,AV347)-1)</f>
        <v/>
      </c>
      <c r="AV347" s="266">
        <f t="shared" si="42"/>
        <v>0</v>
      </c>
    </row>
    <row r="348" spans="26:48" ht="15" customHeight="1" x14ac:dyDescent="0.2">
      <c r="Z348" s="243" t="str">
        <f>Shares!A348</f>
        <v/>
      </c>
      <c r="AA348" s="243" t="str">
        <f>Shares!B348</f>
        <v/>
      </c>
      <c r="AB348" s="243" t="str">
        <f>Shares!C348</f>
        <v/>
      </c>
      <c r="AC348" s="243" t="str">
        <f>Shares!D348</f>
        <v/>
      </c>
      <c r="AD348" s="243">
        <f>IF($Z348="",0,Shares!E348)</f>
        <v>0</v>
      </c>
      <c r="AE348" s="266">
        <f>IF($Z348="",0,Shares!J348*Shares!I348)</f>
        <v>0</v>
      </c>
      <c r="AF348" s="267">
        <f t="shared" si="41"/>
        <v>0</v>
      </c>
      <c r="AG348" s="266">
        <f>IF($Z348="",0,Shares!L348)</f>
        <v>0</v>
      </c>
      <c r="AH348" s="267">
        <f>IF($Z348="",0,Shares!M348)</f>
        <v>0</v>
      </c>
      <c r="AI348" s="243" t="str">
        <f>IF($Z348="","",RANK(AE348,$AE$2:$AE$1001)+COUNTIF($AE$2:AE348,AE348)-1)</f>
        <v/>
      </c>
      <c r="AJ348" s="243" t="str">
        <f>IF($AD348&lt;0,COUNT($AJ$1:AJ347)+1,"")</f>
        <v/>
      </c>
      <c r="AL348" s="243" t="str">
        <f>'All Ticker P&amp;L'!A348</f>
        <v/>
      </c>
      <c r="AM348" s="243" t="str">
        <f>'All Ticker P&amp;L'!B348</f>
        <v/>
      </c>
      <c r="AN348" s="243" t="str">
        <f>'All Ticker P&amp;L'!C348</f>
        <v/>
      </c>
      <c r="AO348" s="243" t="str">
        <f>'All Ticker P&amp;L'!D348</f>
        <v/>
      </c>
      <c r="AP348" s="243">
        <f>IF($AL348="",0,'All Ticker P&amp;L'!E348)</f>
        <v>0</v>
      </c>
      <c r="AQ348" s="266">
        <f>IF($AL348="",0,'All Ticker P&amp;L'!J348*'All Ticker P&amp;L'!I348)</f>
        <v>0</v>
      </c>
      <c r="AR348" s="266">
        <f>IF($AL348="",0,'All Ticker P&amp;L'!L348)</f>
        <v>0</v>
      </c>
      <c r="AS348" s="267">
        <f>IF($AL348="",0,'All Ticker P&amp;L'!M348)</f>
        <v>0</v>
      </c>
      <c r="AT348" s="243" t="str">
        <f>IF($AL348="","",RANK(AR348,$AR$2:$AR$1001)+COUNTIF($AR$2:AR348,AR348)-1)</f>
        <v/>
      </c>
      <c r="AU348" s="243" t="str">
        <f>IF($AL348="","",RANK(AV348,$AV$2:$AV$1001)+COUNTIF($AV$2:AV348,AV348)-1)</f>
        <v/>
      </c>
      <c r="AV348" s="266">
        <f t="shared" si="42"/>
        <v>0</v>
      </c>
    </row>
    <row r="349" spans="26:48" ht="15" customHeight="1" x14ac:dyDescent="0.2">
      <c r="Z349" s="243" t="str">
        <f>Shares!A349</f>
        <v/>
      </c>
      <c r="AA349" s="243" t="str">
        <f>Shares!B349</f>
        <v/>
      </c>
      <c r="AB349" s="243" t="str">
        <f>Shares!C349</f>
        <v/>
      </c>
      <c r="AC349" s="243" t="str">
        <f>Shares!D349</f>
        <v/>
      </c>
      <c r="AD349" s="243">
        <f>IF($Z349="",0,Shares!E349)</f>
        <v>0</v>
      </c>
      <c r="AE349" s="266">
        <f>IF($Z349="",0,Shares!J349*Shares!I349)</f>
        <v>0</v>
      </c>
      <c r="AF349" s="267">
        <f t="shared" si="41"/>
        <v>0</v>
      </c>
      <c r="AG349" s="266">
        <f>IF($Z349="",0,Shares!L349)</f>
        <v>0</v>
      </c>
      <c r="AH349" s="267">
        <f>IF($Z349="",0,Shares!M349)</f>
        <v>0</v>
      </c>
      <c r="AI349" s="243" t="str">
        <f>IF($Z349="","",RANK(AE349,$AE$2:$AE$1001)+COUNTIF($AE$2:AE349,AE349)-1)</f>
        <v/>
      </c>
      <c r="AJ349" s="243" t="str">
        <f>IF($AD349&lt;0,COUNT($AJ$1:AJ348)+1,"")</f>
        <v/>
      </c>
      <c r="AL349" s="243" t="str">
        <f>'All Ticker P&amp;L'!A349</f>
        <v/>
      </c>
      <c r="AM349" s="243" t="str">
        <f>'All Ticker P&amp;L'!B349</f>
        <v/>
      </c>
      <c r="AN349" s="243" t="str">
        <f>'All Ticker P&amp;L'!C349</f>
        <v/>
      </c>
      <c r="AO349" s="243" t="str">
        <f>'All Ticker P&amp;L'!D349</f>
        <v/>
      </c>
      <c r="AP349" s="243">
        <f>IF($AL349="",0,'All Ticker P&amp;L'!E349)</f>
        <v>0</v>
      </c>
      <c r="AQ349" s="266">
        <f>IF($AL349="",0,'All Ticker P&amp;L'!J349*'All Ticker P&amp;L'!I349)</f>
        <v>0</v>
      </c>
      <c r="AR349" s="266">
        <f>IF($AL349="",0,'All Ticker P&amp;L'!L349)</f>
        <v>0</v>
      </c>
      <c r="AS349" s="267">
        <f>IF($AL349="",0,'All Ticker P&amp;L'!M349)</f>
        <v>0</v>
      </c>
      <c r="AT349" s="243" t="str">
        <f>IF($AL349="","",RANK(AR349,$AR$2:$AR$1001)+COUNTIF($AR$2:AR349,AR349)-1)</f>
        <v/>
      </c>
      <c r="AU349" s="243" t="str">
        <f>IF($AL349="","",RANK(AV349,$AV$2:$AV$1001)+COUNTIF($AV$2:AV349,AV349)-1)</f>
        <v/>
      </c>
      <c r="AV349" s="266">
        <f t="shared" si="42"/>
        <v>0</v>
      </c>
    </row>
    <row r="350" spans="26:48" ht="15" customHeight="1" x14ac:dyDescent="0.2">
      <c r="Z350" s="243" t="str">
        <f>Shares!A350</f>
        <v/>
      </c>
      <c r="AA350" s="243" t="str">
        <f>Shares!B350</f>
        <v/>
      </c>
      <c r="AB350" s="243" t="str">
        <f>Shares!C350</f>
        <v/>
      </c>
      <c r="AC350" s="243" t="str">
        <f>Shares!D350</f>
        <v/>
      </c>
      <c r="AD350" s="243">
        <f>IF($Z350="",0,Shares!E350)</f>
        <v>0</v>
      </c>
      <c r="AE350" s="266">
        <f>IF($Z350="",0,Shares!J350*Shares!I350)</f>
        <v>0</v>
      </c>
      <c r="AF350" s="267">
        <f t="shared" si="41"/>
        <v>0</v>
      </c>
      <c r="AG350" s="266">
        <f>IF($Z350="",0,Shares!L350)</f>
        <v>0</v>
      </c>
      <c r="AH350" s="267">
        <f>IF($Z350="",0,Shares!M350)</f>
        <v>0</v>
      </c>
      <c r="AI350" s="243" t="str">
        <f>IF($Z350="","",RANK(AE350,$AE$2:$AE$1001)+COUNTIF($AE$2:AE350,AE350)-1)</f>
        <v/>
      </c>
      <c r="AJ350" s="243" t="str">
        <f>IF($AD350&lt;0,COUNT($AJ$1:AJ349)+1,"")</f>
        <v/>
      </c>
      <c r="AL350" s="243" t="str">
        <f>'All Ticker P&amp;L'!A350</f>
        <v/>
      </c>
      <c r="AM350" s="243" t="str">
        <f>'All Ticker P&amp;L'!B350</f>
        <v/>
      </c>
      <c r="AN350" s="243" t="str">
        <f>'All Ticker P&amp;L'!C350</f>
        <v/>
      </c>
      <c r="AO350" s="243" t="str">
        <f>'All Ticker P&amp;L'!D350</f>
        <v/>
      </c>
      <c r="AP350" s="243">
        <f>IF($AL350="",0,'All Ticker P&amp;L'!E350)</f>
        <v>0</v>
      </c>
      <c r="AQ350" s="266">
        <f>IF($AL350="",0,'All Ticker P&amp;L'!J350*'All Ticker P&amp;L'!I350)</f>
        <v>0</v>
      </c>
      <c r="AR350" s="266">
        <f>IF($AL350="",0,'All Ticker P&amp;L'!L350)</f>
        <v>0</v>
      </c>
      <c r="AS350" s="267">
        <f>IF($AL350="",0,'All Ticker P&amp;L'!M350)</f>
        <v>0</v>
      </c>
      <c r="AT350" s="243" t="str">
        <f>IF($AL350="","",RANK(AR350,$AR$2:$AR$1001)+COUNTIF($AR$2:AR350,AR350)-1)</f>
        <v/>
      </c>
      <c r="AU350" s="243" t="str">
        <f>IF($AL350="","",RANK(AV350,$AV$2:$AV$1001)+COUNTIF($AV$2:AV350,AV350)-1)</f>
        <v/>
      </c>
      <c r="AV350" s="266">
        <f t="shared" si="42"/>
        <v>0</v>
      </c>
    </row>
    <row r="351" spans="26:48" ht="15" customHeight="1" x14ac:dyDescent="0.2">
      <c r="Z351" s="243" t="str">
        <f>Shares!A351</f>
        <v/>
      </c>
      <c r="AA351" s="243" t="str">
        <f>Shares!B351</f>
        <v/>
      </c>
      <c r="AB351" s="243" t="str">
        <f>Shares!C351</f>
        <v/>
      </c>
      <c r="AC351" s="243" t="str">
        <f>Shares!D351</f>
        <v/>
      </c>
      <c r="AD351" s="243">
        <f>IF($Z351="",0,Shares!E351)</f>
        <v>0</v>
      </c>
      <c r="AE351" s="266">
        <f>IF($Z351="",0,Shares!J351*Shares!I351)</f>
        <v>0</v>
      </c>
      <c r="AF351" s="267">
        <f t="shared" si="41"/>
        <v>0</v>
      </c>
      <c r="AG351" s="266">
        <f>IF($Z351="",0,Shares!L351)</f>
        <v>0</v>
      </c>
      <c r="AH351" s="267">
        <f>IF($Z351="",0,Shares!M351)</f>
        <v>0</v>
      </c>
      <c r="AI351" s="243" t="str">
        <f>IF($Z351="","",RANK(AE351,$AE$2:$AE$1001)+COUNTIF($AE$2:AE351,AE351)-1)</f>
        <v/>
      </c>
      <c r="AJ351" s="243" t="str">
        <f>IF($AD351&lt;0,COUNT($AJ$1:AJ350)+1,"")</f>
        <v/>
      </c>
      <c r="AL351" s="243" t="str">
        <f>'All Ticker P&amp;L'!A351</f>
        <v/>
      </c>
      <c r="AM351" s="243" t="str">
        <f>'All Ticker P&amp;L'!B351</f>
        <v/>
      </c>
      <c r="AN351" s="243" t="str">
        <f>'All Ticker P&amp;L'!C351</f>
        <v/>
      </c>
      <c r="AO351" s="243" t="str">
        <f>'All Ticker P&amp;L'!D351</f>
        <v/>
      </c>
      <c r="AP351" s="243">
        <f>IF($AL351="",0,'All Ticker P&amp;L'!E351)</f>
        <v>0</v>
      </c>
      <c r="AQ351" s="266">
        <f>IF($AL351="",0,'All Ticker P&amp;L'!J351*'All Ticker P&amp;L'!I351)</f>
        <v>0</v>
      </c>
      <c r="AR351" s="266">
        <f>IF($AL351="",0,'All Ticker P&amp;L'!L351)</f>
        <v>0</v>
      </c>
      <c r="AS351" s="267">
        <f>IF($AL351="",0,'All Ticker P&amp;L'!M351)</f>
        <v>0</v>
      </c>
      <c r="AT351" s="243" t="str">
        <f>IF($AL351="","",RANK(AR351,$AR$2:$AR$1001)+COUNTIF($AR$2:AR351,AR351)-1)</f>
        <v/>
      </c>
      <c r="AU351" s="243" t="str">
        <f>IF($AL351="","",RANK(AV351,$AV$2:$AV$1001)+COUNTIF($AV$2:AV351,AV351)-1)</f>
        <v/>
      </c>
      <c r="AV351" s="266">
        <f t="shared" si="42"/>
        <v>0</v>
      </c>
    </row>
    <row r="352" spans="26:48" ht="15" customHeight="1" x14ac:dyDescent="0.2">
      <c r="Z352" s="243" t="str">
        <f>Shares!A352</f>
        <v/>
      </c>
      <c r="AA352" s="243" t="str">
        <f>Shares!B352</f>
        <v/>
      </c>
      <c r="AB352" s="243" t="str">
        <f>Shares!C352</f>
        <v/>
      </c>
      <c r="AC352" s="243" t="str">
        <f>Shares!D352</f>
        <v/>
      </c>
      <c r="AD352" s="243">
        <f>IF($Z352="",0,Shares!E352)</f>
        <v>0</v>
      </c>
      <c r="AE352" s="266">
        <f>IF($Z352="",0,Shares!J352*Shares!I352)</f>
        <v>0</v>
      </c>
      <c r="AF352" s="267">
        <f t="shared" si="41"/>
        <v>0</v>
      </c>
      <c r="AG352" s="266">
        <f>IF($Z352="",0,Shares!L352)</f>
        <v>0</v>
      </c>
      <c r="AH352" s="267">
        <f>IF($Z352="",0,Shares!M352)</f>
        <v>0</v>
      </c>
      <c r="AI352" s="243" t="str">
        <f>IF($Z352="","",RANK(AE352,$AE$2:$AE$1001)+COUNTIF($AE$2:AE352,AE352)-1)</f>
        <v/>
      </c>
      <c r="AJ352" s="243" t="str">
        <f>IF($AD352&lt;0,COUNT($AJ$1:AJ351)+1,"")</f>
        <v/>
      </c>
      <c r="AL352" s="243" t="str">
        <f>'All Ticker P&amp;L'!A352</f>
        <v/>
      </c>
      <c r="AM352" s="243" t="str">
        <f>'All Ticker P&amp;L'!B352</f>
        <v/>
      </c>
      <c r="AN352" s="243" t="str">
        <f>'All Ticker P&amp;L'!C352</f>
        <v/>
      </c>
      <c r="AO352" s="243" t="str">
        <f>'All Ticker P&amp;L'!D352</f>
        <v/>
      </c>
      <c r="AP352" s="243">
        <f>IF($AL352="",0,'All Ticker P&amp;L'!E352)</f>
        <v>0</v>
      </c>
      <c r="AQ352" s="266">
        <f>IF($AL352="",0,'All Ticker P&amp;L'!J352*'All Ticker P&amp;L'!I352)</f>
        <v>0</v>
      </c>
      <c r="AR352" s="266">
        <f>IF($AL352="",0,'All Ticker P&amp;L'!L352)</f>
        <v>0</v>
      </c>
      <c r="AS352" s="267">
        <f>IF($AL352="",0,'All Ticker P&amp;L'!M352)</f>
        <v>0</v>
      </c>
      <c r="AT352" s="243" t="str">
        <f>IF($AL352="","",RANK(AR352,$AR$2:$AR$1001)+COUNTIF($AR$2:AR352,AR352)-1)</f>
        <v/>
      </c>
      <c r="AU352" s="243" t="str">
        <f>IF($AL352="","",RANK(AV352,$AV$2:$AV$1001)+COUNTIF($AV$2:AV352,AV352)-1)</f>
        <v/>
      </c>
      <c r="AV352" s="266">
        <f t="shared" si="42"/>
        <v>0</v>
      </c>
    </row>
    <row r="353" spans="26:48" ht="15" customHeight="1" x14ac:dyDescent="0.2">
      <c r="Z353" s="243" t="str">
        <f>Shares!A353</f>
        <v/>
      </c>
      <c r="AA353" s="243" t="str">
        <f>Shares!B353</f>
        <v/>
      </c>
      <c r="AB353" s="243" t="str">
        <f>Shares!C353</f>
        <v/>
      </c>
      <c r="AC353" s="243" t="str">
        <f>Shares!D353</f>
        <v/>
      </c>
      <c r="AD353" s="243">
        <f>IF($Z353="",0,Shares!E353)</f>
        <v>0</v>
      </c>
      <c r="AE353" s="266">
        <f>IF($Z353="",0,Shares!J353*Shares!I353)</f>
        <v>0</v>
      </c>
      <c r="AF353" s="267">
        <f t="shared" si="41"/>
        <v>0</v>
      </c>
      <c r="AG353" s="266">
        <f>IF($Z353="",0,Shares!L353)</f>
        <v>0</v>
      </c>
      <c r="AH353" s="267">
        <f>IF($Z353="",0,Shares!M353)</f>
        <v>0</v>
      </c>
      <c r="AI353" s="243" t="str">
        <f>IF($Z353="","",RANK(AE353,$AE$2:$AE$1001)+COUNTIF($AE$2:AE353,AE353)-1)</f>
        <v/>
      </c>
      <c r="AJ353" s="243" t="str">
        <f>IF($AD353&lt;0,COUNT($AJ$1:AJ352)+1,"")</f>
        <v/>
      </c>
      <c r="AL353" s="243" t="str">
        <f>'All Ticker P&amp;L'!A353</f>
        <v/>
      </c>
      <c r="AM353" s="243" t="str">
        <f>'All Ticker P&amp;L'!B353</f>
        <v/>
      </c>
      <c r="AN353" s="243" t="str">
        <f>'All Ticker P&amp;L'!C353</f>
        <v/>
      </c>
      <c r="AO353" s="243" t="str">
        <f>'All Ticker P&amp;L'!D353</f>
        <v/>
      </c>
      <c r="AP353" s="243">
        <f>IF($AL353="",0,'All Ticker P&amp;L'!E353)</f>
        <v>0</v>
      </c>
      <c r="AQ353" s="266">
        <f>IF($AL353="",0,'All Ticker P&amp;L'!J353*'All Ticker P&amp;L'!I353)</f>
        <v>0</v>
      </c>
      <c r="AR353" s="266">
        <f>IF($AL353="",0,'All Ticker P&amp;L'!L353)</f>
        <v>0</v>
      </c>
      <c r="AS353" s="267">
        <f>IF($AL353="",0,'All Ticker P&amp;L'!M353)</f>
        <v>0</v>
      </c>
      <c r="AT353" s="243" t="str">
        <f>IF($AL353="","",RANK(AR353,$AR$2:$AR$1001)+COUNTIF($AR$2:AR353,AR353)-1)</f>
        <v/>
      </c>
      <c r="AU353" s="243" t="str">
        <f>IF($AL353="","",RANK(AV353,$AV$2:$AV$1001)+COUNTIF($AV$2:AV353,AV353)-1)</f>
        <v/>
      </c>
      <c r="AV353" s="266">
        <f t="shared" si="42"/>
        <v>0</v>
      </c>
    </row>
    <row r="354" spans="26:48" ht="15" customHeight="1" x14ac:dyDescent="0.2">
      <c r="Z354" s="243" t="str">
        <f>Shares!A354</f>
        <v/>
      </c>
      <c r="AA354" s="243" t="str">
        <f>Shares!B354</f>
        <v/>
      </c>
      <c r="AB354" s="243" t="str">
        <f>Shares!C354</f>
        <v/>
      </c>
      <c r="AC354" s="243" t="str">
        <f>Shares!D354</f>
        <v/>
      </c>
      <c r="AD354" s="243">
        <f>IF($Z354="",0,Shares!E354)</f>
        <v>0</v>
      </c>
      <c r="AE354" s="266">
        <f>IF($Z354="",0,Shares!J354*Shares!I354)</f>
        <v>0</v>
      </c>
      <c r="AF354" s="267">
        <f t="shared" si="41"/>
        <v>0</v>
      </c>
      <c r="AG354" s="266">
        <f>IF($Z354="",0,Shares!L354)</f>
        <v>0</v>
      </c>
      <c r="AH354" s="267">
        <f>IF($Z354="",0,Shares!M354)</f>
        <v>0</v>
      </c>
      <c r="AI354" s="243" t="str">
        <f>IF($Z354="","",RANK(AE354,$AE$2:$AE$1001)+COUNTIF($AE$2:AE354,AE354)-1)</f>
        <v/>
      </c>
      <c r="AJ354" s="243" t="str">
        <f>IF($AD354&lt;0,COUNT($AJ$1:AJ353)+1,"")</f>
        <v/>
      </c>
      <c r="AL354" s="243" t="str">
        <f>'All Ticker P&amp;L'!A354</f>
        <v/>
      </c>
      <c r="AM354" s="243" t="str">
        <f>'All Ticker P&amp;L'!B354</f>
        <v/>
      </c>
      <c r="AN354" s="243" t="str">
        <f>'All Ticker P&amp;L'!C354</f>
        <v/>
      </c>
      <c r="AO354" s="243" t="str">
        <f>'All Ticker P&amp;L'!D354</f>
        <v/>
      </c>
      <c r="AP354" s="243">
        <f>IF($AL354="",0,'All Ticker P&amp;L'!E354)</f>
        <v>0</v>
      </c>
      <c r="AQ354" s="266">
        <f>IF($AL354="",0,'All Ticker P&amp;L'!J354*'All Ticker P&amp;L'!I354)</f>
        <v>0</v>
      </c>
      <c r="AR354" s="266">
        <f>IF($AL354="",0,'All Ticker P&amp;L'!L354)</f>
        <v>0</v>
      </c>
      <c r="AS354" s="267">
        <f>IF($AL354="",0,'All Ticker P&amp;L'!M354)</f>
        <v>0</v>
      </c>
      <c r="AT354" s="243" t="str">
        <f>IF($AL354="","",RANK(AR354,$AR$2:$AR$1001)+COUNTIF($AR$2:AR354,AR354)-1)</f>
        <v/>
      </c>
      <c r="AU354" s="243" t="str">
        <f>IF($AL354="","",RANK(AV354,$AV$2:$AV$1001)+COUNTIF($AV$2:AV354,AV354)-1)</f>
        <v/>
      </c>
      <c r="AV354" s="266">
        <f t="shared" si="42"/>
        <v>0</v>
      </c>
    </row>
    <row r="355" spans="26:48" ht="15" customHeight="1" x14ac:dyDescent="0.2">
      <c r="Z355" s="243" t="str">
        <f>Shares!A355</f>
        <v/>
      </c>
      <c r="AA355" s="243" t="str">
        <f>Shares!B355</f>
        <v/>
      </c>
      <c r="AB355" s="243" t="str">
        <f>Shares!C355</f>
        <v/>
      </c>
      <c r="AC355" s="243" t="str">
        <f>Shares!D355</f>
        <v/>
      </c>
      <c r="AD355" s="243">
        <f>IF($Z355="",0,Shares!E355)</f>
        <v>0</v>
      </c>
      <c r="AE355" s="266">
        <f>IF($Z355="",0,Shares!J355*Shares!I355)</f>
        <v>0</v>
      </c>
      <c r="AF355" s="267">
        <f t="shared" si="41"/>
        <v>0</v>
      </c>
      <c r="AG355" s="266">
        <f>IF($Z355="",0,Shares!L355)</f>
        <v>0</v>
      </c>
      <c r="AH355" s="267">
        <f>IF($Z355="",0,Shares!M355)</f>
        <v>0</v>
      </c>
      <c r="AI355" s="243" t="str">
        <f>IF($Z355="","",RANK(AE355,$AE$2:$AE$1001)+COUNTIF($AE$2:AE355,AE355)-1)</f>
        <v/>
      </c>
      <c r="AJ355" s="243" t="str">
        <f>IF($AD355&lt;0,COUNT($AJ$1:AJ354)+1,"")</f>
        <v/>
      </c>
      <c r="AL355" s="243" t="str">
        <f>'All Ticker P&amp;L'!A355</f>
        <v/>
      </c>
      <c r="AM355" s="243" t="str">
        <f>'All Ticker P&amp;L'!B355</f>
        <v/>
      </c>
      <c r="AN355" s="243" t="str">
        <f>'All Ticker P&amp;L'!C355</f>
        <v/>
      </c>
      <c r="AO355" s="243" t="str">
        <f>'All Ticker P&amp;L'!D355</f>
        <v/>
      </c>
      <c r="AP355" s="243">
        <f>IF($AL355="",0,'All Ticker P&amp;L'!E355)</f>
        <v>0</v>
      </c>
      <c r="AQ355" s="266">
        <f>IF($AL355="",0,'All Ticker P&amp;L'!J355*'All Ticker P&amp;L'!I355)</f>
        <v>0</v>
      </c>
      <c r="AR355" s="266">
        <f>IF($AL355="",0,'All Ticker P&amp;L'!L355)</f>
        <v>0</v>
      </c>
      <c r="AS355" s="267">
        <f>IF($AL355="",0,'All Ticker P&amp;L'!M355)</f>
        <v>0</v>
      </c>
      <c r="AT355" s="243" t="str">
        <f>IF($AL355="","",RANK(AR355,$AR$2:$AR$1001)+COUNTIF($AR$2:AR355,AR355)-1)</f>
        <v/>
      </c>
      <c r="AU355" s="243" t="str">
        <f>IF($AL355="","",RANK(AV355,$AV$2:$AV$1001)+COUNTIF($AV$2:AV355,AV355)-1)</f>
        <v/>
      </c>
      <c r="AV355" s="266">
        <f t="shared" si="42"/>
        <v>0</v>
      </c>
    </row>
    <row r="356" spans="26:48" ht="15" customHeight="1" x14ac:dyDescent="0.2">
      <c r="Z356" s="243" t="str">
        <f>Shares!A356</f>
        <v/>
      </c>
      <c r="AA356" s="243" t="str">
        <f>Shares!B356</f>
        <v/>
      </c>
      <c r="AB356" s="243" t="str">
        <f>Shares!C356</f>
        <v/>
      </c>
      <c r="AC356" s="243" t="str">
        <f>Shares!D356</f>
        <v/>
      </c>
      <c r="AD356" s="243">
        <f>IF($Z356="",0,Shares!E356)</f>
        <v>0</v>
      </c>
      <c r="AE356" s="266">
        <f>IF($Z356="",0,Shares!J356*Shares!I356)</f>
        <v>0</v>
      </c>
      <c r="AF356" s="267">
        <f t="shared" si="41"/>
        <v>0</v>
      </c>
      <c r="AG356" s="266">
        <f>IF($Z356="",0,Shares!L356)</f>
        <v>0</v>
      </c>
      <c r="AH356" s="267">
        <f>IF($Z356="",0,Shares!M356)</f>
        <v>0</v>
      </c>
      <c r="AI356" s="243" t="str">
        <f>IF($Z356="","",RANK(AE356,$AE$2:$AE$1001)+COUNTIF($AE$2:AE356,AE356)-1)</f>
        <v/>
      </c>
      <c r="AJ356" s="243" t="str">
        <f>IF($AD356&lt;0,COUNT($AJ$1:AJ355)+1,"")</f>
        <v/>
      </c>
      <c r="AL356" s="243" t="str">
        <f>'All Ticker P&amp;L'!A356</f>
        <v/>
      </c>
      <c r="AM356" s="243" t="str">
        <f>'All Ticker P&amp;L'!B356</f>
        <v/>
      </c>
      <c r="AN356" s="243" t="str">
        <f>'All Ticker P&amp;L'!C356</f>
        <v/>
      </c>
      <c r="AO356" s="243" t="str">
        <f>'All Ticker P&amp;L'!D356</f>
        <v/>
      </c>
      <c r="AP356" s="243">
        <f>IF($AL356="",0,'All Ticker P&amp;L'!E356)</f>
        <v>0</v>
      </c>
      <c r="AQ356" s="266">
        <f>IF($AL356="",0,'All Ticker P&amp;L'!J356*'All Ticker P&amp;L'!I356)</f>
        <v>0</v>
      </c>
      <c r="AR356" s="266">
        <f>IF($AL356="",0,'All Ticker P&amp;L'!L356)</f>
        <v>0</v>
      </c>
      <c r="AS356" s="267">
        <f>IF($AL356="",0,'All Ticker P&amp;L'!M356)</f>
        <v>0</v>
      </c>
      <c r="AT356" s="243" t="str">
        <f>IF($AL356="","",RANK(AR356,$AR$2:$AR$1001)+COUNTIF($AR$2:AR356,AR356)-1)</f>
        <v/>
      </c>
      <c r="AU356" s="243" t="str">
        <f>IF($AL356="","",RANK(AV356,$AV$2:$AV$1001)+COUNTIF($AV$2:AV356,AV356)-1)</f>
        <v/>
      </c>
      <c r="AV356" s="266">
        <f t="shared" si="42"/>
        <v>0</v>
      </c>
    </row>
    <row r="357" spans="26:48" ht="15" customHeight="1" x14ac:dyDescent="0.2">
      <c r="Z357" s="243" t="str">
        <f>Shares!A357</f>
        <v/>
      </c>
      <c r="AA357" s="243" t="str">
        <f>Shares!B357</f>
        <v/>
      </c>
      <c r="AB357" s="243" t="str">
        <f>Shares!C357</f>
        <v/>
      </c>
      <c r="AC357" s="243" t="str">
        <f>Shares!D357</f>
        <v/>
      </c>
      <c r="AD357" s="243">
        <f>IF($Z357="",0,Shares!E357)</f>
        <v>0</v>
      </c>
      <c r="AE357" s="266">
        <f>IF($Z357="",0,Shares!J357*Shares!I357)</f>
        <v>0</v>
      </c>
      <c r="AF357" s="267">
        <f t="shared" si="41"/>
        <v>0</v>
      </c>
      <c r="AG357" s="266">
        <f>IF($Z357="",0,Shares!L357)</f>
        <v>0</v>
      </c>
      <c r="AH357" s="267">
        <f>IF($Z357="",0,Shares!M357)</f>
        <v>0</v>
      </c>
      <c r="AI357" s="243" t="str">
        <f>IF($Z357="","",RANK(AE357,$AE$2:$AE$1001)+COUNTIF($AE$2:AE357,AE357)-1)</f>
        <v/>
      </c>
      <c r="AJ357" s="243" t="str">
        <f>IF($AD357&lt;0,COUNT($AJ$1:AJ356)+1,"")</f>
        <v/>
      </c>
      <c r="AL357" s="243" t="str">
        <f>'All Ticker P&amp;L'!A357</f>
        <v/>
      </c>
      <c r="AM357" s="243" t="str">
        <f>'All Ticker P&amp;L'!B357</f>
        <v/>
      </c>
      <c r="AN357" s="243" t="str">
        <f>'All Ticker P&amp;L'!C357</f>
        <v/>
      </c>
      <c r="AO357" s="243" t="str">
        <f>'All Ticker P&amp;L'!D357</f>
        <v/>
      </c>
      <c r="AP357" s="243">
        <f>IF($AL357="",0,'All Ticker P&amp;L'!E357)</f>
        <v>0</v>
      </c>
      <c r="AQ357" s="266">
        <f>IF($AL357="",0,'All Ticker P&amp;L'!J357*'All Ticker P&amp;L'!I357)</f>
        <v>0</v>
      </c>
      <c r="AR357" s="266">
        <f>IF($AL357="",0,'All Ticker P&amp;L'!L357)</f>
        <v>0</v>
      </c>
      <c r="AS357" s="267">
        <f>IF($AL357="",0,'All Ticker P&amp;L'!M357)</f>
        <v>0</v>
      </c>
      <c r="AT357" s="243" t="str">
        <f>IF($AL357="","",RANK(AR357,$AR$2:$AR$1001)+COUNTIF($AR$2:AR357,AR357)-1)</f>
        <v/>
      </c>
      <c r="AU357" s="243" t="str">
        <f>IF($AL357="","",RANK(AV357,$AV$2:$AV$1001)+COUNTIF($AV$2:AV357,AV357)-1)</f>
        <v/>
      </c>
      <c r="AV357" s="266">
        <f t="shared" si="42"/>
        <v>0</v>
      </c>
    </row>
    <row r="358" spans="26:48" ht="15" customHeight="1" x14ac:dyDescent="0.2">
      <c r="Z358" s="243" t="str">
        <f>Shares!A358</f>
        <v/>
      </c>
      <c r="AA358" s="243" t="str">
        <f>Shares!B358</f>
        <v/>
      </c>
      <c r="AB358" s="243" t="str">
        <f>Shares!C358</f>
        <v/>
      </c>
      <c r="AC358" s="243" t="str">
        <f>Shares!D358</f>
        <v/>
      </c>
      <c r="AD358" s="243">
        <f>IF($Z358="",0,Shares!E358)</f>
        <v>0</v>
      </c>
      <c r="AE358" s="266">
        <f>IF($Z358="",0,Shares!J358*Shares!I358)</f>
        <v>0</v>
      </c>
      <c r="AF358" s="267">
        <f t="shared" si="41"/>
        <v>0</v>
      </c>
      <c r="AG358" s="266">
        <f>IF($Z358="",0,Shares!L358)</f>
        <v>0</v>
      </c>
      <c r="AH358" s="267">
        <f>IF($Z358="",0,Shares!M358)</f>
        <v>0</v>
      </c>
      <c r="AI358" s="243" t="str">
        <f>IF($Z358="","",RANK(AE358,$AE$2:$AE$1001)+COUNTIF($AE$2:AE358,AE358)-1)</f>
        <v/>
      </c>
      <c r="AJ358" s="243" t="str">
        <f>IF($AD358&lt;0,COUNT($AJ$1:AJ357)+1,"")</f>
        <v/>
      </c>
      <c r="AL358" s="243" t="str">
        <f>'All Ticker P&amp;L'!A358</f>
        <v/>
      </c>
      <c r="AM358" s="243" t="str">
        <f>'All Ticker P&amp;L'!B358</f>
        <v/>
      </c>
      <c r="AN358" s="243" t="str">
        <f>'All Ticker P&amp;L'!C358</f>
        <v/>
      </c>
      <c r="AO358" s="243" t="str">
        <f>'All Ticker P&amp;L'!D358</f>
        <v/>
      </c>
      <c r="AP358" s="243">
        <f>IF($AL358="",0,'All Ticker P&amp;L'!E358)</f>
        <v>0</v>
      </c>
      <c r="AQ358" s="266">
        <f>IF($AL358="",0,'All Ticker P&amp;L'!J358*'All Ticker P&amp;L'!I358)</f>
        <v>0</v>
      </c>
      <c r="AR358" s="266">
        <f>IF($AL358="",0,'All Ticker P&amp;L'!L358)</f>
        <v>0</v>
      </c>
      <c r="AS358" s="267">
        <f>IF($AL358="",0,'All Ticker P&amp;L'!M358)</f>
        <v>0</v>
      </c>
      <c r="AT358" s="243" t="str">
        <f>IF($AL358="","",RANK(AR358,$AR$2:$AR$1001)+COUNTIF($AR$2:AR358,AR358)-1)</f>
        <v/>
      </c>
      <c r="AU358" s="243" t="str">
        <f>IF($AL358="","",RANK(AV358,$AV$2:$AV$1001)+COUNTIF($AV$2:AV358,AV358)-1)</f>
        <v/>
      </c>
      <c r="AV358" s="266">
        <f t="shared" si="42"/>
        <v>0</v>
      </c>
    </row>
    <row r="359" spans="26:48" ht="15" customHeight="1" x14ac:dyDescent="0.2">
      <c r="Z359" s="243" t="str">
        <f>Shares!A359</f>
        <v/>
      </c>
      <c r="AA359" s="243" t="str">
        <f>Shares!B359</f>
        <v/>
      </c>
      <c r="AB359" s="243" t="str">
        <f>Shares!C359</f>
        <v/>
      </c>
      <c r="AC359" s="243" t="str">
        <f>Shares!D359</f>
        <v/>
      </c>
      <c r="AD359" s="243">
        <f>IF($Z359="",0,Shares!E359)</f>
        <v>0</v>
      </c>
      <c r="AE359" s="266">
        <f>IF($Z359="",0,Shares!J359*Shares!I359)</f>
        <v>0</v>
      </c>
      <c r="AF359" s="267">
        <f t="shared" si="41"/>
        <v>0</v>
      </c>
      <c r="AG359" s="266">
        <f>IF($Z359="",0,Shares!L359)</f>
        <v>0</v>
      </c>
      <c r="AH359" s="267">
        <f>IF($Z359="",0,Shares!M359)</f>
        <v>0</v>
      </c>
      <c r="AI359" s="243" t="str">
        <f>IF($Z359="","",RANK(AE359,$AE$2:$AE$1001)+COUNTIF($AE$2:AE359,AE359)-1)</f>
        <v/>
      </c>
      <c r="AJ359" s="243" t="str">
        <f>IF($AD359&lt;0,COUNT($AJ$1:AJ358)+1,"")</f>
        <v/>
      </c>
      <c r="AL359" s="243" t="str">
        <f>'All Ticker P&amp;L'!A359</f>
        <v/>
      </c>
      <c r="AM359" s="243" t="str">
        <f>'All Ticker P&amp;L'!B359</f>
        <v/>
      </c>
      <c r="AN359" s="243" t="str">
        <f>'All Ticker P&amp;L'!C359</f>
        <v/>
      </c>
      <c r="AO359" s="243" t="str">
        <f>'All Ticker P&amp;L'!D359</f>
        <v/>
      </c>
      <c r="AP359" s="243">
        <f>IF($AL359="",0,'All Ticker P&amp;L'!E359)</f>
        <v>0</v>
      </c>
      <c r="AQ359" s="266">
        <f>IF($AL359="",0,'All Ticker P&amp;L'!J359*'All Ticker P&amp;L'!I359)</f>
        <v>0</v>
      </c>
      <c r="AR359" s="266">
        <f>IF($AL359="",0,'All Ticker P&amp;L'!L359)</f>
        <v>0</v>
      </c>
      <c r="AS359" s="267">
        <f>IF($AL359="",0,'All Ticker P&amp;L'!M359)</f>
        <v>0</v>
      </c>
      <c r="AT359" s="243" t="str">
        <f>IF($AL359="","",RANK(AR359,$AR$2:$AR$1001)+COUNTIF($AR$2:AR359,AR359)-1)</f>
        <v/>
      </c>
      <c r="AU359" s="243" t="str">
        <f>IF($AL359="","",RANK(AV359,$AV$2:$AV$1001)+COUNTIF($AV$2:AV359,AV359)-1)</f>
        <v/>
      </c>
      <c r="AV359" s="266">
        <f t="shared" si="42"/>
        <v>0</v>
      </c>
    </row>
    <row r="360" spans="26:48" ht="15" customHeight="1" x14ac:dyDescent="0.2">
      <c r="Z360" s="243" t="str">
        <f>Shares!A360</f>
        <v/>
      </c>
      <c r="AA360" s="243" t="str">
        <f>Shares!B360</f>
        <v/>
      </c>
      <c r="AB360" s="243" t="str">
        <f>Shares!C360</f>
        <v/>
      </c>
      <c r="AC360" s="243" t="str">
        <f>Shares!D360</f>
        <v/>
      </c>
      <c r="AD360" s="243">
        <f>IF($Z360="",0,Shares!E360)</f>
        <v>0</v>
      </c>
      <c r="AE360" s="266">
        <f>IF($Z360="",0,Shares!J360*Shares!I360)</f>
        <v>0</v>
      </c>
      <c r="AF360" s="267">
        <f t="shared" si="41"/>
        <v>0</v>
      </c>
      <c r="AG360" s="266">
        <f>IF($Z360="",0,Shares!L360)</f>
        <v>0</v>
      </c>
      <c r="AH360" s="267">
        <f>IF($Z360="",0,Shares!M360)</f>
        <v>0</v>
      </c>
      <c r="AI360" s="243" t="str">
        <f>IF($Z360="","",RANK(AE360,$AE$2:$AE$1001)+COUNTIF($AE$2:AE360,AE360)-1)</f>
        <v/>
      </c>
      <c r="AJ360" s="243" t="str">
        <f>IF($AD360&lt;0,COUNT($AJ$1:AJ359)+1,"")</f>
        <v/>
      </c>
      <c r="AL360" s="243" t="str">
        <f>'All Ticker P&amp;L'!A360</f>
        <v/>
      </c>
      <c r="AM360" s="243" t="str">
        <f>'All Ticker P&amp;L'!B360</f>
        <v/>
      </c>
      <c r="AN360" s="243" t="str">
        <f>'All Ticker P&amp;L'!C360</f>
        <v/>
      </c>
      <c r="AO360" s="243" t="str">
        <f>'All Ticker P&amp;L'!D360</f>
        <v/>
      </c>
      <c r="AP360" s="243">
        <f>IF($AL360="",0,'All Ticker P&amp;L'!E360)</f>
        <v>0</v>
      </c>
      <c r="AQ360" s="266">
        <f>IF($AL360="",0,'All Ticker P&amp;L'!J360*'All Ticker P&amp;L'!I360)</f>
        <v>0</v>
      </c>
      <c r="AR360" s="266">
        <f>IF($AL360="",0,'All Ticker P&amp;L'!L360)</f>
        <v>0</v>
      </c>
      <c r="AS360" s="267">
        <f>IF($AL360="",0,'All Ticker P&amp;L'!M360)</f>
        <v>0</v>
      </c>
      <c r="AT360" s="243" t="str">
        <f>IF($AL360="","",RANK(AR360,$AR$2:$AR$1001)+COUNTIF($AR$2:AR360,AR360)-1)</f>
        <v/>
      </c>
      <c r="AU360" s="243" t="str">
        <f>IF($AL360="","",RANK(AV360,$AV$2:$AV$1001)+COUNTIF($AV$2:AV360,AV360)-1)</f>
        <v/>
      </c>
      <c r="AV360" s="266">
        <f t="shared" si="42"/>
        <v>0</v>
      </c>
    </row>
    <row r="361" spans="26:48" ht="15" customHeight="1" x14ac:dyDescent="0.2">
      <c r="Z361" s="243" t="str">
        <f>Shares!A361</f>
        <v/>
      </c>
      <c r="AA361" s="243" t="str">
        <f>Shares!B361</f>
        <v/>
      </c>
      <c r="AB361" s="243" t="str">
        <f>Shares!C361</f>
        <v/>
      </c>
      <c r="AC361" s="243" t="str">
        <f>Shares!D361</f>
        <v/>
      </c>
      <c r="AD361" s="243">
        <f>IF($Z361="",0,Shares!E361)</f>
        <v>0</v>
      </c>
      <c r="AE361" s="266">
        <f>IF($Z361="",0,Shares!J361*Shares!I361)</f>
        <v>0</v>
      </c>
      <c r="AF361" s="267">
        <f t="shared" si="41"/>
        <v>0</v>
      </c>
      <c r="AG361" s="266">
        <f>IF($Z361="",0,Shares!L361)</f>
        <v>0</v>
      </c>
      <c r="AH361" s="267">
        <f>IF($Z361="",0,Shares!M361)</f>
        <v>0</v>
      </c>
      <c r="AI361" s="243" t="str">
        <f>IF($Z361="","",RANK(AE361,$AE$2:$AE$1001)+COUNTIF($AE$2:AE361,AE361)-1)</f>
        <v/>
      </c>
      <c r="AJ361" s="243" t="str">
        <f>IF($AD361&lt;0,COUNT($AJ$1:AJ360)+1,"")</f>
        <v/>
      </c>
      <c r="AL361" s="243" t="str">
        <f>'All Ticker P&amp;L'!A361</f>
        <v/>
      </c>
      <c r="AM361" s="243" t="str">
        <f>'All Ticker P&amp;L'!B361</f>
        <v/>
      </c>
      <c r="AN361" s="243" t="str">
        <f>'All Ticker P&amp;L'!C361</f>
        <v/>
      </c>
      <c r="AO361" s="243" t="str">
        <f>'All Ticker P&amp;L'!D361</f>
        <v/>
      </c>
      <c r="AP361" s="243">
        <f>IF($AL361="",0,'All Ticker P&amp;L'!E361)</f>
        <v>0</v>
      </c>
      <c r="AQ361" s="266">
        <f>IF($AL361="",0,'All Ticker P&amp;L'!J361*'All Ticker P&amp;L'!I361)</f>
        <v>0</v>
      </c>
      <c r="AR361" s="266">
        <f>IF($AL361="",0,'All Ticker P&amp;L'!L361)</f>
        <v>0</v>
      </c>
      <c r="AS361" s="267">
        <f>IF($AL361="",0,'All Ticker P&amp;L'!M361)</f>
        <v>0</v>
      </c>
      <c r="AT361" s="243" t="str">
        <f>IF($AL361="","",RANK(AR361,$AR$2:$AR$1001)+COUNTIF($AR$2:AR361,AR361)-1)</f>
        <v/>
      </c>
      <c r="AU361" s="243" t="str">
        <f>IF($AL361="","",RANK(AV361,$AV$2:$AV$1001)+COUNTIF($AV$2:AV361,AV361)-1)</f>
        <v/>
      </c>
      <c r="AV361" s="266">
        <f t="shared" si="42"/>
        <v>0</v>
      </c>
    </row>
    <row r="362" spans="26:48" ht="15" customHeight="1" x14ac:dyDescent="0.2">
      <c r="Z362" s="243" t="str">
        <f>Shares!A362</f>
        <v/>
      </c>
      <c r="AA362" s="243" t="str">
        <f>Shares!B362</f>
        <v/>
      </c>
      <c r="AB362" s="243" t="str">
        <f>Shares!C362</f>
        <v/>
      </c>
      <c r="AC362" s="243" t="str">
        <f>Shares!D362</f>
        <v/>
      </c>
      <c r="AD362" s="243">
        <f>IF($Z362="",0,Shares!E362)</f>
        <v>0</v>
      </c>
      <c r="AE362" s="266">
        <f>IF($Z362="",0,Shares!J362*Shares!I362)</f>
        <v>0</v>
      </c>
      <c r="AF362" s="267">
        <f t="shared" si="41"/>
        <v>0</v>
      </c>
      <c r="AG362" s="266">
        <f>IF($Z362="",0,Shares!L362)</f>
        <v>0</v>
      </c>
      <c r="AH362" s="267">
        <f>IF($Z362="",0,Shares!M362)</f>
        <v>0</v>
      </c>
      <c r="AI362" s="243" t="str">
        <f>IF($Z362="","",RANK(AE362,$AE$2:$AE$1001)+COUNTIF($AE$2:AE362,AE362)-1)</f>
        <v/>
      </c>
      <c r="AJ362" s="243" t="str">
        <f>IF($AD362&lt;0,COUNT($AJ$1:AJ361)+1,"")</f>
        <v/>
      </c>
      <c r="AL362" s="243" t="str">
        <f>'All Ticker P&amp;L'!A362</f>
        <v/>
      </c>
      <c r="AM362" s="243" t="str">
        <f>'All Ticker P&amp;L'!B362</f>
        <v/>
      </c>
      <c r="AN362" s="243" t="str">
        <f>'All Ticker P&amp;L'!C362</f>
        <v/>
      </c>
      <c r="AO362" s="243" t="str">
        <f>'All Ticker P&amp;L'!D362</f>
        <v/>
      </c>
      <c r="AP362" s="243">
        <f>IF($AL362="",0,'All Ticker P&amp;L'!E362)</f>
        <v>0</v>
      </c>
      <c r="AQ362" s="266">
        <f>IF($AL362="",0,'All Ticker P&amp;L'!J362*'All Ticker P&amp;L'!I362)</f>
        <v>0</v>
      </c>
      <c r="AR362" s="266">
        <f>IF($AL362="",0,'All Ticker P&amp;L'!L362)</f>
        <v>0</v>
      </c>
      <c r="AS362" s="267">
        <f>IF($AL362="",0,'All Ticker P&amp;L'!M362)</f>
        <v>0</v>
      </c>
      <c r="AT362" s="243" t="str">
        <f>IF($AL362="","",RANK(AR362,$AR$2:$AR$1001)+COUNTIF($AR$2:AR362,AR362)-1)</f>
        <v/>
      </c>
      <c r="AU362" s="243" t="str">
        <f>IF($AL362="","",RANK(AV362,$AV$2:$AV$1001)+COUNTIF($AV$2:AV362,AV362)-1)</f>
        <v/>
      </c>
      <c r="AV362" s="266">
        <f t="shared" si="42"/>
        <v>0</v>
      </c>
    </row>
    <row r="363" spans="26:48" ht="15" customHeight="1" x14ac:dyDescent="0.2">
      <c r="Z363" s="243" t="str">
        <f>Shares!A363</f>
        <v/>
      </c>
      <c r="AA363" s="243" t="str">
        <f>Shares!B363</f>
        <v/>
      </c>
      <c r="AB363" s="243" t="str">
        <f>Shares!C363</f>
        <v/>
      </c>
      <c r="AC363" s="243" t="str">
        <f>Shares!D363</f>
        <v/>
      </c>
      <c r="AD363" s="243">
        <f>IF($Z363="",0,Shares!E363)</f>
        <v>0</v>
      </c>
      <c r="AE363" s="266">
        <f>IF($Z363="",0,Shares!J363*Shares!I363)</f>
        <v>0</v>
      </c>
      <c r="AF363" s="267">
        <f t="shared" si="41"/>
        <v>0</v>
      </c>
      <c r="AG363" s="266">
        <f>IF($Z363="",0,Shares!L363)</f>
        <v>0</v>
      </c>
      <c r="AH363" s="267">
        <f>IF($Z363="",0,Shares!M363)</f>
        <v>0</v>
      </c>
      <c r="AI363" s="243" t="str">
        <f>IF($Z363="","",RANK(AE363,$AE$2:$AE$1001)+COUNTIF($AE$2:AE363,AE363)-1)</f>
        <v/>
      </c>
      <c r="AJ363" s="243" t="str">
        <f>IF($AD363&lt;0,COUNT($AJ$1:AJ362)+1,"")</f>
        <v/>
      </c>
      <c r="AL363" s="243" t="str">
        <f>'All Ticker P&amp;L'!A363</f>
        <v/>
      </c>
      <c r="AM363" s="243" t="str">
        <f>'All Ticker P&amp;L'!B363</f>
        <v/>
      </c>
      <c r="AN363" s="243" t="str">
        <f>'All Ticker P&amp;L'!C363</f>
        <v/>
      </c>
      <c r="AO363" s="243" t="str">
        <f>'All Ticker P&amp;L'!D363</f>
        <v/>
      </c>
      <c r="AP363" s="243">
        <f>IF($AL363="",0,'All Ticker P&amp;L'!E363)</f>
        <v>0</v>
      </c>
      <c r="AQ363" s="266">
        <f>IF($AL363="",0,'All Ticker P&amp;L'!J363*'All Ticker P&amp;L'!I363)</f>
        <v>0</v>
      </c>
      <c r="AR363" s="266">
        <f>IF($AL363="",0,'All Ticker P&amp;L'!L363)</f>
        <v>0</v>
      </c>
      <c r="AS363" s="267">
        <f>IF($AL363="",0,'All Ticker P&amp;L'!M363)</f>
        <v>0</v>
      </c>
      <c r="AT363" s="243" t="str">
        <f>IF($AL363="","",RANK(AR363,$AR$2:$AR$1001)+COUNTIF($AR$2:AR363,AR363)-1)</f>
        <v/>
      </c>
      <c r="AU363" s="243" t="str">
        <f>IF($AL363="","",RANK(AV363,$AV$2:$AV$1001)+COUNTIF($AV$2:AV363,AV363)-1)</f>
        <v/>
      </c>
      <c r="AV363" s="266">
        <f t="shared" si="42"/>
        <v>0</v>
      </c>
    </row>
    <row r="364" spans="26:48" ht="15" customHeight="1" x14ac:dyDescent="0.2">
      <c r="Z364" s="243" t="str">
        <f>Shares!A364</f>
        <v/>
      </c>
      <c r="AA364" s="243" t="str">
        <f>Shares!B364</f>
        <v/>
      </c>
      <c r="AB364" s="243" t="str">
        <f>Shares!C364</f>
        <v/>
      </c>
      <c r="AC364" s="243" t="str">
        <f>Shares!D364</f>
        <v/>
      </c>
      <c r="AD364" s="243">
        <f>IF($Z364="",0,Shares!E364)</f>
        <v>0</v>
      </c>
      <c r="AE364" s="266">
        <f>IF($Z364="",0,Shares!J364*Shares!I364)</f>
        <v>0</v>
      </c>
      <c r="AF364" s="267">
        <f t="shared" si="41"/>
        <v>0</v>
      </c>
      <c r="AG364" s="266">
        <f>IF($Z364="",0,Shares!L364)</f>
        <v>0</v>
      </c>
      <c r="AH364" s="267">
        <f>IF($Z364="",0,Shares!M364)</f>
        <v>0</v>
      </c>
      <c r="AI364" s="243" t="str">
        <f>IF($Z364="","",RANK(AE364,$AE$2:$AE$1001)+COUNTIF($AE$2:AE364,AE364)-1)</f>
        <v/>
      </c>
      <c r="AJ364" s="243" t="str">
        <f>IF($AD364&lt;0,COUNT($AJ$1:AJ363)+1,"")</f>
        <v/>
      </c>
      <c r="AL364" s="243" t="str">
        <f>'All Ticker P&amp;L'!A364</f>
        <v/>
      </c>
      <c r="AM364" s="243" t="str">
        <f>'All Ticker P&amp;L'!B364</f>
        <v/>
      </c>
      <c r="AN364" s="243" t="str">
        <f>'All Ticker P&amp;L'!C364</f>
        <v/>
      </c>
      <c r="AO364" s="243" t="str">
        <f>'All Ticker P&amp;L'!D364</f>
        <v/>
      </c>
      <c r="AP364" s="243">
        <f>IF($AL364="",0,'All Ticker P&amp;L'!E364)</f>
        <v>0</v>
      </c>
      <c r="AQ364" s="266">
        <f>IF($AL364="",0,'All Ticker P&amp;L'!J364*'All Ticker P&amp;L'!I364)</f>
        <v>0</v>
      </c>
      <c r="AR364" s="266">
        <f>IF($AL364="",0,'All Ticker P&amp;L'!L364)</f>
        <v>0</v>
      </c>
      <c r="AS364" s="267">
        <f>IF($AL364="",0,'All Ticker P&amp;L'!M364)</f>
        <v>0</v>
      </c>
      <c r="AT364" s="243" t="str">
        <f>IF($AL364="","",RANK(AR364,$AR$2:$AR$1001)+COUNTIF($AR$2:AR364,AR364)-1)</f>
        <v/>
      </c>
      <c r="AU364" s="243" t="str">
        <f>IF($AL364="","",RANK(AV364,$AV$2:$AV$1001)+COUNTIF($AV$2:AV364,AV364)-1)</f>
        <v/>
      </c>
      <c r="AV364" s="266">
        <f t="shared" si="42"/>
        <v>0</v>
      </c>
    </row>
    <row r="365" spans="26:48" ht="15" customHeight="1" x14ac:dyDescent="0.2">
      <c r="Z365" s="243" t="str">
        <f>Shares!A365</f>
        <v/>
      </c>
      <c r="AA365" s="243" t="str">
        <f>Shares!B365</f>
        <v/>
      </c>
      <c r="AB365" s="243" t="str">
        <f>Shares!C365</f>
        <v/>
      </c>
      <c r="AC365" s="243" t="str">
        <f>Shares!D365</f>
        <v/>
      </c>
      <c r="AD365" s="243">
        <f>IF($Z365="",0,Shares!E365)</f>
        <v>0</v>
      </c>
      <c r="AE365" s="266">
        <f>IF($Z365="",0,Shares!J365*Shares!I365)</f>
        <v>0</v>
      </c>
      <c r="AF365" s="267">
        <f t="shared" si="41"/>
        <v>0</v>
      </c>
      <c r="AG365" s="266">
        <f>IF($Z365="",0,Shares!L365)</f>
        <v>0</v>
      </c>
      <c r="AH365" s="267">
        <f>IF($Z365="",0,Shares!M365)</f>
        <v>0</v>
      </c>
      <c r="AI365" s="243" t="str">
        <f>IF($Z365="","",RANK(AE365,$AE$2:$AE$1001)+COUNTIF($AE$2:AE365,AE365)-1)</f>
        <v/>
      </c>
      <c r="AJ365" s="243" t="str">
        <f>IF($AD365&lt;0,COUNT($AJ$1:AJ364)+1,"")</f>
        <v/>
      </c>
      <c r="AL365" s="243" t="str">
        <f>'All Ticker P&amp;L'!A365</f>
        <v/>
      </c>
      <c r="AM365" s="243" t="str">
        <f>'All Ticker P&amp;L'!B365</f>
        <v/>
      </c>
      <c r="AN365" s="243" t="str">
        <f>'All Ticker P&amp;L'!C365</f>
        <v/>
      </c>
      <c r="AO365" s="243" t="str">
        <f>'All Ticker P&amp;L'!D365</f>
        <v/>
      </c>
      <c r="AP365" s="243">
        <f>IF($AL365="",0,'All Ticker P&amp;L'!E365)</f>
        <v>0</v>
      </c>
      <c r="AQ365" s="266">
        <f>IF($AL365="",0,'All Ticker P&amp;L'!J365*'All Ticker P&amp;L'!I365)</f>
        <v>0</v>
      </c>
      <c r="AR365" s="266">
        <f>IF($AL365="",0,'All Ticker P&amp;L'!L365)</f>
        <v>0</v>
      </c>
      <c r="AS365" s="267">
        <f>IF($AL365="",0,'All Ticker P&amp;L'!M365)</f>
        <v>0</v>
      </c>
      <c r="AT365" s="243" t="str">
        <f>IF($AL365="","",RANK(AR365,$AR$2:$AR$1001)+COUNTIF($AR$2:AR365,AR365)-1)</f>
        <v/>
      </c>
      <c r="AU365" s="243" t="str">
        <f>IF($AL365="","",RANK(AV365,$AV$2:$AV$1001)+COUNTIF($AV$2:AV365,AV365)-1)</f>
        <v/>
      </c>
      <c r="AV365" s="266">
        <f t="shared" si="42"/>
        <v>0</v>
      </c>
    </row>
    <row r="366" spans="26:48" ht="15" customHeight="1" x14ac:dyDescent="0.2">
      <c r="Z366" s="243" t="str">
        <f>Shares!A366</f>
        <v/>
      </c>
      <c r="AA366" s="243" t="str">
        <f>Shares!B366</f>
        <v/>
      </c>
      <c r="AB366" s="243" t="str">
        <f>Shares!C366</f>
        <v/>
      </c>
      <c r="AC366" s="243" t="str">
        <f>Shares!D366</f>
        <v/>
      </c>
      <c r="AD366" s="243">
        <f>IF($Z366="",0,Shares!E366)</f>
        <v>0</v>
      </c>
      <c r="AE366" s="266">
        <f>IF($Z366="",0,Shares!J366*Shares!I366)</f>
        <v>0</v>
      </c>
      <c r="AF366" s="267">
        <f t="shared" si="41"/>
        <v>0</v>
      </c>
      <c r="AG366" s="266">
        <f>IF($Z366="",0,Shares!L366)</f>
        <v>0</v>
      </c>
      <c r="AH366" s="267">
        <f>IF($Z366="",0,Shares!M366)</f>
        <v>0</v>
      </c>
      <c r="AI366" s="243" t="str">
        <f>IF($Z366="","",RANK(AE366,$AE$2:$AE$1001)+COUNTIF($AE$2:AE366,AE366)-1)</f>
        <v/>
      </c>
      <c r="AJ366" s="243" t="str">
        <f>IF($AD366&lt;0,COUNT($AJ$1:AJ365)+1,"")</f>
        <v/>
      </c>
      <c r="AL366" s="243" t="str">
        <f>'All Ticker P&amp;L'!A366</f>
        <v/>
      </c>
      <c r="AM366" s="243" t="str">
        <f>'All Ticker P&amp;L'!B366</f>
        <v/>
      </c>
      <c r="AN366" s="243" t="str">
        <f>'All Ticker P&amp;L'!C366</f>
        <v/>
      </c>
      <c r="AO366" s="243" t="str">
        <f>'All Ticker P&amp;L'!D366</f>
        <v/>
      </c>
      <c r="AP366" s="243">
        <f>IF($AL366="",0,'All Ticker P&amp;L'!E366)</f>
        <v>0</v>
      </c>
      <c r="AQ366" s="266">
        <f>IF($AL366="",0,'All Ticker P&amp;L'!J366*'All Ticker P&amp;L'!I366)</f>
        <v>0</v>
      </c>
      <c r="AR366" s="266">
        <f>IF($AL366="",0,'All Ticker P&amp;L'!L366)</f>
        <v>0</v>
      </c>
      <c r="AS366" s="267">
        <f>IF($AL366="",0,'All Ticker P&amp;L'!M366)</f>
        <v>0</v>
      </c>
      <c r="AT366" s="243" t="str">
        <f>IF($AL366="","",RANK(AR366,$AR$2:$AR$1001)+COUNTIF($AR$2:AR366,AR366)-1)</f>
        <v/>
      </c>
      <c r="AU366" s="243" t="str">
        <f>IF($AL366="","",RANK(AV366,$AV$2:$AV$1001)+COUNTIF($AV$2:AV366,AV366)-1)</f>
        <v/>
      </c>
      <c r="AV366" s="266">
        <f t="shared" si="42"/>
        <v>0</v>
      </c>
    </row>
    <row r="367" spans="26:48" ht="15" customHeight="1" x14ac:dyDescent="0.2">
      <c r="Z367" s="243" t="str">
        <f>Shares!A367</f>
        <v/>
      </c>
      <c r="AA367" s="243" t="str">
        <f>Shares!B367</f>
        <v/>
      </c>
      <c r="AB367" s="243" t="str">
        <f>Shares!C367</f>
        <v/>
      </c>
      <c r="AC367" s="243" t="str">
        <f>Shares!D367</f>
        <v/>
      </c>
      <c r="AD367" s="243">
        <f>IF($Z367="",0,Shares!E367)</f>
        <v>0</v>
      </c>
      <c r="AE367" s="266">
        <f>IF($Z367="",0,Shares!J367*Shares!I367)</f>
        <v>0</v>
      </c>
      <c r="AF367" s="267">
        <f t="shared" si="41"/>
        <v>0</v>
      </c>
      <c r="AG367" s="266">
        <f>IF($Z367="",0,Shares!L367)</f>
        <v>0</v>
      </c>
      <c r="AH367" s="267">
        <f>IF($Z367="",0,Shares!M367)</f>
        <v>0</v>
      </c>
      <c r="AI367" s="243" t="str">
        <f>IF($Z367="","",RANK(AE367,$AE$2:$AE$1001)+COUNTIF($AE$2:AE367,AE367)-1)</f>
        <v/>
      </c>
      <c r="AJ367" s="243" t="str">
        <f>IF($AD367&lt;0,COUNT($AJ$1:AJ366)+1,"")</f>
        <v/>
      </c>
      <c r="AL367" s="243" t="str">
        <f>'All Ticker P&amp;L'!A367</f>
        <v/>
      </c>
      <c r="AM367" s="243" t="str">
        <f>'All Ticker P&amp;L'!B367</f>
        <v/>
      </c>
      <c r="AN367" s="243" t="str">
        <f>'All Ticker P&amp;L'!C367</f>
        <v/>
      </c>
      <c r="AO367" s="243" t="str">
        <f>'All Ticker P&amp;L'!D367</f>
        <v/>
      </c>
      <c r="AP367" s="243">
        <f>IF($AL367="",0,'All Ticker P&amp;L'!E367)</f>
        <v>0</v>
      </c>
      <c r="AQ367" s="266">
        <f>IF($AL367="",0,'All Ticker P&amp;L'!J367*'All Ticker P&amp;L'!I367)</f>
        <v>0</v>
      </c>
      <c r="AR367" s="266">
        <f>IF($AL367="",0,'All Ticker P&amp;L'!L367)</f>
        <v>0</v>
      </c>
      <c r="AS367" s="267">
        <f>IF($AL367="",0,'All Ticker P&amp;L'!M367)</f>
        <v>0</v>
      </c>
      <c r="AT367" s="243" t="str">
        <f>IF($AL367="","",RANK(AR367,$AR$2:$AR$1001)+COUNTIF($AR$2:AR367,AR367)-1)</f>
        <v/>
      </c>
      <c r="AU367" s="243" t="str">
        <f>IF($AL367="","",RANK(AV367,$AV$2:$AV$1001)+COUNTIF($AV$2:AV367,AV367)-1)</f>
        <v/>
      </c>
      <c r="AV367" s="266">
        <f t="shared" si="42"/>
        <v>0</v>
      </c>
    </row>
    <row r="368" spans="26:48" ht="15" customHeight="1" x14ac:dyDescent="0.2">
      <c r="Z368" s="243" t="str">
        <f>Shares!A368</f>
        <v/>
      </c>
      <c r="AA368" s="243" t="str">
        <f>Shares!B368</f>
        <v/>
      </c>
      <c r="AB368" s="243" t="str">
        <f>Shares!C368</f>
        <v/>
      </c>
      <c r="AC368" s="243" t="str">
        <f>Shares!D368</f>
        <v/>
      </c>
      <c r="AD368" s="243">
        <f>IF($Z368="",0,Shares!E368)</f>
        <v>0</v>
      </c>
      <c r="AE368" s="266">
        <f>IF($Z368="",0,Shares!J368*Shares!I368)</f>
        <v>0</v>
      </c>
      <c r="AF368" s="267">
        <f t="shared" si="41"/>
        <v>0</v>
      </c>
      <c r="AG368" s="266">
        <f>IF($Z368="",0,Shares!L368)</f>
        <v>0</v>
      </c>
      <c r="AH368" s="267">
        <f>IF($Z368="",0,Shares!M368)</f>
        <v>0</v>
      </c>
      <c r="AI368" s="243" t="str">
        <f>IF($Z368="","",RANK(AE368,$AE$2:$AE$1001)+COUNTIF($AE$2:AE368,AE368)-1)</f>
        <v/>
      </c>
      <c r="AJ368" s="243" t="str">
        <f>IF($AD368&lt;0,COUNT($AJ$1:AJ367)+1,"")</f>
        <v/>
      </c>
      <c r="AL368" s="243" t="str">
        <f>'All Ticker P&amp;L'!A368</f>
        <v/>
      </c>
      <c r="AM368" s="243" t="str">
        <f>'All Ticker P&amp;L'!B368</f>
        <v/>
      </c>
      <c r="AN368" s="243" t="str">
        <f>'All Ticker P&amp;L'!C368</f>
        <v/>
      </c>
      <c r="AO368" s="243" t="str">
        <f>'All Ticker P&amp;L'!D368</f>
        <v/>
      </c>
      <c r="AP368" s="243">
        <f>IF($AL368="",0,'All Ticker P&amp;L'!E368)</f>
        <v>0</v>
      </c>
      <c r="AQ368" s="266">
        <f>IF($AL368="",0,'All Ticker P&amp;L'!J368*'All Ticker P&amp;L'!I368)</f>
        <v>0</v>
      </c>
      <c r="AR368" s="266">
        <f>IF($AL368="",0,'All Ticker P&amp;L'!L368)</f>
        <v>0</v>
      </c>
      <c r="AS368" s="267">
        <f>IF($AL368="",0,'All Ticker P&amp;L'!M368)</f>
        <v>0</v>
      </c>
      <c r="AT368" s="243" t="str">
        <f>IF($AL368="","",RANK(AR368,$AR$2:$AR$1001)+COUNTIF($AR$2:AR368,AR368)-1)</f>
        <v/>
      </c>
      <c r="AU368" s="243" t="str">
        <f>IF($AL368="","",RANK(AV368,$AV$2:$AV$1001)+COUNTIF($AV$2:AV368,AV368)-1)</f>
        <v/>
      </c>
      <c r="AV368" s="266">
        <f t="shared" si="42"/>
        <v>0</v>
      </c>
    </row>
    <row r="369" spans="26:48" ht="15" customHeight="1" x14ac:dyDescent="0.2">
      <c r="Z369" s="243" t="str">
        <f>Shares!A369</f>
        <v/>
      </c>
      <c r="AA369" s="243" t="str">
        <f>Shares!B369</f>
        <v/>
      </c>
      <c r="AB369" s="243" t="str">
        <f>Shares!C369</f>
        <v/>
      </c>
      <c r="AC369" s="243" t="str">
        <f>Shares!D369</f>
        <v/>
      </c>
      <c r="AD369" s="243">
        <f>IF($Z369="",0,Shares!E369)</f>
        <v>0</v>
      </c>
      <c r="AE369" s="266">
        <f>IF($Z369="",0,Shares!J369*Shares!I369)</f>
        <v>0</v>
      </c>
      <c r="AF369" s="267">
        <f t="shared" si="41"/>
        <v>0</v>
      </c>
      <c r="AG369" s="266">
        <f>IF($Z369="",0,Shares!L369)</f>
        <v>0</v>
      </c>
      <c r="AH369" s="267">
        <f>IF($Z369="",0,Shares!M369)</f>
        <v>0</v>
      </c>
      <c r="AI369" s="243" t="str">
        <f>IF($Z369="","",RANK(AE369,$AE$2:$AE$1001)+COUNTIF($AE$2:AE369,AE369)-1)</f>
        <v/>
      </c>
      <c r="AJ369" s="243" t="str">
        <f>IF($AD369&lt;0,COUNT($AJ$1:AJ368)+1,"")</f>
        <v/>
      </c>
      <c r="AL369" s="243" t="str">
        <f>'All Ticker P&amp;L'!A369</f>
        <v/>
      </c>
      <c r="AM369" s="243" t="str">
        <f>'All Ticker P&amp;L'!B369</f>
        <v/>
      </c>
      <c r="AN369" s="243" t="str">
        <f>'All Ticker P&amp;L'!C369</f>
        <v/>
      </c>
      <c r="AO369" s="243" t="str">
        <f>'All Ticker P&amp;L'!D369</f>
        <v/>
      </c>
      <c r="AP369" s="243">
        <f>IF($AL369="",0,'All Ticker P&amp;L'!E369)</f>
        <v>0</v>
      </c>
      <c r="AQ369" s="266">
        <f>IF($AL369="",0,'All Ticker P&amp;L'!J369*'All Ticker P&amp;L'!I369)</f>
        <v>0</v>
      </c>
      <c r="AR369" s="266">
        <f>IF($AL369="",0,'All Ticker P&amp;L'!L369)</f>
        <v>0</v>
      </c>
      <c r="AS369" s="267">
        <f>IF($AL369="",0,'All Ticker P&amp;L'!M369)</f>
        <v>0</v>
      </c>
      <c r="AT369" s="243" t="str">
        <f>IF($AL369="","",RANK(AR369,$AR$2:$AR$1001)+COUNTIF($AR$2:AR369,AR369)-1)</f>
        <v/>
      </c>
      <c r="AU369" s="243" t="str">
        <f>IF($AL369="","",RANK(AV369,$AV$2:$AV$1001)+COUNTIF($AV$2:AV369,AV369)-1)</f>
        <v/>
      </c>
      <c r="AV369" s="266">
        <f t="shared" si="42"/>
        <v>0</v>
      </c>
    </row>
    <row r="370" spans="26:48" ht="15" customHeight="1" x14ac:dyDescent="0.2">
      <c r="Z370" s="243" t="str">
        <f>Shares!A370</f>
        <v/>
      </c>
      <c r="AA370" s="243" t="str">
        <f>Shares!B370</f>
        <v/>
      </c>
      <c r="AB370" s="243" t="str">
        <f>Shares!C370</f>
        <v/>
      </c>
      <c r="AC370" s="243" t="str">
        <f>Shares!D370</f>
        <v/>
      </c>
      <c r="AD370" s="243">
        <f>IF($Z370="",0,Shares!E370)</f>
        <v>0</v>
      </c>
      <c r="AE370" s="266">
        <f>IF($Z370="",0,Shares!J370*Shares!I370)</f>
        <v>0</v>
      </c>
      <c r="AF370" s="267">
        <f t="shared" si="41"/>
        <v>0</v>
      </c>
      <c r="AG370" s="266">
        <f>IF($Z370="",0,Shares!L370)</f>
        <v>0</v>
      </c>
      <c r="AH370" s="267">
        <f>IF($Z370="",0,Shares!M370)</f>
        <v>0</v>
      </c>
      <c r="AI370" s="243" t="str">
        <f>IF($Z370="","",RANK(AE370,$AE$2:$AE$1001)+COUNTIF($AE$2:AE370,AE370)-1)</f>
        <v/>
      </c>
      <c r="AJ370" s="243" t="str">
        <f>IF($AD370&lt;0,COUNT($AJ$1:AJ369)+1,"")</f>
        <v/>
      </c>
      <c r="AL370" s="243" t="str">
        <f>'All Ticker P&amp;L'!A370</f>
        <v/>
      </c>
      <c r="AM370" s="243" t="str">
        <f>'All Ticker P&amp;L'!B370</f>
        <v/>
      </c>
      <c r="AN370" s="243" t="str">
        <f>'All Ticker P&amp;L'!C370</f>
        <v/>
      </c>
      <c r="AO370" s="243" t="str">
        <f>'All Ticker P&amp;L'!D370</f>
        <v/>
      </c>
      <c r="AP370" s="243">
        <f>IF($AL370="",0,'All Ticker P&amp;L'!E370)</f>
        <v>0</v>
      </c>
      <c r="AQ370" s="266">
        <f>IF($AL370="",0,'All Ticker P&amp;L'!J370*'All Ticker P&amp;L'!I370)</f>
        <v>0</v>
      </c>
      <c r="AR370" s="266">
        <f>IF($AL370="",0,'All Ticker P&amp;L'!L370)</f>
        <v>0</v>
      </c>
      <c r="AS370" s="267">
        <f>IF($AL370="",0,'All Ticker P&amp;L'!M370)</f>
        <v>0</v>
      </c>
      <c r="AT370" s="243" t="str">
        <f>IF($AL370="","",RANK(AR370,$AR$2:$AR$1001)+COUNTIF($AR$2:AR370,AR370)-1)</f>
        <v/>
      </c>
      <c r="AU370" s="243" t="str">
        <f>IF($AL370="","",RANK(AV370,$AV$2:$AV$1001)+COUNTIF($AV$2:AV370,AV370)-1)</f>
        <v/>
      </c>
      <c r="AV370" s="266">
        <f t="shared" si="42"/>
        <v>0</v>
      </c>
    </row>
    <row r="371" spans="26:48" ht="15" customHeight="1" x14ac:dyDescent="0.2">
      <c r="Z371" s="243" t="str">
        <f>Shares!A371</f>
        <v/>
      </c>
      <c r="AA371" s="243" t="str">
        <f>Shares!B371</f>
        <v/>
      </c>
      <c r="AB371" s="243" t="str">
        <f>Shares!C371</f>
        <v/>
      </c>
      <c r="AC371" s="243" t="str">
        <f>Shares!D371</f>
        <v/>
      </c>
      <c r="AD371" s="243">
        <f>IF($Z371="",0,Shares!E371)</f>
        <v>0</v>
      </c>
      <c r="AE371" s="266">
        <f>IF($Z371="",0,Shares!J371*Shares!I371)</f>
        <v>0</v>
      </c>
      <c r="AF371" s="267">
        <f t="shared" si="41"/>
        <v>0</v>
      </c>
      <c r="AG371" s="266">
        <f>IF($Z371="",0,Shares!L371)</f>
        <v>0</v>
      </c>
      <c r="AH371" s="267">
        <f>IF($Z371="",0,Shares!M371)</f>
        <v>0</v>
      </c>
      <c r="AI371" s="243" t="str">
        <f>IF($Z371="","",RANK(AE371,$AE$2:$AE$1001)+COUNTIF($AE$2:AE371,AE371)-1)</f>
        <v/>
      </c>
      <c r="AJ371" s="243" t="str">
        <f>IF($AD371&lt;0,COUNT($AJ$1:AJ370)+1,"")</f>
        <v/>
      </c>
      <c r="AL371" s="243" t="str">
        <f>'All Ticker P&amp;L'!A371</f>
        <v/>
      </c>
      <c r="AM371" s="243" t="str">
        <f>'All Ticker P&amp;L'!B371</f>
        <v/>
      </c>
      <c r="AN371" s="243" t="str">
        <f>'All Ticker P&amp;L'!C371</f>
        <v/>
      </c>
      <c r="AO371" s="243" t="str">
        <f>'All Ticker P&amp;L'!D371</f>
        <v/>
      </c>
      <c r="AP371" s="243">
        <f>IF($AL371="",0,'All Ticker P&amp;L'!E371)</f>
        <v>0</v>
      </c>
      <c r="AQ371" s="266">
        <f>IF($AL371="",0,'All Ticker P&amp;L'!J371*'All Ticker P&amp;L'!I371)</f>
        <v>0</v>
      </c>
      <c r="AR371" s="266">
        <f>IF($AL371="",0,'All Ticker P&amp;L'!L371)</f>
        <v>0</v>
      </c>
      <c r="AS371" s="267">
        <f>IF($AL371="",0,'All Ticker P&amp;L'!M371)</f>
        <v>0</v>
      </c>
      <c r="AT371" s="243" t="str">
        <f>IF($AL371="","",RANK(AR371,$AR$2:$AR$1001)+COUNTIF($AR$2:AR371,AR371)-1)</f>
        <v/>
      </c>
      <c r="AU371" s="243" t="str">
        <f>IF($AL371="","",RANK(AV371,$AV$2:$AV$1001)+COUNTIF($AV$2:AV371,AV371)-1)</f>
        <v/>
      </c>
      <c r="AV371" s="266">
        <f t="shared" si="42"/>
        <v>0</v>
      </c>
    </row>
    <row r="372" spans="26:48" ht="15" customHeight="1" x14ac:dyDescent="0.2">
      <c r="Z372" s="243" t="str">
        <f>Shares!A372</f>
        <v/>
      </c>
      <c r="AA372" s="243" t="str">
        <f>Shares!B372</f>
        <v/>
      </c>
      <c r="AB372" s="243" t="str">
        <f>Shares!C372</f>
        <v/>
      </c>
      <c r="AC372" s="243" t="str">
        <f>Shares!D372</f>
        <v/>
      </c>
      <c r="AD372" s="243">
        <f>IF($Z372="",0,Shares!E372)</f>
        <v>0</v>
      </c>
      <c r="AE372" s="266">
        <f>IF($Z372="",0,Shares!J372*Shares!I372)</f>
        <v>0</v>
      </c>
      <c r="AF372" s="267">
        <f t="shared" si="41"/>
        <v>0</v>
      </c>
      <c r="AG372" s="266">
        <f>IF($Z372="",0,Shares!L372)</f>
        <v>0</v>
      </c>
      <c r="AH372" s="267">
        <f>IF($Z372="",0,Shares!M372)</f>
        <v>0</v>
      </c>
      <c r="AI372" s="243" t="str">
        <f>IF($Z372="","",RANK(AE372,$AE$2:$AE$1001)+COUNTIF($AE$2:AE372,AE372)-1)</f>
        <v/>
      </c>
      <c r="AJ372" s="243" t="str">
        <f>IF($AD372&lt;0,COUNT($AJ$1:AJ371)+1,"")</f>
        <v/>
      </c>
      <c r="AL372" s="243" t="str">
        <f>'All Ticker P&amp;L'!A372</f>
        <v/>
      </c>
      <c r="AM372" s="243" t="str">
        <f>'All Ticker P&amp;L'!B372</f>
        <v/>
      </c>
      <c r="AN372" s="243" t="str">
        <f>'All Ticker P&amp;L'!C372</f>
        <v/>
      </c>
      <c r="AO372" s="243" t="str">
        <f>'All Ticker P&amp;L'!D372</f>
        <v/>
      </c>
      <c r="AP372" s="243">
        <f>IF($AL372="",0,'All Ticker P&amp;L'!E372)</f>
        <v>0</v>
      </c>
      <c r="AQ372" s="266">
        <f>IF($AL372="",0,'All Ticker P&amp;L'!J372*'All Ticker P&amp;L'!I372)</f>
        <v>0</v>
      </c>
      <c r="AR372" s="266">
        <f>IF($AL372="",0,'All Ticker P&amp;L'!L372)</f>
        <v>0</v>
      </c>
      <c r="AS372" s="267">
        <f>IF($AL372="",0,'All Ticker P&amp;L'!M372)</f>
        <v>0</v>
      </c>
      <c r="AT372" s="243" t="str">
        <f>IF($AL372="","",RANK(AR372,$AR$2:$AR$1001)+COUNTIF($AR$2:AR372,AR372)-1)</f>
        <v/>
      </c>
      <c r="AU372" s="243" t="str">
        <f>IF($AL372="","",RANK(AV372,$AV$2:$AV$1001)+COUNTIF($AV$2:AV372,AV372)-1)</f>
        <v/>
      </c>
      <c r="AV372" s="266">
        <f t="shared" si="42"/>
        <v>0</v>
      </c>
    </row>
    <row r="373" spans="26:48" ht="15" customHeight="1" x14ac:dyDescent="0.2">
      <c r="Z373" s="243" t="str">
        <f>Shares!A373</f>
        <v/>
      </c>
      <c r="AA373" s="243" t="str">
        <f>Shares!B373</f>
        <v/>
      </c>
      <c r="AB373" s="243" t="str">
        <f>Shares!C373</f>
        <v/>
      </c>
      <c r="AC373" s="243" t="str">
        <f>Shares!D373</f>
        <v/>
      </c>
      <c r="AD373" s="243">
        <f>IF($Z373="",0,Shares!E373)</f>
        <v>0</v>
      </c>
      <c r="AE373" s="266">
        <f>IF($Z373="",0,Shares!J373*Shares!I373)</f>
        <v>0</v>
      </c>
      <c r="AF373" s="267">
        <f t="shared" si="41"/>
        <v>0</v>
      </c>
      <c r="AG373" s="266">
        <f>IF($Z373="",0,Shares!L373)</f>
        <v>0</v>
      </c>
      <c r="AH373" s="267">
        <f>IF($Z373="",0,Shares!M373)</f>
        <v>0</v>
      </c>
      <c r="AI373" s="243" t="str">
        <f>IF($Z373="","",RANK(AE373,$AE$2:$AE$1001)+COUNTIF($AE$2:AE373,AE373)-1)</f>
        <v/>
      </c>
      <c r="AJ373" s="243" t="str">
        <f>IF($AD373&lt;0,COUNT($AJ$1:AJ372)+1,"")</f>
        <v/>
      </c>
      <c r="AL373" s="243" t="str">
        <f>'All Ticker P&amp;L'!A373</f>
        <v/>
      </c>
      <c r="AM373" s="243" t="str">
        <f>'All Ticker P&amp;L'!B373</f>
        <v/>
      </c>
      <c r="AN373" s="243" t="str">
        <f>'All Ticker P&amp;L'!C373</f>
        <v/>
      </c>
      <c r="AO373" s="243" t="str">
        <f>'All Ticker P&amp;L'!D373</f>
        <v/>
      </c>
      <c r="AP373" s="243">
        <f>IF($AL373="",0,'All Ticker P&amp;L'!E373)</f>
        <v>0</v>
      </c>
      <c r="AQ373" s="266">
        <f>IF($AL373="",0,'All Ticker P&amp;L'!J373*'All Ticker P&amp;L'!I373)</f>
        <v>0</v>
      </c>
      <c r="AR373" s="266">
        <f>IF($AL373="",0,'All Ticker P&amp;L'!L373)</f>
        <v>0</v>
      </c>
      <c r="AS373" s="267">
        <f>IF($AL373="",0,'All Ticker P&amp;L'!M373)</f>
        <v>0</v>
      </c>
      <c r="AT373" s="243" t="str">
        <f>IF($AL373="","",RANK(AR373,$AR$2:$AR$1001)+COUNTIF($AR$2:AR373,AR373)-1)</f>
        <v/>
      </c>
      <c r="AU373" s="243" t="str">
        <f>IF($AL373="","",RANK(AV373,$AV$2:$AV$1001)+COUNTIF($AV$2:AV373,AV373)-1)</f>
        <v/>
      </c>
      <c r="AV373" s="266">
        <f t="shared" si="42"/>
        <v>0</v>
      </c>
    </row>
    <row r="374" spans="26:48" ht="15" customHeight="1" x14ac:dyDescent="0.2">
      <c r="Z374" s="243" t="str">
        <f>Shares!A374</f>
        <v/>
      </c>
      <c r="AA374" s="243" t="str">
        <f>Shares!B374</f>
        <v/>
      </c>
      <c r="AB374" s="243" t="str">
        <f>Shares!C374</f>
        <v/>
      </c>
      <c r="AC374" s="243" t="str">
        <f>Shares!D374</f>
        <v/>
      </c>
      <c r="AD374" s="243">
        <f>IF($Z374="",0,Shares!E374)</f>
        <v>0</v>
      </c>
      <c r="AE374" s="266">
        <f>IF($Z374="",0,Shares!J374*Shares!I374)</f>
        <v>0</v>
      </c>
      <c r="AF374" s="267">
        <f t="shared" si="41"/>
        <v>0</v>
      </c>
      <c r="AG374" s="266">
        <f>IF($Z374="",0,Shares!L374)</f>
        <v>0</v>
      </c>
      <c r="AH374" s="267">
        <f>IF($Z374="",0,Shares!M374)</f>
        <v>0</v>
      </c>
      <c r="AI374" s="243" t="str">
        <f>IF($Z374="","",RANK(AE374,$AE$2:$AE$1001)+COUNTIF($AE$2:AE374,AE374)-1)</f>
        <v/>
      </c>
      <c r="AJ374" s="243" t="str">
        <f>IF($AD374&lt;0,COUNT($AJ$1:AJ373)+1,"")</f>
        <v/>
      </c>
      <c r="AL374" s="243" t="str">
        <f>'All Ticker P&amp;L'!A374</f>
        <v/>
      </c>
      <c r="AM374" s="243" t="str">
        <f>'All Ticker P&amp;L'!B374</f>
        <v/>
      </c>
      <c r="AN374" s="243" t="str">
        <f>'All Ticker P&amp;L'!C374</f>
        <v/>
      </c>
      <c r="AO374" s="243" t="str">
        <f>'All Ticker P&amp;L'!D374</f>
        <v/>
      </c>
      <c r="AP374" s="243">
        <f>IF($AL374="",0,'All Ticker P&amp;L'!E374)</f>
        <v>0</v>
      </c>
      <c r="AQ374" s="266">
        <f>IF($AL374="",0,'All Ticker P&amp;L'!J374*'All Ticker P&amp;L'!I374)</f>
        <v>0</v>
      </c>
      <c r="AR374" s="266">
        <f>IF($AL374="",0,'All Ticker P&amp;L'!L374)</f>
        <v>0</v>
      </c>
      <c r="AS374" s="267">
        <f>IF($AL374="",0,'All Ticker P&amp;L'!M374)</f>
        <v>0</v>
      </c>
      <c r="AT374" s="243" t="str">
        <f>IF($AL374="","",RANK(AR374,$AR$2:$AR$1001)+COUNTIF($AR$2:AR374,AR374)-1)</f>
        <v/>
      </c>
      <c r="AU374" s="243" t="str">
        <f>IF($AL374="","",RANK(AV374,$AV$2:$AV$1001)+COUNTIF($AV$2:AV374,AV374)-1)</f>
        <v/>
      </c>
      <c r="AV374" s="266">
        <f t="shared" si="42"/>
        <v>0</v>
      </c>
    </row>
    <row r="375" spans="26:48" ht="15" customHeight="1" x14ac:dyDescent="0.2">
      <c r="Z375" s="243" t="str">
        <f>Shares!A375</f>
        <v/>
      </c>
      <c r="AA375" s="243" t="str">
        <f>Shares!B375</f>
        <v/>
      </c>
      <c r="AB375" s="243" t="str">
        <f>Shares!C375</f>
        <v/>
      </c>
      <c r="AC375" s="243" t="str">
        <f>Shares!D375</f>
        <v/>
      </c>
      <c r="AD375" s="243">
        <f>IF($Z375="",0,Shares!E375)</f>
        <v>0</v>
      </c>
      <c r="AE375" s="266">
        <f>IF($Z375="",0,Shares!J375*Shares!I375)</f>
        <v>0</v>
      </c>
      <c r="AF375" s="267">
        <f t="shared" si="41"/>
        <v>0</v>
      </c>
      <c r="AG375" s="266">
        <f>IF($Z375="",0,Shares!L375)</f>
        <v>0</v>
      </c>
      <c r="AH375" s="267">
        <f>IF($Z375="",0,Shares!M375)</f>
        <v>0</v>
      </c>
      <c r="AI375" s="243" t="str">
        <f>IF($Z375="","",RANK(AE375,$AE$2:$AE$1001)+COUNTIF($AE$2:AE375,AE375)-1)</f>
        <v/>
      </c>
      <c r="AJ375" s="243" t="str">
        <f>IF($AD375&lt;0,COUNT($AJ$1:AJ374)+1,"")</f>
        <v/>
      </c>
      <c r="AL375" s="243" t="str">
        <f>'All Ticker P&amp;L'!A375</f>
        <v/>
      </c>
      <c r="AM375" s="243" t="str">
        <f>'All Ticker P&amp;L'!B375</f>
        <v/>
      </c>
      <c r="AN375" s="243" t="str">
        <f>'All Ticker P&amp;L'!C375</f>
        <v/>
      </c>
      <c r="AO375" s="243" t="str">
        <f>'All Ticker P&amp;L'!D375</f>
        <v/>
      </c>
      <c r="AP375" s="243">
        <f>IF($AL375="",0,'All Ticker P&amp;L'!E375)</f>
        <v>0</v>
      </c>
      <c r="AQ375" s="266">
        <f>IF($AL375="",0,'All Ticker P&amp;L'!J375*'All Ticker P&amp;L'!I375)</f>
        <v>0</v>
      </c>
      <c r="AR375" s="266">
        <f>IF($AL375="",0,'All Ticker P&amp;L'!L375)</f>
        <v>0</v>
      </c>
      <c r="AS375" s="267">
        <f>IF($AL375="",0,'All Ticker P&amp;L'!M375)</f>
        <v>0</v>
      </c>
      <c r="AT375" s="243" t="str">
        <f>IF($AL375="","",RANK(AR375,$AR$2:$AR$1001)+COUNTIF($AR$2:AR375,AR375)-1)</f>
        <v/>
      </c>
      <c r="AU375" s="243" t="str">
        <f>IF($AL375="","",RANK(AV375,$AV$2:$AV$1001)+COUNTIF($AV$2:AV375,AV375)-1)</f>
        <v/>
      </c>
      <c r="AV375" s="266">
        <f t="shared" si="42"/>
        <v>0</v>
      </c>
    </row>
    <row r="376" spans="26:48" ht="15" customHeight="1" x14ac:dyDescent="0.2">
      <c r="Z376" s="243" t="str">
        <f>Shares!A376</f>
        <v/>
      </c>
      <c r="AA376" s="243" t="str">
        <f>Shares!B376</f>
        <v/>
      </c>
      <c r="AB376" s="243" t="str">
        <f>Shares!C376</f>
        <v/>
      </c>
      <c r="AC376" s="243" t="str">
        <f>Shares!D376</f>
        <v/>
      </c>
      <c r="AD376" s="243">
        <f>IF($Z376="",0,Shares!E376)</f>
        <v>0</v>
      </c>
      <c r="AE376" s="266">
        <f>IF($Z376="",0,Shares!J376*Shares!I376)</f>
        <v>0</v>
      </c>
      <c r="AF376" s="267">
        <f t="shared" si="41"/>
        <v>0</v>
      </c>
      <c r="AG376" s="266">
        <f>IF($Z376="",0,Shares!L376)</f>
        <v>0</v>
      </c>
      <c r="AH376" s="267">
        <f>IF($Z376="",0,Shares!M376)</f>
        <v>0</v>
      </c>
      <c r="AI376" s="243" t="str">
        <f>IF($Z376="","",RANK(AE376,$AE$2:$AE$1001)+COUNTIF($AE$2:AE376,AE376)-1)</f>
        <v/>
      </c>
      <c r="AJ376" s="243" t="str">
        <f>IF($AD376&lt;0,COUNT($AJ$1:AJ375)+1,"")</f>
        <v/>
      </c>
      <c r="AL376" s="243" t="str">
        <f>'All Ticker P&amp;L'!A376</f>
        <v/>
      </c>
      <c r="AM376" s="243" t="str">
        <f>'All Ticker P&amp;L'!B376</f>
        <v/>
      </c>
      <c r="AN376" s="243" t="str">
        <f>'All Ticker P&amp;L'!C376</f>
        <v/>
      </c>
      <c r="AO376" s="243" t="str">
        <f>'All Ticker P&amp;L'!D376</f>
        <v/>
      </c>
      <c r="AP376" s="243">
        <f>IF($AL376="",0,'All Ticker P&amp;L'!E376)</f>
        <v>0</v>
      </c>
      <c r="AQ376" s="266">
        <f>IF($AL376="",0,'All Ticker P&amp;L'!J376*'All Ticker P&amp;L'!I376)</f>
        <v>0</v>
      </c>
      <c r="AR376" s="266">
        <f>IF($AL376="",0,'All Ticker P&amp;L'!L376)</f>
        <v>0</v>
      </c>
      <c r="AS376" s="267">
        <f>IF($AL376="",0,'All Ticker P&amp;L'!M376)</f>
        <v>0</v>
      </c>
      <c r="AT376" s="243" t="str">
        <f>IF($AL376="","",RANK(AR376,$AR$2:$AR$1001)+COUNTIF($AR$2:AR376,AR376)-1)</f>
        <v/>
      </c>
      <c r="AU376" s="243" t="str">
        <f>IF($AL376="","",RANK(AV376,$AV$2:$AV$1001)+COUNTIF($AV$2:AV376,AV376)-1)</f>
        <v/>
      </c>
      <c r="AV376" s="266">
        <f t="shared" si="42"/>
        <v>0</v>
      </c>
    </row>
    <row r="377" spans="26:48" ht="15" customHeight="1" x14ac:dyDescent="0.2">
      <c r="Z377" s="243" t="str">
        <f>Shares!A377</f>
        <v/>
      </c>
      <c r="AA377" s="243" t="str">
        <f>Shares!B377</f>
        <v/>
      </c>
      <c r="AB377" s="243" t="str">
        <f>Shares!C377</f>
        <v/>
      </c>
      <c r="AC377" s="243" t="str">
        <f>Shares!D377</f>
        <v/>
      </c>
      <c r="AD377" s="243">
        <f>IF($Z377="",0,Shares!E377)</f>
        <v>0</v>
      </c>
      <c r="AE377" s="266">
        <f>IF($Z377="",0,Shares!J377*Shares!I377)</f>
        <v>0</v>
      </c>
      <c r="AF377" s="267">
        <f t="shared" si="41"/>
        <v>0</v>
      </c>
      <c r="AG377" s="266">
        <f>IF($Z377="",0,Shares!L377)</f>
        <v>0</v>
      </c>
      <c r="AH377" s="267">
        <f>IF($Z377="",0,Shares!M377)</f>
        <v>0</v>
      </c>
      <c r="AI377" s="243" t="str">
        <f>IF($Z377="","",RANK(AE377,$AE$2:$AE$1001)+COUNTIF($AE$2:AE377,AE377)-1)</f>
        <v/>
      </c>
      <c r="AJ377" s="243" t="str">
        <f>IF($AD377&lt;0,COUNT($AJ$1:AJ376)+1,"")</f>
        <v/>
      </c>
      <c r="AL377" s="243" t="str">
        <f>'All Ticker P&amp;L'!A377</f>
        <v/>
      </c>
      <c r="AM377" s="243" t="str">
        <f>'All Ticker P&amp;L'!B377</f>
        <v/>
      </c>
      <c r="AN377" s="243" t="str">
        <f>'All Ticker P&amp;L'!C377</f>
        <v/>
      </c>
      <c r="AO377" s="243" t="str">
        <f>'All Ticker P&amp;L'!D377</f>
        <v/>
      </c>
      <c r="AP377" s="243">
        <f>IF($AL377="",0,'All Ticker P&amp;L'!E377)</f>
        <v>0</v>
      </c>
      <c r="AQ377" s="266">
        <f>IF($AL377="",0,'All Ticker P&amp;L'!J377*'All Ticker P&amp;L'!I377)</f>
        <v>0</v>
      </c>
      <c r="AR377" s="266">
        <f>IF($AL377="",0,'All Ticker P&amp;L'!L377)</f>
        <v>0</v>
      </c>
      <c r="AS377" s="267">
        <f>IF($AL377="",0,'All Ticker P&amp;L'!M377)</f>
        <v>0</v>
      </c>
      <c r="AT377" s="243" t="str">
        <f>IF($AL377="","",RANK(AR377,$AR$2:$AR$1001)+COUNTIF($AR$2:AR377,AR377)-1)</f>
        <v/>
      </c>
      <c r="AU377" s="243" t="str">
        <f>IF($AL377="","",RANK(AV377,$AV$2:$AV$1001)+COUNTIF($AV$2:AV377,AV377)-1)</f>
        <v/>
      </c>
      <c r="AV377" s="266">
        <f t="shared" si="42"/>
        <v>0</v>
      </c>
    </row>
    <row r="378" spans="26:48" ht="15" customHeight="1" x14ac:dyDescent="0.2">
      <c r="Z378" s="243" t="str">
        <f>Shares!A378</f>
        <v/>
      </c>
      <c r="AA378" s="243" t="str">
        <f>Shares!B378</f>
        <v/>
      </c>
      <c r="AB378" s="243" t="str">
        <f>Shares!C378</f>
        <v/>
      </c>
      <c r="AC378" s="243" t="str">
        <f>Shares!D378</f>
        <v/>
      </c>
      <c r="AD378" s="243">
        <f>IF($Z378="",0,Shares!E378)</f>
        <v>0</v>
      </c>
      <c r="AE378" s="266">
        <f>IF($Z378="",0,Shares!J378*Shares!I378)</f>
        <v>0</v>
      </c>
      <c r="AF378" s="267">
        <f t="shared" si="41"/>
        <v>0</v>
      </c>
      <c r="AG378" s="266">
        <f>IF($Z378="",0,Shares!L378)</f>
        <v>0</v>
      </c>
      <c r="AH378" s="267">
        <f>IF($Z378="",0,Shares!M378)</f>
        <v>0</v>
      </c>
      <c r="AI378" s="243" t="str">
        <f>IF($Z378="","",RANK(AE378,$AE$2:$AE$1001)+COUNTIF($AE$2:AE378,AE378)-1)</f>
        <v/>
      </c>
      <c r="AJ378" s="243" t="str">
        <f>IF($AD378&lt;0,COUNT($AJ$1:AJ377)+1,"")</f>
        <v/>
      </c>
      <c r="AL378" s="243" t="str">
        <f>'All Ticker P&amp;L'!A378</f>
        <v/>
      </c>
      <c r="AM378" s="243" t="str">
        <f>'All Ticker P&amp;L'!B378</f>
        <v/>
      </c>
      <c r="AN378" s="243" t="str">
        <f>'All Ticker P&amp;L'!C378</f>
        <v/>
      </c>
      <c r="AO378" s="243" t="str">
        <f>'All Ticker P&amp;L'!D378</f>
        <v/>
      </c>
      <c r="AP378" s="243">
        <f>IF($AL378="",0,'All Ticker P&amp;L'!E378)</f>
        <v>0</v>
      </c>
      <c r="AQ378" s="266">
        <f>IF($AL378="",0,'All Ticker P&amp;L'!J378*'All Ticker P&amp;L'!I378)</f>
        <v>0</v>
      </c>
      <c r="AR378" s="266">
        <f>IF($AL378="",0,'All Ticker P&amp;L'!L378)</f>
        <v>0</v>
      </c>
      <c r="AS378" s="267">
        <f>IF($AL378="",0,'All Ticker P&amp;L'!M378)</f>
        <v>0</v>
      </c>
      <c r="AT378" s="243" t="str">
        <f>IF($AL378="","",RANK(AR378,$AR$2:$AR$1001)+COUNTIF($AR$2:AR378,AR378)-1)</f>
        <v/>
      </c>
      <c r="AU378" s="243" t="str">
        <f>IF($AL378="","",RANK(AV378,$AV$2:$AV$1001)+COUNTIF($AV$2:AV378,AV378)-1)</f>
        <v/>
      </c>
      <c r="AV378" s="266">
        <f t="shared" si="42"/>
        <v>0</v>
      </c>
    </row>
    <row r="379" spans="26:48" ht="15" customHeight="1" x14ac:dyDescent="0.2">
      <c r="Z379" s="243" t="str">
        <f>Shares!A379</f>
        <v/>
      </c>
      <c r="AA379" s="243" t="str">
        <f>Shares!B379</f>
        <v/>
      </c>
      <c r="AB379" s="243" t="str">
        <f>Shares!C379</f>
        <v/>
      </c>
      <c r="AC379" s="243" t="str">
        <f>Shares!D379</f>
        <v/>
      </c>
      <c r="AD379" s="243">
        <f>IF($Z379="",0,Shares!E379)</f>
        <v>0</v>
      </c>
      <c r="AE379" s="266">
        <f>IF($Z379="",0,Shares!J379*Shares!I379)</f>
        <v>0</v>
      </c>
      <c r="AF379" s="267">
        <f t="shared" si="41"/>
        <v>0</v>
      </c>
      <c r="AG379" s="266">
        <f>IF($Z379="",0,Shares!L379)</f>
        <v>0</v>
      </c>
      <c r="AH379" s="267">
        <f>IF($Z379="",0,Shares!M379)</f>
        <v>0</v>
      </c>
      <c r="AI379" s="243" t="str">
        <f>IF($Z379="","",RANK(AE379,$AE$2:$AE$1001)+COUNTIF($AE$2:AE379,AE379)-1)</f>
        <v/>
      </c>
      <c r="AJ379" s="243" t="str">
        <f>IF($AD379&lt;0,COUNT($AJ$1:AJ378)+1,"")</f>
        <v/>
      </c>
      <c r="AL379" s="243" t="str">
        <f>'All Ticker P&amp;L'!A379</f>
        <v/>
      </c>
      <c r="AM379" s="243" t="str">
        <f>'All Ticker P&amp;L'!B379</f>
        <v/>
      </c>
      <c r="AN379" s="243" t="str">
        <f>'All Ticker P&amp;L'!C379</f>
        <v/>
      </c>
      <c r="AO379" s="243" t="str">
        <f>'All Ticker P&amp;L'!D379</f>
        <v/>
      </c>
      <c r="AP379" s="243">
        <f>IF($AL379="",0,'All Ticker P&amp;L'!E379)</f>
        <v>0</v>
      </c>
      <c r="AQ379" s="266">
        <f>IF($AL379="",0,'All Ticker P&amp;L'!J379*'All Ticker P&amp;L'!I379)</f>
        <v>0</v>
      </c>
      <c r="AR379" s="266">
        <f>IF($AL379="",0,'All Ticker P&amp;L'!L379)</f>
        <v>0</v>
      </c>
      <c r="AS379" s="267">
        <f>IF($AL379="",0,'All Ticker P&amp;L'!M379)</f>
        <v>0</v>
      </c>
      <c r="AT379" s="243" t="str">
        <f>IF($AL379="","",RANK(AR379,$AR$2:$AR$1001)+COUNTIF($AR$2:AR379,AR379)-1)</f>
        <v/>
      </c>
      <c r="AU379" s="243" t="str">
        <f>IF($AL379="","",RANK(AV379,$AV$2:$AV$1001)+COUNTIF($AV$2:AV379,AV379)-1)</f>
        <v/>
      </c>
      <c r="AV379" s="266">
        <f t="shared" si="42"/>
        <v>0</v>
      </c>
    </row>
    <row r="380" spans="26:48" ht="15" customHeight="1" x14ac:dyDescent="0.2">
      <c r="Z380" s="243" t="str">
        <f>Shares!A380</f>
        <v/>
      </c>
      <c r="AA380" s="243" t="str">
        <f>Shares!B380</f>
        <v/>
      </c>
      <c r="AB380" s="243" t="str">
        <f>Shares!C380</f>
        <v/>
      </c>
      <c r="AC380" s="243" t="str">
        <f>Shares!D380</f>
        <v/>
      </c>
      <c r="AD380" s="243">
        <f>IF($Z380="",0,Shares!E380)</f>
        <v>0</v>
      </c>
      <c r="AE380" s="266">
        <f>IF($Z380="",0,Shares!J380*Shares!I380)</f>
        <v>0</v>
      </c>
      <c r="AF380" s="267">
        <f t="shared" si="41"/>
        <v>0</v>
      </c>
      <c r="AG380" s="266">
        <f>IF($Z380="",0,Shares!L380)</f>
        <v>0</v>
      </c>
      <c r="AH380" s="267">
        <f>IF($Z380="",0,Shares!M380)</f>
        <v>0</v>
      </c>
      <c r="AI380" s="243" t="str">
        <f>IF($Z380="","",RANK(AE380,$AE$2:$AE$1001)+COUNTIF($AE$2:AE380,AE380)-1)</f>
        <v/>
      </c>
      <c r="AJ380" s="243" t="str">
        <f>IF($AD380&lt;0,COUNT($AJ$1:AJ379)+1,"")</f>
        <v/>
      </c>
      <c r="AL380" s="243" t="str">
        <f>'All Ticker P&amp;L'!A380</f>
        <v/>
      </c>
      <c r="AM380" s="243" t="str">
        <f>'All Ticker P&amp;L'!B380</f>
        <v/>
      </c>
      <c r="AN380" s="243" t="str">
        <f>'All Ticker P&amp;L'!C380</f>
        <v/>
      </c>
      <c r="AO380" s="243" t="str">
        <f>'All Ticker P&amp;L'!D380</f>
        <v/>
      </c>
      <c r="AP380" s="243">
        <f>IF($AL380="",0,'All Ticker P&amp;L'!E380)</f>
        <v>0</v>
      </c>
      <c r="AQ380" s="266">
        <f>IF($AL380="",0,'All Ticker P&amp;L'!J380*'All Ticker P&amp;L'!I380)</f>
        <v>0</v>
      </c>
      <c r="AR380" s="266">
        <f>IF($AL380="",0,'All Ticker P&amp;L'!L380)</f>
        <v>0</v>
      </c>
      <c r="AS380" s="267">
        <f>IF($AL380="",0,'All Ticker P&amp;L'!M380)</f>
        <v>0</v>
      </c>
      <c r="AT380" s="243" t="str">
        <f>IF($AL380="","",RANK(AR380,$AR$2:$AR$1001)+COUNTIF($AR$2:AR380,AR380)-1)</f>
        <v/>
      </c>
      <c r="AU380" s="243" t="str">
        <f>IF($AL380="","",RANK(AV380,$AV$2:$AV$1001)+COUNTIF($AV$2:AV380,AV380)-1)</f>
        <v/>
      </c>
      <c r="AV380" s="266">
        <f t="shared" si="42"/>
        <v>0</v>
      </c>
    </row>
    <row r="381" spans="26:48" ht="15" customHeight="1" x14ac:dyDescent="0.2">
      <c r="Z381" s="243" t="str">
        <f>Shares!A381</f>
        <v/>
      </c>
      <c r="AA381" s="243" t="str">
        <f>Shares!B381</f>
        <v/>
      </c>
      <c r="AB381" s="243" t="str">
        <f>Shares!C381</f>
        <v/>
      </c>
      <c r="AC381" s="243" t="str">
        <f>Shares!D381</f>
        <v/>
      </c>
      <c r="AD381" s="243">
        <f>IF($Z381="",0,Shares!E381)</f>
        <v>0</v>
      </c>
      <c r="AE381" s="266">
        <f>IF($Z381="",0,Shares!J381*Shares!I381)</f>
        <v>0</v>
      </c>
      <c r="AF381" s="267">
        <f t="shared" si="41"/>
        <v>0</v>
      </c>
      <c r="AG381" s="266">
        <f>IF($Z381="",0,Shares!L381)</f>
        <v>0</v>
      </c>
      <c r="AH381" s="267">
        <f>IF($Z381="",0,Shares!M381)</f>
        <v>0</v>
      </c>
      <c r="AI381" s="243" t="str">
        <f>IF($Z381="","",RANK(AE381,$AE$2:$AE$1001)+COUNTIF($AE$2:AE381,AE381)-1)</f>
        <v/>
      </c>
      <c r="AJ381" s="243" t="str">
        <f>IF($AD381&lt;0,COUNT($AJ$1:AJ380)+1,"")</f>
        <v/>
      </c>
      <c r="AL381" s="243" t="str">
        <f>'All Ticker P&amp;L'!A381</f>
        <v/>
      </c>
      <c r="AM381" s="243" t="str">
        <f>'All Ticker P&amp;L'!B381</f>
        <v/>
      </c>
      <c r="AN381" s="243" t="str">
        <f>'All Ticker P&amp;L'!C381</f>
        <v/>
      </c>
      <c r="AO381" s="243" t="str">
        <f>'All Ticker P&amp;L'!D381</f>
        <v/>
      </c>
      <c r="AP381" s="243">
        <f>IF($AL381="",0,'All Ticker P&amp;L'!E381)</f>
        <v>0</v>
      </c>
      <c r="AQ381" s="266">
        <f>IF($AL381="",0,'All Ticker P&amp;L'!J381*'All Ticker P&amp;L'!I381)</f>
        <v>0</v>
      </c>
      <c r="AR381" s="266">
        <f>IF($AL381="",0,'All Ticker P&amp;L'!L381)</f>
        <v>0</v>
      </c>
      <c r="AS381" s="267">
        <f>IF($AL381="",0,'All Ticker P&amp;L'!M381)</f>
        <v>0</v>
      </c>
      <c r="AT381" s="243" t="str">
        <f>IF($AL381="","",RANK(AR381,$AR$2:$AR$1001)+COUNTIF($AR$2:AR381,AR381)-1)</f>
        <v/>
      </c>
      <c r="AU381" s="243" t="str">
        <f>IF($AL381="","",RANK(AV381,$AV$2:$AV$1001)+COUNTIF($AV$2:AV381,AV381)-1)</f>
        <v/>
      </c>
      <c r="AV381" s="266">
        <f t="shared" si="42"/>
        <v>0</v>
      </c>
    </row>
    <row r="382" spans="26:48" ht="15" customHeight="1" x14ac:dyDescent="0.2">
      <c r="Z382" s="243" t="str">
        <f>Shares!A382</f>
        <v/>
      </c>
      <c r="AA382" s="243" t="str">
        <f>Shares!B382</f>
        <v/>
      </c>
      <c r="AB382" s="243" t="str">
        <f>Shares!C382</f>
        <v/>
      </c>
      <c r="AC382" s="243" t="str">
        <f>Shares!D382</f>
        <v/>
      </c>
      <c r="AD382" s="243">
        <f>IF($Z382="",0,Shares!E382)</f>
        <v>0</v>
      </c>
      <c r="AE382" s="266">
        <f>IF($Z382="",0,Shares!J382*Shares!I382)</f>
        <v>0</v>
      </c>
      <c r="AF382" s="267">
        <f t="shared" si="41"/>
        <v>0</v>
      </c>
      <c r="AG382" s="266">
        <f>IF($Z382="",0,Shares!L382)</f>
        <v>0</v>
      </c>
      <c r="AH382" s="267">
        <f>IF($Z382="",0,Shares!M382)</f>
        <v>0</v>
      </c>
      <c r="AI382" s="243" t="str">
        <f>IF($Z382="","",RANK(AE382,$AE$2:$AE$1001)+COUNTIF($AE$2:AE382,AE382)-1)</f>
        <v/>
      </c>
      <c r="AJ382" s="243" t="str">
        <f>IF($AD382&lt;0,COUNT($AJ$1:AJ381)+1,"")</f>
        <v/>
      </c>
      <c r="AL382" s="243" t="str">
        <f>'All Ticker P&amp;L'!A382</f>
        <v/>
      </c>
      <c r="AM382" s="243" t="str">
        <f>'All Ticker P&amp;L'!B382</f>
        <v/>
      </c>
      <c r="AN382" s="243" t="str">
        <f>'All Ticker P&amp;L'!C382</f>
        <v/>
      </c>
      <c r="AO382" s="243" t="str">
        <f>'All Ticker P&amp;L'!D382</f>
        <v/>
      </c>
      <c r="AP382" s="243">
        <f>IF($AL382="",0,'All Ticker P&amp;L'!E382)</f>
        <v>0</v>
      </c>
      <c r="AQ382" s="266">
        <f>IF($AL382="",0,'All Ticker P&amp;L'!J382*'All Ticker P&amp;L'!I382)</f>
        <v>0</v>
      </c>
      <c r="AR382" s="266">
        <f>IF($AL382="",0,'All Ticker P&amp;L'!L382)</f>
        <v>0</v>
      </c>
      <c r="AS382" s="267">
        <f>IF($AL382="",0,'All Ticker P&amp;L'!M382)</f>
        <v>0</v>
      </c>
      <c r="AT382" s="243" t="str">
        <f>IF($AL382="","",RANK(AR382,$AR$2:$AR$1001)+COUNTIF($AR$2:AR382,AR382)-1)</f>
        <v/>
      </c>
      <c r="AU382" s="243" t="str">
        <f>IF($AL382="","",RANK(AV382,$AV$2:$AV$1001)+COUNTIF($AV$2:AV382,AV382)-1)</f>
        <v/>
      </c>
      <c r="AV382" s="266">
        <f t="shared" si="42"/>
        <v>0</v>
      </c>
    </row>
    <row r="383" spans="26:48" ht="15" customHeight="1" x14ac:dyDescent="0.2">
      <c r="Z383" s="243" t="str">
        <f>Shares!A383</f>
        <v/>
      </c>
      <c r="AA383" s="243" t="str">
        <f>Shares!B383</f>
        <v/>
      </c>
      <c r="AB383" s="243" t="str">
        <f>Shares!C383</f>
        <v/>
      </c>
      <c r="AC383" s="243" t="str">
        <f>Shares!D383</f>
        <v/>
      </c>
      <c r="AD383" s="243">
        <f>IF($Z383="",0,Shares!E383)</f>
        <v>0</v>
      </c>
      <c r="AE383" s="266">
        <f>IF($Z383="",0,Shares!J383*Shares!I383)</f>
        <v>0</v>
      </c>
      <c r="AF383" s="267">
        <f t="shared" si="41"/>
        <v>0</v>
      </c>
      <c r="AG383" s="266">
        <f>IF($Z383="",0,Shares!L383)</f>
        <v>0</v>
      </c>
      <c r="AH383" s="267">
        <f>IF($Z383="",0,Shares!M383)</f>
        <v>0</v>
      </c>
      <c r="AI383" s="243" t="str">
        <f>IF($Z383="","",RANK(AE383,$AE$2:$AE$1001)+COUNTIF($AE$2:AE383,AE383)-1)</f>
        <v/>
      </c>
      <c r="AJ383" s="243" t="str">
        <f>IF($AD383&lt;0,COUNT($AJ$1:AJ382)+1,"")</f>
        <v/>
      </c>
      <c r="AL383" s="243" t="str">
        <f>'All Ticker P&amp;L'!A383</f>
        <v/>
      </c>
      <c r="AM383" s="243" t="str">
        <f>'All Ticker P&amp;L'!B383</f>
        <v/>
      </c>
      <c r="AN383" s="243" t="str">
        <f>'All Ticker P&amp;L'!C383</f>
        <v/>
      </c>
      <c r="AO383" s="243" t="str">
        <f>'All Ticker P&amp;L'!D383</f>
        <v/>
      </c>
      <c r="AP383" s="243">
        <f>IF($AL383="",0,'All Ticker P&amp;L'!E383)</f>
        <v>0</v>
      </c>
      <c r="AQ383" s="266">
        <f>IF($AL383="",0,'All Ticker P&amp;L'!J383*'All Ticker P&amp;L'!I383)</f>
        <v>0</v>
      </c>
      <c r="AR383" s="266">
        <f>IF($AL383="",0,'All Ticker P&amp;L'!L383)</f>
        <v>0</v>
      </c>
      <c r="AS383" s="267">
        <f>IF($AL383="",0,'All Ticker P&amp;L'!M383)</f>
        <v>0</v>
      </c>
      <c r="AT383" s="243" t="str">
        <f>IF($AL383="","",RANK(AR383,$AR$2:$AR$1001)+COUNTIF($AR$2:AR383,AR383)-1)</f>
        <v/>
      </c>
      <c r="AU383" s="243" t="str">
        <f>IF($AL383="","",RANK(AV383,$AV$2:$AV$1001)+COUNTIF($AV$2:AV383,AV383)-1)</f>
        <v/>
      </c>
      <c r="AV383" s="266">
        <f t="shared" si="42"/>
        <v>0</v>
      </c>
    </row>
    <row r="384" spans="26:48" ht="15" customHeight="1" x14ac:dyDescent="0.2">
      <c r="Z384" s="243" t="str">
        <f>Shares!A384</f>
        <v/>
      </c>
      <c r="AA384" s="243" t="str">
        <f>Shares!B384</f>
        <v/>
      </c>
      <c r="AB384" s="243" t="str">
        <f>Shares!C384</f>
        <v/>
      </c>
      <c r="AC384" s="243" t="str">
        <f>Shares!D384</f>
        <v/>
      </c>
      <c r="AD384" s="243">
        <f>IF($Z384="",0,Shares!E384)</f>
        <v>0</v>
      </c>
      <c r="AE384" s="266">
        <f>IF($Z384="",0,Shares!J384*Shares!I384)</f>
        <v>0</v>
      </c>
      <c r="AF384" s="267">
        <f t="shared" si="41"/>
        <v>0</v>
      </c>
      <c r="AG384" s="266">
        <f>IF($Z384="",0,Shares!L384)</f>
        <v>0</v>
      </c>
      <c r="AH384" s="267">
        <f>IF($Z384="",0,Shares!M384)</f>
        <v>0</v>
      </c>
      <c r="AI384" s="243" t="str">
        <f>IF($Z384="","",RANK(AE384,$AE$2:$AE$1001)+COUNTIF($AE$2:AE384,AE384)-1)</f>
        <v/>
      </c>
      <c r="AJ384" s="243" t="str">
        <f>IF($AD384&lt;0,COUNT($AJ$1:AJ383)+1,"")</f>
        <v/>
      </c>
      <c r="AL384" s="243" t="str">
        <f>'All Ticker P&amp;L'!A384</f>
        <v/>
      </c>
      <c r="AM384" s="243" t="str">
        <f>'All Ticker P&amp;L'!B384</f>
        <v/>
      </c>
      <c r="AN384" s="243" t="str">
        <f>'All Ticker P&amp;L'!C384</f>
        <v/>
      </c>
      <c r="AO384" s="243" t="str">
        <f>'All Ticker P&amp;L'!D384</f>
        <v/>
      </c>
      <c r="AP384" s="243">
        <f>IF($AL384="",0,'All Ticker P&amp;L'!E384)</f>
        <v>0</v>
      </c>
      <c r="AQ384" s="266">
        <f>IF($AL384="",0,'All Ticker P&amp;L'!J384*'All Ticker P&amp;L'!I384)</f>
        <v>0</v>
      </c>
      <c r="AR384" s="266">
        <f>IF($AL384="",0,'All Ticker P&amp;L'!L384)</f>
        <v>0</v>
      </c>
      <c r="AS384" s="267">
        <f>IF($AL384="",0,'All Ticker P&amp;L'!M384)</f>
        <v>0</v>
      </c>
      <c r="AT384" s="243" t="str">
        <f>IF($AL384="","",RANK(AR384,$AR$2:$AR$1001)+COUNTIF($AR$2:AR384,AR384)-1)</f>
        <v/>
      </c>
      <c r="AU384" s="243" t="str">
        <f>IF($AL384="","",RANK(AV384,$AV$2:$AV$1001)+COUNTIF($AV$2:AV384,AV384)-1)</f>
        <v/>
      </c>
      <c r="AV384" s="266">
        <f t="shared" si="42"/>
        <v>0</v>
      </c>
    </row>
    <row r="385" spans="26:48" ht="15" customHeight="1" x14ac:dyDescent="0.2">
      <c r="Z385" s="243" t="str">
        <f>Shares!A385</f>
        <v/>
      </c>
      <c r="AA385" s="243" t="str">
        <f>Shares!B385</f>
        <v/>
      </c>
      <c r="AB385" s="243" t="str">
        <f>Shares!C385</f>
        <v/>
      </c>
      <c r="AC385" s="243" t="str">
        <f>Shares!D385</f>
        <v/>
      </c>
      <c r="AD385" s="243">
        <f>IF($Z385="",0,Shares!E385)</f>
        <v>0</v>
      </c>
      <c r="AE385" s="266">
        <f>IF($Z385="",0,Shares!J385*Shares!I385)</f>
        <v>0</v>
      </c>
      <c r="AF385" s="267">
        <f t="shared" si="41"/>
        <v>0</v>
      </c>
      <c r="AG385" s="266">
        <f>IF($Z385="",0,Shares!L385)</f>
        <v>0</v>
      </c>
      <c r="AH385" s="267">
        <f>IF($Z385="",0,Shares!M385)</f>
        <v>0</v>
      </c>
      <c r="AI385" s="243" t="str">
        <f>IF($Z385="","",RANK(AE385,$AE$2:$AE$1001)+COUNTIF($AE$2:AE385,AE385)-1)</f>
        <v/>
      </c>
      <c r="AJ385" s="243" t="str">
        <f>IF($AD385&lt;0,COUNT($AJ$1:AJ384)+1,"")</f>
        <v/>
      </c>
      <c r="AL385" s="243" t="str">
        <f>'All Ticker P&amp;L'!A385</f>
        <v/>
      </c>
      <c r="AM385" s="243" t="str">
        <f>'All Ticker P&amp;L'!B385</f>
        <v/>
      </c>
      <c r="AN385" s="243" t="str">
        <f>'All Ticker P&amp;L'!C385</f>
        <v/>
      </c>
      <c r="AO385" s="243" t="str">
        <f>'All Ticker P&amp;L'!D385</f>
        <v/>
      </c>
      <c r="AP385" s="243">
        <f>IF($AL385="",0,'All Ticker P&amp;L'!E385)</f>
        <v>0</v>
      </c>
      <c r="AQ385" s="266">
        <f>IF($AL385="",0,'All Ticker P&amp;L'!J385*'All Ticker P&amp;L'!I385)</f>
        <v>0</v>
      </c>
      <c r="AR385" s="266">
        <f>IF($AL385="",0,'All Ticker P&amp;L'!L385)</f>
        <v>0</v>
      </c>
      <c r="AS385" s="267">
        <f>IF($AL385="",0,'All Ticker P&amp;L'!M385)</f>
        <v>0</v>
      </c>
      <c r="AT385" s="243" t="str">
        <f>IF($AL385="","",RANK(AR385,$AR$2:$AR$1001)+COUNTIF($AR$2:AR385,AR385)-1)</f>
        <v/>
      </c>
      <c r="AU385" s="243" t="str">
        <f>IF($AL385="","",RANK(AV385,$AV$2:$AV$1001)+COUNTIF($AV$2:AV385,AV385)-1)</f>
        <v/>
      </c>
      <c r="AV385" s="266">
        <f t="shared" si="42"/>
        <v>0</v>
      </c>
    </row>
    <row r="386" spans="26:48" ht="15" customHeight="1" x14ac:dyDescent="0.2">
      <c r="Z386" s="243" t="str">
        <f>Shares!A386</f>
        <v/>
      </c>
      <c r="AA386" s="243" t="str">
        <f>Shares!B386</f>
        <v/>
      </c>
      <c r="AB386" s="243" t="str">
        <f>Shares!C386</f>
        <v/>
      </c>
      <c r="AC386" s="243" t="str">
        <f>Shares!D386</f>
        <v/>
      </c>
      <c r="AD386" s="243">
        <f>IF($Z386="",0,Shares!E386)</f>
        <v>0</v>
      </c>
      <c r="AE386" s="266">
        <f>IF($Z386="",0,Shares!J386*Shares!I386)</f>
        <v>0</v>
      </c>
      <c r="AF386" s="267">
        <f t="shared" ref="AF386:AF449" si="43">IFERROR(AE386/$B$5,0)</f>
        <v>0</v>
      </c>
      <c r="AG386" s="266">
        <f>IF($Z386="",0,Shares!L386)</f>
        <v>0</v>
      </c>
      <c r="AH386" s="267">
        <f>IF($Z386="",0,Shares!M386)</f>
        <v>0</v>
      </c>
      <c r="AI386" s="243" t="str">
        <f>IF($Z386="","",RANK(AE386,$AE$2:$AE$1001)+COUNTIF($AE$2:AE386,AE386)-1)</f>
        <v/>
      </c>
      <c r="AJ386" s="243" t="str">
        <f>IF($AD386&lt;0,COUNT($AJ$1:AJ385)+1,"")</f>
        <v/>
      </c>
      <c r="AL386" s="243" t="str">
        <f>'All Ticker P&amp;L'!A386</f>
        <v/>
      </c>
      <c r="AM386" s="243" t="str">
        <f>'All Ticker P&amp;L'!B386</f>
        <v/>
      </c>
      <c r="AN386" s="243" t="str">
        <f>'All Ticker P&amp;L'!C386</f>
        <v/>
      </c>
      <c r="AO386" s="243" t="str">
        <f>'All Ticker P&amp;L'!D386</f>
        <v/>
      </c>
      <c r="AP386" s="243">
        <f>IF($AL386="",0,'All Ticker P&amp;L'!E386)</f>
        <v>0</v>
      </c>
      <c r="AQ386" s="266">
        <f>IF($AL386="",0,'All Ticker P&amp;L'!J386*'All Ticker P&amp;L'!I386)</f>
        <v>0</v>
      </c>
      <c r="AR386" s="266">
        <f>IF($AL386="",0,'All Ticker P&amp;L'!L386)</f>
        <v>0</v>
      </c>
      <c r="AS386" s="267">
        <f>IF($AL386="",0,'All Ticker P&amp;L'!M386)</f>
        <v>0</v>
      </c>
      <c r="AT386" s="243" t="str">
        <f>IF($AL386="","",RANK(AR386,$AR$2:$AR$1001)+COUNTIF($AR$2:AR386,AR386)-1)</f>
        <v/>
      </c>
      <c r="AU386" s="243" t="str">
        <f>IF($AL386="","",RANK(AV386,$AV$2:$AV$1001)+COUNTIF($AV$2:AV386,AV386)-1)</f>
        <v/>
      </c>
      <c r="AV386" s="266">
        <f t="shared" ref="AV386:AV449" si="44">-AR386</f>
        <v>0</v>
      </c>
    </row>
    <row r="387" spans="26:48" ht="15" customHeight="1" x14ac:dyDescent="0.2">
      <c r="Z387" s="243" t="str">
        <f>Shares!A387</f>
        <v/>
      </c>
      <c r="AA387" s="243" t="str">
        <f>Shares!B387</f>
        <v/>
      </c>
      <c r="AB387" s="243" t="str">
        <f>Shares!C387</f>
        <v/>
      </c>
      <c r="AC387" s="243" t="str">
        <f>Shares!D387</f>
        <v/>
      </c>
      <c r="AD387" s="243">
        <f>IF($Z387="",0,Shares!E387)</f>
        <v>0</v>
      </c>
      <c r="AE387" s="266">
        <f>IF($Z387="",0,Shares!J387*Shares!I387)</f>
        <v>0</v>
      </c>
      <c r="AF387" s="267">
        <f t="shared" si="43"/>
        <v>0</v>
      </c>
      <c r="AG387" s="266">
        <f>IF($Z387="",0,Shares!L387)</f>
        <v>0</v>
      </c>
      <c r="AH387" s="267">
        <f>IF($Z387="",0,Shares!M387)</f>
        <v>0</v>
      </c>
      <c r="AI387" s="243" t="str">
        <f>IF($Z387="","",RANK(AE387,$AE$2:$AE$1001)+COUNTIF($AE$2:AE387,AE387)-1)</f>
        <v/>
      </c>
      <c r="AJ387" s="243" t="str">
        <f>IF($AD387&lt;0,COUNT($AJ$1:AJ386)+1,"")</f>
        <v/>
      </c>
      <c r="AL387" s="243" t="str">
        <f>'All Ticker P&amp;L'!A387</f>
        <v/>
      </c>
      <c r="AM387" s="243" t="str">
        <f>'All Ticker P&amp;L'!B387</f>
        <v/>
      </c>
      <c r="AN387" s="243" t="str">
        <f>'All Ticker P&amp;L'!C387</f>
        <v/>
      </c>
      <c r="AO387" s="243" t="str">
        <f>'All Ticker P&amp;L'!D387</f>
        <v/>
      </c>
      <c r="AP387" s="243">
        <f>IF($AL387="",0,'All Ticker P&amp;L'!E387)</f>
        <v>0</v>
      </c>
      <c r="AQ387" s="266">
        <f>IF($AL387="",0,'All Ticker P&amp;L'!J387*'All Ticker P&amp;L'!I387)</f>
        <v>0</v>
      </c>
      <c r="AR387" s="266">
        <f>IF($AL387="",0,'All Ticker P&amp;L'!L387)</f>
        <v>0</v>
      </c>
      <c r="AS387" s="267">
        <f>IF($AL387="",0,'All Ticker P&amp;L'!M387)</f>
        <v>0</v>
      </c>
      <c r="AT387" s="243" t="str">
        <f>IF($AL387="","",RANK(AR387,$AR$2:$AR$1001)+COUNTIF($AR$2:AR387,AR387)-1)</f>
        <v/>
      </c>
      <c r="AU387" s="243" t="str">
        <f>IF($AL387="","",RANK(AV387,$AV$2:$AV$1001)+COUNTIF($AV$2:AV387,AV387)-1)</f>
        <v/>
      </c>
      <c r="AV387" s="266">
        <f t="shared" si="44"/>
        <v>0</v>
      </c>
    </row>
    <row r="388" spans="26:48" ht="15" customHeight="1" x14ac:dyDescent="0.2">
      <c r="Z388" s="243" t="str">
        <f>Shares!A388</f>
        <v/>
      </c>
      <c r="AA388" s="243" t="str">
        <f>Shares!B388</f>
        <v/>
      </c>
      <c r="AB388" s="243" t="str">
        <f>Shares!C388</f>
        <v/>
      </c>
      <c r="AC388" s="243" t="str">
        <f>Shares!D388</f>
        <v/>
      </c>
      <c r="AD388" s="243">
        <f>IF($Z388="",0,Shares!E388)</f>
        <v>0</v>
      </c>
      <c r="AE388" s="266">
        <f>IF($Z388="",0,Shares!J388*Shares!I388)</f>
        <v>0</v>
      </c>
      <c r="AF388" s="267">
        <f t="shared" si="43"/>
        <v>0</v>
      </c>
      <c r="AG388" s="266">
        <f>IF($Z388="",0,Shares!L388)</f>
        <v>0</v>
      </c>
      <c r="AH388" s="267">
        <f>IF($Z388="",0,Shares!M388)</f>
        <v>0</v>
      </c>
      <c r="AI388" s="243" t="str">
        <f>IF($Z388="","",RANK(AE388,$AE$2:$AE$1001)+COUNTIF($AE$2:AE388,AE388)-1)</f>
        <v/>
      </c>
      <c r="AJ388" s="243" t="str">
        <f>IF($AD388&lt;0,COUNT($AJ$1:AJ387)+1,"")</f>
        <v/>
      </c>
      <c r="AL388" s="243" t="str">
        <f>'All Ticker P&amp;L'!A388</f>
        <v/>
      </c>
      <c r="AM388" s="243" t="str">
        <f>'All Ticker P&amp;L'!B388</f>
        <v/>
      </c>
      <c r="AN388" s="243" t="str">
        <f>'All Ticker P&amp;L'!C388</f>
        <v/>
      </c>
      <c r="AO388" s="243" t="str">
        <f>'All Ticker P&amp;L'!D388</f>
        <v/>
      </c>
      <c r="AP388" s="243">
        <f>IF($AL388="",0,'All Ticker P&amp;L'!E388)</f>
        <v>0</v>
      </c>
      <c r="AQ388" s="266">
        <f>IF($AL388="",0,'All Ticker P&amp;L'!J388*'All Ticker P&amp;L'!I388)</f>
        <v>0</v>
      </c>
      <c r="AR388" s="266">
        <f>IF($AL388="",0,'All Ticker P&amp;L'!L388)</f>
        <v>0</v>
      </c>
      <c r="AS388" s="267">
        <f>IF($AL388="",0,'All Ticker P&amp;L'!M388)</f>
        <v>0</v>
      </c>
      <c r="AT388" s="243" t="str">
        <f>IF($AL388="","",RANK(AR388,$AR$2:$AR$1001)+COUNTIF($AR$2:AR388,AR388)-1)</f>
        <v/>
      </c>
      <c r="AU388" s="243" t="str">
        <f>IF($AL388="","",RANK(AV388,$AV$2:$AV$1001)+COUNTIF($AV$2:AV388,AV388)-1)</f>
        <v/>
      </c>
      <c r="AV388" s="266">
        <f t="shared" si="44"/>
        <v>0</v>
      </c>
    </row>
    <row r="389" spans="26:48" ht="15" customHeight="1" x14ac:dyDescent="0.2">
      <c r="Z389" s="243" t="str">
        <f>Shares!A389</f>
        <v/>
      </c>
      <c r="AA389" s="243" t="str">
        <f>Shares!B389</f>
        <v/>
      </c>
      <c r="AB389" s="243" t="str">
        <f>Shares!C389</f>
        <v/>
      </c>
      <c r="AC389" s="243" t="str">
        <f>Shares!D389</f>
        <v/>
      </c>
      <c r="AD389" s="243">
        <f>IF($Z389="",0,Shares!E389)</f>
        <v>0</v>
      </c>
      <c r="AE389" s="266">
        <f>IF($Z389="",0,Shares!J389*Shares!I389)</f>
        <v>0</v>
      </c>
      <c r="AF389" s="267">
        <f t="shared" si="43"/>
        <v>0</v>
      </c>
      <c r="AG389" s="266">
        <f>IF($Z389="",0,Shares!L389)</f>
        <v>0</v>
      </c>
      <c r="AH389" s="267">
        <f>IF($Z389="",0,Shares!M389)</f>
        <v>0</v>
      </c>
      <c r="AI389" s="243" t="str">
        <f>IF($Z389="","",RANK(AE389,$AE$2:$AE$1001)+COUNTIF($AE$2:AE389,AE389)-1)</f>
        <v/>
      </c>
      <c r="AJ389" s="243" t="str">
        <f>IF($AD389&lt;0,COUNT($AJ$1:AJ388)+1,"")</f>
        <v/>
      </c>
      <c r="AL389" s="243" t="str">
        <f>'All Ticker P&amp;L'!A389</f>
        <v/>
      </c>
      <c r="AM389" s="243" t="str">
        <f>'All Ticker P&amp;L'!B389</f>
        <v/>
      </c>
      <c r="AN389" s="243" t="str">
        <f>'All Ticker P&amp;L'!C389</f>
        <v/>
      </c>
      <c r="AO389" s="243" t="str">
        <f>'All Ticker P&amp;L'!D389</f>
        <v/>
      </c>
      <c r="AP389" s="243">
        <f>IF($AL389="",0,'All Ticker P&amp;L'!E389)</f>
        <v>0</v>
      </c>
      <c r="AQ389" s="266">
        <f>IF($AL389="",0,'All Ticker P&amp;L'!J389*'All Ticker P&amp;L'!I389)</f>
        <v>0</v>
      </c>
      <c r="AR389" s="266">
        <f>IF($AL389="",0,'All Ticker P&amp;L'!L389)</f>
        <v>0</v>
      </c>
      <c r="AS389" s="267">
        <f>IF($AL389="",0,'All Ticker P&amp;L'!M389)</f>
        <v>0</v>
      </c>
      <c r="AT389" s="243" t="str">
        <f>IF($AL389="","",RANK(AR389,$AR$2:$AR$1001)+COUNTIF($AR$2:AR389,AR389)-1)</f>
        <v/>
      </c>
      <c r="AU389" s="243" t="str">
        <f>IF($AL389="","",RANK(AV389,$AV$2:$AV$1001)+COUNTIF($AV$2:AV389,AV389)-1)</f>
        <v/>
      </c>
      <c r="AV389" s="266">
        <f t="shared" si="44"/>
        <v>0</v>
      </c>
    </row>
    <row r="390" spans="26:48" ht="15" customHeight="1" x14ac:dyDescent="0.2">
      <c r="Z390" s="243" t="str">
        <f>Shares!A390</f>
        <v/>
      </c>
      <c r="AA390" s="243" t="str">
        <f>Shares!B390</f>
        <v/>
      </c>
      <c r="AB390" s="243" t="str">
        <f>Shares!C390</f>
        <v/>
      </c>
      <c r="AC390" s="243" t="str">
        <f>Shares!D390</f>
        <v/>
      </c>
      <c r="AD390" s="243">
        <f>IF($Z390="",0,Shares!E390)</f>
        <v>0</v>
      </c>
      <c r="AE390" s="266">
        <f>IF($Z390="",0,Shares!J390*Shares!I390)</f>
        <v>0</v>
      </c>
      <c r="AF390" s="267">
        <f t="shared" si="43"/>
        <v>0</v>
      </c>
      <c r="AG390" s="266">
        <f>IF($Z390="",0,Shares!L390)</f>
        <v>0</v>
      </c>
      <c r="AH390" s="267">
        <f>IF($Z390="",0,Shares!M390)</f>
        <v>0</v>
      </c>
      <c r="AI390" s="243" t="str">
        <f>IF($Z390="","",RANK(AE390,$AE$2:$AE$1001)+COUNTIF($AE$2:AE390,AE390)-1)</f>
        <v/>
      </c>
      <c r="AJ390" s="243" t="str">
        <f>IF($AD390&lt;0,COUNT($AJ$1:AJ389)+1,"")</f>
        <v/>
      </c>
      <c r="AL390" s="243" t="str">
        <f>'All Ticker P&amp;L'!A390</f>
        <v/>
      </c>
      <c r="AM390" s="243" t="str">
        <f>'All Ticker P&amp;L'!B390</f>
        <v/>
      </c>
      <c r="AN390" s="243" t="str">
        <f>'All Ticker P&amp;L'!C390</f>
        <v/>
      </c>
      <c r="AO390" s="243" t="str">
        <f>'All Ticker P&amp;L'!D390</f>
        <v/>
      </c>
      <c r="AP390" s="243">
        <f>IF($AL390="",0,'All Ticker P&amp;L'!E390)</f>
        <v>0</v>
      </c>
      <c r="AQ390" s="266">
        <f>IF($AL390="",0,'All Ticker P&amp;L'!J390*'All Ticker P&amp;L'!I390)</f>
        <v>0</v>
      </c>
      <c r="AR390" s="266">
        <f>IF($AL390="",0,'All Ticker P&amp;L'!L390)</f>
        <v>0</v>
      </c>
      <c r="AS390" s="267">
        <f>IF($AL390="",0,'All Ticker P&amp;L'!M390)</f>
        <v>0</v>
      </c>
      <c r="AT390" s="243" t="str">
        <f>IF($AL390="","",RANK(AR390,$AR$2:$AR$1001)+COUNTIF($AR$2:AR390,AR390)-1)</f>
        <v/>
      </c>
      <c r="AU390" s="243" t="str">
        <f>IF($AL390="","",RANK(AV390,$AV$2:$AV$1001)+COUNTIF($AV$2:AV390,AV390)-1)</f>
        <v/>
      </c>
      <c r="AV390" s="266">
        <f t="shared" si="44"/>
        <v>0</v>
      </c>
    </row>
    <row r="391" spans="26:48" ht="15" customHeight="1" x14ac:dyDescent="0.2">
      <c r="Z391" s="243" t="str">
        <f>Shares!A391</f>
        <v/>
      </c>
      <c r="AA391" s="243" t="str">
        <f>Shares!B391</f>
        <v/>
      </c>
      <c r="AB391" s="243" t="str">
        <f>Shares!C391</f>
        <v/>
      </c>
      <c r="AC391" s="243" t="str">
        <f>Shares!D391</f>
        <v/>
      </c>
      <c r="AD391" s="243">
        <f>IF($Z391="",0,Shares!E391)</f>
        <v>0</v>
      </c>
      <c r="AE391" s="266">
        <f>IF($Z391="",0,Shares!J391*Shares!I391)</f>
        <v>0</v>
      </c>
      <c r="AF391" s="267">
        <f t="shared" si="43"/>
        <v>0</v>
      </c>
      <c r="AG391" s="266">
        <f>IF($Z391="",0,Shares!L391)</f>
        <v>0</v>
      </c>
      <c r="AH391" s="267">
        <f>IF($Z391="",0,Shares!M391)</f>
        <v>0</v>
      </c>
      <c r="AI391" s="243" t="str">
        <f>IF($Z391="","",RANK(AE391,$AE$2:$AE$1001)+COUNTIF($AE$2:AE391,AE391)-1)</f>
        <v/>
      </c>
      <c r="AJ391" s="243" t="str">
        <f>IF($AD391&lt;0,COUNT($AJ$1:AJ390)+1,"")</f>
        <v/>
      </c>
      <c r="AL391" s="243" t="str">
        <f>'All Ticker P&amp;L'!A391</f>
        <v/>
      </c>
      <c r="AM391" s="243" t="str">
        <f>'All Ticker P&amp;L'!B391</f>
        <v/>
      </c>
      <c r="AN391" s="243" t="str">
        <f>'All Ticker P&amp;L'!C391</f>
        <v/>
      </c>
      <c r="AO391" s="243" t="str">
        <f>'All Ticker P&amp;L'!D391</f>
        <v/>
      </c>
      <c r="AP391" s="243">
        <f>IF($AL391="",0,'All Ticker P&amp;L'!E391)</f>
        <v>0</v>
      </c>
      <c r="AQ391" s="266">
        <f>IF($AL391="",0,'All Ticker P&amp;L'!J391*'All Ticker P&amp;L'!I391)</f>
        <v>0</v>
      </c>
      <c r="AR391" s="266">
        <f>IF($AL391="",0,'All Ticker P&amp;L'!L391)</f>
        <v>0</v>
      </c>
      <c r="AS391" s="267">
        <f>IF($AL391="",0,'All Ticker P&amp;L'!M391)</f>
        <v>0</v>
      </c>
      <c r="AT391" s="243" t="str">
        <f>IF($AL391="","",RANK(AR391,$AR$2:$AR$1001)+COUNTIF($AR$2:AR391,AR391)-1)</f>
        <v/>
      </c>
      <c r="AU391" s="243" t="str">
        <f>IF($AL391="","",RANK(AV391,$AV$2:$AV$1001)+COUNTIF($AV$2:AV391,AV391)-1)</f>
        <v/>
      </c>
      <c r="AV391" s="266">
        <f t="shared" si="44"/>
        <v>0</v>
      </c>
    </row>
    <row r="392" spans="26:48" ht="15" customHeight="1" x14ac:dyDescent="0.2">
      <c r="Z392" s="243" t="str">
        <f>Shares!A392</f>
        <v/>
      </c>
      <c r="AA392" s="243" t="str">
        <f>Shares!B392</f>
        <v/>
      </c>
      <c r="AB392" s="243" t="str">
        <f>Shares!C392</f>
        <v/>
      </c>
      <c r="AC392" s="243" t="str">
        <f>Shares!D392</f>
        <v/>
      </c>
      <c r="AD392" s="243">
        <f>IF($Z392="",0,Shares!E392)</f>
        <v>0</v>
      </c>
      <c r="AE392" s="266">
        <f>IF($Z392="",0,Shares!J392*Shares!I392)</f>
        <v>0</v>
      </c>
      <c r="AF392" s="267">
        <f t="shared" si="43"/>
        <v>0</v>
      </c>
      <c r="AG392" s="266">
        <f>IF($Z392="",0,Shares!L392)</f>
        <v>0</v>
      </c>
      <c r="AH392" s="267">
        <f>IF($Z392="",0,Shares!M392)</f>
        <v>0</v>
      </c>
      <c r="AI392" s="243" t="str">
        <f>IF($Z392="","",RANK(AE392,$AE$2:$AE$1001)+COUNTIF($AE$2:AE392,AE392)-1)</f>
        <v/>
      </c>
      <c r="AJ392" s="243" t="str">
        <f>IF($AD392&lt;0,COUNT($AJ$1:AJ391)+1,"")</f>
        <v/>
      </c>
      <c r="AL392" s="243" t="str">
        <f>'All Ticker P&amp;L'!A392</f>
        <v/>
      </c>
      <c r="AM392" s="243" t="str">
        <f>'All Ticker P&amp;L'!B392</f>
        <v/>
      </c>
      <c r="AN392" s="243" t="str">
        <f>'All Ticker P&amp;L'!C392</f>
        <v/>
      </c>
      <c r="AO392" s="243" t="str">
        <f>'All Ticker P&amp;L'!D392</f>
        <v/>
      </c>
      <c r="AP392" s="243">
        <f>IF($AL392="",0,'All Ticker P&amp;L'!E392)</f>
        <v>0</v>
      </c>
      <c r="AQ392" s="266">
        <f>IF($AL392="",0,'All Ticker P&amp;L'!J392*'All Ticker P&amp;L'!I392)</f>
        <v>0</v>
      </c>
      <c r="AR392" s="266">
        <f>IF($AL392="",0,'All Ticker P&amp;L'!L392)</f>
        <v>0</v>
      </c>
      <c r="AS392" s="267">
        <f>IF($AL392="",0,'All Ticker P&amp;L'!M392)</f>
        <v>0</v>
      </c>
      <c r="AT392" s="243" t="str">
        <f>IF($AL392="","",RANK(AR392,$AR$2:$AR$1001)+COUNTIF($AR$2:AR392,AR392)-1)</f>
        <v/>
      </c>
      <c r="AU392" s="243" t="str">
        <f>IF($AL392="","",RANK(AV392,$AV$2:$AV$1001)+COUNTIF($AV$2:AV392,AV392)-1)</f>
        <v/>
      </c>
      <c r="AV392" s="266">
        <f t="shared" si="44"/>
        <v>0</v>
      </c>
    </row>
    <row r="393" spans="26:48" ht="15" customHeight="1" x14ac:dyDescent="0.2">
      <c r="Z393" s="243" t="str">
        <f>Shares!A393</f>
        <v/>
      </c>
      <c r="AA393" s="243" t="str">
        <f>Shares!B393</f>
        <v/>
      </c>
      <c r="AB393" s="243" t="str">
        <f>Shares!C393</f>
        <v/>
      </c>
      <c r="AC393" s="243" t="str">
        <f>Shares!D393</f>
        <v/>
      </c>
      <c r="AD393" s="243">
        <f>IF($Z393="",0,Shares!E393)</f>
        <v>0</v>
      </c>
      <c r="AE393" s="266">
        <f>IF($Z393="",0,Shares!J393*Shares!I393)</f>
        <v>0</v>
      </c>
      <c r="AF393" s="267">
        <f t="shared" si="43"/>
        <v>0</v>
      </c>
      <c r="AG393" s="266">
        <f>IF($Z393="",0,Shares!L393)</f>
        <v>0</v>
      </c>
      <c r="AH393" s="267">
        <f>IF($Z393="",0,Shares!M393)</f>
        <v>0</v>
      </c>
      <c r="AI393" s="243" t="str">
        <f>IF($Z393="","",RANK(AE393,$AE$2:$AE$1001)+COUNTIF($AE$2:AE393,AE393)-1)</f>
        <v/>
      </c>
      <c r="AJ393" s="243" t="str">
        <f>IF($AD393&lt;0,COUNT($AJ$1:AJ392)+1,"")</f>
        <v/>
      </c>
      <c r="AL393" s="243" t="str">
        <f>'All Ticker P&amp;L'!A393</f>
        <v/>
      </c>
      <c r="AM393" s="243" t="str">
        <f>'All Ticker P&amp;L'!B393</f>
        <v/>
      </c>
      <c r="AN393" s="243" t="str">
        <f>'All Ticker P&amp;L'!C393</f>
        <v/>
      </c>
      <c r="AO393" s="243" t="str">
        <f>'All Ticker P&amp;L'!D393</f>
        <v/>
      </c>
      <c r="AP393" s="243">
        <f>IF($AL393="",0,'All Ticker P&amp;L'!E393)</f>
        <v>0</v>
      </c>
      <c r="AQ393" s="266">
        <f>IF($AL393="",0,'All Ticker P&amp;L'!J393*'All Ticker P&amp;L'!I393)</f>
        <v>0</v>
      </c>
      <c r="AR393" s="266">
        <f>IF($AL393="",0,'All Ticker P&amp;L'!L393)</f>
        <v>0</v>
      </c>
      <c r="AS393" s="267">
        <f>IF($AL393="",0,'All Ticker P&amp;L'!M393)</f>
        <v>0</v>
      </c>
      <c r="AT393" s="243" t="str">
        <f>IF($AL393="","",RANK(AR393,$AR$2:$AR$1001)+COUNTIF($AR$2:AR393,AR393)-1)</f>
        <v/>
      </c>
      <c r="AU393" s="243" t="str">
        <f>IF($AL393="","",RANK(AV393,$AV$2:$AV$1001)+COUNTIF($AV$2:AV393,AV393)-1)</f>
        <v/>
      </c>
      <c r="AV393" s="266">
        <f t="shared" si="44"/>
        <v>0</v>
      </c>
    </row>
    <row r="394" spans="26:48" ht="15" customHeight="1" x14ac:dyDescent="0.2">
      <c r="Z394" s="243" t="str">
        <f>Shares!A394</f>
        <v/>
      </c>
      <c r="AA394" s="243" t="str">
        <f>Shares!B394</f>
        <v/>
      </c>
      <c r="AB394" s="243" t="str">
        <f>Shares!C394</f>
        <v/>
      </c>
      <c r="AC394" s="243" t="str">
        <f>Shares!D394</f>
        <v/>
      </c>
      <c r="AD394" s="243">
        <f>IF($Z394="",0,Shares!E394)</f>
        <v>0</v>
      </c>
      <c r="AE394" s="266">
        <f>IF($Z394="",0,Shares!J394*Shares!I394)</f>
        <v>0</v>
      </c>
      <c r="AF394" s="267">
        <f t="shared" si="43"/>
        <v>0</v>
      </c>
      <c r="AG394" s="266">
        <f>IF($Z394="",0,Shares!L394)</f>
        <v>0</v>
      </c>
      <c r="AH394" s="267">
        <f>IF($Z394="",0,Shares!M394)</f>
        <v>0</v>
      </c>
      <c r="AI394" s="243" t="str">
        <f>IF($Z394="","",RANK(AE394,$AE$2:$AE$1001)+COUNTIF($AE$2:AE394,AE394)-1)</f>
        <v/>
      </c>
      <c r="AJ394" s="243" t="str">
        <f>IF($AD394&lt;0,COUNT($AJ$1:AJ393)+1,"")</f>
        <v/>
      </c>
      <c r="AL394" s="243" t="str">
        <f>'All Ticker P&amp;L'!A394</f>
        <v/>
      </c>
      <c r="AM394" s="243" t="str">
        <f>'All Ticker P&amp;L'!B394</f>
        <v/>
      </c>
      <c r="AN394" s="243" t="str">
        <f>'All Ticker P&amp;L'!C394</f>
        <v/>
      </c>
      <c r="AO394" s="243" t="str">
        <f>'All Ticker P&amp;L'!D394</f>
        <v/>
      </c>
      <c r="AP394" s="243">
        <f>IF($AL394="",0,'All Ticker P&amp;L'!E394)</f>
        <v>0</v>
      </c>
      <c r="AQ394" s="266">
        <f>IF($AL394="",0,'All Ticker P&amp;L'!J394*'All Ticker P&amp;L'!I394)</f>
        <v>0</v>
      </c>
      <c r="AR394" s="266">
        <f>IF($AL394="",0,'All Ticker P&amp;L'!L394)</f>
        <v>0</v>
      </c>
      <c r="AS394" s="267">
        <f>IF($AL394="",0,'All Ticker P&amp;L'!M394)</f>
        <v>0</v>
      </c>
      <c r="AT394" s="243" t="str">
        <f>IF($AL394="","",RANK(AR394,$AR$2:$AR$1001)+COUNTIF($AR$2:AR394,AR394)-1)</f>
        <v/>
      </c>
      <c r="AU394" s="243" t="str">
        <f>IF($AL394="","",RANK(AV394,$AV$2:$AV$1001)+COUNTIF($AV$2:AV394,AV394)-1)</f>
        <v/>
      </c>
      <c r="AV394" s="266">
        <f t="shared" si="44"/>
        <v>0</v>
      </c>
    </row>
    <row r="395" spans="26:48" ht="15" customHeight="1" x14ac:dyDescent="0.2">
      <c r="Z395" s="243" t="str">
        <f>Shares!A395</f>
        <v/>
      </c>
      <c r="AA395" s="243" t="str">
        <f>Shares!B395</f>
        <v/>
      </c>
      <c r="AB395" s="243" t="str">
        <f>Shares!C395</f>
        <v/>
      </c>
      <c r="AC395" s="243" t="str">
        <f>Shares!D395</f>
        <v/>
      </c>
      <c r="AD395" s="243">
        <f>IF($Z395="",0,Shares!E395)</f>
        <v>0</v>
      </c>
      <c r="AE395" s="266">
        <f>IF($Z395="",0,Shares!J395*Shares!I395)</f>
        <v>0</v>
      </c>
      <c r="AF395" s="267">
        <f t="shared" si="43"/>
        <v>0</v>
      </c>
      <c r="AG395" s="266">
        <f>IF($Z395="",0,Shares!L395)</f>
        <v>0</v>
      </c>
      <c r="AH395" s="267">
        <f>IF($Z395="",0,Shares!M395)</f>
        <v>0</v>
      </c>
      <c r="AI395" s="243" t="str">
        <f>IF($Z395="","",RANK(AE395,$AE$2:$AE$1001)+COUNTIF($AE$2:AE395,AE395)-1)</f>
        <v/>
      </c>
      <c r="AJ395" s="243" t="str">
        <f>IF($AD395&lt;0,COUNT($AJ$1:AJ394)+1,"")</f>
        <v/>
      </c>
      <c r="AL395" s="243" t="str">
        <f>'All Ticker P&amp;L'!A395</f>
        <v/>
      </c>
      <c r="AM395" s="243" t="str">
        <f>'All Ticker P&amp;L'!B395</f>
        <v/>
      </c>
      <c r="AN395" s="243" t="str">
        <f>'All Ticker P&amp;L'!C395</f>
        <v/>
      </c>
      <c r="AO395" s="243" t="str">
        <f>'All Ticker P&amp;L'!D395</f>
        <v/>
      </c>
      <c r="AP395" s="243">
        <f>IF($AL395="",0,'All Ticker P&amp;L'!E395)</f>
        <v>0</v>
      </c>
      <c r="AQ395" s="266">
        <f>IF($AL395="",0,'All Ticker P&amp;L'!J395*'All Ticker P&amp;L'!I395)</f>
        <v>0</v>
      </c>
      <c r="AR395" s="266">
        <f>IF($AL395="",0,'All Ticker P&amp;L'!L395)</f>
        <v>0</v>
      </c>
      <c r="AS395" s="267">
        <f>IF($AL395="",0,'All Ticker P&amp;L'!M395)</f>
        <v>0</v>
      </c>
      <c r="AT395" s="243" t="str">
        <f>IF($AL395="","",RANK(AR395,$AR$2:$AR$1001)+COUNTIF($AR$2:AR395,AR395)-1)</f>
        <v/>
      </c>
      <c r="AU395" s="243" t="str">
        <f>IF($AL395="","",RANK(AV395,$AV$2:$AV$1001)+COUNTIF($AV$2:AV395,AV395)-1)</f>
        <v/>
      </c>
      <c r="AV395" s="266">
        <f t="shared" si="44"/>
        <v>0</v>
      </c>
    </row>
    <row r="396" spans="26:48" ht="15" customHeight="1" x14ac:dyDescent="0.2">
      <c r="Z396" s="243" t="str">
        <f>Shares!A396</f>
        <v/>
      </c>
      <c r="AA396" s="243" t="str">
        <f>Shares!B396</f>
        <v/>
      </c>
      <c r="AB396" s="243" t="str">
        <f>Shares!C396</f>
        <v/>
      </c>
      <c r="AC396" s="243" t="str">
        <f>Shares!D396</f>
        <v/>
      </c>
      <c r="AD396" s="243">
        <f>IF($Z396="",0,Shares!E396)</f>
        <v>0</v>
      </c>
      <c r="AE396" s="266">
        <f>IF($Z396="",0,Shares!J396*Shares!I396)</f>
        <v>0</v>
      </c>
      <c r="AF396" s="267">
        <f t="shared" si="43"/>
        <v>0</v>
      </c>
      <c r="AG396" s="266">
        <f>IF($Z396="",0,Shares!L396)</f>
        <v>0</v>
      </c>
      <c r="AH396" s="267">
        <f>IF($Z396="",0,Shares!M396)</f>
        <v>0</v>
      </c>
      <c r="AI396" s="243" t="str">
        <f>IF($Z396="","",RANK(AE396,$AE$2:$AE$1001)+COUNTIF($AE$2:AE396,AE396)-1)</f>
        <v/>
      </c>
      <c r="AJ396" s="243" t="str">
        <f>IF($AD396&lt;0,COUNT($AJ$1:AJ395)+1,"")</f>
        <v/>
      </c>
      <c r="AL396" s="243" t="str">
        <f>'All Ticker P&amp;L'!A396</f>
        <v/>
      </c>
      <c r="AM396" s="243" t="str">
        <f>'All Ticker P&amp;L'!B396</f>
        <v/>
      </c>
      <c r="AN396" s="243" t="str">
        <f>'All Ticker P&amp;L'!C396</f>
        <v/>
      </c>
      <c r="AO396" s="243" t="str">
        <f>'All Ticker P&amp;L'!D396</f>
        <v/>
      </c>
      <c r="AP396" s="243">
        <f>IF($AL396="",0,'All Ticker P&amp;L'!E396)</f>
        <v>0</v>
      </c>
      <c r="AQ396" s="266">
        <f>IF($AL396="",0,'All Ticker P&amp;L'!J396*'All Ticker P&amp;L'!I396)</f>
        <v>0</v>
      </c>
      <c r="AR396" s="266">
        <f>IF($AL396="",0,'All Ticker P&amp;L'!L396)</f>
        <v>0</v>
      </c>
      <c r="AS396" s="267">
        <f>IF($AL396="",0,'All Ticker P&amp;L'!M396)</f>
        <v>0</v>
      </c>
      <c r="AT396" s="243" t="str">
        <f>IF($AL396="","",RANK(AR396,$AR$2:$AR$1001)+COUNTIF($AR$2:AR396,AR396)-1)</f>
        <v/>
      </c>
      <c r="AU396" s="243" t="str">
        <f>IF($AL396="","",RANK(AV396,$AV$2:$AV$1001)+COUNTIF($AV$2:AV396,AV396)-1)</f>
        <v/>
      </c>
      <c r="AV396" s="266">
        <f t="shared" si="44"/>
        <v>0</v>
      </c>
    </row>
    <row r="397" spans="26:48" ht="15" customHeight="1" x14ac:dyDescent="0.2">
      <c r="Z397" s="243" t="str">
        <f>Shares!A397</f>
        <v/>
      </c>
      <c r="AA397" s="243" t="str">
        <f>Shares!B397</f>
        <v/>
      </c>
      <c r="AB397" s="243" t="str">
        <f>Shares!C397</f>
        <v/>
      </c>
      <c r="AC397" s="243" t="str">
        <f>Shares!D397</f>
        <v/>
      </c>
      <c r="AD397" s="243">
        <f>IF($Z397="",0,Shares!E397)</f>
        <v>0</v>
      </c>
      <c r="AE397" s="266">
        <f>IF($Z397="",0,Shares!J397*Shares!I397)</f>
        <v>0</v>
      </c>
      <c r="AF397" s="267">
        <f t="shared" si="43"/>
        <v>0</v>
      </c>
      <c r="AG397" s="266">
        <f>IF($Z397="",0,Shares!L397)</f>
        <v>0</v>
      </c>
      <c r="AH397" s="267">
        <f>IF($Z397="",0,Shares!M397)</f>
        <v>0</v>
      </c>
      <c r="AI397" s="243" t="str">
        <f>IF($Z397="","",RANK(AE397,$AE$2:$AE$1001)+COUNTIF($AE$2:AE397,AE397)-1)</f>
        <v/>
      </c>
      <c r="AJ397" s="243" t="str">
        <f>IF($AD397&lt;0,COUNT($AJ$1:AJ396)+1,"")</f>
        <v/>
      </c>
      <c r="AL397" s="243" t="str">
        <f>'All Ticker P&amp;L'!A397</f>
        <v/>
      </c>
      <c r="AM397" s="243" t="str">
        <f>'All Ticker P&amp;L'!B397</f>
        <v/>
      </c>
      <c r="AN397" s="243" t="str">
        <f>'All Ticker P&amp;L'!C397</f>
        <v/>
      </c>
      <c r="AO397" s="243" t="str">
        <f>'All Ticker P&amp;L'!D397</f>
        <v/>
      </c>
      <c r="AP397" s="243">
        <f>IF($AL397="",0,'All Ticker P&amp;L'!E397)</f>
        <v>0</v>
      </c>
      <c r="AQ397" s="266">
        <f>IF($AL397="",0,'All Ticker P&amp;L'!J397*'All Ticker P&amp;L'!I397)</f>
        <v>0</v>
      </c>
      <c r="AR397" s="266">
        <f>IF($AL397="",0,'All Ticker P&amp;L'!L397)</f>
        <v>0</v>
      </c>
      <c r="AS397" s="267">
        <f>IF($AL397="",0,'All Ticker P&amp;L'!M397)</f>
        <v>0</v>
      </c>
      <c r="AT397" s="243" t="str">
        <f>IF($AL397="","",RANK(AR397,$AR$2:$AR$1001)+COUNTIF($AR$2:AR397,AR397)-1)</f>
        <v/>
      </c>
      <c r="AU397" s="243" t="str">
        <f>IF($AL397="","",RANK(AV397,$AV$2:$AV$1001)+COUNTIF($AV$2:AV397,AV397)-1)</f>
        <v/>
      </c>
      <c r="AV397" s="266">
        <f t="shared" si="44"/>
        <v>0</v>
      </c>
    </row>
    <row r="398" spans="26:48" ht="15" customHeight="1" x14ac:dyDescent="0.2">
      <c r="Z398" s="243" t="str">
        <f>Shares!A398</f>
        <v/>
      </c>
      <c r="AA398" s="243" t="str">
        <f>Shares!B398</f>
        <v/>
      </c>
      <c r="AB398" s="243" t="str">
        <f>Shares!C398</f>
        <v/>
      </c>
      <c r="AC398" s="243" t="str">
        <f>Shares!D398</f>
        <v/>
      </c>
      <c r="AD398" s="243">
        <f>IF($Z398="",0,Shares!E398)</f>
        <v>0</v>
      </c>
      <c r="AE398" s="266">
        <f>IF($Z398="",0,Shares!J398*Shares!I398)</f>
        <v>0</v>
      </c>
      <c r="AF398" s="267">
        <f t="shared" si="43"/>
        <v>0</v>
      </c>
      <c r="AG398" s="266">
        <f>IF($Z398="",0,Shares!L398)</f>
        <v>0</v>
      </c>
      <c r="AH398" s="267">
        <f>IF($Z398="",0,Shares!M398)</f>
        <v>0</v>
      </c>
      <c r="AI398" s="243" t="str">
        <f>IF($Z398="","",RANK(AE398,$AE$2:$AE$1001)+COUNTIF($AE$2:AE398,AE398)-1)</f>
        <v/>
      </c>
      <c r="AJ398" s="243" t="str">
        <f>IF($AD398&lt;0,COUNT($AJ$1:AJ397)+1,"")</f>
        <v/>
      </c>
      <c r="AL398" s="243" t="str">
        <f>'All Ticker P&amp;L'!A398</f>
        <v/>
      </c>
      <c r="AM398" s="243" t="str">
        <f>'All Ticker P&amp;L'!B398</f>
        <v/>
      </c>
      <c r="AN398" s="243" t="str">
        <f>'All Ticker P&amp;L'!C398</f>
        <v/>
      </c>
      <c r="AO398" s="243" t="str">
        <f>'All Ticker P&amp;L'!D398</f>
        <v/>
      </c>
      <c r="AP398" s="243">
        <f>IF($AL398="",0,'All Ticker P&amp;L'!E398)</f>
        <v>0</v>
      </c>
      <c r="AQ398" s="266">
        <f>IF($AL398="",0,'All Ticker P&amp;L'!J398*'All Ticker P&amp;L'!I398)</f>
        <v>0</v>
      </c>
      <c r="AR398" s="266">
        <f>IF($AL398="",0,'All Ticker P&amp;L'!L398)</f>
        <v>0</v>
      </c>
      <c r="AS398" s="267">
        <f>IF($AL398="",0,'All Ticker P&amp;L'!M398)</f>
        <v>0</v>
      </c>
      <c r="AT398" s="243" t="str">
        <f>IF($AL398="","",RANK(AR398,$AR$2:$AR$1001)+COUNTIF($AR$2:AR398,AR398)-1)</f>
        <v/>
      </c>
      <c r="AU398" s="243" t="str">
        <f>IF($AL398="","",RANK(AV398,$AV$2:$AV$1001)+COUNTIF($AV$2:AV398,AV398)-1)</f>
        <v/>
      </c>
      <c r="AV398" s="266">
        <f t="shared" si="44"/>
        <v>0</v>
      </c>
    </row>
    <row r="399" spans="26:48" ht="15" customHeight="1" x14ac:dyDescent="0.2">
      <c r="Z399" s="243" t="str">
        <f>Shares!A399</f>
        <v/>
      </c>
      <c r="AA399" s="243" t="str">
        <f>Shares!B399</f>
        <v/>
      </c>
      <c r="AB399" s="243" t="str">
        <f>Shares!C399</f>
        <v/>
      </c>
      <c r="AC399" s="243" t="str">
        <f>Shares!D399</f>
        <v/>
      </c>
      <c r="AD399" s="243">
        <f>IF($Z399="",0,Shares!E399)</f>
        <v>0</v>
      </c>
      <c r="AE399" s="266">
        <f>IF($Z399="",0,Shares!J399*Shares!I399)</f>
        <v>0</v>
      </c>
      <c r="AF399" s="267">
        <f t="shared" si="43"/>
        <v>0</v>
      </c>
      <c r="AG399" s="266">
        <f>IF($Z399="",0,Shares!L399)</f>
        <v>0</v>
      </c>
      <c r="AH399" s="267">
        <f>IF($Z399="",0,Shares!M399)</f>
        <v>0</v>
      </c>
      <c r="AI399" s="243" t="str">
        <f>IF($Z399="","",RANK(AE399,$AE$2:$AE$1001)+COUNTIF($AE$2:AE399,AE399)-1)</f>
        <v/>
      </c>
      <c r="AJ399" s="243" t="str">
        <f>IF($AD399&lt;0,COUNT($AJ$1:AJ398)+1,"")</f>
        <v/>
      </c>
      <c r="AL399" s="243" t="str">
        <f>'All Ticker P&amp;L'!A399</f>
        <v/>
      </c>
      <c r="AM399" s="243" t="str">
        <f>'All Ticker P&amp;L'!B399</f>
        <v/>
      </c>
      <c r="AN399" s="243" t="str">
        <f>'All Ticker P&amp;L'!C399</f>
        <v/>
      </c>
      <c r="AO399" s="243" t="str">
        <f>'All Ticker P&amp;L'!D399</f>
        <v/>
      </c>
      <c r="AP399" s="243">
        <f>IF($AL399="",0,'All Ticker P&amp;L'!E399)</f>
        <v>0</v>
      </c>
      <c r="AQ399" s="266">
        <f>IF($AL399="",0,'All Ticker P&amp;L'!J399*'All Ticker P&amp;L'!I399)</f>
        <v>0</v>
      </c>
      <c r="AR399" s="266">
        <f>IF($AL399="",0,'All Ticker P&amp;L'!L399)</f>
        <v>0</v>
      </c>
      <c r="AS399" s="267">
        <f>IF($AL399="",0,'All Ticker P&amp;L'!M399)</f>
        <v>0</v>
      </c>
      <c r="AT399" s="243" t="str">
        <f>IF($AL399="","",RANK(AR399,$AR$2:$AR$1001)+COUNTIF($AR$2:AR399,AR399)-1)</f>
        <v/>
      </c>
      <c r="AU399" s="243" t="str">
        <f>IF($AL399="","",RANK(AV399,$AV$2:$AV$1001)+COUNTIF($AV$2:AV399,AV399)-1)</f>
        <v/>
      </c>
      <c r="AV399" s="266">
        <f t="shared" si="44"/>
        <v>0</v>
      </c>
    </row>
    <row r="400" spans="26:48" ht="15" customHeight="1" x14ac:dyDescent="0.2">
      <c r="Z400" s="243" t="str">
        <f>Shares!A400</f>
        <v/>
      </c>
      <c r="AA400" s="243" t="str">
        <f>Shares!B400</f>
        <v/>
      </c>
      <c r="AB400" s="243" t="str">
        <f>Shares!C400</f>
        <v/>
      </c>
      <c r="AC400" s="243" t="str">
        <f>Shares!D400</f>
        <v/>
      </c>
      <c r="AD400" s="243">
        <f>IF($Z400="",0,Shares!E400)</f>
        <v>0</v>
      </c>
      <c r="AE400" s="266">
        <f>IF($Z400="",0,Shares!J400*Shares!I400)</f>
        <v>0</v>
      </c>
      <c r="AF400" s="267">
        <f t="shared" si="43"/>
        <v>0</v>
      </c>
      <c r="AG400" s="266">
        <f>IF($Z400="",0,Shares!L400)</f>
        <v>0</v>
      </c>
      <c r="AH400" s="267">
        <f>IF($Z400="",0,Shares!M400)</f>
        <v>0</v>
      </c>
      <c r="AI400" s="243" t="str">
        <f>IF($Z400="","",RANK(AE400,$AE$2:$AE$1001)+COUNTIF($AE$2:AE400,AE400)-1)</f>
        <v/>
      </c>
      <c r="AJ400" s="243" t="str">
        <f>IF($AD400&lt;0,COUNT($AJ$1:AJ399)+1,"")</f>
        <v/>
      </c>
      <c r="AL400" s="243" t="str">
        <f>'All Ticker P&amp;L'!A400</f>
        <v/>
      </c>
      <c r="AM400" s="243" t="str">
        <f>'All Ticker P&amp;L'!B400</f>
        <v/>
      </c>
      <c r="AN400" s="243" t="str">
        <f>'All Ticker P&amp;L'!C400</f>
        <v/>
      </c>
      <c r="AO400" s="243" t="str">
        <f>'All Ticker P&amp;L'!D400</f>
        <v/>
      </c>
      <c r="AP400" s="243">
        <f>IF($AL400="",0,'All Ticker P&amp;L'!E400)</f>
        <v>0</v>
      </c>
      <c r="AQ400" s="266">
        <f>IF($AL400="",0,'All Ticker P&amp;L'!J400*'All Ticker P&amp;L'!I400)</f>
        <v>0</v>
      </c>
      <c r="AR400" s="266">
        <f>IF($AL400="",0,'All Ticker P&amp;L'!L400)</f>
        <v>0</v>
      </c>
      <c r="AS400" s="267">
        <f>IF($AL400="",0,'All Ticker P&amp;L'!M400)</f>
        <v>0</v>
      </c>
      <c r="AT400" s="243" t="str">
        <f>IF($AL400="","",RANK(AR400,$AR$2:$AR$1001)+COUNTIF($AR$2:AR400,AR400)-1)</f>
        <v/>
      </c>
      <c r="AU400" s="243" t="str">
        <f>IF($AL400="","",RANK(AV400,$AV$2:$AV$1001)+COUNTIF($AV$2:AV400,AV400)-1)</f>
        <v/>
      </c>
      <c r="AV400" s="266">
        <f t="shared" si="44"/>
        <v>0</v>
      </c>
    </row>
    <row r="401" spans="26:48" ht="15" customHeight="1" x14ac:dyDescent="0.2">
      <c r="Z401" s="243" t="str">
        <f>Shares!A401</f>
        <v/>
      </c>
      <c r="AA401" s="243" t="str">
        <f>Shares!B401</f>
        <v/>
      </c>
      <c r="AB401" s="243" t="str">
        <f>Shares!C401</f>
        <v/>
      </c>
      <c r="AC401" s="243" t="str">
        <f>Shares!D401</f>
        <v/>
      </c>
      <c r="AD401" s="243">
        <f>IF($Z401="",0,Shares!E401)</f>
        <v>0</v>
      </c>
      <c r="AE401" s="266">
        <f>IF($Z401="",0,Shares!J401*Shares!I401)</f>
        <v>0</v>
      </c>
      <c r="AF401" s="267">
        <f t="shared" si="43"/>
        <v>0</v>
      </c>
      <c r="AG401" s="266">
        <f>IF($Z401="",0,Shares!L401)</f>
        <v>0</v>
      </c>
      <c r="AH401" s="267">
        <f>IF($Z401="",0,Shares!M401)</f>
        <v>0</v>
      </c>
      <c r="AI401" s="243" t="str">
        <f>IF($Z401="","",RANK(AE401,$AE$2:$AE$1001)+COUNTIF($AE$2:AE401,AE401)-1)</f>
        <v/>
      </c>
      <c r="AJ401" s="243" t="str">
        <f>IF($AD401&lt;0,COUNT($AJ$1:AJ400)+1,"")</f>
        <v/>
      </c>
      <c r="AL401" s="243" t="str">
        <f>'All Ticker P&amp;L'!A401</f>
        <v/>
      </c>
      <c r="AM401" s="243" t="str">
        <f>'All Ticker P&amp;L'!B401</f>
        <v/>
      </c>
      <c r="AN401" s="243" t="str">
        <f>'All Ticker P&amp;L'!C401</f>
        <v/>
      </c>
      <c r="AO401" s="243" t="str">
        <f>'All Ticker P&amp;L'!D401</f>
        <v/>
      </c>
      <c r="AP401" s="243">
        <f>IF($AL401="",0,'All Ticker P&amp;L'!E401)</f>
        <v>0</v>
      </c>
      <c r="AQ401" s="266">
        <f>IF($AL401="",0,'All Ticker P&amp;L'!J401*'All Ticker P&amp;L'!I401)</f>
        <v>0</v>
      </c>
      <c r="AR401" s="266">
        <f>IF($AL401="",0,'All Ticker P&amp;L'!L401)</f>
        <v>0</v>
      </c>
      <c r="AS401" s="267">
        <f>IF($AL401="",0,'All Ticker P&amp;L'!M401)</f>
        <v>0</v>
      </c>
      <c r="AT401" s="243" t="str">
        <f>IF($AL401="","",RANK(AR401,$AR$2:$AR$1001)+COUNTIF($AR$2:AR401,AR401)-1)</f>
        <v/>
      </c>
      <c r="AU401" s="243" t="str">
        <f>IF($AL401="","",RANK(AV401,$AV$2:$AV$1001)+COUNTIF($AV$2:AV401,AV401)-1)</f>
        <v/>
      </c>
      <c r="AV401" s="266">
        <f t="shared" si="44"/>
        <v>0</v>
      </c>
    </row>
    <row r="402" spans="26:48" ht="15" customHeight="1" x14ac:dyDescent="0.2">
      <c r="Z402" s="243" t="str">
        <f>Shares!A402</f>
        <v/>
      </c>
      <c r="AA402" s="243" t="str">
        <f>Shares!B402</f>
        <v/>
      </c>
      <c r="AB402" s="243" t="str">
        <f>Shares!C402</f>
        <v/>
      </c>
      <c r="AC402" s="243" t="str">
        <f>Shares!D402</f>
        <v/>
      </c>
      <c r="AD402" s="243">
        <f>IF($Z402="",0,Shares!E402)</f>
        <v>0</v>
      </c>
      <c r="AE402" s="266">
        <f>IF($Z402="",0,Shares!J402*Shares!I402)</f>
        <v>0</v>
      </c>
      <c r="AF402" s="267">
        <f t="shared" si="43"/>
        <v>0</v>
      </c>
      <c r="AG402" s="266">
        <f>IF($Z402="",0,Shares!L402)</f>
        <v>0</v>
      </c>
      <c r="AH402" s="267">
        <f>IF($Z402="",0,Shares!M402)</f>
        <v>0</v>
      </c>
      <c r="AI402" s="243" t="str">
        <f>IF($Z402="","",RANK(AE402,$AE$2:$AE$1001)+COUNTIF($AE$2:AE402,AE402)-1)</f>
        <v/>
      </c>
      <c r="AJ402" s="243" t="str">
        <f>IF($AD402&lt;0,COUNT($AJ$1:AJ401)+1,"")</f>
        <v/>
      </c>
      <c r="AL402" s="243" t="str">
        <f>'All Ticker P&amp;L'!A402</f>
        <v/>
      </c>
      <c r="AM402" s="243" t="str">
        <f>'All Ticker P&amp;L'!B402</f>
        <v/>
      </c>
      <c r="AN402" s="243" t="str">
        <f>'All Ticker P&amp;L'!C402</f>
        <v/>
      </c>
      <c r="AO402" s="243" t="str">
        <f>'All Ticker P&amp;L'!D402</f>
        <v/>
      </c>
      <c r="AP402" s="243">
        <f>IF($AL402="",0,'All Ticker P&amp;L'!E402)</f>
        <v>0</v>
      </c>
      <c r="AQ402" s="266">
        <f>IF($AL402="",0,'All Ticker P&amp;L'!J402*'All Ticker P&amp;L'!I402)</f>
        <v>0</v>
      </c>
      <c r="AR402" s="266">
        <f>IF($AL402="",0,'All Ticker P&amp;L'!L402)</f>
        <v>0</v>
      </c>
      <c r="AS402" s="267">
        <f>IF($AL402="",0,'All Ticker P&amp;L'!M402)</f>
        <v>0</v>
      </c>
      <c r="AT402" s="243" t="str">
        <f>IF($AL402="","",RANK(AR402,$AR$2:$AR$1001)+COUNTIF($AR$2:AR402,AR402)-1)</f>
        <v/>
      </c>
      <c r="AU402" s="243" t="str">
        <f>IF($AL402="","",RANK(AV402,$AV$2:$AV$1001)+COUNTIF($AV$2:AV402,AV402)-1)</f>
        <v/>
      </c>
      <c r="AV402" s="266">
        <f t="shared" si="44"/>
        <v>0</v>
      </c>
    </row>
    <row r="403" spans="26:48" ht="15" customHeight="1" x14ac:dyDescent="0.2">
      <c r="Z403" s="243" t="str">
        <f>Shares!A403</f>
        <v/>
      </c>
      <c r="AA403" s="243" t="str">
        <f>Shares!B403</f>
        <v/>
      </c>
      <c r="AB403" s="243" t="str">
        <f>Shares!C403</f>
        <v/>
      </c>
      <c r="AC403" s="243" t="str">
        <f>Shares!D403</f>
        <v/>
      </c>
      <c r="AD403" s="243">
        <f>IF($Z403="",0,Shares!E403)</f>
        <v>0</v>
      </c>
      <c r="AE403" s="266">
        <f>IF($Z403="",0,Shares!J403*Shares!I403)</f>
        <v>0</v>
      </c>
      <c r="AF403" s="267">
        <f t="shared" si="43"/>
        <v>0</v>
      </c>
      <c r="AG403" s="266">
        <f>IF($Z403="",0,Shares!L403)</f>
        <v>0</v>
      </c>
      <c r="AH403" s="267">
        <f>IF($Z403="",0,Shares!M403)</f>
        <v>0</v>
      </c>
      <c r="AI403" s="243" t="str">
        <f>IF($Z403="","",RANK(AE403,$AE$2:$AE$1001)+COUNTIF($AE$2:AE403,AE403)-1)</f>
        <v/>
      </c>
      <c r="AJ403" s="243" t="str">
        <f>IF($AD403&lt;0,COUNT($AJ$1:AJ402)+1,"")</f>
        <v/>
      </c>
      <c r="AL403" s="243" t="str">
        <f>'All Ticker P&amp;L'!A403</f>
        <v/>
      </c>
      <c r="AM403" s="243" t="str">
        <f>'All Ticker P&amp;L'!B403</f>
        <v/>
      </c>
      <c r="AN403" s="243" t="str">
        <f>'All Ticker P&amp;L'!C403</f>
        <v/>
      </c>
      <c r="AO403" s="243" t="str">
        <f>'All Ticker P&amp;L'!D403</f>
        <v/>
      </c>
      <c r="AP403" s="243">
        <f>IF($AL403="",0,'All Ticker P&amp;L'!E403)</f>
        <v>0</v>
      </c>
      <c r="AQ403" s="266">
        <f>IF($AL403="",0,'All Ticker P&amp;L'!J403*'All Ticker P&amp;L'!I403)</f>
        <v>0</v>
      </c>
      <c r="AR403" s="266">
        <f>IF($AL403="",0,'All Ticker P&amp;L'!L403)</f>
        <v>0</v>
      </c>
      <c r="AS403" s="267">
        <f>IF($AL403="",0,'All Ticker P&amp;L'!M403)</f>
        <v>0</v>
      </c>
      <c r="AT403" s="243" t="str">
        <f>IF($AL403="","",RANK(AR403,$AR$2:$AR$1001)+COUNTIF($AR$2:AR403,AR403)-1)</f>
        <v/>
      </c>
      <c r="AU403" s="243" t="str">
        <f>IF($AL403="","",RANK(AV403,$AV$2:$AV$1001)+COUNTIF($AV$2:AV403,AV403)-1)</f>
        <v/>
      </c>
      <c r="AV403" s="266">
        <f t="shared" si="44"/>
        <v>0</v>
      </c>
    </row>
    <row r="404" spans="26:48" ht="15" customHeight="1" x14ac:dyDescent="0.2">
      <c r="Z404" s="243" t="str">
        <f>Shares!A404</f>
        <v/>
      </c>
      <c r="AA404" s="243" t="str">
        <f>Shares!B404</f>
        <v/>
      </c>
      <c r="AB404" s="243" t="str">
        <f>Shares!C404</f>
        <v/>
      </c>
      <c r="AC404" s="243" t="str">
        <f>Shares!D404</f>
        <v/>
      </c>
      <c r="AD404" s="243">
        <f>IF($Z404="",0,Shares!E404)</f>
        <v>0</v>
      </c>
      <c r="AE404" s="266">
        <f>IF($Z404="",0,Shares!J404*Shares!I404)</f>
        <v>0</v>
      </c>
      <c r="AF404" s="267">
        <f t="shared" si="43"/>
        <v>0</v>
      </c>
      <c r="AG404" s="266">
        <f>IF($Z404="",0,Shares!L404)</f>
        <v>0</v>
      </c>
      <c r="AH404" s="267">
        <f>IF($Z404="",0,Shares!M404)</f>
        <v>0</v>
      </c>
      <c r="AI404" s="243" t="str">
        <f>IF($Z404="","",RANK(AE404,$AE$2:$AE$1001)+COUNTIF($AE$2:AE404,AE404)-1)</f>
        <v/>
      </c>
      <c r="AJ404" s="243" t="str">
        <f>IF($AD404&lt;0,COUNT($AJ$1:AJ403)+1,"")</f>
        <v/>
      </c>
      <c r="AL404" s="243" t="str">
        <f>'All Ticker P&amp;L'!A404</f>
        <v/>
      </c>
      <c r="AM404" s="243" t="str">
        <f>'All Ticker P&amp;L'!B404</f>
        <v/>
      </c>
      <c r="AN404" s="243" t="str">
        <f>'All Ticker P&amp;L'!C404</f>
        <v/>
      </c>
      <c r="AO404" s="243" t="str">
        <f>'All Ticker P&amp;L'!D404</f>
        <v/>
      </c>
      <c r="AP404" s="243">
        <f>IF($AL404="",0,'All Ticker P&amp;L'!E404)</f>
        <v>0</v>
      </c>
      <c r="AQ404" s="266">
        <f>IF($AL404="",0,'All Ticker P&amp;L'!J404*'All Ticker P&amp;L'!I404)</f>
        <v>0</v>
      </c>
      <c r="AR404" s="266">
        <f>IF($AL404="",0,'All Ticker P&amp;L'!L404)</f>
        <v>0</v>
      </c>
      <c r="AS404" s="267">
        <f>IF($AL404="",0,'All Ticker P&amp;L'!M404)</f>
        <v>0</v>
      </c>
      <c r="AT404" s="243" t="str">
        <f>IF($AL404="","",RANK(AR404,$AR$2:$AR$1001)+COUNTIF($AR$2:AR404,AR404)-1)</f>
        <v/>
      </c>
      <c r="AU404" s="243" t="str">
        <f>IF($AL404="","",RANK(AV404,$AV$2:$AV$1001)+COUNTIF($AV$2:AV404,AV404)-1)</f>
        <v/>
      </c>
      <c r="AV404" s="266">
        <f t="shared" si="44"/>
        <v>0</v>
      </c>
    </row>
    <row r="405" spans="26:48" ht="15" customHeight="1" x14ac:dyDescent="0.2">
      <c r="Z405" s="243" t="str">
        <f>Shares!A405</f>
        <v/>
      </c>
      <c r="AA405" s="243" t="str">
        <f>Shares!B405</f>
        <v/>
      </c>
      <c r="AB405" s="243" t="str">
        <f>Shares!C405</f>
        <v/>
      </c>
      <c r="AC405" s="243" t="str">
        <f>Shares!D405</f>
        <v/>
      </c>
      <c r="AD405" s="243">
        <f>IF($Z405="",0,Shares!E405)</f>
        <v>0</v>
      </c>
      <c r="AE405" s="266">
        <f>IF($Z405="",0,Shares!J405*Shares!I405)</f>
        <v>0</v>
      </c>
      <c r="AF405" s="267">
        <f t="shared" si="43"/>
        <v>0</v>
      </c>
      <c r="AG405" s="266">
        <f>IF($Z405="",0,Shares!L405)</f>
        <v>0</v>
      </c>
      <c r="AH405" s="267">
        <f>IF($Z405="",0,Shares!M405)</f>
        <v>0</v>
      </c>
      <c r="AI405" s="243" t="str">
        <f>IF($Z405="","",RANK(AE405,$AE$2:$AE$1001)+COUNTIF($AE$2:AE405,AE405)-1)</f>
        <v/>
      </c>
      <c r="AJ405" s="243" t="str">
        <f>IF($AD405&lt;0,COUNT($AJ$1:AJ404)+1,"")</f>
        <v/>
      </c>
      <c r="AL405" s="243" t="str">
        <f>'All Ticker P&amp;L'!A405</f>
        <v/>
      </c>
      <c r="AM405" s="243" t="str">
        <f>'All Ticker P&amp;L'!B405</f>
        <v/>
      </c>
      <c r="AN405" s="243" t="str">
        <f>'All Ticker P&amp;L'!C405</f>
        <v/>
      </c>
      <c r="AO405" s="243" t="str">
        <f>'All Ticker P&amp;L'!D405</f>
        <v/>
      </c>
      <c r="AP405" s="243">
        <f>IF($AL405="",0,'All Ticker P&amp;L'!E405)</f>
        <v>0</v>
      </c>
      <c r="AQ405" s="266">
        <f>IF($AL405="",0,'All Ticker P&amp;L'!J405*'All Ticker P&amp;L'!I405)</f>
        <v>0</v>
      </c>
      <c r="AR405" s="266">
        <f>IF($AL405="",0,'All Ticker P&amp;L'!L405)</f>
        <v>0</v>
      </c>
      <c r="AS405" s="267">
        <f>IF($AL405="",0,'All Ticker P&amp;L'!M405)</f>
        <v>0</v>
      </c>
      <c r="AT405" s="243" t="str">
        <f>IF($AL405="","",RANK(AR405,$AR$2:$AR$1001)+COUNTIF($AR$2:AR405,AR405)-1)</f>
        <v/>
      </c>
      <c r="AU405" s="243" t="str">
        <f>IF($AL405="","",RANK(AV405,$AV$2:$AV$1001)+COUNTIF($AV$2:AV405,AV405)-1)</f>
        <v/>
      </c>
      <c r="AV405" s="266">
        <f t="shared" si="44"/>
        <v>0</v>
      </c>
    </row>
    <row r="406" spans="26:48" ht="15" customHeight="1" x14ac:dyDescent="0.2">
      <c r="Z406" s="243" t="str">
        <f>Shares!A406</f>
        <v/>
      </c>
      <c r="AA406" s="243" t="str">
        <f>Shares!B406</f>
        <v/>
      </c>
      <c r="AB406" s="243" t="str">
        <f>Shares!C406</f>
        <v/>
      </c>
      <c r="AC406" s="243" t="str">
        <f>Shares!D406</f>
        <v/>
      </c>
      <c r="AD406" s="243">
        <f>IF($Z406="",0,Shares!E406)</f>
        <v>0</v>
      </c>
      <c r="AE406" s="266">
        <f>IF($Z406="",0,Shares!J406*Shares!I406)</f>
        <v>0</v>
      </c>
      <c r="AF406" s="267">
        <f t="shared" si="43"/>
        <v>0</v>
      </c>
      <c r="AG406" s="266">
        <f>IF($Z406="",0,Shares!L406)</f>
        <v>0</v>
      </c>
      <c r="AH406" s="267">
        <f>IF($Z406="",0,Shares!M406)</f>
        <v>0</v>
      </c>
      <c r="AI406" s="243" t="str">
        <f>IF($Z406="","",RANK(AE406,$AE$2:$AE$1001)+COUNTIF($AE$2:AE406,AE406)-1)</f>
        <v/>
      </c>
      <c r="AJ406" s="243" t="str">
        <f>IF($AD406&lt;0,COUNT($AJ$1:AJ405)+1,"")</f>
        <v/>
      </c>
      <c r="AL406" s="243" t="str">
        <f>'All Ticker P&amp;L'!A406</f>
        <v/>
      </c>
      <c r="AM406" s="243" t="str">
        <f>'All Ticker P&amp;L'!B406</f>
        <v/>
      </c>
      <c r="AN406" s="243" t="str">
        <f>'All Ticker P&amp;L'!C406</f>
        <v/>
      </c>
      <c r="AO406" s="243" t="str">
        <f>'All Ticker P&amp;L'!D406</f>
        <v/>
      </c>
      <c r="AP406" s="243">
        <f>IF($AL406="",0,'All Ticker P&amp;L'!E406)</f>
        <v>0</v>
      </c>
      <c r="AQ406" s="266">
        <f>IF($AL406="",0,'All Ticker P&amp;L'!J406*'All Ticker P&amp;L'!I406)</f>
        <v>0</v>
      </c>
      <c r="AR406" s="266">
        <f>IF($AL406="",0,'All Ticker P&amp;L'!L406)</f>
        <v>0</v>
      </c>
      <c r="AS406" s="267">
        <f>IF($AL406="",0,'All Ticker P&amp;L'!M406)</f>
        <v>0</v>
      </c>
      <c r="AT406" s="243" t="str">
        <f>IF($AL406="","",RANK(AR406,$AR$2:$AR$1001)+COUNTIF($AR$2:AR406,AR406)-1)</f>
        <v/>
      </c>
      <c r="AU406" s="243" t="str">
        <f>IF($AL406="","",RANK(AV406,$AV$2:$AV$1001)+COUNTIF($AV$2:AV406,AV406)-1)</f>
        <v/>
      </c>
      <c r="AV406" s="266">
        <f t="shared" si="44"/>
        <v>0</v>
      </c>
    </row>
    <row r="407" spans="26:48" ht="15" customHeight="1" x14ac:dyDescent="0.2">
      <c r="Z407" s="243" t="str">
        <f>Shares!A407</f>
        <v/>
      </c>
      <c r="AA407" s="243" t="str">
        <f>Shares!B407</f>
        <v/>
      </c>
      <c r="AB407" s="243" t="str">
        <f>Shares!C407</f>
        <v/>
      </c>
      <c r="AC407" s="243" t="str">
        <f>Shares!D407</f>
        <v/>
      </c>
      <c r="AD407" s="243">
        <f>IF($Z407="",0,Shares!E407)</f>
        <v>0</v>
      </c>
      <c r="AE407" s="266">
        <f>IF($Z407="",0,Shares!J407*Shares!I407)</f>
        <v>0</v>
      </c>
      <c r="AF407" s="267">
        <f t="shared" si="43"/>
        <v>0</v>
      </c>
      <c r="AG407" s="266">
        <f>IF($Z407="",0,Shares!L407)</f>
        <v>0</v>
      </c>
      <c r="AH407" s="267">
        <f>IF($Z407="",0,Shares!M407)</f>
        <v>0</v>
      </c>
      <c r="AI407" s="243" t="str">
        <f>IF($Z407="","",RANK(AE407,$AE$2:$AE$1001)+COUNTIF($AE$2:AE407,AE407)-1)</f>
        <v/>
      </c>
      <c r="AJ407" s="243" t="str">
        <f>IF($AD407&lt;0,COUNT($AJ$1:AJ406)+1,"")</f>
        <v/>
      </c>
      <c r="AL407" s="243" t="str">
        <f>'All Ticker P&amp;L'!A407</f>
        <v/>
      </c>
      <c r="AM407" s="243" t="str">
        <f>'All Ticker P&amp;L'!B407</f>
        <v/>
      </c>
      <c r="AN407" s="243" t="str">
        <f>'All Ticker P&amp;L'!C407</f>
        <v/>
      </c>
      <c r="AO407" s="243" t="str">
        <f>'All Ticker P&amp;L'!D407</f>
        <v/>
      </c>
      <c r="AP407" s="243">
        <f>IF($AL407="",0,'All Ticker P&amp;L'!E407)</f>
        <v>0</v>
      </c>
      <c r="AQ407" s="266">
        <f>IF($AL407="",0,'All Ticker P&amp;L'!J407*'All Ticker P&amp;L'!I407)</f>
        <v>0</v>
      </c>
      <c r="AR407" s="266">
        <f>IF($AL407="",0,'All Ticker P&amp;L'!L407)</f>
        <v>0</v>
      </c>
      <c r="AS407" s="267">
        <f>IF($AL407="",0,'All Ticker P&amp;L'!M407)</f>
        <v>0</v>
      </c>
      <c r="AT407" s="243" t="str">
        <f>IF($AL407="","",RANK(AR407,$AR$2:$AR$1001)+COUNTIF($AR$2:AR407,AR407)-1)</f>
        <v/>
      </c>
      <c r="AU407" s="243" t="str">
        <f>IF($AL407="","",RANK(AV407,$AV$2:$AV$1001)+COUNTIF($AV$2:AV407,AV407)-1)</f>
        <v/>
      </c>
      <c r="AV407" s="266">
        <f t="shared" si="44"/>
        <v>0</v>
      </c>
    </row>
    <row r="408" spans="26:48" ht="15" customHeight="1" x14ac:dyDescent="0.2">
      <c r="Z408" s="243" t="str">
        <f>Shares!A408</f>
        <v/>
      </c>
      <c r="AA408" s="243" t="str">
        <f>Shares!B408</f>
        <v/>
      </c>
      <c r="AB408" s="243" t="str">
        <f>Shares!C408</f>
        <v/>
      </c>
      <c r="AC408" s="243" t="str">
        <f>Shares!D408</f>
        <v/>
      </c>
      <c r="AD408" s="243">
        <f>IF($Z408="",0,Shares!E408)</f>
        <v>0</v>
      </c>
      <c r="AE408" s="266">
        <f>IF($Z408="",0,Shares!J408*Shares!I408)</f>
        <v>0</v>
      </c>
      <c r="AF408" s="267">
        <f t="shared" si="43"/>
        <v>0</v>
      </c>
      <c r="AG408" s="266">
        <f>IF($Z408="",0,Shares!L408)</f>
        <v>0</v>
      </c>
      <c r="AH408" s="267">
        <f>IF($Z408="",0,Shares!M408)</f>
        <v>0</v>
      </c>
      <c r="AI408" s="243" t="str">
        <f>IF($Z408="","",RANK(AE408,$AE$2:$AE$1001)+COUNTIF($AE$2:AE408,AE408)-1)</f>
        <v/>
      </c>
      <c r="AJ408" s="243" t="str">
        <f>IF($AD408&lt;0,COUNT($AJ$1:AJ407)+1,"")</f>
        <v/>
      </c>
      <c r="AL408" s="243" t="str">
        <f>'All Ticker P&amp;L'!A408</f>
        <v/>
      </c>
      <c r="AM408" s="243" t="str">
        <f>'All Ticker P&amp;L'!B408</f>
        <v/>
      </c>
      <c r="AN408" s="243" t="str">
        <f>'All Ticker P&amp;L'!C408</f>
        <v/>
      </c>
      <c r="AO408" s="243" t="str">
        <f>'All Ticker P&amp;L'!D408</f>
        <v/>
      </c>
      <c r="AP408" s="243">
        <f>IF($AL408="",0,'All Ticker P&amp;L'!E408)</f>
        <v>0</v>
      </c>
      <c r="AQ408" s="266">
        <f>IF($AL408="",0,'All Ticker P&amp;L'!J408*'All Ticker P&amp;L'!I408)</f>
        <v>0</v>
      </c>
      <c r="AR408" s="266">
        <f>IF($AL408="",0,'All Ticker P&amp;L'!L408)</f>
        <v>0</v>
      </c>
      <c r="AS408" s="267">
        <f>IF($AL408="",0,'All Ticker P&amp;L'!M408)</f>
        <v>0</v>
      </c>
      <c r="AT408" s="243" t="str">
        <f>IF($AL408="","",RANK(AR408,$AR$2:$AR$1001)+COUNTIF($AR$2:AR408,AR408)-1)</f>
        <v/>
      </c>
      <c r="AU408" s="243" t="str">
        <f>IF($AL408="","",RANK(AV408,$AV$2:$AV$1001)+COUNTIF($AV$2:AV408,AV408)-1)</f>
        <v/>
      </c>
      <c r="AV408" s="266">
        <f t="shared" si="44"/>
        <v>0</v>
      </c>
    </row>
    <row r="409" spans="26:48" ht="15" customHeight="1" x14ac:dyDescent="0.2">
      <c r="Z409" s="243" t="str">
        <f>Shares!A409</f>
        <v/>
      </c>
      <c r="AA409" s="243" t="str">
        <f>Shares!B409</f>
        <v/>
      </c>
      <c r="AB409" s="243" t="str">
        <f>Shares!C409</f>
        <v/>
      </c>
      <c r="AC409" s="243" t="str">
        <f>Shares!D409</f>
        <v/>
      </c>
      <c r="AD409" s="243">
        <f>IF($Z409="",0,Shares!E409)</f>
        <v>0</v>
      </c>
      <c r="AE409" s="266">
        <f>IF($Z409="",0,Shares!J409*Shares!I409)</f>
        <v>0</v>
      </c>
      <c r="AF409" s="267">
        <f t="shared" si="43"/>
        <v>0</v>
      </c>
      <c r="AG409" s="266">
        <f>IF($Z409="",0,Shares!L409)</f>
        <v>0</v>
      </c>
      <c r="AH409" s="267">
        <f>IF($Z409="",0,Shares!M409)</f>
        <v>0</v>
      </c>
      <c r="AI409" s="243" t="str">
        <f>IF($Z409="","",RANK(AE409,$AE$2:$AE$1001)+COUNTIF($AE$2:AE409,AE409)-1)</f>
        <v/>
      </c>
      <c r="AJ409" s="243" t="str">
        <f>IF($AD409&lt;0,COUNT($AJ$1:AJ408)+1,"")</f>
        <v/>
      </c>
      <c r="AL409" s="243" t="str">
        <f>'All Ticker P&amp;L'!A409</f>
        <v/>
      </c>
      <c r="AM409" s="243" t="str">
        <f>'All Ticker P&amp;L'!B409</f>
        <v/>
      </c>
      <c r="AN409" s="243" t="str">
        <f>'All Ticker P&amp;L'!C409</f>
        <v/>
      </c>
      <c r="AO409" s="243" t="str">
        <f>'All Ticker P&amp;L'!D409</f>
        <v/>
      </c>
      <c r="AP409" s="243">
        <f>IF($AL409="",0,'All Ticker P&amp;L'!E409)</f>
        <v>0</v>
      </c>
      <c r="AQ409" s="266">
        <f>IF($AL409="",0,'All Ticker P&amp;L'!J409*'All Ticker P&amp;L'!I409)</f>
        <v>0</v>
      </c>
      <c r="AR409" s="266">
        <f>IF($AL409="",0,'All Ticker P&amp;L'!L409)</f>
        <v>0</v>
      </c>
      <c r="AS409" s="267">
        <f>IF($AL409="",0,'All Ticker P&amp;L'!M409)</f>
        <v>0</v>
      </c>
      <c r="AT409" s="243" t="str">
        <f>IF($AL409="","",RANK(AR409,$AR$2:$AR$1001)+COUNTIF($AR$2:AR409,AR409)-1)</f>
        <v/>
      </c>
      <c r="AU409" s="243" t="str">
        <f>IF($AL409="","",RANK(AV409,$AV$2:$AV$1001)+COUNTIF($AV$2:AV409,AV409)-1)</f>
        <v/>
      </c>
      <c r="AV409" s="266">
        <f t="shared" si="44"/>
        <v>0</v>
      </c>
    </row>
    <row r="410" spans="26:48" ht="15" customHeight="1" x14ac:dyDescent="0.2">
      <c r="Z410" s="243" t="str">
        <f>Shares!A410</f>
        <v/>
      </c>
      <c r="AA410" s="243" t="str">
        <f>Shares!B410</f>
        <v/>
      </c>
      <c r="AB410" s="243" t="str">
        <f>Shares!C410</f>
        <v/>
      </c>
      <c r="AC410" s="243" t="str">
        <f>Shares!D410</f>
        <v/>
      </c>
      <c r="AD410" s="243">
        <f>IF($Z410="",0,Shares!E410)</f>
        <v>0</v>
      </c>
      <c r="AE410" s="266">
        <f>IF($Z410="",0,Shares!J410*Shares!I410)</f>
        <v>0</v>
      </c>
      <c r="AF410" s="267">
        <f t="shared" si="43"/>
        <v>0</v>
      </c>
      <c r="AG410" s="266">
        <f>IF($Z410="",0,Shares!L410)</f>
        <v>0</v>
      </c>
      <c r="AH410" s="267">
        <f>IF($Z410="",0,Shares!M410)</f>
        <v>0</v>
      </c>
      <c r="AI410" s="243" t="str">
        <f>IF($Z410="","",RANK(AE410,$AE$2:$AE$1001)+COUNTIF($AE$2:AE410,AE410)-1)</f>
        <v/>
      </c>
      <c r="AJ410" s="243" t="str">
        <f>IF($AD410&lt;0,COUNT($AJ$1:AJ409)+1,"")</f>
        <v/>
      </c>
      <c r="AL410" s="243" t="str">
        <f>'All Ticker P&amp;L'!A410</f>
        <v/>
      </c>
      <c r="AM410" s="243" t="str">
        <f>'All Ticker P&amp;L'!B410</f>
        <v/>
      </c>
      <c r="AN410" s="243" t="str">
        <f>'All Ticker P&amp;L'!C410</f>
        <v/>
      </c>
      <c r="AO410" s="243" t="str">
        <f>'All Ticker P&amp;L'!D410</f>
        <v/>
      </c>
      <c r="AP410" s="243">
        <f>IF($AL410="",0,'All Ticker P&amp;L'!E410)</f>
        <v>0</v>
      </c>
      <c r="AQ410" s="266">
        <f>IF($AL410="",0,'All Ticker P&amp;L'!J410*'All Ticker P&amp;L'!I410)</f>
        <v>0</v>
      </c>
      <c r="AR410" s="266">
        <f>IF($AL410="",0,'All Ticker P&amp;L'!L410)</f>
        <v>0</v>
      </c>
      <c r="AS410" s="267">
        <f>IF($AL410="",0,'All Ticker P&amp;L'!M410)</f>
        <v>0</v>
      </c>
      <c r="AT410" s="243" t="str">
        <f>IF($AL410="","",RANK(AR410,$AR$2:$AR$1001)+COUNTIF($AR$2:AR410,AR410)-1)</f>
        <v/>
      </c>
      <c r="AU410" s="243" t="str">
        <f>IF($AL410="","",RANK(AV410,$AV$2:$AV$1001)+COUNTIF($AV$2:AV410,AV410)-1)</f>
        <v/>
      </c>
      <c r="AV410" s="266">
        <f t="shared" si="44"/>
        <v>0</v>
      </c>
    </row>
    <row r="411" spans="26:48" ht="15" customHeight="1" x14ac:dyDescent="0.2">
      <c r="Z411" s="243" t="str">
        <f>Shares!A411</f>
        <v/>
      </c>
      <c r="AA411" s="243" t="str">
        <f>Shares!B411</f>
        <v/>
      </c>
      <c r="AB411" s="243" t="str">
        <f>Shares!C411</f>
        <v/>
      </c>
      <c r="AC411" s="243" t="str">
        <f>Shares!D411</f>
        <v/>
      </c>
      <c r="AD411" s="243">
        <f>IF($Z411="",0,Shares!E411)</f>
        <v>0</v>
      </c>
      <c r="AE411" s="266">
        <f>IF($Z411="",0,Shares!J411*Shares!I411)</f>
        <v>0</v>
      </c>
      <c r="AF411" s="267">
        <f t="shared" si="43"/>
        <v>0</v>
      </c>
      <c r="AG411" s="266">
        <f>IF($Z411="",0,Shares!L411)</f>
        <v>0</v>
      </c>
      <c r="AH411" s="267">
        <f>IF($Z411="",0,Shares!M411)</f>
        <v>0</v>
      </c>
      <c r="AI411" s="243" t="str">
        <f>IF($Z411="","",RANK(AE411,$AE$2:$AE$1001)+COUNTIF($AE$2:AE411,AE411)-1)</f>
        <v/>
      </c>
      <c r="AJ411" s="243" t="str">
        <f>IF($AD411&lt;0,COUNT($AJ$1:AJ410)+1,"")</f>
        <v/>
      </c>
      <c r="AL411" s="243" t="str">
        <f>'All Ticker P&amp;L'!A411</f>
        <v/>
      </c>
      <c r="AM411" s="243" t="str">
        <f>'All Ticker P&amp;L'!B411</f>
        <v/>
      </c>
      <c r="AN411" s="243" t="str">
        <f>'All Ticker P&amp;L'!C411</f>
        <v/>
      </c>
      <c r="AO411" s="243" t="str">
        <f>'All Ticker P&amp;L'!D411</f>
        <v/>
      </c>
      <c r="AP411" s="243">
        <f>IF($AL411="",0,'All Ticker P&amp;L'!E411)</f>
        <v>0</v>
      </c>
      <c r="AQ411" s="266">
        <f>IF($AL411="",0,'All Ticker P&amp;L'!J411*'All Ticker P&amp;L'!I411)</f>
        <v>0</v>
      </c>
      <c r="AR411" s="266">
        <f>IF($AL411="",0,'All Ticker P&amp;L'!L411)</f>
        <v>0</v>
      </c>
      <c r="AS411" s="267">
        <f>IF($AL411="",0,'All Ticker P&amp;L'!M411)</f>
        <v>0</v>
      </c>
      <c r="AT411" s="243" t="str">
        <f>IF($AL411="","",RANK(AR411,$AR$2:$AR$1001)+COUNTIF($AR$2:AR411,AR411)-1)</f>
        <v/>
      </c>
      <c r="AU411" s="243" t="str">
        <f>IF($AL411="","",RANK(AV411,$AV$2:$AV$1001)+COUNTIF($AV$2:AV411,AV411)-1)</f>
        <v/>
      </c>
      <c r="AV411" s="266">
        <f t="shared" si="44"/>
        <v>0</v>
      </c>
    </row>
    <row r="412" spans="26:48" ht="15" customHeight="1" x14ac:dyDescent="0.2">
      <c r="Z412" s="243" t="str">
        <f>Shares!A412</f>
        <v/>
      </c>
      <c r="AA412" s="243" t="str">
        <f>Shares!B412</f>
        <v/>
      </c>
      <c r="AB412" s="243" t="str">
        <f>Shares!C412</f>
        <v/>
      </c>
      <c r="AC412" s="243" t="str">
        <f>Shares!D412</f>
        <v/>
      </c>
      <c r="AD412" s="243">
        <f>IF($Z412="",0,Shares!E412)</f>
        <v>0</v>
      </c>
      <c r="AE412" s="266">
        <f>IF($Z412="",0,Shares!J412*Shares!I412)</f>
        <v>0</v>
      </c>
      <c r="AF412" s="267">
        <f t="shared" si="43"/>
        <v>0</v>
      </c>
      <c r="AG412" s="266">
        <f>IF($Z412="",0,Shares!L412)</f>
        <v>0</v>
      </c>
      <c r="AH412" s="267">
        <f>IF($Z412="",0,Shares!M412)</f>
        <v>0</v>
      </c>
      <c r="AI412" s="243" t="str">
        <f>IF($Z412="","",RANK(AE412,$AE$2:$AE$1001)+COUNTIF($AE$2:AE412,AE412)-1)</f>
        <v/>
      </c>
      <c r="AJ412" s="243" t="str">
        <f>IF($AD412&lt;0,COUNT($AJ$1:AJ411)+1,"")</f>
        <v/>
      </c>
      <c r="AL412" s="243" t="str">
        <f>'All Ticker P&amp;L'!A412</f>
        <v/>
      </c>
      <c r="AM412" s="243" t="str">
        <f>'All Ticker P&amp;L'!B412</f>
        <v/>
      </c>
      <c r="AN412" s="243" t="str">
        <f>'All Ticker P&amp;L'!C412</f>
        <v/>
      </c>
      <c r="AO412" s="243" t="str">
        <f>'All Ticker P&amp;L'!D412</f>
        <v/>
      </c>
      <c r="AP412" s="243">
        <f>IF($AL412="",0,'All Ticker P&amp;L'!E412)</f>
        <v>0</v>
      </c>
      <c r="AQ412" s="266">
        <f>IF($AL412="",0,'All Ticker P&amp;L'!J412*'All Ticker P&amp;L'!I412)</f>
        <v>0</v>
      </c>
      <c r="AR412" s="266">
        <f>IF($AL412="",0,'All Ticker P&amp;L'!L412)</f>
        <v>0</v>
      </c>
      <c r="AS412" s="267">
        <f>IF($AL412="",0,'All Ticker P&amp;L'!M412)</f>
        <v>0</v>
      </c>
      <c r="AT412" s="243" t="str">
        <f>IF($AL412="","",RANK(AR412,$AR$2:$AR$1001)+COUNTIF($AR$2:AR412,AR412)-1)</f>
        <v/>
      </c>
      <c r="AU412" s="243" t="str">
        <f>IF($AL412="","",RANK(AV412,$AV$2:$AV$1001)+COUNTIF($AV$2:AV412,AV412)-1)</f>
        <v/>
      </c>
      <c r="AV412" s="266">
        <f t="shared" si="44"/>
        <v>0</v>
      </c>
    </row>
    <row r="413" spans="26:48" ht="15" customHeight="1" x14ac:dyDescent="0.2">
      <c r="Z413" s="243" t="str">
        <f>Shares!A413</f>
        <v/>
      </c>
      <c r="AA413" s="243" t="str">
        <f>Shares!B413</f>
        <v/>
      </c>
      <c r="AB413" s="243" t="str">
        <f>Shares!C413</f>
        <v/>
      </c>
      <c r="AC413" s="243" t="str">
        <f>Shares!D413</f>
        <v/>
      </c>
      <c r="AD413" s="243">
        <f>IF($Z413="",0,Shares!E413)</f>
        <v>0</v>
      </c>
      <c r="AE413" s="266">
        <f>IF($Z413="",0,Shares!J413*Shares!I413)</f>
        <v>0</v>
      </c>
      <c r="AF413" s="267">
        <f t="shared" si="43"/>
        <v>0</v>
      </c>
      <c r="AG413" s="266">
        <f>IF($Z413="",0,Shares!L413)</f>
        <v>0</v>
      </c>
      <c r="AH413" s="267">
        <f>IF($Z413="",0,Shares!M413)</f>
        <v>0</v>
      </c>
      <c r="AI413" s="243" t="str">
        <f>IF($Z413="","",RANK(AE413,$AE$2:$AE$1001)+COUNTIF($AE$2:AE413,AE413)-1)</f>
        <v/>
      </c>
      <c r="AJ413" s="243" t="str">
        <f>IF($AD413&lt;0,COUNT($AJ$1:AJ412)+1,"")</f>
        <v/>
      </c>
      <c r="AL413" s="243" t="str">
        <f>'All Ticker P&amp;L'!A413</f>
        <v/>
      </c>
      <c r="AM413" s="243" t="str">
        <f>'All Ticker P&amp;L'!B413</f>
        <v/>
      </c>
      <c r="AN413" s="243" t="str">
        <f>'All Ticker P&amp;L'!C413</f>
        <v/>
      </c>
      <c r="AO413" s="243" t="str">
        <f>'All Ticker P&amp;L'!D413</f>
        <v/>
      </c>
      <c r="AP413" s="243">
        <f>IF($AL413="",0,'All Ticker P&amp;L'!E413)</f>
        <v>0</v>
      </c>
      <c r="AQ413" s="266">
        <f>IF($AL413="",0,'All Ticker P&amp;L'!J413*'All Ticker P&amp;L'!I413)</f>
        <v>0</v>
      </c>
      <c r="AR413" s="266">
        <f>IF($AL413="",0,'All Ticker P&amp;L'!L413)</f>
        <v>0</v>
      </c>
      <c r="AS413" s="267">
        <f>IF($AL413="",0,'All Ticker P&amp;L'!M413)</f>
        <v>0</v>
      </c>
      <c r="AT413" s="243" t="str">
        <f>IF($AL413="","",RANK(AR413,$AR$2:$AR$1001)+COUNTIF($AR$2:AR413,AR413)-1)</f>
        <v/>
      </c>
      <c r="AU413" s="243" t="str">
        <f>IF($AL413="","",RANK(AV413,$AV$2:$AV$1001)+COUNTIF($AV$2:AV413,AV413)-1)</f>
        <v/>
      </c>
      <c r="AV413" s="266">
        <f t="shared" si="44"/>
        <v>0</v>
      </c>
    </row>
    <row r="414" spans="26:48" ht="15" customHeight="1" x14ac:dyDescent="0.2">
      <c r="Z414" s="243" t="str">
        <f>Shares!A414</f>
        <v/>
      </c>
      <c r="AA414" s="243" t="str">
        <f>Shares!B414</f>
        <v/>
      </c>
      <c r="AB414" s="243" t="str">
        <f>Shares!C414</f>
        <v/>
      </c>
      <c r="AC414" s="243" t="str">
        <f>Shares!D414</f>
        <v/>
      </c>
      <c r="AD414" s="243">
        <f>IF($Z414="",0,Shares!E414)</f>
        <v>0</v>
      </c>
      <c r="AE414" s="266">
        <f>IF($Z414="",0,Shares!J414*Shares!I414)</f>
        <v>0</v>
      </c>
      <c r="AF414" s="267">
        <f t="shared" si="43"/>
        <v>0</v>
      </c>
      <c r="AG414" s="266">
        <f>IF($Z414="",0,Shares!L414)</f>
        <v>0</v>
      </c>
      <c r="AH414" s="267">
        <f>IF($Z414="",0,Shares!M414)</f>
        <v>0</v>
      </c>
      <c r="AI414" s="243" t="str">
        <f>IF($Z414="","",RANK(AE414,$AE$2:$AE$1001)+COUNTIF($AE$2:AE414,AE414)-1)</f>
        <v/>
      </c>
      <c r="AJ414" s="243" t="str">
        <f>IF($AD414&lt;0,COUNT($AJ$1:AJ413)+1,"")</f>
        <v/>
      </c>
      <c r="AL414" s="243" t="str">
        <f>'All Ticker P&amp;L'!A414</f>
        <v/>
      </c>
      <c r="AM414" s="243" t="str">
        <f>'All Ticker P&amp;L'!B414</f>
        <v/>
      </c>
      <c r="AN414" s="243" t="str">
        <f>'All Ticker P&amp;L'!C414</f>
        <v/>
      </c>
      <c r="AO414" s="243" t="str">
        <f>'All Ticker P&amp;L'!D414</f>
        <v/>
      </c>
      <c r="AP414" s="243">
        <f>IF($AL414="",0,'All Ticker P&amp;L'!E414)</f>
        <v>0</v>
      </c>
      <c r="AQ414" s="266">
        <f>IF($AL414="",0,'All Ticker P&amp;L'!J414*'All Ticker P&amp;L'!I414)</f>
        <v>0</v>
      </c>
      <c r="AR414" s="266">
        <f>IF($AL414="",0,'All Ticker P&amp;L'!L414)</f>
        <v>0</v>
      </c>
      <c r="AS414" s="267">
        <f>IF($AL414="",0,'All Ticker P&amp;L'!M414)</f>
        <v>0</v>
      </c>
      <c r="AT414" s="243" t="str">
        <f>IF($AL414="","",RANK(AR414,$AR$2:$AR$1001)+COUNTIF($AR$2:AR414,AR414)-1)</f>
        <v/>
      </c>
      <c r="AU414" s="243" t="str">
        <f>IF($AL414="","",RANK(AV414,$AV$2:$AV$1001)+COUNTIF($AV$2:AV414,AV414)-1)</f>
        <v/>
      </c>
      <c r="AV414" s="266">
        <f t="shared" si="44"/>
        <v>0</v>
      </c>
    </row>
    <row r="415" spans="26:48" ht="15" customHeight="1" x14ac:dyDescent="0.2">
      <c r="Z415" s="243" t="str">
        <f>Shares!A415</f>
        <v/>
      </c>
      <c r="AA415" s="243" t="str">
        <f>Shares!B415</f>
        <v/>
      </c>
      <c r="AB415" s="243" t="str">
        <f>Shares!C415</f>
        <v/>
      </c>
      <c r="AC415" s="243" t="str">
        <f>Shares!D415</f>
        <v/>
      </c>
      <c r="AD415" s="243">
        <f>IF($Z415="",0,Shares!E415)</f>
        <v>0</v>
      </c>
      <c r="AE415" s="266">
        <f>IF($Z415="",0,Shares!J415*Shares!I415)</f>
        <v>0</v>
      </c>
      <c r="AF415" s="267">
        <f t="shared" si="43"/>
        <v>0</v>
      </c>
      <c r="AG415" s="266">
        <f>IF($Z415="",0,Shares!L415)</f>
        <v>0</v>
      </c>
      <c r="AH415" s="267">
        <f>IF($Z415="",0,Shares!M415)</f>
        <v>0</v>
      </c>
      <c r="AI415" s="243" t="str">
        <f>IF($Z415="","",RANK(AE415,$AE$2:$AE$1001)+COUNTIF($AE$2:AE415,AE415)-1)</f>
        <v/>
      </c>
      <c r="AJ415" s="243" t="str">
        <f>IF($AD415&lt;0,COUNT($AJ$1:AJ414)+1,"")</f>
        <v/>
      </c>
      <c r="AL415" s="243" t="str">
        <f>'All Ticker P&amp;L'!A415</f>
        <v/>
      </c>
      <c r="AM415" s="243" t="str">
        <f>'All Ticker P&amp;L'!B415</f>
        <v/>
      </c>
      <c r="AN415" s="243" t="str">
        <f>'All Ticker P&amp;L'!C415</f>
        <v/>
      </c>
      <c r="AO415" s="243" t="str">
        <f>'All Ticker P&amp;L'!D415</f>
        <v/>
      </c>
      <c r="AP415" s="243">
        <f>IF($AL415="",0,'All Ticker P&amp;L'!E415)</f>
        <v>0</v>
      </c>
      <c r="AQ415" s="266">
        <f>IF($AL415="",0,'All Ticker P&amp;L'!J415*'All Ticker P&amp;L'!I415)</f>
        <v>0</v>
      </c>
      <c r="AR415" s="266">
        <f>IF($AL415="",0,'All Ticker P&amp;L'!L415)</f>
        <v>0</v>
      </c>
      <c r="AS415" s="267">
        <f>IF($AL415="",0,'All Ticker P&amp;L'!M415)</f>
        <v>0</v>
      </c>
      <c r="AT415" s="243" t="str">
        <f>IF($AL415="","",RANK(AR415,$AR$2:$AR$1001)+COUNTIF($AR$2:AR415,AR415)-1)</f>
        <v/>
      </c>
      <c r="AU415" s="243" t="str">
        <f>IF($AL415="","",RANK(AV415,$AV$2:$AV$1001)+COUNTIF($AV$2:AV415,AV415)-1)</f>
        <v/>
      </c>
      <c r="AV415" s="266">
        <f t="shared" si="44"/>
        <v>0</v>
      </c>
    </row>
    <row r="416" spans="26:48" ht="15" customHeight="1" x14ac:dyDescent="0.2">
      <c r="Z416" s="243" t="str">
        <f>Shares!A416</f>
        <v/>
      </c>
      <c r="AA416" s="243" t="str">
        <f>Shares!B416</f>
        <v/>
      </c>
      <c r="AB416" s="243" t="str">
        <f>Shares!C416</f>
        <v/>
      </c>
      <c r="AC416" s="243" t="str">
        <f>Shares!D416</f>
        <v/>
      </c>
      <c r="AD416" s="243">
        <f>IF($Z416="",0,Shares!E416)</f>
        <v>0</v>
      </c>
      <c r="AE416" s="266">
        <f>IF($Z416="",0,Shares!J416*Shares!I416)</f>
        <v>0</v>
      </c>
      <c r="AF416" s="267">
        <f t="shared" si="43"/>
        <v>0</v>
      </c>
      <c r="AG416" s="266">
        <f>IF($Z416="",0,Shares!L416)</f>
        <v>0</v>
      </c>
      <c r="AH416" s="267">
        <f>IF($Z416="",0,Shares!M416)</f>
        <v>0</v>
      </c>
      <c r="AI416" s="243" t="str">
        <f>IF($Z416="","",RANK(AE416,$AE$2:$AE$1001)+COUNTIF($AE$2:AE416,AE416)-1)</f>
        <v/>
      </c>
      <c r="AJ416" s="243" t="str">
        <f>IF($AD416&lt;0,COUNT($AJ$1:AJ415)+1,"")</f>
        <v/>
      </c>
      <c r="AL416" s="243" t="str">
        <f>'All Ticker P&amp;L'!A416</f>
        <v/>
      </c>
      <c r="AM416" s="243" t="str">
        <f>'All Ticker P&amp;L'!B416</f>
        <v/>
      </c>
      <c r="AN416" s="243" t="str">
        <f>'All Ticker P&amp;L'!C416</f>
        <v/>
      </c>
      <c r="AO416" s="243" t="str">
        <f>'All Ticker P&amp;L'!D416</f>
        <v/>
      </c>
      <c r="AP416" s="243">
        <f>IF($AL416="",0,'All Ticker P&amp;L'!E416)</f>
        <v>0</v>
      </c>
      <c r="AQ416" s="266">
        <f>IF($AL416="",0,'All Ticker P&amp;L'!J416*'All Ticker P&amp;L'!I416)</f>
        <v>0</v>
      </c>
      <c r="AR416" s="266">
        <f>IF($AL416="",0,'All Ticker P&amp;L'!L416)</f>
        <v>0</v>
      </c>
      <c r="AS416" s="267">
        <f>IF($AL416="",0,'All Ticker P&amp;L'!M416)</f>
        <v>0</v>
      </c>
      <c r="AT416" s="243" t="str">
        <f>IF($AL416="","",RANK(AR416,$AR$2:$AR$1001)+COUNTIF($AR$2:AR416,AR416)-1)</f>
        <v/>
      </c>
      <c r="AU416" s="243" t="str">
        <f>IF($AL416="","",RANK(AV416,$AV$2:$AV$1001)+COUNTIF($AV$2:AV416,AV416)-1)</f>
        <v/>
      </c>
      <c r="AV416" s="266">
        <f t="shared" si="44"/>
        <v>0</v>
      </c>
    </row>
    <row r="417" spans="26:48" ht="15" customHeight="1" x14ac:dyDescent="0.2">
      <c r="Z417" s="243" t="str">
        <f>Shares!A417</f>
        <v/>
      </c>
      <c r="AA417" s="243" t="str">
        <f>Shares!B417</f>
        <v/>
      </c>
      <c r="AB417" s="243" t="str">
        <f>Shares!C417</f>
        <v/>
      </c>
      <c r="AC417" s="243" t="str">
        <f>Shares!D417</f>
        <v/>
      </c>
      <c r="AD417" s="243">
        <f>IF($Z417="",0,Shares!E417)</f>
        <v>0</v>
      </c>
      <c r="AE417" s="266">
        <f>IF($Z417="",0,Shares!J417*Shares!I417)</f>
        <v>0</v>
      </c>
      <c r="AF417" s="267">
        <f t="shared" si="43"/>
        <v>0</v>
      </c>
      <c r="AG417" s="266">
        <f>IF($Z417="",0,Shares!L417)</f>
        <v>0</v>
      </c>
      <c r="AH417" s="267">
        <f>IF($Z417="",0,Shares!M417)</f>
        <v>0</v>
      </c>
      <c r="AI417" s="243" t="str">
        <f>IF($Z417="","",RANK(AE417,$AE$2:$AE$1001)+COUNTIF($AE$2:AE417,AE417)-1)</f>
        <v/>
      </c>
      <c r="AJ417" s="243" t="str">
        <f>IF($AD417&lt;0,COUNT($AJ$1:AJ416)+1,"")</f>
        <v/>
      </c>
      <c r="AL417" s="243" t="str">
        <f>'All Ticker P&amp;L'!A417</f>
        <v/>
      </c>
      <c r="AM417" s="243" t="str">
        <f>'All Ticker P&amp;L'!B417</f>
        <v/>
      </c>
      <c r="AN417" s="243" t="str">
        <f>'All Ticker P&amp;L'!C417</f>
        <v/>
      </c>
      <c r="AO417" s="243" t="str">
        <f>'All Ticker P&amp;L'!D417</f>
        <v/>
      </c>
      <c r="AP417" s="243">
        <f>IF($AL417="",0,'All Ticker P&amp;L'!E417)</f>
        <v>0</v>
      </c>
      <c r="AQ417" s="266">
        <f>IF($AL417="",0,'All Ticker P&amp;L'!J417*'All Ticker P&amp;L'!I417)</f>
        <v>0</v>
      </c>
      <c r="AR417" s="266">
        <f>IF($AL417="",0,'All Ticker P&amp;L'!L417)</f>
        <v>0</v>
      </c>
      <c r="AS417" s="267">
        <f>IF($AL417="",0,'All Ticker P&amp;L'!M417)</f>
        <v>0</v>
      </c>
      <c r="AT417" s="243" t="str">
        <f>IF($AL417="","",RANK(AR417,$AR$2:$AR$1001)+COUNTIF($AR$2:AR417,AR417)-1)</f>
        <v/>
      </c>
      <c r="AU417" s="243" t="str">
        <f>IF($AL417="","",RANK(AV417,$AV$2:$AV$1001)+COUNTIF($AV$2:AV417,AV417)-1)</f>
        <v/>
      </c>
      <c r="AV417" s="266">
        <f t="shared" si="44"/>
        <v>0</v>
      </c>
    </row>
    <row r="418" spans="26:48" ht="15" customHeight="1" x14ac:dyDescent="0.2">
      <c r="Z418" s="243" t="str">
        <f>Shares!A418</f>
        <v/>
      </c>
      <c r="AA418" s="243" t="str">
        <f>Shares!B418</f>
        <v/>
      </c>
      <c r="AB418" s="243" t="str">
        <f>Shares!C418</f>
        <v/>
      </c>
      <c r="AC418" s="243" t="str">
        <f>Shares!D418</f>
        <v/>
      </c>
      <c r="AD418" s="243">
        <f>IF($Z418="",0,Shares!E418)</f>
        <v>0</v>
      </c>
      <c r="AE418" s="266">
        <f>IF($Z418="",0,Shares!J418*Shares!I418)</f>
        <v>0</v>
      </c>
      <c r="AF418" s="267">
        <f t="shared" si="43"/>
        <v>0</v>
      </c>
      <c r="AG418" s="266">
        <f>IF($Z418="",0,Shares!L418)</f>
        <v>0</v>
      </c>
      <c r="AH418" s="267">
        <f>IF($Z418="",0,Shares!M418)</f>
        <v>0</v>
      </c>
      <c r="AI418" s="243" t="str">
        <f>IF($Z418="","",RANK(AE418,$AE$2:$AE$1001)+COUNTIF($AE$2:AE418,AE418)-1)</f>
        <v/>
      </c>
      <c r="AJ418" s="243" t="str">
        <f>IF($AD418&lt;0,COUNT($AJ$1:AJ417)+1,"")</f>
        <v/>
      </c>
      <c r="AL418" s="243" t="str">
        <f>'All Ticker P&amp;L'!A418</f>
        <v/>
      </c>
      <c r="AM418" s="243" t="str">
        <f>'All Ticker P&amp;L'!B418</f>
        <v/>
      </c>
      <c r="AN418" s="243" t="str">
        <f>'All Ticker P&amp;L'!C418</f>
        <v/>
      </c>
      <c r="AO418" s="243" t="str">
        <f>'All Ticker P&amp;L'!D418</f>
        <v/>
      </c>
      <c r="AP418" s="243">
        <f>IF($AL418="",0,'All Ticker P&amp;L'!E418)</f>
        <v>0</v>
      </c>
      <c r="AQ418" s="266">
        <f>IF($AL418="",0,'All Ticker P&amp;L'!J418*'All Ticker P&amp;L'!I418)</f>
        <v>0</v>
      </c>
      <c r="AR418" s="266">
        <f>IF($AL418="",0,'All Ticker P&amp;L'!L418)</f>
        <v>0</v>
      </c>
      <c r="AS418" s="267">
        <f>IF($AL418="",0,'All Ticker P&amp;L'!M418)</f>
        <v>0</v>
      </c>
      <c r="AT418" s="243" t="str">
        <f>IF($AL418="","",RANK(AR418,$AR$2:$AR$1001)+COUNTIF($AR$2:AR418,AR418)-1)</f>
        <v/>
      </c>
      <c r="AU418" s="243" t="str">
        <f>IF($AL418="","",RANK(AV418,$AV$2:$AV$1001)+COUNTIF($AV$2:AV418,AV418)-1)</f>
        <v/>
      </c>
      <c r="AV418" s="266">
        <f t="shared" si="44"/>
        <v>0</v>
      </c>
    </row>
    <row r="419" spans="26:48" ht="15" customHeight="1" x14ac:dyDescent="0.2">
      <c r="Z419" s="243" t="str">
        <f>Shares!A419</f>
        <v/>
      </c>
      <c r="AA419" s="243" t="str">
        <f>Shares!B419</f>
        <v/>
      </c>
      <c r="AB419" s="243" t="str">
        <f>Shares!C419</f>
        <v/>
      </c>
      <c r="AC419" s="243" t="str">
        <f>Shares!D419</f>
        <v/>
      </c>
      <c r="AD419" s="243">
        <f>IF($Z419="",0,Shares!E419)</f>
        <v>0</v>
      </c>
      <c r="AE419" s="266">
        <f>IF($Z419="",0,Shares!J419*Shares!I419)</f>
        <v>0</v>
      </c>
      <c r="AF419" s="267">
        <f t="shared" si="43"/>
        <v>0</v>
      </c>
      <c r="AG419" s="266">
        <f>IF($Z419="",0,Shares!L419)</f>
        <v>0</v>
      </c>
      <c r="AH419" s="267">
        <f>IF($Z419="",0,Shares!M419)</f>
        <v>0</v>
      </c>
      <c r="AI419" s="243" t="str">
        <f>IF($Z419="","",RANK(AE419,$AE$2:$AE$1001)+COUNTIF($AE$2:AE419,AE419)-1)</f>
        <v/>
      </c>
      <c r="AJ419" s="243" t="str">
        <f>IF($AD419&lt;0,COUNT($AJ$1:AJ418)+1,"")</f>
        <v/>
      </c>
      <c r="AL419" s="243" t="str">
        <f>'All Ticker P&amp;L'!A419</f>
        <v/>
      </c>
      <c r="AM419" s="243" t="str">
        <f>'All Ticker P&amp;L'!B419</f>
        <v/>
      </c>
      <c r="AN419" s="243" t="str">
        <f>'All Ticker P&amp;L'!C419</f>
        <v/>
      </c>
      <c r="AO419" s="243" t="str">
        <f>'All Ticker P&amp;L'!D419</f>
        <v/>
      </c>
      <c r="AP419" s="243">
        <f>IF($AL419="",0,'All Ticker P&amp;L'!E419)</f>
        <v>0</v>
      </c>
      <c r="AQ419" s="266">
        <f>IF($AL419="",0,'All Ticker P&amp;L'!J419*'All Ticker P&amp;L'!I419)</f>
        <v>0</v>
      </c>
      <c r="AR419" s="266">
        <f>IF($AL419="",0,'All Ticker P&amp;L'!L419)</f>
        <v>0</v>
      </c>
      <c r="AS419" s="267">
        <f>IF($AL419="",0,'All Ticker P&amp;L'!M419)</f>
        <v>0</v>
      </c>
      <c r="AT419" s="243" t="str">
        <f>IF($AL419="","",RANK(AR419,$AR$2:$AR$1001)+COUNTIF($AR$2:AR419,AR419)-1)</f>
        <v/>
      </c>
      <c r="AU419" s="243" t="str">
        <f>IF($AL419="","",RANK(AV419,$AV$2:$AV$1001)+COUNTIF($AV$2:AV419,AV419)-1)</f>
        <v/>
      </c>
      <c r="AV419" s="266">
        <f t="shared" si="44"/>
        <v>0</v>
      </c>
    </row>
    <row r="420" spans="26:48" ht="15" customHeight="1" x14ac:dyDescent="0.2">
      <c r="Z420" s="243" t="str">
        <f>Shares!A420</f>
        <v/>
      </c>
      <c r="AA420" s="243" t="str">
        <f>Shares!B420</f>
        <v/>
      </c>
      <c r="AB420" s="243" t="str">
        <f>Shares!C420</f>
        <v/>
      </c>
      <c r="AC420" s="243" t="str">
        <f>Shares!D420</f>
        <v/>
      </c>
      <c r="AD420" s="243">
        <f>IF($Z420="",0,Shares!E420)</f>
        <v>0</v>
      </c>
      <c r="AE420" s="266">
        <f>IF($Z420="",0,Shares!J420*Shares!I420)</f>
        <v>0</v>
      </c>
      <c r="AF420" s="267">
        <f t="shared" si="43"/>
        <v>0</v>
      </c>
      <c r="AG420" s="266">
        <f>IF($Z420="",0,Shares!L420)</f>
        <v>0</v>
      </c>
      <c r="AH420" s="267">
        <f>IF($Z420="",0,Shares!M420)</f>
        <v>0</v>
      </c>
      <c r="AI420" s="243" t="str">
        <f>IF($Z420="","",RANK(AE420,$AE$2:$AE$1001)+COUNTIF($AE$2:AE420,AE420)-1)</f>
        <v/>
      </c>
      <c r="AJ420" s="243" t="str">
        <f>IF($AD420&lt;0,COUNT($AJ$1:AJ419)+1,"")</f>
        <v/>
      </c>
      <c r="AL420" s="243" t="str">
        <f>'All Ticker P&amp;L'!A420</f>
        <v/>
      </c>
      <c r="AM420" s="243" t="str">
        <f>'All Ticker P&amp;L'!B420</f>
        <v/>
      </c>
      <c r="AN420" s="243" t="str">
        <f>'All Ticker P&amp;L'!C420</f>
        <v/>
      </c>
      <c r="AO420" s="243" t="str">
        <f>'All Ticker P&amp;L'!D420</f>
        <v/>
      </c>
      <c r="AP420" s="243">
        <f>IF($AL420="",0,'All Ticker P&amp;L'!E420)</f>
        <v>0</v>
      </c>
      <c r="AQ420" s="266">
        <f>IF($AL420="",0,'All Ticker P&amp;L'!J420*'All Ticker P&amp;L'!I420)</f>
        <v>0</v>
      </c>
      <c r="AR420" s="266">
        <f>IF($AL420="",0,'All Ticker P&amp;L'!L420)</f>
        <v>0</v>
      </c>
      <c r="AS420" s="267">
        <f>IF($AL420="",0,'All Ticker P&amp;L'!M420)</f>
        <v>0</v>
      </c>
      <c r="AT420" s="243" t="str">
        <f>IF($AL420="","",RANK(AR420,$AR$2:$AR$1001)+COUNTIF($AR$2:AR420,AR420)-1)</f>
        <v/>
      </c>
      <c r="AU420" s="243" t="str">
        <f>IF($AL420="","",RANK(AV420,$AV$2:$AV$1001)+COUNTIF($AV$2:AV420,AV420)-1)</f>
        <v/>
      </c>
      <c r="AV420" s="266">
        <f t="shared" si="44"/>
        <v>0</v>
      </c>
    </row>
    <row r="421" spans="26:48" ht="15" customHeight="1" x14ac:dyDescent="0.2">
      <c r="Z421" s="243" t="str">
        <f>Shares!A421</f>
        <v/>
      </c>
      <c r="AA421" s="243" t="str">
        <f>Shares!B421</f>
        <v/>
      </c>
      <c r="AB421" s="243" t="str">
        <f>Shares!C421</f>
        <v/>
      </c>
      <c r="AC421" s="243" t="str">
        <f>Shares!D421</f>
        <v/>
      </c>
      <c r="AD421" s="243">
        <f>IF($Z421="",0,Shares!E421)</f>
        <v>0</v>
      </c>
      <c r="AE421" s="266">
        <f>IF($Z421="",0,Shares!J421*Shares!I421)</f>
        <v>0</v>
      </c>
      <c r="AF421" s="267">
        <f t="shared" si="43"/>
        <v>0</v>
      </c>
      <c r="AG421" s="266">
        <f>IF($Z421="",0,Shares!L421)</f>
        <v>0</v>
      </c>
      <c r="AH421" s="267">
        <f>IF($Z421="",0,Shares!M421)</f>
        <v>0</v>
      </c>
      <c r="AI421" s="243" t="str">
        <f>IF($Z421="","",RANK(AE421,$AE$2:$AE$1001)+COUNTIF($AE$2:AE421,AE421)-1)</f>
        <v/>
      </c>
      <c r="AJ421" s="243" t="str">
        <f>IF($AD421&lt;0,COUNT($AJ$1:AJ420)+1,"")</f>
        <v/>
      </c>
      <c r="AL421" s="243" t="str">
        <f>'All Ticker P&amp;L'!A421</f>
        <v/>
      </c>
      <c r="AM421" s="243" t="str">
        <f>'All Ticker P&amp;L'!B421</f>
        <v/>
      </c>
      <c r="AN421" s="243" t="str">
        <f>'All Ticker P&amp;L'!C421</f>
        <v/>
      </c>
      <c r="AO421" s="243" t="str">
        <f>'All Ticker P&amp;L'!D421</f>
        <v/>
      </c>
      <c r="AP421" s="243">
        <f>IF($AL421="",0,'All Ticker P&amp;L'!E421)</f>
        <v>0</v>
      </c>
      <c r="AQ421" s="266">
        <f>IF($AL421="",0,'All Ticker P&amp;L'!J421*'All Ticker P&amp;L'!I421)</f>
        <v>0</v>
      </c>
      <c r="AR421" s="266">
        <f>IF($AL421="",0,'All Ticker P&amp;L'!L421)</f>
        <v>0</v>
      </c>
      <c r="AS421" s="267">
        <f>IF($AL421="",0,'All Ticker P&amp;L'!M421)</f>
        <v>0</v>
      </c>
      <c r="AT421" s="243" t="str">
        <f>IF($AL421="","",RANK(AR421,$AR$2:$AR$1001)+COUNTIF($AR$2:AR421,AR421)-1)</f>
        <v/>
      </c>
      <c r="AU421" s="243" t="str">
        <f>IF($AL421="","",RANK(AV421,$AV$2:$AV$1001)+COUNTIF($AV$2:AV421,AV421)-1)</f>
        <v/>
      </c>
      <c r="AV421" s="266">
        <f t="shared" si="44"/>
        <v>0</v>
      </c>
    </row>
    <row r="422" spans="26:48" ht="15" customHeight="1" x14ac:dyDescent="0.2">
      <c r="Z422" s="243" t="str">
        <f>Shares!A422</f>
        <v/>
      </c>
      <c r="AA422" s="243" t="str">
        <f>Shares!B422</f>
        <v/>
      </c>
      <c r="AB422" s="243" t="str">
        <f>Shares!C422</f>
        <v/>
      </c>
      <c r="AC422" s="243" t="str">
        <f>Shares!D422</f>
        <v/>
      </c>
      <c r="AD422" s="243">
        <f>IF($Z422="",0,Shares!E422)</f>
        <v>0</v>
      </c>
      <c r="AE422" s="266">
        <f>IF($Z422="",0,Shares!J422*Shares!I422)</f>
        <v>0</v>
      </c>
      <c r="AF422" s="267">
        <f t="shared" si="43"/>
        <v>0</v>
      </c>
      <c r="AG422" s="266">
        <f>IF($Z422="",0,Shares!L422)</f>
        <v>0</v>
      </c>
      <c r="AH422" s="267">
        <f>IF($Z422="",0,Shares!M422)</f>
        <v>0</v>
      </c>
      <c r="AI422" s="243" t="str">
        <f>IF($Z422="","",RANK(AE422,$AE$2:$AE$1001)+COUNTIF($AE$2:AE422,AE422)-1)</f>
        <v/>
      </c>
      <c r="AJ422" s="243" t="str">
        <f>IF($AD422&lt;0,COUNT($AJ$1:AJ421)+1,"")</f>
        <v/>
      </c>
      <c r="AL422" s="243" t="str">
        <f>'All Ticker P&amp;L'!A422</f>
        <v/>
      </c>
      <c r="AM422" s="243" t="str">
        <f>'All Ticker P&amp;L'!B422</f>
        <v/>
      </c>
      <c r="AN422" s="243" t="str">
        <f>'All Ticker P&amp;L'!C422</f>
        <v/>
      </c>
      <c r="AO422" s="243" t="str">
        <f>'All Ticker P&amp;L'!D422</f>
        <v/>
      </c>
      <c r="AP422" s="243">
        <f>IF($AL422="",0,'All Ticker P&amp;L'!E422)</f>
        <v>0</v>
      </c>
      <c r="AQ422" s="266">
        <f>IF($AL422="",0,'All Ticker P&amp;L'!J422*'All Ticker P&amp;L'!I422)</f>
        <v>0</v>
      </c>
      <c r="AR422" s="266">
        <f>IF($AL422="",0,'All Ticker P&amp;L'!L422)</f>
        <v>0</v>
      </c>
      <c r="AS422" s="267">
        <f>IF($AL422="",0,'All Ticker P&amp;L'!M422)</f>
        <v>0</v>
      </c>
      <c r="AT422" s="243" t="str">
        <f>IF($AL422="","",RANK(AR422,$AR$2:$AR$1001)+COUNTIF($AR$2:AR422,AR422)-1)</f>
        <v/>
      </c>
      <c r="AU422" s="243" t="str">
        <f>IF($AL422="","",RANK(AV422,$AV$2:$AV$1001)+COUNTIF($AV$2:AV422,AV422)-1)</f>
        <v/>
      </c>
      <c r="AV422" s="266">
        <f t="shared" si="44"/>
        <v>0</v>
      </c>
    </row>
    <row r="423" spans="26:48" ht="15" customHeight="1" x14ac:dyDescent="0.2">
      <c r="Z423" s="243" t="str">
        <f>Shares!A423</f>
        <v/>
      </c>
      <c r="AA423" s="243" t="str">
        <f>Shares!B423</f>
        <v/>
      </c>
      <c r="AB423" s="243" t="str">
        <f>Shares!C423</f>
        <v/>
      </c>
      <c r="AC423" s="243" t="str">
        <f>Shares!D423</f>
        <v/>
      </c>
      <c r="AD423" s="243">
        <f>IF($Z423="",0,Shares!E423)</f>
        <v>0</v>
      </c>
      <c r="AE423" s="266">
        <f>IF($Z423="",0,Shares!J423*Shares!I423)</f>
        <v>0</v>
      </c>
      <c r="AF423" s="267">
        <f t="shared" si="43"/>
        <v>0</v>
      </c>
      <c r="AG423" s="266">
        <f>IF($Z423="",0,Shares!L423)</f>
        <v>0</v>
      </c>
      <c r="AH423" s="267">
        <f>IF($Z423="",0,Shares!M423)</f>
        <v>0</v>
      </c>
      <c r="AI423" s="243" t="str">
        <f>IF($Z423="","",RANK(AE423,$AE$2:$AE$1001)+COUNTIF($AE$2:AE423,AE423)-1)</f>
        <v/>
      </c>
      <c r="AJ423" s="243" t="str">
        <f>IF($AD423&lt;0,COUNT($AJ$1:AJ422)+1,"")</f>
        <v/>
      </c>
      <c r="AL423" s="243" t="str">
        <f>'All Ticker P&amp;L'!A423</f>
        <v/>
      </c>
      <c r="AM423" s="243" t="str">
        <f>'All Ticker P&amp;L'!B423</f>
        <v/>
      </c>
      <c r="AN423" s="243" t="str">
        <f>'All Ticker P&amp;L'!C423</f>
        <v/>
      </c>
      <c r="AO423" s="243" t="str">
        <f>'All Ticker P&amp;L'!D423</f>
        <v/>
      </c>
      <c r="AP423" s="243">
        <f>IF($AL423="",0,'All Ticker P&amp;L'!E423)</f>
        <v>0</v>
      </c>
      <c r="AQ423" s="266">
        <f>IF($AL423="",0,'All Ticker P&amp;L'!J423*'All Ticker P&amp;L'!I423)</f>
        <v>0</v>
      </c>
      <c r="AR423" s="266">
        <f>IF($AL423="",0,'All Ticker P&amp;L'!L423)</f>
        <v>0</v>
      </c>
      <c r="AS423" s="267">
        <f>IF($AL423="",0,'All Ticker P&amp;L'!M423)</f>
        <v>0</v>
      </c>
      <c r="AT423" s="243" t="str">
        <f>IF($AL423="","",RANK(AR423,$AR$2:$AR$1001)+COUNTIF($AR$2:AR423,AR423)-1)</f>
        <v/>
      </c>
      <c r="AU423" s="243" t="str">
        <f>IF($AL423="","",RANK(AV423,$AV$2:$AV$1001)+COUNTIF($AV$2:AV423,AV423)-1)</f>
        <v/>
      </c>
      <c r="AV423" s="266">
        <f t="shared" si="44"/>
        <v>0</v>
      </c>
    </row>
    <row r="424" spans="26:48" ht="15" customHeight="1" x14ac:dyDescent="0.2">
      <c r="Z424" s="243" t="str">
        <f>Shares!A424</f>
        <v/>
      </c>
      <c r="AA424" s="243" t="str">
        <f>Shares!B424</f>
        <v/>
      </c>
      <c r="AB424" s="243" t="str">
        <f>Shares!C424</f>
        <v/>
      </c>
      <c r="AC424" s="243" t="str">
        <f>Shares!D424</f>
        <v/>
      </c>
      <c r="AD424" s="243">
        <f>IF($Z424="",0,Shares!E424)</f>
        <v>0</v>
      </c>
      <c r="AE424" s="266">
        <f>IF($Z424="",0,Shares!J424*Shares!I424)</f>
        <v>0</v>
      </c>
      <c r="AF424" s="267">
        <f t="shared" si="43"/>
        <v>0</v>
      </c>
      <c r="AG424" s="266">
        <f>IF($Z424="",0,Shares!L424)</f>
        <v>0</v>
      </c>
      <c r="AH424" s="267">
        <f>IF($Z424="",0,Shares!M424)</f>
        <v>0</v>
      </c>
      <c r="AI424" s="243" t="str">
        <f>IF($Z424="","",RANK(AE424,$AE$2:$AE$1001)+COUNTIF($AE$2:AE424,AE424)-1)</f>
        <v/>
      </c>
      <c r="AJ424" s="243" t="str">
        <f>IF($AD424&lt;0,COUNT($AJ$1:AJ423)+1,"")</f>
        <v/>
      </c>
      <c r="AL424" s="243" t="str">
        <f>'All Ticker P&amp;L'!A424</f>
        <v/>
      </c>
      <c r="AM424" s="243" t="str">
        <f>'All Ticker P&amp;L'!B424</f>
        <v/>
      </c>
      <c r="AN424" s="243" t="str">
        <f>'All Ticker P&amp;L'!C424</f>
        <v/>
      </c>
      <c r="AO424" s="243" t="str">
        <f>'All Ticker P&amp;L'!D424</f>
        <v/>
      </c>
      <c r="AP424" s="243">
        <f>IF($AL424="",0,'All Ticker P&amp;L'!E424)</f>
        <v>0</v>
      </c>
      <c r="AQ424" s="266">
        <f>IF($AL424="",0,'All Ticker P&amp;L'!J424*'All Ticker P&amp;L'!I424)</f>
        <v>0</v>
      </c>
      <c r="AR424" s="266">
        <f>IF($AL424="",0,'All Ticker P&amp;L'!L424)</f>
        <v>0</v>
      </c>
      <c r="AS424" s="267">
        <f>IF($AL424="",0,'All Ticker P&amp;L'!M424)</f>
        <v>0</v>
      </c>
      <c r="AT424" s="243" t="str">
        <f>IF($AL424="","",RANK(AR424,$AR$2:$AR$1001)+COUNTIF($AR$2:AR424,AR424)-1)</f>
        <v/>
      </c>
      <c r="AU424" s="243" t="str">
        <f>IF($AL424="","",RANK(AV424,$AV$2:$AV$1001)+COUNTIF($AV$2:AV424,AV424)-1)</f>
        <v/>
      </c>
      <c r="AV424" s="266">
        <f t="shared" si="44"/>
        <v>0</v>
      </c>
    </row>
    <row r="425" spans="26:48" ht="15" customHeight="1" x14ac:dyDescent="0.2">
      <c r="Z425" s="243" t="str">
        <f>Shares!A425</f>
        <v/>
      </c>
      <c r="AA425" s="243" t="str">
        <f>Shares!B425</f>
        <v/>
      </c>
      <c r="AB425" s="243" t="str">
        <f>Shares!C425</f>
        <v/>
      </c>
      <c r="AC425" s="243" t="str">
        <f>Shares!D425</f>
        <v/>
      </c>
      <c r="AD425" s="243">
        <f>IF($Z425="",0,Shares!E425)</f>
        <v>0</v>
      </c>
      <c r="AE425" s="266">
        <f>IF($Z425="",0,Shares!J425*Shares!I425)</f>
        <v>0</v>
      </c>
      <c r="AF425" s="267">
        <f t="shared" si="43"/>
        <v>0</v>
      </c>
      <c r="AG425" s="266">
        <f>IF($Z425="",0,Shares!L425)</f>
        <v>0</v>
      </c>
      <c r="AH425" s="267">
        <f>IF($Z425="",0,Shares!M425)</f>
        <v>0</v>
      </c>
      <c r="AI425" s="243" t="str">
        <f>IF($Z425="","",RANK(AE425,$AE$2:$AE$1001)+COUNTIF($AE$2:AE425,AE425)-1)</f>
        <v/>
      </c>
      <c r="AJ425" s="243" t="str">
        <f>IF($AD425&lt;0,COUNT($AJ$1:AJ424)+1,"")</f>
        <v/>
      </c>
      <c r="AL425" s="243" t="str">
        <f>'All Ticker P&amp;L'!A425</f>
        <v/>
      </c>
      <c r="AM425" s="243" t="str">
        <f>'All Ticker P&amp;L'!B425</f>
        <v/>
      </c>
      <c r="AN425" s="243" t="str">
        <f>'All Ticker P&amp;L'!C425</f>
        <v/>
      </c>
      <c r="AO425" s="243" t="str">
        <f>'All Ticker P&amp;L'!D425</f>
        <v/>
      </c>
      <c r="AP425" s="243">
        <f>IF($AL425="",0,'All Ticker P&amp;L'!E425)</f>
        <v>0</v>
      </c>
      <c r="AQ425" s="266">
        <f>IF($AL425="",0,'All Ticker P&amp;L'!J425*'All Ticker P&amp;L'!I425)</f>
        <v>0</v>
      </c>
      <c r="AR425" s="266">
        <f>IF($AL425="",0,'All Ticker P&amp;L'!L425)</f>
        <v>0</v>
      </c>
      <c r="AS425" s="267">
        <f>IF($AL425="",0,'All Ticker P&amp;L'!M425)</f>
        <v>0</v>
      </c>
      <c r="AT425" s="243" t="str">
        <f>IF($AL425="","",RANK(AR425,$AR$2:$AR$1001)+COUNTIF($AR$2:AR425,AR425)-1)</f>
        <v/>
      </c>
      <c r="AU425" s="243" t="str">
        <f>IF($AL425="","",RANK(AV425,$AV$2:$AV$1001)+COUNTIF($AV$2:AV425,AV425)-1)</f>
        <v/>
      </c>
      <c r="AV425" s="266">
        <f t="shared" si="44"/>
        <v>0</v>
      </c>
    </row>
    <row r="426" spans="26:48" ht="15" customHeight="1" x14ac:dyDescent="0.2">
      <c r="Z426" s="243" t="str">
        <f>Shares!A426</f>
        <v/>
      </c>
      <c r="AA426" s="243" t="str">
        <f>Shares!B426</f>
        <v/>
      </c>
      <c r="AB426" s="243" t="str">
        <f>Shares!C426</f>
        <v/>
      </c>
      <c r="AC426" s="243" t="str">
        <f>Shares!D426</f>
        <v/>
      </c>
      <c r="AD426" s="243">
        <f>IF($Z426="",0,Shares!E426)</f>
        <v>0</v>
      </c>
      <c r="AE426" s="266">
        <f>IF($Z426="",0,Shares!J426*Shares!I426)</f>
        <v>0</v>
      </c>
      <c r="AF426" s="267">
        <f t="shared" si="43"/>
        <v>0</v>
      </c>
      <c r="AG426" s="266">
        <f>IF($Z426="",0,Shares!L426)</f>
        <v>0</v>
      </c>
      <c r="AH426" s="267">
        <f>IF($Z426="",0,Shares!M426)</f>
        <v>0</v>
      </c>
      <c r="AI426" s="243" t="str">
        <f>IF($Z426="","",RANK(AE426,$AE$2:$AE$1001)+COUNTIF($AE$2:AE426,AE426)-1)</f>
        <v/>
      </c>
      <c r="AJ426" s="243" t="str">
        <f>IF($AD426&lt;0,COUNT($AJ$1:AJ425)+1,"")</f>
        <v/>
      </c>
      <c r="AL426" s="243" t="str">
        <f>'All Ticker P&amp;L'!A426</f>
        <v/>
      </c>
      <c r="AM426" s="243" t="str">
        <f>'All Ticker P&amp;L'!B426</f>
        <v/>
      </c>
      <c r="AN426" s="243" t="str">
        <f>'All Ticker P&amp;L'!C426</f>
        <v/>
      </c>
      <c r="AO426" s="243" t="str">
        <f>'All Ticker P&amp;L'!D426</f>
        <v/>
      </c>
      <c r="AP426" s="243">
        <f>IF($AL426="",0,'All Ticker P&amp;L'!E426)</f>
        <v>0</v>
      </c>
      <c r="AQ426" s="266">
        <f>IF($AL426="",0,'All Ticker P&amp;L'!J426*'All Ticker P&amp;L'!I426)</f>
        <v>0</v>
      </c>
      <c r="AR426" s="266">
        <f>IF($AL426="",0,'All Ticker P&amp;L'!L426)</f>
        <v>0</v>
      </c>
      <c r="AS426" s="267">
        <f>IF($AL426="",0,'All Ticker P&amp;L'!M426)</f>
        <v>0</v>
      </c>
      <c r="AT426" s="243" t="str">
        <f>IF($AL426="","",RANK(AR426,$AR$2:$AR$1001)+COUNTIF($AR$2:AR426,AR426)-1)</f>
        <v/>
      </c>
      <c r="AU426" s="243" t="str">
        <f>IF($AL426="","",RANK(AV426,$AV$2:$AV$1001)+COUNTIF($AV$2:AV426,AV426)-1)</f>
        <v/>
      </c>
      <c r="AV426" s="266">
        <f t="shared" si="44"/>
        <v>0</v>
      </c>
    </row>
    <row r="427" spans="26:48" ht="15" customHeight="1" x14ac:dyDescent="0.2">
      <c r="Z427" s="243" t="str">
        <f>Shares!A427</f>
        <v/>
      </c>
      <c r="AA427" s="243" t="str">
        <f>Shares!B427</f>
        <v/>
      </c>
      <c r="AB427" s="243" t="str">
        <f>Shares!C427</f>
        <v/>
      </c>
      <c r="AC427" s="243" t="str">
        <f>Shares!D427</f>
        <v/>
      </c>
      <c r="AD427" s="243">
        <f>IF($Z427="",0,Shares!E427)</f>
        <v>0</v>
      </c>
      <c r="AE427" s="266">
        <f>IF($Z427="",0,Shares!J427*Shares!I427)</f>
        <v>0</v>
      </c>
      <c r="AF427" s="267">
        <f t="shared" si="43"/>
        <v>0</v>
      </c>
      <c r="AG427" s="266">
        <f>IF($Z427="",0,Shares!L427)</f>
        <v>0</v>
      </c>
      <c r="AH427" s="267">
        <f>IF($Z427="",0,Shares!M427)</f>
        <v>0</v>
      </c>
      <c r="AI427" s="243" t="str">
        <f>IF($Z427="","",RANK(AE427,$AE$2:$AE$1001)+COUNTIF($AE$2:AE427,AE427)-1)</f>
        <v/>
      </c>
      <c r="AJ427" s="243" t="str">
        <f>IF($AD427&lt;0,COUNT($AJ$1:AJ426)+1,"")</f>
        <v/>
      </c>
      <c r="AL427" s="243" t="str">
        <f>'All Ticker P&amp;L'!A427</f>
        <v/>
      </c>
      <c r="AM427" s="243" t="str">
        <f>'All Ticker P&amp;L'!B427</f>
        <v/>
      </c>
      <c r="AN427" s="243" t="str">
        <f>'All Ticker P&amp;L'!C427</f>
        <v/>
      </c>
      <c r="AO427" s="243" t="str">
        <f>'All Ticker P&amp;L'!D427</f>
        <v/>
      </c>
      <c r="AP427" s="243">
        <f>IF($AL427="",0,'All Ticker P&amp;L'!E427)</f>
        <v>0</v>
      </c>
      <c r="AQ427" s="266">
        <f>IF($AL427="",0,'All Ticker P&amp;L'!J427*'All Ticker P&amp;L'!I427)</f>
        <v>0</v>
      </c>
      <c r="AR427" s="266">
        <f>IF($AL427="",0,'All Ticker P&amp;L'!L427)</f>
        <v>0</v>
      </c>
      <c r="AS427" s="267">
        <f>IF($AL427="",0,'All Ticker P&amp;L'!M427)</f>
        <v>0</v>
      </c>
      <c r="AT427" s="243" t="str">
        <f>IF($AL427="","",RANK(AR427,$AR$2:$AR$1001)+COUNTIF($AR$2:AR427,AR427)-1)</f>
        <v/>
      </c>
      <c r="AU427" s="243" t="str">
        <f>IF($AL427="","",RANK(AV427,$AV$2:$AV$1001)+COUNTIF($AV$2:AV427,AV427)-1)</f>
        <v/>
      </c>
      <c r="AV427" s="266">
        <f t="shared" si="44"/>
        <v>0</v>
      </c>
    </row>
    <row r="428" spans="26:48" ht="15" customHeight="1" x14ac:dyDescent="0.2">
      <c r="Z428" s="243" t="str">
        <f>Shares!A428</f>
        <v/>
      </c>
      <c r="AA428" s="243" t="str">
        <f>Shares!B428</f>
        <v/>
      </c>
      <c r="AB428" s="243" t="str">
        <f>Shares!C428</f>
        <v/>
      </c>
      <c r="AC428" s="243" t="str">
        <f>Shares!D428</f>
        <v/>
      </c>
      <c r="AD428" s="243">
        <f>IF($Z428="",0,Shares!E428)</f>
        <v>0</v>
      </c>
      <c r="AE428" s="266">
        <f>IF($Z428="",0,Shares!J428*Shares!I428)</f>
        <v>0</v>
      </c>
      <c r="AF428" s="267">
        <f t="shared" si="43"/>
        <v>0</v>
      </c>
      <c r="AG428" s="266">
        <f>IF($Z428="",0,Shares!L428)</f>
        <v>0</v>
      </c>
      <c r="AH428" s="267">
        <f>IF($Z428="",0,Shares!M428)</f>
        <v>0</v>
      </c>
      <c r="AI428" s="243" t="str">
        <f>IF($Z428="","",RANK(AE428,$AE$2:$AE$1001)+COUNTIF($AE$2:AE428,AE428)-1)</f>
        <v/>
      </c>
      <c r="AJ428" s="243" t="str">
        <f>IF($AD428&lt;0,COUNT($AJ$1:AJ427)+1,"")</f>
        <v/>
      </c>
      <c r="AL428" s="243" t="str">
        <f>'All Ticker P&amp;L'!A428</f>
        <v/>
      </c>
      <c r="AM428" s="243" t="str">
        <f>'All Ticker P&amp;L'!B428</f>
        <v/>
      </c>
      <c r="AN428" s="243" t="str">
        <f>'All Ticker P&amp;L'!C428</f>
        <v/>
      </c>
      <c r="AO428" s="243" t="str">
        <f>'All Ticker P&amp;L'!D428</f>
        <v/>
      </c>
      <c r="AP428" s="243">
        <f>IF($AL428="",0,'All Ticker P&amp;L'!E428)</f>
        <v>0</v>
      </c>
      <c r="AQ428" s="266">
        <f>IF($AL428="",0,'All Ticker P&amp;L'!J428*'All Ticker P&amp;L'!I428)</f>
        <v>0</v>
      </c>
      <c r="AR428" s="266">
        <f>IF($AL428="",0,'All Ticker P&amp;L'!L428)</f>
        <v>0</v>
      </c>
      <c r="AS428" s="267">
        <f>IF($AL428="",0,'All Ticker P&amp;L'!M428)</f>
        <v>0</v>
      </c>
      <c r="AT428" s="243" t="str">
        <f>IF($AL428="","",RANK(AR428,$AR$2:$AR$1001)+COUNTIF($AR$2:AR428,AR428)-1)</f>
        <v/>
      </c>
      <c r="AU428" s="243" t="str">
        <f>IF($AL428="","",RANK(AV428,$AV$2:$AV$1001)+COUNTIF($AV$2:AV428,AV428)-1)</f>
        <v/>
      </c>
      <c r="AV428" s="266">
        <f t="shared" si="44"/>
        <v>0</v>
      </c>
    </row>
    <row r="429" spans="26:48" ht="15" customHeight="1" x14ac:dyDescent="0.2">
      <c r="Z429" s="243" t="str">
        <f>Shares!A429</f>
        <v/>
      </c>
      <c r="AA429" s="243" t="str">
        <f>Shares!B429</f>
        <v/>
      </c>
      <c r="AB429" s="243" t="str">
        <f>Shares!C429</f>
        <v/>
      </c>
      <c r="AC429" s="243" t="str">
        <f>Shares!D429</f>
        <v/>
      </c>
      <c r="AD429" s="243">
        <f>IF($Z429="",0,Shares!E429)</f>
        <v>0</v>
      </c>
      <c r="AE429" s="266">
        <f>IF($Z429="",0,Shares!J429*Shares!I429)</f>
        <v>0</v>
      </c>
      <c r="AF429" s="267">
        <f t="shared" si="43"/>
        <v>0</v>
      </c>
      <c r="AG429" s="266">
        <f>IF($Z429="",0,Shares!L429)</f>
        <v>0</v>
      </c>
      <c r="AH429" s="267">
        <f>IF($Z429="",0,Shares!M429)</f>
        <v>0</v>
      </c>
      <c r="AI429" s="243" t="str">
        <f>IF($Z429="","",RANK(AE429,$AE$2:$AE$1001)+COUNTIF($AE$2:AE429,AE429)-1)</f>
        <v/>
      </c>
      <c r="AJ429" s="243" t="str">
        <f>IF($AD429&lt;0,COUNT($AJ$1:AJ428)+1,"")</f>
        <v/>
      </c>
      <c r="AL429" s="243" t="str">
        <f>'All Ticker P&amp;L'!A429</f>
        <v/>
      </c>
      <c r="AM429" s="243" t="str">
        <f>'All Ticker P&amp;L'!B429</f>
        <v/>
      </c>
      <c r="AN429" s="243" t="str">
        <f>'All Ticker P&amp;L'!C429</f>
        <v/>
      </c>
      <c r="AO429" s="243" t="str">
        <f>'All Ticker P&amp;L'!D429</f>
        <v/>
      </c>
      <c r="AP429" s="243">
        <f>IF($AL429="",0,'All Ticker P&amp;L'!E429)</f>
        <v>0</v>
      </c>
      <c r="AQ429" s="266">
        <f>IF($AL429="",0,'All Ticker P&amp;L'!J429*'All Ticker P&amp;L'!I429)</f>
        <v>0</v>
      </c>
      <c r="AR429" s="266">
        <f>IF($AL429="",0,'All Ticker P&amp;L'!L429)</f>
        <v>0</v>
      </c>
      <c r="AS429" s="267">
        <f>IF($AL429="",0,'All Ticker P&amp;L'!M429)</f>
        <v>0</v>
      </c>
      <c r="AT429" s="243" t="str">
        <f>IF($AL429="","",RANK(AR429,$AR$2:$AR$1001)+COUNTIF($AR$2:AR429,AR429)-1)</f>
        <v/>
      </c>
      <c r="AU429" s="243" t="str">
        <f>IF($AL429="","",RANK(AV429,$AV$2:$AV$1001)+COUNTIF($AV$2:AV429,AV429)-1)</f>
        <v/>
      </c>
      <c r="AV429" s="266">
        <f t="shared" si="44"/>
        <v>0</v>
      </c>
    </row>
    <row r="430" spans="26:48" ht="15" customHeight="1" x14ac:dyDescent="0.2">
      <c r="Z430" s="243" t="str">
        <f>Shares!A430</f>
        <v/>
      </c>
      <c r="AA430" s="243" t="str">
        <f>Shares!B430</f>
        <v/>
      </c>
      <c r="AB430" s="243" t="str">
        <f>Shares!C430</f>
        <v/>
      </c>
      <c r="AC430" s="243" t="str">
        <f>Shares!D430</f>
        <v/>
      </c>
      <c r="AD430" s="243">
        <f>IF($Z430="",0,Shares!E430)</f>
        <v>0</v>
      </c>
      <c r="AE430" s="266">
        <f>IF($Z430="",0,Shares!J430*Shares!I430)</f>
        <v>0</v>
      </c>
      <c r="AF430" s="267">
        <f t="shared" si="43"/>
        <v>0</v>
      </c>
      <c r="AG430" s="266">
        <f>IF($Z430="",0,Shares!L430)</f>
        <v>0</v>
      </c>
      <c r="AH430" s="267">
        <f>IF($Z430="",0,Shares!M430)</f>
        <v>0</v>
      </c>
      <c r="AI430" s="243" t="str">
        <f>IF($Z430="","",RANK(AE430,$AE$2:$AE$1001)+COUNTIF($AE$2:AE430,AE430)-1)</f>
        <v/>
      </c>
      <c r="AJ430" s="243" t="str">
        <f>IF($AD430&lt;0,COUNT($AJ$1:AJ429)+1,"")</f>
        <v/>
      </c>
      <c r="AL430" s="243" t="str">
        <f>'All Ticker P&amp;L'!A430</f>
        <v/>
      </c>
      <c r="AM430" s="243" t="str">
        <f>'All Ticker P&amp;L'!B430</f>
        <v/>
      </c>
      <c r="AN430" s="243" t="str">
        <f>'All Ticker P&amp;L'!C430</f>
        <v/>
      </c>
      <c r="AO430" s="243" t="str">
        <f>'All Ticker P&amp;L'!D430</f>
        <v/>
      </c>
      <c r="AP430" s="243">
        <f>IF($AL430="",0,'All Ticker P&amp;L'!E430)</f>
        <v>0</v>
      </c>
      <c r="AQ430" s="266">
        <f>IF($AL430="",0,'All Ticker P&amp;L'!J430*'All Ticker P&amp;L'!I430)</f>
        <v>0</v>
      </c>
      <c r="AR430" s="266">
        <f>IF($AL430="",0,'All Ticker P&amp;L'!L430)</f>
        <v>0</v>
      </c>
      <c r="AS430" s="267">
        <f>IF($AL430="",0,'All Ticker P&amp;L'!M430)</f>
        <v>0</v>
      </c>
      <c r="AT430" s="243" t="str">
        <f>IF($AL430="","",RANK(AR430,$AR$2:$AR$1001)+COUNTIF($AR$2:AR430,AR430)-1)</f>
        <v/>
      </c>
      <c r="AU430" s="243" t="str">
        <f>IF($AL430="","",RANK(AV430,$AV$2:$AV$1001)+COUNTIF($AV$2:AV430,AV430)-1)</f>
        <v/>
      </c>
      <c r="AV430" s="266">
        <f t="shared" si="44"/>
        <v>0</v>
      </c>
    </row>
    <row r="431" spans="26:48" ht="15" customHeight="1" x14ac:dyDescent="0.2">
      <c r="Z431" s="243" t="str">
        <f>Shares!A431</f>
        <v/>
      </c>
      <c r="AA431" s="243" t="str">
        <f>Shares!B431</f>
        <v/>
      </c>
      <c r="AB431" s="243" t="str">
        <f>Shares!C431</f>
        <v/>
      </c>
      <c r="AC431" s="243" t="str">
        <f>Shares!D431</f>
        <v/>
      </c>
      <c r="AD431" s="243">
        <f>IF($Z431="",0,Shares!E431)</f>
        <v>0</v>
      </c>
      <c r="AE431" s="266">
        <f>IF($Z431="",0,Shares!J431*Shares!I431)</f>
        <v>0</v>
      </c>
      <c r="AF431" s="267">
        <f t="shared" si="43"/>
        <v>0</v>
      </c>
      <c r="AG431" s="266">
        <f>IF($Z431="",0,Shares!L431)</f>
        <v>0</v>
      </c>
      <c r="AH431" s="267">
        <f>IF($Z431="",0,Shares!M431)</f>
        <v>0</v>
      </c>
      <c r="AI431" s="243" t="str">
        <f>IF($Z431="","",RANK(AE431,$AE$2:$AE$1001)+COUNTIF($AE$2:AE431,AE431)-1)</f>
        <v/>
      </c>
      <c r="AJ431" s="243" t="str">
        <f>IF($AD431&lt;0,COUNT($AJ$1:AJ430)+1,"")</f>
        <v/>
      </c>
      <c r="AL431" s="243" t="str">
        <f>'All Ticker P&amp;L'!A431</f>
        <v/>
      </c>
      <c r="AM431" s="243" t="str">
        <f>'All Ticker P&amp;L'!B431</f>
        <v/>
      </c>
      <c r="AN431" s="243" t="str">
        <f>'All Ticker P&amp;L'!C431</f>
        <v/>
      </c>
      <c r="AO431" s="243" t="str">
        <f>'All Ticker P&amp;L'!D431</f>
        <v/>
      </c>
      <c r="AP431" s="243">
        <f>IF($AL431="",0,'All Ticker P&amp;L'!E431)</f>
        <v>0</v>
      </c>
      <c r="AQ431" s="266">
        <f>IF($AL431="",0,'All Ticker P&amp;L'!J431*'All Ticker P&amp;L'!I431)</f>
        <v>0</v>
      </c>
      <c r="AR431" s="266">
        <f>IF($AL431="",0,'All Ticker P&amp;L'!L431)</f>
        <v>0</v>
      </c>
      <c r="AS431" s="267">
        <f>IF($AL431="",0,'All Ticker P&amp;L'!M431)</f>
        <v>0</v>
      </c>
      <c r="AT431" s="243" t="str">
        <f>IF($AL431="","",RANK(AR431,$AR$2:$AR$1001)+COUNTIF($AR$2:AR431,AR431)-1)</f>
        <v/>
      </c>
      <c r="AU431" s="243" t="str">
        <f>IF($AL431="","",RANK(AV431,$AV$2:$AV$1001)+COUNTIF($AV$2:AV431,AV431)-1)</f>
        <v/>
      </c>
      <c r="AV431" s="266">
        <f t="shared" si="44"/>
        <v>0</v>
      </c>
    </row>
    <row r="432" spans="26:48" ht="15" customHeight="1" x14ac:dyDescent="0.2">
      <c r="Z432" s="243" t="str">
        <f>Shares!A432</f>
        <v/>
      </c>
      <c r="AA432" s="243" t="str">
        <f>Shares!B432</f>
        <v/>
      </c>
      <c r="AB432" s="243" t="str">
        <f>Shares!C432</f>
        <v/>
      </c>
      <c r="AC432" s="243" t="str">
        <f>Shares!D432</f>
        <v/>
      </c>
      <c r="AD432" s="243">
        <f>IF($Z432="",0,Shares!E432)</f>
        <v>0</v>
      </c>
      <c r="AE432" s="266">
        <f>IF($Z432="",0,Shares!J432*Shares!I432)</f>
        <v>0</v>
      </c>
      <c r="AF432" s="267">
        <f t="shared" si="43"/>
        <v>0</v>
      </c>
      <c r="AG432" s="266">
        <f>IF($Z432="",0,Shares!L432)</f>
        <v>0</v>
      </c>
      <c r="AH432" s="267">
        <f>IF($Z432="",0,Shares!M432)</f>
        <v>0</v>
      </c>
      <c r="AI432" s="243" t="str">
        <f>IF($Z432="","",RANK(AE432,$AE$2:$AE$1001)+COUNTIF($AE$2:AE432,AE432)-1)</f>
        <v/>
      </c>
      <c r="AJ432" s="243" t="str">
        <f>IF($AD432&lt;0,COUNT($AJ$1:AJ431)+1,"")</f>
        <v/>
      </c>
      <c r="AL432" s="243" t="str">
        <f>'All Ticker P&amp;L'!A432</f>
        <v/>
      </c>
      <c r="AM432" s="243" t="str">
        <f>'All Ticker P&amp;L'!B432</f>
        <v/>
      </c>
      <c r="AN432" s="243" t="str">
        <f>'All Ticker P&amp;L'!C432</f>
        <v/>
      </c>
      <c r="AO432" s="243" t="str">
        <f>'All Ticker P&amp;L'!D432</f>
        <v/>
      </c>
      <c r="AP432" s="243">
        <f>IF($AL432="",0,'All Ticker P&amp;L'!E432)</f>
        <v>0</v>
      </c>
      <c r="AQ432" s="266">
        <f>IF($AL432="",0,'All Ticker P&amp;L'!J432*'All Ticker P&amp;L'!I432)</f>
        <v>0</v>
      </c>
      <c r="AR432" s="266">
        <f>IF($AL432="",0,'All Ticker P&amp;L'!L432)</f>
        <v>0</v>
      </c>
      <c r="AS432" s="267">
        <f>IF($AL432="",0,'All Ticker P&amp;L'!M432)</f>
        <v>0</v>
      </c>
      <c r="AT432" s="243" t="str">
        <f>IF($AL432="","",RANK(AR432,$AR$2:$AR$1001)+COUNTIF($AR$2:AR432,AR432)-1)</f>
        <v/>
      </c>
      <c r="AU432" s="243" t="str">
        <f>IF($AL432="","",RANK(AV432,$AV$2:$AV$1001)+COUNTIF($AV$2:AV432,AV432)-1)</f>
        <v/>
      </c>
      <c r="AV432" s="266">
        <f t="shared" si="44"/>
        <v>0</v>
      </c>
    </row>
    <row r="433" spans="26:48" ht="15" customHeight="1" x14ac:dyDescent="0.2">
      <c r="Z433" s="243" t="str">
        <f>Shares!A433</f>
        <v/>
      </c>
      <c r="AA433" s="243" t="str">
        <f>Shares!B433</f>
        <v/>
      </c>
      <c r="AB433" s="243" t="str">
        <f>Shares!C433</f>
        <v/>
      </c>
      <c r="AC433" s="243" t="str">
        <f>Shares!D433</f>
        <v/>
      </c>
      <c r="AD433" s="243">
        <f>IF($Z433="",0,Shares!E433)</f>
        <v>0</v>
      </c>
      <c r="AE433" s="266">
        <f>IF($Z433="",0,Shares!J433*Shares!I433)</f>
        <v>0</v>
      </c>
      <c r="AF433" s="267">
        <f t="shared" si="43"/>
        <v>0</v>
      </c>
      <c r="AG433" s="266">
        <f>IF($Z433="",0,Shares!L433)</f>
        <v>0</v>
      </c>
      <c r="AH433" s="267">
        <f>IF($Z433="",0,Shares!M433)</f>
        <v>0</v>
      </c>
      <c r="AI433" s="243" t="str">
        <f>IF($Z433="","",RANK(AE433,$AE$2:$AE$1001)+COUNTIF($AE$2:AE433,AE433)-1)</f>
        <v/>
      </c>
      <c r="AJ433" s="243" t="str">
        <f>IF($AD433&lt;0,COUNT($AJ$1:AJ432)+1,"")</f>
        <v/>
      </c>
      <c r="AL433" s="243" t="str">
        <f>'All Ticker P&amp;L'!A433</f>
        <v/>
      </c>
      <c r="AM433" s="243" t="str">
        <f>'All Ticker P&amp;L'!B433</f>
        <v/>
      </c>
      <c r="AN433" s="243" t="str">
        <f>'All Ticker P&amp;L'!C433</f>
        <v/>
      </c>
      <c r="AO433" s="243" t="str">
        <f>'All Ticker P&amp;L'!D433</f>
        <v/>
      </c>
      <c r="AP433" s="243">
        <f>IF($AL433="",0,'All Ticker P&amp;L'!E433)</f>
        <v>0</v>
      </c>
      <c r="AQ433" s="266">
        <f>IF($AL433="",0,'All Ticker P&amp;L'!J433*'All Ticker P&amp;L'!I433)</f>
        <v>0</v>
      </c>
      <c r="AR433" s="266">
        <f>IF($AL433="",0,'All Ticker P&amp;L'!L433)</f>
        <v>0</v>
      </c>
      <c r="AS433" s="267">
        <f>IF($AL433="",0,'All Ticker P&amp;L'!M433)</f>
        <v>0</v>
      </c>
      <c r="AT433" s="243" t="str">
        <f>IF($AL433="","",RANK(AR433,$AR$2:$AR$1001)+COUNTIF($AR$2:AR433,AR433)-1)</f>
        <v/>
      </c>
      <c r="AU433" s="243" t="str">
        <f>IF($AL433="","",RANK(AV433,$AV$2:$AV$1001)+COUNTIF($AV$2:AV433,AV433)-1)</f>
        <v/>
      </c>
      <c r="AV433" s="266">
        <f t="shared" si="44"/>
        <v>0</v>
      </c>
    </row>
    <row r="434" spans="26:48" ht="15" customHeight="1" x14ac:dyDescent="0.2">
      <c r="Z434" s="243" t="str">
        <f>Shares!A434</f>
        <v/>
      </c>
      <c r="AA434" s="243" t="str">
        <f>Shares!B434</f>
        <v/>
      </c>
      <c r="AB434" s="243" t="str">
        <f>Shares!C434</f>
        <v/>
      </c>
      <c r="AC434" s="243" t="str">
        <f>Shares!D434</f>
        <v/>
      </c>
      <c r="AD434" s="243">
        <f>IF($Z434="",0,Shares!E434)</f>
        <v>0</v>
      </c>
      <c r="AE434" s="266">
        <f>IF($Z434="",0,Shares!J434*Shares!I434)</f>
        <v>0</v>
      </c>
      <c r="AF434" s="267">
        <f t="shared" si="43"/>
        <v>0</v>
      </c>
      <c r="AG434" s="266">
        <f>IF($Z434="",0,Shares!L434)</f>
        <v>0</v>
      </c>
      <c r="AH434" s="267">
        <f>IF($Z434="",0,Shares!M434)</f>
        <v>0</v>
      </c>
      <c r="AI434" s="243" t="str">
        <f>IF($Z434="","",RANK(AE434,$AE$2:$AE$1001)+COUNTIF($AE$2:AE434,AE434)-1)</f>
        <v/>
      </c>
      <c r="AJ434" s="243" t="str">
        <f>IF($AD434&lt;0,COUNT($AJ$1:AJ433)+1,"")</f>
        <v/>
      </c>
      <c r="AL434" s="243" t="str">
        <f>'All Ticker P&amp;L'!A434</f>
        <v/>
      </c>
      <c r="AM434" s="243" t="str">
        <f>'All Ticker P&amp;L'!B434</f>
        <v/>
      </c>
      <c r="AN434" s="243" t="str">
        <f>'All Ticker P&amp;L'!C434</f>
        <v/>
      </c>
      <c r="AO434" s="243" t="str">
        <f>'All Ticker P&amp;L'!D434</f>
        <v/>
      </c>
      <c r="AP434" s="243">
        <f>IF($AL434="",0,'All Ticker P&amp;L'!E434)</f>
        <v>0</v>
      </c>
      <c r="AQ434" s="266">
        <f>IF($AL434="",0,'All Ticker P&amp;L'!J434*'All Ticker P&amp;L'!I434)</f>
        <v>0</v>
      </c>
      <c r="AR434" s="266">
        <f>IF($AL434="",0,'All Ticker P&amp;L'!L434)</f>
        <v>0</v>
      </c>
      <c r="AS434" s="267">
        <f>IF($AL434="",0,'All Ticker P&amp;L'!M434)</f>
        <v>0</v>
      </c>
      <c r="AT434" s="243" t="str">
        <f>IF($AL434="","",RANK(AR434,$AR$2:$AR$1001)+COUNTIF($AR$2:AR434,AR434)-1)</f>
        <v/>
      </c>
      <c r="AU434" s="243" t="str">
        <f>IF($AL434="","",RANK(AV434,$AV$2:$AV$1001)+COUNTIF($AV$2:AV434,AV434)-1)</f>
        <v/>
      </c>
      <c r="AV434" s="266">
        <f t="shared" si="44"/>
        <v>0</v>
      </c>
    </row>
    <row r="435" spans="26:48" ht="15" customHeight="1" x14ac:dyDescent="0.2">
      <c r="Z435" s="243" t="str">
        <f>Shares!A435</f>
        <v/>
      </c>
      <c r="AA435" s="243" t="str">
        <f>Shares!B435</f>
        <v/>
      </c>
      <c r="AB435" s="243" t="str">
        <f>Shares!C435</f>
        <v/>
      </c>
      <c r="AC435" s="243" t="str">
        <f>Shares!D435</f>
        <v/>
      </c>
      <c r="AD435" s="243">
        <f>IF($Z435="",0,Shares!E435)</f>
        <v>0</v>
      </c>
      <c r="AE435" s="266">
        <f>IF($Z435="",0,Shares!J435*Shares!I435)</f>
        <v>0</v>
      </c>
      <c r="AF435" s="267">
        <f t="shared" si="43"/>
        <v>0</v>
      </c>
      <c r="AG435" s="266">
        <f>IF($Z435="",0,Shares!L435)</f>
        <v>0</v>
      </c>
      <c r="AH435" s="267">
        <f>IF($Z435="",0,Shares!M435)</f>
        <v>0</v>
      </c>
      <c r="AI435" s="243" t="str">
        <f>IF($Z435="","",RANK(AE435,$AE$2:$AE$1001)+COUNTIF($AE$2:AE435,AE435)-1)</f>
        <v/>
      </c>
      <c r="AJ435" s="243" t="str">
        <f>IF($AD435&lt;0,COUNT($AJ$1:AJ434)+1,"")</f>
        <v/>
      </c>
      <c r="AL435" s="243" t="str">
        <f>'All Ticker P&amp;L'!A435</f>
        <v/>
      </c>
      <c r="AM435" s="243" t="str">
        <f>'All Ticker P&amp;L'!B435</f>
        <v/>
      </c>
      <c r="AN435" s="243" t="str">
        <f>'All Ticker P&amp;L'!C435</f>
        <v/>
      </c>
      <c r="AO435" s="243" t="str">
        <f>'All Ticker P&amp;L'!D435</f>
        <v/>
      </c>
      <c r="AP435" s="243">
        <f>IF($AL435="",0,'All Ticker P&amp;L'!E435)</f>
        <v>0</v>
      </c>
      <c r="AQ435" s="266">
        <f>IF($AL435="",0,'All Ticker P&amp;L'!J435*'All Ticker P&amp;L'!I435)</f>
        <v>0</v>
      </c>
      <c r="AR435" s="266">
        <f>IF($AL435="",0,'All Ticker P&amp;L'!L435)</f>
        <v>0</v>
      </c>
      <c r="AS435" s="267">
        <f>IF($AL435="",0,'All Ticker P&amp;L'!M435)</f>
        <v>0</v>
      </c>
      <c r="AT435" s="243" t="str">
        <f>IF($AL435="","",RANK(AR435,$AR$2:$AR$1001)+COUNTIF($AR$2:AR435,AR435)-1)</f>
        <v/>
      </c>
      <c r="AU435" s="243" t="str">
        <f>IF($AL435="","",RANK(AV435,$AV$2:$AV$1001)+COUNTIF($AV$2:AV435,AV435)-1)</f>
        <v/>
      </c>
      <c r="AV435" s="266">
        <f t="shared" si="44"/>
        <v>0</v>
      </c>
    </row>
    <row r="436" spans="26:48" ht="15" customHeight="1" x14ac:dyDescent="0.2">
      <c r="Z436" s="243" t="str">
        <f>Shares!A436</f>
        <v/>
      </c>
      <c r="AA436" s="243" t="str">
        <f>Shares!B436</f>
        <v/>
      </c>
      <c r="AB436" s="243" t="str">
        <f>Shares!C436</f>
        <v/>
      </c>
      <c r="AC436" s="243" t="str">
        <f>Shares!D436</f>
        <v/>
      </c>
      <c r="AD436" s="243">
        <f>IF($Z436="",0,Shares!E436)</f>
        <v>0</v>
      </c>
      <c r="AE436" s="266">
        <f>IF($Z436="",0,Shares!J436*Shares!I436)</f>
        <v>0</v>
      </c>
      <c r="AF436" s="267">
        <f t="shared" si="43"/>
        <v>0</v>
      </c>
      <c r="AG436" s="266">
        <f>IF($Z436="",0,Shares!L436)</f>
        <v>0</v>
      </c>
      <c r="AH436" s="267">
        <f>IF($Z436="",0,Shares!M436)</f>
        <v>0</v>
      </c>
      <c r="AI436" s="243" t="str">
        <f>IF($Z436="","",RANK(AE436,$AE$2:$AE$1001)+COUNTIF($AE$2:AE436,AE436)-1)</f>
        <v/>
      </c>
      <c r="AJ436" s="243" t="str">
        <f>IF($AD436&lt;0,COUNT($AJ$1:AJ435)+1,"")</f>
        <v/>
      </c>
      <c r="AL436" s="243" t="str">
        <f>'All Ticker P&amp;L'!A436</f>
        <v/>
      </c>
      <c r="AM436" s="243" t="str">
        <f>'All Ticker P&amp;L'!B436</f>
        <v/>
      </c>
      <c r="AN436" s="243" t="str">
        <f>'All Ticker P&amp;L'!C436</f>
        <v/>
      </c>
      <c r="AO436" s="243" t="str">
        <f>'All Ticker P&amp;L'!D436</f>
        <v/>
      </c>
      <c r="AP436" s="243">
        <f>IF($AL436="",0,'All Ticker P&amp;L'!E436)</f>
        <v>0</v>
      </c>
      <c r="AQ436" s="266">
        <f>IF($AL436="",0,'All Ticker P&amp;L'!J436*'All Ticker P&amp;L'!I436)</f>
        <v>0</v>
      </c>
      <c r="AR436" s="266">
        <f>IF($AL436="",0,'All Ticker P&amp;L'!L436)</f>
        <v>0</v>
      </c>
      <c r="AS436" s="267">
        <f>IF($AL436="",0,'All Ticker P&amp;L'!M436)</f>
        <v>0</v>
      </c>
      <c r="AT436" s="243" t="str">
        <f>IF($AL436="","",RANK(AR436,$AR$2:$AR$1001)+COUNTIF($AR$2:AR436,AR436)-1)</f>
        <v/>
      </c>
      <c r="AU436" s="243" t="str">
        <f>IF($AL436="","",RANK(AV436,$AV$2:$AV$1001)+COUNTIF($AV$2:AV436,AV436)-1)</f>
        <v/>
      </c>
      <c r="AV436" s="266">
        <f t="shared" si="44"/>
        <v>0</v>
      </c>
    </row>
    <row r="437" spans="26:48" ht="15" customHeight="1" x14ac:dyDescent="0.2">
      <c r="Z437" s="243" t="str">
        <f>Shares!A437</f>
        <v/>
      </c>
      <c r="AA437" s="243" t="str">
        <f>Shares!B437</f>
        <v/>
      </c>
      <c r="AB437" s="243" t="str">
        <f>Shares!C437</f>
        <v/>
      </c>
      <c r="AC437" s="243" t="str">
        <f>Shares!D437</f>
        <v/>
      </c>
      <c r="AD437" s="243">
        <f>IF($Z437="",0,Shares!E437)</f>
        <v>0</v>
      </c>
      <c r="AE437" s="266">
        <f>IF($Z437="",0,Shares!J437*Shares!I437)</f>
        <v>0</v>
      </c>
      <c r="AF437" s="267">
        <f t="shared" si="43"/>
        <v>0</v>
      </c>
      <c r="AG437" s="266">
        <f>IF($Z437="",0,Shares!L437)</f>
        <v>0</v>
      </c>
      <c r="AH437" s="267">
        <f>IF($Z437="",0,Shares!M437)</f>
        <v>0</v>
      </c>
      <c r="AI437" s="243" t="str">
        <f>IF($Z437="","",RANK(AE437,$AE$2:$AE$1001)+COUNTIF($AE$2:AE437,AE437)-1)</f>
        <v/>
      </c>
      <c r="AJ437" s="243" t="str">
        <f>IF($AD437&lt;0,COUNT($AJ$1:AJ436)+1,"")</f>
        <v/>
      </c>
      <c r="AL437" s="243" t="str">
        <f>'All Ticker P&amp;L'!A437</f>
        <v/>
      </c>
      <c r="AM437" s="243" t="str">
        <f>'All Ticker P&amp;L'!B437</f>
        <v/>
      </c>
      <c r="AN437" s="243" t="str">
        <f>'All Ticker P&amp;L'!C437</f>
        <v/>
      </c>
      <c r="AO437" s="243" t="str">
        <f>'All Ticker P&amp;L'!D437</f>
        <v/>
      </c>
      <c r="AP437" s="243">
        <f>IF($AL437="",0,'All Ticker P&amp;L'!E437)</f>
        <v>0</v>
      </c>
      <c r="AQ437" s="266">
        <f>IF($AL437="",0,'All Ticker P&amp;L'!J437*'All Ticker P&amp;L'!I437)</f>
        <v>0</v>
      </c>
      <c r="AR437" s="266">
        <f>IF($AL437="",0,'All Ticker P&amp;L'!L437)</f>
        <v>0</v>
      </c>
      <c r="AS437" s="267">
        <f>IF($AL437="",0,'All Ticker P&amp;L'!M437)</f>
        <v>0</v>
      </c>
      <c r="AT437" s="243" t="str">
        <f>IF($AL437="","",RANK(AR437,$AR$2:$AR$1001)+COUNTIF($AR$2:AR437,AR437)-1)</f>
        <v/>
      </c>
      <c r="AU437" s="243" t="str">
        <f>IF($AL437="","",RANK(AV437,$AV$2:$AV$1001)+COUNTIF($AV$2:AV437,AV437)-1)</f>
        <v/>
      </c>
      <c r="AV437" s="266">
        <f t="shared" si="44"/>
        <v>0</v>
      </c>
    </row>
    <row r="438" spans="26:48" ht="15" customHeight="1" x14ac:dyDescent="0.2">
      <c r="Z438" s="243" t="str">
        <f>Shares!A438</f>
        <v/>
      </c>
      <c r="AA438" s="243" t="str">
        <f>Shares!B438</f>
        <v/>
      </c>
      <c r="AB438" s="243" t="str">
        <f>Shares!C438</f>
        <v/>
      </c>
      <c r="AC438" s="243" t="str">
        <f>Shares!D438</f>
        <v/>
      </c>
      <c r="AD438" s="243">
        <f>IF($Z438="",0,Shares!E438)</f>
        <v>0</v>
      </c>
      <c r="AE438" s="266">
        <f>IF($Z438="",0,Shares!J438*Shares!I438)</f>
        <v>0</v>
      </c>
      <c r="AF438" s="267">
        <f t="shared" si="43"/>
        <v>0</v>
      </c>
      <c r="AG438" s="266">
        <f>IF($Z438="",0,Shares!L438)</f>
        <v>0</v>
      </c>
      <c r="AH438" s="267">
        <f>IF($Z438="",0,Shares!M438)</f>
        <v>0</v>
      </c>
      <c r="AI438" s="243" t="str">
        <f>IF($Z438="","",RANK(AE438,$AE$2:$AE$1001)+COUNTIF($AE$2:AE438,AE438)-1)</f>
        <v/>
      </c>
      <c r="AJ438" s="243" t="str">
        <f>IF($AD438&lt;0,COUNT($AJ$1:AJ437)+1,"")</f>
        <v/>
      </c>
      <c r="AL438" s="243" t="str">
        <f>'All Ticker P&amp;L'!A438</f>
        <v/>
      </c>
      <c r="AM438" s="243" t="str">
        <f>'All Ticker P&amp;L'!B438</f>
        <v/>
      </c>
      <c r="AN438" s="243" t="str">
        <f>'All Ticker P&amp;L'!C438</f>
        <v/>
      </c>
      <c r="AO438" s="243" t="str">
        <f>'All Ticker P&amp;L'!D438</f>
        <v/>
      </c>
      <c r="AP438" s="243">
        <f>IF($AL438="",0,'All Ticker P&amp;L'!E438)</f>
        <v>0</v>
      </c>
      <c r="AQ438" s="266">
        <f>IF($AL438="",0,'All Ticker P&amp;L'!J438*'All Ticker P&amp;L'!I438)</f>
        <v>0</v>
      </c>
      <c r="AR438" s="266">
        <f>IF($AL438="",0,'All Ticker P&amp;L'!L438)</f>
        <v>0</v>
      </c>
      <c r="AS438" s="267">
        <f>IF($AL438="",0,'All Ticker P&amp;L'!M438)</f>
        <v>0</v>
      </c>
      <c r="AT438" s="243" t="str">
        <f>IF($AL438="","",RANK(AR438,$AR$2:$AR$1001)+COUNTIF($AR$2:AR438,AR438)-1)</f>
        <v/>
      </c>
      <c r="AU438" s="243" t="str">
        <f>IF($AL438="","",RANK(AV438,$AV$2:$AV$1001)+COUNTIF($AV$2:AV438,AV438)-1)</f>
        <v/>
      </c>
      <c r="AV438" s="266">
        <f t="shared" si="44"/>
        <v>0</v>
      </c>
    </row>
    <row r="439" spans="26:48" ht="15" customHeight="1" x14ac:dyDescent="0.2">
      <c r="Z439" s="243" t="str">
        <f>Shares!A439</f>
        <v/>
      </c>
      <c r="AA439" s="243" t="str">
        <f>Shares!B439</f>
        <v/>
      </c>
      <c r="AB439" s="243" t="str">
        <f>Shares!C439</f>
        <v/>
      </c>
      <c r="AC439" s="243" t="str">
        <f>Shares!D439</f>
        <v/>
      </c>
      <c r="AD439" s="243">
        <f>IF($Z439="",0,Shares!E439)</f>
        <v>0</v>
      </c>
      <c r="AE439" s="266">
        <f>IF($Z439="",0,Shares!J439*Shares!I439)</f>
        <v>0</v>
      </c>
      <c r="AF439" s="267">
        <f t="shared" si="43"/>
        <v>0</v>
      </c>
      <c r="AG439" s="266">
        <f>IF($Z439="",0,Shares!L439)</f>
        <v>0</v>
      </c>
      <c r="AH439" s="267">
        <f>IF($Z439="",0,Shares!M439)</f>
        <v>0</v>
      </c>
      <c r="AI439" s="243" t="str">
        <f>IF($Z439="","",RANK(AE439,$AE$2:$AE$1001)+COUNTIF($AE$2:AE439,AE439)-1)</f>
        <v/>
      </c>
      <c r="AJ439" s="243" t="str">
        <f>IF($AD439&lt;0,COUNT($AJ$1:AJ438)+1,"")</f>
        <v/>
      </c>
      <c r="AL439" s="243" t="str">
        <f>'All Ticker P&amp;L'!A439</f>
        <v/>
      </c>
      <c r="AM439" s="243" t="str">
        <f>'All Ticker P&amp;L'!B439</f>
        <v/>
      </c>
      <c r="AN439" s="243" t="str">
        <f>'All Ticker P&amp;L'!C439</f>
        <v/>
      </c>
      <c r="AO439" s="243" t="str">
        <f>'All Ticker P&amp;L'!D439</f>
        <v/>
      </c>
      <c r="AP439" s="243">
        <f>IF($AL439="",0,'All Ticker P&amp;L'!E439)</f>
        <v>0</v>
      </c>
      <c r="AQ439" s="266">
        <f>IF($AL439="",0,'All Ticker P&amp;L'!J439*'All Ticker P&amp;L'!I439)</f>
        <v>0</v>
      </c>
      <c r="AR439" s="266">
        <f>IF($AL439="",0,'All Ticker P&amp;L'!L439)</f>
        <v>0</v>
      </c>
      <c r="AS439" s="267">
        <f>IF($AL439="",0,'All Ticker P&amp;L'!M439)</f>
        <v>0</v>
      </c>
      <c r="AT439" s="243" t="str">
        <f>IF($AL439="","",RANK(AR439,$AR$2:$AR$1001)+COUNTIF($AR$2:AR439,AR439)-1)</f>
        <v/>
      </c>
      <c r="AU439" s="243" t="str">
        <f>IF($AL439="","",RANK(AV439,$AV$2:$AV$1001)+COUNTIF($AV$2:AV439,AV439)-1)</f>
        <v/>
      </c>
      <c r="AV439" s="266">
        <f t="shared" si="44"/>
        <v>0</v>
      </c>
    </row>
    <row r="440" spans="26:48" ht="15" customHeight="1" x14ac:dyDescent="0.2">
      <c r="Z440" s="243" t="str">
        <f>Shares!A440</f>
        <v/>
      </c>
      <c r="AA440" s="243" t="str">
        <f>Shares!B440</f>
        <v/>
      </c>
      <c r="AB440" s="243" t="str">
        <f>Shares!C440</f>
        <v/>
      </c>
      <c r="AC440" s="243" t="str">
        <f>Shares!D440</f>
        <v/>
      </c>
      <c r="AD440" s="243">
        <f>IF($Z440="",0,Shares!E440)</f>
        <v>0</v>
      </c>
      <c r="AE440" s="266">
        <f>IF($Z440="",0,Shares!J440*Shares!I440)</f>
        <v>0</v>
      </c>
      <c r="AF440" s="267">
        <f t="shared" si="43"/>
        <v>0</v>
      </c>
      <c r="AG440" s="266">
        <f>IF($Z440="",0,Shares!L440)</f>
        <v>0</v>
      </c>
      <c r="AH440" s="267">
        <f>IF($Z440="",0,Shares!M440)</f>
        <v>0</v>
      </c>
      <c r="AI440" s="243" t="str">
        <f>IF($Z440="","",RANK(AE440,$AE$2:$AE$1001)+COUNTIF($AE$2:AE440,AE440)-1)</f>
        <v/>
      </c>
      <c r="AJ440" s="243" t="str">
        <f>IF($AD440&lt;0,COUNT($AJ$1:AJ439)+1,"")</f>
        <v/>
      </c>
      <c r="AL440" s="243" t="str">
        <f>'All Ticker P&amp;L'!A440</f>
        <v/>
      </c>
      <c r="AM440" s="243" t="str">
        <f>'All Ticker P&amp;L'!B440</f>
        <v/>
      </c>
      <c r="AN440" s="243" t="str">
        <f>'All Ticker P&amp;L'!C440</f>
        <v/>
      </c>
      <c r="AO440" s="243" t="str">
        <f>'All Ticker P&amp;L'!D440</f>
        <v/>
      </c>
      <c r="AP440" s="243">
        <f>IF($AL440="",0,'All Ticker P&amp;L'!E440)</f>
        <v>0</v>
      </c>
      <c r="AQ440" s="266">
        <f>IF($AL440="",0,'All Ticker P&amp;L'!J440*'All Ticker P&amp;L'!I440)</f>
        <v>0</v>
      </c>
      <c r="AR440" s="266">
        <f>IF($AL440="",0,'All Ticker P&amp;L'!L440)</f>
        <v>0</v>
      </c>
      <c r="AS440" s="267">
        <f>IF($AL440="",0,'All Ticker P&amp;L'!M440)</f>
        <v>0</v>
      </c>
      <c r="AT440" s="243" t="str">
        <f>IF($AL440="","",RANK(AR440,$AR$2:$AR$1001)+COUNTIF($AR$2:AR440,AR440)-1)</f>
        <v/>
      </c>
      <c r="AU440" s="243" t="str">
        <f>IF($AL440="","",RANK(AV440,$AV$2:$AV$1001)+COUNTIF($AV$2:AV440,AV440)-1)</f>
        <v/>
      </c>
      <c r="AV440" s="266">
        <f t="shared" si="44"/>
        <v>0</v>
      </c>
    </row>
    <row r="441" spans="26:48" ht="15" customHeight="1" x14ac:dyDescent="0.2">
      <c r="Z441" s="243" t="str">
        <f>Shares!A441</f>
        <v/>
      </c>
      <c r="AA441" s="243" t="str">
        <f>Shares!B441</f>
        <v/>
      </c>
      <c r="AB441" s="243" t="str">
        <f>Shares!C441</f>
        <v/>
      </c>
      <c r="AC441" s="243" t="str">
        <f>Shares!D441</f>
        <v/>
      </c>
      <c r="AD441" s="243">
        <f>IF($Z441="",0,Shares!E441)</f>
        <v>0</v>
      </c>
      <c r="AE441" s="266">
        <f>IF($Z441="",0,Shares!J441*Shares!I441)</f>
        <v>0</v>
      </c>
      <c r="AF441" s="267">
        <f t="shared" si="43"/>
        <v>0</v>
      </c>
      <c r="AG441" s="266">
        <f>IF($Z441="",0,Shares!L441)</f>
        <v>0</v>
      </c>
      <c r="AH441" s="267">
        <f>IF($Z441="",0,Shares!M441)</f>
        <v>0</v>
      </c>
      <c r="AI441" s="243" t="str">
        <f>IF($Z441="","",RANK(AE441,$AE$2:$AE$1001)+COUNTIF($AE$2:AE441,AE441)-1)</f>
        <v/>
      </c>
      <c r="AJ441" s="243" t="str">
        <f>IF($AD441&lt;0,COUNT($AJ$1:AJ440)+1,"")</f>
        <v/>
      </c>
      <c r="AL441" s="243" t="str">
        <f>'All Ticker P&amp;L'!A441</f>
        <v/>
      </c>
      <c r="AM441" s="243" t="str">
        <f>'All Ticker P&amp;L'!B441</f>
        <v/>
      </c>
      <c r="AN441" s="243" t="str">
        <f>'All Ticker P&amp;L'!C441</f>
        <v/>
      </c>
      <c r="AO441" s="243" t="str">
        <f>'All Ticker P&amp;L'!D441</f>
        <v/>
      </c>
      <c r="AP441" s="243">
        <f>IF($AL441="",0,'All Ticker P&amp;L'!E441)</f>
        <v>0</v>
      </c>
      <c r="AQ441" s="266">
        <f>IF($AL441="",0,'All Ticker P&amp;L'!J441*'All Ticker P&amp;L'!I441)</f>
        <v>0</v>
      </c>
      <c r="AR441" s="266">
        <f>IF($AL441="",0,'All Ticker P&amp;L'!L441)</f>
        <v>0</v>
      </c>
      <c r="AS441" s="267">
        <f>IF($AL441="",0,'All Ticker P&amp;L'!M441)</f>
        <v>0</v>
      </c>
      <c r="AT441" s="243" t="str">
        <f>IF($AL441="","",RANK(AR441,$AR$2:$AR$1001)+COUNTIF($AR$2:AR441,AR441)-1)</f>
        <v/>
      </c>
      <c r="AU441" s="243" t="str">
        <f>IF($AL441="","",RANK(AV441,$AV$2:$AV$1001)+COUNTIF($AV$2:AV441,AV441)-1)</f>
        <v/>
      </c>
      <c r="AV441" s="266">
        <f t="shared" si="44"/>
        <v>0</v>
      </c>
    </row>
    <row r="442" spans="26:48" ht="15" customHeight="1" x14ac:dyDescent="0.2">
      <c r="Z442" s="243" t="str">
        <f>Shares!A442</f>
        <v/>
      </c>
      <c r="AA442" s="243" t="str">
        <f>Shares!B442</f>
        <v/>
      </c>
      <c r="AB442" s="243" t="str">
        <f>Shares!C442</f>
        <v/>
      </c>
      <c r="AC442" s="243" t="str">
        <f>Shares!D442</f>
        <v/>
      </c>
      <c r="AD442" s="243">
        <f>IF($Z442="",0,Shares!E442)</f>
        <v>0</v>
      </c>
      <c r="AE442" s="266">
        <f>IF($Z442="",0,Shares!J442*Shares!I442)</f>
        <v>0</v>
      </c>
      <c r="AF442" s="267">
        <f t="shared" si="43"/>
        <v>0</v>
      </c>
      <c r="AG442" s="266">
        <f>IF($Z442="",0,Shares!L442)</f>
        <v>0</v>
      </c>
      <c r="AH442" s="267">
        <f>IF($Z442="",0,Shares!M442)</f>
        <v>0</v>
      </c>
      <c r="AI442" s="243" t="str">
        <f>IF($Z442="","",RANK(AE442,$AE$2:$AE$1001)+COUNTIF($AE$2:AE442,AE442)-1)</f>
        <v/>
      </c>
      <c r="AJ442" s="243" t="str">
        <f>IF($AD442&lt;0,COUNT($AJ$1:AJ441)+1,"")</f>
        <v/>
      </c>
      <c r="AL442" s="243" t="str">
        <f>'All Ticker P&amp;L'!A442</f>
        <v/>
      </c>
      <c r="AM442" s="243" t="str">
        <f>'All Ticker P&amp;L'!B442</f>
        <v/>
      </c>
      <c r="AN442" s="243" t="str">
        <f>'All Ticker P&amp;L'!C442</f>
        <v/>
      </c>
      <c r="AO442" s="243" t="str">
        <f>'All Ticker P&amp;L'!D442</f>
        <v/>
      </c>
      <c r="AP442" s="243">
        <f>IF($AL442="",0,'All Ticker P&amp;L'!E442)</f>
        <v>0</v>
      </c>
      <c r="AQ442" s="266">
        <f>IF($AL442="",0,'All Ticker P&amp;L'!J442*'All Ticker P&amp;L'!I442)</f>
        <v>0</v>
      </c>
      <c r="AR442" s="266">
        <f>IF($AL442="",0,'All Ticker P&amp;L'!L442)</f>
        <v>0</v>
      </c>
      <c r="AS442" s="267">
        <f>IF($AL442="",0,'All Ticker P&amp;L'!M442)</f>
        <v>0</v>
      </c>
      <c r="AT442" s="243" t="str">
        <f>IF($AL442="","",RANK(AR442,$AR$2:$AR$1001)+COUNTIF($AR$2:AR442,AR442)-1)</f>
        <v/>
      </c>
      <c r="AU442" s="243" t="str">
        <f>IF($AL442="","",RANK(AV442,$AV$2:$AV$1001)+COUNTIF($AV$2:AV442,AV442)-1)</f>
        <v/>
      </c>
      <c r="AV442" s="266">
        <f t="shared" si="44"/>
        <v>0</v>
      </c>
    </row>
    <row r="443" spans="26:48" ht="15" customHeight="1" x14ac:dyDescent="0.2">
      <c r="Z443" s="243" t="str">
        <f>Shares!A443</f>
        <v/>
      </c>
      <c r="AA443" s="243" t="str">
        <f>Shares!B443</f>
        <v/>
      </c>
      <c r="AB443" s="243" t="str">
        <f>Shares!C443</f>
        <v/>
      </c>
      <c r="AC443" s="243" t="str">
        <f>Shares!D443</f>
        <v/>
      </c>
      <c r="AD443" s="243">
        <f>IF($Z443="",0,Shares!E443)</f>
        <v>0</v>
      </c>
      <c r="AE443" s="266">
        <f>IF($Z443="",0,Shares!J443*Shares!I443)</f>
        <v>0</v>
      </c>
      <c r="AF443" s="267">
        <f t="shared" si="43"/>
        <v>0</v>
      </c>
      <c r="AG443" s="266">
        <f>IF($Z443="",0,Shares!L443)</f>
        <v>0</v>
      </c>
      <c r="AH443" s="267">
        <f>IF($Z443="",0,Shares!M443)</f>
        <v>0</v>
      </c>
      <c r="AI443" s="243" t="str">
        <f>IF($Z443="","",RANK(AE443,$AE$2:$AE$1001)+COUNTIF($AE$2:AE443,AE443)-1)</f>
        <v/>
      </c>
      <c r="AJ443" s="243" t="str">
        <f>IF($AD443&lt;0,COUNT($AJ$1:AJ442)+1,"")</f>
        <v/>
      </c>
      <c r="AL443" s="243" t="str">
        <f>'All Ticker P&amp;L'!A443</f>
        <v/>
      </c>
      <c r="AM443" s="243" t="str">
        <f>'All Ticker P&amp;L'!B443</f>
        <v/>
      </c>
      <c r="AN443" s="243" t="str">
        <f>'All Ticker P&amp;L'!C443</f>
        <v/>
      </c>
      <c r="AO443" s="243" t="str">
        <f>'All Ticker P&amp;L'!D443</f>
        <v/>
      </c>
      <c r="AP443" s="243">
        <f>IF($AL443="",0,'All Ticker P&amp;L'!E443)</f>
        <v>0</v>
      </c>
      <c r="AQ443" s="266">
        <f>IF($AL443="",0,'All Ticker P&amp;L'!J443*'All Ticker P&amp;L'!I443)</f>
        <v>0</v>
      </c>
      <c r="AR443" s="266">
        <f>IF($AL443="",0,'All Ticker P&amp;L'!L443)</f>
        <v>0</v>
      </c>
      <c r="AS443" s="267">
        <f>IF($AL443="",0,'All Ticker P&amp;L'!M443)</f>
        <v>0</v>
      </c>
      <c r="AT443" s="243" t="str">
        <f>IF($AL443="","",RANK(AR443,$AR$2:$AR$1001)+COUNTIF($AR$2:AR443,AR443)-1)</f>
        <v/>
      </c>
      <c r="AU443" s="243" t="str">
        <f>IF($AL443="","",RANK(AV443,$AV$2:$AV$1001)+COUNTIF($AV$2:AV443,AV443)-1)</f>
        <v/>
      </c>
      <c r="AV443" s="266">
        <f t="shared" si="44"/>
        <v>0</v>
      </c>
    </row>
    <row r="444" spans="26:48" ht="15" customHeight="1" x14ac:dyDescent="0.2">
      <c r="Z444" s="243" t="str">
        <f>Shares!A444</f>
        <v/>
      </c>
      <c r="AA444" s="243" t="str">
        <f>Shares!B444</f>
        <v/>
      </c>
      <c r="AB444" s="243" t="str">
        <f>Shares!C444</f>
        <v/>
      </c>
      <c r="AC444" s="243" t="str">
        <f>Shares!D444</f>
        <v/>
      </c>
      <c r="AD444" s="243">
        <f>IF($Z444="",0,Shares!E444)</f>
        <v>0</v>
      </c>
      <c r="AE444" s="266">
        <f>IF($Z444="",0,Shares!J444*Shares!I444)</f>
        <v>0</v>
      </c>
      <c r="AF444" s="267">
        <f t="shared" si="43"/>
        <v>0</v>
      </c>
      <c r="AG444" s="266">
        <f>IF($Z444="",0,Shares!L444)</f>
        <v>0</v>
      </c>
      <c r="AH444" s="267">
        <f>IF($Z444="",0,Shares!M444)</f>
        <v>0</v>
      </c>
      <c r="AI444" s="243" t="str">
        <f>IF($Z444="","",RANK(AE444,$AE$2:$AE$1001)+COUNTIF($AE$2:AE444,AE444)-1)</f>
        <v/>
      </c>
      <c r="AJ444" s="243" t="str">
        <f>IF($AD444&lt;0,COUNT($AJ$1:AJ443)+1,"")</f>
        <v/>
      </c>
      <c r="AL444" s="243" t="str">
        <f>'All Ticker P&amp;L'!A444</f>
        <v/>
      </c>
      <c r="AM444" s="243" t="str">
        <f>'All Ticker P&amp;L'!B444</f>
        <v/>
      </c>
      <c r="AN444" s="243" t="str">
        <f>'All Ticker P&amp;L'!C444</f>
        <v/>
      </c>
      <c r="AO444" s="243" t="str">
        <f>'All Ticker P&amp;L'!D444</f>
        <v/>
      </c>
      <c r="AP444" s="243">
        <f>IF($AL444="",0,'All Ticker P&amp;L'!E444)</f>
        <v>0</v>
      </c>
      <c r="AQ444" s="266">
        <f>IF($AL444="",0,'All Ticker P&amp;L'!J444*'All Ticker P&amp;L'!I444)</f>
        <v>0</v>
      </c>
      <c r="AR444" s="266">
        <f>IF($AL444="",0,'All Ticker P&amp;L'!L444)</f>
        <v>0</v>
      </c>
      <c r="AS444" s="267">
        <f>IF($AL444="",0,'All Ticker P&amp;L'!M444)</f>
        <v>0</v>
      </c>
      <c r="AT444" s="243" t="str">
        <f>IF($AL444="","",RANK(AR444,$AR$2:$AR$1001)+COUNTIF($AR$2:AR444,AR444)-1)</f>
        <v/>
      </c>
      <c r="AU444" s="243" t="str">
        <f>IF($AL444="","",RANK(AV444,$AV$2:$AV$1001)+COUNTIF($AV$2:AV444,AV444)-1)</f>
        <v/>
      </c>
      <c r="AV444" s="266">
        <f t="shared" si="44"/>
        <v>0</v>
      </c>
    </row>
    <row r="445" spans="26:48" ht="15" customHeight="1" x14ac:dyDescent="0.2">
      <c r="Z445" s="243" t="str">
        <f>Shares!A445</f>
        <v/>
      </c>
      <c r="AA445" s="243" t="str">
        <f>Shares!B445</f>
        <v/>
      </c>
      <c r="AB445" s="243" t="str">
        <f>Shares!C445</f>
        <v/>
      </c>
      <c r="AC445" s="243" t="str">
        <f>Shares!D445</f>
        <v/>
      </c>
      <c r="AD445" s="243">
        <f>IF($Z445="",0,Shares!E445)</f>
        <v>0</v>
      </c>
      <c r="AE445" s="266">
        <f>IF($Z445="",0,Shares!J445*Shares!I445)</f>
        <v>0</v>
      </c>
      <c r="AF445" s="267">
        <f t="shared" si="43"/>
        <v>0</v>
      </c>
      <c r="AG445" s="266">
        <f>IF($Z445="",0,Shares!L445)</f>
        <v>0</v>
      </c>
      <c r="AH445" s="267">
        <f>IF($Z445="",0,Shares!M445)</f>
        <v>0</v>
      </c>
      <c r="AI445" s="243" t="str">
        <f>IF($Z445="","",RANK(AE445,$AE$2:$AE$1001)+COUNTIF($AE$2:AE445,AE445)-1)</f>
        <v/>
      </c>
      <c r="AJ445" s="243" t="str">
        <f>IF($AD445&lt;0,COUNT($AJ$1:AJ444)+1,"")</f>
        <v/>
      </c>
      <c r="AL445" s="243" t="str">
        <f>'All Ticker P&amp;L'!A445</f>
        <v/>
      </c>
      <c r="AM445" s="243" t="str">
        <f>'All Ticker P&amp;L'!B445</f>
        <v/>
      </c>
      <c r="AN445" s="243" t="str">
        <f>'All Ticker P&amp;L'!C445</f>
        <v/>
      </c>
      <c r="AO445" s="243" t="str">
        <f>'All Ticker P&amp;L'!D445</f>
        <v/>
      </c>
      <c r="AP445" s="243">
        <f>IF($AL445="",0,'All Ticker P&amp;L'!E445)</f>
        <v>0</v>
      </c>
      <c r="AQ445" s="266">
        <f>IF($AL445="",0,'All Ticker P&amp;L'!J445*'All Ticker P&amp;L'!I445)</f>
        <v>0</v>
      </c>
      <c r="AR445" s="266">
        <f>IF($AL445="",0,'All Ticker P&amp;L'!L445)</f>
        <v>0</v>
      </c>
      <c r="AS445" s="267">
        <f>IF($AL445="",0,'All Ticker P&amp;L'!M445)</f>
        <v>0</v>
      </c>
      <c r="AT445" s="243" t="str">
        <f>IF($AL445="","",RANK(AR445,$AR$2:$AR$1001)+COUNTIF($AR$2:AR445,AR445)-1)</f>
        <v/>
      </c>
      <c r="AU445" s="243" t="str">
        <f>IF($AL445="","",RANK(AV445,$AV$2:$AV$1001)+COUNTIF($AV$2:AV445,AV445)-1)</f>
        <v/>
      </c>
      <c r="AV445" s="266">
        <f t="shared" si="44"/>
        <v>0</v>
      </c>
    </row>
    <row r="446" spans="26:48" ht="15" customHeight="1" x14ac:dyDescent="0.2">
      <c r="Z446" s="243" t="str">
        <f>Shares!A446</f>
        <v/>
      </c>
      <c r="AA446" s="243" t="str">
        <f>Shares!B446</f>
        <v/>
      </c>
      <c r="AB446" s="243" t="str">
        <f>Shares!C446</f>
        <v/>
      </c>
      <c r="AC446" s="243" t="str">
        <f>Shares!D446</f>
        <v/>
      </c>
      <c r="AD446" s="243">
        <f>IF($Z446="",0,Shares!E446)</f>
        <v>0</v>
      </c>
      <c r="AE446" s="266">
        <f>IF($Z446="",0,Shares!J446*Shares!I446)</f>
        <v>0</v>
      </c>
      <c r="AF446" s="267">
        <f t="shared" si="43"/>
        <v>0</v>
      </c>
      <c r="AG446" s="266">
        <f>IF($Z446="",0,Shares!L446)</f>
        <v>0</v>
      </c>
      <c r="AH446" s="267">
        <f>IF($Z446="",0,Shares!M446)</f>
        <v>0</v>
      </c>
      <c r="AI446" s="243" t="str">
        <f>IF($Z446="","",RANK(AE446,$AE$2:$AE$1001)+COUNTIF($AE$2:AE446,AE446)-1)</f>
        <v/>
      </c>
      <c r="AJ446" s="243" t="str">
        <f>IF($AD446&lt;0,COUNT($AJ$1:AJ445)+1,"")</f>
        <v/>
      </c>
      <c r="AL446" s="243" t="str">
        <f>'All Ticker P&amp;L'!A446</f>
        <v/>
      </c>
      <c r="AM446" s="243" t="str">
        <f>'All Ticker P&amp;L'!B446</f>
        <v/>
      </c>
      <c r="AN446" s="243" t="str">
        <f>'All Ticker P&amp;L'!C446</f>
        <v/>
      </c>
      <c r="AO446" s="243" t="str">
        <f>'All Ticker P&amp;L'!D446</f>
        <v/>
      </c>
      <c r="AP446" s="243">
        <f>IF($AL446="",0,'All Ticker P&amp;L'!E446)</f>
        <v>0</v>
      </c>
      <c r="AQ446" s="266">
        <f>IF($AL446="",0,'All Ticker P&amp;L'!J446*'All Ticker P&amp;L'!I446)</f>
        <v>0</v>
      </c>
      <c r="AR446" s="266">
        <f>IF($AL446="",0,'All Ticker P&amp;L'!L446)</f>
        <v>0</v>
      </c>
      <c r="AS446" s="267">
        <f>IF($AL446="",0,'All Ticker P&amp;L'!M446)</f>
        <v>0</v>
      </c>
      <c r="AT446" s="243" t="str">
        <f>IF($AL446="","",RANK(AR446,$AR$2:$AR$1001)+COUNTIF($AR$2:AR446,AR446)-1)</f>
        <v/>
      </c>
      <c r="AU446" s="243" t="str">
        <f>IF($AL446="","",RANK(AV446,$AV$2:$AV$1001)+COUNTIF($AV$2:AV446,AV446)-1)</f>
        <v/>
      </c>
      <c r="AV446" s="266">
        <f t="shared" si="44"/>
        <v>0</v>
      </c>
    </row>
    <row r="447" spans="26:48" ht="15" customHeight="1" x14ac:dyDescent="0.2">
      <c r="Z447" s="243" t="str">
        <f>Shares!A447</f>
        <v/>
      </c>
      <c r="AA447" s="243" t="str">
        <f>Shares!B447</f>
        <v/>
      </c>
      <c r="AB447" s="243" t="str">
        <f>Shares!C447</f>
        <v/>
      </c>
      <c r="AC447" s="243" t="str">
        <f>Shares!D447</f>
        <v/>
      </c>
      <c r="AD447" s="243">
        <f>IF($Z447="",0,Shares!E447)</f>
        <v>0</v>
      </c>
      <c r="AE447" s="266">
        <f>IF($Z447="",0,Shares!J447*Shares!I447)</f>
        <v>0</v>
      </c>
      <c r="AF447" s="267">
        <f t="shared" si="43"/>
        <v>0</v>
      </c>
      <c r="AG447" s="266">
        <f>IF($Z447="",0,Shares!L447)</f>
        <v>0</v>
      </c>
      <c r="AH447" s="267">
        <f>IF($Z447="",0,Shares!M447)</f>
        <v>0</v>
      </c>
      <c r="AI447" s="243" t="str">
        <f>IF($Z447="","",RANK(AE447,$AE$2:$AE$1001)+COUNTIF($AE$2:AE447,AE447)-1)</f>
        <v/>
      </c>
      <c r="AJ447" s="243" t="str">
        <f>IF($AD447&lt;0,COUNT($AJ$1:AJ446)+1,"")</f>
        <v/>
      </c>
      <c r="AL447" s="243" t="str">
        <f>'All Ticker P&amp;L'!A447</f>
        <v/>
      </c>
      <c r="AM447" s="243" t="str">
        <f>'All Ticker P&amp;L'!B447</f>
        <v/>
      </c>
      <c r="AN447" s="243" t="str">
        <f>'All Ticker P&amp;L'!C447</f>
        <v/>
      </c>
      <c r="AO447" s="243" t="str">
        <f>'All Ticker P&amp;L'!D447</f>
        <v/>
      </c>
      <c r="AP447" s="243">
        <f>IF($AL447="",0,'All Ticker P&amp;L'!E447)</f>
        <v>0</v>
      </c>
      <c r="AQ447" s="266">
        <f>IF($AL447="",0,'All Ticker P&amp;L'!J447*'All Ticker P&amp;L'!I447)</f>
        <v>0</v>
      </c>
      <c r="AR447" s="266">
        <f>IF($AL447="",0,'All Ticker P&amp;L'!L447)</f>
        <v>0</v>
      </c>
      <c r="AS447" s="267">
        <f>IF($AL447="",0,'All Ticker P&amp;L'!M447)</f>
        <v>0</v>
      </c>
      <c r="AT447" s="243" t="str">
        <f>IF($AL447="","",RANK(AR447,$AR$2:$AR$1001)+COUNTIF($AR$2:AR447,AR447)-1)</f>
        <v/>
      </c>
      <c r="AU447" s="243" t="str">
        <f>IF($AL447="","",RANK(AV447,$AV$2:$AV$1001)+COUNTIF($AV$2:AV447,AV447)-1)</f>
        <v/>
      </c>
      <c r="AV447" s="266">
        <f t="shared" si="44"/>
        <v>0</v>
      </c>
    </row>
    <row r="448" spans="26:48" ht="15" customHeight="1" x14ac:dyDescent="0.2">
      <c r="Z448" s="243" t="str">
        <f>Shares!A448</f>
        <v/>
      </c>
      <c r="AA448" s="243" t="str">
        <f>Shares!B448</f>
        <v/>
      </c>
      <c r="AB448" s="243" t="str">
        <f>Shares!C448</f>
        <v/>
      </c>
      <c r="AC448" s="243" t="str">
        <f>Shares!D448</f>
        <v/>
      </c>
      <c r="AD448" s="243">
        <f>IF($Z448="",0,Shares!E448)</f>
        <v>0</v>
      </c>
      <c r="AE448" s="266">
        <f>IF($Z448="",0,Shares!J448*Shares!I448)</f>
        <v>0</v>
      </c>
      <c r="AF448" s="267">
        <f t="shared" si="43"/>
        <v>0</v>
      </c>
      <c r="AG448" s="266">
        <f>IF($Z448="",0,Shares!L448)</f>
        <v>0</v>
      </c>
      <c r="AH448" s="267">
        <f>IF($Z448="",0,Shares!M448)</f>
        <v>0</v>
      </c>
      <c r="AI448" s="243" t="str">
        <f>IF($Z448="","",RANK(AE448,$AE$2:$AE$1001)+COUNTIF($AE$2:AE448,AE448)-1)</f>
        <v/>
      </c>
      <c r="AJ448" s="243" t="str">
        <f>IF($AD448&lt;0,COUNT($AJ$1:AJ447)+1,"")</f>
        <v/>
      </c>
      <c r="AL448" s="243" t="str">
        <f>'All Ticker P&amp;L'!A448</f>
        <v/>
      </c>
      <c r="AM448" s="243" t="str">
        <f>'All Ticker P&amp;L'!B448</f>
        <v/>
      </c>
      <c r="AN448" s="243" t="str">
        <f>'All Ticker P&amp;L'!C448</f>
        <v/>
      </c>
      <c r="AO448" s="243" t="str">
        <f>'All Ticker P&amp;L'!D448</f>
        <v/>
      </c>
      <c r="AP448" s="243">
        <f>IF($AL448="",0,'All Ticker P&amp;L'!E448)</f>
        <v>0</v>
      </c>
      <c r="AQ448" s="266">
        <f>IF($AL448="",0,'All Ticker P&amp;L'!J448*'All Ticker P&amp;L'!I448)</f>
        <v>0</v>
      </c>
      <c r="AR448" s="266">
        <f>IF($AL448="",0,'All Ticker P&amp;L'!L448)</f>
        <v>0</v>
      </c>
      <c r="AS448" s="267">
        <f>IF($AL448="",0,'All Ticker P&amp;L'!M448)</f>
        <v>0</v>
      </c>
      <c r="AT448" s="243" t="str">
        <f>IF($AL448="","",RANK(AR448,$AR$2:$AR$1001)+COUNTIF($AR$2:AR448,AR448)-1)</f>
        <v/>
      </c>
      <c r="AU448" s="243" t="str">
        <f>IF($AL448="","",RANK(AV448,$AV$2:$AV$1001)+COUNTIF($AV$2:AV448,AV448)-1)</f>
        <v/>
      </c>
      <c r="AV448" s="266">
        <f t="shared" si="44"/>
        <v>0</v>
      </c>
    </row>
    <row r="449" spans="26:48" ht="15" customHeight="1" x14ac:dyDescent="0.2">
      <c r="Z449" s="243" t="str">
        <f>Shares!A449</f>
        <v/>
      </c>
      <c r="AA449" s="243" t="str">
        <f>Shares!B449</f>
        <v/>
      </c>
      <c r="AB449" s="243" t="str">
        <f>Shares!C449</f>
        <v/>
      </c>
      <c r="AC449" s="243" t="str">
        <f>Shares!D449</f>
        <v/>
      </c>
      <c r="AD449" s="243">
        <f>IF($Z449="",0,Shares!E449)</f>
        <v>0</v>
      </c>
      <c r="AE449" s="266">
        <f>IF($Z449="",0,Shares!J449*Shares!I449)</f>
        <v>0</v>
      </c>
      <c r="AF449" s="267">
        <f t="shared" si="43"/>
        <v>0</v>
      </c>
      <c r="AG449" s="266">
        <f>IF($Z449="",0,Shares!L449)</f>
        <v>0</v>
      </c>
      <c r="AH449" s="267">
        <f>IF($Z449="",0,Shares!M449)</f>
        <v>0</v>
      </c>
      <c r="AI449" s="243" t="str">
        <f>IF($Z449="","",RANK(AE449,$AE$2:$AE$1001)+COUNTIF($AE$2:AE449,AE449)-1)</f>
        <v/>
      </c>
      <c r="AJ449" s="243" t="str">
        <f>IF($AD449&lt;0,COUNT($AJ$1:AJ448)+1,"")</f>
        <v/>
      </c>
      <c r="AL449" s="243" t="str">
        <f>'All Ticker P&amp;L'!A449</f>
        <v/>
      </c>
      <c r="AM449" s="243" t="str">
        <f>'All Ticker P&amp;L'!B449</f>
        <v/>
      </c>
      <c r="AN449" s="243" t="str">
        <f>'All Ticker P&amp;L'!C449</f>
        <v/>
      </c>
      <c r="AO449" s="243" t="str">
        <f>'All Ticker P&amp;L'!D449</f>
        <v/>
      </c>
      <c r="AP449" s="243">
        <f>IF($AL449="",0,'All Ticker P&amp;L'!E449)</f>
        <v>0</v>
      </c>
      <c r="AQ449" s="266">
        <f>IF($AL449="",0,'All Ticker P&amp;L'!J449*'All Ticker P&amp;L'!I449)</f>
        <v>0</v>
      </c>
      <c r="AR449" s="266">
        <f>IF($AL449="",0,'All Ticker P&amp;L'!L449)</f>
        <v>0</v>
      </c>
      <c r="AS449" s="267">
        <f>IF($AL449="",0,'All Ticker P&amp;L'!M449)</f>
        <v>0</v>
      </c>
      <c r="AT449" s="243" t="str">
        <f>IF($AL449="","",RANK(AR449,$AR$2:$AR$1001)+COUNTIF($AR$2:AR449,AR449)-1)</f>
        <v/>
      </c>
      <c r="AU449" s="243" t="str">
        <f>IF($AL449="","",RANK(AV449,$AV$2:$AV$1001)+COUNTIF($AV$2:AV449,AV449)-1)</f>
        <v/>
      </c>
      <c r="AV449" s="266">
        <f t="shared" si="44"/>
        <v>0</v>
      </c>
    </row>
    <row r="450" spans="26:48" ht="15" customHeight="1" x14ac:dyDescent="0.2">
      <c r="Z450" s="243" t="str">
        <f>Shares!A450</f>
        <v/>
      </c>
      <c r="AA450" s="243" t="str">
        <f>Shares!B450</f>
        <v/>
      </c>
      <c r="AB450" s="243" t="str">
        <f>Shares!C450</f>
        <v/>
      </c>
      <c r="AC450" s="243" t="str">
        <f>Shares!D450</f>
        <v/>
      </c>
      <c r="AD450" s="243">
        <f>IF($Z450="",0,Shares!E450)</f>
        <v>0</v>
      </c>
      <c r="AE450" s="266">
        <f>IF($Z450="",0,Shares!J450*Shares!I450)</f>
        <v>0</v>
      </c>
      <c r="AF450" s="267">
        <f t="shared" ref="AF450:AF513" si="45">IFERROR(AE450/$B$5,0)</f>
        <v>0</v>
      </c>
      <c r="AG450" s="266">
        <f>IF($Z450="",0,Shares!L450)</f>
        <v>0</v>
      </c>
      <c r="AH450" s="267">
        <f>IF($Z450="",0,Shares!M450)</f>
        <v>0</v>
      </c>
      <c r="AI450" s="243" t="str">
        <f>IF($Z450="","",RANK(AE450,$AE$2:$AE$1001)+COUNTIF($AE$2:AE450,AE450)-1)</f>
        <v/>
      </c>
      <c r="AJ450" s="243" t="str">
        <f>IF($AD450&lt;0,COUNT($AJ$1:AJ449)+1,"")</f>
        <v/>
      </c>
      <c r="AL450" s="243" t="str">
        <f>'All Ticker P&amp;L'!A450</f>
        <v/>
      </c>
      <c r="AM450" s="243" t="str">
        <f>'All Ticker P&amp;L'!B450</f>
        <v/>
      </c>
      <c r="AN450" s="243" t="str">
        <f>'All Ticker P&amp;L'!C450</f>
        <v/>
      </c>
      <c r="AO450" s="243" t="str">
        <f>'All Ticker P&amp;L'!D450</f>
        <v/>
      </c>
      <c r="AP450" s="243">
        <f>IF($AL450="",0,'All Ticker P&amp;L'!E450)</f>
        <v>0</v>
      </c>
      <c r="AQ450" s="266">
        <f>IF($AL450="",0,'All Ticker P&amp;L'!J450*'All Ticker P&amp;L'!I450)</f>
        <v>0</v>
      </c>
      <c r="AR450" s="266">
        <f>IF($AL450="",0,'All Ticker P&amp;L'!L450)</f>
        <v>0</v>
      </c>
      <c r="AS450" s="267">
        <f>IF($AL450="",0,'All Ticker P&amp;L'!M450)</f>
        <v>0</v>
      </c>
      <c r="AT450" s="243" t="str">
        <f>IF($AL450="","",RANK(AR450,$AR$2:$AR$1001)+COUNTIF($AR$2:AR450,AR450)-1)</f>
        <v/>
      </c>
      <c r="AU450" s="243" t="str">
        <f>IF($AL450="","",RANK(AV450,$AV$2:$AV$1001)+COUNTIF($AV$2:AV450,AV450)-1)</f>
        <v/>
      </c>
      <c r="AV450" s="266">
        <f t="shared" ref="AV450:AV513" si="46">-AR450</f>
        <v>0</v>
      </c>
    </row>
    <row r="451" spans="26:48" ht="15" customHeight="1" x14ac:dyDescent="0.2">
      <c r="Z451" s="243" t="str">
        <f>Shares!A451</f>
        <v/>
      </c>
      <c r="AA451" s="243" t="str">
        <f>Shares!B451</f>
        <v/>
      </c>
      <c r="AB451" s="243" t="str">
        <f>Shares!C451</f>
        <v/>
      </c>
      <c r="AC451" s="243" t="str">
        <f>Shares!D451</f>
        <v/>
      </c>
      <c r="AD451" s="243">
        <f>IF($Z451="",0,Shares!E451)</f>
        <v>0</v>
      </c>
      <c r="AE451" s="266">
        <f>IF($Z451="",0,Shares!J451*Shares!I451)</f>
        <v>0</v>
      </c>
      <c r="AF451" s="267">
        <f t="shared" si="45"/>
        <v>0</v>
      </c>
      <c r="AG451" s="266">
        <f>IF($Z451="",0,Shares!L451)</f>
        <v>0</v>
      </c>
      <c r="AH451" s="267">
        <f>IF($Z451="",0,Shares!M451)</f>
        <v>0</v>
      </c>
      <c r="AI451" s="243" t="str">
        <f>IF($Z451="","",RANK(AE451,$AE$2:$AE$1001)+COUNTIF($AE$2:AE451,AE451)-1)</f>
        <v/>
      </c>
      <c r="AJ451" s="243" t="str">
        <f>IF($AD451&lt;0,COUNT($AJ$1:AJ450)+1,"")</f>
        <v/>
      </c>
      <c r="AL451" s="243" t="str">
        <f>'All Ticker P&amp;L'!A451</f>
        <v/>
      </c>
      <c r="AM451" s="243" t="str">
        <f>'All Ticker P&amp;L'!B451</f>
        <v/>
      </c>
      <c r="AN451" s="243" t="str">
        <f>'All Ticker P&amp;L'!C451</f>
        <v/>
      </c>
      <c r="AO451" s="243" t="str">
        <f>'All Ticker P&amp;L'!D451</f>
        <v/>
      </c>
      <c r="AP451" s="243">
        <f>IF($AL451="",0,'All Ticker P&amp;L'!E451)</f>
        <v>0</v>
      </c>
      <c r="AQ451" s="266">
        <f>IF($AL451="",0,'All Ticker P&amp;L'!J451*'All Ticker P&amp;L'!I451)</f>
        <v>0</v>
      </c>
      <c r="AR451" s="266">
        <f>IF($AL451="",0,'All Ticker P&amp;L'!L451)</f>
        <v>0</v>
      </c>
      <c r="AS451" s="267">
        <f>IF($AL451="",0,'All Ticker P&amp;L'!M451)</f>
        <v>0</v>
      </c>
      <c r="AT451" s="243" t="str">
        <f>IF($AL451="","",RANK(AR451,$AR$2:$AR$1001)+COUNTIF($AR$2:AR451,AR451)-1)</f>
        <v/>
      </c>
      <c r="AU451" s="243" t="str">
        <f>IF($AL451="","",RANK(AV451,$AV$2:$AV$1001)+COUNTIF($AV$2:AV451,AV451)-1)</f>
        <v/>
      </c>
      <c r="AV451" s="266">
        <f t="shared" si="46"/>
        <v>0</v>
      </c>
    </row>
    <row r="452" spans="26:48" ht="15" customHeight="1" x14ac:dyDescent="0.2">
      <c r="Z452" s="243" t="str">
        <f>Shares!A452</f>
        <v/>
      </c>
      <c r="AA452" s="243" t="str">
        <f>Shares!B452</f>
        <v/>
      </c>
      <c r="AB452" s="243" t="str">
        <f>Shares!C452</f>
        <v/>
      </c>
      <c r="AC452" s="243" t="str">
        <f>Shares!D452</f>
        <v/>
      </c>
      <c r="AD452" s="243">
        <f>IF($Z452="",0,Shares!E452)</f>
        <v>0</v>
      </c>
      <c r="AE452" s="266">
        <f>IF($Z452="",0,Shares!J452*Shares!I452)</f>
        <v>0</v>
      </c>
      <c r="AF452" s="267">
        <f t="shared" si="45"/>
        <v>0</v>
      </c>
      <c r="AG452" s="266">
        <f>IF($Z452="",0,Shares!L452)</f>
        <v>0</v>
      </c>
      <c r="AH452" s="267">
        <f>IF($Z452="",0,Shares!M452)</f>
        <v>0</v>
      </c>
      <c r="AI452" s="243" t="str">
        <f>IF($Z452="","",RANK(AE452,$AE$2:$AE$1001)+COUNTIF($AE$2:AE452,AE452)-1)</f>
        <v/>
      </c>
      <c r="AJ452" s="243" t="str">
        <f>IF($AD452&lt;0,COUNT($AJ$1:AJ451)+1,"")</f>
        <v/>
      </c>
      <c r="AL452" s="243" t="str">
        <f>'All Ticker P&amp;L'!A452</f>
        <v/>
      </c>
      <c r="AM452" s="243" t="str">
        <f>'All Ticker P&amp;L'!B452</f>
        <v/>
      </c>
      <c r="AN452" s="243" t="str">
        <f>'All Ticker P&amp;L'!C452</f>
        <v/>
      </c>
      <c r="AO452" s="243" t="str">
        <f>'All Ticker P&amp;L'!D452</f>
        <v/>
      </c>
      <c r="AP452" s="243">
        <f>IF($AL452="",0,'All Ticker P&amp;L'!E452)</f>
        <v>0</v>
      </c>
      <c r="AQ452" s="266">
        <f>IF($AL452="",0,'All Ticker P&amp;L'!J452*'All Ticker P&amp;L'!I452)</f>
        <v>0</v>
      </c>
      <c r="AR452" s="266">
        <f>IF($AL452="",0,'All Ticker P&amp;L'!L452)</f>
        <v>0</v>
      </c>
      <c r="AS452" s="267">
        <f>IF($AL452="",0,'All Ticker P&amp;L'!M452)</f>
        <v>0</v>
      </c>
      <c r="AT452" s="243" t="str">
        <f>IF($AL452="","",RANK(AR452,$AR$2:$AR$1001)+COUNTIF($AR$2:AR452,AR452)-1)</f>
        <v/>
      </c>
      <c r="AU452" s="243" t="str">
        <f>IF($AL452="","",RANK(AV452,$AV$2:$AV$1001)+COUNTIF($AV$2:AV452,AV452)-1)</f>
        <v/>
      </c>
      <c r="AV452" s="266">
        <f t="shared" si="46"/>
        <v>0</v>
      </c>
    </row>
    <row r="453" spans="26:48" ht="15" customHeight="1" x14ac:dyDescent="0.2">
      <c r="Z453" s="243" t="str">
        <f>Shares!A453</f>
        <v/>
      </c>
      <c r="AA453" s="243" t="str">
        <f>Shares!B453</f>
        <v/>
      </c>
      <c r="AB453" s="243" t="str">
        <f>Shares!C453</f>
        <v/>
      </c>
      <c r="AC453" s="243" t="str">
        <f>Shares!D453</f>
        <v/>
      </c>
      <c r="AD453" s="243">
        <f>IF($Z453="",0,Shares!E453)</f>
        <v>0</v>
      </c>
      <c r="AE453" s="266">
        <f>IF($Z453="",0,Shares!J453*Shares!I453)</f>
        <v>0</v>
      </c>
      <c r="AF453" s="267">
        <f t="shared" si="45"/>
        <v>0</v>
      </c>
      <c r="AG453" s="266">
        <f>IF($Z453="",0,Shares!L453)</f>
        <v>0</v>
      </c>
      <c r="AH453" s="267">
        <f>IF($Z453="",0,Shares!M453)</f>
        <v>0</v>
      </c>
      <c r="AI453" s="243" t="str">
        <f>IF($Z453="","",RANK(AE453,$AE$2:$AE$1001)+COUNTIF($AE$2:AE453,AE453)-1)</f>
        <v/>
      </c>
      <c r="AJ453" s="243" t="str">
        <f>IF($AD453&lt;0,COUNT($AJ$1:AJ452)+1,"")</f>
        <v/>
      </c>
      <c r="AL453" s="243" t="str">
        <f>'All Ticker P&amp;L'!A453</f>
        <v/>
      </c>
      <c r="AM453" s="243" t="str">
        <f>'All Ticker P&amp;L'!B453</f>
        <v/>
      </c>
      <c r="AN453" s="243" t="str">
        <f>'All Ticker P&amp;L'!C453</f>
        <v/>
      </c>
      <c r="AO453" s="243" t="str">
        <f>'All Ticker P&amp;L'!D453</f>
        <v/>
      </c>
      <c r="AP453" s="243">
        <f>IF($AL453="",0,'All Ticker P&amp;L'!E453)</f>
        <v>0</v>
      </c>
      <c r="AQ453" s="266">
        <f>IF($AL453="",0,'All Ticker P&amp;L'!J453*'All Ticker P&amp;L'!I453)</f>
        <v>0</v>
      </c>
      <c r="AR453" s="266">
        <f>IF($AL453="",0,'All Ticker P&amp;L'!L453)</f>
        <v>0</v>
      </c>
      <c r="AS453" s="267">
        <f>IF($AL453="",0,'All Ticker P&amp;L'!M453)</f>
        <v>0</v>
      </c>
      <c r="AT453" s="243" t="str">
        <f>IF($AL453="","",RANK(AR453,$AR$2:$AR$1001)+COUNTIF($AR$2:AR453,AR453)-1)</f>
        <v/>
      </c>
      <c r="AU453" s="243" t="str">
        <f>IF($AL453="","",RANK(AV453,$AV$2:$AV$1001)+COUNTIF($AV$2:AV453,AV453)-1)</f>
        <v/>
      </c>
      <c r="AV453" s="266">
        <f t="shared" si="46"/>
        <v>0</v>
      </c>
    </row>
    <row r="454" spans="26:48" ht="15" customHeight="1" x14ac:dyDescent="0.2">
      <c r="Z454" s="243" t="str">
        <f>Shares!A454</f>
        <v/>
      </c>
      <c r="AA454" s="243" t="str">
        <f>Shares!B454</f>
        <v/>
      </c>
      <c r="AB454" s="243" t="str">
        <f>Shares!C454</f>
        <v/>
      </c>
      <c r="AC454" s="243" t="str">
        <f>Shares!D454</f>
        <v/>
      </c>
      <c r="AD454" s="243">
        <f>IF($Z454="",0,Shares!E454)</f>
        <v>0</v>
      </c>
      <c r="AE454" s="266">
        <f>IF($Z454="",0,Shares!J454*Shares!I454)</f>
        <v>0</v>
      </c>
      <c r="AF454" s="267">
        <f t="shared" si="45"/>
        <v>0</v>
      </c>
      <c r="AG454" s="266">
        <f>IF($Z454="",0,Shares!L454)</f>
        <v>0</v>
      </c>
      <c r="AH454" s="267">
        <f>IF($Z454="",0,Shares!M454)</f>
        <v>0</v>
      </c>
      <c r="AI454" s="243" t="str">
        <f>IF($Z454="","",RANK(AE454,$AE$2:$AE$1001)+COUNTIF($AE$2:AE454,AE454)-1)</f>
        <v/>
      </c>
      <c r="AJ454" s="243" t="str">
        <f>IF($AD454&lt;0,COUNT($AJ$1:AJ453)+1,"")</f>
        <v/>
      </c>
      <c r="AL454" s="243" t="str">
        <f>'All Ticker P&amp;L'!A454</f>
        <v/>
      </c>
      <c r="AM454" s="243" t="str">
        <f>'All Ticker P&amp;L'!B454</f>
        <v/>
      </c>
      <c r="AN454" s="243" t="str">
        <f>'All Ticker P&amp;L'!C454</f>
        <v/>
      </c>
      <c r="AO454" s="243" t="str">
        <f>'All Ticker P&amp;L'!D454</f>
        <v/>
      </c>
      <c r="AP454" s="243">
        <f>IF($AL454="",0,'All Ticker P&amp;L'!E454)</f>
        <v>0</v>
      </c>
      <c r="AQ454" s="266">
        <f>IF($AL454="",0,'All Ticker P&amp;L'!J454*'All Ticker P&amp;L'!I454)</f>
        <v>0</v>
      </c>
      <c r="AR454" s="266">
        <f>IF($AL454="",0,'All Ticker P&amp;L'!L454)</f>
        <v>0</v>
      </c>
      <c r="AS454" s="267">
        <f>IF($AL454="",0,'All Ticker P&amp;L'!M454)</f>
        <v>0</v>
      </c>
      <c r="AT454" s="243" t="str">
        <f>IF($AL454="","",RANK(AR454,$AR$2:$AR$1001)+COUNTIF($AR$2:AR454,AR454)-1)</f>
        <v/>
      </c>
      <c r="AU454" s="243" t="str">
        <f>IF($AL454="","",RANK(AV454,$AV$2:$AV$1001)+COUNTIF($AV$2:AV454,AV454)-1)</f>
        <v/>
      </c>
      <c r="AV454" s="266">
        <f t="shared" si="46"/>
        <v>0</v>
      </c>
    </row>
    <row r="455" spans="26:48" ht="15" customHeight="1" x14ac:dyDescent="0.2">
      <c r="Z455" s="243" t="str">
        <f>Shares!A455</f>
        <v/>
      </c>
      <c r="AA455" s="243" t="str">
        <f>Shares!B455</f>
        <v/>
      </c>
      <c r="AB455" s="243" t="str">
        <f>Shares!C455</f>
        <v/>
      </c>
      <c r="AC455" s="243" t="str">
        <f>Shares!D455</f>
        <v/>
      </c>
      <c r="AD455" s="243">
        <f>IF($Z455="",0,Shares!E455)</f>
        <v>0</v>
      </c>
      <c r="AE455" s="266">
        <f>IF($Z455="",0,Shares!J455*Shares!I455)</f>
        <v>0</v>
      </c>
      <c r="AF455" s="267">
        <f t="shared" si="45"/>
        <v>0</v>
      </c>
      <c r="AG455" s="266">
        <f>IF($Z455="",0,Shares!L455)</f>
        <v>0</v>
      </c>
      <c r="AH455" s="267">
        <f>IF($Z455="",0,Shares!M455)</f>
        <v>0</v>
      </c>
      <c r="AI455" s="243" t="str">
        <f>IF($Z455="","",RANK(AE455,$AE$2:$AE$1001)+COUNTIF($AE$2:AE455,AE455)-1)</f>
        <v/>
      </c>
      <c r="AJ455" s="243" t="str">
        <f>IF($AD455&lt;0,COUNT($AJ$1:AJ454)+1,"")</f>
        <v/>
      </c>
      <c r="AL455" s="243" t="str">
        <f>'All Ticker P&amp;L'!A455</f>
        <v/>
      </c>
      <c r="AM455" s="243" t="str">
        <f>'All Ticker P&amp;L'!B455</f>
        <v/>
      </c>
      <c r="AN455" s="243" t="str">
        <f>'All Ticker P&amp;L'!C455</f>
        <v/>
      </c>
      <c r="AO455" s="243" t="str">
        <f>'All Ticker P&amp;L'!D455</f>
        <v/>
      </c>
      <c r="AP455" s="243">
        <f>IF($AL455="",0,'All Ticker P&amp;L'!E455)</f>
        <v>0</v>
      </c>
      <c r="AQ455" s="266">
        <f>IF($AL455="",0,'All Ticker P&amp;L'!J455*'All Ticker P&amp;L'!I455)</f>
        <v>0</v>
      </c>
      <c r="AR455" s="266">
        <f>IF($AL455="",0,'All Ticker P&amp;L'!L455)</f>
        <v>0</v>
      </c>
      <c r="AS455" s="267">
        <f>IF($AL455="",0,'All Ticker P&amp;L'!M455)</f>
        <v>0</v>
      </c>
      <c r="AT455" s="243" t="str">
        <f>IF($AL455="","",RANK(AR455,$AR$2:$AR$1001)+COUNTIF($AR$2:AR455,AR455)-1)</f>
        <v/>
      </c>
      <c r="AU455" s="243" t="str">
        <f>IF($AL455="","",RANK(AV455,$AV$2:$AV$1001)+COUNTIF($AV$2:AV455,AV455)-1)</f>
        <v/>
      </c>
      <c r="AV455" s="266">
        <f t="shared" si="46"/>
        <v>0</v>
      </c>
    </row>
    <row r="456" spans="26:48" ht="15" customHeight="1" x14ac:dyDescent="0.2">
      <c r="Z456" s="243" t="str">
        <f>Shares!A456</f>
        <v/>
      </c>
      <c r="AA456" s="243" t="str">
        <f>Shares!B456</f>
        <v/>
      </c>
      <c r="AB456" s="243" t="str">
        <f>Shares!C456</f>
        <v/>
      </c>
      <c r="AC456" s="243" t="str">
        <f>Shares!D456</f>
        <v/>
      </c>
      <c r="AD456" s="243">
        <f>IF($Z456="",0,Shares!E456)</f>
        <v>0</v>
      </c>
      <c r="AE456" s="266">
        <f>IF($Z456="",0,Shares!J456*Shares!I456)</f>
        <v>0</v>
      </c>
      <c r="AF456" s="267">
        <f t="shared" si="45"/>
        <v>0</v>
      </c>
      <c r="AG456" s="266">
        <f>IF($Z456="",0,Shares!L456)</f>
        <v>0</v>
      </c>
      <c r="AH456" s="267">
        <f>IF($Z456="",0,Shares!M456)</f>
        <v>0</v>
      </c>
      <c r="AI456" s="243" t="str">
        <f>IF($Z456="","",RANK(AE456,$AE$2:$AE$1001)+COUNTIF($AE$2:AE456,AE456)-1)</f>
        <v/>
      </c>
      <c r="AJ456" s="243" t="str">
        <f>IF($AD456&lt;0,COUNT($AJ$1:AJ455)+1,"")</f>
        <v/>
      </c>
      <c r="AL456" s="243" t="str">
        <f>'All Ticker P&amp;L'!A456</f>
        <v/>
      </c>
      <c r="AM456" s="243" t="str">
        <f>'All Ticker P&amp;L'!B456</f>
        <v/>
      </c>
      <c r="AN456" s="243" t="str">
        <f>'All Ticker P&amp;L'!C456</f>
        <v/>
      </c>
      <c r="AO456" s="243" t="str">
        <f>'All Ticker P&amp;L'!D456</f>
        <v/>
      </c>
      <c r="AP456" s="243">
        <f>IF($AL456="",0,'All Ticker P&amp;L'!E456)</f>
        <v>0</v>
      </c>
      <c r="AQ456" s="266">
        <f>IF($AL456="",0,'All Ticker P&amp;L'!J456*'All Ticker P&amp;L'!I456)</f>
        <v>0</v>
      </c>
      <c r="AR456" s="266">
        <f>IF($AL456="",0,'All Ticker P&amp;L'!L456)</f>
        <v>0</v>
      </c>
      <c r="AS456" s="267">
        <f>IF($AL456="",0,'All Ticker P&amp;L'!M456)</f>
        <v>0</v>
      </c>
      <c r="AT456" s="243" t="str">
        <f>IF($AL456="","",RANK(AR456,$AR$2:$AR$1001)+COUNTIF($AR$2:AR456,AR456)-1)</f>
        <v/>
      </c>
      <c r="AU456" s="243" t="str">
        <f>IF($AL456="","",RANK(AV456,$AV$2:$AV$1001)+COUNTIF($AV$2:AV456,AV456)-1)</f>
        <v/>
      </c>
      <c r="AV456" s="266">
        <f t="shared" si="46"/>
        <v>0</v>
      </c>
    </row>
    <row r="457" spans="26:48" ht="15" customHeight="1" x14ac:dyDescent="0.2">
      <c r="Z457" s="243" t="str">
        <f>Shares!A457</f>
        <v/>
      </c>
      <c r="AA457" s="243" t="str">
        <f>Shares!B457</f>
        <v/>
      </c>
      <c r="AB457" s="243" t="str">
        <f>Shares!C457</f>
        <v/>
      </c>
      <c r="AC457" s="243" t="str">
        <f>Shares!D457</f>
        <v/>
      </c>
      <c r="AD457" s="243">
        <f>IF($Z457="",0,Shares!E457)</f>
        <v>0</v>
      </c>
      <c r="AE457" s="266">
        <f>IF($Z457="",0,Shares!J457*Shares!I457)</f>
        <v>0</v>
      </c>
      <c r="AF457" s="267">
        <f t="shared" si="45"/>
        <v>0</v>
      </c>
      <c r="AG457" s="266">
        <f>IF($Z457="",0,Shares!L457)</f>
        <v>0</v>
      </c>
      <c r="AH457" s="267">
        <f>IF($Z457="",0,Shares!M457)</f>
        <v>0</v>
      </c>
      <c r="AI457" s="243" t="str">
        <f>IF($Z457="","",RANK(AE457,$AE$2:$AE$1001)+COUNTIF($AE$2:AE457,AE457)-1)</f>
        <v/>
      </c>
      <c r="AJ457" s="243" t="str">
        <f>IF($AD457&lt;0,COUNT($AJ$1:AJ456)+1,"")</f>
        <v/>
      </c>
      <c r="AL457" s="243" t="str">
        <f>'All Ticker P&amp;L'!A457</f>
        <v/>
      </c>
      <c r="AM457" s="243" t="str">
        <f>'All Ticker P&amp;L'!B457</f>
        <v/>
      </c>
      <c r="AN457" s="243" t="str">
        <f>'All Ticker P&amp;L'!C457</f>
        <v/>
      </c>
      <c r="AO457" s="243" t="str">
        <f>'All Ticker P&amp;L'!D457</f>
        <v/>
      </c>
      <c r="AP457" s="243">
        <f>IF($AL457="",0,'All Ticker P&amp;L'!E457)</f>
        <v>0</v>
      </c>
      <c r="AQ457" s="266">
        <f>IF($AL457="",0,'All Ticker P&amp;L'!J457*'All Ticker P&amp;L'!I457)</f>
        <v>0</v>
      </c>
      <c r="AR457" s="266">
        <f>IF($AL457="",0,'All Ticker P&amp;L'!L457)</f>
        <v>0</v>
      </c>
      <c r="AS457" s="267">
        <f>IF($AL457="",0,'All Ticker P&amp;L'!M457)</f>
        <v>0</v>
      </c>
      <c r="AT457" s="243" t="str">
        <f>IF($AL457="","",RANK(AR457,$AR$2:$AR$1001)+COUNTIF($AR$2:AR457,AR457)-1)</f>
        <v/>
      </c>
      <c r="AU457" s="243" t="str">
        <f>IF($AL457="","",RANK(AV457,$AV$2:$AV$1001)+COUNTIF($AV$2:AV457,AV457)-1)</f>
        <v/>
      </c>
      <c r="AV457" s="266">
        <f t="shared" si="46"/>
        <v>0</v>
      </c>
    </row>
    <row r="458" spans="26:48" ht="15" customHeight="1" x14ac:dyDescent="0.2">
      <c r="Z458" s="243" t="str">
        <f>Shares!A458</f>
        <v/>
      </c>
      <c r="AA458" s="243" t="str">
        <f>Shares!B458</f>
        <v/>
      </c>
      <c r="AB458" s="243" t="str">
        <f>Shares!C458</f>
        <v/>
      </c>
      <c r="AC458" s="243" t="str">
        <f>Shares!D458</f>
        <v/>
      </c>
      <c r="AD458" s="243">
        <f>IF($Z458="",0,Shares!E458)</f>
        <v>0</v>
      </c>
      <c r="AE458" s="266">
        <f>IF($Z458="",0,Shares!J458*Shares!I458)</f>
        <v>0</v>
      </c>
      <c r="AF458" s="267">
        <f t="shared" si="45"/>
        <v>0</v>
      </c>
      <c r="AG458" s="266">
        <f>IF($Z458="",0,Shares!L458)</f>
        <v>0</v>
      </c>
      <c r="AH458" s="267">
        <f>IF($Z458="",0,Shares!M458)</f>
        <v>0</v>
      </c>
      <c r="AI458" s="243" t="str">
        <f>IF($Z458="","",RANK(AE458,$AE$2:$AE$1001)+COUNTIF($AE$2:AE458,AE458)-1)</f>
        <v/>
      </c>
      <c r="AJ458" s="243" t="str">
        <f>IF($AD458&lt;0,COUNT($AJ$1:AJ457)+1,"")</f>
        <v/>
      </c>
      <c r="AL458" s="243" t="str">
        <f>'All Ticker P&amp;L'!A458</f>
        <v/>
      </c>
      <c r="AM458" s="243" t="str">
        <f>'All Ticker P&amp;L'!B458</f>
        <v/>
      </c>
      <c r="AN458" s="243" t="str">
        <f>'All Ticker P&amp;L'!C458</f>
        <v/>
      </c>
      <c r="AO458" s="243" t="str">
        <f>'All Ticker P&amp;L'!D458</f>
        <v/>
      </c>
      <c r="AP458" s="243">
        <f>IF($AL458="",0,'All Ticker P&amp;L'!E458)</f>
        <v>0</v>
      </c>
      <c r="AQ458" s="266">
        <f>IF($AL458="",0,'All Ticker P&amp;L'!J458*'All Ticker P&amp;L'!I458)</f>
        <v>0</v>
      </c>
      <c r="AR458" s="266">
        <f>IF($AL458="",0,'All Ticker P&amp;L'!L458)</f>
        <v>0</v>
      </c>
      <c r="AS458" s="267">
        <f>IF($AL458="",0,'All Ticker P&amp;L'!M458)</f>
        <v>0</v>
      </c>
      <c r="AT458" s="243" t="str">
        <f>IF($AL458="","",RANK(AR458,$AR$2:$AR$1001)+COUNTIF($AR$2:AR458,AR458)-1)</f>
        <v/>
      </c>
      <c r="AU458" s="243" t="str">
        <f>IF($AL458="","",RANK(AV458,$AV$2:$AV$1001)+COUNTIF($AV$2:AV458,AV458)-1)</f>
        <v/>
      </c>
      <c r="AV458" s="266">
        <f t="shared" si="46"/>
        <v>0</v>
      </c>
    </row>
    <row r="459" spans="26:48" ht="15" customHeight="1" x14ac:dyDescent="0.2">
      <c r="Z459" s="243" t="str">
        <f>Shares!A459</f>
        <v/>
      </c>
      <c r="AA459" s="243" t="str">
        <f>Shares!B459</f>
        <v/>
      </c>
      <c r="AB459" s="243" t="str">
        <f>Shares!C459</f>
        <v/>
      </c>
      <c r="AC459" s="243" t="str">
        <f>Shares!D459</f>
        <v/>
      </c>
      <c r="AD459" s="243">
        <f>IF($Z459="",0,Shares!E459)</f>
        <v>0</v>
      </c>
      <c r="AE459" s="266">
        <f>IF($Z459="",0,Shares!J459*Shares!I459)</f>
        <v>0</v>
      </c>
      <c r="AF459" s="267">
        <f t="shared" si="45"/>
        <v>0</v>
      </c>
      <c r="AG459" s="266">
        <f>IF($Z459="",0,Shares!L459)</f>
        <v>0</v>
      </c>
      <c r="AH459" s="267">
        <f>IF($Z459="",0,Shares!M459)</f>
        <v>0</v>
      </c>
      <c r="AI459" s="243" t="str">
        <f>IF($Z459="","",RANK(AE459,$AE$2:$AE$1001)+COUNTIF($AE$2:AE459,AE459)-1)</f>
        <v/>
      </c>
      <c r="AJ459" s="243" t="str">
        <f>IF($AD459&lt;0,COUNT($AJ$1:AJ458)+1,"")</f>
        <v/>
      </c>
      <c r="AL459" s="243" t="str">
        <f>'All Ticker P&amp;L'!A459</f>
        <v/>
      </c>
      <c r="AM459" s="243" t="str">
        <f>'All Ticker P&amp;L'!B459</f>
        <v/>
      </c>
      <c r="AN459" s="243" t="str">
        <f>'All Ticker P&amp;L'!C459</f>
        <v/>
      </c>
      <c r="AO459" s="243" t="str">
        <f>'All Ticker P&amp;L'!D459</f>
        <v/>
      </c>
      <c r="AP459" s="243">
        <f>IF($AL459="",0,'All Ticker P&amp;L'!E459)</f>
        <v>0</v>
      </c>
      <c r="AQ459" s="266">
        <f>IF($AL459="",0,'All Ticker P&amp;L'!J459*'All Ticker P&amp;L'!I459)</f>
        <v>0</v>
      </c>
      <c r="AR459" s="266">
        <f>IF($AL459="",0,'All Ticker P&amp;L'!L459)</f>
        <v>0</v>
      </c>
      <c r="AS459" s="267">
        <f>IF($AL459="",0,'All Ticker P&amp;L'!M459)</f>
        <v>0</v>
      </c>
      <c r="AT459" s="243" t="str">
        <f>IF($AL459="","",RANK(AR459,$AR$2:$AR$1001)+COUNTIF($AR$2:AR459,AR459)-1)</f>
        <v/>
      </c>
      <c r="AU459" s="243" t="str">
        <f>IF($AL459="","",RANK(AV459,$AV$2:$AV$1001)+COUNTIF($AV$2:AV459,AV459)-1)</f>
        <v/>
      </c>
      <c r="AV459" s="266">
        <f t="shared" si="46"/>
        <v>0</v>
      </c>
    </row>
    <row r="460" spans="26:48" ht="15" customHeight="1" x14ac:dyDescent="0.2">
      <c r="Z460" s="243" t="str">
        <f>Shares!A460</f>
        <v/>
      </c>
      <c r="AA460" s="243" t="str">
        <f>Shares!B460</f>
        <v/>
      </c>
      <c r="AB460" s="243" t="str">
        <f>Shares!C460</f>
        <v/>
      </c>
      <c r="AC460" s="243" t="str">
        <f>Shares!D460</f>
        <v/>
      </c>
      <c r="AD460" s="243">
        <f>IF($Z460="",0,Shares!E460)</f>
        <v>0</v>
      </c>
      <c r="AE460" s="266">
        <f>IF($Z460="",0,Shares!J460*Shares!I460)</f>
        <v>0</v>
      </c>
      <c r="AF460" s="267">
        <f t="shared" si="45"/>
        <v>0</v>
      </c>
      <c r="AG460" s="266">
        <f>IF($Z460="",0,Shares!L460)</f>
        <v>0</v>
      </c>
      <c r="AH460" s="267">
        <f>IF($Z460="",0,Shares!M460)</f>
        <v>0</v>
      </c>
      <c r="AI460" s="243" t="str">
        <f>IF($Z460="","",RANK(AE460,$AE$2:$AE$1001)+COUNTIF($AE$2:AE460,AE460)-1)</f>
        <v/>
      </c>
      <c r="AJ460" s="243" t="str">
        <f>IF($AD460&lt;0,COUNT($AJ$1:AJ459)+1,"")</f>
        <v/>
      </c>
      <c r="AL460" s="243" t="str">
        <f>'All Ticker P&amp;L'!A460</f>
        <v/>
      </c>
      <c r="AM460" s="243" t="str">
        <f>'All Ticker P&amp;L'!B460</f>
        <v/>
      </c>
      <c r="AN460" s="243" t="str">
        <f>'All Ticker P&amp;L'!C460</f>
        <v/>
      </c>
      <c r="AO460" s="243" t="str">
        <f>'All Ticker P&amp;L'!D460</f>
        <v/>
      </c>
      <c r="AP460" s="243">
        <f>IF($AL460="",0,'All Ticker P&amp;L'!E460)</f>
        <v>0</v>
      </c>
      <c r="AQ460" s="266">
        <f>IF($AL460="",0,'All Ticker P&amp;L'!J460*'All Ticker P&amp;L'!I460)</f>
        <v>0</v>
      </c>
      <c r="AR460" s="266">
        <f>IF($AL460="",0,'All Ticker P&amp;L'!L460)</f>
        <v>0</v>
      </c>
      <c r="AS460" s="267">
        <f>IF($AL460="",0,'All Ticker P&amp;L'!M460)</f>
        <v>0</v>
      </c>
      <c r="AT460" s="243" t="str">
        <f>IF($AL460="","",RANK(AR460,$AR$2:$AR$1001)+COUNTIF($AR$2:AR460,AR460)-1)</f>
        <v/>
      </c>
      <c r="AU460" s="243" t="str">
        <f>IF($AL460="","",RANK(AV460,$AV$2:$AV$1001)+COUNTIF($AV$2:AV460,AV460)-1)</f>
        <v/>
      </c>
      <c r="AV460" s="266">
        <f t="shared" si="46"/>
        <v>0</v>
      </c>
    </row>
    <row r="461" spans="26:48" ht="15" customHeight="1" x14ac:dyDescent="0.2">
      <c r="Z461" s="243" t="str">
        <f>Shares!A461</f>
        <v/>
      </c>
      <c r="AA461" s="243" t="str">
        <f>Shares!B461</f>
        <v/>
      </c>
      <c r="AB461" s="243" t="str">
        <f>Shares!C461</f>
        <v/>
      </c>
      <c r="AC461" s="243" t="str">
        <f>Shares!D461</f>
        <v/>
      </c>
      <c r="AD461" s="243">
        <f>IF($Z461="",0,Shares!E461)</f>
        <v>0</v>
      </c>
      <c r="AE461" s="266">
        <f>IF($Z461="",0,Shares!J461*Shares!I461)</f>
        <v>0</v>
      </c>
      <c r="AF461" s="267">
        <f t="shared" si="45"/>
        <v>0</v>
      </c>
      <c r="AG461" s="266">
        <f>IF($Z461="",0,Shares!L461)</f>
        <v>0</v>
      </c>
      <c r="AH461" s="267">
        <f>IF($Z461="",0,Shares!M461)</f>
        <v>0</v>
      </c>
      <c r="AI461" s="243" t="str">
        <f>IF($Z461="","",RANK(AE461,$AE$2:$AE$1001)+COUNTIF($AE$2:AE461,AE461)-1)</f>
        <v/>
      </c>
      <c r="AJ461" s="243" t="str">
        <f>IF($AD461&lt;0,COUNT($AJ$1:AJ460)+1,"")</f>
        <v/>
      </c>
      <c r="AL461" s="243" t="str">
        <f>'All Ticker P&amp;L'!A461</f>
        <v/>
      </c>
      <c r="AM461" s="243" t="str">
        <f>'All Ticker P&amp;L'!B461</f>
        <v/>
      </c>
      <c r="AN461" s="243" t="str">
        <f>'All Ticker P&amp;L'!C461</f>
        <v/>
      </c>
      <c r="AO461" s="243" t="str">
        <f>'All Ticker P&amp;L'!D461</f>
        <v/>
      </c>
      <c r="AP461" s="243">
        <f>IF($AL461="",0,'All Ticker P&amp;L'!E461)</f>
        <v>0</v>
      </c>
      <c r="AQ461" s="266">
        <f>IF($AL461="",0,'All Ticker P&amp;L'!J461*'All Ticker P&amp;L'!I461)</f>
        <v>0</v>
      </c>
      <c r="AR461" s="266">
        <f>IF($AL461="",0,'All Ticker P&amp;L'!L461)</f>
        <v>0</v>
      </c>
      <c r="AS461" s="267">
        <f>IF($AL461="",0,'All Ticker P&amp;L'!M461)</f>
        <v>0</v>
      </c>
      <c r="AT461" s="243" t="str">
        <f>IF($AL461="","",RANK(AR461,$AR$2:$AR$1001)+COUNTIF($AR$2:AR461,AR461)-1)</f>
        <v/>
      </c>
      <c r="AU461" s="243" t="str">
        <f>IF($AL461="","",RANK(AV461,$AV$2:$AV$1001)+COUNTIF($AV$2:AV461,AV461)-1)</f>
        <v/>
      </c>
      <c r="AV461" s="266">
        <f t="shared" si="46"/>
        <v>0</v>
      </c>
    </row>
    <row r="462" spans="26:48" ht="15" customHeight="1" x14ac:dyDescent="0.2">
      <c r="Z462" s="243" t="str">
        <f>Shares!A462</f>
        <v/>
      </c>
      <c r="AA462" s="243" t="str">
        <f>Shares!B462</f>
        <v/>
      </c>
      <c r="AB462" s="243" t="str">
        <f>Shares!C462</f>
        <v/>
      </c>
      <c r="AC462" s="243" t="str">
        <f>Shares!D462</f>
        <v/>
      </c>
      <c r="AD462" s="243">
        <f>IF($Z462="",0,Shares!E462)</f>
        <v>0</v>
      </c>
      <c r="AE462" s="266">
        <f>IF($Z462="",0,Shares!J462*Shares!I462)</f>
        <v>0</v>
      </c>
      <c r="AF462" s="267">
        <f t="shared" si="45"/>
        <v>0</v>
      </c>
      <c r="AG462" s="266">
        <f>IF($Z462="",0,Shares!L462)</f>
        <v>0</v>
      </c>
      <c r="AH462" s="267">
        <f>IF($Z462="",0,Shares!M462)</f>
        <v>0</v>
      </c>
      <c r="AI462" s="243" t="str">
        <f>IF($Z462="","",RANK(AE462,$AE$2:$AE$1001)+COUNTIF($AE$2:AE462,AE462)-1)</f>
        <v/>
      </c>
      <c r="AJ462" s="243" t="str">
        <f>IF($AD462&lt;0,COUNT($AJ$1:AJ461)+1,"")</f>
        <v/>
      </c>
      <c r="AL462" s="243" t="str">
        <f>'All Ticker P&amp;L'!A462</f>
        <v/>
      </c>
      <c r="AM462" s="243" t="str">
        <f>'All Ticker P&amp;L'!B462</f>
        <v/>
      </c>
      <c r="AN462" s="243" t="str">
        <f>'All Ticker P&amp;L'!C462</f>
        <v/>
      </c>
      <c r="AO462" s="243" t="str">
        <f>'All Ticker P&amp;L'!D462</f>
        <v/>
      </c>
      <c r="AP462" s="243">
        <f>IF($AL462="",0,'All Ticker P&amp;L'!E462)</f>
        <v>0</v>
      </c>
      <c r="AQ462" s="266">
        <f>IF($AL462="",0,'All Ticker P&amp;L'!J462*'All Ticker P&amp;L'!I462)</f>
        <v>0</v>
      </c>
      <c r="AR462" s="266">
        <f>IF($AL462="",0,'All Ticker P&amp;L'!L462)</f>
        <v>0</v>
      </c>
      <c r="AS462" s="267">
        <f>IF($AL462="",0,'All Ticker P&amp;L'!M462)</f>
        <v>0</v>
      </c>
      <c r="AT462" s="243" t="str">
        <f>IF($AL462="","",RANK(AR462,$AR$2:$AR$1001)+COUNTIF($AR$2:AR462,AR462)-1)</f>
        <v/>
      </c>
      <c r="AU462" s="243" t="str">
        <f>IF($AL462="","",RANK(AV462,$AV$2:$AV$1001)+COUNTIF($AV$2:AV462,AV462)-1)</f>
        <v/>
      </c>
      <c r="AV462" s="266">
        <f t="shared" si="46"/>
        <v>0</v>
      </c>
    </row>
    <row r="463" spans="26:48" ht="15" customHeight="1" x14ac:dyDescent="0.2">
      <c r="Z463" s="243" t="str">
        <f>Shares!A463</f>
        <v/>
      </c>
      <c r="AA463" s="243" t="str">
        <f>Shares!B463</f>
        <v/>
      </c>
      <c r="AB463" s="243" t="str">
        <f>Shares!C463</f>
        <v/>
      </c>
      <c r="AC463" s="243" t="str">
        <f>Shares!D463</f>
        <v/>
      </c>
      <c r="AD463" s="243">
        <f>IF($Z463="",0,Shares!E463)</f>
        <v>0</v>
      </c>
      <c r="AE463" s="266">
        <f>IF($Z463="",0,Shares!J463*Shares!I463)</f>
        <v>0</v>
      </c>
      <c r="AF463" s="267">
        <f t="shared" si="45"/>
        <v>0</v>
      </c>
      <c r="AG463" s="266">
        <f>IF($Z463="",0,Shares!L463)</f>
        <v>0</v>
      </c>
      <c r="AH463" s="267">
        <f>IF($Z463="",0,Shares!M463)</f>
        <v>0</v>
      </c>
      <c r="AI463" s="243" t="str">
        <f>IF($Z463="","",RANK(AE463,$AE$2:$AE$1001)+COUNTIF($AE$2:AE463,AE463)-1)</f>
        <v/>
      </c>
      <c r="AJ463" s="243" t="str">
        <f>IF($AD463&lt;0,COUNT($AJ$1:AJ462)+1,"")</f>
        <v/>
      </c>
      <c r="AL463" s="243" t="str">
        <f>'All Ticker P&amp;L'!A463</f>
        <v/>
      </c>
      <c r="AM463" s="243" t="str">
        <f>'All Ticker P&amp;L'!B463</f>
        <v/>
      </c>
      <c r="AN463" s="243" t="str">
        <f>'All Ticker P&amp;L'!C463</f>
        <v/>
      </c>
      <c r="AO463" s="243" t="str">
        <f>'All Ticker P&amp;L'!D463</f>
        <v/>
      </c>
      <c r="AP463" s="243">
        <f>IF($AL463="",0,'All Ticker P&amp;L'!E463)</f>
        <v>0</v>
      </c>
      <c r="AQ463" s="266">
        <f>IF($AL463="",0,'All Ticker P&amp;L'!J463*'All Ticker P&amp;L'!I463)</f>
        <v>0</v>
      </c>
      <c r="AR463" s="266">
        <f>IF($AL463="",0,'All Ticker P&amp;L'!L463)</f>
        <v>0</v>
      </c>
      <c r="AS463" s="267">
        <f>IF($AL463="",0,'All Ticker P&amp;L'!M463)</f>
        <v>0</v>
      </c>
      <c r="AT463" s="243" t="str">
        <f>IF($AL463="","",RANK(AR463,$AR$2:$AR$1001)+COUNTIF($AR$2:AR463,AR463)-1)</f>
        <v/>
      </c>
      <c r="AU463" s="243" t="str">
        <f>IF($AL463="","",RANK(AV463,$AV$2:$AV$1001)+COUNTIF($AV$2:AV463,AV463)-1)</f>
        <v/>
      </c>
      <c r="AV463" s="266">
        <f t="shared" si="46"/>
        <v>0</v>
      </c>
    </row>
    <row r="464" spans="26:48" ht="15" customHeight="1" x14ac:dyDescent="0.2">
      <c r="Z464" s="243" t="str">
        <f>Shares!A464</f>
        <v/>
      </c>
      <c r="AA464" s="243" t="str">
        <f>Shares!B464</f>
        <v/>
      </c>
      <c r="AB464" s="243" t="str">
        <f>Shares!C464</f>
        <v/>
      </c>
      <c r="AC464" s="243" t="str">
        <f>Shares!D464</f>
        <v/>
      </c>
      <c r="AD464" s="243">
        <f>IF($Z464="",0,Shares!E464)</f>
        <v>0</v>
      </c>
      <c r="AE464" s="266">
        <f>IF($Z464="",0,Shares!J464*Shares!I464)</f>
        <v>0</v>
      </c>
      <c r="AF464" s="267">
        <f t="shared" si="45"/>
        <v>0</v>
      </c>
      <c r="AG464" s="266">
        <f>IF($Z464="",0,Shares!L464)</f>
        <v>0</v>
      </c>
      <c r="AH464" s="267">
        <f>IF($Z464="",0,Shares!M464)</f>
        <v>0</v>
      </c>
      <c r="AI464" s="243" t="str">
        <f>IF($Z464="","",RANK(AE464,$AE$2:$AE$1001)+COUNTIF($AE$2:AE464,AE464)-1)</f>
        <v/>
      </c>
      <c r="AJ464" s="243" t="str">
        <f>IF($AD464&lt;0,COUNT($AJ$1:AJ463)+1,"")</f>
        <v/>
      </c>
      <c r="AL464" s="243" t="str">
        <f>'All Ticker P&amp;L'!A464</f>
        <v/>
      </c>
      <c r="AM464" s="243" t="str">
        <f>'All Ticker P&amp;L'!B464</f>
        <v/>
      </c>
      <c r="AN464" s="243" t="str">
        <f>'All Ticker P&amp;L'!C464</f>
        <v/>
      </c>
      <c r="AO464" s="243" t="str">
        <f>'All Ticker P&amp;L'!D464</f>
        <v/>
      </c>
      <c r="AP464" s="243">
        <f>IF($AL464="",0,'All Ticker P&amp;L'!E464)</f>
        <v>0</v>
      </c>
      <c r="AQ464" s="266">
        <f>IF($AL464="",0,'All Ticker P&amp;L'!J464*'All Ticker P&amp;L'!I464)</f>
        <v>0</v>
      </c>
      <c r="AR464" s="266">
        <f>IF($AL464="",0,'All Ticker P&amp;L'!L464)</f>
        <v>0</v>
      </c>
      <c r="AS464" s="267">
        <f>IF($AL464="",0,'All Ticker P&amp;L'!M464)</f>
        <v>0</v>
      </c>
      <c r="AT464" s="243" t="str">
        <f>IF($AL464="","",RANK(AR464,$AR$2:$AR$1001)+COUNTIF($AR$2:AR464,AR464)-1)</f>
        <v/>
      </c>
      <c r="AU464" s="243" t="str">
        <f>IF($AL464="","",RANK(AV464,$AV$2:$AV$1001)+COUNTIF($AV$2:AV464,AV464)-1)</f>
        <v/>
      </c>
      <c r="AV464" s="266">
        <f t="shared" si="46"/>
        <v>0</v>
      </c>
    </row>
    <row r="465" spans="26:48" ht="15" customHeight="1" x14ac:dyDescent="0.2">
      <c r="Z465" s="243" t="str">
        <f>Shares!A465</f>
        <v/>
      </c>
      <c r="AA465" s="243" t="str">
        <f>Shares!B465</f>
        <v/>
      </c>
      <c r="AB465" s="243" t="str">
        <f>Shares!C465</f>
        <v/>
      </c>
      <c r="AC465" s="243" t="str">
        <f>Shares!D465</f>
        <v/>
      </c>
      <c r="AD465" s="243">
        <f>IF($Z465="",0,Shares!E465)</f>
        <v>0</v>
      </c>
      <c r="AE465" s="266">
        <f>IF($Z465="",0,Shares!J465*Shares!I465)</f>
        <v>0</v>
      </c>
      <c r="AF465" s="267">
        <f t="shared" si="45"/>
        <v>0</v>
      </c>
      <c r="AG465" s="266">
        <f>IF($Z465="",0,Shares!L465)</f>
        <v>0</v>
      </c>
      <c r="AH465" s="267">
        <f>IF($Z465="",0,Shares!M465)</f>
        <v>0</v>
      </c>
      <c r="AI465" s="243" t="str">
        <f>IF($Z465="","",RANK(AE465,$AE$2:$AE$1001)+COUNTIF($AE$2:AE465,AE465)-1)</f>
        <v/>
      </c>
      <c r="AJ465" s="243" t="str">
        <f>IF($AD465&lt;0,COUNT($AJ$1:AJ464)+1,"")</f>
        <v/>
      </c>
      <c r="AL465" s="243" t="str">
        <f>'All Ticker P&amp;L'!A465</f>
        <v/>
      </c>
      <c r="AM465" s="243" t="str">
        <f>'All Ticker P&amp;L'!B465</f>
        <v/>
      </c>
      <c r="AN465" s="243" t="str">
        <f>'All Ticker P&amp;L'!C465</f>
        <v/>
      </c>
      <c r="AO465" s="243" t="str">
        <f>'All Ticker P&amp;L'!D465</f>
        <v/>
      </c>
      <c r="AP465" s="243">
        <f>IF($AL465="",0,'All Ticker P&amp;L'!E465)</f>
        <v>0</v>
      </c>
      <c r="AQ465" s="266">
        <f>IF($AL465="",0,'All Ticker P&amp;L'!J465*'All Ticker P&amp;L'!I465)</f>
        <v>0</v>
      </c>
      <c r="AR465" s="266">
        <f>IF($AL465="",0,'All Ticker P&amp;L'!L465)</f>
        <v>0</v>
      </c>
      <c r="AS465" s="267">
        <f>IF($AL465="",0,'All Ticker P&amp;L'!M465)</f>
        <v>0</v>
      </c>
      <c r="AT465" s="243" t="str">
        <f>IF($AL465="","",RANK(AR465,$AR$2:$AR$1001)+COUNTIF($AR$2:AR465,AR465)-1)</f>
        <v/>
      </c>
      <c r="AU465" s="243" t="str">
        <f>IF($AL465="","",RANK(AV465,$AV$2:$AV$1001)+COUNTIF($AV$2:AV465,AV465)-1)</f>
        <v/>
      </c>
      <c r="AV465" s="266">
        <f t="shared" si="46"/>
        <v>0</v>
      </c>
    </row>
    <row r="466" spans="26:48" ht="15" customHeight="1" x14ac:dyDescent="0.2">
      <c r="Z466" s="243" t="str">
        <f>Shares!A466</f>
        <v/>
      </c>
      <c r="AA466" s="243" t="str">
        <f>Shares!B466</f>
        <v/>
      </c>
      <c r="AB466" s="243" t="str">
        <f>Shares!C466</f>
        <v/>
      </c>
      <c r="AC466" s="243" t="str">
        <f>Shares!D466</f>
        <v/>
      </c>
      <c r="AD466" s="243">
        <f>IF($Z466="",0,Shares!E466)</f>
        <v>0</v>
      </c>
      <c r="AE466" s="266">
        <f>IF($Z466="",0,Shares!J466*Shares!I466)</f>
        <v>0</v>
      </c>
      <c r="AF466" s="267">
        <f t="shared" si="45"/>
        <v>0</v>
      </c>
      <c r="AG466" s="266">
        <f>IF($Z466="",0,Shares!L466)</f>
        <v>0</v>
      </c>
      <c r="AH466" s="267">
        <f>IF($Z466="",0,Shares!M466)</f>
        <v>0</v>
      </c>
      <c r="AI466" s="243" t="str">
        <f>IF($Z466="","",RANK(AE466,$AE$2:$AE$1001)+COUNTIF($AE$2:AE466,AE466)-1)</f>
        <v/>
      </c>
      <c r="AJ466" s="243" t="str">
        <f>IF($AD466&lt;0,COUNT($AJ$1:AJ465)+1,"")</f>
        <v/>
      </c>
      <c r="AL466" s="243" t="str">
        <f>'All Ticker P&amp;L'!A466</f>
        <v/>
      </c>
      <c r="AM466" s="243" t="str">
        <f>'All Ticker P&amp;L'!B466</f>
        <v/>
      </c>
      <c r="AN466" s="243" t="str">
        <f>'All Ticker P&amp;L'!C466</f>
        <v/>
      </c>
      <c r="AO466" s="243" t="str">
        <f>'All Ticker P&amp;L'!D466</f>
        <v/>
      </c>
      <c r="AP466" s="243">
        <f>IF($AL466="",0,'All Ticker P&amp;L'!E466)</f>
        <v>0</v>
      </c>
      <c r="AQ466" s="266">
        <f>IF($AL466="",0,'All Ticker P&amp;L'!J466*'All Ticker P&amp;L'!I466)</f>
        <v>0</v>
      </c>
      <c r="AR466" s="266">
        <f>IF($AL466="",0,'All Ticker P&amp;L'!L466)</f>
        <v>0</v>
      </c>
      <c r="AS466" s="267">
        <f>IF($AL466="",0,'All Ticker P&amp;L'!M466)</f>
        <v>0</v>
      </c>
      <c r="AT466" s="243" t="str">
        <f>IF($AL466="","",RANK(AR466,$AR$2:$AR$1001)+COUNTIF($AR$2:AR466,AR466)-1)</f>
        <v/>
      </c>
      <c r="AU466" s="243" t="str">
        <f>IF($AL466="","",RANK(AV466,$AV$2:$AV$1001)+COUNTIF($AV$2:AV466,AV466)-1)</f>
        <v/>
      </c>
      <c r="AV466" s="266">
        <f t="shared" si="46"/>
        <v>0</v>
      </c>
    </row>
    <row r="467" spans="26:48" ht="15" customHeight="1" x14ac:dyDescent="0.2">
      <c r="Z467" s="243" t="str">
        <f>Shares!A467</f>
        <v/>
      </c>
      <c r="AA467" s="243" t="str">
        <f>Shares!B467</f>
        <v/>
      </c>
      <c r="AB467" s="243" t="str">
        <f>Shares!C467</f>
        <v/>
      </c>
      <c r="AC467" s="243" t="str">
        <f>Shares!D467</f>
        <v/>
      </c>
      <c r="AD467" s="243">
        <f>IF($Z467="",0,Shares!E467)</f>
        <v>0</v>
      </c>
      <c r="AE467" s="266">
        <f>IF($Z467="",0,Shares!J467*Shares!I467)</f>
        <v>0</v>
      </c>
      <c r="AF467" s="267">
        <f t="shared" si="45"/>
        <v>0</v>
      </c>
      <c r="AG467" s="266">
        <f>IF($Z467="",0,Shares!L467)</f>
        <v>0</v>
      </c>
      <c r="AH467" s="267">
        <f>IF($Z467="",0,Shares!M467)</f>
        <v>0</v>
      </c>
      <c r="AI467" s="243" t="str">
        <f>IF($Z467="","",RANK(AE467,$AE$2:$AE$1001)+COUNTIF($AE$2:AE467,AE467)-1)</f>
        <v/>
      </c>
      <c r="AJ467" s="243" t="str">
        <f>IF($AD467&lt;0,COUNT($AJ$1:AJ466)+1,"")</f>
        <v/>
      </c>
      <c r="AL467" s="243" t="str">
        <f>'All Ticker P&amp;L'!A467</f>
        <v/>
      </c>
      <c r="AM467" s="243" t="str">
        <f>'All Ticker P&amp;L'!B467</f>
        <v/>
      </c>
      <c r="AN467" s="243" t="str">
        <f>'All Ticker P&amp;L'!C467</f>
        <v/>
      </c>
      <c r="AO467" s="243" t="str">
        <f>'All Ticker P&amp;L'!D467</f>
        <v/>
      </c>
      <c r="AP467" s="243">
        <f>IF($AL467="",0,'All Ticker P&amp;L'!E467)</f>
        <v>0</v>
      </c>
      <c r="AQ467" s="266">
        <f>IF($AL467="",0,'All Ticker P&amp;L'!J467*'All Ticker P&amp;L'!I467)</f>
        <v>0</v>
      </c>
      <c r="AR467" s="266">
        <f>IF($AL467="",0,'All Ticker P&amp;L'!L467)</f>
        <v>0</v>
      </c>
      <c r="AS467" s="267">
        <f>IF($AL467="",0,'All Ticker P&amp;L'!M467)</f>
        <v>0</v>
      </c>
      <c r="AT467" s="243" t="str">
        <f>IF($AL467="","",RANK(AR467,$AR$2:$AR$1001)+COUNTIF($AR$2:AR467,AR467)-1)</f>
        <v/>
      </c>
      <c r="AU467" s="243" t="str">
        <f>IF($AL467="","",RANK(AV467,$AV$2:$AV$1001)+COUNTIF($AV$2:AV467,AV467)-1)</f>
        <v/>
      </c>
      <c r="AV467" s="266">
        <f t="shared" si="46"/>
        <v>0</v>
      </c>
    </row>
    <row r="468" spans="26:48" ht="15" customHeight="1" x14ac:dyDescent="0.2">
      <c r="Z468" s="243" t="str">
        <f>Shares!A468</f>
        <v/>
      </c>
      <c r="AA468" s="243" t="str">
        <f>Shares!B468</f>
        <v/>
      </c>
      <c r="AB468" s="243" t="str">
        <f>Shares!C468</f>
        <v/>
      </c>
      <c r="AC468" s="243" t="str">
        <f>Shares!D468</f>
        <v/>
      </c>
      <c r="AD468" s="243">
        <f>IF($Z468="",0,Shares!E468)</f>
        <v>0</v>
      </c>
      <c r="AE468" s="266">
        <f>IF($Z468="",0,Shares!J468*Shares!I468)</f>
        <v>0</v>
      </c>
      <c r="AF468" s="267">
        <f t="shared" si="45"/>
        <v>0</v>
      </c>
      <c r="AG468" s="266">
        <f>IF($Z468="",0,Shares!L468)</f>
        <v>0</v>
      </c>
      <c r="AH468" s="267">
        <f>IF($Z468="",0,Shares!M468)</f>
        <v>0</v>
      </c>
      <c r="AI468" s="243" t="str">
        <f>IF($Z468="","",RANK(AE468,$AE$2:$AE$1001)+COUNTIF($AE$2:AE468,AE468)-1)</f>
        <v/>
      </c>
      <c r="AJ468" s="243" t="str">
        <f>IF($AD468&lt;0,COUNT($AJ$1:AJ467)+1,"")</f>
        <v/>
      </c>
      <c r="AL468" s="243" t="str">
        <f>'All Ticker P&amp;L'!A468</f>
        <v/>
      </c>
      <c r="AM468" s="243" t="str">
        <f>'All Ticker P&amp;L'!B468</f>
        <v/>
      </c>
      <c r="AN468" s="243" t="str">
        <f>'All Ticker P&amp;L'!C468</f>
        <v/>
      </c>
      <c r="AO468" s="243" t="str">
        <f>'All Ticker P&amp;L'!D468</f>
        <v/>
      </c>
      <c r="AP468" s="243">
        <f>IF($AL468="",0,'All Ticker P&amp;L'!E468)</f>
        <v>0</v>
      </c>
      <c r="AQ468" s="266">
        <f>IF($AL468="",0,'All Ticker P&amp;L'!J468*'All Ticker P&amp;L'!I468)</f>
        <v>0</v>
      </c>
      <c r="AR468" s="266">
        <f>IF($AL468="",0,'All Ticker P&amp;L'!L468)</f>
        <v>0</v>
      </c>
      <c r="AS468" s="267">
        <f>IF($AL468="",0,'All Ticker P&amp;L'!M468)</f>
        <v>0</v>
      </c>
      <c r="AT468" s="243" t="str">
        <f>IF($AL468="","",RANK(AR468,$AR$2:$AR$1001)+COUNTIF($AR$2:AR468,AR468)-1)</f>
        <v/>
      </c>
      <c r="AU468" s="243" t="str">
        <f>IF($AL468="","",RANK(AV468,$AV$2:$AV$1001)+COUNTIF($AV$2:AV468,AV468)-1)</f>
        <v/>
      </c>
      <c r="AV468" s="266">
        <f t="shared" si="46"/>
        <v>0</v>
      </c>
    </row>
    <row r="469" spans="26:48" ht="15" customHeight="1" x14ac:dyDescent="0.2">
      <c r="Z469" s="243" t="str">
        <f>Shares!A469</f>
        <v/>
      </c>
      <c r="AA469" s="243" t="str">
        <f>Shares!B469</f>
        <v/>
      </c>
      <c r="AB469" s="243" t="str">
        <f>Shares!C469</f>
        <v/>
      </c>
      <c r="AC469" s="243" t="str">
        <f>Shares!D469</f>
        <v/>
      </c>
      <c r="AD469" s="243">
        <f>IF($Z469="",0,Shares!E469)</f>
        <v>0</v>
      </c>
      <c r="AE469" s="266">
        <f>IF($Z469="",0,Shares!J469*Shares!I469)</f>
        <v>0</v>
      </c>
      <c r="AF469" s="267">
        <f t="shared" si="45"/>
        <v>0</v>
      </c>
      <c r="AG469" s="266">
        <f>IF($Z469="",0,Shares!L469)</f>
        <v>0</v>
      </c>
      <c r="AH469" s="267">
        <f>IF($Z469="",0,Shares!M469)</f>
        <v>0</v>
      </c>
      <c r="AI469" s="243" t="str">
        <f>IF($Z469="","",RANK(AE469,$AE$2:$AE$1001)+COUNTIF($AE$2:AE469,AE469)-1)</f>
        <v/>
      </c>
      <c r="AJ469" s="243" t="str">
        <f>IF($AD469&lt;0,COUNT($AJ$1:AJ468)+1,"")</f>
        <v/>
      </c>
      <c r="AL469" s="243" t="str">
        <f>'All Ticker P&amp;L'!A469</f>
        <v/>
      </c>
      <c r="AM469" s="243" t="str">
        <f>'All Ticker P&amp;L'!B469</f>
        <v/>
      </c>
      <c r="AN469" s="243" t="str">
        <f>'All Ticker P&amp;L'!C469</f>
        <v/>
      </c>
      <c r="AO469" s="243" t="str">
        <f>'All Ticker P&amp;L'!D469</f>
        <v/>
      </c>
      <c r="AP469" s="243">
        <f>IF($AL469="",0,'All Ticker P&amp;L'!E469)</f>
        <v>0</v>
      </c>
      <c r="AQ469" s="266">
        <f>IF($AL469="",0,'All Ticker P&amp;L'!J469*'All Ticker P&amp;L'!I469)</f>
        <v>0</v>
      </c>
      <c r="AR469" s="266">
        <f>IF($AL469="",0,'All Ticker P&amp;L'!L469)</f>
        <v>0</v>
      </c>
      <c r="AS469" s="267">
        <f>IF($AL469="",0,'All Ticker P&amp;L'!M469)</f>
        <v>0</v>
      </c>
      <c r="AT469" s="243" t="str">
        <f>IF($AL469="","",RANK(AR469,$AR$2:$AR$1001)+COUNTIF($AR$2:AR469,AR469)-1)</f>
        <v/>
      </c>
      <c r="AU469" s="243" t="str">
        <f>IF($AL469="","",RANK(AV469,$AV$2:$AV$1001)+COUNTIF($AV$2:AV469,AV469)-1)</f>
        <v/>
      </c>
      <c r="AV469" s="266">
        <f t="shared" si="46"/>
        <v>0</v>
      </c>
    </row>
    <row r="470" spans="26:48" ht="15" customHeight="1" x14ac:dyDescent="0.2">
      <c r="Z470" s="243" t="str">
        <f>Shares!A470</f>
        <v/>
      </c>
      <c r="AA470" s="243" t="str">
        <f>Shares!B470</f>
        <v/>
      </c>
      <c r="AB470" s="243" t="str">
        <f>Shares!C470</f>
        <v/>
      </c>
      <c r="AC470" s="243" t="str">
        <f>Shares!D470</f>
        <v/>
      </c>
      <c r="AD470" s="243">
        <f>IF($Z470="",0,Shares!E470)</f>
        <v>0</v>
      </c>
      <c r="AE470" s="266">
        <f>IF($Z470="",0,Shares!J470*Shares!I470)</f>
        <v>0</v>
      </c>
      <c r="AF470" s="267">
        <f t="shared" si="45"/>
        <v>0</v>
      </c>
      <c r="AG470" s="266">
        <f>IF($Z470="",0,Shares!L470)</f>
        <v>0</v>
      </c>
      <c r="AH470" s="267">
        <f>IF($Z470="",0,Shares!M470)</f>
        <v>0</v>
      </c>
      <c r="AI470" s="243" t="str">
        <f>IF($Z470="","",RANK(AE470,$AE$2:$AE$1001)+COUNTIF($AE$2:AE470,AE470)-1)</f>
        <v/>
      </c>
      <c r="AJ470" s="243" t="str">
        <f>IF($AD470&lt;0,COUNT($AJ$1:AJ469)+1,"")</f>
        <v/>
      </c>
      <c r="AL470" s="243" t="str">
        <f>'All Ticker P&amp;L'!A470</f>
        <v/>
      </c>
      <c r="AM470" s="243" t="str">
        <f>'All Ticker P&amp;L'!B470</f>
        <v/>
      </c>
      <c r="AN470" s="243" t="str">
        <f>'All Ticker P&amp;L'!C470</f>
        <v/>
      </c>
      <c r="AO470" s="243" t="str">
        <f>'All Ticker P&amp;L'!D470</f>
        <v/>
      </c>
      <c r="AP470" s="243">
        <f>IF($AL470="",0,'All Ticker P&amp;L'!E470)</f>
        <v>0</v>
      </c>
      <c r="AQ470" s="266">
        <f>IF($AL470="",0,'All Ticker P&amp;L'!J470*'All Ticker P&amp;L'!I470)</f>
        <v>0</v>
      </c>
      <c r="AR470" s="266">
        <f>IF($AL470="",0,'All Ticker P&amp;L'!L470)</f>
        <v>0</v>
      </c>
      <c r="AS470" s="267">
        <f>IF($AL470="",0,'All Ticker P&amp;L'!M470)</f>
        <v>0</v>
      </c>
      <c r="AT470" s="243" t="str">
        <f>IF($AL470="","",RANK(AR470,$AR$2:$AR$1001)+COUNTIF($AR$2:AR470,AR470)-1)</f>
        <v/>
      </c>
      <c r="AU470" s="243" t="str">
        <f>IF($AL470="","",RANK(AV470,$AV$2:$AV$1001)+COUNTIF($AV$2:AV470,AV470)-1)</f>
        <v/>
      </c>
      <c r="AV470" s="266">
        <f t="shared" si="46"/>
        <v>0</v>
      </c>
    </row>
    <row r="471" spans="26:48" ht="15" customHeight="1" x14ac:dyDescent="0.2">
      <c r="Z471" s="243" t="str">
        <f>Shares!A471</f>
        <v/>
      </c>
      <c r="AA471" s="243" t="str">
        <f>Shares!B471</f>
        <v/>
      </c>
      <c r="AB471" s="243" t="str">
        <f>Shares!C471</f>
        <v/>
      </c>
      <c r="AC471" s="243" t="str">
        <f>Shares!D471</f>
        <v/>
      </c>
      <c r="AD471" s="243">
        <f>IF($Z471="",0,Shares!E471)</f>
        <v>0</v>
      </c>
      <c r="AE471" s="266">
        <f>IF($Z471="",0,Shares!J471*Shares!I471)</f>
        <v>0</v>
      </c>
      <c r="AF471" s="267">
        <f t="shared" si="45"/>
        <v>0</v>
      </c>
      <c r="AG471" s="266">
        <f>IF($Z471="",0,Shares!L471)</f>
        <v>0</v>
      </c>
      <c r="AH471" s="267">
        <f>IF($Z471="",0,Shares!M471)</f>
        <v>0</v>
      </c>
      <c r="AI471" s="243" t="str">
        <f>IF($Z471="","",RANK(AE471,$AE$2:$AE$1001)+COUNTIF($AE$2:AE471,AE471)-1)</f>
        <v/>
      </c>
      <c r="AJ471" s="243" t="str">
        <f>IF($AD471&lt;0,COUNT($AJ$1:AJ470)+1,"")</f>
        <v/>
      </c>
      <c r="AL471" s="243" t="str">
        <f>'All Ticker P&amp;L'!A471</f>
        <v/>
      </c>
      <c r="AM471" s="243" t="str">
        <f>'All Ticker P&amp;L'!B471</f>
        <v/>
      </c>
      <c r="AN471" s="243" t="str">
        <f>'All Ticker P&amp;L'!C471</f>
        <v/>
      </c>
      <c r="AO471" s="243" t="str">
        <f>'All Ticker P&amp;L'!D471</f>
        <v/>
      </c>
      <c r="AP471" s="243">
        <f>IF($AL471="",0,'All Ticker P&amp;L'!E471)</f>
        <v>0</v>
      </c>
      <c r="AQ471" s="266">
        <f>IF($AL471="",0,'All Ticker P&amp;L'!J471*'All Ticker P&amp;L'!I471)</f>
        <v>0</v>
      </c>
      <c r="AR471" s="266">
        <f>IF($AL471="",0,'All Ticker P&amp;L'!L471)</f>
        <v>0</v>
      </c>
      <c r="AS471" s="267">
        <f>IF($AL471="",0,'All Ticker P&amp;L'!M471)</f>
        <v>0</v>
      </c>
      <c r="AT471" s="243" t="str">
        <f>IF($AL471="","",RANK(AR471,$AR$2:$AR$1001)+COUNTIF($AR$2:AR471,AR471)-1)</f>
        <v/>
      </c>
      <c r="AU471" s="243" t="str">
        <f>IF($AL471="","",RANK(AV471,$AV$2:$AV$1001)+COUNTIF($AV$2:AV471,AV471)-1)</f>
        <v/>
      </c>
      <c r="AV471" s="266">
        <f t="shared" si="46"/>
        <v>0</v>
      </c>
    </row>
    <row r="472" spans="26:48" ht="15" customHeight="1" x14ac:dyDescent="0.2">
      <c r="Z472" s="243" t="str">
        <f>Shares!A472</f>
        <v/>
      </c>
      <c r="AA472" s="243" t="str">
        <f>Shares!B472</f>
        <v/>
      </c>
      <c r="AB472" s="243" t="str">
        <f>Shares!C472</f>
        <v/>
      </c>
      <c r="AC472" s="243" t="str">
        <f>Shares!D472</f>
        <v/>
      </c>
      <c r="AD472" s="243">
        <f>IF($Z472="",0,Shares!E472)</f>
        <v>0</v>
      </c>
      <c r="AE472" s="266">
        <f>IF($Z472="",0,Shares!J472*Shares!I472)</f>
        <v>0</v>
      </c>
      <c r="AF472" s="267">
        <f t="shared" si="45"/>
        <v>0</v>
      </c>
      <c r="AG472" s="266">
        <f>IF($Z472="",0,Shares!L472)</f>
        <v>0</v>
      </c>
      <c r="AH472" s="267">
        <f>IF($Z472="",0,Shares!M472)</f>
        <v>0</v>
      </c>
      <c r="AI472" s="243" t="str">
        <f>IF($Z472="","",RANK(AE472,$AE$2:$AE$1001)+COUNTIF($AE$2:AE472,AE472)-1)</f>
        <v/>
      </c>
      <c r="AJ472" s="243" t="str">
        <f>IF($AD472&lt;0,COUNT($AJ$1:AJ471)+1,"")</f>
        <v/>
      </c>
      <c r="AL472" s="243" t="str">
        <f>'All Ticker P&amp;L'!A472</f>
        <v/>
      </c>
      <c r="AM472" s="243" t="str">
        <f>'All Ticker P&amp;L'!B472</f>
        <v/>
      </c>
      <c r="AN472" s="243" t="str">
        <f>'All Ticker P&amp;L'!C472</f>
        <v/>
      </c>
      <c r="AO472" s="243" t="str">
        <f>'All Ticker P&amp;L'!D472</f>
        <v/>
      </c>
      <c r="AP472" s="243">
        <f>IF($AL472="",0,'All Ticker P&amp;L'!E472)</f>
        <v>0</v>
      </c>
      <c r="AQ472" s="266">
        <f>IF($AL472="",0,'All Ticker P&amp;L'!J472*'All Ticker P&amp;L'!I472)</f>
        <v>0</v>
      </c>
      <c r="AR472" s="266">
        <f>IF($AL472="",0,'All Ticker P&amp;L'!L472)</f>
        <v>0</v>
      </c>
      <c r="AS472" s="267">
        <f>IF($AL472="",0,'All Ticker P&amp;L'!M472)</f>
        <v>0</v>
      </c>
      <c r="AT472" s="243" t="str">
        <f>IF($AL472="","",RANK(AR472,$AR$2:$AR$1001)+COUNTIF($AR$2:AR472,AR472)-1)</f>
        <v/>
      </c>
      <c r="AU472" s="243" t="str">
        <f>IF($AL472="","",RANK(AV472,$AV$2:$AV$1001)+COUNTIF($AV$2:AV472,AV472)-1)</f>
        <v/>
      </c>
      <c r="AV472" s="266">
        <f t="shared" si="46"/>
        <v>0</v>
      </c>
    </row>
    <row r="473" spans="26:48" ht="15" customHeight="1" x14ac:dyDescent="0.2">
      <c r="Z473" s="243" t="str">
        <f>Shares!A473</f>
        <v/>
      </c>
      <c r="AA473" s="243" t="str">
        <f>Shares!B473</f>
        <v/>
      </c>
      <c r="AB473" s="243" t="str">
        <f>Shares!C473</f>
        <v/>
      </c>
      <c r="AC473" s="243" t="str">
        <f>Shares!D473</f>
        <v/>
      </c>
      <c r="AD473" s="243">
        <f>IF($Z473="",0,Shares!E473)</f>
        <v>0</v>
      </c>
      <c r="AE473" s="266">
        <f>IF($Z473="",0,Shares!J473*Shares!I473)</f>
        <v>0</v>
      </c>
      <c r="AF473" s="267">
        <f t="shared" si="45"/>
        <v>0</v>
      </c>
      <c r="AG473" s="266">
        <f>IF($Z473="",0,Shares!L473)</f>
        <v>0</v>
      </c>
      <c r="AH473" s="267">
        <f>IF($Z473="",0,Shares!M473)</f>
        <v>0</v>
      </c>
      <c r="AI473" s="243" t="str">
        <f>IF($Z473="","",RANK(AE473,$AE$2:$AE$1001)+COUNTIF($AE$2:AE473,AE473)-1)</f>
        <v/>
      </c>
      <c r="AJ473" s="243" t="str">
        <f>IF($AD473&lt;0,COUNT($AJ$1:AJ472)+1,"")</f>
        <v/>
      </c>
      <c r="AL473" s="243" t="str">
        <f>'All Ticker P&amp;L'!A473</f>
        <v/>
      </c>
      <c r="AM473" s="243" t="str">
        <f>'All Ticker P&amp;L'!B473</f>
        <v/>
      </c>
      <c r="AN473" s="243" t="str">
        <f>'All Ticker P&amp;L'!C473</f>
        <v/>
      </c>
      <c r="AO473" s="243" t="str">
        <f>'All Ticker P&amp;L'!D473</f>
        <v/>
      </c>
      <c r="AP473" s="243">
        <f>IF($AL473="",0,'All Ticker P&amp;L'!E473)</f>
        <v>0</v>
      </c>
      <c r="AQ473" s="266">
        <f>IF($AL473="",0,'All Ticker P&amp;L'!J473*'All Ticker P&amp;L'!I473)</f>
        <v>0</v>
      </c>
      <c r="AR473" s="266">
        <f>IF($AL473="",0,'All Ticker P&amp;L'!L473)</f>
        <v>0</v>
      </c>
      <c r="AS473" s="267">
        <f>IF($AL473="",0,'All Ticker P&amp;L'!M473)</f>
        <v>0</v>
      </c>
      <c r="AT473" s="243" t="str">
        <f>IF($AL473="","",RANK(AR473,$AR$2:$AR$1001)+COUNTIF($AR$2:AR473,AR473)-1)</f>
        <v/>
      </c>
      <c r="AU473" s="243" t="str">
        <f>IF($AL473="","",RANK(AV473,$AV$2:$AV$1001)+COUNTIF($AV$2:AV473,AV473)-1)</f>
        <v/>
      </c>
      <c r="AV473" s="266">
        <f t="shared" si="46"/>
        <v>0</v>
      </c>
    </row>
    <row r="474" spans="26:48" ht="15" customHeight="1" x14ac:dyDescent="0.2">
      <c r="Z474" s="243" t="str">
        <f>Shares!A474</f>
        <v/>
      </c>
      <c r="AA474" s="243" t="str">
        <f>Shares!B474</f>
        <v/>
      </c>
      <c r="AB474" s="243" t="str">
        <f>Shares!C474</f>
        <v/>
      </c>
      <c r="AC474" s="243" t="str">
        <f>Shares!D474</f>
        <v/>
      </c>
      <c r="AD474" s="243">
        <f>IF($Z474="",0,Shares!E474)</f>
        <v>0</v>
      </c>
      <c r="AE474" s="266">
        <f>IF($Z474="",0,Shares!J474*Shares!I474)</f>
        <v>0</v>
      </c>
      <c r="AF474" s="267">
        <f t="shared" si="45"/>
        <v>0</v>
      </c>
      <c r="AG474" s="266">
        <f>IF($Z474="",0,Shares!L474)</f>
        <v>0</v>
      </c>
      <c r="AH474" s="267">
        <f>IF($Z474="",0,Shares!M474)</f>
        <v>0</v>
      </c>
      <c r="AI474" s="243" t="str">
        <f>IF($Z474="","",RANK(AE474,$AE$2:$AE$1001)+COUNTIF($AE$2:AE474,AE474)-1)</f>
        <v/>
      </c>
      <c r="AJ474" s="243" t="str">
        <f>IF($AD474&lt;0,COUNT($AJ$1:AJ473)+1,"")</f>
        <v/>
      </c>
      <c r="AL474" s="243" t="str">
        <f>'All Ticker P&amp;L'!A474</f>
        <v/>
      </c>
      <c r="AM474" s="243" t="str">
        <f>'All Ticker P&amp;L'!B474</f>
        <v/>
      </c>
      <c r="AN474" s="243" t="str">
        <f>'All Ticker P&amp;L'!C474</f>
        <v/>
      </c>
      <c r="AO474" s="243" t="str">
        <f>'All Ticker P&amp;L'!D474</f>
        <v/>
      </c>
      <c r="AP474" s="243">
        <f>IF($AL474="",0,'All Ticker P&amp;L'!E474)</f>
        <v>0</v>
      </c>
      <c r="AQ474" s="266">
        <f>IF($AL474="",0,'All Ticker P&amp;L'!J474*'All Ticker P&amp;L'!I474)</f>
        <v>0</v>
      </c>
      <c r="AR474" s="266">
        <f>IF($AL474="",0,'All Ticker P&amp;L'!L474)</f>
        <v>0</v>
      </c>
      <c r="AS474" s="267">
        <f>IF($AL474="",0,'All Ticker P&amp;L'!M474)</f>
        <v>0</v>
      </c>
      <c r="AT474" s="243" t="str">
        <f>IF($AL474="","",RANK(AR474,$AR$2:$AR$1001)+COUNTIF($AR$2:AR474,AR474)-1)</f>
        <v/>
      </c>
      <c r="AU474" s="243" t="str">
        <f>IF($AL474="","",RANK(AV474,$AV$2:$AV$1001)+COUNTIF($AV$2:AV474,AV474)-1)</f>
        <v/>
      </c>
      <c r="AV474" s="266">
        <f t="shared" si="46"/>
        <v>0</v>
      </c>
    </row>
    <row r="475" spans="26:48" ht="15" customHeight="1" x14ac:dyDescent="0.2">
      <c r="Z475" s="243" t="str">
        <f>Shares!A475</f>
        <v/>
      </c>
      <c r="AA475" s="243" t="str">
        <f>Shares!B475</f>
        <v/>
      </c>
      <c r="AB475" s="243" t="str">
        <f>Shares!C475</f>
        <v/>
      </c>
      <c r="AC475" s="243" t="str">
        <f>Shares!D475</f>
        <v/>
      </c>
      <c r="AD475" s="243">
        <f>IF($Z475="",0,Shares!E475)</f>
        <v>0</v>
      </c>
      <c r="AE475" s="266">
        <f>IF($Z475="",0,Shares!J475*Shares!I475)</f>
        <v>0</v>
      </c>
      <c r="AF475" s="267">
        <f t="shared" si="45"/>
        <v>0</v>
      </c>
      <c r="AG475" s="266">
        <f>IF($Z475="",0,Shares!L475)</f>
        <v>0</v>
      </c>
      <c r="AH475" s="267">
        <f>IF($Z475="",0,Shares!M475)</f>
        <v>0</v>
      </c>
      <c r="AI475" s="243" t="str">
        <f>IF($Z475="","",RANK(AE475,$AE$2:$AE$1001)+COUNTIF($AE$2:AE475,AE475)-1)</f>
        <v/>
      </c>
      <c r="AJ475" s="243" t="str">
        <f>IF($AD475&lt;0,COUNT($AJ$1:AJ474)+1,"")</f>
        <v/>
      </c>
      <c r="AL475" s="243" t="str">
        <f>'All Ticker P&amp;L'!A475</f>
        <v/>
      </c>
      <c r="AM475" s="243" t="str">
        <f>'All Ticker P&amp;L'!B475</f>
        <v/>
      </c>
      <c r="AN475" s="243" t="str">
        <f>'All Ticker P&amp;L'!C475</f>
        <v/>
      </c>
      <c r="AO475" s="243" t="str">
        <f>'All Ticker P&amp;L'!D475</f>
        <v/>
      </c>
      <c r="AP475" s="243">
        <f>IF($AL475="",0,'All Ticker P&amp;L'!E475)</f>
        <v>0</v>
      </c>
      <c r="AQ475" s="266">
        <f>IF($AL475="",0,'All Ticker P&amp;L'!J475*'All Ticker P&amp;L'!I475)</f>
        <v>0</v>
      </c>
      <c r="AR475" s="266">
        <f>IF($AL475="",0,'All Ticker P&amp;L'!L475)</f>
        <v>0</v>
      </c>
      <c r="AS475" s="267">
        <f>IF($AL475="",0,'All Ticker P&amp;L'!M475)</f>
        <v>0</v>
      </c>
      <c r="AT475" s="243" t="str">
        <f>IF($AL475="","",RANK(AR475,$AR$2:$AR$1001)+COUNTIF($AR$2:AR475,AR475)-1)</f>
        <v/>
      </c>
      <c r="AU475" s="243" t="str">
        <f>IF($AL475="","",RANK(AV475,$AV$2:$AV$1001)+COUNTIF($AV$2:AV475,AV475)-1)</f>
        <v/>
      </c>
      <c r="AV475" s="266">
        <f t="shared" si="46"/>
        <v>0</v>
      </c>
    </row>
    <row r="476" spans="26:48" ht="15" customHeight="1" x14ac:dyDescent="0.2">
      <c r="Z476" s="243" t="str">
        <f>Shares!A476</f>
        <v/>
      </c>
      <c r="AA476" s="243" t="str">
        <f>Shares!B476</f>
        <v/>
      </c>
      <c r="AB476" s="243" t="str">
        <f>Shares!C476</f>
        <v/>
      </c>
      <c r="AC476" s="243" t="str">
        <f>Shares!D476</f>
        <v/>
      </c>
      <c r="AD476" s="243">
        <f>IF($Z476="",0,Shares!E476)</f>
        <v>0</v>
      </c>
      <c r="AE476" s="266">
        <f>IF($Z476="",0,Shares!J476*Shares!I476)</f>
        <v>0</v>
      </c>
      <c r="AF476" s="267">
        <f t="shared" si="45"/>
        <v>0</v>
      </c>
      <c r="AG476" s="266">
        <f>IF($Z476="",0,Shares!L476)</f>
        <v>0</v>
      </c>
      <c r="AH476" s="267">
        <f>IF($Z476="",0,Shares!M476)</f>
        <v>0</v>
      </c>
      <c r="AI476" s="243" t="str">
        <f>IF($Z476="","",RANK(AE476,$AE$2:$AE$1001)+COUNTIF($AE$2:AE476,AE476)-1)</f>
        <v/>
      </c>
      <c r="AJ476" s="243" t="str">
        <f>IF($AD476&lt;0,COUNT($AJ$1:AJ475)+1,"")</f>
        <v/>
      </c>
      <c r="AL476" s="243" t="str">
        <f>'All Ticker P&amp;L'!A476</f>
        <v/>
      </c>
      <c r="AM476" s="243" t="str">
        <f>'All Ticker P&amp;L'!B476</f>
        <v/>
      </c>
      <c r="AN476" s="243" t="str">
        <f>'All Ticker P&amp;L'!C476</f>
        <v/>
      </c>
      <c r="AO476" s="243" t="str">
        <f>'All Ticker P&amp;L'!D476</f>
        <v/>
      </c>
      <c r="AP476" s="243">
        <f>IF($AL476="",0,'All Ticker P&amp;L'!E476)</f>
        <v>0</v>
      </c>
      <c r="AQ476" s="266">
        <f>IF($AL476="",0,'All Ticker P&amp;L'!J476*'All Ticker P&amp;L'!I476)</f>
        <v>0</v>
      </c>
      <c r="AR476" s="266">
        <f>IF($AL476="",0,'All Ticker P&amp;L'!L476)</f>
        <v>0</v>
      </c>
      <c r="AS476" s="267">
        <f>IF($AL476="",0,'All Ticker P&amp;L'!M476)</f>
        <v>0</v>
      </c>
      <c r="AT476" s="243" t="str">
        <f>IF($AL476="","",RANK(AR476,$AR$2:$AR$1001)+COUNTIF($AR$2:AR476,AR476)-1)</f>
        <v/>
      </c>
      <c r="AU476" s="243" t="str">
        <f>IF($AL476="","",RANK(AV476,$AV$2:$AV$1001)+COUNTIF($AV$2:AV476,AV476)-1)</f>
        <v/>
      </c>
      <c r="AV476" s="266">
        <f t="shared" si="46"/>
        <v>0</v>
      </c>
    </row>
    <row r="477" spans="26:48" ht="15" customHeight="1" x14ac:dyDescent="0.2">
      <c r="Z477" s="243" t="str">
        <f>Shares!A477</f>
        <v/>
      </c>
      <c r="AA477" s="243" t="str">
        <f>Shares!B477</f>
        <v/>
      </c>
      <c r="AB477" s="243" t="str">
        <f>Shares!C477</f>
        <v/>
      </c>
      <c r="AC477" s="243" t="str">
        <f>Shares!D477</f>
        <v/>
      </c>
      <c r="AD477" s="243">
        <f>IF($Z477="",0,Shares!E477)</f>
        <v>0</v>
      </c>
      <c r="AE477" s="266">
        <f>IF($Z477="",0,Shares!J477*Shares!I477)</f>
        <v>0</v>
      </c>
      <c r="AF477" s="267">
        <f t="shared" si="45"/>
        <v>0</v>
      </c>
      <c r="AG477" s="266">
        <f>IF($Z477="",0,Shares!L477)</f>
        <v>0</v>
      </c>
      <c r="AH477" s="267">
        <f>IF($Z477="",0,Shares!M477)</f>
        <v>0</v>
      </c>
      <c r="AI477" s="243" t="str">
        <f>IF($Z477="","",RANK(AE477,$AE$2:$AE$1001)+COUNTIF($AE$2:AE477,AE477)-1)</f>
        <v/>
      </c>
      <c r="AJ477" s="243" t="str">
        <f>IF($AD477&lt;0,COUNT($AJ$1:AJ476)+1,"")</f>
        <v/>
      </c>
      <c r="AL477" s="243" t="str">
        <f>'All Ticker P&amp;L'!A477</f>
        <v/>
      </c>
      <c r="AM477" s="243" t="str">
        <f>'All Ticker P&amp;L'!B477</f>
        <v/>
      </c>
      <c r="AN477" s="243" t="str">
        <f>'All Ticker P&amp;L'!C477</f>
        <v/>
      </c>
      <c r="AO477" s="243" t="str">
        <f>'All Ticker P&amp;L'!D477</f>
        <v/>
      </c>
      <c r="AP477" s="243">
        <f>IF($AL477="",0,'All Ticker P&amp;L'!E477)</f>
        <v>0</v>
      </c>
      <c r="AQ477" s="266">
        <f>IF($AL477="",0,'All Ticker P&amp;L'!J477*'All Ticker P&amp;L'!I477)</f>
        <v>0</v>
      </c>
      <c r="AR477" s="266">
        <f>IF($AL477="",0,'All Ticker P&amp;L'!L477)</f>
        <v>0</v>
      </c>
      <c r="AS477" s="267">
        <f>IF($AL477="",0,'All Ticker P&amp;L'!M477)</f>
        <v>0</v>
      </c>
      <c r="AT477" s="243" t="str">
        <f>IF($AL477="","",RANK(AR477,$AR$2:$AR$1001)+COUNTIF($AR$2:AR477,AR477)-1)</f>
        <v/>
      </c>
      <c r="AU477" s="243" t="str">
        <f>IF($AL477="","",RANK(AV477,$AV$2:$AV$1001)+COUNTIF($AV$2:AV477,AV477)-1)</f>
        <v/>
      </c>
      <c r="AV477" s="266">
        <f t="shared" si="46"/>
        <v>0</v>
      </c>
    </row>
    <row r="478" spans="26:48" ht="15" customHeight="1" x14ac:dyDescent="0.2">
      <c r="Z478" s="243" t="str">
        <f>Shares!A478</f>
        <v/>
      </c>
      <c r="AA478" s="243" t="str">
        <f>Shares!B478</f>
        <v/>
      </c>
      <c r="AB478" s="243" t="str">
        <f>Shares!C478</f>
        <v/>
      </c>
      <c r="AC478" s="243" t="str">
        <f>Shares!D478</f>
        <v/>
      </c>
      <c r="AD478" s="243">
        <f>IF($Z478="",0,Shares!E478)</f>
        <v>0</v>
      </c>
      <c r="AE478" s="266">
        <f>IF($Z478="",0,Shares!J478*Shares!I478)</f>
        <v>0</v>
      </c>
      <c r="AF478" s="267">
        <f t="shared" si="45"/>
        <v>0</v>
      </c>
      <c r="AG478" s="266">
        <f>IF($Z478="",0,Shares!L478)</f>
        <v>0</v>
      </c>
      <c r="AH478" s="267">
        <f>IF($Z478="",0,Shares!M478)</f>
        <v>0</v>
      </c>
      <c r="AI478" s="243" t="str">
        <f>IF($Z478="","",RANK(AE478,$AE$2:$AE$1001)+COUNTIF($AE$2:AE478,AE478)-1)</f>
        <v/>
      </c>
      <c r="AJ478" s="243" t="str">
        <f>IF($AD478&lt;0,COUNT($AJ$1:AJ477)+1,"")</f>
        <v/>
      </c>
      <c r="AL478" s="243" t="str">
        <f>'All Ticker P&amp;L'!A478</f>
        <v/>
      </c>
      <c r="AM478" s="243" t="str">
        <f>'All Ticker P&amp;L'!B478</f>
        <v/>
      </c>
      <c r="AN478" s="243" t="str">
        <f>'All Ticker P&amp;L'!C478</f>
        <v/>
      </c>
      <c r="AO478" s="243" t="str">
        <f>'All Ticker P&amp;L'!D478</f>
        <v/>
      </c>
      <c r="AP478" s="243">
        <f>IF($AL478="",0,'All Ticker P&amp;L'!E478)</f>
        <v>0</v>
      </c>
      <c r="AQ478" s="266">
        <f>IF($AL478="",0,'All Ticker P&amp;L'!J478*'All Ticker P&amp;L'!I478)</f>
        <v>0</v>
      </c>
      <c r="AR478" s="266">
        <f>IF($AL478="",0,'All Ticker P&amp;L'!L478)</f>
        <v>0</v>
      </c>
      <c r="AS478" s="267">
        <f>IF($AL478="",0,'All Ticker P&amp;L'!M478)</f>
        <v>0</v>
      </c>
      <c r="AT478" s="243" t="str">
        <f>IF($AL478="","",RANK(AR478,$AR$2:$AR$1001)+COUNTIF($AR$2:AR478,AR478)-1)</f>
        <v/>
      </c>
      <c r="AU478" s="243" t="str">
        <f>IF($AL478="","",RANK(AV478,$AV$2:$AV$1001)+COUNTIF($AV$2:AV478,AV478)-1)</f>
        <v/>
      </c>
      <c r="AV478" s="266">
        <f t="shared" si="46"/>
        <v>0</v>
      </c>
    </row>
    <row r="479" spans="26:48" ht="15" customHeight="1" x14ac:dyDescent="0.2">
      <c r="Z479" s="243" t="str">
        <f>Shares!A479</f>
        <v/>
      </c>
      <c r="AA479" s="243" t="str">
        <f>Shares!B479</f>
        <v/>
      </c>
      <c r="AB479" s="243" t="str">
        <f>Shares!C479</f>
        <v/>
      </c>
      <c r="AC479" s="243" t="str">
        <f>Shares!D479</f>
        <v/>
      </c>
      <c r="AD479" s="243">
        <f>IF($Z479="",0,Shares!E479)</f>
        <v>0</v>
      </c>
      <c r="AE479" s="266">
        <f>IF($Z479="",0,Shares!J479*Shares!I479)</f>
        <v>0</v>
      </c>
      <c r="AF479" s="267">
        <f t="shared" si="45"/>
        <v>0</v>
      </c>
      <c r="AG479" s="266">
        <f>IF($Z479="",0,Shares!L479)</f>
        <v>0</v>
      </c>
      <c r="AH479" s="267">
        <f>IF($Z479="",0,Shares!M479)</f>
        <v>0</v>
      </c>
      <c r="AI479" s="243" t="str">
        <f>IF($Z479="","",RANK(AE479,$AE$2:$AE$1001)+COUNTIF($AE$2:AE479,AE479)-1)</f>
        <v/>
      </c>
      <c r="AJ479" s="243" t="str">
        <f>IF($AD479&lt;0,COUNT($AJ$1:AJ478)+1,"")</f>
        <v/>
      </c>
      <c r="AL479" s="243" t="str">
        <f>'All Ticker P&amp;L'!A479</f>
        <v/>
      </c>
      <c r="AM479" s="243" t="str">
        <f>'All Ticker P&amp;L'!B479</f>
        <v/>
      </c>
      <c r="AN479" s="243" t="str">
        <f>'All Ticker P&amp;L'!C479</f>
        <v/>
      </c>
      <c r="AO479" s="243" t="str">
        <f>'All Ticker P&amp;L'!D479</f>
        <v/>
      </c>
      <c r="AP479" s="243">
        <f>IF($AL479="",0,'All Ticker P&amp;L'!E479)</f>
        <v>0</v>
      </c>
      <c r="AQ479" s="266">
        <f>IF($AL479="",0,'All Ticker P&amp;L'!J479*'All Ticker P&amp;L'!I479)</f>
        <v>0</v>
      </c>
      <c r="AR479" s="266">
        <f>IF($AL479="",0,'All Ticker P&amp;L'!L479)</f>
        <v>0</v>
      </c>
      <c r="AS479" s="267">
        <f>IF($AL479="",0,'All Ticker P&amp;L'!M479)</f>
        <v>0</v>
      </c>
      <c r="AT479" s="243" t="str">
        <f>IF($AL479="","",RANK(AR479,$AR$2:$AR$1001)+COUNTIF($AR$2:AR479,AR479)-1)</f>
        <v/>
      </c>
      <c r="AU479" s="243" t="str">
        <f>IF($AL479="","",RANK(AV479,$AV$2:$AV$1001)+COUNTIF($AV$2:AV479,AV479)-1)</f>
        <v/>
      </c>
      <c r="AV479" s="266">
        <f t="shared" si="46"/>
        <v>0</v>
      </c>
    </row>
    <row r="480" spans="26:48" ht="15" customHeight="1" x14ac:dyDescent="0.2">
      <c r="Z480" s="243" t="str">
        <f>Shares!A480</f>
        <v/>
      </c>
      <c r="AA480" s="243" t="str">
        <f>Shares!B480</f>
        <v/>
      </c>
      <c r="AB480" s="243" t="str">
        <f>Shares!C480</f>
        <v/>
      </c>
      <c r="AC480" s="243" t="str">
        <f>Shares!D480</f>
        <v/>
      </c>
      <c r="AD480" s="243">
        <f>IF($Z480="",0,Shares!E480)</f>
        <v>0</v>
      </c>
      <c r="AE480" s="266">
        <f>IF($Z480="",0,Shares!J480*Shares!I480)</f>
        <v>0</v>
      </c>
      <c r="AF480" s="267">
        <f t="shared" si="45"/>
        <v>0</v>
      </c>
      <c r="AG480" s="266">
        <f>IF($Z480="",0,Shares!L480)</f>
        <v>0</v>
      </c>
      <c r="AH480" s="267">
        <f>IF($Z480="",0,Shares!M480)</f>
        <v>0</v>
      </c>
      <c r="AI480" s="243" t="str">
        <f>IF($Z480="","",RANK(AE480,$AE$2:$AE$1001)+COUNTIF($AE$2:AE480,AE480)-1)</f>
        <v/>
      </c>
      <c r="AJ480" s="243" t="str">
        <f>IF($AD480&lt;0,COUNT($AJ$1:AJ479)+1,"")</f>
        <v/>
      </c>
      <c r="AL480" s="243" t="str">
        <f>'All Ticker P&amp;L'!A480</f>
        <v/>
      </c>
      <c r="AM480" s="243" t="str">
        <f>'All Ticker P&amp;L'!B480</f>
        <v/>
      </c>
      <c r="AN480" s="243" t="str">
        <f>'All Ticker P&amp;L'!C480</f>
        <v/>
      </c>
      <c r="AO480" s="243" t="str">
        <f>'All Ticker P&amp;L'!D480</f>
        <v/>
      </c>
      <c r="AP480" s="243">
        <f>IF($AL480="",0,'All Ticker P&amp;L'!E480)</f>
        <v>0</v>
      </c>
      <c r="AQ480" s="266">
        <f>IF($AL480="",0,'All Ticker P&amp;L'!J480*'All Ticker P&amp;L'!I480)</f>
        <v>0</v>
      </c>
      <c r="AR480" s="266">
        <f>IF($AL480="",0,'All Ticker P&amp;L'!L480)</f>
        <v>0</v>
      </c>
      <c r="AS480" s="267">
        <f>IF($AL480="",0,'All Ticker P&amp;L'!M480)</f>
        <v>0</v>
      </c>
      <c r="AT480" s="243" t="str">
        <f>IF($AL480="","",RANK(AR480,$AR$2:$AR$1001)+COUNTIF($AR$2:AR480,AR480)-1)</f>
        <v/>
      </c>
      <c r="AU480" s="243" t="str">
        <f>IF($AL480="","",RANK(AV480,$AV$2:$AV$1001)+COUNTIF($AV$2:AV480,AV480)-1)</f>
        <v/>
      </c>
      <c r="AV480" s="266">
        <f t="shared" si="46"/>
        <v>0</v>
      </c>
    </row>
    <row r="481" spans="26:48" ht="15" customHeight="1" x14ac:dyDescent="0.2">
      <c r="Z481" s="243" t="str">
        <f>Shares!A481</f>
        <v/>
      </c>
      <c r="AA481" s="243" t="str">
        <f>Shares!B481</f>
        <v/>
      </c>
      <c r="AB481" s="243" t="str">
        <f>Shares!C481</f>
        <v/>
      </c>
      <c r="AC481" s="243" t="str">
        <f>Shares!D481</f>
        <v/>
      </c>
      <c r="AD481" s="243">
        <f>IF($Z481="",0,Shares!E481)</f>
        <v>0</v>
      </c>
      <c r="AE481" s="266">
        <f>IF($Z481="",0,Shares!J481*Shares!I481)</f>
        <v>0</v>
      </c>
      <c r="AF481" s="267">
        <f t="shared" si="45"/>
        <v>0</v>
      </c>
      <c r="AG481" s="266">
        <f>IF($Z481="",0,Shares!L481)</f>
        <v>0</v>
      </c>
      <c r="AH481" s="267">
        <f>IF($Z481="",0,Shares!M481)</f>
        <v>0</v>
      </c>
      <c r="AI481" s="243" t="str">
        <f>IF($Z481="","",RANK(AE481,$AE$2:$AE$1001)+COUNTIF($AE$2:AE481,AE481)-1)</f>
        <v/>
      </c>
      <c r="AJ481" s="243" t="str">
        <f>IF($AD481&lt;0,COUNT($AJ$1:AJ480)+1,"")</f>
        <v/>
      </c>
      <c r="AL481" s="243" t="str">
        <f>'All Ticker P&amp;L'!A481</f>
        <v/>
      </c>
      <c r="AM481" s="243" t="str">
        <f>'All Ticker P&amp;L'!B481</f>
        <v/>
      </c>
      <c r="AN481" s="243" t="str">
        <f>'All Ticker P&amp;L'!C481</f>
        <v/>
      </c>
      <c r="AO481" s="243" t="str">
        <f>'All Ticker P&amp;L'!D481</f>
        <v/>
      </c>
      <c r="AP481" s="243">
        <f>IF($AL481="",0,'All Ticker P&amp;L'!E481)</f>
        <v>0</v>
      </c>
      <c r="AQ481" s="266">
        <f>IF($AL481="",0,'All Ticker P&amp;L'!J481*'All Ticker P&amp;L'!I481)</f>
        <v>0</v>
      </c>
      <c r="AR481" s="266">
        <f>IF($AL481="",0,'All Ticker P&amp;L'!L481)</f>
        <v>0</v>
      </c>
      <c r="AS481" s="267">
        <f>IF($AL481="",0,'All Ticker P&amp;L'!M481)</f>
        <v>0</v>
      </c>
      <c r="AT481" s="243" t="str">
        <f>IF($AL481="","",RANK(AR481,$AR$2:$AR$1001)+COUNTIF($AR$2:AR481,AR481)-1)</f>
        <v/>
      </c>
      <c r="AU481" s="243" t="str">
        <f>IF($AL481="","",RANK(AV481,$AV$2:$AV$1001)+COUNTIF($AV$2:AV481,AV481)-1)</f>
        <v/>
      </c>
      <c r="AV481" s="266">
        <f t="shared" si="46"/>
        <v>0</v>
      </c>
    </row>
    <row r="482" spans="26:48" ht="15" customHeight="1" x14ac:dyDescent="0.2">
      <c r="Z482" s="243" t="str">
        <f>Shares!A482</f>
        <v/>
      </c>
      <c r="AA482" s="243" t="str">
        <f>Shares!B482</f>
        <v/>
      </c>
      <c r="AB482" s="243" t="str">
        <f>Shares!C482</f>
        <v/>
      </c>
      <c r="AC482" s="243" t="str">
        <f>Shares!D482</f>
        <v/>
      </c>
      <c r="AD482" s="243">
        <f>IF($Z482="",0,Shares!E482)</f>
        <v>0</v>
      </c>
      <c r="AE482" s="266">
        <f>IF($Z482="",0,Shares!J482*Shares!I482)</f>
        <v>0</v>
      </c>
      <c r="AF482" s="267">
        <f t="shared" si="45"/>
        <v>0</v>
      </c>
      <c r="AG482" s="266">
        <f>IF($Z482="",0,Shares!L482)</f>
        <v>0</v>
      </c>
      <c r="AH482" s="267">
        <f>IF($Z482="",0,Shares!M482)</f>
        <v>0</v>
      </c>
      <c r="AI482" s="243" t="str">
        <f>IF($Z482="","",RANK(AE482,$AE$2:$AE$1001)+COUNTIF($AE$2:AE482,AE482)-1)</f>
        <v/>
      </c>
      <c r="AJ482" s="243" t="str">
        <f>IF($AD482&lt;0,COUNT($AJ$1:AJ481)+1,"")</f>
        <v/>
      </c>
      <c r="AL482" s="243" t="str">
        <f>'All Ticker P&amp;L'!A482</f>
        <v/>
      </c>
      <c r="AM482" s="243" t="str">
        <f>'All Ticker P&amp;L'!B482</f>
        <v/>
      </c>
      <c r="AN482" s="243" t="str">
        <f>'All Ticker P&amp;L'!C482</f>
        <v/>
      </c>
      <c r="AO482" s="243" t="str">
        <f>'All Ticker P&amp;L'!D482</f>
        <v/>
      </c>
      <c r="AP482" s="243">
        <f>IF($AL482="",0,'All Ticker P&amp;L'!E482)</f>
        <v>0</v>
      </c>
      <c r="AQ482" s="266">
        <f>IF($AL482="",0,'All Ticker P&amp;L'!J482*'All Ticker P&amp;L'!I482)</f>
        <v>0</v>
      </c>
      <c r="AR482" s="266">
        <f>IF($AL482="",0,'All Ticker P&amp;L'!L482)</f>
        <v>0</v>
      </c>
      <c r="AS482" s="267">
        <f>IF($AL482="",0,'All Ticker P&amp;L'!M482)</f>
        <v>0</v>
      </c>
      <c r="AT482" s="243" t="str">
        <f>IF($AL482="","",RANK(AR482,$AR$2:$AR$1001)+COUNTIF($AR$2:AR482,AR482)-1)</f>
        <v/>
      </c>
      <c r="AU482" s="243" t="str">
        <f>IF($AL482="","",RANK(AV482,$AV$2:$AV$1001)+COUNTIF($AV$2:AV482,AV482)-1)</f>
        <v/>
      </c>
      <c r="AV482" s="266">
        <f t="shared" si="46"/>
        <v>0</v>
      </c>
    </row>
    <row r="483" spans="26:48" ht="15" customHeight="1" x14ac:dyDescent="0.2">
      <c r="Z483" s="243" t="str">
        <f>Shares!A483</f>
        <v/>
      </c>
      <c r="AA483" s="243" t="str">
        <f>Shares!B483</f>
        <v/>
      </c>
      <c r="AB483" s="243" t="str">
        <f>Shares!C483</f>
        <v/>
      </c>
      <c r="AC483" s="243" t="str">
        <f>Shares!D483</f>
        <v/>
      </c>
      <c r="AD483" s="243">
        <f>IF($Z483="",0,Shares!E483)</f>
        <v>0</v>
      </c>
      <c r="AE483" s="266">
        <f>IF($Z483="",0,Shares!J483*Shares!I483)</f>
        <v>0</v>
      </c>
      <c r="AF483" s="267">
        <f t="shared" si="45"/>
        <v>0</v>
      </c>
      <c r="AG483" s="266">
        <f>IF($Z483="",0,Shares!L483)</f>
        <v>0</v>
      </c>
      <c r="AH483" s="267">
        <f>IF($Z483="",0,Shares!M483)</f>
        <v>0</v>
      </c>
      <c r="AI483" s="243" t="str">
        <f>IF($Z483="","",RANK(AE483,$AE$2:$AE$1001)+COUNTIF($AE$2:AE483,AE483)-1)</f>
        <v/>
      </c>
      <c r="AJ483" s="243" t="str">
        <f>IF($AD483&lt;0,COUNT($AJ$1:AJ482)+1,"")</f>
        <v/>
      </c>
      <c r="AL483" s="243" t="str">
        <f>'All Ticker P&amp;L'!A483</f>
        <v/>
      </c>
      <c r="AM483" s="243" t="str">
        <f>'All Ticker P&amp;L'!B483</f>
        <v/>
      </c>
      <c r="AN483" s="243" t="str">
        <f>'All Ticker P&amp;L'!C483</f>
        <v/>
      </c>
      <c r="AO483" s="243" t="str">
        <f>'All Ticker P&amp;L'!D483</f>
        <v/>
      </c>
      <c r="AP483" s="243">
        <f>IF($AL483="",0,'All Ticker P&amp;L'!E483)</f>
        <v>0</v>
      </c>
      <c r="AQ483" s="266">
        <f>IF($AL483="",0,'All Ticker P&amp;L'!J483*'All Ticker P&amp;L'!I483)</f>
        <v>0</v>
      </c>
      <c r="AR483" s="266">
        <f>IF($AL483="",0,'All Ticker P&amp;L'!L483)</f>
        <v>0</v>
      </c>
      <c r="AS483" s="267">
        <f>IF($AL483="",0,'All Ticker P&amp;L'!M483)</f>
        <v>0</v>
      </c>
      <c r="AT483" s="243" t="str">
        <f>IF($AL483="","",RANK(AR483,$AR$2:$AR$1001)+COUNTIF($AR$2:AR483,AR483)-1)</f>
        <v/>
      </c>
      <c r="AU483" s="243" t="str">
        <f>IF($AL483="","",RANK(AV483,$AV$2:$AV$1001)+COUNTIF($AV$2:AV483,AV483)-1)</f>
        <v/>
      </c>
      <c r="AV483" s="266">
        <f t="shared" si="46"/>
        <v>0</v>
      </c>
    </row>
    <row r="484" spans="26:48" ht="15" customHeight="1" x14ac:dyDescent="0.2">
      <c r="Z484" s="243" t="str">
        <f>Shares!A484</f>
        <v/>
      </c>
      <c r="AA484" s="243" t="str">
        <f>Shares!B484</f>
        <v/>
      </c>
      <c r="AB484" s="243" t="str">
        <f>Shares!C484</f>
        <v/>
      </c>
      <c r="AC484" s="243" t="str">
        <f>Shares!D484</f>
        <v/>
      </c>
      <c r="AD484" s="243">
        <f>IF($Z484="",0,Shares!E484)</f>
        <v>0</v>
      </c>
      <c r="AE484" s="266">
        <f>IF($Z484="",0,Shares!J484*Shares!I484)</f>
        <v>0</v>
      </c>
      <c r="AF484" s="267">
        <f t="shared" si="45"/>
        <v>0</v>
      </c>
      <c r="AG484" s="266">
        <f>IF($Z484="",0,Shares!L484)</f>
        <v>0</v>
      </c>
      <c r="AH484" s="267">
        <f>IF($Z484="",0,Shares!M484)</f>
        <v>0</v>
      </c>
      <c r="AI484" s="243" t="str">
        <f>IF($Z484="","",RANK(AE484,$AE$2:$AE$1001)+COUNTIF($AE$2:AE484,AE484)-1)</f>
        <v/>
      </c>
      <c r="AJ484" s="243" t="str">
        <f>IF($AD484&lt;0,COUNT($AJ$1:AJ483)+1,"")</f>
        <v/>
      </c>
      <c r="AL484" s="243" t="str">
        <f>'All Ticker P&amp;L'!A484</f>
        <v/>
      </c>
      <c r="AM484" s="243" t="str">
        <f>'All Ticker P&amp;L'!B484</f>
        <v/>
      </c>
      <c r="AN484" s="243" t="str">
        <f>'All Ticker P&amp;L'!C484</f>
        <v/>
      </c>
      <c r="AO484" s="243" t="str">
        <f>'All Ticker P&amp;L'!D484</f>
        <v/>
      </c>
      <c r="AP484" s="243">
        <f>IF($AL484="",0,'All Ticker P&amp;L'!E484)</f>
        <v>0</v>
      </c>
      <c r="AQ484" s="266">
        <f>IF($AL484="",0,'All Ticker P&amp;L'!J484*'All Ticker P&amp;L'!I484)</f>
        <v>0</v>
      </c>
      <c r="AR484" s="266">
        <f>IF($AL484="",0,'All Ticker P&amp;L'!L484)</f>
        <v>0</v>
      </c>
      <c r="AS484" s="267">
        <f>IF($AL484="",0,'All Ticker P&amp;L'!M484)</f>
        <v>0</v>
      </c>
      <c r="AT484" s="243" t="str">
        <f>IF($AL484="","",RANK(AR484,$AR$2:$AR$1001)+COUNTIF($AR$2:AR484,AR484)-1)</f>
        <v/>
      </c>
      <c r="AU484" s="243" t="str">
        <f>IF($AL484="","",RANK(AV484,$AV$2:$AV$1001)+COUNTIF($AV$2:AV484,AV484)-1)</f>
        <v/>
      </c>
      <c r="AV484" s="266">
        <f t="shared" si="46"/>
        <v>0</v>
      </c>
    </row>
    <row r="485" spans="26:48" ht="15" customHeight="1" x14ac:dyDescent="0.2">
      <c r="Z485" s="243" t="str">
        <f>Shares!A485</f>
        <v/>
      </c>
      <c r="AA485" s="243" t="str">
        <f>Shares!B485</f>
        <v/>
      </c>
      <c r="AB485" s="243" t="str">
        <f>Shares!C485</f>
        <v/>
      </c>
      <c r="AC485" s="243" t="str">
        <f>Shares!D485</f>
        <v/>
      </c>
      <c r="AD485" s="243">
        <f>IF($Z485="",0,Shares!E485)</f>
        <v>0</v>
      </c>
      <c r="AE485" s="266">
        <f>IF($Z485="",0,Shares!J485*Shares!I485)</f>
        <v>0</v>
      </c>
      <c r="AF485" s="267">
        <f t="shared" si="45"/>
        <v>0</v>
      </c>
      <c r="AG485" s="266">
        <f>IF($Z485="",0,Shares!L485)</f>
        <v>0</v>
      </c>
      <c r="AH485" s="267">
        <f>IF($Z485="",0,Shares!M485)</f>
        <v>0</v>
      </c>
      <c r="AI485" s="243" t="str">
        <f>IF($Z485="","",RANK(AE485,$AE$2:$AE$1001)+COUNTIF($AE$2:AE485,AE485)-1)</f>
        <v/>
      </c>
      <c r="AJ485" s="243" t="str">
        <f>IF($AD485&lt;0,COUNT($AJ$1:AJ484)+1,"")</f>
        <v/>
      </c>
      <c r="AL485" s="243" t="str">
        <f>'All Ticker P&amp;L'!A485</f>
        <v/>
      </c>
      <c r="AM485" s="243" t="str">
        <f>'All Ticker P&amp;L'!B485</f>
        <v/>
      </c>
      <c r="AN485" s="243" t="str">
        <f>'All Ticker P&amp;L'!C485</f>
        <v/>
      </c>
      <c r="AO485" s="243" t="str">
        <f>'All Ticker P&amp;L'!D485</f>
        <v/>
      </c>
      <c r="AP485" s="243">
        <f>IF($AL485="",0,'All Ticker P&amp;L'!E485)</f>
        <v>0</v>
      </c>
      <c r="AQ485" s="266">
        <f>IF($AL485="",0,'All Ticker P&amp;L'!J485*'All Ticker P&amp;L'!I485)</f>
        <v>0</v>
      </c>
      <c r="AR485" s="266">
        <f>IF($AL485="",0,'All Ticker P&amp;L'!L485)</f>
        <v>0</v>
      </c>
      <c r="AS485" s="267">
        <f>IF($AL485="",0,'All Ticker P&amp;L'!M485)</f>
        <v>0</v>
      </c>
      <c r="AT485" s="243" t="str">
        <f>IF($AL485="","",RANK(AR485,$AR$2:$AR$1001)+COUNTIF($AR$2:AR485,AR485)-1)</f>
        <v/>
      </c>
      <c r="AU485" s="243" t="str">
        <f>IF($AL485="","",RANK(AV485,$AV$2:$AV$1001)+COUNTIF($AV$2:AV485,AV485)-1)</f>
        <v/>
      </c>
      <c r="AV485" s="266">
        <f t="shared" si="46"/>
        <v>0</v>
      </c>
    </row>
    <row r="486" spans="26:48" ht="15" customHeight="1" x14ac:dyDescent="0.2">
      <c r="Z486" s="243" t="str">
        <f>Shares!A486</f>
        <v/>
      </c>
      <c r="AA486" s="243" t="str">
        <f>Shares!B486</f>
        <v/>
      </c>
      <c r="AB486" s="243" t="str">
        <f>Shares!C486</f>
        <v/>
      </c>
      <c r="AC486" s="243" t="str">
        <f>Shares!D486</f>
        <v/>
      </c>
      <c r="AD486" s="243">
        <f>IF($Z486="",0,Shares!E486)</f>
        <v>0</v>
      </c>
      <c r="AE486" s="266">
        <f>IF($Z486="",0,Shares!J486*Shares!I486)</f>
        <v>0</v>
      </c>
      <c r="AF486" s="267">
        <f t="shared" si="45"/>
        <v>0</v>
      </c>
      <c r="AG486" s="266">
        <f>IF($Z486="",0,Shares!L486)</f>
        <v>0</v>
      </c>
      <c r="AH486" s="267">
        <f>IF($Z486="",0,Shares!M486)</f>
        <v>0</v>
      </c>
      <c r="AI486" s="243" t="str">
        <f>IF($Z486="","",RANK(AE486,$AE$2:$AE$1001)+COUNTIF($AE$2:AE486,AE486)-1)</f>
        <v/>
      </c>
      <c r="AJ486" s="243" t="str">
        <f>IF($AD486&lt;0,COUNT($AJ$1:AJ485)+1,"")</f>
        <v/>
      </c>
      <c r="AL486" s="243" t="str">
        <f>'All Ticker P&amp;L'!A486</f>
        <v/>
      </c>
      <c r="AM486" s="243" t="str">
        <f>'All Ticker P&amp;L'!B486</f>
        <v/>
      </c>
      <c r="AN486" s="243" t="str">
        <f>'All Ticker P&amp;L'!C486</f>
        <v/>
      </c>
      <c r="AO486" s="243" t="str">
        <f>'All Ticker P&amp;L'!D486</f>
        <v/>
      </c>
      <c r="AP486" s="243">
        <f>IF($AL486="",0,'All Ticker P&amp;L'!E486)</f>
        <v>0</v>
      </c>
      <c r="AQ486" s="266">
        <f>IF($AL486="",0,'All Ticker P&amp;L'!J486*'All Ticker P&amp;L'!I486)</f>
        <v>0</v>
      </c>
      <c r="AR486" s="266">
        <f>IF($AL486="",0,'All Ticker P&amp;L'!L486)</f>
        <v>0</v>
      </c>
      <c r="AS486" s="267">
        <f>IF($AL486="",0,'All Ticker P&amp;L'!M486)</f>
        <v>0</v>
      </c>
      <c r="AT486" s="243" t="str">
        <f>IF($AL486="","",RANK(AR486,$AR$2:$AR$1001)+COUNTIF($AR$2:AR486,AR486)-1)</f>
        <v/>
      </c>
      <c r="AU486" s="243" t="str">
        <f>IF($AL486="","",RANK(AV486,$AV$2:$AV$1001)+COUNTIF($AV$2:AV486,AV486)-1)</f>
        <v/>
      </c>
      <c r="AV486" s="266">
        <f t="shared" si="46"/>
        <v>0</v>
      </c>
    </row>
    <row r="487" spans="26:48" ht="15" customHeight="1" x14ac:dyDescent="0.2">
      <c r="Z487" s="243" t="str">
        <f>Shares!A487</f>
        <v/>
      </c>
      <c r="AA487" s="243" t="str">
        <f>Shares!B487</f>
        <v/>
      </c>
      <c r="AB487" s="243" t="str">
        <f>Shares!C487</f>
        <v/>
      </c>
      <c r="AC487" s="243" t="str">
        <f>Shares!D487</f>
        <v/>
      </c>
      <c r="AD487" s="243">
        <f>IF($Z487="",0,Shares!E487)</f>
        <v>0</v>
      </c>
      <c r="AE487" s="266">
        <f>IF($Z487="",0,Shares!J487*Shares!I487)</f>
        <v>0</v>
      </c>
      <c r="AF487" s="267">
        <f t="shared" si="45"/>
        <v>0</v>
      </c>
      <c r="AG487" s="266">
        <f>IF($Z487="",0,Shares!L487)</f>
        <v>0</v>
      </c>
      <c r="AH487" s="267">
        <f>IF($Z487="",0,Shares!M487)</f>
        <v>0</v>
      </c>
      <c r="AI487" s="243" t="str">
        <f>IF($Z487="","",RANK(AE487,$AE$2:$AE$1001)+COUNTIF($AE$2:AE487,AE487)-1)</f>
        <v/>
      </c>
      <c r="AJ487" s="243" t="str">
        <f>IF($AD487&lt;0,COUNT($AJ$1:AJ486)+1,"")</f>
        <v/>
      </c>
      <c r="AL487" s="243" t="str">
        <f>'All Ticker P&amp;L'!A487</f>
        <v/>
      </c>
      <c r="AM487" s="243" t="str">
        <f>'All Ticker P&amp;L'!B487</f>
        <v/>
      </c>
      <c r="AN487" s="243" t="str">
        <f>'All Ticker P&amp;L'!C487</f>
        <v/>
      </c>
      <c r="AO487" s="243" t="str">
        <f>'All Ticker P&amp;L'!D487</f>
        <v/>
      </c>
      <c r="AP487" s="243">
        <f>IF($AL487="",0,'All Ticker P&amp;L'!E487)</f>
        <v>0</v>
      </c>
      <c r="AQ487" s="266">
        <f>IF($AL487="",0,'All Ticker P&amp;L'!J487*'All Ticker P&amp;L'!I487)</f>
        <v>0</v>
      </c>
      <c r="AR487" s="266">
        <f>IF($AL487="",0,'All Ticker P&amp;L'!L487)</f>
        <v>0</v>
      </c>
      <c r="AS487" s="267">
        <f>IF($AL487="",0,'All Ticker P&amp;L'!M487)</f>
        <v>0</v>
      </c>
      <c r="AT487" s="243" t="str">
        <f>IF($AL487="","",RANK(AR487,$AR$2:$AR$1001)+COUNTIF($AR$2:AR487,AR487)-1)</f>
        <v/>
      </c>
      <c r="AU487" s="243" t="str">
        <f>IF($AL487="","",RANK(AV487,$AV$2:$AV$1001)+COUNTIF($AV$2:AV487,AV487)-1)</f>
        <v/>
      </c>
      <c r="AV487" s="266">
        <f t="shared" si="46"/>
        <v>0</v>
      </c>
    </row>
    <row r="488" spans="26:48" ht="15" customHeight="1" x14ac:dyDescent="0.2">
      <c r="Z488" s="243" t="str">
        <f>Shares!A488</f>
        <v/>
      </c>
      <c r="AA488" s="243" t="str">
        <f>Shares!B488</f>
        <v/>
      </c>
      <c r="AB488" s="243" t="str">
        <f>Shares!C488</f>
        <v/>
      </c>
      <c r="AC488" s="243" t="str">
        <f>Shares!D488</f>
        <v/>
      </c>
      <c r="AD488" s="243">
        <f>IF($Z488="",0,Shares!E488)</f>
        <v>0</v>
      </c>
      <c r="AE488" s="266">
        <f>IF($Z488="",0,Shares!J488*Shares!I488)</f>
        <v>0</v>
      </c>
      <c r="AF488" s="267">
        <f t="shared" si="45"/>
        <v>0</v>
      </c>
      <c r="AG488" s="266">
        <f>IF($Z488="",0,Shares!L488)</f>
        <v>0</v>
      </c>
      <c r="AH488" s="267">
        <f>IF($Z488="",0,Shares!M488)</f>
        <v>0</v>
      </c>
      <c r="AI488" s="243" t="str">
        <f>IF($Z488="","",RANK(AE488,$AE$2:$AE$1001)+COUNTIF($AE$2:AE488,AE488)-1)</f>
        <v/>
      </c>
      <c r="AJ488" s="243" t="str">
        <f>IF($AD488&lt;0,COUNT($AJ$1:AJ487)+1,"")</f>
        <v/>
      </c>
      <c r="AL488" s="243" t="str">
        <f>'All Ticker P&amp;L'!A488</f>
        <v/>
      </c>
      <c r="AM488" s="243" t="str">
        <f>'All Ticker P&amp;L'!B488</f>
        <v/>
      </c>
      <c r="AN488" s="243" t="str">
        <f>'All Ticker P&amp;L'!C488</f>
        <v/>
      </c>
      <c r="AO488" s="243" t="str">
        <f>'All Ticker P&amp;L'!D488</f>
        <v/>
      </c>
      <c r="AP488" s="243">
        <f>IF($AL488="",0,'All Ticker P&amp;L'!E488)</f>
        <v>0</v>
      </c>
      <c r="AQ488" s="266">
        <f>IF($AL488="",0,'All Ticker P&amp;L'!J488*'All Ticker P&amp;L'!I488)</f>
        <v>0</v>
      </c>
      <c r="AR488" s="266">
        <f>IF($AL488="",0,'All Ticker P&amp;L'!L488)</f>
        <v>0</v>
      </c>
      <c r="AS488" s="267">
        <f>IF($AL488="",0,'All Ticker P&amp;L'!M488)</f>
        <v>0</v>
      </c>
      <c r="AT488" s="243" t="str">
        <f>IF($AL488="","",RANK(AR488,$AR$2:$AR$1001)+COUNTIF($AR$2:AR488,AR488)-1)</f>
        <v/>
      </c>
      <c r="AU488" s="243" t="str">
        <f>IF($AL488="","",RANK(AV488,$AV$2:$AV$1001)+COUNTIF($AV$2:AV488,AV488)-1)</f>
        <v/>
      </c>
      <c r="AV488" s="266">
        <f t="shared" si="46"/>
        <v>0</v>
      </c>
    </row>
    <row r="489" spans="26:48" ht="15" customHeight="1" x14ac:dyDescent="0.2">
      <c r="Z489" s="243" t="str">
        <f>Shares!A489</f>
        <v/>
      </c>
      <c r="AA489" s="243" t="str">
        <f>Shares!B489</f>
        <v/>
      </c>
      <c r="AB489" s="243" t="str">
        <f>Shares!C489</f>
        <v/>
      </c>
      <c r="AC489" s="243" t="str">
        <f>Shares!D489</f>
        <v/>
      </c>
      <c r="AD489" s="243">
        <f>IF($Z489="",0,Shares!E489)</f>
        <v>0</v>
      </c>
      <c r="AE489" s="266">
        <f>IF($Z489="",0,Shares!J489*Shares!I489)</f>
        <v>0</v>
      </c>
      <c r="AF489" s="267">
        <f t="shared" si="45"/>
        <v>0</v>
      </c>
      <c r="AG489" s="266">
        <f>IF($Z489="",0,Shares!L489)</f>
        <v>0</v>
      </c>
      <c r="AH489" s="267">
        <f>IF($Z489="",0,Shares!M489)</f>
        <v>0</v>
      </c>
      <c r="AI489" s="243" t="str">
        <f>IF($Z489="","",RANK(AE489,$AE$2:$AE$1001)+COUNTIF($AE$2:AE489,AE489)-1)</f>
        <v/>
      </c>
      <c r="AJ489" s="243" t="str">
        <f>IF($AD489&lt;0,COUNT($AJ$1:AJ488)+1,"")</f>
        <v/>
      </c>
      <c r="AL489" s="243" t="str">
        <f>'All Ticker P&amp;L'!A489</f>
        <v/>
      </c>
      <c r="AM489" s="243" t="str">
        <f>'All Ticker P&amp;L'!B489</f>
        <v/>
      </c>
      <c r="AN489" s="243" t="str">
        <f>'All Ticker P&amp;L'!C489</f>
        <v/>
      </c>
      <c r="AO489" s="243" t="str">
        <f>'All Ticker P&amp;L'!D489</f>
        <v/>
      </c>
      <c r="AP489" s="243">
        <f>IF($AL489="",0,'All Ticker P&amp;L'!E489)</f>
        <v>0</v>
      </c>
      <c r="AQ489" s="266">
        <f>IF($AL489="",0,'All Ticker P&amp;L'!J489*'All Ticker P&amp;L'!I489)</f>
        <v>0</v>
      </c>
      <c r="AR489" s="266">
        <f>IF($AL489="",0,'All Ticker P&amp;L'!L489)</f>
        <v>0</v>
      </c>
      <c r="AS489" s="267">
        <f>IF($AL489="",0,'All Ticker P&amp;L'!M489)</f>
        <v>0</v>
      </c>
      <c r="AT489" s="243" t="str">
        <f>IF($AL489="","",RANK(AR489,$AR$2:$AR$1001)+COUNTIF($AR$2:AR489,AR489)-1)</f>
        <v/>
      </c>
      <c r="AU489" s="243" t="str">
        <f>IF($AL489="","",RANK(AV489,$AV$2:$AV$1001)+COUNTIF($AV$2:AV489,AV489)-1)</f>
        <v/>
      </c>
      <c r="AV489" s="266">
        <f t="shared" si="46"/>
        <v>0</v>
      </c>
    </row>
    <row r="490" spans="26:48" ht="15" customHeight="1" x14ac:dyDescent="0.2">
      <c r="Z490" s="243" t="str">
        <f>Shares!A490</f>
        <v/>
      </c>
      <c r="AA490" s="243" t="str">
        <f>Shares!B490</f>
        <v/>
      </c>
      <c r="AB490" s="243" t="str">
        <f>Shares!C490</f>
        <v/>
      </c>
      <c r="AC490" s="243" t="str">
        <f>Shares!D490</f>
        <v/>
      </c>
      <c r="AD490" s="243">
        <f>IF($Z490="",0,Shares!E490)</f>
        <v>0</v>
      </c>
      <c r="AE490" s="266">
        <f>IF($Z490="",0,Shares!J490*Shares!I490)</f>
        <v>0</v>
      </c>
      <c r="AF490" s="267">
        <f t="shared" si="45"/>
        <v>0</v>
      </c>
      <c r="AG490" s="266">
        <f>IF($Z490="",0,Shares!L490)</f>
        <v>0</v>
      </c>
      <c r="AH490" s="267">
        <f>IF($Z490="",0,Shares!M490)</f>
        <v>0</v>
      </c>
      <c r="AI490" s="243" t="str">
        <f>IF($Z490="","",RANK(AE490,$AE$2:$AE$1001)+COUNTIF($AE$2:AE490,AE490)-1)</f>
        <v/>
      </c>
      <c r="AJ490" s="243" t="str">
        <f>IF($AD490&lt;0,COUNT($AJ$1:AJ489)+1,"")</f>
        <v/>
      </c>
      <c r="AL490" s="243" t="str">
        <f>'All Ticker P&amp;L'!A490</f>
        <v/>
      </c>
      <c r="AM490" s="243" t="str">
        <f>'All Ticker P&amp;L'!B490</f>
        <v/>
      </c>
      <c r="AN490" s="243" t="str">
        <f>'All Ticker P&amp;L'!C490</f>
        <v/>
      </c>
      <c r="AO490" s="243" t="str">
        <f>'All Ticker P&amp;L'!D490</f>
        <v/>
      </c>
      <c r="AP490" s="243">
        <f>IF($AL490="",0,'All Ticker P&amp;L'!E490)</f>
        <v>0</v>
      </c>
      <c r="AQ490" s="266">
        <f>IF($AL490="",0,'All Ticker P&amp;L'!J490*'All Ticker P&amp;L'!I490)</f>
        <v>0</v>
      </c>
      <c r="AR490" s="266">
        <f>IF($AL490="",0,'All Ticker P&amp;L'!L490)</f>
        <v>0</v>
      </c>
      <c r="AS490" s="267">
        <f>IF($AL490="",0,'All Ticker P&amp;L'!M490)</f>
        <v>0</v>
      </c>
      <c r="AT490" s="243" t="str">
        <f>IF($AL490="","",RANK(AR490,$AR$2:$AR$1001)+COUNTIF($AR$2:AR490,AR490)-1)</f>
        <v/>
      </c>
      <c r="AU490" s="243" t="str">
        <f>IF($AL490="","",RANK(AV490,$AV$2:$AV$1001)+COUNTIF($AV$2:AV490,AV490)-1)</f>
        <v/>
      </c>
      <c r="AV490" s="266">
        <f t="shared" si="46"/>
        <v>0</v>
      </c>
    </row>
    <row r="491" spans="26:48" ht="15" customHeight="1" x14ac:dyDescent="0.2">
      <c r="Z491" s="243" t="str">
        <f>Shares!A491</f>
        <v/>
      </c>
      <c r="AA491" s="243" t="str">
        <f>Shares!B491</f>
        <v/>
      </c>
      <c r="AB491" s="243" t="str">
        <f>Shares!C491</f>
        <v/>
      </c>
      <c r="AC491" s="243" t="str">
        <f>Shares!D491</f>
        <v/>
      </c>
      <c r="AD491" s="243">
        <f>IF($Z491="",0,Shares!E491)</f>
        <v>0</v>
      </c>
      <c r="AE491" s="266">
        <f>IF($Z491="",0,Shares!J491*Shares!I491)</f>
        <v>0</v>
      </c>
      <c r="AF491" s="267">
        <f t="shared" si="45"/>
        <v>0</v>
      </c>
      <c r="AG491" s="266">
        <f>IF($Z491="",0,Shares!L491)</f>
        <v>0</v>
      </c>
      <c r="AH491" s="267">
        <f>IF($Z491="",0,Shares!M491)</f>
        <v>0</v>
      </c>
      <c r="AI491" s="243" t="str">
        <f>IF($Z491="","",RANK(AE491,$AE$2:$AE$1001)+COUNTIF($AE$2:AE491,AE491)-1)</f>
        <v/>
      </c>
      <c r="AJ491" s="243" t="str">
        <f>IF($AD491&lt;0,COUNT($AJ$1:AJ490)+1,"")</f>
        <v/>
      </c>
      <c r="AL491" s="243" t="str">
        <f>'All Ticker P&amp;L'!A491</f>
        <v/>
      </c>
      <c r="AM491" s="243" t="str">
        <f>'All Ticker P&amp;L'!B491</f>
        <v/>
      </c>
      <c r="AN491" s="243" t="str">
        <f>'All Ticker P&amp;L'!C491</f>
        <v/>
      </c>
      <c r="AO491" s="243" t="str">
        <f>'All Ticker P&amp;L'!D491</f>
        <v/>
      </c>
      <c r="AP491" s="243">
        <f>IF($AL491="",0,'All Ticker P&amp;L'!E491)</f>
        <v>0</v>
      </c>
      <c r="AQ491" s="266">
        <f>IF($AL491="",0,'All Ticker P&amp;L'!J491*'All Ticker P&amp;L'!I491)</f>
        <v>0</v>
      </c>
      <c r="AR491" s="266">
        <f>IF($AL491="",0,'All Ticker P&amp;L'!L491)</f>
        <v>0</v>
      </c>
      <c r="AS491" s="267">
        <f>IF($AL491="",0,'All Ticker P&amp;L'!M491)</f>
        <v>0</v>
      </c>
      <c r="AT491" s="243" t="str">
        <f>IF($AL491="","",RANK(AR491,$AR$2:$AR$1001)+COUNTIF($AR$2:AR491,AR491)-1)</f>
        <v/>
      </c>
      <c r="AU491" s="243" t="str">
        <f>IF($AL491="","",RANK(AV491,$AV$2:$AV$1001)+COUNTIF($AV$2:AV491,AV491)-1)</f>
        <v/>
      </c>
      <c r="AV491" s="266">
        <f t="shared" si="46"/>
        <v>0</v>
      </c>
    </row>
    <row r="492" spans="26:48" ht="15" customHeight="1" x14ac:dyDescent="0.2">
      <c r="Z492" s="243" t="str">
        <f>Shares!A492</f>
        <v/>
      </c>
      <c r="AA492" s="243" t="str">
        <f>Shares!B492</f>
        <v/>
      </c>
      <c r="AB492" s="243" t="str">
        <f>Shares!C492</f>
        <v/>
      </c>
      <c r="AC492" s="243" t="str">
        <f>Shares!D492</f>
        <v/>
      </c>
      <c r="AD492" s="243">
        <f>IF($Z492="",0,Shares!E492)</f>
        <v>0</v>
      </c>
      <c r="AE492" s="266">
        <f>IF($Z492="",0,Shares!J492*Shares!I492)</f>
        <v>0</v>
      </c>
      <c r="AF492" s="267">
        <f t="shared" si="45"/>
        <v>0</v>
      </c>
      <c r="AG492" s="266">
        <f>IF($Z492="",0,Shares!L492)</f>
        <v>0</v>
      </c>
      <c r="AH492" s="267">
        <f>IF($Z492="",0,Shares!M492)</f>
        <v>0</v>
      </c>
      <c r="AI492" s="243" t="str">
        <f>IF($Z492="","",RANK(AE492,$AE$2:$AE$1001)+COUNTIF($AE$2:AE492,AE492)-1)</f>
        <v/>
      </c>
      <c r="AJ492" s="243" t="str">
        <f>IF($AD492&lt;0,COUNT($AJ$1:AJ491)+1,"")</f>
        <v/>
      </c>
      <c r="AL492" s="243" t="str">
        <f>'All Ticker P&amp;L'!A492</f>
        <v/>
      </c>
      <c r="AM492" s="243" t="str">
        <f>'All Ticker P&amp;L'!B492</f>
        <v/>
      </c>
      <c r="AN492" s="243" t="str">
        <f>'All Ticker P&amp;L'!C492</f>
        <v/>
      </c>
      <c r="AO492" s="243" t="str">
        <f>'All Ticker P&amp;L'!D492</f>
        <v/>
      </c>
      <c r="AP492" s="243">
        <f>IF($AL492="",0,'All Ticker P&amp;L'!E492)</f>
        <v>0</v>
      </c>
      <c r="AQ492" s="266">
        <f>IF($AL492="",0,'All Ticker P&amp;L'!J492*'All Ticker P&amp;L'!I492)</f>
        <v>0</v>
      </c>
      <c r="AR492" s="266">
        <f>IF($AL492="",0,'All Ticker P&amp;L'!L492)</f>
        <v>0</v>
      </c>
      <c r="AS492" s="267">
        <f>IF($AL492="",0,'All Ticker P&amp;L'!M492)</f>
        <v>0</v>
      </c>
      <c r="AT492" s="243" t="str">
        <f>IF($AL492="","",RANK(AR492,$AR$2:$AR$1001)+COUNTIF($AR$2:AR492,AR492)-1)</f>
        <v/>
      </c>
      <c r="AU492" s="243" t="str">
        <f>IF($AL492="","",RANK(AV492,$AV$2:$AV$1001)+COUNTIF($AV$2:AV492,AV492)-1)</f>
        <v/>
      </c>
      <c r="AV492" s="266">
        <f t="shared" si="46"/>
        <v>0</v>
      </c>
    </row>
    <row r="493" spans="26:48" ht="15" customHeight="1" x14ac:dyDescent="0.2">
      <c r="Z493" s="243" t="str">
        <f>Shares!A493</f>
        <v/>
      </c>
      <c r="AA493" s="243" t="str">
        <f>Shares!B493</f>
        <v/>
      </c>
      <c r="AB493" s="243" t="str">
        <f>Shares!C493</f>
        <v/>
      </c>
      <c r="AC493" s="243" t="str">
        <f>Shares!D493</f>
        <v/>
      </c>
      <c r="AD493" s="243">
        <f>IF($Z493="",0,Shares!E493)</f>
        <v>0</v>
      </c>
      <c r="AE493" s="266">
        <f>IF($Z493="",0,Shares!J493*Shares!I493)</f>
        <v>0</v>
      </c>
      <c r="AF493" s="267">
        <f t="shared" si="45"/>
        <v>0</v>
      </c>
      <c r="AG493" s="266">
        <f>IF($Z493="",0,Shares!L493)</f>
        <v>0</v>
      </c>
      <c r="AH493" s="267">
        <f>IF($Z493="",0,Shares!M493)</f>
        <v>0</v>
      </c>
      <c r="AI493" s="243" t="str">
        <f>IF($Z493="","",RANK(AE493,$AE$2:$AE$1001)+COUNTIF($AE$2:AE493,AE493)-1)</f>
        <v/>
      </c>
      <c r="AJ493" s="243" t="str">
        <f>IF($AD493&lt;0,COUNT($AJ$1:AJ492)+1,"")</f>
        <v/>
      </c>
      <c r="AL493" s="243" t="str">
        <f>'All Ticker P&amp;L'!A493</f>
        <v/>
      </c>
      <c r="AM493" s="243" t="str">
        <f>'All Ticker P&amp;L'!B493</f>
        <v/>
      </c>
      <c r="AN493" s="243" t="str">
        <f>'All Ticker P&amp;L'!C493</f>
        <v/>
      </c>
      <c r="AO493" s="243" t="str">
        <f>'All Ticker P&amp;L'!D493</f>
        <v/>
      </c>
      <c r="AP493" s="243">
        <f>IF($AL493="",0,'All Ticker P&amp;L'!E493)</f>
        <v>0</v>
      </c>
      <c r="AQ493" s="266">
        <f>IF($AL493="",0,'All Ticker P&amp;L'!J493*'All Ticker P&amp;L'!I493)</f>
        <v>0</v>
      </c>
      <c r="AR493" s="266">
        <f>IF($AL493="",0,'All Ticker P&amp;L'!L493)</f>
        <v>0</v>
      </c>
      <c r="AS493" s="267">
        <f>IF($AL493="",0,'All Ticker P&amp;L'!M493)</f>
        <v>0</v>
      </c>
      <c r="AT493" s="243" t="str">
        <f>IF($AL493="","",RANK(AR493,$AR$2:$AR$1001)+COUNTIF($AR$2:AR493,AR493)-1)</f>
        <v/>
      </c>
      <c r="AU493" s="243" t="str">
        <f>IF($AL493="","",RANK(AV493,$AV$2:$AV$1001)+COUNTIF($AV$2:AV493,AV493)-1)</f>
        <v/>
      </c>
      <c r="AV493" s="266">
        <f t="shared" si="46"/>
        <v>0</v>
      </c>
    </row>
    <row r="494" spans="26:48" ht="15" customHeight="1" x14ac:dyDescent="0.2">
      <c r="Z494" s="243" t="str">
        <f>Shares!A494</f>
        <v/>
      </c>
      <c r="AA494" s="243" t="str">
        <f>Shares!B494</f>
        <v/>
      </c>
      <c r="AB494" s="243" t="str">
        <f>Shares!C494</f>
        <v/>
      </c>
      <c r="AC494" s="243" t="str">
        <f>Shares!D494</f>
        <v/>
      </c>
      <c r="AD494" s="243">
        <f>IF($Z494="",0,Shares!E494)</f>
        <v>0</v>
      </c>
      <c r="AE494" s="266">
        <f>IF($Z494="",0,Shares!J494*Shares!I494)</f>
        <v>0</v>
      </c>
      <c r="AF494" s="267">
        <f t="shared" si="45"/>
        <v>0</v>
      </c>
      <c r="AG494" s="266">
        <f>IF($Z494="",0,Shares!L494)</f>
        <v>0</v>
      </c>
      <c r="AH494" s="267">
        <f>IF($Z494="",0,Shares!M494)</f>
        <v>0</v>
      </c>
      <c r="AI494" s="243" t="str">
        <f>IF($Z494="","",RANK(AE494,$AE$2:$AE$1001)+COUNTIF($AE$2:AE494,AE494)-1)</f>
        <v/>
      </c>
      <c r="AJ494" s="243" t="str">
        <f>IF($AD494&lt;0,COUNT($AJ$1:AJ493)+1,"")</f>
        <v/>
      </c>
      <c r="AL494" s="243" t="str">
        <f>'All Ticker P&amp;L'!A494</f>
        <v/>
      </c>
      <c r="AM494" s="243" t="str">
        <f>'All Ticker P&amp;L'!B494</f>
        <v/>
      </c>
      <c r="AN494" s="243" t="str">
        <f>'All Ticker P&amp;L'!C494</f>
        <v/>
      </c>
      <c r="AO494" s="243" t="str">
        <f>'All Ticker P&amp;L'!D494</f>
        <v/>
      </c>
      <c r="AP494" s="243">
        <f>IF($AL494="",0,'All Ticker P&amp;L'!E494)</f>
        <v>0</v>
      </c>
      <c r="AQ494" s="266">
        <f>IF($AL494="",0,'All Ticker P&amp;L'!J494*'All Ticker P&amp;L'!I494)</f>
        <v>0</v>
      </c>
      <c r="AR494" s="266">
        <f>IF($AL494="",0,'All Ticker P&amp;L'!L494)</f>
        <v>0</v>
      </c>
      <c r="AS494" s="267">
        <f>IF($AL494="",0,'All Ticker P&amp;L'!M494)</f>
        <v>0</v>
      </c>
      <c r="AT494" s="243" t="str">
        <f>IF($AL494="","",RANK(AR494,$AR$2:$AR$1001)+COUNTIF($AR$2:AR494,AR494)-1)</f>
        <v/>
      </c>
      <c r="AU494" s="243" t="str">
        <f>IF($AL494="","",RANK(AV494,$AV$2:$AV$1001)+COUNTIF($AV$2:AV494,AV494)-1)</f>
        <v/>
      </c>
      <c r="AV494" s="266">
        <f t="shared" si="46"/>
        <v>0</v>
      </c>
    </row>
    <row r="495" spans="26:48" ht="15" customHeight="1" x14ac:dyDescent="0.2">
      <c r="Z495" s="243" t="str">
        <f>Shares!A495</f>
        <v/>
      </c>
      <c r="AA495" s="243" t="str">
        <f>Shares!B495</f>
        <v/>
      </c>
      <c r="AB495" s="243" t="str">
        <f>Shares!C495</f>
        <v/>
      </c>
      <c r="AC495" s="243" t="str">
        <f>Shares!D495</f>
        <v/>
      </c>
      <c r="AD495" s="243">
        <f>IF($Z495="",0,Shares!E495)</f>
        <v>0</v>
      </c>
      <c r="AE495" s="266">
        <f>IF($Z495="",0,Shares!J495*Shares!I495)</f>
        <v>0</v>
      </c>
      <c r="AF495" s="267">
        <f t="shared" si="45"/>
        <v>0</v>
      </c>
      <c r="AG495" s="266">
        <f>IF($Z495="",0,Shares!L495)</f>
        <v>0</v>
      </c>
      <c r="AH495" s="267">
        <f>IF($Z495="",0,Shares!M495)</f>
        <v>0</v>
      </c>
      <c r="AI495" s="243" t="str">
        <f>IF($Z495="","",RANK(AE495,$AE$2:$AE$1001)+COUNTIF($AE$2:AE495,AE495)-1)</f>
        <v/>
      </c>
      <c r="AJ495" s="243" t="str">
        <f>IF($AD495&lt;0,COUNT($AJ$1:AJ494)+1,"")</f>
        <v/>
      </c>
      <c r="AL495" s="243" t="str">
        <f>'All Ticker P&amp;L'!A495</f>
        <v/>
      </c>
      <c r="AM495" s="243" t="str">
        <f>'All Ticker P&amp;L'!B495</f>
        <v/>
      </c>
      <c r="AN495" s="243" t="str">
        <f>'All Ticker P&amp;L'!C495</f>
        <v/>
      </c>
      <c r="AO495" s="243" t="str">
        <f>'All Ticker P&amp;L'!D495</f>
        <v/>
      </c>
      <c r="AP495" s="243">
        <f>IF($AL495="",0,'All Ticker P&amp;L'!E495)</f>
        <v>0</v>
      </c>
      <c r="AQ495" s="266">
        <f>IF($AL495="",0,'All Ticker P&amp;L'!J495*'All Ticker P&amp;L'!I495)</f>
        <v>0</v>
      </c>
      <c r="AR495" s="266">
        <f>IF($AL495="",0,'All Ticker P&amp;L'!L495)</f>
        <v>0</v>
      </c>
      <c r="AS495" s="267">
        <f>IF($AL495="",0,'All Ticker P&amp;L'!M495)</f>
        <v>0</v>
      </c>
      <c r="AT495" s="243" t="str">
        <f>IF($AL495="","",RANK(AR495,$AR$2:$AR$1001)+COUNTIF($AR$2:AR495,AR495)-1)</f>
        <v/>
      </c>
      <c r="AU495" s="243" t="str">
        <f>IF($AL495="","",RANK(AV495,$AV$2:$AV$1001)+COUNTIF($AV$2:AV495,AV495)-1)</f>
        <v/>
      </c>
      <c r="AV495" s="266">
        <f t="shared" si="46"/>
        <v>0</v>
      </c>
    </row>
    <row r="496" spans="26:48" ht="15" customHeight="1" x14ac:dyDescent="0.2">
      <c r="Z496" s="243" t="str">
        <f>Shares!A496</f>
        <v/>
      </c>
      <c r="AA496" s="243" t="str">
        <f>Shares!B496</f>
        <v/>
      </c>
      <c r="AB496" s="243" t="str">
        <f>Shares!C496</f>
        <v/>
      </c>
      <c r="AC496" s="243" t="str">
        <f>Shares!D496</f>
        <v/>
      </c>
      <c r="AD496" s="243">
        <f>IF($Z496="",0,Shares!E496)</f>
        <v>0</v>
      </c>
      <c r="AE496" s="266">
        <f>IF($Z496="",0,Shares!J496*Shares!I496)</f>
        <v>0</v>
      </c>
      <c r="AF496" s="267">
        <f t="shared" si="45"/>
        <v>0</v>
      </c>
      <c r="AG496" s="266">
        <f>IF($Z496="",0,Shares!L496)</f>
        <v>0</v>
      </c>
      <c r="AH496" s="267">
        <f>IF($Z496="",0,Shares!M496)</f>
        <v>0</v>
      </c>
      <c r="AI496" s="243" t="str">
        <f>IF($Z496="","",RANK(AE496,$AE$2:$AE$1001)+COUNTIF($AE$2:AE496,AE496)-1)</f>
        <v/>
      </c>
      <c r="AJ496" s="243" t="str">
        <f>IF($AD496&lt;0,COUNT($AJ$1:AJ495)+1,"")</f>
        <v/>
      </c>
      <c r="AL496" s="243" t="str">
        <f>'All Ticker P&amp;L'!A496</f>
        <v/>
      </c>
      <c r="AM496" s="243" t="str">
        <f>'All Ticker P&amp;L'!B496</f>
        <v/>
      </c>
      <c r="AN496" s="243" t="str">
        <f>'All Ticker P&amp;L'!C496</f>
        <v/>
      </c>
      <c r="AO496" s="243" t="str">
        <f>'All Ticker P&amp;L'!D496</f>
        <v/>
      </c>
      <c r="AP496" s="243">
        <f>IF($AL496="",0,'All Ticker P&amp;L'!E496)</f>
        <v>0</v>
      </c>
      <c r="AQ496" s="266">
        <f>IF($AL496="",0,'All Ticker P&amp;L'!J496*'All Ticker P&amp;L'!I496)</f>
        <v>0</v>
      </c>
      <c r="AR496" s="266">
        <f>IF($AL496="",0,'All Ticker P&amp;L'!L496)</f>
        <v>0</v>
      </c>
      <c r="AS496" s="267">
        <f>IF($AL496="",0,'All Ticker P&amp;L'!M496)</f>
        <v>0</v>
      </c>
      <c r="AT496" s="243" t="str">
        <f>IF($AL496="","",RANK(AR496,$AR$2:$AR$1001)+COUNTIF($AR$2:AR496,AR496)-1)</f>
        <v/>
      </c>
      <c r="AU496" s="243" t="str">
        <f>IF($AL496="","",RANK(AV496,$AV$2:$AV$1001)+COUNTIF($AV$2:AV496,AV496)-1)</f>
        <v/>
      </c>
      <c r="AV496" s="266">
        <f t="shared" si="46"/>
        <v>0</v>
      </c>
    </row>
    <row r="497" spans="26:48" ht="15" customHeight="1" x14ac:dyDescent="0.2">
      <c r="Z497" s="243" t="str">
        <f>Shares!A497</f>
        <v/>
      </c>
      <c r="AA497" s="243" t="str">
        <f>Shares!B497</f>
        <v/>
      </c>
      <c r="AB497" s="243" t="str">
        <f>Shares!C497</f>
        <v/>
      </c>
      <c r="AC497" s="243" t="str">
        <f>Shares!D497</f>
        <v/>
      </c>
      <c r="AD497" s="243">
        <f>IF($Z497="",0,Shares!E497)</f>
        <v>0</v>
      </c>
      <c r="AE497" s="266">
        <f>IF($Z497="",0,Shares!J497*Shares!I497)</f>
        <v>0</v>
      </c>
      <c r="AF497" s="267">
        <f t="shared" si="45"/>
        <v>0</v>
      </c>
      <c r="AG497" s="266">
        <f>IF($Z497="",0,Shares!L497)</f>
        <v>0</v>
      </c>
      <c r="AH497" s="267">
        <f>IF($Z497="",0,Shares!M497)</f>
        <v>0</v>
      </c>
      <c r="AI497" s="243" t="str">
        <f>IF($Z497="","",RANK(AE497,$AE$2:$AE$1001)+COUNTIF($AE$2:AE497,AE497)-1)</f>
        <v/>
      </c>
      <c r="AJ497" s="243" t="str">
        <f>IF($AD497&lt;0,COUNT($AJ$1:AJ496)+1,"")</f>
        <v/>
      </c>
      <c r="AL497" s="243" t="str">
        <f>'All Ticker P&amp;L'!A497</f>
        <v/>
      </c>
      <c r="AM497" s="243" t="str">
        <f>'All Ticker P&amp;L'!B497</f>
        <v/>
      </c>
      <c r="AN497" s="243" t="str">
        <f>'All Ticker P&amp;L'!C497</f>
        <v/>
      </c>
      <c r="AO497" s="243" t="str">
        <f>'All Ticker P&amp;L'!D497</f>
        <v/>
      </c>
      <c r="AP497" s="243">
        <f>IF($AL497="",0,'All Ticker P&amp;L'!E497)</f>
        <v>0</v>
      </c>
      <c r="AQ497" s="266">
        <f>IF($AL497="",0,'All Ticker P&amp;L'!J497*'All Ticker P&amp;L'!I497)</f>
        <v>0</v>
      </c>
      <c r="AR497" s="266">
        <f>IF($AL497="",0,'All Ticker P&amp;L'!L497)</f>
        <v>0</v>
      </c>
      <c r="AS497" s="267">
        <f>IF($AL497="",0,'All Ticker P&amp;L'!M497)</f>
        <v>0</v>
      </c>
      <c r="AT497" s="243" t="str">
        <f>IF($AL497="","",RANK(AR497,$AR$2:$AR$1001)+COUNTIF($AR$2:AR497,AR497)-1)</f>
        <v/>
      </c>
      <c r="AU497" s="243" t="str">
        <f>IF($AL497="","",RANK(AV497,$AV$2:$AV$1001)+COUNTIF($AV$2:AV497,AV497)-1)</f>
        <v/>
      </c>
      <c r="AV497" s="266">
        <f t="shared" si="46"/>
        <v>0</v>
      </c>
    </row>
    <row r="498" spans="26:48" ht="15" customHeight="1" x14ac:dyDescent="0.2">
      <c r="Z498" s="243" t="str">
        <f>Shares!A498</f>
        <v/>
      </c>
      <c r="AA498" s="243" t="str">
        <f>Shares!B498</f>
        <v/>
      </c>
      <c r="AB498" s="243" t="str">
        <f>Shares!C498</f>
        <v/>
      </c>
      <c r="AC498" s="243" t="str">
        <f>Shares!D498</f>
        <v/>
      </c>
      <c r="AD498" s="243">
        <f>IF($Z498="",0,Shares!E498)</f>
        <v>0</v>
      </c>
      <c r="AE498" s="266">
        <f>IF($Z498="",0,Shares!J498*Shares!I498)</f>
        <v>0</v>
      </c>
      <c r="AF498" s="267">
        <f t="shared" si="45"/>
        <v>0</v>
      </c>
      <c r="AG498" s="266">
        <f>IF($Z498="",0,Shares!L498)</f>
        <v>0</v>
      </c>
      <c r="AH498" s="267">
        <f>IF($Z498="",0,Shares!M498)</f>
        <v>0</v>
      </c>
      <c r="AI498" s="243" t="str">
        <f>IF($Z498="","",RANK(AE498,$AE$2:$AE$1001)+COUNTIF($AE$2:AE498,AE498)-1)</f>
        <v/>
      </c>
      <c r="AJ498" s="243" t="str">
        <f>IF($AD498&lt;0,COUNT($AJ$1:AJ497)+1,"")</f>
        <v/>
      </c>
      <c r="AL498" s="243" t="str">
        <f>'All Ticker P&amp;L'!A498</f>
        <v/>
      </c>
      <c r="AM498" s="243" t="str">
        <f>'All Ticker P&amp;L'!B498</f>
        <v/>
      </c>
      <c r="AN498" s="243" t="str">
        <f>'All Ticker P&amp;L'!C498</f>
        <v/>
      </c>
      <c r="AO498" s="243" t="str">
        <f>'All Ticker P&amp;L'!D498</f>
        <v/>
      </c>
      <c r="AP498" s="243">
        <f>IF($AL498="",0,'All Ticker P&amp;L'!E498)</f>
        <v>0</v>
      </c>
      <c r="AQ498" s="266">
        <f>IF($AL498="",0,'All Ticker P&amp;L'!J498*'All Ticker P&amp;L'!I498)</f>
        <v>0</v>
      </c>
      <c r="AR498" s="266">
        <f>IF($AL498="",0,'All Ticker P&amp;L'!L498)</f>
        <v>0</v>
      </c>
      <c r="AS498" s="267">
        <f>IF($AL498="",0,'All Ticker P&amp;L'!M498)</f>
        <v>0</v>
      </c>
      <c r="AT498" s="243" t="str">
        <f>IF($AL498="","",RANK(AR498,$AR$2:$AR$1001)+COUNTIF($AR$2:AR498,AR498)-1)</f>
        <v/>
      </c>
      <c r="AU498" s="243" t="str">
        <f>IF($AL498="","",RANK(AV498,$AV$2:$AV$1001)+COUNTIF($AV$2:AV498,AV498)-1)</f>
        <v/>
      </c>
      <c r="AV498" s="266">
        <f t="shared" si="46"/>
        <v>0</v>
      </c>
    </row>
    <row r="499" spans="26:48" ht="15" customHeight="1" x14ac:dyDescent="0.2">
      <c r="Z499" s="243" t="str">
        <f>Shares!A499</f>
        <v/>
      </c>
      <c r="AA499" s="243" t="str">
        <f>Shares!B499</f>
        <v/>
      </c>
      <c r="AB499" s="243" t="str">
        <f>Shares!C499</f>
        <v/>
      </c>
      <c r="AC499" s="243" t="str">
        <f>Shares!D499</f>
        <v/>
      </c>
      <c r="AD499" s="243">
        <f>IF($Z499="",0,Shares!E499)</f>
        <v>0</v>
      </c>
      <c r="AE499" s="266">
        <f>IF($Z499="",0,Shares!J499*Shares!I499)</f>
        <v>0</v>
      </c>
      <c r="AF499" s="267">
        <f t="shared" si="45"/>
        <v>0</v>
      </c>
      <c r="AG499" s="266">
        <f>IF($Z499="",0,Shares!L499)</f>
        <v>0</v>
      </c>
      <c r="AH499" s="267">
        <f>IF($Z499="",0,Shares!M499)</f>
        <v>0</v>
      </c>
      <c r="AI499" s="243" t="str">
        <f>IF($Z499="","",RANK(AE499,$AE$2:$AE$1001)+COUNTIF($AE$2:AE499,AE499)-1)</f>
        <v/>
      </c>
      <c r="AJ499" s="243" t="str">
        <f>IF($AD499&lt;0,COUNT($AJ$1:AJ498)+1,"")</f>
        <v/>
      </c>
      <c r="AL499" s="243" t="str">
        <f>'All Ticker P&amp;L'!A499</f>
        <v/>
      </c>
      <c r="AM499" s="243" t="str">
        <f>'All Ticker P&amp;L'!B499</f>
        <v/>
      </c>
      <c r="AN499" s="243" t="str">
        <f>'All Ticker P&amp;L'!C499</f>
        <v/>
      </c>
      <c r="AO499" s="243" t="str">
        <f>'All Ticker P&amp;L'!D499</f>
        <v/>
      </c>
      <c r="AP499" s="243">
        <f>IF($AL499="",0,'All Ticker P&amp;L'!E499)</f>
        <v>0</v>
      </c>
      <c r="AQ499" s="266">
        <f>IF($AL499="",0,'All Ticker P&amp;L'!J499*'All Ticker P&amp;L'!I499)</f>
        <v>0</v>
      </c>
      <c r="AR499" s="266">
        <f>IF($AL499="",0,'All Ticker P&amp;L'!L499)</f>
        <v>0</v>
      </c>
      <c r="AS499" s="267">
        <f>IF($AL499="",0,'All Ticker P&amp;L'!M499)</f>
        <v>0</v>
      </c>
      <c r="AT499" s="243" t="str">
        <f>IF($AL499="","",RANK(AR499,$AR$2:$AR$1001)+COUNTIF($AR$2:AR499,AR499)-1)</f>
        <v/>
      </c>
      <c r="AU499" s="243" t="str">
        <f>IF($AL499="","",RANK(AV499,$AV$2:$AV$1001)+COUNTIF($AV$2:AV499,AV499)-1)</f>
        <v/>
      </c>
      <c r="AV499" s="266">
        <f t="shared" si="46"/>
        <v>0</v>
      </c>
    </row>
    <row r="500" spans="26:48" ht="15" customHeight="1" x14ac:dyDescent="0.2">
      <c r="Z500" s="243" t="str">
        <f>Shares!A500</f>
        <v/>
      </c>
      <c r="AA500" s="243" t="str">
        <f>Shares!B500</f>
        <v/>
      </c>
      <c r="AB500" s="243" t="str">
        <f>Shares!C500</f>
        <v/>
      </c>
      <c r="AC500" s="243" t="str">
        <f>Shares!D500</f>
        <v/>
      </c>
      <c r="AD500" s="243">
        <f>IF($Z500="",0,Shares!E500)</f>
        <v>0</v>
      </c>
      <c r="AE500" s="266">
        <f>IF($Z500="",0,Shares!J500*Shares!I500)</f>
        <v>0</v>
      </c>
      <c r="AF500" s="267">
        <f t="shared" si="45"/>
        <v>0</v>
      </c>
      <c r="AG500" s="266">
        <f>IF($Z500="",0,Shares!L500)</f>
        <v>0</v>
      </c>
      <c r="AH500" s="267">
        <f>IF($Z500="",0,Shares!M500)</f>
        <v>0</v>
      </c>
      <c r="AI500" s="243" t="str">
        <f>IF($Z500="","",RANK(AE500,$AE$2:$AE$1001)+COUNTIF($AE$2:AE500,AE500)-1)</f>
        <v/>
      </c>
      <c r="AJ500" s="243" t="str">
        <f>IF($AD500&lt;0,COUNT($AJ$1:AJ499)+1,"")</f>
        <v/>
      </c>
      <c r="AL500" s="243" t="str">
        <f>'All Ticker P&amp;L'!A500</f>
        <v/>
      </c>
      <c r="AM500" s="243" t="str">
        <f>'All Ticker P&amp;L'!B500</f>
        <v/>
      </c>
      <c r="AN500" s="243" t="str">
        <f>'All Ticker P&amp;L'!C500</f>
        <v/>
      </c>
      <c r="AO500" s="243" t="str">
        <f>'All Ticker P&amp;L'!D500</f>
        <v/>
      </c>
      <c r="AP500" s="243">
        <f>IF($AL500="",0,'All Ticker P&amp;L'!E500)</f>
        <v>0</v>
      </c>
      <c r="AQ500" s="266">
        <f>IF($AL500="",0,'All Ticker P&amp;L'!J500*'All Ticker P&amp;L'!I500)</f>
        <v>0</v>
      </c>
      <c r="AR500" s="266">
        <f>IF($AL500="",0,'All Ticker P&amp;L'!L500)</f>
        <v>0</v>
      </c>
      <c r="AS500" s="267">
        <f>IF($AL500="",0,'All Ticker P&amp;L'!M500)</f>
        <v>0</v>
      </c>
      <c r="AT500" s="243" t="str">
        <f>IF($AL500="","",RANK(AR500,$AR$2:$AR$1001)+COUNTIF($AR$2:AR500,AR500)-1)</f>
        <v/>
      </c>
      <c r="AU500" s="243" t="str">
        <f>IF($AL500="","",RANK(AV500,$AV$2:$AV$1001)+COUNTIF($AV$2:AV500,AV500)-1)</f>
        <v/>
      </c>
      <c r="AV500" s="266">
        <f t="shared" si="46"/>
        <v>0</v>
      </c>
    </row>
    <row r="501" spans="26:48" ht="15" customHeight="1" x14ac:dyDescent="0.2">
      <c r="Z501" s="243" t="str">
        <f>Shares!A501</f>
        <v/>
      </c>
      <c r="AA501" s="243" t="str">
        <f>Shares!B501</f>
        <v/>
      </c>
      <c r="AB501" s="243" t="str">
        <f>Shares!C501</f>
        <v/>
      </c>
      <c r="AC501" s="243" t="str">
        <f>Shares!D501</f>
        <v/>
      </c>
      <c r="AD501" s="243">
        <f>IF($Z501="",0,Shares!E501)</f>
        <v>0</v>
      </c>
      <c r="AE501" s="266">
        <f>IF($Z501="",0,Shares!J501*Shares!I501)</f>
        <v>0</v>
      </c>
      <c r="AF501" s="267">
        <f t="shared" si="45"/>
        <v>0</v>
      </c>
      <c r="AG501" s="266">
        <f>IF($Z501="",0,Shares!L501)</f>
        <v>0</v>
      </c>
      <c r="AH501" s="267">
        <f>IF($Z501="",0,Shares!M501)</f>
        <v>0</v>
      </c>
      <c r="AI501" s="243" t="str">
        <f>IF($Z501="","",RANK(AE501,$AE$2:$AE$1001)+COUNTIF($AE$2:AE501,AE501)-1)</f>
        <v/>
      </c>
      <c r="AJ501" s="243" t="str">
        <f>IF($AD501&lt;0,COUNT($AJ$1:AJ500)+1,"")</f>
        <v/>
      </c>
      <c r="AL501" s="243" t="str">
        <f>'All Ticker P&amp;L'!A501</f>
        <v/>
      </c>
      <c r="AM501" s="243" t="str">
        <f>'All Ticker P&amp;L'!B501</f>
        <v/>
      </c>
      <c r="AN501" s="243" t="str">
        <f>'All Ticker P&amp;L'!C501</f>
        <v/>
      </c>
      <c r="AO501" s="243" t="str">
        <f>'All Ticker P&amp;L'!D501</f>
        <v/>
      </c>
      <c r="AP501" s="243">
        <f>IF($AL501="",0,'All Ticker P&amp;L'!E501)</f>
        <v>0</v>
      </c>
      <c r="AQ501" s="266">
        <f>IF($AL501="",0,'All Ticker P&amp;L'!J501*'All Ticker P&amp;L'!I501)</f>
        <v>0</v>
      </c>
      <c r="AR501" s="266">
        <f>IF($AL501="",0,'All Ticker P&amp;L'!L501)</f>
        <v>0</v>
      </c>
      <c r="AS501" s="267">
        <f>IF($AL501="",0,'All Ticker P&amp;L'!M501)</f>
        <v>0</v>
      </c>
      <c r="AT501" s="243" t="str">
        <f>IF($AL501="","",RANK(AR501,$AR$2:$AR$1001)+COUNTIF($AR$2:AR501,AR501)-1)</f>
        <v/>
      </c>
      <c r="AU501" s="243" t="str">
        <f>IF($AL501="","",RANK(AV501,$AV$2:$AV$1001)+COUNTIF($AV$2:AV501,AV501)-1)</f>
        <v/>
      </c>
      <c r="AV501" s="266">
        <f t="shared" si="46"/>
        <v>0</v>
      </c>
    </row>
    <row r="502" spans="26:48" ht="15" customHeight="1" x14ac:dyDescent="0.2">
      <c r="Z502" s="243" t="str">
        <f>Shares!A502</f>
        <v/>
      </c>
      <c r="AA502" s="243" t="str">
        <f>Shares!B502</f>
        <v/>
      </c>
      <c r="AB502" s="243" t="str">
        <f>Shares!C502</f>
        <v/>
      </c>
      <c r="AC502" s="243" t="str">
        <f>Shares!D502</f>
        <v/>
      </c>
      <c r="AD502" s="243">
        <f>IF($Z502="",0,Shares!E502)</f>
        <v>0</v>
      </c>
      <c r="AE502" s="266">
        <f>IF($Z502="",0,Shares!J502*Shares!I502)</f>
        <v>0</v>
      </c>
      <c r="AF502" s="267">
        <f t="shared" si="45"/>
        <v>0</v>
      </c>
      <c r="AG502" s="266">
        <f>IF($Z502="",0,Shares!L502)</f>
        <v>0</v>
      </c>
      <c r="AH502" s="267">
        <f>IF($Z502="",0,Shares!M502)</f>
        <v>0</v>
      </c>
      <c r="AI502" s="243" t="str">
        <f>IF($Z502="","",RANK(AE502,$AE$2:$AE$1001)+COUNTIF($AE$2:AE502,AE502)-1)</f>
        <v/>
      </c>
      <c r="AJ502" s="243" t="str">
        <f>IF($AD502&lt;0,COUNT($AJ$1:AJ501)+1,"")</f>
        <v/>
      </c>
      <c r="AL502" s="243" t="str">
        <f>'All Ticker P&amp;L'!A502</f>
        <v/>
      </c>
      <c r="AM502" s="243" t="str">
        <f>'All Ticker P&amp;L'!B502</f>
        <v/>
      </c>
      <c r="AN502" s="243" t="str">
        <f>'All Ticker P&amp;L'!C502</f>
        <v/>
      </c>
      <c r="AO502" s="243" t="str">
        <f>'All Ticker P&amp;L'!D502</f>
        <v/>
      </c>
      <c r="AP502" s="243">
        <f>IF($AL502="",0,'All Ticker P&amp;L'!E502)</f>
        <v>0</v>
      </c>
      <c r="AQ502" s="266">
        <f>IF($AL502="",0,'All Ticker P&amp;L'!J502*'All Ticker P&amp;L'!I502)</f>
        <v>0</v>
      </c>
      <c r="AR502" s="266">
        <f>IF($AL502="",0,'All Ticker P&amp;L'!L502)</f>
        <v>0</v>
      </c>
      <c r="AS502" s="267">
        <f>IF($AL502="",0,'All Ticker P&amp;L'!M502)</f>
        <v>0</v>
      </c>
      <c r="AT502" s="243" t="str">
        <f>IF($AL502="","",RANK(AR502,$AR$2:$AR$1001)+COUNTIF($AR$2:AR502,AR502)-1)</f>
        <v/>
      </c>
      <c r="AU502" s="243" t="str">
        <f>IF($AL502="","",RANK(AV502,$AV$2:$AV$1001)+COUNTIF($AV$2:AV502,AV502)-1)</f>
        <v/>
      </c>
      <c r="AV502" s="266">
        <f t="shared" si="46"/>
        <v>0</v>
      </c>
    </row>
    <row r="503" spans="26:48" ht="15" customHeight="1" x14ac:dyDescent="0.2">
      <c r="Z503" s="243" t="str">
        <f>Shares!A503</f>
        <v/>
      </c>
      <c r="AA503" s="243" t="str">
        <f>Shares!B503</f>
        <v/>
      </c>
      <c r="AB503" s="243" t="str">
        <f>Shares!C503</f>
        <v/>
      </c>
      <c r="AC503" s="243" t="str">
        <f>Shares!D503</f>
        <v/>
      </c>
      <c r="AD503" s="243">
        <f>IF($Z503="",0,Shares!E503)</f>
        <v>0</v>
      </c>
      <c r="AE503" s="266">
        <f>IF($Z503="",0,Shares!J503*Shares!I503)</f>
        <v>0</v>
      </c>
      <c r="AF503" s="267">
        <f t="shared" si="45"/>
        <v>0</v>
      </c>
      <c r="AG503" s="266">
        <f>IF($Z503="",0,Shares!L503)</f>
        <v>0</v>
      </c>
      <c r="AH503" s="267">
        <f>IF($Z503="",0,Shares!M503)</f>
        <v>0</v>
      </c>
      <c r="AI503" s="243" t="str">
        <f>IF($Z503="","",RANK(AE503,$AE$2:$AE$1001)+COUNTIF($AE$2:AE503,AE503)-1)</f>
        <v/>
      </c>
      <c r="AJ503" s="243" t="str">
        <f>IF($AD503&lt;0,COUNT($AJ$1:AJ502)+1,"")</f>
        <v/>
      </c>
      <c r="AL503" s="243" t="str">
        <f>'All Ticker P&amp;L'!A503</f>
        <v/>
      </c>
      <c r="AM503" s="243" t="str">
        <f>'All Ticker P&amp;L'!B503</f>
        <v/>
      </c>
      <c r="AN503" s="243" t="str">
        <f>'All Ticker P&amp;L'!C503</f>
        <v/>
      </c>
      <c r="AO503" s="243" t="str">
        <f>'All Ticker P&amp;L'!D503</f>
        <v/>
      </c>
      <c r="AP503" s="243">
        <f>IF($AL503="",0,'All Ticker P&amp;L'!E503)</f>
        <v>0</v>
      </c>
      <c r="AQ503" s="266">
        <f>IF($AL503="",0,'All Ticker P&amp;L'!J503*'All Ticker P&amp;L'!I503)</f>
        <v>0</v>
      </c>
      <c r="AR503" s="266">
        <f>IF($AL503="",0,'All Ticker P&amp;L'!L503)</f>
        <v>0</v>
      </c>
      <c r="AS503" s="267">
        <f>IF($AL503="",0,'All Ticker P&amp;L'!M503)</f>
        <v>0</v>
      </c>
      <c r="AT503" s="243" t="str">
        <f>IF($AL503="","",RANK(AR503,$AR$2:$AR$1001)+COUNTIF($AR$2:AR503,AR503)-1)</f>
        <v/>
      </c>
      <c r="AU503" s="243" t="str">
        <f>IF($AL503="","",RANK(AV503,$AV$2:$AV$1001)+COUNTIF($AV$2:AV503,AV503)-1)</f>
        <v/>
      </c>
      <c r="AV503" s="266">
        <f t="shared" si="46"/>
        <v>0</v>
      </c>
    </row>
    <row r="504" spans="26:48" ht="15" customHeight="1" x14ac:dyDescent="0.2">
      <c r="Z504" s="243" t="str">
        <f>Shares!A504</f>
        <v/>
      </c>
      <c r="AA504" s="243" t="str">
        <f>Shares!B504</f>
        <v/>
      </c>
      <c r="AB504" s="243" t="str">
        <f>Shares!C504</f>
        <v/>
      </c>
      <c r="AC504" s="243" t="str">
        <f>Shares!D504</f>
        <v/>
      </c>
      <c r="AD504" s="243">
        <f>IF($Z504="",0,Shares!E504)</f>
        <v>0</v>
      </c>
      <c r="AE504" s="266">
        <f>IF($Z504="",0,Shares!J504*Shares!I504)</f>
        <v>0</v>
      </c>
      <c r="AF504" s="267">
        <f t="shared" si="45"/>
        <v>0</v>
      </c>
      <c r="AG504" s="266">
        <f>IF($Z504="",0,Shares!L504)</f>
        <v>0</v>
      </c>
      <c r="AH504" s="267">
        <f>IF($Z504="",0,Shares!M504)</f>
        <v>0</v>
      </c>
      <c r="AI504" s="243" t="str">
        <f>IF($Z504="","",RANK(AE504,$AE$2:$AE$1001)+COUNTIF($AE$2:AE504,AE504)-1)</f>
        <v/>
      </c>
      <c r="AJ504" s="243" t="str">
        <f>IF($AD504&lt;0,COUNT($AJ$1:AJ503)+1,"")</f>
        <v/>
      </c>
      <c r="AL504" s="243" t="str">
        <f>'All Ticker P&amp;L'!A504</f>
        <v/>
      </c>
      <c r="AM504" s="243" t="str">
        <f>'All Ticker P&amp;L'!B504</f>
        <v/>
      </c>
      <c r="AN504" s="243" t="str">
        <f>'All Ticker P&amp;L'!C504</f>
        <v/>
      </c>
      <c r="AO504" s="243" t="str">
        <f>'All Ticker P&amp;L'!D504</f>
        <v/>
      </c>
      <c r="AP504" s="243">
        <f>IF($AL504="",0,'All Ticker P&amp;L'!E504)</f>
        <v>0</v>
      </c>
      <c r="AQ504" s="266">
        <f>IF($AL504="",0,'All Ticker P&amp;L'!J504*'All Ticker P&amp;L'!I504)</f>
        <v>0</v>
      </c>
      <c r="AR504" s="266">
        <f>IF($AL504="",0,'All Ticker P&amp;L'!L504)</f>
        <v>0</v>
      </c>
      <c r="AS504" s="267">
        <f>IF($AL504="",0,'All Ticker P&amp;L'!M504)</f>
        <v>0</v>
      </c>
      <c r="AT504" s="243" t="str">
        <f>IF($AL504="","",RANK(AR504,$AR$2:$AR$1001)+COUNTIF($AR$2:AR504,AR504)-1)</f>
        <v/>
      </c>
      <c r="AU504" s="243" t="str">
        <f>IF($AL504="","",RANK(AV504,$AV$2:$AV$1001)+COUNTIF($AV$2:AV504,AV504)-1)</f>
        <v/>
      </c>
      <c r="AV504" s="266">
        <f t="shared" si="46"/>
        <v>0</v>
      </c>
    </row>
    <row r="505" spans="26:48" ht="15" customHeight="1" x14ac:dyDescent="0.2">
      <c r="Z505" s="243" t="str">
        <f>Shares!A505</f>
        <v/>
      </c>
      <c r="AA505" s="243" t="str">
        <f>Shares!B505</f>
        <v/>
      </c>
      <c r="AB505" s="243" t="str">
        <f>Shares!C505</f>
        <v/>
      </c>
      <c r="AC505" s="243" t="str">
        <f>Shares!D505</f>
        <v/>
      </c>
      <c r="AD505" s="243">
        <f>IF($Z505="",0,Shares!E505)</f>
        <v>0</v>
      </c>
      <c r="AE505" s="266">
        <f>IF($Z505="",0,Shares!J505*Shares!I505)</f>
        <v>0</v>
      </c>
      <c r="AF505" s="267">
        <f t="shared" si="45"/>
        <v>0</v>
      </c>
      <c r="AG505" s="266">
        <f>IF($Z505="",0,Shares!L505)</f>
        <v>0</v>
      </c>
      <c r="AH505" s="267">
        <f>IF($Z505="",0,Shares!M505)</f>
        <v>0</v>
      </c>
      <c r="AI505" s="243" t="str">
        <f>IF($Z505="","",RANK(AE505,$AE$2:$AE$1001)+COUNTIF($AE$2:AE505,AE505)-1)</f>
        <v/>
      </c>
      <c r="AJ505" s="243" t="str">
        <f>IF($AD505&lt;0,COUNT($AJ$1:AJ504)+1,"")</f>
        <v/>
      </c>
      <c r="AL505" s="243" t="str">
        <f>'All Ticker P&amp;L'!A505</f>
        <v/>
      </c>
      <c r="AM505" s="243" t="str">
        <f>'All Ticker P&amp;L'!B505</f>
        <v/>
      </c>
      <c r="AN505" s="243" t="str">
        <f>'All Ticker P&amp;L'!C505</f>
        <v/>
      </c>
      <c r="AO505" s="243" t="str">
        <f>'All Ticker P&amp;L'!D505</f>
        <v/>
      </c>
      <c r="AP505" s="243">
        <f>IF($AL505="",0,'All Ticker P&amp;L'!E505)</f>
        <v>0</v>
      </c>
      <c r="AQ505" s="266">
        <f>IF($AL505="",0,'All Ticker P&amp;L'!J505*'All Ticker P&amp;L'!I505)</f>
        <v>0</v>
      </c>
      <c r="AR505" s="266">
        <f>IF($AL505="",0,'All Ticker P&amp;L'!L505)</f>
        <v>0</v>
      </c>
      <c r="AS505" s="267">
        <f>IF($AL505="",0,'All Ticker P&amp;L'!M505)</f>
        <v>0</v>
      </c>
      <c r="AT505" s="243" t="str">
        <f>IF($AL505="","",RANK(AR505,$AR$2:$AR$1001)+COUNTIF($AR$2:AR505,AR505)-1)</f>
        <v/>
      </c>
      <c r="AU505" s="243" t="str">
        <f>IF($AL505="","",RANK(AV505,$AV$2:$AV$1001)+COUNTIF($AV$2:AV505,AV505)-1)</f>
        <v/>
      </c>
      <c r="AV505" s="266">
        <f t="shared" si="46"/>
        <v>0</v>
      </c>
    </row>
    <row r="506" spans="26:48" ht="15" customHeight="1" x14ac:dyDescent="0.2">
      <c r="Z506" s="243" t="str">
        <f>Shares!A506</f>
        <v/>
      </c>
      <c r="AA506" s="243" t="str">
        <f>Shares!B506</f>
        <v/>
      </c>
      <c r="AB506" s="243" t="str">
        <f>Shares!C506</f>
        <v/>
      </c>
      <c r="AC506" s="243" t="str">
        <f>Shares!D506</f>
        <v/>
      </c>
      <c r="AD506" s="243">
        <f>IF($Z506="",0,Shares!E506)</f>
        <v>0</v>
      </c>
      <c r="AE506" s="266">
        <f>IF($Z506="",0,Shares!J506*Shares!I506)</f>
        <v>0</v>
      </c>
      <c r="AF506" s="267">
        <f t="shared" si="45"/>
        <v>0</v>
      </c>
      <c r="AG506" s="266">
        <f>IF($Z506="",0,Shares!L506)</f>
        <v>0</v>
      </c>
      <c r="AH506" s="267">
        <f>IF($Z506="",0,Shares!M506)</f>
        <v>0</v>
      </c>
      <c r="AI506" s="243" t="str">
        <f>IF($Z506="","",RANK(AE506,$AE$2:$AE$1001)+COUNTIF($AE$2:AE506,AE506)-1)</f>
        <v/>
      </c>
      <c r="AJ506" s="243" t="str">
        <f>IF($AD506&lt;0,COUNT($AJ$1:AJ505)+1,"")</f>
        <v/>
      </c>
      <c r="AL506" s="243" t="str">
        <f>'All Ticker P&amp;L'!A506</f>
        <v/>
      </c>
      <c r="AM506" s="243" t="str">
        <f>'All Ticker P&amp;L'!B506</f>
        <v/>
      </c>
      <c r="AN506" s="243" t="str">
        <f>'All Ticker P&amp;L'!C506</f>
        <v/>
      </c>
      <c r="AO506" s="243" t="str">
        <f>'All Ticker P&amp;L'!D506</f>
        <v/>
      </c>
      <c r="AP506" s="243">
        <f>IF($AL506="",0,'All Ticker P&amp;L'!E506)</f>
        <v>0</v>
      </c>
      <c r="AQ506" s="266">
        <f>IF($AL506="",0,'All Ticker P&amp;L'!J506*'All Ticker P&amp;L'!I506)</f>
        <v>0</v>
      </c>
      <c r="AR506" s="266">
        <f>IF($AL506="",0,'All Ticker P&amp;L'!L506)</f>
        <v>0</v>
      </c>
      <c r="AS506" s="267">
        <f>IF($AL506="",0,'All Ticker P&amp;L'!M506)</f>
        <v>0</v>
      </c>
      <c r="AT506" s="243" t="str">
        <f>IF($AL506="","",RANK(AR506,$AR$2:$AR$1001)+COUNTIF($AR$2:AR506,AR506)-1)</f>
        <v/>
      </c>
      <c r="AU506" s="243" t="str">
        <f>IF($AL506="","",RANK(AV506,$AV$2:$AV$1001)+COUNTIF($AV$2:AV506,AV506)-1)</f>
        <v/>
      </c>
      <c r="AV506" s="266">
        <f t="shared" si="46"/>
        <v>0</v>
      </c>
    </row>
    <row r="507" spans="26:48" ht="15" customHeight="1" x14ac:dyDescent="0.2">
      <c r="Z507" s="243" t="str">
        <f>Shares!A507</f>
        <v/>
      </c>
      <c r="AA507" s="243" t="str">
        <f>Shares!B507</f>
        <v/>
      </c>
      <c r="AB507" s="243" t="str">
        <f>Shares!C507</f>
        <v/>
      </c>
      <c r="AC507" s="243" t="str">
        <f>Shares!D507</f>
        <v/>
      </c>
      <c r="AD507" s="243">
        <f>IF($Z507="",0,Shares!E507)</f>
        <v>0</v>
      </c>
      <c r="AE507" s="266">
        <f>IF($Z507="",0,Shares!J507*Shares!I507)</f>
        <v>0</v>
      </c>
      <c r="AF507" s="267">
        <f t="shared" si="45"/>
        <v>0</v>
      </c>
      <c r="AG507" s="266">
        <f>IF($Z507="",0,Shares!L507)</f>
        <v>0</v>
      </c>
      <c r="AH507" s="267">
        <f>IF($Z507="",0,Shares!M507)</f>
        <v>0</v>
      </c>
      <c r="AI507" s="243" t="str">
        <f>IF($Z507="","",RANK(AE507,$AE$2:$AE$1001)+COUNTIF($AE$2:AE507,AE507)-1)</f>
        <v/>
      </c>
      <c r="AJ507" s="243" t="str">
        <f>IF($AD507&lt;0,COUNT($AJ$1:AJ506)+1,"")</f>
        <v/>
      </c>
      <c r="AL507" s="243" t="str">
        <f>'All Ticker P&amp;L'!A507</f>
        <v/>
      </c>
      <c r="AM507" s="243" t="str">
        <f>'All Ticker P&amp;L'!B507</f>
        <v/>
      </c>
      <c r="AN507" s="243" t="str">
        <f>'All Ticker P&amp;L'!C507</f>
        <v/>
      </c>
      <c r="AO507" s="243" t="str">
        <f>'All Ticker P&amp;L'!D507</f>
        <v/>
      </c>
      <c r="AP507" s="243">
        <f>IF($AL507="",0,'All Ticker P&amp;L'!E507)</f>
        <v>0</v>
      </c>
      <c r="AQ507" s="266">
        <f>IF($AL507="",0,'All Ticker P&amp;L'!J507*'All Ticker P&amp;L'!I507)</f>
        <v>0</v>
      </c>
      <c r="AR507" s="266">
        <f>IF($AL507="",0,'All Ticker P&amp;L'!L507)</f>
        <v>0</v>
      </c>
      <c r="AS507" s="267">
        <f>IF($AL507="",0,'All Ticker P&amp;L'!M507)</f>
        <v>0</v>
      </c>
      <c r="AT507" s="243" t="str">
        <f>IF($AL507="","",RANK(AR507,$AR$2:$AR$1001)+COUNTIF($AR$2:AR507,AR507)-1)</f>
        <v/>
      </c>
      <c r="AU507" s="243" t="str">
        <f>IF($AL507="","",RANK(AV507,$AV$2:$AV$1001)+COUNTIF($AV$2:AV507,AV507)-1)</f>
        <v/>
      </c>
      <c r="AV507" s="266">
        <f t="shared" si="46"/>
        <v>0</v>
      </c>
    </row>
    <row r="508" spans="26:48" ht="15" customHeight="1" x14ac:dyDescent="0.2">
      <c r="Z508" s="243" t="str">
        <f>Shares!A508</f>
        <v/>
      </c>
      <c r="AA508" s="243" t="str">
        <f>Shares!B508</f>
        <v/>
      </c>
      <c r="AB508" s="243" t="str">
        <f>Shares!C508</f>
        <v/>
      </c>
      <c r="AC508" s="243" t="str">
        <f>Shares!D508</f>
        <v/>
      </c>
      <c r="AD508" s="243">
        <f>IF($Z508="",0,Shares!E508)</f>
        <v>0</v>
      </c>
      <c r="AE508" s="266">
        <f>IF($Z508="",0,Shares!J508*Shares!I508)</f>
        <v>0</v>
      </c>
      <c r="AF508" s="267">
        <f t="shared" si="45"/>
        <v>0</v>
      </c>
      <c r="AG508" s="266">
        <f>IF($Z508="",0,Shares!L508)</f>
        <v>0</v>
      </c>
      <c r="AH508" s="267">
        <f>IF($Z508="",0,Shares!M508)</f>
        <v>0</v>
      </c>
      <c r="AI508" s="243" t="str">
        <f>IF($Z508="","",RANK(AE508,$AE$2:$AE$1001)+COUNTIF($AE$2:AE508,AE508)-1)</f>
        <v/>
      </c>
      <c r="AJ508" s="243" t="str">
        <f>IF($AD508&lt;0,COUNT($AJ$1:AJ507)+1,"")</f>
        <v/>
      </c>
      <c r="AL508" s="243" t="str">
        <f>'All Ticker P&amp;L'!A508</f>
        <v/>
      </c>
      <c r="AM508" s="243" t="str">
        <f>'All Ticker P&amp;L'!B508</f>
        <v/>
      </c>
      <c r="AN508" s="243" t="str">
        <f>'All Ticker P&amp;L'!C508</f>
        <v/>
      </c>
      <c r="AO508" s="243" t="str">
        <f>'All Ticker P&amp;L'!D508</f>
        <v/>
      </c>
      <c r="AP508" s="243">
        <f>IF($AL508="",0,'All Ticker P&amp;L'!E508)</f>
        <v>0</v>
      </c>
      <c r="AQ508" s="266">
        <f>IF($AL508="",0,'All Ticker P&amp;L'!J508*'All Ticker P&amp;L'!I508)</f>
        <v>0</v>
      </c>
      <c r="AR508" s="266">
        <f>IF($AL508="",0,'All Ticker P&amp;L'!L508)</f>
        <v>0</v>
      </c>
      <c r="AS508" s="267">
        <f>IF($AL508="",0,'All Ticker P&amp;L'!M508)</f>
        <v>0</v>
      </c>
      <c r="AT508" s="243" t="str">
        <f>IF($AL508="","",RANK(AR508,$AR$2:$AR$1001)+COUNTIF($AR$2:AR508,AR508)-1)</f>
        <v/>
      </c>
      <c r="AU508" s="243" t="str">
        <f>IF($AL508="","",RANK(AV508,$AV$2:$AV$1001)+COUNTIF($AV$2:AV508,AV508)-1)</f>
        <v/>
      </c>
      <c r="AV508" s="266">
        <f t="shared" si="46"/>
        <v>0</v>
      </c>
    </row>
    <row r="509" spans="26:48" ht="15" customHeight="1" x14ac:dyDescent="0.2">
      <c r="Z509" s="243" t="str">
        <f>Shares!A509</f>
        <v/>
      </c>
      <c r="AA509" s="243" t="str">
        <f>Shares!B509</f>
        <v/>
      </c>
      <c r="AB509" s="243" t="str">
        <f>Shares!C509</f>
        <v/>
      </c>
      <c r="AC509" s="243" t="str">
        <f>Shares!D509</f>
        <v/>
      </c>
      <c r="AD509" s="243">
        <f>IF($Z509="",0,Shares!E509)</f>
        <v>0</v>
      </c>
      <c r="AE509" s="266">
        <f>IF($Z509="",0,Shares!J509*Shares!I509)</f>
        <v>0</v>
      </c>
      <c r="AF509" s="267">
        <f t="shared" si="45"/>
        <v>0</v>
      </c>
      <c r="AG509" s="266">
        <f>IF($Z509="",0,Shares!L509)</f>
        <v>0</v>
      </c>
      <c r="AH509" s="267">
        <f>IF($Z509="",0,Shares!M509)</f>
        <v>0</v>
      </c>
      <c r="AI509" s="243" t="str">
        <f>IF($Z509="","",RANK(AE509,$AE$2:$AE$1001)+COUNTIF($AE$2:AE509,AE509)-1)</f>
        <v/>
      </c>
      <c r="AJ509" s="243" t="str">
        <f>IF($AD509&lt;0,COUNT($AJ$1:AJ508)+1,"")</f>
        <v/>
      </c>
      <c r="AL509" s="243" t="str">
        <f>'All Ticker P&amp;L'!A509</f>
        <v/>
      </c>
      <c r="AM509" s="243" t="str">
        <f>'All Ticker P&amp;L'!B509</f>
        <v/>
      </c>
      <c r="AN509" s="243" t="str">
        <f>'All Ticker P&amp;L'!C509</f>
        <v/>
      </c>
      <c r="AO509" s="243" t="str">
        <f>'All Ticker P&amp;L'!D509</f>
        <v/>
      </c>
      <c r="AP509" s="243">
        <f>IF($AL509="",0,'All Ticker P&amp;L'!E509)</f>
        <v>0</v>
      </c>
      <c r="AQ509" s="266">
        <f>IF($AL509="",0,'All Ticker P&amp;L'!J509*'All Ticker P&amp;L'!I509)</f>
        <v>0</v>
      </c>
      <c r="AR509" s="266">
        <f>IF($AL509="",0,'All Ticker P&amp;L'!L509)</f>
        <v>0</v>
      </c>
      <c r="AS509" s="267">
        <f>IF($AL509="",0,'All Ticker P&amp;L'!M509)</f>
        <v>0</v>
      </c>
      <c r="AT509" s="243" t="str">
        <f>IF($AL509="","",RANK(AR509,$AR$2:$AR$1001)+COUNTIF($AR$2:AR509,AR509)-1)</f>
        <v/>
      </c>
      <c r="AU509" s="243" t="str">
        <f>IF($AL509="","",RANK(AV509,$AV$2:$AV$1001)+COUNTIF($AV$2:AV509,AV509)-1)</f>
        <v/>
      </c>
      <c r="AV509" s="266">
        <f t="shared" si="46"/>
        <v>0</v>
      </c>
    </row>
    <row r="510" spans="26:48" ht="15" customHeight="1" x14ac:dyDescent="0.2">
      <c r="Z510" s="243" t="str">
        <f>Shares!A510</f>
        <v/>
      </c>
      <c r="AA510" s="243" t="str">
        <f>Shares!B510</f>
        <v/>
      </c>
      <c r="AB510" s="243" t="str">
        <f>Shares!C510</f>
        <v/>
      </c>
      <c r="AC510" s="243" t="str">
        <f>Shares!D510</f>
        <v/>
      </c>
      <c r="AD510" s="243">
        <f>IF($Z510="",0,Shares!E510)</f>
        <v>0</v>
      </c>
      <c r="AE510" s="266">
        <f>IF($Z510="",0,Shares!J510*Shares!I510)</f>
        <v>0</v>
      </c>
      <c r="AF510" s="267">
        <f t="shared" si="45"/>
        <v>0</v>
      </c>
      <c r="AG510" s="266">
        <f>IF($Z510="",0,Shares!L510)</f>
        <v>0</v>
      </c>
      <c r="AH510" s="267">
        <f>IF($Z510="",0,Shares!M510)</f>
        <v>0</v>
      </c>
      <c r="AI510" s="243" t="str">
        <f>IF($Z510="","",RANK(AE510,$AE$2:$AE$1001)+COUNTIF($AE$2:AE510,AE510)-1)</f>
        <v/>
      </c>
      <c r="AJ510" s="243" t="str">
        <f>IF($AD510&lt;0,COUNT($AJ$1:AJ509)+1,"")</f>
        <v/>
      </c>
      <c r="AL510" s="243" t="str">
        <f>'All Ticker P&amp;L'!A510</f>
        <v/>
      </c>
      <c r="AM510" s="243" t="str">
        <f>'All Ticker P&amp;L'!B510</f>
        <v/>
      </c>
      <c r="AN510" s="243" t="str">
        <f>'All Ticker P&amp;L'!C510</f>
        <v/>
      </c>
      <c r="AO510" s="243" t="str">
        <f>'All Ticker P&amp;L'!D510</f>
        <v/>
      </c>
      <c r="AP510" s="243">
        <f>IF($AL510="",0,'All Ticker P&amp;L'!E510)</f>
        <v>0</v>
      </c>
      <c r="AQ510" s="266">
        <f>IF($AL510="",0,'All Ticker P&amp;L'!J510*'All Ticker P&amp;L'!I510)</f>
        <v>0</v>
      </c>
      <c r="AR510" s="266">
        <f>IF($AL510="",0,'All Ticker P&amp;L'!L510)</f>
        <v>0</v>
      </c>
      <c r="AS510" s="267">
        <f>IF($AL510="",0,'All Ticker P&amp;L'!M510)</f>
        <v>0</v>
      </c>
      <c r="AT510" s="243" t="str">
        <f>IF($AL510="","",RANK(AR510,$AR$2:$AR$1001)+COUNTIF($AR$2:AR510,AR510)-1)</f>
        <v/>
      </c>
      <c r="AU510" s="243" t="str">
        <f>IF($AL510="","",RANK(AV510,$AV$2:$AV$1001)+COUNTIF($AV$2:AV510,AV510)-1)</f>
        <v/>
      </c>
      <c r="AV510" s="266">
        <f t="shared" si="46"/>
        <v>0</v>
      </c>
    </row>
    <row r="511" spans="26:48" ht="15" customHeight="1" x14ac:dyDescent="0.2">
      <c r="Z511" s="243" t="str">
        <f>Shares!A511</f>
        <v/>
      </c>
      <c r="AA511" s="243" t="str">
        <f>Shares!B511</f>
        <v/>
      </c>
      <c r="AB511" s="243" t="str">
        <f>Shares!C511</f>
        <v/>
      </c>
      <c r="AC511" s="243" t="str">
        <f>Shares!D511</f>
        <v/>
      </c>
      <c r="AD511" s="243">
        <f>IF($Z511="",0,Shares!E511)</f>
        <v>0</v>
      </c>
      <c r="AE511" s="266">
        <f>IF($Z511="",0,Shares!J511*Shares!I511)</f>
        <v>0</v>
      </c>
      <c r="AF511" s="267">
        <f t="shared" si="45"/>
        <v>0</v>
      </c>
      <c r="AG511" s="266">
        <f>IF($Z511="",0,Shares!L511)</f>
        <v>0</v>
      </c>
      <c r="AH511" s="267">
        <f>IF($Z511="",0,Shares!M511)</f>
        <v>0</v>
      </c>
      <c r="AI511" s="243" t="str">
        <f>IF($Z511="","",RANK(AE511,$AE$2:$AE$1001)+COUNTIF($AE$2:AE511,AE511)-1)</f>
        <v/>
      </c>
      <c r="AJ511" s="243" t="str">
        <f>IF($AD511&lt;0,COUNT($AJ$1:AJ510)+1,"")</f>
        <v/>
      </c>
      <c r="AL511" s="243" t="str">
        <f>'All Ticker P&amp;L'!A511</f>
        <v/>
      </c>
      <c r="AM511" s="243" t="str">
        <f>'All Ticker P&amp;L'!B511</f>
        <v/>
      </c>
      <c r="AN511" s="243" t="str">
        <f>'All Ticker P&amp;L'!C511</f>
        <v/>
      </c>
      <c r="AO511" s="243" t="str">
        <f>'All Ticker P&amp;L'!D511</f>
        <v/>
      </c>
      <c r="AP511" s="243">
        <f>IF($AL511="",0,'All Ticker P&amp;L'!E511)</f>
        <v>0</v>
      </c>
      <c r="AQ511" s="266">
        <f>IF($AL511="",0,'All Ticker P&amp;L'!J511*'All Ticker P&amp;L'!I511)</f>
        <v>0</v>
      </c>
      <c r="AR511" s="266">
        <f>IF($AL511="",0,'All Ticker P&amp;L'!L511)</f>
        <v>0</v>
      </c>
      <c r="AS511" s="267">
        <f>IF($AL511="",0,'All Ticker P&amp;L'!M511)</f>
        <v>0</v>
      </c>
      <c r="AT511" s="243" t="str">
        <f>IF($AL511="","",RANK(AR511,$AR$2:$AR$1001)+COUNTIF($AR$2:AR511,AR511)-1)</f>
        <v/>
      </c>
      <c r="AU511" s="243" t="str">
        <f>IF($AL511="","",RANK(AV511,$AV$2:$AV$1001)+COUNTIF($AV$2:AV511,AV511)-1)</f>
        <v/>
      </c>
      <c r="AV511" s="266">
        <f t="shared" si="46"/>
        <v>0</v>
      </c>
    </row>
    <row r="512" spans="26:48" ht="15" customHeight="1" x14ac:dyDescent="0.2">
      <c r="Z512" s="243" t="str">
        <f>Shares!A512</f>
        <v/>
      </c>
      <c r="AA512" s="243" t="str">
        <f>Shares!B512</f>
        <v/>
      </c>
      <c r="AB512" s="243" t="str">
        <f>Shares!C512</f>
        <v/>
      </c>
      <c r="AC512" s="243" t="str">
        <f>Shares!D512</f>
        <v/>
      </c>
      <c r="AD512" s="243">
        <f>IF($Z512="",0,Shares!E512)</f>
        <v>0</v>
      </c>
      <c r="AE512" s="266">
        <f>IF($Z512="",0,Shares!J512*Shares!I512)</f>
        <v>0</v>
      </c>
      <c r="AF512" s="267">
        <f t="shared" si="45"/>
        <v>0</v>
      </c>
      <c r="AG512" s="266">
        <f>IF($Z512="",0,Shares!L512)</f>
        <v>0</v>
      </c>
      <c r="AH512" s="267">
        <f>IF($Z512="",0,Shares!M512)</f>
        <v>0</v>
      </c>
      <c r="AI512" s="243" t="str">
        <f>IF($Z512="","",RANK(AE512,$AE$2:$AE$1001)+COUNTIF($AE$2:AE512,AE512)-1)</f>
        <v/>
      </c>
      <c r="AJ512" s="243" t="str">
        <f>IF($AD512&lt;0,COUNT($AJ$1:AJ511)+1,"")</f>
        <v/>
      </c>
      <c r="AL512" s="243" t="str">
        <f>'All Ticker P&amp;L'!A512</f>
        <v/>
      </c>
      <c r="AM512" s="243" t="str">
        <f>'All Ticker P&amp;L'!B512</f>
        <v/>
      </c>
      <c r="AN512" s="243" t="str">
        <f>'All Ticker P&amp;L'!C512</f>
        <v/>
      </c>
      <c r="AO512" s="243" t="str">
        <f>'All Ticker P&amp;L'!D512</f>
        <v/>
      </c>
      <c r="AP512" s="243">
        <f>IF($AL512="",0,'All Ticker P&amp;L'!E512)</f>
        <v>0</v>
      </c>
      <c r="AQ512" s="266">
        <f>IF($AL512="",0,'All Ticker P&amp;L'!J512*'All Ticker P&amp;L'!I512)</f>
        <v>0</v>
      </c>
      <c r="AR512" s="266">
        <f>IF($AL512="",0,'All Ticker P&amp;L'!L512)</f>
        <v>0</v>
      </c>
      <c r="AS512" s="267">
        <f>IF($AL512="",0,'All Ticker P&amp;L'!M512)</f>
        <v>0</v>
      </c>
      <c r="AT512" s="243" t="str">
        <f>IF($AL512="","",RANK(AR512,$AR$2:$AR$1001)+COUNTIF($AR$2:AR512,AR512)-1)</f>
        <v/>
      </c>
      <c r="AU512" s="243" t="str">
        <f>IF($AL512="","",RANK(AV512,$AV$2:$AV$1001)+COUNTIF($AV$2:AV512,AV512)-1)</f>
        <v/>
      </c>
      <c r="AV512" s="266">
        <f t="shared" si="46"/>
        <v>0</v>
      </c>
    </row>
    <row r="513" spans="26:48" ht="15" customHeight="1" x14ac:dyDescent="0.2">
      <c r="Z513" s="243" t="str">
        <f>Shares!A513</f>
        <v/>
      </c>
      <c r="AA513" s="243" t="str">
        <f>Shares!B513</f>
        <v/>
      </c>
      <c r="AB513" s="243" t="str">
        <f>Shares!C513</f>
        <v/>
      </c>
      <c r="AC513" s="243" t="str">
        <f>Shares!D513</f>
        <v/>
      </c>
      <c r="AD513" s="243">
        <f>IF($Z513="",0,Shares!E513)</f>
        <v>0</v>
      </c>
      <c r="AE513" s="266">
        <f>IF($Z513="",0,Shares!J513*Shares!I513)</f>
        <v>0</v>
      </c>
      <c r="AF513" s="267">
        <f t="shared" si="45"/>
        <v>0</v>
      </c>
      <c r="AG513" s="266">
        <f>IF($Z513="",0,Shares!L513)</f>
        <v>0</v>
      </c>
      <c r="AH513" s="267">
        <f>IF($Z513="",0,Shares!M513)</f>
        <v>0</v>
      </c>
      <c r="AI513" s="243" t="str">
        <f>IF($Z513="","",RANK(AE513,$AE$2:$AE$1001)+COUNTIF($AE$2:AE513,AE513)-1)</f>
        <v/>
      </c>
      <c r="AJ513" s="243" t="str">
        <f>IF($AD513&lt;0,COUNT($AJ$1:AJ512)+1,"")</f>
        <v/>
      </c>
      <c r="AL513" s="243" t="str">
        <f>'All Ticker P&amp;L'!A513</f>
        <v/>
      </c>
      <c r="AM513" s="243" t="str">
        <f>'All Ticker P&amp;L'!B513</f>
        <v/>
      </c>
      <c r="AN513" s="243" t="str">
        <f>'All Ticker P&amp;L'!C513</f>
        <v/>
      </c>
      <c r="AO513" s="243" t="str">
        <f>'All Ticker P&amp;L'!D513</f>
        <v/>
      </c>
      <c r="AP513" s="243">
        <f>IF($AL513="",0,'All Ticker P&amp;L'!E513)</f>
        <v>0</v>
      </c>
      <c r="AQ513" s="266">
        <f>IF($AL513="",0,'All Ticker P&amp;L'!J513*'All Ticker P&amp;L'!I513)</f>
        <v>0</v>
      </c>
      <c r="AR513" s="266">
        <f>IF($AL513="",0,'All Ticker P&amp;L'!L513)</f>
        <v>0</v>
      </c>
      <c r="AS513" s="267">
        <f>IF($AL513="",0,'All Ticker P&amp;L'!M513)</f>
        <v>0</v>
      </c>
      <c r="AT513" s="243" t="str">
        <f>IF($AL513="","",RANK(AR513,$AR$2:$AR$1001)+COUNTIF($AR$2:AR513,AR513)-1)</f>
        <v/>
      </c>
      <c r="AU513" s="243" t="str">
        <f>IF($AL513="","",RANK(AV513,$AV$2:$AV$1001)+COUNTIF($AV$2:AV513,AV513)-1)</f>
        <v/>
      </c>
      <c r="AV513" s="266">
        <f t="shared" si="46"/>
        <v>0</v>
      </c>
    </row>
    <row r="514" spans="26:48" ht="15" customHeight="1" x14ac:dyDescent="0.2">
      <c r="Z514" s="243" t="str">
        <f>Shares!A514</f>
        <v/>
      </c>
      <c r="AA514" s="243" t="str">
        <f>Shares!B514</f>
        <v/>
      </c>
      <c r="AB514" s="243" t="str">
        <f>Shares!C514</f>
        <v/>
      </c>
      <c r="AC514" s="243" t="str">
        <f>Shares!D514</f>
        <v/>
      </c>
      <c r="AD514" s="243">
        <f>IF($Z514="",0,Shares!E514)</f>
        <v>0</v>
      </c>
      <c r="AE514" s="266">
        <f>IF($Z514="",0,Shares!J514*Shares!I514)</f>
        <v>0</v>
      </c>
      <c r="AF514" s="267">
        <f t="shared" ref="AF514:AF577" si="47">IFERROR(AE514/$B$5,0)</f>
        <v>0</v>
      </c>
      <c r="AG514" s="266">
        <f>IF($Z514="",0,Shares!L514)</f>
        <v>0</v>
      </c>
      <c r="AH514" s="267">
        <f>IF($Z514="",0,Shares!M514)</f>
        <v>0</v>
      </c>
      <c r="AI514" s="243" t="str">
        <f>IF($Z514="","",RANK(AE514,$AE$2:$AE$1001)+COUNTIF($AE$2:AE514,AE514)-1)</f>
        <v/>
      </c>
      <c r="AJ514" s="243" t="str">
        <f>IF($AD514&lt;0,COUNT($AJ$1:AJ513)+1,"")</f>
        <v/>
      </c>
      <c r="AL514" s="243" t="str">
        <f>'All Ticker P&amp;L'!A514</f>
        <v/>
      </c>
      <c r="AM514" s="243" t="str">
        <f>'All Ticker P&amp;L'!B514</f>
        <v/>
      </c>
      <c r="AN514" s="243" t="str">
        <f>'All Ticker P&amp;L'!C514</f>
        <v/>
      </c>
      <c r="AO514" s="243" t="str">
        <f>'All Ticker P&amp;L'!D514</f>
        <v/>
      </c>
      <c r="AP514" s="243">
        <f>IF($AL514="",0,'All Ticker P&amp;L'!E514)</f>
        <v>0</v>
      </c>
      <c r="AQ514" s="266">
        <f>IF($AL514="",0,'All Ticker P&amp;L'!J514*'All Ticker P&amp;L'!I514)</f>
        <v>0</v>
      </c>
      <c r="AR514" s="266">
        <f>IF($AL514="",0,'All Ticker P&amp;L'!L514)</f>
        <v>0</v>
      </c>
      <c r="AS514" s="267">
        <f>IF($AL514="",0,'All Ticker P&amp;L'!M514)</f>
        <v>0</v>
      </c>
      <c r="AT514" s="243" t="str">
        <f>IF($AL514="","",RANK(AR514,$AR$2:$AR$1001)+COUNTIF($AR$2:AR514,AR514)-1)</f>
        <v/>
      </c>
      <c r="AU514" s="243" t="str">
        <f>IF($AL514="","",RANK(AV514,$AV$2:$AV$1001)+COUNTIF($AV$2:AV514,AV514)-1)</f>
        <v/>
      </c>
      <c r="AV514" s="266">
        <f t="shared" ref="AV514:AV577" si="48">-AR514</f>
        <v>0</v>
      </c>
    </row>
    <row r="515" spans="26:48" ht="15" customHeight="1" x14ac:dyDescent="0.2">
      <c r="Z515" s="243" t="str">
        <f>Shares!A515</f>
        <v/>
      </c>
      <c r="AA515" s="243" t="str">
        <f>Shares!B515</f>
        <v/>
      </c>
      <c r="AB515" s="243" t="str">
        <f>Shares!C515</f>
        <v/>
      </c>
      <c r="AC515" s="243" t="str">
        <f>Shares!D515</f>
        <v/>
      </c>
      <c r="AD515" s="243">
        <f>IF($Z515="",0,Shares!E515)</f>
        <v>0</v>
      </c>
      <c r="AE515" s="266">
        <f>IF($Z515="",0,Shares!J515*Shares!I515)</f>
        <v>0</v>
      </c>
      <c r="AF515" s="267">
        <f t="shared" si="47"/>
        <v>0</v>
      </c>
      <c r="AG515" s="266">
        <f>IF($Z515="",0,Shares!L515)</f>
        <v>0</v>
      </c>
      <c r="AH515" s="267">
        <f>IF($Z515="",0,Shares!M515)</f>
        <v>0</v>
      </c>
      <c r="AI515" s="243" t="str">
        <f>IF($Z515="","",RANK(AE515,$AE$2:$AE$1001)+COUNTIF($AE$2:AE515,AE515)-1)</f>
        <v/>
      </c>
      <c r="AJ515" s="243" t="str">
        <f>IF($AD515&lt;0,COUNT($AJ$1:AJ514)+1,"")</f>
        <v/>
      </c>
      <c r="AL515" s="243" t="str">
        <f>'All Ticker P&amp;L'!A515</f>
        <v/>
      </c>
      <c r="AM515" s="243" t="str">
        <f>'All Ticker P&amp;L'!B515</f>
        <v/>
      </c>
      <c r="AN515" s="243" t="str">
        <f>'All Ticker P&amp;L'!C515</f>
        <v/>
      </c>
      <c r="AO515" s="243" t="str">
        <f>'All Ticker P&amp;L'!D515</f>
        <v/>
      </c>
      <c r="AP515" s="243">
        <f>IF($AL515="",0,'All Ticker P&amp;L'!E515)</f>
        <v>0</v>
      </c>
      <c r="AQ515" s="266">
        <f>IF($AL515="",0,'All Ticker P&amp;L'!J515*'All Ticker P&amp;L'!I515)</f>
        <v>0</v>
      </c>
      <c r="AR515" s="266">
        <f>IF($AL515="",0,'All Ticker P&amp;L'!L515)</f>
        <v>0</v>
      </c>
      <c r="AS515" s="267">
        <f>IF($AL515="",0,'All Ticker P&amp;L'!M515)</f>
        <v>0</v>
      </c>
      <c r="AT515" s="243" t="str">
        <f>IF($AL515="","",RANK(AR515,$AR$2:$AR$1001)+COUNTIF($AR$2:AR515,AR515)-1)</f>
        <v/>
      </c>
      <c r="AU515" s="243" t="str">
        <f>IF($AL515="","",RANK(AV515,$AV$2:$AV$1001)+COUNTIF($AV$2:AV515,AV515)-1)</f>
        <v/>
      </c>
      <c r="AV515" s="266">
        <f t="shared" si="48"/>
        <v>0</v>
      </c>
    </row>
    <row r="516" spans="26:48" ht="15" customHeight="1" x14ac:dyDescent="0.2">
      <c r="Z516" s="243" t="str">
        <f>Shares!A516</f>
        <v/>
      </c>
      <c r="AA516" s="243" t="str">
        <f>Shares!B516</f>
        <v/>
      </c>
      <c r="AB516" s="243" t="str">
        <f>Shares!C516</f>
        <v/>
      </c>
      <c r="AC516" s="243" t="str">
        <f>Shares!D516</f>
        <v/>
      </c>
      <c r="AD516" s="243">
        <f>IF($Z516="",0,Shares!E516)</f>
        <v>0</v>
      </c>
      <c r="AE516" s="266">
        <f>IF($Z516="",0,Shares!J516*Shares!I516)</f>
        <v>0</v>
      </c>
      <c r="AF516" s="267">
        <f t="shared" si="47"/>
        <v>0</v>
      </c>
      <c r="AG516" s="266">
        <f>IF($Z516="",0,Shares!L516)</f>
        <v>0</v>
      </c>
      <c r="AH516" s="267">
        <f>IF($Z516="",0,Shares!M516)</f>
        <v>0</v>
      </c>
      <c r="AI516" s="243" t="str">
        <f>IF($Z516="","",RANK(AE516,$AE$2:$AE$1001)+COUNTIF($AE$2:AE516,AE516)-1)</f>
        <v/>
      </c>
      <c r="AJ516" s="243" t="str">
        <f>IF($AD516&lt;0,COUNT($AJ$1:AJ515)+1,"")</f>
        <v/>
      </c>
      <c r="AL516" s="243" t="str">
        <f>'All Ticker P&amp;L'!A516</f>
        <v/>
      </c>
      <c r="AM516" s="243" t="str">
        <f>'All Ticker P&amp;L'!B516</f>
        <v/>
      </c>
      <c r="AN516" s="243" t="str">
        <f>'All Ticker P&amp;L'!C516</f>
        <v/>
      </c>
      <c r="AO516" s="243" t="str">
        <f>'All Ticker P&amp;L'!D516</f>
        <v/>
      </c>
      <c r="AP516" s="243">
        <f>IF($AL516="",0,'All Ticker P&amp;L'!E516)</f>
        <v>0</v>
      </c>
      <c r="AQ516" s="266">
        <f>IF($AL516="",0,'All Ticker P&amp;L'!J516*'All Ticker P&amp;L'!I516)</f>
        <v>0</v>
      </c>
      <c r="AR516" s="266">
        <f>IF($AL516="",0,'All Ticker P&amp;L'!L516)</f>
        <v>0</v>
      </c>
      <c r="AS516" s="267">
        <f>IF($AL516="",0,'All Ticker P&amp;L'!M516)</f>
        <v>0</v>
      </c>
      <c r="AT516" s="243" t="str">
        <f>IF($AL516="","",RANK(AR516,$AR$2:$AR$1001)+COUNTIF($AR$2:AR516,AR516)-1)</f>
        <v/>
      </c>
      <c r="AU516" s="243" t="str">
        <f>IF($AL516="","",RANK(AV516,$AV$2:$AV$1001)+COUNTIF($AV$2:AV516,AV516)-1)</f>
        <v/>
      </c>
      <c r="AV516" s="266">
        <f t="shared" si="48"/>
        <v>0</v>
      </c>
    </row>
    <row r="517" spans="26:48" ht="15" customHeight="1" x14ac:dyDescent="0.2">
      <c r="Z517" s="243" t="str">
        <f>Shares!A517</f>
        <v/>
      </c>
      <c r="AA517" s="243" t="str">
        <f>Shares!B517</f>
        <v/>
      </c>
      <c r="AB517" s="243" t="str">
        <f>Shares!C517</f>
        <v/>
      </c>
      <c r="AC517" s="243" t="str">
        <f>Shares!D517</f>
        <v/>
      </c>
      <c r="AD517" s="243">
        <f>IF($Z517="",0,Shares!E517)</f>
        <v>0</v>
      </c>
      <c r="AE517" s="266">
        <f>IF($Z517="",0,Shares!J517*Shares!I517)</f>
        <v>0</v>
      </c>
      <c r="AF517" s="267">
        <f t="shared" si="47"/>
        <v>0</v>
      </c>
      <c r="AG517" s="266">
        <f>IF($Z517="",0,Shares!L517)</f>
        <v>0</v>
      </c>
      <c r="AH517" s="267">
        <f>IF($Z517="",0,Shares!M517)</f>
        <v>0</v>
      </c>
      <c r="AI517" s="243" t="str">
        <f>IF($Z517="","",RANK(AE517,$AE$2:$AE$1001)+COUNTIF($AE$2:AE517,AE517)-1)</f>
        <v/>
      </c>
      <c r="AJ517" s="243" t="str">
        <f>IF($AD517&lt;0,COUNT($AJ$1:AJ516)+1,"")</f>
        <v/>
      </c>
      <c r="AL517" s="243" t="str">
        <f>'All Ticker P&amp;L'!A517</f>
        <v/>
      </c>
      <c r="AM517" s="243" t="str">
        <f>'All Ticker P&amp;L'!B517</f>
        <v/>
      </c>
      <c r="AN517" s="243" t="str">
        <f>'All Ticker P&amp;L'!C517</f>
        <v/>
      </c>
      <c r="AO517" s="243" t="str">
        <f>'All Ticker P&amp;L'!D517</f>
        <v/>
      </c>
      <c r="AP517" s="243">
        <f>IF($AL517="",0,'All Ticker P&amp;L'!E517)</f>
        <v>0</v>
      </c>
      <c r="AQ517" s="266">
        <f>IF($AL517="",0,'All Ticker P&amp;L'!J517*'All Ticker P&amp;L'!I517)</f>
        <v>0</v>
      </c>
      <c r="AR517" s="266">
        <f>IF($AL517="",0,'All Ticker P&amp;L'!L517)</f>
        <v>0</v>
      </c>
      <c r="AS517" s="267">
        <f>IF($AL517="",0,'All Ticker P&amp;L'!M517)</f>
        <v>0</v>
      </c>
      <c r="AT517" s="243" t="str">
        <f>IF($AL517="","",RANK(AR517,$AR$2:$AR$1001)+COUNTIF($AR$2:AR517,AR517)-1)</f>
        <v/>
      </c>
      <c r="AU517" s="243" t="str">
        <f>IF($AL517="","",RANK(AV517,$AV$2:$AV$1001)+COUNTIF($AV$2:AV517,AV517)-1)</f>
        <v/>
      </c>
      <c r="AV517" s="266">
        <f t="shared" si="48"/>
        <v>0</v>
      </c>
    </row>
    <row r="518" spans="26:48" ht="15" customHeight="1" x14ac:dyDescent="0.2">
      <c r="Z518" s="243" t="str">
        <f>Shares!A518</f>
        <v/>
      </c>
      <c r="AA518" s="243" t="str">
        <f>Shares!B518</f>
        <v/>
      </c>
      <c r="AB518" s="243" t="str">
        <f>Shares!C518</f>
        <v/>
      </c>
      <c r="AC518" s="243" t="str">
        <f>Shares!D518</f>
        <v/>
      </c>
      <c r="AD518" s="243">
        <f>IF($Z518="",0,Shares!E518)</f>
        <v>0</v>
      </c>
      <c r="AE518" s="266">
        <f>IF($Z518="",0,Shares!J518*Shares!I518)</f>
        <v>0</v>
      </c>
      <c r="AF518" s="267">
        <f t="shared" si="47"/>
        <v>0</v>
      </c>
      <c r="AG518" s="266">
        <f>IF($Z518="",0,Shares!L518)</f>
        <v>0</v>
      </c>
      <c r="AH518" s="267">
        <f>IF($Z518="",0,Shares!M518)</f>
        <v>0</v>
      </c>
      <c r="AI518" s="243" t="str">
        <f>IF($Z518="","",RANK(AE518,$AE$2:$AE$1001)+COUNTIF($AE$2:AE518,AE518)-1)</f>
        <v/>
      </c>
      <c r="AJ518" s="243" t="str">
        <f>IF($AD518&lt;0,COUNT($AJ$1:AJ517)+1,"")</f>
        <v/>
      </c>
      <c r="AL518" s="243" t="str">
        <f>'All Ticker P&amp;L'!A518</f>
        <v/>
      </c>
      <c r="AM518" s="243" t="str">
        <f>'All Ticker P&amp;L'!B518</f>
        <v/>
      </c>
      <c r="AN518" s="243" t="str">
        <f>'All Ticker P&amp;L'!C518</f>
        <v/>
      </c>
      <c r="AO518" s="243" t="str">
        <f>'All Ticker P&amp;L'!D518</f>
        <v/>
      </c>
      <c r="AP518" s="243">
        <f>IF($AL518="",0,'All Ticker P&amp;L'!E518)</f>
        <v>0</v>
      </c>
      <c r="AQ518" s="266">
        <f>IF($AL518="",0,'All Ticker P&amp;L'!J518*'All Ticker P&amp;L'!I518)</f>
        <v>0</v>
      </c>
      <c r="AR518" s="266">
        <f>IF($AL518="",0,'All Ticker P&amp;L'!L518)</f>
        <v>0</v>
      </c>
      <c r="AS518" s="267">
        <f>IF($AL518="",0,'All Ticker P&amp;L'!M518)</f>
        <v>0</v>
      </c>
      <c r="AT518" s="243" t="str">
        <f>IF($AL518="","",RANK(AR518,$AR$2:$AR$1001)+COUNTIF($AR$2:AR518,AR518)-1)</f>
        <v/>
      </c>
      <c r="AU518" s="243" t="str">
        <f>IF($AL518="","",RANK(AV518,$AV$2:$AV$1001)+COUNTIF($AV$2:AV518,AV518)-1)</f>
        <v/>
      </c>
      <c r="AV518" s="266">
        <f t="shared" si="48"/>
        <v>0</v>
      </c>
    </row>
    <row r="519" spans="26:48" ht="15" customHeight="1" x14ac:dyDescent="0.2">
      <c r="Z519" s="243" t="str">
        <f>Shares!A519</f>
        <v/>
      </c>
      <c r="AA519" s="243" t="str">
        <f>Shares!B519</f>
        <v/>
      </c>
      <c r="AB519" s="243" t="str">
        <f>Shares!C519</f>
        <v/>
      </c>
      <c r="AC519" s="243" t="str">
        <f>Shares!D519</f>
        <v/>
      </c>
      <c r="AD519" s="243">
        <f>IF($Z519="",0,Shares!E519)</f>
        <v>0</v>
      </c>
      <c r="AE519" s="266">
        <f>IF($Z519="",0,Shares!J519*Shares!I519)</f>
        <v>0</v>
      </c>
      <c r="AF519" s="267">
        <f t="shared" si="47"/>
        <v>0</v>
      </c>
      <c r="AG519" s="266">
        <f>IF($Z519="",0,Shares!L519)</f>
        <v>0</v>
      </c>
      <c r="AH519" s="267">
        <f>IF($Z519="",0,Shares!M519)</f>
        <v>0</v>
      </c>
      <c r="AI519" s="243" t="str">
        <f>IF($Z519="","",RANK(AE519,$AE$2:$AE$1001)+COUNTIF($AE$2:AE519,AE519)-1)</f>
        <v/>
      </c>
      <c r="AJ519" s="243" t="str">
        <f>IF($AD519&lt;0,COUNT($AJ$1:AJ518)+1,"")</f>
        <v/>
      </c>
      <c r="AL519" s="243" t="str">
        <f>'All Ticker P&amp;L'!A519</f>
        <v/>
      </c>
      <c r="AM519" s="243" t="str">
        <f>'All Ticker P&amp;L'!B519</f>
        <v/>
      </c>
      <c r="AN519" s="243" t="str">
        <f>'All Ticker P&amp;L'!C519</f>
        <v/>
      </c>
      <c r="AO519" s="243" t="str">
        <f>'All Ticker P&amp;L'!D519</f>
        <v/>
      </c>
      <c r="AP519" s="243">
        <f>IF($AL519="",0,'All Ticker P&amp;L'!E519)</f>
        <v>0</v>
      </c>
      <c r="AQ519" s="266">
        <f>IF($AL519="",0,'All Ticker P&amp;L'!J519*'All Ticker P&amp;L'!I519)</f>
        <v>0</v>
      </c>
      <c r="AR519" s="266">
        <f>IF($AL519="",0,'All Ticker P&amp;L'!L519)</f>
        <v>0</v>
      </c>
      <c r="AS519" s="267">
        <f>IF($AL519="",0,'All Ticker P&amp;L'!M519)</f>
        <v>0</v>
      </c>
      <c r="AT519" s="243" t="str">
        <f>IF($AL519="","",RANK(AR519,$AR$2:$AR$1001)+COUNTIF($AR$2:AR519,AR519)-1)</f>
        <v/>
      </c>
      <c r="AU519" s="243" t="str">
        <f>IF($AL519="","",RANK(AV519,$AV$2:$AV$1001)+COUNTIF($AV$2:AV519,AV519)-1)</f>
        <v/>
      </c>
      <c r="AV519" s="266">
        <f t="shared" si="48"/>
        <v>0</v>
      </c>
    </row>
    <row r="520" spans="26:48" ht="15" customHeight="1" x14ac:dyDescent="0.2">
      <c r="Z520" s="243" t="str">
        <f>Shares!A520</f>
        <v/>
      </c>
      <c r="AA520" s="243" t="str">
        <f>Shares!B520</f>
        <v/>
      </c>
      <c r="AB520" s="243" t="str">
        <f>Shares!C520</f>
        <v/>
      </c>
      <c r="AC520" s="243" t="str">
        <f>Shares!D520</f>
        <v/>
      </c>
      <c r="AD520" s="243">
        <f>IF($Z520="",0,Shares!E520)</f>
        <v>0</v>
      </c>
      <c r="AE520" s="266">
        <f>IF($Z520="",0,Shares!J520*Shares!I520)</f>
        <v>0</v>
      </c>
      <c r="AF520" s="267">
        <f t="shared" si="47"/>
        <v>0</v>
      </c>
      <c r="AG520" s="266">
        <f>IF($Z520="",0,Shares!L520)</f>
        <v>0</v>
      </c>
      <c r="AH520" s="267">
        <f>IF($Z520="",0,Shares!M520)</f>
        <v>0</v>
      </c>
      <c r="AI520" s="243" t="str">
        <f>IF($Z520="","",RANK(AE520,$AE$2:$AE$1001)+COUNTIF($AE$2:AE520,AE520)-1)</f>
        <v/>
      </c>
      <c r="AJ520" s="243" t="str">
        <f>IF($AD520&lt;0,COUNT($AJ$1:AJ519)+1,"")</f>
        <v/>
      </c>
      <c r="AL520" s="243" t="str">
        <f>'All Ticker P&amp;L'!A520</f>
        <v/>
      </c>
      <c r="AM520" s="243" t="str">
        <f>'All Ticker P&amp;L'!B520</f>
        <v/>
      </c>
      <c r="AN520" s="243" t="str">
        <f>'All Ticker P&amp;L'!C520</f>
        <v/>
      </c>
      <c r="AO520" s="243" t="str">
        <f>'All Ticker P&amp;L'!D520</f>
        <v/>
      </c>
      <c r="AP520" s="243">
        <f>IF($AL520="",0,'All Ticker P&amp;L'!E520)</f>
        <v>0</v>
      </c>
      <c r="AQ520" s="266">
        <f>IF($AL520="",0,'All Ticker P&amp;L'!J520*'All Ticker P&amp;L'!I520)</f>
        <v>0</v>
      </c>
      <c r="AR520" s="266">
        <f>IF($AL520="",0,'All Ticker P&amp;L'!L520)</f>
        <v>0</v>
      </c>
      <c r="AS520" s="267">
        <f>IF($AL520="",0,'All Ticker P&amp;L'!M520)</f>
        <v>0</v>
      </c>
      <c r="AT520" s="243" t="str">
        <f>IF($AL520="","",RANK(AR520,$AR$2:$AR$1001)+COUNTIF($AR$2:AR520,AR520)-1)</f>
        <v/>
      </c>
      <c r="AU520" s="243" t="str">
        <f>IF($AL520="","",RANK(AV520,$AV$2:$AV$1001)+COUNTIF($AV$2:AV520,AV520)-1)</f>
        <v/>
      </c>
      <c r="AV520" s="266">
        <f t="shared" si="48"/>
        <v>0</v>
      </c>
    </row>
    <row r="521" spans="26:48" ht="15" customHeight="1" x14ac:dyDescent="0.2">
      <c r="Z521" s="243" t="str">
        <f>Shares!A521</f>
        <v/>
      </c>
      <c r="AA521" s="243" t="str">
        <f>Shares!B521</f>
        <v/>
      </c>
      <c r="AB521" s="243" t="str">
        <f>Shares!C521</f>
        <v/>
      </c>
      <c r="AC521" s="243" t="str">
        <f>Shares!D521</f>
        <v/>
      </c>
      <c r="AD521" s="243">
        <f>IF($Z521="",0,Shares!E521)</f>
        <v>0</v>
      </c>
      <c r="AE521" s="266">
        <f>IF($Z521="",0,Shares!J521*Shares!I521)</f>
        <v>0</v>
      </c>
      <c r="AF521" s="267">
        <f t="shared" si="47"/>
        <v>0</v>
      </c>
      <c r="AG521" s="266">
        <f>IF($Z521="",0,Shares!L521)</f>
        <v>0</v>
      </c>
      <c r="AH521" s="267">
        <f>IF($Z521="",0,Shares!M521)</f>
        <v>0</v>
      </c>
      <c r="AI521" s="243" t="str">
        <f>IF($Z521="","",RANK(AE521,$AE$2:$AE$1001)+COUNTIF($AE$2:AE521,AE521)-1)</f>
        <v/>
      </c>
      <c r="AJ521" s="243" t="str">
        <f>IF($AD521&lt;0,COUNT($AJ$1:AJ520)+1,"")</f>
        <v/>
      </c>
      <c r="AL521" s="243" t="str">
        <f>'All Ticker P&amp;L'!A521</f>
        <v/>
      </c>
      <c r="AM521" s="243" t="str">
        <f>'All Ticker P&amp;L'!B521</f>
        <v/>
      </c>
      <c r="AN521" s="243" t="str">
        <f>'All Ticker P&amp;L'!C521</f>
        <v/>
      </c>
      <c r="AO521" s="243" t="str">
        <f>'All Ticker P&amp;L'!D521</f>
        <v/>
      </c>
      <c r="AP521" s="243">
        <f>IF($AL521="",0,'All Ticker P&amp;L'!E521)</f>
        <v>0</v>
      </c>
      <c r="AQ521" s="266">
        <f>IF($AL521="",0,'All Ticker P&amp;L'!J521*'All Ticker P&amp;L'!I521)</f>
        <v>0</v>
      </c>
      <c r="AR521" s="266">
        <f>IF($AL521="",0,'All Ticker P&amp;L'!L521)</f>
        <v>0</v>
      </c>
      <c r="AS521" s="267">
        <f>IF($AL521="",0,'All Ticker P&amp;L'!M521)</f>
        <v>0</v>
      </c>
      <c r="AT521" s="243" t="str">
        <f>IF($AL521="","",RANK(AR521,$AR$2:$AR$1001)+COUNTIF($AR$2:AR521,AR521)-1)</f>
        <v/>
      </c>
      <c r="AU521" s="243" t="str">
        <f>IF($AL521="","",RANK(AV521,$AV$2:$AV$1001)+COUNTIF($AV$2:AV521,AV521)-1)</f>
        <v/>
      </c>
      <c r="AV521" s="266">
        <f t="shared" si="48"/>
        <v>0</v>
      </c>
    </row>
    <row r="522" spans="26:48" ht="15" customHeight="1" x14ac:dyDescent="0.2">
      <c r="Z522" s="243" t="str">
        <f>Shares!A522</f>
        <v/>
      </c>
      <c r="AA522" s="243" t="str">
        <f>Shares!B522</f>
        <v/>
      </c>
      <c r="AB522" s="243" t="str">
        <f>Shares!C522</f>
        <v/>
      </c>
      <c r="AC522" s="243" t="str">
        <f>Shares!D522</f>
        <v/>
      </c>
      <c r="AD522" s="243">
        <f>IF($Z522="",0,Shares!E522)</f>
        <v>0</v>
      </c>
      <c r="AE522" s="266">
        <f>IF($Z522="",0,Shares!J522*Shares!I522)</f>
        <v>0</v>
      </c>
      <c r="AF522" s="267">
        <f t="shared" si="47"/>
        <v>0</v>
      </c>
      <c r="AG522" s="266">
        <f>IF($Z522="",0,Shares!L522)</f>
        <v>0</v>
      </c>
      <c r="AH522" s="267">
        <f>IF($Z522="",0,Shares!M522)</f>
        <v>0</v>
      </c>
      <c r="AI522" s="243" t="str">
        <f>IF($Z522="","",RANK(AE522,$AE$2:$AE$1001)+COUNTIF($AE$2:AE522,AE522)-1)</f>
        <v/>
      </c>
      <c r="AJ522" s="243" t="str">
        <f>IF($AD522&lt;0,COUNT($AJ$1:AJ521)+1,"")</f>
        <v/>
      </c>
      <c r="AL522" s="243" t="str">
        <f>'All Ticker P&amp;L'!A522</f>
        <v/>
      </c>
      <c r="AM522" s="243" t="str">
        <f>'All Ticker P&amp;L'!B522</f>
        <v/>
      </c>
      <c r="AN522" s="243" t="str">
        <f>'All Ticker P&amp;L'!C522</f>
        <v/>
      </c>
      <c r="AO522" s="243" t="str">
        <f>'All Ticker P&amp;L'!D522</f>
        <v/>
      </c>
      <c r="AP522" s="243">
        <f>IF($AL522="",0,'All Ticker P&amp;L'!E522)</f>
        <v>0</v>
      </c>
      <c r="AQ522" s="266">
        <f>IF($AL522="",0,'All Ticker P&amp;L'!J522*'All Ticker P&amp;L'!I522)</f>
        <v>0</v>
      </c>
      <c r="AR522" s="266">
        <f>IF($AL522="",0,'All Ticker P&amp;L'!L522)</f>
        <v>0</v>
      </c>
      <c r="AS522" s="267">
        <f>IF($AL522="",0,'All Ticker P&amp;L'!M522)</f>
        <v>0</v>
      </c>
      <c r="AT522" s="243" t="str">
        <f>IF($AL522="","",RANK(AR522,$AR$2:$AR$1001)+COUNTIF($AR$2:AR522,AR522)-1)</f>
        <v/>
      </c>
      <c r="AU522" s="243" t="str">
        <f>IF($AL522="","",RANK(AV522,$AV$2:$AV$1001)+COUNTIF($AV$2:AV522,AV522)-1)</f>
        <v/>
      </c>
      <c r="AV522" s="266">
        <f t="shared" si="48"/>
        <v>0</v>
      </c>
    </row>
    <row r="523" spans="26:48" ht="15" customHeight="1" x14ac:dyDescent="0.2">
      <c r="Z523" s="243" t="str">
        <f>Shares!A523</f>
        <v/>
      </c>
      <c r="AA523" s="243" t="str">
        <f>Shares!B523</f>
        <v/>
      </c>
      <c r="AB523" s="243" t="str">
        <f>Shares!C523</f>
        <v/>
      </c>
      <c r="AC523" s="243" t="str">
        <f>Shares!D523</f>
        <v/>
      </c>
      <c r="AD523" s="243">
        <f>IF($Z523="",0,Shares!E523)</f>
        <v>0</v>
      </c>
      <c r="AE523" s="266">
        <f>IF($Z523="",0,Shares!J523*Shares!I523)</f>
        <v>0</v>
      </c>
      <c r="AF523" s="267">
        <f t="shared" si="47"/>
        <v>0</v>
      </c>
      <c r="AG523" s="266">
        <f>IF($Z523="",0,Shares!L523)</f>
        <v>0</v>
      </c>
      <c r="AH523" s="267">
        <f>IF($Z523="",0,Shares!M523)</f>
        <v>0</v>
      </c>
      <c r="AI523" s="243" t="str">
        <f>IF($Z523="","",RANK(AE523,$AE$2:$AE$1001)+COUNTIF($AE$2:AE523,AE523)-1)</f>
        <v/>
      </c>
      <c r="AJ523" s="243" t="str">
        <f>IF($AD523&lt;0,COUNT($AJ$1:AJ522)+1,"")</f>
        <v/>
      </c>
      <c r="AL523" s="243" t="str">
        <f>'All Ticker P&amp;L'!A523</f>
        <v/>
      </c>
      <c r="AM523" s="243" t="str">
        <f>'All Ticker P&amp;L'!B523</f>
        <v/>
      </c>
      <c r="AN523" s="243" t="str">
        <f>'All Ticker P&amp;L'!C523</f>
        <v/>
      </c>
      <c r="AO523" s="243" t="str">
        <f>'All Ticker P&amp;L'!D523</f>
        <v/>
      </c>
      <c r="AP523" s="243">
        <f>IF($AL523="",0,'All Ticker P&amp;L'!E523)</f>
        <v>0</v>
      </c>
      <c r="AQ523" s="266">
        <f>IF($AL523="",0,'All Ticker P&amp;L'!J523*'All Ticker P&amp;L'!I523)</f>
        <v>0</v>
      </c>
      <c r="AR523" s="266">
        <f>IF($AL523="",0,'All Ticker P&amp;L'!L523)</f>
        <v>0</v>
      </c>
      <c r="AS523" s="267">
        <f>IF($AL523="",0,'All Ticker P&amp;L'!M523)</f>
        <v>0</v>
      </c>
      <c r="AT523" s="243" t="str">
        <f>IF($AL523="","",RANK(AR523,$AR$2:$AR$1001)+COUNTIF($AR$2:AR523,AR523)-1)</f>
        <v/>
      </c>
      <c r="AU523" s="243" t="str">
        <f>IF($AL523="","",RANK(AV523,$AV$2:$AV$1001)+COUNTIF($AV$2:AV523,AV523)-1)</f>
        <v/>
      </c>
      <c r="AV523" s="266">
        <f t="shared" si="48"/>
        <v>0</v>
      </c>
    </row>
    <row r="524" spans="26:48" ht="15" customHeight="1" x14ac:dyDescent="0.2">
      <c r="Z524" s="243" t="str">
        <f>Shares!A524</f>
        <v/>
      </c>
      <c r="AA524" s="243" t="str">
        <f>Shares!B524</f>
        <v/>
      </c>
      <c r="AB524" s="243" t="str">
        <f>Shares!C524</f>
        <v/>
      </c>
      <c r="AC524" s="243" t="str">
        <f>Shares!D524</f>
        <v/>
      </c>
      <c r="AD524" s="243">
        <f>IF($Z524="",0,Shares!E524)</f>
        <v>0</v>
      </c>
      <c r="AE524" s="266">
        <f>IF($Z524="",0,Shares!J524*Shares!I524)</f>
        <v>0</v>
      </c>
      <c r="AF524" s="267">
        <f t="shared" si="47"/>
        <v>0</v>
      </c>
      <c r="AG524" s="266">
        <f>IF($Z524="",0,Shares!L524)</f>
        <v>0</v>
      </c>
      <c r="AH524" s="267">
        <f>IF($Z524="",0,Shares!M524)</f>
        <v>0</v>
      </c>
      <c r="AI524" s="243" t="str">
        <f>IF($Z524="","",RANK(AE524,$AE$2:$AE$1001)+COUNTIF($AE$2:AE524,AE524)-1)</f>
        <v/>
      </c>
      <c r="AJ524" s="243" t="str">
        <f>IF($AD524&lt;0,COUNT($AJ$1:AJ523)+1,"")</f>
        <v/>
      </c>
      <c r="AL524" s="243" t="str">
        <f>'All Ticker P&amp;L'!A524</f>
        <v/>
      </c>
      <c r="AM524" s="243" t="str">
        <f>'All Ticker P&amp;L'!B524</f>
        <v/>
      </c>
      <c r="AN524" s="243" t="str">
        <f>'All Ticker P&amp;L'!C524</f>
        <v/>
      </c>
      <c r="AO524" s="243" t="str">
        <f>'All Ticker P&amp;L'!D524</f>
        <v/>
      </c>
      <c r="AP524" s="243">
        <f>IF($AL524="",0,'All Ticker P&amp;L'!E524)</f>
        <v>0</v>
      </c>
      <c r="AQ524" s="266">
        <f>IF($AL524="",0,'All Ticker P&amp;L'!J524*'All Ticker P&amp;L'!I524)</f>
        <v>0</v>
      </c>
      <c r="AR524" s="266">
        <f>IF($AL524="",0,'All Ticker P&amp;L'!L524)</f>
        <v>0</v>
      </c>
      <c r="AS524" s="267">
        <f>IF($AL524="",0,'All Ticker P&amp;L'!M524)</f>
        <v>0</v>
      </c>
      <c r="AT524" s="243" t="str">
        <f>IF($AL524="","",RANK(AR524,$AR$2:$AR$1001)+COUNTIF($AR$2:AR524,AR524)-1)</f>
        <v/>
      </c>
      <c r="AU524" s="243" t="str">
        <f>IF($AL524="","",RANK(AV524,$AV$2:$AV$1001)+COUNTIF($AV$2:AV524,AV524)-1)</f>
        <v/>
      </c>
      <c r="AV524" s="266">
        <f t="shared" si="48"/>
        <v>0</v>
      </c>
    </row>
    <row r="525" spans="26:48" ht="15" customHeight="1" x14ac:dyDescent="0.2">
      <c r="Z525" s="243" t="str">
        <f>Shares!A525</f>
        <v/>
      </c>
      <c r="AA525" s="243" t="str">
        <f>Shares!B525</f>
        <v/>
      </c>
      <c r="AB525" s="243" t="str">
        <f>Shares!C525</f>
        <v/>
      </c>
      <c r="AC525" s="243" t="str">
        <f>Shares!D525</f>
        <v/>
      </c>
      <c r="AD525" s="243">
        <f>IF($Z525="",0,Shares!E525)</f>
        <v>0</v>
      </c>
      <c r="AE525" s="266">
        <f>IF($Z525="",0,Shares!J525*Shares!I525)</f>
        <v>0</v>
      </c>
      <c r="AF525" s="267">
        <f t="shared" si="47"/>
        <v>0</v>
      </c>
      <c r="AG525" s="266">
        <f>IF($Z525="",0,Shares!L525)</f>
        <v>0</v>
      </c>
      <c r="AH525" s="267">
        <f>IF($Z525="",0,Shares!M525)</f>
        <v>0</v>
      </c>
      <c r="AI525" s="243" t="str">
        <f>IF($Z525="","",RANK(AE525,$AE$2:$AE$1001)+COUNTIF($AE$2:AE525,AE525)-1)</f>
        <v/>
      </c>
      <c r="AJ525" s="243" t="str">
        <f>IF($AD525&lt;0,COUNT($AJ$1:AJ524)+1,"")</f>
        <v/>
      </c>
      <c r="AL525" s="243" t="str">
        <f>'All Ticker P&amp;L'!A525</f>
        <v/>
      </c>
      <c r="AM525" s="243" t="str">
        <f>'All Ticker P&amp;L'!B525</f>
        <v/>
      </c>
      <c r="AN525" s="243" t="str">
        <f>'All Ticker P&amp;L'!C525</f>
        <v/>
      </c>
      <c r="AO525" s="243" t="str">
        <f>'All Ticker P&amp;L'!D525</f>
        <v/>
      </c>
      <c r="AP525" s="243">
        <f>IF($AL525="",0,'All Ticker P&amp;L'!E525)</f>
        <v>0</v>
      </c>
      <c r="AQ525" s="266">
        <f>IF($AL525="",0,'All Ticker P&amp;L'!J525*'All Ticker P&amp;L'!I525)</f>
        <v>0</v>
      </c>
      <c r="AR525" s="266">
        <f>IF($AL525="",0,'All Ticker P&amp;L'!L525)</f>
        <v>0</v>
      </c>
      <c r="AS525" s="267">
        <f>IF($AL525="",0,'All Ticker P&amp;L'!M525)</f>
        <v>0</v>
      </c>
      <c r="AT525" s="243" t="str">
        <f>IF($AL525="","",RANK(AR525,$AR$2:$AR$1001)+COUNTIF($AR$2:AR525,AR525)-1)</f>
        <v/>
      </c>
      <c r="AU525" s="243" t="str">
        <f>IF($AL525="","",RANK(AV525,$AV$2:$AV$1001)+COUNTIF($AV$2:AV525,AV525)-1)</f>
        <v/>
      </c>
      <c r="AV525" s="266">
        <f t="shared" si="48"/>
        <v>0</v>
      </c>
    </row>
    <row r="526" spans="26:48" ht="15" customHeight="1" x14ac:dyDescent="0.2">
      <c r="Z526" s="243" t="str">
        <f>Shares!A526</f>
        <v/>
      </c>
      <c r="AA526" s="243" t="str">
        <f>Shares!B526</f>
        <v/>
      </c>
      <c r="AB526" s="243" t="str">
        <f>Shares!C526</f>
        <v/>
      </c>
      <c r="AC526" s="243" t="str">
        <f>Shares!D526</f>
        <v/>
      </c>
      <c r="AD526" s="243">
        <f>IF($Z526="",0,Shares!E526)</f>
        <v>0</v>
      </c>
      <c r="AE526" s="266">
        <f>IF($Z526="",0,Shares!J526*Shares!I526)</f>
        <v>0</v>
      </c>
      <c r="AF526" s="267">
        <f t="shared" si="47"/>
        <v>0</v>
      </c>
      <c r="AG526" s="266">
        <f>IF($Z526="",0,Shares!L526)</f>
        <v>0</v>
      </c>
      <c r="AH526" s="267">
        <f>IF($Z526="",0,Shares!M526)</f>
        <v>0</v>
      </c>
      <c r="AI526" s="243" t="str">
        <f>IF($Z526="","",RANK(AE526,$AE$2:$AE$1001)+COUNTIF($AE$2:AE526,AE526)-1)</f>
        <v/>
      </c>
      <c r="AJ526" s="243" t="str">
        <f>IF($AD526&lt;0,COUNT($AJ$1:AJ525)+1,"")</f>
        <v/>
      </c>
      <c r="AL526" s="243" t="str">
        <f>'All Ticker P&amp;L'!A526</f>
        <v/>
      </c>
      <c r="AM526" s="243" t="str">
        <f>'All Ticker P&amp;L'!B526</f>
        <v/>
      </c>
      <c r="AN526" s="243" t="str">
        <f>'All Ticker P&amp;L'!C526</f>
        <v/>
      </c>
      <c r="AO526" s="243" t="str">
        <f>'All Ticker P&amp;L'!D526</f>
        <v/>
      </c>
      <c r="AP526" s="243">
        <f>IF($AL526="",0,'All Ticker P&amp;L'!E526)</f>
        <v>0</v>
      </c>
      <c r="AQ526" s="266">
        <f>IF($AL526="",0,'All Ticker P&amp;L'!J526*'All Ticker P&amp;L'!I526)</f>
        <v>0</v>
      </c>
      <c r="AR526" s="266">
        <f>IF($AL526="",0,'All Ticker P&amp;L'!L526)</f>
        <v>0</v>
      </c>
      <c r="AS526" s="267">
        <f>IF($AL526="",0,'All Ticker P&amp;L'!M526)</f>
        <v>0</v>
      </c>
      <c r="AT526" s="243" t="str">
        <f>IF($AL526="","",RANK(AR526,$AR$2:$AR$1001)+COUNTIF($AR$2:AR526,AR526)-1)</f>
        <v/>
      </c>
      <c r="AU526" s="243" t="str">
        <f>IF($AL526="","",RANK(AV526,$AV$2:$AV$1001)+COUNTIF($AV$2:AV526,AV526)-1)</f>
        <v/>
      </c>
      <c r="AV526" s="266">
        <f t="shared" si="48"/>
        <v>0</v>
      </c>
    </row>
    <row r="527" spans="26:48" ht="15" customHeight="1" x14ac:dyDescent="0.2">
      <c r="Z527" s="243" t="str">
        <f>Shares!A527</f>
        <v/>
      </c>
      <c r="AA527" s="243" t="str">
        <f>Shares!B527</f>
        <v/>
      </c>
      <c r="AB527" s="243" t="str">
        <f>Shares!C527</f>
        <v/>
      </c>
      <c r="AC527" s="243" t="str">
        <f>Shares!D527</f>
        <v/>
      </c>
      <c r="AD527" s="243">
        <f>IF($Z527="",0,Shares!E527)</f>
        <v>0</v>
      </c>
      <c r="AE527" s="266">
        <f>IF($Z527="",0,Shares!J527*Shares!I527)</f>
        <v>0</v>
      </c>
      <c r="AF527" s="267">
        <f t="shared" si="47"/>
        <v>0</v>
      </c>
      <c r="AG527" s="266">
        <f>IF($Z527="",0,Shares!L527)</f>
        <v>0</v>
      </c>
      <c r="AH527" s="267">
        <f>IF($Z527="",0,Shares!M527)</f>
        <v>0</v>
      </c>
      <c r="AI527" s="243" t="str">
        <f>IF($Z527="","",RANK(AE527,$AE$2:$AE$1001)+COUNTIF($AE$2:AE527,AE527)-1)</f>
        <v/>
      </c>
      <c r="AJ527" s="243" t="str">
        <f>IF($AD527&lt;0,COUNT($AJ$1:AJ526)+1,"")</f>
        <v/>
      </c>
      <c r="AL527" s="243" t="str">
        <f>'All Ticker P&amp;L'!A527</f>
        <v/>
      </c>
      <c r="AM527" s="243" t="str">
        <f>'All Ticker P&amp;L'!B527</f>
        <v/>
      </c>
      <c r="AN527" s="243" t="str">
        <f>'All Ticker P&amp;L'!C527</f>
        <v/>
      </c>
      <c r="AO527" s="243" t="str">
        <f>'All Ticker P&amp;L'!D527</f>
        <v/>
      </c>
      <c r="AP527" s="243">
        <f>IF($AL527="",0,'All Ticker P&amp;L'!E527)</f>
        <v>0</v>
      </c>
      <c r="AQ527" s="266">
        <f>IF($AL527="",0,'All Ticker P&amp;L'!J527*'All Ticker P&amp;L'!I527)</f>
        <v>0</v>
      </c>
      <c r="AR527" s="266">
        <f>IF($AL527="",0,'All Ticker P&amp;L'!L527)</f>
        <v>0</v>
      </c>
      <c r="AS527" s="267">
        <f>IF($AL527="",0,'All Ticker P&amp;L'!M527)</f>
        <v>0</v>
      </c>
      <c r="AT527" s="243" t="str">
        <f>IF($AL527="","",RANK(AR527,$AR$2:$AR$1001)+COUNTIF($AR$2:AR527,AR527)-1)</f>
        <v/>
      </c>
      <c r="AU527" s="243" t="str">
        <f>IF($AL527="","",RANK(AV527,$AV$2:$AV$1001)+COUNTIF($AV$2:AV527,AV527)-1)</f>
        <v/>
      </c>
      <c r="AV527" s="266">
        <f t="shared" si="48"/>
        <v>0</v>
      </c>
    </row>
    <row r="528" spans="26:48" ht="15" customHeight="1" x14ac:dyDescent="0.2">
      <c r="Z528" s="243" t="str">
        <f>Shares!A528</f>
        <v/>
      </c>
      <c r="AA528" s="243" t="str">
        <f>Shares!B528</f>
        <v/>
      </c>
      <c r="AB528" s="243" t="str">
        <f>Shares!C528</f>
        <v/>
      </c>
      <c r="AC528" s="243" t="str">
        <f>Shares!D528</f>
        <v/>
      </c>
      <c r="AD528" s="243">
        <f>IF($Z528="",0,Shares!E528)</f>
        <v>0</v>
      </c>
      <c r="AE528" s="266">
        <f>IF($Z528="",0,Shares!J528*Shares!I528)</f>
        <v>0</v>
      </c>
      <c r="AF528" s="267">
        <f t="shared" si="47"/>
        <v>0</v>
      </c>
      <c r="AG528" s="266">
        <f>IF($Z528="",0,Shares!L528)</f>
        <v>0</v>
      </c>
      <c r="AH528" s="267">
        <f>IF($Z528="",0,Shares!M528)</f>
        <v>0</v>
      </c>
      <c r="AI528" s="243" t="str">
        <f>IF($Z528="","",RANK(AE528,$AE$2:$AE$1001)+COUNTIF($AE$2:AE528,AE528)-1)</f>
        <v/>
      </c>
      <c r="AJ528" s="243" t="str">
        <f>IF($AD528&lt;0,COUNT($AJ$1:AJ527)+1,"")</f>
        <v/>
      </c>
      <c r="AL528" s="243" t="str">
        <f>'All Ticker P&amp;L'!A528</f>
        <v/>
      </c>
      <c r="AM528" s="243" t="str">
        <f>'All Ticker P&amp;L'!B528</f>
        <v/>
      </c>
      <c r="AN528" s="243" t="str">
        <f>'All Ticker P&amp;L'!C528</f>
        <v/>
      </c>
      <c r="AO528" s="243" t="str">
        <f>'All Ticker P&amp;L'!D528</f>
        <v/>
      </c>
      <c r="AP528" s="243">
        <f>IF($AL528="",0,'All Ticker P&amp;L'!E528)</f>
        <v>0</v>
      </c>
      <c r="AQ528" s="266">
        <f>IF($AL528="",0,'All Ticker P&amp;L'!J528*'All Ticker P&amp;L'!I528)</f>
        <v>0</v>
      </c>
      <c r="AR528" s="266">
        <f>IF($AL528="",0,'All Ticker P&amp;L'!L528)</f>
        <v>0</v>
      </c>
      <c r="AS528" s="267">
        <f>IF($AL528="",0,'All Ticker P&amp;L'!M528)</f>
        <v>0</v>
      </c>
      <c r="AT528" s="243" t="str">
        <f>IF($AL528="","",RANK(AR528,$AR$2:$AR$1001)+COUNTIF($AR$2:AR528,AR528)-1)</f>
        <v/>
      </c>
      <c r="AU528" s="243" t="str">
        <f>IF($AL528="","",RANK(AV528,$AV$2:$AV$1001)+COUNTIF($AV$2:AV528,AV528)-1)</f>
        <v/>
      </c>
      <c r="AV528" s="266">
        <f t="shared" si="48"/>
        <v>0</v>
      </c>
    </row>
    <row r="529" spans="26:48" ht="15" customHeight="1" x14ac:dyDescent="0.2">
      <c r="Z529" s="243" t="str">
        <f>Shares!A529</f>
        <v/>
      </c>
      <c r="AA529" s="243" t="str">
        <f>Shares!B529</f>
        <v/>
      </c>
      <c r="AB529" s="243" t="str">
        <f>Shares!C529</f>
        <v/>
      </c>
      <c r="AC529" s="243" t="str">
        <f>Shares!D529</f>
        <v/>
      </c>
      <c r="AD529" s="243">
        <f>IF($Z529="",0,Shares!E529)</f>
        <v>0</v>
      </c>
      <c r="AE529" s="266">
        <f>IF($Z529="",0,Shares!J529*Shares!I529)</f>
        <v>0</v>
      </c>
      <c r="AF529" s="267">
        <f t="shared" si="47"/>
        <v>0</v>
      </c>
      <c r="AG529" s="266">
        <f>IF($Z529="",0,Shares!L529)</f>
        <v>0</v>
      </c>
      <c r="AH529" s="267">
        <f>IF($Z529="",0,Shares!M529)</f>
        <v>0</v>
      </c>
      <c r="AI529" s="243" t="str">
        <f>IF($Z529="","",RANK(AE529,$AE$2:$AE$1001)+COUNTIF($AE$2:AE529,AE529)-1)</f>
        <v/>
      </c>
      <c r="AJ529" s="243" t="str">
        <f>IF($AD529&lt;0,COUNT($AJ$1:AJ528)+1,"")</f>
        <v/>
      </c>
      <c r="AL529" s="243" t="str">
        <f>'All Ticker P&amp;L'!A529</f>
        <v/>
      </c>
      <c r="AM529" s="243" t="str">
        <f>'All Ticker P&amp;L'!B529</f>
        <v/>
      </c>
      <c r="AN529" s="243" t="str">
        <f>'All Ticker P&amp;L'!C529</f>
        <v/>
      </c>
      <c r="AO529" s="243" t="str">
        <f>'All Ticker P&amp;L'!D529</f>
        <v/>
      </c>
      <c r="AP529" s="243">
        <f>IF($AL529="",0,'All Ticker P&amp;L'!E529)</f>
        <v>0</v>
      </c>
      <c r="AQ529" s="266">
        <f>IF($AL529="",0,'All Ticker P&amp;L'!J529*'All Ticker P&amp;L'!I529)</f>
        <v>0</v>
      </c>
      <c r="AR529" s="266">
        <f>IF($AL529="",0,'All Ticker P&amp;L'!L529)</f>
        <v>0</v>
      </c>
      <c r="AS529" s="267">
        <f>IF($AL529="",0,'All Ticker P&amp;L'!M529)</f>
        <v>0</v>
      </c>
      <c r="AT529" s="243" t="str">
        <f>IF($AL529="","",RANK(AR529,$AR$2:$AR$1001)+COUNTIF($AR$2:AR529,AR529)-1)</f>
        <v/>
      </c>
      <c r="AU529" s="243" t="str">
        <f>IF($AL529="","",RANK(AV529,$AV$2:$AV$1001)+COUNTIF($AV$2:AV529,AV529)-1)</f>
        <v/>
      </c>
      <c r="AV529" s="266">
        <f t="shared" si="48"/>
        <v>0</v>
      </c>
    </row>
    <row r="530" spans="26:48" ht="15" customHeight="1" x14ac:dyDescent="0.2">
      <c r="Z530" s="243" t="str">
        <f>Shares!A530</f>
        <v/>
      </c>
      <c r="AA530" s="243" t="str">
        <f>Shares!B530</f>
        <v/>
      </c>
      <c r="AB530" s="243" t="str">
        <f>Shares!C530</f>
        <v/>
      </c>
      <c r="AC530" s="243" t="str">
        <f>Shares!D530</f>
        <v/>
      </c>
      <c r="AD530" s="243">
        <f>IF($Z530="",0,Shares!E530)</f>
        <v>0</v>
      </c>
      <c r="AE530" s="266">
        <f>IF($Z530="",0,Shares!J530*Shares!I530)</f>
        <v>0</v>
      </c>
      <c r="AF530" s="267">
        <f t="shared" si="47"/>
        <v>0</v>
      </c>
      <c r="AG530" s="266">
        <f>IF($Z530="",0,Shares!L530)</f>
        <v>0</v>
      </c>
      <c r="AH530" s="267">
        <f>IF($Z530="",0,Shares!M530)</f>
        <v>0</v>
      </c>
      <c r="AI530" s="243" t="str">
        <f>IF($Z530="","",RANK(AE530,$AE$2:$AE$1001)+COUNTIF($AE$2:AE530,AE530)-1)</f>
        <v/>
      </c>
      <c r="AJ530" s="243" t="str">
        <f>IF($AD530&lt;0,COUNT($AJ$1:AJ529)+1,"")</f>
        <v/>
      </c>
      <c r="AL530" s="243" t="str">
        <f>'All Ticker P&amp;L'!A530</f>
        <v/>
      </c>
      <c r="AM530" s="243" t="str">
        <f>'All Ticker P&amp;L'!B530</f>
        <v/>
      </c>
      <c r="AN530" s="243" t="str">
        <f>'All Ticker P&amp;L'!C530</f>
        <v/>
      </c>
      <c r="AO530" s="243" t="str">
        <f>'All Ticker P&amp;L'!D530</f>
        <v/>
      </c>
      <c r="AP530" s="243">
        <f>IF($AL530="",0,'All Ticker P&amp;L'!E530)</f>
        <v>0</v>
      </c>
      <c r="AQ530" s="266">
        <f>IF($AL530="",0,'All Ticker P&amp;L'!J530*'All Ticker P&amp;L'!I530)</f>
        <v>0</v>
      </c>
      <c r="AR530" s="266">
        <f>IF($AL530="",0,'All Ticker P&amp;L'!L530)</f>
        <v>0</v>
      </c>
      <c r="AS530" s="267">
        <f>IF($AL530="",0,'All Ticker P&amp;L'!M530)</f>
        <v>0</v>
      </c>
      <c r="AT530" s="243" t="str">
        <f>IF($AL530="","",RANK(AR530,$AR$2:$AR$1001)+COUNTIF($AR$2:AR530,AR530)-1)</f>
        <v/>
      </c>
      <c r="AU530" s="243" t="str">
        <f>IF($AL530="","",RANK(AV530,$AV$2:$AV$1001)+COUNTIF($AV$2:AV530,AV530)-1)</f>
        <v/>
      </c>
      <c r="AV530" s="266">
        <f t="shared" si="48"/>
        <v>0</v>
      </c>
    </row>
    <row r="531" spans="26:48" ht="15" customHeight="1" x14ac:dyDescent="0.2">
      <c r="Z531" s="243" t="str">
        <f>Shares!A531</f>
        <v/>
      </c>
      <c r="AA531" s="243" t="str">
        <f>Shares!B531</f>
        <v/>
      </c>
      <c r="AB531" s="243" t="str">
        <f>Shares!C531</f>
        <v/>
      </c>
      <c r="AC531" s="243" t="str">
        <f>Shares!D531</f>
        <v/>
      </c>
      <c r="AD531" s="243">
        <f>IF($Z531="",0,Shares!E531)</f>
        <v>0</v>
      </c>
      <c r="AE531" s="266">
        <f>IF($Z531="",0,Shares!J531*Shares!I531)</f>
        <v>0</v>
      </c>
      <c r="AF531" s="267">
        <f t="shared" si="47"/>
        <v>0</v>
      </c>
      <c r="AG531" s="266">
        <f>IF($Z531="",0,Shares!L531)</f>
        <v>0</v>
      </c>
      <c r="AH531" s="267">
        <f>IF($Z531="",0,Shares!M531)</f>
        <v>0</v>
      </c>
      <c r="AI531" s="243" t="str">
        <f>IF($Z531="","",RANK(AE531,$AE$2:$AE$1001)+COUNTIF($AE$2:AE531,AE531)-1)</f>
        <v/>
      </c>
      <c r="AJ531" s="243" t="str">
        <f>IF($AD531&lt;0,COUNT($AJ$1:AJ530)+1,"")</f>
        <v/>
      </c>
      <c r="AL531" s="243" t="str">
        <f>'All Ticker P&amp;L'!A531</f>
        <v/>
      </c>
      <c r="AM531" s="243" t="str">
        <f>'All Ticker P&amp;L'!B531</f>
        <v/>
      </c>
      <c r="AN531" s="243" t="str">
        <f>'All Ticker P&amp;L'!C531</f>
        <v/>
      </c>
      <c r="AO531" s="243" t="str">
        <f>'All Ticker P&amp;L'!D531</f>
        <v/>
      </c>
      <c r="AP531" s="243">
        <f>IF($AL531="",0,'All Ticker P&amp;L'!E531)</f>
        <v>0</v>
      </c>
      <c r="AQ531" s="266">
        <f>IF($AL531="",0,'All Ticker P&amp;L'!J531*'All Ticker P&amp;L'!I531)</f>
        <v>0</v>
      </c>
      <c r="AR531" s="266">
        <f>IF($AL531="",0,'All Ticker P&amp;L'!L531)</f>
        <v>0</v>
      </c>
      <c r="AS531" s="267">
        <f>IF($AL531="",0,'All Ticker P&amp;L'!M531)</f>
        <v>0</v>
      </c>
      <c r="AT531" s="243" t="str">
        <f>IF($AL531="","",RANK(AR531,$AR$2:$AR$1001)+COUNTIF($AR$2:AR531,AR531)-1)</f>
        <v/>
      </c>
      <c r="AU531" s="243" t="str">
        <f>IF($AL531="","",RANK(AV531,$AV$2:$AV$1001)+COUNTIF($AV$2:AV531,AV531)-1)</f>
        <v/>
      </c>
      <c r="AV531" s="266">
        <f t="shared" si="48"/>
        <v>0</v>
      </c>
    </row>
    <row r="532" spans="26:48" ht="15" customHeight="1" x14ac:dyDescent="0.2">
      <c r="Z532" s="243" t="str">
        <f>Shares!A532</f>
        <v/>
      </c>
      <c r="AA532" s="243" t="str">
        <f>Shares!B532</f>
        <v/>
      </c>
      <c r="AB532" s="243" t="str">
        <f>Shares!C532</f>
        <v/>
      </c>
      <c r="AC532" s="243" t="str">
        <f>Shares!D532</f>
        <v/>
      </c>
      <c r="AD532" s="243">
        <f>IF($Z532="",0,Shares!E532)</f>
        <v>0</v>
      </c>
      <c r="AE532" s="266">
        <f>IF($Z532="",0,Shares!J532*Shares!I532)</f>
        <v>0</v>
      </c>
      <c r="AF532" s="267">
        <f t="shared" si="47"/>
        <v>0</v>
      </c>
      <c r="AG532" s="266">
        <f>IF($Z532="",0,Shares!L532)</f>
        <v>0</v>
      </c>
      <c r="AH532" s="267">
        <f>IF($Z532="",0,Shares!M532)</f>
        <v>0</v>
      </c>
      <c r="AI532" s="243" t="str">
        <f>IF($Z532="","",RANK(AE532,$AE$2:$AE$1001)+COUNTIF($AE$2:AE532,AE532)-1)</f>
        <v/>
      </c>
      <c r="AJ532" s="243" t="str">
        <f>IF($AD532&lt;0,COUNT($AJ$1:AJ531)+1,"")</f>
        <v/>
      </c>
      <c r="AL532" s="243" t="str">
        <f>'All Ticker P&amp;L'!A532</f>
        <v/>
      </c>
      <c r="AM532" s="243" t="str">
        <f>'All Ticker P&amp;L'!B532</f>
        <v/>
      </c>
      <c r="AN532" s="243" t="str">
        <f>'All Ticker P&amp;L'!C532</f>
        <v/>
      </c>
      <c r="AO532" s="243" t="str">
        <f>'All Ticker P&amp;L'!D532</f>
        <v/>
      </c>
      <c r="AP532" s="243">
        <f>IF($AL532="",0,'All Ticker P&amp;L'!E532)</f>
        <v>0</v>
      </c>
      <c r="AQ532" s="266">
        <f>IF($AL532="",0,'All Ticker P&amp;L'!J532*'All Ticker P&amp;L'!I532)</f>
        <v>0</v>
      </c>
      <c r="AR532" s="266">
        <f>IF($AL532="",0,'All Ticker P&amp;L'!L532)</f>
        <v>0</v>
      </c>
      <c r="AS532" s="267">
        <f>IF($AL532="",0,'All Ticker P&amp;L'!M532)</f>
        <v>0</v>
      </c>
      <c r="AT532" s="243" t="str">
        <f>IF($AL532="","",RANK(AR532,$AR$2:$AR$1001)+COUNTIF($AR$2:AR532,AR532)-1)</f>
        <v/>
      </c>
      <c r="AU532" s="243" t="str">
        <f>IF($AL532="","",RANK(AV532,$AV$2:$AV$1001)+COUNTIF($AV$2:AV532,AV532)-1)</f>
        <v/>
      </c>
      <c r="AV532" s="266">
        <f t="shared" si="48"/>
        <v>0</v>
      </c>
    </row>
    <row r="533" spans="26:48" ht="15" customHeight="1" x14ac:dyDescent="0.2">
      <c r="Z533" s="243" t="str">
        <f>Shares!A533</f>
        <v/>
      </c>
      <c r="AA533" s="243" t="str">
        <f>Shares!B533</f>
        <v/>
      </c>
      <c r="AB533" s="243" t="str">
        <f>Shares!C533</f>
        <v/>
      </c>
      <c r="AC533" s="243" t="str">
        <f>Shares!D533</f>
        <v/>
      </c>
      <c r="AD533" s="243">
        <f>IF($Z533="",0,Shares!E533)</f>
        <v>0</v>
      </c>
      <c r="AE533" s="266">
        <f>IF($Z533="",0,Shares!J533*Shares!I533)</f>
        <v>0</v>
      </c>
      <c r="AF533" s="267">
        <f t="shared" si="47"/>
        <v>0</v>
      </c>
      <c r="AG533" s="266">
        <f>IF($Z533="",0,Shares!L533)</f>
        <v>0</v>
      </c>
      <c r="AH533" s="267">
        <f>IF($Z533="",0,Shares!M533)</f>
        <v>0</v>
      </c>
      <c r="AI533" s="243" t="str">
        <f>IF($Z533="","",RANK(AE533,$AE$2:$AE$1001)+COUNTIF($AE$2:AE533,AE533)-1)</f>
        <v/>
      </c>
      <c r="AJ533" s="243" t="str">
        <f>IF($AD533&lt;0,COUNT($AJ$1:AJ532)+1,"")</f>
        <v/>
      </c>
      <c r="AL533" s="243" t="str">
        <f>'All Ticker P&amp;L'!A533</f>
        <v/>
      </c>
      <c r="AM533" s="243" t="str">
        <f>'All Ticker P&amp;L'!B533</f>
        <v/>
      </c>
      <c r="AN533" s="243" t="str">
        <f>'All Ticker P&amp;L'!C533</f>
        <v/>
      </c>
      <c r="AO533" s="243" t="str">
        <f>'All Ticker P&amp;L'!D533</f>
        <v/>
      </c>
      <c r="AP533" s="243">
        <f>IF($AL533="",0,'All Ticker P&amp;L'!E533)</f>
        <v>0</v>
      </c>
      <c r="AQ533" s="266">
        <f>IF($AL533="",0,'All Ticker P&amp;L'!J533*'All Ticker P&amp;L'!I533)</f>
        <v>0</v>
      </c>
      <c r="AR533" s="266">
        <f>IF($AL533="",0,'All Ticker P&amp;L'!L533)</f>
        <v>0</v>
      </c>
      <c r="AS533" s="267">
        <f>IF($AL533="",0,'All Ticker P&amp;L'!M533)</f>
        <v>0</v>
      </c>
      <c r="AT533" s="243" t="str">
        <f>IF($AL533="","",RANK(AR533,$AR$2:$AR$1001)+COUNTIF($AR$2:AR533,AR533)-1)</f>
        <v/>
      </c>
      <c r="AU533" s="243" t="str">
        <f>IF($AL533="","",RANK(AV533,$AV$2:$AV$1001)+COUNTIF($AV$2:AV533,AV533)-1)</f>
        <v/>
      </c>
      <c r="AV533" s="266">
        <f t="shared" si="48"/>
        <v>0</v>
      </c>
    </row>
    <row r="534" spans="26:48" ht="15" customHeight="1" x14ac:dyDescent="0.2">
      <c r="Z534" s="243" t="str">
        <f>Shares!A534</f>
        <v/>
      </c>
      <c r="AA534" s="243" t="str">
        <f>Shares!B534</f>
        <v/>
      </c>
      <c r="AB534" s="243" t="str">
        <f>Shares!C534</f>
        <v/>
      </c>
      <c r="AC534" s="243" t="str">
        <f>Shares!D534</f>
        <v/>
      </c>
      <c r="AD534" s="243">
        <f>IF($Z534="",0,Shares!E534)</f>
        <v>0</v>
      </c>
      <c r="AE534" s="266">
        <f>IF($Z534="",0,Shares!J534*Shares!I534)</f>
        <v>0</v>
      </c>
      <c r="AF534" s="267">
        <f t="shared" si="47"/>
        <v>0</v>
      </c>
      <c r="AG534" s="266">
        <f>IF($Z534="",0,Shares!L534)</f>
        <v>0</v>
      </c>
      <c r="AH534" s="267">
        <f>IF($Z534="",0,Shares!M534)</f>
        <v>0</v>
      </c>
      <c r="AI534" s="243" t="str">
        <f>IF($Z534="","",RANK(AE534,$AE$2:$AE$1001)+COUNTIF($AE$2:AE534,AE534)-1)</f>
        <v/>
      </c>
      <c r="AJ534" s="243" t="str">
        <f>IF($AD534&lt;0,COUNT($AJ$1:AJ533)+1,"")</f>
        <v/>
      </c>
      <c r="AL534" s="243" t="str">
        <f>'All Ticker P&amp;L'!A534</f>
        <v/>
      </c>
      <c r="AM534" s="243" t="str">
        <f>'All Ticker P&amp;L'!B534</f>
        <v/>
      </c>
      <c r="AN534" s="243" t="str">
        <f>'All Ticker P&amp;L'!C534</f>
        <v/>
      </c>
      <c r="AO534" s="243" t="str">
        <f>'All Ticker P&amp;L'!D534</f>
        <v/>
      </c>
      <c r="AP534" s="243">
        <f>IF($AL534="",0,'All Ticker P&amp;L'!E534)</f>
        <v>0</v>
      </c>
      <c r="AQ534" s="266">
        <f>IF($AL534="",0,'All Ticker P&amp;L'!J534*'All Ticker P&amp;L'!I534)</f>
        <v>0</v>
      </c>
      <c r="AR534" s="266">
        <f>IF($AL534="",0,'All Ticker P&amp;L'!L534)</f>
        <v>0</v>
      </c>
      <c r="AS534" s="267">
        <f>IF($AL534="",0,'All Ticker P&amp;L'!M534)</f>
        <v>0</v>
      </c>
      <c r="AT534" s="243" t="str">
        <f>IF($AL534="","",RANK(AR534,$AR$2:$AR$1001)+COUNTIF($AR$2:AR534,AR534)-1)</f>
        <v/>
      </c>
      <c r="AU534" s="243" t="str">
        <f>IF($AL534="","",RANK(AV534,$AV$2:$AV$1001)+COUNTIF($AV$2:AV534,AV534)-1)</f>
        <v/>
      </c>
      <c r="AV534" s="266">
        <f t="shared" si="48"/>
        <v>0</v>
      </c>
    </row>
    <row r="535" spans="26:48" ht="15" customHeight="1" x14ac:dyDescent="0.2">
      <c r="Z535" s="243" t="str">
        <f>Shares!A535</f>
        <v/>
      </c>
      <c r="AA535" s="243" t="str">
        <f>Shares!B535</f>
        <v/>
      </c>
      <c r="AB535" s="243" t="str">
        <f>Shares!C535</f>
        <v/>
      </c>
      <c r="AC535" s="243" t="str">
        <f>Shares!D535</f>
        <v/>
      </c>
      <c r="AD535" s="243">
        <f>IF($Z535="",0,Shares!E535)</f>
        <v>0</v>
      </c>
      <c r="AE535" s="266">
        <f>IF($Z535="",0,Shares!J535*Shares!I535)</f>
        <v>0</v>
      </c>
      <c r="AF535" s="267">
        <f t="shared" si="47"/>
        <v>0</v>
      </c>
      <c r="AG535" s="266">
        <f>IF($Z535="",0,Shares!L535)</f>
        <v>0</v>
      </c>
      <c r="AH535" s="267">
        <f>IF($Z535="",0,Shares!M535)</f>
        <v>0</v>
      </c>
      <c r="AI535" s="243" t="str">
        <f>IF($Z535="","",RANK(AE535,$AE$2:$AE$1001)+COUNTIF($AE$2:AE535,AE535)-1)</f>
        <v/>
      </c>
      <c r="AJ535" s="243" t="str">
        <f>IF($AD535&lt;0,COUNT($AJ$1:AJ534)+1,"")</f>
        <v/>
      </c>
      <c r="AL535" s="243" t="str">
        <f>'All Ticker P&amp;L'!A535</f>
        <v/>
      </c>
      <c r="AM535" s="243" t="str">
        <f>'All Ticker P&amp;L'!B535</f>
        <v/>
      </c>
      <c r="AN535" s="243" t="str">
        <f>'All Ticker P&amp;L'!C535</f>
        <v/>
      </c>
      <c r="AO535" s="243" t="str">
        <f>'All Ticker P&amp;L'!D535</f>
        <v/>
      </c>
      <c r="AP535" s="243">
        <f>IF($AL535="",0,'All Ticker P&amp;L'!E535)</f>
        <v>0</v>
      </c>
      <c r="AQ535" s="266">
        <f>IF($AL535="",0,'All Ticker P&amp;L'!J535*'All Ticker P&amp;L'!I535)</f>
        <v>0</v>
      </c>
      <c r="AR535" s="266">
        <f>IF($AL535="",0,'All Ticker P&amp;L'!L535)</f>
        <v>0</v>
      </c>
      <c r="AS535" s="267">
        <f>IF($AL535="",0,'All Ticker P&amp;L'!M535)</f>
        <v>0</v>
      </c>
      <c r="AT535" s="243" t="str">
        <f>IF($AL535="","",RANK(AR535,$AR$2:$AR$1001)+COUNTIF($AR$2:AR535,AR535)-1)</f>
        <v/>
      </c>
      <c r="AU535" s="243" t="str">
        <f>IF($AL535="","",RANK(AV535,$AV$2:$AV$1001)+COUNTIF($AV$2:AV535,AV535)-1)</f>
        <v/>
      </c>
      <c r="AV535" s="266">
        <f t="shared" si="48"/>
        <v>0</v>
      </c>
    </row>
    <row r="536" spans="26:48" ht="15" customHeight="1" x14ac:dyDescent="0.2">
      <c r="Z536" s="243" t="str">
        <f>Shares!A536</f>
        <v/>
      </c>
      <c r="AA536" s="243" t="str">
        <f>Shares!B536</f>
        <v/>
      </c>
      <c r="AB536" s="243" t="str">
        <f>Shares!C536</f>
        <v/>
      </c>
      <c r="AC536" s="243" t="str">
        <f>Shares!D536</f>
        <v/>
      </c>
      <c r="AD536" s="243">
        <f>IF($Z536="",0,Shares!E536)</f>
        <v>0</v>
      </c>
      <c r="AE536" s="266">
        <f>IF($Z536="",0,Shares!J536*Shares!I536)</f>
        <v>0</v>
      </c>
      <c r="AF536" s="267">
        <f t="shared" si="47"/>
        <v>0</v>
      </c>
      <c r="AG536" s="266">
        <f>IF($Z536="",0,Shares!L536)</f>
        <v>0</v>
      </c>
      <c r="AH536" s="267">
        <f>IF($Z536="",0,Shares!M536)</f>
        <v>0</v>
      </c>
      <c r="AI536" s="243" t="str">
        <f>IF($Z536="","",RANK(AE536,$AE$2:$AE$1001)+COUNTIF($AE$2:AE536,AE536)-1)</f>
        <v/>
      </c>
      <c r="AJ536" s="243" t="str">
        <f>IF($AD536&lt;0,COUNT($AJ$1:AJ535)+1,"")</f>
        <v/>
      </c>
      <c r="AL536" s="243" t="str">
        <f>'All Ticker P&amp;L'!A536</f>
        <v/>
      </c>
      <c r="AM536" s="243" t="str">
        <f>'All Ticker P&amp;L'!B536</f>
        <v/>
      </c>
      <c r="AN536" s="243" t="str">
        <f>'All Ticker P&amp;L'!C536</f>
        <v/>
      </c>
      <c r="AO536" s="243" t="str">
        <f>'All Ticker P&amp;L'!D536</f>
        <v/>
      </c>
      <c r="AP536" s="243">
        <f>IF($AL536="",0,'All Ticker P&amp;L'!E536)</f>
        <v>0</v>
      </c>
      <c r="AQ536" s="266">
        <f>IF($AL536="",0,'All Ticker P&amp;L'!J536*'All Ticker P&amp;L'!I536)</f>
        <v>0</v>
      </c>
      <c r="AR536" s="266">
        <f>IF($AL536="",0,'All Ticker P&amp;L'!L536)</f>
        <v>0</v>
      </c>
      <c r="AS536" s="267">
        <f>IF($AL536="",0,'All Ticker P&amp;L'!M536)</f>
        <v>0</v>
      </c>
      <c r="AT536" s="243" t="str">
        <f>IF($AL536="","",RANK(AR536,$AR$2:$AR$1001)+COUNTIF($AR$2:AR536,AR536)-1)</f>
        <v/>
      </c>
      <c r="AU536" s="243" t="str">
        <f>IF($AL536="","",RANK(AV536,$AV$2:$AV$1001)+COUNTIF($AV$2:AV536,AV536)-1)</f>
        <v/>
      </c>
      <c r="AV536" s="266">
        <f t="shared" si="48"/>
        <v>0</v>
      </c>
    </row>
    <row r="537" spans="26:48" ht="15" customHeight="1" x14ac:dyDescent="0.2">
      <c r="Z537" s="243" t="str">
        <f>Shares!A537</f>
        <v/>
      </c>
      <c r="AA537" s="243" t="str">
        <f>Shares!B537</f>
        <v/>
      </c>
      <c r="AB537" s="243" t="str">
        <f>Shares!C537</f>
        <v/>
      </c>
      <c r="AC537" s="243" t="str">
        <f>Shares!D537</f>
        <v/>
      </c>
      <c r="AD537" s="243">
        <f>IF($Z537="",0,Shares!E537)</f>
        <v>0</v>
      </c>
      <c r="AE537" s="266">
        <f>IF($Z537="",0,Shares!J537*Shares!I537)</f>
        <v>0</v>
      </c>
      <c r="AF537" s="267">
        <f t="shared" si="47"/>
        <v>0</v>
      </c>
      <c r="AG537" s="266">
        <f>IF($Z537="",0,Shares!L537)</f>
        <v>0</v>
      </c>
      <c r="AH537" s="267">
        <f>IF($Z537="",0,Shares!M537)</f>
        <v>0</v>
      </c>
      <c r="AI537" s="243" t="str">
        <f>IF($Z537="","",RANK(AE537,$AE$2:$AE$1001)+COUNTIF($AE$2:AE537,AE537)-1)</f>
        <v/>
      </c>
      <c r="AJ537" s="243" t="str">
        <f>IF($AD537&lt;0,COUNT($AJ$1:AJ536)+1,"")</f>
        <v/>
      </c>
      <c r="AL537" s="243" t="str">
        <f>'All Ticker P&amp;L'!A537</f>
        <v/>
      </c>
      <c r="AM537" s="243" t="str">
        <f>'All Ticker P&amp;L'!B537</f>
        <v/>
      </c>
      <c r="AN537" s="243" t="str">
        <f>'All Ticker P&amp;L'!C537</f>
        <v/>
      </c>
      <c r="AO537" s="243" t="str">
        <f>'All Ticker P&amp;L'!D537</f>
        <v/>
      </c>
      <c r="AP537" s="243">
        <f>IF($AL537="",0,'All Ticker P&amp;L'!E537)</f>
        <v>0</v>
      </c>
      <c r="AQ537" s="266">
        <f>IF($AL537="",0,'All Ticker P&amp;L'!J537*'All Ticker P&amp;L'!I537)</f>
        <v>0</v>
      </c>
      <c r="AR537" s="266">
        <f>IF($AL537="",0,'All Ticker P&amp;L'!L537)</f>
        <v>0</v>
      </c>
      <c r="AS537" s="267">
        <f>IF($AL537="",0,'All Ticker P&amp;L'!M537)</f>
        <v>0</v>
      </c>
      <c r="AT537" s="243" t="str">
        <f>IF($AL537="","",RANK(AR537,$AR$2:$AR$1001)+COUNTIF($AR$2:AR537,AR537)-1)</f>
        <v/>
      </c>
      <c r="AU537" s="243" t="str">
        <f>IF($AL537="","",RANK(AV537,$AV$2:$AV$1001)+COUNTIF($AV$2:AV537,AV537)-1)</f>
        <v/>
      </c>
      <c r="AV537" s="266">
        <f t="shared" si="48"/>
        <v>0</v>
      </c>
    </row>
    <row r="538" spans="26:48" ht="15" customHeight="1" x14ac:dyDescent="0.2">
      <c r="Z538" s="243" t="str">
        <f>Shares!A538</f>
        <v/>
      </c>
      <c r="AA538" s="243" t="str">
        <f>Shares!B538</f>
        <v/>
      </c>
      <c r="AB538" s="243" t="str">
        <f>Shares!C538</f>
        <v/>
      </c>
      <c r="AC538" s="243" t="str">
        <f>Shares!D538</f>
        <v/>
      </c>
      <c r="AD538" s="243">
        <f>IF($Z538="",0,Shares!E538)</f>
        <v>0</v>
      </c>
      <c r="AE538" s="266">
        <f>IF($Z538="",0,Shares!J538*Shares!I538)</f>
        <v>0</v>
      </c>
      <c r="AF538" s="267">
        <f t="shared" si="47"/>
        <v>0</v>
      </c>
      <c r="AG538" s="266">
        <f>IF($Z538="",0,Shares!L538)</f>
        <v>0</v>
      </c>
      <c r="AH538" s="267">
        <f>IF($Z538="",0,Shares!M538)</f>
        <v>0</v>
      </c>
      <c r="AI538" s="243" t="str">
        <f>IF($Z538="","",RANK(AE538,$AE$2:$AE$1001)+COUNTIF($AE$2:AE538,AE538)-1)</f>
        <v/>
      </c>
      <c r="AJ538" s="243" t="str">
        <f>IF($AD538&lt;0,COUNT($AJ$1:AJ537)+1,"")</f>
        <v/>
      </c>
      <c r="AL538" s="243" t="str">
        <f>'All Ticker P&amp;L'!A538</f>
        <v/>
      </c>
      <c r="AM538" s="243" t="str">
        <f>'All Ticker P&amp;L'!B538</f>
        <v/>
      </c>
      <c r="AN538" s="243" t="str">
        <f>'All Ticker P&amp;L'!C538</f>
        <v/>
      </c>
      <c r="AO538" s="243" t="str">
        <f>'All Ticker P&amp;L'!D538</f>
        <v/>
      </c>
      <c r="AP538" s="243">
        <f>IF($AL538="",0,'All Ticker P&amp;L'!E538)</f>
        <v>0</v>
      </c>
      <c r="AQ538" s="266">
        <f>IF($AL538="",0,'All Ticker P&amp;L'!J538*'All Ticker P&amp;L'!I538)</f>
        <v>0</v>
      </c>
      <c r="AR538" s="266">
        <f>IF($AL538="",0,'All Ticker P&amp;L'!L538)</f>
        <v>0</v>
      </c>
      <c r="AS538" s="267">
        <f>IF($AL538="",0,'All Ticker P&amp;L'!M538)</f>
        <v>0</v>
      </c>
      <c r="AT538" s="243" t="str">
        <f>IF($AL538="","",RANK(AR538,$AR$2:$AR$1001)+COUNTIF($AR$2:AR538,AR538)-1)</f>
        <v/>
      </c>
      <c r="AU538" s="243" t="str">
        <f>IF($AL538="","",RANK(AV538,$AV$2:$AV$1001)+COUNTIF($AV$2:AV538,AV538)-1)</f>
        <v/>
      </c>
      <c r="AV538" s="266">
        <f t="shared" si="48"/>
        <v>0</v>
      </c>
    </row>
    <row r="539" spans="26:48" ht="15" customHeight="1" x14ac:dyDescent="0.2">
      <c r="Z539" s="243" t="str">
        <f>Shares!A539</f>
        <v/>
      </c>
      <c r="AA539" s="243" t="str">
        <f>Shares!B539</f>
        <v/>
      </c>
      <c r="AB539" s="243" t="str">
        <f>Shares!C539</f>
        <v/>
      </c>
      <c r="AC539" s="243" t="str">
        <f>Shares!D539</f>
        <v/>
      </c>
      <c r="AD539" s="243">
        <f>IF($Z539="",0,Shares!E539)</f>
        <v>0</v>
      </c>
      <c r="AE539" s="266">
        <f>IF($Z539="",0,Shares!J539*Shares!I539)</f>
        <v>0</v>
      </c>
      <c r="AF539" s="267">
        <f t="shared" si="47"/>
        <v>0</v>
      </c>
      <c r="AG539" s="266">
        <f>IF($Z539="",0,Shares!L539)</f>
        <v>0</v>
      </c>
      <c r="AH539" s="267">
        <f>IF($Z539="",0,Shares!M539)</f>
        <v>0</v>
      </c>
      <c r="AI539" s="243" t="str">
        <f>IF($Z539="","",RANK(AE539,$AE$2:$AE$1001)+COUNTIF($AE$2:AE539,AE539)-1)</f>
        <v/>
      </c>
      <c r="AJ539" s="243" t="str">
        <f>IF($AD539&lt;0,COUNT($AJ$1:AJ538)+1,"")</f>
        <v/>
      </c>
      <c r="AL539" s="243" t="str">
        <f>'All Ticker P&amp;L'!A539</f>
        <v/>
      </c>
      <c r="AM539" s="243" t="str">
        <f>'All Ticker P&amp;L'!B539</f>
        <v/>
      </c>
      <c r="AN539" s="243" t="str">
        <f>'All Ticker P&amp;L'!C539</f>
        <v/>
      </c>
      <c r="AO539" s="243" t="str">
        <f>'All Ticker P&amp;L'!D539</f>
        <v/>
      </c>
      <c r="AP539" s="243">
        <f>IF($AL539="",0,'All Ticker P&amp;L'!E539)</f>
        <v>0</v>
      </c>
      <c r="AQ539" s="266">
        <f>IF($AL539="",0,'All Ticker P&amp;L'!J539*'All Ticker P&amp;L'!I539)</f>
        <v>0</v>
      </c>
      <c r="AR539" s="266">
        <f>IF($AL539="",0,'All Ticker P&amp;L'!L539)</f>
        <v>0</v>
      </c>
      <c r="AS539" s="267">
        <f>IF($AL539="",0,'All Ticker P&amp;L'!M539)</f>
        <v>0</v>
      </c>
      <c r="AT539" s="243" t="str">
        <f>IF($AL539="","",RANK(AR539,$AR$2:$AR$1001)+COUNTIF($AR$2:AR539,AR539)-1)</f>
        <v/>
      </c>
      <c r="AU539" s="243" t="str">
        <f>IF($AL539="","",RANK(AV539,$AV$2:$AV$1001)+COUNTIF($AV$2:AV539,AV539)-1)</f>
        <v/>
      </c>
      <c r="AV539" s="266">
        <f t="shared" si="48"/>
        <v>0</v>
      </c>
    </row>
    <row r="540" spans="26:48" ht="15" customHeight="1" x14ac:dyDescent="0.2">
      <c r="Z540" s="243" t="str">
        <f>Shares!A540</f>
        <v/>
      </c>
      <c r="AA540" s="243" t="str">
        <f>Shares!B540</f>
        <v/>
      </c>
      <c r="AB540" s="243" t="str">
        <f>Shares!C540</f>
        <v/>
      </c>
      <c r="AC540" s="243" t="str">
        <f>Shares!D540</f>
        <v/>
      </c>
      <c r="AD540" s="243">
        <f>IF($Z540="",0,Shares!E540)</f>
        <v>0</v>
      </c>
      <c r="AE540" s="266">
        <f>IF($Z540="",0,Shares!J540*Shares!I540)</f>
        <v>0</v>
      </c>
      <c r="AF540" s="267">
        <f t="shared" si="47"/>
        <v>0</v>
      </c>
      <c r="AG540" s="266">
        <f>IF($Z540="",0,Shares!L540)</f>
        <v>0</v>
      </c>
      <c r="AH540" s="267">
        <f>IF($Z540="",0,Shares!M540)</f>
        <v>0</v>
      </c>
      <c r="AI540" s="243" t="str">
        <f>IF($Z540="","",RANK(AE540,$AE$2:$AE$1001)+COUNTIF($AE$2:AE540,AE540)-1)</f>
        <v/>
      </c>
      <c r="AJ540" s="243" t="str">
        <f>IF($AD540&lt;0,COUNT($AJ$1:AJ539)+1,"")</f>
        <v/>
      </c>
      <c r="AL540" s="243" t="str">
        <f>'All Ticker P&amp;L'!A540</f>
        <v/>
      </c>
      <c r="AM540" s="243" t="str">
        <f>'All Ticker P&amp;L'!B540</f>
        <v/>
      </c>
      <c r="AN540" s="243" t="str">
        <f>'All Ticker P&amp;L'!C540</f>
        <v/>
      </c>
      <c r="AO540" s="243" t="str">
        <f>'All Ticker P&amp;L'!D540</f>
        <v/>
      </c>
      <c r="AP540" s="243">
        <f>IF($AL540="",0,'All Ticker P&amp;L'!E540)</f>
        <v>0</v>
      </c>
      <c r="AQ540" s="266">
        <f>IF($AL540="",0,'All Ticker P&amp;L'!J540*'All Ticker P&amp;L'!I540)</f>
        <v>0</v>
      </c>
      <c r="AR540" s="266">
        <f>IF($AL540="",0,'All Ticker P&amp;L'!L540)</f>
        <v>0</v>
      </c>
      <c r="AS540" s="267">
        <f>IF($AL540="",0,'All Ticker P&amp;L'!M540)</f>
        <v>0</v>
      </c>
      <c r="AT540" s="243" t="str">
        <f>IF($AL540="","",RANK(AR540,$AR$2:$AR$1001)+COUNTIF($AR$2:AR540,AR540)-1)</f>
        <v/>
      </c>
      <c r="AU540" s="243" t="str">
        <f>IF($AL540="","",RANK(AV540,$AV$2:$AV$1001)+COUNTIF($AV$2:AV540,AV540)-1)</f>
        <v/>
      </c>
      <c r="AV540" s="266">
        <f t="shared" si="48"/>
        <v>0</v>
      </c>
    </row>
    <row r="541" spans="26:48" ht="15" customHeight="1" x14ac:dyDescent="0.2">
      <c r="Z541" s="243" t="str">
        <f>Shares!A541</f>
        <v/>
      </c>
      <c r="AA541" s="243" t="str">
        <f>Shares!B541</f>
        <v/>
      </c>
      <c r="AB541" s="243" t="str">
        <f>Shares!C541</f>
        <v/>
      </c>
      <c r="AC541" s="243" t="str">
        <f>Shares!D541</f>
        <v/>
      </c>
      <c r="AD541" s="243">
        <f>IF($Z541="",0,Shares!E541)</f>
        <v>0</v>
      </c>
      <c r="AE541" s="266">
        <f>IF($Z541="",0,Shares!J541*Shares!I541)</f>
        <v>0</v>
      </c>
      <c r="AF541" s="267">
        <f t="shared" si="47"/>
        <v>0</v>
      </c>
      <c r="AG541" s="266">
        <f>IF($Z541="",0,Shares!L541)</f>
        <v>0</v>
      </c>
      <c r="AH541" s="267">
        <f>IF($Z541="",0,Shares!M541)</f>
        <v>0</v>
      </c>
      <c r="AI541" s="243" t="str">
        <f>IF($Z541="","",RANK(AE541,$AE$2:$AE$1001)+COUNTIF($AE$2:AE541,AE541)-1)</f>
        <v/>
      </c>
      <c r="AJ541" s="243" t="str">
        <f>IF($AD541&lt;0,COUNT($AJ$1:AJ540)+1,"")</f>
        <v/>
      </c>
      <c r="AL541" s="243" t="str">
        <f>'All Ticker P&amp;L'!A541</f>
        <v/>
      </c>
      <c r="AM541" s="243" t="str">
        <f>'All Ticker P&amp;L'!B541</f>
        <v/>
      </c>
      <c r="AN541" s="243" t="str">
        <f>'All Ticker P&amp;L'!C541</f>
        <v/>
      </c>
      <c r="AO541" s="243" t="str">
        <f>'All Ticker P&amp;L'!D541</f>
        <v/>
      </c>
      <c r="AP541" s="243">
        <f>IF($AL541="",0,'All Ticker P&amp;L'!E541)</f>
        <v>0</v>
      </c>
      <c r="AQ541" s="266">
        <f>IF($AL541="",0,'All Ticker P&amp;L'!J541*'All Ticker P&amp;L'!I541)</f>
        <v>0</v>
      </c>
      <c r="AR541" s="266">
        <f>IF($AL541="",0,'All Ticker P&amp;L'!L541)</f>
        <v>0</v>
      </c>
      <c r="AS541" s="267">
        <f>IF($AL541="",0,'All Ticker P&amp;L'!M541)</f>
        <v>0</v>
      </c>
      <c r="AT541" s="243" t="str">
        <f>IF($AL541="","",RANK(AR541,$AR$2:$AR$1001)+COUNTIF($AR$2:AR541,AR541)-1)</f>
        <v/>
      </c>
      <c r="AU541" s="243" t="str">
        <f>IF($AL541="","",RANK(AV541,$AV$2:$AV$1001)+COUNTIF($AV$2:AV541,AV541)-1)</f>
        <v/>
      </c>
      <c r="AV541" s="266">
        <f t="shared" si="48"/>
        <v>0</v>
      </c>
    </row>
    <row r="542" spans="26:48" ht="15" customHeight="1" x14ac:dyDescent="0.2">
      <c r="Z542" s="243" t="str">
        <f>Shares!A542</f>
        <v/>
      </c>
      <c r="AA542" s="243" t="str">
        <f>Shares!B542</f>
        <v/>
      </c>
      <c r="AB542" s="243" t="str">
        <f>Shares!C542</f>
        <v/>
      </c>
      <c r="AC542" s="243" t="str">
        <f>Shares!D542</f>
        <v/>
      </c>
      <c r="AD542" s="243">
        <f>IF($Z542="",0,Shares!E542)</f>
        <v>0</v>
      </c>
      <c r="AE542" s="266">
        <f>IF($Z542="",0,Shares!J542*Shares!I542)</f>
        <v>0</v>
      </c>
      <c r="AF542" s="267">
        <f t="shared" si="47"/>
        <v>0</v>
      </c>
      <c r="AG542" s="266">
        <f>IF($Z542="",0,Shares!L542)</f>
        <v>0</v>
      </c>
      <c r="AH542" s="267">
        <f>IF($Z542="",0,Shares!M542)</f>
        <v>0</v>
      </c>
      <c r="AI542" s="243" t="str">
        <f>IF($Z542="","",RANK(AE542,$AE$2:$AE$1001)+COUNTIF($AE$2:AE542,AE542)-1)</f>
        <v/>
      </c>
      <c r="AJ542" s="243" t="str">
        <f>IF($AD542&lt;0,COUNT($AJ$1:AJ541)+1,"")</f>
        <v/>
      </c>
      <c r="AL542" s="243" t="str">
        <f>'All Ticker P&amp;L'!A542</f>
        <v/>
      </c>
      <c r="AM542" s="243" t="str">
        <f>'All Ticker P&amp;L'!B542</f>
        <v/>
      </c>
      <c r="AN542" s="243" t="str">
        <f>'All Ticker P&amp;L'!C542</f>
        <v/>
      </c>
      <c r="AO542" s="243" t="str">
        <f>'All Ticker P&amp;L'!D542</f>
        <v/>
      </c>
      <c r="AP542" s="243">
        <f>IF($AL542="",0,'All Ticker P&amp;L'!E542)</f>
        <v>0</v>
      </c>
      <c r="AQ542" s="266">
        <f>IF($AL542="",0,'All Ticker P&amp;L'!J542*'All Ticker P&amp;L'!I542)</f>
        <v>0</v>
      </c>
      <c r="AR542" s="266">
        <f>IF($AL542="",0,'All Ticker P&amp;L'!L542)</f>
        <v>0</v>
      </c>
      <c r="AS542" s="267">
        <f>IF($AL542="",0,'All Ticker P&amp;L'!M542)</f>
        <v>0</v>
      </c>
      <c r="AT542" s="243" t="str">
        <f>IF($AL542="","",RANK(AR542,$AR$2:$AR$1001)+COUNTIF($AR$2:AR542,AR542)-1)</f>
        <v/>
      </c>
      <c r="AU542" s="243" t="str">
        <f>IF($AL542="","",RANK(AV542,$AV$2:$AV$1001)+COUNTIF($AV$2:AV542,AV542)-1)</f>
        <v/>
      </c>
      <c r="AV542" s="266">
        <f t="shared" si="48"/>
        <v>0</v>
      </c>
    </row>
    <row r="543" spans="26:48" ht="15" customHeight="1" x14ac:dyDescent="0.2">
      <c r="Z543" s="243" t="str">
        <f>Shares!A543</f>
        <v/>
      </c>
      <c r="AA543" s="243" t="str">
        <f>Shares!B543</f>
        <v/>
      </c>
      <c r="AB543" s="243" t="str">
        <f>Shares!C543</f>
        <v/>
      </c>
      <c r="AC543" s="243" t="str">
        <f>Shares!D543</f>
        <v/>
      </c>
      <c r="AD543" s="243">
        <f>IF($Z543="",0,Shares!E543)</f>
        <v>0</v>
      </c>
      <c r="AE543" s="266">
        <f>IF($Z543="",0,Shares!J543*Shares!I543)</f>
        <v>0</v>
      </c>
      <c r="AF543" s="267">
        <f t="shared" si="47"/>
        <v>0</v>
      </c>
      <c r="AG543" s="266">
        <f>IF($Z543="",0,Shares!L543)</f>
        <v>0</v>
      </c>
      <c r="AH543" s="267">
        <f>IF($Z543="",0,Shares!M543)</f>
        <v>0</v>
      </c>
      <c r="AI543" s="243" t="str">
        <f>IF($Z543="","",RANK(AE543,$AE$2:$AE$1001)+COUNTIF($AE$2:AE543,AE543)-1)</f>
        <v/>
      </c>
      <c r="AJ543" s="243" t="str">
        <f>IF($AD543&lt;0,COUNT($AJ$1:AJ542)+1,"")</f>
        <v/>
      </c>
      <c r="AL543" s="243" t="str">
        <f>'All Ticker P&amp;L'!A543</f>
        <v/>
      </c>
      <c r="AM543" s="243" t="str">
        <f>'All Ticker P&amp;L'!B543</f>
        <v/>
      </c>
      <c r="AN543" s="243" t="str">
        <f>'All Ticker P&amp;L'!C543</f>
        <v/>
      </c>
      <c r="AO543" s="243" t="str">
        <f>'All Ticker P&amp;L'!D543</f>
        <v/>
      </c>
      <c r="AP543" s="243">
        <f>IF($AL543="",0,'All Ticker P&amp;L'!E543)</f>
        <v>0</v>
      </c>
      <c r="AQ543" s="266">
        <f>IF($AL543="",0,'All Ticker P&amp;L'!J543*'All Ticker P&amp;L'!I543)</f>
        <v>0</v>
      </c>
      <c r="AR543" s="266">
        <f>IF($AL543="",0,'All Ticker P&amp;L'!L543)</f>
        <v>0</v>
      </c>
      <c r="AS543" s="267">
        <f>IF($AL543="",0,'All Ticker P&amp;L'!M543)</f>
        <v>0</v>
      </c>
      <c r="AT543" s="243" t="str">
        <f>IF($AL543="","",RANK(AR543,$AR$2:$AR$1001)+COUNTIF($AR$2:AR543,AR543)-1)</f>
        <v/>
      </c>
      <c r="AU543" s="243" t="str">
        <f>IF($AL543="","",RANK(AV543,$AV$2:$AV$1001)+COUNTIF($AV$2:AV543,AV543)-1)</f>
        <v/>
      </c>
      <c r="AV543" s="266">
        <f t="shared" si="48"/>
        <v>0</v>
      </c>
    </row>
    <row r="544" spans="26:48" ht="15" customHeight="1" x14ac:dyDescent="0.2">
      <c r="Z544" s="243" t="str">
        <f>Shares!A544</f>
        <v/>
      </c>
      <c r="AA544" s="243" t="str">
        <f>Shares!B544</f>
        <v/>
      </c>
      <c r="AB544" s="243" t="str">
        <f>Shares!C544</f>
        <v/>
      </c>
      <c r="AC544" s="243" t="str">
        <f>Shares!D544</f>
        <v/>
      </c>
      <c r="AD544" s="243">
        <f>IF($Z544="",0,Shares!E544)</f>
        <v>0</v>
      </c>
      <c r="AE544" s="266">
        <f>IF($Z544="",0,Shares!J544*Shares!I544)</f>
        <v>0</v>
      </c>
      <c r="AF544" s="267">
        <f t="shared" si="47"/>
        <v>0</v>
      </c>
      <c r="AG544" s="266">
        <f>IF($Z544="",0,Shares!L544)</f>
        <v>0</v>
      </c>
      <c r="AH544" s="267">
        <f>IF($Z544="",0,Shares!M544)</f>
        <v>0</v>
      </c>
      <c r="AI544" s="243" t="str">
        <f>IF($Z544="","",RANK(AE544,$AE$2:$AE$1001)+COUNTIF($AE$2:AE544,AE544)-1)</f>
        <v/>
      </c>
      <c r="AJ544" s="243" t="str">
        <f>IF($AD544&lt;0,COUNT($AJ$1:AJ543)+1,"")</f>
        <v/>
      </c>
      <c r="AL544" s="243" t="str">
        <f>'All Ticker P&amp;L'!A544</f>
        <v/>
      </c>
      <c r="AM544" s="243" t="str">
        <f>'All Ticker P&amp;L'!B544</f>
        <v/>
      </c>
      <c r="AN544" s="243" t="str">
        <f>'All Ticker P&amp;L'!C544</f>
        <v/>
      </c>
      <c r="AO544" s="243" t="str">
        <f>'All Ticker P&amp;L'!D544</f>
        <v/>
      </c>
      <c r="AP544" s="243">
        <f>IF($AL544="",0,'All Ticker P&amp;L'!E544)</f>
        <v>0</v>
      </c>
      <c r="AQ544" s="266">
        <f>IF($AL544="",0,'All Ticker P&amp;L'!J544*'All Ticker P&amp;L'!I544)</f>
        <v>0</v>
      </c>
      <c r="AR544" s="266">
        <f>IF($AL544="",0,'All Ticker P&amp;L'!L544)</f>
        <v>0</v>
      </c>
      <c r="AS544" s="267">
        <f>IF($AL544="",0,'All Ticker P&amp;L'!M544)</f>
        <v>0</v>
      </c>
      <c r="AT544" s="243" t="str">
        <f>IF($AL544="","",RANK(AR544,$AR$2:$AR$1001)+COUNTIF($AR$2:AR544,AR544)-1)</f>
        <v/>
      </c>
      <c r="AU544" s="243" t="str">
        <f>IF($AL544="","",RANK(AV544,$AV$2:$AV$1001)+COUNTIF($AV$2:AV544,AV544)-1)</f>
        <v/>
      </c>
      <c r="AV544" s="266">
        <f t="shared" si="48"/>
        <v>0</v>
      </c>
    </row>
    <row r="545" spans="26:48" ht="15" customHeight="1" x14ac:dyDescent="0.2">
      <c r="Z545" s="243" t="str">
        <f>Shares!A545</f>
        <v/>
      </c>
      <c r="AA545" s="243" t="str">
        <f>Shares!B545</f>
        <v/>
      </c>
      <c r="AB545" s="243" t="str">
        <f>Shares!C545</f>
        <v/>
      </c>
      <c r="AC545" s="243" t="str">
        <f>Shares!D545</f>
        <v/>
      </c>
      <c r="AD545" s="243">
        <f>IF($Z545="",0,Shares!E545)</f>
        <v>0</v>
      </c>
      <c r="AE545" s="266">
        <f>IF($Z545="",0,Shares!J545*Shares!I545)</f>
        <v>0</v>
      </c>
      <c r="AF545" s="267">
        <f t="shared" si="47"/>
        <v>0</v>
      </c>
      <c r="AG545" s="266">
        <f>IF($Z545="",0,Shares!L545)</f>
        <v>0</v>
      </c>
      <c r="AH545" s="267">
        <f>IF($Z545="",0,Shares!M545)</f>
        <v>0</v>
      </c>
      <c r="AI545" s="243" t="str">
        <f>IF($Z545="","",RANK(AE545,$AE$2:$AE$1001)+COUNTIF($AE$2:AE545,AE545)-1)</f>
        <v/>
      </c>
      <c r="AJ545" s="243" t="str">
        <f>IF($AD545&lt;0,COUNT($AJ$1:AJ544)+1,"")</f>
        <v/>
      </c>
      <c r="AL545" s="243" t="str">
        <f>'All Ticker P&amp;L'!A545</f>
        <v/>
      </c>
      <c r="AM545" s="243" t="str">
        <f>'All Ticker P&amp;L'!B545</f>
        <v/>
      </c>
      <c r="AN545" s="243" t="str">
        <f>'All Ticker P&amp;L'!C545</f>
        <v/>
      </c>
      <c r="AO545" s="243" t="str">
        <f>'All Ticker P&amp;L'!D545</f>
        <v/>
      </c>
      <c r="AP545" s="243">
        <f>IF($AL545="",0,'All Ticker P&amp;L'!E545)</f>
        <v>0</v>
      </c>
      <c r="AQ545" s="266">
        <f>IF($AL545="",0,'All Ticker P&amp;L'!J545*'All Ticker P&amp;L'!I545)</f>
        <v>0</v>
      </c>
      <c r="AR545" s="266">
        <f>IF($AL545="",0,'All Ticker P&amp;L'!L545)</f>
        <v>0</v>
      </c>
      <c r="AS545" s="267">
        <f>IF($AL545="",0,'All Ticker P&amp;L'!M545)</f>
        <v>0</v>
      </c>
      <c r="AT545" s="243" t="str">
        <f>IF($AL545="","",RANK(AR545,$AR$2:$AR$1001)+COUNTIF($AR$2:AR545,AR545)-1)</f>
        <v/>
      </c>
      <c r="AU545" s="243" t="str">
        <f>IF($AL545="","",RANK(AV545,$AV$2:$AV$1001)+COUNTIF($AV$2:AV545,AV545)-1)</f>
        <v/>
      </c>
      <c r="AV545" s="266">
        <f t="shared" si="48"/>
        <v>0</v>
      </c>
    </row>
    <row r="546" spans="26:48" ht="15" customHeight="1" x14ac:dyDescent="0.2">
      <c r="Z546" s="243" t="str">
        <f>Shares!A546</f>
        <v/>
      </c>
      <c r="AA546" s="243" t="str">
        <f>Shares!B546</f>
        <v/>
      </c>
      <c r="AB546" s="243" t="str">
        <f>Shares!C546</f>
        <v/>
      </c>
      <c r="AC546" s="243" t="str">
        <f>Shares!D546</f>
        <v/>
      </c>
      <c r="AD546" s="243">
        <f>IF($Z546="",0,Shares!E546)</f>
        <v>0</v>
      </c>
      <c r="AE546" s="266">
        <f>IF($Z546="",0,Shares!J546*Shares!I546)</f>
        <v>0</v>
      </c>
      <c r="AF546" s="267">
        <f t="shared" si="47"/>
        <v>0</v>
      </c>
      <c r="AG546" s="266">
        <f>IF($Z546="",0,Shares!L546)</f>
        <v>0</v>
      </c>
      <c r="AH546" s="267">
        <f>IF($Z546="",0,Shares!M546)</f>
        <v>0</v>
      </c>
      <c r="AI546" s="243" t="str">
        <f>IF($Z546="","",RANK(AE546,$AE$2:$AE$1001)+COUNTIF($AE$2:AE546,AE546)-1)</f>
        <v/>
      </c>
      <c r="AJ546" s="243" t="str">
        <f>IF($AD546&lt;0,COUNT($AJ$1:AJ545)+1,"")</f>
        <v/>
      </c>
      <c r="AL546" s="243" t="str">
        <f>'All Ticker P&amp;L'!A546</f>
        <v/>
      </c>
      <c r="AM546" s="243" t="str">
        <f>'All Ticker P&amp;L'!B546</f>
        <v/>
      </c>
      <c r="AN546" s="243" t="str">
        <f>'All Ticker P&amp;L'!C546</f>
        <v/>
      </c>
      <c r="AO546" s="243" t="str">
        <f>'All Ticker P&amp;L'!D546</f>
        <v/>
      </c>
      <c r="AP546" s="243">
        <f>IF($AL546="",0,'All Ticker P&amp;L'!E546)</f>
        <v>0</v>
      </c>
      <c r="AQ546" s="266">
        <f>IF($AL546="",0,'All Ticker P&amp;L'!J546*'All Ticker P&amp;L'!I546)</f>
        <v>0</v>
      </c>
      <c r="AR546" s="266">
        <f>IF($AL546="",0,'All Ticker P&amp;L'!L546)</f>
        <v>0</v>
      </c>
      <c r="AS546" s="267">
        <f>IF($AL546="",0,'All Ticker P&amp;L'!M546)</f>
        <v>0</v>
      </c>
      <c r="AT546" s="243" t="str">
        <f>IF($AL546="","",RANK(AR546,$AR$2:$AR$1001)+COUNTIF($AR$2:AR546,AR546)-1)</f>
        <v/>
      </c>
      <c r="AU546" s="243" t="str">
        <f>IF($AL546="","",RANK(AV546,$AV$2:$AV$1001)+COUNTIF($AV$2:AV546,AV546)-1)</f>
        <v/>
      </c>
      <c r="AV546" s="266">
        <f t="shared" si="48"/>
        <v>0</v>
      </c>
    </row>
    <row r="547" spans="26:48" ht="15" customHeight="1" x14ac:dyDescent="0.2">
      <c r="Z547" s="243" t="str">
        <f>Shares!A547</f>
        <v/>
      </c>
      <c r="AA547" s="243" t="str">
        <f>Shares!B547</f>
        <v/>
      </c>
      <c r="AB547" s="243" t="str">
        <f>Shares!C547</f>
        <v/>
      </c>
      <c r="AC547" s="243" t="str">
        <f>Shares!D547</f>
        <v/>
      </c>
      <c r="AD547" s="243">
        <f>IF($Z547="",0,Shares!E547)</f>
        <v>0</v>
      </c>
      <c r="AE547" s="266">
        <f>IF($Z547="",0,Shares!J547*Shares!I547)</f>
        <v>0</v>
      </c>
      <c r="AF547" s="267">
        <f t="shared" si="47"/>
        <v>0</v>
      </c>
      <c r="AG547" s="266">
        <f>IF($Z547="",0,Shares!L547)</f>
        <v>0</v>
      </c>
      <c r="AH547" s="267">
        <f>IF($Z547="",0,Shares!M547)</f>
        <v>0</v>
      </c>
      <c r="AI547" s="243" t="str">
        <f>IF($Z547="","",RANK(AE547,$AE$2:$AE$1001)+COUNTIF($AE$2:AE547,AE547)-1)</f>
        <v/>
      </c>
      <c r="AJ547" s="243" t="str">
        <f>IF($AD547&lt;0,COUNT($AJ$1:AJ546)+1,"")</f>
        <v/>
      </c>
      <c r="AL547" s="243" t="str">
        <f>'All Ticker P&amp;L'!A547</f>
        <v/>
      </c>
      <c r="AM547" s="243" t="str">
        <f>'All Ticker P&amp;L'!B547</f>
        <v/>
      </c>
      <c r="AN547" s="243" t="str">
        <f>'All Ticker P&amp;L'!C547</f>
        <v/>
      </c>
      <c r="AO547" s="243" t="str">
        <f>'All Ticker P&amp;L'!D547</f>
        <v/>
      </c>
      <c r="AP547" s="243">
        <f>IF($AL547="",0,'All Ticker P&amp;L'!E547)</f>
        <v>0</v>
      </c>
      <c r="AQ547" s="266">
        <f>IF($AL547="",0,'All Ticker P&amp;L'!J547*'All Ticker P&amp;L'!I547)</f>
        <v>0</v>
      </c>
      <c r="AR547" s="266">
        <f>IF($AL547="",0,'All Ticker P&amp;L'!L547)</f>
        <v>0</v>
      </c>
      <c r="AS547" s="267">
        <f>IF($AL547="",0,'All Ticker P&amp;L'!M547)</f>
        <v>0</v>
      </c>
      <c r="AT547" s="243" t="str">
        <f>IF($AL547="","",RANK(AR547,$AR$2:$AR$1001)+COUNTIF($AR$2:AR547,AR547)-1)</f>
        <v/>
      </c>
      <c r="AU547" s="243" t="str">
        <f>IF($AL547="","",RANK(AV547,$AV$2:$AV$1001)+COUNTIF($AV$2:AV547,AV547)-1)</f>
        <v/>
      </c>
      <c r="AV547" s="266">
        <f t="shared" si="48"/>
        <v>0</v>
      </c>
    </row>
    <row r="548" spans="26:48" ht="15" customHeight="1" x14ac:dyDescent="0.2">
      <c r="Z548" s="243" t="str">
        <f>Shares!A548</f>
        <v/>
      </c>
      <c r="AA548" s="243" t="str">
        <f>Shares!B548</f>
        <v/>
      </c>
      <c r="AB548" s="243" t="str">
        <f>Shares!C548</f>
        <v/>
      </c>
      <c r="AC548" s="243" t="str">
        <f>Shares!D548</f>
        <v/>
      </c>
      <c r="AD548" s="243">
        <f>IF($Z548="",0,Shares!E548)</f>
        <v>0</v>
      </c>
      <c r="AE548" s="266">
        <f>IF($Z548="",0,Shares!J548*Shares!I548)</f>
        <v>0</v>
      </c>
      <c r="AF548" s="267">
        <f t="shared" si="47"/>
        <v>0</v>
      </c>
      <c r="AG548" s="266">
        <f>IF($Z548="",0,Shares!L548)</f>
        <v>0</v>
      </c>
      <c r="AH548" s="267">
        <f>IF($Z548="",0,Shares!M548)</f>
        <v>0</v>
      </c>
      <c r="AI548" s="243" t="str">
        <f>IF($Z548="","",RANK(AE548,$AE$2:$AE$1001)+COUNTIF($AE$2:AE548,AE548)-1)</f>
        <v/>
      </c>
      <c r="AJ548" s="243" t="str">
        <f>IF($AD548&lt;0,COUNT($AJ$1:AJ547)+1,"")</f>
        <v/>
      </c>
      <c r="AL548" s="243" t="str">
        <f>'All Ticker P&amp;L'!A548</f>
        <v/>
      </c>
      <c r="AM548" s="243" t="str">
        <f>'All Ticker P&amp;L'!B548</f>
        <v/>
      </c>
      <c r="AN548" s="243" t="str">
        <f>'All Ticker P&amp;L'!C548</f>
        <v/>
      </c>
      <c r="AO548" s="243" t="str">
        <f>'All Ticker P&amp;L'!D548</f>
        <v/>
      </c>
      <c r="AP548" s="243">
        <f>IF($AL548="",0,'All Ticker P&amp;L'!E548)</f>
        <v>0</v>
      </c>
      <c r="AQ548" s="266">
        <f>IF($AL548="",0,'All Ticker P&amp;L'!J548*'All Ticker P&amp;L'!I548)</f>
        <v>0</v>
      </c>
      <c r="AR548" s="266">
        <f>IF($AL548="",0,'All Ticker P&amp;L'!L548)</f>
        <v>0</v>
      </c>
      <c r="AS548" s="267">
        <f>IF($AL548="",0,'All Ticker P&amp;L'!M548)</f>
        <v>0</v>
      </c>
      <c r="AT548" s="243" t="str">
        <f>IF($AL548="","",RANK(AR548,$AR$2:$AR$1001)+COUNTIF($AR$2:AR548,AR548)-1)</f>
        <v/>
      </c>
      <c r="AU548" s="243" t="str">
        <f>IF($AL548="","",RANK(AV548,$AV$2:$AV$1001)+COUNTIF($AV$2:AV548,AV548)-1)</f>
        <v/>
      </c>
      <c r="AV548" s="266">
        <f t="shared" si="48"/>
        <v>0</v>
      </c>
    </row>
    <row r="549" spans="26:48" ht="15" customHeight="1" x14ac:dyDescent="0.2">
      <c r="Z549" s="243" t="str">
        <f>Shares!A549</f>
        <v/>
      </c>
      <c r="AA549" s="243" t="str">
        <f>Shares!B549</f>
        <v/>
      </c>
      <c r="AB549" s="243" t="str">
        <f>Shares!C549</f>
        <v/>
      </c>
      <c r="AC549" s="243" t="str">
        <f>Shares!D549</f>
        <v/>
      </c>
      <c r="AD549" s="243">
        <f>IF($Z549="",0,Shares!E549)</f>
        <v>0</v>
      </c>
      <c r="AE549" s="266">
        <f>IF($Z549="",0,Shares!J549*Shares!I549)</f>
        <v>0</v>
      </c>
      <c r="AF549" s="267">
        <f t="shared" si="47"/>
        <v>0</v>
      </c>
      <c r="AG549" s="266">
        <f>IF($Z549="",0,Shares!L549)</f>
        <v>0</v>
      </c>
      <c r="AH549" s="267">
        <f>IF($Z549="",0,Shares!M549)</f>
        <v>0</v>
      </c>
      <c r="AI549" s="243" t="str">
        <f>IF($Z549="","",RANK(AE549,$AE$2:$AE$1001)+COUNTIF($AE$2:AE549,AE549)-1)</f>
        <v/>
      </c>
      <c r="AJ549" s="243" t="str">
        <f>IF($AD549&lt;0,COUNT($AJ$1:AJ548)+1,"")</f>
        <v/>
      </c>
      <c r="AL549" s="243" t="str">
        <f>'All Ticker P&amp;L'!A549</f>
        <v/>
      </c>
      <c r="AM549" s="243" t="str">
        <f>'All Ticker P&amp;L'!B549</f>
        <v/>
      </c>
      <c r="AN549" s="243" t="str">
        <f>'All Ticker P&amp;L'!C549</f>
        <v/>
      </c>
      <c r="AO549" s="243" t="str">
        <f>'All Ticker P&amp;L'!D549</f>
        <v/>
      </c>
      <c r="AP549" s="243">
        <f>IF($AL549="",0,'All Ticker P&amp;L'!E549)</f>
        <v>0</v>
      </c>
      <c r="AQ549" s="266">
        <f>IF($AL549="",0,'All Ticker P&amp;L'!J549*'All Ticker P&amp;L'!I549)</f>
        <v>0</v>
      </c>
      <c r="AR549" s="266">
        <f>IF($AL549="",0,'All Ticker P&amp;L'!L549)</f>
        <v>0</v>
      </c>
      <c r="AS549" s="267">
        <f>IF($AL549="",0,'All Ticker P&amp;L'!M549)</f>
        <v>0</v>
      </c>
      <c r="AT549" s="243" t="str">
        <f>IF($AL549="","",RANK(AR549,$AR$2:$AR$1001)+COUNTIF($AR$2:AR549,AR549)-1)</f>
        <v/>
      </c>
      <c r="AU549" s="243" t="str">
        <f>IF($AL549="","",RANK(AV549,$AV$2:$AV$1001)+COUNTIF($AV$2:AV549,AV549)-1)</f>
        <v/>
      </c>
      <c r="AV549" s="266">
        <f t="shared" si="48"/>
        <v>0</v>
      </c>
    </row>
    <row r="550" spans="26:48" ht="15" customHeight="1" x14ac:dyDescent="0.2">
      <c r="Z550" s="243" t="str">
        <f>Shares!A550</f>
        <v/>
      </c>
      <c r="AA550" s="243" t="str">
        <f>Shares!B550</f>
        <v/>
      </c>
      <c r="AB550" s="243" t="str">
        <f>Shares!C550</f>
        <v/>
      </c>
      <c r="AC550" s="243" t="str">
        <f>Shares!D550</f>
        <v/>
      </c>
      <c r="AD550" s="243">
        <f>IF($Z550="",0,Shares!E550)</f>
        <v>0</v>
      </c>
      <c r="AE550" s="266">
        <f>IF($Z550="",0,Shares!J550*Shares!I550)</f>
        <v>0</v>
      </c>
      <c r="AF550" s="267">
        <f t="shared" si="47"/>
        <v>0</v>
      </c>
      <c r="AG550" s="266">
        <f>IF($Z550="",0,Shares!L550)</f>
        <v>0</v>
      </c>
      <c r="AH550" s="267">
        <f>IF($Z550="",0,Shares!M550)</f>
        <v>0</v>
      </c>
      <c r="AI550" s="243" t="str">
        <f>IF($Z550="","",RANK(AE550,$AE$2:$AE$1001)+COUNTIF($AE$2:AE550,AE550)-1)</f>
        <v/>
      </c>
      <c r="AJ550" s="243" t="str">
        <f>IF($AD550&lt;0,COUNT($AJ$1:AJ549)+1,"")</f>
        <v/>
      </c>
      <c r="AL550" s="243" t="str">
        <f>'All Ticker P&amp;L'!A550</f>
        <v/>
      </c>
      <c r="AM550" s="243" t="str">
        <f>'All Ticker P&amp;L'!B550</f>
        <v/>
      </c>
      <c r="AN550" s="243" t="str">
        <f>'All Ticker P&amp;L'!C550</f>
        <v/>
      </c>
      <c r="AO550" s="243" t="str">
        <f>'All Ticker P&amp;L'!D550</f>
        <v/>
      </c>
      <c r="AP550" s="243">
        <f>IF($AL550="",0,'All Ticker P&amp;L'!E550)</f>
        <v>0</v>
      </c>
      <c r="AQ550" s="266">
        <f>IF($AL550="",0,'All Ticker P&amp;L'!J550*'All Ticker P&amp;L'!I550)</f>
        <v>0</v>
      </c>
      <c r="AR550" s="266">
        <f>IF($AL550="",0,'All Ticker P&amp;L'!L550)</f>
        <v>0</v>
      </c>
      <c r="AS550" s="267">
        <f>IF($AL550="",0,'All Ticker P&amp;L'!M550)</f>
        <v>0</v>
      </c>
      <c r="AT550" s="243" t="str">
        <f>IF($AL550="","",RANK(AR550,$AR$2:$AR$1001)+COUNTIF($AR$2:AR550,AR550)-1)</f>
        <v/>
      </c>
      <c r="AU550" s="243" t="str">
        <f>IF($AL550="","",RANK(AV550,$AV$2:$AV$1001)+COUNTIF($AV$2:AV550,AV550)-1)</f>
        <v/>
      </c>
      <c r="AV550" s="266">
        <f t="shared" si="48"/>
        <v>0</v>
      </c>
    </row>
    <row r="551" spans="26:48" ht="15" customHeight="1" x14ac:dyDescent="0.2">
      <c r="Z551" s="243" t="str">
        <f>Shares!A551</f>
        <v/>
      </c>
      <c r="AA551" s="243" t="str">
        <f>Shares!B551</f>
        <v/>
      </c>
      <c r="AB551" s="243" t="str">
        <f>Shares!C551</f>
        <v/>
      </c>
      <c r="AC551" s="243" t="str">
        <f>Shares!D551</f>
        <v/>
      </c>
      <c r="AD551" s="243">
        <f>IF($Z551="",0,Shares!E551)</f>
        <v>0</v>
      </c>
      <c r="AE551" s="266">
        <f>IF($Z551="",0,Shares!J551*Shares!I551)</f>
        <v>0</v>
      </c>
      <c r="AF551" s="267">
        <f t="shared" si="47"/>
        <v>0</v>
      </c>
      <c r="AG551" s="266">
        <f>IF($Z551="",0,Shares!L551)</f>
        <v>0</v>
      </c>
      <c r="AH551" s="267">
        <f>IF($Z551="",0,Shares!M551)</f>
        <v>0</v>
      </c>
      <c r="AI551" s="243" t="str">
        <f>IF($Z551="","",RANK(AE551,$AE$2:$AE$1001)+COUNTIF($AE$2:AE551,AE551)-1)</f>
        <v/>
      </c>
      <c r="AJ551" s="243" t="str">
        <f>IF($AD551&lt;0,COUNT($AJ$1:AJ550)+1,"")</f>
        <v/>
      </c>
      <c r="AL551" s="243" t="str">
        <f>'All Ticker P&amp;L'!A551</f>
        <v/>
      </c>
      <c r="AM551" s="243" t="str">
        <f>'All Ticker P&amp;L'!B551</f>
        <v/>
      </c>
      <c r="AN551" s="243" t="str">
        <f>'All Ticker P&amp;L'!C551</f>
        <v/>
      </c>
      <c r="AO551" s="243" t="str">
        <f>'All Ticker P&amp;L'!D551</f>
        <v/>
      </c>
      <c r="AP551" s="243">
        <f>IF($AL551="",0,'All Ticker P&amp;L'!E551)</f>
        <v>0</v>
      </c>
      <c r="AQ551" s="266">
        <f>IF($AL551="",0,'All Ticker P&amp;L'!J551*'All Ticker P&amp;L'!I551)</f>
        <v>0</v>
      </c>
      <c r="AR551" s="266">
        <f>IF($AL551="",0,'All Ticker P&amp;L'!L551)</f>
        <v>0</v>
      </c>
      <c r="AS551" s="267">
        <f>IF($AL551="",0,'All Ticker P&amp;L'!M551)</f>
        <v>0</v>
      </c>
      <c r="AT551" s="243" t="str">
        <f>IF($AL551="","",RANK(AR551,$AR$2:$AR$1001)+COUNTIF($AR$2:AR551,AR551)-1)</f>
        <v/>
      </c>
      <c r="AU551" s="243" t="str">
        <f>IF($AL551="","",RANK(AV551,$AV$2:$AV$1001)+COUNTIF($AV$2:AV551,AV551)-1)</f>
        <v/>
      </c>
      <c r="AV551" s="266">
        <f t="shared" si="48"/>
        <v>0</v>
      </c>
    </row>
    <row r="552" spans="26:48" ht="15" customHeight="1" x14ac:dyDescent="0.2">
      <c r="Z552" s="243" t="str">
        <f>Shares!A552</f>
        <v/>
      </c>
      <c r="AA552" s="243" t="str">
        <f>Shares!B552</f>
        <v/>
      </c>
      <c r="AB552" s="243" t="str">
        <f>Shares!C552</f>
        <v/>
      </c>
      <c r="AC552" s="243" t="str">
        <f>Shares!D552</f>
        <v/>
      </c>
      <c r="AD552" s="243">
        <f>IF($Z552="",0,Shares!E552)</f>
        <v>0</v>
      </c>
      <c r="AE552" s="266">
        <f>IF($Z552="",0,Shares!J552*Shares!I552)</f>
        <v>0</v>
      </c>
      <c r="AF552" s="267">
        <f t="shared" si="47"/>
        <v>0</v>
      </c>
      <c r="AG552" s="266">
        <f>IF($Z552="",0,Shares!L552)</f>
        <v>0</v>
      </c>
      <c r="AH552" s="267">
        <f>IF($Z552="",0,Shares!M552)</f>
        <v>0</v>
      </c>
      <c r="AI552" s="243" t="str">
        <f>IF($Z552="","",RANK(AE552,$AE$2:$AE$1001)+COUNTIF($AE$2:AE552,AE552)-1)</f>
        <v/>
      </c>
      <c r="AJ552" s="243" t="str">
        <f>IF($AD552&lt;0,COUNT($AJ$1:AJ551)+1,"")</f>
        <v/>
      </c>
      <c r="AL552" s="243" t="str">
        <f>'All Ticker P&amp;L'!A552</f>
        <v/>
      </c>
      <c r="AM552" s="243" t="str">
        <f>'All Ticker P&amp;L'!B552</f>
        <v/>
      </c>
      <c r="AN552" s="243" t="str">
        <f>'All Ticker P&amp;L'!C552</f>
        <v/>
      </c>
      <c r="AO552" s="243" t="str">
        <f>'All Ticker P&amp;L'!D552</f>
        <v/>
      </c>
      <c r="AP552" s="243">
        <f>IF($AL552="",0,'All Ticker P&amp;L'!E552)</f>
        <v>0</v>
      </c>
      <c r="AQ552" s="266">
        <f>IF($AL552="",0,'All Ticker P&amp;L'!J552*'All Ticker P&amp;L'!I552)</f>
        <v>0</v>
      </c>
      <c r="AR552" s="266">
        <f>IF($AL552="",0,'All Ticker P&amp;L'!L552)</f>
        <v>0</v>
      </c>
      <c r="AS552" s="267">
        <f>IF($AL552="",0,'All Ticker P&amp;L'!M552)</f>
        <v>0</v>
      </c>
      <c r="AT552" s="243" t="str">
        <f>IF($AL552="","",RANK(AR552,$AR$2:$AR$1001)+COUNTIF($AR$2:AR552,AR552)-1)</f>
        <v/>
      </c>
      <c r="AU552" s="243" t="str">
        <f>IF($AL552="","",RANK(AV552,$AV$2:$AV$1001)+COUNTIF($AV$2:AV552,AV552)-1)</f>
        <v/>
      </c>
      <c r="AV552" s="266">
        <f t="shared" si="48"/>
        <v>0</v>
      </c>
    </row>
    <row r="553" spans="26:48" ht="15" customHeight="1" x14ac:dyDescent="0.2">
      <c r="Z553" s="243" t="str">
        <f>Shares!A553</f>
        <v/>
      </c>
      <c r="AA553" s="243" t="str">
        <f>Shares!B553</f>
        <v/>
      </c>
      <c r="AB553" s="243" t="str">
        <f>Shares!C553</f>
        <v/>
      </c>
      <c r="AC553" s="243" t="str">
        <f>Shares!D553</f>
        <v/>
      </c>
      <c r="AD553" s="243">
        <f>IF($Z553="",0,Shares!E553)</f>
        <v>0</v>
      </c>
      <c r="AE553" s="266">
        <f>IF($Z553="",0,Shares!J553*Shares!I553)</f>
        <v>0</v>
      </c>
      <c r="AF553" s="267">
        <f t="shared" si="47"/>
        <v>0</v>
      </c>
      <c r="AG553" s="266">
        <f>IF($Z553="",0,Shares!L553)</f>
        <v>0</v>
      </c>
      <c r="AH553" s="267">
        <f>IF($Z553="",0,Shares!M553)</f>
        <v>0</v>
      </c>
      <c r="AI553" s="243" t="str">
        <f>IF($Z553="","",RANK(AE553,$AE$2:$AE$1001)+COUNTIF($AE$2:AE553,AE553)-1)</f>
        <v/>
      </c>
      <c r="AJ553" s="243" t="str">
        <f>IF($AD553&lt;0,COUNT($AJ$1:AJ552)+1,"")</f>
        <v/>
      </c>
      <c r="AL553" s="243" t="str">
        <f>'All Ticker P&amp;L'!A553</f>
        <v/>
      </c>
      <c r="AM553" s="243" t="str">
        <f>'All Ticker P&amp;L'!B553</f>
        <v/>
      </c>
      <c r="AN553" s="243" t="str">
        <f>'All Ticker P&amp;L'!C553</f>
        <v/>
      </c>
      <c r="AO553" s="243" t="str">
        <f>'All Ticker P&amp;L'!D553</f>
        <v/>
      </c>
      <c r="AP553" s="243">
        <f>IF($AL553="",0,'All Ticker P&amp;L'!E553)</f>
        <v>0</v>
      </c>
      <c r="AQ553" s="266">
        <f>IF($AL553="",0,'All Ticker P&amp;L'!J553*'All Ticker P&amp;L'!I553)</f>
        <v>0</v>
      </c>
      <c r="AR553" s="266">
        <f>IF($AL553="",0,'All Ticker P&amp;L'!L553)</f>
        <v>0</v>
      </c>
      <c r="AS553" s="267">
        <f>IF($AL553="",0,'All Ticker P&amp;L'!M553)</f>
        <v>0</v>
      </c>
      <c r="AT553" s="243" t="str">
        <f>IF($AL553="","",RANK(AR553,$AR$2:$AR$1001)+COUNTIF($AR$2:AR553,AR553)-1)</f>
        <v/>
      </c>
      <c r="AU553" s="243" t="str">
        <f>IF($AL553="","",RANK(AV553,$AV$2:$AV$1001)+COUNTIF($AV$2:AV553,AV553)-1)</f>
        <v/>
      </c>
      <c r="AV553" s="266">
        <f t="shared" si="48"/>
        <v>0</v>
      </c>
    </row>
    <row r="554" spans="26:48" ht="15" customHeight="1" x14ac:dyDescent="0.2">
      <c r="Z554" s="243" t="str">
        <f>Shares!A554</f>
        <v/>
      </c>
      <c r="AA554" s="243" t="str">
        <f>Shares!B554</f>
        <v/>
      </c>
      <c r="AB554" s="243" t="str">
        <f>Shares!C554</f>
        <v/>
      </c>
      <c r="AC554" s="243" t="str">
        <f>Shares!D554</f>
        <v/>
      </c>
      <c r="AD554" s="243">
        <f>IF($Z554="",0,Shares!E554)</f>
        <v>0</v>
      </c>
      <c r="AE554" s="266">
        <f>IF($Z554="",0,Shares!J554*Shares!I554)</f>
        <v>0</v>
      </c>
      <c r="AF554" s="267">
        <f t="shared" si="47"/>
        <v>0</v>
      </c>
      <c r="AG554" s="266">
        <f>IF($Z554="",0,Shares!L554)</f>
        <v>0</v>
      </c>
      <c r="AH554" s="267">
        <f>IF($Z554="",0,Shares!M554)</f>
        <v>0</v>
      </c>
      <c r="AI554" s="243" t="str">
        <f>IF($Z554="","",RANK(AE554,$AE$2:$AE$1001)+COUNTIF($AE$2:AE554,AE554)-1)</f>
        <v/>
      </c>
      <c r="AJ554" s="243" t="str">
        <f>IF($AD554&lt;0,COUNT($AJ$1:AJ553)+1,"")</f>
        <v/>
      </c>
      <c r="AL554" s="243" t="str">
        <f>'All Ticker P&amp;L'!A554</f>
        <v/>
      </c>
      <c r="AM554" s="243" t="str">
        <f>'All Ticker P&amp;L'!B554</f>
        <v/>
      </c>
      <c r="AN554" s="243" t="str">
        <f>'All Ticker P&amp;L'!C554</f>
        <v/>
      </c>
      <c r="AO554" s="243" t="str">
        <f>'All Ticker P&amp;L'!D554</f>
        <v/>
      </c>
      <c r="AP554" s="243">
        <f>IF($AL554="",0,'All Ticker P&amp;L'!E554)</f>
        <v>0</v>
      </c>
      <c r="AQ554" s="266">
        <f>IF($AL554="",0,'All Ticker P&amp;L'!J554*'All Ticker P&amp;L'!I554)</f>
        <v>0</v>
      </c>
      <c r="AR554" s="266">
        <f>IF($AL554="",0,'All Ticker P&amp;L'!L554)</f>
        <v>0</v>
      </c>
      <c r="AS554" s="267">
        <f>IF($AL554="",0,'All Ticker P&amp;L'!M554)</f>
        <v>0</v>
      </c>
      <c r="AT554" s="243" t="str">
        <f>IF($AL554="","",RANK(AR554,$AR$2:$AR$1001)+COUNTIF($AR$2:AR554,AR554)-1)</f>
        <v/>
      </c>
      <c r="AU554" s="243" t="str">
        <f>IF($AL554="","",RANK(AV554,$AV$2:$AV$1001)+COUNTIF($AV$2:AV554,AV554)-1)</f>
        <v/>
      </c>
      <c r="AV554" s="266">
        <f t="shared" si="48"/>
        <v>0</v>
      </c>
    </row>
    <row r="555" spans="26:48" ht="15" customHeight="1" x14ac:dyDescent="0.2">
      <c r="Z555" s="243" t="str">
        <f>Shares!A555</f>
        <v/>
      </c>
      <c r="AA555" s="243" t="str">
        <f>Shares!B555</f>
        <v/>
      </c>
      <c r="AB555" s="243" t="str">
        <f>Shares!C555</f>
        <v/>
      </c>
      <c r="AC555" s="243" t="str">
        <f>Shares!D555</f>
        <v/>
      </c>
      <c r="AD555" s="243">
        <f>IF($Z555="",0,Shares!E555)</f>
        <v>0</v>
      </c>
      <c r="AE555" s="266">
        <f>IF($Z555="",0,Shares!J555*Shares!I555)</f>
        <v>0</v>
      </c>
      <c r="AF555" s="267">
        <f t="shared" si="47"/>
        <v>0</v>
      </c>
      <c r="AG555" s="266">
        <f>IF($Z555="",0,Shares!L555)</f>
        <v>0</v>
      </c>
      <c r="AH555" s="267">
        <f>IF($Z555="",0,Shares!M555)</f>
        <v>0</v>
      </c>
      <c r="AI555" s="243" t="str">
        <f>IF($Z555="","",RANK(AE555,$AE$2:$AE$1001)+COUNTIF($AE$2:AE555,AE555)-1)</f>
        <v/>
      </c>
      <c r="AJ555" s="243" t="str">
        <f>IF($AD555&lt;0,COUNT($AJ$1:AJ554)+1,"")</f>
        <v/>
      </c>
      <c r="AL555" s="243" t="str">
        <f>'All Ticker P&amp;L'!A555</f>
        <v/>
      </c>
      <c r="AM555" s="243" t="str">
        <f>'All Ticker P&amp;L'!B555</f>
        <v/>
      </c>
      <c r="AN555" s="243" t="str">
        <f>'All Ticker P&amp;L'!C555</f>
        <v/>
      </c>
      <c r="AO555" s="243" t="str">
        <f>'All Ticker P&amp;L'!D555</f>
        <v/>
      </c>
      <c r="AP555" s="243">
        <f>IF($AL555="",0,'All Ticker P&amp;L'!E555)</f>
        <v>0</v>
      </c>
      <c r="AQ555" s="266">
        <f>IF($AL555="",0,'All Ticker P&amp;L'!J555*'All Ticker P&amp;L'!I555)</f>
        <v>0</v>
      </c>
      <c r="AR555" s="266">
        <f>IF($AL555="",0,'All Ticker P&amp;L'!L555)</f>
        <v>0</v>
      </c>
      <c r="AS555" s="267">
        <f>IF($AL555="",0,'All Ticker P&amp;L'!M555)</f>
        <v>0</v>
      </c>
      <c r="AT555" s="243" t="str">
        <f>IF($AL555="","",RANK(AR555,$AR$2:$AR$1001)+COUNTIF($AR$2:AR555,AR555)-1)</f>
        <v/>
      </c>
      <c r="AU555" s="243" t="str">
        <f>IF($AL555="","",RANK(AV555,$AV$2:$AV$1001)+COUNTIF($AV$2:AV555,AV555)-1)</f>
        <v/>
      </c>
      <c r="AV555" s="266">
        <f t="shared" si="48"/>
        <v>0</v>
      </c>
    </row>
    <row r="556" spans="26:48" ht="15" customHeight="1" x14ac:dyDescent="0.2">
      <c r="Z556" s="243" t="str">
        <f>Shares!A556</f>
        <v/>
      </c>
      <c r="AA556" s="243" t="str">
        <f>Shares!B556</f>
        <v/>
      </c>
      <c r="AB556" s="243" t="str">
        <f>Shares!C556</f>
        <v/>
      </c>
      <c r="AC556" s="243" t="str">
        <f>Shares!D556</f>
        <v/>
      </c>
      <c r="AD556" s="243">
        <f>IF($Z556="",0,Shares!E556)</f>
        <v>0</v>
      </c>
      <c r="AE556" s="266">
        <f>IF($Z556="",0,Shares!J556*Shares!I556)</f>
        <v>0</v>
      </c>
      <c r="AF556" s="267">
        <f t="shared" si="47"/>
        <v>0</v>
      </c>
      <c r="AG556" s="266">
        <f>IF($Z556="",0,Shares!L556)</f>
        <v>0</v>
      </c>
      <c r="AH556" s="267">
        <f>IF($Z556="",0,Shares!M556)</f>
        <v>0</v>
      </c>
      <c r="AI556" s="243" t="str">
        <f>IF($Z556="","",RANK(AE556,$AE$2:$AE$1001)+COUNTIF($AE$2:AE556,AE556)-1)</f>
        <v/>
      </c>
      <c r="AJ556" s="243" t="str">
        <f>IF($AD556&lt;0,COUNT($AJ$1:AJ555)+1,"")</f>
        <v/>
      </c>
      <c r="AL556" s="243" t="str">
        <f>'All Ticker P&amp;L'!A556</f>
        <v/>
      </c>
      <c r="AM556" s="243" t="str">
        <f>'All Ticker P&amp;L'!B556</f>
        <v/>
      </c>
      <c r="AN556" s="243" t="str">
        <f>'All Ticker P&amp;L'!C556</f>
        <v/>
      </c>
      <c r="AO556" s="243" t="str">
        <f>'All Ticker P&amp;L'!D556</f>
        <v/>
      </c>
      <c r="AP556" s="243">
        <f>IF($AL556="",0,'All Ticker P&amp;L'!E556)</f>
        <v>0</v>
      </c>
      <c r="AQ556" s="266">
        <f>IF($AL556="",0,'All Ticker P&amp;L'!J556*'All Ticker P&amp;L'!I556)</f>
        <v>0</v>
      </c>
      <c r="AR556" s="266">
        <f>IF($AL556="",0,'All Ticker P&amp;L'!L556)</f>
        <v>0</v>
      </c>
      <c r="AS556" s="267">
        <f>IF($AL556="",0,'All Ticker P&amp;L'!M556)</f>
        <v>0</v>
      </c>
      <c r="AT556" s="243" t="str">
        <f>IF($AL556="","",RANK(AR556,$AR$2:$AR$1001)+COUNTIF($AR$2:AR556,AR556)-1)</f>
        <v/>
      </c>
      <c r="AU556" s="243" t="str">
        <f>IF($AL556="","",RANK(AV556,$AV$2:$AV$1001)+COUNTIF($AV$2:AV556,AV556)-1)</f>
        <v/>
      </c>
      <c r="AV556" s="266">
        <f t="shared" si="48"/>
        <v>0</v>
      </c>
    </row>
    <row r="557" spans="26:48" ht="15" customHeight="1" x14ac:dyDescent="0.2">
      <c r="Z557" s="243" t="str">
        <f>Shares!A557</f>
        <v/>
      </c>
      <c r="AA557" s="243" t="str">
        <f>Shares!B557</f>
        <v/>
      </c>
      <c r="AB557" s="243" t="str">
        <f>Shares!C557</f>
        <v/>
      </c>
      <c r="AC557" s="243" t="str">
        <f>Shares!D557</f>
        <v/>
      </c>
      <c r="AD557" s="243">
        <f>IF($Z557="",0,Shares!E557)</f>
        <v>0</v>
      </c>
      <c r="AE557" s="266">
        <f>IF($Z557="",0,Shares!J557*Shares!I557)</f>
        <v>0</v>
      </c>
      <c r="AF557" s="267">
        <f t="shared" si="47"/>
        <v>0</v>
      </c>
      <c r="AG557" s="266">
        <f>IF($Z557="",0,Shares!L557)</f>
        <v>0</v>
      </c>
      <c r="AH557" s="267">
        <f>IF($Z557="",0,Shares!M557)</f>
        <v>0</v>
      </c>
      <c r="AI557" s="243" t="str">
        <f>IF($Z557="","",RANK(AE557,$AE$2:$AE$1001)+COUNTIF($AE$2:AE557,AE557)-1)</f>
        <v/>
      </c>
      <c r="AJ557" s="243" t="str">
        <f>IF($AD557&lt;0,COUNT($AJ$1:AJ556)+1,"")</f>
        <v/>
      </c>
      <c r="AL557" s="243" t="str">
        <f>'All Ticker P&amp;L'!A557</f>
        <v/>
      </c>
      <c r="AM557" s="243" t="str">
        <f>'All Ticker P&amp;L'!B557</f>
        <v/>
      </c>
      <c r="AN557" s="243" t="str">
        <f>'All Ticker P&amp;L'!C557</f>
        <v/>
      </c>
      <c r="AO557" s="243" t="str">
        <f>'All Ticker P&amp;L'!D557</f>
        <v/>
      </c>
      <c r="AP557" s="243">
        <f>IF($AL557="",0,'All Ticker P&amp;L'!E557)</f>
        <v>0</v>
      </c>
      <c r="AQ557" s="266">
        <f>IF($AL557="",0,'All Ticker P&amp;L'!J557*'All Ticker P&amp;L'!I557)</f>
        <v>0</v>
      </c>
      <c r="AR557" s="266">
        <f>IF($AL557="",0,'All Ticker P&amp;L'!L557)</f>
        <v>0</v>
      </c>
      <c r="AS557" s="267">
        <f>IF($AL557="",0,'All Ticker P&amp;L'!M557)</f>
        <v>0</v>
      </c>
      <c r="AT557" s="243" t="str">
        <f>IF($AL557="","",RANK(AR557,$AR$2:$AR$1001)+COUNTIF($AR$2:AR557,AR557)-1)</f>
        <v/>
      </c>
      <c r="AU557" s="243" t="str">
        <f>IF($AL557="","",RANK(AV557,$AV$2:$AV$1001)+COUNTIF($AV$2:AV557,AV557)-1)</f>
        <v/>
      </c>
      <c r="AV557" s="266">
        <f t="shared" si="48"/>
        <v>0</v>
      </c>
    </row>
    <row r="558" spans="26:48" ht="15" customHeight="1" x14ac:dyDescent="0.2">
      <c r="Z558" s="243" t="str">
        <f>Shares!A558</f>
        <v/>
      </c>
      <c r="AA558" s="243" t="str">
        <f>Shares!B558</f>
        <v/>
      </c>
      <c r="AB558" s="243" t="str">
        <f>Shares!C558</f>
        <v/>
      </c>
      <c r="AC558" s="243" t="str">
        <f>Shares!D558</f>
        <v/>
      </c>
      <c r="AD558" s="243">
        <f>IF($Z558="",0,Shares!E558)</f>
        <v>0</v>
      </c>
      <c r="AE558" s="266">
        <f>IF($Z558="",0,Shares!J558*Shares!I558)</f>
        <v>0</v>
      </c>
      <c r="AF558" s="267">
        <f t="shared" si="47"/>
        <v>0</v>
      </c>
      <c r="AG558" s="266">
        <f>IF($Z558="",0,Shares!L558)</f>
        <v>0</v>
      </c>
      <c r="AH558" s="267">
        <f>IF($Z558="",0,Shares!M558)</f>
        <v>0</v>
      </c>
      <c r="AI558" s="243" t="str">
        <f>IF($Z558="","",RANK(AE558,$AE$2:$AE$1001)+COUNTIF($AE$2:AE558,AE558)-1)</f>
        <v/>
      </c>
      <c r="AJ558" s="243" t="str">
        <f>IF($AD558&lt;0,COUNT($AJ$1:AJ557)+1,"")</f>
        <v/>
      </c>
      <c r="AL558" s="243" t="str">
        <f>'All Ticker P&amp;L'!A558</f>
        <v/>
      </c>
      <c r="AM558" s="243" t="str">
        <f>'All Ticker P&amp;L'!B558</f>
        <v/>
      </c>
      <c r="AN558" s="243" t="str">
        <f>'All Ticker P&amp;L'!C558</f>
        <v/>
      </c>
      <c r="AO558" s="243" t="str">
        <f>'All Ticker P&amp;L'!D558</f>
        <v/>
      </c>
      <c r="AP558" s="243">
        <f>IF($AL558="",0,'All Ticker P&amp;L'!E558)</f>
        <v>0</v>
      </c>
      <c r="AQ558" s="266">
        <f>IF($AL558="",0,'All Ticker P&amp;L'!J558*'All Ticker P&amp;L'!I558)</f>
        <v>0</v>
      </c>
      <c r="AR558" s="266">
        <f>IF($AL558="",0,'All Ticker P&amp;L'!L558)</f>
        <v>0</v>
      </c>
      <c r="AS558" s="267">
        <f>IF($AL558="",0,'All Ticker P&amp;L'!M558)</f>
        <v>0</v>
      </c>
      <c r="AT558" s="243" t="str">
        <f>IF($AL558="","",RANK(AR558,$AR$2:$AR$1001)+COUNTIF($AR$2:AR558,AR558)-1)</f>
        <v/>
      </c>
      <c r="AU558" s="243" t="str">
        <f>IF($AL558="","",RANK(AV558,$AV$2:$AV$1001)+COUNTIF($AV$2:AV558,AV558)-1)</f>
        <v/>
      </c>
      <c r="AV558" s="266">
        <f t="shared" si="48"/>
        <v>0</v>
      </c>
    </row>
    <row r="559" spans="26:48" ht="15" customHeight="1" x14ac:dyDescent="0.2">
      <c r="Z559" s="243" t="str">
        <f>Shares!A559</f>
        <v/>
      </c>
      <c r="AA559" s="243" t="str">
        <f>Shares!B559</f>
        <v/>
      </c>
      <c r="AB559" s="243" t="str">
        <f>Shares!C559</f>
        <v/>
      </c>
      <c r="AC559" s="243" t="str">
        <f>Shares!D559</f>
        <v/>
      </c>
      <c r="AD559" s="243">
        <f>IF($Z559="",0,Shares!E559)</f>
        <v>0</v>
      </c>
      <c r="AE559" s="266">
        <f>IF($Z559="",0,Shares!J559*Shares!I559)</f>
        <v>0</v>
      </c>
      <c r="AF559" s="267">
        <f t="shared" si="47"/>
        <v>0</v>
      </c>
      <c r="AG559" s="266">
        <f>IF($Z559="",0,Shares!L559)</f>
        <v>0</v>
      </c>
      <c r="AH559" s="267">
        <f>IF($Z559="",0,Shares!M559)</f>
        <v>0</v>
      </c>
      <c r="AI559" s="243" t="str">
        <f>IF($Z559="","",RANK(AE559,$AE$2:$AE$1001)+COUNTIF($AE$2:AE559,AE559)-1)</f>
        <v/>
      </c>
      <c r="AJ559" s="243" t="str">
        <f>IF($AD559&lt;0,COUNT($AJ$1:AJ558)+1,"")</f>
        <v/>
      </c>
      <c r="AL559" s="243" t="str">
        <f>'All Ticker P&amp;L'!A559</f>
        <v/>
      </c>
      <c r="AM559" s="243" t="str">
        <f>'All Ticker P&amp;L'!B559</f>
        <v/>
      </c>
      <c r="AN559" s="243" t="str">
        <f>'All Ticker P&amp;L'!C559</f>
        <v/>
      </c>
      <c r="AO559" s="243" t="str">
        <f>'All Ticker P&amp;L'!D559</f>
        <v/>
      </c>
      <c r="AP559" s="243">
        <f>IF($AL559="",0,'All Ticker P&amp;L'!E559)</f>
        <v>0</v>
      </c>
      <c r="AQ559" s="266">
        <f>IF($AL559="",0,'All Ticker P&amp;L'!J559*'All Ticker P&amp;L'!I559)</f>
        <v>0</v>
      </c>
      <c r="AR559" s="266">
        <f>IF($AL559="",0,'All Ticker P&amp;L'!L559)</f>
        <v>0</v>
      </c>
      <c r="AS559" s="267">
        <f>IF($AL559="",0,'All Ticker P&amp;L'!M559)</f>
        <v>0</v>
      </c>
      <c r="AT559" s="243" t="str">
        <f>IF($AL559="","",RANK(AR559,$AR$2:$AR$1001)+COUNTIF($AR$2:AR559,AR559)-1)</f>
        <v/>
      </c>
      <c r="AU559" s="243" t="str">
        <f>IF($AL559="","",RANK(AV559,$AV$2:$AV$1001)+COUNTIF($AV$2:AV559,AV559)-1)</f>
        <v/>
      </c>
      <c r="AV559" s="266">
        <f t="shared" si="48"/>
        <v>0</v>
      </c>
    </row>
    <row r="560" spans="26:48" ht="15" customHeight="1" x14ac:dyDescent="0.2">
      <c r="Z560" s="243" t="str">
        <f>Shares!A560</f>
        <v/>
      </c>
      <c r="AA560" s="243" t="str">
        <f>Shares!B560</f>
        <v/>
      </c>
      <c r="AB560" s="243" t="str">
        <f>Shares!C560</f>
        <v/>
      </c>
      <c r="AC560" s="243" t="str">
        <f>Shares!D560</f>
        <v/>
      </c>
      <c r="AD560" s="243">
        <f>IF($Z560="",0,Shares!E560)</f>
        <v>0</v>
      </c>
      <c r="AE560" s="266">
        <f>IF($Z560="",0,Shares!J560*Shares!I560)</f>
        <v>0</v>
      </c>
      <c r="AF560" s="267">
        <f t="shared" si="47"/>
        <v>0</v>
      </c>
      <c r="AG560" s="266">
        <f>IF($Z560="",0,Shares!L560)</f>
        <v>0</v>
      </c>
      <c r="AH560" s="267">
        <f>IF($Z560="",0,Shares!M560)</f>
        <v>0</v>
      </c>
      <c r="AI560" s="243" t="str">
        <f>IF($Z560="","",RANK(AE560,$AE$2:$AE$1001)+COUNTIF($AE$2:AE560,AE560)-1)</f>
        <v/>
      </c>
      <c r="AJ560" s="243" t="str">
        <f>IF($AD560&lt;0,COUNT($AJ$1:AJ559)+1,"")</f>
        <v/>
      </c>
      <c r="AL560" s="243" t="str">
        <f>'All Ticker P&amp;L'!A560</f>
        <v/>
      </c>
      <c r="AM560" s="243" t="str">
        <f>'All Ticker P&amp;L'!B560</f>
        <v/>
      </c>
      <c r="AN560" s="243" t="str">
        <f>'All Ticker P&amp;L'!C560</f>
        <v/>
      </c>
      <c r="AO560" s="243" t="str">
        <f>'All Ticker P&amp;L'!D560</f>
        <v/>
      </c>
      <c r="AP560" s="243">
        <f>IF($AL560="",0,'All Ticker P&amp;L'!E560)</f>
        <v>0</v>
      </c>
      <c r="AQ560" s="266">
        <f>IF($AL560="",0,'All Ticker P&amp;L'!J560*'All Ticker P&amp;L'!I560)</f>
        <v>0</v>
      </c>
      <c r="AR560" s="266">
        <f>IF($AL560="",0,'All Ticker P&amp;L'!L560)</f>
        <v>0</v>
      </c>
      <c r="AS560" s="267">
        <f>IF($AL560="",0,'All Ticker P&amp;L'!M560)</f>
        <v>0</v>
      </c>
      <c r="AT560" s="243" t="str">
        <f>IF($AL560="","",RANK(AR560,$AR$2:$AR$1001)+COUNTIF($AR$2:AR560,AR560)-1)</f>
        <v/>
      </c>
      <c r="AU560" s="243" t="str">
        <f>IF($AL560="","",RANK(AV560,$AV$2:$AV$1001)+COUNTIF($AV$2:AV560,AV560)-1)</f>
        <v/>
      </c>
      <c r="AV560" s="266">
        <f t="shared" si="48"/>
        <v>0</v>
      </c>
    </row>
    <row r="561" spans="26:48" ht="15" customHeight="1" x14ac:dyDescent="0.2">
      <c r="Z561" s="243" t="str">
        <f>Shares!A561</f>
        <v/>
      </c>
      <c r="AA561" s="243" t="str">
        <f>Shares!B561</f>
        <v/>
      </c>
      <c r="AB561" s="243" t="str">
        <f>Shares!C561</f>
        <v/>
      </c>
      <c r="AC561" s="243" t="str">
        <f>Shares!D561</f>
        <v/>
      </c>
      <c r="AD561" s="243">
        <f>IF($Z561="",0,Shares!E561)</f>
        <v>0</v>
      </c>
      <c r="AE561" s="266">
        <f>IF($Z561="",0,Shares!J561*Shares!I561)</f>
        <v>0</v>
      </c>
      <c r="AF561" s="267">
        <f t="shared" si="47"/>
        <v>0</v>
      </c>
      <c r="AG561" s="266">
        <f>IF($Z561="",0,Shares!L561)</f>
        <v>0</v>
      </c>
      <c r="AH561" s="267">
        <f>IF($Z561="",0,Shares!M561)</f>
        <v>0</v>
      </c>
      <c r="AI561" s="243" t="str">
        <f>IF($Z561="","",RANK(AE561,$AE$2:$AE$1001)+COUNTIF($AE$2:AE561,AE561)-1)</f>
        <v/>
      </c>
      <c r="AJ561" s="243" t="str">
        <f>IF($AD561&lt;0,COUNT($AJ$1:AJ560)+1,"")</f>
        <v/>
      </c>
      <c r="AL561" s="243" t="str">
        <f>'All Ticker P&amp;L'!A561</f>
        <v/>
      </c>
      <c r="AM561" s="243" t="str">
        <f>'All Ticker P&amp;L'!B561</f>
        <v/>
      </c>
      <c r="AN561" s="243" t="str">
        <f>'All Ticker P&amp;L'!C561</f>
        <v/>
      </c>
      <c r="AO561" s="243" t="str">
        <f>'All Ticker P&amp;L'!D561</f>
        <v/>
      </c>
      <c r="AP561" s="243">
        <f>IF($AL561="",0,'All Ticker P&amp;L'!E561)</f>
        <v>0</v>
      </c>
      <c r="AQ561" s="266">
        <f>IF($AL561="",0,'All Ticker P&amp;L'!J561*'All Ticker P&amp;L'!I561)</f>
        <v>0</v>
      </c>
      <c r="AR561" s="266">
        <f>IF($AL561="",0,'All Ticker P&amp;L'!L561)</f>
        <v>0</v>
      </c>
      <c r="AS561" s="267">
        <f>IF($AL561="",0,'All Ticker P&amp;L'!M561)</f>
        <v>0</v>
      </c>
      <c r="AT561" s="243" t="str">
        <f>IF($AL561="","",RANK(AR561,$AR$2:$AR$1001)+COUNTIF($AR$2:AR561,AR561)-1)</f>
        <v/>
      </c>
      <c r="AU561" s="243" t="str">
        <f>IF($AL561="","",RANK(AV561,$AV$2:$AV$1001)+COUNTIF($AV$2:AV561,AV561)-1)</f>
        <v/>
      </c>
      <c r="AV561" s="266">
        <f t="shared" si="48"/>
        <v>0</v>
      </c>
    </row>
    <row r="562" spans="26:48" ht="15" customHeight="1" x14ac:dyDescent="0.2">
      <c r="Z562" s="243" t="str">
        <f>Shares!A562</f>
        <v/>
      </c>
      <c r="AA562" s="243" t="str">
        <f>Shares!B562</f>
        <v/>
      </c>
      <c r="AB562" s="243" t="str">
        <f>Shares!C562</f>
        <v/>
      </c>
      <c r="AC562" s="243" t="str">
        <f>Shares!D562</f>
        <v/>
      </c>
      <c r="AD562" s="243">
        <f>IF($Z562="",0,Shares!E562)</f>
        <v>0</v>
      </c>
      <c r="AE562" s="266">
        <f>IF($Z562="",0,Shares!J562*Shares!I562)</f>
        <v>0</v>
      </c>
      <c r="AF562" s="267">
        <f t="shared" si="47"/>
        <v>0</v>
      </c>
      <c r="AG562" s="266">
        <f>IF($Z562="",0,Shares!L562)</f>
        <v>0</v>
      </c>
      <c r="AH562" s="267">
        <f>IF($Z562="",0,Shares!M562)</f>
        <v>0</v>
      </c>
      <c r="AI562" s="243" t="str">
        <f>IF($Z562="","",RANK(AE562,$AE$2:$AE$1001)+COUNTIF($AE$2:AE562,AE562)-1)</f>
        <v/>
      </c>
      <c r="AJ562" s="243" t="str">
        <f>IF($AD562&lt;0,COUNT($AJ$1:AJ561)+1,"")</f>
        <v/>
      </c>
      <c r="AL562" s="243" t="str">
        <f>'All Ticker P&amp;L'!A562</f>
        <v/>
      </c>
      <c r="AM562" s="243" t="str">
        <f>'All Ticker P&amp;L'!B562</f>
        <v/>
      </c>
      <c r="AN562" s="243" t="str">
        <f>'All Ticker P&amp;L'!C562</f>
        <v/>
      </c>
      <c r="AO562" s="243" t="str">
        <f>'All Ticker P&amp;L'!D562</f>
        <v/>
      </c>
      <c r="AP562" s="243">
        <f>IF($AL562="",0,'All Ticker P&amp;L'!E562)</f>
        <v>0</v>
      </c>
      <c r="AQ562" s="266">
        <f>IF($AL562="",0,'All Ticker P&amp;L'!J562*'All Ticker P&amp;L'!I562)</f>
        <v>0</v>
      </c>
      <c r="AR562" s="266">
        <f>IF($AL562="",0,'All Ticker P&amp;L'!L562)</f>
        <v>0</v>
      </c>
      <c r="AS562" s="267">
        <f>IF($AL562="",0,'All Ticker P&amp;L'!M562)</f>
        <v>0</v>
      </c>
      <c r="AT562" s="243" t="str">
        <f>IF($AL562="","",RANK(AR562,$AR$2:$AR$1001)+COUNTIF($AR$2:AR562,AR562)-1)</f>
        <v/>
      </c>
      <c r="AU562" s="243" t="str">
        <f>IF($AL562="","",RANK(AV562,$AV$2:$AV$1001)+COUNTIF($AV$2:AV562,AV562)-1)</f>
        <v/>
      </c>
      <c r="AV562" s="266">
        <f t="shared" si="48"/>
        <v>0</v>
      </c>
    </row>
    <row r="563" spans="26:48" ht="15" customHeight="1" x14ac:dyDescent="0.2">
      <c r="Z563" s="243" t="str">
        <f>Shares!A563</f>
        <v/>
      </c>
      <c r="AA563" s="243" t="str">
        <f>Shares!B563</f>
        <v/>
      </c>
      <c r="AB563" s="243" t="str">
        <f>Shares!C563</f>
        <v/>
      </c>
      <c r="AC563" s="243" t="str">
        <f>Shares!D563</f>
        <v/>
      </c>
      <c r="AD563" s="243">
        <f>IF($Z563="",0,Shares!E563)</f>
        <v>0</v>
      </c>
      <c r="AE563" s="266">
        <f>IF($Z563="",0,Shares!J563*Shares!I563)</f>
        <v>0</v>
      </c>
      <c r="AF563" s="267">
        <f t="shared" si="47"/>
        <v>0</v>
      </c>
      <c r="AG563" s="266">
        <f>IF($Z563="",0,Shares!L563)</f>
        <v>0</v>
      </c>
      <c r="AH563" s="267">
        <f>IF($Z563="",0,Shares!M563)</f>
        <v>0</v>
      </c>
      <c r="AI563" s="243" t="str">
        <f>IF($Z563="","",RANK(AE563,$AE$2:$AE$1001)+COUNTIF($AE$2:AE563,AE563)-1)</f>
        <v/>
      </c>
      <c r="AJ563" s="243" t="str">
        <f>IF($AD563&lt;0,COUNT($AJ$1:AJ562)+1,"")</f>
        <v/>
      </c>
      <c r="AL563" s="243" t="str">
        <f>'All Ticker P&amp;L'!A563</f>
        <v/>
      </c>
      <c r="AM563" s="243" t="str">
        <f>'All Ticker P&amp;L'!B563</f>
        <v/>
      </c>
      <c r="AN563" s="243" t="str">
        <f>'All Ticker P&amp;L'!C563</f>
        <v/>
      </c>
      <c r="AO563" s="243" t="str">
        <f>'All Ticker P&amp;L'!D563</f>
        <v/>
      </c>
      <c r="AP563" s="243">
        <f>IF($AL563="",0,'All Ticker P&amp;L'!E563)</f>
        <v>0</v>
      </c>
      <c r="AQ563" s="266">
        <f>IF($AL563="",0,'All Ticker P&amp;L'!J563*'All Ticker P&amp;L'!I563)</f>
        <v>0</v>
      </c>
      <c r="AR563" s="266">
        <f>IF($AL563="",0,'All Ticker P&amp;L'!L563)</f>
        <v>0</v>
      </c>
      <c r="AS563" s="267">
        <f>IF($AL563="",0,'All Ticker P&amp;L'!M563)</f>
        <v>0</v>
      </c>
      <c r="AT563" s="243" t="str">
        <f>IF($AL563="","",RANK(AR563,$AR$2:$AR$1001)+COUNTIF($AR$2:AR563,AR563)-1)</f>
        <v/>
      </c>
      <c r="AU563" s="243" t="str">
        <f>IF($AL563="","",RANK(AV563,$AV$2:$AV$1001)+COUNTIF($AV$2:AV563,AV563)-1)</f>
        <v/>
      </c>
      <c r="AV563" s="266">
        <f t="shared" si="48"/>
        <v>0</v>
      </c>
    </row>
    <row r="564" spans="26:48" ht="15" customHeight="1" x14ac:dyDescent="0.2">
      <c r="Z564" s="243" t="str">
        <f>Shares!A564</f>
        <v/>
      </c>
      <c r="AA564" s="243" t="str">
        <f>Shares!B564</f>
        <v/>
      </c>
      <c r="AB564" s="243" t="str">
        <f>Shares!C564</f>
        <v/>
      </c>
      <c r="AC564" s="243" t="str">
        <f>Shares!D564</f>
        <v/>
      </c>
      <c r="AD564" s="243">
        <f>IF($Z564="",0,Shares!E564)</f>
        <v>0</v>
      </c>
      <c r="AE564" s="266">
        <f>IF($Z564="",0,Shares!J564*Shares!I564)</f>
        <v>0</v>
      </c>
      <c r="AF564" s="267">
        <f t="shared" si="47"/>
        <v>0</v>
      </c>
      <c r="AG564" s="266">
        <f>IF($Z564="",0,Shares!L564)</f>
        <v>0</v>
      </c>
      <c r="AH564" s="267">
        <f>IF($Z564="",0,Shares!M564)</f>
        <v>0</v>
      </c>
      <c r="AI564" s="243" t="str">
        <f>IF($Z564="","",RANK(AE564,$AE$2:$AE$1001)+COUNTIF($AE$2:AE564,AE564)-1)</f>
        <v/>
      </c>
      <c r="AJ564" s="243" t="str">
        <f>IF($AD564&lt;0,COUNT($AJ$1:AJ563)+1,"")</f>
        <v/>
      </c>
      <c r="AL564" s="243" t="str">
        <f>'All Ticker P&amp;L'!A564</f>
        <v/>
      </c>
      <c r="AM564" s="243" t="str">
        <f>'All Ticker P&amp;L'!B564</f>
        <v/>
      </c>
      <c r="AN564" s="243" t="str">
        <f>'All Ticker P&amp;L'!C564</f>
        <v/>
      </c>
      <c r="AO564" s="243" t="str">
        <f>'All Ticker P&amp;L'!D564</f>
        <v/>
      </c>
      <c r="AP564" s="243">
        <f>IF($AL564="",0,'All Ticker P&amp;L'!E564)</f>
        <v>0</v>
      </c>
      <c r="AQ564" s="266">
        <f>IF($AL564="",0,'All Ticker P&amp;L'!J564*'All Ticker P&amp;L'!I564)</f>
        <v>0</v>
      </c>
      <c r="AR564" s="266">
        <f>IF($AL564="",0,'All Ticker P&amp;L'!L564)</f>
        <v>0</v>
      </c>
      <c r="AS564" s="267">
        <f>IF($AL564="",0,'All Ticker P&amp;L'!M564)</f>
        <v>0</v>
      </c>
      <c r="AT564" s="243" t="str">
        <f>IF($AL564="","",RANK(AR564,$AR$2:$AR$1001)+COUNTIF($AR$2:AR564,AR564)-1)</f>
        <v/>
      </c>
      <c r="AU564" s="243" t="str">
        <f>IF($AL564="","",RANK(AV564,$AV$2:$AV$1001)+COUNTIF($AV$2:AV564,AV564)-1)</f>
        <v/>
      </c>
      <c r="AV564" s="266">
        <f t="shared" si="48"/>
        <v>0</v>
      </c>
    </row>
    <row r="565" spans="26:48" ht="15" customHeight="1" x14ac:dyDescent="0.2">
      <c r="Z565" s="243" t="str">
        <f>Shares!A565</f>
        <v/>
      </c>
      <c r="AA565" s="243" t="str">
        <f>Shares!B565</f>
        <v/>
      </c>
      <c r="AB565" s="243" t="str">
        <f>Shares!C565</f>
        <v/>
      </c>
      <c r="AC565" s="243" t="str">
        <f>Shares!D565</f>
        <v/>
      </c>
      <c r="AD565" s="243">
        <f>IF($Z565="",0,Shares!E565)</f>
        <v>0</v>
      </c>
      <c r="AE565" s="266">
        <f>IF($Z565="",0,Shares!J565*Shares!I565)</f>
        <v>0</v>
      </c>
      <c r="AF565" s="267">
        <f t="shared" si="47"/>
        <v>0</v>
      </c>
      <c r="AG565" s="266">
        <f>IF($Z565="",0,Shares!L565)</f>
        <v>0</v>
      </c>
      <c r="AH565" s="267">
        <f>IF($Z565="",0,Shares!M565)</f>
        <v>0</v>
      </c>
      <c r="AI565" s="243" t="str">
        <f>IF($Z565="","",RANK(AE565,$AE$2:$AE$1001)+COUNTIF($AE$2:AE565,AE565)-1)</f>
        <v/>
      </c>
      <c r="AJ565" s="243" t="str">
        <f>IF($AD565&lt;0,COUNT($AJ$1:AJ564)+1,"")</f>
        <v/>
      </c>
      <c r="AL565" s="243" t="str">
        <f>'All Ticker P&amp;L'!A565</f>
        <v/>
      </c>
      <c r="AM565" s="243" t="str">
        <f>'All Ticker P&amp;L'!B565</f>
        <v/>
      </c>
      <c r="AN565" s="243" t="str">
        <f>'All Ticker P&amp;L'!C565</f>
        <v/>
      </c>
      <c r="AO565" s="243" t="str">
        <f>'All Ticker P&amp;L'!D565</f>
        <v/>
      </c>
      <c r="AP565" s="243">
        <f>IF($AL565="",0,'All Ticker P&amp;L'!E565)</f>
        <v>0</v>
      </c>
      <c r="AQ565" s="266">
        <f>IF($AL565="",0,'All Ticker P&amp;L'!J565*'All Ticker P&amp;L'!I565)</f>
        <v>0</v>
      </c>
      <c r="AR565" s="266">
        <f>IF($AL565="",0,'All Ticker P&amp;L'!L565)</f>
        <v>0</v>
      </c>
      <c r="AS565" s="267">
        <f>IF($AL565="",0,'All Ticker P&amp;L'!M565)</f>
        <v>0</v>
      </c>
      <c r="AT565" s="243" t="str">
        <f>IF($AL565="","",RANK(AR565,$AR$2:$AR$1001)+COUNTIF($AR$2:AR565,AR565)-1)</f>
        <v/>
      </c>
      <c r="AU565" s="243" t="str">
        <f>IF($AL565="","",RANK(AV565,$AV$2:$AV$1001)+COUNTIF($AV$2:AV565,AV565)-1)</f>
        <v/>
      </c>
      <c r="AV565" s="266">
        <f t="shared" si="48"/>
        <v>0</v>
      </c>
    </row>
    <row r="566" spans="26:48" ht="15" customHeight="1" x14ac:dyDescent="0.2">
      <c r="Z566" s="243" t="str">
        <f>Shares!A566</f>
        <v/>
      </c>
      <c r="AA566" s="243" t="str">
        <f>Shares!B566</f>
        <v/>
      </c>
      <c r="AB566" s="243" t="str">
        <f>Shares!C566</f>
        <v/>
      </c>
      <c r="AC566" s="243" t="str">
        <f>Shares!D566</f>
        <v/>
      </c>
      <c r="AD566" s="243">
        <f>IF($Z566="",0,Shares!E566)</f>
        <v>0</v>
      </c>
      <c r="AE566" s="266">
        <f>IF($Z566="",0,Shares!J566*Shares!I566)</f>
        <v>0</v>
      </c>
      <c r="AF566" s="267">
        <f t="shared" si="47"/>
        <v>0</v>
      </c>
      <c r="AG566" s="266">
        <f>IF($Z566="",0,Shares!L566)</f>
        <v>0</v>
      </c>
      <c r="AH566" s="267">
        <f>IF($Z566="",0,Shares!M566)</f>
        <v>0</v>
      </c>
      <c r="AI566" s="243" t="str">
        <f>IF($Z566="","",RANK(AE566,$AE$2:$AE$1001)+COUNTIF($AE$2:AE566,AE566)-1)</f>
        <v/>
      </c>
      <c r="AJ566" s="243" t="str">
        <f>IF($AD566&lt;0,COUNT($AJ$1:AJ565)+1,"")</f>
        <v/>
      </c>
      <c r="AL566" s="243" t="str">
        <f>'All Ticker P&amp;L'!A566</f>
        <v/>
      </c>
      <c r="AM566" s="243" t="str">
        <f>'All Ticker P&amp;L'!B566</f>
        <v/>
      </c>
      <c r="AN566" s="243" t="str">
        <f>'All Ticker P&amp;L'!C566</f>
        <v/>
      </c>
      <c r="AO566" s="243" t="str">
        <f>'All Ticker P&amp;L'!D566</f>
        <v/>
      </c>
      <c r="AP566" s="243">
        <f>IF($AL566="",0,'All Ticker P&amp;L'!E566)</f>
        <v>0</v>
      </c>
      <c r="AQ566" s="266">
        <f>IF($AL566="",0,'All Ticker P&amp;L'!J566*'All Ticker P&amp;L'!I566)</f>
        <v>0</v>
      </c>
      <c r="AR566" s="266">
        <f>IF($AL566="",0,'All Ticker P&amp;L'!L566)</f>
        <v>0</v>
      </c>
      <c r="AS566" s="267">
        <f>IF($AL566="",0,'All Ticker P&amp;L'!M566)</f>
        <v>0</v>
      </c>
      <c r="AT566" s="243" t="str">
        <f>IF($AL566="","",RANK(AR566,$AR$2:$AR$1001)+COUNTIF($AR$2:AR566,AR566)-1)</f>
        <v/>
      </c>
      <c r="AU566" s="243" t="str">
        <f>IF($AL566="","",RANK(AV566,$AV$2:$AV$1001)+COUNTIF($AV$2:AV566,AV566)-1)</f>
        <v/>
      </c>
      <c r="AV566" s="266">
        <f t="shared" si="48"/>
        <v>0</v>
      </c>
    </row>
    <row r="567" spans="26:48" ht="15" customHeight="1" x14ac:dyDescent="0.2">
      <c r="Z567" s="243" t="str">
        <f>Shares!A567</f>
        <v/>
      </c>
      <c r="AA567" s="243" t="str">
        <f>Shares!B567</f>
        <v/>
      </c>
      <c r="AB567" s="243" t="str">
        <f>Shares!C567</f>
        <v/>
      </c>
      <c r="AC567" s="243" t="str">
        <f>Shares!D567</f>
        <v/>
      </c>
      <c r="AD567" s="243">
        <f>IF($Z567="",0,Shares!E567)</f>
        <v>0</v>
      </c>
      <c r="AE567" s="266">
        <f>IF($Z567="",0,Shares!J567*Shares!I567)</f>
        <v>0</v>
      </c>
      <c r="AF567" s="267">
        <f t="shared" si="47"/>
        <v>0</v>
      </c>
      <c r="AG567" s="266">
        <f>IF($Z567="",0,Shares!L567)</f>
        <v>0</v>
      </c>
      <c r="AH567" s="267">
        <f>IF($Z567="",0,Shares!M567)</f>
        <v>0</v>
      </c>
      <c r="AI567" s="243" t="str">
        <f>IF($Z567="","",RANK(AE567,$AE$2:$AE$1001)+COUNTIF($AE$2:AE567,AE567)-1)</f>
        <v/>
      </c>
      <c r="AJ567" s="243" t="str">
        <f>IF($AD567&lt;0,COUNT($AJ$1:AJ566)+1,"")</f>
        <v/>
      </c>
      <c r="AL567" s="243" t="str">
        <f>'All Ticker P&amp;L'!A567</f>
        <v/>
      </c>
      <c r="AM567" s="243" t="str">
        <f>'All Ticker P&amp;L'!B567</f>
        <v/>
      </c>
      <c r="AN567" s="243" t="str">
        <f>'All Ticker P&amp;L'!C567</f>
        <v/>
      </c>
      <c r="AO567" s="243" t="str">
        <f>'All Ticker P&amp;L'!D567</f>
        <v/>
      </c>
      <c r="AP567" s="243">
        <f>IF($AL567="",0,'All Ticker P&amp;L'!E567)</f>
        <v>0</v>
      </c>
      <c r="AQ567" s="266">
        <f>IF($AL567="",0,'All Ticker P&amp;L'!J567*'All Ticker P&amp;L'!I567)</f>
        <v>0</v>
      </c>
      <c r="AR567" s="266">
        <f>IF($AL567="",0,'All Ticker P&amp;L'!L567)</f>
        <v>0</v>
      </c>
      <c r="AS567" s="267">
        <f>IF($AL567="",0,'All Ticker P&amp;L'!M567)</f>
        <v>0</v>
      </c>
      <c r="AT567" s="243" t="str">
        <f>IF($AL567="","",RANK(AR567,$AR$2:$AR$1001)+COUNTIF($AR$2:AR567,AR567)-1)</f>
        <v/>
      </c>
      <c r="AU567" s="243" t="str">
        <f>IF($AL567="","",RANK(AV567,$AV$2:$AV$1001)+COUNTIF($AV$2:AV567,AV567)-1)</f>
        <v/>
      </c>
      <c r="AV567" s="266">
        <f t="shared" si="48"/>
        <v>0</v>
      </c>
    </row>
    <row r="568" spans="26:48" ht="15" customHeight="1" x14ac:dyDescent="0.2">
      <c r="Z568" s="243" t="str">
        <f>Shares!A568</f>
        <v/>
      </c>
      <c r="AA568" s="243" t="str">
        <f>Shares!B568</f>
        <v/>
      </c>
      <c r="AB568" s="243" t="str">
        <f>Shares!C568</f>
        <v/>
      </c>
      <c r="AC568" s="243" t="str">
        <f>Shares!D568</f>
        <v/>
      </c>
      <c r="AD568" s="243">
        <f>IF($Z568="",0,Shares!E568)</f>
        <v>0</v>
      </c>
      <c r="AE568" s="266">
        <f>IF($Z568="",0,Shares!J568*Shares!I568)</f>
        <v>0</v>
      </c>
      <c r="AF568" s="267">
        <f t="shared" si="47"/>
        <v>0</v>
      </c>
      <c r="AG568" s="266">
        <f>IF($Z568="",0,Shares!L568)</f>
        <v>0</v>
      </c>
      <c r="AH568" s="267">
        <f>IF($Z568="",0,Shares!M568)</f>
        <v>0</v>
      </c>
      <c r="AI568" s="243" t="str">
        <f>IF($Z568="","",RANK(AE568,$AE$2:$AE$1001)+COUNTIF($AE$2:AE568,AE568)-1)</f>
        <v/>
      </c>
      <c r="AJ568" s="243" t="str">
        <f>IF($AD568&lt;0,COUNT($AJ$1:AJ567)+1,"")</f>
        <v/>
      </c>
      <c r="AL568" s="243" t="str">
        <f>'All Ticker P&amp;L'!A568</f>
        <v/>
      </c>
      <c r="AM568" s="243" t="str">
        <f>'All Ticker P&amp;L'!B568</f>
        <v/>
      </c>
      <c r="AN568" s="243" t="str">
        <f>'All Ticker P&amp;L'!C568</f>
        <v/>
      </c>
      <c r="AO568" s="243" t="str">
        <f>'All Ticker P&amp;L'!D568</f>
        <v/>
      </c>
      <c r="AP568" s="243">
        <f>IF($AL568="",0,'All Ticker P&amp;L'!E568)</f>
        <v>0</v>
      </c>
      <c r="AQ568" s="266">
        <f>IF($AL568="",0,'All Ticker P&amp;L'!J568*'All Ticker P&amp;L'!I568)</f>
        <v>0</v>
      </c>
      <c r="AR568" s="266">
        <f>IF($AL568="",0,'All Ticker P&amp;L'!L568)</f>
        <v>0</v>
      </c>
      <c r="AS568" s="267">
        <f>IF($AL568="",0,'All Ticker P&amp;L'!M568)</f>
        <v>0</v>
      </c>
      <c r="AT568" s="243" t="str">
        <f>IF($AL568="","",RANK(AR568,$AR$2:$AR$1001)+COUNTIF($AR$2:AR568,AR568)-1)</f>
        <v/>
      </c>
      <c r="AU568" s="243" t="str">
        <f>IF($AL568="","",RANK(AV568,$AV$2:$AV$1001)+COUNTIF($AV$2:AV568,AV568)-1)</f>
        <v/>
      </c>
      <c r="AV568" s="266">
        <f t="shared" si="48"/>
        <v>0</v>
      </c>
    </row>
    <row r="569" spans="26:48" ht="15" customHeight="1" x14ac:dyDescent="0.2">
      <c r="Z569" s="243" t="str">
        <f>Shares!A569</f>
        <v/>
      </c>
      <c r="AA569" s="243" t="str">
        <f>Shares!B569</f>
        <v/>
      </c>
      <c r="AB569" s="243" t="str">
        <f>Shares!C569</f>
        <v/>
      </c>
      <c r="AC569" s="243" t="str">
        <f>Shares!D569</f>
        <v/>
      </c>
      <c r="AD569" s="243">
        <f>IF($Z569="",0,Shares!E569)</f>
        <v>0</v>
      </c>
      <c r="AE569" s="266">
        <f>IF($Z569="",0,Shares!J569*Shares!I569)</f>
        <v>0</v>
      </c>
      <c r="AF569" s="267">
        <f t="shared" si="47"/>
        <v>0</v>
      </c>
      <c r="AG569" s="266">
        <f>IF($Z569="",0,Shares!L569)</f>
        <v>0</v>
      </c>
      <c r="AH569" s="267">
        <f>IF($Z569="",0,Shares!M569)</f>
        <v>0</v>
      </c>
      <c r="AI569" s="243" t="str">
        <f>IF($Z569="","",RANK(AE569,$AE$2:$AE$1001)+COUNTIF($AE$2:AE569,AE569)-1)</f>
        <v/>
      </c>
      <c r="AJ569" s="243" t="str">
        <f>IF($AD569&lt;0,COUNT($AJ$1:AJ568)+1,"")</f>
        <v/>
      </c>
      <c r="AL569" s="243" t="str">
        <f>'All Ticker P&amp;L'!A569</f>
        <v/>
      </c>
      <c r="AM569" s="243" t="str">
        <f>'All Ticker P&amp;L'!B569</f>
        <v/>
      </c>
      <c r="AN569" s="243" t="str">
        <f>'All Ticker P&amp;L'!C569</f>
        <v/>
      </c>
      <c r="AO569" s="243" t="str">
        <f>'All Ticker P&amp;L'!D569</f>
        <v/>
      </c>
      <c r="AP569" s="243">
        <f>IF($AL569="",0,'All Ticker P&amp;L'!E569)</f>
        <v>0</v>
      </c>
      <c r="AQ569" s="266">
        <f>IF($AL569="",0,'All Ticker P&amp;L'!J569*'All Ticker P&amp;L'!I569)</f>
        <v>0</v>
      </c>
      <c r="AR569" s="266">
        <f>IF($AL569="",0,'All Ticker P&amp;L'!L569)</f>
        <v>0</v>
      </c>
      <c r="AS569" s="267">
        <f>IF($AL569="",0,'All Ticker P&amp;L'!M569)</f>
        <v>0</v>
      </c>
      <c r="AT569" s="243" t="str">
        <f>IF($AL569="","",RANK(AR569,$AR$2:$AR$1001)+COUNTIF($AR$2:AR569,AR569)-1)</f>
        <v/>
      </c>
      <c r="AU569" s="243" t="str">
        <f>IF($AL569="","",RANK(AV569,$AV$2:$AV$1001)+COUNTIF($AV$2:AV569,AV569)-1)</f>
        <v/>
      </c>
      <c r="AV569" s="266">
        <f t="shared" si="48"/>
        <v>0</v>
      </c>
    </row>
    <row r="570" spans="26:48" ht="15" customHeight="1" x14ac:dyDescent="0.2">
      <c r="Z570" s="243" t="str">
        <f>Shares!A570</f>
        <v/>
      </c>
      <c r="AA570" s="243" t="str">
        <f>Shares!B570</f>
        <v/>
      </c>
      <c r="AB570" s="243" t="str">
        <f>Shares!C570</f>
        <v/>
      </c>
      <c r="AC570" s="243" t="str">
        <f>Shares!D570</f>
        <v/>
      </c>
      <c r="AD570" s="243">
        <f>IF($Z570="",0,Shares!E570)</f>
        <v>0</v>
      </c>
      <c r="AE570" s="266">
        <f>IF($Z570="",0,Shares!J570*Shares!I570)</f>
        <v>0</v>
      </c>
      <c r="AF570" s="267">
        <f t="shared" si="47"/>
        <v>0</v>
      </c>
      <c r="AG570" s="266">
        <f>IF($Z570="",0,Shares!L570)</f>
        <v>0</v>
      </c>
      <c r="AH570" s="267">
        <f>IF($Z570="",0,Shares!M570)</f>
        <v>0</v>
      </c>
      <c r="AI570" s="243" t="str">
        <f>IF($Z570="","",RANK(AE570,$AE$2:$AE$1001)+COUNTIF($AE$2:AE570,AE570)-1)</f>
        <v/>
      </c>
      <c r="AJ570" s="243" t="str">
        <f>IF($AD570&lt;0,COUNT($AJ$1:AJ569)+1,"")</f>
        <v/>
      </c>
      <c r="AL570" s="243" t="str">
        <f>'All Ticker P&amp;L'!A570</f>
        <v/>
      </c>
      <c r="AM570" s="243" t="str">
        <f>'All Ticker P&amp;L'!B570</f>
        <v/>
      </c>
      <c r="AN570" s="243" t="str">
        <f>'All Ticker P&amp;L'!C570</f>
        <v/>
      </c>
      <c r="AO570" s="243" t="str">
        <f>'All Ticker P&amp;L'!D570</f>
        <v/>
      </c>
      <c r="AP570" s="243">
        <f>IF($AL570="",0,'All Ticker P&amp;L'!E570)</f>
        <v>0</v>
      </c>
      <c r="AQ570" s="266">
        <f>IF($AL570="",0,'All Ticker P&amp;L'!J570*'All Ticker P&amp;L'!I570)</f>
        <v>0</v>
      </c>
      <c r="AR570" s="266">
        <f>IF($AL570="",0,'All Ticker P&amp;L'!L570)</f>
        <v>0</v>
      </c>
      <c r="AS570" s="267">
        <f>IF($AL570="",0,'All Ticker P&amp;L'!M570)</f>
        <v>0</v>
      </c>
      <c r="AT570" s="243" t="str">
        <f>IF($AL570="","",RANK(AR570,$AR$2:$AR$1001)+COUNTIF($AR$2:AR570,AR570)-1)</f>
        <v/>
      </c>
      <c r="AU570" s="243" t="str">
        <f>IF($AL570="","",RANK(AV570,$AV$2:$AV$1001)+COUNTIF($AV$2:AV570,AV570)-1)</f>
        <v/>
      </c>
      <c r="AV570" s="266">
        <f t="shared" si="48"/>
        <v>0</v>
      </c>
    </row>
    <row r="571" spans="26:48" ht="15" customHeight="1" x14ac:dyDescent="0.2">
      <c r="Z571" s="243" t="str">
        <f>Shares!A571</f>
        <v/>
      </c>
      <c r="AA571" s="243" t="str">
        <f>Shares!B571</f>
        <v/>
      </c>
      <c r="AB571" s="243" t="str">
        <f>Shares!C571</f>
        <v/>
      </c>
      <c r="AC571" s="243" t="str">
        <f>Shares!D571</f>
        <v/>
      </c>
      <c r="AD571" s="243">
        <f>IF($Z571="",0,Shares!E571)</f>
        <v>0</v>
      </c>
      <c r="AE571" s="266">
        <f>IF($Z571="",0,Shares!J571*Shares!I571)</f>
        <v>0</v>
      </c>
      <c r="AF571" s="267">
        <f t="shared" si="47"/>
        <v>0</v>
      </c>
      <c r="AG571" s="266">
        <f>IF($Z571="",0,Shares!L571)</f>
        <v>0</v>
      </c>
      <c r="AH571" s="267">
        <f>IF($Z571="",0,Shares!M571)</f>
        <v>0</v>
      </c>
      <c r="AI571" s="243" t="str">
        <f>IF($Z571="","",RANK(AE571,$AE$2:$AE$1001)+COUNTIF($AE$2:AE571,AE571)-1)</f>
        <v/>
      </c>
      <c r="AJ571" s="243" t="str">
        <f>IF($AD571&lt;0,COUNT($AJ$1:AJ570)+1,"")</f>
        <v/>
      </c>
      <c r="AL571" s="243" t="str">
        <f>'All Ticker P&amp;L'!A571</f>
        <v/>
      </c>
      <c r="AM571" s="243" t="str">
        <f>'All Ticker P&amp;L'!B571</f>
        <v/>
      </c>
      <c r="AN571" s="243" t="str">
        <f>'All Ticker P&amp;L'!C571</f>
        <v/>
      </c>
      <c r="AO571" s="243" t="str">
        <f>'All Ticker P&amp;L'!D571</f>
        <v/>
      </c>
      <c r="AP571" s="243">
        <f>IF($AL571="",0,'All Ticker P&amp;L'!E571)</f>
        <v>0</v>
      </c>
      <c r="AQ571" s="266">
        <f>IF($AL571="",0,'All Ticker P&amp;L'!J571*'All Ticker P&amp;L'!I571)</f>
        <v>0</v>
      </c>
      <c r="AR571" s="266">
        <f>IF($AL571="",0,'All Ticker P&amp;L'!L571)</f>
        <v>0</v>
      </c>
      <c r="AS571" s="267">
        <f>IF($AL571="",0,'All Ticker P&amp;L'!M571)</f>
        <v>0</v>
      </c>
      <c r="AT571" s="243" t="str">
        <f>IF($AL571="","",RANK(AR571,$AR$2:$AR$1001)+COUNTIF($AR$2:AR571,AR571)-1)</f>
        <v/>
      </c>
      <c r="AU571" s="243" t="str">
        <f>IF($AL571="","",RANK(AV571,$AV$2:$AV$1001)+COUNTIF($AV$2:AV571,AV571)-1)</f>
        <v/>
      </c>
      <c r="AV571" s="266">
        <f t="shared" si="48"/>
        <v>0</v>
      </c>
    </row>
    <row r="572" spans="26:48" ht="15" customHeight="1" x14ac:dyDescent="0.2">
      <c r="Z572" s="243" t="str">
        <f>Shares!A572</f>
        <v/>
      </c>
      <c r="AA572" s="243" t="str">
        <f>Shares!B572</f>
        <v/>
      </c>
      <c r="AB572" s="243" t="str">
        <f>Shares!C572</f>
        <v/>
      </c>
      <c r="AC572" s="243" t="str">
        <f>Shares!D572</f>
        <v/>
      </c>
      <c r="AD572" s="243">
        <f>IF($Z572="",0,Shares!E572)</f>
        <v>0</v>
      </c>
      <c r="AE572" s="266">
        <f>IF($Z572="",0,Shares!J572*Shares!I572)</f>
        <v>0</v>
      </c>
      <c r="AF572" s="267">
        <f t="shared" si="47"/>
        <v>0</v>
      </c>
      <c r="AG572" s="266">
        <f>IF($Z572="",0,Shares!L572)</f>
        <v>0</v>
      </c>
      <c r="AH572" s="267">
        <f>IF($Z572="",0,Shares!M572)</f>
        <v>0</v>
      </c>
      <c r="AI572" s="243" t="str">
        <f>IF($Z572="","",RANK(AE572,$AE$2:$AE$1001)+COUNTIF($AE$2:AE572,AE572)-1)</f>
        <v/>
      </c>
      <c r="AJ572" s="243" t="str">
        <f>IF($AD572&lt;0,COUNT($AJ$1:AJ571)+1,"")</f>
        <v/>
      </c>
      <c r="AL572" s="243" t="str">
        <f>'All Ticker P&amp;L'!A572</f>
        <v/>
      </c>
      <c r="AM572" s="243" t="str">
        <f>'All Ticker P&amp;L'!B572</f>
        <v/>
      </c>
      <c r="AN572" s="243" t="str">
        <f>'All Ticker P&amp;L'!C572</f>
        <v/>
      </c>
      <c r="AO572" s="243" t="str">
        <f>'All Ticker P&amp;L'!D572</f>
        <v/>
      </c>
      <c r="AP572" s="243">
        <f>IF($AL572="",0,'All Ticker P&amp;L'!E572)</f>
        <v>0</v>
      </c>
      <c r="AQ572" s="266">
        <f>IF($AL572="",0,'All Ticker P&amp;L'!J572*'All Ticker P&amp;L'!I572)</f>
        <v>0</v>
      </c>
      <c r="AR572" s="266">
        <f>IF($AL572="",0,'All Ticker P&amp;L'!L572)</f>
        <v>0</v>
      </c>
      <c r="AS572" s="267">
        <f>IF($AL572="",0,'All Ticker P&amp;L'!M572)</f>
        <v>0</v>
      </c>
      <c r="AT572" s="243" t="str">
        <f>IF($AL572="","",RANK(AR572,$AR$2:$AR$1001)+COUNTIF($AR$2:AR572,AR572)-1)</f>
        <v/>
      </c>
      <c r="AU572" s="243" t="str">
        <f>IF($AL572="","",RANK(AV572,$AV$2:$AV$1001)+COUNTIF($AV$2:AV572,AV572)-1)</f>
        <v/>
      </c>
      <c r="AV572" s="266">
        <f t="shared" si="48"/>
        <v>0</v>
      </c>
    </row>
    <row r="573" spans="26:48" ht="15" customHeight="1" x14ac:dyDescent="0.2">
      <c r="Z573" s="243" t="str">
        <f>Shares!A573</f>
        <v/>
      </c>
      <c r="AA573" s="243" t="str">
        <f>Shares!B573</f>
        <v/>
      </c>
      <c r="AB573" s="243" t="str">
        <f>Shares!C573</f>
        <v/>
      </c>
      <c r="AC573" s="243" t="str">
        <f>Shares!D573</f>
        <v/>
      </c>
      <c r="AD573" s="243">
        <f>IF($Z573="",0,Shares!E573)</f>
        <v>0</v>
      </c>
      <c r="AE573" s="266">
        <f>IF($Z573="",0,Shares!J573*Shares!I573)</f>
        <v>0</v>
      </c>
      <c r="AF573" s="267">
        <f t="shared" si="47"/>
        <v>0</v>
      </c>
      <c r="AG573" s="266">
        <f>IF($Z573="",0,Shares!L573)</f>
        <v>0</v>
      </c>
      <c r="AH573" s="267">
        <f>IF($Z573="",0,Shares!M573)</f>
        <v>0</v>
      </c>
      <c r="AI573" s="243" t="str">
        <f>IF($Z573="","",RANK(AE573,$AE$2:$AE$1001)+COUNTIF($AE$2:AE573,AE573)-1)</f>
        <v/>
      </c>
      <c r="AJ573" s="243" t="str">
        <f>IF($AD573&lt;0,COUNT($AJ$1:AJ572)+1,"")</f>
        <v/>
      </c>
      <c r="AL573" s="243" t="str">
        <f>'All Ticker P&amp;L'!A573</f>
        <v/>
      </c>
      <c r="AM573" s="243" t="str">
        <f>'All Ticker P&amp;L'!B573</f>
        <v/>
      </c>
      <c r="AN573" s="243" t="str">
        <f>'All Ticker P&amp;L'!C573</f>
        <v/>
      </c>
      <c r="AO573" s="243" t="str">
        <f>'All Ticker P&amp;L'!D573</f>
        <v/>
      </c>
      <c r="AP573" s="243">
        <f>IF($AL573="",0,'All Ticker P&amp;L'!E573)</f>
        <v>0</v>
      </c>
      <c r="AQ573" s="266">
        <f>IF($AL573="",0,'All Ticker P&amp;L'!J573*'All Ticker P&amp;L'!I573)</f>
        <v>0</v>
      </c>
      <c r="AR573" s="266">
        <f>IF($AL573="",0,'All Ticker P&amp;L'!L573)</f>
        <v>0</v>
      </c>
      <c r="AS573" s="267">
        <f>IF($AL573="",0,'All Ticker P&amp;L'!M573)</f>
        <v>0</v>
      </c>
      <c r="AT573" s="243" t="str">
        <f>IF($AL573="","",RANK(AR573,$AR$2:$AR$1001)+COUNTIF($AR$2:AR573,AR573)-1)</f>
        <v/>
      </c>
      <c r="AU573" s="243" t="str">
        <f>IF($AL573="","",RANK(AV573,$AV$2:$AV$1001)+COUNTIF($AV$2:AV573,AV573)-1)</f>
        <v/>
      </c>
      <c r="AV573" s="266">
        <f t="shared" si="48"/>
        <v>0</v>
      </c>
    </row>
    <row r="574" spans="26:48" ht="15" customHeight="1" x14ac:dyDescent="0.2">
      <c r="Z574" s="243" t="str">
        <f>Shares!A574</f>
        <v/>
      </c>
      <c r="AA574" s="243" t="str">
        <f>Shares!B574</f>
        <v/>
      </c>
      <c r="AB574" s="243" t="str">
        <f>Shares!C574</f>
        <v/>
      </c>
      <c r="AC574" s="243" t="str">
        <f>Shares!D574</f>
        <v/>
      </c>
      <c r="AD574" s="243">
        <f>IF($Z574="",0,Shares!E574)</f>
        <v>0</v>
      </c>
      <c r="AE574" s="266">
        <f>IF($Z574="",0,Shares!J574*Shares!I574)</f>
        <v>0</v>
      </c>
      <c r="AF574" s="267">
        <f t="shared" si="47"/>
        <v>0</v>
      </c>
      <c r="AG574" s="266">
        <f>IF($Z574="",0,Shares!L574)</f>
        <v>0</v>
      </c>
      <c r="AH574" s="267">
        <f>IF($Z574="",0,Shares!M574)</f>
        <v>0</v>
      </c>
      <c r="AI574" s="243" t="str">
        <f>IF($Z574="","",RANK(AE574,$AE$2:$AE$1001)+COUNTIF($AE$2:AE574,AE574)-1)</f>
        <v/>
      </c>
      <c r="AJ574" s="243" t="str">
        <f>IF($AD574&lt;0,COUNT($AJ$1:AJ573)+1,"")</f>
        <v/>
      </c>
      <c r="AL574" s="243" t="str">
        <f>'All Ticker P&amp;L'!A574</f>
        <v/>
      </c>
      <c r="AM574" s="243" t="str">
        <f>'All Ticker P&amp;L'!B574</f>
        <v/>
      </c>
      <c r="AN574" s="243" t="str">
        <f>'All Ticker P&amp;L'!C574</f>
        <v/>
      </c>
      <c r="AO574" s="243" t="str">
        <f>'All Ticker P&amp;L'!D574</f>
        <v/>
      </c>
      <c r="AP574" s="243">
        <f>IF($AL574="",0,'All Ticker P&amp;L'!E574)</f>
        <v>0</v>
      </c>
      <c r="AQ574" s="266">
        <f>IF($AL574="",0,'All Ticker P&amp;L'!J574*'All Ticker P&amp;L'!I574)</f>
        <v>0</v>
      </c>
      <c r="AR574" s="266">
        <f>IF($AL574="",0,'All Ticker P&amp;L'!L574)</f>
        <v>0</v>
      </c>
      <c r="AS574" s="267">
        <f>IF($AL574="",0,'All Ticker P&amp;L'!M574)</f>
        <v>0</v>
      </c>
      <c r="AT574" s="243" t="str">
        <f>IF($AL574="","",RANK(AR574,$AR$2:$AR$1001)+COUNTIF($AR$2:AR574,AR574)-1)</f>
        <v/>
      </c>
      <c r="AU574" s="243" t="str">
        <f>IF($AL574="","",RANK(AV574,$AV$2:$AV$1001)+COUNTIF($AV$2:AV574,AV574)-1)</f>
        <v/>
      </c>
      <c r="AV574" s="266">
        <f t="shared" si="48"/>
        <v>0</v>
      </c>
    </row>
    <row r="575" spans="26:48" ht="15" customHeight="1" x14ac:dyDescent="0.2">
      <c r="Z575" s="243" t="str">
        <f>Shares!A575</f>
        <v/>
      </c>
      <c r="AA575" s="243" t="str">
        <f>Shares!B575</f>
        <v/>
      </c>
      <c r="AB575" s="243" t="str">
        <f>Shares!C575</f>
        <v/>
      </c>
      <c r="AC575" s="243" t="str">
        <f>Shares!D575</f>
        <v/>
      </c>
      <c r="AD575" s="243">
        <f>IF($Z575="",0,Shares!E575)</f>
        <v>0</v>
      </c>
      <c r="AE575" s="266">
        <f>IF($Z575="",0,Shares!J575*Shares!I575)</f>
        <v>0</v>
      </c>
      <c r="AF575" s="267">
        <f t="shared" si="47"/>
        <v>0</v>
      </c>
      <c r="AG575" s="266">
        <f>IF($Z575="",0,Shares!L575)</f>
        <v>0</v>
      </c>
      <c r="AH575" s="267">
        <f>IF($Z575="",0,Shares!M575)</f>
        <v>0</v>
      </c>
      <c r="AI575" s="243" t="str">
        <f>IF($Z575="","",RANK(AE575,$AE$2:$AE$1001)+COUNTIF($AE$2:AE575,AE575)-1)</f>
        <v/>
      </c>
      <c r="AJ575" s="243" t="str">
        <f>IF($AD575&lt;0,COUNT($AJ$1:AJ574)+1,"")</f>
        <v/>
      </c>
      <c r="AL575" s="243" t="str">
        <f>'All Ticker P&amp;L'!A575</f>
        <v/>
      </c>
      <c r="AM575" s="243" t="str">
        <f>'All Ticker P&amp;L'!B575</f>
        <v/>
      </c>
      <c r="AN575" s="243" t="str">
        <f>'All Ticker P&amp;L'!C575</f>
        <v/>
      </c>
      <c r="AO575" s="243" t="str">
        <f>'All Ticker P&amp;L'!D575</f>
        <v/>
      </c>
      <c r="AP575" s="243">
        <f>IF($AL575="",0,'All Ticker P&amp;L'!E575)</f>
        <v>0</v>
      </c>
      <c r="AQ575" s="266">
        <f>IF($AL575="",0,'All Ticker P&amp;L'!J575*'All Ticker P&amp;L'!I575)</f>
        <v>0</v>
      </c>
      <c r="AR575" s="266">
        <f>IF($AL575="",0,'All Ticker P&amp;L'!L575)</f>
        <v>0</v>
      </c>
      <c r="AS575" s="267">
        <f>IF($AL575="",0,'All Ticker P&amp;L'!M575)</f>
        <v>0</v>
      </c>
      <c r="AT575" s="243" t="str">
        <f>IF($AL575="","",RANK(AR575,$AR$2:$AR$1001)+COUNTIF($AR$2:AR575,AR575)-1)</f>
        <v/>
      </c>
      <c r="AU575" s="243" t="str">
        <f>IF($AL575="","",RANK(AV575,$AV$2:$AV$1001)+COUNTIF($AV$2:AV575,AV575)-1)</f>
        <v/>
      </c>
      <c r="AV575" s="266">
        <f t="shared" si="48"/>
        <v>0</v>
      </c>
    </row>
    <row r="576" spans="26:48" ht="15" customHeight="1" x14ac:dyDescent="0.2">
      <c r="Z576" s="243" t="str">
        <f>Shares!A576</f>
        <v/>
      </c>
      <c r="AA576" s="243" t="str">
        <f>Shares!B576</f>
        <v/>
      </c>
      <c r="AB576" s="243" t="str">
        <f>Shares!C576</f>
        <v/>
      </c>
      <c r="AC576" s="243" t="str">
        <f>Shares!D576</f>
        <v/>
      </c>
      <c r="AD576" s="243">
        <f>IF($Z576="",0,Shares!E576)</f>
        <v>0</v>
      </c>
      <c r="AE576" s="266">
        <f>IF($Z576="",0,Shares!J576*Shares!I576)</f>
        <v>0</v>
      </c>
      <c r="AF576" s="267">
        <f t="shared" si="47"/>
        <v>0</v>
      </c>
      <c r="AG576" s="266">
        <f>IF($Z576="",0,Shares!L576)</f>
        <v>0</v>
      </c>
      <c r="AH576" s="267">
        <f>IF($Z576="",0,Shares!M576)</f>
        <v>0</v>
      </c>
      <c r="AI576" s="243" t="str">
        <f>IF($Z576="","",RANK(AE576,$AE$2:$AE$1001)+COUNTIF($AE$2:AE576,AE576)-1)</f>
        <v/>
      </c>
      <c r="AJ576" s="243" t="str">
        <f>IF($AD576&lt;0,COUNT($AJ$1:AJ575)+1,"")</f>
        <v/>
      </c>
      <c r="AL576" s="243" t="str">
        <f>'All Ticker P&amp;L'!A576</f>
        <v/>
      </c>
      <c r="AM576" s="243" t="str">
        <f>'All Ticker P&amp;L'!B576</f>
        <v/>
      </c>
      <c r="AN576" s="243" t="str">
        <f>'All Ticker P&amp;L'!C576</f>
        <v/>
      </c>
      <c r="AO576" s="243" t="str">
        <f>'All Ticker P&amp;L'!D576</f>
        <v/>
      </c>
      <c r="AP576" s="243">
        <f>IF($AL576="",0,'All Ticker P&amp;L'!E576)</f>
        <v>0</v>
      </c>
      <c r="AQ576" s="266">
        <f>IF($AL576="",0,'All Ticker P&amp;L'!J576*'All Ticker P&amp;L'!I576)</f>
        <v>0</v>
      </c>
      <c r="AR576" s="266">
        <f>IF($AL576="",0,'All Ticker P&amp;L'!L576)</f>
        <v>0</v>
      </c>
      <c r="AS576" s="267">
        <f>IF($AL576="",0,'All Ticker P&amp;L'!M576)</f>
        <v>0</v>
      </c>
      <c r="AT576" s="243" t="str">
        <f>IF($AL576="","",RANK(AR576,$AR$2:$AR$1001)+COUNTIF($AR$2:AR576,AR576)-1)</f>
        <v/>
      </c>
      <c r="AU576" s="243" t="str">
        <f>IF($AL576="","",RANK(AV576,$AV$2:$AV$1001)+COUNTIF($AV$2:AV576,AV576)-1)</f>
        <v/>
      </c>
      <c r="AV576" s="266">
        <f t="shared" si="48"/>
        <v>0</v>
      </c>
    </row>
    <row r="577" spans="26:48" ht="15" customHeight="1" x14ac:dyDescent="0.2">
      <c r="Z577" s="243" t="str">
        <f>Shares!A577</f>
        <v/>
      </c>
      <c r="AA577" s="243" t="str">
        <f>Shares!B577</f>
        <v/>
      </c>
      <c r="AB577" s="243" t="str">
        <f>Shares!C577</f>
        <v/>
      </c>
      <c r="AC577" s="243" t="str">
        <f>Shares!D577</f>
        <v/>
      </c>
      <c r="AD577" s="243">
        <f>IF($Z577="",0,Shares!E577)</f>
        <v>0</v>
      </c>
      <c r="AE577" s="266">
        <f>IF($Z577="",0,Shares!J577*Shares!I577)</f>
        <v>0</v>
      </c>
      <c r="AF577" s="267">
        <f t="shared" si="47"/>
        <v>0</v>
      </c>
      <c r="AG577" s="266">
        <f>IF($Z577="",0,Shares!L577)</f>
        <v>0</v>
      </c>
      <c r="AH577" s="267">
        <f>IF($Z577="",0,Shares!M577)</f>
        <v>0</v>
      </c>
      <c r="AI577" s="243" t="str">
        <f>IF($Z577="","",RANK(AE577,$AE$2:$AE$1001)+COUNTIF($AE$2:AE577,AE577)-1)</f>
        <v/>
      </c>
      <c r="AJ577" s="243" t="str">
        <f>IF($AD577&lt;0,COUNT($AJ$1:AJ576)+1,"")</f>
        <v/>
      </c>
      <c r="AL577" s="243" t="str">
        <f>'All Ticker P&amp;L'!A577</f>
        <v/>
      </c>
      <c r="AM577" s="243" t="str">
        <f>'All Ticker P&amp;L'!B577</f>
        <v/>
      </c>
      <c r="AN577" s="243" t="str">
        <f>'All Ticker P&amp;L'!C577</f>
        <v/>
      </c>
      <c r="AO577" s="243" t="str">
        <f>'All Ticker P&amp;L'!D577</f>
        <v/>
      </c>
      <c r="AP577" s="243">
        <f>IF($AL577="",0,'All Ticker P&amp;L'!E577)</f>
        <v>0</v>
      </c>
      <c r="AQ577" s="266">
        <f>IF($AL577="",0,'All Ticker P&amp;L'!J577*'All Ticker P&amp;L'!I577)</f>
        <v>0</v>
      </c>
      <c r="AR577" s="266">
        <f>IF($AL577="",0,'All Ticker P&amp;L'!L577)</f>
        <v>0</v>
      </c>
      <c r="AS577" s="267">
        <f>IF($AL577="",0,'All Ticker P&amp;L'!M577)</f>
        <v>0</v>
      </c>
      <c r="AT577" s="243" t="str">
        <f>IF($AL577="","",RANK(AR577,$AR$2:$AR$1001)+COUNTIF($AR$2:AR577,AR577)-1)</f>
        <v/>
      </c>
      <c r="AU577" s="243" t="str">
        <f>IF($AL577="","",RANK(AV577,$AV$2:$AV$1001)+COUNTIF($AV$2:AV577,AV577)-1)</f>
        <v/>
      </c>
      <c r="AV577" s="266">
        <f t="shared" si="48"/>
        <v>0</v>
      </c>
    </row>
    <row r="578" spans="26:48" ht="15" customHeight="1" x14ac:dyDescent="0.2">
      <c r="Z578" s="243" t="str">
        <f>Shares!A578</f>
        <v/>
      </c>
      <c r="AA578" s="243" t="str">
        <f>Shares!B578</f>
        <v/>
      </c>
      <c r="AB578" s="243" t="str">
        <f>Shares!C578</f>
        <v/>
      </c>
      <c r="AC578" s="243" t="str">
        <f>Shares!D578</f>
        <v/>
      </c>
      <c r="AD578" s="243">
        <f>IF($Z578="",0,Shares!E578)</f>
        <v>0</v>
      </c>
      <c r="AE578" s="266">
        <f>IF($Z578="",0,Shares!J578*Shares!I578)</f>
        <v>0</v>
      </c>
      <c r="AF578" s="267">
        <f t="shared" ref="AF578:AF641" si="49">IFERROR(AE578/$B$5,0)</f>
        <v>0</v>
      </c>
      <c r="AG578" s="266">
        <f>IF($Z578="",0,Shares!L578)</f>
        <v>0</v>
      </c>
      <c r="AH578" s="267">
        <f>IF($Z578="",0,Shares!M578)</f>
        <v>0</v>
      </c>
      <c r="AI578" s="243" t="str">
        <f>IF($Z578="","",RANK(AE578,$AE$2:$AE$1001)+COUNTIF($AE$2:AE578,AE578)-1)</f>
        <v/>
      </c>
      <c r="AJ578" s="243" t="str">
        <f>IF($AD578&lt;0,COUNT($AJ$1:AJ577)+1,"")</f>
        <v/>
      </c>
      <c r="AL578" s="243" t="str">
        <f>'All Ticker P&amp;L'!A578</f>
        <v/>
      </c>
      <c r="AM578" s="243" t="str">
        <f>'All Ticker P&amp;L'!B578</f>
        <v/>
      </c>
      <c r="AN578" s="243" t="str">
        <f>'All Ticker P&amp;L'!C578</f>
        <v/>
      </c>
      <c r="AO578" s="243" t="str">
        <f>'All Ticker P&amp;L'!D578</f>
        <v/>
      </c>
      <c r="AP578" s="243">
        <f>IF($AL578="",0,'All Ticker P&amp;L'!E578)</f>
        <v>0</v>
      </c>
      <c r="AQ578" s="266">
        <f>IF($AL578="",0,'All Ticker P&amp;L'!J578*'All Ticker P&amp;L'!I578)</f>
        <v>0</v>
      </c>
      <c r="AR578" s="266">
        <f>IF($AL578="",0,'All Ticker P&amp;L'!L578)</f>
        <v>0</v>
      </c>
      <c r="AS578" s="267">
        <f>IF($AL578="",0,'All Ticker P&amp;L'!M578)</f>
        <v>0</v>
      </c>
      <c r="AT578" s="243" t="str">
        <f>IF($AL578="","",RANK(AR578,$AR$2:$AR$1001)+COUNTIF($AR$2:AR578,AR578)-1)</f>
        <v/>
      </c>
      <c r="AU578" s="243" t="str">
        <f>IF($AL578="","",RANK(AV578,$AV$2:$AV$1001)+COUNTIF($AV$2:AV578,AV578)-1)</f>
        <v/>
      </c>
      <c r="AV578" s="266">
        <f t="shared" ref="AV578:AV641" si="50">-AR578</f>
        <v>0</v>
      </c>
    </row>
    <row r="579" spans="26:48" ht="15" customHeight="1" x14ac:dyDescent="0.2">
      <c r="Z579" s="243" t="str">
        <f>Shares!A579</f>
        <v/>
      </c>
      <c r="AA579" s="243" t="str">
        <f>Shares!B579</f>
        <v/>
      </c>
      <c r="AB579" s="243" t="str">
        <f>Shares!C579</f>
        <v/>
      </c>
      <c r="AC579" s="243" t="str">
        <f>Shares!D579</f>
        <v/>
      </c>
      <c r="AD579" s="243">
        <f>IF($Z579="",0,Shares!E579)</f>
        <v>0</v>
      </c>
      <c r="AE579" s="266">
        <f>IF($Z579="",0,Shares!J579*Shares!I579)</f>
        <v>0</v>
      </c>
      <c r="AF579" s="267">
        <f t="shared" si="49"/>
        <v>0</v>
      </c>
      <c r="AG579" s="266">
        <f>IF($Z579="",0,Shares!L579)</f>
        <v>0</v>
      </c>
      <c r="AH579" s="267">
        <f>IF($Z579="",0,Shares!M579)</f>
        <v>0</v>
      </c>
      <c r="AI579" s="243" t="str">
        <f>IF($Z579="","",RANK(AE579,$AE$2:$AE$1001)+COUNTIF($AE$2:AE579,AE579)-1)</f>
        <v/>
      </c>
      <c r="AJ579" s="243" t="str">
        <f>IF($AD579&lt;0,COUNT($AJ$1:AJ578)+1,"")</f>
        <v/>
      </c>
      <c r="AL579" s="243" t="str">
        <f>'All Ticker P&amp;L'!A579</f>
        <v/>
      </c>
      <c r="AM579" s="243" t="str">
        <f>'All Ticker P&amp;L'!B579</f>
        <v/>
      </c>
      <c r="AN579" s="243" t="str">
        <f>'All Ticker P&amp;L'!C579</f>
        <v/>
      </c>
      <c r="AO579" s="243" t="str">
        <f>'All Ticker P&amp;L'!D579</f>
        <v/>
      </c>
      <c r="AP579" s="243">
        <f>IF($AL579="",0,'All Ticker P&amp;L'!E579)</f>
        <v>0</v>
      </c>
      <c r="AQ579" s="266">
        <f>IF($AL579="",0,'All Ticker P&amp;L'!J579*'All Ticker P&amp;L'!I579)</f>
        <v>0</v>
      </c>
      <c r="AR579" s="266">
        <f>IF($AL579="",0,'All Ticker P&amp;L'!L579)</f>
        <v>0</v>
      </c>
      <c r="AS579" s="267">
        <f>IF($AL579="",0,'All Ticker P&amp;L'!M579)</f>
        <v>0</v>
      </c>
      <c r="AT579" s="243" t="str">
        <f>IF($AL579="","",RANK(AR579,$AR$2:$AR$1001)+COUNTIF($AR$2:AR579,AR579)-1)</f>
        <v/>
      </c>
      <c r="AU579" s="243" t="str">
        <f>IF($AL579="","",RANK(AV579,$AV$2:$AV$1001)+COUNTIF($AV$2:AV579,AV579)-1)</f>
        <v/>
      </c>
      <c r="AV579" s="266">
        <f t="shared" si="50"/>
        <v>0</v>
      </c>
    </row>
    <row r="580" spans="26:48" ht="15" customHeight="1" x14ac:dyDescent="0.2">
      <c r="Z580" s="243" t="str">
        <f>Shares!A580</f>
        <v/>
      </c>
      <c r="AA580" s="243" t="str">
        <f>Shares!B580</f>
        <v/>
      </c>
      <c r="AB580" s="243" t="str">
        <f>Shares!C580</f>
        <v/>
      </c>
      <c r="AC580" s="243" t="str">
        <f>Shares!D580</f>
        <v/>
      </c>
      <c r="AD580" s="243">
        <f>IF($Z580="",0,Shares!E580)</f>
        <v>0</v>
      </c>
      <c r="AE580" s="266">
        <f>IF($Z580="",0,Shares!J580*Shares!I580)</f>
        <v>0</v>
      </c>
      <c r="AF580" s="267">
        <f t="shared" si="49"/>
        <v>0</v>
      </c>
      <c r="AG580" s="266">
        <f>IF($Z580="",0,Shares!L580)</f>
        <v>0</v>
      </c>
      <c r="AH580" s="267">
        <f>IF($Z580="",0,Shares!M580)</f>
        <v>0</v>
      </c>
      <c r="AI580" s="243" t="str">
        <f>IF($Z580="","",RANK(AE580,$AE$2:$AE$1001)+COUNTIF($AE$2:AE580,AE580)-1)</f>
        <v/>
      </c>
      <c r="AJ580" s="243" t="str">
        <f>IF($AD580&lt;0,COUNT($AJ$1:AJ579)+1,"")</f>
        <v/>
      </c>
      <c r="AL580" s="243" t="str">
        <f>'All Ticker P&amp;L'!A580</f>
        <v/>
      </c>
      <c r="AM580" s="243" t="str">
        <f>'All Ticker P&amp;L'!B580</f>
        <v/>
      </c>
      <c r="AN580" s="243" t="str">
        <f>'All Ticker P&amp;L'!C580</f>
        <v/>
      </c>
      <c r="AO580" s="243" t="str">
        <f>'All Ticker P&amp;L'!D580</f>
        <v/>
      </c>
      <c r="AP580" s="243">
        <f>IF($AL580="",0,'All Ticker P&amp;L'!E580)</f>
        <v>0</v>
      </c>
      <c r="AQ580" s="266">
        <f>IF($AL580="",0,'All Ticker P&amp;L'!J580*'All Ticker P&amp;L'!I580)</f>
        <v>0</v>
      </c>
      <c r="AR580" s="266">
        <f>IF($AL580="",0,'All Ticker P&amp;L'!L580)</f>
        <v>0</v>
      </c>
      <c r="AS580" s="267">
        <f>IF($AL580="",0,'All Ticker P&amp;L'!M580)</f>
        <v>0</v>
      </c>
      <c r="AT580" s="243" t="str">
        <f>IF($AL580="","",RANK(AR580,$AR$2:$AR$1001)+COUNTIF($AR$2:AR580,AR580)-1)</f>
        <v/>
      </c>
      <c r="AU580" s="243" t="str">
        <f>IF($AL580="","",RANK(AV580,$AV$2:$AV$1001)+COUNTIF($AV$2:AV580,AV580)-1)</f>
        <v/>
      </c>
      <c r="AV580" s="266">
        <f t="shared" si="50"/>
        <v>0</v>
      </c>
    </row>
    <row r="581" spans="26:48" ht="15" customHeight="1" x14ac:dyDescent="0.2">
      <c r="Z581" s="243" t="str">
        <f>Shares!A581</f>
        <v/>
      </c>
      <c r="AA581" s="243" t="str">
        <f>Shares!B581</f>
        <v/>
      </c>
      <c r="AB581" s="243" t="str">
        <f>Shares!C581</f>
        <v/>
      </c>
      <c r="AC581" s="243" t="str">
        <f>Shares!D581</f>
        <v/>
      </c>
      <c r="AD581" s="243">
        <f>IF($Z581="",0,Shares!E581)</f>
        <v>0</v>
      </c>
      <c r="AE581" s="266">
        <f>IF($Z581="",0,Shares!J581*Shares!I581)</f>
        <v>0</v>
      </c>
      <c r="AF581" s="267">
        <f t="shared" si="49"/>
        <v>0</v>
      </c>
      <c r="AG581" s="266">
        <f>IF($Z581="",0,Shares!L581)</f>
        <v>0</v>
      </c>
      <c r="AH581" s="267">
        <f>IF($Z581="",0,Shares!M581)</f>
        <v>0</v>
      </c>
      <c r="AI581" s="243" t="str">
        <f>IF($Z581="","",RANK(AE581,$AE$2:$AE$1001)+COUNTIF($AE$2:AE581,AE581)-1)</f>
        <v/>
      </c>
      <c r="AJ581" s="243" t="str">
        <f>IF($AD581&lt;0,COUNT($AJ$1:AJ580)+1,"")</f>
        <v/>
      </c>
      <c r="AL581" s="243" t="str">
        <f>'All Ticker P&amp;L'!A581</f>
        <v/>
      </c>
      <c r="AM581" s="243" t="str">
        <f>'All Ticker P&amp;L'!B581</f>
        <v/>
      </c>
      <c r="AN581" s="243" t="str">
        <f>'All Ticker P&amp;L'!C581</f>
        <v/>
      </c>
      <c r="AO581" s="243" t="str">
        <f>'All Ticker P&amp;L'!D581</f>
        <v/>
      </c>
      <c r="AP581" s="243">
        <f>IF($AL581="",0,'All Ticker P&amp;L'!E581)</f>
        <v>0</v>
      </c>
      <c r="AQ581" s="266">
        <f>IF($AL581="",0,'All Ticker P&amp;L'!J581*'All Ticker P&amp;L'!I581)</f>
        <v>0</v>
      </c>
      <c r="AR581" s="266">
        <f>IF($AL581="",0,'All Ticker P&amp;L'!L581)</f>
        <v>0</v>
      </c>
      <c r="AS581" s="267">
        <f>IF($AL581="",0,'All Ticker P&amp;L'!M581)</f>
        <v>0</v>
      </c>
      <c r="AT581" s="243" t="str">
        <f>IF($AL581="","",RANK(AR581,$AR$2:$AR$1001)+COUNTIF($AR$2:AR581,AR581)-1)</f>
        <v/>
      </c>
      <c r="AU581" s="243" t="str">
        <f>IF($AL581="","",RANK(AV581,$AV$2:$AV$1001)+COUNTIF($AV$2:AV581,AV581)-1)</f>
        <v/>
      </c>
      <c r="AV581" s="266">
        <f t="shared" si="50"/>
        <v>0</v>
      </c>
    </row>
    <row r="582" spans="26:48" ht="15" customHeight="1" x14ac:dyDescent="0.2">
      <c r="Z582" s="243" t="str">
        <f>Shares!A582</f>
        <v/>
      </c>
      <c r="AA582" s="243" t="str">
        <f>Shares!B582</f>
        <v/>
      </c>
      <c r="AB582" s="243" t="str">
        <f>Shares!C582</f>
        <v/>
      </c>
      <c r="AC582" s="243" t="str">
        <f>Shares!D582</f>
        <v/>
      </c>
      <c r="AD582" s="243">
        <f>IF($Z582="",0,Shares!E582)</f>
        <v>0</v>
      </c>
      <c r="AE582" s="266">
        <f>IF($Z582="",0,Shares!J582*Shares!I582)</f>
        <v>0</v>
      </c>
      <c r="AF582" s="267">
        <f t="shared" si="49"/>
        <v>0</v>
      </c>
      <c r="AG582" s="266">
        <f>IF($Z582="",0,Shares!L582)</f>
        <v>0</v>
      </c>
      <c r="AH582" s="267">
        <f>IF($Z582="",0,Shares!M582)</f>
        <v>0</v>
      </c>
      <c r="AI582" s="243" t="str">
        <f>IF($Z582="","",RANK(AE582,$AE$2:$AE$1001)+COUNTIF($AE$2:AE582,AE582)-1)</f>
        <v/>
      </c>
      <c r="AJ582" s="243" t="str">
        <f>IF($AD582&lt;0,COUNT($AJ$1:AJ581)+1,"")</f>
        <v/>
      </c>
      <c r="AL582" s="243" t="str">
        <f>'All Ticker P&amp;L'!A582</f>
        <v/>
      </c>
      <c r="AM582" s="243" t="str">
        <f>'All Ticker P&amp;L'!B582</f>
        <v/>
      </c>
      <c r="AN582" s="243" t="str">
        <f>'All Ticker P&amp;L'!C582</f>
        <v/>
      </c>
      <c r="AO582" s="243" t="str">
        <f>'All Ticker P&amp;L'!D582</f>
        <v/>
      </c>
      <c r="AP582" s="243">
        <f>IF($AL582="",0,'All Ticker P&amp;L'!E582)</f>
        <v>0</v>
      </c>
      <c r="AQ582" s="266">
        <f>IF($AL582="",0,'All Ticker P&amp;L'!J582*'All Ticker P&amp;L'!I582)</f>
        <v>0</v>
      </c>
      <c r="AR582" s="266">
        <f>IF($AL582="",0,'All Ticker P&amp;L'!L582)</f>
        <v>0</v>
      </c>
      <c r="AS582" s="267">
        <f>IF($AL582="",0,'All Ticker P&amp;L'!M582)</f>
        <v>0</v>
      </c>
      <c r="AT582" s="243" t="str">
        <f>IF($AL582="","",RANK(AR582,$AR$2:$AR$1001)+COUNTIF($AR$2:AR582,AR582)-1)</f>
        <v/>
      </c>
      <c r="AU582" s="243" t="str">
        <f>IF($AL582="","",RANK(AV582,$AV$2:$AV$1001)+COUNTIF($AV$2:AV582,AV582)-1)</f>
        <v/>
      </c>
      <c r="AV582" s="266">
        <f t="shared" si="50"/>
        <v>0</v>
      </c>
    </row>
    <row r="583" spans="26:48" ht="15" customHeight="1" x14ac:dyDescent="0.2">
      <c r="Z583" s="243" t="str">
        <f>Shares!A583</f>
        <v/>
      </c>
      <c r="AA583" s="243" t="str">
        <f>Shares!B583</f>
        <v/>
      </c>
      <c r="AB583" s="243" t="str">
        <f>Shares!C583</f>
        <v/>
      </c>
      <c r="AC583" s="243" t="str">
        <f>Shares!D583</f>
        <v/>
      </c>
      <c r="AD583" s="243">
        <f>IF($Z583="",0,Shares!E583)</f>
        <v>0</v>
      </c>
      <c r="AE583" s="266">
        <f>IF($Z583="",0,Shares!J583*Shares!I583)</f>
        <v>0</v>
      </c>
      <c r="AF583" s="267">
        <f t="shared" si="49"/>
        <v>0</v>
      </c>
      <c r="AG583" s="266">
        <f>IF($Z583="",0,Shares!L583)</f>
        <v>0</v>
      </c>
      <c r="AH583" s="267">
        <f>IF($Z583="",0,Shares!M583)</f>
        <v>0</v>
      </c>
      <c r="AI583" s="243" t="str">
        <f>IF($Z583="","",RANK(AE583,$AE$2:$AE$1001)+COUNTIF($AE$2:AE583,AE583)-1)</f>
        <v/>
      </c>
      <c r="AJ583" s="243" t="str">
        <f>IF($AD583&lt;0,COUNT($AJ$1:AJ582)+1,"")</f>
        <v/>
      </c>
      <c r="AL583" s="243" t="str">
        <f>'All Ticker P&amp;L'!A583</f>
        <v/>
      </c>
      <c r="AM583" s="243" t="str">
        <f>'All Ticker P&amp;L'!B583</f>
        <v/>
      </c>
      <c r="AN583" s="243" t="str">
        <f>'All Ticker P&amp;L'!C583</f>
        <v/>
      </c>
      <c r="AO583" s="243" t="str">
        <f>'All Ticker P&amp;L'!D583</f>
        <v/>
      </c>
      <c r="AP583" s="243">
        <f>IF($AL583="",0,'All Ticker P&amp;L'!E583)</f>
        <v>0</v>
      </c>
      <c r="AQ583" s="266">
        <f>IF($AL583="",0,'All Ticker P&amp;L'!J583*'All Ticker P&amp;L'!I583)</f>
        <v>0</v>
      </c>
      <c r="AR583" s="266">
        <f>IF($AL583="",0,'All Ticker P&amp;L'!L583)</f>
        <v>0</v>
      </c>
      <c r="AS583" s="267">
        <f>IF($AL583="",0,'All Ticker P&amp;L'!M583)</f>
        <v>0</v>
      </c>
      <c r="AT583" s="243" t="str">
        <f>IF($AL583="","",RANK(AR583,$AR$2:$AR$1001)+COUNTIF($AR$2:AR583,AR583)-1)</f>
        <v/>
      </c>
      <c r="AU583" s="243" t="str">
        <f>IF($AL583="","",RANK(AV583,$AV$2:$AV$1001)+COUNTIF($AV$2:AV583,AV583)-1)</f>
        <v/>
      </c>
      <c r="AV583" s="266">
        <f t="shared" si="50"/>
        <v>0</v>
      </c>
    </row>
    <row r="584" spans="26:48" ht="15" customHeight="1" x14ac:dyDescent="0.2">
      <c r="Z584" s="243" t="str">
        <f>Shares!A584</f>
        <v/>
      </c>
      <c r="AA584" s="243" t="str">
        <f>Shares!B584</f>
        <v/>
      </c>
      <c r="AB584" s="243" t="str">
        <f>Shares!C584</f>
        <v/>
      </c>
      <c r="AC584" s="243" t="str">
        <f>Shares!D584</f>
        <v/>
      </c>
      <c r="AD584" s="243">
        <f>IF($Z584="",0,Shares!E584)</f>
        <v>0</v>
      </c>
      <c r="AE584" s="266">
        <f>IF($Z584="",0,Shares!J584*Shares!I584)</f>
        <v>0</v>
      </c>
      <c r="AF584" s="267">
        <f t="shared" si="49"/>
        <v>0</v>
      </c>
      <c r="AG584" s="266">
        <f>IF($Z584="",0,Shares!L584)</f>
        <v>0</v>
      </c>
      <c r="AH584" s="267">
        <f>IF($Z584="",0,Shares!M584)</f>
        <v>0</v>
      </c>
      <c r="AI584" s="243" t="str">
        <f>IF($Z584="","",RANK(AE584,$AE$2:$AE$1001)+COUNTIF($AE$2:AE584,AE584)-1)</f>
        <v/>
      </c>
      <c r="AJ584" s="243" t="str">
        <f>IF($AD584&lt;0,COUNT($AJ$1:AJ583)+1,"")</f>
        <v/>
      </c>
      <c r="AL584" s="243" t="str">
        <f>'All Ticker P&amp;L'!A584</f>
        <v/>
      </c>
      <c r="AM584" s="243" t="str">
        <f>'All Ticker P&amp;L'!B584</f>
        <v/>
      </c>
      <c r="AN584" s="243" t="str">
        <f>'All Ticker P&amp;L'!C584</f>
        <v/>
      </c>
      <c r="AO584" s="243" t="str">
        <f>'All Ticker P&amp;L'!D584</f>
        <v/>
      </c>
      <c r="AP584" s="243">
        <f>IF($AL584="",0,'All Ticker P&amp;L'!E584)</f>
        <v>0</v>
      </c>
      <c r="AQ584" s="266">
        <f>IF($AL584="",0,'All Ticker P&amp;L'!J584*'All Ticker P&amp;L'!I584)</f>
        <v>0</v>
      </c>
      <c r="AR584" s="266">
        <f>IF($AL584="",0,'All Ticker P&amp;L'!L584)</f>
        <v>0</v>
      </c>
      <c r="AS584" s="267">
        <f>IF($AL584="",0,'All Ticker P&amp;L'!M584)</f>
        <v>0</v>
      </c>
      <c r="AT584" s="243" t="str">
        <f>IF($AL584="","",RANK(AR584,$AR$2:$AR$1001)+COUNTIF($AR$2:AR584,AR584)-1)</f>
        <v/>
      </c>
      <c r="AU584" s="243" t="str">
        <f>IF($AL584="","",RANK(AV584,$AV$2:$AV$1001)+COUNTIF($AV$2:AV584,AV584)-1)</f>
        <v/>
      </c>
      <c r="AV584" s="266">
        <f t="shared" si="50"/>
        <v>0</v>
      </c>
    </row>
    <row r="585" spans="26:48" ht="15" customHeight="1" x14ac:dyDescent="0.2">
      <c r="Z585" s="243" t="str">
        <f>Shares!A585</f>
        <v/>
      </c>
      <c r="AA585" s="243" t="str">
        <f>Shares!B585</f>
        <v/>
      </c>
      <c r="AB585" s="243" t="str">
        <f>Shares!C585</f>
        <v/>
      </c>
      <c r="AC585" s="243" t="str">
        <f>Shares!D585</f>
        <v/>
      </c>
      <c r="AD585" s="243">
        <f>IF($Z585="",0,Shares!E585)</f>
        <v>0</v>
      </c>
      <c r="AE585" s="266">
        <f>IF($Z585="",0,Shares!J585*Shares!I585)</f>
        <v>0</v>
      </c>
      <c r="AF585" s="267">
        <f t="shared" si="49"/>
        <v>0</v>
      </c>
      <c r="AG585" s="266">
        <f>IF($Z585="",0,Shares!L585)</f>
        <v>0</v>
      </c>
      <c r="AH585" s="267">
        <f>IF($Z585="",0,Shares!M585)</f>
        <v>0</v>
      </c>
      <c r="AI585" s="243" t="str">
        <f>IF($Z585="","",RANK(AE585,$AE$2:$AE$1001)+COUNTIF($AE$2:AE585,AE585)-1)</f>
        <v/>
      </c>
      <c r="AJ585" s="243" t="str">
        <f>IF($AD585&lt;0,COUNT($AJ$1:AJ584)+1,"")</f>
        <v/>
      </c>
      <c r="AL585" s="243" t="str">
        <f>'All Ticker P&amp;L'!A585</f>
        <v/>
      </c>
      <c r="AM585" s="243" t="str">
        <f>'All Ticker P&amp;L'!B585</f>
        <v/>
      </c>
      <c r="AN585" s="243" t="str">
        <f>'All Ticker P&amp;L'!C585</f>
        <v/>
      </c>
      <c r="AO585" s="243" t="str">
        <f>'All Ticker P&amp;L'!D585</f>
        <v/>
      </c>
      <c r="AP585" s="243">
        <f>IF($AL585="",0,'All Ticker P&amp;L'!E585)</f>
        <v>0</v>
      </c>
      <c r="AQ585" s="266">
        <f>IF($AL585="",0,'All Ticker P&amp;L'!J585*'All Ticker P&amp;L'!I585)</f>
        <v>0</v>
      </c>
      <c r="AR585" s="266">
        <f>IF($AL585="",0,'All Ticker P&amp;L'!L585)</f>
        <v>0</v>
      </c>
      <c r="AS585" s="267">
        <f>IF($AL585="",0,'All Ticker P&amp;L'!M585)</f>
        <v>0</v>
      </c>
      <c r="AT585" s="243" t="str">
        <f>IF($AL585="","",RANK(AR585,$AR$2:$AR$1001)+COUNTIF($AR$2:AR585,AR585)-1)</f>
        <v/>
      </c>
      <c r="AU585" s="243" t="str">
        <f>IF($AL585="","",RANK(AV585,$AV$2:$AV$1001)+COUNTIF($AV$2:AV585,AV585)-1)</f>
        <v/>
      </c>
      <c r="AV585" s="266">
        <f t="shared" si="50"/>
        <v>0</v>
      </c>
    </row>
    <row r="586" spans="26:48" ht="15" customHeight="1" x14ac:dyDescent="0.2">
      <c r="Z586" s="243" t="str">
        <f>Shares!A586</f>
        <v/>
      </c>
      <c r="AA586" s="243" t="str">
        <f>Shares!B586</f>
        <v/>
      </c>
      <c r="AB586" s="243" t="str">
        <f>Shares!C586</f>
        <v/>
      </c>
      <c r="AC586" s="243" t="str">
        <f>Shares!D586</f>
        <v/>
      </c>
      <c r="AD586" s="243">
        <f>IF($Z586="",0,Shares!E586)</f>
        <v>0</v>
      </c>
      <c r="AE586" s="266">
        <f>IF($Z586="",0,Shares!J586*Shares!I586)</f>
        <v>0</v>
      </c>
      <c r="AF586" s="267">
        <f t="shared" si="49"/>
        <v>0</v>
      </c>
      <c r="AG586" s="266">
        <f>IF($Z586="",0,Shares!L586)</f>
        <v>0</v>
      </c>
      <c r="AH586" s="267">
        <f>IF($Z586="",0,Shares!M586)</f>
        <v>0</v>
      </c>
      <c r="AI586" s="243" t="str">
        <f>IF($Z586="","",RANK(AE586,$AE$2:$AE$1001)+COUNTIF($AE$2:AE586,AE586)-1)</f>
        <v/>
      </c>
      <c r="AJ586" s="243" t="str">
        <f>IF($AD586&lt;0,COUNT($AJ$1:AJ585)+1,"")</f>
        <v/>
      </c>
      <c r="AL586" s="243" t="str">
        <f>'All Ticker P&amp;L'!A586</f>
        <v/>
      </c>
      <c r="AM586" s="243" t="str">
        <f>'All Ticker P&amp;L'!B586</f>
        <v/>
      </c>
      <c r="AN586" s="243" t="str">
        <f>'All Ticker P&amp;L'!C586</f>
        <v/>
      </c>
      <c r="AO586" s="243" t="str">
        <f>'All Ticker P&amp;L'!D586</f>
        <v/>
      </c>
      <c r="AP586" s="243">
        <f>IF($AL586="",0,'All Ticker P&amp;L'!E586)</f>
        <v>0</v>
      </c>
      <c r="AQ586" s="266">
        <f>IF($AL586="",0,'All Ticker P&amp;L'!J586*'All Ticker P&amp;L'!I586)</f>
        <v>0</v>
      </c>
      <c r="AR586" s="266">
        <f>IF($AL586="",0,'All Ticker P&amp;L'!L586)</f>
        <v>0</v>
      </c>
      <c r="AS586" s="267">
        <f>IF($AL586="",0,'All Ticker P&amp;L'!M586)</f>
        <v>0</v>
      </c>
      <c r="AT586" s="243" t="str">
        <f>IF($AL586="","",RANK(AR586,$AR$2:$AR$1001)+COUNTIF($AR$2:AR586,AR586)-1)</f>
        <v/>
      </c>
      <c r="AU586" s="243" t="str">
        <f>IF($AL586="","",RANK(AV586,$AV$2:$AV$1001)+COUNTIF($AV$2:AV586,AV586)-1)</f>
        <v/>
      </c>
      <c r="AV586" s="266">
        <f t="shared" si="50"/>
        <v>0</v>
      </c>
    </row>
    <row r="587" spans="26:48" ht="15" customHeight="1" x14ac:dyDescent="0.2">
      <c r="Z587" s="243" t="str">
        <f>Shares!A587</f>
        <v/>
      </c>
      <c r="AA587" s="243" t="str">
        <f>Shares!B587</f>
        <v/>
      </c>
      <c r="AB587" s="243" t="str">
        <f>Shares!C587</f>
        <v/>
      </c>
      <c r="AC587" s="243" t="str">
        <f>Shares!D587</f>
        <v/>
      </c>
      <c r="AD587" s="243">
        <f>IF($Z587="",0,Shares!E587)</f>
        <v>0</v>
      </c>
      <c r="AE587" s="266">
        <f>IF($Z587="",0,Shares!J587*Shares!I587)</f>
        <v>0</v>
      </c>
      <c r="AF587" s="267">
        <f t="shared" si="49"/>
        <v>0</v>
      </c>
      <c r="AG587" s="266">
        <f>IF($Z587="",0,Shares!L587)</f>
        <v>0</v>
      </c>
      <c r="AH587" s="267">
        <f>IF($Z587="",0,Shares!M587)</f>
        <v>0</v>
      </c>
      <c r="AI587" s="243" t="str">
        <f>IF($Z587="","",RANK(AE587,$AE$2:$AE$1001)+COUNTIF($AE$2:AE587,AE587)-1)</f>
        <v/>
      </c>
      <c r="AJ587" s="243" t="str">
        <f>IF($AD587&lt;0,COUNT($AJ$1:AJ586)+1,"")</f>
        <v/>
      </c>
      <c r="AL587" s="243" t="str">
        <f>'All Ticker P&amp;L'!A587</f>
        <v/>
      </c>
      <c r="AM587" s="243" t="str">
        <f>'All Ticker P&amp;L'!B587</f>
        <v/>
      </c>
      <c r="AN587" s="243" t="str">
        <f>'All Ticker P&amp;L'!C587</f>
        <v/>
      </c>
      <c r="AO587" s="243" t="str">
        <f>'All Ticker P&amp;L'!D587</f>
        <v/>
      </c>
      <c r="AP587" s="243">
        <f>IF($AL587="",0,'All Ticker P&amp;L'!E587)</f>
        <v>0</v>
      </c>
      <c r="AQ587" s="266">
        <f>IF($AL587="",0,'All Ticker P&amp;L'!J587*'All Ticker P&amp;L'!I587)</f>
        <v>0</v>
      </c>
      <c r="AR587" s="266">
        <f>IF($AL587="",0,'All Ticker P&amp;L'!L587)</f>
        <v>0</v>
      </c>
      <c r="AS587" s="267">
        <f>IF($AL587="",0,'All Ticker P&amp;L'!M587)</f>
        <v>0</v>
      </c>
      <c r="AT587" s="243" t="str">
        <f>IF($AL587="","",RANK(AR587,$AR$2:$AR$1001)+COUNTIF($AR$2:AR587,AR587)-1)</f>
        <v/>
      </c>
      <c r="AU587" s="243" t="str">
        <f>IF($AL587="","",RANK(AV587,$AV$2:$AV$1001)+COUNTIF($AV$2:AV587,AV587)-1)</f>
        <v/>
      </c>
      <c r="AV587" s="266">
        <f t="shared" si="50"/>
        <v>0</v>
      </c>
    </row>
    <row r="588" spans="26:48" ht="15" customHeight="1" x14ac:dyDescent="0.2">
      <c r="Z588" s="243" t="str">
        <f>Shares!A588</f>
        <v/>
      </c>
      <c r="AA588" s="243" t="str">
        <f>Shares!B588</f>
        <v/>
      </c>
      <c r="AB588" s="243" t="str">
        <f>Shares!C588</f>
        <v/>
      </c>
      <c r="AC588" s="243" t="str">
        <f>Shares!D588</f>
        <v/>
      </c>
      <c r="AD588" s="243">
        <f>IF($Z588="",0,Shares!E588)</f>
        <v>0</v>
      </c>
      <c r="AE588" s="266">
        <f>IF($Z588="",0,Shares!J588*Shares!I588)</f>
        <v>0</v>
      </c>
      <c r="AF588" s="267">
        <f t="shared" si="49"/>
        <v>0</v>
      </c>
      <c r="AG588" s="266">
        <f>IF($Z588="",0,Shares!L588)</f>
        <v>0</v>
      </c>
      <c r="AH588" s="267">
        <f>IF($Z588="",0,Shares!M588)</f>
        <v>0</v>
      </c>
      <c r="AI588" s="243" t="str">
        <f>IF($Z588="","",RANK(AE588,$AE$2:$AE$1001)+COUNTIF($AE$2:AE588,AE588)-1)</f>
        <v/>
      </c>
      <c r="AJ588" s="243" t="str">
        <f>IF($AD588&lt;0,COUNT($AJ$1:AJ587)+1,"")</f>
        <v/>
      </c>
      <c r="AL588" s="243" t="str">
        <f>'All Ticker P&amp;L'!A588</f>
        <v/>
      </c>
      <c r="AM588" s="243" t="str">
        <f>'All Ticker P&amp;L'!B588</f>
        <v/>
      </c>
      <c r="AN588" s="243" t="str">
        <f>'All Ticker P&amp;L'!C588</f>
        <v/>
      </c>
      <c r="AO588" s="243" t="str">
        <f>'All Ticker P&amp;L'!D588</f>
        <v/>
      </c>
      <c r="AP588" s="243">
        <f>IF($AL588="",0,'All Ticker P&amp;L'!E588)</f>
        <v>0</v>
      </c>
      <c r="AQ588" s="266">
        <f>IF($AL588="",0,'All Ticker P&amp;L'!J588*'All Ticker P&amp;L'!I588)</f>
        <v>0</v>
      </c>
      <c r="AR588" s="266">
        <f>IF($AL588="",0,'All Ticker P&amp;L'!L588)</f>
        <v>0</v>
      </c>
      <c r="AS588" s="267">
        <f>IF($AL588="",0,'All Ticker P&amp;L'!M588)</f>
        <v>0</v>
      </c>
      <c r="AT588" s="243" t="str">
        <f>IF($AL588="","",RANK(AR588,$AR$2:$AR$1001)+COUNTIF($AR$2:AR588,AR588)-1)</f>
        <v/>
      </c>
      <c r="AU588" s="243" t="str">
        <f>IF($AL588="","",RANK(AV588,$AV$2:$AV$1001)+COUNTIF($AV$2:AV588,AV588)-1)</f>
        <v/>
      </c>
      <c r="AV588" s="266">
        <f t="shared" si="50"/>
        <v>0</v>
      </c>
    </row>
    <row r="589" spans="26:48" ht="15" customHeight="1" x14ac:dyDescent="0.2">
      <c r="Z589" s="243" t="str">
        <f>Shares!A589</f>
        <v/>
      </c>
      <c r="AA589" s="243" t="str">
        <f>Shares!B589</f>
        <v/>
      </c>
      <c r="AB589" s="243" t="str">
        <f>Shares!C589</f>
        <v/>
      </c>
      <c r="AC589" s="243" t="str">
        <f>Shares!D589</f>
        <v/>
      </c>
      <c r="AD589" s="243">
        <f>IF($Z589="",0,Shares!E589)</f>
        <v>0</v>
      </c>
      <c r="AE589" s="266">
        <f>IF($Z589="",0,Shares!J589*Shares!I589)</f>
        <v>0</v>
      </c>
      <c r="AF589" s="267">
        <f t="shared" si="49"/>
        <v>0</v>
      </c>
      <c r="AG589" s="266">
        <f>IF($Z589="",0,Shares!L589)</f>
        <v>0</v>
      </c>
      <c r="AH589" s="267">
        <f>IF($Z589="",0,Shares!M589)</f>
        <v>0</v>
      </c>
      <c r="AI589" s="243" t="str">
        <f>IF($Z589="","",RANK(AE589,$AE$2:$AE$1001)+COUNTIF($AE$2:AE589,AE589)-1)</f>
        <v/>
      </c>
      <c r="AJ589" s="243" t="str">
        <f>IF($AD589&lt;0,COUNT($AJ$1:AJ588)+1,"")</f>
        <v/>
      </c>
      <c r="AL589" s="243" t="str">
        <f>'All Ticker P&amp;L'!A589</f>
        <v/>
      </c>
      <c r="AM589" s="243" t="str">
        <f>'All Ticker P&amp;L'!B589</f>
        <v/>
      </c>
      <c r="AN589" s="243" t="str">
        <f>'All Ticker P&amp;L'!C589</f>
        <v/>
      </c>
      <c r="AO589" s="243" t="str">
        <f>'All Ticker P&amp;L'!D589</f>
        <v/>
      </c>
      <c r="AP589" s="243">
        <f>IF($AL589="",0,'All Ticker P&amp;L'!E589)</f>
        <v>0</v>
      </c>
      <c r="AQ589" s="266">
        <f>IF($AL589="",0,'All Ticker P&amp;L'!J589*'All Ticker P&amp;L'!I589)</f>
        <v>0</v>
      </c>
      <c r="AR589" s="266">
        <f>IF($AL589="",0,'All Ticker P&amp;L'!L589)</f>
        <v>0</v>
      </c>
      <c r="AS589" s="267">
        <f>IF($AL589="",0,'All Ticker P&amp;L'!M589)</f>
        <v>0</v>
      </c>
      <c r="AT589" s="243" t="str">
        <f>IF($AL589="","",RANK(AR589,$AR$2:$AR$1001)+COUNTIF($AR$2:AR589,AR589)-1)</f>
        <v/>
      </c>
      <c r="AU589" s="243" t="str">
        <f>IF($AL589="","",RANK(AV589,$AV$2:$AV$1001)+COUNTIF($AV$2:AV589,AV589)-1)</f>
        <v/>
      </c>
      <c r="AV589" s="266">
        <f t="shared" si="50"/>
        <v>0</v>
      </c>
    </row>
    <row r="590" spans="26:48" ht="15" customHeight="1" x14ac:dyDescent="0.2">
      <c r="Z590" s="243" t="str">
        <f>Shares!A590</f>
        <v/>
      </c>
      <c r="AA590" s="243" t="str">
        <f>Shares!B590</f>
        <v/>
      </c>
      <c r="AB590" s="243" t="str">
        <f>Shares!C590</f>
        <v/>
      </c>
      <c r="AC590" s="243" t="str">
        <f>Shares!D590</f>
        <v/>
      </c>
      <c r="AD590" s="243">
        <f>IF($Z590="",0,Shares!E590)</f>
        <v>0</v>
      </c>
      <c r="AE590" s="266">
        <f>IF($Z590="",0,Shares!J590*Shares!I590)</f>
        <v>0</v>
      </c>
      <c r="AF590" s="267">
        <f t="shared" si="49"/>
        <v>0</v>
      </c>
      <c r="AG590" s="266">
        <f>IF($Z590="",0,Shares!L590)</f>
        <v>0</v>
      </c>
      <c r="AH590" s="267">
        <f>IF($Z590="",0,Shares!M590)</f>
        <v>0</v>
      </c>
      <c r="AI590" s="243" t="str">
        <f>IF($Z590="","",RANK(AE590,$AE$2:$AE$1001)+COUNTIF($AE$2:AE590,AE590)-1)</f>
        <v/>
      </c>
      <c r="AJ590" s="243" t="str">
        <f>IF($AD590&lt;0,COUNT($AJ$1:AJ589)+1,"")</f>
        <v/>
      </c>
      <c r="AL590" s="243" t="str">
        <f>'All Ticker P&amp;L'!A590</f>
        <v/>
      </c>
      <c r="AM590" s="243" t="str">
        <f>'All Ticker P&amp;L'!B590</f>
        <v/>
      </c>
      <c r="AN590" s="243" t="str">
        <f>'All Ticker P&amp;L'!C590</f>
        <v/>
      </c>
      <c r="AO590" s="243" t="str">
        <f>'All Ticker P&amp;L'!D590</f>
        <v/>
      </c>
      <c r="AP590" s="243">
        <f>IF($AL590="",0,'All Ticker P&amp;L'!E590)</f>
        <v>0</v>
      </c>
      <c r="AQ590" s="266">
        <f>IF($AL590="",0,'All Ticker P&amp;L'!J590*'All Ticker P&amp;L'!I590)</f>
        <v>0</v>
      </c>
      <c r="AR590" s="266">
        <f>IF($AL590="",0,'All Ticker P&amp;L'!L590)</f>
        <v>0</v>
      </c>
      <c r="AS590" s="267">
        <f>IF($AL590="",0,'All Ticker P&amp;L'!M590)</f>
        <v>0</v>
      </c>
      <c r="AT590" s="243" t="str">
        <f>IF($AL590="","",RANK(AR590,$AR$2:$AR$1001)+COUNTIF($AR$2:AR590,AR590)-1)</f>
        <v/>
      </c>
      <c r="AU590" s="243" t="str">
        <f>IF($AL590="","",RANK(AV590,$AV$2:$AV$1001)+COUNTIF($AV$2:AV590,AV590)-1)</f>
        <v/>
      </c>
      <c r="AV590" s="266">
        <f t="shared" si="50"/>
        <v>0</v>
      </c>
    </row>
    <row r="591" spans="26:48" ht="15" customHeight="1" x14ac:dyDescent="0.2">
      <c r="Z591" s="243" t="str">
        <f>Shares!A591</f>
        <v/>
      </c>
      <c r="AA591" s="243" t="str">
        <f>Shares!B591</f>
        <v/>
      </c>
      <c r="AB591" s="243" t="str">
        <f>Shares!C591</f>
        <v/>
      </c>
      <c r="AC591" s="243" t="str">
        <f>Shares!D591</f>
        <v/>
      </c>
      <c r="AD591" s="243">
        <f>IF($Z591="",0,Shares!E591)</f>
        <v>0</v>
      </c>
      <c r="AE591" s="266">
        <f>IF($Z591="",0,Shares!J591*Shares!I591)</f>
        <v>0</v>
      </c>
      <c r="AF591" s="267">
        <f t="shared" si="49"/>
        <v>0</v>
      </c>
      <c r="AG591" s="266">
        <f>IF($Z591="",0,Shares!L591)</f>
        <v>0</v>
      </c>
      <c r="AH591" s="267">
        <f>IF($Z591="",0,Shares!M591)</f>
        <v>0</v>
      </c>
      <c r="AI591" s="243" t="str">
        <f>IF($Z591="","",RANK(AE591,$AE$2:$AE$1001)+COUNTIF($AE$2:AE591,AE591)-1)</f>
        <v/>
      </c>
      <c r="AJ591" s="243" t="str">
        <f>IF($AD591&lt;0,COUNT($AJ$1:AJ590)+1,"")</f>
        <v/>
      </c>
      <c r="AL591" s="243" t="str">
        <f>'All Ticker P&amp;L'!A591</f>
        <v/>
      </c>
      <c r="AM591" s="243" t="str">
        <f>'All Ticker P&amp;L'!B591</f>
        <v/>
      </c>
      <c r="AN591" s="243" t="str">
        <f>'All Ticker P&amp;L'!C591</f>
        <v/>
      </c>
      <c r="AO591" s="243" t="str">
        <f>'All Ticker P&amp;L'!D591</f>
        <v/>
      </c>
      <c r="AP591" s="243">
        <f>IF($AL591="",0,'All Ticker P&amp;L'!E591)</f>
        <v>0</v>
      </c>
      <c r="AQ591" s="266">
        <f>IF($AL591="",0,'All Ticker P&amp;L'!J591*'All Ticker P&amp;L'!I591)</f>
        <v>0</v>
      </c>
      <c r="AR591" s="266">
        <f>IF($AL591="",0,'All Ticker P&amp;L'!L591)</f>
        <v>0</v>
      </c>
      <c r="AS591" s="267">
        <f>IF($AL591="",0,'All Ticker P&amp;L'!M591)</f>
        <v>0</v>
      </c>
      <c r="AT591" s="243" t="str">
        <f>IF($AL591="","",RANK(AR591,$AR$2:$AR$1001)+COUNTIF($AR$2:AR591,AR591)-1)</f>
        <v/>
      </c>
      <c r="AU591" s="243" t="str">
        <f>IF($AL591="","",RANK(AV591,$AV$2:$AV$1001)+COUNTIF($AV$2:AV591,AV591)-1)</f>
        <v/>
      </c>
      <c r="AV591" s="266">
        <f t="shared" si="50"/>
        <v>0</v>
      </c>
    </row>
    <row r="592" spans="26:48" ht="15" customHeight="1" x14ac:dyDescent="0.2">
      <c r="Z592" s="243" t="str">
        <f>Shares!A592</f>
        <v/>
      </c>
      <c r="AA592" s="243" t="str">
        <f>Shares!B592</f>
        <v/>
      </c>
      <c r="AB592" s="243" t="str">
        <f>Shares!C592</f>
        <v/>
      </c>
      <c r="AC592" s="243" t="str">
        <f>Shares!D592</f>
        <v/>
      </c>
      <c r="AD592" s="243">
        <f>IF($Z592="",0,Shares!E592)</f>
        <v>0</v>
      </c>
      <c r="AE592" s="266">
        <f>IF($Z592="",0,Shares!J592*Shares!I592)</f>
        <v>0</v>
      </c>
      <c r="AF592" s="267">
        <f t="shared" si="49"/>
        <v>0</v>
      </c>
      <c r="AG592" s="266">
        <f>IF($Z592="",0,Shares!L592)</f>
        <v>0</v>
      </c>
      <c r="AH592" s="267">
        <f>IF($Z592="",0,Shares!M592)</f>
        <v>0</v>
      </c>
      <c r="AI592" s="243" t="str">
        <f>IF($Z592="","",RANK(AE592,$AE$2:$AE$1001)+COUNTIF($AE$2:AE592,AE592)-1)</f>
        <v/>
      </c>
      <c r="AJ592" s="243" t="str">
        <f>IF($AD592&lt;0,COUNT($AJ$1:AJ591)+1,"")</f>
        <v/>
      </c>
      <c r="AL592" s="243" t="str">
        <f>'All Ticker P&amp;L'!A592</f>
        <v/>
      </c>
      <c r="AM592" s="243" t="str">
        <f>'All Ticker P&amp;L'!B592</f>
        <v/>
      </c>
      <c r="AN592" s="243" t="str">
        <f>'All Ticker P&amp;L'!C592</f>
        <v/>
      </c>
      <c r="AO592" s="243" t="str">
        <f>'All Ticker P&amp;L'!D592</f>
        <v/>
      </c>
      <c r="AP592" s="243">
        <f>IF($AL592="",0,'All Ticker P&amp;L'!E592)</f>
        <v>0</v>
      </c>
      <c r="AQ592" s="266">
        <f>IF($AL592="",0,'All Ticker P&amp;L'!J592*'All Ticker P&amp;L'!I592)</f>
        <v>0</v>
      </c>
      <c r="AR592" s="266">
        <f>IF($AL592="",0,'All Ticker P&amp;L'!L592)</f>
        <v>0</v>
      </c>
      <c r="AS592" s="267">
        <f>IF($AL592="",0,'All Ticker P&amp;L'!M592)</f>
        <v>0</v>
      </c>
      <c r="AT592" s="243" t="str">
        <f>IF($AL592="","",RANK(AR592,$AR$2:$AR$1001)+COUNTIF($AR$2:AR592,AR592)-1)</f>
        <v/>
      </c>
      <c r="AU592" s="243" t="str">
        <f>IF($AL592="","",RANK(AV592,$AV$2:$AV$1001)+COUNTIF($AV$2:AV592,AV592)-1)</f>
        <v/>
      </c>
      <c r="AV592" s="266">
        <f t="shared" si="50"/>
        <v>0</v>
      </c>
    </row>
    <row r="593" spans="26:48" ht="15" customHeight="1" x14ac:dyDescent="0.2">
      <c r="Z593" s="243" t="str">
        <f>Shares!A593</f>
        <v/>
      </c>
      <c r="AA593" s="243" t="str">
        <f>Shares!B593</f>
        <v/>
      </c>
      <c r="AB593" s="243" t="str">
        <f>Shares!C593</f>
        <v/>
      </c>
      <c r="AC593" s="243" t="str">
        <f>Shares!D593</f>
        <v/>
      </c>
      <c r="AD593" s="243">
        <f>IF($Z593="",0,Shares!E593)</f>
        <v>0</v>
      </c>
      <c r="AE593" s="266">
        <f>IF($Z593="",0,Shares!J593*Shares!I593)</f>
        <v>0</v>
      </c>
      <c r="AF593" s="267">
        <f t="shared" si="49"/>
        <v>0</v>
      </c>
      <c r="AG593" s="266">
        <f>IF($Z593="",0,Shares!L593)</f>
        <v>0</v>
      </c>
      <c r="AH593" s="267">
        <f>IF($Z593="",0,Shares!M593)</f>
        <v>0</v>
      </c>
      <c r="AI593" s="243" t="str">
        <f>IF($Z593="","",RANK(AE593,$AE$2:$AE$1001)+COUNTIF($AE$2:AE593,AE593)-1)</f>
        <v/>
      </c>
      <c r="AJ593" s="243" t="str">
        <f>IF($AD593&lt;0,COUNT($AJ$1:AJ592)+1,"")</f>
        <v/>
      </c>
      <c r="AL593" s="243" t="str">
        <f>'All Ticker P&amp;L'!A593</f>
        <v/>
      </c>
      <c r="AM593" s="243" t="str">
        <f>'All Ticker P&amp;L'!B593</f>
        <v/>
      </c>
      <c r="AN593" s="243" t="str">
        <f>'All Ticker P&amp;L'!C593</f>
        <v/>
      </c>
      <c r="AO593" s="243" t="str">
        <f>'All Ticker P&amp;L'!D593</f>
        <v/>
      </c>
      <c r="AP593" s="243">
        <f>IF($AL593="",0,'All Ticker P&amp;L'!E593)</f>
        <v>0</v>
      </c>
      <c r="AQ593" s="266">
        <f>IF($AL593="",0,'All Ticker P&amp;L'!J593*'All Ticker P&amp;L'!I593)</f>
        <v>0</v>
      </c>
      <c r="AR593" s="266">
        <f>IF($AL593="",0,'All Ticker P&amp;L'!L593)</f>
        <v>0</v>
      </c>
      <c r="AS593" s="267">
        <f>IF($AL593="",0,'All Ticker P&amp;L'!M593)</f>
        <v>0</v>
      </c>
      <c r="AT593" s="243" t="str">
        <f>IF($AL593="","",RANK(AR593,$AR$2:$AR$1001)+COUNTIF($AR$2:AR593,AR593)-1)</f>
        <v/>
      </c>
      <c r="AU593" s="243" t="str">
        <f>IF($AL593="","",RANK(AV593,$AV$2:$AV$1001)+COUNTIF($AV$2:AV593,AV593)-1)</f>
        <v/>
      </c>
      <c r="AV593" s="266">
        <f t="shared" si="50"/>
        <v>0</v>
      </c>
    </row>
    <row r="594" spans="26:48" ht="15" customHeight="1" x14ac:dyDescent="0.2">
      <c r="Z594" s="243" t="str">
        <f>Shares!A594</f>
        <v/>
      </c>
      <c r="AA594" s="243" t="str">
        <f>Shares!B594</f>
        <v/>
      </c>
      <c r="AB594" s="243" t="str">
        <f>Shares!C594</f>
        <v/>
      </c>
      <c r="AC594" s="243" t="str">
        <f>Shares!D594</f>
        <v/>
      </c>
      <c r="AD594" s="243">
        <f>IF($Z594="",0,Shares!E594)</f>
        <v>0</v>
      </c>
      <c r="AE594" s="266">
        <f>IF($Z594="",0,Shares!J594*Shares!I594)</f>
        <v>0</v>
      </c>
      <c r="AF594" s="267">
        <f t="shared" si="49"/>
        <v>0</v>
      </c>
      <c r="AG594" s="266">
        <f>IF($Z594="",0,Shares!L594)</f>
        <v>0</v>
      </c>
      <c r="AH594" s="267">
        <f>IF($Z594="",0,Shares!M594)</f>
        <v>0</v>
      </c>
      <c r="AI594" s="243" t="str">
        <f>IF($Z594="","",RANK(AE594,$AE$2:$AE$1001)+COUNTIF($AE$2:AE594,AE594)-1)</f>
        <v/>
      </c>
      <c r="AJ594" s="243" t="str">
        <f>IF($AD594&lt;0,COUNT($AJ$1:AJ593)+1,"")</f>
        <v/>
      </c>
      <c r="AL594" s="243" t="str">
        <f>'All Ticker P&amp;L'!A594</f>
        <v/>
      </c>
      <c r="AM594" s="243" t="str">
        <f>'All Ticker P&amp;L'!B594</f>
        <v/>
      </c>
      <c r="AN594" s="243" t="str">
        <f>'All Ticker P&amp;L'!C594</f>
        <v/>
      </c>
      <c r="AO594" s="243" t="str">
        <f>'All Ticker P&amp;L'!D594</f>
        <v/>
      </c>
      <c r="AP594" s="243">
        <f>IF($AL594="",0,'All Ticker P&amp;L'!E594)</f>
        <v>0</v>
      </c>
      <c r="AQ594" s="266">
        <f>IF($AL594="",0,'All Ticker P&amp;L'!J594*'All Ticker P&amp;L'!I594)</f>
        <v>0</v>
      </c>
      <c r="AR594" s="266">
        <f>IF($AL594="",0,'All Ticker P&amp;L'!L594)</f>
        <v>0</v>
      </c>
      <c r="AS594" s="267">
        <f>IF($AL594="",0,'All Ticker P&amp;L'!M594)</f>
        <v>0</v>
      </c>
      <c r="AT594" s="243" t="str">
        <f>IF($AL594="","",RANK(AR594,$AR$2:$AR$1001)+COUNTIF($AR$2:AR594,AR594)-1)</f>
        <v/>
      </c>
      <c r="AU594" s="243" t="str">
        <f>IF($AL594="","",RANK(AV594,$AV$2:$AV$1001)+COUNTIF($AV$2:AV594,AV594)-1)</f>
        <v/>
      </c>
      <c r="AV594" s="266">
        <f t="shared" si="50"/>
        <v>0</v>
      </c>
    </row>
    <row r="595" spans="26:48" ht="15" customHeight="1" x14ac:dyDescent="0.2">
      <c r="Z595" s="243" t="str">
        <f>Shares!A595</f>
        <v/>
      </c>
      <c r="AA595" s="243" t="str">
        <f>Shares!B595</f>
        <v/>
      </c>
      <c r="AB595" s="243" t="str">
        <f>Shares!C595</f>
        <v/>
      </c>
      <c r="AC595" s="243" t="str">
        <f>Shares!D595</f>
        <v/>
      </c>
      <c r="AD595" s="243">
        <f>IF($Z595="",0,Shares!E595)</f>
        <v>0</v>
      </c>
      <c r="AE595" s="266">
        <f>IF($Z595="",0,Shares!J595*Shares!I595)</f>
        <v>0</v>
      </c>
      <c r="AF595" s="267">
        <f t="shared" si="49"/>
        <v>0</v>
      </c>
      <c r="AG595" s="266">
        <f>IF($Z595="",0,Shares!L595)</f>
        <v>0</v>
      </c>
      <c r="AH595" s="267">
        <f>IF($Z595="",0,Shares!M595)</f>
        <v>0</v>
      </c>
      <c r="AI595" s="243" t="str">
        <f>IF($Z595="","",RANK(AE595,$AE$2:$AE$1001)+COUNTIF($AE$2:AE595,AE595)-1)</f>
        <v/>
      </c>
      <c r="AJ595" s="243" t="str">
        <f>IF($AD595&lt;0,COUNT($AJ$1:AJ594)+1,"")</f>
        <v/>
      </c>
      <c r="AL595" s="243" t="str">
        <f>'All Ticker P&amp;L'!A595</f>
        <v/>
      </c>
      <c r="AM595" s="243" t="str">
        <f>'All Ticker P&amp;L'!B595</f>
        <v/>
      </c>
      <c r="AN595" s="243" t="str">
        <f>'All Ticker P&amp;L'!C595</f>
        <v/>
      </c>
      <c r="AO595" s="243" t="str">
        <f>'All Ticker P&amp;L'!D595</f>
        <v/>
      </c>
      <c r="AP595" s="243">
        <f>IF($AL595="",0,'All Ticker P&amp;L'!E595)</f>
        <v>0</v>
      </c>
      <c r="AQ595" s="266">
        <f>IF($AL595="",0,'All Ticker P&amp;L'!J595*'All Ticker P&amp;L'!I595)</f>
        <v>0</v>
      </c>
      <c r="AR595" s="266">
        <f>IF($AL595="",0,'All Ticker P&amp;L'!L595)</f>
        <v>0</v>
      </c>
      <c r="AS595" s="267">
        <f>IF($AL595="",0,'All Ticker P&amp;L'!M595)</f>
        <v>0</v>
      </c>
      <c r="AT595" s="243" t="str">
        <f>IF($AL595="","",RANK(AR595,$AR$2:$AR$1001)+COUNTIF($AR$2:AR595,AR595)-1)</f>
        <v/>
      </c>
      <c r="AU595" s="243" t="str">
        <f>IF($AL595="","",RANK(AV595,$AV$2:$AV$1001)+COUNTIF($AV$2:AV595,AV595)-1)</f>
        <v/>
      </c>
      <c r="AV595" s="266">
        <f t="shared" si="50"/>
        <v>0</v>
      </c>
    </row>
    <row r="596" spans="26:48" ht="15" customHeight="1" x14ac:dyDescent="0.2">
      <c r="Z596" s="243" t="str">
        <f>Shares!A596</f>
        <v/>
      </c>
      <c r="AA596" s="243" t="str">
        <f>Shares!B596</f>
        <v/>
      </c>
      <c r="AB596" s="243" t="str">
        <f>Shares!C596</f>
        <v/>
      </c>
      <c r="AC596" s="243" t="str">
        <f>Shares!D596</f>
        <v/>
      </c>
      <c r="AD596" s="243">
        <f>IF($Z596="",0,Shares!E596)</f>
        <v>0</v>
      </c>
      <c r="AE596" s="266">
        <f>IF($Z596="",0,Shares!J596*Shares!I596)</f>
        <v>0</v>
      </c>
      <c r="AF596" s="267">
        <f t="shared" si="49"/>
        <v>0</v>
      </c>
      <c r="AG596" s="266">
        <f>IF($Z596="",0,Shares!L596)</f>
        <v>0</v>
      </c>
      <c r="AH596" s="267">
        <f>IF($Z596="",0,Shares!M596)</f>
        <v>0</v>
      </c>
      <c r="AI596" s="243" t="str">
        <f>IF($Z596="","",RANK(AE596,$AE$2:$AE$1001)+COUNTIF($AE$2:AE596,AE596)-1)</f>
        <v/>
      </c>
      <c r="AJ596" s="243" t="str">
        <f>IF($AD596&lt;0,COUNT($AJ$1:AJ595)+1,"")</f>
        <v/>
      </c>
      <c r="AL596" s="243" t="str">
        <f>'All Ticker P&amp;L'!A596</f>
        <v/>
      </c>
      <c r="AM596" s="243" t="str">
        <f>'All Ticker P&amp;L'!B596</f>
        <v/>
      </c>
      <c r="AN596" s="243" t="str">
        <f>'All Ticker P&amp;L'!C596</f>
        <v/>
      </c>
      <c r="AO596" s="243" t="str">
        <f>'All Ticker P&amp;L'!D596</f>
        <v/>
      </c>
      <c r="AP596" s="243">
        <f>IF($AL596="",0,'All Ticker P&amp;L'!E596)</f>
        <v>0</v>
      </c>
      <c r="AQ596" s="266">
        <f>IF($AL596="",0,'All Ticker P&amp;L'!J596*'All Ticker P&amp;L'!I596)</f>
        <v>0</v>
      </c>
      <c r="AR596" s="266">
        <f>IF($AL596="",0,'All Ticker P&amp;L'!L596)</f>
        <v>0</v>
      </c>
      <c r="AS596" s="267">
        <f>IF($AL596="",0,'All Ticker P&amp;L'!M596)</f>
        <v>0</v>
      </c>
      <c r="AT596" s="243" t="str">
        <f>IF($AL596="","",RANK(AR596,$AR$2:$AR$1001)+COUNTIF($AR$2:AR596,AR596)-1)</f>
        <v/>
      </c>
      <c r="AU596" s="243" t="str">
        <f>IF($AL596="","",RANK(AV596,$AV$2:$AV$1001)+COUNTIF($AV$2:AV596,AV596)-1)</f>
        <v/>
      </c>
      <c r="AV596" s="266">
        <f t="shared" si="50"/>
        <v>0</v>
      </c>
    </row>
    <row r="597" spans="26:48" ht="15" customHeight="1" x14ac:dyDescent="0.2">
      <c r="Z597" s="243" t="str">
        <f>Shares!A597</f>
        <v/>
      </c>
      <c r="AA597" s="243" t="str">
        <f>Shares!B597</f>
        <v/>
      </c>
      <c r="AB597" s="243" t="str">
        <f>Shares!C597</f>
        <v/>
      </c>
      <c r="AC597" s="243" t="str">
        <f>Shares!D597</f>
        <v/>
      </c>
      <c r="AD597" s="243">
        <f>IF($Z597="",0,Shares!E597)</f>
        <v>0</v>
      </c>
      <c r="AE597" s="266">
        <f>IF($Z597="",0,Shares!J597*Shares!I597)</f>
        <v>0</v>
      </c>
      <c r="AF597" s="267">
        <f t="shared" si="49"/>
        <v>0</v>
      </c>
      <c r="AG597" s="266">
        <f>IF($Z597="",0,Shares!L597)</f>
        <v>0</v>
      </c>
      <c r="AH597" s="267">
        <f>IF($Z597="",0,Shares!M597)</f>
        <v>0</v>
      </c>
      <c r="AI597" s="243" t="str">
        <f>IF($Z597="","",RANK(AE597,$AE$2:$AE$1001)+COUNTIF($AE$2:AE597,AE597)-1)</f>
        <v/>
      </c>
      <c r="AJ597" s="243" t="str">
        <f>IF($AD597&lt;0,COUNT($AJ$1:AJ596)+1,"")</f>
        <v/>
      </c>
      <c r="AL597" s="243" t="str">
        <f>'All Ticker P&amp;L'!A597</f>
        <v/>
      </c>
      <c r="AM597" s="243" t="str">
        <f>'All Ticker P&amp;L'!B597</f>
        <v/>
      </c>
      <c r="AN597" s="243" t="str">
        <f>'All Ticker P&amp;L'!C597</f>
        <v/>
      </c>
      <c r="AO597" s="243" t="str">
        <f>'All Ticker P&amp;L'!D597</f>
        <v/>
      </c>
      <c r="AP597" s="243">
        <f>IF($AL597="",0,'All Ticker P&amp;L'!E597)</f>
        <v>0</v>
      </c>
      <c r="AQ597" s="266">
        <f>IF($AL597="",0,'All Ticker P&amp;L'!J597*'All Ticker P&amp;L'!I597)</f>
        <v>0</v>
      </c>
      <c r="AR597" s="266">
        <f>IF($AL597="",0,'All Ticker P&amp;L'!L597)</f>
        <v>0</v>
      </c>
      <c r="AS597" s="267">
        <f>IF($AL597="",0,'All Ticker P&amp;L'!M597)</f>
        <v>0</v>
      </c>
      <c r="AT597" s="243" t="str">
        <f>IF($AL597="","",RANK(AR597,$AR$2:$AR$1001)+COUNTIF($AR$2:AR597,AR597)-1)</f>
        <v/>
      </c>
      <c r="AU597" s="243" t="str">
        <f>IF($AL597="","",RANK(AV597,$AV$2:$AV$1001)+COUNTIF($AV$2:AV597,AV597)-1)</f>
        <v/>
      </c>
      <c r="AV597" s="266">
        <f t="shared" si="50"/>
        <v>0</v>
      </c>
    </row>
    <row r="598" spans="26:48" ht="15" customHeight="1" x14ac:dyDescent="0.2">
      <c r="Z598" s="243" t="str">
        <f>Shares!A598</f>
        <v/>
      </c>
      <c r="AA598" s="243" t="str">
        <f>Shares!B598</f>
        <v/>
      </c>
      <c r="AB598" s="243" t="str">
        <f>Shares!C598</f>
        <v/>
      </c>
      <c r="AC598" s="243" t="str">
        <f>Shares!D598</f>
        <v/>
      </c>
      <c r="AD598" s="243">
        <f>IF($Z598="",0,Shares!E598)</f>
        <v>0</v>
      </c>
      <c r="AE598" s="266">
        <f>IF($Z598="",0,Shares!J598*Shares!I598)</f>
        <v>0</v>
      </c>
      <c r="AF598" s="267">
        <f t="shared" si="49"/>
        <v>0</v>
      </c>
      <c r="AG598" s="266">
        <f>IF($Z598="",0,Shares!L598)</f>
        <v>0</v>
      </c>
      <c r="AH598" s="267">
        <f>IF($Z598="",0,Shares!M598)</f>
        <v>0</v>
      </c>
      <c r="AI598" s="243" t="str">
        <f>IF($Z598="","",RANK(AE598,$AE$2:$AE$1001)+COUNTIF($AE$2:AE598,AE598)-1)</f>
        <v/>
      </c>
      <c r="AJ598" s="243" t="str">
        <f>IF($AD598&lt;0,COUNT($AJ$1:AJ597)+1,"")</f>
        <v/>
      </c>
      <c r="AL598" s="243" t="str">
        <f>'All Ticker P&amp;L'!A598</f>
        <v/>
      </c>
      <c r="AM598" s="243" t="str">
        <f>'All Ticker P&amp;L'!B598</f>
        <v/>
      </c>
      <c r="AN598" s="243" t="str">
        <f>'All Ticker P&amp;L'!C598</f>
        <v/>
      </c>
      <c r="AO598" s="243" t="str">
        <f>'All Ticker P&amp;L'!D598</f>
        <v/>
      </c>
      <c r="AP598" s="243">
        <f>IF($AL598="",0,'All Ticker P&amp;L'!E598)</f>
        <v>0</v>
      </c>
      <c r="AQ598" s="266">
        <f>IF($AL598="",0,'All Ticker P&amp;L'!J598*'All Ticker P&amp;L'!I598)</f>
        <v>0</v>
      </c>
      <c r="AR598" s="266">
        <f>IF($AL598="",0,'All Ticker P&amp;L'!L598)</f>
        <v>0</v>
      </c>
      <c r="AS598" s="267">
        <f>IF($AL598="",0,'All Ticker P&amp;L'!M598)</f>
        <v>0</v>
      </c>
      <c r="AT598" s="243" t="str">
        <f>IF($AL598="","",RANK(AR598,$AR$2:$AR$1001)+COUNTIF($AR$2:AR598,AR598)-1)</f>
        <v/>
      </c>
      <c r="AU598" s="243" t="str">
        <f>IF($AL598="","",RANK(AV598,$AV$2:$AV$1001)+COUNTIF($AV$2:AV598,AV598)-1)</f>
        <v/>
      </c>
      <c r="AV598" s="266">
        <f t="shared" si="50"/>
        <v>0</v>
      </c>
    </row>
    <row r="599" spans="26:48" ht="15" customHeight="1" x14ac:dyDescent="0.2">
      <c r="Z599" s="243" t="str">
        <f>Shares!A599</f>
        <v/>
      </c>
      <c r="AA599" s="243" t="str">
        <f>Shares!B599</f>
        <v/>
      </c>
      <c r="AB599" s="243" t="str">
        <f>Shares!C599</f>
        <v/>
      </c>
      <c r="AC599" s="243" t="str">
        <f>Shares!D599</f>
        <v/>
      </c>
      <c r="AD599" s="243">
        <f>IF($Z599="",0,Shares!E599)</f>
        <v>0</v>
      </c>
      <c r="AE599" s="266">
        <f>IF($Z599="",0,Shares!J599*Shares!I599)</f>
        <v>0</v>
      </c>
      <c r="AF599" s="267">
        <f t="shared" si="49"/>
        <v>0</v>
      </c>
      <c r="AG599" s="266">
        <f>IF($Z599="",0,Shares!L599)</f>
        <v>0</v>
      </c>
      <c r="AH599" s="267">
        <f>IF($Z599="",0,Shares!M599)</f>
        <v>0</v>
      </c>
      <c r="AI599" s="243" t="str">
        <f>IF($Z599="","",RANK(AE599,$AE$2:$AE$1001)+COUNTIF($AE$2:AE599,AE599)-1)</f>
        <v/>
      </c>
      <c r="AJ599" s="243" t="str">
        <f>IF($AD599&lt;0,COUNT($AJ$1:AJ598)+1,"")</f>
        <v/>
      </c>
      <c r="AL599" s="243" t="str">
        <f>'All Ticker P&amp;L'!A599</f>
        <v/>
      </c>
      <c r="AM599" s="243" t="str">
        <f>'All Ticker P&amp;L'!B599</f>
        <v/>
      </c>
      <c r="AN599" s="243" t="str">
        <f>'All Ticker P&amp;L'!C599</f>
        <v/>
      </c>
      <c r="AO599" s="243" t="str">
        <f>'All Ticker P&amp;L'!D599</f>
        <v/>
      </c>
      <c r="AP599" s="243">
        <f>IF($AL599="",0,'All Ticker P&amp;L'!E599)</f>
        <v>0</v>
      </c>
      <c r="AQ599" s="266">
        <f>IF($AL599="",0,'All Ticker P&amp;L'!J599*'All Ticker P&amp;L'!I599)</f>
        <v>0</v>
      </c>
      <c r="AR599" s="266">
        <f>IF($AL599="",0,'All Ticker P&amp;L'!L599)</f>
        <v>0</v>
      </c>
      <c r="AS599" s="267">
        <f>IF($AL599="",0,'All Ticker P&amp;L'!M599)</f>
        <v>0</v>
      </c>
      <c r="AT599" s="243" t="str">
        <f>IF($AL599="","",RANK(AR599,$AR$2:$AR$1001)+COUNTIF($AR$2:AR599,AR599)-1)</f>
        <v/>
      </c>
      <c r="AU599" s="243" t="str">
        <f>IF($AL599="","",RANK(AV599,$AV$2:$AV$1001)+COUNTIF($AV$2:AV599,AV599)-1)</f>
        <v/>
      </c>
      <c r="AV599" s="266">
        <f t="shared" si="50"/>
        <v>0</v>
      </c>
    </row>
    <row r="600" spans="26:48" ht="15" customHeight="1" x14ac:dyDescent="0.2">
      <c r="Z600" s="243" t="str">
        <f>Shares!A600</f>
        <v/>
      </c>
      <c r="AA600" s="243" t="str">
        <f>Shares!B600</f>
        <v/>
      </c>
      <c r="AB600" s="243" t="str">
        <f>Shares!C600</f>
        <v/>
      </c>
      <c r="AC600" s="243" t="str">
        <f>Shares!D600</f>
        <v/>
      </c>
      <c r="AD600" s="243">
        <f>IF($Z600="",0,Shares!E600)</f>
        <v>0</v>
      </c>
      <c r="AE600" s="266">
        <f>IF($Z600="",0,Shares!J600*Shares!I600)</f>
        <v>0</v>
      </c>
      <c r="AF600" s="267">
        <f t="shared" si="49"/>
        <v>0</v>
      </c>
      <c r="AG600" s="266">
        <f>IF($Z600="",0,Shares!L600)</f>
        <v>0</v>
      </c>
      <c r="AH600" s="267">
        <f>IF($Z600="",0,Shares!M600)</f>
        <v>0</v>
      </c>
      <c r="AI600" s="243" t="str">
        <f>IF($Z600="","",RANK(AE600,$AE$2:$AE$1001)+COUNTIF($AE$2:AE600,AE600)-1)</f>
        <v/>
      </c>
      <c r="AJ600" s="243" t="str">
        <f>IF($AD600&lt;0,COUNT($AJ$1:AJ599)+1,"")</f>
        <v/>
      </c>
      <c r="AL600" s="243" t="str">
        <f>'All Ticker P&amp;L'!A600</f>
        <v/>
      </c>
      <c r="AM600" s="243" t="str">
        <f>'All Ticker P&amp;L'!B600</f>
        <v/>
      </c>
      <c r="AN600" s="243" t="str">
        <f>'All Ticker P&amp;L'!C600</f>
        <v/>
      </c>
      <c r="AO600" s="243" t="str">
        <f>'All Ticker P&amp;L'!D600</f>
        <v/>
      </c>
      <c r="AP600" s="243">
        <f>IF($AL600="",0,'All Ticker P&amp;L'!E600)</f>
        <v>0</v>
      </c>
      <c r="AQ600" s="266">
        <f>IF($AL600="",0,'All Ticker P&amp;L'!J600*'All Ticker P&amp;L'!I600)</f>
        <v>0</v>
      </c>
      <c r="AR600" s="266">
        <f>IF($AL600="",0,'All Ticker P&amp;L'!L600)</f>
        <v>0</v>
      </c>
      <c r="AS600" s="267">
        <f>IF($AL600="",0,'All Ticker P&amp;L'!M600)</f>
        <v>0</v>
      </c>
      <c r="AT600" s="243" t="str">
        <f>IF($AL600="","",RANK(AR600,$AR$2:$AR$1001)+COUNTIF($AR$2:AR600,AR600)-1)</f>
        <v/>
      </c>
      <c r="AU600" s="243" t="str">
        <f>IF($AL600="","",RANK(AV600,$AV$2:$AV$1001)+COUNTIF($AV$2:AV600,AV600)-1)</f>
        <v/>
      </c>
      <c r="AV600" s="266">
        <f t="shared" si="50"/>
        <v>0</v>
      </c>
    </row>
    <row r="601" spans="26:48" ht="15" customHeight="1" x14ac:dyDescent="0.2">
      <c r="Z601" s="243" t="str">
        <f>Shares!A601</f>
        <v/>
      </c>
      <c r="AA601" s="243" t="str">
        <f>Shares!B601</f>
        <v/>
      </c>
      <c r="AB601" s="243" t="str">
        <f>Shares!C601</f>
        <v/>
      </c>
      <c r="AC601" s="243" t="str">
        <f>Shares!D601</f>
        <v/>
      </c>
      <c r="AD601" s="243">
        <f>IF($Z601="",0,Shares!E601)</f>
        <v>0</v>
      </c>
      <c r="AE601" s="266">
        <f>IF($Z601="",0,Shares!J601*Shares!I601)</f>
        <v>0</v>
      </c>
      <c r="AF601" s="267">
        <f t="shared" si="49"/>
        <v>0</v>
      </c>
      <c r="AG601" s="266">
        <f>IF($Z601="",0,Shares!L601)</f>
        <v>0</v>
      </c>
      <c r="AH601" s="267">
        <f>IF($Z601="",0,Shares!M601)</f>
        <v>0</v>
      </c>
      <c r="AI601" s="243" t="str">
        <f>IF($Z601="","",RANK(AE601,$AE$2:$AE$1001)+COUNTIF($AE$2:AE601,AE601)-1)</f>
        <v/>
      </c>
      <c r="AJ601" s="243" t="str">
        <f>IF($AD601&lt;0,COUNT($AJ$1:AJ600)+1,"")</f>
        <v/>
      </c>
      <c r="AL601" s="243" t="str">
        <f>'All Ticker P&amp;L'!A601</f>
        <v/>
      </c>
      <c r="AM601" s="243" t="str">
        <f>'All Ticker P&amp;L'!B601</f>
        <v/>
      </c>
      <c r="AN601" s="243" t="str">
        <f>'All Ticker P&amp;L'!C601</f>
        <v/>
      </c>
      <c r="AO601" s="243" t="str">
        <f>'All Ticker P&amp;L'!D601</f>
        <v/>
      </c>
      <c r="AP601" s="243">
        <f>IF($AL601="",0,'All Ticker P&amp;L'!E601)</f>
        <v>0</v>
      </c>
      <c r="AQ601" s="266">
        <f>IF($AL601="",0,'All Ticker P&amp;L'!J601*'All Ticker P&amp;L'!I601)</f>
        <v>0</v>
      </c>
      <c r="AR601" s="266">
        <f>IF($AL601="",0,'All Ticker P&amp;L'!L601)</f>
        <v>0</v>
      </c>
      <c r="AS601" s="267">
        <f>IF($AL601="",0,'All Ticker P&amp;L'!M601)</f>
        <v>0</v>
      </c>
      <c r="AT601" s="243" t="str">
        <f>IF($AL601="","",RANK(AR601,$AR$2:$AR$1001)+COUNTIF($AR$2:AR601,AR601)-1)</f>
        <v/>
      </c>
      <c r="AU601" s="243" t="str">
        <f>IF($AL601="","",RANK(AV601,$AV$2:$AV$1001)+COUNTIF($AV$2:AV601,AV601)-1)</f>
        <v/>
      </c>
      <c r="AV601" s="266">
        <f t="shared" si="50"/>
        <v>0</v>
      </c>
    </row>
    <row r="602" spans="26:48" ht="15" customHeight="1" x14ac:dyDescent="0.2">
      <c r="Z602" s="243" t="str">
        <f>Shares!A602</f>
        <v/>
      </c>
      <c r="AA602" s="243" t="str">
        <f>Shares!B602</f>
        <v/>
      </c>
      <c r="AB602" s="243" t="str">
        <f>Shares!C602</f>
        <v/>
      </c>
      <c r="AC602" s="243" t="str">
        <f>Shares!D602</f>
        <v/>
      </c>
      <c r="AD602" s="243">
        <f>IF($Z602="",0,Shares!E602)</f>
        <v>0</v>
      </c>
      <c r="AE602" s="266">
        <f>IF($Z602="",0,Shares!J602*Shares!I602)</f>
        <v>0</v>
      </c>
      <c r="AF602" s="267">
        <f t="shared" si="49"/>
        <v>0</v>
      </c>
      <c r="AG602" s="266">
        <f>IF($Z602="",0,Shares!L602)</f>
        <v>0</v>
      </c>
      <c r="AH602" s="267">
        <f>IF($Z602="",0,Shares!M602)</f>
        <v>0</v>
      </c>
      <c r="AI602" s="243" t="str">
        <f>IF($Z602="","",RANK(AE602,$AE$2:$AE$1001)+COUNTIF($AE$2:AE602,AE602)-1)</f>
        <v/>
      </c>
      <c r="AJ602" s="243" t="str">
        <f>IF($AD602&lt;0,COUNT($AJ$1:AJ601)+1,"")</f>
        <v/>
      </c>
      <c r="AL602" s="243" t="str">
        <f>'All Ticker P&amp;L'!A602</f>
        <v/>
      </c>
      <c r="AM602" s="243" t="str">
        <f>'All Ticker P&amp;L'!B602</f>
        <v/>
      </c>
      <c r="AN602" s="243" t="str">
        <f>'All Ticker P&amp;L'!C602</f>
        <v/>
      </c>
      <c r="AO602" s="243" t="str">
        <f>'All Ticker P&amp;L'!D602</f>
        <v/>
      </c>
      <c r="AP602" s="243">
        <f>IF($AL602="",0,'All Ticker P&amp;L'!E602)</f>
        <v>0</v>
      </c>
      <c r="AQ602" s="266">
        <f>IF($AL602="",0,'All Ticker P&amp;L'!J602*'All Ticker P&amp;L'!I602)</f>
        <v>0</v>
      </c>
      <c r="AR602" s="266">
        <f>IF($AL602="",0,'All Ticker P&amp;L'!L602)</f>
        <v>0</v>
      </c>
      <c r="AS602" s="267">
        <f>IF($AL602="",0,'All Ticker P&amp;L'!M602)</f>
        <v>0</v>
      </c>
      <c r="AT602" s="243" t="str">
        <f>IF($AL602="","",RANK(AR602,$AR$2:$AR$1001)+COUNTIF($AR$2:AR602,AR602)-1)</f>
        <v/>
      </c>
      <c r="AU602" s="243" t="str">
        <f>IF($AL602="","",RANK(AV602,$AV$2:$AV$1001)+COUNTIF($AV$2:AV602,AV602)-1)</f>
        <v/>
      </c>
      <c r="AV602" s="266">
        <f t="shared" si="50"/>
        <v>0</v>
      </c>
    </row>
    <row r="603" spans="26:48" ht="15" customHeight="1" x14ac:dyDescent="0.2">
      <c r="Z603" s="243" t="str">
        <f>Shares!A603</f>
        <v/>
      </c>
      <c r="AA603" s="243" t="str">
        <f>Shares!B603</f>
        <v/>
      </c>
      <c r="AB603" s="243" t="str">
        <f>Shares!C603</f>
        <v/>
      </c>
      <c r="AC603" s="243" t="str">
        <f>Shares!D603</f>
        <v/>
      </c>
      <c r="AD603" s="243">
        <f>IF($Z603="",0,Shares!E603)</f>
        <v>0</v>
      </c>
      <c r="AE603" s="266">
        <f>IF($Z603="",0,Shares!J603*Shares!I603)</f>
        <v>0</v>
      </c>
      <c r="AF603" s="267">
        <f t="shared" si="49"/>
        <v>0</v>
      </c>
      <c r="AG603" s="266">
        <f>IF($Z603="",0,Shares!L603)</f>
        <v>0</v>
      </c>
      <c r="AH603" s="267">
        <f>IF($Z603="",0,Shares!M603)</f>
        <v>0</v>
      </c>
      <c r="AI603" s="243" t="str">
        <f>IF($Z603="","",RANK(AE603,$AE$2:$AE$1001)+COUNTIF($AE$2:AE603,AE603)-1)</f>
        <v/>
      </c>
      <c r="AJ603" s="243" t="str">
        <f>IF($AD603&lt;0,COUNT($AJ$1:AJ602)+1,"")</f>
        <v/>
      </c>
      <c r="AL603" s="243" t="str">
        <f>'All Ticker P&amp;L'!A603</f>
        <v/>
      </c>
      <c r="AM603" s="243" t="str">
        <f>'All Ticker P&amp;L'!B603</f>
        <v/>
      </c>
      <c r="AN603" s="243" t="str">
        <f>'All Ticker P&amp;L'!C603</f>
        <v/>
      </c>
      <c r="AO603" s="243" t="str">
        <f>'All Ticker P&amp;L'!D603</f>
        <v/>
      </c>
      <c r="AP603" s="243">
        <f>IF($AL603="",0,'All Ticker P&amp;L'!E603)</f>
        <v>0</v>
      </c>
      <c r="AQ603" s="266">
        <f>IF($AL603="",0,'All Ticker P&amp;L'!J603*'All Ticker P&amp;L'!I603)</f>
        <v>0</v>
      </c>
      <c r="AR603" s="266">
        <f>IF($AL603="",0,'All Ticker P&amp;L'!L603)</f>
        <v>0</v>
      </c>
      <c r="AS603" s="267">
        <f>IF($AL603="",0,'All Ticker P&amp;L'!M603)</f>
        <v>0</v>
      </c>
      <c r="AT603" s="243" t="str">
        <f>IF($AL603="","",RANK(AR603,$AR$2:$AR$1001)+COUNTIF($AR$2:AR603,AR603)-1)</f>
        <v/>
      </c>
      <c r="AU603" s="243" t="str">
        <f>IF($AL603="","",RANK(AV603,$AV$2:$AV$1001)+COUNTIF($AV$2:AV603,AV603)-1)</f>
        <v/>
      </c>
      <c r="AV603" s="266">
        <f t="shared" si="50"/>
        <v>0</v>
      </c>
    </row>
    <row r="604" spans="26:48" ht="15" customHeight="1" x14ac:dyDescent="0.2">
      <c r="Z604" s="243" t="str">
        <f>Shares!A604</f>
        <v/>
      </c>
      <c r="AA604" s="243" t="str">
        <f>Shares!B604</f>
        <v/>
      </c>
      <c r="AB604" s="243" t="str">
        <f>Shares!C604</f>
        <v/>
      </c>
      <c r="AC604" s="243" t="str">
        <f>Shares!D604</f>
        <v/>
      </c>
      <c r="AD604" s="243">
        <f>IF($Z604="",0,Shares!E604)</f>
        <v>0</v>
      </c>
      <c r="AE604" s="266">
        <f>IF($Z604="",0,Shares!J604*Shares!I604)</f>
        <v>0</v>
      </c>
      <c r="AF604" s="267">
        <f t="shared" si="49"/>
        <v>0</v>
      </c>
      <c r="AG604" s="266">
        <f>IF($Z604="",0,Shares!L604)</f>
        <v>0</v>
      </c>
      <c r="AH604" s="267">
        <f>IF($Z604="",0,Shares!M604)</f>
        <v>0</v>
      </c>
      <c r="AI604" s="243" t="str">
        <f>IF($Z604="","",RANK(AE604,$AE$2:$AE$1001)+COUNTIF($AE$2:AE604,AE604)-1)</f>
        <v/>
      </c>
      <c r="AJ604" s="243" t="str">
        <f>IF($AD604&lt;0,COUNT($AJ$1:AJ603)+1,"")</f>
        <v/>
      </c>
      <c r="AL604" s="243" t="str">
        <f>'All Ticker P&amp;L'!A604</f>
        <v/>
      </c>
      <c r="AM604" s="243" t="str">
        <f>'All Ticker P&amp;L'!B604</f>
        <v/>
      </c>
      <c r="AN604" s="243" t="str">
        <f>'All Ticker P&amp;L'!C604</f>
        <v/>
      </c>
      <c r="AO604" s="243" t="str">
        <f>'All Ticker P&amp;L'!D604</f>
        <v/>
      </c>
      <c r="AP604" s="243">
        <f>IF($AL604="",0,'All Ticker P&amp;L'!E604)</f>
        <v>0</v>
      </c>
      <c r="AQ604" s="266">
        <f>IF($AL604="",0,'All Ticker P&amp;L'!J604*'All Ticker P&amp;L'!I604)</f>
        <v>0</v>
      </c>
      <c r="AR604" s="266">
        <f>IF($AL604="",0,'All Ticker P&amp;L'!L604)</f>
        <v>0</v>
      </c>
      <c r="AS604" s="267">
        <f>IF($AL604="",0,'All Ticker P&amp;L'!M604)</f>
        <v>0</v>
      </c>
      <c r="AT604" s="243" t="str">
        <f>IF($AL604="","",RANK(AR604,$AR$2:$AR$1001)+COUNTIF($AR$2:AR604,AR604)-1)</f>
        <v/>
      </c>
      <c r="AU604" s="243" t="str">
        <f>IF($AL604="","",RANK(AV604,$AV$2:$AV$1001)+COUNTIF($AV$2:AV604,AV604)-1)</f>
        <v/>
      </c>
      <c r="AV604" s="266">
        <f t="shared" si="50"/>
        <v>0</v>
      </c>
    </row>
    <row r="605" spans="26:48" ht="15" customHeight="1" x14ac:dyDescent="0.2">
      <c r="Z605" s="243" t="str">
        <f>Shares!A605</f>
        <v/>
      </c>
      <c r="AA605" s="243" t="str">
        <f>Shares!B605</f>
        <v/>
      </c>
      <c r="AB605" s="243" t="str">
        <f>Shares!C605</f>
        <v/>
      </c>
      <c r="AC605" s="243" t="str">
        <f>Shares!D605</f>
        <v/>
      </c>
      <c r="AD605" s="243">
        <f>IF($Z605="",0,Shares!E605)</f>
        <v>0</v>
      </c>
      <c r="AE605" s="266">
        <f>IF($Z605="",0,Shares!J605*Shares!I605)</f>
        <v>0</v>
      </c>
      <c r="AF605" s="267">
        <f t="shared" si="49"/>
        <v>0</v>
      </c>
      <c r="AG605" s="266">
        <f>IF($Z605="",0,Shares!L605)</f>
        <v>0</v>
      </c>
      <c r="AH605" s="267">
        <f>IF($Z605="",0,Shares!M605)</f>
        <v>0</v>
      </c>
      <c r="AI605" s="243" t="str">
        <f>IF($Z605="","",RANK(AE605,$AE$2:$AE$1001)+COUNTIF($AE$2:AE605,AE605)-1)</f>
        <v/>
      </c>
      <c r="AJ605" s="243" t="str">
        <f>IF($AD605&lt;0,COUNT($AJ$1:AJ604)+1,"")</f>
        <v/>
      </c>
      <c r="AL605" s="243" t="str">
        <f>'All Ticker P&amp;L'!A605</f>
        <v/>
      </c>
      <c r="AM605" s="243" t="str">
        <f>'All Ticker P&amp;L'!B605</f>
        <v/>
      </c>
      <c r="AN605" s="243" t="str">
        <f>'All Ticker P&amp;L'!C605</f>
        <v/>
      </c>
      <c r="AO605" s="243" t="str">
        <f>'All Ticker P&amp;L'!D605</f>
        <v/>
      </c>
      <c r="AP605" s="243">
        <f>IF($AL605="",0,'All Ticker P&amp;L'!E605)</f>
        <v>0</v>
      </c>
      <c r="AQ605" s="266">
        <f>IF($AL605="",0,'All Ticker P&amp;L'!J605*'All Ticker P&amp;L'!I605)</f>
        <v>0</v>
      </c>
      <c r="AR605" s="266">
        <f>IF($AL605="",0,'All Ticker P&amp;L'!L605)</f>
        <v>0</v>
      </c>
      <c r="AS605" s="267">
        <f>IF($AL605="",0,'All Ticker P&amp;L'!M605)</f>
        <v>0</v>
      </c>
      <c r="AT605" s="243" t="str">
        <f>IF($AL605="","",RANK(AR605,$AR$2:$AR$1001)+COUNTIF($AR$2:AR605,AR605)-1)</f>
        <v/>
      </c>
      <c r="AU605" s="243" t="str">
        <f>IF($AL605="","",RANK(AV605,$AV$2:$AV$1001)+COUNTIF($AV$2:AV605,AV605)-1)</f>
        <v/>
      </c>
      <c r="AV605" s="266">
        <f t="shared" si="50"/>
        <v>0</v>
      </c>
    </row>
    <row r="606" spans="26:48" ht="15" customHeight="1" x14ac:dyDescent="0.2">
      <c r="Z606" s="243" t="str">
        <f>Shares!A606</f>
        <v/>
      </c>
      <c r="AA606" s="243" t="str">
        <f>Shares!B606</f>
        <v/>
      </c>
      <c r="AB606" s="243" t="str">
        <f>Shares!C606</f>
        <v/>
      </c>
      <c r="AC606" s="243" t="str">
        <f>Shares!D606</f>
        <v/>
      </c>
      <c r="AD606" s="243">
        <f>IF($Z606="",0,Shares!E606)</f>
        <v>0</v>
      </c>
      <c r="AE606" s="266">
        <f>IF($Z606="",0,Shares!J606*Shares!I606)</f>
        <v>0</v>
      </c>
      <c r="AF606" s="267">
        <f t="shared" si="49"/>
        <v>0</v>
      </c>
      <c r="AG606" s="266">
        <f>IF($Z606="",0,Shares!L606)</f>
        <v>0</v>
      </c>
      <c r="AH606" s="267">
        <f>IF($Z606="",0,Shares!M606)</f>
        <v>0</v>
      </c>
      <c r="AI606" s="243" t="str">
        <f>IF($Z606="","",RANK(AE606,$AE$2:$AE$1001)+COUNTIF($AE$2:AE606,AE606)-1)</f>
        <v/>
      </c>
      <c r="AJ606" s="243" t="str">
        <f>IF($AD606&lt;0,COUNT($AJ$1:AJ605)+1,"")</f>
        <v/>
      </c>
      <c r="AL606" s="243" t="str">
        <f>'All Ticker P&amp;L'!A606</f>
        <v/>
      </c>
      <c r="AM606" s="243" t="str">
        <f>'All Ticker P&amp;L'!B606</f>
        <v/>
      </c>
      <c r="AN606" s="243" t="str">
        <f>'All Ticker P&amp;L'!C606</f>
        <v/>
      </c>
      <c r="AO606" s="243" t="str">
        <f>'All Ticker P&amp;L'!D606</f>
        <v/>
      </c>
      <c r="AP606" s="243">
        <f>IF($AL606="",0,'All Ticker P&amp;L'!E606)</f>
        <v>0</v>
      </c>
      <c r="AQ606" s="266">
        <f>IF($AL606="",0,'All Ticker P&amp;L'!J606*'All Ticker P&amp;L'!I606)</f>
        <v>0</v>
      </c>
      <c r="AR606" s="266">
        <f>IF($AL606="",0,'All Ticker P&amp;L'!L606)</f>
        <v>0</v>
      </c>
      <c r="AS606" s="267">
        <f>IF($AL606="",0,'All Ticker P&amp;L'!M606)</f>
        <v>0</v>
      </c>
      <c r="AT606" s="243" t="str">
        <f>IF($AL606="","",RANK(AR606,$AR$2:$AR$1001)+COUNTIF($AR$2:AR606,AR606)-1)</f>
        <v/>
      </c>
      <c r="AU606" s="243" t="str">
        <f>IF($AL606="","",RANK(AV606,$AV$2:$AV$1001)+COUNTIF($AV$2:AV606,AV606)-1)</f>
        <v/>
      </c>
      <c r="AV606" s="266">
        <f t="shared" si="50"/>
        <v>0</v>
      </c>
    </row>
    <row r="607" spans="26:48" ht="15" customHeight="1" x14ac:dyDescent="0.2">
      <c r="Z607" s="243" t="str">
        <f>Shares!A607</f>
        <v/>
      </c>
      <c r="AA607" s="243" t="str">
        <f>Shares!B607</f>
        <v/>
      </c>
      <c r="AB607" s="243" t="str">
        <f>Shares!C607</f>
        <v/>
      </c>
      <c r="AC607" s="243" t="str">
        <f>Shares!D607</f>
        <v/>
      </c>
      <c r="AD607" s="243">
        <f>IF($Z607="",0,Shares!E607)</f>
        <v>0</v>
      </c>
      <c r="AE607" s="266">
        <f>IF($Z607="",0,Shares!J607*Shares!I607)</f>
        <v>0</v>
      </c>
      <c r="AF607" s="267">
        <f t="shared" si="49"/>
        <v>0</v>
      </c>
      <c r="AG607" s="266">
        <f>IF($Z607="",0,Shares!L607)</f>
        <v>0</v>
      </c>
      <c r="AH607" s="267">
        <f>IF($Z607="",0,Shares!M607)</f>
        <v>0</v>
      </c>
      <c r="AI607" s="243" t="str">
        <f>IF($Z607="","",RANK(AE607,$AE$2:$AE$1001)+COUNTIF($AE$2:AE607,AE607)-1)</f>
        <v/>
      </c>
      <c r="AJ607" s="243" t="str">
        <f>IF($AD607&lt;0,COUNT($AJ$1:AJ606)+1,"")</f>
        <v/>
      </c>
      <c r="AL607" s="243" t="str">
        <f>'All Ticker P&amp;L'!A607</f>
        <v/>
      </c>
      <c r="AM607" s="243" t="str">
        <f>'All Ticker P&amp;L'!B607</f>
        <v/>
      </c>
      <c r="AN607" s="243" t="str">
        <f>'All Ticker P&amp;L'!C607</f>
        <v/>
      </c>
      <c r="AO607" s="243" t="str">
        <f>'All Ticker P&amp;L'!D607</f>
        <v/>
      </c>
      <c r="AP607" s="243">
        <f>IF($AL607="",0,'All Ticker P&amp;L'!E607)</f>
        <v>0</v>
      </c>
      <c r="AQ607" s="266">
        <f>IF($AL607="",0,'All Ticker P&amp;L'!J607*'All Ticker P&amp;L'!I607)</f>
        <v>0</v>
      </c>
      <c r="AR607" s="266">
        <f>IF($AL607="",0,'All Ticker P&amp;L'!L607)</f>
        <v>0</v>
      </c>
      <c r="AS607" s="267">
        <f>IF($AL607="",0,'All Ticker P&amp;L'!M607)</f>
        <v>0</v>
      </c>
      <c r="AT607" s="243" t="str">
        <f>IF($AL607="","",RANK(AR607,$AR$2:$AR$1001)+COUNTIF($AR$2:AR607,AR607)-1)</f>
        <v/>
      </c>
      <c r="AU607" s="243" t="str">
        <f>IF($AL607="","",RANK(AV607,$AV$2:$AV$1001)+COUNTIF($AV$2:AV607,AV607)-1)</f>
        <v/>
      </c>
      <c r="AV607" s="266">
        <f t="shared" si="50"/>
        <v>0</v>
      </c>
    </row>
    <row r="608" spans="26:48" ht="15" customHeight="1" x14ac:dyDescent="0.2">
      <c r="Z608" s="243" t="str">
        <f>Shares!A608</f>
        <v/>
      </c>
      <c r="AA608" s="243" t="str">
        <f>Shares!B608</f>
        <v/>
      </c>
      <c r="AB608" s="243" t="str">
        <f>Shares!C608</f>
        <v/>
      </c>
      <c r="AC608" s="243" t="str">
        <f>Shares!D608</f>
        <v/>
      </c>
      <c r="AD608" s="243">
        <f>IF($Z608="",0,Shares!E608)</f>
        <v>0</v>
      </c>
      <c r="AE608" s="266">
        <f>IF($Z608="",0,Shares!J608*Shares!I608)</f>
        <v>0</v>
      </c>
      <c r="AF608" s="267">
        <f t="shared" si="49"/>
        <v>0</v>
      </c>
      <c r="AG608" s="266">
        <f>IF($Z608="",0,Shares!L608)</f>
        <v>0</v>
      </c>
      <c r="AH608" s="267">
        <f>IF($Z608="",0,Shares!M608)</f>
        <v>0</v>
      </c>
      <c r="AI608" s="243" t="str">
        <f>IF($Z608="","",RANK(AE608,$AE$2:$AE$1001)+COUNTIF($AE$2:AE608,AE608)-1)</f>
        <v/>
      </c>
      <c r="AJ608" s="243" t="str">
        <f>IF($AD608&lt;0,COUNT($AJ$1:AJ607)+1,"")</f>
        <v/>
      </c>
      <c r="AL608" s="243" t="str">
        <f>'All Ticker P&amp;L'!A608</f>
        <v/>
      </c>
      <c r="AM608" s="243" t="str">
        <f>'All Ticker P&amp;L'!B608</f>
        <v/>
      </c>
      <c r="AN608" s="243" t="str">
        <f>'All Ticker P&amp;L'!C608</f>
        <v/>
      </c>
      <c r="AO608" s="243" t="str">
        <f>'All Ticker P&amp;L'!D608</f>
        <v/>
      </c>
      <c r="AP608" s="243">
        <f>IF($AL608="",0,'All Ticker P&amp;L'!E608)</f>
        <v>0</v>
      </c>
      <c r="AQ608" s="266">
        <f>IF($AL608="",0,'All Ticker P&amp;L'!J608*'All Ticker P&amp;L'!I608)</f>
        <v>0</v>
      </c>
      <c r="AR608" s="266">
        <f>IF($AL608="",0,'All Ticker P&amp;L'!L608)</f>
        <v>0</v>
      </c>
      <c r="AS608" s="267">
        <f>IF($AL608="",0,'All Ticker P&amp;L'!M608)</f>
        <v>0</v>
      </c>
      <c r="AT608" s="243" t="str">
        <f>IF($AL608="","",RANK(AR608,$AR$2:$AR$1001)+COUNTIF($AR$2:AR608,AR608)-1)</f>
        <v/>
      </c>
      <c r="AU608" s="243" t="str">
        <f>IF($AL608="","",RANK(AV608,$AV$2:$AV$1001)+COUNTIF($AV$2:AV608,AV608)-1)</f>
        <v/>
      </c>
      <c r="AV608" s="266">
        <f t="shared" si="50"/>
        <v>0</v>
      </c>
    </row>
    <row r="609" spans="26:48" ht="15" customHeight="1" x14ac:dyDescent="0.2">
      <c r="Z609" s="243" t="str">
        <f>Shares!A609</f>
        <v/>
      </c>
      <c r="AA609" s="243" t="str">
        <f>Shares!B609</f>
        <v/>
      </c>
      <c r="AB609" s="243" t="str">
        <f>Shares!C609</f>
        <v/>
      </c>
      <c r="AC609" s="243" t="str">
        <f>Shares!D609</f>
        <v/>
      </c>
      <c r="AD609" s="243">
        <f>IF($Z609="",0,Shares!E609)</f>
        <v>0</v>
      </c>
      <c r="AE609" s="266">
        <f>IF($Z609="",0,Shares!J609*Shares!I609)</f>
        <v>0</v>
      </c>
      <c r="AF609" s="267">
        <f t="shared" si="49"/>
        <v>0</v>
      </c>
      <c r="AG609" s="266">
        <f>IF($Z609="",0,Shares!L609)</f>
        <v>0</v>
      </c>
      <c r="AH609" s="267">
        <f>IF($Z609="",0,Shares!M609)</f>
        <v>0</v>
      </c>
      <c r="AI609" s="243" t="str">
        <f>IF($Z609="","",RANK(AE609,$AE$2:$AE$1001)+COUNTIF($AE$2:AE609,AE609)-1)</f>
        <v/>
      </c>
      <c r="AJ609" s="243" t="str">
        <f>IF($AD609&lt;0,COUNT($AJ$1:AJ608)+1,"")</f>
        <v/>
      </c>
      <c r="AL609" s="243" t="str">
        <f>'All Ticker P&amp;L'!A609</f>
        <v/>
      </c>
      <c r="AM609" s="243" t="str">
        <f>'All Ticker P&amp;L'!B609</f>
        <v/>
      </c>
      <c r="AN609" s="243" t="str">
        <f>'All Ticker P&amp;L'!C609</f>
        <v/>
      </c>
      <c r="AO609" s="243" t="str">
        <f>'All Ticker P&amp;L'!D609</f>
        <v/>
      </c>
      <c r="AP609" s="243">
        <f>IF($AL609="",0,'All Ticker P&amp;L'!E609)</f>
        <v>0</v>
      </c>
      <c r="AQ609" s="266">
        <f>IF($AL609="",0,'All Ticker P&amp;L'!J609*'All Ticker P&amp;L'!I609)</f>
        <v>0</v>
      </c>
      <c r="AR609" s="266">
        <f>IF($AL609="",0,'All Ticker P&amp;L'!L609)</f>
        <v>0</v>
      </c>
      <c r="AS609" s="267">
        <f>IF($AL609="",0,'All Ticker P&amp;L'!M609)</f>
        <v>0</v>
      </c>
      <c r="AT609" s="243" t="str">
        <f>IF($AL609="","",RANK(AR609,$AR$2:$AR$1001)+COUNTIF($AR$2:AR609,AR609)-1)</f>
        <v/>
      </c>
      <c r="AU609" s="243" t="str">
        <f>IF($AL609="","",RANK(AV609,$AV$2:$AV$1001)+COUNTIF($AV$2:AV609,AV609)-1)</f>
        <v/>
      </c>
      <c r="AV609" s="266">
        <f t="shared" si="50"/>
        <v>0</v>
      </c>
    </row>
    <row r="610" spans="26:48" ht="15" customHeight="1" x14ac:dyDescent="0.2">
      <c r="Z610" s="243" t="str">
        <f>Shares!A610</f>
        <v/>
      </c>
      <c r="AA610" s="243" t="str">
        <f>Shares!B610</f>
        <v/>
      </c>
      <c r="AB610" s="243" t="str">
        <f>Shares!C610</f>
        <v/>
      </c>
      <c r="AC610" s="243" t="str">
        <f>Shares!D610</f>
        <v/>
      </c>
      <c r="AD610" s="243">
        <f>IF($Z610="",0,Shares!E610)</f>
        <v>0</v>
      </c>
      <c r="AE610" s="266">
        <f>IF($Z610="",0,Shares!J610*Shares!I610)</f>
        <v>0</v>
      </c>
      <c r="AF610" s="267">
        <f t="shared" si="49"/>
        <v>0</v>
      </c>
      <c r="AG610" s="266">
        <f>IF($Z610="",0,Shares!L610)</f>
        <v>0</v>
      </c>
      <c r="AH610" s="267">
        <f>IF($Z610="",0,Shares!M610)</f>
        <v>0</v>
      </c>
      <c r="AI610" s="243" t="str">
        <f>IF($Z610="","",RANK(AE610,$AE$2:$AE$1001)+COUNTIF($AE$2:AE610,AE610)-1)</f>
        <v/>
      </c>
      <c r="AJ610" s="243" t="str">
        <f>IF($AD610&lt;0,COUNT($AJ$1:AJ609)+1,"")</f>
        <v/>
      </c>
      <c r="AL610" s="243" t="str">
        <f>'All Ticker P&amp;L'!A610</f>
        <v/>
      </c>
      <c r="AM610" s="243" t="str">
        <f>'All Ticker P&amp;L'!B610</f>
        <v/>
      </c>
      <c r="AN610" s="243" t="str">
        <f>'All Ticker P&amp;L'!C610</f>
        <v/>
      </c>
      <c r="AO610" s="243" t="str">
        <f>'All Ticker P&amp;L'!D610</f>
        <v/>
      </c>
      <c r="AP610" s="243">
        <f>IF($AL610="",0,'All Ticker P&amp;L'!E610)</f>
        <v>0</v>
      </c>
      <c r="AQ610" s="266">
        <f>IF($AL610="",0,'All Ticker P&amp;L'!J610*'All Ticker P&amp;L'!I610)</f>
        <v>0</v>
      </c>
      <c r="AR610" s="266">
        <f>IF($AL610="",0,'All Ticker P&amp;L'!L610)</f>
        <v>0</v>
      </c>
      <c r="AS610" s="267">
        <f>IF($AL610="",0,'All Ticker P&amp;L'!M610)</f>
        <v>0</v>
      </c>
      <c r="AT610" s="243" t="str">
        <f>IF($AL610="","",RANK(AR610,$AR$2:$AR$1001)+COUNTIF($AR$2:AR610,AR610)-1)</f>
        <v/>
      </c>
      <c r="AU610" s="243" t="str">
        <f>IF($AL610="","",RANK(AV610,$AV$2:$AV$1001)+COUNTIF($AV$2:AV610,AV610)-1)</f>
        <v/>
      </c>
      <c r="AV610" s="266">
        <f t="shared" si="50"/>
        <v>0</v>
      </c>
    </row>
    <row r="611" spans="26:48" ht="15" customHeight="1" x14ac:dyDescent="0.2">
      <c r="Z611" s="243" t="str">
        <f>Shares!A611</f>
        <v/>
      </c>
      <c r="AA611" s="243" t="str">
        <f>Shares!B611</f>
        <v/>
      </c>
      <c r="AB611" s="243" t="str">
        <f>Shares!C611</f>
        <v/>
      </c>
      <c r="AC611" s="243" t="str">
        <f>Shares!D611</f>
        <v/>
      </c>
      <c r="AD611" s="243">
        <f>IF($Z611="",0,Shares!E611)</f>
        <v>0</v>
      </c>
      <c r="AE611" s="266">
        <f>IF($Z611="",0,Shares!J611*Shares!I611)</f>
        <v>0</v>
      </c>
      <c r="AF611" s="267">
        <f t="shared" si="49"/>
        <v>0</v>
      </c>
      <c r="AG611" s="266">
        <f>IF($Z611="",0,Shares!L611)</f>
        <v>0</v>
      </c>
      <c r="AH611" s="267">
        <f>IF($Z611="",0,Shares!M611)</f>
        <v>0</v>
      </c>
      <c r="AI611" s="243" t="str">
        <f>IF($Z611="","",RANK(AE611,$AE$2:$AE$1001)+COUNTIF($AE$2:AE611,AE611)-1)</f>
        <v/>
      </c>
      <c r="AJ611" s="243" t="str">
        <f>IF($AD611&lt;0,COUNT($AJ$1:AJ610)+1,"")</f>
        <v/>
      </c>
      <c r="AL611" s="243" t="str">
        <f>'All Ticker P&amp;L'!A611</f>
        <v/>
      </c>
      <c r="AM611" s="243" t="str">
        <f>'All Ticker P&amp;L'!B611</f>
        <v/>
      </c>
      <c r="AN611" s="243" t="str">
        <f>'All Ticker P&amp;L'!C611</f>
        <v/>
      </c>
      <c r="AO611" s="243" t="str">
        <f>'All Ticker P&amp;L'!D611</f>
        <v/>
      </c>
      <c r="AP611" s="243">
        <f>IF($AL611="",0,'All Ticker P&amp;L'!E611)</f>
        <v>0</v>
      </c>
      <c r="AQ611" s="266">
        <f>IF($AL611="",0,'All Ticker P&amp;L'!J611*'All Ticker P&amp;L'!I611)</f>
        <v>0</v>
      </c>
      <c r="AR611" s="266">
        <f>IF($AL611="",0,'All Ticker P&amp;L'!L611)</f>
        <v>0</v>
      </c>
      <c r="AS611" s="267">
        <f>IF($AL611="",0,'All Ticker P&amp;L'!M611)</f>
        <v>0</v>
      </c>
      <c r="AT611" s="243" t="str">
        <f>IF($AL611="","",RANK(AR611,$AR$2:$AR$1001)+COUNTIF($AR$2:AR611,AR611)-1)</f>
        <v/>
      </c>
      <c r="AU611" s="243" t="str">
        <f>IF($AL611="","",RANK(AV611,$AV$2:$AV$1001)+COUNTIF($AV$2:AV611,AV611)-1)</f>
        <v/>
      </c>
      <c r="AV611" s="266">
        <f t="shared" si="50"/>
        <v>0</v>
      </c>
    </row>
    <row r="612" spans="26:48" ht="15" customHeight="1" x14ac:dyDescent="0.2">
      <c r="Z612" s="243" t="str">
        <f>Shares!A612</f>
        <v/>
      </c>
      <c r="AA612" s="243" t="str">
        <f>Shares!B612</f>
        <v/>
      </c>
      <c r="AB612" s="243" t="str">
        <f>Shares!C612</f>
        <v/>
      </c>
      <c r="AC612" s="243" t="str">
        <f>Shares!D612</f>
        <v/>
      </c>
      <c r="AD612" s="243">
        <f>IF($Z612="",0,Shares!E612)</f>
        <v>0</v>
      </c>
      <c r="AE612" s="266">
        <f>IF($Z612="",0,Shares!J612*Shares!I612)</f>
        <v>0</v>
      </c>
      <c r="AF612" s="267">
        <f t="shared" si="49"/>
        <v>0</v>
      </c>
      <c r="AG612" s="266">
        <f>IF($Z612="",0,Shares!L612)</f>
        <v>0</v>
      </c>
      <c r="AH612" s="267">
        <f>IF($Z612="",0,Shares!M612)</f>
        <v>0</v>
      </c>
      <c r="AI612" s="243" t="str">
        <f>IF($Z612="","",RANK(AE612,$AE$2:$AE$1001)+COUNTIF($AE$2:AE612,AE612)-1)</f>
        <v/>
      </c>
      <c r="AJ612" s="243" t="str">
        <f>IF($AD612&lt;0,COUNT($AJ$1:AJ611)+1,"")</f>
        <v/>
      </c>
      <c r="AL612" s="243" t="str">
        <f>'All Ticker P&amp;L'!A612</f>
        <v/>
      </c>
      <c r="AM612" s="243" t="str">
        <f>'All Ticker P&amp;L'!B612</f>
        <v/>
      </c>
      <c r="AN612" s="243" t="str">
        <f>'All Ticker P&amp;L'!C612</f>
        <v/>
      </c>
      <c r="AO612" s="243" t="str">
        <f>'All Ticker P&amp;L'!D612</f>
        <v/>
      </c>
      <c r="AP612" s="243">
        <f>IF($AL612="",0,'All Ticker P&amp;L'!E612)</f>
        <v>0</v>
      </c>
      <c r="AQ612" s="266">
        <f>IF($AL612="",0,'All Ticker P&amp;L'!J612*'All Ticker P&amp;L'!I612)</f>
        <v>0</v>
      </c>
      <c r="AR612" s="266">
        <f>IF($AL612="",0,'All Ticker P&amp;L'!L612)</f>
        <v>0</v>
      </c>
      <c r="AS612" s="267">
        <f>IF($AL612="",0,'All Ticker P&amp;L'!M612)</f>
        <v>0</v>
      </c>
      <c r="AT612" s="243" t="str">
        <f>IF($AL612="","",RANK(AR612,$AR$2:$AR$1001)+COUNTIF($AR$2:AR612,AR612)-1)</f>
        <v/>
      </c>
      <c r="AU612" s="243" t="str">
        <f>IF($AL612="","",RANK(AV612,$AV$2:$AV$1001)+COUNTIF($AV$2:AV612,AV612)-1)</f>
        <v/>
      </c>
      <c r="AV612" s="266">
        <f t="shared" si="50"/>
        <v>0</v>
      </c>
    </row>
    <row r="613" spans="26:48" ht="15" customHeight="1" x14ac:dyDescent="0.2">
      <c r="Z613" s="243" t="str">
        <f>Shares!A613</f>
        <v/>
      </c>
      <c r="AA613" s="243" t="str">
        <f>Shares!B613</f>
        <v/>
      </c>
      <c r="AB613" s="243" t="str">
        <f>Shares!C613</f>
        <v/>
      </c>
      <c r="AC613" s="243" t="str">
        <f>Shares!D613</f>
        <v/>
      </c>
      <c r="AD613" s="243">
        <f>IF($Z613="",0,Shares!E613)</f>
        <v>0</v>
      </c>
      <c r="AE613" s="266">
        <f>IF($Z613="",0,Shares!J613*Shares!I613)</f>
        <v>0</v>
      </c>
      <c r="AF613" s="267">
        <f t="shared" si="49"/>
        <v>0</v>
      </c>
      <c r="AG613" s="266">
        <f>IF($Z613="",0,Shares!L613)</f>
        <v>0</v>
      </c>
      <c r="AH613" s="267">
        <f>IF($Z613="",0,Shares!M613)</f>
        <v>0</v>
      </c>
      <c r="AI613" s="243" t="str">
        <f>IF($Z613="","",RANK(AE613,$AE$2:$AE$1001)+COUNTIF($AE$2:AE613,AE613)-1)</f>
        <v/>
      </c>
      <c r="AJ613" s="243" t="str">
        <f>IF($AD613&lt;0,COUNT($AJ$1:AJ612)+1,"")</f>
        <v/>
      </c>
      <c r="AL613" s="243" t="str">
        <f>'All Ticker P&amp;L'!A613</f>
        <v/>
      </c>
      <c r="AM613" s="243" t="str">
        <f>'All Ticker P&amp;L'!B613</f>
        <v/>
      </c>
      <c r="AN613" s="243" t="str">
        <f>'All Ticker P&amp;L'!C613</f>
        <v/>
      </c>
      <c r="AO613" s="243" t="str">
        <f>'All Ticker P&amp;L'!D613</f>
        <v/>
      </c>
      <c r="AP613" s="243">
        <f>IF($AL613="",0,'All Ticker P&amp;L'!E613)</f>
        <v>0</v>
      </c>
      <c r="AQ613" s="266">
        <f>IF($AL613="",0,'All Ticker P&amp;L'!J613*'All Ticker P&amp;L'!I613)</f>
        <v>0</v>
      </c>
      <c r="AR613" s="266">
        <f>IF($AL613="",0,'All Ticker P&amp;L'!L613)</f>
        <v>0</v>
      </c>
      <c r="AS613" s="267">
        <f>IF($AL613="",0,'All Ticker P&amp;L'!M613)</f>
        <v>0</v>
      </c>
      <c r="AT613" s="243" t="str">
        <f>IF($AL613="","",RANK(AR613,$AR$2:$AR$1001)+COUNTIF($AR$2:AR613,AR613)-1)</f>
        <v/>
      </c>
      <c r="AU613" s="243" t="str">
        <f>IF($AL613="","",RANK(AV613,$AV$2:$AV$1001)+COUNTIF($AV$2:AV613,AV613)-1)</f>
        <v/>
      </c>
      <c r="AV613" s="266">
        <f t="shared" si="50"/>
        <v>0</v>
      </c>
    </row>
    <row r="614" spans="26:48" ht="15" customHeight="1" x14ac:dyDescent="0.2">
      <c r="Z614" s="243" t="str">
        <f>Shares!A614</f>
        <v/>
      </c>
      <c r="AA614" s="243" t="str">
        <f>Shares!B614</f>
        <v/>
      </c>
      <c r="AB614" s="243" t="str">
        <f>Shares!C614</f>
        <v/>
      </c>
      <c r="AC614" s="243" t="str">
        <f>Shares!D614</f>
        <v/>
      </c>
      <c r="AD614" s="243">
        <f>IF($Z614="",0,Shares!E614)</f>
        <v>0</v>
      </c>
      <c r="AE614" s="266">
        <f>IF($Z614="",0,Shares!J614*Shares!I614)</f>
        <v>0</v>
      </c>
      <c r="AF614" s="267">
        <f t="shared" si="49"/>
        <v>0</v>
      </c>
      <c r="AG614" s="266">
        <f>IF($Z614="",0,Shares!L614)</f>
        <v>0</v>
      </c>
      <c r="AH614" s="267">
        <f>IF($Z614="",0,Shares!M614)</f>
        <v>0</v>
      </c>
      <c r="AI614" s="243" t="str">
        <f>IF($Z614="","",RANK(AE614,$AE$2:$AE$1001)+COUNTIF($AE$2:AE614,AE614)-1)</f>
        <v/>
      </c>
      <c r="AJ614" s="243" t="str">
        <f>IF($AD614&lt;0,COUNT($AJ$1:AJ613)+1,"")</f>
        <v/>
      </c>
      <c r="AL614" s="243" t="str">
        <f>'All Ticker P&amp;L'!A614</f>
        <v/>
      </c>
      <c r="AM614" s="243" t="str">
        <f>'All Ticker P&amp;L'!B614</f>
        <v/>
      </c>
      <c r="AN614" s="243" t="str">
        <f>'All Ticker P&amp;L'!C614</f>
        <v/>
      </c>
      <c r="AO614" s="243" t="str">
        <f>'All Ticker P&amp;L'!D614</f>
        <v/>
      </c>
      <c r="AP614" s="243">
        <f>IF($AL614="",0,'All Ticker P&amp;L'!E614)</f>
        <v>0</v>
      </c>
      <c r="AQ614" s="266">
        <f>IF($AL614="",0,'All Ticker P&amp;L'!J614*'All Ticker P&amp;L'!I614)</f>
        <v>0</v>
      </c>
      <c r="AR614" s="266">
        <f>IF($AL614="",0,'All Ticker P&amp;L'!L614)</f>
        <v>0</v>
      </c>
      <c r="AS614" s="267">
        <f>IF($AL614="",0,'All Ticker P&amp;L'!M614)</f>
        <v>0</v>
      </c>
      <c r="AT614" s="243" t="str">
        <f>IF($AL614="","",RANK(AR614,$AR$2:$AR$1001)+COUNTIF($AR$2:AR614,AR614)-1)</f>
        <v/>
      </c>
      <c r="AU614" s="243" t="str">
        <f>IF($AL614="","",RANK(AV614,$AV$2:$AV$1001)+COUNTIF($AV$2:AV614,AV614)-1)</f>
        <v/>
      </c>
      <c r="AV614" s="266">
        <f t="shared" si="50"/>
        <v>0</v>
      </c>
    </row>
    <row r="615" spans="26:48" ht="15" customHeight="1" x14ac:dyDescent="0.2">
      <c r="Z615" s="243" t="str">
        <f>Shares!A615</f>
        <v/>
      </c>
      <c r="AA615" s="243" t="str">
        <f>Shares!B615</f>
        <v/>
      </c>
      <c r="AB615" s="243" t="str">
        <f>Shares!C615</f>
        <v/>
      </c>
      <c r="AC615" s="243" t="str">
        <f>Shares!D615</f>
        <v/>
      </c>
      <c r="AD615" s="243">
        <f>IF($Z615="",0,Shares!E615)</f>
        <v>0</v>
      </c>
      <c r="AE615" s="266">
        <f>IF($Z615="",0,Shares!J615*Shares!I615)</f>
        <v>0</v>
      </c>
      <c r="AF615" s="267">
        <f t="shared" si="49"/>
        <v>0</v>
      </c>
      <c r="AG615" s="266">
        <f>IF($Z615="",0,Shares!L615)</f>
        <v>0</v>
      </c>
      <c r="AH615" s="267">
        <f>IF($Z615="",0,Shares!M615)</f>
        <v>0</v>
      </c>
      <c r="AI615" s="243" t="str">
        <f>IF($Z615="","",RANK(AE615,$AE$2:$AE$1001)+COUNTIF($AE$2:AE615,AE615)-1)</f>
        <v/>
      </c>
      <c r="AJ615" s="243" t="str">
        <f>IF($AD615&lt;0,COUNT($AJ$1:AJ614)+1,"")</f>
        <v/>
      </c>
      <c r="AL615" s="243" t="str">
        <f>'All Ticker P&amp;L'!A615</f>
        <v/>
      </c>
      <c r="AM615" s="243" t="str">
        <f>'All Ticker P&amp;L'!B615</f>
        <v/>
      </c>
      <c r="AN615" s="243" t="str">
        <f>'All Ticker P&amp;L'!C615</f>
        <v/>
      </c>
      <c r="AO615" s="243" t="str">
        <f>'All Ticker P&amp;L'!D615</f>
        <v/>
      </c>
      <c r="AP615" s="243">
        <f>IF($AL615="",0,'All Ticker P&amp;L'!E615)</f>
        <v>0</v>
      </c>
      <c r="AQ615" s="266">
        <f>IF($AL615="",0,'All Ticker P&amp;L'!J615*'All Ticker P&amp;L'!I615)</f>
        <v>0</v>
      </c>
      <c r="AR615" s="266">
        <f>IF($AL615="",0,'All Ticker P&amp;L'!L615)</f>
        <v>0</v>
      </c>
      <c r="AS615" s="267">
        <f>IF($AL615="",0,'All Ticker P&amp;L'!M615)</f>
        <v>0</v>
      </c>
      <c r="AT615" s="243" t="str">
        <f>IF($AL615="","",RANK(AR615,$AR$2:$AR$1001)+COUNTIF($AR$2:AR615,AR615)-1)</f>
        <v/>
      </c>
      <c r="AU615" s="243" t="str">
        <f>IF($AL615="","",RANK(AV615,$AV$2:$AV$1001)+COUNTIF($AV$2:AV615,AV615)-1)</f>
        <v/>
      </c>
      <c r="AV615" s="266">
        <f t="shared" si="50"/>
        <v>0</v>
      </c>
    </row>
    <row r="616" spans="26:48" ht="15" customHeight="1" x14ac:dyDescent="0.2">
      <c r="Z616" s="243" t="str">
        <f>Shares!A616</f>
        <v/>
      </c>
      <c r="AA616" s="243" t="str">
        <f>Shares!B616</f>
        <v/>
      </c>
      <c r="AB616" s="243" t="str">
        <f>Shares!C616</f>
        <v/>
      </c>
      <c r="AC616" s="243" t="str">
        <f>Shares!D616</f>
        <v/>
      </c>
      <c r="AD616" s="243">
        <f>IF($Z616="",0,Shares!E616)</f>
        <v>0</v>
      </c>
      <c r="AE616" s="266">
        <f>IF($Z616="",0,Shares!J616*Shares!I616)</f>
        <v>0</v>
      </c>
      <c r="AF616" s="267">
        <f t="shared" si="49"/>
        <v>0</v>
      </c>
      <c r="AG616" s="266">
        <f>IF($Z616="",0,Shares!L616)</f>
        <v>0</v>
      </c>
      <c r="AH616" s="267">
        <f>IF($Z616="",0,Shares!M616)</f>
        <v>0</v>
      </c>
      <c r="AI616" s="243" t="str">
        <f>IF($Z616="","",RANK(AE616,$AE$2:$AE$1001)+COUNTIF($AE$2:AE616,AE616)-1)</f>
        <v/>
      </c>
      <c r="AJ616" s="243" t="str">
        <f>IF($AD616&lt;0,COUNT($AJ$1:AJ615)+1,"")</f>
        <v/>
      </c>
      <c r="AL616" s="243" t="str">
        <f>'All Ticker P&amp;L'!A616</f>
        <v/>
      </c>
      <c r="AM616" s="243" t="str">
        <f>'All Ticker P&amp;L'!B616</f>
        <v/>
      </c>
      <c r="AN616" s="243" t="str">
        <f>'All Ticker P&amp;L'!C616</f>
        <v/>
      </c>
      <c r="AO616" s="243" t="str">
        <f>'All Ticker P&amp;L'!D616</f>
        <v/>
      </c>
      <c r="AP616" s="243">
        <f>IF($AL616="",0,'All Ticker P&amp;L'!E616)</f>
        <v>0</v>
      </c>
      <c r="AQ616" s="266">
        <f>IF($AL616="",0,'All Ticker P&amp;L'!J616*'All Ticker P&amp;L'!I616)</f>
        <v>0</v>
      </c>
      <c r="AR616" s="266">
        <f>IF($AL616="",0,'All Ticker P&amp;L'!L616)</f>
        <v>0</v>
      </c>
      <c r="AS616" s="267">
        <f>IF($AL616="",0,'All Ticker P&amp;L'!M616)</f>
        <v>0</v>
      </c>
      <c r="AT616" s="243" t="str">
        <f>IF($AL616="","",RANK(AR616,$AR$2:$AR$1001)+COUNTIF($AR$2:AR616,AR616)-1)</f>
        <v/>
      </c>
      <c r="AU616" s="243" t="str">
        <f>IF($AL616="","",RANK(AV616,$AV$2:$AV$1001)+COUNTIF($AV$2:AV616,AV616)-1)</f>
        <v/>
      </c>
      <c r="AV616" s="266">
        <f t="shared" si="50"/>
        <v>0</v>
      </c>
    </row>
    <row r="617" spans="26:48" ht="15" customHeight="1" x14ac:dyDescent="0.2">
      <c r="Z617" s="243" t="str">
        <f>Shares!A617</f>
        <v/>
      </c>
      <c r="AA617" s="243" t="str">
        <f>Shares!B617</f>
        <v/>
      </c>
      <c r="AB617" s="243" t="str">
        <f>Shares!C617</f>
        <v/>
      </c>
      <c r="AC617" s="243" t="str">
        <f>Shares!D617</f>
        <v/>
      </c>
      <c r="AD617" s="243">
        <f>IF($Z617="",0,Shares!E617)</f>
        <v>0</v>
      </c>
      <c r="AE617" s="266">
        <f>IF($Z617="",0,Shares!J617*Shares!I617)</f>
        <v>0</v>
      </c>
      <c r="AF617" s="267">
        <f t="shared" si="49"/>
        <v>0</v>
      </c>
      <c r="AG617" s="266">
        <f>IF($Z617="",0,Shares!L617)</f>
        <v>0</v>
      </c>
      <c r="AH617" s="267">
        <f>IF($Z617="",0,Shares!M617)</f>
        <v>0</v>
      </c>
      <c r="AI617" s="243" t="str">
        <f>IF($Z617="","",RANK(AE617,$AE$2:$AE$1001)+COUNTIF($AE$2:AE617,AE617)-1)</f>
        <v/>
      </c>
      <c r="AJ617" s="243" t="str">
        <f>IF($AD617&lt;0,COUNT($AJ$1:AJ616)+1,"")</f>
        <v/>
      </c>
      <c r="AL617" s="243" t="str">
        <f>'All Ticker P&amp;L'!A617</f>
        <v/>
      </c>
      <c r="AM617" s="243" t="str">
        <f>'All Ticker P&amp;L'!B617</f>
        <v/>
      </c>
      <c r="AN617" s="243" t="str">
        <f>'All Ticker P&amp;L'!C617</f>
        <v/>
      </c>
      <c r="AO617" s="243" t="str">
        <f>'All Ticker P&amp;L'!D617</f>
        <v/>
      </c>
      <c r="AP617" s="243">
        <f>IF($AL617="",0,'All Ticker P&amp;L'!E617)</f>
        <v>0</v>
      </c>
      <c r="AQ617" s="266">
        <f>IF($AL617="",0,'All Ticker P&amp;L'!J617*'All Ticker P&amp;L'!I617)</f>
        <v>0</v>
      </c>
      <c r="AR617" s="266">
        <f>IF($AL617="",0,'All Ticker P&amp;L'!L617)</f>
        <v>0</v>
      </c>
      <c r="AS617" s="267">
        <f>IF($AL617="",0,'All Ticker P&amp;L'!M617)</f>
        <v>0</v>
      </c>
      <c r="AT617" s="243" t="str">
        <f>IF($AL617="","",RANK(AR617,$AR$2:$AR$1001)+COUNTIF($AR$2:AR617,AR617)-1)</f>
        <v/>
      </c>
      <c r="AU617" s="243" t="str">
        <f>IF($AL617="","",RANK(AV617,$AV$2:$AV$1001)+COUNTIF($AV$2:AV617,AV617)-1)</f>
        <v/>
      </c>
      <c r="AV617" s="266">
        <f t="shared" si="50"/>
        <v>0</v>
      </c>
    </row>
    <row r="618" spans="26:48" ht="15" customHeight="1" x14ac:dyDescent="0.2">
      <c r="Z618" s="243" t="str">
        <f>Shares!A618</f>
        <v/>
      </c>
      <c r="AA618" s="243" t="str">
        <f>Shares!B618</f>
        <v/>
      </c>
      <c r="AB618" s="243" t="str">
        <f>Shares!C618</f>
        <v/>
      </c>
      <c r="AC618" s="243" t="str">
        <f>Shares!D618</f>
        <v/>
      </c>
      <c r="AD618" s="243">
        <f>IF($Z618="",0,Shares!E618)</f>
        <v>0</v>
      </c>
      <c r="AE618" s="266">
        <f>IF($Z618="",0,Shares!J618*Shares!I618)</f>
        <v>0</v>
      </c>
      <c r="AF618" s="267">
        <f t="shared" si="49"/>
        <v>0</v>
      </c>
      <c r="AG618" s="266">
        <f>IF($Z618="",0,Shares!L618)</f>
        <v>0</v>
      </c>
      <c r="AH618" s="267">
        <f>IF($Z618="",0,Shares!M618)</f>
        <v>0</v>
      </c>
      <c r="AI618" s="243" t="str">
        <f>IF($Z618="","",RANK(AE618,$AE$2:$AE$1001)+COUNTIF($AE$2:AE618,AE618)-1)</f>
        <v/>
      </c>
      <c r="AJ618" s="243" t="str">
        <f>IF($AD618&lt;0,COUNT($AJ$1:AJ617)+1,"")</f>
        <v/>
      </c>
      <c r="AL618" s="243" t="str">
        <f>'All Ticker P&amp;L'!A618</f>
        <v/>
      </c>
      <c r="AM618" s="243" t="str">
        <f>'All Ticker P&amp;L'!B618</f>
        <v/>
      </c>
      <c r="AN618" s="243" t="str">
        <f>'All Ticker P&amp;L'!C618</f>
        <v/>
      </c>
      <c r="AO618" s="243" t="str">
        <f>'All Ticker P&amp;L'!D618</f>
        <v/>
      </c>
      <c r="AP618" s="243">
        <f>IF($AL618="",0,'All Ticker P&amp;L'!E618)</f>
        <v>0</v>
      </c>
      <c r="AQ618" s="266">
        <f>IF($AL618="",0,'All Ticker P&amp;L'!J618*'All Ticker P&amp;L'!I618)</f>
        <v>0</v>
      </c>
      <c r="AR618" s="266">
        <f>IF($AL618="",0,'All Ticker P&amp;L'!L618)</f>
        <v>0</v>
      </c>
      <c r="AS618" s="267">
        <f>IF($AL618="",0,'All Ticker P&amp;L'!M618)</f>
        <v>0</v>
      </c>
      <c r="AT618" s="243" t="str">
        <f>IF($AL618="","",RANK(AR618,$AR$2:$AR$1001)+COUNTIF($AR$2:AR618,AR618)-1)</f>
        <v/>
      </c>
      <c r="AU618" s="243" t="str">
        <f>IF($AL618="","",RANK(AV618,$AV$2:$AV$1001)+COUNTIF($AV$2:AV618,AV618)-1)</f>
        <v/>
      </c>
      <c r="AV618" s="266">
        <f t="shared" si="50"/>
        <v>0</v>
      </c>
    </row>
    <row r="619" spans="26:48" ht="15" customHeight="1" x14ac:dyDescent="0.2">
      <c r="Z619" s="243" t="str">
        <f>Shares!A619</f>
        <v/>
      </c>
      <c r="AA619" s="243" t="str">
        <f>Shares!B619</f>
        <v/>
      </c>
      <c r="AB619" s="243" t="str">
        <f>Shares!C619</f>
        <v/>
      </c>
      <c r="AC619" s="243" t="str">
        <f>Shares!D619</f>
        <v/>
      </c>
      <c r="AD619" s="243">
        <f>IF($Z619="",0,Shares!E619)</f>
        <v>0</v>
      </c>
      <c r="AE619" s="266">
        <f>IF($Z619="",0,Shares!J619*Shares!I619)</f>
        <v>0</v>
      </c>
      <c r="AF619" s="267">
        <f t="shared" si="49"/>
        <v>0</v>
      </c>
      <c r="AG619" s="266">
        <f>IF($Z619="",0,Shares!L619)</f>
        <v>0</v>
      </c>
      <c r="AH619" s="267">
        <f>IF($Z619="",0,Shares!M619)</f>
        <v>0</v>
      </c>
      <c r="AI619" s="243" t="str">
        <f>IF($Z619="","",RANK(AE619,$AE$2:$AE$1001)+COUNTIF($AE$2:AE619,AE619)-1)</f>
        <v/>
      </c>
      <c r="AJ619" s="243" t="str">
        <f>IF($AD619&lt;0,COUNT($AJ$1:AJ618)+1,"")</f>
        <v/>
      </c>
      <c r="AL619" s="243" t="str">
        <f>'All Ticker P&amp;L'!A619</f>
        <v/>
      </c>
      <c r="AM619" s="243" t="str">
        <f>'All Ticker P&amp;L'!B619</f>
        <v/>
      </c>
      <c r="AN619" s="243" t="str">
        <f>'All Ticker P&amp;L'!C619</f>
        <v/>
      </c>
      <c r="AO619" s="243" t="str">
        <f>'All Ticker P&amp;L'!D619</f>
        <v/>
      </c>
      <c r="AP619" s="243">
        <f>IF($AL619="",0,'All Ticker P&amp;L'!E619)</f>
        <v>0</v>
      </c>
      <c r="AQ619" s="266">
        <f>IF($AL619="",0,'All Ticker P&amp;L'!J619*'All Ticker P&amp;L'!I619)</f>
        <v>0</v>
      </c>
      <c r="AR619" s="266">
        <f>IF($AL619="",0,'All Ticker P&amp;L'!L619)</f>
        <v>0</v>
      </c>
      <c r="AS619" s="267">
        <f>IF($AL619="",0,'All Ticker P&amp;L'!M619)</f>
        <v>0</v>
      </c>
      <c r="AT619" s="243" t="str">
        <f>IF($AL619="","",RANK(AR619,$AR$2:$AR$1001)+COUNTIF($AR$2:AR619,AR619)-1)</f>
        <v/>
      </c>
      <c r="AU619" s="243" t="str">
        <f>IF($AL619="","",RANK(AV619,$AV$2:$AV$1001)+COUNTIF($AV$2:AV619,AV619)-1)</f>
        <v/>
      </c>
      <c r="AV619" s="266">
        <f t="shared" si="50"/>
        <v>0</v>
      </c>
    </row>
    <row r="620" spans="26:48" ht="15" customHeight="1" x14ac:dyDescent="0.2">
      <c r="Z620" s="243" t="str">
        <f>Shares!A620</f>
        <v/>
      </c>
      <c r="AA620" s="243" t="str">
        <f>Shares!B620</f>
        <v/>
      </c>
      <c r="AB620" s="243" t="str">
        <f>Shares!C620</f>
        <v/>
      </c>
      <c r="AC620" s="243" t="str">
        <f>Shares!D620</f>
        <v/>
      </c>
      <c r="AD620" s="243">
        <f>IF($Z620="",0,Shares!E620)</f>
        <v>0</v>
      </c>
      <c r="AE620" s="266">
        <f>IF($Z620="",0,Shares!J620*Shares!I620)</f>
        <v>0</v>
      </c>
      <c r="AF620" s="267">
        <f t="shared" si="49"/>
        <v>0</v>
      </c>
      <c r="AG620" s="266">
        <f>IF($Z620="",0,Shares!L620)</f>
        <v>0</v>
      </c>
      <c r="AH620" s="267">
        <f>IF($Z620="",0,Shares!M620)</f>
        <v>0</v>
      </c>
      <c r="AI620" s="243" t="str">
        <f>IF($Z620="","",RANK(AE620,$AE$2:$AE$1001)+COUNTIF($AE$2:AE620,AE620)-1)</f>
        <v/>
      </c>
      <c r="AJ620" s="243" t="str">
        <f>IF($AD620&lt;0,COUNT($AJ$1:AJ619)+1,"")</f>
        <v/>
      </c>
      <c r="AL620" s="243" t="str">
        <f>'All Ticker P&amp;L'!A620</f>
        <v/>
      </c>
      <c r="AM620" s="243" t="str">
        <f>'All Ticker P&amp;L'!B620</f>
        <v/>
      </c>
      <c r="AN620" s="243" t="str">
        <f>'All Ticker P&amp;L'!C620</f>
        <v/>
      </c>
      <c r="AO620" s="243" t="str">
        <f>'All Ticker P&amp;L'!D620</f>
        <v/>
      </c>
      <c r="AP620" s="243">
        <f>IF($AL620="",0,'All Ticker P&amp;L'!E620)</f>
        <v>0</v>
      </c>
      <c r="AQ620" s="266">
        <f>IF($AL620="",0,'All Ticker P&amp;L'!J620*'All Ticker P&amp;L'!I620)</f>
        <v>0</v>
      </c>
      <c r="AR620" s="266">
        <f>IF($AL620="",0,'All Ticker P&amp;L'!L620)</f>
        <v>0</v>
      </c>
      <c r="AS620" s="267">
        <f>IF($AL620="",0,'All Ticker P&amp;L'!M620)</f>
        <v>0</v>
      </c>
      <c r="AT620" s="243" t="str">
        <f>IF($AL620="","",RANK(AR620,$AR$2:$AR$1001)+COUNTIF($AR$2:AR620,AR620)-1)</f>
        <v/>
      </c>
      <c r="AU620" s="243" t="str">
        <f>IF($AL620="","",RANK(AV620,$AV$2:$AV$1001)+COUNTIF($AV$2:AV620,AV620)-1)</f>
        <v/>
      </c>
      <c r="AV620" s="266">
        <f t="shared" si="50"/>
        <v>0</v>
      </c>
    </row>
    <row r="621" spans="26:48" ht="15" customHeight="1" x14ac:dyDescent="0.2">
      <c r="Z621" s="243" t="str">
        <f>Shares!A621</f>
        <v/>
      </c>
      <c r="AA621" s="243" t="str">
        <f>Shares!B621</f>
        <v/>
      </c>
      <c r="AB621" s="243" t="str">
        <f>Shares!C621</f>
        <v/>
      </c>
      <c r="AC621" s="243" t="str">
        <f>Shares!D621</f>
        <v/>
      </c>
      <c r="AD621" s="243">
        <f>IF($Z621="",0,Shares!E621)</f>
        <v>0</v>
      </c>
      <c r="AE621" s="266">
        <f>IF($Z621="",0,Shares!J621*Shares!I621)</f>
        <v>0</v>
      </c>
      <c r="AF621" s="267">
        <f t="shared" si="49"/>
        <v>0</v>
      </c>
      <c r="AG621" s="266">
        <f>IF($Z621="",0,Shares!L621)</f>
        <v>0</v>
      </c>
      <c r="AH621" s="267">
        <f>IF($Z621="",0,Shares!M621)</f>
        <v>0</v>
      </c>
      <c r="AI621" s="243" t="str">
        <f>IF($Z621="","",RANK(AE621,$AE$2:$AE$1001)+COUNTIF($AE$2:AE621,AE621)-1)</f>
        <v/>
      </c>
      <c r="AJ621" s="243" t="str">
        <f>IF($AD621&lt;0,COUNT($AJ$1:AJ620)+1,"")</f>
        <v/>
      </c>
      <c r="AL621" s="243" t="str">
        <f>'All Ticker P&amp;L'!A621</f>
        <v/>
      </c>
      <c r="AM621" s="243" t="str">
        <f>'All Ticker P&amp;L'!B621</f>
        <v/>
      </c>
      <c r="AN621" s="243" t="str">
        <f>'All Ticker P&amp;L'!C621</f>
        <v/>
      </c>
      <c r="AO621" s="243" t="str">
        <f>'All Ticker P&amp;L'!D621</f>
        <v/>
      </c>
      <c r="AP621" s="243">
        <f>IF($AL621="",0,'All Ticker P&amp;L'!E621)</f>
        <v>0</v>
      </c>
      <c r="AQ621" s="266">
        <f>IF($AL621="",0,'All Ticker P&amp;L'!J621*'All Ticker P&amp;L'!I621)</f>
        <v>0</v>
      </c>
      <c r="AR621" s="266">
        <f>IF($AL621="",0,'All Ticker P&amp;L'!L621)</f>
        <v>0</v>
      </c>
      <c r="AS621" s="267">
        <f>IF($AL621="",0,'All Ticker P&amp;L'!M621)</f>
        <v>0</v>
      </c>
      <c r="AT621" s="243" t="str">
        <f>IF($AL621="","",RANK(AR621,$AR$2:$AR$1001)+COUNTIF($AR$2:AR621,AR621)-1)</f>
        <v/>
      </c>
      <c r="AU621" s="243" t="str">
        <f>IF($AL621="","",RANK(AV621,$AV$2:$AV$1001)+COUNTIF($AV$2:AV621,AV621)-1)</f>
        <v/>
      </c>
      <c r="AV621" s="266">
        <f t="shared" si="50"/>
        <v>0</v>
      </c>
    </row>
    <row r="622" spans="26:48" ht="15" customHeight="1" x14ac:dyDescent="0.2">
      <c r="Z622" s="243" t="str">
        <f>Shares!A622</f>
        <v/>
      </c>
      <c r="AA622" s="243" t="str">
        <f>Shares!B622</f>
        <v/>
      </c>
      <c r="AB622" s="243" t="str">
        <f>Shares!C622</f>
        <v/>
      </c>
      <c r="AC622" s="243" t="str">
        <f>Shares!D622</f>
        <v/>
      </c>
      <c r="AD622" s="243">
        <f>IF($Z622="",0,Shares!E622)</f>
        <v>0</v>
      </c>
      <c r="AE622" s="266">
        <f>IF($Z622="",0,Shares!J622*Shares!I622)</f>
        <v>0</v>
      </c>
      <c r="AF622" s="267">
        <f t="shared" si="49"/>
        <v>0</v>
      </c>
      <c r="AG622" s="266">
        <f>IF($Z622="",0,Shares!L622)</f>
        <v>0</v>
      </c>
      <c r="AH622" s="267">
        <f>IF($Z622="",0,Shares!M622)</f>
        <v>0</v>
      </c>
      <c r="AI622" s="243" t="str">
        <f>IF($Z622="","",RANK(AE622,$AE$2:$AE$1001)+COUNTIF($AE$2:AE622,AE622)-1)</f>
        <v/>
      </c>
      <c r="AJ622" s="243" t="str">
        <f>IF($AD622&lt;0,COUNT($AJ$1:AJ621)+1,"")</f>
        <v/>
      </c>
      <c r="AL622" s="243" t="str">
        <f>'All Ticker P&amp;L'!A622</f>
        <v/>
      </c>
      <c r="AM622" s="243" t="str">
        <f>'All Ticker P&amp;L'!B622</f>
        <v/>
      </c>
      <c r="AN622" s="243" t="str">
        <f>'All Ticker P&amp;L'!C622</f>
        <v/>
      </c>
      <c r="AO622" s="243" t="str">
        <f>'All Ticker P&amp;L'!D622</f>
        <v/>
      </c>
      <c r="AP622" s="243">
        <f>IF($AL622="",0,'All Ticker P&amp;L'!E622)</f>
        <v>0</v>
      </c>
      <c r="AQ622" s="266">
        <f>IF($AL622="",0,'All Ticker P&amp;L'!J622*'All Ticker P&amp;L'!I622)</f>
        <v>0</v>
      </c>
      <c r="AR622" s="266">
        <f>IF($AL622="",0,'All Ticker P&amp;L'!L622)</f>
        <v>0</v>
      </c>
      <c r="AS622" s="267">
        <f>IF($AL622="",0,'All Ticker P&amp;L'!M622)</f>
        <v>0</v>
      </c>
      <c r="AT622" s="243" t="str">
        <f>IF($AL622="","",RANK(AR622,$AR$2:$AR$1001)+COUNTIF($AR$2:AR622,AR622)-1)</f>
        <v/>
      </c>
      <c r="AU622" s="243" t="str">
        <f>IF($AL622="","",RANK(AV622,$AV$2:$AV$1001)+COUNTIF($AV$2:AV622,AV622)-1)</f>
        <v/>
      </c>
      <c r="AV622" s="266">
        <f t="shared" si="50"/>
        <v>0</v>
      </c>
    </row>
    <row r="623" spans="26:48" ht="15" customHeight="1" x14ac:dyDescent="0.2">
      <c r="Z623" s="243" t="str">
        <f>Shares!A623</f>
        <v/>
      </c>
      <c r="AA623" s="243" t="str">
        <f>Shares!B623</f>
        <v/>
      </c>
      <c r="AB623" s="243" t="str">
        <f>Shares!C623</f>
        <v/>
      </c>
      <c r="AC623" s="243" t="str">
        <f>Shares!D623</f>
        <v/>
      </c>
      <c r="AD623" s="243">
        <f>IF($Z623="",0,Shares!E623)</f>
        <v>0</v>
      </c>
      <c r="AE623" s="266">
        <f>IF($Z623="",0,Shares!J623*Shares!I623)</f>
        <v>0</v>
      </c>
      <c r="AF623" s="267">
        <f t="shared" si="49"/>
        <v>0</v>
      </c>
      <c r="AG623" s="266">
        <f>IF($Z623="",0,Shares!L623)</f>
        <v>0</v>
      </c>
      <c r="AH623" s="267">
        <f>IF($Z623="",0,Shares!M623)</f>
        <v>0</v>
      </c>
      <c r="AI623" s="243" t="str">
        <f>IF($Z623="","",RANK(AE623,$AE$2:$AE$1001)+COUNTIF($AE$2:AE623,AE623)-1)</f>
        <v/>
      </c>
      <c r="AJ623" s="243" t="str">
        <f>IF($AD623&lt;0,COUNT($AJ$1:AJ622)+1,"")</f>
        <v/>
      </c>
      <c r="AL623" s="243" t="str">
        <f>'All Ticker P&amp;L'!A623</f>
        <v/>
      </c>
      <c r="AM623" s="243" t="str">
        <f>'All Ticker P&amp;L'!B623</f>
        <v/>
      </c>
      <c r="AN623" s="243" t="str">
        <f>'All Ticker P&amp;L'!C623</f>
        <v/>
      </c>
      <c r="AO623" s="243" t="str">
        <f>'All Ticker P&amp;L'!D623</f>
        <v/>
      </c>
      <c r="AP623" s="243">
        <f>IF($AL623="",0,'All Ticker P&amp;L'!E623)</f>
        <v>0</v>
      </c>
      <c r="AQ623" s="266">
        <f>IF($AL623="",0,'All Ticker P&amp;L'!J623*'All Ticker P&amp;L'!I623)</f>
        <v>0</v>
      </c>
      <c r="AR623" s="266">
        <f>IF($AL623="",0,'All Ticker P&amp;L'!L623)</f>
        <v>0</v>
      </c>
      <c r="AS623" s="267">
        <f>IF($AL623="",0,'All Ticker P&amp;L'!M623)</f>
        <v>0</v>
      </c>
      <c r="AT623" s="243" t="str">
        <f>IF($AL623="","",RANK(AR623,$AR$2:$AR$1001)+COUNTIF($AR$2:AR623,AR623)-1)</f>
        <v/>
      </c>
      <c r="AU623" s="243" t="str">
        <f>IF($AL623="","",RANK(AV623,$AV$2:$AV$1001)+COUNTIF($AV$2:AV623,AV623)-1)</f>
        <v/>
      </c>
      <c r="AV623" s="266">
        <f t="shared" si="50"/>
        <v>0</v>
      </c>
    </row>
    <row r="624" spans="26:48" ht="15" customHeight="1" x14ac:dyDescent="0.2">
      <c r="Z624" s="243" t="str">
        <f>Shares!A624</f>
        <v/>
      </c>
      <c r="AA624" s="243" t="str">
        <f>Shares!B624</f>
        <v/>
      </c>
      <c r="AB624" s="243" t="str">
        <f>Shares!C624</f>
        <v/>
      </c>
      <c r="AC624" s="243" t="str">
        <f>Shares!D624</f>
        <v/>
      </c>
      <c r="AD624" s="243">
        <f>IF($Z624="",0,Shares!E624)</f>
        <v>0</v>
      </c>
      <c r="AE624" s="266">
        <f>IF($Z624="",0,Shares!J624*Shares!I624)</f>
        <v>0</v>
      </c>
      <c r="AF624" s="267">
        <f t="shared" si="49"/>
        <v>0</v>
      </c>
      <c r="AG624" s="266">
        <f>IF($Z624="",0,Shares!L624)</f>
        <v>0</v>
      </c>
      <c r="AH624" s="267">
        <f>IF($Z624="",0,Shares!M624)</f>
        <v>0</v>
      </c>
      <c r="AI624" s="243" t="str">
        <f>IF($Z624="","",RANK(AE624,$AE$2:$AE$1001)+COUNTIF($AE$2:AE624,AE624)-1)</f>
        <v/>
      </c>
      <c r="AJ624" s="243" t="str">
        <f>IF($AD624&lt;0,COUNT($AJ$1:AJ623)+1,"")</f>
        <v/>
      </c>
      <c r="AL624" s="243" t="str">
        <f>'All Ticker P&amp;L'!A624</f>
        <v/>
      </c>
      <c r="AM624" s="243" t="str">
        <f>'All Ticker P&amp;L'!B624</f>
        <v/>
      </c>
      <c r="AN624" s="243" t="str">
        <f>'All Ticker P&amp;L'!C624</f>
        <v/>
      </c>
      <c r="AO624" s="243" t="str">
        <f>'All Ticker P&amp;L'!D624</f>
        <v/>
      </c>
      <c r="AP624" s="243">
        <f>IF($AL624="",0,'All Ticker P&amp;L'!E624)</f>
        <v>0</v>
      </c>
      <c r="AQ624" s="266">
        <f>IF($AL624="",0,'All Ticker P&amp;L'!J624*'All Ticker P&amp;L'!I624)</f>
        <v>0</v>
      </c>
      <c r="AR624" s="266">
        <f>IF($AL624="",0,'All Ticker P&amp;L'!L624)</f>
        <v>0</v>
      </c>
      <c r="AS624" s="267">
        <f>IF($AL624="",0,'All Ticker P&amp;L'!M624)</f>
        <v>0</v>
      </c>
      <c r="AT624" s="243" t="str">
        <f>IF($AL624="","",RANK(AR624,$AR$2:$AR$1001)+COUNTIF($AR$2:AR624,AR624)-1)</f>
        <v/>
      </c>
      <c r="AU624" s="243" t="str">
        <f>IF($AL624="","",RANK(AV624,$AV$2:$AV$1001)+COUNTIF($AV$2:AV624,AV624)-1)</f>
        <v/>
      </c>
      <c r="AV624" s="266">
        <f t="shared" si="50"/>
        <v>0</v>
      </c>
    </row>
    <row r="625" spans="26:48" ht="15" customHeight="1" x14ac:dyDescent="0.2">
      <c r="Z625" s="243" t="str">
        <f>Shares!A625</f>
        <v/>
      </c>
      <c r="AA625" s="243" t="str">
        <f>Shares!B625</f>
        <v/>
      </c>
      <c r="AB625" s="243" t="str">
        <f>Shares!C625</f>
        <v/>
      </c>
      <c r="AC625" s="243" t="str">
        <f>Shares!D625</f>
        <v/>
      </c>
      <c r="AD625" s="243">
        <f>IF($Z625="",0,Shares!E625)</f>
        <v>0</v>
      </c>
      <c r="AE625" s="266">
        <f>IF($Z625="",0,Shares!J625*Shares!I625)</f>
        <v>0</v>
      </c>
      <c r="AF625" s="267">
        <f t="shared" si="49"/>
        <v>0</v>
      </c>
      <c r="AG625" s="266">
        <f>IF($Z625="",0,Shares!L625)</f>
        <v>0</v>
      </c>
      <c r="AH625" s="267">
        <f>IF($Z625="",0,Shares!M625)</f>
        <v>0</v>
      </c>
      <c r="AI625" s="243" t="str">
        <f>IF($Z625="","",RANK(AE625,$AE$2:$AE$1001)+COUNTIF($AE$2:AE625,AE625)-1)</f>
        <v/>
      </c>
      <c r="AJ625" s="243" t="str">
        <f>IF($AD625&lt;0,COUNT($AJ$1:AJ624)+1,"")</f>
        <v/>
      </c>
      <c r="AL625" s="243" t="str">
        <f>'All Ticker P&amp;L'!A625</f>
        <v/>
      </c>
      <c r="AM625" s="243" t="str">
        <f>'All Ticker P&amp;L'!B625</f>
        <v/>
      </c>
      <c r="AN625" s="243" t="str">
        <f>'All Ticker P&amp;L'!C625</f>
        <v/>
      </c>
      <c r="AO625" s="243" t="str">
        <f>'All Ticker P&amp;L'!D625</f>
        <v/>
      </c>
      <c r="AP625" s="243">
        <f>IF($AL625="",0,'All Ticker P&amp;L'!E625)</f>
        <v>0</v>
      </c>
      <c r="AQ625" s="266">
        <f>IF($AL625="",0,'All Ticker P&amp;L'!J625*'All Ticker P&amp;L'!I625)</f>
        <v>0</v>
      </c>
      <c r="AR625" s="266">
        <f>IF($AL625="",0,'All Ticker P&amp;L'!L625)</f>
        <v>0</v>
      </c>
      <c r="AS625" s="267">
        <f>IF($AL625="",0,'All Ticker P&amp;L'!M625)</f>
        <v>0</v>
      </c>
      <c r="AT625" s="243" t="str">
        <f>IF($AL625="","",RANK(AR625,$AR$2:$AR$1001)+COUNTIF($AR$2:AR625,AR625)-1)</f>
        <v/>
      </c>
      <c r="AU625" s="243" t="str">
        <f>IF($AL625="","",RANK(AV625,$AV$2:$AV$1001)+COUNTIF($AV$2:AV625,AV625)-1)</f>
        <v/>
      </c>
      <c r="AV625" s="266">
        <f t="shared" si="50"/>
        <v>0</v>
      </c>
    </row>
    <row r="626" spans="26:48" ht="15" customHeight="1" x14ac:dyDescent="0.2">
      <c r="Z626" s="243" t="str">
        <f>Shares!A626</f>
        <v/>
      </c>
      <c r="AA626" s="243" t="str">
        <f>Shares!B626</f>
        <v/>
      </c>
      <c r="AB626" s="243" t="str">
        <f>Shares!C626</f>
        <v/>
      </c>
      <c r="AC626" s="243" t="str">
        <f>Shares!D626</f>
        <v/>
      </c>
      <c r="AD626" s="243">
        <f>IF($Z626="",0,Shares!E626)</f>
        <v>0</v>
      </c>
      <c r="AE626" s="266">
        <f>IF($Z626="",0,Shares!J626*Shares!I626)</f>
        <v>0</v>
      </c>
      <c r="AF626" s="267">
        <f t="shared" si="49"/>
        <v>0</v>
      </c>
      <c r="AG626" s="266">
        <f>IF($Z626="",0,Shares!L626)</f>
        <v>0</v>
      </c>
      <c r="AH626" s="267">
        <f>IF($Z626="",0,Shares!M626)</f>
        <v>0</v>
      </c>
      <c r="AI626" s="243" t="str">
        <f>IF($Z626="","",RANK(AE626,$AE$2:$AE$1001)+COUNTIF($AE$2:AE626,AE626)-1)</f>
        <v/>
      </c>
      <c r="AJ626" s="243" t="str">
        <f>IF($AD626&lt;0,COUNT($AJ$1:AJ625)+1,"")</f>
        <v/>
      </c>
      <c r="AL626" s="243" t="str">
        <f>'All Ticker P&amp;L'!A626</f>
        <v/>
      </c>
      <c r="AM626" s="243" t="str">
        <f>'All Ticker P&amp;L'!B626</f>
        <v/>
      </c>
      <c r="AN626" s="243" t="str">
        <f>'All Ticker P&amp;L'!C626</f>
        <v/>
      </c>
      <c r="AO626" s="243" t="str">
        <f>'All Ticker P&amp;L'!D626</f>
        <v/>
      </c>
      <c r="AP626" s="243">
        <f>IF($AL626="",0,'All Ticker P&amp;L'!E626)</f>
        <v>0</v>
      </c>
      <c r="AQ626" s="266">
        <f>IF($AL626="",0,'All Ticker P&amp;L'!J626*'All Ticker P&amp;L'!I626)</f>
        <v>0</v>
      </c>
      <c r="AR626" s="266">
        <f>IF($AL626="",0,'All Ticker P&amp;L'!L626)</f>
        <v>0</v>
      </c>
      <c r="AS626" s="267">
        <f>IF($AL626="",0,'All Ticker P&amp;L'!M626)</f>
        <v>0</v>
      </c>
      <c r="AT626" s="243" t="str">
        <f>IF($AL626="","",RANK(AR626,$AR$2:$AR$1001)+COUNTIF($AR$2:AR626,AR626)-1)</f>
        <v/>
      </c>
      <c r="AU626" s="243" t="str">
        <f>IF($AL626="","",RANK(AV626,$AV$2:$AV$1001)+COUNTIF($AV$2:AV626,AV626)-1)</f>
        <v/>
      </c>
      <c r="AV626" s="266">
        <f t="shared" si="50"/>
        <v>0</v>
      </c>
    </row>
    <row r="627" spans="26:48" ht="15" customHeight="1" x14ac:dyDescent="0.2">
      <c r="Z627" s="243" t="str">
        <f>Shares!A627</f>
        <v/>
      </c>
      <c r="AA627" s="243" t="str">
        <f>Shares!B627</f>
        <v/>
      </c>
      <c r="AB627" s="243" t="str">
        <f>Shares!C627</f>
        <v/>
      </c>
      <c r="AC627" s="243" t="str">
        <f>Shares!D627</f>
        <v/>
      </c>
      <c r="AD627" s="243">
        <f>IF($Z627="",0,Shares!E627)</f>
        <v>0</v>
      </c>
      <c r="AE627" s="266">
        <f>IF($Z627="",0,Shares!J627*Shares!I627)</f>
        <v>0</v>
      </c>
      <c r="AF627" s="267">
        <f t="shared" si="49"/>
        <v>0</v>
      </c>
      <c r="AG627" s="266">
        <f>IF($Z627="",0,Shares!L627)</f>
        <v>0</v>
      </c>
      <c r="AH627" s="267">
        <f>IF($Z627="",0,Shares!M627)</f>
        <v>0</v>
      </c>
      <c r="AI627" s="243" t="str">
        <f>IF($Z627="","",RANK(AE627,$AE$2:$AE$1001)+COUNTIF($AE$2:AE627,AE627)-1)</f>
        <v/>
      </c>
      <c r="AJ627" s="243" t="str">
        <f>IF($AD627&lt;0,COUNT($AJ$1:AJ626)+1,"")</f>
        <v/>
      </c>
      <c r="AL627" s="243" t="str">
        <f>'All Ticker P&amp;L'!A627</f>
        <v/>
      </c>
      <c r="AM627" s="243" t="str">
        <f>'All Ticker P&amp;L'!B627</f>
        <v/>
      </c>
      <c r="AN627" s="243" t="str">
        <f>'All Ticker P&amp;L'!C627</f>
        <v/>
      </c>
      <c r="AO627" s="243" t="str">
        <f>'All Ticker P&amp;L'!D627</f>
        <v/>
      </c>
      <c r="AP627" s="243">
        <f>IF($AL627="",0,'All Ticker P&amp;L'!E627)</f>
        <v>0</v>
      </c>
      <c r="AQ627" s="266">
        <f>IF($AL627="",0,'All Ticker P&amp;L'!J627*'All Ticker P&amp;L'!I627)</f>
        <v>0</v>
      </c>
      <c r="AR627" s="266">
        <f>IF($AL627="",0,'All Ticker P&amp;L'!L627)</f>
        <v>0</v>
      </c>
      <c r="AS627" s="267">
        <f>IF($AL627="",0,'All Ticker P&amp;L'!M627)</f>
        <v>0</v>
      </c>
      <c r="AT627" s="243" t="str">
        <f>IF($AL627="","",RANK(AR627,$AR$2:$AR$1001)+COUNTIF($AR$2:AR627,AR627)-1)</f>
        <v/>
      </c>
      <c r="AU627" s="243" t="str">
        <f>IF($AL627="","",RANK(AV627,$AV$2:$AV$1001)+COUNTIF($AV$2:AV627,AV627)-1)</f>
        <v/>
      </c>
      <c r="AV627" s="266">
        <f t="shared" si="50"/>
        <v>0</v>
      </c>
    </row>
    <row r="628" spans="26:48" ht="15" customHeight="1" x14ac:dyDescent="0.2">
      <c r="Z628" s="243" t="str">
        <f>Shares!A628</f>
        <v/>
      </c>
      <c r="AA628" s="243" t="str">
        <f>Shares!B628</f>
        <v/>
      </c>
      <c r="AB628" s="243" t="str">
        <f>Shares!C628</f>
        <v/>
      </c>
      <c r="AC628" s="243" t="str">
        <f>Shares!D628</f>
        <v/>
      </c>
      <c r="AD628" s="243">
        <f>IF($Z628="",0,Shares!E628)</f>
        <v>0</v>
      </c>
      <c r="AE628" s="266">
        <f>IF($Z628="",0,Shares!J628*Shares!I628)</f>
        <v>0</v>
      </c>
      <c r="AF628" s="267">
        <f t="shared" si="49"/>
        <v>0</v>
      </c>
      <c r="AG628" s="266">
        <f>IF($Z628="",0,Shares!L628)</f>
        <v>0</v>
      </c>
      <c r="AH628" s="267">
        <f>IF($Z628="",0,Shares!M628)</f>
        <v>0</v>
      </c>
      <c r="AI628" s="243" t="str">
        <f>IF($Z628="","",RANK(AE628,$AE$2:$AE$1001)+COUNTIF($AE$2:AE628,AE628)-1)</f>
        <v/>
      </c>
      <c r="AJ628" s="243" t="str">
        <f>IF($AD628&lt;0,COUNT($AJ$1:AJ627)+1,"")</f>
        <v/>
      </c>
      <c r="AL628" s="243" t="str">
        <f>'All Ticker P&amp;L'!A628</f>
        <v/>
      </c>
      <c r="AM628" s="243" t="str">
        <f>'All Ticker P&amp;L'!B628</f>
        <v/>
      </c>
      <c r="AN628" s="243" t="str">
        <f>'All Ticker P&amp;L'!C628</f>
        <v/>
      </c>
      <c r="AO628" s="243" t="str">
        <f>'All Ticker P&amp;L'!D628</f>
        <v/>
      </c>
      <c r="AP628" s="243">
        <f>IF($AL628="",0,'All Ticker P&amp;L'!E628)</f>
        <v>0</v>
      </c>
      <c r="AQ628" s="266">
        <f>IF($AL628="",0,'All Ticker P&amp;L'!J628*'All Ticker P&amp;L'!I628)</f>
        <v>0</v>
      </c>
      <c r="AR628" s="266">
        <f>IF($AL628="",0,'All Ticker P&amp;L'!L628)</f>
        <v>0</v>
      </c>
      <c r="AS628" s="267">
        <f>IF($AL628="",0,'All Ticker P&amp;L'!M628)</f>
        <v>0</v>
      </c>
      <c r="AT628" s="243" t="str">
        <f>IF($AL628="","",RANK(AR628,$AR$2:$AR$1001)+COUNTIF($AR$2:AR628,AR628)-1)</f>
        <v/>
      </c>
      <c r="AU628" s="243" t="str">
        <f>IF($AL628="","",RANK(AV628,$AV$2:$AV$1001)+COUNTIF($AV$2:AV628,AV628)-1)</f>
        <v/>
      </c>
      <c r="AV628" s="266">
        <f t="shared" si="50"/>
        <v>0</v>
      </c>
    </row>
    <row r="629" spans="26:48" ht="15" customHeight="1" x14ac:dyDescent="0.2">
      <c r="Z629" s="243" t="str">
        <f>Shares!A629</f>
        <v/>
      </c>
      <c r="AA629" s="243" t="str">
        <f>Shares!B629</f>
        <v/>
      </c>
      <c r="AB629" s="243" t="str">
        <f>Shares!C629</f>
        <v/>
      </c>
      <c r="AC629" s="243" t="str">
        <f>Shares!D629</f>
        <v/>
      </c>
      <c r="AD629" s="243">
        <f>IF($Z629="",0,Shares!E629)</f>
        <v>0</v>
      </c>
      <c r="AE629" s="266">
        <f>IF($Z629="",0,Shares!J629*Shares!I629)</f>
        <v>0</v>
      </c>
      <c r="AF629" s="267">
        <f t="shared" si="49"/>
        <v>0</v>
      </c>
      <c r="AG629" s="266">
        <f>IF($Z629="",0,Shares!L629)</f>
        <v>0</v>
      </c>
      <c r="AH629" s="267">
        <f>IF($Z629="",0,Shares!M629)</f>
        <v>0</v>
      </c>
      <c r="AI629" s="243" t="str">
        <f>IF($Z629="","",RANK(AE629,$AE$2:$AE$1001)+COUNTIF($AE$2:AE629,AE629)-1)</f>
        <v/>
      </c>
      <c r="AJ629" s="243" t="str">
        <f>IF($AD629&lt;0,COUNT($AJ$1:AJ628)+1,"")</f>
        <v/>
      </c>
      <c r="AL629" s="243" t="str">
        <f>'All Ticker P&amp;L'!A629</f>
        <v/>
      </c>
      <c r="AM629" s="243" t="str">
        <f>'All Ticker P&amp;L'!B629</f>
        <v/>
      </c>
      <c r="AN629" s="243" t="str">
        <f>'All Ticker P&amp;L'!C629</f>
        <v/>
      </c>
      <c r="AO629" s="243" t="str">
        <f>'All Ticker P&amp;L'!D629</f>
        <v/>
      </c>
      <c r="AP629" s="243">
        <f>IF($AL629="",0,'All Ticker P&amp;L'!E629)</f>
        <v>0</v>
      </c>
      <c r="AQ629" s="266">
        <f>IF($AL629="",0,'All Ticker P&amp;L'!J629*'All Ticker P&amp;L'!I629)</f>
        <v>0</v>
      </c>
      <c r="AR629" s="266">
        <f>IF($AL629="",0,'All Ticker P&amp;L'!L629)</f>
        <v>0</v>
      </c>
      <c r="AS629" s="267">
        <f>IF($AL629="",0,'All Ticker P&amp;L'!M629)</f>
        <v>0</v>
      </c>
      <c r="AT629" s="243" t="str">
        <f>IF($AL629="","",RANK(AR629,$AR$2:$AR$1001)+COUNTIF($AR$2:AR629,AR629)-1)</f>
        <v/>
      </c>
      <c r="AU629" s="243" t="str">
        <f>IF($AL629="","",RANK(AV629,$AV$2:$AV$1001)+COUNTIF($AV$2:AV629,AV629)-1)</f>
        <v/>
      </c>
      <c r="AV629" s="266">
        <f t="shared" si="50"/>
        <v>0</v>
      </c>
    </row>
    <row r="630" spans="26:48" ht="15" customHeight="1" x14ac:dyDescent="0.2">
      <c r="Z630" s="243" t="str">
        <f>Shares!A630</f>
        <v/>
      </c>
      <c r="AA630" s="243" t="str">
        <f>Shares!B630</f>
        <v/>
      </c>
      <c r="AB630" s="243" t="str">
        <f>Shares!C630</f>
        <v/>
      </c>
      <c r="AC630" s="243" t="str">
        <f>Shares!D630</f>
        <v/>
      </c>
      <c r="AD630" s="243">
        <f>IF($Z630="",0,Shares!E630)</f>
        <v>0</v>
      </c>
      <c r="AE630" s="266">
        <f>IF($Z630="",0,Shares!J630*Shares!I630)</f>
        <v>0</v>
      </c>
      <c r="AF630" s="267">
        <f t="shared" si="49"/>
        <v>0</v>
      </c>
      <c r="AG630" s="266">
        <f>IF($Z630="",0,Shares!L630)</f>
        <v>0</v>
      </c>
      <c r="AH630" s="267">
        <f>IF($Z630="",0,Shares!M630)</f>
        <v>0</v>
      </c>
      <c r="AI630" s="243" t="str">
        <f>IF($Z630="","",RANK(AE630,$AE$2:$AE$1001)+COUNTIF($AE$2:AE630,AE630)-1)</f>
        <v/>
      </c>
      <c r="AJ630" s="243" t="str">
        <f>IF($AD630&lt;0,COUNT($AJ$1:AJ629)+1,"")</f>
        <v/>
      </c>
      <c r="AL630" s="243" t="str">
        <f>'All Ticker P&amp;L'!A630</f>
        <v/>
      </c>
      <c r="AM630" s="243" t="str">
        <f>'All Ticker P&amp;L'!B630</f>
        <v/>
      </c>
      <c r="AN630" s="243" t="str">
        <f>'All Ticker P&amp;L'!C630</f>
        <v/>
      </c>
      <c r="AO630" s="243" t="str">
        <f>'All Ticker P&amp;L'!D630</f>
        <v/>
      </c>
      <c r="AP630" s="243">
        <f>IF($AL630="",0,'All Ticker P&amp;L'!E630)</f>
        <v>0</v>
      </c>
      <c r="AQ630" s="266">
        <f>IF($AL630="",0,'All Ticker P&amp;L'!J630*'All Ticker P&amp;L'!I630)</f>
        <v>0</v>
      </c>
      <c r="AR630" s="266">
        <f>IF($AL630="",0,'All Ticker P&amp;L'!L630)</f>
        <v>0</v>
      </c>
      <c r="AS630" s="267">
        <f>IF($AL630="",0,'All Ticker P&amp;L'!M630)</f>
        <v>0</v>
      </c>
      <c r="AT630" s="243" t="str">
        <f>IF($AL630="","",RANK(AR630,$AR$2:$AR$1001)+COUNTIF($AR$2:AR630,AR630)-1)</f>
        <v/>
      </c>
      <c r="AU630" s="243" t="str">
        <f>IF($AL630="","",RANK(AV630,$AV$2:$AV$1001)+COUNTIF($AV$2:AV630,AV630)-1)</f>
        <v/>
      </c>
      <c r="AV630" s="266">
        <f t="shared" si="50"/>
        <v>0</v>
      </c>
    </row>
    <row r="631" spans="26:48" ht="15" customHeight="1" x14ac:dyDescent="0.2">
      <c r="Z631" s="243" t="str">
        <f>Shares!A631</f>
        <v/>
      </c>
      <c r="AA631" s="243" t="str">
        <f>Shares!B631</f>
        <v/>
      </c>
      <c r="AB631" s="243" t="str">
        <f>Shares!C631</f>
        <v/>
      </c>
      <c r="AC631" s="243" t="str">
        <f>Shares!D631</f>
        <v/>
      </c>
      <c r="AD631" s="243">
        <f>IF($Z631="",0,Shares!E631)</f>
        <v>0</v>
      </c>
      <c r="AE631" s="266">
        <f>IF($Z631="",0,Shares!J631*Shares!I631)</f>
        <v>0</v>
      </c>
      <c r="AF631" s="267">
        <f t="shared" si="49"/>
        <v>0</v>
      </c>
      <c r="AG631" s="266">
        <f>IF($Z631="",0,Shares!L631)</f>
        <v>0</v>
      </c>
      <c r="AH631" s="267">
        <f>IF($Z631="",0,Shares!M631)</f>
        <v>0</v>
      </c>
      <c r="AI631" s="243" t="str">
        <f>IF($Z631="","",RANK(AE631,$AE$2:$AE$1001)+COUNTIF($AE$2:AE631,AE631)-1)</f>
        <v/>
      </c>
      <c r="AJ631" s="243" t="str">
        <f>IF($AD631&lt;0,COUNT($AJ$1:AJ630)+1,"")</f>
        <v/>
      </c>
      <c r="AL631" s="243" t="str">
        <f>'All Ticker P&amp;L'!A631</f>
        <v/>
      </c>
      <c r="AM631" s="243" t="str">
        <f>'All Ticker P&amp;L'!B631</f>
        <v/>
      </c>
      <c r="AN631" s="243" t="str">
        <f>'All Ticker P&amp;L'!C631</f>
        <v/>
      </c>
      <c r="AO631" s="243" t="str">
        <f>'All Ticker P&amp;L'!D631</f>
        <v/>
      </c>
      <c r="AP631" s="243">
        <f>IF($AL631="",0,'All Ticker P&amp;L'!E631)</f>
        <v>0</v>
      </c>
      <c r="AQ631" s="266">
        <f>IF($AL631="",0,'All Ticker P&amp;L'!J631*'All Ticker P&amp;L'!I631)</f>
        <v>0</v>
      </c>
      <c r="AR631" s="266">
        <f>IF($AL631="",0,'All Ticker P&amp;L'!L631)</f>
        <v>0</v>
      </c>
      <c r="AS631" s="267">
        <f>IF($AL631="",0,'All Ticker P&amp;L'!M631)</f>
        <v>0</v>
      </c>
      <c r="AT631" s="243" t="str">
        <f>IF($AL631="","",RANK(AR631,$AR$2:$AR$1001)+COUNTIF($AR$2:AR631,AR631)-1)</f>
        <v/>
      </c>
      <c r="AU631" s="243" t="str">
        <f>IF($AL631="","",RANK(AV631,$AV$2:$AV$1001)+COUNTIF($AV$2:AV631,AV631)-1)</f>
        <v/>
      </c>
      <c r="AV631" s="266">
        <f t="shared" si="50"/>
        <v>0</v>
      </c>
    </row>
    <row r="632" spans="26:48" ht="15" customHeight="1" x14ac:dyDescent="0.2">
      <c r="Z632" s="243" t="str">
        <f>Shares!A632</f>
        <v/>
      </c>
      <c r="AA632" s="243" t="str">
        <f>Shares!B632</f>
        <v/>
      </c>
      <c r="AB632" s="243" t="str">
        <f>Shares!C632</f>
        <v/>
      </c>
      <c r="AC632" s="243" t="str">
        <f>Shares!D632</f>
        <v/>
      </c>
      <c r="AD632" s="243">
        <f>IF($Z632="",0,Shares!E632)</f>
        <v>0</v>
      </c>
      <c r="AE632" s="266">
        <f>IF($Z632="",0,Shares!J632*Shares!I632)</f>
        <v>0</v>
      </c>
      <c r="AF632" s="267">
        <f t="shared" si="49"/>
        <v>0</v>
      </c>
      <c r="AG632" s="266">
        <f>IF($Z632="",0,Shares!L632)</f>
        <v>0</v>
      </c>
      <c r="AH632" s="267">
        <f>IF($Z632="",0,Shares!M632)</f>
        <v>0</v>
      </c>
      <c r="AI632" s="243" t="str">
        <f>IF($Z632="","",RANK(AE632,$AE$2:$AE$1001)+COUNTIF($AE$2:AE632,AE632)-1)</f>
        <v/>
      </c>
      <c r="AJ632" s="243" t="str">
        <f>IF($AD632&lt;0,COUNT($AJ$1:AJ631)+1,"")</f>
        <v/>
      </c>
      <c r="AL632" s="243" t="str">
        <f>'All Ticker P&amp;L'!A632</f>
        <v/>
      </c>
      <c r="AM632" s="243" t="str">
        <f>'All Ticker P&amp;L'!B632</f>
        <v/>
      </c>
      <c r="AN632" s="243" t="str">
        <f>'All Ticker P&amp;L'!C632</f>
        <v/>
      </c>
      <c r="AO632" s="243" t="str">
        <f>'All Ticker P&amp;L'!D632</f>
        <v/>
      </c>
      <c r="AP632" s="243">
        <f>IF($AL632="",0,'All Ticker P&amp;L'!E632)</f>
        <v>0</v>
      </c>
      <c r="AQ632" s="266">
        <f>IF($AL632="",0,'All Ticker P&amp;L'!J632*'All Ticker P&amp;L'!I632)</f>
        <v>0</v>
      </c>
      <c r="AR632" s="266">
        <f>IF($AL632="",0,'All Ticker P&amp;L'!L632)</f>
        <v>0</v>
      </c>
      <c r="AS632" s="267">
        <f>IF($AL632="",0,'All Ticker P&amp;L'!M632)</f>
        <v>0</v>
      </c>
      <c r="AT632" s="243" t="str">
        <f>IF($AL632="","",RANK(AR632,$AR$2:$AR$1001)+COUNTIF($AR$2:AR632,AR632)-1)</f>
        <v/>
      </c>
      <c r="AU632" s="243" t="str">
        <f>IF($AL632="","",RANK(AV632,$AV$2:$AV$1001)+COUNTIF($AV$2:AV632,AV632)-1)</f>
        <v/>
      </c>
      <c r="AV632" s="266">
        <f t="shared" si="50"/>
        <v>0</v>
      </c>
    </row>
    <row r="633" spans="26:48" ht="15" customHeight="1" x14ac:dyDescent="0.2">
      <c r="Z633" s="243" t="str">
        <f>Shares!A633</f>
        <v/>
      </c>
      <c r="AA633" s="243" t="str">
        <f>Shares!B633</f>
        <v/>
      </c>
      <c r="AB633" s="243" t="str">
        <f>Shares!C633</f>
        <v/>
      </c>
      <c r="AC633" s="243" t="str">
        <f>Shares!D633</f>
        <v/>
      </c>
      <c r="AD633" s="243">
        <f>IF($Z633="",0,Shares!E633)</f>
        <v>0</v>
      </c>
      <c r="AE633" s="266">
        <f>IF($Z633="",0,Shares!J633*Shares!I633)</f>
        <v>0</v>
      </c>
      <c r="AF633" s="267">
        <f t="shared" si="49"/>
        <v>0</v>
      </c>
      <c r="AG633" s="266">
        <f>IF($Z633="",0,Shares!L633)</f>
        <v>0</v>
      </c>
      <c r="AH633" s="267">
        <f>IF($Z633="",0,Shares!M633)</f>
        <v>0</v>
      </c>
      <c r="AI633" s="243" t="str">
        <f>IF($Z633="","",RANK(AE633,$AE$2:$AE$1001)+COUNTIF($AE$2:AE633,AE633)-1)</f>
        <v/>
      </c>
      <c r="AJ633" s="243" t="str">
        <f>IF($AD633&lt;0,COUNT($AJ$1:AJ632)+1,"")</f>
        <v/>
      </c>
      <c r="AL633" s="243" t="str">
        <f>'All Ticker P&amp;L'!A633</f>
        <v/>
      </c>
      <c r="AM633" s="243" t="str">
        <f>'All Ticker P&amp;L'!B633</f>
        <v/>
      </c>
      <c r="AN633" s="243" t="str">
        <f>'All Ticker P&amp;L'!C633</f>
        <v/>
      </c>
      <c r="AO633" s="243" t="str">
        <f>'All Ticker P&amp;L'!D633</f>
        <v/>
      </c>
      <c r="AP633" s="243">
        <f>IF($AL633="",0,'All Ticker P&amp;L'!E633)</f>
        <v>0</v>
      </c>
      <c r="AQ633" s="266">
        <f>IF($AL633="",0,'All Ticker P&amp;L'!J633*'All Ticker P&amp;L'!I633)</f>
        <v>0</v>
      </c>
      <c r="AR633" s="266">
        <f>IF($AL633="",0,'All Ticker P&amp;L'!L633)</f>
        <v>0</v>
      </c>
      <c r="AS633" s="267">
        <f>IF($AL633="",0,'All Ticker P&amp;L'!M633)</f>
        <v>0</v>
      </c>
      <c r="AT633" s="243" t="str">
        <f>IF($AL633="","",RANK(AR633,$AR$2:$AR$1001)+COUNTIF($AR$2:AR633,AR633)-1)</f>
        <v/>
      </c>
      <c r="AU633" s="243" t="str">
        <f>IF($AL633="","",RANK(AV633,$AV$2:$AV$1001)+COUNTIF($AV$2:AV633,AV633)-1)</f>
        <v/>
      </c>
      <c r="AV633" s="266">
        <f t="shared" si="50"/>
        <v>0</v>
      </c>
    </row>
    <row r="634" spans="26:48" ht="15" customHeight="1" x14ac:dyDescent="0.2">
      <c r="Z634" s="243" t="str">
        <f>Shares!A634</f>
        <v/>
      </c>
      <c r="AA634" s="243" t="str">
        <f>Shares!B634</f>
        <v/>
      </c>
      <c r="AB634" s="243" t="str">
        <f>Shares!C634</f>
        <v/>
      </c>
      <c r="AC634" s="243" t="str">
        <f>Shares!D634</f>
        <v/>
      </c>
      <c r="AD634" s="243">
        <f>IF($Z634="",0,Shares!E634)</f>
        <v>0</v>
      </c>
      <c r="AE634" s="266">
        <f>IF($Z634="",0,Shares!J634*Shares!I634)</f>
        <v>0</v>
      </c>
      <c r="AF634" s="267">
        <f t="shared" si="49"/>
        <v>0</v>
      </c>
      <c r="AG634" s="266">
        <f>IF($Z634="",0,Shares!L634)</f>
        <v>0</v>
      </c>
      <c r="AH634" s="267">
        <f>IF($Z634="",0,Shares!M634)</f>
        <v>0</v>
      </c>
      <c r="AI634" s="243" t="str">
        <f>IF($Z634="","",RANK(AE634,$AE$2:$AE$1001)+COUNTIF($AE$2:AE634,AE634)-1)</f>
        <v/>
      </c>
      <c r="AJ634" s="243" t="str">
        <f>IF($AD634&lt;0,COUNT($AJ$1:AJ633)+1,"")</f>
        <v/>
      </c>
      <c r="AL634" s="243" t="str">
        <f>'All Ticker P&amp;L'!A634</f>
        <v/>
      </c>
      <c r="AM634" s="243" t="str">
        <f>'All Ticker P&amp;L'!B634</f>
        <v/>
      </c>
      <c r="AN634" s="243" t="str">
        <f>'All Ticker P&amp;L'!C634</f>
        <v/>
      </c>
      <c r="AO634" s="243" t="str">
        <f>'All Ticker P&amp;L'!D634</f>
        <v/>
      </c>
      <c r="AP634" s="243">
        <f>IF($AL634="",0,'All Ticker P&amp;L'!E634)</f>
        <v>0</v>
      </c>
      <c r="AQ634" s="266">
        <f>IF($AL634="",0,'All Ticker P&amp;L'!J634*'All Ticker P&amp;L'!I634)</f>
        <v>0</v>
      </c>
      <c r="AR634" s="266">
        <f>IF($AL634="",0,'All Ticker P&amp;L'!L634)</f>
        <v>0</v>
      </c>
      <c r="AS634" s="267">
        <f>IF($AL634="",0,'All Ticker P&amp;L'!M634)</f>
        <v>0</v>
      </c>
      <c r="AT634" s="243" t="str">
        <f>IF($AL634="","",RANK(AR634,$AR$2:$AR$1001)+COUNTIF($AR$2:AR634,AR634)-1)</f>
        <v/>
      </c>
      <c r="AU634" s="243" t="str">
        <f>IF($AL634="","",RANK(AV634,$AV$2:$AV$1001)+COUNTIF($AV$2:AV634,AV634)-1)</f>
        <v/>
      </c>
      <c r="AV634" s="266">
        <f t="shared" si="50"/>
        <v>0</v>
      </c>
    </row>
    <row r="635" spans="26:48" ht="15" customHeight="1" x14ac:dyDescent="0.2">
      <c r="Z635" s="243" t="str">
        <f>Shares!A635</f>
        <v/>
      </c>
      <c r="AA635" s="243" t="str">
        <f>Shares!B635</f>
        <v/>
      </c>
      <c r="AB635" s="243" t="str">
        <f>Shares!C635</f>
        <v/>
      </c>
      <c r="AC635" s="243" t="str">
        <f>Shares!D635</f>
        <v/>
      </c>
      <c r="AD635" s="243">
        <f>IF($Z635="",0,Shares!E635)</f>
        <v>0</v>
      </c>
      <c r="AE635" s="266">
        <f>IF($Z635="",0,Shares!J635*Shares!I635)</f>
        <v>0</v>
      </c>
      <c r="AF635" s="267">
        <f t="shared" si="49"/>
        <v>0</v>
      </c>
      <c r="AG635" s="266">
        <f>IF($Z635="",0,Shares!L635)</f>
        <v>0</v>
      </c>
      <c r="AH635" s="267">
        <f>IF($Z635="",0,Shares!M635)</f>
        <v>0</v>
      </c>
      <c r="AI635" s="243" t="str">
        <f>IF($Z635="","",RANK(AE635,$AE$2:$AE$1001)+COUNTIF($AE$2:AE635,AE635)-1)</f>
        <v/>
      </c>
      <c r="AJ635" s="243" t="str">
        <f>IF($AD635&lt;0,COUNT($AJ$1:AJ634)+1,"")</f>
        <v/>
      </c>
      <c r="AL635" s="243" t="str">
        <f>'All Ticker P&amp;L'!A635</f>
        <v/>
      </c>
      <c r="AM635" s="243" t="str">
        <f>'All Ticker P&amp;L'!B635</f>
        <v/>
      </c>
      <c r="AN635" s="243" t="str">
        <f>'All Ticker P&amp;L'!C635</f>
        <v/>
      </c>
      <c r="AO635" s="243" t="str">
        <f>'All Ticker P&amp;L'!D635</f>
        <v/>
      </c>
      <c r="AP635" s="243">
        <f>IF($AL635="",0,'All Ticker P&amp;L'!E635)</f>
        <v>0</v>
      </c>
      <c r="AQ635" s="266">
        <f>IF($AL635="",0,'All Ticker P&amp;L'!J635*'All Ticker P&amp;L'!I635)</f>
        <v>0</v>
      </c>
      <c r="AR635" s="266">
        <f>IF($AL635="",0,'All Ticker P&amp;L'!L635)</f>
        <v>0</v>
      </c>
      <c r="AS635" s="267">
        <f>IF($AL635="",0,'All Ticker P&amp;L'!M635)</f>
        <v>0</v>
      </c>
      <c r="AT635" s="243" t="str">
        <f>IF($AL635="","",RANK(AR635,$AR$2:$AR$1001)+COUNTIF($AR$2:AR635,AR635)-1)</f>
        <v/>
      </c>
      <c r="AU635" s="243" t="str">
        <f>IF($AL635="","",RANK(AV635,$AV$2:$AV$1001)+COUNTIF($AV$2:AV635,AV635)-1)</f>
        <v/>
      </c>
      <c r="AV635" s="266">
        <f t="shared" si="50"/>
        <v>0</v>
      </c>
    </row>
    <row r="636" spans="26:48" ht="15" customHeight="1" x14ac:dyDescent="0.2">
      <c r="Z636" s="243" t="str">
        <f>Shares!A636</f>
        <v/>
      </c>
      <c r="AA636" s="243" t="str">
        <f>Shares!B636</f>
        <v/>
      </c>
      <c r="AB636" s="243" t="str">
        <f>Shares!C636</f>
        <v/>
      </c>
      <c r="AC636" s="243" t="str">
        <f>Shares!D636</f>
        <v/>
      </c>
      <c r="AD636" s="243">
        <f>IF($Z636="",0,Shares!E636)</f>
        <v>0</v>
      </c>
      <c r="AE636" s="266">
        <f>IF($Z636="",0,Shares!J636*Shares!I636)</f>
        <v>0</v>
      </c>
      <c r="AF636" s="267">
        <f t="shared" si="49"/>
        <v>0</v>
      </c>
      <c r="AG636" s="266">
        <f>IF($Z636="",0,Shares!L636)</f>
        <v>0</v>
      </c>
      <c r="AH636" s="267">
        <f>IF($Z636="",0,Shares!M636)</f>
        <v>0</v>
      </c>
      <c r="AI636" s="243" t="str">
        <f>IF($Z636="","",RANK(AE636,$AE$2:$AE$1001)+COUNTIF($AE$2:AE636,AE636)-1)</f>
        <v/>
      </c>
      <c r="AJ636" s="243" t="str">
        <f>IF($AD636&lt;0,COUNT($AJ$1:AJ635)+1,"")</f>
        <v/>
      </c>
      <c r="AL636" s="243" t="str">
        <f>'All Ticker P&amp;L'!A636</f>
        <v/>
      </c>
      <c r="AM636" s="243" t="str">
        <f>'All Ticker P&amp;L'!B636</f>
        <v/>
      </c>
      <c r="AN636" s="243" t="str">
        <f>'All Ticker P&amp;L'!C636</f>
        <v/>
      </c>
      <c r="AO636" s="243" t="str">
        <f>'All Ticker P&amp;L'!D636</f>
        <v/>
      </c>
      <c r="AP636" s="243">
        <f>IF($AL636="",0,'All Ticker P&amp;L'!E636)</f>
        <v>0</v>
      </c>
      <c r="AQ636" s="266">
        <f>IF($AL636="",0,'All Ticker P&amp;L'!J636*'All Ticker P&amp;L'!I636)</f>
        <v>0</v>
      </c>
      <c r="AR636" s="266">
        <f>IF($AL636="",0,'All Ticker P&amp;L'!L636)</f>
        <v>0</v>
      </c>
      <c r="AS636" s="267">
        <f>IF($AL636="",0,'All Ticker P&amp;L'!M636)</f>
        <v>0</v>
      </c>
      <c r="AT636" s="243" t="str">
        <f>IF($AL636="","",RANK(AR636,$AR$2:$AR$1001)+COUNTIF($AR$2:AR636,AR636)-1)</f>
        <v/>
      </c>
      <c r="AU636" s="243" t="str">
        <f>IF($AL636="","",RANK(AV636,$AV$2:$AV$1001)+COUNTIF($AV$2:AV636,AV636)-1)</f>
        <v/>
      </c>
      <c r="AV636" s="266">
        <f t="shared" si="50"/>
        <v>0</v>
      </c>
    </row>
    <row r="637" spans="26:48" ht="15" customHeight="1" x14ac:dyDescent="0.2">
      <c r="Z637" s="243" t="str">
        <f>Shares!A637</f>
        <v/>
      </c>
      <c r="AA637" s="243" t="str">
        <f>Shares!B637</f>
        <v/>
      </c>
      <c r="AB637" s="243" t="str">
        <f>Shares!C637</f>
        <v/>
      </c>
      <c r="AC637" s="243" t="str">
        <f>Shares!D637</f>
        <v/>
      </c>
      <c r="AD637" s="243">
        <f>IF($Z637="",0,Shares!E637)</f>
        <v>0</v>
      </c>
      <c r="AE637" s="266">
        <f>IF($Z637="",0,Shares!J637*Shares!I637)</f>
        <v>0</v>
      </c>
      <c r="AF637" s="267">
        <f t="shared" si="49"/>
        <v>0</v>
      </c>
      <c r="AG637" s="266">
        <f>IF($Z637="",0,Shares!L637)</f>
        <v>0</v>
      </c>
      <c r="AH637" s="267">
        <f>IF($Z637="",0,Shares!M637)</f>
        <v>0</v>
      </c>
      <c r="AI637" s="243" t="str">
        <f>IF($Z637="","",RANK(AE637,$AE$2:$AE$1001)+COUNTIF($AE$2:AE637,AE637)-1)</f>
        <v/>
      </c>
      <c r="AJ637" s="243" t="str">
        <f>IF($AD637&lt;0,COUNT($AJ$1:AJ636)+1,"")</f>
        <v/>
      </c>
      <c r="AL637" s="243" t="str">
        <f>'All Ticker P&amp;L'!A637</f>
        <v/>
      </c>
      <c r="AM637" s="243" t="str">
        <f>'All Ticker P&amp;L'!B637</f>
        <v/>
      </c>
      <c r="AN637" s="243" t="str">
        <f>'All Ticker P&amp;L'!C637</f>
        <v/>
      </c>
      <c r="AO637" s="243" t="str">
        <f>'All Ticker P&amp;L'!D637</f>
        <v/>
      </c>
      <c r="AP637" s="243">
        <f>IF($AL637="",0,'All Ticker P&amp;L'!E637)</f>
        <v>0</v>
      </c>
      <c r="AQ637" s="266">
        <f>IF($AL637="",0,'All Ticker P&amp;L'!J637*'All Ticker P&amp;L'!I637)</f>
        <v>0</v>
      </c>
      <c r="AR637" s="266">
        <f>IF($AL637="",0,'All Ticker P&amp;L'!L637)</f>
        <v>0</v>
      </c>
      <c r="AS637" s="267">
        <f>IF($AL637="",0,'All Ticker P&amp;L'!M637)</f>
        <v>0</v>
      </c>
      <c r="AT637" s="243" t="str">
        <f>IF($AL637="","",RANK(AR637,$AR$2:$AR$1001)+COUNTIF($AR$2:AR637,AR637)-1)</f>
        <v/>
      </c>
      <c r="AU637" s="243" t="str">
        <f>IF($AL637="","",RANK(AV637,$AV$2:$AV$1001)+COUNTIF($AV$2:AV637,AV637)-1)</f>
        <v/>
      </c>
      <c r="AV637" s="266">
        <f t="shared" si="50"/>
        <v>0</v>
      </c>
    </row>
    <row r="638" spans="26:48" ht="15" customHeight="1" x14ac:dyDescent="0.2">
      <c r="Z638" s="243" t="str">
        <f>Shares!A638</f>
        <v/>
      </c>
      <c r="AA638" s="243" t="str">
        <f>Shares!B638</f>
        <v/>
      </c>
      <c r="AB638" s="243" t="str">
        <f>Shares!C638</f>
        <v/>
      </c>
      <c r="AC638" s="243" t="str">
        <f>Shares!D638</f>
        <v/>
      </c>
      <c r="AD638" s="243">
        <f>IF($Z638="",0,Shares!E638)</f>
        <v>0</v>
      </c>
      <c r="AE638" s="266">
        <f>IF($Z638="",0,Shares!J638*Shares!I638)</f>
        <v>0</v>
      </c>
      <c r="AF638" s="267">
        <f t="shared" si="49"/>
        <v>0</v>
      </c>
      <c r="AG638" s="266">
        <f>IF($Z638="",0,Shares!L638)</f>
        <v>0</v>
      </c>
      <c r="AH638" s="267">
        <f>IF($Z638="",0,Shares!M638)</f>
        <v>0</v>
      </c>
      <c r="AI638" s="243" t="str">
        <f>IF($Z638="","",RANK(AE638,$AE$2:$AE$1001)+COUNTIF($AE$2:AE638,AE638)-1)</f>
        <v/>
      </c>
      <c r="AJ638" s="243" t="str">
        <f>IF($AD638&lt;0,COUNT($AJ$1:AJ637)+1,"")</f>
        <v/>
      </c>
      <c r="AL638" s="243" t="str">
        <f>'All Ticker P&amp;L'!A638</f>
        <v/>
      </c>
      <c r="AM638" s="243" t="str">
        <f>'All Ticker P&amp;L'!B638</f>
        <v/>
      </c>
      <c r="AN638" s="243" t="str">
        <f>'All Ticker P&amp;L'!C638</f>
        <v/>
      </c>
      <c r="AO638" s="243" t="str">
        <f>'All Ticker P&amp;L'!D638</f>
        <v/>
      </c>
      <c r="AP638" s="243">
        <f>IF($AL638="",0,'All Ticker P&amp;L'!E638)</f>
        <v>0</v>
      </c>
      <c r="AQ638" s="266">
        <f>IF($AL638="",0,'All Ticker P&amp;L'!J638*'All Ticker P&amp;L'!I638)</f>
        <v>0</v>
      </c>
      <c r="AR638" s="266">
        <f>IF($AL638="",0,'All Ticker P&amp;L'!L638)</f>
        <v>0</v>
      </c>
      <c r="AS638" s="267">
        <f>IF($AL638="",0,'All Ticker P&amp;L'!M638)</f>
        <v>0</v>
      </c>
      <c r="AT638" s="243" t="str">
        <f>IF($AL638="","",RANK(AR638,$AR$2:$AR$1001)+COUNTIF($AR$2:AR638,AR638)-1)</f>
        <v/>
      </c>
      <c r="AU638" s="243" t="str">
        <f>IF($AL638="","",RANK(AV638,$AV$2:$AV$1001)+COUNTIF($AV$2:AV638,AV638)-1)</f>
        <v/>
      </c>
      <c r="AV638" s="266">
        <f t="shared" si="50"/>
        <v>0</v>
      </c>
    </row>
    <row r="639" spans="26:48" ht="15" customHeight="1" x14ac:dyDescent="0.2">
      <c r="Z639" s="243" t="str">
        <f>Shares!A639</f>
        <v/>
      </c>
      <c r="AA639" s="243" t="str">
        <f>Shares!B639</f>
        <v/>
      </c>
      <c r="AB639" s="243" t="str">
        <f>Shares!C639</f>
        <v/>
      </c>
      <c r="AC639" s="243" t="str">
        <f>Shares!D639</f>
        <v/>
      </c>
      <c r="AD639" s="243">
        <f>IF($Z639="",0,Shares!E639)</f>
        <v>0</v>
      </c>
      <c r="AE639" s="266">
        <f>IF($Z639="",0,Shares!J639*Shares!I639)</f>
        <v>0</v>
      </c>
      <c r="AF639" s="267">
        <f t="shared" si="49"/>
        <v>0</v>
      </c>
      <c r="AG639" s="266">
        <f>IF($Z639="",0,Shares!L639)</f>
        <v>0</v>
      </c>
      <c r="AH639" s="267">
        <f>IF($Z639="",0,Shares!M639)</f>
        <v>0</v>
      </c>
      <c r="AI639" s="243" t="str">
        <f>IF($Z639="","",RANK(AE639,$AE$2:$AE$1001)+COUNTIF($AE$2:AE639,AE639)-1)</f>
        <v/>
      </c>
      <c r="AJ639" s="243" t="str">
        <f>IF($AD639&lt;0,COUNT($AJ$1:AJ638)+1,"")</f>
        <v/>
      </c>
      <c r="AL639" s="243" t="str">
        <f>'All Ticker P&amp;L'!A639</f>
        <v/>
      </c>
      <c r="AM639" s="243" t="str">
        <f>'All Ticker P&amp;L'!B639</f>
        <v/>
      </c>
      <c r="AN639" s="243" t="str">
        <f>'All Ticker P&amp;L'!C639</f>
        <v/>
      </c>
      <c r="AO639" s="243" t="str">
        <f>'All Ticker P&amp;L'!D639</f>
        <v/>
      </c>
      <c r="AP639" s="243">
        <f>IF($AL639="",0,'All Ticker P&amp;L'!E639)</f>
        <v>0</v>
      </c>
      <c r="AQ639" s="266">
        <f>IF($AL639="",0,'All Ticker P&amp;L'!J639*'All Ticker P&amp;L'!I639)</f>
        <v>0</v>
      </c>
      <c r="AR639" s="266">
        <f>IF($AL639="",0,'All Ticker P&amp;L'!L639)</f>
        <v>0</v>
      </c>
      <c r="AS639" s="267">
        <f>IF($AL639="",0,'All Ticker P&amp;L'!M639)</f>
        <v>0</v>
      </c>
      <c r="AT639" s="243" t="str">
        <f>IF($AL639="","",RANK(AR639,$AR$2:$AR$1001)+COUNTIF($AR$2:AR639,AR639)-1)</f>
        <v/>
      </c>
      <c r="AU639" s="243" t="str">
        <f>IF($AL639="","",RANK(AV639,$AV$2:$AV$1001)+COUNTIF($AV$2:AV639,AV639)-1)</f>
        <v/>
      </c>
      <c r="AV639" s="266">
        <f t="shared" si="50"/>
        <v>0</v>
      </c>
    </row>
    <row r="640" spans="26:48" ht="15" customHeight="1" x14ac:dyDescent="0.2">
      <c r="Z640" s="243" t="str">
        <f>Shares!A640</f>
        <v/>
      </c>
      <c r="AA640" s="243" t="str">
        <f>Shares!B640</f>
        <v/>
      </c>
      <c r="AB640" s="243" t="str">
        <f>Shares!C640</f>
        <v/>
      </c>
      <c r="AC640" s="243" t="str">
        <f>Shares!D640</f>
        <v/>
      </c>
      <c r="AD640" s="243">
        <f>IF($Z640="",0,Shares!E640)</f>
        <v>0</v>
      </c>
      <c r="AE640" s="266">
        <f>IF($Z640="",0,Shares!J640*Shares!I640)</f>
        <v>0</v>
      </c>
      <c r="AF640" s="267">
        <f t="shared" si="49"/>
        <v>0</v>
      </c>
      <c r="AG640" s="266">
        <f>IF($Z640="",0,Shares!L640)</f>
        <v>0</v>
      </c>
      <c r="AH640" s="267">
        <f>IF($Z640="",0,Shares!M640)</f>
        <v>0</v>
      </c>
      <c r="AI640" s="243" t="str">
        <f>IF($Z640="","",RANK(AE640,$AE$2:$AE$1001)+COUNTIF($AE$2:AE640,AE640)-1)</f>
        <v/>
      </c>
      <c r="AJ640" s="243" t="str">
        <f>IF($AD640&lt;0,COUNT($AJ$1:AJ639)+1,"")</f>
        <v/>
      </c>
      <c r="AL640" s="243" t="str">
        <f>'All Ticker P&amp;L'!A640</f>
        <v/>
      </c>
      <c r="AM640" s="243" t="str">
        <f>'All Ticker P&amp;L'!B640</f>
        <v/>
      </c>
      <c r="AN640" s="243" t="str">
        <f>'All Ticker P&amp;L'!C640</f>
        <v/>
      </c>
      <c r="AO640" s="243" t="str">
        <f>'All Ticker P&amp;L'!D640</f>
        <v/>
      </c>
      <c r="AP640" s="243">
        <f>IF($AL640="",0,'All Ticker P&amp;L'!E640)</f>
        <v>0</v>
      </c>
      <c r="AQ640" s="266">
        <f>IF($AL640="",0,'All Ticker P&amp;L'!J640*'All Ticker P&amp;L'!I640)</f>
        <v>0</v>
      </c>
      <c r="AR640" s="266">
        <f>IF($AL640="",0,'All Ticker P&amp;L'!L640)</f>
        <v>0</v>
      </c>
      <c r="AS640" s="267">
        <f>IF($AL640="",0,'All Ticker P&amp;L'!M640)</f>
        <v>0</v>
      </c>
      <c r="AT640" s="243" t="str">
        <f>IF($AL640="","",RANK(AR640,$AR$2:$AR$1001)+COUNTIF($AR$2:AR640,AR640)-1)</f>
        <v/>
      </c>
      <c r="AU640" s="243" t="str">
        <f>IF($AL640="","",RANK(AV640,$AV$2:$AV$1001)+COUNTIF($AV$2:AV640,AV640)-1)</f>
        <v/>
      </c>
      <c r="AV640" s="266">
        <f t="shared" si="50"/>
        <v>0</v>
      </c>
    </row>
    <row r="641" spans="26:48" ht="15" customHeight="1" x14ac:dyDescent="0.2">
      <c r="Z641" s="243" t="str">
        <f>Shares!A641</f>
        <v/>
      </c>
      <c r="AA641" s="243" t="str">
        <f>Shares!B641</f>
        <v/>
      </c>
      <c r="AB641" s="243" t="str">
        <f>Shares!C641</f>
        <v/>
      </c>
      <c r="AC641" s="243" t="str">
        <f>Shares!D641</f>
        <v/>
      </c>
      <c r="AD641" s="243">
        <f>IF($Z641="",0,Shares!E641)</f>
        <v>0</v>
      </c>
      <c r="AE641" s="266">
        <f>IF($Z641="",0,Shares!J641*Shares!I641)</f>
        <v>0</v>
      </c>
      <c r="AF641" s="267">
        <f t="shared" si="49"/>
        <v>0</v>
      </c>
      <c r="AG641" s="266">
        <f>IF($Z641="",0,Shares!L641)</f>
        <v>0</v>
      </c>
      <c r="AH641" s="267">
        <f>IF($Z641="",0,Shares!M641)</f>
        <v>0</v>
      </c>
      <c r="AI641" s="243" t="str">
        <f>IF($Z641="","",RANK(AE641,$AE$2:$AE$1001)+COUNTIF($AE$2:AE641,AE641)-1)</f>
        <v/>
      </c>
      <c r="AJ641" s="243" t="str">
        <f>IF($AD641&lt;0,COUNT($AJ$1:AJ640)+1,"")</f>
        <v/>
      </c>
      <c r="AL641" s="243" t="str">
        <f>'All Ticker P&amp;L'!A641</f>
        <v/>
      </c>
      <c r="AM641" s="243" t="str">
        <f>'All Ticker P&amp;L'!B641</f>
        <v/>
      </c>
      <c r="AN641" s="243" t="str">
        <f>'All Ticker P&amp;L'!C641</f>
        <v/>
      </c>
      <c r="AO641" s="243" t="str">
        <f>'All Ticker P&amp;L'!D641</f>
        <v/>
      </c>
      <c r="AP641" s="243">
        <f>IF($AL641="",0,'All Ticker P&amp;L'!E641)</f>
        <v>0</v>
      </c>
      <c r="AQ641" s="266">
        <f>IF($AL641="",0,'All Ticker P&amp;L'!J641*'All Ticker P&amp;L'!I641)</f>
        <v>0</v>
      </c>
      <c r="AR641" s="266">
        <f>IF($AL641="",0,'All Ticker P&amp;L'!L641)</f>
        <v>0</v>
      </c>
      <c r="AS641" s="267">
        <f>IF($AL641="",0,'All Ticker P&amp;L'!M641)</f>
        <v>0</v>
      </c>
      <c r="AT641" s="243" t="str">
        <f>IF($AL641="","",RANK(AR641,$AR$2:$AR$1001)+COUNTIF($AR$2:AR641,AR641)-1)</f>
        <v/>
      </c>
      <c r="AU641" s="243" t="str">
        <f>IF($AL641="","",RANK(AV641,$AV$2:$AV$1001)+COUNTIF($AV$2:AV641,AV641)-1)</f>
        <v/>
      </c>
      <c r="AV641" s="266">
        <f t="shared" si="50"/>
        <v>0</v>
      </c>
    </row>
    <row r="642" spans="26:48" ht="15" customHeight="1" x14ac:dyDescent="0.2">
      <c r="Z642" s="243" t="str">
        <f>Shares!A642</f>
        <v/>
      </c>
      <c r="AA642" s="243" t="str">
        <f>Shares!B642</f>
        <v/>
      </c>
      <c r="AB642" s="243" t="str">
        <f>Shares!C642</f>
        <v/>
      </c>
      <c r="AC642" s="243" t="str">
        <f>Shares!D642</f>
        <v/>
      </c>
      <c r="AD642" s="243">
        <f>IF($Z642="",0,Shares!E642)</f>
        <v>0</v>
      </c>
      <c r="AE642" s="266">
        <f>IF($Z642="",0,Shares!J642*Shares!I642)</f>
        <v>0</v>
      </c>
      <c r="AF642" s="267">
        <f t="shared" ref="AF642:AF705" si="51">IFERROR(AE642/$B$5,0)</f>
        <v>0</v>
      </c>
      <c r="AG642" s="266">
        <f>IF($Z642="",0,Shares!L642)</f>
        <v>0</v>
      </c>
      <c r="AH642" s="267">
        <f>IF($Z642="",0,Shares!M642)</f>
        <v>0</v>
      </c>
      <c r="AI642" s="243" t="str">
        <f>IF($Z642="","",RANK(AE642,$AE$2:$AE$1001)+COUNTIF($AE$2:AE642,AE642)-1)</f>
        <v/>
      </c>
      <c r="AJ642" s="243" t="str">
        <f>IF($AD642&lt;0,COUNT($AJ$1:AJ641)+1,"")</f>
        <v/>
      </c>
      <c r="AL642" s="243" t="str">
        <f>'All Ticker P&amp;L'!A642</f>
        <v/>
      </c>
      <c r="AM642" s="243" t="str">
        <f>'All Ticker P&amp;L'!B642</f>
        <v/>
      </c>
      <c r="AN642" s="243" t="str">
        <f>'All Ticker P&amp;L'!C642</f>
        <v/>
      </c>
      <c r="AO642" s="243" t="str">
        <f>'All Ticker P&amp;L'!D642</f>
        <v/>
      </c>
      <c r="AP642" s="243">
        <f>IF($AL642="",0,'All Ticker P&amp;L'!E642)</f>
        <v>0</v>
      </c>
      <c r="AQ642" s="266">
        <f>IF($AL642="",0,'All Ticker P&amp;L'!J642*'All Ticker P&amp;L'!I642)</f>
        <v>0</v>
      </c>
      <c r="AR642" s="266">
        <f>IF($AL642="",0,'All Ticker P&amp;L'!L642)</f>
        <v>0</v>
      </c>
      <c r="AS642" s="267">
        <f>IF($AL642="",0,'All Ticker P&amp;L'!M642)</f>
        <v>0</v>
      </c>
      <c r="AT642" s="243" t="str">
        <f>IF($AL642="","",RANK(AR642,$AR$2:$AR$1001)+COUNTIF($AR$2:AR642,AR642)-1)</f>
        <v/>
      </c>
      <c r="AU642" s="243" t="str">
        <f>IF($AL642="","",RANK(AV642,$AV$2:$AV$1001)+COUNTIF($AV$2:AV642,AV642)-1)</f>
        <v/>
      </c>
      <c r="AV642" s="266">
        <f t="shared" ref="AV642:AV705" si="52">-AR642</f>
        <v>0</v>
      </c>
    </row>
    <row r="643" spans="26:48" ht="15" customHeight="1" x14ac:dyDescent="0.2">
      <c r="Z643" s="243" t="str">
        <f>Shares!A643</f>
        <v/>
      </c>
      <c r="AA643" s="243" t="str">
        <f>Shares!B643</f>
        <v/>
      </c>
      <c r="AB643" s="243" t="str">
        <f>Shares!C643</f>
        <v/>
      </c>
      <c r="AC643" s="243" t="str">
        <f>Shares!D643</f>
        <v/>
      </c>
      <c r="AD643" s="243">
        <f>IF($Z643="",0,Shares!E643)</f>
        <v>0</v>
      </c>
      <c r="AE643" s="266">
        <f>IF($Z643="",0,Shares!J643*Shares!I643)</f>
        <v>0</v>
      </c>
      <c r="AF643" s="267">
        <f t="shared" si="51"/>
        <v>0</v>
      </c>
      <c r="AG643" s="266">
        <f>IF($Z643="",0,Shares!L643)</f>
        <v>0</v>
      </c>
      <c r="AH643" s="267">
        <f>IF($Z643="",0,Shares!M643)</f>
        <v>0</v>
      </c>
      <c r="AI643" s="243" t="str">
        <f>IF($Z643="","",RANK(AE643,$AE$2:$AE$1001)+COUNTIF($AE$2:AE643,AE643)-1)</f>
        <v/>
      </c>
      <c r="AJ643" s="243" t="str">
        <f>IF($AD643&lt;0,COUNT($AJ$1:AJ642)+1,"")</f>
        <v/>
      </c>
      <c r="AL643" s="243" t="str">
        <f>'All Ticker P&amp;L'!A643</f>
        <v/>
      </c>
      <c r="AM643" s="243" t="str">
        <f>'All Ticker P&amp;L'!B643</f>
        <v/>
      </c>
      <c r="AN643" s="243" t="str">
        <f>'All Ticker P&amp;L'!C643</f>
        <v/>
      </c>
      <c r="AO643" s="243" t="str">
        <f>'All Ticker P&amp;L'!D643</f>
        <v/>
      </c>
      <c r="AP643" s="243">
        <f>IF($AL643="",0,'All Ticker P&amp;L'!E643)</f>
        <v>0</v>
      </c>
      <c r="AQ643" s="266">
        <f>IF($AL643="",0,'All Ticker P&amp;L'!J643*'All Ticker P&amp;L'!I643)</f>
        <v>0</v>
      </c>
      <c r="AR643" s="266">
        <f>IF($AL643="",0,'All Ticker P&amp;L'!L643)</f>
        <v>0</v>
      </c>
      <c r="AS643" s="267">
        <f>IF($AL643="",0,'All Ticker P&amp;L'!M643)</f>
        <v>0</v>
      </c>
      <c r="AT643" s="243" t="str">
        <f>IF($AL643="","",RANK(AR643,$AR$2:$AR$1001)+COUNTIF($AR$2:AR643,AR643)-1)</f>
        <v/>
      </c>
      <c r="AU643" s="243" t="str">
        <f>IF($AL643="","",RANK(AV643,$AV$2:$AV$1001)+COUNTIF($AV$2:AV643,AV643)-1)</f>
        <v/>
      </c>
      <c r="AV643" s="266">
        <f t="shared" si="52"/>
        <v>0</v>
      </c>
    </row>
    <row r="644" spans="26:48" ht="15" customHeight="1" x14ac:dyDescent="0.2">
      <c r="Z644" s="243" t="str">
        <f>Shares!A644</f>
        <v/>
      </c>
      <c r="AA644" s="243" t="str">
        <f>Shares!B644</f>
        <v/>
      </c>
      <c r="AB644" s="243" t="str">
        <f>Shares!C644</f>
        <v/>
      </c>
      <c r="AC644" s="243" t="str">
        <f>Shares!D644</f>
        <v/>
      </c>
      <c r="AD644" s="243">
        <f>IF($Z644="",0,Shares!E644)</f>
        <v>0</v>
      </c>
      <c r="AE644" s="266">
        <f>IF($Z644="",0,Shares!J644*Shares!I644)</f>
        <v>0</v>
      </c>
      <c r="AF644" s="267">
        <f t="shared" si="51"/>
        <v>0</v>
      </c>
      <c r="AG644" s="266">
        <f>IF($Z644="",0,Shares!L644)</f>
        <v>0</v>
      </c>
      <c r="AH644" s="267">
        <f>IF($Z644="",0,Shares!M644)</f>
        <v>0</v>
      </c>
      <c r="AI644" s="243" t="str">
        <f>IF($Z644="","",RANK(AE644,$AE$2:$AE$1001)+COUNTIF($AE$2:AE644,AE644)-1)</f>
        <v/>
      </c>
      <c r="AJ644" s="243" t="str">
        <f>IF($AD644&lt;0,COUNT($AJ$1:AJ643)+1,"")</f>
        <v/>
      </c>
      <c r="AL644" s="243" t="str">
        <f>'All Ticker P&amp;L'!A644</f>
        <v/>
      </c>
      <c r="AM644" s="243" t="str">
        <f>'All Ticker P&amp;L'!B644</f>
        <v/>
      </c>
      <c r="AN644" s="243" t="str">
        <f>'All Ticker P&amp;L'!C644</f>
        <v/>
      </c>
      <c r="AO644" s="243" t="str">
        <f>'All Ticker P&amp;L'!D644</f>
        <v/>
      </c>
      <c r="AP644" s="243">
        <f>IF($AL644="",0,'All Ticker P&amp;L'!E644)</f>
        <v>0</v>
      </c>
      <c r="AQ644" s="266">
        <f>IF($AL644="",0,'All Ticker P&amp;L'!J644*'All Ticker P&amp;L'!I644)</f>
        <v>0</v>
      </c>
      <c r="AR644" s="266">
        <f>IF($AL644="",0,'All Ticker P&amp;L'!L644)</f>
        <v>0</v>
      </c>
      <c r="AS644" s="267">
        <f>IF($AL644="",0,'All Ticker P&amp;L'!M644)</f>
        <v>0</v>
      </c>
      <c r="AT644" s="243" t="str">
        <f>IF($AL644="","",RANK(AR644,$AR$2:$AR$1001)+COUNTIF($AR$2:AR644,AR644)-1)</f>
        <v/>
      </c>
      <c r="AU644" s="243" t="str">
        <f>IF($AL644="","",RANK(AV644,$AV$2:$AV$1001)+COUNTIF($AV$2:AV644,AV644)-1)</f>
        <v/>
      </c>
      <c r="AV644" s="266">
        <f t="shared" si="52"/>
        <v>0</v>
      </c>
    </row>
    <row r="645" spans="26:48" ht="15" customHeight="1" x14ac:dyDescent="0.2">
      <c r="Z645" s="243" t="str">
        <f>Shares!A645</f>
        <v/>
      </c>
      <c r="AA645" s="243" t="str">
        <f>Shares!B645</f>
        <v/>
      </c>
      <c r="AB645" s="243" t="str">
        <f>Shares!C645</f>
        <v/>
      </c>
      <c r="AC645" s="243" t="str">
        <f>Shares!D645</f>
        <v/>
      </c>
      <c r="AD645" s="243">
        <f>IF($Z645="",0,Shares!E645)</f>
        <v>0</v>
      </c>
      <c r="AE645" s="266">
        <f>IF($Z645="",0,Shares!J645*Shares!I645)</f>
        <v>0</v>
      </c>
      <c r="AF645" s="267">
        <f t="shared" si="51"/>
        <v>0</v>
      </c>
      <c r="AG645" s="266">
        <f>IF($Z645="",0,Shares!L645)</f>
        <v>0</v>
      </c>
      <c r="AH645" s="267">
        <f>IF($Z645="",0,Shares!M645)</f>
        <v>0</v>
      </c>
      <c r="AI645" s="243" t="str">
        <f>IF($Z645="","",RANK(AE645,$AE$2:$AE$1001)+COUNTIF($AE$2:AE645,AE645)-1)</f>
        <v/>
      </c>
      <c r="AJ645" s="243" t="str">
        <f>IF($AD645&lt;0,COUNT($AJ$1:AJ644)+1,"")</f>
        <v/>
      </c>
      <c r="AL645" s="243" t="str">
        <f>'All Ticker P&amp;L'!A645</f>
        <v/>
      </c>
      <c r="AM645" s="243" t="str">
        <f>'All Ticker P&amp;L'!B645</f>
        <v/>
      </c>
      <c r="AN645" s="243" t="str">
        <f>'All Ticker P&amp;L'!C645</f>
        <v/>
      </c>
      <c r="AO645" s="243" t="str">
        <f>'All Ticker P&amp;L'!D645</f>
        <v/>
      </c>
      <c r="AP645" s="243">
        <f>IF($AL645="",0,'All Ticker P&amp;L'!E645)</f>
        <v>0</v>
      </c>
      <c r="AQ645" s="266">
        <f>IF($AL645="",0,'All Ticker P&amp;L'!J645*'All Ticker P&amp;L'!I645)</f>
        <v>0</v>
      </c>
      <c r="AR645" s="266">
        <f>IF($AL645="",0,'All Ticker P&amp;L'!L645)</f>
        <v>0</v>
      </c>
      <c r="AS645" s="267">
        <f>IF($AL645="",0,'All Ticker P&amp;L'!M645)</f>
        <v>0</v>
      </c>
      <c r="AT645" s="243" t="str">
        <f>IF($AL645="","",RANK(AR645,$AR$2:$AR$1001)+COUNTIF($AR$2:AR645,AR645)-1)</f>
        <v/>
      </c>
      <c r="AU645" s="243" t="str">
        <f>IF($AL645="","",RANK(AV645,$AV$2:$AV$1001)+COUNTIF($AV$2:AV645,AV645)-1)</f>
        <v/>
      </c>
      <c r="AV645" s="266">
        <f t="shared" si="52"/>
        <v>0</v>
      </c>
    </row>
    <row r="646" spans="26:48" ht="15" customHeight="1" x14ac:dyDescent="0.2">
      <c r="Z646" s="243" t="str">
        <f>Shares!A646</f>
        <v/>
      </c>
      <c r="AA646" s="243" t="str">
        <f>Shares!B646</f>
        <v/>
      </c>
      <c r="AB646" s="243" t="str">
        <f>Shares!C646</f>
        <v/>
      </c>
      <c r="AC646" s="243" t="str">
        <f>Shares!D646</f>
        <v/>
      </c>
      <c r="AD646" s="243">
        <f>IF($Z646="",0,Shares!E646)</f>
        <v>0</v>
      </c>
      <c r="AE646" s="266">
        <f>IF($Z646="",0,Shares!J646*Shares!I646)</f>
        <v>0</v>
      </c>
      <c r="AF646" s="267">
        <f t="shared" si="51"/>
        <v>0</v>
      </c>
      <c r="AG646" s="266">
        <f>IF($Z646="",0,Shares!L646)</f>
        <v>0</v>
      </c>
      <c r="AH646" s="267">
        <f>IF($Z646="",0,Shares!M646)</f>
        <v>0</v>
      </c>
      <c r="AI646" s="243" t="str">
        <f>IF($Z646="","",RANK(AE646,$AE$2:$AE$1001)+COUNTIF($AE$2:AE646,AE646)-1)</f>
        <v/>
      </c>
      <c r="AJ646" s="243" t="str">
        <f>IF($AD646&lt;0,COUNT($AJ$1:AJ645)+1,"")</f>
        <v/>
      </c>
      <c r="AL646" s="243" t="str">
        <f>'All Ticker P&amp;L'!A646</f>
        <v/>
      </c>
      <c r="AM646" s="243" t="str">
        <f>'All Ticker P&amp;L'!B646</f>
        <v/>
      </c>
      <c r="AN646" s="243" t="str">
        <f>'All Ticker P&amp;L'!C646</f>
        <v/>
      </c>
      <c r="AO646" s="243" t="str">
        <f>'All Ticker P&amp;L'!D646</f>
        <v/>
      </c>
      <c r="AP646" s="243">
        <f>IF($AL646="",0,'All Ticker P&amp;L'!E646)</f>
        <v>0</v>
      </c>
      <c r="AQ646" s="266">
        <f>IF($AL646="",0,'All Ticker P&amp;L'!J646*'All Ticker P&amp;L'!I646)</f>
        <v>0</v>
      </c>
      <c r="AR646" s="266">
        <f>IF($AL646="",0,'All Ticker P&amp;L'!L646)</f>
        <v>0</v>
      </c>
      <c r="AS646" s="267">
        <f>IF($AL646="",0,'All Ticker P&amp;L'!M646)</f>
        <v>0</v>
      </c>
      <c r="AT646" s="243" t="str">
        <f>IF($AL646="","",RANK(AR646,$AR$2:$AR$1001)+COUNTIF($AR$2:AR646,AR646)-1)</f>
        <v/>
      </c>
      <c r="AU646" s="243" t="str">
        <f>IF($AL646="","",RANK(AV646,$AV$2:$AV$1001)+COUNTIF($AV$2:AV646,AV646)-1)</f>
        <v/>
      </c>
      <c r="AV646" s="266">
        <f t="shared" si="52"/>
        <v>0</v>
      </c>
    </row>
    <row r="647" spans="26:48" ht="15" customHeight="1" x14ac:dyDescent="0.2">
      <c r="Z647" s="243" t="str">
        <f>Shares!A647</f>
        <v/>
      </c>
      <c r="AA647" s="243" t="str">
        <f>Shares!B647</f>
        <v/>
      </c>
      <c r="AB647" s="243" t="str">
        <f>Shares!C647</f>
        <v/>
      </c>
      <c r="AC647" s="243" t="str">
        <f>Shares!D647</f>
        <v/>
      </c>
      <c r="AD647" s="243">
        <f>IF($Z647="",0,Shares!E647)</f>
        <v>0</v>
      </c>
      <c r="AE647" s="266">
        <f>IF($Z647="",0,Shares!J647*Shares!I647)</f>
        <v>0</v>
      </c>
      <c r="AF647" s="267">
        <f t="shared" si="51"/>
        <v>0</v>
      </c>
      <c r="AG647" s="266">
        <f>IF($Z647="",0,Shares!L647)</f>
        <v>0</v>
      </c>
      <c r="AH647" s="267">
        <f>IF($Z647="",0,Shares!M647)</f>
        <v>0</v>
      </c>
      <c r="AI647" s="243" t="str">
        <f>IF($Z647="","",RANK(AE647,$AE$2:$AE$1001)+COUNTIF($AE$2:AE647,AE647)-1)</f>
        <v/>
      </c>
      <c r="AJ647" s="243" t="str">
        <f>IF($AD647&lt;0,COUNT($AJ$1:AJ646)+1,"")</f>
        <v/>
      </c>
      <c r="AL647" s="243" t="str">
        <f>'All Ticker P&amp;L'!A647</f>
        <v/>
      </c>
      <c r="AM647" s="243" t="str">
        <f>'All Ticker P&amp;L'!B647</f>
        <v/>
      </c>
      <c r="AN647" s="243" t="str">
        <f>'All Ticker P&amp;L'!C647</f>
        <v/>
      </c>
      <c r="AO647" s="243" t="str">
        <f>'All Ticker P&amp;L'!D647</f>
        <v/>
      </c>
      <c r="AP647" s="243">
        <f>IF($AL647="",0,'All Ticker P&amp;L'!E647)</f>
        <v>0</v>
      </c>
      <c r="AQ647" s="266">
        <f>IF($AL647="",0,'All Ticker P&amp;L'!J647*'All Ticker P&amp;L'!I647)</f>
        <v>0</v>
      </c>
      <c r="AR647" s="266">
        <f>IF($AL647="",0,'All Ticker P&amp;L'!L647)</f>
        <v>0</v>
      </c>
      <c r="AS647" s="267">
        <f>IF($AL647="",0,'All Ticker P&amp;L'!M647)</f>
        <v>0</v>
      </c>
      <c r="AT647" s="243" t="str">
        <f>IF($AL647="","",RANK(AR647,$AR$2:$AR$1001)+COUNTIF($AR$2:AR647,AR647)-1)</f>
        <v/>
      </c>
      <c r="AU647" s="243" t="str">
        <f>IF($AL647="","",RANK(AV647,$AV$2:$AV$1001)+COUNTIF($AV$2:AV647,AV647)-1)</f>
        <v/>
      </c>
      <c r="AV647" s="266">
        <f t="shared" si="52"/>
        <v>0</v>
      </c>
    </row>
    <row r="648" spans="26:48" ht="15" customHeight="1" x14ac:dyDescent="0.2">
      <c r="Z648" s="243" t="str">
        <f>Shares!A648</f>
        <v/>
      </c>
      <c r="AA648" s="243" t="str">
        <f>Shares!B648</f>
        <v/>
      </c>
      <c r="AB648" s="243" t="str">
        <f>Shares!C648</f>
        <v/>
      </c>
      <c r="AC648" s="243" t="str">
        <f>Shares!D648</f>
        <v/>
      </c>
      <c r="AD648" s="243">
        <f>IF($Z648="",0,Shares!E648)</f>
        <v>0</v>
      </c>
      <c r="AE648" s="266">
        <f>IF($Z648="",0,Shares!J648*Shares!I648)</f>
        <v>0</v>
      </c>
      <c r="AF648" s="267">
        <f t="shared" si="51"/>
        <v>0</v>
      </c>
      <c r="AG648" s="266">
        <f>IF($Z648="",0,Shares!L648)</f>
        <v>0</v>
      </c>
      <c r="AH648" s="267">
        <f>IF($Z648="",0,Shares!M648)</f>
        <v>0</v>
      </c>
      <c r="AI648" s="243" t="str">
        <f>IF($Z648="","",RANK(AE648,$AE$2:$AE$1001)+COUNTIF($AE$2:AE648,AE648)-1)</f>
        <v/>
      </c>
      <c r="AJ648" s="243" t="str">
        <f>IF($AD648&lt;0,COUNT($AJ$1:AJ647)+1,"")</f>
        <v/>
      </c>
      <c r="AL648" s="243" t="str">
        <f>'All Ticker P&amp;L'!A648</f>
        <v/>
      </c>
      <c r="AM648" s="243" t="str">
        <f>'All Ticker P&amp;L'!B648</f>
        <v/>
      </c>
      <c r="AN648" s="243" t="str">
        <f>'All Ticker P&amp;L'!C648</f>
        <v/>
      </c>
      <c r="AO648" s="243" t="str">
        <f>'All Ticker P&amp;L'!D648</f>
        <v/>
      </c>
      <c r="AP648" s="243">
        <f>IF($AL648="",0,'All Ticker P&amp;L'!E648)</f>
        <v>0</v>
      </c>
      <c r="AQ648" s="266">
        <f>IF($AL648="",0,'All Ticker P&amp;L'!J648*'All Ticker P&amp;L'!I648)</f>
        <v>0</v>
      </c>
      <c r="AR648" s="266">
        <f>IF($AL648="",0,'All Ticker P&amp;L'!L648)</f>
        <v>0</v>
      </c>
      <c r="AS648" s="267">
        <f>IF($AL648="",0,'All Ticker P&amp;L'!M648)</f>
        <v>0</v>
      </c>
      <c r="AT648" s="243" t="str">
        <f>IF($AL648="","",RANK(AR648,$AR$2:$AR$1001)+COUNTIF($AR$2:AR648,AR648)-1)</f>
        <v/>
      </c>
      <c r="AU648" s="243" t="str">
        <f>IF($AL648="","",RANK(AV648,$AV$2:$AV$1001)+COUNTIF($AV$2:AV648,AV648)-1)</f>
        <v/>
      </c>
      <c r="AV648" s="266">
        <f t="shared" si="52"/>
        <v>0</v>
      </c>
    </row>
    <row r="649" spans="26:48" ht="15" customHeight="1" x14ac:dyDescent="0.2">
      <c r="Z649" s="243" t="str">
        <f>Shares!A649</f>
        <v/>
      </c>
      <c r="AA649" s="243" t="str">
        <f>Shares!B649</f>
        <v/>
      </c>
      <c r="AB649" s="243" t="str">
        <f>Shares!C649</f>
        <v/>
      </c>
      <c r="AC649" s="243" t="str">
        <f>Shares!D649</f>
        <v/>
      </c>
      <c r="AD649" s="243">
        <f>IF($Z649="",0,Shares!E649)</f>
        <v>0</v>
      </c>
      <c r="AE649" s="266">
        <f>IF($Z649="",0,Shares!J649*Shares!I649)</f>
        <v>0</v>
      </c>
      <c r="AF649" s="267">
        <f t="shared" si="51"/>
        <v>0</v>
      </c>
      <c r="AG649" s="266">
        <f>IF($Z649="",0,Shares!L649)</f>
        <v>0</v>
      </c>
      <c r="AH649" s="267">
        <f>IF($Z649="",0,Shares!M649)</f>
        <v>0</v>
      </c>
      <c r="AI649" s="243" t="str">
        <f>IF($Z649="","",RANK(AE649,$AE$2:$AE$1001)+COUNTIF($AE$2:AE649,AE649)-1)</f>
        <v/>
      </c>
      <c r="AJ649" s="243" t="str">
        <f>IF($AD649&lt;0,COUNT($AJ$1:AJ648)+1,"")</f>
        <v/>
      </c>
      <c r="AL649" s="243" t="str">
        <f>'All Ticker P&amp;L'!A649</f>
        <v/>
      </c>
      <c r="AM649" s="243" t="str">
        <f>'All Ticker P&amp;L'!B649</f>
        <v/>
      </c>
      <c r="AN649" s="243" t="str">
        <f>'All Ticker P&amp;L'!C649</f>
        <v/>
      </c>
      <c r="AO649" s="243" t="str">
        <f>'All Ticker P&amp;L'!D649</f>
        <v/>
      </c>
      <c r="AP649" s="243">
        <f>IF($AL649="",0,'All Ticker P&amp;L'!E649)</f>
        <v>0</v>
      </c>
      <c r="AQ649" s="266">
        <f>IF($AL649="",0,'All Ticker P&amp;L'!J649*'All Ticker P&amp;L'!I649)</f>
        <v>0</v>
      </c>
      <c r="AR649" s="266">
        <f>IF($AL649="",0,'All Ticker P&amp;L'!L649)</f>
        <v>0</v>
      </c>
      <c r="AS649" s="267">
        <f>IF($AL649="",0,'All Ticker P&amp;L'!M649)</f>
        <v>0</v>
      </c>
      <c r="AT649" s="243" t="str">
        <f>IF($AL649="","",RANK(AR649,$AR$2:$AR$1001)+COUNTIF($AR$2:AR649,AR649)-1)</f>
        <v/>
      </c>
      <c r="AU649" s="243" t="str">
        <f>IF($AL649="","",RANK(AV649,$AV$2:$AV$1001)+COUNTIF($AV$2:AV649,AV649)-1)</f>
        <v/>
      </c>
      <c r="AV649" s="266">
        <f t="shared" si="52"/>
        <v>0</v>
      </c>
    </row>
    <row r="650" spans="26:48" ht="15" customHeight="1" x14ac:dyDescent="0.2">
      <c r="Z650" s="243" t="str">
        <f>Shares!A650</f>
        <v/>
      </c>
      <c r="AA650" s="243" t="str">
        <f>Shares!B650</f>
        <v/>
      </c>
      <c r="AB650" s="243" t="str">
        <f>Shares!C650</f>
        <v/>
      </c>
      <c r="AC650" s="243" t="str">
        <f>Shares!D650</f>
        <v/>
      </c>
      <c r="AD650" s="243">
        <f>IF($Z650="",0,Shares!E650)</f>
        <v>0</v>
      </c>
      <c r="AE650" s="266">
        <f>IF($Z650="",0,Shares!J650*Shares!I650)</f>
        <v>0</v>
      </c>
      <c r="AF650" s="267">
        <f t="shared" si="51"/>
        <v>0</v>
      </c>
      <c r="AG650" s="266">
        <f>IF($Z650="",0,Shares!L650)</f>
        <v>0</v>
      </c>
      <c r="AH650" s="267">
        <f>IF($Z650="",0,Shares!M650)</f>
        <v>0</v>
      </c>
      <c r="AI650" s="243" t="str">
        <f>IF($Z650="","",RANK(AE650,$AE$2:$AE$1001)+COUNTIF($AE$2:AE650,AE650)-1)</f>
        <v/>
      </c>
      <c r="AJ650" s="243" t="str">
        <f>IF($AD650&lt;0,COUNT($AJ$1:AJ649)+1,"")</f>
        <v/>
      </c>
      <c r="AL650" s="243" t="str">
        <f>'All Ticker P&amp;L'!A650</f>
        <v/>
      </c>
      <c r="AM650" s="243" t="str">
        <f>'All Ticker P&amp;L'!B650</f>
        <v/>
      </c>
      <c r="AN650" s="243" t="str">
        <f>'All Ticker P&amp;L'!C650</f>
        <v/>
      </c>
      <c r="AO650" s="243" t="str">
        <f>'All Ticker P&amp;L'!D650</f>
        <v/>
      </c>
      <c r="AP650" s="243">
        <f>IF($AL650="",0,'All Ticker P&amp;L'!E650)</f>
        <v>0</v>
      </c>
      <c r="AQ650" s="266">
        <f>IF($AL650="",0,'All Ticker P&amp;L'!J650*'All Ticker P&amp;L'!I650)</f>
        <v>0</v>
      </c>
      <c r="AR650" s="266">
        <f>IF($AL650="",0,'All Ticker P&amp;L'!L650)</f>
        <v>0</v>
      </c>
      <c r="AS650" s="267">
        <f>IF($AL650="",0,'All Ticker P&amp;L'!M650)</f>
        <v>0</v>
      </c>
      <c r="AT650" s="243" t="str">
        <f>IF($AL650="","",RANK(AR650,$AR$2:$AR$1001)+COUNTIF($AR$2:AR650,AR650)-1)</f>
        <v/>
      </c>
      <c r="AU650" s="243" t="str">
        <f>IF($AL650="","",RANK(AV650,$AV$2:$AV$1001)+COUNTIF($AV$2:AV650,AV650)-1)</f>
        <v/>
      </c>
      <c r="AV650" s="266">
        <f t="shared" si="52"/>
        <v>0</v>
      </c>
    </row>
    <row r="651" spans="26:48" ht="15" customHeight="1" x14ac:dyDescent="0.2">
      <c r="Z651" s="243" t="str">
        <f>Shares!A651</f>
        <v/>
      </c>
      <c r="AA651" s="243" t="str">
        <f>Shares!B651</f>
        <v/>
      </c>
      <c r="AB651" s="243" t="str">
        <f>Shares!C651</f>
        <v/>
      </c>
      <c r="AC651" s="243" t="str">
        <f>Shares!D651</f>
        <v/>
      </c>
      <c r="AD651" s="243">
        <f>IF($Z651="",0,Shares!E651)</f>
        <v>0</v>
      </c>
      <c r="AE651" s="266">
        <f>IF($Z651="",0,Shares!J651*Shares!I651)</f>
        <v>0</v>
      </c>
      <c r="AF651" s="267">
        <f t="shared" si="51"/>
        <v>0</v>
      </c>
      <c r="AG651" s="266">
        <f>IF($Z651="",0,Shares!L651)</f>
        <v>0</v>
      </c>
      <c r="AH651" s="267">
        <f>IF($Z651="",0,Shares!M651)</f>
        <v>0</v>
      </c>
      <c r="AI651" s="243" t="str">
        <f>IF($Z651="","",RANK(AE651,$AE$2:$AE$1001)+COUNTIF($AE$2:AE651,AE651)-1)</f>
        <v/>
      </c>
      <c r="AJ651" s="243" t="str">
        <f>IF($AD651&lt;0,COUNT($AJ$1:AJ650)+1,"")</f>
        <v/>
      </c>
      <c r="AL651" s="243" t="str">
        <f>'All Ticker P&amp;L'!A651</f>
        <v/>
      </c>
      <c r="AM651" s="243" t="str">
        <f>'All Ticker P&amp;L'!B651</f>
        <v/>
      </c>
      <c r="AN651" s="243" t="str">
        <f>'All Ticker P&amp;L'!C651</f>
        <v/>
      </c>
      <c r="AO651" s="243" t="str">
        <f>'All Ticker P&amp;L'!D651</f>
        <v/>
      </c>
      <c r="AP651" s="243">
        <f>IF($AL651="",0,'All Ticker P&amp;L'!E651)</f>
        <v>0</v>
      </c>
      <c r="AQ651" s="266">
        <f>IF($AL651="",0,'All Ticker P&amp;L'!J651*'All Ticker P&amp;L'!I651)</f>
        <v>0</v>
      </c>
      <c r="AR651" s="266">
        <f>IF($AL651="",0,'All Ticker P&amp;L'!L651)</f>
        <v>0</v>
      </c>
      <c r="AS651" s="267">
        <f>IF($AL651="",0,'All Ticker P&amp;L'!M651)</f>
        <v>0</v>
      </c>
      <c r="AT651" s="243" t="str">
        <f>IF($AL651="","",RANK(AR651,$AR$2:$AR$1001)+COUNTIF($AR$2:AR651,AR651)-1)</f>
        <v/>
      </c>
      <c r="AU651" s="243" t="str">
        <f>IF($AL651="","",RANK(AV651,$AV$2:$AV$1001)+COUNTIF($AV$2:AV651,AV651)-1)</f>
        <v/>
      </c>
      <c r="AV651" s="266">
        <f t="shared" si="52"/>
        <v>0</v>
      </c>
    </row>
    <row r="652" spans="26:48" ht="15" customHeight="1" x14ac:dyDescent="0.2">
      <c r="Z652" s="243" t="str">
        <f>Shares!A652</f>
        <v/>
      </c>
      <c r="AA652" s="243" t="str">
        <f>Shares!B652</f>
        <v/>
      </c>
      <c r="AB652" s="243" t="str">
        <f>Shares!C652</f>
        <v/>
      </c>
      <c r="AC652" s="243" t="str">
        <f>Shares!D652</f>
        <v/>
      </c>
      <c r="AD652" s="243">
        <f>IF($Z652="",0,Shares!E652)</f>
        <v>0</v>
      </c>
      <c r="AE652" s="266">
        <f>IF($Z652="",0,Shares!J652*Shares!I652)</f>
        <v>0</v>
      </c>
      <c r="AF652" s="267">
        <f t="shared" si="51"/>
        <v>0</v>
      </c>
      <c r="AG652" s="266">
        <f>IF($Z652="",0,Shares!L652)</f>
        <v>0</v>
      </c>
      <c r="AH652" s="267">
        <f>IF($Z652="",0,Shares!M652)</f>
        <v>0</v>
      </c>
      <c r="AI652" s="243" t="str">
        <f>IF($Z652="","",RANK(AE652,$AE$2:$AE$1001)+COUNTIF($AE$2:AE652,AE652)-1)</f>
        <v/>
      </c>
      <c r="AJ652" s="243" t="str">
        <f>IF($AD652&lt;0,COUNT($AJ$1:AJ651)+1,"")</f>
        <v/>
      </c>
      <c r="AL652" s="243" t="str">
        <f>'All Ticker P&amp;L'!A652</f>
        <v/>
      </c>
      <c r="AM652" s="243" t="str">
        <f>'All Ticker P&amp;L'!B652</f>
        <v/>
      </c>
      <c r="AN652" s="243" t="str">
        <f>'All Ticker P&amp;L'!C652</f>
        <v/>
      </c>
      <c r="AO652" s="243" t="str">
        <f>'All Ticker P&amp;L'!D652</f>
        <v/>
      </c>
      <c r="AP652" s="243">
        <f>IF($AL652="",0,'All Ticker P&amp;L'!E652)</f>
        <v>0</v>
      </c>
      <c r="AQ652" s="266">
        <f>IF($AL652="",0,'All Ticker P&amp;L'!J652*'All Ticker P&amp;L'!I652)</f>
        <v>0</v>
      </c>
      <c r="AR652" s="266">
        <f>IF($AL652="",0,'All Ticker P&amp;L'!L652)</f>
        <v>0</v>
      </c>
      <c r="AS652" s="267">
        <f>IF($AL652="",0,'All Ticker P&amp;L'!M652)</f>
        <v>0</v>
      </c>
      <c r="AT652" s="243" t="str">
        <f>IF($AL652="","",RANK(AR652,$AR$2:$AR$1001)+COUNTIF($AR$2:AR652,AR652)-1)</f>
        <v/>
      </c>
      <c r="AU652" s="243" t="str">
        <f>IF($AL652="","",RANK(AV652,$AV$2:$AV$1001)+COUNTIF($AV$2:AV652,AV652)-1)</f>
        <v/>
      </c>
      <c r="AV652" s="266">
        <f t="shared" si="52"/>
        <v>0</v>
      </c>
    </row>
    <row r="653" spans="26:48" ht="15" customHeight="1" x14ac:dyDescent="0.2">
      <c r="Z653" s="243" t="str">
        <f>Shares!A653</f>
        <v/>
      </c>
      <c r="AA653" s="243" t="str">
        <f>Shares!B653</f>
        <v/>
      </c>
      <c r="AB653" s="243" t="str">
        <f>Shares!C653</f>
        <v/>
      </c>
      <c r="AC653" s="243" t="str">
        <f>Shares!D653</f>
        <v/>
      </c>
      <c r="AD653" s="243">
        <f>IF($Z653="",0,Shares!E653)</f>
        <v>0</v>
      </c>
      <c r="AE653" s="266">
        <f>IF($Z653="",0,Shares!J653*Shares!I653)</f>
        <v>0</v>
      </c>
      <c r="AF653" s="267">
        <f t="shared" si="51"/>
        <v>0</v>
      </c>
      <c r="AG653" s="266">
        <f>IF($Z653="",0,Shares!L653)</f>
        <v>0</v>
      </c>
      <c r="AH653" s="267">
        <f>IF($Z653="",0,Shares!M653)</f>
        <v>0</v>
      </c>
      <c r="AI653" s="243" t="str">
        <f>IF($Z653="","",RANK(AE653,$AE$2:$AE$1001)+COUNTIF($AE$2:AE653,AE653)-1)</f>
        <v/>
      </c>
      <c r="AJ653" s="243" t="str">
        <f>IF($AD653&lt;0,COUNT($AJ$1:AJ652)+1,"")</f>
        <v/>
      </c>
      <c r="AL653" s="243" t="str">
        <f>'All Ticker P&amp;L'!A653</f>
        <v/>
      </c>
      <c r="AM653" s="243" t="str">
        <f>'All Ticker P&amp;L'!B653</f>
        <v/>
      </c>
      <c r="AN653" s="243" t="str">
        <f>'All Ticker P&amp;L'!C653</f>
        <v/>
      </c>
      <c r="AO653" s="243" t="str">
        <f>'All Ticker P&amp;L'!D653</f>
        <v/>
      </c>
      <c r="AP653" s="243">
        <f>IF($AL653="",0,'All Ticker P&amp;L'!E653)</f>
        <v>0</v>
      </c>
      <c r="AQ653" s="266">
        <f>IF($AL653="",0,'All Ticker P&amp;L'!J653*'All Ticker P&amp;L'!I653)</f>
        <v>0</v>
      </c>
      <c r="AR653" s="266">
        <f>IF($AL653="",0,'All Ticker P&amp;L'!L653)</f>
        <v>0</v>
      </c>
      <c r="AS653" s="267">
        <f>IF($AL653="",0,'All Ticker P&amp;L'!M653)</f>
        <v>0</v>
      </c>
      <c r="AT653" s="243" t="str">
        <f>IF($AL653="","",RANK(AR653,$AR$2:$AR$1001)+COUNTIF($AR$2:AR653,AR653)-1)</f>
        <v/>
      </c>
      <c r="AU653" s="243" t="str">
        <f>IF($AL653="","",RANK(AV653,$AV$2:$AV$1001)+COUNTIF($AV$2:AV653,AV653)-1)</f>
        <v/>
      </c>
      <c r="AV653" s="266">
        <f t="shared" si="52"/>
        <v>0</v>
      </c>
    </row>
    <row r="654" spans="26:48" ht="15" customHeight="1" x14ac:dyDescent="0.2">
      <c r="Z654" s="243" t="str">
        <f>Shares!A654</f>
        <v/>
      </c>
      <c r="AA654" s="243" t="str">
        <f>Shares!B654</f>
        <v/>
      </c>
      <c r="AB654" s="243" t="str">
        <f>Shares!C654</f>
        <v/>
      </c>
      <c r="AC654" s="243" t="str">
        <f>Shares!D654</f>
        <v/>
      </c>
      <c r="AD654" s="243">
        <f>IF($Z654="",0,Shares!E654)</f>
        <v>0</v>
      </c>
      <c r="AE654" s="266">
        <f>IF($Z654="",0,Shares!J654*Shares!I654)</f>
        <v>0</v>
      </c>
      <c r="AF654" s="267">
        <f t="shared" si="51"/>
        <v>0</v>
      </c>
      <c r="AG654" s="266">
        <f>IF($Z654="",0,Shares!L654)</f>
        <v>0</v>
      </c>
      <c r="AH654" s="267">
        <f>IF($Z654="",0,Shares!M654)</f>
        <v>0</v>
      </c>
      <c r="AI654" s="243" t="str">
        <f>IF($Z654="","",RANK(AE654,$AE$2:$AE$1001)+COUNTIF($AE$2:AE654,AE654)-1)</f>
        <v/>
      </c>
      <c r="AJ654" s="243" t="str">
        <f>IF($AD654&lt;0,COUNT($AJ$1:AJ653)+1,"")</f>
        <v/>
      </c>
      <c r="AL654" s="243" t="str">
        <f>'All Ticker P&amp;L'!A654</f>
        <v/>
      </c>
      <c r="AM654" s="243" t="str">
        <f>'All Ticker P&amp;L'!B654</f>
        <v/>
      </c>
      <c r="AN654" s="243" t="str">
        <f>'All Ticker P&amp;L'!C654</f>
        <v/>
      </c>
      <c r="AO654" s="243" t="str">
        <f>'All Ticker P&amp;L'!D654</f>
        <v/>
      </c>
      <c r="AP654" s="243">
        <f>IF($AL654="",0,'All Ticker P&amp;L'!E654)</f>
        <v>0</v>
      </c>
      <c r="AQ654" s="266">
        <f>IF($AL654="",0,'All Ticker P&amp;L'!J654*'All Ticker P&amp;L'!I654)</f>
        <v>0</v>
      </c>
      <c r="AR654" s="266">
        <f>IF($AL654="",0,'All Ticker P&amp;L'!L654)</f>
        <v>0</v>
      </c>
      <c r="AS654" s="267">
        <f>IF($AL654="",0,'All Ticker P&amp;L'!M654)</f>
        <v>0</v>
      </c>
      <c r="AT654" s="243" t="str">
        <f>IF($AL654="","",RANK(AR654,$AR$2:$AR$1001)+COUNTIF($AR$2:AR654,AR654)-1)</f>
        <v/>
      </c>
      <c r="AU654" s="243" t="str">
        <f>IF($AL654="","",RANK(AV654,$AV$2:$AV$1001)+COUNTIF($AV$2:AV654,AV654)-1)</f>
        <v/>
      </c>
      <c r="AV654" s="266">
        <f t="shared" si="52"/>
        <v>0</v>
      </c>
    </row>
    <row r="655" spans="26:48" ht="15" customHeight="1" x14ac:dyDescent="0.2">
      <c r="Z655" s="243" t="str">
        <f>Shares!A655</f>
        <v/>
      </c>
      <c r="AA655" s="243" t="str">
        <f>Shares!B655</f>
        <v/>
      </c>
      <c r="AB655" s="243" t="str">
        <f>Shares!C655</f>
        <v/>
      </c>
      <c r="AC655" s="243" t="str">
        <f>Shares!D655</f>
        <v/>
      </c>
      <c r="AD655" s="243">
        <f>IF($Z655="",0,Shares!E655)</f>
        <v>0</v>
      </c>
      <c r="AE655" s="266">
        <f>IF($Z655="",0,Shares!J655*Shares!I655)</f>
        <v>0</v>
      </c>
      <c r="AF655" s="267">
        <f t="shared" si="51"/>
        <v>0</v>
      </c>
      <c r="AG655" s="266">
        <f>IF($Z655="",0,Shares!L655)</f>
        <v>0</v>
      </c>
      <c r="AH655" s="267">
        <f>IF($Z655="",0,Shares!M655)</f>
        <v>0</v>
      </c>
      <c r="AI655" s="243" t="str">
        <f>IF($Z655="","",RANK(AE655,$AE$2:$AE$1001)+COUNTIF($AE$2:AE655,AE655)-1)</f>
        <v/>
      </c>
      <c r="AJ655" s="243" t="str">
        <f>IF($AD655&lt;0,COUNT($AJ$1:AJ654)+1,"")</f>
        <v/>
      </c>
      <c r="AL655" s="243" t="str">
        <f>'All Ticker P&amp;L'!A655</f>
        <v/>
      </c>
      <c r="AM655" s="243" t="str">
        <f>'All Ticker P&amp;L'!B655</f>
        <v/>
      </c>
      <c r="AN655" s="243" t="str">
        <f>'All Ticker P&amp;L'!C655</f>
        <v/>
      </c>
      <c r="AO655" s="243" t="str">
        <f>'All Ticker P&amp;L'!D655</f>
        <v/>
      </c>
      <c r="AP655" s="243">
        <f>IF($AL655="",0,'All Ticker P&amp;L'!E655)</f>
        <v>0</v>
      </c>
      <c r="AQ655" s="266">
        <f>IF($AL655="",0,'All Ticker P&amp;L'!J655*'All Ticker P&amp;L'!I655)</f>
        <v>0</v>
      </c>
      <c r="AR655" s="266">
        <f>IF($AL655="",0,'All Ticker P&amp;L'!L655)</f>
        <v>0</v>
      </c>
      <c r="AS655" s="267">
        <f>IF($AL655="",0,'All Ticker P&amp;L'!M655)</f>
        <v>0</v>
      </c>
      <c r="AT655" s="243" t="str">
        <f>IF($AL655="","",RANK(AR655,$AR$2:$AR$1001)+COUNTIF($AR$2:AR655,AR655)-1)</f>
        <v/>
      </c>
      <c r="AU655" s="243" t="str">
        <f>IF($AL655="","",RANK(AV655,$AV$2:$AV$1001)+COUNTIF($AV$2:AV655,AV655)-1)</f>
        <v/>
      </c>
      <c r="AV655" s="266">
        <f t="shared" si="52"/>
        <v>0</v>
      </c>
    </row>
    <row r="656" spans="26:48" ht="15" customHeight="1" x14ac:dyDescent="0.2">
      <c r="Z656" s="243" t="str">
        <f>Shares!A656</f>
        <v/>
      </c>
      <c r="AA656" s="243" t="str">
        <f>Shares!B656</f>
        <v/>
      </c>
      <c r="AB656" s="243" t="str">
        <f>Shares!C656</f>
        <v/>
      </c>
      <c r="AC656" s="243" t="str">
        <f>Shares!D656</f>
        <v/>
      </c>
      <c r="AD656" s="243">
        <f>IF($Z656="",0,Shares!E656)</f>
        <v>0</v>
      </c>
      <c r="AE656" s="266">
        <f>IF($Z656="",0,Shares!J656*Shares!I656)</f>
        <v>0</v>
      </c>
      <c r="AF656" s="267">
        <f t="shared" si="51"/>
        <v>0</v>
      </c>
      <c r="AG656" s="266">
        <f>IF($Z656="",0,Shares!L656)</f>
        <v>0</v>
      </c>
      <c r="AH656" s="267">
        <f>IF($Z656="",0,Shares!M656)</f>
        <v>0</v>
      </c>
      <c r="AI656" s="243" t="str">
        <f>IF($Z656="","",RANK(AE656,$AE$2:$AE$1001)+COUNTIF($AE$2:AE656,AE656)-1)</f>
        <v/>
      </c>
      <c r="AJ656" s="243" t="str">
        <f>IF($AD656&lt;0,COUNT($AJ$1:AJ655)+1,"")</f>
        <v/>
      </c>
      <c r="AL656" s="243" t="str">
        <f>'All Ticker P&amp;L'!A656</f>
        <v/>
      </c>
      <c r="AM656" s="243" t="str">
        <f>'All Ticker P&amp;L'!B656</f>
        <v/>
      </c>
      <c r="AN656" s="243" t="str">
        <f>'All Ticker P&amp;L'!C656</f>
        <v/>
      </c>
      <c r="AO656" s="243" t="str">
        <f>'All Ticker P&amp;L'!D656</f>
        <v/>
      </c>
      <c r="AP656" s="243">
        <f>IF($AL656="",0,'All Ticker P&amp;L'!E656)</f>
        <v>0</v>
      </c>
      <c r="AQ656" s="266">
        <f>IF($AL656="",0,'All Ticker P&amp;L'!J656*'All Ticker P&amp;L'!I656)</f>
        <v>0</v>
      </c>
      <c r="AR656" s="266">
        <f>IF($AL656="",0,'All Ticker P&amp;L'!L656)</f>
        <v>0</v>
      </c>
      <c r="AS656" s="267">
        <f>IF($AL656="",0,'All Ticker P&amp;L'!M656)</f>
        <v>0</v>
      </c>
      <c r="AT656" s="243" t="str">
        <f>IF($AL656="","",RANK(AR656,$AR$2:$AR$1001)+COUNTIF($AR$2:AR656,AR656)-1)</f>
        <v/>
      </c>
      <c r="AU656" s="243" t="str">
        <f>IF($AL656="","",RANK(AV656,$AV$2:$AV$1001)+COUNTIF($AV$2:AV656,AV656)-1)</f>
        <v/>
      </c>
      <c r="AV656" s="266">
        <f t="shared" si="52"/>
        <v>0</v>
      </c>
    </row>
    <row r="657" spans="26:48" ht="15" customHeight="1" x14ac:dyDescent="0.2">
      <c r="Z657" s="243" t="str">
        <f>Shares!A657</f>
        <v/>
      </c>
      <c r="AA657" s="243" t="str">
        <f>Shares!B657</f>
        <v/>
      </c>
      <c r="AB657" s="243" t="str">
        <f>Shares!C657</f>
        <v/>
      </c>
      <c r="AC657" s="243" t="str">
        <f>Shares!D657</f>
        <v/>
      </c>
      <c r="AD657" s="243">
        <f>IF($Z657="",0,Shares!E657)</f>
        <v>0</v>
      </c>
      <c r="AE657" s="266">
        <f>IF($Z657="",0,Shares!J657*Shares!I657)</f>
        <v>0</v>
      </c>
      <c r="AF657" s="267">
        <f t="shared" si="51"/>
        <v>0</v>
      </c>
      <c r="AG657" s="266">
        <f>IF($Z657="",0,Shares!L657)</f>
        <v>0</v>
      </c>
      <c r="AH657" s="267">
        <f>IF($Z657="",0,Shares!M657)</f>
        <v>0</v>
      </c>
      <c r="AI657" s="243" t="str">
        <f>IF($Z657="","",RANK(AE657,$AE$2:$AE$1001)+COUNTIF($AE$2:AE657,AE657)-1)</f>
        <v/>
      </c>
      <c r="AJ657" s="243" t="str">
        <f>IF($AD657&lt;0,COUNT($AJ$1:AJ656)+1,"")</f>
        <v/>
      </c>
      <c r="AL657" s="243" t="str">
        <f>'All Ticker P&amp;L'!A657</f>
        <v/>
      </c>
      <c r="AM657" s="243" t="str">
        <f>'All Ticker P&amp;L'!B657</f>
        <v/>
      </c>
      <c r="AN657" s="243" t="str">
        <f>'All Ticker P&amp;L'!C657</f>
        <v/>
      </c>
      <c r="AO657" s="243" t="str">
        <f>'All Ticker P&amp;L'!D657</f>
        <v/>
      </c>
      <c r="AP657" s="243">
        <f>IF($AL657="",0,'All Ticker P&amp;L'!E657)</f>
        <v>0</v>
      </c>
      <c r="AQ657" s="266">
        <f>IF($AL657="",0,'All Ticker P&amp;L'!J657*'All Ticker P&amp;L'!I657)</f>
        <v>0</v>
      </c>
      <c r="AR657" s="266">
        <f>IF($AL657="",0,'All Ticker P&amp;L'!L657)</f>
        <v>0</v>
      </c>
      <c r="AS657" s="267">
        <f>IF($AL657="",0,'All Ticker P&amp;L'!M657)</f>
        <v>0</v>
      </c>
      <c r="AT657" s="243" t="str">
        <f>IF($AL657="","",RANK(AR657,$AR$2:$AR$1001)+COUNTIF($AR$2:AR657,AR657)-1)</f>
        <v/>
      </c>
      <c r="AU657" s="243" t="str">
        <f>IF($AL657="","",RANK(AV657,$AV$2:$AV$1001)+COUNTIF($AV$2:AV657,AV657)-1)</f>
        <v/>
      </c>
      <c r="AV657" s="266">
        <f t="shared" si="52"/>
        <v>0</v>
      </c>
    </row>
    <row r="658" spans="26:48" ht="15" customHeight="1" x14ac:dyDescent="0.2">
      <c r="Z658" s="243" t="str">
        <f>Shares!A658</f>
        <v/>
      </c>
      <c r="AA658" s="243" t="str">
        <f>Shares!B658</f>
        <v/>
      </c>
      <c r="AB658" s="243" t="str">
        <f>Shares!C658</f>
        <v/>
      </c>
      <c r="AC658" s="243" t="str">
        <f>Shares!D658</f>
        <v/>
      </c>
      <c r="AD658" s="243">
        <f>IF($Z658="",0,Shares!E658)</f>
        <v>0</v>
      </c>
      <c r="AE658" s="266">
        <f>IF($Z658="",0,Shares!J658*Shares!I658)</f>
        <v>0</v>
      </c>
      <c r="AF658" s="267">
        <f t="shared" si="51"/>
        <v>0</v>
      </c>
      <c r="AG658" s="266">
        <f>IF($Z658="",0,Shares!L658)</f>
        <v>0</v>
      </c>
      <c r="AH658" s="267">
        <f>IF($Z658="",0,Shares!M658)</f>
        <v>0</v>
      </c>
      <c r="AI658" s="243" t="str">
        <f>IF($Z658="","",RANK(AE658,$AE$2:$AE$1001)+COUNTIF($AE$2:AE658,AE658)-1)</f>
        <v/>
      </c>
      <c r="AJ658" s="243" t="str">
        <f>IF($AD658&lt;0,COUNT($AJ$1:AJ657)+1,"")</f>
        <v/>
      </c>
      <c r="AL658" s="243" t="str">
        <f>'All Ticker P&amp;L'!A658</f>
        <v/>
      </c>
      <c r="AM658" s="243" t="str">
        <f>'All Ticker P&amp;L'!B658</f>
        <v/>
      </c>
      <c r="AN658" s="243" t="str">
        <f>'All Ticker P&amp;L'!C658</f>
        <v/>
      </c>
      <c r="AO658" s="243" t="str">
        <f>'All Ticker P&amp;L'!D658</f>
        <v/>
      </c>
      <c r="AP658" s="243">
        <f>IF($AL658="",0,'All Ticker P&amp;L'!E658)</f>
        <v>0</v>
      </c>
      <c r="AQ658" s="266">
        <f>IF($AL658="",0,'All Ticker P&amp;L'!J658*'All Ticker P&amp;L'!I658)</f>
        <v>0</v>
      </c>
      <c r="AR658" s="266">
        <f>IF($AL658="",0,'All Ticker P&amp;L'!L658)</f>
        <v>0</v>
      </c>
      <c r="AS658" s="267">
        <f>IF($AL658="",0,'All Ticker P&amp;L'!M658)</f>
        <v>0</v>
      </c>
      <c r="AT658" s="243" t="str">
        <f>IF($AL658="","",RANK(AR658,$AR$2:$AR$1001)+COUNTIF($AR$2:AR658,AR658)-1)</f>
        <v/>
      </c>
      <c r="AU658" s="243" t="str">
        <f>IF($AL658="","",RANK(AV658,$AV$2:$AV$1001)+COUNTIF($AV$2:AV658,AV658)-1)</f>
        <v/>
      </c>
      <c r="AV658" s="266">
        <f t="shared" si="52"/>
        <v>0</v>
      </c>
    </row>
    <row r="659" spans="26:48" ht="15" customHeight="1" x14ac:dyDescent="0.2">
      <c r="Z659" s="243" t="str">
        <f>Shares!A659</f>
        <v/>
      </c>
      <c r="AA659" s="243" t="str">
        <f>Shares!B659</f>
        <v/>
      </c>
      <c r="AB659" s="243" t="str">
        <f>Shares!C659</f>
        <v/>
      </c>
      <c r="AC659" s="243" t="str">
        <f>Shares!D659</f>
        <v/>
      </c>
      <c r="AD659" s="243">
        <f>IF($Z659="",0,Shares!E659)</f>
        <v>0</v>
      </c>
      <c r="AE659" s="266">
        <f>IF($Z659="",0,Shares!J659*Shares!I659)</f>
        <v>0</v>
      </c>
      <c r="AF659" s="267">
        <f t="shared" si="51"/>
        <v>0</v>
      </c>
      <c r="AG659" s="266">
        <f>IF($Z659="",0,Shares!L659)</f>
        <v>0</v>
      </c>
      <c r="AH659" s="267">
        <f>IF($Z659="",0,Shares!M659)</f>
        <v>0</v>
      </c>
      <c r="AI659" s="243" t="str">
        <f>IF($Z659="","",RANK(AE659,$AE$2:$AE$1001)+COUNTIF($AE$2:AE659,AE659)-1)</f>
        <v/>
      </c>
      <c r="AJ659" s="243" t="str">
        <f>IF($AD659&lt;0,COUNT($AJ$1:AJ658)+1,"")</f>
        <v/>
      </c>
      <c r="AL659" s="243" t="str">
        <f>'All Ticker P&amp;L'!A659</f>
        <v/>
      </c>
      <c r="AM659" s="243" t="str">
        <f>'All Ticker P&amp;L'!B659</f>
        <v/>
      </c>
      <c r="AN659" s="243" t="str">
        <f>'All Ticker P&amp;L'!C659</f>
        <v/>
      </c>
      <c r="AO659" s="243" t="str">
        <f>'All Ticker P&amp;L'!D659</f>
        <v/>
      </c>
      <c r="AP659" s="243">
        <f>IF($AL659="",0,'All Ticker P&amp;L'!E659)</f>
        <v>0</v>
      </c>
      <c r="AQ659" s="266">
        <f>IF($AL659="",0,'All Ticker P&amp;L'!J659*'All Ticker P&amp;L'!I659)</f>
        <v>0</v>
      </c>
      <c r="AR659" s="266">
        <f>IF($AL659="",0,'All Ticker P&amp;L'!L659)</f>
        <v>0</v>
      </c>
      <c r="AS659" s="267">
        <f>IF($AL659="",0,'All Ticker P&amp;L'!M659)</f>
        <v>0</v>
      </c>
      <c r="AT659" s="243" t="str">
        <f>IF($AL659="","",RANK(AR659,$AR$2:$AR$1001)+COUNTIF($AR$2:AR659,AR659)-1)</f>
        <v/>
      </c>
      <c r="AU659" s="243" t="str">
        <f>IF($AL659="","",RANK(AV659,$AV$2:$AV$1001)+COUNTIF($AV$2:AV659,AV659)-1)</f>
        <v/>
      </c>
      <c r="AV659" s="266">
        <f t="shared" si="52"/>
        <v>0</v>
      </c>
    </row>
    <row r="660" spans="26:48" ht="15" customHeight="1" x14ac:dyDescent="0.2">
      <c r="Z660" s="243" t="str">
        <f>Shares!A660</f>
        <v/>
      </c>
      <c r="AA660" s="243" t="str">
        <f>Shares!B660</f>
        <v/>
      </c>
      <c r="AB660" s="243" t="str">
        <f>Shares!C660</f>
        <v/>
      </c>
      <c r="AC660" s="243" t="str">
        <f>Shares!D660</f>
        <v/>
      </c>
      <c r="AD660" s="243">
        <f>IF($Z660="",0,Shares!E660)</f>
        <v>0</v>
      </c>
      <c r="AE660" s="266">
        <f>IF($Z660="",0,Shares!J660*Shares!I660)</f>
        <v>0</v>
      </c>
      <c r="AF660" s="267">
        <f t="shared" si="51"/>
        <v>0</v>
      </c>
      <c r="AG660" s="266">
        <f>IF($Z660="",0,Shares!L660)</f>
        <v>0</v>
      </c>
      <c r="AH660" s="267">
        <f>IF($Z660="",0,Shares!M660)</f>
        <v>0</v>
      </c>
      <c r="AI660" s="243" t="str">
        <f>IF($Z660="","",RANK(AE660,$AE$2:$AE$1001)+COUNTIF($AE$2:AE660,AE660)-1)</f>
        <v/>
      </c>
      <c r="AJ660" s="243" t="str">
        <f>IF($AD660&lt;0,COUNT($AJ$1:AJ659)+1,"")</f>
        <v/>
      </c>
      <c r="AL660" s="243" t="str">
        <f>'All Ticker P&amp;L'!A660</f>
        <v/>
      </c>
      <c r="AM660" s="243" t="str">
        <f>'All Ticker P&amp;L'!B660</f>
        <v/>
      </c>
      <c r="AN660" s="243" t="str">
        <f>'All Ticker P&amp;L'!C660</f>
        <v/>
      </c>
      <c r="AO660" s="243" t="str">
        <f>'All Ticker P&amp;L'!D660</f>
        <v/>
      </c>
      <c r="AP660" s="243">
        <f>IF($AL660="",0,'All Ticker P&amp;L'!E660)</f>
        <v>0</v>
      </c>
      <c r="AQ660" s="266">
        <f>IF($AL660="",0,'All Ticker P&amp;L'!J660*'All Ticker P&amp;L'!I660)</f>
        <v>0</v>
      </c>
      <c r="AR660" s="266">
        <f>IF($AL660="",0,'All Ticker P&amp;L'!L660)</f>
        <v>0</v>
      </c>
      <c r="AS660" s="267">
        <f>IF($AL660="",0,'All Ticker P&amp;L'!M660)</f>
        <v>0</v>
      </c>
      <c r="AT660" s="243" t="str">
        <f>IF($AL660="","",RANK(AR660,$AR$2:$AR$1001)+COUNTIF($AR$2:AR660,AR660)-1)</f>
        <v/>
      </c>
      <c r="AU660" s="243" t="str">
        <f>IF($AL660="","",RANK(AV660,$AV$2:$AV$1001)+COUNTIF($AV$2:AV660,AV660)-1)</f>
        <v/>
      </c>
      <c r="AV660" s="266">
        <f t="shared" si="52"/>
        <v>0</v>
      </c>
    </row>
    <row r="661" spans="26:48" ht="15" customHeight="1" x14ac:dyDescent="0.2">
      <c r="Z661" s="243" t="str">
        <f>Shares!A661</f>
        <v/>
      </c>
      <c r="AA661" s="243" t="str">
        <f>Shares!B661</f>
        <v/>
      </c>
      <c r="AB661" s="243" t="str">
        <f>Shares!C661</f>
        <v/>
      </c>
      <c r="AC661" s="243" t="str">
        <f>Shares!D661</f>
        <v/>
      </c>
      <c r="AD661" s="243">
        <f>IF($Z661="",0,Shares!E661)</f>
        <v>0</v>
      </c>
      <c r="AE661" s="266">
        <f>IF($Z661="",0,Shares!J661*Shares!I661)</f>
        <v>0</v>
      </c>
      <c r="AF661" s="267">
        <f t="shared" si="51"/>
        <v>0</v>
      </c>
      <c r="AG661" s="266">
        <f>IF($Z661="",0,Shares!L661)</f>
        <v>0</v>
      </c>
      <c r="AH661" s="267">
        <f>IF($Z661="",0,Shares!M661)</f>
        <v>0</v>
      </c>
      <c r="AI661" s="243" t="str">
        <f>IF($Z661="","",RANK(AE661,$AE$2:$AE$1001)+COUNTIF($AE$2:AE661,AE661)-1)</f>
        <v/>
      </c>
      <c r="AJ661" s="243" t="str">
        <f>IF($AD661&lt;0,COUNT($AJ$1:AJ660)+1,"")</f>
        <v/>
      </c>
      <c r="AL661" s="243" t="str">
        <f>'All Ticker P&amp;L'!A661</f>
        <v/>
      </c>
      <c r="AM661" s="243" t="str">
        <f>'All Ticker P&amp;L'!B661</f>
        <v/>
      </c>
      <c r="AN661" s="243" t="str">
        <f>'All Ticker P&amp;L'!C661</f>
        <v/>
      </c>
      <c r="AO661" s="243" t="str">
        <f>'All Ticker P&amp;L'!D661</f>
        <v/>
      </c>
      <c r="AP661" s="243">
        <f>IF($AL661="",0,'All Ticker P&amp;L'!E661)</f>
        <v>0</v>
      </c>
      <c r="AQ661" s="266">
        <f>IF($AL661="",0,'All Ticker P&amp;L'!J661*'All Ticker P&amp;L'!I661)</f>
        <v>0</v>
      </c>
      <c r="AR661" s="266">
        <f>IF($AL661="",0,'All Ticker P&amp;L'!L661)</f>
        <v>0</v>
      </c>
      <c r="AS661" s="267">
        <f>IF($AL661="",0,'All Ticker P&amp;L'!M661)</f>
        <v>0</v>
      </c>
      <c r="AT661" s="243" t="str">
        <f>IF($AL661="","",RANK(AR661,$AR$2:$AR$1001)+COUNTIF($AR$2:AR661,AR661)-1)</f>
        <v/>
      </c>
      <c r="AU661" s="243" t="str">
        <f>IF($AL661="","",RANK(AV661,$AV$2:$AV$1001)+COUNTIF($AV$2:AV661,AV661)-1)</f>
        <v/>
      </c>
      <c r="AV661" s="266">
        <f t="shared" si="52"/>
        <v>0</v>
      </c>
    </row>
    <row r="662" spans="26:48" ht="15" customHeight="1" x14ac:dyDescent="0.2">
      <c r="Z662" s="243" t="str">
        <f>Shares!A662</f>
        <v/>
      </c>
      <c r="AA662" s="243" t="str">
        <f>Shares!B662</f>
        <v/>
      </c>
      <c r="AB662" s="243" t="str">
        <f>Shares!C662</f>
        <v/>
      </c>
      <c r="AC662" s="243" t="str">
        <f>Shares!D662</f>
        <v/>
      </c>
      <c r="AD662" s="243">
        <f>IF($Z662="",0,Shares!E662)</f>
        <v>0</v>
      </c>
      <c r="AE662" s="266">
        <f>IF($Z662="",0,Shares!J662*Shares!I662)</f>
        <v>0</v>
      </c>
      <c r="AF662" s="267">
        <f t="shared" si="51"/>
        <v>0</v>
      </c>
      <c r="AG662" s="266">
        <f>IF($Z662="",0,Shares!L662)</f>
        <v>0</v>
      </c>
      <c r="AH662" s="267">
        <f>IF($Z662="",0,Shares!M662)</f>
        <v>0</v>
      </c>
      <c r="AI662" s="243" t="str">
        <f>IF($Z662="","",RANK(AE662,$AE$2:$AE$1001)+COUNTIF($AE$2:AE662,AE662)-1)</f>
        <v/>
      </c>
      <c r="AJ662" s="243" t="str">
        <f>IF($AD662&lt;0,COUNT($AJ$1:AJ661)+1,"")</f>
        <v/>
      </c>
      <c r="AL662" s="243" t="str">
        <f>'All Ticker P&amp;L'!A662</f>
        <v/>
      </c>
      <c r="AM662" s="243" t="str">
        <f>'All Ticker P&amp;L'!B662</f>
        <v/>
      </c>
      <c r="AN662" s="243" t="str">
        <f>'All Ticker P&amp;L'!C662</f>
        <v/>
      </c>
      <c r="AO662" s="243" t="str">
        <f>'All Ticker P&amp;L'!D662</f>
        <v/>
      </c>
      <c r="AP662" s="243">
        <f>IF($AL662="",0,'All Ticker P&amp;L'!E662)</f>
        <v>0</v>
      </c>
      <c r="AQ662" s="266">
        <f>IF($AL662="",0,'All Ticker P&amp;L'!J662*'All Ticker P&amp;L'!I662)</f>
        <v>0</v>
      </c>
      <c r="AR662" s="266">
        <f>IF($AL662="",0,'All Ticker P&amp;L'!L662)</f>
        <v>0</v>
      </c>
      <c r="AS662" s="267">
        <f>IF($AL662="",0,'All Ticker P&amp;L'!M662)</f>
        <v>0</v>
      </c>
      <c r="AT662" s="243" t="str">
        <f>IF($AL662="","",RANK(AR662,$AR$2:$AR$1001)+COUNTIF($AR$2:AR662,AR662)-1)</f>
        <v/>
      </c>
      <c r="AU662" s="243" t="str">
        <f>IF($AL662="","",RANK(AV662,$AV$2:$AV$1001)+COUNTIF($AV$2:AV662,AV662)-1)</f>
        <v/>
      </c>
      <c r="AV662" s="266">
        <f t="shared" si="52"/>
        <v>0</v>
      </c>
    </row>
    <row r="663" spans="26:48" ht="15" customHeight="1" x14ac:dyDescent="0.2">
      <c r="Z663" s="243" t="str">
        <f>Shares!A663</f>
        <v/>
      </c>
      <c r="AA663" s="243" t="str">
        <f>Shares!B663</f>
        <v/>
      </c>
      <c r="AB663" s="243" t="str">
        <f>Shares!C663</f>
        <v/>
      </c>
      <c r="AC663" s="243" t="str">
        <f>Shares!D663</f>
        <v/>
      </c>
      <c r="AD663" s="243">
        <f>IF($Z663="",0,Shares!E663)</f>
        <v>0</v>
      </c>
      <c r="AE663" s="266">
        <f>IF($Z663="",0,Shares!J663*Shares!I663)</f>
        <v>0</v>
      </c>
      <c r="AF663" s="267">
        <f t="shared" si="51"/>
        <v>0</v>
      </c>
      <c r="AG663" s="266">
        <f>IF($Z663="",0,Shares!L663)</f>
        <v>0</v>
      </c>
      <c r="AH663" s="267">
        <f>IF($Z663="",0,Shares!M663)</f>
        <v>0</v>
      </c>
      <c r="AI663" s="243" t="str">
        <f>IF($Z663="","",RANK(AE663,$AE$2:$AE$1001)+COUNTIF($AE$2:AE663,AE663)-1)</f>
        <v/>
      </c>
      <c r="AJ663" s="243" t="str">
        <f>IF($AD663&lt;0,COUNT($AJ$1:AJ662)+1,"")</f>
        <v/>
      </c>
      <c r="AL663" s="243" t="str">
        <f>'All Ticker P&amp;L'!A663</f>
        <v/>
      </c>
      <c r="AM663" s="243" t="str">
        <f>'All Ticker P&amp;L'!B663</f>
        <v/>
      </c>
      <c r="AN663" s="243" t="str">
        <f>'All Ticker P&amp;L'!C663</f>
        <v/>
      </c>
      <c r="AO663" s="243" t="str">
        <f>'All Ticker P&amp;L'!D663</f>
        <v/>
      </c>
      <c r="AP663" s="243">
        <f>IF($AL663="",0,'All Ticker P&amp;L'!E663)</f>
        <v>0</v>
      </c>
      <c r="AQ663" s="266">
        <f>IF($AL663="",0,'All Ticker P&amp;L'!J663*'All Ticker P&amp;L'!I663)</f>
        <v>0</v>
      </c>
      <c r="AR663" s="266">
        <f>IF($AL663="",0,'All Ticker P&amp;L'!L663)</f>
        <v>0</v>
      </c>
      <c r="AS663" s="267">
        <f>IF($AL663="",0,'All Ticker P&amp;L'!M663)</f>
        <v>0</v>
      </c>
      <c r="AT663" s="243" t="str">
        <f>IF($AL663="","",RANK(AR663,$AR$2:$AR$1001)+COUNTIF($AR$2:AR663,AR663)-1)</f>
        <v/>
      </c>
      <c r="AU663" s="243" t="str">
        <f>IF($AL663="","",RANK(AV663,$AV$2:$AV$1001)+COUNTIF($AV$2:AV663,AV663)-1)</f>
        <v/>
      </c>
      <c r="AV663" s="266">
        <f t="shared" si="52"/>
        <v>0</v>
      </c>
    </row>
    <row r="664" spans="26:48" ht="15" customHeight="1" x14ac:dyDescent="0.2">
      <c r="Z664" s="243" t="str">
        <f>Shares!A664</f>
        <v/>
      </c>
      <c r="AA664" s="243" t="str">
        <f>Shares!B664</f>
        <v/>
      </c>
      <c r="AB664" s="243" t="str">
        <f>Shares!C664</f>
        <v/>
      </c>
      <c r="AC664" s="243" t="str">
        <f>Shares!D664</f>
        <v/>
      </c>
      <c r="AD664" s="243">
        <f>IF($Z664="",0,Shares!E664)</f>
        <v>0</v>
      </c>
      <c r="AE664" s="266">
        <f>IF($Z664="",0,Shares!J664*Shares!I664)</f>
        <v>0</v>
      </c>
      <c r="AF664" s="267">
        <f t="shared" si="51"/>
        <v>0</v>
      </c>
      <c r="AG664" s="266">
        <f>IF($Z664="",0,Shares!L664)</f>
        <v>0</v>
      </c>
      <c r="AH664" s="267">
        <f>IF($Z664="",0,Shares!M664)</f>
        <v>0</v>
      </c>
      <c r="AI664" s="243" t="str">
        <f>IF($Z664="","",RANK(AE664,$AE$2:$AE$1001)+COUNTIF($AE$2:AE664,AE664)-1)</f>
        <v/>
      </c>
      <c r="AJ664" s="243" t="str">
        <f>IF($AD664&lt;0,COUNT($AJ$1:AJ663)+1,"")</f>
        <v/>
      </c>
      <c r="AL664" s="243" t="str">
        <f>'All Ticker P&amp;L'!A664</f>
        <v/>
      </c>
      <c r="AM664" s="243" t="str">
        <f>'All Ticker P&amp;L'!B664</f>
        <v/>
      </c>
      <c r="AN664" s="243" t="str">
        <f>'All Ticker P&amp;L'!C664</f>
        <v/>
      </c>
      <c r="AO664" s="243" t="str">
        <f>'All Ticker P&amp;L'!D664</f>
        <v/>
      </c>
      <c r="AP664" s="243">
        <f>IF($AL664="",0,'All Ticker P&amp;L'!E664)</f>
        <v>0</v>
      </c>
      <c r="AQ664" s="266">
        <f>IF($AL664="",0,'All Ticker P&amp;L'!J664*'All Ticker P&amp;L'!I664)</f>
        <v>0</v>
      </c>
      <c r="AR664" s="266">
        <f>IF($AL664="",0,'All Ticker P&amp;L'!L664)</f>
        <v>0</v>
      </c>
      <c r="AS664" s="267">
        <f>IF($AL664="",0,'All Ticker P&amp;L'!M664)</f>
        <v>0</v>
      </c>
      <c r="AT664" s="243" t="str">
        <f>IF($AL664="","",RANK(AR664,$AR$2:$AR$1001)+COUNTIF($AR$2:AR664,AR664)-1)</f>
        <v/>
      </c>
      <c r="AU664" s="243" t="str">
        <f>IF($AL664="","",RANK(AV664,$AV$2:$AV$1001)+COUNTIF($AV$2:AV664,AV664)-1)</f>
        <v/>
      </c>
      <c r="AV664" s="266">
        <f t="shared" si="52"/>
        <v>0</v>
      </c>
    </row>
    <row r="665" spans="26:48" ht="15" customHeight="1" x14ac:dyDescent="0.2">
      <c r="Z665" s="243" t="str">
        <f>Shares!A665</f>
        <v/>
      </c>
      <c r="AA665" s="243" t="str">
        <f>Shares!B665</f>
        <v/>
      </c>
      <c r="AB665" s="243" t="str">
        <f>Shares!C665</f>
        <v/>
      </c>
      <c r="AC665" s="243" t="str">
        <f>Shares!D665</f>
        <v/>
      </c>
      <c r="AD665" s="243">
        <f>IF($Z665="",0,Shares!E665)</f>
        <v>0</v>
      </c>
      <c r="AE665" s="266">
        <f>IF($Z665="",0,Shares!J665*Shares!I665)</f>
        <v>0</v>
      </c>
      <c r="AF665" s="267">
        <f t="shared" si="51"/>
        <v>0</v>
      </c>
      <c r="AG665" s="266">
        <f>IF($Z665="",0,Shares!L665)</f>
        <v>0</v>
      </c>
      <c r="AH665" s="267">
        <f>IF($Z665="",0,Shares!M665)</f>
        <v>0</v>
      </c>
      <c r="AI665" s="243" t="str">
        <f>IF($Z665="","",RANK(AE665,$AE$2:$AE$1001)+COUNTIF($AE$2:AE665,AE665)-1)</f>
        <v/>
      </c>
      <c r="AJ665" s="243" t="str">
        <f>IF($AD665&lt;0,COUNT($AJ$1:AJ664)+1,"")</f>
        <v/>
      </c>
      <c r="AL665" s="243" t="str">
        <f>'All Ticker P&amp;L'!A665</f>
        <v/>
      </c>
      <c r="AM665" s="243" t="str">
        <f>'All Ticker P&amp;L'!B665</f>
        <v/>
      </c>
      <c r="AN665" s="243" t="str">
        <f>'All Ticker P&amp;L'!C665</f>
        <v/>
      </c>
      <c r="AO665" s="243" t="str">
        <f>'All Ticker P&amp;L'!D665</f>
        <v/>
      </c>
      <c r="AP665" s="243">
        <f>IF($AL665="",0,'All Ticker P&amp;L'!E665)</f>
        <v>0</v>
      </c>
      <c r="AQ665" s="266">
        <f>IF($AL665="",0,'All Ticker P&amp;L'!J665*'All Ticker P&amp;L'!I665)</f>
        <v>0</v>
      </c>
      <c r="AR665" s="266">
        <f>IF($AL665="",0,'All Ticker P&amp;L'!L665)</f>
        <v>0</v>
      </c>
      <c r="AS665" s="267">
        <f>IF($AL665="",0,'All Ticker P&amp;L'!M665)</f>
        <v>0</v>
      </c>
      <c r="AT665" s="243" t="str">
        <f>IF($AL665="","",RANK(AR665,$AR$2:$AR$1001)+COUNTIF($AR$2:AR665,AR665)-1)</f>
        <v/>
      </c>
      <c r="AU665" s="243" t="str">
        <f>IF($AL665="","",RANK(AV665,$AV$2:$AV$1001)+COUNTIF($AV$2:AV665,AV665)-1)</f>
        <v/>
      </c>
      <c r="AV665" s="266">
        <f t="shared" si="52"/>
        <v>0</v>
      </c>
    </row>
    <row r="666" spans="26:48" ht="15" customHeight="1" x14ac:dyDescent="0.2">
      <c r="Z666" s="243" t="str">
        <f>Shares!A666</f>
        <v/>
      </c>
      <c r="AA666" s="243" t="str">
        <f>Shares!B666</f>
        <v/>
      </c>
      <c r="AB666" s="243" t="str">
        <f>Shares!C666</f>
        <v/>
      </c>
      <c r="AC666" s="243" t="str">
        <f>Shares!D666</f>
        <v/>
      </c>
      <c r="AD666" s="243">
        <f>IF($Z666="",0,Shares!E666)</f>
        <v>0</v>
      </c>
      <c r="AE666" s="266">
        <f>IF($Z666="",0,Shares!J666*Shares!I666)</f>
        <v>0</v>
      </c>
      <c r="AF666" s="267">
        <f t="shared" si="51"/>
        <v>0</v>
      </c>
      <c r="AG666" s="266">
        <f>IF($Z666="",0,Shares!L666)</f>
        <v>0</v>
      </c>
      <c r="AH666" s="267">
        <f>IF($Z666="",0,Shares!M666)</f>
        <v>0</v>
      </c>
      <c r="AI666" s="243" t="str">
        <f>IF($Z666="","",RANK(AE666,$AE$2:$AE$1001)+COUNTIF($AE$2:AE666,AE666)-1)</f>
        <v/>
      </c>
      <c r="AJ666" s="243" t="str">
        <f>IF($AD666&lt;0,COUNT($AJ$1:AJ665)+1,"")</f>
        <v/>
      </c>
      <c r="AL666" s="243" t="str">
        <f>'All Ticker P&amp;L'!A666</f>
        <v/>
      </c>
      <c r="AM666" s="243" t="str">
        <f>'All Ticker P&amp;L'!B666</f>
        <v/>
      </c>
      <c r="AN666" s="243" t="str">
        <f>'All Ticker P&amp;L'!C666</f>
        <v/>
      </c>
      <c r="AO666" s="243" t="str">
        <f>'All Ticker P&amp;L'!D666</f>
        <v/>
      </c>
      <c r="AP666" s="243">
        <f>IF($AL666="",0,'All Ticker P&amp;L'!E666)</f>
        <v>0</v>
      </c>
      <c r="AQ666" s="266">
        <f>IF($AL666="",0,'All Ticker P&amp;L'!J666*'All Ticker P&amp;L'!I666)</f>
        <v>0</v>
      </c>
      <c r="AR666" s="266">
        <f>IF($AL666="",0,'All Ticker P&amp;L'!L666)</f>
        <v>0</v>
      </c>
      <c r="AS666" s="267">
        <f>IF($AL666="",0,'All Ticker P&amp;L'!M666)</f>
        <v>0</v>
      </c>
      <c r="AT666" s="243" t="str">
        <f>IF($AL666="","",RANK(AR666,$AR$2:$AR$1001)+COUNTIF($AR$2:AR666,AR666)-1)</f>
        <v/>
      </c>
      <c r="AU666" s="243" t="str">
        <f>IF($AL666="","",RANK(AV666,$AV$2:$AV$1001)+COUNTIF($AV$2:AV666,AV666)-1)</f>
        <v/>
      </c>
      <c r="AV666" s="266">
        <f t="shared" si="52"/>
        <v>0</v>
      </c>
    </row>
    <row r="667" spans="26:48" ht="15" customHeight="1" x14ac:dyDescent="0.2">
      <c r="Z667" s="243" t="str">
        <f>Shares!A667</f>
        <v/>
      </c>
      <c r="AA667" s="243" t="str">
        <f>Shares!B667</f>
        <v/>
      </c>
      <c r="AB667" s="243" t="str">
        <f>Shares!C667</f>
        <v/>
      </c>
      <c r="AC667" s="243" t="str">
        <f>Shares!D667</f>
        <v/>
      </c>
      <c r="AD667" s="243">
        <f>IF($Z667="",0,Shares!E667)</f>
        <v>0</v>
      </c>
      <c r="AE667" s="266">
        <f>IF($Z667="",0,Shares!J667*Shares!I667)</f>
        <v>0</v>
      </c>
      <c r="AF667" s="267">
        <f t="shared" si="51"/>
        <v>0</v>
      </c>
      <c r="AG667" s="266">
        <f>IF($Z667="",0,Shares!L667)</f>
        <v>0</v>
      </c>
      <c r="AH667" s="267">
        <f>IF($Z667="",0,Shares!M667)</f>
        <v>0</v>
      </c>
      <c r="AI667" s="243" t="str">
        <f>IF($Z667="","",RANK(AE667,$AE$2:$AE$1001)+COUNTIF($AE$2:AE667,AE667)-1)</f>
        <v/>
      </c>
      <c r="AJ667" s="243" t="str">
        <f>IF($AD667&lt;0,COUNT($AJ$1:AJ666)+1,"")</f>
        <v/>
      </c>
      <c r="AL667" s="243" t="str">
        <f>'All Ticker P&amp;L'!A667</f>
        <v/>
      </c>
      <c r="AM667" s="243" t="str">
        <f>'All Ticker P&amp;L'!B667</f>
        <v/>
      </c>
      <c r="AN667" s="243" t="str">
        <f>'All Ticker P&amp;L'!C667</f>
        <v/>
      </c>
      <c r="AO667" s="243" t="str">
        <f>'All Ticker P&amp;L'!D667</f>
        <v/>
      </c>
      <c r="AP667" s="243">
        <f>IF($AL667="",0,'All Ticker P&amp;L'!E667)</f>
        <v>0</v>
      </c>
      <c r="AQ667" s="266">
        <f>IF($AL667="",0,'All Ticker P&amp;L'!J667*'All Ticker P&amp;L'!I667)</f>
        <v>0</v>
      </c>
      <c r="AR667" s="266">
        <f>IF($AL667="",0,'All Ticker P&amp;L'!L667)</f>
        <v>0</v>
      </c>
      <c r="AS667" s="267">
        <f>IF($AL667="",0,'All Ticker P&amp;L'!M667)</f>
        <v>0</v>
      </c>
      <c r="AT667" s="243" t="str">
        <f>IF($AL667="","",RANK(AR667,$AR$2:$AR$1001)+COUNTIF($AR$2:AR667,AR667)-1)</f>
        <v/>
      </c>
      <c r="AU667" s="243" t="str">
        <f>IF($AL667="","",RANK(AV667,$AV$2:$AV$1001)+COUNTIF($AV$2:AV667,AV667)-1)</f>
        <v/>
      </c>
      <c r="AV667" s="266">
        <f t="shared" si="52"/>
        <v>0</v>
      </c>
    </row>
    <row r="668" spans="26:48" ht="15" customHeight="1" x14ac:dyDescent="0.2">
      <c r="Z668" s="243" t="str">
        <f>Shares!A668</f>
        <v/>
      </c>
      <c r="AA668" s="243" t="str">
        <f>Shares!B668</f>
        <v/>
      </c>
      <c r="AB668" s="243" t="str">
        <f>Shares!C668</f>
        <v/>
      </c>
      <c r="AC668" s="243" t="str">
        <f>Shares!D668</f>
        <v/>
      </c>
      <c r="AD668" s="243">
        <f>IF($Z668="",0,Shares!E668)</f>
        <v>0</v>
      </c>
      <c r="AE668" s="266">
        <f>IF($Z668="",0,Shares!J668*Shares!I668)</f>
        <v>0</v>
      </c>
      <c r="AF668" s="267">
        <f t="shared" si="51"/>
        <v>0</v>
      </c>
      <c r="AG668" s="266">
        <f>IF($Z668="",0,Shares!L668)</f>
        <v>0</v>
      </c>
      <c r="AH668" s="267">
        <f>IF($Z668="",0,Shares!M668)</f>
        <v>0</v>
      </c>
      <c r="AI668" s="243" t="str">
        <f>IF($Z668="","",RANK(AE668,$AE$2:$AE$1001)+COUNTIF($AE$2:AE668,AE668)-1)</f>
        <v/>
      </c>
      <c r="AJ668" s="243" t="str">
        <f>IF($AD668&lt;0,COUNT($AJ$1:AJ667)+1,"")</f>
        <v/>
      </c>
      <c r="AL668" s="243" t="str">
        <f>'All Ticker P&amp;L'!A668</f>
        <v/>
      </c>
      <c r="AM668" s="243" t="str">
        <f>'All Ticker P&amp;L'!B668</f>
        <v/>
      </c>
      <c r="AN668" s="243" t="str">
        <f>'All Ticker P&amp;L'!C668</f>
        <v/>
      </c>
      <c r="AO668" s="243" t="str">
        <f>'All Ticker P&amp;L'!D668</f>
        <v/>
      </c>
      <c r="AP668" s="243">
        <f>IF($AL668="",0,'All Ticker P&amp;L'!E668)</f>
        <v>0</v>
      </c>
      <c r="AQ668" s="266">
        <f>IF($AL668="",0,'All Ticker P&amp;L'!J668*'All Ticker P&amp;L'!I668)</f>
        <v>0</v>
      </c>
      <c r="AR668" s="266">
        <f>IF($AL668="",0,'All Ticker P&amp;L'!L668)</f>
        <v>0</v>
      </c>
      <c r="AS668" s="267">
        <f>IF($AL668="",0,'All Ticker P&amp;L'!M668)</f>
        <v>0</v>
      </c>
      <c r="AT668" s="243" t="str">
        <f>IF($AL668="","",RANK(AR668,$AR$2:$AR$1001)+COUNTIF($AR$2:AR668,AR668)-1)</f>
        <v/>
      </c>
      <c r="AU668" s="243" t="str">
        <f>IF($AL668="","",RANK(AV668,$AV$2:$AV$1001)+COUNTIF($AV$2:AV668,AV668)-1)</f>
        <v/>
      </c>
      <c r="AV668" s="266">
        <f t="shared" si="52"/>
        <v>0</v>
      </c>
    </row>
    <row r="669" spans="26:48" ht="15" customHeight="1" x14ac:dyDescent="0.2">
      <c r="Z669" s="243" t="str">
        <f>Shares!A669</f>
        <v/>
      </c>
      <c r="AA669" s="243" t="str">
        <f>Shares!B669</f>
        <v/>
      </c>
      <c r="AB669" s="243" t="str">
        <f>Shares!C669</f>
        <v/>
      </c>
      <c r="AC669" s="243" t="str">
        <f>Shares!D669</f>
        <v/>
      </c>
      <c r="AD669" s="243">
        <f>IF($Z669="",0,Shares!E669)</f>
        <v>0</v>
      </c>
      <c r="AE669" s="266">
        <f>IF($Z669="",0,Shares!J669*Shares!I669)</f>
        <v>0</v>
      </c>
      <c r="AF669" s="267">
        <f t="shared" si="51"/>
        <v>0</v>
      </c>
      <c r="AG669" s="266">
        <f>IF($Z669="",0,Shares!L669)</f>
        <v>0</v>
      </c>
      <c r="AH669" s="267">
        <f>IF($Z669="",0,Shares!M669)</f>
        <v>0</v>
      </c>
      <c r="AI669" s="243" t="str">
        <f>IF($Z669="","",RANK(AE669,$AE$2:$AE$1001)+COUNTIF($AE$2:AE669,AE669)-1)</f>
        <v/>
      </c>
      <c r="AJ669" s="243" t="str">
        <f>IF($AD669&lt;0,COUNT($AJ$1:AJ668)+1,"")</f>
        <v/>
      </c>
      <c r="AL669" s="243" t="str">
        <f>'All Ticker P&amp;L'!A669</f>
        <v/>
      </c>
      <c r="AM669" s="243" t="str">
        <f>'All Ticker P&amp;L'!B669</f>
        <v/>
      </c>
      <c r="AN669" s="243" t="str">
        <f>'All Ticker P&amp;L'!C669</f>
        <v/>
      </c>
      <c r="AO669" s="243" t="str">
        <f>'All Ticker P&amp;L'!D669</f>
        <v/>
      </c>
      <c r="AP669" s="243">
        <f>IF($AL669="",0,'All Ticker P&amp;L'!E669)</f>
        <v>0</v>
      </c>
      <c r="AQ669" s="266">
        <f>IF($AL669="",0,'All Ticker P&amp;L'!J669*'All Ticker P&amp;L'!I669)</f>
        <v>0</v>
      </c>
      <c r="AR669" s="266">
        <f>IF($AL669="",0,'All Ticker P&amp;L'!L669)</f>
        <v>0</v>
      </c>
      <c r="AS669" s="267">
        <f>IF($AL669="",0,'All Ticker P&amp;L'!M669)</f>
        <v>0</v>
      </c>
      <c r="AT669" s="243" t="str">
        <f>IF($AL669="","",RANK(AR669,$AR$2:$AR$1001)+COUNTIF($AR$2:AR669,AR669)-1)</f>
        <v/>
      </c>
      <c r="AU669" s="243" t="str">
        <f>IF($AL669="","",RANK(AV669,$AV$2:$AV$1001)+COUNTIF($AV$2:AV669,AV669)-1)</f>
        <v/>
      </c>
      <c r="AV669" s="266">
        <f t="shared" si="52"/>
        <v>0</v>
      </c>
    </row>
    <row r="670" spans="26:48" ht="15" customHeight="1" x14ac:dyDescent="0.2">
      <c r="Z670" s="243" t="str">
        <f>Shares!A670</f>
        <v/>
      </c>
      <c r="AA670" s="243" t="str">
        <f>Shares!B670</f>
        <v/>
      </c>
      <c r="AB670" s="243" t="str">
        <f>Shares!C670</f>
        <v/>
      </c>
      <c r="AC670" s="243" t="str">
        <f>Shares!D670</f>
        <v/>
      </c>
      <c r="AD670" s="243">
        <f>IF($Z670="",0,Shares!E670)</f>
        <v>0</v>
      </c>
      <c r="AE670" s="266">
        <f>IF($Z670="",0,Shares!J670*Shares!I670)</f>
        <v>0</v>
      </c>
      <c r="AF670" s="267">
        <f t="shared" si="51"/>
        <v>0</v>
      </c>
      <c r="AG670" s="266">
        <f>IF($Z670="",0,Shares!L670)</f>
        <v>0</v>
      </c>
      <c r="AH670" s="267">
        <f>IF($Z670="",0,Shares!M670)</f>
        <v>0</v>
      </c>
      <c r="AI670" s="243" t="str">
        <f>IF($Z670="","",RANK(AE670,$AE$2:$AE$1001)+COUNTIF($AE$2:AE670,AE670)-1)</f>
        <v/>
      </c>
      <c r="AJ670" s="243" t="str">
        <f>IF($AD670&lt;0,COUNT($AJ$1:AJ669)+1,"")</f>
        <v/>
      </c>
      <c r="AL670" s="243" t="str">
        <f>'All Ticker P&amp;L'!A670</f>
        <v/>
      </c>
      <c r="AM670" s="243" t="str">
        <f>'All Ticker P&amp;L'!B670</f>
        <v/>
      </c>
      <c r="AN670" s="243" t="str">
        <f>'All Ticker P&amp;L'!C670</f>
        <v/>
      </c>
      <c r="AO670" s="243" t="str">
        <f>'All Ticker P&amp;L'!D670</f>
        <v/>
      </c>
      <c r="AP670" s="243">
        <f>IF($AL670="",0,'All Ticker P&amp;L'!E670)</f>
        <v>0</v>
      </c>
      <c r="AQ670" s="266">
        <f>IF($AL670="",0,'All Ticker P&amp;L'!J670*'All Ticker P&amp;L'!I670)</f>
        <v>0</v>
      </c>
      <c r="AR670" s="266">
        <f>IF($AL670="",0,'All Ticker P&amp;L'!L670)</f>
        <v>0</v>
      </c>
      <c r="AS670" s="267">
        <f>IF($AL670="",0,'All Ticker P&amp;L'!M670)</f>
        <v>0</v>
      </c>
      <c r="AT670" s="243" t="str">
        <f>IF($AL670="","",RANK(AR670,$AR$2:$AR$1001)+COUNTIF($AR$2:AR670,AR670)-1)</f>
        <v/>
      </c>
      <c r="AU670" s="243" t="str">
        <f>IF($AL670="","",RANK(AV670,$AV$2:$AV$1001)+COUNTIF($AV$2:AV670,AV670)-1)</f>
        <v/>
      </c>
      <c r="AV670" s="266">
        <f t="shared" si="52"/>
        <v>0</v>
      </c>
    </row>
    <row r="671" spans="26:48" ht="15" customHeight="1" x14ac:dyDescent="0.2">
      <c r="Z671" s="243" t="str">
        <f>Shares!A671</f>
        <v/>
      </c>
      <c r="AA671" s="243" t="str">
        <f>Shares!B671</f>
        <v/>
      </c>
      <c r="AB671" s="243" t="str">
        <f>Shares!C671</f>
        <v/>
      </c>
      <c r="AC671" s="243" t="str">
        <f>Shares!D671</f>
        <v/>
      </c>
      <c r="AD671" s="243">
        <f>IF($Z671="",0,Shares!E671)</f>
        <v>0</v>
      </c>
      <c r="AE671" s="266">
        <f>IF($Z671="",0,Shares!J671*Shares!I671)</f>
        <v>0</v>
      </c>
      <c r="AF671" s="267">
        <f t="shared" si="51"/>
        <v>0</v>
      </c>
      <c r="AG671" s="266">
        <f>IF($Z671="",0,Shares!L671)</f>
        <v>0</v>
      </c>
      <c r="AH671" s="267">
        <f>IF($Z671="",0,Shares!M671)</f>
        <v>0</v>
      </c>
      <c r="AI671" s="243" t="str">
        <f>IF($Z671="","",RANK(AE671,$AE$2:$AE$1001)+COUNTIF($AE$2:AE671,AE671)-1)</f>
        <v/>
      </c>
      <c r="AJ671" s="243" t="str">
        <f>IF($AD671&lt;0,COUNT($AJ$1:AJ670)+1,"")</f>
        <v/>
      </c>
      <c r="AL671" s="243" t="str">
        <f>'All Ticker P&amp;L'!A671</f>
        <v/>
      </c>
      <c r="AM671" s="243" t="str">
        <f>'All Ticker P&amp;L'!B671</f>
        <v/>
      </c>
      <c r="AN671" s="243" t="str">
        <f>'All Ticker P&amp;L'!C671</f>
        <v/>
      </c>
      <c r="AO671" s="243" t="str">
        <f>'All Ticker P&amp;L'!D671</f>
        <v/>
      </c>
      <c r="AP671" s="243">
        <f>IF($AL671="",0,'All Ticker P&amp;L'!E671)</f>
        <v>0</v>
      </c>
      <c r="AQ671" s="266">
        <f>IF($AL671="",0,'All Ticker P&amp;L'!J671*'All Ticker P&amp;L'!I671)</f>
        <v>0</v>
      </c>
      <c r="AR671" s="266">
        <f>IF($AL671="",0,'All Ticker P&amp;L'!L671)</f>
        <v>0</v>
      </c>
      <c r="AS671" s="267">
        <f>IF($AL671="",0,'All Ticker P&amp;L'!M671)</f>
        <v>0</v>
      </c>
      <c r="AT671" s="243" t="str">
        <f>IF($AL671="","",RANK(AR671,$AR$2:$AR$1001)+COUNTIF($AR$2:AR671,AR671)-1)</f>
        <v/>
      </c>
      <c r="AU671" s="243" t="str">
        <f>IF($AL671="","",RANK(AV671,$AV$2:$AV$1001)+COUNTIF($AV$2:AV671,AV671)-1)</f>
        <v/>
      </c>
      <c r="AV671" s="266">
        <f t="shared" si="52"/>
        <v>0</v>
      </c>
    </row>
    <row r="672" spans="26:48" ht="15" customHeight="1" x14ac:dyDescent="0.2">
      <c r="Z672" s="243" t="str">
        <f>Shares!A672</f>
        <v/>
      </c>
      <c r="AA672" s="243" t="str">
        <f>Shares!B672</f>
        <v/>
      </c>
      <c r="AB672" s="243" t="str">
        <f>Shares!C672</f>
        <v/>
      </c>
      <c r="AC672" s="243" t="str">
        <f>Shares!D672</f>
        <v/>
      </c>
      <c r="AD672" s="243">
        <f>IF($Z672="",0,Shares!E672)</f>
        <v>0</v>
      </c>
      <c r="AE672" s="266">
        <f>IF($Z672="",0,Shares!J672*Shares!I672)</f>
        <v>0</v>
      </c>
      <c r="AF672" s="267">
        <f t="shared" si="51"/>
        <v>0</v>
      </c>
      <c r="AG672" s="266">
        <f>IF($Z672="",0,Shares!L672)</f>
        <v>0</v>
      </c>
      <c r="AH672" s="267">
        <f>IF($Z672="",0,Shares!M672)</f>
        <v>0</v>
      </c>
      <c r="AI672" s="243" t="str">
        <f>IF($Z672="","",RANK(AE672,$AE$2:$AE$1001)+COUNTIF($AE$2:AE672,AE672)-1)</f>
        <v/>
      </c>
      <c r="AJ672" s="243" t="str">
        <f>IF($AD672&lt;0,COUNT($AJ$1:AJ671)+1,"")</f>
        <v/>
      </c>
      <c r="AL672" s="243" t="str">
        <f>'All Ticker P&amp;L'!A672</f>
        <v/>
      </c>
      <c r="AM672" s="243" t="str">
        <f>'All Ticker P&amp;L'!B672</f>
        <v/>
      </c>
      <c r="AN672" s="243" t="str">
        <f>'All Ticker P&amp;L'!C672</f>
        <v/>
      </c>
      <c r="AO672" s="243" t="str">
        <f>'All Ticker P&amp;L'!D672</f>
        <v/>
      </c>
      <c r="AP672" s="243">
        <f>IF($AL672="",0,'All Ticker P&amp;L'!E672)</f>
        <v>0</v>
      </c>
      <c r="AQ672" s="266">
        <f>IF($AL672="",0,'All Ticker P&amp;L'!J672*'All Ticker P&amp;L'!I672)</f>
        <v>0</v>
      </c>
      <c r="AR672" s="266">
        <f>IF($AL672="",0,'All Ticker P&amp;L'!L672)</f>
        <v>0</v>
      </c>
      <c r="AS672" s="267">
        <f>IF($AL672="",0,'All Ticker P&amp;L'!M672)</f>
        <v>0</v>
      </c>
      <c r="AT672" s="243" t="str">
        <f>IF($AL672="","",RANK(AR672,$AR$2:$AR$1001)+COUNTIF($AR$2:AR672,AR672)-1)</f>
        <v/>
      </c>
      <c r="AU672" s="243" t="str">
        <f>IF($AL672="","",RANK(AV672,$AV$2:$AV$1001)+COUNTIF($AV$2:AV672,AV672)-1)</f>
        <v/>
      </c>
      <c r="AV672" s="266">
        <f t="shared" si="52"/>
        <v>0</v>
      </c>
    </row>
    <row r="673" spans="26:48" ht="15" customHeight="1" x14ac:dyDescent="0.2">
      <c r="Z673" s="243" t="str">
        <f>Shares!A673</f>
        <v/>
      </c>
      <c r="AA673" s="243" t="str">
        <f>Shares!B673</f>
        <v/>
      </c>
      <c r="AB673" s="243" t="str">
        <f>Shares!C673</f>
        <v/>
      </c>
      <c r="AC673" s="243" t="str">
        <f>Shares!D673</f>
        <v/>
      </c>
      <c r="AD673" s="243">
        <f>IF($Z673="",0,Shares!E673)</f>
        <v>0</v>
      </c>
      <c r="AE673" s="266">
        <f>IF($Z673="",0,Shares!J673*Shares!I673)</f>
        <v>0</v>
      </c>
      <c r="AF673" s="267">
        <f t="shared" si="51"/>
        <v>0</v>
      </c>
      <c r="AG673" s="266">
        <f>IF($Z673="",0,Shares!L673)</f>
        <v>0</v>
      </c>
      <c r="AH673" s="267">
        <f>IF($Z673="",0,Shares!M673)</f>
        <v>0</v>
      </c>
      <c r="AI673" s="243" t="str">
        <f>IF($Z673="","",RANK(AE673,$AE$2:$AE$1001)+COUNTIF($AE$2:AE673,AE673)-1)</f>
        <v/>
      </c>
      <c r="AJ673" s="243" t="str">
        <f>IF($AD673&lt;0,COUNT($AJ$1:AJ672)+1,"")</f>
        <v/>
      </c>
      <c r="AL673" s="243" t="str">
        <f>'All Ticker P&amp;L'!A673</f>
        <v/>
      </c>
      <c r="AM673" s="243" t="str">
        <f>'All Ticker P&amp;L'!B673</f>
        <v/>
      </c>
      <c r="AN673" s="243" t="str">
        <f>'All Ticker P&amp;L'!C673</f>
        <v/>
      </c>
      <c r="AO673" s="243" t="str">
        <f>'All Ticker P&amp;L'!D673</f>
        <v/>
      </c>
      <c r="AP673" s="243">
        <f>IF($AL673="",0,'All Ticker P&amp;L'!E673)</f>
        <v>0</v>
      </c>
      <c r="AQ673" s="266">
        <f>IF($AL673="",0,'All Ticker P&amp;L'!J673*'All Ticker P&amp;L'!I673)</f>
        <v>0</v>
      </c>
      <c r="AR673" s="266">
        <f>IF($AL673="",0,'All Ticker P&amp;L'!L673)</f>
        <v>0</v>
      </c>
      <c r="AS673" s="267">
        <f>IF($AL673="",0,'All Ticker P&amp;L'!M673)</f>
        <v>0</v>
      </c>
      <c r="AT673" s="243" t="str">
        <f>IF($AL673="","",RANK(AR673,$AR$2:$AR$1001)+COUNTIF($AR$2:AR673,AR673)-1)</f>
        <v/>
      </c>
      <c r="AU673" s="243" t="str">
        <f>IF($AL673="","",RANK(AV673,$AV$2:$AV$1001)+COUNTIF($AV$2:AV673,AV673)-1)</f>
        <v/>
      </c>
      <c r="AV673" s="266">
        <f t="shared" si="52"/>
        <v>0</v>
      </c>
    </row>
    <row r="674" spans="26:48" ht="15" customHeight="1" x14ac:dyDescent="0.2">
      <c r="Z674" s="243" t="str">
        <f>Shares!A674</f>
        <v/>
      </c>
      <c r="AA674" s="243" t="str">
        <f>Shares!B674</f>
        <v/>
      </c>
      <c r="AB674" s="243" t="str">
        <f>Shares!C674</f>
        <v/>
      </c>
      <c r="AC674" s="243" t="str">
        <f>Shares!D674</f>
        <v/>
      </c>
      <c r="AD674" s="243">
        <f>IF($Z674="",0,Shares!E674)</f>
        <v>0</v>
      </c>
      <c r="AE674" s="266">
        <f>IF($Z674="",0,Shares!J674*Shares!I674)</f>
        <v>0</v>
      </c>
      <c r="AF674" s="267">
        <f t="shared" si="51"/>
        <v>0</v>
      </c>
      <c r="AG674" s="266">
        <f>IF($Z674="",0,Shares!L674)</f>
        <v>0</v>
      </c>
      <c r="AH674" s="267">
        <f>IF($Z674="",0,Shares!M674)</f>
        <v>0</v>
      </c>
      <c r="AI674" s="243" t="str">
        <f>IF($Z674="","",RANK(AE674,$AE$2:$AE$1001)+COUNTIF($AE$2:AE674,AE674)-1)</f>
        <v/>
      </c>
      <c r="AJ674" s="243" t="str">
        <f>IF($AD674&lt;0,COUNT($AJ$1:AJ673)+1,"")</f>
        <v/>
      </c>
      <c r="AL674" s="243" t="str">
        <f>'All Ticker P&amp;L'!A674</f>
        <v/>
      </c>
      <c r="AM674" s="243" t="str">
        <f>'All Ticker P&amp;L'!B674</f>
        <v/>
      </c>
      <c r="AN674" s="243" t="str">
        <f>'All Ticker P&amp;L'!C674</f>
        <v/>
      </c>
      <c r="AO674" s="243" t="str">
        <f>'All Ticker P&amp;L'!D674</f>
        <v/>
      </c>
      <c r="AP674" s="243">
        <f>IF($AL674="",0,'All Ticker P&amp;L'!E674)</f>
        <v>0</v>
      </c>
      <c r="AQ674" s="266">
        <f>IF($AL674="",0,'All Ticker P&amp;L'!J674*'All Ticker P&amp;L'!I674)</f>
        <v>0</v>
      </c>
      <c r="AR674" s="266">
        <f>IF($AL674="",0,'All Ticker P&amp;L'!L674)</f>
        <v>0</v>
      </c>
      <c r="AS674" s="267">
        <f>IF($AL674="",0,'All Ticker P&amp;L'!M674)</f>
        <v>0</v>
      </c>
      <c r="AT674" s="243" t="str">
        <f>IF($AL674="","",RANK(AR674,$AR$2:$AR$1001)+COUNTIF($AR$2:AR674,AR674)-1)</f>
        <v/>
      </c>
      <c r="AU674" s="243" t="str">
        <f>IF($AL674="","",RANK(AV674,$AV$2:$AV$1001)+COUNTIF($AV$2:AV674,AV674)-1)</f>
        <v/>
      </c>
      <c r="AV674" s="266">
        <f t="shared" si="52"/>
        <v>0</v>
      </c>
    </row>
    <row r="675" spans="26:48" ht="15" customHeight="1" x14ac:dyDescent="0.2">
      <c r="Z675" s="243" t="str">
        <f>Shares!A675</f>
        <v/>
      </c>
      <c r="AA675" s="243" t="str">
        <f>Shares!B675</f>
        <v/>
      </c>
      <c r="AB675" s="243" t="str">
        <f>Shares!C675</f>
        <v/>
      </c>
      <c r="AC675" s="243" t="str">
        <f>Shares!D675</f>
        <v/>
      </c>
      <c r="AD675" s="243">
        <f>IF($Z675="",0,Shares!E675)</f>
        <v>0</v>
      </c>
      <c r="AE675" s="266">
        <f>IF($Z675="",0,Shares!J675*Shares!I675)</f>
        <v>0</v>
      </c>
      <c r="AF675" s="267">
        <f t="shared" si="51"/>
        <v>0</v>
      </c>
      <c r="AG675" s="266">
        <f>IF($Z675="",0,Shares!L675)</f>
        <v>0</v>
      </c>
      <c r="AH675" s="267">
        <f>IF($Z675="",0,Shares!M675)</f>
        <v>0</v>
      </c>
      <c r="AI675" s="243" t="str">
        <f>IF($Z675="","",RANK(AE675,$AE$2:$AE$1001)+COUNTIF($AE$2:AE675,AE675)-1)</f>
        <v/>
      </c>
      <c r="AJ675" s="243" t="str">
        <f>IF($AD675&lt;0,COUNT($AJ$1:AJ674)+1,"")</f>
        <v/>
      </c>
      <c r="AL675" s="243" t="str">
        <f>'All Ticker P&amp;L'!A675</f>
        <v/>
      </c>
      <c r="AM675" s="243" t="str">
        <f>'All Ticker P&amp;L'!B675</f>
        <v/>
      </c>
      <c r="AN675" s="243" t="str">
        <f>'All Ticker P&amp;L'!C675</f>
        <v/>
      </c>
      <c r="AO675" s="243" t="str">
        <f>'All Ticker P&amp;L'!D675</f>
        <v/>
      </c>
      <c r="AP675" s="243">
        <f>IF($AL675="",0,'All Ticker P&amp;L'!E675)</f>
        <v>0</v>
      </c>
      <c r="AQ675" s="266">
        <f>IF($AL675="",0,'All Ticker P&amp;L'!J675*'All Ticker P&amp;L'!I675)</f>
        <v>0</v>
      </c>
      <c r="AR675" s="266">
        <f>IF($AL675="",0,'All Ticker P&amp;L'!L675)</f>
        <v>0</v>
      </c>
      <c r="AS675" s="267">
        <f>IF($AL675="",0,'All Ticker P&amp;L'!M675)</f>
        <v>0</v>
      </c>
      <c r="AT675" s="243" t="str">
        <f>IF($AL675="","",RANK(AR675,$AR$2:$AR$1001)+COUNTIF($AR$2:AR675,AR675)-1)</f>
        <v/>
      </c>
      <c r="AU675" s="243" t="str">
        <f>IF($AL675="","",RANK(AV675,$AV$2:$AV$1001)+COUNTIF($AV$2:AV675,AV675)-1)</f>
        <v/>
      </c>
      <c r="AV675" s="266">
        <f t="shared" si="52"/>
        <v>0</v>
      </c>
    </row>
    <row r="676" spans="26:48" ht="15" customHeight="1" x14ac:dyDescent="0.2">
      <c r="Z676" s="243" t="str">
        <f>Shares!A676</f>
        <v/>
      </c>
      <c r="AA676" s="243" t="str">
        <f>Shares!B676</f>
        <v/>
      </c>
      <c r="AB676" s="243" t="str">
        <f>Shares!C676</f>
        <v/>
      </c>
      <c r="AC676" s="243" t="str">
        <f>Shares!D676</f>
        <v/>
      </c>
      <c r="AD676" s="243">
        <f>IF($Z676="",0,Shares!E676)</f>
        <v>0</v>
      </c>
      <c r="AE676" s="266">
        <f>IF($Z676="",0,Shares!J676*Shares!I676)</f>
        <v>0</v>
      </c>
      <c r="AF676" s="267">
        <f t="shared" si="51"/>
        <v>0</v>
      </c>
      <c r="AG676" s="266">
        <f>IF($Z676="",0,Shares!L676)</f>
        <v>0</v>
      </c>
      <c r="AH676" s="267">
        <f>IF($Z676="",0,Shares!M676)</f>
        <v>0</v>
      </c>
      <c r="AI676" s="243" t="str">
        <f>IF($Z676="","",RANK(AE676,$AE$2:$AE$1001)+COUNTIF($AE$2:AE676,AE676)-1)</f>
        <v/>
      </c>
      <c r="AJ676" s="243" t="str">
        <f>IF($AD676&lt;0,COUNT($AJ$1:AJ675)+1,"")</f>
        <v/>
      </c>
      <c r="AL676" s="243" t="str">
        <f>'All Ticker P&amp;L'!A676</f>
        <v/>
      </c>
      <c r="AM676" s="243" t="str">
        <f>'All Ticker P&amp;L'!B676</f>
        <v/>
      </c>
      <c r="AN676" s="243" t="str">
        <f>'All Ticker P&amp;L'!C676</f>
        <v/>
      </c>
      <c r="AO676" s="243" t="str">
        <f>'All Ticker P&amp;L'!D676</f>
        <v/>
      </c>
      <c r="AP676" s="243">
        <f>IF($AL676="",0,'All Ticker P&amp;L'!E676)</f>
        <v>0</v>
      </c>
      <c r="AQ676" s="266">
        <f>IF($AL676="",0,'All Ticker P&amp;L'!J676*'All Ticker P&amp;L'!I676)</f>
        <v>0</v>
      </c>
      <c r="AR676" s="266">
        <f>IF($AL676="",0,'All Ticker P&amp;L'!L676)</f>
        <v>0</v>
      </c>
      <c r="AS676" s="267">
        <f>IF($AL676="",0,'All Ticker P&amp;L'!M676)</f>
        <v>0</v>
      </c>
      <c r="AT676" s="243" t="str">
        <f>IF($AL676="","",RANK(AR676,$AR$2:$AR$1001)+COUNTIF($AR$2:AR676,AR676)-1)</f>
        <v/>
      </c>
      <c r="AU676" s="243" t="str">
        <f>IF($AL676="","",RANK(AV676,$AV$2:$AV$1001)+COUNTIF($AV$2:AV676,AV676)-1)</f>
        <v/>
      </c>
      <c r="AV676" s="266">
        <f t="shared" si="52"/>
        <v>0</v>
      </c>
    </row>
    <row r="677" spans="26:48" ht="15" customHeight="1" x14ac:dyDescent="0.2">
      <c r="Z677" s="243" t="str">
        <f>Shares!A677</f>
        <v/>
      </c>
      <c r="AA677" s="243" t="str">
        <f>Shares!B677</f>
        <v/>
      </c>
      <c r="AB677" s="243" t="str">
        <f>Shares!C677</f>
        <v/>
      </c>
      <c r="AC677" s="243" t="str">
        <f>Shares!D677</f>
        <v/>
      </c>
      <c r="AD677" s="243">
        <f>IF($Z677="",0,Shares!E677)</f>
        <v>0</v>
      </c>
      <c r="AE677" s="266">
        <f>IF($Z677="",0,Shares!J677*Shares!I677)</f>
        <v>0</v>
      </c>
      <c r="AF677" s="267">
        <f t="shared" si="51"/>
        <v>0</v>
      </c>
      <c r="AG677" s="266">
        <f>IF($Z677="",0,Shares!L677)</f>
        <v>0</v>
      </c>
      <c r="AH677" s="267">
        <f>IF($Z677="",0,Shares!M677)</f>
        <v>0</v>
      </c>
      <c r="AI677" s="243" t="str">
        <f>IF($Z677="","",RANK(AE677,$AE$2:$AE$1001)+COUNTIF($AE$2:AE677,AE677)-1)</f>
        <v/>
      </c>
      <c r="AJ677" s="243" t="str">
        <f>IF($AD677&lt;0,COUNT($AJ$1:AJ676)+1,"")</f>
        <v/>
      </c>
      <c r="AL677" s="243" t="str">
        <f>'All Ticker P&amp;L'!A677</f>
        <v/>
      </c>
      <c r="AM677" s="243" t="str">
        <f>'All Ticker P&amp;L'!B677</f>
        <v/>
      </c>
      <c r="AN677" s="243" t="str">
        <f>'All Ticker P&amp;L'!C677</f>
        <v/>
      </c>
      <c r="AO677" s="243" t="str">
        <f>'All Ticker P&amp;L'!D677</f>
        <v/>
      </c>
      <c r="AP677" s="243">
        <f>IF($AL677="",0,'All Ticker P&amp;L'!E677)</f>
        <v>0</v>
      </c>
      <c r="AQ677" s="266">
        <f>IF($AL677="",0,'All Ticker P&amp;L'!J677*'All Ticker P&amp;L'!I677)</f>
        <v>0</v>
      </c>
      <c r="AR677" s="266">
        <f>IF($AL677="",0,'All Ticker P&amp;L'!L677)</f>
        <v>0</v>
      </c>
      <c r="AS677" s="267">
        <f>IF($AL677="",0,'All Ticker P&amp;L'!M677)</f>
        <v>0</v>
      </c>
      <c r="AT677" s="243" t="str">
        <f>IF($AL677="","",RANK(AR677,$AR$2:$AR$1001)+COUNTIF($AR$2:AR677,AR677)-1)</f>
        <v/>
      </c>
      <c r="AU677" s="243" t="str">
        <f>IF($AL677="","",RANK(AV677,$AV$2:$AV$1001)+COUNTIF($AV$2:AV677,AV677)-1)</f>
        <v/>
      </c>
      <c r="AV677" s="266">
        <f t="shared" si="52"/>
        <v>0</v>
      </c>
    </row>
    <row r="678" spans="26:48" ht="15" customHeight="1" x14ac:dyDescent="0.2">
      <c r="Z678" s="243" t="str">
        <f>Shares!A678</f>
        <v/>
      </c>
      <c r="AA678" s="243" t="str">
        <f>Shares!B678</f>
        <v/>
      </c>
      <c r="AB678" s="243" t="str">
        <f>Shares!C678</f>
        <v/>
      </c>
      <c r="AC678" s="243" t="str">
        <f>Shares!D678</f>
        <v/>
      </c>
      <c r="AD678" s="243">
        <f>IF($Z678="",0,Shares!E678)</f>
        <v>0</v>
      </c>
      <c r="AE678" s="266">
        <f>IF($Z678="",0,Shares!J678*Shares!I678)</f>
        <v>0</v>
      </c>
      <c r="AF678" s="267">
        <f t="shared" si="51"/>
        <v>0</v>
      </c>
      <c r="AG678" s="266">
        <f>IF($Z678="",0,Shares!L678)</f>
        <v>0</v>
      </c>
      <c r="AH678" s="267">
        <f>IF($Z678="",0,Shares!M678)</f>
        <v>0</v>
      </c>
      <c r="AI678" s="243" t="str">
        <f>IF($Z678="","",RANK(AE678,$AE$2:$AE$1001)+COUNTIF($AE$2:AE678,AE678)-1)</f>
        <v/>
      </c>
      <c r="AJ678" s="243" t="str">
        <f>IF($AD678&lt;0,COUNT($AJ$1:AJ677)+1,"")</f>
        <v/>
      </c>
      <c r="AL678" s="243" t="str">
        <f>'All Ticker P&amp;L'!A678</f>
        <v/>
      </c>
      <c r="AM678" s="243" t="str">
        <f>'All Ticker P&amp;L'!B678</f>
        <v/>
      </c>
      <c r="AN678" s="243" t="str">
        <f>'All Ticker P&amp;L'!C678</f>
        <v/>
      </c>
      <c r="AO678" s="243" t="str">
        <f>'All Ticker P&amp;L'!D678</f>
        <v/>
      </c>
      <c r="AP678" s="243">
        <f>IF($AL678="",0,'All Ticker P&amp;L'!E678)</f>
        <v>0</v>
      </c>
      <c r="AQ678" s="266">
        <f>IF($AL678="",0,'All Ticker P&amp;L'!J678*'All Ticker P&amp;L'!I678)</f>
        <v>0</v>
      </c>
      <c r="AR678" s="266">
        <f>IF($AL678="",0,'All Ticker P&amp;L'!L678)</f>
        <v>0</v>
      </c>
      <c r="AS678" s="267">
        <f>IF($AL678="",0,'All Ticker P&amp;L'!M678)</f>
        <v>0</v>
      </c>
      <c r="AT678" s="243" t="str">
        <f>IF($AL678="","",RANK(AR678,$AR$2:$AR$1001)+COUNTIF($AR$2:AR678,AR678)-1)</f>
        <v/>
      </c>
      <c r="AU678" s="243" t="str">
        <f>IF($AL678="","",RANK(AV678,$AV$2:$AV$1001)+COUNTIF($AV$2:AV678,AV678)-1)</f>
        <v/>
      </c>
      <c r="AV678" s="266">
        <f t="shared" si="52"/>
        <v>0</v>
      </c>
    </row>
    <row r="679" spans="26:48" ht="15" customHeight="1" x14ac:dyDescent="0.2">
      <c r="Z679" s="243" t="str">
        <f>Shares!A679</f>
        <v/>
      </c>
      <c r="AA679" s="243" t="str">
        <f>Shares!B679</f>
        <v/>
      </c>
      <c r="AB679" s="243" t="str">
        <f>Shares!C679</f>
        <v/>
      </c>
      <c r="AC679" s="243" t="str">
        <f>Shares!D679</f>
        <v/>
      </c>
      <c r="AD679" s="243">
        <f>IF($Z679="",0,Shares!E679)</f>
        <v>0</v>
      </c>
      <c r="AE679" s="266">
        <f>IF($Z679="",0,Shares!J679*Shares!I679)</f>
        <v>0</v>
      </c>
      <c r="AF679" s="267">
        <f t="shared" si="51"/>
        <v>0</v>
      </c>
      <c r="AG679" s="266">
        <f>IF($Z679="",0,Shares!L679)</f>
        <v>0</v>
      </c>
      <c r="AH679" s="267">
        <f>IF($Z679="",0,Shares!M679)</f>
        <v>0</v>
      </c>
      <c r="AI679" s="243" t="str">
        <f>IF($Z679="","",RANK(AE679,$AE$2:$AE$1001)+COUNTIF($AE$2:AE679,AE679)-1)</f>
        <v/>
      </c>
      <c r="AJ679" s="243" t="str">
        <f>IF($AD679&lt;0,COUNT($AJ$1:AJ678)+1,"")</f>
        <v/>
      </c>
      <c r="AL679" s="243" t="str">
        <f>'All Ticker P&amp;L'!A679</f>
        <v/>
      </c>
      <c r="AM679" s="243" t="str">
        <f>'All Ticker P&amp;L'!B679</f>
        <v/>
      </c>
      <c r="AN679" s="243" t="str">
        <f>'All Ticker P&amp;L'!C679</f>
        <v/>
      </c>
      <c r="AO679" s="243" t="str">
        <f>'All Ticker P&amp;L'!D679</f>
        <v/>
      </c>
      <c r="AP679" s="243">
        <f>IF($AL679="",0,'All Ticker P&amp;L'!E679)</f>
        <v>0</v>
      </c>
      <c r="AQ679" s="266">
        <f>IF($AL679="",0,'All Ticker P&amp;L'!J679*'All Ticker P&amp;L'!I679)</f>
        <v>0</v>
      </c>
      <c r="AR679" s="266">
        <f>IF($AL679="",0,'All Ticker P&amp;L'!L679)</f>
        <v>0</v>
      </c>
      <c r="AS679" s="267">
        <f>IF($AL679="",0,'All Ticker P&amp;L'!M679)</f>
        <v>0</v>
      </c>
      <c r="AT679" s="243" t="str">
        <f>IF($AL679="","",RANK(AR679,$AR$2:$AR$1001)+COUNTIF($AR$2:AR679,AR679)-1)</f>
        <v/>
      </c>
      <c r="AU679" s="243" t="str">
        <f>IF($AL679="","",RANK(AV679,$AV$2:$AV$1001)+COUNTIF($AV$2:AV679,AV679)-1)</f>
        <v/>
      </c>
      <c r="AV679" s="266">
        <f t="shared" si="52"/>
        <v>0</v>
      </c>
    </row>
    <row r="680" spans="26:48" ht="15" customHeight="1" x14ac:dyDescent="0.2">
      <c r="Z680" s="243" t="str">
        <f>Shares!A680</f>
        <v/>
      </c>
      <c r="AA680" s="243" t="str">
        <f>Shares!B680</f>
        <v/>
      </c>
      <c r="AB680" s="243" t="str">
        <f>Shares!C680</f>
        <v/>
      </c>
      <c r="AC680" s="243" t="str">
        <f>Shares!D680</f>
        <v/>
      </c>
      <c r="AD680" s="243">
        <f>IF($Z680="",0,Shares!E680)</f>
        <v>0</v>
      </c>
      <c r="AE680" s="266">
        <f>IF($Z680="",0,Shares!J680*Shares!I680)</f>
        <v>0</v>
      </c>
      <c r="AF680" s="267">
        <f t="shared" si="51"/>
        <v>0</v>
      </c>
      <c r="AG680" s="266">
        <f>IF($Z680="",0,Shares!L680)</f>
        <v>0</v>
      </c>
      <c r="AH680" s="267">
        <f>IF($Z680="",0,Shares!M680)</f>
        <v>0</v>
      </c>
      <c r="AI680" s="243" t="str">
        <f>IF($Z680="","",RANK(AE680,$AE$2:$AE$1001)+COUNTIF($AE$2:AE680,AE680)-1)</f>
        <v/>
      </c>
      <c r="AJ680" s="243" t="str">
        <f>IF($AD680&lt;0,COUNT($AJ$1:AJ679)+1,"")</f>
        <v/>
      </c>
      <c r="AL680" s="243" t="str">
        <f>'All Ticker P&amp;L'!A680</f>
        <v/>
      </c>
      <c r="AM680" s="243" t="str">
        <f>'All Ticker P&amp;L'!B680</f>
        <v/>
      </c>
      <c r="AN680" s="243" t="str">
        <f>'All Ticker P&amp;L'!C680</f>
        <v/>
      </c>
      <c r="AO680" s="243" t="str">
        <f>'All Ticker P&amp;L'!D680</f>
        <v/>
      </c>
      <c r="AP680" s="243">
        <f>IF($AL680="",0,'All Ticker P&amp;L'!E680)</f>
        <v>0</v>
      </c>
      <c r="AQ680" s="266">
        <f>IF($AL680="",0,'All Ticker P&amp;L'!J680*'All Ticker P&amp;L'!I680)</f>
        <v>0</v>
      </c>
      <c r="AR680" s="266">
        <f>IF($AL680="",0,'All Ticker P&amp;L'!L680)</f>
        <v>0</v>
      </c>
      <c r="AS680" s="267">
        <f>IF($AL680="",0,'All Ticker P&amp;L'!M680)</f>
        <v>0</v>
      </c>
      <c r="AT680" s="243" t="str">
        <f>IF($AL680="","",RANK(AR680,$AR$2:$AR$1001)+COUNTIF($AR$2:AR680,AR680)-1)</f>
        <v/>
      </c>
      <c r="AU680" s="243" t="str">
        <f>IF($AL680="","",RANK(AV680,$AV$2:$AV$1001)+COUNTIF($AV$2:AV680,AV680)-1)</f>
        <v/>
      </c>
      <c r="AV680" s="266">
        <f t="shared" si="52"/>
        <v>0</v>
      </c>
    </row>
    <row r="681" spans="26:48" ht="15" customHeight="1" x14ac:dyDescent="0.2">
      <c r="Z681" s="243" t="str">
        <f>Shares!A681</f>
        <v/>
      </c>
      <c r="AA681" s="243" t="str">
        <f>Shares!B681</f>
        <v/>
      </c>
      <c r="AB681" s="243" t="str">
        <f>Shares!C681</f>
        <v/>
      </c>
      <c r="AC681" s="243" t="str">
        <f>Shares!D681</f>
        <v/>
      </c>
      <c r="AD681" s="243">
        <f>IF($Z681="",0,Shares!E681)</f>
        <v>0</v>
      </c>
      <c r="AE681" s="266">
        <f>IF($Z681="",0,Shares!J681*Shares!I681)</f>
        <v>0</v>
      </c>
      <c r="AF681" s="267">
        <f t="shared" si="51"/>
        <v>0</v>
      </c>
      <c r="AG681" s="266">
        <f>IF($Z681="",0,Shares!L681)</f>
        <v>0</v>
      </c>
      <c r="AH681" s="267">
        <f>IF($Z681="",0,Shares!M681)</f>
        <v>0</v>
      </c>
      <c r="AI681" s="243" t="str">
        <f>IF($Z681="","",RANK(AE681,$AE$2:$AE$1001)+COUNTIF($AE$2:AE681,AE681)-1)</f>
        <v/>
      </c>
      <c r="AJ681" s="243" t="str">
        <f>IF($AD681&lt;0,COUNT($AJ$1:AJ680)+1,"")</f>
        <v/>
      </c>
      <c r="AL681" s="243" t="str">
        <f>'All Ticker P&amp;L'!A681</f>
        <v/>
      </c>
      <c r="AM681" s="243" t="str">
        <f>'All Ticker P&amp;L'!B681</f>
        <v/>
      </c>
      <c r="AN681" s="243" t="str">
        <f>'All Ticker P&amp;L'!C681</f>
        <v/>
      </c>
      <c r="AO681" s="243" t="str">
        <f>'All Ticker P&amp;L'!D681</f>
        <v/>
      </c>
      <c r="AP681" s="243">
        <f>IF($AL681="",0,'All Ticker P&amp;L'!E681)</f>
        <v>0</v>
      </c>
      <c r="AQ681" s="266">
        <f>IF($AL681="",0,'All Ticker P&amp;L'!J681*'All Ticker P&amp;L'!I681)</f>
        <v>0</v>
      </c>
      <c r="AR681" s="266">
        <f>IF($AL681="",0,'All Ticker P&amp;L'!L681)</f>
        <v>0</v>
      </c>
      <c r="AS681" s="267">
        <f>IF($AL681="",0,'All Ticker P&amp;L'!M681)</f>
        <v>0</v>
      </c>
      <c r="AT681" s="243" t="str">
        <f>IF($AL681="","",RANK(AR681,$AR$2:$AR$1001)+COUNTIF($AR$2:AR681,AR681)-1)</f>
        <v/>
      </c>
      <c r="AU681" s="243" t="str">
        <f>IF($AL681="","",RANK(AV681,$AV$2:$AV$1001)+COUNTIF($AV$2:AV681,AV681)-1)</f>
        <v/>
      </c>
      <c r="AV681" s="266">
        <f t="shared" si="52"/>
        <v>0</v>
      </c>
    </row>
    <row r="682" spans="26:48" ht="15" customHeight="1" x14ac:dyDescent="0.2">
      <c r="Z682" s="243" t="str">
        <f>Shares!A682</f>
        <v/>
      </c>
      <c r="AA682" s="243" t="str">
        <f>Shares!B682</f>
        <v/>
      </c>
      <c r="AB682" s="243" t="str">
        <f>Shares!C682</f>
        <v/>
      </c>
      <c r="AC682" s="243" t="str">
        <f>Shares!D682</f>
        <v/>
      </c>
      <c r="AD682" s="243">
        <f>IF($Z682="",0,Shares!E682)</f>
        <v>0</v>
      </c>
      <c r="AE682" s="266">
        <f>IF($Z682="",0,Shares!J682*Shares!I682)</f>
        <v>0</v>
      </c>
      <c r="AF682" s="267">
        <f t="shared" si="51"/>
        <v>0</v>
      </c>
      <c r="AG682" s="266">
        <f>IF($Z682="",0,Shares!L682)</f>
        <v>0</v>
      </c>
      <c r="AH682" s="267">
        <f>IF($Z682="",0,Shares!M682)</f>
        <v>0</v>
      </c>
      <c r="AI682" s="243" t="str">
        <f>IF($Z682="","",RANK(AE682,$AE$2:$AE$1001)+COUNTIF($AE$2:AE682,AE682)-1)</f>
        <v/>
      </c>
      <c r="AJ682" s="243" t="str">
        <f>IF($AD682&lt;0,COUNT($AJ$1:AJ681)+1,"")</f>
        <v/>
      </c>
      <c r="AL682" s="243" t="str">
        <f>'All Ticker P&amp;L'!A682</f>
        <v/>
      </c>
      <c r="AM682" s="243" t="str">
        <f>'All Ticker P&amp;L'!B682</f>
        <v/>
      </c>
      <c r="AN682" s="243" t="str">
        <f>'All Ticker P&amp;L'!C682</f>
        <v/>
      </c>
      <c r="AO682" s="243" t="str">
        <f>'All Ticker P&amp;L'!D682</f>
        <v/>
      </c>
      <c r="AP682" s="243">
        <f>IF($AL682="",0,'All Ticker P&amp;L'!E682)</f>
        <v>0</v>
      </c>
      <c r="AQ682" s="266">
        <f>IF($AL682="",0,'All Ticker P&amp;L'!J682*'All Ticker P&amp;L'!I682)</f>
        <v>0</v>
      </c>
      <c r="AR682" s="266">
        <f>IF($AL682="",0,'All Ticker P&amp;L'!L682)</f>
        <v>0</v>
      </c>
      <c r="AS682" s="267">
        <f>IF($AL682="",0,'All Ticker P&amp;L'!M682)</f>
        <v>0</v>
      </c>
      <c r="AT682" s="243" t="str">
        <f>IF($AL682="","",RANK(AR682,$AR$2:$AR$1001)+COUNTIF($AR$2:AR682,AR682)-1)</f>
        <v/>
      </c>
      <c r="AU682" s="243" t="str">
        <f>IF($AL682="","",RANK(AV682,$AV$2:$AV$1001)+COUNTIF($AV$2:AV682,AV682)-1)</f>
        <v/>
      </c>
      <c r="AV682" s="266">
        <f t="shared" si="52"/>
        <v>0</v>
      </c>
    </row>
    <row r="683" spans="26:48" ht="15" customHeight="1" x14ac:dyDescent="0.2">
      <c r="Z683" s="243" t="str">
        <f>Shares!A683</f>
        <v/>
      </c>
      <c r="AA683" s="243" t="str">
        <f>Shares!B683</f>
        <v/>
      </c>
      <c r="AB683" s="243" t="str">
        <f>Shares!C683</f>
        <v/>
      </c>
      <c r="AC683" s="243" t="str">
        <f>Shares!D683</f>
        <v/>
      </c>
      <c r="AD683" s="243">
        <f>IF($Z683="",0,Shares!E683)</f>
        <v>0</v>
      </c>
      <c r="AE683" s="266">
        <f>IF($Z683="",0,Shares!J683*Shares!I683)</f>
        <v>0</v>
      </c>
      <c r="AF683" s="267">
        <f t="shared" si="51"/>
        <v>0</v>
      </c>
      <c r="AG683" s="266">
        <f>IF($Z683="",0,Shares!L683)</f>
        <v>0</v>
      </c>
      <c r="AH683" s="267">
        <f>IF($Z683="",0,Shares!M683)</f>
        <v>0</v>
      </c>
      <c r="AI683" s="243" t="str">
        <f>IF($Z683="","",RANK(AE683,$AE$2:$AE$1001)+COUNTIF($AE$2:AE683,AE683)-1)</f>
        <v/>
      </c>
      <c r="AJ683" s="243" t="str">
        <f>IF($AD683&lt;0,COUNT($AJ$1:AJ682)+1,"")</f>
        <v/>
      </c>
      <c r="AL683" s="243" t="str">
        <f>'All Ticker P&amp;L'!A683</f>
        <v/>
      </c>
      <c r="AM683" s="243" t="str">
        <f>'All Ticker P&amp;L'!B683</f>
        <v/>
      </c>
      <c r="AN683" s="243" t="str">
        <f>'All Ticker P&amp;L'!C683</f>
        <v/>
      </c>
      <c r="AO683" s="243" t="str">
        <f>'All Ticker P&amp;L'!D683</f>
        <v/>
      </c>
      <c r="AP683" s="243">
        <f>IF($AL683="",0,'All Ticker P&amp;L'!E683)</f>
        <v>0</v>
      </c>
      <c r="AQ683" s="266">
        <f>IF($AL683="",0,'All Ticker P&amp;L'!J683*'All Ticker P&amp;L'!I683)</f>
        <v>0</v>
      </c>
      <c r="AR683" s="266">
        <f>IF($AL683="",0,'All Ticker P&amp;L'!L683)</f>
        <v>0</v>
      </c>
      <c r="AS683" s="267">
        <f>IF($AL683="",0,'All Ticker P&amp;L'!M683)</f>
        <v>0</v>
      </c>
      <c r="AT683" s="243" t="str">
        <f>IF($AL683="","",RANK(AR683,$AR$2:$AR$1001)+COUNTIF($AR$2:AR683,AR683)-1)</f>
        <v/>
      </c>
      <c r="AU683" s="243" t="str">
        <f>IF($AL683="","",RANK(AV683,$AV$2:$AV$1001)+COUNTIF($AV$2:AV683,AV683)-1)</f>
        <v/>
      </c>
      <c r="AV683" s="266">
        <f t="shared" si="52"/>
        <v>0</v>
      </c>
    </row>
    <row r="684" spans="26:48" ht="15" customHeight="1" x14ac:dyDescent="0.2">
      <c r="Z684" s="243" t="str">
        <f>Shares!A684</f>
        <v/>
      </c>
      <c r="AA684" s="243" t="str">
        <f>Shares!B684</f>
        <v/>
      </c>
      <c r="AB684" s="243" t="str">
        <f>Shares!C684</f>
        <v/>
      </c>
      <c r="AC684" s="243" t="str">
        <f>Shares!D684</f>
        <v/>
      </c>
      <c r="AD684" s="243">
        <f>IF($Z684="",0,Shares!E684)</f>
        <v>0</v>
      </c>
      <c r="AE684" s="266">
        <f>IF($Z684="",0,Shares!J684*Shares!I684)</f>
        <v>0</v>
      </c>
      <c r="AF684" s="267">
        <f t="shared" si="51"/>
        <v>0</v>
      </c>
      <c r="AG684" s="266">
        <f>IF($Z684="",0,Shares!L684)</f>
        <v>0</v>
      </c>
      <c r="AH684" s="267">
        <f>IF($Z684="",0,Shares!M684)</f>
        <v>0</v>
      </c>
      <c r="AI684" s="243" t="str">
        <f>IF($Z684="","",RANK(AE684,$AE$2:$AE$1001)+COUNTIF($AE$2:AE684,AE684)-1)</f>
        <v/>
      </c>
      <c r="AJ684" s="243" t="str">
        <f>IF($AD684&lt;0,COUNT($AJ$1:AJ683)+1,"")</f>
        <v/>
      </c>
      <c r="AL684" s="243" t="str">
        <f>'All Ticker P&amp;L'!A684</f>
        <v/>
      </c>
      <c r="AM684" s="243" t="str">
        <f>'All Ticker P&amp;L'!B684</f>
        <v/>
      </c>
      <c r="AN684" s="243" t="str">
        <f>'All Ticker P&amp;L'!C684</f>
        <v/>
      </c>
      <c r="AO684" s="243" t="str">
        <f>'All Ticker P&amp;L'!D684</f>
        <v/>
      </c>
      <c r="AP684" s="243">
        <f>IF($AL684="",0,'All Ticker P&amp;L'!E684)</f>
        <v>0</v>
      </c>
      <c r="AQ684" s="266">
        <f>IF($AL684="",0,'All Ticker P&amp;L'!J684*'All Ticker P&amp;L'!I684)</f>
        <v>0</v>
      </c>
      <c r="AR684" s="266">
        <f>IF($AL684="",0,'All Ticker P&amp;L'!L684)</f>
        <v>0</v>
      </c>
      <c r="AS684" s="267">
        <f>IF($AL684="",0,'All Ticker P&amp;L'!M684)</f>
        <v>0</v>
      </c>
      <c r="AT684" s="243" t="str">
        <f>IF($AL684="","",RANK(AR684,$AR$2:$AR$1001)+COUNTIF($AR$2:AR684,AR684)-1)</f>
        <v/>
      </c>
      <c r="AU684" s="243" t="str">
        <f>IF($AL684="","",RANK(AV684,$AV$2:$AV$1001)+COUNTIF($AV$2:AV684,AV684)-1)</f>
        <v/>
      </c>
      <c r="AV684" s="266">
        <f t="shared" si="52"/>
        <v>0</v>
      </c>
    </row>
    <row r="685" spans="26:48" ht="15" customHeight="1" x14ac:dyDescent="0.2">
      <c r="Z685" s="243" t="str">
        <f>Shares!A685</f>
        <v/>
      </c>
      <c r="AA685" s="243" t="str">
        <f>Shares!B685</f>
        <v/>
      </c>
      <c r="AB685" s="243" t="str">
        <f>Shares!C685</f>
        <v/>
      </c>
      <c r="AC685" s="243" t="str">
        <f>Shares!D685</f>
        <v/>
      </c>
      <c r="AD685" s="243">
        <f>IF($Z685="",0,Shares!E685)</f>
        <v>0</v>
      </c>
      <c r="AE685" s="266">
        <f>IF($Z685="",0,Shares!J685*Shares!I685)</f>
        <v>0</v>
      </c>
      <c r="AF685" s="267">
        <f t="shared" si="51"/>
        <v>0</v>
      </c>
      <c r="AG685" s="266">
        <f>IF($Z685="",0,Shares!L685)</f>
        <v>0</v>
      </c>
      <c r="AH685" s="267">
        <f>IF($Z685="",0,Shares!M685)</f>
        <v>0</v>
      </c>
      <c r="AI685" s="243" t="str">
        <f>IF($Z685="","",RANK(AE685,$AE$2:$AE$1001)+COUNTIF($AE$2:AE685,AE685)-1)</f>
        <v/>
      </c>
      <c r="AJ685" s="243" t="str">
        <f>IF($AD685&lt;0,COUNT($AJ$1:AJ684)+1,"")</f>
        <v/>
      </c>
      <c r="AL685" s="243" t="str">
        <f>'All Ticker P&amp;L'!A685</f>
        <v/>
      </c>
      <c r="AM685" s="243" t="str">
        <f>'All Ticker P&amp;L'!B685</f>
        <v/>
      </c>
      <c r="AN685" s="243" t="str">
        <f>'All Ticker P&amp;L'!C685</f>
        <v/>
      </c>
      <c r="AO685" s="243" t="str">
        <f>'All Ticker P&amp;L'!D685</f>
        <v/>
      </c>
      <c r="AP685" s="243">
        <f>IF($AL685="",0,'All Ticker P&amp;L'!E685)</f>
        <v>0</v>
      </c>
      <c r="AQ685" s="266">
        <f>IF($AL685="",0,'All Ticker P&amp;L'!J685*'All Ticker P&amp;L'!I685)</f>
        <v>0</v>
      </c>
      <c r="AR685" s="266">
        <f>IF($AL685="",0,'All Ticker P&amp;L'!L685)</f>
        <v>0</v>
      </c>
      <c r="AS685" s="267">
        <f>IF($AL685="",0,'All Ticker P&amp;L'!M685)</f>
        <v>0</v>
      </c>
      <c r="AT685" s="243" t="str">
        <f>IF($AL685="","",RANK(AR685,$AR$2:$AR$1001)+COUNTIF($AR$2:AR685,AR685)-1)</f>
        <v/>
      </c>
      <c r="AU685" s="243" t="str">
        <f>IF($AL685="","",RANK(AV685,$AV$2:$AV$1001)+COUNTIF($AV$2:AV685,AV685)-1)</f>
        <v/>
      </c>
      <c r="AV685" s="266">
        <f t="shared" si="52"/>
        <v>0</v>
      </c>
    </row>
    <row r="686" spans="26:48" ht="15" customHeight="1" x14ac:dyDescent="0.2">
      <c r="Z686" s="243" t="str">
        <f>Shares!A686</f>
        <v/>
      </c>
      <c r="AA686" s="243" t="str">
        <f>Shares!B686</f>
        <v/>
      </c>
      <c r="AB686" s="243" t="str">
        <f>Shares!C686</f>
        <v/>
      </c>
      <c r="AC686" s="243" t="str">
        <f>Shares!D686</f>
        <v/>
      </c>
      <c r="AD686" s="243">
        <f>IF($Z686="",0,Shares!E686)</f>
        <v>0</v>
      </c>
      <c r="AE686" s="266">
        <f>IF($Z686="",0,Shares!J686*Shares!I686)</f>
        <v>0</v>
      </c>
      <c r="AF686" s="267">
        <f t="shared" si="51"/>
        <v>0</v>
      </c>
      <c r="AG686" s="266">
        <f>IF($Z686="",0,Shares!L686)</f>
        <v>0</v>
      </c>
      <c r="AH686" s="267">
        <f>IF($Z686="",0,Shares!M686)</f>
        <v>0</v>
      </c>
      <c r="AI686" s="243" t="str">
        <f>IF($Z686="","",RANK(AE686,$AE$2:$AE$1001)+COUNTIF($AE$2:AE686,AE686)-1)</f>
        <v/>
      </c>
      <c r="AJ686" s="243" t="str">
        <f>IF($AD686&lt;0,COUNT($AJ$1:AJ685)+1,"")</f>
        <v/>
      </c>
      <c r="AL686" s="243" t="str">
        <f>'All Ticker P&amp;L'!A686</f>
        <v/>
      </c>
      <c r="AM686" s="243" t="str">
        <f>'All Ticker P&amp;L'!B686</f>
        <v/>
      </c>
      <c r="AN686" s="243" t="str">
        <f>'All Ticker P&amp;L'!C686</f>
        <v/>
      </c>
      <c r="AO686" s="243" t="str">
        <f>'All Ticker P&amp;L'!D686</f>
        <v/>
      </c>
      <c r="AP686" s="243">
        <f>IF($AL686="",0,'All Ticker P&amp;L'!E686)</f>
        <v>0</v>
      </c>
      <c r="AQ686" s="266">
        <f>IF($AL686="",0,'All Ticker P&amp;L'!J686*'All Ticker P&amp;L'!I686)</f>
        <v>0</v>
      </c>
      <c r="AR686" s="266">
        <f>IF($AL686="",0,'All Ticker P&amp;L'!L686)</f>
        <v>0</v>
      </c>
      <c r="AS686" s="267">
        <f>IF($AL686="",0,'All Ticker P&amp;L'!M686)</f>
        <v>0</v>
      </c>
      <c r="AT686" s="243" t="str">
        <f>IF($AL686="","",RANK(AR686,$AR$2:$AR$1001)+COUNTIF($AR$2:AR686,AR686)-1)</f>
        <v/>
      </c>
      <c r="AU686" s="243" t="str">
        <f>IF($AL686="","",RANK(AV686,$AV$2:$AV$1001)+COUNTIF($AV$2:AV686,AV686)-1)</f>
        <v/>
      </c>
      <c r="AV686" s="266">
        <f t="shared" si="52"/>
        <v>0</v>
      </c>
    </row>
    <row r="687" spans="26:48" ht="15" customHeight="1" x14ac:dyDescent="0.2">
      <c r="Z687" s="243" t="str">
        <f>Shares!A687</f>
        <v/>
      </c>
      <c r="AA687" s="243" t="str">
        <f>Shares!B687</f>
        <v/>
      </c>
      <c r="AB687" s="243" t="str">
        <f>Shares!C687</f>
        <v/>
      </c>
      <c r="AC687" s="243" t="str">
        <f>Shares!D687</f>
        <v/>
      </c>
      <c r="AD687" s="243">
        <f>IF($Z687="",0,Shares!E687)</f>
        <v>0</v>
      </c>
      <c r="AE687" s="266">
        <f>IF($Z687="",0,Shares!J687*Shares!I687)</f>
        <v>0</v>
      </c>
      <c r="AF687" s="267">
        <f t="shared" si="51"/>
        <v>0</v>
      </c>
      <c r="AG687" s="266">
        <f>IF($Z687="",0,Shares!L687)</f>
        <v>0</v>
      </c>
      <c r="AH687" s="267">
        <f>IF($Z687="",0,Shares!M687)</f>
        <v>0</v>
      </c>
      <c r="AI687" s="243" t="str">
        <f>IF($Z687="","",RANK(AE687,$AE$2:$AE$1001)+COUNTIF($AE$2:AE687,AE687)-1)</f>
        <v/>
      </c>
      <c r="AJ687" s="243" t="str">
        <f>IF($AD687&lt;0,COUNT($AJ$1:AJ686)+1,"")</f>
        <v/>
      </c>
      <c r="AL687" s="243" t="str">
        <f>'All Ticker P&amp;L'!A687</f>
        <v/>
      </c>
      <c r="AM687" s="243" t="str">
        <f>'All Ticker P&amp;L'!B687</f>
        <v/>
      </c>
      <c r="AN687" s="243" t="str">
        <f>'All Ticker P&amp;L'!C687</f>
        <v/>
      </c>
      <c r="AO687" s="243" t="str">
        <f>'All Ticker P&amp;L'!D687</f>
        <v/>
      </c>
      <c r="AP687" s="243">
        <f>IF($AL687="",0,'All Ticker P&amp;L'!E687)</f>
        <v>0</v>
      </c>
      <c r="AQ687" s="266">
        <f>IF($AL687="",0,'All Ticker P&amp;L'!J687*'All Ticker P&amp;L'!I687)</f>
        <v>0</v>
      </c>
      <c r="AR687" s="266">
        <f>IF($AL687="",0,'All Ticker P&amp;L'!L687)</f>
        <v>0</v>
      </c>
      <c r="AS687" s="267">
        <f>IF($AL687="",0,'All Ticker P&amp;L'!M687)</f>
        <v>0</v>
      </c>
      <c r="AT687" s="243" t="str">
        <f>IF($AL687="","",RANK(AR687,$AR$2:$AR$1001)+COUNTIF($AR$2:AR687,AR687)-1)</f>
        <v/>
      </c>
      <c r="AU687" s="243" t="str">
        <f>IF($AL687="","",RANK(AV687,$AV$2:$AV$1001)+COUNTIF($AV$2:AV687,AV687)-1)</f>
        <v/>
      </c>
      <c r="AV687" s="266">
        <f t="shared" si="52"/>
        <v>0</v>
      </c>
    </row>
    <row r="688" spans="26:48" ht="15" customHeight="1" x14ac:dyDescent="0.2">
      <c r="Z688" s="243" t="str">
        <f>Shares!A688</f>
        <v/>
      </c>
      <c r="AA688" s="243" t="str">
        <f>Shares!B688</f>
        <v/>
      </c>
      <c r="AB688" s="243" t="str">
        <f>Shares!C688</f>
        <v/>
      </c>
      <c r="AC688" s="243" t="str">
        <f>Shares!D688</f>
        <v/>
      </c>
      <c r="AD688" s="243">
        <f>IF($Z688="",0,Shares!E688)</f>
        <v>0</v>
      </c>
      <c r="AE688" s="266">
        <f>IF($Z688="",0,Shares!J688*Shares!I688)</f>
        <v>0</v>
      </c>
      <c r="AF688" s="267">
        <f t="shared" si="51"/>
        <v>0</v>
      </c>
      <c r="AG688" s="266">
        <f>IF($Z688="",0,Shares!L688)</f>
        <v>0</v>
      </c>
      <c r="AH688" s="267">
        <f>IF($Z688="",0,Shares!M688)</f>
        <v>0</v>
      </c>
      <c r="AI688" s="243" t="str">
        <f>IF($Z688="","",RANK(AE688,$AE$2:$AE$1001)+COUNTIF($AE$2:AE688,AE688)-1)</f>
        <v/>
      </c>
      <c r="AJ688" s="243" t="str">
        <f>IF($AD688&lt;0,COUNT($AJ$1:AJ687)+1,"")</f>
        <v/>
      </c>
      <c r="AL688" s="243" t="str">
        <f>'All Ticker P&amp;L'!A688</f>
        <v/>
      </c>
      <c r="AM688" s="243" t="str">
        <f>'All Ticker P&amp;L'!B688</f>
        <v/>
      </c>
      <c r="AN688" s="243" t="str">
        <f>'All Ticker P&amp;L'!C688</f>
        <v/>
      </c>
      <c r="AO688" s="243" t="str">
        <f>'All Ticker P&amp;L'!D688</f>
        <v/>
      </c>
      <c r="AP688" s="243">
        <f>IF($AL688="",0,'All Ticker P&amp;L'!E688)</f>
        <v>0</v>
      </c>
      <c r="AQ688" s="266">
        <f>IF($AL688="",0,'All Ticker P&amp;L'!J688*'All Ticker P&amp;L'!I688)</f>
        <v>0</v>
      </c>
      <c r="AR688" s="266">
        <f>IF($AL688="",0,'All Ticker P&amp;L'!L688)</f>
        <v>0</v>
      </c>
      <c r="AS688" s="267">
        <f>IF($AL688="",0,'All Ticker P&amp;L'!M688)</f>
        <v>0</v>
      </c>
      <c r="AT688" s="243" t="str">
        <f>IF($AL688="","",RANK(AR688,$AR$2:$AR$1001)+COUNTIF($AR$2:AR688,AR688)-1)</f>
        <v/>
      </c>
      <c r="AU688" s="243" t="str">
        <f>IF($AL688="","",RANK(AV688,$AV$2:$AV$1001)+COUNTIF($AV$2:AV688,AV688)-1)</f>
        <v/>
      </c>
      <c r="AV688" s="266">
        <f t="shared" si="52"/>
        <v>0</v>
      </c>
    </row>
    <row r="689" spans="26:48" ht="15" customHeight="1" x14ac:dyDescent="0.2">
      <c r="Z689" s="243" t="str">
        <f>Shares!A689</f>
        <v/>
      </c>
      <c r="AA689" s="243" t="str">
        <f>Shares!B689</f>
        <v/>
      </c>
      <c r="AB689" s="243" t="str">
        <f>Shares!C689</f>
        <v/>
      </c>
      <c r="AC689" s="243" t="str">
        <f>Shares!D689</f>
        <v/>
      </c>
      <c r="AD689" s="243">
        <f>IF($Z689="",0,Shares!E689)</f>
        <v>0</v>
      </c>
      <c r="AE689" s="266">
        <f>IF($Z689="",0,Shares!J689*Shares!I689)</f>
        <v>0</v>
      </c>
      <c r="AF689" s="267">
        <f t="shared" si="51"/>
        <v>0</v>
      </c>
      <c r="AG689" s="266">
        <f>IF($Z689="",0,Shares!L689)</f>
        <v>0</v>
      </c>
      <c r="AH689" s="267">
        <f>IF($Z689="",0,Shares!M689)</f>
        <v>0</v>
      </c>
      <c r="AI689" s="243" t="str">
        <f>IF($Z689="","",RANK(AE689,$AE$2:$AE$1001)+COUNTIF($AE$2:AE689,AE689)-1)</f>
        <v/>
      </c>
      <c r="AJ689" s="243" t="str">
        <f>IF($AD689&lt;0,COUNT($AJ$1:AJ688)+1,"")</f>
        <v/>
      </c>
      <c r="AL689" s="243" t="str">
        <f>'All Ticker P&amp;L'!A689</f>
        <v/>
      </c>
      <c r="AM689" s="243" t="str">
        <f>'All Ticker P&amp;L'!B689</f>
        <v/>
      </c>
      <c r="AN689" s="243" t="str">
        <f>'All Ticker P&amp;L'!C689</f>
        <v/>
      </c>
      <c r="AO689" s="243" t="str">
        <f>'All Ticker P&amp;L'!D689</f>
        <v/>
      </c>
      <c r="AP689" s="243">
        <f>IF($AL689="",0,'All Ticker P&amp;L'!E689)</f>
        <v>0</v>
      </c>
      <c r="AQ689" s="266">
        <f>IF($AL689="",0,'All Ticker P&amp;L'!J689*'All Ticker P&amp;L'!I689)</f>
        <v>0</v>
      </c>
      <c r="AR689" s="266">
        <f>IF($AL689="",0,'All Ticker P&amp;L'!L689)</f>
        <v>0</v>
      </c>
      <c r="AS689" s="267">
        <f>IF($AL689="",0,'All Ticker P&amp;L'!M689)</f>
        <v>0</v>
      </c>
      <c r="AT689" s="243" t="str">
        <f>IF($AL689="","",RANK(AR689,$AR$2:$AR$1001)+COUNTIF($AR$2:AR689,AR689)-1)</f>
        <v/>
      </c>
      <c r="AU689" s="243" t="str">
        <f>IF($AL689="","",RANK(AV689,$AV$2:$AV$1001)+COUNTIF($AV$2:AV689,AV689)-1)</f>
        <v/>
      </c>
      <c r="AV689" s="266">
        <f t="shared" si="52"/>
        <v>0</v>
      </c>
    </row>
    <row r="690" spans="26:48" ht="15" customHeight="1" x14ac:dyDescent="0.2">
      <c r="Z690" s="243" t="str">
        <f>Shares!A690</f>
        <v/>
      </c>
      <c r="AA690" s="243" t="str">
        <f>Shares!B690</f>
        <v/>
      </c>
      <c r="AB690" s="243" t="str">
        <f>Shares!C690</f>
        <v/>
      </c>
      <c r="AC690" s="243" t="str">
        <f>Shares!D690</f>
        <v/>
      </c>
      <c r="AD690" s="243">
        <f>IF($Z690="",0,Shares!E690)</f>
        <v>0</v>
      </c>
      <c r="AE690" s="266">
        <f>IF($Z690="",0,Shares!J690*Shares!I690)</f>
        <v>0</v>
      </c>
      <c r="AF690" s="267">
        <f t="shared" si="51"/>
        <v>0</v>
      </c>
      <c r="AG690" s="266">
        <f>IF($Z690="",0,Shares!L690)</f>
        <v>0</v>
      </c>
      <c r="AH690" s="267">
        <f>IF($Z690="",0,Shares!M690)</f>
        <v>0</v>
      </c>
      <c r="AI690" s="243" t="str">
        <f>IF($Z690="","",RANK(AE690,$AE$2:$AE$1001)+COUNTIF($AE$2:AE690,AE690)-1)</f>
        <v/>
      </c>
      <c r="AJ690" s="243" t="str">
        <f>IF($AD690&lt;0,COUNT($AJ$1:AJ689)+1,"")</f>
        <v/>
      </c>
      <c r="AL690" s="243" t="str">
        <f>'All Ticker P&amp;L'!A690</f>
        <v/>
      </c>
      <c r="AM690" s="243" t="str">
        <f>'All Ticker P&amp;L'!B690</f>
        <v/>
      </c>
      <c r="AN690" s="243" t="str">
        <f>'All Ticker P&amp;L'!C690</f>
        <v/>
      </c>
      <c r="AO690" s="243" t="str">
        <f>'All Ticker P&amp;L'!D690</f>
        <v/>
      </c>
      <c r="AP690" s="243">
        <f>IF($AL690="",0,'All Ticker P&amp;L'!E690)</f>
        <v>0</v>
      </c>
      <c r="AQ690" s="266">
        <f>IF($AL690="",0,'All Ticker P&amp;L'!J690*'All Ticker P&amp;L'!I690)</f>
        <v>0</v>
      </c>
      <c r="AR690" s="266">
        <f>IF($AL690="",0,'All Ticker P&amp;L'!L690)</f>
        <v>0</v>
      </c>
      <c r="AS690" s="267">
        <f>IF($AL690="",0,'All Ticker P&amp;L'!M690)</f>
        <v>0</v>
      </c>
      <c r="AT690" s="243" t="str">
        <f>IF($AL690="","",RANK(AR690,$AR$2:$AR$1001)+COUNTIF($AR$2:AR690,AR690)-1)</f>
        <v/>
      </c>
      <c r="AU690" s="243" t="str">
        <f>IF($AL690="","",RANK(AV690,$AV$2:$AV$1001)+COUNTIF($AV$2:AV690,AV690)-1)</f>
        <v/>
      </c>
      <c r="AV690" s="266">
        <f t="shared" si="52"/>
        <v>0</v>
      </c>
    </row>
    <row r="691" spans="26:48" ht="15" customHeight="1" x14ac:dyDescent="0.2">
      <c r="Z691" s="243" t="str">
        <f>Shares!A691</f>
        <v/>
      </c>
      <c r="AA691" s="243" t="str">
        <f>Shares!B691</f>
        <v/>
      </c>
      <c r="AB691" s="243" t="str">
        <f>Shares!C691</f>
        <v/>
      </c>
      <c r="AC691" s="243" t="str">
        <f>Shares!D691</f>
        <v/>
      </c>
      <c r="AD691" s="243">
        <f>IF($Z691="",0,Shares!E691)</f>
        <v>0</v>
      </c>
      <c r="AE691" s="266">
        <f>IF($Z691="",0,Shares!J691*Shares!I691)</f>
        <v>0</v>
      </c>
      <c r="AF691" s="267">
        <f t="shared" si="51"/>
        <v>0</v>
      </c>
      <c r="AG691" s="266">
        <f>IF($Z691="",0,Shares!L691)</f>
        <v>0</v>
      </c>
      <c r="AH691" s="267">
        <f>IF($Z691="",0,Shares!M691)</f>
        <v>0</v>
      </c>
      <c r="AI691" s="243" t="str">
        <f>IF($Z691="","",RANK(AE691,$AE$2:$AE$1001)+COUNTIF($AE$2:AE691,AE691)-1)</f>
        <v/>
      </c>
      <c r="AJ691" s="243" t="str">
        <f>IF($AD691&lt;0,COUNT($AJ$1:AJ690)+1,"")</f>
        <v/>
      </c>
      <c r="AL691" s="243" t="str">
        <f>'All Ticker P&amp;L'!A691</f>
        <v/>
      </c>
      <c r="AM691" s="243" t="str">
        <f>'All Ticker P&amp;L'!B691</f>
        <v/>
      </c>
      <c r="AN691" s="243" t="str">
        <f>'All Ticker P&amp;L'!C691</f>
        <v/>
      </c>
      <c r="AO691" s="243" t="str">
        <f>'All Ticker P&amp;L'!D691</f>
        <v/>
      </c>
      <c r="AP691" s="243">
        <f>IF($AL691="",0,'All Ticker P&amp;L'!E691)</f>
        <v>0</v>
      </c>
      <c r="AQ691" s="266">
        <f>IF($AL691="",0,'All Ticker P&amp;L'!J691*'All Ticker P&amp;L'!I691)</f>
        <v>0</v>
      </c>
      <c r="AR691" s="266">
        <f>IF($AL691="",0,'All Ticker P&amp;L'!L691)</f>
        <v>0</v>
      </c>
      <c r="AS691" s="267">
        <f>IF($AL691="",0,'All Ticker P&amp;L'!M691)</f>
        <v>0</v>
      </c>
      <c r="AT691" s="243" t="str">
        <f>IF($AL691="","",RANK(AR691,$AR$2:$AR$1001)+COUNTIF($AR$2:AR691,AR691)-1)</f>
        <v/>
      </c>
      <c r="AU691" s="243" t="str">
        <f>IF($AL691="","",RANK(AV691,$AV$2:$AV$1001)+COUNTIF($AV$2:AV691,AV691)-1)</f>
        <v/>
      </c>
      <c r="AV691" s="266">
        <f t="shared" si="52"/>
        <v>0</v>
      </c>
    </row>
    <row r="692" spans="26:48" ht="15" customHeight="1" x14ac:dyDescent="0.2">
      <c r="Z692" s="243" t="str">
        <f>Shares!A692</f>
        <v/>
      </c>
      <c r="AA692" s="243" t="str">
        <f>Shares!B692</f>
        <v/>
      </c>
      <c r="AB692" s="243" t="str">
        <f>Shares!C692</f>
        <v/>
      </c>
      <c r="AC692" s="243" t="str">
        <f>Shares!D692</f>
        <v/>
      </c>
      <c r="AD692" s="243">
        <f>IF($Z692="",0,Shares!E692)</f>
        <v>0</v>
      </c>
      <c r="AE692" s="266">
        <f>IF($Z692="",0,Shares!J692*Shares!I692)</f>
        <v>0</v>
      </c>
      <c r="AF692" s="267">
        <f t="shared" si="51"/>
        <v>0</v>
      </c>
      <c r="AG692" s="266">
        <f>IF($Z692="",0,Shares!L692)</f>
        <v>0</v>
      </c>
      <c r="AH692" s="267">
        <f>IF($Z692="",0,Shares!M692)</f>
        <v>0</v>
      </c>
      <c r="AI692" s="243" t="str">
        <f>IF($Z692="","",RANK(AE692,$AE$2:$AE$1001)+COUNTIF($AE$2:AE692,AE692)-1)</f>
        <v/>
      </c>
      <c r="AJ692" s="243" t="str">
        <f>IF($AD692&lt;0,COUNT($AJ$1:AJ691)+1,"")</f>
        <v/>
      </c>
      <c r="AL692" s="243" t="str">
        <f>'All Ticker P&amp;L'!A692</f>
        <v/>
      </c>
      <c r="AM692" s="243" t="str">
        <f>'All Ticker P&amp;L'!B692</f>
        <v/>
      </c>
      <c r="AN692" s="243" t="str">
        <f>'All Ticker P&amp;L'!C692</f>
        <v/>
      </c>
      <c r="AO692" s="243" t="str">
        <f>'All Ticker P&amp;L'!D692</f>
        <v/>
      </c>
      <c r="AP692" s="243">
        <f>IF($AL692="",0,'All Ticker P&amp;L'!E692)</f>
        <v>0</v>
      </c>
      <c r="AQ692" s="266">
        <f>IF($AL692="",0,'All Ticker P&amp;L'!J692*'All Ticker P&amp;L'!I692)</f>
        <v>0</v>
      </c>
      <c r="AR692" s="266">
        <f>IF($AL692="",0,'All Ticker P&amp;L'!L692)</f>
        <v>0</v>
      </c>
      <c r="AS692" s="267">
        <f>IF($AL692="",0,'All Ticker P&amp;L'!M692)</f>
        <v>0</v>
      </c>
      <c r="AT692" s="243" t="str">
        <f>IF($AL692="","",RANK(AR692,$AR$2:$AR$1001)+COUNTIF($AR$2:AR692,AR692)-1)</f>
        <v/>
      </c>
      <c r="AU692" s="243" t="str">
        <f>IF($AL692="","",RANK(AV692,$AV$2:$AV$1001)+COUNTIF($AV$2:AV692,AV692)-1)</f>
        <v/>
      </c>
      <c r="AV692" s="266">
        <f t="shared" si="52"/>
        <v>0</v>
      </c>
    </row>
    <row r="693" spans="26:48" ht="15" customHeight="1" x14ac:dyDescent="0.2">
      <c r="Z693" s="243" t="str">
        <f>Shares!A693</f>
        <v/>
      </c>
      <c r="AA693" s="243" t="str">
        <f>Shares!B693</f>
        <v/>
      </c>
      <c r="AB693" s="243" t="str">
        <f>Shares!C693</f>
        <v/>
      </c>
      <c r="AC693" s="243" t="str">
        <f>Shares!D693</f>
        <v/>
      </c>
      <c r="AD693" s="243">
        <f>IF($Z693="",0,Shares!E693)</f>
        <v>0</v>
      </c>
      <c r="AE693" s="266">
        <f>IF($Z693="",0,Shares!J693*Shares!I693)</f>
        <v>0</v>
      </c>
      <c r="AF693" s="267">
        <f t="shared" si="51"/>
        <v>0</v>
      </c>
      <c r="AG693" s="266">
        <f>IF($Z693="",0,Shares!L693)</f>
        <v>0</v>
      </c>
      <c r="AH693" s="267">
        <f>IF($Z693="",0,Shares!M693)</f>
        <v>0</v>
      </c>
      <c r="AI693" s="243" t="str">
        <f>IF($Z693="","",RANK(AE693,$AE$2:$AE$1001)+COUNTIF($AE$2:AE693,AE693)-1)</f>
        <v/>
      </c>
      <c r="AJ693" s="243" t="str">
        <f>IF($AD693&lt;0,COUNT($AJ$1:AJ692)+1,"")</f>
        <v/>
      </c>
      <c r="AL693" s="243" t="str">
        <f>'All Ticker P&amp;L'!A693</f>
        <v/>
      </c>
      <c r="AM693" s="243" t="str">
        <f>'All Ticker P&amp;L'!B693</f>
        <v/>
      </c>
      <c r="AN693" s="243" t="str">
        <f>'All Ticker P&amp;L'!C693</f>
        <v/>
      </c>
      <c r="AO693" s="243" t="str">
        <f>'All Ticker P&amp;L'!D693</f>
        <v/>
      </c>
      <c r="AP693" s="243">
        <f>IF($AL693="",0,'All Ticker P&amp;L'!E693)</f>
        <v>0</v>
      </c>
      <c r="AQ693" s="266">
        <f>IF($AL693="",0,'All Ticker P&amp;L'!J693*'All Ticker P&amp;L'!I693)</f>
        <v>0</v>
      </c>
      <c r="AR693" s="266">
        <f>IF($AL693="",0,'All Ticker P&amp;L'!L693)</f>
        <v>0</v>
      </c>
      <c r="AS693" s="267">
        <f>IF($AL693="",0,'All Ticker P&amp;L'!M693)</f>
        <v>0</v>
      </c>
      <c r="AT693" s="243" t="str">
        <f>IF($AL693="","",RANK(AR693,$AR$2:$AR$1001)+COUNTIF($AR$2:AR693,AR693)-1)</f>
        <v/>
      </c>
      <c r="AU693" s="243" t="str">
        <f>IF($AL693="","",RANK(AV693,$AV$2:$AV$1001)+COUNTIF($AV$2:AV693,AV693)-1)</f>
        <v/>
      </c>
      <c r="AV693" s="266">
        <f t="shared" si="52"/>
        <v>0</v>
      </c>
    </row>
    <row r="694" spans="26:48" ht="15" customHeight="1" x14ac:dyDescent="0.2">
      <c r="Z694" s="243" t="str">
        <f>Shares!A694</f>
        <v/>
      </c>
      <c r="AA694" s="243" t="str">
        <f>Shares!B694</f>
        <v/>
      </c>
      <c r="AB694" s="243" t="str">
        <f>Shares!C694</f>
        <v/>
      </c>
      <c r="AC694" s="243" t="str">
        <f>Shares!D694</f>
        <v/>
      </c>
      <c r="AD694" s="243">
        <f>IF($Z694="",0,Shares!E694)</f>
        <v>0</v>
      </c>
      <c r="AE694" s="266">
        <f>IF($Z694="",0,Shares!J694*Shares!I694)</f>
        <v>0</v>
      </c>
      <c r="AF694" s="267">
        <f t="shared" si="51"/>
        <v>0</v>
      </c>
      <c r="AG694" s="266">
        <f>IF($Z694="",0,Shares!L694)</f>
        <v>0</v>
      </c>
      <c r="AH694" s="267">
        <f>IF($Z694="",0,Shares!M694)</f>
        <v>0</v>
      </c>
      <c r="AI694" s="243" t="str">
        <f>IF($Z694="","",RANK(AE694,$AE$2:$AE$1001)+COUNTIF($AE$2:AE694,AE694)-1)</f>
        <v/>
      </c>
      <c r="AJ694" s="243" t="str">
        <f>IF($AD694&lt;0,COUNT($AJ$1:AJ693)+1,"")</f>
        <v/>
      </c>
      <c r="AL694" s="243" t="str">
        <f>'All Ticker P&amp;L'!A694</f>
        <v/>
      </c>
      <c r="AM694" s="243" t="str">
        <f>'All Ticker P&amp;L'!B694</f>
        <v/>
      </c>
      <c r="AN694" s="243" t="str">
        <f>'All Ticker P&amp;L'!C694</f>
        <v/>
      </c>
      <c r="AO694" s="243" t="str">
        <f>'All Ticker P&amp;L'!D694</f>
        <v/>
      </c>
      <c r="AP694" s="243">
        <f>IF($AL694="",0,'All Ticker P&amp;L'!E694)</f>
        <v>0</v>
      </c>
      <c r="AQ694" s="266">
        <f>IF($AL694="",0,'All Ticker P&amp;L'!J694*'All Ticker P&amp;L'!I694)</f>
        <v>0</v>
      </c>
      <c r="AR694" s="266">
        <f>IF($AL694="",0,'All Ticker P&amp;L'!L694)</f>
        <v>0</v>
      </c>
      <c r="AS694" s="267">
        <f>IF($AL694="",0,'All Ticker P&amp;L'!M694)</f>
        <v>0</v>
      </c>
      <c r="AT694" s="243" t="str">
        <f>IF($AL694="","",RANK(AR694,$AR$2:$AR$1001)+COUNTIF($AR$2:AR694,AR694)-1)</f>
        <v/>
      </c>
      <c r="AU694" s="243" t="str">
        <f>IF($AL694="","",RANK(AV694,$AV$2:$AV$1001)+COUNTIF($AV$2:AV694,AV694)-1)</f>
        <v/>
      </c>
      <c r="AV694" s="266">
        <f t="shared" si="52"/>
        <v>0</v>
      </c>
    </row>
    <row r="695" spans="26:48" ht="15" customHeight="1" x14ac:dyDescent="0.2">
      <c r="Z695" s="243" t="str">
        <f>Shares!A695</f>
        <v/>
      </c>
      <c r="AA695" s="243" t="str">
        <f>Shares!B695</f>
        <v/>
      </c>
      <c r="AB695" s="243" t="str">
        <f>Shares!C695</f>
        <v/>
      </c>
      <c r="AC695" s="243" t="str">
        <f>Shares!D695</f>
        <v/>
      </c>
      <c r="AD695" s="243">
        <f>IF($Z695="",0,Shares!E695)</f>
        <v>0</v>
      </c>
      <c r="AE695" s="266">
        <f>IF($Z695="",0,Shares!J695*Shares!I695)</f>
        <v>0</v>
      </c>
      <c r="AF695" s="267">
        <f t="shared" si="51"/>
        <v>0</v>
      </c>
      <c r="AG695" s="266">
        <f>IF($Z695="",0,Shares!L695)</f>
        <v>0</v>
      </c>
      <c r="AH695" s="267">
        <f>IF($Z695="",0,Shares!M695)</f>
        <v>0</v>
      </c>
      <c r="AI695" s="243" t="str">
        <f>IF($Z695="","",RANK(AE695,$AE$2:$AE$1001)+COUNTIF($AE$2:AE695,AE695)-1)</f>
        <v/>
      </c>
      <c r="AJ695" s="243" t="str">
        <f>IF($AD695&lt;0,COUNT($AJ$1:AJ694)+1,"")</f>
        <v/>
      </c>
      <c r="AL695" s="243" t="str">
        <f>'All Ticker P&amp;L'!A695</f>
        <v/>
      </c>
      <c r="AM695" s="243" t="str">
        <f>'All Ticker P&amp;L'!B695</f>
        <v/>
      </c>
      <c r="AN695" s="243" t="str">
        <f>'All Ticker P&amp;L'!C695</f>
        <v/>
      </c>
      <c r="AO695" s="243" t="str">
        <f>'All Ticker P&amp;L'!D695</f>
        <v/>
      </c>
      <c r="AP695" s="243">
        <f>IF($AL695="",0,'All Ticker P&amp;L'!E695)</f>
        <v>0</v>
      </c>
      <c r="AQ695" s="266">
        <f>IF($AL695="",0,'All Ticker P&amp;L'!J695*'All Ticker P&amp;L'!I695)</f>
        <v>0</v>
      </c>
      <c r="AR695" s="266">
        <f>IF($AL695="",0,'All Ticker P&amp;L'!L695)</f>
        <v>0</v>
      </c>
      <c r="AS695" s="267">
        <f>IF($AL695="",0,'All Ticker P&amp;L'!M695)</f>
        <v>0</v>
      </c>
      <c r="AT695" s="243" t="str">
        <f>IF($AL695="","",RANK(AR695,$AR$2:$AR$1001)+COUNTIF($AR$2:AR695,AR695)-1)</f>
        <v/>
      </c>
      <c r="AU695" s="243" t="str">
        <f>IF($AL695="","",RANK(AV695,$AV$2:$AV$1001)+COUNTIF($AV$2:AV695,AV695)-1)</f>
        <v/>
      </c>
      <c r="AV695" s="266">
        <f t="shared" si="52"/>
        <v>0</v>
      </c>
    </row>
    <row r="696" spans="26:48" ht="15" customHeight="1" x14ac:dyDescent="0.2">
      <c r="Z696" s="243" t="str">
        <f>Shares!A696</f>
        <v/>
      </c>
      <c r="AA696" s="243" t="str">
        <f>Shares!B696</f>
        <v/>
      </c>
      <c r="AB696" s="243" t="str">
        <f>Shares!C696</f>
        <v/>
      </c>
      <c r="AC696" s="243" t="str">
        <f>Shares!D696</f>
        <v/>
      </c>
      <c r="AD696" s="243">
        <f>IF($Z696="",0,Shares!E696)</f>
        <v>0</v>
      </c>
      <c r="AE696" s="266">
        <f>IF($Z696="",0,Shares!J696*Shares!I696)</f>
        <v>0</v>
      </c>
      <c r="AF696" s="267">
        <f t="shared" si="51"/>
        <v>0</v>
      </c>
      <c r="AG696" s="266">
        <f>IF($Z696="",0,Shares!L696)</f>
        <v>0</v>
      </c>
      <c r="AH696" s="267">
        <f>IF($Z696="",0,Shares!M696)</f>
        <v>0</v>
      </c>
      <c r="AI696" s="243" t="str">
        <f>IF($Z696="","",RANK(AE696,$AE$2:$AE$1001)+COUNTIF($AE$2:AE696,AE696)-1)</f>
        <v/>
      </c>
      <c r="AJ696" s="243" t="str">
        <f>IF($AD696&lt;0,COUNT($AJ$1:AJ695)+1,"")</f>
        <v/>
      </c>
      <c r="AL696" s="243" t="str">
        <f>'All Ticker P&amp;L'!A696</f>
        <v/>
      </c>
      <c r="AM696" s="243" t="str">
        <f>'All Ticker P&amp;L'!B696</f>
        <v/>
      </c>
      <c r="AN696" s="243" t="str">
        <f>'All Ticker P&amp;L'!C696</f>
        <v/>
      </c>
      <c r="AO696" s="243" t="str">
        <f>'All Ticker P&amp;L'!D696</f>
        <v/>
      </c>
      <c r="AP696" s="243">
        <f>IF($AL696="",0,'All Ticker P&amp;L'!E696)</f>
        <v>0</v>
      </c>
      <c r="AQ696" s="266">
        <f>IF($AL696="",0,'All Ticker P&amp;L'!J696*'All Ticker P&amp;L'!I696)</f>
        <v>0</v>
      </c>
      <c r="AR696" s="266">
        <f>IF($AL696="",0,'All Ticker P&amp;L'!L696)</f>
        <v>0</v>
      </c>
      <c r="AS696" s="267">
        <f>IF($AL696="",0,'All Ticker P&amp;L'!M696)</f>
        <v>0</v>
      </c>
      <c r="AT696" s="243" t="str">
        <f>IF($AL696="","",RANK(AR696,$AR$2:$AR$1001)+COUNTIF($AR$2:AR696,AR696)-1)</f>
        <v/>
      </c>
      <c r="AU696" s="243" t="str">
        <f>IF($AL696="","",RANK(AV696,$AV$2:$AV$1001)+COUNTIF($AV$2:AV696,AV696)-1)</f>
        <v/>
      </c>
      <c r="AV696" s="266">
        <f t="shared" si="52"/>
        <v>0</v>
      </c>
    </row>
    <row r="697" spans="26:48" ht="15" customHeight="1" x14ac:dyDescent="0.2">
      <c r="Z697" s="243" t="str">
        <f>Shares!A697</f>
        <v/>
      </c>
      <c r="AA697" s="243" t="str">
        <f>Shares!B697</f>
        <v/>
      </c>
      <c r="AB697" s="243" t="str">
        <f>Shares!C697</f>
        <v/>
      </c>
      <c r="AC697" s="243" t="str">
        <f>Shares!D697</f>
        <v/>
      </c>
      <c r="AD697" s="243">
        <f>IF($Z697="",0,Shares!E697)</f>
        <v>0</v>
      </c>
      <c r="AE697" s="266">
        <f>IF($Z697="",0,Shares!J697*Shares!I697)</f>
        <v>0</v>
      </c>
      <c r="AF697" s="267">
        <f t="shared" si="51"/>
        <v>0</v>
      </c>
      <c r="AG697" s="266">
        <f>IF($Z697="",0,Shares!L697)</f>
        <v>0</v>
      </c>
      <c r="AH697" s="267">
        <f>IF($Z697="",0,Shares!M697)</f>
        <v>0</v>
      </c>
      <c r="AI697" s="243" t="str">
        <f>IF($Z697="","",RANK(AE697,$AE$2:$AE$1001)+COUNTIF($AE$2:AE697,AE697)-1)</f>
        <v/>
      </c>
      <c r="AJ697" s="243" t="str">
        <f>IF($AD697&lt;0,COUNT($AJ$1:AJ696)+1,"")</f>
        <v/>
      </c>
      <c r="AL697" s="243" t="str">
        <f>'All Ticker P&amp;L'!A697</f>
        <v/>
      </c>
      <c r="AM697" s="243" t="str">
        <f>'All Ticker P&amp;L'!B697</f>
        <v/>
      </c>
      <c r="AN697" s="243" t="str">
        <f>'All Ticker P&amp;L'!C697</f>
        <v/>
      </c>
      <c r="AO697" s="243" t="str">
        <f>'All Ticker P&amp;L'!D697</f>
        <v/>
      </c>
      <c r="AP697" s="243">
        <f>IF($AL697="",0,'All Ticker P&amp;L'!E697)</f>
        <v>0</v>
      </c>
      <c r="AQ697" s="266">
        <f>IF($AL697="",0,'All Ticker P&amp;L'!J697*'All Ticker P&amp;L'!I697)</f>
        <v>0</v>
      </c>
      <c r="AR697" s="266">
        <f>IF($AL697="",0,'All Ticker P&amp;L'!L697)</f>
        <v>0</v>
      </c>
      <c r="AS697" s="267">
        <f>IF($AL697="",0,'All Ticker P&amp;L'!M697)</f>
        <v>0</v>
      </c>
      <c r="AT697" s="243" t="str">
        <f>IF($AL697="","",RANK(AR697,$AR$2:$AR$1001)+COUNTIF($AR$2:AR697,AR697)-1)</f>
        <v/>
      </c>
      <c r="AU697" s="243" t="str">
        <f>IF($AL697="","",RANK(AV697,$AV$2:$AV$1001)+COUNTIF($AV$2:AV697,AV697)-1)</f>
        <v/>
      </c>
      <c r="AV697" s="266">
        <f t="shared" si="52"/>
        <v>0</v>
      </c>
    </row>
    <row r="698" spans="26:48" ht="15" customHeight="1" x14ac:dyDescent="0.2">
      <c r="Z698" s="243" t="str">
        <f>Shares!A698</f>
        <v/>
      </c>
      <c r="AA698" s="243" t="str">
        <f>Shares!B698</f>
        <v/>
      </c>
      <c r="AB698" s="243" t="str">
        <f>Shares!C698</f>
        <v/>
      </c>
      <c r="AC698" s="243" t="str">
        <f>Shares!D698</f>
        <v/>
      </c>
      <c r="AD698" s="243">
        <f>IF($Z698="",0,Shares!E698)</f>
        <v>0</v>
      </c>
      <c r="AE698" s="266">
        <f>IF($Z698="",0,Shares!J698*Shares!I698)</f>
        <v>0</v>
      </c>
      <c r="AF698" s="267">
        <f t="shared" si="51"/>
        <v>0</v>
      </c>
      <c r="AG698" s="266">
        <f>IF($Z698="",0,Shares!L698)</f>
        <v>0</v>
      </c>
      <c r="AH698" s="267">
        <f>IF($Z698="",0,Shares!M698)</f>
        <v>0</v>
      </c>
      <c r="AI698" s="243" t="str">
        <f>IF($Z698="","",RANK(AE698,$AE$2:$AE$1001)+COUNTIF($AE$2:AE698,AE698)-1)</f>
        <v/>
      </c>
      <c r="AJ698" s="243" t="str">
        <f>IF($AD698&lt;0,COUNT($AJ$1:AJ697)+1,"")</f>
        <v/>
      </c>
      <c r="AL698" s="243" t="str">
        <f>'All Ticker P&amp;L'!A698</f>
        <v/>
      </c>
      <c r="AM698" s="243" t="str">
        <f>'All Ticker P&amp;L'!B698</f>
        <v/>
      </c>
      <c r="AN698" s="243" t="str">
        <f>'All Ticker P&amp;L'!C698</f>
        <v/>
      </c>
      <c r="AO698" s="243" t="str">
        <f>'All Ticker P&amp;L'!D698</f>
        <v/>
      </c>
      <c r="AP698" s="243">
        <f>IF($AL698="",0,'All Ticker P&amp;L'!E698)</f>
        <v>0</v>
      </c>
      <c r="AQ698" s="266">
        <f>IF($AL698="",0,'All Ticker P&amp;L'!J698*'All Ticker P&amp;L'!I698)</f>
        <v>0</v>
      </c>
      <c r="AR698" s="266">
        <f>IF($AL698="",0,'All Ticker P&amp;L'!L698)</f>
        <v>0</v>
      </c>
      <c r="AS698" s="267">
        <f>IF($AL698="",0,'All Ticker P&amp;L'!M698)</f>
        <v>0</v>
      </c>
      <c r="AT698" s="243" t="str">
        <f>IF($AL698="","",RANK(AR698,$AR$2:$AR$1001)+COUNTIF($AR$2:AR698,AR698)-1)</f>
        <v/>
      </c>
      <c r="AU698" s="243" t="str">
        <f>IF($AL698="","",RANK(AV698,$AV$2:$AV$1001)+COUNTIF($AV$2:AV698,AV698)-1)</f>
        <v/>
      </c>
      <c r="AV698" s="266">
        <f t="shared" si="52"/>
        <v>0</v>
      </c>
    </row>
    <row r="699" spans="26:48" ht="15" customHeight="1" x14ac:dyDescent="0.2">
      <c r="Z699" s="243" t="str">
        <f>Shares!A699</f>
        <v/>
      </c>
      <c r="AA699" s="243" t="str">
        <f>Shares!B699</f>
        <v/>
      </c>
      <c r="AB699" s="243" t="str">
        <f>Shares!C699</f>
        <v/>
      </c>
      <c r="AC699" s="243" t="str">
        <f>Shares!D699</f>
        <v/>
      </c>
      <c r="AD699" s="243">
        <f>IF($Z699="",0,Shares!E699)</f>
        <v>0</v>
      </c>
      <c r="AE699" s="266">
        <f>IF($Z699="",0,Shares!J699*Shares!I699)</f>
        <v>0</v>
      </c>
      <c r="AF699" s="267">
        <f t="shared" si="51"/>
        <v>0</v>
      </c>
      <c r="AG699" s="266">
        <f>IF($Z699="",0,Shares!L699)</f>
        <v>0</v>
      </c>
      <c r="AH699" s="267">
        <f>IF($Z699="",0,Shares!M699)</f>
        <v>0</v>
      </c>
      <c r="AI699" s="243" t="str">
        <f>IF($Z699="","",RANK(AE699,$AE$2:$AE$1001)+COUNTIF($AE$2:AE699,AE699)-1)</f>
        <v/>
      </c>
      <c r="AJ699" s="243" t="str">
        <f>IF($AD699&lt;0,COUNT($AJ$1:AJ698)+1,"")</f>
        <v/>
      </c>
      <c r="AL699" s="243" t="str">
        <f>'All Ticker P&amp;L'!A699</f>
        <v/>
      </c>
      <c r="AM699" s="243" t="str">
        <f>'All Ticker P&amp;L'!B699</f>
        <v/>
      </c>
      <c r="AN699" s="243" t="str">
        <f>'All Ticker P&amp;L'!C699</f>
        <v/>
      </c>
      <c r="AO699" s="243" t="str">
        <f>'All Ticker P&amp;L'!D699</f>
        <v/>
      </c>
      <c r="AP699" s="243">
        <f>IF($AL699="",0,'All Ticker P&amp;L'!E699)</f>
        <v>0</v>
      </c>
      <c r="AQ699" s="266">
        <f>IF($AL699="",0,'All Ticker P&amp;L'!J699*'All Ticker P&amp;L'!I699)</f>
        <v>0</v>
      </c>
      <c r="AR699" s="266">
        <f>IF($AL699="",0,'All Ticker P&amp;L'!L699)</f>
        <v>0</v>
      </c>
      <c r="AS699" s="267">
        <f>IF($AL699="",0,'All Ticker P&amp;L'!M699)</f>
        <v>0</v>
      </c>
      <c r="AT699" s="243" t="str">
        <f>IF($AL699="","",RANK(AR699,$AR$2:$AR$1001)+COUNTIF($AR$2:AR699,AR699)-1)</f>
        <v/>
      </c>
      <c r="AU699" s="243" t="str">
        <f>IF($AL699="","",RANK(AV699,$AV$2:$AV$1001)+COUNTIF($AV$2:AV699,AV699)-1)</f>
        <v/>
      </c>
      <c r="AV699" s="266">
        <f t="shared" si="52"/>
        <v>0</v>
      </c>
    </row>
    <row r="700" spans="26:48" ht="15" customHeight="1" x14ac:dyDescent="0.2">
      <c r="Z700" s="243" t="str">
        <f>Shares!A700</f>
        <v/>
      </c>
      <c r="AA700" s="243" t="str">
        <f>Shares!B700</f>
        <v/>
      </c>
      <c r="AB700" s="243" t="str">
        <f>Shares!C700</f>
        <v/>
      </c>
      <c r="AC700" s="243" t="str">
        <f>Shares!D700</f>
        <v/>
      </c>
      <c r="AD700" s="243">
        <f>IF($Z700="",0,Shares!E700)</f>
        <v>0</v>
      </c>
      <c r="AE700" s="266">
        <f>IF($Z700="",0,Shares!J700*Shares!I700)</f>
        <v>0</v>
      </c>
      <c r="AF700" s="267">
        <f t="shared" si="51"/>
        <v>0</v>
      </c>
      <c r="AG700" s="266">
        <f>IF($Z700="",0,Shares!L700)</f>
        <v>0</v>
      </c>
      <c r="AH700" s="267">
        <f>IF($Z700="",0,Shares!M700)</f>
        <v>0</v>
      </c>
      <c r="AI700" s="243" t="str">
        <f>IF($Z700="","",RANK(AE700,$AE$2:$AE$1001)+COUNTIF($AE$2:AE700,AE700)-1)</f>
        <v/>
      </c>
      <c r="AJ700" s="243" t="str">
        <f>IF($AD700&lt;0,COUNT($AJ$1:AJ699)+1,"")</f>
        <v/>
      </c>
      <c r="AL700" s="243" t="str">
        <f>'All Ticker P&amp;L'!A700</f>
        <v/>
      </c>
      <c r="AM700" s="243" t="str">
        <f>'All Ticker P&amp;L'!B700</f>
        <v/>
      </c>
      <c r="AN700" s="243" t="str">
        <f>'All Ticker P&amp;L'!C700</f>
        <v/>
      </c>
      <c r="AO700" s="243" t="str">
        <f>'All Ticker P&amp;L'!D700</f>
        <v/>
      </c>
      <c r="AP700" s="243">
        <f>IF($AL700="",0,'All Ticker P&amp;L'!E700)</f>
        <v>0</v>
      </c>
      <c r="AQ700" s="266">
        <f>IF($AL700="",0,'All Ticker P&amp;L'!J700*'All Ticker P&amp;L'!I700)</f>
        <v>0</v>
      </c>
      <c r="AR700" s="266">
        <f>IF($AL700="",0,'All Ticker P&amp;L'!L700)</f>
        <v>0</v>
      </c>
      <c r="AS700" s="267">
        <f>IF($AL700="",0,'All Ticker P&amp;L'!M700)</f>
        <v>0</v>
      </c>
      <c r="AT700" s="243" t="str">
        <f>IF($AL700="","",RANK(AR700,$AR$2:$AR$1001)+COUNTIF($AR$2:AR700,AR700)-1)</f>
        <v/>
      </c>
      <c r="AU700" s="243" t="str">
        <f>IF($AL700="","",RANK(AV700,$AV$2:$AV$1001)+COUNTIF($AV$2:AV700,AV700)-1)</f>
        <v/>
      </c>
      <c r="AV700" s="266">
        <f t="shared" si="52"/>
        <v>0</v>
      </c>
    </row>
    <row r="701" spans="26:48" ht="15" customHeight="1" x14ac:dyDescent="0.2">
      <c r="Z701" s="243" t="str">
        <f>Shares!A701</f>
        <v/>
      </c>
      <c r="AA701" s="243" t="str">
        <f>Shares!B701</f>
        <v/>
      </c>
      <c r="AB701" s="243" t="str">
        <f>Shares!C701</f>
        <v/>
      </c>
      <c r="AC701" s="243" t="str">
        <f>Shares!D701</f>
        <v/>
      </c>
      <c r="AD701" s="243">
        <f>IF($Z701="",0,Shares!E701)</f>
        <v>0</v>
      </c>
      <c r="AE701" s="266">
        <f>IF($Z701="",0,Shares!J701*Shares!I701)</f>
        <v>0</v>
      </c>
      <c r="AF701" s="267">
        <f t="shared" si="51"/>
        <v>0</v>
      </c>
      <c r="AG701" s="266">
        <f>IF($Z701="",0,Shares!L701)</f>
        <v>0</v>
      </c>
      <c r="AH701" s="267">
        <f>IF($Z701="",0,Shares!M701)</f>
        <v>0</v>
      </c>
      <c r="AI701" s="243" t="str">
        <f>IF($Z701="","",RANK(AE701,$AE$2:$AE$1001)+COUNTIF($AE$2:AE701,AE701)-1)</f>
        <v/>
      </c>
      <c r="AJ701" s="243" t="str">
        <f>IF($AD701&lt;0,COUNT($AJ$1:AJ700)+1,"")</f>
        <v/>
      </c>
      <c r="AL701" s="243" t="str">
        <f>'All Ticker P&amp;L'!A701</f>
        <v/>
      </c>
      <c r="AM701" s="243" t="str">
        <f>'All Ticker P&amp;L'!B701</f>
        <v/>
      </c>
      <c r="AN701" s="243" t="str">
        <f>'All Ticker P&amp;L'!C701</f>
        <v/>
      </c>
      <c r="AO701" s="243" t="str">
        <f>'All Ticker P&amp;L'!D701</f>
        <v/>
      </c>
      <c r="AP701" s="243">
        <f>IF($AL701="",0,'All Ticker P&amp;L'!E701)</f>
        <v>0</v>
      </c>
      <c r="AQ701" s="266">
        <f>IF($AL701="",0,'All Ticker P&amp;L'!J701*'All Ticker P&amp;L'!I701)</f>
        <v>0</v>
      </c>
      <c r="AR701" s="266">
        <f>IF($AL701="",0,'All Ticker P&amp;L'!L701)</f>
        <v>0</v>
      </c>
      <c r="AS701" s="267">
        <f>IF($AL701="",0,'All Ticker P&amp;L'!M701)</f>
        <v>0</v>
      </c>
      <c r="AT701" s="243" t="str">
        <f>IF($AL701="","",RANK(AR701,$AR$2:$AR$1001)+COUNTIF($AR$2:AR701,AR701)-1)</f>
        <v/>
      </c>
      <c r="AU701" s="243" t="str">
        <f>IF($AL701="","",RANK(AV701,$AV$2:$AV$1001)+COUNTIF($AV$2:AV701,AV701)-1)</f>
        <v/>
      </c>
      <c r="AV701" s="266">
        <f t="shared" si="52"/>
        <v>0</v>
      </c>
    </row>
    <row r="702" spans="26:48" ht="15" customHeight="1" x14ac:dyDescent="0.2">
      <c r="Z702" s="243" t="str">
        <f>Shares!A702</f>
        <v/>
      </c>
      <c r="AA702" s="243" t="str">
        <f>Shares!B702</f>
        <v/>
      </c>
      <c r="AB702" s="243" t="str">
        <f>Shares!C702</f>
        <v/>
      </c>
      <c r="AC702" s="243" t="str">
        <f>Shares!D702</f>
        <v/>
      </c>
      <c r="AD702" s="243">
        <f>IF($Z702="",0,Shares!E702)</f>
        <v>0</v>
      </c>
      <c r="AE702" s="266">
        <f>IF($Z702="",0,Shares!J702*Shares!I702)</f>
        <v>0</v>
      </c>
      <c r="AF702" s="267">
        <f t="shared" si="51"/>
        <v>0</v>
      </c>
      <c r="AG702" s="266">
        <f>IF($Z702="",0,Shares!L702)</f>
        <v>0</v>
      </c>
      <c r="AH702" s="267">
        <f>IF($Z702="",0,Shares!M702)</f>
        <v>0</v>
      </c>
      <c r="AI702" s="243" t="str">
        <f>IF($Z702="","",RANK(AE702,$AE$2:$AE$1001)+COUNTIF($AE$2:AE702,AE702)-1)</f>
        <v/>
      </c>
      <c r="AJ702" s="243" t="str">
        <f>IF($AD702&lt;0,COUNT($AJ$1:AJ701)+1,"")</f>
        <v/>
      </c>
      <c r="AL702" s="243" t="str">
        <f>'All Ticker P&amp;L'!A702</f>
        <v/>
      </c>
      <c r="AM702" s="243" t="str">
        <f>'All Ticker P&amp;L'!B702</f>
        <v/>
      </c>
      <c r="AN702" s="243" t="str">
        <f>'All Ticker P&amp;L'!C702</f>
        <v/>
      </c>
      <c r="AO702" s="243" t="str">
        <f>'All Ticker P&amp;L'!D702</f>
        <v/>
      </c>
      <c r="AP702" s="243">
        <f>IF($AL702="",0,'All Ticker P&amp;L'!E702)</f>
        <v>0</v>
      </c>
      <c r="AQ702" s="266">
        <f>IF($AL702="",0,'All Ticker P&amp;L'!J702*'All Ticker P&amp;L'!I702)</f>
        <v>0</v>
      </c>
      <c r="AR702" s="266">
        <f>IF($AL702="",0,'All Ticker P&amp;L'!L702)</f>
        <v>0</v>
      </c>
      <c r="AS702" s="267">
        <f>IF($AL702="",0,'All Ticker P&amp;L'!M702)</f>
        <v>0</v>
      </c>
      <c r="AT702" s="243" t="str">
        <f>IF($AL702="","",RANK(AR702,$AR$2:$AR$1001)+COUNTIF($AR$2:AR702,AR702)-1)</f>
        <v/>
      </c>
      <c r="AU702" s="243" t="str">
        <f>IF($AL702="","",RANK(AV702,$AV$2:$AV$1001)+COUNTIF($AV$2:AV702,AV702)-1)</f>
        <v/>
      </c>
      <c r="AV702" s="266">
        <f t="shared" si="52"/>
        <v>0</v>
      </c>
    </row>
    <row r="703" spans="26:48" ht="15" customHeight="1" x14ac:dyDescent="0.2">
      <c r="Z703" s="243" t="str">
        <f>Shares!A703</f>
        <v/>
      </c>
      <c r="AA703" s="243" t="str">
        <f>Shares!B703</f>
        <v/>
      </c>
      <c r="AB703" s="243" t="str">
        <f>Shares!C703</f>
        <v/>
      </c>
      <c r="AC703" s="243" t="str">
        <f>Shares!D703</f>
        <v/>
      </c>
      <c r="AD703" s="243">
        <f>IF($Z703="",0,Shares!E703)</f>
        <v>0</v>
      </c>
      <c r="AE703" s="266">
        <f>IF($Z703="",0,Shares!J703*Shares!I703)</f>
        <v>0</v>
      </c>
      <c r="AF703" s="267">
        <f t="shared" si="51"/>
        <v>0</v>
      </c>
      <c r="AG703" s="266">
        <f>IF($Z703="",0,Shares!L703)</f>
        <v>0</v>
      </c>
      <c r="AH703" s="267">
        <f>IF($Z703="",0,Shares!M703)</f>
        <v>0</v>
      </c>
      <c r="AI703" s="243" t="str">
        <f>IF($Z703="","",RANK(AE703,$AE$2:$AE$1001)+COUNTIF($AE$2:AE703,AE703)-1)</f>
        <v/>
      </c>
      <c r="AJ703" s="243" t="str">
        <f>IF($AD703&lt;0,COUNT($AJ$1:AJ702)+1,"")</f>
        <v/>
      </c>
      <c r="AL703" s="243" t="str">
        <f>'All Ticker P&amp;L'!A703</f>
        <v/>
      </c>
      <c r="AM703" s="243" t="str">
        <f>'All Ticker P&amp;L'!B703</f>
        <v/>
      </c>
      <c r="AN703" s="243" t="str">
        <f>'All Ticker P&amp;L'!C703</f>
        <v/>
      </c>
      <c r="AO703" s="243" t="str">
        <f>'All Ticker P&amp;L'!D703</f>
        <v/>
      </c>
      <c r="AP703" s="243">
        <f>IF($AL703="",0,'All Ticker P&amp;L'!E703)</f>
        <v>0</v>
      </c>
      <c r="AQ703" s="266">
        <f>IF($AL703="",0,'All Ticker P&amp;L'!J703*'All Ticker P&amp;L'!I703)</f>
        <v>0</v>
      </c>
      <c r="AR703" s="266">
        <f>IF($AL703="",0,'All Ticker P&amp;L'!L703)</f>
        <v>0</v>
      </c>
      <c r="AS703" s="267">
        <f>IF($AL703="",0,'All Ticker P&amp;L'!M703)</f>
        <v>0</v>
      </c>
      <c r="AT703" s="243" t="str">
        <f>IF($AL703="","",RANK(AR703,$AR$2:$AR$1001)+COUNTIF($AR$2:AR703,AR703)-1)</f>
        <v/>
      </c>
      <c r="AU703" s="243" t="str">
        <f>IF($AL703="","",RANK(AV703,$AV$2:$AV$1001)+COUNTIF($AV$2:AV703,AV703)-1)</f>
        <v/>
      </c>
      <c r="AV703" s="266">
        <f t="shared" si="52"/>
        <v>0</v>
      </c>
    </row>
    <row r="704" spans="26:48" ht="15" customHeight="1" x14ac:dyDescent="0.2">
      <c r="Z704" s="243" t="str">
        <f>Shares!A704</f>
        <v/>
      </c>
      <c r="AA704" s="243" t="str">
        <f>Shares!B704</f>
        <v/>
      </c>
      <c r="AB704" s="243" t="str">
        <f>Shares!C704</f>
        <v/>
      </c>
      <c r="AC704" s="243" t="str">
        <f>Shares!D704</f>
        <v/>
      </c>
      <c r="AD704" s="243">
        <f>IF($Z704="",0,Shares!E704)</f>
        <v>0</v>
      </c>
      <c r="AE704" s="266">
        <f>IF($Z704="",0,Shares!J704*Shares!I704)</f>
        <v>0</v>
      </c>
      <c r="AF704" s="267">
        <f t="shared" si="51"/>
        <v>0</v>
      </c>
      <c r="AG704" s="266">
        <f>IF($Z704="",0,Shares!L704)</f>
        <v>0</v>
      </c>
      <c r="AH704" s="267">
        <f>IF($Z704="",0,Shares!M704)</f>
        <v>0</v>
      </c>
      <c r="AI704" s="243" t="str">
        <f>IF($Z704="","",RANK(AE704,$AE$2:$AE$1001)+COUNTIF($AE$2:AE704,AE704)-1)</f>
        <v/>
      </c>
      <c r="AJ704" s="243" t="str">
        <f>IF($AD704&lt;0,COUNT($AJ$1:AJ703)+1,"")</f>
        <v/>
      </c>
      <c r="AL704" s="243" t="str">
        <f>'All Ticker P&amp;L'!A704</f>
        <v/>
      </c>
      <c r="AM704" s="243" t="str">
        <f>'All Ticker P&amp;L'!B704</f>
        <v/>
      </c>
      <c r="AN704" s="243" t="str">
        <f>'All Ticker P&amp;L'!C704</f>
        <v/>
      </c>
      <c r="AO704" s="243" t="str">
        <f>'All Ticker P&amp;L'!D704</f>
        <v/>
      </c>
      <c r="AP704" s="243">
        <f>IF($AL704="",0,'All Ticker P&amp;L'!E704)</f>
        <v>0</v>
      </c>
      <c r="AQ704" s="266">
        <f>IF($AL704="",0,'All Ticker P&amp;L'!J704*'All Ticker P&amp;L'!I704)</f>
        <v>0</v>
      </c>
      <c r="AR704" s="266">
        <f>IF($AL704="",0,'All Ticker P&amp;L'!L704)</f>
        <v>0</v>
      </c>
      <c r="AS704" s="267">
        <f>IF($AL704="",0,'All Ticker P&amp;L'!M704)</f>
        <v>0</v>
      </c>
      <c r="AT704" s="243" t="str">
        <f>IF($AL704="","",RANK(AR704,$AR$2:$AR$1001)+COUNTIF($AR$2:AR704,AR704)-1)</f>
        <v/>
      </c>
      <c r="AU704" s="243" t="str">
        <f>IF($AL704="","",RANK(AV704,$AV$2:$AV$1001)+COUNTIF($AV$2:AV704,AV704)-1)</f>
        <v/>
      </c>
      <c r="AV704" s="266">
        <f t="shared" si="52"/>
        <v>0</v>
      </c>
    </row>
    <row r="705" spans="26:48" ht="15" customHeight="1" x14ac:dyDescent="0.2">
      <c r="Z705" s="243" t="str">
        <f>Shares!A705</f>
        <v/>
      </c>
      <c r="AA705" s="243" t="str">
        <f>Shares!B705</f>
        <v/>
      </c>
      <c r="AB705" s="243" t="str">
        <f>Shares!C705</f>
        <v/>
      </c>
      <c r="AC705" s="243" t="str">
        <f>Shares!D705</f>
        <v/>
      </c>
      <c r="AD705" s="243">
        <f>IF($Z705="",0,Shares!E705)</f>
        <v>0</v>
      </c>
      <c r="AE705" s="266">
        <f>IF($Z705="",0,Shares!J705*Shares!I705)</f>
        <v>0</v>
      </c>
      <c r="AF705" s="267">
        <f t="shared" si="51"/>
        <v>0</v>
      </c>
      <c r="AG705" s="266">
        <f>IF($Z705="",0,Shares!L705)</f>
        <v>0</v>
      </c>
      <c r="AH705" s="267">
        <f>IF($Z705="",0,Shares!M705)</f>
        <v>0</v>
      </c>
      <c r="AI705" s="243" t="str">
        <f>IF($Z705="","",RANK(AE705,$AE$2:$AE$1001)+COUNTIF($AE$2:AE705,AE705)-1)</f>
        <v/>
      </c>
      <c r="AJ705" s="243" t="str">
        <f>IF($AD705&lt;0,COUNT($AJ$1:AJ704)+1,"")</f>
        <v/>
      </c>
      <c r="AL705" s="243" t="str">
        <f>'All Ticker P&amp;L'!A705</f>
        <v/>
      </c>
      <c r="AM705" s="243" t="str">
        <f>'All Ticker P&amp;L'!B705</f>
        <v/>
      </c>
      <c r="AN705" s="243" t="str">
        <f>'All Ticker P&amp;L'!C705</f>
        <v/>
      </c>
      <c r="AO705" s="243" t="str">
        <f>'All Ticker P&amp;L'!D705</f>
        <v/>
      </c>
      <c r="AP705" s="243">
        <f>IF($AL705="",0,'All Ticker P&amp;L'!E705)</f>
        <v>0</v>
      </c>
      <c r="AQ705" s="266">
        <f>IF($AL705="",0,'All Ticker P&amp;L'!J705*'All Ticker P&amp;L'!I705)</f>
        <v>0</v>
      </c>
      <c r="AR705" s="266">
        <f>IF($AL705="",0,'All Ticker P&amp;L'!L705)</f>
        <v>0</v>
      </c>
      <c r="AS705" s="267">
        <f>IF($AL705="",0,'All Ticker P&amp;L'!M705)</f>
        <v>0</v>
      </c>
      <c r="AT705" s="243" t="str">
        <f>IF($AL705="","",RANK(AR705,$AR$2:$AR$1001)+COUNTIF($AR$2:AR705,AR705)-1)</f>
        <v/>
      </c>
      <c r="AU705" s="243" t="str">
        <f>IF($AL705="","",RANK(AV705,$AV$2:$AV$1001)+COUNTIF($AV$2:AV705,AV705)-1)</f>
        <v/>
      </c>
      <c r="AV705" s="266">
        <f t="shared" si="52"/>
        <v>0</v>
      </c>
    </row>
    <row r="706" spans="26:48" ht="15" customHeight="1" x14ac:dyDescent="0.2">
      <c r="Z706" s="243" t="str">
        <f>Shares!A706</f>
        <v/>
      </c>
      <c r="AA706" s="243" t="str">
        <f>Shares!B706</f>
        <v/>
      </c>
      <c r="AB706" s="243" t="str">
        <f>Shares!C706</f>
        <v/>
      </c>
      <c r="AC706" s="243" t="str">
        <f>Shares!D706</f>
        <v/>
      </c>
      <c r="AD706" s="243">
        <f>IF($Z706="",0,Shares!E706)</f>
        <v>0</v>
      </c>
      <c r="AE706" s="266">
        <f>IF($Z706="",0,Shares!J706*Shares!I706)</f>
        <v>0</v>
      </c>
      <c r="AF706" s="267">
        <f t="shared" ref="AF706:AF769" si="53">IFERROR(AE706/$B$5,0)</f>
        <v>0</v>
      </c>
      <c r="AG706" s="266">
        <f>IF($Z706="",0,Shares!L706)</f>
        <v>0</v>
      </c>
      <c r="AH706" s="267">
        <f>IF($Z706="",0,Shares!M706)</f>
        <v>0</v>
      </c>
      <c r="AI706" s="243" t="str">
        <f>IF($Z706="","",RANK(AE706,$AE$2:$AE$1001)+COUNTIF($AE$2:AE706,AE706)-1)</f>
        <v/>
      </c>
      <c r="AJ706" s="243" t="str">
        <f>IF($AD706&lt;0,COUNT($AJ$1:AJ705)+1,"")</f>
        <v/>
      </c>
      <c r="AL706" s="243" t="str">
        <f>'All Ticker P&amp;L'!A706</f>
        <v/>
      </c>
      <c r="AM706" s="243" t="str">
        <f>'All Ticker P&amp;L'!B706</f>
        <v/>
      </c>
      <c r="AN706" s="243" t="str">
        <f>'All Ticker P&amp;L'!C706</f>
        <v/>
      </c>
      <c r="AO706" s="243" t="str">
        <f>'All Ticker P&amp;L'!D706</f>
        <v/>
      </c>
      <c r="AP706" s="243">
        <f>IF($AL706="",0,'All Ticker P&amp;L'!E706)</f>
        <v>0</v>
      </c>
      <c r="AQ706" s="266">
        <f>IF($AL706="",0,'All Ticker P&amp;L'!J706*'All Ticker P&amp;L'!I706)</f>
        <v>0</v>
      </c>
      <c r="AR706" s="266">
        <f>IF($AL706="",0,'All Ticker P&amp;L'!L706)</f>
        <v>0</v>
      </c>
      <c r="AS706" s="267">
        <f>IF($AL706="",0,'All Ticker P&amp;L'!M706)</f>
        <v>0</v>
      </c>
      <c r="AT706" s="243" t="str">
        <f>IF($AL706="","",RANK(AR706,$AR$2:$AR$1001)+COUNTIF($AR$2:AR706,AR706)-1)</f>
        <v/>
      </c>
      <c r="AU706" s="243" t="str">
        <f>IF($AL706="","",RANK(AV706,$AV$2:$AV$1001)+COUNTIF($AV$2:AV706,AV706)-1)</f>
        <v/>
      </c>
      <c r="AV706" s="266">
        <f t="shared" ref="AV706:AV769" si="54">-AR706</f>
        <v>0</v>
      </c>
    </row>
    <row r="707" spans="26:48" ht="15" customHeight="1" x14ac:dyDescent="0.2">
      <c r="Z707" s="243" t="str">
        <f>Shares!A707</f>
        <v/>
      </c>
      <c r="AA707" s="243" t="str">
        <f>Shares!B707</f>
        <v/>
      </c>
      <c r="AB707" s="243" t="str">
        <f>Shares!C707</f>
        <v/>
      </c>
      <c r="AC707" s="243" t="str">
        <f>Shares!D707</f>
        <v/>
      </c>
      <c r="AD707" s="243">
        <f>IF($Z707="",0,Shares!E707)</f>
        <v>0</v>
      </c>
      <c r="AE707" s="266">
        <f>IF($Z707="",0,Shares!J707*Shares!I707)</f>
        <v>0</v>
      </c>
      <c r="AF707" s="267">
        <f t="shared" si="53"/>
        <v>0</v>
      </c>
      <c r="AG707" s="266">
        <f>IF($Z707="",0,Shares!L707)</f>
        <v>0</v>
      </c>
      <c r="AH707" s="267">
        <f>IF($Z707="",0,Shares!M707)</f>
        <v>0</v>
      </c>
      <c r="AI707" s="243" t="str">
        <f>IF($Z707="","",RANK(AE707,$AE$2:$AE$1001)+COUNTIF($AE$2:AE707,AE707)-1)</f>
        <v/>
      </c>
      <c r="AJ707" s="243" t="str">
        <f>IF($AD707&lt;0,COUNT($AJ$1:AJ706)+1,"")</f>
        <v/>
      </c>
      <c r="AL707" s="243" t="str">
        <f>'All Ticker P&amp;L'!A707</f>
        <v/>
      </c>
      <c r="AM707" s="243" t="str">
        <f>'All Ticker P&amp;L'!B707</f>
        <v/>
      </c>
      <c r="AN707" s="243" t="str">
        <f>'All Ticker P&amp;L'!C707</f>
        <v/>
      </c>
      <c r="AO707" s="243" t="str">
        <f>'All Ticker P&amp;L'!D707</f>
        <v/>
      </c>
      <c r="AP707" s="243">
        <f>IF($AL707="",0,'All Ticker P&amp;L'!E707)</f>
        <v>0</v>
      </c>
      <c r="AQ707" s="266">
        <f>IF($AL707="",0,'All Ticker P&amp;L'!J707*'All Ticker P&amp;L'!I707)</f>
        <v>0</v>
      </c>
      <c r="AR707" s="266">
        <f>IF($AL707="",0,'All Ticker P&amp;L'!L707)</f>
        <v>0</v>
      </c>
      <c r="AS707" s="267">
        <f>IF($AL707="",0,'All Ticker P&amp;L'!M707)</f>
        <v>0</v>
      </c>
      <c r="AT707" s="243" t="str">
        <f>IF($AL707="","",RANK(AR707,$AR$2:$AR$1001)+COUNTIF($AR$2:AR707,AR707)-1)</f>
        <v/>
      </c>
      <c r="AU707" s="243" t="str">
        <f>IF($AL707="","",RANK(AV707,$AV$2:$AV$1001)+COUNTIF($AV$2:AV707,AV707)-1)</f>
        <v/>
      </c>
      <c r="AV707" s="266">
        <f t="shared" si="54"/>
        <v>0</v>
      </c>
    </row>
    <row r="708" spans="26:48" ht="15" customHeight="1" x14ac:dyDescent="0.2">
      <c r="Z708" s="243" t="str">
        <f>Shares!A708</f>
        <v/>
      </c>
      <c r="AA708" s="243" t="str">
        <f>Shares!B708</f>
        <v/>
      </c>
      <c r="AB708" s="243" t="str">
        <f>Shares!C708</f>
        <v/>
      </c>
      <c r="AC708" s="243" t="str">
        <f>Shares!D708</f>
        <v/>
      </c>
      <c r="AD708" s="243">
        <f>IF($Z708="",0,Shares!E708)</f>
        <v>0</v>
      </c>
      <c r="AE708" s="266">
        <f>IF($Z708="",0,Shares!J708*Shares!I708)</f>
        <v>0</v>
      </c>
      <c r="AF708" s="267">
        <f t="shared" si="53"/>
        <v>0</v>
      </c>
      <c r="AG708" s="266">
        <f>IF($Z708="",0,Shares!L708)</f>
        <v>0</v>
      </c>
      <c r="AH708" s="267">
        <f>IF($Z708="",0,Shares!M708)</f>
        <v>0</v>
      </c>
      <c r="AI708" s="243" t="str">
        <f>IF($Z708="","",RANK(AE708,$AE$2:$AE$1001)+COUNTIF($AE$2:AE708,AE708)-1)</f>
        <v/>
      </c>
      <c r="AJ708" s="243" t="str">
        <f>IF($AD708&lt;0,COUNT($AJ$1:AJ707)+1,"")</f>
        <v/>
      </c>
      <c r="AL708" s="243" t="str">
        <f>'All Ticker P&amp;L'!A708</f>
        <v/>
      </c>
      <c r="AM708" s="243" t="str">
        <f>'All Ticker P&amp;L'!B708</f>
        <v/>
      </c>
      <c r="AN708" s="243" t="str">
        <f>'All Ticker P&amp;L'!C708</f>
        <v/>
      </c>
      <c r="AO708" s="243" t="str">
        <f>'All Ticker P&amp;L'!D708</f>
        <v/>
      </c>
      <c r="AP708" s="243">
        <f>IF($AL708="",0,'All Ticker P&amp;L'!E708)</f>
        <v>0</v>
      </c>
      <c r="AQ708" s="266">
        <f>IF($AL708="",0,'All Ticker P&amp;L'!J708*'All Ticker P&amp;L'!I708)</f>
        <v>0</v>
      </c>
      <c r="AR708" s="266">
        <f>IF($AL708="",0,'All Ticker P&amp;L'!L708)</f>
        <v>0</v>
      </c>
      <c r="AS708" s="267">
        <f>IF($AL708="",0,'All Ticker P&amp;L'!M708)</f>
        <v>0</v>
      </c>
      <c r="AT708" s="243" t="str">
        <f>IF($AL708="","",RANK(AR708,$AR$2:$AR$1001)+COUNTIF($AR$2:AR708,AR708)-1)</f>
        <v/>
      </c>
      <c r="AU708" s="243" t="str">
        <f>IF($AL708="","",RANK(AV708,$AV$2:$AV$1001)+COUNTIF($AV$2:AV708,AV708)-1)</f>
        <v/>
      </c>
      <c r="AV708" s="266">
        <f t="shared" si="54"/>
        <v>0</v>
      </c>
    </row>
    <row r="709" spans="26:48" ht="15" customHeight="1" x14ac:dyDescent="0.2">
      <c r="Z709" s="243" t="str">
        <f>Shares!A709</f>
        <v/>
      </c>
      <c r="AA709" s="243" t="str">
        <f>Shares!B709</f>
        <v/>
      </c>
      <c r="AB709" s="243" t="str">
        <f>Shares!C709</f>
        <v/>
      </c>
      <c r="AC709" s="243" t="str">
        <f>Shares!D709</f>
        <v/>
      </c>
      <c r="AD709" s="243">
        <f>IF($Z709="",0,Shares!E709)</f>
        <v>0</v>
      </c>
      <c r="AE709" s="266">
        <f>IF($Z709="",0,Shares!J709*Shares!I709)</f>
        <v>0</v>
      </c>
      <c r="AF709" s="267">
        <f t="shared" si="53"/>
        <v>0</v>
      </c>
      <c r="AG709" s="266">
        <f>IF($Z709="",0,Shares!L709)</f>
        <v>0</v>
      </c>
      <c r="AH709" s="267">
        <f>IF($Z709="",0,Shares!M709)</f>
        <v>0</v>
      </c>
      <c r="AI709" s="243" t="str">
        <f>IF($Z709="","",RANK(AE709,$AE$2:$AE$1001)+COUNTIF($AE$2:AE709,AE709)-1)</f>
        <v/>
      </c>
      <c r="AJ709" s="243" t="str">
        <f>IF($AD709&lt;0,COUNT($AJ$1:AJ708)+1,"")</f>
        <v/>
      </c>
      <c r="AL709" s="243" t="str">
        <f>'All Ticker P&amp;L'!A709</f>
        <v/>
      </c>
      <c r="AM709" s="243" t="str">
        <f>'All Ticker P&amp;L'!B709</f>
        <v/>
      </c>
      <c r="AN709" s="243" t="str">
        <f>'All Ticker P&amp;L'!C709</f>
        <v/>
      </c>
      <c r="AO709" s="243" t="str">
        <f>'All Ticker P&amp;L'!D709</f>
        <v/>
      </c>
      <c r="AP709" s="243">
        <f>IF($AL709="",0,'All Ticker P&amp;L'!E709)</f>
        <v>0</v>
      </c>
      <c r="AQ709" s="266">
        <f>IF($AL709="",0,'All Ticker P&amp;L'!J709*'All Ticker P&amp;L'!I709)</f>
        <v>0</v>
      </c>
      <c r="AR709" s="266">
        <f>IF($AL709="",0,'All Ticker P&amp;L'!L709)</f>
        <v>0</v>
      </c>
      <c r="AS709" s="267">
        <f>IF($AL709="",0,'All Ticker P&amp;L'!M709)</f>
        <v>0</v>
      </c>
      <c r="AT709" s="243" t="str">
        <f>IF($AL709="","",RANK(AR709,$AR$2:$AR$1001)+COUNTIF($AR$2:AR709,AR709)-1)</f>
        <v/>
      </c>
      <c r="AU709" s="243" t="str">
        <f>IF($AL709="","",RANK(AV709,$AV$2:$AV$1001)+COUNTIF($AV$2:AV709,AV709)-1)</f>
        <v/>
      </c>
      <c r="AV709" s="266">
        <f t="shared" si="54"/>
        <v>0</v>
      </c>
    </row>
    <row r="710" spans="26:48" ht="15" customHeight="1" x14ac:dyDescent="0.2">
      <c r="Z710" s="243" t="str">
        <f>Shares!A710</f>
        <v/>
      </c>
      <c r="AA710" s="243" t="str">
        <f>Shares!B710</f>
        <v/>
      </c>
      <c r="AB710" s="243" t="str">
        <f>Shares!C710</f>
        <v/>
      </c>
      <c r="AC710" s="243" t="str">
        <f>Shares!D710</f>
        <v/>
      </c>
      <c r="AD710" s="243">
        <f>IF($Z710="",0,Shares!E710)</f>
        <v>0</v>
      </c>
      <c r="AE710" s="266">
        <f>IF($Z710="",0,Shares!J710*Shares!I710)</f>
        <v>0</v>
      </c>
      <c r="AF710" s="267">
        <f t="shared" si="53"/>
        <v>0</v>
      </c>
      <c r="AG710" s="266">
        <f>IF($Z710="",0,Shares!L710)</f>
        <v>0</v>
      </c>
      <c r="AH710" s="267">
        <f>IF($Z710="",0,Shares!M710)</f>
        <v>0</v>
      </c>
      <c r="AI710" s="243" t="str">
        <f>IF($Z710="","",RANK(AE710,$AE$2:$AE$1001)+COUNTIF($AE$2:AE710,AE710)-1)</f>
        <v/>
      </c>
      <c r="AJ710" s="243" t="str">
        <f>IF($AD710&lt;0,COUNT($AJ$1:AJ709)+1,"")</f>
        <v/>
      </c>
      <c r="AL710" s="243" t="str">
        <f>'All Ticker P&amp;L'!A710</f>
        <v/>
      </c>
      <c r="AM710" s="243" t="str">
        <f>'All Ticker P&amp;L'!B710</f>
        <v/>
      </c>
      <c r="AN710" s="243" t="str">
        <f>'All Ticker P&amp;L'!C710</f>
        <v/>
      </c>
      <c r="AO710" s="243" t="str">
        <f>'All Ticker P&amp;L'!D710</f>
        <v/>
      </c>
      <c r="AP710" s="243">
        <f>IF($AL710="",0,'All Ticker P&amp;L'!E710)</f>
        <v>0</v>
      </c>
      <c r="AQ710" s="266">
        <f>IF($AL710="",0,'All Ticker P&amp;L'!J710*'All Ticker P&amp;L'!I710)</f>
        <v>0</v>
      </c>
      <c r="AR710" s="266">
        <f>IF($AL710="",0,'All Ticker P&amp;L'!L710)</f>
        <v>0</v>
      </c>
      <c r="AS710" s="267">
        <f>IF($AL710="",0,'All Ticker P&amp;L'!M710)</f>
        <v>0</v>
      </c>
      <c r="AT710" s="243" t="str">
        <f>IF($AL710="","",RANK(AR710,$AR$2:$AR$1001)+COUNTIF($AR$2:AR710,AR710)-1)</f>
        <v/>
      </c>
      <c r="AU710" s="243" t="str">
        <f>IF($AL710="","",RANK(AV710,$AV$2:$AV$1001)+COUNTIF($AV$2:AV710,AV710)-1)</f>
        <v/>
      </c>
      <c r="AV710" s="266">
        <f t="shared" si="54"/>
        <v>0</v>
      </c>
    </row>
    <row r="711" spans="26:48" ht="15" customHeight="1" x14ac:dyDescent="0.2">
      <c r="Z711" s="243" t="str">
        <f>Shares!A711</f>
        <v/>
      </c>
      <c r="AA711" s="243" t="str">
        <f>Shares!B711</f>
        <v/>
      </c>
      <c r="AB711" s="243" t="str">
        <f>Shares!C711</f>
        <v/>
      </c>
      <c r="AC711" s="243" t="str">
        <f>Shares!D711</f>
        <v/>
      </c>
      <c r="AD711" s="243">
        <f>IF($Z711="",0,Shares!E711)</f>
        <v>0</v>
      </c>
      <c r="AE711" s="266">
        <f>IF($Z711="",0,Shares!J711*Shares!I711)</f>
        <v>0</v>
      </c>
      <c r="AF711" s="267">
        <f t="shared" si="53"/>
        <v>0</v>
      </c>
      <c r="AG711" s="266">
        <f>IF($Z711="",0,Shares!L711)</f>
        <v>0</v>
      </c>
      <c r="AH711" s="267">
        <f>IF($Z711="",0,Shares!M711)</f>
        <v>0</v>
      </c>
      <c r="AI711" s="243" t="str">
        <f>IF($Z711="","",RANK(AE711,$AE$2:$AE$1001)+COUNTIF($AE$2:AE711,AE711)-1)</f>
        <v/>
      </c>
      <c r="AJ711" s="243" t="str">
        <f>IF($AD711&lt;0,COUNT($AJ$1:AJ710)+1,"")</f>
        <v/>
      </c>
      <c r="AL711" s="243" t="str">
        <f>'All Ticker P&amp;L'!A711</f>
        <v/>
      </c>
      <c r="AM711" s="243" t="str">
        <f>'All Ticker P&amp;L'!B711</f>
        <v/>
      </c>
      <c r="AN711" s="243" t="str">
        <f>'All Ticker P&amp;L'!C711</f>
        <v/>
      </c>
      <c r="AO711" s="243" t="str">
        <f>'All Ticker P&amp;L'!D711</f>
        <v/>
      </c>
      <c r="AP711" s="243">
        <f>IF($AL711="",0,'All Ticker P&amp;L'!E711)</f>
        <v>0</v>
      </c>
      <c r="AQ711" s="266">
        <f>IF($AL711="",0,'All Ticker P&amp;L'!J711*'All Ticker P&amp;L'!I711)</f>
        <v>0</v>
      </c>
      <c r="AR711" s="266">
        <f>IF($AL711="",0,'All Ticker P&amp;L'!L711)</f>
        <v>0</v>
      </c>
      <c r="AS711" s="267">
        <f>IF($AL711="",0,'All Ticker P&amp;L'!M711)</f>
        <v>0</v>
      </c>
      <c r="AT711" s="243" t="str">
        <f>IF($AL711="","",RANK(AR711,$AR$2:$AR$1001)+COUNTIF($AR$2:AR711,AR711)-1)</f>
        <v/>
      </c>
      <c r="AU711" s="243" t="str">
        <f>IF($AL711="","",RANK(AV711,$AV$2:$AV$1001)+COUNTIF($AV$2:AV711,AV711)-1)</f>
        <v/>
      </c>
      <c r="AV711" s="266">
        <f t="shared" si="54"/>
        <v>0</v>
      </c>
    </row>
    <row r="712" spans="26:48" ht="15" customHeight="1" x14ac:dyDescent="0.2">
      <c r="Z712" s="243" t="str">
        <f>Shares!A712</f>
        <v/>
      </c>
      <c r="AA712" s="243" t="str">
        <f>Shares!B712</f>
        <v/>
      </c>
      <c r="AB712" s="243" t="str">
        <f>Shares!C712</f>
        <v/>
      </c>
      <c r="AC712" s="243" t="str">
        <f>Shares!D712</f>
        <v/>
      </c>
      <c r="AD712" s="243">
        <f>IF($Z712="",0,Shares!E712)</f>
        <v>0</v>
      </c>
      <c r="AE712" s="266">
        <f>IF($Z712="",0,Shares!J712*Shares!I712)</f>
        <v>0</v>
      </c>
      <c r="AF712" s="267">
        <f t="shared" si="53"/>
        <v>0</v>
      </c>
      <c r="AG712" s="266">
        <f>IF($Z712="",0,Shares!L712)</f>
        <v>0</v>
      </c>
      <c r="AH712" s="267">
        <f>IF($Z712="",0,Shares!M712)</f>
        <v>0</v>
      </c>
      <c r="AI712" s="243" t="str">
        <f>IF($Z712="","",RANK(AE712,$AE$2:$AE$1001)+COUNTIF($AE$2:AE712,AE712)-1)</f>
        <v/>
      </c>
      <c r="AJ712" s="243" t="str">
        <f>IF($AD712&lt;0,COUNT($AJ$1:AJ711)+1,"")</f>
        <v/>
      </c>
      <c r="AL712" s="243" t="str">
        <f>'All Ticker P&amp;L'!A712</f>
        <v/>
      </c>
      <c r="AM712" s="243" t="str">
        <f>'All Ticker P&amp;L'!B712</f>
        <v/>
      </c>
      <c r="AN712" s="243" t="str">
        <f>'All Ticker P&amp;L'!C712</f>
        <v/>
      </c>
      <c r="AO712" s="243" t="str">
        <f>'All Ticker P&amp;L'!D712</f>
        <v/>
      </c>
      <c r="AP712" s="243">
        <f>IF($AL712="",0,'All Ticker P&amp;L'!E712)</f>
        <v>0</v>
      </c>
      <c r="AQ712" s="266">
        <f>IF($AL712="",0,'All Ticker P&amp;L'!J712*'All Ticker P&amp;L'!I712)</f>
        <v>0</v>
      </c>
      <c r="AR712" s="266">
        <f>IF($AL712="",0,'All Ticker P&amp;L'!L712)</f>
        <v>0</v>
      </c>
      <c r="AS712" s="267">
        <f>IF($AL712="",0,'All Ticker P&amp;L'!M712)</f>
        <v>0</v>
      </c>
      <c r="AT712" s="243" t="str">
        <f>IF($AL712="","",RANK(AR712,$AR$2:$AR$1001)+COUNTIF($AR$2:AR712,AR712)-1)</f>
        <v/>
      </c>
      <c r="AU712" s="243" t="str">
        <f>IF($AL712="","",RANK(AV712,$AV$2:$AV$1001)+COUNTIF($AV$2:AV712,AV712)-1)</f>
        <v/>
      </c>
      <c r="AV712" s="266">
        <f t="shared" si="54"/>
        <v>0</v>
      </c>
    </row>
    <row r="713" spans="26:48" ht="15" customHeight="1" x14ac:dyDescent="0.2">
      <c r="Z713" s="243" t="str">
        <f>Shares!A713</f>
        <v/>
      </c>
      <c r="AA713" s="243" t="str">
        <f>Shares!B713</f>
        <v/>
      </c>
      <c r="AB713" s="243" t="str">
        <f>Shares!C713</f>
        <v/>
      </c>
      <c r="AC713" s="243" t="str">
        <f>Shares!D713</f>
        <v/>
      </c>
      <c r="AD713" s="243">
        <f>IF($Z713="",0,Shares!E713)</f>
        <v>0</v>
      </c>
      <c r="AE713" s="266">
        <f>IF($Z713="",0,Shares!J713*Shares!I713)</f>
        <v>0</v>
      </c>
      <c r="AF713" s="267">
        <f t="shared" si="53"/>
        <v>0</v>
      </c>
      <c r="AG713" s="266">
        <f>IF($Z713="",0,Shares!L713)</f>
        <v>0</v>
      </c>
      <c r="AH713" s="267">
        <f>IF($Z713="",0,Shares!M713)</f>
        <v>0</v>
      </c>
      <c r="AI713" s="243" t="str">
        <f>IF($Z713="","",RANK(AE713,$AE$2:$AE$1001)+COUNTIF($AE$2:AE713,AE713)-1)</f>
        <v/>
      </c>
      <c r="AJ713" s="243" t="str">
        <f>IF($AD713&lt;0,COUNT($AJ$1:AJ712)+1,"")</f>
        <v/>
      </c>
      <c r="AL713" s="243" t="str">
        <f>'All Ticker P&amp;L'!A713</f>
        <v/>
      </c>
      <c r="AM713" s="243" t="str">
        <f>'All Ticker P&amp;L'!B713</f>
        <v/>
      </c>
      <c r="AN713" s="243" t="str">
        <f>'All Ticker P&amp;L'!C713</f>
        <v/>
      </c>
      <c r="AO713" s="243" t="str">
        <f>'All Ticker P&amp;L'!D713</f>
        <v/>
      </c>
      <c r="AP713" s="243">
        <f>IF($AL713="",0,'All Ticker P&amp;L'!E713)</f>
        <v>0</v>
      </c>
      <c r="AQ713" s="266">
        <f>IF($AL713="",0,'All Ticker P&amp;L'!J713*'All Ticker P&amp;L'!I713)</f>
        <v>0</v>
      </c>
      <c r="AR713" s="266">
        <f>IF($AL713="",0,'All Ticker P&amp;L'!L713)</f>
        <v>0</v>
      </c>
      <c r="AS713" s="267">
        <f>IF($AL713="",0,'All Ticker P&amp;L'!M713)</f>
        <v>0</v>
      </c>
      <c r="AT713" s="243" t="str">
        <f>IF($AL713="","",RANK(AR713,$AR$2:$AR$1001)+COUNTIF($AR$2:AR713,AR713)-1)</f>
        <v/>
      </c>
      <c r="AU713" s="243" t="str">
        <f>IF($AL713="","",RANK(AV713,$AV$2:$AV$1001)+COUNTIF($AV$2:AV713,AV713)-1)</f>
        <v/>
      </c>
      <c r="AV713" s="266">
        <f t="shared" si="54"/>
        <v>0</v>
      </c>
    </row>
    <row r="714" spans="26:48" ht="15" customHeight="1" x14ac:dyDescent="0.2">
      <c r="Z714" s="243" t="str">
        <f>Shares!A714</f>
        <v/>
      </c>
      <c r="AA714" s="243" t="str">
        <f>Shares!B714</f>
        <v/>
      </c>
      <c r="AB714" s="243" t="str">
        <f>Shares!C714</f>
        <v/>
      </c>
      <c r="AC714" s="243" t="str">
        <f>Shares!D714</f>
        <v/>
      </c>
      <c r="AD714" s="243">
        <f>IF($Z714="",0,Shares!E714)</f>
        <v>0</v>
      </c>
      <c r="AE714" s="266">
        <f>IF($Z714="",0,Shares!J714*Shares!I714)</f>
        <v>0</v>
      </c>
      <c r="AF714" s="267">
        <f t="shared" si="53"/>
        <v>0</v>
      </c>
      <c r="AG714" s="266">
        <f>IF($Z714="",0,Shares!L714)</f>
        <v>0</v>
      </c>
      <c r="AH714" s="267">
        <f>IF($Z714="",0,Shares!M714)</f>
        <v>0</v>
      </c>
      <c r="AI714" s="243" t="str">
        <f>IF($Z714="","",RANK(AE714,$AE$2:$AE$1001)+COUNTIF($AE$2:AE714,AE714)-1)</f>
        <v/>
      </c>
      <c r="AJ714" s="243" t="str">
        <f>IF($AD714&lt;0,COUNT($AJ$1:AJ713)+1,"")</f>
        <v/>
      </c>
      <c r="AL714" s="243" t="str">
        <f>'All Ticker P&amp;L'!A714</f>
        <v/>
      </c>
      <c r="AM714" s="243" t="str">
        <f>'All Ticker P&amp;L'!B714</f>
        <v/>
      </c>
      <c r="AN714" s="243" t="str">
        <f>'All Ticker P&amp;L'!C714</f>
        <v/>
      </c>
      <c r="AO714" s="243" t="str">
        <f>'All Ticker P&amp;L'!D714</f>
        <v/>
      </c>
      <c r="AP714" s="243">
        <f>IF($AL714="",0,'All Ticker P&amp;L'!E714)</f>
        <v>0</v>
      </c>
      <c r="AQ714" s="266">
        <f>IF($AL714="",0,'All Ticker P&amp;L'!J714*'All Ticker P&amp;L'!I714)</f>
        <v>0</v>
      </c>
      <c r="AR714" s="266">
        <f>IF($AL714="",0,'All Ticker P&amp;L'!L714)</f>
        <v>0</v>
      </c>
      <c r="AS714" s="267">
        <f>IF($AL714="",0,'All Ticker P&amp;L'!M714)</f>
        <v>0</v>
      </c>
      <c r="AT714" s="243" t="str">
        <f>IF($AL714="","",RANK(AR714,$AR$2:$AR$1001)+COUNTIF($AR$2:AR714,AR714)-1)</f>
        <v/>
      </c>
      <c r="AU714" s="243" t="str">
        <f>IF($AL714="","",RANK(AV714,$AV$2:$AV$1001)+COUNTIF($AV$2:AV714,AV714)-1)</f>
        <v/>
      </c>
      <c r="AV714" s="266">
        <f t="shared" si="54"/>
        <v>0</v>
      </c>
    </row>
    <row r="715" spans="26:48" ht="15" customHeight="1" x14ac:dyDescent="0.2">
      <c r="Z715" s="243" t="str">
        <f>Shares!A715</f>
        <v/>
      </c>
      <c r="AA715" s="243" t="str">
        <f>Shares!B715</f>
        <v/>
      </c>
      <c r="AB715" s="243" t="str">
        <f>Shares!C715</f>
        <v/>
      </c>
      <c r="AC715" s="243" t="str">
        <f>Shares!D715</f>
        <v/>
      </c>
      <c r="AD715" s="243">
        <f>IF($Z715="",0,Shares!E715)</f>
        <v>0</v>
      </c>
      <c r="AE715" s="266">
        <f>IF($Z715="",0,Shares!J715*Shares!I715)</f>
        <v>0</v>
      </c>
      <c r="AF715" s="267">
        <f t="shared" si="53"/>
        <v>0</v>
      </c>
      <c r="AG715" s="266">
        <f>IF($Z715="",0,Shares!L715)</f>
        <v>0</v>
      </c>
      <c r="AH715" s="267">
        <f>IF($Z715="",0,Shares!M715)</f>
        <v>0</v>
      </c>
      <c r="AI715" s="243" t="str">
        <f>IF($Z715="","",RANK(AE715,$AE$2:$AE$1001)+COUNTIF($AE$2:AE715,AE715)-1)</f>
        <v/>
      </c>
      <c r="AJ715" s="243" t="str">
        <f>IF($AD715&lt;0,COUNT($AJ$1:AJ714)+1,"")</f>
        <v/>
      </c>
      <c r="AL715" s="243" t="str">
        <f>'All Ticker P&amp;L'!A715</f>
        <v/>
      </c>
      <c r="AM715" s="243" t="str">
        <f>'All Ticker P&amp;L'!B715</f>
        <v/>
      </c>
      <c r="AN715" s="243" t="str">
        <f>'All Ticker P&amp;L'!C715</f>
        <v/>
      </c>
      <c r="AO715" s="243" t="str">
        <f>'All Ticker P&amp;L'!D715</f>
        <v/>
      </c>
      <c r="AP715" s="243">
        <f>IF($AL715="",0,'All Ticker P&amp;L'!E715)</f>
        <v>0</v>
      </c>
      <c r="AQ715" s="266">
        <f>IF($AL715="",0,'All Ticker P&amp;L'!J715*'All Ticker P&amp;L'!I715)</f>
        <v>0</v>
      </c>
      <c r="AR715" s="266">
        <f>IF($AL715="",0,'All Ticker P&amp;L'!L715)</f>
        <v>0</v>
      </c>
      <c r="AS715" s="267">
        <f>IF($AL715="",0,'All Ticker P&amp;L'!M715)</f>
        <v>0</v>
      </c>
      <c r="AT715" s="243" t="str">
        <f>IF($AL715="","",RANK(AR715,$AR$2:$AR$1001)+COUNTIF($AR$2:AR715,AR715)-1)</f>
        <v/>
      </c>
      <c r="AU715" s="243" t="str">
        <f>IF($AL715="","",RANK(AV715,$AV$2:$AV$1001)+COUNTIF($AV$2:AV715,AV715)-1)</f>
        <v/>
      </c>
      <c r="AV715" s="266">
        <f t="shared" si="54"/>
        <v>0</v>
      </c>
    </row>
    <row r="716" spans="26:48" ht="15" customHeight="1" x14ac:dyDescent="0.2">
      <c r="Z716" s="243" t="str">
        <f>Shares!A716</f>
        <v/>
      </c>
      <c r="AA716" s="243" t="str">
        <f>Shares!B716</f>
        <v/>
      </c>
      <c r="AB716" s="243" t="str">
        <f>Shares!C716</f>
        <v/>
      </c>
      <c r="AC716" s="243" t="str">
        <f>Shares!D716</f>
        <v/>
      </c>
      <c r="AD716" s="243">
        <f>IF($Z716="",0,Shares!E716)</f>
        <v>0</v>
      </c>
      <c r="AE716" s="266">
        <f>IF($Z716="",0,Shares!J716*Shares!I716)</f>
        <v>0</v>
      </c>
      <c r="AF716" s="267">
        <f t="shared" si="53"/>
        <v>0</v>
      </c>
      <c r="AG716" s="266">
        <f>IF($Z716="",0,Shares!L716)</f>
        <v>0</v>
      </c>
      <c r="AH716" s="267">
        <f>IF($Z716="",0,Shares!M716)</f>
        <v>0</v>
      </c>
      <c r="AI716" s="243" t="str">
        <f>IF($Z716="","",RANK(AE716,$AE$2:$AE$1001)+COUNTIF($AE$2:AE716,AE716)-1)</f>
        <v/>
      </c>
      <c r="AJ716" s="243" t="str">
        <f>IF($AD716&lt;0,COUNT($AJ$1:AJ715)+1,"")</f>
        <v/>
      </c>
      <c r="AL716" s="243" t="str">
        <f>'All Ticker P&amp;L'!A716</f>
        <v/>
      </c>
      <c r="AM716" s="243" t="str">
        <f>'All Ticker P&amp;L'!B716</f>
        <v/>
      </c>
      <c r="AN716" s="243" t="str">
        <f>'All Ticker P&amp;L'!C716</f>
        <v/>
      </c>
      <c r="AO716" s="243" t="str">
        <f>'All Ticker P&amp;L'!D716</f>
        <v/>
      </c>
      <c r="AP716" s="243">
        <f>IF($AL716="",0,'All Ticker P&amp;L'!E716)</f>
        <v>0</v>
      </c>
      <c r="AQ716" s="266">
        <f>IF($AL716="",0,'All Ticker P&amp;L'!J716*'All Ticker P&amp;L'!I716)</f>
        <v>0</v>
      </c>
      <c r="AR716" s="266">
        <f>IF($AL716="",0,'All Ticker P&amp;L'!L716)</f>
        <v>0</v>
      </c>
      <c r="AS716" s="267">
        <f>IF($AL716="",0,'All Ticker P&amp;L'!M716)</f>
        <v>0</v>
      </c>
      <c r="AT716" s="243" t="str">
        <f>IF($AL716="","",RANK(AR716,$AR$2:$AR$1001)+COUNTIF($AR$2:AR716,AR716)-1)</f>
        <v/>
      </c>
      <c r="AU716" s="243" t="str">
        <f>IF($AL716="","",RANK(AV716,$AV$2:$AV$1001)+COUNTIF($AV$2:AV716,AV716)-1)</f>
        <v/>
      </c>
      <c r="AV716" s="266">
        <f t="shared" si="54"/>
        <v>0</v>
      </c>
    </row>
    <row r="717" spans="26:48" ht="15" customHeight="1" x14ac:dyDescent="0.2">
      <c r="Z717" s="243" t="str">
        <f>Shares!A717</f>
        <v/>
      </c>
      <c r="AA717" s="243" t="str">
        <f>Shares!B717</f>
        <v/>
      </c>
      <c r="AB717" s="243" t="str">
        <f>Shares!C717</f>
        <v/>
      </c>
      <c r="AC717" s="243" t="str">
        <f>Shares!D717</f>
        <v/>
      </c>
      <c r="AD717" s="243">
        <f>IF($Z717="",0,Shares!E717)</f>
        <v>0</v>
      </c>
      <c r="AE717" s="266">
        <f>IF($Z717="",0,Shares!J717*Shares!I717)</f>
        <v>0</v>
      </c>
      <c r="AF717" s="267">
        <f t="shared" si="53"/>
        <v>0</v>
      </c>
      <c r="AG717" s="266">
        <f>IF($Z717="",0,Shares!L717)</f>
        <v>0</v>
      </c>
      <c r="AH717" s="267">
        <f>IF($Z717="",0,Shares!M717)</f>
        <v>0</v>
      </c>
      <c r="AI717" s="243" t="str">
        <f>IF($Z717="","",RANK(AE717,$AE$2:$AE$1001)+COUNTIF($AE$2:AE717,AE717)-1)</f>
        <v/>
      </c>
      <c r="AJ717" s="243" t="str">
        <f>IF($AD717&lt;0,COUNT($AJ$1:AJ716)+1,"")</f>
        <v/>
      </c>
      <c r="AL717" s="243" t="str">
        <f>'All Ticker P&amp;L'!A717</f>
        <v/>
      </c>
      <c r="AM717" s="243" t="str">
        <f>'All Ticker P&amp;L'!B717</f>
        <v/>
      </c>
      <c r="AN717" s="243" t="str">
        <f>'All Ticker P&amp;L'!C717</f>
        <v/>
      </c>
      <c r="AO717" s="243" t="str">
        <f>'All Ticker P&amp;L'!D717</f>
        <v/>
      </c>
      <c r="AP717" s="243">
        <f>IF($AL717="",0,'All Ticker P&amp;L'!E717)</f>
        <v>0</v>
      </c>
      <c r="AQ717" s="266">
        <f>IF($AL717="",0,'All Ticker P&amp;L'!J717*'All Ticker P&amp;L'!I717)</f>
        <v>0</v>
      </c>
      <c r="AR717" s="266">
        <f>IF($AL717="",0,'All Ticker P&amp;L'!L717)</f>
        <v>0</v>
      </c>
      <c r="AS717" s="267">
        <f>IF($AL717="",0,'All Ticker P&amp;L'!M717)</f>
        <v>0</v>
      </c>
      <c r="AT717" s="243" t="str">
        <f>IF($AL717="","",RANK(AR717,$AR$2:$AR$1001)+COUNTIF($AR$2:AR717,AR717)-1)</f>
        <v/>
      </c>
      <c r="AU717" s="243" t="str">
        <f>IF($AL717="","",RANK(AV717,$AV$2:$AV$1001)+COUNTIF($AV$2:AV717,AV717)-1)</f>
        <v/>
      </c>
      <c r="AV717" s="266">
        <f t="shared" si="54"/>
        <v>0</v>
      </c>
    </row>
    <row r="718" spans="26:48" ht="15" customHeight="1" x14ac:dyDescent="0.2">
      <c r="Z718" s="243" t="str">
        <f>Shares!A718</f>
        <v/>
      </c>
      <c r="AA718" s="243" t="str">
        <f>Shares!B718</f>
        <v/>
      </c>
      <c r="AB718" s="243" t="str">
        <f>Shares!C718</f>
        <v/>
      </c>
      <c r="AC718" s="243" t="str">
        <f>Shares!D718</f>
        <v/>
      </c>
      <c r="AD718" s="243">
        <f>IF($Z718="",0,Shares!E718)</f>
        <v>0</v>
      </c>
      <c r="AE718" s="266">
        <f>IF($Z718="",0,Shares!J718*Shares!I718)</f>
        <v>0</v>
      </c>
      <c r="AF718" s="267">
        <f t="shared" si="53"/>
        <v>0</v>
      </c>
      <c r="AG718" s="266">
        <f>IF($Z718="",0,Shares!L718)</f>
        <v>0</v>
      </c>
      <c r="AH718" s="267">
        <f>IF($Z718="",0,Shares!M718)</f>
        <v>0</v>
      </c>
      <c r="AI718" s="243" t="str">
        <f>IF($Z718="","",RANK(AE718,$AE$2:$AE$1001)+COUNTIF($AE$2:AE718,AE718)-1)</f>
        <v/>
      </c>
      <c r="AJ718" s="243" t="str">
        <f>IF($AD718&lt;0,COUNT($AJ$1:AJ717)+1,"")</f>
        <v/>
      </c>
      <c r="AL718" s="243" t="str">
        <f>'All Ticker P&amp;L'!A718</f>
        <v/>
      </c>
      <c r="AM718" s="243" t="str">
        <f>'All Ticker P&amp;L'!B718</f>
        <v/>
      </c>
      <c r="AN718" s="243" t="str">
        <f>'All Ticker P&amp;L'!C718</f>
        <v/>
      </c>
      <c r="AO718" s="243" t="str">
        <f>'All Ticker P&amp;L'!D718</f>
        <v/>
      </c>
      <c r="AP718" s="243">
        <f>IF($AL718="",0,'All Ticker P&amp;L'!E718)</f>
        <v>0</v>
      </c>
      <c r="AQ718" s="266">
        <f>IF($AL718="",0,'All Ticker P&amp;L'!J718*'All Ticker P&amp;L'!I718)</f>
        <v>0</v>
      </c>
      <c r="AR718" s="266">
        <f>IF($AL718="",0,'All Ticker P&amp;L'!L718)</f>
        <v>0</v>
      </c>
      <c r="AS718" s="267">
        <f>IF($AL718="",0,'All Ticker P&amp;L'!M718)</f>
        <v>0</v>
      </c>
      <c r="AT718" s="243" t="str">
        <f>IF($AL718="","",RANK(AR718,$AR$2:$AR$1001)+COUNTIF($AR$2:AR718,AR718)-1)</f>
        <v/>
      </c>
      <c r="AU718" s="243" t="str">
        <f>IF($AL718="","",RANK(AV718,$AV$2:$AV$1001)+COUNTIF($AV$2:AV718,AV718)-1)</f>
        <v/>
      </c>
      <c r="AV718" s="266">
        <f t="shared" si="54"/>
        <v>0</v>
      </c>
    </row>
    <row r="719" spans="26:48" ht="15" customHeight="1" x14ac:dyDescent="0.2">
      <c r="Z719" s="243" t="str">
        <f>Shares!A719</f>
        <v/>
      </c>
      <c r="AA719" s="243" t="str">
        <f>Shares!B719</f>
        <v/>
      </c>
      <c r="AB719" s="243" t="str">
        <f>Shares!C719</f>
        <v/>
      </c>
      <c r="AC719" s="243" t="str">
        <f>Shares!D719</f>
        <v/>
      </c>
      <c r="AD719" s="243">
        <f>IF($Z719="",0,Shares!E719)</f>
        <v>0</v>
      </c>
      <c r="AE719" s="266">
        <f>IF($Z719="",0,Shares!J719*Shares!I719)</f>
        <v>0</v>
      </c>
      <c r="AF719" s="267">
        <f t="shared" si="53"/>
        <v>0</v>
      </c>
      <c r="AG719" s="266">
        <f>IF($Z719="",0,Shares!L719)</f>
        <v>0</v>
      </c>
      <c r="AH719" s="267">
        <f>IF($Z719="",0,Shares!M719)</f>
        <v>0</v>
      </c>
      <c r="AI719" s="243" t="str">
        <f>IF($Z719="","",RANK(AE719,$AE$2:$AE$1001)+COUNTIF($AE$2:AE719,AE719)-1)</f>
        <v/>
      </c>
      <c r="AJ719" s="243" t="str">
        <f>IF($AD719&lt;0,COUNT($AJ$1:AJ718)+1,"")</f>
        <v/>
      </c>
      <c r="AL719" s="243" t="str">
        <f>'All Ticker P&amp;L'!A719</f>
        <v/>
      </c>
      <c r="AM719" s="243" t="str">
        <f>'All Ticker P&amp;L'!B719</f>
        <v/>
      </c>
      <c r="AN719" s="243" t="str">
        <f>'All Ticker P&amp;L'!C719</f>
        <v/>
      </c>
      <c r="AO719" s="243" t="str">
        <f>'All Ticker P&amp;L'!D719</f>
        <v/>
      </c>
      <c r="AP719" s="243">
        <f>IF($AL719="",0,'All Ticker P&amp;L'!E719)</f>
        <v>0</v>
      </c>
      <c r="AQ719" s="266">
        <f>IF($AL719="",0,'All Ticker P&amp;L'!J719*'All Ticker P&amp;L'!I719)</f>
        <v>0</v>
      </c>
      <c r="AR719" s="266">
        <f>IF($AL719="",0,'All Ticker P&amp;L'!L719)</f>
        <v>0</v>
      </c>
      <c r="AS719" s="267">
        <f>IF($AL719="",0,'All Ticker P&amp;L'!M719)</f>
        <v>0</v>
      </c>
      <c r="AT719" s="243" t="str">
        <f>IF($AL719="","",RANK(AR719,$AR$2:$AR$1001)+COUNTIF($AR$2:AR719,AR719)-1)</f>
        <v/>
      </c>
      <c r="AU719" s="243" t="str">
        <f>IF($AL719="","",RANK(AV719,$AV$2:$AV$1001)+COUNTIF($AV$2:AV719,AV719)-1)</f>
        <v/>
      </c>
      <c r="AV719" s="266">
        <f t="shared" si="54"/>
        <v>0</v>
      </c>
    </row>
    <row r="720" spans="26:48" ht="15" customHeight="1" x14ac:dyDescent="0.2">
      <c r="Z720" s="243" t="str">
        <f>Shares!A720</f>
        <v/>
      </c>
      <c r="AA720" s="243" t="str">
        <f>Shares!B720</f>
        <v/>
      </c>
      <c r="AB720" s="243" t="str">
        <f>Shares!C720</f>
        <v/>
      </c>
      <c r="AC720" s="243" t="str">
        <f>Shares!D720</f>
        <v/>
      </c>
      <c r="AD720" s="243">
        <f>IF($Z720="",0,Shares!E720)</f>
        <v>0</v>
      </c>
      <c r="AE720" s="266">
        <f>IF($Z720="",0,Shares!J720*Shares!I720)</f>
        <v>0</v>
      </c>
      <c r="AF720" s="267">
        <f t="shared" si="53"/>
        <v>0</v>
      </c>
      <c r="AG720" s="266">
        <f>IF($Z720="",0,Shares!L720)</f>
        <v>0</v>
      </c>
      <c r="AH720" s="267">
        <f>IF($Z720="",0,Shares!M720)</f>
        <v>0</v>
      </c>
      <c r="AI720" s="243" t="str">
        <f>IF($Z720="","",RANK(AE720,$AE$2:$AE$1001)+COUNTIF($AE$2:AE720,AE720)-1)</f>
        <v/>
      </c>
      <c r="AJ720" s="243" t="str">
        <f>IF($AD720&lt;0,COUNT($AJ$1:AJ719)+1,"")</f>
        <v/>
      </c>
      <c r="AL720" s="243" t="str">
        <f>'All Ticker P&amp;L'!A720</f>
        <v/>
      </c>
      <c r="AM720" s="243" t="str">
        <f>'All Ticker P&amp;L'!B720</f>
        <v/>
      </c>
      <c r="AN720" s="243" t="str">
        <f>'All Ticker P&amp;L'!C720</f>
        <v/>
      </c>
      <c r="AO720" s="243" t="str">
        <f>'All Ticker P&amp;L'!D720</f>
        <v/>
      </c>
      <c r="AP720" s="243">
        <f>IF($AL720="",0,'All Ticker P&amp;L'!E720)</f>
        <v>0</v>
      </c>
      <c r="AQ720" s="266">
        <f>IF($AL720="",0,'All Ticker P&amp;L'!J720*'All Ticker P&amp;L'!I720)</f>
        <v>0</v>
      </c>
      <c r="AR720" s="266">
        <f>IF($AL720="",0,'All Ticker P&amp;L'!L720)</f>
        <v>0</v>
      </c>
      <c r="AS720" s="267">
        <f>IF($AL720="",0,'All Ticker P&amp;L'!M720)</f>
        <v>0</v>
      </c>
      <c r="AT720" s="243" t="str">
        <f>IF($AL720="","",RANK(AR720,$AR$2:$AR$1001)+COUNTIF($AR$2:AR720,AR720)-1)</f>
        <v/>
      </c>
      <c r="AU720" s="243" t="str">
        <f>IF($AL720="","",RANK(AV720,$AV$2:$AV$1001)+COUNTIF($AV$2:AV720,AV720)-1)</f>
        <v/>
      </c>
      <c r="AV720" s="266">
        <f t="shared" si="54"/>
        <v>0</v>
      </c>
    </row>
    <row r="721" spans="26:48" ht="15" customHeight="1" x14ac:dyDescent="0.2">
      <c r="Z721" s="243" t="str">
        <f>Shares!A721</f>
        <v/>
      </c>
      <c r="AA721" s="243" t="str">
        <f>Shares!B721</f>
        <v/>
      </c>
      <c r="AB721" s="243" t="str">
        <f>Shares!C721</f>
        <v/>
      </c>
      <c r="AC721" s="243" t="str">
        <f>Shares!D721</f>
        <v/>
      </c>
      <c r="AD721" s="243">
        <f>IF($Z721="",0,Shares!E721)</f>
        <v>0</v>
      </c>
      <c r="AE721" s="266">
        <f>IF($Z721="",0,Shares!J721*Shares!I721)</f>
        <v>0</v>
      </c>
      <c r="AF721" s="267">
        <f t="shared" si="53"/>
        <v>0</v>
      </c>
      <c r="AG721" s="266">
        <f>IF($Z721="",0,Shares!L721)</f>
        <v>0</v>
      </c>
      <c r="AH721" s="267">
        <f>IF($Z721="",0,Shares!M721)</f>
        <v>0</v>
      </c>
      <c r="AI721" s="243" t="str">
        <f>IF($Z721="","",RANK(AE721,$AE$2:$AE$1001)+COUNTIF($AE$2:AE721,AE721)-1)</f>
        <v/>
      </c>
      <c r="AJ721" s="243" t="str">
        <f>IF($AD721&lt;0,COUNT($AJ$1:AJ720)+1,"")</f>
        <v/>
      </c>
      <c r="AL721" s="243" t="str">
        <f>'All Ticker P&amp;L'!A721</f>
        <v/>
      </c>
      <c r="AM721" s="243" t="str">
        <f>'All Ticker P&amp;L'!B721</f>
        <v/>
      </c>
      <c r="AN721" s="243" t="str">
        <f>'All Ticker P&amp;L'!C721</f>
        <v/>
      </c>
      <c r="AO721" s="243" t="str">
        <f>'All Ticker P&amp;L'!D721</f>
        <v/>
      </c>
      <c r="AP721" s="243">
        <f>IF($AL721="",0,'All Ticker P&amp;L'!E721)</f>
        <v>0</v>
      </c>
      <c r="AQ721" s="266">
        <f>IF($AL721="",0,'All Ticker P&amp;L'!J721*'All Ticker P&amp;L'!I721)</f>
        <v>0</v>
      </c>
      <c r="AR721" s="266">
        <f>IF($AL721="",0,'All Ticker P&amp;L'!L721)</f>
        <v>0</v>
      </c>
      <c r="AS721" s="267">
        <f>IF($AL721="",0,'All Ticker P&amp;L'!M721)</f>
        <v>0</v>
      </c>
      <c r="AT721" s="243" t="str">
        <f>IF($AL721="","",RANK(AR721,$AR$2:$AR$1001)+COUNTIF($AR$2:AR721,AR721)-1)</f>
        <v/>
      </c>
      <c r="AU721" s="243" t="str">
        <f>IF($AL721="","",RANK(AV721,$AV$2:$AV$1001)+COUNTIF($AV$2:AV721,AV721)-1)</f>
        <v/>
      </c>
      <c r="AV721" s="266">
        <f t="shared" si="54"/>
        <v>0</v>
      </c>
    </row>
    <row r="722" spans="26:48" ht="15" customHeight="1" x14ac:dyDescent="0.2">
      <c r="Z722" s="243" t="str">
        <f>Shares!A722</f>
        <v/>
      </c>
      <c r="AA722" s="243" t="str">
        <f>Shares!B722</f>
        <v/>
      </c>
      <c r="AB722" s="243" t="str">
        <f>Shares!C722</f>
        <v/>
      </c>
      <c r="AC722" s="243" t="str">
        <f>Shares!D722</f>
        <v/>
      </c>
      <c r="AD722" s="243">
        <f>IF($Z722="",0,Shares!E722)</f>
        <v>0</v>
      </c>
      <c r="AE722" s="266">
        <f>IF($Z722="",0,Shares!J722*Shares!I722)</f>
        <v>0</v>
      </c>
      <c r="AF722" s="267">
        <f t="shared" si="53"/>
        <v>0</v>
      </c>
      <c r="AG722" s="266">
        <f>IF($Z722="",0,Shares!L722)</f>
        <v>0</v>
      </c>
      <c r="AH722" s="267">
        <f>IF($Z722="",0,Shares!M722)</f>
        <v>0</v>
      </c>
      <c r="AI722" s="243" t="str">
        <f>IF($Z722="","",RANK(AE722,$AE$2:$AE$1001)+COUNTIF($AE$2:AE722,AE722)-1)</f>
        <v/>
      </c>
      <c r="AJ722" s="243" t="str">
        <f>IF($AD722&lt;0,COUNT($AJ$1:AJ721)+1,"")</f>
        <v/>
      </c>
      <c r="AL722" s="243" t="str">
        <f>'All Ticker P&amp;L'!A722</f>
        <v/>
      </c>
      <c r="AM722" s="243" t="str">
        <f>'All Ticker P&amp;L'!B722</f>
        <v/>
      </c>
      <c r="AN722" s="243" t="str">
        <f>'All Ticker P&amp;L'!C722</f>
        <v/>
      </c>
      <c r="AO722" s="243" t="str">
        <f>'All Ticker P&amp;L'!D722</f>
        <v/>
      </c>
      <c r="AP722" s="243">
        <f>IF($AL722="",0,'All Ticker P&amp;L'!E722)</f>
        <v>0</v>
      </c>
      <c r="AQ722" s="266">
        <f>IF($AL722="",0,'All Ticker P&amp;L'!J722*'All Ticker P&amp;L'!I722)</f>
        <v>0</v>
      </c>
      <c r="AR722" s="266">
        <f>IF($AL722="",0,'All Ticker P&amp;L'!L722)</f>
        <v>0</v>
      </c>
      <c r="AS722" s="267">
        <f>IF($AL722="",0,'All Ticker P&amp;L'!M722)</f>
        <v>0</v>
      </c>
      <c r="AT722" s="243" t="str">
        <f>IF($AL722="","",RANK(AR722,$AR$2:$AR$1001)+COUNTIF($AR$2:AR722,AR722)-1)</f>
        <v/>
      </c>
      <c r="AU722" s="243" t="str">
        <f>IF($AL722="","",RANK(AV722,$AV$2:$AV$1001)+COUNTIF($AV$2:AV722,AV722)-1)</f>
        <v/>
      </c>
      <c r="AV722" s="266">
        <f t="shared" si="54"/>
        <v>0</v>
      </c>
    </row>
    <row r="723" spans="26:48" ht="15" customHeight="1" x14ac:dyDescent="0.2">
      <c r="Z723" s="243" t="str">
        <f>Shares!A723</f>
        <v/>
      </c>
      <c r="AA723" s="243" t="str">
        <f>Shares!B723</f>
        <v/>
      </c>
      <c r="AB723" s="243" t="str">
        <f>Shares!C723</f>
        <v/>
      </c>
      <c r="AC723" s="243" t="str">
        <f>Shares!D723</f>
        <v/>
      </c>
      <c r="AD723" s="243">
        <f>IF($Z723="",0,Shares!E723)</f>
        <v>0</v>
      </c>
      <c r="AE723" s="266">
        <f>IF($Z723="",0,Shares!J723*Shares!I723)</f>
        <v>0</v>
      </c>
      <c r="AF723" s="267">
        <f t="shared" si="53"/>
        <v>0</v>
      </c>
      <c r="AG723" s="266">
        <f>IF($Z723="",0,Shares!L723)</f>
        <v>0</v>
      </c>
      <c r="AH723" s="267">
        <f>IF($Z723="",0,Shares!M723)</f>
        <v>0</v>
      </c>
      <c r="AI723" s="243" t="str">
        <f>IF($Z723="","",RANK(AE723,$AE$2:$AE$1001)+COUNTIF($AE$2:AE723,AE723)-1)</f>
        <v/>
      </c>
      <c r="AJ723" s="243" t="str">
        <f>IF($AD723&lt;0,COUNT($AJ$1:AJ722)+1,"")</f>
        <v/>
      </c>
      <c r="AL723" s="243" t="str">
        <f>'All Ticker P&amp;L'!A723</f>
        <v/>
      </c>
      <c r="AM723" s="243" t="str">
        <f>'All Ticker P&amp;L'!B723</f>
        <v/>
      </c>
      <c r="AN723" s="243" t="str">
        <f>'All Ticker P&amp;L'!C723</f>
        <v/>
      </c>
      <c r="AO723" s="243" t="str">
        <f>'All Ticker P&amp;L'!D723</f>
        <v/>
      </c>
      <c r="AP723" s="243">
        <f>IF($AL723="",0,'All Ticker P&amp;L'!E723)</f>
        <v>0</v>
      </c>
      <c r="AQ723" s="266">
        <f>IF($AL723="",0,'All Ticker P&amp;L'!J723*'All Ticker P&amp;L'!I723)</f>
        <v>0</v>
      </c>
      <c r="AR723" s="266">
        <f>IF($AL723="",0,'All Ticker P&amp;L'!L723)</f>
        <v>0</v>
      </c>
      <c r="AS723" s="267">
        <f>IF($AL723="",0,'All Ticker P&amp;L'!M723)</f>
        <v>0</v>
      </c>
      <c r="AT723" s="243" t="str">
        <f>IF($AL723="","",RANK(AR723,$AR$2:$AR$1001)+COUNTIF($AR$2:AR723,AR723)-1)</f>
        <v/>
      </c>
      <c r="AU723" s="243" t="str">
        <f>IF($AL723="","",RANK(AV723,$AV$2:$AV$1001)+COUNTIF($AV$2:AV723,AV723)-1)</f>
        <v/>
      </c>
      <c r="AV723" s="266">
        <f t="shared" si="54"/>
        <v>0</v>
      </c>
    </row>
    <row r="724" spans="26:48" ht="15" customHeight="1" x14ac:dyDescent="0.2">
      <c r="Z724" s="243" t="str">
        <f>Shares!A724</f>
        <v/>
      </c>
      <c r="AA724" s="243" t="str">
        <f>Shares!B724</f>
        <v/>
      </c>
      <c r="AB724" s="243" t="str">
        <f>Shares!C724</f>
        <v/>
      </c>
      <c r="AC724" s="243" t="str">
        <f>Shares!D724</f>
        <v/>
      </c>
      <c r="AD724" s="243">
        <f>IF($Z724="",0,Shares!E724)</f>
        <v>0</v>
      </c>
      <c r="AE724" s="266">
        <f>IF($Z724="",0,Shares!J724*Shares!I724)</f>
        <v>0</v>
      </c>
      <c r="AF724" s="267">
        <f t="shared" si="53"/>
        <v>0</v>
      </c>
      <c r="AG724" s="266">
        <f>IF($Z724="",0,Shares!L724)</f>
        <v>0</v>
      </c>
      <c r="AH724" s="267">
        <f>IF($Z724="",0,Shares!M724)</f>
        <v>0</v>
      </c>
      <c r="AI724" s="243" t="str">
        <f>IF($Z724="","",RANK(AE724,$AE$2:$AE$1001)+COUNTIF($AE$2:AE724,AE724)-1)</f>
        <v/>
      </c>
      <c r="AJ724" s="243" t="str">
        <f>IF($AD724&lt;0,COUNT($AJ$1:AJ723)+1,"")</f>
        <v/>
      </c>
      <c r="AL724" s="243" t="str">
        <f>'All Ticker P&amp;L'!A724</f>
        <v/>
      </c>
      <c r="AM724" s="243" t="str">
        <f>'All Ticker P&amp;L'!B724</f>
        <v/>
      </c>
      <c r="AN724" s="243" t="str">
        <f>'All Ticker P&amp;L'!C724</f>
        <v/>
      </c>
      <c r="AO724" s="243" t="str">
        <f>'All Ticker P&amp;L'!D724</f>
        <v/>
      </c>
      <c r="AP724" s="243">
        <f>IF($AL724="",0,'All Ticker P&amp;L'!E724)</f>
        <v>0</v>
      </c>
      <c r="AQ724" s="266">
        <f>IF($AL724="",0,'All Ticker P&amp;L'!J724*'All Ticker P&amp;L'!I724)</f>
        <v>0</v>
      </c>
      <c r="AR724" s="266">
        <f>IF($AL724="",0,'All Ticker P&amp;L'!L724)</f>
        <v>0</v>
      </c>
      <c r="AS724" s="267">
        <f>IF($AL724="",0,'All Ticker P&amp;L'!M724)</f>
        <v>0</v>
      </c>
      <c r="AT724" s="243" t="str">
        <f>IF($AL724="","",RANK(AR724,$AR$2:$AR$1001)+COUNTIF($AR$2:AR724,AR724)-1)</f>
        <v/>
      </c>
      <c r="AU724" s="243" t="str">
        <f>IF($AL724="","",RANK(AV724,$AV$2:$AV$1001)+COUNTIF($AV$2:AV724,AV724)-1)</f>
        <v/>
      </c>
      <c r="AV724" s="266">
        <f t="shared" si="54"/>
        <v>0</v>
      </c>
    </row>
    <row r="725" spans="26:48" ht="15" customHeight="1" x14ac:dyDescent="0.2">
      <c r="Z725" s="243" t="str">
        <f>Shares!A725</f>
        <v/>
      </c>
      <c r="AA725" s="243" t="str">
        <f>Shares!B725</f>
        <v/>
      </c>
      <c r="AB725" s="243" t="str">
        <f>Shares!C725</f>
        <v/>
      </c>
      <c r="AC725" s="243" t="str">
        <f>Shares!D725</f>
        <v/>
      </c>
      <c r="AD725" s="243">
        <f>IF($Z725="",0,Shares!E725)</f>
        <v>0</v>
      </c>
      <c r="AE725" s="266">
        <f>IF($Z725="",0,Shares!J725*Shares!I725)</f>
        <v>0</v>
      </c>
      <c r="AF725" s="267">
        <f t="shared" si="53"/>
        <v>0</v>
      </c>
      <c r="AG725" s="266">
        <f>IF($Z725="",0,Shares!L725)</f>
        <v>0</v>
      </c>
      <c r="AH725" s="267">
        <f>IF($Z725="",0,Shares!M725)</f>
        <v>0</v>
      </c>
      <c r="AI725" s="243" t="str">
        <f>IF($Z725="","",RANK(AE725,$AE$2:$AE$1001)+COUNTIF($AE$2:AE725,AE725)-1)</f>
        <v/>
      </c>
      <c r="AJ725" s="243" t="str">
        <f>IF($AD725&lt;0,COUNT($AJ$1:AJ724)+1,"")</f>
        <v/>
      </c>
      <c r="AL725" s="243" t="str">
        <f>'All Ticker P&amp;L'!A725</f>
        <v/>
      </c>
      <c r="AM725" s="243" t="str">
        <f>'All Ticker P&amp;L'!B725</f>
        <v/>
      </c>
      <c r="AN725" s="243" t="str">
        <f>'All Ticker P&amp;L'!C725</f>
        <v/>
      </c>
      <c r="AO725" s="243" t="str">
        <f>'All Ticker P&amp;L'!D725</f>
        <v/>
      </c>
      <c r="AP725" s="243">
        <f>IF($AL725="",0,'All Ticker P&amp;L'!E725)</f>
        <v>0</v>
      </c>
      <c r="AQ725" s="266">
        <f>IF($AL725="",0,'All Ticker P&amp;L'!J725*'All Ticker P&amp;L'!I725)</f>
        <v>0</v>
      </c>
      <c r="AR725" s="266">
        <f>IF($AL725="",0,'All Ticker P&amp;L'!L725)</f>
        <v>0</v>
      </c>
      <c r="AS725" s="267">
        <f>IF($AL725="",0,'All Ticker P&amp;L'!M725)</f>
        <v>0</v>
      </c>
      <c r="AT725" s="243" t="str">
        <f>IF($AL725="","",RANK(AR725,$AR$2:$AR$1001)+COUNTIF($AR$2:AR725,AR725)-1)</f>
        <v/>
      </c>
      <c r="AU725" s="243" t="str">
        <f>IF($AL725="","",RANK(AV725,$AV$2:$AV$1001)+COUNTIF($AV$2:AV725,AV725)-1)</f>
        <v/>
      </c>
      <c r="AV725" s="266">
        <f t="shared" si="54"/>
        <v>0</v>
      </c>
    </row>
    <row r="726" spans="26:48" ht="15" customHeight="1" x14ac:dyDescent="0.2">
      <c r="Z726" s="243" t="str">
        <f>Shares!A726</f>
        <v/>
      </c>
      <c r="AA726" s="243" t="str">
        <f>Shares!B726</f>
        <v/>
      </c>
      <c r="AB726" s="243" t="str">
        <f>Shares!C726</f>
        <v/>
      </c>
      <c r="AC726" s="243" t="str">
        <f>Shares!D726</f>
        <v/>
      </c>
      <c r="AD726" s="243">
        <f>IF($Z726="",0,Shares!E726)</f>
        <v>0</v>
      </c>
      <c r="AE726" s="266">
        <f>IF($Z726="",0,Shares!J726*Shares!I726)</f>
        <v>0</v>
      </c>
      <c r="AF726" s="267">
        <f t="shared" si="53"/>
        <v>0</v>
      </c>
      <c r="AG726" s="266">
        <f>IF($Z726="",0,Shares!L726)</f>
        <v>0</v>
      </c>
      <c r="AH726" s="267">
        <f>IF($Z726="",0,Shares!M726)</f>
        <v>0</v>
      </c>
      <c r="AI726" s="243" t="str">
        <f>IF($Z726="","",RANK(AE726,$AE$2:$AE$1001)+COUNTIF($AE$2:AE726,AE726)-1)</f>
        <v/>
      </c>
      <c r="AJ726" s="243" t="str">
        <f>IF($AD726&lt;0,COUNT($AJ$1:AJ725)+1,"")</f>
        <v/>
      </c>
      <c r="AL726" s="243" t="str">
        <f>'All Ticker P&amp;L'!A726</f>
        <v/>
      </c>
      <c r="AM726" s="243" t="str">
        <f>'All Ticker P&amp;L'!B726</f>
        <v/>
      </c>
      <c r="AN726" s="243" t="str">
        <f>'All Ticker P&amp;L'!C726</f>
        <v/>
      </c>
      <c r="AO726" s="243" t="str">
        <f>'All Ticker P&amp;L'!D726</f>
        <v/>
      </c>
      <c r="AP726" s="243">
        <f>IF($AL726="",0,'All Ticker P&amp;L'!E726)</f>
        <v>0</v>
      </c>
      <c r="AQ726" s="266">
        <f>IF($AL726="",0,'All Ticker P&amp;L'!J726*'All Ticker P&amp;L'!I726)</f>
        <v>0</v>
      </c>
      <c r="AR726" s="266">
        <f>IF($AL726="",0,'All Ticker P&amp;L'!L726)</f>
        <v>0</v>
      </c>
      <c r="AS726" s="267">
        <f>IF($AL726="",0,'All Ticker P&amp;L'!M726)</f>
        <v>0</v>
      </c>
      <c r="AT726" s="243" t="str">
        <f>IF($AL726="","",RANK(AR726,$AR$2:$AR$1001)+COUNTIF($AR$2:AR726,AR726)-1)</f>
        <v/>
      </c>
      <c r="AU726" s="243" t="str">
        <f>IF($AL726="","",RANK(AV726,$AV$2:$AV$1001)+COUNTIF($AV$2:AV726,AV726)-1)</f>
        <v/>
      </c>
      <c r="AV726" s="266">
        <f t="shared" si="54"/>
        <v>0</v>
      </c>
    </row>
    <row r="727" spans="26:48" ht="15" customHeight="1" x14ac:dyDescent="0.2">
      <c r="Z727" s="243" t="str">
        <f>Shares!A727</f>
        <v/>
      </c>
      <c r="AA727" s="243" t="str">
        <f>Shares!B727</f>
        <v/>
      </c>
      <c r="AB727" s="243" t="str">
        <f>Shares!C727</f>
        <v/>
      </c>
      <c r="AC727" s="243" t="str">
        <f>Shares!D727</f>
        <v/>
      </c>
      <c r="AD727" s="243">
        <f>IF($Z727="",0,Shares!E727)</f>
        <v>0</v>
      </c>
      <c r="AE727" s="266">
        <f>IF($Z727="",0,Shares!J727*Shares!I727)</f>
        <v>0</v>
      </c>
      <c r="AF727" s="267">
        <f t="shared" si="53"/>
        <v>0</v>
      </c>
      <c r="AG727" s="266">
        <f>IF($Z727="",0,Shares!L727)</f>
        <v>0</v>
      </c>
      <c r="AH727" s="267">
        <f>IF($Z727="",0,Shares!M727)</f>
        <v>0</v>
      </c>
      <c r="AI727" s="243" t="str">
        <f>IF($Z727="","",RANK(AE727,$AE$2:$AE$1001)+COUNTIF($AE$2:AE727,AE727)-1)</f>
        <v/>
      </c>
      <c r="AJ727" s="243" t="str">
        <f>IF($AD727&lt;0,COUNT($AJ$1:AJ726)+1,"")</f>
        <v/>
      </c>
      <c r="AL727" s="243" t="str">
        <f>'All Ticker P&amp;L'!A727</f>
        <v/>
      </c>
      <c r="AM727" s="243" t="str">
        <f>'All Ticker P&amp;L'!B727</f>
        <v/>
      </c>
      <c r="AN727" s="243" t="str">
        <f>'All Ticker P&amp;L'!C727</f>
        <v/>
      </c>
      <c r="AO727" s="243" t="str">
        <f>'All Ticker P&amp;L'!D727</f>
        <v/>
      </c>
      <c r="AP727" s="243">
        <f>IF($AL727="",0,'All Ticker P&amp;L'!E727)</f>
        <v>0</v>
      </c>
      <c r="AQ727" s="266">
        <f>IF($AL727="",0,'All Ticker P&amp;L'!J727*'All Ticker P&amp;L'!I727)</f>
        <v>0</v>
      </c>
      <c r="AR727" s="266">
        <f>IF($AL727="",0,'All Ticker P&amp;L'!L727)</f>
        <v>0</v>
      </c>
      <c r="AS727" s="267">
        <f>IF($AL727="",0,'All Ticker P&amp;L'!M727)</f>
        <v>0</v>
      </c>
      <c r="AT727" s="243" t="str">
        <f>IF($AL727="","",RANK(AR727,$AR$2:$AR$1001)+COUNTIF($AR$2:AR727,AR727)-1)</f>
        <v/>
      </c>
      <c r="AU727" s="243" t="str">
        <f>IF($AL727="","",RANK(AV727,$AV$2:$AV$1001)+COUNTIF($AV$2:AV727,AV727)-1)</f>
        <v/>
      </c>
      <c r="AV727" s="266">
        <f t="shared" si="54"/>
        <v>0</v>
      </c>
    </row>
    <row r="728" spans="26:48" ht="15" customHeight="1" x14ac:dyDescent="0.2">
      <c r="Z728" s="243" t="str">
        <f>Shares!A728</f>
        <v/>
      </c>
      <c r="AA728" s="243" t="str">
        <f>Shares!B728</f>
        <v/>
      </c>
      <c r="AB728" s="243" t="str">
        <f>Shares!C728</f>
        <v/>
      </c>
      <c r="AC728" s="243" t="str">
        <f>Shares!D728</f>
        <v/>
      </c>
      <c r="AD728" s="243">
        <f>IF($Z728="",0,Shares!E728)</f>
        <v>0</v>
      </c>
      <c r="AE728" s="266">
        <f>IF($Z728="",0,Shares!J728*Shares!I728)</f>
        <v>0</v>
      </c>
      <c r="AF728" s="267">
        <f t="shared" si="53"/>
        <v>0</v>
      </c>
      <c r="AG728" s="266">
        <f>IF($Z728="",0,Shares!L728)</f>
        <v>0</v>
      </c>
      <c r="AH728" s="267">
        <f>IF($Z728="",0,Shares!M728)</f>
        <v>0</v>
      </c>
      <c r="AI728" s="243" t="str">
        <f>IF($Z728="","",RANK(AE728,$AE$2:$AE$1001)+COUNTIF($AE$2:AE728,AE728)-1)</f>
        <v/>
      </c>
      <c r="AJ728" s="243" t="str">
        <f>IF($AD728&lt;0,COUNT($AJ$1:AJ727)+1,"")</f>
        <v/>
      </c>
      <c r="AL728" s="243" t="str">
        <f>'All Ticker P&amp;L'!A728</f>
        <v/>
      </c>
      <c r="AM728" s="243" t="str">
        <f>'All Ticker P&amp;L'!B728</f>
        <v/>
      </c>
      <c r="AN728" s="243" t="str">
        <f>'All Ticker P&amp;L'!C728</f>
        <v/>
      </c>
      <c r="AO728" s="243" t="str">
        <f>'All Ticker P&amp;L'!D728</f>
        <v/>
      </c>
      <c r="AP728" s="243">
        <f>IF($AL728="",0,'All Ticker P&amp;L'!E728)</f>
        <v>0</v>
      </c>
      <c r="AQ728" s="266">
        <f>IF($AL728="",0,'All Ticker P&amp;L'!J728*'All Ticker P&amp;L'!I728)</f>
        <v>0</v>
      </c>
      <c r="AR728" s="266">
        <f>IF($AL728="",0,'All Ticker P&amp;L'!L728)</f>
        <v>0</v>
      </c>
      <c r="AS728" s="267">
        <f>IF($AL728="",0,'All Ticker P&amp;L'!M728)</f>
        <v>0</v>
      </c>
      <c r="AT728" s="243" t="str">
        <f>IF($AL728="","",RANK(AR728,$AR$2:$AR$1001)+COUNTIF($AR$2:AR728,AR728)-1)</f>
        <v/>
      </c>
      <c r="AU728" s="243" t="str">
        <f>IF($AL728="","",RANK(AV728,$AV$2:$AV$1001)+COUNTIF($AV$2:AV728,AV728)-1)</f>
        <v/>
      </c>
      <c r="AV728" s="266">
        <f t="shared" si="54"/>
        <v>0</v>
      </c>
    </row>
    <row r="729" spans="26:48" ht="15" customHeight="1" x14ac:dyDescent="0.2">
      <c r="Z729" s="243" t="str">
        <f>Shares!A729</f>
        <v/>
      </c>
      <c r="AA729" s="243" t="str">
        <f>Shares!B729</f>
        <v/>
      </c>
      <c r="AB729" s="243" t="str">
        <f>Shares!C729</f>
        <v/>
      </c>
      <c r="AC729" s="243" t="str">
        <f>Shares!D729</f>
        <v/>
      </c>
      <c r="AD729" s="243">
        <f>IF($Z729="",0,Shares!E729)</f>
        <v>0</v>
      </c>
      <c r="AE729" s="266">
        <f>IF($Z729="",0,Shares!J729*Shares!I729)</f>
        <v>0</v>
      </c>
      <c r="AF729" s="267">
        <f t="shared" si="53"/>
        <v>0</v>
      </c>
      <c r="AG729" s="266">
        <f>IF($Z729="",0,Shares!L729)</f>
        <v>0</v>
      </c>
      <c r="AH729" s="267">
        <f>IF($Z729="",0,Shares!M729)</f>
        <v>0</v>
      </c>
      <c r="AI729" s="243" t="str">
        <f>IF($Z729="","",RANK(AE729,$AE$2:$AE$1001)+COUNTIF($AE$2:AE729,AE729)-1)</f>
        <v/>
      </c>
      <c r="AJ729" s="243" t="str">
        <f>IF($AD729&lt;0,COUNT($AJ$1:AJ728)+1,"")</f>
        <v/>
      </c>
      <c r="AL729" s="243" t="str">
        <f>'All Ticker P&amp;L'!A729</f>
        <v/>
      </c>
      <c r="AM729" s="243" t="str">
        <f>'All Ticker P&amp;L'!B729</f>
        <v/>
      </c>
      <c r="AN729" s="243" t="str">
        <f>'All Ticker P&amp;L'!C729</f>
        <v/>
      </c>
      <c r="AO729" s="243" t="str">
        <f>'All Ticker P&amp;L'!D729</f>
        <v/>
      </c>
      <c r="AP729" s="243">
        <f>IF($AL729="",0,'All Ticker P&amp;L'!E729)</f>
        <v>0</v>
      </c>
      <c r="AQ729" s="266">
        <f>IF($AL729="",0,'All Ticker P&amp;L'!J729*'All Ticker P&amp;L'!I729)</f>
        <v>0</v>
      </c>
      <c r="AR729" s="266">
        <f>IF($AL729="",0,'All Ticker P&amp;L'!L729)</f>
        <v>0</v>
      </c>
      <c r="AS729" s="267">
        <f>IF($AL729="",0,'All Ticker P&amp;L'!M729)</f>
        <v>0</v>
      </c>
      <c r="AT729" s="243" t="str">
        <f>IF($AL729="","",RANK(AR729,$AR$2:$AR$1001)+COUNTIF($AR$2:AR729,AR729)-1)</f>
        <v/>
      </c>
      <c r="AU729" s="243" t="str">
        <f>IF($AL729="","",RANK(AV729,$AV$2:$AV$1001)+COUNTIF($AV$2:AV729,AV729)-1)</f>
        <v/>
      </c>
      <c r="AV729" s="266">
        <f t="shared" si="54"/>
        <v>0</v>
      </c>
    </row>
    <row r="730" spans="26:48" ht="15" customHeight="1" x14ac:dyDescent="0.2">
      <c r="Z730" s="243" t="str">
        <f>Shares!A730</f>
        <v/>
      </c>
      <c r="AA730" s="243" t="str">
        <f>Shares!B730</f>
        <v/>
      </c>
      <c r="AB730" s="243" t="str">
        <f>Shares!C730</f>
        <v/>
      </c>
      <c r="AC730" s="243" t="str">
        <f>Shares!D730</f>
        <v/>
      </c>
      <c r="AD730" s="243">
        <f>IF($Z730="",0,Shares!E730)</f>
        <v>0</v>
      </c>
      <c r="AE730" s="266">
        <f>IF($Z730="",0,Shares!J730*Shares!I730)</f>
        <v>0</v>
      </c>
      <c r="AF730" s="267">
        <f t="shared" si="53"/>
        <v>0</v>
      </c>
      <c r="AG730" s="266">
        <f>IF($Z730="",0,Shares!L730)</f>
        <v>0</v>
      </c>
      <c r="AH730" s="267">
        <f>IF($Z730="",0,Shares!M730)</f>
        <v>0</v>
      </c>
      <c r="AI730" s="243" t="str">
        <f>IF($Z730="","",RANK(AE730,$AE$2:$AE$1001)+COUNTIF($AE$2:AE730,AE730)-1)</f>
        <v/>
      </c>
      <c r="AJ730" s="243" t="str">
        <f>IF($AD730&lt;0,COUNT($AJ$1:AJ729)+1,"")</f>
        <v/>
      </c>
      <c r="AL730" s="243" t="str">
        <f>'All Ticker P&amp;L'!A730</f>
        <v/>
      </c>
      <c r="AM730" s="243" t="str">
        <f>'All Ticker P&amp;L'!B730</f>
        <v/>
      </c>
      <c r="AN730" s="243" t="str">
        <f>'All Ticker P&amp;L'!C730</f>
        <v/>
      </c>
      <c r="AO730" s="243" t="str">
        <f>'All Ticker P&amp;L'!D730</f>
        <v/>
      </c>
      <c r="AP730" s="243">
        <f>IF($AL730="",0,'All Ticker P&amp;L'!E730)</f>
        <v>0</v>
      </c>
      <c r="AQ730" s="266">
        <f>IF($AL730="",0,'All Ticker P&amp;L'!J730*'All Ticker P&amp;L'!I730)</f>
        <v>0</v>
      </c>
      <c r="AR730" s="266">
        <f>IF($AL730="",0,'All Ticker P&amp;L'!L730)</f>
        <v>0</v>
      </c>
      <c r="AS730" s="267">
        <f>IF($AL730="",0,'All Ticker P&amp;L'!M730)</f>
        <v>0</v>
      </c>
      <c r="AT730" s="243" t="str">
        <f>IF($AL730="","",RANK(AR730,$AR$2:$AR$1001)+COUNTIF($AR$2:AR730,AR730)-1)</f>
        <v/>
      </c>
      <c r="AU730" s="243" t="str">
        <f>IF($AL730="","",RANK(AV730,$AV$2:$AV$1001)+COUNTIF($AV$2:AV730,AV730)-1)</f>
        <v/>
      </c>
      <c r="AV730" s="266">
        <f t="shared" si="54"/>
        <v>0</v>
      </c>
    </row>
    <row r="731" spans="26:48" ht="15" customHeight="1" x14ac:dyDescent="0.2">
      <c r="Z731" s="243" t="str">
        <f>Shares!A731</f>
        <v/>
      </c>
      <c r="AA731" s="243" t="str">
        <f>Shares!B731</f>
        <v/>
      </c>
      <c r="AB731" s="243" t="str">
        <f>Shares!C731</f>
        <v/>
      </c>
      <c r="AC731" s="243" t="str">
        <f>Shares!D731</f>
        <v/>
      </c>
      <c r="AD731" s="243">
        <f>IF($Z731="",0,Shares!E731)</f>
        <v>0</v>
      </c>
      <c r="AE731" s="266">
        <f>IF($Z731="",0,Shares!J731*Shares!I731)</f>
        <v>0</v>
      </c>
      <c r="AF731" s="267">
        <f t="shared" si="53"/>
        <v>0</v>
      </c>
      <c r="AG731" s="266">
        <f>IF($Z731="",0,Shares!L731)</f>
        <v>0</v>
      </c>
      <c r="AH731" s="267">
        <f>IF($Z731="",0,Shares!M731)</f>
        <v>0</v>
      </c>
      <c r="AI731" s="243" t="str">
        <f>IF($Z731="","",RANK(AE731,$AE$2:$AE$1001)+COUNTIF($AE$2:AE731,AE731)-1)</f>
        <v/>
      </c>
      <c r="AJ731" s="243" t="str">
        <f>IF($AD731&lt;0,COUNT($AJ$1:AJ730)+1,"")</f>
        <v/>
      </c>
      <c r="AL731" s="243" t="str">
        <f>'All Ticker P&amp;L'!A731</f>
        <v/>
      </c>
      <c r="AM731" s="243" t="str">
        <f>'All Ticker P&amp;L'!B731</f>
        <v/>
      </c>
      <c r="AN731" s="243" t="str">
        <f>'All Ticker P&amp;L'!C731</f>
        <v/>
      </c>
      <c r="AO731" s="243" t="str">
        <f>'All Ticker P&amp;L'!D731</f>
        <v/>
      </c>
      <c r="AP731" s="243">
        <f>IF($AL731="",0,'All Ticker P&amp;L'!E731)</f>
        <v>0</v>
      </c>
      <c r="AQ731" s="266">
        <f>IF($AL731="",0,'All Ticker P&amp;L'!J731*'All Ticker P&amp;L'!I731)</f>
        <v>0</v>
      </c>
      <c r="AR731" s="266">
        <f>IF($AL731="",0,'All Ticker P&amp;L'!L731)</f>
        <v>0</v>
      </c>
      <c r="AS731" s="267">
        <f>IF($AL731="",0,'All Ticker P&amp;L'!M731)</f>
        <v>0</v>
      </c>
      <c r="AT731" s="243" t="str">
        <f>IF($AL731="","",RANK(AR731,$AR$2:$AR$1001)+COUNTIF($AR$2:AR731,AR731)-1)</f>
        <v/>
      </c>
      <c r="AU731" s="243" t="str">
        <f>IF($AL731="","",RANK(AV731,$AV$2:$AV$1001)+COUNTIF($AV$2:AV731,AV731)-1)</f>
        <v/>
      </c>
      <c r="AV731" s="266">
        <f t="shared" si="54"/>
        <v>0</v>
      </c>
    </row>
    <row r="732" spans="26:48" ht="15" customHeight="1" x14ac:dyDescent="0.2">
      <c r="Z732" s="243" t="str">
        <f>Shares!A732</f>
        <v/>
      </c>
      <c r="AA732" s="243" t="str">
        <f>Shares!B732</f>
        <v/>
      </c>
      <c r="AB732" s="243" t="str">
        <f>Shares!C732</f>
        <v/>
      </c>
      <c r="AC732" s="243" t="str">
        <f>Shares!D732</f>
        <v/>
      </c>
      <c r="AD732" s="243">
        <f>IF($Z732="",0,Shares!E732)</f>
        <v>0</v>
      </c>
      <c r="AE732" s="266">
        <f>IF($Z732="",0,Shares!J732*Shares!I732)</f>
        <v>0</v>
      </c>
      <c r="AF732" s="267">
        <f t="shared" si="53"/>
        <v>0</v>
      </c>
      <c r="AG732" s="266">
        <f>IF($Z732="",0,Shares!L732)</f>
        <v>0</v>
      </c>
      <c r="AH732" s="267">
        <f>IF($Z732="",0,Shares!M732)</f>
        <v>0</v>
      </c>
      <c r="AI732" s="243" t="str">
        <f>IF($Z732="","",RANK(AE732,$AE$2:$AE$1001)+COUNTIF($AE$2:AE732,AE732)-1)</f>
        <v/>
      </c>
      <c r="AJ732" s="243" t="str">
        <f>IF($AD732&lt;0,COUNT($AJ$1:AJ731)+1,"")</f>
        <v/>
      </c>
      <c r="AL732" s="243" t="str">
        <f>'All Ticker P&amp;L'!A732</f>
        <v/>
      </c>
      <c r="AM732" s="243" t="str">
        <f>'All Ticker P&amp;L'!B732</f>
        <v/>
      </c>
      <c r="AN732" s="243" t="str">
        <f>'All Ticker P&amp;L'!C732</f>
        <v/>
      </c>
      <c r="AO732" s="243" t="str">
        <f>'All Ticker P&amp;L'!D732</f>
        <v/>
      </c>
      <c r="AP732" s="243">
        <f>IF($AL732="",0,'All Ticker P&amp;L'!E732)</f>
        <v>0</v>
      </c>
      <c r="AQ732" s="266">
        <f>IF($AL732="",0,'All Ticker P&amp;L'!J732*'All Ticker P&amp;L'!I732)</f>
        <v>0</v>
      </c>
      <c r="AR732" s="266">
        <f>IF($AL732="",0,'All Ticker P&amp;L'!L732)</f>
        <v>0</v>
      </c>
      <c r="AS732" s="267">
        <f>IF($AL732="",0,'All Ticker P&amp;L'!M732)</f>
        <v>0</v>
      </c>
      <c r="AT732" s="243" t="str">
        <f>IF($AL732="","",RANK(AR732,$AR$2:$AR$1001)+COUNTIF($AR$2:AR732,AR732)-1)</f>
        <v/>
      </c>
      <c r="AU732" s="243" t="str">
        <f>IF($AL732="","",RANK(AV732,$AV$2:$AV$1001)+COUNTIF($AV$2:AV732,AV732)-1)</f>
        <v/>
      </c>
      <c r="AV732" s="266">
        <f t="shared" si="54"/>
        <v>0</v>
      </c>
    </row>
    <row r="733" spans="26:48" ht="15" customHeight="1" x14ac:dyDescent="0.2">
      <c r="Z733" s="243" t="str">
        <f>Shares!A733</f>
        <v/>
      </c>
      <c r="AA733" s="243" t="str">
        <f>Shares!B733</f>
        <v/>
      </c>
      <c r="AB733" s="243" t="str">
        <f>Shares!C733</f>
        <v/>
      </c>
      <c r="AC733" s="243" t="str">
        <f>Shares!D733</f>
        <v/>
      </c>
      <c r="AD733" s="243">
        <f>IF($Z733="",0,Shares!E733)</f>
        <v>0</v>
      </c>
      <c r="AE733" s="266">
        <f>IF($Z733="",0,Shares!J733*Shares!I733)</f>
        <v>0</v>
      </c>
      <c r="AF733" s="267">
        <f t="shared" si="53"/>
        <v>0</v>
      </c>
      <c r="AG733" s="266">
        <f>IF($Z733="",0,Shares!L733)</f>
        <v>0</v>
      </c>
      <c r="AH733" s="267">
        <f>IF($Z733="",0,Shares!M733)</f>
        <v>0</v>
      </c>
      <c r="AI733" s="243" t="str">
        <f>IF($Z733="","",RANK(AE733,$AE$2:$AE$1001)+COUNTIF($AE$2:AE733,AE733)-1)</f>
        <v/>
      </c>
      <c r="AJ733" s="243" t="str">
        <f>IF($AD733&lt;0,COUNT($AJ$1:AJ732)+1,"")</f>
        <v/>
      </c>
      <c r="AL733" s="243" t="str">
        <f>'All Ticker P&amp;L'!A733</f>
        <v/>
      </c>
      <c r="AM733" s="243" t="str">
        <f>'All Ticker P&amp;L'!B733</f>
        <v/>
      </c>
      <c r="AN733" s="243" t="str">
        <f>'All Ticker P&amp;L'!C733</f>
        <v/>
      </c>
      <c r="AO733" s="243" t="str">
        <f>'All Ticker P&amp;L'!D733</f>
        <v/>
      </c>
      <c r="AP733" s="243">
        <f>IF($AL733="",0,'All Ticker P&amp;L'!E733)</f>
        <v>0</v>
      </c>
      <c r="AQ733" s="266">
        <f>IF($AL733="",0,'All Ticker P&amp;L'!J733*'All Ticker P&amp;L'!I733)</f>
        <v>0</v>
      </c>
      <c r="AR733" s="266">
        <f>IF($AL733="",0,'All Ticker P&amp;L'!L733)</f>
        <v>0</v>
      </c>
      <c r="AS733" s="267">
        <f>IF($AL733="",0,'All Ticker P&amp;L'!M733)</f>
        <v>0</v>
      </c>
      <c r="AT733" s="243" t="str">
        <f>IF($AL733="","",RANK(AR733,$AR$2:$AR$1001)+COUNTIF($AR$2:AR733,AR733)-1)</f>
        <v/>
      </c>
      <c r="AU733" s="243" t="str">
        <f>IF($AL733="","",RANK(AV733,$AV$2:$AV$1001)+COUNTIF($AV$2:AV733,AV733)-1)</f>
        <v/>
      </c>
      <c r="AV733" s="266">
        <f t="shared" si="54"/>
        <v>0</v>
      </c>
    </row>
    <row r="734" spans="26:48" ht="15" customHeight="1" x14ac:dyDescent="0.2">
      <c r="Z734" s="243" t="str">
        <f>Shares!A734</f>
        <v/>
      </c>
      <c r="AA734" s="243" t="str">
        <f>Shares!B734</f>
        <v/>
      </c>
      <c r="AB734" s="243" t="str">
        <f>Shares!C734</f>
        <v/>
      </c>
      <c r="AC734" s="243" t="str">
        <f>Shares!D734</f>
        <v/>
      </c>
      <c r="AD734" s="243">
        <f>IF($Z734="",0,Shares!E734)</f>
        <v>0</v>
      </c>
      <c r="AE734" s="266">
        <f>IF($Z734="",0,Shares!J734*Shares!I734)</f>
        <v>0</v>
      </c>
      <c r="AF734" s="267">
        <f t="shared" si="53"/>
        <v>0</v>
      </c>
      <c r="AG734" s="266">
        <f>IF($Z734="",0,Shares!L734)</f>
        <v>0</v>
      </c>
      <c r="AH734" s="267">
        <f>IF($Z734="",0,Shares!M734)</f>
        <v>0</v>
      </c>
      <c r="AI734" s="243" t="str">
        <f>IF($Z734="","",RANK(AE734,$AE$2:$AE$1001)+COUNTIF($AE$2:AE734,AE734)-1)</f>
        <v/>
      </c>
      <c r="AJ734" s="243" t="str">
        <f>IF($AD734&lt;0,COUNT($AJ$1:AJ733)+1,"")</f>
        <v/>
      </c>
      <c r="AL734" s="243" t="str">
        <f>'All Ticker P&amp;L'!A734</f>
        <v/>
      </c>
      <c r="AM734" s="243" t="str">
        <f>'All Ticker P&amp;L'!B734</f>
        <v/>
      </c>
      <c r="AN734" s="243" t="str">
        <f>'All Ticker P&amp;L'!C734</f>
        <v/>
      </c>
      <c r="AO734" s="243" t="str">
        <f>'All Ticker P&amp;L'!D734</f>
        <v/>
      </c>
      <c r="AP734" s="243">
        <f>IF($AL734="",0,'All Ticker P&amp;L'!E734)</f>
        <v>0</v>
      </c>
      <c r="AQ734" s="266">
        <f>IF($AL734="",0,'All Ticker P&amp;L'!J734*'All Ticker P&amp;L'!I734)</f>
        <v>0</v>
      </c>
      <c r="AR734" s="266">
        <f>IF($AL734="",0,'All Ticker P&amp;L'!L734)</f>
        <v>0</v>
      </c>
      <c r="AS734" s="267">
        <f>IF($AL734="",0,'All Ticker P&amp;L'!M734)</f>
        <v>0</v>
      </c>
      <c r="AT734" s="243" t="str">
        <f>IF($AL734="","",RANK(AR734,$AR$2:$AR$1001)+COUNTIF($AR$2:AR734,AR734)-1)</f>
        <v/>
      </c>
      <c r="AU734" s="243" t="str">
        <f>IF($AL734="","",RANK(AV734,$AV$2:$AV$1001)+COUNTIF($AV$2:AV734,AV734)-1)</f>
        <v/>
      </c>
      <c r="AV734" s="266">
        <f t="shared" si="54"/>
        <v>0</v>
      </c>
    </row>
    <row r="735" spans="26:48" ht="15" customHeight="1" x14ac:dyDescent="0.2">
      <c r="Z735" s="243" t="str">
        <f>Shares!A735</f>
        <v/>
      </c>
      <c r="AA735" s="243" t="str">
        <f>Shares!B735</f>
        <v/>
      </c>
      <c r="AB735" s="243" t="str">
        <f>Shares!C735</f>
        <v/>
      </c>
      <c r="AC735" s="243" t="str">
        <f>Shares!D735</f>
        <v/>
      </c>
      <c r="AD735" s="243">
        <f>IF($Z735="",0,Shares!E735)</f>
        <v>0</v>
      </c>
      <c r="AE735" s="266">
        <f>IF($Z735="",0,Shares!J735*Shares!I735)</f>
        <v>0</v>
      </c>
      <c r="AF735" s="267">
        <f t="shared" si="53"/>
        <v>0</v>
      </c>
      <c r="AG735" s="266">
        <f>IF($Z735="",0,Shares!L735)</f>
        <v>0</v>
      </c>
      <c r="AH735" s="267">
        <f>IF($Z735="",0,Shares!M735)</f>
        <v>0</v>
      </c>
      <c r="AI735" s="243" t="str">
        <f>IF($Z735="","",RANK(AE735,$AE$2:$AE$1001)+COUNTIF($AE$2:AE735,AE735)-1)</f>
        <v/>
      </c>
      <c r="AJ735" s="243" t="str">
        <f>IF($AD735&lt;0,COUNT($AJ$1:AJ734)+1,"")</f>
        <v/>
      </c>
      <c r="AL735" s="243" t="str">
        <f>'All Ticker P&amp;L'!A735</f>
        <v/>
      </c>
      <c r="AM735" s="243" t="str">
        <f>'All Ticker P&amp;L'!B735</f>
        <v/>
      </c>
      <c r="AN735" s="243" t="str">
        <f>'All Ticker P&amp;L'!C735</f>
        <v/>
      </c>
      <c r="AO735" s="243" t="str">
        <f>'All Ticker P&amp;L'!D735</f>
        <v/>
      </c>
      <c r="AP735" s="243">
        <f>IF($AL735="",0,'All Ticker P&amp;L'!E735)</f>
        <v>0</v>
      </c>
      <c r="AQ735" s="266">
        <f>IF($AL735="",0,'All Ticker P&amp;L'!J735*'All Ticker P&amp;L'!I735)</f>
        <v>0</v>
      </c>
      <c r="AR735" s="266">
        <f>IF($AL735="",0,'All Ticker P&amp;L'!L735)</f>
        <v>0</v>
      </c>
      <c r="AS735" s="267">
        <f>IF($AL735="",0,'All Ticker P&amp;L'!M735)</f>
        <v>0</v>
      </c>
      <c r="AT735" s="243" t="str">
        <f>IF($AL735="","",RANK(AR735,$AR$2:$AR$1001)+COUNTIF($AR$2:AR735,AR735)-1)</f>
        <v/>
      </c>
      <c r="AU735" s="243" t="str">
        <f>IF($AL735="","",RANK(AV735,$AV$2:$AV$1001)+COUNTIF($AV$2:AV735,AV735)-1)</f>
        <v/>
      </c>
      <c r="AV735" s="266">
        <f t="shared" si="54"/>
        <v>0</v>
      </c>
    </row>
    <row r="736" spans="26:48" ht="15" customHeight="1" x14ac:dyDescent="0.2">
      <c r="Z736" s="243" t="str">
        <f>Shares!A736</f>
        <v/>
      </c>
      <c r="AA736" s="243" t="str">
        <f>Shares!B736</f>
        <v/>
      </c>
      <c r="AB736" s="243" t="str">
        <f>Shares!C736</f>
        <v/>
      </c>
      <c r="AC736" s="243" t="str">
        <f>Shares!D736</f>
        <v/>
      </c>
      <c r="AD736" s="243">
        <f>IF($Z736="",0,Shares!E736)</f>
        <v>0</v>
      </c>
      <c r="AE736" s="266">
        <f>IF($Z736="",0,Shares!J736*Shares!I736)</f>
        <v>0</v>
      </c>
      <c r="AF736" s="267">
        <f t="shared" si="53"/>
        <v>0</v>
      </c>
      <c r="AG736" s="266">
        <f>IF($Z736="",0,Shares!L736)</f>
        <v>0</v>
      </c>
      <c r="AH736" s="267">
        <f>IF($Z736="",0,Shares!M736)</f>
        <v>0</v>
      </c>
      <c r="AI736" s="243" t="str">
        <f>IF($Z736="","",RANK(AE736,$AE$2:$AE$1001)+COUNTIF($AE$2:AE736,AE736)-1)</f>
        <v/>
      </c>
      <c r="AJ736" s="243" t="str">
        <f>IF($AD736&lt;0,COUNT($AJ$1:AJ735)+1,"")</f>
        <v/>
      </c>
      <c r="AL736" s="243" t="str">
        <f>'All Ticker P&amp;L'!A736</f>
        <v/>
      </c>
      <c r="AM736" s="243" t="str">
        <f>'All Ticker P&amp;L'!B736</f>
        <v/>
      </c>
      <c r="AN736" s="243" t="str">
        <f>'All Ticker P&amp;L'!C736</f>
        <v/>
      </c>
      <c r="AO736" s="243" t="str">
        <f>'All Ticker P&amp;L'!D736</f>
        <v/>
      </c>
      <c r="AP736" s="243">
        <f>IF($AL736="",0,'All Ticker P&amp;L'!E736)</f>
        <v>0</v>
      </c>
      <c r="AQ736" s="266">
        <f>IF($AL736="",0,'All Ticker P&amp;L'!J736*'All Ticker P&amp;L'!I736)</f>
        <v>0</v>
      </c>
      <c r="AR736" s="266">
        <f>IF($AL736="",0,'All Ticker P&amp;L'!L736)</f>
        <v>0</v>
      </c>
      <c r="AS736" s="267">
        <f>IF($AL736="",0,'All Ticker P&amp;L'!M736)</f>
        <v>0</v>
      </c>
      <c r="AT736" s="243" t="str">
        <f>IF($AL736="","",RANK(AR736,$AR$2:$AR$1001)+COUNTIF($AR$2:AR736,AR736)-1)</f>
        <v/>
      </c>
      <c r="AU736" s="243" t="str">
        <f>IF($AL736="","",RANK(AV736,$AV$2:$AV$1001)+COUNTIF($AV$2:AV736,AV736)-1)</f>
        <v/>
      </c>
      <c r="AV736" s="266">
        <f t="shared" si="54"/>
        <v>0</v>
      </c>
    </row>
    <row r="737" spans="26:48" ht="15" customHeight="1" x14ac:dyDescent="0.2">
      <c r="Z737" s="243" t="str">
        <f>Shares!A737</f>
        <v/>
      </c>
      <c r="AA737" s="243" t="str">
        <f>Shares!B737</f>
        <v/>
      </c>
      <c r="AB737" s="243" t="str">
        <f>Shares!C737</f>
        <v/>
      </c>
      <c r="AC737" s="243" t="str">
        <f>Shares!D737</f>
        <v/>
      </c>
      <c r="AD737" s="243">
        <f>IF($Z737="",0,Shares!E737)</f>
        <v>0</v>
      </c>
      <c r="AE737" s="266">
        <f>IF($Z737="",0,Shares!J737*Shares!I737)</f>
        <v>0</v>
      </c>
      <c r="AF737" s="267">
        <f t="shared" si="53"/>
        <v>0</v>
      </c>
      <c r="AG737" s="266">
        <f>IF($Z737="",0,Shares!L737)</f>
        <v>0</v>
      </c>
      <c r="AH737" s="267">
        <f>IF($Z737="",0,Shares!M737)</f>
        <v>0</v>
      </c>
      <c r="AI737" s="243" t="str">
        <f>IF($Z737="","",RANK(AE737,$AE$2:$AE$1001)+COUNTIF($AE$2:AE737,AE737)-1)</f>
        <v/>
      </c>
      <c r="AJ737" s="243" t="str">
        <f>IF($AD737&lt;0,COUNT($AJ$1:AJ736)+1,"")</f>
        <v/>
      </c>
      <c r="AL737" s="243" t="str">
        <f>'All Ticker P&amp;L'!A737</f>
        <v/>
      </c>
      <c r="AM737" s="243" t="str">
        <f>'All Ticker P&amp;L'!B737</f>
        <v/>
      </c>
      <c r="AN737" s="243" t="str">
        <f>'All Ticker P&amp;L'!C737</f>
        <v/>
      </c>
      <c r="AO737" s="243" t="str">
        <f>'All Ticker P&amp;L'!D737</f>
        <v/>
      </c>
      <c r="AP737" s="243">
        <f>IF($AL737="",0,'All Ticker P&amp;L'!E737)</f>
        <v>0</v>
      </c>
      <c r="AQ737" s="266">
        <f>IF($AL737="",0,'All Ticker P&amp;L'!J737*'All Ticker P&amp;L'!I737)</f>
        <v>0</v>
      </c>
      <c r="AR737" s="266">
        <f>IF($AL737="",0,'All Ticker P&amp;L'!L737)</f>
        <v>0</v>
      </c>
      <c r="AS737" s="267">
        <f>IF($AL737="",0,'All Ticker P&amp;L'!M737)</f>
        <v>0</v>
      </c>
      <c r="AT737" s="243" t="str">
        <f>IF($AL737="","",RANK(AR737,$AR$2:$AR$1001)+COUNTIF($AR$2:AR737,AR737)-1)</f>
        <v/>
      </c>
      <c r="AU737" s="243" t="str">
        <f>IF($AL737="","",RANK(AV737,$AV$2:$AV$1001)+COUNTIF($AV$2:AV737,AV737)-1)</f>
        <v/>
      </c>
      <c r="AV737" s="266">
        <f t="shared" si="54"/>
        <v>0</v>
      </c>
    </row>
    <row r="738" spans="26:48" ht="15" customHeight="1" x14ac:dyDescent="0.2">
      <c r="Z738" s="243" t="str">
        <f>Shares!A738</f>
        <v/>
      </c>
      <c r="AA738" s="243" t="str">
        <f>Shares!B738</f>
        <v/>
      </c>
      <c r="AB738" s="243" t="str">
        <f>Shares!C738</f>
        <v/>
      </c>
      <c r="AC738" s="243" t="str">
        <f>Shares!D738</f>
        <v/>
      </c>
      <c r="AD738" s="243">
        <f>IF($Z738="",0,Shares!E738)</f>
        <v>0</v>
      </c>
      <c r="AE738" s="266">
        <f>IF($Z738="",0,Shares!J738*Shares!I738)</f>
        <v>0</v>
      </c>
      <c r="AF738" s="267">
        <f t="shared" si="53"/>
        <v>0</v>
      </c>
      <c r="AG738" s="266">
        <f>IF($Z738="",0,Shares!L738)</f>
        <v>0</v>
      </c>
      <c r="AH738" s="267">
        <f>IF($Z738="",0,Shares!M738)</f>
        <v>0</v>
      </c>
      <c r="AI738" s="243" t="str">
        <f>IF($Z738="","",RANK(AE738,$AE$2:$AE$1001)+COUNTIF($AE$2:AE738,AE738)-1)</f>
        <v/>
      </c>
      <c r="AJ738" s="243" t="str">
        <f>IF($AD738&lt;0,COUNT($AJ$1:AJ737)+1,"")</f>
        <v/>
      </c>
      <c r="AL738" s="243" t="str">
        <f>'All Ticker P&amp;L'!A738</f>
        <v/>
      </c>
      <c r="AM738" s="243" t="str">
        <f>'All Ticker P&amp;L'!B738</f>
        <v/>
      </c>
      <c r="AN738" s="243" t="str">
        <f>'All Ticker P&amp;L'!C738</f>
        <v/>
      </c>
      <c r="AO738" s="243" t="str">
        <f>'All Ticker P&amp;L'!D738</f>
        <v/>
      </c>
      <c r="AP738" s="243">
        <f>IF($AL738="",0,'All Ticker P&amp;L'!E738)</f>
        <v>0</v>
      </c>
      <c r="AQ738" s="266">
        <f>IF($AL738="",0,'All Ticker P&amp;L'!J738*'All Ticker P&amp;L'!I738)</f>
        <v>0</v>
      </c>
      <c r="AR738" s="266">
        <f>IF($AL738="",0,'All Ticker P&amp;L'!L738)</f>
        <v>0</v>
      </c>
      <c r="AS738" s="267">
        <f>IF($AL738="",0,'All Ticker P&amp;L'!M738)</f>
        <v>0</v>
      </c>
      <c r="AT738" s="243" t="str">
        <f>IF($AL738="","",RANK(AR738,$AR$2:$AR$1001)+COUNTIF($AR$2:AR738,AR738)-1)</f>
        <v/>
      </c>
      <c r="AU738" s="243" t="str">
        <f>IF($AL738="","",RANK(AV738,$AV$2:$AV$1001)+COUNTIF($AV$2:AV738,AV738)-1)</f>
        <v/>
      </c>
      <c r="AV738" s="266">
        <f t="shared" si="54"/>
        <v>0</v>
      </c>
    </row>
    <row r="739" spans="26:48" ht="15" customHeight="1" x14ac:dyDescent="0.2">
      <c r="Z739" s="243" t="str">
        <f>Shares!A739</f>
        <v/>
      </c>
      <c r="AA739" s="243" t="str">
        <f>Shares!B739</f>
        <v/>
      </c>
      <c r="AB739" s="243" t="str">
        <f>Shares!C739</f>
        <v/>
      </c>
      <c r="AC739" s="243" t="str">
        <f>Shares!D739</f>
        <v/>
      </c>
      <c r="AD739" s="243">
        <f>IF($Z739="",0,Shares!E739)</f>
        <v>0</v>
      </c>
      <c r="AE739" s="266">
        <f>IF($Z739="",0,Shares!J739*Shares!I739)</f>
        <v>0</v>
      </c>
      <c r="AF739" s="267">
        <f t="shared" si="53"/>
        <v>0</v>
      </c>
      <c r="AG739" s="266">
        <f>IF($Z739="",0,Shares!L739)</f>
        <v>0</v>
      </c>
      <c r="AH739" s="267">
        <f>IF($Z739="",0,Shares!M739)</f>
        <v>0</v>
      </c>
      <c r="AI739" s="243" t="str">
        <f>IF($Z739="","",RANK(AE739,$AE$2:$AE$1001)+COUNTIF($AE$2:AE739,AE739)-1)</f>
        <v/>
      </c>
      <c r="AJ739" s="243" t="str">
        <f>IF($AD739&lt;0,COUNT($AJ$1:AJ738)+1,"")</f>
        <v/>
      </c>
      <c r="AL739" s="243" t="str">
        <f>'All Ticker P&amp;L'!A739</f>
        <v/>
      </c>
      <c r="AM739" s="243" t="str">
        <f>'All Ticker P&amp;L'!B739</f>
        <v/>
      </c>
      <c r="AN739" s="243" t="str">
        <f>'All Ticker P&amp;L'!C739</f>
        <v/>
      </c>
      <c r="AO739" s="243" t="str">
        <f>'All Ticker P&amp;L'!D739</f>
        <v/>
      </c>
      <c r="AP739" s="243">
        <f>IF($AL739="",0,'All Ticker P&amp;L'!E739)</f>
        <v>0</v>
      </c>
      <c r="AQ739" s="266">
        <f>IF($AL739="",0,'All Ticker P&amp;L'!J739*'All Ticker P&amp;L'!I739)</f>
        <v>0</v>
      </c>
      <c r="AR739" s="266">
        <f>IF($AL739="",0,'All Ticker P&amp;L'!L739)</f>
        <v>0</v>
      </c>
      <c r="AS739" s="267">
        <f>IF($AL739="",0,'All Ticker P&amp;L'!M739)</f>
        <v>0</v>
      </c>
      <c r="AT739" s="243" t="str">
        <f>IF($AL739="","",RANK(AR739,$AR$2:$AR$1001)+COUNTIF($AR$2:AR739,AR739)-1)</f>
        <v/>
      </c>
      <c r="AU739" s="243" t="str">
        <f>IF($AL739="","",RANK(AV739,$AV$2:$AV$1001)+COUNTIF($AV$2:AV739,AV739)-1)</f>
        <v/>
      </c>
      <c r="AV739" s="266">
        <f t="shared" si="54"/>
        <v>0</v>
      </c>
    </row>
    <row r="740" spans="26:48" ht="15" customHeight="1" x14ac:dyDescent="0.2">
      <c r="Z740" s="243" t="str">
        <f>Shares!A740</f>
        <v/>
      </c>
      <c r="AA740" s="243" t="str">
        <f>Shares!B740</f>
        <v/>
      </c>
      <c r="AB740" s="243" t="str">
        <f>Shares!C740</f>
        <v/>
      </c>
      <c r="AC740" s="243" t="str">
        <f>Shares!D740</f>
        <v/>
      </c>
      <c r="AD740" s="243">
        <f>IF($Z740="",0,Shares!E740)</f>
        <v>0</v>
      </c>
      <c r="AE740" s="266">
        <f>IF($Z740="",0,Shares!J740*Shares!I740)</f>
        <v>0</v>
      </c>
      <c r="AF740" s="267">
        <f t="shared" si="53"/>
        <v>0</v>
      </c>
      <c r="AG740" s="266">
        <f>IF($Z740="",0,Shares!L740)</f>
        <v>0</v>
      </c>
      <c r="AH740" s="267">
        <f>IF($Z740="",0,Shares!M740)</f>
        <v>0</v>
      </c>
      <c r="AI740" s="243" t="str">
        <f>IF($Z740="","",RANK(AE740,$AE$2:$AE$1001)+COUNTIF($AE$2:AE740,AE740)-1)</f>
        <v/>
      </c>
      <c r="AJ740" s="243" t="str">
        <f>IF($AD740&lt;0,COUNT($AJ$1:AJ739)+1,"")</f>
        <v/>
      </c>
      <c r="AL740" s="243" t="str">
        <f>'All Ticker P&amp;L'!A740</f>
        <v/>
      </c>
      <c r="AM740" s="243" t="str">
        <f>'All Ticker P&amp;L'!B740</f>
        <v/>
      </c>
      <c r="AN740" s="243" t="str">
        <f>'All Ticker P&amp;L'!C740</f>
        <v/>
      </c>
      <c r="AO740" s="243" t="str">
        <f>'All Ticker P&amp;L'!D740</f>
        <v/>
      </c>
      <c r="AP740" s="243">
        <f>IF($AL740="",0,'All Ticker P&amp;L'!E740)</f>
        <v>0</v>
      </c>
      <c r="AQ740" s="266">
        <f>IF($AL740="",0,'All Ticker P&amp;L'!J740*'All Ticker P&amp;L'!I740)</f>
        <v>0</v>
      </c>
      <c r="AR740" s="266">
        <f>IF($AL740="",0,'All Ticker P&amp;L'!L740)</f>
        <v>0</v>
      </c>
      <c r="AS740" s="267">
        <f>IF($AL740="",0,'All Ticker P&amp;L'!M740)</f>
        <v>0</v>
      </c>
      <c r="AT740" s="243" t="str">
        <f>IF($AL740="","",RANK(AR740,$AR$2:$AR$1001)+COUNTIF($AR$2:AR740,AR740)-1)</f>
        <v/>
      </c>
      <c r="AU740" s="243" t="str">
        <f>IF($AL740="","",RANK(AV740,$AV$2:$AV$1001)+COUNTIF($AV$2:AV740,AV740)-1)</f>
        <v/>
      </c>
      <c r="AV740" s="266">
        <f t="shared" si="54"/>
        <v>0</v>
      </c>
    </row>
    <row r="741" spans="26:48" ht="15" customHeight="1" x14ac:dyDescent="0.2">
      <c r="Z741" s="243" t="str">
        <f>Shares!A741</f>
        <v/>
      </c>
      <c r="AA741" s="243" t="str">
        <f>Shares!B741</f>
        <v/>
      </c>
      <c r="AB741" s="243" t="str">
        <f>Shares!C741</f>
        <v/>
      </c>
      <c r="AC741" s="243" t="str">
        <f>Shares!D741</f>
        <v/>
      </c>
      <c r="AD741" s="243">
        <f>IF($Z741="",0,Shares!E741)</f>
        <v>0</v>
      </c>
      <c r="AE741" s="266">
        <f>IF($Z741="",0,Shares!J741*Shares!I741)</f>
        <v>0</v>
      </c>
      <c r="AF741" s="267">
        <f t="shared" si="53"/>
        <v>0</v>
      </c>
      <c r="AG741" s="266">
        <f>IF($Z741="",0,Shares!L741)</f>
        <v>0</v>
      </c>
      <c r="AH741" s="267">
        <f>IF($Z741="",0,Shares!M741)</f>
        <v>0</v>
      </c>
      <c r="AI741" s="243" t="str">
        <f>IF($Z741="","",RANK(AE741,$AE$2:$AE$1001)+COUNTIF($AE$2:AE741,AE741)-1)</f>
        <v/>
      </c>
      <c r="AJ741" s="243" t="str">
        <f>IF($AD741&lt;0,COUNT($AJ$1:AJ740)+1,"")</f>
        <v/>
      </c>
      <c r="AL741" s="243" t="str">
        <f>'All Ticker P&amp;L'!A741</f>
        <v/>
      </c>
      <c r="AM741" s="243" t="str">
        <f>'All Ticker P&amp;L'!B741</f>
        <v/>
      </c>
      <c r="AN741" s="243" t="str">
        <f>'All Ticker P&amp;L'!C741</f>
        <v/>
      </c>
      <c r="AO741" s="243" t="str">
        <f>'All Ticker P&amp;L'!D741</f>
        <v/>
      </c>
      <c r="AP741" s="243">
        <f>IF($AL741="",0,'All Ticker P&amp;L'!E741)</f>
        <v>0</v>
      </c>
      <c r="AQ741" s="266">
        <f>IF($AL741="",0,'All Ticker P&amp;L'!J741*'All Ticker P&amp;L'!I741)</f>
        <v>0</v>
      </c>
      <c r="AR741" s="266">
        <f>IF($AL741="",0,'All Ticker P&amp;L'!L741)</f>
        <v>0</v>
      </c>
      <c r="AS741" s="267">
        <f>IF($AL741="",0,'All Ticker P&amp;L'!M741)</f>
        <v>0</v>
      </c>
      <c r="AT741" s="243" t="str">
        <f>IF($AL741="","",RANK(AR741,$AR$2:$AR$1001)+COUNTIF($AR$2:AR741,AR741)-1)</f>
        <v/>
      </c>
      <c r="AU741" s="243" t="str">
        <f>IF($AL741="","",RANK(AV741,$AV$2:$AV$1001)+COUNTIF($AV$2:AV741,AV741)-1)</f>
        <v/>
      </c>
      <c r="AV741" s="266">
        <f t="shared" si="54"/>
        <v>0</v>
      </c>
    </row>
    <row r="742" spans="26:48" ht="15" customHeight="1" x14ac:dyDescent="0.2">
      <c r="Z742" s="243" t="str">
        <f>Shares!A742</f>
        <v/>
      </c>
      <c r="AA742" s="243" t="str">
        <f>Shares!B742</f>
        <v/>
      </c>
      <c r="AB742" s="243" t="str">
        <f>Shares!C742</f>
        <v/>
      </c>
      <c r="AC742" s="243" t="str">
        <f>Shares!D742</f>
        <v/>
      </c>
      <c r="AD742" s="243">
        <f>IF($Z742="",0,Shares!E742)</f>
        <v>0</v>
      </c>
      <c r="AE742" s="266">
        <f>IF($Z742="",0,Shares!J742*Shares!I742)</f>
        <v>0</v>
      </c>
      <c r="AF742" s="267">
        <f t="shared" si="53"/>
        <v>0</v>
      </c>
      <c r="AG742" s="266">
        <f>IF($Z742="",0,Shares!L742)</f>
        <v>0</v>
      </c>
      <c r="AH742" s="267">
        <f>IF($Z742="",0,Shares!M742)</f>
        <v>0</v>
      </c>
      <c r="AI742" s="243" t="str">
        <f>IF($Z742="","",RANK(AE742,$AE$2:$AE$1001)+COUNTIF($AE$2:AE742,AE742)-1)</f>
        <v/>
      </c>
      <c r="AJ742" s="243" t="str">
        <f>IF($AD742&lt;0,COUNT($AJ$1:AJ741)+1,"")</f>
        <v/>
      </c>
      <c r="AL742" s="243" t="str">
        <f>'All Ticker P&amp;L'!A742</f>
        <v/>
      </c>
      <c r="AM742" s="243" t="str">
        <f>'All Ticker P&amp;L'!B742</f>
        <v/>
      </c>
      <c r="AN742" s="243" t="str">
        <f>'All Ticker P&amp;L'!C742</f>
        <v/>
      </c>
      <c r="AO742" s="243" t="str">
        <f>'All Ticker P&amp;L'!D742</f>
        <v/>
      </c>
      <c r="AP742" s="243">
        <f>IF($AL742="",0,'All Ticker P&amp;L'!E742)</f>
        <v>0</v>
      </c>
      <c r="AQ742" s="266">
        <f>IF($AL742="",0,'All Ticker P&amp;L'!J742*'All Ticker P&amp;L'!I742)</f>
        <v>0</v>
      </c>
      <c r="AR742" s="266">
        <f>IF($AL742="",0,'All Ticker P&amp;L'!L742)</f>
        <v>0</v>
      </c>
      <c r="AS742" s="267">
        <f>IF($AL742="",0,'All Ticker P&amp;L'!M742)</f>
        <v>0</v>
      </c>
      <c r="AT742" s="243" t="str">
        <f>IF($AL742="","",RANK(AR742,$AR$2:$AR$1001)+COUNTIF($AR$2:AR742,AR742)-1)</f>
        <v/>
      </c>
      <c r="AU742" s="243" t="str">
        <f>IF($AL742="","",RANK(AV742,$AV$2:$AV$1001)+COUNTIF($AV$2:AV742,AV742)-1)</f>
        <v/>
      </c>
      <c r="AV742" s="266">
        <f t="shared" si="54"/>
        <v>0</v>
      </c>
    </row>
    <row r="743" spans="26:48" ht="15" customHeight="1" x14ac:dyDescent="0.2">
      <c r="Z743" s="243" t="str">
        <f>Shares!A743</f>
        <v/>
      </c>
      <c r="AA743" s="243" t="str">
        <f>Shares!B743</f>
        <v/>
      </c>
      <c r="AB743" s="243" t="str">
        <f>Shares!C743</f>
        <v/>
      </c>
      <c r="AC743" s="243" t="str">
        <f>Shares!D743</f>
        <v/>
      </c>
      <c r="AD743" s="243">
        <f>IF($Z743="",0,Shares!E743)</f>
        <v>0</v>
      </c>
      <c r="AE743" s="266">
        <f>IF($Z743="",0,Shares!J743*Shares!I743)</f>
        <v>0</v>
      </c>
      <c r="AF743" s="267">
        <f t="shared" si="53"/>
        <v>0</v>
      </c>
      <c r="AG743" s="266">
        <f>IF($Z743="",0,Shares!L743)</f>
        <v>0</v>
      </c>
      <c r="AH743" s="267">
        <f>IF($Z743="",0,Shares!M743)</f>
        <v>0</v>
      </c>
      <c r="AI743" s="243" t="str">
        <f>IF($Z743="","",RANK(AE743,$AE$2:$AE$1001)+COUNTIF($AE$2:AE743,AE743)-1)</f>
        <v/>
      </c>
      <c r="AJ743" s="243" t="str">
        <f>IF($AD743&lt;0,COUNT($AJ$1:AJ742)+1,"")</f>
        <v/>
      </c>
      <c r="AL743" s="243" t="str">
        <f>'All Ticker P&amp;L'!A743</f>
        <v/>
      </c>
      <c r="AM743" s="243" t="str">
        <f>'All Ticker P&amp;L'!B743</f>
        <v/>
      </c>
      <c r="AN743" s="243" t="str">
        <f>'All Ticker P&amp;L'!C743</f>
        <v/>
      </c>
      <c r="AO743" s="243" t="str">
        <f>'All Ticker P&amp;L'!D743</f>
        <v/>
      </c>
      <c r="AP743" s="243">
        <f>IF($AL743="",0,'All Ticker P&amp;L'!E743)</f>
        <v>0</v>
      </c>
      <c r="AQ743" s="266">
        <f>IF($AL743="",0,'All Ticker P&amp;L'!J743*'All Ticker P&amp;L'!I743)</f>
        <v>0</v>
      </c>
      <c r="AR743" s="266">
        <f>IF($AL743="",0,'All Ticker P&amp;L'!L743)</f>
        <v>0</v>
      </c>
      <c r="AS743" s="267">
        <f>IF($AL743="",0,'All Ticker P&amp;L'!M743)</f>
        <v>0</v>
      </c>
      <c r="AT743" s="243" t="str">
        <f>IF($AL743="","",RANK(AR743,$AR$2:$AR$1001)+COUNTIF($AR$2:AR743,AR743)-1)</f>
        <v/>
      </c>
      <c r="AU743" s="243" t="str">
        <f>IF($AL743="","",RANK(AV743,$AV$2:$AV$1001)+COUNTIF($AV$2:AV743,AV743)-1)</f>
        <v/>
      </c>
      <c r="AV743" s="266">
        <f t="shared" si="54"/>
        <v>0</v>
      </c>
    </row>
    <row r="744" spans="26:48" ht="15" customHeight="1" x14ac:dyDescent="0.2">
      <c r="Z744" s="243" t="str">
        <f>Shares!A744</f>
        <v/>
      </c>
      <c r="AA744" s="243" t="str">
        <f>Shares!B744</f>
        <v/>
      </c>
      <c r="AB744" s="243" t="str">
        <f>Shares!C744</f>
        <v/>
      </c>
      <c r="AC744" s="243" t="str">
        <f>Shares!D744</f>
        <v/>
      </c>
      <c r="AD744" s="243">
        <f>IF($Z744="",0,Shares!E744)</f>
        <v>0</v>
      </c>
      <c r="AE744" s="266">
        <f>IF($Z744="",0,Shares!J744*Shares!I744)</f>
        <v>0</v>
      </c>
      <c r="AF744" s="267">
        <f t="shared" si="53"/>
        <v>0</v>
      </c>
      <c r="AG744" s="266">
        <f>IF($Z744="",0,Shares!L744)</f>
        <v>0</v>
      </c>
      <c r="AH744" s="267">
        <f>IF($Z744="",0,Shares!M744)</f>
        <v>0</v>
      </c>
      <c r="AI744" s="243" t="str">
        <f>IF($Z744="","",RANK(AE744,$AE$2:$AE$1001)+COUNTIF($AE$2:AE744,AE744)-1)</f>
        <v/>
      </c>
      <c r="AJ744" s="243" t="str">
        <f>IF($AD744&lt;0,COUNT($AJ$1:AJ743)+1,"")</f>
        <v/>
      </c>
      <c r="AL744" s="243" t="str">
        <f>'All Ticker P&amp;L'!A744</f>
        <v/>
      </c>
      <c r="AM744" s="243" t="str">
        <f>'All Ticker P&amp;L'!B744</f>
        <v/>
      </c>
      <c r="AN744" s="243" t="str">
        <f>'All Ticker P&amp;L'!C744</f>
        <v/>
      </c>
      <c r="AO744" s="243" t="str">
        <f>'All Ticker P&amp;L'!D744</f>
        <v/>
      </c>
      <c r="AP744" s="243">
        <f>IF($AL744="",0,'All Ticker P&amp;L'!E744)</f>
        <v>0</v>
      </c>
      <c r="AQ744" s="266">
        <f>IF($AL744="",0,'All Ticker P&amp;L'!J744*'All Ticker P&amp;L'!I744)</f>
        <v>0</v>
      </c>
      <c r="AR744" s="266">
        <f>IF($AL744="",0,'All Ticker P&amp;L'!L744)</f>
        <v>0</v>
      </c>
      <c r="AS744" s="267">
        <f>IF($AL744="",0,'All Ticker P&amp;L'!M744)</f>
        <v>0</v>
      </c>
      <c r="AT744" s="243" t="str">
        <f>IF($AL744="","",RANK(AR744,$AR$2:$AR$1001)+COUNTIF($AR$2:AR744,AR744)-1)</f>
        <v/>
      </c>
      <c r="AU744" s="243" t="str">
        <f>IF($AL744="","",RANK(AV744,$AV$2:$AV$1001)+COUNTIF($AV$2:AV744,AV744)-1)</f>
        <v/>
      </c>
      <c r="AV744" s="266">
        <f t="shared" si="54"/>
        <v>0</v>
      </c>
    </row>
    <row r="745" spans="26:48" ht="15" customHeight="1" x14ac:dyDescent="0.2">
      <c r="Z745" s="243" t="str">
        <f>Shares!A745</f>
        <v/>
      </c>
      <c r="AA745" s="243" t="str">
        <f>Shares!B745</f>
        <v/>
      </c>
      <c r="AB745" s="243" t="str">
        <f>Shares!C745</f>
        <v/>
      </c>
      <c r="AC745" s="243" t="str">
        <f>Shares!D745</f>
        <v/>
      </c>
      <c r="AD745" s="243">
        <f>IF($Z745="",0,Shares!E745)</f>
        <v>0</v>
      </c>
      <c r="AE745" s="266">
        <f>IF($Z745="",0,Shares!J745*Shares!I745)</f>
        <v>0</v>
      </c>
      <c r="AF745" s="267">
        <f t="shared" si="53"/>
        <v>0</v>
      </c>
      <c r="AG745" s="266">
        <f>IF($Z745="",0,Shares!L745)</f>
        <v>0</v>
      </c>
      <c r="AH745" s="267">
        <f>IF($Z745="",0,Shares!M745)</f>
        <v>0</v>
      </c>
      <c r="AI745" s="243" t="str">
        <f>IF($Z745="","",RANK(AE745,$AE$2:$AE$1001)+COUNTIF($AE$2:AE745,AE745)-1)</f>
        <v/>
      </c>
      <c r="AJ745" s="243" t="str">
        <f>IF($AD745&lt;0,COUNT($AJ$1:AJ744)+1,"")</f>
        <v/>
      </c>
      <c r="AL745" s="243" t="str">
        <f>'All Ticker P&amp;L'!A745</f>
        <v/>
      </c>
      <c r="AM745" s="243" t="str">
        <f>'All Ticker P&amp;L'!B745</f>
        <v/>
      </c>
      <c r="AN745" s="243" t="str">
        <f>'All Ticker P&amp;L'!C745</f>
        <v/>
      </c>
      <c r="AO745" s="243" t="str">
        <f>'All Ticker P&amp;L'!D745</f>
        <v/>
      </c>
      <c r="AP745" s="243">
        <f>IF($AL745="",0,'All Ticker P&amp;L'!E745)</f>
        <v>0</v>
      </c>
      <c r="AQ745" s="266">
        <f>IF($AL745="",0,'All Ticker P&amp;L'!J745*'All Ticker P&amp;L'!I745)</f>
        <v>0</v>
      </c>
      <c r="AR745" s="266">
        <f>IF($AL745="",0,'All Ticker P&amp;L'!L745)</f>
        <v>0</v>
      </c>
      <c r="AS745" s="267">
        <f>IF($AL745="",0,'All Ticker P&amp;L'!M745)</f>
        <v>0</v>
      </c>
      <c r="AT745" s="243" t="str">
        <f>IF($AL745="","",RANK(AR745,$AR$2:$AR$1001)+COUNTIF($AR$2:AR745,AR745)-1)</f>
        <v/>
      </c>
      <c r="AU745" s="243" t="str">
        <f>IF($AL745="","",RANK(AV745,$AV$2:$AV$1001)+COUNTIF($AV$2:AV745,AV745)-1)</f>
        <v/>
      </c>
      <c r="AV745" s="266">
        <f t="shared" si="54"/>
        <v>0</v>
      </c>
    </row>
    <row r="746" spans="26:48" ht="15" customHeight="1" x14ac:dyDescent="0.2">
      <c r="Z746" s="243" t="str">
        <f>Shares!A746</f>
        <v/>
      </c>
      <c r="AA746" s="243" t="str">
        <f>Shares!B746</f>
        <v/>
      </c>
      <c r="AB746" s="243" t="str">
        <f>Shares!C746</f>
        <v/>
      </c>
      <c r="AC746" s="243" t="str">
        <f>Shares!D746</f>
        <v/>
      </c>
      <c r="AD746" s="243">
        <f>IF($Z746="",0,Shares!E746)</f>
        <v>0</v>
      </c>
      <c r="AE746" s="266">
        <f>IF($Z746="",0,Shares!J746*Shares!I746)</f>
        <v>0</v>
      </c>
      <c r="AF746" s="267">
        <f t="shared" si="53"/>
        <v>0</v>
      </c>
      <c r="AG746" s="266">
        <f>IF($Z746="",0,Shares!L746)</f>
        <v>0</v>
      </c>
      <c r="AH746" s="267">
        <f>IF($Z746="",0,Shares!M746)</f>
        <v>0</v>
      </c>
      <c r="AI746" s="243" t="str">
        <f>IF($Z746="","",RANK(AE746,$AE$2:$AE$1001)+COUNTIF($AE$2:AE746,AE746)-1)</f>
        <v/>
      </c>
      <c r="AJ746" s="243" t="str">
        <f>IF($AD746&lt;0,COUNT($AJ$1:AJ745)+1,"")</f>
        <v/>
      </c>
      <c r="AL746" s="243" t="str">
        <f>'All Ticker P&amp;L'!A746</f>
        <v/>
      </c>
      <c r="AM746" s="243" t="str">
        <f>'All Ticker P&amp;L'!B746</f>
        <v/>
      </c>
      <c r="AN746" s="243" t="str">
        <f>'All Ticker P&amp;L'!C746</f>
        <v/>
      </c>
      <c r="AO746" s="243" t="str">
        <f>'All Ticker P&amp;L'!D746</f>
        <v/>
      </c>
      <c r="AP746" s="243">
        <f>IF($AL746="",0,'All Ticker P&amp;L'!E746)</f>
        <v>0</v>
      </c>
      <c r="AQ746" s="266">
        <f>IF($AL746="",0,'All Ticker P&amp;L'!J746*'All Ticker P&amp;L'!I746)</f>
        <v>0</v>
      </c>
      <c r="AR746" s="266">
        <f>IF($AL746="",0,'All Ticker P&amp;L'!L746)</f>
        <v>0</v>
      </c>
      <c r="AS746" s="267">
        <f>IF($AL746="",0,'All Ticker P&amp;L'!M746)</f>
        <v>0</v>
      </c>
      <c r="AT746" s="243" t="str">
        <f>IF($AL746="","",RANK(AR746,$AR$2:$AR$1001)+COUNTIF($AR$2:AR746,AR746)-1)</f>
        <v/>
      </c>
      <c r="AU746" s="243" t="str">
        <f>IF($AL746="","",RANK(AV746,$AV$2:$AV$1001)+COUNTIF($AV$2:AV746,AV746)-1)</f>
        <v/>
      </c>
      <c r="AV746" s="266">
        <f t="shared" si="54"/>
        <v>0</v>
      </c>
    </row>
    <row r="747" spans="26:48" ht="15" customHeight="1" x14ac:dyDescent="0.2">
      <c r="Z747" s="243" t="str">
        <f>Shares!A747</f>
        <v/>
      </c>
      <c r="AA747" s="243" t="str">
        <f>Shares!B747</f>
        <v/>
      </c>
      <c r="AB747" s="243" t="str">
        <f>Shares!C747</f>
        <v/>
      </c>
      <c r="AC747" s="243" t="str">
        <f>Shares!D747</f>
        <v/>
      </c>
      <c r="AD747" s="243">
        <f>IF($Z747="",0,Shares!E747)</f>
        <v>0</v>
      </c>
      <c r="AE747" s="266">
        <f>IF($Z747="",0,Shares!J747*Shares!I747)</f>
        <v>0</v>
      </c>
      <c r="AF747" s="267">
        <f t="shared" si="53"/>
        <v>0</v>
      </c>
      <c r="AG747" s="266">
        <f>IF($Z747="",0,Shares!L747)</f>
        <v>0</v>
      </c>
      <c r="AH747" s="267">
        <f>IF($Z747="",0,Shares!M747)</f>
        <v>0</v>
      </c>
      <c r="AI747" s="243" t="str">
        <f>IF($Z747="","",RANK(AE747,$AE$2:$AE$1001)+COUNTIF($AE$2:AE747,AE747)-1)</f>
        <v/>
      </c>
      <c r="AJ747" s="243" t="str">
        <f>IF($AD747&lt;0,COUNT($AJ$1:AJ746)+1,"")</f>
        <v/>
      </c>
      <c r="AL747" s="243" t="str">
        <f>'All Ticker P&amp;L'!A747</f>
        <v/>
      </c>
      <c r="AM747" s="243" t="str">
        <f>'All Ticker P&amp;L'!B747</f>
        <v/>
      </c>
      <c r="AN747" s="243" t="str">
        <f>'All Ticker P&amp;L'!C747</f>
        <v/>
      </c>
      <c r="AO747" s="243" t="str">
        <f>'All Ticker P&amp;L'!D747</f>
        <v/>
      </c>
      <c r="AP747" s="243">
        <f>IF($AL747="",0,'All Ticker P&amp;L'!E747)</f>
        <v>0</v>
      </c>
      <c r="AQ747" s="266">
        <f>IF($AL747="",0,'All Ticker P&amp;L'!J747*'All Ticker P&amp;L'!I747)</f>
        <v>0</v>
      </c>
      <c r="AR747" s="266">
        <f>IF($AL747="",0,'All Ticker P&amp;L'!L747)</f>
        <v>0</v>
      </c>
      <c r="AS747" s="267">
        <f>IF($AL747="",0,'All Ticker P&amp;L'!M747)</f>
        <v>0</v>
      </c>
      <c r="AT747" s="243" t="str">
        <f>IF($AL747="","",RANK(AR747,$AR$2:$AR$1001)+COUNTIF($AR$2:AR747,AR747)-1)</f>
        <v/>
      </c>
      <c r="AU747" s="243" t="str">
        <f>IF($AL747="","",RANK(AV747,$AV$2:$AV$1001)+COUNTIF($AV$2:AV747,AV747)-1)</f>
        <v/>
      </c>
      <c r="AV747" s="266">
        <f t="shared" si="54"/>
        <v>0</v>
      </c>
    </row>
    <row r="748" spans="26:48" ht="15" customHeight="1" x14ac:dyDescent="0.2">
      <c r="Z748" s="243" t="str">
        <f>Shares!A748</f>
        <v/>
      </c>
      <c r="AA748" s="243" t="str">
        <f>Shares!B748</f>
        <v/>
      </c>
      <c r="AB748" s="243" t="str">
        <f>Shares!C748</f>
        <v/>
      </c>
      <c r="AC748" s="243" t="str">
        <f>Shares!D748</f>
        <v/>
      </c>
      <c r="AD748" s="243">
        <f>IF($Z748="",0,Shares!E748)</f>
        <v>0</v>
      </c>
      <c r="AE748" s="266">
        <f>IF($Z748="",0,Shares!J748*Shares!I748)</f>
        <v>0</v>
      </c>
      <c r="AF748" s="267">
        <f t="shared" si="53"/>
        <v>0</v>
      </c>
      <c r="AG748" s="266">
        <f>IF($Z748="",0,Shares!L748)</f>
        <v>0</v>
      </c>
      <c r="AH748" s="267">
        <f>IF($Z748="",0,Shares!M748)</f>
        <v>0</v>
      </c>
      <c r="AI748" s="243" t="str">
        <f>IF($Z748="","",RANK(AE748,$AE$2:$AE$1001)+COUNTIF($AE$2:AE748,AE748)-1)</f>
        <v/>
      </c>
      <c r="AJ748" s="243" t="str">
        <f>IF($AD748&lt;0,COUNT($AJ$1:AJ747)+1,"")</f>
        <v/>
      </c>
      <c r="AL748" s="243" t="str">
        <f>'All Ticker P&amp;L'!A748</f>
        <v/>
      </c>
      <c r="AM748" s="243" t="str">
        <f>'All Ticker P&amp;L'!B748</f>
        <v/>
      </c>
      <c r="AN748" s="243" t="str">
        <f>'All Ticker P&amp;L'!C748</f>
        <v/>
      </c>
      <c r="AO748" s="243" t="str">
        <f>'All Ticker P&amp;L'!D748</f>
        <v/>
      </c>
      <c r="AP748" s="243">
        <f>IF($AL748="",0,'All Ticker P&amp;L'!E748)</f>
        <v>0</v>
      </c>
      <c r="AQ748" s="266">
        <f>IF($AL748="",0,'All Ticker P&amp;L'!J748*'All Ticker P&amp;L'!I748)</f>
        <v>0</v>
      </c>
      <c r="AR748" s="266">
        <f>IF($AL748="",0,'All Ticker P&amp;L'!L748)</f>
        <v>0</v>
      </c>
      <c r="AS748" s="267">
        <f>IF($AL748="",0,'All Ticker P&amp;L'!M748)</f>
        <v>0</v>
      </c>
      <c r="AT748" s="243" t="str">
        <f>IF($AL748="","",RANK(AR748,$AR$2:$AR$1001)+COUNTIF($AR$2:AR748,AR748)-1)</f>
        <v/>
      </c>
      <c r="AU748" s="243" t="str">
        <f>IF($AL748="","",RANK(AV748,$AV$2:$AV$1001)+COUNTIF($AV$2:AV748,AV748)-1)</f>
        <v/>
      </c>
      <c r="AV748" s="266">
        <f t="shared" si="54"/>
        <v>0</v>
      </c>
    </row>
    <row r="749" spans="26:48" ht="15" customHeight="1" x14ac:dyDescent="0.2">
      <c r="Z749" s="243" t="str">
        <f>Shares!A749</f>
        <v/>
      </c>
      <c r="AA749" s="243" t="str">
        <f>Shares!B749</f>
        <v/>
      </c>
      <c r="AB749" s="243" t="str">
        <f>Shares!C749</f>
        <v/>
      </c>
      <c r="AC749" s="243" t="str">
        <f>Shares!D749</f>
        <v/>
      </c>
      <c r="AD749" s="243">
        <f>IF($Z749="",0,Shares!E749)</f>
        <v>0</v>
      </c>
      <c r="AE749" s="266">
        <f>IF($Z749="",0,Shares!J749*Shares!I749)</f>
        <v>0</v>
      </c>
      <c r="AF749" s="267">
        <f t="shared" si="53"/>
        <v>0</v>
      </c>
      <c r="AG749" s="266">
        <f>IF($Z749="",0,Shares!L749)</f>
        <v>0</v>
      </c>
      <c r="AH749" s="267">
        <f>IF($Z749="",0,Shares!M749)</f>
        <v>0</v>
      </c>
      <c r="AI749" s="243" t="str">
        <f>IF($Z749="","",RANK(AE749,$AE$2:$AE$1001)+COUNTIF($AE$2:AE749,AE749)-1)</f>
        <v/>
      </c>
      <c r="AJ749" s="243" t="str">
        <f>IF($AD749&lt;0,COUNT($AJ$1:AJ748)+1,"")</f>
        <v/>
      </c>
      <c r="AL749" s="243" t="str">
        <f>'All Ticker P&amp;L'!A749</f>
        <v/>
      </c>
      <c r="AM749" s="243" t="str">
        <f>'All Ticker P&amp;L'!B749</f>
        <v/>
      </c>
      <c r="AN749" s="243" t="str">
        <f>'All Ticker P&amp;L'!C749</f>
        <v/>
      </c>
      <c r="AO749" s="243" t="str">
        <f>'All Ticker P&amp;L'!D749</f>
        <v/>
      </c>
      <c r="AP749" s="243">
        <f>IF($AL749="",0,'All Ticker P&amp;L'!E749)</f>
        <v>0</v>
      </c>
      <c r="AQ749" s="266">
        <f>IF($AL749="",0,'All Ticker P&amp;L'!J749*'All Ticker P&amp;L'!I749)</f>
        <v>0</v>
      </c>
      <c r="AR749" s="266">
        <f>IF($AL749="",0,'All Ticker P&amp;L'!L749)</f>
        <v>0</v>
      </c>
      <c r="AS749" s="267">
        <f>IF($AL749="",0,'All Ticker P&amp;L'!M749)</f>
        <v>0</v>
      </c>
      <c r="AT749" s="243" t="str">
        <f>IF($AL749="","",RANK(AR749,$AR$2:$AR$1001)+COUNTIF($AR$2:AR749,AR749)-1)</f>
        <v/>
      </c>
      <c r="AU749" s="243" t="str">
        <f>IF($AL749="","",RANK(AV749,$AV$2:$AV$1001)+COUNTIF($AV$2:AV749,AV749)-1)</f>
        <v/>
      </c>
      <c r="AV749" s="266">
        <f t="shared" si="54"/>
        <v>0</v>
      </c>
    </row>
    <row r="750" spans="26:48" ht="15" customHeight="1" x14ac:dyDescent="0.2">
      <c r="Z750" s="243" t="str">
        <f>Shares!A750</f>
        <v/>
      </c>
      <c r="AA750" s="243" t="str">
        <f>Shares!B750</f>
        <v/>
      </c>
      <c r="AB750" s="243" t="str">
        <f>Shares!C750</f>
        <v/>
      </c>
      <c r="AC750" s="243" t="str">
        <f>Shares!D750</f>
        <v/>
      </c>
      <c r="AD750" s="243">
        <f>IF($Z750="",0,Shares!E750)</f>
        <v>0</v>
      </c>
      <c r="AE750" s="266">
        <f>IF($Z750="",0,Shares!J750*Shares!I750)</f>
        <v>0</v>
      </c>
      <c r="AF750" s="267">
        <f t="shared" si="53"/>
        <v>0</v>
      </c>
      <c r="AG750" s="266">
        <f>IF($Z750="",0,Shares!L750)</f>
        <v>0</v>
      </c>
      <c r="AH750" s="267">
        <f>IF($Z750="",0,Shares!M750)</f>
        <v>0</v>
      </c>
      <c r="AI750" s="243" t="str">
        <f>IF($Z750="","",RANK(AE750,$AE$2:$AE$1001)+COUNTIF($AE$2:AE750,AE750)-1)</f>
        <v/>
      </c>
      <c r="AJ750" s="243" t="str">
        <f>IF($AD750&lt;0,COUNT($AJ$1:AJ749)+1,"")</f>
        <v/>
      </c>
      <c r="AL750" s="243" t="str">
        <f>'All Ticker P&amp;L'!A750</f>
        <v/>
      </c>
      <c r="AM750" s="243" t="str">
        <f>'All Ticker P&amp;L'!B750</f>
        <v/>
      </c>
      <c r="AN750" s="243" t="str">
        <f>'All Ticker P&amp;L'!C750</f>
        <v/>
      </c>
      <c r="AO750" s="243" t="str">
        <f>'All Ticker P&amp;L'!D750</f>
        <v/>
      </c>
      <c r="AP750" s="243">
        <f>IF($AL750="",0,'All Ticker P&amp;L'!E750)</f>
        <v>0</v>
      </c>
      <c r="AQ750" s="266">
        <f>IF($AL750="",0,'All Ticker P&amp;L'!J750*'All Ticker P&amp;L'!I750)</f>
        <v>0</v>
      </c>
      <c r="AR750" s="266">
        <f>IF($AL750="",0,'All Ticker P&amp;L'!L750)</f>
        <v>0</v>
      </c>
      <c r="AS750" s="267">
        <f>IF($AL750="",0,'All Ticker P&amp;L'!M750)</f>
        <v>0</v>
      </c>
      <c r="AT750" s="243" t="str">
        <f>IF($AL750="","",RANK(AR750,$AR$2:$AR$1001)+COUNTIF($AR$2:AR750,AR750)-1)</f>
        <v/>
      </c>
      <c r="AU750" s="243" t="str">
        <f>IF($AL750="","",RANK(AV750,$AV$2:$AV$1001)+COUNTIF($AV$2:AV750,AV750)-1)</f>
        <v/>
      </c>
      <c r="AV750" s="266">
        <f t="shared" si="54"/>
        <v>0</v>
      </c>
    </row>
    <row r="751" spans="26:48" ht="15" customHeight="1" x14ac:dyDescent="0.2">
      <c r="Z751" s="243" t="str">
        <f>Shares!A751</f>
        <v/>
      </c>
      <c r="AA751" s="243" t="str">
        <f>Shares!B751</f>
        <v/>
      </c>
      <c r="AB751" s="243" t="str">
        <f>Shares!C751</f>
        <v/>
      </c>
      <c r="AC751" s="243" t="str">
        <f>Shares!D751</f>
        <v/>
      </c>
      <c r="AD751" s="243">
        <f>IF($Z751="",0,Shares!E751)</f>
        <v>0</v>
      </c>
      <c r="AE751" s="266">
        <f>IF($Z751="",0,Shares!J751*Shares!I751)</f>
        <v>0</v>
      </c>
      <c r="AF751" s="267">
        <f t="shared" si="53"/>
        <v>0</v>
      </c>
      <c r="AG751" s="266">
        <f>IF($Z751="",0,Shares!L751)</f>
        <v>0</v>
      </c>
      <c r="AH751" s="267">
        <f>IF($Z751="",0,Shares!M751)</f>
        <v>0</v>
      </c>
      <c r="AI751" s="243" t="str">
        <f>IF($Z751="","",RANK(AE751,$AE$2:$AE$1001)+COUNTIF($AE$2:AE751,AE751)-1)</f>
        <v/>
      </c>
      <c r="AJ751" s="243" t="str">
        <f>IF($AD751&lt;0,COUNT($AJ$1:AJ750)+1,"")</f>
        <v/>
      </c>
      <c r="AL751" s="243" t="str">
        <f>'All Ticker P&amp;L'!A751</f>
        <v/>
      </c>
      <c r="AM751" s="243" t="str">
        <f>'All Ticker P&amp;L'!B751</f>
        <v/>
      </c>
      <c r="AN751" s="243" t="str">
        <f>'All Ticker P&amp;L'!C751</f>
        <v/>
      </c>
      <c r="AO751" s="243" t="str">
        <f>'All Ticker P&amp;L'!D751</f>
        <v/>
      </c>
      <c r="AP751" s="243">
        <f>IF($AL751="",0,'All Ticker P&amp;L'!E751)</f>
        <v>0</v>
      </c>
      <c r="AQ751" s="266">
        <f>IF($AL751="",0,'All Ticker P&amp;L'!J751*'All Ticker P&amp;L'!I751)</f>
        <v>0</v>
      </c>
      <c r="AR751" s="266">
        <f>IF($AL751="",0,'All Ticker P&amp;L'!L751)</f>
        <v>0</v>
      </c>
      <c r="AS751" s="267">
        <f>IF($AL751="",0,'All Ticker P&amp;L'!M751)</f>
        <v>0</v>
      </c>
      <c r="AT751" s="243" t="str">
        <f>IF($AL751="","",RANK(AR751,$AR$2:$AR$1001)+COUNTIF($AR$2:AR751,AR751)-1)</f>
        <v/>
      </c>
      <c r="AU751" s="243" t="str">
        <f>IF($AL751="","",RANK(AV751,$AV$2:$AV$1001)+COUNTIF($AV$2:AV751,AV751)-1)</f>
        <v/>
      </c>
      <c r="AV751" s="266">
        <f t="shared" si="54"/>
        <v>0</v>
      </c>
    </row>
    <row r="752" spans="26:48" ht="15" customHeight="1" x14ac:dyDescent="0.2">
      <c r="Z752" s="243" t="str">
        <f>Shares!A752</f>
        <v/>
      </c>
      <c r="AA752" s="243" t="str">
        <f>Shares!B752</f>
        <v/>
      </c>
      <c r="AB752" s="243" t="str">
        <f>Shares!C752</f>
        <v/>
      </c>
      <c r="AC752" s="243" t="str">
        <f>Shares!D752</f>
        <v/>
      </c>
      <c r="AD752" s="243">
        <f>IF($Z752="",0,Shares!E752)</f>
        <v>0</v>
      </c>
      <c r="AE752" s="266">
        <f>IF($Z752="",0,Shares!J752*Shares!I752)</f>
        <v>0</v>
      </c>
      <c r="AF752" s="267">
        <f t="shared" si="53"/>
        <v>0</v>
      </c>
      <c r="AG752" s="266">
        <f>IF($Z752="",0,Shares!L752)</f>
        <v>0</v>
      </c>
      <c r="AH752" s="267">
        <f>IF($Z752="",0,Shares!M752)</f>
        <v>0</v>
      </c>
      <c r="AI752" s="243" t="str">
        <f>IF($Z752="","",RANK(AE752,$AE$2:$AE$1001)+COUNTIF($AE$2:AE752,AE752)-1)</f>
        <v/>
      </c>
      <c r="AJ752" s="243" t="str">
        <f>IF($AD752&lt;0,COUNT($AJ$1:AJ751)+1,"")</f>
        <v/>
      </c>
      <c r="AL752" s="243" t="str">
        <f>'All Ticker P&amp;L'!A752</f>
        <v/>
      </c>
      <c r="AM752" s="243" t="str">
        <f>'All Ticker P&amp;L'!B752</f>
        <v/>
      </c>
      <c r="AN752" s="243" t="str">
        <f>'All Ticker P&amp;L'!C752</f>
        <v/>
      </c>
      <c r="AO752" s="243" t="str">
        <f>'All Ticker P&amp;L'!D752</f>
        <v/>
      </c>
      <c r="AP752" s="243">
        <f>IF($AL752="",0,'All Ticker P&amp;L'!E752)</f>
        <v>0</v>
      </c>
      <c r="AQ752" s="266">
        <f>IF($AL752="",0,'All Ticker P&amp;L'!J752*'All Ticker P&amp;L'!I752)</f>
        <v>0</v>
      </c>
      <c r="AR752" s="266">
        <f>IF($AL752="",0,'All Ticker P&amp;L'!L752)</f>
        <v>0</v>
      </c>
      <c r="AS752" s="267">
        <f>IF($AL752="",0,'All Ticker P&amp;L'!M752)</f>
        <v>0</v>
      </c>
      <c r="AT752" s="243" t="str">
        <f>IF($AL752="","",RANK(AR752,$AR$2:$AR$1001)+COUNTIF($AR$2:AR752,AR752)-1)</f>
        <v/>
      </c>
      <c r="AU752" s="243" t="str">
        <f>IF($AL752="","",RANK(AV752,$AV$2:$AV$1001)+COUNTIF($AV$2:AV752,AV752)-1)</f>
        <v/>
      </c>
      <c r="AV752" s="266">
        <f t="shared" si="54"/>
        <v>0</v>
      </c>
    </row>
    <row r="753" spans="26:48" ht="15" customHeight="1" x14ac:dyDescent="0.2">
      <c r="Z753" s="243" t="str">
        <f>Shares!A753</f>
        <v/>
      </c>
      <c r="AA753" s="243" t="str">
        <f>Shares!B753</f>
        <v/>
      </c>
      <c r="AB753" s="243" t="str">
        <f>Shares!C753</f>
        <v/>
      </c>
      <c r="AC753" s="243" t="str">
        <f>Shares!D753</f>
        <v/>
      </c>
      <c r="AD753" s="243">
        <f>IF($Z753="",0,Shares!E753)</f>
        <v>0</v>
      </c>
      <c r="AE753" s="266">
        <f>IF($Z753="",0,Shares!J753*Shares!I753)</f>
        <v>0</v>
      </c>
      <c r="AF753" s="267">
        <f t="shared" si="53"/>
        <v>0</v>
      </c>
      <c r="AG753" s="266">
        <f>IF($Z753="",0,Shares!L753)</f>
        <v>0</v>
      </c>
      <c r="AH753" s="267">
        <f>IF($Z753="",0,Shares!M753)</f>
        <v>0</v>
      </c>
      <c r="AI753" s="243" t="str">
        <f>IF($Z753="","",RANK(AE753,$AE$2:$AE$1001)+COUNTIF($AE$2:AE753,AE753)-1)</f>
        <v/>
      </c>
      <c r="AJ753" s="243" t="str">
        <f>IF($AD753&lt;0,COUNT($AJ$1:AJ752)+1,"")</f>
        <v/>
      </c>
      <c r="AL753" s="243" t="str">
        <f>'All Ticker P&amp;L'!A753</f>
        <v/>
      </c>
      <c r="AM753" s="243" t="str">
        <f>'All Ticker P&amp;L'!B753</f>
        <v/>
      </c>
      <c r="AN753" s="243" t="str">
        <f>'All Ticker P&amp;L'!C753</f>
        <v/>
      </c>
      <c r="AO753" s="243" t="str">
        <f>'All Ticker P&amp;L'!D753</f>
        <v/>
      </c>
      <c r="AP753" s="243">
        <f>IF($AL753="",0,'All Ticker P&amp;L'!E753)</f>
        <v>0</v>
      </c>
      <c r="AQ753" s="266">
        <f>IF($AL753="",0,'All Ticker P&amp;L'!J753*'All Ticker P&amp;L'!I753)</f>
        <v>0</v>
      </c>
      <c r="AR753" s="266">
        <f>IF($AL753="",0,'All Ticker P&amp;L'!L753)</f>
        <v>0</v>
      </c>
      <c r="AS753" s="267">
        <f>IF($AL753="",0,'All Ticker P&amp;L'!M753)</f>
        <v>0</v>
      </c>
      <c r="AT753" s="243" t="str">
        <f>IF($AL753="","",RANK(AR753,$AR$2:$AR$1001)+COUNTIF($AR$2:AR753,AR753)-1)</f>
        <v/>
      </c>
      <c r="AU753" s="243" t="str">
        <f>IF($AL753="","",RANK(AV753,$AV$2:$AV$1001)+COUNTIF($AV$2:AV753,AV753)-1)</f>
        <v/>
      </c>
      <c r="AV753" s="266">
        <f t="shared" si="54"/>
        <v>0</v>
      </c>
    </row>
    <row r="754" spans="26:48" ht="15" customHeight="1" x14ac:dyDescent="0.2">
      <c r="Z754" s="243" t="str">
        <f>Shares!A754</f>
        <v/>
      </c>
      <c r="AA754" s="243" t="str">
        <f>Shares!B754</f>
        <v/>
      </c>
      <c r="AB754" s="243" t="str">
        <f>Shares!C754</f>
        <v/>
      </c>
      <c r="AC754" s="243" t="str">
        <f>Shares!D754</f>
        <v/>
      </c>
      <c r="AD754" s="243">
        <f>IF($Z754="",0,Shares!E754)</f>
        <v>0</v>
      </c>
      <c r="AE754" s="266">
        <f>IF($Z754="",0,Shares!J754*Shares!I754)</f>
        <v>0</v>
      </c>
      <c r="AF754" s="267">
        <f t="shared" si="53"/>
        <v>0</v>
      </c>
      <c r="AG754" s="266">
        <f>IF($Z754="",0,Shares!L754)</f>
        <v>0</v>
      </c>
      <c r="AH754" s="267">
        <f>IF($Z754="",0,Shares!M754)</f>
        <v>0</v>
      </c>
      <c r="AI754" s="243" t="str">
        <f>IF($Z754="","",RANK(AE754,$AE$2:$AE$1001)+COUNTIF($AE$2:AE754,AE754)-1)</f>
        <v/>
      </c>
      <c r="AJ754" s="243" t="str">
        <f>IF($AD754&lt;0,COUNT($AJ$1:AJ753)+1,"")</f>
        <v/>
      </c>
      <c r="AL754" s="243" t="str">
        <f>'All Ticker P&amp;L'!A754</f>
        <v/>
      </c>
      <c r="AM754" s="243" t="str">
        <f>'All Ticker P&amp;L'!B754</f>
        <v/>
      </c>
      <c r="AN754" s="243" t="str">
        <f>'All Ticker P&amp;L'!C754</f>
        <v/>
      </c>
      <c r="AO754" s="243" t="str">
        <f>'All Ticker P&amp;L'!D754</f>
        <v/>
      </c>
      <c r="AP754" s="243">
        <f>IF($AL754="",0,'All Ticker P&amp;L'!E754)</f>
        <v>0</v>
      </c>
      <c r="AQ754" s="266">
        <f>IF($AL754="",0,'All Ticker P&amp;L'!J754*'All Ticker P&amp;L'!I754)</f>
        <v>0</v>
      </c>
      <c r="AR754" s="266">
        <f>IF($AL754="",0,'All Ticker P&amp;L'!L754)</f>
        <v>0</v>
      </c>
      <c r="AS754" s="267">
        <f>IF($AL754="",0,'All Ticker P&amp;L'!M754)</f>
        <v>0</v>
      </c>
      <c r="AT754" s="243" t="str">
        <f>IF($AL754="","",RANK(AR754,$AR$2:$AR$1001)+COUNTIF($AR$2:AR754,AR754)-1)</f>
        <v/>
      </c>
      <c r="AU754" s="243" t="str">
        <f>IF($AL754="","",RANK(AV754,$AV$2:$AV$1001)+COUNTIF($AV$2:AV754,AV754)-1)</f>
        <v/>
      </c>
      <c r="AV754" s="266">
        <f t="shared" si="54"/>
        <v>0</v>
      </c>
    </row>
    <row r="755" spans="26:48" ht="15" customHeight="1" x14ac:dyDescent="0.2">
      <c r="Z755" s="243" t="str">
        <f>Shares!A755</f>
        <v/>
      </c>
      <c r="AA755" s="243" t="str">
        <f>Shares!B755</f>
        <v/>
      </c>
      <c r="AB755" s="243" t="str">
        <f>Shares!C755</f>
        <v/>
      </c>
      <c r="AC755" s="243" t="str">
        <f>Shares!D755</f>
        <v/>
      </c>
      <c r="AD755" s="243">
        <f>IF($Z755="",0,Shares!E755)</f>
        <v>0</v>
      </c>
      <c r="AE755" s="266">
        <f>IF($Z755="",0,Shares!J755*Shares!I755)</f>
        <v>0</v>
      </c>
      <c r="AF755" s="267">
        <f t="shared" si="53"/>
        <v>0</v>
      </c>
      <c r="AG755" s="266">
        <f>IF($Z755="",0,Shares!L755)</f>
        <v>0</v>
      </c>
      <c r="AH755" s="267">
        <f>IF($Z755="",0,Shares!M755)</f>
        <v>0</v>
      </c>
      <c r="AI755" s="243" t="str">
        <f>IF($Z755="","",RANK(AE755,$AE$2:$AE$1001)+COUNTIF($AE$2:AE755,AE755)-1)</f>
        <v/>
      </c>
      <c r="AJ755" s="243" t="str">
        <f>IF($AD755&lt;0,COUNT($AJ$1:AJ754)+1,"")</f>
        <v/>
      </c>
      <c r="AL755" s="243" t="str">
        <f>'All Ticker P&amp;L'!A755</f>
        <v/>
      </c>
      <c r="AM755" s="243" t="str">
        <f>'All Ticker P&amp;L'!B755</f>
        <v/>
      </c>
      <c r="AN755" s="243" t="str">
        <f>'All Ticker P&amp;L'!C755</f>
        <v/>
      </c>
      <c r="AO755" s="243" t="str">
        <f>'All Ticker P&amp;L'!D755</f>
        <v/>
      </c>
      <c r="AP755" s="243">
        <f>IF($AL755="",0,'All Ticker P&amp;L'!E755)</f>
        <v>0</v>
      </c>
      <c r="AQ755" s="266">
        <f>IF($AL755="",0,'All Ticker P&amp;L'!J755*'All Ticker P&amp;L'!I755)</f>
        <v>0</v>
      </c>
      <c r="AR755" s="266">
        <f>IF($AL755="",0,'All Ticker P&amp;L'!L755)</f>
        <v>0</v>
      </c>
      <c r="AS755" s="267">
        <f>IF($AL755="",0,'All Ticker P&amp;L'!M755)</f>
        <v>0</v>
      </c>
      <c r="AT755" s="243" t="str">
        <f>IF($AL755="","",RANK(AR755,$AR$2:$AR$1001)+COUNTIF($AR$2:AR755,AR755)-1)</f>
        <v/>
      </c>
      <c r="AU755" s="243" t="str">
        <f>IF($AL755="","",RANK(AV755,$AV$2:$AV$1001)+COUNTIF($AV$2:AV755,AV755)-1)</f>
        <v/>
      </c>
      <c r="AV755" s="266">
        <f t="shared" si="54"/>
        <v>0</v>
      </c>
    </row>
    <row r="756" spans="26:48" ht="15" customHeight="1" x14ac:dyDescent="0.2">
      <c r="Z756" s="243" t="str">
        <f>Shares!A756</f>
        <v/>
      </c>
      <c r="AA756" s="243" t="str">
        <f>Shares!B756</f>
        <v/>
      </c>
      <c r="AB756" s="243" t="str">
        <f>Shares!C756</f>
        <v/>
      </c>
      <c r="AC756" s="243" t="str">
        <f>Shares!D756</f>
        <v/>
      </c>
      <c r="AD756" s="243">
        <f>IF($Z756="",0,Shares!E756)</f>
        <v>0</v>
      </c>
      <c r="AE756" s="266">
        <f>IF($Z756="",0,Shares!J756*Shares!I756)</f>
        <v>0</v>
      </c>
      <c r="AF756" s="267">
        <f t="shared" si="53"/>
        <v>0</v>
      </c>
      <c r="AG756" s="266">
        <f>IF($Z756="",0,Shares!L756)</f>
        <v>0</v>
      </c>
      <c r="AH756" s="267">
        <f>IF($Z756="",0,Shares!M756)</f>
        <v>0</v>
      </c>
      <c r="AI756" s="243" t="str">
        <f>IF($Z756="","",RANK(AE756,$AE$2:$AE$1001)+COUNTIF($AE$2:AE756,AE756)-1)</f>
        <v/>
      </c>
      <c r="AJ756" s="243" t="str">
        <f>IF($AD756&lt;0,COUNT($AJ$1:AJ755)+1,"")</f>
        <v/>
      </c>
      <c r="AL756" s="243" t="str">
        <f>'All Ticker P&amp;L'!A756</f>
        <v/>
      </c>
      <c r="AM756" s="243" t="str">
        <f>'All Ticker P&amp;L'!B756</f>
        <v/>
      </c>
      <c r="AN756" s="243" t="str">
        <f>'All Ticker P&amp;L'!C756</f>
        <v/>
      </c>
      <c r="AO756" s="243" t="str">
        <f>'All Ticker P&amp;L'!D756</f>
        <v/>
      </c>
      <c r="AP756" s="243">
        <f>IF($AL756="",0,'All Ticker P&amp;L'!E756)</f>
        <v>0</v>
      </c>
      <c r="AQ756" s="266">
        <f>IF($AL756="",0,'All Ticker P&amp;L'!J756*'All Ticker P&amp;L'!I756)</f>
        <v>0</v>
      </c>
      <c r="AR756" s="266">
        <f>IF($AL756="",0,'All Ticker P&amp;L'!L756)</f>
        <v>0</v>
      </c>
      <c r="AS756" s="267">
        <f>IF($AL756="",0,'All Ticker P&amp;L'!M756)</f>
        <v>0</v>
      </c>
      <c r="AT756" s="243" t="str">
        <f>IF($AL756="","",RANK(AR756,$AR$2:$AR$1001)+COUNTIF($AR$2:AR756,AR756)-1)</f>
        <v/>
      </c>
      <c r="AU756" s="243" t="str">
        <f>IF($AL756="","",RANK(AV756,$AV$2:$AV$1001)+COUNTIF($AV$2:AV756,AV756)-1)</f>
        <v/>
      </c>
      <c r="AV756" s="266">
        <f t="shared" si="54"/>
        <v>0</v>
      </c>
    </row>
    <row r="757" spans="26:48" ht="15" customHeight="1" x14ac:dyDescent="0.2">
      <c r="Z757" s="243" t="str">
        <f>Shares!A757</f>
        <v/>
      </c>
      <c r="AA757" s="243" t="str">
        <f>Shares!B757</f>
        <v/>
      </c>
      <c r="AB757" s="243" t="str">
        <f>Shares!C757</f>
        <v/>
      </c>
      <c r="AC757" s="243" t="str">
        <f>Shares!D757</f>
        <v/>
      </c>
      <c r="AD757" s="243">
        <f>IF($Z757="",0,Shares!E757)</f>
        <v>0</v>
      </c>
      <c r="AE757" s="266">
        <f>IF($Z757="",0,Shares!J757*Shares!I757)</f>
        <v>0</v>
      </c>
      <c r="AF757" s="267">
        <f t="shared" si="53"/>
        <v>0</v>
      </c>
      <c r="AG757" s="266">
        <f>IF($Z757="",0,Shares!L757)</f>
        <v>0</v>
      </c>
      <c r="AH757" s="267">
        <f>IF($Z757="",0,Shares!M757)</f>
        <v>0</v>
      </c>
      <c r="AI757" s="243" t="str">
        <f>IF($Z757="","",RANK(AE757,$AE$2:$AE$1001)+COUNTIF($AE$2:AE757,AE757)-1)</f>
        <v/>
      </c>
      <c r="AJ757" s="243" t="str">
        <f>IF($AD757&lt;0,COUNT($AJ$1:AJ756)+1,"")</f>
        <v/>
      </c>
      <c r="AL757" s="243" t="str">
        <f>'All Ticker P&amp;L'!A757</f>
        <v/>
      </c>
      <c r="AM757" s="243" t="str">
        <f>'All Ticker P&amp;L'!B757</f>
        <v/>
      </c>
      <c r="AN757" s="243" t="str">
        <f>'All Ticker P&amp;L'!C757</f>
        <v/>
      </c>
      <c r="AO757" s="243" t="str">
        <f>'All Ticker P&amp;L'!D757</f>
        <v/>
      </c>
      <c r="AP757" s="243">
        <f>IF($AL757="",0,'All Ticker P&amp;L'!E757)</f>
        <v>0</v>
      </c>
      <c r="AQ757" s="266">
        <f>IF($AL757="",0,'All Ticker P&amp;L'!J757*'All Ticker P&amp;L'!I757)</f>
        <v>0</v>
      </c>
      <c r="AR757" s="266">
        <f>IF($AL757="",0,'All Ticker P&amp;L'!L757)</f>
        <v>0</v>
      </c>
      <c r="AS757" s="267">
        <f>IF($AL757="",0,'All Ticker P&amp;L'!M757)</f>
        <v>0</v>
      </c>
      <c r="AT757" s="243" t="str">
        <f>IF($AL757="","",RANK(AR757,$AR$2:$AR$1001)+COUNTIF($AR$2:AR757,AR757)-1)</f>
        <v/>
      </c>
      <c r="AU757" s="243" t="str">
        <f>IF($AL757="","",RANK(AV757,$AV$2:$AV$1001)+COUNTIF($AV$2:AV757,AV757)-1)</f>
        <v/>
      </c>
      <c r="AV757" s="266">
        <f t="shared" si="54"/>
        <v>0</v>
      </c>
    </row>
    <row r="758" spans="26:48" ht="15" customHeight="1" x14ac:dyDescent="0.2">
      <c r="Z758" s="243" t="str">
        <f>Shares!A758</f>
        <v/>
      </c>
      <c r="AA758" s="243" t="str">
        <f>Shares!B758</f>
        <v/>
      </c>
      <c r="AB758" s="243" t="str">
        <f>Shares!C758</f>
        <v/>
      </c>
      <c r="AC758" s="243" t="str">
        <f>Shares!D758</f>
        <v/>
      </c>
      <c r="AD758" s="243">
        <f>IF($Z758="",0,Shares!E758)</f>
        <v>0</v>
      </c>
      <c r="AE758" s="266">
        <f>IF($Z758="",0,Shares!J758*Shares!I758)</f>
        <v>0</v>
      </c>
      <c r="AF758" s="267">
        <f t="shared" si="53"/>
        <v>0</v>
      </c>
      <c r="AG758" s="266">
        <f>IF($Z758="",0,Shares!L758)</f>
        <v>0</v>
      </c>
      <c r="AH758" s="267">
        <f>IF($Z758="",0,Shares!M758)</f>
        <v>0</v>
      </c>
      <c r="AI758" s="243" t="str">
        <f>IF($Z758="","",RANK(AE758,$AE$2:$AE$1001)+COUNTIF($AE$2:AE758,AE758)-1)</f>
        <v/>
      </c>
      <c r="AJ758" s="243" t="str">
        <f>IF($AD758&lt;0,COUNT($AJ$1:AJ757)+1,"")</f>
        <v/>
      </c>
      <c r="AL758" s="243" t="str">
        <f>'All Ticker P&amp;L'!A758</f>
        <v/>
      </c>
      <c r="AM758" s="243" t="str">
        <f>'All Ticker P&amp;L'!B758</f>
        <v/>
      </c>
      <c r="AN758" s="243" t="str">
        <f>'All Ticker P&amp;L'!C758</f>
        <v/>
      </c>
      <c r="AO758" s="243" t="str">
        <f>'All Ticker P&amp;L'!D758</f>
        <v/>
      </c>
      <c r="AP758" s="243">
        <f>IF($AL758="",0,'All Ticker P&amp;L'!E758)</f>
        <v>0</v>
      </c>
      <c r="AQ758" s="266">
        <f>IF($AL758="",0,'All Ticker P&amp;L'!J758*'All Ticker P&amp;L'!I758)</f>
        <v>0</v>
      </c>
      <c r="AR758" s="266">
        <f>IF($AL758="",0,'All Ticker P&amp;L'!L758)</f>
        <v>0</v>
      </c>
      <c r="AS758" s="267">
        <f>IF($AL758="",0,'All Ticker P&amp;L'!M758)</f>
        <v>0</v>
      </c>
      <c r="AT758" s="243" t="str">
        <f>IF($AL758="","",RANK(AR758,$AR$2:$AR$1001)+COUNTIF($AR$2:AR758,AR758)-1)</f>
        <v/>
      </c>
      <c r="AU758" s="243" t="str">
        <f>IF($AL758="","",RANK(AV758,$AV$2:$AV$1001)+COUNTIF($AV$2:AV758,AV758)-1)</f>
        <v/>
      </c>
      <c r="AV758" s="266">
        <f t="shared" si="54"/>
        <v>0</v>
      </c>
    </row>
    <row r="759" spans="26:48" ht="15" customHeight="1" x14ac:dyDescent="0.2">
      <c r="Z759" s="243" t="str">
        <f>Shares!A759</f>
        <v/>
      </c>
      <c r="AA759" s="243" t="str">
        <f>Shares!B759</f>
        <v/>
      </c>
      <c r="AB759" s="243" t="str">
        <f>Shares!C759</f>
        <v/>
      </c>
      <c r="AC759" s="243" t="str">
        <f>Shares!D759</f>
        <v/>
      </c>
      <c r="AD759" s="243">
        <f>IF($Z759="",0,Shares!E759)</f>
        <v>0</v>
      </c>
      <c r="AE759" s="266">
        <f>IF($Z759="",0,Shares!J759*Shares!I759)</f>
        <v>0</v>
      </c>
      <c r="AF759" s="267">
        <f t="shared" si="53"/>
        <v>0</v>
      </c>
      <c r="AG759" s="266">
        <f>IF($Z759="",0,Shares!L759)</f>
        <v>0</v>
      </c>
      <c r="AH759" s="267">
        <f>IF($Z759="",0,Shares!M759)</f>
        <v>0</v>
      </c>
      <c r="AI759" s="243" t="str">
        <f>IF($Z759="","",RANK(AE759,$AE$2:$AE$1001)+COUNTIF($AE$2:AE759,AE759)-1)</f>
        <v/>
      </c>
      <c r="AJ759" s="243" t="str">
        <f>IF($AD759&lt;0,COUNT($AJ$1:AJ758)+1,"")</f>
        <v/>
      </c>
      <c r="AL759" s="243" t="str">
        <f>'All Ticker P&amp;L'!A759</f>
        <v/>
      </c>
      <c r="AM759" s="243" t="str">
        <f>'All Ticker P&amp;L'!B759</f>
        <v/>
      </c>
      <c r="AN759" s="243" t="str">
        <f>'All Ticker P&amp;L'!C759</f>
        <v/>
      </c>
      <c r="AO759" s="243" t="str">
        <f>'All Ticker P&amp;L'!D759</f>
        <v/>
      </c>
      <c r="AP759" s="243">
        <f>IF($AL759="",0,'All Ticker P&amp;L'!E759)</f>
        <v>0</v>
      </c>
      <c r="AQ759" s="266">
        <f>IF($AL759="",0,'All Ticker P&amp;L'!J759*'All Ticker P&amp;L'!I759)</f>
        <v>0</v>
      </c>
      <c r="AR759" s="266">
        <f>IF($AL759="",0,'All Ticker P&amp;L'!L759)</f>
        <v>0</v>
      </c>
      <c r="AS759" s="267">
        <f>IF($AL759="",0,'All Ticker P&amp;L'!M759)</f>
        <v>0</v>
      </c>
      <c r="AT759" s="243" t="str">
        <f>IF($AL759="","",RANK(AR759,$AR$2:$AR$1001)+COUNTIF($AR$2:AR759,AR759)-1)</f>
        <v/>
      </c>
      <c r="AU759" s="243" t="str">
        <f>IF($AL759="","",RANK(AV759,$AV$2:$AV$1001)+COUNTIF($AV$2:AV759,AV759)-1)</f>
        <v/>
      </c>
      <c r="AV759" s="266">
        <f t="shared" si="54"/>
        <v>0</v>
      </c>
    </row>
    <row r="760" spans="26:48" ht="15" customHeight="1" x14ac:dyDescent="0.2">
      <c r="Z760" s="243" t="str">
        <f>Shares!A760</f>
        <v/>
      </c>
      <c r="AA760" s="243" t="str">
        <f>Shares!B760</f>
        <v/>
      </c>
      <c r="AB760" s="243" t="str">
        <f>Shares!C760</f>
        <v/>
      </c>
      <c r="AC760" s="243" t="str">
        <f>Shares!D760</f>
        <v/>
      </c>
      <c r="AD760" s="243">
        <f>IF($Z760="",0,Shares!E760)</f>
        <v>0</v>
      </c>
      <c r="AE760" s="266">
        <f>IF($Z760="",0,Shares!J760*Shares!I760)</f>
        <v>0</v>
      </c>
      <c r="AF760" s="267">
        <f t="shared" si="53"/>
        <v>0</v>
      </c>
      <c r="AG760" s="266">
        <f>IF($Z760="",0,Shares!L760)</f>
        <v>0</v>
      </c>
      <c r="AH760" s="267">
        <f>IF($Z760="",0,Shares!M760)</f>
        <v>0</v>
      </c>
      <c r="AI760" s="243" t="str">
        <f>IF($Z760="","",RANK(AE760,$AE$2:$AE$1001)+COUNTIF($AE$2:AE760,AE760)-1)</f>
        <v/>
      </c>
      <c r="AJ760" s="243" t="str">
        <f>IF($AD760&lt;0,COUNT($AJ$1:AJ759)+1,"")</f>
        <v/>
      </c>
      <c r="AL760" s="243" t="str">
        <f>'All Ticker P&amp;L'!A760</f>
        <v/>
      </c>
      <c r="AM760" s="243" t="str">
        <f>'All Ticker P&amp;L'!B760</f>
        <v/>
      </c>
      <c r="AN760" s="243" t="str">
        <f>'All Ticker P&amp;L'!C760</f>
        <v/>
      </c>
      <c r="AO760" s="243" t="str">
        <f>'All Ticker P&amp;L'!D760</f>
        <v/>
      </c>
      <c r="AP760" s="243">
        <f>IF($AL760="",0,'All Ticker P&amp;L'!E760)</f>
        <v>0</v>
      </c>
      <c r="AQ760" s="266">
        <f>IF($AL760="",0,'All Ticker P&amp;L'!J760*'All Ticker P&amp;L'!I760)</f>
        <v>0</v>
      </c>
      <c r="AR760" s="266">
        <f>IF($AL760="",0,'All Ticker P&amp;L'!L760)</f>
        <v>0</v>
      </c>
      <c r="AS760" s="267">
        <f>IF($AL760="",0,'All Ticker P&amp;L'!M760)</f>
        <v>0</v>
      </c>
      <c r="AT760" s="243" t="str">
        <f>IF($AL760="","",RANK(AR760,$AR$2:$AR$1001)+COUNTIF($AR$2:AR760,AR760)-1)</f>
        <v/>
      </c>
      <c r="AU760" s="243" t="str">
        <f>IF($AL760="","",RANK(AV760,$AV$2:$AV$1001)+COUNTIF($AV$2:AV760,AV760)-1)</f>
        <v/>
      </c>
      <c r="AV760" s="266">
        <f t="shared" si="54"/>
        <v>0</v>
      </c>
    </row>
    <row r="761" spans="26:48" ht="15" customHeight="1" x14ac:dyDescent="0.2">
      <c r="Z761" s="243" t="str">
        <f>Shares!A761</f>
        <v/>
      </c>
      <c r="AA761" s="243" t="str">
        <f>Shares!B761</f>
        <v/>
      </c>
      <c r="AB761" s="243" t="str">
        <f>Shares!C761</f>
        <v/>
      </c>
      <c r="AC761" s="243" t="str">
        <f>Shares!D761</f>
        <v/>
      </c>
      <c r="AD761" s="243">
        <f>IF($Z761="",0,Shares!E761)</f>
        <v>0</v>
      </c>
      <c r="AE761" s="266">
        <f>IF($Z761="",0,Shares!J761*Shares!I761)</f>
        <v>0</v>
      </c>
      <c r="AF761" s="267">
        <f t="shared" si="53"/>
        <v>0</v>
      </c>
      <c r="AG761" s="266">
        <f>IF($Z761="",0,Shares!L761)</f>
        <v>0</v>
      </c>
      <c r="AH761" s="267">
        <f>IF($Z761="",0,Shares!M761)</f>
        <v>0</v>
      </c>
      <c r="AI761" s="243" t="str">
        <f>IF($Z761="","",RANK(AE761,$AE$2:$AE$1001)+COUNTIF($AE$2:AE761,AE761)-1)</f>
        <v/>
      </c>
      <c r="AJ761" s="243" t="str">
        <f>IF($AD761&lt;0,COUNT($AJ$1:AJ760)+1,"")</f>
        <v/>
      </c>
      <c r="AL761" s="243" t="str">
        <f>'All Ticker P&amp;L'!A761</f>
        <v/>
      </c>
      <c r="AM761" s="243" t="str">
        <f>'All Ticker P&amp;L'!B761</f>
        <v/>
      </c>
      <c r="AN761" s="243" t="str">
        <f>'All Ticker P&amp;L'!C761</f>
        <v/>
      </c>
      <c r="AO761" s="243" t="str">
        <f>'All Ticker P&amp;L'!D761</f>
        <v/>
      </c>
      <c r="AP761" s="243">
        <f>IF($AL761="",0,'All Ticker P&amp;L'!E761)</f>
        <v>0</v>
      </c>
      <c r="AQ761" s="266">
        <f>IF($AL761="",0,'All Ticker P&amp;L'!J761*'All Ticker P&amp;L'!I761)</f>
        <v>0</v>
      </c>
      <c r="AR761" s="266">
        <f>IF($AL761="",0,'All Ticker P&amp;L'!L761)</f>
        <v>0</v>
      </c>
      <c r="AS761" s="267">
        <f>IF($AL761="",0,'All Ticker P&amp;L'!M761)</f>
        <v>0</v>
      </c>
      <c r="AT761" s="243" t="str">
        <f>IF($AL761="","",RANK(AR761,$AR$2:$AR$1001)+COUNTIF($AR$2:AR761,AR761)-1)</f>
        <v/>
      </c>
      <c r="AU761" s="243" t="str">
        <f>IF($AL761="","",RANK(AV761,$AV$2:$AV$1001)+COUNTIF($AV$2:AV761,AV761)-1)</f>
        <v/>
      </c>
      <c r="AV761" s="266">
        <f t="shared" si="54"/>
        <v>0</v>
      </c>
    </row>
    <row r="762" spans="26:48" ht="15" customHeight="1" x14ac:dyDescent="0.2">
      <c r="Z762" s="243" t="str">
        <f>Shares!A762</f>
        <v/>
      </c>
      <c r="AA762" s="243" t="str">
        <f>Shares!B762</f>
        <v/>
      </c>
      <c r="AB762" s="243" t="str">
        <f>Shares!C762</f>
        <v/>
      </c>
      <c r="AC762" s="243" t="str">
        <f>Shares!D762</f>
        <v/>
      </c>
      <c r="AD762" s="243">
        <f>IF($Z762="",0,Shares!E762)</f>
        <v>0</v>
      </c>
      <c r="AE762" s="266">
        <f>IF($Z762="",0,Shares!J762*Shares!I762)</f>
        <v>0</v>
      </c>
      <c r="AF762" s="267">
        <f t="shared" si="53"/>
        <v>0</v>
      </c>
      <c r="AG762" s="266">
        <f>IF($Z762="",0,Shares!L762)</f>
        <v>0</v>
      </c>
      <c r="AH762" s="267">
        <f>IF($Z762="",0,Shares!M762)</f>
        <v>0</v>
      </c>
      <c r="AI762" s="243" t="str">
        <f>IF($Z762="","",RANK(AE762,$AE$2:$AE$1001)+COUNTIF($AE$2:AE762,AE762)-1)</f>
        <v/>
      </c>
      <c r="AJ762" s="243" t="str">
        <f>IF($AD762&lt;0,COUNT($AJ$1:AJ761)+1,"")</f>
        <v/>
      </c>
      <c r="AL762" s="243" t="str">
        <f>'All Ticker P&amp;L'!A762</f>
        <v/>
      </c>
      <c r="AM762" s="243" t="str">
        <f>'All Ticker P&amp;L'!B762</f>
        <v/>
      </c>
      <c r="AN762" s="243" t="str">
        <f>'All Ticker P&amp;L'!C762</f>
        <v/>
      </c>
      <c r="AO762" s="243" t="str">
        <f>'All Ticker P&amp;L'!D762</f>
        <v/>
      </c>
      <c r="AP762" s="243">
        <f>IF($AL762="",0,'All Ticker P&amp;L'!E762)</f>
        <v>0</v>
      </c>
      <c r="AQ762" s="266">
        <f>IF($AL762="",0,'All Ticker P&amp;L'!J762*'All Ticker P&amp;L'!I762)</f>
        <v>0</v>
      </c>
      <c r="AR762" s="266">
        <f>IF($AL762="",0,'All Ticker P&amp;L'!L762)</f>
        <v>0</v>
      </c>
      <c r="AS762" s="267">
        <f>IF($AL762="",0,'All Ticker P&amp;L'!M762)</f>
        <v>0</v>
      </c>
      <c r="AT762" s="243" t="str">
        <f>IF($AL762="","",RANK(AR762,$AR$2:$AR$1001)+COUNTIF($AR$2:AR762,AR762)-1)</f>
        <v/>
      </c>
      <c r="AU762" s="243" t="str">
        <f>IF($AL762="","",RANK(AV762,$AV$2:$AV$1001)+COUNTIF($AV$2:AV762,AV762)-1)</f>
        <v/>
      </c>
      <c r="AV762" s="266">
        <f t="shared" si="54"/>
        <v>0</v>
      </c>
    </row>
    <row r="763" spans="26:48" ht="15" customHeight="1" x14ac:dyDescent="0.2">
      <c r="Z763" s="243" t="str">
        <f>Shares!A763</f>
        <v/>
      </c>
      <c r="AA763" s="243" t="str">
        <f>Shares!B763</f>
        <v/>
      </c>
      <c r="AB763" s="243" t="str">
        <f>Shares!C763</f>
        <v/>
      </c>
      <c r="AC763" s="243" t="str">
        <f>Shares!D763</f>
        <v/>
      </c>
      <c r="AD763" s="243">
        <f>IF($Z763="",0,Shares!E763)</f>
        <v>0</v>
      </c>
      <c r="AE763" s="266">
        <f>IF($Z763="",0,Shares!J763*Shares!I763)</f>
        <v>0</v>
      </c>
      <c r="AF763" s="267">
        <f t="shared" si="53"/>
        <v>0</v>
      </c>
      <c r="AG763" s="266">
        <f>IF($Z763="",0,Shares!L763)</f>
        <v>0</v>
      </c>
      <c r="AH763" s="267">
        <f>IF($Z763="",0,Shares!M763)</f>
        <v>0</v>
      </c>
      <c r="AI763" s="243" t="str">
        <f>IF($Z763="","",RANK(AE763,$AE$2:$AE$1001)+COUNTIF($AE$2:AE763,AE763)-1)</f>
        <v/>
      </c>
      <c r="AJ763" s="243" t="str">
        <f>IF($AD763&lt;0,COUNT($AJ$1:AJ762)+1,"")</f>
        <v/>
      </c>
      <c r="AL763" s="243" t="str">
        <f>'All Ticker P&amp;L'!A763</f>
        <v/>
      </c>
      <c r="AM763" s="243" t="str">
        <f>'All Ticker P&amp;L'!B763</f>
        <v/>
      </c>
      <c r="AN763" s="243" t="str">
        <f>'All Ticker P&amp;L'!C763</f>
        <v/>
      </c>
      <c r="AO763" s="243" t="str">
        <f>'All Ticker P&amp;L'!D763</f>
        <v/>
      </c>
      <c r="AP763" s="243">
        <f>IF($AL763="",0,'All Ticker P&amp;L'!E763)</f>
        <v>0</v>
      </c>
      <c r="AQ763" s="266">
        <f>IF($AL763="",0,'All Ticker P&amp;L'!J763*'All Ticker P&amp;L'!I763)</f>
        <v>0</v>
      </c>
      <c r="AR763" s="266">
        <f>IF($AL763="",0,'All Ticker P&amp;L'!L763)</f>
        <v>0</v>
      </c>
      <c r="AS763" s="267">
        <f>IF($AL763="",0,'All Ticker P&amp;L'!M763)</f>
        <v>0</v>
      </c>
      <c r="AT763" s="243" t="str">
        <f>IF($AL763="","",RANK(AR763,$AR$2:$AR$1001)+COUNTIF($AR$2:AR763,AR763)-1)</f>
        <v/>
      </c>
      <c r="AU763" s="243" t="str">
        <f>IF($AL763="","",RANK(AV763,$AV$2:$AV$1001)+COUNTIF($AV$2:AV763,AV763)-1)</f>
        <v/>
      </c>
      <c r="AV763" s="266">
        <f t="shared" si="54"/>
        <v>0</v>
      </c>
    </row>
    <row r="764" spans="26:48" ht="15" customHeight="1" x14ac:dyDescent="0.2">
      <c r="Z764" s="243" t="str">
        <f>Shares!A764</f>
        <v/>
      </c>
      <c r="AA764" s="243" t="str">
        <f>Shares!B764</f>
        <v/>
      </c>
      <c r="AB764" s="243" t="str">
        <f>Shares!C764</f>
        <v/>
      </c>
      <c r="AC764" s="243" t="str">
        <f>Shares!D764</f>
        <v/>
      </c>
      <c r="AD764" s="243">
        <f>IF($Z764="",0,Shares!E764)</f>
        <v>0</v>
      </c>
      <c r="AE764" s="266">
        <f>IF($Z764="",0,Shares!J764*Shares!I764)</f>
        <v>0</v>
      </c>
      <c r="AF764" s="267">
        <f t="shared" si="53"/>
        <v>0</v>
      </c>
      <c r="AG764" s="266">
        <f>IF($Z764="",0,Shares!L764)</f>
        <v>0</v>
      </c>
      <c r="AH764" s="267">
        <f>IF($Z764="",0,Shares!M764)</f>
        <v>0</v>
      </c>
      <c r="AI764" s="243" t="str">
        <f>IF($Z764="","",RANK(AE764,$AE$2:$AE$1001)+COUNTIF($AE$2:AE764,AE764)-1)</f>
        <v/>
      </c>
      <c r="AJ764" s="243" t="str">
        <f>IF($AD764&lt;0,COUNT($AJ$1:AJ763)+1,"")</f>
        <v/>
      </c>
      <c r="AL764" s="243" t="str">
        <f>'All Ticker P&amp;L'!A764</f>
        <v/>
      </c>
      <c r="AM764" s="243" t="str">
        <f>'All Ticker P&amp;L'!B764</f>
        <v/>
      </c>
      <c r="AN764" s="243" t="str">
        <f>'All Ticker P&amp;L'!C764</f>
        <v/>
      </c>
      <c r="AO764" s="243" t="str">
        <f>'All Ticker P&amp;L'!D764</f>
        <v/>
      </c>
      <c r="AP764" s="243">
        <f>IF($AL764="",0,'All Ticker P&amp;L'!E764)</f>
        <v>0</v>
      </c>
      <c r="AQ764" s="266">
        <f>IF($AL764="",0,'All Ticker P&amp;L'!J764*'All Ticker P&amp;L'!I764)</f>
        <v>0</v>
      </c>
      <c r="AR764" s="266">
        <f>IF($AL764="",0,'All Ticker P&amp;L'!L764)</f>
        <v>0</v>
      </c>
      <c r="AS764" s="267">
        <f>IF($AL764="",0,'All Ticker P&amp;L'!M764)</f>
        <v>0</v>
      </c>
      <c r="AT764" s="243" t="str">
        <f>IF($AL764="","",RANK(AR764,$AR$2:$AR$1001)+COUNTIF($AR$2:AR764,AR764)-1)</f>
        <v/>
      </c>
      <c r="AU764" s="243" t="str">
        <f>IF($AL764="","",RANK(AV764,$AV$2:$AV$1001)+COUNTIF($AV$2:AV764,AV764)-1)</f>
        <v/>
      </c>
      <c r="AV764" s="266">
        <f t="shared" si="54"/>
        <v>0</v>
      </c>
    </row>
    <row r="765" spans="26:48" ht="15" customHeight="1" x14ac:dyDescent="0.2">
      <c r="Z765" s="243" t="str">
        <f>Shares!A765</f>
        <v/>
      </c>
      <c r="AA765" s="243" t="str">
        <f>Shares!B765</f>
        <v/>
      </c>
      <c r="AB765" s="243" t="str">
        <f>Shares!C765</f>
        <v/>
      </c>
      <c r="AC765" s="243" t="str">
        <f>Shares!D765</f>
        <v/>
      </c>
      <c r="AD765" s="243">
        <f>IF($Z765="",0,Shares!E765)</f>
        <v>0</v>
      </c>
      <c r="AE765" s="266">
        <f>IF($Z765="",0,Shares!J765*Shares!I765)</f>
        <v>0</v>
      </c>
      <c r="AF765" s="267">
        <f t="shared" si="53"/>
        <v>0</v>
      </c>
      <c r="AG765" s="266">
        <f>IF($Z765="",0,Shares!L765)</f>
        <v>0</v>
      </c>
      <c r="AH765" s="267">
        <f>IF($Z765="",0,Shares!M765)</f>
        <v>0</v>
      </c>
      <c r="AI765" s="243" t="str">
        <f>IF($Z765="","",RANK(AE765,$AE$2:$AE$1001)+COUNTIF($AE$2:AE765,AE765)-1)</f>
        <v/>
      </c>
      <c r="AJ765" s="243" t="str">
        <f>IF($AD765&lt;0,COUNT($AJ$1:AJ764)+1,"")</f>
        <v/>
      </c>
      <c r="AL765" s="243" t="str">
        <f>'All Ticker P&amp;L'!A765</f>
        <v/>
      </c>
      <c r="AM765" s="243" t="str">
        <f>'All Ticker P&amp;L'!B765</f>
        <v/>
      </c>
      <c r="AN765" s="243" t="str">
        <f>'All Ticker P&amp;L'!C765</f>
        <v/>
      </c>
      <c r="AO765" s="243" t="str">
        <f>'All Ticker P&amp;L'!D765</f>
        <v/>
      </c>
      <c r="AP765" s="243">
        <f>IF($AL765="",0,'All Ticker P&amp;L'!E765)</f>
        <v>0</v>
      </c>
      <c r="AQ765" s="266">
        <f>IF($AL765="",0,'All Ticker P&amp;L'!J765*'All Ticker P&amp;L'!I765)</f>
        <v>0</v>
      </c>
      <c r="AR765" s="266">
        <f>IF($AL765="",0,'All Ticker P&amp;L'!L765)</f>
        <v>0</v>
      </c>
      <c r="AS765" s="267">
        <f>IF($AL765="",0,'All Ticker P&amp;L'!M765)</f>
        <v>0</v>
      </c>
      <c r="AT765" s="243" t="str">
        <f>IF($AL765="","",RANK(AR765,$AR$2:$AR$1001)+COUNTIF($AR$2:AR765,AR765)-1)</f>
        <v/>
      </c>
      <c r="AU765" s="243" t="str">
        <f>IF($AL765="","",RANK(AV765,$AV$2:$AV$1001)+COUNTIF($AV$2:AV765,AV765)-1)</f>
        <v/>
      </c>
      <c r="AV765" s="266">
        <f t="shared" si="54"/>
        <v>0</v>
      </c>
    </row>
    <row r="766" spans="26:48" ht="15" customHeight="1" x14ac:dyDescent="0.2">
      <c r="Z766" s="243" t="str">
        <f>Shares!A766</f>
        <v/>
      </c>
      <c r="AA766" s="243" t="str">
        <f>Shares!B766</f>
        <v/>
      </c>
      <c r="AB766" s="243" t="str">
        <f>Shares!C766</f>
        <v/>
      </c>
      <c r="AC766" s="243" t="str">
        <f>Shares!D766</f>
        <v/>
      </c>
      <c r="AD766" s="243">
        <f>IF($Z766="",0,Shares!E766)</f>
        <v>0</v>
      </c>
      <c r="AE766" s="266">
        <f>IF($Z766="",0,Shares!J766*Shares!I766)</f>
        <v>0</v>
      </c>
      <c r="AF766" s="267">
        <f t="shared" si="53"/>
        <v>0</v>
      </c>
      <c r="AG766" s="266">
        <f>IF($Z766="",0,Shares!L766)</f>
        <v>0</v>
      </c>
      <c r="AH766" s="267">
        <f>IF($Z766="",0,Shares!M766)</f>
        <v>0</v>
      </c>
      <c r="AI766" s="243" t="str">
        <f>IF($Z766="","",RANK(AE766,$AE$2:$AE$1001)+COUNTIF($AE$2:AE766,AE766)-1)</f>
        <v/>
      </c>
      <c r="AJ766" s="243" t="str">
        <f>IF($AD766&lt;0,COUNT($AJ$1:AJ765)+1,"")</f>
        <v/>
      </c>
      <c r="AL766" s="243" t="str">
        <f>'All Ticker P&amp;L'!A766</f>
        <v/>
      </c>
      <c r="AM766" s="243" t="str">
        <f>'All Ticker P&amp;L'!B766</f>
        <v/>
      </c>
      <c r="AN766" s="243" t="str">
        <f>'All Ticker P&amp;L'!C766</f>
        <v/>
      </c>
      <c r="AO766" s="243" t="str">
        <f>'All Ticker P&amp;L'!D766</f>
        <v/>
      </c>
      <c r="AP766" s="243">
        <f>IF($AL766="",0,'All Ticker P&amp;L'!E766)</f>
        <v>0</v>
      </c>
      <c r="AQ766" s="266">
        <f>IF($AL766="",0,'All Ticker P&amp;L'!J766*'All Ticker P&amp;L'!I766)</f>
        <v>0</v>
      </c>
      <c r="AR766" s="266">
        <f>IF($AL766="",0,'All Ticker P&amp;L'!L766)</f>
        <v>0</v>
      </c>
      <c r="AS766" s="267">
        <f>IF($AL766="",0,'All Ticker P&amp;L'!M766)</f>
        <v>0</v>
      </c>
      <c r="AT766" s="243" t="str">
        <f>IF($AL766="","",RANK(AR766,$AR$2:$AR$1001)+COUNTIF($AR$2:AR766,AR766)-1)</f>
        <v/>
      </c>
      <c r="AU766" s="243" t="str">
        <f>IF($AL766="","",RANK(AV766,$AV$2:$AV$1001)+COUNTIF($AV$2:AV766,AV766)-1)</f>
        <v/>
      </c>
      <c r="AV766" s="266">
        <f t="shared" si="54"/>
        <v>0</v>
      </c>
    </row>
    <row r="767" spans="26:48" ht="15" customHeight="1" x14ac:dyDescent="0.2">
      <c r="Z767" s="243" t="str">
        <f>Shares!A767</f>
        <v/>
      </c>
      <c r="AA767" s="243" t="str">
        <f>Shares!B767</f>
        <v/>
      </c>
      <c r="AB767" s="243" t="str">
        <f>Shares!C767</f>
        <v/>
      </c>
      <c r="AC767" s="243" t="str">
        <f>Shares!D767</f>
        <v/>
      </c>
      <c r="AD767" s="243">
        <f>IF($Z767="",0,Shares!E767)</f>
        <v>0</v>
      </c>
      <c r="AE767" s="266">
        <f>IF($Z767="",0,Shares!J767*Shares!I767)</f>
        <v>0</v>
      </c>
      <c r="AF767" s="267">
        <f t="shared" si="53"/>
        <v>0</v>
      </c>
      <c r="AG767" s="266">
        <f>IF($Z767="",0,Shares!L767)</f>
        <v>0</v>
      </c>
      <c r="AH767" s="267">
        <f>IF($Z767="",0,Shares!M767)</f>
        <v>0</v>
      </c>
      <c r="AI767" s="243" t="str">
        <f>IF($Z767="","",RANK(AE767,$AE$2:$AE$1001)+COUNTIF($AE$2:AE767,AE767)-1)</f>
        <v/>
      </c>
      <c r="AJ767" s="243" t="str">
        <f>IF($AD767&lt;0,COUNT($AJ$1:AJ766)+1,"")</f>
        <v/>
      </c>
      <c r="AL767" s="243" t="str">
        <f>'All Ticker P&amp;L'!A767</f>
        <v/>
      </c>
      <c r="AM767" s="243" t="str">
        <f>'All Ticker P&amp;L'!B767</f>
        <v/>
      </c>
      <c r="AN767" s="243" t="str">
        <f>'All Ticker P&amp;L'!C767</f>
        <v/>
      </c>
      <c r="AO767" s="243" t="str">
        <f>'All Ticker P&amp;L'!D767</f>
        <v/>
      </c>
      <c r="AP767" s="243">
        <f>IF($AL767="",0,'All Ticker P&amp;L'!E767)</f>
        <v>0</v>
      </c>
      <c r="AQ767" s="266">
        <f>IF($AL767="",0,'All Ticker P&amp;L'!J767*'All Ticker P&amp;L'!I767)</f>
        <v>0</v>
      </c>
      <c r="AR767" s="266">
        <f>IF($AL767="",0,'All Ticker P&amp;L'!L767)</f>
        <v>0</v>
      </c>
      <c r="AS767" s="267">
        <f>IF($AL767="",0,'All Ticker P&amp;L'!M767)</f>
        <v>0</v>
      </c>
      <c r="AT767" s="243" t="str">
        <f>IF($AL767="","",RANK(AR767,$AR$2:$AR$1001)+COUNTIF($AR$2:AR767,AR767)-1)</f>
        <v/>
      </c>
      <c r="AU767" s="243" t="str">
        <f>IF($AL767="","",RANK(AV767,$AV$2:$AV$1001)+COUNTIF($AV$2:AV767,AV767)-1)</f>
        <v/>
      </c>
      <c r="AV767" s="266">
        <f t="shared" si="54"/>
        <v>0</v>
      </c>
    </row>
    <row r="768" spans="26:48" ht="15" customHeight="1" x14ac:dyDescent="0.2">
      <c r="Z768" s="243" t="str">
        <f>Shares!A768</f>
        <v/>
      </c>
      <c r="AA768" s="243" t="str">
        <f>Shares!B768</f>
        <v/>
      </c>
      <c r="AB768" s="243" t="str">
        <f>Shares!C768</f>
        <v/>
      </c>
      <c r="AC768" s="243" t="str">
        <f>Shares!D768</f>
        <v/>
      </c>
      <c r="AD768" s="243">
        <f>IF($Z768="",0,Shares!E768)</f>
        <v>0</v>
      </c>
      <c r="AE768" s="266">
        <f>IF($Z768="",0,Shares!J768*Shares!I768)</f>
        <v>0</v>
      </c>
      <c r="AF768" s="267">
        <f t="shared" si="53"/>
        <v>0</v>
      </c>
      <c r="AG768" s="266">
        <f>IF($Z768="",0,Shares!L768)</f>
        <v>0</v>
      </c>
      <c r="AH768" s="267">
        <f>IF($Z768="",0,Shares!M768)</f>
        <v>0</v>
      </c>
      <c r="AI768" s="243" t="str">
        <f>IF($Z768="","",RANK(AE768,$AE$2:$AE$1001)+COUNTIF($AE$2:AE768,AE768)-1)</f>
        <v/>
      </c>
      <c r="AJ768" s="243" t="str">
        <f>IF($AD768&lt;0,COUNT($AJ$1:AJ767)+1,"")</f>
        <v/>
      </c>
      <c r="AL768" s="243" t="str">
        <f>'All Ticker P&amp;L'!A768</f>
        <v/>
      </c>
      <c r="AM768" s="243" t="str">
        <f>'All Ticker P&amp;L'!B768</f>
        <v/>
      </c>
      <c r="AN768" s="243" t="str">
        <f>'All Ticker P&amp;L'!C768</f>
        <v/>
      </c>
      <c r="AO768" s="243" t="str">
        <f>'All Ticker P&amp;L'!D768</f>
        <v/>
      </c>
      <c r="AP768" s="243">
        <f>IF($AL768="",0,'All Ticker P&amp;L'!E768)</f>
        <v>0</v>
      </c>
      <c r="AQ768" s="266">
        <f>IF($AL768="",0,'All Ticker P&amp;L'!J768*'All Ticker P&amp;L'!I768)</f>
        <v>0</v>
      </c>
      <c r="AR768" s="266">
        <f>IF($AL768="",0,'All Ticker P&amp;L'!L768)</f>
        <v>0</v>
      </c>
      <c r="AS768" s="267">
        <f>IF($AL768="",0,'All Ticker P&amp;L'!M768)</f>
        <v>0</v>
      </c>
      <c r="AT768" s="243" t="str">
        <f>IF($AL768="","",RANK(AR768,$AR$2:$AR$1001)+COUNTIF($AR$2:AR768,AR768)-1)</f>
        <v/>
      </c>
      <c r="AU768" s="243" t="str">
        <f>IF($AL768="","",RANK(AV768,$AV$2:$AV$1001)+COUNTIF($AV$2:AV768,AV768)-1)</f>
        <v/>
      </c>
      <c r="AV768" s="266">
        <f t="shared" si="54"/>
        <v>0</v>
      </c>
    </row>
    <row r="769" spans="26:48" ht="15" customHeight="1" x14ac:dyDescent="0.2">
      <c r="Z769" s="243" t="str">
        <f>Shares!A769</f>
        <v/>
      </c>
      <c r="AA769" s="243" t="str">
        <f>Shares!B769</f>
        <v/>
      </c>
      <c r="AB769" s="243" t="str">
        <f>Shares!C769</f>
        <v/>
      </c>
      <c r="AC769" s="243" t="str">
        <f>Shares!D769</f>
        <v/>
      </c>
      <c r="AD769" s="243">
        <f>IF($Z769="",0,Shares!E769)</f>
        <v>0</v>
      </c>
      <c r="AE769" s="266">
        <f>IF($Z769="",0,Shares!J769*Shares!I769)</f>
        <v>0</v>
      </c>
      <c r="AF769" s="267">
        <f t="shared" si="53"/>
        <v>0</v>
      </c>
      <c r="AG769" s="266">
        <f>IF($Z769="",0,Shares!L769)</f>
        <v>0</v>
      </c>
      <c r="AH769" s="267">
        <f>IF($Z769="",0,Shares!M769)</f>
        <v>0</v>
      </c>
      <c r="AI769" s="243" t="str">
        <f>IF($Z769="","",RANK(AE769,$AE$2:$AE$1001)+COUNTIF($AE$2:AE769,AE769)-1)</f>
        <v/>
      </c>
      <c r="AJ769" s="243" t="str">
        <f>IF($AD769&lt;0,COUNT($AJ$1:AJ768)+1,"")</f>
        <v/>
      </c>
      <c r="AL769" s="243" t="str">
        <f>'All Ticker P&amp;L'!A769</f>
        <v/>
      </c>
      <c r="AM769" s="243" t="str">
        <f>'All Ticker P&amp;L'!B769</f>
        <v/>
      </c>
      <c r="AN769" s="243" t="str">
        <f>'All Ticker P&amp;L'!C769</f>
        <v/>
      </c>
      <c r="AO769" s="243" t="str">
        <f>'All Ticker P&amp;L'!D769</f>
        <v/>
      </c>
      <c r="AP769" s="243">
        <f>IF($AL769="",0,'All Ticker P&amp;L'!E769)</f>
        <v>0</v>
      </c>
      <c r="AQ769" s="266">
        <f>IF($AL769="",0,'All Ticker P&amp;L'!J769*'All Ticker P&amp;L'!I769)</f>
        <v>0</v>
      </c>
      <c r="AR769" s="266">
        <f>IF($AL769="",0,'All Ticker P&amp;L'!L769)</f>
        <v>0</v>
      </c>
      <c r="AS769" s="267">
        <f>IF($AL769="",0,'All Ticker P&amp;L'!M769)</f>
        <v>0</v>
      </c>
      <c r="AT769" s="243" t="str">
        <f>IF($AL769="","",RANK(AR769,$AR$2:$AR$1001)+COUNTIF($AR$2:AR769,AR769)-1)</f>
        <v/>
      </c>
      <c r="AU769" s="243" t="str">
        <f>IF($AL769="","",RANK(AV769,$AV$2:$AV$1001)+COUNTIF($AV$2:AV769,AV769)-1)</f>
        <v/>
      </c>
      <c r="AV769" s="266">
        <f t="shared" si="54"/>
        <v>0</v>
      </c>
    </row>
    <row r="770" spans="26:48" ht="15" customHeight="1" x14ac:dyDescent="0.2">
      <c r="Z770" s="243" t="str">
        <f>Shares!A770</f>
        <v/>
      </c>
      <c r="AA770" s="243" t="str">
        <f>Shares!B770</f>
        <v/>
      </c>
      <c r="AB770" s="243" t="str">
        <f>Shares!C770</f>
        <v/>
      </c>
      <c r="AC770" s="243" t="str">
        <f>Shares!D770</f>
        <v/>
      </c>
      <c r="AD770" s="243">
        <f>IF($Z770="",0,Shares!E770)</f>
        <v>0</v>
      </c>
      <c r="AE770" s="266">
        <f>IF($Z770="",0,Shares!J770*Shares!I770)</f>
        <v>0</v>
      </c>
      <c r="AF770" s="267">
        <f t="shared" ref="AF770:AF833" si="55">IFERROR(AE770/$B$5,0)</f>
        <v>0</v>
      </c>
      <c r="AG770" s="266">
        <f>IF($Z770="",0,Shares!L770)</f>
        <v>0</v>
      </c>
      <c r="AH770" s="267">
        <f>IF($Z770="",0,Shares!M770)</f>
        <v>0</v>
      </c>
      <c r="AI770" s="243" t="str">
        <f>IF($Z770="","",RANK(AE770,$AE$2:$AE$1001)+COUNTIF($AE$2:AE770,AE770)-1)</f>
        <v/>
      </c>
      <c r="AJ770" s="243" t="str">
        <f>IF($AD770&lt;0,COUNT($AJ$1:AJ769)+1,"")</f>
        <v/>
      </c>
      <c r="AL770" s="243" t="str">
        <f>'All Ticker P&amp;L'!A770</f>
        <v/>
      </c>
      <c r="AM770" s="243" t="str">
        <f>'All Ticker P&amp;L'!B770</f>
        <v/>
      </c>
      <c r="AN770" s="243" t="str">
        <f>'All Ticker P&amp;L'!C770</f>
        <v/>
      </c>
      <c r="AO770" s="243" t="str">
        <f>'All Ticker P&amp;L'!D770</f>
        <v/>
      </c>
      <c r="AP770" s="243">
        <f>IF($AL770="",0,'All Ticker P&amp;L'!E770)</f>
        <v>0</v>
      </c>
      <c r="AQ770" s="266">
        <f>IF($AL770="",0,'All Ticker P&amp;L'!J770*'All Ticker P&amp;L'!I770)</f>
        <v>0</v>
      </c>
      <c r="AR770" s="266">
        <f>IF($AL770="",0,'All Ticker P&amp;L'!L770)</f>
        <v>0</v>
      </c>
      <c r="AS770" s="267">
        <f>IF($AL770="",0,'All Ticker P&amp;L'!M770)</f>
        <v>0</v>
      </c>
      <c r="AT770" s="243" t="str">
        <f>IF($AL770="","",RANK(AR770,$AR$2:$AR$1001)+COUNTIF($AR$2:AR770,AR770)-1)</f>
        <v/>
      </c>
      <c r="AU770" s="243" t="str">
        <f>IF($AL770="","",RANK(AV770,$AV$2:$AV$1001)+COUNTIF($AV$2:AV770,AV770)-1)</f>
        <v/>
      </c>
      <c r="AV770" s="266">
        <f t="shared" ref="AV770:AV833" si="56">-AR770</f>
        <v>0</v>
      </c>
    </row>
    <row r="771" spans="26:48" ht="15" customHeight="1" x14ac:dyDescent="0.2">
      <c r="Z771" s="243" t="str">
        <f>Shares!A771</f>
        <v/>
      </c>
      <c r="AA771" s="243" t="str">
        <f>Shares!B771</f>
        <v/>
      </c>
      <c r="AB771" s="243" t="str">
        <f>Shares!C771</f>
        <v/>
      </c>
      <c r="AC771" s="243" t="str">
        <f>Shares!D771</f>
        <v/>
      </c>
      <c r="AD771" s="243">
        <f>IF($Z771="",0,Shares!E771)</f>
        <v>0</v>
      </c>
      <c r="AE771" s="266">
        <f>IF($Z771="",0,Shares!J771*Shares!I771)</f>
        <v>0</v>
      </c>
      <c r="AF771" s="267">
        <f t="shared" si="55"/>
        <v>0</v>
      </c>
      <c r="AG771" s="266">
        <f>IF($Z771="",0,Shares!L771)</f>
        <v>0</v>
      </c>
      <c r="AH771" s="267">
        <f>IF($Z771="",0,Shares!M771)</f>
        <v>0</v>
      </c>
      <c r="AI771" s="243" t="str">
        <f>IF($Z771="","",RANK(AE771,$AE$2:$AE$1001)+COUNTIF($AE$2:AE771,AE771)-1)</f>
        <v/>
      </c>
      <c r="AJ771" s="243" t="str">
        <f>IF($AD771&lt;0,COUNT($AJ$1:AJ770)+1,"")</f>
        <v/>
      </c>
      <c r="AL771" s="243" t="str">
        <f>'All Ticker P&amp;L'!A771</f>
        <v/>
      </c>
      <c r="AM771" s="243" t="str">
        <f>'All Ticker P&amp;L'!B771</f>
        <v/>
      </c>
      <c r="AN771" s="243" t="str">
        <f>'All Ticker P&amp;L'!C771</f>
        <v/>
      </c>
      <c r="AO771" s="243" t="str">
        <f>'All Ticker P&amp;L'!D771</f>
        <v/>
      </c>
      <c r="AP771" s="243">
        <f>IF($AL771="",0,'All Ticker P&amp;L'!E771)</f>
        <v>0</v>
      </c>
      <c r="AQ771" s="266">
        <f>IF($AL771="",0,'All Ticker P&amp;L'!J771*'All Ticker P&amp;L'!I771)</f>
        <v>0</v>
      </c>
      <c r="AR771" s="266">
        <f>IF($AL771="",0,'All Ticker P&amp;L'!L771)</f>
        <v>0</v>
      </c>
      <c r="AS771" s="267">
        <f>IF($AL771="",0,'All Ticker P&amp;L'!M771)</f>
        <v>0</v>
      </c>
      <c r="AT771" s="243" t="str">
        <f>IF($AL771="","",RANK(AR771,$AR$2:$AR$1001)+COUNTIF($AR$2:AR771,AR771)-1)</f>
        <v/>
      </c>
      <c r="AU771" s="243" t="str">
        <f>IF($AL771="","",RANK(AV771,$AV$2:$AV$1001)+COUNTIF($AV$2:AV771,AV771)-1)</f>
        <v/>
      </c>
      <c r="AV771" s="266">
        <f t="shared" si="56"/>
        <v>0</v>
      </c>
    </row>
    <row r="772" spans="26:48" ht="15" customHeight="1" x14ac:dyDescent="0.2">
      <c r="Z772" s="243" t="str">
        <f>Shares!A772</f>
        <v/>
      </c>
      <c r="AA772" s="243" t="str">
        <f>Shares!B772</f>
        <v/>
      </c>
      <c r="AB772" s="243" t="str">
        <f>Shares!C772</f>
        <v/>
      </c>
      <c r="AC772" s="243" t="str">
        <f>Shares!D772</f>
        <v/>
      </c>
      <c r="AD772" s="243">
        <f>IF($Z772="",0,Shares!E772)</f>
        <v>0</v>
      </c>
      <c r="AE772" s="266">
        <f>IF($Z772="",0,Shares!J772*Shares!I772)</f>
        <v>0</v>
      </c>
      <c r="AF772" s="267">
        <f t="shared" si="55"/>
        <v>0</v>
      </c>
      <c r="AG772" s="266">
        <f>IF($Z772="",0,Shares!L772)</f>
        <v>0</v>
      </c>
      <c r="AH772" s="267">
        <f>IF($Z772="",0,Shares!M772)</f>
        <v>0</v>
      </c>
      <c r="AI772" s="243" t="str">
        <f>IF($Z772="","",RANK(AE772,$AE$2:$AE$1001)+COUNTIF($AE$2:AE772,AE772)-1)</f>
        <v/>
      </c>
      <c r="AJ772" s="243" t="str">
        <f>IF($AD772&lt;0,COUNT($AJ$1:AJ771)+1,"")</f>
        <v/>
      </c>
      <c r="AL772" s="243" t="str">
        <f>'All Ticker P&amp;L'!A772</f>
        <v/>
      </c>
      <c r="AM772" s="243" t="str">
        <f>'All Ticker P&amp;L'!B772</f>
        <v/>
      </c>
      <c r="AN772" s="243" t="str">
        <f>'All Ticker P&amp;L'!C772</f>
        <v/>
      </c>
      <c r="AO772" s="243" t="str">
        <f>'All Ticker P&amp;L'!D772</f>
        <v/>
      </c>
      <c r="AP772" s="243">
        <f>IF($AL772="",0,'All Ticker P&amp;L'!E772)</f>
        <v>0</v>
      </c>
      <c r="AQ772" s="266">
        <f>IF($AL772="",0,'All Ticker P&amp;L'!J772*'All Ticker P&amp;L'!I772)</f>
        <v>0</v>
      </c>
      <c r="AR772" s="266">
        <f>IF($AL772="",0,'All Ticker P&amp;L'!L772)</f>
        <v>0</v>
      </c>
      <c r="AS772" s="267">
        <f>IF($AL772="",0,'All Ticker P&amp;L'!M772)</f>
        <v>0</v>
      </c>
      <c r="AT772" s="243" t="str">
        <f>IF($AL772="","",RANK(AR772,$AR$2:$AR$1001)+COUNTIF($AR$2:AR772,AR772)-1)</f>
        <v/>
      </c>
      <c r="AU772" s="243" t="str">
        <f>IF($AL772="","",RANK(AV772,$AV$2:$AV$1001)+COUNTIF($AV$2:AV772,AV772)-1)</f>
        <v/>
      </c>
      <c r="AV772" s="266">
        <f t="shared" si="56"/>
        <v>0</v>
      </c>
    </row>
    <row r="773" spans="26:48" ht="15" customHeight="1" x14ac:dyDescent="0.2">
      <c r="Z773" s="243" t="str">
        <f>Shares!A773</f>
        <v/>
      </c>
      <c r="AA773" s="243" t="str">
        <f>Shares!B773</f>
        <v/>
      </c>
      <c r="AB773" s="243" t="str">
        <f>Shares!C773</f>
        <v/>
      </c>
      <c r="AC773" s="243" t="str">
        <f>Shares!D773</f>
        <v/>
      </c>
      <c r="AD773" s="243">
        <f>IF($Z773="",0,Shares!E773)</f>
        <v>0</v>
      </c>
      <c r="AE773" s="266">
        <f>IF($Z773="",0,Shares!J773*Shares!I773)</f>
        <v>0</v>
      </c>
      <c r="AF773" s="267">
        <f t="shared" si="55"/>
        <v>0</v>
      </c>
      <c r="AG773" s="266">
        <f>IF($Z773="",0,Shares!L773)</f>
        <v>0</v>
      </c>
      <c r="AH773" s="267">
        <f>IF($Z773="",0,Shares!M773)</f>
        <v>0</v>
      </c>
      <c r="AI773" s="243" t="str">
        <f>IF($Z773="","",RANK(AE773,$AE$2:$AE$1001)+COUNTIF($AE$2:AE773,AE773)-1)</f>
        <v/>
      </c>
      <c r="AJ773" s="243" t="str">
        <f>IF($AD773&lt;0,COUNT($AJ$1:AJ772)+1,"")</f>
        <v/>
      </c>
      <c r="AL773" s="243" t="str">
        <f>'All Ticker P&amp;L'!A773</f>
        <v/>
      </c>
      <c r="AM773" s="243" t="str">
        <f>'All Ticker P&amp;L'!B773</f>
        <v/>
      </c>
      <c r="AN773" s="243" t="str">
        <f>'All Ticker P&amp;L'!C773</f>
        <v/>
      </c>
      <c r="AO773" s="243" t="str">
        <f>'All Ticker P&amp;L'!D773</f>
        <v/>
      </c>
      <c r="AP773" s="243">
        <f>IF($AL773="",0,'All Ticker P&amp;L'!E773)</f>
        <v>0</v>
      </c>
      <c r="AQ773" s="266">
        <f>IF($AL773="",0,'All Ticker P&amp;L'!J773*'All Ticker P&amp;L'!I773)</f>
        <v>0</v>
      </c>
      <c r="AR773" s="266">
        <f>IF($AL773="",0,'All Ticker P&amp;L'!L773)</f>
        <v>0</v>
      </c>
      <c r="AS773" s="267">
        <f>IF($AL773="",0,'All Ticker P&amp;L'!M773)</f>
        <v>0</v>
      </c>
      <c r="AT773" s="243" t="str">
        <f>IF($AL773="","",RANK(AR773,$AR$2:$AR$1001)+COUNTIF($AR$2:AR773,AR773)-1)</f>
        <v/>
      </c>
      <c r="AU773" s="243" t="str">
        <f>IF($AL773="","",RANK(AV773,$AV$2:$AV$1001)+COUNTIF($AV$2:AV773,AV773)-1)</f>
        <v/>
      </c>
      <c r="AV773" s="266">
        <f t="shared" si="56"/>
        <v>0</v>
      </c>
    </row>
    <row r="774" spans="26:48" ht="15" customHeight="1" x14ac:dyDescent="0.2">
      <c r="Z774" s="243" t="str">
        <f>Shares!A774</f>
        <v/>
      </c>
      <c r="AA774" s="243" t="str">
        <f>Shares!B774</f>
        <v/>
      </c>
      <c r="AB774" s="243" t="str">
        <f>Shares!C774</f>
        <v/>
      </c>
      <c r="AC774" s="243" t="str">
        <f>Shares!D774</f>
        <v/>
      </c>
      <c r="AD774" s="243">
        <f>IF($Z774="",0,Shares!E774)</f>
        <v>0</v>
      </c>
      <c r="AE774" s="266">
        <f>IF($Z774="",0,Shares!J774*Shares!I774)</f>
        <v>0</v>
      </c>
      <c r="AF774" s="267">
        <f t="shared" si="55"/>
        <v>0</v>
      </c>
      <c r="AG774" s="266">
        <f>IF($Z774="",0,Shares!L774)</f>
        <v>0</v>
      </c>
      <c r="AH774" s="267">
        <f>IF($Z774="",0,Shares!M774)</f>
        <v>0</v>
      </c>
      <c r="AI774" s="243" t="str">
        <f>IF($Z774="","",RANK(AE774,$AE$2:$AE$1001)+COUNTIF($AE$2:AE774,AE774)-1)</f>
        <v/>
      </c>
      <c r="AJ774" s="243" t="str">
        <f>IF($AD774&lt;0,COUNT($AJ$1:AJ773)+1,"")</f>
        <v/>
      </c>
      <c r="AL774" s="243" t="str">
        <f>'All Ticker P&amp;L'!A774</f>
        <v/>
      </c>
      <c r="AM774" s="243" t="str">
        <f>'All Ticker P&amp;L'!B774</f>
        <v/>
      </c>
      <c r="AN774" s="243" t="str">
        <f>'All Ticker P&amp;L'!C774</f>
        <v/>
      </c>
      <c r="AO774" s="243" t="str">
        <f>'All Ticker P&amp;L'!D774</f>
        <v/>
      </c>
      <c r="AP774" s="243">
        <f>IF($AL774="",0,'All Ticker P&amp;L'!E774)</f>
        <v>0</v>
      </c>
      <c r="AQ774" s="266">
        <f>IF($AL774="",0,'All Ticker P&amp;L'!J774*'All Ticker P&amp;L'!I774)</f>
        <v>0</v>
      </c>
      <c r="AR774" s="266">
        <f>IF($AL774="",0,'All Ticker P&amp;L'!L774)</f>
        <v>0</v>
      </c>
      <c r="AS774" s="267">
        <f>IF($AL774="",0,'All Ticker P&amp;L'!M774)</f>
        <v>0</v>
      </c>
      <c r="AT774" s="243" t="str">
        <f>IF($AL774="","",RANK(AR774,$AR$2:$AR$1001)+COUNTIF($AR$2:AR774,AR774)-1)</f>
        <v/>
      </c>
      <c r="AU774" s="243" t="str">
        <f>IF($AL774="","",RANK(AV774,$AV$2:$AV$1001)+COUNTIF($AV$2:AV774,AV774)-1)</f>
        <v/>
      </c>
      <c r="AV774" s="266">
        <f t="shared" si="56"/>
        <v>0</v>
      </c>
    </row>
    <row r="775" spans="26:48" ht="15" customHeight="1" x14ac:dyDescent="0.2">
      <c r="Z775" s="243" t="str">
        <f>Shares!A775</f>
        <v/>
      </c>
      <c r="AA775" s="243" t="str">
        <f>Shares!B775</f>
        <v/>
      </c>
      <c r="AB775" s="243" t="str">
        <f>Shares!C775</f>
        <v/>
      </c>
      <c r="AC775" s="243" t="str">
        <f>Shares!D775</f>
        <v/>
      </c>
      <c r="AD775" s="243">
        <f>IF($Z775="",0,Shares!E775)</f>
        <v>0</v>
      </c>
      <c r="AE775" s="266">
        <f>IF($Z775="",0,Shares!J775*Shares!I775)</f>
        <v>0</v>
      </c>
      <c r="AF775" s="267">
        <f t="shared" si="55"/>
        <v>0</v>
      </c>
      <c r="AG775" s="266">
        <f>IF($Z775="",0,Shares!L775)</f>
        <v>0</v>
      </c>
      <c r="AH775" s="267">
        <f>IF($Z775="",0,Shares!M775)</f>
        <v>0</v>
      </c>
      <c r="AI775" s="243" t="str">
        <f>IF($Z775="","",RANK(AE775,$AE$2:$AE$1001)+COUNTIF($AE$2:AE775,AE775)-1)</f>
        <v/>
      </c>
      <c r="AJ775" s="243" t="str">
        <f>IF($AD775&lt;0,COUNT($AJ$1:AJ774)+1,"")</f>
        <v/>
      </c>
      <c r="AL775" s="243" t="str">
        <f>'All Ticker P&amp;L'!A775</f>
        <v/>
      </c>
      <c r="AM775" s="243" t="str">
        <f>'All Ticker P&amp;L'!B775</f>
        <v/>
      </c>
      <c r="AN775" s="243" t="str">
        <f>'All Ticker P&amp;L'!C775</f>
        <v/>
      </c>
      <c r="AO775" s="243" t="str">
        <f>'All Ticker P&amp;L'!D775</f>
        <v/>
      </c>
      <c r="AP775" s="243">
        <f>IF($AL775="",0,'All Ticker P&amp;L'!E775)</f>
        <v>0</v>
      </c>
      <c r="AQ775" s="266">
        <f>IF($AL775="",0,'All Ticker P&amp;L'!J775*'All Ticker P&amp;L'!I775)</f>
        <v>0</v>
      </c>
      <c r="AR775" s="266">
        <f>IF($AL775="",0,'All Ticker P&amp;L'!L775)</f>
        <v>0</v>
      </c>
      <c r="AS775" s="267">
        <f>IF($AL775="",0,'All Ticker P&amp;L'!M775)</f>
        <v>0</v>
      </c>
      <c r="AT775" s="243" t="str">
        <f>IF($AL775="","",RANK(AR775,$AR$2:$AR$1001)+COUNTIF($AR$2:AR775,AR775)-1)</f>
        <v/>
      </c>
      <c r="AU775" s="243" t="str">
        <f>IF($AL775="","",RANK(AV775,$AV$2:$AV$1001)+COUNTIF($AV$2:AV775,AV775)-1)</f>
        <v/>
      </c>
      <c r="AV775" s="266">
        <f t="shared" si="56"/>
        <v>0</v>
      </c>
    </row>
    <row r="776" spans="26:48" ht="15" customHeight="1" x14ac:dyDescent="0.2">
      <c r="Z776" s="243" t="str">
        <f>Shares!A776</f>
        <v/>
      </c>
      <c r="AA776" s="243" t="str">
        <f>Shares!B776</f>
        <v/>
      </c>
      <c r="AB776" s="243" t="str">
        <f>Shares!C776</f>
        <v/>
      </c>
      <c r="AC776" s="243" t="str">
        <f>Shares!D776</f>
        <v/>
      </c>
      <c r="AD776" s="243">
        <f>IF($Z776="",0,Shares!E776)</f>
        <v>0</v>
      </c>
      <c r="AE776" s="266">
        <f>IF($Z776="",0,Shares!J776*Shares!I776)</f>
        <v>0</v>
      </c>
      <c r="AF776" s="267">
        <f t="shared" si="55"/>
        <v>0</v>
      </c>
      <c r="AG776" s="266">
        <f>IF($Z776="",0,Shares!L776)</f>
        <v>0</v>
      </c>
      <c r="AH776" s="267">
        <f>IF($Z776="",0,Shares!M776)</f>
        <v>0</v>
      </c>
      <c r="AI776" s="243" t="str">
        <f>IF($Z776="","",RANK(AE776,$AE$2:$AE$1001)+COUNTIF($AE$2:AE776,AE776)-1)</f>
        <v/>
      </c>
      <c r="AJ776" s="243" t="str">
        <f>IF($AD776&lt;0,COUNT($AJ$1:AJ775)+1,"")</f>
        <v/>
      </c>
      <c r="AL776" s="243" t="str">
        <f>'All Ticker P&amp;L'!A776</f>
        <v/>
      </c>
      <c r="AM776" s="243" t="str">
        <f>'All Ticker P&amp;L'!B776</f>
        <v/>
      </c>
      <c r="AN776" s="243" t="str">
        <f>'All Ticker P&amp;L'!C776</f>
        <v/>
      </c>
      <c r="AO776" s="243" t="str">
        <f>'All Ticker P&amp;L'!D776</f>
        <v/>
      </c>
      <c r="AP776" s="243">
        <f>IF($AL776="",0,'All Ticker P&amp;L'!E776)</f>
        <v>0</v>
      </c>
      <c r="AQ776" s="266">
        <f>IF($AL776="",0,'All Ticker P&amp;L'!J776*'All Ticker P&amp;L'!I776)</f>
        <v>0</v>
      </c>
      <c r="AR776" s="266">
        <f>IF($AL776="",0,'All Ticker P&amp;L'!L776)</f>
        <v>0</v>
      </c>
      <c r="AS776" s="267">
        <f>IF($AL776="",0,'All Ticker P&amp;L'!M776)</f>
        <v>0</v>
      </c>
      <c r="AT776" s="243" t="str">
        <f>IF($AL776="","",RANK(AR776,$AR$2:$AR$1001)+COUNTIF($AR$2:AR776,AR776)-1)</f>
        <v/>
      </c>
      <c r="AU776" s="243" t="str">
        <f>IF($AL776="","",RANK(AV776,$AV$2:$AV$1001)+COUNTIF($AV$2:AV776,AV776)-1)</f>
        <v/>
      </c>
      <c r="AV776" s="266">
        <f t="shared" si="56"/>
        <v>0</v>
      </c>
    </row>
    <row r="777" spans="26:48" ht="15" customHeight="1" x14ac:dyDescent="0.2">
      <c r="Z777" s="243" t="str">
        <f>Shares!A777</f>
        <v/>
      </c>
      <c r="AA777" s="243" t="str">
        <f>Shares!B777</f>
        <v/>
      </c>
      <c r="AB777" s="243" t="str">
        <f>Shares!C777</f>
        <v/>
      </c>
      <c r="AC777" s="243" t="str">
        <f>Shares!D777</f>
        <v/>
      </c>
      <c r="AD777" s="243">
        <f>IF($Z777="",0,Shares!E777)</f>
        <v>0</v>
      </c>
      <c r="AE777" s="266">
        <f>IF($Z777="",0,Shares!J777*Shares!I777)</f>
        <v>0</v>
      </c>
      <c r="AF777" s="267">
        <f t="shared" si="55"/>
        <v>0</v>
      </c>
      <c r="AG777" s="266">
        <f>IF($Z777="",0,Shares!L777)</f>
        <v>0</v>
      </c>
      <c r="AH777" s="267">
        <f>IF($Z777="",0,Shares!M777)</f>
        <v>0</v>
      </c>
      <c r="AI777" s="243" t="str">
        <f>IF($Z777="","",RANK(AE777,$AE$2:$AE$1001)+COUNTIF($AE$2:AE777,AE777)-1)</f>
        <v/>
      </c>
      <c r="AJ777" s="243" t="str">
        <f>IF($AD777&lt;0,COUNT($AJ$1:AJ776)+1,"")</f>
        <v/>
      </c>
      <c r="AL777" s="243" t="str">
        <f>'All Ticker P&amp;L'!A777</f>
        <v/>
      </c>
      <c r="AM777" s="243" t="str">
        <f>'All Ticker P&amp;L'!B777</f>
        <v/>
      </c>
      <c r="AN777" s="243" t="str">
        <f>'All Ticker P&amp;L'!C777</f>
        <v/>
      </c>
      <c r="AO777" s="243" t="str">
        <f>'All Ticker P&amp;L'!D777</f>
        <v/>
      </c>
      <c r="AP777" s="243">
        <f>IF($AL777="",0,'All Ticker P&amp;L'!E777)</f>
        <v>0</v>
      </c>
      <c r="AQ777" s="266">
        <f>IF($AL777="",0,'All Ticker P&amp;L'!J777*'All Ticker P&amp;L'!I777)</f>
        <v>0</v>
      </c>
      <c r="AR777" s="266">
        <f>IF($AL777="",0,'All Ticker P&amp;L'!L777)</f>
        <v>0</v>
      </c>
      <c r="AS777" s="267">
        <f>IF($AL777="",0,'All Ticker P&amp;L'!M777)</f>
        <v>0</v>
      </c>
      <c r="AT777" s="243" t="str">
        <f>IF($AL777="","",RANK(AR777,$AR$2:$AR$1001)+COUNTIF($AR$2:AR777,AR777)-1)</f>
        <v/>
      </c>
      <c r="AU777" s="243" t="str">
        <f>IF($AL777="","",RANK(AV777,$AV$2:$AV$1001)+COUNTIF($AV$2:AV777,AV777)-1)</f>
        <v/>
      </c>
      <c r="AV777" s="266">
        <f t="shared" si="56"/>
        <v>0</v>
      </c>
    </row>
    <row r="778" spans="26:48" ht="15" customHeight="1" x14ac:dyDescent="0.2">
      <c r="Z778" s="243" t="str">
        <f>Shares!A778</f>
        <v/>
      </c>
      <c r="AA778" s="243" t="str">
        <f>Shares!B778</f>
        <v/>
      </c>
      <c r="AB778" s="243" t="str">
        <f>Shares!C778</f>
        <v/>
      </c>
      <c r="AC778" s="243" t="str">
        <f>Shares!D778</f>
        <v/>
      </c>
      <c r="AD778" s="243">
        <f>IF($Z778="",0,Shares!E778)</f>
        <v>0</v>
      </c>
      <c r="AE778" s="266">
        <f>IF($Z778="",0,Shares!J778*Shares!I778)</f>
        <v>0</v>
      </c>
      <c r="AF778" s="267">
        <f t="shared" si="55"/>
        <v>0</v>
      </c>
      <c r="AG778" s="266">
        <f>IF($Z778="",0,Shares!L778)</f>
        <v>0</v>
      </c>
      <c r="AH778" s="267">
        <f>IF($Z778="",0,Shares!M778)</f>
        <v>0</v>
      </c>
      <c r="AI778" s="243" t="str">
        <f>IF($Z778="","",RANK(AE778,$AE$2:$AE$1001)+COUNTIF($AE$2:AE778,AE778)-1)</f>
        <v/>
      </c>
      <c r="AJ778" s="243" t="str">
        <f>IF($AD778&lt;0,COUNT($AJ$1:AJ777)+1,"")</f>
        <v/>
      </c>
      <c r="AL778" s="243" t="str">
        <f>'All Ticker P&amp;L'!A778</f>
        <v/>
      </c>
      <c r="AM778" s="243" t="str">
        <f>'All Ticker P&amp;L'!B778</f>
        <v/>
      </c>
      <c r="AN778" s="243" t="str">
        <f>'All Ticker P&amp;L'!C778</f>
        <v/>
      </c>
      <c r="AO778" s="243" t="str">
        <f>'All Ticker P&amp;L'!D778</f>
        <v/>
      </c>
      <c r="AP778" s="243">
        <f>IF($AL778="",0,'All Ticker P&amp;L'!E778)</f>
        <v>0</v>
      </c>
      <c r="AQ778" s="266">
        <f>IF($AL778="",0,'All Ticker P&amp;L'!J778*'All Ticker P&amp;L'!I778)</f>
        <v>0</v>
      </c>
      <c r="AR778" s="266">
        <f>IF($AL778="",0,'All Ticker P&amp;L'!L778)</f>
        <v>0</v>
      </c>
      <c r="AS778" s="267">
        <f>IF($AL778="",0,'All Ticker P&amp;L'!M778)</f>
        <v>0</v>
      </c>
      <c r="AT778" s="243" t="str">
        <f>IF($AL778="","",RANK(AR778,$AR$2:$AR$1001)+COUNTIF($AR$2:AR778,AR778)-1)</f>
        <v/>
      </c>
      <c r="AU778" s="243" t="str">
        <f>IF($AL778="","",RANK(AV778,$AV$2:$AV$1001)+COUNTIF($AV$2:AV778,AV778)-1)</f>
        <v/>
      </c>
      <c r="AV778" s="266">
        <f t="shared" si="56"/>
        <v>0</v>
      </c>
    </row>
    <row r="779" spans="26:48" ht="15" customHeight="1" x14ac:dyDescent="0.2">
      <c r="Z779" s="243" t="str">
        <f>Shares!A779</f>
        <v/>
      </c>
      <c r="AA779" s="243" t="str">
        <f>Shares!B779</f>
        <v/>
      </c>
      <c r="AB779" s="243" t="str">
        <f>Shares!C779</f>
        <v/>
      </c>
      <c r="AC779" s="243" t="str">
        <f>Shares!D779</f>
        <v/>
      </c>
      <c r="AD779" s="243">
        <f>IF($Z779="",0,Shares!E779)</f>
        <v>0</v>
      </c>
      <c r="AE779" s="266">
        <f>IF($Z779="",0,Shares!J779*Shares!I779)</f>
        <v>0</v>
      </c>
      <c r="AF779" s="267">
        <f t="shared" si="55"/>
        <v>0</v>
      </c>
      <c r="AG779" s="266">
        <f>IF($Z779="",0,Shares!L779)</f>
        <v>0</v>
      </c>
      <c r="AH779" s="267">
        <f>IF($Z779="",0,Shares!M779)</f>
        <v>0</v>
      </c>
      <c r="AI779" s="243" t="str">
        <f>IF($Z779="","",RANK(AE779,$AE$2:$AE$1001)+COUNTIF($AE$2:AE779,AE779)-1)</f>
        <v/>
      </c>
      <c r="AJ779" s="243" t="str">
        <f>IF($AD779&lt;0,COUNT($AJ$1:AJ778)+1,"")</f>
        <v/>
      </c>
      <c r="AL779" s="243" t="str">
        <f>'All Ticker P&amp;L'!A779</f>
        <v/>
      </c>
      <c r="AM779" s="243" t="str">
        <f>'All Ticker P&amp;L'!B779</f>
        <v/>
      </c>
      <c r="AN779" s="243" t="str">
        <f>'All Ticker P&amp;L'!C779</f>
        <v/>
      </c>
      <c r="AO779" s="243" t="str">
        <f>'All Ticker P&amp;L'!D779</f>
        <v/>
      </c>
      <c r="AP779" s="243">
        <f>IF($AL779="",0,'All Ticker P&amp;L'!E779)</f>
        <v>0</v>
      </c>
      <c r="AQ779" s="266">
        <f>IF($AL779="",0,'All Ticker P&amp;L'!J779*'All Ticker P&amp;L'!I779)</f>
        <v>0</v>
      </c>
      <c r="AR779" s="266">
        <f>IF($AL779="",0,'All Ticker P&amp;L'!L779)</f>
        <v>0</v>
      </c>
      <c r="AS779" s="267">
        <f>IF($AL779="",0,'All Ticker P&amp;L'!M779)</f>
        <v>0</v>
      </c>
      <c r="AT779" s="243" t="str">
        <f>IF($AL779="","",RANK(AR779,$AR$2:$AR$1001)+COUNTIF($AR$2:AR779,AR779)-1)</f>
        <v/>
      </c>
      <c r="AU779" s="243" t="str">
        <f>IF($AL779="","",RANK(AV779,$AV$2:$AV$1001)+COUNTIF($AV$2:AV779,AV779)-1)</f>
        <v/>
      </c>
      <c r="AV779" s="266">
        <f t="shared" si="56"/>
        <v>0</v>
      </c>
    </row>
    <row r="780" spans="26:48" ht="15" customHeight="1" x14ac:dyDescent="0.2">
      <c r="Z780" s="243" t="str">
        <f>Shares!A780</f>
        <v/>
      </c>
      <c r="AA780" s="243" t="str">
        <f>Shares!B780</f>
        <v/>
      </c>
      <c r="AB780" s="243" t="str">
        <f>Shares!C780</f>
        <v/>
      </c>
      <c r="AC780" s="243" t="str">
        <f>Shares!D780</f>
        <v/>
      </c>
      <c r="AD780" s="243">
        <f>IF($Z780="",0,Shares!E780)</f>
        <v>0</v>
      </c>
      <c r="AE780" s="266">
        <f>IF($Z780="",0,Shares!J780*Shares!I780)</f>
        <v>0</v>
      </c>
      <c r="AF780" s="267">
        <f t="shared" si="55"/>
        <v>0</v>
      </c>
      <c r="AG780" s="266">
        <f>IF($Z780="",0,Shares!L780)</f>
        <v>0</v>
      </c>
      <c r="AH780" s="267">
        <f>IF($Z780="",0,Shares!M780)</f>
        <v>0</v>
      </c>
      <c r="AI780" s="243" t="str">
        <f>IF($Z780="","",RANK(AE780,$AE$2:$AE$1001)+COUNTIF($AE$2:AE780,AE780)-1)</f>
        <v/>
      </c>
      <c r="AJ780" s="243" t="str">
        <f>IF($AD780&lt;0,COUNT($AJ$1:AJ779)+1,"")</f>
        <v/>
      </c>
      <c r="AL780" s="243" t="str">
        <f>'All Ticker P&amp;L'!A780</f>
        <v/>
      </c>
      <c r="AM780" s="243" t="str">
        <f>'All Ticker P&amp;L'!B780</f>
        <v/>
      </c>
      <c r="AN780" s="243" t="str">
        <f>'All Ticker P&amp;L'!C780</f>
        <v/>
      </c>
      <c r="AO780" s="243" t="str">
        <f>'All Ticker P&amp;L'!D780</f>
        <v/>
      </c>
      <c r="AP780" s="243">
        <f>IF($AL780="",0,'All Ticker P&amp;L'!E780)</f>
        <v>0</v>
      </c>
      <c r="AQ780" s="266">
        <f>IF($AL780="",0,'All Ticker P&amp;L'!J780*'All Ticker P&amp;L'!I780)</f>
        <v>0</v>
      </c>
      <c r="AR780" s="266">
        <f>IF($AL780="",0,'All Ticker P&amp;L'!L780)</f>
        <v>0</v>
      </c>
      <c r="AS780" s="267">
        <f>IF($AL780="",0,'All Ticker P&amp;L'!M780)</f>
        <v>0</v>
      </c>
      <c r="AT780" s="243" t="str">
        <f>IF($AL780="","",RANK(AR780,$AR$2:$AR$1001)+COUNTIF($AR$2:AR780,AR780)-1)</f>
        <v/>
      </c>
      <c r="AU780" s="243" t="str">
        <f>IF($AL780="","",RANK(AV780,$AV$2:$AV$1001)+COUNTIF($AV$2:AV780,AV780)-1)</f>
        <v/>
      </c>
      <c r="AV780" s="266">
        <f t="shared" si="56"/>
        <v>0</v>
      </c>
    </row>
    <row r="781" spans="26:48" ht="15" customHeight="1" x14ac:dyDescent="0.2">
      <c r="Z781" s="243" t="str">
        <f>Shares!A781</f>
        <v/>
      </c>
      <c r="AA781" s="243" t="str">
        <f>Shares!B781</f>
        <v/>
      </c>
      <c r="AB781" s="243" t="str">
        <f>Shares!C781</f>
        <v/>
      </c>
      <c r="AC781" s="243" t="str">
        <f>Shares!D781</f>
        <v/>
      </c>
      <c r="AD781" s="243">
        <f>IF($Z781="",0,Shares!E781)</f>
        <v>0</v>
      </c>
      <c r="AE781" s="266">
        <f>IF($Z781="",0,Shares!J781*Shares!I781)</f>
        <v>0</v>
      </c>
      <c r="AF781" s="267">
        <f t="shared" si="55"/>
        <v>0</v>
      </c>
      <c r="AG781" s="266">
        <f>IF($Z781="",0,Shares!L781)</f>
        <v>0</v>
      </c>
      <c r="AH781" s="267">
        <f>IF($Z781="",0,Shares!M781)</f>
        <v>0</v>
      </c>
      <c r="AI781" s="243" t="str">
        <f>IF($Z781="","",RANK(AE781,$AE$2:$AE$1001)+COUNTIF($AE$2:AE781,AE781)-1)</f>
        <v/>
      </c>
      <c r="AJ781" s="243" t="str">
        <f>IF($AD781&lt;0,COUNT($AJ$1:AJ780)+1,"")</f>
        <v/>
      </c>
      <c r="AL781" s="243" t="str">
        <f>'All Ticker P&amp;L'!A781</f>
        <v/>
      </c>
      <c r="AM781" s="243" t="str">
        <f>'All Ticker P&amp;L'!B781</f>
        <v/>
      </c>
      <c r="AN781" s="243" t="str">
        <f>'All Ticker P&amp;L'!C781</f>
        <v/>
      </c>
      <c r="AO781" s="243" t="str">
        <f>'All Ticker P&amp;L'!D781</f>
        <v/>
      </c>
      <c r="AP781" s="243">
        <f>IF($AL781="",0,'All Ticker P&amp;L'!E781)</f>
        <v>0</v>
      </c>
      <c r="AQ781" s="266">
        <f>IF($AL781="",0,'All Ticker P&amp;L'!J781*'All Ticker P&amp;L'!I781)</f>
        <v>0</v>
      </c>
      <c r="AR781" s="266">
        <f>IF($AL781="",0,'All Ticker P&amp;L'!L781)</f>
        <v>0</v>
      </c>
      <c r="AS781" s="267">
        <f>IF($AL781="",0,'All Ticker P&amp;L'!M781)</f>
        <v>0</v>
      </c>
      <c r="AT781" s="243" t="str">
        <f>IF($AL781="","",RANK(AR781,$AR$2:$AR$1001)+COUNTIF($AR$2:AR781,AR781)-1)</f>
        <v/>
      </c>
      <c r="AU781" s="243" t="str">
        <f>IF($AL781="","",RANK(AV781,$AV$2:$AV$1001)+COUNTIF($AV$2:AV781,AV781)-1)</f>
        <v/>
      </c>
      <c r="AV781" s="266">
        <f t="shared" si="56"/>
        <v>0</v>
      </c>
    </row>
    <row r="782" spans="26:48" ht="15" customHeight="1" x14ac:dyDescent="0.2">
      <c r="Z782" s="243" t="str">
        <f>Shares!A782</f>
        <v/>
      </c>
      <c r="AA782" s="243" t="str">
        <f>Shares!B782</f>
        <v/>
      </c>
      <c r="AB782" s="243" t="str">
        <f>Shares!C782</f>
        <v/>
      </c>
      <c r="AC782" s="243" t="str">
        <f>Shares!D782</f>
        <v/>
      </c>
      <c r="AD782" s="243">
        <f>IF($Z782="",0,Shares!E782)</f>
        <v>0</v>
      </c>
      <c r="AE782" s="266">
        <f>IF($Z782="",0,Shares!J782*Shares!I782)</f>
        <v>0</v>
      </c>
      <c r="AF782" s="267">
        <f t="shared" si="55"/>
        <v>0</v>
      </c>
      <c r="AG782" s="266">
        <f>IF($Z782="",0,Shares!L782)</f>
        <v>0</v>
      </c>
      <c r="AH782" s="267">
        <f>IF($Z782="",0,Shares!M782)</f>
        <v>0</v>
      </c>
      <c r="AI782" s="243" t="str">
        <f>IF($Z782="","",RANK(AE782,$AE$2:$AE$1001)+COUNTIF($AE$2:AE782,AE782)-1)</f>
        <v/>
      </c>
      <c r="AJ782" s="243" t="str">
        <f>IF($AD782&lt;0,COUNT($AJ$1:AJ781)+1,"")</f>
        <v/>
      </c>
      <c r="AL782" s="243" t="str">
        <f>'All Ticker P&amp;L'!A782</f>
        <v/>
      </c>
      <c r="AM782" s="243" t="str">
        <f>'All Ticker P&amp;L'!B782</f>
        <v/>
      </c>
      <c r="AN782" s="243" t="str">
        <f>'All Ticker P&amp;L'!C782</f>
        <v/>
      </c>
      <c r="AO782" s="243" t="str">
        <f>'All Ticker P&amp;L'!D782</f>
        <v/>
      </c>
      <c r="AP782" s="243">
        <f>IF($AL782="",0,'All Ticker P&amp;L'!E782)</f>
        <v>0</v>
      </c>
      <c r="AQ782" s="266">
        <f>IF($AL782="",0,'All Ticker P&amp;L'!J782*'All Ticker P&amp;L'!I782)</f>
        <v>0</v>
      </c>
      <c r="AR782" s="266">
        <f>IF($AL782="",0,'All Ticker P&amp;L'!L782)</f>
        <v>0</v>
      </c>
      <c r="AS782" s="267">
        <f>IF($AL782="",0,'All Ticker P&amp;L'!M782)</f>
        <v>0</v>
      </c>
      <c r="AT782" s="243" t="str">
        <f>IF($AL782="","",RANK(AR782,$AR$2:$AR$1001)+COUNTIF($AR$2:AR782,AR782)-1)</f>
        <v/>
      </c>
      <c r="AU782" s="243" t="str">
        <f>IF($AL782="","",RANK(AV782,$AV$2:$AV$1001)+COUNTIF($AV$2:AV782,AV782)-1)</f>
        <v/>
      </c>
      <c r="AV782" s="266">
        <f t="shared" si="56"/>
        <v>0</v>
      </c>
    </row>
    <row r="783" spans="26:48" ht="15" customHeight="1" x14ac:dyDescent="0.2">
      <c r="Z783" s="243" t="str">
        <f>Shares!A783</f>
        <v/>
      </c>
      <c r="AA783" s="243" t="str">
        <f>Shares!B783</f>
        <v/>
      </c>
      <c r="AB783" s="243" t="str">
        <f>Shares!C783</f>
        <v/>
      </c>
      <c r="AC783" s="243" t="str">
        <f>Shares!D783</f>
        <v/>
      </c>
      <c r="AD783" s="243">
        <f>IF($Z783="",0,Shares!E783)</f>
        <v>0</v>
      </c>
      <c r="AE783" s="266">
        <f>IF($Z783="",0,Shares!J783*Shares!I783)</f>
        <v>0</v>
      </c>
      <c r="AF783" s="267">
        <f t="shared" si="55"/>
        <v>0</v>
      </c>
      <c r="AG783" s="266">
        <f>IF($Z783="",0,Shares!L783)</f>
        <v>0</v>
      </c>
      <c r="AH783" s="267">
        <f>IF($Z783="",0,Shares!M783)</f>
        <v>0</v>
      </c>
      <c r="AI783" s="243" t="str">
        <f>IF($Z783="","",RANK(AE783,$AE$2:$AE$1001)+COUNTIF($AE$2:AE783,AE783)-1)</f>
        <v/>
      </c>
      <c r="AJ783" s="243" t="str">
        <f>IF($AD783&lt;0,COUNT($AJ$1:AJ782)+1,"")</f>
        <v/>
      </c>
      <c r="AL783" s="243" t="str">
        <f>'All Ticker P&amp;L'!A783</f>
        <v/>
      </c>
      <c r="AM783" s="243" t="str">
        <f>'All Ticker P&amp;L'!B783</f>
        <v/>
      </c>
      <c r="AN783" s="243" t="str">
        <f>'All Ticker P&amp;L'!C783</f>
        <v/>
      </c>
      <c r="AO783" s="243" t="str">
        <f>'All Ticker P&amp;L'!D783</f>
        <v/>
      </c>
      <c r="AP783" s="243">
        <f>IF($AL783="",0,'All Ticker P&amp;L'!E783)</f>
        <v>0</v>
      </c>
      <c r="AQ783" s="266">
        <f>IF($AL783="",0,'All Ticker P&amp;L'!J783*'All Ticker P&amp;L'!I783)</f>
        <v>0</v>
      </c>
      <c r="AR783" s="266">
        <f>IF($AL783="",0,'All Ticker P&amp;L'!L783)</f>
        <v>0</v>
      </c>
      <c r="AS783" s="267">
        <f>IF($AL783="",0,'All Ticker P&amp;L'!M783)</f>
        <v>0</v>
      </c>
      <c r="AT783" s="243" t="str">
        <f>IF($AL783="","",RANK(AR783,$AR$2:$AR$1001)+COUNTIF($AR$2:AR783,AR783)-1)</f>
        <v/>
      </c>
      <c r="AU783" s="243" t="str">
        <f>IF($AL783="","",RANK(AV783,$AV$2:$AV$1001)+COUNTIF($AV$2:AV783,AV783)-1)</f>
        <v/>
      </c>
      <c r="AV783" s="266">
        <f t="shared" si="56"/>
        <v>0</v>
      </c>
    </row>
    <row r="784" spans="26:48" ht="15" customHeight="1" x14ac:dyDescent="0.2">
      <c r="Z784" s="243" t="str">
        <f>Shares!A784</f>
        <v/>
      </c>
      <c r="AA784" s="243" t="str">
        <f>Shares!B784</f>
        <v/>
      </c>
      <c r="AB784" s="243" t="str">
        <f>Shares!C784</f>
        <v/>
      </c>
      <c r="AC784" s="243" t="str">
        <f>Shares!D784</f>
        <v/>
      </c>
      <c r="AD784" s="243">
        <f>IF($Z784="",0,Shares!E784)</f>
        <v>0</v>
      </c>
      <c r="AE784" s="266">
        <f>IF($Z784="",0,Shares!J784*Shares!I784)</f>
        <v>0</v>
      </c>
      <c r="AF784" s="267">
        <f t="shared" si="55"/>
        <v>0</v>
      </c>
      <c r="AG784" s="266">
        <f>IF($Z784="",0,Shares!L784)</f>
        <v>0</v>
      </c>
      <c r="AH784" s="267">
        <f>IF($Z784="",0,Shares!M784)</f>
        <v>0</v>
      </c>
      <c r="AI784" s="243" t="str">
        <f>IF($Z784="","",RANK(AE784,$AE$2:$AE$1001)+COUNTIF($AE$2:AE784,AE784)-1)</f>
        <v/>
      </c>
      <c r="AJ784" s="243" t="str">
        <f>IF($AD784&lt;0,COUNT($AJ$1:AJ783)+1,"")</f>
        <v/>
      </c>
      <c r="AL784" s="243" t="str">
        <f>'All Ticker P&amp;L'!A784</f>
        <v/>
      </c>
      <c r="AM784" s="243" t="str">
        <f>'All Ticker P&amp;L'!B784</f>
        <v/>
      </c>
      <c r="AN784" s="243" t="str">
        <f>'All Ticker P&amp;L'!C784</f>
        <v/>
      </c>
      <c r="AO784" s="243" t="str">
        <f>'All Ticker P&amp;L'!D784</f>
        <v/>
      </c>
      <c r="AP784" s="243">
        <f>IF($AL784="",0,'All Ticker P&amp;L'!E784)</f>
        <v>0</v>
      </c>
      <c r="AQ784" s="266">
        <f>IF($AL784="",0,'All Ticker P&amp;L'!J784*'All Ticker P&amp;L'!I784)</f>
        <v>0</v>
      </c>
      <c r="AR784" s="266">
        <f>IF($AL784="",0,'All Ticker P&amp;L'!L784)</f>
        <v>0</v>
      </c>
      <c r="AS784" s="267">
        <f>IF($AL784="",0,'All Ticker P&amp;L'!M784)</f>
        <v>0</v>
      </c>
      <c r="AT784" s="243" t="str">
        <f>IF($AL784="","",RANK(AR784,$AR$2:$AR$1001)+COUNTIF($AR$2:AR784,AR784)-1)</f>
        <v/>
      </c>
      <c r="AU784" s="243" t="str">
        <f>IF($AL784="","",RANK(AV784,$AV$2:$AV$1001)+COUNTIF($AV$2:AV784,AV784)-1)</f>
        <v/>
      </c>
      <c r="AV784" s="266">
        <f t="shared" si="56"/>
        <v>0</v>
      </c>
    </row>
    <row r="785" spans="26:48" ht="15" customHeight="1" x14ac:dyDescent="0.2">
      <c r="Z785" s="243" t="str">
        <f>Shares!A785</f>
        <v/>
      </c>
      <c r="AA785" s="243" t="str">
        <f>Shares!B785</f>
        <v/>
      </c>
      <c r="AB785" s="243" t="str">
        <f>Shares!C785</f>
        <v/>
      </c>
      <c r="AC785" s="243" t="str">
        <f>Shares!D785</f>
        <v/>
      </c>
      <c r="AD785" s="243">
        <f>IF($Z785="",0,Shares!E785)</f>
        <v>0</v>
      </c>
      <c r="AE785" s="266">
        <f>IF($Z785="",0,Shares!J785*Shares!I785)</f>
        <v>0</v>
      </c>
      <c r="AF785" s="267">
        <f t="shared" si="55"/>
        <v>0</v>
      </c>
      <c r="AG785" s="266">
        <f>IF($Z785="",0,Shares!L785)</f>
        <v>0</v>
      </c>
      <c r="AH785" s="267">
        <f>IF($Z785="",0,Shares!M785)</f>
        <v>0</v>
      </c>
      <c r="AI785" s="243" t="str">
        <f>IF($Z785="","",RANK(AE785,$AE$2:$AE$1001)+COUNTIF($AE$2:AE785,AE785)-1)</f>
        <v/>
      </c>
      <c r="AJ785" s="243" t="str">
        <f>IF($AD785&lt;0,COUNT($AJ$1:AJ784)+1,"")</f>
        <v/>
      </c>
      <c r="AL785" s="243" t="str">
        <f>'All Ticker P&amp;L'!A785</f>
        <v/>
      </c>
      <c r="AM785" s="243" t="str">
        <f>'All Ticker P&amp;L'!B785</f>
        <v/>
      </c>
      <c r="AN785" s="243" t="str">
        <f>'All Ticker P&amp;L'!C785</f>
        <v/>
      </c>
      <c r="AO785" s="243" t="str">
        <f>'All Ticker P&amp;L'!D785</f>
        <v/>
      </c>
      <c r="AP785" s="243">
        <f>IF($AL785="",0,'All Ticker P&amp;L'!E785)</f>
        <v>0</v>
      </c>
      <c r="AQ785" s="266">
        <f>IF($AL785="",0,'All Ticker P&amp;L'!J785*'All Ticker P&amp;L'!I785)</f>
        <v>0</v>
      </c>
      <c r="AR785" s="266">
        <f>IF($AL785="",0,'All Ticker P&amp;L'!L785)</f>
        <v>0</v>
      </c>
      <c r="AS785" s="267">
        <f>IF($AL785="",0,'All Ticker P&amp;L'!M785)</f>
        <v>0</v>
      </c>
      <c r="AT785" s="243" t="str">
        <f>IF($AL785="","",RANK(AR785,$AR$2:$AR$1001)+COUNTIF($AR$2:AR785,AR785)-1)</f>
        <v/>
      </c>
      <c r="AU785" s="243" t="str">
        <f>IF($AL785="","",RANK(AV785,$AV$2:$AV$1001)+COUNTIF($AV$2:AV785,AV785)-1)</f>
        <v/>
      </c>
      <c r="AV785" s="266">
        <f t="shared" si="56"/>
        <v>0</v>
      </c>
    </row>
    <row r="786" spans="26:48" ht="15" customHeight="1" x14ac:dyDescent="0.2">
      <c r="Z786" s="243" t="str">
        <f>Shares!A786</f>
        <v/>
      </c>
      <c r="AA786" s="243" t="str">
        <f>Shares!B786</f>
        <v/>
      </c>
      <c r="AB786" s="243" t="str">
        <f>Shares!C786</f>
        <v/>
      </c>
      <c r="AC786" s="243" t="str">
        <f>Shares!D786</f>
        <v/>
      </c>
      <c r="AD786" s="243">
        <f>IF($Z786="",0,Shares!E786)</f>
        <v>0</v>
      </c>
      <c r="AE786" s="266">
        <f>IF($Z786="",0,Shares!J786*Shares!I786)</f>
        <v>0</v>
      </c>
      <c r="AF786" s="267">
        <f t="shared" si="55"/>
        <v>0</v>
      </c>
      <c r="AG786" s="266">
        <f>IF($Z786="",0,Shares!L786)</f>
        <v>0</v>
      </c>
      <c r="AH786" s="267">
        <f>IF($Z786="",0,Shares!M786)</f>
        <v>0</v>
      </c>
      <c r="AI786" s="243" t="str">
        <f>IF($Z786="","",RANK(AE786,$AE$2:$AE$1001)+COUNTIF($AE$2:AE786,AE786)-1)</f>
        <v/>
      </c>
      <c r="AJ786" s="243" t="str">
        <f>IF($AD786&lt;0,COUNT($AJ$1:AJ785)+1,"")</f>
        <v/>
      </c>
      <c r="AL786" s="243" t="str">
        <f>'All Ticker P&amp;L'!A786</f>
        <v/>
      </c>
      <c r="AM786" s="243" t="str">
        <f>'All Ticker P&amp;L'!B786</f>
        <v/>
      </c>
      <c r="AN786" s="243" t="str">
        <f>'All Ticker P&amp;L'!C786</f>
        <v/>
      </c>
      <c r="AO786" s="243" t="str">
        <f>'All Ticker P&amp;L'!D786</f>
        <v/>
      </c>
      <c r="AP786" s="243">
        <f>IF($AL786="",0,'All Ticker P&amp;L'!E786)</f>
        <v>0</v>
      </c>
      <c r="AQ786" s="266">
        <f>IF($AL786="",0,'All Ticker P&amp;L'!J786*'All Ticker P&amp;L'!I786)</f>
        <v>0</v>
      </c>
      <c r="AR786" s="266">
        <f>IF($AL786="",0,'All Ticker P&amp;L'!L786)</f>
        <v>0</v>
      </c>
      <c r="AS786" s="267">
        <f>IF($AL786="",0,'All Ticker P&amp;L'!M786)</f>
        <v>0</v>
      </c>
      <c r="AT786" s="243" t="str">
        <f>IF($AL786="","",RANK(AR786,$AR$2:$AR$1001)+COUNTIF($AR$2:AR786,AR786)-1)</f>
        <v/>
      </c>
      <c r="AU786" s="243" t="str">
        <f>IF($AL786="","",RANK(AV786,$AV$2:$AV$1001)+COUNTIF($AV$2:AV786,AV786)-1)</f>
        <v/>
      </c>
      <c r="AV786" s="266">
        <f t="shared" si="56"/>
        <v>0</v>
      </c>
    </row>
    <row r="787" spans="26:48" ht="15" customHeight="1" x14ac:dyDescent="0.2">
      <c r="Z787" s="243" t="str">
        <f>Shares!A787</f>
        <v/>
      </c>
      <c r="AA787" s="243" t="str">
        <f>Shares!B787</f>
        <v/>
      </c>
      <c r="AB787" s="243" t="str">
        <f>Shares!C787</f>
        <v/>
      </c>
      <c r="AC787" s="243" t="str">
        <f>Shares!D787</f>
        <v/>
      </c>
      <c r="AD787" s="243">
        <f>IF($Z787="",0,Shares!E787)</f>
        <v>0</v>
      </c>
      <c r="AE787" s="266">
        <f>IF($Z787="",0,Shares!J787*Shares!I787)</f>
        <v>0</v>
      </c>
      <c r="AF787" s="267">
        <f t="shared" si="55"/>
        <v>0</v>
      </c>
      <c r="AG787" s="266">
        <f>IF($Z787="",0,Shares!L787)</f>
        <v>0</v>
      </c>
      <c r="AH787" s="267">
        <f>IF($Z787="",0,Shares!M787)</f>
        <v>0</v>
      </c>
      <c r="AI787" s="243" t="str">
        <f>IF($Z787="","",RANK(AE787,$AE$2:$AE$1001)+COUNTIF($AE$2:AE787,AE787)-1)</f>
        <v/>
      </c>
      <c r="AJ787" s="243" t="str">
        <f>IF($AD787&lt;0,COUNT($AJ$1:AJ786)+1,"")</f>
        <v/>
      </c>
      <c r="AL787" s="243" t="str">
        <f>'All Ticker P&amp;L'!A787</f>
        <v/>
      </c>
      <c r="AM787" s="243" t="str">
        <f>'All Ticker P&amp;L'!B787</f>
        <v/>
      </c>
      <c r="AN787" s="243" t="str">
        <f>'All Ticker P&amp;L'!C787</f>
        <v/>
      </c>
      <c r="AO787" s="243" t="str">
        <f>'All Ticker P&amp;L'!D787</f>
        <v/>
      </c>
      <c r="AP787" s="243">
        <f>IF($AL787="",0,'All Ticker P&amp;L'!E787)</f>
        <v>0</v>
      </c>
      <c r="AQ787" s="266">
        <f>IF($AL787="",0,'All Ticker P&amp;L'!J787*'All Ticker P&amp;L'!I787)</f>
        <v>0</v>
      </c>
      <c r="AR787" s="266">
        <f>IF($AL787="",0,'All Ticker P&amp;L'!L787)</f>
        <v>0</v>
      </c>
      <c r="AS787" s="267">
        <f>IF($AL787="",0,'All Ticker P&amp;L'!M787)</f>
        <v>0</v>
      </c>
      <c r="AT787" s="243" t="str">
        <f>IF($AL787="","",RANK(AR787,$AR$2:$AR$1001)+COUNTIF($AR$2:AR787,AR787)-1)</f>
        <v/>
      </c>
      <c r="AU787" s="243" t="str">
        <f>IF($AL787="","",RANK(AV787,$AV$2:$AV$1001)+COUNTIF($AV$2:AV787,AV787)-1)</f>
        <v/>
      </c>
      <c r="AV787" s="266">
        <f t="shared" si="56"/>
        <v>0</v>
      </c>
    </row>
    <row r="788" spans="26:48" ht="15" customHeight="1" x14ac:dyDescent="0.2">
      <c r="Z788" s="243" t="str">
        <f>Shares!A788</f>
        <v/>
      </c>
      <c r="AA788" s="243" t="str">
        <f>Shares!B788</f>
        <v/>
      </c>
      <c r="AB788" s="243" t="str">
        <f>Shares!C788</f>
        <v/>
      </c>
      <c r="AC788" s="243" t="str">
        <f>Shares!D788</f>
        <v/>
      </c>
      <c r="AD788" s="243">
        <f>IF($Z788="",0,Shares!E788)</f>
        <v>0</v>
      </c>
      <c r="AE788" s="266">
        <f>IF($Z788="",0,Shares!J788*Shares!I788)</f>
        <v>0</v>
      </c>
      <c r="AF788" s="267">
        <f t="shared" si="55"/>
        <v>0</v>
      </c>
      <c r="AG788" s="266">
        <f>IF($Z788="",0,Shares!L788)</f>
        <v>0</v>
      </c>
      <c r="AH788" s="267">
        <f>IF($Z788="",0,Shares!M788)</f>
        <v>0</v>
      </c>
      <c r="AI788" s="243" t="str">
        <f>IF($Z788="","",RANK(AE788,$AE$2:$AE$1001)+COUNTIF($AE$2:AE788,AE788)-1)</f>
        <v/>
      </c>
      <c r="AJ788" s="243" t="str">
        <f>IF($AD788&lt;0,COUNT($AJ$1:AJ787)+1,"")</f>
        <v/>
      </c>
      <c r="AL788" s="243" t="str">
        <f>'All Ticker P&amp;L'!A788</f>
        <v/>
      </c>
      <c r="AM788" s="243" t="str">
        <f>'All Ticker P&amp;L'!B788</f>
        <v/>
      </c>
      <c r="AN788" s="243" t="str">
        <f>'All Ticker P&amp;L'!C788</f>
        <v/>
      </c>
      <c r="AO788" s="243" t="str">
        <f>'All Ticker P&amp;L'!D788</f>
        <v/>
      </c>
      <c r="AP788" s="243">
        <f>IF($AL788="",0,'All Ticker P&amp;L'!E788)</f>
        <v>0</v>
      </c>
      <c r="AQ788" s="266">
        <f>IF($AL788="",0,'All Ticker P&amp;L'!J788*'All Ticker P&amp;L'!I788)</f>
        <v>0</v>
      </c>
      <c r="AR788" s="266">
        <f>IF($AL788="",0,'All Ticker P&amp;L'!L788)</f>
        <v>0</v>
      </c>
      <c r="AS788" s="267">
        <f>IF($AL788="",0,'All Ticker P&amp;L'!M788)</f>
        <v>0</v>
      </c>
      <c r="AT788" s="243" t="str">
        <f>IF($AL788="","",RANK(AR788,$AR$2:$AR$1001)+COUNTIF($AR$2:AR788,AR788)-1)</f>
        <v/>
      </c>
      <c r="AU788" s="243" t="str">
        <f>IF($AL788="","",RANK(AV788,$AV$2:$AV$1001)+COUNTIF($AV$2:AV788,AV788)-1)</f>
        <v/>
      </c>
      <c r="AV788" s="266">
        <f t="shared" si="56"/>
        <v>0</v>
      </c>
    </row>
    <row r="789" spans="26:48" ht="15" customHeight="1" x14ac:dyDescent="0.2">
      <c r="Z789" s="243" t="str">
        <f>Shares!A789</f>
        <v/>
      </c>
      <c r="AA789" s="243" t="str">
        <f>Shares!B789</f>
        <v/>
      </c>
      <c r="AB789" s="243" t="str">
        <f>Shares!C789</f>
        <v/>
      </c>
      <c r="AC789" s="243" t="str">
        <f>Shares!D789</f>
        <v/>
      </c>
      <c r="AD789" s="243">
        <f>IF($Z789="",0,Shares!E789)</f>
        <v>0</v>
      </c>
      <c r="AE789" s="266">
        <f>IF($Z789="",0,Shares!J789*Shares!I789)</f>
        <v>0</v>
      </c>
      <c r="AF789" s="267">
        <f t="shared" si="55"/>
        <v>0</v>
      </c>
      <c r="AG789" s="266">
        <f>IF($Z789="",0,Shares!L789)</f>
        <v>0</v>
      </c>
      <c r="AH789" s="267">
        <f>IF($Z789="",0,Shares!M789)</f>
        <v>0</v>
      </c>
      <c r="AI789" s="243" t="str">
        <f>IF($Z789="","",RANK(AE789,$AE$2:$AE$1001)+COUNTIF($AE$2:AE789,AE789)-1)</f>
        <v/>
      </c>
      <c r="AJ789" s="243" t="str">
        <f>IF($AD789&lt;0,COUNT($AJ$1:AJ788)+1,"")</f>
        <v/>
      </c>
      <c r="AL789" s="243" t="str">
        <f>'All Ticker P&amp;L'!A789</f>
        <v/>
      </c>
      <c r="AM789" s="243" t="str">
        <f>'All Ticker P&amp;L'!B789</f>
        <v/>
      </c>
      <c r="AN789" s="243" t="str">
        <f>'All Ticker P&amp;L'!C789</f>
        <v/>
      </c>
      <c r="AO789" s="243" t="str">
        <f>'All Ticker P&amp;L'!D789</f>
        <v/>
      </c>
      <c r="AP789" s="243">
        <f>IF($AL789="",0,'All Ticker P&amp;L'!E789)</f>
        <v>0</v>
      </c>
      <c r="AQ789" s="266">
        <f>IF($AL789="",0,'All Ticker P&amp;L'!J789*'All Ticker P&amp;L'!I789)</f>
        <v>0</v>
      </c>
      <c r="AR789" s="266">
        <f>IF($AL789="",0,'All Ticker P&amp;L'!L789)</f>
        <v>0</v>
      </c>
      <c r="AS789" s="267">
        <f>IF($AL789="",0,'All Ticker P&amp;L'!M789)</f>
        <v>0</v>
      </c>
      <c r="AT789" s="243" t="str">
        <f>IF($AL789="","",RANK(AR789,$AR$2:$AR$1001)+COUNTIF($AR$2:AR789,AR789)-1)</f>
        <v/>
      </c>
      <c r="AU789" s="243" t="str">
        <f>IF($AL789="","",RANK(AV789,$AV$2:$AV$1001)+COUNTIF($AV$2:AV789,AV789)-1)</f>
        <v/>
      </c>
      <c r="AV789" s="266">
        <f t="shared" si="56"/>
        <v>0</v>
      </c>
    </row>
    <row r="790" spans="26:48" ht="15" customHeight="1" x14ac:dyDescent="0.2">
      <c r="Z790" s="243" t="str">
        <f>Shares!A790</f>
        <v/>
      </c>
      <c r="AA790" s="243" t="str">
        <f>Shares!B790</f>
        <v/>
      </c>
      <c r="AB790" s="243" t="str">
        <f>Shares!C790</f>
        <v/>
      </c>
      <c r="AC790" s="243" t="str">
        <f>Shares!D790</f>
        <v/>
      </c>
      <c r="AD790" s="243">
        <f>IF($Z790="",0,Shares!E790)</f>
        <v>0</v>
      </c>
      <c r="AE790" s="266">
        <f>IF($Z790="",0,Shares!J790*Shares!I790)</f>
        <v>0</v>
      </c>
      <c r="AF790" s="267">
        <f t="shared" si="55"/>
        <v>0</v>
      </c>
      <c r="AG790" s="266">
        <f>IF($Z790="",0,Shares!L790)</f>
        <v>0</v>
      </c>
      <c r="AH790" s="267">
        <f>IF($Z790="",0,Shares!M790)</f>
        <v>0</v>
      </c>
      <c r="AI790" s="243" t="str">
        <f>IF($Z790="","",RANK(AE790,$AE$2:$AE$1001)+COUNTIF($AE$2:AE790,AE790)-1)</f>
        <v/>
      </c>
      <c r="AJ790" s="243" t="str">
        <f>IF($AD790&lt;0,COUNT($AJ$1:AJ789)+1,"")</f>
        <v/>
      </c>
      <c r="AL790" s="243" t="str">
        <f>'All Ticker P&amp;L'!A790</f>
        <v/>
      </c>
      <c r="AM790" s="243" t="str">
        <f>'All Ticker P&amp;L'!B790</f>
        <v/>
      </c>
      <c r="AN790" s="243" t="str">
        <f>'All Ticker P&amp;L'!C790</f>
        <v/>
      </c>
      <c r="AO790" s="243" t="str">
        <f>'All Ticker P&amp;L'!D790</f>
        <v/>
      </c>
      <c r="AP790" s="243">
        <f>IF($AL790="",0,'All Ticker P&amp;L'!E790)</f>
        <v>0</v>
      </c>
      <c r="AQ790" s="266">
        <f>IF($AL790="",0,'All Ticker P&amp;L'!J790*'All Ticker P&amp;L'!I790)</f>
        <v>0</v>
      </c>
      <c r="AR790" s="266">
        <f>IF($AL790="",0,'All Ticker P&amp;L'!L790)</f>
        <v>0</v>
      </c>
      <c r="AS790" s="267">
        <f>IF($AL790="",0,'All Ticker P&amp;L'!M790)</f>
        <v>0</v>
      </c>
      <c r="AT790" s="243" t="str">
        <f>IF($AL790="","",RANK(AR790,$AR$2:$AR$1001)+COUNTIF($AR$2:AR790,AR790)-1)</f>
        <v/>
      </c>
      <c r="AU790" s="243" t="str">
        <f>IF($AL790="","",RANK(AV790,$AV$2:$AV$1001)+COUNTIF($AV$2:AV790,AV790)-1)</f>
        <v/>
      </c>
      <c r="AV790" s="266">
        <f t="shared" si="56"/>
        <v>0</v>
      </c>
    </row>
    <row r="791" spans="26:48" ht="15" customHeight="1" x14ac:dyDescent="0.2">
      <c r="Z791" s="243" t="str">
        <f>Shares!A791</f>
        <v/>
      </c>
      <c r="AA791" s="243" t="str">
        <f>Shares!B791</f>
        <v/>
      </c>
      <c r="AB791" s="243" t="str">
        <f>Shares!C791</f>
        <v/>
      </c>
      <c r="AC791" s="243" t="str">
        <f>Shares!D791</f>
        <v/>
      </c>
      <c r="AD791" s="243">
        <f>IF($Z791="",0,Shares!E791)</f>
        <v>0</v>
      </c>
      <c r="AE791" s="266">
        <f>IF($Z791="",0,Shares!J791*Shares!I791)</f>
        <v>0</v>
      </c>
      <c r="AF791" s="267">
        <f t="shared" si="55"/>
        <v>0</v>
      </c>
      <c r="AG791" s="266">
        <f>IF($Z791="",0,Shares!L791)</f>
        <v>0</v>
      </c>
      <c r="AH791" s="267">
        <f>IF($Z791="",0,Shares!M791)</f>
        <v>0</v>
      </c>
      <c r="AI791" s="243" t="str">
        <f>IF($Z791="","",RANK(AE791,$AE$2:$AE$1001)+COUNTIF($AE$2:AE791,AE791)-1)</f>
        <v/>
      </c>
      <c r="AJ791" s="243" t="str">
        <f>IF($AD791&lt;0,COUNT($AJ$1:AJ790)+1,"")</f>
        <v/>
      </c>
      <c r="AL791" s="243" t="str">
        <f>'All Ticker P&amp;L'!A791</f>
        <v/>
      </c>
      <c r="AM791" s="243" t="str">
        <f>'All Ticker P&amp;L'!B791</f>
        <v/>
      </c>
      <c r="AN791" s="243" t="str">
        <f>'All Ticker P&amp;L'!C791</f>
        <v/>
      </c>
      <c r="AO791" s="243" t="str">
        <f>'All Ticker P&amp;L'!D791</f>
        <v/>
      </c>
      <c r="AP791" s="243">
        <f>IF($AL791="",0,'All Ticker P&amp;L'!E791)</f>
        <v>0</v>
      </c>
      <c r="AQ791" s="266">
        <f>IF($AL791="",0,'All Ticker P&amp;L'!J791*'All Ticker P&amp;L'!I791)</f>
        <v>0</v>
      </c>
      <c r="AR791" s="266">
        <f>IF($AL791="",0,'All Ticker P&amp;L'!L791)</f>
        <v>0</v>
      </c>
      <c r="AS791" s="267">
        <f>IF($AL791="",0,'All Ticker P&amp;L'!M791)</f>
        <v>0</v>
      </c>
      <c r="AT791" s="243" t="str">
        <f>IF($AL791="","",RANK(AR791,$AR$2:$AR$1001)+COUNTIF($AR$2:AR791,AR791)-1)</f>
        <v/>
      </c>
      <c r="AU791" s="243" t="str">
        <f>IF($AL791="","",RANK(AV791,$AV$2:$AV$1001)+COUNTIF($AV$2:AV791,AV791)-1)</f>
        <v/>
      </c>
      <c r="AV791" s="266">
        <f t="shared" si="56"/>
        <v>0</v>
      </c>
    </row>
    <row r="792" spans="26:48" ht="15" customHeight="1" x14ac:dyDescent="0.2">
      <c r="Z792" s="243" t="str">
        <f>Shares!A792</f>
        <v/>
      </c>
      <c r="AA792" s="243" t="str">
        <f>Shares!B792</f>
        <v/>
      </c>
      <c r="AB792" s="243" t="str">
        <f>Shares!C792</f>
        <v/>
      </c>
      <c r="AC792" s="243" t="str">
        <f>Shares!D792</f>
        <v/>
      </c>
      <c r="AD792" s="243">
        <f>IF($Z792="",0,Shares!E792)</f>
        <v>0</v>
      </c>
      <c r="AE792" s="266">
        <f>IF($Z792="",0,Shares!J792*Shares!I792)</f>
        <v>0</v>
      </c>
      <c r="AF792" s="267">
        <f t="shared" si="55"/>
        <v>0</v>
      </c>
      <c r="AG792" s="266">
        <f>IF($Z792="",0,Shares!L792)</f>
        <v>0</v>
      </c>
      <c r="AH792" s="267">
        <f>IF($Z792="",0,Shares!M792)</f>
        <v>0</v>
      </c>
      <c r="AI792" s="243" t="str">
        <f>IF($Z792="","",RANK(AE792,$AE$2:$AE$1001)+COUNTIF($AE$2:AE792,AE792)-1)</f>
        <v/>
      </c>
      <c r="AJ792" s="243" t="str">
        <f>IF($AD792&lt;0,COUNT($AJ$1:AJ791)+1,"")</f>
        <v/>
      </c>
      <c r="AL792" s="243" t="str">
        <f>'All Ticker P&amp;L'!A792</f>
        <v/>
      </c>
      <c r="AM792" s="243" t="str">
        <f>'All Ticker P&amp;L'!B792</f>
        <v/>
      </c>
      <c r="AN792" s="243" t="str">
        <f>'All Ticker P&amp;L'!C792</f>
        <v/>
      </c>
      <c r="AO792" s="243" t="str">
        <f>'All Ticker P&amp;L'!D792</f>
        <v/>
      </c>
      <c r="AP792" s="243">
        <f>IF($AL792="",0,'All Ticker P&amp;L'!E792)</f>
        <v>0</v>
      </c>
      <c r="AQ792" s="266">
        <f>IF($AL792="",0,'All Ticker P&amp;L'!J792*'All Ticker P&amp;L'!I792)</f>
        <v>0</v>
      </c>
      <c r="AR792" s="266">
        <f>IF($AL792="",0,'All Ticker P&amp;L'!L792)</f>
        <v>0</v>
      </c>
      <c r="AS792" s="267">
        <f>IF($AL792="",0,'All Ticker P&amp;L'!M792)</f>
        <v>0</v>
      </c>
      <c r="AT792" s="243" t="str">
        <f>IF($AL792="","",RANK(AR792,$AR$2:$AR$1001)+COUNTIF($AR$2:AR792,AR792)-1)</f>
        <v/>
      </c>
      <c r="AU792" s="243" t="str">
        <f>IF($AL792="","",RANK(AV792,$AV$2:$AV$1001)+COUNTIF($AV$2:AV792,AV792)-1)</f>
        <v/>
      </c>
      <c r="AV792" s="266">
        <f t="shared" si="56"/>
        <v>0</v>
      </c>
    </row>
    <row r="793" spans="26:48" ht="15" customHeight="1" x14ac:dyDescent="0.2">
      <c r="Z793" s="243" t="str">
        <f>Shares!A793</f>
        <v/>
      </c>
      <c r="AA793" s="243" t="str">
        <f>Shares!B793</f>
        <v/>
      </c>
      <c r="AB793" s="243" t="str">
        <f>Shares!C793</f>
        <v/>
      </c>
      <c r="AC793" s="243" t="str">
        <f>Shares!D793</f>
        <v/>
      </c>
      <c r="AD793" s="243">
        <f>IF($Z793="",0,Shares!E793)</f>
        <v>0</v>
      </c>
      <c r="AE793" s="266">
        <f>IF($Z793="",0,Shares!J793*Shares!I793)</f>
        <v>0</v>
      </c>
      <c r="AF793" s="267">
        <f t="shared" si="55"/>
        <v>0</v>
      </c>
      <c r="AG793" s="266">
        <f>IF($Z793="",0,Shares!L793)</f>
        <v>0</v>
      </c>
      <c r="AH793" s="267">
        <f>IF($Z793="",0,Shares!M793)</f>
        <v>0</v>
      </c>
      <c r="AI793" s="243" t="str">
        <f>IF($Z793="","",RANK(AE793,$AE$2:$AE$1001)+COUNTIF($AE$2:AE793,AE793)-1)</f>
        <v/>
      </c>
      <c r="AJ793" s="243" t="str">
        <f>IF($AD793&lt;0,COUNT($AJ$1:AJ792)+1,"")</f>
        <v/>
      </c>
      <c r="AL793" s="243" t="str">
        <f>'All Ticker P&amp;L'!A793</f>
        <v/>
      </c>
      <c r="AM793" s="243" t="str">
        <f>'All Ticker P&amp;L'!B793</f>
        <v/>
      </c>
      <c r="AN793" s="243" t="str">
        <f>'All Ticker P&amp;L'!C793</f>
        <v/>
      </c>
      <c r="AO793" s="243" t="str">
        <f>'All Ticker P&amp;L'!D793</f>
        <v/>
      </c>
      <c r="AP793" s="243">
        <f>IF($AL793="",0,'All Ticker P&amp;L'!E793)</f>
        <v>0</v>
      </c>
      <c r="AQ793" s="266">
        <f>IF($AL793="",0,'All Ticker P&amp;L'!J793*'All Ticker P&amp;L'!I793)</f>
        <v>0</v>
      </c>
      <c r="AR793" s="266">
        <f>IF($AL793="",0,'All Ticker P&amp;L'!L793)</f>
        <v>0</v>
      </c>
      <c r="AS793" s="267">
        <f>IF($AL793="",0,'All Ticker P&amp;L'!M793)</f>
        <v>0</v>
      </c>
      <c r="AT793" s="243" t="str">
        <f>IF($AL793="","",RANK(AR793,$AR$2:$AR$1001)+COUNTIF($AR$2:AR793,AR793)-1)</f>
        <v/>
      </c>
      <c r="AU793" s="243" t="str">
        <f>IF($AL793="","",RANK(AV793,$AV$2:$AV$1001)+COUNTIF($AV$2:AV793,AV793)-1)</f>
        <v/>
      </c>
      <c r="AV793" s="266">
        <f t="shared" si="56"/>
        <v>0</v>
      </c>
    </row>
    <row r="794" spans="26:48" ht="15" customHeight="1" x14ac:dyDescent="0.2">
      <c r="Z794" s="243" t="str">
        <f>Shares!A794</f>
        <v/>
      </c>
      <c r="AA794" s="243" t="str">
        <f>Shares!B794</f>
        <v/>
      </c>
      <c r="AB794" s="243" t="str">
        <f>Shares!C794</f>
        <v/>
      </c>
      <c r="AC794" s="243" t="str">
        <f>Shares!D794</f>
        <v/>
      </c>
      <c r="AD794" s="243">
        <f>IF($Z794="",0,Shares!E794)</f>
        <v>0</v>
      </c>
      <c r="AE794" s="266">
        <f>IF($Z794="",0,Shares!J794*Shares!I794)</f>
        <v>0</v>
      </c>
      <c r="AF794" s="267">
        <f t="shared" si="55"/>
        <v>0</v>
      </c>
      <c r="AG794" s="266">
        <f>IF($Z794="",0,Shares!L794)</f>
        <v>0</v>
      </c>
      <c r="AH794" s="267">
        <f>IF($Z794="",0,Shares!M794)</f>
        <v>0</v>
      </c>
      <c r="AI794" s="243" t="str">
        <f>IF($Z794="","",RANK(AE794,$AE$2:$AE$1001)+COUNTIF($AE$2:AE794,AE794)-1)</f>
        <v/>
      </c>
      <c r="AJ794" s="243" t="str">
        <f>IF($AD794&lt;0,COUNT($AJ$1:AJ793)+1,"")</f>
        <v/>
      </c>
      <c r="AL794" s="243" t="str">
        <f>'All Ticker P&amp;L'!A794</f>
        <v/>
      </c>
      <c r="AM794" s="243" t="str">
        <f>'All Ticker P&amp;L'!B794</f>
        <v/>
      </c>
      <c r="AN794" s="243" t="str">
        <f>'All Ticker P&amp;L'!C794</f>
        <v/>
      </c>
      <c r="AO794" s="243" t="str">
        <f>'All Ticker P&amp;L'!D794</f>
        <v/>
      </c>
      <c r="AP794" s="243">
        <f>IF($AL794="",0,'All Ticker P&amp;L'!E794)</f>
        <v>0</v>
      </c>
      <c r="AQ794" s="266">
        <f>IF($AL794="",0,'All Ticker P&amp;L'!J794*'All Ticker P&amp;L'!I794)</f>
        <v>0</v>
      </c>
      <c r="AR794" s="266">
        <f>IF($AL794="",0,'All Ticker P&amp;L'!L794)</f>
        <v>0</v>
      </c>
      <c r="AS794" s="267">
        <f>IF($AL794="",0,'All Ticker P&amp;L'!M794)</f>
        <v>0</v>
      </c>
      <c r="AT794" s="243" t="str">
        <f>IF($AL794="","",RANK(AR794,$AR$2:$AR$1001)+COUNTIF($AR$2:AR794,AR794)-1)</f>
        <v/>
      </c>
      <c r="AU794" s="243" t="str">
        <f>IF($AL794="","",RANK(AV794,$AV$2:$AV$1001)+COUNTIF($AV$2:AV794,AV794)-1)</f>
        <v/>
      </c>
      <c r="AV794" s="266">
        <f t="shared" si="56"/>
        <v>0</v>
      </c>
    </row>
    <row r="795" spans="26:48" ht="15" customHeight="1" x14ac:dyDescent="0.2">
      <c r="Z795" s="243" t="str">
        <f>Shares!A795</f>
        <v/>
      </c>
      <c r="AA795" s="243" t="str">
        <f>Shares!B795</f>
        <v/>
      </c>
      <c r="AB795" s="243" t="str">
        <f>Shares!C795</f>
        <v/>
      </c>
      <c r="AC795" s="243" t="str">
        <f>Shares!D795</f>
        <v/>
      </c>
      <c r="AD795" s="243">
        <f>IF($Z795="",0,Shares!E795)</f>
        <v>0</v>
      </c>
      <c r="AE795" s="266">
        <f>IF($Z795="",0,Shares!J795*Shares!I795)</f>
        <v>0</v>
      </c>
      <c r="AF795" s="267">
        <f t="shared" si="55"/>
        <v>0</v>
      </c>
      <c r="AG795" s="266">
        <f>IF($Z795="",0,Shares!L795)</f>
        <v>0</v>
      </c>
      <c r="AH795" s="267">
        <f>IF($Z795="",0,Shares!M795)</f>
        <v>0</v>
      </c>
      <c r="AI795" s="243" t="str">
        <f>IF($Z795="","",RANK(AE795,$AE$2:$AE$1001)+COUNTIF($AE$2:AE795,AE795)-1)</f>
        <v/>
      </c>
      <c r="AJ795" s="243" t="str">
        <f>IF($AD795&lt;0,COUNT($AJ$1:AJ794)+1,"")</f>
        <v/>
      </c>
      <c r="AL795" s="243" t="str">
        <f>'All Ticker P&amp;L'!A795</f>
        <v/>
      </c>
      <c r="AM795" s="243" t="str">
        <f>'All Ticker P&amp;L'!B795</f>
        <v/>
      </c>
      <c r="AN795" s="243" t="str">
        <f>'All Ticker P&amp;L'!C795</f>
        <v/>
      </c>
      <c r="AO795" s="243" t="str">
        <f>'All Ticker P&amp;L'!D795</f>
        <v/>
      </c>
      <c r="AP795" s="243">
        <f>IF($AL795="",0,'All Ticker P&amp;L'!E795)</f>
        <v>0</v>
      </c>
      <c r="AQ795" s="266">
        <f>IF($AL795="",0,'All Ticker P&amp;L'!J795*'All Ticker P&amp;L'!I795)</f>
        <v>0</v>
      </c>
      <c r="AR795" s="266">
        <f>IF($AL795="",0,'All Ticker P&amp;L'!L795)</f>
        <v>0</v>
      </c>
      <c r="AS795" s="267">
        <f>IF($AL795="",0,'All Ticker P&amp;L'!M795)</f>
        <v>0</v>
      </c>
      <c r="AT795" s="243" t="str">
        <f>IF($AL795="","",RANK(AR795,$AR$2:$AR$1001)+COUNTIF($AR$2:AR795,AR795)-1)</f>
        <v/>
      </c>
      <c r="AU795" s="243" t="str">
        <f>IF($AL795="","",RANK(AV795,$AV$2:$AV$1001)+COUNTIF($AV$2:AV795,AV795)-1)</f>
        <v/>
      </c>
      <c r="AV795" s="266">
        <f t="shared" si="56"/>
        <v>0</v>
      </c>
    </row>
    <row r="796" spans="26:48" ht="15" customHeight="1" x14ac:dyDescent="0.2">
      <c r="Z796" s="243" t="str">
        <f>Shares!A796</f>
        <v/>
      </c>
      <c r="AA796" s="243" t="str">
        <f>Shares!B796</f>
        <v/>
      </c>
      <c r="AB796" s="243" t="str">
        <f>Shares!C796</f>
        <v/>
      </c>
      <c r="AC796" s="243" t="str">
        <f>Shares!D796</f>
        <v/>
      </c>
      <c r="AD796" s="243">
        <f>IF($Z796="",0,Shares!E796)</f>
        <v>0</v>
      </c>
      <c r="AE796" s="266">
        <f>IF($Z796="",0,Shares!J796*Shares!I796)</f>
        <v>0</v>
      </c>
      <c r="AF796" s="267">
        <f t="shared" si="55"/>
        <v>0</v>
      </c>
      <c r="AG796" s="266">
        <f>IF($Z796="",0,Shares!L796)</f>
        <v>0</v>
      </c>
      <c r="AH796" s="267">
        <f>IF($Z796="",0,Shares!M796)</f>
        <v>0</v>
      </c>
      <c r="AI796" s="243" t="str">
        <f>IF($Z796="","",RANK(AE796,$AE$2:$AE$1001)+COUNTIF($AE$2:AE796,AE796)-1)</f>
        <v/>
      </c>
      <c r="AJ796" s="243" t="str">
        <f>IF($AD796&lt;0,COUNT($AJ$1:AJ795)+1,"")</f>
        <v/>
      </c>
      <c r="AL796" s="243" t="str">
        <f>'All Ticker P&amp;L'!A796</f>
        <v/>
      </c>
      <c r="AM796" s="243" t="str">
        <f>'All Ticker P&amp;L'!B796</f>
        <v/>
      </c>
      <c r="AN796" s="243" t="str">
        <f>'All Ticker P&amp;L'!C796</f>
        <v/>
      </c>
      <c r="AO796" s="243" t="str">
        <f>'All Ticker P&amp;L'!D796</f>
        <v/>
      </c>
      <c r="AP796" s="243">
        <f>IF($AL796="",0,'All Ticker P&amp;L'!E796)</f>
        <v>0</v>
      </c>
      <c r="AQ796" s="266">
        <f>IF($AL796="",0,'All Ticker P&amp;L'!J796*'All Ticker P&amp;L'!I796)</f>
        <v>0</v>
      </c>
      <c r="AR796" s="266">
        <f>IF($AL796="",0,'All Ticker P&amp;L'!L796)</f>
        <v>0</v>
      </c>
      <c r="AS796" s="267">
        <f>IF($AL796="",0,'All Ticker P&amp;L'!M796)</f>
        <v>0</v>
      </c>
      <c r="AT796" s="243" t="str">
        <f>IF($AL796="","",RANK(AR796,$AR$2:$AR$1001)+COUNTIF($AR$2:AR796,AR796)-1)</f>
        <v/>
      </c>
      <c r="AU796" s="243" t="str">
        <f>IF($AL796="","",RANK(AV796,$AV$2:$AV$1001)+COUNTIF($AV$2:AV796,AV796)-1)</f>
        <v/>
      </c>
      <c r="AV796" s="266">
        <f t="shared" si="56"/>
        <v>0</v>
      </c>
    </row>
    <row r="797" spans="26:48" ht="15" customHeight="1" x14ac:dyDescent="0.2">
      <c r="Z797" s="243" t="str">
        <f>Shares!A797</f>
        <v/>
      </c>
      <c r="AA797" s="243" t="str">
        <f>Shares!B797</f>
        <v/>
      </c>
      <c r="AB797" s="243" t="str">
        <f>Shares!C797</f>
        <v/>
      </c>
      <c r="AC797" s="243" t="str">
        <f>Shares!D797</f>
        <v/>
      </c>
      <c r="AD797" s="243">
        <f>IF($Z797="",0,Shares!E797)</f>
        <v>0</v>
      </c>
      <c r="AE797" s="266">
        <f>IF($Z797="",0,Shares!J797*Shares!I797)</f>
        <v>0</v>
      </c>
      <c r="AF797" s="267">
        <f t="shared" si="55"/>
        <v>0</v>
      </c>
      <c r="AG797" s="266">
        <f>IF($Z797="",0,Shares!L797)</f>
        <v>0</v>
      </c>
      <c r="AH797" s="267">
        <f>IF($Z797="",0,Shares!M797)</f>
        <v>0</v>
      </c>
      <c r="AI797" s="243" t="str">
        <f>IF($Z797="","",RANK(AE797,$AE$2:$AE$1001)+COUNTIF($AE$2:AE797,AE797)-1)</f>
        <v/>
      </c>
      <c r="AJ797" s="243" t="str">
        <f>IF($AD797&lt;0,COUNT($AJ$1:AJ796)+1,"")</f>
        <v/>
      </c>
      <c r="AL797" s="243" t="str">
        <f>'All Ticker P&amp;L'!A797</f>
        <v/>
      </c>
      <c r="AM797" s="243" t="str">
        <f>'All Ticker P&amp;L'!B797</f>
        <v/>
      </c>
      <c r="AN797" s="243" t="str">
        <f>'All Ticker P&amp;L'!C797</f>
        <v/>
      </c>
      <c r="AO797" s="243" t="str">
        <f>'All Ticker P&amp;L'!D797</f>
        <v/>
      </c>
      <c r="AP797" s="243">
        <f>IF($AL797="",0,'All Ticker P&amp;L'!E797)</f>
        <v>0</v>
      </c>
      <c r="AQ797" s="266">
        <f>IF($AL797="",0,'All Ticker P&amp;L'!J797*'All Ticker P&amp;L'!I797)</f>
        <v>0</v>
      </c>
      <c r="AR797" s="266">
        <f>IF($AL797="",0,'All Ticker P&amp;L'!L797)</f>
        <v>0</v>
      </c>
      <c r="AS797" s="267">
        <f>IF($AL797="",0,'All Ticker P&amp;L'!M797)</f>
        <v>0</v>
      </c>
      <c r="AT797" s="243" t="str">
        <f>IF($AL797="","",RANK(AR797,$AR$2:$AR$1001)+COUNTIF($AR$2:AR797,AR797)-1)</f>
        <v/>
      </c>
      <c r="AU797" s="243" t="str">
        <f>IF($AL797="","",RANK(AV797,$AV$2:$AV$1001)+COUNTIF($AV$2:AV797,AV797)-1)</f>
        <v/>
      </c>
      <c r="AV797" s="266">
        <f t="shared" si="56"/>
        <v>0</v>
      </c>
    </row>
    <row r="798" spans="26:48" ht="15" customHeight="1" x14ac:dyDescent="0.2">
      <c r="Z798" s="243" t="str">
        <f>Shares!A798</f>
        <v/>
      </c>
      <c r="AA798" s="243" t="str">
        <f>Shares!B798</f>
        <v/>
      </c>
      <c r="AB798" s="243" t="str">
        <f>Shares!C798</f>
        <v/>
      </c>
      <c r="AC798" s="243" t="str">
        <f>Shares!D798</f>
        <v/>
      </c>
      <c r="AD798" s="243">
        <f>IF($Z798="",0,Shares!E798)</f>
        <v>0</v>
      </c>
      <c r="AE798" s="266">
        <f>IF($Z798="",0,Shares!J798*Shares!I798)</f>
        <v>0</v>
      </c>
      <c r="AF798" s="267">
        <f t="shared" si="55"/>
        <v>0</v>
      </c>
      <c r="AG798" s="266">
        <f>IF($Z798="",0,Shares!L798)</f>
        <v>0</v>
      </c>
      <c r="AH798" s="267">
        <f>IF($Z798="",0,Shares!M798)</f>
        <v>0</v>
      </c>
      <c r="AI798" s="243" t="str">
        <f>IF($Z798="","",RANK(AE798,$AE$2:$AE$1001)+COUNTIF($AE$2:AE798,AE798)-1)</f>
        <v/>
      </c>
      <c r="AJ798" s="243" t="str">
        <f>IF($AD798&lt;0,COUNT($AJ$1:AJ797)+1,"")</f>
        <v/>
      </c>
      <c r="AL798" s="243" t="str">
        <f>'All Ticker P&amp;L'!A798</f>
        <v/>
      </c>
      <c r="AM798" s="243" t="str">
        <f>'All Ticker P&amp;L'!B798</f>
        <v/>
      </c>
      <c r="AN798" s="243" t="str">
        <f>'All Ticker P&amp;L'!C798</f>
        <v/>
      </c>
      <c r="AO798" s="243" t="str">
        <f>'All Ticker P&amp;L'!D798</f>
        <v/>
      </c>
      <c r="AP798" s="243">
        <f>IF($AL798="",0,'All Ticker P&amp;L'!E798)</f>
        <v>0</v>
      </c>
      <c r="AQ798" s="266">
        <f>IF($AL798="",0,'All Ticker P&amp;L'!J798*'All Ticker P&amp;L'!I798)</f>
        <v>0</v>
      </c>
      <c r="AR798" s="266">
        <f>IF($AL798="",0,'All Ticker P&amp;L'!L798)</f>
        <v>0</v>
      </c>
      <c r="AS798" s="267">
        <f>IF($AL798="",0,'All Ticker P&amp;L'!M798)</f>
        <v>0</v>
      </c>
      <c r="AT798" s="243" t="str">
        <f>IF($AL798="","",RANK(AR798,$AR$2:$AR$1001)+COUNTIF($AR$2:AR798,AR798)-1)</f>
        <v/>
      </c>
      <c r="AU798" s="243" t="str">
        <f>IF($AL798="","",RANK(AV798,$AV$2:$AV$1001)+COUNTIF($AV$2:AV798,AV798)-1)</f>
        <v/>
      </c>
      <c r="AV798" s="266">
        <f t="shared" si="56"/>
        <v>0</v>
      </c>
    </row>
    <row r="799" spans="26:48" ht="15" customHeight="1" x14ac:dyDescent="0.2">
      <c r="Z799" s="243" t="str">
        <f>Shares!A799</f>
        <v/>
      </c>
      <c r="AA799" s="243" t="str">
        <f>Shares!B799</f>
        <v/>
      </c>
      <c r="AB799" s="243" t="str">
        <f>Shares!C799</f>
        <v/>
      </c>
      <c r="AC799" s="243" t="str">
        <f>Shares!D799</f>
        <v/>
      </c>
      <c r="AD799" s="243">
        <f>IF($Z799="",0,Shares!E799)</f>
        <v>0</v>
      </c>
      <c r="AE799" s="266">
        <f>IF($Z799="",0,Shares!J799*Shares!I799)</f>
        <v>0</v>
      </c>
      <c r="AF799" s="267">
        <f t="shared" si="55"/>
        <v>0</v>
      </c>
      <c r="AG799" s="266">
        <f>IF($Z799="",0,Shares!L799)</f>
        <v>0</v>
      </c>
      <c r="AH799" s="267">
        <f>IF($Z799="",0,Shares!M799)</f>
        <v>0</v>
      </c>
      <c r="AI799" s="243" t="str">
        <f>IF($Z799="","",RANK(AE799,$AE$2:$AE$1001)+COUNTIF($AE$2:AE799,AE799)-1)</f>
        <v/>
      </c>
      <c r="AJ799" s="243" t="str">
        <f>IF($AD799&lt;0,COUNT($AJ$1:AJ798)+1,"")</f>
        <v/>
      </c>
      <c r="AL799" s="243" t="str">
        <f>'All Ticker P&amp;L'!A799</f>
        <v/>
      </c>
      <c r="AM799" s="243" t="str">
        <f>'All Ticker P&amp;L'!B799</f>
        <v/>
      </c>
      <c r="AN799" s="243" t="str">
        <f>'All Ticker P&amp;L'!C799</f>
        <v/>
      </c>
      <c r="AO799" s="243" t="str">
        <f>'All Ticker P&amp;L'!D799</f>
        <v/>
      </c>
      <c r="AP799" s="243">
        <f>IF($AL799="",0,'All Ticker P&amp;L'!E799)</f>
        <v>0</v>
      </c>
      <c r="AQ799" s="266">
        <f>IF($AL799="",0,'All Ticker P&amp;L'!J799*'All Ticker P&amp;L'!I799)</f>
        <v>0</v>
      </c>
      <c r="AR799" s="266">
        <f>IF($AL799="",0,'All Ticker P&amp;L'!L799)</f>
        <v>0</v>
      </c>
      <c r="AS799" s="267">
        <f>IF($AL799="",0,'All Ticker P&amp;L'!M799)</f>
        <v>0</v>
      </c>
      <c r="AT799" s="243" t="str">
        <f>IF($AL799="","",RANK(AR799,$AR$2:$AR$1001)+COUNTIF($AR$2:AR799,AR799)-1)</f>
        <v/>
      </c>
      <c r="AU799" s="243" t="str">
        <f>IF($AL799="","",RANK(AV799,$AV$2:$AV$1001)+COUNTIF($AV$2:AV799,AV799)-1)</f>
        <v/>
      </c>
      <c r="AV799" s="266">
        <f t="shared" si="56"/>
        <v>0</v>
      </c>
    </row>
    <row r="800" spans="26:48" ht="15" customHeight="1" x14ac:dyDescent="0.2">
      <c r="Z800" s="243" t="str">
        <f>Shares!A800</f>
        <v/>
      </c>
      <c r="AA800" s="243" t="str">
        <f>Shares!B800</f>
        <v/>
      </c>
      <c r="AB800" s="243" t="str">
        <f>Shares!C800</f>
        <v/>
      </c>
      <c r="AC800" s="243" t="str">
        <f>Shares!D800</f>
        <v/>
      </c>
      <c r="AD800" s="243">
        <f>IF($Z800="",0,Shares!E800)</f>
        <v>0</v>
      </c>
      <c r="AE800" s="266">
        <f>IF($Z800="",0,Shares!J800*Shares!I800)</f>
        <v>0</v>
      </c>
      <c r="AF800" s="267">
        <f t="shared" si="55"/>
        <v>0</v>
      </c>
      <c r="AG800" s="266">
        <f>IF($Z800="",0,Shares!L800)</f>
        <v>0</v>
      </c>
      <c r="AH800" s="267">
        <f>IF($Z800="",0,Shares!M800)</f>
        <v>0</v>
      </c>
      <c r="AI800" s="243" t="str">
        <f>IF($Z800="","",RANK(AE800,$AE$2:$AE$1001)+COUNTIF($AE$2:AE800,AE800)-1)</f>
        <v/>
      </c>
      <c r="AJ800" s="243" t="str">
        <f>IF($AD800&lt;0,COUNT($AJ$1:AJ799)+1,"")</f>
        <v/>
      </c>
      <c r="AL800" s="243" t="str">
        <f>'All Ticker P&amp;L'!A800</f>
        <v/>
      </c>
      <c r="AM800" s="243" t="str">
        <f>'All Ticker P&amp;L'!B800</f>
        <v/>
      </c>
      <c r="AN800" s="243" t="str">
        <f>'All Ticker P&amp;L'!C800</f>
        <v/>
      </c>
      <c r="AO800" s="243" t="str">
        <f>'All Ticker P&amp;L'!D800</f>
        <v/>
      </c>
      <c r="AP800" s="243">
        <f>IF($AL800="",0,'All Ticker P&amp;L'!E800)</f>
        <v>0</v>
      </c>
      <c r="AQ800" s="266">
        <f>IF($AL800="",0,'All Ticker P&amp;L'!J800*'All Ticker P&amp;L'!I800)</f>
        <v>0</v>
      </c>
      <c r="AR800" s="266">
        <f>IF($AL800="",0,'All Ticker P&amp;L'!L800)</f>
        <v>0</v>
      </c>
      <c r="AS800" s="267">
        <f>IF($AL800="",0,'All Ticker P&amp;L'!M800)</f>
        <v>0</v>
      </c>
      <c r="AT800" s="243" t="str">
        <f>IF($AL800="","",RANK(AR800,$AR$2:$AR$1001)+COUNTIF($AR$2:AR800,AR800)-1)</f>
        <v/>
      </c>
      <c r="AU800" s="243" t="str">
        <f>IF($AL800="","",RANK(AV800,$AV$2:$AV$1001)+COUNTIF($AV$2:AV800,AV800)-1)</f>
        <v/>
      </c>
      <c r="AV800" s="266">
        <f t="shared" si="56"/>
        <v>0</v>
      </c>
    </row>
    <row r="801" spans="26:48" ht="15" customHeight="1" x14ac:dyDescent="0.2">
      <c r="Z801" s="243" t="str">
        <f>Shares!A801</f>
        <v/>
      </c>
      <c r="AA801" s="243" t="str">
        <f>Shares!B801</f>
        <v/>
      </c>
      <c r="AB801" s="243" t="str">
        <f>Shares!C801</f>
        <v/>
      </c>
      <c r="AC801" s="243" t="str">
        <f>Shares!D801</f>
        <v/>
      </c>
      <c r="AD801" s="243">
        <f>IF($Z801="",0,Shares!E801)</f>
        <v>0</v>
      </c>
      <c r="AE801" s="266">
        <f>IF($Z801="",0,Shares!J801*Shares!I801)</f>
        <v>0</v>
      </c>
      <c r="AF801" s="267">
        <f t="shared" si="55"/>
        <v>0</v>
      </c>
      <c r="AG801" s="266">
        <f>IF($Z801="",0,Shares!L801)</f>
        <v>0</v>
      </c>
      <c r="AH801" s="267">
        <f>IF($Z801="",0,Shares!M801)</f>
        <v>0</v>
      </c>
      <c r="AI801" s="243" t="str">
        <f>IF($Z801="","",RANK(AE801,$AE$2:$AE$1001)+COUNTIF($AE$2:AE801,AE801)-1)</f>
        <v/>
      </c>
      <c r="AJ801" s="243" t="str">
        <f>IF($AD801&lt;0,COUNT($AJ$1:AJ800)+1,"")</f>
        <v/>
      </c>
      <c r="AL801" s="243" t="str">
        <f>'All Ticker P&amp;L'!A801</f>
        <v/>
      </c>
      <c r="AM801" s="243" t="str">
        <f>'All Ticker P&amp;L'!B801</f>
        <v/>
      </c>
      <c r="AN801" s="243" t="str">
        <f>'All Ticker P&amp;L'!C801</f>
        <v/>
      </c>
      <c r="AO801" s="243" t="str">
        <f>'All Ticker P&amp;L'!D801</f>
        <v/>
      </c>
      <c r="AP801" s="243">
        <f>IF($AL801="",0,'All Ticker P&amp;L'!E801)</f>
        <v>0</v>
      </c>
      <c r="AQ801" s="266">
        <f>IF($AL801="",0,'All Ticker P&amp;L'!J801*'All Ticker P&amp;L'!I801)</f>
        <v>0</v>
      </c>
      <c r="AR801" s="266">
        <f>IF($AL801="",0,'All Ticker P&amp;L'!L801)</f>
        <v>0</v>
      </c>
      <c r="AS801" s="267">
        <f>IF($AL801="",0,'All Ticker P&amp;L'!M801)</f>
        <v>0</v>
      </c>
      <c r="AT801" s="243" t="str">
        <f>IF($AL801="","",RANK(AR801,$AR$2:$AR$1001)+COUNTIF($AR$2:AR801,AR801)-1)</f>
        <v/>
      </c>
      <c r="AU801" s="243" t="str">
        <f>IF($AL801="","",RANK(AV801,$AV$2:$AV$1001)+COUNTIF($AV$2:AV801,AV801)-1)</f>
        <v/>
      </c>
      <c r="AV801" s="266">
        <f t="shared" si="56"/>
        <v>0</v>
      </c>
    </row>
    <row r="802" spans="26:48" ht="15" customHeight="1" x14ac:dyDescent="0.2">
      <c r="Z802" s="243" t="str">
        <f>Shares!A802</f>
        <v/>
      </c>
      <c r="AA802" s="243" t="str">
        <f>Shares!B802</f>
        <v/>
      </c>
      <c r="AB802" s="243" t="str">
        <f>Shares!C802</f>
        <v/>
      </c>
      <c r="AC802" s="243" t="str">
        <f>Shares!D802</f>
        <v/>
      </c>
      <c r="AD802" s="243">
        <f>IF($Z802="",0,Shares!E802)</f>
        <v>0</v>
      </c>
      <c r="AE802" s="266">
        <f>IF($Z802="",0,Shares!J802*Shares!I802)</f>
        <v>0</v>
      </c>
      <c r="AF802" s="267">
        <f t="shared" si="55"/>
        <v>0</v>
      </c>
      <c r="AG802" s="266">
        <f>IF($Z802="",0,Shares!L802)</f>
        <v>0</v>
      </c>
      <c r="AH802" s="267">
        <f>IF($Z802="",0,Shares!M802)</f>
        <v>0</v>
      </c>
      <c r="AI802" s="243" t="str">
        <f>IF($Z802="","",RANK(AE802,$AE$2:$AE$1001)+COUNTIF($AE$2:AE802,AE802)-1)</f>
        <v/>
      </c>
      <c r="AJ802" s="243" t="str">
        <f>IF($AD802&lt;0,COUNT($AJ$1:AJ801)+1,"")</f>
        <v/>
      </c>
      <c r="AL802" s="243" t="str">
        <f>'All Ticker P&amp;L'!A802</f>
        <v/>
      </c>
      <c r="AM802" s="243" t="str">
        <f>'All Ticker P&amp;L'!B802</f>
        <v/>
      </c>
      <c r="AN802" s="243" t="str">
        <f>'All Ticker P&amp;L'!C802</f>
        <v/>
      </c>
      <c r="AO802" s="243" t="str">
        <f>'All Ticker P&amp;L'!D802</f>
        <v/>
      </c>
      <c r="AP802" s="243">
        <f>IF($AL802="",0,'All Ticker P&amp;L'!E802)</f>
        <v>0</v>
      </c>
      <c r="AQ802" s="266">
        <f>IF($AL802="",0,'All Ticker P&amp;L'!J802*'All Ticker P&amp;L'!I802)</f>
        <v>0</v>
      </c>
      <c r="AR802" s="266">
        <f>IF($AL802="",0,'All Ticker P&amp;L'!L802)</f>
        <v>0</v>
      </c>
      <c r="AS802" s="267">
        <f>IF($AL802="",0,'All Ticker P&amp;L'!M802)</f>
        <v>0</v>
      </c>
      <c r="AT802" s="243" t="str">
        <f>IF($AL802="","",RANK(AR802,$AR$2:$AR$1001)+COUNTIF($AR$2:AR802,AR802)-1)</f>
        <v/>
      </c>
      <c r="AU802" s="243" t="str">
        <f>IF($AL802="","",RANK(AV802,$AV$2:$AV$1001)+COUNTIF($AV$2:AV802,AV802)-1)</f>
        <v/>
      </c>
      <c r="AV802" s="266">
        <f t="shared" si="56"/>
        <v>0</v>
      </c>
    </row>
    <row r="803" spans="26:48" ht="15" customHeight="1" x14ac:dyDescent="0.2">
      <c r="Z803" s="243" t="str">
        <f>Shares!A803</f>
        <v/>
      </c>
      <c r="AA803" s="243" t="str">
        <f>Shares!B803</f>
        <v/>
      </c>
      <c r="AB803" s="243" t="str">
        <f>Shares!C803</f>
        <v/>
      </c>
      <c r="AC803" s="243" t="str">
        <f>Shares!D803</f>
        <v/>
      </c>
      <c r="AD803" s="243">
        <f>IF($Z803="",0,Shares!E803)</f>
        <v>0</v>
      </c>
      <c r="AE803" s="266">
        <f>IF($Z803="",0,Shares!J803*Shares!I803)</f>
        <v>0</v>
      </c>
      <c r="AF803" s="267">
        <f t="shared" si="55"/>
        <v>0</v>
      </c>
      <c r="AG803" s="266">
        <f>IF($Z803="",0,Shares!L803)</f>
        <v>0</v>
      </c>
      <c r="AH803" s="267">
        <f>IF($Z803="",0,Shares!M803)</f>
        <v>0</v>
      </c>
      <c r="AI803" s="243" t="str">
        <f>IF($Z803="","",RANK(AE803,$AE$2:$AE$1001)+COUNTIF($AE$2:AE803,AE803)-1)</f>
        <v/>
      </c>
      <c r="AJ803" s="243" t="str">
        <f>IF($AD803&lt;0,COUNT($AJ$1:AJ802)+1,"")</f>
        <v/>
      </c>
      <c r="AL803" s="243" t="str">
        <f>'All Ticker P&amp;L'!A803</f>
        <v/>
      </c>
      <c r="AM803" s="243" t="str">
        <f>'All Ticker P&amp;L'!B803</f>
        <v/>
      </c>
      <c r="AN803" s="243" t="str">
        <f>'All Ticker P&amp;L'!C803</f>
        <v/>
      </c>
      <c r="AO803" s="243" t="str">
        <f>'All Ticker P&amp;L'!D803</f>
        <v/>
      </c>
      <c r="AP803" s="243">
        <f>IF($AL803="",0,'All Ticker P&amp;L'!E803)</f>
        <v>0</v>
      </c>
      <c r="AQ803" s="266">
        <f>IF($AL803="",0,'All Ticker P&amp;L'!J803*'All Ticker P&amp;L'!I803)</f>
        <v>0</v>
      </c>
      <c r="AR803" s="266">
        <f>IF($AL803="",0,'All Ticker P&amp;L'!L803)</f>
        <v>0</v>
      </c>
      <c r="AS803" s="267">
        <f>IF($AL803="",0,'All Ticker P&amp;L'!M803)</f>
        <v>0</v>
      </c>
      <c r="AT803" s="243" t="str">
        <f>IF($AL803="","",RANK(AR803,$AR$2:$AR$1001)+COUNTIF($AR$2:AR803,AR803)-1)</f>
        <v/>
      </c>
      <c r="AU803" s="243" t="str">
        <f>IF($AL803="","",RANK(AV803,$AV$2:$AV$1001)+COUNTIF($AV$2:AV803,AV803)-1)</f>
        <v/>
      </c>
      <c r="AV803" s="266">
        <f t="shared" si="56"/>
        <v>0</v>
      </c>
    </row>
    <row r="804" spans="26:48" ht="15" customHeight="1" x14ac:dyDescent="0.2">
      <c r="Z804" s="243" t="str">
        <f>Shares!A804</f>
        <v/>
      </c>
      <c r="AA804" s="243" t="str">
        <f>Shares!B804</f>
        <v/>
      </c>
      <c r="AB804" s="243" t="str">
        <f>Shares!C804</f>
        <v/>
      </c>
      <c r="AC804" s="243" t="str">
        <f>Shares!D804</f>
        <v/>
      </c>
      <c r="AD804" s="243">
        <f>IF($Z804="",0,Shares!E804)</f>
        <v>0</v>
      </c>
      <c r="AE804" s="266">
        <f>IF($Z804="",0,Shares!J804*Shares!I804)</f>
        <v>0</v>
      </c>
      <c r="AF804" s="267">
        <f t="shared" si="55"/>
        <v>0</v>
      </c>
      <c r="AG804" s="266">
        <f>IF($Z804="",0,Shares!L804)</f>
        <v>0</v>
      </c>
      <c r="AH804" s="267">
        <f>IF($Z804="",0,Shares!M804)</f>
        <v>0</v>
      </c>
      <c r="AI804" s="243" t="str">
        <f>IF($Z804="","",RANK(AE804,$AE$2:$AE$1001)+COUNTIF($AE$2:AE804,AE804)-1)</f>
        <v/>
      </c>
      <c r="AJ804" s="243" t="str">
        <f>IF($AD804&lt;0,COUNT($AJ$1:AJ803)+1,"")</f>
        <v/>
      </c>
      <c r="AL804" s="243" t="str">
        <f>'All Ticker P&amp;L'!A804</f>
        <v/>
      </c>
      <c r="AM804" s="243" t="str">
        <f>'All Ticker P&amp;L'!B804</f>
        <v/>
      </c>
      <c r="AN804" s="243" t="str">
        <f>'All Ticker P&amp;L'!C804</f>
        <v/>
      </c>
      <c r="AO804" s="243" t="str">
        <f>'All Ticker P&amp;L'!D804</f>
        <v/>
      </c>
      <c r="AP804" s="243">
        <f>IF($AL804="",0,'All Ticker P&amp;L'!E804)</f>
        <v>0</v>
      </c>
      <c r="AQ804" s="266">
        <f>IF($AL804="",0,'All Ticker P&amp;L'!J804*'All Ticker P&amp;L'!I804)</f>
        <v>0</v>
      </c>
      <c r="AR804" s="266">
        <f>IF($AL804="",0,'All Ticker P&amp;L'!L804)</f>
        <v>0</v>
      </c>
      <c r="AS804" s="267">
        <f>IF($AL804="",0,'All Ticker P&amp;L'!M804)</f>
        <v>0</v>
      </c>
      <c r="AT804" s="243" t="str">
        <f>IF($AL804="","",RANK(AR804,$AR$2:$AR$1001)+COUNTIF($AR$2:AR804,AR804)-1)</f>
        <v/>
      </c>
      <c r="AU804" s="243" t="str">
        <f>IF($AL804="","",RANK(AV804,$AV$2:$AV$1001)+COUNTIF($AV$2:AV804,AV804)-1)</f>
        <v/>
      </c>
      <c r="AV804" s="266">
        <f t="shared" si="56"/>
        <v>0</v>
      </c>
    </row>
    <row r="805" spans="26:48" ht="15" customHeight="1" x14ac:dyDescent="0.2">
      <c r="Z805" s="243" t="str">
        <f>Shares!A805</f>
        <v/>
      </c>
      <c r="AA805" s="243" t="str">
        <f>Shares!B805</f>
        <v/>
      </c>
      <c r="AB805" s="243" t="str">
        <f>Shares!C805</f>
        <v/>
      </c>
      <c r="AC805" s="243" t="str">
        <f>Shares!D805</f>
        <v/>
      </c>
      <c r="AD805" s="243">
        <f>IF($Z805="",0,Shares!E805)</f>
        <v>0</v>
      </c>
      <c r="AE805" s="266">
        <f>IF($Z805="",0,Shares!J805*Shares!I805)</f>
        <v>0</v>
      </c>
      <c r="AF805" s="267">
        <f t="shared" si="55"/>
        <v>0</v>
      </c>
      <c r="AG805" s="266">
        <f>IF($Z805="",0,Shares!L805)</f>
        <v>0</v>
      </c>
      <c r="AH805" s="267">
        <f>IF($Z805="",0,Shares!M805)</f>
        <v>0</v>
      </c>
      <c r="AI805" s="243" t="str">
        <f>IF($Z805="","",RANK(AE805,$AE$2:$AE$1001)+COUNTIF($AE$2:AE805,AE805)-1)</f>
        <v/>
      </c>
      <c r="AJ805" s="243" t="str">
        <f>IF($AD805&lt;0,COUNT($AJ$1:AJ804)+1,"")</f>
        <v/>
      </c>
      <c r="AL805" s="243" t="str">
        <f>'All Ticker P&amp;L'!A805</f>
        <v/>
      </c>
      <c r="AM805" s="243" t="str">
        <f>'All Ticker P&amp;L'!B805</f>
        <v/>
      </c>
      <c r="AN805" s="243" t="str">
        <f>'All Ticker P&amp;L'!C805</f>
        <v/>
      </c>
      <c r="AO805" s="243" t="str">
        <f>'All Ticker P&amp;L'!D805</f>
        <v/>
      </c>
      <c r="AP805" s="243">
        <f>IF($AL805="",0,'All Ticker P&amp;L'!E805)</f>
        <v>0</v>
      </c>
      <c r="AQ805" s="266">
        <f>IF($AL805="",0,'All Ticker P&amp;L'!J805*'All Ticker P&amp;L'!I805)</f>
        <v>0</v>
      </c>
      <c r="AR805" s="266">
        <f>IF($AL805="",0,'All Ticker P&amp;L'!L805)</f>
        <v>0</v>
      </c>
      <c r="AS805" s="267">
        <f>IF($AL805="",0,'All Ticker P&amp;L'!M805)</f>
        <v>0</v>
      </c>
      <c r="AT805" s="243" t="str">
        <f>IF($AL805="","",RANK(AR805,$AR$2:$AR$1001)+COUNTIF($AR$2:AR805,AR805)-1)</f>
        <v/>
      </c>
      <c r="AU805" s="243" t="str">
        <f>IF($AL805="","",RANK(AV805,$AV$2:$AV$1001)+COUNTIF($AV$2:AV805,AV805)-1)</f>
        <v/>
      </c>
      <c r="AV805" s="266">
        <f t="shared" si="56"/>
        <v>0</v>
      </c>
    </row>
    <row r="806" spans="26:48" ht="15" customHeight="1" x14ac:dyDescent="0.2">
      <c r="Z806" s="243" t="str">
        <f>Shares!A806</f>
        <v/>
      </c>
      <c r="AA806" s="243" t="str">
        <f>Shares!B806</f>
        <v/>
      </c>
      <c r="AB806" s="243" t="str">
        <f>Shares!C806</f>
        <v/>
      </c>
      <c r="AC806" s="243" t="str">
        <f>Shares!D806</f>
        <v/>
      </c>
      <c r="AD806" s="243">
        <f>IF($Z806="",0,Shares!E806)</f>
        <v>0</v>
      </c>
      <c r="AE806" s="266">
        <f>IF($Z806="",0,Shares!J806*Shares!I806)</f>
        <v>0</v>
      </c>
      <c r="AF806" s="267">
        <f t="shared" si="55"/>
        <v>0</v>
      </c>
      <c r="AG806" s="266">
        <f>IF($Z806="",0,Shares!L806)</f>
        <v>0</v>
      </c>
      <c r="AH806" s="267">
        <f>IF($Z806="",0,Shares!M806)</f>
        <v>0</v>
      </c>
      <c r="AI806" s="243" t="str">
        <f>IF($Z806="","",RANK(AE806,$AE$2:$AE$1001)+COUNTIF($AE$2:AE806,AE806)-1)</f>
        <v/>
      </c>
      <c r="AJ806" s="243" t="str">
        <f>IF($AD806&lt;0,COUNT($AJ$1:AJ805)+1,"")</f>
        <v/>
      </c>
      <c r="AL806" s="243" t="str">
        <f>'All Ticker P&amp;L'!A806</f>
        <v/>
      </c>
      <c r="AM806" s="243" t="str">
        <f>'All Ticker P&amp;L'!B806</f>
        <v/>
      </c>
      <c r="AN806" s="243" t="str">
        <f>'All Ticker P&amp;L'!C806</f>
        <v/>
      </c>
      <c r="AO806" s="243" t="str">
        <f>'All Ticker P&amp;L'!D806</f>
        <v/>
      </c>
      <c r="AP806" s="243">
        <f>IF($AL806="",0,'All Ticker P&amp;L'!E806)</f>
        <v>0</v>
      </c>
      <c r="AQ806" s="266">
        <f>IF($AL806="",0,'All Ticker P&amp;L'!J806*'All Ticker P&amp;L'!I806)</f>
        <v>0</v>
      </c>
      <c r="AR806" s="266">
        <f>IF($AL806="",0,'All Ticker P&amp;L'!L806)</f>
        <v>0</v>
      </c>
      <c r="AS806" s="267">
        <f>IF($AL806="",0,'All Ticker P&amp;L'!M806)</f>
        <v>0</v>
      </c>
      <c r="AT806" s="243" t="str">
        <f>IF($AL806="","",RANK(AR806,$AR$2:$AR$1001)+COUNTIF($AR$2:AR806,AR806)-1)</f>
        <v/>
      </c>
      <c r="AU806" s="243" t="str">
        <f>IF($AL806="","",RANK(AV806,$AV$2:$AV$1001)+COUNTIF($AV$2:AV806,AV806)-1)</f>
        <v/>
      </c>
      <c r="AV806" s="266">
        <f t="shared" si="56"/>
        <v>0</v>
      </c>
    </row>
    <row r="807" spans="26:48" ht="15" customHeight="1" x14ac:dyDescent="0.2">
      <c r="Z807" s="243" t="str">
        <f>Shares!A807</f>
        <v/>
      </c>
      <c r="AA807" s="243" t="str">
        <f>Shares!B807</f>
        <v/>
      </c>
      <c r="AB807" s="243" t="str">
        <f>Shares!C807</f>
        <v/>
      </c>
      <c r="AC807" s="243" t="str">
        <f>Shares!D807</f>
        <v/>
      </c>
      <c r="AD807" s="243">
        <f>IF($Z807="",0,Shares!E807)</f>
        <v>0</v>
      </c>
      <c r="AE807" s="266">
        <f>IF($Z807="",0,Shares!J807*Shares!I807)</f>
        <v>0</v>
      </c>
      <c r="AF807" s="267">
        <f t="shared" si="55"/>
        <v>0</v>
      </c>
      <c r="AG807" s="266">
        <f>IF($Z807="",0,Shares!L807)</f>
        <v>0</v>
      </c>
      <c r="AH807" s="267">
        <f>IF($Z807="",0,Shares!M807)</f>
        <v>0</v>
      </c>
      <c r="AI807" s="243" t="str">
        <f>IF($Z807="","",RANK(AE807,$AE$2:$AE$1001)+COUNTIF($AE$2:AE807,AE807)-1)</f>
        <v/>
      </c>
      <c r="AJ807" s="243" t="str">
        <f>IF($AD807&lt;0,COUNT($AJ$1:AJ806)+1,"")</f>
        <v/>
      </c>
      <c r="AL807" s="243" t="str">
        <f>'All Ticker P&amp;L'!A807</f>
        <v/>
      </c>
      <c r="AM807" s="243" t="str">
        <f>'All Ticker P&amp;L'!B807</f>
        <v/>
      </c>
      <c r="AN807" s="243" t="str">
        <f>'All Ticker P&amp;L'!C807</f>
        <v/>
      </c>
      <c r="AO807" s="243" t="str">
        <f>'All Ticker P&amp;L'!D807</f>
        <v/>
      </c>
      <c r="AP807" s="243">
        <f>IF($AL807="",0,'All Ticker P&amp;L'!E807)</f>
        <v>0</v>
      </c>
      <c r="AQ807" s="266">
        <f>IF($AL807="",0,'All Ticker P&amp;L'!J807*'All Ticker P&amp;L'!I807)</f>
        <v>0</v>
      </c>
      <c r="AR807" s="266">
        <f>IF($AL807="",0,'All Ticker P&amp;L'!L807)</f>
        <v>0</v>
      </c>
      <c r="AS807" s="267">
        <f>IF($AL807="",0,'All Ticker P&amp;L'!M807)</f>
        <v>0</v>
      </c>
      <c r="AT807" s="243" t="str">
        <f>IF($AL807="","",RANK(AR807,$AR$2:$AR$1001)+COUNTIF($AR$2:AR807,AR807)-1)</f>
        <v/>
      </c>
      <c r="AU807" s="243" t="str">
        <f>IF($AL807="","",RANK(AV807,$AV$2:$AV$1001)+COUNTIF($AV$2:AV807,AV807)-1)</f>
        <v/>
      </c>
      <c r="AV807" s="266">
        <f t="shared" si="56"/>
        <v>0</v>
      </c>
    </row>
    <row r="808" spans="26:48" ht="15" customHeight="1" x14ac:dyDescent="0.2">
      <c r="Z808" s="243" t="str">
        <f>Shares!A808</f>
        <v/>
      </c>
      <c r="AA808" s="243" t="str">
        <f>Shares!B808</f>
        <v/>
      </c>
      <c r="AB808" s="243" t="str">
        <f>Shares!C808</f>
        <v/>
      </c>
      <c r="AC808" s="243" t="str">
        <f>Shares!D808</f>
        <v/>
      </c>
      <c r="AD808" s="243">
        <f>IF($Z808="",0,Shares!E808)</f>
        <v>0</v>
      </c>
      <c r="AE808" s="266">
        <f>IF($Z808="",0,Shares!J808*Shares!I808)</f>
        <v>0</v>
      </c>
      <c r="AF808" s="267">
        <f t="shared" si="55"/>
        <v>0</v>
      </c>
      <c r="AG808" s="266">
        <f>IF($Z808="",0,Shares!L808)</f>
        <v>0</v>
      </c>
      <c r="AH808" s="267">
        <f>IF($Z808="",0,Shares!M808)</f>
        <v>0</v>
      </c>
      <c r="AI808" s="243" t="str">
        <f>IF($Z808="","",RANK(AE808,$AE$2:$AE$1001)+COUNTIF($AE$2:AE808,AE808)-1)</f>
        <v/>
      </c>
      <c r="AJ808" s="243" t="str">
        <f>IF($AD808&lt;0,COUNT($AJ$1:AJ807)+1,"")</f>
        <v/>
      </c>
      <c r="AL808" s="243" t="str">
        <f>'All Ticker P&amp;L'!A808</f>
        <v/>
      </c>
      <c r="AM808" s="243" t="str">
        <f>'All Ticker P&amp;L'!B808</f>
        <v/>
      </c>
      <c r="AN808" s="243" t="str">
        <f>'All Ticker P&amp;L'!C808</f>
        <v/>
      </c>
      <c r="AO808" s="243" t="str">
        <f>'All Ticker P&amp;L'!D808</f>
        <v/>
      </c>
      <c r="AP808" s="243">
        <f>IF($AL808="",0,'All Ticker P&amp;L'!E808)</f>
        <v>0</v>
      </c>
      <c r="AQ808" s="266">
        <f>IF($AL808="",0,'All Ticker P&amp;L'!J808*'All Ticker P&amp;L'!I808)</f>
        <v>0</v>
      </c>
      <c r="AR808" s="266">
        <f>IF($AL808="",0,'All Ticker P&amp;L'!L808)</f>
        <v>0</v>
      </c>
      <c r="AS808" s="267">
        <f>IF($AL808="",0,'All Ticker P&amp;L'!M808)</f>
        <v>0</v>
      </c>
      <c r="AT808" s="243" t="str">
        <f>IF($AL808="","",RANK(AR808,$AR$2:$AR$1001)+COUNTIF($AR$2:AR808,AR808)-1)</f>
        <v/>
      </c>
      <c r="AU808" s="243" t="str">
        <f>IF($AL808="","",RANK(AV808,$AV$2:$AV$1001)+COUNTIF($AV$2:AV808,AV808)-1)</f>
        <v/>
      </c>
      <c r="AV808" s="266">
        <f t="shared" si="56"/>
        <v>0</v>
      </c>
    </row>
    <row r="809" spans="26:48" ht="15" customHeight="1" x14ac:dyDescent="0.2">
      <c r="Z809" s="243" t="str">
        <f>Shares!A809</f>
        <v/>
      </c>
      <c r="AA809" s="243" t="str">
        <f>Shares!B809</f>
        <v/>
      </c>
      <c r="AB809" s="243" t="str">
        <f>Shares!C809</f>
        <v/>
      </c>
      <c r="AC809" s="243" t="str">
        <f>Shares!D809</f>
        <v/>
      </c>
      <c r="AD809" s="243">
        <f>IF($Z809="",0,Shares!E809)</f>
        <v>0</v>
      </c>
      <c r="AE809" s="266">
        <f>IF($Z809="",0,Shares!J809*Shares!I809)</f>
        <v>0</v>
      </c>
      <c r="AF809" s="267">
        <f t="shared" si="55"/>
        <v>0</v>
      </c>
      <c r="AG809" s="266">
        <f>IF($Z809="",0,Shares!L809)</f>
        <v>0</v>
      </c>
      <c r="AH809" s="267">
        <f>IF($Z809="",0,Shares!M809)</f>
        <v>0</v>
      </c>
      <c r="AI809" s="243" t="str">
        <f>IF($Z809="","",RANK(AE809,$AE$2:$AE$1001)+COUNTIF($AE$2:AE809,AE809)-1)</f>
        <v/>
      </c>
      <c r="AJ809" s="243" t="str">
        <f>IF($AD809&lt;0,COUNT($AJ$1:AJ808)+1,"")</f>
        <v/>
      </c>
      <c r="AL809" s="243" t="str">
        <f>'All Ticker P&amp;L'!A809</f>
        <v/>
      </c>
      <c r="AM809" s="243" t="str">
        <f>'All Ticker P&amp;L'!B809</f>
        <v/>
      </c>
      <c r="AN809" s="243" t="str">
        <f>'All Ticker P&amp;L'!C809</f>
        <v/>
      </c>
      <c r="AO809" s="243" t="str">
        <f>'All Ticker P&amp;L'!D809</f>
        <v/>
      </c>
      <c r="AP809" s="243">
        <f>IF($AL809="",0,'All Ticker P&amp;L'!E809)</f>
        <v>0</v>
      </c>
      <c r="AQ809" s="266">
        <f>IF($AL809="",0,'All Ticker P&amp;L'!J809*'All Ticker P&amp;L'!I809)</f>
        <v>0</v>
      </c>
      <c r="AR809" s="266">
        <f>IF($AL809="",0,'All Ticker P&amp;L'!L809)</f>
        <v>0</v>
      </c>
      <c r="AS809" s="267">
        <f>IF($AL809="",0,'All Ticker P&amp;L'!M809)</f>
        <v>0</v>
      </c>
      <c r="AT809" s="243" t="str">
        <f>IF($AL809="","",RANK(AR809,$AR$2:$AR$1001)+COUNTIF($AR$2:AR809,AR809)-1)</f>
        <v/>
      </c>
      <c r="AU809" s="243" t="str">
        <f>IF($AL809="","",RANK(AV809,$AV$2:$AV$1001)+COUNTIF($AV$2:AV809,AV809)-1)</f>
        <v/>
      </c>
      <c r="AV809" s="266">
        <f t="shared" si="56"/>
        <v>0</v>
      </c>
    </row>
    <row r="810" spans="26:48" ht="15" customHeight="1" x14ac:dyDescent="0.2">
      <c r="Z810" s="243" t="str">
        <f>Shares!A810</f>
        <v/>
      </c>
      <c r="AA810" s="243" t="str">
        <f>Shares!B810</f>
        <v/>
      </c>
      <c r="AB810" s="243" t="str">
        <f>Shares!C810</f>
        <v/>
      </c>
      <c r="AC810" s="243" t="str">
        <f>Shares!D810</f>
        <v/>
      </c>
      <c r="AD810" s="243">
        <f>IF($Z810="",0,Shares!E810)</f>
        <v>0</v>
      </c>
      <c r="AE810" s="266">
        <f>IF($Z810="",0,Shares!J810*Shares!I810)</f>
        <v>0</v>
      </c>
      <c r="AF810" s="267">
        <f t="shared" si="55"/>
        <v>0</v>
      </c>
      <c r="AG810" s="266">
        <f>IF($Z810="",0,Shares!L810)</f>
        <v>0</v>
      </c>
      <c r="AH810" s="267">
        <f>IF($Z810="",0,Shares!M810)</f>
        <v>0</v>
      </c>
      <c r="AI810" s="243" t="str">
        <f>IF($Z810="","",RANK(AE810,$AE$2:$AE$1001)+COUNTIF($AE$2:AE810,AE810)-1)</f>
        <v/>
      </c>
      <c r="AJ810" s="243" t="str">
        <f>IF($AD810&lt;0,COUNT($AJ$1:AJ809)+1,"")</f>
        <v/>
      </c>
      <c r="AL810" s="243" t="str">
        <f>'All Ticker P&amp;L'!A810</f>
        <v/>
      </c>
      <c r="AM810" s="243" t="str">
        <f>'All Ticker P&amp;L'!B810</f>
        <v/>
      </c>
      <c r="AN810" s="243" t="str">
        <f>'All Ticker P&amp;L'!C810</f>
        <v/>
      </c>
      <c r="AO810" s="243" t="str">
        <f>'All Ticker P&amp;L'!D810</f>
        <v/>
      </c>
      <c r="AP810" s="243">
        <f>IF($AL810="",0,'All Ticker P&amp;L'!E810)</f>
        <v>0</v>
      </c>
      <c r="AQ810" s="266">
        <f>IF($AL810="",0,'All Ticker P&amp;L'!J810*'All Ticker P&amp;L'!I810)</f>
        <v>0</v>
      </c>
      <c r="AR810" s="266">
        <f>IF($AL810="",0,'All Ticker P&amp;L'!L810)</f>
        <v>0</v>
      </c>
      <c r="AS810" s="267">
        <f>IF($AL810="",0,'All Ticker P&amp;L'!M810)</f>
        <v>0</v>
      </c>
      <c r="AT810" s="243" t="str">
        <f>IF($AL810="","",RANK(AR810,$AR$2:$AR$1001)+COUNTIF($AR$2:AR810,AR810)-1)</f>
        <v/>
      </c>
      <c r="AU810" s="243" t="str">
        <f>IF($AL810="","",RANK(AV810,$AV$2:$AV$1001)+COUNTIF($AV$2:AV810,AV810)-1)</f>
        <v/>
      </c>
      <c r="AV810" s="266">
        <f t="shared" si="56"/>
        <v>0</v>
      </c>
    </row>
    <row r="811" spans="26:48" ht="15" customHeight="1" x14ac:dyDescent="0.2">
      <c r="Z811" s="243" t="str">
        <f>Shares!A811</f>
        <v/>
      </c>
      <c r="AA811" s="243" t="str">
        <f>Shares!B811</f>
        <v/>
      </c>
      <c r="AB811" s="243" t="str">
        <f>Shares!C811</f>
        <v/>
      </c>
      <c r="AC811" s="243" t="str">
        <f>Shares!D811</f>
        <v/>
      </c>
      <c r="AD811" s="243">
        <f>IF($Z811="",0,Shares!E811)</f>
        <v>0</v>
      </c>
      <c r="AE811" s="266">
        <f>IF($Z811="",0,Shares!J811*Shares!I811)</f>
        <v>0</v>
      </c>
      <c r="AF811" s="267">
        <f t="shared" si="55"/>
        <v>0</v>
      </c>
      <c r="AG811" s="266">
        <f>IF($Z811="",0,Shares!L811)</f>
        <v>0</v>
      </c>
      <c r="AH811" s="267">
        <f>IF($Z811="",0,Shares!M811)</f>
        <v>0</v>
      </c>
      <c r="AI811" s="243" t="str">
        <f>IF($Z811="","",RANK(AE811,$AE$2:$AE$1001)+COUNTIF($AE$2:AE811,AE811)-1)</f>
        <v/>
      </c>
      <c r="AJ811" s="243" t="str">
        <f>IF($AD811&lt;0,COUNT($AJ$1:AJ810)+1,"")</f>
        <v/>
      </c>
      <c r="AL811" s="243" t="str">
        <f>'All Ticker P&amp;L'!A811</f>
        <v/>
      </c>
      <c r="AM811" s="243" t="str">
        <f>'All Ticker P&amp;L'!B811</f>
        <v/>
      </c>
      <c r="AN811" s="243" t="str">
        <f>'All Ticker P&amp;L'!C811</f>
        <v/>
      </c>
      <c r="AO811" s="243" t="str">
        <f>'All Ticker P&amp;L'!D811</f>
        <v/>
      </c>
      <c r="AP811" s="243">
        <f>IF($AL811="",0,'All Ticker P&amp;L'!E811)</f>
        <v>0</v>
      </c>
      <c r="AQ811" s="266">
        <f>IF($AL811="",0,'All Ticker P&amp;L'!J811*'All Ticker P&amp;L'!I811)</f>
        <v>0</v>
      </c>
      <c r="AR811" s="266">
        <f>IF($AL811="",0,'All Ticker P&amp;L'!L811)</f>
        <v>0</v>
      </c>
      <c r="AS811" s="267">
        <f>IF($AL811="",0,'All Ticker P&amp;L'!M811)</f>
        <v>0</v>
      </c>
      <c r="AT811" s="243" t="str">
        <f>IF($AL811="","",RANK(AR811,$AR$2:$AR$1001)+COUNTIF($AR$2:AR811,AR811)-1)</f>
        <v/>
      </c>
      <c r="AU811" s="243" t="str">
        <f>IF($AL811="","",RANK(AV811,$AV$2:$AV$1001)+COUNTIF($AV$2:AV811,AV811)-1)</f>
        <v/>
      </c>
      <c r="AV811" s="266">
        <f t="shared" si="56"/>
        <v>0</v>
      </c>
    </row>
    <row r="812" spans="26:48" ht="15" customHeight="1" x14ac:dyDescent="0.2">
      <c r="Z812" s="243" t="str">
        <f>Shares!A812</f>
        <v/>
      </c>
      <c r="AA812" s="243" t="str">
        <f>Shares!B812</f>
        <v/>
      </c>
      <c r="AB812" s="243" t="str">
        <f>Shares!C812</f>
        <v/>
      </c>
      <c r="AC812" s="243" t="str">
        <f>Shares!D812</f>
        <v/>
      </c>
      <c r="AD812" s="243">
        <f>IF($Z812="",0,Shares!E812)</f>
        <v>0</v>
      </c>
      <c r="AE812" s="266">
        <f>IF($Z812="",0,Shares!J812*Shares!I812)</f>
        <v>0</v>
      </c>
      <c r="AF812" s="267">
        <f t="shared" si="55"/>
        <v>0</v>
      </c>
      <c r="AG812" s="266">
        <f>IF($Z812="",0,Shares!L812)</f>
        <v>0</v>
      </c>
      <c r="AH812" s="267">
        <f>IF($Z812="",0,Shares!M812)</f>
        <v>0</v>
      </c>
      <c r="AI812" s="243" t="str">
        <f>IF($Z812="","",RANK(AE812,$AE$2:$AE$1001)+COUNTIF($AE$2:AE812,AE812)-1)</f>
        <v/>
      </c>
      <c r="AJ812" s="243" t="str">
        <f>IF($AD812&lt;0,COUNT($AJ$1:AJ811)+1,"")</f>
        <v/>
      </c>
      <c r="AL812" s="243" t="str">
        <f>'All Ticker P&amp;L'!A812</f>
        <v/>
      </c>
      <c r="AM812" s="243" t="str">
        <f>'All Ticker P&amp;L'!B812</f>
        <v/>
      </c>
      <c r="AN812" s="243" t="str">
        <f>'All Ticker P&amp;L'!C812</f>
        <v/>
      </c>
      <c r="AO812" s="243" t="str">
        <f>'All Ticker P&amp;L'!D812</f>
        <v/>
      </c>
      <c r="AP812" s="243">
        <f>IF($AL812="",0,'All Ticker P&amp;L'!E812)</f>
        <v>0</v>
      </c>
      <c r="AQ812" s="266">
        <f>IF($AL812="",0,'All Ticker P&amp;L'!J812*'All Ticker P&amp;L'!I812)</f>
        <v>0</v>
      </c>
      <c r="AR812" s="266">
        <f>IF($AL812="",0,'All Ticker P&amp;L'!L812)</f>
        <v>0</v>
      </c>
      <c r="AS812" s="267">
        <f>IF($AL812="",0,'All Ticker P&amp;L'!M812)</f>
        <v>0</v>
      </c>
      <c r="AT812" s="243" t="str">
        <f>IF($AL812="","",RANK(AR812,$AR$2:$AR$1001)+COUNTIF($AR$2:AR812,AR812)-1)</f>
        <v/>
      </c>
      <c r="AU812" s="243" t="str">
        <f>IF($AL812="","",RANK(AV812,$AV$2:$AV$1001)+COUNTIF($AV$2:AV812,AV812)-1)</f>
        <v/>
      </c>
      <c r="AV812" s="266">
        <f t="shared" si="56"/>
        <v>0</v>
      </c>
    </row>
    <row r="813" spans="26:48" ht="15" customHeight="1" x14ac:dyDescent="0.2">
      <c r="Z813" s="243" t="str">
        <f>Shares!A813</f>
        <v/>
      </c>
      <c r="AA813" s="243" t="str">
        <f>Shares!B813</f>
        <v/>
      </c>
      <c r="AB813" s="243" t="str">
        <f>Shares!C813</f>
        <v/>
      </c>
      <c r="AC813" s="243" t="str">
        <f>Shares!D813</f>
        <v/>
      </c>
      <c r="AD813" s="243">
        <f>IF($Z813="",0,Shares!E813)</f>
        <v>0</v>
      </c>
      <c r="AE813" s="266">
        <f>IF($Z813="",0,Shares!J813*Shares!I813)</f>
        <v>0</v>
      </c>
      <c r="AF813" s="267">
        <f t="shared" si="55"/>
        <v>0</v>
      </c>
      <c r="AG813" s="266">
        <f>IF($Z813="",0,Shares!L813)</f>
        <v>0</v>
      </c>
      <c r="AH813" s="267">
        <f>IF($Z813="",0,Shares!M813)</f>
        <v>0</v>
      </c>
      <c r="AI813" s="243" t="str">
        <f>IF($Z813="","",RANK(AE813,$AE$2:$AE$1001)+COUNTIF($AE$2:AE813,AE813)-1)</f>
        <v/>
      </c>
      <c r="AJ813" s="243" t="str">
        <f>IF($AD813&lt;0,COUNT($AJ$1:AJ812)+1,"")</f>
        <v/>
      </c>
      <c r="AL813" s="243" t="str">
        <f>'All Ticker P&amp;L'!A813</f>
        <v/>
      </c>
      <c r="AM813" s="243" t="str">
        <f>'All Ticker P&amp;L'!B813</f>
        <v/>
      </c>
      <c r="AN813" s="243" t="str">
        <f>'All Ticker P&amp;L'!C813</f>
        <v/>
      </c>
      <c r="AO813" s="243" t="str">
        <f>'All Ticker P&amp;L'!D813</f>
        <v/>
      </c>
      <c r="AP813" s="243">
        <f>IF($AL813="",0,'All Ticker P&amp;L'!E813)</f>
        <v>0</v>
      </c>
      <c r="AQ813" s="266">
        <f>IF($AL813="",0,'All Ticker P&amp;L'!J813*'All Ticker P&amp;L'!I813)</f>
        <v>0</v>
      </c>
      <c r="AR813" s="266">
        <f>IF($AL813="",0,'All Ticker P&amp;L'!L813)</f>
        <v>0</v>
      </c>
      <c r="AS813" s="267">
        <f>IF($AL813="",0,'All Ticker P&amp;L'!M813)</f>
        <v>0</v>
      </c>
      <c r="AT813" s="243" t="str">
        <f>IF($AL813="","",RANK(AR813,$AR$2:$AR$1001)+COUNTIF($AR$2:AR813,AR813)-1)</f>
        <v/>
      </c>
      <c r="AU813" s="243" t="str">
        <f>IF($AL813="","",RANK(AV813,$AV$2:$AV$1001)+COUNTIF($AV$2:AV813,AV813)-1)</f>
        <v/>
      </c>
      <c r="AV813" s="266">
        <f t="shared" si="56"/>
        <v>0</v>
      </c>
    </row>
    <row r="814" spans="26:48" ht="15" customHeight="1" x14ac:dyDescent="0.2">
      <c r="Z814" s="243" t="str">
        <f>Shares!A814</f>
        <v/>
      </c>
      <c r="AA814" s="243" t="str">
        <f>Shares!B814</f>
        <v/>
      </c>
      <c r="AB814" s="243" t="str">
        <f>Shares!C814</f>
        <v/>
      </c>
      <c r="AC814" s="243" t="str">
        <f>Shares!D814</f>
        <v/>
      </c>
      <c r="AD814" s="243">
        <f>IF($Z814="",0,Shares!E814)</f>
        <v>0</v>
      </c>
      <c r="AE814" s="266">
        <f>IF($Z814="",0,Shares!J814*Shares!I814)</f>
        <v>0</v>
      </c>
      <c r="AF814" s="267">
        <f t="shared" si="55"/>
        <v>0</v>
      </c>
      <c r="AG814" s="266">
        <f>IF($Z814="",0,Shares!L814)</f>
        <v>0</v>
      </c>
      <c r="AH814" s="267">
        <f>IF($Z814="",0,Shares!M814)</f>
        <v>0</v>
      </c>
      <c r="AI814" s="243" t="str">
        <f>IF($Z814="","",RANK(AE814,$AE$2:$AE$1001)+COUNTIF($AE$2:AE814,AE814)-1)</f>
        <v/>
      </c>
      <c r="AJ814" s="243" t="str">
        <f>IF($AD814&lt;0,COUNT($AJ$1:AJ813)+1,"")</f>
        <v/>
      </c>
      <c r="AL814" s="243" t="str">
        <f>'All Ticker P&amp;L'!A814</f>
        <v/>
      </c>
      <c r="AM814" s="243" t="str">
        <f>'All Ticker P&amp;L'!B814</f>
        <v/>
      </c>
      <c r="AN814" s="243" t="str">
        <f>'All Ticker P&amp;L'!C814</f>
        <v/>
      </c>
      <c r="AO814" s="243" t="str">
        <f>'All Ticker P&amp;L'!D814</f>
        <v/>
      </c>
      <c r="AP814" s="243">
        <f>IF($AL814="",0,'All Ticker P&amp;L'!E814)</f>
        <v>0</v>
      </c>
      <c r="AQ814" s="266">
        <f>IF($AL814="",0,'All Ticker P&amp;L'!J814*'All Ticker P&amp;L'!I814)</f>
        <v>0</v>
      </c>
      <c r="AR814" s="266">
        <f>IF($AL814="",0,'All Ticker P&amp;L'!L814)</f>
        <v>0</v>
      </c>
      <c r="AS814" s="267">
        <f>IF($AL814="",0,'All Ticker P&amp;L'!M814)</f>
        <v>0</v>
      </c>
      <c r="AT814" s="243" t="str">
        <f>IF($AL814="","",RANK(AR814,$AR$2:$AR$1001)+COUNTIF($AR$2:AR814,AR814)-1)</f>
        <v/>
      </c>
      <c r="AU814" s="243" t="str">
        <f>IF($AL814="","",RANK(AV814,$AV$2:$AV$1001)+COUNTIF($AV$2:AV814,AV814)-1)</f>
        <v/>
      </c>
      <c r="AV814" s="266">
        <f t="shared" si="56"/>
        <v>0</v>
      </c>
    </row>
    <row r="815" spans="26:48" ht="15" customHeight="1" x14ac:dyDescent="0.2">
      <c r="Z815" s="243" t="str">
        <f>Shares!A815</f>
        <v/>
      </c>
      <c r="AA815" s="243" t="str">
        <f>Shares!B815</f>
        <v/>
      </c>
      <c r="AB815" s="243" t="str">
        <f>Shares!C815</f>
        <v/>
      </c>
      <c r="AC815" s="243" t="str">
        <f>Shares!D815</f>
        <v/>
      </c>
      <c r="AD815" s="243">
        <f>IF($Z815="",0,Shares!E815)</f>
        <v>0</v>
      </c>
      <c r="AE815" s="266">
        <f>IF($Z815="",0,Shares!J815*Shares!I815)</f>
        <v>0</v>
      </c>
      <c r="AF815" s="267">
        <f t="shared" si="55"/>
        <v>0</v>
      </c>
      <c r="AG815" s="266">
        <f>IF($Z815="",0,Shares!L815)</f>
        <v>0</v>
      </c>
      <c r="AH815" s="267">
        <f>IF($Z815="",0,Shares!M815)</f>
        <v>0</v>
      </c>
      <c r="AI815" s="243" t="str">
        <f>IF($Z815="","",RANK(AE815,$AE$2:$AE$1001)+COUNTIF($AE$2:AE815,AE815)-1)</f>
        <v/>
      </c>
      <c r="AJ815" s="243" t="str">
        <f>IF($AD815&lt;0,COUNT($AJ$1:AJ814)+1,"")</f>
        <v/>
      </c>
      <c r="AL815" s="243" t="str">
        <f>'All Ticker P&amp;L'!A815</f>
        <v/>
      </c>
      <c r="AM815" s="243" t="str">
        <f>'All Ticker P&amp;L'!B815</f>
        <v/>
      </c>
      <c r="AN815" s="243" t="str">
        <f>'All Ticker P&amp;L'!C815</f>
        <v/>
      </c>
      <c r="AO815" s="243" t="str">
        <f>'All Ticker P&amp;L'!D815</f>
        <v/>
      </c>
      <c r="AP815" s="243">
        <f>IF($AL815="",0,'All Ticker P&amp;L'!E815)</f>
        <v>0</v>
      </c>
      <c r="AQ815" s="266">
        <f>IF($AL815="",0,'All Ticker P&amp;L'!J815*'All Ticker P&amp;L'!I815)</f>
        <v>0</v>
      </c>
      <c r="AR815" s="266">
        <f>IF($AL815="",0,'All Ticker P&amp;L'!L815)</f>
        <v>0</v>
      </c>
      <c r="AS815" s="267">
        <f>IF($AL815="",0,'All Ticker P&amp;L'!M815)</f>
        <v>0</v>
      </c>
      <c r="AT815" s="243" t="str">
        <f>IF($AL815="","",RANK(AR815,$AR$2:$AR$1001)+COUNTIF($AR$2:AR815,AR815)-1)</f>
        <v/>
      </c>
      <c r="AU815" s="243" t="str">
        <f>IF($AL815="","",RANK(AV815,$AV$2:$AV$1001)+COUNTIF($AV$2:AV815,AV815)-1)</f>
        <v/>
      </c>
      <c r="AV815" s="266">
        <f t="shared" si="56"/>
        <v>0</v>
      </c>
    </row>
    <row r="816" spans="26:48" ht="15" customHeight="1" x14ac:dyDescent="0.2">
      <c r="Z816" s="243" t="str">
        <f>Shares!A816</f>
        <v/>
      </c>
      <c r="AA816" s="243" t="str">
        <f>Shares!B816</f>
        <v/>
      </c>
      <c r="AB816" s="243" t="str">
        <f>Shares!C816</f>
        <v/>
      </c>
      <c r="AC816" s="243" t="str">
        <f>Shares!D816</f>
        <v/>
      </c>
      <c r="AD816" s="243">
        <f>IF($Z816="",0,Shares!E816)</f>
        <v>0</v>
      </c>
      <c r="AE816" s="266">
        <f>IF($Z816="",0,Shares!J816*Shares!I816)</f>
        <v>0</v>
      </c>
      <c r="AF816" s="267">
        <f t="shared" si="55"/>
        <v>0</v>
      </c>
      <c r="AG816" s="266">
        <f>IF($Z816="",0,Shares!L816)</f>
        <v>0</v>
      </c>
      <c r="AH816" s="267">
        <f>IF($Z816="",0,Shares!M816)</f>
        <v>0</v>
      </c>
      <c r="AI816" s="243" t="str">
        <f>IF($Z816="","",RANK(AE816,$AE$2:$AE$1001)+COUNTIF($AE$2:AE816,AE816)-1)</f>
        <v/>
      </c>
      <c r="AJ816" s="243" t="str">
        <f>IF($AD816&lt;0,COUNT($AJ$1:AJ815)+1,"")</f>
        <v/>
      </c>
      <c r="AL816" s="243" t="str">
        <f>'All Ticker P&amp;L'!A816</f>
        <v/>
      </c>
      <c r="AM816" s="243" t="str">
        <f>'All Ticker P&amp;L'!B816</f>
        <v/>
      </c>
      <c r="AN816" s="243" t="str">
        <f>'All Ticker P&amp;L'!C816</f>
        <v/>
      </c>
      <c r="AO816" s="243" t="str">
        <f>'All Ticker P&amp;L'!D816</f>
        <v/>
      </c>
      <c r="AP816" s="243">
        <f>IF($AL816="",0,'All Ticker P&amp;L'!E816)</f>
        <v>0</v>
      </c>
      <c r="AQ816" s="266">
        <f>IF($AL816="",0,'All Ticker P&amp;L'!J816*'All Ticker P&amp;L'!I816)</f>
        <v>0</v>
      </c>
      <c r="AR816" s="266">
        <f>IF($AL816="",0,'All Ticker P&amp;L'!L816)</f>
        <v>0</v>
      </c>
      <c r="AS816" s="267">
        <f>IF($AL816="",0,'All Ticker P&amp;L'!M816)</f>
        <v>0</v>
      </c>
      <c r="AT816" s="243" t="str">
        <f>IF($AL816="","",RANK(AR816,$AR$2:$AR$1001)+COUNTIF($AR$2:AR816,AR816)-1)</f>
        <v/>
      </c>
      <c r="AU816" s="243" t="str">
        <f>IF($AL816="","",RANK(AV816,$AV$2:$AV$1001)+COUNTIF($AV$2:AV816,AV816)-1)</f>
        <v/>
      </c>
      <c r="AV816" s="266">
        <f t="shared" si="56"/>
        <v>0</v>
      </c>
    </row>
    <row r="817" spans="26:48" ht="15" customHeight="1" x14ac:dyDescent="0.2">
      <c r="Z817" s="243" t="str">
        <f>Shares!A817</f>
        <v/>
      </c>
      <c r="AA817" s="243" t="str">
        <f>Shares!B817</f>
        <v/>
      </c>
      <c r="AB817" s="243" t="str">
        <f>Shares!C817</f>
        <v/>
      </c>
      <c r="AC817" s="243" t="str">
        <f>Shares!D817</f>
        <v/>
      </c>
      <c r="AD817" s="243">
        <f>IF($Z817="",0,Shares!E817)</f>
        <v>0</v>
      </c>
      <c r="AE817" s="266">
        <f>IF($Z817="",0,Shares!J817*Shares!I817)</f>
        <v>0</v>
      </c>
      <c r="AF817" s="267">
        <f t="shared" si="55"/>
        <v>0</v>
      </c>
      <c r="AG817" s="266">
        <f>IF($Z817="",0,Shares!L817)</f>
        <v>0</v>
      </c>
      <c r="AH817" s="267">
        <f>IF($Z817="",0,Shares!M817)</f>
        <v>0</v>
      </c>
      <c r="AI817" s="243" t="str">
        <f>IF($Z817="","",RANK(AE817,$AE$2:$AE$1001)+COUNTIF($AE$2:AE817,AE817)-1)</f>
        <v/>
      </c>
      <c r="AJ817" s="243" t="str">
        <f>IF($AD817&lt;0,COUNT($AJ$1:AJ816)+1,"")</f>
        <v/>
      </c>
      <c r="AL817" s="243" t="str">
        <f>'All Ticker P&amp;L'!A817</f>
        <v/>
      </c>
      <c r="AM817" s="243" t="str">
        <f>'All Ticker P&amp;L'!B817</f>
        <v/>
      </c>
      <c r="AN817" s="243" t="str">
        <f>'All Ticker P&amp;L'!C817</f>
        <v/>
      </c>
      <c r="AO817" s="243" t="str">
        <f>'All Ticker P&amp;L'!D817</f>
        <v/>
      </c>
      <c r="AP817" s="243">
        <f>IF($AL817="",0,'All Ticker P&amp;L'!E817)</f>
        <v>0</v>
      </c>
      <c r="AQ817" s="266">
        <f>IF($AL817="",0,'All Ticker P&amp;L'!J817*'All Ticker P&amp;L'!I817)</f>
        <v>0</v>
      </c>
      <c r="AR817" s="266">
        <f>IF($AL817="",0,'All Ticker P&amp;L'!L817)</f>
        <v>0</v>
      </c>
      <c r="AS817" s="267">
        <f>IF($AL817="",0,'All Ticker P&amp;L'!M817)</f>
        <v>0</v>
      </c>
      <c r="AT817" s="243" t="str">
        <f>IF($AL817="","",RANK(AR817,$AR$2:$AR$1001)+COUNTIF($AR$2:AR817,AR817)-1)</f>
        <v/>
      </c>
      <c r="AU817" s="243" t="str">
        <f>IF($AL817="","",RANK(AV817,$AV$2:$AV$1001)+COUNTIF($AV$2:AV817,AV817)-1)</f>
        <v/>
      </c>
      <c r="AV817" s="266">
        <f t="shared" si="56"/>
        <v>0</v>
      </c>
    </row>
    <row r="818" spans="26:48" ht="15" customHeight="1" x14ac:dyDescent="0.2">
      <c r="Z818" s="243" t="str">
        <f>Shares!A818</f>
        <v/>
      </c>
      <c r="AA818" s="243" t="str">
        <f>Shares!B818</f>
        <v/>
      </c>
      <c r="AB818" s="243" t="str">
        <f>Shares!C818</f>
        <v/>
      </c>
      <c r="AC818" s="243" t="str">
        <f>Shares!D818</f>
        <v/>
      </c>
      <c r="AD818" s="243">
        <f>IF($Z818="",0,Shares!E818)</f>
        <v>0</v>
      </c>
      <c r="AE818" s="266">
        <f>IF($Z818="",0,Shares!J818*Shares!I818)</f>
        <v>0</v>
      </c>
      <c r="AF818" s="267">
        <f t="shared" si="55"/>
        <v>0</v>
      </c>
      <c r="AG818" s="266">
        <f>IF($Z818="",0,Shares!L818)</f>
        <v>0</v>
      </c>
      <c r="AH818" s="267">
        <f>IF($Z818="",0,Shares!M818)</f>
        <v>0</v>
      </c>
      <c r="AI818" s="243" t="str">
        <f>IF($Z818="","",RANK(AE818,$AE$2:$AE$1001)+COUNTIF($AE$2:AE818,AE818)-1)</f>
        <v/>
      </c>
      <c r="AJ818" s="243" t="str">
        <f>IF($AD818&lt;0,COUNT($AJ$1:AJ817)+1,"")</f>
        <v/>
      </c>
      <c r="AL818" s="243" t="str">
        <f>'All Ticker P&amp;L'!A818</f>
        <v/>
      </c>
      <c r="AM818" s="243" t="str">
        <f>'All Ticker P&amp;L'!B818</f>
        <v/>
      </c>
      <c r="AN818" s="243" t="str">
        <f>'All Ticker P&amp;L'!C818</f>
        <v/>
      </c>
      <c r="AO818" s="243" t="str">
        <f>'All Ticker P&amp;L'!D818</f>
        <v/>
      </c>
      <c r="AP818" s="243">
        <f>IF($AL818="",0,'All Ticker P&amp;L'!E818)</f>
        <v>0</v>
      </c>
      <c r="AQ818" s="266">
        <f>IF($AL818="",0,'All Ticker P&amp;L'!J818*'All Ticker P&amp;L'!I818)</f>
        <v>0</v>
      </c>
      <c r="AR818" s="266">
        <f>IF($AL818="",0,'All Ticker P&amp;L'!L818)</f>
        <v>0</v>
      </c>
      <c r="AS818" s="267">
        <f>IF($AL818="",0,'All Ticker P&amp;L'!M818)</f>
        <v>0</v>
      </c>
      <c r="AT818" s="243" t="str">
        <f>IF($AL818="","",RANK(AR818,$AR$2:$AR$1001)+COUNTIF($AR$2:AR818,AR818)-1)</f>
        <v/>
      </c>
      <c r="AU818" s="243" t="str">
        <f>IF($AL818="","",RANK(AV818,$AV$2:$AV$1001)+COUNTIF($AV$2:AV818,AV818)-1)</f>
        <v/>
      </c>
      <c r="AV818" s="266">
        <f t="shared" si="56"/>
        <v>0</v>
      </c>
    </row>
    <row r="819" spans="26:48" ht="15" customHeight="1" x14ac:dyDescent="0.2">
      <c r="Z819" s="243" t="str">
        <f>Shares!A819</f>
        <v/>
      </c>
      <c r="AA819" s="243" t="str">
        <f>Shares!B819</f>
        <v/>
      </c>
      <c r="AB819" s="243" t="str">
        <f>Shares!C819</f>
        <v/>
      </c>
      <c r="AC819" s="243" t="str">
        <f>Shares!D819</f>
        <v/>
      </c>
      <c r="AD819" s="243">
        <f>IF($Z819="",0,Shares!E819)</f>
        <v>0</v>
      </c>
      <c r="AE819" s="266">
        <f>IF($Z819="",0,Shares!J819*Shares!I819)</f>
        <v>0</v>
      </c>
      <c r="AF819" s="267">
        <f t="shared" si="55"/>
        <v>0</v>
      </c>
      <c r="AG819" s="266">
        <f>IF($Z819="",0,Shares!L819)</f>
        <v>0</v>
      </c>
      <c r="AH819" s="267">
        <f>IF($Z819="",0,Shares!M819)</f>
        <v>0</v>
      </c>
      <c r="AI819" s="243" t="str">
        <f>IF($Z819="","",RANK(AE819,$AE$2:$AE$1001)+COUNTIF($AE$2:AE819,AE819)-1)</f>
        <v/>
      </c>
      <c r="AJ819" s="243" t="str">
        <f>IF($AD819&lt;0,COUNT($AJ$1:AJ818)+1,"")</f>
        <v/>
      </c>
      <c r="AL819" s="243" t="str">
        <f>'All Ticker P&amp;L'!A819</f>
        <v/>
      </c>
      <c r="AM819" s="243" t="str">
        <f>'All Ticker P&amp;L'!B819</f>
        <v/>
      </c>
      <c r="AN819" s="243" t="str">
        <f>'All Ticker P&amp;L'!C819</f>
        <v/>
      </c>
      <c r="AO819" s="243" t="str">
        <f>'All Ticker P&amp;L'!D819</f>
        <v/>
      </c>
      <c r="AP819" s="243">
        <f>IF($AL819="",0,'All Ticker P&amp;L'!E819)</f>
        <v>0</v>
      </c>
      <c r="AQ819" s="266">
        <f>IF($AL819="",0,'All Ticker P&amp;L'!J819*'All Ticker P&amp;L'!I819)</f>
        <v>0</v>
      </c>
      <c r="AR819" s="266">
        <f>IF($AL819="",0,'All Ticker P&amp;L'!L819)</f>
        <v>0</v>
      </c>
      <c r="AS819" s="267">
        <f>IF($AL819="",0,'All Ticker P&amp;L'!M819)</f>
        <v>0</v>
      </c>
      <c r="AT819" s="243" t="str">
        <f>IF($AL819="","",RANK(AR819,$AR$2:$AR$1001)+COUNTIF($AR$2:AR819,AR819)-1)</f>
        <v/>
      </c>
      <c r="AU819" s="243" t="str">
        <f>IF($AL819="","",RANK(AV819,$AV$2:$AV$1001)+COUNTIF($AV$2:AV819,AV819)-1)</f>
        <v/>
      </c>
      <c r="AV819" s="266">
        <f t="shared" si="56"/>
        <v>0</v>
      </c>
    </row>
    <row r="820" spans="26:48" ht="15" customHeight="1" x14ac:dyDescent="0.2">
      <c r="Z820" s="243" t="str">
        <f>Shares!A820</f>
        <v/>
      </c>
      <c r="AA820" s="243" t="str">
        <f>Shares!B820</f>
        <v/>
      </c>
      <c r="AB820" s="243" t="str">
        <f>Shares!C820</f>
        <v/>
      </c>
      <c r="AC820" s="243" t="str">
        <f>Shares!D820</f>
        <v/>
      </c>
      <c r="AD820" s="243">
        <f>IF($Z820="",0,Shares!E820)</f>
        <v>0</v>
      </c>
      <c r="AE820" s="266">
        <f>IF($Z820="",0,Shares!J820*Shares!I820)</f>
        <v>0</v>
      </c>
      <c r="AF820" s="267">
        <f t="shared" si="55"/>
        <v>0</v>
      </c>
      <c r="AG820" s="266">
        <f>IF($Z820="",0,Shares!L820)</f>
        <v>0</v>
      </c>
      <c r="AH820" s="267">
        <f>IF($Z820="",0,Shares!M820)</f>
        <v>0</v>
      </c>
      <c r="AI820" s="243" t="str">
        <f>IF($Z820="","",RANK(AE820,$AE$2:$AE$1001)+COUNTIF($AE$2:AE820,AE820)-1)</f>
        <v/>
      </c>
      <c r="AJ820" s="243" t="str">
        <f>IF($AD820&lt;0,COUNT($AJ$1:AJ819)+1,"")</f>
        <v/>
      </c>
      <c r="AL820" s="243" t="str">
        <f>'All Ticker P&amp;L'!A820</f>
        <v/>
      </c>
      <c r="AM820" s="243" t="str">
        <f>'All Ticker P&amp;L'!B820</f>
        <v/>
      </c>
      <c r="AN820" s="243" t="str">
        <f>'All Ticker P&amp;L'!C820</f>
        <v/>
      </c>
      <c r="AO820" s="243" t="str">
        <f>'All Ticker P&amp;L'!D820</f>
        <v/>
      </c>
      <c r="AP820" s="243">
        <f>IF($AL820="",0,'All Ticker P&amp;L'!E820)</f>
        <v>0</v>
      </c>
      <c r="AQ820" s="266">
        <f>IF($AL820="",0,'All Ticker P&amp;L'!J820*'All Ticker P&amp;L'!I820)</f>
        <v>0</v>
      </c>
      <c r="AR820" s="266">
        <f>IF($AL820="",0,'All Ticker P&amp;L'!L820)</f>
        <v>0</v>
      </c>
      <c r="AS820" s="267">
        <f>IF($AL820="",0,'All Ticker P&amp;L'!M820)</f>
        <v>0</v>
      </c>
      <c r="AT820" s="243" t="str">
        <f>IF($AL820="","",RANK(AR820,$AR$2:$AR$1001)+COUNTIF($AR$2:AR820,AR820)-1)</f>
        <v/>
      </c>
      <c r="AU820" s="243" t="str">
        <f>IF($AL820="","",RANK(AV820,$AV$2:$AV$1001)+COUNTIF($AV$2:AV820,AV820)-1)</f>
        <v/>
      </c>
      <c r="AV820" s="266">
        <f t="shared" si="56"/>
        <v>0</v>
      </c>
    </row>
    <row r="821" spans="26:48" ht="15" customHeight="1" x14ac:dyDescent="0.2">
      <c r="Z821" s="243" t="str">
        <f>Shares!A821</f>
        <v/>
      </c>
      <c r="AA821" s="243" t="str">
        <f>Shares!B821</f>
        <v/>
      </c>
      <c r="AB821" s="243" t="str">
        <f>Shares!C821</f>
        <v/>
      </c>
      <c r="AC821" s="243" t="str">
        <f>Shares!D821</f>
        <v/>
      </c>
      <c r="AD821" s="243">
        <f>IF($Z821="",0,Shares!E821)</f>
        <v>0</v>
      </c>
      <c r="AE821" s="266">
        <f>IF($Z821="",0,Shares!J821*Shares!I821)</f>
        <v>0</v>
      </c>
      <c r="AF821" s="267">
        <f t="shared" si="55"/>
        <v>0</v>
      </c>
      <c r="AG821" s="266">
        <f>IF($Z821="",0,Shares!L821)</f>
        <v>0</v>
      </c>
      <c r="AH821" s="267">
        <f>IF($Z821="",0,Shares!M821)</f>
        <v>0</v>
      </c>
      <c r="AI821" s="243" t="str">
        <f>IF($Z821="","",RANK(AE821,$AE$2:$AE$1001)+COUNTIF($AE$2:AE821,AE821)-1)</f>
        <v/>
      </c>
      <c r="AJ821" s="243" t="str">
        <f>IF($AD821&lt;0,COUNT($AJ$1:AJ820)+1,"")</f>
        <v/>
      </c>
      <c r="AL821" s="243" t="str">
        <f>'All Ticker P&amp;L'!A821</f>
        <v/>
      </c>
      <c r="AM821" s="243" t="str">
        <f>'All Ticker P&amp;L'!B821</f>
        <v/>
      </c>
      <c r="AN821" s="243" t="str">
        <f>'All Ticker P&amp;L'!C821</f>
        <v/>
      </c>
      <c r="AO821" s="243" t="str">
        <f>'All Ticker P&amp;L'!D821</f>
        <v/>
      </c>
      <c r="AP821" s="243">
        <f>IF($AL821="",0,'All Ticker P&amp;L'!E821)</f>
        <v>0</v>
      </c>
      <c r="AQ821" s="266">
        <f>IF($AL821="",0,'All Ticker P&amp;L'!J821*'All Ticker P&amp;L'!I821)</f>
        <v>0</v>
      </c>
      <c r="AR821" s="266">
        <f>IF($AL821="",0,'All Ticker P&amp;L'!L821)</f>
        <v>0</v>
      </c>
      <c r="AS821" s="267">
        <f>IF($AL821="",0,'All Ticker P&amp;L'!M821)</f>
        <v>0</v>
      </c>
      <c r="AT821" s="243" t="str">
        <f>IF($AL821="","",RANK(AR821,$AR$2:$AR$1001)+COUNTIF($AR$2:AR821,AR821)-1)</f>
        <v/>
      </c>
      <c r="AU821" s="243" t="str">
        <f>IF($AL821="","",RANK(AV821,$AV$2:$AV$1001)+COUNTIF($AV$2:AV821,AV821)-1)</f>
        <v/>
      </c>
      <c r="AV821" s="266">
        <f t="shared" si="56"/>
        <v>0</v>
      </c>
    </row>
    <row r="822" spans="26:48" ht="15" customHeight="1" x14ac:dyDescent="0.2">
      <c r="Z822" s="243" t="str">
        <f>Shares!A822</f>
        <v/>
      </c>
      <c r="AA822" s="243" t="str">
        <f>Shares!B822</f>
        <v/>
      </c>
      <c r="AB822" s="243" t="str">
        <f>Shares!C822</f>
        <v/>
      </c>
      <c r="AC822" s="243" t="str">
        <f>Shares!D822</f>
        <v/>
      </c>
      <c r="AD822" s="243">
        <f>IF($Z822="",0,Shares!E822)</f>
        <v>0</v>
      </c>
      <c r="AE822" s="266">
        <f>IF($Z822="",0,Shares!J822*Shares!I822)</f>
        <v>0</v>
      </c>
      <c r="AF822" s="267">
        <f t="shared" si="55"/>
        <v>0</v>
      </c>
      <c r="AG822" s="266">
        <f>IF($Z822="",0,Shares!L822)</f>
        <v>0</v>
      </c>
      <c r="AH822" s="267">
        <f>IF($Z822="",0,Shares!M822)</f>
        <v>0</v>
      </c>
      <c r="AI822" s="243" t="str">
        <f>IF($Z822="","",RANK(AE822,$AE$2:$AE$1001)+COUNTIF($AE$2:AE822,AE822)-1)</f>
        <v/>
      </c>
      <c r="AJ822" s="243" t="str">
        <f>IF($AD822&lt;0,COUNT($AJ$1:AJ821)+1,"")</f>
        <v/>
      </c>
      <c r="AL822" s="243" t="str">
        <f>'All Ticker P&amp;L'!A822</f>
        <v/>
      </c>
      <c r="AM822" s="243" t="str">
        <f>'All Ticker P&amp;L'!B822</f>
        <v/>
      </c>
      <c r="AN822" s="243" t="str">
        <f>'All Ticker P&amp;L'!C822</f>
        <v/>
      </c>
      <c r="AO822" s="243" t="str">
        <f>'All Ticker P&amp;L'!D822</f>
        <v/>
      </c>
      <c r="AP822" s="243">
        <f>IF($AL822="",0,'All Ticker P&amp;L'!E822)</f>
        <v>0</v>
      </c>
      <c r="AQ822" s="266">
        <f>IF($AL822="",0,'All Ticker P&amp;L'!J822*'All Ticker P&amp;L'!I822)</f>
        <v>0</v>
      </c>
      <c r="AR822" s="266">
        <f>IF($AL822="",0,'All Ticker P&amp;L'!L822)</f>
        <v>0</v>
      </c>
      <c r="AS822" s="267">
        <f>IF($AL822="",0,'All Ticker P&amp;L'!M822)</f>
        <v>0</v>
      </c>
      <c r="AT822" s="243" t="str">
        <f>IF($AL822="","",RANK(AR822,$AR$2:$AR$1001)+COUNTIF($AR$2:AR822,AR822)-1)</f>
        <v/>
      </c>
      <c r="AU822" s="243" t="str">
        <f>IF($AL822="","",RANK(AV822,$AV$2:$AV$1001)+COUNTIF($AV$2:AV822,AV822)-1)</f>
        <v/>
      </c>
      <c r="AV822" s="266">
        <f t="shared" si="56"/>
        <v>0</v>
      </c>
    </row>
    <row r="823" spans="26:48" ht="15" customHeight="1" x14ac:dyDescent="0.2">
      <c r="Z823" s="243" t="str">
        <f>Shares!A823</f>
        <v/>
      </c>
      <c r="AA823" s="243" t="str">
        <f>Shares!B823</f>
        <v/>
      </c>
      <c r="AB823" s="243" t="str">
        <f>Shares!C823</f>
        <v/>
      </c>
      <c r="AC823" s="243" t="str">
        <f>Shares!D823</f>
        <v/>
      </c>
      <c r="AD823" s="243">
        <f>IF($Z823="",0,Shares!E823)</f>
        <v>0</v>
      </c>
      <c r="AE823" s="266">
        <f>IF($Z823="",0,Shares!J823*Shares!I823)</f>
        <v>0</v>
      </c>
      <c r="AF823" s="267">
        <f t="shared" si="55"/>
        <v>0</v>
      </c>
      <c r="AG823" s="266">
        <f>IF($Z823="",0,Shares!L823)</f>
        <v>0</v>
      </c>
      <c r="AH823" s="267">
        <f>IF($Z823="",0,Shares!M823)</f>
        <v>0</v>
      </c>
      <c r="AI823" s="243" t="str">
        <f>IF($Z823="","",RANK(AE823,$AE$2:$AE$1001)+COUNTIF($AE$2:AE823,AE823)-1)</f>
        <v/>
      </c>
      <c r="AJ823" s="243" t="str">
        <f>IF($AD823&lt;0,COUNT($AJ$1:AJ822)+1,"")</f>
        <v/>
      </c>
      <c r="AL823" s="243" t="str">
        <f>'All Ticker P&amp;L'!A823</f>
        <v/>
      </c>
      <c r="AM823" s="243" t="str">
        <f>'All Ticker P&amp;L'!B823</f>
        <v/>
      </c>
      <c r="AN823" s="243" t="str">
        <f>'All Ticker P&amp;L'!C823</f>
        <v/>
      </c>
      <c r="AO823" s="243" t="str">
        <f>'All Ticker P&amp;L'!D823</f>
        <v/>
      </c>
      <c r="AP823" s="243">
        <f>IF($AL823="",0,'All Ticker P&amp;L'!E823)</f>
        <v>0</v>
      </c>
      <c r="AQ823" s="266">
        <f>IF($AL823="",0,'All Ticker P&amp;L'!J823*'All Ticker P&amp;L'!I823)</f>
        <v>0</v>
      </c>
      <c r="AR823" s="266">
        <f>IF($AL823="",0,'All Ticker P&amp;L'!L823)</f>
        <v>0</v>
      </c>
      <c r="AS823" s="267">
        <f>IF($AL823="",0,'All Ticker P&amp;L'!M823)</f>
        <v>0</v>
      </c>
      <c r="AT823" s="243" t="str">
        <f>IF($AL823="","",RANK(AR823,$AR$2:$AR$1001)+COUNTIF($AR$2:AR823,AR823)-1)</f>
        <v/>
      </c>
      <c r="AU823" s="243" t="str">
        <f>IF($AL823="","",RANK(AV823,$AV$2:$AV$1001)+COUNTIF($AV$2:AV823,AV823)-1)</f>
        <v/>
      </c>
      <c r="AV823" s="266">
        <f t="shared" si="56"/>
        <v>0</v>
      </c>
    </row>
    <row r="824" spans="26:48" ht="15" customHeight="1" x14ac:dyDescent="0.2">
      <c r="Z824" s="243" t="str">
        <f>Shares!A824</f>
        <v/>
      </c>
      <c r="AA824" s="243" t="str">
        <f>Shares!B824</f>
        <v/>
      </c>
      <c r="AB824" s="243" t="str">
        <f>Shares!C824</f>
        <v/>
      </c>
      <c r="AC824" s="243" t="str">
        <f>Shares!D824</f>
        <v/>
      </c>
      <c r="AD824" s="243">
        <f>IF($Z824="",0,Shares!E824)</f>
        <v>0</v>
      </c>
      <c r="AE824" s="266">
        <f>IF($Z824="",0,Shares!J824*Shares!I824)</f>
        <v>0</v>
      </c>
      <c r="AF824" s="267">
        <f t="shared" si="55"/>
        <v>0</v>
      </c>
      <c r="AG824" s="266">
        <f>IF($Z824="",0,Shares!L824)</f>
        <v>0</v>
      </c>
      <c r="AH824" s="267">
        <f>IF($Z824="",0,Shares!M824)</f>
        <v>0</v>
      </c>
      <c r="AI824" s="243" t="str">
        <f>IF($Z824="","",RANK(AE824,$AE$2:$AE$1001)+COUNTIF($AE$2:AE824,AE824)-1)</f>
        <v/>
      </c>
      <c r="AJ824" s="243" t="str">
        <f>IF($AD824&lt;0,COUNT($AJ$1:AJ823)+1,"")</f>
        <v/>
      </c>
      <c r="AL824" s="243" t="str">
        <f>'All Ticker P&amp;L'!A824</f>
        <v/>
      </c>
      <c r="AM824" s="243" t="str">
        <f>'All Ticker P&amp;L'!B824</f>
        <v/>
      </c>
      <c r="AN824" s="243" t="str">
        <f>'All Ticker P&amp;L'!C824</f>
        <v/>
      </c>
      <c r="AO824" s="243" t="str">
        <f>'All Ticker P&amp;L'!D824</f>
        <v/>
      </c>
      <c r="AP824" s="243">
        <f>IF($AL824="",0,'All Ticker P&amp;L'!E824)</f>
        <v>0</v>
      </c>
      <c r="AQ824" s="266">
        <f>IF($AL824="",0,'All Ticker P&amp;L'!J824*'All Ticker P&amp;L'!I824)</f>
        <v>0</v>
      </c>
      <c r="AR824" s="266">
        <f>IF($AL824="",0,'All Ticker P&amp;L'!L824)</f>
        <v>0</v>
      </c>
      <c r="AS824" s="267">
        <f>IF($AL824="",0,'All Ticker P&amp;L'!M824)</f>
        <v>0</v>
      </c>
      <c r="AT824" s="243" t="str">
        <f>IF($AL824="","",RANK(AR824,$AR$2:$AR$1001)+COUNTIF($AR$2:AR824,AR824)-1)</f>
        <v/>
      </c>
      <c r="AU824" s="243" t="str">
        <f>IF($AL824="","",RANK(AV824,$AV$2:$AV$1001)+COUNTIF($AV$2:AV824,AV824)-1)</f>
        <v/>
      </c>
      <c r="AV824" s="266">
        <f t="shared" si="56"/>
        <v>0</v>
      </c>
    </row>
    <row r="825" spans="26:48" ht="15" customHeight="1" x14ac:dyDescent="0.2">
      <c r="Z825" s="243" t="str">
        <f>Shares!A825</f>
        <v/>
      </c>
      <c r="AA825" s="243" t="str">
        <f>Shares!B825</f>
        <v/>
      </c>
      <c r="AB825" s="243" t="str">
        <f>Shares!C825</f>
        <v/>
      </c>
      <c r="AC825" s="243" t="str">
        <f>Shares!D825</f>
        <v/>
      </c>
      <c r="AD825" s="243">
        <f>IF($Z825="",0,Shares!E825)</f>
        <v>0</v>
      </c>
      <c r="AE825" s="266">
        <f>IF($Z825="",0,Shares!J825*Shares!I825)</f>
        <v>0</v>
      </c>
      <c r="AF825" s="267">
        <f t="shared" si="55"/>
        <v>0</v>
      </c>
      <c r="AG825" s="266">
        <f>IF($Z825="",0,Shares!L825)</f>
        <v>0</v>
      </c>
      <c r="AH825" s="267">
        <f>IF($Z825="",0,Shares!M825)</f>
        <v>0</v>
      </c>
      <c r="AI825" s="243" t="str">
        <f>IF($Z825="","",RANK(AE825,$AE$2:$AE$1001)+COUNTIF($AE$2:AE825,AE825)-1)</f>
        <v/>
      </c>
      <c r="AJ825" s="243" t="str">
        <f>IF($AD825&lt;0,COUNT($AJ$1:AJ824)+1,"")</f>
        <v/>
      </c>
      <c r="AL825" s="243" t="str">
        <f>'All Ticker P&amp;L'!A825</f>
        <v/>
      </c>
      <c r="AM825" s="243" t="str">
        <f>'All Ticker P&amp;L'!B825</f>
        <v/>
      </c>
      <c r="AN825" s="243" t="str">
        <f>'All Ticker P&amp;L'!C825</f>
        <v/>
      </c>
      <c r="AO825" s="243" t="str">
        <f>'All Ticker P&amp;L'!D825</f>
        <v/>
      </c>
      <c r="AP825" s="243">
        <f>IF($AL825="",0,'All Ticker P&amp;L'!E825)</f>
        <v>0</v>
      </c>
      <c r="AQ825" s="266">
        <f>IF($AL825="",0,'All Ticker P&amp;L'!J825*'All Ticker P&amp;L'!I825)</f>
        <v>0</v>
      </c>
      <c r="AR825" s="266">
        <f>IF($AL825="",0,'All Ticker P&amp;L'!L825)</f>
        <v>0</v>
      </c>
      <c r="AS825" s="267">
        <f>IF($AL825="",0,'All Ticker P&amp;L'!M825)</f>
        <v>0</v>
      </c>
      <c r="AT825" s="243" t="str">
        <f>IF($AL825="","",RANK(AR825,$AR$2:$AR$1001)+COUNTIF($AR$2:AR825,AR825)-1)</f>
        <v/>
      </c>
      <c r="AU825" s="243" t="str">
        <f>IF($AL825="","",RANK(AV825,$AV$2:$AV$1001)+COUNTIF($AV$2:AV825,AV825)-1)</f>
        <v/>
      </c>
      <c r="AV825" s="266">
        <f t="shared" si="56"/>
        <v>0</v>
      </c>
    </row>
    <row r="826" spans="26:48" ht="15" customHeight="1" x14ac:dyDescent="0.2">
      <c r="Z826" s="243" t="str">
        <f>Shares!A826</f>
        <v/>
      </c>
      <c r="AA826" s="243" t="str">
        <f>Shares!B826</f>
        <v/>
      </c>
      <c r="AB826" s="243" t="str">
        <f>Shares!C826</f>
        <v/>
      </c>
      <c r="AC826" s="243" t="str">
        <f>Shares!D826</f>
        <v/>
      </c>
      <c r="AD826" s="243">
        <f>IF($Z826="",0,Shares!E826)</f>
        <v>0</v>
      </c>
      <c r="AE826" s="266">
        <f>IF($Z826="",0,Shares!J826*Shares!I826)</f>
        <v>0</v>
      </c>
      <c r="AF826" s="267">
        <f t="shared" si="55"/>
        <v>0</v>
      </c>
      <c r="AG826" s="266">
        <f>IF($Z826="",0,Shares!L826)</f>
        <v>0</v>
      </c>
      <c r="AH826" s="267">
        <f>IF($Z826="",0,Shares!M826)</f>
        <v>0</v>
      </c>
      <c r="AI826" s="243" t="str">
        <f>IF($Z826="","",RANK(AE826,$AE$2:$AE$1001)+COUNTIF($AE$2:AE826,AE826)-1)</f>
        <v/>
      </c>
      <c r="AJ826" s="243" t="str">
        <f>IF($AD826&lt;0,COUNT($AJ$1:AJ825)+1,"")</f>
        <v/>
      </c>
      <c r="AL826" s="243" t="str">
        <f>'All Ticker P&amp;L'!A826</f>
        <v/>
      </c>
      <c r="AM826" s="243" t="str">
        <f>'All Ticker P&amp;L'!B826</f>
        <v/>
      </c>
      <c r="AN826" s="243" t="str">
        <f>'All Ticker P&amp;L'!C826</f>
        <v/>
      </c>
      <c r="AO826" s="243" t="str">
        <f>'All Ticker P&amp;L'!D826</f>
        <v/>
      </c>
      <c r="AP826" s="243">
        <f>IF($AL826="",0,'All Ticker P&amp;L'!E826)</f>
        <v>0</v>
      </c>
      <c r="AQ826" s="266">
        <f>IF($AL826="",0,'All Ticker P&amp;L'!J826*'All Ticker P&amp;L'!I826)</f>
        <v>0</v>
      </c>
      <c r="AR826" s="266">
        <f>IF($AL826="",0,'All Ticker P&amp;L'!L826)</f>
        <v>0</v>
      </c>
      <c r="AS826" s="267">
        <f>IF($AL826="",0,'All Ticker P&amp;L'!M826)</f>
        <v>0</v>
      </c>
      <c r="AT826" s="243" t="str">
        <f>IF($AL826="","",RANK(AR826,$AR$2:$AR$1001)+COUNTIF($AR$2:AR826,AR826)-1)</f>
        <v/>
      </c>
      <c r="AU826" s="243" t="str">
        <f>IF($AL826="","",RANK(AV826,$AV$2:$AV$1001)+COUNTIF($AV$2:AV826,AV826)-1)</f>
        <v/>
      </c>
      <c r="AV826" s="266">
        <f t="shared" si="56"/>
        <v>0</v>
      </c>
    </row>
    <row r="827" spans="26:48" ht="15" customHeight="1" x14ac:dyDescent="0.2">
      <c r="Z827" s="243" t="str">
        <f>Shares!A827</f>
        <v/>
      </c>
      <c r="AA827" s="243" t="str">
        <f>Shares!B827</f>
        <v/>
      </c>
      <c r="AB827" s="243" t="str">
        <f>Shares!C827</f>
        <v/>
      </c>
      <c r="AC827" s="243" t="str">
        <f>Shares!D827</f>
        <v/>
      </c>
      <c r="AD827" s="243">
        <f>IF($Z827="",0,Shares!E827)</f>
        <v>0</v>
      </c>
      <c r="AE827" s="266">
        <f>IF($Z827="",0,Shares!J827*Shares!I827)</f>
        <v>0</v>
      </c>
      <c r="AF827" s="267">
        <f t="shared" si="55"/>
        <v>0</v>
      </c>
      <c r="AG827" s="266">
        <f>IF($Z827="",0,Shares!L827)</f>
        <v>0</v>
      </c>
      <c r="AH827" s="267">
        <f>IF($Z827="",0,Shares!M827)</f>
        <v>0</v>
      </c>
      <c r="AI827" s="243" t="str">
        <f>IF($Z827="","",RANK(AE827,$AE$2:$AE$1001)+COUNTIF($AE$2:AE827,AE827)-1)</f>
        <v/>
      </c>
      <c r="AJ827" s="243" t="str">
        <f>IF($AD827&lt;0,COUNT($AJ$1:AJ826)+1,"")</f>
        <v/>
      </c>
      <c r="AL827" s="243" t="str">
        <f>'All Ticker P&amp;L'!A827</f>
        <v/>
      </c>
      <c r="AM827" s="243" t="str">
        <f>'All Ticker P&amp;L'!B827</f>
        <v/>
      </c>
      <c r="AN827" s="243" t="str">
        <f>'All Ticker P&amp;L'!C827</f>
        <v/>
      </c>
      <c r="AO827" s="243" t="str">
        <f>'All Ticker P&amp;L'!D827</f>
        <v/>
      </c>
      <c r="AP827" s="243">
        <f>IF($AL827="",0,'All Ticker P&amp;L'!E827)</f>
        <v>0</v>
      </c>
      <c r="AQ827" s="266">
        <f>IF($AL827="",0,'All Ticker P&amp;L'!J827*'All Ticker P&amp;L'!I827)</f>
        <v>0</v>
      </c>
      <c r="AR827" s="266">
        <f>IF($AL827="",0,'All Ticker P&amp;L'!L827)</f>
        <v>0</v>
      </c>
      <c r="AS827" s="267">
        <f>IF($AL827="",0,'All Ticker P&amp;L'!M827)</f>
        <v>0</v>
      </c>
      <c r="AT827" s="243" t="str">
        <f>IF($AL827="","",RANK(AR827,$AR$2:$AR$1001)+COUNTIF($AR$2:AR827,AR827)-1)</f>
        <v/>
      </c>
      <c r="AU827" s="243" t="str">
        <f>IF($AL827="","",RANK(AV827,$AV$2:$AV$1001)+COUNTIF($AV$2:AV827,AV827)-1)</f>
        <v/>
      </c>
      <c r="AV827" s="266">
        <f t="shared" si="56"/>
        <v>0</v>
      </c>
    </row>
    <row r="828" spans="26:48" ht="15" customHeight="1" x14ac:dyDescent="0.2">
      <c r="Z828" s="243" t="str">
        <f>Shares!A828</f>
        <v/>
      </c>
      <c r="AA828" s="243" t="str">
        <f>Shares!B828</f>
        <v/>
      </c>
      <c r="AB828" s="243" t="str">
        <f>Shares!C828</f>
        <v/>
      </c>
      <c r="AC828" s="243" t="str">
        <f>Shares!D828</f>
        <v/>
      </c>
      <c r="AD828" s="243">
        <f>IF($Z828="",0,Shares!E828)</f>
        <v>0</v>
      </c>
      <c r="AE828" s="266">
        <f>IF($Z828="",0,Shares!J828*Shares!I828)</f>
        <v>0</v>
      </c>
      <c r="AF828" s="267">
        <f t="shared" si="55"/>
        <v>0</v>
      </c>
      <c r="AG828" s="266">
        <f>IF($Z828="",0,Shares!L828)</f>
        <v>0</v>
      </c>
      <c r="AH828" s="267">
        <f>IF($Z828="",0,Shares!M828)</f>
        <v>0</v>
      </c>
      <c r="AI828" s="243" t="str">
        <f>IF($Z828="","",RANK(AE828,$AE$2:$AE$1001)+COUNTIF($AE$2:AE828,AE828)-1)</f>
        <v/>
      </c>
      <c r="AJ828" s="243" t="str">
        <f>IF($AD828&lt;0,COUNT($AJ$1:AJ827)+1,"")</f>
        <v/>
      </c>
      <c r="AL828" s="243" t="str">
        <f>'All Ticker P&amp;L'!A828</f>
        <v/>
      </c>
      <c r="AM828" s="243" t="str">
        <f>'All Ticker P&amp;L'!B828</f>
        <v/>
      </c>
      <c r="AN828" s="243" t="str">
        <f>'All Ticker P&amp;L'!C828</f>
        <v/>
      </c>
      <c r="AO828" s="243" t="str">
        <f>'All Ticker P&amp;L'!D828</f>
        <v/>
      </c>
      <c r="AP828" s="243">
        <f>IF($AL828="",0,'All Ticker P&amp;L'!E828)</f>
        <v>0</v>
      </c>
      <c r="AQ828" s="266">
        <f>IF($AL828="",0,'All Ticker P&amp;L'!J828*'All Ticker P&amp;L'!I828)</f>
        <v>0</v>
      </c>
      <c r="AR828" s="266">
        <f>IF($AL828="",0,'All Ticker P&amp;L'!L828)</f>
        <v>0</v>
      </c>
      <c r="AS828" s="267">
        <f>IF($AL828="",0,'All Ticker P&amp;L'!M828)</f>
        <v>0</v>
      </c>
      <c r="AT828" s="243" t="str">
        <f>IF($AL828="","",RANK(AR828,$AR$2:$AR$1001)+COUNTIF($AR$2:AR828,AR828)-1)</f>
        <v/>
      </c>
      <c r="AU828" s="243" t="str">
        <f>IF($AL828="","",RANK(AV828,$AV$2:$AV$1001)+COUNTIF($AV$2:AV828,AV828)-1)</f>
        <v/>
      </c>
      <c r="AV828" s="266">
        <f t="shared" si="56"/>
        <v>0</v>
      </c>
    </row>
    <row r="829" spans="26:48" ht="15" customHeight="1" x14ac:dyDescent="0.2">
      <c r="Z829" s="243" t="str">
        <f>Shares!A829</f>
        <v/>
      </c>
      <c r="AA829" s="243" t="str">
        <f>Shares!B829</f>
        <v/>
      </c>
      <c r="AB829" s="243" t="str">
        <f>Shares!C829</f>
        <v/>
      </c>
      <c r="AC829" s="243" t="str">
        <f>Shares!D829</f>
        <v/>
      </c>
      <c r="AD829" s="243">
        <f>IF($Z829="",0,Shares!E829)</f>
        <v>0</v>
      </c>
      <c r="AE829" s="266">
        <f>IF($Z829="",0,Shares!J829*Shares!I829)</f>
        <v>0</v>
      </c>
      <c r="AF829" s="267">
        <f t="shared" si="55"/>
        <v>0</v>
      </c>
      <c r="AG829" s="266">
        <f>IF($Z829="",0,Shares!L829)</f>
        <v>0</v>
      </c>
      <c r="AH829" s="267">
        <f>IF($Z829="",0,Shares!M829)</f>
        <v>0</v>
      </c>
      <c r="AI829" s="243" t="str">
        <f>IF($Z829="","",RANK(AE829,$AE$2:$AE$1001)+COUNTIF($AE$2:AE829,AE829)-1)</f>
        <v/>
      </c>
      <c r="AJ829" s="243" t="str">
        <f>IF($AD829&lt;0,COUNT($AJ$1:AJ828)+1,"")</f>
        <v/>
      </c>
      <c r="AL829" s="243" t="str">
        <f>'All Ticker P&amp;L'!A829</f>
        <v/>
      </c>
      <c r="AM829" s="243" t="str">
        <f>'All Ticker P&amp;L'!B829</f>
        <v/>
      </c>
      <c r="AN829" s="243" t="str">
        <f>'All Ticker P&amp;L'!C829</f>
        <v/>
      </c>
      <c r="AO829" s="243" t="str">
        <f>'All Ticker P&amp;L'!D829</f>
        <v/>
      </c>
      <c r="AP829" s="243">
        <f>IF($AL829="",0,'All Ticker P&amp;L'!E829)</f>
        <v>0</v>
      </c>
      <c r="AQ829" s="266">
        <f>IF($AL829="",0,'All Ticker P&amp;L'!J829*'All Ticker P&amp;L'!I829)</f>
        <v>0</v>
      </c>
      <c r="AR829" s="266">
        <f>IF($AL829="",0,'All Ticker P&amp;L'!L829)</f>
        <v>0</v>
      </c>
      <c r="AS829" s="267">
        <f>IF($AL829="",0,'All Ticker P&amp;L'!M829)</f>
        <v>0</v>
      </c>
      <c r="AT829" s="243" t="str">
        <f>IF($AL829="","",RANK(AR829,$AR$2:$AR$1001)+COUNTIF($AR$2:AR829,AR829)-1)</f>
        <v/>
      </c>
      <c r="AU829" s="243" t="str">
        <f>IF($AL829="","",RANK(AV829,$AV$2:$AV$1001)+COUNTIF($AV$2:AV829,AV829)-1)</f>
        <v/>
      </c>
      <c r="AV829" s="266">
        <f t="shared" si="56"/>
        <v>0</v>
      </c>
    </row>
    <row r="830" spans="26:48" ht="15" customHeight="1" x14ac:dyDescent="0.2">
      <c r="Z830" s="243" t="str">
        <f>Shares!A830</f>
        <v/>
      </c>
      <c r="AA830" s="243" t="str">
        <f>Shares!B830</f>
        <v/>
      </c>
      <c r="AB830" s="243" t="str">
        <f>Shares!C830</f>
        <v/>
      </c>
      <c r="AC830" s="243" t="str">
        <f>Shares!D830</f>
        <v/>
      </c>
      <c r="AD830" s="243">
        <f>IF($Z830="",0,Shares!E830)</f>
        <v>0</v>
      </c>
      <c r="AE830" s="266">
        <f>IF($Z830="",0,Shares!J830*Shares!I830)</f>
        <v>0</v>
      </c>
      <c r="AF830" s="267">
        <f t="shared" si="55"/>
        <v>0</v>
      </c>
      <c r="AG830" s="266">
        <f>IF($Z830="",0,Shares!L830)</f>
        <v>0</v>
      </c>
      <c r="AH830" s="267">
        <f>IF($Z830="",0,Shares!M830)</f>
        <v>0</v>
      </c>
      <c r="AI830" s="243" t="str">
        <f>IF($Z830="","",RANK(AE830,$AE$2:$AE$1001)+COUNTIF($AE$2:AE830,AE830)-1)</f>
        <v/>
      </c>
      <c r="AJ830" s="243" t="str">
        <f>IF($AD830&lt;0,COUNT($AJ$1:AJ829)+1,"")</f>
        <v/>
      </c>
      <c r="AL830" s="243" t="str">
        <f>'All Ticker P&amp;L'!A830</f>
        <v/>
      </c>
      <c r="AM830" s="243" t="str">
        <f>'All Ticker P&amp;L'!B830</f>
        <v/>
      </c>
      <c r="AN830" s="243" t="str">
        <f>'All Ticker P&amp;L'!C830</f>
        <v/>
      </c>
      <c r="AO830" s="243" t="str">
        <f>'All Ticker P&amp;L'!D830</f>
        <v/>
      </c>
      <c r="AP830" s="243">
        <f>IF($AL830="",0,'All Ticker P&amp;L'!E830)</f>
        <v>0</v>
      </c>
      <c r="AQ830" s="266">
        <f>IF($AL830="",0,'All Ticker P&amp;L'!J830*'All Ticker P&amp;L'!I830)</f>
        <v>0</v>
      </c>
      <c r="AR830" s="266">
        <f>IF($AL830="",0,'All Ticker P&amp;L'!L830)</f>
        <v>0</v>
      </c>
      <c r="AS830" s="267">
        <f>IF($AL830="",0,'All Ticker P&amp;L'!M830)</f>
        <v>0</v>
      </c>
      <c r="AT830" s="243" t="str">
        <f>IF($AL830="","",RANK(AR830,$AR$2:$AR$1001)+COUNTIF($AR$2:AR830,AR830)-1)</f>
        <v/>
      </c>
      <c r="AU830" s="243" t="str">
        <f>IF($AL830="","",RANK(AV830,$AV$2:$AV$1001)+COUNTIF($AV$2:AV830,AV830)-1)</f>
        <v/>
      </c>
      <c r="AV830" s="266">
        <f t="shared" si="56"/>
        <v>0</v>
      </c>
    </row>
    <row r="831" spans="26:48" ht="15" customHeight="1" x14ac:dyDescent="0.2">
      <c r="Z831" s="243" t="str">
        <f>Shares!A831</f>
        <v/>
      </c>
      <c r="AA831" s="243" t="str">
        <f>Shares!B831</f>
        <v/>
      </c>
      <c r="AB831" s="243" t="str">
        <f>Shares!C831</f>
        <v/>
      </c>
      <c r="AC831" s="243" t="str">
        <f>Shares!D831</f>
        <v/>
      </c>
      <c r="AD831" s="243">
        <f>IF($Z831="",0,Shares!E831)</f>
        <v>0</v>
      </c>
      <c r="AE831" s="266">
        <f>IF($Z831="",0,Shares!J831*Shares!I831)</f>
        <v>0</v>
      </c>
      <c r="AF831" s="267">
        <f t="shared" si="55"/>
        <v>0</v>
      </c>
      <c r="AG831" s="266">
        <f>IF($Z831="",0,Shares!L831)</f>
        <v>0</v>
      </c>
      <c r="AH831" s="267">
        <f>IF($Z831="",0,Shares!M831)</f>
        <v>0</v>
      </c>
      <c r="AI831" s="243" t="str">
        <f>IF($Z831="","",RANK(AE831,$AE$2:$AE$1001)+COUNTIF($AE$2:AE831,AE831)-1)</f>
        <v/>
      </c>
      <c r="AJ831" s="243" t="str">
        <f>IF($AD831&lt;0,COUNT($AJ$1:AJ830)+1,"")</f>
        <v/>
      </c>
      <c r="AL831" s="243" t="str">
        <f>'All Ticker P&amp;L'!A831</f>
        <v/>
      </c>
      <c r="AM831" s="243" t="str">
        <f>'All Ticker P&amp;L'!B831</f>
        <v/>
      </c>
      <c r="AN831" s="243" t="str">
        <f>'All Ticker P&amp;L'!C831</f>
        <v/>
      </c>
      <c r="AO831" s="243" t="str">
        <f>'All Ticker P&amp;L'!D831</f>
        <v/>
      </c>
      <c r="AP831" s="243">
        <f>IF($AL831="",0,'All Ticker P&amp;L'!E831)</f>
        <v>0</v>
      </c>
      <c r="AQ831" s="266">
        <f>IF($AL831="",0,'All Ticker P&amp;L'!J831*'All Ticker P&amp;L'!I831)</f>
        <v>0</v>
      </c>
      <c r="AR831" s="266">
        <f>IF($AL831="",0,'All Ticker P&amp;L'!L831)</f>
        <v>0</v>
      </c>
      <c r="AS831" s="267">
        <f>IF($AL831="",0,'All Ticker P&amp;L'!M831)</f>
        <v>0</v>
      </c>
      <c r="AT831" s="243" t="str">
        <f>IF($AL831="","",RANK(AR831,$AR$2:$AR$1001)+COUNTIF($AR$2:AR831,AR831)-1)</f>
        <v/>
      </c>
      <c r="AU831" s="243" t="str">
        <f>IF($AL831="","",RANK(AV831,$AV$2:$AV$1001)+COUNTIF($AV$2:AV831,AV831)-1)</f>
        <v/>
      </c>
      <c r="AV831" s="266">
        <f t="shared" si="56"/>
        <v>0</v>
      </c>
    </row>
    <row r="832" spans="26:48" ht="15" customHeight="1" x14ac:dyDescent="0.2">
      <c r="Z832" s="243" t="str">
        <f>Shares!A832</f>
        <v/>
      </c>
      <c r="AA832" s="243" t="str">
        <f>Shares!B832</f>
        <v/>
      </c>
      <c r="AB832" s="243" t="str">
        <f>Shares!C832</f>
        <v/>
      </c>
      <c r="AC832" s="243" t="str">
        <f>Shares!D832</f>
        <v/>
      </c>
      <c r="AD832" s="243">
        <f>IF($Z832="",0,Shares!E832)</f>
        <v>0</v>
      </c>
      <c r="AE832" s="266">
        <f>IF($Z832="",0,Shares!J832*Shares!I832)</f>
        <v>0</v>
      </c>
      <c r="AF832" s="267">
        <f t="shared" si="55"/>
        <v>0</v>
      </c>
      <c r="AG832" s="266">
        <f>IF($Z832="",0,Shares!L832)</f>
        <v>0</v>
      </c>
      <c r="AH832" s="267">
        <f>IF($Z832="",0,Shares!M832)</f>
        <v>0</v>
      </c>
      <c r="AI832" s="243" t="str">
        <f>IF($Z832="","",RANK(AE832,$AE$2:$AE$1001)+COUNTIF($AE$2:AE832,AE832)-1)</f>
        <v/>
      </c>
      <c r="AJ832" s="243" t="str">
        <f>IF($AD832&lt;0,COUNT($AJ$1:AJ831)+1,"")</f>
        <v/>
      </c>
      <c r="AL832" s="243" t="str">
        <f>'All Ticker P&amp;L'!A832</f>
        <v/>
      </c>
      <c r="AM832" s="243" t="str">
        <f>'All Ticker P&amp;L'!B832</f>
        <v/>
      </c>
      <c r="AN832" s="243" t="str">
        <f>'All Ticker P&amp;L'!C832</f>
        <v/>
      </c>
      <c r="AO832" s="243" t="str">
        <f>'All Ticker P&amp;L'!D832</f>
        <v/>
      </c>
      <c r="AP832" s="243">
        <f>IF($AL832="",0,'All Ticker P&amp;L'!E832)</f>
        <v>0</v>
      </c>
      <c r="AQ832" s="266">
        <f>IF($AL832="",0,'All Ticker P&amp;L'!J832*'All Ticker P&amp;L'!I832)</f>
        <v>0</v>
      </c>
      <c r="AR832" s="266">
        <f>IF($AL832="",0,'All Ticker P&amp;L'!L832)</f>
        <v>0</v>
      </c>
      <c r="AS832" s="267">
        <f>IF($AL832="",0,'All Ticker P&amp;L'!M832)</f>
        <v>0</v>
      </c>
      <c r="AT832" s="243" t="str">
        <f>IF($AL832="","",RANK(AR832,$AR$2:$AR$1001)+COUNTIF($AR$2:AR832,AR832)-1)</f>
        <v/>
      </c>
      <c r="AU832" s="243" t="str">
        <f>IF($AL832="","",RANK(AV832,$AV$2:$AV$1001)+COUNTIF($AV$2:AV832,AV832)-1)</f>
        <v/>
      </c>
      <c r="AV832" s="266">
        <f t="shared" si="56"/>
        <v>0</v>
      </c>
    </row>
    <row r="833" spans="26:48" ht="15" customHeight="1" x14ac:dyDescent="0.2">
      <c r="Z833" s="243" t="str">
        <f>Shares!A833</f>
        <v/>
      </c>
      <c r="AA833" s="243" t="str">
        <f>Shares!B833</f>
        <v/>
      </c>
      <c r="AB833" s="243" t="str">
        <f>Shares!C833</f>
        <v/>
      </c>
      <c r="AC833" s="243" t="str">
        <f>Shares!D833</f>
        <v/>
      </c>
      <c r="AD833" s="243">
        <f>IF($Z833="",0,Shares!E833)</f>
        <v>0</v>
      </c>
      <c r="AE833" s="266">
        <f>IF($Z833="",0,Shares!J833*Shares!I833)</f>
        <v>0</v>
      </c>
      <c r="AF833" s="267">
        <f t="shared" si="55"/>
        <v>0</v>
      </c>
      <c r="AG833" s="266">
        <f>IF($Z833="",0,Shares!L833)</f>
        <v>0</v>
      </c>
      <c r="AH833" s="267">
        <f>IF($Z833="",0,Shares!M833)</f>
        <v>0</v>
      </c>
      <c r="AI833" s="243" t="str">
        <f>IF($Z833="","",RANK(AE833,$AE$2:$AE$1001)+COUNTIF($AE$2:AE833,AE833)-1)</f>
        <v/>
      </c>
      <c r="AJ833" s="243" t="str">
        <f>IF($AD833&lt;0,COUNT($AJ$1:AJ832)+1,"")</f>
        <v/>
      </c>
      <c r="AL833" s="243" t="str">
        <f>'All Ticker P&amp;L'!A833</f>
        <v/>
      </c>
      <c r="AM833" s="243" t="str">
        <f>'All Ticker P&amp;L'!B833</f>
        <v/>
      </c>
      <c r="AN833" s="243" t="str">
        <f>'All Ticker P&amp;L'!C833</f>
        <v/>
      </c>
      <c r="AO833" s="243" t="str">
        <f>'All Ticker P&amp;L'!D833</f>
        <v/>
      </c>
      <c r="AP833" s="243">
        <f>IF($AL833="",0,'All Ticker P&amp;L'!E833)</f>
        <v>0</v>
      </c>
      <c r="AQ833" s="266">
        <f>IF($AL833="",0,'All Ticker P&amp;L'!J833*'All Ticker P&amp;L'!I833)</f>
        <v>0</v>
      </c>
      <c r="AR833" s="266">
        <f>IF($AL833="",0,'All Ticker P&amp;L'!L833)</f>
        <v>0</v>
      </c>
      <c r="AS833" s="267">
        <f>IF($AL833="",0,'All Ticker P&amp;L'!M833)</f>
        <v>0</v>
      </c>
      <c r="AT833" s="243" t="str">
        <f>IF($AL833="","",RANK(AR833,$AR$2:$AR$1001)+COUNTIF($AR$2:AR833,AR833)-1)</f>
        <v/>
      </c>
      <c r="AU833" s="243" t="str">
        <f>IF($AL833="","",RANK(AV833,$AV$2:$AV$1001)+COUNTIF($AV$2:AV833,AV833)-1)</f>
        <v/>
      </c>
      <c r="AV833" s="266">
        <f t="shared" si="56"/>
        <v>0</v>
      </c>
    </row>
    <row r="834" spans="26:48" ht="15" customHeight="1" x14ac:dyDescent="0.2">
      <c r="Z834" s="243" t="str">
        <f>Shares!A834</f>
        <v/>
      </c>
      <c r="AA834" s="243" t="str">
        <f>Shares!B834</f>
        <v/>
      </c>
      <c r="AB834" s="243" t="str">
        <f>Shares!C834</f>
        <v/>
      </c>
      <c r="AC834" s="243" t="str">
        <f>Shares!D834</f>
        <v/>
      </c>
      <c r="AD834" s="243">
        <f>IF($Z834="",0,Shares!E834)</f>
        <v>0</v>
      </c>
      <c r="AE834" s="266">
        <f>IF($Z834="",0,Shares!J834*Shares!I834)</f>
        <v>0</v>
      </c>
      <c r="AF834" s="267">
        <f t="shared" ref="AF834:AF897" si="57">IFERROR(AE834/$B$5,0)</f>
        <v>0</v>
      </c>
      <c r="AG834" s="266">
        <f>IF($Z834="",0,Shares!L834)</f>
        <v>0</v>
      </c>
      <c r="AH834" s="267">
        <f>IF($Z834="",0,Shares!M834)</f>
        <v>0</v>
      </c>
      <c r="AI834" s="243" t="str">
        <f>IF($Z834="","",RANK(AE834,$AE$2:$AE$1001)+COUNTIF($AE$2:AE834,AE834)-1)</f>
        <v/>
      </c>
      <c r="AJ834" s="243" t="str">
        <f>IF($AD834&lt;0,COUNT($AJ$1:AJ833)+1,"")</f>
        <v/>
      </c>
      <c r="AL834" s="243" t="str">
        <f>'All Ticker P&amp;L'!A834</f>
        <v/>
      </c>
      <c r="AM834" s="243" t="str">
        <f>'All Ticker P&amp;L'!B834</f>
        <v/>
      </c>
      <c r="AN834" s="243" t="str">
        <f>'All Ticker P&amp;L'!C834</f>
        <v/>
      </c>
      <c r="AO834" s="243" t="str">
        <f>'All Ticker P&amp;L'!D834</f>
        <v/>
      </c>
      <c r="AP834" s="243">
        <f>IF($AL834="",0,'All Ticker P&amp;L'!E834)</f>
        <v>0</v>
      </c>
      <c r="AQ834" s="266">
        <f>IF($AL834="",0,'All Ticker P&amp;L'!J834*'All Ticker P&amp;L'!I834)</f>
        <v>0</v>
      </c>
      <c r="AR834" s="266">
        <f>IF($AL834="",0,'All Ticker P&amp;L'!L834)</f>
        <v>0</v>
      </c>
      <c r="AS834" s="267">
        <f>IF($AL834="",0,'All Ticker P&amp;L'!M834)</f>
        <v>0</v>
      </c>
      <c r="AT834" s="243" t="str">
        <f>IF($AL834="","",RANK(AR834,$AR$2:$AR$1001)+COUNTIF($AR$2:AR834,AR834)-1)</f>
        <v/>
      </c>
      <c r="AU834" s="243" t="str">
        <f>IF($AL834="","",RANK(AV834,$AV$2:$AV$1001)+COUNTIF($AV$2:AV834,AV834)-1)</f>
        <v/>
      </c>
      <c r="AV834" s="266">
        <f t="shared" ref="AV834:AV897" si="58">-AR834</f>
        <v>0</v>
      </c>
    </row>
    <row r="835" spans="26:48" ht="15" customHeight="1" x14ac:dyDescent="0.2">
      <c r="Z835" s="243" t="str">
        <f>Shares!A835</f>
        <v/>
      </c>
      <c r="AA835" s="243" t="str">
        <f>Shares!B835</f>
        <v/>
      </c>
      <c r="AB835" s="243" t="str">
        <f>Shares!C835</f>
        <v/>
      </c>
      <c r="AC835" s="243" t="str">
        <f>Shares!D835</f>
        <v/>
      </c>
      <c r="AD835" s="243">
        <f>IF($Z835="",0,Shares!E835)</f>
        <v>0</v>
      </c>
      <c r="AE835" s="266">
        <f>IF($Z835="",0,Shares!J835*Shares!I835)</f>
        <v>0</v>
      </c>
      <c r="AF835" s="267">
        <f t="shared" si="57"/>
        <v>0</v>
      </c>
      <c r="AG835" s="266">
        <f>IF($Z835="",0,Shares!L835)</f>
        <v>0</v>
      </c>
      <c r="AH835" s="267">
        <f>IF($Z835="",0,Shares!M835)</f>
        <v>0</v>
      </c>
      <c r="AI835" s="243" t="str">
        <f>IF($Z835="","",RANK(AE835,$AE$2:$AE$1001)+COUNTIF($AE$2:AE835,AE835)-1)</f>
        <v/>
      </c>
      <c r="AJ835" s="243" t="str">
        <f>IF($AD835&lt;0,COUNT($AJ$1:AJ834)+1,"")</f>
        <v/>
      </c>
      <c r="AL835" s="243" t="str">
        <f>'All Ticker P&amp;L'!A835</f>
        <v/>
      </c>
      <c r="AM835" s="243" t="str">
        <f>'All Ticker P&amp;L'!B835</f>
        <v/>
      </c>
      <c r="AN835" s="243" t="str">
        <f>'All Ticker P&amp;L'!C835</f>
        <v/>
      </c>
      <c r="AO835" s="243" t="str">
        <f>'All Ticker P&amp;L'!D835</f>
        <v/>
      </c>
      <c r="AP835" s="243">
        <f>IF($AL835="",0,'All Ticker P&amp;L'!E835)</f>
        <v>0</v>
      </c>
      <c r="AQ835" s="266">
        <f>IF($AL835="",0,'All Ticker P&amp;L'!J835*'All Ticker P&amp;L'!I835)</f>
        <v>0</v>
      </c>
      <c r="AR835" s="266">
        <f>IF($AL835="",0,'All Ticker P&amp;L'!L835)</f>
        <v>0</v>
      </c>
      <c r="AS835" s="267">
        <f>IF($AL835="",0,'All Ticker P&amp;L'!M835)</f>
        <v>0</v>
      </c>
      <c r="AT835" s="243" t="str">
        <f>IF($AL835="","",RANK(AR835,$AR$2:$AR$1001)+COUNTIF($AR$2:AR835,AR835)-1)</f>
        <v/>
      </c>
      <c r="AU835" s="243" t="str">
        <f>IF($AL835="","",RANK(AV835,$AV$2:$AV$1001)+COUNTIF($AV$2:AV835,AV835)-1)</f>
        <v/>
      </c>
      <c r="AV835" s="266">
        <f t="shared" si="58"/>
        <v>0</v>
      </c>
    </row>
    <row r="836" spans="26:48" ht="15" customHeight="1" x14ac:dyDescent="0.2">
      <c r="Z836" s="243" t="str">
        <f>Shares!A836</f>
        <v/>
      </c>
      <c r="AA836" s="243" t="str">
        <f>Shares!B836</f>
        <v/>
      </c>
      <c r="AB836" s="243" t="str">
        <f>Shares!C836</f>
        <v/>
      </c>
      <c r="AC836" s="243" t="str">
        <f>Shares!D836</f>
        <v/>
      </c>
      <c r="AD836" s="243">
        <f>IF($Z836="",0,Shares!E836)</f>
        <v>0</v>
      </c>
      <c r="AE836" s="266">
        <f>IF($Z836="",0,Shares!J836*Shares!I836)</f>
        <v>0</v>
      </c>
      <c r="AF836" s="267">
        <f t="shared" si="57"/>
        <v>0</v>
      </c>
      <c r="AG836" s="266">
        <f>IF($Z836="",0,Shares!L836)</f>
        <v>0</v>
      </c>
      <c r="AH836" s="267">
        <f>IF($Z836="",0,Shares!M836)</f>
        <v>0</v>
      </c>
      <c r="AI836" s="243" t="str">
        <f>IF($Z836="","",RANK(AE836,$AE$2:$AE$1001)+COUNTIF($AE$2:AE836,AE836)-1)</f>
        <v/>
      </c>
      <c r="AJ836" s="243" t="str">
        <f>IF($AD836&lt;0,COUNT($AJ$1:AJ835)+1,"")</f>
        <v/>
      </c>
      <c r="AL836" s="243" t="str">
        <f>'All Ticker P&amp;L'!A836</f>
        <v/>
      </c>
      <c r="AM836" s="243" t="str">
        <f>'All Ticker P&amp;L'!B836</f>
        <v/>
      </c>
      <c r="AN836" s="243" t="str">
        <f>'All Ticker P&amp;L'!C836</f>
        <v/>
      </c>
      <c r="AO836" s="243" t="str">
        <f>'All Ticker P&amp;L'!D836</f>
        <v/>
      </c>
      <c r="AP836" s="243">
        <f>IF($AL836="",0,'All Ticker P&amp;L'!E836)</f>
        <v>0</v>
      </c>
      <c r="AQ836" s="266">
        <f>IF($AL836="",0,'All Ticker P&amp;L'!J836*'All Ticker P&amp;L'!I836)</f>
        <v>0</v>
      </c>
      <c r="AR836" s="266">
        <f>IF($AL836="",0,'All Ticker P&amp;L'!L836)</f>
        <v>0</v>
      </c>
      <c r="AS836" s="267">
        <f>IF($AL836="",0,'All Ticker P&amp;L'!M836)</f>
        <v>0</v>
      </c>
      <c r="AT836" s="243" t="str">
        <f>IF($AL836="","",RANK(AR836,$AR$2:$AR$1001)+COUNTIF($AR$2:AR836,AR836)-1)</f>
        <v/>
      </c>
      <c r="AU836" s="243" t="str">
        <f>IF($AL836="","",RANK(AV836,$AV$2:$AV$1001)+COUNTIF($AV$2:AV836,AV836)-1)</f>
        <v/>
      </c>
      <c r="AV836" s="266">
        <f t="shared" si="58"/>
        <v>0</v>
      </c>
    </row>
    <row r="837" spans="26:48" ht="15" customHeight="1" x14ac:dyDescent="0.2">
      <c r="Z837" s="243" t="str">
        <f>Shares!A837</f>
        <v/>
      </c>
      <c r="AA837" s="243" t="str">
        <f>Shares!B837</f>
        <v/>
      </c>
      <c r="AB837" s="243" t="str">
        <f>Shares!C837</f>
        <v/>
      </c>
      <c r="AC837" s="243" t="str">
        <f>Shares!D837</f>
        <v/>
      </c>
      <c r="AD837" s="243">
        <f>IF($Z837="",0,Shares!E837)</f>
        <v>0</v>
      </c>
      <c r="AE837" s="266">
        <f>IF($Z837="",0,Shares!J837*Shares!I837)</f>
        <v>0</v>
      </c>
      <c r="AF837" s="267">
        <f t="shared" si="57"/>
        <v>0</v>
      </c>
      <c r="AG837" s="266">
        <f>IF($Z837="",0,Shares!L837)</f>
        <v>0</v>
      </c>
      <c r="AH837" s="267">
        <f>IF($Z837="",0,Shares!M837)</f>
        <v>0</v>
      </c>
      <c r="AI837" s="243" t="str">
        <f>IF($Z837="","",RANK(AE837,$AE$2:$AE$1001)+COUNTIF($AE$2:AE837,AE837)-1)</f>
        <v/>
      </c>
      <c r="AJ837" s="243" t="str">
        <f>IF($AD837&lt;0,COUNT($AJ$1:AJ836)+1,"")</f>
        <v/>
      </c>
      <c r="AL837" s="243" t="str">
        <f>'All Ticker P&amp;L'!A837</f>
        <v/>
      </c>
      <c r="AM837" s="243" t="str">
        <f>'All Ticker P&amp;L'!B837</f>
        <v/>
      </c>
      <c r="AN837" s="243" t="str">
        <f>'All Ticker P&amp;L'!C837</f>
        <v/>
      </c>
      <c r="AO837" s="243" t="str">
        <f>'All Ticker P&amp;L'!D837</f>
        <v/>
      </c>
      <c r="AP837" s="243">
        <f>IF($AL837="",0,'All Ticker P&amp;L'!E837)</f>
        <v>0</v>
      </c>
      <c r="AQ837" s="266">
        <f>IF($AL837="",0,'All Ticker P&amp;L'!J837*'All Ticker P&amp;L'!I837)</f>
        <v>0</v>
      </c>
      <c r="AR837" s="266">
        <f>IF($AL837="",0,'All Ticker P&amp;L'!L837)</f>
        <v>0</v>
      </c>
      <c r="AS837" s="267">
        <f>IF($AL837="",0,'All Ticker P&amp;L'!M837)</f>
        <v>0</v>
      </c>
      <c r="AT837" s="243" t="str">
        <f>IF($AL837="","",RANK(AR837,$AR$2:$AR$1001)+COUNTIF($AR$2:AR837,AR837)-1)</f>
        <v/>
      </c>
      <c r="AU837" s="243" t="str">
        <f>IF($AL837="","",RANK(AV837,$AV$2:$AV$1001)+COUNTIF($AV$2:AV837,AV837)-1)</f>
        <v/>
      </c>
      <c r="AV837" s="266">
        <f t="shared" si="58"/>
        <v>0</v>
      </c>
    </row>
    <row r="838" spans="26:48" ht="15" customHeight="1" x14ac:dyDescent="0.2">
      <c r="Z838" s="243" t="str">
        <f>Shares!A838</f>
        <v/>
      </c>
      <c r="AA838" s="243" t="str">
        <f>Shares!B838</f>
        <v/>
      </c>
      <c r="AB838" s="243" t="str">
        <f>Shares!C838</f>
        <v/>
      </c>
      <c r="AC838" s="243" t="str">
        <f>Shares!D838</f>
        <v/>
      </c>
      <c r="AD838" s="243">
        <f>IF($Z838="",0,Shares!E838)</f>
        <v>0</v>
      </c>
      <c r="AE838" s="266">
        <f>IF($Z838="",0,Shares!J838*Shares!I838)</f>
        <v>0</v>
      </c>
      <c r="AF838" s="267">
        <f t="shared" si="57"/>
        <v>0</v>
      </c>
      <c r="AG838" s="266">
        <f>IF($Z838="",0,Shares!L838)</f>
        <v>0</v>
      </c>
      <c r="AH838" s="267">
        <f>IF($Z838="",0,Shares!M838)</f>
        <v>0</v>
      </c>
      <c r="AI838" s="243" t="str">
        <f>IF($Z838="","",RANK(AE838,$AE$2:$AE$1001)+COUNTIF($AE$2:AE838,AE838)-1)</f>
        <v/>
      </c>
      <c r="AJ838" s="243" t="str">
        <f>IF($AD838&lt;0,COUNT($AJ$1:AJ837)+1,"")</f>
        <v/>
      </c>
      <c r="AL838" s="243" t="str">
        <f>'All Ticker P&amp;L'!A838</f>
        <v/>
      </c>
      <c r="AM838" s="243" t="str">
        <f>'All Ticker P&amp;L'!B838</f>
        <v/>
      </c>
      <c r="AN838" s="243" t="str">
        <f>'All Ticker P&amp;L'!C838</f>
        <v/>
      </c>
      <c r="AO838" s="243" t="str">
        <f>'All Ticker P&amp;L'!D838</f>
        <v/>
      </c>
      <c r="AP838" s="243">
        <f>IF($AL838="",0,'All Ticker P&amp;L'!E838)</f>
        <v>0</v>
      </c>
      <c r="AQ838" s="266">
        <f>IF($AL838="",0,'All Ticker P&amp;L'!J838*'All Ticker P&amp;L'!I838)</f>
        <v>0</v>
      </c>
      <c r="AR838" s="266">
        <f>IF($AL838="",0,'All Ticker P&amp;L'!L838)</f>
        <v>0</v>
      </c>
      <c r="AS838" s="267">
        <f>IF($AL838="",0,'All Ticker P&amp;L'!M838)</f>
        <v>0</v>
      </c>
      <c r="AT838" s="243" t="str">
        <f>IF($AL838="","",RANK(AR838,$AR$2:$AR$1001)+COUNTIF($AR$2:AR838,AR838)-1)</f>
        <v/>
      </c>
      <c r="AU838" s="243" t="str">
        <f>IF($AL838="","",RANK(AV838,$AV$2:$AV$1001)+COUNTIF($AV$2:AV838,AV838)-1)</f>
        <v/>
      </c>
      <c r="AV838" s="266">
        <f t="shared" si="58"/>
        <v>0</v>
      </c>
    </row>
    <row r="839" spans="26:48" ht="15" customHeight="1" x14ac:dyDescent="0.2">
      <c r="Z839" s="243" t="str">
        <f>Shares!A839</f>
        <v/>
      </c>
      <c r="AA839" s="243" t="str">
        <f>Shares!B839</f>
        <v/>
      </c>
      <c r="AB839" s="243" t="str">
        <f>Shares!C839</f>
        <v/>
      </c>
      <c r="AC839" s="243" t="str">
        <f>Shares!D839</f>
        <v/>
      </c>
      <c r="AD839" s="243">
        <f>IF($Z839="",0,Shares!E839)</f>
        <v>0</v>
      </c>
      <c r="AE839" s="266">
        <f>IF($Z839="",0,Shares!J839*Shares!I839)</f>
        <v>0</v>
      </c>
      <c r="AF839" s="267">
        <f t="shared" si="57"/>
        <v>0</v>
      </c>
      <c r="AG839" s="266">
        <f>IF($Z839="",0,Shares!L839)</f>
        <v>0</v>
      </c>
      <c r="AH839" s="267">
        <f>IF($Z839="",0,Shares!M839)</f>
        <v>0</v>
      </c>
      <c r="AI839" s="243" t="str">
        <f>IF($Z839="","",RANK(AE839,$AE$2:$AE$1001)+COUNTIF($AE$2:AE839,AE839)-1)</f>
        <v/>
      </c>
      <c r="AJ839" s="243" t="str">
        <f>IF($AD839&lt;0,COUNT($AJ$1:AJ838)+1,"")</f>
        <v/>
      </c>
      <c r="AL839" s="243" t="str">
        <f>'All Ticker P&amp;L'!A839</f>
        <v/>
      </c>
      <c r="AM839" s="243" t="str">
        <f>'All Ticker P&amp;L'!B839</f>
        <v/>
      </c>
      <c r="AN839" s="243" t="str">
        <f>'All Ticker P&amp;L'!C839</f>
        <v/>
      </c>
      <c r="AO839" s="243" t="str">
        <f>'All Ticker P&amp;L'!D839</f>
        <v/>
      </c>
      <c r="AP839" s="243">
        <f>IF($AL839="",0,'All Ticker P&amp;L'!E839)</f>
        <v>0</v>
      </c>
      <c r="AQ839" s="266">
        <f>IF($AL839="",0,'All Ticker P&amp;L'!J839*'All Ticker P&amp;L'!I839)</f>
        <v>0</v>
      </c>
      <c r="AR839" s="266">
        <f>IF($AL839="",0,'All Ticker P&amp;L'!L839)</f>
        <v>0</v>
      </c>
      <c r="AS839" s="267">
        <f>IF($AL839="",0,'All Ticker P&amp;L'!M839)</f>
        <v>0</v>
      </c>
      <c r="AT839" s="243" t="str">
        <f>IF($AL839="","",RANK(AR839,$AR$2:$AR$1001)+COUNTIF($AR$2:AR839,AR839)-1)</f>
        <v/>
      </c>
      <c r="AU839" s="243" t="str">
        <f>IF($AL839="","",RANK(AV839,$AV$2:$AV$1001)+COUNTIF($AV$2:AV839,AV839)-1)</f>
        <v/>
      </c>
      <c r="AV839" s="266">
        <f t="shared" si="58"/>
        <v>0</v>
      </c>
    </row>
    <row r="840" spans="26:48" ht="15" customHeight="1" x14ac:dyDescent="0.2">
      <c r="Z840" s="243" t="str">
        <f>Shares!A840</f>
        <v/>
      </c>
      <c r="AA840" s="243" t="str">
        <f>Shares!B840</f>
        <v/>
      </c>
      <c r="AB840" s="243" t="str">
        <f>Shares!C840</f>
        <v/>
      </c>
      <c r="AC840" s="243" t="str">
        <f>Shares!D840</f>
        <v/>
      </c>
      <c r="AD840" s="243">
        <f>IF($Z840="",0,Shares!E840)</f>
        <v>0</v>
      </c>
      <c r="AE840" s="266">
        <f>IF($Z840="",0,Shares!J840*Shares!I840)</f>
        <v>0</v>
      </c>
      <c r="AF840" s="267">
        <f t="shared" si="57"/>
        <v>0</v>
      </c>
      <c r="AG840" s="266">
        <f>IF($Z840="",0,Shares!L840)</f>
        <v>0</v>
      </c>
      <c r="AH840" s="267">
        <f>IF($Z840="",0,Shares!M840)</f>
        <v>0</v>
      </c>
      <c r="AI840" s="243" t="str">
        <f>IF($Z840="","",RANK(AE840,$AE$2:$AE$1001)+COUNTIF($AE$2:AE840,AE840)-1)</f>
        <v/>
      </c>
      <c r="AJ840" s="243" t="str">
        <f>IF($AD840&lt;0,COUNT($AJ$1:AJ839)+1,"")</f>
        <v/>
      </c>
      <c r="AL840" s="243" t="str">
        <f>'All Ticker P&amp;L'!A840</f>
        <v/>
      </c>
      <c r="AM840" s="243" t="str">
        <f>'All Ticker P&amp;L'!B840</f>
        <v/>
      </c>
      <c r="AN840" s="243" t="str">
        <f>'All Ticker P&amp;L'!C840</f>
        <v/>
      </c>
      <c r="AO840" s="243" t="str">
        <f>'All Ticker P&amp;L'!D840</f>
        <v/>
      </c>
      <c r="AP840" s="243">
        <f>IF($AL840="",0,'All Ticker P&amp;L'!E840)</f>
        <v>0</v>
      </c>
      <c r="AQ840" s="266">
        <f>IF($AL840="",0,'All Ticker P&amp;L'!J840*'All Ticker P&amp;L'!I840)</f>
        <v>0</v>
      </c>
      <c r="AR840" s="266">
        <f>IF($AL840="",0,'All Ticker P&amp;L'!L840)</f>
        <v>0</v>
      </c>
      <c r="AS840" s="267">
        <f>IF($AL840="",0,'All Ticker P&amp;L'!M840)</f>
        <v>0</v>
      </c>
      <c r="AT840" s="243" t="str">
        <f>IF($AL840="","",RANK(AR840,$AR$2:$AR$1001)+COUNTIF($AR$2:AR840,AR840)-1)</f>
        <v/>
      </c>
      <c r="AU840" s="243" t="str">
        <f>IF($AL840="","",RANK(AV840,$AV$2:$AV$1001)+COUNTIF($AV$2:AV840,AV840)-1)</f>
        <v/>
      </c>
      <c r="AV840" s="266">
        <f t="shared" si="58"/>
        <v>0</v>
      </c>
    </row>
    <row r="841" spans="26:48" ht="15" customHeight="1" x14ac:dyDescent="0.2">
      <c r="Z841" s="243" t="str">
        <f>Shares!A841</f>
        <v/>
      </c>
      <c r="AA841" s="243" t="str">
        <f>Shares!B841</f>
        <v/>
      </c>
      <c r="AB841" s="243" t="str">
        <f>Shares!C841</f>
        <v/>
      </c>
      <c r="AC841" s="243" t="str">
        <f>Shares!D841</f>
        <v/>
      </c>
      <c r="AD841" s="243">
        <f>IF($Z841="",0,Shares!E841)</f>
        <v>0</v>
      </c>
      <c r="AE841" s="266">
        <f>IF($Z841="",0,Shares!J841*Shares!I841)</f>
        <v>0</v>
      </c>
      <c r="AF841" s="267">
        <f t="shared" si="57"/>
        <v>0</v>
      </c>
      <c r="AG841" s="266">
        <f>IF($Z841="",0,Shares!L841)</f>
        <v>0</v>
      </c>
      <c r="AH841" s="267">
        <f>IF($Z841="",0,Shares!M841)</f>
        <v>0</v>
      </c>
      <c r="AI841" s="243" t="str">
        <f>IF($Z841="","",RANK(AE841,$AE$2:$AE$1001)+COUNTIF($AE$2:AE841,AE841)-1)</f>
        <v/>
      </c>
      <c r="AJ841" s="243" t="str">
        <f>IF($AD841&lt;0,COUNT($AJ$1:AJ840)+1,"")</f>
        <v/>
      </c>
      <c r="AL841" s="243" t="str">
        <f>'All Ticker P&amp;L'!A841</f>
        <v/>
      </c>
      <c r="AM841" s="243" t="str">
        <f>'All Ticker P&amp;L'!B841</f>
        <v/>
      </c>
      <c r="AN841" s="243" t="str">
        <f>'All Ticker P&amp;L'!C841</f>
        <v/>
      </c>
      <c r="AO841" s="243" t="str">
        <f>'All Ticker P&amp;L'!D841</f>
        <v/>
      </c>
      <c r="AP841" s="243">
        <f>IF($AL841="",0,'All Ticker P&amp;L'!E841)</f>
        <v>0</v>
      </c>
      <c r="AQ841" s="266">
        <f>IF($AL841="",0,'All Ticker P&amp;L'!J841*'All Ticker P&amp;L'!I841)</f>
        <v>0</v>
      </c>
      <c r="AR841" s="266">
        <f>IF($AL841="",0,'All Ticker P&amp;L'!L841)</f>
        <v>0</v>
      </c>
      <c r="AS841" s="267">
        <f>IF($AL841="",0,'All Ticker P&amp;L'!M841)</f>
        <v>0</v>
      </c>
      <c r="AT841" s="243" t="str">
        <f>IF($AL841="","",RANK(AR841,$AR$2:$AR$1001)+COUNTIF($AR$2:AR841,AR841)-1)</f>
        <v/>
      </c>
      <c r="AU841" s="243" t="str">
        <f>IF($AL841="","",RANK(AV841,$AV$2:$AV$1001)+COUNTIF($AV$2:AV841,AV841)-1)</f>
        <v/>
      </c>
      <c r="AV841" s="266">
        <f t="shared" si="58"/>
        <v>0</v>
      </c>
    </row>
    <row r="842" spans="26:48" ht="15" customHeight="1" x14ac:dyDescent="0.2">
      <c r="Z842" s="243" t="str">
        <f>Shares!A842</f>
        <v/>
      </c>
      <c r="AA842" s="243" t="str">
        <f>Shares!B842</f>
        <v/>
      </c>
      <c r="AB842" s="243" t="str">
        <f>Shares!C842</f>
        <v/>
      </c>
      <c r="AC842" s="243" t="str">
        <f>Shares!D842</f>
        <v/>
      </c>
      <c r="AD842" s="243">
        <f>IF($Z842="",0,Shares!E842)</f>
        <v>0</v>
      </c>
      <c r="AE842" s="266">
        <f>IF($Z842="",0,Shares!J842*Shares!I842)</f>
        <v>0</v>
      </c>
      <c r="AF842" s="267">
        <f t="shared" si="57"/>
        <v>0</v>
      </c>
      <c r="AG842" s="266">
        <f>IF($Z842="",0,Shares!L842)</f>
        <v>0</v>
      </c>
      <c r="AH842" s="267">
        <f>IF($Z842="",0,Shares!M842)</f>
        <v>0</v>
      </c>
      <c r="AI842" s="243" t="str">
        <f>IF($Z842="","",RANK(AE842,$AE$2:$AE$1001)+COUNTIF($AE$2:AE842,AE842)-1)</f>
        <v/>
      </c>
      <c r="AJ842" s="243" t="str">
        <f>IF($AD842&lt;0,COUNT($AJ$1:AJ841)+1,"")</f>
        <v/>
      </c>
      <c r="AL842" s="243" t="str">
        <f>'All Ticker P&amp;L'!A842</f>
        <v/>
      </c>
      <c r="AM842" s="243" t="str">
        <f>'All Ticker P&amp;L'!B842</f>
        <v/>
      </c>
      <c r="AN842" s="243" t="str">
        <f>'All Ticker P&amp;L'!C842</f>
        <v/>
      </c>
      <c r="AO842" s="243" t="str">
        <f>'All Ticker P&amp;L'!D842</f>
        <v/>
      </c>
      <c r="AP842" s="243">
        <f>IF($AL842="",0,'All Ticker P&amp;L'!E842)</f>
        <v>0</v>
      </c>
      <c r="AQ842" s="266">
        <f>IF($AL842="",0,'All Ticker P&amp;L'!J842*'All Ticker P&amp;L'!I842)</f>
        <v>0</v>
      </c>
      <c r="AR842" s="266">
        <f>IF($AL842="",0,'All Ticker P&amp;L'!L842)</f>
        <v>0</v>
      </c>
      <c r="AS842" s="267">
        <f>IF($AL842="",0,'All Ticker P&amp;L'!M842)</f>
        <v>0</v>
      </c>
      <c r="AT842" s="243" t="str">
        <f>IF($AL842="","",RANK(AR842,$AR$2:$AR$1001)+COUNTIF($AR$2:AR842,AR842)-1)</f>
        <v/>
      </c>
      <c r="AU842" s="243" t="str">
        <f>IF($AL842="","",RANK(AV842,$AV$2:$AV$1001)+COUNTIF($AV$2:AV842,AV842)-1)</f>
        <v/>
      </c>
      <c r="AV842" s="266">
        <f t="shared" si="58"/>
        <v>0</v>
      </c>
    </row>
    <row r="843" spans="26:48" ht="15" customHeight="1" x14ac:dyDescent="0.2">
      <c r="Z843" s="243" t="str">
        <f>Shares!A843</f>
        <v/>
      </c>
      <c r="AA843" s="243" t="str">
        <f>Shares!B843</f>
        <v/>
      </c>
      <c r="AB843" s="243" t="str">
        <f>Shares!C843</f>
        <v/>
      </c>
      <c r="AC843" s="243" t="str">
        <f>Shares!D843</f>
        <v/>
      </c>
      <c r="AD843" s="243">
        <f>IF($Z843="",0,Shares!E843)</f>
        <v>0</v>
      </c>
      <c r="AE843" s="266">
        <f>IF($Z843="",0,Shares!J843*Shares!I843)</f>
        <v>0</v>
      </c>
      <c r="AF843" s="267">
        <f t="shared" si="57"/>
        <v>0</v>
      </c>
      <c r="AG843" s="266">
        <f>IF($Z843="",0,Shares!L843)</f>
        <v>0</v>
      </c>
      <c r="AH843" s="267">
        <f>IF($Z843="",0,Shares!M843)</f>
        <v>0</v>
      </c>
      <c r="AI843" s="243" t="str">
        <f>IF($Z843="","",RANK(AE843,$AE$2:$AE$1001)+COUNTIF($AE$2:AE843,AE843)-1)</f>
        <v/>
      </c>
      <c r="AJ843" s="243" t="str">
        <f>IF($AD843&lt;0,COUNT($AJ$1:AJ842)+1,"")</f>
        <v/>
      </c>
      <c r="AL843" s="243" t="str">
        <f>'All Ticker P&amp;L'!A843</f>
        <v/>
      </c>
      <c r="AM843" s="243" t="str">
        <f>'All Ticker P&amp;L'!B843</f>
        <v/>
      </c>
      <c r="AN843" s="243" t="str">
        <f>'All Ticker P&amp;L'!C843</f>
        <v/>
      </c>
      <c r="AO843" s="243" t="str">
        <f>'All Ticker P&amp;L'!D843</f>
        <v/>
      </c>
      <c r="AP843" s="243">
        <f>IF($AL843="",0,'All Ticker P&amp;L'!E843)</f>
        <v>0</v>
      </c>
      <c r="AQ843" s="266">
        <f>IF($AL843="",0,'All Ticker P&amp;L'!J843*'All Ticker P&amp;L'!I843)</f>
        <v>0</v>
      </c>
      <c r="AR843" s="266">
        <f>IF($AL843="",0,'All Ticker P&amp;L'!L843)</f>
        <v>0</v>
      </c>
      <c r="AS843" s="267">
        <f>IF($AL843="",0,'All Ticker P&amp;L'!M843)</f>
        <v>0</v>
      </c>
      <c r="AT843" s="243" t="str">
        <f>IF($AL843="","",RANK(AR843,$AR$2:$AR$1001)+COUNTIF($AR$2:AR843,AR843)-1)</f>
        <v/>
      </c>
      <c r="AU843" s="243" t="str">
        <f>IF($AL843="","",RANK(AV843,$AV$2:$AV$1001)+COUNTIF($AV$2:AV843,AV843)-1)</f>
        <v/>
      </c>
      <c r="AV843" s="266">
        <f t="shared" si="58"/>
        <v>0</v>
      </c>
    </row>
    <row r="844" spans="26:48" ht="15" customHeight="1" x14ac:dyDescent="0.2">
      <c r="Z844" s="243" t="str">
        <f>Shares!A844</f>
        <v/>
      </c>
      <c r="AA844" s="243" t="str">
        <f>Shares!B844</f>
        <v/>
      </c>
      <c r="AB844" s="243" t="str">
        <f>Shares!C844</f>
        <v/>
      </c>
      <c r="AC844" s="243" t="str">
        <f>Shares!D844</f>
        <v/>
      </c>
      <c r="AD844" s="243">
        <f>IF($Z844="",0,Shares!E844)</f>
        <v>0</v>
      </c>
      <c r="AE844" s="266">
        <f>IF($Z844="",0,Shares!J844*Shares!I844)</f>
        <v>0</v>
      </c>
      <c r="AF844" s="267">
        <f t="shared" si="57"/>
        <v>0</v>
      </c>
      <c r="AG844" s="266">
        <f>IF($Z844="",0,Shares!L844)</f>
        <v>0</v>
      </c>
      <c r="AH844" s="267">
        <f>IF($Z844="",0,Shares!M844)</f>
        <v>0</v>
      </c>
      <c r="AI844" s="243" t="str">
        <f>IF($Z844="","",RANK(AE844,$AE$2:$AE$1001)+COUNTIF($AE$2:AE844,AE844)-1)</f>
        <v/>
      </c>
      <c r="AJ844" s="243" t="str">
        <f>IF($AD844&lt;0,COUNT($AJ$1:AJ843)+1,"")</f>
        <v/>
      </c>
      <c r="AL844" s="243" t="str">
        <f>'All Ticker P&amp;L'!A844</f>
        <v/>
      </c>
      <c r="AM844" s="243" t="str">
        <f>'All Ticker P&amp;L'!B844</f>
        <v/>
      </c>
      <c r="AN844" s="243" t="str">
        <f>'All Ticker P&amp;L'!C844</f>
        <v/>
      </c>
      <c r="AO844" s="243" t="str">
        <f>'All Ticker P&amp;L'!D844</f>
        <v/>
      </c>
      <c r="AP844" s="243">
        <f>IF($AL844="",0,'All Ticker P&amp;L'!E844)</f>
        <v>0</v>
      </c>
      <c r="AQ844" s="266">
        <f>IF($AL844="",0,'All Ticker P&amp;L'!J844*'All Ticker P&amp;L'!I844)</f>
        <v>0</v>
      </c>
      <c r="AR844" s="266">
        <f>IF($AL844="",0,'All Ticker P&amp;L'!L844)</f>
        <v>0</v>
      </c>
      <c r="AS844" s="267">
        <f>IF($AL844="",0,'All Ticker P&amp;L'!M844)</f>
        <v>0</v>
      </c>
      <c r="AT844" s="243" t="str">
        <f>IF($AL844="","",RANK(AR844,$AR$2:$AR$1001)+COUNTIF($AR$2:AR844,AR844)-1)</f>
        <v/>
      </c>
      <c r="AU844" s="243" t="str">
        <f>IF($AL844="","",RANK(AV844,$AV$2:$AV$1001)+COUNTIF($AV$2:AV844,AV844)-1)</f>
        <v/>
      </c>
      <c r="AV844" s="266">
        <f t="shared" si="58"/>
        <v>0</v>
      </c>
    </row>
    <row r="845" spans="26:48" ht="15" customHeight="1" x14ac:dyDescent="0.2">
      <c r="Z845" s="243" t="str">
        <f>Shares!A845</f>
        <v/>
      </c>
      <c r="AA845" s="243" t="str">
        <f>Shares!B845</f>
        <v/>
      </c>
      <c r="AB845" s="243" t="str">
        <f>Shares!C845</f>
        <v/>
      </c>
      <c r="AC845" s="243" t="str">
        <f>Shares!D845</f>
        <v/>
      </c>
      <c r="AD845" s="243">
        <f>IF($Z845="",0,Shares!E845)</f>
        <v>0</v>
      </c>
      <c r="AE845" s="266">
        <f>IF($Z845="",0,Shares!J845*Shares!I845)</f>
        <v>0</v>
      </c>
      <c r="AF845" s="267">
        <f t="shared" si="57"/>
        <v>0</v>
      </c>
      <c r="AG845" s="266">
        <f>IF($Z845="",0,Shares!L845)</f>
        <v>0</v>
      </c>
      <c r="AH845" s="267">
        <f>IF($Z845="",0,Shares!M845)</f>
        <v>0</v>
      </c>
      <c r="AI845" s="243" t="str">
        <f>IF($Z845="","",RANK(AE845,$AE$2:$AE$1001)+COUNTIF($AE$2:AE845,AE845)-1)</f>
        <v/>
      </c>
      <c r="AJ845" s="243" t="str">
        <f>IF($AD845&lt;0,COUNT($AJ$1:AJ844)+1,"")</f>
        <v/>
      </c>
      <c r="AL845" s="243" t="str">
        <f>'All Ticker P&amp;L'!A845</f>
        <v/>
      </c>
      <c r="AM845" s="243" t="str">
        <f>'All Ticker P&amp;L'!B845</f>
        <v/>
      </c>
      <c r="AN845" s="243" t="str">
        <f>'All Ticker P&amp;L'!C845</f>
        <v/>
      </c>
      <c r="AO845" s="243" t="str">
        <f>'All Ticker P&amp;L'!D845</f>
        <v/>
      </c>
      <c r="AP845" s="243">
        <f>IF($AL845="",0,'All Ticker P&amp;L'!E845)</f>
        <v>0</v>
      </c>
      <c r="AQ845" s="266">
        <f>IF($AL845="",0,'All Ticker P&amp;L'!J845*'All Ticker P&amp;L'!I845)</f>
        <v>0</v>
      </c>
      <c r="AR845" s="266">
        <f>IF($AL845="",0,'All Ticker P&amp;L'!L845)</f>
        <v>0</v>
      </c>
      <c r="AS845" s="267">
        <f>IF($AL845="",0,'All Ticker P&amp;L'!M845)</f>
        <v>0</v>
      </c>
      <c r="AT845" s="243" t="str">
        <f>IF($AL845="","",RANK(AR845,$AR$2:$AR$1001)+COUNTIF($AR$2:AR845,AR845)-1)</f>
        <v/>
      </c>
      <c r="AU845" s="243" t="str">
        <f>IF($AL845="","",RANK(AV845,$AV$2:$AV$1001)+COUNTIF($AV$2:AV845,AV845)-1)</f>
        <v/>
      </c>
      <c r="AV845" s="266">
        <f t="shared" si="58"/>
        <v>0</v>
      </c>
    </row>
    <row r="846" spans="26:48" ht="15" customHeight="1" x14ac:dyDescent="0.2">
      <c r="Z846" s="243" t="str">
        <f>Shares!A846</f>
        <v/>
      </c>
      <c r="AA846" s="243" t="str">
        <f>Shares!B846</f>
        <v/>
      </c>
      <c r="AB846" s="243" t="str">
        <f>Shares!C846</f>
        <v/>
      </c>
      <c r="AC846" s="243" t="str">
        <f>Shares!D846</f>
        <v/>
      </c>
      <c r="AD846" s="243">
        <f>IF($Z846="",0,Shares!E846)</f>
        <v>0</v>
      </c>
      <c r="AE846" s="266">
        <f>IF($Z846="",0,Shares!J846*Shares!I846)</f>
        <v>0</v>
      </c>
      <c r="AF846" s="267">
        <f t="shared" si="57"/>
        <v>0</v>
      </c>
      <c r="AG846" s="266">
        <f>IF($Z846="",0,Shares!L846)</f>
        <v>0</v>
      </c>
      <c r="AH846" s="267">
        <f>IF($Z846="",0,Shares!M846)</f>
        <v>0</v>
      </c>
      <c r="AI846" s="243" t="str">
        <f>IF($Z846="","",RANK(AE846,$AE$2:$AE$1001)+COUNTIF($AE$2:AE846,AE846)-1)</f>
        <v/>
      </c>
      <c r="AJ846" s="243" t="str">
        <f>IF($AD846&lt;0,COUNT($AJ$1:AJ845)+1,"")</f>
        <v/>
      </c>
      <c r="AL846" s="243" t="str">
        <f>'All Ticker P&amp;L'!A846</f>
        <v/>
      </c>
      <c r="AM846" s="243" t="str">
        <f>'All Ticker P&amp;L'!B846</f>
        <v/>
      </c>
      <c r="AN846" s="243" t="str">
        <f>'All Ticker P&amp;L'!C846</f>
        <v/>
      </c>
      <c r="AO846" s="243" t="str">
        <f>'All Ticker P&amp;L'!D846</f>
        <v/>
      </c>
      <c r="AP846" s="243">
        <f>IF($AL846="",0,'All Ticker P&amp;L'!E846)</f>
        <v>0</v>
      </c>
      <c r="AQ846" s="266">
        <f>IF($AL846="",0,'All Ticker P&amp;L'!J846*'All Ticker P&amp;L'!I846)</f>
        <v>0</v>
      </c>
      <c r="AR846" s="266">
        <f>IF($AL846="",0,'All Ticker P&amp;L'!L846)</f>
        <v>0</v>
      </c>
      <c r="AS846" s="267">
        <f>IF($AL846="",0,'All Ticker P&amp;L'!M846)</f>
        <v>0</v>
      </c>
      <c r="AT846" s="243" t="str">
        <f>IF($AL846="","",RANK(AR846,$AR$2:$AR$1001)+COUNTIF($AR$2:AR846,AR846)-1)</f>
        <v/>
      </c>
      <c r="AU846" s="243" t="str">
        <f>IF($AL846="","",RANK(AV846,$AV$2:$AV$1001)+COUNTIF($AV$2:AV846,AV846)-1)</f>
        <v/>
      </c>
      <c r="AV846" s="266">
        <f t="shared" si="58"/>
        <v>0</v>
      </c>
    </row>
    <row r="847" spans="26:48" ht="15" customHeight="1" x14ac:dyDescent="0.2">
      <c r="Z847" s="243" t="str">
        <f>Shares!A847</f>
        <v/>
      </c>
      <c r="AA847" s="243" t="str">
        <f>Shares!B847</f>
        <v/>
      </c>
      <c r="AB847" s="243" t="str">
        <f>Shares!C847</f>
        <v/>
      </c>
      <c r="AC847" s="243" t="str">
        <f>Shares!D847</f>
        <v/>
      </c>
      <c r="AD847" s="243">
        <f>IF($Z847="",0,Shares!E847)</f>
        <v>0</v>
      </c>
      <c r="AE847" s="266">
        <f>IF($Z847="",0,Shares!J847*Shares!I847)</f>
        <v>0</v>
      </c>
      <c r="AF847" s="267">
        <f t="shared" si="57"/>
        <v>0</v>
      </c>
      <c r="AG847" s="266">
        <f>IF($Z847="",0,Shares!L847)</f>
        <v>0</v>
      </c>
      <c r="AH847" s="267">
        <f>IF($Z847="",0,Shares!M847)</f>
        <v>0</v>
      </c>
      <c r="AI847" s="243" t="str">
        <f>IF($Z847="","",RANK(AE847,$AE$2:$AE$1001)+COUNTIF($AE$2:AE847,AE847)-1)</f>
        <v/>
      </c>
      <c r="AJ847" s="243" t="str">
        <f>IF($AD847&lt;0,COUNT($AJ$1:AJ846)+1,"")</f>
        <v/>
      </c>
      <c r="AL847" s="243" t="str">
        <f>'All Ticker P&amp;L'!A847</f>
        <v/>
      </c>
      <c r="AM847" s="243" t="str">
        <f>'All Ticker P&amp;L'!B847</f>
        <v/>
      </c>
      <c r="AN847" s="243" t="str">
        <f>'All Ticker P&amp;L'!C847</f>
        <v/>
      </c>
      <c r="AO847" s="243" t="str">
        <f>'All Ticker P&amp;L'!D847</f>
        <v/>
      </c>
      <c r="AP847" s="243">
        <f>IF($AL847="",0,'All Ticker P&amp;L'!E847)</f>
        <v>0</v>
      </c>
      <c r="AQ847" s="266">
        <f>IF($AL847="",0,'All Ticker P&amp;L'!J847*'All Ticker P&amp;L'!I847)</f>
        <v>0</v>
      </c>
      <c r="AR847" s="266">
        <f>IF($AL847="",0,'All Ticker P&amp;L'!L847)</f>
        <v>0</v>
      </c>
      <c r="AS847" s="267">
        <f>IF($AL847="",0,'All Ticker P&amp;L'!M847)</f>
        <v>0</v>
      </c>
      <c r="AT847" s="243" t="str">
        <f>IF($AL847="","",RANK(AR847,$AR$2:$AR$1001)+COUNTIF($AR$2:AR847,AR847)-1)</f>
        <v/>
      </c>
      <c r="AU847" s="243" t="str">
        <f>IF($AL847="","",RANK(AV847,$AV$2:$AV$1001)+COUNTIF($AV$2:AV847,AV847)-1)</f>
        <v/>
      </c>
      <c r="AV847" s="266">
        <f t="shared" si="58"/>
        <v>0</v>
      </c>
    </row>
    <row r="848" spans="26:48" ht="15" customHeight="1" x14ac:dyDescent="0.2">
      <c r="Z848" s="243" t="str">
        <f>Shares!A848</f>
        <v/>
      </c>
      <c r="AA848" s="243" t="str">
        <f>Shares!B848</f>
        <v/>
      </c>
      <c r="AB848" s="243" t="str">
        <f>Shares!C848</f>
        <v/>
      </c>
      <c r="AC848" s="243" t="str">
        <f>Shares!D848</f>
        <v/>
      </c>
      <c r="AD848" s="243">
        <f>IF($Z848="",0,Shares!E848)</f>
        <v>0</v>
      </c>
      <c r="AE848" s="266">
        <f>IF($Z848="",0,Shares!J848*Shares!I848)</f>
        <v>0</v>
      </c>
      <c r="AF848" s="267">
        <f t="shared" si="57"/>
        <v>0</v>
      </c>
      <c r="AG848" s="266">
        <f>IF($Z848="",0,Shares!L848)</f>
        <v>0</v>
      </c>
      <c r="AH848" s="267">
        <f>IF($Z848="",0,Shares!M848)</f>
        <v>0</v>
      </c>
      <c r="AI848" s="243" t="str">
        <f>IF($Z848="","",RANK(AE848,$AE$2:$AE$1001)+COUNTIF($AE$2:AE848,AE848)-1)</f>
        <v/>
      </c>
      <c r="AJ848" s="243" t="str">
        <f>IF($AD848&lt;0,COUNT($AJ$1:AJ847)+1,"")</f>
        <v/>
      </c>
      <c r="AL848" s="243" t="str">
        <f>'All Ticker P&amp;L'!A848</f>
        <v/>
      </c>
      <c r="AM848" s="243" t="str">
        <f>'All Ticker P&amp;L'!B848</f>
        <v/>
      </c>
      <c r="AN848" s="243" t="str">
        <f>'All Ticker P&amp;L'!C848</f>
        <v/>
      </c>
      <c r="AO848" s="243" t="str">
        <f>'All Ticker P&amp;L'!D848</f>
        <v/>
      </c>
      <c r="AP848" s="243">
        <f>IF($AL848="",0,'All Ticker P&amp;L'!E848)</f>
        <v>0</v>
      </c>
      <c r="AQ848" s="266">
        <f>IF($AL848="",0,'All Ticker P&amp;L'!J848*'All Ticker P&amp;L'!I848)</f>
        <v>0</v>
      </c>
      <c r="AR848" s="266">
        <f>IF($AL848="",0,'All Ticker P&amp;L'!L848)</f>
        <v>0</v>
      </c>
      <c r="AS848" s="267">
        <f>IF($AL848="",0,'All Ticker P&amp;L'!M848)</f>
        <v>0</v>
      </c>
      <c r="AT848" s="243" t="str">
        <f>IF($AL848="","",RANK(AR848,$AR$2:$AR$1001)+COUNTIF($AR$2:AR848,AR848)-1)</f>
        <v/>
      </c>
      <c r="AU848" s="243" t="str">
        <f>IF($AL848="","",RANK(AV848,$AV$2:$AV$1001)+COUNTIF($AV$2:AV848,AV848)-1)</f>
        <v/>
      </c>
      <c r="AV848" s="266">
        <f t="shared" si="58"/>
        <v>0</v>
      </c>
    </row>
    <row r="849" spans="26:48" ht="15" customHeight="1" x14ac:dyDescent="0.2">
      <c r="Z849" s="243" t="str">
        <f>Shares!A849</f>
        <v/>
      </c>
      <c r="AA849" s="243" t="str">
        <f>Shares!B849</f>
        <v/>
      </c>
      <c r="AB849" s="243" t="str">
        <f>Shares!C849</f>
        <v/>
      </c>
      <c r="AC849" s="243" t="str">
        <f>Shares!D849</f>
        <v/>
      </c>
      <c r="AD849" s="243">
        <f>IF($Z849="",0,Shares!E849)</f>
        <v>0</v>
      </c>
      <c r="AE849" s="266">
        <f>IF($Z849="",0,Shares!J849*Shares!I849)</f>
        <v>0</v>
      </c>
      <c r="AF849" s="267">
        <f t="shared" si="57"/>
        <v>0</v>
      </c>
      <c r="AG849" s="266">
        <f>IF($Z849="",0,Shares!L849)</f>
        <v>0</v>
      </c>
      <c r="AH849" s="267">
        <f>IF($Z849="",0,Shares!M849)</f>
        <v>0</v>
      </c>
      <c r="AI849" s="243" t="str">
        <f>IF($Z849="","",RANK(AE849,$AE$2:$AE$1001)+COUNTIF($AE$2:AE849,AE849)-1)</f>
        <v/>
      </c>
      <c r="AJ849" s="243" t="str">
        <f>IF($AD849&lt;0,COUNT($AJ$1:AJ848)+1,"")</f>
        <v/>
      </c>
      <c r="AL849" s="243" t="str">
        <f>'All Ticker P&amp;L'!A849</f>
        <v/>
      </c>
      <c r="AM849" s="243" t="str">
        <f>'All Ticker P&amp;L'!B849</f>
        <v/>
      </c>
      <c r="AN849" s="243" t="str">
        <f>'All Ticker P&amp;L'!C849</f>
        <v/>
      </c>
      <c r="AO849" s="243" t="str">
        <f>'All Ticker P&amp;L'!D849</f>
        <v/>
      </c>
      <c r="AP849" s="243">
        <f>IF($AL849="",0,'All Ticker P&amp;L'!E849)</f>
        <v>0</v>
      </c>
      <c r="AQ849" s="266">
        <f>IF($AL849="",0,'All Ticker P&amp;L'!J849*'All Ticker P&amp;L'!I849)</f>
        <v>0</v>
      </c>
      <c r="AR849" s="266">
        <f>IF($AL849="",0,'All Ticker P&amp;L'!L849)</f>
        <v>0</v>
      </c>
      <c r="AS849" s="267">
        <f>IF($AL849="",0,'All Ticker P&amp;L'!M849)</f>
        <v>0</v>
      </c>
      <c r="AT849" s="243" t="str">
        <f>IF($AL849="","",RANK(AR849,$AR$2:$AR$1001)+COUNTIF($AR$2:AR849,AR849)-1)</f>
        <v/>
      </c>
      <c r="AU849" s="243" t="str">
        <f>IF($AL849="","",RANK(AV849,$AV$2:$AV$1001)+COUNTIF($AV$2:AV849,AV849)-1)</f>
        <v/>
      </c>
      <c r="AV849" s="266">
        <f t="shared" si="58"/>
        <v>0</v>
      </c>
    </row>
    <row r="850" spans="26:48" ht="15" customHeight="1" x14ac:dyDescent="0.2">
      <c r="Z850" s="243" t="str">
        <f>Shares!A850</f>
        <v/>
      </c>
      <c r="AA850" s="243" t="str">
        <f>Shares!B850</f>
        <v/>
      </c>
      <c r="AB850" s="243" t="str">
        <f>Shares!C850</f>
        <v/>
      </c>
      <c r="AC850" s="243" t="str">
        <f>Shares!D850</f>
        <v/>
      </c>
      <c r="AD850" s="243">
        <f>IF($Z850="",0,Shares!E850)</f>
        <v>0</v>
      </c>
      <c r="AE850" s="266">
        <f>IF($Z850="",0,Shares!J850*Shares!I850)</f>
        <v>0</v>
      </c>
      <c r="AF850" s="267">
        <f t="shared" si="57"/>
        <v>0</v>
      </c>
      <c r="AG850" s="266">
        <f>IF($Z850="",0,Shares!L850)</f>
        <v>0</v>
      </c>
      <c r="AH850" s="267">
        <f>IF($Z850="",0,Shares!M850)</f>
        <v>0</v>
      </c>
      <c r="AI850" s="243" t="str">
        <f>IF($Z850="","",RANK(AE850,$AE$2:$AE$1001)+COUNTIF($AE$2:AE850,AE850)-1)</f>
        <v/>
      </c>
      <c r="AJ850" s="243" t="str">
        <f>IF($AD850&lt;0,COUNT($AJ$1:AJ849)+1,"")</f>
        <v/>
      </c>
      <c r="AL850" s="243" t="str">
        <f>'All Ticker P&amp;L'!A850</f>
        <v/>
      </c>
      <c r="AM850" s="243" t="str">
        <f>'All Ticker P&amp;L'!B850</f>
        <v/>
      </c>
      <c r="AN850" s="243" t="str">
        <f>'All Ticker P&amp;L'!C850</f>
        <v/>
      </c>
      <c r="AO850" s="243" t="str">
        <f>'All Ticker P&amp;L'!D850</f>
        <v/>
      </c>
      <c r="AP850" s="243">
        <f>IF($AL850="",0,'All Ticker P&amp;L'!E850)</f>
        <v>0</v>
      </c>
      <c r="AQ850" s="266">
        <f>IF($AL850="",0,'All Ticker P&amp;L'!J850*'All Ticker P&amp;L'!I850)</f>
        <v>0</v>
      </c>
      <c r="AR850" s="266">
        <f>IF($AL850="",0,'All Ticker P&amp;L'!L850)</f>
        <v>0</v>
      </c>
      <c r="AS850" s="267">
        <f>IF($AL850="",0,'All Ticker P&amp;L'!M850)</f>
        <v>0</v>
      </c>
      <c r="AT850" s="243" t="str">
        <f>IF($AL850="","",RANK(AR850,$AR$2:$AR$1001)+COUNTIF($AR$2:AR850,AR850)-1)</f>
        <v/>
      </c>
      <c r="AU850" s="243" t="str">
        <f>IF($AL850="","",RANK(AV850,$AV$2:$AV$1001)+COUNTIF($AV$2:AV850,AV850)-1)</f>
        <v/>
      </c>
      <c r="AV850" s="266">
        <f t="shared" si="58"/>
        <v>0</v>
      </c>
    </row>
    <row r="851" spans="26:48" ht="15" customHeight="1" x14ac:dyDescent="0.2">
      <c r="Z851" s="243" t="str">
        <f>Shares!A851</f>
        <v/>
      </c>
      <c r="AA851" s="243" t="str">
        <f>Shares!B851</f>
        <v/>
      </c>
      <c r="AB851" s="243" t="str">
        <f>Shares!C851</f>
        <v/>
      </c>
      <c r="AC851" s="243" t="str">
        <f>Shares!D851</f>
        <v/>
      </c>
      <c r="AD851" s="243">
        <f>IF($Z851="",0,Shares!E851)</f>
        <v>0</v>
      </c>
      <c r="AE851" s="266">
        <f>IF($Z851="",0,Shares!J851*Shares!I851)</f>
        <v>0</v>
      </c>
      <c r="AF851" s="267">
        <f t="shared" si="57"/>
        <v>0</v>
      </c>
      <c r="AG851" s="266">
        <f>IF($Z851="",0,Shares!L851)</f>
        <v>0</v>
      </c>
      <c r="AH851" s="267">
        <f>IF($Z851="",0,Shares!M851)</f>
        <v>0</v>
      </c>
      <c r="AI851" s="243" t="str">
        <f>IF($Z851="","",RANK(AE851,$AE$2:$AE$1001)+COUNTIF($AE$2:AE851,AE851)-1)</f>
        <v/>
      </c>
      <c r="AJ851" s="243" t="str">
        <f>IF($AD851&lt;0,COUNT($AJ$1:AJ850)+1,"")</f>
        <v/>
      </c>
      <c r="AL851" s="243" t="str">
        <f>'All Ticker P&amp;L'!A851</f>
        <v/>
      </c>
      <c r="AM851" s="243" t="str">
        <f>'All Ticker P&amp;L'!B851</f>
        <v/>
      </c>
      <c r="AN851" s="243" t="str">
        <f>'All Ticker P&amp;L'!C851</f>
        <v/>
      </c>
      <c r="AO851" s="243" t="str">
        <f>'All Ticker P&amp;L'!D851</f>
        <v/>
      </c>
      <c r="AP851" s="243">
        <f>IF($AL851="",0,'All Ticker P&amp;L'!E851)</f>
        <v>0</v>
      </c>
      <c r="AQ851" s="266">
        <f>IF($AL851="",0,'All Ticker P&amp;L'!J851*'All Ticker P&amp;L'!I851)</f>
        <v>0</v>
      </c>
      <c r="AR851" s="266">
        <f>IF($AL851="",0,'All Ticker P&amp;L'!L851)</f>
        <v>0</v>
      </c>
      <c r="AS851" s="267">
        <f>IF($AL851="",0,'All Ticker P&amp;L'!M851)</f>
        <v>0</v>
      </c>
      <c r="AT851" s="243" t="str">
        <f>IF($AL851="","",RANK(AR851,$AR$2:$AR$1001)+COUNTIF($AR$2:AR851,AR851)-1)</f>
        <v/>
      </c>
      <c r="AU851" s="243" t="str">
        <f>IF($AL851="","",RANK(AV851,$AV$2:$AV$1001)+COUNTIF($AV$2:AV851,AV851)-1)</f>
        <v/>
      </c>
      <c r="AV851" s="266">
        <f t="shared" si="58"/>
        <v>0</v>
      </c>
    </row>
    <row r="852" spans="26:48" ht="15" customHeight="1" x14ac:dyDescent="0.2">
      <c r="Z852" s="243" t="str">
        <f>Shares!A852</f>
        <v/>
      </c>
      <c r="AA852" s="243" t="str">
        <f>Shares!B852</f>
        <v/>
      </c>
      <c r="AB852" s="243" t="str">
        <f>Shares!C852</f>
        <v/>
      </c>
      <c r="AC852" s="243" t="str">
        <f>Shares!D852</f>
        <v/>
      </c>
      <c r="AD852" s="243">
        <f>IF($Z852="",0,Shares!E852)</f>
        <v>0</v>
      </c>
      <c r="AE852" s="266">
        <f>IF($Z852="",0,Shares!J852*Shares!I852)</f>
        <v>0</v>
      </c>
      <c r="AF852" s="267">
        <f t="shared" si="57"/>
        <v>0</v>
      </c>
      <c r="AG852" s="266">
        <f>IF($Z852="",0,Shares!L852)</f>
        <v>0</v>
      </c>
      <c r="AH852" s="267">
        <f>IF($Z852="",0,Shares!M852)</f>
        <v>0</v>
      </c>
      <c r="AI852" s="243" t="str">
        <f>IF($Z852="","",RANK(AE852,$AE$2:$AE$1001)+COUNTIF($AE$2:AE852,AE852)-1)</f>
        <v/>
      </c>
      <c r="AJ852" s="243" t="str">
        <f>IF($AD852&lt;0,COUNT($AJ$1:AJ851)+1,"")</f>
        <v/>
      </c>
      <c r="AL852" s="243" t="str">
        <f>'All Ticker P&amp;L'!A852</f>
        <v/>
      </c>
      <c r="AM852" s="243" t="str">
        <f>'All Ticker P&amp;L'!B852</f>
        <v/>
      </c>
      <c r="AN852" s="243" t="str">
        <f>'All Ticker P&amp;L'!C852</f>
        <v/>
      </c>
      <c r="AO852" s="243" t="str">
        <f>'All Ticker P&amp;L'!D852</f>
        <v/>
      </c>
      <c r="AP852" s="243">
        <f>IF($AL852="",0,'All Ticker P&amp;L'!E852)</f>
        <v>0</v>
      </c>
      <c r="AQ852" s="266">
        <f>IF($AL852="",0,'All Ticker P&amp;L'!J852*'All Ticker P&amp;L'!I852)</f>
        <v>0</v>
      </c>
      <c r="AR852" s="266">
        <f>IF($AL852="",0,'All Ticker P&amp;L'!L852)</f>
        <v>0</v>
      </c>
      <c r="AS852" s="267">
        <f>IF($AL852="",0,'All Ticker P&amp;L'!M852)</f>
        <v>0</v>
      </c>
      <c r="AT852" s="243" t="str">
        <f>IF($AL852="","",RANK(AR852,$AR$2:$AR$1001)+COUNTIF($AR$2:AR852,AR852)-1)</f>
        <v/>
      </c>
      <c r="AU852" s="243" t="str">
        <f>IF($AL852="","",RANK(AV852,$AV$2:$AV$1001)+COUNTIF($AV$2:AV852,AV852)-1)</f>
        <v/>
      </c>
      <c r="AV852" s="266">
        <f t="shared" si="58"/>
        <v>0</v>
      </c>
    </row>
    <row r="853" spans="26:48" ht="15" customHeight="1" x14ac:dyDescent="0.2">
      <c r="Z853" s="243" t="str">
        <f>Shares!A853</f>
        <v/>
      </c>
      <c r="AA853" s="243" t="str">
        <f>Shares!B853</f>
        <v/>
      </c>
      <c r="AB853" s="243" t="str">
        <f>Shares!C853</f>
        <v/>
      </c>
      <c r="AC853" s="243" t="str">
        <f>Shares!D853</f>
        <v/>
      </c>
      <c r="AD853" s="243">
        <f>IF($Z853="",0,Shares!E853)</f>
        <v>0</v>
      </c>
      <c r="AE853" s="266">
        <f>IF($Z853="",0,Shares!J853*Shares!I853)</f>
        <v>0</v>
      </c>
      <c r="AF853" s="267">
        <f t="shared" si="57"/>
        <v>0</v>
      </c>
      <c r="AG853" s="266">
        <f>IF($Z853="",0,Shares!L853)</f>
        <v>0</v>
      </c>
      <c r="AH853" s="267">
        <f>IF($Z853="",0,Shares!M853)</f>
        <v>0</v>
      </c>
      <c r="AI853" s="243" t="str">
        <f>IF($Z853="","",RANK(AE853,$AE$2:$AE$1001)+COUNTIF($AE$2:AE853,AE853)-1)</f>
        <v/>
      </c>
      <c r="AJ853" s="243" t="str">
        <f>IF($AD853&lt;0,COUNT($AJ$1:AJ852)+1,"")</f>
        <v/>
      </c>
      <c r="AL853" s="243" t="str">
        <f>'All Ticker P&amp;L'!A853</f>
        <v/>
      </c>
      <c r="AM853" s="243" t="str">
        <f>'All Ticker P&amp;L'!B853</f>
        <v/>
      </c>
      <c r="AN853" s="243" t="str">
        <f>'All Ticker P&amp;L'!C853</f>
        <v/>
      </c>
      <c r="AO853" s="243" t="str">
        <f>'All Ticker P&amp;L'!D853</f>
        <v/>
      </c>
      <c r="AP853" s="243">
        <f>IF($AL853="",0,'All Ticker P&amp;L'!E853)</f>
        <v>0</v>
      </c>
      <c r="AQ853" s="266">
        <f>IF($AL853="",0,'All Ticker P&amp;L'!J853*'All Ticker P&amp;L'!I853)</f>
        <v>0</v>
      </c>
      <c r="AR853" s="266">
        <f>IF($AL853="",0,'All Ticker P&amp;L'!L853)</f>
        <v>0</v>
      </c>
      <c r="AS853" s="267">
        <f>IF($AL853="",0,'All Ticker P&amp;L'!M853)</f>
        <v>0</v>
      </c>
      <c r="AT853" s="243" t="str">
        <f>IF($AL853="","",RANK(AR853,$AR$2:$AR$1001)+COUNTIF($AR$2:AR853,AR853)-1)</f>
        <v/>
      </c>
      <c r="AU853" s="243" t="str">
        <f>IF($AL853="","",RANK(AV853,$AV$2:$AV$1001)+COUNTIF($AV$2:AV853,AV853)-1)</f>
        <v/>
      </c>
      <c r="AV853" s="266">
        <f t="shared" si="58"/>
        <v>0</v>
      </c>
    </row>
    <row r="854" spans="26:48" ht="15" customHeight="1" x14ac:dyDescent="0.2">
      <c r="Z854" s="243" t="str">
        <f>Shares!A854</f>
        <v/>
      </c>
      <c r="AA854" s="243" t="str">
        <f>Shares!B854</f>
        <v/>
      </c>
      <c r="AB854" s="243" t="str">
        <f>Shares!C854</f>
        <v/>
      </c>
      <c r="AC854" s="243" t="str">
        <f>Shares!D854</f>
        <v/>
      </c>
      <c r="AD854" s="243">
        <f>IF($Z854="",0,Shares!E854)</f>
        <v>0</v>
      </c>
      <c r="AE854" s="266">
        <f>IF($Z854="",0,Shares!J854*Shares!I854)</f>
        <v>0</v>
      </c>
      <c r="AF854" s="267">
        <f t="shared" si="57"/>
        <v>0</v>
      </c>
      <c r="AG854" s="266">
        <f>IF($Z854="",0,Shares!L854)</f>
        <v>0</v>
      </c>
      <c r="AH854" s="267">
        <f>IF($Z854="",0,Shares!M854)</f>
        <v>0</v>
      </c>
      <c r="AI854" s="243" t="str">
        <f>IF($Z854="","",RANK(AE854,$AE$2:$AE$1001)+COUNTIF($AE$2:AE854,AE854)-1)</f>
        <v/>
      </c>
      <c r="AJ854" s="243" t="str">
        <f>IF($AD854&lt;0,COUNT($AJ$1:AJ853)+1,"")</f>
        <v/>
      </c>
      <c r="AL854" s="243" t="str">
        <f>'All Ticker P&amp;L'!A854</f>
        <v/>
      </c>
      <c r="AM854" s="243" t="str">
        <f>'All Ticker P&amp;L'!B854</f>
        <v/>
      </c>
      <c r="AN854" s="243" t="str">
        <f>'All Ticker P&amp;L'!C854</f>
        <v/>
      </c>
      <c r="AO854" s="243" t="str">
        <f>'All Ticker P&amp;L'!D854</f>
        <v/>
      </c>
      <c r="AP854" s="243">
        <f>IF($AL854="",0,'All Ticker P&amp;L'!E854)</f>
        <v>0</v>
      </c>
      <c r="AQ854" s="266">
        <f>IF($AL854="",0,'All Ticker P&amp;L'!J854*'All Ticker P&amp;L'!I854)</f>
        <v>0</v>
      </c>
      <c r="AR854" s="266">
        <f>IF($AL854="",0,'All Ticker P&amp;L'!L854)</f>
        <v>0</v>
      </c>
      <c r="AS854" s="267">
        <f>IF($AL854="",0,'All Ticker P&amp;L'!M854)</f>
        <v>0</v>
      </c>
      <c r="AT854" s="243" t="str">
        <f>IF($AL854="","",RANK(AR854,$AR$2:$AR$1001)+COUNTIF($AR$2:AR854,AR854)-1)</f>
        <v/>
      </c>
      <c r="AU854" s="243" t="str">
        <f>IF($AL854="","",RANK(AV854,$AV$2:$AV$1001)+COUNTIF($AV$2:AV854,AV854)-1)</f>
        <v/>
      </c>
      <c r="AV854" s="266">
        <f t="shared" si="58"/>
        <v>0</v>
      </c>
    </row>
    <row r="855" spans="26:48" ht="15" customHeight="1" x14ac:dyDescent="0.2">
      <c r="Z855" s="243" t="str">
        <f>Shares!A855</f>
        <v/>
      </c>
      <c r="AA855" s="243" t="str">
        <f>Shares!B855</f>
        <v/>
      </c>
      <c r="AB855" s="243" t="str">
        <f>Shares!C855</f>
        <v/>
      </c>
      <c r="AC855" s="243" t="str">
        <f>Shares!D855</f>
        <v/>
      </c>
      <c r="AD855" s="243">
        <f>IF($Z855="",0,Shares!E855)</f>
        <v>0</v>
      </c>
      <c r="AE855" s="266">
        <f>IF($Z855="",0,Shares!J855*Shares!I855)</f>
        <v>0</v>
      </c>
      <c r="AF855" s="267">
        <f t="shared" si="57"/>
        <v>0</v>
      </c>
      <c r="AG855" s="266">
        <f>IF($Z855="",0,Shares!L855)</f>
        <v>0</v>
      </c>
      <c r="AH855" s="267">
        <f>IF($Z855="",0,Shares!M855)</f>
        <v>0</v>
      </c>
      <c r="AI855" s="243" t="str">
        <f>IF($Z855="","",RANK(AE855,$AE$2:$AE$1001)+COUNTIF($AE$2:AE855,AE855)-1)</f>
        <v/>
      </c>
      <c r="AJ855" s="243" t="str">
        <f>IF($AD855&lt;0,COUNT($AJ$1:AJ854)+1,"")</f>
        <v/>
      </c>
      <c r="AL855" s="243" t="str">
        <f>'All Ticker P&amp;L'!A855</f>
        <v/>
      </c>
      <c r="AM855" s="243" t="str">
        <f>'All Ticker P&amp;L'!B855</f>
        <v/>
      </c>
      <c r="AN855" s="243" t="str">
        <f>'All Ticker P&amp;L'!C855</f>
        <v/>
      </c>
      <c r="AO855" s="243" t="str">
        <f>'All Ticker P&amp;L'!D855</f>
        <v/>
      </c>
      <c r="AP855" s="243">
        <f>IF($AL855="",0,'All Ticker P&amp;L'!E855)</f>
        <v>0</v>
      </c>
      <c r="AQ855" s="266">
        <f>IF($AL855="",0,'All Ticker P&amp;L'!J855*'All Ticker P&amp;L'!I855)</f>
        <v>0</v>
      </c>
      <c r="AR855" s="266">
        <f>IF($AL855="",0,'All Ticker P&amp;L'!L855)</f>
        <v>0</v>
      </c>
      <c r="AS855" s="267">
        <f>IF($AL855="",0,'All Ticker P&amp;L'!M855)</f>
        <v>0</v>
      </c>
      <c r="AT855" s="243" t="str">
        <f>IF($AL855="","",RANK(AR855,$AR$2:$AR$1001)+COUNTIF($AR$2:AR855,AR855)-1)</f>
        <v/>
      </c>
      <c r="AU855" s="243" t="str">
        <f>IF($AL855="","",RANK(AV855,$AV$2:$AV$1001)+COUNTIF($AV$2:AV855,AV855)-1)</f>
        <v/>
      </c>
      <c r="AV855" s="266">
        <f t="shared" si="58"/>
        <v>0</v>
      </c>
    </row>
    <row r="856" spans="26:48" ht="15" customHeight="1" x14ac:dyDescent="0.2">
      <c r="Z856" s="243" t="str">
        <f>Shares!A856</f>
        <v/>
      </c>
      <c r="AA856" s="243" t="str">
        <f>Shares!B856</f>
        <v/>
      </c>
      <c r="AB856" s="243" t="str">
        <f>Shares!C856</f>
        <v/>
      </c>
      <c r="AC856" s="243" t="str">
        <f>Shares!D856</f>
        <v/>
      </c>
      <c r="AD856" s="243">
        <f>IF($Z856="",0,Shares!E856)</f>
        <v>0</v>
      </c>
      <c r="AE856" s="266">
        <f>IF($Z856="",0,Shares!J856*Shares!I856)</f>
        <v>0</v>
      </c>
      <c r="AF856" s="267">
        <f t="shared" si="57"/>
        <v>0</v>
      </c>
      <c r="AG856" s="266">
        <f>IF($Z856="",0,Shares!L856)</f>
        <v>0</v>
      </c>
      <c r="AH856" s="267">
        <f>IF($Z856="",0,Shares!M856)</f>
        <v>0</v>
      </c>
      <c r="AI856" s="243" t="str">
        <f>IF($Z856="","",RANK(AE856,$AE$2:$AE$1001)+COUNTIF($AE$2:AE856,AE856)-1)</f>
        <v/>
      </c>
      <c r="AJ856" s="243" t="str">
        <f>IF($AD856&lt;0,COUNT($AJ$1:AJ855)+1,"")</f>
        <v/>
      </c>
      <c r="AL856" s="243" t="str">
        <f>'All Ticker P&amp;L'!A856</f>
        <v/>
      </c>
      <c r="AM856" s="243" t="str">
        <f>'All Ticker P&amp;L'!B856</f>
        <v/>
      </c>
      <c r="AN856" s="243" t="str">
        <f>'All Ticker P&amp;L'!C856</f>
        <v/>
      </c>
      <c r="AO856" s="243" t="str">
        <f>'All Ticker P&amp;L'!D856</f>
        <v/>
      </c>
      <c r="AP856" s="243">
        <f>IF($AL856="",0,'All Ticker P&amp;L'!E856)</f>
        <v>0</v>
      </c>
      <c r="AQ856" s="266">
        <f>IF($AL856="",0,'All Ticker P&amp;L'!J856*'All Ticker P&amp;L'!I856)</f>
        <v>0</v>
      </c>
      <c r="AR856" s="266">
        <f>IF($AL856="",0,'All Ticker P&amp;L'!L856)</f>
        <v>0</v>
      </c>
      <c r="AS856" s="267">
        <f>IF($AL856="",0,'All Ticker P&amp;L'!M856)</f>
        <v>0</v>
      </c>
      <c r="AT856" s="243" t="str">
        <f>IF($AL856="","",RANK(AR856,$AR$2:$AR$1001)+COUNTIF($AR$2:AR856,AR856)-1)</f>
        <v/>
      </c>
      <c r="AU856" s="243" t="str">
        <f>IF($AL856="","",RANK(AV856,$AV$2:$AV$1001)+COUNTIF($AV$2:AV856,AV856)-1)</f>
        <v/>
      </c>
      <c r="AV856" s="266">
        <f t="shared" si="58"/>
        <v>0</v>
      </c>
    </row>
    <row r="857" spans="26:48" ht="15" customHeight="1" x14ac:dyDescent="0.2">
      <c r="Z857" s="243" t="str">
        <f>Shares!A857</f>
        <v/>
      </c>
      <c r="AA857" s="243" t="str">
        <f>Shares!B857</f>
        <v/>
      </c>
      <c r="AB857" s="243" t="str">
        <f>Shares!C857</f>
        <v/>
      </c>
      <c r="AC857" s="243" t="str">
        <f>Shares!D857</f>
        <v/>
      </c>
      <c r="AD857" s="243">
        <f>IF($Z857="",0,Shares!E857)</f>
        <v>0</v>
      </c>
      <c r="AE857" s="266">
        <f>IF($Z857="",0,Shares!J857*Shares!I857)</f>
        <v>0</v>
      </c>
      <c r="AF857" s="267">
        <f t="shared" si="57"/>
        <v>0</v>
      </c>
      <c r="AG857" s="266">
        <f>IF($Z857="",0,Shares!L857)</f>
        <v>0</v>
      </c>
      <c r="AH857" s="267">
        <f>IF($Z857="",0,Shares!M857)</f>
        <v>0</v>
      </c>
      <c r="AI857" s="243" t="str">
        <f>IF($Z857="","",RANK(AE857,$AE$2:$AE$1001)+COUNTIF($AE$2:AE857,AE857)-1)</f>
        <v/>
      </c>
      <c r="AJ857" s="243" t="str">
        <f>IF($AD857&lt;0,COUNT($AJ$1:AJ856)+1,"")</f>
        <v/>
      </c>
      <c r="AL857" s="243" t="str">
        <f>'All Ticker P&amp;L'!A857</f>
        <v/>
      </c>
      <c r="AM857" s="243" t="str">
        <f>'All Ticker P&amp;L'!B857</f>
        <v/>
      </c>
      <c r="AN857" s="243" t="str">
        <f>'All Ticker P&amp;L'!C857</f>
        <v/>
      </c>
      <c r="AO857" s="243" t="str">
        <f>'All Ticker P&amp;L'!D857</f>
        <v/>
      </c>
      <c r="AP857" s="243">
        <f>IF($AL857="",0,'All Ticker P&amp;L'!E857)</f>
        <v>0</v>
      </c>
      <c r="AQ857" s="266">
        <f>IF($AL857="",0,'All Ticker P&amp;L'!J857*'All Ticker P&amp;L'!I857)</f>
        <v>0</v>
      </c>
      <c r="AR857" s="266">
        <f>IF($AL857="",0,'All Ticker P&amp;L'!L857)</f>
        <v>0</v>
      </c>
      <c r="AS857" s="267">
        <f>IF($AL857="",0,'All Ticker P&amp;L'!M857)</f>
        <v>0</v>
      </c>
      <c r="AT857" s="243" t="str">
        <f>IF($AL857="","",RANK(AR857,$AR$2:$AR$1001)+COUNTIF($AR$2:AR857,AR857)-1)</f>
        <v/>
      </c>
      <c r="AU857" s="243" t="str">
        <f>IF($AL857="","",RANK(AV857,$AV$2:$AV$1001)+COUNTIF($AV$2:AV857,AV857)-1)</f>
        <v/>
      </c>
      <c r="AV857" s="266">
        <f t="shared" si="58"/>
        <v>0</v>
      </c>
    </row>
    <row r="858" spans="26:48" ht="15" customHeight="1" x14ac:dyDescent="0.2">
      <c r="Z858" s="243" t="str">
        <f>Shares!A858</f>
        <v/>
      </c>
      <c r="AA858" s="243" t="str">
        <f>Shares!B858</f>
        <v/>
      </c>
      <c r="AB858" s="243" t="str">
        <f>Shares!C858</f>
        <v/>
      </c>
      <c r="AC858" s="243" t="str">
        <f>Shares!D858</f>
        <v/>
      </c>
      <c r="AD858" s="243">
        <f>IF($Z858="",0,Shares!E858)</f>
        <v>0</v>
      </c>
      <c r="AE858" s="266">
        <f>IF($Z858="",0,Shares!J858*Shares!I858)</f>
        <v>0</v>
      </c>
      <c r="AF858" s="267">
        <f t="shared" si="57"/>
        <v>0</v>
      </c>
      <c r="AG858" s="266">
        <f>IF($Z858="",0,Shares!L858)</f>
        <v>0</v>
      </c>
      <c r="AH858" s="267">
        <f>IF($Z858="",0,Shares!M858)</f>
        <v>0</v>
      </c>
      <c r="AI858" s="243" t="str">
        <f>IF($Z858="","",RANK(AE858,$AE$2:$AE$1001)+COUNTIF($AE$2:AE858,AE858)-1)</f>
        <v/>
      </c>
      <c r="AJ858" s="243" t="str">
        <f>IF($AD858&lt;0,COUNT($AJ$1:AJ857)+1,"")</f>
        <v/>
      </c>
      <c r="AL858" s="243" t="str">
        <f>'All Ticker P&amp;L'!A858</f>
        <v/>
      </c>
      <c r="AM858" s="243" t="str">
        <f>'All Ticker P&amp;L'!B858</f>
        <v/>
      </c>
      <c r="AN858" s="243" t="str">
        <f>'All Ticker P&amp;L'!C858</f>
        <v/>
      </c>
      <c r="AO858" s="243" t="str">
        <f>'All Ticker P&amp;L'!D858</f>
        <v/>
      </c>
      <c r="AP858" s="243">
        <f>IF($AL858="",0,'All Ticker P&amp;L'!E858)</f>
        <v>0</v>
      </c>
      <c r="AQ858" s="266">
        <f>IF($AL858="",0,'All Ticker P&amp;L'!J858*'All Ticker P&amp;L'!I858)</f>
        <v>0</v>
      </c>
      <c r="AR858" s="266">
        <f>IF($AL858="",0,'All Ticker P&amp;L'!L858)</f>
        <v>0</v>
      </c>
      <c r="AS858" s="267">
        <f>IF($AL858="",0,'All Ticker P&amp;L'!M858)</f>
        <v>0</v>
      </c>
      <c r="AT858" s="243" t="str">
        <f>IF($AL858="","",RANK(AR858,$AR$2:$AR$1001)+COUNTIF($AR$2:AR858,AR858)-1)</f>
        <v/>
      </c>
      <c r="AU858" s="243" t="str">
        <f>IF($AL858="","",RANK(AV858,$AV$2:$AV$1001)+COUNTIF($AV$2:AV858,AV858)-1)</f>
        <v/>
      </c>
      <c r="AV858" s="266">
        <f t="shared" si="58"/>
        <v>0</v>
      </c>
    </row>
    <row r="859" spans="26:48" ht="15" customHeight="1" x14ac:dyDescent="0.2">
      <c r="Z859" s="243" t="str">
        <f>Shares!A859</f>
        <v/>
      </c>
      <c r="AA859" s="243" t="str">
        <f>Shares!B859</f>
        <v/>
      </c>
      <c r="AB859" s="243" t="str">
        <f>Shares!C859</f>
        <v/>
      </c>
      <c r="AC859" s="243" t="str">
        <f>Shares!D859</f>
        <v/>
      </c>
      <c r="AD859" s="243">
        <f>IF($Z859="",0,Shares!E859)</f>
        <v>0</v>
      </c>
      <c r="AE859" s="266">
        <f>IF($Z859="",0,Shares!J859*Shares!I859)</f>
        <v>0</v>
      </c>
      <c r="AF859" s="267">
        <f t="shared" si="57"/>
        <v>0</v>
      </c>
      <c r="AG859" s="266">
        <f>IF($Z859="",0,Shares!L859)</f>
        <v>0</v>
      </c>
      <c r="AH859" s="267">
        <f>IF($Z859="",0,Shares!M859)</f>
        <v>0</v>
      </c>
      <c r="AI859" s="243" t="str">
        <f>IF($Z859="","",RANK(AE859,$AE$2:$AE$1001)+COUNTIF($AE$2:AE859,AE859)-1)</f>
        <v/>
      </c>
      <c r="AJ859" s="243" t="str">
        <f>IF($AD859&lt;0,COUNT($AJ$1:AJ858)+1,"")</f>
        <v/>
      </c>
      <c r="AL859" s="243" t="str">
        <f>'All Ticker P&amp;L'!A859</f>
        <v/>
      </c>
      <c r="AM859" s="243" t="str">
        <f>'All Ticker P&amp;L'!B859</f>
        <v/>
      </c>
      <c r="AN859" s="243" t="str">
        <f>'All Ticker P&amp;L'!C859</f>
        <v/>
      </c>
      <c r="AO859" s="243" t="str">
        <f>'All Ticker P&amp;L'!D859</f>
        <v/>
      </c>
      <c r="AP859" s="243">
        <f>IF($AL859="",0,'All Ticker P&amp;L'!E859)</f>
        <v>0</v>
      </c>
      <c r="AQ859" s="266">
        <f>IF($AL859="",0,'All Ticker P&amp;L'!J859*'All Ticker P&amp;L'!I859)</f>
        <v>0</v>
      </c>
      <c r="AR859" s="266">
        <f>IF($AL859="",0,'All Ticker P&amp;L'!L859)</f>
        <v>0</v>
      </c>
      <c r="AS859" s="267">
        <f>IF($AL859="",0,'All Ticker P&amp;L'!M859)</f>
        <v>0</v>
      </c>
      <c r="AT859" s="243" t="str">
        <f>IF($AL859="","",RANK(AR859,$AR$2:$AR$1001)+COUNTIF($AR$2:AR859,AR859)-1)</f>
        <v/>
      </c>
      <c r="AU859" s="243" t="str">
        <f>IF($AL859="","",RANK(AV859,$AV$2:$AV$1001)+COUNTIF($AV$2:AV859,AV859)-1)</f>
        <v/>
      </c>
      <c r="AV859" s="266">
        <f t="shared" si="58"/>
        <v>0</v>
      </c>
    </row>
    <row r="860" spans="26:48" ht="15" customHeight="1" x14ac:dyDescent="0.2">
      <c r="Z860" s="243" t="str">
        <f>Shares!A860</f>
        <v/>
      </c>
      <c r="AA860" s="243" t="str">
        <f>Shares!B860</f>
        <v/>
      </c>
      <c r="AB860" s="243" t="str">
        <f>Shares!C860</f>
        <v/>
      </c>
      <c r="AC860" s="243" t="str">
        <f>Shares!D860</f>
        <v/>
      </c>
      <c r="AD860" s="243">
        <f>IF($Z860="",0,Shares!E860)</f>
        <v>0</v>
      </c>
      <c r="AE860" s="266">
        <f>IF($Z860="",0,Shares!J860*Shares!I860)</f>
        <v>0</v>
      </c>
      <c r="AF860" s="267">
        <f t="shared" si="57"/>
        <v>0</v>
      </c>
      <c r="AG860" s="266">
        <f>IF($Z860="",0,Shares!L860)</f>
        <v>0</v>
      </c>
      <c r="AH860" s="267">
        <f>IF($Z860="",0,Shares!M860)</f>
        <v>0</v>
      </c>
      <c r="AI860" s="243" t="str">
        <f>IF($Z860="","",RANK(AE860,$AE$2:$AE$1001)+COUNTIF($AE$2:AE860,AE860)-1)</f>
        <v/>
      </c>
      <c r="AJ860" s="243" t="str">
        <f>IF($AD860&lt;0,COUNT($AJ$1:AJ859)+1,"")</f>
        <v/>
      </c>
      <c r="AL860" s="243" t="str">
        <f>'All Ticker P&amp;L'!A860</f>
        <v/>
      </c>
      <c r="AM860" s="243" t="str">
        <f>'All Ticker P&amp;L'!B860</f>
        <v/>
      </c>
      <c r="AN860" s="243" t="str">
        <f>'All Ticker P&amp;L'!C860</f>
        <v/>
      </c>
      <c r="AO860" s="243" t="str">
        <f>'All Ticker P&amp;L'!D860</f>
        <v/>
      </c>
      <c r="AP860" s="243">
        <f>IF($AL860="",0,'All Ticker P&amp;L'!E860)</f>
        <v>0</v>
      </c>
      <c r="AQ860" s="266">
        <f>IF($AL860="",0,'All Ticker P&amp;L'!J860*'All Ticker P&amp;L'!I860)</f>
        <v>0</v>
      </c>
      <c r="AR860" s="266">
        <f>IF($AL860="",0,'All Ticker P&amp;L'!L860)</f>
        <v>0</v>
      </c>
      <c r="AS860" s="267">
        <f>IF($AL860="",0,'All Ticker P&amp;L'!M860)</f>
        <v>0</v>
      </c>
      <c r="AT860" s="243" t="str">
        <f>IF($AL860="","",RANK(AR860,$AR$2:$AR$1001)+COUNTIF($AR$2:AR860,AR860)-1)</f>
        <v/>
      </c>
      <c r="AU860" s="243" t="str">
        <f>IF($AL860="","",RANK(AV860,$AV$2:$AV$1001)+COUNTIF($AV$2:AV860,AV860)-1)</f>
        <v/>
      </c>
      <c r="AV860" s="266">
        <f t="shared" si="58"/>
        <v>0</v>
      </c>
    </row>
    <row r="861" spans="26:48" ht="15" customHeight="1" x14ac:dyDescent="0.2">
      <c r="Z861" s="243" t="str">
        <f>Shares!A861</f>
        <v/>
      </c>
      <c r="AA861" s="243" t="str">
        <f>Shares!B861</f>
        <v/>
      </c>
      <c r="AB861" s="243" t="str">
        <f>Shares!C861</f>
        <v/>
      </c>
      <c r="AC861" s="243" t="str">
        <f>Shares!D861</f>
        <v/>
      </c>
      <c r="AD861" s="243">
        <f>IF($Z861="",0,Shares!E861)</f>
        <v>0</v>
      </c>
      <c r="AE861" s="266">
        <f>IF($Z861="",0,Shares!J861*Shares!I861)</f>
        <v>0</v>
      </c>
      <c r="AF861" s="267">
        <f t="shared" si="57"/>
        <v>0</v>
      </c>
      <c r="AG861" s="266">
        <f>IF($Z861="",0,Shares!L861)</f>
        <v>0</v>
      </c>
      <c r="AH861" s="267">
        <f>IF($Z861="",0,Shares!M861)</f>
        <v>0</v>
      </c>
      <c r="AI861" s="243" t="str">
        <f>IF($Z861="","",RANK(AE861,$AE$2:$AE$1001)+COUNTIF($AE$2:AE861,AE861)-1)</f>
        <v/>
      </c>
      <c r="AJ861" s="243" t="str">
        <f>IF($AD861&lt;0,COUNT($AJ$1:AJ860)+1,"")</f>
        <v/>
      </c>
      <c r="AL861" s="243" t="str">
        <f>'All Ticker P&amp;L'!A861</f>
        <v/>
      </c>
      <c r="AM861" s="243" t="str">
        <f>'All Ticker P&amp;L'!B861</f>
        <v/>
      </c>
      <c r="AN861" s="243" t="str">
        <f>'All Ticker P&amp;L'!C861</f>
        <v/>
      </c>
      <c r="AO861" s="243" t="str">
        <f>'All Ticker P&amp;L'!D861</f>
        <v/>
      </c>
      <c r="AP861" s="243">
        <f>IF($AL861="",0,'All Ticker P&amp;L'!E861)</f>
        <v>0</v>
      </c>
      <c r="AQ861" s="266">
        <f>IF($AL861="",0,'All Ticker P&amp;L'!J861*'All Ticker P&amp;L'!I861)</f>
        <v>0</v>
      </c>
      <c r="AR861" s="266">
        <f>IF($AL861="",0,'All Ticker P&amp;L'!L861)</f>
        <v>0</v>
      </c>
      <c r="AS861" s="267">
        <f>IF($AL861="",0,'All Ticker P&amp;L'!M861)</f>
        <v>0</v>
      </c>
      <c r="AT861" s="243" t="str">
        <f>IF($AL861="","",RANK(AR861,$AR$2:$AR$1001)+COUNTIF($AR$2:AR861,AR861)-1)</f>
        <v/>
      </c>
      <c r="AU861" s="243" t="str">
        <f>IF($AL861="","",RANK(AV861,$AV$2:$AV$1001)+COUNTIF($AV$2:AV861,AV861)-1)</f>
        <v/>
      </c>
      <c r="AV861" s="266">
        <f t="shared" si="58"/>
        <v>0</v>
      </c>
    </row>
    <row r="862" spans="26:48" ht="15" customHeight="1" x14ac:dyDescent="0.2">
      <c r="Z862" s="243" t="str">
        <f>Shares!A862</f>
        <v/>
      </c>
      <c r="AA862" s="243" t="str">
        <f>Shares!B862</f>
        <v/>
      </c>
      <c r="AB862" s="243" t="str">
        <f>Shares!C862</f>
        <v/>
      </c>
      <c r="AC862" s="243" t="str">
        <f>Shares!D862</f>
        <v/>
      </c>
      <c r="AD862" s="243">
        <f>IF($Z862="",0,Shares!E862)</f>
        <v>0</v>
      </c>
      <c r="AE862" s="266">
        <f>IF($Z862="",0,Shares!J862*Shares!I862)</f>
        <v>0</v>
      </c>
      <c r="AF862" s="267">
        <f t="shared" si="57"/>
        <v>0</v>
      </c>
      <c r="AG862" s="266">
        <f>IF($Z862="",0,Shares!L862)</f>
        <v>0</v>
      </c>
      <c r="AH862" s="267">
        <f>IF($Z862="",0,Shares!M862)</f>
        <v>0</v>
      </c>
      <c r="AI862" s="243" t="str">
        <f>IF($Z862="","",RANK(AE862,$AE$2:$AE$1001)+COUNTIF($AE$2:AE862,AE862)-1)</f>
        <v/>
      </c>
      <c r="AJ862" s="243" t="str">
        <f>IF($AD862&lt;0,COUNT($AJ$1:AJ861)+1,"")</f>
        <v/>
      </c>
      <c r="AL862" s="243" t="str">
        <f>'All Ticker P&amp;L'!A862</f>
        <v/>
      </c>
      <c r="AM862" s="243" t="str">
        <f>'All Ticker P&amp;L'!B862</f>
        <v/>
      </c>
      <c r="AN862" s="243" t="str">
        <f>'All Ticker P&amp;L'!C862</f>
        <v/>
      </c>
      <c r="AO862" s="243" t="str">
        <f>'All Ticker P&amp;L'!D862</f>
        <v/>
      </c>
      <c r="AP862" s="243">
        <f>IF($AL862="",0,'All Ticker P&amp;L'!E862)</f>
        <v>0</v>
      </c>
      <c r="AQ862" s="266">
        <f>IF($AL862="",0,'All Ticker P&amp;L'!J862*'All Ticker P&amp;L'!I862)</f>
        <v>0</v>
      </c>
      <c r="AR862" s="266">
        <f>IF($AL862="",0,'All Ticker P&amp;L'!L862)</f>
        <v>0</v>
      </c>
      <c r="AS862" s="267">
        <f>IF($AL862="",0,'All Ticker P&amp;L'!M862)</f>
        <v>0</v>
      </c>
      <c r="AT862" s="243" t="str">
        <f>IF($AL862="","",RANK(AR862,$AR$2:$AR$1001)+COUNTIF($AR$2:AR862,AR862)-1)</f>
        <v/>
      </c>
      <c r="AU862" s="243" t="str">
        <f>IF($AL862="","",RANK(AV862,$AV$2:$AV$1001)+COUNTIF($AV$2:AV862,AV862)-1)</f>
        <v/>
      </c>
      <c r="AV862" s="266">
        <f t="shared" si="58"/>
        <v>0</v>
      </c>
    </row>
    <row r="863" spans="26:48" ht="15" customHeight="1" x14ac:dyDescent="0.2">
      <c r="Z863" s="243" t="str">
        <f>Shares!A863</f>
        <v/>
      </c>
      <c r="AA863" s="243" t="str">
        <f>Shares!B863</f>
        <v/>
      </c>
      <c r="AB863" s="243" t="str">
        <f>Shares!C863</f>
        <v/>
      </c>
      <c r="AC863" s="243" t="str">
        <f>Shares!D863</f>
        <v/>
      </c>
      <c r="AD863" s="243">
        <f>IF($Z863="",0,Shares!E863)</f>
        <v>0</v>
      </c>
      <c r="AE863" s="266">
        <f>IF($Z863="",0,Shares!J863*Shares!I863)</f>
        <v>0</v>
      </c>
      <c r="AF863" s="267">
        <f t="shared" si="57"/>
        <v>0</v>
      </c>
      <c r="AG863" s="266">
        <f>IF($Z863="",0,Shares!L863)</f>
        <v>0</v>
      </c>
      <c r="AH863" s="267">
        <f>IF($Z863="",0,Shares!M863)</f>
        <v>0</v>
      </c>
      <c r="AI863" s="243" t="str">
        <f>IF($Z863="","",RANK(AE863,$AE$2:$AE$1001)+COUNTIF($AE$2:AE863,AE863)-1)</f>
        <v/>
      </c>
      <c r="AJ863" s="243" t="str">
        <f>IF($AD863&lt;0,COUNT($AJ$1:AJ862)+1,"")</f>
        <v/>
      </c>
      <c r="AL863" s="243" t="str">
        <f>'All Ticker P&amp;L'!A863</f>
        <v/>
      </c>
      <c r="AM863" s="243" t="str">
        <f>'All Ticker P&amp;L'!B863</f>
        <v/>
      </c>
      <c r="AN863" s="243" t="str">
        <f>'All Ticker P&amp;L'!C863</f>
        <v/>
      </c>
      <c r="AO863" s="243" t="str">
        <f>'All Ticker P&amp;L'!D863</f>
        <v/>
      </c>
      <c r="AP863" s="243">
        <f>IF($AL863="",0,'All Ticker P&amp;L'!E863)</f>
        <v>0</v>
      </c>
      <c r="AQ863" s="266">
        <f>IF($AL863="",0,'All Ticker P&amp;L'!J863*'All Ticker P&amp;L'!I863)</f>
        <v>0</v>
      </c>
      <c r="AR863" s="266">
        <f>IF($AL863="",0,'All Ticker P&amp;L'!L863)</f>
        <v>0</v>
      </c>
      <c r="AS863" s="267">
        <f>IF($AL863="",0,'All Ticker P&amp;L'!M863)</f>
        <v>0</v>
      </c>
      <c r="AT863" s="243" t="str">
        <f>IF($AL863="","",RANK(AR863,$AR$2:$AR$1001)+COUNTIF($AR$2:AR863,AR863)-1)</f>
        <v/>
      </c>
      <c r="AU863" s="243" t="str">
        <f>IF($AL863="","",RANK(AV863,$AV$2:$AV$1001)+COUNTIF($AV$2:AV863,AV863)-1)</f>
        <v/>
      </c>
      <c r="AV863" s="266">
        <f t="shared" si="58"/>
        <v>0</v>
      </c>
    </row>
    <row r="864" spans="26:48" ht="15" customHeight="1" x14ac:dyDescent="0.2">
      <c r="Z864" s="243" t="str">
        <f>Shares!A864</f>
        <v/>
      </c>
      <c r="AA864" s="243" t="str">
        <f>Shares!B864</f>
        <v/>
      </c>
      <c r="AB864" s="243" t="str">
        <f>Shares!C864</f>
        <v/>
      </c>
      <c r="AC864" s="243" t="str">
        <f>Shares!D864</f>
        <v/>
      </c>
      <c r="AD864" s="243">
        <f>IF($Z864="",0,Shares!E864)</f>
        <v>0</v>
      </c>
      <c r="AE864" s="266">
        <f>IF($Z864="",0,Shares!J864*Shares!I864)</f>
        <v>0</v>
      </c>
      <c r="AF864" s="267">
        <f t="shared" si="57"/>
        <v>0</v>
      </c>
      <c r="AG864" s="266">
        <f>IF($Z864="",0,Shares!L864)</f>
        <v>0</v>
      </c>
      <c r="AH864" s="267">
        <f>IF($Z864="",0,Shares!M864)</f>
        <v>0</v>
      </c>
      <c r="AI864" s="243" t="str">
        <f>IF($Z864="","",RANK(AE864,$AE$2:$AE$1001)+COUNTIF($AE$2:AE864,AE864)-1)</f>
        <v/>
      </c>
      <c r="AJ864" s="243" t="str">
        <f>IF($AD864&lt;0,COUNT($AJ$1:AJ863)+1,"")</f>
        <v/>
      </c>
      <c r="AL864" s="243" t="str">
        <f>'All Ticker P&amp;L'!A864</f>
        <v/>
      </c>
      <c r="AM864" s="243" t="str">
        <f>'All Ticker P&amp;L'!B864</f>
        <v/>
      </c>
      <c r="AN864" s="243" t="str">
        <f>'All Ticker P&amp;L'!C864</f>
        <v/>
      </c>
      <c r="AO864" s="243" t="str">
        <f>'All Ticker P&amp;L'!D864</f>
        <v/>
      </c>
      <c r="AP864" s="243">
        <f>IF($AL864="",0,'All Ticker P&amp;L'!E864)</f>
        <v>0</v>
      </c>
      <c r="AQ864" s="266">
        <f>IF($AL864="",0,'All Ticker P&amp;L'!J864*'All Ticker P&amp;L'!I864)</f>
        <v>0</v>
      </c>
      <c r="AR864" s="266">
        <f>IF($AL864="",0,'All Ticker P&amp;L'!L864)</f>
        <v>0</v>
      </c>
      <c r="AS864" s="267">
        <f>IF($AL864="",0,'All Ticker P&amp;L'!M864)</f>
        <v>0</v>
      </c>
      <c r="AT864" s="243" t="str">
        <f>IF($AL864="","",RANK(AR864,$AR$2:$AR$1001)+COUNTIF($AR$2:AR864,AR864)-1)</f>
        <v/>
      </c>
      <c r="AU864" s="243" t="str">
        <f>IF($AL864="","",RANK(AV864,$AV$2:$AV$1001)+COUNTIF($AV$2:AV864,AV864)-1)</f>
        <v/>
      </c>
      <c r="AV864" s="266">
        <f t="shared" si="58"/>
        <v>0</v>
      </c>
    </row>
    <row r="865" spans="26:48" ht="15" customHeight="1" x14ac:dyDescent="0.2">
      <c r="Z865" s="243" t="str">
        <f>Shares!A865</f>
        <v/>
      </c>
      <c r="AA865" s="243" t="str">
        <f>Shares!B865</f>
        <v/>
      </c>
      <c r="AB865" s="243" t="str">
        <f>Shares!C865</f>
        <v/>
      </c>
      <c r="AC865" s="243" t="str">
        <f>Shares!D865</f>
        <v/>
      </c>
      <c r="AD865" s="243">
        <f>IF($Z865="",0,Shares!E865)</f>
        <v>0</v>
      </c>
      <c r="AE865" s="266">
        <f>IF($Z865="",0,Shares!J865*Shares!I865)</f>
        <v>0</v>
      </c>
      <c r="AF865" s="267">
        <f t="shared" si="57"/>
        <v>0</v>
      </c>
      <c r="AG865" s="266">
        <f>IF($Z865="",0,Shares!L865)</f>
        <v>0</v>
      </c>
      <c r="AH865" s="267">
        <f>IF($Z865="",0,Shares!M865)</f>
        <v>0</v>
      </c>
      <c r="AI865" s="243" t="str">
        <f>IF($Z865="","",RANK(AE865,$AE$2:$AE$1001)+COUNTIF($AE$2:AE865,AE865)-1)</f>
        <v/>
      </c>
      <c r="AJ865" s="243" t="str">
        <f>IF($AD865&lt;0,COUNT($AJ$1:AJ864)+1,"")</f>
        <v/>
      </c>
      <c r="AL865" s="243" t="str">
        <f>'All Ticker P&amp;L'!A865</f>
        <v/>
      </c>
      <c r="AM865" s="243" t="str">
        <f>'All Ticker P&amp;L'!B865</f>
        <v/>
      </c>
      <c r="AN865" s="243" t="str">
        <f>'All Ticker P&amp;L'!C865</f>
        <v/>
      </c>
      <c r="AO865" s="243" t="str">
        <f>'All Ticker P&amp;L'!D865</f>
        <v/>
      </c>
      <c r="AP865" s="243">
        <f>IF($AL865="",0,'All Ticker P&amp;L'!E865)</f>
        <v>0</v>
      </c>
      <c r="AQ865" s="266">
        <f>IF($AL865="",0,'All Ticker P&amp;L'!J865*'All Ticker P&amp;L'!I865)</f>
        <v>0</v>
      </c>
      <c r="AR865" s="266">
        <f>IF($AL865="",0,'All Ticker P&amp;L'!L865)</f>
        <v>0</v>
      </c>
      <c r="AS865" s="267">
        <f>IF($AL865="",0,'All Ticker P&amp;L'!M865)</f>
        <v>0</v>
      </c>
      <c r="AT865" s="243" t="str">
        <f>IF($AL865="","",RANK(AR865,$AR$2:$AR$1001)+COUNTIF($AR$2:AR865,AR865)-1)</f>
        <v/>
      </c>
      <c r="AU865" s="243" t="str">
        <f>IF($AL865="","",RANK(AV865,$AV$2:$AV$1001)+COUNTIF($AV$2:AV865,AV865)-1)</f>
        <v/>
      </c>
      <c r="AV865" s="266">
        <f t="shared" si="58"/>
        <v>0</v>
      </c>
    </row>
    <row r="866" spans="26:48" ht="15" customHeight="1" x14ac:dyDescent="0.2">
      <c r="Z866" s="243" t="str">
        <f>Shares!A866</f>
        <v/>
      </c>
      <c r="AA866" s="243" t="str">
        <f>Shares!B866</f>
        <v/>
      </c>
      <c r="AB866" s="243" t="str">
        <f>Shares!C866</f>
        <v/>
      </c>
      <c r="AC866" s="243" t="str">
        <f>Shares!D866</f>
        <v/>
      </c>
      <c r="AD866" s="243">
        <f>IF($Z866="",0,Shares!E866)</f>
        <v>0</v>
      </c>
      <c r="AE866" s="266">
        <f>IF($Z866="",0,Shares!J866*Shares!I866)</f>
        <v>0</v>
      </c>
      <c r="AF866" s="267">
        <f t="shared" si="57"/>
        <v>0</v>
      </c>
      <c r="AG866" s="266">
        <f>IF($Z866="",0,Shares!L866)</f>
        <v>0</v>
      </c>
      <c r="AH866" s="267">
        <f>IF($Z866="",0,Shares!M866)</f>
        <v>0</v>
      </c>
      <c r="AI866" s="243" t="str">
        <f>IF($Z866="","",RANK(AE866,$AE$2:$AE$1001)+COUNTIF($AE$2:AE866,AE866)-1)</f>
        <v/>
      </c>
      <c r="AJ866" s="243" t="str">
        <f>IF($AD866&lt;0,COUNT($AJ$1:AJ865)+1,"")</f>
        <v/>
      </c>
      <c r="AL866" s="243" t="str">
        <f>'All Ticker P&amp;L'!A866</f>
        <v/>
      </c>
      <c r="AM866" s="243" t="str">
        <f>'All Ticker P&amp;L'!B866</f>
        <v/>
      </c>
      <c r="AN866" s="243" t="str">
        <f>'All Ticker P&amp;L'!C866</f>
        <v/>
      </c>
      <c r="AO866" s="243" t="str">
        <f>'All Ticker P&amp;L'!D866</f>
        <v/>
      </c>
      <c r="AP866" s="243">
        <f>IF($AL866="",0,'All Ticker P&amp;L'!E866)</f>
        <v>0</v>
      </c>
      <c r="AQ866" s="266">
        <f>IF($AL866="",0,'All Ticker P&amp;L'!J866*'All Ticker P&amp;L'!I866)</f>
        <v>0</v>
      </c>
      <c r="AR866" s="266">
        <f>IF($AL866="",0,'All Ticker P&amp;L'!L866)</f>
        <v>0</v>
      </c>
      <c r="AS866" s="267">
        <f>IF($AL866="",0,'All Ticker P&amp;L'!M866)</f>
        <v>0</v>
      </c>
      <c r="AT866" s="243" t="str">
        <f>IF($AL866="","",RANK(AR866,$AR$2:$AR$1001)+COUNTIF($AR$2:AR866,AR866)-1)</f>
        <v/>
      </c>
      <c r="AU866" s="243" t="str">
        <f>IF($AL866="","",RANK(AV866,$AV$2:$AV$1001)+COUNTIF($AV$2:AV866,AV866)-1)</f>
        <v/>
      </c>
      <c r="AV866" s="266">
        <f t="shared" si="58"/>
        <v>0</v>
      </c>
    </row>
    <row r="867" spans="26:48" ht="15" customHeight="1" x14ac:dyDescent="0.2">
      <c r="Z867" s="243" t="str">
        <f>Shares!A867</f>
        <v/>
      </c>
      <c r="AA867" s="243" t="str">
        <f>Shares!B867</f>
        <v/>
      </c>
      <c r="AB867" s="243" t="str">
        <f>Shares!C867</f>
        <v/>
      </c>
      <c r="AC867" s="243" t="str">
        <f>Shares!D867</f>
        <v/>
      </c>
      <c r="AD867" s="243">
        <f>IF($Z867="",0,Shares!E867)</f>
        <v>0</v>
      </c>
      <c r="AE867" s="266">
        <f>IF($Z867="",0,Shares!J867*Shares!I867)</f>
        <v>0</v>
      </c>
      <c r="AF867" s="267">
        <f t="shared" si="57"/>
        <v>0</v>
      </c>
      <c r="AG867" s="266">
        <f>IF($Z867="",0,Shares!L867)</f>
        <v>0</v>
      </c>
      <c r="AH867" s="267">
        <f>IF($Z867="",0,Shares!M867)</f>
        <v>0</v>
      </c>
      <c r="AI867" s="243" t="str">
        <f>IF($Z867="","",RANK(AE867,$AE$2:$AE$1001)+COUNTIF($AE$2:AE867,AE867)-1)</f>
        <v/>
      </c>
      <c r="AJ867" s="243" t="str">
        <f>IF($AD867&lt;0,COUNT($AJ$1:AJ866)+1,"")</f>
        <v/>
      </c>
      <c r="AL867" s="243" t="str">
        <f>'All Ticker P&amp;L'!A867</f>
        <v/>
      </c>
      <c r="AM867" s="243" t="str">
        <f>'All Ticker P&amp;L'!B867</f>
        <v/>
      </c>
      <c r="AN867" s="243" t="str">
        <f>'All Ticker P&amp;L'!C867</f>
        <v/>
      </c>
      <c r="AO867" s="243" t="str">
        <f>'All Ticker P&amp;L'!D867</f>
        <v/>
      </c>
      <c r="AP867" s="243">
        <f>IF($AL867="",0,'All Ticker P&amp;L'!E867)</f>
        <v>0</v>
      </c>
      <c r="AQ867" s="266">
        <f>IF($AL867="",0,'All Ticker P&amp;L'!J867*'All Ticker P&amp;L'!I867)</f>
        <v>0</v>
      </c>
      <c r="AR867" s="266">
        <f>IF($AL867="",0,'All Ticker P&amp;L'!L867)</f>
        <v>0</v>
      </c>
      <c r="AS867" s="267">
        <f>IF($AL867="",0,'All Ticker P&amp;L'!M867)</f>
        <v>0</v>
      </c>
      <c r="AT867" s="243" t="str">
        <f>IF($AL867="","",RANK(AR867,$AR$2:$AR$1001)+COUNTIF($AR$2:AR867,AR867)-1)</f>
        <v/>
      </c>
      <c r="AU867" s="243" t="str">
        <f>IF($AL867="","",RANK(AV867,$AV$2:$AV$1001)+COUNTIF($AV$2:AV867,AV867)-1)</f>
        <v/>
      </c>
      <c r="AV867" s="266">
        <f t="shared" si="58"/>
        <v>0</v>
      </c>
    </row>
    <row r="868" spans="26:48" ht="15" customHeight="1" x14ac:dyDescent="0.2">
      <c r="Z868" s="243" t="str">
        <f>Shares!A868</f>
        <v/>
      </c>
      <c r="AA868" s="243" t="str">
        <f>Shares!B868</f>
        <v/>
      </c>
      <c r="AB868" s="243" t="str">
        <f>Shares!C868</f>
        <v/>
      </c>
      <c r="AC868" s="243" t="str">
        <f>Shares!D868</f>
        <v/>
      </c>
      <c r="AD868" s="243">
        <f>IF($Z868="",0,Shares!E868)</f>
        <v>0</v>
      </c>
      <c r="AE868" s="266">
        <f>IF($Z868="",0,Shares!J868*Shares!I868)</f>
        <v>0</v>
      </c>
      <c r="AF868" s="267">
        <f t="shared" si="57"/>
        <v>0</v>
      </c>
      <c r="AG868" s="266">
        <f>IF($Z868="",0,Shares!L868)</f>
        <v>0</v>
      </c>
      <c r="AH868" s="267">
        <f>IF($Z868="",0,Shares!M868)</f>
        <v>0</v>
      </c>
      <c r="AI868" s="243" t="str">
        <f>IF($Z868="","",RANK(AE868,$AE$2:$AE$1001)+COUNTIF($AE$2:AE868,AE868)-1)</f>
        <v/>
      </c>
      <c r="AJ868" s="243" t="str">
        <f>IF($AD868&lt;0,COUNT($AJ$1:AJ867)+1,"")</f>
        <v/>
      </c>
      <c r="AL868" s="243" t="str">
        <f>'All Ticker P&amp;L'!A868</f>
        <v/>
      </c>
      <c r="AM868" s="243" t="str">
        <f>'All Ticker P&amp;L'!B868</f>
        <v/>
      </c>
      <c r="AN868" s="243" t="str">
        <f>'All Ticker P&amp;L'!C868</f>
        <v/>
      </c>
      <c r="AO868" s="243" t="str">
        <f>'All Ticker P&amp;L'!D868</f>
        <v/>
      </c>
      <c r="AP868" s="243">
        <f>IF($AL868="",0,'All Ticker P&amp;L'!E868)</f>
        <v>0</v>
      </c>
      <c r="AQ868" s="266">
        <f>IF($AL868="",0,'All Ticker P&amp;L'!J868*'All Ticker P&amp;L'!I868)</f>
        <v>0</v>
      </c>
      <c r="AR868" s="266">
        <f>IF($AL868="",0,'All Ticker P&amp;L'!L868)</f>
        <v>0</v>
      </c>
      <c r="AS868" s="267">
        <f>IF($AL868="",0,'All Ticker P&amp;L'!M868)</f>
        <v>0</v>
      </c>
      <c r="AT868" s="243" t="str">
        <f>IF($AL868="","",RANK(AR868,$AR$2:$AR$1001)+COUNTIF($AR$2:AR868,AR868)-1)</f>
        <v/>
      </c>
      <c r="AU868" s="243" t="str">
        <f>IF($AL868="","",RANK(AV868,$AV$2:$AV$1001)+COUNTIF($AV$2:AV868,AV868)-1)</f>
        <v/>
      </c>
      <c r="AV868" s="266">
        <f t="shared" si="58"/>
        <v>0</v>
      </c>
    </row>
    <row r="869" spans="26:48" ht="15" customHeight="1" x14ac:dyDescent="0.2">
      <c r="Z869" s="243" t="str">
        <f>Shares!A869</f>
        <v/>
      </c>
      <c r="AA869" s="243" t="str">
        <f>Shares!B869</f>
        <v/>
      </c>
      <c r="AB869" s="243" t="str">
        <f>Shares!C869</f>
        <v/>
      </c>
      <c r="AC869" s="243" t="str">
        <f>Shares!D869</f>
        <v/>
      </c>
      <c r="AD869" s="243">
        <f>IF($Z869="",0,Shares!E869)</f>
        <v>0</v>
      </c>
      <c r="AE869" s="266">
        <f>IF($Z869="",0,Shares!J869*Shares!I869)</f>
        <v>0</v>
      </c>
      <c r="AF869" s="267">
        <f t="shared" si="57"/>
        <v>0</v>
      </c>
      <c r="AG869" s="266">
        <f>IF($Z869="",0,Shares!L869)</f>
        <v>0</v>
      </c>
      <c r="AH869" s="267">
        <f>IF($Z869="",0,Shares!M869)</f>
        <v>0</v>
      </c>
      <c r="AI869" s="243" t="str">
        <f>IF($Z869="","",RANK(AE869,$AE$2:$AE$1001)+COUNTIF($AE$2:AE869,AE869)-1)</f>
        <v/>
      </c>
      <c r="AJ869" s="243" t="str">
        <f>IF($AD869&lt;0,COUNT($AJ$1:AJ868)+1,"")</f>
        <v/>
      </c>
      <c r="AL869" s="243" t="str">
        <f>'All Ticker P&amp;L'!A869</f>
        <v/>
      </c>
      <c r="AM869" s="243" t="str">
        <f>'All Ticker P&amp;L'!B869</f>
        <v/>
      </c>
      <c r="AN869" s="243" t="str">
        <f>'All Ticker P&amp;L'!C869</f>
        <v/>
      </c>
      <c r="AO869" s="243" t="str">
        <f>'All Ticker P&amp;L'!D869</f>
        <v/>
      </c>
      <c r="AP869" s="243">
        <f>IF($AL869="",0,'All Ticker P&amp;L'!E869)</f>
        <v>0</v>
      </c>
      <c r="AQ869" s="266">
        <f>IF($AL869="",0,'All Ticker P&amp;L'!J869*'All Ticker P&amp;L'!I869)</f>
        <v>0</v>
      </c>
      <c r="AR869" s="266">
        <f>IF($AL869="",0,'All Ticker P&amp;L'!L869)</f>
        <v>0</v>
      </c>
      <c r="AS869" s="267">
        <f>IF($AL869="",0,'All Ticker P&amp;L'!M869)</f>
        <v>0</v>
      </c>
      <c r="AT869" s="243" t="str">
        <f>IF($AL869="","",RANK(AR869,$AR$2:$AR$1001)+COUNTIF($AR$2:AR869,AR869)-1)</f>
        <v/>
      </c>
      <c r="AU869" s="243" t="str">
        <f>IF($AL869="","",RANK(AV869,$AV$2:$AV$1001)+COUNTIF($AV$2:AV869,AV869)-1)</f>
        <v/>
      </c>
      <c r="AV869" s="266">
        <f t="shared" si="58"/>
        <v>0</v>
      </c>
    </row>
    <row r="870" spans="26:48" ht="15" customHeight="1" x14ac:dyDescent="0.2">
      <c r="Z870" s="243" t="str">
        <f>Shares!A870</f>
        <v/>
      </c>
      <c r="AA870" s="243" t="str">
        <f>Shares!B870</f>
        <v/>
      </c>
      <c r="AB870" s="243" t="str">
        <f>Shares!C870</f>
        <v/>
      </c>
      <c r="AC870" s="243" t="str">
        <f>Shares!D870</f>
        <v/>
      </c>
      <c r="AD870" s="243">
        <f>IF($Z870="",0,Shares!E870)</f>
        <v>0</v>
      </c>
      <c r="AE870" s="266">
        <f>IF($Z870="",0,Shares!J870*Shares!I870)</f>
        <v>0</v>
      </c>
      <c r="AF870" s="267">
        <f t="shared" si="57"/>
        <v>0</v>
      </c>
      <c r="AG870" s="266">
        <f>IF($Z870="",0,Shares!L870)</f>
        <v>0</v>
      </c>
      <c r="AH870" s="267">
        <f>IF($Z870="",0,Shares!M870)</f>
        <v>0</v>
      </c>
      <c r="AI870" s="243" t="str">
        <f>IF($Z870="","",RANK(AE870,$AE$2:$AE$1001)+COUNTIF($AE$2:AE870,AE870)-1)</f>
        <v/>
      </c>
      <c r="AJ870" s="243" t="str">
        <f>IF($AD870&lt;0,COUNT($AJ$1:AJ869)+1,"")</f>
        <v/>
      </c>
      <c r="AL870" s="243" t="str">
        <f>'All Ticker P&amp;L'!A870</f>
        <v/>
      </c>
      <c r="AM870" s="243" t="str">
        <f>'All Ticker P&amp;L'!B870</f>
        <v/>
      </c>
      <c r="AN870" s="243" t="str">
        <f>'All Ticker P&amp;L'!C870</f>
        <v/>
      </c>
      <c r="AO870" s="243" t="str">
        <f>'All Ticker P&amp;L'!D870</f>
        <v/>
      </c>
      <c r="AP870" s="243">
        <f>IF($AL870="",0,'All Ticker P&amp;L'!E870)</f>
        <v>0</v>
      </c>
      <c r="AQ870" s="266">
        <f>IF($AL870="",0,'All Ticker P&amp;L'!J870*'All Ticker P&amp;L'!I870)</f>
        <v>0</v>
      </c>
      <c r="AR870" s="266">
        <f>IF($AL870="",0,'All Ticker P&amp;L'!L870)</f>
        <v>0</v>
      </c>
      <c r="AS870" s="267">
        <f>IF($AL870="",0,'All Ticker P&amp;L'!M870)</f>
        <v>0</v>
      </c>
      <c r="AT870" s="243" t="str">
        <f>IF($AL870="","",RANK(AR870,$AR$2:$AR$1001)+COUNTIF($AR$2:AR870,AR870)-1)</f>
        <v/>
      </c>
      <c r="AU870" s="243" t="str">
        <f>IF($AL870="","",RANK(AV870,$AV$2:$AV$1001)+COUNTIF($AV$2:AV870,AV870)-1)</f>
        <v/>
      </c>
      <c r="AV870" s="266">
        <f t="shared" si="58"/>
        <v>0</v>
      </c>
    </row>
    <row r="871" spans="26:48" ht="15" customHeight="1" x14ac:dyDescent="0.2">
      <c r="Z871" s="243" t="str">
        <f>Shares!A871</f>
        <v/>
      </c>
      <c r="AA871" s="243" t="str">
        <f>Shares!B871</f>
        <v/>
      </c>
      <c r="AB871" s="243" t="str">
        <f>Shares!C871</f>
        <v/>
      </c>
      <c r="AC871" s="243" t="str">
        <f>Shares!D871</f>
        <v/>
      </c>
      <c r="AD871" s="243">
        <f>IF($Z871="",0,Shares!E871)</f>
        <v>0</v>
      </c>
      <c r="AE871" s="266">
        <f>IF($Z871="",0,Shares!J871*Shares!I871)</f>
        <v>0</v>
      </c>
      <c r="AF871" s="267">
        <f t="shared" si="57"/>
        <v>0</v>
      </c>
      <c r="AG871" s="266">
        <f>IF($Z871="",0,Shares!L871)</f>
        <v>0</v>
      </c>
      <c r="AH871" s="267">
        <f>IF($Z871="",0,Shares!M871)</f>
        <v>0</v>
      </c>
      <c r="AI871" s="243" t="str">
        <f>IF($Z871="","",RANK(AE871,$AE$2:$AE$1001)+COUNTIF($AE$2:AE871,AE871)-1)</f>
        <v/>
      </c>
      <c r="AJ871" s="243" t="str">
        <f>IF($AD871&lt;0,COUNT($AJ$1:AJ870)+1,"")</f>
        <v/>
      </c>
      <c r="AL871" s="243" t="str">
        <f>'All Ticker P&amp;L'!A871</f>
        <v/>
      </c>
      <c r="AM871" s="243" t="str">
        <f>'All Ticker P&amp;L'!B871</f>
        <v/>
      </c>
      <c r="AN871" s="243" t="str">
        <f>'All Ticker P&amp;L'!C871</f>
        <v/>
      </c>
      <c r="AO871" s="243" t="str">
        <f>'All Ticker P&amp;L'!D871</f>
        <v/>
      </c>
      <c r="AP871" s="243">
        <f>IF($AL871="",0,'All Ticker P&amp;L'!E871)</f>
        <v>0</v>
      </c>
      <c r="AQ871" s="266">
        <f>IF($AL871="",0,'All Ticker P&amp;L'!J871*'All Ticker P&amp;L'!I871)</f>
        <v>0</v>
      </c>
      <c r="AR871" s="266">
        <f>IF($AL871="",0,'All Ticker P&amp;L'!L871)</f>
        <v>0</v>
      </c>
      <c r="AS871" s="267">
        <f>IF($AL871="",0,'All Ticker P&amp;L'!M871)</f>
        <v>0</v>
      </c>
      <c r="AT871" s="243" t="str">
        <f>IF($AL871="","",RANK(AR871,$AR$2:$AR$1001)+COUNTIF($AR$2:AR871,AR871)-1)</f>
        <v/>
      </c>
      <c r="AU871" s="243" t="str">
        <f>IF($AL871="","",RANK(AV871,$AV$2:$AV$1001)+COUNTIF($AV$2:AV871,AV871)-1)</f>
        <v/>
      </c>
      <c r="AV871" s="266">
        <f t="shared" si="58"/>
        <v>0</v>
      </c>
    </row>
    <row r="872" spans="26:48" ht="15" customHeight="1" x14ac:dyDescent="0.2">
      <c r="Z872" s="243" t="str">
        <f>Shares!A872</f>
        <v/>
      </c>
      <c r="AA872" s="243" t="str">
        <f>Shares!B872</f>
        <v/>
      </c>
      <c r="AB872" s="243" t="str">
        <f>Shares!C872</f>
        <v/>
      </c>
      <c r="AC872" s="243" t="str">
        <f>Shares!D872</f>
        <v/>
      </c>
      <c r="AD872" s="243">
        <f>IF($Z872="",0,Shares!E872)</f>
        <v>0</v>
      </c>
      <c r="AE872" s="266">
        <f>IF($Z872="",0,Shares!J872*Shares!I872)</f>
        <v>0</v>
      </c>
      <c r="AF872" s="267">
        <f t="shared" si="57"/>
        <v>0</v>
      </c>
      <c r="AG872" s="266">
        <f>IF($Z872="",0,Shares!L872)</f>
        <v>0</v>
      </c>
      <c r="AH872" s="267">
        <f>IF($Z872="",0,Shares!M872)</f>
        <v>0</v>
      </c>
      <c r="AI872" s="243" t="str">
        <f>IF($Z872="","",RANK(AE872,$AE$2:$AE$1001)+COUNTIF($AE$2:AE872,AE872)-1)</f>
        <v/>
      </c>
      <c r="AJ872" s="243" t="str">
        <f>IF($AD872&lt;0,COUNT($AJ$1:AJ871)+1,"")</f>
        <v/>
      </c>
      <c r="AL872" s="243" t="str">
        <f>'All Ticker P&amp;L'!A872</f>
        <v/>
      </c>
      <c r="AM872" s="243" t="str">
        <f>'All Ticker P&amp;L'!B872</f>
        <v/>
      </c>
      <c r="AN872" s="243" t="str">
        <f>'All Ticker P&amp;L'!C872</f>
        <v/>
      </c>
      <c r="AO872" s="243" t="str">
        <f>'All Ticker P&amp;L'!D872</f>
        <v/>
      </c>
      <c r="AP872" s="243">
        <f>IF($AL872="",0,'All Ticker P&amp;L'!E872)</f>
        <v>0</v>
      </c>
      <c r="AQ872" s="266">
        <f>IF($AL872="",0,'All Ticker P&amp;L'!J872*'All Ticker P&amp;L'!I872)</f>
        <v>0</v>
      </c>
      <c r="AR872" s="266">
        <f>IF($AL872="",0,'All Ticker P&amp;L'!L872)</f>
        <v>0</v>
      </c>
      <c r="AS872" s="267">
        <f>IF($AL872="",0,'All Ticker P&amp;L'!M872)</f>
        <v>0</v>
      </c>
      <c r="AT872" s="243" t="str">
        <f>IF($AL872="","",RANK(AR872,$AR$2:$AR$1001)+COUNTIF($AR$2:AR872,AR872)-1)</f>
        <v/>
      </c>
      <c r="AU872" s="243" t="str">
        <f>IF($AL872="","",RANK(AV872,$AV$2:$AV$1001)+COUNTIF($AV$2:AV872,AV872)-1)</f>
        <v/>
      </c>
      <c r="AV872" s="266">
        <f t="shared" si="58"/>
        <v>0</v>
      </c>
    </row>
    <row r="873" spans="26:48" ht="15" customHeight="1" x14ac:dyDescent="0.2">
      <c r="Z873" s="243" t="str">
        <f>Shares!A873</f>
        <v/>
      </c>
      <c r="AA873" s="243" t="str">
        <f>Shares!B873</f>
        <v/>
      </c>
      <c r="AB873" s="243" t="str">
        <f>Shares!C873</f>
        <v/>
      </c>
      <c r="AC873" s="243" t="str">
        <f>Shares!D873</f>
        <v/>
      </c>
      <c r="AD873" s="243">
        <f>IF($Z873="",0,Shares!E873)</f>
        <v>0</v>
      </c>
      <c r="AE873" s="266">
        <f>IF($Z873="",0,Shares!J873*Shares!I873)</f>
        <v>0</v>
      </c>
      <c r="AF873" s="267">
        <f t="shared" si="57"/>
        <v>0</v>
      </c>
      <c r="AG873" s="266">
        <f>IF($Z873="",0,Shares!L873)</f>
        <v>0</v>
      </c>
      <c r="AH873" s="267">
        <f>IF($Z873="",0,Shares!M873)</f>
        <v>0</v>
      </c>
      <c r="AI873" s="243" t="str">
        <f>IF($Z873="","",RANK(AE873,$AE$2:$AE$1001)+COUNTIF($AE$2:AE873,AE873)-1)</f>
        <v/>
      </c>
      <c r="AJ873" s="243" t="str">
        <f>IF($AD873&lt;0,COUNT($AJ$1:AJ872)+1,"")</f>
        <v/>
      </c>
      <c r="AL873" s="243" t="str">
        <f>'All Ticker P&amp;L'!A873</f>
        <v/>
      </c>
      <c r="AM873" s="243" t="str">
        <f>'All Ticker P&amp;L'!B873</f>
        <v/>
      </c>
      <c r="AN873" s="243" t="str">
        <f>'All Ticker P&amp;L'!C873</f>
        <v/>
      </c>
      <c r="AO873" s="243" t="str">
        <f>'All Ticker P&amp;L'!D873</f>
        <v/>
      </c>
      <c r="AP873" s="243">
        <f>IF($AL873="",0,'All Ticker P&amp;L'!E873)</f>
        <v>0</v>
      </c>
      <c r="AQ873" s="266">
        <f>IF($AL873="",0,'All Ticker P&amp;L'!J873*'All Ticker P&amp;L'!I873)</f>
        <v>0</v>
      </c>
      <c r="AR873" s="266">
        <f>IF($AL873="",0,'All Ticker P&amp;L'!L873)</f>
        <v>0</v>
      </c>
      <c r="AS873" s="267">
        <f>IF($AL873="",0,'All Ticker P&amp;L'!M873)</f>
        <v>0</v>
      </c>
      <c r="AT873" s="243" t="str">
        <f>IF($AL873="","",RANK(AR873,$AR$2:$AR$1001)+COUNTIF($AR$2:AR873,AR873)-1)</f>
        <v/>
      </c>
      <c r="AU873" s="243" t="str">
        <f>IF($AL873="","",RANK(AV873,$AV$2:$AV$1001)+COUNTIF($AV$2:AV873,AV873)-1)</f>
        <v/>
      </c>
      <c r="AV873" s="266">
        <f t="shared" si="58"/>
        <v>0</v>
      </c>
    </row>
    <row r="874" spans="26:48" ht="15" customHeight="1" x14ac:dyDescent="0.2">
      <c r="Z874" s="243" t="str">
        <f>Shares!A874</f>
        <v/>
      </c>
      <c r="AA874" s="243" t="str">
        <f>Shares!B874</f>
        <v/>
      </c>
      <c r="AB874" s="243" t="str">
        <f>Shares!C874</f>
        <v/>
      </c>
      <c r="AC874" s="243" t="str">
        <f>Shares!D874</f>
        <v/>
      </c>
      <c r="AD874" s="243">
        <f>IF($Z874="",0,Shares!E874)</f>
        <v>0</v>
      </c>
      <c r="AE874" s="266">
        <f>IF($Z874="",0,Shares!J874*Shares!I874)</f>
        <v>0</v>
      </c>
      <c r="AF874" s="267">
        <f t="shared" si="57"/>
        <v>0</v>
      </c>
      <c r="AG874" s="266">
        <f>IF($Z874="",0,Shares!L874)</f>
        <v>0</v>
      </c>
      <c r="AH874" s="267">
        <f>IF($Z874="",0,Shares!M874)</f>
        <v>0</v>
      </c>
      <c r="AI874" s="243" t="str">
        <f>IF($Z874="","",RANK(AE874,$AE$2:$AE$1001)+COUNTIF($AE$2:AE874,AE874)-1)</f>
        <v/>
      </c>
      <c r="AJ874" s="243" t="str">
        <f>IF($AD874&lt;0,COUNT($AJ$1:AJ873)+1,"")</f>
        <v/>
      </c>
      <c r="AL874" s="243" t="str">
        <f>'All Ticker P&amp;L'!A874</f>
        <v/>
      </c>
      <c r="AM874" s="243" t="str">
        <f>'All Ticker P&amp;L'!B874</f>
        <v/>
      </c>
      <c r="AN874" s="243" t="str">
        <f>'All Ticker P&amp;L'!C874</f>
        <v/>
      </c>
      <c r="AO874" s="243" t="str">
        <f>'All Ticker P&amp;L'!D874</f>
        <v/>
      </c>
      <c r="AP874" s="243">
        <f>IF($AL874="",0,'All Ticker P&amp;L'!E874)</f>
        <v>0</v>
      </c>
      <c r="AQ874" s="266">
        <f>IF($AL874="",0,'All Ticker P&amp;L'!J874*'All Ticker P&amp;L'!I874)</f>
        <v>0</v>
      </c>
      <c r="AR874" s="266">
        <f>IF($AL874="",0,'All Ticker P&amp;L'!L874)</f>
        <v>0</v>
      </c>
      <c r="AS874" s="267">
        <f>IF($AL874="",0,'All Ticker P&amp;L'!M874)</f>
        <v>0</v>
      </c>
      <c r="AT874" s="243" t="str">
        <f>IF($AL874="","",RANK(AR874,$AR$2:$AR$1001)+COUNTIF($AR$2:AR874,AR874)-1)</f>
        <v/>
      </c>
      <c r="AU874" s="243" t="str">
        <f>IF($AL874="","",RANK(AV874,$AV$2:$AV$1001)+COUNTIF($AV$2:AV874,AV874)-1)</f>
        <v/>
      </c>
      <c r="AV874" s="266">
        <f t="shared" si="58"/>
        <v>0</v>
      </c>
    </row>
    <row r="875" spans="26:48" ht="15" customHeight="1" x14ac:dyDescent="0.2">
      <c r="Z875" s="243" t="str">
        <f>Shares!A875</f>
        <v/>
      </c>
      <c r="AA875" s="243" t="str">
        <f>Shares!B875</f>
        <v/>
      </c>
      <c r="AB875" s="243" t="str">
        <f>Shares!C875</f>
        <v/>
      </c>
      <c r="AC875" s="243" t="str">
        <f>Shares!D875</f>
        <v/>
      </c>
      <c r="AD875" s="243">
        <f>IF($Z875="",0,Shares!E875)</f>
        <v>0</v>
      </c>
      <c r="AE875" s="266">
        <f>IF($Z875="",0,Shares!J875*Shares!I875)</f>
        <v>0</v>
      </c>
      <c r="AF875" s="267">
        <f t="shared" si="57"/>
        <v>0</v>
      </c>
      <c r="AG875" s="266">
        <f>IF($Z875="",0,Shares!L875)</f>
        <v>0</v>
      </c>
      <c r="AH875" s="267">
        <f>IF($Z875="",0,Shares!M875)</f>
        <v>0</v>
      </c>
      <c r="AI875" s="243" t="str">
        <f>IF($Z875="","",RANK(AE875,$AE$2:$AE$1001)+COUNTIF($AE$2:AE875,AE875)-1)</f>
        <v/>
      </c>
      <c r="AJ875" s="243" t="str">
        <f>IF($AD875&lt;0,COUNT($AJ$1:AJ874)+1,"")</f>
        <v/>
      </c>
      <c r="AL875" s="243" t="str">
        <f>'All Ticker P&amp;L'!A875</f>
        <v/>
      </c>
      <c r="AM875" s="243" t="str">
        <f>'All Ticker P&amp;L'!B875</f>
        <v/>
      </c>
      <c r="AN875" s="243" t="str">
        <f>'All Ticker P&amp;L'!C875</f>
        <v/>
      </c>
      <c r="AO875" s="243" t="str">
        <f>'All Ticker P&amp;L'!D875</f>
        <v/>
      </c>
      <c r="AP875" s="243">
        <f>IF($AL875="",0,'All Ticker P&amp;L'!E875)</f>
        <v>0</v>
      </c>
      <c r="AQ875" s="266">
        <f>IF($AL875="",0,'All Ticker P&amp;L'!J875*'All Ticker P&amp;L'!I875)</f>
        <v>0</v>
      </c>
      <c r="AR875" s="266">
        <f>IF($AL875="",0,'All Ticker P&amp;L'!L875)</f>
        <v>0</v>
      </c>
      <c r="AS875" s="267">
        <f>IF($AL875="",0,'All Ticker P&amp;L'!M875)</f>
        <v>0</v>
      </c>
      <c r="AT875" s="243" t="str">
        <f>IF($AL875="","",RANK(AR875,$AR$2:$AR$1001)+COUNTIF($AR$2:AR875,AR875)-1)</f>
        <v/>
      </c>
      <c r="AU875" s="243" t="str">
        <f>IF($AL875="","",RANK(AV875,$AV$2:$AV$1001)+COUNTIF($AV$2:AV875,AV875)-1)</f>
        <v/>
      </c>
      <c r="AV875" s="266">
        <f t="shared" si="58"/>
        <v>0</v>
      </c>
    </row>
    <row r="876" spans="26:48" ht="15" customHeight="1" x14ac:dyDescent="0.2">
      <c r="Z876" s="243" t="str">
        <f>Shares!A876</f>
        <v/>
      </c>
      <c r="AA876" s="243" t="str">
        <f>Shares!B876</f>
        <v/>
      </c>
      <c r="AB876" s="243" t="str">
        <f>Shares!C876</f>
        <v/>
      </c>
      <c r="AC876" s="243" t="str">
        <f>Shares!D876</f>
        <v/>
      </c>
      <c r="AD876" s="243">
        <f>IF($Z876="",0,Shares!E876)</f>
        <v>0</v>
      </c>
      <c r="AE876" s="266">
        <f>IF($Z876="",0,Shares!J876*Shares!I876)</f>
        <v>0</v>
      </c>
      <c r="AF876" s="267">
        <f t="shared" si="57"/>
        <v>0</v>
      </c>
      <c r="AG876" s="266">
        <f>IF($Z876="",0,Shares!L876)</f>
        <v>0</v>
      </c>
      <c r="AH876" s="267">
        <f>IF($Z876="",0,Shares!M876)</f>
        <v>0</v>
      </c>
      <c r="AI876" s="243" t="str">
        <f>IF($Z876="","",RANK(AE876,$AE$2:$AE$1001)+COUNTIF($AE$2:AE876,AE876)-1)</f>
        <v/>
      </c>
      <c r="AJ876" s="243" t="str">
        <f>IF($AD876&lt;0,COUNT($AJ$1:AJ875)+1,"")</f>
        <v/>
      </c>
      <c r="AL876" s="243" t="str">
        <f>'All Ticker P&amp;L'!A876</f>
        <v/>
      </c>
      <c r="AM876" s="243" t="str">
        <f>'All Ticker P&amp;L'!B876</f>
        <v/>
      </c>
      <c r="AN876" s="243" t="str">
        <f>'All Ticker P&amp;L'!C876</f>
        <v/>
      </c>
      <c r="AO876" s="243" t="str">
        <f>'All Ticker P&amp;L'!D876</f>
        <v/>
      </c>
      <c r="AP876" s="243">
        <f>IF($AL876="",0,'All Ticker P&amp;L'!E876)</f>
        <v>0</v>
      </c>
      <c r="AQ876" s="266">
        <f>IF($AL876="",0,'All Ticker P&amp;L'!J876*'All Ticker P&amp;L'!I876)</f>
        <v>0</v>
      </c>
      <c r="AR876" s="266">
        <f>IF($AL876="",0,'All Ticker P&amp;L'!L876)</f>
        <v>0</v>
      </c>
      <c r="AS876" s="267">
        <f>IF($AL876="",0,'All Ticker P&amp;L'!M876)</f>
        <v>0</v>
      </c>
      <c r="AT876" s="243" t="str">
        <f>IF($AL876="","",RANK(AR876,$AR$2:$AR$1001)+COUNTIF($AR$2:AR876,AR876)-1)</f>
        <v/>
      </c>
      <c r="AU876" s="243" t="str">
        <f>IF($AL876="","",RANK(AV876,$AV$2:$AV$1001)+COUNTIF($AV$2:AV876,AV876)-1)</f>
        <v/>
      </c>
      <c r="AV876" s="266">
        <f t="shared" si="58"/>
        <v>0</v>
      </c>
    </row>
    <row r="877" spans="26:48" ht="15" customHeight="1" x14ac:dyDescent="0.2">
      <c r="Z877" s="243" t="str">
        <f>Shares!A877</f>
        <v/>
      </c>
      <c r="AA877" s="243" t="str">
        <f>Shares!B877</f>
        <v/>
      </c>
      <c r="AB877" s="243" t="str">
        <f>Shares!C877</f>
        <v/>
      </c>
      <c r="AC877" s="243" t="str">
        <f>Shares!D877</f>
        <v/>
      </c>
      <c r="AD877" s="243">
        <f>IF($Z877="",0,Shares!E877)</f>
        <v>0</v>
      </c>
      <c r="AE877" s="266">
        <f>IF($Z877="",0,Shares!J877*Shares!I877)</f>
        <v>0</v>
      </c>
      <c r="AF877" s="267">
        <f t="shared" si="57"/>
        <v>0</v>
      </c>
      <c r="AG877" s="266">
        <f>IF($Z877="",0,Shares!L877)</f>
        <v>0</v>
      </c>
      <c r="AH877" s="267">
        <f>IF($Z877="",0,Shares!M877)</f>
        <v>0</v>
      </c>
      <c r="AI877" s="243" t="str">
        <f>IF($Z877="","",RANK(AE877,$AE$2:$AE$1001)+COUNTIF($AE$2:AE877,AE877)-1)</f>
        <v/>
      </c>
      <c r="AJ877" s="243" t="str">
        <f>IF($AD877&lt;0,COUNT($AJ$1:AJ876)+1,"")</f>
        <v/>
      </c>
      <c r="AL877" s="243" t="str">
        <f>'All Ticker P&amp;L'!A877</f>
        <v/>
      </c>
      <c r="AM877" s="243" t="str">
        <f>'All Ticker P&amp;L'!B877</f>
        <v/>
      </c>
      <c r="AN877" s="243" t="str">
        <f>'All Ticker P&amp;L'!C877</f>
        <v/>
      </c>
      <c r="AO877" s="243" t="str">
        <f>'All Ticker P&amp;L'!D877</f>
        <v/>
      </c>
      <c r="AP877" s="243">
        <f>IF($AL877="",0,'All Ticker P&amp;L'!E877)</f>
        <v>0</v>
      </c>
      <c r="AQ877" s="266">
        <f>IF($AL877="",0,'All Ticker P&amp;L'!J877*'All Ticker P&amp;L'!I877)</f>
        <v>0</v>
      </c>
      <c r="AR877" s="266">
        <f>IF($AL877="",0,'All Ticker P&amp;L'!L877)</f>
        <v>0</v>
      </c>
      <c r="AS877" s="267">
        <f>IF($AL877="",0,'All Ticker P&amp;L'!M877)</f>
        <v>0</v>
      </c>
      <c r="AT877" s="243" t="str">
        <f>IF($AL877="","",RANK(AR877,$AR$2:$AR$1001)+COUNTIF($AR$2:AR877,AR877)-1)</f>
        <v/>
      </c>
      <c r="AU877" s="243" t="str">
        <f>IF($AL877="","",RANK(AV877,$AV$2:$AV$1001)+COUNTIF($AV$2:AV877,AV877)-1)</f>
        <v/>
      </c>
      <c r="AV877" s="266">
        <f t="shared" si="58"/>
        <v>0</v>
      </c>
    </row>
    <row r="878" spans="26:48" ht="15" customHeight="1" x14ac:dyDescent="0.2">
      <c r="Z878" s="243" t="str">
        <f>Shares!A878</f>
        <v/>
      </c>
      <c r="AA878" s="243" t="str">
        <f>Shares!B878</f>
        <v/>
      </c>
      <c r="AB878" s="243" t="str">
        <f>Shares!C878</f>
        <v/>
      </c>
      <c r="AC878" s="243" t="str">
        <f>Shares!D878</f>
        <v/>
      </c>
      <c r="AD878" s="243">
        <f>IF($Z878="",0,Shares!E878)</f>
        <v>0</v>
      </c>
      <c r="AE878" s="266">
        <f>IF($Z878="",0,Shares!J878*Shares!I878)</f>
        <v>0</v>
      </c>
      <c r="AF878" s="267">
        <f t="shared" si="57"/>
        <v>0</v>
      </c>
      <c r="AG878" s="266">
        <f>IF($Z878="",0,Shares!L878)</f>
        <v>0</v>
      </c>
      <c r="AH878" s="267">
        <f>IF($Z878="",0,Shares!M878)</f>
        <v>0</v>
      </c>
      <c r="AI878" s="243" t="str">
        <f>IF($Z878="","",RANK(AE878,$AE$2:$AE$1001)+COUNTIF($AE$2:AE878,AE878)-1)</f>
        <v/>
      </c>
      <c r="AJ878" s="243" t="str">
        <f>IF($AD878&lt;0,COUNT($AJ$1:AJ877)+1,"")</f>
        <v/>
      </c>
      <c r="AL878" s="243" t="str">
        <f>'All Ticker P&amp;L'!A878</f>
        <v/>
      </c>
      <c r="AM878" s="243" t="str">
        <f>'All Ticker P&amp;L'!B878</f>
        <v/>
      </c>
      <c r="AN878" s="243" t="str">
        <f>'All Ticker P&amp;L'!C878</f>
        <v/>
      </c>
      <c r="AO878" s="243" t="str">
        <f>'All Ticker P&amp;L'!D878</f>
        <v/>
      </c>
      <c r="AP878" s="243">
        <f>IF($AL878="",0,'All Ticker P&amp;L'!E878)</f>
        <v>0</v>
      </c>
      <c r="AQ878" s="266">
        <f>IF($AL878="",0,'All Ticker P&amp;L'!J878*'All Ticker P&amp;L'!I878)</f>
        <v>0</v>
      </c>
      <c r="AR878" s="266">
        <f>IF($AL878="",0,'All Ticker P&amp;L'!L878)</f>
        <v>0</v>
      </c>
      <c r="AS878" s="267">
        <f>IF($AL878="",0,'All Ticker P&amp;L'!M878)</f>
        <v>0</v>
      </c>
      <c r="AT878" s="243" t="str">
        <f>IF($AL878="","",RANK(AR878,$AR$2:$AR$1001)+COUNTIF($AR$2:AR878,AR878)-1)</f>
        <v/>
      </c>
      <c r="AU878" s="243" t="str">
        <f>IF($AL878="","",RANK(AV878,$AV$2:$AV$1001)+COUNTIF($AV$2:AV878,AV878)-1)</f>
        <v/>
      </c>
      <c r="AV878" s="266">
        <f t="shared" si="58"/>
        <v>0</v>
      </c>
    </row>
    <row r="879" spans="26:48" ht="15" customHeight="1" x14ac:dyDescent="0.2">
      <c r="Z879" s="243" t="str">
        <f>Shares!A879</f>
        <v/>
      </c>
      <c r="AA879" s="243" t="str">
        <f>Shares!B879</f>
        <v/>
      </c>
      <c r="AB879" s="243" t="str">
        <f>Shares!C879</f>
        <v/>
      </c>
      <c r="AC879" s="243" t="str">
        <f>Shares!D879</f>
        <v/>
      </c>
      <c r="AD879" s="243">
        <f>IF($Z879="",0,Shares!E879)</f>
        <v>0</v>
      </c>
      <c r="AE879" s="266">
        <f>IF($Z879="",0,Shares!J879*Shares!I879)</f>
        <v>0</v>
      </c>
      <c r="AF879" s="267">
        <f t="shared" si="57"/>
        <v>0</v>
      </c>
      <c r="AG879" s="266">
        <f>IF($Z879="",0,Shares!L879)</f>
        <v>0</v>
      </c>
      <c r="AH879" s="267">
        <f>IF($Z879="",0,Shares!M879)</f>
        <v>0</v>
      </c>
      <c r="AI879" s="243" t="str">
        <f>IF($Z879="","",RANK(AE879,$AE$2:$AE$1001)+COUNTIF($AE$2:AE879,AE879)-1)</f>
        <v/>
      </c>
      <c r="AJ879" s="243" t="str">
        <f>IF($AD879&lt;0,COUNT($AJ$1:AJ878)+1,"")</f>
        <v/>
      </c>
      <c r="AL879" s="243" t="str">
        <f>'All Ticker P&amp;L'!A879</f>
        <v/>
      </c>
      <c r="AM879" s="243" t="str">
        <f>'All Ticker P&amp;L'!B879</f>
        <v/>
      </c>
      <c r="AN879" s="243" t="str">
        <f>'All Ticker P&amp;L'!C879</f>
        <v/>
      </c>
      <c r="AO879" s="243" t="str">
        <f>'All Ticker P&amp;L'!D879</f>
        <v/>
      </c>
      <c r="AP879" s="243">
        <f>IF($AL879="",0,'All Ticker P&amp;L'!E879)</f>
        <v>0</v>
      </c>
      <c r="AQ879" s="266">
        <f>IF($AL879="",0,'All Ticker P&amp;L'!J879*'All Ticker P&amp;L'!I879)</f>
        <v>0</v>
      </c>
      <c r="AR879" s="266">
        <f>IF($AL879="",0,'All Ticker P&amp;L'!L879)</f>
        <v>0</v>
      </c>
      <c r="AS879" s="267">
        <f>IF($AL879="",0,'All Ticker P&amp;L'!M879)</f>
        <v>0</v>
      </c>
      <c r="AT879" s="243" t="str">
        <f>IF($AL879="","",RANK(AR879,$AR$2:$AR$1001)+COUNTIF($AR$2:AR879,AR879)-1)</f>
        <v/>
      </c>
      <c r="AU879" s="243" t="str">
        <f>IF($AL879="","",RANK(AV879,$AV$2:$AV$1001)+COUNTIF($AV$2:AV879,AV879)-1)</f>
        <v/>
      </c>
      <c r="AV879" s="266">
        <f t="shared" si="58"/>
        <v>0</v>
      </c>
    </row>
    <row r="880" spans="26:48" ht="15" customHeight="1" x14ac:dyDescent="0.2">
      <c r="Z880" s="243" t="str">
        <f>Shares!A880</f>
        <v/>
      </c>
      <c r="AA880" s="243" t="str">
        <f>Shares!B880</f>
        <v/>
      </c>
      <c r="AB880" s="243" t="str">
        <f>Shares!C880</f>
        <v/>
      </c>
      <c r="AC880" s="243" t="str">
        <f>Shares!D880</f>
        <v/>
      </c>
      <c r="AD880" s="243">
        <f>IF($Z880="",0,Shares!E880)</f>
        <v>0</v>
      </c>
      <c r="AE880" s="266">
        <f>IF($Z880="",0,Shares!J880*Shares!I880)</f>
        <v>0</v>
      </c>
      <c r="AF880" s="267">
        <f t="shared" si="57"/>
        <v>0</v>
      </c>
      <c r="AG880" s="266">
        <f>IF($Z880="",0,Shares!L880)</f>
        <v>0</v>
      </c>
      <c r="AH880" s="267">
        <f>IF($Z880="",0,Shares!M880)</f>
        <v>0</v>
      </c>
      <c r="AI880" s="243" t="str">
        <f>IF($Z880="","",RANK(AE880,$AE$2:$AE$1001)+COUNTIF($AE$2:AE880,AE880)-1)</f>
        <v/>
      </c>
      <c r="AJ880" s="243" t="str">
        <f>IF($AD880&lt;0,COUNT($AJ$1:AJ879)+1,"")</f>
        <v/>
      </c>
      <c r="AL880" s="243" t="str">
        <f>'All Ticker P&amp;L'!A880</f>
        <v/>
      </c>
      <c r="AM880" s="243" t="str">
        <f>'All Ticker P&amp;L'!B880</f>
        <v/>
      </c>
      <c r="AN880" s="243" t="str">
        <f>'All Ticker P&amp;L'!C880</f>
        <v/>
      </c>
      <c r="AO880" s="243" t="str">
        <f>'All Ticker P&amp;L'!D880</f>
        <v/>
      </c>
      <c r="AP880" s="243">
        <f>IF($AL880="",0,'All Ticker P&amp;L'!E880)</f>
        <v>0</v>
      </c>
      <c r="AQ880" s="266">
        <f>IF($AL880="",0,'All Ticker P&amp;L'!J880*'All Ticker P&amp;L'!I880)</f>
        <v>0</v>
      </c>
      <c r="AR880" s="266">
        <f>IF($AL880="",0,'All Ticker P&amp;L'!L880)</f>
        <v>0</v>
      </c>
      <c r="AS880" s="267">
        <f>IF($AL880="",0,'All Ticker P&amp;L'!M880)</f>
        <v>0</v>
      </c>
      <c r="AT880" s="243" t="str">
        <f>IF($AL880="","",RANK(AR880,$AR$2:$AR$1001)+COUNTIF($AR$2:AR880,AR880)-1)</f>
        <v/>
      </c>
      <c r="AU880" s="243" t="str">
        <f>IF($AL880="","",RANK(AV880,$AV$2:$AV$1001)+COUNTIF($AV$2:AV880,AV880)-1)</f>
        <v/>
      </c>
      <c r="AV880" s="266">
        <f t="shared" si="58"/>
        <v>0</v>
      </c>
    </row>
    <row r="881" spans="26:48" ht="15" customHeight="1" x14ac:dyDescent="0.2">
      <c r="Z881" s="243" t="str">
        <f>Shares!A881</f>
        <v/>
      </c>
      <c r="AA881" s="243" t="str">
        <f>Shares!B881</f>
        <v/>
      </c>
      <c r="AB881" s="243" t="str">
        <f>Shares!C881</f>
        <v/>
      </c>
      <c r="AC881" s="243" t="str">
        <f>Shares!D881</f>
        <v/>
      </c>
      <c r="AD881" s="243">
        <f>IF($Z881="",0,Shares!E881)</f>
        <v>0</v>
      </c>
      <c r="AE881" s="266">
        <f>IF($Z881="",0,Shares!J881*Shares!I881)</f>
        <v>0</v>
      </c>
      <c r="AF881" s="267">
        <f t="shared" si="57"/>
        <v>0</v>
      </c>
      <c r="AG881" s="266">
        <f>IF($Z881="",0,Shares!L881)</f>
        <v>0</v>
      </c>
      <c r="AH881" s="267">
        <f>IF($Z881="",0,Shares!M881)</f>
        <v>0</v>
      </c>
      <c r="AI881" s="243" t="str">
        <f>IF($Z881="","",RANK(AE881,$AE$2:$AE$1001)+COUNTIF($AE$2:AE881,AE881)-1)</f>
        <v/>
      </c>
      <c r="AJ881" s="243" t="str">
        <f>IF($AD881&lt;0,COUNT($AJ$1:AJ880)+1,"")</f>
        <v/>
      </c>
      <c r="AL881" s="243" t="str">
        <f>'All Ticker P&amp;L'!A881</f>
        <v/>
      </c>
      <c r="AM881" s="243" t="str">
        <f>'All Ticker P&amp;L'!B881</f>
        <v/>
      </c>
      <c r="AN881" s="243" t="str">
        <f>'All Ticker P&amp;L'!C881</f>
        <v/>
      </c>
      <c r="AO881" s="243" t="str">
        <f>'All Ticker P&amp;L'!D881</f>
        <v/>
      </c>
      <c r="AP881" s="243">
        <f>IF($AL881="",0,'All Ticker P&amp;L'!E881)</f>
        <v>0</v>
      </c>
      <c r="AQ881" s="266">
        <f>IF($AL881="",0,'All Ticker P&amp;L'!J881*'All Ticker P&amp;L'!I881)</f>
        <v>0</v>
      </c>
      <c r="AR881" s="266">
        <f>IF($AL881="",0,'All Ticker P&amp;L'!L881)</f>
        <v>0</v>
      </c>
      <c r="AS881" s="267">
        <f>IF($AL881="",0,'All Ticker P&amp;L'!M881)</f>
        <v>0</v>
      </c>
      <c r="AT881" s="243" t="str">
        <f>IF($AL881="","",RANK(AR881,$AR$2:$AR$1001)+COUNTIF($AR$2:AR881,AR881)-1)</f>
        <v/>
      </c>
      <c r="AU881" s="243" t="str">
        <f>IF($AL881="","",RANK(AV881,$AV$2:$AV$1001)+COUNTIF($AV$2:AV881,AV881)-1)</f>
        <v/>
      </c>
      <c r="AV881" s="266">
        <f t="shared" si="58"/>
        <v>0</v>
      </c>
    </row>
    <row r="882" spans="26:48" ht="15" customHeight="1" x14ac:dyDescent="0.2">
      <c r="Z882" s="243" t="str">
        <f>Shares!A882</f>
        <v/>
      </c>
      <c r="AA882" s="243" t="str">
        <f>Shares!B882</f>
        <v/>
      </c>
      <c r="AB882" s="243" t="str">
        <f>Shares!C882</f>
        <v/>
      </c>
      <c r="AC882" s="243" t="str">
        <f>Shares!D882</f>
        <v/>
      </c>
      <c r="AD882" s="243">
        <f>IF($Z882="",0,Shares!E882)</f>
        <v>0</v>
      </c>
      <c r="AE882" s="266">
        <f>IF($Z882="",0,Shares!J882*Shares!I882)</f>
        <v>0</v>
      </c>
      <c r="AF882" s="267">
        <f t="shared" si="57"/>
        <v>0</v>
      </c>
      <c r="AG882" s="266">
        <f>IF($Z882="",0,Shares!L882)</f>
        <v>0</v>
      </c>
      <c r="AH882" s="267">
        <f>IF($Z882="",0,Shares!M882)</f>
        <v>0</v>
      </c>
      <c r="AI882" s="243" t="str">
        <f>IF($Z882="","",RANK(AE882,$AE$2:$AE$1001)+COUNTIF($AE$2:AE882,AE882)-1)</f>
        <v/>
      </c>
      <c r="AJ882" s="243" t="str">
        <f>IF($AD882&lt;0,COUNT($AJ$1:AJ881)+1,"")</f>
        <v/>
      </c>
      <c r="AL882" s="243" t="str">
        <f>'All Ticker P&amp;L'!A882</f>
        <v/>
      </c>
      <c r="AM882" s="243" t="str">
        <f>'All Ticker P&amp;L'!B882</f>
        <v/>
      </c>
      <c r="AN882" s="243" t="str">
        <f>'All Ticker P&amp;L'!C882</f>
        <v/>
      </c>
      <c r="AO882" s="243" t="str">
        <f>'All Ticker P&amp;L'!D882</f>
        <v/>
      </c>
      <c r="AP882" s="243">
        <f>IF($AL882="",0,'All Ticker P&amp;L'!E882)</f>
        <v>0</v>
      </c>
      <c r="AQ882" s="266">
        <f>IF($AL882="",0,'All Ticker P&amp;L'!J882*'All Ticker P&amp;L'!I882)</f>
        <v>0</v>
      </c>
      <c r="AR882" s="266">
        <f>IF($AL882="",0,'All Ticker P&amp;L'!L882)</f>
        <v>0</v>
      </c>
      <c r="AS882" s="267">
        <f>IF($AL882="",0,'All Ticker P&amp;L'!M882)</f>
        <v>0</v>
      </c>
      <c r="AT882" s="243" t="str">
        <f>IF($AL882="","",RANK(AR882,$AR$2:$AR$1001)+COUNTIF($AR$2:AR882,AR882)-1)</f>
        <v/>
      </c>
      <c r="AU882" s="243" t="str">
        <f>IF($AL882="","",RANK(AV882,$AV$2:$AV$1001)+COUNTIF($AV$2:AV882,AV882)-1)</f>
        <v/>
      </c>
      <c r="AV882" s="266">
        <f t="shared" si="58"/>
        <v>0</v>
      </c>
    </row>
    <row r="883" spans="26:48" ht="15" customHeight="1" x14ac:dyDescent="0.2">
      <c r="Z883" s="243" t="str">
        <f>Shares!A883</f>
        <v/>
      </c>
      <c r="AA883" s="243" t="str">
        <f>Shares!B883</f>
        <v/>
      </c>
      <c r="AB883" s="243" t="str">
        <f>Shares!C883</f>
        <v/>
      </c>
      <c r="AC883" s="243" t="str">
        <f>Shares!D883</f>
        <v/>
      </c>
      <c r="AD883" s="243">
        <f>IF($Z883="",0,Shares!E883)</f>
        <v>0</v>
      </c>
      <c r="AE883" s="266">
        <f>IF($Z883="",0,Shares!J883*Shares!I883)</f>
        <v>0</v>
      </c>
      <c r="AF883" s="267">
        <f t="shared" si="57"/>
        <v>0</v>
      </c>
      <c r="AG883" s="266">
        <f>IF($Z883="",0,Shares!L883)</f>
        <v>0</v>
      </c>
      <c r="AH883" s="267">
        <f>IF($Z883="",0,Shares!M883)</f>
        <v>0</v>
      </c>
      <c r="AI883" s="243" t="str">
        <f>IF($Z883="","",RANK(AE883,$AE$2:$AE$1001)+COUNTIF($AE$2:AE883,AE883)-1)</f>
        <v/>
      </c>
      <c r="AJ883" s="243" t="str">
        <f>IF($AD883&lt;0,COUNT($AJ$1:AJ882)+1,"")</f>
        <v/>
      </c>
      <c r="AL883" s="243" t="str">
        <f>'All Ticker P&amp;L'!A883</f>
        <v/>
      </c>
      <c r="AM883" s="243" t="str">
        <f>'All Ticker P&amp;L'!B883</f>
        <v/>
      </c>
      <c r="AN883" s="243" t="str">
        <f>'All Ticker P&amp;L'!C883</f>
        <v/>
      </c>
      <c r="AO883" s="243" t="str">
        <f>'All Ticker P&amp;L'!D883</f>
        <v/>
      </c>
      <c r="AP883" s="243">
        <f>IF($AL883="",0,'All Ticker P&amp;L'!E883)</f>
        <v>0</v>
      </c>
      <c r="AQ883" s="266">
        <f>IF($AL883="",0,'All Ticker P&amp;L'!J883*'All Ticker P&amp;L'!I883)</f>
        <v>0</v>
      </c>
      <c r="AR883" s="266">
        <f>IF($AL883="",0,'All Ticker P&amp;L'!L883)</f>
        <v>0</v>
      </c>
      <c r="AS883" s="267">
        <f>IF($AL883="",0,'All Ticker P&amp;L'!M883)</f>
        <v>0</v>
      </c>
      <c r="AT883" s="243" t="str">
        <f>IF($AL883="","",RANK(AR883,$AR$2:$AR$1001)+COUNTIF($AR$2:AR883,AR883)-1)</f>
        <v/>
      </c>
      <c r="AU883" s="243" t="str">
        <f>IF($AL883="","",RANK(AV883,$AV$2:$AV$1001)+COUNTIF($AV$2:AV883,AV883)-1)</f>
        <v/>
      </c>
      <c r="AV883" s="266">
        <f t="shared" si="58"/>
        <v>0</v>
      </c>
    </row>
    <row r="884" spans="26:48" ht="15" customHeight="1" x14ac:dyDescent="0.2">
      <c r="Z884" s="243" t="str">
        <f>Shares!A884</f>
        <v/>
      </c>
      <c r="AA884" s="243" t="str">
        <f>Shares!B884</f>
        <v/>
      </c>
      <c r="AB884" s="243" t="str">
        <f>Shares!C884</f>
        <v/>
      </c>
      <c r="AC884" s="243" t="str">
        <f>Shares!D884</f>
        <v/>
      </c>
      <c r="AD884" s="243">
        <f>IF($Z884="",0,Shares!E884)</f>
        <v>0</v>
      </c>
      <c r="AE884" s="266">
        <f>IF($Z884="",0,Shares!J884*Shares!I884)</f>
        <v>0</v>
      </c>
      <c r="AF884" s="267">
        <f t="shared" si="57"/>
        <v>0</v>
      </c>
      <c r="AG884" s="266">
        <f>IF($Z884="",0,Shares!L884)</f>
        <v>0</v>
      </c>
      <c r="AH884" s="267">
        <f>IF($Z884="",0,Shares!M884)</f>
        <v>0</v>
      </c>
      <c r="AI884" s="243" t="str">
        <f>IF($Z884="","",RANK(AE884,$AE$2:$AE$1001)+COUNTIF($AE$2:AE884,AE884)-1)</f>
        <v/>
      </c>
      <c r="AJ884" s="243" t="str">
        <f>IF($AD884&lt;0,COUNT($AJ$1:AJ883)+1,"")</f>
        <v/>
      </c>
      <c r="AL884" s="243" t="str">
        <f>'All Ticker P&amp;L'!A884</f>
        <v/>
      </c>
      <c r="AM884" s="243" t="str">
        <f>'All Ticker P&amp;L'!B884</f>
        <v/>
      </c>
      <c r="AN884" s="243" t="str">
        <f>'All Ticker P&amp;L'!C884</f>
        <v/>
      </c>
      <c r="AO884" s="243" t="str">
        <f>'All Ticker P&amp;L'!D884</f>
        <v/>
      </c>
      <c r="AP884" s="243">
        <f>IF($AL884="",0,'All Ticker P&amp;L'!E884)</f>
        <v>0</v>
      </c>
      <c r="AQ884" s="266">
        <f>IF($AL884="",0,'All Ticker P&amp;L'!J884*'All Ticker P&amp;L'!I884)</f>
        <v>0</v>
      </c>
      <c r="AR884" s="266">
        <f>IF($AL884="",0,'All Ticker P&amp;L'!L884)</f>
        <v>0</v>
      </c>
      <c r="AS884" s="267">
        <f>IF($AL884="",0,'All Ticker P&amp;L'!M884)</f>
        <v>0</v>
      </c>
      <c r="AT884" s="243" t="str">
        <f>IF($AL884="","",RANK(AR884,$AR$2:$AR$1001)+COUNTIF($AR$2:AR884,AR884)-1)</f>
        <v/>
      </c>
      <c r="AU884" s="243" t="str">
        <f>IF($AL884="","",RANK(AV884,$AV$2:$AV$1001)+COUNTIF($AV$2:AV884,AV884)-1)</f>
        <v/>
      </c>
      <c r="AV884" s="266">
        <f t="shared" si="58"/>
        <v>0</v>
      </c>
    </row>
    <row r="885" spans="26:48" ht="15" customHeight="1" x14ac:dyDescent="0.2">
      <c r="Z885" s="243" t="str">
        <f>Shares!A885</f>
        <v/>
      </c>
      <c r="AA885" s="243" t="str">
        <f>Shares!B885</f>
        <v/>
      </c>
      <c r="AB885" s="243" t="str">
        <f>Shares!C885</f>
        <v/>
      </c>
      <c r="AC885" s="243" t="str">
        <f>Shares!D885</f>
        <v/>
      </c>
      <c r="AD885" s="243">
        <f>IF($Z885="",0,Shares!E885)</f>
        <v>0</v>
      </c>
      <c r="AE885" s="266">
        <f>IF($Z885="",0,Shares!J885*Shares!I885)</f>
        <v>0</v>
      </c>
      <c r="AF885" s="267">
        <f t="shared" si="57"/>
        <v>0</v>
      </c>
      <c r="AG885" s="266">
        <f>IF($Z885="",0,Shares!L885)</f>
        <v>0</v>
      </c>
      <c r="AH885" s="267">
        <f>IF($Z885="",0,Shares!M885)</f>
        <v>0</v>
      </c>
      <c r="AI885" s="243" t="str">
        <f>IF($Z885="","",RANK(AE885,$AE$2:$AE$1001)+COUNTIF($AE$2:AE885,AE885)-1)</f>
        <v/>
      </c>
      <c r="AJ885" s="243" t="str">
        <f>IF($AD885&lt;0,COUNT($AJ$1:AJ884)+1,"")</f>
        <v/>
      </c>
      <c r="AL885" s="243" t="str">
        <f>'All Ticker P&amp;L'!A885</f>
        <v/>
      </c>
      <c r="AM885" s="243" t="str">
        <f>'All Ticker P&amp;L'!B885</f>
        <v/>
      </c>
      <c r="AN885" s="243" t="str">
        <f>'All Ticker P&amp;L'!C885</f>
        <v/>
      </c>
      <c r="AO885" s="243" t="str">
        <f>'All Ticker P&amp;L'!D885</f>
        <v/>
      </c>
      <c r="AP885" s="243">
        <f>IF($AL885="",0,'All Ticker P&amp;L'!E885)</f>
        <v>0</v>
      </c>
      <c r="AQ885" s="266">
        <f>IF($AL885="",0,'All Ticker P&amp;L'!J885*'All Ticker P&amp;L'!I885)</f>
        <v>0</v>
      </c>
      <c r="AR885" s="266">
        <f>IF($AL885="",0,'All Ticker P&amp;L'!L885)</f>
        <v>0</v>
      </c>
      <c r="AS885" s="267">
        <f>IF($AL885="",0,'All Ticker P&amp;L'!M885)</f>
        <v>0</v>
      </c>
      <c r="AT885" s="243" t="str">
        <f>IF($AL885="","",RANK(AR885,$AR$2:$AR$1001)+COUNTIF($AR$2:AR885,AR885)-1)</f>
        <v/>
      </c>
      <c r="AU885" s="243" t="str">
        <f>IF($AL885="","",RANK(AV885,$AV$2:$AV$1001)+COUNTIF($AV$2:AV885,AV885)-1)</f>
        <v/>
      </c>
      <c r="AV885" s="266">
        <f t="shared" si="58"/>
        <v>0</v>
      </c>
    </row>
    <row r="886" spans="26:48" ht="15" customHeight="1" x14ac:dyDescent="0.2">
      <c r="Z886" s="243" t="str">
        <f>Shares!A886</f>
        <v/>
      </c>
      <c r="AA886" s="243" t="str">
        <f>Shares!B886</f>
        <v/>
      </c>
      <c r="AB886" s="243" t="str">
        <f>Shares!C886</f>
        <v/>
      </c>
      <c r="AC886" s="243" t="str">
        <f>Shares!D886</f>
        <v/>
      </c>
      <c r="AD886" s="243">
        <f>IF($Z886="",0,Shares!E886)</f>
        <v>0</v>
      </c>
      <c r="AE886" s="266">
        <f>IF($Z886="",0,Shares!J886*Shares!I886)</f>
        <v>0</v>
      </c>
      <c r="AF886" s="267">
        <f t="shared" si="57"/>
        <v>0</v>
      </c>
      <c r="AG886" s="266">
        <f>IF($Z886="",0,Shares!L886)</f>
        <v>0</v>
      </c>
      <c r="AH886" s="267">
        <f>IF($Z886="",0,Shares!M886)</f>
        <v>0</v>
      </c>
      <c r="AI886" s="243" t="str">
        <f>IF($Z886="","",RANK(AE886,$AE$2:$AE$1001)+COUNTIF($AE$2:AE886,AE886)-1)</f>
        <v/>
      </c>
      <c r="AJ886" s="243" t="str">
        <f>IF($AD886&lt;0,COUNT($AJ$1:AJ885)+1,"")</f>
        <v/>
      </c>
      <c r="AL886" s="243" t="str">
        <f>'All Ticker P&amp;L'!A886</f>
        <v/>
      </c>
      <c r="AM886" s="243" t="str">
        <f>'All Ticker P&amp;L'!B886</f>
        <v/>
      </c>
      <c r="AN886" s="243" t="str">
        <f>'All Ticker P&amp;L'!C886</f>
        <v/>
      </c>
      <c r="AO886" s="243" t="str">
        <f>'All Ticker P&amp;L'!D886</f>
        <v/>
      </c>
      <c r="AP886" s="243">
        <f>IF($AL886="",0,'All Ticker P&amp;L'!E886)</f>
        <v>0</v>
      </c>
      <c r="AQ886" s="266">
        <f>IF($AL886="",0,'All Ticker P&amp;L'!J886*'All Ticker P&amp;L'!I886)</f>
        <v>0</v>
      </c>
      <c r="AR886" s="266">
        <f>IF($AL886="",0,'All Ticker P&amp;L'!L886)</f>
        <v>0</v>
      </c>
      <c r="AS886" s="267">
        <f>IF($AL886="",0,'All Ticker P&amp;L'!M886)</f>
        <v>0</v>
      </c>
      <c r="AT886" s="243" t="str">
        <f>IF($AL886="","",RANK(AR886,$AR$2:$AR$1001)+COUNTIF($AR$2:AR886,AR886)-1)</f>
        <v/>
      </c>
      <c r="AU886" s="243" t="str">
        <f>IF($AL886="","",RANK(AV886,$AV$2:$AV$1001)+COUNTIF($AV$2:AV886,AV886)-1)</f>
        <v/>
      </c>
      <c r="AV886" s="266">
        <f t="shared" si="58"/>
        <v>0</v>
      </c>
    </row>
    <row r="887" spans="26:48" ht="15" customHeight="1" x14ac:dyDescent="0.2">
      <c r="Z887" s="243" t="str">
        <f>Shares!A887</f>
        <v/>
      </c>
      <c r="AA887" s="243" t="str">
        <f>Shares!B887</f>
        <v/>
      </c>
      <c r="AB887" s="243" t="str">
        <f>Shares!C887</f>
        <v/>
      </c>
      <c r="AC887" s="243" t="str">
        <f>Shares!D887</f>
        <v/>
      </c>
      <c r="AD887" s="243">
        <f>IF($Z887="",0,Shares!E887)</f>
        <v>0</v>
      </c>
      <c r="AE887" s="266">
        <f>IF($Z887="",0,Shares!J887*Shares!I887)</f>
        <v>0</v>
      </c>
      <c r="AF887" s="267">
        <f t="shared" si="57"/>
        <v>0</v>
      </c>
      <c r="AG887" s="266">
        <f>IF($Z887="",0,Shares!L887)</f>
        <v>0</v>
      </c>
      <c r="AH887" s="267">
        <f>IF($Z887="",0,Shares!M887)</f>
        <v>0</v>
      </c>
      <c r="AI887" s="243" t="str">
        <f>IF($Z887="","",RANK(AE887,$AE$2:$AE$1001)+COUNTIF($AE$2:AE887,AE887)-1)</f>
        <v/>
      </c>
      <c r="AJ887" s="243" t="str">
        <f>IF($AD887&lt;0,COUNT($AJ$1:AJ886)+1,"")</f>
        <v/>
      </c>
      <c r="AL887" s="243" t="str">
        <f>'All Ticker P&amp;L'!A887</f>
        <v/>
      </c>
      <c r="AM887" s="243" t="str">
        <f>'All Ticker P&amp;L'!B887</f>
        <v/>
      </c>
      <c r="AN887" s="243" t="str">
        <f>'All Ticker P&amp;L'!C887</f>
        <v/>
      </c>
      <c r="AO887" s="243" t="str">
        <f>'All Ticker P&amp;L'!D887</f>
        <v/>
      </c>
      <c r="AP887" s="243">
        <f>IF($AL887="",0,'All Ticker P&amp;L'!E887)</f>
        <v>0</v>
      </c>
      <c r="AQ887" s="266">
        <f>IF($AL887="",0,'All Ticker P&amp;L'!J887*'All Ticker P&amp;L'!I887)</f>
        <v>0</v>
      </c>
      <c r="AR887" s="266">
        <f>IF($AL887="",0,'All Ticker P&amp;L'!L887)</f>
        <v>0</v>
      </c>
      <c r="AS887" s="267">
        <f>IF($AL887="",0,'All Ticker P&amp;L'!M887)</f>
        <v>0</v>
      </c>
      <c r="AT887" s="243" t="str">
        <f>IF($AL887="","",RANK(AR887,$AR$2:$AR$1001)+COUNTIF($AR$2:AR887,AR887)-1)</f>
        <v/>
      </c>
      <c r="AU887" s="243" t="str">
        <f>IF($AL887="","",RANK(AV887,$AV$2:$AV$1001)+COUNTIF($AV$2:AV887,AV887)-1)</f>
        <v/>
      </c>
      <c r="AV887" s="266">
        <f t="shared" si="58"/>
        <v>0</v>
      </c>
    </row>
    <row r="888" spans="26:48" ht="15" customHeight="1" x14ac:dyDescent="0.2">
      <c r="Z888" s="243" t="str">
        <f>Shares!A888</f>
        <v/>
      </c>
      <c r="AA888" s="243" t="str">
        <f>Shares!B888</f>
        <v/>
      </c>
      <c r="AB888" s="243" t="str">
        <f>Shares!C888</f>
        <v/>
      </c>
      <c r="AC888" s="243" t="str">
        <f>Shares!D888</f>
        <v/>
      </c>
      <c r="AD888" s="243">
        <f>IF($Z888="",0,Shares!E888)</f>
        <v>0</v>
      </c>
      <c r="AE888" s="266">
        <f>IF($Z888="",0,Shares!J888*Shares!I888)</f>
        <v>0</v>
      </c>
      <c r="AF888" s="267">
        <f t="shared" si="57"/>
        <v>0</v>
      </c>
      <c r="AG888" s="266">
        <f>IF($Z888="",0,Shares!L888)</f>
        <v>0</v>
      </c>
      <c r="AH888" s="267">
        <f>IF($Z888="",0,Shares!M888)</f>
        <v>0</v>
      </c>
      <c r="AI888" s="243" t="str">
        <f>IF($Z888="","",RANK(AE888,$AE$2:$AE$1001)+COUNTIF($AE$2:AE888,AE888)-1)</f>
        <v/>
      </c>
      <c r="AJ888" s="243" t="str">
        <f>IF($AD888&lt;0,COUNT($AJ$1:AJ887)+1,"")</f>
        <v/>
      </c>
      <c r="AL888" s="243" t="str">
        <f>'All Ticker P&amp;L'!A888</f>
        <v/>
      </c>
      <c r="AM888" s="243" t="str">
        <f>'All Ticker P&amp;L'!B888</f>
        <v/>
      </c>
      <c r="AN888" s="243" t="str">
        <f>'All Ticker P&amp;L'!C888</f>
        <v/>
      </c>
      <c r="AO888" s="243" t="str">
        <f>'All Ticker P&amp;L'!D888</f>
        <v/>
      </c>
      <c r="AP888" s="243">
        <f>IF($AL888="",0,'All Ticker P&amp;L'!E888)</f>
        <v>0</v>
      </c>
      <c r="AQ888" s="266">
        <f>IF($AL888="",0,'All Ticker P&amp;L'!J888*'All Ticker P&amp;L'!I888)</f>
        <v>0</v>
      </c>
      <c r="AR888" s="266">
        <f>IF($AL888="",0,'All Ticker P&amp;L'!L888)</f>
        <v>0</v>
      </c>
      <c r="AS888" s="267">
        <f>IF($AL888="",0,'All Ticker P&amp;L'!M888)</f>
        <v>0</v>
      </c>
      <c r="AT888" s="243" t="str">
        <f>IF($AL888="","",RANK(AR888,$AR$2:$AR$1001)+COUNTIF($AR$2:AR888,AR888)-1)</f>
        <v/>
      </c>
      <c r="AU888" s="243" t="str">
        <f>IF($AL888="","",RANK(AV888,$AV$2:$AV$1001)+COUNTIF($AV$2:AV888,AV888)-1)</f>
        <v/>
      </c>
      <c r="AV888" s="266">
        <f t="shared" si="58"/>
        <v>0</v>
      </c>
    </row>
    <row r="889" spans="26:48" ht="15" customHeight="1" x14ac:dyDescent="0.2">
      <c r="Z889" s="243" t="str">
        <f>Shares!A889</f>
        <v/>
      </c>
      <c r="AA889" s="243" t="str">
        <f>Shares!B889</f>
        <v/>
      </c>
      <c r="AB889" s="243" t="str">
        <f>Shares!C889</f>
        <v/>
      </c>
      <c r="AC889" s="243" t="str">
        <f>Shares!D889</f>
        <v/>
      </c>
      <c r="AD889" s="243">
        <f>IF($Z889="",0,Shares!E889)</f>
        <v>0</v>
      </c>
      <c r="AE889" s="266">
        <f>IF($Z889="",0,Shares!J889*Shares!I889)</f>
        <v>0</v>
      </c>
      <c r="AF889" s="267">
        <f t="shared" si="57"/>
        <v>0</v>
      </c>
      <c r="AG889" s="266">
        <f>IF($Z889="",0,Shares!L889)</f>
        <v>0</v>
      </c>
      <c r="AH889" s="267">
        <f>IF($Z889="",0,Shares!M889)</f>
        <v>0</v>
      </c>
      <c r="AI889" s="243" t="str">
        <f>IF($Z889="","",RANK(AE889,$AE$2:$AE$1001)+COUNTIF($AE$2:AE889,AE889)-1)</f>
        <v/>
      </c>
      <c r="AJ889" s="243" t="str">
        <f>IF($AD889&lt;0,COUNT($AJ$1:AJ888)+1,"")</f>
        <v/>
      </c>
      <c r="AL889" s="243" t="str">
        <f>'All Ticker P&amp;L'!A889</f>
        <v/>
      </c>
      <c r="AM889" s="243" t="str">
        <f>'All Ticker P&amp;L'!B889</f>
        <v/>
      </c>
      <c r="AN889" s="243" t="str">
        <f>'All Ticker P&amp;L'!C889</f>
        <v/>
      </c>
      <c r="AO889" s="243" t="str">
        <f>'All Ticker P&amp;L'!D889</f>
        <v/>
      </c>
      <c r="AP889" s="243">
        <f>IF($AL889="",0,'All Ticker P&amp;L'!E889)</f>
        <v>0</v>
      </c>
      <c r="AQ889" s="266">
        <f>IF($AL889="",0,'All Ticker P&amp;L'!J889*'All Ticker P&amp;L'!I889)</f>
        <v>0</v>
      </c>
      <c r="AR889" s="266">
        <f>IF($AL889="",0,'All Ticker P&amp;L'!L889)</f>
        <v>0</v>
      </c>
      <c r="AS889" s="267">
        <f>IF($AL889="",0,'All Ticker P&amp;L'!M889)</f>
        <v>0</v>
      </c>
      <c r="AT889" s="243" t="str">
        <f>IF($AL889="","",RANK(AR889,$AR$2:$AR$1001)+COUNTIF($AR$2:AR889,AR889)-1)</f>
        <v/>
      </c>
      <c r="AU889" s="243" t="str">
        <f>IF($AL889="","",RANK(AV889,$AV$2:$AV$1001)+COUNTIF($AV$2:AV889,AV889)-1)</f>
        <v/>
      </c>
      <c r="AV889" s="266">
        <f t="shared" si="58"/>
        <v>0</v>
      </c>
    </row>
    <row r="890" spans="26:48" ht="15" customHeight="1" x14ac:dyDescent="0.2">
      <c r="Z890" s="243" t="str">
        <f>Shares!A890</f>
        <v/>
      </c>
      <c r="AA890" s="243" t="str">
        <f>Shares!B890</f>
        <v/>
      </c>
      <c r="AB890" s="243" t="str">
        <f>Shares!C890</f>
        <v/>
      </c>
      <c r="AC890" s="243" t="str">
        <f>Shares!D890</f>
        <v/>
      </c>
      <c r="AD890" s="243">
        <f>IF($Z890="",0,Shares!E890)</f>
        <v>0</v>
      </c>
      <c r="AE890" s="266">
        <f>IF($Z890="",0,Shares!J890*Shares!I890)</f>
        <v>0</v>
      </c>
      <c r="AF890" s="267">
        <f t="shared" si="57"/>
        <v>0</v>
      </c>
      <c r="AG890" s="266">
        <f>IF($Z890="",0,Shares!L890)</f>
        <v>0</v>
      </c>
      <c r="AH890" s="267">
        <f>IF($Z890="",0,Shares!M890)</f>
        <v>0</v>
      </c>
      <c r="AI890" s="243" t="str">
        <f>IF($Z890="","",RANK(AE890,$AE$2:$AE$1001)+COUNTIF($AE$2:AE890,AE890)-1)</f>
        <v/>
      </c>
      <c r="AJ890" s="243" t="str">
        <f>IF($AD890&lt;0,COUNT($AJ$1:AJ889)+1,"")</f>
        <v/>
      </c>
      <c r="AL890" s="243" t="str">
        <f>'All Ticker P&amp;L'!A890</f>
        <v/>
      </c>
      <c r="AM890" s="243" t="str">
        <f>'All Ticker P&amp;L'!B890</f>
        <v/>
      </c>
      <c r="AN890" s="243" t="str">
        <f>'All Ticker P&amp;L'!C890</f>
        <v/>
      </c>
      <c r="AO890" s="243" t="str">
        <f>'All Ticker P&amp;L'!D890</f>
        <v/>
      </c>
      <c r="AP890" s="243">
        <f>IF($AL890="",0,'All Ticker P&amp;L'!E890)</f>
        <v>0</v>
      </c>
      <c r="AQ890" s="266">
        <f>IF($AL890="",0,'All Ticker P&amp;L'!J890*'All Ticker P&amp;L'!I890)</f>
        <v>0</v>
      </c>
      <c r="AR890" s="266">
        <f>IF($AL890="",0,'All Ticker P&amp;L'!L890)</f>
        <v>0</v>
      </c>
      <c r="AS890" s="267">
        <f>IF($AL890="",0,'All Ticker P&amp;L'!M890)</f>
        <v>0</v>
      </c>
      <c r="AT890" s="243" t="str">
        <f>IF($AL890="","",RANK(AR890,$AR$2:$AR$1001)+COUNTIF($AR$2:AR890,AR890)-1)</f>
        <v/>
      </c>
      <c r="AU890" s="243" t="str">
        <f>IF($AL890="","",RANK(AV890,$AV$2:$AV$1001)+COUNTIF($AV$2:AV890,AV890)-1)</f>
        <v/>
      </c>
      <c r="AV890" s="266">
        <f t="shared" si="58"/>
        <v>0</v>
      </c>
    </row>
    <row r="891" spans="26:48" ht="15" customHeight="1" x14ac:dyDescent="0.2">
      <c r="Z891" s="243" t="str">
        <f>Shares!A891</f>
        <v/>
      </c>
      <c r="AA891" s="243" t="str">
        <f>Shares!B891</f>
        <v/>
      </c>
      <c r="AB891" s="243" t="str">
        <f>Shares!C891</f>
        <v/>
      </c>
      <c r="AC891" s="243" t="str">
        <f>Shares!D891</f>
        <v/>
      </c>
      <c r="AD891" s="243">
        <f>IF($Z891="",0,Shares!E891)</f>
        <v>0</v>
      </c>
      <c r="AE891" s="266">
        <f>IF($Z891="",0,Shares!J891*Shares!I891)</f>
        <v>0</v>
      </c>
      <c r="AF891" s="267">
        <f t="shared" si="57"/>
        <v>0</v>
      </c>
      <c r="AG891" s="266">
        <f>IF($Z891="",0,Shares!L891)</f>
        <v>0</v>
      </c>
      <c r="AH891" s="267">
        <f>IF($Z891="",0,Shares!M891)</f>
        <v>0</v>
      </c>
      <c r="AI891" s="243" t="str">
        <f>IF($Z891="","",RANK(AE891,$AE$2:$AE$1001)+COUNTIF($AE$2:AE891,AE891)-1)</f>
        <v/>
      </c>
      <c r="AJ891" s="243" t="str">
        <f>IF($AD891&lt;0,COUNT($AJ$1:AJ890)+1,"")</f>
        <v/>
      </c>
      <c r="AL891" s="243" t="str">
        <f>'All Ticker P&amp;L'!A891</f>
        <v/>
      </c>
      <c r="AM891" s="243" t="str">
        <f>'All Ticker P&amp;L'!B891</f>
        <v/>
      </c>
      <c r="AN891" s="243" t="str">
        <f>'All Ticker P&amp;L'!C891</f>
        <v/>
      </c>
      <c r="AO891" s="243" t="str">
        <f>'All Ticker P&amp;L'!D891</f>
        <v/>
      </c>
      <c r="AP891" s="243">
        <f>IF($AL891="",0,'All Ticker P&amp;L'!E891)</f>
        <v>0</v>
      </c>
      <c r="AQ891" s="266">
        <f>IF($AL891="",0,'All Ticker P&amp;L'!J891*'All Ticker P&amp;L'!I891)</f>
        <v>0</v>
      </c>
      <c r="AR891" s="266">
        <f>IF($AL891="",0,'All Ticker P&amp;L'!L891)</f>
        <v>0</v>
      </c>
      <c r="AS891" s="267">
        <f>IF($AL891="",0,'All Ticker P&amp;L'!M891)</f>
        <v>0</v>
      </c>
      <c r="AT891" s="243" t="str">
        <f>IF($AL891="","",RANK(AR891,$AR$2:$AR$1001)+COUNTIF($AR$2:AR891,AR891)-1)</f>
        <v/>
      </c>
      <c r="AU891" s="243" t="str">
        <f>IF($AL891="","",RANK(AV891,$AV$2:$AV$1001)+COUNTIF($AV$2:AV891,AV891)-1)</f>
        <v/>
      </c>
      <c r="AV891" s="266">
        <f t="shared" si="58"/>
        <v>0</v>
      </c>
    </row>
    <row r="892" spans="26:48" ht="15" customHeight="1" x14ac:dyDescent="0.2">
      <c r="Z892" s="243" t="str">
        <f>Shares!A892</f>
        <v/>
      </c>
      <c r="AA892" s="243" t="str">
        <f>Shares!B892</f>
        <v/>
      </c>
      <c r="AB892" s="243" t="str">
        <f>Shares!C892</f>
        <v/>
      </c>
      <c r="AC892" s="243" t="str">
        <f>Shares!D892</f>
        <v/>
      </c>
      <c r="AD892" s="243">
        <f>IF($Z892="",0,Shares!E892)</f>
        <v>0</v>
      </c>
      <c r="AE892" s="266">
        <f>IF($Z892="",0,Shares!J892*Shares!I892)</f>
        <v>0</v>
      </c>
      <c r="AF892" s="267">
        <f t="shared" si="57"/>
        <v>0</v>
      </c>
      <c r="AG892" s="266">
        <f>IF($Z892="",0,Shares!L892)</f>
        <v>0</v>
      </c>
      <c r="AH892" s="267">
        <f>IF($Z892="",0,Shares!M892)</f>
        <v>0</v>
      </c>
      <c r="AI892" s="243" t="str">
        <f>IF($Z892="","",RANK(AE892,$AE$2:$AE$1001)+COUNTIF($AE$2:AE892,AE892)-1)</f>
        <v/>
      </c>
      <c r="AJ892" s="243" t="str">
        <f>IF($AD892&lt;0,COUNT($AJ$1:AJ891)+1,"")</f>
        <v/>
      </c>
      <c r="AL892" s="243" t="str">
        <f>'All Ticker P&amp;L'!A892</f>
        <v/>
      </c>
      <c r="AM892" s="243" t="str">
        <f>'All Ticker P&amp;L'!B892</f>
        <v/>
      </c>
      <c r="AN892" s="243" t="str">
        <f>'All Ticker P&amp;L'!C892</f>
        <v/>
      </c>
      <c r="AO892" s="243" t="str">
        <f>'All Ticker P&amp;L'!D892</f>
        <v/>
      </c>
      <c r="AP892" s="243">
        <f>IF($AL892="",0,'All Ticker P&amp;L'!E892)</f>
        <v>0</v>
      </c>
      <c r="AQ892" s="266">
        <f>IF($AL892="",0,'All Ticker P&amp;L'!J892*'All Ticker P&amp;L'!I892)</f>
        <v>0</v>
      </c>
      <c r="AR892" s="266">
        <f>IF($AL892="",0,'All Ticker P&amp;L'!L892)</f>
        <v>0</v>
      </c>
      <c r="AS892" s="267">
        <f>IF($AL892="",0,'All Ticker P&amp;L'!M892)</f>
        <v>0</v>
      </c>
      <c r="AT892" s="243" t="str">
        <f>IF($AL892="","",RANK(AR892,$AR$2:$AR$1001)+COUNTIF($AR$2:AR892,AR892)-1)</f>
        <v/>
      </c>
      <c r="AU892" s="243" t="str">
        <f>IF($AL892="","",RANK(AV892,$AV$2:$AV$1001)+COUNTIF($AV$2:AV892,AV892)-1)</f>
        <v/>
      </c>
      <c r="AV892" s="266">
        <f t="shared" si="58"/>
        <v>0</v>
      </c>
    </row>
    <row r="893" spans="26:48" ht="15" customHeight="1" x14ac:dyDescent="0.2">
      <c r="Z893" s="243" t="str">
        <f>Shares!A893</f>
        <v/>
      </c>
      <c r="AA893" s="243" t="str">
        <f>Shares!B893</f>
        <v/>
      </c>
      <c r="AB893" s="243" t="str">
        <f>Shares!C893</f>
        <v/>
      </c>
      <c r="AC893" s="243" t="str">
        <f>Shares!D893</f>
        <v/>
      </c>
      <c r="AD893" s="243">
        <f>IF($Z893="",0,Shares!E893)</f>
        <v>0</v>
      </c>
      <c r="AE893" s="266">
        <f>IF($Z893="",0,Shares!J893*Shares!I893)</f>
        <v>0</v>
      </c>
      <c r="AF893" s="267">
        <f t="shared" si="57"/>
        <v>0</v>
      </c>
      <c r="AG893" s="266">
        <f>IF($Z893="",0,Shares!L893)</f>
        <v>0</v>
      </c>
      <c r="AH893" s="267">
        <f>IF($Z893="",0,Shares!M893)</f>
        <v>0</v>
      </c>
      <c r="AI893" s="243" t="str">
        <f>IF($Z893="","",RANK(AE893,$AE$2:$AE$1001)+COUNTIF($AE$2:AE893,AE893)-1)</f>
        <v/>
      </c>
      <c r="AJ893" s="243" t="str">
        <f>IF($AD893&lt;0,COUNT($AJ$1:AJ892)+1,"")</f>
        <v/>
      </c>
      <c r="AL893" s="243" t="str">
        <f>'All Ticker P&amp;L'!A893</f>
        <v/>
      </c>
      <c r="AM893" s="243" t="str">
        <f>'All Ticker P&amp;L'!B893</f>
        <v/>
      </c>
      <c r="AN893" s="243" t="str">
        <f>'All Ticker P&amp;L'!C893</f>
        <v/>
      </c>
      <c r="AO893" s="243" t="str">
        <f>'All Ticker P&amp;L'!D893</f>
        <v/>
      </c>
      <c r="AP893" s="243">
        <f>IF($AL893="",0,'All Ticker P&amp;L'!E893)</f>
        <v>0</v>
      </c>
      <c r="AQ893" s="266">
        <f>IF($AL893="",0,'All Ticker P&amp;L'!J893*'All Ticker P&amp;L'!I893)</f>
        <v>0</v>
      </c>
      <c r="AR893" s="266">
        <f>IF($AL893="",0,'All Ticker P&amp;L'!L893)</f>
        <v>0</v>
      </c>
      <c r="AS893" s="267">
        <f>IF($AL893="",0,'All Ticker P&amp;L'!M893)</f>
        <v>0</v>
      </c>
      <c r="AT893" s="243" t="str">
        <f>IF($AL893="","",RANK(AR893,$AR$2:$AR$1001)+COUNTIF($AR$2:AR893,AR893)-1)</f>
        <v/>
      </c>
      <c r="AU893" s="243" t="str">
        <f>IF($AL893="","",RANK(AV893,$AV$2:$AV$1001)+COUNTIF($AV$2:AV893,AV893)-1)</f>
        <v/>
      </c>
      <c r="AV893" s="266">
        <f t="shared" si="58"/>
        <v>0</v>
      </c>
    </row>
    <row r="894" spans="26:48" ht="15" customHeight="1" x14ac:dyDescent="0.2">
      <c r="Z894" s="243" t="str">
        <f>Shares!A894</f>
        <v/>
      </c>
      <c r="AA894" s="243" t="str">
        <f>Shares!B894</f>
        <v/>
      </c>
      <c r="AB894" s="243" t="str">
        <f>Shares!C894</f>
        <v/>
      </c>
      <c r="AC894" s="243" t="str">
        <f>Shares!D894</f>
        <v/>
      </c>
      <c r="AD894" s="243">
        <f>IF($Z894="",0,Shares!E894)</f>
        <v>0</v>
      </c>
      <c r="AE894" s="266">
        <f>IF($Z894="",0,Shares!J894*Shares!I894)</f>
        <v>0</v>
      </c>
      <c r="AF894" s="267">
        <f t="shared" si="57"/>
        <v>0</v>
      </c>
      <c r="AG894" s="266">
        <f>IF($Z894="",0,Shares!L894)</f>
        <v>0</v>
      </c>
      <c r="AH894" s="267">
        <f>IF($Z894="",0,Shares!M894)</f>
        <v>0</v>
      </c>
      <c r="AI894" s="243" t="str">
        <f>IF($Z894="","",RANK(AE894,$AE$2:$AE$1001)+COUNTIF($AE$2:AE894,AE894)-1)</f>
        <v/>
      </c>
      <c r="AJ894" s="243" t="str">
        <f>IF($AD894&lt;0,COUNT($AJ$1:AJ893)+1,"")</f>
        <v/>
      </c>
      <c r="AL894" s="243" t="str">
        <f>'All Ticker P&amp;L'!A894</f>
        <v/>
      </c>
      <c r="AM894" s="243" t="str">
        <f>'All Ticker P&amp;L'!B894</f>
        <v/>
      </c>
      <c r="AN894" s="243" t="str">
        <f>'All Ticker P&amp;L'!C894</f>
        <v/>
      </c>
      <c r="AO894" s="243" t="str">
        <f>'All Ticker P&amp;L'!D894</f>
        <v/>
      </c>
      <c r="AP894" s="243">
        <f>IF($AL894="",0,'All Ticker P&amp;L'!E894)</f>
        <v>0</v>
      </c>
      <c r="AQ894" s="266">
        <f>IF($AL894="",0,'All Ticker P&amp;L'!J894*'All Ticker P&amp;L'!I894)</f>
        <v>0</v>
      </c>
      <c r="AR894" s="266">
        <f>IF($AL894="",0,'All Ticker P&amp;L'!L894)</f>
        <v>0</v>
      </c>
      <c r="AS894" s="267">
        <f>IF($AL894="",0,'All Ticker P&amp;L'!M894)</f>
        <v>0</v>
      </c>
      <c r="AT894" s="243" t="str">
        <f>IF($AL894="","",RANK(AR894,$AR$2:$AR$1001)+COUNTIF($AR$2:AR894,AR894)-1)</f>
        <v/>
      </c>
      <c r="AU894" s="243" t="str">
        <f>IF($AL894="","",RANK(AV894,$AV$2:$AV$1001)+COUNTIF($AV$2:AV894,AV894)-1)</f>
        <v/>
      </c>
      <c r="AV894" s="266">
        <f t="shared" si="58"/>
        <v>0</v>
      </c>
    </row>
    <row r="895" spans="26:48" ht="15" customHeight="1" x14ac:dyDescent="0.2">
      <c r="Z895" s="243" t="str">
        <f>Shares!A895</f>
        <v/>
      </c>
      <c r="AA895" s="243" t="str">
        <f>Shares!B895</f>
        <v/>
      </c>
      <c r="AB895" s="243" t="str">
        <f>Shares!C895</f>
        <v/>
      </c>
      <c r="AC895" s="243" t="str">
        <f>Shares!D895</f>
        <v/>
      </c>
      <c r="AD895" s="243">
        <f>IF($Z895="",0,Shares!E895)</f>
        <v>0</v>
      </c>
      <c r="AE895" s="266">
        <f>IF($Z895="",0,Shares!J895*Shares!I895)</f>
        <v>0</v>
      </c>
      <c r="AF895" s="267">
        <f t="shared" si="57"/>
        <v>0</v>
      </c>
      <c r="AG895" s="266">
        <f>IF($Z895="",0,Shares!L895)</f>
        <v>0</v>
      </c>
      <c r="AH895" s="267">
        <f>IF($Z895="",0,Shares!M895)</f>
        <v>0</v>
      </c>
      <c r="AI895" s="243" t="str">
        <f>IF($Z895="","",RANK(AE895,$AE$2:$AE$1001)+COUNTIF($AE$2:AE895,AE895)-1)</f>
        <v/>
      </c>
      <c r="AJ895" s="243" t="str">
        <f>IF($AD895&lt;0,COUNT($AJ$1:AJ894)+1,"")</f>
        <v/>
      </c>
      <c r="AL895" s="243" t="str">
        <f>'All Ticker P&amp;L'!A895</f>
        <v/>
      </c>
      <c r="AM895" s="243" t="str">
        <f>'All Ticker P&amp;L'!B895</f>
        <v/>
      </c>
      <c r="AN895" s="243" t="str">
        <f>'All Ticker P&amp;L'!C895</f>
        <v/>
      </c>
      <c r="AO895" s="243" t="str">
        <f>'All Ticker P&amp;L'!D895</f>
        <v/>
      </c>
      <c r="AP895" s="243">
        <f>IF($AL895="",0,'All Ticker P&amp;L'!E895)</f>
        <v>0</v>
      </c>
      <c r="AQ895" s="266">
        <f>IF($AL895="",0,'All Ticker P&amp;L'!J895*'All Ticker P&amp;L'!I895)</f>
        <v>0</v>
      </c>
      <c r="AR895" s="266">
        <f>IF($AL895="",0,'All Ticker P&amp;L'!L895)</f>
        <v>0</v>
      </c>
      <c r="AS895" s="267">
        <f>IF($AL895="",0,'All Ticker P&amp;L'!M895)</f>
        <v>0</v>
      </c>
      <c r="AT895" s="243" t="str">
        <f>IF($AL895="","",RANK(AR895,$AR$2:$AR$1001)+COUNTIF($AR$2:AR895,AR895)-1)</f>
        <v/>
      </c>
      <c r="AU895" s="243" t="str">
        <f>IF($AL895="","",RANK(AV895,$AV$2:$AV$1001)+COUNTIF($AV$2:AV895,AV895)-1)</f>
        <v/>
      </c>
      <c r="AV895" s="266">
        <f t="shared" si="58"/>
        <v>0</v>
      </c>
    </row>
    <row r="896" spans="26:48" ht="15" customHeight="1" x14ac:dyDescent="0.2">
      <c r="Z896" s="243" t="str">
        <f>Shares!A896</f>
        <v/>
      </c>
      <c r="AA896" s="243" t="str">
        <f>Shares!B896</f>
        <v/>
      </c>
      <c r="AB896" s="243" t="str">
        <f>Shares!C896</f>
        <v/>
      </c>
      <c r="AC896" s="243" t="str">
        <f>Shares!D896</f>
        <v/>
      </c>
      <c r="AD896" s="243">
        <f>IF($Z896="",0,Shares!E896)</f>
        <v>0</v>
      </c>
      <c r="AE896" s="266">
        <f>IF($Z896="",0,Shares!J896*Shares!I896)</f>
        <v>0</v>
      </c>
      <c r="AF896" s="267">
        <f t="shared" si="57"/>
        <v>0</v>
      </c>
      <c r="AG896" s="266">
        <f>IF($Z896="",0,Shares!L896)</f>
        <v>0</v>
      </c>
      <c r="AH896" s="267">
        <f>IF($Z896="",0,Shares!M896)</f>
        <v>0</v>
      </c>
      <c r="AI896" s="243" t="str">
        <f>IF($Z896="","",RANK(AE896,$AE$2:$AE$1001)+COUNTIF($AE$2:AE896,AE896)-1)</f>
        <v/>
      </c>
      <c r="AJ896" s="243" t="str">
        <f>IF($AD896&lt;0,COUNT($AJ$1:AJ895)+1,"")</f>
        <v/>
      </c>
      <c r="AL896" s="243" t="str">
        <f>'All Ticker P&amp;L'!A896</f>
        <v/>
      </c>
      <c r="AM896" s="243" t="str">
        <f>'All Ticker P&amp;L'!B896</f>
        <v/>
      </c>
      <c r="AN896" s="243" t="str">
        <f>'All Ticker P&amp;L'!C896</f>
        <v/>
      </c>
      <c r="AO896" s="243" t="str">
        <f>'All Ticker P&amp;L'!D896</f>
        <v/>
      </c>
      <c r="AP896" s="243">
        <f>IF($AL896="",0,'All Ticker P&amp;L'!E896)</f>
        <v>0</v>
      </c>
      <c r="AQ896" s="266">
        <f>IF($AL896="",0,'All Ticker P&amp;L'!J896*'All Ticker P&amp;L'!I896)</f>
        <v>0</v>
      </c>
      <c r="AR896" s="266">
        <f>IF($AL896="",0,'All Ticker P&amp;L'!L896)</f>
        <v>0</v>
      </c>
      <c r="AS896" s="267">
        <f>IF($AL896="",0,'All Ticker P&amp;L'!M896)</f>
        <v>0</v>
      </c>
      <c r="AT896" s="243" t="str">
        <f>IF($AL896="","",RANK(AR896,$AR$2:$AR$1001)+COUNTIF($AR$2:AR896,AR896)-1)</f>
        <v/>
      </c>
      <c r="AU896" s="243" t="str">
        <f>IF($AL896="","",RANK(AV896,$AV$2:$AV$1001)+COUNTIF($AV$2:AV896,AV896)-1)</f>
        <v/>
      </c>
      <c r="AV896" s="266">
        <f t="shared" si="58"/>
        <v>0</v>
      </c>
    </row>
    <row r="897" spans="26:48" ht="15" customHeight="1" x14ac:dyDescent="0.2">
      <c r="Z897" s="243" t="str">
        <f>Shares!A897</f>
        <v/>
      </c>
      <c r="AA897" s="243" t="str">
        <f>Shares!B897</f>
        <v/>
      </c>
      <c r="AB897" s="243" t="str">
        <f>Shares!C897</f>
        <v/>
      </c>
      <c r="AC897" s="243" t="str">
        <f>Shares!D897</f>
        <v/>
      </c>
      <c r="AD897" s="243">
        <f>IF($Z897="",0,Shares!E897)</f>
        <v>0</v>
      </c>
      <c r="AE897" s="266">
        <f>IF($Z897="",0,Shares!J897*Shares!I897)</f>
        <v>0</v>
      </c>
      <c r="AF897" s="267">
        <f t="shared" si="57"/>
        <v>0</v>
      </c>
      <c r="AG897" s="266">
        <f>IF($Z897="",0,Shares!L897)</f>
        <v>0</v>
      </c>
      <c r="AH897" s="267">
        <f>IF($Z897="",0,Shares!M897)</f>
        <v>0</v>
      </c>
      <c r="AI897" s="243" t="str">
        <f>IF($Z897="","",RANK(AE897,$AE$2:$AE$1001)+COUNTIF($AE$2:AE897,AE897)-1)</f>
        <v/>
      </c>
      <c r="AJ897" s="243" t="str">
        <f>IF($AD897&lt;0,COUNT($AJ$1:AJ896)+1,"")</f>
        <v/>
      </c>
      <c r="AL897" s="243" t="str">
        <f>'All Ticker P&amp;L'!A897</f>
        <v/>
      </c>
      <c r="AM897" s="243" t="str">
        <f>'All Ticker P&amp;L'!B897</f>
        <v/>
      </c>
      <c r="AN897" s="243" t="str">
        <f>'All Ticker P&amp;L'!C897</f>
        <v/>
      </c>
      <c r="AO897" s="243" t="str">
        <f>'All Ticker P&amp;L'!D897</f>
        <v/>
      </c>
      <c r="AP897" s="243">
        <f>IF($AL897="",0,'All Ticker P&amp;L'!E897)</f>
        <v>0</v>
      </c>
      <c r="AQ897" s="266">
        <f>IF($AL897="",0,'All Ticker P&amp;L'!J897*'All Ticker P&amp;L'!I897)</f>
        <v>0</v>
      </c>
      <c r="AR897" s="266">
        <f>IF($AL897="",0,'All Ticker P&amp;L'!L897)</f>
        <v>0</v>
      </c>
      <c r="AS897" s="267">
        <f>IF($AL897="",0,'All Ticker P&amp;L'!M897)</f>
        <v>0</v>
      </c>
      <c r="AT897" s="243" t="str">
        <f>IF($AL897="","",RANK(AR897,$AR$2:$AR$1001)+COUNTIF($AR$2:AR897,AR897)-1)</f>
        <v/>
      </c>
      <c r="AU897" s="243" t="str">
        <f>IF($AL897="","",RANK(AV897,$AV$2:$AV$1001)+COUNTIF($AV$2:AV897,AV897)-1)</f>
        <v/>
      </c>
      <c r="AV897" s="266">
        <f t="shared" si="58"/>
        <v>0</v>
      </c>
    </row>
    <row r="898" spans="26:48" ht="15" customHeight="1" x14ac:dyDescent="0.2">
      <c r="Z898" s="243" t="str">
        <f>Shares!A898</f>
        <v/>
      </c>
      <c r="AA898" s="243" t="str">
        <f>Shares!B898</f>
        <v/>
      </c>
      <c r="AB898" s="243" t="str">
        <f>Shares!C898</f>
        <v/>
      </c>
      <c r="AC898" s="243" t="str">
        <f>Shares!D898</f>
        <v/>
      </c>
      <c r="AD898" s="243">
        <f>IF($Z898="",0,Shares!E898)</f>
        <v>0</v>
      </c>
      <c r="AE898" s="266">
        <f>IF($Z898="",0,Shares!J898*Shares!I898)</f>
        <v>0</v>
      </c>
      <c r="AF898" s="267">
        <f t="shared" ref="AF898:AF961" si="59">IFERROR(AE898/$B$5,0)</f>
        <v>0</v>
      </c>
      <c r="AG898" s="266">
        <f>IF($Z898="",0,Shares!L898)</f>
        <v>0</v>
      </c>
      <c r="AH898" s="267">
        <f>IF($Z898="",0,Shares!M898)</f>
        <v>0</v>
      </c>
      <c r="AI898" s="243" t="str">
        <f>IF($Z898="","",RANK(AE898,$AE$2:$AE$1001)+COUNTIF($AE$2:AE898,AE898)-1)</f>
        <v/>
      </c>
      <c r="AJ898" s="243" t="str">
        <f>IF($AD898&lt;0,COUNT($AJ$1:AJ897)+1,"")</f>
        <v/>
      </c>
      <c r="AL898" s="243" t="str">
        <f>'All Ticker P&amp;L'!A898</f>
        <v/>
      </c>
      <c r="AM898" s="243" t="str">
        <f>'All Ticker P&amp;L'!B898</f>
        <v/>
      </c>
      <c r="AN898" s="243" t="str">
        <f>'All Ticker P&amp;L'!C898</f>
        <v/>
      </c>
      <c r="AO898" s="243" t="str">
        <f>'All Ticker P&amp;L'!D898</f>
        <v/>
      </c>
      <c r="AP898" s="243">
        <f>IF($AL898="",0,'All Ticker P&amp;L'!E898)</f>
        <v>0</v>
      </c>
      <c r="AQ898" s="266">
        <f>IF($AL898="",0,'All Ticker P&amp;L'!J898*'All Ticker P&amp;L'!I898)</f>
        <v>0</v>
      </c>
      <c r="AR898" s="266">
        <f>IF($AL898="",0,'All Ticker P&amp;L'!L898)</f>
        <v>0</v>
      </c>
      <c r="AS898" s="267">
        <f>IF($AL898="",0,'All Ticker P&amp;L'!M898)</f>
        <v>0</v>
      </c>
      <c r="AT898" s="243" t="str">
        <f>IF($AL898="","",RANK(AR898,$AR$2:$AR$1001)+COUNTIF($AR$2:AR898,AR898)-1)</f>
        <v/>
      </c>
      <c r="AU898" s="243" t="str">
        <f>IF($AL898="","",RANK(AV898,$AV$2:$AV$1001)+COUNTIF($AV$2:AV898,AV898)-1)</f>
        <v/>
      </c>
      <c r="AV898" s="266">
        <f t="shared" ref="AV898:AV961" si="60">-AR898</f>
        <v>0</v>
      </c>
    </row>
    <row r="899" spans="26:48" ht="15" customHeight="1" x14ac:dyDescent="0.2">
      <c r="Z899" s="243" t="str">
        <f>Shares!A899</f>
        <v/>
      </c>
      <c r="AA899" s="243" t="str">
        <f>Shares!B899</f>
        <v/>
      </c>
      <c r="AB899" s="243" t="str">
        <f>Shares!C899</f>
        <v/>
      </c>
      <c r="AC899" s="243" t="str">
        <f>Shares!D899</f>
        <v/>
      </c>
      <c r="AD899" s="243">
        <f>IF($Z899="",0,Shares!E899)</f>
        <v>0</v>
      </c>
      <c r="AE899" s="266">
        <f>IF($Z899="",0,Shares!J899*Shares!I899)</f>
        <v>0</v>
      </c>
      <c r="AF899" s="267">
        <f t="shared" si="59"/>
        <v>0</v>
      </c>
      <c r="AG899" s="266">
        <f>IF($Z899="",0,Shares!L899)</f>
        <v>0</v>
      </c>
      <c r="AH899" s="267">
        <f>IF($Z899="",0,Shares!M899)</f>
        <v>0</v>
      </c>
      <c r="AI899" s="243" t="str">
        <f>IF($Z899="","",RANK(AE899,$AE$2:$AE$1001)+COUNTIF($AE$2:AE899,AE899)-1)</f>
        <v/>
      </c>
      <c r="AJ899" s="243" t="str">
        <f>IF($AD899&lt;0,COUNT($AJ$1:AJ898)+1,"")</f>
        <v/>
      </c>
      <c r="AL899" s="243" t="str">
        <f>'All Ticker P&amp;L'!A899</f>
        <v/>
      </c>
      <c r="AM899" s="243" t="str">
        <f>'All Ticker P&amp;L'!B899</f>
        <v/>
      </c>
      <c r="AN899" s="243" t="str">
        <f>'All Ticker P&amp;L'!C899</f>
        <v/>
      </c>
      <c r="AO899" s="243" t="str">
        <f>'All Ticker P&amp;L'!D899</f>
        <v/>
      </c>
      <c r="AP899" s="243">
        <f>IF($AL899="",0,'All Ticker P&amp;L'!E899)</f>
        <v>0</v>
      </c>
      <c r="AQ899" s="266">
        <f>IF($AL899="",0,'All Ticker P&amp;L'!J899*'All Ticker P&amp;L'!I899)</f>
        <v>0</v>
      </c>
      <c r="AR899" s="266">
        <f>IF($AL899="",0,'All Ticker P&amp;L'!L899)</f>
        <v>0</v>
      </c>
      <c r="AS899" s="267">
        <f>IF($AL899="",0,'All Ticker P&amp;L'!M899)</f>
        <v>0</v>
      </c>
      <c r="AT899" s="243" t="str">
        <f>IF($AL899="","",RANK(AR899,$AR$2:$AR$1001)+COUNTIF($AR$2:AR899,AR899)-1)</f>
        <v/>
      </c>
      <c r="AU899" s="243" t="str">
        <f>IF($AL899="","",RANK(AV899,$AV$2:$AV$1001)+COUNTIF($AV$2:AV899,AV899)-1)</f>
        <v/>
      </c>
      <c r="AV899" s="266">
        <f t="shared" si="60"/>
        <v>0</v>
      </c>
    </row>
    <row r="900" spans="26:48" ht="15" customHeight="1" x14ac:dyDescent="0.2">
      <c r="Z900" s="243" t="str">
        <f>Shares!A900</f>
        <v/>
      </c>
      <c r="AA900" s="243" t="str">
        <f>Shares!B900</f>
        <v/>
      </c>
      <c r="AB900" s="243" t="str">
        <f>Shares!C900</f>
        <v/>
      </c>
      <c r="AC900" s="243" t="str">
        <f>Shares!D900</f>
        <v/>
      </c>
      <c r="AD900" s="243">
        <f>IF($Z900="",0,Shares!E900)</f>
        <v>0</v>
      </c>
      <c r="AE900" s="266">
        <f>IF($Z900="",0,Shares!J900*Shares!I900)</f>
        <v>0</v>
      </c>
      <c r="AF900" s="267">
        <f t="shared" si="59"/>
        <v>0</v>
      </c>
      <c r="AG900" s="266">
        <f>IF($Z900="",0,Shares!L900)</f>
        <v>0</v>
      </c>
      <c r="AH900" s="267">
        <f>IF($Z900="",0,Shares!M900)</f>
        <v>0</v>
      </c>
      <c r="AI900" s="243" t="str">
        <f>IF($Z900="","",RANK(AE900,$AE$2:$AE$1001)+COUNTIF($AE$2:AE900,AE900)-1)</f>
        <v/>
      </c>
      <c r="AJ900" s="243" t="str">
        <f>IF($AD900&lt;0,COUNT($AJ$1:AJ899)+1,"")</f>
        <v/>
      </c>
      <c r="AL900" s="243" t="str">
        <f>'All Ticker P&amp;L'!A900</f>
        <v/>
      </c>
      <c r="AM900" s="243" t="str">
        <f>'All Ticker P&amp;L'!B900</f>
        <v/>
      </c>
      <c r="AN900" s="243" t="str">
        <f>'All Ticker P&amp;L'!C900</f>
        <v/>
      </c>
      <c r="AO900" s="243" t="str">
        <f>'All Ticker P&amp;L'!D900</f>
        <v/>
      </c>
      <c r="AP900" s="243">
        <f>IF($AL900="",0,'All Ticker P&amp;L'!E900)</f>
        <v>0</v>
      </c>
      <c r="AQ900" s="266">
        <f>IF($AL900="",0,'All Ticker P&amp;L'!J900*'All Ticker P&amp;L'!I900)</f>
        <v>0</v>
      </c>
      <c r="AR900" s="266">
        <f>IF($AL900="",0,'All Ticker P&amp;L'!L900)</f>
        <v>0</v>
      </c>
      <c r="AS900" s="267">
        <f>IF($AL900="",0,'All Ticker P&amp;L'!M900)</f>
        <v>0</v>
      </c>
      <c r="AT900" s="243" t="str">
        <f>IF($AL900="","",RANK(AR900,$AR$2:$AR$1001)+COUNTIF($AR$2:AR900,AR900)-1)</f>
        <v/>
      </c>
      <c r="AU900" s="243" t="str">
        <f>IF($AL900="","",RANK(AV900,$AV$2:$AV$1001)+COUNTIF($AV$2:AV900,AV900)-1)</f>
        <v/>
      </c>
      <c r="AV900" s="266">
        <f t="shared" si="60"/>
        <v>0</v>
      </c>
    </row>
    <row r="901" spans="26:48" ht="15" customHeight="1" x14ac:dyDescent="0.2">
      <c r="Z901" s="243" t="str">
        <f>Shares!A901</f>
        <v/>
      </c>
      <c r="AA901" s="243" t="str">
        <f>Shares!B901</f>
        <v/>
      </c>
      <c r="AB901" s="243" t="str">
        <f>Shares!C901</f>
        <v/>
      </c>
      <c r="AC901" s="243" t="str">
        <f>Shares!D901</f>
        <v/>
      </c>
      <c r="AD901" s="243">
        <f>IF($Z901="",0,Shares!E901)</f>
        <v>0</v>
      </c>
      <c r="AE901" s="266">
        <f>IF($Z901="",0,Shares!J901*Shares!I901)</f>
        <v>0</v>
      </c>
      <c r="AF901" s="267">
        <f t="shared" si="59"/>
        <v>0</v>
      </c>
      <c r="AG901" s="266">
        <f>IF($Z901="",0,Shares!L901)</f>
        <v>0</v>
      </c>
      <c r="AH901" s="267">
        <f>IF($Z901="",0,Shares!M901)</f>
        <v>0</v>
      </c>
      <c r="AI901" s="243" t="str">
        <f>IF($Z901="","",RANK(AE901,$AE$2:$AE$1001)+COUNTIF($AE$2:AE901,AE901)-1)</f>
        <v/>
      </c>
      <c r="AJ901" s="243" t="str">
        <f>IF($AD901&lt;0,COUNT($AJ$1:AJ900)+1,"")</f>
        <v/>
      </c>
      <c r="AL901" s="243" t="str">
        <f>'All Ticker P&amp;L'!A901</f>
        <v/>
      </c>
      <c r="AM901" s="243" t="str">
        <f>'All Ticker P&amp;L'!B901</f>
        <v/>
      </c>
      <c r="AN901" s="243" t="str">
        <f>'All Ticker P&amp;L'!C901</f>
        <v/>
      </c>
      <c r="AO901" s="243" t="str">
        <f>'All Ticker P&amp;L'!D901</f>
        <v/>
      </c>
      <c r="AP901" s="243">
        <f>IF($AL901="",0,'All Ticker P&amp;L'!E901)</f>
        <v>0</v>
      </c>
      <c r="AQ901" s="266">
        <f>IF($AL901="",0,'All Ticker P&amp;L'!J901*'All Ticker P&amp;L'!I901)</f>
        <v>0</v>
      </c>
      <c r="AR901" s="266">
        <f>IF($AL901="",0,'All Ticker P&amp;L'!L901)</f>
        <v>0</v>
      </c>
      <c r="AS901" s="267">
        <f>IF($AL901="",0,'All Ticker P&amp;L'!M901)</f>
        <v>0</v>
      </c>
      <c r="AT901" s="243" t="str">
        <f>IF($AL901="","",RANK(AR901,$AR$2:$AR$1001)+COUNTIF($AR$2:AR901,AR901)-1)</f>
        <v/>
      </c>
      <c r="AU901" s="243" t="str">
        <f>IF($AL901="","",RANK(AV901,$AV$2:$AV$1001)+COUNTIF($AV$2:AV901,AV901)-1)</f>
        <v/>
      </c>
      <c r="AV901" s="266">
        <f t="shared" si="60"/>
        <v>0</v>
      </c>
    </row>
    <row r="902" spans="26:48" ht="15" customHeight="1" x14ac:dyDescent="0.2">
      <c r="Z902" s="243" t="str">
        <f>Shares!A902</f>
        <v/>
      </c>
      <c r="AA902" s="243" t="str">
        <f>Shares!B902</f>
        <v/>
      </c>
      <c r="AB902" s="243" t="str">
        <f>Shares!C902</f>
        <v/>
      </c>
      <c r="AC902" s="243" t="str">
        <f>Shares!D902</f>
        <v/>
      </c>
      <c r="AD902" s="243">
        <f>IF($Z902="",0,Shares!E902)</f>
        <v>0</v>
      </c>
      <c r="AE902" s="266">
        <f>IF($Z902="",0,Shares!J902*Shares!I902)</f>
        <v>0</v>
      </c>
      <c r="AF902" s="267">
        <f t="shared" si="59"/>
        <v>0</v>
      </c>
      <c r="AG902" s="266">
        <f>IF($Z902="",0,Shares!L902)</f>
        <v>0</v>
      </c>
      <c r="AH902" s="267">
        <f>IF($Z902="",0,Shares!M902)</f>
        <v>0</v>
      </c>
      <c r="AI902" s="243" t="str">
        <f>IF($Z902="","",RANK(AE902,$AE$2:$AE$1001)+COUNTIF($AE$2:AE902,AE902)-1)</f>
        <v/>
      </c>
      <c r="AJ902" s="243" t="str">
        <f>IF($AD902&lt;0,COUNT($AJ$1:AJ901)+1,"")</f>
        <v/>
      </c>
      <c r="AL902" s="243" t="str">
        <f>'All Ticker P&amp;L'!A902</f>
        <v/>
      </c>
      <c r="AM902" s="243" t="str">
        <f>'All Ticker P&amp;L'!B902</f>
        <v/>
      </c>
      <c r="AN902" s="243" t="str">
        <f>'All Ticker P&amp;L'!C902</f>
        <v/>
      </c>
      <c r="AO902" s="243" t="str">
        <f>'All Ticker P&amp;L'!D902</f>
        <v/>
      </c>
      <c r="AP902" s="243">
        <f>IF($AL902="",0,'All Ticker P&amp;L'!E902)</f>
        <v>0</v>
      </c>
      <c r="AQ902" s="266">
        <f>IF($AL902="",0,'All Ticker P&amp;L'!J902*'All Ticker P&amp;L'!I902)</f>
        <v>0</v>
      </c>
      <c r="AR902" s="266">
        <f>IF($AL902="",0,'All Ticker P&amp;L'!L902)</f>
        <v>0</v>
      </c>
      <c r="AS902" s="267">
        <f>IF($AL902="",0,'All Ticker P&amp;L'!M902)</f>
        <v>0</v>
      </c>
      <c r="AT902" s="243" t="str">
        <f>IF($AL902="","",RANK(AR902,$AR$2:$AR$1001)+COUNTIF($AR$2:AR902,AR902)-1)</f>
        <v/>
      </c>
      <c r="AU902" s="243" t="str">
        <f>IF($AL902="","",RANK(AV902,$AV$2:$AV$1001)+COUNTIF($AV$2:AV902,AV902)-1)</f>
        <v/>
      </c>
      <c r="AV902" s="266">
        <f t="shared" si="60"/>
        <v>0</v>
      </c>
    </row>
    <row r="903" spans="26:48" ht="15" customHeight="1" x14ac:dyDescent="0.2">
      <c r="Z903" s="243" t="str">
        <f>Shares!A903</f>
        <v/>
      </c>
      <c r="AA903" s="243" t="str">
        <f>Shares!B903</f>
        <v/>
      </c>
      <c r="AB903" s="243" t="str">
        <f>Shares!C903</f>
        <v/>
      </c>
      <c r="AC903" s="243" t="str">
        <f>Shares!D903</f>
        <v/>
      </c>
      <c r="AD903" s="243">
        <f>IF($Z903="",0,Shares!E903)</f>
        <v>0</v>
      </c>
      <c r="AE903" s="266">
        <f>IF($Z903="",0,Shares!J903*Shares!I903)</f>
        <v>0</v>
      </c>
      <c r="AF903" s="267">
        <f t="shared" si="59"/>
        <v>0</v>
      </c>
      <c r="AG903" s="266">
        <f>IF($Z903="",0,Shares!L903)</f>
        <v>0</v>
      </c>
      <c r="AH903" s="267">
        <f>IF($Z903="",0,Shares!M903)</f>
        <v>0</v>
      </c>
      <c r="AI903" s="243" t="str">
        <f>IF($Z903="","",RANK(AE903,$AE$2:$AE$1001)+COUNTIF($AE$2:AE903,AE903)-1)</f>
        <v/>
      </c>
      <c r="AJ903" s="243" t="str">
        <f>IF($AD903&lt;0,COUNT($AJ$1:AJ902)+1,"")</f>
        <v/>
      </c>
      <c r="AL903" s="243" t="str">
        <f>'All Ticker P&amp;L'!A903</f>
        <v/>
      </c>
      <c r="AM903" s="243" t="str">
        <f>'All Ticker P&amp;L'!B903</f>
        <v/>
      </c>
      <c r="AN903" s="243" t="str">
        <f>'All Ticker P&amp;L'!C903</f>
        <v/>
      </c>
      <c r="AO903" s="243" t="str">
        <f>'All Ticker P&amp;L'!D903</f>
        <v/>
      </c>
      <c r="AP903" s="243">
        <f>IF($AL903="",0,'All Ticker P&amp;L'!E903)</f>
        <v>0</v>
      </c>
      <c r="AQ903" s="266">
        <f>IF($AL903="",0,'All Ticker P&amp;L'!J903*'All Ticker P&amp;L'!I903)</f>
        <v>0</v>
      </c>
      <c r="AR903" s="266">
        <f>IF($AL903="",0,'All Ticker P&amp;L'!L903)</f>
        <v>0</v>
      </c>
      <c r="AS903" s="267">
        <f>IF($AL903="",0,'All Ticker P&amp;L'!M903)</f>
        <v>0</v>
      </c>
      <c r="AT903" s="243" t="str">
        <f>IF($AL903="","",RANK(AR903,$AR$2:$AR$1001)+COUNTIF($AR$2:AR903,AR903)-1)</f>
        <v/>
      </c>
      <c r="AU903" s="243" t="str">
        <f>IF($AL903="","",RANK(AV903,$AV$2:$AV$1001)+COUNTIF($AV$2:AV903,AV903)-1)</f>
        <v/>
      </c>
      <c r="AV903" s="266">
        <f t="shared" si="60"/>
        <v>0</v>
      </c>
    </row>
    <row r="904" spans="26:48" ht="15" customHeight="1" x14ac:dyDescent="0.2">
      <c r="Z904" s="243" t="str">
        <f>Shares!A904</f>
        <v/>
      </c>
      <c r="AA904" s="243" t="str">
        <f>Shares!B904</f>
        <v/>
      </c>
      <c r="AB904" s="243" t="str">
        <f>Shares!C904</f>
        <v/>
      </c>
      <c r="AC904" s="243" t="str">
        <f>Shares!D904</f>
        <v/>
      </c>
      <c r="AD904" s="243">
        <f>IF($Z904="",0,Shares!E904)</f>
        <v>0</v>
      </c>
      <c r="AE904" s="266">
        <f>IF($Z904="",0,Shares!J904*Shares!I904)</f>
        <v>0</v>
      </c>
      <c r="AF904" s="267">
        <f t="shared" si="59"/>
        <v>0</v>
      </c>
      <c r="AG904" s="266">
        <f>IF($Z904="",0,Shares!L904)</f>
        <v>0</v>
      </c>
      <c r="AH904" s="267">
        <f>IF($Z904="",0,Shares!M904)</f>
        <v>0</v>
      </c>
      <c r="AI904" s="243" t="str">
        <f>IF($Z904="","",RANK(AE904,$AE$2:$AE$1001)+COUNTIF($AE$2:AE904,AE904)-1)</f>
        <v/>
      </c>
      <c r="AJ904" s="243" t="str">
        <f>IF($AD904&lt;0,COUNT($AJ$1:AJ903)+1,"")</f>
        <v/>
      </c>
      <c r="AL904" s="243" t="str">
        <f>'All Ticker P&amp;L'!A904</f>
        <v/>
      </c>
      <c r="AM904" s="243" t="str">
        <f>'All Ticker P&amp;L'!B904</f>
        <v/>
      </c>
      <c r="AN904" s="243" t="str">
        <f>'All Ticker P&amp;L'!C904</f>
        <v/>
      </c>
      <c r="AO904" s="243" t="str">
        <f>'All Ticker P&amp;L'!D904</f>
        <v/>
      </c>
      <c r="AP904" s="243">
        <f>IF($AL904="",0,'All Ticker P&amp;L'!E904)</f>
        <v>0</v>
      </c>
      <c r="AQ904" s="266">
        <f>IF($AL904="",0,'All Ticker P&amp;L'!J904*'All Ticker P&amp;L'!I904)</f>
        <v>0</v>
      </c>
      <c r="AR904" s="266">
        <f>IF($AL904="",0,'All Ticker P&amp;L'!L904)</f>
        <v>0</v>
      </c>
      <c r="AS904" s="267">
        <f>IF($AL904="",0,'All Ticker P&amp;L'!M904)</f>
        <v>0</v>
      </c>
      <c r="AT904" s="243" t="str">
        <f>IF($AL904="","",RANK(AR904,$AR$2:$AR$1001)+COUNTIF($AR$2:AR904,AR904)-1)</f>
        <v/>
      </c>
      <c r="AU904" s="243" t="str">
        <f>IF($AL904="","",RANK(AV904,$AV$2:$AV$1001)+COUNTIF($AV$2:AV904,AV904)-1)</f>
        <v/>
      </c>
      <c r="AV904" s="266">
        <f t="shared" si="60"/>
        <v>0</v>
      </c>
    </row>
    <row r="905" spans="26:48" ht="15" customHeight="1" x14ac:dyDescent="0.2">
      <c r="Z905" s="243" t="str">
        <f>Shares!A905</f>
        <v/>
      </c>
      <c r="AA905" s="243" t="str">
        <f>Shares!B905</f>
        <v/>
      </c>
      <c r="AB905" s="243" t="str">
        <f>Shares!C905</f>
        <v/>
      </c>
      <c r="AC905" s="243" t="str">
        <f>Shares!D905</f>
        <v/>
      </c>
      <c r="AD905" s="243">
        <f>IF($Z905="",0,Shares!E905)</f>
        <v>0</v>
      </c>
      <c r="AE905" s="266">
        <f>IF($Z905="",0,Shares!J905*Shares!I905)</f>
        <v>0</v>
      </c>
      <c r="AF905" s="267">
        <f t="shared" si="59"/>
        <v>0</v>
      </c>
      <c r="AG905" s="266">
        <f>IF($Z905="",0,Shares!L905)</f>
        <v>0</v>
      </c>
      <c r="AH905" s="267">
        <f>IF($Z905="",0,Shares!M905)</f>
        <v>0</v>
      </c>
      <c r="AI905" s="243" t="str">
        <f>IF($Z905="","",RANK(AE905,$AE$2:$AE$1001)+COUNTIF($AE$2:AE905,AE905)-1)</f>
        <v/>
      </c>
      <c r="AJ905" s="243" t="str">
        <f>IF($AD905&lt;0,COUNT($AJ$1:AJ904)+1,"")</f>
        <v/>
      </c>
      <c r="AL905" s="243" t="str">
        <f>'All Ticker P&amp;L'!A905</f>
        <v/>
      </c>
      <c r="AM905" s="243" t="str">
        <f>'All Ticker P&amp;L'!B905</f>
        <v/>
      </c>
      <c r="AN905" s="243" t="str">
        <f>'All Ticker P&amp;L'!C905</f>
        <v/>
      </c>
      <c r="AO905" s="243" t="str">
        <f>'All Ticker P&amp;L'!D905</f>
        <v/>
      </c>
      <c r="AP905" s="243">
        <f>IF($AL905="",0,'All Ticker P&amp;L'!E905)</f>
        <v>0</v>
      </c>
      <c r="AQ905" s="266">
        <f>IF($AL905="",0,'All Ticker P&amp;L'!J905*'All Ticker P&amp;L'!I905)</f>
        <v>0</v>
      </c>
      <c r="AR905" s="266">
        <f>IF($AL905="",0,'All Ticker P&amp;L'!L905)</f>
        <v>0</v>
      </c>
      <c r="AS905" s="267">
        <f>IF($AL905="",0,'All Ticker P&amp;L'!M905)</f>
        <v>0</v>
      </c>
      <c r="AT905" s="243" t="str">
        <f>IF($AL905="","",RANK(AR905,$AR$2:$AR$1001)+COUNTIF($AR$2:AR905,AR905)-1)</f>
        <v/>
      </c>
      <c r="AU905" s="243" t="str">
        <f>IF($AL905="","",RANK(AV905,$AV$2:$AV$1001)+COUNTIF($AV$2:AV905,AV905)-1)</f>
        <v/>
      </c>
      <c r="AV905" s="266">
        <f t="shared" si="60"/>
        <v>0</v>
      </c>
    </row>
    <row r="906" spans="26:48" ht="15" customHeight="1" x14ac:dyDescent="0.2">
      <c r="Z906" s="243" t="str">
        <f>Shares!A906</f>
        <v/>
      </c>
      <c r="AA906" s="243" t="str">
        <f>Shares!B906</f>
        <v/>
      </c>
      <c r="AB906" s="243" t="str">
        <f>Shares!C906</f>
        <v/>
      </c>
      <c r="AC906" s="243" t="str">
        <f>Shares!D906</f>
        <v/>
      </c>
      <c r="AD906" s="243">
        <f>IF($Z906="",0,Shares!E906)</f>
        <v>0</v>
      </c>
      <c r="AE906" s="266">
        <f>IF($Z906="",0,Shares!J906*Shares!I906)</f>
        <v>0</v>
      </c>
      <c r="AF906" s="267">
        <f t="shared" si="59"/>
        <v>0</v>
      </c>
      <c r="AG906" s="266">
        <f>IF($Z906="",0,Shares!L906)</f>
        <v>0</v>
      </c>
      <c r="AH906" s="267">
        <f>IF($Z906="",0,Shares!M906)</f>
        <v>0</v>
      </c>
      <c r="AI906" s="243" t="str">
        <f>IF($Z906="","",RANK(AE906,$AE$2:$AE$1001)+COUNTIF($AE$2:AE906,AE906)-1)</f>
        <v/>
      </c>
      <c r="AJ906" s="243" t="str">
        <f>IF($AD906&lt;0,COUNT($AJ$1:AJ905)+1,"")</f>
        <v/>
      </c>
      <c r="AL906" s="243" t="str">
        <f>'All Ticker P&amp;L'!A906</f>
        <v/>
      </c>
      <c r="AM906" s="243" t="str">
        <f>'All Ticker P&amp;L'!B906</f>
        <v/>
      </c>
      <c r="AN906" s="243" t="str">
        <f>'All Ticker P&amp;L'!C906</f>
        <v/>
      </c>
      <c r="AO906" s="243" t="str">
        <f>'All Ticker P&amp;L'!D906</f>
        <v/>
      </c>
      <c r="AP906" s="243">
        <f>IF($AL906="",0,'All Ticker P&amp;L'!E906)</f>
        <v>0</v>
      </c>
      <c r="AQ906" s="266">
        <f>IF($AL906="",0,'All Ticker P&amp;L'!J906*'All Ticker P&amp;L'!I906)</f>
        <v>0</v>
      </c>
      <c r="AR906" s="266">
        <f>IF($AL906="",0,'All Ticker P&amp;L'!L906)</f>
        <v>0</v>
      </c>
      <c r="AS906" s="267">
        <f>IF($AL906="",0,'All Ticker P&amp;L'!M906)</f>
        <v>0</v>
      </c>
      <c r="AT906" s="243" t="str">
        <f>IF($AL906="","",RANK(AR906,$AR$2:$AR$1001)+COUNTIF($AR$2:AR906,AR906)-1)</f>
        <v/>
      </c>
      <c r="AU906" s="243" t="str">
        <f>IF($AL906="","",RANK(AV906,$AV$2:$AV$1001)+COUNTIF($AV$2:AV906,AV906)-1)</f>
        <v/>
      </c>
      <c r="AV906" s="266">
        <f t="shared" si="60"/>
        <v>0</v>
      </c>
    </row>
    <row r="907" spans="26:48" ht="15" customHeight="1" x14ac:dyDescent="0.2">
      <c r="Z907" s="243" t="str">
        <f>Shares!A907</f>
        <v/>
      </c>
      <c r="AA907" s="243" t="str">
        <f>Shares!B907</f>
        <v/>
      </c>
      <c r="AB907" s="243" t="str">
        <f>Shares!C907</f>
        <v/>
      </c>
      <c r="AC907" s="243" t="str">
        <f>Shares!D907</f>
        <v/>
      </c>
      <c r="AD907" s="243">
        <f>IF($Z907="",0,Shares!E907)</f>
        <v>0</v>
      </c>
      <c r="AE907" s="266">
        <f>IF($Z907="",0,Shares!J907*Shares!I907)</f>
        <v>0</v>
      </c>
      <c r="AF907" s="267">
        <f t="shared" si="59"/>
        <v>0</v>
      </c>
      <c r="AG907" s="266">
        <f>IF($Z907="",0,Shares!L907)</f>
        <v>0</v>
      </c>
      <c r="AH907" s="267">
        <f>IF($Z907="",0,Shares!M907)</f>
        <v>0</v>
      </c>
      <c r="AI907" s="243" t="str">
        <f>IF($Z907="","",RANK(AE907,$AE$2:$AE$1001)+COUNTIF($AE$2:AE907,AE907)-1)</f>
        <v/>
      </c>
      <c r="AJ907" s="243" t="str">
        <f>IF($AD907&lt;0,COUNT($AJ$1:AJ906)+1,"")</f>
        <v/>
      </c>
      <c r="AL907" s="243" t="str">
        <f>'All Ticker P&amp;L'!A907</f>
        <v/>
      </c>
      <c r="AM907" s="243" t="str">
        <f>'All Ticker P&amp;L'!B907</f>
        <v/>
      </c>
      <c r="AN907" s="243" t="str">
        <f>'All Ticker P&amp;L'!C907</f>
        <v/>
      </c>
      <c r="AO907" s="243" t="str">
        <f>'All Ticker P&amp;L'!D907</f>
        <v/>
      </c>
      <c r="AP907" s="243">
        <f>IF($AL907="",0,'All Ticker P&amp;L'!E907)</f>
        <v>0</v>
      </c>
      <c r="AQ907" s="266">
        <f>IF($AL907="",0,'All Ticker P&amp;L'!J907*'All Ticker P&amp;L'!I907)</f>
        <v>0</v>
      </c>
      <c r="AR907" s="266">
        <f>IF($AL907="",0,'All Ticker P&amp;L'!L907)</f>
        <v>0</v>
      </c>
      <c r="AS907" s="267">
        <f>IF($AL907="",0,'All Ticker P&amp;L'!M907)</f>
        <v>0</v>
      </c>
      <c r="AT907" s="243" t="str">
        <f>IF($AL907="","",RANK(AR907,$AR$2:$AR$1001)+COUNTIF($AR$2:AR907,AR907)-1)</f>
        <v/>
      </c>
      <c r="AU907" s="243" t="str">
        <f>IF($AL907="","",RANK(AV907,$AV$2:$AV$1001)+COUNTIF($AV$2:AV907,AV907)-1)</f>
        <v/>
      </c>
      <c r="AV907" s="266">
        <f t="shared" si="60"/>
        <v>0</v>
      </c>
    </row>
    <row r="908" spans="26:48" ht="15" customHeight="1" x14ac:dyDescent="0.2">
      <c r="Z908" s="243" t="str">
        <f>Shares!A908</f>
        <v/>
      </c>
      <c r="AA908" s="243" t="str">
        <f>Shares!B908</f>
        <v/>
      </c>
      <c r="AB908" s="243" t="str">
        <f>Shares!C908</f>
        <v/>
      </c>
      <c r="AC908" s="243" t="str">
        <f>Shares!D908</f>
        <v/>
      </c>
      <c r="AD908" s="243">
        <f>IF($Z908="",0,Shares!E908)</f>
        <v>0</v>
      </c>
      <c r="AE908" s="266">
        <f>IF($Z908="",0,Shares!J908*Shares!I908)</f>
        <v>0</v>
      </c>
      <c r="AF908" s="267">
        <f t="shared" si="59"/>
        <v>0</v>
      </c>
      <c r="AG908" s="266">
        <f>IF($Z908="",0,Shares!L908)</f>
        <v>0</v>
      </c>
      <c r="AH908" s="267">
        <f>IF($Z908="",0,Shares!M908)</f>
        <v>0</v>
      </c>
      <c r="AI908" s="243" t="str">
        <f>IF($Z908="","",RANK(AE908,$AE$2:$AE$1001)+COUNTIF($AE$2:AE908,AE908)-1)</f>
        <v/>
      </c>
      <c r="AJ908" s="243" t="str">
        <f>IF($AD908&lt;0,COUNT($AJ$1:AJ907)+1,"")</f>
        <v/>
      </c>
      <c r="AL908" s="243" t="str">
        <f>'All Ticker P&amp;L'!A908</f>
        <v/>
      </c>
      <c r="AM908" s="243" t="str">
        <f>'All Ticker P&amp;L'!B908</f>
        <v/>
      </c>
      <c r="AN908" s="243" t="str">
        <f>'All Ticker P&amp;L'!C908</f>
        <v/>
      </c>
      <c r="AO908" s="243" t="str">
        <f>'All Ticker P&amp;L'!D908</f>
        <v/>
      </c>
      <c r="AP908" s="243">
        <f>IF($AL908="",0,'All Ticker P&amp;L'!E908)</f>
        <v>0</v>
      </c>
      <c r="AQ908" s="266">
        <f>IF($AL908="",0,'All Ticker P&amp;L'!J908*'All Ticker P&amp;L'!I908)</f>
        <v>0</v>
      </c>
      <c r="AR908" s="266">
        <f>IF($AL908="",0,'All Ticker P&amp;L'!L908)</f>
        <v>0</v>
      </c>
      <c r="AS908" s="267">
        <f>IF($AL908="",0,'All Ticker P&amp;L'!M908)</f>
        <v>0</v>
      </c>
      <c r="AT908" s="243" t="str">
        <f>IF($AL908="","",RANK(AR908,$AR$2:$AR$1001)+COUNTIF($AR$2:AR908,AR908)-1)</f>
        <v/>
      </c>
      <c r="AU908" s="243" t="str">
        <f>IF($AL908="","",RANK(AV908,$AV$2:$AV$1001)+COUNTIF($AV$2:AV908,AV908)-1)</f>
        <v/>
      </c>
      <c r="AV908" s="266">
        <f t="shared" si="60"/>
        <v>0</v>
      </c>
    </row>
    <row r="909" spans="26:48" ht="15" customHeight="1" x14ac:dyDescent="0.2">
      <c r="Z909" s="243" t="str">
        <f>Shares!A909</f>
        <v/>
      </c>
      <c r="AA909" s="243" t="str">
        <f>Shares!B909</f>
        <v/>
      </c>
      <c r="AB909" s="243" t="str">
        <f>Shares!C909</f>
        <v/>
      </c>
      <c r="AC909" s="243" t="str">
        <f>Shares!D909</f>
        <v/>
      </c>
      <c r="AD909" s="243">
        <f>IF($Z909="",0,Shares!E909)</f>
        <v>0</v>
      </c>
      <c r="AE909" s="266">
        <f>IF($Z909="",0,Shares!J909*Shares!I909)</f>
        <v>0</v>
      </c>
      <c r="AF909" s="267">
        <f t="shared" si="59"/>
        <v>0</v>
      </c>
      <c r="AG909" s="266">
        <f>IF($Z909="",0,Shares!L909)</f>
        <v>0</v>
      </c>
      <c r="AH909" s="267">
        <f>IF($Z909="",0,Shares!M909)</f>
        <v>0</v>
      </c>
      <c r="AI909" s="243" t="str">
        <f>IF($Z909="","",RANK(AE909,$AE$2:$AE$1001)+COUNTIF($AE$2:AE909,AE909)-1)</f>
        <v/>
      </c>
      <c r="AJ909" s="243" t="str">
        <f>IF($AD909&lt;0,COUNT($AJ$1:AJ908)+1,"")</f>
        <v/>
      </c>
      <c r="AL909" s="243" t="str">
        <f>'All Ticker P&amp;L'!A909</f>
        <v/>
      </c>
      <c r="AM909" s="243" t="str">
        <f>'All Ticker P&amp;L'!B909</f>
        <v/>
      </c>
      <c r="AN909" s="243" t="str">
        <f>'All Ticker P&amp;L'!C909</f>
        <v/>
      </c>
      <c r="AO909" s="243" t="str">
        <f>'All Ticker P&amp;L'!D909</f>
        <v/>
      </c>
      <c r="AP909" s="243">
        <f>IF($AL909="",0,'All Ticker P&amp;L'!E909)</f>
        <v>0</v>
      </c>
      <c r="AQ909" s="266">
        <f>IF($AL909="",0,'All Ticker P&amp;L'!J909*'All Ticker P&amp;L'!I909)</f>
        <v>0</v>
      </c>
      <c r="AR909" s="266">
        <f>IF($AL909="",0,'All Ticker P&amp;L'!L909)</f>
        <v>0</v>
      </c>
      <c r="AS909" s="267">
        <f>IF($AL909="",0,'All Ticker P&amp;L'!M909)</f>
        <v>0</v>
      </c>
      <c r="AT909" s="243" t="str">
        <f>IF($AL909="","",RANK(AR909,$AR$2:$AR$1001)+COUNTIF($AR$2:AR909,AR909)-1)</f>
        <v/>
      </c>
      <c r="AU909" s="243" t="str">
        <f>IF($AL909="","",RANK(AV909,$AV$2:$AV$1001)+COUNTIF($AV$2:AV909,AV909)-1)</f>
        <v/>
      </c>
      <c r="AV909" s="266">
        <f t="shared" si="60"/>
        <v>0</v>
      </c>
    </row>
    <row r="910" spans="26:48" ht="15" customHeight="1" x14ac:dyDescent="0.2">
      <c r="Z910" s="243" t="str">
        <f>Shares!A910</f>
        <v/>
      </c>
      <c r="AA910" s="243" t="str">
        <f>Shares!B910</f>
        <v/>
      </c>
      <c r="AB910" s="243" t="str">
        <f>Shares!C910</f>
        <v/>
      </c>
      <c r="AC910" s="243" t="str">
        <f>Shares!D910</f>
        <v/>
      </c>
      <c r="AD910" s="243">
        <f>IF($Z910="",0,Shares!E910)</f>
        <v>0</v>
      </c>
      <c r="AE910" s="266">
        <f>IF($Z910="",0,Shares!J910*Shares!I910)</f>
        <v>0</v>
      </c>
      <c r="AF910" s="267">
        <f t="shared" si="59"/>
        <v>0</v>
      </c>
      <c r="AG910" s="266">
        <f>IF($Z910="",0,Shares!L910)</f>
        <v>0</v>
      </c>
      <c r="AH910" s="267">
        <f>IF($Z910="",0,Shares!M910)</f>
        <v>0</v>
      </c>
      <c r="AI910" s="243" t="str">
        <f>IF($Z910="","",RANK(AE910,$AE$2:$AE$1001)+COUNTIF($AE$2:AE910,AE910)-1)</f>
        <v/>
      </c>
      <c r="AJ910" s="243" t="str">
        <f>IF($AD910&lt;0,COUNT($AJ$1:AJ909)+1,"")</f>
        <v/>
      </c>
      <c r="AL910" s="243" t="str">
        <f>'All Ticker P&amp;L'!A910</f>
        <v/>
      </c>
      <c r="AM910" s="243" t="str">
        <f>'All Ticker P&amp;L'!B910</f>
        <v/>
      </c>
      <c r="AN910" s="243" t="str">
        <f>'All Ticker P&amp;L'!C910</f>
        <v/>
      </c>
      <c r="AO910" s="243" t="str">
        <f>'All Ticker P&amp;L'!D910</f>
        <v/>
      </c>
      <c r="AP910" s="243">
        <f>IF($AL910="",0,'All Ticker P&amp;L'!E910)</f>
        <v>0</v>
      </c>
      <c r="AQ910" s="266">
        <f>IF($AL910="",0,'All Ticker P&amp;L'!J910*'All Ticker P&amp;L'!I910)</f>
        <v>0</v>
      </c>
      <c r="AR910" s="266">
        <f>IF($AL910="",0,'All Ticker P&amp;L'!L910)</f>
        <v>0</v>
      </c>
      <c r="AS910" s="267">
        <f>IF($AL910="",0,'All Ticker P&amp;L'!M910)</f>
        <v>0</v>
      </c>
      <c r="AT910" s="243" t="str">
        <f>IF($AL910="","",RANK(AR910,$AR$2:$AR$1001)+COUNTIF($AR$2:AR910,AR910)-1)</f>
        <v/>
      </c>
      <c r="AU910" s="243" t="str">
        <f>IF($AL910="","",RANK(AV910,$AV$2:$AV$1001)+COUNTIF($AV$2:AV910,AV910)-1)</f>
        <v/>
      </c>
      <c r="AV910" s="266">
        <f t="shared" si="60"/>
        <v>0</v>
      </c>
    </row>
    <row r="911" spans="26:48" ht="15" customHeight="1" x14ac:dyDescent="0.2">
      <c r="Z911" s="243" t="str">
        <f>Shares!A911</f>
        <v/>
      </c>
      <c r="AA911" s="243" t="str">
        <f>Shares!B911</f>
        <v/>
      </c>
      <c r="AB911" s="243" t="str">
        <f>Shares!C911</f>
        <v/>
      </c>
      <c r="AC911" s="243" t="str">
        <f>Shares!D911</f>
        <v/>
      </c>
      <c r="AD911" s="243">
        <f>IF($Z911="",0,Shares!E911)</f>
        <v>0</v>
      </c>
      <c r="AE911" s="266">
        <f>IF($Z911="",0,Shares!J911*Shares!I911)</f>
        <v>0</v>
      </c>
      <c r="AF911" s="267">
        <f t="shared" si="59"/>
        <v>0</v>
      </c>
      <c r="AG911" s="266">
        <f>IF($Z911="",0,Shares!L911)</f>
        <v>0</v>
      </c>
      <c r="AH911" s="267">
        <f>IF($Z911="",0,Shares!M911)</f>
        <v>0</v>
      </c>
      <c r="AI911" s="243" t="str">
        <f>IF($Z911="","",RANK(AE911,$AE$2:$AE$1001)+COUNTIF($AE$2:AE911,AE911)-1)</f>
        <v/>
      </c>
      <c r="AJ911" s="243" t="str">
        <f>IF($AD911&lt;0,COUNT($AJ$1:AJ910)+1,"")</f>
        <v/>
      </c>
      <c r="AL911" s="243" t="str">
        <f>'All Ticker P&amp;L'!A911</f>
        <v/>
      </c>
      <c r="AM911" s="243" t="str">
        <f>'All Ticker P&amp;L'!B911</f>
        <v/>
      </c>
      <c r="AN911" s="243" t="str">
        <f>'All Ticker P&amp;L'!C911</f>
        <v/>
      </c>
      <c r="AO911" s="243" t="str">
        <f>'All Ticker P&amp;L'!D911</f>
        <v/>
      </c>
      <c r="AP911" s="243">
        <f>IF($AL911="",0,'All Ticker P&amp;L'!E911)</f>
        <v>0</v>
      </c>
      <c r="AQ911" s="266">
        <f>IF($AL911="",0,'All Ticker P&amp;L'!J911*'All Ticker P&amp;L'!I911)</f>
        <v>0</v>
      </c>
      <c r="AR911" s="266">
        <f>IF($AL911="",0,'All Ticker P&amp;L'!L911)</f>
        <v>0</v>
      </c>
      <c r="AS911" s="267">
        <f>IF($AL911="",0,'All Ticker P&amp;L'!M911)</f>
        <v>0</v>
      </c>
      <c r="AT911" s="243" t="str">
        <f>IF($AL911="","",RANK(AR911,$AR$2:$AR$1001)+COUNTIF($AR$2:AR911,AR911)-1)</f>
        <v/>
      </c>
      <c r="AU911" s="243" t="str">
        <f>IF($AL911="","",RANK(AV911,$AV$2:$AV$1001)+COUNTIF($AV$2:AV911,AV911)-1)</f>
        <v/>
      </c>
      <c r="AV911" s="266">
        <f t="shared" si="60"/>
        <v>0</v>
      </c>
    </row>
    <row r="912" spans="26:48" ht="15" customHeight="1" x14ac:dyDescent="0.2">
      <c r="Z912" s="243" t="str">
        <f>Shares!A912</f>
        <v/>
      </c>
      <c r="AA912" s="243" t="str">
        <f>Shares!B912</f>
        <v/>
      </c>
      <c r="AB912" s="243" t="str">
        <f>Shares!C912</f>
        <v/>
      </c>
      <c r="AC912" s="243" t="str">
        <f>Shares!D912</f>
        <v/>
      </c>
      <c r="AD912" s="243">
        <f>IF($Z912="",0,Shares!E912)</f>
        <v>0</v>
      </c>
      <c r="AE912" s="266">
        <f>IF($Z912="",0,Shares!J912*Shares!I912)</f>
        <v>0</v>
      </c>
      <c r="AF912" s="267">
        <f t="shared" si="59"/>
        <v>0</v>
      </c>
      <c r="AG912" s="266">
        <f>IF($Z912="",0,Shares!L912)</f>
        <v>0</v>
      </c>
      <c r="AH912" s="267">
        <f>IF($Z912="",0,Shares!M912)</f>
        <v>0</v>
      </c>
      <c r="AI912" s="243" t="str">
        <f>IF($Z912="","",RANK(AE912,$AE$2:$AE$1001)+COUNTIF($AE$2:AE912,AE912)-1)</f>
        <v/>
      </c>
      <c r="AJ912" s="243" t="str">
        <f>IF($AD912&lt;0,COUNT($AJ$1:AJ911)+1,"")</f>
        <v/>
      </c>
      <c r="AL912" s="243" t="str">
        <f>'All Ticker P&amp;L'!A912</f>
        <v/>
      </c>
      <c r="AM912" s="243" t="str">
        <f>'All Ticker P&amp;L'!B912</f>
        <v/>
      </c>
      <c r="AN912" s="243" t="str">
        <f>'All Ticker P&amp;L'!C912</f>
        <v/>
      </c>
      <c r="AO912" s="243" t="str">
        <f>'All Ticker P&amp;L'!D912</f>
        <v/>
      </c>
      <c r="AP912" s="243">
        <f>IF($AL912="",0,'All Ticker P&amp;L'!E912)</f>
        <v>0</v>
      </c>
      <c r="AQ912" s="266">
        <f>IF($AL912="",0,'All Ticker P&amp;L'!J912*'All Ticker P&amp;L'!I912)</f>
        <v>0</v>
      </c>
      <c r="AR912" s="266">
        <f>IF($AL912="",0,'All Ticker P&amp;L'!L912)</f>
        <v>0</v>
      </c>
      <c r="AS912" s="267">
        <f>IF($AL912="",0,'All Ticker P&amp;L'!M912)</f>
        <v>0</v>
      </c>
      <c r="AT912" s="243" t="str">
        <f>IF($AL912="","",RANK(AR912,$AR$2:$AR$1001)+COUNTIF($AR$2:AR912,AR912)-1)</f>
        <v/>
      </c>
      <c r="AU912" s="243" t="str">
        <f>IF($AL912="","",RANK(AV912,$AV$2:$AV$1001)+COUNTIF($AV$2:AV912,AV912)-1)</f>
        <v/>
      </c>
      <c r="AV912" s="266">
        <f t="shared" si="60"/>
        <v>0</v>
      </c>
    </row>
    <row r="913" spans="26:48" ht="15" customHeight="1" x14ac:dyDescent="0.2">
      <c r="Z913" s="243" t="str">
        <f>Shares!A913</f>
        <v/>
      </c>
      <c r="AA913" s="243" t="str">
        <f>Shares!B913</f>
        <v/>
      </c>
      <c r="AB913" s="243" t="str">
        <f>Shares!C913</f>
        <v/>
      </c>
      <c r="AC913" s="243" t="str">
        <f>Shares!D913</f>
        <v/>
      </c>
      <c r="AD913" s="243">
        <f>IF($Z913="",0,Shares!E913)</f>
        <v>0</v>
      </c>
      <c r="AE913" s="266">
        <f>IF($Z913="",0,Shares!J913*Shares!I913)</f>
        <v>0</v>
      </c>
      <c r="AF913" s="267">
        <f t="shared" si="59"/>
        <v>0</v>
      </c>
      <c r="AG913" s="266">
        <f>IF($Z913="",0,Shares!L913)</f>
        <v>0</v>
      </c>
      <c r="AH913" s="267">
        <f>IF($Z913="",0,Shares!M913)</f>
        <v>0</v>
      </c>
      <c r="AI913" s="243" t="str">
        <f>IF($Z913="","",RANK(AE913,$AE$2:$AE$1001)+COUNTIF($AE$2:AE913,AE913)-1)</f>
        <v/>
      </c>
      <c r="AJ913" s="243" t="str">
        <f>IF($AD913&lt;0,COUNT($AJ$1:AJ912)+1,"")</f>
        <v/>
      </c>
      <c r="AL913" s="243" t="str">
        <f>'All Ticker P&amp;L'!A913</f>
        <v/>
      </c>
      <c r="AM913" s="243" t="str">
        <f>'All Ticker P&amp;L'!B913</f>
        <v/>
      </c>
      <c r="AN913" s="243" t="str">
        <f>'All Ticker P&amp;L'!C913</f>
        <v/>
      </c>
      <c r="AO913" s="243" t="str">
        <f>'All Ticker P&amp;L'!D913</f>
        <v/>
      </c>
      <c r="AP913" s="243">
        <f>IF($AL913="",0,'All Ticker P&amp;L'!E913)</f>
        <v>0</v>
      </c>
      <c r="AQ913" s="266">
        <f>IF($AL913="",0,'All Ticker P&amp;L'!J913*'All Ticker P&amp;L'!I913)</f>
        <v>0</v>
      </c>
      <c r="AR913" s="266">
        <f>IF($AL913="",0,'All Ticker P&amp;L'!L913)</f>
        <v>0</v>
      </c>
      <c r="AS913" s="267">
        <f>IF($AL913="",0,'All Ticker P&amp;L'!M913)</f>
        <v>0</v>
      </c>
      <c r="AT913" s="243" t="str">
        <f>IF($AL913="","",RANK(AR913,$AR$2:$AR$1001)+COUNTIF($AR$2:AR913,AR913)-1)</f>
        <v/>
      </c>
      <c r="AU913" s="243" t="str">
        <f>IF($AL913="","",RANK(AV913,$AV$2:$AV$1001)+COUNTIF($AV$2:AV913,AV913)-1)</f>
        <v/>
      </c>
      <c r="AV913" s="266">
        <f t="shared" si="60"/>
        <v>0</v>
      </c>
    </row>
    <row r="914" spans="26:48" ht="15" customHeight="1" x14ac:dyDescent="0.2">
      <c r="Z914" s="243" t="str">
        <f>Shares!A914</f>
        <v/>
      </c>
      <c r="AA914" s="243" t="str">
        <f>Shares!B914</f>
        <v/>
      </c>
      <c r="AB914" s="243" t="str">
        <f>Shares!C914</f>
        <v/>
      </c>
      <c r="AC914" s="243" t="str">
        <f>Shares!D914</f>
        <v/>
      </c>
      <c r="AD914" s="243">
        <f>IF($Z914="",0,Shares!E914)</f>
        <v>0</v>
      </c>
      <c r="AE914" s="266">
        <f>IF($Z914="",0,Shares!J914*Shares!I914)</f>
        <v>0</v>
      </c>
      <c r="AF914" s="267">
        <f t="shared" si="59"/>
        <v>0</v>
      </c>
      <c r="AG914" s="266">
        <f>IF($Z914="",0,Shares!L914)</f>
        <v>0</v>
      </c>
      <c r="AH914" s="267">
        <f>IF($Z914="",0,Shares!M914)</f>
        <v>0</v>
      </c>
      <c r="AI914" s="243" t="str">
        <f>IF($Z914="","",RANK(AE914,$AE$2:$AE$1001)+COUNTIF($AE$2:AE914,AE914)-1)</f>
        <v/>
      </c>
      <c r="AJ914" s="243" t="str">
        <f>IF($AD914&lt;0,COUNT($AJ$1:AJ913)+1,"")</f>
        <v/>
      </c>
      <c r="AL914" s="243" t="str">
        <f>'All Ticker P&amp;L'!A914</f>
        <v/>
      </c>
      <c r="AM914" s="243" t="str">
        <f>'All Ticker P&amp;L'!B914</f>
        <v/>
      </c>
      <c r="AN914" s="243" t="str">
        <f>'All Ticker P&amp;L'!C914</f>
        <v/>
      </c>
      <c r="AO914" s="243" t="str">
        <f>'All Ticker P&amp;L'!D914</f>
        <v/>
      </c>
      <c r="AP914" s="243">
        <f>IF($AL914="",0,'All Ticker P&amp;L'!E914)</f>
        <v>0</v>
      </c>
      <c r="AQ914" s="266">
        <f>IF($AL914="",0,'All Ticker P&amp;L'!J914*'All Ticker P&amp;L'!I914)</f>
        <v>0</v>
      </c>
      <c r="AR914" s="266">
        <f>IF($AL914="",0,'All Ticker P&amp;L'!L914)</f>
        <v>0</v>
      </c>
      <c r="AS914" s="267">
        <f>IF($AL914="",0,'All Ticker P&amp;L'!M914)</f>
        <v>0</v>
      </c>
      <c r="AT914" s="243" t="str">
        <f>IF($AL914="","",RANK(AR914,$AR$2:$AR$1001)+COUNTIF($AR$2:AR914,AR914)-1)</f>
        <v/>
      </c>
      <c r="AU914" s="243" t="str">
        <f>IF($AL914="","",RANK(AV914,$AV$2:$AV$1001)+COUNTIF($AV$2:AV914,AV914)-1)</f>
        <v/>
      </c>
      <c r="AV914" s="266">
        <f t="shared" si="60"/>
        <v>0</v>
      </c>
    </row>
    <row r="915" spans="26:48" ht="15" customHeight="1" x14ac:dyDescent="0.2">
      <c r="Z915" s="243" t="str">
        <f>Shares!A915</f>
        <v/>
      </c>
      <c r="AA915" s="243" t="str">
        <f>Shares!B915</f>
        <v/>
      </c>
      <c r="AB915" s="243" t="str">
        <f>Shares!C915</f>
        <v/>
      </c>
      <c r="AC915" s="243" t="str">
        <f>Shares!D915</f>
        <v/>
      </c>
      <c r="AD915" s="243">
        <f>IF($Z915="",0,Shares!E915)</f>
        <v>0</v>
      </c>
      <c r="AE915" s="266">
        <f>IF($Z915="",0,Shares!J915*Shares!I915)</f>
        <v>0</v>
      </c>
      <c r="AF915" s="267">
        <f t="shared" si="59"/>
        <v>0</v>
      </c>
      <c r="AG915" s="266">
        <f>IF($Z915="",0,Shares!L915)</f>
        <v>0</v>
      </c>
      <c r="AH915" s="267">
        <f>IF($Z915="",0,Shares!M915)</f>
        <v>0</v>
      </c>
      <c r="AI915" s="243" t="str">
        <f>IF($Z915="","",RANK(AE915,$AE$2:$AE$1001)+COUNTIF($AE$2:AE915,AE915)-1)</f>
        <v/>
      </c>
      <c r="AJ915" s="243" t="str">
        <f>IF($AD915&lt;0,COUNT($AJ$1:AJ914)+1,"")</f>
        <v/>
      </c>
      <c r="AL915" s="243" t="str">
        <f>'All Ticker P&amp;L'!A915</f>
        <v/>
      </c>
      <c r="AM915" s="243" t="str">
        <f>'All Ticker P&amp;L'!B915</f>
        <v/>
      </c>
      <c r="AN915" s="243" t="str">
        <f>'All Ticker P&amp;L'!C915</f>
        <v/>
      </c>
      <c r="AO915" s="243" t="str">
        <f>'All Ticker P&amp;L'!D915</f>
        <v/>
      </c>
      <c r="AP915" s="243">
        <f>IF($AL915="",0,'All Ticker P&amp;L'!E915)</f>
        <v>0</v>
      </c>
      <c r="AQ915" s="266">
        <f>IF($AL915="",0,'All Ticker P&amp;L'!J915*'All Ticker P&amp;L'!I915)</f>
        <v>0</v>
      </c>
      <c r="AR915" s="266">
        <f>IF($AL915="",0,'All Ticker P&amp;L'!L915)</f>
        <v>0</v>
      </c>
      <c r="AS915" s="267">
        <f>IF($AL915="",0,'All Ticker P&amp;L'!M915)</f>
        <v>0</v>
      </c>
      <c r="AT915" s="243" t="str">
        <f>IF($AL915="","",RANK(AR915,$AR$2:$AR$1001)+COUNTIF($AR$2:AR915,AR915)-1)</f>
        <v/>
      </c>
      <c r="AU915" s="243" t="str">
        <f>IF($AL915="","",RANK(AV915,$AV$2:$AV$1001)+COUNTIF($AV$2:AV915,AV915)-1)</f>
        <v/>
      </c>
      <c r="AV915" s="266">
        <f t="shared" si="60"/>
        <v>0</v>
      </c>
    </row>
    <row r="916" spans="26:48" ht="15" customHeight="1" x14ac:dyDescent="0.2">
      <c r="Z916" s="243" t="str">
        <f>Shares!A916</f>
        <v/>
      </c>
      <c r="AA916" s="243" t="str">
        <f>Shares!B916</f>
        <v/>
      </c>
      <c r="AB916" s="243" t="str">
        <f>Shares!C916</f>
        <v/>
      </c>
      <c r="AC916" s="243" t="str">
        <f>Shares!D916</f>
        <v/>
      </c>
      <c r="AD916" s="243">
        <f>IF($Z916="",0,Shares!E916)</f>
        <v>0</v>
      </c>
      <c r="AE916" s="266">
        <f>IF($Z916="",0,Shares!J916*Shares!I916)</f>
        <v>0</v>
      </c>
      <c r="AF916" s="267">
        <f t="shared" si="59"/>
        <v>0</v>
      </c>
      <c r="AG916" s="266">
        <f>IF($Z916="",0,Shares!L916)</f>
        <v>0</v>
      </c>
      <c r="AH916" s="267">
        <f>IF($Z916="",0,Shares!M916)</f>
        <v>0</v>
      </c>
      <c r="AI916" s="243" t="str">
        <f>IF($Z916="","",RANK(AE916,$AE$2:$AE$1001)+COUNTIF($AE$2:AE916,AE916)-1)</f>
        <v/>
      </c>
      <c r="AJ916" s="243" t="str">
        <f>IF($AD916&lt;0,COUNT($AJ$1:AJ915)+1,"")</f>
        <v/>
      </c>
      <c r="AL916" s="243" t="str">
        <f>'All Ticker P&amp;L'!A916</f>
        <v/>
      </c>
      <c r="AM916" s="243" t="str">
        <f>'All Ticker P&amp;L'!B916</f>
        <v/>
      </c>
      <c r="AN916" s="243" t="str">
        <f>'All Ticker P&amp;L'!C916</f>
        <v/>
      </c>
      <c r="AO916" s="243" t="str">
        <f>'All Ticker P&amp;L'!D916</f>
        <v/>
      </c>
      <c r="AP916" s="243">
        <f>IF($AL916="",0,'All Ticker P&amp;L'!E916)</f>
        <v>0</v>
      </c>
      <c r="AQ916" s="266">
        <f>IF($AL916="",0,'All Ticker P&amp;L'!J916*'All Ticker P&amp;L'!I916)</f>
        <v>0</v>
      </c>
      <c r="AR916" s="266">
        <f>IF($AL916="",0,'All Ticker P&amp;L'!L916)</f>
        <v>0</v>
      </c>
      <c r="AS916" s="267">
        <f>IF($AL916="",0,'All Ticker P&amp;L'!M916)</f>
        <v>0</v>
      </c>
      <c r="AT916" s="243" t="str">
        <f>IF($AL916="","",RANK(AR916,$AR$2:$AR$1001)+COUNTIF($AR$2:AR916,AR916)-1)</f>
        <v/>
      </c>
      <c r="AU916" s="243" t="str">
        <f>IF($AL916="","",RANK(AV916,$AV$2:$AV$1001)+COUNTIF($AV$2:AV916,AV916)-1)</f>
        <v/>
      </c>
      <c r="AV916" s="266">
        <f t="shared" si="60"/>
        <v>0</v>
      </c>
    </row>
    <row r="917" spans="26:48" ht="15" customHeight="1" x14ac:dyDescent="0.2">
      <c r="Z917" s="243" t="str">
        <f>Shares!A917</f>
        <v/>
      </c>
      <c r="AA917" s="243" t="str">
        <f>Shares!B917</f>
        <v/>
      </c>
      <c r="AB917" s="243" t="str">
        <f>Shares!C917</f>
        <v/>
      </c>
      <c r="AC917" s="243" t="str">
        <f>Shares!D917</f>
        <v/>
      </c>
      <c r="AD917" s="243">
        <f>IF($Z917="",0,Shares!E917)</f>
        <v>0</v>
      </c>
      <c r="AE917" s="266">
        <f>IF($Z917="",0,Shares!J917*Shares!I917)</f>
        <v>0</v>
      </c>
      <c r="AF917" s="267">
        <f t="shared" si="59"/>
        <v>0</v>
      </c>
      <c r="AG917" s="266">
        <f>IF($Z917="",0,Shares!L917)</f>
        <v>0</v>
      </c>
      <c r="AH917" s="267">
        <f>IF($Z917="",0,Shares!M917)</f>
        <v>0</v>
      </c>
      <c r="AI917" s="243" t="str">
        <f>IF($Z917="","",RANK(AE917,$AE$2:$AE$1001)+COUNTIF($AE$2:AE917,AE917)-1)</f>
        <v/>
      </c>
      <c r="AJ917" s="243" t="str">
        <f>IF($AD917&lt;0,COUNT($AJ$1:AJ916)+1,"")</f>
        <v/>
      </c>
      <c r="AL917" s="243" t="str">
        <f>'All Ticker P&amp;L'!A917</f>
        <v/>
      </c>
      <c r="AM917" s="243" t="str">
        <f>'All Ticker P&amp;L'!B917</f>
        <v/>
      </c>
      <c r="AN917" s="243" t="str">
        <f>'All Ticker P&amp;L'!C917</f>
        <v/>
      </c>
      <c r="AO917" s="243" t="str">
        <f>'All Ticker P&amp;L'!D917</f>
        <v/>
      </c>
      <c r="AP917" s="243">
        <f>IF($AL917="",0,'All Ticker P&amp;L'!E917)</f>
        <v>0</v>
      </c>
      <c r="AQ917" s="266">
        <f>IF($AL917="",0,'All Ticker P&amp;L'!J917*'All Ticker P&amp;L'!I917)</f>
        <v>0</v>
      </c>
      <c r="AR917" s="266">
        <f>IF($AL917="",0,'All Ticker P&amp;L'!L917)</f>
        <v>0</v>
      </c>
      <c r="AS917" s="267">
        <f>IF($AL917="",0,'All Ticker P&amp;L'!M917)</f>
        <v>0</v>
      </c>
      <c r="AT917" s="243" t="str">
        <f>IF($AL917="","",RANK(AR917,$AR$2:$AR$1001)+COUNTIF($AR$2:AR917,AR917)-1)</f>
        <v/>
      </c>
      <c r="AU917" s="243" t="str">
        <f>IF($AL917="","",RANK(AV917,$AV$2:$AV$1001)+COUNTIF($AV$2:AV917,AV917)-1)</f>
        <v/>
      </c>
      <c r="AV917" s="266">
        <f t="shared" si="60"/>
        <v>0</v>
      </c>
    </row>
    <row r="918" spans="26:48" ht="15" customHeight="1" x14ac:dyDescent="0.2">
      <c r="Z918" s="243" t="str">
        <f>Shares!A918</f>
        <v/>
      </c>
      <c r="AA918" s="243" t="str">
        <f>Shares!B918</f>
        <v/>
      </c>
      <c r="AB918" s="243" t="str">
        <f>Shares!C918</f>
        <v/>
      </c>
      <c r="AC918" s="243" t="str">
        <f>Shares!D918</f>
        <v/>
      </c>
      <c r="AD918" s="243">
        <f>IF($Z918="",0,Shares!E918)</f>
        <v>0</v>
      </c>
      <c r="AE918" s="266">
        <f>IF($Z918="",0,Shares!J918*Shares!I918)</f>
        <v>0</v>
      </c>
      <c r="AF918" s="267">
        <f t="shared" si="59"/>
        <v>0</v>
      </c>
      <c r="AG918" s="266">
        <f>IF($Z918="",0,Shares!L918)</f>
        <v>0</v>
      </c>
      <c r="AH918" s="267">
        <f>IF($Z918="",0,Shares!M918)</f>
        <v>0</v>
      </c>
      <c r="AI918" s="243" t="str">
        <f>IF($Z918="","",RANK(AE918,$AE$2:$AE$1001)+COUNTIF($AE$2:AE918,AE918)-1)</f>
        <v/>
      </c>
      <c r="AJ918" s="243" t="str">
        <f>IF($AD918&lt;0,COUNT($AJ$1:AJ917)+1,"")</f>
        <v/>
      </c>
      <c r="AL918" s="243" t="str">
        <f>'All Ticker P&amp;L'!A918</f>
        <v/>
      </c>
      <c r="AM918" s="243" t="str">
        <f>'All Ticker P&amp;L'!B918</f>
        <v/>
      </c>
      <c r="AN918" s="243" t="str">
        <f>'All Ticker P&amp;L'!C918</f>
        <v/>
      </c>
      <c r="AO918" s="243" t="str">
        <f>'All Ticker P&amp;L'!D918</f>
        <v/>
      </c>
      <c r="AP918" s="243">
        <f>IF($AL918="",0,'All Ticker P&amp;L'!E918)</f>
        <v>0</v>
      </c>
      <c r="AQ918" s="266">
        <f>IF($AL918="",0,'All Ticker P&amp;L'!J918*'All Ticker P&amp;L'!I918)</f>
        <v>0</v>
      </c>
      <c r="AR918" s="266">
        <f>IF($AL918="",0,'All Ticker P&amp;L'!L918)</f>
        <v>0</v>
      </c>
      <c r="AS918" s="267">
        <f>IF($AL918="",0,'All Ticker P&amp;L'!M918)</f>
        <v>0</v>
      </c>
      <c r="AT918" s="243" t="str">
        <f>IF($AL918="","",RANK(AR918,$AR$2:$AR$1001)+COUNTIF($AR$2:AR918,AR918)-1)</f>
        <v/>
      </c>
      <c r="AU918" s="243" t="str">
        <f>IF($AL918="","",RANK(AV918,$AV$2:$AV$1001)+COUNTIF($AV$2:AV918,AV918)-1)</f>
        <v/>
      </c>
      <c r="AV918" s="266">
        <f t="shared" si="60"/>
        <v>0</v>
      </c>
    </row>
    <row r="919" spans="26:48" ht="15" customHeight="1" x14ac:dyDescent="0.2">
      <c r="Z919" s="243" t="str">
        <f>Shares!A919</f>
        <v/>
      </c>
      <c r="AA919" s="243" t="str">
        <f>Shares!B919</f>
        <v/>
      </c>
      <c r="AB919" s="243" t="str">
        <f>Shares!C919</f>
        <v/>
      </c>
      <c r="AC919" s="243" t="str">
        <f>Shares!D919</f>
        <v/>
      </c>
      <c r="AD919" s="243">
        <f>IF($Z919="",0,Shares!E919)</f>
        <v>0</v>
      </c>
      <c r="AE919" s="266">
        <f>IF($Z919="",0,Shares!J919*Shares!I919)</f>
        <v>0</v>
      </c>
      <c r="AF919" s="267">
        <f t="shared" si="59"/>
        <v>0</v>
      </c>
      <c r="AG919" s="266">
        <f>IF($Z919="",0,Shares!L919)</f>
        <v>0</v>
      </c>
      <c r="AH919" s="267">
        <f>IF($Z919="",0,Shares!M919)</f>
        <v>0</v>
      </c>
      <c r="AI919" s="243" t="str">
        <f>IF($Z919="","",RANK(AE919,$AE$2:$AE$1001)+COUNTIF($AE$2:AE919,AE919)-1)</f>
        <v/>
      </c>
      <c r="AJ919" s="243" t="str">
        <f>IF($AD919&lt;0,COUNT($AJ$1:AJ918)+1,"")</f>
        <v/>
      </c>
      <c r="AL919" s="243" t="str">
        <f>'All Ticker P&amp;L'!A919</f>
        <v/>
      </c>
      <c r="AM919" s="243" t="str">
        <f>'All Ticker P&amp;L'!B919</f>
        <v/>
      </c>
      <c r="AN919" s="243" t="str">
        <f>'All Ticker P&amp;L'!C919</f>
        <v/>
      </c>
      <c r="AO919" s="243" t="str">
        <f>'All Ticker P&amp;L'!D919</f>
        <v/>
      </c>
      <c r="AP919" s="243">
        <f>IF($AL919="",0,'All Ticker P&amp;L'!E919)</f>
        <v>0</v>
      </c>
      <c r="AQ919" s="266">
        <f>IF($AL919="",0,'All Ticker P&amp;L'!J919*'All Ticker P&amp;L'!I919)</f>
        <v>0</v>
      </c>
      <c r="AR919" s="266">
        <f>IF($AL919="",0,'All Ticker P&amp;L'!L919)</f>
        <v>0</v>
      </c>
      <c r="AS919" s="267">
        <f>IF($AL919="",0,'All Ticker P&amp;L'!M919)</f>
        <v>0</v>
      </c>
      <c r="AT919" s="243" t="str">
        <f>IF($AL919="","",RANK(AR919,$AR$2:$AR$1001)+COUNTIF($AR$2:AR919,AR919)-1)</f>
        <v/>
      </c>
      <c r="AU919" s="243" t="str">
        <f>IF($AL919="","",RANK(AV919,$AV$2:$AV$1001)+COUNTIF($AV$2:AV919,AV919)-1)</f>
        <v/>
      </c>
      <c r="AV919" s="266">
        <f t="shared" si="60"/>
        <v>0</v>
      </c>
    </row>
    <row r="920" spans="26:48" ht="15" customHeight="1" x14ac:dyDescent="0.2">
      <c r="Z920" s="243" t="str">
        <f>Shares!A920</f>
        <v/>
      </c>
      <c r="AA920" s="243" t="str">
        <f>Shares!B920</f>
        <v/>
      </c>
      <c r="AB920" s="243" t="str">
        <f>Shares!C920</f>
        <v/>
      </c>
      <c r="AC920" s="243" t="str">
        <f>Shares!D920</f>
        <v/>
      </c>
      <c r="AD920" s="243">
        <f>IF($Z920="",0,Shares!E920)</f>
        <v>0</v>
      </c>
      <c r="AE920" s="266">
        <f>IF($Z920="",0,Shares!J920*Shares!I920)</f>
        <v>0</v>
      </c>
      <c r="AF920" s="267">
        <f t="shared" si="59"/>
        <v>0</v>
      </c>
      <c r="AG920" s="266">
        <f>IF($Z920="",0,Shares!L920)</f>
        <v>0</v>
      </c>
      <c r="AH920" s="267">
        <f>IF($Z920="",0,Shares!M920)</f>
        <v>0</v>
      </c>
      <c r="AI920" s="243" t="str">
        <f>IF($Z920="","",RANK(AE920,$AE$2:$AE$1001)+COUNTIF($AE$2:AE920,AE920)-1)</f>
        <v/>
      </c>
      <c r="AJ920" s="243" t="str">
        <f>IF($AD920&lt;0,COUNT($AJ$1:AJ919)+1,"")</f>
        <v/>
      </c>
      <c r="AL920" s="243" t="str">
        <f>'All Ticker P&amp;L'!A920</f>
        <v/>
      </c>
      <c r="AM920" s="243" t="str">
        <f>'All Ticker P&amp;L'!B920</f>
        <v/>
      </c>
      <c r="AN920" s="243" t="str">
        <f>'All Ticker P&amp;L'!C920</f>
        <v/>
      </c>
      <c r="AO920" s="243" t="str">
        <f>'All Ticker P&amp;L'!D920</f>
        <v/>
      </c>
      <c r="AP920" s="243">
        <f>IF($AL920="",0,'All Ticker P&amp;L'!E920)</f>
        <v>0</v>
      </c>
      <c r="AQ920" s="266">
        <f>IF($AL920="",0,'All Ticker P&amp;L'!J920*'All Ticker P&amp;L'!I920)</f>
        <v>0</v>
      </c>
      <c r="AR920" s="266">
        <f>IF($AL920="",0,'All Ticker P&amp;L'!L920)</f>
        <v>0</v>
      </c>
      <c r="AS920" s="267">
        <f>IF($AL920="",0,'All Ticker P&amp;L'!M920)</f>
        <v>0</v>
      </c>
      <c r="AT920" s="243" t="str">
        <f>IF($AL920="","",RANK(AR920,$AR$2:$AR$1001)+COUNTIF($AR$2:AR920,AR920)-1)</f>
        <v/>
      </c>
      <c r="AU920" s="243" t="str">
        <f>IF($AL920="","",RANK(AV920,$AV$2:$AV$1001)+COUNTIF($AV$2:AV920,AV920)-1)</f>
        <v/>
      </c>
      <c r="AV920" s="266">
        <f t="shared" si="60"/>
        <v>0</v>
      </c>
    </row>
    <row r="921" spans="26:48" ht="15" customHeight="1" x14ac:dyDescent="0.2">
      <c r="Z921" s="243" t="str">
        <f>Shares!A921</f>
        <v/>
      </c>
      <c r="AA921" s="243" t="str">
        <f>Shares!B921</f>
        <v/>
      </c>
      <c r="AB921" s="243" t="str">
        <f>Shares!C921</f>
        <v/>
      </c>
      <c r="AC921" s="243" t="str">
        <f>Shares!D921</f>
        <v/>
      </c>
      <c r="AD921" s="243">
        <f>IF($Z921="",0,Shares!E921)</f>
        <v>0</v>
      </c>
      <c r="AE921" s="266">
        <f>IF($Z921="",0,Shares!J921*Shares!I921)</f>
        <v>0</v>
      </c>
      <c r="AF921" s="267">
        <f t="shared" si="59"/>
        <v>0</v>
      </c>
      <c r="AG921" s="266">
        <f>IF($Z921="",0,Shares!L921)</f>
        <v>0</v>
      </c>
      <c r="AH921" s="267">
        <f>IF($Z921="",0,Shares!M921)</f>
        <v>0</v>
      </c>
      <c r="AI921" s="243" t="str">
        <f>IF($Z921="","",RANK(AE921,$AE$2:$AE$1001)+COUNTIF($AE$2:AE921,AE921)-1)</f>
        <v/>
      </c>
      <c r="AJ921" s="243" t="str">
        <f>IF($AD921&lt;0,COUNT($AJ$1:AJ920)+1,"")</f>
        <v/>
      </c>
      <c r="AL921" s="243" t="str">
        <f>'All Ticker P&amp;L'!A921</f>
        <v/>
      </c>
      <c r="AM921" s="243" t="str">
        <f>'All Ticker P&amp;L'!B921</f>
        <v/>
      </c>
      <c r="AN921" s="243" t="str">
        <f>'All Ticker P&amp;L'!C921</f>
        <v/>
      </c>
      <c r="AO921" s="243" t="str">
        <f>'All Ticker P&amp;L'!D921</f>
        <v/>
      </c>
      <c r="AP921" s="243">
        <f>IF($AL921="",0,'All Ticker P&amp;L'!E921)</f>
        <v>0</v>
      </c>
      <c r="AQ921" s="266">
        <f>IF($AL921="",0,'All Ticker P&amp;L'!J921*'All Ticker P&amp;L'!I921)</f>
        <v>0</v>
      </c>
      <c r="AR921" s="266">
        <f>IF($AL921="",0,'All Ticker P&amp;L'!L921)</f>
        <v>0</v>
      </c>
      <c r="AS921" s="267">
        <f>IF($AL921="",0,'All Ticker P&amp;L'!M921)</f>
        <v>0</v>
      </c>
      <c r="AT921" s="243" t="str">
        <f>IF($AL921="","",RANK(AR921,$AR$2:$AR$1001)+COUNTIF($AR$2:AR921,AR921)-1)</f>
        <v/>
      </c>
      <c r="AU921" s="243" t="str">
        <f>IF($AL921="","",RANK(AV921,$AV$2:$AV$1001)+COUNTIF($AV$2:AV921,AV921)-1)</f>
        <v/>
      </c>
      <c r="AV921" s="266">
        <f t="shared" si="60"/>
        <v>0</v>
      </c>
    </row>
    <row r="922" spans="26:48" ht="15" customHeight="1" x14ac:dyDescent="0.2">
      <c r="Z922" s="243" t="str">
        <f>Shares!A922</f>
        <v/>
      </c>
      <c r="AA922" s="243" t="str">
        <f>Shares!B922</f>
        <v/>
      </c>
      <c r="AB922" s="243" t="str">
        <f>Shares!C922</f>
        <v/>
      </c>
      <c r="AC922" s="243" t="str">
        <f>Shares!D922</f>
        <v/>
      </c>
      <c r="AD922" s="243">
        <f>IF($Z922="",0,Shares!E922)</f>
        <v>0</v>
      </c>
      <c r="AE922" s="266">
        <f>IF($Z922="",0,Shares!J922*Shares!I922)</f>
        <v>0</v>
      </c>
      <c r="AF922" s="267">
        <f t="shared" si="59"/>
        <v>0</v>
      </c>
      <c r="AG922" s="266">
        <f>IF($Z922="",0,Shares!L922)</f>
        <v>0</v>
      </c>
      <c r="AH922" s="267">
        <f>IF($Z922="",0,Shares!M922)</f>
        <v>0</v>
      </c>
      <c r="AI922" s="243" t="str">
        <f>IF($Z922="","",RANK(AE922,$AE$2:$AE$1001)+COUNTIF($AE$2:AE922,AE922)-1)</f>
        <v/>
      </c>
      <c r="AJ922" s="243" t="str">
        <f>IF($AD922&lt;0,COUNT($AJ$1:AJ921)+1,"")</f>
        <v/>
      </c>
      <c r="AL922" s="243" t="str">
        <f>'All Ticker P&amp;L'!A922</f>
        <v/>
      </c>
      <c r="AM922" s="243" t="str">
        <f>'All Ticker P&amp;L'!B922</f>
        <v/>
      </c>
      <c r="AN922" s="243" t="str">
        <f>'All Ticker P&amp;L'!C922</f>
        <v/>
      </c>
      <c r="AO922" s="243" t="str">
        <f>'All Ticker P&amp;L'!D922</f>
        <v/>
      </c>
      <c r="AP922" s="243">
        <f>IF($AL922="",0,'All Ticker P&amp;L'!E922)</f>
        <v>0</v>
      </c>
      <c r="AQ922" s="266">
        <f>IF($AL922="",0,'All Ticker P&amp;L'!J922*'All Ticker P&amp;L'!I922)</f>
        <v>0</v>
      </c>
      <c r="AR922" s="266">
        <f>IF($AL922="",0,'All Ticker P&amp;L'!L922)</f>
        <v>0</v>
      </c>
      <c r="AS922" s="267">
        <f>IF($AL922="",0,'All Ticker P&amp;L'!M922)</f>
        <v>0</v>
      </c>
      <c r="AT922" s="243" t="str">
        <f>IF($AL922="","",RANK(AR922,$AR$2:$AR$1001)+COUNTIF($AR$2:AR922,AR922)-1)</f>
        <v/>
      </c>
      <c r="AU922" s="243" t="str">
        <f>IF($AL922="","",RANK(AV922,$AV$2:$AV$1001)+COUNTIF($AV$2:AV922,AV922)-1)</f>
        <v/>
      </c>
      <c r="AV922" s="266">
        <f t="shared" si="60"/>
        <v>0</v>
      </c>
    </row>
    <row r="923" spans="26:48" ht="15" customHeight="1" x14ac:dyDescent="0.2">
      <c r="Z923" s="243" t="str">
        <f>Shares!A923</f>
        <v/>
      </c>
      <c r="AA923" s="243" t="str">
        <f>Shares!B923</f>
        <v/>
      </c>
      <c r="AB923" s="243" t="str">
        <f>Shares!C923</f>
        <v/>
      </c>
      <c r="AC923" s="243" t="str">
        <f>Shares!D923</f>
        <v/>
      </c>
      <c r="AD923" s="243">
        <f>IF($Z923="",0,Shares!E923)</f>
        <v>0</v>
      </c>
      <c r="AE923" s="266">
        <f>IF($Z923="",0,Shares!J923*Shares!I923)</f>
        <v>0</v>
      </c>
      <c r="AF923" s="267">
        <f t="shared" si="59"/>
        <v>0</v>
      </c>
      <c r="AG923" s="266">
        <f>IF($Z923="",0,Shares!L923)</f>
        <v>0</v>
      </c>
      <c r="AH923" s="267">
        <f>IF($Z923="",0,Shares!M923)</f>
        <v>0</v>
      </c>
      <c r="AI923" s="243" t="str">
        <f>IF($Z923="","",RANK(AE923,$AE$2:$AE$1001)+COUNTIF($AE$2:AE923,AE923)-1)</f>
        <v/>
      </c>
      <c r="AJ923" s="243" t="str">
        <f>IF($AD923&lt;0,COUNT($AJ$1:AJ922)+1,"")</f>
        <v/>
      </c>
      <c r="AL923" s="243" t="str">
        <f>'All Ticker P&amp;L'!A923</f>
        <v/>
      </c>
      <c r="AM923" s="243" t="str">
        <f>'All Ticker P&amp;L'!B923</f>
        <v/>
      </c>
      <c r="AN923" s="243" t="str">
        <f>'All Ticker P&amp;L'!C923</f>
        <v/>
      </c>
      <c r="AO923" s="243" t="str">
        <f>'All Ticker P&amp;L'!D923</f>
        <v/>
      </c>
      <c r="AP923" s="243">
        <f>IF($AL923="",0,'All Ticker P&amp;L'!E923)</f>
        <v>0</v>
      </c>
      <c r="AQ923" s="266">
        <f>IF($AL923="",0,'All Ticker P&amp;L'!J923*'All Ticker P&amp;L'!I923)</f>
        <v>0</v>
      </c>
      <c r="AR923" s="266">
        <f>IF($AL923="",0,'All Ticker P&amp;L'!L923)</f>
        <v>0</v>
      </c>
      <c r="AS923" s="267">
        <f>IF($AL923="",0,'All Ticker P&amp;L'!M923)</f>
        <v>0</v>
      </c>
      <c r="AT923" s="243" t="str">
        <f>IF($AL923="","",RANK(AR923,$AR$2:$AR$1001)+COUNTIF($AR$2:AR923,AR923)-1)</f>
        <v/>
      </c>
      <c r="AU923" s="243" t="str">
        <f>IF($AL923="","",RANK(AV923,$AV$2:$AV$1001)+COUNTIF($AV$2:AV923,AV923)-1)</f>
        <v/>
      </c>
      <c r="AV923" s="266">
        <f t="shared" si="60"/>
        <v>0</v>
      </c>
    </row>
    <row r="924" spans="26:48" ht="15" customHeight="1" x14ac:dyDescent="0.2">
      <c r="Z924" s="243" t="str">
        <f>Shares!A924</f>
        <v/>
      </c>
      <c r="AA924" s="243" t="str">
        <f>Shares!B924</f>
        <v/>
      </c>
      <c r="AB924" s="243" t="str">
        <f>Shares!C924</f>
        <v/>
      </c>
      <c r="AC924" s="243" t="str">
        <f>Shares!D924</f>
        <v/>
      </c>
      <c r="AD924" s="243">
        <f>IF($Z924="",0,Shares!E924)</f>
        <v>0</v>
      </c>
      <c r="AE924" s="266">
        <f>IF($Z924="",0,Shares!J924*Shares!I924)</f>
        <v>0</v>
      </c>
      <c r="AF924" s="267">
        <f t="shared" si="59"/>
        <v>0</v>
      </c>
      <c r="AG924" s="266">
        <f>IF($Z924="",0,Shares!L924)</f>
        <v>0</v>
      </c>
      <c r="AH924" s="267">
        <f>IF($Z924="",0,Shares!M924)</f>
        <v>0</v>
      </c>
      <c r="AI924" s="243" t="str">
        <f>IF($Z924="","",RANK(AE924,$AE$2:$AE$1001)+COUNTIF($AE$2:AE924,AE924)-1)</f>
        <v/>
      </c>
      <c r="AJ924" s="243" t="str">
        <f>IF($AD924&lt;0,COUNT($AJ$1:AJ923)+1,"")</f>
        <v/>
      </c>
      <c r="AL924" s="243" t="str">
        <f>'All Ticker P&amp;L'!A924</f>
        <v/>
      </c>
      <c r="AM924" s="243" t="str">
        <f>'All Ticker P&amp;L'!B924</f>
        <v/>
      </c>
      <c r="AN924" s="243" t="str">
        <f>'All Ticker P&amp;L'!C924</f>
        <v/>
      </c>
      <c r="AO924" s="243" t="str">
        <f>'All Ticker P&amp;L'!D924</f>
        <v/>
      </c>
      <c r="AP924" s="243">
        <f>IF($AL924="",0,'All Ticker P&amp;L'!E924)</f>
        <v>0</v>
      </c>
      <c r="AQ924" s="266">
        <f>IF($AL924="",0,'All Ticker P&amp;L'!J924*'All Ticker P&amp;L'!I924)</f>
        <v>0</v>
      </c>
      <c r="AR924" s="266">
        <f>IF($AL924="",0,'All Ticker P&amp;L'!L924)</f>
        <v>0</v>
      </c>
      <c r="AS924" s="267">
        <f>IF($AL924="",0,'All Ticker P&amp;L'!M924)</f>
        <v>0</v>
      </c>
      <c r="AT924" s="243" t="str">
        <f>IF($AL924="","",RANK(AR924,$AR$2:$AR$1001)+COUNTIF($AR$2:AR924,AR924)-1)</f>
        <v/>
      </c>
      <c r="AU924" s="243" t="str">
        <f>IF($AL924="","",RANK(AV924,$AV$2:$AV$1001)+COUNTIF($AV$2:AV924,AV924)-1)</f>
        <v/>
      </c>
      <c r="AV924" s="266">
        <f t="shared" si="60"/>
        <v>0</v>
      </c>
    </row>
    <row r="925" spans="26:48" ht="15" customHeight="1" x14ac:dyDescent="0.2">
      <c r="Z925" s="243" t="str">
        <f>Shares!A925</f>
        <v/>
      </c>
      <c r="AA925" s="243" t="str">
        <f>Shares!B925</f>
        <v/>
      </c>
      <c r="AB925" s="243" t="str">
        <f>Shares!C925</f>
        <v/>
      </c>
      <c r="AC925" s="243" t="str">
        <f>Shares!D925</f>
        <v/>
      </c>
      <c r="AD925" s="243">
        <f>IF($Z925="",0,Shares!E925)</f>
        <v>0</v>
      </c>
      <c r="AE925" s="266">
        <f>IF($Z925="",0,Shares!J925*Shares!I925)</f>
        <v>0</v>
      </c>
      <c r="AF925" s="267">
        <f t="shared" si="59"/>
        <v>0</v>
      </c>
      <c r="AG925" s="266">
        <f>IF($Z925="",0,Shares!L925)</f>
        <v>0</v>
      </c>
      <c r="AH925" s="267">
        <f>IF($Z925="",0,Shares!M925)</f>
        <v>0</v>
      </c>
      <c r="AI925" s="243" t="str">
        <f>IF($Z925="","",RANK(AE925,$AE$2:$AE$1001)+COUNTIF($AE$2:AE925,AE925)-1)</f>
        <v/>
      </c>
      <c r="AJ925" s="243" t="str">
        <f>IF($AD925&lt;0,COUNT($AJ$1:AJ924)+1,"")</f>
        <v/>
      </c>
      <c r="AL925" s="243" t="str">
        <f>'All Ticker P&amp;L'!A925</f>
        <v/>
      </c>
      <c r="AM925" s="243" t="str">
        <f>'All Ticker P&amp;L'!B925</f>
        <v/>
      </c>
      <c r="AN925" s="243" t="str">
        <f>'All Ticker P&amp;L'!C925</f>
        <v/>
      </c>
      <c r="AO925" s="243" t="str">
        <f>'All Ticker P&amp;L'!D925</f>
        <v/>
      </c>
      <c r="AP925" s="243">
        <f>IF($AL925="",0,'All Ticker P&amp;L'!E925)</f>
        <v>0</v>
      </c>
      <c r="AQ925" s="266">
        <f>IF($AL925="",0,'All Ticker P&amp;L'!J925*'All Ticker P&amp;L'!I925)</f>
        <v>0</v>
      </c>
      <c r="AR925" s="266">
        <f>IF($AL925="",0,'All Ticker P&amp;L'!L925)</f>
        <v>0</v>
      </c>
      <c r="AS925" s="267">
        <f>IF($AL925="",0,'All Ticker P&amp;L'!M925)</f>
        <v>0</v>
      </c>
      <c r="AT925" s="243" t="str">
        <f>IF($AL925="","",RANK(AR925,$AR$2:$AR$1001)+COUNTIF($AR$2:AR925,AR925)-1)</f>
        <v/>
      </c>
      <c r="AU925" s="243" t="str">
        <f>IF($AL925="","",RANK(AV925,$AV$2:$AV$1001)+COUNTIF($AV$2:AV925,AV925)-1)</f>
        <v/>
      </c>
      <c r="AV925" s="266">
        <f t="shared" si="60"/>
        <v>0</v>
      </c>
    </row>
    <row r="926" spans="26:48" ht="15" customHeight="1" x14ac:dyDescent="0.2">
      <c r="Z926" s="243" t="str">
        <f>Shares!A926</f>
        <v/>
      </c>
      <c r="AA926" s="243" t="str">
        <f>Shares!B926</f>
        <v/>
      </c>
      <c r="AB926" s="243" t="str">
        <f>Shares!C926</f>
        <v/>
      </c>
      <c r="AC926" s="243" t="str">
        <f>Shares!D926</f>
        <v/>
      </c>
      <c r="AD926" s="243">
        <f>IF($Z926="",0,Shares!E926)</f>
        <v>0</v>
      </c>
      <c r="AE926" s="266">
        <f>IF($Z926="",0,Shares!J926*Shares!I926)</f>
        <v>0</v>
      </c>
      <c r="AF926" s="267">
        <f t="shared" si="59"/>
        <v>0</v>
      </c>
      <c r="AG926" s="266">
        <f>IF($Z926="",0,Shares!L926)</f>
        <v>0</v>
      </c>
      <c r="AH926" s="267">
        <f>IF($Z926="",0,Shares!M926)</f>
        <v>0</v>
      </c>
      <c r="AI926" s="243" t="str">
        <f>IF($Z926="","",RANK(AE926,$AE$2:$AE$1001)+COUNTIF($AE$2:AE926,AE926)-1)</f>
        <v/>
      </c>
      <c r="AJ926" s="243" t="str">
        <f>IF($AD926&lt;0,COUNT($AJ$1:AJ925)+1,"")</f>
        <v/>
      </c>
      <c r="AL926" s="243" t="str">
        <f>'All Ticker P&amp;L'!A926</f>
        <v/>
      </c>
      <c r="AM926" s="243" t="str">
        <f>'All Ticker P&amp;L'!B926</f>
        <v/>
      </c>
      <c r="AN926" s="243" t="str">
        <f>'All Ticker P&amp;L'!C926</f>
        <v/>
      </c>
      <c r="AO926" s="243" t="str">
        <f>'All Ticker P&amp;L'!D926</f>
        <v/>
      </c>
      <c r="AP926" s="243">
        <f>IF($AL926="",0,'All Ticker P&amp;L'!E926)</f>
        <v>0</v>
      </c>
      <c r="AQ926" s="266">
        <f>IF($AL926="",0,'All Ticker P&amp;L'!J926*'All Ticker P&amp;L'!I926)</f>
        <v>0</v>
      </c>
      <c r="AR926" s="266">
        <f>IF($AL926="",0,'All Ticker P&amp;L'!L926)</f>
        <v>0</v>
      </c>
      <c r="AS926" s="267">
        <f>IF($AL926="",0,'All Ticker P&amp;L'!M926)</f>
        <v>0</v>
      </c>
      <c r="AT926" s="243" t="str">
        <f>IF($AL926="","",RANK(AR926,$AR$2:$AR$1001)+COUNTIF($AR$2:AR926,AR926)-1)</f>
        <v/>
      </c>
      <c r="AU926" s="243" t="str">
        <f>IF($AL926="","",RANK(AV926,$AV$2:$AV$1001)+COUNTIF($AV$2:AV926,AV926)-1)</f>
        <v/>
      </c>
      <c r="AV926" s="266">
        <f t="shared" si="60"/>
        <v>0</v>
      </c>
    </row>
    <row r="927" spans="26:48" ht="15" customHeight="1" x14ac:dyDescent="0.2">
      <c r="Z927" s="243" t="str">
        <f>Shares!A927</f>
        <v/>
      </c>
      <c r="AA927" s="243" t="str">
        <f>Shares!B927</f>
        <v/>
      </c>
      <c r="AB927" s="243" t="str">
        <f>Shares!C927</f>
        <v/>
      </c>
      <c r="AC927" s="243" t="str">
        <f>Shares!D927</f>
        <v/>
      </c>
      <c r="AD927" s="243">
        <f>IF($Z927="",0,Shares!E927)</f>
        <v>0</v>
      </c>
      <c r="AE927" s="266">
        <f>IF($Z927="",0,Shares!J927*Shares!I927)</f>
        <v>0</v>
      </c>
      <c r="AF927" s="267">
        <f t="shared" si="59"/>
        <v>0</v>
      </c>
      <c r="AG927" s="266">
        <f>IF($Z927="",0,Shares!L927)</f>
        <v>0</v>
      </c>
      <c r="AH927" s="267">
        <f>IF($Z927="",0,Shares!M927)</f>
        <v>0</v>
      </c>
      <c r="AI927" s="243" t="str">
        <f>IF($Z927="","",RANK(AE927,$AE$2:$AE$1001)+COUNTIF($AE$2:AE927,AE927)-1)</f>
        <v/>
      </c>
      <c r="AJ927" s="243" t="str">
        <f>IF($AD927&lt;0,COUNT($AJ$1:AJ926)+1,"")</f>
        <v/>
      </c>
      <c r="AL927" s="243" t="str">
        <f>'All Ticker P&amp;L'!A927</f>
        <v/>
      </c>
      <c r="AM927" s="243" t="str">
        <f>'All Ticker P&amp;L'!B927</f>
        <v/>
      </c>
      <c r="AN927" s="243" t="str">
        <f>'All Ticker P&amp;L'!C927</f>
        <v/>
      </c>
      <c r="AO927" s="243" t="str">
        <f>'All Ticker P&amp;L'!D927</f>
        <v/>
      </c>
      <c r="AP927" s="243">
        <f>IF($AL927="",0,'All Ticker P&amp;L'!E927)</f>
        <v>0</v>
      </c>
      <c r="AQ927" s="266">
        <f>IF($AL927="",0,'All Ticker P&amp;L'!J927*'All Ticker P&amp;L'!I927)</f>
        <v>0</v>
      </c>
      <c r="AR927" s="266">
        <f>IF($AL927="",0,'All Ticker P&amp;L'!L927)</f>
        <v>0</v>
      </c>
      <c r="AS927" s="267">
        <f>IF($AL927="",0,'All Ticker P&amp;L'!M927)</f>
        <v>0</v>
      </c>
      <c r="AT927" s="243" t="str">
        <f>IF($AL927="","",RANK(AR927,$AR$2:$AR$1001)+COUNTIF($AR$2:AR927,AR927)-1)</f>
        <v/>
      </c>
      <c r="AU927" s="243" t="str">
        <f>IF($AL927="","",RANK(AV927,$AV$2:$AV$1001)+COUNTIF($AV$2:AV927,AV927)-1)</f>
        <v/>
      </c>
      <c r="AV927" s="266">
        <f t="shared" si="60"/>
        <v>0</v>
      </c>
    </row>
    <row r="928" spans="26:48" ht="15" customHeight="1" x14ac:dyDescent="0.2">
      <c r="Z928" s="243" t="str">
        <f>Shares!A928</f>
        <v/>
      </c>
      <c r="AA928" s="243" t="str">
        <f>Shares!B928</f>
        <v/>
      </c>
      <c r="AB928" s="243" t="str">
        <f>Shares!C928</f>
        <v/>
      </c>
      <c r="AC928" s="243" t="str">
        <f>Shares!D928</f>
        <v/>
      </c>
      <c r="AD928" s="243">
        <f>IF($Z928="",0,Shares!E928)</f>
        <v>0</v>
      </c>
      <c r="AE928" s="266">
        <f>IF($Z928="",0,Shares!J928*Shares!I928)</f>
        <v>0</v>
      </c>
      <c r="AF928" s="267">
        <f t="shared" si="59"/>
        <v>0</v>
      </c>
      <c r="AG928" s="266">
        <f>IF($Z928="",0,Shares!L928)</f>
        <v>0</v>
      </c>
      <c r="AH928" s="267">
        <f>IF($Z928="",0,Shares!M928)</f>
        <v>0</v>
      </c>
      <c r="AI928" s="243" t="str">
        <f>IF($Z928="","",RANK(AE928,$AE$2:$AE$1001)+COUNTIF($AE$2:AE928,AE928)-1)</f>
        <v/>
      </c>
      <c r="AJ928" s="243" t="str">
        <f>IF($AD928&lt;0,COUNT($AJ$1:AJ927)+1,"")</f>
        <v/>
      </c>
      <c r="AL928" s="243" t="str">
        <f>'All Ticker P&amp;L'!A928</f>
        <v/>
      </c>
      <c r="AM928" s="243" t="str">
        <f>'All Ticker P&amp;L'!B928</f>
        <v/>
      </c>
      <c r="AN928" s="243" t="str">
        <f>'All Ticker P&amp;L'!C928</f>
        <v/>
      </c>
      <c r="AO928" s="243" t="str">
        <f>'All Ticker P&amp;L'!D928</f>
        <v/>
      </c>
      <c r="AP928" s="243">
        <f>IF($AL928="",0,'All Ticker P&amp;L'!E928)</f>
        <v>0</v>
      </c>
      <c r="AQ928" s="266">
        <f>IF($AL928="",0,'All Ticker P&amp;L'!J928*'All Ticker P&amp;L'!I928)</f>
        <v>0</v>
      </c>
      <c r="AR928" s="266">
        <f>IF($AL928="",0,'All Ticker P&amp;L'!L928)</f>
        <v>0</v>
      </c>
      <c r="AS928" s="267">
        <f>IF($AL928="",0,'All Ticker P&amp;L'!M928)</f>
        <v>0</v>
      </c>
      <c r="AT928" s="243" t="str">
        <f>IF($AL928="","",RANK(AR928,$AR$2:$AR$1001)+COUNTIF($AR$2:AR928,AR928)-1)</f>
        <v/>
      </c>
      <c r="AU928" s="243" t="str">
        <f>IF($AL928="","",RANK(AV928,$AV$2:$AV$1001)+COUNTIF($AV$2:AV928,AV928)-1)</f>
        <v/>
      </c>
      <c r="AV928" s="266">
        <f t="shared" si="60"/>
        <v>0</v>
      </c>
    </row>
    <row r="929" spans="26:48" ht="15" customHeight="1" x14ac:dyDescent="0.2">
      <c r="Z929" s="243" t="str">
        <f>Shares!A929</f>
        <v/>
      </c>
      <c r="AA929" s="243" t="str">
        <f>Shares!B929</f>
        <v/>
      </c>
      <c r="AB929" s="243" t="str">
        <f>Shares!C929</f>
        <v/>
      </c>
      <c r="AC929" s="243" t="str">
        <f>Shares!D929</f>
        <v/>
      </c>
      <c r="AD929" s="243">
        <f>IF($Z929="",0,Shares!E929)</f>
        <v>0</v>
      </c>
      <c r="AE929" s="266">
        <f>IF($Z929="",0,Shares!J929*Shares!I929)</f>
        <v>0</v>
      </c>
      <c r="AF929" s="267">
        <f t="shared" si="59"/>
        <v>0</v>
      </c>
      <c r="AG929" s="266">
        <f>IF($Z929="",0,Shares!L929)</f>
        <v>0</v>
      </c>
      <c r="AH929" s="267">
        <f>IF($Z929="",0,Shares!M929)</f>
        <v>0</v>
      </c>
      <c r="AI929" s="243" t="str">
        <f>IF($Z929="","",RANK(AE929,$AE$2:$AE$1001)+COUNTIF($AE$2:AE929,AE929)-1)</f>
        <v/>
      </c>
      <c r="AJ929" s="243" t="str">
        <f>IF($AD929&lt;0,COUNT($AJ$1:AJ928)+1,"")</f>
        <v/>
      </c>
      <c r="AL929" s="243" t="str">
        <f>'All Ticker P&amp;L'!A929</f>
        <v/>
      </c>
      <c r="AM929" s="243" t="str">
        <f>'All Ticker P&amp;L'!B929</f>
        <v/>
      </c>
      <c r="AN929" s="243" t="str">
        <f>'All Ticker P&amp;L'!C929</f>
        <v/>
      </c>
      <c r="AO929" s="243" t="str">
        <f>'All Ticker P&amp;L'!D929</f>
        <v/>
      </c>
      <c r="AP929" s="243">
        <f>IF($AL929="",0,'All Ticker P&amp;L'!E929)</f>
        <v>0</v>
      </c>
      <c r="AQ929" s="266">
        <f>IF($AL929="",0,'All Ticker P&amp;L'!J929*'All Ticker P&amp;L'!I929)</f>
        <v>0</v>
      </c>
      <c r="AR929" s="266">
        <f>IF($AL929="",0,'All Ticker P&amp;L'!L929)</f>
        <v>0</v>
      </c>
      <c r="AS929" s="267">
        <f>IF($AL929="",0,'All Ticker P&amp;L'!M929)</f>
        <v>0</v>
      </c>
      <c r="AT929" s="243" t="str">
        <f>IF($AL929="","",RANK(AR929,$AR$2:$AR$1001)+COUNTIF($AR$2:AR929,AR929)-1)</f>
        <v/>
      </c>
      <c r="AU929" s="243" t="str">
        <f>IF($AL929="","",RANK(AV929,$AV$2:$AV$1001)+COUNTIF($AV$2:AV929,AV929)-1)</f>
        <v/>
      </c>
      <c r="AV929" s="266">
        <f t="shared" si="60"/>
        <v>0</v>
      </c>
    </row>
    <row r="930" spans="26:48" ht="15" customHeight="1" x14ac:dyDescent="0.2">
      <c r="Z930" s="243" t="str">
        <f>Shares!A930</f>
        <v/>
      </c>
      <c r="AA930" s="243" t="str">
        <f>Shares!B930</f>
        <v/>
      </c>
      <c r="AB930" s="243" t="str">
        <f>Shares!C930</f>
        <v/>
      </c>
      <c r="AC930" s="243" t="str">
        <f>Shares!D930</f>
        <v/>
      </c>
      <c r="AD930" s="243">
        <f>IF($Z930="",0,Shares!E930)</f>
        <v>0</v>
      </c>
      <c r="AE930" s="266">
        <f>IF($Z930="",0,Shares!J930*Shares!I930)</f>
        <v>0</v>
      </c>
      <c r="AF930" s="267">
        <f t="shared" si="59"/>
        <v>0</v>
      </c>
      <c r="AG930" s="266">
        <f>IF($Z930="",0,Shares!L930)</f>
        <v>0</v>
      </c>
      <c r="AH930" s="267">
        <f>IF($Z930="",0,Shares!M930)</f>
        <v>0</v>
      </c>
      <c r="AI930" s="243" t="str">
        <f>IF($Z930="","",RANK(AE930,$AE$2:$AE$1001)+COUNTIF($AE$2:AE930,AE930)-1)</f>
        <v/>
      </c>
      <c r="AJ930" s="243" t="str">
        <f>IF($AD930&lt;0,COUNT($AJ$1:AJ929)+1,"")</f>
        <v/>
      </c>
      <c r="AL930" s="243" t="str">
        <f>'All Ticker P&amp;L'!A930</f>
        <v/>
      </c>
      <c r="AM930" s="243" t="str">
        <f>'All Ticker P&amp;L'!B930</f>
        <v/>
      </c>
      <c r="AN930" s="243" t="str">
        <f>'All Ticker P&amp;L'!C930</f>
        <v/>
      </c>
      <c r="AO930" s="243" t="str">
        <f>'All Ticker P&amp;L'!D930</f>
        <v/>
      </c>
      <c r="AP930" s="243">
        <f>IF($AL930="",0,'All Ticker P&amp;L'!E930)</f>
        <v>0</v>
      </c>
      <c r="AQ930" s="266">
        <f>IF($AL930="",0,'All Ticker P&amp;L'!J930*'All Ticker P&amp;L'!I930)</f>
        <v>0</v>
      </c>
      <c r="AR930" s="266">
        <f>IF($AL930="",0,'All Ticker P&amp;L'!L930)</f>
        <v>0</v>
      </c>
      <c r="AS930" s="267">
        <f>IF($AL930="",0,'All Ticker P&amp;L'!M930)</f>
        <v>0</v>
      </c>
      <c r="AT930" s="243" t="str">
        <f>IF($AL930="","",RANK(AR930,$AR$2:$AR$1001)+COUNTIF($AR$2:AR930,AR930)-1)</f>
        <v/>
      </c>
      <c r="AU930" s="243" t="str">
        <f>IF($AL930="","",RANK(AV930,$AV$2:$AV$1001)+COUNTIF($AV$2:AV930,AV930)-1)</f>
        <v/>
      </c>
      <c r="AV930" s="266">
        <f t="shared" si="60"/>
        <v>0</v>
      </c>
    </row>
    <row r="931" spans="26:48" ht="15" customHeight="1" x14ac:dyDescent="0.2">
      <c r="Z931" s="243" t="str">
        <f>Shares!A931</f>
        <v/>
      </c>
      <c r="AA931" s="243" t="str">
        <f>Shares!B931</f>
        <v/>
      </c>
      <c r="AB931" s="243" t="str">
        <f>Shares!C931</f>
        <v/>
      </c>
      <c r="AC931" s="243" t="str">
        <f>Shares!D931</f>
        <v/>
      </c>
      <c r="AD931" s="243">
        <f>IF($Z931="",0,Shares!E931)</f>
        <v>0</v>
      </c>
      <c r="AE931" s="266">
        <f>IF($Z931="",0,Shares!J931*Shares!I931)</f>
        <v>0</v>
      </c>
      <c r="AF931" s="267">
        <f t="shared" si="59"/>
        <v>0</v>
      </c>
      <c r="AG931" s="266">
        <f>IF($Z931="",0,Shares!L931)</f>
        <v>0</v>
      </c>
      <c r="AH931" s="267">
        <f>IF($Z931="",0,Shares!M931)</f>
        <v>0</v>
      </c>
      <c r="AI931" s="243" t="str">
        <f>IF($Z931="","",RANK(AE931,$AE$2:$AE$1001)+COUNTIF($AE$2:AE931,AE931)-1)</f>
        <v/>
      </c>
      <c r="AJ931" s="243" t="str">
        <f>IF($AD931&lt;0,COUNT($AJ$1:AJ930)+1,"")</f>
        <v/>
      </c>
      <c r="AL931" s="243" t="str">
        <f>'All Ticker P&amp;L'!A931</f>
        <v/>
      </c>
      <c r="AM931" s="243" t="str">
        <f>'All Ticker P&amp;L'!B931</f>
        <v/>
      </c>
      <c r="AN931" s="243" t="str">
        <f>'All Ticker P&amp;L'!C931</f>
        <v/>
      </c>
      <c r="AO931" s="243" t="str">
        <f>'All Ticker P&amp;L'!D931</f>
        <v/>
      </c>
      <c r="AP931" s="243">
        <f>IF($AL931="",0,'All Ticker P&amp;L'!E931)</f>
        <v>0</v>
      </c>
      <c r="AQ931" s="266">
        <f>IF($AL931="",0,'All Ticker P&amp;L'!J931*'All Ticker P&amp;L'!I931)</f>
        <v>0</v>
      </c>
      <c r="AR931" s="266">
        <f>IF($AL931="",0,'All Ticker P&amp;L'!L931)</f>
        <v>0</v>
      </c>
      <c r="AS931" s="267">
        <f>IF($AL931="",0,'All Ticker P&amp;L'!M931)</f>
        <v>0</v>
      </c>
      <c r="AT931" s="243" t="str">
        <f>IF($AL931="","",RANK(AR931,$AR$2:$AR$1001)+COUNTIF($AR$2:AR931,AR931)-1)</f>
        <v/>
      </c>
      <c r="AU931" s="243" t="str">
        <f>IF($AL931="","",RANK(AV931,$AV$2:$AV$1001)+COUNTIF($AV$2:AV931,AV931)-1)</f>
        <v/>
      </c>
      <c r="AV931" s="266">
        <f t="shared" si="60"/>
        <v>0</v>
      </c>
    </row>
    <row r="932" spans="26:48" ht="15" customHeight="1" x14ac:dyDescent="0.2">
      <c r="Z932" s="243" t="str">
        <f>Shares!A932</f>
        <v/>
      </c>
      <c r="AA932" s="243" t="str">
        <f>Shares!B932</f>
        <v/>
      </c>
      <c r="AB932" s="243" t="str">
        <f>Shares!C932</f>
        <v/>
      </c>
      <c r="AC932" s="243" t="str">
        <f>Shares!D932</f>
        <v/>
      </c>
      <c r="AD932" s="243">
        <f>IF($Z932="",0,Shares!E932)</f>
        <v>0</v>
      </c>
      <c r="AE932" s="266">
        <f>IF($Z932="",0,Shares!J932*Shares!I932)</f>
        <v>0</v>
      </c>
      <c r="AF932" s="267">
        <f t="shared" si="59"/>
        <v>0</v>
      </c>
      <c r="AG932" s="266">
        <f>IF($Z932="",0,Shares!L932)</f>
        <v>0</v>
      </c>
      <c r="AH932" s="267">
        <f>IF($Z932="",0,Shares!M932)</f>
        <v>0</v>
      </c>
      <c r="AI932" s="243" t="str">
        <f>IF($Z932="","",RANK(AE932,$AE$2:$AE$1001)+COUNTIF($AE$2:AE932,AE932)-1)</f>
        <v/>
      </c>
      <c r="AJ932" s="243" t="str">
        <f>IF($AD932&lt;0,COUNT($AJ$1:AJ931)+1,"")</f>
        <v/>
      </c>
      <c r="AL932" s="243" t="str">
        <f>'All Ticker P&amp;L'!A932</f>
        <v/>
      </c>
      <c r="AM932" s="243" t="str">
        <f>'All Ticker P&amp;L'!B932</f>
        <v/>
      </c>
      <c r="AN932" s="243" t="str">
        <f>'All Ticker P&amp;L'!C932</f>
        <v/>
      </c>
      <c r="AO932" s="243" t="str">
        <f>'All Ticker P&amp;L'!D932</f>
        <v/>
      </c>
      <c r="AP932" s="243">
        <f>IF($AL932="",0,'All Ticker P&amp;L'!E932)</f>
        <v>0</v>
      </c>
      <c r="AQ932" s="266">
        <f>IF($AL932="",0,'All Ticker P&amp;L'!J932*'All Ticker P&amp;L'!I932)</f>
        <v>0</v>
      </c>
      <c r="AR932" s="266">
        <f>IF($AL932="",0,'All Ticker P&amp;L'!L932)</f>
        <v>0</v>
      </c>
      <c r="AS932" s="267">
        <f>IF($AL932="",0,'All Ticker P&amp;L'!M932)</f>
        <v>0</v>
      </c>
      <c r="AT932" s="243" t="str">
        <f>IF($AL932="","",RANK(AR932,$AR$2:$AR$1001)+COUNTIF($AR$2:AR932,AR932)-1)</f>
        <v/>
      </c>
      <c r="AU932" s="243" t="str">
        <f>IF($AL932="","",RANK(AV932,$AV$2:$AV$1001)+COUNTIF($AV$2:AV932,AV932)-1)</f>
        <v/>
      </c>
      <c r="AV932" s="266">
        <f t="shared" si="60"/>
        <v>0</v>
      </c>
    </row>
    <row r="933" spans="26:48" ht="15" customHeight="1" x14ac:dyDescent="0.2">
      <c r="Z933" s="243" t="str">
        <f>Shares!A933</f>
        <v/>
      </c>
      <c r="AA933" s="243" t="str">
        <f>Shares!B933</f>
        <v/>
      </c>
      <c r="AB933" s="243" t="str">
        <f>Shares!C933</f>
        <v/>
      </c>
      <c r="AC933" s="243" t="str">
        <f>Shares!D933</f>
        <v/>
      </c>
      <c r="AD933" s="243">
        <f>IF($Z933="",0,Shares!E933)</f>
        <v>0</v>
      </c>
      <c r="AE933" s="266">
        <f>IF($Z933="",0,Shares!J933*Shares!I933)</f>
        <v>0</v>
      </c>
      <c r="AF933" s="267">
        <f t="shared" si="59"/>
        <v>0</v>
      </c>
      <c r="AG933" s="266">
        <f>IF($Z933="",0,Shares!L933)</f>
        <v>0</v>
      </c>
      <c r="AH933" s="267">
        <f>IF($Z933="",0,Shares!M933)</f>
        <v>0</v>
      </c>
      <c r="AI933" s="243" t="str">
        <f>IF($Z933="","",RANK(AE933,$AE$2:$AE$1001)+COUNTIF($AE$2:AE933,AE933)-1)</f>
        <v/>
      </c>
      <c r="AJ933" s="243" t="str">
        <f>IF($AD933&lt;0,COUNT($AJ$1:AJ932)+1,"")</f>
        <v/>
      </c>
      <c r="AL933" s="243" t="str">
        <f>'All Ticker P&amp;L'!A933</f>
        <v/>
      </c>
      <c r="AM933" s="243" t="str">
        <f>'All Ticker P&amp;L'!B933</f>
        <v/>
      </c>
      <c r="AN933" s="243" t="str">
        <f>'All Ticker P&amp;L'!C933</f>
        <v/>
      </c>
      <c r="AO933" s="243" t="str">
        <f>'All Ticker P&amp;L'!D933</f>
        <v/>
      </c>
      <c r="AP933" s="243">
        <f>IF($AL933="",0,'All Ticker P&amp;L'!E933)</f>
        <v>0</v>
      </c>
      <c r="AQ933" s="266">
        <f>IF($AL933="",0,'All Ticker P&amp;L'!J933*'All Ticker P&amp;L'!I933)</f>
        <v>0</v>
      </c>
      <c r="AR933" s="266">
        <f>IF($AL933="",0,'All Ticker P&amp;L'!L933)</f>
        <v>0</v>
      </c>
      <c r="AS933" s="267">
        <f>IF($AL933="",0,'All Ticker P&amp;L'!M933)</f>
        <v>0</v>
      </c>
      <c r="AT933" s="243" t="str">
        <f>IF($AL933="","",RANK(AR933,$AR$2:$AR$1001)+COUNTIF($AR$2:AR933,AR933)-1)</f>
        <v/>
      </c>
      <c r="AU933" s="243" t="str">
        <f>IF($AL933="","",RANK(AV933,$AV$2:$AV$1001)+COUNTIF($AV$2:AV933,AV933)-1)</f>
        <v/>
      </c>
      <c r="AV933" s="266">
        <f t="shared" si="60"/>
        <v>0</v>
      </c>
    </row>
    <row r="934" spans="26:48" ht="15" customHeight="1" x14ac:dyDescent="0.2">
      <c r="Z934" s="243" t="str">
        <f>Shares!A934</f>
        <v/>
      </c>
      <c r="AA934" s="243" t="str">
        <f>Shares!B934</f>
        <v/>
      </c>
      <c r="AB934" s="243" t="str">
        <f>Shares!C934</f>
        <v/>
      </c>
      <c r="AC934" s="243" t="str">
        <f>Shares!D934</f>
        <v/>
      </c>
      <c r="AD934" s="243">
        <f>IF($Z934="",0,Shares!E934)</f>
        <v>0</v>
      </c>
      <c r="AE934" s="266">
        <f>IF($Z934="",0,Shares!J934*Shares!I934)</f>
        <v>0</v>
      </c>
      <c r="AF934" s="267">
        <f t="shared" si="59"/>
        <v>0</v>
      </c>
      <c r="AG934" s="266">
        <f>IF($Z934="",0,Shares!L934)</f>
        <v>0</v>
      </c>
      <c r="AH934" s="267">
        <f>IF($Z934="",0,Shares!M934)</f>
        <v>0</v>
      </c>
      <c r="AI934" s="243" t="str">
        <f>IF($Z934="","",RANK(AE934,$AE$2:$AE$1001)+COUNTIF($AE$2:AE934,AE934)-1)</f>
        <v/>
      </c>
      <c r="AJ934" s="243" t="str">
        <f>IF($AD934&lt;0,COUNT($AJ$1:AJ933)+1,"")</f>
        <v/>
      </c>
      <c r="AL934" s="243" t="str">
        <f>'All Ticker P&amp;L'!A934</f>
        <v/>
      </c>
      <c r="AM934" s="243" t="str">
        <f>'All Ticker P&amp;L'!B934</f>
        <v/>
      </c>
      <c r="AN934" s="243" t="str">
        <f>'All Ticker P&amp;L'!C934</f>
        <v/>
      </c>
      <c r="AO934" s="243" t="str">
        <f>'All Ticker P&amp;L'!D934</f>
        <v/>
      </c>
      <c r="AP934" s="243">
        <f>IF($AL934="",0,'All Ticker P&amp;L'!E934)</f>
        <v>0</v>
      </c>
      <c r="AQ934" s="266">
        <f>IF($AL934="",0,'All Ticker P&amp;L'!J934*'All Ticker P&amp;L'!I934)</f>
        <v>0</v>
      </c>
      <c r="AR934" s="266">
        <f>IF($AL934="",0,'All Ticker P&amp;L'!L934)</f>
        <v>0</v>
      </c>
      <c r="AS934" s="267">
        <f>IF($AL934="",0,'All Ticker P&amp;L'!M934)</f>
        <v>0</v>
      </c>
      <c r="AT934" s="243" t="str">
        <f>IF($AL934="","",RANK(AR934,$AR$2:$AR$1001)+COUNTIF($AR$2:AR934,AR934)-1)</f>
        <v/>
      </c>
      <c r="AU934" s="243" t="str">
        <f>IF($AL934="","",RANK(AV934,$AV$2:$AV$1001)+COUNTIF($AV$2:AV934,AV934)-1)</f>
        <v/>
      </c>
      <c r="AV934" s="266">
        <f t="shared" si="60"/>
        <v>0</v>
      </c>
    </row>
    <row r="935" spans="26:48" ht="15" customHeight="1" x14ac:dyDescent="0.2">
      <c r="Z935" s="243" t="str">
        <f>Shares!A935</f>
        <v/>
      </c>
      <c r="AA935" s="243" t="str">
        <f>Shares!B935</f>
        <v/>
      </c>
      <c r="AB935" s="243" t="str">
        <f>Shares!C935</f>
        <v/>
      </c>
      <c r="AC935" s="243" t="str">
        <f>Shares!D935</f>
        <v/>
      </c>
      <c r="AD935" s="243">
        <f>IF($Z935="",0,Shares!E935)</f>
        <v>0</v>
      </c>
      <c r="AE935" s="266">
        <f>IF($Z935="",0,Shares!J935*Shares!I935)</f>
        <v>0</v>
      </c>
      <c r="AF935" s="267">
        <f t="shared" si="59"/>
        <v>0</v>
      </c>
      <c r="AG935" s="266">
        <f>IF($Z935="",0,Shares!L935)</f>
        <v>0</v>
      </c>
      <c r="AH935" s="267">
        <f>IF($Z935="",0,Shares!M935)</f>
        <v>0</v>
      </c>
      <c r="AI935" s="243" t="str">
        <f>IF($Z935="","",RANK(AE935,$AE$2:$AE$1001)+COUNTIF($AE$2:AE935,AE935)-1)</f>
        <v/>
      </c>
      <c r="AJ935" s="243" t="str">
        <f>IF($AD935&lt;0,COUNT($AJ$1:AJ934)+1,"")</f>
        <v/>
      </c>
      <c r="AL935" s="243" t="str">
        <f>'All Ticker P&amp;L'!A935</f>
        <v/>
      </c>
      <c r="AM935" s="243" t="str">
        <f>'All Ticker P&amp;L'!B935</f>
        <v/>
      </c>
      <c r="AN935" s="243" t="str">
        <f>'All Ticker P&amp;L'!C935</f>
        <v/>
      </c>
      <c r="AO935" s="243" t="str">
        <f>'All Ticker P&amp;L'!D935</f>
        <v/>
      </c>
      <c r="AP935" s="243">
        <f>IF($AL935="",0,'All Ticker P&amp;L'!E935)</f>
        <v>0</v>
      </c>
      <c r="AQ935" s="266">
        <f>IF($AL935="",0,'All Ticker P&amp;L'!J935*'All Ticker P&amp;L'!I935)</f>
        <v>0</v>
      </c>
      <c r="AR935" s="266">
        <f>IF($AL935="",0,'All Ticker P&amp;L'!L935)</f>
        <v>0</v>
      </c>
      <c r="AS935" s="267">
        <f>IF($AL935="",0,'All Ticker P&amp;L'!M935)</f>
        <v>0</v>
      </c>
      <c r="AT935" s="243" t="str">
        <f>IF($AL935="","",RANK(AR935,$AR$2:$AR$1001)+COUNTIF($AR$2:AR935,AR935)-1)</f>
        <v/>
      </c>
      <c r="AU935" s="243" t="str">
        <f>IF($AL935="","",RANK(AV935,$AV$2:$AV$1001)+COUNTIF($AV$2:AV935,AV935)-1)</f>
        <v/>
      </c>
      <c r="AV935" s="266">
        <f t="shared" si="60"/>
        <v>0</v>
      </c>
    </row>
    <row r="936" spans="26:48" ht="15" customHeight="1" x14ac:dyDescent="0.2">
      <c r="Z936" s="243" t="str">
        <f>Shares!A936</f>
        <v/>
      </c>
      <c r="AA936" s="243" t="str">
        <f>Shares!B936</f>
        <v/>
      </c>
      <c r="AB936" s="243" t="str">
        <f>Shares!C936</f>
        <v/>
      </c>
      <c r="AC936" s="243" t="str">
        <f>Shares!D936</f>
        <v/>
      </c>
      <c r="AD936" s="243">
        <f>IF($Z936="",0,Shares!E936)</f>
        <v>0</v>
      </c>
      <c r="AE936" s="266">
        <f>IF($Z936="",0,Shares!J936*Shares!I936)</f>
        <v>0</v>
      </c>
      <c r="AF936" s="267">
        <f t="shared" si="59"/>
        <v>0</v>
      </c>
      <c r="AG936" s="266">
        <f>IF($Z936="",0,Shares!L936)</f>
        <v>0</v>
      </c>
      <c r="AH936" s="267">
        <f>IF($Z936="",0,Shares!M936)</f>
        <v>0</v>
      </c>
      <c r="AI936" s="243" t="str">
        <f>IF($Z936="","",RANK(AE936,$AE$2:$AE$1001)+COUNTIF($AE$2:AE936,AE936)-1)</f>
        <v/>
      </c>
      <c r="AJ936" s="243" t="str">
        <f>IF($AD936&lt;0,COUNT($AJ$1:AJ935)+1,"")</f>
        <v/>
      </c>
      <c r="AL936" s="243" t="str">
        <f>'All Ticker P&amp;L'!A936</f>
        <v/>
      </c>
      <c r="AM936" s="243" t="str">
        <f>'All Ticker P&amp;L'!B936</f>
        <v/>
      </c>
      <c r="AN936" s="243" t="str">
        <f>'All Ticker P&amp;L'!C936</f>
        <v/>
      </c>
      <c r="AO936" s="243" t="str">
        <f>'All Ticker P&amp;L'!D936</f>
        <v/>
      </c>
      <c r="AP936" s="243">
        <f>IF($AL936="",0,'All Ticker P&amp;L'!E936)</f>
        <v>0</v>
      </c>
      <c r="AQ936" s="266">
        <f>IF($AL936="",0,'All Ticker P&amp;L'!J936*'All Ticker P&amp;L'!I936)</f>
        <v>0</v>
      </c>
      <c r="AR936" s="266">
        <f>IF($AL936="",0,'All Ticker P&amp;L'!L936)</f>
        <v>0</v>
      </c>
      <c r="AS936" s="267">
        <f>IF($AL936="",0,'All Ticker P&amp;L'!M936)</f>
        <v>0</v>
      </c>
      <c r="AT936" s="243" t="str">
        <f>IF($AL936="","",RANK(AR936,$AR$2:$AR$1001)+COUNTIF($AR$2:AR936,AR936)-1)</f>
        <v/>
      </c>
      <c r="AU936" s="243" t="str">
        <f>IF($AL936="","",RANK(AV936,$AV$2:$AV$1001)+COUNTIF($AV$2:AV936,AV936)-1)</f>
        <v/>
      </c>
      <c r="AV936" s="266">
        <f t="shared" si="60"/>
        <v>0</v>
      </c>
    </row>
    <row r="937" spans="26:48" ht="15" customHeight="1" x14ac:dyDescent="0.2">
      <c r="Z937" s="243" t="str">
        <f>Shares!A937</f>
        <v/>
      </c>
      <c r="AA937" s="243" t="str">
        <f>Shares!B937</f>
        <v/>
      </c>
      <c r="AB937" s="243" t="str">
        <f>Shares!C937</f>
        <v/>
      </c>
      <c r="AC937" s="243" t="str">
        <f>Shares!D937</f>
        <v/>
      </c>
      <c r="AD937" s="243">
        <f>IF($Z937="",0,Shares!E937)</f>
        <v>0</v>
      </c>
      <c r="AE937" s="266">
        <f>IF($Z937="",0,Shares!J937*Shares!I937)</f>
        <v>0</v>
      </c>
      <c r="AF937" s="267">
        <f t="shared" si="59"/>
        <v>0</v>
      </c>
      <c r="AG937" s="266">
        <f>IF($Z937="",0,Shares!L937)</f>
        <v>0</v>
      </c>
      <c r="AH937" s="267">
        <f>IF($Z937="",0,Shares!M937)</f>
        <v>0</v>
      </c>
      <c r="AI937" s="243" t="str">
        <f>IF($Z937="","",RANK(AE937,$AE$2:$AE$1001)+COUNTIF($AE$2:AE937,AE937)-1)</f>
        <v/>
      </c>
      <c r="AJ937" s="243" t="str">
        <f>IF($AD937&lt;0,COUNT($AJ$1:AJ936)+1,"")</f>
        <v/>
      </c>
      <c r="AL937" s="243" t="str">
        <f>'All Ticker P&amp;L'!A937</f>
        <v/>
      </c>
      <c r="AM937" s="243" t="str">
        <f>'All Ticker P&amp;L'!B937</f>
        <v/>
      </c>
      <c r="AN937" s="243" t="str">
        <f>'All Ticker P&amp;L'!C937</f>
        <v/>
      </c>
      <c r="AO937" s="243" t="str">
        <f>'All Ticker P&amp;L'!D937</f>
        <v/>
      </c>
      <c r="AP937" s="243">
        <f>IF($AL937="",0,'All Ticker P&amp;L'!E937)</f>
        <v>0</v>
      </c>
      <c r="AQ937" s="266">
        <f>IF($AL937="",0,'All Ticker P&amp;L'!J937*'All Ticker P&amp;L'!I937)</f>
        <v>0</v>
      </c>
      <c r="AR937" s="266">
        <f>IF($AL937="",0,'All Ticker P&amp;L'!L937)</f>
        <v>0</v>
      </c>
      <c r="AS937" s="267">
        <f>IF($AL937="",0,'All Ticker P&amp;L'!M937)</f>
        <v>0</v>
      </c>
      <c r="AT937" s="243" t="str">
        <f>IF($AL937="","",RANK(AR937,$AR$2:$AR$1001)+COUNTIF($AR$2:AR937,AR937)-1)</f>
        <v/>
      </c>
      <c r="AU937" s="243" t="str">
        <f>IF($AL937="","",RANK(AV937,$AV$2:$AV$1001)+COUNTIF($AV$2:AV937,AV937)-1)</f>
        <v/>
      </c>
      <c r="AV937" s="266">
        <f t="shared" si="60"/>
        <v>0</v>
      </c>
    </row>
    <row r="938" spans="26:48" ht="15" customHeight="1" x14ac:dyDescent="0.2">
      <c r="Z938" s="243" t="str">
        <f>Shares!A938</f>
        <v/>
      </c>
      <c r="AA938" s="243" t="str">
        <f>Shares!B938</f>
        <v/>
      </c>
      <c r="AB938" s="243" t="str">
        <f>Shares!C938</f>
        <v/>
      </c>
      <c r="AC938" s="243" t="str">
        <f>Shares!D938</f>
        <v/>
      </c>
      <c r="AD938" s="243">
        <f>IF($Z938="",0,Shares!E938)</f>
        <v>0</v>
      </c>
      <c r="AE938" s="266">
        <f>IF($Z938="",0,Shares!J938*Shares!I938)</f>
        <v>0</v>
      </c>
      <c r="AF938" s="267">
        <f t="shared" si="59"/>
        <v>0</v>
      </c>
      <c r="AG938" s="266">
        <f>IF($Z938="",0,Shares!L938)</f>
        <v>0</v>
      </c>
      <c r="AH938" s="267">
        <f>IF($Z938="",0,Shares!M938)</f>
        <v>0</v>
      </c>
      <c r="AI938" s="243" t="str">
        <f>IF($Z938="","",RANK(AE938,$AE$2:$AE$1001)+COUNTIF($AE$2:AE938,AE938)-1)</f>
        <v/>
      </c>
      <c r="AJ938" s="243" t="str">
        <f>IF($AD938&lt;0,COUNT($AJ$1:AJ937)+1,"")</f>
        <v/>
      </c>
      <c r="AL938" s="243" t="str">
        <f>'All Ticker P&amp;L'!A938</f>
        <v/>
      </c>
      <c r="AM938" s="243" t="str">
        <f>'All Ticker P&amp;L'!B938</f>
        <v/>
      </c>
      <c r="AN938" s="243" t="str">
        <f>'All Ticker P&amp;L'!C938</f>
        <v/>
      </c>
      <c r="AO938" s="243" t="str">
        <f>'All Ticker P&amp;L'!D938</f>
        <v/>
      </c>
      <c r="AP938" s="243">
        <f>IF($AL938="",0,'All Ticker P&amp;L'!E938)</f>
        <v>0</v>
      </c>
      <c r="AQ938" s="266">
        <f>IF($AL938="",0,'All Ticker P&amp;L'!J938*'All Ticker P&amp;L'!I938)</f>
        <v>0</v>
      </c>
      <c r="AR938" s="266">
        <f>IF($AL938="",0,'All Ticker P&amp;L'!L938)</f>
        <v>0</v>
      </c>
      <c r="AS938" s="267">
        <f>IF($AL938="",0,'All Ticker P&amp;L'!M938)</f>
        <v>0</v>
      </c>
      <c r="AT938" s="243" t="str">
        <f>IF($AL938="","",RANK(AR938,$AR$2:$AR$1001)+COUNTIF($AR$2:AR938,AR938)-1)</f>
        <v/>
      </c>
      <c r="AU938" s="243" t="str">
        <f>IF($AL938="","",RANK(AV938,$AV$2:$AV$1001)+COUNTIF($AV$2:AV938,AV938)-1)</f>
        <v/>
      </c>
      <c r="AV938" s="266">
        <f t="shared" si="60"/>
        <v>0</v>
      </c>
    </row>
    <row r="939" spans="26:48" ht="15" customHeight="1" x14ac:dyDescent="0.2">
      <c r="Z939" s="243" t="str">
        <f>Shares!A939</f>
        <v/>
      </c>
      <c r="AA939" s="243" t="str">
        <f>Shares!B939</f>
        <v/>
      </c>
      <c r="AB939" s="243" t="str">
        <f>Shares!C939</f>
        <v/>
      </c>
      <c r="AC939" s="243" t="str">
        <f>Shares!D939</f>
        <v/>
      </c>
      <c r="AD939" s="243">
        <f>IF($Z939="",0,Shares!E939)</f>
        <v>0</v>
      </c>
      <c r="AE939" s="266">
        <f>IF($Z939="",0,Shares!J939*Shares!I939)</f>
        <v>0</v>
      </c>
      <c r="AF939" s="267">
        <f t="shared" si="59"/>
        <v>0</v>
      </c>
      <c r="AG939" s="266">
        <f>IF($Z939="",0,Shares!L939)</f>
        <v>0</v>
      </c>
      <c r="AH939" s="267">
        <f>IF($Z939="",0,Shares!M939)</f>
        <v>0</v>
      </c>
      <c r="AI939" s="243" t="str">
        <f>IF($Z939="","",RANK(AE939,$AE$2:$AE$1001)+COUNTIF($AE$2:AE939,AE939)-1)</f>
        <v/>
      </c>
      <c r="AJ939" s="243" t="str">
        <f>IF($AD939&lt;0,COUNT($AJ$1:AJ938)+1,"")</f>
        <v/>
      </c>
      <c r="AL939" s="243" t="str">
        <f>'All Ticker P&amp;L'!A939</f>
        <v/>
      </c>
      <c r="AM939" s="243" t="str">
        <f>'All Ticker P&amp;L'!B939</f>
        <v/>
      </c>
      <c r="AN939" s="243" t="str">
        <f>'All Ticker P&amp;L'!C939</f>
        <v/>
      </c>
      <c r="AO939" s="243" t="str">
        <f>'All Ticker P&amp;L'!D939</f>
        <v/>
      </c>
      <c r="AP939" s="243">
        <f>IF($AL939="",0,'All Ticker P&amp;L'!E939)</f>
        <v>0</v>
      </c>
      <c r="AQ939" s="266">
        <f>IF($AL939="",0,'All Ticker P&amp;L'!J939*'All Ticker P&amp;L'!I939)</f>
        <v>0</v>
      </c>
      <c r="AR939" s="266">
        <f>IF($AL939="",0,'All Ticker P&amp;L'!L939)</f>
        <v>0</v>
      </c>
      <c r="AS939" s="267">
        <f>IF($AL939="",0,'All Ticker P&amp;L'!M939)</f>
        <v>0</v>
      </c>
      <c r="AT939" s="243" t="str">
        <f>IF($AL939="","",RANK(AR939,$AR$2:$AR$1001)+COUNTIF($AR$2:AR939,AR939)-1)</f>
        <v/>
      </c>
      <c r="AU939" s="243" t="str">
        <f>IF($AL939="","",RANK(AV939,$AV$2:$AV$1001)+COUNTIF($AV$2:AV939,AV939)-1)</f>
        <v/>
      </c>
      <c r="AV939" s="266">
        <f t="shared" si="60"/>
        <v>0</v>
      </c>
    </row>
    <row r="940" spans="26:48" ht="15" customHeight="1" x14ac:dyDescent="0.2">
      <c r="Z940" s="243" t="str">
        <f>Shares!A940</f>
        <v/>
      </c>
      <c r="AA940" s="243" t="str">
        <f>Shares!B940</f>
        <v/>
      </c>
      <c r="AB940" s="243" t="str">
        <f>Shares!C940</f>
        <v/>
      </c>
      <c r="AC940" s="243" t="str">
        <f>Shares!D940</f>
        <v/>
      </c>
      <c r="AD940" s="243">
        <f>IF($Z940="",0,Shares!E940)</f>
        <v>0</v>
      </c>
      <c r="AE940" s="266">
        <f>IF($Z940="",0,Shares!J940*Shares!I940)</f>
        <v>0</v>
      </c>
      <c r="AF940" s="267">
        <f t="shared" si="59"/>
        <v>0</v>
      </c>
      <c r="AG940" s="266">
        <f>IF($Z940="",0,Shares!L940)</f>
        <v>0</v>
      </c>
      <c r="AH940" s="267">
        <f>IF($Z940="",0,Shares!M940)</f>
        <v>0</v>
      </c>
      <c r="AI940" s="243" t="str">
        <f>IF($Z940="","",RANK(AE940,$AE$2:$AE$1001)+COUNTIF($AE$2:AE940,AE940)-1)</f>
        <v/>
      </c>
      <c r="AJ940" s="243" t="str">
        <f>IF($AD940&lt;0,COUNT($AJ$1:AJ939)+1,"")</f>
        <v/>
      </c>
      <c r="AL940" s="243" t="str">
        <f>'All Ticker P&amp;L'!A940</f>
        <v/>
      </c>
      <c r="AM940" s="243" t="str">
        <f>'All Ticker P&amp;L'!B940</f>
        <v/>
      </c>
      <c r="AN940" s="243" t="str">
        <f>'All Ticker P&amp;L'!C940</f>
        <v/>
      </c>
      <c r="AO940" s="243" t="str">
        <f>'All Ticker P&amp;L'!D940</f>
        <v/>
      </c>
      <c r="AP940" s="243">
        <f>IF($AL940="",0,'All Ticker P&amp;L'!E940)</f>
        <v>0</v>
      </c>
      <c r="AQ940" s="266">
        <f>IF($AL940="",0,'All Ticker P&amp;L'!J940*'All Ticker P&amp;L'!I940)</f>
        <v>0</v>
      </c>
      <c r="AR940" s="266">
        <f>IF($AL940="",0,'All Ticker P&amp;L'!L940)</f>
        <v>0</v>
      </c>
      <c r="AS940" s="267">
        <f>IF($AL940="",0,'All Ticker P&amp;L'!M940)</f>
        <v>0</v>
      </c>
      <c r="AT940" s="243" t="str">
        <f>IF($AL940="","",RANK(AR940,$AR$2:$AR$1001)+COUNTIF($AR$2:AR940,AR940)-1)</f>
        <v/>
      </c>
      <c r="AU940" s="243" t="str">
        <f>IF($AL940="","",RANK(AV940,$AV$2:$AV$1001)+COUNTIF($AV$2:AV940,AV940)-1)</f>
        <v/>
      </c>
      <c r="AV940" s="266">
        <f t="shared" si="60"/>
        <v>0</v>
      </c>
    </row>
    <row r="941" spans="26:48" ht="15" customHeight="1" x14ac:dyDescent="0.2">
      <c r="Z941" s="243" t="str">
        <f>Shares!A941</f>
        <v/>
      </c>
      <c r="AA941" s="243" t="str">
        <f>Shares!B941</f>
        <v/>
      </c>
      <c r="AB941" s="243" t="str">
        <f>Shares!C941</f>
        <v/>
      </c>
      <c r="AC941" s="243" t="str">
        <f>Shares!D941</f>
        <v/>
      </c>
      <c r="AD941" s="243">
        <f>IF($Z941="",0,Shares!E941)</f>
        <v>0</v>
      </c>
      <c r="AE941" s="266">
        <f>IF($Z941="",0,Shares!J941*Shares!I941)</f>
        <v>0</v>
      </c>
      <c r="AF941" s="267">
        <f t="shared" si="59"/>
        <v>0</v>
      </c>
      <c r="AG941" s="266">
        <f>IF($Z941="",0,Shares!L941)</f>
        <v>0</v>
      </c>
      <c r="AH941" s="267">
        <f>IF($Z941="",0,Shares!M941)</f>
        <v>0</v>
      </c>
      <c r="AI941" s="243" t="str">
        <f>IF($Z941="","",RANK(AE941,$AE$2:$AE$1001)+COUNTIF($AE$2:AE941,AE941)-1)</f>
        <v/>
      </c>
      <c r="AJ941" s="243" t="str">
        <f>IF($AD941&lt;0,COUNT($AJ$1:AJ940)+1,"")</f>
        <v/>
      </c>
      <c r="AL941" s="243" t="str">
        <f>'All Ticker P&amp;L'!A941</f>
        <v/>
      </c>
      <c r="AM941" s="243" t="str">
        <f>'All Ticker P&amp;L'!B941</f>
        <v/>
      </c>
      <c r="AN941" s="243" t="str">
        <f>'All Ticker P&amp;L'!C941</f>
        <v/>
      </c>
      <c r="AO941" s="243" t="str">
        <f>'All Ticker P&amp;L'!D941</f>
        <v/>
      </c>
      <c r="AP941" s="243">
        <f>IF($AL941="",0,'All Ticker P&amp;L'!E941)</f>
        <v>0</v>
      </c>
      <c r="AQ941" s="266">
        <f>IF($AL941="",0,'All Ticker P&amp;L'!J941*'All Ticker P&amp;L'!I941)</f>
        <v>0</v>
      </c>
      <c r="AR941" s="266">
        <f>IF($AL941="",0,'All Ticker P&amp;L'!L941)</f>
        <v>0</v>
      </c>
      <c r="AS941" s="267">
        <f>IF($AL941="",0,'All Ticker P&amp;L'!M941)</f>
        <v>0</v>
      </c>
      <c r="AT941" s="243" t="str">
        <f>IF($AL941="","",RANK(AR941,$AR$2:$AR$1001)+COUNTIF($AR$2:AR941,AR941)-1)</f>
        <v/>
      </c>
      <c r="AU941" s="243" t="str">
        <f>IF($AL941="","",RANK(AV941,$AV$2:$AV$1001)+COUNTIF($AV$2:AV941,AV941)-1)</f>
        <v/>
      </c>
      <c r="AV941" s="266">
        <f t="shared" si="60"/>
        <v>0</v>
      </c>
    </row>
    <row r="942" spans="26:48" ht="15" customHeight="1" x14ac:dyDescent="0.2">
      <c r="Z942" s="243" t="str">
        <f>Shares!A942</f>
        <v/>
      </c>
      <c r="AA942" s="243" t="str">
        <f>Shares!B942</f>
        <v/>
      </c>
      <c r="AB942" s="243" t="str">
        <f>Shares!C942</f>
        <v/>
      </c>
      <c r="AC942" s="243" t="str">
        <f>Shares!D942</f>
        <v/>
      </c>
      <c r="AD942" s="243">
        <f>IF($Z942="",0,Shares!E942)</f>
        <v>0</v>
      </c>
      <c r="AE942" s="266">
        <f>IF($Z942="",0,Shares!J942*Shares!I942)</f>
        <v>0</v>
      </c>
      <c r="AF942" s="267">
        <f t="shared" si="59"/>
        <v>0</v>
      </c>
      <c r="AG942" s="266">
        <f>IF($Z942="",0,Shares!L942)</f>
        <v>0</v>
      </c>
      <c r="AH942" s="267">
        <f>IF($Z942="",0,Shares!M942)</f>
        <v>0</v>
      </c>
      <c r="AI942" s="243" t="str">
        <f>IF($Z942="","",RANK(AE942,$AE$2:$AE$1001)+COUNTIF($AE$2:AE942,AE942)-1)</f>
        <v/>
      </c>
      <c r="AJ942" s="243" t="str">
        <f>IF($AD942&lt;0,COUNT($AJ$1:AJ941)+1,"")</f>
        <v/>
      </c>
      <c r="AL942" s="243" t="str">
        <f>'All Ticker P&amp;L'!A942</f>
        <v/>
      </c>
      <c r="AM942" s="243" t="str">
        <f>'All Ticker P&amp;L'!B942</f>
        <v/>
      </c>
      <c r="AN942" s="243" t="str">
        <f>'All Ticker P&amp;L'!C942</f>
        <v/>
      </c>
      <c r="AO942" s="243" t="str">
        <f>'All Ticker P&amp;L'!D942</f>
        <v/>
      </c>
      <c r="AP942" s="243">
        <f>IF($AL942="",0,'All Ticker P&amp;L'!E942)</f>
        <v>0</v>
      </c>
      <c r="AQ942" s="266">
        <f>IF($AL942="",0,'All Ticker P&amp;L'!J942*'All Ticker P&amp;L'!I942)</f>
        <v>0</v>
      </c>
      <c r="AR942" s="266">
        <f>IF($AL942="",0,'All Ticker P&amp;L'!L942)</f>
        <v>0</v>
      </c>
      <c r="AS942" s="267">
        <f>IF($AL942="",0,'All Ticker P&amp;L'!M942)</f>
        <v>0</v>
      </c>
      <c r="AT942" s="243" t="str">
        <f>IF($AL942="","",RANK(AR942,$AR$2:$AR$1001)+COUNTIF($AR$2:AR942,AR942)-1)</f>
        <v/>
      </c>
      <c r="AU942" s="243" t="str">
        <f>IF($AL942="","",RANK(AV942,$AV$2:$AV$1001)+COUNTIF($AV$2:AV942,AV942)-1)</f>
        <v/>
      </c>
      <c r="AV942" s="266">
        <f t="shared" si="60"/>
        <v>0</v>
      </c>
    </row>
    <row r="943" spans="26:48" ht="15" customHeight="1" x14ac:dyDescent="0.2">
      <c r="Z943" s="243" t="str">
        <f>Shares!A943</f>
        <v/>
      </c>
      <c r="AA943" s="243" t="str">
        <f>Shares!B943</f>
        <v/>
      </c>
      <c r="AB943" s="243" t="str">
        <f>Shares!C943</f>
        <v/>
      </c>
      <c r="AC943" s="243" t="str">
        <f>Shares!D943</f>
        <v/>
      </c>
      <c r="AD943" s="243">
        <f>IF($Z943="",0,Shares!E943)</f>
        <v>0</v>
      </c>
      <c r="AE943" s="266">
        <f>IF($Z943="",0,Shares!J943*Shares!I943)</f>
        <v>0</v>
      </c>
      <c r="AF943" s="267">
        <f t="shared" si="59"/>
        <v>0</v>
      </c>
      <c r="AG943" s="266">
        <f>IF($Z943="",0,Shares!L943)</f>
        <v>0</v>
      </c>
      <c r="AH943" s="267">
        <f>IF($Z943="",0,Shares!M943)</f>
        <v>0</v>
      </c>
      <c r="AI943" s="243" t="str">
        <f>IF($Z943="","",RANK(AE943,$AE$2:$AE$1001)+COUNTIF($AE$2:AE943,AE943)-1)</f>
        <v/>
      </c>
      <c r="AJ943" s="243" t="str">
        <f>IF($AD943&lt;0,COUNT($AJ$1:AJ942)+1,"")</f>
        <v/>
      </c>
      <c r="AL943" s="243" t="str">
        <f>'All Ticker P&amp;L'!A943</f>
        <v/>
      </c>
      <c r="AM943" s="243" t="str">
        <f>'All Ticker P&amp;L'!B943</f>
        <v/>
      </c>
      <c r="AN943" s="243" t="str">
        <f>'All Ticker P&amp;L'!C943</f>
        <v/>
      </c>
      <c r="AO943" s="243" t="str">
        <f>'All Ticker P&amp;L'!D943</f>
        <v/>
      </c>
      <c r="AP943" s="243">
        <f>IF($AL943="",0,'All Ticker P&amp;L'!E943)</f>
        <v>0</v>
      </c>
      <c r="AQ943" s="266">
        <f>IF($AL943="",0,'All Ticker P&amp;L'!J943*'All Ticker P&amp;L'!I943)</f>
        <v>0</v>
      </c>
      <c r="AR943" s="266">
        <f>IF($AL943="",0,'All Ticker P&amp;L'!L943)</f>
        <v>0</v>
      </c>
      <c r="AS943" s="267">
        <f>IF($AL943="",0,'All Ticker P&amp;L'!M943)</f>
        <v>0</v>
      </c>
      <c r="AT943" s="243" t="str">
        <f>IF($AL943="","",RANK(AR943,$AR$2:$AR$1001)+COUNTIF($AR$2:AR943,AR943)-1)</f>
        <v/>
      </c>
      <c r="AU943" s="243" t="str">
        <f>IF($AL943="","",RANK(AV943,$AV$2:$AV$1001)+COUNTIF($AV$2:AV943,AV943)-1)</f>
        <v/>
      </c>
      <c r="AV943" s="266">
        <f t="shared" si="60"/>
        <v>0</v>
      </c>
    </row>
    <row r="944" spans="26:48" ht="15" customHeight="1" x14ac:dyDescent="0.2">
      <c r="Z944" s="243" t="str">
        <f>Shares!A944</f>
        <v/>
      </c>
      <c r="AA944" s="243" t="str">
        <f>Shares!B944</f>
        <v/>
      </c>
      <c r="AB944" s="243" t="str">
        <f>Shares!C944</f>
        <v/>
      </c>
      <c r="AC944" s="243" t="str">
        <f>Shares!D944</f>
        <v/>
      </c>
      <c r="AD944" s="243">
        <f>IF($Z944="",0,Shares!E944)</f>
        <v>0</v>
      </c>
      <c r="AE944" s="266">
        <f>IF($Z944="",0,Shares!J944*Shares!I944)</f>
        <v>0</v>
      </c>
      <c r="AF944" s="267">
        <f t="shared" si="59"/>
        <v>0</v>
      </c>
      <c r="AG944" s="266">
        <f>IF($Z944="",0,Shares!L944)</f>
        <v>0</v>
      </c>
      <c r="AH944" s="267">
        <f>IF($Z944="",0,Shares!M944)</f>
        <v>0</v>
      </c>
      <c r="AI944" s="243" t="str">
        <f>IF($Z944="","",RANK(AE944,$AE$2:$AE$1001)+COUNTIF($AE$2:AE944,AE944)-1)</f>
        <v/>
      </c>
      <c r="AJ944" s="243" t="str">
        <f>IF($AD944&lt;0,COUNT($AJ$1:AJ943)+1,"")</f>
        <v/>
      </c>
      <c r="AL944" s="243" t="str">
        <f>'All Ticker P&amp;L'!A944</f>
        <v/>
      </c>
      <c r="AM944" s="243" t="str">
        <f>'All Ticker P&amp;L'!B944</f>
        <v/>
      </c>
      <c r="AN944" s="243" t="str">
        <f>'All Ticker P&amp;L'!C944</f>
        <v/>
      </c>
      <c r="AO944" s="243" t="str">
        <f>'All Ticker P&amp;L'!D944</f>
        <v/>
      </c>
      <c r="AP944" s="243">
        <f>IF($AL944="",0,'All Ticker P&amp;L'!E944)</f>
        <v>0</v>
      </c>
      <c r="AQ944" s="266">
        <f>IF($AL944="",0,'All Ticker P&amp;L'!J944*'All Ticker P&amp;L'!I944)</f>
        <v>0</v>
      </c>
      <c r="AR944" s="266">
        <f>IF($AL944="",0,'All Ticker P&amp;L'!L944)</f>
        <v>0</v>
      </c>
      <c r="AS944" s="267">
        <f>IF($AL944="",0,'All Ticker P&amp;L'!M944)</f>
        <v>0</v>
      </c>
      <c r="AT944" s="243" t="str">
        <f>IF($AL944="","",RANK(AR944,$AR$2:$AR$1001)+COUNTIF($AR$2:AR944,AR944)-1)</f>
        <v/>
      </c>
      <c r="AU944" s="243" t="str">
        <f>IF($AL944="","",RANK(AV944,$AV$2:$AV$1001)+COUNTIF($AV$2:AV944,AV944)-1)</f>
        <v/>
      </c>
      <c r="AV944" s="266">
        <f t="shared" si="60"/>
        <v>0</v>
      </c>
    </row>
    <row r="945" spans="26:48" ht="15" customHeight="1" x14ac:dyDescent="0.2">
      <c r="Z945" s="243" t="str">
        <f>Shares!A945</f>
        <v/>
      </c>
      <c r="AA945" s="243" t="str">
        <f>Shares!B945</f>
        <v/>
      </c>
      <c r="AB945" s="243" t="str">
        <f>Shares!C945</f>
        <v/>
      </c>
      <c r="AC945" s="243" t="str">
        <f>Shares!D945</f>
        <v/>
      </c>
      <c r="AD945" s="243">
        <f>IF($Z945="",0,Shares!E945)</f>
        <v>0</v>
      </c>
      <c r="AE945" s="266">
        <f>IF($Z945="",0,Shares!J945*Shares!I945)</f>
        <v>0</v>
      </c>
      <c r="AF945" s="267">
        <f t="shared" si="59"/>
        <v>0</v>
      </c>
      <c r="AG945" s="266">
        <f>IF($Z945="",0,Shares!L945)</f>
        <v>0</v>
      </c>
      <c r="AH945" s="267">
        <f>IF($Z945="",0,Shares!M945)</f>
        <v>0</v>
      </c>
      <c r="AI945" s="243" t="str">
        <f>IF($Z945="","",RANK(AE945,$AE$2:$AE$1001)+COUNTIF($AE$2:AE945,AE945)-1)</f>
        <v/>
      </c>
      <c r="AJ945" s="243" t="str">
        <f>IF($AD945&lt;0,COUNT($AJ$1:AJ944)+1,"")</f>
        <v/>
      </c>
      <c r="AL945" s="243" t="str">
        <f>'All Ticker P&amp;L'!A945</f>
        <v/>
      </c>
      <c r="AM945" s="243" t="str">
        <f>'All Ticker P&amp;L'!B945</f>
        <v/>
      </c>
      <c r="AN945" s="243" t="str">
        <f>'All Ticker P&amp;L'!C945</f>
        <v/>
      </c>
      <c r="AO945" s="243" t="str">
        <f>'All Ticker P&amp;L'!D945</f>
        <v/>
      </c>
      <c r="AP945" s="243">
        <f>IF($AL945="",0,'All Ticker P&amp;L'!E945)</f>
        <v>0</v>
      </c>
      <c r="AQ945" s="266">
        <f>IF($AL945="",0,'All Ticker P&amp;L'!J945*'All Ticker P&amp;L'!I945)</f>
        <v>0</v>
      </c>
      <c r="AR945" s="266">
        <f>IF($AL945="",0,'All Ticker P&amp;L'!L945)</f>
        <v>0</v>
      </c>
      <c r="AS945" s="267">
        <f>IF($AL945="",0,'All Ticker P&amp;L'!M945)</f>
        <v>0</v>
      </c>
      <c r="AT945" s="243" t="str">
        <f>IF($AL945="","",RANK(AR945,$AR$2:$AR$1001)+COUNTIF($AR$2:AR945,AR945)-1)</f>
        <v/>
      </c>
      <c r="AU945" s="243" t="str">
        <f>IF($AL945="","",RANK(AV945,$AV$2:$AV$1001)+COUNTIF($AV$2:AV945,AV945)-1)</f>
        <v/>
      </c>
      <c r="AV945" s="266">
        <f t="shared" si="60"/>
        <v>0</v>
      </c>
    </row>
    <row r="946" spans="26:48" ht="15" customHeight="1" x14ac:dyDescent="0.2">
      <c r="Z946" s="243" t="str">
        <f>Shares!A946</f>
        <v/>
      </c>
      <c r="AA946" s="243" t="str">
        <f>Shares!B946</f>
        <v/>
      </c>
      <c r="AB946" s="243" t="str">
        <f>Shares!C946</f>
        <v/>
      </c>
      <c r="AC946" s="243" t="str">
        <f>Shares!D946</f>
        <v/>
      </c>
      <c r="AD946" s="243">
        <f>IF($Z946="",0,Shares!E946)</f>
        <v>0</v>
      </c>
      <c r="AE946" s="266">
        <f>IF($Z946="",0,Shares!J946*Shares!I946)</f>
        <v>0</v>
      </c>
      <c r="AF946" s="267">
        <f t="shared" si="59"/>
        <v>0</v>
      </c>
      <c r="AG946" s="266">
        <f>IF($Z946="",0,Shares!L946)</f>
        <v>0</v>
      </c>
      <c r="AH946" s="267">
        <f>IF($Z946="",0,Shares!M946)</f>
        <v>0</v>
      </c>
      <c r="AI946" s="243" t="str">
        <f>IF($Z946="","",RANK(AE946,$AE$2:$AE$1001)+COUNTIF($AE$2:AE946,AE946)-1)</f>
        <v/>
      </c>
      <c r="AJ946" s="243" t="str">
        <f>IF($AD946&lt;0,COUNT($AJ$1:AJ945)+1,"")</f>
        <v/>
      </c>
      <c r="AL946" s="243" t="str">
        <f>'All Ticker P&amp;L'!A946</f>
        <v/>
      </c>
      <c r="AM946" s="243" t="str">
        <f>'All Ticker P&amp;L'!B946</f>
        <v/>
      </c>
      <c r="AN946" s="243" t="str">
        <f>'All Ticker P&amp;L'!C946</f>
        <v/>
      </c>
      <c r="AO946" s="243" t="str">
        <f>'All Ticker P&amp;L'!D946</f>
        <v/>
      </c>
      <c r="AP946" s="243">
        <f>IF($AL946="",0,'All Ticker P&amp;L'!E946)</f>
        <v>0</v>
      </c>
      <c r="AQ946" s="266">
        <f>IF($AL946="",0,'All Ticker P&amp;L'!J946*'All Ticker P&amp;L'!I946)</f>
        <v>0</v>
      </c>
      <c r="AR946" s="266">
        <f>IF($AL946="",0,'All Ticker P&amp;L'!L946)</f>
        <v>0</v>
      </c>
      <c r="AS946" s="267">
        <f>IF($AL946="",0,'All Ticker P&amp;L'!M946)</f>
        <v>0</v>
      </c>
      <c r="AT946" s="243" t="str">
        <f>IF($AL946="","",RANK(AR946,$AR$2:$AR$1001)+COUNTIF($AR$2:AR946,AR946)-1)</f>
        <v/>
      </c>
      <c r="AU946" s="243" t="str">
        <f>IF($AL946="","",RANK(AV946,$AV$2:$AV$1001)+COUNTIF($AV$2:AV946,AV946)-1)</f>
        <v/>
      </c>
      <c r="AV946" s="266">
        <f t="shared" si="60"/>
        <v>0</v>
      </c>
    </row>
    <row r="947" spans="26:48" ht="15" customHeight="1" x14ac:dyDescent="0.2">
      <c r="Z947" s="243" t="str">
        <f>Shares!A947</f>
        <v/>
      </c>
      <c r="AA947" s="243" t="str">
        <f>Shares!B947</f>
        <v/>
      </c>
      <c r="AB947" s="243" t="str">
        <f>Shares!C947</f>
        <v/>
      </c>
      <c r="AC947" s="243" t="str">
        <f>Shares!D947</f>
        <v/>
      </c>
      <c r="AD947" s="243">
        <f>IF($Z947="",0,Shares!E947)</f>
        <v>0</v>
      </c>
      <c r="AE947" s="266">
        <f>IF($Z947="",0,Shares!J947*Shares!I947)</f>
        <v>0</v>
      </c>
      <c r="AF947" s="267">
        <f t="shared" si="59"/>
        <v>0</v>
      </c>
      <c r="AG947" s="266">
        <f>IF($Z947="",0,Shares!L947)</f>
        <v>0</v>
      </c>
      <c r="AH947" s="267">
        <f>IF($Z947="",0,Shares!M947)</f>
        <v>0</v>
      </c>
      <c r="AI947" s="243" t="str">
        <f>IF($Z947="","",RANK(AE947,$AE$2:$AE$1001)+COUNTIF($AE$2:AE947,AE947)-1)</f>
        <v/>
      </c>
      <c r="AJ947" s="243" t="str">
        <f>IF($AD947&lt;0,COUNT($AJ$1:AJ946)+1,"")</f>
        <v/>
      </c>
      <c r="AL947" s="243" t="str">
        <f>'All Ticker P&amp;L'!A947</f>
        <v/>
      </c>
      <c r="AM947" s="243" t="str">
        <f>'All Ticker P&amp;L'!B947</f>
        <v/>
      </c>
      <c r="AN947" s="243" t="str">
        <f>'All Ticker P&amp;L'!C947</f>
        <v/>
      </c>
      <c r="AO947" s="243" t="str">
        <f>'All Ticker P&amp;L'!D947</f>
        <v/>
      </c>
      <c r="AP947" s="243">
        <f>IF($AL947="",0,'All Ticker P&amp;L'!E947)</f>
        <v>0</v>
      </c>
      <c r="AQ947" s="266">
        <f>IF($AL947="",0,'All Ticker P&amp;L'!J947*'All Ticker P&amp;L'!I947)</f>
        <v>0</v>
      </c>
      <c r="AR947" s="266">
        <f>IF($AL947="",0,'All Ticker P&amp;L'!L947)</f>
        <v>0</v>
      </c>
      <c r="AS947" s="267">
        <f>IF($AL947="",0,'All Ticker P&amp;L'!M947)</f>
        <v>0</v>
      </c>
      <c r="AT947" s="243" t="str">
        <f>IF($AL947="","",RANK(AR947,$AR$2:$AR$1001)+COUNTIF($AR$2:AR947,AR947)-1)</f>
        <v/>
      </c>
      <c r="AU947" s="243" t="str">
        <f>IF($AL947="","",RANK(AV947,$AV$2:$AV$1001)+COUNTIF($AV$2:AV947,AV947)-1)</f>
        <v/>
      </c>
      <c r="AV947" s="266">
        <f t="shared" si="60"/>
        <v>0</v>
      </c>
    </row>
    <row r="948" spans="26:48" ht="15" customHeight="1" x14ac:dyDescent="0.2">
      <c r="Z948" s="243" t="str">
        <f>Shares!A948</f>
        <v/>
      </c>
      <c r="AA948" s="243" t="str">
        <f>Shares!B948</f>
        <v/>
      </c>
      <c r="AB948" s="243" t="str">
        <f>Shares!C948</f>
        <v/>
      </c>
      <c r="AC948" s="243" t="str">
        <f>Shares!D948</f>
        <v/>
      </c>
      <c r="AD948" s="243">
        <f>IF($Z948="",0,Shares!E948)</f>
        <v>0</v>
      </c>
      <c r="AE948" s="266">
        <f>IF($Z948="",0,Shares!J948*Shares!I948)</f>
        <v>0</v>
      </c>
      <c r="AF948" s="267">
        <f t="shared" si="59"/>
        <v>0</v>
      </c>
      <c r="AG948" s="266">
        <f>IF($Z948="",0,Shares!L948)</f>
        <v>0</v>
      </c>
      <c r="AH948" s="267">
        <f>IF($Z948="",0,Shares!M948)</f>
        <v>0</v>
      </c>
      <c r="AI948" s="243" t="str">
        <f>IF($Z948="","",RANK(AE948,$AE$2:$AE$1001)+COUNTIF($AE$2:AE948,AE948)-1)</f>
        <v/>
      </c>
      <c r="AJ948" s="243" t="str">
        <f>IF($AD948&lt;0,COUNT($AJ$1:AJ947)+1,"")</f>
        <v/>
      </c>
      <c r="AL948" s="243" t="str">
        <f>'All Ticker P&amp;L'!A948</f>
        <v/>
      </c>
      <c r="AM948" s="243" t="str">
        <f>'All Ticker P&amp;L'!B948</f>
        <v/>
      </c>
      <c r="AN948" s="243" t="str">
        <f>'All Ticker P&amp;L'!C948</f>
        <v/>
      </c>
      <c r="AO948" s="243" t="str">
        <f>'All Ticker P&amp;L'!D948</f>
        <v/>
      </c>
      <c r="AP948" s="243">
        <f>IF($AL948="",0,'All Ticker P&amp;L'!E948)</f>
        <v>0</v>
      </c>
      <c r="AQ948" s="266">
        <f>IF($AL948="",0,'All Ticker P&amp;L'!J948*'All Ticker P&amp;L'!I948)</f>
        <v>0</v>
      </c>
      <c r="AR948" s="266">
        <f>IF($AL948="",0,'All Ticker P&amp;L'!L948)</f>
        <v>0</v>
      </c>
      <c r="AS948" s="267">
        <f>IF($AL948="",0,'All Ticker P&amp;L'!M948)</f>
        <v>0</v>
      </c>
      <c r="AT948" s="243" t="str">
        <f>IF($AL948="","",RANK(AR948,$AR$2:$AR$1001)+COUNTIF($AR$2:AR948,AR948)-1)</f>
        <v/>
      </c>
      <c r="AU948" s="243" t="str">
        <f>IF($AL948="","",RANK(AV948,$AV$2:$AV$1001)+COUNTIF($AV$2:AV948,AV948)-1)</f>
        <v/>
      </c>
      <c r="AV948" s="266">
        <f t="shared" si="60"/>
        <v>0</v>
      </c>
    </row>
    <row r="949" spans="26:48" ht="15" customHeight="1" x14ac:dyDescent="0.2">
      <c r="Z949" s="243" t="str">
        <f>Shares!A949</f>
        <v/>
      </c>
      <c r="AA949" s="243" t="str">
        <f>Shares!B949</f>
        <v/>
      </c>
      <c r="AB949" s="243" t="str">
        <f>Shares!C949</f>
        <v/>
      </c>
      <c r="AC949" s="243" t="str">
        <f>Shares!D949</f>
        <v/>
      </c>
      <c r="AD949" s="243">
        <f>IF($Z949="",0,Shares!E949)</f>
        <v>0</v>
      </c>
      <c r="AE949" s="266">
        <f>IF($Z949="",0,Shares!J949*Shares!I949)</f>
        <v>0</v>
      </c>
      <c r="AF949" s="267">
        <f t="shared" si="59"/>
        <v>0</v>
      </c>
      <c r="AG949" s="266">
        <f>IF($Z949="",0,Shares!L949)</f>
        <v>0</v>
      </c>
      <c r="AH949" s="267">
        <f>IF($Z949="",0,Shares!M949)</f>
        <v>0</v>
      </c>
      <c r="AI949" s="243" t="str">
        <f>IF($Z949="","",RANK(AE949,$AE$2:$AE$1001)+COUNTIF($AE$2:AE949,AE949)-1)</f>
        <v/>
      </c>
      <c r="AJ949" s="243" t="str">
        <f>IF($AD949&lt;0,COUNT($AJ$1:AJ948)+1,"")</f>
        <v/>
      </c>
      <c r="AL949" s="243" t="str">
        <f>'All Ticker P&amp;L'!A949</f>
        <v/>
      </c>
      <c r="AM949" s="243" t="str">
        <f>'All Ticker P&amp;L'!B949</f>
        <v/>
      </c>
      <c r="AN949" s="243" t="str">
        <f>'All Ticker P&amp;L'!C949</f>
        <v/>
      </c>
      <c r="AO949" s="243" t="str">
        <f>'All Ticker P&amp;L'!D949</f>
        <v/>
      </c>
      <c r="AP949" s="243">
        <f>IF($AL949="",0,'All Ticker P&amp;L'!E949)</f>
        <v>0</v>
      </c>
      <c r="AQ949" s="266">
        <f>IF($AL949="",0,'All Ticker P&amp;L'!J949*'All Ticker P&amp;L'!I949)</f>
        <v>0</v>
      </c>
      <c r="AR949" s="266">
        <f>IF($AL949="",0,'All Ticker P&amp;L'!L949)</f>
        <v>0</v>
      </c>
      <c r="AS949" s="267">
        <f>IF($AL949="",0,'All Ticker P&amp;L'!M949)</f>
        <v>0</v>
      </c>
      <c r="AT949" s="243" t="str">
        <f>IF($AL949="","",RANK(AR949,$AR$2:$AR$1001)+COUNTIF($AR$2:AR949,AR949)-1)</f>
        <v/>
      </c>
      <c r="AU949" s="243" t="str">
        <f>IF($AL949="","",RANK(AV949,$AV$2:$AV$1001)+COUNTIF($AV$2:AV949,AV949)-1)</f>
        <v/>
      </c>
      <c r="AV949" s="266">
        <f t="shared" si="60"/>
        <v>0</v>
      </c>
    </row>
    <row r="950" spans="26:48" ht="15" customHeight="1" x14ac:dyDescent="0.2">
      <c r="Z950" s="243" t="str">
        <f>Shares!A950</f>
        <v/>
      </c>
      <c r="AA950" s="243" t="str">
        <f>Shares!B950</f>
        <v/>
      </c>
      <c r="AB950" s="243" t="str">
        <f>Shares!C950</f>
        <v/>
      </c>
      <c r="AC950" s="243" t="str">
        <f>Shares!D950</f>
        <v/>
      </c>
      <c r="AD950" s="243">
        <f>IF($Z950="",0,Shares!E950)</f>
        <v>0</v>
      </c>
      <c r="AE950" s="266">
        <f>IF($Z950="",0,Shares!J950*Shares!I950)</f>
        <v>0</v>
      </c>
      <c r="AF950" s="267">
        <f t="shared" si="59"/>
        <v>0</v>
      </c>
      <c r="AG950" s="266">
        <f>IF($Z950="",0,Shares!L950)</f>
        <v>0</v>
      </c>
      <c r="AH950" s="267">
        <f>IF($Z950="",0,Shares!M950)</f>
        <v>0</v>
      </c>
      <c r="AI950" s="243" t="str">
        <f>IF($Z950="","",RANK(AE950,$AE$2:$AE$1001)+COUNTIF($AE$2:AE950,AE950)-1)</f>
        <v/>
      </c>
      <c r="AJ950" s="243" t="str">
        <f>IF($AD950&lt;0,COUNT($AJ$1:AJ949)+1,"")</f>
        <v/>
      </c>
      <c r="AL950" s="243" t="str">
        <f>'All Ticker P&amp;L'!A950</f>
        <v/>
      </c>
      <c r="AM950" s="243" t="str">
        <f>'All Ticker P&amp;L'!B950</f>
        <v/>
      </c>
      <c r="AN950" s="243" t="str">
        <f>'All Ticker P&amp;L'!C950</f>
        <v/>
      </c>
      <c r="AO950" s="243" t="str">
        <f>'All Ticker P&amp;L'!D950</f>
        <v/>
      </c>
      <c r="AP950" s="243">
        <f>IF($AL950="",0,'All Ticker P&amp;L'!E950)</f>
        <v>0</v>
      </c>
      <c r="AQ950" s="266">
        <f>IF($AL950="",0,'All Ticker P&amp;L'!J950*'All Ticker P&amp;L'!I950)</f>
        <v>0</v>
      </c>
      <c r="AR950" s="266">
        <f>IF($AL950="",0,'All Ticker P&amp;L'!L950)</f>
        <v>0</v>
      </c>
      <c r="AS950" s="267">
        <f>IF($AL950="",0,'All Ticker P&amp;L'!M950)</f>
        <v>0</v>
      </c>
      <c r="AT950" s="243" t="str">
        <f>IF($AL950="","",RANK(AR950,$AR$2:$AR$1001)+COUNTIF($AR$2:AR950,AR950)-1)</f>
        <v/>
      </c>
      <c r="AU950" s="243" t="str">
        <f>IF($AL950="","",RANK(AV950,$AV$2:$AV$1001)+COUNTIF($AV$2:AV950,AV950)-1)</f>
        <v/>
      </c>
      <c r="AV950" s="266">
        <f t="shared" si="60"/>
        <v>0</v>
      </c>
    </row>
    <row r="951" spans="26:48" ht="15" customHeight="1" x14ac:dyDescent="0.2">
      <c r="Z951" s="243" t="str">
        <f>Shares!A951</f>
        <v/>
      </c>
      <c r="AA951" s="243" t="str">
        <f>Shares!B951</f>
        <v/>
      </c>
      <c r="AB951" s="243" t="str">
        <f>Shares!C951</f>
        <v/>
      </c>
      <c r="AC951" s="243" t="str">
        <f>Shares!D951</f>
        <v/>
      </c>
      <c r="AD951" s="243">
        <f>IF($Z951="",0,Shares!E951)</f>
        <v>0</v>
      </c>
      <c r="AE951" s="266">
        <f>IF($Z951="",0,Shares!J951*Shares!I951)</f>
        <v>0</v>
      </c>
      <c r="AF951" s="267">
        <f t="shared" si="59"/>
        <v>0</v>
      </c>
      <c r="AG951" s="266">
        <f>IF($Z951="",0,Shares!L951)</f>
        <v>0</v>
      </c>
      <c r="AH951" s="267">
        <f>IF($Z951="",0,Shares!M951)</f>
        <v>0</v>
      </c>
      <c r="AI951" s="243" t="str">
        <f>IF($Z951="","",RANK(AE951,$AE$2:$AE$1001)+COUNTIF($AE$2:AE951,AE951)-1)</f>
        <v/>
      </c>
      <c r="AJ951" s="243" t="str">
        <f>IF($AD951&lt;0,COUNT($AJ$1:AJ950)+1,"")</f>
        <v/>
      </c>
      <c r="AL951" s="243" t="str">
        <f>'All Ticker P&amp;L'!A951</f>
        <v/>
      </c>
      <c r="AM951" s="243" t="str">
        <f>'All Ticker P&amp;L'!B951</f>
        <v/>
      </c>
      <c r="AN951" s="243" t="str">
        <f>'All Ticker P&amp;L'!C951</f>
        <v/>
      </c>
      <c r="AO951" s="243" t="str">
        <f>'All Ticker P&amp;L'!D951</f>
        <v/>
      </c>
      <c r="AP951" s="243">
        <f>IF($AL951="",0,'All Ticker P&amp;L'!E951)</f>
        <v>0</v>
      </c>
      <c r="AQ951" s="266">
        <f>IF($AL951="",0,'All Ticker P&amp;L'!J951*'All Ticker P&amp;L'!I951)</f>
        <v>0</v>
      </c>
      <c r="AR951" s="266">
        <f>IF($AL951="",0,'All Ticker P&amp;L'!L951)</f>
        <v>0</v>
      </c>
      <c r="AS951" s="267">
        <f>IF($AL951="",0,'All Ticker P&amp;L'!M951)</f>
        <v>0</v>
      </c>
      <c r="AT951" s="243" t="str">
        <f>IF($AL951="","",RANK(AR951,$AR$2:$AR$1001)+COUNTIF($AR$2:AR951,AR951)-1)</f>
        <v/>
      </c>
      <c r="AU951" s="243" t="str">
        <f>IF($AL951="","",RANK(AV951,$AV$2:$AV$1001)+COUNTIF($AV$2:AV951,AV951)-1)</f>
        <v/>
      </c>
      <c r="AV951" s="266">
        <f t="shared" si="60"/>
        <v>0</v>
      </c>
    </row>
    <row r="952" spans="26:48" ht="15" customHeight="1" x14ac:dyDescent="0.2">
      <c r="Z952" s="243" t="str">
        <f>Shares!A952</f>
        <v/>
      </c>
      <c r="AA952" s="243" t="str">
        <f>Shares!B952</f>
        <v/>
      </c>
      <c r="AB952" s="243" t="str">
        <f>Shares!C952</f>
        <v/>
      </c>
      <c r="AC952" s="243" t="str">
        <f>Shares!D952</f>
        <v/>
      </c>
      <c r="AD952" s="243">
        <f>IF($Z952="",0,Shares!E952)</f>
        <v>0</v>
      </c>
      <c r="AE952" s="266">
        <f>IF($Z952="",0,Shares!J952*Shares!I952)</f>
        <v>0</v>
      </c>
      <c r="AF952" s="267">
        <f t="shared" si="59"/>
        <v>0</v>
      </c>
      <c r="AG952" s="266">
        <f>IF($Z952="",0,Shares!L952)</f>
        <v>0</v>
      </c>
      <c r="AH952" s="267">
        <f>IF($Z952="",0,Shares!M952)</f>
        <v>0</v>
      </c>
      <c r="AI952" s="243" t="str">
        <f>IF($Z952="","",RANK(AE952,$AE$2:$AE$1001)+COUNTIF($AE$2:AE952,AE952)-1)</f>
        <v/>
      </c>
      <c r="AJ952" s="243" t="str">
        <f>IF($AD952&lt;0,COUNT($AJ$1:AJ951)+1,"")</f>
        <v/>
      </c>
      <c r="AL952" s="243" t="str">
        <f>'All Ticker P&amp;L'!A952</f>
        <v/>
      </c>
      <c r="AM952" s="243" t="str">
        <f>'All Ticker P&amp;L'!B952</f>
        <v/>
      </c>
      <c r="AN952" s="243" t="str">
        <f>'All Ticker P&amp;L'!C952</f>
        <v/>
      </c>
      <c r="AO952" s="243" t="str">
        <f>'All Ticker P&amp;L'!D952</f>
        <v/>
      </c>
      <c r="AP952" s="243">
        <f>IF($AL952="",0,'All Ticker P&amp;L'!E952)</f>
        <v>0</v>
      </c>
      <c r="AQ952" s="266">
        <f>IF($AL952="",0,'All Ticker P&amp;L'!J952*'All Ticker P&amp;L'!I952)</f>
        <v>0</v>
      </c>
      <c r="AR952" s="266">
        <f>IF($AL952="",0,'All Ticker P&amp;L'!L952)</f>
        <v>0</v>
      </c>
      <c r="AS952" s="267">
        <f>IF($AL952="",0,'All Ticker P&amp;L'!M952)</f>
        <v>0</v>
      </c>
      <c r="AT952" s="243" t="str">
        <f>IF($AL952="","",RANK(AR952,$AR$2:$AR$1001)+COUNTIF($AR$2:AR952,AR952)-1)</f>
        <v/>
      </c>
      <c r="AU952" s="243" t="str">
        <f>IF($AL952="","",RANK(AV952,$AV$2:$AV$1001)+COUNTIF($AV$2:AV952,AV952)-1)</f>
        <v/>
      </c>
      <c r="AV952" s="266">
        <f t="shared" si="60"/>
        <v>0</v>
      </c>
    </row>
    <row r="953" spans="26:48" ht="15" customHeight="1" x14ac:dyDescent="0.2">
      <c r="Z953" s="243" t="str">
        <f>Shares!A953</f>
        <v/>
      </c>
      <c r="AA953" s="243" t="str">
        <f>Shares!B953</f>
        <v/>
      </c>
      <c r="AB953" s="243" t="str">
        <f>Shares!C953</f>
        <v/>
      </c>
      <c r="AC953" s="243" t="str">
        <f>Shares!D953</f>
        <v/>
      </c>
      <c r="AD953" s="243">
        <f>IF($Z953="",0,Shares!E953)</f>
        <v>0</v>
      </c>
      <c r="AE953" s="266">
        <f>IF($Z953="",0,Shares!J953*Shares!I953)</f>
        <v>0</v>
      </c>
      <c r="AF953" s="267">
        <f t="shared" si="59"/>
        <v>0</v>
      </c>
      <c r="AG953" s="266">
        <f>IF($Z953="",0,Shares!L953)</f>
        <v>0</v>
      </c>
      <c r="AH953" s="267">
        <f>IF($Z953="",0,Shares!M953)</f>
        <v>0</v>
      </c>
      <c r="AI953" s="243" t="str">
        <f>IF($Z953="","",RANK(AE953,$AE$2:$AE$1001)+COUNTIF($AE$2:AE953,AE953)-1)</f>
        <v/>
      </c>
      <c r="AJ953" s="243" t="str">
        <f>IF($AD953&lt;0,COUNT($AJ$1:AJ952)+1,"")</f>
        <v/>
      </c>
      <c r="AL953" s="243" t="str">
        <f>'All Ticker P&amp;L'!A953</f>
        <v/>
      </c>
      <c r="AM953" s="243" t="str">
        <f>'All Ticker P&amp;L'!B953</f>
        <v/>
      </c>
      <c r="AN953" s="243" t="str">
        <f>'All Ticker P&amp;L'!C953</f>
        <v/>
      </c>
      <c r="AO953" s="243" t="str">
        <f>'All Ticker P&amp;L'!D953</f>
        <v/>
      </c>
      <c r="AP953" s="243">
        <f>IF($AL953="",0,'All Ticker P&amp;L'!E953)</f>
        <v>0</v>
      </c>
      <c r="AQ953" s="266">
        <f>IF($AL953="",0,'All Ticker P&amp;L'!J953*'All Ticker P&amp;L'!I953)</f>
        <v>0</v>
      </c>
      <c r="AR953" s="266">
        <f>IF($AL953="",0,'All Ticker P&amp;L'!L953)</f>
        <v>0</v>
      </c>
      <c r="AS953" s="267">
        <f>IF($AL953="",0,'All Ticker P&amp;L'!M953)</f>
        <v>0</v>
      </c>
      <c r="AT953" s="243" t="str">
        <f>IF($AL953="","",RANK(AR953,$AR$2:$AR$1001)+COUNTIF($AR$2:AR953,AR953)-1)</f>
        <v/>
      </c>
      <c r="AU953" s="243" t="str">
        <f>IF($AL953="","",RANK(AV953,$AV$2:$AV$1001)+COUNTIF($AV$2:AV953,AV953)-1)</f>
        <v/>
      </c>
      <c r="AV953" s="266">
        <f t="shared" si="60"/>
        <v>0</v>
      </c>
    </row>
    <row r="954" spans="26:48" ht="15" customHeight="1" x14ac:dyDescent="0.2">
      <c r="Z954" s="243" t="str">
        <f>Shares!A954</f>
        <v/>
      </c>
      <c r="AA954" s="243" t="str">
        <f>Shares!B954</f>
        <v/>
      </c>
      <c r="AB954" s="243" t="str">
        <f>Shares!C954</f>
        <v/>
      </c>
      <c r="AC954" s="243" t="str">
        <f>Shares!D954</f>
        <v/>
      </c>
      <c r="AD954" s="243">
        <f>IF($Z954="",0,Shares!E954)</f>
        <v>0</v>
      </c>
      <c r="AE954" s="266">
        <f>IF($Z954="",0,Shares!J954*Shares!I954)</f>
        <v>0</v>
      </c>
      <c r="AF954" s="267">
        <f t="shared" si="59"/>
        <v>0</v>
      </c>
      <c r="AG954" s="266">
        <f>IF($Z954="",0,Shares!L954)</f>
        <v>0</v>
      </c>
      <c r="AH954" s="267">
        <f>IF($Z954="",0,Shares!M954)</f>
        <v>0</v>
      </c>
      <c r="AI954" s="243" t="str">
        <f>IF($Z954="","",RANK(AE954,$AE$2:$AE$1001)+COUNTIF($AE$2:AE954,AE954)-1)</f>
        <v/>
      </c>
      <c r="AJ954" s="243" t="str">
        <f>IF($AD954&lt;0,COUNT($AJ$1:AJ953)+1,"")</f>
        <v/>
      </c>
      <c r="AL954" s="243" t="str">
        <f>'All Ticker P&amp;L'!A954</f>
        <v/>
      </c>
      <c r="AM954" s="243" t="str">
        <f>'All Ticker P&amp;L'!B954</f>
        <v/>
      </c>
      <c r="AN954" s="243" t="str">
        <f>'All Ticker P&amp;L'!C954</f>
        <v/>
      </c>
      <c r="AO954" s="243" t="str">
        <f>'All Ticker P&amp;L'!D954</f>
        <v/>
      </c>
      <c r="AP954" s="243">
        <f>IF($AL954="",0,'All Ticker P&amp;L'!E954)</f>
        <v>0</v>
      </c>
      <c r="AQ954" s="266">
        <f>IF($AL954="",0,'All Ticker P&amp;L'!J954*'All Ticker P&amp;L'!I954)</f>
        <v>0</v>
      </c>
      <c r="AR954" s="266">
        <f>IF($AL954="",0,'All Ticker P&amp;L'!L954)</f>
        <v>0</v>
      </c>
      <c r="AS954" s="267">
        <f>IF($AL954="",0,'All Ticker P&amp;L'!M954)</f>
        <v>0</v>
      </c>
      <c r="AT954" s="243" t="str">
        <f>IF($AL954="","",RANK(AR954,$AR$2:$AR$1001)+COUNTIF($AR$2:AR954,AR954)-1)</f>
        <v/>
      </c>
      <c r="AU954" s="243" t="str">
        <f>IF($AL954="","",RANK(AV954,$AV$2:$AV$1001)+COUNTIF($AV$2:AV954,AV954)-1)</f>
        <v/>
      </c>
      <c r="AV954" s="266">
        <f t="shared" si="60"/>
        <v>0</v>
      </c>
    </row>
    <row r="955" spans="26:48" ht="15" customHeight="1" x14ac:dyDescent="0.2">
      <c r="Z955" s="243" t="str">
        <f>Shares!A955</f>
        <v/>
      </c>
      <c r="AA955" s="243" t="str">
        <f>Shares!B955</f>
        <v/>
      </c>
      <c r="AB955" s="243" t="str">
        <f>Shares!C955</f>
        <v/>
      </c>
      <c r="AC955" s="243" t="str">
        <f>Shares!D955</f>
        <v/>
      </c>
      <c r="AD955" s="243">
        <f>IF($Z955="",0,Shares!E955)</f>
        <v>0</v>
      </c>
      <c r="AE955" s="266">
        <f>IF($Z955="",0,Shares!J955*Shares!I955)</f>
        <v>0</v>
      </c>
      <c r="AF955" s="267">
        <f t="shared" si="59"/>
        <v>0</v>
      </c>
      <c r="AG955" s="266">
        <f>IF($Z955="",0,Shares!L955)</f>
        <v>0</v>
      </c>
      <c r="AH955" s="267">
        <f>IF($Z955="",0,Shares!M955)</f>
        <v>0</v>
      </c>
      <c r="AI955" s="243" t="str">
        <f>IF($Z955="","",RANK(AE955,$AE$2:$AE$1001)+COUNTIF($AE$2:AE955,AE955)-1)</f>
        <v/>
      </c>
      <c r="AJ955" s="243" t="str">
        <f>IF($AD955&lt;0,COUNT($AJ$1:AJ954)+1,"")</f>
        <v/>
      </c>
      <c r="AL955" s="243" t="str">
        <f>'All Ticker P&amp;L'!A955</f>
        <v/>
      </c>
      <c r="AM955" s="243" t="str">
        <f>'All Ticker P&amp;L'!B955</f>
        <v/>
      </c>
      <c r="AN955" s="243" t="str">
        <f>'All Ticker P&amp;L'!C955</f>
        <v/>
      </c>
      <c r="AO955" s="243" t="str">
        <f>'All Ticker P&amp;L'!D955</f>
        <v/>
      </c>
      <c r="AP955" s="243">
        <f>IF($AL955="",0,'All Ticker P&amp;L'!E955)</f>
        <v>0</v>
      </c>
      <c r="AQ955" s="266">
        <f>IF($AL955="",0,'All Ticker P&amp;L'!J955*'All Ticker P&amp;L'!I955)</f>
        <v>0</v>
      </c>
      <c r="AR955" s="266">
        <f>IF($AL955="",0,'All Ticker P&amp;L'!L955)</f>
        <v>0</v>
      </c>
      <c r="AS955" s="267">
        <f>IF($AL955="",0,'All Ticker P&amp;L'!M955)</f>
        <v>0</v>
      </c>
      <c r="AT955" s="243" t="str">
        <f>IF($AL955="","",RANK(AR955,$AR$2:$AR$1001)+COUNTIF($AR$2:AR955,AR955)-1)</f>
        <v/>
      </c>
      <c r="AU955" s="243" t="str">
        <f>IF($AL955="","",RANK(AV955,$AV$2:$AV$1001)+COUNTIF($AV$2:AV955,AV955)-1)</f>
        <v/>
      </c>
      <c r="AV955" s="266">
        <f t="shared" si="60"/>
        <v>0</v>
      </c>
    </row>
    <row r="956" spans="26:48" ht="15" customHeight="1" x14ac:dyDescent="0.2">
      <c r="Z956" s="243" t="str">
        <f>Shares!A956</f>
        <v/>
      </c>
      <c r="AA956" s="243" t="str">
        <f>Shares!B956</f>
        <v/>
      </c>
      <c r="AB956" s="243" t="str">
        <f>Shares!C956</f>
        <v/>
      </c>
      <c r="AC956" s="243" t="str">
        <f>Shares!D956</f>
        <v/>
      </c>
      <c r="AD956" s="243">
        <f>IF($Z956="",0,Shares!E956)</f>
        <v>0</v>
      </c>
      <c r="AE956" s="266">
        <f>IF($Z956="",0,Shares!J956*Shares!I956)</f>
        <v>0</v>
      </c>
      <c r="AF956" s="267">
        <f t="shared" si="59"/>
        <v>0</v>
      </c>
      <c r="AG956" s="266">
        <f>IF($Z956="",0,Shares!L956)</f>
        <v>0</v>
      </c>
      <c r="AH956" s="267">
        <f>IF($Z956="",0,Shares!M956)</f>
        <v>0</v>
      </c>
      <c r="AI956" s="243" t="str">
        <f>IF($Z956="","",RANK(AE956,$AE$2:$AE$1001)+COUNTIF($AE$2:AE956,AE956)-1)</f>
        <v/>
      </c>
      <c r="AJ956" s="243" t="str">
        <f>IF($AD956&lt;0,COUNT($AJ$1:AJ955)+1,"")</f>
        <v/>
      </c>
      <c r="AL956" s="243" t="str">
        <f>'All Ticker P&amp;L'!A956</f>
        <v/>
      </c>
      <c r="AM956" s="243" t="str">
        <f>'All Ticker P&amp;L'!B956</f>
        <v/>
      </c>
      <c r="AN956" s="243" t="str">
        <f>'All Ticker P&amp;L'!C956</f>
        <v/>
      </c>
      <c r="AO956" s="243" t="str">
        <f>'All Ticker P&amp;L'!D956</f>
        <v/>
      </c>
      <c r="AP956" s="243">
        <f>IF($AL956="",0,'All Ticker P&amp;L'!E956)</f>
        <v>0</v>
      </c>
      <c r="AQ956" s="266">
        <f>IF($AL956="",0,'All Ticker P&amp;L'!J956*'All Ticker P&amp;L'!I956)</f>
        <v>0</v>
      </c>
      <c r="AR956" s="266">
        <f>IF($AL956="",0,'All Ticker P&amp;L'!L956)</f>
        <v>0</v>
      </c>
      <c r="AS956" s="267">
        <f>IF($AL956="",0,'All Ticker P&amp;L'!M956)</f>
        <v>0</v>
      </c>
      <c r="AT956" s="243" t="str">
        <f>IF($AL956="","",RANK(AR956,$AR$2:$AR$1001)+COUNTIF($AR$2:AR956,AR956)-1)</f>
        <v/>
      </c>
      <c r="AU956" s="243" t="str">
        <f>IF($AL956="","",RANK(AV956,$AV$2:$AV$1001)+COUNTIF($AV$2:AV956,AV956)-1)</f>
        <v/>
      </c>
      <c r="AV956" s="266">
        <f t="shared" si="60"/>
        <v>0</v>
      </c>
    </row>
    <row r="957" spans="26:48" ht="15" customHeight="1" x14ac:dyDescent="0.2">
      <c r="Z957" s="243" t="str">
        <f>Shares!A957</f>
        <v/>
      </c>
      <c r="AA957" s="243" t="str">
        <f>Shares!B957</f>
        <v/>
      </c>
      <c r="AB957" s="243" t="str">
        <f>Shares!C957</f>
        <v/>
      </c>
      <c r="AC957" s="243" t="str">
        <f>Shares!D957</f>
        <v/>
      </c>
      <c r="AD957" s="243">
        <f>IF($Z957="",0,Shares!E957)</f>
        <v>0</v>
      </c>
      <c r="AE957" s="266">
        <f>IF($Z957="",0,Shares!J957*Shares!I957)</f>
        <v>0</v>
      </c>
      <c r="AF957" s="267">
        <f t="shared" si="59"/>
        <v>0</v>
      </c>
      <c r="AG957" s="266">
        <f>IF($Z957="",0,Shares!L957)</f>
        <v>0</v>
      </c>
      <c r="AH957" s="267">
        <f>IF($Z957="",0,Shares!M957)</f>
        <v>0</v>
      </c>
      <c r="AI957" s="243" t="str">
        <f>IF($Z957="","",RANK(AE957,$AE$2:$AE$1001)+COUNTIF($AE$2:AE957,AE957)-1)</f>
        <v/>
      </c>
      <c r="AJ957" s="243" t="str">
        <f>IF($AD957&lt;0,COUNT($AJ$1:AJ956)+1,"")</f>
        <v/>
      </c>
      <c r="AL957" s="243" t="str">
        <f>'All Ticker P&amp;L'!A957</f>
        <v/>
      </c>
      <c r="AM957" s="243" t="str">
        <f>'All Ticker P&amp;L'!B957</f>
        <v/>
      </c>
      <c r="AN957" s="243" t="str">
        <f>'All Ticker P&amp;L'!C957</f>
        <v/>
      </c>
      <c r="AO957" s="243" t="str">
        <f>'All Ticker P&amp;L'!D957</f>
        <v/>
      </c>
      <c r="AP957" s="243">
        <f>IF($AL957="",0,'All Ticker P&amp;L'!E957)</f>
        <v>0</v>
      </c>
      <c r="AQ957" s="266">
        <f>IF($AL957="",0,'All Ticker P&amp;L'!J957*'All Ticker P&amp;L'!I957)</f>
        <v>0</v>
      </c>
      <c r="AR957" s="266">
        <f>IF($AL957="",0,'All Ticker P&amp;L'!L957)</f>
        <v>0</v>
      </c>
      <c r="AS957" s="267">
        <f>IF($AL957="",0,'All Ticker P&amp;L'!M957)</f>
        <v>0</v>
      </c>
      <c r="AT957" s="243" t="str">
        <f>IF($AL957="","",RANK(AR957,$AR$2:$AR$1001)+COUNTIF($AR$2:AR957,AR957)-1)</f>
        <v/>
      </c>
      <c r="AU957" s="243" t="str">
        <f>IF($AL957="","",RANK(AV957,$AV$2:$AV$1001)+COUNTIF($AV$2:AV957,AV957)-1)</f>
        <v/>
      </c>
      <c r="AV957" s="266">
        <f t="shared" si="60"/>
        <v>0</v>
      </c>
    </row>
    <row r="958" spans="26:48" ht="15" customHeight="1" x14ac:dyDescent="0.2">
      <c r="Z958" s="243" t="str">
        <f>Shares!A958</f>
        <v/>
      </c>
      <c r="AA958" s="243" t="str">
        <f>Shares!B958</f>
        <v/>
      </c>
      <c r="AB958" s="243" t="str">
        <f>Shares!C958</f>
        <v/>
      </c>
      <c r="AC958" s="243" t="str">
        <f>Shares!D958</f>
        <v/>
      </c>
      <c r="AD958" s="243">
        <f>IF($Z958="",0,Shares!E958)</f>
        <v>0</v>
      </c>
      <c r="AE958" s="266">
        <f>IF($Z958="",0,Shares!J958*Shares!I958)</f>
        <v>0</v>
      </c>
      <c r="AF958" s="267">
        <f t="shared" si="59"/>
        <v>0</v>
      </c>
      <c r="AG958" s="266">
        <f>IF($Z958="",0,Shares!L958)</f>
        <v>0</v>
      </c>
      <c r="AH958" s="267">
        <f>IF($Z958="",0,Shares!M958)</f>
        <v>0</v>
      </c>
      <c r="AI958" s="243" t="str">
        <f>IF($Z958="","",RANK(AE958,$AE$2:$AE$1001)+COUNTIF($AE$2:AE958,AE958)-1)</f>
        <v/>
      </c>
      <c r="AJ958" s="243" t="str">
        <f>IF($AD958&lt;0,COUNT($AJ$1:AJ957)+1,"")</f>
        <v/>
      </c>
      <c r="AL958" s="243" t="str">
        <f>'All Ticker P&amp;L'!A958</f>
        <v/>
      </c>
      <c r="AM958" s="243" t="str">
        <f>'All Ticker P&amp;L'!B958</f>
        <v/>
      </c>
      <c r="AN958" s="243" t="str">
        <f>'All Ticker P&amp;L'!C958</f>
        <v/>
      </c>
      <c r="AO958" s="243" t="str">
        <f>'All Ticker P&amp;L'!D958</f>
        <v/>
      </c>
      <c r="AP958" s="243">
        <f>IF($AL958="",0,'All Ticker P&amp;L'!E958)</f>
        <v>0</v>
      </c>
      <c r="AQ958" s="266">
        <f>IF($AL958="",0,'All Ticker P&amp;L'!J958*'All Ticker P&amp;L'!I958)</f>
        <v>0</v>
      </c>
      <c r="AR958" s="266">
        <f>IF($AL958="",0,'All Ticker P&amp;L'!L958)</f>
        <v>0</v>
      </c>
      <c r="AS958" s="267">
        <f>IF($AL958="",0,'All Ticker P&amp;L'!M958)</f>
        <v>0</v>
      </c>
      <c r="AT958" s="243" t="str">
        <f>IF($AL958="","",RANK(AR958,$AR$2:$AR$1001)+COUNTIF($AR$2:AR958,AR958)-1)</f>
        <v/>
      </c>
      <c r="AU958" s="243" t="str">
        <f>IF($AL958="","",RANK(AV958,$AV$2:$AV$1001)+COUNTIF($AV$2:AV958,AV958)-1)</f>
        <v/>
      </c>
      <c r="AV958" s="266">
        <f t="shared" si="60"/>
        <v>0</v>
      </c>
    </row>
    <row r="959" spans="26:48" ht="15" customHeight="1" x14ac:dyDescent="0.2">
      <c r="Z959" s="243" t="str">
        <f>Shares!A959</f>
        <v/>
      </c>
      <c r="AA959" s="243" t="str">
        <f>Shares!B959</f>
        <v/>
      </c>
      <c r="AB959" s="243" t="str">
        <f>Shares!C959</f>
        <v/>
      </c>
      <c r="AC959" s="243" t="str">
        <f>Shares!D959</f>
        <v/>
      </c>
      <c r="AD959" s="243">
        <f>IF($Z959="",0,Shares!E959)</f>
        <v>0</v>
      </c>
      <c r="AE959" s="266">
        <f>IF($Z959="",0,Shares!J959*Shares!I959)</f>
        <v>0</v>
      </c>
      <c r="AF959" s="267">
        <f t="shared" si="59"/>
        <v>0</v>
      </c>
      <c r="AG959" s="266">
        <f>IF($Z959="",0,Shares!L959)</f>
        <v>0</v>
      </c>
      <c r="AH959" s="267">
        <f>IF($Z959="",0,Shares!M959)</f>
        <v>0</v>
      </c>
      <c r="AI959" s="243" t="str">
        <f>IF($Z959="","",RANK(AE959,$AE$2:$AE$1001)+COUNTIF($AE$2:AE959,AE959)-1)</f>
        <v/>
      </c>
      <c r="AJ959" s="243" t="str">
        <f>IF($AD959&lt;0,COUNT($AJ$1:AJ958)+1,"")</f>
        <v/>
      </c>
      <c r="AL959" s="243" t="str">
        <f>'All Ticker P&amp;L'!A959</f>
        <v/>
      </c>
      <c r="AM959" s="243" t="str">
        <f>'All Ticker P&amp;L'!B959</f>
        <v/>
      </c>
      <c r="AN959" s="243" t="str">
        <f>'All Ticker P&amp;L'!C959</f>
        <v/>
      </c>
      <c r="AO959" s="243" t="str">
        <f>'All Ticker P&amp;L'!D959</f>
        <v/>
      </c>
      <c r="AP959" s="243">
        <f>IF($AL959="",0,'All Ticker P&amp;L'!E959)</f>
        <v>0</v>
      </c>
      <c r="AQ959" s="266">
        <f>IF($AL959="",0,'All Ticker P&amp;L'!J959*'All Ticker P&amp;L'!I959)</f>
        <v>0</v>
      </c>
      <c r="AR959" s="266">
        <f>IF($AL959="",0,'All Ticker P&amp;L'!L959)</f>
        <v>0</v>
      </c>
      <c r="AS959" s="267">
        <f>IF($AL959="",0,'All Ticker P&amp;L'!M959)</f>
        <v>0</v>
      </c>
      <c r="AT959" s="243" t="str">
        <f>IF($AL959="","",RANK(AR959,$AR$2:$AR$1001)+COUNTIF($AR$2:AR959,AR959)-1)</f>
        <v/>
      </c>
      <c r="AU959" s="243" t="str">
        <f>IF($AL959="","",RANK(AV959,$AV$2:$AV$1001)+COUNTIF($AV$2:AV959,AV959)-1)</f>
        <v/>
      </c>
      <c r="AV959" s="266">
        <f t="shared" si="60"/>
        <v>0</v>
      </c>
    </row>
    <row r="960" spans="26:48" ht="15" customHeight="1" x14ac:dyDescent="0.2">
      <c r="Z960" s="243" t="str">
        <f>Shares!A960</f>
        <v/>
      </c>
      <c r="AA960" s="243" t="str">
        <f>Shares!B960</f>
        <v/>
      </c>
      <c r="AB960" s="243" t="str">
        <f>Shares!C960</f>
        <v/>
      </c>
      <c r="AC960" s="243" t="str">
        <f>Shares!D960</f>
        <v/>
      </c>
      <c r="AD960" s="243">
        <f>IF($Z960="",0,Shares!E960)</f>
        <v>0</v>
      </c>
      <c r="AE960" s="266">
        <f>IF($Z960="",0,Shares!J960*Shares!I960)</f>
        <v>0</v>
      </c>
      <c r="AF960" s="267">
        <f t="shared" si="59"/>
        <v>0</v>
      </c>
      <c r="AG960" s="266">
        <f>IF($Z960="",0,Shares!L960)</f>
        <v>0</v>
      </c>
      <c r="AH960" s="267">
        <f>IF($Z960="",0,Shares!M960)</f>
        <v>0</v>
      </c>
      <c r="AI960" s="243" t="str">
        <f>IF($Z960="","",RANK(AE960,$AE$2:$AE$1001)+COUNTIF($AE$2:AE960,AE960)-1)</f>
        <v/>
      </c>
      <c r="AJ960" s="243" t="str">
        <f>IF($AD960&lt;0,COUNT($AJ$1:AJ959)+1,"")</f>
        <v/>
      </c>
      <c r="AL960" s="243" t="str">
        <f>'All Ticker P&amp;L'!A960</f>
        <v/>
      </c>
      <c r="AM960" s="243" t="str">
        <f>'All Ticker P&amp;L'!B960</f>
        <v/>
      </c>
      <c r="AN960" s="243" t="str">
        <f>'All Ticker P&amp;L'!C960</f>
        <v/>
      </c>
      <c r="AO960" s="243" t="str">
        <f>'All Ticker P&amp;L'!D960</f>
        <v/>
      </c>
      <c r="AP960" s="243">
        <f>IF($AL960="",0,'All Ticker P&amp;L'!E960)</f>
        <v>0</v>
      </c>
      <c r="AQ960" s="266">
        <f>IF($AL960="",0,'All Ticker P&amp;L'!J960*'All Ticker P&amp;L'!I960)</f>
        <v>0</v>
      </c>
      <c r="AR960" s="266">
        <f>IF($AL960="",0,'All Ticker P&amp;L'!L960)</f>
        <v>0</v>
      </c>
      <c r="AS960" s="267">
        <f>IF($AL960="",0,'All Ticker P&amp;L'!M960)</f>
        <v>0</v>
      </c>
      <c r="AT960" s="243" t="str">
        <f>IF($AL960="","",RANK(AR960,$AR$2:$AR$1001)+COUNTIF($AR$2:AR960,AR960)-1)</f>
        <v/>
      </c>
      <c r="AU960" s="243" t="str">
        <f>IF($AL960="","",RANK(AV960,$AV$2:$AV$1001)+COUNTIF($AV$2:AV960,AV960)-1)</f>
        <v/>
      </c>
      <c r="AV960" s="266">
        <f t="shared" si="60"/>
        <v>0</v>
      </c>
    </row>
    <row r="961" spans="26:48" ht="15" customHeight="1" x14ac:dyDescent="0.2">
      <c r="Z961" s="243" t="str">
        <f>Shares!A961</f>
        <v/>
      </c>
      <c r="AA961" s="243" t="str">
        <f>Shares!B961</f>
        <v/>
      </c>
      <c r="AB961" s="243" t="str">
        <f>Shares!C961</f>
        <v/>
      </c>
      <c r="AC961" s="243" t="str">
        <f>Shares!D961</f>
        <v/>
      </c>
      <c r="AD961" s="243">
        <f>IF($Z961="",0,Shares!E961)</f>
        <v>0</v>
      </c>
      <c r="AE961" s="266">
        <f>IF($Z961="",0,Shares!J961*Shares!I961)</f>
        <v>0</v>
      </c>
      <c r="AF961" s="267">
        <f t="shared" si="59"/>
        <v>0</v>
      </c>
      <c r="AG961" s="266">
        <f>IF($Z961="",0,Shares!L961)</f>
        <v>0</v>
      </c>
      <c r="AH961" s="267">
        <f>IF($Z961="",0,Shares!M961)</f>
        <v>0</v>
      </c>
      <c r="AI961" s="243" t="str">
        <f>IF($Z961="","",RANK(AE961,$AE$2:$AE$1001)+COUNTIF($AE$2:AE961,AE961)-1)</f>
        <v/>
      </c>
      <c r="AJ961" s="243" t="str">
        <f>IF($AD961&lt;0,COUNT($AJ$1:AJ960)+1,"")</f>
        <v/>
      </c>
      <c r="AL961" s="243" t="str">
        <f>'All Ticker P&amp;L'!A961</f>
        <v/>
      </c>
      <c r="AM961" s="243" t="str">
        <f>'All Ticker P&amp;L'!B961</f>
        <v/>
      </c>
      <c r="AN961" s="243" t="str">
        <f>'All Ticker P&amp;L'!C961</f>
        <v/>
      </c>
      <c r="AO961" s="243" t="str">
        <f>'All Ticker P&amp;L'!D961</f>
        <v/>
      </c>
      <c r="AP961" s="243">
        <f>IF($AL961="",0,'All Ticker P&amp;L'!E961)</f>
        <v>0</v>
      </c>
      <c r="AQ961" s="266">
        <f>IF($AL961="",0,'All Ticker P&amp;L'!J961*'All Ticker P&amp;L'!I961)</f>
        <v>0</v>
      </c>
      <c r="AR961" s="266">
        <f>IF($AL961="",0,'All Ticker P&amp;L'!L961)</f>
        <v>0</v>
      </c>
      <c r="AS961" s="267">
        <f>IF($AL961="",0,'All Ticker P&amp;L'!M961)</f>
        <v>0</v>
      </c>
      <c r="AT961" s="243" t="str">
        <f>IF($AL961="","",RANK(AR961,$AR$2:$AR$1001)+COUNTIF($AR$2:AR961,AR961)-1)</f>
        <v/>
      </c>
      <c r="AU961" s="243" t="str">
        <f>IF($AL961="","",RANK(AV961,$AV$2:$AV$1001)+COUNTIF($AV$2:AV961,AV961)-1)</f>
        <v/>
      </c>
      <c r="AV961" s="266">
        <f t="shared" si="60"/>
        <v>0</v>
      </c>
    </row>
    <row r="962" spans="26:48" ht="15" customHeight="1" x14ac:dyDescent="0.2">
      <c r="Z962" s="243" t="str">
        <f>Shares!A962</f>
        <v/>
      </c>
      <c r="AA962" s="243" t="str">
        <f>Shares!B962</f>
        <v/>
      </c>
      <c r="AB962" s="243" t="str">
        <f>Shares!C962</f>
        <v/>
      </c>
      <c r="AC962" s="243" t="str">
        <f>Shares!D962</f>
        <v/>
      </c>
      <c r="AD962" s="243">
        <f>IF($Z962="",0,Shares!E962)</f>
        <v>0</v>
      </c>
      <c r="AE962" s="266">
        <f>IF($Z962="",0,Shares!J962*Shares!I962)</f>
        <v>0</v>
      </c>
      <c r="AF962" s="267">
        <f t="shared" ref="AF962:AF1025" si="61">IFERROR(AE962/$B$5,0)</f>
        <v>0</v>
      </c>
      <c r="AG962" s="266">
        <f>IF($Z962="",0,Shares!L962)</f>
        <v>0</v>
      </c>
      <c r="AH962" s="267">
        <f>IF($Z962="",0,Shares!M962)</f>
        <v>0</v>
      </c>
      <c r="AI962" s="243" t="str">
        <f>IF($Z962="","",RANK(AE962,$AE$2:$AE$1001)+COUNTIF($AE$2:AE962,AE962)-1)</f>
        <v/>
      </c>
      <c r="AJ962" s="243" t="str">
        <f>IF($AD962&lt;0,COUNT($AJ$1:AJ961)+1,"")</f>
        <v/>
      </c>
      <c r="AL962" s="243" t="str">
        <f>'All Ticker P&amp;L'!A962</f>
        <v/>
      </c>
      <c r="AM962" s="243" t="str">
        <f>'All Ticker P&amp;L'!B962</f>
        <v/>
      </c>
      <c r="AN962" s="243" t="str">
        <f>'All Ticker P&amp;L'!C962</f>
        <v/>
      </c>
      <c r="AO962" s="243" t="str">
        <f>'All Ticker P&amp;L'!D962</f>
        <v/>
      </c>
      <c r="AP962" s="243">
        <f>IF($AL962="",0,'All Ticker P&amp;L'!E962)</f>
        <v>0</v>
      </c>
      <c r="AQ962" s="266">
        <f>IF($AL962="",0,'All Ticker P&amp;L'!J962*'All Ticker P&amp;L'!I962)</f>
        <v>0</v>
      </c>
      <c r="AR962" s="266">
        <f>IF($AL962="",0,'All Ticker P&amp;L'!L962)</f>
        <v>0</v>
      </c>
      <c r="AS962" s="267">
        <f>IF($AL962="",0,'All Ticker P&amp;L'!M962)</f>
        <v>0</v>
      </c>
      <c r="AT962" s="243" t="str">
        <f>IF($AL962="","",RANK(AR962,$AR$2:$AR$1001)+COUNTIF($AR$2:AR962,AR962)-1)</f>
        <v/>
      </c>
      <c r="AU962" s="243" t="str">
        <f>IF($AL962="","",RANK(AV962,$AV$2:$AV$1001)+COUNTIF($AV$2:AV962,AV962)-1)</f>
        <v/>
      </c>
      <c r="AV962" s="266">
        <f t="shared" ref="AV962:AV1001" si="62">-AR962</f>
        <v>0</v>
      </c>
    </row>
    <row r="963" spans="26:48" ht="15" customHeight="1" x14ac:dyDescent="0.2">
      <c r="Z963" s="243" t="str">
        <f>Shares!A963</f>
        <v/>
      </c>
      <c r="AA963" s="243" t="str">
        <f>Shares!B963</f>
        <v/>
      </c>
      <c r="AB963" s="243" t="str">
        <f>Shares!C963</f>
        <v/>
      </c>
      <c r="AC963" s="243" t="str">
        <f>Shares!D963</f>
        <v/>
      </c>
      <c r="AD963" s="243">
        <f>IF($Z963="",0,Shares!E963)</f>
        <v>0</v>
      </c>
      <c r="AE963" s="266">
        <f>IF($Z963="",0,Shares!J963*Shares!I963)</f>
        <v>0</v>
      </c>
      <c r="AF963" s="267">
        <f t="shared" si="61"/>
        <v>0</v>
      </c>
      <c r="AG963" s="266">
        <f>IF($Z963="",0,Shares!L963)</f>
        <v>0</v>
      </c>
      <c r="AH963" s="267">
        <f>IF($Z963="",0,Shares!M963)</f>
        <v>0</v>
      </c>
      <c r="AI963" s="243" t="str">
        <f>IF($Z963="","",RANK(AE963,$AE$2:$AE$1001)+COUNTIF($AE$2:AE963,AE963)-1)</f>
        <v/>
      </c>
      <c r="AJ963" s="243" t="str">
        <f>IF($AD963&lt;0,COUNT($AJ$1:AJ962)+1,"")</f>
        <v/>
      </c>
      <c r="AL963" s="243" t="str">
        <f>'All Ticker P&amp;L'!A963</f>
        <v/>
      </c>
      <c r="AM963" s="243" t="str">
        <f>'All Ticker P&amp;L'!B963</f>
        <v/>
      </c>
      <c r="AN963" s="243" t="str">
        <f>'All Ticker P&amp;L'!C963</f>
        <v/>
      </c>
      <c r="AO963" s="243" t="str">
        <f>'All Ticker P&amp;L'!D963</f>
        <v/>
      </c>
      <c r="AP963" s="243">
        <f>IF($AL963="",0,'All Ticker P&amp;L'!E963)</f>
        <v>0</v>
      </c>
      <c r="AQ963" s="266">
        <f>IF($AL963="",0,'All Ticker P&amp;L'!J963*'All Ticker P&amp;L'!I963)</f>
        <v>0</v>
      </c>
      <c r="AR963" s="266">
        <f>IF($AL963="",0,'All Ticker P&amp;L'!L963)</f>
        <v>0</v>
      </c>
      <c r="AS963" s="267">
        <f>IF($AL963="",0,'All Ticker P&amp;L'!M963)</f>
        <v>0</v>
      </c>
      <c r="AT963" s="243" t="str">
        <f>IF($AL963="","",RANK(AR963,$AR$2:$AR$1001)+COUNTIF($AR$2:AR963,AR963)-1)</f>
        <v/>
      </c>
      <c r="AU963" s="243" t="str">
        <f>IF($AL963="","",RANK(AV963,$AV$2:$AV$1001)+COUNTIF($AV$2:AV963,AV963)-1)</f>
        <v/>
      </c>
      <c r="AV963" s="266">
        <f t="shared" si="62"/>
        <v>0</v>
      </c>
    </row>
    <row r="964" spans="26:48" ht="15" customHeight="1" x14ac:dyDescent="0.2">
      <c r="Z964" s="243" t="str">
        <f>Shares!A964</f>
        <v/>
      </c>
      <c r="AA964" s="243" t="str">
        <f>Shares!B964</f>
        <v/>
      </c>
      <c r="AB964" s="243" t="str">
        <f>Shares!C964</f>
        <v/>
      </c>
      <c r="AC964" s="243" t="str">
        <f>Shares!D964</f>
        <v/>
      </c>
      <c r="AD964" s="243">
        <f>IF($Z964="",0,Shares!E964)</f>
        <v>0</v>
      </c>
      <c r="AE964" s="266">
        <f>IF($Z964="",0,Shares!J964*Shares!I964)</f>
        <v>0</v>
      </c>
      <c r="AF964" s="267">
        <f t="shared" si="61"/>
        <v>0</v>
      </c>
      <c r="AG964" s="266">
        <f>IF($Z964="",0,Shares!L964)</f>
        <v>0</v>
      </c>
      <c r="AH964" s="267">
        <f>IF($Z964="",0,Shares!M964)</f>
        <v>0</v>
      </c>
      <c r="AI964" s="243" t="str">
        <f>IF($Z964="","",RANK(AE964,$AE$2:$AE$1001)+COUNTIF($AE$2:AE964,AE964)-1)</f>
        <v/>
      </c>
      <c r="AJ964" s="243" t="str">
        <f>IF($AD964&lt;0,COUNT($AJ$1:AJ963)+1,"")</f>
        <v/>
      </c>
      <c r="AL964" s="243" t="str">
        <f>'All Ticker P&amp;L'!A964</f>
        <v/>
      </c>
      <c r="AM964" s="243" t="str">
        <f>'All Ticker P&amp;L'!B964</f>
        <v/>
      </c>
      <c r="AN964" s="243" t="str">
        <f>'All Ticker P&amp;L'!C964</f>
        <v/>
      </c>
      <c r="AO964" s="243" t="str">
        <f>'All Ticker P&amp;L'!D964</f>
        <v/>
      </c>
      <c r="AP964" s="243">
        <f>IF($AL964="",0,'All Ticker P&amp;L'!E964)</f>
        <v>0</v>
      </c>
      <c r="AQ964" s="266">
        <f>IF($AL964="",0,'All Ticker P&amp;L'!J964*'All Ticker P&amp;L'!I964)</f>
        <v>0</v>
      </c>
      <c r="AR964" s="266">
        <f>IF($AL964="",0,'All Ticker P&amp;L'!L964)</f>
        <v>0</v>
      </c>
      <c r="AS964" s="267">
        <f>IF($AL964="",0,'All Ticker P&amp;L'!M964)</f>
        <v>0</v>
      </c>
      <c r="AT964" s="243" t="str">
        <f>IF($AL964="","",RANK(AR964,$AR$2:$AR$1001)+COUNTIF($AR$2:AR964,AR964)-1)</f>
        <v/>
      </c>
      <c r="AU964" s="243" t="str">
        <f>IF($AL964="","",RANK(AV964,$AV$2:$AV$1001)+COUNTIF($AV$2:AV964,AV964)-1)</f>
        <v/>
      </c>
      <c r="AV964" s="266">
        <f t="shared" si="62"/>
        <v>0</v>
      </c>
    </row>
    <row r="965" spans="26:48" ht="15" customHeight="1" x14ac:dyDescent="0.2">
      <c r="Z965" s="243" t="str">
        <f>Shares!A965</f>
        <v/>
      </c>
      <c r="AA965" s="243" t="str">
        <f>Shares!B965</f>
        <v/>
      </c>
      <c r="AB965" s="243" t="str">
        <f>Shares!C965</f>
        <v/>
      </c>
      <c r="AC965" s="243" t="str">
        <f>Shares!D965</f>
        <v/>
      </c>
      <c r="AD965" s="243">
        <f>IF($Z965="",0,Shares!E965)</f>
        <v>0</v>
      </c>
      <c r="AE965" s="266">
        <f>IF($Z965="",0,Shares!J965*Shares!I965)</f>
        <v>0</v>
      </c>
      <c r="AF965" s="267">
        <f t="shared" si="61"/>
        <v>0</v>
      </c>
      <c r="AG965" s="266">
        <f>IF($Z965="",0,Shares!L965)</f>
        <v>0</v>
      </c>
      <c r="AH965" s="267">
        <f>IF($Z965="",0,Shares!M965)</f>
        <v>0</v>
      </c>
      <c r="AI965" s="243" t="str">
        <f>IF($Z965="","",RANK(AE965,$AE$2:$AE$1001)+COUNTIF($AE$2:AE965,AE965)-1)</f>
        <v/>
      </c>
      <c r="AJ965" s="243" t="str">
        <f>IF($AD965&lt;0,COUNT($AJ$1:AJ964)+1,"")</f>
        <v/>
      </c>
      <c r="AL965" s="243" t="str">
        <f>'All Ticker P&amp;L'!A965</f>
        <v/>
      </c>
      <c r="AM965" s="243" t="str">
        <f>'All Ticker P&amp;L'!B965</f>
        <v/>
      </c>
      <c r="AN965" s="243" t="str">
        <f>'All Ticker P&amp;L'!C965</f>
        <v/>
      </c>
      <c r="AO965" s="243" t="str">
        <f>'All Ticker P&amp;L'!D965</f>
        <v/>
      </c>
      <c r="AP965" s="243">
        <f>IF($AL965="",0,'All Ticker P&amp;L'!E965)</f>
        <v>0</v>
      </c>
      <c r="AQ965" s="266">
        <f>IF($AL965="",0,'All Ticker P&amp;L'!J965*'All Ticker P&amp;L'!I965)</f>
        <v>0</v>
      </c>
      <c r="AR965" s="266">
        <f>IF($AL965="",0,'All Ticker P&amp;L'!L965)</f>
        <v>0</v>
      </c>
      <c r="AS965" s="267">
        <f>IF($AL965="",0,'All Ticker P&amp;L'!M965)</f>
        <v>0</v>
      </c>
      <c r="AT965" s="243" t="str">
        <f>IF($AL965="","",RANK(AR965,$AR$2:$AR$1001)+COUNTIF($AR$2:AR965,AR965)-1)</f>
        <v/>
      </c>
      <c r="AU965" s="243" t="str">
        <f>IF($AL965="","",RANK(AV965,$AV$2:$AV$1001)+COUNTIF($AV$2:AV965,AV965)-1)</f>
        <v/>
      </c>
      <c r="AV965" s="266">
        <f t="shared" si="62"/>
        <v>0</v>
      </c>
    </row>
    <row r="966" spans="26:48" ht="15" customHeight="1" x14ac:dyDescent="0.2">
      <c r="Z966" s="243" t="str">
        <f>Shares!A966</f>
        <v/>
      </c>
      <c r="AA966" s="243" t="str">
        <f>Shares!B966</f>
        <v/>
      </c>
      <c r="AB966" s="243" t="str">
        <f>Shares!C966</f>
        <v/>
      </c>
      <c r="AC966" s="243" t="str">
        <f>Shares!D966</f>
        <v/>
      </c>
      <c r="AD966" s="243">
        <f>IF($Z966="",0,Shares!E966)</f>
        <v>0</v>
      </c>
      <c r="AE966" s="266">
        <f>IF($Z966="",0,Shares!J966*Shares!I966)</f>
        <v>0</v>
      </c>
      <c r="AF966" s="267">
        <f t="shared" si="61"/>
        <v>0</v>
      </c>
      <c r="AG966" s="266">
        <f>IF($Z966="",0,Shares!L966)</f>
        <v>0</v>
      </c>
      <c r="AH966" s="267">
        <f>IF($Z966="",0,Shares!M966)</f>
        <v>0</v>
      </c>
      <c r="AI966" s="243" t="str">
        <f>IF($Z966="","",RANK(AE966,$AE$2:$AE$1001)+COUNTIF($AE$2:AE966,AE966)-1)</f>
        <v/>
      </c>
      <c r="AJ966" s="243" t="str">
        <f>IF($AD966&lt;0,COUNT($AJ$1:AJ965)+1,"")</f>
        <v/>
      </c>
      <c r="AL966" s="243" t="str">
        <f>'All Ticker P&amp;L'!A966</f>
        <v/>
      </c>
      <c r="AM966" s="243" t="str">
        <f>'All Ticker P&amp;L'!B966</f>
        <v/>
      </c>
      <c r="AN966" s="243" t="str">
        <f>'All Ticker P&amp;L'!C966</f>
        <v/>
      </c>
      <c r="AO966" s="243" t="str">
        <f>'All Ticker P&amp;L'!D966</f>
        <v/>
      </c>
      <c r="AP966" s="243">
        <f>IF($AL966="",0,'All Ticker P&amp;L'!E966)</f>
        <v>0</v>
      </c>
      <c r="AQ966" s="266">
        <f>IF($AL966="",0,'All Ticker P&amp;L'!J966*'All Ticker P&amp;L'!I966)</f>
        <v>0</v>
      </c>
      <c r="AR966" s="266">
        <f>IF($AL966="",0,'All Ticker P&amp;L'!L966)</f>
        <v>0</v>
      </c>
      <c r="AS966" s="267">
        <f>IF($AL966="",0,'All Ticker P&amp;L'!M966)</f>
        <v>0</v>
      </c>
      <c r="AT966" s="243" t="str">
        <f>IF($AL966="","",RANK(AR966,$AR$2:$AR$1001)+COUNTIF($AR$2:AR966,AR966)-1)</f>
        <v/>
      </c>
      <c r="AU966" s="243" t="str">
        <f>IF($AL966="","",RANK(AV966,$AV$2:$AV$1001)+COUNTIF($AV$2:AV966,AV966)-1)</f>
        <v/>
      </c>
      <c r="AV966" s="266">
        <f t="shared" si="62"/>
        <v>0</v>
      </c>
    </row>
    <row r="967" spans="26:48" ht="15" customHeight="1" x14ac:dyDescent="0.2">
      <c r="Z967" s="243" t="str">
        <f>Shares!A967</f>
        <v/>
      </c>
      <c r="AA967" s="243" t="str">
        <f>Shares!B967</f>
        <v/>
      </c>
      <c r="AB967" s="243" t="str">
        <f>Shares!C967</f>
        <v/>
      </c>
      <c r="AC967" s="243" t="str">
        <f>Shares!D967</f>
        <v/>
      </c>
      <c r="AD967" s="243">
        <f>IF($Z967="",0,Shares!E967)</f>
        <v>0</v>
      </c>
      <c r="AE967" s="266">
        <f>IF($Z967="",0,Shares!J967*Shares!I967)</f>
        <v>0</v>
      </c>
      <c r="AF967" s="267">
        <f t="shared" si="61"/>
        <v>0</v>
      </c>
      <c r="AG967" s="266">
        <f>IF($Z967="",0,Shares!L967)</f>
        <v>0</v>
      </c>
      <c r="AH967" s="267">
        <f>IF($Z967="",0,Shares!M967)</f>
        <v>0</v>
      </c>
      <c r="AI967" s="243" t="str">
        <f>IF($Z967="","",RANK(AE967,$AE$2:$AE$1001)+COUNTIF($AE$2:AE967,AE967)-1)</f>
        <v/>
      </c>
      <c r="AJ967" s="243" t="str">
        <f>IF($AD967&lt;0,COUNT($AJ$1:AJ966)+1,"")</f>
        <v/>
      </c>
      <c r="AL967" s="243" t="str">
        <f>'All Ticker P&amp;L'!A967</f>
        <v/>
      </c>
      <c r="AM967" s="243" t="str">
        <f>'All Ticker P&amp;L'!B967</f>
        <v/>
      </c>
      <c r="AN967" s="243" t="str">
        <f>'All Ticker P&amp;L'!C967</f>
        <v/>
      </c>
      <c r="AO967" s="243" t="str">
        <f>'All Ticker P&amp;L'!D967</f>
        <v/>
      </c>
      <c r="AP967" s="243">
        <f>IF($AL967="",0,'All Ticker P&amp;L'!E967)</f>
        <v>0</v>
      </c>
      <c r="AQ967" s="266">
        <f>IF($AL967="",0,'All Ticker P&amp;L'!J967*'All Ticker P&amp;L'!I967)</f>
        <v>0</v>
      </c>
      <c r="AR967" s="266">
        <f>IF($AL967="",0,'All Ticker P&amp;L'!L967)</f>
        <v>0</v>
      </c>
      <c r="AS967" s="267">
        <f>IF($AL967="",0,'All Ticker P&amp;L'!M967)</f>
        <v>0</v>
      </c>
      <c r="AT967" s="243" t="str">
        <f>IF($AL967="","",RANK(AR967,$AR$2:$AR$1001)+COUNTIF($AR$2:AR967,AR967)-1)</f>
        <v/>
      </c>
      <c r="AU967" s="243" t="str">
        <f>IF($AL967="","",RANK(AV967,$AV$2:$AV$1001)+COUNTIF($AV$2:AV967,AV967)-1)</f>
        <v/>
      </c>
      <c r="AV967" s="266">
        <f t="shared" si="62"/>
        <v>0</v>
      </c>
    </row>
    <row r="968" spans="26:48" ht="15" customHeight="1" x14ac:dyDescent="0.2">
      <c r="Z968" s="243" t="str">
        <f>Shares!A968</f>
        <v/>
      </c>
      <c r="AA968" s="243" t="str">
        <f>Shares!B968</f>
        <v/>
      </c>
      <c r="AB968" s="243" t="str">
        <f>Shares!C968</f>
        <v/>
      </c>
      <c r="AC968" s="243" t="str">
        <f>Shares!D968</f>
        <v/>
      </c>
      <c r="AD968" s="243">
        <f>IF($Z968="",0,Shares!E968)</f>
        <v>0</v>
      </c>
      <c r="AE968" s="266">
        <f>IF($Z968="",0,Shares!J968*Shares!I968)</f>
        <v>0</v>
      </c>
      <c r="AF968" s="267">
        <f t="shared" si="61"/>
        <v>0</v>
      </c>
      <c r="AG968" s="266">
        <f>IF($Z968="",0,Shares!L968)</f>
        <v>0</v>
      </c>
      <c r="AH968" s="267">
        <f>IF($Z968="",0,Shares!M968)</f>
        <v>0</v>
      </c>
      <c r="AI968" s="243" t="str">
        <f>IF($Z968="","",RANK(AE968,$AE$2:$AE$1001)+COUNTIF($AE$2:AE968,AE968)-1)</f>
        <v/>
      </c>
      <c r="AJ968" s="243" t="str">
        <f>IF($AD968&lt;0,COUNT($AJ$1:AJ967)+1,"")</f>
        <v/>
      </c>
      <c r="AL968" s="243" t="str">
        <f>'All Ticker P&amp;L'!A968</f>
        <v/>
      </c>
      <c r="AM968" s="243" t="str">
        <f>'All Ticker P&amp;L'!B968</f>
        <v/>
      </c>
      <c r="AN968" s="243" t="str">
        <f>'All Ticker P&amp;L'!C968</f>
        <v/>
      </c>
      <c r="AO968" s="243" t="str">
        <f>'All Ticker P&amp;L'!D968</f>
        <v/>
      </c>
      <c r="AP968" s="243">
        <f>IF($AL968="",0,'All Ticker P&amp;L'!E968)</f>
        <v>0</v>
      </c>
      <c r="AQ968" s="266">
        <f>IF($AL968="",0,'All Ticker P&amp;L'!J968*'All Ticker P&amp;L'!I968)</f>
        <v>0</v>
      </c>
      <c r="AR968" s="266">
        <f>IF($AL968="",0,'All Ticker P&amp;L'!L968)</f>
        <v>0</v>
      </c>
      <c r="AS968" s="267">
        <f>IF($AL968="",0,'All Ticker P&amp;L'!M968)</f>
        <v>0</v>
      </c>
      <c r="AT968" s="243" t="str">
        <f>IF($AL968="","",RANK(AR968,$AR$2:$AR$1001)+COUNTIF($AR$2:AR968,AR968)-1)</f>
        <v/>
      </c>
      <c r="AU968" s="243" t="str">
        <f>IF($AL968="","",RANK(AV968,$AV$2:$AV$1001)+COUNTIF($AV$2:AV968,AV968)-1)</f>
        <v/>
      </c>
      <c r="AV968" s="266">
        <f t="shared" si="62"/>
        <v>0</v>
      </c>
    </row>
    <row r="969" spans="26:48" ht="15" customHeight="1" x14ac:dyDescent="0.2">
      <c r="Z969" s="243" t="str">
        <f>Shares!A969</f>
        <v/>
      </c>
      <c r="AA969" s="243" t="str">
        <f>Shares!B969</f>
        <v/>
      </c>
      <c r="AB969" s="243" t="str">
        <f>Shares!C969</f>
        <v/>
      </c>
      <c r="AC969" s="243" t="str">
        <f>Shares!D969</f>
        <v/>
      </c>
      <c r="AD969" s="243">
        <f>IF($Z969="",0,Shares!E969)</f>
        <v>0</v>
      </c>
      <c r="AE969" s="266">
        <f>IF($Z969="",0,Shares!J969*Shares!I969)</f>
        <v>0</v>
      </c>
      <c r="AF969" s="267">
        <f t="shared" si="61"/>
        <v>0</v>
      </c>
      <c r="AG969" s="266">
        <f>IF($Z969="",0,Shares!L969)</f>
        <v>0</v>
      </c>
      <c r="AH969" s="267">
        <f>IF($Z969="",0,Shares!M969)</f>
        <v>0</v>
      </c>
      <c r="AI969" s="243" t="str">
        <f>IF($Z969="","",RANK(AE969,$AE$2:$AE$1001)+COUNTIF($AE$2:AE969,AE969)-1)</f>
        <v/>
      </c>
      <c r="AJ969" s="243" t="str">
        <f>IF($AD969&lt;0,COUNT($AJ$1:AJ968)+1,"")</f>
        <v/>
      </c>
      <c r="AL969" s="243" t="str">
        <f>'All Ticker P&amp;L'!A969</f>
        <v/>
      </c>
      <c r="AM969" s="243" t="str">
        <f>'All Ticker P&amp;L'!B969</f>
        <v/>
      </c>
      <c r="AN969" s="243" t="str">
        <f>'All Ticker P&amp;L'!C969</f>
        <v/>
      </c>
      <c r="AO969" s="243" t="str">
        <f>'All Ticker P&amp;L'!D969</f>
        <v/>
      </c>
      <c r="AP969" s="243">
        <f>IF($AL969="",0,'All Ticker P&amp;L'!E969)</f>
        <v>0</v>
      </c>
      <c r="AQ969" s="266">
        <f>IF($AL969="",0,'All Ticker P&amp;L'!J969*'All Ticker P&amp;L'!I969)</f>
        <v>0</v>
      </c>
      <c r="AR969" s="266">
        <f>IF($AL969="",0,'All Ticker P&amp;L'!L969)</f>
        <v>0</v>
      </c>
      <c r="AS969" s="267">
        <f>IF($AL969="",0,'All Ticker P&amp;L'!M969)</f>
        <v>0</v>
      </c>
      <c r="AT969" s="243" t="str">
        <f>IF($AL969="","",RANK(AR969,$AR$2:$AR$1001)+COUNTIF($AR$2:AR969,AR969)-1)</f>
        <v/>
      </c>
      <c r="AU969" s="243" t="str">
        <f>IF($AL969="","",RANK(AV969,$AV$2:$AV$1001)+COUNTIF($AV$2:AV969,AV969)-1)</f>
        <v/>
      </c>
      <c r="AV969" s="266">
        <f t="shared" si="62"/>
        <v>0</v>
      </c>
    </row>
    <row r="970" spans="26:48" ht="15" customHeight="1" x14ac:dyDescent="0.2">
      <c r="Z970" s="243" t="str">
        <f>Shares!A970</f>
        <v/>
      </c>
      <c r="AA970" s="243" t="str">
        <f>Shares!B970</f>
        <v/>
      </c>
      <c r="AB970" s="243" t="str">
        <f>Shares!C970</f>
        <v/>
      </c>
      <c r="AC970" s="243" t="str">
        <f>Shares!D970</f>
        <v/>
      </c>
      <c r="AD970" s="243">
        <f>IF($Z970="",0,Shares!E970)</f>
        <v>0</v>
      </c>
      <c r="AE970" s="266">
        <f>IF($Z970="",0,Shares!J970*Shares!I970)</f>
        <v>0</v>
      </c>
      <c r="AF970" s="267">
        <f t="shared" si="61"/>
        <v>0</v>
      </c>
      <c r="AG970" s="266">
        <f>IF($Z970="",0,Shares!L970)</f>
        <v>0</v>
      </c>
      <c r="AH970" s="267">
        <f>IF($Z970="",0,Shares!M970)</f>
        <v>0</v>
      </c>
      <c r="AI970" s="243" t="str">
        <f>IF($Z970="","",RANK(AE970,$AE$2:$AE$1001)+COUNTIF($AE$2:AE970,AE970)-1)</f>
        <v/>
      </c>
      <c r="AJ970" s="243" t="str">
        <f>IF($AD970&lt;0,COUNT($AJ$1:AJ969)+1,"")</f>
        <v/>
      </c>
      <c r="AL970" s="243" t="str">
        <f>'All Ticker P&amp;L'!A970</f>
        <v/>
      </c>
      <c r="AM970" s="243" t="str">
        <f>'All Ticker P&amp;L'!B970</f>
        <v/>
      </c>
      <c r="AN970" s="243" t="str">
        <f>'All Ticker P&amp;L'!C970</f>
        <v/>
      </c>
      <c r="AO970" s="243" t="str">
        <f>'All Ticker P&amp;L'!D970</f>
        <v/>
      </c>
      <c r="AP970" s="243">
        <f>IF($AL970="",0,'All Ticker P&amp;L'!E970)</f>
        <v>0</v>
      </c>
      <c r="AQ970" s="266">
        <f>IF($AL970="",0,'All Ticker P&amp;L'!J970*'All Ticker P&amp;L'!I970)</f>
        <v>0</v>
      </c>
      <c r="AR970" s="266">
        <f>IF($AL970="",0,'All Ticker P&amp;L'!L970)</f>
        <v>0</v>
      </c>
      <c r="AS970" s="267">
        <f>IF($AL970="",0,'All Ticker P&amp;L'!M970)</f>
        <v>0</v>
      </c>
      <c r="AT970" s="243" t="str">
        <f>IF($AL970="","",RANK(AR970,$AR$2:$AR$1001)+COUNTIF($AR$2:AR970,AR970)-1)</f>
        <v/>
      </c>
      <c r="AU970" s="243" t="str">
        <f>IF($AL970="","",RANK(AV970,$AV$2:$AV$1001)+COUNTIF($AV$2:AV970,AV970)-1)</f>
        <v/>
      </c>
      <c r="AV970" s="266">
        <f t="shared" si="62"/>
        <v>0</v>
      </c>
    </row>
    <row r="971" spans="26:48" ht="15" customHeight="1" x14ac:dyDescent="0.2">
      <c r="Z971" s="243" t="str">
        <f>Shares!A971</f>
        <v/>
      </c>
      <c r="AA971" s="243" t="str">
        <f>Shares!B971</f>
        <v/>
      </c>
      <c r="AB971" s="243" t="str">
        <f>Shares!C971</f>
        <v/>
      </c>
      <c r="AC971" s="243" t="str">
        <f>Shares!D971</f>
        <v/>
      </c>
      <c r="AD971" s="243">
        <f>IF($Z971="",0,Shares!E971)</f>
        <v>0</v>
      </c>
      <c r="AE971" s="266">
        <f>IF($Z971="",0,Shares!J971*Shares!I971)</f>
        <v>0</v>
      </c>
      <c r="AF971" s="267">
        <f t="shared" si="61"/>
        <v>0</v>
      </c>
      <c r="AG971" s="266">
        <f>IF($Z971="",0,Shares!L971)</f>
        <v>0</v>
      </c>
      <c r="AH971" s="267">
        <f>IF($Z971="",0,Shares!M971)</f>
        <v>0</v>
      </c>
      <c r="AI971" s="243" t="str">
        <f>IF($Z971="","",RANK(AE971,$AE$2:$AE$1001)+COUNTIF($AE$2:AE971,AE971)-1)</f>
        <v/>
      </c>
      <c r="AJ971" s="243" t="str">
        <f>IF($AD971&lt;0,COUNT($AJ$1:AJ970)+1,"")</f>
        <v/>
      </c>
      <c r="AL971" s="243" t="str">
        <f>'All Ticker P&amp;L'!A971</f>
        <v/>
      </c>
      <c r="AM971" s="243" t="str">
        <f>'All Ticker P&amp;L'!B971</f>
        <v/>
      </c>
      <c r="AN971" s="243" t="str">
        <f>'All Ticker P&amp;L'!C971</f>
        <v/>
      </c>
      <c r="AO971" s="243" t="str">
        <f>'All Ticker P&amp;L'!D971</f>
        <v/>
      </c>
      <c r="AP971" s="243">
        <f>IF($AL971="",0,'All Ticker P&amp;L'!E971)</f>
        <v>0</v>
      </c>
      <c r="AQ971" s="266">
        <f>IF($AL971="",0,'All Ticker P&amp;L'!J971*'All Ticker P&amp;L'!I971)</f>
        <v>0</v>
      </c>
      <c r="AR971" s="266">
        <f>IF($AL971="",0,'All Ticker P&amp;L'!L971)</f>
        <v>0</v>
      </c>
      <c r="AS971" s="267">
        <f>IF($AL971="",0,'All Ticker P&amp;L'!M971)</f>
        <v>0</v>
      </c>
      <c r="AT971" s="243" t="str">
        <f>IF($AL971="","",RANK(AR971,$AR$2:$AR$1001)+COUNTIF($AR$2:AR971,AR971)-1)</f>
        <v/>
      </c>
      <c r="AU971" s="243" t="str">
        <f>IF($AL971="","",RANK(AV971,$AV$2:$AV$1001)+COUNTIF($AV$2:AV971,AV971)-1)</f>
        <v/>
      </c>
      <c r="AV971" s="266">
        <f t="shared" si="62"/>
        <v>0</v>
      </c>
    </row>
    <row r="972" spans="26:48" ht="15" customHeight="1" x14ac:dyDescent="0.2">
      <c r="Z972" s="243" t="str">
        <f>Shares!A972</f>
        <v/>
      </c>
      <c r="AA972" s="243" t="str">
        <f>Shares!B972</f>
        <v/>
      </c>
      <c r="AB972" s="243" t="str">
        <f>Shares!C972</f>
        <v/>
      </c>
      <c r="AC972" s="243" t="str">
        <f>Shares!D972</f>
        <v/>
      </c>
      <c r="AD972" s="243">
        <f>IF($Z972="",0,Shares!E972)</f>
        <v>0</v>
      </c>
      <c r="AE972" s="266">
        <f>IF($Z972="",0,Shares!J972*Shares!I972)</f>
        <v>0</v>
      </c>
      <c r="AF972" s="267">
        <f t="shared" si="61"/>
        <v>0</v>
      </c>
      <c r="AG972" s="266">
        <f>IF($Z972="",0,Shares!L972)</f>
        <v>0</v>
      </c>
      <c r="AH972" s="267">
        <f>IF($Z972="",0,Shares!M972)</f>
        <v>0</v>
      </c>
      <c r="AI972" s="243" t="str">
        <f>IF($Z972="","",RANK(AE972,$AE$2:$AE$1001)+COUNTIF($AE$2:AE972,AE972)-1)</f>
        <v/>
      </c>
      <c r="AJ972" s="243" t="str">
        <f>IF($AD972&lt;0,COUNT($AJ$1:AJ971)+1,"")</f>
        <v/>
      </c>
      <c r="AL972" s="243" t="str">
        <f>'All Ticker P&amp;L'!A972</f>
        <v/>
      </c>
      <c r="AM972" s="243" t="str">
        <f>'All Ticker P&amp;L'!B972</f>
        <v/>
      </c>
      <c r="AN972" s="243" t="str">
        <f>'All Ticker P&amp;L'!C972</f>
        <v/>
      </c>
      <c r="AO972" s="243" t="str">
        <f>'All Ticker P&amp;L'!D972</f>
        <v/>
      </c>
      <c r="AP972" s="243">
        <f>IF($AL972="",0,'All Ticker P&amp;L'!E972)</f>
        <v>0</v>
      </c>
      <c r="AQ972" s="266">
        <f>IF($AL972="",0,'All Ticker P&amp;L'!J972*'All Ticker P&amp;L'!I972)</f>
        <v>0</v>
      </c>
      <c r="AR972" s="266">
        <f>IF($AL972="",0,'All Ticker P&amp;L'!L972)</f>
        <v>0</v>
      </c>
      <c r="AS972" s="267">
        <f>IF($AL972="",0,'All Ticker P&amp;L'!M972)</f>
        <v>0</v>
      </c>
      <c r="AT972" s="243" t="str">
        <f>IF($AL972="","",RANK(AR972,$AR$2:$AR$1001)+COUNTIF($AR$2:AR972,AR972)-1)</f>
        <v/>
      </c>
      <c r="AU972" s="243" t="str">
        <f>IF($AL972="","",RANK(AV972,$AV$2:$AV$1001)+COUNTIF($AV$2:AV972,AV972)-1)</f>
        <v/>
      </c>
      <c r="AV972" s="266">
        <f t="shared" si="62"/>
        <v>0</v>
      </c>
    </row>
    <row r="973" spans="26:48" ht="15" customHeight="1" x14ac:dyDescent="0.2">
      <c r="Z973" s="243" t="str">
        <f>Shares!A973</f>
        <v/>
      </c>
      <c r="AA973" s="243" t="str">
        <f>Shares!B973</f>
        <v/>
      </c>
      <c r="AB973" s="243" t="str">
        <f>Shares!C973</f>
        <v/>
      </c>
      <c r="AC973" s="243" t="str">
        <f>Shares!D973</f>
        <v/>
      </c>
      <c r="AD973" s="243">
        <f>IF($Z973="",0,Shares!E973)</f>
        <v>0</v>
      </c>
      <c r="AE973" s="266">
        <f>IF($Z973="",0,Shares!J973*Shares!I973)</f>
        <v>0</v>
      </c>
      <c r="AF973" s="267">
        <f t="shared" si="61"/>
        <v>0</v>
      </c>
      <c r="AG973" s="266">
        <f>IF($Z973="",0,Shares!L973)</f>
        <v>0</v>
      </c>
      <c r="AH973" s="267">
        <f>IF($Z973="",0,Shares!M973)</f>
        <v>0</v>
      </c>
      <c r="AI973" s="243" t="str">
        <f>IF($Z973="","",RANK(AE973,$AE$2:$AE$1001)+COUNTIF($AE$2:AE973,AE973)-1)</f>
        <v/>
      </c>
      <c r="AJ973" s="243" t="str">
        <f>IF($AD973&lt;0,COUNT($AJ$1:AJ972)+1,"")</f>
        <v/>
      </c>
      <c r="AL973" s="243" t="str">
        <f>'All Ticker P&amp;L'!A973</f>
        <v/>
      </c>
      <c r="AM973" s="243" t="str">
        <f>'All Ticker P&amp;L'!B973</f>
        <v/>
      </c>
      <c r="AN973" s="243" t="str">
        <f>'All Ticker P&amp;L'!C973</f>
        <v/>
      </c>
      <c r="AO973" s="243" t="str">
        <f>'All Ticker P&amp;L'!D973</f>
        <v/>
      </c>
      <c r="AP973" s="243">
        <f>IF($AL973="",0,'All Ticker P&amp;L'!E973)</f>
        <v>0</v>
      </c>
      <c r="AQ973" s="266">
        <f>IF($AL973="",0,'All Ticker P&amp;L'!J973*'All Ticker P&amp;L'!I973)</f>
        <v>0</v>
      </c>
      <c r="AR973" s="266">
        <f>IF($AL973="",0,'All Ticker P&amp;L'!L973)</f>
        <v>0</v>
      </c>
      <c r="AS973" s="267">
        <f>IF($AL973="",0,'All Ticker P&amp;L'!M973)</f>
        <v>0</v>
      </c>
      <c r="AT973" s="243" t="str">
        <f>IF($AL973="","",RANK(AR973,$AR$2:$AR$1001)+COUNTIF($AR$2:AR973,AR973)-1)</f>
        <v/>
      </c>
      <c r="AU973" s="243" t="str">
        <f>IF($AL973="","",RANK(AV973,$AV$2:$AV$1001)+COUNTIF($AV$2:AV973,AV973)-1)</f>
        <v/>
      </c>
      <c r="AV973" s="266">
        <f t="shared" si="62"/>
        <v>0</v>
      </c>
    </row>
    <row r="974" spans="26:48" ht="15" customHeight="1" x14ac:dyDescent="0.2">
      <c r="Z974" s="243" t="str">
        <f>Shares!A974</f>
        <v/>
      </c>
      <c r="AA974" s="243" t="str">
        <f>Shares!B974</f>
        <v/>
      </c>
      <c r="AB974" s="243" t="str">
        <f>Shares!C974</f>
        <v/>
      </c>
      <c r="AC974" s="243" t="str">
        <f>Shares!D974</f>
        <v/>
      </c>
      <c r="AD974" s="243">
        <f>IF($Z974="",0,Shares!E974)</f>
        <v>0</v>
      </c>
      <c r="AE974" s="266">
        <f>IF($Z974="",0,Shares!J974*Shares!I974)</f>
        <v>0</v>
      </c>
      <c r="AF974" s="267">
        <f t="shared" si="61"/>
        <v>0</v>
      </c>
      <c r="AG974" s="266">
        <f>IF($Z974="",0,Shares!L974)</f>
        <v>0</v>
      </c>
      <c r="AH974" s="267">
        <f>IF($Z974="",0,Shares!M974)</f>
        <v>0</v>
      </c>
      <c r="AI974" s="243" t="str">
        <f>IF($Z974="","",RANK(AE974,$AE$2:$AE$1001)+COUNTIF($AE$2:AE974,AE974)-1)</f>
        <v/>
      </c>
      <c r="AJ974" s="243" t="str">
        <f>IF($AD974&lt;0,COUNT($AJ$1:AJ973)+1,"")</f>
        <v/>
      </c>
      <c r="AL974" s="243" t="str">
        <f>'All Ticker P&amp;L'!A974</f>
        <v/>
      </c>
      <c r="AM974" s="243" t="str">
        <f>'All Ticker P&amp;L'!B974</f>
        <v/>
      </c>
      <c r="AN974" s="243" t="str">
        <f>'All Ticker P&amp;L'!C974</f>
        <v/>
      </c>
      <c r="AO974" s="243" t="str">
        <f>'All Ticker P&amp;L'!D974</f>
        <v/>
      </c>
      <c r="AP974" s="243">
        <f>IF($AL974="",0,'All Ticker P&amp;L'!E974)</f>
        <v>0</v>
      </c>
      <c r="AQ974" s="266">
        <f>IF($AL974="",0,'All Ticker P&amp;L'!J974*'All Ticker P&amp;L'!I974)</f>
        <v>0</v>
      </c>
      <c r="AR974" s="266">
        <f>IF($AL974="",0,'All Ticker P&amp;L'!L974)</f>
        <v>0</v>
      </c>
      <c r="AS974" s="267">
        <f>IF($AL974="",0,'All Ticker P&amp;L'!M974)</f>
        <v>0</v>
      </c>
      <c r="AT974" s="243" t="str">
        <f>IF($AL974="","",RANK(AR974,$AR$2:$AR$1001)+COUNTIF($AR$2:AR974,AR974)-1)</f>
        <v/>
      </c>
      <c r="AU974" s="243" t="str">
        <f>IF($AL974="","",RANK(AV974,$AV$2:$AV$1001)+COUNTIF($AV$2:AV974,AV974)-1)</f>
        <v/>
      </c>
      <c r="AV974" s="266">
        <f t="shared" si="62"/>
        <v>0</v>
      </c>
    </row>
    <row r="975" spans="26:48" ht="15" customHeight="1" x14ac:dyDescent="0.2">
      <c r="Z975" s="243" t="str">
        <f>Shares!A975</f>
        <v/>
      </c>
      <c r="AA975" s="243" t="str">
        <f>Shares!B975</f>
        <v/>
      </c>
      <c r="AB975" s="243" t="str">
        <f>Shares!C975</f>
        <v/>
      </c>
      <c r="AC975" s="243" t="str">
        <f>Shares!D975</f>
        <v/>
      </c>
      <c r="AD975" s="243">
        <f>IF($Z975="",0,Shares!E975)</f>
        <v>0</v>
      </c>
      <c r="AE975" s="266">
        <f>IF($Z975="",0,Shares!J975*Shares!I975)</f>
        <v>0</v>
      </c>
      <c r="AF975" s="267">
        <f t="shared" si="61"/>
        <v>0</v>
      </c>
      <c r="AG975" s="266">
        <f>IF($Z975="",0,Shares!L975)</f>
        <v>0</v>
      </c>
      <c r="AH975" s="267">
        <f>IF($Z975="",0,Shares!M975)</f>
        <v>0</v>
      </c>
      <c r="AI975" s="243" t="str">
        <f>IF($Z975="","",RANK(AE975,$AE$2:$AE$1001)+COUNTIF($AE$2:AE975,AE975)-1)</f>
        <v/>
      </c>
      <c r="AJ975" s="243" t="str">
        <f>IF($AD975&lt;0,COUNT($AJ$1:AJ974)+1,"")</f>
        <v/>
      </c>
      <c r="AL975" s="243" t="str">
        <f>'All Ticker P&amp;L'!A975</f>
        <v/>
      </c>
      <c r="AM975" s="243" t="str">
        <f>'All Ticker P&amp;L'!B975</f>
        <v/>
      </c>
      <c r="AN975" s="243" t="str">
        <f>'All Ticker P&amp;L'!C975</f>
        <v/>
      </c>
      <c r="AO975" s="243" t="str">
        <f>'All Ticker P&amp;L'!D975</f>
        <v/>
      </c>
      <c r="AP975" s="243">
        <f>IF($AL975="",0,'All Ticker P&amp;L'!E975)</f>
        <v>0</v>
      </c>
      <c r="AQ975" s="266">
        <f>IF($AL975="",0,'All Ticker P&amp;L'!J975*'All Ticker P&amp;L'!I975)</f>
        <v>0</v>
      </c>
      <c r="AR975" s="266">
        <f>IF($AL975="",0,'All Ticker P&amp;L'!L975)</f>
        <v>0</v>
      </c>
      <c r="AS975" s="267">
        <f>IF($AL975="",0,'All Ticker P&amp;L'!M975)</f>
        <v>0</v>
      </c>
      <c r="AT975" s="243" t="str">
        <f>IF($AL975="","",RANK(AR975,$AR$2:$AR$1001)+COUNTIF($AR$2:AR975,AR975)-1)</f>
        <v/>
      </c>
      <c r="AU975" s="243" t="str">
        <f>IF($AL975="","",RANK(AV975,$AV$2:$AV$1001)+COUNTIF($AV$2:AV975,AV975)-1)</f>
        <v/>
      </c>
      <c r="AV975" s="266">
        <f t="shared" si="62"/>
        <v>0</v>
      </c>
    </row>
    <row r="976" spans="26:48" ht="15" customHeight="1" x14ac:dyDescent="0.2">
      <c r="Z976" s="243" t="str">
        <f>Shares!A976</f>
        <v/>
      </c>
      <c r="AA976" s="243" t="str">
        <f>Shares!B976</f>
        <v/>
      </c>
      <c r="AB976" s="243" t="str">
        <f>Shares!C976</f>
        <v/>
      </c>
      <c r="AC976" s="243" t="str">
        <f>Shares!D976</f>
        <v/>
      </c>
      <c r="AD976" s="243">
        <f>IF($Z976="",0,Shares!E976)</f>
        <v>0</v>
      </c>
      <c r="AE976" s="266">
        <f>IF($Z976="",0,Shares!J976*Shares!I976)</f>
        <v>0</v>
      </c>
      <c r="AF976" s="267">
        <f t="shared" si="61"/>
        <v>0</v>
      </c>
      <c r="AG976" s="266">
        <f>IF($Z976="",0,Shares!L976)</f>
        <v>0</v>
      </c>
      <c r="AH976" s="267">
        <f>IF($Z976="",0,Shares!M976)</f>
        <v>0</v>
      </c>
      <c r="AI976" s="243" t="str">
        <f>IF($Z976="","",RANK(AE976,$AE$2:$AE$1001)+COUNTIF($AE$2:AE976,AE976)-1)</f>
        <v/>
      </c>
      <c r="AJ976" s="243" t="str">
        <f>IF($AD976&lt;0,COUNT($AJ$1:AJ975)+1,"")</f>
        <v/>
      </c>
      <c r="AL976" s="243" t="str">
        <f>'All Ticker P&amp;L'!A976</f>
        <v/>
      </c>
      <c r="AM976" s="243" t="str">
        <f>'All Ticker P&amp;L'!B976</f>
        <v/>
      </c>
      <c r="AN976" s="243" t="str">
        <f>'All Ticker P&amp;L'!C976</f>
        <v/>
      </c>
      <c r="AO976" s="243" t="str">
        <f>'All Ticker P&amp;L'!D976</f>
        <v/>
      </c>
      <c r="AP976" s="243">
        <f>IF($AL976="",0,'All Ticker P&amp;L'!E976)</f>
        <v>0</v>
      </c>
      <c r="AQ976" s="266">
        <f>IF($AL976="",0,'All Ticker P&amp;L'!J976*'All Ticker P&amp;L'!I976)</f>
        <v>0</v>
      </c>
      <c r="AR976" s="266">
        <f>IF($AL976="",0,'All Ticker P&amp;L'!L976)</f>
        <v>0</v>
      </c>
      <c r="AS976" s="267">
        <f>IF($AL976="",0,'All Ticker P&amp;L'!M976)</f>
        <v>0</v>
      </c>
      <c r="AT976" s="243" t="str">
        <f>IF($AL976="","",RANK(AR976,$AR$2:$AR$1001)+COUNTIF($AR$2:AR976,AR976)-1)</f>
        <v/>
      </c>
      <c r="AU976" s="243" t="str">
        <f>IF($AL976="","",RANK(AV976,$AV$2:$AV$1001)+COUNTIF($AV$2:AV976,AV976)-1)</f>
        <v/>
      </c>
      <c r="AV976" s="266">
        <f t="shared" si="62"/>
        <v>0</v>
      </c>
    </row>
    <row r="977" spans="26:48" ht="15" customHeight="1" x14ac:dyDescent="0.2">
      <c r="Z977" s="243" t="str">
        <f>Shares!A977</f>
        <v/>
      </c>
      <c r="AA977" s="243" t="str">
        <f>Shares!B977</f>
        <v/>
      </c>
      <c r="AB977" s="243" t="str">
        <f>Shares!C977</f>
        <v/>
      </c>
      <c r="AC977" s="243" t="str">
        <f>Shares!D977</f>
        <v/>
      </c>
      <c r="AD977" s="243">
        <f>IF($Z977="",0,Shares!E977)</f>
        <v>0</v>
      </c>
      <c r="AE977" s="266">
        <f>IF($Z977="",0,Shares!J977*Shares!I977)</f>
        <v>0</v>
      </c>
      <c r="AF977" s="267">
        <f t="shared" si="61"/>
        <v>0</v>
      </c>
      <c r="AG977" s="266">
        <f>IF($Z977="",0,Shares!L977)</f>
        <v>0</v>
      </c>
      <c r="AH977" s="267">
        <f>IF($Z977="",0,Shares!M977)</f>
        <v>0</v>
      </c>
      <c r="AI977" s="243" t="str">
        <f>IF($Z977="","",RANK(AE977,$AE$2:$AE$1001)+COUNTIF($AE$2:AE977,AE977)-1)</f>
        <v/>
      </c>
      <c r="AJ977" s="243" t="str">
        <f>IF($AD977&lt;0,COUNT($AJ$1:AJ976)+1,"")</f>
        <v/>
      </c>
      <c r="AL977" s="243" t="str">
        <f>'All Ticker P&amp;L'!A977</f>
        <v/>
      </c>
      <c r="AM977" s="243" t="str">
        <f>'All Ticker P&amp;L'!B977</f>
        <v/>
      </c>
      <c r="AN977" s="243" t="str">
        <f>'All Ticker P&amp;L'!C977</f>
        <v/>
      </c>
      <c r="AO977" s="243" t="str">
        <f>'All Ticker P&amp;L'!D977</f>
        <v/>
      </c>
      <c r="AP977" s="243">
        <f>IF($AL977="",0,'All Ticker P&amp;L'!E977)</f>
        <v>0</v>
      </c>
      <c r="AQ977" s="266">
        <f>IF($AL977="",0,'All Ticker P&amp;L'!J977*'All Ticker P&amp;L'!I977)</f>
        <v>0</v>
      </c>
      <c r="AR977" s="266">
        <f>IF($AL977="",0,'All Ticker P&amp;L'!L977)</f>
        <v>0</v>
      </c>
      <c r="AS977" s="267">
        <f>IF($AL977="",0,'All Ticker P&amp;L'!M977)</f>
        <v>0</v>
      </c>
      <c r="AT977" s="243" t="str">
        <f>IF($AL977="","",RANK(AR977,$AR$2:$AR$1001)+COUNTIF($AR$2:AR977,AR977)-1)</f>
        <v/>
      </c>
      <c r="AU977" s="243" t="str">
        <f>IF($AL977="","",RANK(AV977,$AV$2:$AV$1001)+COUNTIF($AV$2:AV977,AV977)-1)</f>
        <v/>
      </c>
      <c r="AV977" s="266">
        <f t="shared" si="62"/>
        <v>0</v>
      </c>
    </row>
    <row r="978" spans="26:48" ht="15" customHeight="1" x14ac:dyDescent="0.2">
      <c r="Z978" s="243" t="str">
        <f>Shares!A978</f>
        <v/>
      </c>
      <c r="AA978" s="243" t="str">
        <f>Shares!B978</f>
        <v/>
      </c>
      <c r="AB978" s="243" t="str">
        <f>Shares!C978</f>
        <v/>
      </c>
      <c r="AC978" s="243" t="str">
        <f>Shares!D978</f>
        <v/>
      </c>
      <c r="AD978" s="243">
        <f>IF($Z978="",0,Shares!E978)</f>
        <v>0</v>
      </c>
      <c r="AE978" s="266">
        <f>IF($Z978="",0,Shares!J978*Shares!I978)</f>
        <v>0</v>
      </c>
      <c r="AF978" s="267">
        <f t="shared" si="61"/>
        <v>0</v>
      </c>
      <c r="AG978" s="266">
        <f>IF($Z978="",0,Shares!L978)</f>
        <v>0</v>
      </c>
      <c r="AH978" s="267">
        <f>IF($Z978="",0,Shares!M978)</f>
        <v>0</v>
      </c>
      <c r="AI978" s="243" t="str">
        <f>IF($Z978="","",RANK(AE978,$AE$2:$AE$1001)+COUNTIF($AE$2:AE978,AE978)-1)</f>
        <v/>
      </c>
      <c r="AJ978" s="243" t="str">
        <f>IF($AD978&lt;0,COUNT($AJ$1:AJ977)+1,"")</f>
        <v/>
      </c>
      <c r="AL978" s="243" t="str">
        <f>'All Ticker P&amp;L'!A978</f>
        <v/>
      </c>
      <c r="AM978" s="243" t="str">
        <f>'All Ticker P&amp;L'!B978</f>
        <v/>
      </c>
      <c r="AN978" s="243" t="str">
        <f>'All Ticker P&amp;L'!C978</f>
        <v/>
      </c>
      <c r="AO978" s="243" t="str">
        <f>'All Ticker P&amp;L'!D978</f>
        <v/>
      </c>
      <c r="AP978" s="243">
        <f>IF($AL978="",0,'All Ticker P&amp;L'!E978)</f>
        <v>0</v>
      </c>
      <c r="AQ978" s="266">
        <f>IF($AL978="",0,'All Ticker P&amp;L'!J978*'All Ticker P&amp;L'!I978)</f>
        <v>0</v>
      </c>
      <c r="AR978" s="266">
        <f>IF($AL978="",0,'All Ticker P&amp;L'!L978)</f>
        <v>0</v>
      </c>
      <c r="AS978" s="267">
        <f>IF($AL978="",0,'All Ticker P&amp;L'!M978)</f>
        <v>0</v>
      </c>
      <c r="AT978" s="243" t="str">
        <f>IF($AL978="","",RANK(AR978,$AR$2:$AR$1001)+COUNTIF($AR$2:AR978,AR978)-1)</f>
        <v/>
      </c>
      <c r="AU978" s="243" t="str">
        <f>IF($AL978="","",RANK(AV978,$AV$2:$AV$1001)+COUNTIF($AV$2:AV978,AV978)-1)</f>
        <v/>
      </c>
      <c r="AV978" s="266">
        <f t="shared" si="62"/>
        <v>0</v>
      </c>
    </row>
    <row r="979" spans="26:48" ht="15" customHeight="1" x14ac:dyDescent="0.2">
      <c r="Z979" s="243" t="str">
        <f>Shares!A979</f>
        <v/>
      </c>
      <c r="AA979" s="243" t="str">
        <f>Shares!B979</f>
        <v/>
      </c>
      <c r="AB979" s="243" t="str">
        <f>Shares!C979</f>
        <v/>
      </c>
      <c r="AC979" s="243" t="str">
        <f>Shares!D979</f>
        <v/>
      </c>
      <c r="AD979" s="243">
        <f>IF($Z979="",0,Shares!E979)</f>
        <v>0</v>
      </c>
      <c r="AE979" s="266">
        <f>IF($Z979="",0,Shares!J979*Shares!I979)</f>
        <v>0</v>
      </c>
      <c r="AF979" s="267">
        <f t="shared" si="61"/>
        <v>0</v>
      </c>
      <c r="AG979" s="266">
        <f>IF($Z979="",0,Shares!L979)</f>
        <v>0</v>
      </c>
      <c r="AH979" s="267">
        <f>IF($Z979="",0,Shares!M979)</f>
        <v>0</v>
      </c>
      <c r="AI979" s="243" t="str">
        <f>IF($Z979="","",RANK(AE979,$AE$2:$AE$1001)+COUNTIF($AE$2:AE979,AE979)-1)</f>
        <v/>
      </c>
      <c r="AJ979" s="243" t="str">
        <f>IF($AD979&lt;0,COUNT($AJ$1:AJ978)+1,"")</f>
        <v/>
      </c>
      <c r="AL979" s="243" t="str">
        <f>'All Ticker P&amp;L'!A979</f>
        <v/>
      </c>
      <c r="AM979" s="243" t="str">
        <f>'All Ticker P&amp;L'!B979</f>
        <v/>
      </c>
      <c r="AN979" s="243" t="str">
        <f>'All Ticker P&amp;L'!C979</f>
        <v/>
      </c>
      <c r="AO979" s="243" t="str">
        <f>'All Ticker P&amp;L'!D979</f>
        <v/>
      </c>
      <c r="AP979" s="243">
        <f>IF($AL979="",0,'All Ticker P&amp;L'!E979)</f>
        <v>0</v>
      </c>
      <c r="AQ979" s="266">
        <f>IF($AL979="",0,'All Ticker P&amp;L'!J979*'All Ticker P&amp;L'!I979)</f>
        <v>0</v>
      </c>
      <c r="AR979" s="266">
        <f>IF($AL979="",0,'All Ticker P&amp;L'!L979)</f>
        <v>0</v>
      </c>
      <c r="AS979" s="267">
        <f>IF($AL979="",0,'All Ticker P&amp;L'!M979)</f>
        <v>0</v>
      </c>
      <c r="AT979" s="243" t="str">
        <f>IF($AL979="","",RANK(AR979,$AR$2:$AR$1001)+COUNTIF($AR$2:AR979,AR979)-1)</f>
        <v/>
      </c>
      <c r="AU979" s="243" t="str">
        <f>IF($AL979="","",RANK(AV979,$AV$2:$AV$1001)+COUNTIF($AV$2:AV979,AV979)-1)</f>
        <v/>
      </c>
      <c r="AV979" s="266">
        <f t="shared" si="62"/>
        <v>0</v>
      </c>
    </row>
    <row r="980" spans="26:48" ht="15" customHeight="1" x14ac:dyDescent="0.2">
      <c r="Z980" s="243" t="str">
        <f>Shares!A980</f>
        <v/>
      </c>
      <c r="AA980" s="243" t="str">
        <f>Shares!B980</f>
        <v/>
      </c>
      <c r="AB980" s="243" t="str">
        <f>Shares!C980</f>
        <v/>
      </c>
      <c r="AC980" s="243" t="str">
        <f>Shares!D980</f>
        <v/>
      </c>
      <c r="AD980" s="243">
        <f>IF($Z980="",0,Shares!E980)</f>
        <v>0</v>
      </c>
      <c r="AE980" s="266">
        <f>IF($Z980="",0,Shares!J980*Shares!I980)</f>
        <v>0</v>
      </c>
      <c r="AF980" s="267">
        <f t="shared" si="61"/>
        <v>0</v>
      </c>
      <c r="AG980" s="266">
        <f>IF($Z980="",0,Shares!L980)</f>
        <v>0</v>
      </c>
      <c r="AH980" s="267">
        <f>IF($Z980="",0,Shares!M980)</f>
        <v>0</v>
      </c>
      <c r="AI980" s="243" t="str">
        <f>IF($Z980="","",RANK(AE980,$AE$2:$AE$1001)+COUNTIF($AE$2:AE980,AE980)-1)</f>
        <v/>
      </c>
      <c r="AJ980" s="243" t="str">
        <f>IF($AD980&lt;0,COUNT($AJ$1:AJ979)+1,"")</f>
        <v/>
      </c>
      <c r="AL980" s="243" t="str">
        <f>'All Ticker P&amp;L'!A980</f>
        <v/>
      </c>
      <c r="AM980" s="243" t="str">
        <f>'All Ticker P&amp;L'!B980</f>
        <v/>
      </c>
      <c r="AN980" s="243" t="str">
        <f>'All Ticker P&amp;L'!C980</f>
        <v/>
      </c>
      <c r="AO980" s="243" t="str">
        <f>'All Ticker P&amp;L'!D980</f>
        <v/>
      </c>
      <c r="AP980" s="243">
        <f>IF($AL980="",0,'All Ticker P&amp;L'!E980)</f>
        <v>0</v>
      </c>
      <c r="AQ980" s="266">
        <f>IF($AL980="",0,'All Ticker P&amp;L'!J980*'All Ticker P&amp;L'!I980)</f>
        <v>0</v>
      </c>
      <c r="AR980" s="266">
        <f>IF($AL980="",0,'All Ticker P&amp;L'!L980)</f>
        <v>0</v>
      </c>
      <c r="AS980" s="267">
        <f>IF($AL980="",0,'All Ticker P&amp;L'!M980)</f>
        <v>0</v>
      </c>
      <c r="AT980" s="243" t="str">
        <f>IF($AL980="","",RANK(AR980,$AR$2:$AR$1001)+COUNTIF($AR$2:AR980,AR980)-1)</f>
        <v/>
      </c>
      <c r="AU980" s="243" t="str">
        <f>IF($AL980="","",RANK(AV980,$AV$2:$AV$1001)+COUNTIF($AV$2:AV980,AV980)-1)</f>
        <v/>
      </c>
      <c r="AV980" s="266">
        <f t="shared" si="62"/>
        <v>0</v>
      </c>
    </row>
    <row r="981" spans="26:48" ht="15" customHeight="1" x14ac:dyDescent="0.2">
      <c r="Z981" s="243" t="str">
        <f>Shares!A981</f>
        <v/>
      </c>
      <c r="AA981" s="243" t="str">
        <f>Shares!B981</f>
        <v/>
      </c>
      <c r="AB981" s="243" t="str">
        <f>Shares!C981</f>
        <v/>
      </c>
      <c r="AC981" s="243" t="str">
        <f>Shares!D981</f>
        <v/>
      </c>
      <c r="AD981" s="243">
        <f>IF($Z981="",0,Shares!E981)</f>
        <v>0</v>
      </c>
      <c r="AE981" s="266">
        <f>IF($Z981="",0,Shares!J981*Shares!I981)</f>
        <v>0</v>
      </c>
      <c r="AF981" s="267">
        <f t="shared" si="61"/>
        <v>0</v>
      </c>
      <c r="AG981" s="266">
        <f>IF($Z981="",0,Shares!L981)</f>
        <v>0</v>
      </c>
      <c r="AH981" s="267">
        <f>IF($Z981="",0,Shares!M981)</f>
        <v>0</v>
      </c>
      <c r="AI981" s="243" t="str">
        <f>IF($Z981="","",RANK(AE981,$AE$2:$AE$1001)+COUNTIF($AE$2:AE981,AE981)-1)</f>
        <v/>
      </c>
      <c r="AJ981" s="243" t="str">
        <f>IF($AD981&lt;0,COUNT($AJ$1:AJ980)+1,"")</f>
        <v/>
      </c>
      <c r="AL981" s="243" t="str">
        <f>'All Ticker P&amp;L'!A981</f>
        <v/>
      </c>
      <c r="AM981" s="243" t="str">
        <f>'All Ticker P&amp;L'!B981</f>
        <v/>
      </c>
      <c r="AN981" s="243" t="str">
        <f>'All Ticker P&amp;L'!C981</f>
        <v/>
      </c>
      <c r="AO981" s="243" t="str">
        <f>'All Ticker P&amp;L'!D981</f>
        <v/>
      </c>
      <c r="AP981" s="243">
        <f>IF($AL981="",0,'All Ticker P&amp;L'!E981)</f>
        <v>0</v>
      </c>
      <c r="AQ981" s="266">
        <f>IF($AL981="",0,'All Ticker P&amp;L'!J981*'All Ticker P&amp;L'!I981)</f>
        <v>0</v>
      </c>
      <c r="AR981" s="266">
        <f>IF($AL981="",0,'All Ticker P&amp;L'!L981)</f>
        <v>0</v>
      </c>
      <c r="AS981" s="267">
        <f>IF($AL981="",0,'All Ticker P&amp;L'!M981)</f>
        <v>0</v>
      </c>
      <c r="AT981" s="243" t="str">
        <f>IF($AL981="","",RANK(AR981,$AR$2:$AR$1001)+COUNTIF($AR$2:AR981,AR981)-1)</f>
        <v/>
      </c>
      <c r="AU981" s="243" t="str">
        <f>IF($AL981="","",RANK(AV981,$AV$2:$AV$1001)+COUNTIF($AV$2:AV981,AV981)-1)</f>
        <v/>
      </c>
      <c r="AV981" s="266">
        <f t="shared" si="62"/>
        <v>0</v>
      </c>
    </row>
    <row r="982" spans="26:48" ht="15" customHeight="1" x14ac:dyDescent="0.2">
      <c r="Z982" s="243" t="str">
        <f>Shares!A982</f>
        <v/>
      </c>
      <c r="AA982" s="243" t="str">
        <f>Shares!B982</f>
        <v/>
      </c>
      <c r="AB982" s="243" t="str">
        <f>Shares!C982</f>
        <v/>
      </c>
      <c r="AC982" s="243" t="str">
        <f>Shares!D982</f>
        <v/>
      </c>
      <c r="AD982" s="243">
        <f>IF($Z982="",0,Shares!E982)</f>
        <v>0</v>
      </c>
      <c r="AE982" s="266">
        <f>IF($Z982="",0,Shares!J982*Shares!I982)</f>
        <v>0</v>
      </c>
      <c r="AF982" s="267">
        <f t="shared" si="61"/>
        <v>0</v>
      </c>
      <c r="AG982" s="266">
        <f>IF($Z982="",0,Shares!L982)</f>
        <v>0</v>
      </c>
      <c r="AH982" s="267">
        <f>IF($Z982="",0,Shares!M982)</f>
        <v>0</v>
      </c>
      <c r="AI982" s="243" t="str">
        <f>IF($Z982="","",RANK(AE982,$AE$2:$AE$1001)+COUNTIF($AE$2:AE982,AE982)-1)</f>
        <v/>
      </c>
      <c r="AJ982" s="243" t="str">
        <f>IF($AD982&lt;0,COUNT($AJ$1:AJ981)+1,"")</f>
        <v/>
      </c>
      <c r="AL982" s="243" t="str">
        <f>'All Ticker P&amp;L'!A982</f>
        <v/>
      </c>
      <c r="AM982" s="243" t="str">
        <f>'All Ticker P&amp;L'!B982</f>
        <v/>
      </c>
      <c r="AN982" s="243" t="str">
        <f>'All Ticker P&amp;L'!C982</f>
        <v/>
      </c>
      <c r="AO982" s="243" t="str">
        <f>'All Ticker P&amp;L'!D982</f>
        <v/>
      </c>
      <c r="AP982" s="243">
        <f>IF($AL982="",0,'All Ticker P&amp;L'!E982)</f>
        <v>0</v>
      </c>
      <c r="AQ982" s="266">
        <f>IF($AL982="",0,'All Ticker P&amp;L'!J982*'All Ticker P&amp;L'!I982)</f>
        <v>0</v>
      </c>
      <c r="AR982" s="266">
        <f>IF($AL982="",0,'All Ticker P&amp;L'!L982)</f>
        <v>0</v>
      </c>
      <c r="AS982" s="267">
        <f>IF($AL982="",0,'All Ticker P&amp;L'!M982)</f>
        <v>0</v>
      </c>
      <c r="AT982" s="243" t="str">
        <f>IF($AL982="","",RANK(AR982,$AR$2:$AR$1001)+COUNTIF($AR$2:AR982,AR982)-1)</f>
        <v/>
      </c>
      <c r="AU982" s="243" t="str">
        <f>IF($AL982="","",RANK(AV982,$AV$2:$AV$1001)+COUNTIF($AV$2:AV982,AV982)-1)</f>
        <v/>
      </c>
      <c r="AV982" s="266">
        <f t="shared" si="62"/>
        <v>0</v>
      </c>
    </row>
    <row r="983" spans="26:48" ht="15" customHeight="1" x14ac:dyDescent="0.2">
      <c r="Z983" s="243" t="str">
        <f>Shares!A983</f>
        <v/>
      </c>
      <c r="AA983" s="243" t="str">
        <f>Shares!B983</f>
        <v/>
      </c>
      <c r="AB983" s="243" t="str">
        <f>Shares!C983</f>
        <v/>
      </c>
      <c r="AC983" s="243" t="str">
        <f>Shares!D983</f>
        <v/>
      </c>
      <c r="AD983" s="243">
        <f>IF($Z983="",0,Shares!E983)</f>
        <v>0</v>
      </c>
      <c r="AE983" s="266">
        <f>IF($Z983="",0,Shares!J983*Shares!I983)</f>
        <v>0</v>
      </c>
      <c r="AF983" s="267">
        <f t="shared" si="61"/>
        <v>0</v>
      </c>
      <c r="AG983" s="266">
        <f>IF($Z983="",0,Shares!L983)</f>
        <v>0</v>
      </c>
      <c r="AH983" s="267">
        <f>IF($Z983="",0,Shares!M983)</f>
        <v>0</v>
      </c>
      <c r="AI983" s="243" t="str">
        <f>IF($Z983="","",RANK(AE983,$AE$2:$AE$1001)+COUNTIF($AE$2:AE983,AE983)-1)</f>
        <v/>
      </c>
      <c r="AJ983" s="243" t="str">
        <f>IF($AD983&lt;0,COUNT($AJ$1:AJ982)+1,"")</f>
        <v/>
      </c>
      <c r="AL983" s="243" t="str">
        <f>'All Ticker P&amp;L'!A983</f>
        <v/>
      </c>
      <c r="AM983" s="243" t="str">
        <f>'All Ticker P&amp;L'!B983</f>
        <v/>
      </c>
      <c r="AN983" s="243" t="str">
        <f>'All Ticker P&amp;L'!C983</f>
        <v/>
      </c>
      <c r="AO983" s="243" t="str">
        <f>'All Ticker P&amp;L'!D983</f>
        <v/>
      </c>
      <c r="AP983" s="243">
        <f>IF($AL983="",0,'All Ticker P&amp;L'!E983)</f>
        <v>0</v>
      </c>
      <c r="AQ983" s="266">
        <f>IF($AL983="",0,'All Ticker P&amp;L'!J983*'All Ticker P&amp;L'!I983)</f>
        <v>0</v>
      </c>
      <c r="AR983" s="266">
        <f>IF($AL983="",0,'All Ticker P&amp;L'!L983)</f>
        <v>0</v>
      </c>
      <c r="AS983" s="267">
        <f>IF($AL983="",0,'All Ticker P&amp;L'!M983)</f>
        <v>0</v>
      </c>
      <c r="AT983" s="243" t="str">
        <f>IF($AL983="","",RANK(AR983,$AR$2:$AR$1001)+COUNTIF($AR$2:AR983,AR983)-1)</f>
        <v/>
      </c>
      <c r="AU983" s="243" t="str">
        <f>IF($AL983="","",RANK(AV983,$AV$2:$AV$1001)+COUNTIF($AV$2:AV983,AV983)-1)</f>
        <v/>
      </c>
      <c r="AV983" s="266">
        <f t="shared" si="62"/>
        <v>0</v>
      </c>
    </row>
    <row r="984" spans="26:48" ht="15" customHeight="1" x14ac:dyDescent="0.2">
      <c r="Z984" s="243" t="str">
        <f>Shares!A984</f>
        <v/>
      </c>
      <c r="AA984" s="243" t="str">
        <f>Shares!B984</f>
        <v/>
      </c>
      <c r="AB984" s="243" t="str">
        <f>Shares!C984</f>
        <v/>
      </c>
      <c r="AC984" s="243" t="str">
        <f>Shares!D984</f>
        <v/>
      </c>
      <c r="AD984" s="243">
        <f>IF($Z984="",0,Shares!E984)</f>
        <v>0</v>
      </c>
      <c r="AE984" s="266">
        <f>IF($Z984="",0,Shares!J984*Shares!I984)</f>
        <v>0</v>
      </c>
      <c r="AF984" s="267">
        <f t="shared" si="61"/>
        <v>0</v>
      </c>
      <c r="AG984" s="266">
        <f>IF($Z984="",0,Shares!L984)</f>
        <v>0</v>
      </c>
      <c r="AH984" s="267">
        <f>IF($Z984="",0,Shares!M984)</f>
        <v>0</v>
      </c>
      <c r="AI984" s="243" t="str">
        <f>IF($Z984="","",RANK(AE984,$AE$2:$AE$1001)+COUNTIF($AE$2:AE984,AE984)-1)</f>
        <v/>
      </c>
      <c r="AJ984" s="243" t="str">
        <f>IF($AD984&lt;0,COUNT($AJ$1:AJ983)+1,"")</f>
        <v/>
      </c>
      <c r="AL984" s="243" t="str">
        <f>'All Ticker P&amp;L'!A984</f>
        <v/>
      </c>
      <c r="AM984" s="243" t="str">
        <f>'All Ticker P&amp;L'!B984</f>
        <v/>
      </c>
      <c r="AN984" s="243" t="str">
        <f>'All Ticker P&amp;L'!C984</f>
        <v/>
      </c>
      <c r="AO984" s="243" t="str">
        <f>'All Ticker P&amp;L'!D984</f>
        <v/>
      </c>
      <c r="AP984" s="243">
        <f>IF($AL984="",0,'All Ticker P&amp;L'!E984)</f>
        <v>0</v>
      </c>
      <c r="AQ984" s="266">
        <f>IF($AL984="",0,'All Ticker P&amp;L'!J984*'All Ticker P&amp;L'!I984)</f>
        <v>0</v>
      </c>
      <c r="AR984" s="266">
        <f>IF($AL984="",0,'All Ticker P&amp;L'!L984)</f>
        <v>0</v>
      </c>
      <c r="AS984" s="267">
        <f>IF($AL984="",0,'All Ticker P&amp;L'!M984)</f>
        <v>0</v>
      </c>
      <c r="AT984" s="243" t="str">
        <f>IF($AL984="","",RANK(AR984,$AR$2:$AR$1001)+COUNTIF($AR$2:AR984,AR984)-1)</f>
        <v/>
      </c>
      <c r="AU984" s="243" t="str">
        <f>IF($AL984="","",RANK(AV984,$AV$2:$AV$1001)+COUNTIF($AV$2:AV984,AV984)-1)</f>
        <v/>
      </c>
      <c r="AV984" s="266">
        <f t="shared" si="62"/>
        <v>0</v>
      </c>
    </row>
    <row r="985" spans="26:48" ht="15" customHeight="1" x14ac:dyDescent="0.2">
      <c r="Z985" s="243" t="str">
        <f>Shares!A985</f>
        <v/>
      </c>
      <c r="AA985" s="243" t="str">
        <f>Shares!B985</f>
        <v/>
      </c>
      <c r="AB985" s="243" t="str">
        <f>Shares!C985</f>
        <v/>
      </c>
      <c r="AC985" s="243" t="str">
        <f>Shares!D985</f>
        <v/>
      </c>
      <c r="AD985" s="243">
        <f>IF($Z985="",0,Shares!E985)</f>
        <v>0</v>
      </c>
      <c r="AE985" s="266">
        <f>IF($Z985="",0,Shares!J985*Shares!I985)</f>
        <v>0</v>
      </c>
      <c r="AF985" s="267">
        <f t="shared" si="61"/>
        <v>0</v>
      </c>
      <c r="AG985" s="266">
        <f>IF($Z985="",0,Shares!L985)</f>
        <v>0</v>
      </c>
      <c r="AH985" s="267">
        <f>IF($Z985="",0,Shares!M985)</f>
        <v>0</v>
      </c>
      <c r="AI985" s="243" t="str">
        <f>IF($Z985="","",RANK(AE985,$AE$2:$AE$1001)+COUNTIF($AE$2:AE985,AE985)-1)</f>
        <v/>
      </c>
      <c r="AJ985" s="243" t="str">
        <f>IF($AD985&lt;0,COUNT($AJ$1:AJ984)+1,"")</f>
        <v/>
      </c>
      <c r="AL985" s="243" t="str">
        <f>'All Ticker P&amp;L'!A985</f>
        <v/>
      </c>
      <c r="AM985" s="243" t="str">
        <f>'All Ticker P&amp;L'!B985</f>
        <v/>
      </c>
      <c r="AN985" s="243" t="str">
        <f>'All Ticker P&amp;L'!C985</f>
        <v/>
      </c>
      <c r="AO985" s="243" t="str">
        <f>'All Ticker P&amp;L'!D985</f>
        <v/>
      </c>
      <c r="AP985" s="243">
        <f>IF($AL985="",0,'All Ticker P&amp;L'!E985)</f>
        <v>0</v>
      </c>
      <c r="AQ985" s="266">
        <f>IF($AL985="",0,'All Ticker P&amp;L'!J985*'All Ticker P&amp;L'!I985)</f>
        <v>0</v>
      </c>
      <c r="AR985" s="266">
        <f>IF($AL985="",0,'All Ticker P&amp;L'!L985)</f>
        <v>0</v>
      </c>
      <c r="AS985" s="267">
        <f>IF($AL985="",0,'All Ticker P&amp;L'!M985)</f>
        <v>0</v>
      </c>
      <c r="AT985" s="243" t="str">
        <f>IF($AL985="","",RANK(AR985,$AR$2:$AR$1001)+COUNTIF($AR$2:AR985,AR985)-1)</f>
        <v/>
      </c>
      <c r="AU985" s="243" t="str">
        <f>IF($AL985="","",RANK(AV985,$AV$2:$AV$1001)+COUNTIF($AV$2:AV985,AV985)-1)</f>
        <v/>
      </c>
      <c r="AV985" s="266">
        <f t="shared" si="62"/>
        <v>0</v>
      </c>
    </row>
    <row r="986" spans="26:48" ht="15" customHeight="1" x14ac:dyDescent="0.2">
      <c r="Z986" s="243" t="str">
        <f>Shares!A986</f>
        <v/>
      </c>
      <c r="AA986" s="243" t="str">
        <f>Shares!B986</f>
        <v/>
      </c>
      <c r="AB986" s="243" t="str">
        <f>Shares!C986</f>
        <v/>
      </c>
      <c r="AC986" s="243" t="str">
        <f>Shares!D986</f>
        <v/>
      </c>
      <c r="AD986" s="243">
        <f>IF($Z986="",0,Shares!E986)</f>
        <v>0</v>
      </c>
      <c r="AE986" s="266">
        <f>IF($Z986="",0,Shares!J986*Shares!I986)</f>
        <v>0</v>
      </c>
      <c r="AF986" s="267">
        <f t="shared" si="61"/>
        <v>0</v>
      </c>
      <c r="AG986" s="266">
        <f>IF($Z986="",0,Shares!L986)</f>
        <v>0</v>
      </c>
      <c r="AH986" s="267">
        <f>IF($Z986="",0,Shares!M986)</f>
        <v>0</v>
      </c>
      <c r="AI986" s="243" t="str">
        <f>IF($Z986="","",RANK(AE986,$AE$2:$AE$1001)+COUNTIF($AE$2:AE986,AE986)-1)</f>
        <v/>
      </c>
      <c r="AJ986" s="243" t="str">
        <f>IF($AD986&lt;0,COUNT($AJ$1:AJ985)+1,"")</f>
        <v/>
      </c>
      <c r="AL986" s="243" t="str">
        <f>'All Ticker P&amp;L'!A986</f>
        <v/>
      </c>
      <c r="AM986" s="243" t="str">
        <f>'All Ticker P&amp;L'!B986</f>
        <v/>
      </c>
      <c r="AN986" s="243" t="str">
        <f>'All Ticker P&amp;L'!C986</f>
        <v/>
      </c>
      <c r="AO986" s="243" t="str">
        <f>'All Ticker P&amp;L'!D986</f>
        <v/>
      </c>
      <c r="AP986" s="243">
        <f>IF($AL986="",0,'All Ticker P&amp;L'!E986)</f>
        <v>0</v>
      </c>
      <c r="AQ986" s="266">
        <f>IF($AL986="",0,'All Ticker P&amp;L'!J986*'All Ticker P&amp;L'!I986)</f>
        <v>0</v>
      </c>
      <c r="AR986" s="266">
        <f>IF($AL986="",0,'All Ticker P&amp;L'!L986)</f>
        <v>0</v>
      </c>
      <c r="AS986" s="267">
        <f>IF($AL986="",0,'All Ticker P&amp;L'!M986)</f>
        <v>0</v>
      </c>
      <c r="AT986" s="243" t="str">
        <f>IF($AL986="","",RANK(AR986,$AR$2:$AR$1001)+COUNTIF($AR$2:AR986,AR986)-1)</f>
        <v/>
      </c>
      <c r="AU986" s="243" t="str">
        <f>IF($AL986="","",RANK(AV986,$AV$2:$AV$1001)+COUNTIF($AV$2:AV986,AV986)-1)</f>
        <v/>
      </c>
      <c r="AV986" s="266">
        <f t="shared" si="62"/>
        <v>0</v>
      </c>
    </row>
    <row r="987" spans="26:48" ht="15" customHeight="1" x14ac:dyDescent="0.2">
      <c r="Z987" s="243" t="str">
        <f>Shares!A987</f>
        <v/>
      </c>
      <c r="AA987" s="243" t="str">
        <f>Shares!B987</f>
        <v/>
      </c>
      <c r="AB987" s="243" t="str">
        <f>Shares!C987</f>
        <v/>
      </c>
      <c r="AC987" s="243" t="str">
        <f>Shares!D987</f>
        <v/>
      </c>
      <c r="AD987" s="243">
        <f>IF($Z987="",0,Shares!E987)</f>
        <v>0</v>
      </c>
      <c r="AE987" s="266">
        <f>IF($Z987="",0,Shares!J987*Shares!I987)</f>
        <v>0</v>
      </c>
      <c r="AF987" s="267">
        <f t="shared" si="61"/>
        <v>0</v>
      </c>
      <c r="AG987" s="266">
        <f>IF($Z987="",0,Shares!L987)</f>
        <v>0</v>
      </c>
      <c r="AH987" s="267">
        <f>IF($Z987="",0,Shares!M987)</f>
        <v>0</v>
      </c>
      <c r="AI987" s="243" t="str">
        <f>IF($Z987="","",RANK(AE987,$AE$2:$AE$1001)+COUNTIF($AE$2:AE987,AE987)-1)</f>
        <v/>
      </c>
      <c r="AJ987" s="243" t="str">
        <f>IF($AD987&lt;0,COUNT($AJ$1:AJ986)+1,"")</f>
        <v/>
      </c>
      <c r="AL987" s="243" t="str">
        <f>'All Ticker P&amp;L'!A987</f>
        <v/>
      </c>
      <c r="AM987" s="243" t="str">
        <f>'All Ticker P&amp;L'!B987</f>
        <v/>
      </c>
      <c r="AN987" s="243" t="str">
        <f>'All Ticker P&amp;L'!C987</f>
        <v/>
      </c>
      <c r="AO987" s="243" t="str">
        <f>'All Ticker P&amp;L'!D987</f>
        <v/>
      </c>
      <c r="AP987" s="243">
        <f>IF($AL987="",0,'All Ticker P&amp;L'!E987)</f>
        <v>0</v>
      </c>
      <c r="AQ987" s="266">
        <f>IF($AL987="",0,'All Ticker P&amp;L'!J987*'All Ticker P&amp;L'!I987)</f>
        <v>0</v>
      </c>
      <c r="AR987" s="266">
        <f>IF($AL987="",0,'All Ticker P&amp;L'!L987)</f>
        <v>0</v>
      </c>
      <c r="AS987" s="267">
        <f>IF($AL987="",0,'All Ticker P&amp;L'!M987)</f>
        <v>0</v>
      </c>
      <c r="AT987" s="243" t="str">
        <f>IF($AL987="","",RANK(AR987,$AR$2:$AR$1001)+COUNTIF($AR$2:AR987,AR987)-1)</f>
        <v/>
      </c>
      <c r="AU987" s="243" t="str">
        <f>IF($AL987="","",RANK(AV987,$AV$2:$AV$1001)+COUNTIF($AV$2:AV987,AV987)-1)</f>
        <v/>
      </c>
      <c r="AV987" s="266">
        <f t="shared" si="62"/>
        <v>0</v>
      </c>
    </row>
    <row r="988" spans="26:48" ht="15" customHeight="1" x14ac:dyDescent="0.2">
      <c r="Z988" s="243" t="str">
        <f>Shares!A988</f>
        <v/>
      </c>
      <c r="AA988" s="243" t="str">
        <f>Shares!B988</f>
        <v/>
      </c>
      <c r="AB988" s="243" t="str">
        <f>Shares!C988</f>
        <v/>
      </c>
      <c r="AC988" s="243" t="str">
        <f>Shares!D988</f>
        <v/>
      </c>
      <c r="AD988" s="243">
        <f>IF($Z988="",0,Shares!E988)</f>
        <v>0</v>
      </c>
      <c r="AE988" s="266">
        <f>IF($Z988="",0,Shares!J988*Shares!I988)</f>
        <v>0</v>
      </c>
      <c r="AF988" s="267">
        <f t="shared" si="61"/>
        <v>0</v>
      </c>
      <c r="AG988" s="266">
        <f>IF($Z988="",0,Shares!L988)</f>
        <v>0</v>
      </c>
      <c r="AH988" s="267">
        <f>IF($Z988="",0,Shares!M988)</f>
        <v>0</v>
      </c>
      <c r="AI988" s="243" t="str">
        <f>IF($Z988="","",RANK(AE988,$AE$2:$AE$1001)+COUNTIF($AE$2:AE988,AE988)-1)</f>
        <v/>
      </c>
      <c r="AJ988" s="243" t="str">
        <f>IF($AD988&lt;0,COUNT($AJ$1:AJ987)+1,"")</f>
        <v/>
      </c>
      <c r="AL988" s="243" t="str">
        <f>'All Ticker P&amp;L'!A988</f>
        <v/>
      </c>
      <c r="AM988" s="243" t="str">
        <f>'All Ticker P&amp;L'!B988</f>
        <v/>
      </c>
      <c r="AN988" s="243" t="str">
        <f>'All Ticker P&amp;L'!C988</f>
        <v/>
      </c>
      <c r="AO988" s="243" t="str">
        <f>'All Ticker P&amp;L'!D988</f>
        <v/>
      </c>
      <c r="AP988" s="243">
        <f>IF($AL988="",0,'All Ticker P&amp;L'!E988)</f>
        <v>0</v>
      </c>
      <c r="AQ988" s="266">
        <f>IF($AL988="",0,'All Ticker P&amp;L'!J988*'All Ticker P&amp;L'!I988)</f>
        <v>0</v>
      </c>
      <c r="AR988" s="266">
        <f>IF($AL988="",0,'All Ticker P&amp;L'!L988)</f>
        <v>0</v>
      </c>
      <c r="AS988" s="267">
        <f>IF($AL988="",0,'All Ticker P&amp;L'!M988)</f>
        <v>0</v>
      </c>
      <c r="AT988" s="243" t="str">
        <f>IF($AL988="","",RANK(AR988,$AR$2:$AR$1001)+COUNTIF($AR$2:AR988,AR988)-1)</f>
        <v/>
      </c>
      <c r="AU988" s="243" t="str">
        <f>IF($AL988="","",RANK(AV988,$AV$2:$AV$1001)+COUNTIF($AV$2:AV988,AV988)-1)</f>
        <v/>
      </c>
      <c r="AV988" s="266">
        <f t="shared" si="62"/>
        <v>0</v>
      </c>
    </row>
    <row r="989" spans="26:48" ht="15" customHeight="1" x14ac:dyDescent="0.2">
      <c r="Z989" s="243" t="str">
        <f>Shares!A989</f>
        <v/>
      </c>
      <c r="AA989" s="243" t="str">
        <f>Shares!B989</f>
        <v/>
      </c>
      <c r="AB989" s="243" t="str">
        <f>Shares!C989</f>
        <v/>
      </c>
      <c r="AC989" s="243" t="str">
        <f>Shares!D989</f>
        <v/>
      </c>
      <c r="AD989" s="243">
        <f>IF($Z989="",0,Shares!E989)</f>
        <v>0</v>
      </c>
      <c r="AE989" s="266">
        <f>IF($Z989="",0,Shares!J989*Shares!I989)</f>
        <v>0</v>
      </c>
      <c r="AF989" s="267">
        <f t="shared" si="61"/>
        <v>0</v>
      </c>
      <c r="AG989" s="266">
        <f>IF($Z989="",0,Shares!L989)</f>
        <v>0</v>
      </c>
      <c r="AH989" s="267">
        <f>IF($Z989="",0,Shares!M989)</f>
        <v>0</v>
      </c>
      <c r="AI989" s="243" t="str">
        <f>IF($Z989="","",RANK(AE989,$AE$2:$AE$1001)+COUNTIF($AE$2:AE989,AE989)-1)</f>
        <v/>
      </c>
      <c r="AJ989" s="243" t="str">
        <f>IF($AD989&lt;0,COUNT($AJ$1:AJ988)+1,"")</f>
        <v/>
      </c>
      <c r="AL989" s="243" t="str">
        <f>'All Ticker P&amp;L'!A989</f>
        <v/>
      </c>
      <c r="AM989" s="243" t="str">
        <f>'All Ticker P&amp;L'!B989</f>
        <v/>
      </c>
      <c r="AN989" s="243" t="str">
        <f>'All Ticker P&amp;L'!C989</f>
        <v/>
      </c>
      <c r="AO989" s="243" t="str">
        <f>'All Ticker P&amp;L'!D989</f>
        <v/>
      </c>
      <c r="AP989" s="243">
        <f>IF($AL989="",0,'All Ticker P&amp;L'!E989)</f>
        <v>0</v>
      </c>
      <c r="AQ989" s="266">
        <f>IF($AL989="",0,'All Ticker P&amp;L'!J989*'All Ticker P&amp;L'!I989)</f>
        <v>0</v>
      </c>
      <c r="AR989" s="266">
        <f>IF($AL989="",0,'All Ticker P&amp;L'!L989)</f>
        <v>0</v>
      </c>
      <c r="AS989" s="267">
        <f>IF($AL989="",0,'All Ticker P&amp;L'!M989)</f>
        <v>0</v>
      </c>
      <c r="AT989" s="243" t="str">
        <f>IF($AL989="","",RANK(AR989,$AR$2:$AR$1001)+COUNTIF($AR$2:AR989,AR989)-1)</f>
        <v/>
      </c>
      <c r="AU989" s="243" t="str">
        <f>IF($AL989="","",RANK(AV989,$AV$2:$AV$1001)+COUNTIF($AV$2:AV989,AV989)-1)</f>
        <v/>
      </c>
      <c r="AV989" s="266">
        <f t="shared" si="62"/>
        <v>0</v>
      </c>
    </row>
    <row r="990" spans="26:48" ht="15" customHeight="1" x14ac:dyDescent="0.2">
      <c r="Z990" s="243" t="str">
        <f>Shares!A990</f>
        <v/>
      </c>
      <c r="AA990" s="243" t="str">
        <f>Shares!B990</f>
        <v/>
      </c>
      <c r="AB990" s="243" t="str">
        <f>Shares!C990</f>
        <v/>
      </c>
      <c r="AC990" s="243" t="str">
        <f>Shares!D990</f>
        <v/>
      </c>
      <c r="AD990" s="243">
        <f>IF($Z990="",0,Shares!E990)</f>
        <v>0</v>
      </c>
      <c r="AE990" s="266">
        <f>IF($Z990="",0,Shares!J990*Shares!I990)</f>
        <v>0</v>
      </c>
      <c r="AF990" s="267">
        <f t="shared" si="61"/>
        <v>0</v>
      </c>
      <c r="AG990" s="266">
        <f>IF($Z990="",0,Shares!L990)</f>
        <v>0</v>
      </c>
      <c r="AH990" s="267">
        <f>IF($Z990="",0,Shares!M990)</f>
        <v>0</v>
      </c>
      <c r="AI990" s="243" t="str">
        <f>IF($Z990="","",RANK(AE990,$AE$2:$AE$1001)+COUNTIF($AE$2:AE990,AE990)-1)</f>
        <v/>
      </c>
      <c r="AJ990" s="243" t="str">
        <f>IF($AD990&lt;0,COUNT($AJ$1:AJ989)+1,"")</f>
        <v/>
      </c>
      <c r="AL990" s="243" t="str">
        <f>'All Ticker P&amp;L'!A990</f>
        <v/>
      </c>
      <c r="AM990" s="243" t="str">
        <f>'All Ticker P&amp;L'!B990</f>
        <v/>
      </c>
      <c r="AN990" s="243" t="str">
        <f>'All Ticker P&amp;L'!C990</f>
        <v/>
      </c>
      <c r="AO990" s="243" t="str">
        <f>'All Ticker P&amp;L'!D990</f>
        <v/>
      </c>
      <c r="AP990" s="243">
        <f>IF($AL990="",0,'All Ticker P&amp;L'!E990)</f>
        <v>0</v>
      </c>
      <c r="AQ990" s="266">
        <f>IF($AL990="",0,'All Ticker P&amp;L'!J990*'All Ticker P&amp;L'!I990)</f>
        <v>0</v>
      </c>
      <c r="AR990" s="266">
        <f>IF($AL990="",0,'All Ticker P&amp;L'!L990)</f>
        <v>0</v>
      </c>
      <c r="AS990" s="267">
        <f>IF($AL990="",0,'All Ticker P&amp;L'!M990)</f>
        <v>0</v>
      </c>
      <c r="AT990" s="243" t="str">
        <f>IF($AL990="","",RANK(AR990,$AR$2:$AR$1001)+COUNTIF($AR$2:AR990,AR990)-1)</f>
        <v/>
      </c>
      <c r="AU990" s="243" t="str">
        <f>IF($AL990="","",RANK(AV990,$AV$2:$AV$1001)+COUNTIF($AV$2:AV990,AV990)-1)</f>
        <v/>
      </c>
      <c r="AV990" s="266">
        <f t="shared" si="62"/>
        <v>0</v>
      </c>
    </row>
    <row r="991" spans="26:48" ht="15" customHeight="1" x14ac:dyDescent="0.2">
      <c r="Z991" s="243" t="str">
        <f>Shares!A991</f>
        <v/>
      </c>
      <c r="AA991" s="243" t="str">
        <f>Shares!B991</f>
        <v/>
      </c>
      <c r="AB991" s="243" t="str">
        <f>Shares!C991</f>
        <v/>
      </c>
      <c r="AC991" s="243" t="str">
        <f>Shares!D991</f>
        <v/>
      </c>
      <c r="AD991" s="243">
        <f>IF($Z991="",0,Shares!E991)</f>
        <v>0</v>
      </c>
      <c r="AE991" s="266">
        <f>IF($Z991="",0,Shares!J991*Shares!I991)</f>
        <v>0</v>
      </c>
      <c r="AF991" s="267">
        <f t="shared" si="61"/>
        <v>0</v>
      </c>
      <c r="AG991" s="266">
        <f>IF($Z991="",0,Shares!L991)</f>
        <v>0</v>
      </c>
      <c r="AH991" s="267">
        <f>IF($Z991="",0,Shares!M991)</f>
        <v>0</v>
      </c>
      <c r="AI991" s="243" t="str">
        <f>IF($Z991="","",RANK(AE991,$AE$2:$AE$1001)+COUNTIF($AE$2:AE991,AE991)-1)</f>
        <v/>
      </c>
      <c r="AJ991" s="243" t="str">
        <f>IF($AD991&lt;0,COUNT($AJ$1:AJ990)+1,"")</f>
        <v/>
      </c>
      <c r="AL991" s="243" t="str">
        <f>'All Ticker P&amp;L'!A991</f>
        <v/>
      </c>
      <c r="AM991" s="243" t="str">
        <f>'All Ticker P&amp;L'!B991</f>
        <v/>
      </c>
      <c r="AN991" s="243" t="str">
        <f>'All Ticker P&amp;L'!C991</f>
        <v/>
      </c>
      <c r="AO991" s="243" t="str">
        <f>'All Ticker P&amp;L'!D991</f>
        <v/>
      </c>
      <c r="AP991" s="243">
        <f>IF($AL991="",0,'All Ticker P&amp;L'!E991)</f>
        <v>0</v>
      </c>
      <c r="AQ991" s="266">
        <f>IF($AL991="",0,'All Ticker P&amp;L'!J991*'All Ticker P&amp;L'!I991)</f>
        <v>0</v>
      </c>
      <c r="AR991" s="266">
        <f>IF($AL991="",0,'All Ticker P&amp;L'!L991)</f>
        <v>0</v>
      </c>
      <c r="AS991" s="267">
        <f>IF($AL991="",0,'All Ticker P&amp;L'!M991)</f>
        <v>0</v>
      </c>
      <c r="AT991" s="243" t="str">
        <f>IF($AL991="","",RANK(AR991,$AR$2:$AR$1001)+COUNTIF($AR$2:AR991,AR991)-1)</f>
        <v/>
      </c>
      <c r="AU991" s="243" t="str">
        <f>IF($AL991="","",RANK(AV991,$AV$2:$AV$1001)+COUNTIF($AV$2:AV991,AV991)-1)</f>
        <v/>
      </c>
      <c r="AV991" s="266">
        <f t="shared" si="62"/>
        <v>0</v>
      </c>
    </row>
    <row r="992" spans="26:48" ht="15" customHeight="1" x14ac:dyDescent="0.2">
      <c r="Z992" s="243" t="str">
        <f>Shares!A992</f>
        <v/>
      </c>
      <c r="AA992" s="243" t="str">
        <f>Shares!B992</f>
        <v/>
      </c>
      <c r="AB992" s="243" t="str">
        <f>Shares!C992</f>
        <v/>
      </c>
      <c r="AC992" s="243" t="str">
        <f>Shares!D992</f>
        <v/>
      </c>
      <c r="AD992" s="243">
        <f>IF($Z992="",0,Shares!E992)</f>
        <v>0</v>
      </c>
      <c r="AE992" s="266">
        <f>IF($Z992="",0,Shares!J992*Shares!I992)</f>
        <v>0</v>
      </c>
      <c r="AF992" s="267">
        <f t="shared" si="61"/>
        <v>0</v>
      </c>
      <c r="AG992" s="266">
        <f>IF($Z992="",0,Shares!L992)</f>
        <v>0</v>
      </c>
      <c r="AH992" s="267">
        <f>IF($Z992="",0,Shares!M992)</f>
        <v>0</v>
      </c>
      <c r="AI992" s="243" t="str">
        <f>IF($Z992="","",RANK(AE992,$AE$2:$AE$1001)+COUNTIF($AE$2:AE992,AE992)-1)</f>
        <v/>
      </c>
      <c r="AJ992" s="243" t="str">
        <f>IF($AD992&lt;0,COUNT($AJ$1:AJ991)+1,"")</f>
        <v/>
      </c>
      <c r="AL992" s="243" t="str">
        <f>'All Ticker P&amp;L'!A992</f>
        <v/>
      </c>
      <c r="AM992" s="243" t="str">
        <f>'All Ticker P&amp;L'!B992</f>
        <v/>
      </c>
      <c r="AN992" s="243" t="str">
        <f>'All Ticker P&amp;L'!C992</f>
        <v/>
      </c>
      <c r="AO992" s="243" t="str">
        <f>'All Ticker P&amp;L'!D992</f>
        <v/>
      </c>
      <c r="AP992" s="243">
        <f>IF($AL992="",0,'All Ticker P&amp;L'!E992)</f>
        <v>0</v>
      </c>
      <c r="AQ992" s="266">
        <f>IF($AL992="",0,'All Ticker P&amp;L'!J992*'All Ticker P&amp;L'!I992)</f>
        <v>0</v>
      </c>
      <c r="AR992" s="266">
        <f>IF($AL992="",0,'All Ticker P&amp;L'!L992)</f>
        <v>0</v>
      </c>
      <c r="AS992" s="267">
        <f>IF($AL992="",0,'All Ticker P&amp;L'!M992)</f>
        <v>0</v>
      </c>
      <c r="AT992" s="243" t="str">
        <f>IF($AL992="","",RANK(AR992,$AR$2:$AR$1001)+COUNTIF($AR$2:AR992,AR992)-1)</f>
        <v/>
      </c>
      <c r="AU992" s="243" t="str">
        <f>IF($AL992="","",RANK(AV992,$AV$2:$AV$1001)+COUNTIF($AV$2:AV992,AV992)-1)</f>
        <v/>
      </c>
      <c r="AV992" s="266">
        <f t="shared" si="62"/>
        <v>0</v>
      </c>
    </row>
    <row r="993" spans="26:48" ht="15" customHeight="1" x14ac:dyDescent="0.2">
      <c r="Z993" s="243" t="str">
        <f>Shares!A993</f>
        <v/>
      </c>
      <c r="AA993" s="243" t="str">
        <f>Shares!B993</f>
        <v/>
      </c>
      <c r="AB993" s="243" t="str">
        <f>Shares!C993</f>
        <v/>
      </c>
      <c r="AC993" s="243" t="str">
        <f>Shares!D993</f>
        <v/>
      </c>
      <c r="AD993" s="243">
        <f>IF($Z993="",0,Shares!E993)</f>
        <v>0</v>
      </c>
      <c r="AE993" s="266">
        <f>IF($Z993="",0,Shares!J993*Shares!I993)</f>
        <v>0</v>
      </c>
      <c r="AF993" s="267">
        <f t="shared" si="61"/>
        <v>0</v>
      </c>
      <c r="AG993" s="266">
        <f>IF($Z993="",0,Shares!L993)</f>
        <v>0</v>
      </c>
      <c r="AH993" s="267">
        <f>IF($Z993="",0,Shares!M993)</f>
        <v>0</v>
      </c>
      <c r="AI993" s="243" t="str">
        <f>IF($Z993="","",RANK(AE993,$AE$2:$AE$1001)+COUNTIF($AE$2:AE993,AE993)-1)</f>
        <v/>
      </c>
      <c r="AJ993" s="243" t="str">
        <f>IF($AD993&lt;0,COUNT($AJ$1:AJ992)+1,"")</f>
        <v/>
      </c>
      <c r="AL993" s="243" t="str">
        <f>'All Ticker P&amp;L'!A993</f>
        <v/>
      </c>
      <c r="AM993" s="243" t="str">
        <f>'All Ticker P&amp;L'!B993</f>
        <v/>
      </c>
      <c r="AN993" s="243" t="str">
        <f>'All Ticker P&amp;L'!C993</f>
        <v/>
      </c>
      <c r="AO993" s="243" t="str">
        <f>'All Ticker P&amp;L'!D993</f>
        <v/>
      </c>
      <c r="AP993" s="243">
        <f>IF($AL993="",0,'All Ticker P&amp;L'!E993)</f>
        <v>0</v>
      </c>
      <c r="AQ993" s="266">
        <f>IF($AL993="",0,'All Ticker P&amp;L'!J993*'All Ticker P&amp;L'!I993)</f>
        <v>0</v>
      </c>
      <c r="AR993" s="266">
        <f>IF($AL993="",0,'All Ticker P&amp;L'!L993)</f>
        <v>0</v>
      </c>
      <c r="AS993" s="267">
        <f>IF($AL993="",0,'All Ticker P&amp;L'!M993)</f>
        <v>0</v>
      </c>
      <c r="AT993" s="243" t="str">
        <f>IF($AL993="","",RANK(AR993,$AR$2:$AR$1001)+COUNTIF($AR$2:AR993,AR993)-1)</f>
        <v/>
      </c>
      <c r="AU993" s="243" t="str">
        <f>IF($AL993="","",RANK(AV993,$AV$2:$AV$1001)+COUNTIF($AV$2:AV993,AV993)-1)</f>
        <v/>
      </c>
      <c r="AV993" s="266">
        <f t="shared" si="62"/>
        <v>0</v>
      </c>
    </row>
    <row r="994" spans="26:48" ht="15" customHeight="1" x14ac:dyDescent="0.2">
      <c r="Z994" s="243" t="str">
        <f>Shares!A994</f>
        <v/>
      </c>
      <c r="AA994" s="243" t="str">
        <f>Shares!B994</f>
        <v/>
      </c>
      <c r="AB994" s="243" t="str">
        <f>Shares!C994</f>
        <v/>
      </c>
      <c r="AC994" s="243" t="str">
        <f>Shares!D994</f>
        <v/>
      </c>
      <c r="AD994" s="243">
        <f>IF($Z994="",0,Shares!E994)</f>
        <v>0</v>
      </c>
      <c r="AE994" s="266">
        <f>IF($Z994="",0,Shares!J994*Shares!I994)</f>
        <v>0</v>
      </c>
      <c r="AF994" s="267">
        <f t="shared" si="61"/>
        <v>0</v>
      </c>
      <c r="AG994" s="266">
        <f>IF($Z994="",0,Shares!L994)</f>
        <v>0</v>
      </c>
      <c r="AH994" s="267">
        <f>IF($Z994="",0,Shares!M994)</f>
        <v>0</v>
      </c>
      <c r="AI994" s="243" t="str">
        <f>IF($Z994="","",RANK(AE994,$AE$2:$AE$1001)+COUNTIF($AE$2:AE994,AE994)-1)</f>
        <v/>
      </c>
      <c r="AJ994" s="243" t="str">
        <f>IF($AD994&lt;0,COUNT($AJ$1:AJ993)+1,"")</f>
        <v/>
      </c>
      <c r="AL994" s="243" t="str">
        <f>'All Ticker P&amp;L'!A994</f>
        <v/>
      </c>
      <c r="AM994" s="243" t="str">
        <f>'All Ticker P&amp;L'!B994</f>
        <v/>
      </c>
      <c r="AN994" s="243" t="str">
        <f>'All Ticker P&amp;L'!C994</f>
        <v/>
      </c>
      <c r="AO994" s="243" t="str">
        <f>'All Ticker P&amp;L'!D994</f>
        <v/>
      </c>
      <c r="AP994" s="243">
        <f>IF($AL994="",0,'All Ticker P&amp;L'!E994)</f>
        <v>0</v>
      </c>
      <c r="AQ994" s="266">
        <f>IF($AL994="",0,'All Ticker P&amp;L'!J994*'All Ticker P&amp;L'!I994)</f>
        <v>0</v>
      </c>
      <c r="AR994" s="266">
        <f>IF($AL994="",0,'All Ticker P&amp;L'!L994)</f>
        <v>0</v>
      </c>
      <c r="AS994" s="267">
        <f>IF($AL994="",0,'All Ticker P&amp;L'!M994)</f>
        <v>0</v>
      </c>
      <c r="AT994" s="243" t="str">
        <f>IF($AL994="","",RANK(AR994,$AR$2:$AR$1001)+COUNTIF($AR$2:AR994,AR994)-1)</f>
        <v/>
      </c>
      <c r="AU994" s="243" t="str">
        <f>IF($AL994="","",RANK(AV994,$AV$2:$AV$1001)+COUNTIF($AV$2:AV994,AV994)-1)</f>
        <v/>
      </c>
      <c r="AV994" s="266">
        <f t="shared" si="62"/>
        <v>0</v>
      </c>
    </row>
    <row r="995" spans="26:48" ht="15" customHeight="1" x14ac:dyDescent="0.2">
      <c r="Z995" s="243" t="str">
        <f>Shares!A995</f>
        <v/>
      </c>
      <c r="AA995" s="243" t="str">
        <f>Shares!B995</f>
        <v/>
      </c>
      <c r="AB995" s="243" t="str">
        <f>Shares!C995</f>
        <v/>
      </c>
      <c r="AC995" s="243" t="str">
        <f>Shares!D995</f>
        <v/>
      </c>
      <c r="AD995" s="243">
        <f>IF($Z995="",0,Shares!E995)</f>
        <v>0</v>
      </c>
      <c r="AE995" s="266">
        <f>IF($Z995="",0,Shares!J995*Shares!I995)</f>
        <v>0</v>
      </c>
      <c r="AF995" s="267">
        <f t="shared" si="61"/>
        <v>0</v>
      </c>
      <c r="AG995" s="266">
        <f>IF($Z995="",0,Shares!L995)</f>
        <v>0</v>
      </c>
      <c r="AH995" s="267">
        <f>IF($Z995="",0,Shares!M995)</f>
        <v>0</v>
      </c>
      <c r="AI995" s="243" t="str">
        <f>IF($Z995="","",RANK(AE995,$AE$2:$AE$1001)+COUNTIF($AE$2:AE995,AE995)-1)</f>
        <v/>
      </c>
      <c r="AJ995" s="243" t="str">
        <f>IF($AD995&lt;0,COUNT($AJ$1:AJ994)+1,"")</f>
        <v/>
      </c>
      <c r="AL995" s="243" t="str">
        <f>'All Ticker P&amp;L'!A995</f>
        <v/>
      </c>
      <c r="AM995" s="243" t="str">
        <f>'All Ticker P&amp;L'!B995</f>
        <v/>
      </c>
      <c r="AN995" s="243" t="str">
        <f>'All Ticker P&amp;L'!C995</f>
        <v/>
      </c>
      <c r="AO995" s="243" t="str">
        <f>'All Ticker P&amp;L'!D995</f>
        <v/>
      </c>
      <c r="AP995" s="243">
        <f>IF($AL995="",0,'All Ticker P&amp;L'!E995)</f>
        <v>0</v>
      </c>
      <c r="AQ995" s="266">
        <f>IF($AL995="",0,'All Ticker P&amp;L'!J995*'All Ticker P&amp;L'!I995)</f>
        <v>0</v>
      </c>
      <c r="AR995" s="266">
        <f>IF($AL995="",0,'All Ticker P&amp;L'!L995)</f>
        <v>0</v>
      </c>
      <c r="AS995" s="267">
        <f>IF($AL995="",0,'All Ticker P&amp;L'!M995)</f>
        <v>0</v>
      </c>
      <c r="AT995" s="243" t="str">
        <f>IF($AL995="","",RANK(AR995,$AR$2:$AR$1001)+COUNTIF($AR$2:AR995,AR995)-1)</f>
        <v/>
      </c>
      <c r="AU995" s="243" t="str">
        <f>IF($AL995="","",RANK(AV995,$AV$2:$AV$1001)+COUNTIF($AV$2:AV995,AV995)-1)</f>
        <v/>
      </c>
      <c r="AV995" s="266">
        <f t="shared" si="62"/>
        <v>0</v>
      </c>
    </row>
    <row r="996" spans="26:48" ht="15" customHeight="1" x14ac:dyDescent="0.2">
      <c r="Z996" s="243" t="str">
        <f>Shares!A996</f>
        <v/>
      </c>
      <c r="AA996" s="243" t="str">
        <f>Shares!B996</f>
        <v/>
      </c>
      <c r="AB996" s="243" t="str">
        <f>Shares!C996</f>
        <v/>
      </c>
      <c r="AC996" s="243" t="str">
        <f>Shares!D996</f>
        <v/>
      </c>
      <c r="AD996" s="243">
        <f>IF($Z996="",0,Shares!E996)</f>
        <v>0</v>
      </c>
      <c r="AE996" s="266">
        <f>IF($Z996="",0,Shares!J996*Shares!I996)</f>
        <v>0</v>
      </c>
      <c r="AF996" s="267">
        <f t="shared" si="61"/>
        <v>0</v>
      </c>
      <c r="AG996" s="266">
        <f>IF($Z996="",0,Shares!L996)</f>
        <v>0</v>
      </c>
      <c r="AH996" s="267">
        <f>IF($Z996="",0,Shares!M996)</f>
        <v>0</v>
      </c>
      <c r="AI996" s="243" t="str">
        <f>IF($Z996="","",RANK(AE996,$AE$2:$AE$1001)+COUNTIF($AE$2:AE996,AE996)-1)</f>
        <v/>
      </c>
      <c r="AJ996" s="243" t="str">
        <f>IF($AD996&lt;0,COUNT($AJ$1:AJ995)+1,"")</f>
        <v/>
      </c>
      <c r="AL996" s="243" t="str">
        <f>'All Ticker P&amp;L'!A996</f>
        <v/>
      </c>
      <c r="AM996" s="243" t="str">
        <f>'All Ticker P&amp;L'!B996</f>
        <v/>
      </c>
      <c r="AN996" s="243" t="str">
        <f>'All Ticker P&amp;L'!C996</f>
        <v/>
      </c>
      <c r="AO996" s="243" t="str">
        <f>'All Ticker P&amp;L'!D996</f>
        <v/>
      </c>
      <c r="AP996" s="243">
        <f>IF($AL996="",0,'All Ticker P&amp;L'!E996)</f>
        <v>0</v>
      </c>
      <c r="AQ996" s="266">
        <f>IF($AL996="",0,'All Ticker P&amp;L'!J996*'All Ticker P&amp;L'!I996)</f>
        <v>0</v>
      </c>
      <c r="AR996" s="266">
        <f>IF($AL996="",0,'All Ticker P&amp;L'!L996)</f>
        <v>0</v>
      </c>
      <c r="AS996" s="267">
        <f>IF($AL996="",0,'All Ticker P&amp;L'!M996)</f>
        <v>0</v>
      </c>
      <c r="AT996" s="243" t="str">
        <f>IF($AL996="","",RANK(AR996,$AR$2:$AR$1001)+COUNTIF($AR$2:AR996,AR996)-1)</f>
        <v/>
      </c>
      <c r="AU996" s="243" t="str">
        <f>IF($AL996="","",RANK(AV996,$AV$2:$AV$1001)+COUNTIF($AV$2:AV996,AV996)-1)</f>
        <v/>
      </c>
      <c r="AV996" s="266">
        <f t="shared" si="62"/>
        <v>0</v>
      </c>
    </row>
    <row r="997" spans="26:48" ht="15" customHeight="1" x14ac:dyDescent="0.2">
      <c r="Z997" s="243" t="str">
        <f>Shares!A997</f>
        <v/>
      </c>
      <c r="AA997" s="243" t="str">
        <f>Shares!B997</f>
        <v/>
      </c>
      <c r="AB997" s="243" t="str">
        <f>Shares!C997</f>
        <v/>
      </c>
      <c r="AC997" s="243" t="str">
        <f>Shares!D997</f>
        <v/>
      </c>
      <c r="AD997" s="243">
        <f>IF($Z997="",0,Shares!E997)</f>
        <v>0</v>
      </c>
      <c r="AE997" s="266">
        <f>IF($Z997="",0,Shares!J997*Shares!I997)</f>
        <v>0</v>
      </c>
      <c r="AF997" s="267">
        <f t="shared" si="61"/>
        <v>0</v>
      </c>
      <c r="AG997" s="266">
        <f>IF($Z997="",0,Shares!L997)</f>
        <v>0</v>
      </c>
      <c r="AH997" s="267">
        <f>IF($Z997="",0,Shares!M997)</f>
        <v>0</v>
      </c>
      <c r="AI997" s="243" t="str">
        <f>IF($Z997="","",RANK(AE997,$AE$2:$AE$1001)+COUNTIF($AE$2:AE997,AE997)-1)</f>
        <v/>
      </c>
      <c r="AJ997" s="243" t="str">
        <f>IF($AD997&lt;0,COUNT($AJ$1:AJ996)+1,"")</f>
        <v/>
      </c>
      <c r="AL997" s="243" t="str">
        <f>'All Ticker P&amp;L'!A997</f>
        <v/>
      </c>
      <c r="AM997" s="243" t="str">
        <f>'All Ticker P&amp;L'!B997</f>
        <v/>
      </c>
      <c r="AN997" s="243" t="str">
        <f>'All Ticker P&amp;L'!C997</f>
        <v/>
      </c>
      <c r="AO997" s="243" t="str">
        <f>'All Ticker P&amp;L'!D997</f>
        <v/>
      </c>
      <c r="AP997" s="243">
        <f>IF($AL997="",0,'All Ticker P&amp;L'!E997)</f>
        <v>0</v>
      </c>
      <c r="AQ997" s="266">
        <f>IF($AL997="",0,'All Ticker P&amp;L'!J997*'All Ticker P&amp;L'!I997)</f>
        <v>0</v>
      </c>
      <c r="AR997" s="266">
        <f>IF($AL997="",0,'All Ticker P&amp;L'!L997)</f>
        <v>0</v>
      </c>
      <c r="AS997" s="267">
        <f>IF($AL997="",0,'All Ticker P&amp;L'!M997)</f>
        <v>0</v>
      </c>
      <c r="AT997" s="243" t="str">
        <f>IF($AL997="","",RANK(AR997,$AR$2:$AR$1001)+COUNTIF($AR$2:AR997,AR997)-1)</f>
        <v/>
      </c>
      <c r="AU997" s="243" t="str">
        <f>IF($AL997="","",RANK(AV997,$AV$2:$AV$1001)+COUNTIF($AV$2:AV997,AV997)-1)</f>
        <v/>
      </c>
      <c r="AV997" s="266">
        <f t="shared" si="62"/>
        <v>0</v>
      </c>
    </row>
    <row r="998" spans="26:48" ht="15" customHeight="1" x14ac:dyDescent="0.2">
      <c r="Z998" s="243" t="str">
        <f>Shares!A998</f>
        <v/>
      </c>
      <c r="AA998" s="243" t="str">
        <f>Shares!B998</f>
        <v/>
      </c>
      <c r="AB998" s="243" t="str">
        <f>Shares!C998</f>
        <v/>
      </c>
      <c r="AC998" s="243" t="str">
        <f>Shares!D998</f>
        <v/>
      </c>
      <c r="AD998" s="243">
        <f>IF($Z998="",0,Shares!E998)</f>
        <v>0</v>
      </c>
      <c r="AE998" s="266">
        <f>IF($Z998="",0,Shares!J998*Shares!I998)</f>
        <v>0</v>
      </c>
      <c r="AF998" s="267">
        <f t="shared" si="61"/>
        <v>0</v>
      </c>
      <c r="AG998" s="266">
        <f>IF($Z998="",0,Shares!L998)</f>
        <v>0</v>
      </c>
      <c r="AH998" s="267">
        <f>IF($Z998="",0,Shares!M998)</f>
        <v>0</v>
      </c>
      <c r="AI998" s="243" t="str">
        <f>IF($Z998="","",RANK(AE998,$AE$2:$AE$1001)+COUNTIF($AE$2:AE998,AE998)-1)</f>
        <v/>
      </c>
      <c r="AJ998" s="243" t="str">
        <f>IF($AD998&lt;0,COUNT($AJ$1:AJ997)+1,"")</f>
        <v/>
      </c>
      <c r="AL998" s="243" t="str">
        <f>'All Ticker P&amp;L'!A998</f>
        <v/>
      </c>
      <c r="AM998" s="243" t="str">
        <f>'All Ticker P&amp;L'!B998</f>
        <v/>
      </c>
      <c r="AN998" s="243" t="str">
        <f>'All Ticker P&amp;L'!C998</f>
        <v/>
      </c>
      <c r="AO998" s="243" t="str">
        <f>'All Ticker P&amp;L'!D998</f>
        <v/>
      </c>
      <c r="AP998" s="243">
        <f>IF($AL998="",0,'All Ticker P&amp;L'!E998)</f>
        <v>0</v>
      </c>
      <c r="AQ998" s="266">
        <f>IF($AL998="",0,'All Ticker P&amp;L'!J998*'All Ticker P&amp;L'!I998)</f>
        <v>0</v>
      </c>
      <c r="AR998" s="266">
        <f>IF($AL998="",0,'All Ticker P&amp;L'!L998)</f>
        <v>0</v>
      </c>
      <c r="AS998" s="267">
        <f>IF($AL998="",0,'All Ticker P&amp;L'!M998)</f>
        <v>0</v>
      </c>
      <c r="AT998" s="243" t="str">
        <f>IF($AL998="","",RANK(AR998,$AR$2:$AR$1001)+COUNTIF($AR$2:AR998,AR998)-1)</f>
        <v/>
      </c>
      <c r="AU998" s="243" t="str">
        <f>IF($AL998="","",RANK(AV998,$AV$2:$AV$1001)+COUNTIF($AV$2:AV998,AV998)-1)</f>
        <v/>
      </c>
      <c r="AV998" s="266">
        <f t="shared" si="62"/>
        <v>0</v>
      </c>
    </row>
    <row r="999" spans="26:48" ht="15" customHeight="1" x14ac:dyDescent="0.2">
      <c r="Z999" s="243" t="str">
        <f>Shares!A999</f>
        <v/>
      </c>
      <c r="AA999" s="243" t="str">
        <f>Shares!B999</f>
        <v/>
      </c>
      <c r="AB999" s="243" t="str">
        <f>Shares!C999</f>
        <v/>
      </c>
      <c r="AC999" s="243" t="str">
        <f>Shares!D999</f>
        <v/>
      </c>
      <c r="AD999" s="243">
        <f>IF($Z999="",0,Shares!E999)</f>
        <v>0</v>
      </c>
      <c r="AE999" s="266">
        <f>IF($Z999="",0,Shares!J999*Shares!I999)</f>
        <v>0</v>
      </c>
      <c r="AF999" s="267">
        <f t="shared" si="61"/>
        <v>0</v>
      </c>
      <c r="AG999" s="266">
        <f>IF($Z999="",0,Shares!L999)</f>
        <v>0</v>
      </c>
      <c r="AH999" s="267">
        <f>IF($Z999="",0,Shares!M999)</f>
        <v>0</v>
      </c>
      <c r="AI999" s="243" t="str">
        <f>IF($Z999="","",RANK(AE999,$AE$2:$AE$1001)+COUNTIF($AE$2:AE999,AE999)-1)</f>
        <v/>
      </c>
      <c r="AJ999" s="243" t="str">
        <f>IF($AD999&lt;0,COUNT($AJ$1:AJ998)+1,"")</f>
        <v/>
      </c>
      <c r="AL999" s="243" t="str">
        <f>'All Ticker P&amp;L'!A999</f>
        <v/>
      </c>
      <c r="AM999" s="243" t="str">
        <f>'All Ticker P&amp;L'!B999</f>
        <v/>
      </c>
      <c r="AN999" s="243" t="str">
        <f>'All Ticker P&amp;L'!C999</f>
        <v/>
      </c>
      <c r="AO999" s="243" t="str">
        <f>'All Ticker P&amp;L'!D999</f>
        <v/>
      </c>
      <c r="AP999" s="243">
        <f>IF($AL999="",0,'All Ticker P&amp;L'!E999)</f>
        <v>0</v>
      </c>
      <c r="AQ999" s="266">
        <f>IF($AL999="",0,'All Ticker P&amp;L'!J999*'All Ticker P&amp;L'!I999)</f>
        <v>0</v>
      </c>
      <c r="AR999" s="266">
        <f>IF($AL999="",0,'All Ticker P&amp;L'!L999)</f>
        <v>0</v>
      </c>
      <c r="AS999" s="267">
        <f>IF($AL999="",0,'All Ticker P&amp;L'!M999)</f>
        <v>0</v>
      </c>
      <c r="AT999" s="243" t="str">
        <f>IF($AL999="","",RANK(AR999,$AR$2:$AR$1001)+COUNTIF($AR$2:AR999,AR999)-1)</f>
        <v/>
      </c>
      <c r="AU999" s="243" t="str">
        <f>IF($AL999="","",RANK(AV999,$AV$2:$AV$1001)+COUNTIF($AV$2:AV999,AV999)-1)</f>
        <v/>
      </c>
      <c r="AV999" s="266">
        <f t="shared" si="62"/>
        <v>0</v>
      </c>
    </row>
    <row r="1000" spans="26:48" ht="15" customHeight="1" x14ac:dyDescent="0.2">
      <c r="Z1000" s="243" t="str">
        <f>Shares!A1000</f>
        <v/>
      </c>
      <c r="AA1000" s="243" t="str">
        <f>Shares!B1000</f>
        <v/>
      </c>
      <c r="AB1000" s="243" t="str">
        <f>Shares!C1000</f>
        <v/>
      </c>
      <c r="AC1000" s="243" t="str">
        <f>Shares!D1000</f>
        <v/>
      </c>
      <c r="AD1000" s="243">
        <f>IF($Z1000="",0,Shares!E1000)</f>
        <v>0</v>
      </c>
      <c r="AE1000" s="266">
        <f>IF($Z1000="",0,Shares!J1000*Shares!I1000)</f>
        <v>0</v>
      </c>
      <c r="AF1000" s="267">
        <f t="shared" si="61"/>
        <v>0</v>
      </c>
      <c r="AG1000" s="266">
        <f>IF($Z1000="",0,Shares!L1000)</f>
        <v>0</v>
      </c>
      <c r="AH1000" s="267">
        <f>IF($Z1000="",0,Shares!M1000)</f>
        <v>0</v>
      </c>
      <c r="AI1000" s="243" t="str">
        <f>IF($Z1000="","",RANK(AE1000,$AE$2:$AE$1001)+COUNTIF($AE$2:AE1000,AE1000)-1)</f>
        <v/>
      </c>
      <c r="AJ1000" s="243" t="str">
        <f>IF($AD1000&lt;0,COUNT($AJ$1:AJ999)+1,"")</f>
        <v/>
      </c>
      <c r="AL1000" s="243" t="str">
        <f>'All Ticker P&amp;L'!A1000</f>
        <v/>
      </c>
      <c r="AM1000" s="243" t="str">
        <f>'All Ticker P&amp;L'!B1000</f>
        <v/>
      </c>
      <c r="AN1000" s="243" t="str">
        <f>'All Ticker P&amp;L'!C1000</f>
        <v/>
      </c>
      <c r="AO1000" s="243" t="str">
        <f>'All Ticker P&amp;L'!D1000</f>
        <v/>
      </c>
      <c r="AP1000" s="243">
        <f>IF($AL1000="",0,'All Ticker P&amp;L'!E1000)</f>
        <v>0</v>
      </c>
      <c r="AQ1000" s="266">
        <f>IF($AL1000="",0,'All Ticker P&amp;L'!J1000*'All Ticker P&amp;L'!I1000)</f>
        <v>0</v>
      </c>
      <c r="AR1000" s="266">
        <f>IF($AL1000="",0,'All Ticker P&amp;L'!L1000)</f>
        <v>0</v>
      </c>
      <c r="AS1000" s="267">
        <f>IF($AL1000="",0,'All Ticker P&amp;L'!M1000)</f>
        <v>0</v>
      </c>
      <c r="AT1000" s="243" t="str">
        <f>IF($AL1000="","",RANK(AR1000,$AR$2:$AR$1001)+COUNTIF($AR$2:AR1000,AR1000)-1)</f>
        <v/>
      </c>
      <c r="AU1000" s="243" t="str">
        <f>IF($AL1000="","",RANK(AV1000,$AV$2:$AV$1001)+COUNTIF($AV$2:AV1000,AV1000)-1)</f>
        <v/>
      </c>
      <c r="AV1000" s="266">
        <f t="shared" si="62"/>
        <v>0</v>
      </c>
    </row>
    <row r="1001" spans="26:48" ht="15" customHeight="1" x14ac:dyDescent="0.2">
      <c r="Z1001" s="243" t="str">
        <f>Shares!A1001</f>
        <v/>
      </c>
      <c r="AA1001" s="243" t="str">
        <f>Shares!B1001</f>
        <v/>
      </c>
      <c r="AB1001" s="243" t="str">
        <f>Shares!C1001</f>
        <v/>
      </c>
      <c r="AC1001" s="243" t="str">
        <f>Shares!D1001</f>
        <v/>
      </c>
      <c r="AD1001" s="243">
        <f>IF($Z1001="",0,Shares!E1001)</f>
        <v>0</v>
      </c>
      <c r="AE1001" s="266">
        <f>IF($Z1001="",0,Shares!J1001*Shares!I1001)</f>
        <v>0</v>
      </c>
      <c r="AF1001" s="267">
        <f t="shared" si="61"/>
        <v>0</v>
      </c>
      <c r="AG1001" s="266">
        <f>IF($Z1001="",0,Shares!L1001)</f>
        <v>0</v>
      </c>
      <c r="AH1001" s="267">
        <f>IF($Z1001="",0,Shares!M1001)</f>
        <v>0</v>
      </c>
      <c r="AI1001" s="243" t="str">
        <f>IF($Z1001="","",RANK(AE1001,$AE$2:$AE$1001)+COUNTIF($AE$2:AE1001,AE1001)-1)</f>
        <v/>
      </c>
      <c r="AJ1001" s="243" t="str">
        <f>IF($AD1001&lt;0,COUNT($AJ$1:AJ1000)+1,"")</f>
        <v/>
      </c>
      <c r="AL1001" s="243" t="str">
        <f>'All Ticker P&amp;L'!A1001</f>
        <v/>
      </c>
      <c r="AM1001" s="243" t="str">
        <f>'All Ticker P&amp;L'!B1001</f>
        <v/>
      </c>
      <c r="AN1001" s="243" t="str">
        <f>'All Ticker P&amp;L'!C1001</f>
        <v/>
      </c>
      <c r="AO1001" s="243" t="str">
        <f>'All Ticker P&amp;L'!D1001</f>
        <v/>
      </c>
      <c r="AP1001" s="243">
        <f>IF($AL1001="",0,'All Ticker P&amp;L'!E1001)</f>
        <v>0</v>
      </c>
      <c r="AQ1001" s="266">
        <f>IF($AL1001="",0,'All Ticker P&amp;L'!J1001*'All Ticker P&amp;L'!I1001)</f>
        <v>0</v>
      </c>
      <c r="AR1001" s="266">
        <f>IF($AL1001="",0,'All Ticker P&amp;L'!L1001)</f>
        <v>0</v>
      </c>
      <c r="AS1001" s="267">
        <f>IF($AL1001="",0,'All Ticker P&amp;L'!M1001)</f>
        <v>0</v>
      </c>
      <c r="AT1001" s="243" t="str">
        <f>IF($AL1001="","",RANK(AR1001,$AR$2:$AR$1001)+COUNTIF($AR$2:AR1001,AR1001)-1)</f>
        <v/>
      </c>
      <c r="AU1001" s="243" t="str">
        <f>IF($AL1001="","",RANK(AV1001,$AV$2:$AV$1001)+COUNTIF($AV$2:AV1001,AV1001)-1)</f>
        <v/>
      </c>
      <c r="AV1001" s="266">
        <f t="shared" si="62"/>
        <v>0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F6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17" customWidth="1"/>
    <col min="3" max="3" width="26" customWidth="1"/>
    <col min="4" max="4" width="14" customWidth="1"/>
    <col min="5" max="5" width="22" customWidth="1"/>
    <col min="6" max="6" width="40" customWidth="1"/>
  </cols>
  <sheetData>
    <row r="1" spans="1:6" ht="15" customHeight="1" x14ac:dyDescent="0.2">
      <c r="A1" s="78" t="s">
        <v>502</v>
      </c>
    </row>
    <row r="2" spans="1:6" ht="15" customHeight="1" x14ac:dyDescent="0.15">
      <c r="A2" s="38" t="s">
        <v>503</v>
      </c>
    </row>
    <row r="4" spans="1:6" ht="15" customHeight="1" x14ac:dyDescent="0.15">
      <c r="A4" s="113" t="s">
        <v>206</v>
      </c>
      <c r="B4" s="113" t="s">
        <v>504</v>
      </c>
      <c r="C4" s="113" t="s">
        <v>505</v>
      </c>
      <c r="D4" s="113" t="s">
        <v>506</v>
      </c>
      <c r="E4" s="113" t="s">
        <v>507</v>
      </c>
      <c r="F4" s="113" t="s">
        <v>202</v>
      </c>
    </row>
    <row r="5" spans="1:6" ht="15" customHeight="1" x14ac:dyDescent="0.15">
      <c r="A5" s="282">
        <f ca="1">TODAY()</f>
        <v>46216</v>
      </c>
      <c r="B5" s="283">
        <f>'Stock Dashboard'!$B$5</f>
        <v>177864.44309718916</v>
      </c>
      <c r="C5" s="284"/>
      <c r="D5" s="284"/>
      <c r="E5" s="283">
        <f>'Portfolio Analysis'!$B$4</f>
        <v>1090</v>
      </c>
      <c r="F5" s="284" t="s">
        <v>508</v>
      </c>
    </row>
    <row r="7" spans="1:6" ht="15" customHeight="1" x14ac:dyDescent="0.15">
      <c r="A7" s="33" t="s">
        <v>509</v>
      </c>
    </row>
    <row r="8" spans="1:6" ht="15" customHeight="1" x14ac:dyDescent="0.15">
      <c r="A8" s="285"/>
      <c r="B8" s="48"/>
      <c r="C8" s="30"/>
      <c r="D8" s="112"/>
      <c r="E8" s="30" t="str">
        <f>IF($A8="","",SUMIFS('Portfolio Analysis'!$G$10:$G$1009,'Portfolio Analysis'!$B$10:$B$1009,"&lt;="&amp;$A8))</f>
        <v/>
      </c>
    </row>
    <row r="9" spans="1:6" ht="15" customHeight="1" x14ac:dyDescent="0.15">
      <c r="A9" s="285"/>
      <c r="B9" s="48"/>
      <c r="C9" s="30" t="str">
        <f>IF(OR($A9="",NOT(ISNUMBER($A8))),"",-SUMIFS('Portfolio Analysis'!$F$10:$F$1009,'Portfolio Analysis'!$B$10:$B$1009,"&gt;"&amp;$A8,'Portfolio Analysis'!$B$10:$B$1009,"&lt;="&amp;$A9))</f>
        <v/>
      </c>
      <c r="D9" s="112" t="str">
        <f t="shared" ref="D9:D40" si="0">IF(OR($C9="",$B9="",$B8=""),"",IFERROR(($B9-$B8-$C9)/$B8,""))</f>
        <v/>
      </c>
      <c r="E9" s="30" t="str">
        <f>IF($A9="","",SUMIFS('Portfolio Analysis'!$G$10:$G$1009,'Portfolio Analysis'!$B$10:$B$1009,"&lt;="&amp;$A9))</f>
        <v/>
      </c>
    </row>
    <row r="10" spans="1:6" ht="15" customHeight="1" x14ac:dyDescent="0.15">
      <c r="A10" s="285"/>
      <c r="B10" s="48"/>
      <c r="C10" s="30" t="str">
        <f>IF(OR($A10="",NOT(ISNUMBER($A9))),"",-SUMIFS('Portfolio Analysis'!$F$10:$F$1009,'Portfolio Analysis'!$B$10:$B$1009,"&gt;"&amp;$A9,'Portfolio Analysis'!$B$10:$B$1009,"&lt;="&amp;$A10))</f>
        <v/>
      </c>
      <c r="D10" s="112" t="str">
        <f t="shared" si="0"/>
        <v/>
      </c>
      <c r="E10" s="30" t="str">
        <f>IF($A10="","",SUMIFS('Portfolio Analysis'!$G$10:$G$1009,'Portfolio Analysis'!$B$10:$B$1009,"&lt;="&amp;$A10))</f>
        <v/>
      </c>
    </row>
    <row r="11" spans="1:6" ht="15" customHeight="1" x14ac:dyDescent="0.15">
      <c r="A11" s="285"/>
      <c r="B11" s="48"/>
      <c r="C11" s="30" t="str">
        <f>IF(OR($A11="",NOT(ISNUMBER($A10))),"",-SUMIFS('Portfolio Analysis'!$F$10:$F$1009,'Portfolio Analysis'!$B$10:$B$1009,"&gt;"&amp;$A10,'Portfolio Analysis'!$B$10:$B$1009,"&lt;="&amp;$A11))</f>
        <v/>
      </c>
      <c r="D11" s="112" t="str">
        <f t="shared" si="0"/>
        <v/>
      </c>
      <c r="E11" s="30" t="str">
        <f>IF($A11="","",SUMIFS('Portfolio Analysis'!$G$10:$G$1009,'Portfolio Analysis'!$B$10:$B$1009,"&lt;="&amp;$A11))</f>
        <v/>
      </c>
    </row>
    <row r="12" spans="1:6" ht="15" customHeight="1" x14ac:dyDescent="0.15">
      <c r="A12" s="285"/>
      <c r="B12" s="48"/>
      <c r="C12" s="30" t="str">
        <f>IF(OR($A12="",NOT(ISNUMBER($A11))),"",-SUMIFS('Portfolio Analysis'!$F$10:$F$1009,'Portfolio Analysis'!$B$10:$B$1009,"&gt;"&amp;$A11,'Portfolio Analysis'!$B$10:$B$1009,"&lt;="&amp;$A12))</f>
        <v/>
      </c>
      <c r="D12" s="112" t="str">
        <f t="shared" si="0"/>
        <v/>
      </c>
      <c r="E12" s="30" t="str">
        <f>IF($A12="","",SUMIFS('Portfolio Analysis'!$G$10:$G$1009,'Portfolio Analysis'!$B$10:$B$1009,"&lt;="&amp;$A12))</f>
        <v/>
      </c>
    </row>
    <row r="13" spans="1:6" ht="15" customHeight="1" x14ac:dyDescent="0.15">
      <c r="A13" s="285"/>
      <c r="B13" s="48"/>
      <c r="C13" s="30" t="str">
        <f>IF(OR($A13="",NOT(ISNUMBER($A12))),"",-SUMIFS('Portfolio Analysis'!$F$10:$F$1009,'Portfolio Analysis'!$B$10:$B$1009,"&gt;"&amp;$A12,'Portfolio Analysis'!$B$10:$B$1009,"&lt;="&amp;$A13))</f>
        <v/>
      </c>
      <c r="D13" s="112" t="str">
        <f t="shared" si="0"/>
        <v/>
      </c>
      <c r="E13" s="30" t="str">
        <f>IF($A13="","",SUMIFS('Portfolio Analysis'!$G$10:$G$1009,'Portfolio Analysis'!$B$10:$B$1009,"&lt;="&amp;$A13))</f>
        <v/>
      </c>
    </row>
    <row r="14" spans="1:6" ht="15" customHeight="1" x14ac:dyDescent="0.15">
      <c r="A14" s="285"/>
      <c r="B14" s="48"/>
      <c r="C14" s="30" t="str">
        <f>IF(OR($A14="",NOT(ISNUMBER($A13))),"",-SUMIFS('Portfolio Analysis'!$F$10:$F$1009,'Portfolio Analysis'!$B$10:$B$1009,"&gt;"&amp;$A13,'Portfolio Analysis'!$B$10:$B$1009,"&lt;="&amp;$A14))</f>
        <v/>
      </c>
      <c r="D14" s="112" t="str">
        <f t="shared" si="0"/>
        <v/>
      </c>
      <c r="E14" s="30" t="str">
        <f>IF($A14="","",SUMIFS('Portfolio Analysis'!$G$10:$G$1009,'Portfolio Analysis'!$B$10:$B$1009,"&lt;="&amp;$A14))</f>
        <v/>
      </c>
    </row>
    <row r="15" spans="1:6" ht="15" customHeight="1" x14ac:dyDescent="0.15">
      <c r="A15" s="285"/>
      <c r="B15" s="48"/>
      <c r="C15" s="30" t="str">
        <f>IF(OR($A15="",NOT(ISNUMBER($A14))),"",-SUMIFS('Portfolio Analysis'!$F$10:$F$1009,'Portfolio Analysis'!$B$10:$B$1009,"&gt;"&amp;$A14,'Portfolio Analysis'!$B$10:$B$1009,"&lt;="&amp;$A15))</f>
        <v/>
      </c>
      <c r="D15" s="112" t="str">
        <f t="shared" si="0"/>
        <v/>
      </c>
      <c r="E15" s="30" t="str">
        <f>IF($A15="","",SUMIFS('Portfolio Analysis'!$G$10:$G$1009,'Portfolio Analysis'!$B$10:$B$1009,"&lt;="&amp;$A15))</f>
        <v/>
      </c>
    </row>
    <row r="16" spans="1:6" ht="15" customHeight="1" x14ac:dyDescent="0.15">
      <c r="A16" s="285"/>
      <c r="B16" s="48"/>
      <c r="C16" s="30" t="str">
        <f>IF(OR($A16="",NOT(ISNUMBER($A15))),"",-SUMIFS('Portfolio Analysis'!$F$10:$F$1009,'Portfolio Analysis'!$B$10:$B$1009,"&gt;"&amp;$A15,'Portfolio Analysis'!$B$10:$B$1009,"&lt;="&amp;$A16))</f>
        <v/>
      </c>
      <c r="D16" s="112" t="str">
        <f t="shared" si="0"/>
        <v/>
      </c>
      <c r="E16" s="30" t="str">
        <f>IF($A16="","",SUMIFS('Portfolio Analysis'!$G$10:$G$1009,'Portfolio Analysis'!$B$10:$B$1009,"&lt;="&amp;$A16))</f>
        <v/>
      </c>
    </row>
    <row r="17" spans="1:5" ht="15" customHeight="1" x14ac:dyDescent="0.15">
      <c r="A17" s="285"/>
      <c r="B17" s="48"/>
      <c r="C17" s="30" t="str">
        <f>IF(OR($A17="",NOT(ISNUMBER($A16))),"",-SUMIFS('Portfolio Analysis'!$F$10:$F$1009,'Portfolio Analysis'!$B$10:$B$1009,"&gt;"&amp;$A16,'Portfolio Analysis'!$B$10:$B$1009,"&lt;="&amp;$A17))</f>
        <v/>
      </c>
      <c r="D17" s="112" t="str">
        <f t="shared" si="0"/>
        <v/>
      </c>
      <c r="E17" s="30" t="str">
        <f>IF($A17="","",SUMIFS('Portfolio Analysis'!$G$10:$G$1009,'Portfolio Analysis'!$B$10:$B$1009,"&lt;="&amp;$A17))</f>
        <v/>
      </c>
    </row>
    <row r="18" spans="1:5" ht="15" customHeight="1" x14ac:dyDescent="0.15">
      <c r="A18" s="285"/>
      <c r="B18" s="48"/>
      <c r="C18" s="30" t="str">
        <f>IF(OR($A18="",NOT(ISNUMBER($A17))),"",-SUMIFS('Portfolio Analysis'!$F$10:$F$1009,'Portfolio Analysis'!$B$10:$B$1009,"&gt;"&amp;$A17,'Portfolio Analysis'!$B$10:$B$1009,"&lt;="&amp;$A18))</f>
        <v/>
      </c>
      <c r="D18" s="112" t="str">
        <f t="shared" si="0"/>
        <v/>
      </c>
      <c r="E18" s="30" t="str">
        <f>IF($A18="","",SUMIFS('Portfolio Analysis'!$G$10:$G$1009,'Portfolio Analysis'!$B$10:$B$1009,"&lt;="&amp;$A18))</f>
        <v/>
      </c>
    </row>
    <row r="19" spans="1:5" ht="15" customHeight="1" x14ac:dyDescent="0.15">
      <c r="A19" s="285"/>
      <c r="B19" s="48"/>
      <c r="C19" s="30" t="str">
        <f>IF(OR($A19="",NOT(ISNUMBER($A18))),"",-SUMIFS('Portfolio Analysis'!$F$10:$F$1009,'Portfolio Analysis'!$B$10:$B$1009,"&gt;"&amp;$A18,'Portfolio Analysis'!$B$10:$B$1009,"&lt;="&amp;$A19))</f>
        <v/>
      </c>
      <c r="D19" s="112" t="str">
        <f t="shared" si="0"/>
        <v/>
      </c>
      <c r="E19" s="30" t="str">
        <f>IF($A19="","",SUMIFS('Portfolio Analysis'!$G$10:$G$1009,'Portfolio Analysis'!$B$10:$B$1009,"&lt;="&amp;$A19))</f>
        <v/>
      </c>
    </row>
    <row r="20" spans="1:5" ht="15" customHeight="1" x14ac:dyDescent="0.15">
      <c r="A20" s="285"/>
      <c r="B20" s="48"/>
      <c r="C20" s="30" t="str">
        <f>IF(OR($A20="",NOT(ISNUMBER($A19))),"",-SUMIFS('Portfolio Analysis'!$F$10:$F$1009,'Portfolio Analysis'!$B$10:$B$1009,"&gt;"&amp;$A19,'Portfolio Analysis'!$B$10:$B$1009,"&lt;="&amp;$A20))</f>
        <v/>
      </c>
      <c r="D20" s="112" t="str">
        <f t="shared" si="0"/>
        <v/>
      </c>
      <c r="E20" s="30" t="str">
        <f>IF($A20="","",SUMIFS('Portfolio Analysis'!$G$10:$G$1009,'Portfolio Analysis'!$B$10:$B$1009,"&lt;="&amp;$A20))</f>
        <v/>
      </c>
    </row>
    <row r="21" spans="1:5" ht="15" customHeight="1" x14ac:dyDescent="0.15">
      <c r="A21" s="285"/>
      <c r="B21" s="48"/>
      <c r="C21" s="30" t="str">
        <f>IF(OR($A21="",NOT(ISNUMBER($A20))),"",-SUMIFS('Portfolio Analysis'!$F$10:$F$1009,'Portfolio Analysis'!$B$10:$B$1009,"&gt;"&amp;$A20,'Portfolio Analysis'!$B$10:$B$1009,"&lt;="&amp;$A21))</f>
        <v/>
      </c>
      <c r="D21" s="112" t="str">
        <f t="shared" si="0"/>
        <v/>
      </c>
      <c r="E21" s="30" t="str">
        <f>IF($A21="","",SUMIFS('Portfolio Analysis'!$G$10:$G$1009,'Portfolio Analysis'!$B$10:$B$1009,"&lt;="&amp;$A21))</f>
        <v/>
      </c>
    </row>
    <row r="22" spans="1:5" ht="15" customHeight="1" x14ac:dyDescent="0.15">
      <c r="A22" s="285"/>
      <c r="B22" s="48"/>
      <c r="C22" s="30" t="str">
        <f>IF(OR($A22="",NOT(ISNUMBER($A21))),"",-SUMIFS('Portfolio Analysis'!$F$10:$F$1009,'Portfolio Analysis'!$B$10:$B$1009,"&gt;"&amp;$A21,'Portfolio Analysis'!$B$10:$B$1009,"&lt;="&amp;$A22))</f>
        <v/>
      </c>
      <c r="D22" s="112" t="str">
        <f t="shared" si="0"/>
        <v/>
      </c>
      <c r="E22" s="30" t="str">
        <f>IF($A22="","",SUMIFS('Portfolio Analysis'!$G$10:$G$1009,'Portfolio Analysis'!$B$10:$B$1009,"&lt;="&amp;$A22))</f>
        <v/>
      </c>
    </row>
    <row r="23" spans="1:5" ht="15" customHeight="1" x14ac:dyDescent="0.15">
      <c r="A23" s="285"/>
      <c r="B23" s="48"/>
      <c r="C23" s="30" t="str">
        <f>IF(OR($A23="",NOT(ISNUMBER($A22))),"",-SUMIFS('Portfolio Analysis'!$F$10:$F$1009,'Portfolio Analysis'!$B$10:$B$1009,"&gt;"&amp;$A22,'Portfolio Analysis'!$B$10:$B$1009,"&lt;="&amp;$A23))</f>
        <v/>
      </c>
      <c r="D23" s="112" t="str">
        <f t="shared" si="0"/>
        <v/>
      </c>
      <c r="E23" s="30" t="str">
        <f>IF($A23="","",SUMIFS('Portfolio Analysis'!$G$10:$G$1009,'Portfolio Analysis'!$B$10:$B$1009,"&lt;="&amp;$A23))</f>
        <v/>
      </c>
    </row>
    <row r="24" spans="1:5" ht="15" customHeight="1" x14ac:dyDescent="0.15">
      <c r="A24" s="285"/>
      <c r="B24" s="48"/>
      <c r="C24" s="30" t="str">
        <f>IF(OR($A24="",NOT(ISNUMBER($A23))),"",-SUMIFS('Portfolio Analysis'!$F$10:$F$1009,'Portfolio Analysis'!$B$10:$B$1009,"&gt;"&amp;$A23,'Portfolio Analysis'!$B$10:$B$1009,"&lt;="&amp;$A24))</f>
        <v/>
      </c>
      <c r="D24" s="112" t="str">
        <f t="shared" si="0"/>
        <v/>
      </c>
      <c r="E24" s="30" t="str">
        <f>IF($A24="","",SUMIFS('Portfolio Analysis'!$G$10:$G$1009,'Portfolio Analysis'!$B$10:$B$1009,"&lt;="&amp;$A24))</f>
        <v/>
      </c>
    </row>
    <row r="25" spans="1:5" ht="15" customHeight="1" x14ac:dyDescent="0.15">
      <c r="A25" s="285"/>
      <c r="B25" s="48"/>
      <c r="C25" s="30" t="str">
        <f>IF(OR($A25="",NOT(ISNUMBER($A24))),"",-SUMIFS('Portfolio Analysis'!$F$10:$F$1009,'Portfolio Analysis'!$B$10:$B$1009,"&gt;"&amp;$A24,'Portfolio Analysis'!$B$10:$B$1009,"&lt;="&amp;$A25))</f>
        <v/>
      </c>
      <c r="D25" s="112" t="str">
        <f t="shared" si="0"/>
        <v/>
      </c>
      <c r="E25" s="30" t="str">
        <f>IF($A25="","",SUMIFS('Portfolio Analysis'!$G$10:$G$1009,'Portfolio Analysis'!$B$10:$B$1009,"&lt;="&amp;$A25))</f>
        <v/>
      </c>
    </row>
    <row r="26" spans="1:5" ht="15" customHeight="1" x14ac:dyDescent="0.15">
      <c r="A26" s="285"/>
      <c r="B26" s="48"/>
      <c r="C26" s="30" t="str">
        <f>IF(OR($A26="",NOT(ISNUMBER($A25))),"",-SUMIFS('Portfolio Analysis'!$F$10:$F$1009,'Portfolio Analysis'!$B$10:$B$1009,"&gt;"&amp;$A25,'Portfolio Analysis'!$B$10:$B$1009,"&lt;="&amp;$A26))</f>
        <v/>
      </c>
      <c r="D26" s="112" t="str">
        <f t="shared" si="0"/>
        <v/>
      </c>
      <c r="E26" s="30" t="str">
        <f>IF($A26="","",SUMIFS('Portfolio Analysis'!$G$10:$G$1009,'Portfolio Analysis'!$B$10:$B$1009,"&lt;="&amp;$A26))</f>
        <v/>
      </c>
    </row>
    <row r="27" spans="1:5" ht="15" customHeight="1" x14ac:dyDescent="0.15">
      <c r="A27" s="285"/>
      <c r="B27" s="48"/>
      <c r="C27" s="30" t="str">
        <f>IF(OR($A27="",NOT(ISNUMBER($A26))),"",-SUMIFS('Portfolio Analysis'!$F$10:$F$1009,'Portfolio Analysis'!$B$10:$B$1009,"&gt;"&amp;$A26,'Portfolio Analysis'!$B$10:$B$1009,"&lt;="&amp;$A27))</f>
        <v/>
      </c>
      <c r="D27" s="112" t="str">
        <f t="shared" si="0"/>
        <v/>
      </c>
      <c r="E27" s="30" t="str">
        <f>IF($A27="","",SUMIFS('Portfolio Analysis'!$G$10:$G$1009,'Portfolio Analysis'!$B$10:$B$1009,"&lt;="&amp;$A27))</f>
        <v/>
      </c>
    </row>
    <row r="28" spans="1:5" ht="15" customHeight="1" x14ac:dyDescent="0.15">
      <c r="A28" s="285"/>
      <c r="B28" s="48"/>
      <c r="C28" s="30" t="str">
        <f>IF(OR($A28="",NOT(ISNUMBER($A27))),"",-SUMIFS('Portfolio Analysis'!$F$10:$F$1009,'Portfolio Analysis'!$B$10:$B$1009,"&gt;"&amp;$A27,'Portfolio Analysis'!$B$10:$B$1009,"&lt;="&amp;$A28))</f>
        <v/>
      </c>
      <c r="D28" s="112" t="str">
        <f t="shared" si="0"/>
        <v/>
      </c>
      <c r="E28" s="30" t="str">
        <f>IF($A28="","",SUMIFS('Portfolio Analysis'!$G$10:$G$1009,'Portfolio Analysis'!$B$10:$B$1009,"&lt;="&amp;$A28))</f>
        <v/>
      </c>
    </row>
    <row r="29" spans="1:5" ht="15" customHeight="1" x14ac:dyDescent="0.15">
      <c r="A29" s="285"/>
      <c r="B29" s="48"/>
      <c r="C29" s="30" t="str">
        <f>IF(OR($A29="",NOT(ISNUMBER($A28))),"",-SUMIFS('Portfolio Analysis'!$F$10:$F$1009,'Portfolio Analysis'!$B$10:$B$1009,"&gt;"&amp;$A28,'Portfolio Analysis'!$B$10:$B$1009,"&lt;="&amp;$A29))</f>
        <v/>
      </c>
      <c r="D29" s="112" t="str">
        <f t="shared" si="0"/>
        <v/>
      </c>
      <c r="E29" s="30" t="str">
        <f>IF($A29="","",SUMIFS('Portfolio Analysis'!$G$10:$G$1009,'Portfolio Analysis'!$B$10:$B$1009,"&lt;="&amp;$A29))</f>
        <v/>
      </c>
    </row>
    <row r="30" spans="1:5" ht="15" customHeight="1" x14ac:dyDescent="0.15">
      <c r="A30" s="285"/>
      <c r="B30" s="48"/>
      <c r="C30" s="30" t="str">
        <f>IF(OR($A30="",NOT(ISNUMBER($A29))),"",-SUMIFS('Portfolio Analysis'!$F$10:$F$1009,'Portfolio Analysis'!$B$10:$B$1009,"&gt;"&amp;$A29,'Portfolio Analysis'!$B$10:$B$1009,"&lt;="&amp;$A30))</f>
        <v/>
      </c>
      <c r="D30" s="112" t="str">
        <f t="shared" si="0"/>
        <v/>
      </c>
      <c r="E30" s="30" t="str">
        <f>IF($A30="","",SUMIFS('Portfolio Analysis'!$G$10:$G$1009,'Portfolio Analysis'!$B$10:$B$1009,"&lt;="&amp;$A30))</f>
        <v/>
      </c>
    </row>
    <row r="31" spans="1:5" ht="15" customHeight="1" x14ac:dyDescent="0.15">
      <c r="A31" s="285"/>
      <c r="B31" s="48"/>
      <c r="C31" s="30" t="str">
        <f>IF(OR($A31="",NOT(ISNUMBER($A30))),"",-SUMIFS('Portfolio Analysis'!$F$10:$F$1009,'Portfolio Analysis'!$B$10:$B$1009,"&gt;"&amp;$A30,'Portfolio Analysis'!$B$10:$B$1009,"&lt;="&amp;$A31))</f>
        <v/>
      </c>
      <c r="D31" s="112" t="str">
        <f t="shared" si="0"/>
        <v/>
      </c>
      <c r="E31" s="30" t="str">
        <f>IF($A31="","",SUMIFS('Portfolio Analysis'!$G$10:$G$1009,'Portfolio Analysis'!$B$10:$B$1009,"&lt;="&amp;$A31))</f>
        <v/>
      </c>
    </row>
    <row r="32" spans="1:5" ht="15" customHeight="1" x14ac:dyDescent="0.15">
      <c r="A32" s="285"/>
      <c r="B32" s="48"/>
      <c r="C32" s="30" t="str">
        <f>IF(OR($A32="",NOT(ISNUMBER($A31))),"",-SUMIFS('Portfolio Analysis'!$F$10:$F$1009,'Portfolio Analysis'!$B$10:$B$1009,"&gt;"&amp;$A31,'Portfolio Analysis'!$B$10:$B$1009,"&lt;="&amp;$A32))</f>
        <v/>
      </c>
      <c r="D32" s="112" t="str">
        <f t="shared" si="0"/>
        <v/>
      </c>
      <c r="E32" s="30" t="str">
        <f>IF($A32="","",SUMIFS('Portfolio Analysis'!$G$10:$G$1009,'Portfolio Analysis'!$B$10:$B$1009,"&lt;="&amp;$A32))</f>
        <v/>
      </c>
    </row>
    <row r="33" spans="1:5" ht="15" customHeight="1" x14ac:dyDescent="0.15">
      <c r="A33" s="285"/>
      <c r="B33" s="48"/>
      <c r="C33" s="30" t="str">
        <f>IF(OR($A33="",NOT(ISNUMBER($A32))),"",-SUMIFS('Portfolio Analysis'!$F$10:$F$1009,'Portfolio Analysis'!$B$10:$B$1009,"&gt;"&amp;$A32,'Portfolio Analysis'!$B$10:$B$1009,"&lt;="&amp;$A33))</f>
        <v/>
      </c>
      <c r="D33" s="112" t="str">
        <f t="shared" si="0"/>
        <v/>
      </c>
      <c r="E33" s="30" t="str">
        <f>IF($A33="","",SUMIFS('Portfolio Analysis'!$G$10:$G$1009,'Portfolio Analysis'!$B$10:$B$1009,"&lt;="&amp;$A33))</f>
        <v/>
      </c>
    </row>
    <row r="34" spans="1:5" ht="15" customHeight="1" x14ac:dyDescent="0.15">
      <c r="A34" s="285"/>
      <c r="B34" s="48"/>
      <c r="C34" s="30" t="str">
        <f>IF(OR($A34="",NOT(ISNUMBER($A33))),"",-SUMIFS('Portfolio Analysis'!$F$10:$F$1009,'Portfolio Analysis'!$B$10:$B$1009,"&gt;"&amp;$A33,'Portfolio Analysis'!$B$10:$B$1009,"&lt;="&amp;$A34))</f>
        <v/>
      </c>
      <c r="D34" s="112" t="str">
        <f t="shared" si="0"/>
        <v/>
      </c>
      <c r="E34" s="30" t="str">
        <f>IF($A34="","",SUMIFS('Portfolio Analysis'!$G$10:$G$1009,'Portfolio Analysis'!$B$10:$B$1009,"&lt;="&amp;$A34))</f>
        <v/>
      </c>
    </row>
    <row r="35" spans="1:5" ht="15" customHeight="1" x14ac:dyDescent="0.15">
      <c r="A35" s="285"/>
      <c r="B35" s="48"/>
      <c r="C35" s="30" t="str">
        <f>IF(OR($A35="",NOT(ISNUMBER($A34))),"",-SUMIFS('Portfolio Analysis'!$F$10:$F$1009,'Portfolio Analysis'!$B$10:$B$1009,"&gt;"&amp;$A34,'Portfolio Analysis'!$B$10:$B$1009,"&lt;="&amp;$A35))</f>
        <v/>
      </c>
      <c r="D35" s="112" t="str">
        <f t="shared" si="0"/>
        <v/>
      </c>
      <c r="E35" s="30" t="str">
        <f>IF($A35="","",SUMIFS('Portfolio Analysis'!$G$10:$G$1009,'Portfolio Analysis'!$B$10:$B$1009,"&lt;="&amp;$A35))</f>
        <v/>
      </c>
    </row>
    <row r="36" spans="1:5" ht="15" customHeight="1" x14ac:dyDescent="0.15">
      <c r="A36" s="285"/>
      <c r="B36" s="48"/>
      <c r="C36" s="30" t="str">
        <f>IF(OR($A36="",NOT(ISNUMBER($A35))),"",-SUMIFS('Portfolio Analysis'!$F$10:$F$1009,'Portfolio Analysis'!$B$10:$B$1009,"&gt;"&amp;$A35,'Portfolio Analysis'!$B$10:$B$1009,"&lt;="&amp;$A36))</f>
        <v/>
      </c>
      <c r="D36" s="112" t="str">
        <f t="shared" si="0"/>
        <v/>
      </c>
      <c r="E36" s="30" t="str">
        <f>IF($A36="","",SUMIFS('Portfolio Analysis'!$G$10:$G$1009,'Portfolio Analysis'!$B$10:$B$1009,"&lt;="&amp;$A36))</f>
        <v/>
      </c>
    </row>
    <row r="37" spans="1:5" ht="15" customHeight="1" x14ac:dyDescent="0.15">
      <c r="A37" s="285"/>
      <c r="B37" s="48"/>
      <c r="C37" s="30" t="str">
        <f>IF(OR($A37="",NOT(ISNUMBER($A36))),"",-SUMIFS('Portfolio Analysis'!$F$10:$F$1009,'Portfolio Analysis'!$B$10:$B$1009,"&gt;"&amp;$A36,'Portfolio Analysis'!$B$10:$B$1009,"&lt;="&amp;$A37))</f>
        <v/>
      </c>
      <c r="D37" s="112" t="str">
        <f t="shared" si="0"/>
        <v/>
      </c>
      <c r="E37" s="30" t="str">
        <f>IF($A37="","",SUMIFS('Portfolio Analysis'!$G$10:$G$1009,'Portfolio Analysis'!$B$10:$B$1009,"&lt;="&amp;$A37))</f>
        <v/>
      </c>
    </row>
    <row r="38" spans="1:5" ht="15" customHeight="1" x14ac:dyDescent="0.15">
      <c r="A38" s="285"/>
      <c r="B38" s="48"/>
      <c r="C38" s="30" t="str">
        <f>IF(OR($A38="",NOT(ISNUMBER($A37))),"",-SUMIFS('Portfolio Analysis'!$F$10:$F$1009,'Portfolio Analysis'!$B$10:$B$1009,"&gt;"&amp;$A37,'Portfolio Analysis'!$B$10:$B$1009,"&lt;="&amp;$A38))</f>
        <v/>
      </c>
      <c r="D38" s="112" t="str">
        <f t="shared" si="0"/>
        <v/>
      </c>
      <c r="E38" s="30" t="str">
        <f>IF($A38="","",SUMIFS('Portfolio Analysis'!$G$10:$G$1009,'Portfolio Analysis'!$B$10:$B$1009,"&lt;="&amp;$A38))</f>
        <v/>
      </c>
    </row>
    <row r="39" spans="1:5" ht="15" customHeight="1" x14ac:dyDescent="0.15">
      <c r="A39" s="285"/>
      <c r="B39" s="48"/>
      <c r="C39" s="30" t="str">
        <f>IF(OR($A39="",NOT(ISNUMBER($A38))),"",-SUMIFS('Portfolio Analysis'!$F$10:$F$1009,'Portfolio Analysis'!$B$10:$B$1009,"&gt;"&amp;$A38,'Portfolio Analysis'!$B$10:$B$1009,"&lt;="&amp;$A39))</f>
        <v/>
      </c>
      <c r="D39" s="112" t="str">
        <f t="shared" si="0"/>
        <v/>
      </c>
      <c r="E39" s="30" t="str">
        <f>IF($A39="","",SUMIFS('Portfolio Analysis'!$G$10:$G$1009,'Portfolio Analysis'!$B$10:$B$1009,"&lt;="&amp;$A39))</f>
        <v/>
      </c>
    </row>
    <row r="40" spans="1:5" ht="15" customHeight="1" x14ac:dyDescent="0.15">
      <c r="A40" s="285"/>
      <c r="B40" s="48"/>
      <c r="C40" s="30" t="str">
        <f>IF(OR($A40="",NOT(ISNUMBER($A39))),"",-SUMIFS('Portfolio Analysis'!$F$10:$F$1009,'Portfolio Analysis'!$B$10:$B$1009,"&gt;"&amp;$A39,'Portfolio Analysis'!$B$10:$B$1009,"&lt;="&amp;$A40))</f>
        <v/>
      </c>
      <c r="D40" s="112" t="str">
        <f t="shared" si="0"/>
        <v/>
      </c>
      <c r="E40" s="30" t="str">
        <f>IF($A40="","",SUMIFS('Portfolio Analysis'!$G$10:$G$1009,'Portfolio Analysis'!$B$10:$B$1009,"&lt;="&amp;$A40))</f>
        <v/>
      </c>
    </row>
    <row r="41" spans="1:5" ht="15" customHeight="1" x14ac:dyDescent="0.15">
      <c r="A41" s="285"/>
      <c r="B41" s="48"/>
      <c r="C41" s="30" t="str">
        <f>IF(OR($A41="",NOT(ISNUMBER($A40))),"",-SUMIFS('Portfolio Analysis'!$F$10:$F$1009,'Portfolio Analysis'!$B$10:$B$1009,"&gt;"&amp;$A40,'Portfolio Analysis'!$B$10:$B$1009,"&lt;="&amp;$A41))</f>
        <v/>
      </c>
      <c r="D41" s="112" t="str">
        <f t="shared" ref="D41:D60" si="1">IF(OR($C41="",$B41="",$B40=""),"",IFERROR(($B41-$B40-$C41)/$B40,""))</f>
        <v/>
      </c>
      <c r="E41" s="30" t="str">
        <f>IF($A41="","",SUMIFS('Portfolio Analysis'!$G$10:$G$1009,'Portfolio Analysis'!$B$10:$B$1009,"&lt;="&amp;$A41))</f>
        <v/>
      </c>
    </row>
    <row r="42" spans="1:5" ht="15" customHeight="1" x14ac:dyDescent="0.15">
      <c r="A42" s="285"/>
      <c r="B42" s="48"/>
      <c r="C42" s="30" t="str">
        <f>IF(OR($A42="",NOT(ISNUMBER($A41))),"",-SUMIFS('Portfolio Analysis'!$F$10:$F$1009,'Portfolio Analysis'!$B$10:$B$1009,"&gt;"&amp;$A41,'Portfolio Analysis'!$B$10:$B$1009,"&lt;="&amp;$A42))</f>
        <v/>
      </c>
      <c r="D42" s="112" t="str">
        <f t="shared" si="1"/>
        <v/>
      </c>
      <c r="E42" s="30" t="str">
        <f>IF($A42="","",SUMIFS('Portfolio Analysis'!$G$10:$G$1009,'Portfolio Analysis'!$B$10:$B$1009,"&lt;="&amp;$A42))</f>
        <v/>
      </c>
    </row>
    <row r="43" spans="1:5" ht="15" customHeight="1" x14ac:dyDescent="0.15">
      <c r="A43" s="285"/>
      <c r="B43" s="48"/>
      <c r="C43" s="30" t="str">
        <f>IF(OR($A43="",NOT(ISNUMBER($A42))),"",-SUMIFS('Portfolio Analysis'!$F$10:$F$1009,'Portfolio Analysis'!$B$10:$B$1009,"&gt;"&amp;$A42,'Portfolio Analysis'!$B$10:$B$1009,"&lt;="&amp;$A43))</f>
        <v/>
      </c>
      <c r="D43" s="112" t="str">
        <f t="shared" si="1"/>
        <v/>
      </c>
      <c r="E43" s="30" t="str">
        <f>IF($A43="","",SUMIFS('Portfolio Analysis'!$G$10:$G$1009,'Portfolio Analysis'!$B$10:$B$1009,"&lt;="&amp;$A43))</f>
        <v/>
      </c>
    </row>
    <row r="44" spans="1:5" ht="15" customHeight="1" x14ac:dyDescent="0.15">
      <c r="A44" s="285"/>
      <c r="B44" s="48"/>
      <c r="C44" s="30" t="str">
        <f>IF(OR($A44="",NOT(ISNUMBER($A43))),"",-SUMIFS('Portfolio Analysis'!$F$10:$F$1009,'Portfolio Analysis'!$B$10:$B$1009,"&gt;"&amp;$A43,'Portfolio Analysis'!$B$10:$B$1009,"&lt;="&amp;$A44))</f>
        <v/>
      </c>
      <c r="D44" s="112" t="str">
        <f t="shared" si="1"/>
        <v/>
      </c>
      <c r="E44" s="30" t="str">
        <f>IF($A44="","",SUMIFS('Portfolio Analysis'!$G$10:$G$1009,'Portfolio Analysis'!$B$10:$B$1009,"&lt;="&amp;$A44))</f>
        <v/>
      </c>
    </row>
    <row r="45" spans="1:5" ht="15" customHeight="1" x14ac:dyDescent="0.15">
      <c r="A45" s="285"/>
      <c r="B45" s="48"/>
      <c r="C45" s="30" t="str">
        <f>IF(OR($A45="",NOT(ISNUMBER($A44))),"",-SUMIFS('Portfolio Analysis'!$F$10:$F$1009,'Portfolio Analysis'!$B$10:$B$1009,"&gt;"&amp;$A44,'Portfolio Analysis'!$B$10:$B$1009,"&lt;="&amp;$A45))</f>
        <v/>
      </c>
      <c r="D45" s="112" t="str">
        <f t="shared" si="1"/>
        <v/>
      </c>
      <c r="E45" s="30" t="str">
        <f>IF($A45="","",SUMIFS('Portfolio Analysis'!$G$10:$G$1009,'Portfolio Analysis'!$B$10:$B$1009,"&lt;="&amp;$A45))</f>
        <v/>
      </c>
    </row>
    <row r="46" spans="1:5" ht="15" customHeight="1" x14ac:dyDescent="0.15">
      <c r="A46" s="285"/>
      <c r="B46" s="48"/>
      <c r="C46" s="30" t="str">
        <f>IF(OR($A46="",NOT(ISNUMBER($A45))),"",-SUMIFS('Portfolio Analysis'!$F$10:$F$1009,'Portfolio Analysis'!$B$10:$B$1009,"&gt;"&amp;$A45,'Portfolio Analysis'!$B$10:$B$1009,"&lt;="&amp;$A46))</f>
        <v/>
      </c>
      <c r="D46" s="112" t="str">
        <f t="shared" si="1"/>
        <v/>
      </c>
      <c r="E46" s="30" t="str">
        <f>IF($A46="","",SUMIFS('Portfolio Analysis'!$G$10:$G$1009,'Portfolio Analysis'!$B$10:$B$1009,"&lt;="&amp;$A46))</f>
        <v/>
      </c>
    </row>
    <row r="47" spans="1:5" ht="15" customHeight="1" x14ac:dyDescent="0.15">
      <c r="A47" s="285"/>
      <c r="B47" s="48"/>
      <c r="C47" s="30" t="str">
        <f>IF(OR($A47="",NOT(ISNUMBER($A46))),"",-SUMIFS('Portfolio Analysis'!$F$10:$F$1009,'Portfolio Analysis'!$B$10:$B$1009,"&gt;"&amp;$A46,'Portfolio Analysis'!$B$10:$B$1009,"&lt;="&amp;$A47))</f>
        <v/>
      </c>
      <c r="D47" s="112" t="str">
        <f t="shared" si="1"/>
        <v/>
      </c>
      <c r="E47" s="30" t="str">
        <f>IF($A47="","",SUMIFS('Portfolio Analysis'!$G$10:$G$1009,'Portfolio Analysis'!$B$10:$B$1009,"&lt;="&amp;$A47))</f>
        <v/>
      </c>
    </row>
    <row r="48" spans="1:5" ht="15" customHeight="1" x14ac:dyDescent="0.15">
      <c r="A48" s="285"/>
      <c r="B48" s="48"/>
      <c r="C48" s="30" t="str">
        <f>IF(OR($A48="",NOT(ISNUMBER($A47))),"",-SUMIFS('Portfolio Analysis'!$F$10:$F$1009,'Portfolio Analysis'!$B$10:$B$1009,"&gt;"&amp;$A47,'Portfolio Analysis'!$B$10:$B$1009,"&lt;="&amp;$A48))</f>
        <v/>
      </c>
      <c r="D48" s="112" t="str">
        <f t="shared" si="1"/>
        <v/>
      </c>
      <c r="E48" s="30" t="str">
        <f>IF($A48="","",SUMIFS('Portfolio Analysis'!$G$10:$G$1009,'Portfolio Analysis'!$B$10:$B$1009,"&lt;="&amp;$A48))</f>
        <v/>
      </c>
    </row>
    <row r="49" spans="1:5" ht="15" customHeight="1" x14ac:dyDescent="0.15">
      <c r="A49" s="285"/>
      <c r="B49" s="48"/>
      <c r="C49" s="30" t="str">
        <f>IF(OR($A49="",NOT(ISNUMBER($A48))),"",-SUMIFS('Portfolio Analysis'!$F$10:$F$1009,'Portfolio Analysis'!$B$10:$B$1009,"&gt;"&amp;$A48,'Portfolio Analysis'!$B$10:$B$1009,"&lt;="&amp;$A49))</f>
        <v/>
      </c>
      <c r="D49" s="112" t="str">
        <f t="shared" si="1"/>
        <v/>
      </c>
      <c r="E49" s="30" t="str">
        <f>IF($A49="","",SUMIFS('Portfolio Analysis'!$G$10:$G$1009,'Portfolio Analysis'!$B$10:$B$1009,"&lt;="&amp;$A49))</f>
        <v/>
      </c>
    </row>
    <row r="50" spans="1:5" ht="15" customHeight="1" x14ac:dyDescent="0.15">
      <c r="A50" s="285"/>
      <c r="B50" s="48"/>
      <c r="C50" s="30" t="str">
        <f>IF(OR($A50="",NOT(ISNUMBER($A49))),"",-SUMIFS('Portfolio Analysis'!$F$10:$F$1009,'Portfolio Analysis'!$B$10:$B$1009,"&gt;"&amp;$A49,'Portfolio Analysis'!$B$10:$B$1009,"&lt;="&amp;$A50))</f>
        <v/>
      </c>
      <c r="D50" s="112" t="str">
        <f t="shared" si="1"/>
        <v/>
      </c>
      <c r="E50" s="30" t="str">
        <f>IF($A50="","",SUMIFS('Portfolio Analysis'!$G$10:$G$1009,'Portfolio Analysis'!$B$10:$B$1009,"&lt;="&amp;$A50))</f>
        <v/>
      </c>
    </row>
    <row r="51" spans="1:5" ht="15" customHeight="1" x14ac:dyDescent="0.15">
      <c r="A51" s="285"/>
      <c r="B51" s="48"/>
      <c r="C51" s="30" t="str">
        <f>IF(OR($A51="",NOT(ISNUMBER($A50))),"",-SUMIFS('Portfolio Analysis'!$F$10:$F$1009,'Portfolio Analysis'!$B$10:$B$1009,"&gt;"&amp;$A50,'Portfolio Analysis'!$B$10:$B$1009,"&lt;="&amp;$A51))</f>
        <v/>
      </c>
      <c r="D51" s="112" t="str">
        <f t="shared" si="1"/>
        <v/>
      </c>
      <c r="E51" s="30" t="str">
        <f>IF($A51="","",SUMIFS('Portfolio Analysis'!$G$10:$G$1009,'Portfolio Analysis'!$B$10:$B$1009,"&lt;="&amp;$A51))</f>
        <v/>
      </c>
    </row>
    <row r="52" spans="1:5" ht="15" customHeight="1" x14ac:dyDescent="0.15">
      <c r="A52" s="285"/>
      <c r="B52" s="48"/>
      <c r="C52" s="30" t="str">
        <f>IF(OR($A52="",NOT(ISNUMBER($A51))),"",-SUMIFS('Portfolio Analysis'!$F$10:$F$1009,'Portfolio Analysis'!$B$10:$B$1009,"&gt;"&amp;$A51,'Portfolio Analysis'!$B$10:$B$1009,"&lt;="&amp;$A52))</f>
        <v/>
      </c>
      <c r="D52" s="112" t="str">
        <f t="shared" si="1"/>
        <v/>
      </c>
      <c r="E52" s="30" t="str">
        <f>IF($A52="","",SUMIFS('Portfolio Analysis'!$G$10:$G$1009,'Portfolio Analysis'!$B$10:$B$1009,"&lt;="&amp;$A52))</f>
        <v/>
      </c>
    </row>
    <row r="53" spans="1:5" ht="15" customHeight="1" x14ac:dyDescent="0.15">
      <c r="A53" s="285"/>
      <c r="B53" s="48"/>
      <c r="C53" s="30" t="str">
        <f>IF(OR($A53="",NOT(ISNUMBER($A52))),"",-SUMIFS('Portfolio Analysis'!$F$10:$F$1009,'Portfolio Analysis'!$B$10:$B$1009,"&gt;"&amp;$A52,'Portfolio Analysis'!$B$10:$B$1009,"&lt;="&amp;$A53))</f>
        <v/>
      </c>
      <c r="D53" s="112" t="str">
        <f t="shared" si="1"/>
        <v/>
      </c>
      <c r="E53" s="30" t="str">
        <f>IF($A53="","",SUMIFS('Portfolio Analysis'!$G$10:$G$1009,'Portfolio Analysis'!$B$10:$B$1009,"&lt;="&amp;$A53))</f>
        <v/>
      </c>
    </row>
    <row r="54" spans="1:5" ht="15" customHeight="1" x14ac:dyDescent="0.15">
      <c r="A54" s="285"/>
      <c r="B54" s="48"/>
      <c r="C54" s="30" t="str">
        <f>IF(OR($A54="",NOT(ISNUMBER($A53))),"",-SUMIFS('Portfolio Analysis'!$F$10:$F$1009,'Portfolio Analysis'!$B$10:$B$1009,"&gt;"&amp;$A53,'Portfolio Analysis'!$B$10:$B$1009,"&lt;="&amp;$A54))</f>
        <v/>
      </c>
      <c r="D54" s="112" t="str">
        <f t="shared" si="1"/>
        <v/>
      </c>
      <c r="E54" s="30" t="str">
        <f>IF($A54="","",SUMIFS('Portfolio Analysis'!$G$10:$G$1009,'Portfolio Analysis'!$B$10:$B$1009,"&lt;="&amp;$A54))</f>
        <v/>
      </c>
    </row>
    <row r="55" spans="1:5" ht="15" customHeight="1" x14ac:dyDescent="0.15">
      <c r="A55" s="285"/>
      <c r="B55" s="48"/>
      <c r="C55" s="30" t="str">
        <f>IF(OR($A55="",NOT(ISNUMBER($A54))),"",-SUMIFS('Portfolio Analysis'!$F$10:$F$1009,'Portfolio Analysis'!$B$10:$B$1009,"&gt;"&amp;$A54,'Portfolio Analysis'!$B$10:$B$1009,"&lt;="&amp;$A55))</f>
        <v/>
      </c>
      <c r="D55" s="112" t="str">
        <f t="shared" si="1"/>
        <v/>
      </c>
      <c r="E55" s="30" t="str">
        <f>IF($A55="","",SUMIFS('Portfolio Analysis'!$G$10:$G$1009,'Portfolio Analysis'!$B$10:$B$1009,"&lt;="&amp;$A55))</f>
        <v/>
      </c>
    </row>
    <row r="56" spans="1:5" ht="15" customHeight="1" x14ac:dyDescent="0.15">
      <c r="A56" s="285"/>
      <c r="B56" s="48"/>
      <c r="C56" s="30" t="str">
        <f>IF(OR($A56="",NOT(ISNUMBER($A55))),"",-SUMIFS('Portfolio Analysis'!$F$10:$F$1009,'Portfolio Analysis'!$B$10:$B$1009,"&gt;"&amp;$A55,'Portfolio Analysis'!$B$10:$B$1009,"&lt;="&amp;$A56))</f>
        <v/>
      </c>
      <c r="D56" s="112" t="str">
        <f t="shared" si="1"/>
        <v/>
      </c>
      <c r="E56" s="30" t="str">
        <f>IF($A56="","",SUMIFS('Portfolio Analysis'!$G$10:$G$1009,'Portfolio Analysis'!$B$10:$B$1009,"&lt;="&amp;$A56))</f>
        <v/>
      </c>
    </row>
    <row r="57" spans="1:5" ht="15" customHeight="1" x14ac:dyDescent="0.15">
      <c r="A57" s="285"/>
      <c r="B57" s="48"/>
      <c r="C57" s="30" t="str">
        <f>IF(OR($A57="",NOT(ISNUMBER($A56))),"",-SUMIFS('Portfolio Analysis'!$F$10:$F$1009,'Portfolio Analysis'!$B$10:$B$1009,"&gt;"&amp;$A56,'Portfolio Analysis'!$B$10:$B$1009,"&lt;="&amp;$A57))</f>
        <v/>
      </c>
      <c r="D57" s="112" t="str">
        <f t="shared" si="1"/>
        <v/>
      </c>
      <c r="E57" s="30" t="str">
        <f>IF($A57="","",SUMIFS('Portfolio Analysis'!$G$10:$G$1009,'Portfolio Analysis'!$B$10:$B$1009,"&lt;="&amp;$A57))</f>
        <v/>
      </c>
    </row>
    <row r="58" spans="1:5" ht="15" customHeight="1" x14ac:dyDescent="0.15">
      <c r="A58" s="285"/>
      <c r="B58" s="48"/>
      <c r="C58" s="30" t="str">
        <f>IF(OR($A58="",NOT(ISNUMBER($A57))),"",-SUMIFS('Portfolio Analysis'!$F$10:$F$1009,'Portfolio Analysis'!$B$10:$B$1009,"&gt;"&amp;$A57,'Portfolio Analysis'!$B$10:$B$1009,"&lt;="&amp;$A58))</f>
        <v/>
      </c>
      <c r="D58" s="112" t="str">
        <f t="shared" si="1"/>
        <v/>
      </c>
      <c r="E58" s="30" t="str">
        <f>IF($A58="","",SUMIFS('Portfolio Analysis'!$G$10:$G$1009,'Portfolio Analysis'!$B$10:$B$1009,"&lt;="&amp;$A58))</f>
        <v/>
      </c>
    </row>
    <row r="59" spans="1:5" ht="15" customHeight="1" x14ac:dyDescent="0.15">
      <c r="A59" s="285"/>
      <c r="B59" s="48"/>
      <c r="C59" s="30" t="str">
        <f>IF(OR($A59="",NOT(ISNUMBER($A58))),"",-SUMIFS('Portfolio Analysis'!$F$10:$F$1009,'Portfolio Analysis'!$B$10:$B$1009,"&gt;"&amp;$A58,'Portfolio Analysis'!$B$10:$B$1009,"&lt;="&amp;$A59))</f>
        <v/>
      </c>
      <c r="D59" s="112" t="str">
        <f t="shared" si="1"/>
        <v/>
      </c>
      <c r="E59" s="30" t="str">
        <f>IF($A59="","",SUMIFS('Portfolio Analysis'!$G$10:$G$1009,'Portfolio Analysis'!$B$10:$B$1009,"&lt;="&amp;$A59))</f>
        <v/>
      </c>
    </row>
    <row r="60" spans="1:5" ht="15" customHeight="1" x14ac:dyDescent="0.15">
      <c r="A60" s="285"/>
      <c r="B60" s="48"/>
      <c r="C60" s="30" t="str">
        <f>IF(OR($A60="",NOT(ISNUMBER($A59))),"",-SUMIFS('Portfolio Analysis'!$F$10:$F$1009,'Portfolio Analysis'!$B$10:$B$1009,"&gt;"&amp;$A59,'Portfolio Analysis'!$B$10:$B$1009,"&lt;="&amp;$A60))</f>
        <v/>
      </c>
      <c r="D60" s="112" t="str">
        <f t="shared" si="1"/>
        <v/>
      </c>
      <c r="E60" s="30" t="str">
        <f>IF($A60="","",SUMIFS('Portfolio Analysis'!$G$10:$G$1009,'Portfolio Analysis'!$B$10:$B$1009,"&lt;="&amp;$A60))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W10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18" customWidth="1"/>
    <col min="8" max="8" width="14" customWidth="1"/>
    <col min="9" max="9" width="12" customWidth="1"/>
    <col min="10" max="10" width="16" customWidth="1"/>
    <col min="14" max="16" width="15" customWidth="1"/>
    <col min="18" max="19" width="16" customWidth="1"/>
    <col min="20" max="20" width="14" customWidth="1"/>
    <col min="21" max="21" width="16" customWidth="1"/>
    <col min="22" max="23" width="8" customWidth="1"/>
  </cols>
  <sheetData>
    <row r="1" spans="1:23" ht="15" customHeight="1" x14ac:dyDescent="0.15">
      <c r="A1" s="286" t="s">
        <v>395</v>
      </c>
      <c r="B1" s="286" t="s">
        <v>387</v>
      </c>
      <c r="C1" s="286" t="s">
        <v>388</v>
      </c>
      <c r="D1" s="286" t="s">
        <v>390</v>
      </c>
      <c r="E1" s="286" t="s">
        <v>496</v>
      </c>
      <c r="F1" s="286" t="s">
        <v>510</v>
      </c>
      <c r="G1" s="286" t="s">
        <v>511</v>
      </c>
      <c r="H1" s="286" t="s">
        <v>423</v>
      </c>
      <c r="I1" s="286" t="s">
        <v>424</v>
      </c>
      <c r="J1" s="286" t="s">
        <v>512</v>
      </c>
      <c r="K1" s="286" t="s">
        <v>513</v>
      </c>
      <c r="L1" s="286" t="s">
        <v>514</v>
      </c>
      <c r="M1" s="286" t="s">
        <v>515</v>
      </c>
      <c r="N1" s="286" t="s">
        <v>228</v>
      </c>
      <c r="O1" s="286" t="s">
        <v>473</v>
      </c>
      <c r="P1" s="286" t="s">
        <v>514</v>
      </c>
      <c r="R1" s="60" t="s">
        <v>516</v>
      </c>
    </row>
    <row r="2" spans="1:23" ht="15" customHeight="1" x14ac:dyDescent="0.2">
      <c r="A2" s="243" t="str">
        <f>IFERROR(INDEX('All Ticker P&amp;L'!$A$2:$A$1001,MATCH(ROWS($A$2:A2),'All Ticker P&amp;L'!$N$2:$N$1001,0)),"")</f>
        <v>CA:GOLD:SGD</v>
      </c>
      <c r="B2" s="243" t="str">
        <f t="shared" ref="B2:B65" si="0">IF($A2="","",LEFT($A2,FIND(":",$A2)-1))</f>
        <v>CA</v>
      </c>
      <c r="C2" s="243" t="str">
        <f t="shared" ref="C2:C65" si="1">IF($A2="","",MID($A2,FIND(":",$A2)+1,FIND(":",$A2,FIND(":",$A2)+1)-FIND(":",$A2)-1))</f>
        <v>GOLD</v>
      </c>
      <c r="D2" s="243" t="str">
        <f t="shared" ref="D2:D65" si="2">IF($A2="","",RIGHT($A2,LEN($A2)-FIND(":",$A2,FIND(":",$A2)+1)))</f>
        <v>SGD</v>
      </c>
      <c r="E2" s="265">
        <f>IF($A2="","",SUMIFS(Txn[Signed Units],Txn[Key],$A2))</f>
        <v>700</v>
      </c>
      <c r="F2" s="287">
        <f>IF($A2="","",SUMIFS(Txn[Buy Cost],Txn[Key],$A2))</f>
        <v>55500</v>
      </c>
      <c r="G2" s="287">
        <f>IF($A2="","",SUMIFS(Txn[Sell Proceeds],Txn[Key],$A2))</f>
        <v>0</v>
      </c>
      <c r="H2" s="288">
        <f>IF($A2="","",IFERROR(INDEX(Prices[Current Price],MATCH($A2,Prices[Key],0)),0))</f>
        <v>111.61</v>
      </c>
      <c r="I2" s="289">
        <f>IF($A2="","",IFERROR(INDEX(Prices[FX to SGD],MATCH($A2,Prices[Key],0)),1))</f>
        <v>1</v>
      </c>
      <c r="J2" s="287">
        <f t="shared" ref="J2:J65" si="3">IF($A2="","",E2*H2)</f>
        <v>78127</v>
      </c>
      <c r="K2" s="287">
        <f t="shared" ref="K2:K65" si="4">IF($A2="","",J2+G2-F2)</f>
        <v>22627</v>
      </c>
      <c r="L2" s="287">
        <f t="shared" ref="L2:L65" si="5">IF($A2="","",K2*I2)</f>
        <v>22627</v>
      </c>
      <c r="M2" s="290">
        <f t="shared" ref="M2:M65" si="6">IF($A2="","",IFERROR(K2/F2,0))</f>
        <v>0.40769369369369368</v>
      </c>
      <c r="N2" t="str">
        <f>IF($A2="","",IFERROR(INDEX(Prices[Category],MATCH($A2,Prices[Key],0)),"Uncategorized"))</f>
        <v>Gold &amp; Silver</v>
      </c>
      <c r="O2" s="291">
        <f t="shared" ref="O2:O65" si="7">IF($A2="","",$J2*$I2)</f>
        <v>78127</v>
      </c>
      <c r="P2" s="291">
        <f t="shared" ref="P2:P65" si="8">IF($A2="","",$L2)</f>
        <v>22627</v>
      </c>
      <c r="R2" s="60" t="s">
        <v>517</v>
      </c>
      <c r="S2" s="60" t="s">
        <v>518</v>
      </c>
      <c r="T2" s="60" t="s">
        <v>519</v>
      </c>
      <c r="U2" s="60" t="s">
        <v>520</v>
      </c>
      <c r="V2" s="60" t="s">
        <v>521</v>
      </c>
      <c r="W2" s="60" t="s">
        <v>522</v>
      </c>
    </row>
    <row r="3" spans="1:23" ht="15" customHeight="1" x14ac:dyDescent="0.2">
      <c r="A3" s="243" t="str">
        <f>IFERROR(INDEX('All Ticker P&amp;L'!$A$2:$A$1001,MATCH(ROWS($A$2:A3),'All Ticker P&amp;L'!$N$2:$N$1001,0)),"")</f>
        <v>SGX:Z74:SGD</v>
      </c>
      <c r="B3" s="243" t="str">
        <f t="shared" si="0"/>
        <v>SGX</v>
      </c>
      <c r="C3" s="243" t="str">
        <f t="shared" si="1"/>
        <v>Z74</v>
      </c>
      <c r="D3" s="243" t="str">
        <f t="shared" si="2"/>
        <v>SGD</v>
      </c>
      <c r="E3" s="265">
        <f>IF($A3="","",SUMIFS(Txn[Signed Units],Txn[Key],$A3))</f>
        <v>3000</v>
      </c>
      <c r="F3" s="287">
        <f>IF($A3="","",SUMIFS(Txn[Buy Cost],Txn[Key],$A3))</f>
        <v>9325</v>
      </c>
      <c r="G3" s="287">
        <f>IF($A3="","",SUMIFS(Txn[Sell Proceeds],Txn[Key],$A3))</f>
        <v>0</v>
      </c>
      <c r="H3" s="288">
        <f>IF($A3="","",IFERROR(INDEX(Prices[Current Price],MATCH($A3,Prices[Key],0)),0))</f>
        <v>3.82</v>
      </c>
      <c r="I3" s="289">
        <f>IF($A3="","",IFERROR(INDEX(Prices[FX to SGD],MATCH($A3,Prices[Key],0)),1))</f>
        <v>1</v>
      </c>
      <c r="J3" s="287">
        <f t="shared" si="3"/>
        <v>11460</v>
      </c>
      <c r="K3" s="287">
        <f t="shared" si="4"/>
        <v>2135</v>
      </c>
      <c r="L3" s="287">
        <f t="shared" si="5"/>
        <v>2135</v>
      </c>
      <c r="M3" s="290">
        <f t="shared" si="6"/>
        <v>0.22895442359249329</v>
      </c>
      <c r="N3" t="str">
        <f>IF($A3="","",IFERROR(INDEX(Prices[Category],MATCH($A3,Prices[Key],0)),"Uncategorized"))</f>
        <v>Reit/Dividend</v>
      </c>
      <c r="O3" s="291">
        <f t="shared" si="7"/>
        <v>11460</v>
      </c>
      <c r="P3" s="291">
        <f t="shared" si="8"/>
        <v>2135</v>
      </c>
      <c r="R3" t="s">
        <v>431</v>
      </c>
      <c r="S3" s="291">
        <f t="shared" ref="S3:S8" si="9">SUMIFS($O:$O,$N:$N,$R3)</f>
        <v>39594.911132508634</v>
      </c>
      <c r="T3" s="291">
        <f t="shared" ref="T3:T8" si="10">S3-U3</f>
        <v>27641.322782863186</v>
      </c>
      <c r="U3" s="291">
        <f t="shared" ref="U3:U8" si="11">SUMIFS($P:$P,$N:$N,$R3)</f>
        <v>11953.588349645448</v>
      </c>
      <c r="V3" s="292">
        <f t="shared" ref="V3:V9" si="12">IFERROR(U3/T3,"")</f>
        <v>0.43245355671098074</v>
      </c>
      <c r="W3" s="112">
        <f t="shared" ref="W3:W8" si="13">IFERROR(S3/$S$9,"")</f>
        <v>0.22261285304153278</v>
      </c>
    </row>
    <row r="4" spans="1:23" ht="15" customHeight="1" x14ac:dyDescent="0.2">
      <c r="A4" s="243" t="str">
        <f>IFERROR(INDEX('All Ticker P&amp;L'!$A$2:$A$1001,MATCH(ROWS($A$2:A4),'All Ticker P&amp;L'!$N$2:$N$1001,0)),"")</f>
        <v>USX:AAPL:USD</v>
      </c>
      <c r="B4" s="243" t="str">
        <f t="shared" si="0"/>
        <v>USX</v>
      </c>
      <c r="C4" s="243" t="str">
        <f t="shared" si="1"/>
        <v>AAPL</v>
      </c>
      <c r="D4" s="243" t="str">
        <f t="shared" si="2"/>
        <v>USD</v>
      </c>
      <c r="E4" s="265">
        <f>IF($A4="","",SUMIFS(Txn[Signed Units],Txn[Key],$A4))</f>
        <v>80</v>
      </c>
      <c r="F4" s="287">
        <f>IF($A4="","",SUMIFS(Txn[Buy Cost],Txn[Key],$A4))</f>
        <v>9110</v>
      </c>
      <c r="G4" s="287">
        <f>IF($A4="","",SUMIFS(Txn[Sell Proceeds],Txn[Key],$A4))</f>
        <v>0</v>
      </c>
      <c r="H4" s="288">
        <f>IF($A4="","",IFERROR(INDEX(Prices[Current Price],MATCH($A4,Prices[Key],0)),0))</f>
        <v>200</v>
      </c>
      <c r="I4" s="289">
        <f>IF($A4="","",IFERROR(INDEX(Prices[FX to SGD],MATCH($A4,Prices[Key],0)),1))</f>
        <v>1.2928081084924601</v>
      </c>
      <c r="J4" s="287">
        <f t="shared" si="3"/>
        <v>16000</v>
      </c>
      <c r="K4" s="287">
        <f t="shared" si="4"/>
        <v>6890</v>
      </c>
      <c r="L4" s="287">
        <f t="shared" si="5"/>
        <v>8907.4478675130504</v>
      </c>
      <c r="M4" s="290">
        <f t="shared" si="6"/>
        <v>0.75631174533479695</v>
      </c>
      <c r="N4" t="str">
        <f>IF($A4="","",IFERROR(INDEX(Prices[Category],MATCH($A4,Prices[Key],0)),"Uncategorized"))</f>
        <v>US/HK Growth</v>
      </c>
      <c r="O4" s="291">
        <f t="shared" si="7"/>
        <v>20684.929735879363</v>
      </c>
      <c r="P4" s="291">
        <f t="shared" si="8"/>
        <v>8907.4478675130504</v>
      </c>
      <c r="R4" t="s">
        <v>433</v>
      </c>
      <c r="S4" s="291">
        <f t="shared" si="9"/>
        <v>38740</v>
      </c>
      <c r="T4" s="291">
        <f t="shared" si="10"/>
        <v>37325</v>
      </c>
      <c r="U4" s="291">
        <f t="shared" si="11"/>
        <v>1415</v>
      </c>
      <c r="V4" s="292">
        <f t="shared" si="12"/>
        <v>3.7910247823174814E-2</v>
      </c>
      <c r="W4" s="112">
        <f t="shared" si="13"/>
        <v>0.2178063210690829</v>
      </c>
    </row>
    <row r="5" spans="1:23" ht="15" customHeight="1" x14ac:dyDescent="0.2">
      <c r="A5" s="243" t="str">
        <f>IFERROR(INDEX('All Ticker P&amp;L'!$A$2:$A$1001,MATCH(ROWS($A$2:A5),'All Ticker P&amp;L'!$N$2:$N$1001,0)),"")</f>
        <v>SGX:C38U:SGD</v>
      </c>
      <c r="B5" s="243" t="str">
        <f t="shared" si="0"/>
        <v>SGX</v>
      </c>
      <c r="C5" s="243" t="str">
        <f t="shared" si="1"/>
        <v>C38U</v>
      </c>
      <c r="D5" s="243" t="str">
        <f t="shared" si="2"/>
        <v>SGD</v>
      </c>
      <c r="E5" s="265">
        <f>IF($A5="","",SUMIFS(Txn[Signed Units],Txn[Key],$A5))</f>
        <v>8000</v>
      </c>
      <c r="F5" s="287">
        <f>IF($A5="","",SUMIFS(Txn[Buy Cost],Txn[Key],$A5))</f>
        <v>16150</v>
      </c>
      <c r="G5" s="287">
        <f>IF($A5="","",SUMIFS(Txn[Sell Proceeds],Txn[Key],$A5))</f>
        <v>0</v>
      </c>
      <c r="H5" s="288">
        <f>IF($A5="","",IFERROR(INDEX(Prices[Current Price],MATCH($A5,Prices[Key],0)),0))</f>
        <v>2.04</v>
      </c>
      <c r="I5" s="289">
        <f>IF($A5="","",IFERROR(INDEX(Prices[FX to SGD],MATCH($A5,Prices[Key],0)),1))</f>
        <v>1</v>
      </c>
      <c r="J5" s="287">
        <f t="shared" si="3"/>
        <v>16320</v>
      </c>
      <c r="K5" s="287">
        <f t="shared" si="4"/>
        <v>170</v>
      </c>
      <c r="L5" s="287">
        <f t="shared" si="5"/>
        <v>170</v>
      </c>
      <c r="M5" s="290">
        <f t="shared" si="6"/>
        <v>1.0526315789473684E-2</v>
      </c>
      <c r="N5" t="str">
        <f>IF($A5="","",IFERROR(INDEX(Prices[Category],MATCH($A5,Prices[Key],0)),"Uncategorized"))</f>
        <v>Reit/Dividend</v>
      </c>
      <c r="O5" s="291">
        <f t="shared" si="7"/>
        <v>16320</v>
      </c>
      <c r="P5" s="291">
        <f t="shared" si="8"/>
        <v>170</v>
      </c>
      <c r="R5" t="s">
        <v>436</v>
      </c>
      <c r="S5" s="291">
        <f t="shared" si="9"/>
        <v>8149.9999999999991</v>
      </c>
      <c r="T5" s="291">
        <f t="shared" si="10"/>
        <v>7025</v>
      </c>
      <c r="U5" s="291">
        <f t="shared" si="11"/>
        <v>1124.9999999999991</v>
      </c>
      <c r="V5" s="292">
        <f t="shared" si="12"/>
        <v>0.16014234875444827</v>
      </c>
      <c r="W5" s="112">
        <f t="shared" si="13"/>
        <v>4.5821412408699677E-2</v>
      </c>
    </row>
    <row r="6" spans="1:23" ht="15" customHeight="1" x14ac:dyDescent="0.2">
      <c r="A6" s="243" t="str">
        <f>IFERROR(INDEX('All Ticker P&amp;L'!$A$2:$A$1001,MATCH(ROWS($A$2:A6),'All Ticker P&amp;L'!$N$2:$N$1001,0)),"")</f>
        <v>CG:BITCOIN:USD</v>
      </c>
      <c r="B6" s="243" t="str">
        <f t="shared" si="0"/>
        <v>CG</v>
      </c>
      <c r="C6" s="243" t="str">
        <f t="shared" si="1"/>
        <v>BITCOIN</v>
      </c>
      <c r="D6" s="243" t="str">
        <f t="shared" si="2"/>
        <v>USD</v>
      </c>
      <c r="E6" s="265">
        <f>IF($A6="","",SUMIFS(Txn[Signed Units],Txn[Key],$A6))</f>
        <v>0.1</v>
      </c>
      <c r="F6" s="287">
        <f>IF($A6="","",SUMIFS(Txn[Buy Cost],Txn[Key],$A6))</f>
        <v>1850</v>
      </c>
      <c r="G6" s="287">
        <f>IF($A6="","",SUMIFS(Txn[Sell Proceeds],Txn[Key],$A6))</f>
        <v>0</v>
      </c>
      <c r="H6" s="288">
        <f>IF($A6="","",IFERROR(INDEX(Prices[Current Price],MATCH($A6,Prices[Key],0)),0))</f>
        <v>102509.66</v>
      </c>
      <c r="I6" s="289">
        <f>IF($A6="","",IFERROR(INDEX(Prices[FX to SGD],MATCH($A6,Prices[Key],0)),1))</f>
        <v>1.2928081084924601</v>
      </c>
      <c r="J6" s="287">
        <f t="shared" si="3"/>
        <v>10250.966</v>
      </c>
      <c r="K6" s="287">
        <f t="shared" si="4"/>
        <v>8400.9660000000003</v>
      </c>
      <c r="L6" s="287">
        <f t="shared" si="5"/>
        <v>10860.836963969468</v>
      </c>
      <c r="M6" s="290">
        <f t="shared" si="6"/>
        <v>4.5410627027027033</v>
      </c>
      <c r="N6" t="str">
        <f>IF($A6="","",IFERROR(INDEX(Prices[Category],MATCH($A6,Prices[Key],0)),"Uncategorized"))</f>
        <v>Crypto</v>
      </c>
      <c r="O6" s="291">
        <f t="shared" si="7"/>
        <v>13252.53196468052</v>
      </c>
      <c r="P6" s="291">
        <f t="shared" si="8"/>
        <v>10860.836963969468</v>
      </c>
      <c r="R6" t="s">
        <v>523</v>
      </c>
      <c r="S6" s="291">
        <f t="shared" si="9"/>
        <v>0</v>
      </c>
      <c r="T6" s="291">
        <f t="shared" si="10"/>
        <v>0</v>
      </c>
      <c r="U6" s="291">
        <f t="shared" si="11"/>
        <v>0</v>
      </c>
      <c r="V6" s="292" t="str">
        <f t="shared" si="12"/>
        <v/>
      </c>
      <c r="W6" s="112">
        <f t="shared" si="13"/>
        <v>0</v>
      </c>
    </row>
    <row r="7" spans="1:23" ht="15" customHeight="1" x14ac:dyDescent="0.2">
      <c r="A7" s="243" t="str">
        <f>IFERROR(INDEX('All Ticker P&amp;L'!$A$2:$A$1001,MATCH(ROWS($A$2:A7),'All Ticker P&amp;L'!$N$2:$N$1001,0)),"")</f>
        <v>HKEX:700:HKD</v>
      </c>
      <c r="B7" s="243" t="str">
        <f t="shared" si="0"/>
        <v>HKEX</v>
      </c>
      <c r="C7" s="243" t="str">
        <f t="shared" si="1"/>
        <v>700</v>
      </c>
      <c r="D7" s="243" t="str">
        <f t="shared" si="2"/>
        <v>HKD</v>
      </c>
      <c r="E7" s="265">
        <f>IF($A7="","",SUMIFS(Txn[Signed Units],Txn[Key],$A7))</f>
        <v>100</v>
      </c>
      <c r="F7" s="287">
        <f>IF($A7="","",SUMIFS(Txn[Buy Cost],Txn[Key],$A7))</f>
        <v>60100</v>
      </c>
      <c r="G7" s="287">
        <f>IF($A7="","",SUMIFS(Txn[Sell Proceeds],Txn[Key],$A7))</f>
        <v>0</v>
      </c>
      <c r="H7" s="288">
        <f>IF($A7="","",IFERROR(INDEX(Prices[Current Price],MATCH($A7,Prices[Key],0)),0))</f>
        <v>488.2</v>
      </c>
      <c r="I7" s="289">
        <f>IF($A7="","",IFERROR(INDEX(Prices[FX to SGD],MATCH($A7,Prices[Key],0)),1))</f>
        <v>0.16489949375855401</v>
      </c>
      <c r="J7" s="287">
        <f t="shared" si="3"/>
        <v>48820</v>
      </c>
      <c r="K7" s="287">
        <f t="shared" si="4"/>
        <v>-11280</v>
      </c>
      <c r="L7" s="287">
        <f t="shared" si="5"/>
        <v>-1860.0662895964892</v>
      </c>
      <c r="M7" s="290">
        <f t="shared" si="6"/>
        <v>-0.18768718801996673</v>
      </c>
      <c r="N7" t="str">
        <f>IF($A7="","",IFERROR(INDEX(Prices[Category],MATCH($A7,Prices[Key],0)),"Uncategorized"))</f>
        <v>US/HK Growth</v>
      </c>
      <c r="O7" s="291">
        <f t="shared" si="7"/>
        <v>8050.3932852926064</v>
      </c>
      <c r="P7" s="291">
        <f t="shared" si="8"/>
        <v>-1860.0662895964892</v>
      </c>
      <c r="R7" t="s">
        <v>429</v>
      </c>
      <c r="S7" s="291">
        <f t="shared" si="9"/>
        <v>13252.53196468052</v>
      </c>
      <c r="T7" s="291">
        <f t="shared" si="10"/>
        <v>2391.6950007110518</v>
      </c>
      <c r="U7" s="291">
        <f t="shared" si="11"/>
        <v>10860.836963969468</v>
      </c>
      <c r="V7" s="292">
        <f t="shared" si="12"/>
        <v>4.5410627027027015</v>
      </c>
      <c r="W7" s="112">
        <f t="shared" si="13"/>
        <v>7.4509169645779277E-2</v>
      </c>
    </row>
    <row r="8" spans="1:23" ht="15" customHeight="1" x14ac:dyDescent="0.2">
      <c r="A8" s="243" t="str">
        <f>IFERROR(INDEX('All Ticker P&amp;L'!$A$2:$A$1001,MATCH(ROWS($A$2:A8),'All Ticker P&amp;L'!$N$2:$N$1001,0)),"")</f>
        <v>USX:MSFT:USD</v>
      </c>
      <c r="B8" s="243" t="str">
        <f t="shared" si="0"/>
        <v>USX</v>
      </c>
      <c r="C8" s="243" t="str">
        <f t="shared" si="1"/>
        <v>MSFT</v>
      </c>
      <c r="D8" s="243" t="str">
        <f t="shared" si="2"/>
        <v>USD</v>
      </c>
      <c r="E8" s="265">
        <f>IF($A8="","",SUMIFS(Txn[Signed Units],Txn[Key],$A8))</f>
        <v>20</v>
      </c>
      <c r="F8" s="287">
        <f>IF($A8="","",SUMIFS(Txn[Buy Cost],Txn[Key],$A8))</f>
        <v>4605</v>
      </c>
      <c r="G8" s="287">
        <f>IF($A8="","",SUMIFS(Txn[Sell Proceeds],Txn[Key],$A8))</f>
        <v>0</v>
      </c>
      <c r="H8" s="288">
        <f>IF($A8="","",IFERROR(INDEX(Prices[Current Price],MATCH($A8,Prices[Key],0)),0))</f>
        <v>420</v>
      </c>
      <c r="I8" s="289">
        <f>IF($A8="","",IFERROR(INDEX(Prices[FX to SGD],MATCH($A8,Prices[Key],0)),1))</f>
        <v>1.2928081084924601</v>
      </c>
      <c r="J8" s="287">
        <f t="shared" si="3"/>
        <v>8400</v>
      </c>
      <c r="K8" s="287">
        <f t="shared" si="4"/>
        <v>3795</v>
      </c>
      <c r="L8" s="287">
        <f t="shared" si="5"/>
        <v>4906.2067717288865</v>
      </c>
      <c r="M8" s="290">
        <f t="shared" si="6"/>
        <v>0.82410423452768733</v>
      </c>
      <c r="N8" t="str">
        <f>IF($A8="","",IFERROR(INDEX(Prices[Category],MATCH($A8,Prices[Key],0)),"Uncategorized"))</f>
        <v>US/HK Growth</v>
      </c>
      <c r="O8" s="291">
        <f t="shared" si="7"/>
        <v>10859.588111336665</v>
      </c>
      <c r="P8" s="291">
        <f t="shared" si="8"/>
        <v>4906.2067717288865</v>
      </c>
      <c r="R8" t="s">
        <v>427</v>
      </c>
      <c r="S8" s="291">
        <f t="shared" si="9"/>
        <v>78127</v>
      </c>
      <c r="T8" s="291">
        <f t="shared" si="10"/>
        <v>55500</v>
      </c>
      <c r="U8" s="291">
        <f t="shared" si="11"/>
        <v>22627</v>
      </c>
      <c r="V8" s="292">
        <f t="shared" si="12"/>
        <v>0.40769369369369368</v>
      </c>
      <c r="W8" s="112">
        <f t="shared" si="13"/>
        <v>0.43925024383490552</v>
      </c>
    </row>
    <row r="9" spans="1:23" ht="15" customHeight="1" x14ac:dyDescent="0.2">
      <c r="A9" s="243" t="str">
        <f>IFERROR(INDEX('All Ticker P&amp;L'!$A$2:$A$1001,MATCH(ROWS($A$2:A9),'All Ticker P&amp;L'!$N$2:$N$1001,0)),"")</f>
        <v>SGX:A17U:SGD</v>
      </c>
      <c r="B9" s="243" t="str">
        <f t="shared" si="0"/>
        <v>SGX</v>
      </c>
      <c r="C9" s="243" t="str">
        <f t="shared" si="1"/>
        <v>A17U</v>
      </c>
      <c r="D9" s="243" t="str">
        <f t="shared" si="2"/>
        <v>SGD</v>
      </c>
      <c r="E9" s="265">
        <f>IF($A9="","",SUMIFS(Txn[Signed Units],Txn[Key],$A9))</f>
        <v>4000</v>
      </c>
      <c r="F9" s="287">
        <f>IF($A9="","",SUMIFS(Txn[Buy Cost],Txn[Key],$A9))</f>
        <v>11850</v>
      </c>
      <c r="G9" s="287">
        <f>IF($A9="","",SUMIFS(Txn[Sell Proceeds],Txn[Key],$A9))</f>
        <v>0</v>
      </c>
      <c r="H9" s="288">
        <f>IF($A9="","",IFERROR(INDEX(Prices[Current Price],MATCH($A9,Prices[Key],0)),0))</f>
        <v>2.74</v>
      </c>
      <c r="I9" s="289">
        <f>IF($A9="","",IFERROR(INDEX(Prices[FX to SGD],MATCH($A9,Prices[Key],0)),1))</f>
        <v>1</v>
      </c>
      <c r="J9" s="287">
        <f t="shared" si="3"/>
        <v>10960</v>
      </c>
      <c r="K9" s="287">
        <f t="shared" si="4"/>
        <v>-890</v>
      </c>
      <c r="L9" s="287">
        <f t="shared" si="5"/>
        <v>-890</v>
      </c>
      <c r="M9" s="290">
        <f t="shared" si="6"/>
        <v>-7.5105485232067504E-2</v>
      </c>
      <c r="N9" t="str">
        <f>IF($A9="","",IFERROR(INDEX(Prices[Category],MATCH($A9,Prices[Key],0)),"Uncategorized"))</f>
        <v>Reit/Dividend</v>
      </c>
      <c r="O9" s="291">
        <f t="shared" si="7"/>
        <v>10960</v>
      </c>
      <c r="P9" s="291">
        <f t="shared" si="8"/>
        <v>-890</v>
      </c>
      <c r="R9" s="60" t="s">
        <v>524</v>
      </c>
      <c r="S9" s="293">
        <f>SUM(S3:S8)</f>
        <v>177864.44309718913</v>
      </c>
      <c r="T9" s="293">
        <f>SUM(T3:T8)</f>
        <v>129883.01778357425</v>
      </c>
      <c r="U9" s="293">
        <f>SUM(U3:U8)</f>
        <v>47981.42531361492</v>
      </c>
      <c r="V9" s="294">
        <f t="shared" si="12"/>
        <v>0.36942031477561593</v>
      </c>
      <c r="W9" s="295">
        <v>1</v>
      </c>
    </row>
    <row r="10" spans="1:23" ht="15" customHeight="1" x14ac:dyDescent="0.2">
      <c r="A10" s="243" t="str">
        <f>IFERROR(INDEX('All Ticker P&amp;L'!$A$2:$A$1001,MATCH(ROWS($A$2:A10),'All Ticker P&amp;L'!$N$2:$N$1001,0)),"")</f>
        <v>SGX:CLR:SGD</v>
      </c>
      <c r="B10" s="243" t="str">
        <f t="shared" si="0"/>
        <v>SGX</v>
      </c>
      <c r="C10" s="243" t="str">
        <f t="shared" si="1"/>
        <v>CLR</v>
      </c>
      <c r="D10" s="243" t="str">
        <f t="shared" si="2"/>
        <v>SGD</v>
      </c>
      <c r="E10" s="265">
        <f>IF($A10="","",SUMIFS(Txn[Signed Units],Txn[Key],$A10))</f>
        <v>10000</v>
      </c>
      <c r="F10" s="287">
        <f>IF($A10="","",SUMIFS(Txn[Buy Cost],Txn[Key],$A10))</f>
        <v>7025</v>
      </c>
      <c r="G10" s="287">
        <f>IF($A10="","",SUMIFS(Txn[Sell Proceeds],Txn[Key],$A10))</f>
        <v>0</v>
      </c>
      <c r="H10" s="288">
        <f>IF($A10="","",IFERROR(INDEX(Prices[Current Price],MATCH($A10,Prices[Key],0)),0))</f>
        <v>0.81499999999999995</v>
      </c>
      <c r="I10" s="289">
        <f>IF($A10="","",IFERROR(INDEX(Prices[FX to SGD],MATCH($A10,Prices[Key],0)),1))</f>
        <v>1</v>
      </c>
      <c r="J10" s="287">
        <f t="shared" si="3"/>
        <v>8149.9999999999991</v>
      </c>
      <c r="K10" s="287">
        <f t="shared" si="4"/>
        <v>1124.9999999999991</v>
      </c>
      <c r="L10" s="287">
        <f t="shared" si="5"/>
        <v>1124.9999999999991</v>
      </c>
      <c r="M10" s="290">
        <f t="shared" si="6"/>
        <v>0.16014234875444827</v>
      </c>
      <c r="N10" t="str">
        <f>IF($A10="","",IFERROR(INDEX(Prices[Category],MATCH($A10,Prices[Key],0)),"Uncategorized"))</f>
        <v>Small Cap</v>
      </c>
      <c r="O10" s="291">
        <f t="shared" si="7"/>
        <v>8149.9999999999991</v>
      </c>
      <c r="P10" s="291">
        <f t="shared" si="8"/>
        <v>1124.9999999999991</v>
      </c>
    </row>
    <row r="11" spans="1:23" ht="15" customHeight="1" x14ac:dyDescent="0.2">
      <c r="A11" s="243" t="str">
        <f>IFERROR(INDEX('All Ticker P&amp;L'!$A$2:$A$1001,MATCH(ROWS($A$2:A11),'All Ticker P&amp;L'!$N$2:$N$1001,0)),"")</f>
        <v/>
      </c>
      <c r="B11" s="243" t="str">
        <f t="shared" si="0"/>
        <v/>
      </c>
      <c r="C11" s="243" t="str">
        <f t="shared" si="1"/>
        <v/>
      </c>
      <c r="D11" s="243" t="str">
        <f t="shared" si="2"/>
        <v/>
      </c>
      <c r="E11" s="265" t="str">
        <f>IF($A11="","",SUMIFS(Txn[Signed Units],Txn[Key],$A11))</f>
        <v/>
      </c>
      <c r="F11" s="287" t="str">
        <f>IF($A11="","",SUMIFS(Txn[Buy Cost],Txn[Key],$A11))</f>
        <v/>
      </c>
      <c r="G11" s="287" t="str">
        <f>IF($A11="","",SUMIFS(Txn[Sell Proceeds],Txn[Key],$A11))</f>
        <v/>
      </c>
      <c r="H11" s="288" t="str">
        <f>IF($A11="","",IFERROR(INDEX(Prices[Current Price],MATCH($A11,Prices[Key],0)),0))</f>
        <v/>
      </c>
      <c r="I11" s="289" t="str">
        <f>IF($A11="","",IFERROR(INDEX(Prices[FX to SGD],MATCH($A11,Prices[Key],0)),1))</f>
        <v/>
      </c>
      <c r="J11" s="287" t="str">
        <f t="shared" si="3"/>
        <v/>
      </c>
      <c r="K11" s="287" t="str">
        <f t="shared" si="4"/>
        <v/>
      </c>
      <c r="L11" s="287" t="str">
        <f t="shared" si="5"/>
        <v/>
      </c>
      <c r="M11" s="290" t="str">
        <f t="shared" si="6"/>
        <v/>
      </c>
      <c r="N11" t="str">
        <f>IF($A11="","",IFERROR(INDEX(Prices[Category],MATCH($A11,Prices[Key],0)),"Uncategorized"))</f>
        <v/>
      </c>
      <c r="O11" s="291" t="str">
        <f t="shared" si="7"/>
        <v/>
      </c>
      <c r="P11" s="291" t="str">
        <f t="shared" si="8"/>
        <v/>
      </c>
      <c r="R11" t="s">
        <v>525</v>
      </c>
    </row>
    <row r="12" spans="1:23" ht="15" customHeight="1" x14ac:dyDescent="0.2">
      <c r="A12" s="243" t="str">
        <f>IFERROR(INDEX('All Ticker P&amp;L'!$A$2:$A$1001,MATCH(ROWS($A$2:A12),'All Ticker P&amp;L'!$N$2:$N$1001,0)),"")</f>
        <v/>
      </c>
      <c r="B12" s="243" t="str">
        <f t="shared" si="0"/>
        <v/>
      </c>
      <c r="C12" s="243" t="str">
        <f t="shared" si="1"/>
        <v/>
      </c>
      <c r="D12" s="243" t="str">
        <f t="shared" si="2"/>
        <v/>
      </c>
      <c r="E12" s="265" t="str">
        <f>IF($A12="","",SUMIFS(Txn[Signed Units],Txn[Key],$A12))</f>
        <v/>
      </c>
      <c r="F12" s="287" t="str">
        <f>IF($A12="","",SUMIFS(Txn[Buy Cost],Txn[Key],$A12))</f>
        <v/>
      </c>
      <c r="G12" s="287" t="str">
        <f>IF($A12="","",SUMIFS(Txn[Sell Proceeds],Txn[Key],$A12))</f>
        <v/>
      </c>
      <c r="H12" s="288" t="str">
        <f>IF($A12="","",IFERROR(INDEX(Prices[Current Price],MATCH($A12,Prices[Key],0)),0))</f>
        <v/>
      </c>
      <c r="I12" s="289" t="str">
        <f>IF($A12="","",IFERROR(INDEX(Prices[FX to SGD],MATCH($A12,Prices[Key],0)),1))</f>
        <v/>
      </c>
      <c r="J12" s="287" t="str">
        <f t="shared" si="3"/>
        <v/>
      </c>
      <c r="K12" s="287" t="str">
        <f t="shared" si="4"/>
        <v/>
      </c>
      <c r="L12" s="287" t="str">
        <f t="shared" si="5"/>
        <v/>
      </c>
      <c r="M12" s="290" t="str">
        <f t="shared" si="6"/>
        <v/>
      </c>
      <c r="N12" t="str">
        <f>IF($A12="","",IFERROR(INDEX(Prices[Category],MATCH($A12,Prices[Key],0)),"Uncategorized"))</f>
        <v/>
      </c>
      <c r="O12" s="291" t="str">
        <f t="shared" si="7"/>
        <v/>
      </c>
      <c r="P12" s="291" t="str">
        <f t="shared" si="8"/>
        <v/>
      </c>
      <c r="R12" t="s">
        <v>526</v>
      </c>
    </row>
    <row r="13" spans="1:23" ht="15" customHeight="1" x14ac:dyDescent="0.2">
      <c r="A13" s="243" t="str">
        <f>IFERROR(INDEX('All Ticker P&amp;L'!$A$2:$A$1001,MATCH(ROWS($A$2:A13),'All Ticker P&amp;L'!$N$2:$N$1001,0)),"")</f>
        <v/>
      </c>
      <c r="B13" s="243" t="str">
        <f t="shared" si="0"/>
        <v/>
      </c>
      <c r="C13" s="243" t="str">
        <f t="shared" si="1"/>
        <v/>
      </c>
      <c r="D13" s="243" t="str">
        <f t="shared" si="2"/>
        <v/>
      </c>
      <c r="E13" s="265" t="str">
        <f>IF($A13="","",SUMIFS(Txn[Signed Units],Txn[Key],$A13))</f>
        <v/>
      </c>
      <c r="F13" s="287" t="str">
        <f>IF($A13="","",SUMIFS(Txn[Buy Cost],Txn[Key],$A13))</f>
        <v/>
      </c>
      <c r="G13" s="287" t="str">
        <f>IF($A13="","",SUMIFS(Txn[Sell Proceeds],Txn[Key],$A13))</f>
        <v/>
      </c>
      <c r="H13" s="288" t="str">
        <f>IF($A13="","",IFERROR(INDEX(Prices[Current Price],MATCH($A13,Prices[Key],0)),0))</f>
        <v/>
      </c>
      <c r="I13" s="289" t="str">
        <f>IF($A13="","",IFERROR(INDEX(Prices[FX to SGD],MATCH($A13,Prices[Key],0)),1))</f>
        <v/>
      </c>
      <c r="J13" s="287" t="str">
        <f t="shared" si="3"/>
        <v/>
      </c>
      <c r="K13" s="287" t="str">
        <f t="shared" si="4"/>
        <v/>
      </c>
      <c r="L13" s="287" t="str">
        <f t="shared" si="5"/>
        <v/>
      </c>
      <c r="M13" s="290" t="str">
        <f t="shared" si="6"/>
        <v/>
      </c>
      <c r="N13" t="str">
        <f>IF($A13="","",IFERROR(INDEX(Prices[Category],MATCH($A13,Prices[Key],0)),"Uncategorized"))</f>
        <v/>
      </c>
      <c r="O13" s="291" t="str">
        <f t="shared" si="7"/>
        <v/>
      </c>
      <c r="P13" s="291" t="str">
        <f t="shared" si="8"/>
        <v/>
      </c>
      <c r="R13" t="s">
        <v>527</v>
      </c>
    </row>
    <row r="14" spans="1:23" ht="15" customHeight="1" x14ac:dyDescent="0.2">
      <c r="A14" s="243" t="str">
        <f>IFERROR(INDEX('All Ticker P&amp;L'!$A$2:$A$1001,MATCH(ROWS($A$2:A14),'All Ticker P&amp;L'!$N$2:$N$1001,0)),"")</f>
        <v/>
      </c>
      <c r="B14" s="243" t="str">
        <f t="shared" si="0"/>
        <v/>
      </c>
      <c r="C14" s="243" t="str">
        <f t="shared" si="1"/>
        <v/>
      </c>
      <c r="D14" s="243" t="str">
        <f t="shared" si="2"/>
        <v/>
      </c>
      <c r="E14" s="265" t="str">
        <f>IF($A14="","",SUMIFS(Txn[Signed Units],Txn[Key],$A14))</f>
        <v/>
      </c>
      <c r="F14" s="287" t="str">
        <f>IF($A14="","",SUMIFS(Txn[Buy Cost],Txn[Key],$A14))</f>
        <v/>
      </c>
      <c r="G14" s="287" t="str">
        <f>IF($A14="","",SUMIFS(Txn[Sell Proceeds],Txn[Key],$A14))</f>
        <v/>
      </c>
      <c r="H14" s="288" t="str">
        <f>IF($A14="","",IFERROR(INDEX(Prices[Current Price],MATCH($A14,Prices[Key],0)),0))</f>
        <v/>
      </c>
      <c r="I14" s="289" t="str">
        <f>IF($A14="","",IFERROR(INDEX(Prices[FX to SGD],MATCH($A14,Prices[Key],0)),1))</f>
        <v/>
      </c>
      <c r="J14" s="287" t="str">
        <f t="shared" si="3"/>
        <v/>
      </c>
      <c r="K14" s="287" t="str">
        <f t="shared" si="4"/>
        <v/>
      </c>
      <c r="L14" s="287" t="str">
        <f t="shared" si="5"/>
        <v/>
      </c>
      <c r="M14" s="290" t="str">
        <f t="shared" si="6"/>
        <v/>
      </c>
      <c r="N14" t="str">
        <f>IF($A14="","",IFERROR(INDEX(Prices[Category],MATCH($A14,Prices[Key],0)),"Uncategorized"))</f>
        <v/>
      </c>
      <c r="O14" s="291" t="str">
        <f t="shared" si="7"/>
        <v/>
      </c>
      <c r="P14" s="291" t="str">
        <f t="shared" si="8"/>
        <v/>
      </c>
    </row>
    <row r="15" spans="1:23" ht="15" customHeight="1" x14ac:dyDescent="0.2">
      <c r="A15" s="243" t="str">
        <f>IFERROR(INDEX('All Ticker P&amp;L'!$A$2:$A$1001,MATCH(ROWS($A$2:A15),'All Ticker P&amp;L'!$N$2:$N$1001,0)),"")</f>
        <v/>
      </c>
      <c r="B15" s="243" t="str">
        <f t="shared" si="0"/>
        <v/>
      </c>
      <c r="C15" s="243" t="str">
        <f t="shared" si="1"/>
        <v/>
      </c>
      <c r="D15" s="243" t="str">
        <f t="shared" si="2"/>
        <v/>
      </c>
      <c r="E15" s="265" t="str">
        <f>IF($A15="","",SUMIFS(Txn[Signed Units],Txn[Key],$A15))</f>
        <v/>
      </c>
      <c r="F15" s="287" t="str">
        <f>IF($A15="","",SUMIFS(Txn[Buy Cost],Txn[Key],$A15))</f>
        <v/>
      </c>
      <c r="G15" s="287" t="str">
        <f>IF($A15="","",SUMIFS(Txn[Sell Proceeds],Txn[Key],$A15))</f>
        <v/>
      </c>
      <c r="H15" s="288" t="str">
        <f>IF($A15="","",IFERROR(INDEX(Prices[Current Price],MATCH($A15,Prices[Key],0)),0))</f>
        <v/>
      </c>
      <c r="I15" s="289" t="str">
        <f>IF($A15="","",IFERROR(INDEX(Prices[FX to SGD],MATCH($A15,Prices[Key],0)),1))</f>
        <v/>
      </c>
      <c r="J15" s="287" t="str">
        <f t="shared" si="3"/>
        <v/>
      </c>
      <c r="K15" s="287" t="str">
        <f t="shared" si="4"/>
        <v/>
      </c>
      <c r="L15" s="287" t="str">
        <f t="shared" si="5"/>
        <v/>
      </c>
      <c r="M15" s="290" t="str">
        <f t="shared" si="6"/>
        <v/>
      </c>
      <c r="N15" t="str">
        <f>IF($A15="","",IFERROR(INDEX(Prices[Category],MATCH($A15,Prices[Key],0)),"Uncategorized"))</f>
        <v/>
      </c>
      <c r="O15" s="291" t="str">
        <f t="shared" si="7"/>
        <v/>
      </c>
      <c r="P15" s="291" t="str">
        <f t="shared" si="8"/>
        <v/>
      </c>
    </row>
    <row r="16" spans="1:23" ht="15" customHeight="1" x14ac:dyDescent="0.2">
      <c r="A16" s="243" t="str">
        <f>IFERROR(INDEX('All Ticker P&amp;L'!$A$2:$A$1001,MATCH(ROWS($A$2:A16),'All Ticker P&amp;L'!$N$2:$N$1001,0)),"")</f>
        <v/>
      </c>
      <c r="B16" s="243" t="str">
        <f t="shared" si="0"/>
        <v/>
      </c>
      <c r="C16" s="243" t="str">
        <f t="shared" si="1"/>
        <v/>
      </c>
      <c r="D16" s="243" t="str">
        <f t="shared" si="2"/>
        <v/>
      </c>
      <c r="E16" s="265" t="str">
        <f>IF($A16="","",SUMIFS(Txn[Signed Units],Txn[Key],$A16))</f>
        <v/>
      </c>
      <c r="F16" s="287" t="str">
        <f>IF($A16="","",SUMIFS(Txn[Buy Cost],Txn[Key],$A16))</f>
        <v/>
      </c>
      <c r="G16" s="287" t="str">
        <f>IF($A16="","",SUMIFS(Txn[Sell Proceeds],Txn[Key],$A16))</f>
        <v/>
      </c>
      <c r="H16" s="288" t="str">
        <f>IF($A16="","",IFERROR(INDEX(Prices[Current Price],MATCH($A16,Prices[Key],0)),0))</f>
        <v/>
      </c>
      <c r="I16" s="289" t="str">
        <f>IF($A16="","",IFERROR(INDEX(Prices[FX to SGD],MATCH($A16,Prices[Key],0)),1))</f>
        <v/>
      </c>
      <c r="J16" s="287" t="str">
        <f t="shared" si="3"/>
        <v/>
      </c>
      <c r="K16" s="287" t="str">
        <f t="shared" si="4"/>
        <v/>
      </c>
      <c r="L16" s="287" t="str">
        <f t="shared" si="5"/>
        <v/>
      </c>
      <c r="M16" s="290" t="str">
        <f t="shared" si="6"/>
        <v/>
      </c>
      <c r="N16" t="str">
        <f>IF($A16="","",IFERROR(INDEX(Prices[Category],MATCH($A16,Prices[Key],0)),"Uncategorized"))</f>
        <v/>
      </c>
      <c r="O16" s="291" t="str">
        <f t="shared" si="7"/>
        <v/>
      </c>
      <c r="P16" s="291" t="str">
        <f t="shared" si="8"/>
        <v/>
      </c>
    </row>
    <row r="17" spans="1:16" ht="15" customHeight="1" x14ac:dyDescent="0.2">
      <c r="A17" s="243" t="str">
        <f>IFERROR(INDEX('All Ticker P&amp;L'!$A$2:$A$1001,MATCH(ROWS($A$2:A17),'All Ticker P&amp;L'!$N$2:$N$1001,0)),"")</f>
        <v/>
      </c>
      <c r="B17" s="243" t="str">
        <f t="shared" si="0"/>
        <v/>
      </c>
      <c r="C17" s="243" t="str">
        <f t="shared" si="1"/>
        <v/>
      </c>
      <c r="D17" s="243" t="str">
        <f t="shared" si="2"/>
        <v/>
      </c>
      <c r="E17" s="265" t="str">
        <f>IF($A17="","",SUMIFS(Txn[Signed Units],Txn[Key],$A17))</f>
        <v/>
      </c>
      <c r="F17" s="287" t="str">
        <f>IF($A17="","",SUMIFS(Txn[Buy Cost],Txn[Key],$A17))</f>
        <v/>
      </c>
      <c r="G17" s="287" t="str">
        <f>IF($A17="","",SUMIFS(Txn[Sell Proceeds],Txn[Key],$A17))</f>
        <v/>
      </c>
      <c r="H17" s="288" t="str">
        <f>IF($A17="","",IFERROR(INDEX(Prices[Current Price],MATCH($A17,Prices[Key],0)),0))</f>
        <v/>
      </c>
      <c r="I17" s="289" t="str">
        <f>IF($A17="","",IFERROR(INDEX(Prices[FX to SGD],MATCH($A17,Prices[Key],0)),1))</f>
        <v/>
      </c>
      <c r="J17" s="287" t="str">
        <f t="shared" si="3"/>
        <v/>
      </c>
      <c r="K17" s="287" t="str">
        <f t="shared" si="4"/>
        <v/>
      </c>
      <c r="L17" s="287" t="str">
        <f t="shared" si="5"/>
        <v/>
      </c>
      <c r="M17" s="290" t="str">
        <f t="shared" si="6"/>
        <v/>
      </c>
      <c r="N17" t="str">
        <f>IF($A17="","",IFERROR(INDEX(Prices[Category],MATCH($A17,Prices[Key],0)),"Uncategorized"))</f>
        <v/>
      </c>
      <c r="O17" s="291" t="str">
        <f t="shared" si="7"/>
        <v/>
      </c>
      <c r="P17" s="291" t="str">
        <f t="shared" si="8"/>
        <v/>
      </c>
    </row>
    <row r="18" spans="1:16" ht="15" customHeight="1" x14ac:dyDescent="0.2">
      <c r="A18" s="243" t="str">
        <f>IFERROR(INDEX('All Ticker P&amp;L'!$A$2:$A$1001,MATCH(ROWS($A$2:A18),'All Ticker P&amp;L'!$N$2:$N$1001,0)),"")</f>
        <v/>
      </c>
      <c r="B18" s="243" t="str">
        <f t="shared" si="0"/>
        <v/>
      </c>
      <c r="C18" s="243" t="str">
        <f t="shared" si="1"/>
        <v/>
      </c>
      <c r="D18" s="243" t="str">
        <f t="shared" si="2"/>
        <v/>
      </c>
      <c r="E18" s="265" t="str">
        <f>IF($A18="","",SUMIFS(Txn[Signed Units],Txn[Key],$A18))</f>
        <v/>
      </c>
      <c r="F18" s="287" t="str">
        <f>IF($A18="","",SUMIFS(Txn[Buy Cost],Txn[Key],$A18))</f>
        <v/>
      </c>
      <c r="G18" s="287" t="str">
        <f>IF($A18="","",SUMIFS(Txn[Sell Proceeds],Txn[Key],$A18))</f>
        <v/>
      </c>
      <c r="H18" s="288" t="str">
        <f>IF($A18="","",IFERROR(INDEX(Prices[Current Price],MATCH($A18,Prices[Key],0)),0))</f>
        <v/>
      </c>
      <c r="I18" s="289" t="str">
        <f>IF($A18="","",IFERROR(INDEX(Prices[FX to SGD],MATCH($A18,Prices[Key],0)),1))</f>
        <v/>
      </c>
      <c r="J18" s="287" t="str">
        <f t="shared" si="3"/>
        <v/>
      </c>
      <c r="K18" s="287" t="str">
        <f t="shared" si="4"/>
        <v/>
      </c>
      <c r="L18" s="287" t="str">
        <f t="shared" si="5"/>
        <v/>
      </c>
      <c r="M18" s="290" t="str">
        <f t="shared" si="6"/>
        <v/>
      </c>
      <c r="N18" t="str">
        <f>IF($A18="","",IFERROR(INDEX(Prices[Category],MATCH($A18,Prices[Key],0)),"Uncategorized"))</f>
        <v/>
      </c>
      <c r="O18" s="291" t="str">
        <f t="shared" si="7"/>
        <v/>
      </c>
      <c r="P18" s="291" t="str">
        <f t="shared" si="8"/>
        <v/>
      </c>
    </row>
    <row r="19" spans="1:16" ht="15" customHeight="1" x14ac:dyDescent="0.2">
      <c r="A19" s="243" t="str">
        <f>IFERROR(INDEX('All Ticker P&amp;L'!$A$2:$A$1001,MATCH(ROWS($A$2:A19),'All Ticker P&amp;L'!$N$2:$N$1001,0)),"")</f>
        <v/>
      </c>
      <c r="B19" s="243" t="str">
        <f t="shared" si="0"/>
        <v/>
      </c>
      <c r="C19" s="243" t="str">
        <f t="shared" si="1"/>
        <v/>
      </c>
      <c r="D19" s="243" t="str">
        <f t="shared" si="2"/>
        <v/>
      </c>
      <c r="E19" s="265" t="str">
        <f>IF($A19="","",SUMIFS(Txn[Signed Units],Txn[Key],$A19))</f>
        <v/>
      </c>
      <c r="F19" s="287" t="str">
        <f>IF($A19="","",SUMIFS(Txn[Buy Cost],Txn[Key],$A19))</f>
        <v/>
      </c>
      <c r="G19" s="287" t="str">
        <f>IF($A19="","",SUMIFS(Txn[Sell Proceeds],Txn[Key],$A19))</f>
        <v/>
      </c>
      <c r="H19" s="288" t="str">
        <f>IF($A19="","",IFERROR(INDEX(Prices[Current Price],MATCH($A19,Prices[Key],0)),0))</f>
        <v/>
      </c>
      <c r="I19" s="289" t="str">
        <f>IF($A19="","",IFERROR(INDEX(Prices[FX to SGD],MATCH($A19,Prices[Key],0)),1))</f>
        <v/>
      </c>
      <c r="J19" s="287" t="str">
        <f t="shared" si="3"/>
        <v/>
      </c>
      <c r="K19" s="287" t="str">
        <f t="shared" si="4"/>
        <v/>
      </c>
      <c r="L19" s="287" t="str">
        <f t="shared" si="5"/>
        <v/>
      </c>
      <c r="M19" s="290" t="str">
        <f t="shared" si="6"/>
        <v/>
      </c>
      <c r="N19" t="str">
        <f>IF($A19="","",IFERROR(INDEX(Prices[Category],MATCH($A19,Prices[Key],0)),"Uncategorized"))</f>
        <v/>
      </c>
      <c r="O19" s="291" t="str">
        <f t="shared" si="7"/>
        <v/>
      </c>
      <c r="P19" s="291" t="str">
        <f t="shared" si="8"/>
        <v/>
      </c>
    </row>
    <row r="20" spans="1:16" ht="15" customHeight="1" x14ac:dyDescent="0.2">
      <c r="A20" s="243" t="str">
        <f>IFERROR(INDEX('All Ticker P&amp;L'!$A$2:$A$1001,MATCH(ROWS($A$2:A20),'All Ticker P&amp;L'!$N$2:$N$1001,0)),"")</f>
        <v/>
      </c>
      <c r="B20" s="243" t="str">
        <f t="shared" si="0"/>
        <v/>
      </c>
      <c r="C20" s="243" t="str">
        <f t="shared" si="1"/>
        <v/>
      </c>
      <c r="D20" s="243" t="str">
        <f t="shared" si="2"/>
        <v/>
      </c>
      <c r="E20" s="265" t="str">
        <f>IF($A20="","",SUMIFS(Txn[Signed Units],Txn[Key],$A20))</f>
        <v/>
      </c>
      <c r="F20" s="287" t="str">
        <f>IF($A20="","",SUMIFS(Txn[Buy Cost],Txn[Key],$A20))</f>
        <v/>
      </c>
      <c r="G20" s="287" t="str">
        <f>IF($A20="","",SUMIFS(Txn[Sell Proceeds],Txn[Key],$A20))</f>
        <v/>
      </c>
      <c r="H20" s="288" t="str">
        <f>IF($A20="","",IFERROR(INDEX(Prices[Current Price],MATCH($A20,Prices[Key],0)),0))</f>
        <v/>
      </c>
      <c r="I20" s="289" t="str">
        <f>IF($A20="","",IFERROR(INDEX(Prices[FX to SGD],MATCH($A20,Prices[Key],0)),1))</f>
        <v/>
      </c>
      <c r="J20" s="287" t="str">
        <f t="shared" si="3"/>
        <v/>
      </c>
      <c r="K20" s="287" t="str">
        <f t="shared" si="4"/>
        <v/>
      </c>
      <c r="L20" s="287" t="str">
        <f t="shared" si="5"/>
        <v/>
      </c>
      <c r="M20" s="290" t="str">
        <f t="shared" si="6"/>
        <v/>
      </c>
      <c r="N20" t="str">
        <f>IF($A20="","",IFERROR(INDEX(Prices[Category],MATCH($A20,Prices[Key],0)),"Uncategorized"))</f>
        <v/>
      </c>
      <c r="O20" s="291" t="str">
        <f t="shared" si="7"/>
        <v/>
      </c>
      <c r="P20" s="291" t="str">
        <f t="shared" si="8"/>
        <v/>
      </c>
    </row>
    <row r="21" spans="1:16" ht="15" customHeight="1" x14ac:dyDescent="0.2">
      <c r="A21" s="243" t="str">
        <f>IFERROR(INDEX('All Ticker P&amp;L'!$A$2:$A$1001,MATCH(ROWS($A$2:A21),'All Ticker P&amp;L'!$N$2:$N$1001,0)),"")</f>
        <v/>
      </c>
      <c r="B21" s="243" t="str">
        <f t="shared" si="0"/>
        <v/>
      </c>
      <c r="C21" s="243" t="str">
        <f t="shared" si="1"/>
        <v/>
      </c>
      <c r="D21" s="243" t="str">
        <f t="shared" si="2"/>
        <v/>
      </c>
      <c r="E21" s="265" t="str">
        <f>IF($A21="","",SUMIFS(Txn[Signed Units],Txn[Key],$A21))</f>
        <v/>
      </c>
      <c r="F21" s="287" t="str">
        <f>IF($A21="","",SUMIFS(Txn[Buy Cost],Txn[Key],$A21))</f>
        <v/>
      </c>
      <c r="G21" s="287" t="str">
        <f>IF($A21="","",SUMIFS(Txn[Sell Proceeds],Txn[Key],$A21))</f>
        <v/>
      </c>
      <c r="H21" s="288" t="str">
        <f>IF($A21="","",IFERROR(INDEX(Prices[Current Price],MATCH($A21,Prices[Key],0)),0))</f>
        <v/>
      </c>
      <c r="I21" s="289" t="str">
        <f>IF($A21="","",IFERROR(INDEX(Prices[FX to SGD],MATCH($A21,Prices[Key],0)),1))</f>
        <v/>
      </c>
      <c r="J21" s="287" t="str">
        <f t="shared" si="3"/>
        <v/>
      </c>
      <c r="K21" s="287" t="str">
        <f t="shared" si="4"/>
        <v/>
      </c>
      <c r="L21" s="287" t="str">
        <f t="shared" si="5"/>
        <v/>
      </c>
      <c r="M21" s="290" t="str">
        <f t="shared" si="6"/>
        <v/>
      </c>
      <c r="N21" t="str">
        <f>IF($A21="","",IFERROR(INDEX(Prices[Category],MATCH($A21,Prices[Key],0)),"Uncategorized"))</f>
        <v/>
      </c>
      <c r="O21" s="291" t="str">
        <f t="shared" si="7"/>
        <v/>
      </c>
      <c r="P21" s="291" t="str">
        <f t="shared" si="8"/>
        <v/>
      </c>
    </row>
    <row r="22" spans="1:16" ht="15" customHeight="1" x14ac:dyDescent="0.2">
      <c r="A22" s="243" t="str">
        <f>IFERROR(INDEX('All Ticker P&amp;L'!$A$2:$A$1001,MATCH(ROWS($A$2:A22),'All Ticker P&amp;L'!$N$2:$N$1001,0)),"")</f>
        <v/>
      </c>
      <c r="B22" s="243" t="str">
        <f t="shared" si="0"/>
        <v/>
      </c>
      <c r="C22" s="243" t="str">
        <f t="shared" si="1"/>
        <v/>
      </c>
      <c r="D22" s="243" t="str">
        <f t="shared" si="2"/>
        <v/>
      </c>
      <c r="E22" s="265" t="str">
        <f>IF($A22="","",SUMIFS(Txn[Signed Units],Txn[Key],$A22))</f>
        <v/>
      </c>
      <c r="F22" s="287" t="str">
        <f>IF($A22="","",SUMIFS(Txn[Buy Cost],Txn[Key],$A22))</f>
        <v/>
      </c>
      <c r="G22" s="287" t="str">
        <f>IF($A22="","",SUMIFS(Txn[Sell Proceeds],Txn[Key],$A22))</f>
        <v/>
      </c>
      <c r="H22" s="288" t="str">
        <f>IF($A22="","",IFERROR(INDEX(Prices[Current Price],MATCH($A22,Prices[Key],0)),0))</f>
        <v/>
      </c>
      <c r="I22" s="289" t="str">
        <f>IF($A22="","",IFERROR(INDEX(Prices[FX to SGD],MATCH($A22,Prices[Key],0)),1))</f>
        <v/>
      </c>
      <c r="J22" s="287" t="str">
        <f t="shared" si="3"/>
        <v/>
      </c>
      <c r="K22" s="287" t="str">
        <f t="shared" si="4"/>
        <v/>
      </c>
      <c r="L22" s="287" t="str">
        <f t="shared" si="5"/>
        <v/>
      </c>
      <c r="M22" s="290" t="str">
        <f t="shared" si="6"/>
        <v/>
      </c>
      <c r="N22" t="str">
        <f>IF($A22="","",IFERROR(INDEX(Prices[Category],MATCH($A22,Prices[Key],0)),"Uncategorized"))</f>
        <v/>
      </c>
      <c r="O22" s="291" t="str">
        <f t="shared" si="7"/>
        <v/>
      </c>
      <c r="P22" s="291" t="str">
        <f t="shared" si="8"/>
        <v/>
      </c>
    </row>
    <row r="23" spans="1:16" ht="15" customHeight="1" x14ac:dyDescent="0.2">
      <c r="A23" s="243" t="str">
        <f>IFERROR(INDEX('All Ticker P&amp;L'!$A$2:$A$1001,MATCH(ROWS($A$2:A23),'All Ticker P&amp;L'!$N$2:$N$1001,0)),"")</f>
        <v/>
      </c>
      <c r="B23" s="243" t="str">
        <f t="shared" si="0"/>
        <v/>
      </c>
      <c r="C23" s="243" t="str">
        <f t="shared" si="1"/>
        <v/>
      </c>
      <c r="D23" s="243" t="str">
        <f t="shared" si="2"/>
        <v/>
      </c>
      <c r="E23" s="265" t="str">
        <f>IF($A23="","",SUMIFS(Txn[Signed Units],Txn[Key],$A23))</f>
        <v/>
      </c>
      <c r="F23" s="287" t="str">
        <f>IF($A23="","",SUMIFS(Txn[Buy Cost],Txn[Key],$A23))</f>
        <v/>
      </c>
      <c r="G23" s="287" t="str">
        <f>IF($A23="","",SUMIFS(Txn[Sell Proceeds],Txn[Key],$A23))</f>
        <v/>
      </c>
      <c r="H23" s="288" t="str">
        <f>IF($A23="","",IFERROR(INDEX(Prices[Current Price],MATCH($A23,Prices[Key],0)),0))</f>
        <v/>
      </c>
      <c r="I23" s="289" t="str">
        <f>IF($A23="","",IFERROR(INDEX(Prices[FX to SGD],MATCH($A23,Prices[Key],0)),1))</f>
        <v/>
      </c>
      <c r="J23" s="287" t="str">
        <f t="shared" si="3"/>
        <v/>
      </c>
      <c r="K23" s="287" t="str">
        <f t="shared" si="4"/>
        <v/>
      </c>
      <c r="L23" s="287" t="str">
        <f t="shared" si="5"/>
        <v/>
      </c>
      <c r="M23" s="290" t="str">
        <f t="shared" si="6"/>
        <v/>
      </c>
      <c r="N23" t="str">
        <f>IF($A23="","",IFERROR(INDEX(Prices[Category],MATCH($A23,Prices[Key],0)),"Uncategorized"))</f>
        <v/>
      </c>
      <c r="O23" s="291" t="str">
        <f t="shared" si="7"/>
        <v/>
      </c>
      <c r="P23" s="291" t="str">
        <f t="shared" si="8"/>
        <v/>
      </c>
    </row>
    <row r="24" spans="1:16" ht="15" customHeight="1" x14ac:dyDescent="0.2">
      <c r="A24" s="243" t="str">
        <f>IFERROR(INDEX('All Ticker P&amp;L'!$A$2:$A$1001,MATCH(ROWS($A$2:A24),'All Ticker P&amp;L'!$N$2:$N$1001,0)),"")</f>
        <v/>
      </c>
      <c r="B24" s="243" t="str">
        <f t="shared" si="0"/>
        <v/>
      </c>
      <c r="C24" s="243" t="str">
        <f t="shared" si="1"/>
        <v/>
      </c>
      <c r="D24" s="243" t="str">
        <f t="shared" si="2"/>
        <v/>
      </c>
      <c r="E24" s="265" t="str">
        <f>IF($A24="","",SUMIFS(Txn[Signed Units],Txn[Key],$A24))</f>
        <v/>
      </c>
      <c r="F24" s="287" t="str">
        <f>IF($A24="","",SUMIFS(Txn[Buy Cost],Txn[Key],$A24))</f>
        <v/>
      </c>
      <c r="G24" s="287" t="str">
        <f>IF($A24="","",SUMIFS(Txn[Sell Proceeds],Txn[Key],$A24))</f>
        <v/>
      </c>
      <c r="H24" s="288" t="str">
        <f>IF($A24="","",IFERROR(INDEX(Prices[Current Price],MATCH($A24,Prices[Key],0)),0))</f>
        <v/>
      </c>
      <c r="I24" s="289" t="str">
        <f>IF($A24="","",IFERROR(INDEX(Prices[FX to SGD],MATCH($A24,Prices[Key],0)),1))</f>
        <v/>
      </c>
      <c r="J24" s="287" t="str">
        <f t="shared" si="3"/>
        <v/>
      </c>
      <c r="K24" s="287" t="str">
        <f t="shared" si="4"/>
        <v/>
      </c>
      <c r="L24" s="287" t="str">
        <f t="shared" si="5"/>
        <v/>
      </c>
      <c r="M24" s="290" t="str">
        <f t="shared" si="6"/>
        <v/>
      </c>
      <c r="N24" t="str">
        <f>IF($A24="","",IFERROR(INDEX(Prices[Category],MATCH($A24,Prices[Key],0)),"Uncategorized"))</f>
        <v/>
      </c>
      <c r="O24" s="291" t="str">
        <f t="shared" si="7"/>
        <v/>
      </c>
      <c r="P24" s="291" t="str">
        <f t="shared" si="8"/>
        <v/>
      </c>
    </row>
    <row r="25" spans="1:16" ht="15" customHeight="1" x14ac:dyDescent="0.2">
      <c r="A25" s="243" t="str">
        <f>IFERROR(INDEX('All Ticker P&amp;L'!$A$2:$A$1001,MATCH(ROWS($A$2:A25),'All Ticker P&amp;L'!$N$2:$N$1001,0)),"")</f>
        <v/>
      </c>
      <c r="B25" s="243" t="str">
        <f t="shared" si="0"/>
        <v/>
      </c>
      <c r="C25" s="243" t="str">
        <f t="shared" si="1"/>
        <v/>
      </c>
      <c r="D25" s="243" t="str">
        <f t="shared" si="2"/>
        <v/>
      </c>
      <c r="E25" s="265" t="str">
        <f>IF($A25="","",SUMIFS(Txn[Signed Units],Txn[Key],$A25))</f>
        <v/>
      </c>
      <c r="F25" s="287" t="str">
        <f>IF($A25="","",SUMIFS(Txn[Buy Cost],Txn[Key],$A25))</f>
        <v/>
      </c>
      <c r="G25" s="287" t="str">
        <f>IF($A25="","",SUMIFS(Txn[Sell Proceeds],Txn[Key],$A25))</f>
        <v/>
      </c>
      <c r="H25" s="288" t="str">
        <f>IF($A25="","",IFERROR(INDEX(Prices[Current Price],MATCH($A25,Prices[Key],0)),0))</f>
        <v/>
      </c>
      <c r="I25" s="289" t="str">
        <f>IF($A25="","",IFERROR(INDEX(Prices[FX to SGD],MATCH($A25,Prices[Key],0)),1))</f>
        <v/>
      </c>
      <c r="J25" s="287" t="str">
        <f t="shared" si="3"/>
        <v/>
      </c>
      <c r="K25" s="287" t="str">
        <f t="shared" si="4"/>
        <v/>
      </c>
      <c r="L25" s="287" t="str">
        <f t="shared" si="5"/>
        <v/>
      </c>
      <c r="M25" s="290" t="str">
        <f t="shared" si="6"/>
        <v/>
      </c>
      <c r="N25" t="str">
        <f>IF($A25="","",IFERROR(INDEX(Prices[Category],MATCH($A25,Prices[Key],0)),"Uncategorized"))</f>
        <v/>
      </c>
      <c r="O25" s="291" t="str">
        <f t="shared" si="7"/>
        <v/>
      </c>
      <c r="P25" s="291" t="str">
        <f t="shared" si="8"/>
        <v/>
      </c>
    </row>
    <row r="26" spans="1:16" ht="15" customHeight="1" x14ac:dyDescent="0.2">
      <c r="A26" s="243" t="str">
        <f>IFERROR(INDEX('All Ticker P&amp;L'!$A$2:$A$1001,MATCH(ROWS($A$2:A26),'All Ticker P&amp;L'!$N$2:$N$1001,0)),"")</f>
        <v/>
      </c>
      <c r="B26" s="243" t="str">
        <f t="shared" si="0"/>
        <v/>
      </c>
      <c r="C26" s="243" t="str">
        <f t="shared" si="1"/>
        <v/>
      </c>
      <c r="D26" s="243" t="str">
        <f t="shared" si="2"/>
        <v/>
      </c>
      <c r="E26" s="265" t="str">
        <f>IF($A26="","",SUMIFS(Txn[Signed Units],Txn[Key],$A26))</f>
        <v/>
      </c>
      <c r="F26" s="287" t="str">
        <f>IF($A26="","",SUMIFS(Txn[Buy Cost],Txn[Key],$A26))</f>
        <v/>
      </c>
      <c r="G26" s="287" t="str">
        <f>IF($A26="","",SUMIFS(Txn[Sell Proceeds],Txn[Key],$A26))</f>
        <v/>
      </c>
      <c r="H26" s="288" t="str">
        <f>IF($A26="","",IFERROR(INDEX(Prices[Current Price],MATCH($A26,Prices[Key],0)),0))</f>
        <v/>
      </c>
      <c r="I26" s="289" t="str">
        <f>IF($A26="","",IFERROR(INDEX(Prices[FX to SGD],MATCH($A26,Prices[Key],0)),1))</f>
        <v/>
      </c>
      <c r="J26" s="287" t="str">
        <f t="shared" si="3"/>
        <v/>
      </c>
      <c r="K26" s="287" t="str">
        <f t="shared" si="4"/>
        <v/>
      </c>
      <c r="L26" s="287" t="str">
        <f t="shared" si="5"/>
        <v/>
      </c>
      <c r="M26" s="290" t="str">
        <f t="shared" si="6"/>
        <v/>
      </c>
      <c r="N26" t="str">
        <f>IF($A26="","",IFERROR(INDEX(Prices[Category],MATCH($A26,Prices[Key],0)),"Uncategorized"))</f>
        <v/>
      </c>
      <c r="O26" s="291" t="str">
        <f t="shared" si="7"/>
        <v/>
      </c>
      <c r="P26" s="291" t="str">
        <f t="shared" si="8"/>
        <v/>
      </c>
    </row>
    <row r="27" spans="1:16" ht="15" customHeight="1" x14ac:dyDescent="0.2">
      <c r="A27" s="243" t="str">
        <f>IFERROR(INDEX('All Ticker P&amp;L'!$A$2:$A$1001,MATCH(ROWS($A$2:A27),'All Ticker P&amp;L'!$N$2:$N$1001,0)),"")</f>
        <v/>
      </c>
      <c r="B27" s="243" t="str">
        <f t="shared" si="0"/>
        <v/>
      </c>
      <c r="C27" s="243" t="str">
        <f t="shared" si="1"/>
        <v/>
      </c>
      <c r="D27" s="243" t="str">
        <f t="shared" si="2"/>
        <v/>
      </c>
      <c r="E27" s="265" t="str">
        <f>IF($A27="","",SUMIFS(Txn[Signed Units],Txn[Key],$A27))</f>
        <v/>
      </c>
      <c r="F27" s="287" t="str">
        <f>IF($A27="","",SUMIFS(Txn[Buy Cost],Txn[Key],$A27))</f>
        <v/>
      </c>
      <c r="G27" s="287" t="str">
        <f>IF($A27="","",SUMIFS(Txn[Sell Proceeds],Txn[Key],$A27))</f>
        <v/>
      </c>
      <c r="H27" s="288" t="str">
        <f>IF($A27="","",IFERROR(INDEX(Prices[Current Price],MATCH($A27,Prices[Key],0)),0))</f>
        <v/>
      </c>
      <c r="I27" s="289" t="str">
        <f>IF($A27="","",IFERROR(INDEX(Prices[FX to SGD],MATCH($A27,Prices[Key],0)),1))</f>
        <v/>
      </c>
      <c r="J27" s="287" t="str">
        <f t="shared" si="3"/>
        <v/>
      </c>
      <c r="K27" s="287" t="str">
        <f t="shared" si="4"/>
        <v/>
      </c>
      <c r="L27" s="287" t="str">
        <f t="shared" si="5"/>
        <v/>
      </c>
      <c r="M27" s="290" t="str">
        <f t="shared" si="6"/>
        <v/>
      </c>
      <c r="N27" t="str">
        <f>IF($A27="","",IFERROR(INDEX(Prices[Category],MATCH($A27,Prices[Key],0)),"Uncategorized"))</f>
        <v/>
      </c>
      <c r="O27" s="291" t="str">
        <f t="shared" si="7"/>
        <v/>
      </c>
      <c r="P27" s="291" t="str">
        <f t="shared" si="8"/>
        <v/>
      </c>
    </row>
    <row r="28" spans="1:16" ht="15" customHeight="1" x14ac:dyDescent="0.2">
      <c r="A28" s="243" t="str">
        <f>IFERROR(INDEX('All Ticker P&amp;L'!$A$2:$A$1001,MATCH(ROWS($A$2:A28),'All Ticker P&amp;L'!$N$2:$N$1001,0)),"")</f>
        <v/>
      </c>
      <c r="B28" s="243" t="str">
        <f t="shared" si="0"/>
        <v/>
      </c>
      <c r="C28" s="243" t="str">
        <f t="shared" si="1"/>
        <v/>
      </c>
      <c r="D28" s="243" t="str">
        <f t="shared" si="2"/>
        <v/>
      </c>
      <c r="E28" s="265" t="str">
        <f>IF($A28="","",SUMIFS(Txn[Signed Units],Txn[Key],$A28))</f>
        <v/>
      </c>
      <c r="F28" s="287" t="str">
        <f>IF($A28="","",SUMIFS(Txn[Buy Cost],Txn[Key],$A28))</f>
        <v/>
      </c>
      <c r="G28" s="287" t="str">
        <f>IF($A28="","",SUMIFS(Txn[Sell Proceeds],Txn[Key],$A28))</f>
        <v/>
      </c>
      <c r="H28" s="288" t="str">
        <f>IF($A28="","",IFERROR(INDEX(Prices[Current Price],MATCH($A28,Prices[Key],0)),0))</f>
        <v/>
      </c>
      <c r="I28" s="289" t="str">
        <f>IF($A28="","",IFERROR(INDEX(Prices[FX to SGD],MATCH($A28,Prices[Key],0)),1))</f>
        <v/>
      </c>
      <c r="J28" s="287" t="str">
        <f t="shared" si="3"/>
        <v/>
      </c>
      <c r="K28" s="287" t="str">
        <f t="shared" si="4"/>
        <v/>
      </c>
      <c r="L28" s="287" t="str">
        <f t="shared" si="5"/>
        <v/>
      </c>
      <c r="M28" s="290" t="str">
        <f t="shared" si="6"/>
        <v/>
      </c>
      <c r="N28" t="str">
        <f>IF($A28="","",IFERROR(INDEX(Prices[Category],MATCH($A28,Prices[Key],0)),"Uncategorized"))</f>
        <v/>
      </c>
      <c r="O28" s="291" t="str">
        <f t="shared" si="7"/>
        <v/>
      </c>
      <c r="P28" s="291" t="str">
        <f t="shared" si="8"/>
        <v/>
      </c>
    </row>
    <row r="29" spans="1:16" ht="15" customHeight="1" x14ac:dyDescent="0.2">
      <c r="A29" s="243" t="str">
        <f>IFERROR(INDEX('All Ticker P&amp;L'!$A$2:$A$1001,MATCH(ROWS($A$2:A29),'All Ticker P&amp;L'!$N$2:$N$1001,0)),"")</f>
        <v/>
      </c>
      <c r="B29" s="243" t="str">
        <f t="shared" si="0"/>
        <v/>
      </c>
      <c r="C29" s="243" t="str">
        <f t="shared" si="1"/>
        <v/>
      </c>
      <c r="D29" s="243" t="str">
        <f t="shared" si="2"/>
        <v/>
      </c>
      <c r="E29" s="265" t="str">
        <f>IF($A29="","",SUMIFS(Txn[Signed Units],Txn[Key],$A29))</f>
        <v/>
      </c>
      <c r="F29" s="287" t="str">
        <f>IF($A29="","",SUMIFS(Txn[Buy Cost],Txn[Key],$A29))</f>
        <v/>
      </c>
      <c r="G29" s="287" t="str">
        <f>IF($A29="","",SUMIFS(Txn[Sell Proceeds],Txn[Key],$A29))</f>
        <v/>
      </c>
      <c r="H29" s="288" t="str">
        <f>IF($A29="","",IFERROR(INDEX(Prices[Current Price],MATCH($A29,Prices[Key],0)),0))</f>
        <v/>
      </c>
      <c r="I29" s="289" t="str">
        <f>IF($A29="","",IFERROR(INDEX(Prices[FX to SGD],MATCH($A29,Prices[Key],0)),1))</f>
        <v/>
      </c>
      <c r="J29" s="287" t="str">
        <f t="shared" si="3"/>
        <v/>
      </c>
      <c r="K29" s="287" t="str">
        <f t="shared" si="4"/>
        <v/>
      </c>
      <c r="L29" s="287" t="str">
        <f t="shared" si="5"/>
        <v/>
      </c>
      <c r="M29" s="290" t="str">
        <f t="shared" si="6"/>
        <v/>
      </c>
      <c r="N29" t="str">
        <f>IF($A29="","",IFERROR(INDEX(Prices[Category],MATCH($A29,Prices[Key],0)),"Uncategorized"))</f>
        <v/>
      </c>
      <c r="O29" s="291" t="str">
        <f t="shared" si="7"/>
        <v/>
      </c>
      <c r="P29" s="291" t="str">
        <f t="shared" si="8"/>
        <v/>
      </c>
    </row>
    <row r="30" spans="1:16" ht="15" customHeight="1" x14ac:dyDescent="0.2">
      <c r="A30" s="243" t="str">
        <f>IFERROR(INDEX('All Ticker P&amp;L'!$A$2:$A$1001,MATCH(ROWS($A$2:A30),'All Ticker P&amp;L'!$N$2:$N$1001,0)),"")</f>
        <v/>
      </c>
      <c r="B30" s="243" t="str">
        <f t="shared" si="0"/>
        <v/>
      </c>
      <c r="C30" s="243" t="str">
        <f t="shared" si="1"/>
        <v/>
      </c>
      <c r="D30" s="243" t="str">
        <f t="shared" si="2"/>
        <v/>
      </c>
      <c r="E30" s="265" t="str">
        <f>IF($A30="","",SUMIFS(Txn[Signed Units],Txn[Key],$A30))</f>
        <v/>
      </c>
      <c r="F30" s="287" t="str">
        <f>IF($A30="","",SUMIFS(Txn[Buy Cost],Txn[Key],$A30))</f>
        <v/>
      </c>
      <c r="G30" s="287" t="str">
        <f>IF($A30="","",SUMIFS(Txn[Sell Proceeds],Txn[Key],$A30))</f>
        <v/>
      </c>
      <c r="H30" s="288" t="str">
        <f>IF($A30="","",IFERROR(INDEX(Prices[Current Price],MATCH($A30,Prices[Key],0)),0))</f>
        <v/>
      </c>
      <c r="I30" s="289" t="str">
        <f>IF($A30="","",IFERROR(INDEX(Prices[FX to SGD],MATCH($A30,Prices[Key],0)),1))</f>
        <v/>
      </c>
      <c r="J30" s="287" t="str">
        <f t="shared" si="3"/>
        <v/>
      </c>
      <c r="K30" s="287" t="str">
        <f t="shared" si="4"/>
        <v/>
      </c>
      <c r="L30" s="287" t="str">
        <f t="shared" si="5"/>
        <v/>
      </c>
      <c r="M30" s="290" t="str">
        <f t="shared" si="6"/>
        <v/>
      </c>
      <c r="N30" t="str">
        <f>IF($A30="","",IFERROR(INDEX(Prices[Category],MATCH($A30,Prices[Key],0)),"Uncategorized"))</f>
        <v/>
      </c>
      <c r="O30" s="291" t="str">
        <f t="shared" si="7"/>
        <v/>
      </c>
      <c r="P30" s="291" t="str">
        <f t="shared" si="8"/>
        <v/>
      </c>
    </row>
    <row r="31" spans="1:16" ht="15" customHeight="1" x14ac:dyDescent="0.2">
      <c r="A31" s="243" t="str">
        <f>IFERROR(INDEX('All Ticker P&amp;L'!$A$2:$A$1001,MATCH(ROWS($A$2:A31),'All Ticker P&amp;L'!$N$2:$N$1001,0)),"")</f>
        <v/>
      </c>
      <c r="B31" s="243" t="str">
        <f t="shared" si="0"/>
        <v/>
      </c>
      <c r="C31" s="243" t="str">
        <f t="shared" si="1"/>
        <v/>
      </c>
      <c r="D31" s="243" t="str">
        <f t="shared" si="2"/>
        <v/>
      </c>
      <c r="E31" s="265" t="str">
        <f>IF($A31="","",SUMIFS(Txn[Signed Units],Txn[Key],$A31))</f>
        <v/>
      </c>
      <c r="F31" s="287" t="str">
        <f>IF($A31="","",SUMIFS(Txn[Buy Cost],Txn[Key],$A31))</f>
        <v/>
      </c>
      <c r="G31" s="287" t="str">
        <f>IF($A31="","",SUMIFS(Txn[Sell Proceeds],Txn[Key],$A31))</f>
        <v/>
      </c>
      <c r="H31" s="288" t="str">
        <f>IF($A31="","",IFERROR(INDEX(Prices[Current Price],MATCH($A31,Prices[Key],0)),0))</f>
        <v/>
      </c>
      <c r="I31" s="289" t="str">
        <f>IF($A31="","",IFERROR(INDEX(Prices[FX to SGD],MATCH($A31,Prices[Key],0)),1))</f>
        <v/>
      </c>
      <c r="J31" s="287" t="str">
        <f t="shared" si="3"/>
        <v/>
      </c>
      <c r="K31" s="287" t="str">
        <f t="shared" si="4"/>
        <v/>
      </c>
      <c r="L31" s="287" t="str">
        <f t="shared" si="5"/>
        <v/>
      </c>
      <c r="M31" s="290" t="str">
        <f t="shared" si="6"/>
        <v/>
      </c>
      <c r="N31" t="str">
        <f>IF($A31="","",IFERROR(INDEX(Prices[Category],MATCH($A31,Prices[Key],0)),"Uncategorized"))</f>
        <v/>
      </c>
      <c r="O31" s="291" t="str">
        <f t="shared" si="7"/>
        <v/>
      </c>
      <c r="P31" s="291" t="str">
        <f t="shared" si="8"/>
        <v/>
      </c>
    </row>
    <row r="32" spans="1:16" ht="15" customHeight="1" x14ac:dyDescent="0.2">
      <c r="A32" s="243" t="str">
        <f>IFERROR(INDEX('All Ticker P&amp;L'!$A$2:$A$1001,MATCH(ROWS($A$2:A32),'All Ticker P&amp;L'!$N$2:$N$1001,0)),"")</f>
        <v/>
      </c>
      <c r="B32" s="243" t="str">
        <f t="shared" si="0"/>
        <v/>
      </c>
      <c r="C32" s="243" t="str">
        <f t="shared" si="1"/>
        <v/>
      </c>
      <c r="D32" s="243" t="str">
        <f t="shared" si="2"/>
        <v/>
      </c>
      <c r="E32" s="265" t="str">
        <f>IF($A32="","",SUMIFS(Txn[Signed Units],Txn[Key],$A32))</f>
        <v/>
      </c>
      <c r="F32" s="287" t="str">
        <f>IF($A32="","",SUMIFS(Txn[Buy Cost],Txn[Key],$A32))</f>
        <v/>
      </c>
      <c r="G32" s="287" t="str">
        <f>IF($A32="","",SUMIFS(Txn[Sell Proceeds],Txn[Key],$A32))</f>
        <v/>
      </c>
      <c r="H32" s="288" t="str">
        <f>IF($A32="","",IFERROR(INDEX(Prices[Current Price],MATCH($A32,Prices[Key],0)),0))</f>
        <v/>
      </c>
      <c r="I32" s="289" t="str">
        <f>IF($A32="","",IFERROR(INDEX(Prices[FX to SGD],MATCH($A32,Prices[Key],0)),1))</f>
        <v/>
      </c>
      <c r="J32" s="287" t="str">
        <f t="shared" si="3"/>
        <v/>
      </c>
      <c r="K32" s="287" t="str">
        <f t="shared" si="4"/>
        <v/>
      </c>
      <c r="L32" s="287" t="str">
        <f t="shared" si="5"/>
        <v/>
      </c>
      <c r="M32" s="290" t="str">
        <f t="shared" si="6"/>
        <v/>
      </c>
      <c r="N32" t="str">
        <f>IF($A32="","",IFERROR(INDEX(Prices[Category],MATCH($A32,Prices[Key],0)),"Uncategorized"))</f>
        <v/>
      </c>
      <c r="O32" s="291" t="str">
        <f t="shared" si="7"/>
        <v/>
      </c>
      <c r="P32" s="291" t="str">
        <f t="shared" si="8"/>
        <v/>
      </c>
    </row>
    <row r="33" spans="1:16" ht="15" customHeight="1" x14ac:dyDescent="0.2">
      <c r="A33" s="243" t="str">
        <f>IFERROR(INDEX('All Ticker P&amp;L'!$A$2:$A$1001,MATCH(ROWS($A$2:A33),'All Ticker P&amp;L'!$N$2:$N$1001,0)),"")</f>
        <v/>
      </c>
      <c r="B33" s="243" t="str">
        <f t="shared" si="0"/>
        <v/>
      </c>
      <c r="C33" s="243" t="str">
        <f t="shared" si="1"/>
        <v/>
      </c>
      <c r="D33" s="243" t="str">
        <f t="shared" si="2"/>
        <v/>
      </c>
      <c r="E33" s="265" t="str">
        <f>IF($A33="","",SUMIFS(Txn[Signed Units],Txn[Key],$A33))</f>
        <v/>
      </c>
      <c r="F33" s="287" t="str">
        <f>IF($A33="","",SUMIFS(Txn[Buy Cost],Txn[Key],$A33))</f>
        <v/>
      </c>
      <c r="G33" s="287" t="str">
        <f>IF($A33="","",SUMIFS(Txn[Sell Proceeds],Txn[Key],$A33))</f>
        <v/>
      </c>
      <c r="H33" s="288" t="str">
        <f>IF($A33="","",IFERROR(INDEX(Prices[Current Price],MATCH($A33,Prices[Key],0)),0))</f>
        <v/>
      </c>
      <c r="I33" s="289" t="str">
        <f>IF($A33="","",IFERROR(INDEX(Prices[FX to SGD],MATCH($A33,Prices[Key],0)),1))</f>
        <v/>
      </c>
      <c r="J33" s="287" t="str">
        <f t="shared" si="3"/>
        <v/>
      </c>
      <c r="K33" s="287" t="str">
        <f t="shared" si="4"/>
        <v/>
      </c>
      <c r="L33" s="287" t="str">
        <f t="shared" si="5"/>
        <v/>
      </c>
      <c r="M33" s="290" t="str">
        <f t="shared" si="6"/>
        <v/>
      </c>
      <c r="N33" t="str">
        <f>IF($A33="","",IFERROR(INDEX(Prices[Category],MATCH($A33,Prices[Key],0)),"Uncategorized"))</f>
        <v/>
      </c>
      <c r="O33" s="291" t="str">
        <f t="shared" si="7"/>
        <v/>
      </c>
      <c r="P33" s="291" t="str">
        <f t="shared" si="8"/>
        <v/>
      </c>
    </row>
    <row r="34" spans="1:16" ht="15" customHeight="1" x14ac:dyDescent="0.2">
      <c r="A34" s="243" t="str">
        <f>IFERROR(INDEX('All Ticker P&amp;L'!$A$2:$A$1001,MATCH(ROWS($A$2:A34),'All Ticker P&amp;L'!$N$2:$N$1001,0)),"")</f>
        <v/>
      </c>
      <c r="B34" s="243" t="str">
        <f t="shared" si="0"/>
        <v/>
      </c>
      <c r="C34" s="243" t="str">
        <f t="shared" si="1"/>
        <v/>
      </c>
      <c r="D34" s="243" t="str">
        <f t="shared" si="2"/>
        <v/>
      </c>
      <c r="E34" s="265" t="str">
        <f>IF($A34="","",SUMIFS(Txn[Signed Units],Txn[Key],$A34))</f>
        <v/>
      </c>
      <c r="F34" s="287" t="str">
        <f>IF($A34="","",SUMIFS(Txn[Buy Cost],Txn[Key],$A34))</f>
        <v/>
      </c>
      <c r="G34" s="287" t="str">
        <f>IF($A34="","",SUMIFS(Txn[Sell Proceeds],Txn[Key],$A34))</f>
        <v/>
      </c>
      <c r="H34" s="288" t="str">
        <f>IF($A34="","",IFERROR(INDEX(Prices[Current Price],MATCH($A34,Prices[Key],0)),0))</f>
        <v/>
      </c>
      <c r="I34" s="289" t="str">
        <f>IF($A34="","",IFERROR(INDEX(Prices[FX to SGD],MATCH($A34,Prices[Key],0)),1))</f>
        <v/>
      </c>
      <c r="J34" s="287" t="str">
        <f t="shared" si="3"/>
        <v/>
      </c>
      <c r="K34" s="287" t="str">
        <f t="shared" si="4"/>
        <v/>
      </c>
      <c r="L34" s="287" t="str">
        <f t="shared" si="5"/>
        <v/>
      </c>
      <c r="M34" s="290" t="str">
        <f t="shared" si="6"/>
        <v/>
      </c>
      <c r="N34" t="str">
        <f>IF($A34="","",IFERROR(INDEX(Prices[Category],MATCH($A34,Prices[Key],0)),"Uncategorized"))</f>
        <v/>
      </c>
      <c r="O34" s="291" t="str">
        <f t="shared" si="7"/>
        <v/>
      </c>
      <c r="P34" s="291" t="str">
        <f t="shared" si="8"/>
        <v/>
      </c>
    </row>
    <row r="35" spans="1:16" ht="15" customHeight="1" x14ac:dyDescent="0.2">
      <c r="A35" s="243" t="str">
        <f>IFERROR(INDEX('All Ticker P&amp;L'!$A$2:$A$1001,MATCH(ROWS($A$2:A35),'All Ticker P&amp;L'!$N$2:$N$1001,0)),"")</f>
        <v/>
      </c>
      <c r="B35" s="243" t="str">
        <f t="shared" si="0"/>
        <v/>
      </c>
      <c r="C35" s="243" t="str">
        <f t="shared" si="1"/>
        <v/>
      </c>
      <c r="D35" s="243" t="str">
        <f t="shared" si="2"/>
        <v/>
      </c>
      <c r="E35" s="265" t="str">
        <f>IF($A35="","",SUMIFS(Txn[Signed Units],Txn[Key],$A35))</f>
        <v/>
      </c>
      <c r="F35" s="287" t="str">
        <f>IF($A35="","",SUMIFS(Txn[Buy Cost],Txn[Key],$A35))</f>
        <v/>
      </c>
      <c r="G35" s="287" t="str">
        <f>IF($A35="","",SUMIFS(Txn[Sell Proceeds],Txn[Key],$A35))</f>
        <v/>
      </c>
      <c r="H35" s="288" t="str">
        <f>IF($A35="","",IFERROR(INDEX(Prices[Current Price],MATCH($A35,Prices[Key],0)),0))</f>
        <v/>
      </c>
      <c r="I35" s="289" t="str">
        <f>IF($A35="","",IFERROR(INDEX(Prices[FX to SGD],MATCH($A35,Prices[Key],0)),1))</f>
        <v/>
      </c>
      <c r="J35" s="287" t="str">
        <f t="shared" si="3"/>
        <v/>
      </c>
      <c r="K35" s="287" t="str">
        <f t="shared" si="4"/>
        <v/>
      </c>
      <c r="L35" s="287" t="str">
        <f t="shared" si="5"/>
        <v/>
      </c>
      <c r="M35" s="290" t="str">
        <f t="shared" si="6"/>
        <v/>
      </c>
      <c r="N35" t="str">
        <f>IF($A35="","",IFERROR(INDEX(Prices[Category],MATCH($A35,Prices[Key],0)),"Uncategorized"))</f>
        <v/>
      </c>
      <c r="O35" s="291" t="str">
        <f t="shared" si="7"/>
        <v/>
      </c>
      <c r="P35" s="291" t="str">
        <f t="shared" si="8"/>
        <v/>
      </c>
    </row>
    <row r="36" spans="1:16" ht="15" customHeight="1" x14ac:dyDescent="0.2">
      <c r="A36" s="243" t="str">
        <f>IFERROR(INDEX('All Ticker P&amp;L'!$A$2:$A$1001,MATCH(ROWS($A$2:A36),'All Ticker P&amp;L'!$N$2:$N$1001,0)),"")</f>
        <v/>
      </c>
      <c r="B36" s="243" t="str">
        <f t="shared" si="0"/>
        <v/>
      </c>
      <c r="C36" s="243" t="str">
        <f t="shared" si="1"/>
        <v/>
      </c>
      <c r="D36" s="243" t="str">
        <f t="shared" si="2"/>
        <v/>
      </c>
      <c r="E36" s="265" t="str">
        <f>IF($A36="","",SUMIFS(Txn[Signed Units],Txn[Key],$A36))</f>
        <v/>
      </c>
      <c r="F36" s="287" t="str">
        <f>IF($A36="","",SUMIFS(Txn[Buy Cost],Txn[Key],$A36))</f>
        <v/>
      </c>
      <c r="G36" s="287" t="str">
        <f>IF($A36="","",SUMIFS(Txn[Sell Proceeds],Txn[Key],$A36))</f>
        <v/>
      </c>
      <c r="H36" s="288" t="str">
        <f>IF($A36="","",IFERROR(INDEX(Prices[Current Price],MATCH($A36,Prices[Key],0)),0))</f>
        <v/>
      </c>
      <c r="I36" s="289" t="str">
        <f>IF($A36="","",IFERROR(INDEX(Prices[FX to SGD],MATCH($A36,Prices[Key],0)),1))</f>
        <v/>
      </c>
      <c r="J36" s="287" t="str">
        <f t="shared" si="3"/>
        <v/>
      </c>
      <c r="K36" s="287" t="str">
        <f t="shared" si="4"/>
        <v/>
      </c>
      <c r="L36" s="287" t="str">
        <f t="shared" si="5"/>
        <v/>
      </c>
      <c r="M36" s="290" t="str">
        <f t="shared" si="6"/>
        <v/>
      </c>
      <c r="N36" t="str">
        <f>IF($A36="","",IFERROR(INDEX(Prices[Category],MATCH($A36,Prices[Key],0)),"Uncategorized"))</f>
        <v/>
      </c>
      <c r="O36" s="291" t="str">
        <f t="shared" si="7"/>
        <v/>
      </c>
      <c r="P36" s="291" t="str">
        <f t="shared" si="8"/>
        <v/>
      </c>
    </row>
    <row r="37" spans="1:16" ht="15" customHeight="1" x14ac:dyDescent="0.2">
      <c r="A37" s="243" t="str">
        <f>IFERROR(INDEX('All Ticker P&amp;L'!$A$2:$A$1001,MATCH(ROWS($A$2:A37),'All Ticker P&amp;L'!$N$2:$N$1001,0)),"")</f>
        <v/>
      </c>
      <c r="B37" s="243" t="str">
        <f t="shared" si="0"/>
        <v/>
      </c>
      <c r="C37" s="243" t="str">
        <f t="shared" si="1"/>
        <v/>
      </c>
      <c r="D37" s="243" t="str">
        <f t="shared" si="2"/>
        <v/>
      </c>
      <c r="E37" s="265" t="str">
        <f>IF($A37="","",SUMIFS(Txn[Signed Units],Txn[Key],$A37))</f>
        <v/>
      </c>
      <c r="F37" s="287" t="str">
        <f>IF($A37="","",SUMIFS(Txn[Buy Cost],Txn[Key],$A37))</f>
        <v/>
      </c>
      <c r="G37" s="287" t="str">
        <f>IF($A37="","",SUMIFS(Txn[Sell Proceeds],Txn[Key],$A37))</f>
        <v/>
      </c>
      <c r="H37" s="288" t="str">
        <f>IF($A37="","",IFERROR(INDEX(Prices[Current Price],MATCH($A37,Prices[Key],0)),0))</f>
        <v/>
      </c>
      <c r="I37" s="289" t="str">
        <f>IF($A37="","",IFERROR(INDEX(Prices[FX to SGD],MATCH($A37,Prices[Key],0)),1))</f>
        <v/>
      </c>
      <c r="J37" s="287" t="str">
        <f t="shared" si="3"/>
        <v/>
      </c>
      <c r="K37" s="287" t="str">
        <f t="shared" si="4"/>
        <v/>
      </c>
      <c r="L37" s="287" t="str">
        <f t="shared" si="5"/>
        <v/>
      </c>
      <c r="M37" s="290" t="str">
        <f t="shared" si="6"/>
        <v/>
      </c>
      <c r="N37" t="str">
        <f>IF($A37="","",IFERROR(INDEX(Prices[Category],MATCH($A37,Prices[Key],0)),"Uncategorized"))</f>
        <v/>
      </c>
      <c r="O37" s="291" t="str">
        <f t="shared" si="7"/>
        <v/>
      </c>
      <c r="P37" s="291" t="str">
        <f t="shared" si="8"/>
        <v/>
      </c>
    </row>
    <row r="38" spans="1:16" ht="15" customHeight="1" x14ac:dyDescent="0.2">
      <c r="A38" s="243" t="str">
        <f>IFERROR(INDEX('All Ticker P&amp;L'!$A$2:$A$1001,MATCH(ROWS($A$2:A38),'All Ticker P&amp;L'!$N$2:$N$1001,0)),"")</f>
        <v/>
      </c>
      <c r="B38" s="243" t="str">
        <f t="shared" si="0"/>
        <v/>
      </c>
      <c r="C38" s="243" t="str">
        <f t="shared" si="1"/>
        <v/>
      </c>
      <c r="D38" s="243" t="str">
        <f t="shared" si="2"/>
        <v/>
      </c>
      <c r="E38" s="265" t="str">
        <f>IF($A38="","",SUMIFS(Txn[Signed Units],Txn[Key],$A38))</f>
        <v/>
      </c>
      <c r="F38" s="287" t="str">
        <f>IF($A38="","",SUMIFS(Txn[Buy Cost],Txn[Key],$A38))</f>
        <v/>
      </c>
      <c r="G38" s="287" t="str">
        <f>IF($A38="","",SUMIFS(Txn[Sell Proceeds],Txn[Key],$A38))</f>
        <v/>
      </c>
      <c r="H38" s="288" t="str">
        <f>IF($A38="","",IFERROR(INDEX(Prices[Current Price],MATCH($A38,Prices[Key],0)),0))</f>
        <v/>
      </c>
      <c r="I38" s="289" t="str">
        <f>IF($A38="","",IFERROR(INDEX(Prices[FX to SGD],MATCH($A38,Prices[Key],0)),1))</f>
        <v/>
      </c>
      <c r="J38" s="287" t="str">
        <f t="shared" si="3"/>
        <v/>
      </c>
      <c r="K38" s="287" t="str">
        <f t="shared" si="4"/>
        <v/>
      </c>
      <c r="L38" s="287" t="str">
        <f t="shared" si="5"/>
        <v/>
      </c>
      <c r="M38" s="290" t="str">
        <f t="shared" si="6"/>
        <v/>
      </c>
      <c r="N38" t="str">
        <f>IF($A38="","",IFERROR(INDEX(Prices[Category],MATCH($A38,Prices[Key],0)),"Uncategorized"))</f>
        <v/>
      </c>
      <c r="O38" s="291" t="str">
        <f t="shared" si="7"/>
        <v/>
      </c>
      <c r="P38" s="291" t="str">
        <f t="shared" si="8"/>
        <v/>
      </c>
    </row>
    <row r="39" spans="1:16" ht="15" customHeight="1" x14ac:dyDescent="0.2">
      <c r="A39" s="243" t="str">
        <f>IFERROR(INDEX('All Ticker P&amp;L'!$A$2:$A$1001,MATCH(ROWS($A$2:A39),'All Ticker P&amp;L'!$N$2:$N$1001,0)),"")</f>
        <v/>
      </c>
      <c r="B39" s="243" t="str">
        <f t="shared" si="0"/>
        <v/>
      </c>
      <c r="C39" s="243" t="str">
        <f t="shared" si="1"/>
        <v/>
      </c>
      <c r="D39" s="243" t="str">
        <f t="shared" si="2"/>
        <v/>
      </c>
      <c r="E39" s="265" t="str">
        <f>IF($A39="","",SUMIFS(Txn[Signed Units],Txn[Key],$A39))</f>
        <v/>
      </c>
      <c r="F39" s="287" t="str">
        <f>IF($A39="","",SUMIFS(Txn[Buy Cost],Txn[Key],$A39))</f>
        <v/>
      </c>
      <c r="G39" s="287" t="str">
        <f>IF($A39="","",SUMIFS(Txn[Sell Proceeds],Txn[Key],$A39))</f>
        <v/>
      </c>
      <c r="H39" s="288" t="str">
        <f>IF($A39="","",IFERROR(INDEX(Prices[Current Price],MATCH($A39,Prices[Key],0)),0))</f>
        <v/>
      </c>
      <c r="I39" s="289" t="str">
        <f>IF($A39="","",IFERROR(INDEX(Prices[FX to SGD],MATCH($A39,Prices[Key],0)),1))</f>
        <v/>
      </c>
      <c r="J39" s="287" t="str">
        <f t="shared" si="3"/>
        <v/>
      </c>
      <c r="K39" s="287" t="str">
        <f t="shared" si="4"/>
        <v/>
      </c>
      <c r="L39" s="287" t="str">
        <f t="shared" si="5"/>
        <v/>
      </c>
      <c r="M39" s="290" t="str">
        <f t="shared" si="6"/>
        <v/>
      </c>
      <c r="N39" t="str">
        <f>IF($A39="","",IFERROR(INDEX(Prices[Category],MATCH($A39,Prices[Key],0)),"Uncategorized"))</f>
        <v/>
      </c>
      <c r="O39" s="291" t="str">
        <f t="shared" si="7"/>
        <v/>
      </c>
      <c r="P39" s="291" t="str">
        <f t="shared" si="8"/>
        <v/>
      </c>
    </row>
    <row r="40" spans="1:16" ht="15" customHeight="1" x14ac:dyDescent="0.2">
      <c r="A40" s="243" t="str">
        <f>IFERROR(INDEX('All Ticker P&amp;L'!$A$2:$A$1001,MATCH(ROWS($A$2:A40),'All Ticker P&amp;L'!$N$2:$N$1001,0)),"")</f>
        <v/>
      </c>
      <c r="B40" s="243" t="str">
        <f t="shared" si="0"/>
        <v/>
      </c>
      <c r="C40" s="243" t="str">
        <f t="shared" si="1"/>
        <v/>
      </c>
      <c r="D40" s="243" t="str">
        <f t="shared" si="2"/>
        <v/>
      </c>
      <c r="E40" s="265" t="str">
        <f>IF($A40="","",SUMIFS(Txn[Signed Units],Txn[Key],$A40))</f>
        <v/>
      </c>
      <c r="F40" s="287" t="str">
        <f>IF($A40="","",SUMIFS(Txn[Buy Cost],Txn[Key],$A40))</f>
        <v/>
      </c>
      <c r="G40" s="287" t="str">
        <f>IF($A40="","",SUMIFS(Txn[Sell Proceeds],Txn[Key],$A40))</f>
        <v/>
      </c>
      <c r="H40" s="288" t="str">
        <f>IF($A40="","",IFERROR(INDEX(Prices[Current Price],MATCH($A40,Prices[Key],0)),0))</f>
        <v/>
      </c>
      <c r="I40" s="289" t="str">
        <f>IF($A40="","",IFERROR(INDEX(Prices[FX to SGD],MATCH($A40,Prices[Key],0)),1))</f>
        <v/>
      </c>
      <c r="J40" s="287" t="str">
        <f t="shared" si="3"/>
        <v/>
      </c>
      <c r="K40" s="287" t="str">
        <f t="shared" si="4"/>
        <v/>
      </c>
      <c r="L40" s="287" t="str">
        <f t="shared" si="5"/>
        <v/>
      </c>
      <c r="M40" s="290" t="str">
        <f t="shared" si="6"/>
        <v/>
      </c>
      <c r="N40" t="str">
        <f>IF($A40="","",IFERROR(INDEX(Prices[Category],MATCH($A40,Prices[Key],0)),"Uncategorized"))</f>
        <v/>
      </c>
      <c r="O40" s="291" t="str">
        <f t="shared" si="7"/>
        <v/>
      </c>
      <c r="P40" s="291" t="str">
        <f t="shared" si="8"/>
        <v/>
      </c>
    </row>
    <row r="41" spans="1:16" ht="15" customHeight="1" x14ac:dyDescent="0.2">
      <c r="A41" s="243" t="str">
        <f>IFERROR(INDEX('All Ticker P&amp;L'!$A$2:$A$1001,MATCH(ROWS($A$2:A41),'All Ticker P&amp;L'!$N$2:$N$1001,0)),"")</f>
        <v/>
      </c>
      <c r="B41" s="243" t="str">
        <f t="shared" si="0"/>
        <v/>
      </c>
      <c r="C41" s="243" t="str">
        <f t="shared" si="1"/>
        <v/>
      </c>
      <c r="D41" s="243" t="str">
        <f t="shared" si="2"/>
        <v/>
      </c>
      <c r="E41" s="265" t="str">
        <f>IF($A41="","",SUMIFS(Txn[Signed Units],Txn[Key],$A41))</f>
        <v/>
      </c>
      <c r="F41" s="287" t="str">
        <f>IF($A41="","",SUMIFS(Txn[Buy Cost],Txn[Key],$A41))</f>
        <v/>
      </c>
      <c r="G41" s="287" t="str">
        <f>IF($A41="","",SUMIFS(Txn[Sell Proceeds],Txn[Key],$A41))</f>
        <v/>
      </c>
      <c r="H41" s="288" t="str">
        <f>IF($A41="","",IFERROR(INDEX(Prices[Current Price],MATCH($A41,Prices[Key],0)),0))</f>
        <v/>
      </c>
      <c r="I41" s="289" t="str">
        <f>IF($A41="","",IFERROR(INDEX(Prices[FX to SGD],MATCH($A41,Prices[Key],0)),1))</f>
        <v/>
      </c>
      <c r="J41" s="287" t="str">
        <f t="shared" si="3"/>
        <v/>
      </c>
      <c r="K41" s="287" t="str">
        <f t="shared" si="4"/>
        <v/>
      </c>
      <c r="L41" s="287" t="str">
        <f t="shared" si="5"/>
        <v/>
      </c>
      <c r="M41" s="290" t="str">
        <f t="shared" si="6"/>
        <v/>
      </c>
      <c r="N41" t="str">
        <f>IF($A41="","",IFERROR(INDEX(Prices[Category],MATCH($A41,Prices[Key],0)),"Uncategorized"))</f>
        <v/>
      </c>
      <c r="O41" s="291" t="str">
        <f t="shared" si="7"/>
        <v/>
      </c>
      <c r="P41" s="291" t="str">
        <f t="shared" si="8"/>
        <v/>
      </c>
    </row>
    <row r="42" spans="1:16" ht="15" customHeight="1" x14ac:dyDescent="0.2">
      <c r="A42" s="243" t="str">
        <f>IFERROR(INDEX('All Ticker P&amp;L'!$A$2:$A$1001,MATCH(ROWS($A$2:A42),'All Ticker P&amp;L'!$N$2:$N$1001,0)),"")</f>
        <v/>
      </c>
      <c r="B42" s="243" t="str">
        <f t="shared" si="0"/>
        <v/>
      </c>
      <c r="C42" s="243" t="str">
        <f t="shared" si="1"/>
        <v/>
      </c>
      <c r="D42" s="243" t="str">
        <f t="shared" si="2"/>
        <v/>
      </c>
      <c r="E42" s="265" t="str">
        <f>IF($A42="","",SUMIFS(Txn[Signed Units],Txn[Key],$A42))</f>
        <v/>
      </c>
      <c r="F42" s="287" t="str">
        <f>IF($A42="","",SUMIFS(Txn[Buy Cost],Txn[Key],$A42))</f>
        <v/>
      </c>
      <c r="G42" s="287" t="str">
        <f>IF($A42="","",SUMIFS(Txn[Sell Proceeds],Txn[Key],$A42))</f>
        <v/>
      </c>
      <c r="H42" s="288" t="str">
        <f>IF($A42="","",IFERROR(INDEX(Prices[Current Price],MATCH($A42,Prices[Key],0)),0))</f>
        <v/>
      </c>
      <c r="I42" s="289" t="str">
        <f>IF($A42="","",IFERROR(INDEX(Prices[FX to SGD],MATCH($A42,Prices[Key],0)),1))</f>
        <v/>
      </c>
      <c r="J42" s="287" t="str">
        <f t="shared" si="3"/>
        <v/>
      </c>
      <c r="K42" s="287" t="str">
        <f t="shared" si="4"/>
        <v/>
      </c>
      <c r="L42" s="287" t="str">
        <f t="shared" si="5"/>
        <v/>
      </c>
      <c r="M42" s="290" t="str">
        <f t="shared" si="6"/>
        <v/>
      </c>
      <c r="N42" t="str">
        <f>IF($A42="","",IFERROR(INDEX(Prices[Category],MATCH($A42,Prices[Key],0)),"Uncategorized"))</f>
        <v/>
      </c>
      <c r="O42" s="291" t="str">
        <f t="shared" si="7"/>
        <v/>
      </c>
      <c r="P42" s="291" t="str">
        <f t="shared" si="8"/>
        <v/>
      </c>
    </row>
    <row r="43" spans="1:16" ht="15" customHeight="1" x14ac:dyDescent="0.2">
      <c r="A43" s="243" t="str">
        <f>IFERROR(INDEX('All Ticker P&amp;L'!$A$2:$A$1001,MATCH(ROWS($A$2:A43),'All Ticker P&amp;L'!$N$2:$N$1001,0)),"")</f>
        <v/>
      </c>
      <c r="B43" s="243" t="str">
        <f t="shared" si="0"/>
        <v/>
      </c>
      <c r="C43" s="243" t="str">
        <f t="shared" si="1"/>
        <v/>
      </c>
      <c r="D43" s="243" t="str">
        <f t="shared" si="2"/>
        <v/>
      </c>
      <c r="E43" s="265" t="str">
        <f>IF($A43="","",SUMIFS(Txn[Signed Units],Txn[Key],$A43))</f>
        <v/>
      </c>
      <c r="F43" s="287" t="str">
        <f>IF($A43="","",SUMIFS(Txn[Buy Cost],Txn[Key],$A43))</f>
        <v/>
      </c>
      <c r="G43" s="287" t="str">
        <f>IF($A43="","",SUMIFS(Txn[Sell Proceeds],Txn[Key],$A43))</f>
        <v/>
      </c>
      <c r="H43" s="288" t="str">
        <f>IF($A43="","",IFERROR(INDEX(Prices[Current Price],MATCH($A43,Prices[Key],0)),0))</f>
        <v/>
      </c>
      <c r="I43" s="289" t="str">
        <f>IF($A43="","",IFERROR(INDEX(Prices[FX to SGD],MATCH($A43,Prices[Key],0)),1))</f>
        <v/>
      </c>
      <c r="J43" s="287" t="str">
        <f t="shared" si="3"/>
        <v/>
      </c>
      <c r="K43" s="287" t="str">
        <f t="shared" si="4"/>
        <v/>
      </c>
      <c r="L43" s="287" t="str">
        <f t="shared" si="5"/>
        <v/>
      </c>
      <c r="M43" s="290" t="str">
        <f t="shared" si="6"/>
        <v/>
      </c>
      <c r="N43" t="str">
        <f>IF($A43="","",IFERROR(INDEX(Prices[Category],MATCH($A43,Prices[Key],0)),"Uncategorized"))</f>
        <v/>
      </c>
      <c r="O43" s="291" t="str">
        <f t="shared" si="7"/>
        <v/>
      </c>
      <c r="P43" s="291" t="str">
        <f t="shared" si="8"/>
        <v/>
      </c>
    </row>
    <row r="44" spans="1:16" ht="15" customHeight="1" x14ac:dyDescent="0.2">
      <c r="A44" s="243" t="str">
        <f>IFERROR(INDEX('All Ticker P&amp;L'!$A$2:$A$1001,MATCH(ROWS($A$2:A44),'All Ticker P&amp;L'!$N$2:$N$1001,0)),"")</f>
        <v/>
      </c>
      <c r="B44" s="243" t="str">
        <f t="shared" si="0"/>
        <v/>
      </c>
      <c r="C44" s="243" t="str">
        <f t="shared" si="1"/>
        <v/>
      </c>
      <c r="D44" s="243" t="str">
        <f t="shared" si="2"/>
        <v/>
      </c>
      <c r="E44" s="265" t="str">
        <f>IF($A44="","",SUMIFS(Txn[Signed Units],Txn[Key],$A44))</f>
        <v/>
      </c>
      <c r="F44" s="287" t="str">
        <f>IF($A44="","",SUMIFS(Txn[Buy Cost],Txn[Key],$A44))</f>
        <v/>
      </c>
      <c r="G44" s="287" t="str">
        <f>IF($A44="","",SUMIFS(Txn[Sell Proceeds],Txn[Key],$A44))</f>
        <v/>
      </c>
      <c r="H44" s="288" t="str">
        <f>IF($A44="","",IFERROR(INDEX(Prices[Current Price],MATCH($A44,Prices[Key],0)),0))</f>
        <v/>
      </c>
      <c r="I44" s="289" t="str">
        <f>IF($A44="","",IFERROR(INDEX(Prices[FX to SGD],MATCH($A44,Prices[Key],0)),1))</f>
        <v/>
      </c>
      <c r="J44" s="287" t="str">
        <f t="shared" si="3"/>
        <v/>
      </c>
      <c r="K44" s="287" t="str">
        <f t="shared" si="4"/>
        <v/>
      </c>
      <c r="L44" s="287" t="str">
        <f t="shared" si="5"/>
        <v/>
      </c>
      <c r="M44" s="290" t="str">
        <f t="shared" si="6"/>
        <v/>
      </c>
      <c r="N44" t="str">
        <f>IF($A44="","",IFERROR(INDEX(Prices[Category],MATCH($A44,Prices[Key],0)),"Uncategorized"))</f>
        <v/>
      </c>
      <c r="O44" s="291" t="str">
        <f t="shared" si="7"/>
        <v/>
      </c>
      <c r="P44" s="291" t="str">
        <f t="shared" si="8"/>
        <v/>
      </c>
    </row>
    <row r="45" spans="1:16" ht="15" customHeight="1" x14ac:dyDescent="0.2">
      <c r="A45" s="243" t="str">
        <f>IFERROR(INDEX('All Ticker P&amp;L'!$A$2:$A$1001,MATCH(ROWS($A$2:A45),'All Ticker P&amp;L'!$N$2:$N$1001,0)),"")</f>
        <v/>
      </c>
      <c r="B45" s="243" t="str">
        <f t="shared" si="0"/>
        <v/>
      </c>
      <c r="C45" s="243" t="str">
        <f t="shared" si="1"/>
        <v/>
      </c>
      <c r="D45" s="243" t="str">
        <f t="shared" si="2"/>
        <v/>
      </c>
      <c r="E45" s="265" t="str">
        <f>IF($A45="","",SUMIFS(Txn[Signed Units],Txn[Key],$A45))</f>
        <v/>
      </c>
      <c r="F45" s="287" t="str">
        <f>IF($A45="","",SUMIFS(Txn[Buy Cost],Txn[Key],$A45))</f>
        <v/>
      </c>
      <c r="G45" s="287" t="str">
        <f>IF($A45="","",SUMIFS(Txn[Sell Proceeds],Txn[Key],$A45))</f>
        <v/>
      </c>
      <c r="H45" s="288" t="str">
        <f>IF($A45="","",IFERROR(INDEX(Prices[Current Price],MATCH($A45,Prices[Key],0)),0))</f>
        <v/>
      </c>
      <c r="I45" s="289" t="str">
        <f>IF($A45="","",IFERROR(INDEX(Prices[FX to SGD],MATCH($A45,Prices[Key],0)),1))</f>
        <v/>
      </c>
      <c r="J45" s="287" t="str">
        <f t="shared" si="3"/>
        <v/>
      </c>
      <c r="K45" s="287" t="str">
        <f t="shared" si="4"/>
        <v/>
      </c>
      <c r="L45" s="287" t="str">
        <f t="shared" si="5"/>
        <v/>
      </c>
      <c r="M45" s="290" t="str">
        <f t="shared" si="6"/>
        <v/>
      </c>
      <c r="N45" t="str">
        <f>IF($A45="","",IFERROR(INDEX(Prices[Category],MATCH($A45,Prices[Key],0)),"Uncategorized"))</f>
        <v/>
      </c>
      <c r="O45" s="291" t="str">
        <f t="shared" si="7"/>
        <v/>
      </c>
      <c r="P45" s="291" t="str">
        <f t="shared" si="8"/>
        <v/>
      </c>
    </row>
    <row r="46" spans="1:16" ht="15" customHeight="1" x14ac:dyDescent="0.2">
      <c r="A46" s="243" t="str">
        <f>IFERROR(INDEX('All Ticker P&amp;L'!$A$2:$A$1001,MATCH(ROWS($A$2:A46),'All Ticker P&amp;L'!$N$2:$N$1001,0)),"")</f>
        <v/>
      </c>
      <c r="B46" s="243" t="str">
        <f t="shared" si="0"/>
        <v/>
      </c>
      <c r="C46" s="243" t="str">
        <f t="shared" si="1"/>
        <v/>
      </c>
      <c r="D46" s="243" t="str">
        <f t="shared" si="2"/>
        <v/>
      </c>
      <c r="E46" s="265" t="str">
        <f>IF($A46="","",SUMIFS(Txn[Signed Units],Txn[Key],$A46))</f>
        <v/>
      </c>
      <c r="F46" s="287" t="str">
        <f>IF($A46="","",SUMIFS(Txn[Buy Cost],Txn[Key],$A46))</f>
        <v/>
      </c>
      <c r="G46" s="287" t="str">
        <f>IF($A46="","",SUMIFS(Txn[Sell Proceeds],Txn[Key],$A46))</f>
        <v/>
      </c>
      <c r="H46" s="288" t="str">
        <f>IF($A46="","",IFERROR(INDEX(Prices[Current Price],MATCH($A46,Prices[Key],0)),0))</f>
        <v/>
      </c>
      <c r="I46" s="289" t="str">
        <f>IF($A46="","",IFERROR(INDEX(Prices[FX to SGD],MATCH($A46,Prices[Key],0)),1))</f>
        <v/>
      </c>
      <c r="J46" s="287" t="str">
        <f t="shared" si="3"/>
        <v/>
      </c>
      <c r="K46" s="287" t="str">
        <f t="shared" si="4"/>
        <v/>
      </c>
      <c r="L46" s="287" t="str">
        <f t="shared" si="5"/>
        <v/>
      </c>
      <c r="M46" s="290" t="str">
        <f t="shared" si="6"/>
        <v/>
      </c>
      <c r="N46" t="str">
        <f>IF($A46="","",IFERROR(INDEX(Prices[Category],MATCH($A46,Prices[Key],0)),"Uncategorized"))</f>
        <v/>
      </c>
      <c r="O46" s="291" t="str">
        <f t="shared" si="7"/>
        <v/>
      </c>
      <c r="P46" s="291" t="str">
        <f t="shared" si="8"/>
        <v/>
      </c>
    </row>
    <row r="47" spans="1:16" ht="15" customHeight="1" x14ac:dyDescent="0.2">
      <c r="A47" s="243" t="str">
        <f>IFERROR(INDEX('All Ticker P&amp;L'!$A$2:$A$1001,MATCH(ROWS($A$2:A47),'All Ticker P&amp;L'!$N$2:$N$1001,0)),"")</f>
        <v/>
      </c>
      <c r="B47" s="243" t="str">
        <f t="shared" si="0"/>
        <v/>
      </c>
      <c r="C47" s="243" t="str">
        <f t="shared" si="1"/>
        <v/>
      </c>
      <c r="D47" s="243" t="str">
        <f t="shared" si="2"/>
        <v/>
      </c>
      <c r="E47" s="265" t="str">
        <f>IF($A47="","",SUMIFS(Txn[Signed Units],Txn[Key],$A47))</f>
        <v/>
      </c>
      <c r="F47" s="287" t="str">
        <f>IF($A47="","",SUMIFS(Txn[Buy Cost],Txn[Key],$A47))</f>
        <v/>
      </c>
      <c r="G47" s="287" t="str">
        <f>IF($A47="","",SUMIFS(Txn[Sell Proceeds],Txn[Key],$A47))</f>
        <v/>
      </c>
      <c r="H47" s="288" t="str">
        <f>IF($A47="","",IFERROR(INDEX(Prices[Current Price],MATCH($A47,Prices[Key],0)),0))</f>
        <v/>
      </c>
      <c r="I47" s="289" t="str">
        <f>IF($A47="","",IFERROR(INDEX(Prices[FX to SGD],MATCH($A47,Prices[Key],0)),1))</f>
        <v/>
      </c>
      <c r="J47" s="287" t="str">
        <f t="shared" si="3"/>
        <v/>
      </c>
      <c r="K47" s="287" t="str">
        <f t="shared" si="4"/>
        <v/>
      </c>
      <c r="L47" s="287" t="str">
        <f t="shared" si="5"/>
        <v/>
      </c>
      <c r="M47" s="290" t="str">
        <f t="shared" si="6"/>
        <v/>
      </c>
      <c r="N47" t="str">
        <f>IF($A47="","",IFERROR(INDEX(Prices[Category],MATCH($A47,Prices[Key],0)),"Uncategorized"))</f>
        <v/>
      </c>
      <c r="O47" s="291" t="str">
        <f t="shared" si="7"/>
        <v/>
      </c>
      <c r="P47" s="291" t="str">
        <f t="shared" si="8"/>
        <v/>
      </c>
    </row>
    <row r="48" spans="1:16" ht="15" customHeight="1" x14ac:dyDescent="0.2">
      <c r="A48" s="243" t="str">
        <f>IFERROR(INDEX('All Ticker P&amp;L'!$A$2:$A$1001,MATCH(ROWS($A$2:A48),'All Ticker P&amp;L'!$N$2:$N$1001,0)),"")</f>
        <v/>
      </c>
      <c r="B48" s="243" t="str">
        <f t="shared" si="0"/>
        <v/>
      </c>
      <c r="C48" s="243" t="str">
        <f t="shared" si="1"/>
        <v/>
      </c>
      <c r="D48" s="243" t="str">
        <f t="shared" si="2"/>
        <v/>
      </c>
      <c r="E48" s="265" t="str">
        <f>IF($A48="","",SUMIFS(Txn[Signed Units],Txn[Key],$A48))</f>
        <v/>
      </c>
      <c r="F48" s="287" t="str">
        <f>IF($A48="","",SUMIFS(Txn[Buy Cost],Txn[Key],$A48))</f>
        <v/>
      </c>
      <c r="G48" s="287" t="str">
        <f>IF($A48="","",SUMIFS(Txn[Sell Proceeds],Txn[Key],$A48))</f>
        <v/>
      </c>
      <c r="H48" s="288" t="str">
        <f>IF($A48="","",IFERROR(INDEX(Prices[Current Price],MATCH($A48,Prices[Key],0)),0))</f>
        <v/>
      </c>
      <c r="I48" s="289" t="str">
        <f>IF($A48="","",IFERROR(INDEX(Prices[FX to SGD],MATCH($A48,Prices[Key],0)),1))</f>
        <v/>
      </c>
      <c r="J48" s="287" t="str">
        <f t="shared" si="3"/>
        <v/>
      </c>
      <c r="K48" s="287" t="str">
        <f t="shared" si="4"/>
        <v/>
      </c>
      <c r="L48" s="287" t="str">
        <f t="shared" si="5"/>
        <v/>
      </c>
      <c r="M48" s="290" t="str">
        <f t="shared" si="6"/>
        <v/>
      </c>
      <c r="N48" t="str">
        <f>IF($A48="","",IFERROR(INDEX(Prices[Category],MATCH($A48,Prices[Key],0)),"Uncategorized"))</f>
        <v/>
      </c>
      <c r="O48" s="291" t="str">
        <f t="shared" si="7"/>
        <v/>
      </c>
      <c r="P48" s="291" t="str">
        <f t="shared" si="8"/>
        <v/>
      </c>
    </row>
    <row r="49" spans="1:16" ht="15" customHeight="1" x14ac:dyDescent="0.2">
      <c r="A49" s="243" t="str">
        <f>IFERROR(INDEX('All Ticker P&amp;L'!$A$2:$A$1001,MATCH(ROWS($A$2:A49),'All Ticker P&amp;L'!$N$2:$N$1001,0)),"")</f>
        <v/>
      </c>
      <c r="B49" s="243" t="str">
        <f t="shared" si="0"/>
        <v/>
      </c>
      <c r="C49" s="243" t="str">
        <f t="shared" si="1"/>
        <v/>
      </c>
      <c r="D49" s="243" t="str">
        <f t="shared" si="2"/>
        <v/>
      </c>
      <c r="E49" s="265" t="str">
        <f>IF($A49="","",SUMIFS(Txn[Signed Units],Txn[Key],$A49))</f>
        <v/>
      </c>
      <c r="F49" s="287" t="str">
        <f>IF($A49="","",SUMIFS(Txn[Buy Cost],Txn[Key],$A49))</f>
        <v/>
      </c>
      <c r="G49" s="287" t="str">
        <f>IF($A49="","",SUMIFS(Txn[Sell Proceeds],Txn[Key],$A49))</f>
        <v/>
      </c>
      <c r="H49" s="288" t="str">
        <f>IF($A49="","",IFERROR(INDEX(Prices[Current Price],MATCH($A49,Prices[Key],0)),0))</f>
        <v/>
      </c>
      <c r="I49" s="289" t="str">
        <f>IF($A49="","",IFERROR(INDEX(Prices[FX to SGD],MATCH($A49,Prices[Key],0)),1))</f>
        <v/>
      </c>
      <c r="J49" s="287" t="str">
        <f t="shared" si="3"/>
        <v/>
      </c>
      <c r="K49" s="287" t="str">
        <f t="shared" si="4"/>
        <v/>
      </c>
      <c r="L49" s="287" t="str">
        <f t="shared" si="5"/>
        <v/>
      </c>
      <c r="M49" s="290" t="str">
        <f t="shared" si="6"/>
        <v/>
      </c>
      <c r="N49" t="str">
        <f>IF($A49="","",IFERROR(INDEX(Prices[Category],MATCH($A49,Prices[Key],0)),"Uncategorized"))</f>
        <v/>
      </c>
      <c r="O49" s="291" t="str">
        <f t="shared" si="7"/>
        <v/>
      </c>
      <c r="P49" s="291" t="str">
        <f t="shared" si="8"/>
        <v/>
      </c>
    </row>
    <row r="50" spans="1:16" ht="15" customHeight="1" x14ac:dyDescent="0.2">
      <c r="A50" s="243" t="str">
        <f>IFERROR(INDEX('All Ticker P&amp;L'!$A$2:$A$1001,MATCH(ROWS($A$2:A50),'All Ticker P&amp;L'!$N$2:$N$1001,0)),"")</f>
        <v/>
      </c>
      <c r="B50" s="243" t="str">
        <f t="shared" si="0"/>
        <v/>
      </c>
      <c r="C50" s="243" t="str">
        <f t="shared" si="1"/>
        <v/>
      </c>
      <c r="D50" s="243" t="str">
        <f t="shared" si="2"/>
        <v/>
      </c>
      <c r="E50" s="265" t="str">
        <f>IF($A50="","",SUMIFS(Txn[Signed Units],Txn[Key],$A50))</f>
        <v/>
      </c>
      <c r="F50" s="287" t="str">
        <f>IF($A50="","",SUMIFS(Txn[Buy Cost],Txn[Key],$A50))</f>
        <v/>
      </c>
      <c r="G50" s="287" t="str">
        <f>IF($A50="","",SUMIFS(Txn[Sell Proceeds],Txn[Key],$A50))</f>
        <v/>
      </c>
      <c r="H50" s="288" t="str">
        <f>IF($A50="","",IFERROR(INDEX(Prices[Current Price],MATCH($A50,Prices[Key],0)),0))</f>
        <v/>
      </c>
      <c r="I50" s="289" t="str">
        <f>IF($A50="","",IFERROR(INDEX(Prices[FX to SGD],MATCH($A50,Prices[Key],0)),1))</f>
        <v/>
      </c>
      <c r="J50" s="287" t="str">
        <f t="shared" si="3"/>
        <v/>
      </c>
      <c r="K50" s="287" t="str">
        <f t="shared" si="4"/>
        <v/>
      </c>
      <c r="L50" s="287" t="str">
        <f t="shared" si="5"/>
        <v/>
      </c>
      <c r="M50" s="290" t="str">
        <f t="shared" si="6"/>
        <v/>
      </c>
      <c r="N50" t="str">
        <f>IF($A50="","",IFERROR(INDEX(Prices[Category],MATCH($A50,Prices[Key],0)),"Uncategorized"))</f>
        <v/>
      </c>
      <c r="O50" s="291" t="str">
        <f t="shared" si="7"/>
        <v/>
      </c>
      <c r="P50" s="291" t="str">
        <f t="shared" si="8"/>
        <v/>
      </c>
    </row>
    <row r="51" spans="1:16" ht="15" customHeight="1" x14ac:dyDescent="0.2">
      <c r="A51" s="243" t="str">
        <f>IFERROR(INDEX('All Ticker P&amp;L'!$A$2:$A$1001,MATCH(ROWS($A$2:A51),'All Ticker P&amp;L'!$N$2:$N$1001,0)),"")</f>
        <v/>
      </c>
      <c r="B51" s="243" t="str">
        <f t="shared" si="0"/>
        <v/>
      </c>
      <c r="C51" s="243" t="str">
        <f t="shared" si="1"/>
        <v/>
      </c>
      <c r="D51" s="243" t="str">
        <f t="shared" si="2"/>
        <v/>
      </c>
      <c r="E51" s="265" t="str">
        <f>IF($A51="","",SUMIFS(Txn[Signed Units],Txn[Key],$A51))</f>
        <v/>
      </c>
      <c r="F51" s="287" t="str">
        <f>IF($A51="","",SUMIFS(Txn[Buy Cost],Txn[Key],$A51))</f>
        <v/>
      </c>
      <c r="G51" s="287" t="str">
        <f>IF($A51="","",SUMIFS(Txn[Sell Proceeds],Txn[Key],$A51))</f>
        <v/>
      </c>
      <c r="H51" s="288" t="str">
        <f>IF($A51="","",IFERROR(INDEX(Prices[Current Price],MATCH($A51,Prices[Key],0)),0))</f>
        <v/>
      </c>
      <c r="I51" s="289" t="str">
        <f>IF($A51="","",IFERROR(INDEX(Prices[FX to SGD],MATCH($A51,Prices[Key],0)),1))</f>
        <v/>
      </c>
      <c r="J51" s="287" t="str">
        <f t="shared" si="3"/>
        <v/>
      </c>
      <c r="K51" s="287" t="str">
        <f t="shared" si="4"/>
        <v/>
      </c>
      <c r="L51" s="287" t="str">
        <f t="shared" si="5"/>
        <v/>
      </c>
      <c r="M51" s="290" t="str">
        <f t="shared" si="6"/>
        <v/>
      </c>
      <c r="N51" t="str">
        <f>IF($A51="","",IFERROR(INDEX(Prices[Category],MATCH($A51,Prices[Key],0)),"Uncategorized"))</f>
        <v/>
      </c>
      <c r="O51" s="291" t="str">
        <f t="shared" si="7"/>
        <v/>
      </c>
      <c r="P51" s="291" t="str">
        <f t="shared" si="8"/>
        <v/>
      </c>
    </row>
    <row r="52" spans="1:16" ht="15" customHeight="1" x14ac:dyDescent="0.2">
      <c r="A52" s="243" t="str">
        <f>IFERROR(INDEX('All Ticker P&amp;L'!$A$2:$A$1001,MATCH(ROWS($A$2:A52),'All Ticker P&amp;L'!$N$2:$N$1001,0)),"")</f>
        <v/>
      </c>
      <c r="B52" s="243" t="str">
        <f t="shared" si="0"/>
        <v/>
      </c>
      <c r="C52" s="243" t="str">
        <f t="shared" si="1"/>
        <v/>
      </c>
      <c r="D52" s="243" t="str">
        <f t="shared" si="2"/>
        <v/>
      </c>
      <c r="E52" s="265" t="str">
        <f>IF($A52="","",SUMIFS(Txn[Signed Units],Txn[Key],$A52))</f>
        <v/>
      </c>
      <c r="F52" s="287" t="str">
        <f>IF($A52="","",SUMIFS(Txn[Buy Cost],Txn[Key],$A52))</f>
        <v/>
      </c>
      <c r="G52" s="287" t="str">
        <f>IF($A52="","",SUMIFS(Txn[Sell Proceeds],Txn[Key],$A52))</f>
        <v/>
      </c>
      <c r="H52" s="288" t="str">
        <f>IF($A52="","",IFERROR(INDEX(Prices[Current Price],MATCH($A52,Prices[Key],0)),0))</f>
        <v/>
      </c>
      <c r="I52" s="289" t="str">
        <f>IF($A52="","",IFERROR(INDEX(Prices[FX to SGD],MATCH($A52,Prices[Key],0)),1))</f>
        <v/>
      </c>
      <c r="J52" s="287" t="str">
        <f t="shared" si="3"/>
        <v/>
      </c>
      <c r="K52" s="287" t="str">
        <f t="shared" si="4"/>
        <v/>
      </c>
      <c r="L52" s="287" t="str">
        <f t="shared" si="5"/>
        <v/>
      </c>
      <c r="M52" s="290" t="str">
        <f t="shared" si="6"/>
        <v/>
      </c>
      <c r="N52" t="str">
        <f>IF($A52="","",IFERROR(INDEX(Prices[Category],MATCH($A52,Prices[Key],0)),"Uncategorized"))</f>
        <v/>
      </c>
      <c r="O52" s="291" t="str">
        <f t="shared" si="7"/>
        <v/>
      </c>
      <c r="P52" s="291" t="str">
        <f t="shared" si="8"/>
        <v/>
      </c>
    </row>
    <row r="53" spans="1:16" ht="15" customHeight="1" x14ac:dyDescent="0.2">
      <c r="A53" s="243" t="str">
        <f>IFERROR(INDEX('All Ticker P&amp;L'!$A$2:$A$1001,MATCH(ROWS($A$2:A53),'All Ticker P&amp;L'!$N$2:$N$1001,0)),"")</f>
        <v/>
      </c>
      <c r="B53" s="243" t="str">
        <f t="shared" si="0"/>
        <v/>
      </c>
      <c r="C53" s="243" t="str">
        <f t="shared" si="1"/>
        <v/>
      </c>
      <c r="D53" s="243" t="str">
        <f t="shared" si="2"/>
        <v/>
      </c>
      <c r="E53" s="265" t="str">
        <f>IF($A53="","",SUMIFS(Txn[Signed Units],Txn[Key],$A53))</f>
        <v/>
      </c>
      <c r="F53" s="287" t="str">
        <f>IF($A53="","",SUMIFS(Txn[Buy Cost],Txn[Key],$A53))</f>
        <v/>
      </c>
      <c r="G53" s="287" t="str">
        <f>IF($A53="","",SUMIFS(Txn[Sell Proceeds],Txn[Key],$A53))</f>
        <v/>
      </c>
      <c r="H53" s="288" t="str">
        <f>IF($A53="","",IFERROR(INDEX(Prices[Current Price],MATCH($A53,Prices[Key],0)),0))</f>
        <v/>
      </c>
      <c r="I53" s="289" t="str">
        <f>IF($A53="","",IFERROR(INDEX(Prices[FX to SGD],MATCH($A53,Prices[Key],0)),1))</f>
        <v/>
      </c>
      <c r="J53" s="287" t="str">
        <f t="shared" si="3"/>
        <v/>
      </c>
      <c r="K53" s="287" t="str">
        <f t="shared" si="4"/>
        <v/>
      </c>
      <c r="L53" s="287" t="str">
        <f t="shared" si="5"/>
        <v/>
      </c>
      <c r="M53" s="290" t="str">
        <f t="shared" si="6"/>
        <v/>
      </c>
      <c r="N53" t="str">
        <f>IF($A53="","",IFERROR(INDEX(Prices[Category],MATCH($A53,Prices[Key],0)),"Uncategorized"))</f>
        <v/>
      </c>
      <c r="O53" s="291" t="str">
        <f t="shared" si="7"/>
        <v/>
      </c>
      <c r="P53" s="291" t="str">
        <f t="shared" si="8"/>
        <v/>
      </c>
    </row>
    <row r="54" spans="1:16" ht="15" customHeight="1" x14ac:dyDescent="0.2">
      <c r="A54" s="243" t="str">
        <f>IFERROR(INDEX('All Ticker P&amp;L'!$A$2:$A$1001,MATCH(ROWS($A$2:A54),'All Ticker P&amp;L'!$N$2:$N$1001,0)),"")</f>
        <v/>
      </c>
      <c r="B54" s="243" t="str">
        <f t="shared" si="0"/>
        <v/>
      </c>
      <c r="C54" s="243" t="str">
        <f t="shared" si="1"/>
        <v/>
      </c>
      <c r="D54" s="243" t="str">
        <f t="shared" si="2"/>
        <v/>
      </c>
      <c r="E54" s="265" t="str">
        <f>IF($A54="","",SUMIFS(Txn[Signed Units],Txn[Key],$A54))</f>
        <v/>
      </c>
      <c r="F54" s="287" t="str">
        <f>IF($A54="","",SUMIFS(Txn[Buy Cost],Txn[Key],$A54))</f>
        <v/>
      </c>
      <c r="G54" s="287" t="str">
        <f>IF($A54="","",SUMIFS(Txn[Sell Proceeds],Txn[Key],$A54))</f>
        <v/>
      </c>
      <c r="H54" s="288" t="str">
        <f>IF($A54="","",IFERROR(INDEX(Prices[Current Price],MATCH($A54,Prices[Key],0)),0))</f>
        <v/>
      </c>
      <c r="I54" s="289" t="str">
        <f>IF($A54="","",IFERROR(INDEX(Prices[FX to SGD],MATCH($A54,Prices[Key],0)),1))</f>
        <v/>
      </c>
      <c r="J54" s="287" t="str">
        <f t="shared" si="3"/>
        <v/>
      </c>
      <c r="K54" s="287" t="str">
        <f t="shared" si="4"/>
        <v/>
      </c>
      <c r="L54" s="287" t="str">
        <f t="shared" si="5"/>
        <v/>
      </c>
      <c r="M54" s="290" t="str">
        <f t="shared" si="6"/>
        <v/>
      </c>
      <c r="N54" t="str">
        <f>IF($A54="","",IFERROR(INDEX(Prices[Category],MATCH($A54,Prices[Key],0)),"Uncategorized"))</f>
        <v/>
      </c>
      <c r="O54" s="291" t="str">
        <f t="shared" si="7"/>
        <v/>
      </c>
      <c r="P54" s="291" t="str">
        <f t="shared" si="8"/>
        <v/>
      </c>
    </row>
    <row r="55" spans="1:16" ht="15" customHeight="1" x14ac:dyDescent="0.2">
      <c r="A55" s="243" t="str">
        <f>IFERROR(INDEX('All Ticker P&amp;L'!$A$2:$A$1001,MATCH(ROWS($A$2:A55),'All Ticker P&amp;L'!$N$2:$N$1001,0)),"")</f>
        <v/>
      </c>
      <c r="B55" s="243" t="str">
        <f t="shared" si="0"/>
        <v/>
      </c>
      <c r="C55" s="243" t="str">
        <f t="shared" si="1"/>
        <v/>
      </c>
      <c r="D55" s="243" t="str">
        <f t="shared" si="2"/>
        <v/>
      </c>
      <c r="E55" s="265" t="str">
        <f>IF($A55="","",SUMIFS(Txn[Signed Units],Txn[Key],$A55))</f>
        <v/>
      </c>
      <c r="F55" s="287" t="str">
        <f>IF($A55="","",SUMIFS(Txn[Buy Cost],Txn[Key],$A55))</f>
        <v/>
      </c>
      <c r="G55" s="287" t="str">
        <f>IF($A55="","",SUMIFS(Txn[Sell Proceeds],Txn[Key],$A55))</f>
        <v/>
      </c>
      <c r="H55" s="288" t="str">
        <f>IF($A55="","",IFERROR(INDEX(Prices[Current Price],MATCH($A55,Prices[Key],0)),0))</f>
        <v/>
      </c>
      <c r="I55" s="289" t="str">
        <f>IF($A55="","",IFERROR(INDEX(Prices[FX to SGD],MATCH($A55,Prices[Key],0)),1))</f>
        <v/>
      </c>
      <c r="J55" s="287" t="str">
        <f t="shared" si="3"/>
        <v/>
      </c>
      <c r="K55" s="287" t="str">
        <f t="shared" si="4"/>
        <v/>
      </c>
      <c r="L55" s="287" t="str">
        <f t="shared" si="5"/>
        <v/>
      </c>
      <c r="M55" s="290" t="str">
        <f t="shared" si="6"/>
        <v/>
      </c>
      <c r="N55" t="str">
        <f>IF($A55="","",IFERROR(INDEX(Prices[Category],MATCH($A55,Prices[Key],0)),"Uncategorized"))</f>
        <v/>
      </c>
      <c r="O55" s="291" t="str">
        <f t="shared" si="7"/>
        <v/>
      </c>
      <c r="P55" s="291" t="str">
        <f t="shared" si="8"/>
        <v/>
      </c>
    </row>
    <row r="56" spans="1:16" ht="15" customHeight="1" x14ac:dyDescent="0.2">
      <c r="A56" s="243" t="str">
        <f>IFERROR(INDEX('All Ticker P&amp;L'!$A$2:$A$1001,MATCH(ROWS($A$2:A56),'All Ticker P&amp;L'!$N$2:$N$1001,0)),"")</f>
        <v/>
      </c>
      <c r="B56" s="243" t="str">
        <f t="shared" si="0"/>
        <v/>
      </c>
      <c r="C56" s="243" t="str">
        <f t="shared" si="1"/>
        <v/>
      </c>
      <c r="D56" s="243" t="str">
        <f t="shared" si="2"/>
        <v/>
      </c>
      <c r="E56" s="265" t="str">
        <f>IF($A56="","",SUMIFS(Txn[Signed Units],Txn[Key],$A56))</f>
        <v/>
      </c>
      <c r="F56" s="287" t="str">
        <f>IF($A56="","",SUMIFS(Txn[Buy Cost],Txn[Key],$A56))</f>
        <v/>
      </c>
      <c r="G56" s="287" t="str">
        <f>IF($A56="","",SUMIFS(Txn[Sell Proceeds],Txn[Key],$A56))</f>
        <v/>
      </c>
      <c r="H56" s="288" t="str">
        <f>IF($A56="","",IFERROR(INDEX(Prices[Current Price],MATCH($A56,Prices[Key],0)),0))</f>
        <v/>
      </c>
      <c r="I56" s="289" t="str">
        <f>IF($A56="","",IFERROR(INDEX(Prices[FX to SGD],MATCH($A56,Prices[Key],0)),1))</f>
        <v/>
      </c>
      <c r="J56" s="287" t="str">
        <f t="shared" si="3"/>
        <v/>
      </c>
      <c r="K56" s="287" t="str">
        <f t="shared" si="4"/>
        <v/>
      </c>
      <c r="L56" s="287" t="str">
        <f t="shared" si="5"/>
        <v/>
      </c>
      <c r="M56" s="290" t="str">
        <f t="shared" si="6"/>
        <v/>
      </c>
      <c r="N56" t="str">
        <f>IF($A56="","",IFERROR(INDEX(Prices[Category],MATCH($A56,Prices[Key],0)),"Uncategorized"))</f>
        <v/>
      </c>
      <c r="O56" s="291" t="str">
        <f t="shared" si="7"/>
        <v/>
      </c>
      <c r="P56" s="291" t="str">
        <f t="shared" si="8"/>
        <v/>
      </c>
    </row>
    <row r="57" spans="1:16" ht="15" customHeight="1" x14ac:dyDescent="0.2">
      <c r="A57" s="243" t="str">
        <f>IFERROR(INDEX('All Ticker P&amp;L'!$A$2:$A$1001,MATCH(ROWS($A$2:A57),'All Ticker P&amp;L'!$N$2:$N$1001,0)),"")</f>
        <v/>
      </c>
      <c r="B57" s="243" t="str">
        <f t="shared" si="0"/>
        <v/>
      </c>
      <c r="C57" s="243" t="str">
        <f t="shared" si="1"/>
        <v/>
      </c>
      <c r="D57" s="243" t="str">
        <f t="shared" si="2"/>
        <v/>
      </c>
      <c r="E57" s="265" t="str">
        <f>IF($A57="","",SUMIFS(Txn[Signed Units],Txn[Key],$A57))</f>
        <v/>
      </c>
      <c r="F57" s="287" t="str">
        <f>IF($A57="","",SUMIFS(Txn[Buy Cost],Txn[Key],$A57))</f>
        <v/>
      </c>
      <c r="G57" s="287" t="str">
        <f>IF($A57="","",SUMIFS(Txn[Sell Proceeds],Txn[Key],$A57))</f>
        <v/>
      </c>
      <c r="H57" s="288" t="str">
        <f>IF($A57="","",IFERROR(INDEX(Prices[Current Price],MATCH($A57,Prices[Key],0)),0))</f>
        <v/>
      </c>
      <c r="I57" s="289" t="str">
        <f>IF($A57="","",IFERROR(INDEX(Prices[FX to SGD],MATCH($A57,Prices[Key],0)),1))</f>
        <v/>
      </c>
      <c r="J57" s="287" t="str">
        <f t="shared" si="3"/>
        <v/>
      </c>
      <c r="K57" s="287" t="str">
        <f t="shared" si="4"/>
        <v/>
      </c>
      <c r="L57" s="287" t="str">
        <f t="shared" si="5"/>
        <v/>
      </c>
      <c r="M57" s="290" t="str">
        <f t="shared" si="6"/>
        <v/>
      </c>
      <c r="N57" t="str">
        <f>IF($A57="","",IFERROR(INDEX(Prices[Category],MATCH($A57,Prices[Key],0)),"Uncategorized"))</f>
        <v/>
      </c>
      <c r="O57" s="291" t="str">
        <f t="shared" si="7"/>
        <v/>
      </c>
      <c r="P57" s="291" t="str">
        <f t="shared" si="8"/>
        <v/>
      </c>
    </row>
    <row r="58" spans="1:16" ht="15" customHeight="1" x14ac:dyDescent="0.2">
      <c r="A58" s="243" t="str">
        <f>IFERROR(INDEX('All Ticker P&amp;L'!$A$2:$A$1001,MATCH(ROWS($A$2:A58),'All Ticker P&amp;L'!$N$2:$N$1001,0)),"")</f>
        <v/>
      </c>
      <c r="B58" s="243" t="str">
        <f t="shared" si="0"/>
        <v/>
      </c>
      <c r="C58" s="243" t="str">
        <f t="shared" si="1"/>
        <v/>
      </c>
      <c r="D58" s="243" t="str">
        <f t="shared" si="2"/>
        <v/>
      </c>
      <c r="E58" s="265" t="str">
        <f>IF($A58="","",SUMIFS(Txn[Signed Units],Txn[Key],$A58))</f>
        <v/>
      </c>
      <c r="F58" s="287" t="str">
        <f>IF($A58="","",SUMIFS(Txn[Buy Cost],Txn[Key],$A58))</f>
        <v/>
      </c>
      <c r="G58" s="287" t="str">
        <f>IF($A58="","",SUMIFS(Txn[Sell Proceeds],Txn[Key],$A58))</f>
        <v/>
      </c>
      <c r="H58" s="288" t="str">
        <f>IF($A58="","",IFERROR(INDEX(Prices[Current Price],MATCH($A58,Prices[Key],0)),0))</f>
        <v/>
      </c>
      <c r="I58" s="289" t="str">
        <f>IF($A58="","",IFERROR(INDEX(Prices[FX to SGD],MATCH($A58,Prices[Key],0)),1))</f>
        <v/>
      </c>
      <c r="J58" s="287" t="str">
        <f t="shared" si="3"/>
        <v/>
      </c>
      <c r="K58" s="287" t="str">
        <f t="shared" si="4"/>
        <v/>
      </c>
      <c r="L58" s="287" t="str">
        <f t="shared" si="5"/>
        <v/>
      </c>
      <c r="M58" s="290" t="str">
        <f t="shared" si="6"/>
        <v/>
      </c>
      <c r="N58" t="str">
        <f>IF($A58="","",IFERROR(INDEX(Prices[Category],MATCH($A58,Prices[Key],0)),"Uncategorized"))</f>
        <v/>
      </c>
      <c r="O58" s="291" t="str">
        <f t="shared" si="7"/>
        <v/>
      </c>
      <c r="P58" s="291" t="str">
        <f t="shared" si="8"/>
        <v/>
      </c>
    </row>
    <row r="59" spans="1:16" ht="15" customHeight="1" x14ac:dyDescent="0.2">
      <c r="A59" s="243" t="str">
        <f>IFERROR(INDEX('All Ticker P&amp;L'!$A$2:$A$1001,MATCH(ROWS($A$2:A59),'All Ticker P&amp;L'!$N$2:$N$1001,0)),"")</f>
        <v/>
      </c>
      <c r="B59" s="243" t="str">
        <f t="shared" si="0"/>
        <v/>
      </c>
      <c r="C59" s="243" t="str">
        <f t="shared" si="1"/>
        <v/>
      </c>
      <c r="D59" s="243" t="str">
        <f t="shared" si="2"/>
        <v/>
      </c>
      <c r="E59" s="265" t="str">
        <f>IF($A59="","",SUMIFS(Txn[Signed Units],Txn[Key],$A59))</f>
        <v/>
      </c>
      <c r="F59" s="287" t="str">
        <f>IF($A59="","",SUMIFS(Txn[Buy Cost],Txn[Key],$A59))</f>
        <v/>
      </c>
      <c r="G59" s="287" t="str">
        <f>IF($A59="","",SUMIFS(Txn[Sell Proceeds],Txn[Key],$A59))</f>
        <v/>
      </c>
      <c r="H59" s="288" t="str">
        <f>IF($A59="","",IFERROR(INDEX(Prices[Current Price],MATCH($A59,Prices[Key],0)),0))</f>
        <v/>
      </c>
      <c r="I59" s="289" t="str">
        <f>IF($A59="","",IFERROR(INDEX(Prices[FX to SGD],MATCH($A59,Prices[Key],0)),1))</f>
        <v/>
      </c>
      <c r="J59" s="287" t="str">
        <f t="shared" si="3"/>
        <v/>
      </c>
      <c r="K59" s="287" t="str">
        <f t="shared" si="4"/>
        <v/>
      </c>
      <c r="L59" s="287" t="str">
        <f t="shared" si="5"/>
        <v/>
      </c>
      <c r="M59" s="290" t="str">
        <f t="shared" si="6"/>
        <v/>
      </c>
      <c r="N59" t="str">
        <f>IF($A59="","",IFERROR(INDEX(Prices[Category],MATCH($A59,Prices[Key],0)),"Uncategorized"))</f>
        <v/>
      </c>
      <c r="O59" s="291" t="str">
        <f t="shared" si="7"/>
        <v/>
      </c>
      <c r="P59" s="291" t="str">
        <f t="shared" si="8"/>
        <v/>
      </c>
    </row>
    <row r="60" spans="1:16" ht="15" customHeight="1" x14ac:dyDescent="0.2">
      <c r="A60" s="243" t="str">
        <f>IFERROR(INDEX('All Ticker P&amp;L'!$A$2:$A$1001,MATCH(ROWS($A$2:A60),'All Ticker P&amp;L'!$N$2:$N$1001,0)),"")</f>
        <v/>
      </c>
      <c r="B60" s="243" t="str">
        <f t="shared" si="0"/>
        <v/>
      </c>
      <c r="C60" s="243" t="str">
        <f t="shared" si="1"/>
        <v/>
      </c>
      <c r="D60" s="243" t="str">
        <f t="shared" si="2"/>
        <v/>
      </c>
      <c r="E60" s="265" t="str">
        <f>IF($A60="","",SUMIFS(Txn[Signed Units],Txn[Key],$A60))</f>
        <v/>
      </c>
      <c r="F60" s="287" t="str">
        <f>IF($A60="","",SUMIFS(Txn[Buy Cost],Txn[Key],$A60))</f>
        <v/>
      </c>
      <c r="G60" s="287" t="str">
        <f>IF($A60="","",SUMIFS(Txn[Sell Proceeds],Txn[Key],$A60))</f>
        <v/>
      </c>
      <c r="H60" s="288" t="str">
        <f>IF($A60="","",IFERROR(INDEX(Prices[Current Price],MATCH($A60,Prices[Key],0)),0))</f>
        <v/>
      </c>
      <c r="I60" s="289" t="str">
        <f>IF($A60="","",IFERROR(INDEX(Prices[FX to SGD],MATCH($A60,Prices[Key],0)),1))</f>
        <v/>
      </c>
      <c r="J60" s="287" t="str">
        <f t="shared" si="3"/>
        <v/>
      </c>
      <c r="K60" s="287" t="str">
        <f t="shared" si="4"/>
        <v/>
      </c>
      <c r="L60" s="287" t="str">
        <f t="shared" si="5"/>
        <v/>
      </c>
      <c r="M60" s="290" t="str">
        <f t="shared" si="6"/>
        <v/>
      </c>
      <c r="N60" t="str">
        <f>IF($A60="","",IFERROR(INDEX(Prices[Category],MATCH($A60,Prices[Key],0)),"Uncategorized"))</f>
        <v/>
      </c>
      <c r="O60" s="291" t="str">
        <f t="shared" si="7"/>
        <v/>
      </c>
      <c r="P60" s="291" t="str">
        <f t="shared" si="8"/>
        <v/>
      </c>
    </row>
    <row r="61" spans="1:16" ht="15" customHeight="1" x14ac:dyDescent="0.2">
      <c r="A61" s="243" t="str">
        <f>IFERROR(INDEX('All Ticker P&amp;L'!$A$2:$A$1001,MATCH(ROWS($A$2:A61),'All Ticker P&amp;L'!$N$2:$N$1001,0)),"")</f>
        <v/>
      </c>
      <c r="B61" s="243" t="str">
        <f t="shared" si="0"/>
        <v/>
      </c>
      <c r="C61" s="243" t="str">
        <f t="shared" si="1"/>
        <v/>
      </c>
      <c r="D61" s="243" t="str">
        <f t="shared" si="2"/>
        <v/>
      </c>
      <c r="E61" s="265" t="str">
        <f>IF($A61="","",SUMIFS(Txn[Signed Units],Txn[Key],$A61))</f>
        <v/>
      </c>
      <c r="F61" s="287" t="str">
        <f>IF($A61="","",SUMIFS(Txn[Buy Cost],Txn[Key],$A61))</f>
        <v/>
      </c>
      <c r="G61" s="287" t="str">
        <f>IF($A61="","",SUMIFS(Txn[Sell Proceeds],Txn[Key],$A61))</f>
        <v/>
      </c>
      <c r="H61" s="288" t="str">
        <f>IF($A61="","",IFERROR(INDEX(Prices[Current Price],MATCH($A61,Prices[Key],0)),0))</f>
        <v/>
      </c>
      <c r="I61" s="289" t="str">
        <f>IF($A61="","",IFERROR(INDEX(Prices[FX to SGD],MATCH($A61,Prices[Key],0)),1))</f>
        <v/>
      </c>
      <c r="J61" s="287" t="str">
        <f t="shared" si="3"/>
        <v/>
      </c>
      <c r="K61" s="287" t="str">
        <f t="shared" si="4"/>
        <v/>
      </c>
      <c r="L61" s="287" t="str">
        <f t="shared" si="5"/>
        <v/>
      </c>
      <c r="M61" s="290" t="str">
        <f t="shared" si="6"/>
        <v/>
      </c>
      <c r="N61" t="str">
        <f>IF($A61="","",IFERROR(INDEX(Prices[Category],MATCH($A61,Prices[Key],0)),"Uncategorized"))</f>
        <v/>
      </c>
      <c r="O61" s="291" t="str">
        <f t="shared" si="7"/>
        <v/>
      </c>
      <c r="P61" s="291" t="str">
        <f t="shared" si="8"/>
        <v/>
      </c>
    </row>
    <row r="62" spans="1:16" ht="15" customHeight="1" x14ac:dyDescent="0.2">
      <c r="A62" s="243" t="str">
        <f>IFERROR(INDEX('All Ticker P&amp;L'!$A$2:$A$1001,MATCH(ROWS($A$2:A62),'All Ticker P&amp;L'!$N$2:$N$1001,0)),"")</f>
        <v/>
      </c>
      <c r="B62" s="243" t="str">
        <f t="shared" si="0"/>
        <v/>
      </c>
      <c r="C62" s="243" t="str">
        <f t="shared" si="1"/>
        <v/>
      </c>
      <c r="D62" s="243" t="str">
        <f t="shared" si="2"/>
        <v/>
      </c>
      <c r="E62" s="265" t="str">
        <f>IF($A62="","",SUMIFS(Txn[Signed Units],Txn[Key],$A62))</f>
        <v/>
      </c>
      <c r="F62" s="287" t="str">
        <f>IF($A62="","",SUMIFS(Txn[Buy Cost],Txn[Key],$A62))</f>
        <v/>
      </c>
      <c r="G62" s="287" t="str">
        <f>IF($A62="","",SUMIFS(Txn[Sell Proceeds],Txn[Key],$A62))</f>
        <v/>
      </c>
      <c r="H62" s="288" t="str">
        <f>IF($A62="","",IFERROR(INDEX(Prices[Current Price],MATCH($A62,Prices[Key],0)),0))</f>
        <v/>
      </c>
      <c r="I62" s="289" t="str">
        <f>IF($A62="","",IFERROR(INDEX(Prices[FX to SGD],MATCH($A62,Prices[Key],0)),1))</f>
        <v/>
      </c>
      <c r="J62" s="287" t="str">
        <f t="shared" si="3"/>
        <v/>
      </c>
      <c r="K62" s="287" t="str">
        <f t="shared" si="4"/>
        <v/>
      </c>
      <c r="L62" s="287" t="str">
        <f t="shared" si="5"/>
        <v/>
      </c>
      <c r="M62" s="290" t="str">
        <f t="shared" si="6"/>
        <v/>
      </c>
      <c r="N62" t="str">
        <f>IF($A62="","",IFERROR(INDEX(Prices[Category],MATCH($A62,Prices[Key],0)),"Uncategorized"))</f>
        <v/>
      </c>
      <c r="O62" s="291" t="str">
        <f t="shared" si="7"/>
        <v/>
      </c>
      <c r="P62" s="291" t="str">
        <f t="shared" si="8"/>
        <v/>
      </c>
    </row>
    <row r="63" spans="1:16" ht="15" customHeight="1" x14ac:dyDescent="0.2">
      <c r="A63" s="243" t="str">
        <f>IFERROR(INDEX('All Ticker P&amp;L'!$A$2:$A$1001,MATCH(ROWS($A$2:A63),'All Ticker P&amp;L'!$N$2:$N$1001,0)),"")</f>
        <v/>
      </c>
      <c r="B63" s="243" t="str">
        <f t="shared" si="0"/>
        <v/>
      </c>
      <c r="C63" s="243" t="str">
        <f t="shared" si="1"/>
        <v/>
      </c>
      <c r="D63" s="243" t="str">
        <f t="shared" si="2"/>
        <v/>
      </c>
      <c r="E63" s="265" t="str">
        <f>IF($A63="","",SUMIFS(Txn[Signed Units],Txn[Key],$A63))</f>
        <v/>
      </c>
      <c r="F63" s="287" t="str">
        <f>IF($A63="","",SUMIFS(Txn[Buy Cost],Txn[Key],$A63))</f>
        <v/>
      </c>
      <c r="G63" s="287" t="str">
        <f>IF($A63="","",SUMIFS(Txn[Sell Proceeds],Txn[Key],$A63))</f>
        <v/>
      </c>
      <c r="H63" s="288" t="str">
        <f>IF($A63="","",IFERROR(INDEX(Prices[Current Price],MATCH($A63,Prices[Key],0)),0))</f>
        <v/>
      </c>
      <c r="I63" s="289" t="str">
        <f>IF($A63="","",IFERROR(INDEX(Prices[FX to SGD],MATCH($A63,Prices[Key],0)),1))</f>
        <v/>
      </c>
      <c r="J63" s="287" t="str">
        <f t="shared" si="3"/>
        <v/>
      </c>
      <c r="K63" s="287" t="str">
        <f t="shared" si="4"/>
        <v/>
      </c>
      <c r="L63" s="287" t="str">
        <f t="shared" si="5"/>
        <v/>
      </c>
      <c r="M63" s="290" t="str">
        <f t="shared" si="6"/>
        <v/>
      </c>
      <c r="N63" t="str">
        <f>IF($A63="","",IFERROR(INDEX(Prices[Category],MATCH($A63,Prices[Key],0)),"Uncategorized"))</f>
        <v/>
      </c>
      <c r="O63" s="291" t="str">
        <f t="shared" si="7"/>
        <v/>
      </c>
      <c r="P63" s="291" t="str">
        <f t="shared" si="8"/>
        <v/>
      </c>
    </row>
    <row r="64" spans="1:16" ht="15" customHeight="1" x14ac:dyDescent="0.2">
      <c r="A64" s="243" t="str">
        <f>IFERROR(INDEX('All Ticker P&amp;L'!$A$2:$A$1001,MATCH(ROWS($A$2:A64),'All Ticker P&amp;L'!$N$2:$N$1001,0)),"")</f>
        <v/>
      </c>
      <c r="B64" s="243" t="str">
        <f t="shared" si="0"/>
        <v/>
      </c>
      <c r="C64" s="243" t="str">
        <f t="shared" si="1"/>
        <v/>
      </c>
      <c r="D64" s="243" t="str">
        <f t="shared" si="2"/>
        <v/>
      </c>
      <c r="E64" s="265" t="str">
        <f>IF($A64="","",SUMIFS(Txn[Signed Units],Txn[Key],$A64))</f>
        <v/>
      </c>
      <c r="F64" s="287" t="str">
        <f>IF($A64="","",SUMIFS(Txn[Buy Cost],Txn[Key],$A64))</f>
        <v/>
      </c>
      <c r="G64" s="287" t="str">
        <f>IF($A64="","",SUMIFS(Txn[Sell Proceeds],Txn[Key],$A64))</f>
        <v/>
      </c>
      <c r="H64" s="288" t="str">
        <f>IF($A64="","",IFERROR(INDEX(Prices[Current Price],MATCH($A64,Prices[Key],0)),0))</f>
        <v/>
      </c>
      <c r="I64" s="289" t="str">
        <f>IF($A64="","",IFERROR(INDEX(Prices[FX to SGD],MATCH($A64,Prices[Key],0)),1))</f>
        <v/>
      </c>
      <c r="J64" s="287" t="str">
        <f t="shared" si="3"/>
        <v/>
      </c>
      <c r="K64" s="287" t="str">
        <f t="shared" si="4"/>
        <v/>
      </c>
      <c r="L64" s="287" t="str">
        <f t="shared" si="5"/>
        <v/>
      </c>
      <c r="M64" s="290" t="str">
        <f t="shared" si="6"/>
        <v/>
      </c>
      <c r="N64" t="str">
        <f>IF($A64="","",IFERROR(INDEX(Prices[Category],MATCH($A64,Prices[Key],0)),"Uncategorized"))</f>
        <v/>
      </c>
      <c r="O64" s="291" t="str">
        <f t="shared" si="7"/>
        <v/>
      </c>
      <c r="P64" s="291" t="str">
        <f t="shared" si="8"/>
        <v/>
      </c>
    </row>
    <row r="65" spans="1:16" ht="15" customHeight="1" x14ac:dyDescent="0.2">
      <c r="A65" s="243" t="str">
        <f>IFERROR(INDEX('All Ticker P&amp;L'!$A$2:$A$1001,MATCH(ROWS($A$2:A65),'All Ticker P&amp;L'!$N$2:$N$1001,0)),"")</f>
        <v/>
      </c>
      <c r="B65" s="243" t="str">
        <f t="shared" si="0"/>
        <v/>
      </c>
      <c r="C65" s="243" t="str">
        <f t="shared" si="1"/>
        <v/>
      </c>
      <c r="D65" s="243" t="str">
        <f t="shared" si="2"/>
        <v/>
      </c>
      <c r="E65" s="265" t="str">
        <f>IF($A65="","",SUMIFS(Txn[Signed Units],Txn[Key],$A65))</f>
        <v/>
      </c>
      <c r="F65" s="287" t="str">
        <f>IF($A65="","",SUMIFS(Txn[Buy Cost],Txn[Key],$A65))</f>
        <v/>
      </c>
      <c r="G65" s="287" t="str">
        <f>IF($A65="","",SUMIFS(Txn[Sell Proceeds],Txn[Key],$A65))</f>
        <v/>
      </c>
      <c r="H65" s="288" t="str">
        <f>IF($A65="","",IFERROR(INDEX(Prices[Current Price],MATCH($A65,Prices[Key],0)),0))</f>
        <v/>
      </c>
      <c r="I65" s="289" t="str">
        <f>IF($A65="","",IFERROR(INDEX(Prices[FX to SGD],MATCH($A65,Prices[Key],0)),1))</f>
        <v/>
      </c>
      <c r="J65" s="287" t="str">
        <f t="shared" si="3"/>
        <v/>
      </c>
      <c r="K65" s="287" t="str">
        <f t="shared" si="4"/>
        <v/>
      </c>
      <c r="L65" s="287" t="str">
        <f t="shared" si="5"/>
        <v/>
      </c>
      <c r="M65" s="290" t="str">
        <f t="shared" si="6"/>
        <v/>
      </c>
      <c r="N65" t="str">
        <f>IF($A65="","",IFERROR(INDEX(Prices[Category],MATCH($A65,Prices[Key],0)),"Uncategorized"))</f>
        <v/>
      </c>
      <c r="O65" s="291" t="str">
        <f t="shared" si="7"/>
        <v/>
      </c>
      <c r="P65" s="291" t="str">
        <f t="shared" si="8"/>
        <v/>
      </c>
    </row>
    <row r="66" spans="1:16" ht="15" customHeight="1" x14ac:dyDescent="0.2">
      <c r="A66" s="243" t="str">
        <f>IFERROR(INDEX('All Ticker P&amp;L'!$A$2:$A$1001,MATCH(ROWS($A$2:A66),'All Ticker P&amp;L'!$N$2:$N$1001,0)),"")</f>
        <v/>
      </c>
      <c r="B66" s="243" t="str">
        <f t="shared" ref="B66:B129" si="14">IF($A66="","",LEFT($A66,FIND(":",$A66)-1))</f>
        <v/>
      </c>
      <c r="C66" s="243" t="str">
        <f t="shared" ref="C66:C129" si="15">IF($A66="","",MID($A66,FIND(":",$A66)+1,FIND(":",$A66,FIND(":",$A66)+1)-FIND(":",$A66)-1))</f>
        <v/>
      </c>
      <c r="D66" s="243" t="str">
        <f t="shared" ref="D66:D129" si="16">IF($A66="","",RIGHT($A66,LEN($A66)-FIND(":",$A66,FIND(":",$A66)+1)))</f>
        <v/>
      </c>
      <c r="E66" s="265" t="str">
        <f>IF($A66="","",SUMIFS(Txn[Signed Units],Txn[Key],$A66))</f>
        <v/>
      </c>
      <c r="F66" s="287" t="str">
        <f>IF($A66="","",SUMIFS(Txn[Buy Cost],Txn[Key],$A66))</f>
        <v/>
      </c>
      <c r="G66" s="287" t="str">
        <f>IF($A66="","",SUMIFS(Txn[Sell Proceeds],Txn[Key],$A66))</f>
        <v/>
      </c>
      <c r="H66" s="288" t="str">
        <f>IF($A66="","",IFERROR(INDEX(Prices[Current Price],MATCH($A66,Prices[Key],0)),0))</f>
        <v/>
      </c>
      <c r="I66" s="289" t="str">
        <f>IF($A66="","",IFERROR(INDEX(Prices[FX to SGD],MATCH($A66,Prices[Key],0)),1))</f>
        <v/>
      </c>
      <c r="J66" s="287" t="str">
        <f t="shared" ref="J66:J129" si="17">IF($A66="","",E66*H66)</f>
        <v/>
      </c>
      <c r="K66" s="287" t="str">
        <f t="shared" ref="K66:K129" si="18">IF($A66="","",J66+G66-F66)</f>
        <v/>
      </c>
      <c r="L66" s="287" t="str">
        <f t="shared" ref="L66:L129" si="19">IF($A66="","",K66*I66)</f>
        <v/>
      </c>
      <c r="M66" s="290" t="str">
        <f t="shared" ref="M66:M129" si="20">IF($A66="","",IFERROR(K66/F66,0))</f>
        <v/>
      </c>
      <c r="N66" t="str">
        <f>IF($A66="","",IFERROR(INDEX(Prices[Category],MATCH($A66,Prices[Key],0)),"Uncategorized"))</f>
        <v/>
      </c>
      <c r="O66" s="291" t="str">
        <f t="shared" ref="O66:O129" si="21">IF($A66="","",$J66*$I66)</f>
        <v/>
      </c>
      <c r="P66" s="291" t="str">
        <f t="shared" ref="P66:P129" si="22">IF($A66="","",$L66)</f>
        <v/>
      </c>
    </row>
    <row r="67" spans="1:16" ht="15" customHeight="1" x14ac:dyDescent="0.2">
      <c r="A67" s="243" t="str">
        <f>IFERROR(INDEX('All Ticker P&amp;L'!$A$2:$A$1001,MATCH(ROWS($A$2:A67),'All Ticker P&amp;L'!$N$2:$N$1001,0)),"")</f>
        <v/>
      </c>
      <c r="B67" s="243" t="str">
        <f t="shared" si="14"/>
        <v/>
      </c>
      <c r="C67" s="243" t="str">
        <f t="shared" si="15"/>
        <v/>
      </c>
      <c r="D67" s="243" t="str">
        <f t="shared" si="16"/>
        <v/>
      </c>
      <c r="E67" s="265" t="str">
        <f>IF($A67="","",SUMIFS(Txn[Signed Units],Txn[Key],$A67))</f>
        <v/>
      </c>
      <c r="F67" s="287" t="str">
        <f>IF($A67="","",SUMIFS(Txn[Buy Cost],Txn[Key],$A67))</f>
        <v/>
      </c>
      <c r="G67" s="287" t="str">
        <f>IF($A67="","",SUMIFS(Txn[Sell Proceeds],Txn[Key],$A67))</f>
        <v/>
      </c>
      <c r="H67" s="288" t="str">
        <f>IF($A67="","",IFERROR(INDEX(Prices[Current Price],MATCH($A67,Prices[Key],0)),0))</f>
        <v/>
      </c>
      <c r="I67" s="289" t="str">
        <f>IF($A67="","",IFERROR(INDEX(Prices[FX to SGD],MATCH($A67,Prices[Key],0)),1))</f>
        <v/>
      </c>
      <c r="J67" s="287" t="str">
        <f t="shared" si="17"/>
        <v/>
      </c>
      <c r="K67" s="287" t="str">
        <f t="shared" si="18"/>
        <v/>
      </c>
      <c r="L67" s="287" t="str">
        <f t="shared" si="19"/>
        <v/>
      </c>
      <c r="M67" s="290" t="str">
        <f t="shared" si="20"/>
        <v/>
      </c>
      <c r="N67" t="str">
        <f>IF($A67="","",IFERROR(INDEX(Prices[Category],MATCH($A67,Prices[Key],0)),"Uncategorized"))</f>
        <v/>
      </c>
      <c r="O67" s="291" t="str">
        <f t="shared" si="21"/>
        <v/>
      </c>
      <c r="P67" s="291" t="str">
        <f t="shared" si="22"/>
        <v/>
      </c>
    </row>
    <row r="68" spans="1:16" ht="15" customHeight="1" x14ac:dyDescent="0.2">
      <c r="A68" s="243" t="str">
        <f>IFERROR(INDEX('All Ticker P&amp;L'!$A$2:$A$1001,MATCH(ROWS($A$2:A68),'All Ticker P&amp;L'!$N$2:$N$1001,0)),"")</f>
        <v/>
      </c>
      <c r="B68" s="243" t="str">
        <f t="shared" si="14"/>
        <v/>
      </c>
      <c r="C68" s="243" t="str">
        <f t="shared" si="15"/>
        <v/>
      </c>
      <c r="D68" s="243" t="str">
        <f t="shared" si="16"/>
        <v/>
      </c>
      <c r="E68" s="265" t="str">
        <f>IF($A68="","",SUMIFS(Txn[Signed Units],Txn[Key],$A68))</f>
        <v/>
      </c>
      <c r="F68" s="287" t="str">
        <f>IF($A68="","",SUMIFS(Txn[Buy Cost],Txn[Key],$A68))</f>
        <v/>
      </c>
      <c r="G68" s="287" t="str">
        <f>IF($A68="","",SUMIFS(Txn[Sell Proceeds],Txn[Key],$A68))</f>
        <v/>
      </c>
      <c r="H68" s="288" t="str">
        <f>IF($A68="","",IFERROR(INDEX(Prices[Current Price],MATCH($A68,Prices[Key],0)),0))</f>
        <v/>
      </c>
      <c r="I68" s="289" t="str">
        <f>IF($A68="","",IFERROR(INDEX(Prices[FX to SGD],MATCH($A68,Prices[Key],0)),1))</f>
        <v/>
      </c>
      <c r="J68" s="287" t="str">
        <f t="shared" si="17"/>
        <v/>
      </c>
      <c r="K68" s="287" t="str">
        <f t="shared" si="18"/>
        <v/>
      </c>
      <c r="L68" s="287" t="str">
        <f t="shared" si="19"/>
        <v/>
      </c>
      <c r="M68" s="290" t="str">
        <f t="shared" si="20"/>
        <v/>
      </c>
      <c r="N68" t="str">
        <f>IF($A68="","",IFERROR(INDEX(Prices[Category],MATCH($A68,Prices[Key],0)),"Uncategorized"))</f>
        <v/>
      </c>
      <c r="O68" s="291" t="str">
        <f t="shared" si="21"/>
        <v/>
      </c>
      <c r="P68" s="291" t="str">
        <f t="shared" si="22"/>
        <v/>
      </c>
    </row>
    <row r="69" spans="1:16" ht="15" customHeight="1" x14ac:dyDescent="0.2">
      <c r="A69" s="243" t="str">
        <f>IFERROR(INDEX('All Ticker P&amp;L'!$A$2:$A$1001,MATCH(ROWS($A$2:A69),'All Ticker P&amp;L'!$N$2:$N$1001,0)),"")</f>
        <v/>
      </c>
      <c r="B69" s="243" t="str">
        <f t="shared" si="14"/>
        <v/>
      </c>
      <c r="C69" s="243" t="str">
        <f t="shared" si="15"/>
        <v/>
      </c>
      <c r="D69" s="243" t="str">
        <f t="shared" si="16"/>
        <v/>
      </c>
      <c r="E69" s="265" t="str">
        <f>IF($A69="","",SUMIFS(Txn[Signed Units],Txn[Key],$A69))</f>
        <v/>
      </c>
      <c r="F69" s="287" t="str">
        <f>IF($A69="","",SUMIFS(Txn[Buy Cost],Txn[Key],$A69))</f>
        <v/>
      </c>
      <c r="G69" s="287" t="str">
        <f>IF($A69="","",SUMIFS(Txn[Sell Proceeds],Txn[Key],$A69))</f>
        <v/>
      </c>
      <c r="H69" s="288" t="str">
        <f>IF($A69="","",IFERROR(INDEX(Prices[Current Price],MATCH($A69,Prices[Key],0)),0))</f>
        <v/>
      </c>
      <c r="I69" s="289" t="str">
        <f>IF($A69="","",IFERROR(INDEX(Prices[FX to SGD],MATCH($A69,Prices[Key],0)),1))</f>
        <v/>
      </c>
      <c r="J69" s="287" t="str">
        <f t="shared" si="17"/>
        <v/>
      </c>
      <c r="K69" s="287" t="str">
        <f t="shared" si="18"/>
        <v/>
      </c>
      <c r="L69" s="287" t="str">
        <f t="shared" si="19"/>
        <v/>
      </c>
      <c r="M69" s="290" t="str">
        <f t="shared" si="20"/>
        <v/>
      </c>
      <c r="N69" t="str">
        <f>IF($A69="","",IFERROR(INDEX(Prices[Category],MATCH($A69,Prices[Key],0)),"Uncategorized"))</f>
        <v/>
      </c>
      <c r="O69" s="291" t="str">
        <f t="shared" si="21"/>
        <v/>
      </c>
      <c r="P69" s="291" t="str">
        <f t="shared" si="22"/>
        <v/>
      </c>
    </row>
    <row r="70" spans="1:16" ht="15" customHeight="1" x14ac:dyDescent="0.2">
      <c r="A70" s="243" t="str">
        <f>IFERROR(INDEX('All Ticker P&amp;L'!$A$2:$A$1001,MATCH(ROWS($A$2:A70),'All Ticker P&amp;L'!$N$2:$N$1001,0)),"")</f>
        <v/>
      </c>
      <c r="B70" s="243" t="str">
        <f t="shared" si="14"/>
        <v/>
      </c>
      <c r="C70" s="243" t="str">
        <f t="shared" si="15"/>
        <v/>
      </c>
      <c r="D70" s="243" t="str">
        <f t="shared" si="16"/>
        <v/>
      </c>
      <c r="E70" s="265" t="str">
        <f>IF($A70="","",SUMIFS(Txn[Signed Units],Txn[Key],$A70))</f>
        <v/>
      </c>
      <c r="F70" s="287" t="str">
        <f>IF($A70="","",SUMIFS(Txn[Buy Cost],Txn[Key],$A70))</f>
        <v/>
      </c>
      <c r="G70" s="287" t="str">
        <f>IF($A70="","",SUMIFS(Txn[Sell Proceeds],Txn[Key],$A70))</f>
        <v/>
      </c>
      <c r="H70" s="288" t="str">
        <f>IF($A70="","",IFERROR(INDEX(Prices[Current Price],MATCH($A70,Prices[Key],0)),0))</f>
        <v/>
      </c>
      <c r="I70" s="289" t="str">
        <f>IF($A70="","",IFERROR(INDEX(Prices[FX to SGD],MATCH($A70,Prices[Key],0)),1))</f>
        <v/>
      </c>
      <c r="J70" s="287" t="str">
        <f t="shared" si="17"/>
        <v/>
      </c>
      <c r="K70" s="287" t="str">
        <f t="shared" si="18"/>
        <v/>
      </c>
      <c r="L70" s="287" t="str">
        <f t="shared" si="19"/>
        <v/>
      </c>
      <c r="M70" s="290" t="str">
        <f t="shared" si="20"/>
        <v/>
      </c>
      <c r="N70" t="str">
        <f>IF($A70="","",IFERROR(INDEX(Prices[Category],MATCH($A70,Prices[Key],0)),"Uncategorized"))</f>
        <v/>
      </c>
      <c r="O70" s="291" t="str">
        <f t="shared" si="21"/>
        <v/>
      </c>
      <c r="P70" s="291" t="str">
        <f t="shared" si="22"/>
        <v/>
      </c>
    </row>
    <row r="71" spans="1:16" ht="15" customHeight="1" x14ac:dyDescent="0.2">
      <c r="A71" s="243" t="str">
        <f>IFERROR(INDEX('All Ticker P&amp;L'!$A$2:$A$1001,MATCH(ROWS($A$2:A71),'All Ticker P&amp;L'!$N$2:$N$1001,0)),"")</f>
        <v/>
      </c>
      <c r="B71" s="243" t="str">
        <f t="shared" si="14"/>
        <v/>
      </c>
      <c r="C71" s="243" t="str">
        <f t="shared" si="15"/>
        <v/>
      </c>
      <c r="D71" s="243" t="str">
        <f t="shared" si="16"/>
        <v/>
      </c>
      <c r="E71" s="265" t="str">
        <f>IF($A71="","",SUMIFS(Txn[Signed Units],Txn[Key],$A71))</f>
        <v/>
      </c>
      <c r="F71" s="287" t="str">
        <f>IF($A71="","",SUMIFS(Txn[Buy Cost],Txn[Key],$A71))</f>
        <v/>
      </c>
      <c r="G71" s="287" t="str">
        <f>IF($A71="","",SUMIFS(Txn[Sell Proceeds],Txn[Key],$A71))</f>
        <v/>
      </c>
      <c r="H71" s="288" t="str">
        <f>IF($A71="","",IFERROR(INDEX(Prices[Current Price],MATCH($A71,Prices[Key],0)),0))</f>
        <v/>
      </c>
      <c r="I71" s="289" t="str">
        <f>IF($A71="","",IFERROR(INDEX(Prices[FX to SGD],MATCH($A71,Prices[Key],0)),1))</f>
        <v/>
      </c>
      <c r="J71" s="287" t="str">
        <f t="shared" si="17"/>
        <v/>
      </c>
      <c r="K71" s="287" t="str">
        <f t="shared" si="18"/>
        <v/>
      </c>
      <c r="L71" s="287" t="str">
        <f t="shared" si="19"/>
        <v/>
      </c>
      <c r="M71" s="290" t="str">
        <f t="shared" si="20"/>
        <v/>
      </c>
      <c r="N71" t="str">
        <f>IF($A71="","",IFERROR(INDEX(Prices[Category],MATCH($A71,Prices[Key],0)),"Uncategorized"))</f>
        <v/>
      </c>
      <c r="O71" s="291" t="str">
        <f t="shared" si="21"/>
        <v/>
      </c>
      <c r="P71" s="291" t="str">
        <f t="shared" si="22"/>
        <v/>
      </c>
    </row>
    <row r="72" spans="1:16" ht="15" customHeight="1" x14ac:dyDescent="0.2">
      <c r="A72" s="243" t="str">
        <f>IFERROR(INDEX('All Ticker P&amp;L'!$A$2:$A$1001,MATCH(ROWS($A$2:A72),'All Ticker P&amp;L'!$N$2:$N$1001,0)),"")</f>
        <v/>
      </c>
      <c r="B72" s="243" t="str">
        <f t="shared" si="14"/>
        <v/>
      </c>
      <c r="C72" s="243" t="str">
        <f t="shared" si="15"/>
        <v/>
      </c>
      <c r="D72" s="243" t="str">
        <f t="shared" si="16"/>
        <v/>
      </c>
      <c r="E72" s="265" t="str">
        <f>IF($A72="","",SUMIFS(Txn[Signed Units],Txn[Key],$A72))</f>
        <v/>
      </c>
      <c r="F72" s="287" t="str">
        <f>IF($A72="","",SUMIFS(Txn[Buy Cost],Txn[Key],$A72))</f>
        <v/>
      </c>
      <c r="G72" s="287" t="str">
        <f>IF($A72="","",SUMIFS(Txn[Sell Proceeds],Txn[Key],$A72))</f>
        <v/>
      </c>
      <c r="H72" s="288" t="str">
        <f>IF($A72="","",IFERROR(INDEX(Prices[Current Price],MATCH($A72,Prices[Key],0)),0))</f>
        <v/>
      </c>
      <c r="I72" s="289" t="str">
        <f>IF($A72="","",IFERROR(INDEX(Prices[FX to SGD],MATCH($A72,Prices[Key],0)),1))</f>
        <v/>
      </c>
      <c r="J72" s="287" t="str">
        <f t="shared" si="17"/>
        <v/>
      </c>
      <c r="K72" s="287" t="str">
        <f t="shared" si="18"/>
        <v/>
      </c>
      <c r="L72" s="287" t="str">
        <f t="shared" si="19"/>
        <v/>
      </c>
      <c r="M72" s="290" t="str">
        <f t="shared" si="20"/>
        <v/>
      </c>
      <c r="N72" t="str">
        <f>IF($A72="","",IFERROR(INDEX(Prices[Category],MATCH($A72,Prices[Key],0)),"Uncategorized"))</f>
        <v/>
      </c>
      <c r="O72" s="291" t="str">
        <f t="shared" si="21"/>
        <v/>
      </c>
      <c r="P72" s="291" t="str">
        <f t="shared" si="22"/>
        <v/>
      </c>
    </row>
    <row r="73" spans="1:16" ht="15" customHeight="1" x14ac:dyDescent="0.2">
      <c r="A73" s="243" t="str">
        <f>IFERROR(INDEX('All Ticker P&amp;L'!$A$2:$A$1001,MATCH(ROWS($A$2:A73),'All Ticker P&amp;L'!$N$2:$N$1001,0)),"")</f>
        <v/>
      </c>
      <c r="B73" s="243" t="str">
        <f t="shared" si="14"/>
        <v/>
      </c>
      <c r="C73" s="243" t="str">
        <f t="shared" si="15"/>
        <v/>
      </c>
      <c r="D73" s="243" t="str">
        <f t="shared" si="16"/>
        <v/>
      </c>
      <c r="E73" s="265" t="str">
        <f>IF($A73="","",SUMIFS(Txn[Signed Units],Txn[Key],$A73))</f>
        <v/>
      </c>
      <c r="F73" s="287" t="str">
        <f>IF($A73="","",SUMIFS(Txn[Buy Cost],Txn[Key],$A73))</f>
        <v/>
      </c>
      <c r="G73" s="287" t="str">
        <f>IF($A73="","",SUMIFS(Txn[Sell Proceeds],Txn[Key],$A73))</f>
        <v/>
      </c>
      <c r="H73" s="288" t="str">
        <f>IF($A73="","",IFERROR(INDEX(Prices[Current Price],MATCH($A73,Prices[Key],0)),0))</f>
        <v/>
      </c>
      <c r="I73" s="289" t="str">
        <f>IF($A73="","",IFERROR(INDEX(Prices[FX to SGD],MATCH($A73,Prices[Key],0)),1))</f>
        <v/>
      </c>
      <c r="J73" s="287" t="str">
        <f t="shared" si="17"/>
        <v/>
      </c>
      <c r="K73" s="287" t="str">
        <f t="shared" si="18"/>
        <v/>
      </c>
      <c r="L73" s="287" t="str">
        <f t="shared" si="19"/>
        <v/>
      </c>
      <c r="M73" s="290" t="str">
        <f t="shared" si="20"/>
        <v/>
      </c>
      <c r="N73" t="str">
        <f>IF($A73="","",IFERROR(INDEX(Prices[Category],MATCH($A73,Prices[Key],0)),"Uncategorized"))</f>
        <v/>
      </c>
      <c r="O73" s="291" t="str">
        <f t="shared" si="21"/>
        <v/>
      </c>
      <c r="P73" s="291" t="str">
        <f t="shared" si="22"/>
        <v/>
      </c>
    </row>
    <row r="74" spans="1:16" ht="15" customHeight="1" x14ac:dyDescent="0.2">
      <c r="A74" s="243" t="str">
        <f>IFERROR(INDEX('All Ticker P&amp;L'!$A$2:$A$1001,MATCH(ROWS($A$2:A74),'All Ticker P&amp;L'!$N$2:$N$1001,0)),"")</f>
        <v/>
      </c>
      <c r="B74" s="243" t="str">
        <f t="shared" si="14"/>
        <v/>
      </c>
      <c r="C74" s="243" t="str">
        <f t="shared" si="15"/>
        <v/>
      </c>
      <c r="D74" s="243" t="str">
        <f t="shared" si="16"/>
        <v/>
      </c>
      <c r="E74" s="265" t="str">
        <f>IF($A74="","",SUMIFS(Txn[Signed Units],Txn[Key],$A74))</f>
        <v/>
      </c>
      <c r="F74" s="287" t="str">
        <f>IF($A74="","",SUMIFS(Txn[Buy Cost],Txn[Key],$A74))</f>
        <v/>
      </c>
      <c r="G74" s="287" t="str">
        <f>IF($A74="","",SUMIFS(Txn[Sell Proceeds],Txn[Key],$A74))</f>
        <v/>
      </c>
      <c r="H74" s="288" t="str">
        <f>IF($A74="","",IFERROR(INDEX(Prices[Current Price],MATCH($A74,Prices[Key],0)),0))</f>
        <v/>
      </c>
      <c r="I74" s="289" t="str">
        <f>IF($A74="","",IFERROR(INDEX(Prices[FX to SGD],MATCH($A74,Prices[Key],0)),1))</f>
        <v/>
      </c>
      <c r="J74" s="287" t="str">
        <f t="shared" si="17"/>
        <v/>
      </c>
      <c r="K74" s="287" t="str">
        <f t="shared" si="18"/>
        <v/>
      </c>
      <c r="L74" s="287" t="str">
        <f t="shared" si="19"/>
        <v/>
      </c>
      <c r="M74" s="290" t="str">
        <f t="shared" si="20"/>
        <v/>
      </c>
      <c r="N74" t="str">
        <f>IF($A74="","",IFERROR(INDEX(Prices[Category],MATCH($A74,Prices[Key],0)),"Uncategorized"))</f>
        <v/>
      </c>
      <c r="O74" s="291" t="str">
        <f t="shared" si="21"/>
        <v/>
      </c>
      <c r="P74" s="291" t="str">
        <f t="shared" si="22"/>
        <v/>
      </c>
    </row>
    <row r="75" spans="1:16" ht="15" customHeight="1" x14ac:dyDescent="0.2">
      <c r="A75" s="243" t="str">
        <f>IFERROR(INDEX('All Ticker P&amp;L'!$A$2:$A$1001,MATCH(ROWS($A$2:A75),'All Ticker P&amp;L'!$N$2:$N$1001,0)),"")</f>
        <v/>
      </c>
      <c r="B75" s="243" t="str">
        <f t="shared" si="14"/>
        <v/>
      </c>
      <c r="C75" s="243" t="str">
        <f t="shared" si="15"/>
        <v/>
      </c>
      <c r="D75" s="243" t="str">
        <f t="shared" si="16"/>
        <v/>
      </c>
      <c r="E75" s="265" t="str">
        <f>IF($A75="","",SUMIFS(Txn[Signed Units],Txn[Key],$A75))</f>
        <v/>
      </c>
      <c r="F75" s="287" t="str">
        <f>IF($A75="","",SUMIFS(Txn[Buy Cost],Txn[Key],$A75))</f>
        <v/>
      </c>
      <c r="G75" s="287" t="str">
        <f>IF($A75="","",SUMIFS(Txn[Sell Proceeds],Txn[Key],$A75))</f>
        <v/>
      </c>
      <c r="H75" s="288" t="str">
        <f>IF($A75="","",IFERROR(INDEX(Prices[Current Price],MATCH($A75,Prices[Key],0)),0))</f>
        <v/>
      </c>
      <c r="I75" s="289" t="str">
        <f>IF($A75="","",IFERROR(INDEX(Prices[FX to SGD],MATCH($A75,Prices[Key],0)),1))</f>
        <v/>
      </c>
      <c r="J75" s="287" t="str">
        <f t="shared" si="17"/>
        <v/>
      </c>
      <c r="K75" s="287" t="str">
        <f t="shared" si="18"/>
        <v/>
      </c>
      <c r="L75" s="287" t="str">
        <f t="shared" si="19"/>
        <v/>
      </c>
      <c r="M75" s="290" t="str">
        <f t="shared" si="20"/>
        <v/>
      </c>
      <c r="N75" t="str">
        <f>IF($A75="","",IFERROR(INDEX(Prices[Category],MATCH($A75,Prices[Key],0)),"Uncategorized"))</f>
        <v/>
      </c>
      <c r="O75" s="291" t="str">
        <f t="shared" si="21"/>
        <v/>
      </c>
      <c r="P75" s="291" t="str">
        <f t="shared" si="22"/>
        <v/>
      </c>
    </row>
    <row r="76" spans="1:16" ht="15" customHeight="1" x14ac:dyDescent="0.2">
      <c r="A76" s="243" t="str">
        <f>IFERROR(INDEX('All Ticker P&amp;L'!$A$2:$A$1001,MATCH(ROWS($A$2:A76),'All Ticker P&amp;L'!$N$2:$N$1001,0)),"")</f>
        <v/>
      </c>
      <c r="B76" s="243" t="str">
        <f t="shared" si="14"/>
        <v/>
      </c>
      <c r="C76" s="243" t="str">
        <f t="shared" si="15"/>
        <v/>
      </c>
      <c r="D76" s="243" t="str">
        <f t="shared" si="16"/>
        <v/>
      </c>
      <c r="E76" s="265" t="str">
        <f>IF($A76="","",SUMIFS(Txn[Signed Units],Txn[Key],$A76))</f>
        <v/>
      </c>
      <c r="F76" s="287" t="str">
        <f>IF($A76="","",SUMIFS(Txn[Buy Cost],Txn[Key],$A76))</f>
        <v/>
      </c>
      <c r="G76" s="287" t="str">
        <f>IF($A76="","",SUMIFS(Txn[Sell Proceeds],Txn[Key],$A76))</f>
        <v/>
      </c>
      <c r="H76" s="288" t="str">
        <f>IF($A76="","",IFERROR(INDEX(Prices[Current Price],MATCH($A76,Prices[Key],0)),0))</f>
        <v/>
      </c>
      <c r="I76" s="289" t="str">
        <f>IF($A76="","",IFERROR(INDEX(Prices[FX to SGD],MATCH($A76,Prices[Key],0)),1))</f>
        <v/>
      </c>
      <c r="J76" s="287" t="str">
        <f t="shared" si="17"/>
        <v/>
      </c>
      <c r="K76" s="287" t="str">
        <f t="shared" si="18"/>
        <v/>
      </c>
      <c r="L76" s="287" t="str">
        <f t="shared" si="19"/>
        <v/>
      </c>
      <c r="M76" s="290" t="str">
        <f t="shared" si="20"/>
        <v/>
      </c>
      <c r="N76" t="str">
        <f>IF($A76="","",IFERROR(INDEX(Prices[Category],MATCH($A76,Prices[Key],0)),"Uncategorized"))</f>
        <v/>
      </c>
      <c r="O76" s="291" t="str">
        <f t="shared" si="21"/>
        <v/>
      </c>
      <c r="P76" s="291" t="str">
        <f t="shared" si="22"/>
        <v/>
      </c>
    </row>
    <row r="77" spans="1:16" ht="15" customHeight="1" x14ac:dyDescent="0.2">
      <c r="A77" s="243" t="str">
        <f>IFERROR(INDEX('All Ticker P&amp;L'!$A$2:$A$1001,MATCH(ROWS($A$2:A77),'All Ticker P&amp;L'!$N$2:$N$1001,0)),"")</f>
        <v/>
      </c>
      <c r="B77" s="243" t="str">
        <f t="shared" si="14"/>
        <v/>
      </c>
      <c r="C77" s="243" t="str">
        <f t="shared" si="15"/>
        <v/>
      </c>
      <c r="D77" s="243" t="str">
        <f t="shared" si="16"/>
        <v/>
      </c>
      <c r="E77" s="265" t="str">
        <f>IF($A77="","",SUMIFS(Txn[Signed Units],Txn[Key],$A77))</f>
        <v/>
      </c>
      <c r="F77" s="287" t="str">
        <f>IF($A77="","",SUMIFS(Txn[Buy Cost],Txn[Key],$A77))</f>
        <v/>
      </c>
      <c r="G77" s="287" t="str">
        <f>IF($A77="","",SUMIFS(Txn[Sell Proceeds],Txn[Key],$A77))</f>
        <v/>
      </c>
      <c r="H77" s="288" t="str">
        <f>IF($A77="","",IFERROR(INDEX(Prices[Current Price],MATCH($A77,Prices[Key],0)),0))</f>
        <v/>
      </c>
      <c r="I77" s="289" t="str">
        <f>IF($A77="","",IFERROR(INDEX(Prices[FX to SGD],MATCH($A77,Prices[Key],0)),1))</f>
        <v/>
      </c>
      <c r="J77" s="287" t="str">
        <f t="shared" si="17"/>
        <v/>
      </c>
      <c r="K77" s="287" t="str">
        <f t="shared" si="18"/>
        <v/>
      </c>
      <c r="L77" s="287" t="str">
        <f t="shared" si="19"/>
        <v/>
      </c>
      <c r="M77" s="290" t="str">
        <f t="shared" si="20"/>
        <v/>
      </c>
      <c r="N77" t="str">
        <f>IF($A77="","",IFERROR(INDEX(Prices[Category],MATCH($A77,Prices[Key],0)),"Uncategorized"))</f>
        <v/>
      </c>
      <c r="O77" s="291" t="str">
        <f t="shared" si="21"/>
        <v/>
      </c>
      <c r="P77" s="291" t="str">
        <f t="shared" si="22"/>
        <v/>
      </c>
    </row>
    <row r="78" spans="1:16" ht="15" customHeight="1" x14ac:dyDescent="0.2">
      <c r="A78" s="243" t="str">
        <f>IFERROR(INDEX('All Ticker P&amp;L'!$A$2:$A$1001,MATCH(ROWS($A$2:A78),'All Ticker P&amp;L'!$N$2:$N$1001,0)),"")</f>
        <v/>
      </c>
      <c r="B78" s="243" t="str">
        <f t="shared" si="14"/>
        <v/>
      </c>
      <c r="C78" s="243" t="str">
        <f t="shared" si="15"/>
        <v/>
      </c>
      <c r="D78" s="243" t="str">
        <f t="shared" si="16"/>
        <v/>
      </c>
      <c r="E78" s="265" t="str">
        <f>IF($A78="","",SUMIFS(Txn[Signed Units],Txn[Key],$A78))</f>
        <v/>
      </c>
      <c r="F78" s="287" t="str">
        <f>IF($A78="","",SUMIFS(Txn[Buy Cost],Txn[Key],$A78))</f>
        <v/>
      </c>
      <c r="G78" s="287" t="str">
        <f>IF($A78="","",SUMIFS(Txn[Sell Proceeds],Txn[Key],$A78))</f>
        <v/>
      </c>
      <c r="H78" s="288" t="str">
        <f>IF($A78="","",IFERROR(INDEX(Prices[Current Price],MATCH($A78,Prices[Key],0)),0))</f>
        <v/>
      </c>
      <c r="I78" s="289" t="str">
        <f>IF($A78="","",IFERROR(INDEX(Prices[FX to SGD],MATCH($A78,Prices[Key],0)),1))</f>
        <v/>
      </c>
      <c r="J78" s="287" t="str">
        <f t="shared" si="17"/>
        <v/>
      </c>
      <c r="K78" s="287" t="str">
        <f t="shared" si="18"/>
        <v/>
      </c>
      <c r="L78" s="287" t="str">
        <f t="shared" si="19"/>
        <v/>
      </c>
      <c r="M78" s="290" t="str">
        <f t="shared" si="20"/>
        <v/>
      </c>
      <c r="N78" t="str">
        <f>IF($A78="","",IFERROR(INDEX(Prices[Category],MATCH($A78,Prices[Key],0)),"Uncategorized"))</f>
        <v/>
      </c>
      <c r="O78" s="291" t="str">
        <f t="shared" si="21"/>
        <v/>
      </c>
      <c r="P78" s="291" t="str">
        <f t="shared" si="22"/>
        <v/>
      </c>
    </row>
    <row r="79" spans="1:16" ht="15" customHeight="1" x14ac:dyDescent="0.2">
      <c r="A79" s="243" t="str">
        <f>IFERROR(INDEX('All Ticker P&amp;L'!$A$2:$A$1001,MATCH(ROWS($A$2:A79),'All Ticker P&amp;L'!$N$2:$N$1001,0)),"")</f>
        <v/>
      </c>
      <c r="B79" s="243" t="str">
        <f t="shared" si="14"/>
        <v/>
      </c>
      <c r="C79" s="243" t="str">
        <f t="shared" si="15"/>
        <v/>
      </c>
      <c r="D79" s="243" t="str">
        <f t="shared" si="16"/>
        <v/>
      </c>
      <c r="E79" s="265" t="str">
        <f>IF($A79="","",SUMIFS(Txn[Signed Units],Txn[Key],$A79))</f>
        <v/>
      </c>
      <c r="F79" s="287" t="str">
        <f>IF($A79="","",SUMIFS(Txn[Buy Cost],Txn[Key],$A79))</f>
        <v/>
      </c>
      <c r="G79" s="287" t="str">
        <f>IF($A79="","",SUMIFS(Txn[Sell Proceeds],Txn[Key],$A79))</f>
        <v/>
      </c>
      <c r="H79" s="288" t="str">
        <f>IF($A79="","",IFERROR(INDEX(Prices[Current Price],MATCH($A79,Prices[Key],0)),0))</f>
        <v/>
      </c>
      <c r="I79" s="289" t="str">
        <f>IF($A79="","",IFERROR(INDEX(Prices[FX to SGD],MATCH($A79,Prices[Key],0)),1))</f>
        <v/>
      </c>
      <c r="J79" s="287" t="str">
        <f t="shared" si="17"/>
        <v/>
      </c>
      <c r="K79" s="287" t="str">
        <f t="shared" si="18"/>
        <v/>
      </c>
      <c r="L79" s="287" t="str">
        <f t="shared" si="19"/>
        <v/>
      </c>
      <c r="M79" s="290" t="str">
        <f t="shared" si="20"/>
        <v/>
      </c>
      <c r="N79" t="str">
        <f>IF($A79="","",IFERROR(INDEX(Prices[Category],MATCH($A79,Prices[Key],0)),"Uncategorized"))</f>
        <v/>
      </c>
      <c r="O79" s="291" t="str">
        <f t="shared" si="21"/>
        <v/>
      </c>
      <c r="P79" s="291" t="str">
        <f t="shared" si="22"/>
        <v/>
      </c>
    </row>
    <row r="80" spans="1:16" ht="15" customHeight="1" x14ac:dyDescent="0.2">
      <c r="A80" s="243" t="str">
        <f>IFERROR(INDEX('All Ticker P&amp;L'!$A$2:$A$1001,MATCH(ROWS($A$2:A80),'All Ticker P&amp;L'!$N$2:$N$1001,0)),"")</f>
        <v/>
      </c>
      <c r="B80" s="243" t="str">
        <f t="shared" si="14"/>
        <v/>
      </c>
      <c r="C80" s="243" t="str">
        <f t="shared" si="15"/>
        <v/>
      </c>
      <c r="D80" s="243" t="str">
        <f t="shared" si="16"/>
        <v/>
      </c>
      <c r="E80" s="265" t="str">
        <f>IF($A80="","",SUMIFS(Txn[Signed Units],Txn[Key],$A80))</f>
        <v/>
      </c>
      <c r="F80" s="287" t="str">
        <f>IF($A80="","",SUMIFS(Txn[Buy Cost],Txn[Key],$A80))</f>
        <v/>
      </c>
      <c r="G80" s="287" t="str">
        <f>IF($A80="","",SUMIFS(Txn[Sell Proceeds],Txn[Key],$A80))</f>
        <v/>
      </c>
      <c r="H80" s="288" t="str">
        <f>IF($A80="","",IFERROR(INDEX(Prices[Current Price],MATCH($A80,Prices[Key],0)),0))</f>
        <v/>
      </c>
      <c r="I80" s="289" t="str">
        <f>IF($A80="","",IFERROR(INDEX(Prices[FX to SGD],MATCH($A80,Prices[Key],0)),1))</f>
        <v/>
      </c>
      <c r="J80" s="287" t="str">
        <f t="shared" si="17"/>
        <v/>
      </c>
      <c r="K80" s="287" t="str">
        <f t="shared" si="18"/>
        <v/>
      </c>
      <c r="L80" s="287" t="str">
        <f t="shared" si="19"/>
        <v/>
      </c>
      <c r="M80" s="290" t="str">
        <f t="shared" si="20"/>
        <v/>
      </c>
      <c r="N80" t="str">
        <f>IF($A80="","",IFERROR(INDEX(Prices[Category],MATCH($A80,Prices[Key],0)),"Uncategorized"))</f>
        <v/>
      </c>
      <c r="O80" s="291" t="str">
        <f t="shared" si="21"/>
        <v/>
      </c>
      <c r="P80" s="291" t="str">
        <f t="shared" si="22"/>
        <v/>
      </c>
    </row>
    <row r="81" spans="1:16" ht="15" customHeight="1" x14ac:dyDescent="0.2">
      <c r="A81" s="243" t="str">
        <f>IFERROR(INDEX('All Ticker P&amp;L'!$A$2:$A$1001,MATCH(ROWS($A$2:A81),'All Ticker P&amp;L'!$N$2:$N$1001,0)),"")</f>
        <v/>
      </c>
      <c r="B81" s="243" t="str">
        <f t="shared" si="14"/>
        <v/>
      </c>
      <c r="C81" s="243" t="str">
        <f t="shared" si="15"/>
        <v/>
      </c>
      <c r="D81" s="243" t="str">
        <f t="shared" si="16"/>
        <v/>
      </c>
      <c r="E81" s="265" t="str">
        <f>IF($A81="","",SUMIFS(Txn[Signed Units],Txn[Key],$A81))</f>
        <v/>
      </c>
      <c r="F81" s="287" t="str">
        <f>IF($A81="","",SUMIFS(Txn[Buy Cost],Txn[Key],$A81))</f>
        <v/>
      </c>
      <c r="G81" s="287" t="str">
        <f>IF($A81="","",SUMIFS(Txn[Sell Proceeds],Txn[Key],$A81))</f>
        <v/>
      </c>
      <c r="H81" s="288" t="str">
        <f>IF($A81="","",IFERROR(INDEX(Prices[Current Price],MATCH($A81,Prices[Key],0)),0))</f>
        <v/>
      </c>
      <c r="I81" s="289" t="str">
        <f>IF($A81="","",IFERROR(INDEX(Prices[FX to SGD],MATCH($A81,Prices[Key],0)),1))</f>
        <v/>
      </c>
      <c r="J81" s="287" t="str">
        <f t="shared" si="17"/>
        <v/>
      </c>
      <c r="K81" s="287" t="str">
        <f t="shared" si="18"/>
        <v/>
      </c>
      <c r="L81" s="287" t="str">
        <f t="shared" si="19"/>
        <v/>
      </c>
      <c r="M81" s="290" t="str">
        <f t="shared" si="20"/>
        <v/>
      </c>
      <c r="N81" t="str">
        <f>IF($A81="","",IFERROR(INDEX(Prices[Category],MATCH($A81,Prices[Key],0)),"Uncategorized"))</f>
        <v/>
      </c>
      <c r="O81" s="291" t="str">
        <f t="shared" si="21"/>
        <v/>
      </c>
      <c r="P81" s="291" t="str">
        <f t="shared" si="22"/>
        <v/>
      </c>
    </row>
    <row r="82" spans="1:16" ht="15" customHeight="1" x14ac:dyDescent="0.2">
      <c r="A82" s="243" t="str">
        <f>IFERROR(INDEX('All Ticker P&amp;L'!$A$2:$A$1001,MATCH(ROWS($A$2:A82),'All Ticker P&amp;L'!$N$2:$N$1001,0)),"")</f>
        <v/>
      </c>
      <c r="B82" s="243" t="str">
        <f t="shared" si="14"/>
        <v/>
      </c>
      <c r="C82" s="243" t="str">
        <f t="shared" si="15"/>
        <v/>
      </c>
      <c r="D82" s="243" t="str">
        <f t="shared" si="16"/>
        <v/>
      </c>
      <c r="E82" s="265" t="str">
        <f>IF($A82="","",SUMIFS(Txn[Signed Units],Txn[Key],$A82))</f>
        <v/>
      </c>
      <c r="F82" s="287" t="str">
        <f>IF($A82="","",SUMIFS(Txn[Buy Cost],Txn[Key],$A82))</f>
        <v/>
      </c>
      <c r="G82" s="287" t="str">
        <f>IF($A82="","",SUMIFS(Txn[Sell Proceeds],Txn[Key],$A82))</f>
        <v/>
      </c>
      <c r="H82" s="288" t="str">
        <f>IF($A82="","",IFERROR(INDEX(Prices[Current Price],MATCH($A82,Prices[Key],0)),0))</f>
        <v/>
      </c>
      <c r="I82" s="289" t="str">
        <f>IF($A82="","",IFERROR(INDEX(Prices[FX to SGD],MATCH($A82,Prices[Key],0)),1))</f>
        <v/>
      </c>
      <c r="J82" s="287" t="str">
        <f t="shared" si="17"/>
        <v/>
      </c>
      <c r="K82" s="287" t="str">
        <f t="shared" si="18"/>
        <v/>
      </c>
      <c r="L82" s="287" t="str">
        <f t="shared" si="19"/>
        <v/>
      </c>
      <c r="M82" s="290" t="str">
        <f t="shared" si="20"/>
        <v/>
      </c>
      <c r="N82" t="str">
        <f>IF($A82="","",IFERROR(INDEX(Prices[Category],MATCH($A82,Prices[Key],0)),"Uncategorized"))</f>
        <v/>
      </c>
      <c r="O82" s="291" t="str">
        <f t="shared" si="21"/>
        <v/>
      </c>
      <c r="P82" s="291" t="str">
        <f t="shared" si="22"/>
        <v/>
      </c>
    </row>
    <row r="83" spans="1:16" ht="15" customHeight="1" x14ac:dyDescent="0.2">
      <c r="A83" s="243" t="str">
        <f>IFERROR(INDEX('All Ticker P&amp;L'!$A$2:$A$1001,MATCH(ROWS($A$2:A83),'All Ticker P&amp;L'!$N$2:$N$1001,0)),"")</f>
        <v/>
      </c>
      <c r="B83" s="243" t="str">
        <f t="shared" si="14"/>
        <v/>
      </c>
      <c r="C83" s="243" t="str">
        <f t="shared" si="15"/>
        <v/>
      </c>
      <c r="D83" s="243" t="str">
        <f t="shared" si="16"/>
        <v/>
      </c>
      <c r="E83" s="265" t="str">
        <f>IF($A83="","",SUMIFS(Txn[Signed Units],Txn[Key],$A83))</f>
        <v/>
      </c>
      <c r="F83" s="287" t="str">
        <f>IF($A83="","",SUMIFS(Txn[Buy Cost],Txn[Key],$A83))</f>
        <v/>
      </c>
      <c r="G83" s="287" t="str">
        <f>IF($A83="","",SUMIFS(Txn[Sell Proceeds],Txn[Key],$A83))</f>
        <v/>
      </c>
      <c r="H83" s="288" t="str">
        <f>IF($A83="","",IFERROR(INDEX(Prices[Current Price],MATCH($A83,Prices[Key],0)),0))</f>
        <v/>
      </c>
      <c r="I83" s="289" t="str">
        <f>IF($A83="","",IFERROR(INDEX(Prices[FX to SGD],MATCH($A83,Prices[Key],0)),1))</f>
        <v/>
      </c>
      <c r="J83" s="287" t="str">
        <f t="shared" si="17"/>
        <v/>
      </c>
      <c r="K83" s="287" t="str">
        <f t="shared" si="18"/>
        <v/>
      </c>
      <c r="L83" s="287" t="str">
        <f t="shared" si="19"/>
        <v/>
      </c>
      <c r="M83" s="290" t="str">
        <f t="shared" si="20"/>
        <v/>
      </c>
      <c r="N83" t="str">
        <f>IF($A83="","",IFERROR(INDEX(Prices[Category],MATCH($A83,Prices[Key],0)),"Uncategorized"))</f>
        <v/>
      </c>
      <c r="O83" s="291" t="str">
        <f t="shared" si="21"/>
        <v/>
      </c>
      <c r="P83" s="291" t="str">
        <f t="shared" si="22"/>
        <v/>
      </c>
    </row>
    <row r="84" spans="1:16" ht="15" customHeight="1" x14ac:dyDescent="0.2">
      <c r="A84" s="243" t="str">
        <f>IFERROR(INDEX('All Ticker P&amp;L'!$A$2:$A$1001,MATCH(ROWS($A$2:A84),'All Ticker P&amp;L'!$N$2:$N$1001,0)),"")</f>
        <v/>
      </c>
      <c r="B84" s="243" t="str">
        <f t="shared" si="14"/>
        <v/>
      </c>
      <c r="C84" s="243" t="str">
        <f t="shared" si="15"/>
        <v/>
      </c>
      <c r="D84" s="243" t="str">
        <f t="shared" si="16"/>
        <v/>
      </c>
      <c r="E84" s="265" t="str">
        <f>IF($A84="","",SUMIFS(Txn[Signed Units],Txn[Key],$A84))</f>
        <v/>
      </c>
      <c r="F84" s="287" t="str">
        <f>IF($A84="","",SUMIFS(Txn[Buy Cost],Txn[Key],$A84))</f>
        <v/>
      </c>
      <c r="G84" s="287" t="str">
        <f>IF($A84="","",SUMIFS(Txn[Sell Proceeds],Txn[Key],$A84))</f>
        <v/>
      </c>
      <c r="H84" s="288" t="str">
        <f>IF($A84="","",IFERROR(INDEX(Prices[Current Price],MATCH($A84,Prices[Key],0)),0))</f>
        <v/>
      </c>
      <c r="I84" s="289" t="str">
        <f>IF($A84="","",IFERROR(INDEX(Prices[FX to SGD],MATCH($A84,Prices[Key],0)),1))</f>
        <v/>
      </c>
      <c r="J84" s="287" t="str">
        <f t="shared" si="17"/>
        <v/>
      </c>
      <c r="K84" s="287" t="str">
        <f t="shared" si="18"/>
        <v/>
      </c>
      <c r="L84" s="287" t="str">
        <f t="shared" si="19"/>
        <v/>
      </c>
      <c r="M84" s="290" t="str">
        <f t="shared" si="20"/>
        <v/>
      </c>
      <c r="N84" t="str">
        <f>IF($A84="","",IFERROR(INDEX(Prices[Category],MATCH($A84,Prices[Key],0)),"Uncategorized"))</f>
        <v/>
      </c>
      <c r="O84" s="291" t="str">
        <f t="shared" si="21"/>
        <v/>
      </c>
      <c r="P84" s="291" t="str">
        <f t="shared" si="22"/>
        <v/>
      </c>
    </row>
    <row r="85" spans="1:16" ht="15" customHeight="1" x14ac:dyDescent="0.2">
      <c r="A85" s="243" t="str">
        <f>IFERROR(INDEX('All Ticker P&amp;L'!$A$2:$A$1001,MATCH(ROWS($A$2:A85),'All Ticker P&amp;L'!$N$2:$N$1001,0)),"")</f>
        <v/>
      </c>
      <c r="B85" s="243" t="str">
        <f t="shared" si="14"/>
        <v/>
      </c>
      <c r="C85" s="243" t="str">
        <f t="shared" si="15"/>
        <v/>
      </c>
      <c r="D85" s="243" t="str">
        <f t="shared" si="16"/>
        <v/>
      </c>
      <c r="E85" s="265" t="str">
        <f>IF($A85="","",SUMIFS(Txn[Signed Units],Txn[Key],$A85))</f>
        <v/>
      </c>
      <c r="F85" s="287" t="str">
        <f>IF($A85="","",SUMIFS(Txn[Buy Cost],Txn[Key],$A85))</f>
        <v/>
      </c>
      <c r="G85" s="287" t="str">
        <f>IF($A85="","",SUMIFS(Txn[Sell Proceeds],Txn[Key],$A85))</f>
        <v/>
      </c>
      <c r="H85" s="288" t="str">
        <f>IF($A85="","",IFERROR(INDEX(Prices[Current Price],MATCH($A85,Prices[Key],0)),0))</f>
        <v/>
      </c>
      <c r="I85" s="289" t="str">
        <f>IF($A85="","",IFERROR(INDEX(Prices[FX to SGD],MATCH($A85,Prices[Key],0)),1))</f>
        <v/>
      </c>
      <c r="J85" s="287" t="str">
        <f t="shared" si="17"/>
        <v/>
      </c>
      <c r="K85" s="287" t="str">
        <f t="shared" si="18"/>
        <v/>
      </c>
      <c r="L85" s="287" t="str">
        <f t="shared" si="19"/>
        <v/>
      </c>
      <c r="M85" s="290" t="str">
        <f t="shared" si="20"/>
        <v/>
      </c>
      <c r="N85" t="str">
        <f>IF($A85="","",IFERROR(INDEX(Prices[Category],MATCH($A85,Prices[Key],0)),"Uncategorized"))</f>
        <v/>
      </c>
      <c r="O85" s="291" t="str">
        <f t="shared" si="21"/>
        <v/>
      </c>
      <c r="P85" s="291" t="str">
        <f t="shared" si="22"/>
        <v/>
      </c>
    </row>
    <row r="86" spans="1:16" ht="15" customHeight="1" x14ac:dyDescent="0.2">
      <c r="A86" s="243" t="str">
        <f>IFERROR(INDEX('All Ticker P&amp;L'!$A$2:$A$1001,MATCH(ROWS($A$2:A86),'All Ticker P&amp;L'!$N$2:$N$1001,0)),"")</f>
        <v/>
      </c>
      <c r="B86" s="243" t="str">
        <f t="shared" si="14"/>
        <v/>
      </c>
      <c r="C86" s="243" t="str">
        <f t="shared" si="15"/>
        <v/>
      </c>
      <c r="D86" s="243" t="str">
        <f t="shared" si="16"/>
        <v/>
      </c>
      <c r="E86" s="265" t="str">
        <f>IF($A86="","",SUMIFS(Txn[Signed Units],Txn[Key],$A86))</f>
        <v/>
      </c>
      <c r="F86" s="287" t="str">
        <f>IF($A86="","",SUMIFS(Txn[Buy Cost],Txn[Key],$A86))</f>
        <v/>
      </c>
      <c r="G86" s="287" t="str">
        <f>IF($A86="","",SUMIFS(Txn[Sell Proceeds],Txn[Key],$A86))</f>
        <v/>
      </c>
      <c r="H86" s="288" t="str">
        <f>IF($A86="","",IFERROR(INDEX(Prices[Current Price],MATCH($A86,Prices[Key],0)),0))</f>
        <v/>
      </c>
      <c r="I86" s="289" t="str">
        <f>IF($A86="","",IFERROR(INDEX(Prices[FX to SGD],MATCH($A86,Prices[Key],0)),1))</f>
        <v/>
      </c>
      <c r="J86" s="287" t="str">
        <f t="shared" si="17"/>
        <v/>
      </c>
      <c r="K86" s="287" t="str">
        <f t="shared" si="18"/>
        <v/>
      </c>
      <c r="L86" s="287" t="str">
        <f t="shared" si="19"/>
        <v/>
      </c>
      <c r="M86" s="290" t="str">
        <f t="shared" si="20"/>
        <v/>
      </c>
      <c r="N86" t="str">
        <f>IF($A86="","",IFERROR(INDEX(Prices[Category],MATCH($A86,Prices[Key],0)),"Uncategorized"))</f>
        <v/>
      </c>
      <c r="O86" s="291" t="str">
        <f t="shared" si="21"/>
        <v/>
      </c>
      <c r="P86" s="291" t="str">
        <f t="shared" si="22"/>
        <v/>
      </c>
    </row>
    <row r="87" spans="1:16" ht="15" customHeight="1" x14ac:dyDescent="0.2">
      <c r="A87" s="243" t="str">
        <f>IFERROR(INDEX('All Ticker P&amp;L'!$A$2:$A$1001,MATCH(ROWS($A$2:A87),'All Ticker P&amp;L'!$N$2:$N$1001,0)),"")</f>
        <v/>
      </c>
      <c r="B87" s="243" t="str">
        <f t="shared" si="14"/>
        <v/>
      </c>
      <c r="C87" s="243" t="str">
        <f t="shared" si="15"/>
        <v/>
      </c>
      <c r="D87" s="243" t="str">
        <f t="shared" si="16"/>
        <v/>
      </c>
      <c r="E87" s="265" t="str">
        <f>IF($A87="","",SUMIFS(Txn[Signed Units],Txn[Key],$A87))</f>
        <v/>
      </c>
      <c r="F87" s="287" t="str">
        <f>IF($A87="","",SUMIFS(Txn[Buy Cost],Txn[Key],$A87))</f>
        <v/>
      </c>
      <c r="G87" s="287" t="str">
        <f>IF($A87="","",SUMIFS(Txn[Sell Proceeds],Txn[Key],$A87))</f>
        <v/>
      </c>
      <c r="H87" s="288" t="str">
        <f>IF($A87="","",IFERROR(INDEX(Prices[Current Price],MATCH($A87,Prices[Key],0)),0))</f>
        <v/>
      </c>
      <c r="I87" s="289" t="str">
        <f>IF($A87="","",IFERROR(INDEX(Prices[FX to SGD],MATCH($A87,Prices[Key],0)),1))</f>
        <v/>
      </c>
      <c r="J87" s="287" t="str">
        <f t="shared" si="17"/>
        <v/>
      </c>
      <c r="K87" s="287" t="str">
        <f t="shared" si="18"/>
        <v/>
      </c>
      <c r="L87" s="287" t="str">
        <f t="shared" si="19"/>
        <v/>
      </c>
      <c r="M87" s="290" t="str">
        <f t="shared" si="20"/>
        <v/>
      </c>
      <c r="N87" t="str">
        <f>IF($A87="","",IFERROR(INDEX(Prices[Category],MATCH($A87,Prices[Key],0)),"Uncategorized"))</f>
        <v/>
      </c>
      <c r="O87" s="291" t="str">
        <f t="shared" si="21"/>
        <v/>
      </c>
      <c r="P87" s="291" t="str">
        <f t="shared" si="22"/>
        <v/>
      </c>
    </row>
    <row r="88" spans="1:16" ht="15" customHeight="1" x14ac:dyDescent="0.2">
      <c r="A88" s="243" t="str">
        <f>IFERROR(INDEX('All Ticker P&amp;L'!$A$2:$A$1001,MATCH(ROWS($A$2:A88),'All Ticker P&amp;L'!$N$2:$N$1001,0)),"")</f>
        <v/>
      </c>
      <c r="B88" s="243" t="str">
        <f t="shared" si="14"/>
        <v/>
      </c>
      <c r="C88" s="243" t="str">
        <f t="shared" si="15"/>
        <v/>
      </c>
      <c r="D88" s="243" t="str">
        <f t="shared" si="16"/>
        <v/>
      </c>
      <c r="E88" s="265" t="str">
        <f>IF($A88="","",SUMIFS(Txn[Signed Units],Txn[Key],$A88))</f>
        <v/>
      </c>
      <c r="F88" s="287" t="str">
        <f>IF($A88="","",SUMIFS(Txn[Buy Cost],Txn[Key],$A88))</f>
        <v/>
      </c>
      <c r="G88" s="287" t="str">
        <f>IF($A88="","",SUMIFS(Txn[Sell Proceeds],Txn[Key],$A88))</f>
        <v/>
      </c>
      <c r="H88" s="288" t="str">
        <f>IF($A88="","",IFERROR(INDEX(Prices[Current Price],MATCH($A88,Prices[Key],0)),0))</f>
        <v/>
      </c>
      <c r="I88" s="289" t="str">
        <f>IF($A88="","",IFERROR(INDEX(Prices[FX to SGD],MATCH($A88,Prices[Key],0)),1))</f>
        <v/>
      </c>
      <c r="J88" s="287" t="str">
        <f t="shared" si="17"/>
        <v/>
      </c>
      <c r="K88" s="287" t="str">
        <f t="shared" si="18"/>
        <v/>
      </c>
      <c r="L88" s="287" t="str">
        <f t="shared" si="19"/>
        <v/>
      </c>
      <c r="M88" s="290" t="str">
        <f t="shared" si="20"/>
        <v/>
      </c>
      <c r="N88" t="str">
        <f>IF($A88="","",IFERROR(INDEX(Prices[Category],MATCH($A88,Prices[Key],0)),"Uncategorized"))</f>
        <v/>
      </c>
      <c r="O88" s="291" t="str">
        <f t="shared" si="21"/>
        <v/>
      </c>
      <c r="P88" s="291" t="str">
        <f t="shared" si="22"/>
        <v/>
      </c>
    </row>
    <row r="89" spans="1:16" ht="15" customHeight="1" x14ac:dyDescent="0.2">
      <c r="A89" s="243" t="str">
        <f>IFERROR(INDEX('All Ticker P&amp;L'!$A$2:$A$1001,MATCH(ROWS($A$2:A89),'All Ticker P&amp;L'!$N$2:$N$1001,0)),"")</f>
        <v/>
      </c>
      <c r="B89" s="243" t="str">
        <f t="shared" si="14"/>
        <v/>
      </c>
      <c r="C89" s="243" t="str">
        <f t="shared" si="15"/>
        <v/>
      </c>
      <c r="D89" s="243" t="str">
        <f t="shared" si="16"/>
        <v/>
      </c>
      <c r="E89" s="265" t="str">
        <f>IF($A89="","",SUMIFS(Txn[Signed Units],Txn[Key],$A89))</f>
        <v/>
      </c>
      <c r="F89" s="287" t="str">
        <f>IF($A89="","",SUMIFS(Txn[Buy Cost],Txn[Key],$A89))</f>
        <v/>
      </c>
      <c r="G89" s="287" t="str">
        <f>IF($A89="","",SUMIFS(Txn[Sell Proceeds],Txn[Key],$A89))</f>
        <v/>
      </c>
      <c r="H89" s="288" t="str">
        <f>IF($A89="","",IFERROR(INDEX(Prices[Current Price],MATCH($A89,Prices[Key],0)),0))</f>
        <v/>
      </c>
      <c r="I89" s="289" t="str">
        <f>IF($A89="","",IFERROR(INDEX(Prices[FX to SGD],MATCH($A89,Prices[Key],0)),1))</f>
        <v/>
      </c>
      <c r="J89" s="287" t="str">
        <f t="shared" si="17"/>
        <v/>
      </c>
      <c r="K89" s="287" t="str">
        <f t="shared" si="18"/>
        <v/>
      </c>
      <c r="L89" s="287" t="str">
        <f t="shared" si="19"/>
        <v/>
      </c>
      <c r="M89" s="290" t="str">
        <f t="shared" si="20"/>
        <v/>
      </c>
      <c r="N89" t="str">
        <f>IF($A89="","",IFERROR(INDEX(Prices[Category],MATCH($A89,Prices[Key],0)),"Uncategorized"))</f>
        <v/>
      </c>
      <c r="O89" s="291" t="str">
        <f t="shared" si="21"/>
        <v/>
      </c>
      <c r="P89" s="291" t="str">
        <f t="shared" si="22"/>
        <v/>
      </c>
    </row>
    <row r="90" spans="1:16" ht="15" customHeight="1" x14ac:dyDescent="0.2">
      <c r="A90" s="243" t="str">
        <f>IFERROR(INDEX('All Ticker P&amp;L'!$A$2:$A$1001,MATCH(ROWS($A$2:A90),'All Ticker P&amp;L'!$N$2:$N$1001,0)),"")</f>
        <v/>
      </c>
      <c r="B90" s="243" t="str">
        <f t="shared" si="14"/>
        <v/>
      </c>
      <c r="C90" s="243" t="str">
        <f t="shared" si="15"/>
        <v/>
      </c>
      <c r="D90" s="243" t="str">
        <f t="shared" si="16"/>
        <v/>
      </c>
      <c r="E90" s="265" t="str">
        <f>IF($A90="","",SUMIFS(Txn[Signed Units],Txn[Key],$A90))</f>
        <v/>
      </c>
      <c r="F90" s="287" t="str">
        <f>IF($A90="","",SUMIFS(Txn[Buy Cost],Txn[Key],$A90))</f>
        <v/>
      </c>
      <c r="G90" s="287" t="str">
        <f>IF($A90="","",SUMIFS(Txn[Sell Proceeds],Txn[Key],$A90))</f>
        <v/>
      </c>
      <c r="H90" s="288" t="str">
        <f>IF($A90="","",IFERROR(INDEX(Prices[Current Price],MATCH($A90,Prices[Key],0)),0))</f>
        <v/>
      </c>
      <c r="I90" s="289" t="str">
        <f>IF($A90="","",IFERROR(INDEX(Prices[FX to SGD],MATCH($A90,Prices[Key],0)),1))</f>
        <v/>
      </c>
      <c r="J90" s="287" t="str">
        <f t="shared" si="17"/>
        <v/>
      </c>
      <c r="K90" s="287" t="str">
        <f t="shared" si="18"/>
        <v/>
      </c>
      <c r="L90" s="287" t="str">
        <f t="shared" si="19"/>
        <v/>
      </c>
      <c r="M90" s="290" t="str">
        <f t="shared" si="20"/>
        <v/>
      </c>
      <c r="N90" t="str">
        <f>IF($A90="","",IFERROR(INDEX(Prices[Category],MATCH($A90,Prices[Key],0)),"Uncategorized"))</f>
        <v/>
      </c>
      <c r="O90" s="291" t="str">
        <f t="shared" si="21"/>
        <v/>
      </c>
      <c r="P90" s="291" t="str">
        <f t="shared" si="22"/>
        <v/>
      </c>
    </row>
    <row r="91" spans="1:16" ht="15" customHeight="1" x14ac:dyDescent="0.2">
      <c r="A91" s="243" t="str">
        <f>IFERROR(INDEX('All Ticker P&amp;L'!$A$2:$A$1001,MATCH(ROWS($A$2:A91),'All Ticker P&amp;L'!$N$2:$N$1001,0)),"")</f>
        <v/>
      </c>
      <c r="B91" s="243" t="str">
        <f t="shared" si="14"/>
        <v/>
      </c>
      <c r="C91" s="243" t="str">
        <f t="shared" si="15"/>
        <v/>
      </c>
      <c r="D91" s="243" t="str">
        <f t="shared" si="16"/>
        <v/>
      </c>
      <c r="E91" s="265" t="str">
        <f>IF($A91="","",SUMIFS(Txn[Signed Units],Txn[Key],$A91))</f>
        <v/>
      </c>
      <c r="F91" s="287" t="str">
        <f>IF($A91="","",SUMIFS(Txn[Buy Cost],Txn[Key],$A91))</f>
        <v/>
      </c>
      <c r="G91" s="287" t="str">
        <f>IF($A91="","",SUMIFS(Txn[Sell Proceeds],Txn[Key],$A91))</f>
        <v/>
      </c>
      <c r="H91" s="288" t="str">
        <f>IF($A91="","",IFERROR(INDEX(Prices[Current Price],MATCH($A91,Prices[Key],0)),0))</f>
        <v/>
      </c>
      <c r="I91" s="289" t="str">
        <f>IF($A91="","",IFERROR(INDEX(Prices[FX to SGD],MATCH($A91,Prices[Key],0)),1))</f>
        <v/>
      </c>
      <c r="J91" s="287" t="str">
        <f t="shared" si="17"/>
        <v/>
      </c>
      <c r="K91" s="287" t="str">
        <f t="shared" si="18"/>
        <v/>
      </c>
      <c r="L91" s="287" t="str">
        <f t="shared" si="19"/>
        <v/>
      </c>
      <c r="M91" s="290" t="str">
        <f t="shared" si="20"/>
        <v/>
      </c>
      <c r="N91" t="str">
        <f>IF($A91="","",IFERROR(INDEX(Prices[Category],MATCH($A91,Prices[Key],0)),"Uncategorized"))</f>
        <v/>
      </c>
      <c r="O91" s="291" t="str">
        <f t="shared" si="21"/>
        <v/>
      </c>
      <c r="P91" s="291" t="str">
        <f t="shared" si="22"/>
        <v/>
      </c>
    </row>
    <row r="92" spans="1:16" ht="15" customHeight="1" x14ac:dyDescent="0.2">
      <c r="A92" s="243" t="str">
        <f>IFERROR(INDEX('All Ticker P&amp;L'!$A$2:$A$1001,MATCH(ROWS($A$2:A92),'All Ticker P&amp;L'!$N$2:$N$1001,0)),"")</f>
        <v/>
      </c>
      <c r="B92" s="243" t="str">
        <f t="shared" si="14"/>
        <v/>
      </c>
      <c r="C92" s="243" t="str">
        <f t="shared" si="15"/>
        <v/>
      </c>
      <c r="D92" s="243" t="str">
        <f t="shared" si="16"/>
        <v/>
      </c>
      <c r="E92" s="265" t="str">
        <f>IF($A92="","",SUMIFS(Txn[Signed Units],Txn[Key],$A92))</f>
        <v/>
      </c>
      <c r="F92" s="287" t="str">
        <f>IF($A92="","",SUMIFS(Txn[Buy Cost],Txn[Key],$A92))</f>
        <v/>
      </c>
      <c r="G92" s="287" t="str">
        <f>IF($A92="","",SUMIFS(Txn[Sell Proceeds],Txn[Key],$A92))</f>
        <v/>
      </c>
      <c r="H92" s="288" t="str">
        <f>IF($A92="","",IFERROR(INDEX(Prices[Current Price],MATCH($A92,Prices[Key],0)),0))</f>
        <v/>
      </c>
      <c r="I92" s="289" t="str">
        <f>IF($A92="","",IFERROR(INDEX(Prices[FX to SGD],MATCH($A92,Prices[Key],0)),1))</f>
        <v/>
      </c>
      <c r="J92" s="287" t="str">
        <f t="shared" si="17"/>
        <v/>
      </c>
      <c r="K92" s="287" t="str">
        <f t="shared" si="18"/>
        <v/>
      </c>
      <c r="L92" s="287" t="str">
        <f t="shared" si="19"/>
        <v/>
      </c>
      <c r="M92" s="290" t="str">
        <f t="shared" si="20"/>
        <v/>
      </c>
      <c r="N92" t="str">
        <f>IF($A92="","",IFERROR(INDEX(Prices[Category],MATCH($A92,Prices[Key],0)),"Uncategorized"))</f>
        <v/>
      </c>
      <c r="O92" s="291" t="str">
        <f t="shared" si="21"/>
        <v/>
      </c>
      <c r="P92" s="291" t="str">
        <f t="shared" si="22"/>
        <v/>
      </c>
    </row>
    <row r="93" spans="1:16" ht="15" customHeight="1" x14ac:dyDescent="0.2">
      <c r="A93" s="243" t="str">
        <f>IFERROR(INDEX('All Ticker P&amp;L'!$A$2:$A$1001,MATCH(ROWS($A$2:A93),'All Ticker P&amp;L'!$N$2:$N$1001,0)),"")</f>
        <v/>
      </c>
      <c r="B93" s="243" t="str">
        <f t="shared" si="14"/>
        <v/>
      </c>
      <c r="C93" s="243" t="str">
        <f t="shared" si="15"/>
        <v/>
      </c>
      <c r="D93" s="243" t="str">
        <f t="shared" si="16"/>
        <v/>
      </c>
      <c r="E93" s="265" t="str">
        <f>IF($A93="","",SUMIFS(Txn[Signed Units],Txn[Key],$A93))</f>
        <v/>
      </c>
      <c r="F93" s="287" t="str">
        <f>IF($A93="","",SUMIFS(Txn[Buy Cost],Txn[Key],$A93))</f>
        <v/>
      </c>
      <c r="G93" s="287" t="str">
        <f>IF($A93="","",SUMIFS(Txn[Sell Proceeds],Txn[Key],$A93))</f>
        <v/>
      </c>
      <c r="H93" s="288" t="str">
        <f>IF($A93="","",IFERROR(INDEX(Prices[Current Price],MATCH($A93,Prices[Key],0)),0))</f>
        <v/>
      </c>
      <c r="I93" s="289" t="str">
        <f>IF($A93="","",IFERROR(INDEX(Prices[FX to SGD],MATCH($A93,Prices[Key],0)),1))</f>
        <v/>
      </c>
      <c r="J93" s="287" t="str">
        <f t="shared" si="17"/>
        <v/>
      </c>
      <c r="K93" s="287" t="str">
        <f t="shared" si="18"/>
        <v/>
      </c>
      <c r="L93" s="287" t="str">
        <f t="shared" si="19"/>
        <v/>
      </c>
      <c r="M93" s="290" t="str">
        <f t="shared" si="20"/>
        <v/>
      </c>
      <c r="N93" t="str">
        <f>IF($A93="","",IFERROR(INDEX(Prices[Category],MATCH($A93,Prices[Key],0)),"Uncategorized"))</f>
        <v/>
      </c>
      <c r="O93" s="291" t="str">
        <f t="shared" si="21"/>
        <v/>
      </c>
      <c r="P93" s="291" t="str">
        <f t="shared" si="22"/>
        <v/>
      </c>
    </row>
    <row r="94" spans="1:16" ht="15" customHeight="1" x14ac:dyDescent="0.2">
      <c r="A94" s="243" t="str">
        <f>IFERROR(INDEX('All Ticker P&amp;L'!$A$2:$A$1001,MATCH(ROWS($A$2:A94),'All Ticker P&amp;L'!$N$2:$N$1001,0)),"")</f>
        <v/>
      </c>
      <c r="B94" s="243" t="str">
        <f t="shared" si="14"/>
        <v/>
      </c>
      <c r="C94" s="243" t="str">
        <f t="shared" si="15"/>
        <v/>
      </c>
      <c r="D94" s="243" t="str">
        <f t="shared" si="16"/>
        <v/>
      </c>
      <c r="E94" s="265" t="str">
        <f>IF($A94="","",SUMIFS(Txn[Signed Units],Txn[Key],$A94))</f>
        <v/>
      </c>
      <c r="F94" s="287" t="str">
        <f>IF($A94="","",SUMIFS(Txn[Buy Cost],Txn[Key],$A94))</f>
        <v/>
      </c>
      <c r="G94" s="287" t="str">
        <f>IF($A94="","",SUMIFS(Txn[Sell Proceeds],Txn[Key],$A94))</f>
        <v/>
      </c>
      <c r="H94" s="288" t="str">
        <f>IF($A94="","",IFERROR(INDEX(Prices[Current Price],MATCH($A94,Prices[Key],0)),0))</f>
        <v/>
      </c>
      <c r="I94" s="289" t="str">
        <f>IF($A94="","",IFERROR(INDEX(Prices[FX to SGD],MATCH($A94,Prices[Key],0)),1))</f>
        <v/>
      </c>
      <c r="J94" s="287" t="str">
        <f t="shared" si="17"/>
        <v/>
      </c>
      <c r="K94" s="287" t="str">
        <f t="shared" si="18"/>
        <v/>
      </c>
      <c r="L94" s="287" t="str">
        <f t="shared" si="19"/>
        <v/>
      </c>
      <c r="M94" s="290" t="str">
        <f t="shared" si="20"/>
        <v/>
      </c>
      <c r="N94" t="str">
        <f>IF($A94="","",IFERROR(INDEX(Prices[Category],MATCH($A94,Prices[Key],0)),"Uncategorized"))</f>
        <v/>
      </c>
      <c r="O94" s="291" t="str">
        <f t="shared" si="21"/>
        <v/>
      </c>
      <c r="P94" s="291" t="str">
        <f t="shared" si="22"/>
        <v/>
      </c>
    </row>
    <row r="95" spans="1:16" ht="15" customHeight="1" x14ac:dyDescent="0.2">
      <c r="A95" s="243" t="str">
        <f>IFERROR(INDEX('All Ticker P&amp;L'!$A$2:$A$1001,MATCH(ROWS($A$2:A95),'All Ticker P&amp;L'!$N$2:$N$1001,0)),"")</f>
        <v/>
      </c>
      <c r="B95" s="243" t="str">
        <f t="shared" si="14"/>
        <v/>
      </c>
      <c r="C95" s="243" t="str">
        <f t="shared" si="15"/>
        <v/>
      </c>
      <c r="D95" s="243" t="str">
        <f t="shared" si="16"/>
        <v/>
      </c>
      <c r="E95" s="265" t="str">
        <f>IF($A95="","",SUMIFS(Txn[Signed Units],Txn[Key],$A95))</f>
        <v/>
      </c>
      <c r="F95" s="287" t="str">
        <f>IF($A95="","",SUMIFS(Txn[Buy Cost],Txn[Key],$A95))</f>
        <v/>
      </c>
      <c r="G95" s="287" t="str">
        <f>IF($A95="","",SUMIFS(Txn[Sell Proceeds],Txn[Key],$A95))</f>
        <v/>
      </c>
      <c r="H95" s="288" t="str">
        <f>IF($A95="","",IFERROR(INDEX(Prices[Current Price],MATCH($A95,Prices[Key],0)),0))</f>
        <v/>
      </c>
      <c r="I95" s="289" t="str">
        <f>IF($A95="","",IFERROR(INDEX(Prices[FX to SGD],MATCH($A95,Prices[Key],0)),1))</f>
        <v/>
      </c>
      <c r="J95" s="287" t="str">
        <f t="shared" si="17"/>
        <v/>
      </c>
      <c r="K95" s="287" t="str">
        <f t="shared" si="18"/>
        <v/>
      </c>
      <c r="L95" s="287" t="str">
        <f t="shared" si="19"/>
        <v/>
      </c>
      <c r="M95" s="290" t="str">
        <f t="shared" si="20"/>
        <v/>
      </c>
      <c r="N95" t="str">
        <f>IF($A95="","",IFERROR(INDEX(Prices[Category],MATCH($A95,Prices[Key],0)),"Uncategorized"))</f>
        <v/>
      </c>
      <c r="O95" s="291" t="str">
        <f t="shared" si="21"/>
        <v/>
      </c>
      <c r="P95" s="291" t="str">
        <f t="shared" si="22"/>
        <v/>
      </c>
    </row>
    <row r="96" spans="1:16" ht="15" customHeight="1" x14ac:dyDescent="0.2">
      <c r="A96" s="243" t="str">
        <f>IFERROR(INDEX('All Ticker P&amp;L'!$A$2:$A$1001,MATCH(ROWS($A$2:A96),'All Ticker P&amp;L'!$N$2:$N$1001,0)),"")</f>
        <v/>
      </c>
      <c r="B96" s="243" t="str">
        <f t="shared" si="14"/>
        <v/>
      </c>
      <c r="C96" s="243" t="str">
        <f t="shared" si="15"/>
        <v/>
      </c>
      <c r="D96" s="243" t="str">
        <f t="shared" si="16"/>
        <v/>
      </c>
      <c r="E96" s="265" t="str">
        <f>IF($A96="","",SUMIFS(Txn[Signed Units],Txn[Key],$A96))</f>
        <v/>
      </c>
      <c r="F96" s="287" t="str">
        <f>IF($A96="","",SUMIFS(Txn[Buy Cost],Txn[Key],$A96))</f>
        <v/>
      </c>
      <c r="G96" s="287" t="str">
        <f>IF($A96="","",SUMIFS(Txn[Sell Proceeds],Txn[Key],$A96))</f>
        <v/>
      </c>
      <c r="H96" s="288" t="str">
        <f>IF($A96="","",IFERROR(INDEX(Prices[Current Price],MATCH($A96,Prices[Key],0)),0))</f>
        <v/>
      </c>
      <c r="I96" s="289" t="str">
        <f>IF($A96="","",IFERROR(INDEX(Prices[FX to SGD],MATCH($A96,Prices[Key],0)),1))</f>
        <v/>
      </c>
      <c r="J96" s="287" t="str">
        <f t="shared" si="17"/>
        <v/>
      </c>
      <c r="K96" s="287" t="str">
        <f t="shared" si="18"/>
        <v/>
      </c>
      <c r="L96" s="287" t="str">
        <f t="shared" si="19"/>
        <v/>
      </c>
      <c r="M96" s="290" t="str">
        <f t="shared" si="20"/>
        <v/>
      </c>
      <c r="N96" t="str">
        <f>IF($A96="","",IFERROR(INDEX(Prices[Category],MATCH($A96,Prices[Key],0)),"Uncategorized"))</f>
        <v/>
      </c>
      <c r="O96" s="291" t="str">
        <f t="shared" si="21"/>
        <v/>
      </c>
      <c r="P96" s="291" t="str">
        <f t="shared" si="22"/>
        <v/>
      </c>
    </row>
    <row r="97" spans="1:16" ht="15" customHeight="1" x14ac:dyDescent="0.2">
      <c r="A97" s="243" t="str">
        <f>IFERROR(INDEX('All Ticker P&amp;L'!$A$2:$A$1001,MATCH(ROWS($A$2:A97),'All Ticker P&amp;L'!$N$2:$N$1001,0)),"")</f>
        <v/>
      </c>
      <c r="B97" s="243" t="str">
        <f t="shared" si="14"/>
        <v/>
      </c>
      <c r="C97" s="243" t="str">
        <f t="shared" si="15"/>
        <v/>
      </c>
      <c r="D97" s="243" t="str">
        <f t="shared" si="16"/>
        <v/>
      </c>
      <c r="E97" s="265" t="str">
        <f>IF($A97="","",SUMIFS(Txn[Signed Units],Txn[Key],$A97))</f>
        <v/>
      </c>
      <c r="F97" s="287" t="str">
        <f>IF($A97="","",SUMIFS(Txn[Buy Cost],Txn[Key],$A97))</f>
        <v/>
      </c>
      <c r="G97" s="287" t="str">
        <f>IF($A97="","",SUMIFS(Txn[Sell Proceeds],Txn[Key],$A97))</f>
        <v/>
      </c>
      <c r="H97" s="288" t="str">
        <f>IF($A97="","",IFERROR(INDEX(Prices[Current Price],MATCH($A97,Prices[Key],0)),0))</f>
        <v/>
      </c>
      <c r="I97" s="289" t="str">
        <f>IF($A97="","",IFERROR(INDEX(Prices[FX to SGD],MATCH($A97,Prices[Key],0)),1))</f>
        <v/>
      </c>
      <c r="J97" s="287" t="str">
        <f t="shared" si="17"/>
        <v/>
      </c>
      <c r="K97" s="287" t="str">
        <f t="shared" si="18"/>
        <v/>
      </c>
      <c r="L97" s="287" t="str">
        <f t="shared" si="19"/>
        <v/>
      </c>
      <c r="M97" s="290" t="str">
        <f t="shared" si="20"/>
        <v/>
      </c>
      <c r="N97" t="str">
        <f>IF($A97="","",IFERROR(INDEX(Prices[Category],MATCH($A97,Prices[Key],0)),"Uncategorized"))</f>
        <v/>
      </c>
      <c r="O97" s="291" t="str">
        <f t="shared" si="21"/>
        <v/>
      </c>
      <c r="P97" s="291" t="str">
        <f t="shared" si="22"/>
        <v/>
      </c>
    </row>
    <row r="98" spans="1:16" ht="15" customHeight="1" x14ac:dyDescent="0.2">
      <c r="A98" s="243" t="str">
        <f>IFERROR(INDEX('All Ticker P&amp;L'!$A$2:$A$1001,MATCH(ROWS($A$2:A98),'All Ticker P&amp;L'!$N$2:$N$1001,0)),"")</f>
        <v/>
      </c>
      <c r="B98" s="243" t="str">
        <f t="shared" si="14"/>
        <v/>
      </c>
      <c r="C98" s="243" t="str">
        <f t="shared" si="15"/>
        <v/>
      </c>
      <c r="D98" s="243" t="str">
        <f t="shared" si="16"/>
        <v/>
      </c>
      <c r="E98" s="265" t="str">
        <f>IF($A98="","",SUMIFS(Txn[Signed Units],Txn[Key],$A98))</f>
        <v/>
      </c>
      <c r="F98" s="287" t="str">
        <f>IF($A98="","",SUMIFS(Txn[Buy Cost],Txn[Key],$A98))</f>
        <v/>
      </c>
      <c r="G98" s="287" t="str">
        <f>IF($A98="","",SUMIFS(Txn[Sell Proceeds],Txn[Key],$A98))</f>
        <v/>
      </c>
      <c r="H98" s="288" t="str">
        <f>IF($A98="","",IFERROR(INDEX(Prices[Current Price],MATCH($A98,Prices[Key],0)),0))</f>
        <v/>
      </c>
      <c r="I98" s="289" t="str">
        <f>IF($A98="","",IFERROR(INDEX(Prices[FX to SGD],MATCH($A98,Prices[Key],0)),1))</f>
        <v/>
      </c>
      <c r="J98" s="287" t="str">
        <f t="shared" si="17"/>
        <v/>
      </c>
      <c r="K98" s="287" t="str">
        <f t="shared" si="18"/>
        <v/>
      </c>
      <c r="L98" s="287" t="str">
        <f t="shared" si="19"/>
        <v/>
      </c>
      <c r="M98" s="290" t="str">
        <f t="shared" si="20"/>
        <v/>
      </c>
      <c r="N98" t="str">
        <f>IF($A98="","",IFERROR(INDEX(Prices[Category],MATCH($A98,Prices[Key],0)),"Uncategorized"))</f>
        <v/>
      </c>
      <c r="O98" s="291" t="str">
        <f t="shared" si="21"/>
        <v/>
      </c>
      <c r="P98" s="291" t="str">
        <f t="shared" si="22"/>
        <v/>
      </c>
    </row>
    <row r="99" spans="1:16" ht="15" customHeight="1" x14ac:dyDescent="0.2">
      <c r="A99" s="243" t="str">
        <f>IFERROR(INDEX('All Ticker P&amp;L'!$A$2:$A$1001,MATCH(ROWS($A$2:A99),'All Ticker P&amp;L'!$N$2:$N$1001,0)),"")</f>
        <v/>
      </c>
      <c r="B99" s="243" t="str">
        <f t="shared" si="14"/>
        <v/>
      </c>
      <c r="C99" s="243" t="str">
        <f t="shared" si="15"/>
        <v/>
      </c>
      <c r="D99" s="243" t="str">
        <f t="shared" si="16"/>
        <v/>
      </c>
      <c r="E99" s="265" t="str">
        <f>IF($A99="","",SUMIFS(Txn[Signed Units],Txn[Key],$A99))</f>
        <v/>
      </c>
      <c r="F99" s="287" t="str">
        <f>IF($A99="","",SUMIFS(Txn[Buy Cost],Txn[Key],$A99))</f>
        <v/>
      </c>
      <c r="G99" s="287" t="str">
        <f>IF($A99="","",SUMIFS(Txn[Sell Proceeds],Txn[Key],$A99))</f>
        <v/>
      </c>
      <c r="H99" s="288" t="str">
        <f>IF($A99="","",IFERROR(INDEX(Prices[Current Price],MATCH($A99,Prices[Key],0)),0))</f>
        <v/>
      </c>
      <c r="I99" s="289" t="str">
        <f>IF($A99="","",IFERROR(INDEX(Prices[FX to SGD],MATCH($A99,Prices[Key],0)),1))</f>
        <v/>
      </c>
      <c r="J99" s="287" t="str">
        <f t="shared" si="17"/>
        <v/>
      </c>
      <c r="K99" s="287" t="str">
        <f t="shared" si="18"/>
        <v/>
      </c>
      <c r="L99" s="287" t="str">
        <f t="shared" si="19"/>
        <v/>
      </c>
      <c r="M99" s="290" t="str">
        <f t="shared" si="20"/>
        <v/>
      </c>
      <c r="N99" t="str">
        <f>IF($A99="","",IFERROR(INDEX(Prices[Category],MATCH($A99,Prices[Key],0)),"Uncategorized"))</f>
        <v/>
      </c>
      <c r="O99" s="291" t="str">
        <f t="shared" si="21"/>
        <v/>
      </c>
      <c r="P99" s="291" t="str">
        <f t="shared" si="22"/>
        <v/>
      </c>
    </row>
    <row r="100" spans="1:16" ht="15" customHeight="1" x14ac:dyDescent="0.2">
      <c r="A100" s="243" t="str">
        <f>IFERROR(INDEX('All Ticker P&amp;L'!$A$2:$A$1001,MATCH(ROWS($A$2:A100),'All Ticker P&amp;L'!$N$2:$N$1001,0)),"")</f>
        <v/>
      </c>
      <c r="B100" s="243" t="str">
        <f t="shared" si="14"/>
        <v/>
      </c>
      <c r="C100" s="243" t="str">
        <f t="shared" si="15"/>
        <v/>
      </c>
      <c r="D100" s="243" t="str">
        <f t="shared" si="16"/>
        <v/>
      </c>
      <c r="E100" s="265" t="str">
        <f>IF($A100="","",SUMIFS(Txn[Signed Units],Txn[Key],$A100))</f>
        <v/>
      </c>
      <c r="F100" s="287" t="str">
        <f>IF($A100="","",SUMIFS(Txn[Buy Cost],Txn[Key],$A100))</f>
        <v/>
      </c>
      <c r="G100" s="287" t="str">
        <f>IF($A100="","",SUMIFS(Txn[Sell Proceeds],Txn[Key],$A100))</f>
        <v/>
      </c>
      <c r="H100" s="288" t="str">
        <f>IF($A100="","",IFERROR(INDEX(Prices[Current Price],MATCH($A100,Prices[Key],0)),0))</f>
        <v/>
      </c>
      <c r="I100" s="289" t="str">
        <f>IF($A100="","",IFERROR(INDEX(Prices[FX to SGD],MATCH($A100,Prices[Key],0)),1))</f>
        <v/>
      </c>
      <c r="J100" s="287" t="str">
        <f t="shared" si="17"/>
        <v/>
      </c>
      <c r="K100" s="287" t="str">
        <f t="shared" si="18"/>
        <v/>
      </c>
      <c r="L100" s="287" t="str">
        <f t="shared" si="19"/>
        <v/>
      </c>
      <c r="M100" s="290" t="str">
        <f t="shared" si="20"/>
        <v/>
      </c>
      <c r="N100" t="str">
        <f>IF($A100="","",IFERROR(INDEX(Prices[Category],MATCH($A100,Prices[Key],0)),"Uncategorized"))</f>
        <v/>
      </c>
      <c r="O100" s="291" t="str">
        <f t="shared" si="21"/>
        <v/>
      </c>
      <c r="P100" s="291" t="str">
        <f t="shared" si="22"/>
        <v/>
      </c>
    </row>
    <row r="101" spans="1:16" ht="15" customHeight="1" x14ac:dyDescent="0.2">
      <c r="A101" s="243" t="str">
        <f>IFERROR(INDEX('All Ticker P&amp;L'!$A$2:$A$1001,MATCH(ROWS($A$2:A101),'All Ticker P&amp;L'!$N$2:$N$1001,0)),"")</f>
        <v/>
      </c>
      <c r="B101" s="243" t="str">
        <f t="shared" si="14"/>
        <v/>
      </c>
      <c r="C101" s="243" t="str">
        <f t="shared" si="15"/>
        <v/>
      </c>
      <c r="D101" s="243" t="str">
        <f t="shared" si="16"/>
        <v/>
      </c>
      <c r="E101" s="265" t="str">
        <f>IF($A101="","",SUMIFS(Txn[Signed Units],Txn[Key],$A101))</f>
        <v/>
      </c>
      <c r="F101" s="287" t="str">
        <f>IF($A101="","",SUMIFS(Txn[Buy Cost],Txn[Key],$A101))</f>
        <v/>
      </c>
      <c r="G101" s="287" t="str">
        <f>IF($A101="","",SUMIFS(Txn[Sell Proceeds],Txn[Key],$A101))</f>
        <v/>
      </c>
      <c r="H101" s="288" t="str">
        <f>IF($A101="","",IFERROR(INDEX(Prices[Current Price],MATCH($A101,Prices[Key],0)),0))</f>
        <v/>
      </c>
      <c r="I101" s="289" t="str">
        <f>IF($A101="","",IFERROR(INDEX(Prices[FX to SGD],MATCH($A101,Prices[Key],0)),1))</f>
        <v/>
      </c>
      <c r="J101" s="287" t="str">
        <f t="shared" si="17"/>
        <v/>
      </c>
      <c r="K101" s="287" t="str">
        <f t="shared" si="18"/>
        <v/>
      </c>
      <c r="L101" s="287" t="str">
        <f t="shared" si="19"/>
        <v/>
      </c>
      <c r="M101" s="290" t="str">
        <f t="shared" si="20"/>
        <v/>
      </c>
      <c r="N101" t="str">
        <f>IF($A101="","",IFERROR(INDEX(Prices[Category],MATCH($A101,Prices[Key],0)),"Uncategorized"))</f>
        <v/>
      </c>
      <c r="O101" s="291" t="str">
        <f t="shared" si="21"/>
        <v/>
      </c>
      <c r="P101" s="291" t="str">
        <f t="shared" si="22"/>
        <v/>
      </c>
    </row>
    <row r="102" spans="1:16" ht="15" customHeight="1" x14ac:dyDescent="0.2">
      <c r="A102" s="243" t="str">
        <f>IFERROR(INDEX('All Ticker P&amp;L'!$A$2:$A$1001,MATCH(ROWS($A$2:A102),'All Ticker P&amp;L'!$N$2:$N$1001,0)),"")</f>
        <v/>
      </c>
      <c r="B102" s="243" t="str">
        <f t="shared" si="14"/>
        <v/>
      </c>
      <c r="C102" s="243" t="str">
        <f t="shared" si="15"/>
        <v/>
      </c>
      <c r="D102" s="243" t="str">
        <f t="shared" si="16"/>
        <v/>
      </c>
      <c r="E102" s="265" t="str">
        <f>IF($A102="","",SUMIFS(Txn[Signed Units],Txn[Key],$A102))</f>
        <v/>
      </c>
      <c r="F102" s="287" t="str">
        <f>IF($A102="","",SUMIFS(Txn[Buy Cost],Txn[Key],$A102))</f>
        <v/>
      </c>
      <c r="G102" s="287" t="str">
        <f>IF($A102="","",SUMIFS(Txn[Sell Proceeds],Txn[Key],$A102))</f>
        <v/>
      </c>
      <c r="H102" s="288" t="str">
        <f>IF($A102="","",IFERROR(INDEX(Prices[Current Price],MATCH($A102,Prices[Key],0)),0))</f>
        <v/>
      </c>
      <c r="I102" s="289" t="str">
        <f>IF($A102="","",IFERROR(INDEX(Prices[FX to SGD],MATCH($A102,Prices[Key],0)),1))</f>
        <v/>
      </c>
      <c r="J102" s="287" t="str">
        <f t="shared" si="17"/>
        <v/>
      </c>
      <c r="K102" s="287" t="str">
        <f t="shared" si="18"/>
        <v/>
      </c>
      <c r="L102" s="287" t="str">
        <f t="shared" si="19"/>
        <v/>
      </c>
      <c r="M102" s="290" t="str">
        <f t="shared" si="20"/>
        <v/>
      </c>
      <c r="N102" t="str">
        <f>IF($A102="","",IFERROR(INDEX(Prices[Category],MATCH($A102,Prices[Key],0)),"Uncategorized"))</f>
        <v/>
      </c>
      <c r="O102" s="291" t="str">
        <f t="shared" si="21"/>
        <v/>
      </c>
      <c r="P102" s="291" t="str">
        <f t="shared" si="22"/>
        <v/>
      </c>
    </row>
    <row r="103" spans="1:16" ht="15" customHeight="1" x14ac:dyDescent="0.2">
      <c r="A103" s="243" t="str">
        <f>IFERROR(INDEX('All Ticker P&amp;L'!$A$2:$A$1001,MATCH(ROWS($A$2:A103),'All Ticker P&amp;L'!$N$2:$N$1001,0)),"")</f>
        <v/>
      </c>
      <c r="B103" s="243" t="str">
        <f t="shared" si="14"/>
        <v/>
      </c>
      <c r="C103" s="243" t="str">
        <f t="shared" si="15"/>
        <v/>
      </c>
      <c r="D103" s="243" t="str">
        <f t="shared" si="16"/>
        <v/>
      </c>
      <c r="E103" s="265" t="str">
        <f>IF($A103="","",SUMIFS(Txn[Signed Units],Txn[Key],$A103))</f>
        <v/>
      </c>
      <c r="F103" s="287" t="str">
        <f>IF($A103="","",SUMIFS(Txn[Buy Cost],Txn[Key],$A103))</f>
        <v/>
      </c>
      <c r="G103" s="287" t="str">
        <f>IF($A103="","",SUMIFS(Txn[Sell Proceeds],Txn[Key],$A103))</f>
        <v/>
      </c>
      <c r="H103" s="288" t="str">
        <f>IF($A103="","",IFERROR(INDEX(Prices[Current Price],MATCH($A103,Prices[Key],0)),0))</f>
        <v/>
      </c>
      <c r="I103" s="289" t="str">
        <f>IF($A103="","",IFERROR(INDEX(Prices[FX to SGD],MATCH($A103,Prices[Key],0)),1))</f>
        <v/>
      </c>
      <c r="J103" s="287" t="str">
        <f t="shared" si="17"/>
        <v/>
      </c>
      <c r="K103" s="287" t="str">
        <f t="shared" si="18"/>
        <v/>
      </c>
      <c r="L103" s="287" t="str">
        <f t="shared" si="19"/>
        <v/>
      </c>
      <c r="M103" s="290" t="str">
        <f t="shared" si="20"/>
        <v/>
      </c>
      <c r="N103" t="str">
        <f>IF($A103="","",IFERROR(INDEX(Prices[Category],MATCH($A103,Prices[Key],0)),"Uncategorized"))</f>
        <v/>
      </c>
      <c r="O103" s="291" t="str">
        <f t="shared" si="21"/>
        <v/>
      </c>
      <c r="P103" s="291" t="str">
        <f t="shared" si="22"/>
        <v/>
      </c>
    </row>
    <row r="104" spans="1:16" ht="15" customHeight="1" x14ac:dyDescent="0.2">
      <c r="A104" s="243" t="str">
        <f>IFERROR(INDEX('All Ticker P&amp;L'!$A$2:$A$1001,MATCH(ROWS($A$2:A104),'All Ticker P&amp;L'!$N$2:$N$1001,0)),"")</f>
        <v/>
      </c>
      <c r="B104" s="243" t="str">
        <f t="shared" si="14"/>
        <v/>
      </c>
      <c r="C104" s="243" t="str">
        <f t="shared" si="15"/>
        <v/>
      </c>
      <c r="D104" s="243" t="str">
        <f t="shared" si="16"/>
        <v/>
      </c>
      <c r="E104" s="265" t="str">
        <f>IF($A104="","",SUMIFS(Txn[Signed Units],Txn[Key],$A104))</f>
        <v/>
      </c>
      <c r="F104" s="287" t="str">
        <f>IF($A104="","",SUMIFS(Txn[Buy Cost],Txn[Key],$A104))</f>
        <v/>
      </c>
      <c r="G104" s="287" t="str">
        <f>IF($A104="","",SUMIFS(Txn[Sell Proceeds],Txn[Key],$A104))</f>
        <v/>
      </c>
      <c r="H104" s="288" t="str">
        <f>IF($A104="","",IFERROR(INDEX(Prices[Current Price],MATCH($A104,Prices[Key],0)),0))</f>
        <v/>
      </c>
      <c r="I104" s="289" t="str">
        <f>IF($A104="","",IFERROR(INDEX(Prices[FX to SGD],MATCH($A104,Prices[Key],0)),1))</f>
        <v/>
      </c>
      <c r="J104" s="287" t="str">
        <f t="shared" si="17"/>
        <v/>
      </c>
      <c r="K104" s="287" t="str">
        <f t="shared" si="18"/>
        <v/>
      </c>
      <c r="L104" s="287" t="str">
        <f t="shared" si="19"/>
        <v/>
      </c>
      <c r="M104" s="290" t="str">
        <f t="shared" si="20"/>
        <v/>
      </c>
      <c r="N104" t="str">
        <f>IF($A104="","",IFERROR(INDEX(Prices[Category],MATCH($A104,Prices[Key],0)),"Uncategorized"))</f>
        <v/>
      </c>
      <c r="O104" s="291" t="str">
        <f t="shared" si="21"/>
        <v/>
      </c>
      <c r="P104" s="291" t="str">
        <f t="shared" si="22"/>
        <v/>
      </c>
    </row>
    <row r="105" spans="1:16" ht="15" customHeight="1" x14ac:dyDescent="0.2">
      <c r="A105" s="243" t="str">
        <f>IFERROR(INDEX('All Ticker P&amp;L'!$A$2:$A$1001,MATCH(ROWS($A$2:A105),'All Ticker P&amp;L'!$N$2:$N$1001,0)),"")</f>
        <v/>
      </c>
      <c r="B105" s="243" t="str">
        <f t="shared" si="14"/>
        <v/>
      </c>
      <c r="C105" s="243" t="str">
        <f t="shared" si="15"/>
        <v/>
      </c>
      <c r="D105" s="243" t="str">
        <f t="shared" si="16"/>
        <v/>
      </c>
      <c r="E105" s="265" t="str">
        <f>IF($A105="","",SUMIFS(Txn[Signed Units],Txn[Key],$A105))</f>
        <v/>
      </c>
      <c r="F105" s="287" t="str">
        <f>IF($A105="","",SUMIFS(Txn[Buy Cost],Txn[Key],$A105))</f>
        <v/>
      </c>
      <c r="G105" s="287" t="str">
        <f>IF($A105="","",SUMIFS(Txn[Sell Proceeds],Txn[Key],$A105))</f>
        <v/>
      </c>
      <c r="H105" s="288" t="str">
        <f>IF($A105="","",IFERROR(INDEX(Prices[Current Price],MATCH($A105,Prices[Key],0)),0))</f>
        <v/>
      </c>
      <c r="I105" s="289" t="str">
        <f>IF($A105="","",IFERROR(INDEX(Prices[FX to SGD],MATCH($A105,Prices[Key],0)),1))</f>
        <v/>
      </c>
      <c r="J105" s="287" t="str">
        <f t="shared" si="17"/>
        <v/>
      </c>
      <c r="K105" s="287" t="str">
        <f t="shared" si="18"/>
        <v/>
      </c>
      <c r="L105" s="287" t="str">
        <f t="shared" si="19"/>
        <v/>
      </c>
      <c r="M105" s="290" t="str">
        <f t="shared" si="20"/>
        <v/>
      </c>
      <c r="N105" t="str">
        <f>IF($A105="","",IFERROR(INDEX(Prices[Category],MATCH($A105,Prices[Key],0)),"Uncategorized"))</f>
        <v/>
      </c>
      <c r="O105" s="291" t="str">
        <f t="shared" si="21"/>
        <v/>
      </c>
      <c r="P105" s="291" t="str">
        <f t="shared" si="22"/>
        <v/>
      </c>
    </row>
    <row r="106" spans="1:16" ht="15" customHeight="1" x14ac:dyDescent="0.2">
      <c r="A106" s="243" t="str">
        <f>IFERROR(INDEX('All Ticker P&amp;L'!$A$2:$A$1001,MATCH(ROWS($A$2:A106),'All Ticker P&amp;L'!$N$2:$N$1001,0)),"")</f>
        <v/>
      </c>
      <c r="B106" s="243" t="str">
        <f t="shared" si="14"/>
        <v/>
      </c>
      <c r="C106" s="243" t="str">
        <f t="shared" si="15"/>
        <v/>
      </c>
      <c r="D106" s="243" t="str">
        <f t="shared" si="16"/>
        <v/>
      </c>
      <c r="E106" s="265" t="str">
        <f>IF($A106="","",SUMIFS(Txn[Signed Units],Txn[Key],$A106))</f>
        <v/>
      </c>
      <c r="F106" s="287" t="str">
        <f>IF($A106="","",SUMIFS(Txn[Buy Cost],Txn[Key],$A106))</f>
        <v/>
      </c>
      <c r="G106" s="287" t="str">
        <f>IF($A106="","",SUMIFS(Txn[Sell Proceeds],Txn[Key],$A106))</f>
        <v/>
      </c>
      <c r="H106" s="288" t="str">
        <f>IF($A106="","",IFERROR(INDEX(Prices[Current Price],MATCH($A106,Prices[Key],0)),0))</f>
        <v/>
      </c>
      <c r="I106" s="289" t="str">
        <f>IF($A106="","",IFERROR(INDEX(Prices[FX to SGD],MATCH($A106,Prices[Key],0)),1))</f>
        <v/>
      </c>
      <c r="J106" s="287" t="str">
        <f t="shared" si="17"/>
        <v/>
      </c>
      <c r="K106" s="287" t="str">
        <f t="shared" si="18"/>
        <v/>
      </c>
      <c r="L106" s="287" t="str">
        <f t="shared" si="19"/>
        <v/>
      </c>
      <c r="M106" s="290" t="str">
        <f t="shared" si="20"/>
        <v/>
      </c>
      <c r="N106" t="str">
        <f>IF($A106="","",IFERROR(INDEX(Prices[Category],MATCH($A106,Prices[Key],0)),"Uncategorized"))</f>
        <v/>
      </c>
      <c r="O106" s="291" t="str">
        <f t="shared" si="21"/>
        <v/>
      </c>
      <c r="P106" s="291" t="str">
        <f t="shared" si="22"/>
        <v/>
      </c>
    </row>
    <row r="107" spans="1:16" ht="15" customHeight="1" x14ac:dyDescent="0.2">
      <c r="A107" s="243" t="str">
        <f>IFERROR(INDEX('All Ticker P&amp;L'!$A$2:$A$1001,MATCH(ROWS($A$2:A107),'All Ticker P&amp;L'!$N$2:$N$1001,0)),"")</f>
        <v/>
      </c>
      <c r="B107" s="243" t="str">
        <f t="shared" si="14"/>
        <v/>
      </c>
      <c r="C107" s="243" t="str">
        <f t="shared" si="15"/>
        <v/>
      </c>
      <c r="D107" s="243" t="str">
        <f t="shared" si="16"/>
        <v/>
      </c>
      <c r="E107" s="265" t="str">
        <f>IF($A107="","",SUMIFS(Txn[Signed Units],Txn[Key],$A107))</f>
        <v/>
      </c>
      <c r="F107" s="287" t="str">
        <f>IF($A107="","",SUMIFS(Txn[Buy Cost],Txn[Key],$A107))</f>
        <v/>
      </c>
      <c r="G107" s="287" t="str">
        <f>IF($A107="","",SUMIFS(Txn[Sell Proceeds],Txn[Key],$A107))</f>
        <v/>
      </c>
      <c r="H107" s="288" t="str">
        <f>IF($A107="","",IFERROR(INDEX(Prices[Current Price],MATCH($A107,Prices[Key],0)),0))</f>
        <v/>
      </c>
      <c r="I107" s="289" t="str">
        <f>IF($A107="","",IFERROR(INDEX(Prices[FX to SGD],MATCH($A107,Prices[Key],0)),1))</f>
        <v/>
      </c>
      <c r="J107" s="287" t="str">
        <f t="shared" si="17"/>
        <v/>
      </c>
      <c r="K107" s="287" t="str">
        <f t="shared" si="18"/>
        <v/>
      </c>
      <c r="L107" s="287" t="str">
        <f t="shared" si="19"/>
        <v/>
      </c>
      <c r="M107" s="290" t="str">
        <f t="shared" si="20"/>
        <v/>
      </c>
      <c r="N107" t="str">
        <f>IF($A107="","",IFERROR(INDEX(Prices[Category],MATCH($A107,Prices[Key],0)),"Uncategorized"))</f>
        <v/>
      </c>
      <c r="O107" s="291" t="str">
        <f t="shared" si="21"/>
        <v/>
      </c>
      <c r="P107" s="291" t="str">
        <f t="shared" si="22"/>
        <v/>
      </c>
    </row>
    <row r="108" spans="1:16" ht="15" customHeight="1" x14ac:dyDescent="0.2">
      <c r="A108" s="243" t="str">
        <f>IFERROR(INDEX('All Ticker P&amp;L'!$A$2:$A$1001,MATCH(ROWS($A$2:A108),'All Ticker P&amp;L'!$N$2:$N$1001,0)),"")</f>
        <v/>
      </c>
      <c r="B108" s="243" t="str">
        <f t="shared" si="14"/>
        <v/>
      </c>
      <c r="C108" s="243" t="str">
        <f t="shared" si="15"/>
        <v/>
      </c>
      <c r="D108" s="243" t="str">
        <f t="shared" si="16"/>
        <v/>
      </c>
      <c r="E108" s="265" t="str">
        <f>IF($A108="","",SUMIFS(Txn[Signed Units],Txn[Key],$A108))</f>
        <v/>
      </c>
      <c r="F108" s="287" t="str">
        <f>IF($A108="","",SUMIFS(Txn[Buy Cost],Txn[Key],$A108))</f>
        <v/>
      </c>
      <c r="G108" s="287" t="str">
        <f>IF($A108="","",SUMIFS(Txn[Sell Proceeds],Txn[Key],$A108))</f>
        <v/>
      </c>
      <c r="H108" s="288" t="str">
        <f>IF($A108="","",IFERROR(INDEX(Prices[Current Price],MATCH($A108,Prices[Key],0)),0))</f>
        <v/>
      </c>
      <c r="I108" s="289" t="str">
        <f>IF($A108="","",IFERROR(INDEX(Prices[FX to SGD],MATCH($A108,Prices[Key],0)),1))</f>
        <v/>
      </c>
      <c r="J108" s="287" t="str">
        <f t="shared" si="17"/>
        <v/>
      </c>
      <c r="K108" s="287" t="str">
        <f t="shared" si="18"/>
        <v/>
      </c>
      <c r="L108" s="287" t="str">
        <f t="shared" si="19"/>
        <v/>
      </c>
      <c r="M108" s="290" t="str">
        <f t="shared" si="20"/>
        <v/>
      </c>
      <c r="N108" t="str">
        <f>IF($A108="","",IFERROR(INDEX(Prices[Category],MATCH($A108,Prices[Key],0)),"Uncategorized"))</f>
        <v/>
      </c>
      <c r="O108" s="291" t="str">
        <f t="shared" si="21"/>
        <v/>
      </c>
      <c r="P108" s="291" t="str">
        <f t="shared" si="22"/>
        <v/>
      </c>
    </row>
    <row r="109" spans="1:16" ht="15" customHeight="1" x14ac:dyDescent="0.2">
      <c r="A109" s="243" t="str">
        <f>IFERROR(INDEX('All Ticker P&amp;L'!$A$2:$A$1001,MATCH(ROWS($A$2:A109),'All Ticker P&amp;L'!$N$2:$N$1001,0)),"")</f>
        <v/>
      </c>
      <c r="B109" s="243" t="str">
        <f t="shared" si="14"/>
        <v/>
      </c>
      <c r="C109" s="243" t="str">
        <f t="shared" si="15"/>
        <v/>
      </c>
      <c r="D109" s="243" t="str">
        <f t="shared" si="16"/>
        <v/>
      </c>
      <c r="E109" s="265" t="str">
        <f>IF($A109="","",SUMIFS(Txn[Signed Units],Txn[Key],$A109))</f>
        <v/>
      </c>
      <c r="F109" s="287" t="str">
        <f>IF($A109="","",SUMIFS(Txn[Buy Cost],Txn[Key],$A109))</f>
        <v/>
      </c>
      <c r="G109" s="287" t="str">
        <f>IF($A109="","",SUMIFS(Txn[Sell Proceeds],Txn[Key],$A109))</f>
        <v/>
      </c>
      <c r="H109" s="288" t="str">
        <f>IF($A109="","",IFERROR(INDEX(Prices[Current Price],MATCH($A109,Prices[Key],0)),0))</f>
        <v/>
      </c>
      <c r="I109" s="289" t="str">
        <f>IF($A109="","",IFERROR(INDEX(Prices[FX to SGD],MATCH($A109,Prices[Key],0)),1))</f>
        <v/>
      </c>
      <c r="J109" s="287" t="str">
        <f t="shared" si="17"/>
        <v/>
      </c>
      <c r="K109" s="287" t="str">
        <f t="shared" si="18"/>
        <v/>
      </c>
      <c r="L109" s="287" t="str">
        <f t="shared" si="19"/>
        <v/>
      </c>
      <c r="M109" s="290" t="str">
        <f t="shared" si="20"/>
        <v/>
      </c>
      <c r="N109" t="str">
        <f>IF($A109="","",IFERROR(INDEX(Prices[Category],MATCH($A109,Prices[Key],0)),"Uncategorized"))</f>
        <v/>
      </c>
      <c r="O109" s="291" t="str">
        <f t="shared" si="21"/>
        <v/>
      </c>
      <c r="P109" s="291" t="str">
        <f t="shared" si="22"/>
        <v/>
      </c>
    </row>
    <row r="110" spans="1:16" ht="15" customHeight="1" x14ac:dyDescent="0.2">
      <c r="A110" s="243" t="str">
        <f>IFERROR(INDEX('All Ticker P&amp;L'!$A$2:$A$1001,MATCH(ROWS($A$2:A110),'All Ticker P&amp;L'!$N$2:$N$1001,0)),"")</f>
        <v/>
      </c>
      <c r="B110" s="243" t="str">
        <f t="shared" si="14"/>
        <v/>
      </c>
      <c r="C110" s="243" t="str">
        <f t="shared" si="15"/>
        <v/>
      </c>
      <c r="D110" s="243" t="str">
        <f t="shared" si="16"/>
        <v/>
      </c>
      <c r="E110" s="265" t="str">
        <f>IF($A110="","",SUMIFS(Txn[Signed Units],Txn[Key],$A110))</f>
        <v/>
      </c>
      <c r="F110" s="287" t="str">
        <f>IF($A110="","",SUMIFS(Txn[Buy Cost],Txn[Key],$A110))</f>
        <v/>
      </c>
      <c r="G110" s="287" t="str">
        <f>IF($A110="","",SUMIFS(Txn[Sell Proceeds],Txn[Key],$A110))</f>
        <v/>
      </c>
      <c r="H110" s="288" t="str">
        <f>IF($A110="","",IFERROR(INDEX(Prices[Current Price],MATCH($A110,Prices[Key],0)),0))</f>
        <v/>
      </c>
      <c r="I110" s="289" t="str">
        <f>IF($A110="","",IFERROR(INDEX(Prices[FX to SGD],MATCH($A110,Prices[Key],0)),1))</f>
        <v/>
      </c>
      <c r="J110" s="287" t="str">
        <f t="shared" si="17"/>
        <v/>
      </c>
      <c r="K110" s="287" t="str">
        <f t="shared" si="18"/>
        <v/>
      </c>
      <c r="L110" s="287" t="str">
        <f t="shared" si="19"/>
        <v/>
      </c>
      <c r="M110" s="290" t="str">
        <f t="shared" si="20"/>
        <v/>
      </c>
      <c r="N110" t="str">
        <f>IF($A110="","",IFERROR(INDEX(Prices[Category],MATCH($A110,Prices[Key],0)),"Uncategorized"))</f>
        <v/>
      </c>
      <c r="O110" s="291" t="str">
        <f t="shared" si="21"/>
        <v/>
      </c>
      <c r="P110" s="291" t="str">
        <f t="shared" si="22"/>
        <v/>
      </c>
    </row>
    <row r="111" spans="1:16" ht="15" customHeight="1" x14ac:dyDescent="0.2">
      <c r="A111" s="243" t="str">
        <f>IFERROR(INDEX('All Ticker P&amp;L'!$A$2:$A$1001,MATCH(ROWS($A$2:A111),'All Ticker P&amp;L'!$N$2:$N$1001,0)),"")</f>
        <v/>
      </c>
      <c r="B111" s="243" t="str">
        <f t="shared" si="14"/>
        <v/>
      </c>
      <c r="C111" s="243" t="str">
        <f t="shared" si="15"/>
        <v/>
      </c>
      <c r="D111" s="243" t="str">
        <f t="shared" si="16"/>
        <v/>
      </c>
      <c r="E111" s="265" t="str">
        <f>IF($A111="","",SUMIFS(Txn[Signed Units],Txn[Key],$A111))</f>
        <v/>
      </c>
      <c r="F111" s="287" t="str">
        <f>IF($A111="","",SUMIFS(Txn[Buy Cost],Txn[Key],$A111))</f>
        <v/>
      </c>
      <c r="G111" s="287" t="str">
        <f>IF($A111="","",SUMIFS(Txn[Sell Proceeds],Txn[Key],$A111))</f>
        <v/>
      </c>
      <c r="H111" s="288" t="str">
        <f>IF($A111="","",IFERROR(INDEX(Prices[Current Price],MATCH($A111,Prices[Key],0)),0))</f>
        <v/>
      </c>
      <c r="I111" s="289" t="str">
        <f>IF($A111="","",IFERROR(INDEX(Prices[FX to SGD],MATCH($A111,Prices[Key],0)),1))</f>
        <v/>
      </c>
      <c r="J111" s="287" t="str">
        <f t="shared" si="17"/>
        <v/>
      </c>
      <c r="K111" s="287" t="str">
        <f t="shared" si="18"/>
        <v/>
      </c>
      <c r="L111" s="287" t="str">
        <f t="shared" si="19"/>
        <v/>
      </c>
      <c r="M111" s="290" t="str">
        <f t="shared" si="20"/>
        <v/>
      </c>
      <c r="N111" t="str">
        <f>IF($A111="","",IFERROR(INDEX(Prices[Category],MATCH($A111,Prices[Key],0)),"Uncategorized"))</f>
        <v/>
      </c>
      <c r="O111" s="291" t="str">
        <f t="shared" si="21"/>
        <v/>
      </c>
      <c r="P111" s="291" t="str">
        <f t="shared" si="22"/>
        <v/>
      </c>
    </row>
    <row r="112" spans="1:16" ht="15" customHeight="1" x14ac:dyDescent="0.2">
      <c r="A112" s="243" t="str">
        <f>IFERROR(INDEX('All Ticker P&amp;L'!$A$2:$A$1001,MATCH(ROWS($A$2:A112),'All Ticker P&amp;L'!$N$2:$N$1001,0)),"")</f>
        <v/>
      </c>
      <c r="B112" s="243" t="str">
        <f t="shared" si="14"/>
        <v/>
      </c>
      <c r="C112" s="243" t="str">
        <f t="shared" si="15"/>
        <v/>
      </c>
      <c r="D112" s="243" t="str">
        <f t="shared" si="16"/>
        <v/>
      </c>
      <c r="E112" s="265" t="str">
        <f>IF($A112="","",SUMIFS(Txn[Signed Units],Txn[Key],$A112))</f>
        <v/>
      </c>
      <c r="F112" s="287" t="str">
        <f>IF($A112="","",SUMIFS(Txn[Buy Cost],Txn[Key],$A112))</f>
        <v/>
      </c>
      <c r="G112" s="287" t="str">
        <f>IF($A112="","",SUMIFS(Txn[Sell Proceeds],Txn[Key],$A112))</f>
        <v/>
      </c>
      <c r="H112" s="288" t="str">
        <f>IF($A112="","",IFERROR(INDEX(Prices[Current Price],MATCH($A112,Prices[Key],0)),0))</f>
        <v/>
      </c>
      <c r="I112" s="289" t="str">
        <f>IF($A112="","",IFERROR(INDEX(Prices[FX to SGD],MATCH($A112,Prices[Key],0)),1))</f>
        <v/>
      </c>
      <c r="J112" s="287" t="str">
        <f t="shared" si="17"/>
        <v/>
      </c>
      <c r="K112" s="287" t="str">
        <f t="shared" si="18"/>
        <v/>
      </c>
      <c r="L112" s="287" t="str">
        <f t="shared" si="19"/>
        <v/>
      </c>
      <c r="M112" s="290" t="str">
        <f t="shared" si="20"/>
        <v/>
      </c>
      <c r="N112" t="str">
        <f>IF($A112="","",IFERROR(INDEX(Prices[Category],MATCH($A112,Prices[Key],0)),"Uncategorized"))</f>
        <v/>
      </c>
      <c r="O112" s="291" t="str">
        <f t="shared" si="21"/>
        <v/>
      </c>
      <c r="P112" s="291" t="str">
        <f t="shared" si="22"/>
        <v/>
      </c>
    </row>
    <row r="113" spans="1:16" ht="15" customHeight="1" x14ac:dyDescent="0.2">
      <c r="A113" s="243" t="str">
        <f>IFERROR(INDEX('All Ticker P&amp;L'!$A$2:$A$1001,MATCH(ROWS($A$2:A113),'All Ticker P&amp;L'!$N$2:$N$1001,0)),"")</f>
        <v/>
      </c>
      <c r="B113" s="243" t="str">
        <f t="shared" si="14"/>
        <v/>
      </c>
      <c r="C113" s="243" t="str">
        <f t="shared" si="15"/>
        <v/>
      </c>
      <c r="D113" s="243" t="str">
        <f t="shared" si="16"/>
        <v/>
      </c>
      <c r="E113" s="265" t="str">
        <f>IF($A113="","",SUMIFS(Txn[Signed Units],Txn[Key],$A113))</f>
        <v/>
      </c>
      <c r="F113" s="287" t="str">
        <f>IF($A113="","",SUMIFS(Txn[Buy Cost],Txn[Key],$A113))</f>
        <v/>
      </c>
      <c r="G113" s="287" t="str">
        <f>IF($A113="","",SUMIFS(Txn[Sell Proceeds],Txn[Key],$A113))</f>
        <v/>
      </c>
      <c r="H113" s="288" t="str">
        <f>IF($A113="","",IFERROR(INDEX(Prices[Current Price],MATCH($A113,Prices[Key],0)),0))</f>
        <v/>
      </c>
      <c r="I113" s="289" t="str">
        <f>IF($A113="","",IFERROR(INDEX(Prices[FX to SGD],MATCH($A113,Prices[Key],0)),1))</f>
        <v/>
      </c>
      <c r="J113" s="287" t="str">
        <f t="shared" si="17"/>
        <v/>
      </c>
      <c r="K113" s="287" t="str">
        <f t="shared" si="18"/>
        <v/>
      </c>
      <c r="L113" s="287" t="str">
        <f t="shared" si="19"/>
        <v/>
      </c>
      <c r="M113" s="290" t="str">
        <f t="shared" si="20"/>
        <v/>
      </c>
      <c r="N113" t="str">
        <f>IF($A113="","",IFERROR(INDEX(Prices[Category],MATCH($A113,Prices[Key],0)),"Uncategorized"))</f>
        <v/>
      </c>
      <c r="O113" s="291" t="str">
        <f t="shared" si="21"/>
        <v/>
      </c>
      <c r="P113" s="291" t="str">
        <f t="shared" si="22"/>
        <v/>
      </c>
    </row>
    <row r="114" spans="1:16" ht="15" customHeight="1" x14ac:dyDescent="0.2">
      <c r="A114" s="243" t="str">
        <f>IFERROR(INDEX('All Ticker P&amp;L'!$A$2:$A$1001,MATCH(ROWS($A$2:A114),'All Ticker P&amp;L'!$N$2:$N$1001,0)),"")</f>
        <v/>
      </c>
      <c r="B114" s="243" t="str">
        <f t="shared" si="14"/>
        <v/>
      </c>
      <c r="C114" s="243" t="str">
        <f t="shared" si="15"/>
        <v/>
      </c>
      <c r="D114" s="243" t="str">
        <f t="shared" si="16"/>
        <v/>
      </c>
      <c r="E114" s="265" t="str">
        <f>IF($A114="","",SUMIFS(Txn[Signed Units],Txn[Key],$A114))</f>
        <v/>
      </c>
      <c r="F114" s="287" t="str">
        <f>IF($A114="","",SUMIFS(Txn[Buy Cost],Txn[Key],$A114))</f>
        <v/>
      </c>
      <c r="G114" s="287" t="str">
        <f>IF($A114="","",SUMIFS(Txn[Sell Proceeds],Txn[Key],$A114))</f>
        <v/>
      </c>
      <c r="H114" s="288" t="str">
        <f>IF($A114="","",IFERROR(INDEX(Prices[Current Price],MATCH($A114,Prices[Key],0)),0))</f>
        <v/>
      </c>
      <c r="I114" s="289" t="str">
        <f>IF($A114="","",IFERROR(INDEX(Prices[FX to SGD],MATCH($A114,Prices[Key],0)),1))</f>
        <v/>
      </c>
      <c r="J114" s="287" t="str">
        <f t="shared" si="17"/>
        <v/>
      </c>
      <c r="K114" s="287" t="str">
        <f t="shared" si="18"/>
        <v/>
      </c>
      <c r="L114" s="287" t="str">
        <f t="shared" si="19"/>
        <v/>
      </c>
      <c r="M114" s="290" t="str">
        <f t="shared" si="20"/>
        <v/>
      </c>
      <c r="N114" t="str">
        <f>IF($A114="","",IFERROR(INDEX(Prices[Category],MATCH($A114,Prices[Key],0)),"Uncategorized"))</f>
        <v/>
      </c>
      <c r="O114" s="291" t="str">
        <f t="shared" si="21"/>
        <v/>
      </c>
      <c r="P114" s="291" t="str">
        <f t="shared" si="22"/>
        <v/>
      </c>
    </row>
    <row r="115" spans="1:16" ht="15" customHeight="1" x14ac:dyDescent="0.2">
      <c r="A115" s="243" t="str">
        <f>IFERROR(INDEX('All Ticker P&amp;L'!$A$2:$A$1001,MATCH(ROWS($A$2:A115),'All Ticker P&amp;L'!$N$2:$N$1001,0)),"")</f>
        <v/>
      </c>
      <c r="B115" s="243" t="str">
        <f t="shared" si="14"/>
        <v/>
      </c>
      <c r="C115" s="243" t="str">
        <f t="shared" si="15"/>
        <v/>
      </c>
      <c r="D115" s="243" t="str">
        <f t="shared" si="16"/>
        <v/>
      </c>
      <c r="E115" s="265" t="str">
        <f>IF($A115="","",SUMIFS(Txn[Signed Units],Txn[Key],$A115))</f>
        <v/>
      </c>
      <c r="F115" s="287" t="str">
        <f>IF($A115="","",SUMIFS(Txn[Buy Cost],Txn[Key],$A115))</f>
        <v/>
      </c>
      <c r="G115" s="287" t="str">
        <f>IF($A115="","",SUMIFS(Txn[Sell Proceeds],Txn[Key],$A115))</f>
        <v/>
      </c>
      <c r="H115" s="288" t="str">
        <f>IF($A115="","",IFERROR(INDEX(Prices[Current Price],MATCH($A115,Prices[Key],0)),0))</f>
        <v/>
      </c>
      <c r="I115" s="289" t="str">
        <f>IF($A115="","",IFERROR(INDEX(Prices[FX to SGD],MATCH($A115,Prices[Key],0)),1))</f>
        <v/>
      </c>
      <c r="J115" s="287" t="str">
        <f t="shared" si="17"/>
        <v/>
      </c>
      <c r="K115" s="287" t="str">
        <f t="shared" si="18"/>
        <v/>
      </c>
      <c r="L115" s="287" t="str">
        <f t="shared" si="19"/>
        <v/>
      </c>
      <c r="M115" s="290" t="str">
        <f t="shared" si="20"/>
        <v/>
      </c>
      <c r="N115" t="str">
        <f>IF($A115="","",IFERROR(INDEX(Prices[Category],MATCH($A115,Prices[Key],0)),"Uncategorized"))</f>
        <v/>
      </c>
      <c r="O115" s="291" t="str">
        <f t="shared" si="21"/>
        <v/>
      </c>
      <c r="P115" s="291" t="str">
        <f t="shared" si="22"/>
        <v/>
      </c>
    </row>
    <row r="116" spans="1:16" ht="15" customHeight="1" x14ac:dyDescent="0.2">
      <c r="A116" s="243" t="str">
        <f>IFERROR(INDEX('All Ticker P&amp;L'!$A$2:$A$1001,MATCH(ROWS($A$2:A116),'All Ticker P&amp;L'!$N$2:$N$1001,0)),"")</f>
        <v/>
      </c>
      <c r="B116" s="243" t="str">
        <f t="shared" si="14"/>
        <v/>
      </c>
      <c r="C116" s="243" t="str">
        <f t="shared" si="15"/>
        <v/>
      </c>
      <c r="D116" s="243" t="str">
        <f t="shared" si="16"/>
        <v/>
      </c>
      <c r="E116" s="265" t="str">
        <f>IF($A116="","",SUMIFS(Txn[Signed Units],Txn[Key],$A116))</f>
        <v/>
      </c>
      <c r="F116" s="287" t="str">
        <f>IF($A116="","",SUMIFS(Txn[Buy Cost],Txn[Key],$A116))</f>
        <v/>
      </c>
      <c r="G116" s="287" t="str">
        <f>IF($A116="","",SUMIFS(Txn[Sell Proceeds],Txn[Key],$A116))</f>
        <v/>
      </c>
      <c r="H116" s="288" t="str">
        <f>IF($A116="","",IFERROR(INDEX(Prices[Current Price],MATCH($A116,Prices[Key],0)),0))</f>
        <v/>
      </c>
      <c r="I116" s="289" t="str">
        <f>IF($A116="","",IFERROR(INDEX(Prices[FX to SGD],MATCH($A116,Prices[Key],0)),1))</f>
        <v/>
      </c>
      <c r="J116" s="287" t="str">
        <f t="shared" si="17"/>
        <v/>
      </c>
      <c r="K116" s="287" t="str">
        <f t="shared" si="18"/>
        <v/>
      </c>
      <c r="L116" s="287" t="str">
        <f t="shared" si="19"/>
        <v/>
      </c>
      <c r="M116" s="290" t="str">
        <f t="shared" si="20"/>
        <v/>
      </c>
      <c r="N116" t="str">
        <f>IF($A116="","",IFERROR(INDEX(Prices[Category],MATCH($A116,Prices[Key],0)),"Uncategorized"))</f>
        <v/>
      </c>
      <c r="O116" s="291" t="str">
        <f t="shared" si="21"/>
        <v/>
      </c>
      <c r="P116" s="291" t="str">
        <f t="shared" si="22"/>
        <v/>
      </c>
    </row>
    <row r="117" spans="1:16" ht="15" customHeight="1" x14ac:dyDescent="0.2">
      <c r="A117" s="243" t="str">
        <f>IFERROR(INDEX('All Ticker P&amp;L'!$A$2:$A$1001,MATCH(ROWS($A$2:A117),'All Ticker P&amp;L'!$N$2:$N$1001,0)),"")</f>
        <v/>
      </c>
      <c r="B117" s="243" t="str">
        <f t="shared" si="14"/>
        <v/>
      </c>
      <c r="C117" s="243" t="str">
        <f t="shared" si="15"/>
        <v/>
      </c>
      <c r="D117" s="243" t="str">
        <f t="shared" si="16"/>
        <v/>
      </c>
      <c r="E117" s="265" t="str">
        <f>IF($A117="","",SUMIFS(Txn[Signed Units],Txn[Key],$A117))</f>
        <v/>
      </c>
      <c r="F117" s="287" t="str">
        <f>IF($A117="","",SUMIFS(Txn[Buy Cost],Txn[Key],$A117))</f>
        <v/>
      </c>
      <c r="G117" s="287" t="str">
        <f>IF($A117="","",SUMIFS(Txn[Sell Proceeds],Txn[Key],$A117))</f>
        <v/>
      </c>
      <c r="H117" s="288" t="str">
        <f>IF($A117="","",IFERROR(INDEX(Prices[Current Price],MATCH($A117,Prices[Key],0)),0))</f>
        <v/>
      </c>
      <c r="I117" s="289" t="str">
        <f>IF($A117="","",IFERROR(INDEX(Prices[FX to SGD],MATCH($A117,Prices[Key],0)),1))</f>
        <v/>
      </c>
      <c r="J117" s="287" t="str">
        <f t="shared" si="17"/>
        <v/>
      </c>
      <c r="K117" s="287" t="str">
        <f t="shared" si="18"/>
        <v/>
      </c>
      <c r="L117" s="287" t="str">
        <f t="shared" si="19"/>
        <v/>
      </c>
      <c r="M117" s="290" t="str">
        <f t="shared" si="20"/>
        <v/>
      </c>
      <c r="N117" t="str">
        <f>IF($A117="","",IFERROR(INDEX(Prices[Category],MATCH($A117,Prices[Key],0)),"Uncategorized"))</f>
        <v/>
      </c>
      <c r="O117" s="291" t="str">
        <f t="shared" si="21"/>
        <v/>
      </c>
      <c r="P117" s="291" t="str">
        <f t="shared" si="22"/>
        <v/>
      </c>
    </row>
    <row r="118" spans="1:16" ht="15" customHeight="1" x14ac:dyDescent="0.2">
      <c r="A118" s="243" t="str">
        <f>IFERROR(INDEX('All Ticker P&amp;L'!$A$2:$A$1001,MATCH(ROWS($A$2:A118),'All Ticker P&amp;L'!$N$2:$N$1001,0)),"")</f>
        <v/>
      </c>
      <c r="B118" s="243" t="str">
        <f t="shared" si="14"/>
        <v/>
      </c>
      <c r="C118" s="243" t="str">
        <f t="shared" si="15"/>
        <v/>
      </c>
      <c r="D118" s="243" t="str">
        <f t="shared" si="16"/>
        <v/>
      </c>
      <c r="E118" s="265" t="str">
        <f>IF($A118="","",SUMIFS(Txn[Signed Units],Txn[Key],$A118))</f>
        <v/>
      </c>
      <c r="F118" s="287" t="str">
        <f>IF($A118="","",SUMIFS(Txn[Buy Cost],Txn[Key],$A118))</f>
        <v/>
      </c>
      <c r="G118" s="287" t="str">
        <f>IF($A118="","",SUMIFS(Txn[Sell Proceeds],Txn[Key],$A118))</f>
        <v/>
      </c>
      <c r="H118" s="288" t="str">
        <f>IF($A118="","",IFERROR(INDEX(Prices[Current Price],MATCH($A118,Prices[Key],0)),0))</f>
        <v/>
      </c>
      <c r="I118" s="289" t="str">
        <f>IF($A118="","",IFERROR(INDEX(Prices[FX to SGD],MATCH($A118,Prices[Key],0)),1))</f>
        <v/>
      </c>
      <c r="J118" s="287" t="str">
        <f t="shared" si="17"/>
        <v/>
      </c>
      <c r="K118" s="287" t="str">
        <f t="shared" si="18"/>
        <v/>
      </c>
      <c r="L118" s="287" t="str">
        <f t="shared" si="19"/>
        <v/>
      </c>
      <c r="M118" s="290" t="str">
        <f t="shared" si="20"/>
        <v/>
      </c>
      <c r="N118" t="str">
        <f>IF($A118="","",IFERROR(INDEX(Prices[Category],MATCH($A118,Prices[Key],0)),"Uncategorized"))</f>
        <v/>
      </c>
      <c r="O118" s="291" t="str">
        <f t="shared" si="21"/>
        <v/>
      </c>
      <c r="P118" s="291" t="str">
        <f t="shared" si="22"/>
        <v/>
      </c>
    </row>
    <row r="119" spans="1:16" ht="15" customHeight="1" x14ac:dyDescent="0.2">
      <c r="A119" s="243" t="str">
        <f>IFERROR(INDEX('All Ticker P&amp;L'!$A$2:$A$1001,MATCH(ROWS($A$2:A119),'All Ticker P&amp;L'!$N$2:$N$1001,0)),"")</f>
        <v/>
      </c>
      <c r="B119" s="243" t="str">
        <f t="shared" si="14"/>
        <v/>
      </c>
      <c r="C119" s="243" t="str">
        <f t="shared" si="15"/>
        <v/>
      </c>
      <c r="D119" s="243" t="str">
        <f t="shared" si="16"/>
        <v/>
      </c>
      <c r="E119" s="265" t="str">
        <f>IF($A119="","",SUMIFS(Txn[Signed Units],Txn[Key],$A119))</f>
        <v/>
      </c>
      <c r="F119" s="287" t="str">
        <f>IF($A119="","",SUMIFS(Txn[Buy Cost],Txn[Key],$A119))</f>
        <v/>
      </c>
      <c r="G119" s="287" t="str">
        <f>IF($A119="","",SUMIFS(Txn[Sell Proceeds],Txn[Key],$A119))</f>
        <v/>
      </c>
      <c r="H119" s="288" t="str">
        <f>IF($A119="","",IFERROR(INDEX(Prices[Current Price],MATCH($A119,Prices[Key],0)),0))</f>
        <v/>
      </c>
      <c r="I119" s="289" t="str">
        <f>IF($A119="","",IFERROR(INDEX(Prices[FX to SGD],MATCH($A119,Prices[Key],0)),1))</f>
        <v/>
      </c>
      <c r="J119" s="287" t="str">
        <f t="shared" si="17"/>
        <v/>
      </c>
      <c r="K119" s="287" t="str">
        <f t="shared" si="18"/>
        <v/>
      </c>
      <c r="L119" s="287" t="str">
        <f t="shared" si="19"/>
        <v/>
      </c>
      <c r="M119" s="290" t="str">
        <f t="shared" si="20"/>
        <v/>
      </c>
      <c r="N119" t="str">
        <f>IF($A119="","",IFERROR(INDEX(Prices[Category],MATCH($A119,Prices[Key],0)),"Uncategorized"))</f>
        <v/>
      </c>
      <c r="O119" s="291" t="str">
        <f t="shared" si="21"/>
        <v/>
      </c>
      <c r="P119" s="291" t="str">
        <f t="shared" si="22"/>
        <v/>
      </c>
    </row>
    <row r="120" spans="1:16" ht="15" customHeight="1" x14ac:dyDescent="0.2">
      <c r="A120" s="243" t="str">
        <f>IFERROR(INDEX('All Ticker P&amp;L'!$A$2:$A$1001,MATCH(ROWS($A$2:A120),'All Ticker P&amp;L'!$N$2:$N$1001,0)),"")</f>
        <v/>
      </c>
      <c r="B120" s="243" t="str">
        <f t="shared" si="14"/>
        <v/>
      </c>
      <c r="C120" s="243" t="str">
        <f t="shared" si="15"/>
        <v/>
      </c>
      <c r="D120" s="243" t="str">
        <f t="shared" si="16"/>
        <v/>
      </c>
      <c r="E120" s="265" t="str">
        <f>IF($A120="","",SUMIFS(Txn[Signed Units],Txn[Key],$A120))</f>
        <v/>
      </c>
      <c r="F120" s="287" t="str">
        <f>IF($A120="","",SUMIFS(Txn[Buy Cost],Txn[Key],$A120))</f>
        <v/>
      </c>
      <c r="G120" s="287" t="str">
        <f>IF($A120="","",SUMIFS(Txn[Sell Proceeds],Txn[Key],$A120))</f>
        <v/>
      </c>
      <c r="H120" s="288" t="str">
        <f>IF($A120="","",IFERROR(INDEX(Prices[Current Price],MATCH($A120,Prices[Key],0)),0))</f>
        <v/>
      </c>
      <c r="I120" s="289" t="str">
        <f>IF($A120="","",IFERROR(INDEX(Prices[FX to SGD],MATCH($A120,Prices[Key],0)),1))</f>
        <v/>
      </c>
      <c r="J120" s="287" t="str">
        <f t="shared" si="17"/>
        <v/>
      </c>
      <c r="K120" s="287" t="str">
        <f t="shared" si="18"/>
        <v/>
      </c>
      <c r="L120" s="287" t="str">
        <f t="shared" si="19"/>
        <v/>
      </c>
      <c r="M120" s="290" t="str">
        <f t="shared" si="20"/>
        <v/>
      </c>
      <c r="N120" t="str">
        <f>IF($A120="","",IFERROR(INDEX(Prices[Category],MATCH($A120,Prices[Key],0)),"Uncategorized"))</f>
        <v/>
      </c>
      <c r="O120" s="291" t="str">
        <f t="shared" si="21"/>
        <v/>
      </c>
      <c r="P120" s="291" t="str">
        <f t="shared" si="22"/>
        <v/>
      </c>
    </row>
    <row r="121" spans="1:16" ht="15" customHeight="1" x14ac:dyDescent="0.2">
      <c r="A121" s="243" t="str">
        <f>IFERROR(INDEX('All Ticker P&amp;L'!$A$2:$A$1001,MATCH(ROWS($A$2:A121),'All Ticker P&amp;L'!$N$2:$N$1001,0)),"")</f>
        <v/>
      </c>
      <c r="B121" s="243" t="str">
        <f t="shared" si="14"/>
        <v/>
      </c>
      <c r="C121" s="243" t="str">
        <f t="shared" si="15"/>
        <v/>
      </c>
      <c r="D121" s="243" t="str">
        <f t="shared" si="16"/>
        <v/>
      </c>
      <c r="E121" s="265" t="str">
        <f>IF($A121="","",SUMIFS(Txn[Signed Units],Txn[Key],$A121))</f>
        <v/>
      </c>
      <c r="F121" s="287" t="str">
        <f>IF($A121="","",SUMIFS(Txn[Buy Cost],Txn[Key],$A121))</f>
        <v/>
      </c>
      <c r="G121" s="287" t="str">
        <f>IF($A121="","",SUMIFS(Txn[Sell Proceeds],Txn[Key],$A121))</f>
        <v/>
      </c>
      <c r="H121" s="288" t="str">
        <f>IF($A121="","",IFERROR(INDEX(Prices[Current Price],MATCH($A121,Prices[Key],0)),0))</f>
        <v/>
      </c>
      <c r="I121" s="289" t="str">
        <f>IF($A121="","",IFERROR(INDEX(Prices[FX to SGD],MATCH($A121,Prices[Key],0)),1))</f>
        <v/>
      </c>
      <c r="J121" s="287" t="str">
        <f t="shared" si="17"/>
        <v/>
      </c>
      <c r="K121" s="287" t="str">
        <f t="shared" si="18"/>
        <v/>
      </c>
      <c r="L121" s="287" t="str">
        <f t="shared" si="19"/>
        <v/>
      </c>
      <c r="M121" s="290" t="str">
        <f t="shared" si="20"/>
        <v/>
      </c>
      <c r="N121" t="str">
        <f>IF($A121="","",IFERROR(INDEX(Prices[Category],MATCH($A121,Prices[Key],0)),"Uncategorized"))</f>
        <v/>
      </c>
      <c r="O121" s="291" t="str">
        <f t="shared" si="21"/>
        <v/>
      </c>
      <c r="P121" s="291" t="str">
        <f t="shared" si="22"/>
        <v/>
      </c>
    </row>
    <row r="122" spans="1:16" ht="15" customHeight="1" x14ac:dyDescent="0.2">
      <c r="A122" s="243" t="str">
        <f>IFERROR(INDEX('All Ticker P&amp;L'!$A$2:$A$1001,MATCH(ROWS($A$2:A122),'All Ticker P&amp;L'!$N$2:$N$1001,0)),"")</f>
        <v/>
      </c>
      <c r="B122" s="243" t="str">
        <f t="shared" si="14"/>
        <v/>
      </c>
      <c r="C122" s="243" t="str">
        <f t="shared" si="15"/>
        <v/>
      </c>
      <c r="D122" s="243" t="str">
        <f t="shared" si="16"/>
        <v/>
      </c>
      <c r="E122" s="265" t="str">
        <f>IF($A122="","",SUMIFS(Txn[Signed Units],Txn[Key],$A122))</f>
        <v/>
      </c>
      <c r="F122" s="287" t="str">
        <f>IF($A122="","",SUMIFS(Txn[Buy Cost],Txn[Key],$A122))</f>
        <v/>
      </c>
      <c r="G122" s="287" t="str">
        <f>IF($A122="","",SUMIFS(Txn[Sell Proceeds],Txn[Key],$A122))</f>
        <v/>
      </c>
      <c r="H122" s="288" t="str">
        <f>IF($A122="","",IFERROR(INDEX(Prices[Current Price],MATCH($A122,Prices[Key],0)),0))</f>
        <v/>
      </c>
      <c r="I122" s="289" t="str">
        <f>IF($A122="","",IFERROR(INDEX(Prices[FX to SGD],MATCH($A122,Prices[Key],0)),1))</f>
        <v/>
      </c>
      <c r="J122" s="287" t="str">
        <f t="shared" si="17"/>
        <v/>
      </c>
      <c r="K122" s="287" t="str">
        <f t="shared" si="18"/>
        <v/>
      </c>
      <c r="L122" s="287" t="str">
        <f t="shared" si="19"/>
        <v/>
      </c>
      <c r="M122" s="290" t="str">
        <f t="shared" si="20"/>
        <v/>
      </c>
      <c r="N122" t="str">
        <f>IF($A122="","",IFERROR(INDEX(Prices[Category],MATCH($A122,Prices[Key],0)),"Uncategorized"))</f>
        <v/>
      </c>
      <c r="O122" s="291" t="str">
        <f t="shared" si="21"/>
        <v/>
      </c>
      <c r="P122" s="291" t="str">
        <f t="shared" si="22"/>
        <v/>
      </c>
    </row>
    <row r="123" spans="1:16" ht="15" customHeight="1" x14ac:dyDescent="0.2">
      <c r="A123" s="243" t="str">
        <f>IFERROR(INDEX('All Ticker P&amp;L'!$A$2:$A$1001,MATCH(ROWS($A$2:A123),'All Ticker P&amp;L'!$N$2:$N$1001,0)),"")</f>
        <v/>
      </c>
      <c r="B123" s="243" t="str">
        <f t="shared" si="14"/>
        <v/>
      </c>
      <c r="C123" s="243" t="str">
        <f t="shared" si="15"/>
        <v/>
      </c>
      <c r="D123" s="243" t="str">
        <f t="shared" si="16"/>
        <v/>
      </c>
      <c r="E123" s="265" t="str">
        <f>IF($A123="","",SUMIFS(Txn[Signed Units],Txn[Key],$A123))</f>
        <v/>
      </c>
      <c r="F123" s="287" t="str">
        <f>IF($A123="","",SUMIFS(Txn[Buy Cost],Txn[Key],$A123))</f>
        <v/>
      </c>
      <c r="G123" s="287" t="str">
        <f>IF($A123="","",SUMIFS(Txn[Sell Proceeds],Txn[Key],$A123))</f>
        <v/>
      </c>
      <c r="H123" s="288" t="str">
        <f>IF($A123="","",IFERROR(INDEX(Prices[Current Price],MATCH($A123,Prices[Key],0)),0))</f>
        <v/>
      </c>
      <c r="I123" s="289" t="str">
        <f>IF($A123="","",IFERROR(INDEX(Prices[FX to SGD],MATCH($A123,Prices[Key],0)),1))</f>
        <v/>
      </c>
      <c r="J123" s="287" t="str">
        <f t="shared" si="17"/>
        <v/>
      </c>
      <c r="K123" s="287" t="str">
        <f t="shared" si="18"/>
        <v/>
      </c>
      <c r="L123" s="287" t="str">
        <f t="shared" si="19"/>
        <v/>
      </c>
      <c r="M123" s="290" t="str">
        <f t="shared" si="20"/>
        <v/>
      </c>
      <c r="N123" t="str">
        <f>IF($A123="","",IFERROR(INDEX(Prices[Category],MATCH($A123,Prices[Key],0)),"Uncategorized"))</f>
        <v/>
      </c>
      <c r="O123" s="291" t="str">
        <f t="shared" si="21"/>
        <v/>
      </c>
      <c r="P123" s="291" t="str">
        <f t="shared" si="22"/>
        <v/>
      </c>
    </row>
    <row r="124" spans="1:16" ht="15" customHeight="1" x14ac:dyDescent="0.2">
      <c r="A124" s="243" t="str">
        <f>IFERROR(INDEX('All Ticker P&amp;L'!$A$2:$A$1001,MATCH(ROWS($A$2:A124),'All Ticker P&amp;L'!$N$2:$N$1001,0)),"")</f>
        <v/>
      </c>
      <c r="B124" s="243" t="str">
        <f t="shared" si="14"/>
        <v/>
      </c>
      <c r="C124" s="243" t="str">
        <f t="shared" si="15"/>
        <v/>
      </c>
      <c r="D124" s="243" t="str">
        <f t="shared" si="16"/>
        <v/>
      </c>
      <c r="E124" s="265" t="str">
        <f>IF($A124="","",SUMIFS(Txn[Signed Units],Txn[Key],$A124))</f>
        <v/>
      </c>
      <c r="F124" s="287" t="str">
        <f>IF($A124="","",SUMIFS(Txn[Buy Cost],Txn[Key],$A124))</f>
        <v/>
      </c>
      <c r="G124" s="287" t="str">
        <f>IF($A124="","",SUMIFS(Txn[Sell Proceeds],Txn[Key],$A124))</f>
        <v/>
      </c>
      <c r="H124" s="288" t="str">
        <f>IF($A124="","",IFERROR(INDEX(Prices[Current Price],MATCH($A124,Prices[Key],0)),0))</f>
        <v/>
      </c>
      <c r="I124" s="289" t="str">
        <f>IF($A124="","",IFERROR(INDEX(Prices[FX to SGD],MATCH($A124,Prices[Key],0)),1))</f>
        <v/>
      </c>
      <c r="J124" s="287" t="str">
        <f t="shared" si="17"/>
        <v/>
      </c>
      <c r="K124" s="287" t="str">
        <f t="shared" si="18"/>
        <v/>
      </c>
      <c r="L124" s="287" t="str">
        <f t="shared" si="19"/>
        <v/>
      </c>
      <c r="M124" s="290" t="str">
        <f t="shared" si="20"/>
        <v/>
      </c>
      <c r="N124" t="str">
        <f>IF($A124="","",IFERROR(INDEX(Prices[Category],MATCH($A124,Prices[Key],0)),"Uncategorized"))</f>
        <v/>
      </c>
      <c r="O124" s="291" t="str">
        <f t="shared" si="21"/>
        <v/>
      </c>
      <c r="P124" s="291" t="str">
        <f t="shared" si="22"/>
        <v/>
      </c>
    </row>
    <row r="125" spans="1:16" ht="15" customHeight="1" x14ac:dyDescent="0.2">
      <c r="A125" s="243" t="str">
        <f>IFERROR(INDEX('All Ticker P&amp;L'!$A$2:$A$1001,MATCH(ROWS($A$2:A125),'All Ticker P&amp;L'!$N$2:$N$1001,0)),"")</f>
        <v/>
      </c>
      <c r="B125" s="243" t="str">
        <f t="shared" si="14"/>
        <v/>
      </c>
      <c r="C125" s="243" t="str">
        <f t="shared" si="15"/>
        <v/>
      </c>
      <c r="D125" s="243" t="str">
        <f t="shared" si="16"/>
        <v/>
      </c>
      <c r="E125" s="265" t="str">
        <f>IF($A125="","",SUMIFS(Txn[Signed Units],Txn[Key],$A125))</f>
        <v/>
      </c>
      <c r="F125" s="287" t="str">
        <f>IF($A125="","",SUMIFS(Txn[Buy Cost],Txn[Key],$A125))</f>
        <v/>
      </c>
      <c r="G125" s="287" t="str">
        <f>IF($A125="","",SUMIFS(Txn[Sell Proceeds],Txn[Key],$A125))</f>
        <v/>
      </c>
      <c r="H125" s="288" t="str">
        <f>IF($A125="","",IFERROR(INDEX(Prices[Current Price],MATCH($A125,Prices[Key],0)),0))</f>
        <v/>
      </c>
      <c r="I125" s="289" t="str">
        <f>IF($A125="","",IFERROR(INDEX(Prices[FX to SGD],MATCH($A125,Prices[Key],0)),1))</f>
        <v/>
      </c>
      <c r="J125" s="287" t="str">
        <f t="shared" si="17"/>
        <v/>
      </c>
      <c r="K125" s="287" t="str">
        <f t="shared" si="18"/>
        <v/>
      </c>
      <c r="L125" s="287" t="str">
        <f t="shared" si="19"/>
        <v/>
      </c>
      <c r="M125" s="290" t="str">
        <f t="shared" si="20"/>
        <v/>
      </c>
      <c r="N125" t="str">
        <f>IF($A125="","",IFERROR(INDEX(Prices[Category],MATCH($A125,Prices[Key],0)),"Uncategorized"))</f>
        <v/>
      </c>
      <c r="O125" s="291" t="str">
        <f t="shared" si="21"/>
        <v/>
      </c>
      <c r="P125" s="291" t="str">
        <f t="shared" si="22"/>
        <v/>
      </c>
    </row>
    <row r="126" spans="1:16" ht="15" customHeight="1" x14ac:dyDescent="0.2">
      <c r="A126" s="243" t="str">
        <f>IFERROR(INDEX('All Ticker P&amp;L'!$A$2:$A$1001,MATCH(ROWS($A$2:A126),'All Ticker P&amp;L'!$N$2:$N$1001,0)),"")</f>
        <v/>
      </c>
      <c r="B126" s="243" t="str">
        <f t="shared" si="14"/>
        <v/>
      </c>
      <c r="C126" s="243" t="str">
        <f t="shared" si="15"/>
        <v/>
      </c>
      <c r="D126" s="243" t="str">
        <f t="shared" si="16"/>
        <v/>
      </c>
      <c r="E126" s="265" t="str">
        <f>IF($A126="","",SUMIFS(Txn[Signed Units],Txn[Key],$A126))</f>
        <v/>
      </c>
      <c r="F126" s="287" t="str">
        <f>IF($A126="","",SUMIFS(Txn[Buy Cost],Txn[Key],$A126))</f>
        <v/>
      </c>
      <c r="G126" s="287" t="str">
        <f>IF($A126="","",SUMIFS(Txn[Sell Proceeds],Txn[Key],$A126))</f>
        <v/>
      </c>
      <c r="H126" s="288" t="str">
        <f>IF($A126="","",IFERROR(INDEX(Prices[Current Price],MATCH($A126,Prices[Key],0)),0))</f>
        <v/>
      </c>
      <c r="I126" s="289" t="str">
        <f>IF($A126="","",IFERROR(INDEX(Prices[FX to SGD],MATCH($A126,Prices[Key],0)),1))</f>
        <v/>
      </c>
      <c r="J126" s="287" t="str">
        <f t="shared" si="17"/>
        <v/>
      </c>
      <c r="K126" s="287" t="str">
        <f t="shared" si="18"/>
        <v/>
      </c>
      <c r="L126" s="287" t="str">
        <f t="shared" si="19"/>
        <v/>
      </c>
      <c r="M126" s="290" t="str">
        <f t="shared" si="20"/>
        <v/>
      </c>
      <c r="N126" t="str">
        <f>IF($A126="","",IFERROR(INDEX(Prices[Category],MATCH($A126,Prices[Key],0)),"Uncategorized"))</f>
        <v/>
      </c>
      <c r="O126" s="291" t="str">
        <f t="shared" si="21"/>
        <v/>
      </c>
      <c r="P126" s="291" t="str">
        <f t="shared" si="22"/>
        <v/>
      </c>
    </row>
    <row r="127" spans="1:16" ht="15" customHeight="1" x14ac:dyDescent="0.2">
      <c r="A127" s="243" t="str">
        <f>IFERROR(INDEX('All Ticker P&amp;L'!$A$2:$A$1001,MATCH(ROWS($A$2:A127),'All Ticker P&amp;L'!$N$2:$N$1001,0)),"")</f>
        <v/>
      </c>
      <c r="B127" s="243" t="str">
        <f t="shared" si="14"/>
        <v/>
      </c>
      <c r="C127" s="243" t="str">
        <f t="shared" si="15"/>
        <v/>
      </c>
      <c r="D127" s="243" t="str">
        <f t="shared" si="16"/>
        <v/>
      </c>
      <c r="E127" s="265" t="str">
        <f>IF($A127="","",SUMIFS(Txn[Signed Units],Txn[Key],$A127))</f>
        <v/>
      </c>
      <c r="F127" s="287" t="str">
        <f>IF($A127="","",SUMIFS(Txn[Buy Cost],Txn[Key],$A127))</f>
        <v/>
      </c>
      <c r="G127" s="287" t="str">
        <f>IF($A127="","",SUMIFS(Txn[Sell Proceeds],Txn[Key],$A127))</f>
        <v/>
      </c>
      <c r="H127" s="288" t="str">
        <f>IF($A127="","",IFERROR(INDEX(Prices[Current Price],MATCH($A127,Prices[Key],0)),0))</f>
        <v/>
      </c>
      <c r="I127" s="289" t="str">
        <f>IF($A127="","",IFERROR(INDEX(Prices[FX to SGD],MATCH($A127,Prices[Key],0)),1))</f>
        <v/>
      </c>
      <c r="J127" s="287" t="str">
        <f t="shared" si="17"/>
        <v/>
      </c>
      <c r="K127" s="287" t="str">
        <f t="shared" si="18"/>
        <v/>
      </c>
      <c r="L127" s="287" t="str">
        <f t="shared" si="19"/>
        <v/>
      </c>
      <c r="M127" s="290" t="str">
        <f t="shared" si="20"/>
        <v/>
      </c>
      <c r="N127" t="str">
        <f>IF($A127="","",IFERROR(INDEX(Prices[Category],MATCH($A127,Prices[Key],0)),"Uncategorized"))</f>
        <v/>
      </c>
      <c r="O127" s="291" t="str">
        <f t="shared" si="21"/>
        <v/>
      </c>
      <c r="P127" s="291" t="str">
        <f t="shared" si="22"/>
        <v/>
      </c>
    </row>
    <row r="128" spans="1:16" ht="15" customHeight="1" x14ac:dyDescent="0.2">
      <c r="A128" s="243" t="str">
        <f>IFERROR(INDEX('All Ticker P&amp;L'!$A$2:$A$1001,MATCH(ROWS($A$2:A128),'All Ticker P&amp;L'!$N$2:$N$1001,0)),"")</f>
        <v/>
      </c>
      <c r="B128" s="243" t="str">
        <f t="shared" si="14"/>
        <v/>
      </c>
      <c r="C128" s="243" t="str">
        <f t="shared" si="15"/>
        <v/>
      </c>
      <c r="D128" s="243" t="str">
        <f t="shared" si="16"/>
        <v/>
      </c>
      <c r="E128" s="265" t="str">
        <f>IF($A128="","",SUMIFS(Txn[Signed Units],Txn[Key],$A128))</f>
        <v/>
      </c>
      <c r="F128" s="287" t="str">
        <f>IF($A128="","",SUMIFS(Txn[Buy Cost],Txn[Key],$A128))</f>
        <v/>
      </c>
      <c r="G128" s="287" t="str">
        <f>IF($A128="","",SUMIFS(Txn[Sell Proceeds],Txn[Key],$A128))</f>
        <v/>
      </c>
      <c r="H128" s="288" t="str">
        <f>IF($A128="","",IFERROR(INDEX(Prices[Current Price],MATCH($A128,Prices[Key],0)),0))</f>
        <v/>
      </c>
      <c r="I128" s="289" t="str">
        <f>IF($A128="","",IFERROR(INDEX(Prices[FX to SGD],MATCH($A128,Prices[Key],0)),1))</f>
        <v/>
      </c>
      <c r="J128" s="287" t="str">
        <f t="shared" si="17"/>
        <v/>
      </c>
      <c r="K128" s="287" t="str">
        <f t="shared" si="18"/>
        <v/>
      </c>
      <c r="L128" s="287" t="str">
        <f t="shared" si="19"/>
        <v/>
      </c>
      <c r="M128" s="290" t="str">
        <f t="shared" si="20"/>
        <v/>
      </c>
      <c r="N128" t="str">
        <f>IF($A128="","",IFERROR(INDEX(Prices[Category],MATCH($A128,Prices[Key],0)),"Uncategorized"))</f>
        <v/>
      </c>
      <c r="O128" s="291" t="str">
        <f t="shared" si="21"/>
        <v/>
      </c>
      <c r="P128" s="291" t="str">
        <f t="shared" si="22"/>
        <v/>
      </c>
    </row>
    <row r="129" spans="1:16" ht="15" customHeight="1" x14ac:dyDescent="0.2">
      <c r="A129" s="243" t="str">
        <f>IFERROR(INDEX('All Ticker P&amp;L'!$A$2:$A$1001,MATCH(ROWS($A$2:A129),'All Ticker P&amp;L'!$N$2:$N$1001,0)),"")</f>
        <v/>
      </c>
      <c r="B129" s="243" t="str">
        <f t="shared" si="14"/>
        <v/>
      </c>
      <c r="C129" s="243" t="str">
        <f t="shared" si="15"/>
        <v/>
      </c>
      <c r="D129" s="243" t="str">
        <f t="shared" si="16"/>
        <v/>
      </c>
      <c r="E129" s="265" t="str">
        <f>IF($A129="","",SUMIFS(Txn[Signed Units],Txn[Key],$A129))</f>
        <v/>
      </c>
      <c r="F129" s="287" t="str">
        <f>IF($A129="","",SUMIFS(Txn[Buy Cost],Txn[Key],$A129))</f>
        <v/>
      </c>
      <c r="G129" s="287" t="str">
        <f>IF($A129="","",SUMIFS(Txn[Sell Proceeds],Txn[Key],$A129))</f>
        <v/>
      </c>
      <c r="H129" s="288" t="str">
        <f>IF($A129="","",IFERROR(INDEX(Prices[Current Price],MATCH($A129,Prices[Key],0)),0))</f>
        <v/>
      </c>
      <c r="I129" s="289" t="str">
        <f>IF($A129="","",IFERROR(INDEX(Prices[FX to SGD],MATCH($A129,Prices[Key],0)),1))</f>
        <v/>
      </c>
      <c r="J129" s="287" t="str">
        <f t="shared" si="17"/>
        <v/>
      </c>
      <c r="K129" s="287" t="str">
        <f t="shared" si="18"/>
        <v/>
      </c>
      <c r="L129" s="287" t="str">
        <f t="shared" si="19"/>
        <v/>
      </c>
      <c r="M129" s="290" t="str">
        <f t="shared" si="20"/>
        <v/>
      </c>
      <c r="N129" t="str">
        <f>IF($A129="","",IFERROR(INDEX(Prices[Category],MATCH($A129,Prices[Key],0)),"Uncategorized"))</f>
        <v/>
      </c>
      <c r="O129" s="291" t="str">
        <f t="shared" si="21"/>
        <v/>
      </c>
      <c r="P129" s="291" t="str">
        <f t="shared" si="22"/>
        <v/>
      </c>
    </row>
    <row r="130" spans="1:16" ht="15" customHeight="1" x14ac:dyDescent="0.2">
      <c r="A130" s="243" t="str">
        <f>IFERROR(INDEX('All Ticker P&amp;L'!$A$2:$A$1001,MATCH(ROWS($A$2:A130),'All Ticker P&amp;L'!$N$2:$N$1001,0)),"")</f>
        <v/>
      </c>
      <c r="B130" s="243" t="str">
        <f t="shared" ref="B130:B193" si="23">IF($A130="","",LEFT($A130,FIND(":",$A130)-1))</f>
        <v/>
      </c>
      <c r="C130" s="243" t="str">
        <f t="shared" ref="C130:C193" si="24">IF($A130="","",MID($A130,FIND(":",$A130)+1,FIND(":",$A130,FIND(":",$A130)+1)-FIND(":",$A130)-1))</f>
        <v/>
      </c>
      <c r="D130" s="243" t="str">
        <f t="shared" ref="D130:D193" si="25">IF($A130="","",RIGHT($A130,LEN($A130)-FIND(":",$A130,FIND(":",$A130)+1)))</f>
        <v/>
      </c>
      <c r="E130" s="265" t="str">
        <f>IF($A130="","",SUMIFS(Txn[Signed Units],Txn[Key],$A130))</f>
        <v/>
      </c>
      <c r="F130" s="287" t="str">
        <f>IF($A130="","",SUMIFS(Txn[Buy Cost],Txn[Key],$A130))</f>
        <v/>
      </c>
      <c r="G130" s="287" t="str">
        <f>IF($A130="","",SUMIFS(Txn[Sell Proceeds],Txn[Key],$A130))</f>
        <v/>
      </c>
      <c r="H130" s="288" t="str">
        <f>IF($A130="","",IFERROR(INDEX(Prices[Current Price],MATCH($A130,Prices[Key],0)),0))</f>
        <v/>
      </c>
      <c r="I130" s="289" t="str">
        <f>IF($A130="","",IFERROR(INDEX(Prices[FX to SGD],MATCH($A130,Prices[Key],0)),1))</f>
        <v/>
      </c>
      <c r="J130" s="287" t="str">
        <f t="shared" ref="J130:J193" si="26">IF($A130="","",E130*H130)</f>
        <v/>
      </c>
      <c r="K130" s="287" t="str">
        <f t="shared" ref="K130:K193" si="27">IF($A130="","",J130+G130-F130)</f>
        <v/>
      </c>
      <c r="L130" s="287" t="str">
        <f t="shared" ref="L130:L193" si="28">IF($A130="","",K130*I130)</f>
        <v/>
      </c>
      <c r="M130" s="290" t="str">
        <f t="shared" ref="M130:M193" si="29">IF($A130="","",IFERROR(K130/F130,0))</f>
        <v/>
      </c>
      <c r="N130" t="str">
        <f>IF($A130="","",IFERROR(INDEX(Prices[Category],MATCH($A130,Prices[Key],0)),"Uncategorized"))</f>
        <v/>
      </c>
      <c r="O130" s="291" t="str">
        <f t="shared" ref="O130:O193" si="30">IF($A130="","",$J130*$I130)</f>
        <v/>
      </c>
      <c r="P130" s="291" t="str">
        <f t="shared" ref="P130:P193" si="31">IF($A130="","",$L130)</f>
        <v/>
      </c>
    </row>
    <row r="131" spans="1:16" ht="15" customHeight="1" x14ac:dyDescent="0.2">
      <c r="A131" s="243" t="str">
        <f>IFERROR(INDEX('All Ticker P&amp;L'!$A$2:$A$1001,MATCH(ROWS($A$2:A131),'All Ticker P&amp;L'!$N$2:$N$1001,0)),"")</f>
        <v/>
      </c>
      <c r="B131" s="243" t="str">
        <f t="shared" si="23"/>
        <v/>
      </c>
      <c r="C131" s="243" t="str">
        <f t="shared" si="24"/>
        <v/>
      </c>
      <c r="D131" s="243" t="str">
        <f t="shared" si="25"/>
        <v/>
      </c>
      <c r="E131" s="265" t="str">
        <f>IF($A131="","",SUMIFS(Txn[Signed Units],Txn[Key],$A131))</f>
        <v/>
      </c>
      <c r="F131" s="287" t="str">
        <f>IF($A131="","",SUMIFS(Txn[Buy Cost],Txn[Key],$A131))</f>
        <v/>
      </c>
      <c r="G131" s="287" t="str">
        <f>IF($A131="","",SUMIFS(Txn[Sell Proceeds],Txn[Key],$A131))</f>
        <v/>
      </c>
      <c r="H131" s="288" t="str">
        <f>IF($A131="","",IFERROR(INDEX(Prices[Current Price],MATCH($A131,Prices[Key],0)),0))</f>
        <v/>
      </c>
      <c r="I131" s="289" t="str">
        <f>IF($A131="","",IFERROR(INDEX(Prices[FX to SGD],MATCH($A131,Prices[Key],0)),1))</f>
        <v/>
      </c>
      <c r="J131" s="287" t="str">
        <f t="shared" si="26"/>
        <v/>
      </c>
      <c r="K131" s="287" t="str">
        <f t="shared" si="27"/>
        <v/>
      </c>
      <c r="L131" s="287" t="str">
        <f t="shared" si="28"/>
        <v/>
      </c>
      <c r="M131" s="290" t="str">
        <f t="shared" si="29"/>
        <v/>
      </c>
      <c r="N131" t="str">
        <f>IF($A131="","",IFERROR(INDEX(Prices[Category],MATCH($A131,Prices[Key],0)),"Uncategorized"))</f>
        <v/>
      </c>
      <c r="O131" s="291" t="str">
        <f t="shared" si="30"/>
        <v/>
      </c>
      <c r="P131" s="291" t="str">
        <f t="shared" si="31"/>
        <v/>
      </c>
    </row>
    <row r="132" spans="1:16" ht="15" customHeight="1" x14ac:dyDescent="0.2">
      <c r="A132" s="243" t="str">
        <f>IFERROR(INDEX('All Ticker P&amp;L'!$A$2:$A$1001,MATCH(ROWS($A$2:A132),'All Ticker P&amp;L'!$N$2:$N$1001,0)),"")</f>
        <v/>
      </c>
      <c r="B132" s="243" t="str">
        <f t="shared" si="23"/>
        <v/>
      </c>
      <c r="C132" s="243" t="str">
        <f t="shared" si="24"/>
        <v/>
      </c>
      <c r="D132" s="243" t="str">
        <f t="shared" si="25"/>
        <v/>
      </c>
      <c r="E132" s="265" t="str">
        <f>IF($A132="","",SUMIFS(Txn[Signed Units],Txn[Key],$A132))</f>
        <v/>
      </c>
      <c r="F132" s="287" t="str">
        <f>IF($A132="","",SUMIFS(Txn[Buy Cost],Txn[Key],$A132))</f>
        <v/>
      </c>
      <c r="G132" s="287" t="str">
        <f>IF($A132="","",SUMIFS(Txn[Sell Proceeds],Txn[Key],$A132))</f>
        <v/>
      </c>
      <c r="H132" s="288" t="str">
        <f>IF($A132="","",IFERROR(INDEX(Prices[Current Price],MATCH($A132,Prices[Key],0)),0))</f>
        <v/>
      </c>
      <c r="I132" s="289" t="str">
        <f>IF($A132="","",IFERROR(INDEX(Prices[FX to SGD],MATCH($A132,Prices[Key],0)),1))</f>
        <v/>
      </c>
      <c r="J132" s="287" t="str">
        <f t="shared" si="26"/>
        <v/>
      </c>
      <c r="K132" s="287" t="str">
        <f t="shared" si="27"/>
        <v/>
      </c>
      <c r="L132" s="287" t="str">
        <f t="shared" si="28"/>
        <v/>
      </c>
      <c r="M132" s="290" t="str">
        <f t="shared" si="29"/>
        <v/>
      </c>
      <c r="N132" t="str">
        <f>IF($A132="","",IFERROR(INDEX(Prices[Category],MATCH($A132,Prices[Key],0)),"Uncategorized"))</f>
        <v/>
      </c>
      <c r="O132" s="291" t="str">
        <f t="shared" si="30"/>
        <v/>
      </c>
      <c r="P132" s="291" t="str">
        <f t="shared" si="31"/>
        <v/>
      </c>
    </row>
    <row r="133" spans="1:16" ht="15" customHeight="1" x14ac:dyDescent="0.2">
      <c r="A133" s="243" t="str">
        <f>IFERROR(INDEX('All Ticker P&amp;L'!$A$2:$A$1001,MATCH(ROWS($A$2:A133),'All Ticker P&amp;L'!$N$2:$N$1001,0)),"")</f>
        <v/>
      </c>
      <c r="B133" s="243" t="str">
        <f t="shared" si="23"/>
        <v/>
      </c>
      <c r="C133" s="243" t="str">
        <f t="shared" si="24"/>
        <v/>
      </c>
      <c r="D133" s="243" t="str">
        <f t="shared" si="25"/>
        <v/>
      </c>
      <c r="E133" s="265" t="str">
        <f>IF($A133="","",SUMIFS(Txn[Signed Units],Txn[Key],$A133))</f>
        <v/>
      </c>
      <c r="F133" s="287" t="str">
        <f>IF($A133="","",SUMIFS(Txn[Buy Cost],Txn[Key],$A133))</f>
        <v/>
      </c>
      <c r="G133" s="287" t="str">
        <f>IF($A133="","",SUMIFS(Txn[Sell Proceeds],Txn[Key],$A133))</f>
        <v/>
      </c>
      <c r="H133" s="288" t="str">
        <f>IF($A133="","",IFERROR(INDEX(Prices[Current Price],MATCH($A133,Prices[Key],0)),0))</f>
        <v/>
      </c>
      <c r="I133" s="289" t="str">
        <f>IF($A133="","",IFERROR(INDEX(Prices[FX to SGD],MATCH($A133,Prices[Key],0)),1))</f>
        <v/>
      </c>
      <c r="J133" s="287" t="str">
        <f t="shared" si="26"/>
        <v/>
      </c>
      <c r="K133" s="287" t="str">
        <f t="shared" si="27"/>
        <v/>
      </c>
      <c r="L133" s="287" t="str">
        <f t="shared" si="28"/>
        <v/>
      </c>
      <c r="M133" s="290" t="str">
        <f t="shared" si="29"/>
        <v/>
      </c>
      <c r="N133" t="str">
        <f>IF($A133="","",IFERROR(INDEX(Prices[Category],MATCH($A133,Prices[Key],0)),"Uncategorized"))</f>
        <v/>
      </c>
      <c r="O133" s="291" t="str">
        <f t="shared" si="30"/>
        <v/>
      </c>
      <c r="P133" s="291" t="str">
        <f t="shared" si="31"/>
        <v/>
      </c>
    </row>
    <row r="134" spans="1:16" ht="15" customHeight="1" x14ac:dyDescent="0.2">
      <c r="A134" s="243" t="str">
        <f>IFERROR(INDEX('All Ticker P&amp;L'!$A$2:$A$1001,MATCH(ROWS($A$2:A134),'All Ticker P&amp;L'!$N$2:$N$1001,0)),"")</f>
        <v/>
      </c>
      <c r="B134" s="243" t="str">
        <f t="shared" si="23"/>
        <v/>
      </c>
      <c r="C134" s="243" t="str">
        <f t="shared" si="24"/>
        <v/>
      </c>
      <c r="D134" s="243" t="str">
        <f t="shared" si="25"/>
        <v/>
      </c>
      <c r="E134" s="265" t="str">
        <f>IF($A134="","",SUMIFS(Txn[Signed Units],Txn[Key],$A134))</f>
        <v/>
      </c>
      <c r="F134" s="287" t="str">
        <f>IF($A134="","",SUMIFS(Txn[Buy Cost],Txn[Key],$A134))</f>
        <v/>
      </c>
      <c r="G134" s="287" t="str">
        <f>IF($A134="","",SUMIFS(Txn[Sell Proceeds],Txn[Key],$A134))</f>
        <v/>
      </c>
      <c r="H134" s="288" t="str">
        <f>IF($A134="","",IFERROR(INDEX(Prices[Current Price],MATCH($A134,Prices[Key],0)),0))</f>
        <v/>
      </c>
      <c r="I134" s="289" t="str">
        <f>IF($A134="","",IFERROR(INDEX(Prices[FX to SGD],MATCH($A134,Prices[Key],0)),1))</f>
        <v/>
      </c>
      <c r="J134" s="287" t="str">
        <f t="shared" si="26"/>
        <v/>
      </c>
      <c r="K134" s="287" t="str">
        <f t="shared" si="27"/>
        <v/>
      </c>
      <c r="L134" s="287" t="str">
        <f t="shared" si="28"/>
        <v/>
      </c>
      <c r="M134" s="290" t="str">
        <f t="shared" si="29"/>
        <v/>
      </c>
      <c r="N134" t="str">
        <f>IF($A134="","",IFERROR(INDEX(Prices[Category],MATCH($A134,Prices[Key],0)),"Uncategorized"))</f>
        <v/>
      </c>
      <c r="O134" s="291" t="str">
        <f t="shared" si="30"/>
        <v/>
      </c>
      <c r="P134" s="291" t="str">
        <f t="shared" si="31"/>
        <v/>
      </c>
    </row>
    <row r="135" spans="1:16" ht="15" customHeight="1" x14ac:dyDescent="0.2">
      <c r="A135" s="243" t="str">
        <f>IFERROR(INDEX('All Ticker P&amp;L'!$A$2:$A$1001,MATCH(ROWS($A$2:A135),'All Ticker P&amp;L'!$N$2:$N$1001,0)),"")</f>
        <v/>
      </c>
      <c r="B135" s="243" t="str">
        <f t="shared" si="23"/>
        <v/>
      </c>
      <c r="C135" s="243" t="str">
        <f t="shared" si="24"/>
        <v/>
      </c>
      <c r="D135" s="243" t="str">
        <f t="shared" si="25"/>
        <v/>
      </c>
      <c r="E135" s="265" t="str">
        <f>IF($A135="","",SUMIFS(Txn[Signed Units],Txn[Key],$A135))</f>
        <v/>
      </c>
      <c r="F135" s="287" t="str">
        <f>IF($A135="","",SUMIFS(Txn[Buy Cost],Txn[Key],$A135))</f>
        <v/>
      </c>
      <c r="G135" s="287" t="str">
        <f>IF($A135="","",SUMIFS(Txn[Sell Proceeds],Txn[Key],$A135))</f>
        <v/>
      </c>
      <c r="H135" s="288" t="str">
        <f>IF($A135="","",IFERROR(INDEX(Prices[Current Price],MATCH($A135,Prices[Key],0)),0))</f>
        <v/>
      </c>
      <c r="I135" s="289" t="str">
        <f>IF($A135="","",IFERROR(INDEX(Prices[FX to SGD],MATCH($A135,Prices[Key],0)),1))</f>
        <v/>
      </c>
      <c r="J135" s="287" t="str">
        <f t="shared" si="26"/>
        <v/>
      </c>
      <c r="K135" s="287" t="str">
        <f t="shared" si="27"/>
        <v/>
      </c>
      <c r="L135" s="287" t="str">
        <f t="shared" si="28"/>
        <v/>
      </c>
      <c r="M135" s="290" t="str">
        <f t="shared" si="29"/>
        <v/>
      </c>
      <c r="N135" t="str">
        <f>IF($A135="","",IFERROR(INDEX(Prices[Category],MATCH($A135,Prices[Key],0)),"Uncategorized"))</f>
        <v/>
      </c>
      <c r="O135" s="291" t="str">
        <f t="shared" si="30"/>
        <v/>
      </c>
      <c r="P135" s="291" t="str">
        <f t="shared" si="31"/>
        <v/>
      </c>
    </row>
    <row r="136" spans="1:16" ht="15" customHeight="1" x14ac:dyDescent="0.2">
      <c r="A136" s="243" t="str">
        <f>IFERROR(INDEX('All Ticker P&amp;L'!$A$2:$A$1001,MATCH(ROWS($A$2:A136),'All Ticker P&amp;L'!$N$2:$N$1001,0)),"")</f>
        <v/>
      </c>
      <c r="B136" s="243" t="str">
        <f t="shared" si="23"/>
        <v/>
      </c>
      <c r="C136" s="243" t="str">
        <f t="shared" si="24"/>
        <v/>
      </c>
      <c r="D136" s="243" t="str">
        <f t="shared" si="25"/>
        <v/>
      </c>
      <c r="E136" s="265" t="str">
        <f>IF($A136="","",SUMIFS(Txn[Signed Units],Txn[Key],$A136))</f>
        <v/>
      </c>
      <c r="F136" s="287" t="str">
        <f>IF($A136="","",SUMIFS(Txn[Buy Cost],Txn[Key],$A136))</f>
        <v/>
      </c>
      <c r="G136" s="287" t="str">
        <f>IF($A136="","",SUMIFS(Txn[Sell Proceeds],Txn[Key],$A136))</f>
        <v/>
      </c>
      <c r="H136" s="288" t="str">
        <f>IF($A136="","",IFERROR(INDEX(Prices[Current Price],MATCH($A136,Prices[Key],0)),0))</f>
        <v/>
      </c>
      <c r="I136" s="289" t="str">
        <f>IF($A136="","",IFERROR(INDEX(Prices[FX to SGD],MATCH($A136,Prices[Key],0)),1))</f>
        <v/>
      </c>
      <c r="J136" s="287" t="str">
        <f t="shared" si="26"/>
        <v/>
      </c>
      <c r="K136" s="287" t="str">
        <f t="shared" si="27"/>
        <v/>
      </c>
      <c r="L136" s="287" t="str">
        <f t="shared" si="28"/>
        <v/>
      </c>
      <c r="M136" s="290" t="str">
        <f t="shared" si="29"/>
        <v/>
      </c>
      <c r="N136" t="str">
        <f>IF($A136="","",IFERROR(INDEX(Prices[Category],MATCH($A136,Prices[Key],0)),"Uncategorized"))</f>
        <v/>
      </c>
      <c r="O136" s="291" t="str">
        <f t="shared" si="30"/>
        <v/>
      </c>
      <c r="P136" s="291" t="str">
        <f t="shared" si="31"/>
        <v/>
      </c>
    </row>
    <row r="137" spans="1:16" ht="15" customHeight="1" x14ac:dyDescent="0.2">
      <c r="A137" s="243" t="str">
        <f>IFERROR(INDEX('All Ticker P&amp;L'!$A$2:$A$1001,MATCH(ROWS($A$2:A137),'All Ticker P&amp;L'!$N$2:$N$1001,0)),"")</f>
        <v/>
      </c>
      <c r="B137" s="243" t="str">
        <f t="shared" si="23"/>
        <v/>
      </c>
      <c r="C137" s="243" t="str">
        <f t="shared" si="24"/>
        <v/>
      </c>
      <c r="D137" s="243" t="str">
        <f t="shared" si="25"/>
        <v/>
      </c>
      <c r="E137" s="265" t="str">
        <f>IF($A137="","",SUMIFS(Txn[Signed Units],Txn[Key],$A137))</f>
        <v/>
      </c>
      <c r="F137" s="287" t="str">
        <f>IF($A137="","",SUMIFS(Txn[Buy Cost],Txn[Key],$A137))</f>
        <v/>
      </c>
      <c r="G137" s="287" t="str">
        <f>IF($A137="","",SUMIFS(Txn[Sell Proceeds],Txn[Key],$A137))</f>
        <v/>
      </c>
      <c r="H137" s="288" t="str">
        <f>IF($A137="","",IFERROR(INDEX(Prices[Current Price],MATCH($A137,Prices[Key],0)),0))</f>
        <v/>
      </c>
      <c r="I137" s="289" t="str">
        <f>IF($A137="","",IFERROR(INDEX(Prices[FX to SGD],MATCH($A137,Prices[Key],0)),1))</f>
        <v/>
      </c>
      <c r="J137" s="287" t="str">
        <f t="shared" si="26"/>
        <v/>
      </c>
      <c r="K137" s="287" t="str">
        <f t="shared" si="27"/>
        <v/>
      </c>
      <c r="L137" s="287" t="str">
        <f t="shared" si="28"/>
        <v/>
      </c>
      <c r="M137" s="290" t="str">
        <f t="shared" si="29"/>
        <v/>
      </c>
      <c r="N137" t="str">
        <f>IF($A137="","",IFERROR(INDEX(Prices[Category],MATCH($A137,Prices[Key],0)),"Uncategorized"))</f>
        <v/>
      </c>
      <c r="O137" s="291" t="str">
        <f t="shared" si="30"/>
        <v/>
      </c>
      <c r="P137" s="291" t="str">
        <f t="shared" si="31"/>
        <v/>
      </c>
    </row>
    <row r="138" spans="1:16" ht="15" customHeight="1" x14ac:dyDescent="0.2">
      <c r="A138" s="243" t="str">
        <f>IFERROR(INDEX('All Ticker P&amp;L'!$A$2:$A$1001,MATCH(ROWS($A$2:A138),'All Ticker P&amp;L'!$N$2:$N$1001,0)),"")</f>
        <v/>
      </c>
      <c r="B138" s="243" t="str">
        <f t="shared" si="23"/>
        <v/>
      </c>
      <c r="C138" s="243" t="str">
        <f t="shared" si="24"/>
        <v/>
      </c>
      <c r="D138" s="243" t="str">
        <f t="shared" si="25"/>
        <v/>
      </c>
      <c r="E138" s="265" t="str">
        <f>IF($A138="","",SUMIFS(Txn[Signed Units],Txn[Key],$A138))</f>
        <v/>
      </c>
      <c r="F138" s="287" t="str">
        <f>IF($A138="","",SUMIFS(Txn[Buy Cost],Txn[Key],$A138))</f>
        <v/>
      </c>
      <c r="G138" s="287" t="str">
        <f>IF($A138="","",SUMIFS(Txn[Sell Proceeds],Txn[Key],$A138))</f>
        <v/>
      </c>
      <c r="H138" s="288" t="str">
        <f>IF($A138="","",IFERROR(INDEX(Prices[Current Price],MATCH($A138,Prices[Key],0)),0))</f>
        <v/>
      </c>
      <c r="I138" s="289" t="str">
        <f>IF($A138="","",IFERROR(INDEX(Prices[FX to SGD],MATCH($A138,Prices[Key],0)),1))</f>
        <v/>
      </c>
      <c r="J138" s="287" t="str">
        <f t="shared" si="26"/>
        <v/>
      </c>
      <c r="K138" s="287" t="str">
        <f t="shared" si="27"/>
        <v/>
      </c>
      <c r="L138" s="287" t="str">
        <f t="shared" si="28"/>
        <v/>
      </c>
      <c r="M138" s="290" t="str">
        <f t="shared" si="29"/>
        <v/>
      </c>
      <c r="N138" t="str">
        <f>IF($A138="","",IFERROR(INDEX(Prices[Category],MATCH($A138,Prices[Key],0)),"Uncategorized"))</f>
        <v/>
      </c>
      <c r="O138" s="291" t="str">
        <f t="shared" si="30"/>
        <v/>
      </c>
      <c r="P138" s="291" t="str">
        <f t="shared" si="31"/>
        <v/>
      </c>
    </row>
    <row r="139" spans="1:16" ht="15" customHeight="1" x14ac:dyDescent="0.2">
      <c r="A139" s="243" t="str">
        <f>IFERROR(INDEX('All Ticker P&amp;L'!$A$2:$A$1001,MATCH(ROWS($A$2:A139),'All Ticker P&amp;L'!$N$2:$N$1001,0)),"")</f>
        <v/>
      </c>
      <c r="B139" s="243" t="str">
        <f t="shared" si="23"/>
        <v/>
      </c>
      <c r="C139" s="243" t="str">
        <f t="shared" si="24"/>
        <v/>
      </c>
      <c r="D139" s="243" t="str">
        <f t="shared" si="25"/>
        <v/>
      </c>
      <c r="E139" s="265" t="str">
        <f>IF($A139="","",SUMIFS(Txn[Signed Units],Txn[Key],$A139))</f>
        <v/>
      </c>
      <c r="F139" s="287" t="str">
        <f>IF($A139="","",SUMIFS(Txn[Buy Cost],Txn[Key],$A139))</f>
        <v/>
      </c>
      <c r="G139" s="287" t="str">
        <f>IF($A139="","",SUMIFS(Txn[Sell Proceeds],Txn[Key],$A139))</f>
        <v/>
      </c>
      <c r="H139" s="288" t="str">
        <f>IF($A139="","",IFERROR(INDEX(Prices[Current Price],MATCH($A139,Prices[Key],0)),0))</f>
        <v/>
      </c>
      <c r="I139" s="289" t="str">
        <f>IF($A139="","",IFERROR(INDEX(Prices[FX to SGD],MATCH($A139,Prices[Key],0)),1))</f>
        <v/>
      </c>
      <c r="J139" s="287" t="str">
        <f t="shared" si="26"/>
        <v/>
      </c>
      <c r="K139" s="287" t="str">
        <f t="shared" si="27"/>
        <v/>
      </c>
      <c r="L139" s="287" t="str">
        <f t="shared" si="28"/>
        <v/>
      </c>
      <c r="M139" s="290" t="str">
        <f t="shared" si="29"/>
        <v/>
      </c>
      <c r="N139" t="str">
        <f>IF($A139="","",IFERROR(INDEX(Prices[Category],MATCH($A139,Prices[Key],0)),"Uncategorized"))</f>
        <v/>
      </c>
      <c r="O139" s="291" t="str">
        <f t="shared" si="30"/>
        <v/>
      </c>
      <c r="P139" s="291" t="str">
        <f t="shared" si="31"/>
        <v/>
      </c>
    </row>
    <row r="140" spans="1:16" ht="15" customHeight="1" x14ac:dyDescent="0.2">
      <c r="A140" s="243" t="str">
        <f>IFERROR(INDEX('All Ticker P&amp;L'!$A$2:$A$1001,MATCH(ROWS($A$2:A140),'All Ticker P&amp;L'!$N$2:$N$1001,0)),"")</f>
        <v/>
      </c>
      <c r="B140" s="243" t="str">
        <f t="shared" si="23"/>
        <v/>
      </c>
      <c r="C140" s="243" t="str">
        <f t="shared" si="24"/>
        <v/>
      </c>
      <c r="D140" s="243" t="str">
        <f t="shared" si="25"/>
        <v/>
      </c>
      <c r="E140" s="265" t="str">
        <f>IF($A140="","",SUMIFS(Txn[Signed Units],Txn[Key],$A140))</f>
        <v/>
      </c>
      <c r="F140" s="287" t="str">
        <f>IF($A140="","",SUMIFS(Txn[Buy Cost],Txn[Key],$A140))</f>
        <v/>
      </c>
      <c r="G140" s="287" t="str">
        <f>IF($A140="","",SUMIFS(Txn[Sell Proceeds],Txn[Key],$A140))</f>
        <v/>
      </c>
      <c r="H140" s="288" t="str">
        <f>IF($A140="","",IFERROR(INDEX(Prices[Current Price],MATCH($A140,Prices[Key],0)),0))</f>
        <v/>
      </c>
      <c r="I140" s="289" t="str">
        <f>IF($A140="","",IFERROR(INDEX(Prices[FX to SGD],MATCH($A140,Prices[Key],0)),1))</f>
        <v/>
      </c>
      <c r="J140" s="287" t="str">
        <f t="shared" si="26"/>
        <v/>
      </c>
      <c r="K140" s="287" t="str">
        <f t="shared" si="27"/>
        <v/>
      </c>
      <c r="L140" s="287" t="str">
        <f t="shared" si="28"/>
        <v/>
      </c>
      <c r="M140" s="290" t="str">
        <f t="shared" si="29"/>
        <v/>
      </c>
      <c r="N140" t="str">
        <f>IF($A140="","",IFERROR(INDEX(Prices[Category],MATCH($A140,Prices[Key],0)),"Uncategorized"))</f>
        <v/>
      </c>
      <c r="O140" s="291" t="str">
        <f t="shared" si="30"/>
        <v/>
      </c>
      <c r="P140" s="291" t="str">
        <f t="shared" si="31"/>
        <v/>
      </c>
    </row>
    <row r="141" spans="1:16" ht="15" customHeight="1" x14ac:dyDescent="0.2">
      <c r="A141" s="243" t="str">
        <f>IFERROR(INDEX('All Ticker P&amp;L'!$A$2:$A$1001,MATCH(ROWS($A$2:A141),'All Ticker P&amp;L'!$N$2:$N$1001,0)),"")</f>
        <v/>
      </c>
      <c r="B141" s="243" t="str">
        <f t="shared" si="23"/>
        <v/>
      </c>
      <c r="C141" s="243" t="str">
        <f t="shared" si="24"/>
        <v/>
      </c>
      <c r="D141" s="243" t="str">
        <f t="shared" si="25"/>
        <v/>
      </c>
      <c r="E141" s="265" t="str">
        <f>IF($A141="","",SUMIFS(Txn[Signed Units],Txn[Key],$A141))</f>
        <v/>
      </c>
      <c r="F141" s="287" t="str">
        <f>IF($A141="","",SUMIFS(Txn[Buy Cost],Txn[Key],$A141))</f>
        <v/>
      </c>
      <c r="G141" s="287" t="str">
        <f>IF($A141="","",SUMIFS(Txn[Sell Proceeds],Txn[Key],$A141))</f>
        <v/>
      </c>
      <c r="H141" s="288" t="str">
        <f>IF($A141="","",IFERROR(INDEX(Prices[Current Price],MATCH($A141,Prices[Key],0)),0))</f>
        <v/>
      </c>
      <c r="I141" s="289" t="str">
        <f>IF($A141="","",IFERROR(INDEX(Prices[FX to SGD],MATCH($A141,Prices[Key],0)),1))</f>
        <v/>
      </c>
      <c r="J141" s="287" t="str">
        <f t="shared" si="26"/>
        <v/>
      </c>
      <c r="K141" s="287" t="str">
        <f t="shared" si="27"/>
        <v/>
      </c>
      <c r="L141" s="287" t="str">
        <f t="shared" si="28"/>
        <v/>
      </c>
      <c r="M141" s="290" t="str">
        <f t="shared" si="29"/>
        <v/>
      </c>
      <c r="N141" t="str">
        <f>IF($A141="","",IFERROR(INDEX(Prices[Category],MATCH($A141,Prices[Key],0)),"Uncategorized"))</f>
        <v/>
      </c>
      <c r="O141" s="291" t="str">
        <f t="shared" si="30"/>
        <v/>
      </c>
      <c r="P141" s="291" t="str">
        <f t="shared" si="31"/>
        <v/>
      </c>
    </row>
    <row r="142" spans="1:16" ht="15" customHeight="1" x14ac:dyDescent="0.2">
      <c r="A142" s="243" t="str">
        <f>IFERROR(INDEX('All Ticker P&amp;L'!$A$2:$A$1001,MATCH(ROWS($A$2:A142),'All Ticker P&amp;L'!$N$2:$N$1001,0)),"")</f>
        <v/>
      </c>
      <c r="B142" s="243" t="str">
        <f t="shared" si="23"/>
        <v/>
      </c>
      <c r="C142" s="243" t="str">
        <f t="shared" si="24"/>
        <v/>
      </c>
      <c r="D142" s="243" t="str">
        <f t="shared" si="25"/>
        <v/>
      </c>
      <c r="E142" s="265" t="str">
        <f>IF($A142="","",SUMIFS(Txn[Signed Units],Txn[Key],$A142))</f>
        <v/>
      </c>
      <c r="F142" s="287" t="str">
        <f>IF($A142="","",SUMIFS(Txn[Buy Cost],Txn[Key],$A142))</f>
        <v/>
      </c>
      <c r="G142" s="287" t="str">
        <f>IF($A142="","",SUMIFS(Txn[Sell Proceeds],Txn[Key],$A142))</f>
        <v/>
      </c>
      <c r="H142" s="288" t="str">
        <f>IF($A142="","",IFERROR(INDEX(Prices[Current Price],MATCH($A142,Prices[Key],0)),0))</f>
        <v/>
      </c>
      <c r="I142" s="289" t="str">
        <f>IF($A142="","",IFERROR(INDEX(Prices[FX to SGD],MATCH($A142,Prices[Key],0)),1))</f>
        <v/>
      </c>
      <c r="J142" s="287" t="str">
        <f t="shared" si="26"/>
        <v/>
      </c>
      <c r="K142" s="287" t="str">
        <f t="shared" si="27"/>
        <v/>
      </c>
      <c r="L142" s="287" t="str">
        <f t="shared" si="28"/>
        <v/>
      </c>
      <c r="M142" s="290" t="str">
        <f t="shared" si="29"/>
        <v/>
      </c>
      <c r="N142" t="str">
        <f>IF($A142="","",IFERROR(INDEX(Prices[Category],MATCH($A142,Prices[Key],0)),"Uncategorized"))</f>
        <v/>
      </c>
      <c r="O142" s="291" t="str">
        <f t="shared" si="30"/>
        <v/>
      </c>
      <c r="P142" s="291" t="str">
        <f t="shared" si="31"/>
        <v/>
      </c>
    </row>
    <row r="143" spans="1:16" ht="15" customHeight="1" x14ac:dyDescent="0.2">
      <c r="A143" s="243" t="str">
        <f>IFERROR(INDEX('All Ticker P&amp;L'!$A$2:$A$1001,MATCH(ROWS($A$2:A143),'All Ticker P&amp;L'!$N$2:$N$1001,0)),"")</f>
        <v/>
      </c>
      <c r="B143" s="243" t="str">
        <f t="shared" si="23"/>
        <v/>
      </c>
      <c r="C143" s="243" t="str">
        <f t="shared" si="24"/>
        <v/>
      </c>
      <c r="D143" s="243" t="str">
        <f t="shared" si="25"/>
        <v/>
      </c>
      <c r="E143" s="265" t="str">
        <f>IF($A143="","",SUMIFS(Txn[Signed Units],Txn[Key],$A143))</f>
        <v/>
      </c>
      <c r="F143" s="287" t="str">
        <f>IF($A143="","",SUMIFS(Txn[Buy Cost],Txn[Key],$A143))</f>
        <v/>
      </c>
      <c r="G143" s="287" t="str">
        <f>IF($A143="","",SUMIFS(Txn[Sell Proceeds],Txn[Key],$A143))</f>
        <v/>
      </c>
      <c r="H143" s="288" t="str">
        <f>IF($A143="","",IFERROR(INDEX(Prices[Current Price],MATCH($A143,Prices[Key],0)),0))</f>
        <v/>
      </c>
      <c r="I143" s="289" t="str">
        <f>IF($A143="","",IFERROR(INDEX(Prices[FX to SGD],MATCH($A143,Prices[Key],0)),1))</f>
        <v/>
      </c>
      <c r="J143" s="287" t="str">
        <f t="shared" si="26"/>
        <v/>
      </c>
      <c r="K143" s="287" t="str">
        <f t="shared" si="27"/>
        <v/>
      </c>
      <c r="L143" s="287" t="str">
        <f t="shared" si="28"/>
        <v/>
      </c>
      <c r="M143" s="290" t="str">
        <f t="shared" si="29"/>
        <v/>
      </c>
      <c r="N143" t="str">
        <f>IF($A143="","",IFERROR(INDEX(Prices[Category],MATCH($A143,Prices[Key],0)),"Uncategorized"))</f>
        <v/>
      </c>
      <c r="O143" s="291" t="str">
        <f t="shared" si="30"/>
        <v/>
      </c>
      <c r="P143" s="291" t="str">
        <f t="shared" si="31"/>
        <v/>
      </c>
    </row>
    <row r="144" spans="1:16" ht="15" customHeight="1" x14ac:dyDescent="0.2">
      <c r="A144" s="243" t="str">
        <f>IFERROR(INDEX('All Ticker P&amp;L'!$A$2:$A$1001,MATCH(ROWS($A$2:A144),'All Ticker P&amp;L'!$N$2:$N$1001,0)),"")</f>
        <v/>
      </c>
      <c r="B144" s="243" t="str">
        <f t="shared" si="23"/>
        <v/>
      </c>
      <c r="C144" s="243" t="str">
        <f t="shared" si="24"/>
        <v/>
      </c>
      <c r="D144" s="243" t="str">
        <f t="shared" si="25"/>
        <v/>
      </c>
      <c r="E144" s="265" t="str">
        <f>IF($A144="","",SUMIFS(Txn[Signed Units],Txn[Key],$A144))</f>
        <v/>
      </c>
      <c r="F144" s="287" t="str">
        <f>IF($A144="","",SUMIFS(Txn[Buy Cost],Txn[Key],$A144))</f>
        <v/>
      </c>
      <c r="G144" s="287" t="str">
        <f>IF($A144="","",SUMIFS(Txn[Sell Proceeds],Txn[Key],$A144))</f>
        <v/>
      </c>
      <c r="H144" s="288" t="str">
        <f>IF($A144="","",IFERROR(INDEX(Prices[Current Price],MATCH($A144,Prices[Key],0)),0))</f>
        <v/>
      </c>
      <c r="I144" s="289" t="str">
        <f>IF($A144="","",IFERROR(INDEX(Prices[FX to SGD],MATCH($A144,Prices[Key],0)),1))</f>
        <v/>
      </c>
      <c r="J144" s="287" t="str">
        <f t="shared" si="26"/>
        <v/>
      </c>
      <c r="K144" s="287" t="str">
        <f t="shared" si="27"/>
        <v/>
      </c>
      <c r="L144" s="287" t="str">
        <f t="shared" si="28"/>
        <v/>
      </c>
      <c r="M144" s="290" t="str">
        <f t="shared" si="29"/>
        <v/>
      </c>
      <c r="N144" t="str">
        <f>IF($A144="","",IFERROR(INDEX(Prices[Category],MATCH($A144,Prices[Key],0)),"Uncategorized"))</f>
        <v/>
      </c>
      <c r="O144" s="291" t="str">
        <f t="shared" si="30"/>
        <v/>
      </c>
      <c r="P144" s="291" t="str">
        <f t="shared" si="31"/>
        <v/>
      </c>
    </row>
    <row r="145" spans="1:16" ht="15" customHeight="1" x14ac:dyDescent="0.2">
      <c r="A145" s="243" t="str">
        <f>IFERROR(INDEX('All Ticker P&amp;L'!$A$2:$A$1001,MATCH(ROWS($A$2:A145),'All Ticker P&amp;L'!$N$2:$N$1001,0)),"")</f>
        <v/>
      </c>
      <c r="B145" s="243" t="str">
        <f t="shared" si="23"/>
        <v/>
      </c>
      <c r="C145" s="243" t="str">
        <f t="shared" si="24"/>
        <v/>
      </c>
      <c r="D145" s="243" t="str">
        <f t="shared" si="25"/>
        <v/>
      </c>
      <c r="E145" s="265" t="str">
        <f>IF($A145="","",SUMIFS(Txn[Signed Units],Txn[Key],$A145))</f>
        <v/>
      </c>
      <c r="F145" s="287" t="str">
        <f>IF($A145="","",SUMIFS(Txn[Buy Cost],Txn[Key],$A145))</f>
        <v/>
      </c>
      <c r="G145" s="287" t="str">
        <f>IF($A145="","",SUMIFS(Txn[Sell Proceeds],Txn[Key],$A145))</f>
        <v/>
      </c>
      <c r="H145" s="288" t="str">
        <f>IF($A145="","",IFERROR(INDEX(Prices[Current Price],MATCH($A145,Prices[Key],0)),0))</f>
        <v/>
      </c>
      <c r="I145" s="289" t="str">
        <f>IF($A145="","",IFERROR(INDEX(Prices[FX to SGD],MATCH($A145,Prices[Key],0)),1))</f>
        <v/>
      </c>
      <c r="J145" s="287" t="str">
        <f t="shared" si="26"/>
        <v/>
      </c>
      <c r="K145" s="287" t="str">
        <f t="shared" si="27"/>
        <v/>
      </c>
      <c r="L145" s="287" t="str">
        <f t="shared" si="28"/>
        <v/>
      </c>
      <c r="M145" s="290" t="str">
        <f t="shared" si="29"/>
        <v/>
      </c>
      <c r="N145" t="str">
        <f>IF($A145="","",IFERROR(INDEX(Prices[Category],MATCH($A145,Prices[Key],0)),"Uncategorized"))</f>
        <v/>
      </c>
      <c r="O145" s="291" t="str">
        <f t="shared" si="30"/>
        <v/>
      </c>
      <c r="P145" s="291" t="str">
        <f t="shared" si="31"/>
        <v/>
      </c>
    </row>
    <row r="146" spans="1:16" ht="15" customHeight="1" x14ac:dyDescent="0.2">
      <c r="A146" s="243" t="str">
        <f>IFERROR(INDEX('All Ticker P&amp;L'!$A$2:$A$1001,MATCH(ROWS($A$2:A146),'All Ticker P&amp;L'!$N$2:$N$1001,0)),"")</f>
        <v/>
      </c>
      <c r="B146" s="243" t="str">
        <f t="shared" si="23"/>
        <v/>
      </c>
      <c r="C146" s="243" t="str">
        <f t="shared" si="24"/>
        <v/>
      </c>
      <c r="D146" s="243" t="str">
        <f t="shared" si="25"/>
        <v/>
      </c>
      <c r="E146" s="265" t="str">
        <f>IF($A146="","",SUMIFS(Txn[Signed Units],Txn[Key],$A146))</f>
        <v/>
      </c>
      <c r="F146" s="287" t="str">
        <f>IF($A146="","",SUMIFS(Txn[Buy Cost],Txn[Key],$A146))</f>
        <v/>
      </c>
      <c r="G146" s="287" t="str">
        <f>IF($A146="","",SUMIFS(Txn[Sell Proceeds],Txn[Key],$A146))</f>
        <v/>
      </c>
      <c r="H146" s="288" t="str">
        <f>IF($A146="","",IFERROR(INDEX(Prices[Current Price],MATCH($A146,Prices[Key],0)),0))</f>
        <v/>
      </c>
      <c r="I146" s="289" t="str">
        <f>IF($A146="","",IFERROR(INDEX(Prices[FX to SGD],MATCH($A146,Prices[Key],0)),1))</f>
        <v/>
      </c>
      <c r="J146" s="287" t="str">
        <f t="shared" si="26"/>
        <v/>
      </c>
      <c r="K146" s="287" t="str">
        <f t="shared" si="27"/>
        <v/>
      </c>
      <c r="L146" s="287" t="str">
        <f t="shared" si="28"/>
        <v/>
      </c>
      <c r="M146" s="290" t="str">
        <f t="shared" si="29"/>
        <v/>
      </c>
      <c r="N146" t="str">
        <f>IF($A146="","",IFERROR(INDEX(Prices[Category],MATCH($A146,Prices[Key],0)),"Uncategorized"))</f>
        <v/>
      </c>
      <c r="O146" s="291" t="str">
        <f t="shared" si="30"/>
        <v/>
      </c>
      <c r="P146" s="291" t="str">
        <f t="shared" si="31"/>
        <v/>
      </c>
    </row>
    <row r="147" spans="1:16" ht="15" customHeight="1" x14ac:dyDescent="0.2">
      <c r="A147" s="243" t="str">
        <f>IFERROR(INDEX('All Ticker P&amp;L'!$A$2:$A$1001,MATCH(ROWS($A$2:A147),'All Ticker P&amp;L'!$N$2:$N$1001,0)),"")</f>
        <v/>
      </c>
      <c r="B147" s="243" t="str">
        <f t="shared" si="23"/>
        <v/>
      </c>
      <c r="C147" s="243" t="str">
        <f t="shared" si="24"/>
        <v/>
      </c>
      <c r="D147" s="243" t="str">
        <f t="shared" si="25"/>
        <v/>
      </c>
      <c r="E147" s="265" t="str">
        <f>IF($A147="","",SUMIFS(Txn[Signed Units],Txn[Key],$A147))</f>
        <v/>
      </c>
      <c r="F147" s="287" t="str">
        <f>IF($A147="","",SUMIFS(Txn[Buy Cost],Txn[Key],$A147))</f>
        <v/>
      </c>
      <c r="G147" s="287" t="str">
        <f>IF($A147="","",SUMIFS(Txn[Sell Proceeds],Txn[Key],$A147))</f>
        <v/>
      </c>
      <c r="H147" s="288" t="str">
        <f>IF($A147="","",IFERROR(INDEX(Prices[Current Price],MATCH($A147,Prices[Key],0)),0))</f>
        <v/>
      </c>
      <c r="I147" s="289" t="str">
        <f>IF($A147="","",IFERROR(INDEX(Prices[FX to SGD],MATCH($A147,Prices[Key],0)),1))</f>
        <v/>
      </c>
      <c r="J147" s="287" t="str">
        <f t="shared" si="26"/>
        <v/>
      </c>
      <c r="K147" s="287" t="str">
        <f t="shared" si="27"/>
        <v/>
      </c>
      <c r="L147" s="287" t="str">
        <f t="shared" si="28"/>
        <v/>
      </c>
      <c r="M147" s="290" t="str">
        <f t="shared" si="29"/>
        <v/>
      </c>
      <c r="N147" t="str">
        <f>IF($A147="","",IFERROR(INDEX(Prices[Category],MATCH($A147,Prices[Key],0)),"Uncategorized"))</f>
        <v/>
      </c>
      <c r="O147" s="291" t="str">
        <f t="shared" si="30"/>
        <v/>
      </c>
      <c r="P147" s="291" t="str">
        <f t="shared" si="31"/>
        <v/>
      </c>
    </row>
    <row r="148" spans="1:16" ht="15" customHeight="1" x14ac:dyDescent="0.2">
      <c r="A148" s="243" t="str">
        <f>IFERROR(INDEX('All Ticker P&amp;L'!$A$2:$A$1001,MATCH(ROWS($A$2:A148),'All Ticker P&amp;L'!$N$2:$N$1001,0)),"")</f>
        <v/>
      </c>
      <c r="B148" s="243" t="str">
        <f t="shared" si="23"/>
        <v/>
      </c>
      <c r="C148" s="243" t="str">
        <f t="shared" si="24"/>
        <v/>
      </c>
      <c r="D148" s="243" t="str">
        <f t="shared" si="25"/>
        <v/>
      </c>
      <c r="E148" s="265" t="str">
        <f>IF($A148="","",SUMIFS(Txn[Signed Units],Txn[Key],$A148))</f>
        <v/>
      </c>
      <c r="F148" s="287" t="str">
        <f>IF($A148="","",SUMIFS(Txn[Buy Cost],Txn[Key],$A148))</f>
        <v/>
      </c>
      <c r="G148" s="287" t="str">
        <f>IF($A148="","",SUMIFS(Txn[Sell Proceeds],Txn[Key],$A148))</f>
        <v/>
      </c>
      <c r="H148" s="288" t="str">
        <f>IF($A148="","",IFERROR(INDEX(Prices[Current Price],MATCH($A148,Prices[Key],0)),0))</f>
        <v/>
      </c>
      <c r="I148" s="289" t="str">
        <f>IF($A148="","",IFERROR(INDEX(Prices[FX to SGD],MATCH($A148,Prices[Key],0)),1))</f>
        <v/>
      </c>
      <c r="J148" s="287" t="str">
        <f t="shared" si="26"/>
        <v/>
      </c>
      <c r="K148" s="287" t="str">
        <f t="shared" si="27"/>
        <v/>
      </c>
      <c r="L148" s="287" t="str">
        <f t="shared" si="28"/>
        <v/>
      </c>
      <c r="M148" s="290" t="str">
        <f t="shared" si="29"/>
        <v/>
      </c>
      <c r="N148" t="str">
        <f>IF($A148="","",IFERROR(INDEX(Prices[Category],MATCH($A148,Prices[Key],0)),"Uncategorized"))</f>
        <v/>
      </c>
      <c r="O148" s="291" t="str">
        <f t="shared" si="30"/>
        <v/>
      </c>
      <c r="P148" s="291" t="str">
        <f t="shared" si="31"/>
        <v/>
      </c>
    </row>
    <row r="149" spans="1:16" ht="15" customHeight="1" x14ac:dyDescent="0.2">
      <c r="A149" s="243" t="str">
        <f>IFERROR(INDEX('All Ticker P&amp;L'!$A$2:$A$1001,MATCH(ROWS($A$2:A149),'All Ticker P&amp;L'!$N$2:$N$1001,0)),"")</f>
        <v/>
      </c>
      <c r="B149" s="243" t="str">
        <f t="shared" si="23"/>
        <v/>
      </c>
      <c r="C149" s="243" t="str">
        <f t="shared" si="24"/>
        <v/>
      </c>
      <c r="D149" s="243" t="str">
        <f t="shared" si="25"/>
        <v/>
      </c>
      <c r="E149" s="265" t="str">
        <f>IF($A149="","",SUMIFS(Txn[Signed Units],Txn[Key],$A149))</f>
        <v/>
      </c>
      <c r="F149" s="287" t="str">
        <f>IF($A149="","",SUMIFS(Txn[Buy Cost],Txn[Key],$A149))</f>
        <v/>
      </c>
      <c r="G149" s="287" t="str">
        <f>IF($A149="","",SUMIFS(Txn[Sell Proceeds],Txn[Key],$A149))</f>
        <v/>
      </c>
      <c r="H149" s="288" t="str">
        <f>IF($A149="","",IFERROR(INDEX(Prices[Current Price],MATCH($A149,Prices[Key],0)),0))</f>
        <v/>
      </c>
      <c r="I149" s="289" t="str">
        <f>IF($A149="","",IFERROR(INDEX(Prices[FX to SGD],MATCH($A149,Prices[Key],0)),1))</f>
        <v/>
      </c>
      <c r="J149" s="287" t="str">
        <f t="shared" si="26"/>
        <v/>
      </c>
      <c r="K149" s="287" t="str">
        <f t="shared" si="27"/>
        <v/>
      </c>
      <c r="L149" s="287" t="str">
        <f t="shared" si="28"/>
        <v/>
      </c>
      <c r="M149" s="290" t="str">
        <f t="shared" si="29"/>
        <v/>
      </c>
      <c r="N149" t="str">
        <f>IF($A149="","",IFERROR(INDEX(Prices[Category],MATCH($A149,Prices[Key],0)),"Uncategorized"))</f>
        <v/>
      </c>
      <c r="O149" s="291" t="str">
        <f t="shared" si="30"/>
        <v/>
      </c>
      <c r="P149" s="291" t="str">
        <f t="shared" si="31"/>
        <v/>
      </c>
    </row>
    <row r="150" spans="1:16" ht="15" customHeight="1" x14ac:dyDescent="0.2">
      <c r="A150" s="243" t="str">
        <f>IFERROR(INDEX('All Ticker P&amp;L'!$A$2:$A$1001,MATCH(ROWS($A$2:A150),'All Ticker P&amp;L'!$N$2:$N$1001,0)),"")</f>
        <v/>
      </c>
      <c r="B150" s="243" t="str">
        <f t="shared" si="23"/>
        <v/>
      </c>
      <c r="C150" s="243" t="str">
        <f t="shared" si="24"/>
        <v/>
      </c>
      <c r="D150" s="243" t="str">
        <f t="shared" si="25"/>
        <v/>
      </c>
      <c r="E150" s="265" t="str">
        <f>IF($A150="","",SUMIFS(Txn[Signed Units],Txn[Key],$A150))</f>
        <v/>
      </c>
      <c r="F150" s="287" t="str">
        <f>IF($A150="","",SUMIFS(Txn[Buy Cost],Txn[Key],$A150))</f>
        <v/>
      </c>
      <c r="G150" s="287" t="str">
        <f>IF($A150="","",SUMIFS(Txn[Sell Proceeds],Txn[Key],$A150))</f>
        <v/>
      </c>
      <c r="H150" s="288" t="str">
        <f>IF($A150="","",IFERROR(INDEX(Prices[Current Price],MATCH($A150,Prices[Key],0)),0))</f>
        <v/>
      </c>
      <c r="I150" s="289" t="str">
        <f>IF($A150="","",IFERROR(INDEX(Prices[FX to SGD],MATCH($A150,Prices[Key],0)),1))</f>
        <v/>
      </c>
      <c r="J150" s="287" t="str">
        <f t="shared" si="26"/>
        <v/>
      </c>
      <c r="K150" s="287" t="str">
        <f t="shared" si="27"/>
        <v/>
      </c>
      <c r="L150" s="287" t="str">
        <f t="shared" si="28"/>
        <v/>
      </c>
      <c r="M150" s="290" t="str">
        <f t="shared" si="29"/>
        <v/>
      </c>
      <c r="N150" t="str">
        <f>IF($A150="","",IFERROR(INDEX(Prices[Category],MATCH($A150,Prices[Key],0)),"Uncategorized"))</f>
        <v/>
      </c>
      <c r="O150" s="291" t="str">
        <f t="shared" si="30"/>
        <v/>
      </c>
      <c r="P150" s="291" t="str">
        <f t="shared" si="31"/>
        <v/>
      </c>
    </row>
    <row r="151" spans="1:16" ht="15" customHeight="1" x14ac:dyDescent="0.2">
      <c r="A151" s="243" t="str">
        <f>IFERROR(INDEX('All Ticker P&amp;L'!$A$2:$A$1001,MATCH(ROWS($A$2:A151),'All Ticker P&amp;L'!$N$2:$N$1001,0)),"")</f>
        <v/>
      </c>
      <c r="B151" s="243" t="str">
        <f t="shared" si="23"/>
        <v/>
      </c>
      <c r="C151" s="243" t="str">
        <f t="shared" si="24"/>
        <v/>
      </c>
      <c r="D151" s="243" t="str">
        <f t="shared" si="25"/>
        <v/>
      </c>
      <c r="E151" s="265" t="str">
        <f>IF($A151="","",SUMIFS(Txn[Signed Units],Txn[Key],$A151))</f>
        <v/>
      </c>
      <c r="F151" s="287" t="str">
        <f>IF($A151="","",SUMIFS(Txn[Buy Cost],Txn[Key],$A151))</f>
        <v/>
      </c>
      <c r="G151" s="287" t="str">
        <f>IF($A151="","",SUMIFS(Txn[Sell Proceeds],Txn[Key],$A151))</f>
        <v/>
      </c>
      <c r="H151" s="288" t="str">
        <f>IF($A151="","",IFERROR(INDEX(Prices[Current Price],MATCH($A151,Prices[Key],0)),0))</f>
        <v/>
      </c>
      <c r="I151" s="289" t="str">
        <f>IF($A151="","",IFERROR(INDEX(Prices[FX to SGD],MATCH($A151,Prices[Key],0)),1))</f>
        <v/>
      </c>
      <c r="J151" s="287" t="str">
        <f t="shared" si="26"/>
        <v/>
      </c>
      <c r="K151" s="287" t="str">
        <f t="shared" si="27"/>
        <v/>
      </c>
      <c r="L151" s="287" t="str">
        <f t="shared" si="28"/>
        <v/>
      </c>
      <c r="M151" s="290" t="str">
        <f t="shared" si="29"/>
        <v/>
      </c>
      <c r="N151" t="str">
        <f>IF($A151="","",IFERROR(INDEX(Prices[Category],MATCH($A151,Prices[Key],0)),"Uncategorized"))</f>
        <v/>
      </c>
      <c r="O151" s="291" t="str">
        <f t="shared" si="30"/>
        <v/>
      </c>
      <c r="P151" s="291" t="str">
        <f t="shared" si="31"/>
        <v/>
      </c>
    </row>
    <row r="152" spans="1:16" ht="15" customHeight="1" x14ac:dyDescent="0.2">
      <c r="A152" s="243" t="str">
        <f>IFERROR(INDEX('All Ticker P&amp;L'!$A$2:$A$1001,MATCH(ROWS($A$2:A152),'All Ticker P&amp;L'!$N$2:$N$1001,0)),"")</f>
        <v/>
      </c>
      <c r="B152" s="243" t="str">
        <f t="shared" si="23"/>
        <v/>
      </c>
      <c r="C152" s="243" t="str">
        <f t="shared" si="24"/>
        <v/>
      </c>
      <c r="D152" s="243" t="str">
        <f t="shared" si="25"/>
        <v/>
      </c>
      <c r="E152" s="265" t="str">
        <f>IF($A152="","",SUMIFS(Txn[Signed Units],Txn[Key],$A152))</f>
        <v/>
      </c>
      <c r="F152" s="287" t="str">
        <f>IF($A152="","",SUMIFS(Txn[Buy Cost],Txn[Key],$A152))</f>
        <v/>
      </c>
      <c r="G152" s="287" t="str">
        <f>IF($A152="","",SUMIFS(Txn[Sell Proceeds],Txn[Key],$A152))</f>
        <v/>
      </c>
      <c r="H152" s="288" t="str">
        <f>IF($A152="","",IFERROR(INDEX(Prices[Current Price],MATCH($A152,Prices[Key],0)),0))</f>
        <v/>
      </c>
      <c r="I152" s="289" t="str">
        <f>IF($A152="","",IFERROR(INDEX(Prices[FX to SGD],MATCH($A152,Prices[Key],0)),1))</f>
        <v/>
      </c>
      <c r="J152" s="287" t="str">
        <f t="shared" si="26"/>
        <v/>
      </c>
      <c r="K152" s="287" t="str">
        <f t="shared" si="27"/>
        <v/>
      </c>
      <c r="L152" s="287" t="str">
        <f t="shared" si="28"/>
        <v/>
      </c>
      <c r="M152" s="290" t="str">
        <f t="shared" si="29"/>
        <v/>
      </c>
      <c r="N152" t="str">
        <f>IF($A152="","",IFERROR(INDEX(Prices[Category],MATCH($A152,Prices[Key],0)),"Uncategorized"))</f>
        <v/>
      </c>
      <c r="O152" s="291" t="str">
        <f t="shared" si="30"/>
        <v/>
      </c>
      <c r="P152" s="291" t="str">
        <f t="shared" si="31"/>
        <v/>
      </c>
    </row>
    <row r="153" spans="1:16" ht="15" customHeight="1" x14ac:dyDescent="0.2">
      <c r="A153" s="243" t="str">
        <f>IFERROR(INDEX('All Ticker P&amp;L'!$A$2:$A$1001,MATCH(ROWS($A$2:A153),'All Ticker P&amp;L'!$N$2:$N$1001,0)),"")</f>
        <v/>
      </c>
      <c r="B153" s="243" t="str">
        <f t="shared" si="23"/>
        <v/>
      </c>
      <c r="C153" s="243" t="str">
        <f t="shared" si="24"/>
        <v/>
      </c>
      <c r="D153" s="243" t="str">
        <f t="shared" si="25"/>
        <v/>
      </c>
      <c r="E153" s="265" t="str">
        <f>IF($A153="","",SUMIFS(Txn[Signed Units],Txn[Key],$A153))</f>
        <v/>
      </c>
      <c r="F153" s="287" t="str">
        <f>IF($A153="","",SUMIFS(Txn[Buy Cost],Txn[Key],$A153))</f>
        <v/>
      </c>
      <c r="G153" s="287" t="str">
        <f>IF($A153="","",SUMIFS(Txn[Sell Proceeds],Txn[Key],$A153))</f>
        <v/>
      </c>
      <c r="H153" s="288" t="str">
        <f>IF($A153="","",IFERROR(INDEX(Prices[Current Price],MATCH($A153,Prices[Key],0)),0))</f>
        <v/>
      </c>
      <c r="I153" s="289" t="str">
        <f>IF($A153="","",IFERROR(INDEX(Prices[FX to SGD],MATCH($A153,Prices[Key],0)),1))</f>
        <v/>
      </c>
      <c r="J153" s="287" t="str">
        <f t="shared" si="26"/>
        <v/>
      </c>
      <c r="K153" s="287" t="str">
        <f t="shared" si="27"/>
        <v/>
      </c>
      <c r="L153" s="287" t="str">
        <f t="shared" si="28"/>
        <v/>
      </c>
      <c r="M153" s="290" t="str">
        <f t="shared" si="29"/>
        <v/>
      </c>
      <c r="N153" t="str">
        <f>IF($A153="","",IFERROR(INDEX(Prices[Category],MATCH($A153,Prices[Key],0)),"Uncategorized"))</f>
        <v/>
      </c>
      <c r="O153" s="291" t="str">
        <f t="shared" si="30"/>
        <v/>
      </c>
      <c r="P153" s="291" t="str">
        <f t="shared" si="31"/>
        <v/>
      </c>
    </row>
    <row r="154" spans="1:16" ht="15" customHeight="1" x14ac:dyDescent="0.2">
      <c r="A154" s="243" t="str">
        <f>IFERROR(INDEX('All Ticker P&amp;L'!$A$2:$A$1001,MATCH(ROWS($A$2:A154),'All Ticker P&amp;L'!$N$2:$N$1001,0)),"")</f>
        <v/>
      </c>
      <c r="B154" s="243" t="str">
        <f t="shared" si="23"/>
        <v/>
      </c>
      <c r="C154" s="243" t="str">
        <f t="shared" si="24"/>
        <v/>
      </c>
      <c r="D154" s="243" t="str">
        <f t="shared" si="25"/>
        <v/>
      </c>
      <c r="E154" s="265" t="str">
        <f>IF($A154="","",SUMIFS(Txn[Signed Units],Txn[Key],$A154))</f>
        <v/>
      </c>
      <c r="F154" s="287" t="str">
        <f>IF($A154="","",SUMIFS(Txn[Buy Cost],Txn[Key],$A154))</f>
        <v/>
      </c>
      <c r="G154" s="287" t="str">
        <f>IF($A154="","",SUMIFS(Txn[Sell Proceeds],Txn[Key],$A154))</f>
        <v/>
      </c>
      <c r="H154" s="288" t="str">
        <f>IF($A154="","",IFERROR(INDEX(Prices[Current Price],MATCH($A154,Prices[Key],0)),0))</f>
        <v/>
      </c>
      <c r="I154" s="289" t="str">
        <f>IF($A154="","",IFERROR(INDEX(Prices[FX to SGD],MATCH($A154,Prices[Key],0)),1))</f>
        <v/>
      </c>
      <c r="J154" s="287" t="str">
        <f t="shared" si="26"/>
        <v/>
      </c>
      <c r="K154" s="287" t="str">
        <f t="shared" si="27"/>
        <v/>
      </c>
      <c r="L154" s="287" t="str">
        <f t="shared" si="28"/>
        <v/>
      </c>
      <c r="M154" s="290" t="str">
        <f t="shared" si="29"/>
        <v/>
      </c>
      <c r="N154" t="str">
        <f>IF($A154="","",IFERROR(INDEX(Prices[Category],MATCH($A154,Prices[Key],0)),"Uncategorized"))</f>
        <v/>
      </c>
      <c r="O154" s="291" t="str">
        <f t="shared" si="30"/>
        <v/>
      </c>
      <c r="P154" s="291" t="str">
        <f t="shared" si="31"/>
        <v/>
      </c>
    </row>
    <row r="155" spans="1:16" ht="15" customHeight="1" x14ac:dyDescent="0.2">
      <c r="A155" s="243" t="str">
        <f>IFERROR(INDEX('All Ticker P&amp;L'!$A$2:$A$1001,MATCH(ROWS($A$2:A155),'All Ticker P&amp;L'!$N$2:$N$1001,0)),"")</f>
        <v/>
      </c>
      <c r="B155" s="243" t="str">
        <f t="shared" si="23"/>
        <v/>
      </c>
      <c r="C155" s="243" t="str">
        <f t="shared" si="24"/>
        <v/>
      </c>
      <c r="D155" s="243" t="str">
        <f t="shared" si="25"/>
        <v/>
      </c>
      <c r="E155" s="265" t="str">
        <f>IF($A155="","",SUMIFS(Txn[Signed Units],Txn[Key],$A155))</f>
        <v/>
      </c>
      <c r="F155" s="287" t="str">
        <f>IF($A155="","",SUMIFS(Txn[Buy Cost],Txn[Key],$A155))</f>
        <v/>
      </c>
      <c r="G155" s="287" t="str">
        <f>IF($A155="","",SUMIFS(Txn[Sell Proceeds],Txn[Key],$A155))</f>
        <v/>
      </c>
      <c r="H155" s="288" t="str">
        <f>IF($A155="","",IFERROR(INDEX(Prices[Current Price],MATCH($A155,Prices[Key],0)),0))</f>
        <v/>
      </c>
      <c r="I155" s="289" t="str">
        <f>IF($A155="","",IFERROR(INDEX(Prices[FX to SGD],MATCH($A155,Prices[Key],0)),1))</f>
        <v/>
      </c>
      <c r="J155" s="287" t="str">
        <f t="shared" si="26"/>
        <v/>
      </c>
      <c r="K155" s="287" t="str">
        <f t="shared" si="27"/>
        <v/>
      </c>
      <c r="L155" s="287" t="str">
        <f t="shared" si="28"/>
        <v/>
      </c>
      <c r="M155" s="290" t="str">
        <f t="shared" si="29"/>
        <v/>
      </c>
      <c r="N155" t="str">
        <f>IF($A155="","",IFERROR(INDEX(Prices[Category],MATCH($A155,Prices[Key],0)),"Uncategorized"))</f>
        <v/>
      </c>
      <c r="O155" s="291" t="str">
        <f t="shared" si="30"/>
        <v/>
      </c>
      <c r="P155" s="291" t="str">
        <f t="shared" si="31"/>
        <v/>
      </c>
    </row>
    <row r="156" spans="1:16" ht="15" customHeight="1" x14ac:dyDescent="0.2">
      <c r="A156" s="243" t="str">
        <f>IFERROR(INDEX('All Ticker P&amp;L'!$A$2:$A$1001,MATCH(ROWS($A$2:A156),'All Ticker P&amp;L'!$N$2:$N$1001,0)),"")</f>
        <v/>
      </c>
      <c r="B156" s="243" t="str">
        <f t="shared" si="23"/>
        <v/>
      </c>
      <c r="C156" s="243" t="str">
        <f t="shared" si="24"/>
        <v/>
      </c>
      <c r="D156" s="243" t="str">
        <f t="shared" si="25"/>
        <v/>
      </c>
      <c r="E156" s="265" t="str">
        <f>IF($A156="","",SUMIFS(Txn[Signed Units],Txn[Key],$A156))</f>
        <v/>
      </c>
      <c r="F156" s="287" t="str">
        <f>IF($A156="","",SUMIFS(Txn[Buy Cost],Txn[Key],$A156))</f>
        <v/>
      </c>
      <c r="G156" s="287" t="str">
        <f>IF($A156="","",SUMIFS(Txn[Sell Proceeds],Txn[Key],$A156))</f>
        <v/>
      </c>
      <c r="H156" s="288" t="str">
        <f>IF($A156="","",IFERROR(INDEX(Prices[Current Price],MATCH($A156,Prices[Key],0)),0))</f>
        <v/>
      </c>
      <c r="I156" s="289" t="str">
        <f>IF($A156="","",IFERROR(INDEX(Prices[FX to SGD],MATCH($A156,Prices[Key],0)),1))</f>
        <v/>
      </c>
      <c r="J156" s="287" t="str">
        <f t="shared" si="26"/>
        <v/>
      </c>
      <c r="K156" s="287" t="str">
        <f t="shared" si="27"/>
        <v/>
      </c>
      <c r="L156" s="287" t="str">
        <f t="shared" si="28"/>
        <v/>
      </c>
      <c r="M156" s="290" t="str">
        <f t="shared" si="29"/>
        <v/>
      </c>
      <c r="N156" t="str">
        <f>IF($A156="","",IFERROR(INDEX(Prices[Category],MATCH($A156,Prices[Key],0)),"Uncategorized"))</f>
        <v/>
      </c>
      <c r="O156" s="291" t="str">
        <f t="shared" si="30"/>
        <v/>
      </c>
      <c r="P156" s="291" t="str">
        <f t="shared" si="31"/>
        <v/>
      </c>
    </row>
    <row r="157" spans="1:16" ht="15" customHeight="1" x14ac:dyDescent="0.2">
      <c r="A157" s="243" t="str">
        <f>IFERROR(INDEX('All Ticker P&amp;L'!$A$2:$A$1001,MATCH(ROWS($A$2:A157),'All Ticker P&amp;L'!$N$2:$N$1001,0)),"")</f>
        <v/>
      </c>
      <c r="B157" s="243" t="str">
        <f t="shared" si="23"/>
        <v/>
      </c>
      <c r="C157" s="243" t="str">
        <f t="shared" si="24"/>
        <v/>
      </c>
      <c r="D157" s="243" t="str">
        <f t="shared" si="25"/>
        <v/>
      </c>
      <c r="E157" s="265" t="str">
        <f>IF($A157="","",SUMIFS(Txn[Signed Units],Txn[Key],$A157))</f>
        <v/>
      </c>
      <c r="F157" s="287" t="str">
        <f>IF($A157="","",SUMIFS(Txn[Buy Cost],Txn[Key],$A157))</f>
        <v/>
      </c>
      <c r="G157" s="287" t="str">
        <f>IF($A157="","",SUMIFS(Txn[Sell Proceeds],Txn[Key],$A157))</f>
        <v/>
      </c>
      <c r="H157" s="288" t="str">
        <f>IF($A157="","",IFERROR(INDEX(Prices[Current Price],MATCH($A157,Prices[Key],0)),0))</f>
        <v/>
      </c>
      <c r="I157" s="289" t="str">
        <f>IF($A157="","",IFERROR(INDEX(Prices[FX to SGD],MATCH($A157,Prices[Key],0)),1))</f>
        <v/>
      </c>
      <c r="J157" s="287" t="str">
        <f t="shared" si="26"/>
        <v/>
      </c>
      <c r="K157" s="287" t="str">
        <f t="shared" si="27"/>
        <v/>
      </c>
      <c r="L157" s="287" t="str">
        <f t="shared" si="28"/>
        <v/>
      </c>
      <c r="M157" s="290" t="str">
        <f t="shared" si="29"/>
        <v/>
      </c>
      <c r="N157" t="str">
        <f>IF($A157="","",IFERROR(INDEX(Prices[Category],MATCH($A157,Prices[Key],0)),"Uncategorized"))</f>
        <v/>
      </c>
      <c r="O157" s="291" t="str">
        <f t="shared" si="30"/>
        <v/>
      </c>
      <c r="P157" s="291" t="str">
        <f t="shared" si="31"/>
        <v/>
      </c>
    </row>
    <row r="158" spans="1:16" ht="15" customHeight="1" x14ac:dyDescent="0.2">
      <c r="A158" s="243" t="str">
        <f>IFERROR(INDEX('All Ticker P&amp;L'!$A$2:$A$1001,MATCH(ROWS($A$2:A158),'All Ticker P&amp;L'!$N$2:$N$1001,0)),"")</f>
        <v/>
      </c>
      <c r="B158" s="243" t="str">
        <f t="shared" si="23"/>
        <v/>
      </c>
      <c r="C158" s="243" t="str">
        <f t="shared" si="24"/>
        <v/>
      </c>
      <c r="D158" s="243" t="str">
        <f t="shared" si="25"/>
        <v/>
      </c>
      <c r="E158" s="265" t="str">
        <f>IF($A158="","",SUMIFS(Txn[Signed Units],Txn[Key],$A158))</f>
        <v/>
      </c>
      <c r="F158" s="287" t="str">
        <f>IF($A158="","",SUMIFS(Txn[Buy Cost],Txn[Key],$A158))</f>
        <v/>
      </c>
      <c r="G158" s="287" t="str">
        <f>IF($A158="","",SUMIFS(Txn[Sell Proceeds],Txn[Key],$A158))</f>
        <v/>
      </c>
      <c r="H158" s="288" t="str">
        <f>IF($A158="","",IFERROR(INDEX(Prices[Current Price],MATCH($A158,Prices[Key],0)),0))</f>
        <v/>
      </c>
      <c r="I158" s="289" t="str">
        <f>IF($A158="","",IFERROR(INDEX(Prices[FX to SGD],MATCH($A158,Prices[Key],0)),1))</f>
        <v/>
      </c>
      <c r="J158" s="287" t="str">
        <f t="shared" si="26"/>
        <v/>
      </c>
      <c r="K158" s="287" t="str">
        <f t="shared" si="27"/>
        <v/>
      </c>
      <c r="L158" s="287" t="str">
        <f t="shared" si="28"/>
        <v/>
      </c>
      <c r="M158" s="290" t="str">
        <f t="shared" si="29"/>
        <v/>
      </c>
      <c r="N158" t="str">
        <f>IF($A158="","",IFERROR(INDEX(Prices[Category],MATCH($A158,Prices[Key],0)),"Uncategorized"))</f>
        <v/>
      </c>
      <c r="O158" s="291" t="str">
        <f t="shared" si="30"/>
        <v/>
      </c>
      <c r="P158" s="291" t="str">
        <f t="shared" si="31"/>
        <v/>
      </c>
    </row>
    <row r="159" spans="1:16" ht="15" customHeight="1" x14ac:dyDescent="0.2">
      <c r="A159" s="243" t="str">
        <f>IFERROR(INDEX('All Ticker P&amp;L'!$A$2:$A$1001,MATCH(ROWS($A$2:A159),'All Ticker P&amp;L'!$N$2:$N$1001,0)),"")</f>
        <v/>
      </c>
      <c r="B159" s="243" t="str">
        <f t="shared" si="23"/>
        <v/>
      </c>
      <c r="C159" s="243" t="str">
        <f t="shared" si="24"/>
        <v/>
      </c>
      <c r="D159" s="243" t="str">
        <f t="shared" si="25"/>
        <v/>
      </c>
      <c r="E159" s="265" t="str">
        <f>IF($A159="","",SUMIFS(Txn[Signed Units],Txn[Key],$A159))</f>
        <v/>
      </c>
      <c r="F159" s="287" t="str">
        <f>IF($A159="","",SUMIFS(Txn[Buy Cost],Txn[Key],$A159))</f>
        <v/>
      </c>
      <c r="G159" s="287" t="str">
        <f>IF($A159="","",SUMIFS(Txn[Sell Proceeds],Txn[Key],$A159))</f>
        <v/>
      </c>
      <c r="H159" s="288" t="str">
        <f>IF($A159="","",IFERROR(INDEX(Prices[Current Price],MATCH($A159,Prices[Key],0)),0))</f>
        <v/>
      </c>
      <c r="I159" s="289" t="str">
        <f>IF($A159="","",IFERROR(INDEX(Prices[FX to SGD],MATCH($A159,Prices[Key],0)),1))</f>
        <v/>
      </c>
      <c r="J159" s="287" t="str">
        <f t="shared" si="26"/>
        <v/>
      </c>
      <c r="K159" s="287" t="str">
        <f t="shared" si="27"/>
        <v/>
      </c>
      <c r="L159" s="287" t="str">
        <f t="shared" si="28"/>
        <v/>
      </c>
      <c r="M159" s="290" t="str">
        <f t="shared" si="29"/>
        <v/>
      </c>
      <c r="N159" t="str">
        <f>IF($A159="","",IFERROR(INDEX(Prices[Category],MATCH($A159,Prices[Key],0)),"Uncategorized"))</f>
        <v/>
      </c>
      <c r="O159" s="291" t="str">
        <f t="shared" si="30"/>
        <v/>
      </c>
      <c r="P159" s="291" t="str">
        <f t="shared" si="31"/>
        <v/>
      </c>
    </row>
    <row r="160" spans="1:16" ht="15" customHeight="1" x14ac:dyDescent="0.2">
      <c r="A160" s="243" t="str">
        <f>IFERROR(INDEX('All Ticker P&amp;L'!$A$2:$A$1001,MATCH(ROWS($A$2:A160),'All Ticker P&amp;L'!$N$2:$N$1001,0)),"")</f>
        <v/>
      </c>
      <c r="B160" s="243" t="str">
        <f t="shared" si="23"/>
        <v/>
      </c>
      <c r="C160" s="243" t="str">
        <f t="shared" si="24"/>
        <v/>
      </c>
      <c r="D160" s="243" t="str">
        <f t="shared" si="25"/>
        <v/>
      </c>
      <c r="E160" s="265" t="str">
        <f>IF($A160="","",SUMIFS(Txn[Signed Units],Txn[Key],$A160))</f>
        <v/>
      </c>
      <c r="F160" s="287" t="str">
        <f>IF($A160="","",SUMIFS(Txn[Buy Cost],Txn[Key],$A160))</f>
        <v/>
      </c>
      <c r="G160" s="287" t="str">
        <f>IF($A160="","",SUMIFS(Txn[Sell Proceeds],Txn[Key],$A160))</f>
        <v/>
      </c>
      <c r="H160" s="288" t="str">
        <f>IF($A160="","",IFERROR(INDEX(Prices[Current Price],MATCH($A160,Prices[Key],0)),0))</f>
        <v/>
      </c>
      <c r="I160" s="289" t="str">
        <f>IF($A160="","",IFERROR(INDEX(Prices[FX to SGD],MATCH($A160,Prices[Key],0)),1))</f>
        <v/>
      </c>
      <c r="J160" s="287" t="str">
        <f t="shared" si="26"/>
        <v/>
      </c>
      <c r="K160" s="287" t="str">
        <f t="shared" si="27"/>
        <v/>
      </c>
      <c r="L160" s="287" t="str">
        <f t="shared" si="28"/>
        <v/>
      </c>
      <c r="M160" s="290" t="str">
        <f t="shared" si="29"/>
        <v/>
      </c>
      <c r="N160" t="str">
        <f>IF($A160="","",IFERROR(INDEX(Prices[Category],MATCH($A160,Prices[Key],0)),"Uncategorized"))</f>
        <v/>
      </c>
      <c r="O160" s="291" t="str">
        <f t="shared" si="30"/>
        <v/>
      </c>
      <c r="P160" s="291" t="str">
        <f t="shared" si="31"/>
        <v/>
      </c>
    </row>
    <row r="161" spans="1:16" ht="15" customHeight="1" x14ac:dyDescent="0.2">
      <c r="A161" s="243" t="str">
        <f>IFERROR(INDEX('All Ticker P&amp;L'!$A$2:$A$1001,MATCH(ROWS($A$2:A161),'All Ticker P&amp;L'!$N$2:$N$1001,0)),"")</f>
        <v/>
      </c>
      <c r="B161" s="243" t="str">
        <f t="shared" si="23"/>
        <v/>
      </c>
      <c r="C161" s="243" t="str">
        <f t="shared" si="24"/>
        <v/>
      </c>
      <c r="D161" s="243" t="str">
        <f t="shared" si="25"/>
        <v/>
      </c>
      <c r="E161" s="265" t="str">
        <f>IF($A161="","",SUMIFS(Txn[Signed Units],Txn[Key],$A161))</f>
        <v/>
      </c>
      <c r="F161" s="287" t="str">
        <f>IF($A161="","",SUMIFS(Txn[Buy Cost],Txn[Key],$A161))</f>
        <v/>
      </c>
      <c r="G161" s="287" t="str">
        <f>IF($A161="","",SUMIFS(Txn[Sell Proceeds],Txn[Key],$A161))</f>
        <v/>
      </c>
      <c r="H161" s="288" t="str">
        <f>IF($A161="","",IFERROR(INDEX(Prices[Current Price],MATCH($A161,Prices[Key],0)),0))</f>
        <v/>
      </c>
      <c r="I161" s="289" t="str">
        <f>IF($A161="","",IFERROR(INDEX(Prices[FX to SGD],MATCH($A161,Prices[Key],0)),1))</f>
        <v/>
      </c>
      <c r="J161" s="287" t="str">
        <f t="shared" si="26"/>
        <v/>
      </c>
      <c r="K161" s="287" t="str">
        <f t="shared" si="27"/>
        <v/>
      </c>
      <c r="L161" s="287" t="str">
        <f t="shared" si="28"/>
        <v/>
      </c>
      <c r="M161" s="290" t="str">
        <f t="shared" si="29"/>
        <v/>
      </c>
      <c r="N161" t="str">
        <f>IF($A161="","",IFERROR(INDEX(Prices[Category],MATCH($A161,Prices[Key],0)),"Uncategorized"))</f>
        <v/>
      </c>
      <c r="O161" s="291" t="str">
        <f t="shared" si="30"/>
        <v/>
      </c>
      <c r="P161" s="291" t="str">
        <f t="shared" si="31"/>
        <v/>
      </c>
    </row>
    <row r="162" spans="1:16" ht="15" customHeight="1" x14ac:dyDescent="0.2">
      <c r="A162" s="243" t="str">
        <f>IFERROR(INDEX('All Ticker P&amp;L'!$A$2:$A$1001,MATCH(ROWS($A$2:A162),'All Ticker P&amp;L'!$N$2:$N$1001,0)),"")</f>
        <v/>
      </c>
      <c r="B162" s="243" t="str">
        <f t="shared" si="23"/>
        <v/>
      </c>
      <c r="C162" s="243" t="str">
        <f t="shared" si="24"/>
        <v/>
      </c>
      <c r="D162" s="243" t="str">
        <f t="shared" si="25"/>
        <v/>
      </c>
      <c r="E162" s="265" t="str">
        <f>IF($A162="","",SUMIFS(Txn[Signed Units],Txn[Key],$A162))</f>
        <v/>
      </c>
      <c r="F162" s="287" t="str">
        <f>IF($A162="","",SUMIFS(Txn[Buy Cost],Txn[Key],$A162))</f>
        <v/>
      </c>
      <c r="G162" s="287" t="str">
        <f>IF($A162="","",SUMIFS(Txn[Sell Proceeds],Txn[Key],$A162))</f>
        <v/>
      </c>
      <c r="H162" s="288" t="str">
        <f>IF($A162="","",IFERROR(INDEX(Prices[Current Price],MATCH($A162,Prices[Key],0)),0))</f>
        <v/>
      </c>
      <c r="I162" s="289" t="str">
        <f>IF($A162="","",IFERROR(INDEX(Prices[FX to SGD],MATCH($A162,Prices[Key],0)),1))</f>
        <v/>
      </c>
      <c r="J162" s="287" t="str">
        <f t="shared" si="26"/>
        <v/>
      </c>
      <c r="K162" s="287" t="str">
        <f t="shared" si="27"/>
        <v/>
      </c>
      <c r="L162" s="287" t="str">
        <f t="shared" si="28"/>
        <v/>
      </c>
      <c r="M162" s="290" t="str">
        <f t="shared" si="29"/>
        <v/>
      </c>
      <c r="N162" t="str">
        <f>IF($A162="","",IFERROR(INDEX(Prices[Category],MATCH($A162,Prices[Key],0)),"Uncategorized"))</f>
        <v/>
      </c>
      <c r="O162" s="291" t="str">
        <f t="shared" si="30"/>
        <v/>
      </c>
      <c r="P162" s="291" t="str">
        <f t="shared" si="31"/>
        <v/>
      </c>
    </row>
    <row r="163" spans="1:16" ht="15" customHeight="1" x14ac:dyDescent="0.2">
      <c r="A163" s="243" t="str">
        <f>IFERROR(INDEX('All Ticker P&amp;L'!$A$2:$A$1001,MATCH(ROWS($A$2:A163),'All Ticker P&amp;L'!$N$2:$N$1001,0)),"")</f>
        <v/>
      </c>
      <c r="B163" s="243" t="str">
        <f t="shared" si="23"/>
        <v/>
      </c>
      <c r="C163" s="243" t="str">
        <f t="shared" si="24"/>
        <v/>
      </c>
      <c r="D163" s="243" t="str">
        <f t="shared" si="25"/>
        <v/>
      </c>
      <c r="E163" s="265" t="str">
        <f>IF($A163="","",SUMIFS(Txn[Signed Units],Txn[Key],$A163))</f>
        <v/>
      </c>
      <c r="F163" s="287" t="str">
        <f>IF($A163="","",SUMIFS(Txn[Buy Cost],Txn[Key],$A163))</f>
        <v/>
      </c>
      <c r="G163" s="287" t="str">
        <f>IF($A163="","",SUMIFS(Txn[Sell Proceeds],Txn[Key],$A163))</f>
        <v/>
      </c>
      <c r="H163" s="288" t="str">
        <f>IF($A163="","",IFERROR(INDEX(Prices[Current Price],MATCH($A163,Prices[Key],0)),0))</f>
        <v/>
      </c>
      <c r="I163" s="289" t="str">
        <f>IF($A163="","",IFERROR(INDEX(Prices[FX to SGD],MATCH($A163,Prices[Key],0)),1))</f>
        <v/>
      </c>
      <c r="J163" s="287" t="str">
        <f t="shared" si="26"/>
        <v/>
      </c>
      <c r="K163" s="287" t="str">
        <f t="shared" si="27"/>
        <v/>
      </c>
      <c r="L163" s="287" t="str">
        <f t="shared" si="28"/>
        <v/>
      </c>
      <c r="M163" s="290" t="str">
        <f t="shared" si="29"/>
        <v/>
      </c>
      <c r="N163" t="str">
        <f>IF($A163="","",IFERROR(INDEX(Prices[Category],MATCH($A163,Prices[Key],0)),"Uncategorized"))</f>
        <v/>
      </c>
      <c r="O163" s="291" t="str">
        <f t="shared" si="30"/>
        <v/>
      </c>
      <c r="P163" s="291" t="str">
        <f t="shared" si="31"/>
        <v/>
      </c>
    </row>
    <row r="164" spans="1:16" ht="15" customHeight="1" x14ac:dyDescent="0.2">
      <c r="A164" s="243" t="str">
        <f>IFERROR(INDEX('All Ticker P&amp;L'!$A$2:$A$1001,MATCH(ROWS($A$2:A164),'All Ticker P&amp;L'!$N$2:$N$1001,0)),"")</f>
        <v/>
      </c>
      <c r="B164" s="243" t="str">
        <f t="shared" si="23"/>
        <v/>
      </c>
      <c r="C164" s="243" t="str">
        <f t="shared" si="24"/>
        <v/>
      </c>
      <c r="D164" s="243" t="str">
        <f t="shared" si="25"/>
        <v/>
      </c>
      <c r="E164" s="265" t="str">
        <f>IF($A164="","",SUMIFS(Txn[Signed Units],Txn[Key],$A164))</f>
        <v/>
      </c>
      <c r="F164" s="287" t="str">
        <f>IF($A164="","",SUMIFS(Txn[Buy Cost],Txn[Key],$A164))</f>
        <v/>
      </c>
      <c r="G164" s="287" t="str">
        <f>IF($A164="","",SUMIFS(Txn[Sell Proceeds],Txn[Key],$A164))</f>
        <v/>
      </c>
      <c r="H164" s="288" t="str">
        <f>IF($A164="","",IFERROR(INDEX(Prices[Current Price],MATCH($A164,Prices[Key],0)),0))</f>
        <v/>
      </c>
      <c r="I164" s="289" t="str">
        <f>IF($A164="","",IFERROR(INDEX(Prices[FX to SGD],MATCH($A164,Prices[Key],0)),1))</f>
        <v/>
      </c>
      <c r="J164" s="287" t="str">
        <f t="shared" si="26"/>
        <v/>
      </c>
      <c r="K164" s="287" t="str">
        <f t="shared" si="27"/>
        <v/>
      </c>
      <c r="L164" s="287" t="str">
        <f t="shared" si="28"/>
        <v/>
      </c>
      <c r="M164" s="290" t="str">
        <f t="shared" si="29"/>
        <v/>
      </c>
      <c r="N164" t="str">
        <f>IF($A164="","",IFERROR(INDEX(Prices[Category],MATCH($A164,Prices[Key],0)),"Uncategorized"))</f>
        <v/>
      </c>
      <c r="O164" s="291" t="str">
        <f t="shared" si="30"/>
        <v/>
      </c>
      <c r="P164" s="291" t="str">
        <f t="shared" si="31"/>
        <v/>
      </c>
    </row>
    <row r="165" spans="1:16" ht="15" customHeight="1" x14ac:dyDescent="0.2">
      <c r="A165" s="243" t="str">
        <f>IFERROR(INDEX('All Ticker P&amp;L'!$A$2:$A$1001,MATCH(ROWS($A$2:A165),'All Ticker P&amp;L'!$N$2:$N$1001,0)),"")</f>
        <v/>
      </c>
      <c r="B165" s="243" t="str">
        <f t="shared" si="23"/>
        <v/>
      </c>
      <c r="C165" s="243" t="str">
        <f t="shared" si="24"/>
        <v/>
      </c>
      <c r="D165" s="243" t="str">
        <f t="shared" si="25"/>
        <v/>
      </c>
      <c r="E165" s="265" t="str">
        <f>IF($A165="","",SUMIFS(Txn[Signed Units],Txn[Key],$A165))</f>
        <v/>
      </c>
      <c r="F165" s="287" t="str">
        <f>IF($A165="","",SUMIFS(Txn[Buy Cost],Txn[Key],$A165))</f>
        <v/>
      </c>
      <c r="G165" s="287" t="str">
        <f>IF($A165="","",SUMIFS(Txn[Sell Proceeds],Txn[Key],$A165))</f>
        <v/>
      </c>
      <c r="H165" s="288" t="str">
        <f>IF($A165="","",IFERROR(INDEX(Prices[Current Price],MATCH($A165,Prices[Key],0)),0))</f>
        <v/>
      </c>
      <c r="I165" s="289" t="str">
        <f>IF($A165="","",IFERROR(INDEX(Prices[FX to SGD],MATCH($A165,Prices[Key],0)),1))</f>
        <v/>
      </c>
      <c r="J165" s="287" t="str">
        <f t="shared" si="26"/>
        <v/>
      </c>
      <c r="K165" s="287" t="str">
        <f t="shared" si="27"/>
        <v/>
      </c>
      <c r="L165" s="287" t="str">
        <f t="shared" si="28"/>
        <v/>
      </c>
      <c r="M165" s="290" t="str">
        <f t="shared" si="29"/>
        <v/>
      </c>
      <c r="N165" t="str">
        <f>IF($A165="","",IFERROR(INDEX(Prices[Category],MATCH($A165,Prices[Key],0)),"Uncategorized"))</f>
        <v/>
      </c>
      <c r="O165" s="291" t="str">
        <f t="shared" si="30"/>
        <v/>
      </c>
      <c r="P165" s="291" t="str">
        <f t="shared" si="31"/>
        <v/>
      </c>
    </row>
    <row r="166" spans="1:16" ht="15" customHeight="1" x14ac:dyDescent="0.2">
      <c r="A166" s="243" t="str">
        <f>IFERROR(INDEX('All Ticker P&amp;L'!$A$2:$A$1001,MATCH(ROWS($A$2:A166),'All Ticker P&amp;L'!$N$2:$N$1001,0)),"")</f>
        <v/>
      </c>
      <c r="B166" s="243" t="str">
        <f t="shared" si="23"/>
        <v/>
      </c>
      <c r="C166" s="243" t="str">
        <f t="shared" si="24"/>
        <v/>
      </c>
      <c r="D166" s="243" t="str">
        <f t="shared" si="25"/>
        <v/>
      </c>
      <c r="E166" s="265" t="str">
        <f>IF($A166="","",SUMIFS(Txn[Signed Units],Txn[Key],$A166))</f>
        <v/>
      </c>
      <c r="F166" s="287" t="str">
        <f>IF($A166="","",SUMIFS(Txn[Buy Cost],Txn[Key],$A166))</f>
        <v/>
      </c>
      <c r="G166" s="287" t="str">
        <f>IF($A166="","",SUMIFS(Txn[Sell Proceeds],Txn[Key],$A166))</f>
        <v/>
      </c>
      <c r="H166" s="288" t="str">
        <f>IF($A166="","",IFERROR(INDEX(Prices[Current Price],MATCH($A166,Prices[Key],0)),0))</f>
        <v/>
      </c>
      <c r="I166" s="289" t="str">
        <f>IF($A166="","",IFERROR(INDEX(Prices[FX to SGD],MATCH($A166,Prices[Key],0)),1))</f>
        <v/>
      </c>
      <c r="J166" s="287" t="str">
        <f t="shared" si="26"/>
        <v/>
      </c>
      <c r="K166" s="287" t="str">
        <f t="shared" si="27"/>
        <v/>
      </c>
      <c r="L166" s="287" t="str">
        <f t="shared" si="28"/>
        <v/>
      </c>
      <c r="M166" s="290" t="str">
        <f t="shared" si="29"/>
        <v/>
      </c>
      <c r="N166" t="str">
        <f>IF($A166="","",IFERROR(INDEX(Prices[Category],MATCH($A166,Prices[Key],0)),"Uncategorized"))</f>
        <v/>
      </c>
      <c r="O166" s="291" t="str">
        <f t="shared" si="30"/>
        <v/>
      </c>
      <c r="P166" s="291" t="str">
        <f t="shared" si="31"/>
        <v/>
      </c>
    </row>
    <row r="167" spans="1:16" ht="15" customHeight="1" x14ac:dyDescent="0.2">
      <c r="A167" s="243" t="str">
        <f>IFERROR(INDEX('All Ticker P&amp;L'!$A$2:$A$1001,MATCH(ROWS($A$2:A167),'All Ticker P&amp;L'!$N$2:$N$1001,0)),"")</f>
        <v/>
      </c>
      <c r="B167" s="243" t="str">
        <f t="shared" si="23"/>
        <v/>
      </c>
      <c r="C167" s="243" t="str">
        <f t="shared" si="24"/>
        <v/>
      </c>
      <c r="D167" s="243" t="str">
        <f t="shared" si="25"/>
        <v/>
      </c>
      <c r="E167" s="265" t="str">
        <f>IF($A167="","",SUMIFS(Txn[Signed Units],Txn[Key],$A167))</f>
        <v/>
      </c>
      <c r="F167" s="287" t="str">
        <f>IF($A167="","",SUMIFS(Txn[Buy Cost],Txn[Key],$A167))</f>
        <v/>
      </c>
      <c r="G167" s="287" t="str">
        <f>IF($A167="","",SUMIFS(Txn[Sell Proceeds],Txn[Key],$A167))</f>
        <v/>
      </c>
      <c r="H167" s="288" t="str">
        <f>IF($A167="","",IFERROR(INDEX(Prices[Current Price],MATCH($A167,Prices[Key],0)),0))</f>
        <v/>
      </c>
      <c r="I167" s="289" t="str">
        <f>IF($A167="","",IFERROR(INDEX(Prices[FX to SGD],MATCH($A167,Prices[Key],0)),1))</f>
        <v/>
      </c>
      <c r="J167" s="287" t="str">
        <f t="shared" si="26"/>
        <v/>
      </c>
      <c r="K167" s="287" t="str">
        <f t="shared" si="27"/>
        <v/>
      </c>
      <c r="L167" s="287" t="str">
        <f t="shared" si="28"/>
        <v/>
      </c>
      <c r="M167" s="290" t="str">
        <f t="shared" si="29"/>
        <v/>
      </c>
      <c r="N167" t="str">
        <f>IF($A167="","",IFERROR(INDEX(Prices[Category],MATCH($A167,Prices[Key],0)),"Uncategorized"))</f>
        <v/>
      </c>
      <c r="O167" s="291" t="str">
        <f t="shared" si="30"/>
        <v/>
      </c>
      <c r="P167" s="291" t="str">
        <f t="shared" si="31"/>
        <v/>
      </c>
    </row>
    <row r="168" spans="1:16" ht="15" customHeight="1" x14ac:dyDescent="0.2">
      <c r="A168" s="243" t="str">
        <f>IFERROR(INDEX('All Ticker P&amp;L'!$A$2:$A$1001,MATCH(ROWS($A$2:A168),'All Ticker P&amp;L'!$N$2:$N$1001,0)),"")</f>
        <v/>
      </c>
      <c r="B168" s="243" t="str">
        <f t="shared" si="23"/>
        <v/>
      </c>
      <c r="C168" s="243" t="str">
        <f t="shared" si="24"/>
        <v/>
      </c>
      <c r="D168" s="243" t="str">
        <f t="shared" si="25"/>
        <v/>
      </c>
      <c r="E168" s="265" t="str">
        <f>IF($A168="","",SUMIFS(Txn[Signed Units],Txn[Key],$A168))</f>
        <v/>
      </c>
      <c r="F168" s="287" t="str">
        <f>IF($A168="","",SUMIFS(Txn[Buy Cost],Txn[Key],$A168))</f>
        <v/>
      </c>
      <c r="G168" s="287" t="str">
        <f>IF($A168="","",SUMIFS(Txn[Sell Proceeds],Txn[Key],$A168))</f>
        <v/>
      </c>
      <c r="H168" s="288" t="str">
        <f>IF($A168="","",IFERROR(INDEX(Prices[Current Price],MATCH($A168,Prices[Key],0)),0))</f>
        <v/>
      </c>
      <c r="I168" s="289" t="str">
        <f>IF($A168="","",IFERROR(INDEX(Prices[FX to SGD],MATCH($A168,Prices[Key],0)),1))</f>
        <v/>
      </c>
      <c r="J168" s="287" t="str">
        <f t="shared" si="26"/>
        <v/>
      </c>
      <c r="K168" s="287" t="str">
        <f t="shared" si="27"/>
        <v/>
      </c>
      <c r="L168" s="287" t="str">
        <f t="shared" si="28"/>
        <v/>
      </c>
      <c r="M168" s="290" t="str">
        <f t="shared" si="29"/>
        <v/>
      </c>
      <c r="N168" t="str">
        <f>IF($A168="","",IFERROR(INDEX(Prices[Category],MATCH($A168,Prices[Key],0)),"Uncategorized"))</f>
        <v/>
      </c>
      <c r="O168" s="291" t="str">
        <f t="shared" si="30"/>
        <v/>
      </c>
      <c r="P168" s="291" t="str">
        <f t="shared" si="31"/>
        <v/>
      </c>
    </row>
    <row r="169" spans="1:16" ht="15" customHeight="1" x14ac:dyDescent="0.2">
      <c r="A169" s="243" t="str">
        <f>IFERROR(INDEX('All Ticker P&amp;L'!$A$2:$A$1001,MATCH(ROWS($A$2:A169),'All Ticker P&amp;L'!$N$2:$N$1001,0)),"")</f>
        <v/>
      </c>
      <c r="B169" s="243" t="str">
        <f t="shared" si="23"/>
        <v/>
      </c>
      <c r="C169" s="243" t="str">
        <f t="shared" si="24"/>
        <v/>
      </c>
      <c r="D169" s="243" t="str">
        <f t="shared" si="25"/>
        <v/>
      </c>
      <c r="E169" s="265" t="str">
        <f>IF($A169="","",SUMIFS(Txn[Signed Units],Txn[Key],$A169))</f>
        <v/>
      </c>
      <c r="F169" s="287" t="str">
        <f>IF($A169="","",SUMIFS(Txn[Buy Cost],Txn[Key],$A169))</f>
        <v/>
      </c>
      <c r="G169" s="287" t="str">
        <f>IF($A169="","",SUMIFS(Txn[Sell Proceeds],Txn[Key],$A169))</f>
        <v/>
      </c>
      <c r="H169" s="288" t="str">
        <f>IF($A169="","",IFERROR(INDEX(Prices[Current Price],MATCH($A169,Prices[Key],0)),0))</f>
        <v/>
      </c>
      <c r="I169" s="289" t="str">
        <f>IF($A169="","",IFERROR(INDEX(Prices[FX to SGD],MATCH($A169,Prices[Key],0)),1))</f>
        <v/>
      </c>
      <c r="J169" s="287" t="str">
        <f t="shared" si="26"/>
        <v/>
      </c>
      <c r="K169" s="287" t="str">
        <f t="shared" si="27"/>
        <v/>
      </c>
      <c r="L169" s="287" t="str">
        <f t="shared" si="28"/>
        <v/>
      </c>
      <c r="M169" s="290" t="str">
        <f t="shared" si="29"/>
        <v/>
      </c>
      <c r="N169" t="str">
        <f>IF($A169="","",IFERROR(INDEX(Prices[Category],MATCH($A169,Prices[Key],0)),"Uncategorized"))</f>
        <v/>
      </c>
      <c r="O169" s="291" t="str">
        <f t="shared" si="30"/>
        <v/>
      </c>
      <c r="P169" s="291" t="str">
        <f t="shared" si="31"/>
        <v/>
      </c>
    </row>
    <row r="170" spans="1:16" ht="15" customHeight="1" x14ac:dyDescent="0.2">
      <c r="A170" s="243" t="str">
        <f>IFERROR(INDEX('All Ticker P&amp;L'!$A$2:$A$1001,MATCH(ROWS($A$2:A170),'All Ticker P&amp;L'!$N$2:$N$1001,0)),"")</f>
        <v/>
      </c>
      <c r="B170" s="243" t="str">
        <f t="shared" si="23"/>
        <v/>
      </c>
      <c r="C170" s="243" t="str">
        <f t="shared" si="24"/>
        <v/>
      </c>
      <c r="D170" s="243" t="str">
        <f t="shared" si="25"/>
        <v/>
      </c>
      <c r="E170" s="265" t="str">
        <f>IF($A170="","",SUMIFS(Txn[Signed Units],Txn[Key],$A170))</f>
        <v/>
      </c>
      <c r="F170" s="287" t="str">
        <f>IF($A170="","",SUMIFS(Txn[Buy Cost],Txn[Key],$A170))</f>
        <v/>
      </c>
      <c r="G170" s="287" t="str">
        <f>IF($A170="","",SUMIFS(Txn[Sell Proceeds],Txn[Key],$A170))</f>
        <v/>
      </c>
      <c r="H170" s="288" t="str">
        <f>IF($A170="","",IFERROR(INDEX(Prices[Current Price],MATCH($A170,Prices[Key],0)),0))</f>
        <v/>
      </c>
      <c r="I170" s="289" t="str">
        <f>IF($A170="","",IFERROR(INDEX(Prices[FX to SGD],MATCH($A170,Prices[Key],0)),1))</f>
        <v/>
      </c>
      <c r="J170" s="287" t="str">
        <f t="shared" si="26"/>
        <v/>
      </c>
      <c r="K170" s="287" t="str">
        <f t="shared" si="27"/>
        <v/>
      </c>
      <c r="L170" s="287" t="str">
        <f t="shared" si="28"/>
        <v/>
      </c>
      <c r="M170" s="290" t="str">
        <f t="shared" si="29"/>
        <v/>
      </c>
      <c r="N170" t="str">
        <f>IF($A170="","",IFERROR(INDEX(Prices[Category],MATCH($A170,Prices[Key],0)),"Uncategorized"))</f>
        <v/>
      </c>
      <c r="O170" s="291" t="str">
        <f t="shared" si="30"/>
        <v/>
      </c>
      <c r="P170" s="291" t="str">
        <f t="shared" si="31"/>
        <v/>
      </c>
    </row>
    <row r="171" spans="1:16" ht="15" customHeight="1" x14ac:dyDescent="0.2">
      <c r="A171" s="243" t="str">
        <f>IFERROR(INDEX('All Ticker P&amp;L'!$A$2:$A$1001,MATCH(ROWS($A$2:A171),'All Ticker P&amp;L'!$N$2:$N$1001,0)),"")</f>
        <v/>
      </c>
      <c r="B171" s="243" t="str">
        <f t="shared" si="23"/>
        <v/>
      </c>
      <c r="C171" s="243" t="str">
        <f t="shared" si="24"/>
        <v/>
      </c>
      <c r="D171" s="243" t="str">
        <f t="shared" si="25"/>
        <v/>
      </c>
      <c r="E171" s="265" t="str">
        <f>IF($A171="","",SUMIFS(Txn[Signed Units],Txn[Key],$A171))</f>
        <v/>
      </c>
      <c r="F171" s="287" t="str">
        <f>IF($A171="","",SUMIFS(Txn[Buy Cost],Txn[Key],$A171))</f>
        <v/>
      </c>
      <c r="G171" s="287" t="str">
        <f>IF($A171="","",SUMIFS(Txn[Sell Proceeds],Txn[Key],$A171))</f>
        <v/>
      </c>
      <c r="H171" s="288" t="str">
        <f>IF($A171="","",IFERROR(INDEX(Prices[Current Price],MATCH($A171,Prices[Key],0)),0))</f>
        <v/>
      </c>
      <c r="I171" s="289" t="str">
        <f>IF($A171="","",IFERROR(INDEX(Prices[FX to SGD],MATCH($A171,Prices[Key],0)),1))</f>
        <v/>
      </c>
      <c r="J171" s="287" t="str">
        <f t="shared" si="26"/>
        <v/>
      </c>
      <c r="K171" s="287" t="str">
        <f t="shared" si="27"/>
        <v/>
      </c>
      <c r="L171" s="287" t="str">
        <f t="shared" si="28"/>
        <v/>
      </c>
      <c r="M171" s="290" t="str">
        <f t="shared" si="29"/>
        <v/>
      </c>
      <c r="N171" t="str">
        <f>IF($A171="","",IFERROR(INDEX(Prices[Category],MATCH($A171,Prices[Key],0)),"Uncategorized"))</f>
        <v/>
      </c>
      <c r="O171" s="291" t="str">
        <f t="shared" si="30"/>
        <v/>
      </c>
      <c r="P171" s="291" t="str">
        <f t="shared" si="31"/>
        <v/>
      </c>
    </row>
    <row r="172" spans="1:16" ht="15" customHeight="1" x14ac:dyDescent="0.2">
      <c r="A172" s="243" t="str">
        <f>IFERROR(INDEX('All Ticker P&amp;L'!$A$2:$A$1001,MATCH(ROWS($A$2:A172),'All Ticker P&amp;L'!$N$2:$N$1001,0)),"")</f>
        <v/>
      </c>
      <c r="B172" s="243" t="str">
        <f t="shared" si="23"/>
        <v/>
      </c>
      <c r="C172" s="243" t="str">
        <f t="shared" si="24"/>
        <v/>
      </c>
      <c r="D172" s="243" t="str">
        <f t="shared" si="25"/>
        <v/>
      </c>
      <c r="E172" s="265" t="str">
        <f>IF($A172="","",SUMIFS(Txn[Signed Units],Txn[Key],$A172))</f>
        <v/>
      </c>
      <c r="F172" s="287" t="str">
        <f>IF($A172="","",SUMIFS(Txn[Buy Cost],Txn[Key],$A172))</f>
        <v/>
      </c>
      <c r="G172" s="287" t="str">
        <f>IF($A172="","",SUMIFS(Txn[Sell Proceeds],Txn[Key],$A172))</f>
        <v/>
      </c>
      <c r="H172" s="288" t="str">
        <f>IF($A172="","",IFERROR(INDEX(Prices[Current Price],MATCH($A172,Prices[Key],0)),0))</f>
        <v/>
      </c>
      <c r="I172" s="289" t="str">
        <f>IF($A172="","",IFERROR(INDEX(Prices[FX to SGD],MATCH($A172,Prices[Key],0)),1))</f>
        <v/>
      </c>
      <c r="J172" s="287" t="str">
        <f t="shared" si="26"/>
        <v/>
      </c>
      <c r="K172" s="287" t="str">
        <f t="shared" si="27"/>
        <v/>
      </c>
      <c r="L172" s="287" t="str">
        <f t="shared" si="28"/>
        <v/>
      </c>
      <c r="M172" s="290" t="str">
        <f t="shared" si="29"/>
        <v/>
      </c>
      <c r="N172" t="str">
        <f>IF($A172="","",IFERROR(INDEX(Prices[Category],MATCH($A172,Prices[Key],0)),"Uncategorized"))</f>
        <v/>
      </c>
      <c r="O172" s="291" t="str">
        <f t="shared" si="30"/>
        <v/>
      </c>
      <c r="P172" s="291" t="str">
        <f t="shared" si="31"/>
        <v/>
      </c>
    </row>
    <row r="173" spans="1:16" ht="15" customHeight="1" x14ac:dyDescent="0.2">
      <c r="A173" s="243" t="str">
        <f>IFERROR(INDEX('All Ticker P&amp;L'!$A$2:$A$1001,MATCH(ROWS($A$2:A173),'All Ticker P&amp;L'!$N$2:$N$1001,0)),"")</f>
        <v/>
      </c>
      <c r="B173" s="243" t="str">
        <f t="shared" si="23"/>
        <v/>
      </c>
      <c r="C173" s="243" t="str">
        <f t="shared" si="24"/>
        <v/>
      </c>
      <c r="D173" s="243" t="str">
        <f t="shared" si="25"/>
        <v/>
      </c>
      <c r="E173" s="265" t="str">
        <f>IF($A173="","",SUMIFS(Txn[Signed Units],Txn[Key],$A173))</f>
        <v/>
      </c>
      <c r="F173" s="287" t="str">
        <f>IF($A173="","",SUMIFS(Txn[Buy Cost],Txn[Key],$A173))</f>
        <v/>
      </c>
      <c r="G173" s="287" t="str">
        <f>IF($A173="","",SUMIFS(Txn[Sell Proceeds],Txn[Key],$A173))</f>
        <v/>
      </c>
      <c r="H173" s="288" t="str">
        <f>IF($A173="","",IFERROR(INDEX(Prices[Current Price],MATCH($A173,Prices[Key],0)),0))</f>
        <v/>
      </c>
      <c r="I173" s="289" t="str">
        <f>IF($A173="","",IFERROR(INDEX(Prices[FX to SGD],MATCH($A173,Prices[Key],0)),1))</f>
        <v/>
      </c>
      <c r="J173" s="287" t="str">
        <f t="shared" si="26"/>
        <v/>
      </c>
      <c r="K173" s="287" t="str">
        <f t="shared" si="27"/>
        <v/>
      </c>
      <c r="L173" s="287" t="str">
        <f t="shared" si="28"/>
        <v/>
      </c>
      <c r="M173" s="290" t="str">
        <f t="shared" si="29"/>
        <v/>
      </c>
      <c r="N173" t="str">
        <f>IF($A173="","",IFERROR(INDEX(Prices[Category],MATCH($A173,Prices[Key],0)),"Uncategorized"))</f>
        <v/>
      </c>
      <c r="O173" s="291" t="str">
        <f t="shared" si="30"/>
        <v/>
      </c>
      <c r="P173" s="291" t="str">
        <f t="shared" si="31"/>
        <v/>
      </c>
    </row>
    <row r="174" spans="1:16" ht="15" customHeight="1" x14ac:dyDescent="0.2">
      <c r="A174" s="243" t="str">
        <f>IFERROR(INDEX('All Ticker P&amp;L'!$A$2:$A$1001,MATCH(ROWS($A$2:A174),'All Ticker P&amp;L'!$N$2:$N$1001,0)),"")</f>
        <v/>
      </c>
      <c r="B174" s="243" t="str">
        <f t="shared" si="23"/>
        <v/>
      </c>
      <c r="C174" s="243" t="str">
        <f t="shared" si="24"/>
        <v/>
      </c>
      <c r="D174" s="243" t="str">
        <f t="shared" si="25"/>
        <v/>
      </c>
      <c r="E174" s="265" t="str">
        <f>IF($A174="","",SUMIFS(Txn[Signed Units],Txn[Key],$A174))</f>
        <v/>
      </c>
      <c r="F174" s="287" t="str">
        <f>IF($A174="","",SUMIFS(Txn[Buy Cost],Txn[Key],$A174))</f>
        <v/>
      </c>
      <c r="G174" s="287" t="str">
        <f>IF($A174="","",SUMIFS(Txn[Sell Proceeds],Txn[Key],$A174))</f>
        <v/>
      </c>
      <c r="H174" s="288" t="str">
        <f>IF($A174="","",IFERROR(INDEX(Prices[Current Price],MATCH($A174,Prices[Key],0)),0))</f>
        <v/>
      </c>
      <c r="I174" s="289" t="str">
        <f>IF($A174="","",IFERROR(INDEX(Prices[FX to SGD],MATCH($A174,Prices[Key],0)),1))</f>
        <v/>
      </c>
      <c r="J174" s="287" t="str">
        <f t="shared" si="26"/>
        <v/>
      </c>
      <c r="K174" s="287" t="str">
        <f t="shared" si="27"/>
        <v/>
      </c>
      <c r="L174" s="287" t="str">
        <f t="shared" si="28"/>
        <v/>
      </c>
      <c r="M174" s="290" t="str">
        <f t="shared" si="29"/>
        <v/>
      </c>
      <c r="N174" t="str">
        <f>IF($A174="","",IFERROR(INDEX(Prices[Category],MATCH($A174,Prices[Key],0)),"Uncategorized"))</f>
        <v/>
      </c>
      <c r="O174" s="291" t="str">
        <f t="shared" si="30"/>
        <v/>
      </c>
      <c r="P174" s="291" t="str">
        <f t="shared" si="31"/>
        <v/>
      </c>
    </row>
    <row r="175" spans="1:16" ht="15" customHeight="1" x14ac:dyDescent="0.2">
      <c r="A175" s="243" t="str">
        <f>IFERROR(INDEX('All Ticker P&amp;L'!$A$2:$A$1001,MATCH(ROWS($A$2:A175),'All Ticker P&amp;L'!$N$2:$N$1001,0)),"")</f>
        <v/>
      </c>
      <c r="B175" s="243" t="str">
        <f t="shared" si="23"/>
        <v/>
      </c>
      <c r="C175" s="243" t="str">
        <f t="shared" si="24"/>
        <v/>
      </c>
      <c r="D175" s="243" t="str">
        <f t="shared" si="25"/>
        <v/>
      </c>
      <c r="E175" s="265" t="str">
        <f>IF($A175="","",SUMIFS(Txn[Signed Units],Txn[Key],$A175))</f>
        <v/>
      </c>
      <c r="F175" s="287" t="str">
        <f>IF($A175="","",SUMIFS(Txn[Buy Cost],Txn[Key],$A175))</f>
        <v/>
      </c>
      <c r="G175" s="287" t="str">
        <f>IF($A175="","",SUMIFS(Txn[Sell Proceeds],Txn[Key],$A175))</f>
        <v/>
      </c>
      <c r="H175" s="288" t="str">
        <f>IF($A175="","",IFERROR(INDEX(Prices[Current Price],MATCH($A175,Prices[Key],0)),0))</f>
        <v/>
      </c>
      <c r="I175" s="289" t="str">
        <f>IF($A175="","",IFERROR(INDEX(Prices[FX to SGD],MATCH($A175,Prices[Key],0)),1))</f>
        <v/>
      </c>
      <c r="J175" s="287" t="str">
        <f t="shared" si="26"/>
        <v/>
      </c>
      <c r="K175" s="287" t="str">
        <f t="shared" si="27"/>
        <v/>
      </c>
      <c r="L175" s="287" t="str">
        <f t="shared" si="28"/>
        <v/>
      </c>
      <c r="M175" s="290" t="str">
        <f t="shared" si="29"/>
        <v/>
      </c>
      <c r="N175" t="str">
        <f>IF($A175="","",IFERROR(INDEX(Prices[Category],MATCH($A175,Prices[Key],0)),"Uncategorized"))</f>
        <v/>
      </c>
      <c r="O175" s="291" t="str">
        <f t="shared" si="30"/>
        <v/>
      </c>
      <c r="P175" s="291" t="str">
        <f t="shared" si="31"/>
        <v/>
      </c>
    </row>
    <row r="176" spans="1:16" ht="15" customHeight="1" x14ac:dyDescent="0.2">
      <c r="A176" s="243" t="str">
        <f>IFERROR(INDEX('All Ticker P&amp;L'!$A$2:$A$1001,MATCH(ROWS($A$2:A176),'All Ticker P&amp;L'!$N$2:$N$1001,0)),"")</f>
        <v/>
      </c>
      <c r="B176" s="243" t="str">
        <f t="shared" si="23"/>
        <v/>
      </c>
      <c r="C176" s="243" t="str">
        <f t="shared" si="24"/>
        <v/>
      </c>
      <c r="D176" s="243" t="str">
        <f t="shared" si="25"/>
        <v/>
      </c>
      <c r="E176" s="265" t="str">
        <f>IF($A176="","",SUMIFS(Txn[Signed Units],Txn[Key],$A176))</f>
        <v/>
      </c>
      <c r="F176" s="287" t="str">
        <f>IF($A176="","",SUMIFS(Txn[Buy Cost],Txn[Key],$A176))</f>
        <v/>
      </c>
      <c r="G176" s="287" t="str">
        <f>IF($A176="","",SUMIFS(Txn[Sell Proceeds],Txn[Key],$A176))</f>
        <v/>
      </c>
      <c r="H176" s="288" t="str">
        <f>IF($A176="","",IFERROR(INDEX(Prices[Current Price],MATCH($A176,Prices[Key],0)),0))</f>
        <v/>
      </c>
      <c r="I176" s="289" t="str">
        <f>IF($A176="","",IFERROR(INDEX(Prices[FX to SGD],MATCH($A176,Prices[Key],0)),1))</f>
        <v/>
      </c>
      <c r="J176" s="287" t="str">
        <f t="shared" si="26"/>
        <v/>
      </c>
      <c r="K176" s="287" t="str">
        <f t="shared" si="27"/>
        <v/>
      </c>
      <c r="L176" s="287" t="str">
        <f t="shared" si="28"/>
        <v/>
      </c>
      <c r="M176" s="290" t="str">
        <f t="shared" si="29"/>
        <v/>
      </c>
      <c r="N176" t="str">
        <f>IF($A176="","",IFERROR(INDEX(Prices[Category],MATCH($A176,Prices[Key],0)),"Uncategorized"))</f>
        <v/>
      </c>
      <c r="O176" s="291" t="str">
        <f t="shared" si="30"/>
        <v/>
      </c>
      <c r="P176" s="291" t="str">
        <f t="shared" si="31"/>
        <v/>
      </c>
    </row>
    <row r="177" spans="1:16" ht="15" customHeight="1" x14ac:dyDescent="0.2">
      <c r="A177" s="243" t="str">
        <f>IFERROR(INDEX('All Ticker P&amp;L'!$A$2:$A$1001,MATCH(ROWS($A$2:A177),'All Ticker P&amp;L'!$N$2:$N$1001,0)),"")</f>
        <v/>
      </c>
      <c r="B177" s="243" t="str">
        <f t="shared" si="23"/>
        <v/>
      </c>
      <c r="C177" s="243" t="str">
        <f t="shared" si="24"/>
        <v/>
      </c>
      <c r="D177" s="243" t="str">
        <f t="shared" si="25"/>
        <v/>
      </c>
      <c r="E177" s="265" t="str">
        <f>IF($A177="","",SUMIFS(Txn[Signed Units],Txn[Key],$A177))</f>
        <v/>
      </c>
      <c r="F177" s="287" t="str">
        <f>IF($A177="","",SUMIFS(Txn[Buy Cost],Txn[Key],$A177))</f>
        <v/>
      </c>
      <c r="G177" s="287" t="str">
        <f>IF($A177="","",SUMIFS(Txn[Sell Proceeds],Txn[Key],$A177))</f>
        <v/>
      </c>
      <c r="H177" s="288" t="str">
        <f>IF($A177="","",IFERROR(INDEX(Prices[Current Price],MATCH($A177,Prices[Key],0)),0))</f>
        <v/>
      </c>
      <c r="I177" s="289" t="str">
        <f>IF($A177="","",IFERROR(INDEX(Prices[FX to SGD],MATCH($A177,Prices[Key],0)),1))</f>
        <v/>
      </c>
      <c r="J177" s="287" t="str">
        <f t="shared" si="26"/>
        <v/>
      </c>
      <c r="K177" s="287" t="str">
        <f t="shared" si="27"/>
        <v/>
      </c>
      <c r="L177" s="287" t="str">
        <f t="shared" si="28"/>
        <v/>
      </c>
      <c r="M177" s="290" t="str">
        <f t="shared" si="29"/>
        <v/>
      </c>
      <c r="N177" t="str">
        <f>IF($A177="","",IFERROR(INDEX(Prices[Category],MATCH($A177,Prices[Key],0)),"Uncategorized"))</f>
        <v/>
      </c>
      <c r="O177" s="291" t="str">
        <f t="shared" si="30"/>
        <v/>
      </c>
      <c r="P177" s="291" t="str">
        <f t="shared" si="31"/>
        <v/>
      </c>
    </row>
    <row r="178" spans="1:16" ht="15" customHeight="1" x14ac:dyDescent="0.2">
      <c r="A178" s="243" t="str">
        <f>IFERROR(INDEX('All Ticker P&amp;L'!$A$2:$A$1001,MATCH(ROWS($A$2:A178),'All Ticker P&amp;L'!$N$2:$N$1001,0)),"")</f>
        <v/>
      </c>
      <c r="B178" s="243" t="str">
        <f t="shared" si="23"/>
        <v/>
      </c>
      <c r="C178" s="243" t="str">
        <f t="shared" si="24"/>
        <v/>
      </c>
      <c r="D178" s="243" t="str">
        <f t="shared" si="25"/>
        <v/>
      </c>
      <c r="E178" s="265" t="str">
        <f>IF($A178="","",SUMIFS(Txn[Signed Units],Txn[Key],$A178))</f>
        <v/>
      </c>
      <c r="F178" s="287" t="str">
        <f>IF($A178="","",SUMIFS(Txn[Buy Cost],Txn[Key],$A178))</f>
        <v/>
      </c>
      <c r="G178" s="287" t="str">
        <f>IF($A178="","",SUMIFS(Txn[Sell Proceeds],Txn[Key],$A178))</f>
        <v/>
      </c>
      <c r="H178" s="288" t="str">
        <f>IF($A178="","",IFERROR(INDEX(Prices[Current Price],MATCH($A178,Prices[Key],0)),0))</f>
        <v/>
      </c>
      <c r="I178" s="289" t="str">
        <f>IF($A178="","",IFERROR(INDEX(Prices[FX to SGD],MATCH($A178,Prices[Key],0)),1))</f>
        <v/>
      </c>
      <c r="J178" s="287" t="str">
        <f t="shared" si="26"/>
        <v/>
      </c>
      <c r="K178" s="287" t="str">
        <f t="shared" si="27"/>
        <v/>
      </c>
      <c r="L178" s="287" t="str">
        <f t="shared" si="28"/>
        <v/>
      </c>
      <c r="M178" s="290" t="str">
        <f t="shared" si="29"/>
        <v/>
      </c>
      <c r="N178" t="str">
        <f>IF($A178="","",IFERROR(INDEX(Prices[Category],MATCH($A178,Prices[Key],0)),"Uncategorized"))</f>
        <v/>
      </c>
      <c r="O178" s="291" t="str">
        <f t="shared" si="30"/>
        <v/>
      </c>
      <c r="P178" s="291" t="str">
        <f t="shared" si="31"/>
        <v/>
      </c>
    </row>
    <row r="179" spans="1:16" ht="15" customHeight="1" x14ac:dyDescent="0.2">
      <c r="A179" s="243" t="str">
        <f>IFERROR(INDEX('All Ticker P&amp;L'!$A$2:$A$1001,MATCH(ROWS($A$2:A179),'All Ticker P&amp;L'!$N$2:$N$1001,0)),"")</f>
        <v/>
      </c>
      <c r="B179" s="243" t="str">
        <f t="shared" si="23"/>
        <v/>
      </c>
      <c r="C179" s="243" t="str">
        <f t="shared" si="24"/>
        <v/>
      </c>
      <c r="D179" s="243" t="str">
        <f t="shared" si="25"/>
        <v/>
      </c>
      <c r="E179" s="265" t="str">
        <f>IF($A179="","",SUMIFS(Txn[Signed Units],Txn[Key],$A179))</f>
        <v/>
      </c>
      <c r="F179" s="287" t="str">
        <f>IF($A179="","",SUMIFS(Txn[Buy Cost],Txn[Key],$A179))</f>
        <v/>
      </c>
      <c r="G179" s="287" t="str">
        <f>IF($A179="","",SUMIFS(Txn[Sell Proceeds],Txn[Key],$A179))</f>
        <v/>
      </c>
      <c r="H179" s="288" t="str">
        <f>IF($A179="","",IFERROR(INDEX(Prices[Current Price],MATCH($A179,Prices[Key],0)),0))</f>
        <v/>
      </c>
      <c r="I179" s="289" t="str">
        <f>IF($A179="","",IFERROR(INDEX(Prices[FX to SGD],MATCH($A179,Prices[Key],0)),1))</f>
        <v/>
      </c>
      <c r="J179" s="287" t="str">
        <f t="shared" si="26"/>
        <v/>
      </c>
      <c r="K179" s="287" t="str">
        <f t="shared" si="27"/>
        <v/>
      </c>
      <c r="L179" s="287" t="str">
        <f t="shared" si="28"/>
        <v/>
      </c>
      <c r="M179" s="290" t="str">
        <f t="shared" si="29"/>
        <v/>
      </c>
      <c r="N179" t="str">
        <f>IF($A179="","",IFERROR(INDEX(Prices[Category],MATCH($A179,Prices[Key],0)),"Uncategorized"))</f>
        <v/>
      </c>
      <c r="O179" s="291" t="str">
        <f t="shared" si="30"/>
        <v/>
      </c>
      <c r="P179" s="291" t="str">
        <f t="shared" si="31"/>
        <v/>
      </c>
    </row>
    <row r="180" spans="1:16" ht="15" customHeight="1" x14ac:dyDescent="0.2">
      <c r="A180" s="243" t="str">
        <f>IFERROR(INDEX('All Ticker P&amp;L'!$A$2:$A$1001,MATCH(ROWS($A$2:A180),'All Ticker P&amp;L'!$N$2:$N$1001,0)),"")</f>
        <v/>
      </c>
      <c r="B180" s="243" t="str">
        <f t="shared" si="23"/>
        <v/>
      </c>
      <c r="C180" s="243" t="str">
        <f t="shared" si="24"/>
        <v/>
      </c>
      <c r="D180" s="243" t="str">
        <f t="shared" si="25"/>
        <v/>
      </c>
      <c r="E180" s="265" t="str">
        <f>IF($A180="","",SUMIFS(Txn[Signed Units],Txn[Key],$A180))</f>
        <v/>
      </c>
      <c r="F180" s="287" t="str">
        <f>IF($A180="","",SUMIFS(Txn[Buy Cost],Txn[Key],$A180))</f>
        <v/>
      </c>
      <c r="G180" s="287" t="str">
        <f>IF($A180="","",SUMIFS(Txn[Sell Proceeds],Txn[Key],$A180))</f>
        <v/>
      </c>
      <c r="H180" s="288" t="str">
        <f>IF($A180="","",IFERROR(INDEX(Prices[Current Price],MATCH($A180,Prices[Key],0)),0))</f>
        <v/>
      </c>
      <c r="I180" s="289" t="str">
        <f>IF($A180="","",IFERROR(INDEX(Prices[FX to SGD],MATCH($A180,Prices[Key],0)),1))</f>
        <v/>
      </c>
      <c r="J180" s="287" t="str">
        <f t="shared" si="26"/>
        <v/>
      </c>
      <c r="K180" s="287" t="str">
        <f t="shared" si="27"/>
        <v/>
      </c>
      <c r="L180" s="287" t="str">
        <f t="shared" si="28"/>
        <v/>
      </c>
      <c r="M180" s="290" t="str">
        <f t="shared" si="29"/>
        <v/>
      </c>
      <c r="N180" t="str">
        <f>IF($A180="","",IFERROR(INDEX(Prices[Category],MATCH($A180,Prices[Key],0)),"Uncategorized"))</f>
        <v/>
      </c>
      <c r="O180" s="291" t="str">
        <f t="shared" si="30"/>
        <v/>
      </c>
      <c r="P180" s="291" t="str">
        <f t="shared" si="31"/>
        <v/>
      </c>
    </row>
    <row r="181" spans="1:16" ht="15" customHeight="1" x14ac:dyDescent="0.2">
      <c r="A181" s="243" t="str">
        <f>IFERROR(INDEX('All Ticker P&amp;L'!$A$2:$A$1001,MATCH(ROWS($A$2:A181),'All Ticker P&amp;L'!$N$2:$N$1001,0)),"")</f>
        <v/>
      </c>
      <c r="B181" s="243" t="str">
        <f t="shared" si="23"/>
        <v/>
      </c>
      <c r="C181" s="243" t="str">
        <f t="shared" si="24"/>
        <v/>
      </c>
      <c r="D181" s="243" t="str">
        <f t="shared" si="25"/>
        <v/>
      </c>
      <c r="E181" s="265" t="str">
        <f>IF($A181="","",SUMIFS(Txn[Signed Units],Txn[Key],$A181))</f>
        <v/>
      </c>
      <c r="F181" s="287" t="str">
        <f>IF($A181="","",SUMIFS(Txn[Buy Cost],Txn[Key],$A181))</f>
        <v/>
      </c>
      <c r="G181" s="287" t="str">
        <f>IF($A181="","",SUMIFS(Txn[Sell Proceeds],Txn[Key],$A181))</f>
        <v/>
      </c>
      <c r="H181" s="288" t="str">
        <f>IF($A181="","",IFERROR(INDEX(Prices[Current Price],MATCH($A181,Prices[Key],0)),0))</f>
        <v/>
      </c>
      <c r="I181" s="289" t="str">
        <f>IF($A181="","",IFERROR(INDEX(Prices[FX to SGD],MATCH($A181,Prices[Key],0)),1))</f>
        <v/>
      </c>
      <c r="J181" s="287" t="str">
        <f t="shared" si="26"/>
        <v/>
      </c>
      <c r="K181" s="287" t="str">
        <f t="shared" si="27"/>
        <v/>
      </c>
      <c r="L181" s="287" t="str">
        <f t="shared" si="28"/>
        <v/>
      </c>
      <c r="M181" s="290" t="str">
        <f t="shared" si="29"/>
        <v/>
      </c>
      <c r="N181" t="str">
        <f>IF($A181="","",IFERROR(INDEX(Prices[Category],MATCH($A181,Prices[Key],0)),"Uncategorized"))</f>
        <v/>
      </c>
      <c r="O181" s="291" t="str">
        <f t="shared" si="30"/>
        <v/>
      </c>
      <c r="P181" s="291" t="str">
        <f t="shared" si="31"/>
        <v/>
      </c>
    </row>
    <row r="182" spans="1:16" ht="15" customHeight="1" x14ac:dyDescent="0.2">
      <c r="A182" s="243" t="str">
        <f>IFERROR(INDEX('All Ticker P&amp;L'!$A$2:$A$1001,MATCH(ROWS($A$2:A182),'All Ticker P&amp;L'!$N$2:$N$1001,0)),"")</f>
        <v/>
      </c>
      <c r="B182" s="243" t="str">
        <f t="shared" si="23"/>
        <v/>
      </c>
      <c r="C182" s="243" t="str">
        <f t="shared" si="24"/>
        <v/>
      </c>
      <c r="D182" s="243" t="str">
        <f t="shared" si="25"/>
        <v/>
      </c>
      <c r="E182" s="265" t="str">
        <f>IF($A182="","",SUMIFS(Txn[Signed Units],Txn[Key],$A182))</f>
        <v/>
      </c>
      <c r="F182" s="287" t="str">
        <f>IF($A182="","",SUMIFS(Txn[Buy Cost],Txn[Key],$A182))</f>
        <v/>
      </c>
      <c r="G182" s="287" t="str">
        <f>IF($A182="","",SUMIFS(Txn[Sell Proceeds],Txn[Key],$A182))</f>
        <v/>
      </c>
      <c r="H182" s="288" t="str">
        <f>IF($A182="","",IFERROR(INDEX(Prices[Current Price],MATCH($A182,Prices[Key],0)),0))</f>
        <v/>
      </c>
      <c r="I182" s="289" t="str">
        <f>IF($A182="","",IFERROR(INDEX(Prices[FX to SGD],MATCH($A182,Prices[Key],0)),1))</f>
        <v/>
      </c>
      <c r="J182" s="287" t="str">
        <f t="shared" si="26"/>
        <v/>
      </c>
      <c r="K182" s="287" t="str">
        <f t="shared" si="27"/>
        <v/>
      </c>
      <c r="L182" s="287" t="str">
        <f t="shared" si="28"/>
        <v/>
      </c>
      <c r="M182" s="290" t="str">
        <f t="shared" si="29"/>
        <v/>
      </c>
      <c r="N182" t="str">
        <f>IF($A182="","",IFERROR(INDEX(Prices[Category],MATCH($A182,Prices[Key],0)),"Uncategorized"))</f>
        <v/>
      </c>
      <c r="O182" s="291" t="str">
        <f t="shared" si="30"/>
        <v/>
      </c>
      <c r="P182" s="291" t="str">
        <f t="shared" si="31"/>
        <v/>
      </c>
    </row>
    <row r="183" spans="1:16" ht="15" customHeight="1" x14ac:dyDescent="0.2">
      <c r="A183" s="243" t="str">
        <f>IFERROR(INDEX('All Ticker P&amp;L'!$A$2:$A$1001,MATCH(ROWS($A$2:A183),'All Ticker P&amp;L'!$N$2:$N$1001,0)),"")</f>
        <v/>
      </c>
      <c r="B183" s="243" t="str">
        <f t="shared" si="23"/>
        <v/>
      </c>
      <c r="C183" s="243" t="str">
        <f t="shared" si="24"/>
        <v/>
      </c>
      <c r="D183" s="243" t="str">
        <f t="shared" si="25"/>
        <v/>
      </c>
      <c r="E183" s="265" t="str">
        <f>IF($A183="","",SUMIFS(Txn[Signed Units],Txn[Key],$A183))</f>
        <v/>
      </c>
      <c r="F183" s="287" t="str">
        <f>IF($A183="","",SUMIFS(Txn[Buy Cost],Txn[Key],$A183))</f>
        <v/>
      </c>
      <c r="G183" s="287" t="str">
        <f>IF($A183="","",SUMIFS(Txn[Sell Proceeds],Txn[Key],$A183))</f>
        <v/>
      </c>
      <c r="H183" s="288" t="str">
        <f>IF($A183="","",IFERROR(INDEX(Prices[Current Price],MATCH($A183,Prices[Key],0)),0))</f>
        <v/>
      </c>
      <c r="I183" s="289" t="str">
        <f>IF($A183="","",IFERROR(INDEX(Prices[FX to SGD],MATCH($A183,Prices[Key],0)),1))</f>
        <v/>
      </c>
      <c r="J183" s="287" t="str">
        <f t="shared" si="26"/>
        <v/>
      </c>
      <c r="K183" s="287" t="str">
        <f t="shared" si="27"/>
        <v/>
      </c>
      <c r="L183" s="287" t="str">
        <f t="shared" si="28"/>
        <v/>
      </c>
      <c r="M183" s="290" t="str">
        <f t="shared" si="29"/>
        <v/>
      </c>
      <c r="N183" t="str">
        <f>IF($A183="","",IFERROR(INDEX(Prices[Category],MATCH($A183,Prices[Key],0)),"Uncategorized"))</f>
        <v/>
      </c>
      <c r="O183" s="291" t="str">
        <f t="shared" si="30"/>
        <v/>
      </c>
      <c r="P183" s="291" t="str">
        <f t="shared" si="31"/>
        <v/>
      </c>
    </row>
    <row r="184" spans="1:16" ht="15" customHeight="1" x14ac:dyDescent="0.2">
      <c r="A184" s="243" t="str">
        <f>IFERROR(INDEX('All Ticker P&amp;L'!$A$2:$A$1001,MATCH(ROWS($A$2:A184),'All Ticker P&amp;L'!$N$2:$N$1001,0)),"")</f>
        <v/>
      </c>
      <c r="B184" s="243" t="str">
        <f t="shared" si="23"/>
        <v/>
      </c>
      <c r="C184" s="243" t="str">
        <f t="shared" si="24"/>
        <v/>
      </c>
      <c r="D184" s="243" t="str">
        <f t="shared" si="25"/>
        <v/>
      </c>
      <c r="E184" s="265" t="str">
        <f>IF($A184="","",SUMIFS(Txn[Signed Units],Txn[Key],$A184))</f>
        <v/>
      </c>
      <c r="F184" s="287" t="str">
        <f>IF($A184="","",SUMIFS(Txn[Buy Cost],Txn[Key],$A184))</f>
        <v/>
      </c>
      <c r="G184" s="287" t="str">
        <f>IF($A184="","",SUMIFS(Txn[Sell Proceeds],Txn[Key],$A184))</f>
        <v/>
      </c>
      <c r="H184" s="288" t="str">
        <f>IF($A184="","",IFERROR(INDEX(Prices[Current Price],MATCH($A184,Prices[Key],0)),0))</f>
        <v/>
      </c>
      <c r="I184" s="289" t="str">
        <f>IF($A184="","",IFERROR(INDEX(Prices[FX to SGD],MATCH($A184,Prices[Key],0)),1))</f>
        <v/>
      </c>
      <c r="J184" s="287" t="str">
        <f t="shared" si="26"/>
        <v/>
      </c>
      <c r="K184" s="287" t="str">
        <f t="shared" si="27"/>
        <v/>
      </c>
      <c r="L184" s="287" t="str">
        <f t="shared" si="28"/>
        <v/>
      </c>
      <c r="M184" s="290" t="str">
        <f t="shared" si="29"/>
        <v/>
      </c>
      <c r="N184" t="str">
        <f>IF($A184="","",IFERROR(INDEX(Prices[Category],MATCH($A184,Prices[Key],0)),"Uncategorized"))</f>
        <v/>
      </c>
      <c r="O184" s="291" t="str">
        <f t="shared" si="30"/>
        <v/>
      </c>
      <c r="P184" s="291" t="str">
        <f t="shared" si="31"/>
        <v/>
      </c>
    </row>
    <row r="185" spans="1:16" ht="15" customHeight="1" x14ac:dyDescent="0.2">
      <c r="A185" s="243" t="str">
        <f>IFERROR(INDEX('All Ticker P&amp;L'!$A$2:$A$1001,MATCH(ROWS($A$2:A185),'All Ticker P&amp;L'!$N$2:$N$1001,0)),"")</f>
        <v/>
      </c>
      <c r="B185" s="243" t="str">
        <f t="shared" si="23"/>
        <v/>
      </c>
      <c r="C185" s="243" t="str">
        <f t="shared" si="24"/>
        <v/>
      </c>
      <c r="D185" s="243" t="str">
        <f t="shared" si="25"/>
        <v/>
      </c>
      <c r="E185" s="265" t="str">
        <f>IF($A185="","",SUMIFS(Txn[Signed Units],Txn[Key],$A185))</f>
        <v/>
      </c>
      <c r="F185" s="287" t="str">
        <f>IF($A185="","",SUMIFS(Txn[Buy Cost],Txn[Key],$A185))</f>
        <v/>
      </c>
      <c r="G185" s="287" t="str">
        <f>IF($A185="","",SUMIFS(Txn[Sell Proceeds],Txn[Key],$A185))</f>
        <v/>
      </c>
      <c r="H185" s="288" t="str">
        <f>IF($A185="","",IFERROR(INDEX(Prices[Current Price],MATCH($A185,Prices[Key],0)),0))</f>
        <v/>
      </c>
      <c r="I185" s="289" t="str">
        <f>IF($A185="","",IFERROR(INDEX(Prices[FX to SGD],MATCH($A185,Prices[Key],0)),1))</f>
        <v/>
      </c>
      <c r="J185" s="287" t="str">
        <f t="shared" si="26"/>
        <v/>
      </c>
      <c r="K185" s="287" t="str">
        <f t="shared" si="27"/>
        <v/>
      </c>
      <c r="L185" s="287" t="str">
        <f t="shared" si="28"/>
        <v/>
      </c>
      <c r="M185" s="290" t="str">
        <f t="shared" si="29"/>
        <v/>
      </c>
      <c r="N185" t="str">
        <f>IF($A185="","",IFERROR(INDEX(Prices[Category],MATCH($A185,Prices[Key],0)),"Uncategorized"))</f>
        <v/>
      </c>
      <c r="O185" s="291" t="str">
        <f t="shared" si="30"/>
        <v/>
      </c>
      <c r="P185" s="291" t="str">
        <f t="shared" si="31"/>
        <v/>
      </c>
    </row>
    <row r="186" spans="1:16" ht="15" customHeight="1" x14ac:dyDescent="0.2">
      <c r="A186" s="243" t="str">
        <f>IFERROR(INDEX('All Ticker P&amp;L'!$A$2:$A$1001,MATCH(ROWS($A$2:A186),'All Ticker P&amp;L'!$N$2:$N$1001,0)),"")</f>
        <v/>
      </c>
      <c r="B186" s="243" t="str">
        <f t="shared" si="23"/>
        <v/>
      </c>
      <c r="C186" s="243" t="str">
        <f t="shared" si="24"/>
        <v/>
      </c>
      <c r="D186" s="243" t="str">
        <f t="shared" si="25"/>
        <v/>
      </c>
      <c r="E186" s="265" t="str">
        <f>IF($A186="","",SUMIFS(Txn[Signed Units],Txn[Key],$A186))</f>
        <v/>
      </c>
      <c r="F186" s="287" t="str">
        <f>IF($A186="","",SUMIFS(Txn[Buy Cost],Txn[Key],$A186))</f>
        <v/>
      </c>
      <c r="G186" s="287" t="str">
        <f>IF($A186="","",SUMIFS(Txn[Sell Proceeds],Txn[Key],$A186))</f>
        <v/>
      </c>
      <c r="H186" s="288" t="str">
        <f>IF($A186="","",IFERROR(INDEX(Prices[Current Price],MATCH($A186,Prices[Key],0)),0))</f>
        <v/>
      </c>
      <c r="I186" s="289" t="str">
        <f>IF($A186="","",IFERROR(INDEX(Prices[FX to SGD],MATCH($A186,Prices[Key],0)),1))</f>
        <v/>
      </c>
      <c r="J186" s="287" t="str">
        <f t="shared" si="26"/>
        <v/>
      </c>
      <c r="K186" s="287" t="str">
        <f t="shared" si="27"/>
        <v/>
      </c>
      <c r="L186" s="287" t="str">
        <f t="shared" si="28"/>
        <v/>
      </c>
      <c r="M186" s="290" t="str">
        <f t="shared" si="29"/>
        <v/>
      </c>
      <c r="N186" t="str">
        <f>IF($A186="","",IFERROR(INDEX(Prices[Category],MATCH($A186,Prices[Key],0)),"Uncategorized"))</f>
        <v/>
      </c>
      <c r="O186" s="291" t="str">
        <f t="shared" si="30"/>
        <v/>
      </c>
      <c r="P186" s="291" t="str">
        <f t="shared" si="31"/>
        <v/>
      </c>
    </row>
    <row r="187" spans="1:16" ht="15" customHeight="1" x14ac:dyDescent="0.2">
      <c r="A187" s="243" t="str">
        <f>IFERROR(INDEX('All Ticker P&amp;L'!$A$2:$A$1001,MATCH(ROWS($A$2:A187),'All Ticker P&amp;L'!$N$2:$N$1001,0)),"")</f>
        <v/>
      </c>
      <c r="B187" s="243" t="str">
        <f t="shared" si="23"/>
        <v/>
      </c>
      <c r="C187" s="243" t="str">
        <f t="shared" si="24"/>
        <v/>
      </c>
      <c r="D187" s="243" t="str">
        <f t="shared" si="25"/>
        <v/>
      </c>
      <c r="E187" s="265" t="str">
        <f>IF($A187="","",SUMIFS(Txn[Signed Units],Txn[Key],$A187))</f>
        <v/>
      </c>
      <c r="F187" s="287" t="str">
        <f>IF($A187="","",SUMIFS(Txn[Buy Cost],Txn[Key],$A187))</f>
        <v/>
      </c>
      <c r="G187" s="287" t="str">
        <f>IF($A187="","",SUMIFS(Txn[Sell Proceeds],Txn[Key],$A187))</f>
        <v/>
      </c>
      <c r="H187" s="288" t="str">
        <f>IF($A187="","",IFERROR(INDEX(Prices[Current Price],MATCH($A187,Prices[Key],0)),0))</f>
        <v/>
      </c>
      <c r="I187" s="289" t="str">
        <f>IF($A187="","",IFERROR(INDEX(Prices[FX to SGD],MATCH($A187,Prices[Key],0)),1))</f>
        <v/>
      </c>
      <c r="J187" s="287" t="str">
        <f t="shared" si="26"/>
        <v/>
      </c>
      <c r="K187" s="287" t="str">
        <f t="shared" si="27"/>
        <v/>
      </c>
      <c r="L187" s="287" t="str">
        <f t="shared" si="28"/>
        <v/>
      </c>
      <c r="M187" s="290" t="str">
        <f t="shared" si="29"/>
        <v/>
      </c>
      <c r="N187" t="str">
        <f>IF($A187="","",IFERROR(INDEX(Prices[Category],MATCH($A187,Prices[Key],0)),"Uncategorized"))</f>
        <v/>
      </c>
      <c r="O187" s="291" t="str">
        <f t="shared" si="30"/>
        <v/>
      </c>
      <c r="P187" s="291" t="str">
        <f t="shared" si="31"/>
        <v/>
      </c>
    </row>
    <row r="188" spans="1:16" ht="15" customHeight="1" x14ac:dyDescent="0.2">
      <c r="A188" s="243" t="str">
        <f>IFERROR(INDEX('All Ticker P&amp;L'!$A$2:$A$1001,MATCH(ROWS($A$2:A188),'All Ticker P&amp;L'!$N$2:$N$1001,0)),"")</f>
        <v/>
      </c>
      <c r="B188" s="243" t="str">
        <f t="shared" si="23"/>
        <v/>
      </c>
      <c r="C188" s="243" t="str">
        <f t="shared" si="24"/>
        <v/>
      </c>
      <c r="D188" s="243" t="str">
        <f t="shared" si="25"/>
        <v/>
      </c>
      <c r="E188" s="265" t="str">
        <f>IF($A188="","",SUMIFS(Txn[Signed Units],Txn[Key],$A188))</f>
        <v/>
      </c>
      <c r="F188" s="287" t="str">
        <f>IF($A188="","",SUMIFS(Txn[Buy Cost],Txn[Key],$A188))</f>
        <v/>
      </c>
      <c r="G188" s="287" t="str">
        <f>IF($A188="","",SUMIFS(Txn[Sell Proceeds],Txn[Key],$A188))</f>
        <v/>
      </c>
      <c r="H188" s="288" t="str">
        <f>IF($A188="","",IFERROR(INDEX(Prices[Current Price],MATCH($A188,Prices[Key],0)),0))</f>
        <v/>
      </c>
      <c r="I188" s="289" t="str">
        <f>IF($A188="","",IFERROR(INDEX(Prices[FX to SGD],MATCH($A188,Prices[Key],0)),1))</f>
        <v/>
      </c>
      <c r="J188" s="287" t="str">
        <f t="shared" si="26"/>
        <v/>
      </c>
      <c r="K188" s="287" t="str">
        <f t="shared" si="27"/>
        <v/>
      </c>
      <c r="L188" s="287" t="str">
        <f t="shared" si="28"/>
        <v/>
      </c>
      <c r="M188" s="290" t="str">
        <f t="shared" si="29"/>
        <v/>
      </c>
      <c r="N188" t="str">
        <f>IF($A188="","",IFERROR(INDEX(Prices[Category],MATCH($A188,Prices[Key],0)),"Uncategorized"))</f>
        <v/>
      </c>
      <c r="O188" s="291" t="str">
        <f t="shared" si="30"/>
        <v/>
      </c>
      <c r="P188" s="291" t="str">
        <f t="shared" si="31"/>
        <v/>
      </c>
    </row>
    <row r="189" spans="1:16" ht="15" customHeight="1" x14ac:dyDescent="0.2">
      <c r="A189" s="243" t="str">
        <f>IFERROR(INDEX('All Ticker P&amp;L'!$A$2:$A$1001,MATCH(ROWS($A$2:A189),'All Ticker P&amp;L'!$N$2:$N$1001,0)),"")</f>
        <v/>
      </c>
      <c r="B189" s="243" t="str">
        <f t="shared" si="23"/>
        <v/>
      </c>
      <c r="C189" s="243" t="str">
        <f t="shared" si="24"/>
        <v/>
      </c>
      <c r="D189" s="243" t="str">
        <f t="shared" si="25"/>
        <v/>
      </c>
      <c r="E189" s="265" t="str">
        <f>IF($A189="","",SUMIFS(Txn[Signed Units],Txn[Key],$A189))</f>
        <v/>
      </c>
      <c r="F189" s="287" t="str">
        <f>IF($A189="","",SUMIFS(Txn[Buy Cost],Txn[Key],$A189))</f>
        <v/>
      </c>
      <c r="G189" s="287" t="str">
        <f>IF($A189="","",SUMIFS(Txn[Sell Proceeds],Txn[Key],$A189))</f>
        <v/>
      </c>
      <c r="H189" s="288" t="str">
        <f>IF($A189="","",IFERROR(INDEX(Prices[Current Price],MATCH($A189,Prices[Key],0)),0))</f>
        <v/>
      </c>
      <c r="I189" s="289" t="str">
        <f>IF($A189="","",IFERROR(INDEX(Prices[FX to SGD],MATCH($A189,Prices[Key],0)),1))</f>
        <v/>
      </c>
      <c r="J189" s="287" t="str">
        <f t="shared" si="26"/>
        <v/>
      </c>
      <c r="K189" s="287" t="str">
        <f t="shared" si="27"/>
        <v/>
      </c>
      <c r="L189" s="287" t="str">
        <f t="shared" si="28"/>
        <v/>
      </c>
      <c r="M189" s="290" t="str">
        <f t="shared" si="29"/>
        <v/>
      </c>
      <c r="N189" t="str">
        <f>IF($A189="","",IFERROR(INDEX(Prices[Category],MATCH($A189,Prices[Key],0)),"Uncategorized"))</f>
        <v/>
      </c>
      <c r="O189" s="291" t="str">
        <f t="shared" si="30"/>
        <v/>
      </c>
      <c r="P189" s="291" t="str">
        <f t="shared" si="31"/>
        <v/>
      </c>
    </row>
    <row r="190" spans="1:16" ht="15" customHeight="1" x14ac:dyDescent="0.2">
      <c r="A190" s="243" t="str">
        <f>IFERROR(INDEX('All Ticker P&amp;L'!$A$2:$A$1001,MATCH(ROWS($A$2:A190),'All Ticker P&amp;L'!$N$2:$N$1001,0)),"")</f>
        <v/>
      </c>
      <c r="B190" s="243" t="str">
        <f t="shared" si="23"/>
        <v/>
      </c>
      <c r="C190" s="243" t="str">
        <f t="shared" si="24"/>
        <v/>
      </c>
      <c r="D190" s="243" t="str">
        <f t="shared" si="25"/>
        <v/>
      </c>
      <c r="E190" s="265" t="str">
        <f>IF($A190="","",SUMIFS(Txn[Signed Units],Txn[Key],$A190))</f>
        <v/>
      </c>
      <c r="F190" s="287" t="str">
        <f>IF($A190="","",SUMIFS(Txn[Buy Cost],Txn[Key],$A190))</f>
        <v/>
      </c>
      <c r="G190" s="287" t="str">
        <f>IF($A190="","",SUMIFS(Txn[Sell Proceeds],Txn[Key],$A190))</f>
        <v/>
      </c>
      <c r="H190" s="288" t="str">
        <f>IF($A190="","",IFERROR(INDEX(Prices[Current Price],MATCH($A190,Prices[Key],0)),0))</f>
        <v/>
      </c>
      <c r="I190" s="289" t="str">
        <f>IF($A190="","",IFERROR(INDEX(Prices[FX to SGD],MATCH($A190,Prices[Key],0)),1))</f>
        <v/>
      </c>
      <c r="J190" s="287" t="str">
        <f t="shared" si="26"/>
        <v/>
      </c>
      <c r="K190" s="287" t="str">
        <f t="shared" si="27"/>
        <v/>
      </c>
      <c r="L190" s="287" t="str">
        <f t="shared" si="28"/>
        <v/>
      </c>
      <c r="M190" s="290" t="str">
        <f t="shared" si="29"/>
        <v/>
      </c>
      <c r="N190" t="str">
        <f>IF($A190="","",IFERROR(INDEX(Prices[Category],MATCH($A190,Prices[Key],0)),"Uncategorized"))</f>
        <v/>
      </c>
      <c r="O190" s="291" t="str">
        <f t="shared" si="30"/>
        <v/>
      </c>
      <c r="P190" s="291" t="str">
        <f t="shared" si="31"/>
        <v/>
      </c>
    </row>
    <row r="191" spans="1:16" ht="15" customHeight="1" x14ac:dyDescent="0.2">
      <c r="A191" s="243" t="str">
        <f>IFERROR(INDEX('All Ticker P&amp;L'!$A$2:$A$1001,MATCH(ROWS($A$2:A191),'All Ticker P&amp;L'!$N$2:$N$1001,0)),"")</f>
        <v/>
      </c>
      <c r="B191" s="243" t="str">
        <f t="shared" si="23"/>
        <v/>
      </c>
      <c r="C191" s="243" t="str">
        <f t="shared" si="24"/>
        <v/>
      </c>
      <c r="D191" s="243" t="str">
        <f t="shared" si="25"/>
        <v/>
      </c>
      <c r="E191" s="265" t="str">
        <f>IF($A191="","",SUMIFS(Txn[Signed Units],Txn[Key],$A191))</f>
        <v/>
      </c>
      <c r="F191" s="287" t="str">
        <f>IF($A191="","",SUMIFS(Txn[Buy Cost],Txn[Key],$A191))</f>
        <v/>
      </c>
      <c r="G191" s="287" t="str">
        <f>IF($A191="","",SUMIFS(Txn[Sell Proceeds],Txn[Key],$A191))</f>
        <v/>
      </c>
      <c r="H191" s="288" t="str">
        <f>IF($A191="","",IFERROR(INDEX(Prices[Current Price],MATCH($A191,Prices[Key],0)),0))</f>
        <v/>
      </c>
      <c r="I191" s="289" t="str">
        <f>IF($A191="","",IFERROR(INDEX(Prices[FX to SGD],MATCH($A191,Prices[Key],0)),1))</f>
        <v/>
      </c>
      <c r="J191" s="287" t="str">
        <f t="shared" si="26"/>
        <v/>
      </c>
      <c r="K191" s="287" t="str">
        <f t="shared" si="27"/>
        <v/>
      </c>
      <c r="L191" s="287" t="str">
        <f t="shared" si="28"/>
        <v/>
      </c>
      <c r="M191" s="290" t="str">
        <f t="shared" si="29"/>
        <v/>
      </c>
      <c r="N191" t="str">
        <f>IF($A191="","",IFERROR(INDEX(Prices[Category],MATCH($A191,Prices[Key],0)),"Uncategorized"))</f>
        <v/>
      </c>
      <c r="O191" s="291" t="str">
        <f t="shared" si="30"/>
        <v/>
      </c>
      <c r="P191" s="291" t="str">
        <f t="shared" si="31"/>
        <v/>
      </c>
    </row>
    <row r="192" spans="1:16" ht="15" customHeight="1" x14ac:dyDescent="0.2">
      <c r="A192" s="243" t="str">
        <f>IFERROR(INDEX('All Ticker P&amp;L'!$A$2:$A$1001,MATCH(ROWS($A$2:A192),'All Ticker P&amp;L'!$N$2:$N$1001,0)),"")</f>
        <v/>
      </c>
      <c r="B192" s="243" t="str">
        <f t="shared" si="23"/>
        <v/>
      </c>
      <c r="C192" s="243" t="str">
        <f t="shared" si="24"/>
        <v/>
      </c>
      <c r="D192" s="243" t="str">
        <f t="shared" si="25"/>
        <v/>
      </c>
      <c r="E192" s="265" t="str">
        <f>IF($A192="","",SUMIFS(Txn[Signed Units],Txn[Key],$A192))</f>
        <v/>
      </c>
      <c r="F192" s="287" t="str">
        <f>IF($A192="","",SUMIFS(Txn[Buy Cost],Txn[Key],$A192))</f>
        <v/>
      </c>
      <c r="G192" s="287" t="str">
        <f>IF($A192="","",SUMIFS(Txn[Sell Proceeds],Txn[Key],$A192))</f>
        <v/>
      </c>
      <c r="H192" s="288" t="str">
        <f>IF($A192="","",IFERROR(INDEX(Prices[Current Price],MATCH($A192,Prices[Key],0)),0))</f>
        <v/>
      </c>
      <c r="I192" s="289" t="str">
        <f>IF($A192="","",IFERROR(INDEX(Prices[FX to SGD],MATCH($A192,Prices[Key],0)),1))</f>
        <v/>
      </c>
      <c r="J192" s="287" t="str">
        <f t="shared" si="26"/>
        <v/>
      </c>
      <c r="K192" s="287" t="str">
        <f t="shared" si="27"/>
        <v/>
      </c>
      <c r="L192" s="287" t="str">
        <f t="shared" si="28"/>
        <v/>
      </c>
      <c r="M192" s="290" t="str">
        <f t="shared" si="29"/>
        <v/>
      </c>
      <c r="N192" t="str">
        <f>IF($A192="","",IFERROR(INDEX(Prices[Category],MATCH($A192,Prices[Key],0)),"Uncategorized"))</f>
        <v/>
      </c>
      <c r="O192" s="291" t="str">
        <f t="shared" si="30"/>
        <v/>
      </c>
      <c r="P192" s="291" t="str">
        <f t="shared" si="31"/>
        <v/>
      </c>
    </row>
    <row r="193" spans="1:16" ht="15" customHeight="1" x14ac:dyDescent="0.2">
      <c r="A193" s="243" t="str">
        <f>IFERROR(INDEX('All Ticker P&amp;L'!$A$2:$A$1001,MATCH(ROWS($A$2:A193),'All Ticker P&amp;L'!$N$2:$N$1001,0)),"")</f>
        <v/>
      </c>
      <c r="B193" s="243" t="str">
        <f t="shared" si="23"/>
        <v/>
      </c>
      <c r="C193" s="243" t="str">
        <f t="shared" si="24"/>
        <v/>
      </c>
      <c r="D193" s="243" t="str">
        <f t="shared" si="25"/>
        <v/>
      </c>
      <c r="E193" s="265" t="str">
        <f>IF($A193="","",SUMIFS(Txn[Signed Units],Txn[Key],$A193))</f>
        <v/>
      </c>
      <c r="F193" s="287" t="str">
        <f>IF($A193="","",SUMIFS(Txn[Buy Cost],Txn[Key],$A193))</f>
        <v/>
      </c>
      <c r="G193" s="287" t="str">
        <f>IF($A193="","",SUMIFS(Txn[Sell Proceeds],Txn[Key],$A193))</f>
        <v/>
      </c>
      <c r="H193" s="288" t="str">
        <f>IF($A193="","",IFERROR(INDEX(Prices[Current Price],MATCH($A193,Prices[Key],0)),0))</f>
        <v/>
      </c>
      <c r="I193" s="289" t="str">
        <f>IF($A193="","",IFERROR(INDEX(Prices[FX to SGD],MATCH($A193,Prices[Key],0)),1))</f>
        <v/>
      </c>
      <c r="J193" s="287" t="str">
        <f t="shared" si="26"/>
        <v/>
      </c>
      <c r="K193" s="287" t="str">
        <f t="shared" si="27"/>
        <v/>
      </c>
      <c r="L193" s="287" t="str">
        <f t="shared" si="28"/>
        <v/>
      </c>
      <c r="M193" s="290" t="str">
        <f t="shared" si="29"/>
        <v/>
      </c>
      <c r="N193" t="str">
        <f>IF($A193="","",IFERROR(INDEX(Prices[Category],MATCH($A193,Prices[Key],0)),"Uncategorized"))</f>
        <v/>
      </c>
      <c r="O193" s="291" t="str">
        <f t="shared" si="30"/>
        <v/>
      </c>
      <c r="P193" s="291" t="str">
        <f t="shared" si="31"/>
        <v/>
      </c>
    </row>
    <row r="194" spans="1:16" ht="15" customHeight="1" x14ac:dyDescent="0.2">
      <c r="A194" s="243" t="str">
        <f>IFERROR(INDEX('All Ticker P&amp;L'!$A$2:$A$1001,MATCH(ROWS($A$2:A194),'All Ticker P&amp;L'!$N$2:$N$1001,0)),"")</f>
        <v/>
      </c>
      <c r="B194" s="243" t="str">
        <f t="shared" ref="B194:B257" si="32">IF($A194="","",LEFT($A194,FIND(":",$A194)-1))</f>
        <v/>
      </c>
      <c r="C194" s="243" t="str">
        <f t="shared" ref="C194:C257" si="33">IF($A194="","",MID($A194,FIND(":",$A194)+1,FIND(":",$A194,FIND(":",$A194)+1)-FIND(":",$A194)-1))</f>
        <v/>
      </c>
      <c r="D194" s="243" t="str">
        <f t="shared" ref="D194:D257" si="34">IF($A194="","",RIGHT($A194,LEN($A194)-FIND(":",$A194,FIND(":",$A194)+1)))</f>
        <v/>
      </c>
      <c r="E194" s="265" t="str">
        <f>IF($A194="","",SUMIFS(Txn[Signed Units],Txn[Key],$A194))</f>
        <v/>
      </c>
      <c r="F194" s="287" t="str">
        <f>IF($A194="","",SUMIFS(Txn[Buy Cost],Txn[Key],$A194))</f>
        <v/>
      </c>
      <c r="G194" s="287" t="str">
        <f>IF($A194="","",SUMIFS(Txn[Sell Proceeds],Txn[Key],$A194))</f>
        <v/>
      </c>
      <c r="H194" s="288" t="str">
        <f>IF($A194="","",IFERROR(INDEX(Prices[Current Price],MATCH($A194,Prices[Key],0)),0))</f>
        <v/>
      </c>
      <c r="I194" s="289" t="str">
        <f>IF($A194="","",IFERROR(INDEX(Prices[FX to SGD],MATCH($A194,Prices[Key],0)),1))</f>
        <v/>
      </c>
      <c r="J194" s="287" t="str">
        <f t="shared" ref="J194:J257" si="35">IF($A194="","",E194*H194)</f>
        <v/>
      </c>
      <c r="K194" s="287" t="str">
        <f t="shared" ref="K194:K257" si="36">IF($A194="","",J194+G194-F194)</f>
        <v/>
      </c>
      <c r="L194" s="287" t="str">
        <f t="shared" ref="L194:L257" si="37">IF($A194="","",K194*I194)</f>
        <v/>
      </c>
      <c r="M194" s="290" t="str">
        <f t="shared" ref="M194:M257" si="38">IF($A194="","",IFERROR(K194/F194,0))</f>
        <v/>
      </c>
      <c r="N194" t="str">
        <f>IF($A194="","",IFERROR(INDEX(Prices[Category],MATCH($A194,Prices[Key],0)),"Uncategorized"))</f>
        <v/>
      </c>
      <c r="O194" s="291" t="str">
        <f t="shared" ref="O194:O257" si="39">IF($A194="","",$J194*$I194)</f>
        <v/>
      </c>
      <c r="P194" s="291" t="str">
        <f t="shared" ref="P194:P257" si="40">IF($A194="","",$L194)</f>
        <v/>
      </c>
    </row>
    <row r="195" spans="1:16" ht="15" customHeight="1" x14ac:dyDescent="0.2">
      <c r="A195" s="243" t="str">
        <f>IFERROR(INDEX('All Ticker P&amp;L'!$A$2:$A$1001,MATCH(ROWS($A$2:A195),'All Ticker P&amp;L'!$N$2:$N$1001,0)),"")</f>
        <v/>
      </c>
      <c r="B195" s="243" t="str">
        <f t="shared" si="32"/>
        <v/>
      </c>
      <c r="C195" s="243" t="str">
        <f t="shared" si="33"/>
        <v/>
      </c>
      <c r="D195" s="243" t="str">
        <f t="shared" si="34"/>
        <v/>
      </c>
      <c r="E195" s="265" t="str">
        <f>IF($A195="","",SUMIFS(Txn[Signed Units],Txn[Key],$A195))</f>
        <v/>
      </c>
      <c r="F195" s="287" t="str">
        <f>IF($A195="","",SUMIFS(Txn[Buy Cost],Txn[Key],$A195))</f>
        <v/>
      </c>
      <c r="G195" s="287" t="str">
        <f>IF($A195="","",SUMIFS(Txn[Sell Proceeds],Txn[Key],$A195))</f>
        <v/>
      </c>
      <c r="H195" s="288" t="str">
        <f>IF($A195="","",IFERROR(INDEX(Prices[Current Price],MATCH($A195,Prices[Key],0)),0))</f>
        <v/>
      </c>
      <c r="I195" s="289" t="str">
        <f>IF($A195="","",IFERROR(INDEX(Prices[FX to SGD],MATCH($A195,Prices[Key],0)),1))</f>
        <v/>
      </c>
      <c r="J195" s="287" t="str">
        <f t="shared" si="35"/>
        <v/>
      </c>
      <c r="K195" s="287" t="str">
        <f t="shared" si="36"/>
        <v/>
      </c>
      <c r="L195" s="287" t="str">
        <f t="shared" si="37"/>
        <v/>
      </c>
      <c r="M195" s="290" t="str">
        <f t="shared" si="38"/>
        <v/>
      </c>
      <c r="N195" t="str">
        <f>IF($A195="","",IFERROR(INDEX(Prices[Category],MATCH($A195,Prices[Key],0)),"Uncategorized"))</f>
        <v/>
      </c>
      <c r="O195" s="291" t="str">
        <f t="shared" si="39"/>
        <v/>
      </c>
      <c r="P195" s="291" t="str">
        <f t="shared" si="40"/>
        <v/>
      </c>
    </row>
    <row r="196" spans="1:16" ht="15" customHeight="1" x14ac:dyDescent="0.2">
      <c r="A196" s="243" t="str">
        <f>IFERROR(INDEX('All Ticker P&amp;L'!$A$2:$A$1001,MATCH(ROWS($A$2:A196),'All Ticker P&amp;L'!$N$2:$N$1001,0)),"")</f>
        <v/>
      </c>
      <c r="B196" s="243" t="str">
        <f t="shared" si="32"/>
        <v/>
      </c>
      <c r="C196" s="243" t="str">
        <f t="shared" si="33"/>
        <v/>
      </c>
      <c r="D196" s="243" t="str">
        <f t="shared" si="34"/>
        <v/>
      </c>
      <c r="E196" s="265" t="str">
        <f>IF($A196="","",SUMIFS(Txn[Signed Units],Txn[Key],$A196))</f>
        <v/>
      </c>
      <c r="F196" s="287" t="str">
        <f>IF($A196="","",SUMIFS(Txn[Buy Cost],Txn[Key],$A196))</f>
        <v/>
      </c>
      <c r="G196" s="287" t="str">
        <f>IF($A196="","",SUMIFS(Txn[Sell Proceeds],Txn[Key],$A196))</f>
        <v/>
      </c>
      <c r="H196" s="288" t="str">
        <f>IF($A196="","",IFERROR(INDEX(Prices[Current Price],MATCH($A196,Prices[Key],0)),0))</f>
        <v/>
      </c>
      <c r="I196" s="289" t="str">
        <f>IF($A196="","",IFERROR(INDEX(Prices[FX to SGD],MATCH($A196,Prices[Key],0)),1))</f>
        <v/>
      </c>
      <c r="J196" s="287" t="str">
        <f t="shared" si="35"/>
        <v/>
      </c>
      <c r="K196" s="287" t="str">
        <f t="shared" si="36"/>
        <v/>
      </c>
      <c r="L196" s="287" t="str">
        <f t="shared" si="37"/>
        <v/>
      </c>
      <c r="M196" s="290" t="str">
        <f t="shared" si="38"/>
        <v/>
      </c>
      <c r="N196" t="str">
        <f>IF($A196="","",IFERROR(INDEX(Prices[Category],MATCH($A196,Prices[Key],0)),"Uncategorized"))</f>
        <v/>
      </c>
      <c r="O196" s="291" t="str">
        <f t="shared" si="39"/>
        <v/>
      </c>
      <c r="P196" s="291" t="str">
        <f t="shared" si="40"/>
        <v/>
      </c>
    </row>
    <row r="197" spans="1:16" ht="15" customHeight="1" x14ac:dyDescent="0.2">
      <c r="A197" s="243" t="str">
        <f>IFERROR(INDEX('All Ticker P&amp;L'!$A$2:$A$1001,MATCH(ROWS($A$2:A197),'All Ticker P&amp;L'!$N$2:$N$1001,0)),"")</f>
        <v/>
      </c>
      <c r="B197" s="243" t="str">
        <f t="shared" si="32"/>
        <v/>
      </c>
      <c r="C197" s="243" t="str">
        <f t="shared" si="33"/>
        <v/>
      </c>
      <c r="D197" s="243" t="str">
        <f t="shared" si="34"/>
        <v/>
      </c>
      <c r="E197" s="265" t="str">
        <f>IF($A197="","",SUMIFS(Txn[Signed Units],Txn[Key],$A197))</f>
        <v/>
      </c>
      <c r="F197" s="287" t="str">
        <f>IF($A197="","",SUMIFS(Txn[Buy Cost],Txn[Key],$A197))</f>
        <v/>
      </c>
      <c r="G197" s="287" t="str">
        <f>IF($A197="","",SUMIFS(Txn[Sell Proceeds],Txn[Key],$A197))</f>
        <v/>
      </c>
      <c r="H197" s="288" t="str">
        <f>IF($A197="","",IFERROR(INDEX(Prices[Current Price],MATCH($A197,Prices[Key],0)),0))</f>
        <v/>
      </c>
      <c r="I197" s="289" t="str">
        <f>IF($A197="","",IFERROR(INDEX(Prices[FX to SGD],MATCH($A197,Prices[Key],0)),1))</f>
        <v/>
      </c>
      <c r="J197" s="287" t="str">
        <f t="shared" si="35"/>
        <v/>
      </c>
      <c r="K197" s="287" t="str">
        <f t="shared" si="36"/>
        <v/>
      </c>
      <c r="L197" s="287" t="str">
        <f t="shared" si="37"/>
        <v/>
      </c>
      <c r="M197" s="290" t="str">
        <f t="shared" si="38"/>
        <v/>
      </c>
      <c r="N197" t="str">
        <f>IF($A197="","",IFERROR(INDEX(Prices[Category],MATCH($A197,Prices[Key],0)),"Uncategorized"))</f>
        <v/>
      </c>
      <c r="O197" s="291" t="str">
        <f t="shared" si="39"/>
        <v/>
      </c>
      <c r="P197" s="291" t="str">
        <f t="shared" si="40"/>
        <v/>
      </c>
    </row>
    <row r="198" spans="1:16" ht="15" customHeight="1" x14ac:dyDescent="0.2">
      <c r="A198" s="243" t="str">
        <f>IFERROR(INDEX('All Ticker P&amp;L'!$A$2:$A$1001,MATCH(ROWS($A$2:A198),'All Ticker P&amp;L'!$N$2:$N$1001,0)),"")</f>
        <v/>
      </c>
      <c r="B198" s="243" t="str">
        <f t="shared" si="32"/>
        <v/>
      </c>
      <c r="C198" s="243" t="str">
        <f t="shared" si="33"/>
        <v/>
      </c>
      <c r="D198" s="243" t="str">
        <f t="shared" si="34"/>
        <v/>
      </c>
      <c r="E198" s="265" t="str">
        <f>IF($A198="","",SUMIFS(Txn[Signed Units],Txn[Key],$A198))</f>
        <v/>
      </c>
      <c r="F198" s="287" t="str">
        <f>IF($A198="","",SUMIFS(Txn[Buy Cost],Txn[Key],$A198))</f>
        <v/>
      </c>
      <c r="G198" s="287" t="str">
        <f>IF($A198="","",SUMIFS(Txn[Sell Proceeds],Txn[Key],$A198))</f>
        <v/>
      </c>
      <c r="H198" s="288" t="str">
        <f>IF($A198="","",IFERROR(INDEX(Prices[Current Price],MATCH($A198,Prices[Key],0)),0))</f>
        <v/>
      </c>
      <c r="I198" s="289" t="str">
        <f>IF($A198="","",IFERROR(INDEX(Prices[FX to SGD],MATCH($A198,Prices[Key],0)),1))</f>
        <v/>
      </c>
      <c r="J198" s="287" t="str">
        <f t="shared" si="35"/>
        <v/>
      </c>
      <c r="K198" s="287" t="str">
        <f t="shared" si="36"/>
        <v/>
      </c>
      <c r="L198" s="287" t="str">
        <f t="shared" si="37"/>
        <v/>
      </c>
      <c r="M198" s="290" t="str">
        <f t="shared" si="38"/>
        <v/>
      </c>
      <c r="N198" t="str">
        <f>IF($A198="","",IFERROR(INDEX(Prices[Category],MATCH($A198,Prices[Key],0)),"Uncategorized"))</f>
        <v/>
      </c>
      <c r="O198" s="291" t="str">
        <f t="shared" si="39"/>
        <v/>
      </c>
      <c r="P198" s="291" t="str">
        <f t="shared" si="40"/>
        <v/>
      </c>
    </row>
    <row r="199" spans="1:16" ht="15" customHeight="1" x14ac:dyDescent="0.2">
      <c r="A199" s="243" t="str">
        <f>IFERROR(INDEX('All Ticker P&amp;L'!$A$2:$A$1001,MATCH(ROWS($A$2:A199),'All Ticker P&amp;L'!$N$2:$N$1001,0)),"")</f>
        <v/>
      </c>
      <c r="B199" s="243" t="str">
        <f t="shared" si="32"/>
        <v/>
      </c>
      <c r="C199" s="243" t="str">
        <f t="shared" si="33"/>
        <v/>
      </c>
      <c r="D199" s="243" t="str">
        <f t="shared" si="34"/>
        <v/>
      </c>
      <c r="E199" s="265" t="str">
        <f>IF($A199="","",SUMIFS(Txn[Signed Units],Txn[Key],$A199))</f>
        <v/>
      </c>
      <c r="F199" s="287" t="str">
        <f>IF($A199="","",SUMIFS(Txn[Buy Cost],Txn[Key],$A199))</f>
        <v/>
      </c>
      <c r="G199" s="287" t="str">
        <f>IF($A199="","",SUMIFS(Txn[Sell Proceeds],Txn[Key],$A199))</f>
        <v/>
      </c>
      <c r="H199" s="288" t="str">
        <f>IF($A199="","",IFERROR(INDEX(Prices[Current Price],MATCH($A199,Prices[Key],0)),0))</f>
        <v/>
      </c>
      <c r="I199" s="289" t="str">
        <f>IF($A199="","",IFERROR(INDEX(Prices[FX to SGD],MATCH($A199,Prices[Key],0)),1))</f>
        <v/>
      </c>
      <c r="J199" s="287" t="str">
        <f t="shared" si="35"/>
        <v/>
      </c>
      <c r="K199" s="287" t="str">
        <f t="shared" si="36"/>
        <v/>
      </c>
      <c r="L199" s="287" t="str">
        <f t="shared" si="37"/>
        <v/>
      </c>
      <c r="M199" s="290" t="str">
        <f t="shared" si="38"/>
        <v/>
      </c>
      <c r="N199" t="str">
        <f>IF($A199="","",IFERROR(INDEX(Prices[Category],MATCH($A199,Prices[Key],0)),"Uncategorized"))</f>
        <v/>
      </c>
      <c r="O199" s="291" t="str">
        <f t="shared" si="39"/>
        <v/>
      </c>
      <c r="P199" s="291" t="str">
        <f t="shared" si="40"/>
        <v/>
      </c>
    </row>
    <row r="200" spans="1:16" ht="15" customHeight="1" x14ac:dyDescent="0.2">
      <c r="A200" s="243" t="str">
        <f>IFERROR(INDEX('All Ticker P&amp;L'!$A$2:$A$1001,MATCH(ROWS($A$2:A200),'All Ticker P&amp;L'!$N$2:$N$1001,0)),"")</f>
        <v/>
      </c>
      <c r="B200" s="243" t="str">
        <f t="shared" si="32"/>
        <v/>
      </c>
      <c r="C200" s="243" t="str">
        <f t="shared" si="33"/>
        <v/>
      </c>
      <c r="D200" s="243" t="str">
        <f t="shared" si="34"/>
        <v/>
      </c>
      <c r="E200" s="265" t="str">
        <f>IF($A200="","",SUMIFS(Txn[Signed Units],Txn[Key],$A200))</f>
        <v/>
      </c>
      <c r="F200" s="287" t="str">
        <f>IF($A200="","",SUMIFS(Txn[Buy Cost],Txn[Key],$A200))</f>
        <v/>
      </c>
      <c r="G200" s="287" t="str">
        <f>IF($A200="","",SUMIFS(Txn[Sell Proceeds],Txn[Key],$A200))</f>
        <v/>
      </c>
      <c r="H200" s="288" t="str">
        <f>IF($A200="","",IFERROR(INDEX(Prices[Current Price],MATCH($A200,Prices[Key],0)),0))</f>
        <v/>
      </c>
      <c r="I200" s="289" t="str">
        <f>IF($A200="","",IFERROR(INDEX(Prices[FX to SGD],MATCH($A200,Prices[Key],0)),1))</f>
        <v/>
      </c>
      <c r="J200" s="287" t="str">
        <f t="shared" si="35"/>
        <v/>
      </c>
      <c r="K200" s="287" t="str">
        <f t="shared" si="36"/>
        <v/>
      </c>
      <c r="L200" s="287" t="str">
        <f t="shared" si="37"/>
        <v/>
      </c>
      <c r="M200" s="290" t="str">
        <f t="shared" si="38"/>
        <v/>
      </c>
      <c r="N200" t="str">
        <f>IF($A200="","",IFERROR(INDEX(Prices[Category],MATCH($A200,Prices[Key],0)),"Uncategorized"))</f>
        <v/>
      </c>
      <c r="O200" s="291" t="str">
        <f t="shared" si="39"/>
        <v/>
      </c>
      <c r="P200" s="291" t="str">
        <f t="shared" si="40"/>
        <v/>
      </c>
    </row>
    <row r="201" spans="1:16" ht="15" customHeight="1" x14ac:dyDescent="0.2">
      <c r="A201" s="243" t="str">
        <f>IFERROR(INDEX('All Ticker P&amp;L'!$A$2:$A$1001,MATCH(ROWS($A$2:A201),'All Ticker P&amp;L'!$N$2:$N$1001,0)),"")</f>
        <v/>
      </c>
      <c r="B201" s="243" t="str">
        <f t="shared" si="32"/>
        <v/>
      </c>
      <c r="C201" s="243" t="str">
        <f t="shared" si="33"/>
        <v/>
      </c>
      <c r="D201" s="243" t="str">
        <f t="shared" si="34"/>
        <v/>
      </c>
      <c r="E201" s="265" t="str">
        <f>IF($A201="","",SUMIFS(Txn[Signed Units],Txn[Key],$A201))</f>
        <v/>
      </c>
      <c r="F201" s="287" t="str">
        <f>IF($A201="","",SUMIFS(Txn[Buy Cost],Txn[Key],$A201))</f>
        <v/>
      </c>
      <c r="G201" s="287" t="str">
        <f>IF($A201="","",SUMIFS(Txn[Sell Proceeds],Txn[Key],$A201))</f>
        <v/>
      </c>
      <c r="H201" s="288" t="str">
        <f>IF($A201="","",IFERROR(INDEX(Prices[Current Price],MATCH($A201,Prices[Key],0)),0))</f>
        <v/>
      </c>
      <c r="I201" s="289" t="str">
        <f>IF($A201="","",IFERROR(INDEX(Prices[FX to SGD],MATCH($A201,Prices[Key],0)),1))</f>
        <v/>
      </c>
      <c r="J201" s="287" t="str">
        <f t="shared" si="35"/>
        <v/>
      </c>
      <c r="K201" s="287" t="str">
        <f t="shared" si="36"/>
        <v/>
      </c>
      <c r="L201" s="287" t="str">
        <f t="shared" si="37"/>
        <v/>
      </c>
      <c r="M201" s="290" t="str">
        <f t="shared" si="38"/>
        <v/>
      </c>
      <c r="N201" t="str">
        <f>IF($A201="","",IFERROR(INDEX(Prices[Category],MATCH($A201,Prices[Key],0)),"Uncategorized"))</f>
        <v/>
      </c>
      <c r="O201" s="291" t="str">
        <f t="shared" si="39"/>
        <v/>
      </c>
      <c r="P201" s="291" t="str">
        <f t="shared" si="40"/>
        <v/>
      </c>
    </row>
    <row r="202" spans="1:16" ht="15" customHeight="1" x14ac:dyDescent="0.2">
      <c r="A202" s="243" t="str">
        <f>IFERROR(INDEX('All Ticker P&amp;L'!$A$2:$A$1001,MATCH(ROWS($A$2:A202),'All Ticker P&amp;L'!$N$2:$N$1001,0)),"")</f>
        <v/>
      </c>
      <c r="B202" s="243" t="str">
        <f t="shared" si="32"/>
        <v/>
      </c>
      <c r="C202" s="243" t="str">
        <f t="shared" si="33"/>
        <v/>
      </c>
      <c r="D202" s="243" t="str">
        <f t="shared" si="34"/>
        <v/>
      </c>
      <c r="E202" s="265" t="str">
        <f>IF($A202="","",SUMIFS(Txn[Signed Units],Txn[Key],$A202))</f>
        <v/>
      </c>
      <c r="F202" s="287" t="str">
        <f>IF($A202="","",SUMIFS(Txn[Buy Cost],Txn[Key],$A202))</f>
        <v/>
      </c>
      <c r="G202" s="287" t="str">
        <f>IF($A202="","",SUMIFS(Txn[Sell Proceeds],Txn[Key],$A202))</f>
        <v/>
      </c>
      <c r="H202" s="288" t="str">
        <f>IF($A202="","",IFERROR(INDEX(Prices[Current Price],MATCH($A202,Prices[Key],0)),0))</f>
        <v/>
      </c>
      <c r="I202" s="289" t="str">
        <f>IF($A202="","",IFERROR(INDEX(Prices[FX to SGD],MATCH($A202,Prices[Key],0)),1))</f>
        <v/>
      </c>
      <c r="J202" s="287" t="str">
        <f t="shared" si="35"/>
        <v/>
      </c>
      <c r="K202" s="287" t="str">
        <f t="shared" si="36"/>
        <v/>
      </c>
      <c r="L202" s="287" t="str">
        <f t="shared" si="37"/>
        <v/>
      </c>
      <c r="M202" s="290" t="str">
        <f t="shared" si="38"/>
        <v/>
      </c>
      <c r="N202" t="str">
        <f>IF($A202="","",IFERROR(INDEX(Prices[Category],MATCH($A202,Prices[Key],0)),"Uncategorized"))</f>
        <v/>
      </c>
      <c r="O202" s="291" t="str">
        <f t="shared" si="39"/>
        <v/>
      </c>
      <c r="P202" s="291" t="str">
        <f t="shared" si="40"/>
        <v/>
      </c>
    </row>
    <row r="203" spans="1:16" ht="15" customHeight="1" x14ac:dyDescent="0.2">
      <c r="A203" s="243" t="str">
        <f>IFERROR(INDEX('All Ticker P&amp;L'!$A$2:$A$1001,MATCH(ROWS($A$2:A203),'All Ticker P&amp;L'!$N$2:$N$1001,0)),"")</f>
        <v/>
      </c>
      <c r="B203" s="243" t="str">
        <f t="shared" si="32"/>
        <v/>
      </c>
      <c r="C203" s="243" t="str">
        <f t="shared" si="33"/>
        <v/>
      </c>
      <c r="D203" s="243" t="str">
        <f t="shared" si="34"/>
        <v/>
      </c>
      <c r="E203" s="265" t="str">
        <f>IF($A203="","",SUMIFS(Txn[Signed Units],Txn[Key],$A203))</f>
        <v/>
      </c>
      <c r="F203" s="287" t="str">
        <f>IF($A203="","",SUMIFS(Txn[Buy Cost],Txn[Key],$A203))</f>
        <v/>
      </c>
      <c r="G203" s="287" t="str">
        <f>IF($A203="","",SUMIFS(Txn[Sell Proceeds],Txn[Key],$A203))</f>
        <v/>
      </c>
      <c r="H203" s="288" t="str">
        <f>IF($A203="","",IFERROR(INDEX(Prices[Current Price],MATCH($A203,Prices[Key],0)),0))</f>
        <v/>
      </c>
      <c r="I203" s="289" t="str">
        <f>IF($A203="","",IFERROR(INDEX(Prices[FX to SGD],MATCH($A203,Prices[Key],0)),1))</f>
        <v/>
      </c>
      <c r="J203" s="287" t="str">
        <f t="shared" si="35"/>
        <v/>
      </c>
      <c r="K203" s="287" t="str">
        <f t="shared" si="36"/>
        <v/>
      </c>
      <c r="L203" s="287" t="str">
        <f t="shared" si="37"/>
        <v/>
      </c>
      <c r="M203" s="290" t="str">
        <f t="shared" si="38"/>
        <v/>
      </c>
      <c r="N203" t="str">
        <f>IF($A203="","",IFERROR(INDEX(Prices[Category],MATCH($A203,Prices[Key],0)),"Uncategorized"))</f>
        <v/>
      </c>
      <c r="O203" s="291" t="str">
        <f t="shared" si="39"/>
        <v/>
      </c>
      <c r="P203" s="291" t="str">
        <f t="shared" si="40"/>
        <v/>
      </c>
    </row>
    <row r="204" spans="1:16" ht="15" customHeight="1" x14ac:dyDescent="0.2">
      <c r="A204" s="243" t="str">
        <f>IFERROR(INDEX('All Ticker P&amp;L'!$A$2:$A$1001,MATCH(ROWS($A$2:A204),'All Ticker P&amp;L'!$N$2:$N$1001,0)),"")</f>
        <v/>
      </c>
      <c r="B204" s="243" t="str">
        <f t="shared" si="32"/>
        <v/>
      </c>
      <c r="C204" s="243" t="str">
        <f t="shared" si="33"/>
        <v/>
      </c>
      <c r="D204" s="243" t="str">
        <f t="shared" si="34"/>
        <v/>
      </c>
      <c r="E204" s="265" t="str">
        <f>IF($A204="","",SUMIFS(Txn[Signed Units],Txn[Key],$A204))</f>
        <v/>
      </c>
      <c r="F204" s="287" t="str">
        <f>IF($A204="","",SUMIFS(Txn[Buy Cost],Txn[Key],$A204))</f>
        <v/>
      </c>
      <c r="G204" s="287" t="str">
        <f>IF($A204="","",SUMIFS(Txn[Sell Proceeds],Txn[Key],$A204))</f>
        <v/>
      </c>
      <c r="H204" s="288" t="str">
        <f>IF($A204="","",IFERROR(INDEX(Prices[Current Price],MATCH($A204,Prices[Key],0)),0))</f>
        <v/>
      </c>
      <c r="I204" s="289" t="str">
        <f>IF($A204="","",IFERROR(INDEX(Prices[FX to SGD],MATCH($A204,Prices[Key],0)),1))</f>
        <v/>
      </c>
      <c r="J204" s="287" t="str">
        <f t="shared" si="35"/>
        <v/>
      </c>
      <c r="K204" s="287" t="str">
        <f t="shared" si="36"/>
        <v/>
      </c>
      <c r="L204" s="287" t="str">
        <f t="shared" si="37"/>
        <v/>
      </c>
      <c r="M204" s="290" t="str">
        <f t="shared" si="38"/>
        <v/>
      </c>
      <c r="N204" t="str">
        <f>IF($A204="","",IFERROR(INDEX(Prices[Category],MATCH($A204,Prices[Key],0)),"Uncategorized"))</f>
        <v/>
      </c>
      <c r="O204" s="291" t="str">
        <f t="shared" si="39"/>
        <v/>
      </c>
      <c r="P204" s="291" t="str">
        <f t="shared" si="40"/>
        <v/>
      </c>
    </row>
    <row r="205" spans="1:16" ht="15" customHeight="1" x14ac:dyDescent="0.2">
      <c r="A205" s="243" t="str">
        <f>IFERROR(INDEX('All Ticker P&amp;L'!$A$2:$A$1001,MATCH(ROWS($A$2:A205),'All Ticker P&amp;L'!$N$2:$N$1001,0)),"")</f>
        <v/>
      </c>
      <c r="B205" s="243" t="str">
        <f t="shared" si="32"/>
        <v/>
      </c>
      <c r="C205" s="243" t="str">
        <f t="shared" si="33"/>
        <v/>
      </c>
      <c r="D205" s="243" t="str">
        <f t="shared" si="34"/>
        <v/>
      </c>
      <c r="E205" s="265" t="str">
        <f>IF($A205="","",SUMIFS(Txn[Signed Units],Txn[Key],$A205))</f>
        <v/>
      </c>
      <c r="F205" s="287" t="str">
        <f>IF($A205="","",SUMIFS(Txn[Buy Cost],Txn[Key],$A205))</f>
        <v/>
      </c>
      <c r="G205" s="287" t="str">
        <f>IF($A205="","",SUMIFS(Txn[Sell Proceeds],Txn[Key],$A205))</f>
        <v/>
      </c>
      <c r="H205" s="288" t="str">
        <f>IF($A205="","",IFERROR(INDEX(Prices[Current Price],MATCH($A205,Prices[Key],0)),0))</f>
        <v/>
      </c>
      <c r="I205" s="289" t="str">
        <f>IF($A205="","",IFERROR(INDEX(Prices[FX to SGD],MATCH($A205,Prices[Key],0)),1))</f>
        <v/>
      </c>
      <c r="J205" s="287" t="str">
        <f t="shared" si="35"/>
        <v/>
      </c>
      <c r="K205" s="287" t="str">
        <f t="shared" si="36"/>
        <v/>
      </c>
      <c r="L205" s="287" t="str">
        <f t="shared" si="37"/>
        <v/>
      </c>
      <c r="M205" s="290" t="str">
        <f t="shared" si="38"/>
        <v/>
      </c>
      <c r="N205" t="str">
        <f>IF($A205="","",IFERROR(INDEX(Prices[Category],MATCH($A205,Prices[Key],0)),"Uncategorized"))</f>
        <v/>
      </c>
      <c r="O205" s="291" t="str">
        <f t="shared" si="39"/>
        <v/>
      </c>
      <c r="P205" s="291" t="str">
        <f t="shared" si="40"/>
        <v/>
      </c>
    </row>
    <row r="206" spans="1:16" ht="15" customHeight="1" x14ac:dyDescent="0.2">
      <c r="A206" s="243" t="str">
        <f>IFERROR(INDEX('All Ticker P&amp;L'!$A$2:$A$1001,MATCH(ROWS($A$2:A206),'All Ticker P&amp;L'!$N$2:$N$1001,0)),"")</f>
        <v/>
      </c>
      <c r="B206" s="243" t="str">
        <f t="shared" si="32"/>
        <v/>
      </c>
      <c r="C206" s="243" t="str">
        <f t="shared" si="33"/>
        <v/>
      </c>
      <c r="D206" s="243" t="str">
        <f t="shared" si="34"/>
        <v/>
      </c>
      <c r="E206" s="265" t="str">
        <f>IF($A206="","",SUMIFS(Txn[Signed Units],Txn[Key],$A206))</f>
        <v/>
      </c>
      <c r="F206" s="287" t="str">
        <f>IF($A206="","",SUMIFS(Txn[Buy Cost],Txn[Key],$A206))</f>
        <v/>
      </c>
      <c r="G206" s="287" t="str">
        <f>IF($A206="","",SUMIFS(Txn[Sell Proceeds],Txn[Key],$A206))</f>
        <v/>
      </c>
      <c r="H206" s="288" t="str">
        <f>IF($A206="","",IFERROR(INDEX(Prices[Current Price],MATCH($A206,Prices[Key],0)),0))</f>
        <v/>
      </c>
      <c r="I206" s="289" t="str">
        <f>IF($A206="","",IFERROR(INDEX(Prices[FX to SGD],MATCH($A206,Prices[Key],0)),1))</f>
        <v/>
      </c>
      <c r="J206" s="287" t="str">
        <f t="shared" si="35"/>
        <v/>
      </c>
      <c r="K206" s="287" t="str">
        <f t="shared" si="36"/>
        <v/>
      </c>
      <c r="L206" s="287" t="str">
        <f t="shared" si="37"/>
        <v/>
      </c>
      <c r="M206" s="290" t="str">
        <f t="shared" si="38"/>
        <v/>
      </c>
      <c r="N206" t="str">
        <f>IF($A206="","",IFERROR(INDEX(Prices[Category],MATCH($A206,Prices[Key],0)),"Uncategorized"))</f>
        <v/>
      </c>
      <c r="O206" s="291" t="str">
        <f t="shared" si="39"/>
        <v/>
      </c>
      <c r="P206" s="291" t="str">
        <f t="shared" si="40"/>
        <v/>
      </c>
    </row>
    <row r="207" spans="1:16" ht="15" customHeight="1" x14ac:dyDescent="0.2">
      <c r="A207" s="243" t="str">
        <f>IFERROR(INDEX('All Ticker P&amp;L'!$A$2:$A$1001,MATCH(ROWS($A$2:A207),'All Ticker P&amp;L'!$N$2:$N$1001,0)),"")</f>
        <v/>
      </c>
      <c r="B207" s="243" t="str">
        <f t="shared" si="32"/>
        <v/>
      </c>
      <c r="C207" s="243" t="str">
        <f t="shared" si="33"/>
        <v/>
      </c>
      <c r="D207" s="243" t="str">
        <f t="shared" si="34"/>
        <v/>
      </c>
      <c r="E207" s="265" t="str">
        <f>IF($A207="","",SUMIFS(Txn[Signed Units],Txn[Key],$A207))</f>
        <v/>
      </c>
      <c r="F207" s="287" t="str">
        <f>IF($A207="","",SUMIFS(Txn[Buy Cost],Txn[Key],$A207))</f>
        <v/>
      </c>
      <c r="G207" s="287" t="str">
        <f>IF($A207="","",SUMIFS(Txn[Sell Proceeds],Txn[Key],$A207))</f>
        <v/>
      </c>
      <c r="H207" s="288" t="str">
        <f>IF($A207="","",IFERROR(INDEX(Prices[Current Price],MATCH($A207,Prices[Key],0)),0))</f>
        <v/>
      </c>
      <c r="I207" s="289" t="str">
        <f>IF($A207="","",IFERROR(INDEX(Prices[FX to SGD],MATCH($A207,Prices[Key],0)),1))</f>
        <v/>
      </c>
      <c r="J207" s="287" t="str">
        <f t="shared" si="35"/>
        <v/>
      </c>
      <c r="K207" s="287" t="str">
        <f t="shared" si="36"/>
        <v/>
      </c>
      <c r="L207" s="287" t="str">
        <f t="shared" si="37"/>
        <v/>
      </c>
      <c r="M207" s="290" t="str">
        <f t="shared" si="38"/>
        <v/>
      </c>
      <c r="N207" t="str">
        <f>IF($A207="","",IFERROR(INDEX(Prices[Category],MATCH($A207,Prices[Key],0)),"Uncategorized"))</f>
        <v/>
      </c>
      <c r="O207" s="291" t="str">
        <f t="shared" si="39"/>
        <v/>
      </c>
      <c r="P207" s="291" t="str">
        <f t="shared" si="40"/>
        <v/>
      </c>
    </row>
    <row r="208" spans="1:16" ht="15" customHeight="1" x14ac:dyDescent="0.2">
      <c r="A208" s="243" t="str">
        <f>IFERROR(INDEX('All Ticker P&amp;L'!$A$2:$A$1001,MATCH(ROWS($A$2:A208),'All Ticker P&amp;L'!$N$2:$N$1001,0)),"")</f>
        <v/>
      </c>
      <c r="B208" s="243" t="str">
        <f t="shared" si="32"/>
        <v/>
      </c>
      <c r="C208" s="243" t="str">
        <f t="shared" si="33"/>
        <v/>
      </c>
      <c r="D208" s="243" t="str">
        <f t="shared" si="34"/>
        <v/>
      </c>
      <c r="E208" s="265" t="str">
        <f>IF($A208="","",SUMIFS(Txn[Signed Units],Txn[Key],$A208))</f>
        <v/>
      </c>
      <c r="F208" s="287" t="str">
        <f>IF($A208="","",SUMIFS(Txn[Buy Cost],Txn[Key],$A208))</f>
        <v/>
      </c>
      <c r="G208" s="287" t="str">
        <f>IF($A208="","",SUMIFS(Txn[Sell Proceeds],Txn[Key],$A208))</f>
        <v/>
      </c>
      <c r="H208" s="288" t="str">
        <f>IF($A208="","",IFERROR(INDEX(Prices[Current Price],MATCH($A208,Prices[Key],0)),0))</f>
        <v/>
      </c>
      <c r="I208" s="289" t="str">
        <f>IF($A208="","",IFERROR(INDEX(Prices[FX to SGD],MATCH($A208,Prices[Key],0)),1))</f>
        <v/>
      </c>
      <c r="J208" s="287" t="str">
        <f t="shared" si="35"/>
        <v/>
      </c>
      <c r="K208" s="287" t="str">
        <f t="shared" si="36"/>
        <v/>
      </c>
      <c r="L208" s="287" t="str">
        <f t="shared" si="37"/>
        <v/>
      </c>
      <c r="M208" s="290" t="str">
        <f t="shared" si="38"/>
        <v/>
      </c>
      <c r="N208" t="str">
        <f>IF($A208="","",IFERROR(INDEX(Prices[Category],MATCH($A208,Prices[Key],0)),"Uncategorized"))</f>
        <v/>
      </c>
      <c r="O208" s="291" t="str">
        <f t="shared" si="39"/>
        <v/>
      </c>
      <c r="P208" s="291" t="str">
        <f t="shared" si="40"/>
        <v/>
      </c>
    </row>
    <row r="209" spans="1:16" ht="15" customHeight="1" x14ac:dyDescent="0.2">
      <c r="A209" s="243" t="str">
        <f>IFERROR(INDEX('All Ticker P&amp;L'!$A$2:$A$1001,MATCH(ROWS($A$2:A209),'All Ticker P&amp;L'!$N$2:$N$1001,0)),"")</f>
        <v/>
      </c>
      <c r="B209" s="243" t="str">
        <f t="shared" si="32"/>
        <v/>
      </c>
      <c r="C209" s="243" t="str">
        <f t="shared" si="33"/>
        <v/>
      </c>
      <c r="D209" s="243" t="str">
        <f t="shared" si="34"/>
        <v/>
      </c>
      <c r="E209" s="265" t="str">
        <f>IF($A209="","",SUMIFS(Txn[Signed Units],Txn[Key],$A209))</f>
        <v/>
      </c>
      <c r="F209" s="287" t="str">
        <f>IF($A209="","",SUMIFS(Txn[Buy Cost],Txn[Key],$A209))</f>
        <v/>
      </c>
      <c r="G209" s="287" t="str">
        <f>IF($A209="","",SUMIFS(Txn[Sell Proceeds],Txn[Key],$A209))</f>
        <v/>
      </c>
      <c r="H209" s="288" t="str">
        <f>IF($A209="","",IFERROR(INDEX(Prices[Current Price],MATCH($A209,Prices[Key],0)),0))</f>
        <v/>
      </c>
      <c r="I209" s="289" t="str">
        <f>IF($A209="","",IFERROR(INDEX(Prices[FX to SGD],MATCH($A209,Prices[Key],0)),1))</f>
        <v/>
      </c>
      <c r="J209" s="287" t="str">
        <f t="shared" si="35"/>
        <v/>
      </c>
      <c r="K209" s="287" t="str">
        <f t="shared" si="36"/>
        <v/>
      </c>
      <c r="L209" s="287" t="str">
        <f t="shared" si="37"/>
        <v/>
      </c>
      <c r="M209" s="290" t="str">
        <f t="shared" si="38"/>
        <v/>
      </c>
      <c r="N209" t="str">
        <f>IF($A209="","",IFERROR(INDEX(Prices[Category],MATCH($A209,Prices[Key],0)),"Uncategorized"))</f>
        <v/>
      </c>
      <c r="O209" s="291" t="str">
        <f t="shared" si="39"/>
        <v/>
      </c>
      <c r="P209" s="291" t="str">
        <f t="shared" si="40"/>
        <v/>
      </c>
    </row>
    <row r="210" spans="1:16" ht="15" customHeight="1" x14ac:dyDescent="0.2">
      <c r="A210" s="243" t="str">
        <f>IFERROR(INDEX('All Ticker P&amp;L'!$A$2:$A$1001,MATCH(ROWS($A$2:A210),'All Ticker P&amp;L'!$N$2:$N$1001,0)),"")</f>
        <v/>
      </c>
      <c r="B210" s="243" t="str">
        <f t="shared" si="32"/>
        <v/>
      </c>
      <c r="C210" s="243" t="str">
        <f t="shared" si="33"/>
        <v/>
      </c>
      <c r="D210" s="243" t="str">
        <f t="shared" si="34"/>
        <v/>
      </c>
      <c r="E210" s="265" t="str">
        <f>IF($A210="","",SUMIFS(Txn[Signed Units],Txn[Key],$A210))</f>
        <v/>
      </c>
      <c r="F210" s="287" t="str">
        <f>IF($A210="","",SUMIFS(Txn[Buy Cost],Txn[Key],$A210))</f>
        <v/>
      </c>
      <c r="G210" s="287" t="str">
        <f>IF($A210="","",SUMIFS(Txn[Sell Proceeds],Txn[Key],$A210))</f>
        <v/>
      </c>
      <c r="H210" s="288" t="str">
        <f>IF($A210="","",IFERROR(INDEX(Prices[Current Price],MATCH($A210,Prices[Key],0)),0))</f>
        <v/>
      </c>
      <c r="I210" s="289" t="str">
        <f>IF($A210="","",IFERROR(INDEX(Prices[FX to SGD],MATCH($A210,Prices[Key],0)),1))</f>
        <v/>
      </c>
      <c r="J210" s="287" t="str">
        <f t="shared" si="35"/>
        <v/>
      </c>
      <c r="K210" s="287" t="str">
        <f t="shared" si="36"/>
        <v/>
      </c>
      <c r="L210" s="287" t="str">
        <f t="shared" si="37"/>
        <v/>
      </c>
      <c r="M210" s="290" t="str">
        <f t="shared" si="38"/>
        <v/>
      </c>
      <c r="N210" t="str">
        <f>IF($A210="","",IFERROR(INDEX(Prices[Category],MATCH($A210,Prices[Key],0)),"Uncategorized"))</f>
        <v/>
      </c>
      <c r="O210" s="291" t="str">
        <f t="shared" si="39"/>
        <v/>
      </c>
      <c r="P210" s="291" t="str">
        <f t="shared" si="40"/>
        <v/>
      </c>
    </row>
    <row r="211" spans="1:16" ht="15" customHeight="1" x14ac:dyDescent="0.2">
      <c r="A211" s="243" t="str">
        <f>IFERROR(INDEX('All Ticker P&amp;L'!$A$2:$A$1001,MATCH(ROWS($A$2:A211),'All Ticker P&amp;L'!$N$2:$N$1001,0)),"")</f>
        <v/>
      </c>
      <c r="B211" s="243" t="str">
        <f t="shared" si="32"/>
        <v/>
      </c>
      <c r="C211" s="243" t="str">
        <f t="shared" si="33"/>
        <v/>
      </c>
      <c r="D211" s="243" t="str">
        <f t="shared" si="34"/>
        <v/>
      </c>
      <c r="E211" s="265" t="str">
        <f>IF($A211="","",SUMIFS(Txn[Signed Units],Txn[Key],$A211))</f>
        <v/>
      </c>
      <c r="F211" s="287" t="str">
        <f>IF($A211="","",SUMIFS(Txn[Buy Cost],Txn[Key],$A211))</f>
        <v/>
      </c>
      <c r="G211" s="287" t="str">
        <f>IF($A211="","",SUMIFS(Txn[Sell Proceeds],Txn[Key],$A211))</f>
        <v/>
      </c>
      <c r="H211" s="288" t="str">
        <f>IF($A211="","",IFERROR(INDEX(Prices[Current Price],MATCH($A211,Prices[Key],0)),0))</f>
        <v/>
      </c>
      <c r="I211" s="289" t="str">
        <f>IF($A211="","",IFERROR(INDEX(Prices[FX to SGD],MATCH($A211,Prices[Key],0)),1))</f>
        <v/>
      </c>
      <c r="J211" s="287" t="str">
        <f t="shared" si="35"/>
        <v/>
      </c>
      <c r="K211" s="287" t="str">
        <f t="shared" si="36"/>
        <v/>
      </c>
      <c r="L211" s="287" t="str">
        <f t="shared" si="37"/>
        <v/>
      </c>
      <c r="M211" s="290" t="str">
        <f t="shared" si="38"/>
        <v/>
      </c>
      <c r="N211" t="str">
        <f>IF($A211="","",IFERROR(INDEX(Prices[Category],MATCH($A211,Prices[Key],0)),"Uncategorized"))</f>
        <v/>
      </c>
      <c r="O211" s="291" t="str">
        <f t="shared" si="39"/>
        <v/>
      </c>
      <c r="P211" s="291" t="str">
        <f t="shared" si="40"/>
        <v/>
      </c>
    </row>
    <row r="212" spans="1:16" ht="15" customHeight="1" x14ac:dyDescent="0.2">
      <c r="A212" s="243" t="str">
        <f>IFERROR(INDEX('All Ticker P&amp;L'!$A$2:$A$1001,MATCH(ROWS($A$2:A212),'All Ticker P&amp;L'!$N$2:$N$1001,0)),"")</f>
        <v/>
      </c>
      <c r="B212" s="243" t="str">
        <f t="shared" si="32"/>
        <v/>
      </c>
      <c r="C212" s="243" t="str">
        <f t="shared" si="33"/>
        <v/>
      </c>
      <c r="D212" s="243" t="str">
        <f t="shared" si="34"/>
        <v/>
      </c>
      <c r="E212" s="265" t="str">
        <f>IF($A212="","",SUMIFS(Txn[Signed Units],Txn[Key],$A212))</f>
        <v/>
      </c>
      <c r="F212" s="287" t="str">
        <f>IF($A212="","",SUMIFS(Txn[Buy Cost],Txn[Key],$A212))</f>
        <v/>
      </c>
      <c r="G212" s="287" t="str">
        <f>IF($A212="","",SUMIFS(Txn[Sell Proceeds],Txn[Key],$A212))</f>
        <v/>
      </c>
      <c r="H212" s="288" t="str">
        <f>IF($A212="","",IFERROR(INDEX(Prices[Current Price],MATCH($A212,Prices[Key],0)),0))</f>
        <v/>
      </c>
      <c r="I212" s="289" t="str">
        <f>IF($A212="","",IFERROR(INDEX(Prices[FX to SGD],MATCH($A212,Prices[Key],0)),1))</f>
        <v/>
      </c>
      <c r="J212" s="287" t="str">
        <f t="shared" si="35"/>
        <v/>
      </c>
      <c r="K212" s="287" t="str">
        <f t="shared" si="36"/>
        <v/>
      </c>
      <c r="L212" s="287" t="str">
        <f t="shared" si="37"/>
        <v/>
      </c>
      <c r="M212" s="290" t="str">
        <f t="shared" si="38"/>
        <v/>
      </c>
      <c r="N212" t="str">
        <f>IF($A212="","",IFERROR(INDEX(Prices[Category],MATCH($A212,Prices[Key],0)),"Uncategorized"))</f>
        <v/>
      </c>
      <c r="O212" s="291" t="str">
        <f t="shared" si="39"/>
        <v/>
      </c>
      <c r="P212" s="291" t="str">
        <f t="shared" si="40"/>
        <v/>
      </c>
    </row>
    <row r="213" spans="1:16" ht="15" customHeight="1" x14ac:dyDescent="0.2">
      <c r="A213" s="243" t="str">
        <f>IFERROR(INDEX('All Ticker P&amp;L'!$A$2:$A$1001,MATCH(ROWS($A$2:A213),'All Ticker P&amp;L'!$N$2:$N$1001,0)),"")</f>
        <v/>
      </c>
      <c r="B213" s="243" t="str">
        <f t="shared" si="32"/>
        <v/>
      </c>
      <c r="C213" s="243" t="str">
        <f t="shared" si="33"/>
        <v/>
      </c>
      <c r="D213" s="243" t="str">
        <f t="shared" si="34"/>
        <v/>
      </c>
      <c r="E213" s="265" t="str">
        <f>IF($A213="","",SUMIFS(Txn[Signed Units],Txn[Key],$A213))</f>
        <v/>
      </c>
      <c r="F213" s="287" t="str">
        <f>IF($A213="","",SUMIFS(Txn[Buy Cost],Txn[Key],$A213))</f>
        <v/>
      </c>
      <c r="G213" s="287" t="str">
        <f>IF($A213="","",SUMIFS(Txn[Sell Proceeds],Txn[Key],$A213))</f>
        <v/>
      </c>
      <c r="H213" s="288" t="str">
        <f>IF($A213="","",IFERROR(INDEX(Prices[Current Price],MATCH($A213,Prices[Key],0)),0))</f>
        <v/>
      </c>
      <c r="I213" s="289" t="str">
        <f>IF($A213="","",IFERROR(INDEX(Prices[FX to SGD],MATCH($A213,Prices[Key],0)),1))</f>
        <v/>
      </c>
      <c r="J213" s="287" t="str">
        <f t="shared" si="35"/>
        <v/>
      </c>
      <c r="K213" s="287" t="str">
        <f t="shared" si="36"/>
        <v/>
      </c>
      <c r="L213" s="287" t="str">
        <f t="shared" si="37"/>
        <v/>
      </c>
      <c r="M213" s="290" t="str">
        <f t="shared" si="38"/>
        <v/>
      </c>
      <c r="N213" t="str">
        <f>IF($A213="","",IFERROR(INDEX(Prices[Category],MATCH($A213,Prices[Key],0)),"Uncategorized"))</f>
        <v/>
      </c>
      <c r="O213" s="291" t="str">
        <f t="shared" si="39"/>
        <v/>
      </c>
      <c r="P213" s="291" t="str">
        <f t="shared" si="40"/>
        <v/>
      </c>
    </row>
    <row r="214" spans="1:16" ht="15" customHeight="1" x14ac:dyDescent="0.2">
      <c r="A214" s="243" t="str">
        <f>IFERROR(INDEX('All Ticker P&amp;L'!$A$2:$A$1001,MATCH(ROWS($A$2:A214),'All Ticker P&amp;L'!$N$2:$N$1001,0)),"")</f>
        <v/>
      </c>
      <c r="B214" s="243" t="str">
        <f t="shared" si="32"/>
        <v/>
      </c>
      <c r="C214" s="243" t="str">
        <f t="shared" si="33"/>
        <v/>
      </c>
      <c r="D214" s="243" t="str">
        <f t="shared" si="34"/>
        <v/>
      </c>
      <c r="E214" s="265" t="str">
        <f>IF($A214="","",SUMIFS(Txn[Signed Units],Txn[Key],$A214))</f>
        <v/>
      </c>
      <c r="F214" s="287" t="str">
        <f>IF($A214="","",SUMIFS(Txn[Buy Cost],Txn[Key],$A214))</f>
        <v/>
      </c>
      <c r="G214" s="287" t="str">
        <f>IF($A214="","",SUMIFS(Txn[Sell Proceeds],Txn[Key],$A214))</f>
        <v/>
      </c>
      <c r="H214" s="288" t="str">
        <f>IF($A214="","",IFERROR(INDEX(Prices[Current Price],MATCH($A214,Prices[Key],0)),0))</f>
        <v/>
      </c>
      <c r="I214" s="289" t="str">
        <f>IF($A214="","",IFERROR(INDEX(Prices[FX to SGD],MATCH($A214,Prices[Key],0)),1))</f>
        <v/>
      </c>
      <c r="J214" s="287" t="str">
        <f t="shared" si="35"/>
        <v/>
      </c>
      <c r="K214" s="287" t="str">
        <f t="shared" si="36"/>
        <v/>
      </c>
      <c r="L214" s="287" t="str">
        <f t="shared" si="37"/>
        <v/>
      </c>
      <c r="M214" s="290" t="str">
        <f t="shared" si="38"/>
        <v/>
      </c>
      <c r="N214" t="str">
        <f>IF($A214="","",IFERROR(INDEX(Prices[Category],MATCH($A214,Prices[Key],0)),"Uncategorized"))</f>
        <v/>
      </c>
      <c r="O214" s="291" t="str">
        <f t="shared" si="39"/>
        <v/>
      </c>
      <c r="P214" s="291" t="str">
        <f t="shared" si="40"/>
        <v/>
      </c>
    </row>
    <row r="215" spans="1:16" ht="15" customHeight="1" x14ac:dyDescent="0.2">
      <c r="A215" s="243" t="str">
        <f>IFERROR(INDEX('All Ticker P&amp;L'!$A$2:$A$1001,MATCH(ROWS($A$2:A215),'All Ticker P&amp;L'!$N$2:$N$1001,0)),"")</f>
        <v/>
      </c>
      <c r="B215" s="243" t="str">
        <f t="shared" si="32"/>
        <v/>
      </c>
      <c r="C215" s="243" t="str">
        <f t="shared" si="33"/>
        <v/>
      </c>
      <c r="D215" s="243" t="str">
        <f t="shared" si="34"/>
        <v/>
      </c>
      <c r="E215" s="265" t="str">
        <f>IF($A215="","",SUMIFS(Txn[Signed Units],Txn[Key],$A215))</f>
        <v/>
      </c>
      <c r="F215" s="287" t="str">
        <f>IF($A215="","",SUMIFS(Txn[Buy Cost],Txn[Key],$A215))</f>
        <v/>
      </c>
      <c r="G215" s="287" t="str">
        <f>IF($A215="","",SUMIFS(Txn[Sell Proceeds],Txn[Key],$A215))</f>
        <v/>
      </c>
      <c r="H215" s="288" t="str">
        <f>IF($A215="","",IFERROR(INDEX(Prices[Current Price],MATCH($A215,Prices[Key],0)),0))</f>
        <v/>
      </c>
      <c r="I215" s="289" t="str">
        <f>IF($A215="","",IFERROR(INDEX(Prices[FX to SGD],MATCH($A215,Prices[Key],0)),1))</f>
        <v/>
      </c>
      <c r="J215" s="287" t="str">
        <f t="shared" si="35"/>
        <v/>
      </c>
      <c r="K215" s="287" t="str">
        <f t="shared" si="36"/>
        <v/>
      </c>
      <c r="L215" s="287" t="str">
        <f t="shared" si="37"/>
        <v/>
      </c>
      <c r="M215" s="290" t="str">
        <f t="shared" si="38"/>
        <v/>
      </c>
      <c r="N215" t="str">
        <f>IF($A215="","",IFERROR(INDEX(Prices[Category],MATCH($A215,Prices[Key],0)),"Uncategorized"))</f>
        <v/>
      </c>
      <c r="O215" s="291" t="str">
        <f t="shared" si="39"/>
        <v/>
      </c>
      <c r="P215" s="291" t="str">
        <f t="shared" si="40"/>
        <v/>
      </c>
    </row>
    <row r="216" spans="1:16" ht="15" customHeight="1" x14ac:dyDescent="0.2">
      <c r="A216" s="243" t="str">
        <f>IFERROR(INDEX('All Ticker P&amp;L'!$A$2:$A$1001,MATCH(ROWS($A$2:A216),'All Ticker P&amp;L'!$N$2:$N$1001,0)),"")</f>
        <v/>
      </c>
      <c r="B216" s="243" t="str">
        <f t="shared" si="32"/>
        <v/>
      </c>
      <c r="C216" s="243" t="str">
        <f t="shared" si="33"/>
        <v/>
      </c>
      <c r="D216" s="243" t="str">
        <f t="shared" si="34"/>
        <v/>
      </c>
      <c r="E216" s="265" t="str">
        <f>IF($A216="","",SUMIFS(Txn[Signed Units],Txn[Key],$A216))</f>
        <v/>
      </c>
      <c r="F216" s="287" t="str">
        <f>IF($A216="","",SUMIFS(Txn[Buy Cost],Txn[Key],$A216))</f>
        <v/>
      </c>
      <c r="G216" s="287" t="str">
        <f>IF($A216="","",SUMIFS(Txn[Sell Proceeds],Txn[Key],$A216))</f>
        <v/>
      </c>
      <c r="H216" s="288" t="str">
        <f>IF($A216="","",IFERROR(INDEX(Prices[Current Price],MATCH($A216,Prices[Key],0)),0))</f>
        <v/>
      </c>
      <c r="I216" s="289" t="str">
        <f>IF($A216="","",IFERROR(INDEX(Prices[FX to SGD],MATCH($A216,Prices[Key],0)),1))</f>
        <v/>
      </c>
      <c r="J216" s="287" t="str">
        <f t="shared" si="35"/>
        <v/>
      </c>
      <c r="K216" s="287" t="str">
        <f t="shared" si="36"/>
        <v/>
      </c>
      <c r="L216" s="287" t="str">
        <f t="shared" si="37"/>
        <v/>
      </c>
      <c r="M216" s="290" t="str">
        <f t="shared" si="38"/>
        <v/>
      </c>
      <c r="N216" t="str">
        <f>IF($A216="","",IFERROR(INDEX(Prices[Category],MATCH($A216,Prices[Key],0)),"Uncategorized"))</f>
        <v/>
      </c>
      <c r="O216" s="291" t="str">
        <f t="shared" si="39"/>
        <v/>
      </c>
      <c r="P216" s="291" t="str">
        <f t="shared" si="40"/>
        <v/>
      </c>
    </row>
    <row r="217" spans="1:16" ht="15" customHeight="1" x14ac:dyDescent="0.2">
      <c r="A217" s="243" t="str">
        <f>IFERROR(INDEX('All Ticker P&amp;L'!$A$2:$A$1001,MATCH(ROWS($A$2:A217),'All Ticker P&amp;L'!$N$2:$N$1001,0)),"")</f>
        <v/>
      </c>
      <c r="B217" s="243" t="str">
        <f t="shared" si="32"/>
        <v/>
      </c>
      <c r="C217" s="243" t="str">
        <f t="shared" si="33"/>
        <v/>
      </c>
      <c r="D217" s="243" t="str">
        <f t="shared" si="34"/>
        <v/>
      </c>
      <c r="E217" s="265" t="str">
        <f>IF($A217="","",SUMIFS(Txn[Signed Units],Txn[Key],$A217))</f>
        <v/>
      </c>
      <c r="F217" s="287" t="str">
        <f>IF($A217="","",SUMIFS(Txn[Buy Cost],Txn[Key],$A217))</f>
        <v/>
      </c>
      <c r="G217" s="287" t="str">
        <f>IF($A217="","",SUMIFS(Txn[Sell Proceeds],Txn[Key],$A217))</f>
        <v/>
      </c>
      <c r="H217" s="288" t="str">
        <f>IF($A217="","",IFERROR(INDEX(Prices[Current Price],MATCH($A217,Prices[Key],0)),0))</f>
        <v/>
      </c>
      <c r="I217" s="289" t="str">
        <f>IF($A217="","",IFERROR(INDEX(Prices[FX to SGD],MATCH($A217,Prices[Key],0)),1))</f>
        <v/>
      </c>
      <c r="J217" s="287" t="str">
        <f t="shared" si="35"/>
        <v/>
      </c>
      <c r="K217" s="287" t="str">
        <f t="shared" si="36"/>
        <v/>
      </c>
      <c r="L217" s="287" t="str">
        <f t="shared" si="37"/>
        <v/>
      </c>
      <c r="M217" s="290" t="str">
        <f t="shared" si="38"/>
        <v/>
      </c>
      <c r="N217" t="str">
        <f>IF($A217="","",IFERROR(INDEX(Prices[Category],MATCH($A217,Prices[Key],0)),"Uncategorized"))</f>
        <v/>
      </c>
      <c r="O217" s="291" t="str">
        <f t="shared" si="39"/>
        <v/>
      </c>
      <c r="P217" s="291" t="str">
        <f t="shared" si="40"/>
        <v/>
      </c>
    </row>
    <row r="218" spans="1:16" ht="15" customHeight="1" x14ac:dyDescent="0.2">
      <c r="A218" s="243" t="str">
        <f>IFERROR(INDEX('All Ticker P&amp;L'!$A$2:$A$1001,MATCH(ROWS($A$2:A218),'All Ticker P&amp;L'!$N$2:$N$1001,0)),"")</f>
        <v/>
      </c>
      <c r="B218" s="243" t="str">
        <f t="shared" si="32"/>
        <v/>
      </c>
      <c r="C218" s="243" t="str">
        <f t="shared" si="33"/>
        <v/>
      </c>
      <c r="D218" s="243" t="str">
        <f t="shared" si="34"/>
        <v/>
      </c>
      <c r="E218" s="265" t="str">
        <f>IF($A218="","",SUMIFS(Txn[Signed Units],Txn[Key],$A218))</f>
        <v/>
      </c>
      <c r="F218" s="287" t="str">
        <f>IF($A218="","",SUMIFS(Txn[Buy Cost],Txn[Key],$A218))</f>
        <v/>
      </c>
      <c r="G218" s="287" t="str">
        <f>IF($A218="","",SUMIFS(Txn[Sell Proceeds],Txn[Key],$A218))</f>
        <v/>
      </c>
      <c r="H218" s="288" t="str">
        <f>IF($A218="","",IFERROR(INDEX(Prices[Current Price],MATCH($A218,Prices[Key],0)),0))</f>
        <v/>
      </c>
      <c r="I218" s="289" t="str">
        <f>IF($A218="","",IFERROR(INDEX(Prices[FX to SGD],MATCH($A218,Prices[Key],0)),1))</f>
        <v/>
      </c>
      <c r="J218" s="287" t="str">
        <f t="shared" si="35"/>
        <v/>
      </c>
      <c r="K218" s="287" t="str">
        <f t="shared" si="36"/>
        <v/>
      </c>
      <c r="L218" s="287" t="str">
        <f t="shared" si="37"/>
        <v/>
      </c>
      <c r="M218" s="290" t="str">
        <f t="shared" si="38"/>
        <v/>
      </c>
      <c r="N218" t="str">
        <f>IF($A218="","",IFERROR(INDEX(Prices[Category],MATCH($A218,Prices[Key],0)),"Uncategorized"))</f>
        <v/>
      </c>
      <c r="O218" s="291" t="str">
        <f t="shared" si="39"/>
        <v/>
      </c>
      <c r="P218" s="291" t="str">
        <f t="shared" si="40"/>
        <v/>
      </c>
    </row>
    <row r="219" spans="1:16" ht="15" customHeight="1" x14ac:dyDescent="0.2">
      <c r="A219" s="243" t="str">
        <f>IFERROR(INDEX('All Ticker P&amp;L'!$A$2:$A$1001,MATCH(ROWS($A$2:A219),'All Ticker P&amp;L'!$N$2:$N$1001,0)),"")</f>
        <v/>
      </c>
      <c r="B219" s="243" t="str">
        <f t="shared" si="32"/>
        <v/>
      </c>
      <c r="C219" s="243" t="str">
        <f t="shared" si="33"/>
        <v/>
      </c>
      <c r="D219" s="243" t="str">
        <f t="shared" si="34"/>
        <v/>
      </c>
      <c r="E219" s="265" t="str">
        <f>IF($A219="","",SUMIFS(Txn[Signed Units],Txn[Key],$A219))</f>
        <v/>
      </c>
      <c r="F219" s="287" t="str">
        <f>IF($A219="","",SUMIFS(Txn[Buy Cost],Txn[Key],$A219))</f>
        <v/>
      </c>
      <c r="G219" s="287" t="str">
        <f>IF($A219="","",SUMIFS(Txn[Sell Proceeds],Txn[Key],$A219))</f>
        <v/>
      </c>
      <c r="H219" s="288" t="str">
        <f>IF($A219="","",IFERROR(INDEX(Prices[Current Price],MATCH($A219,Prices[Key],0)),0))</f>
        <v/>
      </c>
      <c r="I219" s="289" t="str">
        <f>IF($A219="","",IFERROR(INDEX(Prices[FX to SGD],MATCH($A219,Prices[Key],0)),1))</f>
        <v/>
      </c>
      <c r="J219" s="287" t="str">
        <f t="shared" si="35"/>
        <v/>
      </c>
      <c r="K219" s="287" t="str">
        <f t="shared" si="36"/>
        <v/>
      </c>
      <c r="L219" s="287" t="str">
        <f t="shared" si="37"/>
        <v/>
      </c>
      <c r="M219" s="290" t="str">
        <f t="shared" si="38"/>
        <v/>
      </c>
      <c r="N219" t="str">
        <f>IF($A219="","",IFERROR(INDEX(Prices[Category],MATCH($A219,Prices[Key],0)),"Uncategorized"))</f>
        <v/>
      </c>
      <c r="O219" s="291" t="str">
        <f t="shared" si="39"/>
        <v/>
      </c>
      <c r="P219" s="291" t="str">
        <f t="shared" si="40"/>
        <v/>
      </c>
    </row>
    <row r="220" spans="1:16" ht="15" customHeight="1" x14ac:dyDescent="0.2">
      <c r="A220" s="243" t="str">
        <f>IFERROR(INDEX('All Ticker P&amp;L'!$A$2:$A$1001,MATCH(ROWS($A$2:A220),'All Ticker P&amp;L'!$N$2:$N$1001,0)),"")</f>
        <v/>
      </c>
      <c r="B220" s="243" t="str">
        <f t="shared" si="32"/>
        <v/>
      </c>
      <c r="C220" s="243" t="str">
        <f t="shared" si="33"/>
        <v/>
      </c>
      <c r="D220" s="243" t="str">
        <f t="shared" si="34"/>
        <v/>
      </c>
      <c r="E220" s="265" t="str">
        <f>IF($A220="","",SUMIFS(Txn[Signed Units],Txn[Key],$A220))</f>
        <v/>
      </c>
      <c r="F220" s="287" t="str">
        <f>IF($A220="","",SUMIFS(Txn[Buy Cost],Txn[Key],$A220))</f>
        <v/>
      </c>
      <c r="G220" s="287" t="str">
        <f>IF($A220="","",SUMIFS(Txn[Sell Proceeds],Txn[Key],$A220))</f>
        <v/>
      </c>
      <c r="H220" s="288" t="str">
        <f>IF($A220="","",IFERROR(INDEX(Prices[Current Price],MATCH($A220,Prices[Key],0)),0))</f>
        <v/>
      </c>
      <c r="I220" s="289" t="str">
        <f>IF($A220="","",IFERROR(INDEX(Prices[FX to SGD],MATCH($A220,Prices[Key],0)),1))</f>
        <v/>
      </c>
      <c r="J220" s="287" t="str">
        <f t="shared" si="35"/>
        <v/>
      </c>
      <c r="K220" s="287" t="str">
        <f t="shared" si="36"/>
        <v/>
      </c>
      <c r="L220" s="287" t="str">
        <f t="shared" si="37"/>
        <v/>
      </c>
      <c r="M220" s="290" t="str">
        <f t="shared" si="38"/>
        <v/>
      </c>
      <c r="N220" t="str">
        <f>IF($A220="","",IFERROR(INDEX(Prices[Category],MATCH($A220,Prices[Key],0)),"Uncategorized"))</f>
        <v/>
      </c>
      <c r="O220" s="291" t="str">
        <f t="shared" si="39"/>
        <v/>
      </c>
      <c r="P220" s="291" t="str">
        <f t="shared" si="40"/>
        <v/>
      </c>
    </row>
    <row r="221" spans="1:16" ht="15" customHeight="1" x14ac:dyDescent="0.2">
      <c r="A221" s="243" t="str">
        <f>IFERROR(INDEX('All Ticker P&amp;L'!$A$2:$A$1001,MATCH(ROWS($A$2:A221),'All Ticker P&amp;L'!$N$2:$N$1001,0)),"")</f>
        <v/>
      </c>
      <c r="B221" s="243" t="str">
        <f t="shared" si="32"/>
        <v/>
      </c>
      <c r="C221" s="243" t="str">
        <f t="shared" si="33"/>
        <v/>
      </c>
      <c r="D221" s="243" t="str">
        <f t="shared" si="34"/>
        <v/>
      </c>
      <c r="E221" s="265" t="str">
        <f>IF($A221="","",SUMIFS(Txn[Signed Units],Txn[Key],$A221))</f>
        <v/>
      </c>
      <c r="F221" s="287" t="str">
        <f>IF($A221="","",SUMIFS(Txn[Buy Cost],Txn[Key],$A221))</f>
        <v/>
      </c>
      <c r="G221" s="287" t="str">
        <f>IF($A221="","",SUMIFS(Txn[Sell Proceeds],Txn[Key],$A221))</f>
        <v/>
      </c>
      <c r="H221" s="288" t="str">
        <f>IF($A221="","",IFERROR(INDEX(Prices[Current Price],MATCH($A221,Prices[Key],0)),0))</f>
        <v/>
      </c>
      <c r="I221" s="289" t="str">
        <f>IF($A221="","",IFERROR(INDEX(Prices[FX to SGD],MATCH($A221,Prices[Key],0)),1))</f>
        <v/>
      </c>
      <c r="J221" s="287" t="str">
        <f t="shared" si="35"/>
        <v/>
      </c>
      <c r="K221" s="287" t="str">
        <f t="shared" si="36"/>
        <v/>
      </c>
      <c r="L221" s="287" t="str">
        <f t="shared" si="37"/>
        <v/>
      </c>
      <c r="M221" s="290" t="str">
        <f t="shared" si="38"/>
        <v/>
      </c>
      <c r="N221" t="str">
        <f>IF($A221="","",IFERROR(INDEX(Prices[Category],MATCH($A221,Prices[Key],0)),"Uncategorized"))</f>
        <v/>
      </c>
      <c r="O221" s="291" t="str">
        <f t="shared" si="39"/>
        <v/>
      </c>
      <c r="P221" s="291" t="str">
        <f t="shared" si="40"/>
        <v/>
      </c>
    </row>
    <row r="222" spans="1:16" ht="15" customHeight="1" x14ac:dyDescent="0.2">
      <c r="A222" s="243" t="str">
        <f>IFERROR(INDEX('All Ticker P&amp;L'!$A$2:$A$1001,MATCH(ROWS($A$2:A222),'All Ticker P&amp;L'!$N$2:$N$1001,0)),"")</f>
        <v/>
      </c>
      <c r="B222" s="243" t="str">
        <f t="shared" si="32"/>
        <v/>
      </c>
      <c r="C222" s="243" t="str">
        <f t="shared" si="33"/>
        <v/>
      </c>
      <c r="D222" s="243" t="str">
        <f t="shared" si="34"/>
        <v/>
      </c>
      <c r="E222" s="265" t="str">
        <f>IF($A222="","",SUMIFS(Txn[Signed Units],Txn[Key],$A222))</f>
        <v/>
      </c>
      <c r="F222" s="287" t="str">
        <f>IF($A222="","",SUMIFS(Txn[Buy Cost],Txn[Key],$A222))</f>
        <v/>
      </c>
      <c r="G222" s="287" t="str">
        <f>IF($A222="","",SUMIFS(Txn[Sell Proceeds],Txn[Key],$A222))</f>
        <v/>
      </c>
      <c r="H222" s="288" t="str">
        <f>IF($A222="","",IFERROR(INDEX(Prices[Current Price],MATCH($A222,Prices[Key],0)),0))</f>
        <v/>
      </c>
      <c r="I222" s="289" t="str">
        <f>IF($A222="","",IFERROR(INDEX(Prices[FX to SGD],MATCH($A222,Prices[Key],0)),1))</f>
        <v/>
      </c>
      <c r="J222" s="287" t="str">
        <f t="shared" si="35"/>
        <v/>
      </c>
      <c r="K222" s="287" t="str">
        <f t="shared" si="36"/>
        <v/>
      </c>
      <c r="L222" s="287" t="str">
        <f t="shared" si="37"/>
        <v/>
      </c>
      <c r="M222" s="290" t="str">
        <f t="shared" si="38"/>
        <v/>
      </c>
      <c r="N222" t="str">
        <f>IF($A222="","",IFERROR(INDEX(Prices[Category],MATCH($A222,Prices[Key],0)),"Uncategorized"))</f>
        <v/>
      </c>
      <c r="O222" s="291" t="str">
        <f t="shared" si="39"/>
        <v/>
      </c>
      <c r="P222" s="291" t="str">
        <f t="shared" si="40"/>
        <v/>
      </c>
    </row>
    <row r="223" spans="1:16" ht="15" customHeight="1" x14ac:dyDescent="0.2">
      <c r="A223" s="243" t="str">
        <f>IFERROR(INDEX('All Ticker P&amp;L'!$A$2:$A$1001,MATCH(ROWS($A$2:A223),'All Ticker P&amp;L'!$N$2:$N$1001,0)),"")</f>
        <v/>
      </c>
      <c r="B223" s="243" t="str">
        <f t="shared" si="32"/>
        <v/>
      </c>
      <c r="C223" s="243" t="str">
        <f t="shared" si="33"/>
        <v/>
      </c>
      <c r="D223" s="243" t="str">
        <f t="shared" si="34"/>
        <v/>
      </c>
      <c r="E223" s="265" t="str">
        <f>IF($A223="","",SUMIFS(Txn[Signed Units],Txn[Key],$A223))</f>
        <v/>
      </c>
      <c r="F223" s="287" t="str">
        <f>IF($A223="","",SUMIFS(Txn[Buy Cost],Txn[Key],$A223))</f>
        <v/>
      </c>
      <c r="G223" s="287" t="str">
        <f>IF($A223="","",SUMIFS(Txn[Sell Proceeds],Txn[Key],$A223))</f>
        <v/>
      </c>
      <c r="H223" s="288" t="str">
        <f>IF($A223="","",IFERROR(INDEX(Prices[Current Price],MATCH($A223,Prices[Key],0)),0))</f>
        <v/>
      </c>
      <c r="I223" s="289" t="str">
        <f>IF($A223="","",IFERROR(INDEX(Prices[FX to SGD],MATCH($A223,Prices[Key],0)),1))</f>
        <v/>
      </c>
      <c r="J223" s="287" t="str">
        <f t="shared" si="35"/>
        <v/>
      </c>
      <c r="K223" s="287" t="str">
        <f t="shared" si="36"/>
        <v/>
      </c>
      <c r="L223" s="287" t="str">
        <f t="shared" si="37"/>
        <v/>
      </c>
      <c r="M223" s="290" t="str">
        <f t="shared" si="38"/>
        <v/>
      </c>
      <c r="N223" t="str">
        <f>IF($A223="","",IFERROR(INDEX(Prices[Category],MATCH($A223,Prices[Key],0)),"Uncategorized"))</f>
        <v/>
      </c>
      <c r="O223" s="291" t="str">
        <f t="shared" si="39"/>
        <v/>
      </c>
      <c r="P223" s="291" t="str">
        <f t="shared" si="40"/>
        <v/>
      </c>
    </row>
    <row r="224" spans="1:16" ht="15" customHeight="1" x14ac:dyDescent="0.2">
      <c r="A224" s="243" t="str">
        <f>IFERROR(INDEX('All Ticker P&amp;L'!$A$2:$A$1001,MATCH(ROWS($A$2:A224),'All Ticker P&amp;L'!$N$2:$N$1001,0)),"")</f>
        <v/>
      </c>
      <c r="B224" s="243" t="str">
        <f t="shared" si="32"/>
        <v/>
      </c>
      <c r="C224" s="243" t="str">
        <f t="shared" si="33"/>
        <v/>
      </c>
      <c r="D224" s="243" t="str">
        <f t="shared" si="34"/>
        <v/>
      </c>
      <c r="E224" s="265" t="str">
        <f>IF($A224="","",SUMIFS(Txn[Signed Units],Txn[Key],$A224))</f>
        <v/>
      </c>
      <c r="F224" s="287" t="str">
        <f>IF($A224="","",SUMIFS(Txn[Buy Cost],Txn[Key],$A224))</f>
        <v/>
      </c>
      <c r="G224" s="287" t="str">
        <f>IF($A224="","",SUMIFS(Txn[Sell Proceeds],Txn[Key],$A224))</f>
        <v/>
      </c>
      <c r="H224" s="288" t="str">
        <f>IF($A224="","",IFERROR(INDEX(Prices[Current Price],MATCH($A224,Prices[Key],0)),0))</f>
        <v/>
      </c>
      <c r="I224" s="289" t="str">
        <f>IF($A224="","",IFERROR(INDEX(Prices[FX to SGD],MATCH($A224,Prices[Key],0)),1))</f>
        <v/>
      </c>
      <c r="J224" s="287" t="str">
        <f t="shared" si="35"/>
        <v/>
      </c>
      <c r="K224" s="287" t="str">
        <f t="shared" si="36"/>
        <v/>
      </c>
      <c r="L224" s="287" t="str">
        <f t="shared" si="37"/>
        <v/>
      </c>
      <c r="M224" s="290" t="str">
        <f t="shared" si="38"/>
        <v/>
      </c>
      <c r="N224" t="str">
        <f>IF($A224="","",IFERROR(INDEX(Prices[Category],MATCH($A224,Prices[Key],0)),"Uncategorized"))</f>
        <v/>
      </c>
      <c r="O224" s="291" t="str">
        <f t="shared" si="39"/>
        <v/>
      </c>
      <c r="P224" s="291" t="str">
        <f t="shared" si="40"/>
        <v/>
      </c>
    </row>
    <row r="225" spans="1:16" ht="15" customHeight="1" x14ac:dyDescent="0.2">
      <c r="A225" s="243" t="str">
        <f>IFERROR(INDEX('All Ticker P&amp;L'!$A$2:$A$1001,MATCH(ROWS($A$2:A225),'All Ticker P&amp;L'!$N$2:$N$1001,0)),"")</f>
        <v/>
      </c>
      <c r="B225" s="243" t="str">
        <f t="shared" si="32"/>
        <v/>
      </c>
      <c r="C225" s="243" t="str">
        <f t="shared" si="33"/>
        <v/>
      </c>
      <c r="D225" s="243" t="str">
        <f t="shared" si="34"/>
        <v/>
      </c>
      <c r="E225" s="265" t="str">
        <f>IF($A225="","",SUMIFS(Txn[Signed Units],Txn[Key],$A225))</f>
        <v/>
      </c>
      <c r="F225" s="287" t="str">
        <f>IF($A225="","",SUMIFS(Txn[Buy Cost],Txn[Key],$A225))</f>
        <v/>
      </c>
      <c r="G225" s="287" t="str">
        <f>IF($A225="","",SUMIFS(Txn[Sell Proceeds],Txn[Key],$A225))</f>
        <v/>
      </c>
      <c r="H225" s="288" t="str">
        <f>IF($A225="","",IFERROR(INDEX(Prices[Current Price],MATCH($A225,Prices[Key],0)),0))</f>
        <v/>
      </c>
      <c r="I225" s="289" t="str">
        <f>IF($A225="","",IFERROR(INDEX(Prices[FX to SGD],MATCH($A225,Prices[Key],0)),1))</f>
        <v/>
      </c>
      <c r="J225" s="287" t="str">
        <f t="shared" si="35"/>
        <v/>
      </c>
      <c r="K225" s="287" t="str">
        <f t="shared" si="36"/>
        <v/>
      </c>
      <c r="L225" s="287" t="str">
        <f t="shared" si="37"/>
        <v/>
      </c>
      <c r="M225" s="290" t="str">
        <f t="shared" si="38"/>
        <v/>
      </c>
      <c r="N225" t="str">
        <f>IF($A225="","",IFERROR(INDEX(Prices[Category],MATCH($A225,Prices[Key],0)),"Uncategorized"))</f>
        <v/>
      </c>
      <c r="O225" s="291" t="str">
        <f t="shared" si="39"/>
        <v/>
      </c>
      <c r="P225" s="291" t="str">
        <f t="shared" si="40"/>
        <v/>
      </c>
    </row>
    <row r="226" spans="1:16" ht="15" customHeight="1" x14ac:dyDescent="0.2">
      <c r="A226" s="243" t="str">
        <f>IFERROR(INDEX('All Ticker P&amp;L'!$A$2:$A$1001,MATCH(ROWS($A$2:A226),'All Ticker P&amp;L'!$N$2:$N$1001,0)),"")</f>
        <v/>
      </c>
      <c r="B226" s="243" t="str">
        <f t="shared" si="32"/>
        <v/>
      </c>
      <c r="C226" s="243" t="str">
        <f t="shared" si="33"/>
        <v/>
      </c>
      <c r="D226" s="243" t="str">
        <f t="shared" si="34"/>
        <v/>
      </c>
      <c r="E226" s="265" t="str">
        <f>IF($A226="","",SUMIFS(Txn[Signed Units],Txn[Key],$A226))</f>
        <v/>
      </c>
      <c r="F226" s="287" t="str">
        <f>IF($A226="","",SUMIFS(Txn[Buy Cost],Txn[Key],$A226))</f>
        <v/>
      </c>
      <c r="G226" s="287" t="str">
        <f>IF($A226="","",SUMIFS(Txn[Sell Proceeds],Txn[Key],$A226))</f>
        <v/>
      </c>
      <c r="H226" s="288" t="str">
        <f>IF($A226="","",IFERROR(INDEX(Prices[Current Price],MATCH($A226,Prices[Key],0)),0))</f>
        <v/>
      </c>
      <c r="I226" s="289" t="str">
        <f>IF($A226="","",IFERROR(INDEX(Prices[FX to SGD],MATCH($A226,Prices[Key],0)),1))</f>
        <v/>
      </c>
      <c r="J226" s="287" t="str">
        <f t="shared" si="35"/>
        <v/>
      </c>
      <c r="K226" s="287" t="str">
        <f t="shared" si="36"/>
        <v/>
      </c>
      <c r="L226" s="287" t="str">
        <f t="shared" si="37"/>
        <v/>
      </c>
      <c r="M226" s="290" t="str">
        <f t="shared" si="38"/>
        <v/>
      </c>
      <c r="N226" t="str">
        <f>IF($A226="","",IFERROR(INDEX(Prices[Category],MATCH($A226,Prices[Key],0)),"Uncategorized"))</f>
        <v/>
      </c>
      <c r="O226" s="291" t="str">
        <f t="shared" si="39"/>
        <v/>
      </c>
      <c r="P226" s="291" t="str">
        <f t="shared" si="40"/>
        <v/>
      </c>
    </row>
    <row r="227" spans="1:16" ht="15" customHeight="1" x14ac:dyDescent="0.2">
      <c r="A227" s="243" t="str">
        <f>IFERROR(INDEX('All Ticker P&amp;L'!$A$2:$A$1001,MATCH(ROWS($A$2:A227),'All Ticker P&amp;L'!$N$2:$N$1001,0)),"")</f>
        <v/>
      </c>
      <c r="B227" s="243" t="str">
        <f t="shared" si="32"/>
        <v/>
      </c>
      <c r="C227" s="243" t="str">
        <f t="shared" si="33"/>
        <v/>
      </c>
      <c r="D227" s="243" t="str">
        <f t="shared" si="34"/>
        <v/>
      </c>
      <c r="E227" s="265" t="str">
        <f>IF($A227="","",SUMIFS(Txn[Signed Units],Txn[Key],$A227))</f>
        <v/>
      </c>
      <c r="F227" s="287" t="str">
        <f>IF($A227="","",SUMIFS(Txn[Buy Cost],Txn[Key],$A227))</f>
        <v/>
      </c>
      <c r="G227" s="287" t="str">
        <f>IF($A227="","",SUMIFS(Txn[Sell Proceeds],Txn[Key],$A227))</f>
        <v/>
      </c>
      <c r="H227" s="288" t="str">
        <f>IF($A227="","",IFERROR(INDEX(Prices[Current Price],MATCH($A227,Prices[Key],0)),0))</f>
        <v/>
      </c>
      <c r="I227" s="289" t="str">
        <f>IF($A227="","",IFERROR(INDEX(Prices[FX to SGD],MATCH($A227,Prices[Key],0)),1))</f>
        <v/>
      </c>
      <c r="J227" s="287" t="str">
        <f t="shared" si="35"/>
        <v/>
      </c>
      <c r="K227" s="287" t="str">
        <f t="shared" si="36"/>
        <v/>
      </c>
      <c r="L227" s="287" t="str">
        <f t="shared" si="37"/>
        <v/>
      </c>
      <c r="M227" s="290" t="str">
        <f t="shared" si="38"/>
        <v/>
      </c>
      <c r="N227" t="str">
        <f>IF($A227="","",IFERROR(INDEX(Prices[Category],MATCH($A227,Prices[Key],0)),"Uncategorized"))</f>
        <v/>
      </c>
      <c r="O227" s="291" t="str">
        <f t="shared" si="39"/>
        <v/>
      </c>
      <c r="P227" s="291" t="str">
        <f t="shared" si="40"/>
        <v/>
      </c>
    </row>
    <row r="228" spans="1:16" ht="15" customHeight="1" x14ac:dyDescent="0.2">
      <c r="A228" s="243" t="str">
        <f>IFERROR(INDEX('All Ticker P&amp;L'!$A$2:$A$1001,MATCH(ROWS($A$2:A228),'All Ticker P&amp;L'!$N$2:$N$1001,0)),"")</f>
        <v/>
      </c>
      <c r="B228" s="243" t="str">
        <f t="shared" si="32"/>
        <v/>
      </c>
      <c r="C228" s="243" t="str">
        <f t="shared" si="33"/>
        <v/>
      </c>
      <c r="D228" s="243" t="str">
        <f t="shared" si="34"/>
        <v/>
      </c>
      <c r="E228" s="265" t="str">
        <f>IF($A228="","",SUMIFS(Txn[Signed Units],Txn[Key],$A228))</f>
        <v/>
      </c>
      <c r="F228" s="287" t="str">
        <f>IF($A228="","",SUMIFS(Txn[Buy Cost],Txn[Key],$A228))</f>
        <v/>
      </c>
      <c r="G228" s="287" t="str">
        <f>IF($A228="","",SUMIFS(Txn[Sell Proceeds],Txn[Key],$A228))</f>
        <v/>
      </c>
      <c r="H228" s="288" t="str">
        <f>IF($A228="","",IFERROR(INDEX(Prices[Current Price],MATCH($A228,Prices[Key],0)),0))</f>
        <v/>
      </c>
      <c r="I228" s="289" t="str">
        <f>IF($A228="","",IFERROR(INDEX(Prices[FX to SGD],MATCH($A228,Prices[Key],0)),1))</f>
        <v/>
      </c>
      <c r="J228" s="287" t="str">
        <f t="shared" si="35"/>
        <v/>
      </c>
      <c r="K228" s="287" t="str">
        <f t="shared" si="36"/>
        <v/>
      </c>
      <c r="L228" s="287" t="str">
        <f t="shared" si="37"/>
        <v/>
      </c>
      <c r="M228" s="290" t="str">
        <f t="shared" si="38"/>
        <v/>
      </c>
      <c r="N228" t="str">
        <f>IF($A228="","",IFERROR(INDEX(Prices[Category],MATCH($A228,Prices[Key],0)),"Uncategorized"))</f>
        <v/>
      </c>
      <c r="O228" s="291" t="str">
        <f t="shared" si="39"/>
        <v/>
      </c>
      <c r="P228" s="291" t="str">
        <f t="shared" si="40"/>
        <v/>
      </c>
    </row>
    <row r="229" spans="1:16" ht="15" customHeight="1" x14ac:dyDescent="0.2">
      <c r="A229" s="243" t="str">
        <f>IFERROR(INDEX('All Ticker P&amp;L'!$A$2:$A$1001,MATCH(ROWS($A$2:A229),'All Ticker P&amp;L'!$N$2:$N$1001,0)),"")</f>
        <v/>
      </c>
      <c r="B229" s="243" t="str">
        <f t="shared" si="32"/>
        <v/>
      </c>
      <c r="C229" s="243" t="str">
        <f t="shared" si="33"/>
        <v/>
      </c>
      <c r="D229" s="243" t="str">
        <f t="shared" si="34"/>
        <v/>
      </c>
      <c r="E229" s="265" t="str">
        <f>IF($A229="","",SUMIFS(Txn[Signed Units],Txn[Key],$A229))</f>
        <v/>
      </c>
      <c r="F229" s="287" t="str">
        <f>IF($A229="","",SUMIFS(Txn[Buy Cost],Txn[Key],$A229))</f>
        <v/>
      </c>
      <c r="G229" s="287" t="str">
        <f>IF($A229="","",SUMIFS(Txn[Sell Proceeds],Txn[Key],$A229))</f>
        <v/>
      </c>
      <c r="H229" s="288" t="str">
        <f>IF($A229="","",IFERROR(INDEX(Prices[Current Price],MATCH($A229,Prices[Key],0)),0))</f>
        <v/>
      </c>
      <c r="I229" s="289" t="str">
        <f>IF($A229="","",IFERROR(INDEX(Prices[FX to SGD],MATCH($A229,Prices[Key],0)),1))</f>
        <v/>
      </c>
      <c r="J229" s="287" t="str">
        <f t="shared" si="35"/>
        <v/>
      </c>
      <c r="K229" s="287" t="str">
        <f t="shared" si="36"/>
        <v/>
      </c>
      <c r="L229" s="287" t="str">
        <f t="shared" si="37"/>
        <v/>
      </c>
      <c r="M229" s="290" t="str">
        <f t="shared" si="38"/>
        <v/>
      </c>
      <c r="N229" t="str">
        <f>IF($A229="","",IFERROR(INDEX(Prices[Category],MATCH($A229,Prices[Key],0)),"Uncategorized"))</f>
        <v/>
      </c>
      <c r="O229" s="291" t="str">
        <f t="shared" si="39"/>
        <v/>
      </c>
      <c r="P229" s="291" t="str">
        <f t="shared" si="40"/>
        <v/>
      </c>
    </row>
    <row r="230" spans="1:16" ht="15" customHeight="1" x14ac:dyDescent="0.2">
      <c r="A230" s="243" t="str">
        <f>IFERROR(INDEX('All Ticker P&amp;L'!$A$2:$A$1001,MATCH(ROWS($A$2:A230),'All Ticker P&amp;L'!$N$2:$N$1001,0)),"")</f>
        <v/>
      </c>
      <c r="B230" s="243" t="str">
        <f t="shared" si="32"/>
        <v/>
      </c>
      <c r="C230" s="243" t="str">
        <f t="shared" si="33"/>
        <v/>
      </c>
      <c r="D230" s="243" t="str">
        <f t="shared" si="34"/>
        <v/>
      </c>
      <c r="E230" s="265" t="str">
        <f>IF($A230="","",SUMIFS(Txn[Signed Units],Txn[Key],$A230))</f>
        <v/>
      </c>
      <c r="F230" s="287" t="str">
        <f>IF($A230="","",SUMIFS(Txn[Buy Cost],Txn[Key],$A230))</f>
        <v/>
      </c>
      <c r="G230" s="287" t="str">
        <f>IF($A230="","",SUMIFS(Txn[Sell Proceeds],Txn[Key],$A230))</f>
        <v/>
      </c>
      <c r="H230" s="288" t="str">
        <f>IF($A230="","",IFERROR(INDEX(Prices[Current Price],MATCH($A230,Prices[Key],0)),0))</f>
        <v/>
      </c>
      <c r="I230" s="289" t="str">
        <f>IF($A230="","",IFERROR(INDEX(Prices[FX to SGD],MATCH($A230,Prices[Key],0)),1))</f>
        <v/>
      </c>
      <c r="J230" s="287" t="str">
        <f t="shared" si="35"/>
        <v/>
      </c>
      <c r="K230" s="287" t="str">
        <f t="shared" si="36"/>
        <v/>
      </c>
      <c r="L230" s="287" t="str">
        <f t="shared" si="37"/>
        <v/>
      </c>
      <c r="M230" s="290" t="str">
        <f t="shared" si="38"/>
        <v/>
      </c>
      <c r="N230" t="str">
        <f>IF($A230="","",IFERROR(INDEX(Prices[Category],MATCH($A230,Prices[Key],0)),"Uncategorized"))</f>
        <v/>
      </c>
      <c r="O230" s="291" t="str">
        <f t="shared" si="39"/>
        <v/>
      </c>
      <c r="P230" s="291" t="str">
        <f t="shared" si="40"/>
        <v/>
      </c>
    </row>
    <row r="231" spans="1:16" ht="15" customHeight="1" x14ac:dyDescent="0.2">
      <c r="A231" s="243" t="str">
        <f>IFERROR(INDEX('All Ticker P&amp;L'!$A$2:$A$1001,MATCH(ROWS($A$2:A231),'All Ticker P&amp;L'!$N$2:$N$1001,0)),"")</f>
        <v/>
      </c>
      <c r="B231" s="243" t="str">
        <f t="shared" si="32"/>
        <v/>
      </c>
      <c r="C231" s="243" t="str">
        <f t="shared" si="33"/>
        <v/>
      </c>
      <c r="D231" s="243" t="str">
        <f t="shared" si="34"/>
        <v/>
      </c>
      <c r="E231" s="265" t="str">
        <f>IF($A231="","",SUMIFS(Txn[Signed Units],Txn[Key],$A231))</f>
        <v/>
      </c>
      <c r="F231" s="287" t="str">
        <f>IF($A231="","",SUMIFS(Txn[Buy Cost],Txn[Key],$A231))</f>
        <v/>
      </c>
      <c r="G231" s="287" t="str">
        <f>IF($A231="","",SUMIFS(Txn[Sell Proceeds],Txn[Key],$A231))</f>
        <v/>
      </c>
      <c r="H231" s="288" t="str">
        <f>IF($A231="","",IFERROR(INDEX(Prices[Current Price],MATCH($A231,Prices[Key],0)),0))</f>
        <v/>
      </c>
      <c r="I231" s="289" t="str">
        <f>IF($A231="","",IFERROR(INDEX(Prices[FX to SGD],MATCH($A231,Prices[Key],0)),1))</f>
        <v/>
      </c>
      <c r="J231" s="287" t="str">
        <f t="shared" si="35"/>
        <v/>
      </c>
      <c r="K231" s="287" t="str">
        <f t="shared" si="36"/>
        <v/>
      </c>
      <c r="L231" s="287" t="str">
        <f t="shared" si="37"/>
        <v/>
      </c>
      <c r="M231" s="290" t="str">
        <f t="shared" si="38"/>
        <v/>
      </c>
      <c r="N231" t="str">
        <f>IF($A231="","",IFERROR(INDEX(Prices[Category],MATCH($A231,Prices[Key],0)),"Uncategorized"))</f>
        <v/>
      </c>
      <c r="O231" s="291" t="str">
        <f t="shared" si="39"/>
        <v/>
      </c>
      <c r="P231" s="291" t="str">
        <f t="shared" si="40"/>
        <v/>
      </c>
    </row>
    <row r="232" spans="1:16" ht="15" customHeight="1" x14ac:dyDescent="0.2">
      <c r="A232" s="243" t="str">
        <f>IFERROR(INDEX('All Ticker P&amp;L'!$A$2:$A$1001,MATCH(ROWS($A$2:A232),'All Ticker P&amp;L'!$N$2:$N$1001,0)),"")</f>
        <v/>
      </c>
      <c r="B232" s="243" t="str">
        <f t="shared" si="32"/>
        <v/>
      </c>
      <c r="C232" s="243" t="str">
        <f t="shared" si="33"/>
        <v/>
      </c>
      <c r="D232" s="243" t="str">
        <f t="shared" si="34"/>
        <v/>
      </c>
      <c r="E232" s="265" t="str">
        <f>IF($A232="","",SUMIFS(Txn[Signed Units],Txn[Key],$A232))</f>
        <v/>
      </c>
      <c r="F232" s="287" t="str">
        <f>IF($A232="","",SUMIFS(Txn[Buy Cost],Txn[Key],$A232))</f>
        <v/>
      </c>
      <c r="G232" s="287" t="str">
        <f>IF($A232="","",SUMIFS(Txn[Sell Proceeds],Txn[Key],$A232))</f>
        <v/>
      </c>
      <c r="H232" s="288" t="str">
        <f>IF($A232="","",IFERROR(INDEX(Prices[Current Price],MATCH($A232,Prices[Key],0)),0))</f>
        <v/>
      </c>
      <c r="I232" s="289" t="str">
        <f>IF($A232="","",IFERROR(INDEX(Prices[FX to SGD],MATCH($A232,Prices[Key],0)),1))</f>
        <v/>
      </c>
      <c r="J232" s="287" t="str">
        <f t="shared" si="35"/>
        <v/>
      </c>
      <c r="K232" s="287" t="str">
        <f t="shared" si="36"/>
        <v/>
      </c>
      <c r="L232" s="287" t="str">
        <f t="shared" si="37"/>
        <v/>
      </c>
      <c r="M232" s="290" t="str">
        <f t="shared" si="38"/>
        <v/>
      </c>
      <c r="N232" t="str">
        <f>IF($A232="","",IFERROR(INDEX(Prices[Category],MATCH($A232,Prices[Key],0)),"Uncategorized"))</f>
        <v/>
      </c>
      <c r="O232" s="291" t="str">
        <f t="shared" si="39"/>
        <v/>
      </c>
      <c r="P232" s="291" t="str">
        <f t="shared" si="40"/>
        <v/>
      </c>
    </row>
    <row r="233" spans="1:16" ht="15" customHeight="1" x14ac:dyDescent="0.2">
      <c r="A233" s="243" t="str">
        <f>IFERROR(INDEX('All Ticker P&amp;L'!$A$2:$A$1001,MATCH(ROWS($A$2:A233),'All Ticker P&amp;L'!$N$2:$N$1001,0)),"")</f>
        <v/>
      </c>
      <c r="B233" s="243" t="str">
        <f t="shared" si="32"/>
        <v/>
      </c>
      <c r="C233" s="243" t="str">
        <f t="shared" si="33"/>
        <v/>
      </c>
      <c r="D233" s="243" t="str">
        <f t="shared" si="34"/>
        <v/>
      </c>
      <c r="E233" s="265" t="str">
        <f>IF($A233="","",SUMIFS(Txn[Signed Units],Txn[Key],$A233))</f>
        <v/>
      </c>
      <c r="F233" s="287" t="str">
        <f>IF($A233="","",SUMIFS(Txn[Buy Cost],Txn[Key],$A233))</f>
        <v/>
      </c>
      <c r="G233" s="287" t="str">
        <f>IF($A233="","",SUMIFS(Txn[Sell Proceeds],Txn[Key],$A233))</f>
        <v/>
      </c>
      <c r="H233" s="288" t="str">
        <f>IF($A233="","",IFERROR(INDEX(Prices[Current Price],MATCH($A233,Prices[Key],0)),0))</f>
        <v/>
      </c>
      <c r="I233" s="289" t="str">
        <f>IF($A233="","",IFERROR(INDEX(Prices[FX to SGD],MATCH($A233,Prices[Key],0)),1))</f>
        <v/>
      </c>
      <c r="J233" s="287" t="str">
        <f t="shared" si="35"/>
        <v/>
      </c>
      <c r="K233" s="287" t="str">
        <f t="shared" si="36"/>
        <v/>
      </c>
      <c r="L233" s="287" t="str">
        <f t="shared" si="37"/>
        <v/>
      </c>
      <c r="M233" s="290" t="str">
        <f t="shared" si="38"/>
        <v/>
      </c>
      <c r="N233" t="str">
        <f>IF($A233="","",IFERROR(INDEX(Prices[Category],MATCH($A233,Prices[Key],0)),"Uncategorized"))</f>
        <v/>
      </c>
      <c r="O233" s="291" t="str">
        <f t="shared" si="39"/>
        <v/>
      </c>
      <c r="P233" s="291" t="str">
        <f t="shared" si="40"/>
        <v/>
      </c>
    </row>
    <row r="234" spans="1:16" ht="15" customHeight="1" x14ac:dyDescent="0.2">
      <c r="A234" s="243" t="str">
        <f>IFERROR(INDEX('All Ticker P&amp;L'!$A$2:$A$1001,MATCH(ROWS($A$2:A234),'All Ticker P&amp;L'!$N$2:$N$1001,0)),"")</f>
        <v/>
      </c>
      <c r="B234" s="243" t="str">
        <f t="shared" si="32"/>
        <v/>
      </c>
      <c r="C234" s="243" t="str">
        <f t="shared" si="33"/>
        <v/>
      </c>
      <c r="D234" s="243" t="str">
        <f t="shared" si="34"/>
        <v/>
      </c>
      <c r="E234" s="265" t="str">
        <f>IF($A234="","",SUMIFS(Txn[Signed Units],Txn[Key],$A234))</f>
        <v/>
      </c>
      <c r="F234" s="287" t="str">
        <f>IF($A234="","",SUMIFS(Txn[Buy Cost],Txn[Key],$A234))</f>
        <v/>
      </c>
      <c r="G234" s="287" t="str">
        <f>IF($A234="","",SUMIFS(Txn[Sell Proceeds],Txn[Key],$A234))</f>
        <v/>
      </c>
      <c r="H234" s="288" t="str">
        <f>IF($A234="","",IFERROR(INDEX(Prices[Current Price],MATCH($A234,Prices[Key],0)),0))</f>
        <v/>
      </c>
      <c r="I234" s="289" t="str">
        <f>IF($A234="","",IFERROR(INDEX(Prices[FX to SGD],MATCH($A234,Prices[Key],0)),1))</f>
        <v/>
      </c>
      <c r="J234" s="287" t="str">
        <f t="shared" si="35"/>
        <v/>
      </c>
      <c r="K234" s="287" t="str">
        <f t="shared" si="36"/>
        <v/>
      </c>
      <c r="L234" s="287" t="str">
        <f t="shared" si="37"/>
        <v/>
      </c>
      <c r="M234" s="290" t="str">
        <f t="shared" si="38"/>
        <v/>
      </c>
      <c r="N234" t="str">
        <f>IF($A234="","",IFERROR(INDEX(Prices[Category],MATCH($A234,Prices[Key],0)),"Uncategorized"))</f>
        <v/>
      </c>
      <c r="O234" s="291" t="str">
        <f t="shared" si="39"/>
        <v/>
      </c>
      <c r="P234" s="291" t="str">
        <f t="shared" si="40"/>
        <v/>
      </c>
    </row>
    <row r="235" spans="1:16" ht="15" customHeight="1" x14ac:dyDescent="0.2">
      <c r="A235" s="243" t="str">
        <f>IFERROR(INDEX('All Ticker P&amp;L'!$A$2:$A$1001,MATCH(ROWS($A$2:A235),'All Ticker P&amp;L'!$N$2:$N$1001,0)),"")</f>
        <v/>
      </c>
      <c r="B235" s="243" t="str">
        <f t="shared" si="32"/>
        <v/>
      </c>
      <c r="C235" s="243" t="str">
        <f t="shared" si="33"/>
        <v/>
      </c>
      <c r="D235" s="243" t="str">
        <f t="shared" si="34"/>
        <v/>
      </c>
      <c r="E235" s="265" t="str">
        <f>IF($A235="","",SUMIFS(Txn[Signed Units],Txn[Key],$A235))</f>
        <v/>
      </c>
      <c r="F235" s="287" t="str">
        <f>IF($A235="","",SUMIFS(Txn[Buy Cost],Txn[Key],$A235))</f>
        <v/>
      </c>
      <c r="G235" s="287" t="str">
        <f>IF($A235="","",SUMIFS(Txn[Sell Proceeds],Txn[Key],$A235))</f>
        <v/>
      </c>
      <c r="H235" s="288" t="str">
        <f>IF($A235="","",IFERROR(INDEX(Prices[Current Price],MATCH($A235,Prices[Key],0)),0))</f>
        <v/>
      </c>
      <c r="I235" s="289" t="str">
        <f>IF($A235="","",IFERROR(INDEX(Prices[FX to SGD],MATCH($A235,Prices[Key],0)),1))</f>
        <v/>
      </c>
      <c r="J235" s="287" t="str">
        <f t="shared" si="35"/>
        <v/>
      </c>
      <c r="K235" s="287" t="str">
        <f t="shared" si="36"/>
        <v/>
      </c>
      <c r="L235" s="287" t="str">
        <f t="shared" si="37"/>
        <v/>
      </c>
      <c r="M235" s="290" t="str">
        <f t="shared" si="38"/>
        <v/>
      </c>
      <c r="N235" t="str">
        <f>IF($A235="","",IFERROR(INDEX(Prices[Category],MATCH($A235,Prices[Key],0)),"Uncategorized"))</f>
        <v/>
      </c>
      <c r="O235" s="291" t="str">
        <f t="shared" si="39"/>
        <v/>
      </c>
      <c r="P235" s="291" t="str">
        <f t="shared" si="40"/>
        <v/>
      </c>
    </row>
    <row r="236" spans="1:16" ht="15" customHeight="1" x14ac:dyDescent="0.2">
      <c r="A236" s="243" t="str">
        <f>IFERROR(INDEX('All Ticker P&amp;L'!$A$2:$A$1001,MATCH(ROWS($A$2:A236),'All Ticker P&amp;L'!$N$2:$N$1001,0)),"")</f>
        <v/>
      </c>
      <c r="B236" s="243" t="str">
        <f t="shared" si="32"/>
        <v/>
      </c>
      <c r="C236" s="243" t="str">
        <f t="shared" si="33"/>
        <v/>
      </c>
      <c r="D236" s="243" t="str">
        <f t="shared" si="34"/>
        <v/>
      </c>
      <c r="E236" s="265" t="str">
        <f>IF($A236="","",SUMIFS(Txn[Signed Units],Txn[Key],$A236))</f>
        <v/>
      </c>
      <c r="F236" s="287" t="str">
        <f>IF($A236="","",SUMIFS(Txn[Buy Cost],Txn[Key],$A236))</f>
        <v/>
      </c>
      <c r="G236" s="287" t="str">
        <f>IF($A236="","",SUMIFS(Txn[Sell Proceeds],Txn[Key],$A236))</f>
        <v/>
      </c>
      <c r="H236" s="288" t="str">
        <f>IF($A236="","",IFERROR(INDEX(Prices[Current Price],MATCH($A236,Prices[Key],0)),0))</f>
        <v/>
      </c>
      <c r="I236" s="289" t="str">
        <f>IF($A236="","",IFERROR(INDEX(Prices[FX to SGD],MATCH($A236,Prices[Key],0)),1))</f>
        <v/>
      </c>
      <c r="J236" s="287" t="str">
        <f t="shared" si="35"/>
        <v/>
      </c>
      <c r="K236" s="287" t="str">
        <f t="shared" si="36"/>
        <v/>
      </c>
      <c r="L236" s="287" t="str">
        <f t="shared" si="37"/>
        <v/>
      </c>
      <c r="M236" s="290" t="str">
        <f t="shared" si="38"/>
        <v/>
      </c>
      <c r="N236" t="str">
        <f>IF($A236="","",IFERROR(INDEX(Prices[Category],MATCH($A236,Prices[Key],0)),"Uncategorized"))</f>
        <v/>
      </c>
      <c r="O236" s="291" t="str">
        <f t="shared" si="39"/>
        <v/>
      </c>
      <c r="P236" s="291" t="str">
        <f t="shared" si="40"/>
        <v/>
      </c>
    </row>
    <row r="237" spans="1:16" ht="15" customHeight="1" x14ac:dyDescent="0.2">
      <c r="A237" s="243" t="str">
        <f>IFERROR(INDEX('All Ticker P&amp;L'!$A$2:$A$1001,MATCH(ROWS($A$2:A237),'All Ticker P&amp;L'!$N$2:$N$1001,0)),"")</f>
        <v/>
      </c>
      <c r="B237" s="243" t="str">
        <f t="shared" si="32"/>
        <v/>
      </c>
      <c r="C237" s="243" t="str">
        <f t="shared" si="33"/>
        <v/>
      </c>
      <c r="D237" s="243" t="str">
        <f t="shared" si="34"/>
        <v/>
      </c>
      <c r="E237" s="265" t="str">
        <f>IF($A237="","",SUMIFS(Txn[Signed Units],Txn[Key],$A237))</f>
        <v/>
      </c>
      <c r="F237" s="287" t="str">
        <f>IF($A237="","",SUMIFS(Txn[Buy Cost],Txn[Key],$A237))</f>
        <v/>
      </c>
      <c r="G237" s="287" t="str">
        <f>IF($A237="","",SUMIFS(Txn[Sell Proceeds],Txn[Key],$A237))</f>
        <v/>
      </c>
      <c r="H237" s="288" t="str">
        <f>IF($A237="","",IFERROR(INDEX(Prices[Current Price],MATCH($A237,Prices[Key],0)),0))</f>
        <v/>
      </c>
      <c r="I237" s="289" t="str">
        <f>IF($A237="","",IFERROR(INDEX(Prices[FX to SGD],MATCH($A237,Prices[Key],0)),1))</f>
        <v/>
      </c>
      <c r="J237" s="287" t="str">
        <f t="shared" si="35"/>
        <v/>
      </c>
      <c r="K237" s="287" t="str">
        <f t="shared" si="36"/>
        <v/>
      </c>
      <c r="L237" s="287" t="str">
        <f t="shared" si="37"/>
        <v/>
      </c>
      <c r="M237" s="290" t="str">
        <f t="shared" si="38"/>
        <v/>
      </c>
      <c r="N237" t="str">
        <f>IF($A237="","",IFERROR(INDEX(Prices[Category],MATCH($A237,Prices[Key],0)),"Uncategorized"))</f>
        <v/>
      </c>
      <c r="O237" s="291" t="str">
        <f t="shared" si="39"/>
        <v/>
      </c>
      <c r="P237" s="291" t="str">
        <f t="shared" si="40"/>
        <v/>
      </c>
    </row>
    <row r="238" spans="1:16" ht="15" customHeight="1" x14ac:dyDescent="0.2">
      <c r="A238" s="243" t="str">
        <f>IFERROR(INDEX('All Ticker P&amp;L'!$A$2:$A$1001,MATCH(ROWS($A$2:A238),'All Ticker P&amp;L'!$N$2:$N$1001,0)),"")</f>
        <v/>
      </c>
      <c r="B238" s="243" t="str">
        <f t="shared" si="32"/>
        <v/>
      </c>
      <c r="C238" s="243" t="str">
        <f t="shared" si="33"/>
        <v/>
      </c>
      <c r="D238" s="243" t="str">
        <f t="shared" si="34"/>
        <v/>
      </c>
      <c r="E238" s="265" t="str">
        <f>IF($A238="","",SUMIFS(Txn[Signed Units],Txn[Key],$A238))</f>
        <v/>
      </c>
      <c r="F238" s="287" t="str">
        <f>IF($A238="","",SUMIFS(Txn[Buy Cost],Txn[Key],$A238))</f>
        <v/>
      </c>
      <c r="G238" s="287" t="str">
        <f>IF($A238="","",SUMIFS(Txn[Sell Proceeds],Txn[Key],$A238))</f>
        <v/>
      </c>
      <c r="H238" s="288" t="str">
        <f>IF($A238="","",IFERROR(INDEX(Prices[Current Price],MATCH($A238,Prices[Key],0)),0))</f>
        <v/>
      </c>
      <c r="I238" s="289" t="str">
        <f>IF($A238="","",IFERROR(INDEX(Prices[FX to SGD],MATCH($A238,Prices[Key],0)),1))</f>
        <v/>
      </c>
      <c r="J238" s="287" t="str">
        <f t="shared" si="35"/>
        <v/>
      </c>
      <c r="K238" s="287" t="str">
        <f t="shared" si="36"/>
        <v/>
      </c>
      <c r="L238" s="287" t="str">
        <f t="shared" si="37"/>
        <v/>
      </c>
      <c r="M238" s="290" t="str">
        <f t="shared" si="38"/>
        <v/>
      </c>
      <c r="N238" t="str">
        <f>IF($A238="","",IFERROR(INDEX(Prices[Category],MATCH($A238,Prices[Key],0)),"Uncategorized"))</f>
        <v/>
      </c>
      <c r="O238" s="291" t="str">
        <f t="shared" si="39"/>
        <v/>
      </c>
      <c r="P238" s="291" t="str">
        <f t="shared" si="40"/>
        <v/>
      </c>
    </row>
    <row r="239" spans="1:16" ht="15" customHeight="1" x14ac:dyDescent="0.2">
      <c r="A239" s="243" t="str">
        <f>IFERROR(INDEX('All Ticker P&amp;L'!$A$2:$A$1001,MATCH(ROWS($A$2:A239),'All Ticker P&amp;L'!$N$2:$N$1001,0)),"")</f>
        <v/>
      </c>
      <c r="B239" s="243" t="str">
        <f t="shared" si="32"/>
        <v/>
      </c>
      <c r="C239" s="243" t="str">
        <f t="shared" si="33"/>
        <v/>
      </c>
      <c r="D239" s="243" t="str">
        <f t="shared" si="34"/>
        <v/>
      </c>
      <c r="E239" s="265" t="str">
        <f>IF($A239="","",SUMIFS(Txn[Signed Units],Txn[Key],$A239))</f>
        <v/>
      </c>
      <c r="F239" s="287" t="str">
        <f>IF($A239="","",SUMIFS(Txn[Buy Cost],Txn[Key],$A239))</f>
        <v/>
      </c>
      <c r="G239" s="287" t="str">
        <f>IF($A239="","",SUMIFS(Txn[Sell Proceeds],Txn[Key],$A239))</f>
        <v/>
      </c>
      <c r="H239" s="288" t="str">
        <f>IF($A239="","",IFERROR(INDEX(Prices[Current Price],MATCH($A239,Prices[Key],0)),0))</f>
        <v/>
      </c>
      <c r="I239" s="289" t="str">
        <f>IF($A239="","",IFERROR(INDEX(Prices[FX to SGD],MATCH($A239,Prices[Key],0)),1))</f>
        <v/>
      </c>
      <c r="J239" s="287" t="str">
        <f t="shared" si="35"/>
        <v/>
      </c>
      <c r="K239" s="287" t="str">
        <f t="shared" si="36"/>
        <v/>
      </c>
      <c r="L239" s="287" t="str">
        <f t="shared" si="37"/>
        <v/>
      </c>
      <c r="M239" s="290" t="str">
        <f t="shared" si="38"/>
        <v/>
      </c>
      <c r="N239" t="str">
        <f>IF($A239="","",IFERROR(INDEX(Prices[Category],MATCH($A239,Prices[Key],0)),"Uncategorized"))</f>
        <v/>
      </c>
      <c r="O239" s="291" t="str">
        <f t="shared" si="39"/>
        <v/>
      </c>
      <c r="P239" s="291" t="str">
        <f t="shared" si="40"/>
        <v/>
      </c>
    </row>
    <row r="240" spans="1:16" ht="15" customHeight="1" x14ac:dyDescent="0.2">
      <c r="A240" s="243" t="str">
        <f>IFERROR(INDEX('All Ticker P&amp;L'!$A$2:$A$1001,MATCH(ROWS($A$2:A240),'All Ticker P&amp;L'!$N$2:$N$1001,0)),"")</f>
        <v/>
      </c>
      <c r="B240" s="243" t="str">
        <f t="shared" si="32"/>
        <v/>
      </c>
      <c r="C240" s="243" t="str">
        <f t="shared" si="33"/>
        <v/>
      </c>
      <c r="D240" s="243" t="str">
        <f t="shared" si="34"/>
        <v/>
      </c>
      <c r="E240" s="265" t="str">
        <f>IF($A240="","",SUMIFS(Txn[Signed Units],Txn[Key],$A240))</f>
        <v/>
      </c>
      <c r="F240" s="287" t="str">
        <f>IF($A240="","",SUMIFS(Txn[Buy Cost],Txn[Key],$A240))</f>
        <v/>
      </c>
      <c r="G240" s="287" t="str">
        <f>IF($A240="","",SUMIFS(Txn[Sell Proceeds],Txn[Key],$A240))</f>
        <v/>
      </c>
      <c r="H240" s="288" t="str">
        <f>IF($A240="","",IFERROR(INDEX(Prices[Current Price],MATCH($A240,Prices[Key],0)),0))</f>
        <v/>
      </c>
      <c r="I240" s="289" t="str">
        <f>IF($A240="","",IFERROR(INDEX(Prices[FX to SGD],MATCH($A240,Prices[Key],0)),1))</f>
        <v/>
      </c>
      <c r="J240" s="287" t="str">
        <f t="shared" si="35"/>
        <v/>
      </c>
      <c r="K240" s="287" t="str">
        <f t="shared" si="36"/>
        <v/>
      </c>
      <c r="L240" s="287" t="str">
        <f t="shared" si="37"/>
        <v/>
      </c>
      <c r="M240" s="290" t="str">
        <f t="shared" si="38"/>
        <v/>
      </c>
      <c r="N240" t="str">
        <f>IF($A240="","",IFERROR(INDEX(Prices[Category],MATCH($A240,Prices[Key],0)),"Uncategorized"))</f>
        <v/>
      </c>
      <c r="O240" s="291" t="str">
        <f t="shared" si="39"/>
        <v/>
      </c>
      <c r="P240" s="291" t="str">
        <f t="shared" si="40"/>
        <v/>
      </c>
    </row>
    <row r="241" spans="1:16" ht="15" customHeight="1" x14ac:dyDescent="0.2">
      <c r="A241" s="243" t="str">
        <f>IFERROR(INDEX('All Ticker P&amp;L'!$A$2:$A$1001,MATCH(ROWS($A$2:A241),'All Ticker P&amp;L'!$N$2:$N$1001,0)),"")</f>
        <v/>
      </c>
      <c r="B241" s="243" t="str">
        <f t="shared" si="32"/>
        <v/>
      </c>
      <c r="C241" s="243" t="str">
        <f t="shared" si="33"/>
        <v/>
      </c>
      <c r="D241" s="243" t="str">
        <f t="shared" si="34"/>
        <v/>
      </c>
      <c r="E241" s="265" t="str">
        <f>IF($A241="","",SUMIFS(Txn[Signed Units],Txn[Key],$A241))</f>
        <v/>
      </c>
      <c r="F241" s="287" t="str">
        <f>IF($A241="","",SUMIFS(Txn[Buy Cost],Txn[Key],$A241))</f>
        <v/>
      </c>
      <c r="G241" s="287" t="str">
        <f>IF($A241="","",SUMIFS(Txn[Sell Proceeds],Txn[Key],$A241))</f>
        <v/>
      </c>
      <c r="H241" s="288" t="str">
        <f>IF($A241="","",IFERROR(INDEX(Prices[Current Price],MATCH($A241,Prices[Key],0)),0))</f>
        <v/>
      </c>
      <c r="I241" s="289" t="str">
        <f>IF($A241="","",IFERROR(INDEX(Prices[FX to SGD],MATCH($A241,Prices[Key],0)),1))</f>
        <v/>
      </c>
      <c r="J241" s="287" t="str">
        <f t="shared" si="35"/>
        <v/>
      </c>
      <c r="K241" s="287" t="str">
        <f t="shared" si="36"/>
        <v/>
      </c>
      <c r="L241" s="287" t="str">
        <f t="shared" si="37"/>
        <v/>
      </c>
      <c r="M241" s="290" t="str">
        <f t="shared" si="38"/>
        <v/>
      </c>
      <c r="N241" t="str">
        <f>IF($A241="","",IFERROR(INDEX(Prices[Category],MATCH($A241,Prices[Key],0)),"Uncategorized"))</f>
        <v/>
      </c>
      <c r="O241" s="291" t="str">
        <f t="shared" si="39"/>
        <v/>
      </c>
      <c r="P241" s="291" t="str">
        <f t="shared" si="40"/>
        <v/>
      </c>
    </row>
    <row r="242" spans="1:16" ht="15" customHeight="1" x14ac:dyDescent="0.2">
      <c r="A242" s="243" t="str">
        <f>IFERROR(INDEX('All Ticker P&amp;L'!$A$2:$A$1001,MATCH(ROWS($A$2:A242),'All Ticker P&amp;L'!$N$2:$N$1001,0)),"")</f>
        <v/>
      </c>
      <c r="B242" s="243" t="str">
        <f t="shared" si="32"/>
        <v/>
      </c>
      <c r="C242" s="243" t="str">
        <f t="shared" si="33"/>
        <v/>
      </c>
      <c r="D242" s="243" t="str">
        <f t="shared" si="34"/>
        <v/>
      </c>
      <c r="E242" s="265" t="str">
        <f>IF($A242="","",SUMIFS(Txn[Signed Units],Txn[Key],$A242))</f>
        <v/>
      </c>
      <c r="F242" s="287" t="str">
        <f>IF($A242="","",SUMIFS(Txn[Buy Cost],Txn[Key],$A242))</f>
        <v/>
      </c>
      <c r="G242" s="287" t="str">
        <f>IF($A242="","",SUMIFS(Txn[Sell Proceeds],Txn[Key],$A242))</f>
        <v/>
      </c>
      <c r="H242" s="288" t="str">
        <f>IF($A242="","",IFERROR(INDEX(Prices[Current Price],MATCH($A242,Prices[Key],0)),0))</f>
        <v/>
      </c>
      <c r="I242" s="289" t="str">
        <f>IF($A242="","",IFERROR(INDEX(Prices[FX to SGD],MATCH($A242,Prices[Key],0)),1))</f>
        <v/>
      </c>
      <c r="J242" s="287" t="str">
        <f t="shared" si="35"/>
        <v/>
      </c>
      <c r="K242" s="287" t="str">
        <f t="shared" si="36"/>
        <v/>
      </c>
      <c r="L242" s="287" t="str">
        <f t="shared" si="37"/>
        <v/>
      </c>
      <c r="M242" s="290" t="str">
        <f t="shared" si="38"/>
        <v/>
      </c>
      <c r="N242" t="str">
        <f>IF($A242="","",IFERROR(INDEX(Prices[Category],MATCH($A242,Prices[Key],0)),"Uncategorized"))</f>
        <v/>
      </c>
      <c r="O242" s="291" t="str">
        <f t="shared" si="39"/>
        <v/>
      </c>
      <c r="P242" s="291" t="str">
        <f t="shared" si="40"/>
        <v/>
      </c>
    </row>
    <row r="243" spans="1:16" ht="15" customHeight="1" x14ac:dyDescent="0.2">
      <c r="A243" s="243" t="str">
        <f>IFERROR(INDEX('All Ticker P&amp;L'!$A$2:$A$1001,MATCH(ROWS($A$2:A243),'All Ticker P&amp;L'!$N$2:$N$1001,0)),"")</f>
        <v/>
      </c>
      <c r="B243" s="243" t="str">
        <f t="shared" si="32"/>
        <v/>
      </c>
      <c r="C243" s="243" t="str">
        <f t="shared" si="33"/>
        <v/>
      </c>
      <c r="D243" s="243" t="str">
        <f t="shared" si="34"/>
        <v/>
      </c>
      <c r="E243" s="265" t="str">
        <f>IF($A243="","",SUMIFS(Txn[Signed Units],Txn[Key],$A243))</f>
        <v/>
      </c>
      <c r="F243" s="287" t="str">
        <f>IF($A243="","",SUMIFS(Txn[Buy Cost],Txn[Key],$A243))</f>
        <v/>
      </c>
      <c r="G243" s="287" t="str">
        <f>IF($A243="","",SUMIFS(Txn[Sell Proceeds],Txn[Key],$A243))</f>
        <v/>
      </c>
      <c r="H243" s="288" t="str">
        <f>IF($A243="","",IFERROR(INDEX(Prices[Current Price],MATCH($A243,Prices[Key],0)),0))</f>
        <v/>
      </c>
      <c r="I243" s="289" t="str">
        <f>IF($A243="","",IFERROR(INDEX(Prices[FX to SGD],MATCH($A243,Prices[Key],0)),1))</f>
        <v/>
      </c>
      <c r="J243" s="287" t="str">
        <f t="shared" si="35"/>
        <v/>
      </c>
      <c r="K243" s="287" t="str">
        <f t="shared" si="36"/>
        <v/>
      </c>
      <c r="L243" s="287" t="str">
        <f t="shared" si="37"/>
        <v/>
      </c>
      <c r="M243" s="290" t="str">
        <f t="shared" si="38"/>
        <v/>
      </c>
      <c r="N243" t="str">
        <f>IF($A243="","",IFERROR(INDEX(Prices[Category],MATCH($A243,Prices[Key],0)),"Uncategorized"))</f>
        <v/>
      </c>
      <c r="O243" s="291" t="str">
        <f t="shared" si="39"/>
        <v/>
      </c>
      <c r="P243" s="291" t="str">
        <f t="shared" si="40"/>
        <v/>
      </c>
    </row>
    <row r="244" spans="1:16" ht="15" customHeight="1" x14ac:dyDescent="0.2">
      <c r="A244" s="243" t="str">
        <f>IFERROR(INDEX('All Ticker P&amp;L'!$A$2:$A$1001,MATCH(ROWS($A$2:A244),'All Ticker P&amp;L'!$N$2:$N$1001,0)),"")</f>
        <v/>
      </c>
      <c r="B244" s="243" t="str">
        <f t="shared" si="32"/>
        <v/>
      </c>
      <c r="C244" s="243" t="str">
        <f t="shared" si="33"/>
        <v/>
      </c>
      <c r="D244" s="243" t="str">
        <f t="shared" si="34"/>
        <v/>
      </c>
      <c r="E244" s="265" t="str">
        <f>IF($A244="","",SUMIFS(Txn[Signed Units],Txn[Key],$A244))</f>
        <v/>
      </c>
      <c r="F244" s="287" t="str">
        <f>IF($A244="","",SUMIFS(Txn[Buy Cost],Txn[Key],$A244))</f>
        <v/>
      </c>
      <c r="G244" s="287" t="str">
        <f>IF($A244="","",SUMIFS(Txn[Sell Proceeds],Txn[Key],$A244))</f>
        <v/>
      </c>
      <c r="H244" s="288" t="str">
        <f>IF($A244="","",IFERROR(INDEX(Prices[Current Price],MATCH($A244,Prices[Key],0)),0))</f>
        <v/>
      </c>
      <c r="I244" s="289" t="str">
        <f>IF($A244="","",IFERROR(INDEX(Prices[FX to SGD],MATCH($A244,Prices[Key],0)),1))</f>
        <v/>
      </c>
      <c r="J244" s="287" t="str">
        <f t="shared" si="35"/>
        <v/>
      </c>
      <c r="K244" s="287" t="str">
        <f t="shared" si="36"/>
        <v/>
      </c>
      <c r="L244" s="287" t="str">
        <f t="shared" si="37"/>
        <v/>
      </c>
      <c r="M244" s="290" t="str">
        <f t="shared" si="38"/>
        <v/>
      </c>
      <c r="N244" t="str">
        <f>IF($A244="","",IFERROR(INDEX(Prices[Category],MATCH($A244,Prices[Key],0)),"Uncategorized"))</f>
        <v/>
      </c>
      <c r="O244" s="291" t="str">
        <f t="shared" si="39"/>
        <v/>
      </c>
      <c r="P244" s="291" t="str">
        <f t="shared" si="40"/>
        <v/>
      </c>
    </row>
    <row r="245" spans="1:16" ht="15" customHeight="1" x14ac:dyDescent="0.2">
      <c r="A245" s="243" t="str">
        <f>IFERROR(INDEX('All Ticker P&amp;L'!$A$2:$A$1001,MATCH(ROWS($A$2:A245),'All Ticker P&amp;L'!$N$2:$N$1001,0)),"")</f>
        <v/>
      </c>
      <c r="B245" s="243" t="str">
        <f t="shared" si="32"/>
        <v/>
      </c>
      <c r="C245" s="243" t="str">
        <f t="shared" si="33"/>
        <v/>
      </c>
      <c r="D245" s="243" t="str">
        <f t="shared" si="34"/>
        <v/>
      </c>
      <c r="E245" s="265" t="str">
        <f>IF($A245="","",SUMIFS(Txn[Signed Units],Txn[Key],$A245))</f>
        <v/>
      </c>
      <c r="F245" s="287" t="str">
        <f>IF($A245="","",SUMIFS(Txn[Buy Cost],Txn[Key],$A245))</f>
        <v/>
      </c>
      <c r="G245" s="287" t="str">
        <f>IF($A245="","",SUMIFS(Txn[Sell Proceeds],Txn[Key],$A245))</f>
        <v/>
      </c>
      <c r="H245" s="288" t="str">
        <f>IF($A245="","",IFERROR(INDEX(Prices[Current Price],MATCH($A245,Prices[Key],0)),0))</f>
        <v/>
      </c>
      <c r="I245" s="289" t="str">
        <f>IF($A245="","",IFERROR(INDEX(Prices[FX to SGD],MATCH($A245,Prices[Key],0)),1))</f>
        <v/>
      </c>
      <c r="J245" s="287" t="str">
        <f t="shared" si="35"/>
        <v/>
      </c>
      <c r="K245" s="287" t="str">
        <f t="shared" si="36"/>
        <v/>
      </c>
      <c r="L245" s="287" t="str">
        <f t="shared" si="37"/>
        <v/>
      </c>
      <c r="M245" s="290" t="str">
        <f t="shared" si="38"/>
        <v/>
      </c>
      <c r="N245" t="str">
        <f>IF($A245="","",IFERROR(INDEX(Prices[Category],MATCH($A245,Prices[Key],0)),"Uncategorized"))</f>
        <v/>
      </c>
      <c r="O245" s="291" t="str">
        <f t="shared" si="39"/>
        <v/>
      </c>
      <c r="P245" s="291" t="str">
        <f t="shared" si="40"/>
        <v/>
      </c>
    </row>
    <row r="246" spans="1:16" ht="15" customHeight="1" x14ac:dyDescent="0.2">
      <c r="A246" s="243" t="str">
        <f>IFERROR(INDEX('All Ticker P&amp;L'!$A$2:$A$1001,MATCH(ROWS($A$2:A246),'All Ticker P&amp;L'!$N$2:$N$1001,0)),"")</f>
        <v/>
      </c>
      <c r="B246" s="243" t="str">
        <f t="shared" si="32"/>
        <v/>
      </c>
      <c r="C246" s="243" t="str">
        <f t="shared" si="33"/>
        <v/>
      </c>
      <c r="D246" s="243" t="str">
        <f t="shared" si="34"/>
        <v/>
      </c>
      <c r="E246" s="265" t="str">
        <f>IF($A246="","",SUMIFS(Txn[Signed Units],Txn[Key],$A246))</f>
        <v/>
      </c>
      <c r="F246" s="287" t="str">
        <f>IF($A246="","",SUMIFS(Txn[Buy Cost],Txn[Key],$A246))</f>
        <v/>
      </c>
      <c r="G246" s="287" t="str">
        <f>IF($A246="","",SUMIFS(Txn[Sell Proceeds],Txn[Key],$A246))</f>
        <v/>
      </c>
      <c r="H246" s="288" t="str">
        <f>IF($A246="","",IFERROR(INDEX(Prices[Current Price],MATCH($A246,Prices[Key],0)),0))</f>
        <v/>
      </c>
      <c r="I246" s="289" t="str">
        <f>IF($A246="","",IFERROR(INDEX(Prices[FX to SGD],MATCH($A246,Prices[Key],0)),1))</f>
        <v/>
      </c>
      <c r="J246" s="287" t="str">
        <f t="shared" si="35"/>
        <v/>
      </c>
      <c r="K246" s="287" t="str">
        <f t="shared" si="36"/>
        <v/>
      </c>
      <c r="L246" s="287" t="str">
        <f t="shared" si="37"/>
        <v/>
      </c>
      <c r="M246" s="290" t="str">
        <f t="shared" si="38"/>
        <v/>
      </c>
      <c r="N246" t="str">
        <f>IF($A246="","",IFERROR(INDEX(Prices[Category],MATCH($A246,Prices[Key],0)),"Uncategorized"))</f>
        <v/>
      </c>
      <c r="O246" s="291" t="str">
        <f t="shared" si="39"/>
        <v/>
      </c>
      <c r="P246" s="291" t="str">
        <f t="shared" si="40"/>
        <v/>
      </c>
    </row>
    <row r="247" spans="1:16" ht="15" customHeight="1" x14ac:dyDescent="0.2">
      <c r="A247" s="243" t="str">
        <f>IFERROR(INDEX('All Ticker P&amp;L'!$A$2:$A$1001,MATCH(ROWS($A$2:A247),'All Ticker P&amp;L'!$N$2:$N$1001,0)),"")</f>
        <v/>
      </c>
      <c r="B247" s="243" t="str">
        <f t="shared" si="32"/>
        <v/>
      </c>
      <c r="C247" s="243" t="str">
        <f t="shared" si="33"/>
        <v/>
      </c>
      <c r="D247" s="243" t="str">
        <f t="shared" si="34"/>
        <v/>
      </c>
      <c r="E247" s="265" t="str">
        <f>IF($A247="","",SUMIFS(Txn[Signed Units],Txn[Key],$A247))</f>
        <v/>
      </c>
      <c r="F247" s="287" t="str">
        <f>IF($A247="","",SUMIFS(Txn[Buy Cost],Txn[Key],$A247))</f>
        <v/>
      </c>
      <c r="G247" s="287" t="str">
        <f>IF($A247="","",SUMIFS(Txn[Sell Proceeds],Txn[Key],$A247))</f>
        <v/>
      </c>
      <c r="H247" s="288" t="str">
        <f>IF($A247="","",IFERROR(INDEX(Prices[Current Price],MATCH($A247,Prices[Key],0)),0))</f>
        <v/>
      </c>
      <c r="I247" s="289" t="str">
        <f>IF($A247="","",IFERROR(INDEX(Prices[FX to SGD],MATCH($A247,Prices[Key],0)),1))</f>
        <v/>
      </c>
      <c r="J247" s="287" t="str">
        <f t="shared" si="35"/>
        <v/>
      </c>
      <c r="K247" s="287" t="str">
        <f t="shared" si="36"/>
        <v/>
      </c>
      <c r="L247" s="287" t="str">
        <f t="shared" si="37"/>
        <v/>
      </c>
      <c r="M247" s="290" t="str">
        <f t="shared" si="38"/>
        <v/>
      </c>
      <c r="N247" t="str">
        <f>IF($A247="","",IFERROR(INDEX(Prices[Category],MATCH($A247,Prices[Key],0)),"Uncategorized"))</f>
        <v/>
      </c>
      <c r="O247" s="291" t="str">
        <f t="shared" si="39"/>
        <v/>
      </c>
      <c r="P247" s="291" t="str">
        <f t="shared" si="40"/>
        <v/>
      </c>
    </row>
    <row r="248" spans="1:16" ht="15" customHeight="1" x14ac:dyDescent="0.2">
      <c r="A248" s="243" t="str">
        <f>IFERROR(INDEX('All Ticker P&amp;L'!$A$2:$A$1001,MATCH(ROWS($A$2:A248),'All Ticker P&amp;L'!$N$2:$N$1001,0)),"")</f>
        <v/>
      </c>
      <c r="B248" s="243" t="str">
        <f t="shared" si="32"/>
        <v/>
      </c>
      <c r="C248" s="243" t="str">
        <f t="shared" si="33"/>
        <v/>
      </c>
      <c r="D248" s="243" t="str">
        <f t="shared" si="34"/>
        <v/>
      </c>
      <c r="E248" s="265" t="str">
        <f>IF($A248="","",SUMIFS(Txn[Signed Units],Txn[Key],$A248))</f>
        <v/>
      </c>
      <c r="F248" s="287" t="str">
        <f>IF($A248="","",SUMIFS(Txn[Buy Cost],Txn[Key],$A248))</f>
        <v/>
      </c>
      <c r="G248" s="287" t="str">
        <f>IF($A248="","",SUMIFS(Txn[Sell Proceeds],Txn[Key],$A248))</f>
        <v/>
      </c>
      <c r="H248" s="288" t="str">
        <f>IF($A248="","",IFERROR(INDEX(Prices[Current Price],MATCH($A248,Prices[Key],0)),0))</f>
        <v/>
      </c>
      <c r="I248" s="289" t="str">
        <f>IF($A248="","",IFERROR(INDEX(Prices[FX to SGD],MATCH($A248,Prices[Key],0)),1))</f>
        <v/>
      </c>
      <c r="J248" s="287" t="str">
        <f t="shared" si="35"/>
        <v/>
      </c>
      <c r="K248" s="287" t="str">
        <f t="shared" si="36"/>
        <v/>
      </c>
      <c r="L248" s="287" t="str">
        <f t="shared" si="37"/>
        <v/>
      </c>
      <c r="M248" s="290" t="str">
        <f t="shared" si="38"/>
        <v/>
      </c>
      <c r="N248" t="str">
        <f>IF($A248="","",IFERROR(INDEX(Prices[Category],MATCH($A248,Prices[Key],0)),"Uncategorized"))</f>
        <v/>
      </c>
      <c r="O248" s="291" t="str">
        <f t="shared" si="39"/>
        <v/>
      </c>
      <c r="P248" s="291" t="str">
        <f t="shared" si="40"/>
        <v/>
      </c>
    </row>
    <row r="249" spans="1:16" ht="15" customHeight="1" x14ac:dyDescent="0.2">
      <c r="A249" s="243" t="str">
        <f>IFERROR(INDEX('All Ticker P&amp;L'!$A$2:$A$1001,MATCH(ROWS($A$2:A249),'All Ticker P&amp;L'!$N$2:$N$1001,0)),"")</f>
        <v/>
      </c>
      <c r="B249" s="243" t="str">
        <f t="shared" si="32"/>
        <v/>
      </c>
      <c r="C249" s="243" t="str">
        <f t="shared" si="33"/>
        <v/>
      </c>
      <c r="D249" s="243" t="str">
        <f t="shared" si="34"/>
        <v/>
      </c>
      <c r="E249" s="265" t="str">
        <f>IF($A249="","",SUMIFS(Txn[Signed Units],Txn[Key],$A249))</f>
        <v/>
      </c>
      <c r="F249" s="287" t="str">
        <f>IF($A249="","",SUMIFS(Txn[Buy Cost],Txn[Key],$A249))</f>
        <v/>
      </c>
      <c r="G249" s="287" t="str">
        <f>IF($A249="","",SUMIFS(Txn[Sell Proceeds],Txn[Key],$A249))</f>
        <v/>
      </c>
      <c r="H249" s="288" t="str">
        <f>IF($A249="","",IFERROR(INDEX(Prices[Current Price],MATCH($A249,Prices[Key],0)),0))</f>
        <v/>
      </c>
      <c r="I249" s="289" t="str">
        <f>IF($A249="","",IFERROR(INDEX(Prices[FX to SGD],MATCH($A249,Prices[Key],0)),1))</f>
        <v/>
      </c>
      <c r="J249" s="287" t="str">
        <f t="shared" si="35"/>
        <v/>
      </c>
      <c r="K249" s="287" t="str">
        <f t="shared" si="36"/>
        <v/>
      </c>
      <c r="L249" s="287" t="str">
        <f t="shared" si="37"/>
        <v/>
      </c>
      <c r="M249" s="290" t="str">
        <f t="shared" si="38"/>
        <v/>
      </c>
      <c r="N249" t="str">
        <f>IF($A249="","",IFERROR(INDEX(Prices[Category],MATCH($A249,Prices[Key],0)),"Uncategorized"))</f>
        <v/>
      </c>
      <c r="O249" s="291" t="str">
        <f t="shared" si="39"/>
        <v/>
      </c>
      <c r="P249" s="291" t="str">
        <f t="shared" si="40"/>
        <v/>
      </c>
    </row>
    <row r="250" spans="1:16" ht="15" customHeight="1" x14ac:dyDescent="0.2">
      <c r="A250" s="243" t="str">
        <f>IFERROR(INDEX('All Ticker P&amp;L'!$A$2:$A$1001,MATCH(ROWS($A$2:A250),'All Ticker P&amp;L'!$N$2:$N$1001,0)),"")</f>
        <v/>
      </c>
      <c r="B250" s="243" t="str">
        <f t="shared" si="32"/>
        <v/>
      </c>
      <c r="C250" s="243" t="str">
        <f t="shared" si="33"/>
        <v/>
      </c>
      <c r="D250" s="243" t="str">
        <f t="shared" si="34"/>
        <v/>
      </c>
      <c r="E250" s="265" t="str">
        <f>IF($A250="","",SUMIFS(Txn[Signed Units],Txn[Key],$A250))</f>
        <v/>
      </c>
      <c r="F250" s="287" t="str">
        <f>IF($A250="","",SUMIFS(Txn[Buy Cost],Txn[Key],$A250))</f>
        <v/>
      </c>
      <c r="G250" s="287" t="str">
        <f>IF($A250="","",SUMIFS(Txn[Sell Proceeds],Txn[Key],$A250))</f>
        <v/>
      </c>
      <c r="H250" s="288" t="str">
        <f>IF($A250="","",IFERROR(INDEX(Prices[Current Price],MATCH($A250,Prices[Key],0)),0))</f>
        <v/>
      </c>
      <c r="I250" s="289" t="str">
        <f>IF($A250="","",IFERROR(INDEX(Prices[FX to SGD],MATCH($A250,Prices[Key],0)),1))</f>
        <v/>
      </c>
      <c r="J250" s="287" t="str">
        <f t="shared" si="35"/>
        <v/>
      </c>
      <c r="K250" s="287" t="str">
        <f t="shared" si="36"/>
        <v/>
      </c>
      <c r="L250" s="287" t="str">
        <f t="shared" si="37"/>
        <v/>
      </c>
      <c r="M250" s="290" t="str">
        <f t="shared" si="38"/>
        <v/>
      </c>
      <c r="N250" t="str">
        <f>IF($A250="","",IFERROR(INDEX(Prices[Category],MATCH($A250,Prices[Key],0)),"Uncategorized"))</f>
        <v/>
      </c>
      <c r="O250" s="291" t="str">
        <f t="shared" si="39"/>
        <v/>
      </c>
      <c r="P250" s="291" t="str">
        <f t="shared" si="40"/>
        <v/>
      </c>
    </row>
    <row r="251" spans="1:16" ht="15" customHeight="1" x14ac:dyDescent="0.2">
      <c r="A251" s="243" t="str">
        <f>IFERROR(INDEX('All Ticker P&amp;L'!$A$2:$A$1001,MATCH(ROWS($A$2:A251),'All Ticker P&amp;L'!$N$2:$N$1001,0)),"")</f>
        <v/>
      </c>
      <c r="B251" s="243" t="str">
        <f t="shared" si="32"/>
        <v/>
      </c>
      <c r="C251" s="243" t="str">
        <f t="shared" si="33"/>
        <v/>
      </c>
      <c r="D251" s="243" t="str">
        <f t="shared" si="34"/>
        <v/>
      </c>
      <c r="E251" s="265" t="str">
        <f>IF($A251="","",SUMIFS(Txn[Signed Units],Txn[Key],$A251))</f>
        <v/>
      </c>
      <c r="F251" s="287" t="str">
        <f>IF($A251="","",SUMIFS(Txn[Buy Cost],Txn[Key],$A251))</f>
        <v/>
      </c>
      <c r="G251" s="287" t="str">
        <f>IF($A251="","",SUMIFS(Txn[Sell Proceeds],Txn[Key],$A251))</f>
        <v/>
      </c>
      <c r="H251" s="288" t="str">
        <f>IF($A251="","",IFERROR(INDEX(Prices[Current Price],MATCH($A251,Prices[Key],0)),0))</f>
        <v/>
      </c>
      <c r="I251" s="289" t="str">
        <f>IF($A251="","",IFERROR(INDEX(Prices[FX to SGD],MATCH($A251,Prices[Key],0)),1))</f>
        <v/>
      </c>
      <c r="J251" s="287" t="str">
        <f t="shared" si="35"/>
        <v/>
      </c>
      <c r="K251" s="287" t="str">
        <f t="shared" si="36"/>
        <v/>
      </c>
      <c r="L251" s="287" t="str">
        <f t="shared" si="37"/>
        <v/>
      </c>
      <c r="M251" s="290" t="str">
        <f t="shared" si="38"/>
        <v/>
      </c>
      <c r="N251" t="str">
        <f>IF($A251="","",IFERROR(INDEX(Prices[Category],MATCH($A251,Prices[Key],0)),"Uncategorized"))</f>
        <v/>
      </c>
      <c r="O251" s="291" t="str">
        <f t="shared" si="39"/>
        <v/>
      </c>
      <c r="P251" s="291" t="str">
        <f t="shared" si="40"/>
        <v/>
      </c>
    </row>
    <row r="252" spans="1:16" ht="15" customHeight="1" x14ac:dyDescent="0.2">
      <c r="A252" s="243" t="str">
        <f>IFERROR(INDEX('All Ticker P&amp;L'!$A$2:$A$1001,MATCH(ROWS($A$2:A252),'All Ticker P&amp;L'!$N$2:$N$1001,0)),"")</f>
        <v/>
      </c>
      <c r="B252" s="243" t="str">
        <f t="shared" si="32"/>
        <v/>
      </c>
      <c r="C252" s="243" t="str">
        <f t="shared" si="33"/>
        <v/>
      </c>
      <c r="D252" s="243" t="str">
        <f t="shared" si="34"/>
        <v/>
      </c>
      <c r="E252" s="265" t="str">
        <f>IF($A252="","",SUMIFS(Txn[Signed Units],Txn[Key],$A252))</f>
        <v/>
      </c>
      <c r="F252" s="287" t="str">
        <f>IF($A252="","",SUMIFS(Txn[Buy Cost],Txn[Key],$A252))</f>
        <v/>
      </c>
      <c r="G252" s="287" t="str">
        <f>IF($A252="","",SUMIFS(Txn[Sell Proceeds],Txn[Key],$A252))</f>
        <v/>
      </c>
      <c r="H252" s="288" t="str">
        <f>IF($A252="","",IFERROR(INDEX(Prices[Current Price],MATCH($A252,Prices[Key],0)),0))</f>
        <v/>
      </c>
      <c r="I252" s="289" t="str">
        <f>IF($A252="","",IFERROR(INDEX(Prices[FX to SGD],MATCH($A252,Prices[Key],0)),1))</f>
        <v/>
      </c>
      <c r="J252" s="287" t="str">
        <f t="shared" si="35"/>
        <v/>
      </c>
      <c r="K252" s="287" t="str">
        <f t="shared" si="36"/>
        <v/>
      </c>
      <c r="L252" s="287" t="str">
        <f t="shared" si="37"/>
        <v/>
      </c>
      <c r="M252" s="290" t="str">
        <f t="shared" si="38"/>
        <v/>
      </c>
      <c r="N252" t="str">
        <f>IF($A252="","",IFERROR(INDEX(Prices[Category],MATCH($A252,Prices[Key],0)),"Uncategorized"))</f>
        <v/>
      </c>
      <c r="O252" s="291" t="str">
        <f t="shared" si="39"/>
        <v/>
      </c>
      <c r="P252" s="291" t="str">
        <f t="shared" si="40"/>
        <v/>
      </c>
    </row>
    <row r="253" spans="1:16" ht="15" customHeight="1" x14ac:dyDescent="0.2">
      <c r="A253" s="243" t="str">
        <f>IFERROR(INDEX('All Ticker P&amp;L'!$A$2:$A$1001,MATCH(ROWS($A$2:A253),'All Ticker P&amp;L'!$N$2:$N$1001,0)),"")</f>
        <v/>
      </c>
      <c r="B253" s="243" t="str">
        <f t="shared" si="32"/>
        <v/>
      </c>
      <c r="C253" s="243" t="str">
        <f t="shared" si="33"/>
        <v/>
      </c>
      <c r="D253" s="243" t="str">
        <f t="shared" si="34"/>
        <v/>
      </c>
      <c r="E253" s="265" t="str">
        <f>IF($A253="","",SUMIFS(Txn[Signed Units],Txn[Key],$A253))</f>
        <v/>
      </c>
      <c r="F253" s="287" t="str">
        <f>IF($A253="","",SUMIFS(Txn[Buy Cost],Txn[Key],$A253))</f>
        <v/>
      </c>
      <c r="G253" s="287" t="str">
        <f>IF($A253="","",SUMIFS(Txn[Sell Proceeds],Txn[Key],$A253))</f>
        <v/>
      </c>
      <c r="H253" s="288" t="str">
        <f>IF($A253="","",IFERROR(INDEX(Prices[Current Price],MATCH($A253,Prices[Key],0)),0))</f>
        <v/>
      </c>
      <c r="I253" s="289" t="str">
        <f>IF($A253="","",IFERROR(INDEX(Prices[FX to SGD],MATCH($A253,Prices[Key],0)),1))</f>
        <v/>
      </c>
      <c r="J253" s="287" t="str">
        <f t="shared" si="35"/>
        <v/>
      </c>
      <c r="K253" s="287" t="str">
        <f t="shared" si="36"/>
        <v/>
      </c>
      <c r="L253" s="287" t="str">
        <f t="shared" si="37"/>
        <v/>
      </c>
      <c r="M253" s="290" t="str">
        <f t="shared" si="38"/>
        <v/>
      </c>
      <c r="N253" t="str">
        <f>IF($A253="","",IFERROR(INDEX(Prices[Category],MATCH($A253,Prices[Key],0)),"Uncategorized"))</f>
        <v/>
      </c>
      <c r="O253" s="291" t="str">
        <f t="shared" si="39"/>
        <v/>
      </c>
      <c r="P253" s="291" t="str">
        <f t="shared" si="40"/>
        <v/>
      </c>
    </row>
    <row r="254" spans="1:16" ht="15" customHeight="1" x14ac:dyDescent="0.2">
      <c r="A254" s="243" t="str">
        <f>IFERROR(INDEX('All Ticker P&amp;L'!$A$2:$A$1001,MATCH(ROWS($A$2:A254),'All Ticker P&amp;L'!$N$2:$N$1001,0)),"")</f>
        <v/>
      </c>
      <c r="B254" s="243" t="str">
        <f t="shared" si="32"/>
        <v/>
      </c>
      <c r="C254" s="243" t="str">
        <f t="shared" si="33"/>
        <v/>
      </c>
      <c r="D254" s="243" t="str">
        <f t="shared" si="34"/>
        <v/>
      </c>
      <c r="E254" s="265" t="str">
        <f>IF($A254="","",SUMIFS(Txn[Signed Units],Txn[Key],$A254))</f>
        <v/>
      </c>
      <c r="F254" s="287" t="str">
        <f>IF($A254="","",SUMIFS(Txn[Buy Cost],Txn[Key],$A254))</f>
        <v/>
      </c>
      <c r="G254" s="287" t="str">
        <f>IF($A254="","",SUMIFS(Txn[Sell Proceeds],Txn[Key],$A254))</f>
        <v/>
      </c>
      <c r="H254" s="288" t="str">
        <f>IF($A254="","",IFERROR(INDEX(Prices[Current Price],MATCH($A254,Prices[Key],0)),0))</f>
        <v/>
      </c>
      <c r="I254" s="289" t="str">
        <f>IF($A254="","",IFERROR(INDEX(Prices[FX to SGD],MATCH($A254,Prices[Key],0)),1))</f>
        <v/>
      </c>
      <c r="J254" s="287" t="str">
        <f t="shared" si="35"/>
        <v/>
      </c>
      <c r="K254" s="287" t="str">
        <f t="shared" si="36"/>
        <v/>
      </c>
      <c r="L254" s="287" t="str">
        <f t="shared" si="37"/>
        <v/>
      </c>
      <c r="M254" s="290" t="str">
        <f t="shared" si="38"/>
        <v/>
      </c>
      <c r="N254" t="str">
        <f>IF($A254="","",IFERROR(INDEX(Prices[Category],MATCH($A254,Prices[Key],0)),"Uncategorized"))</f>
        <v/>
      </c>
      <c r="O254" s="291" t="str">
        <f t="shared" si="39"/>
        <v/>
      </c>
      <c r="P254" s="291" t="str">
        <f t="shared" si="40"/>
        <v/>
      </c>
    </row>
    <row r="255" spans="1:16" ht="15" customHeight="1" x14ac:dyDescent="0.2">
      <c r="A255" s="243" t="str">
        <f>IFERROR(INDEX('All Ticker P&amp;L'!$A$2:$A$1001,MATCH(ROWS($A$2:A255),'All Ticker P&amp;L'!$N$2:$N$1001,0)),"")</f>
        <v/>
      </c>
      <c r="B255" s="243" t="str">
        <f t="shared" si="32"/>
        <v/>
      </c>
      <c r="C255" s="243" t="str">
        <f t="shared" si="33"/>
        <v/>
      </c>
      <c r="D255" s="243" t="str">
        <f t="shared" si="34"/>
        <v/>
      </c>
      <c r="E255" s="265" t="str">
        <f>IF($A255="","",SUMIFS(Txn[Signed Units],Txn[Key],$A255))</f>
        <v/>
      </c>
      <c r="F255" s="287" t="str">
        <f>IF($A255="","",SUMIFS(Txn[Buy Cost],Txn[Key],$A255))</f>
        <v/>
      </c>
      <c r="G255" s="287" t="str">
        <f>IF($A255="","",SUMIFS(Txn[Sell Proceeds],Txn[Key],$A255))</f>
        <v/>
      </c>
      <c r="H255" s="288" t="str">
        <f>IF($A255="","",IFERROR(INDEX(Prices[Current Price],MATCH($A255,Prices[Key],0)),0))</f>
        <v/>
      </c>
      <c r="I255" s="289" t="str">
        <f>IF($A255="","",IFERROR(INDEX(Prices[FX to SGD],MATCH($A255,Prices[Key],0)),1))</f>
        <v/>
      </c>
      <c r="J255" s="287" t="str">
        <f t="shared" si="35"/>
        <v/>
      </c>
      <c r="K255" s="287" t="str">
        <f t="shared" si="36"/>
        <v/>
      </c>
      <c r="L255" s="287" t="str">
        <f t="shared" si="37"/>
        <v/>
      </c>
      <c r="M255" s="290" t="str">
        <f t="shared" si="38"/>
        <v/>
      </c>
      <c r="N255" t="str">
        <f>IF($A255="","",IFERROR(INDEX(Prices[Category],MATCH($A255,Prices[Key],0)),"Uncategorized"))</f>
        <v/>
      </c>
      <c r="O255" s="291" t="str">
        <f t="shared" si="39"/>
        <v/>
      </c>
      <c r="P255" s="291" t="str">
        <f t="shared" si="40"/>
        <v/>
      </c>
    </row>
    <row r="256" spans="1:16" ht="15" customHeight="1" x14ac:dyDescent="0.2">
      <c r="A256" s="243" t="str">
        <f>IFERROR(INDEX('All Ticker P&amp;L'!$A$2:$A$1001,MATCH(ROWS($A$2:A256),'All Ticker P&amp;L'!$N$2:$N$1001,0)),"")</f>
        <v/>
      </c>
      <c r="B256" s="243" t="str">
        <f t="shared" si="32"/>
        <v/>
      </c>
      <c r="C256" s="243" t="str">
        <f t="shared" si="33"/>
        <v/>
      </c>
      <c r="D256" s="243" t="str">
        <f t="shared" si="34"/>
        <v/>
      </c>
      <c r="E256" s="265" t="str">
        <f>IF($A256="","",SUMIFS(Txn[Signed Units],Txn[Key],$A256))</f>
        <v/>
      </c>
      <c r="F256" s="287" t="str">
        <f>IF($A256="","",SUMIFS(Txn[Buy Cost],Txn[Key],$A256))</f>
        <v/>
      </c>
      <c r="G256" s="287" t="str">
        <f>IF($A256="","",SUMIFS(Txn[Sell Proceeds],Txn[Key],$A256))</f>
        <v/>
      </c>
      <c r="H256" s="288" t="str">
        <f>IF($A256="","",IFERROR(INDEX(Prices[Current Price],MATCH($A256,Prices[Key],0)),0))</f>
        <v/>
      </c>
      <c r="I256" s="289" t="str">
        <f>IF($A256="","",IFERROR(INDEX(Prices[FX to SGD],MATCH($A256,Prices[Key],0)),1))</f>
        <v/>
      </c>
      <c r="J256" s="287" t="str">
        <f t="shared" si="35"/>
        <v/>
      </c>
      <c r="K256" s="287" t="str">
        <f t="shared" si="36"/>
        <v/>
      </c>
      <c r="L256" s="287" t="str">
        <f t="shared" si="37"/>
        <v/>
      </c>
      <c r="M256" s="290" t="str">
        <f t="shared" si="38"/>
        <v/>
      </c>
      <c r="N256" t="str">
        <f>IF($A256="","",IFERROR(INDEX(Prices[Category],MATCH($A256,Prices[Key],0)),"Uncategorized"))</f>
        <v/>
      </c>
      <c r="O256" s="291" t="str">
        <f t="shared" si="39"/>
        <v/>
      </c>
      <c r="P256" s="291" t="str">
        <f t="shared" si="40"/>
        <v/>
      </c>
    </row>
    <row r="257" spans="1:16" ht="15" customHeight="1" x14ac:dyDescent="0.2">
      <c r="A257" s="243" t="str">
        <f>IFERROR(INDEX('All Ticker P&amp;L'!$A$2:$A$1001,MATCH(ROWS($A$2:A257),'All Ticker P&amp;L'!$N$2:$N$1001,0)),"")</f>
        <v/>
      </c>
      <c r="B257" s="243" t="str">
        <f t="shared" si="32"/>
        <v/>
      </c>
      <c r="C257" s="243" t="str">
        <f t="shared" si="33"/>
        <v/>
      </c>
      <c r="D257" s="243" t="str">
        <f t="shared" si="34"/>
        <v/>
      </c>
      <c r="E257" s="265" t="str">
        <f>IF($A257="","",SUMIFS(Txn[Signed Units],Txn[Key],$A257))</f>
        <v/>
      </c>
      <c r="F257" s="287" t="str">
        <f>IF($A257="","",SUMIFS(Txn[Buy Cost],Txn[Key],$A257))</f>
        <v/>
      </c>
      <c r="G257" s="287" t="str">
        <f>IF($A257="","",SUMIFS(Txn[Sell Proceeds],Txn[Key],$A257))</f>
        <v/>
      </c>
      <c r="H257" s="288" t="str">
        <f>IF($A257="","",IFERROR(INDEX(Prices[Current Price],MATCH($A257,Prices[Key],0)),0))</f>
        <v/>
      </c>
      <c r="I257" s="289" t="str">
        <f>IF($A257="","",IFERROR(INDEX(Prices[FX to SGD],MATCH($A257,Prices[Key],0)),1))</f>
        <v/>
      </c>
      <c r="J257" s="287" t="str">
        <f t="shared" si="35"/>
        <v/>
      </c>
      <c r="K257" s="287" t="str">
        <f t="shared" si="36"/>
        <v/>
      </c>
      <c r="L257" s="287" t="str">
        <f t="shared" si="37"/>
        <v/>
      </c>
      <c r="M257" s="290" t="str">
        <f t="shared" si="38"/>
        <v/>
      </c>
      <c r="N257" t="str">
        <f>IF($A257="","",IFERROR(INDEX(Prices[Category],MATCH($A257,Prices[Key],0)),"Uncategorized"))</f>
        <v/>
      </c>
      <c r="O257" s="291" t="str">
        <f t="shared" si="39"/>
        <v/>
      </c>
      <c r="P257" s="291" t="str">
        <f t="shared" si="40"/>
        <v/>
      </c>
    </row>
    <row r="258" spans="1:16" ht="15" customHeight="1" x14ac:dyDescent="0.2">
      <c r="A258" s="243" t="str">
        <f>IFERROR(INDEX('All Ticker P&amp;L'!$A$2:$A$1001,MATCH(ROWS($A$2:A258),'All Ticker P&amp;L'!$N$2:$N$1001,0)),"")</f>
        <v/>
      </c>
      <c r="B258" s="243" t="str">
        <f t="shared" ref="B258:B321" si="41">IF($A258="","",LEFT($A258,FIND(":",$A258)-1))</f>
        <v/>
      </c>
      <c r="C258" s="243" t="str">
        <f t="shared" ref="C258:C321" si="42">IF($A258="","",MID($A258,FIND(":",$A258)+1,FIND(":",$A258,FIND(":",$A258)+1)-FIND(":",$A258)-1))</f>
        <v/>
      </c>
      <c r="D258" s="243" t="str">
        <f t="shared" ref="D258:D321" si="43">IF($A258="","",RIGHT($A258,LEN($A258)-FIND(":",$A258,FIND(":",$A258)+1)))</f>
        <v/>
      </c>
      <c r="E258" s="265" t="str">
        <f>IF($A258="","",SUMIFS(Txn[Signed Units],Txn[Key],$A258))</f>
        <v/>
      </c>
      <c r="F258" s="287" t="str">
        <f>IF($A258="","",SUMIFS(Txn[Buy Cost],Txn[Key],$A258))</f>
        <v/>
      </c>
      <c r="G258" s="287" t="str">
        <f>IF($A258="","",SUMIFS(Txn[Sell Proceeds],Txn[Key],$A258))</f>
        <v/>
      </c>
      <c r="H258" s="288" t="str">
        <f>IF($A258="","",IFERROR(INDEX(Prices[Current Price],MATCH($A258,Prices[Key],0)),0))</f>
        <v/>
      </c>
      <c r="I258" s="289" t="str">
        <f>IF($A258="","",IFERROR(INDEX(Prices[FX to SGD],MATCH($A258,Prices[Key],0)),1))</f>
        <v/>
      </c>
      <c r="J258" s="287" t="str">
        <f t="shared" ref="J258:J321" si="44">IF($A258="","",E258*H258)</f>
        <v/>
      </c>
      <c r="K258" s="287" t="str">
        <f t="shared" ref="K258:K321" si="45">IF($A258="","",J258+G258-F258)</f>
        <v/>
      </c>
      <c r="L258" s="287" t="str">
        <f t="shared" ref="L258:L321" si="46">IF($A258="","",K258*I258)</f>
        <v/>
      </c>
      <c r="M258" s="290" t="str">
        <f t="shared" ref="M258:M321" si="47">IF($A258="","",IFERROR(K258/F258,0))</f>
        <v/>
      </c>
      <c r="N258" t="str">
        <f>IF($A258="","",IFERROR(INDEX(Prices[Category],MATCH($A258,Prices[Key],0)),"Uncategorized"))</f>
        <v/>
      </c>
      <c r="O258" s="291" t="str">
        <f t="shared" ref="O258:O321" si="48">IF($A258="","",$J258*$I258)</f>
        <v/>
      </c>
      <c r="P258" s="291" t="str">
        <f t="shared" ref="P258:P321" si="49">IF($A258="","",$L258)</f>
        <v/>
      </c>
    </row>
    <row r="259" spans="1:16" ht="15" customHeight="1" x14ac:dyDescent="0.2">
      <c r="A259" s="243" t="str">
        <f>IFERROR(INDEX('All Ticker P&amp;L'!$A$2:$A$1001,MATCH(ROWS($A$2:A259),'All Ticker P&amp;L'!$N$2:$N$1001,0)),"")</f>
        <v/>
      </c>
      <c r="B259" s="243" t="str">
        <f t="shared" si="41"/>
        <v/>
      </c>
      <c r="C259" s="243" t="str">
        <f t="shared" si="42"/>
        <v/>
      </c>
      <c r="D259" s="243" t="str">
        <f t="shared" si="43"/>
        <v/>
      </c>
      <c r="E259" s="265" t="str">
        <f>IF($A259="","",SUMIFS(Txn[Signed Units],Txn[Key],$A259))</f>
        <v/>
      </c>
      <c r="F259" s="287" t="str">
        <f>IF($A259="","",SUMIFS(Txn[Buy Cost],Txn[Key],$A259))</f>
        <v/>
      </c>
      <c r="G259" s="287" t="str">
        <f>IF($A259="","",SUMIFS(Txn[Sell Proceeds],Txn[Key],$A259))</f>
        <v/>
      </c>
      <c r="H259" s="288" t="str">
        <f>IF($A259="","",IFERROR(INDEX(Prices[Current Price],MATCH($A259,Prices[Key],0)),0))</f>
        <v/>
      </c>
      <c r="I259" s="289" t="str">
        <f>IF($A259="","",IFERROR(INDEX(Prices[FX to SGD],MATCH($A259,Prices[Key],0)),1))</f>
        <v/>
      </c>
      <c r="J259" s="287" t="str">
        <f t="shared" si="44"/>
        <v/>
      </c>
      <c r="K259" s="287" t="str">
        <f t="shared" si="45"/>
        <v/>
      </c>
      <c r="L259" s="287" t="str">
        <f t="shared" si="46"/>
        <v/>
      </c>
      <c r="M259" s="290" t="str">
        <f t="shared" si="47"/>
        <v/>
      </c>
      <c r="N259" t="str">
        <f>IF($A259="","",IFERROR(INDEX(Prices[Category],MATCH($A259,Prices[Key],0)),"Uncategorized"))</f>
        <v/>
      </c>
      <c r="O259" s="291" t="str">
        <f t="shared" si="48"/>
        <v/>
      </c>
      <c r="P259" s="291" t="str">
        <f t="shared" si="49"/>
        <v/>
      </c>
    </row>
    <row r="260" spans="1:16" ht="15" customHeight="1" x14ac:dyDescent="0.2">
      <c r="A260" s="243" t="str">
        <f>IFERROR(INDEX('All Ticker P&amp;L'!$A$2:$A$1001,MATCH(ROWS($A$2:A260),'All Ticker P&amp;L'!$N$2:$N$1001,0)),"")</f>
        <v/>
      </c>
      <c r="B260" s="243" t="str">
        <f t="shared" si="41"/>
        <v/>
      </c>
      <c r="C260" s="243" t="str">
        <f t="shared" si="42"/>
        <v/>
      </c>
      <c r="D260" s="243" t="str">
        <f t="shared" si="43"/>
        <v/>
      </c>
      <c r="E260" s="265" t="str">
        <f>IF($A260="","",SUMIFS(Txn[Signed Units],Txn[Key],$A260))</f>
        <v/>
      </c>
      <c r="F260" s="287" t="str">
        <f>IF($A260="","",SUMIFS(Txn[Buy Cost],Txn[Key],$A260))</f>
        <v/>
      </c>
      <c r="G260" s="287" t="str">
        <f>IF($A260="","",SUMIFS(Txn[Sell Proceeds],Txn[Key],$A260))</f>
        <v/>
      </c>
      <c r="H260" s="288" t="str">
        <f>IF($A260="","",IFERROR(INDEX(Prices[Current Price],MATCH($A260,Prices[Key],0)),0))</f>
        <v/>
      </c>
      <c r="I260" s="289" t="str">
        <f>IF($A260="","",IFERROR(INDEX(Prices[FX to SGD],MATCH($A260,Prices[Key],0)),1))</f>
        <v/>
      </c>
      <c r="J260" s="287" t="str">
        <f t="shared" si="44"/>
        <v/>
      </c>
      <c r="K260" s="287" t="str">
        <f t="shared" si="45"/>
        <v/>
      </c>
      <c r="L260" s="287" t="str">
        <f t="shared" si="46"/>
        <v/>
      </c>
      <c r="M260" s="290" t="str">
        <f t="shared" si="47"/>
        <v/>
      </c>
      <c r="N260" t="str">
        <f>IF($A260="","",IFERROR(INDEX(Prices[Category],MATCH($A260,Prices[Key],0)),"Uncategorized"))</f>
        <v/>
      </c>
      <c r="O260" s="291" t="str">
        <f t="shared" si="48"/>
        <v/>
      </c>
      <c r="P260" s="291" t="str">
        <f t="shared" si="49"/>
        <v/>
      </c>
    </row>
    <row r="261" spans="1:16" ht="15" customHeight="1" x14ac:dyDescent="0.2">
      <c r="A261" s="243" t="str">
        <f>IFERROR(INDEX('All Ticker P&amp;L'!$A$2:$A$1001,MATCH(ROWS($A$2:A261),'All Ticker P&amp;L'!$N$2:$N$1001,0)),"")</f>
        <v/>
      </c>
      <c r="B261" s="243" t="str">
        <f t="shared" si="41"/>
        <v/>
      </c>
      <c r="C261" s="243" t="str">
        <f t="shared" si="42"/>
        <v/>
      </c>
      <c r="D261" s="243" t="str">
        <f t="shared" si="43"/>
        <v/>
      </c>
      <c r="E261" s="265" t="str">
        <f>IF($A261="","",SUMIFS(Txn[Signed Units],Txn[Key],$A261))</f>
        <v/>
      </c>
      <c r="F261" s="287" t="str">
        <f>IF($A261="","",SUMIFS(Txn[Buy Cost],Txn[Key],$A261))</f>
        <v/>
      </c>
      <c r="G261" s="287" t="str">
        <f>IF($A261="","",SUMIFS(Txn[Sell Proceeds],Txn[Key],$A261))</f>
        <v/>
      </c>
      <c r="H261" s="288" t="str">
        <f>IF($A261="","",IFERROR(INDEX(Prices[Current Price],MATCH($A261,Prices[Key],0)),0))</f>
        <v/>
      </c>
      <c r="I261" s="289" t="str">
        <f>IF($A261="","",IFERROR(INDEX(Prices[FX to SGD],MATCH($A261,Prices[Key],0)),1))</f>
        <v/>
      </c>
      <c r="J261" s="287" t="str">
        <f t="shared" si="44"/>
        <v/>
      </c>
      <c r="K261" s="287" t="str">
        <f t="shared" si="45"/>
        <v/>
      </c>
      <c r="L261" s="287" t="str">
        <f t="shared" si="46"/>
        <v/>
      </c>
      <c r="M261" s="290" t="str">
        <f t="shared" si="47"/>
        <v/>
      </c>
      <c r="N261" t="str">
        <f>IF($A261="","",IFERROR(INDEX(Prices[Category],MATCH($A261,Prices[Key],0)),"Uncategorized"))</f>
        <v/>
      </c>
      <c r="O261" s="291" t="str">
        <f t="shared" si="48"/>
        <v/>
      </c>
      <c r="P261" s="291" t="str">
        <f t="shared" si="49"/>
        <v/>
      </c>
    </row>
    <row r="262" spans="1:16" ht="15" customHeight="1" x14ac:dyDescent="0.2">
      <c r="A262" s="243" t="str">
        <f>IFERROR(INDEX('All Ticker P&amp;L'!$A$2:$A$1001,MATCH(ROWS($A$2:A262),'All Ticker P&amp;L'!$N$2:$N$1001,0)),"")</f>
        <v/>
      </c>
      <c r="B262" s="243" t="str">
        <f t="shared" si="41"/>
        <v/>
      </c>
      <c r="C262" s="243" t="str">
        <f t="shared" si="42"/>
        <v/>
      </c>
      <c r="D262" s="243" t="str">
        <f t="shared" si="43"/>
        <v/>
      </c>
      <c r="E262" s="265" t="str">
        <f>IF($A262="","",SUMIFS(Txn[Signed Units],Txn[Key],$A262))</f>
        <v/>
      </c>
      <c r="F262" s="287" t="str">
        <f>IF($A262="","",SUMIFS(Txn[Buy Cost],Txn[Key],$A262))</f>
        <v/>
      </c>
      <c r="G262" s="287" t="str">
        <f>IF($A262="","",SUMIFS(Txn[Sell Proceeds],Txn[Key],$A262))</f>
        <v/>
      </c>
      <c r="H262" s="288" t="str">
        <f>IF($A262="","",IFERROR(INDEX(Prices[Current Price],MATCH($A262,Prices[Key],0)),0))</f>
        <v/>
      </c>
      <c r="I262" s="289" t="str">
        <f>IF($A262="","",IFERROR(INDEX(Prices[FX to SGD],MATCH($A262,Prices[Key],0)),1))</f>
        <v/>
      </c>
      <c r="J262" s="287" t="str">
        <f t="shared" si="44"/>
        <v/>
      </c>
      <c r="K262" s="287" t="str">
        <f t="shared" si="45"/>
        <v/>
      </c>
      <c r="L262" s="287" t="str">
        <f t="shared" si="46"/>
        <v/>
      </c>
      <c r="M262" s="290" t="str">
        <f t="shared" si="47"/>
        <v/>
      </c>
      <c r="N262" t="str">
        <f>IF($A262="","",IFERROR(INDEX(Prices[Category],MATCH($A262,Prices[Key],0)),"Uncategorized"))</f>
        <v/>
      </c>
      <c r="O262" s="291" t="str">
        <f t="shared" si="48"/>
        <v/>
      </c>
      <c r="P262" s="291" t="str">
        <f t="shared" si="49"/>
        <v/>
      </c>
    </row>
    <row r="263" spans="1:16" ht="15" customHeight="1" x14ac:dyDescent="0.2">
      <c r="A263" s="243" t="str">
        <f>IFERROR(INDEX('All Ticker P&amp;L'!$A$2:$A$1001,MATCH(ROWS($A$2:A263),'All Ticker P&amp;L'!$N$2:$N$1001,0)),"")</f>
        <v/>
      </c>
      <c r="B263" s="243" t="str">
        <f t="shared" si="41"/>
        <v/>
      </c>
      <c r="C263" s="243" t="str">
        <f t="shared" si="42"/>
        <v/>
      </c>
      <c r="D263" s="243" t="str">
        <f t="shared" si="43"/>
        <v/>
      </c>
      <c r="E263" s="265" t="str">
        <f>IF($A263="","",SUMIFS(Txn[Signed Units],Txn[Key],$A263))</f>
        <v/>
      </c>
      <c r="F263" s="287" t="str">
        <f>IF($A263="","",SUMIFS(Txn[Buy Cost],Txn[Key],$A263))</f>
        <v/>
      </c>
      <c r="G263" s="287" t="str">
        <f>IF($A263="","",SUMIFS(Txn[Sell Proceeds],Txn[Key],$A263))</f>
        <v/>
      </c>
      <c r="H263" s="288" t="str">
        <f>IF($A263="","",IFERROR(INDEX(Prices[Current Price],MATCH($A263,Prices[Key],0)),0))</f>
        <v/>
      </c>
      <c r="I263" s="289" t="str">
        <f>IF($A263="","",IFERROR(INDEX(Prices[FX to SGD],MATCH($A263,Prices[Key],0)),1))</f>
        <v/>
      </c>
      <c r="J263" s="287" t="str">
        <f t="shared" si="44"/>
        <v/>
      </c>
      <c r="K263" s="287" t="str">
        <f t="shared" si="45"/>
        <v/>
      </c>
      <c r="L263" s="287" t="str">
        <f t="shared" si="46"/>
        <v/>
      </c>
      <c r="M263" s="290" t="str">
        <f t="shared" si="47"/>
        <v/>
      </c>
      <c r="N263" t="str">
        <f>IF($A263="","",IFERROR(INDEX(Prices[Category],MATCH($A263,Prices[Key],0)),"Uncategorized"))</f>
        <v/>
      </c>
      <c r="O263" s="291" t="str">
        <f t="shared" si="48"/>
        <v/>
      </c>
      <c r="P263" s="291" t="str">
        <f t="shared" si="49"/>
        <v/>
      </c>
    </row>
    <row r="264" spans="1:16" ht="15" customHeight="1" x14ac:dyDescent="0.2">
      <c r="A264" s="243" t="str">
        <f>IFERROR(INDEX('All Ticker P&amp;L'!$A$2:$A$1001,MATCH(ROWS($A$2:A264),'All Ticker P&amp;L'!$N$2:$N$1001,0)),"")</f>
        <v/>
      </c>
      <c r="B264" s="243" t="str">
        <f t="shared" si="41"/>
        <v/>
      </c>
      <c r="C264" s="243" t="str">
        <f t="shared" si="42"/>
        <v/>
      </c>
      <c r="D264" s="243" t="str">
        <f t="shared" si="43"/>
        <v/>
      </c>
      <c r="E264" s="265" t="str">
        <f>IF($A264="","",SUMIFS(Txn[Signed Units],Txn[Key],$A264))</f>
        <v/>
      </c>
      <c r="F264" s="287" t="str">
        <f>IF($A264="","",SUMIFS(Txn[Buy Cost],Txn[Key],$A264))</f>
        <v/>
      </c>
      <c r="G264" s="287" t="str">
        <f>IF($A264="","",SUMIFS(Txn[Sell Proceeds],Txn[Key],$A264))</f>
        <v/>
      </c>
      <c r="H264" s="288" t="str">
        <f>IF($A264="","",IFERROR(INDEX(Prices[Current Price],MATCH($A264,Prices[Key],0)),0))</f>
        <v/>
      </c>
      <c r="I264" s="289" t="str">
        <f>IF($A264="","",IFERROR(INDEX(Prices[FX to SGD],MATCH($A264,Prices[Key],0)),1))</f>
        <v/>
      </c>
      <c r="J264" s="287" t="str">
        <f t="shared" si="44"/>
        <v/>
      </c>
      <c r="K264" s="287" t="str">
        <f t="shared" si="45"/>
        <v/>
      </c>
      <c r="L264" s="287" t="str">
        <f t="shared" si="46"/>
        <v/>
      </c>
      <c r="M264" s="290" t="str">
        <f t="shared" si="47"/>
        <v/>
      </c>
      <c r="N264" t="str">
        <f>IF($A264="","",IFERROR(INDEX(Prices[Category],MATCH($A264,Prices[Key],0)),"Uncategorized"))</f>
        <v/>
      </c>
      <c r="O264" s="291" t="str">
        <f t="shared" si="48"/>
        <v/>
      </c>
      <c r="P264" s="291" t="str">
        <f t="shared" si="49"/>
        <v/>
      </c>
    </row>
    <row r="265" spans="1:16" ht="15" customHeight="1" x14ac:dyDescent="0.2">
      <c r="A265" s="243" t="str">
        <f>IFERROR(INDEX('All Ticker P&amp;L'!$A$2:$A$1001,MATCH(ROWS($A$2:A265),'All Ticker P&amp;L'!$N$2:$N$1001,0)),"")</f>
        <v/>
      </c>
      <c r="B265" s="243" t="str">
        <f t="shared" si="41"/>
        <v/>
      </c>
      <c r="C265" s="243" t="str">
        <f t="shared" si="42"/>
        <v/>
      </c>
      <c r="D265" s="243" t="str">
        <f t="shared" si="43"/>
        <v/>
      </c>
      <c r="E265" s="265" t="str">
        <f>IF($A265="","",SUMIFS(Txn[Signed Units],Txn[Key],$A265))</f>
        <v/>
      </c>
      <c r="F265" s="287" t="str">
        <f>IF($A265="","",SUMIFS(Txn[Buy Cost],Txn[Key],$A265))</f>
        <v/>
      </c>
      <c r="G265" s="287" t="str">
        <f>IF($A265="","",SUMIFS(Txn[Sell Proceeds],Txn[Key],$A265))</f>
        <v/>
      </c>
      <c r="H265" s="288" t="str">
        <f>IF($A265="","",IFERROR(INDEX(Prices[Current Price],MATCH($A265,Prices[Key],0)),0))</f>
        <v/>
      </c>
      <c r="I265" s="289" t="str">
        <f>IF($A265="","",IFERROR(INDEX(Prices[FX to SGD],MATCH($A265,Prices[Key],0)),1))</f>
        <v/>
      </c>
      <c r="J265" s="287" t="str">
        <f t="shared" si="44"/>
        <v/>
      </c>
      <c r="K265" s="287" t="str">
        <f t="shared" si="45"/>
        <v/>
      </c>
      <c r="L265" s="287" t="str">
        <f t="shared" si="46"/>
        <v/>
      </c>
      <c r="M265" s="290" t="str">
        <f t="shared" si="47"/>
        <v/>
      </c>
      <c r="N265" t="str">
        <f>IF($A265="","",IFERROR(INDEX(Prices[Category],MATCH($A265,Prices[Key],0)),"Uncategorized"))</f>
        <v/>
      </c>
      <c r="O265" s="291" t="str">
        <f t="shared" si="48"/>
        <v/>
      </c>
      <c r="P265" s="291" t="str">
        <f t="shared" si="49"/>
        <v/>
      </c>
    </row>
    <row r="266" spans="1:16" ht="15" customHeight="1" x14ac:dyDescent="0.2">
      <c r="A266" s="243" t="str">
        <f>IFERROR(INDEX('All Ticker P&amp;L'!$A$2:$A$1001,MATCH(ROWS($A$2:A266),'All Ticker P&amp;L'!$N$2:$N$1001,0)),"")</f>
        <v/>
      </c>
      <c r="B266" s="243" t="str">
        <f t="shared" si="41"/>
        <v/>
      </c>
      <c r="C266" s="243" t="str">
        <f t="shared" si="42"/>
        <v/>
      </c>
      <c r="D266" s="243" t="str">
        <f t="shared" si="43"/>
        <v/>
      </c>
      <c r="E266" s="265" t="str">
        <f>IF($A266="","",SUMIFS(Txn[Signed Units],Txn[Key],$A266))</f>
        <v/>
      </c>
      <c r="F266" s="287" t="str">
        <f>IF($A266="","",SUMIFS(Txn[Buy Cost],Txn[Key],$A266))</f>
        <v/>
      </c>
      <c r="G266" s="287" t="str">
        <f>IF($A266="","",SUMIFS(Txn[Sell Proceeds],Txn[Key],$A266))</f>
        <v/>
      </c>
      <c r="H266" s="288" t="str">
        <f>IF($A266="","",IFERROR(INDEX(Prices[Current Price],MATCH($A266,Prices[Key],0)),0))</f>
        <v/>
      </c>
      <c r="I266" s="289" t="str">
        <f>IF($A266="","",IFERROR(INDEX(Prices[FX to SGD],MATCH($A266,Prices[Key],0)),1))</f>
        <v/>
      </c>
      <c r="J266" s="287" t="str">
        <f t="shared" si="44"/>
        <v/>
      </c>
      <c r="K266" s="287" t="str">
        <f t="shared" si="45"/>
        <v/>
      </c>
      <c r="L266" s="287" t="str">
        <f t="shared" si="46"/>
        <v/>
      </c>
      <c r="M266" s="290" t="str">
        <f t="shared" si="47"/>
        <v/>
      </c>
      <c r="N266" t="str">
        <f>IF($A266="","",IFERROR(INDEX(Prices[Category],MATCH($A266,Prices[Key],0)),"Uncategorized"))</f>
        <v/>
      </c>
      <c r="O266" s="291" t="str">
        <f t="shared" si="48"/>
        <v/>
      </c>
      <c r="P266" s="291" t="str">
        <f t="shared" si="49"/>
        <v/>
      </c>
    </row>
    <row r="267" spans="1:16" ht="15" customHeight="1" x14ac:dyDescent="0.2">
      <c r="A267" s="243" t="str">
        <f>IFERROR(INDEX('All Ticker P&amp;L'!$A$2:$A$1001,MATCH(ROWS($A$2:A267),'All Ticker P&amp;L'!$N$2:$N$1001,0)),"")</f>
        <v/>
      </c>
      <c r="B267" s="243" t="str">
        <f t="shared" si="41"/>
        <v/>
      </c>
      <c r="C267" s="243" t="str">
        <f t="shared" si="42"/>
        <v/>
      </c>
      <c r="D267" s="243" t="str">
        <f t="shared" si="43"/>
        <v/>
      </c>
      <c r="E267" s="265" t="str">
        <f>IF($A267="","",SUMIFS(Txn[Signed Units],Txn[Key],$A267))</f>
        <v/>
      </c>
      <c r="F267" s="287" t="str">
        <f>IF($A267="","",SUMIFS(Txn[Buy Cost],Txn[Key],$A267))</f>
        <v/>
      </c>
      <c r="G267" s="287" t="str">
        <f>IF($A267="","",SUMIFS(Txn[Sell Proceeds],Txn[Key],$A267))</f>
        <v/>
      </c>
      <c r="H267" s="288" t="str">
        <f>IF($A267="","",IFERROR(INDEX(Prices[Current Price],MATCH($A267,Prices[Key],0)),0))</f>
        <v/>
      </c>
      <c r="I267" s="289" t="str">
        <f>IF($A267="","",IFERROR(INDEX(Prices[FX to SGD],MATCH($A267,Prices[Key],0)),1))</f>
        <v/>
      </c>
      <c r="J267" s="287" t="str">
        <f t="shared" si="44"/>
        <v/>
      </c>
      <c r="K267" s="287" t="str">
        <f t="shared" si="45"/>
        <v/>
      </c>
      <c r="L267" s="287" t="str">
        <f t="shared" si="46"/>
        <v/>
      </c>
      <c r="M267" s="290" t="str">
        <f t="shared" si="47"/>
        <v/>
      </c>
      <c r="N267" t="str">
        <f>IF($A267="","",IFERROR(INDEX(Prices[Category],MATCH($A267,Prices[Key],0)),"Uncategorized"))</f>
        <v/>
      </c>
      <c r="O267" s="291" t="str">
        <f t="shared" si="48"/>
        <v/>
      </c>
      <c r="P267" s="291" t="str">
        <f t="shared" si="49"/>
        <v/>
      </c>
    </row>
    <row r="268" spans="1:16" ht="15" customHeight="1" x14ac:dyDescent="0.2">
      <c r="A268" s="243" t="str">
        <f>IFERROR(INDEX('All Ticker P&amp;L'!$A$2:$A$1001,MATCH(ROWS($A$2:A268),'All Ticker P&amp;L'!$N$2:$N$1001,0)),"")</f>
        <v/>
      </c>
      <c r="B268" s="243" t="str">
        <f t="shared" si="41"/>
        <v/>
      </c>
      <c r="C268" s="243" t="str">
        <f t="shared" si="42"/>
        <v/>
      </c>
      <c r="D268" s="243" t="str">
        <f t="shared" si="43"/>
        <v/>
      </c>
      <c r="E268" s="265" t="str">
        <f>IF($A268="","",SUMIFS(Txn[Signed Units],Txn[Key],$A268))</f>
        <v/>
      </c>
      <c r="F268" s="287" t="str">
        <f>IF($A268="","",SUMIFS(Txn[Buy Cost],Txn[Key],$A268))</f>
        <v/>
      </c>
      <c r="G268" s="287" t="str">
        <f>IF($A268="","",SUMIFS(Txn[Sell Proceeds],Txn[Key],$A268))</f>
        <v/>
      </c>
      <c r="H268" s="288" t="str">
        <f>IF($A268="","",IFERROR(INDEX(Prices[Current Price],MATCH($A268,Prices[Key],0)),0))</f>
        <v/>
      </c>
      <c r="I268" s="289" t="str">
        <f>IF($A268="","",IFERROR(INDEX(Prices[FX to SGD],MATCH($A268,Prices[Key],0)),1))</f>
        <v/>
      </c>
      <c r="J268" s="287" t="str">
        <f t="shared" si="44"/>
        <v/>
      </c>
      <c r="K268" s="287" t="str">
        <f t="shared" si="45"/>
        <v/>
      </c>
      <c r="L268" s="287" t="str">
        <f t="shared" si="46"/>
        <v/>
      </c>
      <c r="M268" s="290" t="str">
        <f t="shared" si="47"/>
        <v/>
      </c>
      <c r="N268" t="str">
        <f>IF($A268="","",IFERROR(INDEX(Prices[Category],MATCH($A268,Prices[Key],0)),"Uncategorized"))</f>
        <v/>
      </c>
      <c r="O268" s="291" t="str">
        <f t="shared" si="48"/>
        <v/>
      </c>
      <c r="P268" s="291" t="str">
        <f t="shared" si="49"/>
        <v/>
      </c>
    </row>
    <row r="269" spans="1:16" ht="15" customHeight="1" x14ac:dyDescent="0.2">
      <c r="A269" s="243" t="str">
        <f>IFERROR(INDEX('All Ticker P&amp;L'!$A$2:$A$1001,MATCH(ROWS($A$2:A269),'All Ticker P&amp;L'!$N$2:$N$1001,0)),"")</f>
        <v/>
      </c>
      <c r="B269" s="243" t="str">
        <f t="shared" si="41"/>
        <v/>
      </c>
      <c r="C269" s="243" t="str">
        <f t="shared" si="42"/>
        <v/>
      </c>
      <c r="D269" s="243" t="str">
        <f t="shared" si="43"/>
        <v/>
      </c>
      <c r="E269" s="265" t="str">
        <f>IF($A269="","",SUMIFS(Txn[Signed Units],Txn[Key],$A269))</f>
        <v/>
      </c>
      <c r="F269" s="287" t="str">
        <f>IF($A269="","",SUMIFS(Txn[Buy Cost],Txn[Key],$A269))</f>
        <v/>
      </c>
      <c r="G269" s="287" t="str">
        <f>IF($A269="","",SUMIFS(Txn[Sell Proceeds],Txn[Key],$A269))</f>
        <v/>
      </c>
      <c r="H269" s="288" t="str">
        <f>IF($A269="","",IFERROR(INDEX(Prices[Current Price],MATCH($A269,Prices[Key],0)),0))</f>
        <v/>
      </c>
      <c r="I269" s="289" t="str">
        <f>IF($A269="","",IFERROR(INDEX(Prices[FX to SGD],MATCH($A269,Prices[Key],0)),1))</f>
        <v/>
      </c>
      <c r="J269" s="287" t="str">
        <f t="shared" si="44"/>
        <v/>
      </c>
      <c r="K269" s="287" t="str">
        <f t="shared" si="45"/>
        <v/>
      </c>
      <c r="L269" s="287" t="str">
        <f t="shared" si="46"/>
        <v/>
      </c>
      <c r="M269" s="290" t="str">
        <f t="shared" si="47"/>
        <v/>
      </c>
      <c r="N269" t="str">
        <f>IF($A269="","",IFERROR(INDEX(Prices[Category],MATCH($A269,Prices[Key],0)),"Uncategorized"))</f>
        <v/>
      </c>
      <c r="O269" s="291" t="str">
        <f t="shared" si="48"/>
        <v/>
      </c>
      <c r="P269" s="291" t="str">
        <f t="shared" si="49"/>
        <v/>
      </c>
    </row>
    <row r="270" spans="1:16" ht="15" customHeight="1" x14ac:dyDescent="0.2">
      <c r="A270" s="243" t="str">
        <f>IFERROR(INDEX('All Ticker P&amp;L'!$A$2:$A$1001,MATCH(ROWS($A$2:A270),'All Ticker P&amp;L'!$N$2:$N$1001,0)),"")</f>
        <v/>
      </c>
      <c r="B270" s="243" t="str">
        <f t="shared" si="41"/>
        <v/>
      </c>
      <c r="C270" s="243" t="str">
        <f t="shared" si="42"/>
        <v/>
      </c>
      <c r="D270" s="243" t="str">
        <f t="shared" si="43"/>
        <v/>
      </c>
      <c r="E270" s="265" t="str">
        <f>IF($A270="","",SUMIFS(Txn[Signed Units],Txn[Key],$A270))</f>
        <v/>
      </c>
      <c r="F270" s="287" t="str">
        <f>IF($A270="","",SUMIFS(Txn[Buy Cost],Txn[Key],$A270))</f>
        <v/>
      </c>
      <c r="G270" s="287" t="str">
        <f>IF($A270="","",SUMIFS(Txn[Sell Proceeds],Txn[Key],$A270))</f>
        <v/>
      </c>
      <c r="H270" s="288" t="str">
        <f>IF($A270="","",IFERROR(INDEX(Prices[Current Price],MATCH($A270,Prices[Key],0)),0))</f>
        <v/>
      </c>
      <c r="I270" s="289" t="str">
        <f>IF($A270="","",IFERROR(INDEX(Prices[FX to SGD],MATCH($A270,Prices[Key],0)),1))</f>
        <v/>
      </c>
      <c r="J270" s="287" t="str">
        <f t="shared" si="44"/>
        <v/>
      </c>
      <c r="K270" s="287" t="str">
        <f t="shared" si="45"/>
        <v/>
      </c>
      <c r="L270" s="287" t="str">
        <f t="shared" si="46"/>
        <v/>
      </c>
      <c r="M270" s="290" t="str">
        <f t="shared" si="47"/>
        <v/>
      </c>
      <c r="N270" t="str">
        <f>IF($A270="","",IFERROR(INDEX(Prices[Category],MATCH($A270,Prices[Key],0)),"Uncategorized"))</f>
        <v/>
      </c>
      <c r="O270" s="291" t="str">
        <f t="shared" si="48"/>
        <v/>
      </c>
      <c r="P270" s="291" t="str">
        <f t="shared" si="49"/>
        <v/>
      </c>
    </row>
    <row r="271" spans="1:16" ht="15" customHeight="1" x14ac:dyDescent="0.2">
      <c r="A271" s="243" t="str">
        <f>IFERROR(INDEX('All Ticker P&amp;L'!$A$2:$A$1001,MATCH(ROWS($A$2:A271),'All Ticker P&amp;L'!$N$2:$N$1001,0)),"")</f>
        <v/>
      </c>
      <c r="B271" s="243" t="str">
        <f t="shared" si="41"/>
        <v/>
      </c>
      <c r="C271" s="243" t="str">
        <f t="shared" si="42"/>
        <v/>
      </c>
      <c r="D271" s="243" t="str">
        <f t="shared" si="43"/>
        <v/>
      </c>
      <c r="E271" s="265" t="str">
        <f>IF($A271="","",SUMIFS(Txn[Signed Units],Txn[Key],$A271))</f>
        <v/>
      </c>
      <c r="F271" s="287" t="str">
        <f>IF($A271="","",SUMIFS(Txn[Buy Cost],Txn[Key],$A271))</f>
        <v/>
      </c>
      <c r="G271" s="287" t="str">
        <f>IF($A271="","",SUMIFS(Txn[Sell Proceeds],Txn[Key],$A271))</f>
        <v/>
      </c>
      <c r="H271" s="288" t="str">
        <f>IF($A271="","",IFERROR(INDEX(Prices[Current Price],MATCH($A271,Prices[Key],0)),0))</f>
        <v/>
      </c>
      <c r="I271" s="289" t="str">
        <f>IF($A271="","",IFERROR(INDEX(Prices[FX to SGD],MATCH($A271,Prices[Key],0)),1))</f>
        <v/>
      </c>
      <c r="J271" s="287" t="str">
        <f t="shared" si="44"/>
        <v/>
      </c>
      <c r="K271" s="287" t="str">
        <f t="shared" si="45"/>
        <v/>
      </c>
      <c r="L271" s="287" t="str">
        <f t="shared" si="46"/>
        <v/>
      </c>
      <c r="M271" s="290" t="str">
        <f t="shared" si="47"/>
        <v/>
      </c>
      <c r="N271" t="str">
        <f>IF($A271="","",IFERROR(INDEX(Prices[Category],MATCH($A271,Prices[Key],0)),"Uncategorized"))</f>
        <v/>
      </c>
      <c r="O271" s="291" t="str">
        <f t="shared" si="48"/>
        <v/>
      </c>
      <c r="P271" s="291" t="str">
        <f t="shared" si="49"/>
        <v/>
      </c>
    </row>
    <row r="272" spans="1:16" ht="15" customHeight="1" x14ac:dyDescent="0.2">
      <c r="A272" s="243" t="str">
        <f>IFERROR(INDEX('All Ticker P&amp;L'!$A$2:$A$1001,MATCH(ROWS($A$2:A272),'All Ticker P&amp;L'!$N$2:$N$1001,0)),"")</f>
        <v/>
      </c>
      <c r="B272" s="243" t="str">
        <f t="shared" si="41"/>
        <v/>
      </c>
      <c r="C272" s="243" t="str">
        <f t="shared" si="42"/>
        <v/>
      </c>
      <c r="D272" s="243" t="str">
        <f t="shared" si="43"/>
        <v/>
      </c>
      <c r="E272" s="265" t="str">
        <f>IF($A272="","",SUMIFS(Txn[Signed Units],Txn[Key],$A272))</f>
        <v/>
      </c>
      <c r="F272" s="287" t="str">
        <f>IF($A272="","",SUMIFS(Txn[Buy Cost],Txn[Key],$A272))</f>
        <v/>
      </c>
      <c r="G272" s="287" t="str">
        <f>IF($A272="","",SUMIFS(Txn[Sell Proceeds],Txn[Key],$A272))</f>
        <v/>
      </c>
      <c r="H272" s="288" t="str">
        <f>IF($A272="","",IFERROR(INDEX(Prices[Current Price],MATCH($A272,Prices[Key],0)),0))</f>
        <v/>
      </c>
      <c r="I272" s="289" t="str">
        <f>IF($A272="","",IFERROR(INDEX(Prices[FX to SGD],MATCH($A272,Prices[Key],0)),1))</f>
        <v/>
      </c>
      <c r="J272" s="287" t="str">
        <f t="shared" si="44"/>
        <v/>
      </c>
      <c r="K272" s="287" t="str">
        <f t="shared" si="45"/>
        <v/>
      </c>
      <c r="L272" s="287" t="str">
        <f t="shared" si="46"/>
        <v/>
      </c>
      <c r="M272" s="290" t="str">
        <f t="shared" si="47"/>
        <v/>
      </c>
      <c r="N272" t="str">
        <f>IF($A272="","",IFERROR(INDEX(Prices[Category],MATCH($A272,Prices[Key],0)),"Uncategorized"))</f>
        <v/>
      </c>
      <c r="O272" s="291" t="str">
        <f t="shared" si="48"/>
        <v/>
      </c>
      <c r="P272" s="291" t="str">
        <f t="shared" si="49"/>
        <v/>
      </c>
    </row>
    <row r="273" spans="1:16" ht="15" customHeight="1" x14ac:dyDescent="0.2">
      <c r="A273" s="243" t="str">
        <f>IFERROR(INDEX('All Ticker P&amp;L'!$A$2:$A$1001,MATCH(ROWS($A$2:A273),'All Ticker P&amp;L'!$N$2:$N$1001,0)),"")</f>
        <v/>
      </c>
      <c r="B273" s="243" t="str">
        <f t="shared" si="41"/>
        <v/>
      </c>
      <c r="C273" s="243" t="str">
        <f t="shared" si="42"/>
        <v/>
      </c>
      <c r="D273" s="243" t="str">
        <f t="shared" si="43"/>
        <v/>
      </c>
      <c r="E273" s="265" t="str">
        <f>IF($A273="","",SUMIFS(Txn[Signed Units],Txn[Key],$A273))</f>
        <v/>
      </c>
      <c r="F273" s="287" t="str">
        <f>IF($A273="","",SUMIFS(Txn[Buy Cost],Txn[Key],$A273))</f>
        <v/>
      </c>
      <c r="G273" s="287" t="str">
        <f>IF($A273="","",SUMIFS(Txn[Sell Proceeds],Txn[Key],$A273))</f>
        <v/>
      </c>
      <c r="H273" s="288" t="str">
        <f>IF($A273="","",IFERROR(INDEX(Prices[Current Price],MATCH($A273,Prices[Key],0)),0))</f>
        <v/>
      </c>
      <c r="I273" s="289" t="str">
        <f>IF($A273="","",IFERROR(INDEX(Prices[FX to SGD],MATCH($A273,Prices[Key],0)),1))</f>
        <v/>
      </c>
      <c r="J273" s="287" t="str">
        <f t="shared" si="44"/>
        <v/>
      </c>
      <c r="K273" s="287" t="str">
        <f t="shared" si="45"/>
        <v/>
      </c>
      <c r="L273" s="287" t="str">
        <f t="shared" si="46"/>
        <v/>
      </c>
      <c r="M273" s="290" t="str">
        <f t="shared" si="47"/>
        <v/>
      </c>
      <c r="N273" t="str">
        <f>IF($A273="","",IFERROR(INDEX(Prices[Category],MATCH($A273,Prices[Key],0)),"Uncategorized"))</f>
        <v/>
      </c>
      <c r="O273" s="291" t="str">
        <f t="shared" si="48"/>
        <v/>
      </c>
      <c r="P273" s="291" t="str">
        <f t="shared" si="49"/>
        <v/>
      </c>
    </row>
    <row r="274" spans="1:16" ht="15" customHeight="1" x14ac:dyDescent="0.2">
      <c r="A274" s="243" t="str">
        <f>IFERROR(INDEX('All Ticker P&amp;L'!$A$2:$A$1001,MATCH(ROWS($A$2:A274),'All Ticker P&amp;L'!$N$2:$N$1001,0)),"")</f>
        <v/>
      </c>
      <c r="B274" s="243" t="str">
        <f t="shared" si="41"/>
        <v/>
      </c>
      <c r="C274" s="243" t="str">
        <f t="shared" si="42"/>
        <v/>
      </c>
      <c r="D274" s="243" t="str">
        <f t="shared" si="43"/>
        <v/>
      </c>
      <c r="E274" s="265" t="str">
        <f>IF($A274="","",SUMIFS(Txn[Signed Units],Txn[Key],$A274))</f>
        <v/>
      </c>
      <c r="F274" s="287" t="str">
        <f>IF($A274="","",SUMIFS(Txn[Buy Cost],Txn[Key],$A274))</f>
        <v/>
      </c>
      <c r="G274" s="287" t="str">
        <f>IF($A274="","",SUMIFS(Txn[Sell Proceeds],Txn[Key],$A274))</f>
        <v/>
      </c>
      <c r="H274" s="288" t="str">
        <f>IF($A274="","",IFERROR(INDEX(Prices[Current Price],MATCH($A274,Prices[Key],0)),0))</f>
        <v/>
      </c>
      <c r="I274" s="289" t="str">
        <f>IF($A274="","",IFERROR(INDEX(Prices[FX to SGD],MATCH($A274,Prices[Key],0)),1))</f>
        <v/>
      </c>
      <c r="J274" s="287" t="str">
        <f t="shared" si="44"/>
        <v/>
      </c>
      <c r="K274" s="287" t="str">
        <f t="shared" si="45"/>
        <v/>
      </c>
      <c r="L274" s="287" t="str">
        <f t="shared" si="46"/>
        <v/>
      </c>
      <c r="M274" s="290" t="str">
        <f t="shared" si="47"/>
        <v/>
      </c>
      <c r="N274" t="str">
        <f>IF($A274="","",IFERROR(INDEX(Prices[Category],MATCH($A274,Prices[Key],0)),"Uncategorized"))</f>
        <v/>
      </c>
      <c r="O274" s="291" t="str">
        <f t="shared" si="48"/>
        <v/>
      </c>
      <c r="P274" s="291" t="str">
        <f t="shared" si="49"/>
        <v/>
      </c>
    </row>
    <row r="275" spans="1:16" ht="15" customHeight="1" x14ac:dyDescent="0.2">
      <c r="A275" s="243" t="str">
        <f>IFERROR(INDEX('All Ticker P&amp;L'!$A$2:$A$1001,MATCH(ROWS($A$2:A275),'All Ticker P&amp;L'!$N$2:$N$1001,0)),"")</f>
        <v/>
      </c>
      <c r="B275" s="243" t="str">
        <f t="shared" si="41"/>
        <v/>
      </c>
      <c r="C275" s="243" t="str">
        <f t="shared" si="42"/>
        <v/>
      </c>
      <c r="D275" s="243" t="str">
        <f t="shared" si="43"/>
        <v/>
      </c>
      <c r="E275" s="265" t="str">
        <f>IF($A275="","",SUMIFS(Txn[Signed Units],Txn[Key],$A275))</f>
        <v/>
      </c>
      <c r="F275" s="287" t="str">
        <f>IF($A275="","",SUMIFS(Txn[Buy Cost],Txn[Key],$A275))</f>
        <v/>
      </c>
      <c r="G275" s="287" t="str">
        <f>IF($A275="","",SUMIFS(Txn[Sell Proceeds],Txn[Key],$A275))</f>
        <v/>
      </c>
      <c r="H275" s="288" t="str">
        <f>IF($A275="","",IFERROR(INDEX(Prices[Current Price],MATCH($A275,Prices[Key],0)),0))</f>
        <v/>
      </c>
      <c r="I275" s="289" t="str">
        <f>IF($A275="","",IFERROR(INDEX(Prices[FX to SGD],MATCH($A275,Prices[Key],0)),1))</f>
        <v/>
      </c>
      <c r="J275" s="287" t="str">
        <f t="shared" si="44"/>
        <v/>
      </c>
      <c r="K275" s="287" t="str">
        <f t="shared" si="45"/>
        <v/>
      </c>
      <c r="L275" s="287" t="str">
        <f t="shared" si="46"/>
        <v/>
      </c>
      <c r="M275" s="290" t="str">
        <f t="shared" si="47"/>
        <v/>
      </c>
      <c r="N275" t="str">
        <f>IF($A275="","",IFERROR(INDEX(Prices[Category],MATCH($A275,Prices[Key],0)),"Uncategorized"))</f>
        <v/>
      </c>
      <c r="O275" s="291" t="str">
        <f t="shared" si="48"/>
        <v/>
      </c>
      <c r="P275" s="291" t="str">
        <f t="shared" si="49"/>
        <v/>
      </c>
    </row>
    <row r="276" spans="1:16" ht="15" customHeight="1" x14ac:dyDescent="0.2">
      <c r="A276" s="243" t="str">
        <f>IFERROR(INDEX('All Ticker P&amp;L'!$A$2:$A$1001,MATCH(ROWS($A$2:A276),'All Ticker P&amp;L'!$N$2:$N$1001,0)),"")</f>
        <v/>
      </c>
      <c r="B276" s="243" t="str">
        <f t="shared" si="41"/>
        <v/>
      </c>
      <c r="C276" s="243" t="str">
        <f t="shared" si="42"/>
        <v/>
      </c>
      <c r="D276" s="243" t="str">
        <f t="shared" si="43"/>
        <v/>
      </c>
      <c r="E276" s="265" t="str">
        <f>IF($A276="","",SUMIFS(Txn[Signed Units],Txn[Key],$A276))</f>
        <v/>
      </c>
      <c r="F276" s="287" t="str">
        <f>IF($A276="","",SUMIFS(Txn[Buy Cost],Txn[Key],$A276))</f>
        <v/>
      </c>
      <c r="G276" s="287" t="str">
        <f>IF($A276="","",SUMIFS(Txn[Sell Proceeds],Txn[Key],$A276))</f>
        <v/>
      </c>
      <c r="H276" s="288" t="str">
        <f>IF($A276="","",IFERROR(INDEX(Prices[Current Price],MATCH($A276,Prices[Key],0)),0))</f>
        <v/>
      </c>
      <c r="I276" s="289" t="str">
        <f>IF($A276="","",IFERROR(INDEX(Prices[FX to SGD],MATCH($A276,Prices[Key],0)),1))</f>
        <v/>
      </c>
      <c r="J276" s="287" t="str">
        <f t="shared" si="44"/>
        <v/>
      </c>
      <c r="K276" s="287" t="str">
        <f t="shared" si="45"/>
        <v/>
      </c>
      <c r="L276" s="287" t="str">
        <f t="shared" si="46"/>
        <v/>
      </c>
      <c r="M276" s="290" t="str">
        <f t="shared" si="47"/>
        <v/>
      </c>
      <c r="N276" t="str">
        <f>IF($A276="","",IFERROR(INDEX(Prices[Category],MATCH($A276,Prices[Key],0)),"Uncategorized"))</f>
        <v/>
      </c>
      <c r="O276" s="291" t="str">
        <f t="shared" si="48"/>
        <v/>
      </c>
      <c r="P276" s="291" t="str">
        <f t="shared" si="49"/>
        <v/>
      </c>
    </row>
    <row r="277" spans="1:16" ht="15" customHeight="1" x14ac:dyDescent="0.2">
      <c r="A277" s="243" t="str">
        <f>IFERROR(INDEX('All Ticker P&amp;L'!$A$2:$A$1001,MATCH(ROWS($A$2:A277),'All Ticker P&amp;L'!$N$2:$N$1001,0)),"")</f>
        <v/>
      </c>
      <c r="B277" s="243" t="str">
        <f t="shared" si="41"/>
        <v/>
      </c>
      <c r="C277" s="243" t="str">
        <f t="shared" si="42"/>
        <v/>
      </c>
      <c r="D277" s="243" t="str">
        <f t="shared" si="43"/>
        <v/>
      </c>
      <c r="E277" s="265" t="str">
        <f>IF($A277="","",SUMIFS(Txn[Signed Units],Txn[Key],$A277))</f>
        <v/>
      </c>
      <c r="F277" s="287" t="str">
        <f>IF($A277="","",SUMIFS(Txn[Buy Cost],Txn[Key],$A277))</f>
        <v/>
      </c>
      <c r="G277" s="287" t="str">
        <f>IF($A277="","",SUMIFS(Txn[Sell Proceeds],Txn[Key],$A277))</f>
        <v/>
      </c>
      <c r="H277" s="288" t="str">
        <f>IF($A277="","",IFERROR(INDEX(Prices[Current Price],MATCH($A277,Prices[Key],0)),0))</f>
        <v/>
      </c>
      <c r="I277" s="289" t="str">
        <f>IF($A277="","",IFERROR(INDEX(Prices[FX to SGD],MATCH($A277,Prices[Key],0)),1))</f>
        <v/>
      </c>
      <c r="J277" s="287" t="str">
        <f t="shared" si="44"/>
        <v/>
      </c>
      <c r="K277" s="287" t="str">
        <f t="shared" si="45"/>
        <v/>
      </c>
      <c r="L277" s="287" t="str">
        <f t="shared" si="46"/>
        <v/>
      </c>
      <c r="M277" s="290" t="str">
        <f t="shared" si="47"/>
        <v/>
      </c>
      <c r="N277" t="str">
        <f>IF($A277="","",IFERROR(INDEX(Prices[Category],MATCH($A277,Prices[Key],0)),"Uncategorized"))</f>
        <v/>
      </c>
      <c r="O277" s="291" t="str">
        <f t="shared" si="48"/>
        <v/>
      </c>
      <c r="P277" s="291" t="str">
        <f t="shared" si="49"/>
        <v/>
      </c>
    </row>
    <row r="278" spans="1:16" ht="15" customHeight="1" x14ac:dyDescent="0.2">
      <c r="A278" s="243" t="str">
        <f>IFERROR(INDEX('All Ticker P&amp;L'!$A$2:$A$1001,MATCH(ROWS($A$2:A278),'All Ticker P&amp;L'!$N$2:$N$1001,0)),"")</f>
        <v/>
      </c>
      <c r="B278" s="243" t="str">
        <f t="shared" si="41"/>
        <v/>
      </c>
      <c r="C278" s="243" t="str">
        <f t="shared" si="42"/>
        <v/>
      </c>
      <c r="D278" s="243" t="str">
        <f t="shared" si="43"/>
        <v/>
      </c>
      <c r="E278" s="265" t="str">
        <f>IF($A278="","",SUMIFS(Txn[Signed Units],Txn[Key],$A278))</f>
        <v/>
      </c>
      <c r="F278" s="287" t="str">
        <f>IF($A278="","",SUMIFS(Txn[Buy Cost],Txn[Key],$A278))</f>
        <v/>
      </c>
      <c r="G278" s="287" t="str">
        <f>IF($A278="","",SUMIFS(Txn[Sell Proceeds],Txn[Key],$A278))</f>
        <v/>
      </c>
      <c r="H278" s="288" t="str">
        <f>IF($A278="","",IFERROR(INDEX(Prices[Current Price],MATCH($A278,Prices[Key],0)),0))</f>
        <v/>
      </c>
      <c r="I278" s="289" t="str">
        <f>IF($A278="","",IFERROR(INDEX(Prices[FX to SGD],MATCH($A278,Prices[Key],0)),1))</f>
        <v/>
      </c>
      <c r="J278" s="287" t="str">
        <f t="shared" si="44"/>
        <v/>
      </c>
      <c r="K278" s="287" t="str">
        <f t="shared" si="45"/>
        <v/>
      </c>
      <c r="L278" s="287" t="str">
        <f t="shared" si="46"/>
        <v/>
      </c>
      <c r="M278" s="290" t="str">
        <f t="shared" si="47"/>
        <v/>
      </c>
      <c r="N278" t="str">
        <f>IF($A278="","",IFERROR(INDEX(Prices[Category],MATCH($A278,Prices[Key],0)),"Uncategorized"))</f>
        <v/>
      </c>
      <c r="O278" s="291" t="str">
        <f t="shared" si="48"/>
        <v/>
      </c>
      <c r="P278" s="291" t="str">
        <f t="shared" si="49"/>
        <v/>
      </c>
    </row>
    <row r="279" spans="1:16" ht="15" customHeight="1" x14ac:dyDescent="0.2">
      <c r="A279" s="243" t="str">
        <f>IFERROR(INDEX('All Ticker P&amp;L'!$A$2:$A$1001,MATCH(ROWS($A$2:A279),'All Ticker P&amp;L'!$N$2:$N$1001,0)),"")</f>
        <v/>
      </c>
      <c r="B279" s="243" t="str">
        <f t="shared" si="41"/>
        <v/>
      </c>
      <c r="C279" s="243" t="str">
        <f t="shared" si="42"/>
        <v/>
      </c>
      <c r="D279" s="243" t="str">
        <f t="shared" si="43"/>
        <v/>
      </c>
      <c r="E279" s="265" t="str">
        <f>IF($A279="","",SUMIFS(Txn[Signed Units],Txn[Key],$A279))</f>
        <v/>
      </c>
      <c r="F279" s="287" t="str">
        <f>IF($A279="","",SUMIFS(Txn[Buy Cost],Txn[Key],$A279))</f>
        <v/>
      </c>
      <c r="G279" s="287" t="str">
        <f>IF($A279="","",SUMIFS(Txn[Sell Proceeds],Txn[Key],$A279))</f>
        <v/>
      </c>
      <c r="H279" s="288" t="str">
        <f>IF($A279="","",IFERROR(INDEX(Prices[Current Price],MATCH($A279,Prices[Key],0)),0))</f>
        <v/>
      </c>
      <c r="I279" s="289" t="str">
        <f>IF($A279="","",IFERROR(INDEX(Prices[FX to SGD],MATCH($A279,Prices[Key],0)),1))</f>
        <v/>
      </c>
      <c r="J279" s="287" t="str">
        <f t="shared" si="44"/>
        <v/>
      </c>
      <c r="K279" s="287" t="str">
        <f t="shared" si="45"/>
        <v/>
      </c>
      <c r="L279" s="287" t="str">
        <f t="shared" si="46"/>
        <v/>
      </c>
      <c r="M279" s="290" t="str">
        <f t="shared" si="47"/>
        <v/>
      </c>
      <c r="N279" t="str">
        <f>IF($A279="","",IFERROR(INDEX(Prices[Category],MATCH($A279,Prices[Key],0)),"Uncategorized"))</f>
        <v/>
      </c>
      <c r="O279" s="291" t="str">
        <f t="shared" si="48"/>
        <v/>
      </c>
      <c r="P279" s="291" t="str">
        <f t="shared" si="49"/>
        <v/>
      </c>
    </row>
    <row r="280" spans="1:16" ht="15" customHeight="1" x14ac:dyDescent="0.2">
      <c r="A280" s="243" t="str">
        <f>IFERROR(INDEX('All Ticker P&amp;L'!$A$2:$A$1001,MATCH(ROWS($A$2:A280),'All Ticker P&amp;L'!$N$2:$N$1001,0)),"")</f>
        <v/>
      </c>
      <c r="B280" s="243" t="str">
        <f t="shared" si="41"/>
        <v/>
      </c>
      <c r="C280" s="243" t="str">
        <f t="shared" si="42"/>
        <v/>
      </c>
      <c r="D280" s="243" t="str">
        <f t="shared" si="43"/>
        <v/>
      </c>
      <c r="E280" s="265" t="str">
        <f>IF($A280="","",SUMIFS(Txn[Signed Units],Txn[Key],$A280))</f>
        <v/>
      </c>
      <c r="F280" s="287" t="str">
        <f>IF($A280="","",SUMIFS(Txn[Buy Cost],Txn[Key],$A280))</f>
        <v/>
      </c>
      <c r="G280" s="287" t="str">
        <f>IF($A280="","",SUMIFS(Txn[Sell Proceeds],Txn[Key],$A280))</f>
        <v/>
      </c>
      <c r="H280" s="288" t="str">
        <f>IF($A280="","",IFERROR(INDEX(Prices[Current Price],MATCH($A280,Prices[Key],0)),0))</f>
        <v/>
      </c>
      <c r="I280" s="289" t="str">
        <f>IF($A280="","",IFERROR(INDEX(Prices[FX to SGD],MATCH($A280,Prices[Key],0)),1))</f>
        <v/>
      </c>
      <c r="J280" s="287" t="str">
        <f t="shared" si="44"/>
        <v/>
      </c>
      <c r="K280" s="287" t="str">
        <f t="shared" si="45"/>
        <v/>
      </c>
      <c r="L280" s="287" t="str">
        <f t="shared" si="46"/>
        <v/>
      </c>
      <c r="M280" s="290" t="str">
        <f t="shared" si="47"/>
        <v/>
      </c>
      <c r="N280" t="str">
        <f>IF($A280="","",IFERROR(INDEX(Prices[Category],MATCH($A280,Prices[Key],0)),"Uncategorized"))</f>
        <v/>
      </c>
      <c r="O280" s="291" t="str">
        <f t="shared" si="48"/>
        <v/>
      </c>
      <c r="P280" s="291" t="str">
        <f t="shared" si="49"/>
        <v/>
      </c>
    </row>
    <row r="281" spans="1:16" ht="15" customHeight="1" x14ac:dyDescent="0.2">
      <c r="A281" s="243" t="str">
        <f>IFERROR(INDEX('All Ticker P&amp;L'!$A$2:$A$1001,MATCH(ROWS($A$2:A281),'All Ticker P&amp;L'!$N$2:$N$1001,0)),"")</f>
        <v/>
      </c>
      <c r="B281" s="243" t="str">
        <f t="shared" si="41"/>
        <v/>
      </c>
      <c r="C281" s="243" t="str">
        <f t="shared" si="42"/>
        <v/>
      </c>
      <c r="D281" s="243" t="str">
        <f t="shared" si="43"/>
        <v/>
      </c>
      <c r="E281" s="265" t="str">
        <f>IF($A281="","",SUMIFS(Txn[Signed Units],Txn[Key],$A281))</f>
        <v/>
      </c>
      <c r="F281" s="287" t="str">
        <f>IF($A281="","",SUMIFS(Txn[Buy Cost],Txn[Key],$A281))</f>
        <v/>
      </c>
      <c r="G281" s="287" t="str">
        <f>IF($A281="","",SUMIFS(Txn[Sell Proceeds],Txn[Key],$A281))</f>
        <v/>
      </c>
      <c r="H281" s="288" t="str">
        <f>IF($A281="","",IFERROR(INDEX(Prices[Current Price],MATCH($A281,Prices[Key],0)),0))</f>
        <v/>
      </c>
      <c r="I281" s="289" t="str">
        <f>IF($A281="","",IFERROR(INDEX(Prices[FX to SGD],MATCH($A281,Prices[Key],0)),1))</f>
        <v/>
      </c>
      <c r="J281" s="287" t="str">
        <f t="shared" si="44"/>
        <v/>
      </c>
      <c r="K281" s="287" t="str">
        <f t="shared" si="45"/>
        <v/>
      </c>
      <c r="L281" s="287" t="str">
        <f t="shared" si="46"/>
        <v/>
      </c>
      <c r="M281" s="290" t="str">
        <f t="shared" si="47"/>
        <v/>
      </c>
      <c r="N281" t="str">
        <f>IF($A281="","",IFERROR(INDEX(Prices[Category],MATCH($A281,Prices[Key],0)),"Uncategorized"))</f>
        <v/>
      </c>
      <c r="O281" s="291" t="str">
        <f t="shared" si="48"/>
        <v/>
      </c>
      <c r="P281" s="291" t="str">
        <f t="shared" si="49"/>
        <v/>
      </c>
    </row>
    <row r="282" spans="1:16" ht="15" customHeight="1" x14ac:dyDescent="0.2">
      <c r="A282" s="243" t="str">
        <f>IFERROR(INDEX('All Ticker P&amp;L'!$A$2:$A$1001,MATCH(ROWS($A$2:A282),'All Ticker P&amp;L'!$N$2:$N$1001,0)),"")</f>
        <v/>
      </c>
      <c r="B282" s="243" t="str">
        <f t="shared" si="41"/>
        <v/>
      </c>
      <c r="C282" s="243" t="str">
        <f t="shared" si="42"/>
        <v/>
      </c>
      <c r="D282" s="243" t="str">
        <f t="shared" si="43"/>
        <v/>
      </c>
      <c r="E282" s="265" t="str">
        <f>IF($A282="","",SUMIFS(Txn[Signed Units],Txn[Key],$A282))</f>
        <v/>
      </c>
      <c r="F282" s="287" t="str">
        <f>IF($A282="","",SUMIFS(Txn[Buy Cost],Txn[Key],$A282))</f>
        <v/>
      </c>
      <c r="G282" s="287" t="str">
        <f>IF($A282="","",SUMIFS(Txn[Sell Proceeds],Txn[Key],$A282))</f>
        <v/>
      </c>
      <c r="H282" s="288" t="str">
        <f>IF($A282="","",IFERROR(INDEX(Prices[Current Price],MATCH($A282,Prices[Key],0)),0))</f>
        <v/>
      </c>
      <c r="I282" s="289" t="str">
        <f>IF($A282="","",IFERROR(INDEX(Prices[FX to SGD],MATCH($A282,Prices[Key],0)),1))</f>
        <v/>
      </c>
      <c r="J282" s="287" t="str">
        <f t="shared" si="44"/>
        <v/>
      </c>
      <c r="K282" s="287" t="str">
        <f t="shared" si="45"/>
        <v/>
      </c>
      <c r="L282" s="287" t="str">
        <f t="shared" si="46"/>
        <v/>
      </c>
      <c r="M282" s="290" t="str">
        <f t="shared" si="47"/>
        <v/>
      </c>
      <c r="N282" t="str">
        <f>IF($A282="","",IFERROR(INDEX(Prices[Category],MATCH($A282,Prices[Key],0)),"Uncategorized"))</f>
        <v/>
      </c>
      <c r="O282" s="291" t="str">
        <f t="shared" si="48"/>
        <v/>
      </c>
      <c r="P282" s="291" t="str">
        <f t="shared" si="49"/>
        <v/>
      </c>
    </row>
    <row r="283" spans="1:16" ht="15" customHeight="1" x14ac:dyDescent="0.2">
      <c r="A283" s="243" t="str">
        <f>IFERROR(INDEX('All Ticker P&amp;L'!$A$2:$A$1001,MATCH(ROWS($A$2:A283),'All Ticker P&amp;L'!$N$2:$N$1001,0)),"")</f>
        <v/>
      </c>
      <c r="B283" s="243" t="str">
        <f t="shared" si="41"/>
        <v/>
      </c>
      <c r="C283" s="243" t="str">
        <f t="shared" si="42"/>
        <v/>
      </c>
      <c r="D283" s="243" t="str">
        <f t="shared" si="43"/>
        <v/>
      </c>
      <c r="E283" s="265" t="str">
        <f>IF($A283="","",SUMIFS(Txn[Signed Units],Txn[Key],$A283))</f>
        <v/>
      </c>
      <c r="F283" s="287" t="str">
        <f>IF($A283="","",SUMIFS(Txn[Buy Cost],Txn[Key],$A283))</f>
        <v/>
      </c>
      <c r="G283" s="287" t="str">
        <f>IF($A283="","",SUMIFS(Txn[Sell Proceeds],Txn[Key],$A283))</f>
        <v/>
      </c>
      <c r="H283" s="288" t="str">
        <f>IF($A283="","",IFERROR(INDEX(Prices[Current Price],MATCH($A283,Prices[Key],0)),0))</f>
        <v/>
      </c>
      <c r="I283" s="289" t="str">
        <f>IF($A283="","",IFERROR(INDEX(Prices[FX to SGD],MATCH($A283,Prices[Key],0)),1))</f>
        <v/>
      </c>
      <c r="J283" s="287" t="str">
        <f t="shared" si="44"/>
        <v/>
      </c>
      <c r="K283" s="287" t="str">
        <f t="shared" si="45"/>
        <v/>
      </c>
      <c r="L283" s="287" t="str">
        <f t="shared" si="46"/>
        <v/>
      </c>
      <c r="M283" s="290" t="str">
        <f t="shared" si="47"/>
        <v/>
      </c>
      <c r="N283" t="str">
        <f>IF($A283="","",IFERROR(INDEX(Prices[Category],MATCH($A283,Prices[Key],0)),"Uncategorized"))</f>
        <v/>
      </c>
      <c r="O283" s="291" t="str">
        <f t="shared" si="48"/>
        <v/>
      </c>
      <c r="P283" s="291" t="str">
        <f t="shared" si="49"/>
        <v/>
      </c>
    </row>
    <row r="284" spans="1:16" ht="15" customHeight="1" x14ac:dyDescent="0.2">
      <c r="A284" s="243" t="str">
        <f>IFERROR(INDEX('All Ticker P&amp;L'!$A$2:$A$1001,MATCH(ROWS($A$2:A284),'All Ticker P&amp;L'!$N$2:$N$1001,0)),"")</f>
        <v/>
      </c>
      <c r="B284" s="243" t="str">
        <f t="shared" si="41"/>
        <v/>
      </c>
      <c r="C284" s="243" t="str">
        <f t="shared" si="42"/>
        <v/>
      </c>
      <c r="D284" s="243" t="str">
        <f t="shared" si="43"/>
        <v/>
      </c>
      <c r="E284" s="265" t="str">
        <f>IF($A284="","",SUMIFS(Txn[Signed Units],Txn[Key],$A284))</f>
        <v/>
      </c>
      <c r="F284" s="287" t="str">
        <f>IF($A284="","",SUMIFS(Txn[Buy Cost],Txn[Key],$A284))</f>
        <v/>
      </c>
      <c r="G284" s="287" t="str">
        <f>IF($A284="","",SUMIFS(Txn[Sell Proceeds],Txn[Key],$A284))</f>
        <v/>
      </c>
      <c r="H284" s="288" t="str">
        <f>IF($A284="","",IFERROR(INDEX(Prices[Current Price],MATCH($A284,Prices[Key],0)),0))</f>
        <v/>
      </c>
      <c r="I284" s="289" t="str">
        <f>IF($A284="","",IFERROR(INDEX(Prices[FX to SGD],MATCH($A284,Prices[Key],0)),1))</f>
        <v/>
      </c>
      <c r="J284" s="287" t="str">
        <f t="shared" si="44"/>
        <v/>
      </c>
      <c r="K284" s="287" t="str">
        <f t="shared" si="45"/>
        <v/>
      </c>
      <c r="L284" s="287" t="str">
        <f t="shared" si="46"/>
        <v/>
      </c>
      <c r="M284" s="290" t="str">
        <f t="shared" si="47"/>
        <v/>
      </c>
      <c r="N284" t="str">
        <f>IF($A284="","",IFERROR(INDEX(Prices[Category],MATCH($A284,Prices[Key],0)),"Uncategorized"))</f>
        <v/>
      </c>
      <c r="O284" s="291" t="str">
        <f t="shared" si="48"/>
        <v/>
      </c>
      <c r="P284" s="291" t="str">
        <f t="shared" si="49"/>
        <v/>
      </c>
    </row>
    <row r="285" spans="1:16" ht="15" customHeight="1" x14ac:dyDescent="0.2">
      <c r="A285" s="243" t="str">
        <f>IFERROR(INDEX('All Ticker P&amp;L'!$A$2:$A$1001,MATCH(ROWS($A$2:A285),'All Ticker P&amp;L'!$N$2:$N$1001,0)),"")</f>
        <v/>
      </c>
      <c r="B285" s="243" t="str">
        <f t="shared" si="41"/>
        <v/>
      </c>
      <c r="C285" s="243" t="str">
        <f t="shared" si="42"/>
        <v/>
      </c>
      <c r="D285" s="243" t="str">
        <f t="shared" si="43"/>
        <v/>
      </c>
      <c r="E285" s="265" t="str">
        <f>IF($A285="","",SUMIFS(Txn[Signed Units],Txn[Key],$A285))</f>
        <v/>
      </c>
      <c r="F285" s="287" t="str">
        <f>IF($A285="","",SUMIFS(Txn[Buy Cost],Txn[Key],$A285))</f>
        <v/>
      </c>
      <c r="G285" s="287" t="str">
        <f>IF($A285="","",SUMIFS(Txn[Sell Proceeds],Txn[Key],$A285))</f>
        <v/>
      </c>
      <c r="H285" s="288" t="str">
        <f>IF($A285="","",IFERROR(INDEX(Prices[Current Price],MATCH($A285,Prices[Key],0)),0))</f>
        <v/>
      </c>
      <c r="I285" s="289" t="str">
        <f>IF($A285="","",IFERROR(INDEX(Prices[FX to SGD],MATCH($A285,Prices[Key],0)),1))</f>
        <v/>
      </c>
      <c r="J285" s="287" t="str">
        <f t="shared" si="44"/>
        <v/>
      </c>
      <c r="K285" s="287" t="str">
        <f t="shared" si="45"/>
        <v/>
      </c>
      <c r="L285" s="287" t="str">
        <f t="shared" si="46"/>
        <v/>
      </c>
      <c r="M285" s="290" t="str">
        <f t="shared" si="47"/>
        <v/>
      </c>
      <c r="N285" t="str">
        <f>IF($A285="","",IFERROR(INDEX(Prices[Category],MATCH($A285,Prices[Key],0)),"Uncategorized"))</f>
        <v/>
      </c>
      <c r="O285" s="291" t="str">
        <f t="shared" si="48"/>
        <v/>
      </c>
      <c r="P285" s="291" t="str">
        <f t="shared" si="49"/>
        <v/>
      </c>
    </row>
    <row r="286" spans="1:16" ht="15" customHeight="1" x14ac:dyDescent="0.2">
      <c r="A286" s="243" t="str">
        <f>IFERROR(INDEX('All Ticker P&amp;L'!$A$2:$A$1001,MATCH(ROWS($A$2:A286),'All Ticker P&amp;L'!$N$2:$N$1001,0)),"")</f>
        <v/>
      </c>
      <c r="B286" s="243" t="str">
        <f t="shared" si="41"/>
        <v/>
      </c>
      <c r="C286" s="243" t="str">
        <f t="shared" si="42"/>
        <v/>
      </c>
      <c r="D286" s="243" t="str">
        <f t="shared" si="43"/>
        <v/>
      </c>
      <c r="E286" s="265" t="str">
        <f>IF($A286="","",SUMIFS(Txn[Signed Units],Txn[Key],$A286))</f>
        <v/>
      </c>
      <c r="F286" s="287" t="str">
        <f>IF($A286="","",SUMIFS(Txn[Buy Cost],Txn[Key],$A286))</f>
        <v/>
      </c>
      <c r="G286" s="287" t="str">
        <f>IF($A286="","",SUMIFS(Txn[Sell Proceeds],Txn[Key],$A286))</f>
        <v/>
      </c>
      <c r="H286" s="288" t="str">
        <f>IF($A286="","",IFERROR(INDEX(Prices[Current Price],MATCH($A286,Prices[Key],0)),0))</f>
        <v/>
      </c>
      <c r="I286" s="289" t="str">
        <f>IF($A286="","",IFERROR(INDEX(Prices[FX to SGD],MATCH($A286,Prices[Key],0)),1))</f>
        <v/>
      </c>
      <c r="J286" s="287" t="str">
        <f t="shared" si="44"/>
        <v/>
      </c>
      <c r="K286" s="287" t="str">
        <f t="shared" si="45"/>
        <v/>
      </c>
      <c r="L286" s="287" t="str">
        <f t="shared" si="46"/>
        <v/>
      </c>
      <c r="M286" s="290" t="str">
        <f t="shared" si="47"/>
        <v/>
      </c>
      <c r="N286" t="str">
        <f>IF($A286="","",IFERROR(INDEX(Prices[Category],MATCH($A286,Prices[Key],0)),"Uncategorized"))</f>
        <v/>
      </c>
      <c r="O286" s="291" t="str">
        <f t="shared" si="48"/>
        <v/>
      </c>
      <c r="P286" s="291" t="str">
        <f t="shared" si="49"/>
        <v/>
      </c>
    </row>
    <row r="287" spans="1:16" ht="15" customHeight="1" x14ac:dyDescent="0.2">
      <c r="A287" s="243" t="str">
        <f>IFERROR(INDEX('All Ticker P&amp;L'!$A$2:$A$1001,MATCH(ROWS($A$2:A287),'All Ticker P&amp;L'!$N$2:$N$1001,0)),"")</f>
        <v/>
      </c>
      <c r="B287" s="243" t="str">
        <f t="shared" si="41"/>
        <v/>
      </c>
      <c r="C287" s="243" t="str">
        <f t="shared" si="42"/>
        <v/>
      </c>
      <c r="D287" s="243" t="str">
        <f t="shared" si="43"/>
        <v/>
      </c>
      <c r="E287" s="265" t="str">
        <f>IF($A287="","",SUMIFS(Txn[Signed Units],Txn[Key],$A287))</f>
        <v/>
      </c>
      <c r="F287" s="287" t="str">
        <f>IF($A287="","",SUMIFS(Txn[Buy Cost],Txn[Key],$A287))</f>
        <v/>
      </c>
      <c r="G287" s="287" t="str">
        <f>IF($A287="","",SUMIFS(Txn[Sell Proceeds],Txn[Key],$A287))</f>
        <v/>
      </c>
      <c r="H287" s="288" t="str">
        <f>IF($A287="","",IFERROR(INDEX(Prices[Current Price],MATCH($A287,Prices[Key],0)),0))</f>
        <v/>
      </c>
      <c r="I287" s="289" t="str">
        <f>IF($A287="","",IFERROR(INDEX(Prices[FX to SGD],MATCH($A287,Prices[Key],0)),1))</f>
        <v/>
      </c>
      <c r="J287" s="287" t="str">
        <f t="shared" si="44"/>
        <v/>
      </c>
      <c r="K287" s="287" t="str">
        <f t="shared" si="45"/>
        <v/>
      </c>
      <c r="L287" s="287" t="str">
        <f t="shared" si="46"/>
        <v/>
      </c>
      <c r="M287" s="290" t="str">
        <f t="shared" si="47"/>
        <v/>
      </c>
      <c r="N287" t="str">
        <f>IF($A287="","",IFERROR(INDEX(Prices[Category],MATCH($A287,Prices[Key],0)),"Uncategorized"))</f>
        <v/>
      </c>
      <c r="O287" s="291" t="str">
        <f t="shared" si="48"/>
        <v/>
      </c>
      <c r="P287" s="291" t="str">
        <f t="shared" si="49"/>
        <v/>
      </c>
    </row>
    <row r="288" spans="1:16" ht="15" customHeight="1" x14ac:dyDescent="0.2">
      <c r="A288" s="243" t="str">
        <f>IFERROR(INDEX('All Ticker P&amp;L'!$A$2:$A$1001,MATCH(ROWS($A$2:A288),'All Ticker P&amp;L'!$N$2:$N$1001,0)),"")</f>
        <v/>
      </c>
      <c r="B288" s="243" t="str">
        <f t="shared" si="41"/>
        <v/>
      </c>
      <c r="C288" s="243" t="str">
        <f t="shared" si="42"/>
        <v/>
      </c>
      <c r="D288" s="243" t="str">
        <f t="shared" si="43"/>
        <v/>
      </c>
      <c r="E288" s="265" t="str">
        <f>IF($A288="","",SUMIFS(Txn[Signed Units],Txn[Key],$A288))</f>
        <v/>
      </c>
      <c r="F288" s="287" t="str">
        <f>IF($A288="","",SUMIFS(Txn[Buy Cost],Txn[Key],$A288))</f>
        <v/>
      </c>
      <c r="G288" s="287" t="str">
        <f>IF($A288="","",SUMIFS(Txn[Sell Proceeds],Txn[Key],$A288))</f>
        <v/>
      </c>
      <c r="H288" s="288" t="str">
        <f>IF($A288="","",IFERROR(INDEX(Prices[Current Price],MATCH($A288,Prices[Key],0)),0))</f>
        <v/>
      </c>
      <c r="I288" s="289" t="str">
        <f>IF($A288="","",IFERROR(INDEX(Prices[FX to SGD],MATCH($A288,Prices[Key],0)),1))</f>
        <v/>
      </c>
      <c r="J288" s="287" t="str">
        <f t="shared" si="44"/>
        <v/>
      </c>
      <c r="K288" s="287" t="str">
        <f t="shared" si="45"/>
        <v/>
      </c>
      <c r="L288" s="287" t="str">
        <f t="shared" si="46"/>
        <v/>
      </c>
      <c r="M288" s="290" t="str">
        <f t="shared" si="47"/>
        <v/>
      </c>
      <c r="N288" t="str">
        <f>IF($A288="","",IFERROR(INDEX(Prices[Category],MATCH($A288,Prices[Key],0)),"Uncategorized"))</f>
        <v/>
      </c>
      <c r="O288" s="291" t="str">
        <f t="shared" si="48"/>
        <v/>
      </c>
      <c r="P288" s="291" t="str">
        <f t="shared" si="49"/>
        <v/>
      </c>
    </row>
    <row r="289" spans="1:16" ht="15" customHeight="1" x14ac:dyDescent="0.2">
      <c r="A289" s="243" t="str">
        <f>IFERROR(INDEX('All Ticker P&amp;L'!$A$2:$A$1001,MATCH(ROWS($A$2:A289),'All Ticker P&amp;L'!$N$2:$N$1001,0)),"")</f>
        <v/>
      </c>
      <c r="B289" s="243" t="str">
        <f t="shared" si="41"/>
        <v/>
      </c>
      <c r="C289" s="243" t="str">
        <f t="shared" si="42"/>
        <v/>
      </c>
      <c r="D289" s="243" t="str">
        <f t="shared" si="43"/>
        <v/>
      </c>
      <c r="E289" s="265" t="str">
        <f>IF($A289="","",SUMIFS(Txn[Signed Units],Txn[Key],$A289))</f>
        <v/>
      </c>
      <c r="F289" s="287" t="str">
        <f>IF($A289="","",SUMIFS(Txn[Buy Cost],Txn[Key],$A289))</f>
        <v/>
      </c>
      <c r="G289" s="287" t="str">
        <f>IF($A289="","",SUMIFS(Txn[Sell Proceeds],Txn[Key],$A289))</f>
        <v/>
      </c>
      <c r="H289" s="288" t="str">
        <f>IF($A289="","",IFERROR(INDEX(Prices[Current Price],MATCH($A289,Prices[Key],0)),0))</f>
        <v/>
      </c>
      <c r="I289" s="289" t="str">
        <f>IF($A289="","",IFERROR(INDEX(Prices[FX to SGD],MATCH($A289,Prices[Key],0)),1))</f>
        <v/>
      </c>
      <c r="J289" s="287" t="str">
        <f t="shared" si="44"/>
        <v/>
      </c>
      <c r="K289" s="287" t="str">
        <f t="shared" si="45"/>
        <v/>
      </c>
      <c r="L289" s="287" t="str">
        <f t="shared" si="46"/>
        <v/>
      </c>
      <c r="M289" s="290" t="str">
        <f t="shared" si="47"/>
        <v/>
      </c>
      <c r="N289" t="str">
        <f>IF($A289="","",IFERROR(INDEX(Prices[Category],MATCH($A289,Prices[Key],0)),"Uncategorized"))</f>
        <v/>
      </c>
      <c r="O289" s="291" t="str">
        <f t="shared" si="48"/>
        <v/>
      </c>
      <c r="P289" s="291" t="str">
        <f t="shared" si="49"/>
        <v/>
      </c>
    </row>
    <row r="290" spans="1:16" ht="15" customHeight="1" x14ac:dyDescent="0.2">
      <c r="A290" s="243" t="str">
        <f>IFERROR(INDEX('All Ticker P&amp;L'!$A$2:$A$1001,MATCH(ROWS($A$2:A290),'All Ticker P&amp;L'!$N$2:$N$1001,0)),"")</f>
        <v/>
      </c>
      <c r="B290" s="243" t="str">
        <f t="shared" si="41"/>
        <v/>
      </c>
      <c r="C290" s="243" t="str">
        <f t="shared" si="42"/>
        <v/>
      </c>
      <c r="D290" s="243" t="str">
        <f t="shared" si="43"/>
        <v/>
      </c>
      <c r="E290" s="265" t="str">
        <f>IF($A290="","",SUMIFS(Txn[Signed Units],Txn[Key],$A290))</f>
        <v/>
      </c>
      <c r="F290" s="287" t="str">
        <f>IF($A290="","",SUMIFS(Txn[Buy Cost],Txn[Key],$A290))</f>
        <v/>
      </c>
      <c r="G290" s="287" t="str">
        <f>IF($A290="","",SUMIFS(Txn[Sell Proceeds],Txn[Key],$A290))</f>
        <v/>
      </c>
      <c r="H290" s="288" t="str">
        <f>IF($A290="","",IFERROR(INDEX(Prices[Current Price],MATCH($A290,Prices[Key],0)),0))</f>
        <v/>
      </c>
      <c r="I290" s="289" t="str">
        <f>IF($A290="","",IFERROR(INDEX(Prices[FX to SGD],MATCH($A290,Prices[Key],0)),1))</f>
        <v/>
      </c>
      <c r="J290" s="287" t="str">
        <f t="shared" si="44"/>
        <v/>
      </c>
      <c r="K290" s="287" t="str">
        <f t="shared" si="45"/>
        <v/>
      </c>
      <c r="L290" s="287" t="str">
        <f t="shared" si="46"/>
        <v/>
      </c>
      <c r="M290" s="290" t="str">
        <f t="shared" si="47"/>
        <v/>
      </c>
      <c r="N290" t="str">
        <f>IF($A290="","",IFERROR(INDEX(Prices[Category],MATCH($A290,Prices[Key],0)),"Uncategorized"))</f>
        <v/>
      </c>
      <c r="O290" s="291" t="str">
        <f t="shared" si="48"/>
        <v/>
      </c>
      <c r="P290" s="291" t="str">
        <f t="shared" si="49"/>
        <v/>
      </c>
    </row>
    <row r="291" spans="1:16" ht="15" customHeight="1" x14ac:dyDescent="0.2">
      <c r="A291" s="243" t="str">
        <f>IFERROR(INDEX('All Ticker P&amp;L'!$A$2:$A$1001,MATCH(ROWS($A$2:A291),'All Ticker P&amp;L'!$N$2:$N$1001,0)),"")</f>
        <v/>
      </c>
      <c r="B291" s="243" t="str">
        <f t="shared" si="41"/>
        <v/>
      </c>
      <c r="C291" s="243" t="str">
        <f t="shared" si="42"/>
        <v/>
      </c>
      <c r="D291" s="243" t="str">
        <f t="shared" si="43"/>
        <v/>
      </c>
      <c r="E291" s="265" t="str">
        <f>IF($A291="","",SUMIFS(Txn[Signed Units],Txn[Key],$A291))</f>
        <v/>
      </c>
      <c r="F291" s="287" t="str">
        <f>IF($A291="","",SUMIFS(Txn[Buy Cost],Txn[Key],$A291))</f>
        <v/>
      </c>
      <c r="G291" s="287" t="str">
        <f>IF($A291="","",SUMIFS(Txn[Sell Proceeds],Txn[Key],$A291))</f>
        <v/>
      </c>
      <c r="H291" s="288" t="str">
        <f>IF($A291="","",IFERROR(INDEX(Prices[Current Price],MATCH($A291,Prices[Key],0)),0))</f>
        <v/>
      </c>
      <c r="I291" s="289" t="str">
        <f>IF($A291="","",IFERROR(INDEX(Prices[FX to SGD],MATCH($A291,Prices[Key],0)),1))</f>
        <v/>
      </c>
      <c r="J291" s="287" t="str">
        <f t="shared" si="44"/>
        <v/>
      </c>
      <c r="K291" s="287" t="str">
        <f t="shared" si="45"/>
        <v/>
      </c>
      <c r="L291" s="287" t="str">
        <f t="shared" si="46"/>
        <v/>
      </c>
      <c r="M291" s="290" t="str">
        <f t="shared" si="47"/>
        <v/>
      </c>
      <c r="N291" t="str">
        <f>IF($A291="","",IFERROR(INDEX(Prices[Category],MATCH($A291,Prices[Key],0)),"Uncategorized"))</f>
        <v/>
      </c>
      <c r="O291" s="291" t="str">
        <f t="shared" si="48"/>
        <v/>
      </c>
      <c r="P291" s="291" t="str">
        <f t="shared" si="49"/>
        <v/>
      </c>
    </row>
    <row r="292" spans="1:16" ht="15" customHeight="1" x14ac:dyDescent="0.2">
      <c r="A292" s="243" t="str">
        <f>IFERROR(INDEX('All Ticker P&amp;L'!$A$2:$A$1001,MATCH(ROWS($A$2:A292),'All Ticker P&amp;L'!$N$2:$N$1001,0)),"")</f>
        <v/>
      </c>
      <c r="B292" s="243" t="str">
        <f t="shared" si="41"/>
        <v/>
      </c>
      <c r="C292" s="243" t="str">
        <f t="shared" si="42"/>
        <v/>
      </c>
      <c r="D292" s="243" t="str">
        <f t="shared" si="43"/>
        <v/>
      </c>
      <c r="E292" s="265" t="str">
        <f>IF($A292="","",SUMIFS(Txn[Signed Units],Txn[Key],$A292))</f>
        <v/>
      </c>
      <c r="F292" s="287" t="str">
        <f>IF($A292="","",SUMIFS(Txn[Buy Cost],Txn[Key],$A292))</f>
        <v/>
      </c>
      <c r="G292" s="287" t="str">
        <f>IF($A292="","",SUMIFS(Txn[Sell Proceeds],Txn[Key],$A292))</f>
        <v/>
      </c>
      <c r="H292" s="288" t="str">
        <f>IF($A292="","",IFERROR(INDEX(Prices[Current Price],MATCH($A292,Prices[Key],0)),0))</f>
        <v/>
      </c>
      <c r="I292" s="289" t="str">
        <f>IF($A292="","",IFERROR(INDEX(Prices[FX to SGD],MATCH($A292,Prices[Key],0)),1))</f>
        <v/>
      </c>
      <c r="J292" s="287" t="str">
        <f t="shared" si="44"/>
        <v/>
      </c>
      <c r="K292" s="287" t="str">
        <f t="shared" si="45"/>
        <v/>
      </c>
      <c r="L292" s="287" t="str">
        <f t="shared" si="46"/>
        <v/>
      </c>
      <c r="M292" s="290" t="str">
        <f t="shared" si="47"/>
        <v/>
      </c>
      <c r="N292" t="str">
        <f>IF($A292="","",IFERROR(INDEX(Prices[Category],MATCH($A292,Prices[Key],0)),"Uncategorized"))</f>
        <v/>
      </c>
      <c r="O292" s="291" t="str">
        <f t="shared" si="48"/>
        <v/>
      </c>
      <c r="P292" s="291" t="str">
        <f t="shared" si="49"/>
        <v/>
      </c>
    </row>
    <row r="293" spans="1:16" ht="15" customHeight="1" x14ac:dyDescent="0.2">
      <c r="A293" s="243" t="str">
        <f>IFERROR(INDEX('All Ticker P&amp;L'!$A$2:$A$1001,MATCH(ROWS($A$2:A293),'All Ticker P&amp;L'!$N$2:$N$1001,0)),"")</f>
        <v/>
      </c>
      <c r="B293" s="243" t="str">
        <f t="shared" si="41"/>
        <v/>
      </c>
      <c r="C293" s="243" t="str">
        <f t="shared" si="42"/>
        <v/>
      </c>
      <c r="D293" s="243" t="str">
        <f t="shared" si="43"/>
        <v/>
      </c>
      <c r="E293" s="265" t="str">
        <f>IF($A293="","",SUMIFS(Txn[Signed Units],Txn[Key],$A293))</f>
        <v/>
      </c>
      <c r="F293" s="287" t="str">
        <f>IF($A293="","",SUMIFS(Txn[Buy Cost],Txn[Key],$A293))</f>
        <v/>
      </c>
      <c r="G293" s="287" t="str">
        <f>IF($A293="","",SUMIFS(Txn[Sell Proceeds],Txn[Key],$A293))</f>
        <v/>
      </c>
      <c r="H293" s="288" t="str">
        <f>IF($A293="","",IFERROR(INDEX(Prices[Current Price],MATCH($A293,Prices[Key],0)),0))</f>
        <v/>
      </c>
      <c r="I293" s="289" t="str">
        <f>IF($A293="","",IFERROR(INDEX(Prices[FX to SGD],MATCH($A293,Prices[Key],0)),1))</f>
        <v/>
      </c>
      <c r="J293" s="287" t="str">
        <f t="shared" si="44"/>
        <v/>
      </c>
      <c r="K293" s="287" t="str">
        <f t="shared" si="45"/>
        <v/>
      </c>
      <c r="L293" s="287" t="str">
        <f t="shared" si="46"/>
        <v/>
      </c>
      <c r="M293" s="290" t="str">
        <f t="shared" si="47"/>
        <v/>
      </c>
      <c r="N293" t="str">
        <f>IF($A293="","",IFERROR(INDEX(Prices[Category],MATCH($A293,Prices[Key],0)),"Uncategorized"))</f>
        <v/>
      </c>
      <c r="O293" s="291" t="str">
        <f t="shared" si="48"/>
        <v/>
      </c>
      <c r="P293" s="291" t="str">
        <f t="shared" si="49"/>
        <v/>
      </c>
    </row>
    <row r="294" spans="1:16" ht="15" customHeight="1" x14ac:dyDescent="0.2">
      <c r="A294" s="243" t="str">
        <f>IFERROR(INDEX('All Ticker P&amp;L'!$A$2:$A$1001,MATCH(ROWS($A$2:A294),'All Ticker P&amp;L'!$N$2:$N$1001,0)),"")</f>
        <v/>
      </c>
      <c r="B294" s="243" t="str">
        <f t="shared" si="41"/>
        <v/>
      </c>
      <c r="C294" s="243" t="str">
        <f t="shared" si="42"/>
        <v/>
      </c>
      <c r="D294" s="243" t="str">
        <f t="shared" si="43"/>
        <v/>
      </c>
      <c r="E294" s="265" t="str">
        <f>IF($A294="","",SUMIFS(Txn[Signed Units],Txn[Key],$A294))</f>
        <v/>
      </c>
      <c r="F294" s="287" t="str">
        <f>IF($A294="","",SUMIFS(Txn[Buy Cost],Txn[Key],$A294))</f>
        <v/>
      </c>
      <c r="G294" s="287" t="str">
        <f>IF($A294="","",SUMIFS(Txn[Sell Proceeds],Txn[Key],$A294))</f>
        <v/>
      </c>
      <c r="H294" s="288" t="str">
        <f>IF($A294="","",IFERROR(INDEX(Prices[Current Price],MATCH($A294,Prices[Key],0)),0))</f>
        <v/>
      </c>
      <c r="I294" s="289" t="str">
        <f>IF($A294="","",IFERROR(INDEX(Prices[FX to SGD],MATCH($A294,Prices[Key],0)),1))</f>
        <v/>
      </c>
      <c r="J294" s="287" t="str">
        <f t="shared" si="44"/>
        <v/>
      </c>
      <c r="K294" s="287" t="str">
        <f t="shared" si="45"/>
        <v/>
      </c>
      <c r="L294" s="287" t="str">
        <f t="shared" si="46"/>
        <v/>
      </c>
      <c r="M294" s="290" t="str">
        <f t="shared" si="47"/>
        <v/>
      </c>
      <c r="N294" t="str">
        <f>IF($A294="","",IFERROR(INDEX(Prices[Category],MATCH($A294,Prices[Key],0)),"Uncategorized"))</f>
        <v/>
      </c>
      <c r="O294" s="291" t="str">
        <f t="shared" si="48"/>
        <v/>
      </c>
      <c r="P294" s="291" t="str">
        <f t="shared" si="49"/>
        <v/>
      </c>
    </row>
    <row r="295" spans="1:16" ht="15" customHeight="1" x14ac:dyDescent="0.2">
      <c r="A295" s="243" t="str">
        <f>IFERROR(INDEX('All Ticker P&amp;L'!$A$2:$A$1001,MATCH(ROWS($A$2:A295),'All Ticker P&amp;L'!$N$2:$N$1001,0)),"")</f>
        <v/>
      </c>
      <c r="B295" s="243" t="str">
        <f t="shared" si="41"/>
        <v/>
      </c>
      <c r="C295" s="243" t="str">
        <f t="shared" si="42"/>
        <v/>
      </c>
      <c r="D295" s="243" t="str">
        <f t="shared" si="43"/>
        <v/>
      </c>
      <c r="E295" s="265" t="str">
        <f>IF($A295="","",SUMIFS(Txn[Signed Units],Txn[Key],$A295))</f>
        <v/>
      </c>
      <c r="F295" s="287" t="str">
        <f>IF($A295="","",SUMIFS(Txn[Buy Cost],Txn[Key],$A295))</f>
        <v/>
      </c>
      <c r="G295" s="287" t="str">
        <f>IF($A295="","",SUMIFS(Txn[Sell Proceeds],Txn[Key],$A295))</f>
        <v/>
      </c>
      <c r="H295" s="288" t="str">
        <f>IF($A295="","",IFERROR(INDEX(Prices[Current Price],MATCH($A295,Prices[Key],0)),0))</f>
        <v/>
      </c>
      <c r="I295" s="289" t="str">
        <f>IF($A295="","",IFERROR(INDEX(Prices[FX to SGD],MATCH($A295,Prices[Key],0)),1))</f>
        <v/>
      </c>
      <c r="J295" s="287" t="str">
        <f t="shared" si="44"/>
        <v/>
      </c>
      <c r="K295" s="287" t="str">
        <f t="shared" si="45"/>
        <v/>
      </c>
      <c r="L295" s="287" t="str">
        <f t="shared" si="46"/>
        <v/>
      </c>
      <c r="M295" s="290" t="str">
        <f t="shared" si="47"/>
        <v/>
      </c>
      <c r="N295" t="str">
        <f>IF($A295="","",IFERROR(INDEX(Prices[Category],MATCH($A295,Prices[Key],0)),"Uncategorized"))</f>
        <v/>
      </c>
      <c r="O295" s="291" t="str">
        <f t="shared" si="48"/>
        <v/>
      </c>
      <c r="P295" s="291" t="str">
        <f t="shared" si="49"/>
        <v/>
      </c>
    </row>
    <row r="296" spans="1:16" ht="15" customHeight="1" x14ac:dyDescent="0.2">
      <c r="A296" s="243" t="str">
        <f>IFERROR(INDEX('All Ticker P&amp;L'!$A$2:$A$1001,MATCH(ROWS($A$2:A296),'All Ticker P&amp;L'!$N$2:$N$1001,0)),"")</f>
        <v/>
      </c>
      <c r="B296" s="243" t="str">
        <f t="shared" si="41"/>
        <v/>
      </c>
      <c r="C296" s="243" t="str">
        <f t="shared" si="42"/>
        <v/>
      </c>
      <c r="D296" s="243" t="str">
        <f t="shared" si="43"/>
        <v/>
      </c>
      <c r="E296" s="265" t="str">
        <f>IF($A296="","",SUMIFS(Txn[Signed Units],Txn[Key],$A296))</f>
        <v/>
      </c>
      <c r="F296" s="287" t="str">
        <f>IF($A296="","",SUMIFS(Txn[Buy Cost],Txn[Key],$A296))</f>
        <v/>
      </c>
      <c r="G296" s="287" t="str">
        <f>IF($A296="","",SUMIFS(Txn[Sell Proceeds],Txn[Key],$A296))</f>
        <v/>
      </c>
      <c r="H296" s="288" t="str">
        <f>IF($A296="","",IFERROR(INDEX(Prices[Current Price],MATCH($A296,Prices[Key],0)),0))</f>
        <v/>
      </c>
      <c r="I296" s="289" t="str">
        <f>IF($A296="","",IFERROR(INDEX(Prices[FX to SGD],MATCH($A296,Prices[Key],0)),1))</f>
        <v/>
      </c>
      <c r="J296" s="287" t="str">
        <f t="shared" si="44"/>
        <v/>
      </c>
      <c r="K296" s="287" t="str">
        <f t="shared" si="45"/>
        <v/>
      </c>
      <c r="L296" s="287" t="str">
        <f t="shared" si="46"/>
        <v/>
      </c>
      <c r="M296" s="290" t="str">
        <f t="shared" si="47"/>
        <v/>
      </c>
      <c r="N296" t="str">
        <f>IF($A296="","",IFERROR(INDEX(Prices[Category],MATCH($A296,Prices[Key],0)),"Uncategorized"))</f>
        <v/>
      </c>
      <c r="O296" s="291" t="str">
        <f t="shared" si="48"/>
        <v/>
      </c>
      <c r="P296" s="291" t="str">
        <f t="shared" si="49"/>
        <v/>
      </c>
    </row>
    <row r="297" spans="1:16" ht="15" customHeight="1" x14ac:dyDescent="0.2">
      <c r="A297" s="243" t="str">
        <f>IFERROR(INDEX('All Ticker P&amp;L'!$A$2:$A$1001,MATCH(ROWS($A$2:A297),'All Ticker P&amp;L'!$N$2:$N$1001,0)),"")</f>
        <v/>
      </c>
      <c r="B297" s="243" t="str">
        <f t="shared" si="41"/>
        <v/>
      </c>
      <c r="C297" s="243" t="str">
        <f t="shared" si="42"/>
        <v/>
      </c>
      <c r="D297" s="243" t="str">
        <f t="shared" si="43"/>
        <v/>
      </c>
      <c r="E297" s="265" t="str">
        <f>IF($A297="","",SUMIFS(Txn[Signed Units],Txn[Key],$A297))</f>
        <v/>
      </c>
      <c r="F297" s="287" t="str">
        <f>IF($A297="","",SUMIFS(Txn[Buy Cost],Txn[Key],$A297))</f>
        <v/>
      </c>
      <c r="G297" s="287" t="str">
        <f>IF($A297="","",SUMIFS(Txn[Sell Proceeds],Txn[Key],$A297))</f>
        <v/>
      </c>
      <c r="H297" s="288" t="str">
        <f>IF($A297="","",IFERROR(INDEX(Prices[Current Price],MATCH($A297,Prices[Key],0)),0))</f>
        <v/>
      </c>
      <c r="I297" s="289" t="str">
        <f>IF($A297="","",IFERROR(INDEX(Prices[FX to SGD],MATCH($A297,Prices[Key],0)),1))</f>
        <v/>
      </c>
      <c r="J297" s="287" t="str">
        <f t="shared" si="44"/>
        <v/>
      </c>
      <c r="K297" s="287" t="str">
        <f t="shared" si="45"/>
        <v/>
      </c>
      <c r="L297" s="287" t="str">
        <f t="shared" si="46"/>
        <v/>
      </c>
      <c r="M297" s="290" t="str">
        <f t="shared" si="47"/>
        <v/>
      </c>
      <c r="N297" t="str">
        <f>IF($A297="","",IFERROR(INDEX(Prices[Category],MATCH($A297,Prices[Key],0)),"Uncategorized"))</f>
        <v/>
      </c>
      <c r="O297" s="291" t="str">
        <f t="shared" si="48"/>
        <v/>
      </c>
      <c r="P297" s="291" t="str">
        <f t="shared" si="49"/>
        <v/>
      </c>
    </row>
    <row r="298" spans="1:16" ht="15" customHeight="1" x14ac:dyDescent="0.2">
      <c r="A298" s="243" t="str">
        <f>IFERROR(INDEX('All Ticker P&amp;L'!$A$2:$A$1001,MATCH(ROWS($A$2:A298),'All Ticker P&amp;L'!$N$2:$N$1001,0)),"")</f>
        <v/>
      </c>
      <c r="B298" s="243" t="str">
        <f t="shared" si="41"/>
        <v/>
      </c>
      <c r="C298" s="243" t="str">
        <f t="shared" si="42"/>
        <v/>
      </c>
      <c r="D298" s="243" t="str">
        <f t="shared" si="43"/>
        <v/>
      </c>
      <c r="E298" s="265" t="str">
        <f>IF($A298="","",SUMIFS(Txn[Signed Units],Txn[Key],$A298))</f>
        <v/>
      </c>
      <c r="F298" s="287" t="str">
        <f>IF($A298="","",SUMIFS(Txn[Buy Cost],Txn[Key],$A298))</f>
        <v/>
      </c>
      <c r="G298" s="287" t="str">
        <f>IF($A298="","",SUMIFS(Txn[Sell Proceeds],Txn[Key],$A298))</f>
        <v/>
      </c>
      <c r="H298" s="288" t="str">
        <f>IF($A298="","",IFERROR(INDEX(Prices[Current Price],MATCH($A298,Prices[Key],0)),0))</f>
        <v/>
      </c>
      <c r="I298" s="289" t="str">
        <f>IF($A298="","",IFERROR(INDEX(Prices[FX to SGD],MATCH($A298,Prices[Key],0)),1))</f>
        <v/>
      </c>
      <c r="J298" s="287" t="str">
        <f t="shared" si="44"/>
        <v/>
      </c>
      <c r="K298" s="287" t="str">
        <f t="shared" si="45"/>
        <v/>
      </c>
      <c r="L298" s="287" t="str">
        <f t="shared" si="46"/>
        <v/>
      </c>
      <c r="M298" s="290" t="str">
        <f t="shared" si="47"/>
        <v/>
      </c>
      <c r="N298" t="str">
        <f>IF($A298="","",IFERROR(INDEX(Prices[Category],MATCH($A298,Prices[Key],0)),"Uncategorized"))</f>
        <v/>
      </c>
      <c r="O298" s="291" t="str">
        <f t="shared" si="48"/>
        <v/>
      </c>
      <c r="P298" s="291" t="str">
        <f t="shared" si="49"/>
        <v/>
      </c>
    </row>
    <row r="299" spans="1:16" ht="15" customHeight="1" x14ac:dyDescent="0.2">
      <c r="A299" s="243" t="str">
        <f>IFERROR(INDEX('All Ticker P&amp;L'!$A$2:$A$1001,MATCH(ROWS($A$2:A299),'All Ticker P&amp;L'!$N$2:$N$1001,0)),"")</f>
        <v/>
      </c>
      <c r="B299" s="243" t="str">
        <f t="shared" si="41"/>
        <v/>
      </c>
      <c r="C299" s="243" t="str">
        <f t="shared" si="42"/>
        <v/>
      </c>
      <c r="D299" s="243" t="str">
        <f t="shared" si="43"/>
        <v/>
      </c>
      <c r="E299" s="265" t="str">
        <f>IF($A299="","",SUMIFS(Txn[Signed Units],Txn[Key],$A299))</f>
        <v/>
      </c>
      <c r="F299" s="287" t="str">
        <f>IF($A299="","",SUMIFS(Txn[Buy Cost],Txn[Key],$A299))</f>
        <v/>
      </c>
      <c r="G299" s="287" t="str">
        <f>IF($A299="","",SUMIFS(Txn[Sell Proceeds],Txn[Key],$A299))</f>
        <v/>
      </c>
      <c r="H299" s="288" t="str">
        <f>IF($A299="","",IFERROR(INDEX(Prices[Current Price],MATCH($A299,Prices[Key],0)),0))</f>
        <v/>
      </c>
      <c r="I299" s="289" t="str">
        <f>IF($A299="","",IFERROR(INDEX(Prices[FX to SGD],MATCH($A299,Prices[Key],0)),1))</f>
        <v/>
      </c>
      <c r="J299" s="287" t="str">
        <f t="shared" si="44"/>
        <v/>
      </c>
      <c r="K299" s="287" t="str">
        <f t="shared" si="45"/>
        <v/>
      </c>
      <c r="L299" s="287" t="str">
        <f t="shared" si="46"/>
        <v/>
      </c>
      <c r="M299" s="290" t="str">
        <f t="shared" si="47"/>
        <v/>
      </c>
      <c r="N299" t="str">
        <f>IF($A299="","",IFERROR(INDEX(Prices[Category],MATCH($A299,Prices[Key],0)),"Uncategorized"))</f>
        <v/>
      </c>
      <c r="O299" s="291" t="str">
        <f t="shared" si="48"/>
        <v/>
      </c>
      <c r="P299" s="291" t="str">
        <f t="shared" si="49"/>
        <v/>
      </c>
    </row>
    <row r="300" spans="1:16" ht="15" customHeight="1" x14ac:dyDescent="0.2">
      <c r="A300" s="243" t="str">
        <f>IFERROR(INDEX('All Ticker P&amp;L'!$A$2:$A$1001,MATCH(ROWS($A$2:A300),'All Ticker P&amp;L'!$N$2:$N$1001,0)),"")</f>
        <v/>
      </c>
      <c r="B300" s="243" t="str">
        <f t="shared" si="41"/>
        <v/>
      </c>
      <c r="C300" s="243" t="str">
        <f t="shared" si="42"/>
        <v/>
      </c>
      <c r="D300" s="243" t="str">
        <f t="shared" si="43"/>
        <v/>
      </c>
      <c r="E300" s="265" t="str">
        <f>IF($A300="","",SUMIFS(Txn[Signed Units],Txn[Key],$A300))</f>
        <v/>
      </c>
      <c r="F300" s="287" t="str">
        <f>IF($A300="","",SUMIFS(Txn[Buy Cost],Txn[Key],$A300))</f>
        <v/>
      </c>
      <c r="G300" s="287" t="str">
        <f>IF($A300="","",SUMIFS(Txn[Sell Proceeds],Txn[Key],$A300))</f>
        <v/>
      </c>
      <c r="H300" s="288" t="str">
        <f>IF($A300="","",IFERROR(INDEX(Prices[Current Price],MATCH($A300,Prices[Key],0)),0))</f>
        <v/>
      </c>
      <c r="I300" s="289" t="str">
        <f>IF($A300="","",IFERROR(INDEX(Prices[FX to SGD],MATCH($A300,Prices[Key],0)),1))</f>
        <v/>
      </c>
      <c r="J300" s="287" t="str">
        <f t="shared" si="44"/>
        <v/>
      </c>
      <c r="K300" s="287" t="str">
        <f t="shared" si="45"/>
        <v/>
      </c>
      <c r="L300" s="287" t="str">
        <f t="shared" si="46"/>
        <v/>
      </c>
      <c r="M300" s="290" t="str">
        <f t="shared" si="47"/>
        <v/>
      </c>
      <c r="N300" t="str">
        <f>IF($A300="","",IFERROR(INDEX(Prices[Category],MATCH($A300,Prices[Key],0)),"Uncategorized"))</f>
        <v/>
      </c>
      <c r="O300" s="291" t="str">
        <f t="shared" si="48"/>
        <v/>
      </c>
      <c r="P300" s="291" t="str">
        <f t="shared" si="49"/>
        <v/>
      </c>
    </row>
    <row r="301" spans="1:16" ht="15" customHeight="1" x14ac:dyDescent="0.2">
      <c r="A301" s="243" t="str">
        <f>IFERROR(INDEX('All Ticker P&amp;L'!$A$2:$A$1001,MATCH(ROWS($A$2:A301),'All Ticker P&amp;L'!$N$2:$N$1001,0)),"")</f>
        <v/>
      </c>
      <c r="B301" s="243" t="str">
        <f t="shared" si="41"/>
        <v/>
      </c>
      <c r="C301" s="243" t="str">
        <f t="shared" si="42"/>
        <v/>
      </c>
      <c r="D301" s="243" t="str">
        <f t="shared" si="43"/>
        <v/>
      </c>
      <c r="E301" s="265" t="str">
        <f>IF($A301="","",SUMIFS(Txn[Signed Units],Txn[Key],$A301))</f>
        <v/>
      </c>
      <c r="F301" s="287" t="str">
        <f>IF($A301="","",SUMIFS(Txn[Buy Cost],Txn[Key],$A301))</f>
        <v/>
      </c>
      <c r="G301" s="287" t="str">
        <f>IF($A301="","",SUMIFS(Txn[Sell Proceeds],Txn[Key],$A301))</f>
        <v/>
      </c>
      <c r="H301" s="288" t="str">
        <f>IF($A301="","",IFERROR(INDEX(Prices[Current Price],MATCH($A301,Prices[Key],0)),0))</f>
        <v/>
      </c>
      <c r="I301" s="289" t="str">
        <f>IF($A301="","",IFERROR(INDEX(Prices[FX to SGD],MATCH($A301,Prices[Key],0)),1))</f>
        <v/>
      </c>
      <c r="J301" s="287" t="str">
        <f t="shared" si="44"/>
        <v/>
      </c>
      <c r="K301" s="287" t="str">
        <f t="shared" si="45"/>
        <v/>
      </c>
      <c r="L301" s="287" t="str">
        <f t="shared" si="46"/>
        <v/>
      </c>
      <c r="M301" s="290" t="str">
        <f t="shared" si="47"/>
        <v/>
      </c>
      <c r="N301" t="str">
        <f>IF($A301="","",IFERROR(INDEX(Prices[Category],MATCH($A301,Prices[Key],0)),"Uncategorized"))</f>
        <v/>
      </c>
      <c r="O301" s="291" t="str">
        <f t="shared" si="48"/>
        <v/>
      </c>
      <c r="P301" s="291" t="str">
        <f t="shared" si="49"/>
        <v/>
      </c>
    </row>
    <row r="302" spans="1:16" ht="15" customHeight="1" x14ac:dyDescent="0.2">
      <c r="A302" s="243" t="str">
        <f>IFERROR(INDEX('All Ticker P&amp;L'!$A$2:$A$1001,MATCH(ROWS($A$2:A302),'All Ticker P&amp;L'!$N$2:$N$1001,0)),"")</f>
        <v/>
      </c>
      <c r="B302" s="243" t="str">
        <f t="shared" si="41"/>
        <v/>
      </c>
      <c r="C302" s="243" t="str">
        <f t="shared" si="42"/>
        <v/>
      </c>
      <c r="D302" s="243" t="str">
        <f t="shared" si="43"/>
        <v/>
      </c>
      <c r="E302" s="265" t="str">
        <f>IF($A302="","",SUMIFS(Txn[Signed Units],Txn[Key],$A302))</f>
        <v/>
      </c>
      <c r="F302" s="287" t="str">
        <f>IF($A302="","",SUMIFS(Txn[Buy Cost],Txn[Key],$A302))</f>
        <v/>
      </c>
      <c r="G302" s="287" t="str">
        <f>IF($A302="","",SUMIFS(Txn[Sell Proceeds],Txn[Key],$A302))</f>
        <v/>
      </c>
      <c r="H302" s="288" t="str">
        <f>IF($A302="","",IFERROR(INDEX(Prices[Current Price],MATCH($A302,Prices[Key],0)),0))</f>
        <v/>
      </c>
      <c r="I302" s="289" t="str">
        <f>IF($A302="","",IFERROR(INDEX(Prices[FX to SGD],MATCH($A302,Prices[Key],0)),1))</f>
        <v/>
      </c>
      <c r="J302" s="287" t="str">
        <f t="shared" si="44"/>
        <v/>
      </c>
      <c r="K302" s="287" t="str">
        <f t="shared" si="45"/>
        <v/>
      </c>
      <c r="L302" s="287" t="str">
        <f t="shared" si="46"/>
        <v/>
      </c>
      <c r="M302" s="290" t="str">
        <f t="shared" si="47"/>
        <v/>
      </c>
      <c r="N302" t="str">
        <f>IF($A302="","",IFERROR(INDEX(Prices[Category],MATCH($A302,Prices[Key],0)),"Uncategorized"))</f>
        <v/>
      </c>
      <c r="O302" s="291" t="str">
        <f t="shared" si="48"/>
        <v/>
      </c>
      <c r="P302" s="291" t="str">
        <f t="shared" si="49"/>
        <v/>
      </c>
    </row>
    <row r="303" spans="1:16" ht="15" customHeight="1" x14ac:dyDescent="0.2">
      <c r="A303" s="243" t="str">
        <f>IFERROR(INDEX('All Ticker P&amp;L'!$A$2:$A$1001,MATCH(ROWS($A$2:A303),'All Ticker P&amp;L'!$N$2:$N$1001,0)),"")</f>
        <v/>
      </c>
      <c r="B303" s="243" t="str">
        <f t="shared" si="41"/>
        <v/>
      </c>
      <c r="C303" s="243" t="str">
        <f t="shared" si="42"/>
        <v/>
      </c>
      <c r="D303" s="243" t="str">
        <f t="shared" si="43"/>
        <v/>
      </c>
      <c r="E303" s="265" t="str">
        <f>IF($A303="","",SUMIFS(Txn[Signed Units],Txn[Key],$A303))</f>
        <v/>
      </c>
      <c r="F303" s="287" t="str">
        <f>IF($A303="","",SUMIFS(Txn[Buy Cost],Txn[Key],$A303))</f>
        <v/>
      </c>
      <c r="G303" s="287" t="str">
        <f>IF($A303="","",SUMIFS(Txn[Sell Proceeds],Txn[Key],$A303))</f>
        <v/>
      </c>
      <c r="H303" s="288" t="str">
        <f>IF($A303="","",IFERROR(INDEX(Prices[Current Price],MATCH($A303,Prices[Key],0)),0))</f>
        <v/>
      </c>
      <c r="I303" s="289" t="str">
        <f>IF($A303="","",IFERROR(INDEX(Prices[FX to SGD],MATCH($A303,Prices[Key],0)),1))</f>
        <v/>
      </c>
      <c r="J303" s="287" t="str">
        <f t="shared" si="44"/>
        <v/>
      </c>
      <c r="K303" s="287" t="str">
        <f t="shared" si="45"/>
        <v/>
      </c>
      <c r="L303" s="287" t="str">
        <f t="shared" si="46"/>
        <v/>
      </c>
      <c r="M303" s="290" t="str">
        <f t="shared" si="47"/>
        <v/>
      </c>
      <c r="N303" t="str">
        <f>IF($A303="","",IFERROR(INDEX(Prices[Category],MATCH($A303,Prices[Key],0)),"Uncategorized"))</f>
        <v/>
      </c>
      <c r="O303" s="291" t="str">
        <f t="shared" si="48"/>
        <v/>
      </c>
      <c r="P303" s="291" t="str">
        <f t="shared" si="49"/>
        <v/>
      </c>
    </row>
    <row r="304" spans="1:16" ht="15" customHeight="1" x14ac:dyDescent="0.2">
      <c r="A304" s="243" t="str">
        <f>IFERROR(INDEX('All Ticker P&amp;L'!$A$2:$A$1001,MATCH(ROWS($A$2:A304),'All Ticker P&amp;L'!$N$2:$N$1001,0)),"")</f>
        <v/>
      </c>
      <c r="B304" s="243" t="str">
        <f t="shared" si="41"/>
        <v/>
      </c>
      <c r="C304" s="243" t="str">
        <f t="shared" si="42"/>
        <v/>
      </c>
      <c r="D304" s="243" t="str">
        <f t="shared" si="43"/>
        <v/>
      </c>
      <c r="E304" s="265" t="str">
        <f>IF($A304="","",SUMIFS(Txn[Signed Units],Txn[Key],$A304))</f>
        <v/>
      </c>
      <c r="F304" s="287" t="str">
        <f>IF($A304="","",SUMIFS(Txn[Buy Cost],Txn[Key],$A304))</f>
        <v/>
      </c>
      <c r="G304" s="287" t="str">
        <f>IF($A304="","",SUMIFS(Txn[Sell Proceeds],Txn[Key],$A304))</f>
        <v/>
      </c>
      <c r="H304" s="288" t="str">
        <f>IF($A304="","",IFERROR(INDEX(Prices[Current Price],MATCH($A304,Prices[Key],0)),0))</f>
        <v/>
      </c>
      <c r="I304" s="289" t="str">
        <f>IF($A304="","",IFERROR(INDEX(Prices[FX to SGD],MATCH($A304,Prices[Key],0)),1))</f>
        <v/>
      </c>
      <c r="J304" s="287" t="str">
        <f t="shared" si="44"/>
        <v/>
      </c>
      <c r="K304" s="287" t="str">
        <f t="shared" si="45"/>
        <v/>
      </c>
      <c r="L304" s="287" t="str">
        <f t="shared" si="46"/>
        <v/>
      </c>
      <c r="M304" s="290" t="str">
        <f t="shared" si="47"/>
        <v/>
      </c>
      <c r="N304" t="str">
        <f>IF($A304="","",IFERROR(INDEX(Prices[Category],MATCH($A304,Prices[Key],0)),"Uncategorized"))</f>
        <v/>
      </c>
      <c r="O304" s="291" t="str">
        <f t="shared" si="48"/>
        <v/>
      </c>
      <c r="P304" s="291" t="str">
        <f t="shared" si="49"/>
        <v/>
      </c>
    </row>
    <row r="305" spans="1:16" ht="15" customHeight="1" x14ac:dyDescent="0.2">
      <c r="A305" s="243" t="str">
        <f>IFERROR(INDEX('All Ticker P&amp;L'!$A$2:$A$1001,MATCH(ROWS($A$2:A305),'All Ticker P&amp;L'!$N$2:$N$1001,0)),"")</f>
        <v/>
      </c>
      <c r="B305" s="243" t="str">
        <f t="shared" si="41"/>
        <v/>
      </c>
      <c r="C305" s="243" t="str">
        <f t="shared" si="42"/>
        <v/>
      </c>
      <c r="D305" s="243" t="str">
        <f t="shared" si="43"/>
        <v/>
      </c>
      <c r="E305" s="265" t="str">
        <f>IF($A305="","",SUMIFS(Txn[Signed Units],Txn[Key],$A305))</f>
        <v/>
      </c>
      <c r="F305" s="287" t="str">
        <f>IF($A305="","",SUMIFS(Txn[Buy Cost],Txn[Key],$A305))</f>
        <v/>
      </c>
      <c r="G305" s="287" t="str">
        <f>IF($A305="","",SUMIFS(Txn[Sell Proceeds],Txn[Key],$A305))</f>
        <v/>
      </c>
      <c r="H305" s="288" t="str">
        <f>IF($A305="","",IFERROR(INDEX(Prices[Current Price],MATCH($A305,Prices[Key],0)),0))</f>
        <v/>
      </c>
      <c r="I305" s="289" t="str">
        <f>IF($A305="","",IFERROR(INDEX(Prices[FX to SGD],MATCH($A305,Prices[Key],0)),1))</f>
        <v/>
      </c>
      <c r="J305" s="287" t="str">
        <f t="shared" si="44"/>
        <v/>
      </c>
      <c r="K305" s="287" t="str">
        <f t="shared" si="45"/>
        <v/>
      </c>
      <c r="L305" s="287" t="str">
        <f t="shared" si="46"/>
        <v/>
      </c>
      <c r="M305" s="290" t="str">
        <f t="shared" si="47"/>
        <v/>
      </c>
      <c r="N305" t="str">
        <f>IF($A305="","",IFERROR(INDEX(Prices[Category],MATCH($A305,Prices[Key],0)),"Uncategorized"))</f>
        <v/>
      </c>
      <c r="O305" s="291" t="str">
        <f t="shared" si="48"/>
        <v/>
      </c>
      <c r="P305" s="291" t="str">
        <f t="shared" si="49"/>
        <v/>
      </c>
    </row>
    <row r="306" spans="1:16" ht="15" customHeight="1" x14ac:dyDescent="0.2">
      <c r="A306" s="243" t="str">
        <f>IFERROR(INDEX('All Ticker P&amp;L'!$A$2:$A$1001,MATCH(ROWS($A$2:A306),'All Ticker P&amp;L'!$N$2:$N$1001,0)),"")</f>
        <v/>
      </c>
      <c r="B306" s="243" t="str">
        <f t="shared" si="41"/>
        <v/>
      </c>
      <c r="C306" s="243" t="str">
        <f t="shared" si="42"/>
        <v/>
      </c>
      <c r="D306" s="243" t="str">
        <f t="shared" si="43"/>
        <v/>
      </c>
      <c r="E306" s="265" t="str">
        <f>IF($A306="","",SUMIFS(Txn[Signed Units],Txn[Key],$A306))</f>
        <v/>
      </c>
      <c r="F306" s="287" t="str">
        <f>IF($A306="","",SUMIFS(Txn[Buy Cost],Txn[Key],$A306))</f>
        <v/>
      </c>
      <c r="G306" s="287" t="str">
        <f>IF($A306="","",SUMIFS(Txn[Sell Proceeds],Txn[Key],$A306))</f>
        <v/>
      </c>
      <c r="H306" s="288" t="str">
        <f>IF($A306="","",IFERROR(INDEX(Prices[Current Price],MATCH($A306,Prices[Key],0)),0))</f>
        <v/>
      </c>
      <c r="I306" s="289" t="str">
        <f>IF($A306="","",IFERROR(INDEX(Prices[FX to SGD],MATCH($A306,Prices[Key],0)),1))</f>
        <v/>
      </c>
      <c r="J306" s="287" t="str">
        <f t="shared" si="44"/>
        <v/>
      </c>
      <c r="K306" s="287" t="str">
        <f t="shared" si="45"/>
        <v/>
      </c>
      <c r="L306" s="287" t="str">
        <f t="shared" si="46"/>
        <v/>
      </c>
      <c r="M306" s="290" t="str">
        <f t="shared" si="47"/>
        <v/>
      </c>
      <c r="N306" t="str">
        <f>IF($A306="","",IFERROR(INDEX(Prices[Category],MATCH($A306,Prices[Key],0)),"Uncategorized"))</f>
        <v/>
      </c>
      <c r="O306" s="291" t="str">
        <f t="shared" si="48"/>
        <v/>
      </c>
      <c r="P306" s="291" t="str">
        <f t="shared" si="49"/>
        <v/>
      </c>
    </row>
    <row r="307" spans="1:16" ht="15" customHeight="1" x14ac:dyDescent="0.2">
      <c r="A307" s="243" t="str">
        <f>IFERROR(INDEX('All Ticker P&amp;L'!$A$2:$A$1001,MATCH(ROWS($A$2:A307),'All Ticker P&amp;L'!$N$2:$N$1001,0)),"")</f>
        <v/>
      </c>
      <c r="B307" s="243" t="str">
        <f t="shared" si="41"/>
        <v/>
      </c>
      <c r="C307" s="243" t="str">
        <f t="shared" si="42"/>
        <v/>
      </c>
      <c r="D307" s="243" t="str">
        <f t="shared" si="43"/>
        <v/>
      </c>
      <c r="E307" s="265" t="str">
        <f>IF($A307="","",SUMIFS(Txn[Signed Units],Txn[Key],$A307))</f>
        <v/>
      </c>
      <c r="F307" s="287" t="str">
        <f>IF($A307="","",SUMIFS(Txn[Buy Cost],Txn[Key],$A307))</f>
        <v/>
      </c>
      <c r="G307" s="287" t="str">
        <f>IF($A307="","",SUMIFS(Txn[Sell Proceeds],Txn[Key],$A307))</f>
        <v/>
      </c>
      <c r="H307" s="288" t="str">
        <f>IF($A307="","",IFERROR(INDEX(Prices[Current Price],MATCH($A307,Prices[Key],0)),0))</f>
        <v/>
      </c>
      <c r="I307" s="289" t="str">
        <f>IF($A307="","",IFERROR(INDEX(Prices[FX to SGD],MATCH($A307,Prices[Key],0)),1))</f>
        <v/>
      </c>
      <c r="J307" s="287" t="str">
        <f t="shared" si="44"/>
        <v/>
      </c>
      <c r="K307" s="287" t="str">
        <f t="shared" si="45"/>
        <v/>
      </c>
      <c r="L307" s="287" t="str">
        <f t="shared" si="46"/>
        <v/>
      </c>
      <c r="M307" s="290" t="str">
        <f t="shared" si="47"/>
        <v/>
      </c>
      <c r="N307" t="str">
        <f>IF($A307="","",IFERROR(INDEX(Prices[Category],MATCH($A307,Prices[Key],0)),"Uncategorized"))</f>
        <v/>
      </c>
      <c r="O307" s="291" t="str">
        <f t="shared" si="48"/>
        <v/>
      </c>
      <c r="P307" s="291" t="str">
        <f t="shared" si="49"/>
        <v/>
      </c>
    </row>
    <row r="308" spans="1:16" ht="15" customHeight="1" x14ac:dyDescent="0.2">
      <c r="A308" s="243" t="str">
        <f>IFERROR(INDEX('All Ticker P&amp;L'!$A$2:$A$1001,MATCH(ROWS($A$2:A308),'All Ticker P&amp;L'!$N$2:$N$1001,0)),"")</f>
        <v/>
      </c>
      <c r="B308" s="243" t="str">
        <f t="shared" si="41"/>
        <v/>
      </c>
      <c r="C308" s="243" t="str">
        <f t="shared" si="42"/>
        <v/>
      </c>
      <c r="D308" s="243" t="str">
        <f t="shared" si="43"/>
        <v/>
      </c>
      <c r="E308" s="265" t="str">
        <f>IF($A308="","",SUMIFS(Txn[Signed Units],Txn[Key],$A308))</f>
        <v/>
      </c>
      <c r="F308" s="287" t="str">
        <f>IF($A308="","",SUMIFS(Txn[Buy Cost],Txn[Key],$A308))</f>
        <v/>
      </c>
      <c r="G308" s="287" t="str">
        <f>IF($A308="","",SUMIFS(Txn[Sell Proceeds],Txn[Key],$A308))</f>
        <v/>
      </c>
      <c r="H308" s="288" t="str">
        <f>IF($A308="","",IFERROR(INDEX(Prices[Current Price],MATCH($A308,Prices[Key],0)),0))</f>
        <v/>
      </c>
      <c r="I308" s="289" t="str">
        <f>IF($A308="","",IFERROR(INDEX(Prices[FX to SGD],MATCH($A308,Prices[Key],0)),1))</f>
        <v/>
      </c>
      <c r="J308" s="287" t="str">
        <f t="shared" si="44"/>
        <v/>
      </c>
      <c r="K308" s="287" t="str">
        <f t="shared" si="45"/>
        <v/>
      </c>
      <c r="L308" s="287" t="str">
        <f t="shared" si="46"/>
        <v/>
      </c>
      <c r="M308" s="290" t="str">
        <f t="shared" si="47"/>
        <v/>
      </c>
      <c r="N308" t="str">
        <f>IF($A308="","",IFERROR(INDEX(Prices[Category],MATCH($A308,Prices[Key],0)),"Uncategorized"))</f>
        <v/>
      </c>
      <c r="O308" s="291" t="str">
        <f t="shared" si="48"/>
        <v/>
      </c>
      <c r="P308" s="291" t="str">
        <f t="shared" si="49"/>
        <v/>
      </c>
    </row>
    <row r="309" spans="1:16" ht="15" customHeight="1" x14ac:dyDescent="0.2">
      <c r="A309" s="243" t="str">
        <f>IFERROR(INDEX('All Ticker P&amp;L'!$A$2:$A$1001,MATCH(ROWS($A$2:A309),'All Ticker P&amp;L'!$N$2:$N$1001,0)),"")</f>
        <v/>
      </c>
      <c r="B309" s="243" t="str">
        <f t="shared" si="41"/>
        <v/>
      </c>
      <c r="C309" s="243" t="str">
        <f t="shared" si="42"/>
        <v/>
      </c>
      <c r="D309" s="243" t="str">
        <f t="shared" si="43"/>
        <v/>
      </c>
      <c r="E309" s="265" t="str">
        <f>IF($A309="","",SUMIFS(Txn[Signed Units],Txn[Key],$A309))</f>
        <v/>
      </c>
      <c r="F309" s="287" t="str">
        <f>IF($A309="","",SUMIFS(Txn[Buy Cost],Txn[Key],$A309))</f>
        <v/>
      </c>
      <c r="G309" s="287" t="str">
        <f>IF($A309="","",SUMIFS(Txn[Sell Proceeds],Txn[Key],$A309))</f>
        <v/>
      </c>
      <c r="H309" s="288" t="str">
        <f>IF($A309="","",IFERROR(INDEX(Prices[Current Price],MATCH($A309,Prices[Key],0)),0))</f>
        <v/>
      </c>
      <c r="I309" s="289" t="str">
        <f>IF($A309="","",IFERROR(INDEX(Prices[FX to SGD],MATCH($A309,Prices[Key],0)),1))</f>
        <v/>
      </c>
      <c r="J309" s="287" t="str">
        <f t="shared" si="44"/>
        <v/>
      </c>
      <c r="K309" s="287" t="str">
        <f t="shared" si="45"/>
        <v/>
      </c>
      <c r="L309" s="287" t="str">
        <f t="shared" si="46"/>
        <v/>
      </c>
      <c r="M309" s="290" t="str">
        <f t="shared" si="47"/>
        <v/>
      </c>
      <c r="N309" t="str">
        <f>IF($A309="","",IFERROR(INDEX(Prices[Category],MATCH($A309,Prices[Key],0)),"Uncategorized"))</f>
        <v/>
      </c>
      <c r="O309" s="291" t="str">
        <f t="shared" si="48"/>
        <v/>
      </c>
      <c r="P309" s="291" t="str">
        <f t="shared" si="49"/>
        <v/>
      </c>
    </row>
    <row r="310" spans="1:16" ht="15" customHeight="1" x14ac:dyDescent="0.2">
      <c r="A310" s="243" t="str">
        <f>IFERROR(INDEX('All Ticker P&amp;L'!$A$2:$A$1001,MATCH(ROWS($A$2:A310),'All Ticker P&amp;L'!$N$2:$N$1001,0)),"")</f>
        <v/>
      </c>
      <c r="B310" s="243" t="str">
        <f t="shared" si="41"/>
        <v/>
      </c>
      <c r="C310" s="243" t="str">
        <f t="shared" si="42"/>
        <v/>
      </c>
      <c r="D310" s="243" t="str">
        <f t="shared" si="43"/>
        <v/>
      </c>
      <c r="E310" s="265" t="str">
        <f>IF($A310="","",SUMIFS(Txn[Signed Units],Txn[Key],$A310))</f>
        <v/>
      </c>
      <c r="F310" s="287" t="str">
        <f>IF($A310="","",SUMIFS(Txn[Buy Cost],Txn[Key],$A310))</f>
        <v/>
      </c>
      <c r="G310" s="287" t="str">
        <f>IF($A310="","",SUMIFS(Txn[Sell Proceeds],Txn[Key],$A310))</f>
        <v/>
      </c>
      <c r="H310" s="288" t="str">
        <f>IF($A310="","",IFERROR(INDEX(Prices[Current Price],MATCH($A310,Prices[Key],0)),0))</f>
        <v/>
      </c>
      <c r="I310" s="289" t="str">
        <f>IF($A310="","",IFERROR(INDEX(Prices[FX to SGD],MATCH($A310,Prices[Key],0)),1))</f>
        <v/>
      </c>
      <c r="J310" s="287" t="str">
        <f t="shared" si="44"/>
        <v/>
      </c>
      <c r="K310" s="287" t="str">
        <f t="shared" si="45"/>
        <v/>
      </c>
      <c r="L310" s="287" t="str">
        <f t="shared" si="46"/>
        <v/>
      </c>
      <c r="M310" s="290" t="str">
        <f t="shared" si="47"/>
        <v/>
      </c>
      <c r="N310" t="str">
        <f>IF($A310="","",IFERROR(INDEX(Prices[Category],MATCH($A310,Prices[Key],0)),"Uncategorized"))</f>
        <v/>
      </c>
      <c r="O310" s="291" t="str">
        <f t="shared" si="48"/>
        <v/>
      </c>
      <c r="P310" s="291" t="str">
        <f t="shared" si="49"/>
        <v/>
      </c>
    </row>
    <row r="311" spans="1:16" ht="15" customHeight="1" x14ac:dyDescent="0.2">
      <c r="A311" s="243" t="str">
        <f>IFERROR(INDEX('All Ticker P&amp;L'!$A$2:$A$1001,MATCH(ROWS($A$2:A311),'All Ticker P&amp;L'!$N$2:$N$1001,0)),"")</f>
        <v/>
      </c>
      <c r="B311" s="243" t="str">
        <f t="shared" si="41"/>
        <v/>
      </c>
      <c r="C311" s="243" t="str">
        <f t="shared" si="42"/>
        <v/>
      </c>
      <c r="D311" s="243" t="str">
        <f t="shared" si="43"/>
        <v/>
      </c>
      <c r="E311" s="265" t="str">
        <f>IF($A311="","",SUMIFS(Txn[Signed Units],Txn[Key],$A311))</f>
        <v/>
      </c>
      <c r="F311" s="287" t="str">
        <f>IF($A311="","",SUMIFS(Txn[Buy Cost],Txn[Key],$A311))</f>
        <v/>
      </c>
      <c r="G311" s="287" t="str">
        <f>IF($A311="","",SUMIFS(Txn[Sell Proceeds],Txn[Key],$A311))</f>
        <v/>
      </c>
      <c r="H311" s="288" t="str">
        <f>IF($A311="","",IFERROR(INDEX(Prices[Current Price],MATCH($A311,Prices[Key],0)),0))</f>
        <v/>
      </c>
      <c r="I311" s="289" t="str">
        <f>IF($A311="","",IFERROR(INDEX(Prices[FX to SGD],MATCH($A311,Prices[Key],0)),1))</f>
        <v/>
      </c>
      <c r="J311" s="287" t="str">
        <f t="shared" si="44"/>
        <v/>
      </c>
      <c r="K311" s="287" t="str">
        <f t="shared" si="45"/>
        <v/>
      </c>
      <c r="L311" s="287" t="str">
        <f t="shared" si="46"/>
        <v/>
      </c>
      <c r="M311" s="290" t="str">
        <f t="shared" si="47"/>
        <v/>
      </c>
      <c r="N311" t="str">
        <f>IF($A311="","",IFERROR(INDEX(Prices[Category],MATCH($A311,Prices[Key],0)),"Uncategorized"))</f>
        <v/>
      </c>
      <c r="O311" s="291" t="str">
        <f t="shared" si="48"/>
        <v/>
      </c>
      <c r="P311" s="291" t="str">
        <f t="shared" si="49"/>
        <v/>
      </c>
    </row>
    <row r="312" spans="1:16" ht="15" customHeight="1" x14ac:dyDescent="0.2">
      <c r="A312" s="243" t="str">
        <f>IFERROR(INDEX('All Ticker P&amp;L'!$A$2:$A$1001,MATCH(ROWS($A$2:A312),'All Ticker P&amp;L'!$N$2:$N$1001,0)),"")</f>
        <v/>
      </c>
      <c r="B312" s="243" t="str">
        <f t="shared" si="41"/>
        <v/>
      </c>
      <c r="C312" s="243" t="str">
        <f t="shared" si="42"/>
        <v/>
      </c>
      <c r="D312" s="243" t="str">
        <f t="shared" si="43"/>
        <v/>
      </c>
      <c r="E312" s="265" t="str">
        <f>IF($A312="","",SUMIFS(Txn[Signed Units],Txn[Key],$A312))</f>
        <v/>
      </c>
      <c r="F312" s="287" t="str">
        <f>IF($A312="","",SUMIFS(Txn[Buy Cost],Txn[Key],$A312))</f>
        <v/>
      </c>
      <c r="G312" s="287" t="str">
        <f>IF($A312="","",SUMIFS(Txn[Sell Proceeds],Txn[Key],$A312))</f>
        <v/>
      </c>
      <c r="H312" s="288" t="str">
        <f>IF($A312="","",IFERROR(INDEX(Prices[Current Price],MATCH($A312,Prices[Key],0)),0))</f>
        <v/>
      </c>
      <c r="I312" s="289" t="str">
        <f>IF($A312="","",IFERROR(INDEX(Prices[FX to SGD],MATCH($A312,Prices[Key],0)),1))</f>
        <v/>
      </c>
      <c r="J312" s="287" t="str">
        <f t="shared" si="44"/>
        <v/>
      </c>
      <c r="K312" s="287" t="str">
        <f t="shared" si="45"/>
        <v/>
      </c>
      <c r="L312" s="287" t="str">
        <f t="shared" si="46"/>
        <v/>
      </c>
      <c r="M312" s="290" t="str">
        <f t="shared" si="47"/>
        <v/>
      </c>
      <c r="N312" t="str">
        <f>IF($A312="","",IFERROR(INDEX(Prices[Category],MATCH($A312,Prices[Key],0)),"Uncategorized"))</f>
        <v/>
      </c>
      <c r="O312" s="291" t="str">
        <f t="shared" si="48"/>
        <v/>
      </c>
      <c r="P312" s="291" t="str">
        <f t="shared" si="49"/>
        <v/>
      </c>
    </row>
    <row r="313" spans="1:16" ht="15" customHeight="1" x14ac:dyDescent="0.2">
      <c r="A313" s="243" t="str">
        <f>IFERROR(INDEX('All Ticker P&amp;L'!$A$2:$A$1001,MATCH(ROWS($A$2:A313),'All Ticker P&amp;L'!$N$2:$N$1001,0)),"")</f>
        <v/>
      </c>
      <c r="B313" s="243" t="str">
        <f t="shared" si="41"/>
        <v/>
      </c>
      <c r="C313" s="243" t="str">
        <f t="shared" si="42"/>
        <v/>
      </c>
      <c r="D313" s="243" t="str">
        <f t="shared" si="43"/>
        <v/>
      </c>
      <c r="E313" s="265" t="str">
        <f>IF($A313="","",SUMIFS(Txn[Signed Units],Txn[Key],$A313))</f>
        <v/>
      </c>
      <c r="F313" s="287" t="str">
        <f>IF($A313="","",SUMIFS(Txn[Buy Cost],Txn[Key],$A313))</f>
        <v/>
      </c>
      <c r="G313" s="287" t="str">
        <f>IF($A313="","",SUMIFS(Txn[Sell Proceeds],Txn[Key],$A313))</f>
        <v/>
      </c>
      <c r="H313" s="288" t="str">
        <f>IF($A313="","",IFERROR(INDEX(Prices[Current Price],MATCH($A313,Prices[Key],0)),0))</f>
        <v/>
      </c>
      <c r="I313" s="289" t="str">
        <f>IF($A313="","",IFERROR(INDEX(Prices[FX to SGD],MATCH($A313,Prices[Key],0)),1))</f>
        <v/>
      </c>
      <c r="J313" s="287" t="str">
        <f t="shared" si="44"/>
        <v/>
      </c>
      <c r="K313" s="287" t="str">
        <f t="shared" si="45"/>
        <v/>
      </c>
      <c r="L313" s="287" t="str">
        <f t="shared" si="46"/>
        <v/>
      </c>
      <c r="M313" s="290" t="str">
        <f t="shared" si="47"/>
        <v/>
      </c>
      <c r="N313" t="str">
        <f>IF($A313="","",IFERROR(INDEX(Prices[Category],MATCH($A313,Prices[Key],0)),"Uncategorized"))</f>
        <v/>
      </c>
      <c r="O313" s="291" t="str">
        <f t="shared" si="48"/>
        <v/>
      </c>
      <c r="P313" s="291" t="str">
        <f t="shared" si="49"/>
        <v/>
      </c>
    </row>
    <row r="314" spans="1:16" ht="15" customHeight="1" x14ac:dyDescent="0.2">
      <c r="A314" s="243" t="str">
        <f>IFERROR(INDEX('All Ticker P&amp;L'!$A$2:$A$1001,MATCH(ROWS($A$2:A314),'All Ticker P&amp;L'!$N$2:$N$1001,0)),"")</f>
        <v/>
      </c>
      <c r="B314" s="243" t="str">
        <f t="shared" si="41"/>
        <v/>
      </c>
      <c r="C314" s="243" t="str">
        <f t="shared" si="42"/>
        <v/>
      </c>
      <c r="D314" s="243" t="str">
        <f t="shared" si="43"/>
        <v/>
      </c>
      <c r="E314" s="265" t="str">
        <f>IF($A314="","",SUMIFS(Txn[Signed Units],Txn[Key],$A314))</f>
        <v/>
      </c>
      <c r="F314" s="287" t="str">
        <f>IF($A314="","",SUMIFS(Txn[Buy Cost],Txn[Key],$A314))</f>
        <v/>
      </c>
      <c r="G314" s="287" t="str">
        <f>IF($A314="","",SUMIFS(Txn[Sell Proceeds],Txn[Key],$A314))</f>
        <v/>
      </c>
      <c r="H314" s="288" t="str">
        <f>IF($A314="","",IFERROR(INDEX(Prices[Current Price],MATCH($A314,Prices[Key],0)),0))</f>
        <v/>
      </c>
      <c r="I314" s="289" t="str">
        <f>IF($A314="","",IFERROR(INDEX(Prices[FX to SGD],MATCH($A314,Prices[Key],0)),1))</f>
        <v/>
      </c>
      <c r="J314" s="287" t="str">
        <f t="shared" si="44"/>
        <v/>
      </c>
      <c r="K314" s="287" t="str">
        <f t="shared" si="45"/>
        <v/>
      </c>
      <c r="L314" s="287" t="str">
        <f t="shared" si="46"/>
        <v/>
      </c>
      <c r="M314" s="290" t="str">
        <f t="shared" si="47"/>
        <v/>
      </c>
      <c r="N314" t="str">
        <f>IF($A314="","",IFERROR(INDEX(Prices[Category],MATCH($A314,Prices[Key],0)),"Uncategorized"))</f>
        <v/>
      </c>
      <c r="O314" s="291" t="str">
        <f t="shared" si="48"/>
        <v/>
      </c>
      <c r="P314" s="291" t="str">
        <f t="shared" si="49"/>
        <v/>
      </c>
    </row>
    <row r="315" spans="1:16" ht="15" customHeight="1" x14ac:dyDescent="0.2">
      <c r="A315" s="243" t="str">
        <f>IFERROR(INDEX('All Ticker P&amp;L'!$A$2:$A$1001,MATCH(ROWS($A$2:A315),'All Ticker P&amp;L'!$N$2:$N$1001,0)),"")</f>
        <v/>
      </c>
      <c r="B315" s="243" t="str">
        <f t="shared" si="41"/>
        <v/>
      </c>
      <c r="C315" s="243" t="str">
        <f t="shared" si="42"/>
        <v/>
      </c>
      <c r="D315" s="243" t="str">
        <f t="shared" si="43"/>
        <v/>
      </c>
      <c r="E315" s="265" t="str">
        <f>IF($A315="","",SUMIFS(Txn[Signed Units],Txn[Key],$A315))</f>
        <v/>
      </c>
      <c r="F315" s="287" t="str">
        <f>IF($A315="","",SUMIFS(Txn[Buy Cost],Txn[Key],$A315))</f>
        <v/>
      </c>
      <c r="G315" s="287" t="str">
        <f>IF($A315="","",SUMIFS(Txn[Sell Proceeds],Txn[Key],$A315))</f>
        <v/>
      </c>
      <c r="H315" s="288" t="str">
        <f>IF($A315="","",IFERROR(INDEX(Prices[Current Price],MATCH($A315,Prices[Key],0)),0))</f>
        <v/>
      </c>
      <c r="I315" s="289" t="str">
        <f>IF($A315="","",IFERROR(INDEX(Prices[FX to SGD],MATCH($A315,Prices[Key],0)),1))</f>
        <v/>
      </c>
      <c r="J315" s="287" t="str">
        <f t="shared" si="44"/>
        <v/>
      </c>
      <c r="K315" s="287" t="str">
        <f t="shared" si="45"/>
        <v/>
      </c>
      <c r="L315" s="287" t="str">
        <f t="shared" si="46"/>
        <v/>
      </c>
      <c r="M315" s="290" t="str">
        <f t="shared" si="47"/>
        <v/>
      </c>
      <c r="N315" t="str">
        <f>IF($A315="","",IFERROR(INDEX(Prices[Category],MATCH($A315,Prices[Key],0)),"Uncategorized"))</f>
        <v/>
      </c>
      <c r="O315" s="291" t="str">
        <f t="shared" si="48"/>
        <v/>
      </c>
      <c r="P315" s="291" t="str">
        <f t="shared" si="49"/>
        <v/>
      </c>
    </row>
    <row r="316" spans="1:16" ht="15" customHeight="1" x14ac:dyDescent="0.2">
      <c r="A316" s="243" t="str">
        <f>IFERROR(INDEX('All Ticker P&amp;L'!$A$2:$A$1001,MATCH(ROWS($A$2:A316),'All Ticker P&amp;L'!$N$2:$N$1001,0)),"")</f>
        <v/>
      </c>
      <c r="B316" s="243" t="str">
        <f t="shared" si="41"/>
        <v/>
      </c>
      <c r="C316" s="243" t="str">
        <f t="shared" si="42"/>
        <v/>
      </c>
      <c r="D316" s="243" t="str">
        <f t="shared" si="43"/>
        <v/>
      </c>
      <c r="E316" s="265" t="str">
        <f>IF($A316="","",SUMIFS(Txn[Signed Units],Txn[Key],$A316))</f>
        <v/>
      </c>
      <c r="F316" s="287" t="str">
        <f>IF($A316="","",SUMIFS(Txn[Buy Cost],Txn[Key],$A316))</f>
        <v/>
      </c>
      <c r="G316" s="287" t="str">
        <f>IF($A316="","",SUMIFS(Txn[Sell Proceeds],Txn[Key],$A316))</f>
        <v/>
      </c>
      <c r="H316" s="288" t="str">
        <f>IF($A316="","",IFERROR(INDEX(Prices[Current Price],MATCH($A316,Prices[Key],0)),0))</f>
        <v/>
      </c>
      <c r="I316" s="289" t="str">
        <f>IF($A316="","",IFERROR(INDEX(Prices[FX to SGD],MATCH($A316,Prices[Key],0)),1))</f>
        <v/>
      </c>
      <c r="J316" s="287" t="str">
        <f t="shared" si="44"/>
        <v/>
      </c>
      <c r="K316" s="287" t="str">
        <f t="shared" si="45"/>
        <v/>
      </c>
      <c r="L316" s="287" t="str">
        <f t="shared" si="46"/>
        <v/>
      </c>
      <c r="M316" s="290" t="str">
        <f t="shared" si="47"/>
        <v/>
      </c>
      <c r="N316" t="str">
        <f>IF($A316="","",IFERROR(INDEX(Prices[Category],MATCH($A316,Prices[Key],0)),"Uncategorized"))</f>
        <v/>
      </c>
      <c r="O316" s="291" t="str">
        <f t="shared" si="48"/>
        <v/>
      </c>
      <c r="P316" s="291" t="str">
        <f t="shared" si="49"/>
        <v/>
      </c>
    </row>
    <row r="317" spans="1:16" ht="15" customHeight="1" x14ac:dyDescent="0.2">
      <c r="A317" s="243" t="str">
        <f>IFERROR(INDEX('All Ticker P&amp;L'!$A$2:$A$1001,MATCH(ROWS($A$2:A317),'All Ticker P&amp;L'!$N$2:$N$1001,0)),"")</f>
        <v/>
      </c>
      <c r="B317" s="243" t="str">
        <f t="shared" si="41"/>
        <v/>
      </c>
      <c r="C317" s="243" t="str">
        <f t="shared" si="42"/>
        <v/>
      </c>
      <c r="D317" s="243" t="str">
        <f t="shared" si="43"/>
        <v/>
      </c>
      <c r="E317" s="265" t="str">
        <f>IF($A317="","",SUMIFS(Txn[Signed Units],Txn[Key],$A317))</f>
        <v/>
      </c>
      <c r="F317" s="287" t="str">
        <f>IF($A317="","",SUMIFS(Txn[Buy Cost],Txn[Key],$A317))</f>
        <v/>
      </c>
      <c r="G317" s="287" t="str">
        <f>IF($A317="","",SUMIFS(Txn[Sell Proceeds],Txn[Key],$A317))</f>
        <v/>
      </c>
      <c r="H317" s="288" t="str">
        <f>IF($A317="","",IFERROR(INDEX(Prices[Current Price],MATCH($A317,Prices[Key],0)),0))</f>
        <v/>
      </c>
      <c r="I317" s="289" t="str">
        <f>IF($A317="","",IFERROR(INDEX(Prices[FX to SGD],MATCH($A317,Prices[Key],0)),1))</f>
        <v/>
      </c>
      <c r="J317" s="287" t="str">
        <f t="shared" si="44"/>
        <v/>
      </c>
      <c r="K317" s="287" t="str">
        <f t="shared" si="45"/>
        <v/>
      </c>
      <c r="L317" s="287" t="str">
        <f t="shared" si="46"/>
        <v/>
      </c>
      <c r="M317" s="290" t="str">
        <f t="shared" si="47"/>
        <v/>
      </c>
      <c r="N317" t="str">
        <f>IF($A317="","",IFERROR(INDEX(Prices[Category],MATCH($A317,Prices[Key],0)),"Uncategorized"))</f>
        <v/>
      </c>
      <c r="O317" s="291" t="str">
        <f t="shared" si="48"/>
        <v/>
      </c>
      <c r="P317" s="291" t="str">
        <f t="shared" si="49"/>
        <v/>
      </c>
    </row>
    <row r="318" spans="1:16" ht="15" customHeight="1" x14ac:dyDescent="0.2">
      <c r="A318" s="243" t="str">
        <f>IFERROR(INDEX('All Ticker P&amp;L'!$A$2:$A$1001,MATCH(ROWS($A$2:A318),'All Ticker P&amp;L'!$N$2:$N$1001,0)),"")</f>
        <v/>
      </c>
      <c r="B318" s="243" t="str">
        <f t="shared" si="41"/>
        <v/>
      </c>
      <c r="C318" s="243" t="str">
        <f t="shared" si="42"/>
        <v/>
      </c>
      <c r="D318" s="243" t="str">
        <f t="shared" si="43"/>
        <v/>
      </c>
      <c r="E318" s="265" t="str">
        <f>IF($A318="","",SUMIFS(Txn[Signed Units],Txn[Key],$A318))</f>
        <v/>
      </c>
      <c r="F318" s="287" t="str">
        <f>IF($A318="","",SUMIFS(Txn[Buy Cost],Txn[Key],$A318))</f>
        <v/>
      </c>
      <c r="G318" s="287" t="str">
        <f>IF($A318="","",SUMIFS(Txn[Sell Proceeds],Txn[Key],$A318))</f>
        <v/>
      </c>
      <c r="H318" s="288" t="str">
        <f>IF($A318="","",IFERROR(INDEX(Prices[Current Price],MATCH($A318,Prices[Key],0)),0))</f>
        <v/>
      </c>
      <c r="I318" s="289" t="str">
        <f>IF($A318="","",IFERROR(INDEX(Prices[FX to SGD],MATCH($A318,Prices[Key],0)),1))</f>
        <v/>
      </c>
      <c r="J318" s="287" t="str">
        <f t="shared" si="44"/>
        <v/>
      </c>
      <c r="K318" s="287" t="str">
        <f t="shared" si="45"/>
        <v/>
      </c>
      <c r="L318" s="287" t="str">
        <f t="shared" si="46"/>
        <v/>
      </c>
      <c r="M318" s="290" t="str">
        <f t="shared" si="47"/>
        <v/>
      </c>
      <c r="N318" t="str">
        <f>IF($A318="","",IFERROR(INDEX(Prices[Category],MATCH($A318,Prices[Key],0)),"Uncategorized"))</f>
        <v/>
      </c>
      <c r="O318" s="291" t="str">
        <f t="shared" si="48"/>
        <v/>
      </c>
      <c r="P318" s="291" t="str">
        <f t="shared" si="49"/>
        <v/>
      </c>
    </row>
    <row r="319" spans="1:16" ht="15" customHeight="1" x14ac:dyDescent="0.2">
      <c r="A319" s="243" t="str">
        <f>IFERROR(INDEX('All Ticker P&amp;L'!$A$2:$A$1001,MATCH(ROWS($A$2:A319),'All Ticker P&amp;L'!$N$2:$N$1001,0)),"")</f>
        <v/>
      </c>
      <c r="B319" s="243" t="str">
        <f t="shared" si="41"/>
        <v/>
      </c>
      <c r="C319" s="243" t="str">
        <f t="shared" si="42"/>
        <v/>
      </c>
      <c r="D319" s="243" t="str">
        <f t="shared" si="43"/>
        <v/>
      </c>
      <c r="E319" s="265" t="str">
        <f>IF($A319="","",SUMIFS(Txn[Signed Units],Txn[Key],$A319))</f>
        <v/>
      </c>
      <c r="F319" s="287" t="str">
        <f>IF($A319="","",SUMIFS(Txn[Buy Cost],Txn[Key],$A319))</f>
        <v/>
      </c>
      <c r="G319" s="287" t="str">
        <f>IF($A319="","",SUMIFS(Txn[Sell Proceeds],Txn[Key],$A319))</f>
        <v/>
      </c>
      <c r="H319" s="288" t="str">
        <f>IF($A319="","",IFERROR(INDEX(Prices[Current Price],MATCH($A319,Prices[Key],0)),0))</f>
        <v/>
      </c>
      <c r="I319" s="289" t="str">
        <f>IF($A319="","",IFERROR(INDEX(Prices[FX to SGD],MATCH($A319,Prices[Key],0)),1))</f>
        <v/>
      </c>
      <c r="J319" s="287" t="str">
        <f t="shared" si="44"/>
        <v/>
      </c>
      <c r="K319" s="287" t="str">
        <f t="shared" si="45"/>
        <v/>
      </c>
      <c r="L319" s="287" t="str">
        <f t="shared" si="46"/>
        <v/>
      </c>
      <c r="M319" s="290" t="str">
        <f t="shared" si="47"/>
        <v/>
      </c>
      <c r="N319" t="str">
        <f>IF($A319="","",IFERROR(INDEX(Prices[Category],MATCH($A319,Prices[Key],0)),"Uncategorized"))</f>
        <v/>
      </c>
      <c r="O319" s="291" t="str">
        <f t="shared" si="48"/>
        <v/>
      </c>
      <c r="P319" s="291" t="str">
        <f t="shared" si="49"/>
        <v/>
      </c>
    </row>
    <row r="320" spans="1:16" ht="15" customHeight="1" x14ac:dyDescent="0.2">
      <c r="A320" s="243" t="str">
        <f>IFERROR(INDEX('All Ticker P&amp;L'!$A$2:$A$1001,MATCH(ROWS($A$2:A320),'All Ticker P&amp;L'!$N$2:$N$1001,0)),"")</f>
        <v/>
      </c>
      <c r="B320" s="243" t="str">
        <f t="shared" si="41"/>
        <v/>
      </c>
      <c r="C320" s="243" t="str">
        <f t="shared" si="42"/>
        <v/>
      </c>
      <c r="D320" s="243" t="str">
        <f t="shared" si="43"/>
        <v/>
      </c>
      <c r="E320" s="265" t="str">
        <f>IF($A320="","",SUMIFS(Txn[Signed Units],Txn[Key],$A320))</f>
        <v/>
      </c>
      <c r="F320" s="287" t="str">
        <f>IF($A320="","",SUMIFS(Txn[Buy Cost],Txn[Key],$A320))</f>
        <v/>
      </c>
      <c r="G320" s="287" t="str">
        <f>IF($A320="","",SUMIFS(Txn[Sell Proceeds],Txn[Key],$A320))</f>
        <v/>
      </c>
      <c r="H320" s="288" t="str">
        <f>IF($A320="","",IFERROR(INDEX(Prices[Current Price],MATCH($A320,Prices[Key],0)),0))</f>
        <v/>
      </c>
      <c r="I320" s="289" t="str">
        <f>IF($A320="","",IFERROR(INDEX(Prices[FX to SGD],MATCH($A320,Prices[Key],0)),1))</f>
        <v/>
      </c>
      <c r="J320" s="287" t="str">
        <f t="shared" si="44"/>
        <v/>
      </c>
      <c r="K320" s="287" t="str">
        <f t="shared" si="45"/>
        <v/>
      </c>
      <c r="L320" s="287" t="str">
        <f t="shared" si="46"/>
        <v/>
      </c>
      <c r="M320" s="290" t="str">
        <f t="shared" si="47"/>
        <v/>
      </c>
      <c r="N320" t="str">
        <f>IF($A320="","",IFERROR(INDEX(Prices[Category],MATCH($A320,Prices[Key],0)),"Uncategorized"))</f>
        <v/>
      </c>
      <c r="O320" s="291" t="str">
        <f t="shared" si="48"/>
        <v/>
      </c>
      <c r="P320" s="291" t="str">
        <f t="shared" si="49"/>
        <v/>
      </c>
    </row>
    <row r="321" spans="1:16" ht="15" customHeight="1" x14ac:dyDescent="0.2">
      <c r="A321" s="243" t="str">
        <f>IFERROR(INDEX('All Ticker P&amp;L'!$A$2:$A$1001,MATCH(ROWS($A$2:A321),'All Ticker P&amp;L'!$N$2:$N$1001,0)),"")</f>
        <v/>
      </c>
      <c r="B321" s="243" t="str">
        <f t="shared" si="41"/>
        <v/>
      </c>
      <c r="C321" s="243" t="str">
        <f t="shared" si="42"/>
        <v/>
      </c>
      <c r="D321" s="243" t="str">
        <f t="shared" si="43"/>
        <v/>
      </c>
      <c r="E321" s="265" t="str">
        <f>IF($A321="","",SUMIFS(Txn[Signed Units],Txn[Key],$A321))</f>
        <v/>
      </c>
      <c r="F321" s="287" t="str">
        <f>IF($A321="","",SUMIFS(Txn[Buy Cost],Txn[Key],$A321))</f>
        <v/>
      </c>
      <c r="G321" s="287" t="str">
        <f>IF($A321="","",SUMIFS(Txn[Sell Proceeds],Txn[Key],$A321))</f>
        <v/>
      </c>
      <c r="H321" s="288" t="str">
        <f>IF($A321="","",IFERROR(INDEX(Prices[Current Price],MATCH($A321,Prices[Key],0)),0))</f>
        <v/>
      </c>
      <c r="I321" s="289" t="str">
        <f>IF($A321="","",IFERROR(INDEX(Prices[FX to SGD],MATCH($A321,Prices[Key],0)),1))</f>
        <v/>
      </c>
      <c r="J321" s="287" t="str">
        <f t="shared" si="44"/>
        <v/>
      </c>
      <c r="K321" s="287" t="str">
        <f t="shared" si="45"/>
        <v/>
      </c>
      <c r="L321" s="287" t="str">
        <f t="shared" si="46"/>
        <v/>
      </c>
      <c r="M321" s="290" t="str">
        <f t="shared" si="47"/>
        <v/>
      </c>
      <c r="N321" t="str">
        <f>IF($A321="","",IFERROR(INDEX(Prices[Category],MATCH($A321,Prices[Key],0)),"Uncategorized"))</f>
        <v/>
      </c>
      <c r="O321" s="291" t="str">
        <f t="shared" si="48"/>
        <v/>
      </c>
      <c r="P321" s="291" t="str">
        <f t="shared" si="49"/>
        <v/>
      </c>
    </row>
    <row r="322" spans="1:16" ht="15" customHeight="1" x14ac:dyDescent="0.2">
      <c r="A322" s="243" t="str">
        <f>IFERROR(INDEX('All Ticker P&amp;L'!$A$2:$A$1001,MATCH(ROWS($A$2:A322),'All Ticker P&amp;L'!$N$2:$N$1001,0)),"")</f>
        <v/>
      </c>
      <c r="B322" s="243" t="str">
        <f t="shared" ref="B322:B385" si="50">IF($A322="","",LEFT($A322,FIND(":",$A322)-1))</f>
        <v/>
      </c>
      <c r="C322" s="243" t="str">
        <f t="shared" ref="C322:C385" si="51">IF($A322="","",MID($A322,FIND(":",$A322)+1,FIND(":",$A322,FIND(":",$A322)+1)-FIND(":",$A322)-1))</f>
        <v/>
      </c>
      <c r="D322" s="243" t="str">
        <f t="shared" ref="D322:D385" si="52">IF($A322="","",RIGHT($A322,LEN($A322)-FIND(":",$A322,FIND(":",$A322)+1)))</f>
        <v/>
      </c>
      <c r="E322" s="265" t="str">
        <f>IF($A322="","",SUMIFS(Txn[Signed Units],Txn[Key],$A322))</f>
        <v/>
      </c>
      <c r="F322" s="287" t="str">
        <f>IF($A322="","",SUMIFS(Txn[Buy Cost],Txn[Key],$A322))</f>
        <v/>
      </c>
      <c r="G322" s="287" t="str">
        <f>IF($A322="","",SUMIFS(Txn[Sell Proceeds],Txn[Key],$A322))</f>
        <v/>
      </c>
      <c r="H322" s="288" t="str">
        <f>IF($A322="","",IFERROR(INDEX(Prices[Current Price],MATCH($A322,Prices[Key],0)),0))</f>
        <v/>
      </c>
      <c r="I322" s="289" t="str">
        <f>IF($A322="","",IFERROR(INDEX(Prices[FX to SGD],MATCH($A322,Prices[Key],0)),1))</f>
        <v/>
      </c>
      <c r="J322" s="287" t="str">
        <f t="shared" ref="J322:J385" si="53">IF($A322="","",E322*H322)</f>
        <v/>
      </c>
      <c r="K322" s="287" t="str">
        <f t="shared" ref="K322:K385" si="54">IF($A322="","",J322+G322-F322)</f>
        <v/>
      </c>
      <c r="L322" s="287" t="str">
        <f t="shared" ref="L322:L385" si="55">IF($A322="","",K322*I322)</f>
        <v/>
      </c>
      <c r="M322" s="290" t="str">
        <f t="shared" ref="M322:M385" si="56">IF($A322="","",IFERROR(K322/F322,0))</f>
        <v/>
      </c>
      <c r="N322" t="str">
        <f>IF($A322="","",IFERROR(INDEX(Prices[Category],MATCH($A322,Prices[Key],0)),"Uncategorized"))</f>
        <v/>
      </c>
      <c r="O322" s="291" t="str">
        <f t="shared" ref="O322:O385" si="57">IF($A322="","",$J322*$I322)</f>
        <v/>
      </c>
      <c r="P322" s="291" t="str">
        <f t="shared" ref="P322:P385" si="58">IF($A322="","",$L322)</f>
        <v/>
      </c>
    </row>
    <row r="323" spans="1:16" ht="15" customHeight="1" x14ac:dyDescent="0.2">
      <c r="A323" s="243" t="str">
        <f>IFERROR(INDEX('All Ticker P&amp;L'!$A$2:$A$1001,MATCH(ROWS($A$2:A323),'All Ticker P&amp;L'!$N$2:$N$1001,0)),"")</f>
        <v/>
      </c>
      <c r="B323" s="243" t="str">
        <f t="shared" si="50"/>
        <v/>
      </c>
      <c r="C323" s="243" t="str">
        <f t="shared" si="51"/>
        <v/>
      </c>
      <c r="D323" s="243" t="str">
        <f t="shared" si="52"/>
        <v/>
      </c>
      <c r="E323" s="265" t="str">
        <f>IF($A323="","",SUMIFS(Txn[Signed Units],Txn[Key],$A323))</f>
        <v/>
      </c>
      <c r="F323" s="287" t="str">
        <f>IF($A323="","",SUMIFS(Txn[Buy Cost],Txn[Key],$A323))</f>
        <v/>
      </c>
      <c r="G323" s="287" t="str">
        <f>IF($A323="","",SUMIFS(Txn[Sell Proceeds],Txn[Key],$A323))</f>
        <v/>
      </c>
      <c r="H323" s="288" t="str">
        <f>IF($A323="","",IFERROR(INDEX(Prices[Current Price],MATCH($A323,Prices[Key],0)),0))</f>
        <v/>
      </c>
      <c r="I323" s="289" t="str">
        <f>IF($A323="","",IFERROR(INDEX(Prices[FX to SGD],MATCH($A323,Prices[Key],0)),1))</f>
        <v/>
      </c>
      <c r="J323" s="287" t="str">
        <f t="shared" si="53"/>
        <v/>
      </c>
      <c r="K323" s="287" t="str">
        <f t="shared" si="54"/>
        <v/>
      </c>
      <c r="L323" s="287" t="str">
        <f t="shared" si="55"/>
        <v/>
      </c>
      <c r="M323" s="290" t="str">
        <f t="shared" si="56"/>
        <v/>
      </c>
      <c r="N323" t="str">
        <f>IF($A323="","",IFERROR(INDEX(Prices[Category],MATCH($A323,Prices[Key],0)),"Uncategorized"))</f>
        <v/>
      </c>
      <c r="O323" s="291" t="str">
        <f t="shared" si="57"/>
        <v/>
      </c>
      <c r="P323" s="291" t="str">
        <f t="shared" si="58"/>
        <v/>
      </c>
    </row>
    <row r="324" spans="1:16" ht="15" customHeight="1" x14ac:dyDescent="0.2">
      <c r="A324" s="243" t="str">
        <f>IFERROR(INDEX('All Ticker P&amp;L'!$A$2:$A$1001,MATCH(ROWS($A$2:A324),'All Ticker P&amp;L'!$N$2:$N$1001,0)),"")</f>
        <v/>
      </c>
      <c r="B324" s="243" t="str">
        <f t="shared" si="50"/>
        <v/>
      </c>
      <c r="C324" s="243" t="str">
        <f t="shared" si="51"/>
        <v/>
      </c>
      <c r="D324" s="243" t="str">
        <f t="shared" si="52"/>
        <v/>
      </c>
      <c r="E324" s="265" t="str">
        <f>IF($A324="","",SUMIFS(Txn[Signed Units],Txn[Key],$A324))</f>
        <v/>
      </c>
      <c r="F324" s="287" t="str">
        <f>IF($A324="","",SUMIFS(Txn[Buy Cost],Txn[Key],$A324))</f>
        <v/>
      </c>
      <c r="G324" s="287" t="str">
        <f>IF($A324="","",SUMIFS(Txn[Sell Proceeds],Txn[Key],$A324))</f>
        <v/>
      </c>
      <c r="H324" s="288" t="str">
        <f>IF($A324="","",IFERROR(INDEX(Prices[Current Price],MATCH($A324,Prices[Key],0)),0))</f>
        <v/>
      </c>
      <c r="I324" s="289" t="str">
        <f>IF($A324="","",IFERROR(INDEX(Prices[FX to SGD],MATCH($A324,Prices[Key],0)),1))</f>
        <v/>
      </c>
      <c r="J324" s="287" t="str">
        <f t="shared" si="53"/>
        <v/>
      </c>
      <c r="K324" s="287" t="str">
        <f t="shared" si="54"/>
        <v/>
      </c>
      <c r="L324" s="287" t="str">
        <f t="shared" si="55"/>
        <v/>
      </c>
      <c r="M324" s="290" t="str">
        <f t="shared" si="56"/>
        <v/>
      </c>
      <c r="N324" t="str">
        <f>IF($A324="","",IFERROR(INDEX(Prices[Category],MATCH($A324,Prices[Key],0)),"Uncategorized"))</f>
        <v/>
      </c>
      <c r="O324" s="291" t="str">
        <f t="shared" si="57"/>
        <v/>
      </c>
      <c r="P324" s="291" t="str">
        <f t="shared" si="58"/>
        <v/>
      </c>
    </row>
    <row r="325" spans="1:16" ht="15" customHeight="1" x14ac:dyDescent="0.2">
      <c r="A325" s="243" t="str">
        <f>IFERROR(INDEX('All Ticker P&amp;L'!$A$2:$A$1001,MATCH(ROWS($A$2:A325),'All Ticker P&amp;L'!$N$2:$N$1001,0)),"")</f>
        <v/>
      </c>
      <c r="B325" s="243" t="str">
        <f t="shared" si="50"/>
        <v/>
      </c>
      <c r="C325" s="243" t="str">
        <f t="shared" si="51"/>
        <v/>
      </c>
      <c r="D325" s="243" t="str">
        <f t="shared" si="52"/>
        <v/>
      </c>
      <c r="E325" s="265" t="str">
        <f>IF($A325="","",SUMIFS(Txn[Signed Units],Txn[Key],$A325))</f>
        <v/>
      </c>
      <c r="F325" s="287" t="str">
        <f>IF($A325="","",SUMIFS(Txn[Buy Cost],Txn[Key],$A325))</f>
        <v/>
      </c>
      <c r="G325" s="287" t="str">
        <f>IF($A325="","",SUMIFS(Txn[Sell Proceeds],Txn[Key],$A325))</f>
        <v/>
      </c>
      <c r="H325" s="288" t="str">
        <f>IF($A325="","",IFERROR(INDEX(Prices[Current Price],MATCH($A325,Prices[Key],0)),0))</f>
        <v/>
      </c>
      <c r="I325" s="289" t="str">
        <f>IF($A325="","",IFERROR(INDEX(Prices[FX to SGD],MATCH($A325,Prices[Key],0)),1))</f>
        <v/>
      </c>
      <c r="J325" s="287" t="str">
        <f t="shared" si="53"/>
        <v/>
      </c>
      <c r="K325" s="287" t="str">
        <f t="shared" si="54"/>
        <v/>
      </c>
      <c r="L325" s="287" t="str">
        <f t="shared" si="55"/>
        <v/>
      </c>
      <c r="M325" s="290" t="str">
        <f t="shared" si="56"/>
        <v/>
      </c>
      <c r="N325" t="str">
        <f>IF($A325="","",IFERROR(INDEX(Prices[Category],MATCH($A325,Prices[Key],0)),"Uncategorized"))</f>
        <v/>
      </c>
      <c r="O325" s="291" t="str">
        <f t="shared" si="57"/>
        <v/>
      </c>
      <c r="P325" s="291" t="str">
        <f t="shared" si="58"/>
        <v/>
      </c>
    </row>
    <row r="326" spans="1:16" ht="15" customHeight="1" x14ac:dyDescent="0.2">
      <c r="A326" s="243" t="str">
        <f>IFERROR(INDEX('All Ticker P&amp;L'!$A$2:$A$1001,MATCH(ROWS($A$2:A326),'All Ticker P&amp;L'!$N$2:$N$1001,0)),"")</f>
        <v/>
      </c>
      <c r="B326" s="243" t="str">
        <f t="shared" si="50"/>
        <v/>
      </c>
      <c r="C326" s="243" t="str">
        <f t="shared" si="51"/>
        <v/>
      </c>
      <c r="D326" s="243" t="str">
        <f t="shared" si="52"/>
        <v/>
      </c>
      <c r="E326" s="265" t="str">
        <f>IF($A326="","",SUMIFS(Txn[Signed Units],Txn[Key],$A326))</f>
        <v/>
      </c>
      <c r="F326" s="287" t="str">
        <f>IF($A326="","",SUMIFS(Txn[Buy Cost],Txn[Key],$A326))</f>
        <v/>
      </c>
      <c r="G326" s="287" t="str">
        <f>IF($A326="","",SUMIFS(Txn[Sell Proceeds],Txn[Key],$A326))</f>
        <v/>
      </c>
      <c r="H326" s="288" t="str">
        <f>IF($A326="","",IFERROR(INDEX(Prices[Current Price],MATCH($A326,Prices[Key],0)),0))</f>
        <v/>
      </c>
      <c r="I326" s="289" t="str">
        <f>IF($A326="","",IFERROR(INDEX(Prices[FX to SGD],MATCH($A326,Prices[Key],0)),1))</f>
        <v/>
      </c>
      <c r="J326" s="287" t="str">
        <f t="shared" si="53"/>
        <v/>
      </c>
      <c r="K326" s="287" t="str">
        <f t="shared" si="54"/>
        <v/>
      </c>
      <c r="L326" s="287" t="str">
        <f t="shared" si="55"/>
        <v/>
      </c>
      <c r="M326" s="290" t="str">
        <f t="shared" si="56"/>
        <v/>
      </c>
      <c r="N326" t="str">
        <f>IF($A326="","",IFERROR(INDEX(Prices[Category],MATCH($A326,Prices[Key],0)),"Uncategorized"))</f>
        <v/>
      </c>
      <c r="O326" s="291" t="str">
        <f t="shared" si="57"/>
        <v/>
      </c>
      <c r="P326" s="291" t="str">
        <f t="shared" si="58"/>
        <v/>
      </c>
    </row>
    <row r="327" spans="1:16" ht="15" customHeight="1" x14ac:dyDescent="0.2">
      <c r="A327" s="243" t="str">
        <f>IFERROR(INDEX('All Ticker P&amp;L'!$A$2:$A$1001,MATCH(ROWS($A$2:A327),'All Ticker P&amp;L'!$N$2:$N$1001,0)),"")</f>
        <v/>
      </c>
      <c r="B327" s="243" t="str">
        <f t="shared" si="50"/>
        <v/>
      </c>
      <c r="C327" s="243" t="str">
        <f t="shared" si="51"/>
        <v/>
      </c>
      <c r="D327" s="243" t="str">
        <f t="shared" si="52"/>
        <v/>
      </c>
      <c r="E327" s="265" t="str">
        <f>IF($A327="","",SUMIFS(Txn[Signed Units],Txn[Key],$A327))</f>
        <v/>
      </c>
      <c r="F327" s="287" t="str">
        <f>IF($A327="","",SUMIFS(Txn[Buy Cost],Txn[Key],$A327))</f>
        <v/>
      </c>
      <c r="G327" s="287" t="str">
        <f>IF($A327="","",SUMIFS(Txn[Sell Proceeds],Txn[Key],$A327))</f>
        <v/>
      </c>
      <c r="H327" s="288" t="str">
        <f>IF($A327="","",IFERROR(INDEX(Prices[Current Price],MATCH($A327,Prices[Key],0)),0))</f>
        <v/>
      </c>
      <c r="I327" s="289" t="str">
        <f>IF($A327="","",IFERROR(INDEX(Prices[FX to SGD],MATCH($A327,Prices[Key],0)),1))</f>
        <v/>
      </c>
      <c r="J327" s="287" t="str">
        <f t="shared" si="53"/>
        <v/>
      </c>
      <c r="K327" s="287" t="str">
        <f t="shared" si="54"/>
        <v/>
      </c>
      <c r="L327" s="287" t="str">
        <f t="shared" si="55"/>
        <v/>
      </c>
      <c r="M327" s="290" t="str">
        <f t="shared" si="56"/>
        <v/>
      </c>
      <c r="N327" t="str">
        <f>IF($A327="","",IFERROR(INDEX(Prices[Category],MATCH($A327,Prices[Key],0)),"Uncategorized"))</f>
        <v/>
      </c>
      <c r="O327" s="291" t="str">
        <f t="shared" si="57"/>
        <v/>
      </c>
      <c r="P327" s="291" t="str">
        <f t="shared" si="58"/>
        <v/>
      </c>
    </row>
    <row r="328" spans="1:16" ht="15" customHeight="1" x14ac:dyDescent="0.2">
      <c r="A328" s="243" t="str">
        <f>IFERROR(INDEX('All Ticker P&amp;L'!$A$2:$A$1001,MATCH(ROWS($A$2:A328),'All Ticker P&amp;L'!$N$2:$N$1001,0)),"")</f>
        <v/>
      </c>
      <c r="B328" s="243" t="str">
        <f t="shared" si="50"/>
        <v/>
      </c>
      <c r="C328" s="243" t="str">
        <f t="shared" si="51"/>
        <v/>
      </c>
      <c r="D328" s="243" t="str">
        <f t="shared" si="52"/>
        <v/>
      </c>
      <c r="E328" s="265" t="str">
        <f>IF($A328="","",SUMIFS(Txn[Signed Units],Txn[Key],$A328))</f>
        <v/>
      </c>
      <c r="F328" s="287" t="str">
        <f>IF($A328="","",SUMIFS(Txn[Buy Cost],Txn[Key],$A328))</f>
        <v/>
      </c>
      <c r="G328" s="287" t="str">
        <f>IF($A328="","",SUMIFS(Txn[Sell Proceeds],Txn[Key],$A328))</f>
        <v/>
      </c>
      <c r="H328" s="288" t="str">
        <f>IF($A328="","",IFERROR(INDEX(Prices[Current Price],MATCH($A328,Prices[Key],0)),0))</f>
        <v/>
      </c>
      <c r="I328" s="289" t="str">
        <f>IF($A328="","",IFERROR(INDEX(Prices[FX to SGD],MATCH($A328,Prices[Key],0)),1))</f>
        <v/>
      </c>
      <c r="J328" s="287" t="str">
        <f t="shared" si="53"/>
        <v/>
      </c>
      <c r="K328" s="287" t="str">
        <f t="shared" si="54"/>
        <v/>
      </c>
      <c r="L328" s="287" t="str">
        <f t="shared" si="55"/>
        <v/>
      </c>
      <c r="M328" s="290" t="str">
        <f t="shared" si="56"/>
        <v/>
      </c>
      <c r="N328" t="str">
        <f>IF($A328="","",IFERROR(INDEX(Prices[Category],MATCH($A328,Prices[Key],0)),"Uncategorized"))</f>
        <v/>
      </c>
      <c r="O328" s="291" t="str">
        <f t="shared" si="57"/>
        <v/>
      </c>
      <c r="P328" s="291" t="str">
        <f t="shared" si="58"/>
        <v/>
      </c>
    </row>
    <row r="329" spans="1:16" ht="15" customHeight="1" x14ac:dyDescent="0.2">
      <c r="A329" s="243" t="str">
        <f>IFERROR(INDEX('All Ticker P&amp;L'!$A$2:$A$1001,MATCH(ROWS($A$2:A329),'All Ticker P&amp;L'!$N$2:$N$1001,0)),"")</f>
        <v/>
      </c>
      <c r="B329" s="243" t="str">
        <f t="shared" si="50"/>
        <v/>
      </c>
      <c r="C329" s="243" t="str">
        <f t="shared" si="51"/>
        <v/>
      </c>
      <c r="D329" s="243" t="str">
        <f t="shared" si="52"/>
        <v/>
      </c>
      <c r="E329" s="265" t="str">
        <f>IF($A329="","",SUMIFS(Txn[Signed Units],Txn[Key],$A329))</f>
        <v/>
      </c>
      <c r="F329" s="287" t="str">
        <f>IF($A329="","",SUMIFS(Txn[Buy Cost],Txn[Key],$A329))</f>
        <v/>
      </c>
      <c r="G329" s="287" t="str">
        <f>IF($A329="","",SUMIFS(Txn[Sell Proceeds],Txn[Key],$A329))</f>
        <v/>
      </c>
      <c r="H329" s="288" t="str">
        <f>IF($A329="","",IFERROR(INDEX(Prices[Current Price],MATCH($A329,Prices[Key],0)),0))</f>
        <v/>
      </c>
      <c r="I329" s="289" t="str">
        <f>IF($A329="","",IFERROR(INDEX(Prices[FX to SGD],MATCH($A329,Prices[Key],0)),1))</f>
        <v/>
      </c>
      <c r="J329" s="287" t="str">
        <f t="shared" si="53"/>
        <v/>
      </c>
      <c r="K329" s="287" t="str">
        <f t="shared" si="54"/>
        <v/>
      </c>
      <c r="L329" s="287" t="str">
        <f t="shared" si="55"/>
        <v/>
      </c>
      <c r="M329" s="290" t="str">
        <f t="shared" si="56"/>
        <v/>
      </c>
      <c r="N329" t="str">
        <f>IF($A329="","",IFERROR(INDEX(Prices[Category],MATCH($A329,Prices[Key],0)),"Uncategorized"))</f>
        <v/>
      </c>
      <c r="O329" s="291" t="str">
        <f t="shared" si="57"/>
        <v/>
      </c>
      <c r="P329" s="291" t="str">
        <f t="shared" si="58"/>
        <v/>
      </c>
    </row>
    <row r="330" spans="1:16" ht="15" customHeight="1" x14ac:dyDescent="0.2">
      <c r="A330" s="243" t="str">
        <f>IFERROR(INDEX('All Ticker P&amp;L'!$A$2:$A$1001,MATCH(ROWS($A$2:A330),'All Ticker P&amp;L'!$N$2:$N$1001,0)),"")</f>
        <v/>
      </c>
      <c r="B330" s="243" t="str">
        <f t="shared" si="50"/>
        <v/>
      </c>
      <c r="C330" s="243" t="str">
        <f t="shared" si="51"/>
        <v/>
      </c>
      <c r="D330" s="243" t="str">
        <f t="shared" si="52"/>
        <v/>
      </c>
      <c r="E330" s="265" t="str">
        <f>IF($A330="","",SUMIFS(Txn[Signed Units],Txn[Key],$A330))</f>
        <v/>
      </c>
      <c r="F330" s="287" t="str">
        <f>IF($A330="","",SUMIFS(Txn[Buy Cost],Txn[Key],$A330))</f>
        <v/>
      </c>
      <c r="G330" s="287" t="str">
        <f>IF($A330="","",SUMIFS(Txn[Sell Proceeds],Txn[Key],$A330))</f>
        <v/>
      </c>
      <c r="H330" s="288" t="str">
        <f>IF($A330="","",IFERROR(INDEX(Prices[Current Price],MATCH($A330,Prices[Key],0)),0))</f>
        <v/>
      </c>
      <c r="I330" s="289" t="str">
        <f>IF($A330="","",IFERROR(INDEX(Prices[FX to SGD],MATCH($A330,Prices[Key],0)),1))</f>
        <v/>
      </c>
      <c r="J330" s="287" t="str">
        <f t="shared" si="53"/>
        <v/>
      </c>
      <c r="K330" s="287" t="str">
        <f t="shared" si="54"/>
        <v/>
      </c>
      <c r="L330" s="287" t="str">
        <f t="shared" si="55"/>
        <v/>
      </c>
      <c r="M330" s="290" t="str">
        <f t="shared" si="56"/>
        <v/>
      </c>
      <c r="N330" t="str">
        <f>IF($A330="","",IFERROR(INDEX(Prices[Category],MATCH($A330,Prices[Key],0)),"Uncategorized"))</f>
        <v/>
      </c>
      <c r="O330" s="291" t="str">
        <f t="shared" si="57"/>
        <v/>
      </c>
      <c r="P330" s="291" t="str">
        <f t="shared" si="58"/>
        <v/>
      </c>
    </row>
    <row r="331" spans="1:16" ht="15" customHeight="1" x14ac:dyDescent="0.2">
      <c r="A331" s="243" t="str">
        <f>IFERROR(INDEX('All Ticker P&amp;L'!$A$2:$A$1001,MATCH(ROWS($A$2:A331),'All Ticker P&amp;L'!$N$2:$N$1001,0)),"")</f>
        <v/>
      </c>
      <c r="B331" s="243" t="str">
        <f t="shared" si="50"/>
        <v/>
      </c>
      <c r="C331" s="243" t="str">
        <f t="shared" si="51"/>
        <v/>
      </c>
      <c r="D331" s="243" t="str">
        <f t="shared" si="52"/>
        <v/>
      </c>
      <c r="E331" s="265" t="str">
        <f>IF($A331="","",SUMIFS(Txn[Signed Units],Txn[Key],$A331))</f>
        <v/>
      </c>
      <c r="F331" s="287" t="str">
        <f>IF($A331="","",SUMIFS(Txn[Buy Cost],Txn[Key],$A331))</f>
        <v/>
      </c>
      <c r="G331" s="287" t="str">
        <f>IF($A331="","",SUMIFS(Txn[Sell Proceeds],Txn[Key],$A331))</f>
        <v/>
      </c>
      <c r="H331" s="288" t="str">
        <f>IF($A331="","",IFERROR(INDEX(Prices[Current Price],MATCH($A331,Prices[Key],0)),0))</f>
        <v/>
      </c>
      <c r="I331" s="289" t="str">
        <f>IF($A331="","",IFERROR(INDEX(Prices[FX to SGD],MATCH($A331,Prices[Key],0)),1))</f>
        <v/>
      </c>
      <c r="J331" s="287" t="str">
        <f t="shared" si="53"/>
        <v/>
      </c>
      <c r="K331" s="287" t="str">
        <f t="shared" si="54"/>
        <v/>
      </c>
      <c r="L331" s="287" t="str">
        <f t="shared" si="55"/>
        <v/>
      </c>
      <c r="M331" s="290" t="str">
        <f t="shared" si="56"/>
        <v/>
      </c>
      <c r="N331" t="str">
        <f>IF($A331="","",IFERROR(INDEX(Prices[Category],MATCH($A331,Prices[Key],0)),"Uncategorized"))</f>
        <v/>
      </c>
      <c r="O331" s="291" t="str">
        <f t="shared" si="57"/>
        <v/>
      </c>
      <c r="P331" s="291" t="str">
        <f t="shared" si="58"/>
        <v/>
      </c>
    </row>
    <row r="332" spans="1:16" ht="15" customHeight="1" x14ac:dyDescent="0.2">
      <c r="A332" s="243" t="str">
        <f>IFERROR(INDEX('All Ticker P&amp;L'!$A$2:$A$1001,MATCH(ROWS($A$2:A332),'All Ticker P&amp;L'!$N$2:$N$1001,0)),"")</f>
        <v/>
      </c>
      <c r="B332" s="243" t="str">
        <f t="shared" si="50"/>
        <v/>
      </c>
      <c r="C332" s="243" t="str">
        <f t="shared" si="51"/>
        <v/>
      </c>
      <c r="D332" s="243" t="str">
        <f t="shared" si="52"/>
        <v/>
      </c>
      <c r="E332" s="265" t="str">
        <f>IF($A332="","",SUMIFS(Txn[Signed Units],Txn[Key],$A332))</f>
        <v/>
      </c>
      <c r="F332" s="287" t="str">
        <f>IF($A332="","",SUMIFS(Txn[Buy Cost],Txn[Key],$A332))</f>
        <v/>
      </c>
      <c r="G332" s="287" t="str">
        <f>IF($A332="","",SUMIFS(Txn[Sell Proceeds],Txn[Key],$A332))</f>
        <v/>
      </c>
      <c r="H332" s="288" t="str">
        <f>IF($A332="","",IFERROR(INDEX(Prices[Current Price],MATCH($A332,Prices[Key],0)),0))</f>
        <v/>
      </c>
      <c r="I332" s="289" t="str">
        <f>IF($A332="","",IFERROR(INDEX(Prices[FX to SGD],MATCH($A332,Prices[Key],0)),1))</f>
        <v/>
      </c>
      <c r="J332" s="287" t="str">
        <f t="shared" si="53"/>
        <v/>
      </c>
      <c r="K332" s="287" t="str">
        <f t="shared" si="54"/>
        <v/>
      </c>
      <c r="L332" s="287" t="str">
        <f t="shared" si="55"/>
        <v/>
      </c>
      <c r="M332" s="290" t="str">
        <f t="shared" si="56"/>
        <v/>
      </c>
      <c r="N332" t="str">
        <f>IF($A332="","",IFERROR(INDEX(Prices[Category],MATCH($A332,Prices[Key],0)),"Uncategorized"))</f>
        <v/>
      </c>
      <c r="O332" s="291" t="str">
        <f t="shared" si="57"/>
        <v/>
      </c>
      <c r="P332" s="291" t="str">
        <f t="shared" si="58"/>
        <v/>
      </c>
    </row>
    <row r="333" spans="1:16" ht="15" customHeight="1" x14ac:dyDescent="0.2">
      <c r="A333" s="243" t="str">
        <f>IFERROR(INDEX('All Ticker P&amp;L'!$A$2:$A$1001,MATCH(ROWS($A$2:A333),'All Ticker P&amp;L'!$N$2:$N$1001,0)),"")</f>
        <v/>
      </c>
      <c r="B333" s="243" t="str">
        <f t="shared" si="50"/>
        <v/>
      </c>
      <c r="C333" s="243" t="str">
        <f t="shared" si="51"/>
        <v/>
      </c>
      <c r="D333" s="243" t="str">
        <f t="shared" si="52"/>
        <v/>
      </c>
      <c r="E333" s="265" t="str">
        <f>IF($A333="","",SUMIFS(Txn[Signed Units],Txn[Key],$A333))</f>
        <v/>
      </c>
      <c r="F333" s="287" t="str">
        <f>IF($A333="","",SUMIFS(Txn[Buy Cost],Txn[Key],$A333))</f>
        <v/>
      </c>
      <c r="G333" s="287" t="str">
        <f>IF($A333="","",SUMIFS(Txn[Sell Proceeds],Txn[Key],$A333))</f>
        <v/>
      </c>
      <c r="H333" s="288" t="str">
        <f>IF($A333="","",IFERROR(INDEX(Prices[Current Price],MATCH($A333,Prices[Key],0)),0))</f>
        <v/>
      </c>
      <c r="I333" s="289" t="str">
        <f>IF($A333="","",IFERROR(INDEX(Prices[FX to SGD],MATCH($A333,Prices[Key],0)),1))</f>
        <v/>
      </c>
      <c r="J333" s="287" t="str">
        <f t="shared" si="53"/>
        <v/>
      </c>
      <c r="K333" s="287" t="str">
        <f t="shared" si="54"/>
        <v/>
      </c>
      <c r="L333" s="287" t="str">
        <f t="shared" si="55"/>
        <v/>
      </c>
      <c r="M333" s="290" t="str">
        <f t="shared" si="56"/>
        <v/>
      </c>
      <c r="N333" t="str">
        <f>IF($A333="","",IFERROR(INDEX(Prices[Category],MATCH($A333,Prices[Key],0)),"Uncategorized"))</f>
        <v/>
      </c>
      <c r="O333" s="291" t="str">
        <f t="shared" si="57"/>
        <v/>
      </c>
      <c r="P333" s="291" t="str">
        <f t="shared" si="58"/>
        <v/>
      </c>
    </row>
    <row r="334" spans="1:16" ht="15" customHeight="1" x14ac:dyDescent="0.2">
      <c r="A334" s="243" t="str">
        <f>IFERROR(INDEX('All Ticker P&amp;L'!$A$2:$A$1001,MATCH(ROWS($A$2:A334),'All Ticker P&amp;L'!$N$2:$N$1001,0)),"")</f>
        <v/>
      </c>
      <c r="B334" s="243" t="str">
        <f t="shared" si="50"/>
        <v/>
      </c>
      <c r="C334" s="243" t="str">
        <f t="shared" si="51"/>
        <v/>
      </c>
      <c r="D334" s="243" t="str">
        <f t="shared" si="52"/>
        <v/>
      </c>
      <c r="E334" s="265" t="str">
        <f>IF($A334="","",SUMIFS(Txn[Signed Units],Txn[Key],$A334))</f>
        <v/>
      </c>
      <c r="F334" s="287" t="str">
        <f>IF($A334="","",SUMIFS(Txn[Buy Cost],Txn[Key],$A334))</f>
        <v/>
      </c>
      <c r="G334" s="287" t="str">
        <f>IF($A334="","",SUMIFS(Txn[Sell Proceeds],Txn[Key],$A334))</f>
        <v/>
      </c>
      <c r="H334" s="288" t="str">
        <f>IF($A334="","",IFERROR(INDEX(Prices[Current Price],MATCH($A334,Prices[Key],0)),0))</f>
        <v/>
      </c>
      <c r="I334" s="289" t="str">
        <f>IF($A334="","",IFERROR(INDEX(Prices[FX to SGD],MATCH($A334,Prices[Key],0)),1))</f>
        <v/>
      </c>
      <c r="J334" s="287" t="str">
        <f t="shared" si="53"/>
        <v/>
      </c>
      <c r="K334" s="287" t="str">
        <f t="shared" si="54"/>
        <v/>
      </c>
      <c r="L334" s="287" t="str">
        <f t="shared" si="55"/>
        <v/>
      </c>
      <c r="M334" s="290" t="str">
        <f t="shared" si="56"/>
        <v/>
      </c>
      <c r="N334" t="str">
        <f>IF($A334="","",IFERROR(INDEX(Prices[Category],MATCH($A334,Prices[Key],0)),"Uncategorized"))</f>
        <v/>
      </c>
      <c r="O334" s="291" t="str">
        <f t="shared" si="57"/>
        <v/>
      </c>
      <c r="P334" s="291" t="str">
        <f t="shared" si="58"/>
        <v/>
      </c>
    </row>
    <row r="335" spans="1:16" ht="15" customHeight="1" x14ac:dyDescent="0.2">
      <c r="A335" s="243" t="str">
        <f>IFERROR(INDEX('All Ticker P&amp;L'!$A$2:$A$1001,MATCH(ROWS($A$2:A335),'All Ticker P&amp;L'!$N$2:$N$1001,0)),"")</f>
        <v/>
      </c>
      <c r="B335" s="243" t="str">
        <f t="shared" si="50"/>
        <v/>
      </c>
      <c r="C335" s="243" t="str">
        <f t="shared" si="51"/>
        <v/>
      </c>
      <c r="D335" s="243" t="str">
        <f t="shared" si="52"/>
        <v/>
      </c>
      <c r="E335" s="265" t="str">
        <f>IF($A335="","",SUMIFS(Txn[Signed Units],Txn[Key],$A335))</f>
        <v/>
      </c>
      <c r="F335" s="287" t="str">
        <f>IF($A335="","",SUMIFS(Txn[Buy Cost],Txn[Key],$A335))</f>
        <v/>
      </c>
      <c r="G335" s="287" t="str">
        <f>IF($A335="","",SUMIFS(Txn[Sell Proceeds],Txn[Key],$A335))</f>
        <v/>
      </c>
      <c r="H335" s="288" t="str">
        <f>IF($A335="","",IFERROR(INDEX(Prices[Current Price],MATCH($A335,Prices[Key],0)),0))</f>
        <v/>
      </c>
      <c r="I335" s="289" t="str">
        <f>IF($A335="","",IFERROR(INDEX(Prices[FX to SGD],MATCH($A335,Prices[Key],0)),1))</f>
        <v/>
      </c>
      <c r="J335" s="287" t="str">
        <f t="shared" si="53"/>
        <v/>
      </c>
      <c r="K335" s="287" t="str">
        <f t="shared" si="54"/>
        <v/>
      </c>
      <c r="L335" s="287" t="str">
        <f t="shared" si="55"/>
        <v/>
      </c>
      <c r="M335" s="290" t="str">
        <f t="shared" si="56"/>
        <v/>
      </c>
      <c r="N335" t="str">
        <f>IF($A335="","",IFERROR(INDEX(Prices[Category],MATCH($A335,Prices[Key],0)),"Uncategorized"))</f>
        <v/>
      </c>
      <c r="O335" s="291" t="str">
        <f t="shared" si="57"/>
        <v/>
      </c>
      <c r="P335" s="291" t="str">
        <f t="shared" si="58"/>
        <v/>
      </c>
    </row>
    <row r="336" spans="1:16" ht="15" customHeight="1" x14ac:dyDescent="0.2">
      <c r="A336" s="243" t="str">
        <f>IFERROR(INDEX('All Ticker P&amp;L'!$A$2:$A$1001,MATCH(ROWS($A$2:A336),'All Ticker P&amp;L'!$N$2:$N$1001,0)),"")</f>
        <v/>
      </c>
      <c r="B336" s="243" t="str">
        <f t="shared" si="50"/>
        <v/>
      </c>
      <c r="C336" s="243" t="str">
        <f t="shared" si="51"/>
        <v/>
      </c>
      <c r="D336" s="243" t="str">
        <f t="shared" si="52"/>
        <v/>
      </c>
      <c r="E336" s="265" t="str">
        <f>IF($A336="","",SUMIFS(Txn[Signed Units],Txn[Key],$A336))</f>
        <v/>
      </c>
      <c r="F336" s="287" t="str">
        <f>IF($A336="","",SUMIFS(Txn[Buy Cost],Txn[Key],$A336))</f>
        <v/>
      </c>
      <c r="G336" s="287" t="str">
        <f>IF($A336="","",SUMIFS(Txn[Sell Proceeds],Txn[Key],$A336))</f>
        <v/>
      </c>
      <c r="H336" s="288" t="str">
        <f>IF($A336="","",IFERROR(INDEX(Prices[Current Price],MATCH($A336,Prices[Key],0)),0))</f>
        <v/>
      </c>
      <c r="I336" s="289" t="str">
        <f>IF($A336="","",IFERROR(INDEX(Prices[FX to SGD],MATCH($A336,Prices[Key],0)),1))</f>
        <v/>
      </c>
      <c r="J336" s="287" t="str">
        <f t="shared" si="53"/>
        <v/>
      </c>
      <c r="K336" s="287" t="str">
        <f t="shared" si="54"/>
        <v/>
      </c>
      <c r="L336" s="287" t="str">
        <f t="shared" si="55"/>
        <v/>
      </c>
      <c r="M336" s="290" t="str">
        <f t="shared" si="56"/>
        <v/>
      </c>
      <c r="N336" t="str">
        <f>IF($A336="","",IFERROR(INDEX(Prices[Category],MATCH($A336,Prices[Key],0)),"Uncategorized"))</f>
        <v/>
      </c>
      <c r="O336" s="291" t="str">
        <f t="shared" si="57"/>
        <v/>
      </c>
      <c r="P336" s="291" t="str">
        <f t="shared" si="58"/>
        <v/>
      </c>
    </row>
    <row r="337" spans="1:16" ht="15" customHeight="1" x14ac:dyDescent="0.2">
      <c r="A337" s="243" t="str">
        <f>IFERROR(INDEX('All Ticker P&amp;L'!$A$2:$A$1001,MATCH(ROWS($A$2:A337),'All Ticker P&amp;L'!$N$2:$N$1001,0)),"")</f>
        <v/>
      </c>
      <c r="B337" s="243" t="str">
        <f t="shared" si="50"/>
        <v/>
      </c>
      <c r="C337" s="243" t="str">
        <f t="shared" si="51"/>
        <v/>
      </c>
      <c r="D337" s="243" t="str">
        <f t="shared" si="52"/>
        <v/>
      </c>
      <c r="E337" s="265" t="str">
        <f>IF($A337="","",SUMIFS(Txn[Signed Units],Txn[Key],$A337))</f>
        <v/>
      </c>
      <c r="F337" s="287" t="str">
        <f>IF($A337="","",SUMIFS(Txn[Buy Cost],Txn[Key],$A337))</f>
        <v/>
      </c>
      <c r="G337" s="287" t="str">
        <f>IF($A337="","",SUMIFS(Txn[Sell Proceeds],Txn[Key],$A337))</f>
        <v/>
      </c>
      <c r="H337" s="288" t="str">
        <f>IF($A337="","",IFERROR(INDEX(Prices[Current Price],MATCH($A337,Prices[Key],0)),0))</f>
        <v/>
      </c>
      <c r="I337" s="289" t="str">
        <f>IF($A337="","",IFERROR(INDEX(Prices[FX to SGD],MATCH($A337,Prices[Key],0)),1))</f>
        <v/>
      </c>
      <c r="J337" s="287" t="str">
        <f t="shared" si="53"/>
        <v/>
      </c>
      <c r="K337" s="287" t="str">
        <f t="shared" si="54"/>
        <v/>
      </c>
      <c r="L337" s="287" t="str">
        <f t="shared" si="55"/>
        <v/>
      </c>
      <c r="M337" s="290" t="str">
        <f t="shared" si="56"/>
        <v/>
      </c>
      <c r="N337" t="str">
        <f>IF($A337="","",IFERROR(INDEX(Prices[Category],MATCH($A337,Prices[Key],0)),"Uncategorized"))</f>
        <v/>
      </c>
      <c r="O337" s="291" t="str">
        <f t="shared" si="57"/>
        <v/>
      </c>
      <c r="P337" s="291" t="str">
        <f t="shared" si="58"/>
        <v/>
      </c>
    </row>
    <row r="338" spans="1:16" ht="15" customHeight="1" x14ac:dyDescent="0.2">
      <c r="A338" s="243" t="str">
        <f>IFERROR(INDEX('All Ticker P&amp;L'!$A$2:$A$1001,MATCH(ROWS($A$2:A338),'All Ticker P&amp;L'!$N$2:$N$1001,0)),"")</f>
        <v/>
      </c>
      <c r="B338" s="243" t="str">
        <f t="shared" si="50"/>
        <v/>
      </c>
      <c r="C338" s="243" t="str">
        <f t="shared" si="51"/>
        <v/>
      </c>
      <c r="D338" s="243" t="str">
        <f t="shared" si="52"/>
        <v/>
      </c>
      <c r="E338" s="265" t="str">
        <f>IF($A338="","",SUMIFS(Txn[Signed Units],Txn[Key],$A338))</f>
        <v/>
      </c>
      <c r="F338" s="287" t="str">
        <f>IF($A338="","",SUMIFS(Txn[Buy Cost],Txn[Key],$A338))</f>
        <v/>
      </c>
      <c r="G338" s="287" t="str">
        <f>IF($A338="","",SUMIFS(Txn[Sell Proceeds],Txn[Key],$A338))</f>
        <v/>
      </c>
      <c r="H338" s="288" t="str">
        <f>IF($A338="","",IFERROR(INDEX(Prices[Current Price],MATCH($A338,Prices[Key],0)),0))</f>
        <v/>
      </c>
      <c r="I338" s="289" t="str">
        <f>IF($A338="","",IFERROR(INDEX(Prices[FX to SGD],MATCH($A338,Prices[Key],0)),1))</f>
        <v/>
      </c>
      <c r="J338" s="287" t="str">
        <f t="shared" si="53"/>
        <v/>
      </c>
      <c r="K338" s="287" t="str">
        <f t="shared" si="54"/>
        <v/>
      </c>
      <c r="L338" s="287" t="str">
        <f t="shared" si="55"/>
        <v/>
      </c>
      <c r="M338" s="290" t="str">
        <f t="shared" si="56"/>
        <v/>
      </c>
      <c r="N338" t="str">
        <f>IF($A338="","",IFERROR(INDEX(Prices[Category],MATCH($A338,Prices[Key],0)),"Uncategorized"))</f>
        <v/>
      </c>
      <c r="O338" s="291" t="str">
        <f t="shared" si="57"/>
        <v/>
      </c>
      <c r="P338" s="291" t="str">
        <f t="shared" si="58"/>
        <v/>
      </c>
    </row>
    <row r="339" spans="1:16" ht="15" customHeight="1" x14ac:dyDescent="0.2">
      <c r="A339" s="243" t="str">
        <f>IFERROR(INDEX('All Ticker P&amp;L'!$A$2:$A$1001,MATCH(ROWS($A$2:A339),'All Ticker P&amp;L'!$N$2:$N$1001,0)),"")</f>
        <v/>
      </c>
      <c r="B339" s="243" t="str">
        <f t="shared" si="50"/>
        <v/>
      </c>
      <c r="C339" s="243" t="str">
        <f t="shared" si="51"/>
        <v/>
      </c>
      <c r="D339" s="243" t="str">
        <f t="shared" si="52"/>
        <v/>
      </c>
      <c r="E339" s="265" t="str">
        <f>IF($A339="","",SUMIFS(Txn[Signed Units],Txn[Key],$A339))</f>
        <v/>
      </c>
      <c r="F339" s="287" t="str">
        <f>IF($A339="","",SUMIFS(Txn[Buy Cost],Txn[Key],$A339))</f>
        <v/>
      </c>
      <c r="G339" s="287" t="str">
        <f>IF($A339="","",SUMIFS(Txn[Sell Proceeds],Txn[Key],$A339))</f>
        <v/>
      </c>
      <c r="H339" s="288" t="str">
        <f>IF($A339="","",IFERROR(INDEX(Prices[Current Price],MATCH($A339,Prices[Key],0)),0))</f>
        <v/>
      </c>
      <c r="I339" s="289" t="str">
        <f>IF($A339="","",IFERROR(INDEX(Prices[FX to SGD],MATCH($A339,Prices[Key],0)),1))</f>
        <v/>
      </c>
      <c r="J339" s="287" t="str">
        <f t="shared" si="53"/>
        <v/>
      </c>
      <c r="K339" s="287" t="str">
        <f t="shared" si="54"/>
        <v/>
      </c>
      <c r="L339" s="287" t="str">
        <f t="shared" si="55"/>
        <v/>
      </c>
      <c r="M339" s="290" t="str">
        <f t="shared" si="56"/>
        <v/>
      </c>
      <c r="N339" t="str">
        <f>IF($A339="","",IFERROR(INDEX(Prices[Category],MATCH($A339,Prices[Key],0)),"Uncategorized"))</f>
        <v/>
      </c>
      <c r="O339" s="291" t="str">
        <f t="shared" si="57"/>
        <v/>
      </c>
      <c r="P339" s="291" t="str">
        <f t="shared" si="58"/>
        <v/>
      </c>
    </row>
    <row r="340" spans="1:16" ht="15" customHeight="1" x14ac:dyDescent="0.2">
      <c r="A340" s="243" t="str">
        <f>IFERROR(INDEX('All Ticker P&amp;L'!$A$2:$A$1001,MATCH(ROWS($A$2:A340),'All Ticker P&amp;L'!$N$2:$N$1001,0)),"")</f>
        <v/>
      </c>
      <c r="B340" s="243" t="str">
        <f t="shared" si="50"/>
        <v/>
      </c>
      <c r="C340" s="243" t="str">
        <f t="shared" si="51"/>
        <v/>
      </c>
      <c r="D340" s="243" t="str">
        <f t="shared" si="52"/>
        <v/>
      </c>
      <c r="E340" s="265" t="str">
        <f>IF($A340="","",SUMIFS(Txn[Signed Units],Txn[Key],$A340))</f>
        <v/>
      </c>
      <c r="F340" s="287" t="str">
        <f>IF($A340="","",SUMIFS(Txn[Buy Cost],Txn[Key],$A340))</f>
        <v/>
      </c>
      <c r="G340" s="287" t="str">
        <f>IF($A340="","",SUMIFS(Txn[Sell Proceeds],Txn[Key],$A340))</f>
        <v/>
      </c>
      <c r="H340" s="288" t="str">
        <f>IF($A340="","",IFERROR(INDEX(Prices[Current Price],MATCH($A340,Prices[Key],0)),0))</f>
        <v/>
      </c>
      <c r="I340" s="289" t="str">
        <f>IF($A340="","",IFERROR(INDEX(Prices[FX to SGD],MATCH($A340,Prices[Key],0)),1))</f>
        <v/>
      </c>
      <c r="J340" s="287" t="str">
        <f t="shared" si="53"/>
        <v/>
      </c>
      <c r="K340" s="287" t="str">
        <f t="shared" si="54"/>
        <v/>
      </c>
      <c r="L340" s="287" t="str">
        <f t="shared" si="55"/>
        <v/>
      </c>
      <c r="M340" s="290" t="str">
        <f t="shared" si="56"/>
        <v/>
      </c>
      <c r="N340" t="str">
        <f>IF($A340="","",IFERROR(INDEX(Prices[Category],MATCH($A340,Prices[Key],0)),"Uncategorized"))</f>
        <v/>
      </c>
      <c r="O340" s="291" t="str">
        <f t="shared" si="57"/>
        <v/>
      </c>
      <c r="P340" s="291" t="str">
        <f t="shared" si="58"/>
        <v/>
      </c>
    </row>
    <row r="341" spans="1:16" ht="15" customHeight="1" x14ac:dyDescent="0.2">
      <c r="A341" s="243" t="str">
        <f>IFERROR(INDEX('All Ticker P&amp;L'!$A$2:$A$1001,MATCH(ROWS($A$2:A341),'All Ticker P&amp;L'!$N$2:$N$1001,0)),"")</f>
        <v/>
      </c>
      <c r="B341" s="243" t="str">
        <f t="shared" si="50"/>
        <v/>
      </c>
      <c r="C341" s="243" t="str">
        <f t="shared" si="51"/>
        <v/>
      </c>
      <c r="D341" s="243" t="str">
        <f t="shared" si="52"/>
        <v/>
      </c>
      <c r="E341" s="265" t="str">
        <f>IF($A341="","",SUMIFS(Txn[Signed Units],Txn[Key],$A341))</f>
        <v/>
      </c>
      <c r="F341" s="287" t="str">
        <f>IF($A341="","",SUMIFS(Txn[Buy Cost],Txn[Key],$A341))</f>
        <v/>
      </c>
      <c r="G341" s="287" t="str">
        <f>IF($A341="","",SUMIFS(Txn[Sell Proceeds],Txn[Key],$A341))</f>
        <v/>
      </c>
      <c r="H341" s="288" t="str">
        <f>IF($A341="","",IFERROR(INDEX(Prices[Current Price],MATCH($A341,Prices[Key],0)),0))</f>
        <v/>
      </c>
      <c r="I341" s="289" t="str">
        <f>IF($A341="","",IFERROR(INDEX(Prices[FX to SGD],MATCH($A341,Prices[Key],0)),1))</f>
        <v/>
      </c>
      <c r="J341" s="287" t="str">
        <f t="shared" si="53"/>
        <v/>
      </c>
      <c r="K341" s="287" t="str">
        <f t="shared" si="54"/>
        <v/>
      </c>
      <c r="L341" s="287" t="str">
        <f t="shared" si="55"/>
        <v/>
      </c>
      <c r="M341" s="290" t="str">
        <f t="shared" si="56"/>
        <v/>
      </c>
      <c r="N341" t="str">
        <f>IF($A341="","",IFERROR(INDEX(Prices[Category],MATCH($A341,Prices[Key],0)),"Uncategorized"))</f>
        <v/>
      </c>
      <c r="O341" s="291" t="str">
        <f t="shared" si="57"/>
        <v/>
      </c>
      <c r="P341" s="291" t="str">
        <f t="shared" si="58"/>
        <v/>
      </c>
    </row>
    <row r="342" spans="1:16" ht="15" customHeight="1" x14ac:dyDescent="0.2">
      <c r="A342" s="243" t="str">
        <f>IFERROR(INDEX('All Ticker P&amp;L'!$A$2:$A$1001,MATCH(ROWS($A$2:A342),'All Ticker P&amp;L'!$N$2:$N$1001,0)),"")</f>
        <v/>
      </c>
      <c r="B342" s="243" t="str">
        <f t="shared" si="50"/>
        <v/>
      </c>
      <c r="C342" s="243" t="str">
        <f t="shared" si="51"/>
        <v/>
      </c>
      <c r="D342" s="243" t="str">
        <f t="shared" si="52"/>
        <v/>
      </c>
      <c r="E342" s="265" t="str">
        <f>IF($A342="","",SUMIFS(Txn[Signed Units],Txn[Key],$A342))</f>
        <v/>
      </c>
      <c r="F342" s="287" t="str">
        <f>IF($A342="","",SUMIFS(Txn[Buy Cost],Txn[Key],$A342))</f>
        <v/>
      </c>
      <c r="G342" s="287" t="str">
        <f>IF($A342="","",SUMIFS(Txn[Sell Proceeds],Txn[Key],$A342))</f>
        <v/>
      </c>
      <c r="H342" s="288" t="str">
        <f>IF($A342="","",IFERROR(INDEX(Prices[Current Price],MATCH($A342,Prices[Key],0)),0))</f>
        <v/>
      </c>
      <c r="I342" s="289" t="str">
        <f>IF($A342="","",IFERROR(INDEX(Prices[FX to SGD],MATCH($A342,Prices[Key],0)),1))</f>
        <v/>
      </c>
      <c r="J342" s="287" t="str">
        <f t="shared" si="53"/>
        <v/>
      </c>
      <c r="K342" s="287" t="str">
        <f t="shared" si="54"/>
        <v/>
      </c>
      <c r="L342" s="287" t="str">
        <f t="shared" si="55"/>
        <v/>
      </c>
      <c r="M342" s="290" t="str">
        <f t="shared" si="56"/>
        <v/>
      </c>
      <c r="N342" t="str">
        <f>IF($A342="","",IFERROR(INDEX(Prices[Category],MATCH($A342,Prices[Key],0)),"Uncategorized"))</f>
        <v/>
      </c>
      <c r="O342" s="291" t="str">
        <f t="shared" si="57"/>
        <v/>
      </c>
      <c r="P342" s="291" t="str">
        <f t="shared" si="58"/>
        <v/>
      </c>
    </row>
    <row r="343" spans="1:16" ht="15" customHeight="1" x14ac:dyDescent="0.2">
      <c r="A343" s="243" t="str">
        <f>IFERROR(INDEX('All Ticker P&amp;L'!$A$2:$A$1001,MATCH(ROWS($A$2:A343),'All Ticker P&amp;L'!$N$2:$N$1001,0)),"")</f>
        <v/>
      </c>
      <c r="B343" s="243" t="str">
        <f t="shared" si="50"/>
        <v/>
      </c>
      <c r="C343" s="243" t="str">
        <f t="shared" si="51"/>
        <v/>
      </c>
      <c r="D343" s="243" t="str">
        <f t="shared" si="52"/>
        <v/>
      </c>
      <c r="E343" s="265" t="str">
        <f>IF($A343="","",SUMIFS(Txn[Signed Units],Txn[Key],$A343))</f>
        <v/>
      </c>
      <c r="F343" s="287" t="str">
        <f>IF($A343="","",SUMIFS(Txn[Buy Cost],Txn[Key],$A343))</f>
        <v/>
      </c>
      <c r="G343" s="287" t="str">
        <f>IF($A343="","",SUMIFS(Txn[Sell Proceeds],Txn[Key],$A343))</f>
        <v/>
      </c>
      <c r="H343" s="288" t="str">
        <f>IF($A343="","",IFERROR(INDEX(Prices[Current Price],MATCH($A343,Prices[Key],0)),0))</f>
        <v/>
      </c>
      <c r="I343" s="289" t="str">
        <f>IF($A343="","",IFERROR(INDEX(Prices[FX to SGD],MATCH($A343,Prices[Key],0)),1))</f>
        <v/>
      </c>
      <c r="J343" s="287" t="str">
        <f t="shared" si="53"/>
        <v/>
      </c>
      <c r="K343" s="287" t="str">
        <f t="shared" si="54"/>
        <v/>
      </c>
      <c r="L343" s="287" t="str">
        <f t="shared" si="55"/>
        <v/>
      </c>
      <c r="M343" s="290" t="str">
        <f t="shared" si="56"/>
        <v/>
      </c>
      <c r="N343" t="str">
        <f>IF($A343="","",IFERROR(INDEX(Prices[Category],MATCH($A343,Prices[Key],0)),"Uncategorized"))</f>
        <v/>
      </c>
      <c r="O343" s="291" t="str">
        <f t="shared" si="57"/>
        <v/>
      </c>
      <c r="P343" s="291" t="str">
        <f t="shared" si="58"/>
        <v/>
      </c>
    </row>
    <row r="344" spans="1:16" ht="15" customHeight="1" x14ac:dyDescent="0.2">
      <c r="A344" s="243" t="str">
        <f>IFERROR(INDEX('All Ticker P&amp;L'!$A$2:$A$1001,MATCH(ROWS($A$2:A344),'All Ticker P&amp;L'!$N$2:$N$1001,0)),"")</f>
        <v/>
      </c>
      <c r="B344" s="243" t="str">
        <f t="shared" si="50"/>
        <v/>
      </c>
      <c r="C344" s="243" t="str">
        <f t="shared" si="51"/>
        <v/>
      </c>
      <c r="D344" s="243" t="str">
        <f t="shared" si="52"/>
        <v/>
      </c>
      <c r="E344" s="265" t="str">
        <f>IF($A344="","",SUMIFS(Txn[Signed Units],Txn[Key],$A344))</f>
        <v/>
      </c>
      <c r="F344" s="287" t="str">
        <f>IF($A344="","",SUMIFS(Txn[Buy Cost],Txn[Key],$A344))</f>
        <v/>
      </c>
      <c r="G344" s="287" t="str">
        <f>IF($A344="","",SUMIFS(Txn[Sell Proceeds],Txn[Key],$A344))</f>
        <v/>
      </c>
      <c r="H344" s="288" t="str">
        <f>IF($A344="","",IFERROR(INDEX(Prices[Current Price],MATCH($A344,Prices[Key],0)),0))</f>
        <v/>
      </c>
      <c r="I344" s="289" t="str">
        <f>IF($A344="","",IFERROR(INDEX(Prices[FX to SGD],MATCH($A344,Prices[Key],0)),1))</f>
        <v/>
      </c>
      <c r="J344" s="287" t="str">
        <f t="shared" si="53"/>
        <v/>
      </c>
      <c r="K344" s="287" t="str">
        <f t="shared" si="54"/>
        <v/>
      </c>
      <c r="L344" s="287" t="str">
        <f t="shared" si="55"/>
        <v/>
      </c>
      <c r="M344" s="290" t="str">
        <f t="shared" si="56"/>
        <v/>
      </c>
      <c r="N344" t="str">
        <f>IF($A344="","",IFERROR(INDEX(Prices[Category],MATCH($A344,Prices[Key],0)),"Uncategorized"))</f>
        <v/>
      </c>
      <c r="O344" s="291" t="str">
        <f t="shared" si="57"/>
        <v/>
      </c>
      <c r="P344" s="291" t="str">
        <f t="shared" si="58"/>
        <v/>
      </c>
    </row>
    <row r="345" spans="1:16" ht="15" customHeight="1" x14ac:dyDescent="0.2">
      <c r="A345" s="243" t="str">
        <f>IFERROR(INDEX('All Ticker P&amp;L'!$A$2:$A$1001,MATCH(ROWS($A$2:A345),'All Ticker P&amp;L'!$N$2:$N$1001,0)),"")</f>
        <v/>
      </c>
      <c r="B345" s="243" t="str">
        <f t="shared" si="50"/>
        <v/>
      </c>
      <c r="C345" s="243" t="str">
        <f t="shared" si="51"/>
        <v/>
      </c>
      <c r="D345" s="243" t="str">
        <f t="shared" si="52"/>
        <v/>
      </c>
      <c r="E345" s="265" t="str">
        <f>IF($A345="","",SUMIFS(Txn[Signed Units],Txn[Key],$A345))</f>
        <v/>
      </c>
      <c r="F345" s="287" t="str">
        <f>IF($A345="","",SUMIFS(Txn[Buy Cost],Txn[Key],$A345))</f>
        <v/>
      </c>
      <c r="G345" s="287" t="str">
        <f>IF($A345="","",SUMIFS(Txn[Sell Proceeds],Txn[Key],$A345))</f>
        <v/>
      </c>
      <c r="H345" s="288" t="str">
        <f>IF($A345="","",IFERROR(INDEX(Prices[Current Price],MATCH($A345,Prices[Key],0)),0))</f>
        <v/>
      </c>
      <c r="I345" s="289" t="str">
        <f>IF($A345="","",IFERROR(INDEX(Prices[FX to SGD],MATCH($A345,Prices[Key],0)),1))</f>
        <v/>
      </c>
      <c r="J345" s="287" t="str">
        <f t="shared" si="53"/>
        <v/>
      </c>
      <c r="K345" s="287" t="str">
        <f t="shared" si="54"/>
        <v/>
      </c>
      <c r="L345" s="287" t="str">
        <f t="shared" si="55"/>
        <v/>
      </c>
      <c r="M345" s="290" t="str">
        <f t="shared" si="56"/>
        <v/>
      </c>
      <c r="N345" t="str">
        <f>IF($A345="","",IFERROR(INDEX(Prices[Category],MATCH($A345,Prices[Key],0)),"Uncategorized"))</f>
        <v/>
      </c>
      <c r="O345" s="291" t="str">
        <f t="shared" si="57"/>
        <v/>
      </c>
      <c r="P345" s="291" t="str">
        <f t="shared" si="58"/>
        <v/>
      </c>
    </row>
    <row r="346" spans="1:16" ht="15" customHeight="1" x14ac:dyDescent="0.2">
      <c r="A346" s="243" t="str">
        <f>IFERROR(INDEX('All Ticker P&amp;L'!$A$2:$A$1001,MATCH(ROWS($A$2:A346),'All Ticker P&amp;L'!$N$2:$N$1001,0)),"")</f>
        <v/>
      </c>
      <c r="B346" s="243" t="str">
        <f t="shared" si="50"/>
        <v/>
      </c>
      <c r="C346" s="243" t="str">
        <f t="shared" si="51"/>
        <v/>
      </c>
      <c r="D346" s="243" t="str">
        <f t="shared" si="52"/>
        <v/>
      </c>
      <c r="E346" s="265" t="str">
        <f>IF($A346="","",SUMIFS(Txn[Signed Units],Txn[Key],$A346))</f>
        <v/>
      </c>
      <c r="F346" s="287" t="str">
        <f>IF($A346="","",SUMIFS(Txn[Buy Cost],Txn[Key],$A346))</f>
        <v/>
      </c>
      <c r="G346" s="287" t="str">
        <f>IF($A346="","",SUMIFS(Txn[Sell Proceeds],Txn[Key],$A346))</f>
        <v/>
      </c>
      <c r="H346" s="288" t="str">
        <f>IF($A346="","",IFERROR(INDEX(Prices[Current Price],MATCH($A346,Prices[Key],0)),0))</f>
        <v/>
      </c>
      <c r="I346" s="289" t="str">
        <f>IF($A346="","",IFERROR(INDEX(Prices[FX to SGD],MATCH($A346,Prices[Key],0)),1))</f>
        <v/>
      </c>
      <c r="J346" s="287" t="str">
        <f t="shared" si="53"/>
        <v/>
      </c>
      <c r="K346" s="287" t="str">
        <f t="shared" si="54"/>
        <v/>
      </c>
      <c r="L346" s="287" t="str">
        <f t="shared" si="55"/>
        <v/>
      </c>
      <c r="M346" s="290" t="str">
        <f t="shared" si="56"/>
        <v/>
      </c>
      <c r="N346" t="str">
        <f>IF($A346="","",IFERROR(INDEX(Prices[Category],MATCH($A346,Prices[Key],0)),"Uncategorized"))</f>
        <v/>
      </c>
      <c r="O346" s="291" t="str">
        <f t="shared" si="57"/>
        <v/>
      </c>
      <c r="P346" s="291" t="str">
        <f t="shared" si="58"/>
        <v/>
      </c>
    </row>
    <row r="347" spans="1:16" ht="15" customHeight="1" x14ac:dyDescent="0.2">
      <c r="A347" s="243" t="str">
        <f>IFERROR(INDEX('All Ticker P&amp;L'!$A$2:$A$1001,MATCH(ROWS($A$2:A347),'All Ticker P&amp;L'!$N$2:$N$1001,0)),"")</f>
        <v/>
      </c>
      <c r="B347" s="243" t="str">
        <f t="shared" si="50"/>
        <v/>
      </c>
      <c r="C347" s="243" t="str">
        <f t="shared" si="51"/>
        <v/>
      </c>
      <c r="D347" s="243" t="str">
        <f t="shared" si="52"/>
        <v/>
      </c>
      <c r="E347" s="265" t="str">
        <f>IF($A347="","",SUMIFS(Txn[Signed Units],Txn[Key],$A347))</f>
        <v/>
      </c>
      <c r="F347" s="287" t="str">
        <f>IF($A347="","",SUMIFS(Txn[Buy Cost],Txn[Key],$A347))</f>
        <v/>
      </c>
      <c r="G347" s="287" t="str">
        <f>IF($A347="","",SUMIFS(Txn[Sell Proceeds],Txn[Key],$A347))</f>
        <v/>
      </c>
      <c r="H347" s="288" t="str">
        <f>IF($A347="","",IFERROR(INDEX(Prices[Current Price],MATCH($A347,Prices[Key],0)),0))</f>
        <v/>
      </c>
      <c r="I347" s="289" t="str">
        <f>IF($A347="","",IFERROR(INDEX(Prices[FX to SGD],MATCH($A347,Prices[Key],0)),1))</f>
        <v/>
      </c>
      <c r="J347" s="287" t="str">
        <f t="shared" si="53"/>
        <v/>
      </c>
      <c r="K347" s="287" t="str">
        <f t="shared" si="54"/>
        <v/>
      </c>
      <c r="L347" s="287" t="str">
        <f t="shared" si="55"/>
        <v/>
      </c>
      <c r="M347" s="290" t="str">
        <f t="shared" si="56"/>
        <v/>
      </c>
      <c r="N347" t="str">
        <f>IF($A347="","",IFERROR(INDEX(Prices[Category],MATCH($A347,Prices[Key],0)),"Uncategorized"))</f>
        <v/>
      </c>
      <c r="O347" s="291" t="str">
        <f t="shared" si="57"/>
        <v/>
      </c>
      <c r="P347" s="291" t="str">
        <f t="shared" si="58"/>
        <v/>
      </c>
    </row>
    <row r="348" spans="1:16" ht="15" customHeight="1" x14ac:dyDescent="0.2">
      <c r="A348" s="243" t="str">
        <f>IFERROR(INDEX('All Ticker P&amp;L'!$A$2:$A$1001,MATCH(ROWS($A$2:A348),'All Ticker P&amp;L'!$N$2:$N$1001,0)),"")</f>
        <v/>
      </c>
      <c r="B348" s="243" t="str">
        <f t="shared" si="50"/>
        <v/>
      </c>
      <c r="C348" s="243" t="str">
        <f t="shared" si="51"/>
        <v/>
      </c>
      <c r="D348" s="243" t="str">
        <f t="shared" si="52"/>
        <v/>
      </c>
      <c r="E348" s="265" t="str">
        <f>IF($A348="","",SUMIFS(Txn[Signed Units],Txn[Key],$A348))</f>
        <v/>
      </c>
      <c r="F348" s="287" t="str">
        <f>IF($A348="","",SUMIFS(Txn[Buy Cost],Txn[Key],$A348))</f>
        <v/>
      </c>
      <c r="G348" s="287" t="str">
        <f>IF($A348="","",SUMIFS(Txn[Sell Proceeds],Txn[Key],$A348))</f>
        <v/>
      </c>
      <c r="H348" s="288" t="str">
        <f>IF($A348="","",IFERROR(INDEX(Prices[Current Price],MATCH($A348,Prices[Key],0)),0))</f>
        <v/>
      </c>
      <c r="I348" s="289" t="str">
        <f>IF($A348="","",IFERROR(INDEX(Prices[FX to SGD],MATCH($A348,Prices[Key],0)),1))</f>
        <v/>
      </c>
      <c r="J348" s="287" t="str">
        <f t="shared" si="53"/>
        <v/>
      </c>
      <c r="K348" s="287" t="str">
        <f t="shared" si="54"/>
        <v/>
      </c>
      <c r="L348" s="287" t="str">
        <f t="shared" si="55"/>
        <v/>
      </c>
      <c r="M348" s="290" t="str">
        <f t="shared" si="56"/>
        <v/>
      </c>
      <c r="N348" t="str">
        <f>IF($A348="","",IFERROR(INDEX(Prices[Category],MATCH($A348,Prices[Key],0)),"Uncategorized"))</f>
        <v/>
      </c>
      <c r="O348" s="291" t="str">
        <f t="shared" si="57"/>
        <v/>
      </c>
      <c r="P348" s="291" t="str">
        <f t="shared" si="58"/>
        <v/>
      </c>
    </row>
    <row r="349" spans="1:16" ht="15" customHeight="1" x14ac:dyDescent="0.2">
      <c r="A349" s="243" t="str">
        <f>IFERROR(INDEX('All Ticker P&amp;L'!$A$2:$A$1001,MATCH(ROWS($A$2:A349),'All Ticker P&amp;L'!$N$2:$N$1001,0)),"")</f>
        <v/>
      </c>
      <c r="B349" s="243" t="str">
        <f t="shared" si="50"/>
        <v/>
      </c>
      <c r="C349" s="243" t="str">
        <f t="shared" si="51"/>
        <v/>
      </c>
      <c r="D349" s="243" t="str">
        <f t="shared" si="52"/>
        <v/>
      </c>
      <c r="E349" s="265" t="str">
        <f>IF($A349="","",SUMIFS(Txn[Signed Units],Txn[Key],$A349))</f>
        <v/>
      </c>
      <c r="F349" s="287" t="str">
        <f>IF($A349="","",SUMIFS(Txn[Buy Cost],Txn[Key],$A349))</f>
        <v/>
      </c>
      <c r="G349" s="287" t="str">
        <f>IF($A349="","",SUMIFS(Txn[Sell Proceeds],Txn[Key],$A349))</f>
        <v/>
      </c>
      <c r="H349" s="288" t="str">
        <f>IF($A349="","",IFERROR(INDEX(Prices[Current Price],MATCH($A349,Prices[Key],0)),0))</f>
        <v/>
      </c>
      <c r="I349" s="289" t="str">
        <f>IF($A349="","",IFERROR(INDEX(Prices[FX to SGD],MATCH($A349,Prices[Key],0)),1))</f>
        <v/>
      </c>
      <c r="J349" s="287" t="str">
        <f t="shared" si="53"/>
        <v/>
      </c>
      <c r="K349" s="287" t="str">
        <f t="shared" si="54"/>
        <v/>
      </c>
      <c r="L349" s="287" t="str">
        <f t="shared" si="55"/>
        <v/>
      </c>
      <c r="M349" s="290" t="str">
        <f t="shared" si="56"/>
        <v/>
      </c>
      <c r="N349" t="str">
        <f>IF($A349="","",IFERROR(INDEX(Prices[Category],MATCH($A349,Prices[Key],0)),"Uncategorized"))</f>
        <v/>
      </c>
      <c r="O349" s="291" t="str">
        <f t="shared" si="57"/>
        <v/>
      </c>
      <c r="P349" s="291" t="str">
        <f t="shared" si="58"/>
        <v/>
      </c>
    </row>
    <row r="350" spans="1:16" ht="15" customHeight="1" x14ac:dyDescent="0.2">
      <c r="A350" s="243" t="str">
        <f>IFERROR(INDEX('All Ticker P&amp;L'!$A$2:$A$1001,MATCH(ROWS($A$2:A350),'All Ticker P&amp;L'!$N$2:$N$1001,0)),"")</f>
        <v/>
      </c>
      <c r="B350" s="243" t="str">
        <f t="shared" si="50"/>
        <v/>
      </c>
      <c r="C350" s="243" t="str">
        <f t="shared" si="51"/>
        <v/>
      </c>
      <c r="D350" s="243" t="str">
        <f t="shared" si="52"/>
        <v/>
      </c>
      <c r="E350" s="265" t="str">
        <f>IF($A350="","",SUMIFS(Txn[Signed Units],Txn[Key],$A350))</f>
        <v/>
      </c>
      <c r="F350" s="287" t="str">
        <f>IF($A350="","",SUMIFS(Txn[Buy Cost],Txn[Key],$A350))</f>
        <v/>
      </c>
      <c r="G350" s="287" t="str">
        <f>IF($A350="","",SUMIFS(Txn[Sell Proceeds],Txn[Key],$A350))</f>
        <v/>
      </c>
      <c r="H350" s="288" t="str">
        <f>IF($A350="","",IFERROR(INDEX(Prices[Current Price],MATCH($A350,Prices[Key],0)),0))</f>
        <v/>
      </c>
      <c r="I350" s="289" t="str">
        <f>IF($A350="","",IFERROR(INDEX(Prices[FX to SGD],MATCH($A350,Prices[Key],0)),1))</f>
        <v/>
      </c>
      <c r="J350" s="287" t="str">
        <f t="shared" si="53"/>
        <v/>
      </c>
      <c r="K350" s="287" t="str">
        <f t="shared" si="54"/>
        <v/>
      </c>
      <c r="L350" s="287" t="str">
        <f t="shared" si="55"/>
        <v/>
      </c>
      <c r="M350" s="290" t="str">
        <f t="shared" si="56"/>
        <v/>
      </c>
      <c r="N350" t="str">
        <f>IF($A350="","",IFERROR(INDEX(Prices[Category],MATCH($A350,Prices[Key],0)),"Uncategorized"))</f>
        <v/>
      </c>
      <c r="O350" s="291" t="str">
        <f t="shared" si="57"/>
        <v/>
      </c>
      <c r="P350" s="291" t="str">
        <f t="shared" si="58"/>
        <v/>
      </c>
    </row>
    <row r="351" spans="1:16" ht="15" customHeight="1" x14ac:dyDescent="0.2">
      <c r="A351" s="243" t="str">
        <f>IFERROR(INDEX('All Ticker P&amp;L'!$A$2:$A$1001,MATCH(ROWS($A$2:A351),'All Ticker P&amp;L'!$N$2:$N$1001,0)),"")</f>
        <v/>
      </c>
      <c r="B351" s="243" t="str">
        <f t="shared" si="50"/>
        <v/>
      </c>
      <c r="C351" s="243" t="str">
        <f t="shared" si="51"/>
        <v/>
      </c>
      <c r="D351" s="243" t="str">
        <f t="shared" si="52"/>
        <v/>
      </c>
      <c r="E351" s="265" t="str">
        <f>IF($A351="","",SUMIFS(Txn[Signed Units],Txn[Key],$A351))</f>
        <v/>
      </c>
      <c r="F351" s="287" t="str">
        <f>IF($A351="","",SUMIFS(Txn[Buy Cost],Txn[Key],$A351))</f>
        <v/>
      </c>
      <c r="G351" s="287" t="str">
        <f>IF($A351="","",SUMIFS(Txn[Sell Proceeds],Txn[Key],$A351))</f>
        <v/>
      </c>
      <c r="H351" s="288" t="str">
        <f>IF($A351="","",IFERROR(INDEX(Prices[Current Price],MATCH($A351,Prices[Key],0)),0))</f>
        <v/>
      </c>
      <c r="I351" s="289" t="str">
        <f>IF($A351="","",IFERROR(INDEX(Prices[FX to SGD],MATCH($A351,Prices[Key],0)),1))</f>
        <v/>
      </c>
      <c r="J351" s="287" t="str">
        <f t="shared" si="53"/>
        <v/>
      </c>
      <c r="K351" s="287" t="str">
        <f t="shared" si="54"/>
        <v/>
      </c>
      <c r="L351" s="287" t="str">
        <f t="shared" si="55"/>
        <v/>
      </c>
      <c r="M351" s="290" t="str">
        <f t="shared" si="56"/>
        <v/>
      </c>
      <c r="N351" t="str">
        <f>IF($A351="","",IFERROR(INDEX(Prices[Category],MATCH($A351,Prices[Key],0)),"Uncategorized"))</f>
        <v/>
      </c>
      <c r="O351" s="291" t="str">
        <f t="shared" si="57"/>
        <v/>
      </c>
      <c r="P351" s="291" t="str">
        <f t="shared" si="58"/>
        <v/>
      </c>
    </row>
    <row r="352" spans="1:16" ht="15" customHeight="1" x14ac:dyDescent="0.2">
      <c r="A352" s="243" t="str">
        <f>IFERROR(INDEX('All Ticker P&amp;L'!$A$2:$A$1001,MATCH(ROWS($A$2:A352),'All Ticker P&amp;L'!$N$2:$N$1001,0)),"")</f>
        <v/>
      </c>
      <c r="B352" s="243" t="str">
        <f t="shared" si="50"/>
        <v/>
      </c>
      <c r="C352" s="243" t="str">
        <f t="shared" si="51"/>
        <v/>
      </c>
      <c r="D352" s="243" t="str">
        <f t="shared" si="52"/>
        <v/>
      </c>
      <c r="E352" s="265" t="str">
        <f>IF($A352="","",SUMIFS(Txn[Signed Units],Txn[Key],$A352))</f>
        <v/>
      </c>
      <c r="F352" s="287" t="str">
        <f>IF($A352="","",SUMIFS(Txn[Buy Cost],Txn[Key],$A352))</f>
        <v/>
      </c>
      <c r="G352" s="287" t="str">
        <f>IF($A352="","",SUMIFS(Txn[Sell Proceeds],Txn[Key],$A352))</f>
        <v/>
      </c>
      <c r="H352" s="288" t="str">
        <f>IF($A352="","",IFERROR(INDEX(Prices[Current Price],MATCH($A352,Prices[Key],0)),0))</f>
        <v/>
      </c>
      <c r="I352" s="289" t="str">
        <f>IF($A352="","",IFERROR(INDEX(Prices[FX to SGD],MATCH($A352,Prices[Key],0)),1))</f>
        <v/>
      </c>
      <c r="J352" s="287" t="str">
        <f t="shared" si="53"/>
        <v/>
      </c>
      <c r="K352" s="287" t="str">
        <f t="shared" si="54"/>
        <v/>
      </c>
      <c r="L352" s="287" t="str">
        <f t="shared" si="55"/>
        <v/>
      </c>
      <c r="M352" s="290" t="str">
        <f t="shared" si="56"/>
        <v/>
      </c>
      <c r="N352" t="str">
        <f>IF($A352="","",IFERROR(INDEX(Prices[Category],MATCH($A352,Prices[Key],0)),"Uncategorized"))</f>
        <v/>
      </c>
      <c r="O352" s="291" t="str">
        <f t="shared" si="57"/>
        <v/>
      </c>
      <c r="P352" s="291" t="str">
        <f t="shared" si="58"/>
        <v/>
      </c>
    </row>
    <row r="353" spans="1:16" ht="15" customHeight="1" x14ac:dyDescent="0.2">
      <c r="A353" s="243" t="str">
        <f>IFERROR(INDEX('All Ticker P&amp;L'!$A$2:$A$1001,MATCH(ROWS($A$2:A353),'All Ticker P&amp;L'!$N$2:$N$1001,0)),"")</f>
        <v/>
      </c>
      <c r="B353" s="243" t="str">
        <f t="shared" si="50"/>
        <v/>
      </c>
      <c r="C353" s="243" t="str">
        <f t="shared" si="51"/>
        <v/>
      </c>
      <c r="D353" s="243" t="str">
        <f t="shared" si="52"/>
        <v/>
      </c>
      <c r="E353" s="265" t="str">
        <f>IF($A353="","",SUMIFS(Txn[Signed Units],Txn[Key],$A353))</f>
        <v/>
      </c>
      <c r="F353" s="287" t="str">
        <f>IF($A353="","",SUMIFS(Txn[Buy Cost],Txn[Key],$A353))</f>
        <v/>
      </c>
      <c r="G353" s="287" t="str">
        <f>IF($A353="","",SUMIFS(Txn[Sell Proceeds],Txn[Key],$A353))</f>
        <v/>
      </c>
      <c r="H353" s="288" t="str">
        <f>IF($A353="","",IFERROR(INDEX(Prices[Current Price],MATCH($A353,Prices[Key],0)),0))</f>
        <v/>
      </c>
      <c r="I353" s="289" t="str">
        <f>IF($A353="","",IFERROR(INDEX(Prices[FX to SGD],MATCH($A353,Prices[Key],0)),1))</f>
        <v/>
      </c>
      <c r="J353" s="287" t="str">
        <f t="shared" si="53"/>
        <v/>
      </c>
      <c r="K353" s="287" t="str">
        <f t="shared" si="54"/>
        <v/>
      </c>
      <c r="L353" s="287" t="str">
        <f t="shared" si="55"/>
        <v/>
      </c>
      <c r="M353" s="290" t="str">
        <f t="shared" si="56"/>
        <v/>
      </c>
      <c r="N353" t="str">
        <f>IF($A353="","",IFERROR(INDEX(Prices[Category],MATCH($A353,Prices[Key],0)),"Uncategorized"))</f>
        <v/>
      </c>
      <c r="O353" s="291" t="str">
        <f t="shared" si="57"/>
        <v/>
      </c>
      <c r="P353" s="291" t="str">
        <f t="shared" si="58"/>
        <v/>
      </c>
    </row>
    <row r="354" spans="1:16" ht="15" customHeight="1" x14ac:dyDescent="0.2">
      <c r="A354" s="243" t="str">
        <f>IFERROR(INDEX('All Ticker P&amp;L'!$A$2:$A$1001,MATCH(ROWS($A$2:A354),'All Ticker P&amp;L'!$N$2:$N$1001,0)),"")</f>
        <v/>
      </c>
      <c r="B354" s="243" t="str">
        <f t="shared" si="50"/>
        <v/>
      </c>
      <c r="C354" s="243" t="str">
        <f t="shared" si="51"/>
        <v/>
      </c>
      <c r="D354" s="243" t="str">
        <f t="shared" si="52"/>
        <v/>
      </c>
      <c r="E354" s="265" t="str">
        <f>IF($A354="","",SUMIFS(Txn[Signed Units],Txn[Key],$A354))</f>
        <v/>
      </c>
      <c r="F354" s="287" t="str">
        <f>IF($A354="","",SUMIFS(Txn[Buy Cost],Txn[Key],$A354))</f>
        <v/>
      </c>
      <c r="G354" s="287" t="str">
        <f>IF($A354="","",SUMIFS(Txn[Sell Proceeds],Txn[Key],$A354))</f>
        <v/>
      </c>
      <c r="H354" s="288" t="str">
        <f>IF($A354="","",IFERROR(INDEX(Prices[Current Price],MATCH($A354,Prices[Key],0)),0))</f>
        <v/>
      </c>
      <c r="I354" s="289" t="str">
        <f>IF($A354="","",IFERROR(INDEX(Prices[FX to SGD],MATCH($A354,Prices[Key],0)),1))</f>
        <v/>
      </c>
      <c r="J354" s="287" t="str">
        <f t="shared" si="53"/>
        <v/>
      </c>
      <c r="K354" s="287" t="str">
        <f t="shared" si="54"/>
        <v/>
      </c>
      <c r="L354" s="287" t="str">
        <f t="shared" si="55"/>
        <v/>
      </c>
      <c r="M354" s="290" t="str">
        <f t="shared" si="56"/>
        <v/>
      </c>
      <c r="N354" t="str">
        <f>IF($A354="","",IFERROR(INDEX(Prices[Category],MATCH($A354,Prices[Key],0)),"Uncategorized"))</f>
        <v/>
      </c>
      <c r="O354" s="291" t="str">
        <f t="shared" si="57"/>
        <v/>
      </c>
      <c r="P354" s="291" t="str">
        <f t="shared" si="58"/>
        <v/>
      </c>
    </row>
    <row r="355" spans="1:16" ht="15" customHeight="1" x14ac:dyDescent="0.2">
      <c r="A355" s="243" t="str">
        <f>IFERROR(INDEX('All Ticker P&amp;L'!$A$2:$A$1001,MATCH(ROWS($A$2:A355),'All Ticker P&amp;L'!$N$2:$N$1001,0)),"")</f>
        <v/>
      </c>
      <c r="B355" s="243" t="str">
        <f t="shared" si="50"/>
        <v/>
      </c>
      <c r="C355" s="243" t="str">
        <f t="shared" si="51"/>
        <v/>
      </c>
      <c r="D355" s="243" t="str">
        <f t="shared" si="52"/>
        <v/>
      </c>
      <c r="E355" s="265" t="str">
        <f>IF($A355="","",SUMIFS(Txn[Signed Units],Txn[Key],$A355))</f>
        <v/>
      </c>
      <c r="F355" s="287" t="str">
        <f>IF($A355="","",SUMIFS(Txn[Buy Cost],Txn[Key],$A355))</f>
        <v/>
      </c>
      <c r="G355" s="287" t="str">
        <f>IF($A355="","",SUMIFS(Txn[Sell Proceeds],Txn[Key],$A355))</f>
        <v/>
      </c>
      <c r="H355" s="288" t="str">
        <f>IF($A355="","",IFERROR(INDEX(Prices[Current Price],MATCH($A355,Prices[Key],0)),0))</f>
        <v/>
      </c>
      <c r="I355" s="289" t="str">
        <f>IF($A355="","",IFERROR(INDEX(Prices[FX to SGD],MATCH($A355,Prices[Key],0)),1))</f>
        <v/>
      </c>
      <c r="J355" s="287" t="str">
        <f t="shared" si="53"/>
        <v/>
      </c>
      <c r="K355" s="287" t="str">
        <f t="shared" si="54"/>
        <v/>
      </c>
      <c r="L355" s="287" t="str">
        <f t="shared" si="55"/>
        <v/>
      </c>
      <c r="M355" s="290" t="str">
        <f t="shared" si="56"/>
        <v/>
      </c>
      <c r="N355" t="str">
        <f>IF($A355="","",IFERROR(INDEX(Prices[Category],MATCH($A355,Prices[Key],0)),"Uncategorized"))</f>
        <v/>
      </c>
      <c r="O355" s="291" t="str">
        <f t="shared" si="57"/>
        <v/>
      </c>
      <c r="P355" s="291" t="str">
        <f t="shared" si="58"/>
        <v/>
      </c>
    </row>
    <row r="356" spans="1:16" ht="15" customHeight="1" x14ac:dyDescent="0.2">
      <c r="A356" s="243" t="str">
        <f>IFERROR(INDEX('All Ticker P&amp;L'!$A$2:$A$1001,MATCH(ROWS($A$2:A356),'All Ticker P&amp;L'!$N$2:$N$1001,0)),"")</f>
        <v/>
      </c>
      <c r="B356" s="243" t="str">
        <f t="shared" si="50"/>
        <v/>
      </c>
      <c r="C356" s="243" t="str">
        <f t="shared" si="51"/>
        <v/>
      </c>
      <c r="D356" s="243" t="str">
        <f t="shared" si="52"/>
        <v/>
      </c>
      <c r="E356" s="265" t="str">
        <f>IF($A356="","",SUMIFS(Txn[Signed Units],Txn[Key],$A356))</f>
        <v/>
      </c>
      <c r="F356" s="287" t="str">
        <f>IF($A356="","",SUMIFS(Txn[Buy Cost],Txn[Key],$A356))</f>
        <v/>
      </c>
      <c r="G356" s="287" t="str">
        <f>IF($A356="","",SUMIFS(Txn[Sell Proceeds],Txn[Key],$A356))</f>
        <v/>
      </c>
      <c r="H356" s="288" t="str">
        <f>IF($A356="","",IFERROR(INDEX(Prices[Current Price],MATCH($A356,Prices[Key],0)),0))</f>
        <v/>
      </c>
      <c r="I356" s="289" t="str">
        <f>IF($A356="","",IFERROR(INDEX(Prices[FX to SGD],MATCH($A356,Prices[Key],0)),1))</f>
        <v/>
      </c>
      <c r="J356" s="287" t="str">
        <f t="shared" si="53"/>
        <v/>
      </c>
      <c r="K356" s="287" t="str">
        <f t="shared" si="54"/>
        <v/>
      </c>
      <c r="L356" s="287" t="str">
        <f t="shared" si="55"/>
        <v/>
      </c>
      <c r="M356" s="290" t="str">
        <f t="shared" si="56"/>
        <v/>
      </c>
      <c r="N356" t="str">
        <f>IF($A356="","",IFERROR(INDEX(Prices[Category],MATCH($A356,Prices[Key],0)),"Uncategorized"))</f>
        <v/>
      </c>
      <c r="O356" s="291" t="str">
        <f t="shared" si="57"/>
        <v/>
      </c>
      <c r="P356" s="291" t="str">
        <f t="shared" si="58"/>
        <v/>
      </c>
    </row>
    <row r="357" spans="1:16" ht="15" customHeight="1" x14ac:dyDescent="0.2">
      <c r="A357" s="243" t="str">
        <f>IFERROR(INDEX('All Ticker P&amp;L'!$A$2:$A$1001,MATCH(ROWS($A$2:A357),'All Ticker P&amp;L'!$N$2:$N$1001,0)),"")</f>
        <v/>
      </c>
      <c r="B357" s="243" t="str">
        <f t="shared" si="50"/>
        <v/>
      </c>
      <c r="C357" s="243" t="str">
        <f t="shared" si="51"/>
        <v/>
      </c>
      <c r="D357" s="243" t="str">
        <f t="shared" si="52"/>
        <v/>
      </c>
      <c r="E357" s="265" t="str">
        <f>IF($A357="","",SUMIFS(Txn[Signed Units],Txn[Key],$A357))</f>
        <v/>
      </c>
      <c r="F357" s="287" t="str">
        <f>IF($A357="","",SUMIFS(Txn[Buy Cost],Txn[Key],$A357))</f>
        <v/>
      </c>
      <c r="G357" s="287" t="str">
        <f>IF($A357="","",SUMIFS(Txn[Sell Proceeds],Txn[Key],$A357))</f>
        <v/>
      </c>
      <c r="H357" s="288" t="str">
        <f>IF($A357="","",IFERROR(INDEX(Prices[Current Price],MATCH($A357,Prices[Key],0)),0))</f>
        <v/>
      </c>
      <c r="I357" s="289" t="str">
        <f>IF($A357="","",IFERROR(INDEX(Prices[FX to SGD],MATCH($A357,Prices[Key],0)),1))</f>
        <v/>
      </c>
      <c r="J357" s="287" t="str">
        <f t="shared" si="53"/>
        <v/>
      </c>
      <c r="K357" s="287" t="str">
        <f t="shared" si="54"/>
        <v/>
      </c>
      <c r="L357" s="287" t="str">
        <f t="shared" si="55"/>
        <v/>
      </c>
      <c r="M357" s="290" t="str">
        <f t="shared" si="56"/>
        <v/>
      </c>
      <c r="N357" t="str">
        <f>IF($A357="","",IFERROR(INDEX(Prices[Category],MATCH($A357,Prices[Key],0)),"Uncategorized"))</f>
        <v/>
      </c>
      <c r="O357" s="291" t="str">
        <f t="shared" si="57"/>
        <v/>
      </c>
      <c r="P357" s="291" t="str">
        <f t="shared" si="58"/>
        <v/>
      </c>
    </row>
    <row r="358" spans="1:16" ht="15" customHeight="1" x14ac:dyDescent="0.2">
      <c r="A358" s="243" t="str">
        <f>IFERROR(INDEX('All Ticker P&amp;L'!$A$2:$A$1001,MATCH(ROWS($A$2:A358),'All Ticker P&amp;L'!$N$2:$N$1001,0)),"")</f>
        <v/>
      </c>
      <c r="B358" s="243" t="str">
        <f t="shared" si="50"/>
        <v/>
      </c>
      <c r="C358" s="243" t="str">
        <f t="shared" si="51"/>
        <v/>
      </c>
      <c r="D358" s="243" t="str">
        <f t="shared" si="52"/>
        <v/>
      </c>
      <c r="E358" s="265" t="str">
        <f>IF($A358="","",SUMIFS(Txn[Signed Units],Txn[Key],$A358))</f>
        <v/>
      </c>
      <c r="F358" s="287" t="str">
        <f>IF($A358="","",SUMIFS(Txn[Buy Cost],Txn[Key],$A358))</f>
        <v/>
      </c>
      <c r="G358" s="287" t="str">
        <f>IF($A358="","",SUMIFS(Txn[Sell Proceeds],Txn[Key],$A358))</f>
        <v/>
      </c>
      <c r="H358" s="288" t="str">
        <f>IF($A358="","",IFERROR(INDEX(Prices[Current Price],MATCH($A358,Prices[Key],0)),0))</f>
        <v/>
      </c>
      <c r="I358" s="289" t="str">
        <f>IF($A358="","",IFERROR(INDEX(Prices[FX to SGD],MATCH($A358,Prices[Key],0)),1))</f>
        <v/>
      </c>
      <c r="J358" s="287" t="str">
        <f t="shared" si="53"/>
        <v/>
      </c>
      <c r="K358" s="287" t="str">
        <f t="shared" si="54"/>
        <v/>
      </c>
      <c r="L358" s="287" t="str">
        <f t="shared" si="55"/>
        <v/>
      </c>
      <c r="M358" s="290" t="str">
        <f t="shared" si="56"/>
        <v/>
      </c>
      <c r="N358" t="str">
        <f>IF($A358="","",IFERROR(INDEX(Prices[Category],MATCH($A358,Prices[Key],0)),"Uncategorized"))</f>
        <v/>
      </c>
      <c r="O358" s="291" t="str">
        <f t="shared" si="57"/>
        <v/>
      </c>
      <c r="P358" s="291" t="str">
        <f t="shared" si="58"/>
        <v/>
      </c>
    </row>
    <row r="359" spans="1:16" ht="15" customHeight="1" x14ac:dyDescent="0.2">
      <c r="A359" s="243" t="str">
        <f>IFERROR(INDEX('All Ticker P&amp;L'!$A$2:$A$1001,MATCH(ROWS($A$2:A359),'All Ticker P&amp;L'!$N$2:$N$1001,0)),"")</f>
        <v/>
      </c>
      <c r="B359" s="243" t="str">
        <f t="shared" si="50"/>
        <v/>
      </c>
      <c r="C359" s="243" t="str">
        <f t="shared" si="51"/>
        <v/>
      </c>
      <c r="D359" s="243" t="str">
        <f t="shared" si="52"/>
        <v/>
      </c>
      <c r="E359" s="265" t="str">
        <f>IF($A359="","",SUMIFS(Txn[Signed Units],Txn[Key],$A359))</f>
        <v/>
      </c>
      <c r="F359" s="287" t="str">
        <f>IF($A359="","",SUMIFS(Txn[Buy Cost],Txn[Key],$A359))</f>
        <v/>
      </c>
      <c r="G359" s="287" t="str">
        <f>IF($A359="","",SUMIFS(Txn[Sell Proceeds],Txn[Key],$A359))</f>
        <v/>
      </c>
      <c r="H359" s="288" t="str">
        <f>IF($A359="","",IFERROR(INDEX(Prices[Current Price],MATCH($A359,Prices[Key],0)),0))</f>
        <v/>
      </c>
      <c r="I359" s="289" t="str">
        <f>IF($A359="","",IFERROR(INDEX(Prices[FX to SGD],MATCH($A359,Prices[Key],0)),1))</f>
        <v/>
      </c>
      <c r="J359" s="287" t="str">
        <f t="shared" si="53"/>
        <v/>
      </c>
      <c r="K359" s="287" t="str">
        <f t="shared" si="54"/>
        <v/>
      </c>
      <c r="L359" s="287" t="str">
        <f t="shared" si="55"/>
        <v/>
      </c>
      <c r="M359" s="290" t="str">
        <f t="shared" si="56"/>
        <v/>
      </c>
      <c r="N359" t="str">
        <f>IF($A359="","",IFERROR(INDEX(Prices[Category],MATCH($A359,Prices[Key],0)),"Uncategorized"))</f>
        <v/>
      </c>
      <c r="O359" s="291" t="str">
        <f t="shared" si="57"/>
        <v/>
      </c>
      <c r="P359" s="291" t="str">
        <f t="shared" si="58"/>
        <v/>
      </c>
    </row>
    <row r="360" spans="1:16" ht="15" customHeight="1" x14ac:dyDescent="0.2">
      <c r="A360" s="243" t="str">
        <f>IFERROR(INDEX('All Ticker P&amp;L'!$A$2:$A$1001,MATCH(ROWS($A$2:A360),'All Ticker P&amp;L'!$N$2:$N$1001,0)),"")</f>
        <v/>
      </c>
      <c r="B360" s="243" t="str">
        <f t="shared" si="50"/>
        <v/>
      </c>
      <c r="C360" s="243" t="str">
        <f t="shared" si="51"/>
        <v/>
      </c>
      <c r="D360" s="243" t="str">
        <f t="shared" si="52"/>
        <v/>
      </c>
      <c r="E360" s="265" t="str">
        <f>IF($A360="","",SUMIFS(Txn[Signed Units],Txn[Key],$A360))</f>
        <v/>
      </c>
      <c r="F360" s="287" t="str">
        <f>IF($A360="","",SUMIFS(Txn[Buy Cost],Txn[Key],$A360))</f>
        <v/>
      </c>
      <c r="G360" s="287" t="str">
        <f>IF($A360="","",SUMIFS(Txn[Sell Proceeds],Txn[Key],$A360))</f>
        <v/>
      </c>
      <c r="H360" s="288" t="str">
        <f>IF($A360="","",IFERROR(INDEX(Prices[Current Price],MATCH($A360,Prices[Key],0)),0))</f>
        <v/>
      </c>
      <c r="I360" s="289" t="str">
        <f>IF($A360="","",IFERROR(INDEX(Prices[FX to SGD],MATCH($A360,Prices[Key],0)),1))</f>
        <v/>
      </c>
      <c r="J360" s="287" t="str">
        <f t="shared" si="53"/>
        <v/>
      </c>
      <c r="K360" s="287" t="str">
        <f t="shared" si="54"/>
        <v/>
      </c>
      <c r="L360" s="287" t="str">
        <f t="shared" si="55"/>
        <v/>
      </c>
      <c r="M360" s="290" t="str">
        <f t="shared" si="56"/>
        <v/>
      </c>
      <c r="N360" t="str">
        <f>IF($A360="","",IFERROR(INDEX(Prices[Category],MATCH($A360,Prices[Key],0)),"Uncategorized"))</f>
        <v/>
      </c>
      <c r="O360" s="291" t="str">
        <f t="shared" si="57"/>
        <v/>
      </c>
      <c r="P360" s="291" t="str">
        <f t="shared" si="58"/>
        <v/>
      </c>
    </row>
    <row r="361" spans="1:16" ht="15" customHeight="1" x14ac:dyDescent="0.2">
      <c r="A361" s="243" t="str">
        <f>IFERROR(INDEX('All Ticker P&amp;L'!$A$2:$A$1001,MATCH(ROWS($A$2:A361),'All Ticker P&amp;L'!$N$2:$N$1001,0)),"")</f>
        <v/>
      </c>
      <c r="B361" s="243" t="str">
        <f t="shared" si="50"/>
        <v/>
      </c>
      <c r="C361" s="243" t="str">
        <f t="shared" si="51"/>
        <v/>
      </c>
      <c r="D361" s="243" t="str">
        <f t="shared" si="52"/>
        <v/>
      </c>
      <c r="E361" s="265" t="str">
        <f>IF($A361="","",SUMIFS(Txn[Signed Units],Txn[Key],$A361))</f>
        <v/>
      </c>
      <c r="F361" s="287" t="str">
        <f>IF($A361="","",SUMIFS(Txn[Buy Cost],Txn[Key],$A361))</f>
        <v/>
      </c>
      <c r="G361" s="287" t="str">
        <f>IF($A361="","",SUMIFS(Txn[Sell Proceeds],Txn[Key],$A361))</f>
        <v/>
      </c>
      <c r="H361" s="288" t="str">
        <f>IF($A361="","",IFERROR(INDEX(Prices[Current Price],MATCH($A361,Prices[Key],0)),0))</f>
        <v/>
      </c>
      <c r="I361" s="289" t="str">
        <f>IF($A361="","",IFERROR(INDEX(Prices[FX to SGD],MATCH($A361,Prices[Key],0)),1))</f>
        <v/>
      </c>
      <c r="J361" s="287" t="str">
        <f t="shared" si="53"/>
        <v/>
      </c>
      <c r="K361" s="287" t="str">
        <f t="shared" si="54"/>
        <v/>
      </c>
      <c r="L361" s="287" t="str">
        <f t="shared" si="55"/>
        <v/>
      </c>
      <c r="M361" s="290" t="str">
        <f t="shared" si="56"/>
        <v/>
      </c>
      <c r="N361" t="str">
        <f>IF($A361="","",IFERROR(INDEX(Prices[Category],MATCH($A361,Prices[Key],0)),"Uncategorized"))</f>
        <v/>
      </c>
      <c r="O361" s="291" t="str">
        <f t="shared" si="57"/>
        <v/>
      </c>
      <c r="P361" s="291" t="str">
        <f t="shared" si="58"/>
        <v/>
      </c>
    </row>
    <row r="362" spans="1:16" ht="15" customHeight="1" x14ac:dyDescent="0.2">
      <c r="A362" s="243" t="str">
        <f>IFERROR(INDEX('All Ticker P&amp;L'!$A$2:$A$1001,MATCH(ROWS($A$2:A362),'All Ticker P&amp;L'!$N$2:$N$1001,0)),"")</f>
        <v/>
      </c>
      <c r="B362" s="243" t="str">
        <f t="shared" si="50"/>
        <v/>
      </c>
      <c r="C362" s="243" t="str">
        <f t="shared" si="51"/>
        <v/>
      </c>
      <c r="D362" s="243" t="str">
        <f t="shared" si="52"/>
        <v/>
      </c>
      <c r="E362" s="265" t="str">
        <f>IF($A362="","",SUMIFS(Txn[Signed Units],Txn[Key],$A362))</f>
        <v/>
      </c>
      <c r="F362" s="287" t="str">
        <f>IF($A362="","",SUMIFS(Txn[Buy Cost],Txn[Key],$A362))</f>
        <v/>
      </c>
      <c r="G362" s="287" t="str">
        <f>IF($A362="","",SUMIFS(Txn[Sell Proceeds],Txn[Key],$A362))</f>
        <v/>
      </c>
      <c r="H362" s="288" t="str">
        <f>IF($A362="","",IFERROR(INDEX(Prices[Current Price],MATCH($A362,Prices[Key],0)),0))</f>
        <v/>
      </c>
      <c r="I362" s="289" t="str">
        <f>IF($A362="","",IFERROR(INDEX(Prices[FX to SGD],MATCH($A362,Prices[Key],0)),1))</f>
        <v/>
      </c>
      <c r="J362" s="287" t="str">
        <f t="shared" si="53"/>
        <v/>
      </c>
      <c r="K362" s="287" t="str">
        <f t="shared" si="54"/>
        <v/>
      </c>
      <c r="L362" s="287" t="str">
        <f t="shared" si="55"/>
        <v/>
      </c>
      <c r="M362" s="290" t="str">
        <f t="shared" si="56"/>
        <v/>
      </c>
      <c r="N362" t="str">
        <f>IF($A362="","",IFERROR(INDEX(Prices[Category],MATCH($A362,Prices[Key],0)),"Uncategorized"))</f>
        <v/>
      </c>
      <c r="O362" s="291" t="str">
        <f t="shared" si="57"/>
        <v/>
      </c>
      <c r="P362" s="291" t="str">
        <f t="shared" si="58"/>
        <v/>
      </c>
    </row>
    <row r="363" spans="1:16" ht="15" customHeight="1" x14ac:dyDescent="0.2">
      <c r="A363" s="243" t="str">
        <f>IFERROR(INDEX('All Ticker P&amp;L'!$A$2:$A$1001,MATCH(ROWS($A$2:A363),'All Ticker P&amp;L'!$N$2:$N$1001,0)),"")</f>
        <v/>
      </c>
      <c r="B363" s="243" t="str">
        <f t="shared" si="50"/>
        <v/>
      </c>
      <c r="C363" s="243" t="str">
        <f t="shared" si="51"/>
        <v/>
      </c>
      <c r="D363" s="243" t="str">
        <f t="shared" si="52"/>
        <v/>
      </c>
      <c r="E363" s="265" t="str">
        <f>IF($A363="","",SUMIFS(Txn[Signed Units],Txn[Key],$A363))</f>
        <v/>
      </c>
      <c r="F363" s="287" t="str">
        <f>IF($A363="","",SUMIFS(Txn[Buy Cost],Txn[Key],$A363))</f>
        <v/>
      </c>
      <c r="G363" s="287" t="str">
        <f>IF($A363="","",SUMIFS(Txn[Sell Proceeds],Txn[Key],$A363))</f>
        <v/>
      </c>
      <c r="H363" s="288" t="str">
        <f>IF($A363="","",IFERROR(INDEX(Prices[Current Price],MATCH($A363,Prices[Key],0)),0))</f>
        <v/>
      </c>
      <c r="I363" s="289" t="str">
        <f>IF($A363="","",IFERROR(INDEX(Prices[FX to SGD],MATCH($A363,Prices[Key],0)),1))</f>
        <v/>
      </c>
      <c r="J363" s="287" t="str">
        <f t="shared" si="53"/>
        <v/>
      </c>
      <c r="K363" s="287" t="str">
        <f t="shared" si="54"/>
        <v/>
      </c>
      <c r="L363" s="287" t="str">
        <f t="shared" si="55"/>
        <v/>
      </c>
      <c r="M363" s="290" t="str">
        <f t="shared" si="56"/>
        <v/>
      </c>
      <c r="N363" t="str">
        <f>IF($A363="","",IFERROR(INDEX(Prices[Category],MATCH($A363,Prices[Key],0)),"Uncategorized"))</f>
        <v/>
      </c>
      <c r="O363" s="291" t="str">
        <f t="shared" si="57"/>
        <v/>
      </c>
      <c r="P363" s="291" t="str">
        <f t="shared" si="58"/>
        <v/>
      </c>
    </row>
    <row r="364" spans="1:16" ht="15" customHeight="1" x14ac:dyDescent="0.2">
      <c r="A364" s="243" t="str">
        <f>IFERROR(INDEX('All Ticker P&amp;L'!$A$2:$A$1001,MATCH(ROWS($A$2:A364),'All Ticker P&amp;L'!$N$2:$N$1001,0)),"")</f>
        <v/>
      </c>
      <c r="B364" s="243" t="str">
        <f t="shared" si="50"/>
        <v/>
      </c>
      <c r="C364" s="243" t="str">
        <f t="shared" si="51"/>
        <v/>
      </c>
      <c r="D364" s="243" t="str">
        <f t="shared" si="52"/>
        <v/>
      </c>
      <c r="E364" s="265" t="str">
        <f>IF($A364="","",SUMIFS(Txn[Signed Units],Txn[Key],$A364))</f>
        <v/>
      </c>
      <c r="F364" s="287" t="str">
        <f>IF($A364="","",SUMIFS(Txn[Buy Cost],Txn[Key],$A364))</f>
        <v/>
      </c>
      <c r="G364" s="287" t="str">
        <f>IF($A364="","",SUMIFS(Txn[Sell Proceeds],Txn[Key],$A364))</f>
        <v/>
      </c>
      <c r="H364" s="288" t="str">
        <f>IF($A364="","",IFERROR(INDEX(Prices[Current Price],MATCH($A364,Prices[Key],0)),0))</f>
        <v/>
      </c>
      <c r="I364" s="289" t="str">
        <f>IF($A364="","",IFERROR(INDEX(Prices[FX to SGD],MATCH($A364,Prices[Key],0)),1))</f>
        <v/>
      </c>
      <c r="J364" s="287" t="str">
        <f t="shared" si="53"/>
        <v/>
      </c>
      <c r="K364" s="287" t="str">
        <f t="shared" si="54"/>
        <v/>
      </c>
      <c r="L364" s="287" t="str">
        <f t="shared" si="55"/>
        <v/>
      </c>
      <c r="M364" s="290" t="str">
        <f t="shared" si="56"/>
        <v/>
      </c>
      <c r="N364" t="str">
        <f>IF($A364="","",IFERROR(INDEX(Prices[Category],MATCH($A364,Prices[Key],0)),"Uncategorized"))</f>
        <v/>
      </c>
      <c r="O364" s="291" t="str">
        <f t="shared" si="57"/>
        <v/>
      </c>
      <c r="P364" s="291" t="str">
        <f t="shared" si="58"/>
        <v/>
      </c>
    </row>
    <row r="365" spans="1:16" ht="15" customHeight="1" x14ac:dyDescent="0.2">
      <c r="A365" s="243" t="str">
        <f>IFERROR(INDEX('All Ticker P&amp;L'!$A$2:$A$1001,MATCH(ROWS($A$2:A365),'All Ticker P&amp;L'!$N$2:$N$1001,0)),"")</f>
        <v/>
      </c>
      <c r="B365" s="243" t="str">
        <f t="shared" si="50"/>
        <v/>
      </c>
      <c r="C365" s="243" t="str">
        <f t="shared" si="51"/>
        <v/>
      </c>
      <c r="D365" s="243" t="str">
        <f t="shared" si="52"/>
        <v/>
      </c>
      <c r="E365" s="265" t="str">
        <f>IF($A365="","",SUMIFS(Txn[Signed Units],Txn[Key],$A365))</f>
        <v/>
      </c>
      <c r="F365" s="287" t="str">
        <f>IF($A365="","",SUMIFS(Txn[Buy Cost],Txn[Key],$A365))</f>
        <v/>
      </c>
      <c r="G365" s="287" t="str">
        <f>IF($A365="","",SUMIFS(Txn[Sell Proceeds],Txn[Key],$A365))</f>
        <v/>
      </c>
      <c r="H365" s="288" t="str">
        <f>IF($A365="","",IFERROR(INDEX(Prices[Current Price],MATCH($A365,Prices[Key],0)),0))</f>
        <v/>
      </c>
      <c r="I365" s="289" t="str">
        <f>IF($A365="","",IFERROR(INDEX(Prices[FX to SGD],MATCH($A365,Prices[Key],0)),1))</f>
        <v/>
      </c>
      <c r="J365" s="287" t="str">
        <f t="shared" si="53"/>
        <v/>
      </c>
      <c r="K365" s="287" t="str">
        <f t="shared" si="54"/>
        <v/>
      </c>
      <c r="L365" s="287" t="str">
        <f t="shared" si="55"/>
        <v/>
      </c>
      <c r="M365" s="290" t="str">
        <f t="shared" si="56"/>
        <v/>
      </c>
      <c r="N365" t="str">
        <f>IF($A365="","",IFERROR(INDEX(Prices[Category],MATCH($A365,Prices[Key],0)),"Uncategorized"))</f>
        <v/>
      </c>
      <c r="O365" s="291" t="str">
        <f t="shared" si="57"/>
        <v/>
      </c>
      <c r="P365" s="291" t="str">
        <f t="shared" si="58"/>
        <v/>
      </c>
    </row>
    <row r="366" spans="1:16" ht="15" customHeight="1" x14ac:dyDescent="0.2">
      <c r="A366" s="243" t="str">
        <f>IFERROR(INDEX('All Ticker P&amp;L'!$A$2:$A$1001,MATCH(ROWS($A$2:A366),'All Ticker P&amp;L'!$N$2:$N$1001,0)),"")</f>
        <v/>
      </c>
      <c r="B366" s="243" t="str">
        <f t="shared" si="50"/>
        <v/>
      </c>
      <c r="C366" s="243" t="str">
        <f t="shared" si="51"/>
        <v/>
      </c>
      <c r="D366" s="243" t="str">
        <f t="shared" si="52"/>
        <v/>
      </c>
      <c r="E366" s="265" t="str">
        <f>IF($A366="","",SUMIFS(Txn[Signed Units],Txn[Key],$A366))</f>
        <v/>
      </c>
      <c r="F366" s="287" t="str">
        <f>IF($A366="","",SUMIFS(Txn[Buy Cost],Txn[Key],$A366))</f>
        <v/>
      </c>
      <c r="G366" s="287" t="str">
        <f>IF($A366="","",SUMIFS(Txn[Sell Proceeds],Txn[Key],$A366))</f>
        <v/>
      </c>
      <c r="H366" s="288" t="str">
        <f>IF($A366="","",IFERROR(INDEX(Prices[Current Price],MATCH($A366,Prices[Key],0)),0))</f>
        <v/>
      </c>
      <c r="I366" s="289" t="str">
        <f>IF($A366="","",IFERROR(INDEX(Prices[FX to SGD],MATCH($A366,Prices[Key],0)),1))</f>
        <v/>
      </c>
      <c r="J366" s="287" t="str">
        <f t="shared" si="53"/>
        <v/>
      </c>
      <c r="K366" s="287" t="str">
        <f t="shared" si="54"/>
        <v/>
      </c>
      <c r="L366" s="287" t="str">
        <f t="shared" si="55"/>
        <v/>
      </c>
      <c r="M366" s="290" t="str">
        <f t="shared" si="56"/>
        <v/>
      </c>
      <c r="N366" t="str">
        <f>IF($A366="","",IFERROR(INDEX(Prices[Category],MATCH($A366,Prices[Key],0)),"Uncategorized"))</f>
        <v/>
      </c>
      <c r="O366" s="291" t="str">
        <f t="shared" si="57"/>
        <v/>
      </c>
      <c r="P366" s="291" t="str">
        <f t="shared" si="58"/>
        <v/>
      </c>
    </row>
    <row r="367" spans="1:16" ht="15" customHeight="1" x14ac:dyDescent="0.2">
      <c r="A367" s="243" t="str">
        <f>IFERROR(INDEX('All Ticker P&amp;L'!$A$2:$A$1001,MATCH(ROWS($A$2:A367),'All Ticker P&amp;L'!$N$2:$N$1001,0)),"")</f>
        <v/>
      </c>
      <c r="B367" s="243" t="str">
        <f t="shared" si="50"/>
        <v/>
      </c>
      <c r="C367" s="243" t="str">
        <f t="shared" si="51"/>
        <v/>
      </c>
      <c r="D367" s="243" t="str">
        <f t="shared" si="52"/>
        <v/>
      </c>
      <c r="E367" s="265" t="str">
        <f>IF($A367="","",SUMIFS(Txn[Signed Units],Txn[Key],$A367))</f>
        <v/>
      </c>
      <c r="F367" s="287" t="str">
        <f>IF($A367="","",SUMIFS(Txn[Buy Cost],Txn[Key],$A367))</f>
        <v/>
      </c>
      <c r="G367" s="287" t="str">
        <f>IF($A367="","",SUMIFS(Txn[Sell Proceeds],Txn[Key],$A367))</f>
        <v/>
      </c>
      <c r="H367" s="288" t="str">
        <f>IF($A367="","",IFERROR(INDEX(Prices[Current Price],MATCH($A367,Prices[Key],0)),0))</f>
        <v/>
      </c>
      <c r="I367" s="289" t="str">
        <f>IF($A367="","",IFERROR(INDEX(Prices[FX to SGD],MATCH($A367,Prices[Key],0)),1))</f>
        <v/>
      </c>
      <c r="J367" s="287" t="str">
        <f t="shared" si="53"/>
        <v/>
      </c>
      <c r="K367" s="287" t="str">
        <f t="shared" si="54"/>
        <v/>
      </c>
      <c r="L367" s="287" t="str">
        <f t="shared" si="55"/>
        <v/>
      </c>
      <c r="M367" s="290" t="str">
        <f t="shared" si="56"/>
        <v/>
      </c>
      <c r="N367" t="str">
        <f>IF($A367="","",IFERROR(INDEX(Prices[Category],MATCH($A367,Prices[Key],0)),"Uncategorized"))</f>
        <v/>
      </c>
      <c r="O367" s="291" t="str">
        <f t="shared" si="57"/>
        <v/>
      </c>
      <c r="P367" s="291" t="str">
        <f t="shared" si="58"/>
        <v/>
      </c>
    </row>
    <row r="368" spans="1:16" ht="15" customHeight="1" x14ac:dyDescent="0.2">
      <c r="A368" s="243" t="str">
        <f>IFERROR(INDEX('All Ticker P&amp;L'!$A$2:$A$1001,MATCH(ROWS($A$2:A368),'All Ticker P&amp;L'!$N$2:$N$1001,0)),"")</f>
        <v/>
      </c>
      <c r="B368" s="243" t="str">
        <f t="shared" si="50"/>
        <v/>
      </c>
      <c r="C368" s="243" t="str">
        <f t="shared" si="51"/>
        <v/>
      </c>
      <c r="D368" s="243" t="str">
        <f t="shared" si="52"/>
        <v/>
      </c>
      <c r="E368" s="265" t="str">
        <f>IF($A368="","",SUMIFS(Txn[Signed Units],Txn[Key],$A368))</f>
        <v/>
      </c>
      <c r="F368" s="287" t="str">
        <f>IF($A368="","",SUMIFS(Txn[Buy Cost],Txn[Key],$A368))</f>
        <v/>
      </c>
      <c r="G368" s="287" t="str">
        <f>IF($A368="","",SUMIFS(Txn[Sell Proceeds],Txn[Key],$A368))</f>
        <v/>
      </c>
      <c r="H368" s="288" t="str">
        <f>IF($A368="","",IFERROR(INDEX(Prices[Current Price],MATCH($A368,Prices[Key],0)),0))</f>
        <v/>
      </c>
      <c r="I368" s="289" t="str">
        <f>IF($A368="","",IFERROR(INDEX(Prices[FX to SGD],MATCH($A368,Prices[Key],0)),1))</f>
        <v/>
      </c>
      <c r="J368" s="287" t="str">
        <f t="shared" si="53"/>
        <v/>
      </c>
      <c r="K368" s="287" t="str">
        <f t="shared" si="54"/>
        <v/>
      </c>
      <c r="L368" s="287" t="str">
        <f t="shared" si="55"/>
        <v/>
      </c>
      <c r="M368" s="290" t="str">
        <f t="shared" si="56"/>
        <v/>
      </c>
      <c r="N368" t="str">
        <f>IF($A368="","",IFERROR(INDEX(Prices[Category],MATCH($A368,Prices[Key],0)),"Uncategorized"))</f>
        <v/>
      </c>
      <c r="O368" s="291" t="str">
        <f t="shared" si="57"/>
        <v/>
      </c>
      <c r="P368" s="291" t="str">
        <f t="shared" si="58"/>
        <v/>
      </c>
    </row>
    <row r="369" spans="1:16" ht="15" customHeight="1" x14ac:dyDescent="0.2">
      <c r="A369" s="243" t="str">
        <f>IFERROR(INDEX('All Ticker P&amp;L'!$A$2:$A$1001,MATCH(ROWS($A$2:A369),'All Ticker P&amp;L'!$N$2:$N$1001,0)),"")</f>
        <v/>
      </c>
      <c r="B369" s="243" t="str">
        <f t="shared" si="50"/>
        <v/>
      </c>
      <c r="C369" s="243" t="str">
        <f t="shared" si="51"/>
        <v/>
      </c>
      <c r="D369" s="243" t="str">
        <f t="shared" si="52"/>
        <v/>
      </c>
      <c r="E369" s="265" t="str">
        <f>IF($A369="","",SUMIFS(Txn[Signed Units],Txn[Key],$A369))</f>
        <v/>
      </c>
      <c r="F369" s="287" t="str">
        <f>IF($A369="","",SUMIFS(Txn[Buy Cost],Txn[Key],$A369))</f>
        <v/>
      </c>
      <c r="G369" s="287" t="str">
        <f>IF($A369="","",SUMIFS(Txn[Sell Proceeds],Txn[Key],$A369))</f>
        <v/>
      </c>
      <c r="H369" s="288" t="str">
        <f>IF($A369="","",IFERROR(INDEX(Prices[Current Price],MATCH($A369,Prices[Key],0)),0))</f>
        <v/>
      </c>
      <c r="I369" s="289" t="str">
        <f>IF($A369="","",IFERROR(INDEX(Prices[FX to SGD],MATCH($A369,Prices[Key],0)),1))</f>
        <v/>
      </c>
      <c r="J369" s="287" t="str">
        <f t="shared" si="53"/>
        <v/>
      </c>
      <c r="K369" s="287" t="str">
        <f t="shared" si="54"/>
        <v/>
      </c>
      <c r="L369" s="287" t="str">
        <f t="shared" si="55"/>
        <v/>
      </c>
      <c r="M369" s="290" t="str">
        <f t="shared" si="56"/>
        <v/>
      </c>
      <c r="N369" t="str">
        <f>IF($A369="","",IFERROR(INDEX(Prices[Category],MATCH($A369,Prices[Key],0)),"Uncategorized"))</f>
        <v/>
      </c>
      <c r="O369" s="291" t="str">
        <f t="shared" si="57"/>
        <v/>
      </c>
      <c r="P369" s="291" t="str">
        <f t="shared" si="58"/>
        <v/>
      </c>
    </row>
    <row r="370" spans="1:16" ht="15" customHeight="1" x14ac:dyDescent="0.2">
      <c r="A370" s="243" t="str">
        <f>IFERROR(INDEX('All Ticker P&amp;L'!$A$2:$A$1001,MATCH(ROWS($A$2:A370),'All Ticker P&amp;L'!$N$2:$N$1001,0)),"")</f>
        <v/>
      </c>
      <c r="B370" s="243" t="str">
        <f t="shared" si="50"/>
        <v/>
      </c>
      <c r="C370" s="243" t="str">
        <f t="shared" si="51"/>
        <v/>
      </c>
      <c r="D370" s="243" t="str">
        <f t="shared" si="52"/>
        <v/>
      </c>
      <c r="E370" s="265" t="str">
        <f>IF($A370="","",SUMIFS(Txn[Signed Units],Txn[Key],$A370))</f>
        <v/>
      </c>
      <c r="F370" s="287" t="str">
        <f>IF($A370="","",SUMIFS(Txn[Buy Cost],Txn[Key],$A370))</f>
        <v/>
      </c>
      <c r="G370" s="287" t="str">
        <f>IF($A370="","",SUMIFS(Txn[Sell Proceeds],Txn[Key],$A370))</f>
        <v/>
      </c>
      <c r="H370" s="288" t="str">
        <f>IF($A370="","",IFERROR(INDEX(Prices[Current Price],MATCH($A370,Prices[Key],0)),0))</f>
        <v/>
      </c>
      <c r="I370" s="289" t="str">
        <f>IF($A370="","",IFERROR(INDEX(Prices[FX to SGD],MATCH($A370,Prices[Key],0)),1))</f>
        <v/>
      </c>
      <c r="J370" s="287" t="str">
        <f t="shared" si="53"/>
        <v/>
      </c>
      <c r="K370" s="287" t="str">
        <f t="shared" si="54"/>
        <v/>
      </c>
      <c r="L370" s="287" t="str">
        <f t="shared" si="55"/>
        <v/>
      </c>
      <c r="M370" s="290" t="str">
        <f t="shared" si="56"/>
        <v/>
      </c>
      <c r="N370" t="str">
        <f>IF($A370="","",IFERROR(INDEX(Prices[Category],MATCH($A370,Prices[Key],0)),"Uncategorized"))</f>
        <v/>
      </c>
      <c r="O370" s="291" t="str">
        <f t="shared" si="57"/>
        <v/>
      </c>
      <c r="P370" s="291" t="str">
        <f t="shared" si="58"/>
        <v/>
      </c>
    </row>
    <row r="371" spans="1:16" ht="15" customHeight="1" x14ac:dyDescent="0.2">
      <c r="A371" s="243" t="str">
        <f>IFERROR(INDEX('All Ticker P&amp;L'!$A$2:$A$1001,MATCH(ROWS($A$2:A371),'All Ticker P&amp;L'!$N$2:$N$1001,0)),"")</f>
        <v/>
      </c>
      <c r="B371" s="243" t="str">
        <f t="shared" si="50"/>
        <v/>
      </c>
      <c r="C371" s="243" t="str">
        <f t="shared" si="51"/>
        <v/>
      </c>
      <c r="D371" s="243" t="str">
        <f t="shared" si="52"/>
        <v/>
      </c>
      <c r="E371" s="265" t="str">
        <f>IF($A371="","",SUMIFS(Txn[Signed Units],Txn[Key],$A371))</f>
        <v/>
      </c>
      <c r="F371" s="287" t="str">
        <f>IF($A371="","",SUMIFS(Txn[Buy Cost],Txn[Key],$A371))</f>
        <v/>
      </c>
      <c r="G371" s="287" t="str">
        <f>IF($A371="","",SUMIFS(Txn[Sell Proceeds],Txn[Key],$A371))</f>
        <v/>
      </c>
      <c r="H371" s="288" t="str">
        <f>IF($A371="","",IFERROR(INDEX(Prices[Current Price],MATCH($A371,Prices[Key],0)),0))</f>
        <v/>
      </c>
      <c r="I371" s="289" t="str">
        <f>IF($A371="","",IFERROR(INDEX(Prices[FX to SGD],MATCH($A371,Prices[Key],0)),1))</f>
        <v/>
      </c>
      <c r="J371" s="287" t="str">
        <f t="shared" si="53"/>
        <v/>
      </c>
      <c r="K371" s="287" t="str">
        <f t="shared" si="54"/>
        <v/>
      </c>
      <c r="L371" s="287" t="str">
        <f t="shared" si="55"/>
        <v/>
      </c>
      <c r="M371" s="290" t="str">
        <f t="shared" si="56"/>
        <v/>
      </c>
      <c r="N371" t="str">
        <f>IF($A371="","",IFERROR(INDEX(Prices[Category],MATCH($A371,Prices[Key],0)),"Uncategorized"))</f>
        <v/>
      </c>
      <c r="O371" s="291" t="str">
        <f t="shared" si="57"/>
        <v/>
      </c>
      <c r="P371" s="291" t="str">
        <f t="shared" si="58"/>
        <v/>
      </c>
    </row>
    <row r="372" spans="1:16" ht="15" customHeight="1" x14ac:dyDescent="0.2">
      <c r="A372" s="243" t="str">
        <f>IFERROR(INDEX('All Ticker P&amp;L'!$A$2:$A$1001,MATCH(ROWS($A$2:A372),'All Ticker P&amp;L'!$N$2:$N$1001,0)),"")</f>
        <v/>
      </c>
      <c r="B372" s="243" t="str">
        <f t="shared" si="50"/>
        <v/>
      </c>
      <c r="C372" s="243" t="str">
        <f t="shared" si="51"/>
        <v/>
      </c>
      <c r="D372" s="243" t="str">
        <f t="shared" si="52"/>
        <v/>
      </c>
      <c r="E372" s="265" t="str">
        <f>IF($A372="","",SUMIFS(Txn[Signed Units],Txn[Key],$A372))</f>
        <v/>
      </c>
      <c r="F372" s="287" t="str">
        <f>IF($A372="","",SUMIFS(Txn[Buy Cost],Txn[Key],$A372))</f>
        <v/>
      </c>
      <c r="G372" s="287" t="str">
        <f>IF($A372="","",SUMIFS(Txn[Sell Proceeds],Txn[Key],$A372))</f>
        <v/>
      </c>
      <c r="H372" s="288" t="str">
        <f>IF($A372="","",IFERROR(INDEX(Prices[Current Price],MATCH($A372,Prices[Key],0)),0))</f>
        <v/>
      </c>
      <c r="I372" s="289" t="str">
        <f>IF($A372="","",IFERROR(INDEX(Prices[FX to SGD],MATCH($A372,Prices[Key],0)),1))</f>
        <v/>
      </c>
      <c r="J372" s="287" t="str">
        <f t="shared" si="53"/>
        <v/>
      </c>
      <c r="K372" s="287" t="str">
        <f t="shared" si="54"/>
        <v/>
      </c>
      <c r="L372" s="287" t="str">
        <f t="shared" si="55"/>
        <v/>
      </c>
      <c r="M372" s="290" t="str">
        <f t="shared" si="56"/>
        <v/>
      </c>
      <c r="N372" t="str">
        <f>IF($A372="","",IFERROR(INDEX(Prices[Category],MATCH($A372,Prices[Key],0)),"Uncategorized"))</f>
        <v/>
      </c>
      <c r="O372" s="291" t="str">
        <f t="shared" si="57"/>
        <v/>
      </c>
      <c r="P372" s="291" t="str">
        <f t="shared" si="58"/>
        <v/>
      </c>
    </row>
    <row r="373" spans="1:16" ht="15" customHeight="1" x14ac:dyDescent="0.2">
      <c r="A373" s="243" t="str">
        <f>IFERROR(INDEX('All Ticker P&amp;L'!$A$2:$A$1001,MATCH(ROWS($A$2:A373),'All Ticker P&amp;L'!$N$2:$N$1001,0)),"")</f>
        <v/>
      </c>
      <c r="B373" s="243" t="str">
        <f t="shared" si="50"/>
        <v/>
      </c>
      <c r="C373" s="243" t="str">
        <f t="shared" si="51"/>
        <v/>
      </c>
      <c r="D373" s="243" t="str">
        <f t="shared" si="52"/>
        <v/>
      </c>
      <c r="E373" s="265" t="str">
        <f>IF($A373="","",SUMIFS(Txn[Signed Units],Txn[Key],$A373))</f>
        <v/>
      </c>
      <c r="F373" s="287" t="str">
        <f>IF($A373="","",SUMIFS(Txn[Buy Cost],Txn[Key],$A373))</f>
        <v/>
      </c>
      <c r="G373" s="287" t="str">
        <f>IF($A373="","",SUMIFS(Txn[Sell Proceeds],Txn[Key],$A373))</f>
        <v/>
      </c>
      <c r="H373" s="288" t="str">
        <f>IF($A373="","",IFERROR(INDEX(Prices[Current Price],MATCH($A373,Prices[Key],0)),0))</f>
        <v/>
      </c>
      <c r="I373" s="289" t="str">
        <f>IF($A373="","",IFERROR(INDEX(Prices[FX to SGD],MATCH($A373,Prices[Key],0)),1))</f>
        <v/>
      </c>
      <c r="J373" s="287" t="str">
        <f t="shared" si="53"/>
        <v/>
      </c>
      <c r="K373" s="287" t="str">
        <f t="shared" si="54"/>
        <v/>
      </c>
      <c r="L373" s="287" t="str">
        <f t="shared" si="55"/>
        <v/>
      </c>
      <c r="M373" s="290" t="str">
        <f t="shared" si="56"/>
        <v/>
      </c>
      <c r="N373" t="str">
        <f>IF($A373="","",IFERROR(INDEX(Prices[Category],MATCH($A373,Prices[Key],0)),"Uncategorized"))</f>
        <v/>
      </c>
      <c r="O373" s="291" t="str">
        <f t="shared" si="57"/>
        <v/>
      </c>
      <c r="P373" s="291" t="str">
        <f t="shared" si="58"/>
        <v/>
      </c>
    </row>
    <row r="374" spans="1:16" ht="15" customHeight="1" x14ac:dyDescent="0.2">
      <c r="A374" s="243" t="str">
        <f>IFERROR(INDEX('All Ticker P&amp;L'!$A$2:$A$1001,MATCH(ROWS($A$2:A374),'All Ticker P&amp;L'!$N$2:$N$1001,0)),"")</f>
        <v/>
      </c>
      <c r="B374" s="243" t="str">
        <f t="shared" si="50"/>
        <v/>
      </c>
      <c r="C374" s="243" t="str">
        <f t="shared" si="51"/>
        <v/>
      </c>
      <c r="D374" s="243" t="str">
        <f t="shared" si="52"/>
        <v/>
      </c>
      <c r="E374" s="265" t="str">
        <f>IF($A374="","",SUMIFS(Txn[Signed Units],Txn[Key],$A374))</f>
        <v/>
      </c>
      <c r="F374" s="287" t="str">
        <f>IF($A374="","",SUMIFS(Txn[Buy Cost],Txn[Key],$A374))</f>
        <v/>
      </c>
      <c r="G374" s="287" t="str">
        <f>IF($A374="","",SUMIFS(Txn[Sell Proceeds],Txn[Key],$A374))</f>
        <v/>
      </c>
      <c r="H374" s="288" t="str">
        <f>IF($A374="","",IFERROR(INDEX(Prices[Current Price],MATCH($A374,Prices[Key],0)),0))</f>
        <v/>
      </c>
      <c r="I374" s="289" t="str">
        <f>IF($A374="","",IFERROR(INDEX(Prices[FX to SGD],MATCH($A374,Prices[Key],0)),1))</f>
        <v/>
      </c>
      <c r="J374" s="287" t="str">
        <f t="shared" si="53"/>
        <v/>
      </c>
      <c r="K374" s="287" t="str">
        <f t="shared" si="54"/>
        <v/>
      </c>
      <c r="L374" s="287" t="str">
        <f t="shared" si="55"/>
        <v/>
      </c>
      <c r="M374" s="290" t="str">
        <f t="shared" si="56"/>
        <v/>
      </c>
      <c r="N374" t="str">
        <f>IF($A374="","",IFERROR(INDEX(Prices[Category],MATCH($A374,Prices[Key],0)),"Uncategorized"))</f>
        <v/>
      </c>
      <c r="O374" s="291" t="str">
        <f t="shared" si="57"/>
        <v/>
      </c>
      <c r="P374" s="291" t="str">
        <f t="shared" si="58"/>
        <v/>
      </c>
    </row>
    <row r="375" spans="1:16" ht="15" customHeight="1" x14ac:dyDescent="0.2">
      <c r="A375" s="243" t="str">
        <f>IFERROR(INDEX('All Ticker P&amp;L'!$A$2:$A$1001,MATCH(ROWS($A$2:A375),'All Ticker P&amp;L'!$N$2:$N$1001,0)),"")</f>
        <v/>
      </c>
      <c r="B375" s="243" t="str">
        <f t="shared" si="50"/>
        <v/>
      </c>
      <c r="C375" s="243" t="str">
        <f t="shared" si="51"/>
        <v/>
      </c>
      <c r="D375" s="243" t="str">
        <f t="shared" si="52"/>
        <v/>
      </c>
      <c r="E375" s="265" t="str">
        <f>IF($A375="","",SUMIFS(Txn[Signed Units],Txn[Key],$A375))</f>
        <v/>
      </c>
      <c r="F375" s="287" t="str">
        <f>IF($A375="","",SUMIFS(Txn[Buy Cost],Txn[Key],$A375))</f>
        <v/>
      </c>
      <c r="G375" s="287" t="str">
        <f>IF($A375="","",SUMIFS(Txn[Sell Proceeds],Txn[Key],$A375))</f>
        <v/>
      </c>
      <c r="H375" s="288" t="str">
        <f>IF($A375="","",IFERROR(INDEX(Prices[Current Price],MATCH($A375,Prices[Key],0)),0))</f>
        <v/>
      </c>
      <c r="I375" s="289" t="str">
        <f>IF($A375="","",IFERROR(INDEX(Prices[FX to SGD],MATCH($A375,Prices[Key],0)),1))</f>
        <v/>
      </c>
      <c r="J375" s="287" t="str">
        <f t="shared" si="53"/>
        <v/>
      </c>
      <c r="K375" s="287" t="str">
        <f t="shared" si="54"/>
        <v/>
      </c>
      <c r="L375" s="287" t="str">
        <f t="shared" si="55"/>
        <v/>
      </c>
      <c r="M375" s="290" t="str">
        <f t="shared" si="56"/>
        <v/>
      </c>
      <c r="N375" t="str">
        <f>IF($A375="","",IFERROR(INDEX(Prices[Category],MATCH($A375,Prices[Key],0)),"Uncategorized"))</f>
        <v/>
      </c>
      <c r="O375" s="291" t="str">
        <f t="shared" si="57"/>
        <v/>
      </c>
      <c r="P375" s="291" t="str">
        <f t="shared" si="58"/>
        <v/>
      </c>
    </row>
    <row r="376" spans="1:16" ht="15" customHeight="1" x14ac:dyDescent="0.2">
      <c r="A376" s="243" t="str">
        <f>IFERROR(INDEX('All Ticker P&amp;L'!$A$2:$A$1001,MATCH(ROWS($A$2:A376),'All Ticker P&amp;L'!$N$2:$N$1001,0)),"")</f>
        <v/>
      </c>
      <c r="B376" s="243" t="str">
        <f t="shared" si="50"/>
        <v/>
      </c>
      <c r="C376" s="243" t="str">
        <f t="shared" si="51"/>
        <v/>
      </c>
      <c r="D376" s="243" t="str">
        <f t="shared" si="52"/>
        <v/>
      </c>
      <c r="E376" s="265" t="str">
        <f>IF($A376="","",SUMIFS(Txn[Signed Units],Txn[Key],$A376))</f>
        <v/>
      </c>
      <c r="F376" s="287" t="str">
        <f>IF($A376="","",SUMIFS(Txn[Buy Cost],Txn[Key],$A376))</f>
        <v/>
      </c>
      <c r="G376" s="287" t="str">
        <f>IF($A376="","",SUMIFS(Txn[Sell Proceeds],Txn[Key],$A376))</f>
        <v/>
      </c>
      <c r="H376" s="288" t="str">
        <f>IF($A376="","",IFERROR(INDEX(Prices[Current Price],MATCH($A376,Prices[Key],0)),0))</f>
        <v/>
      </c>
      <c r="I376" s="289" t="str">
        <f>IF($A376="","",IFERROR(INDEX(Prices[FX to SGD],MATCH($A376,Prices[Key],0)),1))</f>
        <v/>
      </c>
      <c r="J376" s="287" t="str">
        <f t="shared" si="53"/>
        <v/>
      </c>
      <c r="K376" s="287" t="str">
        <f t="shared" si="54"/>
        <v/>
      </c>
      <c r="L376" s="287" t="str">
        <f t="shared" si="55"/>
        <v/>
      </c>
      <c r="M376" s="290" t="str">
        <f t="shared" si="56"/>
        <v/>
      </c>
      <c r="N376" t="str">
        <f>IF($A376="","",IFERROR(INDEX(Prices[Category],MATCH($A376,Prices[Key],0)),"Uncategorized"))</f>
        <v/>
      </c>
      <c r="O376" s="291" t="str">
        <f t="shared" si="57"/>
        <v/>
      </c>
      <c r="P376" s="291" t="str">
        <f t="shared" si="58"/>
        <v/>
      </c>
    </row>
    <row r="377" spans="1:16" ht="15" customHeight="1" x14ac:dyDescent="0.2">
      <c r="A377" s="243" t="str">
        <f>IFERROR(INDEX('All Ticker P&amp;L'!$A$2:$A$1001,MATCH(ROWS($A$2:A377),'All Ticker P&amp;L'!$N$2:$N$1001,0)),"")</f>
        <v/>
      </c>
      <c r="B377" s="243" t="str">
        <f t="shared" si="50"/>
        <v/>
      </c>
      <c r="C377" s="243" t="str">
        <f t="shared" si="51"/>
        <v/>
      </c>
      <c r="D377" s="243" t="str">
        <f t="shared" si="52"/>
        <v/>
      </c>
      <c r="E377" s="265" t="str">
        <f>IF($A377="","",SUMIFS(Txn[Signed Units],Txn[Key],$A377))</f>
        <v/>
      </c>
      <c r="F377" s="287" t="str">
        <f>IF($A377="","",SUMIFS(Txn[Buy Cost],Txn[Key],$A377))</f>
        <v/>
      </c>
      <c r="G377" s="287" t="str">
        <f>IF($A377="","",SUMIFS(Txn[Sell Proceeds],Txn[Key],$A377))</f>
        <v/>
      </c>
      <c r="H377" s="288" t="str">
        <f>IF($A377="","",IFERROR(INDEX(Prices[Current Price],MATCH($A377,Prices[Key],0)),0))</f>
        <v/>
      </c>
      <c r="I377" s="289" t="str">
        <f>IF($A377="","",IFERROR(INDEX(Prices[FX to SGD],MATCH($A377,Prices[Key],0)),1))</f>
        <v/>
      </c>
      <c r="J377" s="287" t="str">
        <f t="shared" si="53"/>
        <v/>
      </c>
      <c r="K377" s="287" t="str">
        <f t="shared" si="54"/>
        <v/>
      </c>
      <c r="L377" s="287" t="str">
        <f t="shared" si="55"/>
        <v/>
      </c>
      <c r="M377" s="290" t="str">
        <f t="shared" si="56"/>
        <v/>
      </c>
      <c r="N377" t="str">
        <f>IF($A377="","",IFERROR(INDEX(Prices[Category],MATCH($A377,Prices[Key],0)),"Uncategorized"))</f>
        <v/>
      </c>
      <c r="O377" s="291" t="str">
        <f t="shared" si="57"/>
        <v/>
      </c>
      <c r="P377" s="291" t="str">
        <f t="shared" si="58"/>
        <v/>
      </c>
    </row>
    <row r="378" spans="1:16" ht="15" customHeight="1" x14ac:dyDescent="0.2">
      <c r="A378" s="243" t="str">
        <f>IFERROR(INDEX('All Ticker P&amp;L'!$A$2:$A$1001,MATCH(ROWS($A$2:A378),'All Ticker P&amp;L'!$N$2:$N$1001,0)),"")</f>
        <v/>
      </c>
      <c r="B378" s="243" t="str">
        <f t="shared" si="50"/>
        <v/>
      </c>
      <c r="C378" s="243" t="str">
        <f t="shared" si="51"/>
        <v/>
      </c>
      <c r="D378" s="243" t="str">
        <f t="shared" si="52"/>
        <v/>
      </c>
      <c r="E378" s="265" t="str">
        <f>IF($A378="","",SUMIFS(Txn[Signed Units],Txn[Key],$A378))</f>
        <v/>
      </c>
      <c r="F378" s="287" t="str">
        <f>IF($A378="","",SUMIFS(Txn[Buy Cost],Txn[Key],$A378))</f>
        <v/>
      </c>
      <c r="G378" s="287" t="str">
        <f>IF($A378="","",SUMIFS(Txn[Sell Proceeds],Txn[Key],$A378))</f>
        <v/>
      </c>
      <c r="H378" s="288" t="str">
        <f>IF($A378="","",IFERROR(INDEX(Prices[Current Price],MATCH($A378,Prices[Key],0)),0))</f>
        <v/>
      </c>
      <c r="I378" s="289" t="str">
        <f>IF($A378="","",IFERROR(INDEX(Prices[FX to SGD],MATCH($A378,Prices[Key],0)),1))</f>
        <v/>
      </c>
      <c r="J378" s="287" t="str">
        <f t="shared" si="53"/>
        <v/>
      </c>
      <c r="K378" s="287" t="str">
        <f t="shared" si="54"/>
        <v/>
      </c>
      <c r="L378" s="287" t="str">
        <f t="shared" si="55"/>
        <v/>
      </c>
      <c r="M378" s="290" t="str">
        <f t="shared" si="56"/>
        <v/>
      </c>
      <c r="N378" t="str">
        <f>IF($A378="","",IFERROR(INDEX(Prices[Category],MATCH($A378,Prices[Key],0)),"Uncategorized"))</f>
        <v/>
      </c>
      <c r="O378" s="291" t="str">
        <f t="shared" si="57"/>
        <v/>
      </c>
      <c r="P378" s="291" t="str">
        <f t="shared" si="58"/>
        <v/>
      </c>
    </row>
    <row r="379" spans="1:16" ht="15" customHeight="1" x14ac:dyDescent="0.2">
      <c r="A379" s="243" t="str">
        <f>IFERROR(INDEX('All Ticker P&amp;L'!$A$2:$A$1001,MATCH(ROWS($A$2:A379),'All Ticker P&amp;L'!$N$2:$N$1001,0)),"")</f>
        <v/>
      </c>
      <c r="B379" s="243" t="str">
        <f t="shared" si="50"/>
        <v/>
      </c>
      <c r="C379" s="243" t="str">
        <f t="shared" si="51"/>
        <v/>
      </c>
      <c r="D379" s="243" t="str">
        <f t="shared" si="52"/>
        <v/>
      </c>
      <c r="E379" s="265" t="str">
        <f>IF($A379="","",SUMIFS(Txn[Signed Units],Txn[Key],$A379))</f>
        <v/>
      </c>
      <c r="F379" s="287" t="str">
        <f>IF($A379="","",SUMIFS(Txn[Buy Cost],Txn[Key],$A379))</f>
        <v/>
      </c>
      <c r="G379" s="287" t="str">
        <f>IF($A379="","",SUMIFS(Txn[Sell Proceeds],Txn[Key],$A379))</f>
        <v/>
      </c>
      <c r="H379" s="288" t="str">
        <f>IF($A379="","",IFERROR(INDEX(Prices[Current Price],MATCH($A379,Prices[Key],0)),0))</f>
        <v/>
      </c>
      <c r="I379" s="289" t="str">
        <f>IF($A379="","",IFERROR(INDEX(Prices[FX to SGD],MATCH($A379,Prices[Key],0)),1))</f>
        <v/>
      </c>
      <c r="J379" s="287" t="str">
        <f t="shared" si="53"/>
        <v/>
      </c>
      <c r="K379" s="287" t="str">
        <f t="shared" si="54"/>
        <v/>
      </c>
      <c r="L379" s="287" t="str">
        <f t="shared" si="55"/>
        <v/>
      </c>
      <c r="M379" s="290" t="str">
        <f t="shared" si="56"/>
        <v/>
      </c>
      <c r="N379" t="str">
        <f>IF($A379="","",IFERROR(INDEX(Prices[Category],MATCH($A379,Prices[Key],0)),"Uncategorized"))</f>
        <v/>
      </c>
      <c r="O379" s="291" t="str">
        <f t="shared" si="57"/>
        <v/>
      </c>
      <c r="P379" s="291" t="str">
        <f t="shared" si="58"/>
        <v/>
      </c>
    </row>
    <row r="380" spans="1:16" ht="15" customHeight="1" x14ac:dyDescent="0.2">
      <c r="A380" s="243" t="str">
        <f>IFERROR(INDEX('All Ticker P&amp;L'!$A$2:$A$1001,MATCH(ROWS($A$2:A380),'All Ticker P&amp;L'!$N$2:$N$1001,0)),"")</f>
        <v/>
      </c>
      <c r="B380" s="243" t="str">
        <f t="shared" si="50"/>
        <v/>
      </c>
      <c r="C380" s="243" t="str">
        <f t="shared" si="51"/>
        <v/>
      </c>
      <c r="D380" s="243" t="str">
        <f t="shared" si="52"/>
        <v/>
      </c>
      <c r="E380" s="265" t="str">
        <f>IF($A380="","",SUMIFS(Txn[Signed Units],Txn[Key],$A380))</f>
        <v/>
      </c>
      <c r="F380" s="287" t="str">
        <f>IF($A380="","",SUMIFS(Txn[Buy Cost],Txn[Key],$A380))</f>
        <v/>
      </c>
      <c r="G380" s="287" t="str">
        <f>IF($A380="","",SUMIFS(Txn[Sell Proceeds],Txn[Key],$A380))</f>
        <v/>
      </c>
      <c r="H380" s="288" t="str">
        <f>IF($A380="","",IFERROR(INDEX(Prices[Current Price],MATCH($A380,Prices[Key],0)),0))</f>
        <v/>
      </c>
      <c r="I380" s="289" t="str">
        <f>IF($A380="","",IFERROR(INDEX(Prices[FX to SGD],MATCH($A380,Prices[Key],0)),1))</f>
        <v/>
      </c>
      <c r="J380" s="287" t="str">
        <f t="shared" si="53"/>
        <v/>
      </c>
      <c r="K380" s="287" t="str">
        <f t="shared" si="54"/>
        <v/>
      </c>
      <c r="L380" s="287" t="str">
        <f t="shared" si="55"/>
        <v/>
      </c>
      <c r="M380" s="290" t="str">
        <f t="shared" si="56"/>
        <v/>
      </c>
      <c r="N380" t="str">
        <f>IF($A380="","",IFERROR(INDEX(Prices[Category],MATCH($A380,Prices[Key],0)),"Uncategorized"))</f>
        <v/>
      </c>
      <c r="O380" s="291" t="str">
        <f t="shared" si="57"/>
        <v/>
      </c>
      <c r="P380" s="291" t="str">
        <f t="shared" si="58"/>
        <v/>
      </c>
    </row>
    <row r="381" spans="1:16" ht="15" customHeight="1" x14ac:dyDescent="0.2">
      <c r="A381" s="243" t="str">
        <f>IFERROR(INDEX('All Ticker P&amp;L'!$A$2:$A$1001,MATCH(ROWS($A$2:A381),'All Ticker P&amp;L'!$N$2:$N$1001,0)),"")</f>
        <v/>
      </c>
      <c r="B381" s="243" t="str">
        <f t="shared" si="50"/>
        <v/>
      </c>
      <c r="C381" s="243" t="str">
        <f t="shared" si="51"/>
        <v/>
      </c>
      <c r="D381" s="243" t="str">
        <f t="shared" si="52"/>
        <v/>
      </c>
      <c r="E381" s="265" t="str">
        <f>IF($A381="","",SUMIFS(Txn[Signed Units],Txn[Key],$A381))</f>
        <v/>
      </c>
      <c r="F381" s="287" t="str">
        <f>IF($A381="","",SUMIFS(Txn[Buy Cost],Txn[Key],$A381))</f>
        <v/>
      </c>
      <c r="G381" s="287" t="str">
        <f>IF($A381="","",SUMIFS(Txn[Sell Proceeds],Txn[Key],$A381))</f>
        <v/>
      </c>
      <c r="H381" s="288" t="str">
        <f>IF($A381="","",IFERROR(INDEX(Prices[Current Price],MATCH($A381,Prices[Key],0)),0))</f>
        <v/>
      </c>
      <c r="I381" s="289" t="str">
        <f>IF($A381="","",IFERROR(INDEX(Prices[FX to SGD],MATCH($A381,Prices[Key],0)),1))</f>
        <v/>
      </c>
      <c r="J381" s="287" t="str">
        <f t="shared" si="53"/>
        <v/>
      </c>
      <c r="K381" s="287" t="str">
        <f t="shared" si="54"/>
        <v/>
      </c>
      <c r="L381" s="287" t="str">
        <f t="shared" si="55"/>
        <v/>
      </c>
      <c r="M381" s="290" t="str">
        <f t="shared" si="56"/>
        <v/>
      </c>
      <c r="N381" t="str">
        <f>IF($A381="","",IFERROR(INDEX(Prices[Category],MATCH($A381,Prices[Key],0)),"Uncategorized"))</f>
        <v/>
      </c>
      <c r="O381" s="291" t="str">
        <f t="shared" si="57"/>
        <v/>
      </c>
      <c r="P381" s="291" t="str">
        <f t="shared" si="58"/>
        <v/>
      </c>
    </row>
    <row r="382" spans="1:16" ht="15" customHeight="1" x14ac:dyDescent="0.2">
      <c r="A382" s="243" t="str">
        <f>IFERROR(INDEX('All Ticker P&amp;L'!$A$2:$A$1001,MATCH(ROWS($A$2:A382),'All Ticker P&amp;L'!$N$2:$N$1001,0)),"")</f>
        <v/>
      </c>
      <c r="B382" s="243" t="str">
        <f t="shared" si="50"/>
        <v/>
      </c>
      <c r="C382" s="243" t="str">
        <f t="shared" si="51"/>
        <v/>
      </c>
      <c r="D382" s="243" t="str">
        <f t="shared" si="52"/>
        <v/>
      </c>
      <c r="E382" s="265" t="str">
        <f>IF($A382="","",SUMIFS(Txn[Signed Units],Txn[Key],$A382))</f>
        <v/>
      </c>
      <c r="F382" s="287" t="str">
        <f>IF($A382="","",SUMIFS(Txn[Buy Cost],Txn[Key],$A382))</f>
        <v/>
      </c>
      <c r="G382" s="287" t="str">
        <f>IF($A382="","",SUMIFS(Txn[Sell Proceeds],Txn[Key],$A382))</f>
        <v/>
      </c>
      <c r="H382" s="288" t="str">
        <f>IF($A382="","",IFERROR(INDEX(Prices[Current Price],MATCH($A382,Prices[Key],0)),0))</f>
        <v/>
      </c>
      <c r="I382" s="289" t="str">
        <f>IF($A382="","",IFERROR(INDEX(Prices[FX to SGD],MATCH($A382,Prices[Key],0)),1))</f>
        <v/>
      </c>
      <c r="J382" s="287" t="str">
        <f t="shared" si="53"/>
        <v/>
      </c>
      <c r="K382" s="287" t="str">
        <f t="shared" si="54"/>
        <v/>
      </c>
      <c r="L382" s="287" t="str">
        <f t="shared" si="55"/>
        <v/>
      </c>
      <c r="M382" s="290" t="str">
        <f t="shared" si="56"/>
        <v/>
      </c>
      <c r="N382" t="str">
        <f>IF($A382="","",IFERROR(INDEX(Prices[Category],MATCH($A382,Prices[Key],0)),"Uncategorized"))</f>
        <v/>
      </c>
      <c r="O382" s="291" t="str">
        <f t="shared" si="57"/>
        <v/>
      </c>
      <c r="P382" s="291" t="str">
        <f t="shared" si="58"/>
        <v/>
      </c>
    </row>
    <row r="383" spans="1:16" ht="15" customHeight="1" x14ac:dyDescent="0.2">
      <c r="A383" s="243" t="str">
        <f>IFERROR(INDEX('All Ticker P&amp;L'!$A$2:$A$1001,MATCH(ROWS($A$2:A383),'All Ticker P&amp;L'!$N$2:$N$1001,0)),"")</f>
        <v/>
      </c>
      <c r="B383" s="243" t="str">
        <f t="shared" si="50"/>
        <v/>
      </c>
      <c r="C383" s="243" t="str">
        <f t="shared" si="51"/>
        <v/>
      </c>
      <c r="D383" s="243" t="str">
        <f t="shared" si="52"/>
        <v/>
      </c>
      <c r="E383" s="265" t="str">
        <f>IF($A383="","",SUMIFS(Txn[Signed Units],Txn[Key],$A383))</f>
        <v/>
      </c>
      <c r="F383" s="287" t="str">
        <f>IF($A383="","",SUMIFS(Txn[Buy Cost],Txn[Key],$A383))</f>
        <v/>
      </c>
      <c r="G383" s="287" t="str">
        <f>IF($A383="","",SUMIFS(Txn[Sell Proceeds],Txn[Key],$A383))</f>
        <v/>
      </c>
      <c r="H383" s="288" t="str">
        <f>IF($A383="","",IFERROR(INDEX(Prices[Current Price],MATCH($A383,Prices[Key],0)),0))</f>
        <v/>
      </c>
      <c r="I383" s="289" t="str">
        <f>IF($A383="","",IFERROR(INDEX(Prices[FX to SGD],MATCH($A383,Prices[Key],0)),1))</f>
        <v/>
      </c>
      <c r="J383" s="287" t="str">
        <f t="shared" si="53"/>
        <v/>
      </c>
      <c r="K383" s="287" t="str">
        <f t="shared" si="54"/>
        <v/>
      </c>
      <c r="L383" s="287" t="str">
        <f t="shared" si="55"/>
        <v/>
      </c>
      <c r="M383" s="290" t="str">
        <f t="shared" si="56"/>
        <v/>
      </c>
      <c r="N383" t="str">
        <f>IF($A383="","",IFERROR(INDEX(Prices[Category],MATCH($A383,Prices[Key],0)),"Uncategorized"))</f>
        <v/>
      </c>
      <c r="O383" s="291" t="str">
        <f t="shared" si="57"/>
        <v/>
      </c>
      <c r="P383" s="291" t="str">
        <f t="shared" si="58"/>
        <v/>
      </c>
    </row>
    <row r="384" spans="1:16" ht="15" customHeight="1" x14ac:dyDescent="0.2">
      <c r="A384" s="243" t="str">
        <f>IFERROR(INDEX('All Ticker P&amp;L'!$A$2:$A$1001,MATCH(ROWS($A$2:A384),'All Ticker P&amp;L'!$N$2:$N$1001,0)),"")</f>
        <v/>
      </c>
      <c r="B384" s="243" t="str">
        <f t="shared" si="50"/>
        <v/>
      </c>
      <c r="C384" s="243" t="str">
        <f t="shared" si="51"/>
        <v/>
      </c>
      <c r="D384" s="243" t="str">
        <f t="shared" si="52"/>
        <v/>
      </c>
      <c r="E384" s="265" t="str">
        <f>IF($A384="","",SUMIFS(Txn[Signed Units],Txn[Key],$A384))</f>
        <v/>
      </c>
      <c r="F384" s="287" t="str">
        <f>IF($A384="","",SUMIFS(Txn[Buy Cost],Txn[Key],$A384))</f>
        <v/>
      </c>
      <c r="G384" s="287" t="str">
        <f>IF($A384="","",SUMIFS(Txn[Sell Proceeds],Txn[Key],$A384))</f>
        <v/>
      </c>
      <c r="H384" s="288" t="str">
        <f>IF($A384="","",IFERROR(INDEX(Prices[Current Price],MATCH($A384,Prices[Key],0)),0))</f>
        <v/>
      </c>
      <c r="I384" s="289" t="str">
        <f>IF($A384="","",IFERROR(INDEX(Prices[FX to SGD],MATCH($A384,Prices[Key],0)),1))</f>
        <v/>
      </c>
      <c r="J384" s="287" t="str">
        <f t="shared" si="53"/>
        <v/>
      </c>
      <c r="K384" s="287" t="str">
        <f t="shared" si="54"/>
        <v/>
      </c>
      <c r="L384" s="287" t="str">
        <f t="shared" si="55"/>
        <v/>
      </c>
      <c r="M384" s="290" t="str">
        <f t="shared" si="56"/>
        <v/>
      </c>
      <c r="N384" t="str">
        <f>IF($A384="","",IFERROR(INDEX(Prices[Category],MATCH($A384,Prices[Key],0)),"Uncategorized"))</f>
        <v/>
      </c>
      <c r="O384" s="291" t="str">
        <f t="shared" si="57"/>
        <v/>
      </c>
      <c r="P384" s="291" t="str">
        <f t="shared" si="58"/>
        <v/>
      </c>
    </row>
    <row r="385" spans="1:16" ht="15" customHeight="1" x14ac:dyDescent="0.2">
      <c r="A385" s="243" t="str">
        <f>IFERROR(INDEX('All Ticker P&amp;L'!$A$2:$A$1001,MATCH(ROWS($A$2:A385),'All Ticker P&amp;L'!$N$2:$N$1001,0)),"")</f>
        <v/>
      </c>
      <c r="B385" s="243" t="str">
        <f t="shared" si="50"/>
        <v/>
      </c>
      <c r="C385" s="243" t="str">
        <f t="shared" si="51"/>
        <v/>
      </c>
      <c r="D385" s="243" t="str">
        <f t="shared" si="52"/>
        <v/>
      </c>
      <c r="E385" s="265" t="str">
        <f>IF($A385="","",SUMIFS(Txn[Signed Units],Txn[Key],$A385))</f>
        <v/>
      </c>
      <c r="F385" s="287" t="str">
        <f>IF($A385="","",SUMIFS(Txn[Buy Cost],Txn[Key],$A385))</f>
        <v/>
      </c>
      <c r="G385" s="287" t="str">
        <f>IF($A385="","",SUMIFS(Txn[Sell Proceeds],Txn[Key],$A385))</f>
        <v/>
      </c>
      <c r="H385" s="288" t="str">
        <f>IF($A385="","",IFERROR(INDEX(Prices[Current Price],MATCH($A385,Prices[Key],0)),0))</f>
        <v/>
      </c>
      <c r="I385" s="289" t="str">
        <f>IF($A385="","",IFERROR(INDEX(Prices[FX to SGD],MATCH($A385,Prices[Key],0)),1))</f>
        <v/>
      </c>
      <c r="J385" s="287" t="str">
        <f t="shared" si="53"/>
        <v/>
      </c>
      <c r="K385" s="287" t="str">
        <f t="shared" si="54"/>
        <v/>
      </c>
      <c r="L385" s="287" t="str">
        <f t="shared" si="55"/>
        <v/>
      </c>
      <c r="M385" s="290" t="str">
        <f t="shared" si="56"/>
        <v/>
      </c>
      <c r="N385" t="str">
        <f>IF($A385="","",IFERROR(INDEX(Prices[Category],MATCH($A385,Prices[Key],0)),"Uncategorized"))</f>
        <v/>
      </c>
      <c r="O385" s="291" t="str">
        <f t="shared" si="57"/>
        <v/>
      </c>
      <c r="P385" s="291" t="str">
        <f t="shared" si="58"/>
        <v/>
      </c>
    </row>
    <row r="386" spans="1:16" ht="15" customHeight="1" x14ac:dyDescent="0.2">
      <c r="A386" s="243" t="str">
        <f>IFERROR(INDEX('All Ticker P&amp;L'!$A$2:$A$1001,MATCH(ROWS($A$2:A386),'All Ticker P&amp;L'!$N$2:$N$1001,0)),"")</f>
        <v/>
      </c>
      <c r="B386" s="243" t="str">
        <f t="shared" ref="B386:B449" si="59">IF($A386="","",LEFT($A386,FIND(":",$A386)-1))</f>
        <v/>
      </c>
      <c r="C386" s="243" t="str">
        <f t="shared" ref="C386:C449" si="60">IF($A386="","",MID($A386,FIND(":",$A386)+1,FIND(":",$A386,FIND(":",$A386)+1)-FIND(":",$A386)-1))</f>
        <v/>
      </c>
      <c r="D386" s="243" t="str">
        <f t="shared" ref="D386:D449" si="61">IF($A386="","",RIGHT($A386,LEN($A386)-FIND(":",$A386,FIND(":",$A386)+1)))</f>
        <v/>
      </c>
      <c r="E386" s="265" t="str">
        <f>IF($A386="","",SUMIFS(Txn[Signed Units],Txn[Key],$A386))</f>
        <v/>
      </c>
      <c r="F386" s="287" t="str">
        <f>IF($A386="","",SUMIFS(Txn[Buy Cost],Txn[Key],$A386))</f>
        <v/>
      </c>
      <c r="G386" s="287" t="str">
        <f>IF($A386="","",SUMIFS(Txn[Sell Proceeds],Txn[Key],$A386))</f>
        <v/>
      </c>
      <c r="H386" s="288" t="str">
        <f>IF($A386="","",IFERROR(INDEX(Prices[Current Price],MATCH($A386,Prices[Key],0)),0))</f>
        <v/>
      </c>
      <c r="I386" s="289" t="str">
        <f>IF($A386="","",IFERROR(INDEX(Prices[FX to SGD],MATCH($A386,Prices[Key],0)),1))</f>
        <v/>
      </c>
      <c r="J386" s="287" t="str">
        <f t="shared" ref="J386:J449" si="62">IF($A386="","",E386*H386)</f>
        <v/>
      </c>
      <c r="K386" s="287" t="str">
        <f t="shared" ref="K386:K449" si="63">IF($A386="","",J386+G386-F386)</f>
        <v/>
      </c>
      <c r="L386" s="287" t="str">
        <f t="shared" ref="L386:L449" si="64">IF($A386="","",K386*I386)</f>
        <v/>
      </c>
      <c r="M386" s="290" t="str">
        <f t="shared" ref="M386:M449" si="65">IF($A386="","",IFERROR(K386/F386,0))</f>
        <v/>
      </c>
      <c r="N386" t="str">
        <f>IF($A386="","",IFERROR(INDEX(Prices[Category],MATCH($A386,Prices[Key],0)),"Uncategorized"))</f>
        <v/>
      </c>
      <c r="O386" s="291" t="str">
        <f t="shared" ref="O386:O449" si="66">IF($A386="","",$J386*$I386)</f>
        <v/>
      </c>
      <c r="P386" s="291" t="str">
        <f t="shared" ref="P386:P449" si="67">IF($A386="","",$L386)</f>
        <v/>
      </c>
    </row>
    <row r="387" spans="1:16" ht="15" customHeight="1" x14ac:dyDescent="0.2">
      <c r="A387" s="243" t="str">
        <f>IFERROR(INDEX('All Ticker P&amp;L'!$A$2:$A$1001,MATCH(ROWS($A$2:A387),'All Ticker P&amp;L'!$N$2:$N$1001,0)),"")</f>
        <v/>
      </c>
      <c r="B387" s="243" t="str">
        <f t="shared" si="59"/>
        <v/>
      </c>
      <c r="C387" s="243" t="str">
        <f t="shared" si="60"/>
        <v/>
      </c>
      <c r="D387" s="243" t="str">
        <f t="shared" si="61"/>
        <v/>
      </c>
      <c r="E387" s="265" t="str">
        <f>IF($A387="","",SUMIFS(Txn[Signed Units],Txn[Key],$A387))</f>
        <v/>
      </c>
      <c r="F387" s="287" t="str">
        <f>IF($A387="","",SUMIFS(Txn[Buy Cost],Txn[Key],$A387))</f>
        <v/>
      </c>
      <c r="G387" s="287" t="str">
        <f>IF($A387="","",SUMIFS(Txn[Sell Proceeds],Txn[Key],$A387))</f>
        <v/>
      </c>
      <c r="H387" s="288" t="str">
        <f>IF($A387="","",IFERROR(INDEX(Prices[Current Price],MATCH($A387,Prices[Key],0)),0))</f>
        <v/>
      </c>
      <c r="I387" s="289" t="str">
        <f>IF($A387="","",IFERROR(INDEX(Prices[FX to SGD],MATCH($A387,Prices[Key],0)),1))</f>
        <v/>
      </c>
      <c r="J387" s="287" t="str">
        <f t="shared" si="62"/>
        <v/>
      </c>
      <c r="K387" s="287" t="str">
        <f t="shared" si="63"/>
        <v/>
      </c>
      <c r="L387" s="287" t="str">
        <f t="shared" si="64"/>
        <v/>
      </c>
      <c r="M387" s="290" t="str">
        <f t="shared" si="65"/>
        <v/>
      </c>
      <c r="N387" t="str">
        <f>IF($A387="","",IFERROR(INDEX(Prices[Category],MATCH($A387,Prices[Key],0)),"Uncategorized"))</f>
        <v/>
      </c>
      <c r="O387" s="291" t="str">
        <f t="shared" si="66"/>
        <v/>
      </c>
      <c r="P387" s="291" t="str">
        <f t="shared" si="67"/>
        <v/>
      </c>
    </row>
    <row r="388" spans="1:16" ht="15" customHeight="1" x14ac:dyDescent="0.2">
      <c r="A388" s="243" t="str">
        <f>IFERROR(INDEX('All Ticker P&amp;L'!$A$2:$A$1001,MATCH(ROWS($A$2:A388),'All Ticker P&amp;L'!$N$2:$N$1001,0)),"")</f>
        <v/>
      </c>
      <c r="B388" s="243" t="str">
        <f t="shared" si="59"/>
        <v/>
      </c>
      <c r="C388" s="243" t="str">
        <f t="shared" si="60"/>
        <v/>
      </c>
      <c r="D388" s="243" t="str">
        <f t="shared" si="61"/>
        <v/>
      </c>
      <c r="E388" s="265" t="str">
        <f>IF($A388="","",SUMIFS(Txn[Signed Units],Txn[Key],$A388))</f>
        <v/>
      </c>
      <c r="F388" s="287" t="str">
        <f>IF($A388="","",SUMIFS(Txn[Buy Cost],Txn[Key],$A388))</f>
        <v/>
      </c>
      <c r="G388" s="287" t="str">
        <f>IF($A388="","",SUMIFS(Txn[Sell Proceeds],Txn[Key],$A388))</f>
        <v/>
      </c>
      <c r="H388" s="288" t="str">
        <f>IF($A388="","",IFERROR(INDEX(Prices[Current Price],MATCH($A388,Prices[Key],0)),0))</f>
        <v/>
      </c>
      <c r="I388" s="289" t="str">
        <f>IF($A388="","",IFERROR(INDEX(Prices[FX to SGD],MATCH($A388,Prices[Key],0)),1))</f>
        <v/>
      </c>
      <c r="J388" s="287" t="str">
        <f t="shared" si="62"/>
        <v/>
      </c>
      <c r="K388" s="287" t="str">
        <f t="shared" si="63"/>
        <v/>
      </c>
      <c r="L388" s="287" t="str">
        <f t="shared" si="64"/>
        <v/>
      </c>
      <c r="M388" s="290" t="str">
        <f t="shared" si="65"/>
        <v/>
      </c>
      <c r="N388" t="str">
        <f>IF($A388="","",IFERROR(INDEX(Prices[Category],MATCH($A388,Prices[Key],0)),"Uncategorized"))</f>
        <v/>
      </c>
      <c r="O388" s="291" t="str">
        <f t="shared" si="66"/>
        <v/>
      </c>
      <c r="P388" s="291" t="str">
        <f t="shared" si="67"/>
        <v/>
      </c>
    </row>
    <row r="389" spans="1:16" ht="15" customHeight="1" x14ac:dyDescent="0.2">
      <c r="A389" s="243" t="str">
        <f>IFERROR(INDEX('All Ticker P&amp;L'!$A$2:$A$1001,MATCH(ROWS($A$2:A389),'All Ticker P&amp;L'!$N$2:$N$1001,0)),"")</f>
        <v/>
      </c>
      <c r="B389" s="243" t="str">
        <f t="shared" si="59"/>
        <v/>
      </c>
      <c r="C389" s="243" t="str">
        <f t="shared" si="60"/>
        <v/>
      </c>
      <c r="D389" s="243" t="str">
        <f t="shared" si="61"/>
        <v/>
      </c>
      <c r="E389" s="265" t="str">
        <f>IF($A389="","",SUMIFS(Txn[Signed Units],Txn[Key],$A389))</f>
        <v/>
      </c>
      <c r="F389" s="287" t="str">
        <f>IF($A389="","",SUMIFS(Txn[Buy Cost],Txn[Key],$A389))</f>
        <v/>
      </c>
      <c r="G389" s="287" t="str">
        <f>IF($A389="","",SUMIFS(Txn[Sell Proceeds],Txn[Key],$A389))</f>
        <v/>
      </c>
      <c r="H389" s="288" t="str">
        <f>IF($A389="","",IFERROR(INDEX(Prices[Current Price],MATCH($A389,Prices[Key],0)),0))</f>
        <v/>
      </c>
      <c r="I389" s="289" t="str">
        <f>IF($A389="","",IFERROR(INDEX(Prices[FX to SGD],MATCH($A389,Prices[Key],0)),1))</f>
        <v/>
      </c>
      <c r="J389" s="287" t="str">
        <f t="shared" si="62"/>
        <v/>
      </c>
      <c r="K389" s="287" t="str">
        <f t="shared" si="63"/>
        <v/>
      </c>
      <c r="L389" s="287" t="str">
        <f t="shared" si="64"/>
        <v/>
      </c>
      <c r="M389" s="290" t="str">
        <f t="shared" si="65"/>
        <v/>
      </c>
      <c r="N389" t="str">
        <f>IF($A389="","",IFERROR(INDEX(Prices[Category],MATCH($A389,Prices[Key],0)),"Uncategorized"))</f>
        <v/>
      </c>
      <c r="O389" s="291" t="str">
        <f t="shared" si="66"/>
        <v/>
      </c>
      <c r="P389" s="291" t="str">
        <f t="shared" si="67"/>
        <v/>
      </c>
    </row>
    <row r="390" spans="1:16" ht="15" customHeight="1" x14ac:dyDescent="0.2">
      <c r="A390" s="243" t="str">
        <f>IFERROR(INDEX('All Ticker P&amp;L'!$A$2:$A$1001,MATCH(ROWS($A$2:A390),'All Ticker P&amp;L'!$N$2:$N$1001,0)),"")</f>
        <v/>
      </c>
      <c r="B390" s="243" t="str">
        <f t="shared" si="59"/>
        <v/>
      </c>
      <c r="C390" s="243" t="str">
        <f t="shared" si="60"/>
        <v/>
      </c>
      <c r="D390" s="243" t="str">
        <f t="shared" si="61"/>
        <v/>
      </c>
      <c r="E390" s="265" t="str">
        <f>IF($A390="","",SUMIFS(Txn[Signed Units],Txn[Key],$A390))</f>
        <v/>
      </c>
      <c r="F390" s="287" t="str">
        <f>IF($A390="","",SUMIFS(Txn[Buy Cost],Txn[Key],$A390))</f>
        <v/>
      </c>
      <c r="G390" s="287" t="str">
        <f>IF($A390="","",SUMIFS(Txn[Sell Proceeds],Txn[Key],$A390))</f>
        <v/>
      </c>
      <c r="H390" s="288" t="str">
        <f>IF($A390="","",IFERROR(INDEX(Prices[Current Price],MATCH($A390,Prices[Key],0)),0))</f>
        <v/>
      </c>
      <c r="I390" s="289" t="str">
        <f>IF($A390="","",IFERROR(INDEX(Prices[FX to SGD],MATCH($A390,Prices[Key],0)),1))</f>
        <v/>
      </c>
      <c r="J390" s="287" t="str">
        <f t="shared" si="62"/>
        <v/>
      </c>
      <c r="K390" s="287" t="str">
        <f t="shared" si="63"/>
        <v/>
      </c>
      <c r="L390" s="287" t="str">
        <f t="shared" si="64"/>
        <v/>
      </c>
      <c r="M390" s="290" t="str">
        <f t="shared" si="65"/>
        <v/>
      </c>
      <c r="N390" t="str">
        <f>IF($A390="","",IFERROR(INDEX(Prices[Category],MATCH($A390,Prices[Key],0)),"Uncategorized"))</f>
        <v/>
      </c>
      <c r="O390" s="291" t="str">
        <f t="shared" si="66"/>
        <v/>
      </c>
      <c r="P390" s="291" t="str">
        <f t="shared" si="67"/>
        <v/>
      </c>
    </row>
    <row r="391" spans="1:16" ht="15" customHeight="1" x14ac:dyDescent="0.2">
      <c r="A391" s="243" t="str">
        <f>IFERROR(INDEX('All Ticker P&amp;L'!$A$2:$A$1001,MATCH(ROWS($A$2:A391),'All Ticker P&amp;L'!$N$2:$N$1001,0)),"")</f>
        <v/>
      </c>
      <c r="B391" s="243" t="str">
        <f t="shared" si="59"/>
        <v/>
      </c>
      <c r="C391" s="243" t="str">
        <f t="shared" si="60"/>
        <v/>
      </c>
      <c r="D391" s="243" t="str">
        <f t="shared" si="61"/>
        <v/>
      </c>
      <c r="E391" s="265" t="str">
        <f>IF($A391="","",SUMIFS(Txn[Signed Units],Txn[Key],$A391))</f>
        <v/>
      </c>
      <c r="F391" s="287" t="str">
        <f>IF($A391="","",SUMIFS(Txn[Buy Cost],Txn[Key],$A391))</f>
        <v/>
      </c>
      <c r="G391" s="287" t="str">
        <f>IF($A391="","",SUMIFS(Txn[Sell Proceeds],Txn[Key],$A391))</f>
        <v/>
      </c>
      <c r="H391" s="288" t="str">
        <f>IF($A391="","",IFERROR(INDEX(Prices[Current Price],MATCH($A391,Prices[Key],0)),0))</f>
        <v/>
      </c>
      <c r="I391" s="289" t="str">
        <f>IF($A391="","",IFERROR(INDEX(Prices[FX to SGD],MATCH($A391,Prices[Key],0)),1))</f>
        <v/>
      </c>
      <c r="J391" s="287" t="str">
        <f t="shared" si="62"/>
        <v/>
      </c>
      <c r="K391" s="287" t="str">
        <f t="shared" si="63"/>
        <v/>
      </c>
      <c r="L391" s="287" t="str">
        <f t="shared" si="64"/>
        <v/>
      </c>
      <c r="M391" s="290" t="str">
        <f t="shared" si="65"/>
        <v/>
      </c>
      <c r="N391" t="str">
        <f>IF($A391="","",IFERROR(INDEX(Prices[Category],MATCH($A391,Prices[Key],0)),"Uncategorized"))</f>
        <v/>
      </c>
      <c r="O391" s="291" t="str">
        <f t="shared" si="66"/>
        <v/>
      </c>
      <c r="P391" s="291" t="str">
        <f t="shared" si="67"/>
        <v/>
      </c>
    </row>
    <row r="392" spans="1:16" ht="15" customHeight="1" x14ac:dyDescent="0.2">
      <c r="A392" s="243" t="str">
        <f>IFERROR(INDEX('All Ticker P&amp;L'!$A$2:$A$1001,MATCH(ROWS($A$2:A392),'All Ticker P&amp;L'!$N$2:$N$1001,0)),"")</f>
        <v/>
      </c>
      <c r="B392" s="243" t="str">
        <f t="shared" si="59"/>
        <v/>
      </c>
      <c r="C392" s="243" t="str">
        <f t="shared" si="60"/>
        <v/>
      </c>
      <c r="D392" s="243" t="str">
        <f t="shared" si="61"/>
        <v/>
      </c>
      <c r="E392" s="265" t="str">
        <f>IF($A392="","",SUMIFS(Txn[Signed Units],Txn[Key],$A392))</f>
        <v/>
      </c>
      <c r="F392" s="287" t="str">
        <f>IF($A392="","",SUMIFS(Txn[Buy Cost],Txn[Key],$A392))</f>
        <v/>
      </c>
      <c r="G392" s="287" t="str">
        <f>IF($A392="","",SUMIFS(Txn[Sell Proceeds],Txn[Key],$A392))</f>
        <v/>
      </c>
      <c r="H392" s="288" t="str">
        <f>IF($A392="","",IFERROR(INDEX(Prices[Current Price],MATCH($A392,Prices[Key],0)),0))</f>
        <v/>
      </c>
      <c r="I392" s="289" t="str">
        <f>IF($A392="","",IFERROR(INDEX(Prices[FX to SGD],MATCH($A392,Prices[Key],0)),1))</f>
        <v/>
      </c>
      <c r="J392" s="287" t="str">
        <f t="shared" si="62"/>
        <v/>
      </c>
      <c r="K392" s="287" t="str">
        <f t="shared" si="63"/>
        <v/>
      </c>
      <c r="L392" s="287" t="str">
        <f t="shared" si="64"/>
        <v/>
      </c>
      <c r="M392" s="290" t="str">
        <f t="shared" si="65"/>
        <v/>
      </c>
      <c r="N392" t="str">
        <f>IF($A392="","",IFERROR(INDEX(Prices[Category],MATCH($A392,Prices[Key],0)),"Uncategorized"))</f>
        <v/>
      </c>
      <c r="O392" s="291" t="str">
        <f t="shared" si="66"/>
        <v/>
      </c>
      <c r="P392" s="291" t="str">
        <f t="shared" si="67"/>
        <v/>
      </c>
    </row>
    <row r="393" spans="1:16" ht="15" customHeight="1" x14ac:dyDescent="0.2">
      <c r="A393" s="243" t="str">
        <f>IFERROR(INDEX('All Ticker P&amp;L'!$A$2:$A$1001,MATCH(ROWS($A$2:A393),'All Ticker P&amp;L'!$N$2:$N$1001,0)),"")</f>
        <v/>
      </c>
      <c r="B393" s="243" t="str">
        <f t="shared" si="59"/>
        <v/>
      </c>
      <c r="C393" s="243" t="str">
        <f t="shared" si="60"/>
        <v/>
      </c>
      <c r="D393" s="243" t="str">
        <f t="shared" si="61"/>
        <v/>
      </c>
      <c r="E393" s="265" t="str">
        <f>IF($A393="","",SUMIFS(Txn[Signed Units],Txn[Key],$A393))</f>
        <v/>
      </c>
      <c r="F393" s="287" t="str">
        <f>IF($A393="","",SUMIFS(Txn[Buy Cost],Txn[Key],$A393))</f>
        <v/>
      </c>
      <c r="G393" s="287" t="str">
        <f>IF($A393="","",SUMIFS(Txn[Sell Proceeds],Txn[Key],$A393))</f>
        <v/>
      </c>
      <c r="H393" s="288" t="str">
        <f>IF($A393="","",IFERROR(INDEX(Prices[Current Price],MATCH($A393,Prices[Key],0)),0))</f>
        <v/>
      </c>
      <c r="I393" s="289" t="str">
        <f>IF($A393="","",IFERROR(INDEX(Prices[FX to SGD],MATCH($A393,Prices[Key],0)),1))</f>
        <v/>
      </c>
      <c r="J393" s="287" t="str">
        <f t="shared" si="62"/>
        <v/>
      </c>
      <c r="K393" s="287" t="str">
        <f t="shared" si="63"/>
        <v/>
      </c>
      <c r="L393" s="287" t="str">
        <f t="shared" si="64"/>
        <v/>
      </c>
      <c r="M393" s="290" t="str">
        <f t="shared" si="65"/>
        <v/>
      </c>
      <c r="N393" t="str">
        <f>IF($A393="","",IFERROR(INDEX(Prices[Category],MATCH($A393,Prices[Key],0)),"Uncategorized"))</f>
        <v/>
      </c>
      <c r="O393" s="291" t="str">
        <f t="shared" si="66"/>
        <v/>
      </c>
      <c r="P393" s="291" t="str">
        <f t="shared" si="67"/>
        <v/>
      </c>
    </row>
    <row r="394" spans="1:16" ht="15" customHeight="1" x14ac:dyDescent="0.2">
      <c r="A394" s="243" t="str">
        <f>IFERROR(INDEX('All Ticker P&amp;L'!$A$2:$A$1001,MATCH(ROWS($A$2:A394),'All Ticker P&amp;L'!$N$2:$N$1001,0)),"")</f>
        <v/>
      </c>
      <c r="B394" s="243" t="str">
        <f t="shared" si="59"/>
        <v/>
      </c>
      <c r="C394" s="243" t="str">
        <f t="shared" si="60"/>
        <v/>
      </c>
      <c r="D394" s="243" t="str">
        <f t="shared" si="61"/>
        <v/>
      </c>
      <c r="E394" s="265" t="str">
        <f>IF($A394="","",SUMIFS(Txn[Signed Units],Txn[Key],$A394))</f>
        <v/>
      </c>
      <c r="F394" s="287" t="str">
        <f>IF($A394="","",SUMIFS(Txn[Buy Cost],Txn[Key],$A394))</f>
        <v/>
      </c>
      <c r="G394" s="287" t="str">
        <f>IF($A394="","",SUMIFS(Txn[Sell Proceeds],Txn[Key],$A394))</f>
        <v/>
      </c>
      <c r="H394" s="288" t="str">
        <f>IF($A394="","",IFERROR(INDEX(Prices[Current Price],MATCH($A394,Prices[Key],0)),0))</f>
        <v/>
      </c>
      <c r="I394" s="289" t="str">
        <f>IF($A394="","",IFERROR(INDEX(Prices[FX to SGD],MATCH($A394,Prices[Key],0)),1))</f>
        <v/>
      </c>
      <c r="J394" s="287" t="str">
        <f t="shared" si="62"/>
        <v/>
      </c>
      <c r="K394" s="287" t="str">
        <f t="shared" si="63"/>
        <v/>
      </c>
      <c r="L394" s="287" t="str">
        <f t="shared" si="64"/>
        <v/>
      </c>
      <c r="M394" s="290" t="str">
        <f t="shared" si="65"/>
        <v/>
      </c>
      <c r="N394" t="str">
        <f>IF($A394="","",IFERROR(INDEX(Prices[Category],MATCH($A394,Prices[Key],0)),"Uncategorized"))</f>
        <v/>
      </c>
      <c r="O394" s="291" t="str">
        <f t="shared" si="66"/>
        <v/>
      </c>
      <c r="P394" s="291" t="str">
        <f t="shared" si="67"/>
        <v/>
      </c>
    </row>
    <row r="395" spans="1:16" ht="15" customHeight="1" x14ac:dyDescent="0.2">
      <c r="A395" s="243" t="str">
        <f>IFERROR(INDEX('All Ticker P&amp;L'!$A$2:$A$1001,MATCH(ROWS($A$2:A395),'All Ticker P&amp;L'!$N$2:$N$1001,0)),"")</f>
        <v/>
      </c>
      <c r="B395" s="243" t="str">
        <f t="shared" si="59"/>
        <v/>
      </c>
      <c r="C395" s="243" t="str">
        <f t="shared" si="60"/>
        <v/>
      </c>
      <c r="D395" s="243" t="str">
        <f t="shared" si="61"/>
        <v/>
      </c>
      <c r="E395" s="265" t="str">
        <f>IF($A395="","",SUMIFS(Txn[Signed Units],Txn[Key],$A395))</f>
        <v/>
      </c>
      <c r="F395" s="287" t="str">
        <f>IF($A395="","",SUMIFS(Txn[Buy Cost],Txn[Key],$A395))</f>
        <v/>
      </c>
      <c r="G395" s="287" t="str">
        <f>IF($A395="","",SUMIFS(Txn[Sell Proceeds],Txn[Key],$A395))</f>
        <v/>
      </c>
      <c r="H395" s="288" t="str">
        <f>IF($A395="","",IFERROR(INDEX(Prices[Current Price],MATCH($A395,Prices[Key],0)),0))</f>
        <v/>
      </c>
      <c r="I395" s="289" t="str">
        <f>IF($A395="","",IFERROR(INDEX(Prices[FX to SGD],MATCH($A395,Prices[Key],0)),1))</f>
        <v/>
      </c>
      <c r="J395" s="287" t="str">
        <f t="shared" si="62"/>
        <v/>
      </c>
      <c r="K395" s="287" t="str">
        <f t="shared" si="63"/>
        <v/>
      </c>
      <c r="L395" s="287" t="str">
        <f t="shared" si="64"/>
        <v/>
      </c>
      <c r="M395" s="290" t="str">
        <f t="shared" si="65"/>
        <v/>
      </c>
      <c r="N395" t="str">
        <f>IF($A395="","",IFERROR(INDEX(Prices[Category],MATCH($A395,Prices[Key],0)),"Uncategorized"))</f>
        <v/>
      </c>
      <c r="O395" s="291" t="str">
        <f t="shared" si="66"/>
        <v/>
      </c>
      <c r="P395" s="291" t="str">
        <f t="shared" si="67"/>
        <v/>
      </c>
    </row>
    <row r="396" spans="1:16" ht="15" customHeight="1" x14ac:dyDescent="0.2">
      <c r="A396" s="243" t="str">
        <f>IFERROR(INDEX('All Ticker P&amp;L'!$A$2:$A$1001,MATCH(ROWS($A$2:A396),'All Ticker P&amp;L'!$N$2:$N$1001,0)),"")</f>
        <v/>
      </c>
      <c r="B396" s="243" t="str">
        <f t="shared" si="59"/>
        <v/>
      </c>
      <c r="C396" s="243" t="str">
        <f t="shared" si="60"/>
        <v/>
      </c>
      <c r="D396" s="243" t="str">
        <f t="shared" si="61"/>
        <v/>
      </c>
      <c r="E396" s="265" t="str">
        <f>IF($A396="","",SUMIFS(Txn[Signed Units],Txn[Key],$A396))</f>
        <v/>
      </c>
      <c r="F396" s="287" t="str">
        <f>IF($A396="","",SUMIFS(Txn[Buy Cost],Txn[Key],$A396))</f>
        <v/>
      </c>
      <c r="G396" s="287" t="str">
        <f>IF($A396="","",SUMIFS(Txn[Sell Proceeds],Txn[Key],$A396))</f>
        <v/>
      </c>
      <c r="H396" s="288" t="str">
        <f>IF($A396="","",IFERROR(INDEX(Prices[Current Price],MATCH($A396,Prices[Key],0)),0))</f>
        <v/>
      </c>
      <c r="I396" s="289" t="str">
        <f>IF($A396="","",IFERROR(INDEX(Prices[FX to SGD],MATCH($A396,Prices[Key],0)),1))</f>
        <v/>
      </c>
      <c r="J396" s="287" t="str">
        <f t="shared" si="62"/>
        <v/>
      </c>
      <c r="K396" s="287" t="str">
        <f t="shared" si="63"/>
        <v/>
      </c>
      <c r="L396" s="287" t="str">
        <f t="shared" si="64"/>
        <v/>
      </c>
      <c r="M396" s="290" t="str">
        <f t="shared" si="65"/>
        <v/>
      </c>
      <c r="N396" t="str">
        <f>IF($A396="","",IFERROR(INDEX(Prices[Category],MATCH($A396,Prices[Key],0)),"Uncategorized"))</f>
        <v/>
      </c>
      <c r="O396" s="291" t="str">
        <f t="shared" si="66"/>
        <v/>
      </c>
      <c r="P396" s="291" t="str">
        <f t="shared" si="67"/>
        <v/>
      </c>
    </row>
    <row r="397" spans="1:16" ht="15" customHeight="1" x14ac:dyDescent="0.2">
      <c r="A397" s="243" t="str">
        <f>IFERROR(INDEX('All Ticker P&amp;L'!$A$2:$A$1001,MATCH(ROWS($A$2:A397),'All Ticker P&amp;L'!$N$2:$N$1001,0)),"")</f>
        <v/>
      </c>
      <c r="B397" s="243" t="str">
        <f t="shared" si="59"/>
        <v/>
      </c>
      <c r="C397" s="243" t="str">
        <f t="shared" si="60"/>
        <v/>
      </c>
      <c r="D397" s="243" t="str">
        <f t="shared" si="61"/>
        <v/>
      </c>
      <c r="E397" s="265" t="str">
        <f>IF($A397="","",SUMIFS(Txn[Signed Units],Txn[Key],$A397))</f>
        <v/>
      </c>
      <c r="F397" s="287" t="str">
        <f>IF($A397="","",SUMIFS(Txn[Buy Cost],Txn[Key],$A397))</f>
        <v/>
      </c>
      <c r="G397" s="287" t="str">
        <f>IF($A397="","",SUMIFS(Txn[Sell Proceeds],Txn[Key],$A397))</f>
        <v/>
      </c>
      <c r="H397" s="288" t="str">
        <f>IF($A397="","",IFERROR(INDEX(Prices[Current Price],MATCH($A397,Prices[Key],0)),0))</f>
        <v/>
      </c>
      <c r="I397" s="289" t="str">
        <f>IF($A397="","",IFERROR(INDEX(Prices[FX to SGD],MATCH($A397,Prices[Key],0)),1))</f>
        <v/>
      </c>
      <c r="J397" s="287" t="str">
        <f t="shared" si="62"/>
        <v/>
      </c>
      <c r="K397" s="287" t="str">
        <f t="shared" si="63"/>
        <v/>
      </c>
      <c r="L397" s="287" t="str">
        <f t="shared" si="64"/>
        <v/>
      </c>
      <c r="M397" s="290" t="str">
        <f t="shared" si="65"/>
        <v/>
      </c>
      <c r="N397" t="str">
        <f>IF($A397="","",IFERROR(INDEX(Prices[Category],MATCH($A397,Prices[Key],0)),"Uncategorized"))</f>
        <v/>
      </c>
      <c r="O397" s="291" t="str">
        <f t="shared" si="66"/>
        <v/>
      </c>
      <c r="P397" s="291" t="str">
        <f t="shared" si="67"/>
        <v/>
      </c>
    </row>
    <row r="398" spans="1:16" ht="15" customHeight="1" x14ac:dyDescent="0.2">
      <c r="A398" s="243" t="str">
        <f>IFERROR(INDEX('All Ticker P&amp;L'!$A$2:$A$1001,MATCH(ROWS($A$2:A398),'All Ticker P&amp;L'!$N$2:$N$1001,0)),"")</f>
        <v/>
      </c>
      <c r="B398" s="243" t="str">
        <f t="shared" si="59"/>
        <v/>
      </c>
      <c r="C398" s="243" t="str">
        <f t="shared" si="60"/>
        <v/>
      </c>
      <c r="D398" s="243" t="str">
        <f t="shared" si="61"/>
        <v/>
      </c>
      <c r="E398" s="265" t="str">
        <f>IF($A398="","",SUMIFS(Txn[Signed Units],Txn[Key],$A398))</f>
        <v/>
      </c>
      <c r="F398" s="287" t="str">
        <f>IF($A398="","",SUMIFS(Txn[Buy Cost],Txn[Key],$A398))</f>
        <v/>
      </c>
      <c r="G398" s="287" t="str">
        <f>IF($A398="","",SUMIFS(Txn[Sell Proceeds],Txn[Key],$A398))</f>
        <v/>
      </c>
      <c r="H398" s="288" t="str">
        <f>IF($A398="","",IFERROR(INDEX(Prices[Current Price],MATCH($A398,Prices[Key],0)),0))</f>
        <v/>
      </c>
      <c r="I398" s="289" t="str">
        <f>IF($A398="","",IFERROR(INDEX(Prices[FX to SGD],MATCH($A398,Prices[Key],0)),1))</f>
        <v/>
      </c>
      <c r="J398" s="287" t="str">
        <f t="shared" si="62"/>
        <v/>
      </c>
      <c r="K398" s="287" t="str">
        <f t="shared" si="63"/>
        <v/>
      </c>
      <c r="L398" s="287" t="str">
        <f t="shared" si="64"/>
        <v/>
      </c>
      <c r="M398" s="290" t="str">
        <f t="shared" si="65"/>
        <v/>
      </c>
      <c r="N398" t="str">
        <f>IF($A398="","",IFERROR(INDEX(Prices[Category],MATCH($A398,Prices[Key],0)),"Uncategorized"))</f>
        <v/>
      </c>
      <c r="O398" s="291" t="str">
        <f t="shared" si="66"/>
        <v/>
      </c>
      <c r="P398" s="291" t="str">
        <f t="shared" si="67"/>
        <v/>
      </c>
    </row>
    <row r="399" spans="1:16" ht="15" customHeight="1" x14ac:dyDescent="0.2">
      <c r="A399" s="243" t="str">
        <f>IFERROR(INDEX('All Ticker P&amp;L'!$A$2:$A$1001,MATCH(ROWS($A$2:A399),'All Ticker P&amp;L'!$N$2:$N$1001,0)),"")</f>
        <v/>
      </c>
      <c r="B399" s="243" t="str">
        <f t="shared" si="59"/>
        <v/>
      </c>
      <c r="C399" s="243" t="str">
        <f t="shared" si="60"/>
        <v/>
      </c>
      <c r="D399" s="243" t="str">
        <f t="shared" si="61"/>
        <v/>
      </c>
      <c r="E399" s="265" t="str">
        <f>IF($A399="","",SUMIFS(Txn[Signed Units],Txn[Key],$A399))</f>
        <v/>
      </c>
      <c r="F399" s="287" t="str">
        <f>IF($A399="","",SUMIFS(Txn[Buy Cost],Txn[Key],$A399))</f>
        <v/>
      </c>
      <c r="G399" s="287" t="str">
        <f>IF($A399="","",SUMIFS(Txn[Sell Proceeds],Txn[Key],$A399))</f>
        <v/>
      </c>
      <c r="H399" s="288" t="str">
        <f>IF($A399="","",IFERROR(INDEX(Prices[Current Price],MATCH($A399,Prices[Key],0)),0))</f>
        <v/>
      </c>
      <c r="I399" s="289" t="str">
        <f>IF($A399="","",IFERROR(INDEX(Prices[FX to SGD],MATCH($A399,Prices[Key],0)),1))</f>
        <v/>
      </c>
      <c r="J399" s="287" t="str">
        <f t="shared" si="62"/>
        <v/>
      </c>
      <c r="K399" s="287" t="str">
        <f t="shared" si="63"/>
        <v/>
      </c>
      <c r="L399" s="287" t="str">
        <f t="shared" si="64"/>
        <v/>
      </c>
      <c r="M399" s="290" t="str">
        <f t="shared" si="65"/>
        <v/>
      </c>
      <c r="N399" t="str">
        <f>IF($A399="","",IFERROR(INDEX(Prices[Category],MATCH($A399,Prices[Key],0)),"Uncategorized"))</f>
        <v/>
      </c>
      <c r="O399" s="291" t="str">
        <f t="shared" si="66"/>
        <v/>
      </c>
      <c r="P399" s="291" t="str">
        <f t="shared" si="67"/>
        <v/>
      </c>
    </row>
    <row r="400" spans="1:16" ht="15" customHeight="1" x14ac:dyDescent="0.2">
      <c r="A400" s="243" t="str">
        <f>IFERROR(INDEX('All Ticker P&amp;L'!$A$2:$A$1001,MATCH(ROWS($A$2:A400),'All Ticker P&amp;L'!$N$2:$N$1001,0)),"")</f>
        <v/>
      </c>
      <c r="B400" s="243" t="str">
        <f t="shared" si="59"/>
        <v/>
      </c>
      <c r="C400" s="243" t="str">
        <f t="shared" si="60"/>
        <v/>
      </c>
      <c r="D400" s="243" t="str">
        <f t="shared" si="61"/>
        <v/>
      </c>
      <c r="E400" s="265" t="str">
        <f>IF($A400="","",SUMIFS(Txn[Signed Units],Txn[Key],$A400))</f>
        <v/>
      </c>
      <c r="F400" s="287" t="str">
        <f>IF($A400="","",SUMIFS(Txn[Buy Cost],Txn[Key],$A400))</f>
        <v/>
      </c>
      <c r="G400" s="287" t="str">
        <f>IF($A400="","",SUMIFS(Txn[Sell Proceeds],Txn[Key],$A400))</f>
        <v/>
      </c>
      <c r="H400" s="288" t="str">
        <f>IF($A400="","",IFERROR(INDEX(Prices[Current Price],MATCH($A400,Prices[Key],0)),0))</f>
        <v/>
      </c>
      <c r="I400" s="289" t="str">
        <f>IF($A400="","",IFERROR(INDEX(Prices[FX to SGD],MATCH($A400,Prices[Key],0)),1))</f>
        <v/>
      </c>
      <c r="J400" s="287" t="str">
        <f t="shared" si="62"/>
        <v/>
      </c>
      <c r="K400" s="287" t="str">
        <f t="shared" si="63"/>
        <v/>
      </c>
      <c r="L400" s="287" t="str">
        <f t="shared" si="64"/>
        <v/>
      </c>
      <c r="M400" s="290" t="str">
        <f t="shared" si="65"/>
        <v/>
      </c>
      <c r="N400" t="str">
        <f>IF($A400="","",IFERROR(INDEX(Prices[Category],MATCH($A400,Prices[Key],0)),"Uncategorized"))</f>
        <v/>
      </c>
      <c r="O400" s="291" t="str">
        <f t="shared" si="66"/>
        <v/>
      </c>
      <c r="P400" s="291" t="str">
        <f t="shared" si="67"/>
        <v/>
      </c>
    </row>
    <row r="401" spans="1:16" ht="15" customHeight="1" x14ac:dyDescent="0.2">
      <c r="A401" s="243" t="str">
        <f>IFERROR(INDEX('All Ticker P&amp;L'!$A$2:$A$1001,MATCH(ROWS($A$2:A401),'All Ticker P&amp;L'!$N$2:$N$1001,0)),"")</f>
        <v/>
      </c>
      <c r="B401" s="243" t="str">
        <f t="shared" si="59"/>
        <v/>
      </c>
      <c r="C401" s="243" t="str">
        <f t="shared" si="60"/>
        <v/>
      </c>
      <c r="D401" s="243" t="str">
        <f t="shared" si="61"/>
        <v/>
      </c>
      <c r="E401" s="265" t="str">
        <f>IF($A401="","",SUMIFS(Txn[Signed Units],Txn[Key],$A401))</f>
        <v/>
      </c>
      <c r="F401" s="287" t="str">
        <f>IF($A401="","",SUMIFS(Txn[Buy Cost],Txn[Key],$A401))</f>
        <v/>
      </c>
      <c r="G401" s="287" t="str">
        <f>IF($A401="","",SUMIFS(Txn[Sell Proceeds],Txn[Key],$A401))</f>
        <v/>
      </c>
      <c r="H401" s="288" t="str">
        <f>IF($A401="","",IFERROR(INDEX(Prices[Current Price],MATCH($A401,Prices[Key],0)),0))</f>
        <v/>
      </c>
      <c r="I401" s="289" t="str">
        <f>IF($A401="","",IFERROR(INDEX(Prices[FX to SGD],MATCH($A401,Prices[Key],0)),1))</f>
        <v/>
      </c>
      <c r="J401" s="287" t="str">
        <f t="shared" si="62"/>
        <v/>
      </c>
      <c r="K401" s="287" t="str">
        <f t="shared" si="63"/>
        <v/>
      </c>
      <c r="L401" s="287" t="str">
        <f t="shared" si="64"/>
        <v/>
      </c>
      <c r="M401" s="290" t="str">
        <f t="shared" si="65"/>
        <v/>
      </c>
      <c r="N401" t="str">
        <f>IF($A401="","",IFERROR(INDEX(Prices[Category],MATCH($A401,Prices[Key],0)),"Uncategorized"))</f>
        <v/>
      </c>
      <c r="O401" s="291" t="str">
        <f t="shared" si="66"/>
        <v/>
      </c>
      <c r="P401" s="291" t="str">
        <f t="shared" si="67"/>
        <v/>
      </c>
    </row>
    <row r="402" spans="1:16" ht="15" customHeight="1" x14ac:dyDescent="0.2">
      <c r="A402" s="243" t="str">
        <f>IFERROR(INDEX('All Ticker P&amp;L'!$A$2:$A$1001,MATCH(ROWS($A$2:A402),'All Ticker P&amp;L'!$N$2:$N$1001,0)),"")</f>
        <v/>
      </c>
      <c r="B402" s="243" t="str">
        <f t="shared" si="59"/>
        <v/>
      </c>
      <c r="C402" s="243" t="str">
        <f t="shared" si="60"/>
        <v/>
      </c>
      <c r="D402" s="243" t="str">
        <f t="shared" si="61"/>
        <v/>
      </c>
      <c r="E402" s="265" t="str">
        <f>IF($A402="","",SUMIFS(Txn[Signed Units],Txn[Key],$A402))</f>
        <v/>
      </c>
      <c r="F402" s="287" t="str">
        <f>IF($A402="","",SUMIFS(Txn[Buy Cost],Txn[Key],$A402))</f>
        <v/>
      </c>
      <c r="G402" s="287" t="str">
        <f>IF($A402="","",SUMIFS(Txn[Sell Proceeds],Txn[Key],$A402))</f>
        <v/>
      </c>
      <c r="H402" s="288" t="str">
        <f>IF($A402="","",IFERROR(INDEX(Prices[Current Price],MATCH($A402,Prices[Key],0)),0))</f>
        <v/>
      </c>
      <c r="I402" s="289" t="str">
        <f>IF($A402="","",IFERROR(INDEX(Prices[FX to SGD],MATCH($A402,Prices[Key],0)),1))</f>
        <v/>
      </c>
      <c r="J402" s="287" t="str">
        <f t="shared" si="62"/>
        <v/>
      </c>
      <c r="K402" s="287" t="str">
        <f t="shared" si="63"/>
        <v/>
      </c>
      <c r="L402" s="287" t="str">
        <f t="shared" si="64"/>
        <v/>
      </c>
      <c r="M402" s="290" t="str">
        <f t="shared" si="65"/>
        <v/>
      </c>
      <c r="N402" t="str">
        <f>IF($A402="","",IFERROR(INDEX(Prices[Category],MATCH($A402,Prices[Key],0)),"Uncategorized"))</f>
        <v/>
      </c>
      <c r="O402" s="291" t="str">
        <f t="shared" si="66"/>
        <v/>
      </c>
      <c r="P402" s="291" t="str">
        <f t="shared" si="67"/>
        <v/>
      </c>
    </row>
    <row r="403" spans="1:16" ht="15" customHeight="1" x14ac:dyDescent="0.2">
      <c r="A403" s="243" t="str">
        <f>IFERROR(INDEX('All Ticker P&amp;L'!$A$2:$A$1001,MATCH(ROWS($A$2:A403),'All Ticker P&amp;L'!$N$2:$N$1001,0)),"")</f>
        <v/>
      </c>
      <c r="B403" s="243" t="str">
        <f t="shared" si="59"/>
        <v/>
      </c>
      <c r="C403" s="243" t="str">
        <f t="shared" si="60"/>
        <v/>
      </c>
      <c r="D403" s="243" t="str">
        <f t="shared" si="61"/>
        <v/>
      </c>
      <c r="E403" s="265" t="str">
        <f>IF($A403="","",SUMIFS(Txn[Signed Units],Txn[Key],$A403))</f>
        <v/>
      </c>
      <c r="F403" s="287" t="str">
        <f>IF($A403="","",SUMIFS(Txn[Buy Cost],Txn[Key],$A403))</f>
        <v/>
      </c>
      <c r="G403" s="287" t="str">
        <f>IF($A403="","",SUMIFS(Txn[Sell Proceeds],Txn[Key],$A403))</f>
        <v/>
      </c>
      <c r="H403" s="288" t="str">
        <f>IF($A403="","",IFERROR(INDEX(Prices[Current Price],MATCH($A403,Prices[Key],0)),0))</f>
        <v/>
      </c>
      <c r="I403" s="289" t="str">
        <f>IF($A403="","",IFERROR(INDEX(Prices[FX to SGD],MATCH($A403,Prices[Key],0)),1))</f>
        <v/>
      </c>
      <c r="J403" s="287" t="str">
        <f t="shared" si="62"/>
        <v/>
      </c>
      <c r="K403" s="287" t="str">
        <f t="shared" si="63"/>
        <v/>
      </c>
      <c r="L403" s="287" t="str">
        <f t="shared" si="64"/>
        <v/>
      </c>
      <c r="M403" s="290" t="str">
        <f t="shared" si="65"/>
        <v/>
      </c>
      <c r="N403" t="str">
        <f>IF($A403="","",IFERROR(INDEX(Prices[Category],MATCH($A403,Prices[Key],0)),"Uncategorized"))</f>
        <v/>
      </c>
      <c r="O403" s="291" t="str">
        <f t="shared" si="66"/>
        <v/>
      </c>
      <c r="P403" s="291" t="str">
        <f t="shared" si="67"/>
        <v/>
      </c>
    </row>
    <row r="404" spans="1:16" ht="15" customHeight="1" x14ac:dyDescent="0.2">
      <c r="A404" s="243" t="str">
        <f>IFERROR(INDEX('All Ticker P&amp;L'!$A$2:$A$1001,MATCH(ROWS($A$2:A404),'All Ticker P&amp;L'!$N$2:$N$1001,0)),"")</f>
        <v/>
      </c>
      <c r="B404" s="243" t="str">
        <f t="shared" si="59"/>
        <v/>
      </c>
      <c r="C404" s="243" t="str">
        <f t="shared" si="60"/>
        <v/>
      </c>
      <c r="D404" s="243" t="str">
        <f t="shared" si="61"/>
        <v/>
      </c>
      <c r="E404" s="265" t="str">
        <f>IF($A404="","",SUMIFS(Txn[Signed Units],Txn[Key],$A404))</f>
        <v/>
      </c>
      <c r="F404" s="287" t="str">
        <f>IF($A404="","",SUMIFS(Txn[Buy Cost],Txn[Key],$A404))</f>
        <v/>
      </c>
      <c r="G404" s="287" t="str">
        <f>IF($A404="","",SUMIFS(Txn[Sell Proceeds],Txn[Key],$A404))</f>
        <v/>
      </c>
      <c r="H404" s="288" t="str">
        <f>IF($A404="","",IFERROR(INDEX(Prices[Current Price],MATCH($A404,Prices[Key],0)),0))</f>
        <v/>
      </c>
      <c r="I404" s="289" t="str">
        <f>IF($A404="","",IFERROR(INDEX(Prices[FX to SGD],MATCH($A404,Prices[Key],0)),1))</f>
        <v/>
      </c>
      <c r="J404" s="287" t="str">
        <f t="shared" si="62"/>
        <v/>
      </c>
      <c r="K404" s="287" t="str">
        <f t="shared" si="63"/>
        <v/>
      </c>
      <c r="L404" s="287" t="str">
        <f t="shared" si="64"/>
        <v/>
      </c>
      <c r="M404" s="290" t="str">
        <f t="shared" si="65"/>
        <v/>
      </c>
      <c r="N404" t="str">
        <f>IF($A404="","",IFERROR(INDEX(Prices[Category],MATCH($A404,Prices[Key],0)),"Uncategorized"))</f>
        <v/>
      </c>
      <c r="O404" s="291" t="str">
        <f t="shared" si="66"/>
        <v/>
      </c>
      <c r="P404" s="291" t="str">
        <f t="shared" si="67"/>
        <v/>
      </c>
    </row>
    <row r="405" spans="1:16" ht="15" customHeight="1" x14ac:dyDescent="0.2">
      <c r="A405" s="243" t="str">
        <f>IFERROR(INDEX('All Ticker P&amp;L'!$A$2:$A$1001,MATCH(ROWS($A$2:A405),'All Ticker P&amp;L'!$N$2:$N$1001,0)),"")</f>
        <v/>
      </c>
      <c r="B405" s="243" t="str">
        <f t="shared" si="59"/>
        <v/>
      </c>
      <c r="C405" s="243" t="str">
        <f t="shared" si="60"/>
        <v/>
      </c>
      <c r="D405" s="243" t="str">
        <f t="shared" si="61"/>
        <v/>
      </c>
      <c r="E405" s="265" t="str">
        <f>IF($A405="","",SUMIFS(Txn[Signed Units],Txn[Key],$A405))</f>
        <v/>
      </c>
      <c r="F405" s="287" t="str">
        <f>IF($A405="","",SUMIFS(Txn[Buy Cost],Txn[Key],$A405))</f>
        <v/>
      </c>
      <c r="G405" s="287" t="str">
        <f>IF($A405="","",SUMIFS(Txn[Sell Proceeds],Txn[Key],$A405))</f>
        <v/>
      </c>
      <c r="H405" s="288" t="str">
        <f>IF($A405="","",IFERROR(INDEX(Prices[Current Price],MATCH($A405,Prices[Key],0)),0))</f>
        <v/>
      </c>
      <c r="I405" s="289" t="str">
        <f>IF($A405="","",IFERROR(INDEX(Prices[FX to SGD],MATCH($A405,Prices[Key],0)),1))</f>
        <v/>
      </c>
      <c r="J405" s="287" t="str">
        <f t="shared" si="62"/>
        <v/>
      </c>
      <c r="K405" s="287" t="str">
        <f t="shared" si="63"/>
        <v/>
      </c>
      <c r="L405" s="287" t="str">
        <f t="shared" si="64"/>
        <v/>
      </c>
      <c r="M405" s="290" t="str">
        <f t="shared" si="65"/>
        <v/>
      </c>
      <c r="N405" t="str">
        <f>IF($A405="","",IFERROR(INDEX(Prices[Category],MATCH($A405,Prices[Key],0)),"Uncategorized"))</f>
        <v/>
      </c>
      <c r="O405" s="291" t="str">
        <f t="shared" si="66"/>
        <v/>
      </c>
      <c r="P405" s="291" t="str">
        <f t="shared" si="67"/>
        <v/>
      </c>
    </row>
    <row r="406" spans="1:16" ht="15" customHeight="1" x14ac:dyDescent="0.2">
      <c r="A406" s="243" t="str">
        <f>IFERROR(INDEX('All Ticker P&amp;L'!$A$2:$A$1001,MATCH(ROWS($A$2:A406),'All Ticker P&amp;L'!$N$2:$N$1001,0)),"")</f>
        <v/>
      </c>
      <c r="B406" s="243" t="str">
        <f t="shared" si="59"/>
        <v/>
      </c>
      <c r="C406" s="243" t="str">
        <f t="shared" si="60"/>
        <v/>
      </c>
      <c r="D406" s="243" t="str">
        <f t="shared" si="61"/>
        <v/>
      </c>
      <c r="E406" s="265" t="str">
        <f>IF($A406="","",SUMIFS(Txn[Signed Units],Txn[Key],$A406))</f>
        <v/>
      </c>
      <c r="F406" s="287" t="str">
        <f>IF($A406="","",SUMIFS(Txn[Buy Cost],Txn[Key],$A406))</f>
        <v/>
      </c>
      <c r="G406" s="287" t="str">
        <f>IF($A406="","",SUMIFS(Txn[Sell Proceeds],Txn[Key],$A406))</f>
        <v/>
      </c>
      <c r="H406" s="288" t="str">
        <f>IF($A406="","",IFERROR(INDEX(Prices[Current Price],MATCH($A406,Prices[Key],0)),0))</f>
        <v/>
      </c>
      <c r="I406" s="289" t="str">
        <f>IF($A406="","",IFERROR(INDEX(Prices[FX to SGD],MATCH($A406,Prices[Key],0)),1))</f>
        <v/>
      </c>
      <c r="J406" s="287" t="str">
        <f t="shared" si="62"/>
        <v/>
      </c>
      <c r="K406" s="287" t="str">
        <f t="shared" si="63"/>
        <v/>
      </c>
      <c r="L406" s="287" t="str">
        <f t="shared" si="64"/>
        <v/>
      </c>
      <c r="M406" s="290" t="str">
        <f t="shared" si="65"/>
        <v/>
      </c>
      <c r="N406" t="str">
        <f>IF($A406="","",IFERROR(INDEX(Prices[Category],MATCH($A406,Prices[Key],0)),"Uncategorized"))</f>
        <v/>
      </c>
      <c r="O406" s="291" t="str">
        <f t="shared" si="66"/>
        <v/>
      </c>
      <c r="P406" s="291" t="str">
        <f t="shared" si="67"/>
        <v/>
      </c>
    </row>
    <row r="407" spans="1:16" ht="15" customHeight="1" x14ac:dyDescent="0.2">
      <c r="A407" s="243" t="str">
        <f>IFERROR(INDEX('All Ticker P&amp;L'!$A$2:$A$1001,MATCH(ROWS($A$2:A407),'All Ticker P&amp;L'!$N$2:$N$1001,0)),"")</f>
        <v/>
      </c>
      <c r="B407" s="243" t="str">
        <f t="shared" si="59"/>
        <v/>
      </c>
      <c r="C407" s="243" t="str">
        <f t="shared" si="60"/>
        <v/>
      </c>
      <c r="D407" s="243" t="str">
        <f t="shared" si="61"/>
        <v/>
      </c>
      <c r="E407" s="265" t="str">
        <f>IF($A407="","",SUMIFS(Txn[Signed Units],Txn[Key],$A407))</f>
        <v/>
      </c>
      <c r="F407" s="287" t="str">
        <f>IF($A407="","",SUMIFS(Txn[Buy Cost],Txn[Key],$A407))</f>
        <v/>
      </c>
      <c r="G407" s="287" t="str">
        <f>IF($A407="","",SUMIFS(Txn[Sell Proceeds],Txn[Key],$A407))</f>
        <v/>
      </c>
      <c r="H407" s="288" t="str">
        <f>IF($A407="","",IFERROR(INDEX(Prices[Current Price],MATCH($A407,Prices[Key],0)),0))</f>
        <v/>
      </c>
      <c r="I407" s="289" t="str">
        <f>IF($A407="","",IFERROR(INDEX(Prices[FX to SGD],MATCH($A407,Prices[Key],0)),1))</f>
        <v/>
      </c>
      <c r="J407" s="287" t="str">
        <f t="shared" si="62"/>
        <v/>
      </c>
      <c r="K407" s="287" t="str">
        <f t="shared" si="63"/>
        <v/>
      </c>
      <c r="L407" s="287" t="str">
        <f t="shared" si="64"/>
        <v/>
      </c>
      <c r="M407" s="290" t="str">
        <f t="shared" si="65"/>
        <v/>
      </c>
      <c r="N407" t="str">
        <f>IF($A407="","",IFERROR(INDEX(Prices[Category],MATCH($A407,Prices[Key],0)),"Uncategorized"))</f>
        <v/>
      </c>
      <c r="O407" s="291" t="str">
        <f t="shared" si="66"/>
        <v/>
      </c>
      <c r="P407" s="291" t="str">
        <f t="shared" si="67"/>
        <v/>
      </c>
    </row>
    <row r="408" spans="1:16" ht="15" customHeight="1" x14ac:dyDescent="0.2">
      <c r="A408" s="243" t="str">
        <f>IFERROR(INDEX('All Ticker P&amp;L'!$A$2:$A$1001,MATCH(ROWS($A$2:A408),'All Ticker P&amp;L'!$N$2:$N$1001,0)),"")</f>
        <v/>
      </c>
      <c r="B408" s="243" t="str">
        <f t="shared" si="59"/>
        <v/>
      </c>
      <c r="C408" s="243" t="str">
        <f t="shared" si="60"/>
        <v/>
      </c>
      <c r="D408" s="243" t="str">
        <f t="shared" si="61"/>
        <v/>
      </c>
      <c r="E408" s="265" t="str">
        <f>IF($A408="","",SUMIFS(Txn[Signed Units],Txn[Key],$A408))</f>
        <v/>
      </c>
      <c r="F408" s="287" t="str">
        <f>IF($A408="","",SUMIFS(Txn[Buy Cost],Txn[Key],$A408))</f>
        <v/>
      </c>
      <c r="G408" s="287" t="str">
        <f>IF($A408="","",SUMIFS(Txn[Sell Proceeds],Txn[Key],$A408))</f>
        <v/>
      </c>
      <c r="H408" s="288" t="str">
        <f>IF($A408="","",IFERROR(INDEX(Prices[Current Price],MATCH($A408,Prices[Key],0)),0))</f>
        <v/>
      </c>
      <c r="I408" s="289" t="str">
        <f>IF($A408="","",IFERROR(INDEX(Prices[FX to SGD],MATCH($A408,Prices[Key],0)),1))</f>
        <v/>
      </c>
      <c r="J408" s="287" t="str">
        <f t="shared" si="62"/>
        <v/>
      </c>
      <c r="K408" s="287" t="str">
        <f t="shared" si="63"/>
        <v/>
      </c>
      <c r="L408" s="287" t="str">
        <f t="shared" si="64"/>
        <v/>
      </c>
      <c r="M408" s="290" t="str">
        <f t="shared" si="65"/>
        <v/>
      </c>
      <c r="N408" t="str">
        <f>IF($A408="","",IFERROR(INDEX(Prices[Category],MATCH($A408,Prices[Key],0)),"Uncategorized"))</f>
        <v/>
      </c>
      <c r="O408" s="291" t="str">
        <f t="shared" si="66"/>
        <v/>
      </c>
      <c r="P408" s="291" t="str">
        <f t="shared" si="67"/>
        <v/>
      </c>
    </row>
    <row r="409" spans="1:16" ht="15" customHeight="1" x14ac:dyDescent="0.2">
      <c r="A409" s="243" t="str">
        <f>IFERROR(INDEX('All Ticker P&amp;L'!$A$2:$A$1001,MATCH(ROWS($A$2:A409),'All Ticker P&amp;L'!$N$2:$N$1001,0)),"")</f>
        <v/>
      </c>
      <c r="B409" s="243" t="str">
        <f t="shared" si="59"/>
        <v/>
      </c>
      <c r="C409" s="243" t="str">
        <f t="shared" si="60"/>
        <v/>
      </c>
      <c r="D409" s="243" t="str">
        <f t="shared" si="61"/>
        <v/>
      </c>
      <c r="E409" s="265" t="str">
        <f>IF($A409="","",SUMIFS(Txn[Signed Units],Txn[Key],$A409))</f>
        <v/>
      </c>
      <c r="F409" s="287" t="str">
        <f>IF($A409="","",SUMIFS(Txn[Buy Cost],Txn[Key],$A409))</f>
        <v/>
      </c>
      <c r="G409" s="287" t="str">
        <f>IF($A409="","",SUMIFS(Txn[Sell Proceeds],Txn[Key],$A409))</f>
        <v/>
      </c>
      <c r="H409" s="288" t="str">
        <f>IF($A409="","",IFERROR(INDEX(Prices[Current Price],MATCH($A409,Prices[Key],0)),0))</f>
        <v/>
      </c>
      <c r="I409" s="289" t="str">
        <f>IF($A409="","",IFERROR(INDEX(Prices[FX to SGD],MATCH($A409,Prices[Key],0)),1))</f>
        <v/>
      </c>
      <c r="J409" s="287" t="str">
        <f t="shared" si="62"/>
        <v/>
      </c>
      <c r="K409" s="287" t="str">
        <f t="shared" si="63"/>
        <v/>
      </c>
      <c r="L409" s="287" t="str">
        <f t="shared" si="64"/>
        <v/>
      </c>
      <c r="M409" s="290" t="str">
        <f t="shared" si="65"/>
        <v/>
      </c>
      <c r="N409" t="str">
        <f>IF($A409="","",IFERROR(INDEX(Prices[Category],MATCH($A409,Prices[Key],0)),"Uncategorized"))</f>
        <v/>
      </c>
      <c r="O409" s="291" t="str">
        <f t="shared" si="66"/>
        <v/>
      </c>
      <c r="P409" s="291" t="str">
        <f t="shared" si="67"/>
        <v/>
      </c>
    </row>
    <row r="410" spans="1:16" ht="15" customHeight="1" x14ac:dyDescent="0.2">
      <c r="A410" s="243" t="str">
        <f>IFERROR(INDEX('All Ticker P&amp;L'!$A$2:$A$1001,MATCH(ROWS($A$2:A410),'All Ticker P&amp;L'!$N$2:$N$1001,0)),"")</f>
        <v/>
      </c>
      <c r="B410" s="243" t="str">
        <f t="shared" si="59"/>
        <v/>
      </c>
      <c r="C410" s="243" t="str">
        <f t="shared" si="60"/>
        <v/>
      </c>
      <c r="D410" s="243" t="str">
        <f t="shared" si="61"/>
        <v/>
      </c>
      <c r="E410" s="265" t="str">
        <f>IF($A410="","",SUMIFS(Txn[Signed Units],Txn[Key],$A410))</f>
        <v/>
      </c>
      <c r="F410" s="287" t="str">
        <f>IF($A410="","",SUMIFS(Txn[Buy Cost],Txn[Key],$A410))</f>
        <v/>
      </c>
      <c r="G410" s="287" t="str">
        <f>IF($A410="","",SUMIFS(Txn[Sell Proceeds],Txn[Key],$A410))</f>
        <v/>
      </c>
      <c r="H410" s="288" t="str">
        <f>IF($A410="","",IFERROR(INDEX(Prices[Current Price],MATCH($A410,Prices[Key],0)),0))</f>
        <v/>
      </c>
      <c r="I410" s="289" t="str">
        <f>IF($A410="","",IFERROR(INDEX(Prices[FX to SGD],MATCH($A410,Prices[Key],0)),1))</f>
        <v/>
      </c>
      <c r="J410" s="287" t="str">
        <f t="shared" si="62"/>
        <v/>
      </c>
      <c r="K410" s="287" t="str">
        <f t="shared" si="63"/>
        <v/>
      </c>
      <c r="L410" s="287" t="str">
        <f t="shared" si="64"/>
        <v/>
      </c>
      <c r="M410" s="290" t="str">
        <f t="shared" si="65"/>
        <v/>
      </c>
      <c r="N410" t="str">
        <f>IF($A410="","",IFERROR(INDEX(Prices[Category],MATCH($A410,Prices[Key],0)),"Uncategorized"))</f>
        <v/>
      </c>
      <c r="O410" s="291" t="str">
        <f t="shared" si="66"/>
        <v/>
      </c>
      <c r="P410" s="291" t="str">
        <f t="shared" si="67"/>
        <v/>
      </c>
    </row>
    <row r="411" spans="1:16" ht="15" customHeight="1" x14ac:dyDescent="0.2">
      <c r="A411" s="243" t="str">
        <f>IFERROR(INDEX('All Ticker P&amp;L'!$A$2:$A$1001,MATCH(ROWS($A$2:A411),'All Ticker P&amp;L'!$N$2:$N$1001,0)),"")</f>
        <v/>
      </c>
      <c r="B411" s="243" t="str">
        <f t="shared" si="59"/>
        <v/>
      </c>
      <c r="C411" s="243" t="str">
        <f t="shared" si="60"/>
        <v/>
      </c>
      <c r="D411" s="243" t="str">
        <f t="shared" si="61"/>
        <v/>
      </c>
      <c r="E411" s="265" t="str">
        <f>IF($A411="","",SUMIFS(Txn[Signed Units],Txn[Key],$A411))</f>
        <v/>
      </c>
      <c r="F411" s="287" t="str">
        <f>IF($A411="","",SUMIFS(Txn[Buy Cost],Txn[Key],$A411))</f>
        <v/>
      </c>
      <c r="G411" s="287" t="str">
        <f>IF($A411="","",SUMIFS(Txn[Sell Proceeds],Txn[Key],$A411))</f>
        <v/>
      </c>
      <c r="H411" s="288" t="str">
        <f>IF($A411="","",IFERROR(INDEX(Prices[Current Price],MATCH($A411,Prices[Key],0)),0))</f>
        <v/>
      </c>
      <c r="I411" s="289" t="str">
        <f>IF($A411="","",IFERROR(INDEX(Prices[FX to SGD],MATCH($A411,Prices[Key],0)),1))</f>
        <v/>
      </c>
      <c r="J411" s="287" t="str">
        <f t="shared" si="62"/>
        <v/>
      </c>
      <c r="K411" s="287" t="str">
        <f t="shared" si="63"/>
        <v/>
      </c>
      <c r="L411" s="287" t="str">
        <f t="shared" si="64"/>
        <v/>
      </c>
      <c r="M411" s="290" t="str">
        <f t="shared" si="65"/>
        <v/>
      </c>
      <c r="N411" t="str">
        <f>IF($A411="","",IFERROR(INDEX(Prices[Category],MATCH($A411,Prices[Key],0)),"Uncategorized"))</f>
        <v/>
      </c>
      <c r="O411" s="291" t="str">
        <f t="shared" si="66"/>
        <v/>
      </c>
      <c r="P411" s="291" t="str">
        <f t="shared" si="67"/>
        <v/>
      </c>
    </row>
    <row r="412" spans="1:16" ht="15" customHeight="1" x14ac:dyDescent="0.2">
      <c r="A412" s="243" t="str">
        <f>IFERROR(INDEX('All Ticker P&amp;L'!$A$2:$A$1001,MATCH(ROWS($A$2:A412),'All Ticker P&amp;L'!$N$2:$N$1001,0)),"")</f>
        <v/>
      </c>
      <c r="B412" s="243" t="str">
        <f t="shared" si="59"/>
        <v/>
      </c>
      <c r="C412" s="243" t="str">
        <f t="shared" si="60"/>
        <v/>
      </c>
      <c r="D412" s="243" t="str">
        <f t="shared" si="61"/>
        <v/>
      </c>
      <c r="E412" s="265" t="str">
        <f>IF($A412="","",SUMIFS(Txn[Signed Units],Txn[Key],$A412))</f>
        <v/>
      </c>
      <c r="F412" s="287" t="str">
        <f>IF($A412="","",SUMIFS(Txn[Buy Cost],Txn[Key],$A412))</f>
        <v/>
      </c>
      <c r="G412" s="287" t="str">
        <f>IF($A412="","",SUMIFS(Txn[Sell Proceeds],Txn[Key],$A412))</f>
        <v/>
      </c>
      <c r="H412" s="288" t="str">
        <f>IF($A412="","",IFERROR(INDEX(Prices[Current Price],MATCH($A412,Prices[Key],0)),0))</f>
        <v/>
      </c>
      <c r="I412" s="289" t="str">
        <f>IF($A412="","",IFERROR(INDEX(Prices[FX to SGD],MATCH($A412,Prices[Key],0)),1))</f>
        <v/>
      </c>
      <c r="J412" s="287" t="str">
        <f t="shared" si="62"/>
        <v/>
      </c>
      <c r="K412" s="287" t="str">
        <f t="shared" si="63"/>
        <v/>
      </c>
      <c r="L412" s="287" t="str">
        <f t="shared" si="64"/>
        <v/>
      </c>
      <c r="M412" s="290" t="str">
        <f t="shared" si="65"/>
        <v/>
      </c>
      <c r="N412" t="str">
        <f>IF($A412="","",IFERROR(INDEX(Prices[Category],MATCH($A412,Prices[Key],0)),"Uncategorized"))</f>
        <v/>
      </c>
      <c r="O412" s="291" t="str">
        <f t="shared" si="66"/>
        <v/>
      </c>
      <c r="P412" s="291" t="str">
        <f t="shared" si="67"/>
        <v/>
      </c>
    </row>
    <row r="413" spans="1:16" ht="15" customHeight="1" x14ac:dyDescent="0.2">
      <c r="A413" s="243" t="str">
        <f>IFERROR(INDEX('All Ticker P&amp;L'!$A$2:$A$1001,MATCH(ROWS($A$2:A413),'All Ticker P&amp;L'!$N$2:$N$1001,0)),"")</f>
        <v/>
      </c>
      <c r="B413" s="243" t="str">
        <f t="shared" si="59"/>
        <v/>
      </c>
      <c r="C413" s="243" t="str">
        <f t="shared" si="60"/>
        <v/>
      </c>
      <c r="D413" s="243" t="str">
        <f t="shared" si="61"/>
        <v/>
      </c>
      <c r="E413" s="265" t="str">
        <f>IF($A413="","",SUMIFS(Txn[Signed Units],Txn[Key],$A413))</f>
        <v/>
      </c>
      <c r="F413" s="287" t="str">
        <f>IF($A413="","",SUMIFS(Txn[Buy Cost],Txn[Key],$A413))</f>
        <v/>
      </c>
      <c r="G413" s="287" t="str">
        <f>IF($A413="","",SUMIFS(Txn[Sell Proceeds],Txn[Key],$A413))</f>
        <v/>
      </c>
      <c r="H413" s="288" t="str">
        <f>IF($A413="","",IFERROR(INDEX(Prices[Current Price],MATCH($A413,Prices[Key],0)),0))</f>
        <v/>
      </c>
      <c r="I413" s="289" t="str">
        <f>IF($A413="","",IFERROR(INDEX(Prices[FX to SGD],MATCH($A413,Prices[Key],0)),1))</f>
        <v/>
      </c>
      <c r="J413" s="287" t="str">
        <f t="shared" si="62"/>
        <v/>
      </c>
      <c r="K413" s="287" t="str">
        <f t="shared" si="63"/>
        <v/>
      </c>
      <c r="L413" s="287" t="str">
        <f t="shared" si="64"/>
        <v/>
      </c>
      <c r="M413" s="290" t="str">
        <f t="shared" si="65"/>
        <v/>
      </c>
      <c r="N413" t="str">
        <f>IF($A413="","",IFERROR(INDEX(Prices[Category],MATCH($A413,Prices[Key],0)),"Uncategorized"))</f>
        <v/>
      </c>
      <c r="O413" s="291" t="str">
        <f t="shared" si="66"/>
        <v/>
      </c>
      <c r="P413" s="291" t="str">
        <f t="shared" si="67"/>
        <v/>
      </c>
    </row>
    <row r="414" spans="1:16" ht="15" customHeight="1" x14ac:dyDescent="0.2">
      <c r="A414" s="243" t="str">
        <f>IFERROR(INDEX('All Ticker P&amp;L'!$A$2:$A$1001,MATCH(ROWS($A$2:A414),'All Ticker P&amp;L'!$N$2:$N$1001,0)),"")</f>
        <v/>
      </c>
      <c r="B414" s="243" t="str">
        <f t="shared" si="59"/>
        <v/>
      </c>
      <c r="C414" s="243" t="str">
        <f t="shared" si="60"/>
        <v/>
      </c>
      <c r="D414" s="243" t="str">
        <f t="shared" si="61"/>
        <v/>
      </c>
      <c r="E414" s="265" t="str">
        <f>IF($A414="","",SUMIFS(Txn[Signed Units],Txn[Key],$A414))</f>
        <v/>
      </c>
      <c r="F414" s="287" t="str">
        <f>IF($A414="","",SUMIFS(Txn[Buy Cost],Txn[Key],$A414))</f>
        <v/>
      </c>
      <c r="G414" s="287" t="str">
        <f>IF($A414="","",SUMIFS(Txn[Sell Proceeds],Txn[Key],$A414))</f>
        <v/>
      </c>
      <c r="H414" s="288" t="str">
        <f>IF($A414="","",IFERROR(INDEX(Prices[Current Price],MATCH($A414,Prices[Key],0)),0))</f>
        <v/>
      </c>
      <c r="I414" s="289" t="str">
        <f>IF($A414="","",IFERROR(INDEX(Prices[FX to SGD],MATCH($A414,Prices[Key],0)),1))</f>
        <v/>
      </c>
      <c r="J414" s="287" t="str">
        <f t="shared" si="62"/>
        <v/>
      </c>
      <c r="K414" s="287" t="str">
        <f t="shared" si="63"/>
        <v/>
      </c>
      <c r="L414" s="287" t="str">
        <f t="shared" si="64"/>
        <v/>
      </c>
      <c r="M414" s="290" t="str">
        <f t="shared" si="65"/>
        <v/>
      </c>
      <c r="N414" t="str">
        <f>IF($A414="","",IFERROR(INDEX(Prices[Category],MATCH($A414,Prices[Key],0)),"Uncategorized"))</f>
        <v/>
      </c>
      <c r="O414" s="291" t="str">
        <f t="shared" si="66"/>
        <v/>
      </c>
      <c r="P414" s="291" t="str">
        <f t="shared" si="67"/>
        <v/>
      </c>
    </row>
    <row r="415" spans="1:16" ht="15" customHeight="1" x14ac:dyDescent="0.2">
      <c r="A415" s="243" t="str">
        <f>IFERROR(INDEX('All Ticker P&amp;L'!$A$2:$A$1001,MATCH(ROWS($A$2:A415),'All Ticker P&amp;L'!$N$2:$N$1001,0)),"")</f>
        <v/>
      </c>
      <c r="B415" s="243" t="str">
        <f t="shared" si="59"/>
        <v/>
      </c>
      <c r="C415" s="243" t="str">
        <f t="shared" si="60"/>
        <v/>
      </c>
      <c r="D415" s="243" t="str">
        <f t="shared" si="61"/>
        <v/>
      </c>
      <c r="E415" s="265" t="str">
        <f>IF($A415="","",SUMIFS(Txn[Signed Units],Txn[Key],$A415))</f>
        <v/>
      </c>
      <c r="F415" s="287" t="str">
        <f>IF($A415="","",SUMIFS(Txn[Buy Cost],Txn[Key],$A415))</f>
        <v/>
      </c>
      <c r="G415" s="287" t="str">
        <f>IF($A415="","",SUMIFS(Txn[Sell Proceeds],Txn[Key],$A415))</f>
        <v/>
      </c>
      <c r="H415" s="288" t="str">
        <f>IF($A415="","",IFERROR(INDEX(Prices[Current Price],MATCH($A415,Prices[Key],0)),0))</f>
        <v/>
      </c>
      <c r="I415" s="289" t="str">
        <f>IF($A415="","",IFERROR(INDEX(Prices[FX to SGD],MATCH($A415,Prices[Key],0)),1))</f>
        <v/>
      </c>
      <c r="J415" s="287" t="str">
        <f t="shared" si="62"/>
        <v/>
      </c>
      <c r="K415" s="287" t="str">
        <f t="shared" si="63"/>
        <v/>
      </c>
      <c r="L415" s="287" t="str">
        <f t="shared" si="64"/>
        <v/>
      </c>
      <c r="M415" s="290" t="str">
        <f t="shared" si="65"/>
        <v/>
      </c>
      <c r="N415" t="str">
        <f>IF($A415="","",IFERROR(INDEX(Prices[Category],MATCH($A415,Prices[Key],0)),"Uncategorized"))</f>
        <v/>
      </c>
      <c r="O415" s="291" t="str">
        <f t="shared" si="66"/>
        <v/>
      </c>
      <c r="P415" s="291" t="str">
        <f t="shared" si="67"/>
        <v/>
      </c>
    </row>
    <row r="416" spans="1:16" ht="15" customHeight="1" x14ac:dyDescent="0.2">
      <c r="A416" s="243" t="str">
        <f>IFERROR(INDEX('All Ticker P&amp;L'!$A$2:$A$1001,MATCH(ROWS($A$2:A416),'All Ticker P&amp;L'!$N$2:$N$1001,0)),"")</f>
        <v/>
      </c>
      <c r="B416" s="243" t="str">
        <f t="shared" si="59"/>
        <v/>
      </c>
      <c r="C416" s="243" t="str">
        <f t="shared" si="60"/>
        <v/>
      </c>
      <c r="D416" s="243" t="str">
        <f t="shared" si="61"/>
        <v/>
      </c>
      <c r="E416" s="265" t="str">
        <f>IF($A416="","",SUMIFS(Txn[Signed Units],Txn[Key],$A416))</f>
        <v/>
      </c>
      <c r="F416" s="287" t="str">
        <f>IF($A416="","",SUMIFS(Txn[Buy Cost],Txn[Key],$A416))</f>
        <v/>
      </c>
      <c r="G416" s="287" t="str">
        <f>IF($A416="","",SUMIFS(Txn[Sell Proceeds],Txn[Key],$A416))</f>
        <v/>
      </c>
      <c r="H416" s="288" t="str">
        <f>IF($A416="","",IFERROR(INDEX(Prices[Current Price],MATCH($A416,Prices[Key],0)),0))</f>
        <v/>
      </c>
      <c r="I416" s="289" t="str">
        <f>IF($A416="","",IFERROR(INDEX(Prices[FX to SGD],MATCH($A416,Prices[Key],0)),1))</f>
        <v/>
      </c>
      <c r="J416" s="287" t="str">
        <f t="shared" si="62"/>
        <v/>
      </c>
      <c r="K416" s="287" t="str">
        <f t="shared" si="63"/>
        <v/>
      </c>
      <c r="L416" s="287" t="str">
        <f t="shared" si="64"/>
        <v/>
      </c>
      <c r="M416" s="290" t="str">
        <f t="shared" si="65"/>
        <v/>
      </c>
      <c r="N416" t="str">
        <f>IF($A416="","",IFERROR(INDEX(Prices[Category],MATCH($A416,Prices[Key],0)),"Uncategorized"))</f>
        <v/>
      </c>
      <c r="O416" s="291" t="str">
        <f t="shared" si="66"/>
        <v/>
      </c>
      <c r="P416" s="291" t="str">
        <f t="shared" si="67"/>
        <v/>
      </c>
    </row>
    <row r="417" spans="1:16" ht="15" customHeight="1" x14ac:dyDescent="0.2">
      <c r="A417" s="243" t="str">
        <f>IFERROR(INDEX('All Ticker P&amp;L'!$A$2:$A$1001,MATCH(ROWS($A$2:A417),'All Ticker P&amp;L'!$N$2:$N$1001,0)),"")</f>
        <v/>
      </c>
      <c r="B417" s="243" t="str">
        <f t="shared" si="59"/>
        <v/>
      </c>
      <c r="C417" s="243" t="str">
        <f t="shared" si="60"/>
        <v/>
      </c>
      <c r="D417" s="243" t="str">
        <f t="shared" si="61"/>
        <v/>
      </c>
      <c r="E417" s="265" t="str">
        <f>IF($A417="","",SUMIFS(Txn[Signed Units],Txn[Key],$A417))</f>
        <v/>
      </c>
      <c r="F417" s="287" t="str">
        <f>IF($A417="","",SUMIFS(Txn[Buy Cost],Txn[Key],$A417))</f>
        <v/>
      </c>
      <c r="G417" s="287" t="str">
        <f>IF($A417="","",SUMIFS(Txn[Sell Proceeds],Txn[Key],$A417))</f>
        <v/>
      </c>
      <c r="H417" s="288" t="str">
        <f>IF($A417="","",IFERROR(INDEX(Prices[Current Price],MATCH($A417,Prices[Key],0)),0))</f>
        <v/>
      </c>
      <c r="I417" s="289" t="str">
        <f>IF($A417="","",IFERROR(INDEX(Prices[FX to SGD],MATCH($A417,Prices[Key],0)),1))</f>
        <v/>
      </c>
      <c r="J417" s="287" t="str">
        <f t="shared" si="62"/>
        <v/>
      </c>
      <c r="K417" s="287" t="str">
        <f t="shared" si="63"/>
        <v/>
      </c>
      <c r="L417" s="287" t="str">
        <f t="shared" si="64"/>
        <v/>
      </c>
      <c r="M417" s="290" t="str">
        <f t="shared" si="65"/>
        <v/>
      </c>
      <c r="N417" t="str">
        <f>IF($A417="","",IFERROR(INDEX(Prices[Category],MATCH($A417,Prices[Key],0)),"Uncategorized"))</f>
        <v/>
      </c>
      <c r="O417" s="291" t="str">
        <f t="shared" si="66"/>
        <v/>
      </c>
      <c r="P417" s="291" t="str">
        <f t="shared" si="67"/>
        <v/>
      </c>
    </row>
    <row r="418" spans="1:16" ht="15" customHeight="1" x14ac:dyDescent="0.2">
      <c r="A418" s="243" t="str">
        <f>IFERROR(INDEX('All Ticker P&amp;L'!$A$2:$A$1001,MATCH(ROWS($A$2:A418),'All Ticker P&amp;L'!$N$2:$N$1001,0)),"")</f>
        <v/>
      </c>
      <c r="B418" s="243" t="str">
        <f t="shared" si="59"/>
        <v/>
      </c>
      <c r="C418" s="243" t="str">
        <f t="shared" si="60"/>
        <v/>
      </c>
      <c r="D418" s="243" t="str">
        <f t="shared" si="61"/>
        <v/>
      </c>
      <c r="E418" s="265" t="str">
        <f>IF($A418="","",SUMIFS(Txn[Signed Units],Txn[Key],$A418))</f>
        <v/>
      </c>
      <c r="F418" s="287" t="str">
        <f>IF($A418="","",SUMIFS(Txn[Buy Cost],Txn[Key],$A418))</f>
        <v/>
      </c>
      <c r="G418" s="287" t="str">
        <f>IF($A418="","",SUMIFS(Txn[Sell Proceeds],Txn[Key],$A418))</f>
        <v/>
      </c>
      <c r="H418" s="288" t="str">
        <f>IF($A418="","",IFERROR(INDEX(Prices[Current Price],MATCH($A418,Prices[Key],0)),0))</f>
        <v/>
      </c>
      <c r="I418" s="289" t="str">
        <f>IF($A418="","",IFERROR(INDEX(Prices[FX to SGD],MATCH($A418,Prices[Key],0)),1))</f>
        <v/>
      </c>
      <c r="J418" s="287" t="str">
        <f t="shared" si="62"/>
        <v/>
      </c>
      <c r="K418" s="287" t="str">
        <f t="shared" si="63"/>
        <v/>
      </c>
      <c r="L418" s="287" t="str">
        <f t="shared" si="64"/>
        <v/>
      </c>
      <c r="M418" s="290" t="str">
        <f t="shared" si="65"/>
        <v/>
      </c>
      <c r="N418" t="str">
        <f>IF($A418="","",IFERROR(INDEX(Prices[Category],MATCH($A418,Prices[Key],0)),"Uncategorized"))</f>
        <v/>
      </c>
      <c r="O418" s="291" t="str">
        <f t="shared" si="66"/>
        <v/>
      </c>
      <c r="P418" s="291" t="str">
        <f t="shared" si="67"/>
        <v/>
      </c>
    </row>
    <row r="419" spans="1:16" ht="15" customHeight="1" x14ac:dyDescent="0.2">
      <c r="A419" s="243" t="str">
        <f>IFERROR(INDEX('All Ticker P&amp;L'!$A$2:$A$1001,MATCH(ROWS($A$2:A419),'All Ticker P&amp;L'!$N$2:$N$1001,0)),"")</f>
        <v/>
      </c>
      <c r="B419" s="243" t="str">
        <f t="shared" si="59"/>
        <v/>
      </c>
      <c r="C419" s="243" t="str">
        <f t="shared" si="60"/>
        <v/>
      </c>
      <c r="D419" s="243" t="str">
        <f t="shared" si="61"/>
        <v/>
      </c>
      <c r="E419" s="265" t="str">
        <f>IF($A419="","",SUMIFS(Txn[Signed Units],Txn[Key],$A419))</f>
        <v/>
      </c>
      <c r="F419" s="287" t="str">
        <f>IF($A419="","",SUMIFS(Txn[Buy Cost],Txn[Key],$A419))</f>
        <v/>
      </c>
      <c r="G419" s="287" t="str">
        <f>IF($A419="","",SUMIFS(Txn[Sell Proceeds],Txn[Key],$A419))</f>
        <v/>
      </c>
      <c r="H419" s="288" t="str">
        <f>IF($A419="","",IFERROR(INDEX(Prices[Current Price],MATCH($A419,Prices[Key],0)),0))</f>
        <v/>
      </c>
      <c r="I419" s="289" t="str">
        <f>IF($A419="","",IFERROR(INDEX(Prices[FX to SGD],MATCH($A419,Prices[Key],0)),1))</f>
        <v/>
      </c>
      <c r="J419" s="287" t="str">
        <f t="shared" si="62"/>
        <v/>
      </c>
      <c r="K419" s="287" t="str">
        <f t="shared" si="63"/>
        <v/>
      </c>
      <c r="L419" s="287" t="str">
        <f t="shared" si="64"/>
        <v/>
      </c>
      <c r="M419" s="290" t="str">
        <f t="shared" si="65"/>
        <v/>
      </c>
      <c r="N419" t="str">
        <f>IF($A419="","",IFERROR(INDEX(Prices[Category],MATCH($A419,Prices[Key],0)),"Uncategorized"))</f>
        <v/>
      </c>
      <c r="O419" s="291" t="str">
        <f t="shared" si="66"/>
        <v/>
      </c>
      <c r="P419" s="291" t="str">
        <f t="shared" si="67"/>
        <v/>
      </c>
    </row>
    <row r="420" spans="1:16" ht="15" customHeight="1" x14ac:dyDescent="0.2">
      <c r="A420" s="243" t="str">
        <f>IFERROR(INDEX('All Ticker P&amp;L'!$A$2:$A$1001,MATCH(ROWS($A$2:A420),'All Ticker P&amp;L'!$N$2:$N$1001,0)),"")</f>
        <v/>
      </c>
      <c r="B420" s="243" t="str">
        <f t="shared" si="59"/>
        <v/>
      </c>
      <c r="C420" s="243" t="str">
        <f t="shared" si="60"/>
        <v/>
      </c>
      <c r="D420" s="243" t="str">
        <f t="shared" si="61"/>
        <v/>
      </c>
      <c r="E420" s="265" t="str">
        <f>IF($A420="","",SUMIFS(Txn[Signed Units],Txn[Key],$A420))</f>
        <v/>
      </c>
      <c r="F420" s="287" t="str">
        <f>IF($A420="","",SUMIFS(Txn[Buy Cost],Txn[Key],$A420))</f>
        <v/>
      </c>
      <c r="G420" s="287" t="str">
        <f>IF($A420="","",SUMIFS(Txn[Sell Proceeds],Txn[Key],$A420))</f>
        <v/>
      </c>
      <c r="H420" s="288" t="str">
        <f>IF($A420="","",IFERROR(INDEX(Prices[Current Price],MATCH($A420,Prices[Key],0)),0))</f>
        <v/>
      </c>
      <c r="I420" s="289" t="str">
        <f>IF($A420="","",IFERROR(INDEX(Prices[FX to SGD],MATCH($A420,Prices[Key],0)),1))</f>
        <v/>
      </c>
      <c r="J420" s="287" t="str">
        <f t="shared" si="62"/>
        <v/>
      </c>
      <c r="K420" s="287" t="str">
        <f t="shared" si="63"/>
        <v/>
      </c>
      <c r="L420" s="287" t="str">
        <f t="shared" si="64"/>
        <v/>
      </c>
      <c r="M420" s="290" t="str">
        <f t="shared" si="65"/>
        <v/>
      </c>
      <c r="N420" t="str">
        <f>IF($A420="","",IFERROR(INDEX(Prices[Category],MATCH($A420,Prices[Key],0)),"Uncategorized"))</f>
        <v/>
      </c>
      <c r="O420" s="291" t="str">
        <f t="shared" si="66"/>
        <v/>
      </c>
      <c r="P420" s="291" t="str">
        <f t="shared" si="67"/>
        <v/>
      </c>
    </row>
    <row r="421" spans="1:16" ht="15" customHeight="1" x14ac:dyDescent="0.2">
      <c r="A421" s="243" t="str">
        <f>IFERROR(INDEX('All Ticker P&amp;L'!$A$2:$A$1001,MATCH(ROWS($A$2:A421),'All Ticker P&amp;L'!$N$2:$N$1001,0)),"")</f>
        <v/>
      </c>
      <c r="B421" s="243" t="str">
        <f t="shared" si="59"/>
        <v/>
      </c>
      <c r="C421" s="243" t="str">
        <f t="shared" si="60"/>
        <v/>
      </c>
      <c r="D421" s="243" t="str">
        <f t="shared" si="61"/>
        <v/>
      </c>
      <c r="E421" s="265" t="str">
        <f>IF($A421="","",SUMIFS(Txn[Signed Units],Txn[Key],$A421))</f>
        <v/>
      </c>
      <c r="F421" s="287" t="str">
        <f>IF($A421="","",SUMIFS(Txn[Buy Cost],Txn[Key],$A421))</f>
        <v/>
      </c>
      <c r="G421" s="287" t="str">
        <f>IF($A421="","",SUMIFS(Txn[Sell Proceeds],Txn[Key],$A421))</f>
        <v/>
      </c>
      <c r="H421" s="288" t="str">
        <f>IF($A421="","",IFERROR(INDEX(Prices[Current Price],MATCH($A421,Prices[Key],0)),0))</f>
        <v/>
      </c>
      <c r="I421" s="289" t="str">
        <f>IF($A421="","",IFERROR(INDEX(Prices[FX to SGD],MATCH($A421,Prices[Key],0)),1))</f>
        <v/>
      </c>
      <c r="J421" s="287" t="str">
        <f t="shared" si="62"/>
        <v/>
      </c>
      <c r="K421" s="287" t="str">
        <f t="shared" si="63"/>
        <v/>
      </c>
      <c r="L421" s="287" t="str">
        <f t="shared" si="64"/>
        <v/>
      </c>
      <c r="M421" s="290" t="str">
        <f t="shared" si="65"/>
        <v/>
      </c>
      <c r="N421" t="str">
        <f>IF($A421="","",IFERROR(INDEX(Prices[Category],MATCH($A421,Prices[Key],0)),"Uncategorized"))</f>
        <v/>
      </c>
      <c r="O421" s="291" t="str">
        <f t="shared" si="66"/>
        <v/>
      </c>
      <c r="P421" s="291" t="str">
        <f t="shared" si="67"/>
        <v/>
      </c>
    </row>
    <row r="422" spans="1:16" ht="15" customHeight="1" x14ac:dyDescent="0.2">
      <c r="A422" s="243" t="str">
        <f>IFERROR(INDEX('All Ticker P&amp;L'!$A$2:$A$1001,MATCH(ROWS($A$2:A422),'All Ticker P&amp;L'!$N$2:$N$1001,0)),"")</f>
        <v/>
      </c>
      <c r="B422" s="243" t="str">
        <f t="shared" si="59"/>
        <v/>
      </c>
      <c r="C422" s="243" t="str">
        <f t="shared" si="60"/>
        <v/>
      </c>
      <c r="D422" s="243" t="str">
        <f t="shared" si="61"/>
        <v/>
      </c>
      <c r="E422" s="265" t="str">
        <f>IF($A422="","",SUMIFS(Txn[Signed Units],Txn[Key],$A422))</f>
        <v/>
      </c>
      <c r="F422" s="287" t="str">
        <f>IF($A422="","",SUMIFS(Txn[Buy Cost],Txn[Key],$A422))</f>
        <v/>
      </c>
      <c r="G422" s="287" t="str">
        <f>IF($A422="","",SUMIFS(Txn[Sell Proceeds],Txn[Key],$A422))</f>
        <v/>
      </c>
      <c r="H422" s="288" t="str">
        <f>IF($A422="","",IFERROR(INDEX(Prices[Current Price],MATCH($A422,Prices[Key],0)),0))</f>
        <v/>
      </c>
      <c r="I422" s="289" t="str">
        <f>IF($A422="","",IFERROR(INDEX(Prices[FX to SGD],MATCH($A422,Prices[Key],0)),1))</f>
        <v/>
      </c>
      <c r="J422" s="287" t="str">
        <f t="shared" si="62"/>
        <v/>
      </c>
      <c r="K422" s="287" t="str">
        <f t="shared" si="63"/>
        <v/>
      </c>
      <c r="L422" s="287" t="str">
        <f t="shared" si="64"/>
        <v/>
      </c>
      <c r="M422" s="290" t="str">
        <f t="shared" si="65"/>
        <v/>
      </c>
      <c r="N422" t="str">
        <f>IF($A422="","",IFERROR(INDEX(Prices[Category],MATCH($A422,Prices[Key],0)),"Uncategorized"))</f>
        <v/>
      </c>
      <c r="O422" s="291" t="str">
        <f t="shared" si="66"/>
        <v/>
      </c>
      <c r="P422" s="291" t="str">
        <f t="shared" si="67"/>
        <v/>
      </c>
    </row>
    <row r="423" spans="1:16" ht="15" customHeight="1" x14ac:dyDescent="0.2">
      <c r="A423" s="243" t="str">
        <f>IFERROR(INDEX('All Ticker P&amp;L'!$A$2:$A$1001,MATCH(ROWS($A$2:A423),'All Ticker P&amp;L'!$N$2:$N$1001,0)),"")</f>
        <v/>
      </c>
      <c r="B423" s="243" t="str">
        <f t="shared" si="59"/>
        <v/>
      </c>
      <c r="C423" s="243" t="str">
        <f t="shared" si="60"/>
        <v/>
      </c>
      <c r="D423" s="243" t="str">
        <f t="shared" si="61"/>
        <v/>
      </c>
      <c r="E423" s="265" t="str">
        <f>IF($A423="","",SUMIFS(Txn[Signed Units],Txn[Key],$A423))</f>
        <v/>
      </c>
      <c r="F423" s="287" t="str">
        <f>IF($A423="","",SUMIFS(Txn[Buy Cost],Txn[Key],$A423))</f>
        <v/>
      </c>
      <c r="G423" s="287" t="str">
        <f>IF($A423="","",SUMIFS(Txn[Sell Proceeds],Txn[Key],$A423))</f>
        <v/>
      </c>
      <c r="H423" s="288" t="str">
        <f>IF($A423="","",IFERROR(INDEX(Prices[Current Price],MATCH($A423,Prices[Key],0)),0))</f>
        <v/>
      </c>
      <c r="I423" s="289" t="str">
        <f>IF($A423="","",IFERROR(INDEX(Prices[FX to SGD],MATCH($A423,Prices[Key],0)),1))</f>
        <v/>
      </c>
      <c r="J423" s="287" t="str">
        <f t="shared" si="62"/>
        <v/>
      </c>
      <c r="K423" s="287" t="str">
        <f t="shared" si="63"/>
        <v/>
      </c>
      <c r="L423" s="287" t="str">
        <f t="shared" si="64"/>
        <v/>
      </c>
      <c r="M423" s="290" t="str">
        <f t="shared" si="65"/>
        <v/>
      </c>
      <c r="N423" t="str">
        <f>IF($A423="","",IFERROR(INDEX(Prices[Category],MATCH($A423,Prices[Key],0)),"Uncategorized"))</f>
        <v/>
      </c>
      <c r="O423" s="291" t="str">
        <f t="shared" si="66"/>
        <v/>
      </c>
      <c r="P423" s="291" t="str">
        <f t="shared" si="67"/>
        <v/>
      </c>
    </row>
    <row r="424" spans="1:16" ht="15" customHeight="1" x14ac:dyDescent="0.2">
      <c r="A424" s="243" t="str">
        <f>IFERROR(INDEX('All Ticker P&amp;L'!$A$2:$A$1001,MATCH(ROWS($A$2:A424),'All Ticker P&amp;L'!$N$2:$N$1001,0)),"")</f>
        <v/>
      </c>
      <c r="B424" s="243" t="str">
        <f t="shared" si="59"/>
        <v/>
      </c>
      <c r="C424" s="243" t="str">
        <f t="shared" si="60"/>
        <v/>
      </c>
      <c r="D424" s="243" t="str">
        <f t="shared" si="61"/>
        <v/>
      </c>
      <c r="E424" s="265" t="str">
        <f>IF($A424="","",SUMIFS(Txn[Signed Units],Txn[Key],$A424))</f>
        <v/>
      </c>
      <c r="F424" s="287" t="str">
        <f>IF($A424="","",SUMIFS(Txn[Buy Cost],Txn[Key],$A424))</f>
        <v/>
      </c>
      <c r="G424" s="287" t="str">
        <f>IF($A424="","",SUMIFS(Txn[Sell Proceeds],Txn[Key],$A424))</f>
        <v/>
      </c>
      <c r="H424" s="288" t="str">
        <f>IF($A424="","",IFERROR(INDEX(Prices[Current Price],MATCH($A424,Prices[Key],0)),0))</f>
        <v/>
      </c>
      <c r="I424" s="289" t="str">
        <f>IF($A424="","",IFERROR(INDEX(Prices[FX to SGD],MATCH($A424,Prices[Key],0)),1))</f>
        <v/>
      </c>
      <c r="J424" s="287" t="str">
        <f t="shared" si="62"/>
        <v/>
      </c>
      <c r="K424" s="287" t="str">
        <f t="shared" si="63"/>
        <v/>
      </c>
      <c r="L424" s="287" t="str">
        <f t="shared" si="64"/>
        <v/>
      </c>
      <c r="M424" s="290" t="str">
        <f t="shared" si="65"/>
        <v/>
      </c>
      <c r="N424" t="str">
        <f>IF($A424="","",IFERROR(INDEX(Prices[Category],MATCH($A424,Prices[Key],0)),"Uncategorized"))</f>
        <v/>
      </c>
      <c r="O424" s="291" t="str">
        <f t="shared" si="66"/>
        <v/>
      </c>
      <c r="P424" s="291" t="str">
        <f t="shared" si="67"/>
        <v/>
      </c>
    </row>
    <row r="425" spans="1:16" ht="15" customHeight="1" x14ac:dyDescent="0.2">
      <c r="A425" s="243" t="str">
        <f>IFERROR(INDEX('All Ticker P&amp;L'!$A$2:$A$1001,MATCH(ROWS($A$2:A425),'All Ticker P&amp;L'!$N$2:$N$1001,0)),"")</f>
        <v/>
      </c>
      <c r="B425" s="243" t="str">
        <f t="shared" si="59"/>
        <v/>
      </c>
      <c r="C425" s="243" t="str">
        <f t="shared" si="60"/>
        <v/>
      </c>
      <c r="D425" s="243" t="str">
        <f t="shared" si="61"/>
        <v/>
      </c>
      <c r="E425" s="265" t="str">
        <f>IF($A425="","",SUMIFS(Txn[Signed Units],Txn[Key],$A425))</f>
        <v/>
      </c>
      <c r="F425" s="287" t="str">
        <f>IF($A425="","",SUMIFS(Txn[Buy Cost],Txn[Key],$A425))</f>
        <v/>
      </c>
      <c r="G425" s="287" t="str">
        <f>IF($A425="","",SUMIFS(Txn[Sell Proceeds],Txn[Key],$A425))</f>
        <v/>
      </c>
      <c r="H425" s="288" t="str">
        <f>IF($A425="","",IFERROR(INDEX(Prices[Current Price],MATCH($A425,Prices[Key],0)),0))</f>
        <v/>
      </c>
      <c r="I425" s="289" t="str">
        <f>IF($A425="","",IFERROR(INDEX(Prices[FX to SGD],MATCH($A425,Prices[Key],0)),1))</f>
        <v/>
      </c>
      <c r="J425" s="287" t="str">
        <f t="shared" si="62"/>
        <v/>
      </c>
      <c r="K425" s="287" t="str">
        <f t="shared" si="63"/>
        <v/>
      </c>
      <c r="L425" s="287" t="str">
        <f t="shared" si="64"/>
        <v/>
      </c>
      <c r="M425" s="290" t="str">
        <f t="shared" si="65"/>
        <v/>
      </c>
      <c r="N425" t="str">
        <f>IF($A425="","",IFERROR(INDEX(Prices[Category],MATCH($A425,Prices[Key],0)),"Uncategorized"))</f>
        <v/>
      </c>
      <c r="O425" s="291" t="str">
        <f t="shared" si="66"/>
        <v/>
      </c>
      <c r="P425" s="291" t="str">
        <f t="shared" si="67"/>
        <v/>
      </c>
    </row>
    <row r="426" spans="1:16" ht="15" customHeight="1" x14ac:dyDescent="0.2">
      <c r="A426" s="243" t="str">
        <f>IFERROR(INDEX('All Ticker P&amp;L'!$A$2:$A$1001,MATCH(ROWS($A$2:A426),'All Ticker P&amp;L'!$N$2:$N$1001,0)),"")</f>
        <v/>
      </c>
      <c r="B426" s="243" t="str">
        <f t="shared" si="59"/>
        <v/>
      </c>
      <c r="C426" s="243" t="str">
        <f t="shared" si="60"/>
        <v/>
      </c>
      <c r="D426" s="243" t="str">
        <f t="shared" si="61"/>
        <v/>
      </c>
      <c r="E426" s="265" t="str">
        <f>IF($A426="","",SUMIFS(Txn[Signed Units],Txn[Key],$A426))</f>
        <v/>
      </c>
      <c r="F426" s="287" t="str">
        <f>IF($A426="","",SUMIFS(Txn[Buy Cost],Txn[Key],$A426))</f>
        <v/>
      </c>
      <c r="G426" s="287" t="str">
        <f>IF($A426="","",SUMIFS(Txn[Sell Proceeds],Txn[Key],$A426))</f>
        <v/>
      </c>
      <c r="H426" s="288" t="str">
        <f>IF($A426="","",IFERROR(INDEX(Prices[Current Price],MATCH($A426,Prices[Key],0)),0))</f>
        <v/>
      </c>
      <c r="I426" s="289" t="str">
        <f>IF($A426="","",IFERROR(INDEX(Prices[FX to SGD],MATCH($A426,Prices[Key],0)),1))</f>
        <v/>
      </c>
      <c r="J426" s="287" t="str">
        <f t="shared" si="62"/>
        <v/>
      </c>
      <c r="K426" s="287" t="str">
        <f t="shared" si="63"/>
        <v/>
      </c>
      <c r="L426" s="287" t="str">
        <f t="shared" si="64"/>
        <v/>
      </c>
      <c r="M426" s="290" t="str">
        <f t="shared" si="65"/>
        <v/>
      </c>
      <c r="N426" t="str">
        <f>IF($A426="","",IFERROR(INDEX(Prices[Category],MATCH($A426,Prices[Key],0)),"Uncategorized"))</f>
        <v/>
      </c>
      <c r="O426" s="291" t="str">
        <f t="shared" si="66"/>
        <v/>
      </c>
      <c r="P426" s="291" t="str">
        <f t="shared" si="67"/>
        <v/>
      </c>
    </row>
    <row r="427" spans="1:16" ht="15" customHeight="1" x14ac:dyDescent="0.2">
      <c r="A427" s="243" t="str">
        <f>IFERROR(INDEX('All Ticker P&amp;L'!$A$2:$A$1001,MATCH(ROWS($A$2:A427),'All Ticker P&amp;L'!$N$2:$N$1001,0)),"")</f>
        <v/>
      </c>
      <c r="B427" s="243" t="str">
        <f t="shared" si="59"/>
        <v/>
      </c>
      <c r="C427" s="243" t="str">
        <f t="shared" si="60"/>
        <v/>
      </c>
      <c r="D427" s="243" t="str">
        <f t="shared" si="61"/>
        <v/>
      </c>
      <c r="E427" s="265" t="str">
        <f>IF($A427="","",SUMIFS(Txn[Signed Units],Txn[Key],$A427))</f>
        <v/>
      </c>
      <c r="F427" s="287" t="str">
        <f>IF($A427="","",SUMIFS(Txn[Buy Cost],Txn[Key],$A427))</f>
        <v/>
      </c>
      <c r="G427" s="287" t="str">
        <f>IF($A427="","",SUMIFS(Txn[Sell Proceeds],Txn[Key],$A427))</f>
        <v/>
      </c>
      <c r="H427" s="288" t="str">
        <f>IF($A427="","",IFERROR(INDEX(Prices[Current Price],MATCH($A427,Prices[Key],0)),0))</f>
        <v/>
      </c>
      <c r="I427" s="289" t="str">
        <f>IF($A427="","",IFERROR(INDEX(Prices[FX to SGD],MATCH($A427,Prices[Key],0)),1))</f>
        <v/>
      </c>
      <c r="J427" s="287" t="str">
        <f t="shared" si="62"/>
        <v/>
      </c>
      <c r="K427" s="287" t="str">
        <f t="shared" si="63"/>
        <v/>
      </c>
      <c r="L427" s="287" t="str">
        <f t="shared" si="64"/>
        <v/>
      </c>
      <c r="M427" s="290" t="str">
        <f t="shared" si="65"/>
        <v/>
      </c>
      <c r="N427" t="str">
        <f>IF($A427="","",IFERROR(INDEX(Prices[Category],MATCH($A427,Prices[Key],0)),"Uncategorized"))</f>
        <v/>
      </c>
      <c r="O427" s="291" t="str">
        <f t="shared" si="66"/>
        <v/>
      </c>
      <c r="P427" s="291" t="str">
        <f t="shared" si="67"/>
        <v/>
      </c>
    </row>
    <row r="428" spans="1:16" ht="15" customHeight="1" x14ac:dyDescent="0.2">
      <c r="A428" s="243" t="str">
        <f>IFERROR(INDEX('All Ticker P&amp;L'!$A$2:$A$1001,MATCH(ROWS($A$2:A428),'All Ticker P&amp;L'!$N$2:$N$1001,0)),"")</f>
        <v/>
      </c>
      <c r="B428" s="243" t="str">
        <f t="shared" si="59"/>
        <v/>
      </c>
      <c r="C428" s="243" t="str">
        <f t="shared" si="60"/>
        <v/>
      </c>
      <c r="D428" s="243" t="str">
        <f t="shared" si="61"/>
        <v/>
      </c>
      <c r="E428" s="265" t="str">
        <f>IF($A428="","",SUMIFS(Txn[Signed Units],Txn[Key],$A428))</f>
        <v/>
      </c>
      <c r="F428" s="287" t="str">
        <f>IF($A428="","",SUMIFS(Txn[Buy Cost],Txn[Key],$A428))</f>
        <v/>
      </c>
      <c r="G428" s="287" t="str">
        <f>IF($A428="","",SUMIFS(Txn[Sell Proceeds],Txn[Key],$A428))</f>
        <v/>
      </c>
      <c r="H428" s="288" t="str">
        <f>IF($A428="","",IFERROR(INDEX(Prices[Current Price],MATCH($A428,Prices[Key],0)),0))</f>
        <v/>
      </c>
      <c r="I428" s="289" t="str">
        <f>IF($A428="","",IFERROR(INDEX(Prices[FX to SGD],MATCH($A428,Prices[Key],0)),1))</f>
        <v/>
      </c>
      <c r="J428" s="287" t="str">
        <f t="shared" si="62"/>
        <v/>
      </c>
      <c r="K428" s="287" t="str">
        <f t="shared" si="63"/>
        <v/>
      </c>
      <c r="L428" s="287" t="str">
        <f t="shared" si="64"/>
        <v/>
      </c>
      <c r="M428" s="290" t="str">
        <f t="shared" si="65"/>
        <v/>
      </c>
      <c r="N428" t="str">
        <f>IF($A428="","",IFERROR(INDEX(Prices[Category],MATCH($A428,Prices[Key],0)),"Uncategorized"))</f>
        <v/>
      </c>
      <c r="O428" s="291" t="str">
        <f t="shared" si="66"/>
        <v/>
      </c>
      <c r="P428" s="291" t="str">
        <f t="shared" si="67"/>
        <v/>
      </c>
    </row>
    <row r="429" spans="1:16" ht="15" customHeight="1" x14ac:dyDescent="0.2">
      <c r="A429" s="243" t="str">
        <f>IFERROR(INDEX('All Ticker P&amp;L'!$A$2:$A$1001,MATCH(ROWS($A$2:A429),'All Ticker P&amp;L'!$N$2:$N$1001,0)),"")</f>
        <v/>
      </c>
      <c r="B429" s="243" t="str">
        <f t="shared" si="59"/>
        <v/>
      </c>
      <c r="C429" s="243" t="str">
        <f t="shared" si="60"/>
        <v/>
      </c>
      <c r="D429" s="243" t="str">
        <f t="shared" si="61"/>
        <v/>
      </c>
      <c r="E429" s="265" t="str">
        <f>IF($A429="","",SUMIFS(Txn[Signed Units],Txn[Key],$A429))</f>
        <v/>
      </c>
      <c r="F429" s="287" t="str">
        <f>IF($A429="","",SUMIFS(Txn[Buy Cost],Txn[Key],$A429))</f>
        <v/>
      </c>
      <c r="G429" s="287" t="str">
        <f>IF($A429="","",SUMIFS(Txn[Sell Proceeds],Txn[Key],$A429))</f>
        <v/>
      </c>
      <c r="H429" s="288" t="str">
        <f>IF($A429="","",IFERROR(INDEX(Prices[Current Price],MATCH($A429,Prices[Key],0)),0))</f>
        <v/>
      </c>
      <c r="I429" s="289" t="str">
        <f>IF($A429="","",IFERROR(INDEX(Prices[FX to SGD],MATCH($A429,Prices[Key],0)),1))</f>
        <v/>
      </c>
      <c r="J429" s="287" t="str">
        <f t="shared" si="62"/>
        <v/>
      </c>
      <c r="K429" s="287" t="str">
        <f t="shared" si="63"/>
        <v/>
      </c>
      <c r="L429" s="287" t="str">
        <f t="shared" si="64"/>
        <v/>
      </c>
      <c r="M429" s="290" t="str">
        <f t="shared" si="65"/>
        <v/>
      </c>
      <c r="N429" t="str">
        <f>IF($A429="","",IFERROR(INDEX(Prices[Category],MATCH($A429,Prices[Key],0)),"Uncategorized"))</f>
        <v/>
      </c>
      <c r="O429" s="291" t="str">
        <f t="shared" si="66"/>
        <v/>
      </c>
      <c r="P429" s="291" t="str">
        <f t="shared" si="67"/>
        <v/>
      </c>
    </row>
    <row r="430" spans="1:16" ht="15" customHeight="1" x14ac:dyDescent="0.2">
      <c r="A430" s="243" t="str">
        <f>IFERROR(INDEX('All Ticker P&amp;L'!$A$2:$A$1001,MATCH(ROWS($A$2:A430),'All Ticker P&amp;L'!$N$2:$N$1001,0)),"")</f>
        <v/>
      </c>
      <c r="B430" s="243" t="str">
        <f t="shared" si="59"/>
        <v/>
      </c>
      <c r="C430" s="243" t="str">
        <f t="shared" si="60"/>
        <v/>
      </c>
      <c r="D430" s="243" t="str">
        <f t="shared" si="61"/>
        <v/>
      </c>
      <c r="E430" s="265" t="str">
        <f>IF($A430="","",SUMIFS(Txn[Signed Units],Txn[Key],$A430))</f>
        <v/>
      </c>
      <c r="F430" s="287" t="str">
        <f>IF($A430="","",SUMIFS(Txn[Buy Cost],Txn[Key],$A430))</f>
        <v/>
      </c>
      <c r="G430" s="287" t="str">
        <f>IF($A430="","",SUMIFS(Txn[Sell Proceeds],Txn[Key],$A430))</f>
        <v/>
      </c>
      <c r="H430" s="288" t="str">
        <f>IF($A430="","",IFERROR(INDEX(Prices[Current Price],MATCH($A430,Prices[Key],0)),0))</f>
        <v/>
      </c>
      <c r="I430" s="289" t="str">
        <f>IF($A430="","",IFERROR(INDEX(Prices[FX to SGD],MATCH($A430,Prices[Key],0)),1))</f>
        <v/>
      </c>
      <c r="J430" s="287" t="str">
        <f t="shared" si="62"/>
        <v/>
      </c>
      <c r="K430" s="287" t="str">
        <f t="shared" si="63"/>
        <v/>
      </c>
      <c r="L430" s="287" t="str">
        <f t="shared" si="64"/>
        <v/>
      </c>
      <c r="M430" s="290" t="str">
        <f t="shared" si="65"/>
        <v/>
      </c>
      <c r="N430" t="str">
        <f>IF($A430="","",IFERROR(INDEX(Prices[Category],MATCH($A430,Prices[Key],0)),"Uncategorized"))</f>
        <v/>
      </c>
      <c r="O430" s="291" t="str">
        <f t="shared" si="66"/>
        <v/>
      </c>
      <c r="P430" s="291" t="str">
        <f t="shared" si="67"/>
        <v/>
      </c>
    </row>
    <row r="431" spans="1:16" ht="15" customHeight="1" x14ac:dyDescent="0.2">
      <c r="A431" s="243" t="str">
        <f>IFERROR(INDEX('All Ticker P&amp;L'!$A$2:$A$1001,MATCH(ROWS($A$2:A431),'All Ticker P&amp;L'!$N$2:$N$1001,0)),"")</f>
        <v/>
      </c>
      <c r="B431" s="243" t="str">
        <f t="shared" si="59"/>
        <v/>
      </c>
      <c r="C431" s="243" t="str">
        <f t="shared" si="60"/>
        <v/>
      </c>
      <c r="D431" s="243" t="str">
        <f t="shared" si="61"/>
        <v/>
      </c>
      <c r="E431" s="265" t="str">
        <f>IF($A431="","",SUMIFS(Txn[Signed Units],Txn[Key],$A431))</f>
        <v/>
      </c>
      <c r="F431" s="287" t="str">
        <f>IF($A431="","",SUMIFS(Txn[Buy Cost],Txn[Key],$A431))</f>
        <v/>
      </c>
      <c r="G431" s="287" t="str">
        <f>IF($A431="","",SUMIFS(Txn[Sell Proceeds],Txn[Key],$A431))</f>
        <v/>
      </c>
      <c r="H431" s="288" t="str">
        <f>IF($A431="","",IFERROR(INDEX(Prices[Current Price],MATCH($A431,Prices[Key],0)),0))</f>
        <v/>
      </c>
      <c r="I431" s="289" t="str">
        <f>IF($A431="","",IFERROR(INDEX(Prices[FX to SGD],MATCH($A431,Prices[Key],0)),1))</f>
        <v/>
      </c>
      <c r="J431" s="287" t="str">
        <f t="shared" si="62"/>
        <v/>
      </c>
      <c r="K431" s="287" t="str">
        <f t="shared" si="63"/>
        <v/>
      </c>
      <c r="L431" s="287" t="str">
        <f t="shared" si="64"/>
        <v/>
      </c>
      <c r="M431" s="290" t="str">
        <f t="shared" si="65"/>
        <v/>
      </c>
      <c r="N431" t="str">
        <f>IF($A431="","",IFERROR(INDEX(Prices[Category],MATCH($A431,Prices[Key],0)),"Uncategorized"))</f>
        <v/>
      </c>
      <c r="O431" s="291" t="str">
        <f t="shared" si="66"/>
        <v/>
      </c>
      <c r="P431" s="291" t="str">
        <f t="shared" si="67"/>
        <v/>
      </c>
    </row>
    <row r="432" spans="1:16" ht="15" customHeight="1" x14ac:dyDescent="0.2">
      <c r="A432" s="243" t="str">
        <f>IFERROR(INDEX('All Ticker P&amp;L'!$A$2:$A$1001,MATCH(ROWS($A$2:A432),'All Ticker P&amp;L'!$N$2:$N$1001,0)),"")</f>
        <v/>
      </c>
      <c r="B432" s="243" t="str">
        <f t="shared" si="59"/>
        <v/>
      </c>
      <c r="C432" s="243" t="str">
        <f t="shared" si="60"/>
        <v/>
      </c>
      <c r="D432" s="243" t="str">
        <f t="shared" si="61"/>
        <v/>
      </c>
      <c r="E432" s="265" t="str">
        <f>IF($A432="","",SUMIFS(Txn[Signed Units],Txn[Key],$A432))</f>
        <v/>
      </c>
      <c r="F432" s="287" t="str">
        <f>IF($A432="","",SUMIFS(Txn[Buy Cost],Txn[Key],$A432))</f>
        <v/>
      </c>
      <c r="G432" s="287" t="str">
        <f>IF($A432="","",SUMIFS(Txn[Sell Proceeds],Txn[Key],$A432))</f>
        <v/>
      </c>
      <c r="H432" s="288" t="str">
        <f>IF($A432="","",IFERROR(INDEX(Prices[Current Price],MATCH($A432,Prices[Key],0)),0))</f>
        <v/>
      </c>
      <c r="I432" s="289" t="str">
        <f>IF($A432="","",IFERROR(INDEX(Prices[FX to SGD],MATCH($A432,Prices[Key],0)),1))</f>
        <v/>
      </c>
      <c r="J432" s="287" t="str">
        <f t="shared" si="62"/>
        <v/>
      </c>
      <c r="K432" s="287" t="str">
        <f t="shared" si="63"/>
        <v/>
      </c>
      <c r="L432" s="287" t="str">
        <f t="shared" si="64"/>
        <v/>
      </c>
      <c r="M432" s="290" t="str">
        <f t="shared" si="65"/>
        <v/>
      </c>
      <c r="N432" t="str">
        <f>IF($A432="","",IFERROR(INDEX(Prices[Category],MATCH($A432,Prices[Key],0)),"Uncategorized"))</f>
        <v/>
      </c>
      <c r="O432" s="291" t="str">
        <f t="shared" si="66"/>
        <v/>
      </c>
      <c r="P432" s="291" t="str">
        <f t="shared" si="67"/>
        <v/>
      </c>
    </row>
    <row r="433" spans="1:16" ht="15" customHeight="1" x14ac:dyDescent="0.2">
      <c r="A433" s="243" t="str">
        <f>IFERROR(INDEX('All Ticker P&amp;L'!$A$2:$A$1001,MATCH(ROWS($A$2:A433),'All Ticker P&amp;L'!$N$2:$N$1001,0)),"")</f>
        <v/>
      </c>
      <c r="B433" s="243" t="str">
        <f t="shared" si="59"/>
        <v/>
      </c>
      <c r="C433" s="243" t="str">
        <f t="shared" si="60"/>
        <v/>
      </c>
      <c r="D433" s="243" t="str">
        <f t="shared" si="61"/>
        <v/>
      </c>
      <c r="E433" s="265" t="str">
        <f>IF($A433="","",SUMIFS(Txn[Signed Units],Txn[Key],$A433))</f>
        <v/>
      </c>
      <c r="F433" s="287" t="str">
        <f>IF($A433="","",SUMIFS(Txn[Buy Cost],Txn[Key],$A433))</f>
        <v/>
      </c>
      <c r="G433" s="287" t="str">
        <f>IF($A433="","",SUMIFS(Txn[Sell Proceeds],Txn[Key],$A433))</f>
        <v/>
      </c>
      <c r="H433" s="288" t="str">
        <f>IF($A433="","",IFERROR(INDEX(Prices[Current Price],MATCH($A433,Prices[Key],0)),0))</f>
        <v/>
      </c>
      <c r="I433" s="289" t="str">
        <f>IF($A433="","",IFERROR(INDEX(Prices[FX to SGD],MATCH($A433,Prices[Key],0)),1))</f>
        <v/>
      </c>
      <c r="J433" s="287" t="str">
        <f t="shared" si="62"/>
        <v/>
      </c>
      <c r="K433" s="287" t="str">
        <f t="shared" si="63"/>
        <v/>
      </c>
      <c r="L433" s="287" t="str">
        <f t="shared" si="64"/>
        <v/>
      </c>
      <c r="M433" s="290" t="str">
        <f t="shared" si="65"/>
        <v/>
      </c>
      <c r="N433" t="str">
        <f>IF($A433="","",IFERROR(INDEX(Prices[Category],MATCH($A433,Prices[Key],0)),"Uncategorized"))</f>
        <v/>
      </c>
      <c r="O433" s="291" t="str">
        <f t="shared" si="66"/>
        <v/>
      </c>
      <c r="P433" s="291" t="str">
        <f t="shared" si="67"/>
        <v/>
      </c>
    </row>
    <row r="434" spans="1:16" ht="15" customHeight="1" x14ac:dyDescent="0.2">
      <c r="A434" s="243" t="str">
        <f>IFERROR(INDEX('All Ticker P&amp;L'!$A$2:$A$1001,MATCH(ROWS($A$2:A434),'All Ticker P&amp;L'!$N$2:$N$1001,0)),"")</f>
        <v/>
      </c>
      <c r="B434" s="243" t="str">
        <f t="shared" si="59"/>
        <v/>
      </c>
      <c r="C434" s="243" t="str">
        <f t="shared" si="60"/>
        <v/>
      </c>
      <c r="D434" s="243" t="str">
        <f t="shared" si="61"/>
        <v/>
      </c>
      <c r="E434" s="265" t="str">
        <f>IF($A434="","",SUMIFS(Txn[Signed Units],Txn[Key],$A434))</f>
        <v/>
      </c>
      <c r="F434" s="287" t="str">
        <f>IF($A434="","",SUMIFS(Txn[Buy Cost],Txn[Key],$A434))</f>
        <v/>
      </c>
      <c r="G434" s="287" t="str">
        <f>IF($A434="","",SUMIFS(Txn[Sell Proceeds],Txn[Key],$A434))</f>
        <v/>
      </c>
      <c r="H434" s="288" t="str">
        <f>IF($A434="","",IFERROR(INDEX(Prices[Current Price],MATCH($A434,Prices[Key],0)),0))</f>
        <v/>
      </c>
      <c r="I434" s="289" t="str">
        <f>IF($A434="","",IFERROR(INDEX(Prices[FX to SGD],MATCH($A434,Prices[Key],0)),1))</f>
        <v/>
      </c>
      <c r="J434" s="287" t="str">
        <f t="shared" si="62"/>
        <v/>
      </c>
      <c r="K434" s="287" t="str">
        <f t="shared" si="63"/>
        <v/>
      </c>
      <c r="L434" s="287" t="str">
        <f t="shared" si="64"/>
        <v/>
      </c>
      <c r="M434" s="290" t="str">
        <f t="shared" si="65"/>
        <v/>
      </c>
      <c r="N434" t="str">
        <f>IF($A434="","",IFERROR(INDEX(Prices[Category],MATCH($A434,Prices[Key],0)),"Uncategorized"))</f>
        <v/>
      </c>
      <c r="O434" s="291" t="str">
        <f t="shared" si="66"/>
        <v/>
      </c>
      <c r="P434" s="291" t="str">
        <f t="shared" si="67"/>
        <v/>
      </c>
    </row>
    <row r="435" spans="1:16" ht="15" customHeight="1" x14ac:dyDescent="0.2">
      <c r="A435" s="243" t="str">
        <f>IFERROR(INDEX('All Ticker P&amp;L'!$A$2:$A$1001,MATCH(ROWS($A$2:A435),'All Ticker P&amp;L'!$N$2:$N$1001,0)),"")</f>
        <v/>
      </c>
      <c r="B435" s="243" t="str">
        <f t="shared" si="59"/>
        <v/>
      </c>
      <c r="C435" s="243" t="str">
        <f t="shared" si="60"/>
        <v/>
      </c>
      <c r="D435" s="243" t="str">
        <f t="shared" si="61"/>
        <v/>
      </c>
      <c r="E435" s="265" t="str">
        <f>IF($A435="","",SUMIFS(Txn[Signed Units],Txn[Key],$A435))</f>
        <v/>
      </c>
      <c r="F435" s="287" t="str">
        <f>IF($A435="","",SUMIFS(Txn[Buy Cost],Txn[Key],$A435))</f>
        <v/>
      </c>
      <c r="G435" s="287" t="str">
        <f>IF($A435="","",SUMIFS(Txn[Sell Proceeds],Txn[Key],$A435))</f>
        <v/>
      </c>
      <c r="H435" s="288" t="str">
        <f>IF($A435="","",IFERROR(INDEX(Prices[Current Price],MATCH($A435,Prices[Key],0)),0))</f>
        <v/>
      </c>
      <c r="I435" s="289" t="str">
        <f>IF($A435="","",IFERROR(INDEX(Prices[FX to SGD],MATCH($A435,Prices[Key],0)),1))</f>
        <v/>
      </c>
      <c r="J435" s="287" t="str">
        <f t="shared" si="62"/>
        <v/>
      </c>
      <c r="K435" s="287" t="str">
        <f t="shared" si="63"/>
        <v/>
      </c>
      <c r="L435" s="287" t="str">
        <f t="shared" si="64"/>
        <v/>
      </c>
      <c r="M435" s="290" t="str">
        <f t="shared" si="65"/>
        <v/>
      </c>
      <c r="N435" t="str">
        <f>IF($A435="","",IFERROR(INDEX(Prices[Category],MATCH($A435,Prices[Key],0)),"Uncategorized"))</f>
        <v/>
      </c>
      <c r="O435" s="291" t="str">
        <f t="shared" si="66"/>
        <v/>
      </c>
      <c r="P435" s="291" t="str">
        <f t="shared" si="67"/>
        <v/>
      </c>
    </row>
    <row r="436" spans="1:16" ht="15" customHeight="1" x14ac:dyDescent="0.2">
      <c r="A436" s="243" t="str">
        <f>IFERROR(INDEX('All Ticker P&amp;L'!$A$2:$A$1001,MATCH(ROWS($A$2:A436),'All Ticker P&amp;L'!$N$2:$N$1001,0)),"")</f>
        <v/>
      </c>
      <c r="B436" s="243" t="str">
        <f t="shared" si="59"/>
        <v/>
      </c>
      <c r="C436" s="243" t="str">
        <f t="shared" si="60"/>
        <v/>
      </c>
      <c r="D436" s="243" t="str">
        <f t="shared" si="61"/>
        <v/>
      </c>
      <c r="E436" s="265" t="str">
        <f>IF($A436="","",SUMIFS(Txn[Signed Units],Txn[Key],$A436))</f>
        <v/>
      </c>
      <c r="F436" s="287" t="str">
        <f>IF($A436="","",SUMIFS(Txn[Buy Cost],Txn[Key],$A436))</f>
        <v/>
      </c>
      <c r="G436" s="287" t="str">
        <f>IF($A436="","",SUMIFS(Txn[Sell Proceeds],Txn[Key],$A436))</f>
        <v/>
      </c>
      <c r="H436" s="288" t="str">
        <f>IF($A436="","",IFERROR(INDEX(Prices[Current Price],MATCH($A436,Prices[Key],0)),0))</f>
        <v/>
      </c>
      <c r="I436" s="289" t="str">
        <f>IF($A436="","",IFERROR(INDEX(Prices[FX to SGD],MATCH($A436,Prices[Key],0)),1))</f>
        <v/>
      </c>
      <c r="J436" s="287" t="str">
        <f t="shared" si="62"/>
        <v/>
      </c>
      <c r="K436" s="287" t="str">
        <f t="shared" si="63"/>
        <v/>
      </c>
      <c r="L436" s="287" t="str">
        <f t="shared" si="64"/>
        <v/>
      </c>
      <c r="M436" s="290" t="str">
        <f t="shared" si="65"/>
        <v/>
      </c>
      <c r="N436" t="str">
        <f>IF($A436="","",IFERROR(INDEX(Prices[Category],MATCH($A436,Prices[Key],0)),"Uncategorized"))</f>
        <v/>
      </c>
      <c r="O436" s="291" t="str">
        <f t="shared" si="66"/>
        <v/>
      </c>
      <c r="P436" s="291" t="str">
        <f t="shared" si="67"/>
        <v/>
      </c>
    </row>
    <row r="437" spans="1:16" ht="15" customHeight="1" x14ac:dyDescent="0.2">
      <c r="A437" s="243" t="str">
        <f>IFERROR(INDEX('All Ticker P&amp;L'!$A$2:$A$1001,MATCH(ROWS($A$2:A437),'All Ticker P&amp;L'!$N$2:$N$1001,0)),"")</f>
        <v/>
      </c>
      <c r="B437" s="243" t="str">
        <f t="shared" si="59"/>
        <v/>
      </c>
      <c r="C437" s="243" t="str">
        <f t="shared" si="60"/>
        <v/>
      </c>
      <c r="D437" s="243" t="str">
        <f t="shared" si="61"/>
        <v/>
      </c>
      <c r="E437" s="265" t="str">
        <f>IF($A437="","",SUMIFS(Txn[Signed Units],Txn[Key],$A437))</f>
        <v/>
      </c>
      <c r="F437" s="287" t="str">
        <f>IF($A437="","",SUMIFS(Txn[Buy Cost],Txn[Key],$A437))</f>
        <v/>
      </c>
      <c r="G437" s="287" t="str">
        <f>IF($A437="","",SUMIFS(Txn[Sell Proceeds],Txn[Key],$A437))</f>
        <v/>
      </c>
      <c r="H437" s="288" t="str">
        <f>IF($A437="","",IFERROR(INDEX(Prices[Current Price],MATCH($A437,Prices[Key],0)),0))</f>
        <v/>
      </c>
      <c r="I437" s="289" t="str">
        <f>IF($A437="","",IFERROR(INDEX(Prices[FX to SGD],MATCH($A437,Prices[Key],0)),1))</f>
        <v/>
      </c>
      <c r="J437" s="287" t="str">
        <f t="shared" si="62"/>
        <v/>
      </c>
      <c r="K437" s="287" t="str">
        <f t="shared" si="63"/>
        <v/>
      </c>
      <c r="L437" s="287" t="str">
        <f t="shared" si="64"/>
        <v/>
      </c>
      <c r="M437" s="290" t="str">
        <f t="shared" si="65"/>
        <v/>
      </c>
      <c r="N437" t="str">
        <f>IF($A437="","",IFERROR(INDEX(Prices[Category],MATCH($A437,Prices[Key],0)),"Uncategorized"))</f>
        <v/>
      </c>
      <c r="O437" s="291" t="str">
        <f t="shared" si="66"/>
        <v/>
      </c>
      <c r="P437" s="291" t="str">
        <f t="shared" si="67"/>
        <v/>
      </c>
    </row>
    <row r="438" spans="1:16" ht="15" customHeight="1" x14ac:dyDescent="0.2">
      <c r="A438" s="243" t="str">
        <f>IFERROR(INDEX('All Ticker P&amp;L'!$A$2:$A$1001,MATCH(ROWS($A$2:A438),'All Ticker P&amp;L'!$N$2:$N$1001,0)),"")</f>
        <v/>
      </c>
      <c r="B438" s="243" t="str">
        <f t="shared" si="59"/>
        <v/>
      </c>
      <c r="C438" s="243" t="str">
        <f t="shared" si="60"/>
        <v/>
      </c>
      <c r="D438" s="243" t="str">
        <f t="shared" si="61"/>
        <v/>
      </c>
      <c r="E438" s="265" t="str">
        <f>IF($A438="","",SUMIFS(Txn[Signed Units],Txn[Key],$A438))</f>
        <v/>
      </c>
      <c r="F438" s="287" t="str">
        <f>IF($A438="","",SUMIFS(Txn[Buy Cost],Txn[Key],$A438))</f>
        <v/>
      </c>
      <c r="G438" s="287" t="str">
        <f>IF($A438="","",SUMIFS(Txn[Sell Proceeds],Txn[Key],$A438))</f>
        <v/>
      </c>
      <c r="H438" s="288" t="str">
        <f>IF($A438="","",IFERROR(INDEX(Prices[Current Price],MATCH($A438,Prices[Key],0)),0))</f>
        <v/>
      </c>
      <c r="I438" s="289" t="str">
        <f>IF($A438="","",IFERROR(INDEX(Prices[FX to SGD],MATCH($A438,Prices[Key],0)),1))</f>
        <v/>
      </c>
      <c r="J438" s="287" t="str">
        <f t="shared" si="62"/>
        <v/>
      </c>
      <c r="K438" s="287" t="str">
        <f t="shared" si="63"/>
        <v/>
      </c>
      <c r="L438" s="287" t="str">
        <f t="shared" si="64"/>
        <v/>
      </c>
      <c r="M438" s="290" t="str">
        <f t="shared" si="65"/>
        <v/>
      </c>
      <c r="N438" t="str">
        <f>IF($A438="","",IFERROR(INDEX(Prices[Category],MATCH($A438,Prices[Key],0)),"Uncategorized"))</f>
        <v/>
      </c>
      <c r="O438" s="291" t="str">
        <f t="shared" si="66"/>
        <v/>
      </c>
      <c r="P438" s="291" t="str">
        <f t="shared" si="67"/>
        <v/>
      </c>
    </row>
    <row r="439" spans="1:16" ht="15" customHeight="1" x14ac:dyDescent="0.2">
      <c r="A439" s="243" t="str">
        <f>IFERROR(INDEX('All Ticker P&amp;L'!$A$2:$A$1001,MATCH(ROWS($A$2:A439),'All Ticker P&amp;L'!$N$2:$N$1001,0)),"")</f>
        <v/>
      </c>
      <c r="B439" s="243" t="str">
        <f t="shared" si="59"/>
        <v/>
      </c>
      <c r="C439" s="243" t="str">
        <f t="shared" si="60"/>
        <v/>
      </c>
      <c r="D439" s="243" t="str">
        <f t="shared" si="61"/>
        <v/>
      </c>
      <c r="E439" s="265" t="str">
        <f>IF($A439="","",SUMIFS(Txn[Signed Units],Txn[Key],$A439))</f>
        <v/>
      </c>
      <c r="F439" s="287" t="str">
        <f>IF($A439="","",SUMIFS(Txn[Buy Cost],Txn[Key],$A439))</f>
        <v/>
      </c>
      <c r="G439" s="287" t="str">
        <f>IF($A439="","",SUMIFS(Txn[Sell Proceeds],Txn[Key],$A439))</f>
        <v/>
      </c>
      <c r="H439" s="288" t="str">
        <f>IF($A439="","",IFERROR(INDEX(Prices[Current Price],MATCH($A439,Prices[Key],0)),0))</f>
        <v/>
      </c>
      <c r="I439" s="289" t="str">
        <f>IF($A439="","",IFERROR(INDEX(Prices[FX to SGD],MATCH($A439,Prices[Key],0)),1))</f>
        <v/>
      </c>
      <c r="J439" s="287" t="str">
        <f t="shared" si="62"/>
        <v/>
      </c>
      <c r="K439" s="287" t="str">
        <f t="shared" si="63"/>
        <v/>
      </c>
      <c r="L439" s="287" t="str">
        <f t="shared" si="64"/>
        <v/>
      </c>
      <c r="M439" s="290" t="str">
        <f t="shared" si="65"/>
        <v/>
      </c>
      <c r="N439" t="str">
        <f>IF($A439="","",IFERROR(INDEX(Prices[Category],MATCH($A439,Prices[Key],0)),"Uncategorized"))</f>
        <v/>
      </c>
      <c r="O439" s="291" t="str">
        <f t="shared" si="66"/>
        <v/>
      </c>
      <c r="P439" s="291" t="str">
        <f t="shared" si="67"/>
        <v/>
      </c>
    </row>
    <row r="440" spans="1:16" ht="15" customHeight="1" x14ac:dyDescent="0.2">
      <c r="A440" s="243" t="str">
        <f>IFERROR(INDEX('All Ticker P&amp;L'!$A$2:$A$1001,MATCH(ROWS($A$2:A440),'All Ticker P&amp;L'!$N$2:$N$1001,0)),"")</f>
        <v/>
      </c>
      <c r="B440" s="243" t="str">
        <f t="shared" si="59"/>
        <v/>
      </c>
      <c r="C440" s="243" t="str">
        <f t="shared" si="60"/>
        <v/>
      </c>
      <c r="D440" s="243" t="str">
        <f t="shared" si="61"/>
        <v/>
      </c>
      <c r="E440" s="265" t="str">
        <f>IF($A440="","",SUMIFS(Txn[Signed Units],Txn[Key],$A440))</f>
        <v/>
      </c>
      <c r="F440" s="287" t="str">
        <f>IF($A440="","",SUMIFS(Txn[Buy Cost],Txn[Key],$A440))</f>
        <v/>
      </c>
      <c r="G440" s="287" t="str">
        <f>IF($A440="","",SUMIFS(Txn[Sell Proceeds],Txn[Key],$A440))</f>
        <v/>
      </c>
      <c r="H440" s="288" t="str">
        <f>IF($A440="","",IFERROR(INDEX(Prices[Current Price],MATCH($A440,Prices[Key],0)),0))</f>
        <v/>
      </c>
      <c r="I440" s="289" t="str">
        <f>IF($A440="","",IFERROR(INDEX(Prices[FX to SGD],MATCH($A440,Prices[Key],0)),1))</f>
        <v/>
      </c>
      <c r="J440" s="287" t="str">
        <f t="shared" si="62"/>
        <v/>
      </c>
      <c r="K440" s="287" t="str">
        <f t="shared" si="63"/>
        <v/>
      </c>
      <c r="L440" s="287" t="str">
        <f t="shared" si="64"/>
        <v/>
      </c>
      <c r="M440" s="290" t="str">
        <f t="shared" si="65"/>
        <v/>
      </c>
      <c r="N440" t="str">
        <f>IF($A440="","",IFERROR(INDEX(Prices[Category],MATCH($A440,Prices[Key],0)),"Uncategorized"))</f>
        <v/>
      </c>
      <c r="O440" s="291" t="str">
        <f t="shared" si="66"/>
        <v/>
      </c>
      <c r="P440" s="291" t="str">
        <f t="shared" si="67"/>
        <v/>
      </c>
    </row>
    <row r="441" spans="1:16" ht="15" customHeight="1" x14ac:dyDescent="0.2">
      <c r="A441" s="243" t="str">
        <f>IFERROR(INDEX('All Ticker P&amp;L'!$A$2:$A$1001,MATCH(ROWS($A$2:A441),'All Ticker P&amp;L'!$N$2:$N$1001,0)),"")</f>
        <v/>
      </c>
      <c r="B441" s="243" t="str">
        <f t="shared" si="59"/>
        <v/>
      </c>
      <c r="C441" s="243" t="str">
        <f t="shared" si="60"/>
        <v/>
      </c>
      <c r="D441" s="243" t="str">
        <f t="shared" si="61"/>
        <v/>
      </c>
      <c r="E441" s="265" t="str">
        <f>IF($A441="","",SUMIFS(Txn[Signed Units],Txn[Key],$A441))</f>
        <v/>
      </c>
      <c r="F441" s="287" t="str">
        <f>IF($A441="","",SUMIFS(Txn[Buy Cost],Txn[Key],$A441))</f>
        <v/>
      </c>
      <c r="G441" s="287" t="str">
        <f>IF($A441="","",SUMIFS(Txn[Sell Proceeds],Txn[Key],$A441))</f>
        <v/>
      </c>
      <c r="H441" s="288" t="str">
        <f>IF($A441="","",IFERROR(INDEX(Prices[Current Price],MATCH($A441,Prices[Key],0)),0))</f>
        <v/>
      </c>
      <c r="I441" s="289" t="str">
        <f>IF($A441="","",IFERROR(INDEX(Prices[FX to SGD],MATCH($A441,Prices[Key],0)),1))</f>
        <v/>
      </c>
      <c r="J441" s="287" t="str">
        <f t="shared" si="62"/>
        <v/>
      </c>
      <c r="K441" s="287" t="str">
        <f t="shared" si="63"/>
        <v/>
      </c>
      <c r="L441" s="287" t="str">
        <f t="shared" si="64"/>
        <v/>
      </c>
      <c r="M441" s="290" t="str">
        <f t="shared" si="65"/>
        <v/>
      </c>
      <c r="N441" t="str">
        <f>IF($A441="","",IFERROR(INDEX(Prices[Category],MATCH($A441,Prices[Key],0)),"Uncategorized"))</f>
        <v/>
      </c>
      <c r="O441" s="291" t="str">
        <f t="shared" si="66"/>
        <v/>
      </c>
      <c r="P441" s="291" t="str">
        <f t="shared" si="67"/>
        <v/>
      </c>
    </row>
    <row r="442" spans="1:16" ht="15" customHeight="1" x14ac:dyDescent="0.2">
      <c r="A442" s="243" t="str">
        <f>IFERROR(INDEX('All Ticker P&amp;L'!$A$2:$A$1001,MATCH(ROWS($A$2:A442),'All Ticker P&amp;L'!$N$2:$N$1001,0)),"")</f>
        <v/>
      </c>
      <c r="B442" s="243" t="str">
        <f t="shared" si="59"/>
        <v/>
      </c>
      <c r="C442" s="243" t="str">
        <f t="shared" si="60"/>
        <v/>
      </c>
      <c r="D442" s="243" t="str">
        <f t="shared" si="61"/>
        <v/>
      </c>
      <c r="E442" s="265" t="str">
        <f>IF($A442="","",SUMIFS(Txn[Signed Units],Txn[Key],$A442))</f>
        <v/>
      </c>
      <c r="F442" s="287" t="str">
        <f>IF($A442="","",SUMIFS(Txn[Buy Cost],Txn[Key],$A442))</f>
        <v/>
      </c>
      <c r="G442" s="287" t="str">
        <f>IF($A442="","",SUMIFS(Txn[Sell Proceeds],Txn[Key],$A442))</f>
        <v/>
      </c>
      <c r="H442" s="288" t="str">
        <f>IF($A442="","",IFERROR(INDEX(Prices[Current Price],MATCH($A442,Prices[Key],0)),0))</f>
        <v/>
      </c>
      <c r="I442" s="289" t="str">
        <f>IF($A442="","",IFERROR(INDEX(Prices[FX to SGD],MATCH($A442,Prices[Key],0)),1))</f>
        <v/>
      </c>
      <c r="J442" s="287" t="str">
        <f t="shared" si="62"/>
        <v/>
      </c>
      <c r="K442" s="287" t="str">
        <f t="shared" si="63"/>
        <v/>
      </c>
      <c r="L442" s="287" t="str">
        <f t="shared" si="64"/>
        <v/>
      </c>
      <c r="M442" s="290" t="str">
        <f t="shared" si="65"/>
        <v/>
      </c>
      <c r="N442" t="str">
        <f>IF($A442="","",IFERROR(INDEX(Prices[Category],MATCH($A442,Prices[Key],0)),"Uncategorized"))</f>
        <v/>
      </c>
      <c r="O442" s="291" t="str">
        <f t="shared" si="66"/>
        <v/>
      </c>
      <c r="P442" s="291" t="str">
        <f t="shared" si="67"/>
        <v/>
      </c>
    </row>
    <row r="443" spans="1:16" ht="15" customHeight="1" x14ac:dyDescent="0.2">
      <c r="A443" s="243" t="str">
        <f>IFERROR(INDEX('All Ticker P&amp;L'!$A$2:$A$1001,MATCH(ROWS($A$2:A443),'All Ticker P&amp;L'!$N$2:$N$1001,0)),"")</f>
        <v/>
      </c>
      <c r="B443" s="243" t="str">
        <f t="shared" si="59"/>
        <v/>
      </c>
      <c r="C443" s="243" t="str">
        <f t="shared" si="60"/>
        <v/>
      </c>
      <c r="D443" s="243" t="str">
        <f t="shared" si="61"/>
        <v/>
      </c>
      <c r="E443" s="265" t="str">
        <f>IF($A443="","",SUMIFS(Txn[Signed Units],Txn[Key],$A443))</f>
        <v/>
      </c>
      <c r="F443" s="287" t="str">
        <f>IF($A443="","",SUMIFS(Txn[Buy Cost],Txn[Key],$A443))</f>
        <v/>
      </c>
      <c r="G443" s="287" t="str">
        <f>IF($A443="","",SUMIFS(Txn[Sell Proceeds],Txn[Key],$A443))</f>
        <v/>
      </c>
      <c r="H443" s="288" t="str">
        <f>IF($A443="","",IFERROR(INDEX(Prices[Current Price],MATCH($A443,Prices[Key],0)),0))</f>
        <v/>
      </c>
      <c r="I443" s="289" t="str">
        <f>IF($A443="","",IFERROR(INDEX(Prices[FX to SGD],MATCH($A443,Prices[Key],0)),1))</f>
        <v/>
      </c>
      <c r="J443" s="287" t="str">
        <f t="shared" si="62"/>
        <v/>
      </c>
      <c r="K443" s="287" t="str">
        <f t="shared" si="63"/>
        <v/>
      </c>
      <c r="L443" s="287" t="str">
        <f t="shared" si="64"/>
        <v/>
      </c>
      <c r="M443" s="290" t="str">
        <f t="shared" si="65"/>
        <v/>
      </c>
      <c r="N443" t="str">
        <f>IF($A443="","",IFERROR(INDEX(Prices[Category],MATCH($A443,Prices[Key],0)),"Uncategorized"))</f>
        <v/>
      </c>
      <c r="O443" s="291" t="str">
        <f t="shared" si="66"/>
        <v/>
      </c>
      <c r="P443" s="291" t="str">
        <f t="shared" si="67"/>
        <v/>
      </c>
    </row>
    <row r="444" spans="1:16" ht="15" customHeight="1" x14ac:dyDescent="0.2">
      <c r="A444" s="243" t="str">
        <f>IFERROR(INDEX('All Ticker P&amp;L'!$A$2:$A$1001,MATCH(ROWS($A$2:A444),'All Ticker P&amp;L'!$N$2:$N$1001,0)),"")</f>
        <v/>
      </c>
      <c r="B444" s="243" t="str">
        <f t="shared" si="59"/>
        <v/>
      </c>
      <c r="C444" s="243" t="str">
        <f t="shared" si="60"/>
        <v/>
      </c>
      <c r="D444" s="243" t="str">
        <f t="shared" si="61"/>
        <v/>
      </c>
      <c r="E444" s="265" t="str">
        <f>IF($A444="","",SUMIFS(Txn[Signed Units],Txn[Key],$A444))</f>
        <v/>
      </c>
      <c r="F444" s="287" t="str">
        <f>IF($A444="","",SUMIFS(Txn[Buy Cost],Txn[Key],$A444))</f>
        <v/>
      </c>
      <c r="G444" s="287" t="str">
        <f>IF($A444="","",SUMIFS(Txn[Sell Proceeds],Txn[Key],$A444))</f>
        <v/>
      </c>
      <c r="H444" s="288" t="str">
        <f>IF($A444="","",IFERROR(INDEX(Prices[Current Price],MATCH($A444,Prices[Key],0)),0))</f>
        <v/>
      </c>
      <c r="I444" s="289" t="str">
        <f>IF($A444="","",IFERROR(INDEX(Prices[FX to SGD],MATCH($A444,Prices[Key],0)),1))</f>
        <v/>
      </c>
      <c r="J444" s="287" t="str">
        <f t="shared" si="62"/>
        <v/>
      </c>
      <c r="K444" s="287" t="str">
        <f t="shared" si="63"/>
        <v/>
      </c>
      <c r="L444" s="287" t="str">
        <f t="shared" si="64"/>
        <v/>
      </c>
      <c r="M444" s="290" t="str">
        <f t="shared" si="65"/>
        <v/>
      </c>
      <c r="N444" t="str">
        <f>IF($A444="","",IFERROR(INDEX(Prices[Category],MATCH($A444,Prices[Key],0)),"Uncategorized"))</f>
        <v/>
      </c>
      <c r="O444" s="291" t="str">
        <f t="shared" si="66"/>
        <v/>
      </c>
      <c r="P444" s="291" t="str">
        <f t="shared" si="67"/>
        <v/>
      </c>
    </row>
    <row r="445" spans="1:16" ht="15" customHeight="1" x14ac:dyDescent="0.2">
      <c r="A445" s="243" t="str">
        <f>IFERROR(INDEX('All Ticker P&amp;L'!$A$2:$A$1001,MATCH(ROWS($A$2:A445),'All Ticker P&amp;L'!$N$2:$N$1001,0)),"")</f>
        <v/>
      </c>
      <c r="B445" s="243" t="str">
        <f t="shared" si="59"/>
        <v/>
      </c>
      <c r="C445" s="243" t="str">
        <f t="shared" si="60"/>
        <v/>
      </c>
      <c r="D445" s="243" t="str">
        <f t="shared" si="61"/>
        <v/>
      </c>
      <c r="E445" s="265" t="str">
        <f>IF($A445="","",SUMIFS(Txn[Signed Units],Txn[Key],$A445))</f>
        <v/>
      </c>
      <c r="F445" s="287" t="str">
        <f>IF($A445="","",SUMIFS(Txn[Buy Cost],Txn[Key],$A445))</f>
        <v/>
      </c>
      <c r="G445" s="287" t="str">
        <f>IF($A445="","",SUMIFS(Txn[Sell Proceeds],Txn[Key],$A445))</f>
        <v/>
      </c>
      <c r="H445" s="288" t="str">
        <f>IF($A445="","",IFERROR(INDEX(Prices[Current Price],MATCH($A445,Prices[Key],0)),0))</f>
        <v/>
      </c>
      <c r="I445" s="289" t="str">
        <f>IF($A445="","",IFERROR(INDEX(Prices[FX to SGD],MATCH($A445,Prices[Key],0)),1))</f>
        <v/>
      </c>
      <c r="J445" s="287" t="str">
        <f t="shared" si="62"/>
        <v/>
      </c>
      <c r="K445" s="287" t="str">
        <f t="shared" si="63"/>
        <v/>
      </c>
      <c r="L445" s="287" t="str">
        <f t="shared" si="64"/>
        <v/>
      </c>
      <c r="M445" s="290" t="str">
        <f t="shared" si="65"/>
        <v/>
      </c>
      <c r="N445" t="str">
        <f>IF($A445="","",IFERROR(INDEX(Prices[Category],MATCH($A445,Prices[Key],0)),"Uncategorized"))</f>
        <v/>
      </c>
      <c r="O445" s="291" t="str">
        <f t="shared" si="66"/>
        <v/>
      </c>
      <c r="P445" s="291" t="str">
        <f t="shared" si="67"/>
        <v/>
      </c>
    </row>
    <row r="446" spans="1:16" ht="15" customHeight="1" x14ac:dyDescent="0.2">
      <c r="A446" s="243" t="str">
        <f>IFERROR(INDEX('All Ticker P&amp;L'!$A$2:$A$1001,MATCH(ROWS($A$2:A446),'All Ticker P&amp;L'!$N$2:$N$1001,0)),"")</f>
        <v/>
      </c>
      <c r="B446" s="243" t="str">
        <f t="shared" si="59"/>
        <v/>
      </c>
      <c r="C446" s="243" t="str">
        <f t="shared" si="60"/>
        <v/>
      </c>
      <c r="D446" s="243" t="str">
        <f t="shared" si="61"/>
        <v/>
      </c>
      <c r="E446" s="265" t="str">
        <f>IF($A446="","",SUMIFS(Txn[Signed Units],Txn[Key],$A446))</f>
        <v/>
      </c>
      <c r="F446" s="287" t="str">
        <f>IF($A446="","",SUMIFS(Txn[Buy Cost],Txn[Key],$A446))</f>
        <v/>
      </c>
      <c r="G446" s="287" t="str">
        <f>IF($A446="","",SUMIFS(Txn[Sell Proceeds],Txn[Key],$A446))</f>
        <v/>
      </c>
      <c r="H446" s="288" t="str">
        <f>IF($A446="","",IFERROR(INDEX(Prices[Current Price],MATCH($A446,Prices[Key],0)),0))</f>
        <v/>
      </c>
      <c r="I446" s="289" t="str">
        <f>IF($A446="","",IFERROR(INDEX(Prices[FX to SGD],MATCH($A446,Prices[Key],0)),1))</f>
        <v/>
      </c>
      <c r="J446" s="287" t="str">
        <f t="shared" si="62"/>
        <v/>
      </c>
      <c r="K446" s="287" t="str">
        <f t="shared" si="63"/>
        <v/>
      </c>
      <c r="L446" s="287" t="str">
        <f t="shared" si="64"/>
        <v/>
      </c>
      <c r="M446" s="290" t="str">
        <f t="shared" si="65"/>
        <v/>
      </c>
      <c r="N446" t="str">
        <f>IF($A446="","",IFERROR(INDEX(Prices[Category],MATCH($A446,Prices[Key],0)),"Uncategorized"))</f>
        <v/>
      </c>
      <c r="O446" s="291" t="str">
        <f t="shared" si="66"/>
        <v/>
      </c>
      <c r="P446" s="291" t="str">
        <f t="shared" si="67"/>
        <v/>
      </c>
    </row>
    <row r="447" spans="1:16" ht="15" customHeight="1" x14ac:dyDescent="0.2">
      <c r="A447" s="243" t="str">
        <f>IFERROR(INDEX('All Ticker P&amp;L'!$A$2:$A$1001,MATCH(ROWS($A$2:A447),'All Ticker P&amp;L'!$N$2:$N$1001,0)),"")</f>
        <v/>
      </c>
      <c r="B447" s="243" t="str">
        <f t="shared" si="59"/>
        <v/>
      </c>
      <c r="C447" s="243" t="str">
        <f t="shared" si="60"/>
        <v/>
      </c>
      <c r="D447" s="243" t="str">
        <f t="shared" si="61"/>
        <v/>
      </c>
      <c r="E447" s="265" t="str">
        <f>IF($A447="","",SUMIFS(Txn[Signed Units],Txn[Key],$A447))</f>
        <v/>
      </c>
      <c r="F447" s="287" t="str">
        <f>IF($A447="","",SUMIFS(Txn[Buy Cost],Txn[Key],$A447))</f>
        <v/>
      </c>
      <c r="G447" s="287" t="str">
        <f>IF($A447="","",SUMIFS(Txn[Sell Proceeds],Txn[Key],$A447))</f>
        <v/>
      </c>
      <c r="H447" s="288" t="str">
        <f>IF($A447="","",IFERROR(INDEX(Prices[Current Price],MATCH($A447,Prices[Key],0)),0))</f>
        <v/>
      </c>
      <c r="I447" s="289" t="str">
        <f>IF($A447="","",IFERROR(INDEX(Prices[FX to SGD],MATCH($A447,Prices[Key],0)),1))</f>
        <v/>
      </c>
      <c r="J447" s="287" t="str">
        <f t="shared" si="62"/>
        <v/>
      </c>
      <c r="K447" s="287" t="str">
        <f t="shared" si="63"/>
        <v/>
      </c>
      <c r="L447" s="287" t="str">
        <f t="shared" si="64"/>
        <v/>
      </c>
      <c r="M447" s="290" t="str">
        <f t="shared" si="65"/>
        <v/>
      </c>
      <c r="N447" t="str">
        <f>IF($A447="","",IFERROR(INDEX(Prices[Category],MATCH($A447,Prices[Key],0)),"Uncategorized"))</f>
        <v/>
      </c>
      <c r="O447" s="291" t="str">
        <f t="shared" si="66"/>
        <v/>
      </c>
      <c r="P447" s="291" t="str">
        <f t="shared" si="67"/>
        <v/>
      </c>
    </row>
    <row r="448" spans="1:16" ht="15" customHeight="1" x14ac:dyDescent="0.2">
      <c r="A448" s="243" t="str">
        <f>IFERROR(INDEX('All Ticker P&amp;L'!$A$2:$A$1001,MATCH(ROWS($A$2:A448),'All Ticker P&amp;L'!$N$2:$N$1001,0)),"")</f>
        <v/>
      </c>
      <c r="B448" s="243" t="str">
        <f t="shared" si="59"/>
        <v/>
      </c>
      <c r="C448" s="243" t="str">
        <f t="shared" si="60"/>
        <v/>
      </c>
      <c r="D448" s="243" t="str">
        <f t="shared" si="61"/>
        <v/>
      </c>
      <c r="E448" s="265" t="str">
        <f>IF($A448="","",SUMIFS(Txn[Signed Units],Txn[Key],$A448))</f>
        <v/>
      </c>
      <c r="F448" s="287" t="str">
        <f>IF($A448="","",SUMIFS(Txn[Buy Cost],Txn[Key],$A448))</f>
        <v/>
      </c>
      <c r="G448" s="287" t="str">
        <f>IF($A448="","",SUMIFS(Txn[Sell Proceeds],Txn[Key],$A448))</f>
        <v/>
      </c>
      <c r="H448" s="288" t="str">
        <f>IF($A448="","",IFERROR(INDEX(Prices[Current Price],MATCH($A448,Prices[Key],0)),0))</f>
        <v/>
      </c>
      <c r="I448" s="289" t="str">
        <f>IF($A448="","",IFERROR(INDEX(Prices[FX to SGD],MATCH($A448,Prices[Key],0)),1))</f>
        <v/>
      </c>
      <c r="J448" s="287" t="str">
        <f t="shared" si="62"/>
        <v/>
      </c>
      <c r="K448" s="287" t="str">
        <f t="shared" si="63"/>
        <v/>
      </c>
      <c r="L448" s="287" t="str">
        <f t="shared" si="64"/>
        <v/>
      </c>
      <c r="M448" s="290" t="str">
        <f t="shared" si="65"/>
        <v/>
      </c>
      <c r="N448" t="str">
        <f>IF($A448="","",IFERROR(INDEX(Prices[Category],MATCH($A448,Prices[Key],0)),"Uncategorized"))</f>
        <v/>
      </c>
      <c r="O448" s="291" t="str">
        <f t="shared" si="66"/>
        <v/>
      </c>
      <c r="P448" s="291" t="str">
        <f t="shared" si="67"/>
        <v/>
      </c>
    </row>
    <row r="449" spans="1:16" ht="15" customHeight="1" x14ac:dyDescent="0.2">
      <c r="A449" s="243" t="str">
        <f>IFERROR(INDEX('All Ticker P&amp;L'!$A$2:$A$1001,MATCH(ROWS($A$2:A449),'All Ticker P&amp;L'!$N$2:$N$1001,0)),"")</f>
        <v/>
      </c>
      <c r="B449" s="243" t="str">
        <f t="shared" si="59"/>
        <v/>
      </c>
      <c r="C449" s="243" t="str">
        <f t="shared" si="60"/>
        <v/>
      </c>
      <c r="D449" s="243" t="str">
        <f t="shared" si="61"/>
        <v/>
      </c>
      <c r="E449" s="265" t="str">
        <f>IF($A449="","",SUMIFS(Txn[Signed Units],Txn[Key],$A449))</f>
        <v/>
      </c>
      <c r="F449" s="287" t="str">
        <f>IF($A449="","",SUMIFS(Txn[Buy Cost],Txn[Key],$A449))</f>
        <v/>
      </c>
      <c r="G449" s="287" t="str">
        <f>IF($A449="","",SUMIFS(Txn[Sell Proceeds],Txn[Key],$A449))</f>
        <v/>
      </c>
      <c r="H449" s="288" t="str">
        <f>IF($A449="","",IFERROR(INDEX(Prices[Current Price],MATCH($A449,Prices[Key],0)),0))</f>
        <v/>
      </c>
      <c r="I449" s="289" t="str">
        <f>IF($A449="","",IFERROR(INDEX(Prices[FX to SGD],MATCH($A449,Prices[Key],0)),1))</f>
        <v/>
      </c>
      <c r="J449" s="287" t="str">
        <f t="shared" si="62"/>
        <v/>
      </c>
      <c r="K449" s="287" t="str">
        <f t="shared" si="63"/>
        <v/>
      </c>
      <c r="L449" s="287" t="str">
        <f t="shared" si="64"/>
        <v/>
      </c>
      <c r="M449" s="290" t="str">
        <f t="shared" si="65"/>
        <v/>
      </c>
      <c r="N449" t="str">
        <f>IF($A449="","",IFERROR(INDEX(Prices[Category],MATCH($A449,Prices[Key],0)),"Uncategorized"))</f>
        <v/>
      </c>
      <c r="O449" s="291" t="str">
        <f t="shared" si="66"/>
        <v/>
      </c>
      <c r="P449" s="291" t="str">
        <f t="shared" si="67"/>
        <v/>
      </c>
    </row>
    <row r="450" spans="1:16" ht="15" customHeight="1" x14ac:dyDescent="0.2">
      <c r="A450" s="243" t="str">
        <f>IFERROR(INDEX('All Ticker P&amp;L'!$A$2:$A$1001,MATCH(ROWS($A$2:A450),'All Ticker P&amp;L'!$N$2:$N$1001,0)),"")</f>
        <v/>
      </c>
      <c r="B450" s="243" t="str">
        <f t="shared" ref="B450:B513" si="68">IF($A450="","",LEFT($A450,FIND(":",$A450)-1))</f>
        <v/>
      </c>
      <c r="C450" s="243" t="str">
        <f t="shared" ref="C450:C513" si="69">IF($A450="","",MID($A450,FIND(":",$A450)+1,FIND(":",$A450,FIND(":",$A450)+1)-FIND(":",$A450)-1))</f>
        <v/>
      </c>
      <c r="D450" s="243" t="str">
        <f t="shared" ref="D450:D513" si="70">IF($A450="","",RIGHT($A450,LEN($A450)-FIND(":",$A450,FIND(":",$A450)+1)))</f>
        <v/>
      </c>
      <c r="E450" s="265" t="str">
        <f>IF($A450="","",SUMIFS(Txn[Signed Units],Txn[Key],$A450))</f>
        <v/>
      </c>
      <c r="F450" s="287" t="str">
        <f>IF($A450="","",SUMIFS(Txn[Buy Cost],Txn[Key],$A450))</f>
        <v/>
      </c>
      <c r="G450" s="287" t="str">
        <f>IF($A450="","",SUMIFS(Txn[Sell Proceeds],Txn[Key],$A450))</f>
        <v/>
      </c>
      <c r="H450" s="288" t="str">
        <f>IF($A450="","",IFERROR(INDEX(Prices[Current Price],MATCH($A450,Prices[Key],0)),0))</f>
        <v/>
      </c>
      <c r="I450" s="289" t="str">
        <f>IF($A450="","",IFERROR(INDEX(Prices[FX to SGD],MATCH($A450,Prices[Key],0)),1))</f>
        <v/>
      </c>
      <c r="J450" s="287" t="str">
        <f t="shared" ref="J450:J513" si="71">IF($A450="","",E450*H450)</f>
        <v/>
      </c>
      <c r="K450" s="287" t="str">
        <f t="shared" ref="K450:K513" si="72">IF($A450="","",J450+G450-F450)</f>
        <v/>
      </c>
      <c r="L450" s="287" t="str">
        <f t="shared" ref="L450:L513" si="73">IF($A450="","",K450*I450)</f>
        <v/>
      </c>
      <c r="M450" s="290" t="str">
        <f t="shared" ref="M450:M513" si="74">IF($A450="","",IFERROR(K450/F450,0))</f>
        <v/>
      </c>
      <c r="N450" t="str">
        <f>IF($A450="","",IFERROR(INDEX(Prices[Category],MATCH($A450,Prices[Key],0)),"Uncategorized"))</f>
        <v/>
      </c>
      <c r="O450" s="291" t="str">
        <f t="shared" ref="O450:O513" si="75">IF($A450="","",$J450*$I450)</f>
        <v/>
      </c>
      <c r="P450" s="291" t="str">
        <f t="shared" ref="P450:P513" si="76">IF($A450="","",$L450)</f>
        <v/>
      </c>
    </row>
    <row r="451" spans="1:16" ht="15" customHeight="1" x14ac:dyDescent="0.2">
      <c r="A451" s="243" t="str">
        <f>IFERROR(INDEX('All Ticker P&amp;L'!$A$2:$A$1001,MATCH(ROWS($A$2:A451),'All Ticker P&amp;L'!$N$2:$N$1001,0)),"")</f>
        <v/>
      </c>
      <c r="B451" s="243" t="str">
        <f t="shared" si="68"/>
        <v/>
      </c>
      <c r="C451" s="243" t="str">
        <f t="shared" si="69"/>
        <v/>
      </c>
      <c r="D451" s="243" t="str">
        <f t="shared" si="70"/>
        <v/>
      </c>
      <c r="E451" s="265" t="str">
        <f>IF($A451="","",SUMIFS(Txn[Signed Units],Txn[Key],$A451))</f>
        <v/>
      </c>
      <c r="F451" s="287" t="str">
        <f>IF($A451="","",SUMIFS(Txn[Buy Cost],Txn[Key],$A451))</f>
        <v/>
      </c>
      <c r="G451" s="287" t="str">
        <f>IF($A451="","",SUMIFS(Txn[Sell Proceeds],Txn[Key],$A451))</f>
        <v/>
      </c>
      <c r="H451" s="288" t="str">
        <f>IF($A451="","",IFERROR(INDEX(Prices[Current Price],MATCH($A451,Prices[Key],0)),0))</f>
        <v/>
      </c>
      <c r="I451" s="289" t="str">
        <f>IF($A451="","",IFERROR(INDEX(Prices[FX to SGD],MATCH($A451,Prices[Key],0)),1))</f>
        <v/>
      </c>
      <c r="J451" s="287" t="str">
        <f t="shared" si="71"/>
        <v/>
      </c>
      <c r="K451" s="287" t="str">
        <f t="shared" si="72"/>
        <v/>
      </c>
      <c r="L451" s="287" t="str">
        <f t="shared" si="73"/>
        <v/>
      </c>
      <c r="M451" s="290" t="str">
        <f t="shared" si="74"/>
        <v/>
      </c>
      <c r="N451" t="str">
        <f>IF($A451="","",IFERROR(INDEX(Prices[Category],MATCH($A451,Prices[Key],0)),"Uncategorized"))</f>
        <v/>
      </c>
      <c r="O451" s="291" t="str">
        <f t="shared" si="75"/>
        <v/>
      </c>
      <c r="P451" s="291" t="str">
        <f t="shared" si="76"/>
        <v/>
      </c>
    </row>
    <row r="452" spans="1:16" ht="15" customHeight="1" x14ac:dyDescent="0.2">
      <c r="A452" s="243" t="str">
        <f>IFERROR(INDEX('All Ticker P&amp;L'!$A$2:$A$1001,MATCH(ROWS($A$2:A452),'All Ticker P&amp;L'!$N$2:$N$1001,0)),"")</f>
        <v/>
      </c>
      <c r="B452" s="243" t="str">
        <f t="shared" si="68"/>
        <v/>
      </c>
      <c r="C452" s="243" t="str">
        <f t="shared" si="69"/>
        <v/>
      </c>
      <c r="D452" s="243" t="str">
        <f t="shared" si="70"/>
        <v/>
      </c>
      <c r="E452" s="265" t="str">
        <f>IF($A452="","",SUMIFS(Txn[Signed Units],Txn[Key],$A452))</f>
        <v/>
      </c>
      <c r="F452" s="287" t="str">
        <f>IF($A452="","",SUMIFS(Txn[Buy Cost],Txn[Key],$A452))</f>
        <v/>
      </c>
      <c r="G452" s="287" t="str">
        <f>IF($A452="","",SUMIFS(Txn[Sell Proceeds],Txn[Key],$A452))</f>
        <v/>
      </c>
      <c r="H452" s="288" t="str">
        <f>IF($A452="","",IFERROR(INDEX(Prices[Current Price],MATCH($A452,Prices[Key],0)),0))</f>
        <v/>
      </c>
      <c r="I452" s="289" t="str">
        <f>IF($A452="","",IFERROR(INDEX(Prices[FX to SGD],MATCH($A452,Prices[Key],0)),1))</f>
        <v/>
      </c>
      <c r="J452" s="287" t="str">
        <f t="shared" si="71"/>
        <v/>
      </c>
      <c r="K452" s="287" t="str">
        <f t="shared" si="72"/>
        <v/>
      </c>
      <c r="L452" s="287" t="str">
        <f t="shared" si="73"/>
        <v/>
      </c>
      <c r="M452" s="290" t="str">
        <f t="shared" si="74"/>
        <v/>
      </c>
      <c r="N452" t="str">
        <f>IF($A452="","",IFERROR(INDEX(Prices[Category],MATCH($A452,Prices[Key],0)),"Uncategorized"))</f>
        <v/>
      </c>
      <c r="O452" s="291" t="str">
        <f t="shared" si="75"/>
        <v/>
      </c>
      <c r="P452" s="291" t="str">
        <f t="shared" si="76"/>
        <v/>
      </c>
    </row>
    <row r="453" spans="1:16" ht="15" customHeight="1" x14ac:dyDescent="0.2">
      <c r="A453" s="243" t="str">
        <f>IFERROR(INDEX('All Ticker P&amp;L'!$A$2:$A$1001,MATCH(ROWS($A$2:A453),'All Ticker P&amp;L'!$N$2:$N$1001,0)),"")</f>
        <v/>
      </c>
      <c r="B453" s="243" t="str">
        <f t="shared" si="68"/>
        <v/>
      </c>
      <c r="C453" s="243" t="str">
        <f t="shared" si="69"/>
        <v/>
      </c>
      <c r="D453" s="243" t="str">
        <f t="shared" si="70"/>
        <v/>
      </c>
      <c r="E453" s="265" t="str">
        <f>IF($A453="","",SUMIFS(Txn[Signed Units],Txn[Key],$A453))</f>
        <v/>
      </c>
      <c r="F453" s="287" t="str">
        <f>IF($A453="","",SUMIFS(Txn[Buy Cost],Txn[Key],$A453))</f>
        <v/>
      </c>
      <c r="G453" s="287" t="str">
        <f>IF($A453="","",SUMIFS(Txn[Sell Proceeds],Txn[Key],$A453))</f>
        <v/>
      </c>
      <c r="H453" s="288" t="str">
        <f>IF($A453="","",IFERROR(INDEX(Prices[Current Price],MATCH($A453,Prices[Key],0)),0))</f>
        <v/>
      </c>
      <c r="I453" s="289" t="str">
        <f>IF($A453="","",IFERROR(INDEX(Prices[FX to SGD],MATCH($A453,Prices[Key],0)),1))</f>
        <v/>
      </c>
      <c r="J453" s="287" t="str">
        <f t="shared" si="71"/>
        <v/>
      </c>
      <c r="K453" s="287" t="str">
        <f t="shared" si="72"/>
        <v/>
      </c>
      <c r="L453" s="287" t="str">
        <f t="shared" si="73"/>
        <v/>
      </c>
      <c r="M453" s="290" t="str">
        <f t="shared" si="74"/>
        <v/>
      </c>
      <c r="N453" t="str">
        <f>IF($A453="","",IFERROR(INDEX(Prices[Category],MATCH($A453,Prices[Key],0)),"Uncategorized"))</f>
        <v/>
      </c>
      <c r="O453" s="291" t="str">
        <f t="shared" si="75"/>
        <v/>
      </c>
      <c r="P453" s="291" t="str">
        <f t="shared" si="76"/>
        <v/>
      </c>
    </row>
    <row r="454" spans="1:16" ht="15" customHeight="1" x14ac:dyDescent="0.2">
      <c r="A454" s="243" t="str">
        <f>IFERROR(INDEX('All Ticker P&amp;L'!$A$2:$A$1001,MATCH(ROWS($A$2:A454),'All Ticker P&amp;L'!$N$2:$N$1001,0)),"")</f>
        <v/>
      </c>
      <c r="B454" s="243" t="str">
        <f t="shared" si="68"/>
        <v/>
      </c>
      <c r="C454" s="243" t="str">
        <f t="shared" si="69"/>
        <v/>
      </c>
      <c r="D454" s="243" t="str">
        <f t="shared" si="70"/>
        <v/>
      </c>
      <c r="E454" s="265" t="str">
        <f>IF($A454="","",SUMIFS(Txn[Signed Units],Txn[Key],$A454))</f>
        <v/>
      </c>
      <c r="F454" s="287" t="str">
        <f>IF($A454="","",SUMIFS(Txn[Buy Cost],Txn[Key],$A454))</f>
        <v/>
      </c>
      <c r="G454" s="287" t="str">
        <f>IF($A454="","",SUMIFS(Txn[Sell Proceeds],Txn[Key],$A454))</f>
        <v/>
      </c>
      <c r="H454" s="288" t="str">
        <f>IF($A454="","",IFERROR(INDEX(Prices[Current Price],MATCH($A454,Prices[Key],0)),0))</f>
        <v/>
      </c>
      <c r="I454" s="289" t="str">
        <f>IF($A454="","",IFERROR(INDEX(Prices[FX to SGD],MATCH($A454,Prices[Key],0)),1))</f>
        <v/>
      </c>
      <c r="J454" s="287" t="str">
        <f t="shared" si="71"/>
        <v/>
      </c>
      <c r="K454" s="287" t="str">
        <f t="shared" si="72"/>
        <v/>
      </c>
      <c r="L454" s="287" t="str">
        <f t="shared" si="73"/>
        <v/>
      </c>
      <c r="M454" s="290" t="str">
        <f t="shared" si="74"/>
        <v/>
      </c>
      <c r="N454" t="str">
        <f>IF($A454="","",IFERROR(INDEX(Prices[Category],MATCH($A454,Prices[Key],0)),"Uncategorized"))</f>
        <v/>
      </c>
      <c r="O454" s="291" t="str">
        <f t="shared" si="75"/>
        <v/>
      </c>
      <c r="P454" s="291" t="str">
        <f t="shared" si="76"/>
        <v/>
      </c>
    </row>
    <row r="455" spans="1:16" ht="15" customHeight="1" x14ac:dyDescent="0.2">
      <c r="A455" s="243" t="str">
        <f>IFERROR(INDEX('All Ticker P&amp;L'!$A$2:$A$1001,MATCH(ROWS($A$2:A455),'All Ticker P&amp;L'!$N$2:$N$1001,0)),"")</f>
        <v/>
      </c>
      <c r="B455" s="243" t="str">
        <f t="shared" si="68"/>
        <v/>
      </c>
      <c r="C455" s="243" t="str">
        <f t="shared" si="69"/>
        <v/>
      </c>
      <c r="D455" s="243" t="str">
        <f t="shared" si="70"/>
        <v/>
      </c>
      <c r="E455" s="265" t="str">
        <f>IF($A455="","",SUMIFS(Txn[Signed Units],Txn[Key],$A455))</f>
        <v/>
      </c>
      <c r="F455" s="287" t="str">
        <f>IF($A455="","",SUMIFS(Txn[Buy Cost],Txn[Key],$A455))</f>
        <v/>
      </c>
      <c r="G455" s="287" t="str">
        <f>IF($A455="","",SUMIFS(Txn[Sell Proceeds],Txn[Key],$A455))</f>
        <v/>
      </c>
      <c r="H455" s="288" t="str">
        <f>IF($A455="","",IFERROR(INDEX(Prices[Current Price],MATCH($A455,Prices[Key],0)),0))</f>
        <v/>
      </c>
      <c r="I455" s="289" t="str">
        <f>IF($A455="","",IFERROR(INDEX(Prices[FX to SGD],MATCH($A455,Prices[Key],0)),1))</f>
        <v/>
      </c>
      <c r="J455" s="287" t="str">
        <f t="shared" si="71"/>
        <v/>
      </c>
      <c r="K455" s="287" t="str">
        <f t="shared" si="72"/>
        <v/>
      </c>
      <c r="L455" s="287" t="str">
        <f t="shared" si="73"/>
        <v/>
      </c>
      <c r="M455" s="290" t="str">
        <f t="shared" si="74"/>
        <v/>
      </c>
      <c r="N455" t="str">
        <f>IF($A455="","",IFERROR(INDEX(Prices[Category],MATCH($A455,Prices[Key],0)),"Uncategorized"))</f>
        <v/>
      </c>
      <c r="O455" s="291" t="str">
        <f t="shared" si="75"/>
        <v/>
      </c>
      <c r="P455" s="291" t="str">
        <f t="shared" si="76"/>
        <v/>
      </c>
    </row>
    <row r="456" spans="1:16" ht="15" customHeight="1" x14ac:dyDescent="0.2">
      <c r="A456" s="243" t="str">
        <f>IFERROR(INDEX('All Ticker P&amp;L'!$A$2:$A$1001,MATCH(ROWS($A$2:A456),'All Ticker P&amp;L'!$N$2:$N$1001,0)),"")</f>
        <v/>
      </c>
      <c r="B456" s="243" t="str">
        <f t="shared" si="68"/>
        <v/>
      </c>
      <c r="C456" s="243" t="str">
        <f t="shared" si="69"/>
        <v/>
      </c>
      <c r="D456" s="243" t="str">
        <f t="shared" si="70"/>
        <v/>
      </c>
      <c r="E456" s="265" t="str">
        <f>IF($A456="","",SUMIFS(Txn[Signed Units],Txn[Key],$A456))</f>
        <v/>
      </c>
      <c r="F456" s="287" t="str">
        <f>IF($A456="","",SUMIFS(Txn[Buy Cost],Txn[Key],$A456))</f>
        <v/>
      </c>
      <c r="G456" s="287" t="str">
        <f>IF($A456="","",SUMIFS(Txn[Sell Proceeds],Txn[Key],$A456))</f>
        <v/>
      </c>
      <c r="H456" s="288" t="str">
        <f>IF($A456="","",IFERROR(INDEX(Prices[Current Price],MATCH($A456,Prices[Key],0)),0))</f>
        <v/>
      </c>
      <c r="I456" s="289" t="str">
        <f>IF($A456="","",IFERROR(INDEX(Prices[FX to SGD],MATCH($A456,Prices[Key],0)),1))</f>
        <v/>
      </c>
      <c r="J456" s="287" t="str">
        <f t="shared" si="71"/>
        <v/>
      </c>
      <c r="K456" s="287" t="str">
        <f t="shared" si="72"/>
        <v/>
      </c>
      <c r="L456" s="287" t="str">
        <f t="shared" si="73"/>
        <v/>
      </c>
      <c r="M456" s="290" t="str">
        <f t="shared" si="74"/>
        <v/>
      </c>
      <c r="N456" t="str">
        <f>IF($A456="","",IFERROR(INDEX(Prices[Category],MATCH($A456,Prices[Key],0)),"Uncategorized"))</f>
        <v/>
      </c>
      <c r="O456" s="291" t="str">
        <f t="shared" si="75"/>
        <v/>
      </c>
      <c r="P456" s="291" t="str">
        <f t="shared" si="76"/>
        <v/>
      </c>
    </row>
    <row r="457" spans="1:16" ht="15" customHeight="1" x14ac:dyDescent="0.2">
      <c r="A457" s="243" t="str">
        <f>IFERROR(INDEX('All Ticker P&amp;L'!$A$2:$A$1001,MATCH(ROWS($A$2:A457),'All Ticker P&amp;L'!$N$2:$N$1001,0)),"")</f>
        <v/>
      </c>
      <c r="B457" s="243" t="str">
        <f t="shared" si="68"/>
        <v/>
      </c>
      <c r="C457" s="243" t="str">
        <f t="shared" si="69"/>
        <v/>
      </c>
      <c r="D457" s="243" t="str">
        <f t="shared" si="70"/>
        <v/>
      </c>
      <c r="E457" s="265" t="str">
        <f>IF($A457="","",SUMIFS(Txn[Signed Units],Txn[Key],$A457))</f>
        <v/>
      </c>
      <c r="F457" s="287" t="str">
        <f>IF($A457="","",SUMIFS(Txn[Buy Cost],Txn[Key],$A457))</f>
        <v/>
      </c>
      <c r="G457" s="287" t="str">
        <f>IF($A457="","",SUMIFS(Txn[Sell Proceeds],Txn[Key],$A457))</f>
        <v/>
      </c>
      <c r="H457" s="288" t="str">
        <f>IF($A457="","",IFERROR(INDEX(Prices[Current Price],MATCH($A457,Prices[Key],0)),0))</f>
        <v/>
      </c>
      <c r="I457" s="289" t="str">
        <f>IF($A457="","",IFERROR(INDEX(Prices[FX to SGD],MATCH($A457,Prices[Key],0)),1))</f>
        <v/>
      </c>
      <c r="J457" s="287" t="str">
        <f t="shared" si="71"/>
        <v/>
      </c>
      <c r="K457" s="287" t="str">
        <f t="shared" si="72"/>
        <v/>
      </c>
      <c r="L457" s="287" t="str">
        <f t="shared" si="73"/>
        <v/>
      </c>
      <c r="M457" s="290" t="str">
        <f t="shared" si="74"/>
        <v/>
      </c>
      <c r="N457" t="str">
        <f>IF($A457="","",IFERROR(INDEX(Prices[Category],MATCH($A457,Prices[Key],0)),"Uncategorized"))</f>
        <v/>
      </c>
      <c r="O457" s="291" t="str">
        <f t="shared" si="75"/>
        <v/>
      </c>
      <c r="P457" s="291" t="str">
        <f t="shared" si="76"/>
        <v/>
      </c>
    </row>
    <row r="458" spans="1:16" ht="15" customHeight="1" x14ac:dyDescent="0.2">
      <c r="A458" s="243" t="str">
        <f>IFERROR(INDEX('All Ticker P&amp;L'!$A$2:$A$1001,MATCH(ROWS($A$2:A458),'All Ticker P&amp;L'!$N$2:$N$1001,0)),"")</f>
        <v/>
      </c>
      <c r="B458" s="243" t="str">
        <f t="shared" si="68"/>
        <v/>
      </c>
      <c r="C458" s="243" t="str">
        <f t="shared" si="69"/>
        <v/>
      </c>
      <c r="D458" s="243" t="str">
        <f t="shared" si="70"/>
        <v/>
      </c>
      <c r="E458" s="265" t="str">
        <f>IF($A458="","",SUMIFS(Txn[Signed Units],Txn[Key],$A458))</f>
        <v/>
      </c>
      <c r="F458" s="287" t="str">
        <f>IF($A458="","",SUMIFS(Txn[Buy Cost],Txn[Key],$A458))</f>
        <v/>
      </c>
      <c r="G458" s="287" t="str">
        <f>IF($A458="","",SUMIFS(Txn[Sell Proceeds],Txn[Key],$A458))</f>
        <v/>
      </c>
      <c r="H458" s="288" t="str">
        <f>IF($A458="","",IFERROR(INDEX(Prices[Current Price],MATCH($A458,Prices[Key],0)),0))</f>
        <v/>
      </c>
      <c r="I458" s="289" t="str">
        <f>IF($A458="","",IFERROR(INDEX(Prices[FX to SGD],MATCH($A458,Prices[Key],0)),1))</f>
        <v/>
      </c>
      <c r="J458" s="287" t="str">
        <f t="shared" si="71"/>
        <v/>
      </c>
      <c r="K458" s="287" t="str">
        <f t="shared" si="72"/>
        <v/>
      </c>
      <c r="L458" s="287" t="str">
        <f t="shared" si="73"/>
        <v/>
      </c>
      <c r="M458" s="290" t="str">
        <f t="shared" si="74"/>
        <v/>
      </c>
      <c r="N458" t="str">
        <f>IF($A458="","",IFERROR(INDEX(Prices[Category],MATCH($A458,Prices[Key],0)),"Uncategorized"))</f>
        <v/>
      </c>
      <c r="O458" s="291" t="str">
        <f t="shared" si="75"/>
        <v/>
      </c>
      <c r="P458" s="291" t="str">
        <f t="shared" si="76"/>
        <v/>
      </c>
    </row>
    <row r="459" spans="1:16" ht="15" customHeight="1" x14ac:dyDescent="0.2">
      <c r="A459" s="243" t="str">
        <f>IFERROR(INDEX('All Ticker P&amp;L'!$A$2:$A$1001,MATCH(ROWS($A$2:A459),'All Ticker P&amp;L'!$N$2:$N$1001,0)),"")</f>
        <v/>
      </c>
      <c r="B459" s="243" t="str">
        <f t="shared" si="68"/>
        <v/>
      </c>
      <c r="C459" s="243" t="str">
        <f t="shared" si="69"/>
        <v/>
      </c>
      <c r="D459" s="243" t="str">
        <f t="shared" si="70"/>
        <v/>
      </c>
      <c r="E459" s="265" t="str">
        <f>IF($A459="","",SUMIFS(Txn[Signed Units],Txn[Key],$A459))</f>
        <v/>
      </c>
      <c r="F459" s="287" t="str">
        <f>IF($A459="","",SUMIFS(Txn[Buy Cost],Txn[Key],$A459))</f>
        <v/>
      </c>
      <c r="G459" s="287" t="str">
        <f>IF($A459="","",SUMIFS(Txn[Sell Proceeds],Txn[Key],$A459))</f>
        <v/>
      </c>
      <c r="H459" s="288" t="str">
        <f>IF($A459="","",IFERROR(INDEX(Prices[Current Price],MATCH($A459,Prices[Key],0)),0))</f>
        <v/>
      </c>
      <c r="I459" s="289" t="str">
        <f>IF($A459="","",IFERROR(INDEX(Prices[FX to SGD],MATCH($A459,Prices[Key],0)),1))</f>
        <v/>
      </c>
      <c r="J459" s="287" t="str">
        <f t="shared" si="71"/>
        <v/>
      </c>
      <c r="K459" s="287" t="str">
        <f t="shared" si="72"/>
        <v/>
      </c>
      <c r="L459" s="287" t="str">
        <f t="shared" si="73"/>
        <v/>
      </c>
      <c r="M459" s="290" t="str">
        <f t="shared" si="74"/>
        <v/>
      </c>
      <c r="N459" t="str">
        <f>IF($A459="","",IFERROR(INDEX(Prices[Category],MATCH($A459,Prices[Key],0)),"Uncategorized"))</f>
        <v/>
      </c>
      <c r="O459" s="291" t="str">
        <f t="shared" si="75"/>
        <v/>
      </c>
      <c r="P459" s="291" t="str">
        <f t="shared" si="76"/>
        <v/>
      </c>
    </row>
    <row r="460" spans="1:16" ht="15" customHeight="1" x14ac:dyDescent="0.2">
      <c r="A460" s="243" t="str">
        <f>IFERROR(INDEX('All Ticker P&amp;L'!$A$2:$A$1001,MATCH(ROWS($A$2:A460),'All Ticker P&amp;L'!$N$2:$N$1001,0)),"")</f>
        <v/>
      </c>
      <c r="B460" s="243" t="str">
        <f t="shared" si="68"/>
        <v/>
      </c>
      <c r="C460" s="243" t="str">
        <f t="shared" si="69"/>
        <v/>
      </c>
      <c r="D460" s="243" t="str">
        <f t="shared" si="70"/>
        <v/>
      </c>
      <c r="E460" s="265" t="str">
        <f>IF($A460="","",SUMIFS(Txn[Signed Units],Txn[Key],$A460))</f>
        <v/>
      </c>
      <c r="F460" s="287" t="str">
        <f>IF($A460="","",SUMIFS(Txn[Buy Cost],Txn[Key],$A460))</f>
        <v/>
      </c>
      <c r="G460" s="287" t="str">
        <f>IF($A460="","",SUMIFS(Txn[Sell Proceeds],Txn[Key],$A460))</f>
        <v/>
      </c>
      <c r="H460" s="288" t="str">
        <f>IF($A460="","",IFERROR(INDEX(Prices[Current Price],MATCH($A460,Prices[Key],0)),0))</f>
        <v/>
      </c>
      <c r="I460" s="289" t="str">
        <f>IF($A460="","",IFERROR(INDEX(Prices[FX to SGD],MATCH($A460,Prices[Key],0)),1))</f>
        <v/>
      </c>
      <c r="J460" s="287" t="str">
        <f t="shared" si="71"/>
        <v/>
      </c>
      <c r="K460" s="287" t="str">
        <f t="shared" si="72"/>
        <v/>
      </c>
      <c r="L460" s="287" t="str">
        <f t="shared" si="73"/>
        <v/>
      </c>
      <c r="M460" s="290" t="str">
        <f t="shared" si="74"/>
        <v/>
      </c>
      <c r="N460" t="str">
        <f>IF($A460="","",IFERROR(INDEX(Prices[Category],MATCH($A460,Prices[Key],0)),"Uncategorized"))</f>
        <v/>
      </c>
      <c r="O460" s="291" t="str">
        <f t="shared" si="75"/>
        <v/>
      </c>
      <c r="P460" s="291" t="str">
        <f t="shared" si="76"/>
        <v/>
      </c>
    </row>
    <row r="461" spans="1:16" ht="15" customHeight="1" x14ac:dyDescent="0.2">
      <c r="A461" s="243" t="str">
        <f>IFERROR(INDEX('All Ticker P&amp;L'!$A$2:$A$1001,MATCH(ROWS($A$2:A461),'All Ticker P&amp;L'!$N$2:$N$1001,0)),"")</f>
        <v/>
      </c>
      <c r="B461" s="243" t="str">
        <f t="shared" si="68"/>
        <v/>
      </c>
      <c r="C461" s="243" t="str">
        <f t="shared" si="69"/>
        <v/>
      </c>
      <c r="D461" s="243" t="str">
        <f t="shared" si="70"/>
        <v/>
      </c>
      <c r="E461" s="265" t="str">
        <f>IF($A461="","",SUMIFS(Txn[Signed Units],Txn[Key],$A461))</f>
        <v/>
      </c>
      <c r="F461" s="287" t="str">
        <f>IF($A461="","",SUMIFS(Txn[Buy Cost],Txn[Key],$A461))</f>
        <v/>
      </c>
      <c r="G461" s="287" t="str">
        <f>IF($A461="","",SUMIFS(Txn[Sell Proceeds],Txn[Key],$A461))</f>
        <v/>
      </c>
      <c r="H461" s="288" t="str">
        <f>IF($A461="","",IFERROR(INDEX(Prices[Current Price],MATCH($A461,Prices[Key],0)),0))</f>
        <v/>
      </c>
      <c r="I461" s="289" t="str">
        <f>IF($A461="","",IFERROR(INDEX(Prices[FX to SGD],MATCH($A461,Prices[Key],0)),1))</f>
        <v/>
      </c>
      <c r="J461" s="287" t="str">
        <f t="shared" si="71"/>
        <v/>
      </c>
      <c r="K461" s="287" t="str">
        <f t="shared" si="72"/>
        <v/>
      </c>
      <c r="L461" s="287" t="str">
        <f t="shared" si="73"/>
        <v/>
      </c>
      <c r="M461" s="290" t="str">
        <f t="shared" si="74"/>
        <v/>
      </c>
      <c r="N461" t="str">
        <f>IF($A461="","",IFERROR(INDEX(Prices[Category],MATCH($A461,Prices[Key],0)),"Uncategorized"))</f>
        <v/>
      </c>
      <c r="O461" s="291" t="str">
        <f t="shared" si="75"/>
        <v/>
      </c>
      <c r="P461" s="291" t="str">
        <f t="shared" si="76"/>
        <v/>
      </c>
    </row>
    <row r="462" spans="1:16" ht="15" customHeight="1" x14ac:dyDescent="0.2">
      <c r="A462" s="243" t="str">
        <f>IFERROR(INDEX('All Ticker P&amp;L'!$A$2:$A$1001,MATCH(ROWS($A$2:A462),'All Ticker P&amp;L'!$N$2:$N$1001,0)),"")</f>
        <v/>
      </c>
      <c r="B462" s="243" t="str">
        <f t="shared" si="68"/>
        <v/>
      </c>
      <c r="C462" s="243" t="str">
        <f t="shared" si="69"/>
        <v/>
      </c>
      <c r="D462" s="243" t="str">
        <f t="shared" si="70"/>
        <v/>
      </c>
      <c r="E462" s="265" t="str">
        <f>IF($A462="","",SUMIFS(Txn[Signed Units],Txn[Key],$A462))</f>
        <v/>
      </c>
      <c r="F462" s="287" t="str">
        <f>IF($A462="","",SUMIFS(Txn[Buy Cost],Txn[Key],$A462))</f>
        <v/>
      </c>
      <c r="G462" s="287" t="str">
        <f>IF($A462="","",SUMIFS(Txn[Sell Proceeds],Txn[Key],$A462))</f>
        <v/>
      </c>
      <c r="H462" s="288" t="str">
        <f>IF($A462="","",IFERROR(INDEX(Prices[Current Price],MATCH($A462,Prices[Key],0)),0))</f>
        <v/>
      </c>
      <c r="I462" s="289" t="str">
        <f>IF($A462="","",IFERROR(INDEX(Prices[FX to SGD],MATCH($A462,Prices[Key],0)),1))</f>
        <v/>
      </c>
      <c r="J462" s="287" t="str">
        <f t="shared" si="71"/>
        <v/>
      </c>
      <c r="K462" s="287" t="str">
        <f t="shared" si="72"/>
        <v/>
      </c>
      <c r="L462" s="287" t="str">
        <f t="shared" si="73"/>
        <v/>
      </c>
      <c r="M462" s="290" t="str">
        <f t="shared" si="74"/>
        <v/>
      </c>
      <c r="N462" t="str">
        <f>IF($A462="","",IFERROR(INDEX(Prices[Category],MATCH($A462,Prices[Key],0)),"Uncategorized"))</f>
        <v/>
      </c>
      <c r="O462" s="291" t="str">
        <f t="shared" si="75"/>
        <v/>
      </c>
      <c r="P462" s="291" t="str">
        <f t="shared" si="76"/>
        <v/>
      </c>
    </row>
    <row r="463" spans="1:16" ht="15" customHeight="1" x14ac:dyDescent="0.2">
      <c r="A463" s="243" t="str">
        <f>IFERROR(INDEX('All Ticker P&amp;L'!$A$2:$A$1001,MATCH(ROWS($A$2:A463),'All Ticker P&amp;L'!$N$2:$N$1001,0)),"")</f>
        <v/>
      </c>
      <c r="B463" s="243" t="str">
        <f t="shared" si="68"/>
        <v/>
      </c>
      <c r="C463" s="243" t="str">
        <f t="shared" si="69"/>
        <v/>
      </c>
      <c r="D463" s="243" t="str">
        <f t="shared" si="70"/>
        <v/>
      </c>
      <c r="E463" s="265" t="str">
        <f>IF($A463="","",SUMIFS(Txn[Signed Units],Txn[Key],$A463))</f>
        <v/>
      </c>
      <c r="F463" s="287" t="str">
        <f>IF($A463="","",SUMIFS(Txn[Buy Cost],Txn[Key],$A463))</f>
        <v/>
      </c>
      <c r="G463" s="287" t="str">
        <f>IF($A463="","",SUMIFS(Txn[Sell Proceeds],Txn[Key],$A463))</f>
        <v/>
      </c>
      <c r="H463" s="288" t="str">
        <f>IF($A463="","",IFERROR(INDEX(Prices[Current Price],MATCH($A463,Prices[Key],0)),0))</f>
        <v/>
      </c>
      <c r="I463" s="289" t="str">
        <f>IF($A463="","",IFERROR(INDEX(Prices[FX to SGD],MATCH($A463,Prices[Key],0)),1))</f>
        <v/>
      </c>
      <c r="J463" s="287" t="str">
        <f t="shared" si="71"/>
        <v/>
      </c>
      <c r="K463" s="287" t="str">
        <f t="shared" si="72"/>
        <v/>
      </c>
      <c r="L463" s="287" t="str">
        <f t="shared" si="73"/>
        <v/>
      </c>
      <c r="M463" s="290" t="str">
        <f t="shared" si="74"/>
        <v/>
      </c>
      <c r="N463" t="str">
        <f>IF($A463="","",IFERROR(INDEX(Prices[Category],MATCH($A463,Prices[Key],0)),"Uncategorized"))</f>
        <v/>
      </c>
      <c r="O463" s="291" t="str">
        <f t="shared" si="75"/>
        <v/>
      </c>
      <c r="P463" s="291" t="str">
        <f t="shared" si="76"/>
        <v/>
      </c>
    </row>
    <row r="464" spans="1:16" ht="15" customHeight="1" x14ac:dyDescent="0.2">
      <c r="A464" s="243" t="str">
        <f>IFERROR(INDEX('All Ticker P&amp;L'!$A$2:$A$1001,MATCH(ROWS($A$2:A464),'All Ticker P&amp;L'!$N$2:$N$1001,0)),"")</f>
        <v/>
      </c>
      <c r="B464" s="243" t="str">
        <f t="shared" si="68"/>
        <v/>
      </c>
      <c r="C464" s="243" t="str">
        <f t="shared" si="69"/>
        <v/>
      </c>
      <c r="D464" s="243" t="str">
        <f t="shared" si="70"/>
        <v/>
      </c>
      <c r="E464" s="265" t="str">
        <f>IF($A464="","",SUMIFS(Txn[Signed Units],Txn[Key],$A464))</f>
        <v/>
      </c>
      <c r="F464" s="287" t="str">
        <f>IF($A464="","",SUMIFS(Txn[Buy Cost],Txn[Key],$A464))</f>
        <v/>
      </c>
      <c r="G464" s="287" t="str">
        <f>IF($A464="","",SUMIFS(Txn[Sell Proceeds],Txn[Key],$A464))</f>
        <v/>
      </c>
      <c r="H464" s="288" t="str">
        <f>IF($A464="","",IFERROR(INDEX(Prices[Current Price],MATCH($A464,Prices[Key],0)),0))</f>
        <v/>
      </c>
      <c r="I464" s="289" t="str">
        <f>IF($A464="","",IFERROR(INDEX(Prices[FX to SGD],MATCH($A464,Prices[Key],0)),1))</f>
        <v/>
      </c>
      <c r="J464" s="287" t="str">
        <f t="shared" si="71"/>
        <v/>
      </c>
      <c r="K464" s="287" t="str">
        <f t="shared" si="72"/>
        <v/>
      </c>
      <c r="L464" s="287" t="str">
        <f t="shared" si="73"/>
        <v/>
      </c>
      <c r="M464" s="290" t="str">
        <f t="shared" si="74"/>
        <v/>
      </c>
      <c r="N464" t="str">
        <f>IF($A464="","",IFERROR(INDEX(Prices[Category],MATCH($A464,Prices[Key],0)),"Uncategorized"))</f>
        <v/>
      </c>
      <c r="O464" s="291" t="str">
        <f t="shared" si="75"/>
        <v/>
      </c>
      <c r="P464" s="291" t="str">
        <f t="shared" si="76"/>
        <v/>
      </c>
    </row>
    <row r="465" spans="1:16" ht="15" customHeight="1" x14ac:dyDescent="0.2">
      <c r="A465" s="243" t="str">
        <f>IFERROR(INDEX('All Ticker P&amp;L'!$A$2:$A$1001,MATCH(ROWS($A$2:A465),'All Ticker P&amp;L'!$N$2:$N$1001,0)),"")</f>
        <v/>
      </c>
      <c r="B465" s="243" t="str">
        <f t="shared" si="68"/>
        <v/>
      </c>
      <c r="C465" s="243" t="str">
        <f t="shared" si="69"/>
        <v/>
      </c>
      <c r="D465" s="243" t="str">
        <f t="shared" si="70"/>
        <v/>
      </c>
      <c r="E465" s="265" t="str">
        <f>IF($A465="","",SUMIFS(Txn[Signed Units],Txn[Key],$A465))</f>
        <v/>
      </c>
      <c r="F465" s="287" t="str">
        <f>IF($A465="","",SUMIFS(Txn[Buy Cost],Txn[Key],$A465))</f>
        <v/>
      </c>
      <c r="G465" s="287" t="str">
        <f>IF($A465="","",SUMIFS(Txn[Sell Proceeds],Txn[Key],$A465))</f>
        <v/>
      </c>
      <c r="H465" s="288" t="str">
        <f>IF($A465="","",IFERROR(INDEX(Prices[Current Price],MATCH($A465,Prices[Key],0)),0))</f>
        <v/>
      </c>
      <c r="I465" s="289" t="str">
        <f>IF($A465="","",IFERROR(INDEX(Prices[FX to SGD],MATCH($A465,Prices[Key],0)),1))</f>
        <v/>
      </c>
      <c r="J465" s="287" t="str">
        <f t="shared" si="71"/>
        <v/>
      </c>
      <c r="K465" s="287" t="str">
        <f t="shared" si="72"/>
        <v/>
      </c>
      <c r="L465" s="287" t="str">
        <f t="shared" si="73"/>
        <v/>
      </c>
      <c r="M465" s="290" t="str">
        <f t="shared" si="74"/>
        <v/>
      </c>
      <c r="N465" t="str">
        <f>IF($A465="","",IFERROR(INDEX(Prices[Category],MATCH($A465,Prices[Key],0)),"Uncategorized"))</f>
        <v/>
      </c>
      <c r="O465" s="291" t="str">
        <f t="shared" si="75"/>
        <v/>
      </c>
      <c r="P465" s="291" t="str">
        <f t="shared" si="76"/>
        <v/>
      </c>
    </row>
    <row r="466" spans="1:16" ht="15" customHeight="1" x14ac:dyDescent="0.2">
      <c r="A466" s="243" t="str">
        <f>IFERROR(INDEX('All Ticker P&amp;L'!$A$2:$A$1001,MATCH(ROWS($A$2:A466),'All Ticker P&amp;L'!$N$2:$N$1001,0)),"")</f>
        <v/>
      </c>
      <c r="B466" s="243" t="str">
        <f t="shared" si="68"/>
        <v/>
      </c>
      <c r="C466" s="243" t="str">
        <f t="shared" si="69"/>
        <v/>
      </c>
      <c r="D466" s="243" t="str">
        <f t="shared" si="70"/>
        <v/>
      </c>
      <c r="E466" s="265" t="str">
        <f>IF($A466="","",SUMIFS(Txn[Signed Units],Txn[Key],$A466))</f>
        <v/>
      </c>
      <c r="F466" s="287" t="str">
        <f>IF($A466="","",SUMIFS(Txn[Buy Cost],Txn[Key],$A466))</f>
        <v/>
      </c>
      <c r="G466" s="287" t="str">
        <f>IF($A466="","",SUMIFS(Txn[Sell Proceeds],Txn[Key],$A466))</f>
        <v/>
      </c>
      <c r="H466" s="288" t="str">
        <f>IF($A466="","",IFERROR(INDEX(Prices[Current Price],MATCH($A466,Prices[Key],0)),0))</f>
        <v/>
      </c>
      <c r="I466" s="289" t="str">
        <f>IF($A466="","",IFERROR(INDEX(Prices[FX to SGD],MATCH($A466,Prices[Key],0)),1))</f>
        <v/>
      </c>
      <c r="J466" s="287" t="str">
        <f t="shared" si="71"/>
        <v/>
      </c>
      <c r="K466" s="287" t="str">
        <f t="shared" si="72"/>
        <v/>
      </c>
      <c r="L466" s="287" t="str">
        <f t="shared" si="73"/>
        <v/>
      </c>
      <c r="M466" s="290" t="str">
        <f t="shared" si="74"/>
        <v/>
      </c>
      <c r="N466" t="str">
        <f>IF($A466="","",IFERROR(INDEX(Prices[Category],MATCH($A466,Prices[Key],0)),"Uncategorized"))</f>
        <v/>
      </c>
      <c r="O466" s="291" t="str">
        <f t="shared" si="75"/>
        <v/>
      </c>
      <c r="P466" s="291" t="str">
        <f t="shared" si="76"/>
        <v/>
      </c>
    </row>
    <row r="467" spans="1:16" ht="15" customHeight="1" x14ac:dyDescent="0.2">
      <c r="A467" s="243" t="str">
        <f>IFERROR(INDEX('All Ticker P&amp;L'!$A$2:$A$1001,MATCH(ROWS($A$2:A467),'All Ticker P&amp;L'!$N$2:$N$1001,0)),"")</f>
        <v/>
      </c>
      <c r="B467" s="243" t="str">
        <f t="shared" si="68"/>
        <v/>
      </c>
      <c r="C467" s="243" t="str">
        <f t="shared" si="69"/>
        <v/>
      </c>
      <c r="D467" s="243" t="str">
        <f t="shared" si="70"/>
        <v/>
      </c>
      <c r="E467" s="265" t="str">
        <f>IF($A467="","",SUMIFS(Txn[Signed Units],Txn[Key],$A467))</f>
        <v/>
      </c>
      <c r="F467" s="287" t="str">
        <f>IF($A467="","",SUMIFS(Txn[Buy Cost],Txn[Key],$A467))</f>
        <v/>
      </c>
      <c r="G467" s="287" t="str">
        <f>IF($A467="","",SUMIFS(Txn[Sell Proceeds],Txn[Key],$A467))</f>
        <v/>
      </c>
      <c r="H467" s="288" t="str">
        <f>IF($A467="","",IFERROR(INDEX(Prices[Current Price],MATCH($A467,Prices[Key],0)),0))</f>
        <v/>
      </c>
      <c r="I467" s="289" t="str">
        <f>IF($A467="","",IFERROR(INDEX(Prices[FX to SGD],MATCH($A467,Prices[Key],0)),1))</f>
        <v/>
      </c>
      <c r="J467" s="287" t="str">
        <f t="shared" si="71"/>
        <v/>
      </c>
      <c r="K467" s="287" t="str">
        <f t="shared" si="72"/>
        <v/>
      </c>
      <c r="L467" s="287" t="str">
        <f t="shared" si="73"/>
        <v/>
      </c>
      <c r="M467" s="290" t="str">
        <f t="shared" si="74"/>
        <v/>
      </c>
      <c r="N467" t="str">
        <f>IF($A467="","",IFERROR(INDEX(Prices[Category],MATCH($A467,Prices[Key],0)),"Uncategorized"))</f>
        <v/>
      </c>
      <c r="O467" s="291" t="str">
        <f t="shared" si="75"/>
        <v/>
      </c>
      <c r="P467" s="291" t="str">
        <f t="shared" si="76"/>
        <v/>
      </c>
    </row>
    <row r="468" spans="1:16" ht="15" customHeight="1" x14ac:dyDescent="0.2">
      <c r="A468" s="243" t="str">
        <f>IFERROR(INDEX('All Ticker P&amp;L'!$A$2:$A$1001,MATCH(ROWS($A$2:A468),'All Ticker P&amp;L'!$N$2:$N$1001,0)),"")</f>
        <v/>
      </c>
      <c r="B468" s="243" t="str">
        <f t="shared" si="68"/>
        <v/>
      </c>
      <c r="C468" s="243" t="str">
        <f t="shared" si="69"/>
        <v/>
      </c>
      <c r="D468" s="243" t="str">
        <f t="shared" si="70"/>
        <v/>
      </c>
      <c r="E468" s="265" t="str">
        <f>IF($A468="","",SUMIFS(Txn[Signed Units],Txn[Key],$A468))</f>
        <v/>
      </c>
      <c r="F468" s="287" t="str">
        <f>IF($A468="","",SUMIFS(Txn[Buy Cost],Txn[Key],$A468))</f>
        <v/>
      </c>
      <c r="G468" s="287" t="str">
        <f>IF($A468="","",SUMIFS(Txn[Sell Proceeds],Txn[Key],$A468))</f>
        <v/>
      </c>
      <c r="H468" s="288" t="str">
        <f>IF($A468="","",IFERROR(INDEX(Prices[Current Price],MATCH($A468,Prices[Key],0)),0))</f>
        <v/>
      </c>
      <c r="I468" s="289" t="str">
        <f>IF($A468="","",IFERROR(INDEX(Prices[FX to SGD],MATCH($A468,Prices[Key],0)),1))</f>
        <v/>
      </c>
      <c r="J468" s="287" t="str">
        <f t="shared" si="71"/>
        <v/>
      </c>
      <c r="K468" s="287" t="str">
        <f t="shared" si="72"/>
        <v/>
      </c>
      <c r="L468" s="287" t="str">
        <f t="shared" si="73"/>
        <v/>
      </c>
      <c r="M468" s="290" t="str">
        <f t="shared" si="74"/>
        <v/>
      </c>
      <c r="N468" t="str">
        <f>IF($A468="","",IFERROR(INDEX(Prices[Category],MATCH($A468,Prices[Key],0)),"Uncategorized"))</f>
        <v/>
      </c>
      <c r="O468" s="291" t="str">
        <f t="shared" si="75"/>
        <v/>
      </c>
      <c r="P468" s="291" t="str">
        <f t="shared" si="76"/>
        <v/>
      </c>
    </row>
    <row r="469" spans="1:16" ht="15" customHeight="1" x14ac:dyDescent="0.2">
      <c r="A469" s="243" t="str">
        <f>IFERROR(INDEX('All Ticker P&amp;L'!$A$2:$A$1001,MATCH(ROWS($A$2:A469),'All Ticker P&amp;L'!$N$2:$N$1001,0)),"")</f>
        <v/>
      </c>
      <c r="B469" s="243" t="str">
        <f t="shared" si="68"/>
        <v/>
      </c>
      <c r="C469" s="243" t="str">
        <f t="shared" si="69"/>
        <v/>
      </c>
      <c r="D469" s="243" t="str">
        <f t="shared" si="70"/>
        <v/>
      </c>
      <c r="E469" s="265" t="str">
        <f>IF($A469="","",SUMIFS(Txn[Signed Units],Txn[Key],$A469))</f>
        <v/>
      </c>
      <c r="F469" s="287" t="str">
        <f>IF($A469="","",SUMIFS(Txn[Buy Cost],Txn[Key],$A469))</f>
        <v/>
      </c>
      <c r="G469" s="287" t="str">
        <f>IF($A469="","",SUMIFS(Txn[Sell Proceeds],Txn[Key],$A469))</f>
        <v/>
      </c>
      <c r="H469" s="288" t="str">
        <f>IF($A469="","",IFERROR(INDEX(Prices[Current Price],MATCH($A469,Prices[Key],0)),0))</f>
        <v/>
      </c>
      <c r="I469" s="289" t="str">
        <f>IF($A469="","",IFERROR(INDEX(Prices[FX to SGD],MATCH($A469,Prices[Key],0)),1))</f>
        <v/>
      </c>
      <c r="J469" s="287" t="str">
        <f t="shared" si="71"/>
        <v/>
      </c>
      <c r="K469" s="287" t="str">
        <f t="shared" si="72"/>
        <v/>
      </c>
      <c r="L469" s="287" t="str">
        <f t="shared" si="73"/>
        <v/>
      </c>
      <c r="M469" s="290" t="str">
        <f t="shared" si="74"/>
        <v/>
      </c>
      <c r="N469" t="str">
        <f>IF($A469="","",IFERROR(INDEX(Prices[Category],MATCH($A469,Prices[Key],0)),"Uncategorized"))</f>
        <v/>
      </c>
      <c r="O469" s="291" t="str">
        <f t="shared" si="75"/>
        <v/>
      </c>
      <c r="P469" s="291" t="str">
        <f t="shared" si="76"/>
        <v/>
      </c>
    </row>
    <row r="470" spans="1:16" ht="15" customHeight="1" x14ac:dyDescent="0.2">
      <c r="A470" s="243" t="str">
        <f>IFERROR(INDEX('All Ticker P&amp;L'!$A$2:$A$1001,MATCH(ROWS($A$2:A470),'All Ticker P&amp;L'!$N$2:$N$1001,0)),"")</f>
        <v/>
      </c>
      <c r="B470" s="243" t="str">
        <f t="shared" si="68"/>
        <v/>
      </c>
      <c r="C470" s="243" t="str">
        <f t="shared" si="69"/>
        <v/>
      </c>
      <c r="D470" s="243" t="str">
        <f t="shared" si="70"/>
        <v/>
      </c>
      <c r="E470" s="265" t="str">
        <f>IF($A470="","",SUMIFS(Txn[Signed Units],Txn[Key],$A470))</f>
        <v/>
      </c>
      <c r="F470" s="287" t="str">
        <f>IF($A470="","",SUMIFS(Txn[Buy Cost],Txn[Key],$A470))</f>
        <v/>
      </c>
      <c r="G470" s="287" t="str">
        <f>IF($A470="","",SUMIFS(Txn[Sell Proceeds],Txn[Key],$A470))</f>
        <v/>
      </c>
      <c r="H470" s="288" t="str">
        <f>IF($A470="","",IFERROR(INDEX(Prices[Current Price],MATCH($A470,Prices[Key],0)),0))</f>
        <v/>
      </c>
      <c r="I470" s="289" t="str">
        <f>IF($A470="","",IFERROR(INDEX(Prices[FX to SGD],MATCH($A470,Prices[Key],0)),1))</f>
        <v/>
      </c>
      <c r="J470" s="287" t="str">
        <f t="shared" si="71"/>
        <v/>
      </c>
      <c r="K470" s="287" t="str">
        <f t="shared" si="72"/>
        <v/>
      </c>
      <c r="L470" s="287" t="str">
        <f t="shared" si="73"/>
        <v/>
      </c>
      <c r="M470" s="290" t="str">
        <f t="shared" si="74"/>
        <v/>
      </c>
      <c r="N470" t="str">
        <f>IF($A470="","",IFERROR(INDEX(Prices[Category],MATCH($A470,Prices[Key],0)),"Uncategorized"))</f>
        <v/>
      </c>
      <c r="O470" s="291" t="str">
        <f t="shared" si="75"/>
        <v/>
      </c>
      <c r="P470" s="291" t="str">
        <f t="shared" si="76"/>
        <v/>
      </c>
    </row>
    <row r="471" spans="1:16" ht="15" customHeight="1" x14ac:dyDescent="0.2">
      <c r="A471" s="243" t="str">
        <f>IFERROR(INDEX('All Ticker P&amp;L'!$A$2:$A$1001,MATCH(ROWS($A$2:A471),'All Ticker P&amp;L'!$N$2:$N$1001,0)),"")</f>
        <v/>
      </c>
      <c r="B471" s="243" t="str">
        <f t="shared" si="68"/>
        <v/>
      </c>
      <c r="C471" s="243" t="str">
        <f t="shared" si="69"/>
        <v/>
      </c>
      <c r="D471" s="243" t="str">
        <f t="shared" si="70"/>
        <v/>
      </c>
      <c r="E471" s="265" t="str">
        <f>IF($A471="","",SUMIFS(Txn[Signed Units],Txn[Key],$A471))</f>
        <v/>
      </c>
      <c r="F471" s="287" t="str">
        <f>IF($A471="","",SUMIFS(Txn[Buy Cost],Txn[Key],$A471))</f>
        <v/>
      </c>
      <c r="G471" s="287" t="str">
        <f>IF($A471="","",SUMIFS(Txn[Sell Proceeds],Txn[Key],$A471))</f>
        <v/>
      </c>
      <c r="H471" s="288" t="str">
        <f>IF($A471="","",IFERROR(INDEX(Prices[Current Price],MATCH($A471,Prices[Key],0)),0))</f>
        <v/>
      </c>
      <c r="I471" s="289" t="str">
        <f>IF($A471="","",IFERROR(INDEX(Prices[FX to SGD],MATCH($A471,Prices[Key],0)),1))</f>
        <v/>
      </c>
      <c r="J471" s="287" t="str">
        <f t="shared" si="71"/>
        <v/>
      </c>
      <c r="K471" s="287" t="str">
        <f t="shared" si="72"/>
        <v/>
      </c>
      <c r="L471" s="287" t="str">
        <f t="shared" si="73"/>
        <v/>
      </c>
      <c r="M471" s="290" t="str">
        <f t="shared" si="74"/>
        <v/>
      </c>
      <c r="N471" t="str">
        <f>IF($A471="","",IFERROR(INDEX(Prices[Category],MATCH($A471,Prices[Key],0)),"Uncategorized"))</f>
        <v/>
      </c>
      <c r="O471" s="291" t="str">
        <f t="shared" si="75"/>
        <v/>
      </c>
      <c r="P471" s="291" t="str">
        <f t="shared" si="76"/>
        <v/>
      </c>
    </row>
    <row r="472" spans="1:16" ht="15" customHeight="1" x14ac:dyDescent="0.2">
      <c r="A472" s="243" t="str">
        <f>IFERROR(INDEX('All Ticker P&amp;L'!$A$2:$A$1001,MATCH(ROWS($A$2:A472),'All Ticker P&amp;L'!$N$2:$N$1001,0)),"")</f>
        <v/>
      </c>
      <c r="B472" s="243" t="str">
        <f t="shared" si="68"/>
        <v/>
      </c>
      <c r="C472" s="243" t="str">
        <f t="shared" si="69"/>
        <v/>
      </c>
      <c r="D472" s="243" t="str">
        <f t="shared" si="70"/>
        <v/>
      </c>
      <c r="E472" s="265" t="str">
        <f>IF($A472="","",SUMIFS(Txn[Signed Units],Txn[Key],$A472))</f>
        <v/>
      </c>
      <c r="F472" s="287" t="str">
        <f>IF($A472="","",SUMIFS(Txn[Buy Cost],Txn[Key],$A472))</f>
        <v/>
      </c>
      <c r="G472" s="287" t="str">
        <f>IF($A472="","",SUMIFS(Txn[Sell Proceeds],Txn[Key],$A472))</f>
        <v/>
      </c>
      <c r="H472" s="288" t="str">
        <f>IF($A472="","",IFERROR(INDEX(Prices[Current Price],MATCH($A472,Prices[Key],0)),0))</f>
        <v/>
      </c>
      <c r="I472" s="289" t="str">
        <f>IF($A472="","",IFERROR(INDEX(Prices[FX to SGD],MATCH($A472,Prices[Key],0)),1))</f>
        <v/>
      </c>
      <c r="J472" s="287" t="str">
        <f t="shared" si="71"/>
        <v/>
      </c>
      <c r="K472" s="287" t="str">
        <f t="shared" si="72"/>
        <v/>
      </c>
      <c r="L472" s="287" t="str">
        <f t="shared" si="73"/>
        <v/>
      </c>
      <c r="M472" s="290" t="str">
        <f t="shared" si="74"/>
        <v/>
      </c>
      <c r="N472" t="str">
        <f>IF($A472="","",IFERROR(INDEX(Prices[Category],MATCH($A472,Prices[Key],0)),"Uncategorized"))</f>
        <v/>
      </c>
      <c r="O472" s="291" t="str">
        <f t="shared" si="75"/>
        <v/>
      </c>
      <c r="P472" s="291" t="str">
        <f t="shared" si="76"/>
        <v/>
      </c>
    </row>
    <row r="473" spans="1:16" ht="15" customHeight="1" x14ac:dyDescent="0.2">
      <c r="A473" s="243" t="str">
        <f>IFERROR(INDEX('All Ticker P&amp;L'!$A$2:$A$1001,MATCH(ROWS($A$2:A473),'All Ticker P&amp;L'!$N$2:$N$1001,0)),"")</f>
        <v/>
      </c>
      <c r="B473" s="243" t="str">
        <f t="shared" si="68"/>
        <v/>
      </c>
      <c r="C473" s="243" t="str">
        <f t="shared" si="69"/>
        <v/>
      </c>
      <c r="D473" s="243" t="str">
        <f t="shared" si="70"/>
        <v/>
      </c>
      <c r="E473" s="265" t="str">
        <f>IF($A473="","",SUMIFS(Txn[Signed Units],Txn[Key],$A473))</f>
        <v/>
      </c>
      <c r="F473" s="287" t="str">
        <f>IF($A473="","",SUMIFS(Txn[Buy Cost],Txn[Key],$A473))</f>
        <v/>
      </c>
      <c r="G473" s="287" t="str">
        <f>IF($A473="","",SUMIFS(Txn[Sell Proceeds],Txn[Key],$A473))</f>
        <v/>
      </c>
      <c r="H473" s="288" t="str">
        <f>IF($A473="","",IFERROR(INDEX(Prices[Current Price],MATCH($A473,Prices[Key],0)),0))</f>
        <v/>
      </c>
      <c r="I473" s="289" t="str">
        <f>IF($A473="","",IFERROR(INDEX(Prices[FX to SGD],MATCH($A473,Prices[Key],0)),1))</f>
        <v/>
      </c>
      <c r="J473" s="287" t="str">
        <f t="shared" si="71"/>
        <v/>
      </c>
      <c r="K473" s="287" t="str">
        <f t="shared" si="72"/>
        <v/>
      </c>
      <c r="L473" s="287" t="str">
        <f t="shared" si="73"/>
        <v/>
      </c>
      <c r="M473" s="290" t="str">
        <f t="shared" si="74"/>
        <v/>
      </c>
      <c r="N473" t="str">
        <f>IF($A473="","",IFERROR(INDEX(Prices[Category],MATCH($A473,Prices[Key],0)),"Uncategorized"))</f>
        <v/>
      </c>
      <c r="O473" s="291" t="str">
        <f t="shared" si="75"/>
        <v/>
      </c>
      <c r="P473" s="291" t="str">
        <f t="shared" si="76"/>
        <v/>
      </c>
    </row>
    <row r="474" spans="1:16" ht="15" customHeight="1" x14ac:dyDescent="0.2">
      <c r="A474" s="243" t="str">
        <f>IFERROR(INDEX('All Ticker P&amp;L'!$A$2:$A$1001,MATCH(ROWS($A$2:A474),'All Ticker P&amp;L'!$N$2:$N$1001,0)),"")</f>
        <v/>
      </c>
      <c r="B474" s="243" t="str">
        <f t="shared" si="68"/>
        <v/>
      </c>
      <c r="C474" s="243" t="str">
        <f t="shared" si="69"/>
        <v/>
      </c>
      <c r="D474" s="243" t="str">
        <f t="shared" si="70"/>
        <v/>
      </c>
      <c r="E474" s="265" t="str">
        <f>IF($A474="","",SUMIFS(Txn[Signed Units],Txn[Key],$A474))</f>
        <v/>
      </c>
      <c r="F474" s="287" t="str">
        <f>IF($A474="","",SUMIFS(Txn[Buy Cost],Txn[Key],$A474))</f>
        <v/>
      </c>
      <c r="G474" s="287" t="str">
        <f>IF($A474="","",SUMIFS(Txn[Sell Proceeds],Txn[Key],$A474))</f>
        <v/>
      </c>
      <c r="H474" s="288" t="str">
        <f>IF($A474="","",IFERROR(INDEX(Prices[Current Price],MATCH($A474,Prices[Key],0)),0))</f>
        <v/>
      </c>
      <c r="I474" s="289" t="str">
        <f>IF($A474="","",IFERROR(INDEX(Prices[FX to SGD],MATCH($A474,Prices[Key],0)),1))</f>
        <v/>
      </c>
      <c r="J474" s="287" t="str">
        <f t="shared" si="71"/>
        <v/>
      </c>
      <c r="K474" s="287" t="str">
        <f t="shared" si="72"/>
        <v/>
      </c>
      <c r="L474" s="287" t="str">
        <f t="shared" si="73"/>
        <v/>
      </c>
      <c r="M474" s="290" t="str">
        <f t="shared" si="74"/>
        <v/>
      </c>
      <c r="N474" t="str">
        <f>IF($A474="","",IFERROR(INDEX(Prices[Category],MATCH($A474,Prices[Key],0)),"Uncategorized"))</f>
        <v/>
      </c>
      <c r="O474" s="291" t="str">
        <f t="shared" si="75"/>
        <v/>
      </c>
      <c r="P474" s="291" t="str">
        <f t="shared" si="76"/>
        <v/>
      </c>
    </row>
    <row r="475" spans="1:16" ht="15" customHeight="1" x14ac:dyDescent="0.2">
      <c r="A475" s="243" t="str">
        <f>IFERROR(INDEX('All Ticker P&amp;L'!$A$2:$A$1001,MATCH(ROWS($A$2:A475),'All Ticker P&amp;L'!$N$2:$N$1001,0)),"")</f>
        <v/>
      </c>
      <c r="B475" s="243" t="str">
        <f t="shared" si="68"/>
        <v/>
      </c>
      <c r="C475" s="243" t="str">
        <f t="shared" si="69"/>
        <v/>
      </c>
      <c r="D475" s="243" t="str">
        <f t="shared" si="70"/>
        <v/>
      </c>
      <c r="E475" s="265" t="str">
        <f>IF($A475="","",SUMIFS(Txn[Signed Units],Txn[Key],$A475))</f>
        <v/>
      </c>
      <c r="F475" s="287" t="str">
        <f>IF($A475="","",SUMIFS(Txn[Buy Cost],Txn[Key],$A475))</f>
        <v/>
      </c>
      <c r="G475" s="287" t="str">
        <f>IF($A475="","",SUMIFS(Txn[Sell Proceeds],Txn[Key],$A475))</f>
        <v/>
      </c>
      <c r="H475" s="288" t="str">
        <f>IF($A475="","",IFERROR(INDEX(Prices[Current Price],MATCH($A475,Prices[Key],0)),0))</f>
        <v/>
      </c>
      <c r="I475" s="289" t="str">
        <f>IF($A475="","",IFERROR(INDEX(Prices[FX to SGD],MATCH($A475,Prices[Key],0)),1))</f>
        <v/>
      </c>
      <c r="J475" s="287" t="str">
        <f t="shared" si="71"/>
        <v/>
      </c>
      <c r="K475" s="287" t="str">
        <f t="shared" si="72"/>
        <v/>
      </c>
      <c r="L475" s="287" t="str">
        <f t="shared" si="73"/>
        <v/>
      </c>
      <c r="M475" s="290" t="str">
        <f t="shared" si="74"/>
        <v/>
      </c>
      <c r="N475" t="str">
        <f>IF($A475="","",IFERROR(INDEX(Prices[Category],MATCH($A475,Prices[Key],0)),"Uncategorized"))</f>
        <v/>
      </c>
      <c r="O475" s="291" t="str">
        <f t="shared" si="75"/>
        <v/>
      </c>
      <c r="P475" s="291" t="str">
        <f t="shared" si="76"/>
        <v/>
      </c>
    </row>
    <row r="476" spans="1:16" ht="15" customHeight="1" x14ac:dyDescent="0.2">
      <c r="A476" s="243" t="str">
        <f>IFERROR(INDEX('All Ticker P&amp;L'!$A$2:$A$1001,MATCH(ROWS($A$2:A476),'All Ticker P&amp;L'!$N$2:$N$1001,0)),"")</f>
        <v/>
      </c>
      <c r="B476" s="243" t="str">
        <f t="shared" si="68"/>
        <v/>
      </c>
      <c r="C476" s="243" t="str">
        <f t="shared" si="69"/>
        <v/>
      </c>
      <c r="D476" s="243" t="str">
        <f t="shared" si="70"/>
        <v/>
      </c>
      <c r="E476" s="265" t="str">
        <f>IF($A476="","",SUMIFS(Txn[Signed Units],Txn[Key],$A476))</f>
        <v/>
      </c>
      <c r="F476" s="287" t="str">
        <f>IF($A476="","",SUMIFS(Txn[Buy Cost],Txn[Key],$A476))</f>
        <v/>
      </c>
      <c r="G476" s="287" t="str">
        <f>IF($A476="","",SUMIFS(Txn[Sell Proceeds],Txn[Key],$A476))</f>
        <v/>
      </c>
      <c r="H476" s="288" t="str">
        <f>IF($A476="","",IFERROR(INDEX(Prices[Current Price],MATCH($A476,Prices[Key],0)),0))</f>
        <v/>
      </c>
      <c r="I476" s="289" t="str">
        <f>IF($A476="","",IFERROR(INDEX(Prices[FX to SGD],MATCH($A476,Prices[Key],0)),1))</f>
        <v/>
      </c>
      <c r="J476" s="287" t="str">
        <f t="shared" si="71"/>
        <v/>
      </c>
      <c r="K476" s="287" t="str">
        <f t="shared" si="72"/>
        <v/>
      </c>
      <c r="L476" s="287" t="str">
        <f t="shared" si="73"/>
        <v/>
      </c>
      <c r="M476" s="290" t="str">
        <f t="shared" si="74"/>
        <v/>
      </c>
      <c r="N476" t="str">
        <f>IF($A476="","",IFERROR(INDEX(Prices[Category],MATCH($A476,Prices[Key],0)),"Uncategorized"))</f>
        <v/>
      </c>
      <c r="O476" s="291" t="str">
        <f t="shared" si="75"/>
        <v/>
      </c>
      <c r="P476" s="291" t="str">
        <f t="shared" si="76"/>
        <v/>
      </c>
    </row>
    <row r="477" spans="1:16" ht="15" customHeight="1" x14ac:dyDescent="0.2">
      <c r="A477" s="243" t="str">
        <f>IFERROR(INDEX('All Ticker P&amp;L'!$A$2:$A$1001,MATCH(ROWS($A$2:A477),'All Ticker P&amp;L'!$N$2:$N$1001,0)),"")</f>
        <v/>
      </c>
      <c r="B477" s="243" t="str">
        <f t="shared" si="68"/>
        <v/>
      </c>
      <c r="C477" s="243" t="str">
        <f t="shared" si="69"/>
        <v/>
      </c>
      <c r="D477" s="243" t="str">
        <f t="shared" si="70"/>
        <v/>
      </c>
      <c r="E477" s="265" t="str">
        <f>IF($A477="","",SUMIFS(Txn[Signed Units],Txn[Key],$A477))</f>
        <v/>
      </c>
      <c r="F477" s="287" t="str">
        <f>IF($A477="","",SUMIFS(Txn[Buy Cost],Txn[Key],$A477))</f>
        <v/>
      </c>
      <c r="G477" s="287" t="str">
        <f>IF($A477="","",SUMIFS(Txn[Sell Proceeds],Txn[Key],$A477))</f>
        <v/>
      </c>
      <c r="H477" s="288" t="str">
        <f>IF($A477="","",IFERROR(INDEX(Prices[Current Price],MATCH($A477,Prices[Key],0)),0))</f>
        <v/>
      </c>
      <c r="I477" s="289" t="str">
        <f>IF($A477="","",IFERROR(INDEX(Prices[FX to SGD],MATCH($A477,Prices[Key],0)),1))</f>
        <v/>
      </c>
      <c r="J477" s="287" t="str">
        <f t="shared" si="71"/>
        <v/>
      </c>
      <c r="K477" s="287" t="str">
        <f t="shared" si="72"/>
        <v/>
      </c>
      <c r="L477" s="287" t="str">
        <f t="shared" si="73"/>
        <v/>
      </c>
      <c r="M477" s="290" t="str">
        <f t="shared" si="74"/>
        <v/>
      </c>
      <c r="N477" t="str">
        <f>IF($A477="","",IFERROR(INDEX(Prices[Category],MATCH($A477,Prices[Key],0)),"Uncategorized"))</f>
        <v/>
      </c>
      <c r="O477" s="291" t="str">
        <f t="shared" si="75"/>
        <v/>
      </c>
      <c r="P477" s="291" t="str">
        <f t="shared" si="76"/>
        <v/>
      </c>
    </row>
    <row r="478" spans="1:16" ht="15" customHeight="1" x14ac:dyDescent="0.2">
      <c r="A478" s="243" t="str">
        <f>IFERROR(INDEX('All Ticker P&amp;L'!$A$2:$A$1001,MATCH(ROWS($A$2:A478),'All Ticker P&amp;L'!$N$2:$N$1001,0)),"")</f>
        <v/>
      </c>
      <c r="B478" s="243" t="str">
        <f t="shared" si="68"/>
        <v/>
      </c>
      <c r="C478" s="243" t="str">
        <f t="shared" si="69"/>
        <v/>
      </c>
      <c r="D478" s="243" t="str">
        <f t="shared" si="70"/>
        <v/>
      </c>
      <c r="E478" s="265" t="str">
        <f>IF($A478="","",SUMIFS(Txn[Signed Units],Txn[Key],$A478))</f>
        <v/>
      </c>
      <c r="F478" s="287" t="str">
        <f>IF($A478="","",SUMIFS(Txn[Buy Cost],Txn[Key],$A478))</f>
        <v/>
      </c>
      <c r="G478" s="287" t="str">
        <f>IF($A478="","",SUMIFS(Txn[Sell Proceeds],Txn[Key],$A478))</f>
        <v/>
      </c>
      <c r="H478" s="288" t="str">
        <f>IF($A478="","",IFERROR(INDEX(Prices[Current Price],MATCH($A478,Prices[Key],0)),0))</f>
        <v/>
      </c>
      <c r="I478" s="289" t="str">
        <f>IF($A478="","",IFERROR(INDEX(Prices[FX to SGD],MATCH($A478,Prices[Key],0)),1))</f>
        <v/>
      </c>
      <c r="J478" s="287" t="str">
        <f t="shared" si="71"/>
        <v/>
      </c>
      <c r="K478" s="287" t="str">
        <f t="shared" si="72"/>
        <v/>
      </c>
      <c r="L478" s="287" t="str">
        <f t="shared" si="73"/>
        <v/>
      </c>
      <c r="M478" s="290" t="str">
        <f t="shared" si="74"/>
        <v/>
      </c>
      <c r="N478" t="str">
        <f>IF($A478="","",IFERROR(INDEX(Prices[Category],MATCH($A478,Prices[Key],0)),"Uncategorized"))</f>
        <v/>
      </c>
      <c r="O478" s="291" t="str">
        <f t="shared" si="75"/>
        <v/>
      </c>
      <c r="P478" s="291" t="str">
        <f t="shared" si="76"/>
        <v/>
      </c>
    </row>
    <row r="479" spans="1:16" ht="15" customHeight="1" x14ac:dyDescent="0.2">
      <c r="A479" s="243" t="str">
        <f>IFERROR(INDEX('All Ticker P&amp;L'!$A$2:$A$1001,MATCH(ROWS($A$2:A479),'All Ticker P&amp;L'!$N$2:$N$1001,0)),"")</f>
        <v/>
      </c>
      <c r="B479" s="243" t="str">
        <f t="shared" si="68"/>
        <v/>
      </c>
      <c r="C479" s="243" t="str">
        <f t="shared" si="69"/>
        <v/>
      </c>
      <c r="D479" s="243" t="str">
        <f t="shared" si="70"/>
        <v/>
      </c>
      <c r="E479" s="265" t="str">
        <f>IF($A479="","",SUMIFS(Txn[Signed Units],Txn[Key],$A479))</f>
        <v/>
      </c>
      <c r="F479" s="287" t="str">
        <f>IF($A479="","",SUMIFS(Txn[Buy Cost],Txn[Key],$A479))</f>
        <v/>
      </c>
      <c r="G479" s="287" t="str">
        <f>IF($A479="","",SUMIFS(Txn[Sell Proceeds],Txn[Key],$A479))</f>
        <v/>
      </c>
      <c r="H479" s="288" t="str">
        <f>IF($A479="","",IFERROR(INDEX(Prices[Current Price],MATCH($A479,Prices[Key],0)),0))</f>
        <v/>
      </c>
      <c r="I479" s="289" t="str">
        <f>IF($A479="","",IFERROR(INDEX(Prices[FX to SGD],MATCH($A479,Prices[Key],0)),1))</f>
        <v/>
      </c>
      <c r="J479" s="287" t="str">
        <f t="shared" si="71"/>
        <v/>
      </c>
      <c r="K479" s="287" t="str">
        <f t="shared" si="72"/>
        <v/>
      </c>
      <c r="L479" s="287" t="str">
        <f t="shared" si="73"/>
        <v/>
      </c>
      <c r="M479" s="290" t="str">
        <f t="shared" si="74"/>
        <v/>
      </c>
      <c r="N479" t="str">
        <f>IF($A479="","",IFERROR(INDEX(Prices[Category],MATCH($A479,Prices[Key],0)),"Uncategorized"))</f>
        <v/>
      </c>
      <c r="O479" s="291" t="str">
        <f t="shared" si="75"/>
        <v/>
      </c>
      <c r="P479" s="291" t="str">
        <f t="shared" si="76"/>
        <v/>
      </c>
    </row>
    <row r="480" spans="1:16" ht="15" customHeight="1" x14ac:dyDescent="0.2">
      <c r="A480" s="243" t="str">
        <f>IFERROR(INDEX('All Ticker P&amp;L'!$A$2:$A$1001,MATCH(ROWS($A$2:A480),'All Ticker P&amp;L'!$N$2:$N$1001,0)),"")</f>
        <v/>
      </c>
      <c r="B480" s="243" t="str">
        <f t="shared" si="68"/>
        <v/>
      </c>
      <c r="C480" s="243" t="str">
        <f t="shared" si="69"/>
        <v/>
      </c>
      <c r="D480" s="243" t="str">
        <f t="shared" si="70"/>
        <v/>
      </c>
      <c r="E480" s="265" t="str">
        <f>IF($A480="","",SUMIFS(Txn[Signed Units],Txn[Key],$A480))</f>
        <v/>
      </c>
      <c r="F480" s="287" t="str">
        <f>IF($A480="","",SUMIFS(Txn[Buy Cost],Txn[Key],$A480))</f>
        <v/>
      </c>
      <c r="G480" s="287" t="str">
        <f>IF($A480="","",SUMIFS(Txn[Sell Proceeds],Txn[Key],$A480))</f>
        <v/>
      </c>
      <c r="H480" s="288" t="str">
        <f>IF($A480="","",IFERROR(INDEX(Prices[Current Price],MATCH($A480,Prices[Key],0)),0))</f>
        <v/>
      </c>
      <c r="I480" s="289" t="str">
        <f>IF($A480="","",IFERROR(INDEX(Prices[FX to SGD],MATCH($A480,Prices[Key],0)),1))</f>
        <v/>
      </c>
      <c r="J480" s="287" t="str">
        <f t="shared" si="71"/>
        <v/>
      </c>
      <c r="K480" s="287" t="str">
        <f t="shared" si="72"/>
        <v/>
      </c>
      <c r="L480" s="287" t="str">
        <f t="shared" si="73"/>
        <v/>
      </c>
      <c r="M480" s="290" t="str">
        <f t="shared" si="74"/>
        <v/>
      </c>
      <c r="N480" t="str">
        <f>IF($A480="","",IFERROR(INDEX(Prices[Category],MATCH($A480,Prices[Key],0)),"Uncategorized"))</f>
        <v/>
      </c>
      <c r="O480" s="291" t="str">
        <f t="shared" si="75"/>
        <v/>
      </c>
      <c r="P480" s="291" t="str">
        <f t="shared" si="76"/>
        <v/>
      </c>
    </row>
    <row r="481" spans="1:16" ht="15" customHeight="1" x14ac:dyDescent="0.2">
      <c r="A481" s="243" t="str">
        <f>IFERROR(INDEX('All Ticker P&amp;L'!$A$2:$A$1001,MATCH(ROWS($A$2:A481),'All Ticker P&amp;L'!$N$2:$N$1001,0)),"")</f>
        <v/>
      </c>
      <c r="B481" s="243" t="str">
        <f t="shared" si="68"/>
        <v/>
      </c>
      <c r="C481" s="243" t="str">
        <f t="shared" si="69"/>
        <v/>
      </c>
      <c r="D481" s="243" t="str">
        <f t="shared" si="70"/>
        <v/>
      </c>
      <c r="E481" s="265" t="str">
        <f>IF($A481="","",SUMIFS(Txn[Signed Units],Txn[Key],$A481))</f>
        <v/>
      </c>
      <c r="F481" s="287" t="str">
        <f>IF($A481="","",SUMIFS(Txn[Buy Cost],Txn[Key],$A481))</f>
        <v/>
      </c>
      <c r="G481" s="287" t="str">
        <f>IF($A481="","",SUMIFS(Txn[Sell Proceeds],Txn[Key],$A481))</f>
        <v/>
      </c>
      <c r="H481" s="288" t="str">
        <f>IF($A481="","",IFERROR(INDEX(Prices[Current Price],MATCH($A481,Prices[Key],0)),0))</f>
        <v/>
      </c>
      <c r="I481" s="289" t="str">
        <f>IF($A481="","",IFERROR(INDEX(Prices[FX to SGD],MATCH($A481,Prices[Key],0)),1))</f>
        <v/>
      </c>
      <c r="J481" s="287" t="str">
        <f t="shared" si="71"/>
        <v/>
      </c>
      <c r="K481" s="287" t="str">
        <f t="shared" si="72"/>
        <v/>
      </c>
      <c r="L481" s="287" t="str">
        <f t="shared" si="73"/>
        <v/>
      </c>
      <c r="M481" s="290" t="str">
        <f t="shared" si="74"/>
        <v/>
      </c>
      <c r="N481" t="str">
        <f>IF($A481="","",IFERROR(INDEX(Prices[Category],MATCH($A481,Prices[Key],0)),"Uncategorized"))</f>
        <v/>
      </c>
      <c r="O481" s="291" t="str">
        <f t="shared" si="75"/>
        <v/>
      </c>
      <c r="P481" s="291" t="str">
        <f t="shared" si="76"/>
        <v/>
      </c>
    </row>
    <row r="482" spans="1:16" ht="15" customHeight="1" x14ac:dyDescent="0.2">
      <c r="A482" s="243" t="str">
        <f>IFERROR(INDEX('All Ticker P&amp;L'!$A$2:$A$1001,MATCH(ROWS($A$2:A482),'All Ticker P&amp;L'!$N$2:$N$1001,0)),"")</f>
        <v/>
      </c>
      <c r="B482" s="243" t="str">
        <f t="shared" si="68"/>
        <v/>
      </c>
      <c r="C482" s="243" t="str">
        <f t="shared" si="69"/>
        <v/>
      </c>
      <c r="D482" s="243" t="str">
        <f t="shared" si="70"/>
        <v/>
      </c>
      <c r="E482" s="265" t="str">
        <f>IF($A482="","",SUMIFS(Txn[Signed Units],Txn[Key],$A482))</f>
        <v/>
      </c>
      <c r="F482" s="287" t="str">
        <f>IF($A482="","",SUMIFS(Txn[Buy Cost],Txn[Key],$A482))</f>
        <v/>
      </c>
      <c r="G482" s="287" t="str">
        <f>IF($A482="","",SUMIFS(Txn[Sell Proceeds],Txn[Key],$A482))</f>
        <v/>
      </c>
      <c r="H482" s="288" t="str">
        <f>IF($A482="","",IFERROR(INDEX(Prices[Current Price],MATCH($A482,Prices[Key],0)),0))</f>
        <v/>
      </c>
      <c r="I482" s="289" t="str">
        <f>IF($A482="","",IFERROR(INDEX(Prices[FX to SGD],MATCH($A482,Prices[Key],0)),1))</f>
        <v/>
      </c>
      <c r="J482" s="287" t="str">
        <f t="shared" si="71"/>
        <v/>
      </c>
      <c r="K482" s="287" t="str">
        <f t="shared" si="72"/>
        <v/>
      </c>
      <c r="L482" s="287" t="str">
        <f t="shared" si="73"/>
        <v/>
      </c>
      <c r="M482" s="290" t="str">
        <f t="shared" si="74"/>
        <v/>
      </c>
      <c r="N482" t="str">
        <f>IF($A482="","",IFERROR(INDEX(Prices[Category],MATCH($A482,Prices[Key],0)),"Uncategorized"))</f>
        <v/>
      </c>
      <c r="O482" s="291" t="str">
        <f t="shared" si="75"/>
        <v/>
      </c>
      <c r="P482" s="291" t="str">
        <f t="shared" si="76"/>
        <v/>
      </c>
    </row>
    <row r="483" spans="1:16" ht="15" customHeight="1" x14ac:dyDescent="0.2">
      <c r="A483" s="243" t="str">
        <f>IFERROR(INDEX('All Ticker P&amp;L'!$A$2:$A$1001,MATCH(ROWS($A$2:A483),'All Ticker P&amp;L'!$N$2:$N$1001,0)),"")</f>
        <v/>
      </c>
      <c r="B483" s="243" t="str">
        <f t="shared" si="68"/>
        <v/>
      </c>
      <c r="C483" s="243" t="str">
        <f t="shared" si="69"/>
        <v/>
      </c>
      <c r="D483" s="243" t="str">
        <f t="shared" si="70"/>
        <v/>
      </c>
      <c r="E483" s="265" t="str">
        <f>IF($A483="","",SUMIFS(Txn[Signed Units],Txn[Key],$A483))</f>
        <v/>
      </c>
      <c r="F483" s="287" t="str">
        <f>IF($A483="","",SUMIFS(Txn[Buy Cost],Txn[Key],$A483))</f>
        <v/>
      </c>
      <c r="G483" s="287" t="str">
        <f>IF($A483="","",SUMIFS(Txn[Sell Proceeds],Txn[Key],$A483))</f>
        <v/>
      </c>
      <c r="H483" s="288" t="str">
        <f>IF($A483="","",IFERROR(INDEX(Prices[Current Price],MATCH($A483,Prices[Key],0)),0))</f>
        <v/>
      </c>
      <c r="I483" s="289" t="str">
        <f>IF($A483="","",IFERROR(INDEX(Prices[FX to SGD],MATCH($A483,Prices[Key],0)),1))</f>
        <v/>
      </c>
      <c r="J483" s="287" t="str">
        <f t="shared" si="71"/>
        <v/>
      </c>
      <c r="K483" s="287" t="str">
        <f t="shared" si="72"/>
        <v/>
      </c>
      <c r="L483" s="287" t="str">
        <f t="shared" si="73"/>
        <v/>
      </c>
      <c r="M483" s="290" t="str">
        <f t="shared" si="74"/>
        <v/>
      </c>
      <c r="N483" t="str">
        <f>IF($A483="","",IFERROR(INDEX(Prices[Category],MATCH($A483,Prices[Key],0)),"Uncategorized"))</f>
        <v/>
      </c>
      <c r="O483" s="291" t="str">
        <f t="shared" si="75"/>
        <v/>
      </c>
      <c r="P483" s="291" t="str">
        <f t="shared" si="76"/>
        <v/>
      </c>
    </row>
    <row r="484" spans="1:16" ht="15" customHeight="1" x14ac:dyDescent="0.2">
      <c r="A484" s="243" t="str">
        <f>IFERROR(INDEX('All Ticker P&amp;L'!$A$2:$A$1001,MATCH(ROWS($A$2:A484),'All Ticker P&amp;L'!$N$2:$N$1001,0)),"")</f>
        <v/>
      </c>
      <c r="B484" s="243" t="str">
        <f t="shared" si="68"/>
        <v/>
      </c>
      <c r="C484" s="243" t="str">
        <f t="shared" si="69"/>
        <v/>
      </c>
      <c r="D484" s="243" t="str">
        <f t="shared" si="70"/>
        <v/>
      </c>
      <c r="E484" s="265" t="str">
        <f>IF($A484="","",SUMIFS(Txn[Signed Units],Txn[Key],$A484))</f>
        <v/>
      </c>
      <c r="F484" s="287" t="str">
        <f>IF($A484="","",SUMIFS(Txn[Buy Cost],Txn[Key],$A484))</f>
        <v/>
      </c>
      <c r="G484" s="287" t="str">
        <f>IF($A484="","",SUMIFS(Txn[Sell Proceeds],Txn[Key],$A484))</f>
        <v/>
      </c>
      <c r="H484" s="288" t="str">
        <f>IF($A484="","",IFERROR(INDEX(Prices[Current Price],MATCH($A484,Prices[Key],0)),0))</f>
        <v/>
      </c>
      <c r="I484" s="289" t="str">
        <f>IF($A484="","",IFERROR(INDEX(Prices[FX to SGD],MATCH($A484,Prices[Key],0)),1))</f>
        <v/>
      </c>
      <c r="J484" s="287" t="str">
        <f t="shared" si="71"/>
        <v/>
      </c>
      <c r="K484" s="287" t="str">
        <f t="shared" si="72"/>
        <v/>
      </c>
      <c r="L484" s="287" t="str">
        <f t="shared" si="73"/>
        <v/>
      </c>
      <c r="M484" s="290" t="str">
        <f t="shared" si="74"/>
        <v/>
      </c>
      <c r="N484" t="str">
        <f>IF($A484="","",IFERROR(INDEX(Prices[Category],MATCH($A484,Prices[Key],0)),"Uncategorized"))</f>
        <v/>
      </c>
      <c r="O484" s="291" t="str">
        <f t="shared" si="75"/>
        <v/>
      </c>
      <c r="P484" s="291" t="str">
        <f t="shared" si="76"/>
        <v/>
      </c>
    </row>
    <row r="485" spans="1:16" ht="15" customHeight="1" x14ac:dyDescent="0.2">
      <c r="A485" s="243" t="str">
        <f>IFERROR(INDEX('All Ticker P&amp;L'!$A$2:$A$1001,MATCH(ROWS($A$2:A485),'All Ticker P&amp;L'!$N$2:$N$1001,0)),"")</f>
        <v/>
      </c>
      <c r="B485" s="243" t="str">
        <f t="shared" si="68"/>
        <v/>
      </c>
      <c r="C485" s="243" t="str">
        <f t="shared" si="69"/>
        <v/>
      </c>
      <c r="D485" s="243" t="str">
        <f t="shared" si="70"/>
        <v/>
      </c>
      <c r="E485" s="265" t="str">
        <f>IF($A485="","",SUMIFS(Txn[Signed Units],Txn[Key],$A485))</f>
        <v/>
      </c>
      <c r="F485" s="287" t="str">
        <f>IF($A485="","",SUMIFS(Txn[Buy Cost],Txn[Key],$A485))</f>
        <v/>
      </c>
      <c r="G485" s="287" t="str">
        <f>IF($A485="","",SUMIFS(Txn[Sell Proceeds],Txn[Key],$A485))</f>
        <v/>
      </c>
      <c r="H485" s="288" t="str">
        <f>IF($A485="","",IFERROR(INDEX(Prices[Current Price],MATCH($A485,Prices[Key],0)),0))</f>
        <v/>
      </c>
      <c r="I485" s="289" t="str">
        <f>IF($A485="","",IFERROR(INDEX(Prices[FX to SGD],MATCH($A485,Prices[Key],0)),1))</f>
        <v/>
      </c>
      <c r="J485" s="287" t="str">
        <f t="shared" si="71"/>
        <v/>
      </c>
      <c r="K485" s="287" t="str">
        <f t="shared" si="72"/>
        <v/>
      </c>
      <c r="L485" s="287" t="str">
        <f t="shared" si="73"/>
        <v/>
      </c>
      <c r="M485" s="290" t="str">
        <f t="shared" si="74"/>
        <v/>
      </c>
      <c r="N485" t="str">
        <f>IF($A485="","",IFERROR(INDEX(Prices[Category],MATCH($A485,Prices[Key],0)),"Uncategorized"))</f>
        <v/>
      </c>
      <c r="O485" s="291" t="str">
        <f t="shared" si="75"/>
        <v/>
      </c>
      <c r="P485" s="291" t="str">
        <f t="shared" si="76"/>
        <v/>
      </c>
    </row>
    <row r="486" spans="1:16" ht="15" customHeight="1" x14ac:dyDescent="0.2">
      <c r="A486" s="243" t="str">
        <f>IFERROR(INDEX('All Ticker P&amp;L'!$A$2:$A$1001,MATCH(ROWS($A$2:A486),'All Ticker P&amp;L'!$N$2:$N$1001,0)),"")</f>
        <v/>
      </c>
      <c r="B486" s="243" t="str">
        <f t="shared" si="68"/>
        <v/>
      </c>
      <c r="C486" s="243" t="str">
        <f t="shared" si="69"/>
        <v/>
      </c>
      <c r="D486" s="243" t="str">
        <f t="shared" si="70"/>
        <v/>
      </c>
      <c r="E486" s="265" t="str">
        <f>IF($A486="","",SUMIFS(Txn[Signed Units],Txn[Key],$A486))</f>
        <v/>
      </c>
      <c r="F486" s="287" t="str">
        <f>IF($A486="","",SUMIFS(Txn[Buy Cost],Txn[Key],$A486))</f>
        <v/>
      </c>
      <c r="G486" s="287" t="str">
        <f>IF($A486="","",SUMIFS(Txn[Sell Proceeds],Txn[Key],$A486))</f>
        <v/>
      </c>
      <c r="H486" s="288" t="str">
        <f>IF($A486="","",IFERROR(INDEX(Prices[Current Price],MATCH($A486,Prices[Key],0)),0))</f>
        <v/>
      </c>
      <c r="I486" s="289" t="str">
        <f>IF($A486="","",IFERROR(INDEX(Prices[FX to SGD],MATCH($A486,Prices[Key],0)),1))</f>
        <v/>
      </c>
      <c r="J486" s="287" t="str">
        <f t="shared" si="71"/>
        <v/>
      </c>
      <c r="K486" s="287" t="str">
        <f t="shared" si="72"/>
        <v/>
      </c>
      <c r="L486" s="287" t="str">
        <f t="shared" si="73"/>
        <v/>
      </c>
      <c r="M486" s="290" t="str">
        <f t="shared" si="74"/>
        <v/>
      </c>
      <c r="N486" t="str">
        <f>IF($A486="","",IFERROR(INDEX(Prices[Category],MATCH($A486,Prices[Key],0)),"Uncategorized"))</f>
        <v/>
      </c>
      <c r="O486" s="291" t="str">
        <f t="shared" si="75"/>
        <v/>
      </c>
      <c r="P486" s="291" t="str">
        <f t="shared" si="76"/>
        <v/>
      </c>
    </row>
    <row r="487" spans="1:16" ht="15" customHeight="1" x14ac:dyDescent="0.2">
      <c r="A487" s="243" t="str">
        <f>IFERROR(INDEX('All Ticker P&amp;L'!$A$2:$A$1001,MATCH(ROWS($A$2:A487),'All Ticker P&amp;L'!$N$2:$N$1001,0)),"")</f>
        <v/>
      </c>
      <c r="B487" s="243" t="str">
        <f t="shared" si="68"/>
        <v/>
      </c>
      <c r="C487" s="243" t="str">
        <f t="shared" si="69"/>
        <v/>
      </c>
      <c r="D487" s="243" t="str">
        <f t="shared" si="70"/>
        <v/>
      </c>
      <c r="E487" s="265" t="str">
        <f>IF($A487="","",SUMIFS(Txn[Signed Units],Txn[Key],$A487))</f>
        <v/>
      </c>
      <c r="F487" s="287" t="str">
        <f>IF($A487="","",SUMIFS(Txn[Buy Cost],Txn[Key],$A487))</f>
        <v/>
      </c>
      <c r="G487" s="287" t="str">
        <f>IF($A487="","",SUMIFS(Txn[Sell Proceeds],Txn[Key],$A487))</f>
        <v/>
      </c>
      <c r="H487" s="288" t="str">
        <f>IF($A487="","",IFERROR(INDEX(Prices[Current Price],MATCH($A487,Prices[Key],0)),0))</f>
        <v/>
      </c>
      <c r="I487" s="289" t="str">
        <f>IF($A487="","",IFERROR(INDEX(Prices[FX to SGD],MATCH($A487,Prices[Key],0)),1))</f>
        <v/>
      </c>
      <c r="J487" s="287" t="str">
        <f t="shared" si="71"/>
        <v/>
      </c>
      <c r="K487" s="287" t="str">
        <f t="shared" si="72"/>
        <v/>
      </c>
      <c r="L487" s="287" t="str">
        <f t="shared" si="73"/>
        <v/>
      </c>
      <c r="M487" s="290" t="str">
        <f t="shared" si="74"/>
        <v/>
      </c>
      <c r="N487" t="str">
        <f>IF($A487="","",IFERROR(INDEX(Prices[Category],MATCH($A487,Prices[Key],0)),"Uncategorized"))</f>
        <v/>
      </c>
      <c r="O487" s="291" t="str">
        <f t="shared" si="75"/>
        <v/>
      </c>
      <c r="P487" s="291" t="str">
        <f t="shared" si="76"/>
        <v/>
      </c>
    </row>
    <row r="488" spans="1:16" ht="15" customHeight="1" x14ac:dyDescent="0.2">
      <c r="A488" s="243" t="str">
        <f>IFERROR(INDEX('All Ticker P&amp;L'!$A$2:$A$1001,MATCH(ROWS($A$2:A488),'All Ticker P&amp;L'!$N$2:$N$1001,0)),"")</f>
        <v/>
      </c>
      <c r="B488" s="243" t="str">
        <f t="shared" si="68"/>
        <v/>
      </c>
      <c r="C488" s="243" t="str">
        <f t="shared" si="69"/>
        <v/>
      </c>
      <c r="D488" s="243" t="str">
        <f t="shared" si="70"/>
        <v/>
      </c>
      <c r="E488" s="265" t="str">
        <f>IF($A488="","",SUMIFS(Txn[Signed Units],Txn[Key],$A488))</f>
        <v/>
      </c>
      <c r="F488" s="287" t="str">
        <f>IF($A488="","",SUMIFS(Txn[Buy Cost],Txn[Key],$A488))</f>
        <v/>
      </c>
      <c r="G488" s="287" t="str">
        <f>IF($A488="","",SUMIFS(Txn[Sell Proceeds],Txn[Key],$A488))</f>
        <v/>
      </c>
      <c r="H488" s="288" t="str">
        <f>IF($A488="","",IFERROR(INDEX(Prices[Current Price],MATCH($A488,Prices[Key],0)),0))</f>
        <v/>
      </c>
      <c r="I488" s="289" t="str">
        <f>IF($A488="","",IFERROR(INDEX(Prices[FX to SGD],MATCH($A488,Prices[Key],0)),1))</f>
        <v/>
      </c>
      <c r="J488" s="287" t="str">
        <f t="shared" si="71"/>
        <v/>
      </c>
      <c r="K488" s="287" t="str">
        <f t="shared" si="72"/>
        <v/>
      </c>
      <c r="L488" s="287" t="str">
        <f t="shared" si="73"/>
        <v/>
      </c>
      <c r="M488" s="290" t="str">
        <f t="shared" si="74"/>
        <v/>
      </c>
      <c r="N488" t="str">
        <f>IF($A488="","",IFERROR(INDEX(Prices[Category],MATCH($A488,Prices[Key],0)),"Uncategorized"))</f>
        <v/>
      </c>
      <c r="O488" s="291" t="str">
        <f t="shared" si="75"/>
        <v/>
      </c>
      <c r="P488" s="291" t="str">
        <f t="shared" si="76"/>
        <v/>
      </c>
    </row>
    <row r="489" spans="1:16" ht="15" customHeight="1" x14ac:dyDescent="0.2">
      <c r="A489" s="243" t="str">
        <f>IFERROR(INDEX('All Ticker P&amp;L'!$A$2:$A$1001,MATCH(ROWS($A$2:A489),'All Ticker P&amp;L'!$N$2:$N$1001,0)),"")</f>
        <v/>
      </c>
      <c r="B489" s="243" t="str">
        <f t="shared" si="68"/>
        <v/>
      </c>
      <c r="C489" s="243" t="str">
        <f t="shared" si="69"/>
        <v/>
      </c>
      <c r="D489" s="243" t="str">
        <f t="shared" si="70"/>
        <v/>
      </c>
      <c r="E489" s="265" t="str">
        <f>IF($A489="","",SUMIFS(Txn[Signed Units],Txn[Key],$A489))</f>
        <v/>
      </c>
      <c r="F489" s="287" t="str">
        <f>IF($A489="","",SUMIFS(Txn[Buy Cost],Txn[Key],$A489))</f>
        <v/>
      </c>
      <c r="G489" s="287" t="str">
        <f>IF($A489="","",SUMIFS(Txn[Sell Proceeds],Txn[Key],$A489))</f>
        <v/>
      </c>
      <c r="H489" s="288" t="str">
        <f>IF($A489="","",IFERROR(INDEX(Prices[Current Price],MATCH($A489,Prices[Key],0)),0))</f>
        <v/>
      </c>
      <c r="I489" s="289" t="str">
        <f>IF($A489="","",IFERROR(INDEX(Prices[FX to SGD],MATCH($A489,Prices[Key],0)),1))</f>
        <v/>
      </c>
      <c r="J489" s="287" t="str">
        <f t="shared" si="71"/>
        <v/>
      </c>
      <c r="K489" s="287" t="str">
        <f t="shared" si="72"/>
        <v/>
      </c>
      <c r="L489" s="287" t="str">
        <f t="shared" si="73"/>
        <v/>
      </c>
      <c r="M489" s="290" t="str">
        <f t="shared" si="74"/>
        <v/>
      </c>
      <c r="N489" t="str">
        <f>IF($A489="","",IFERROR(INDEX(Prices[Category],MATCH($A489,Prices[Key],0)),"Uncategorized"))</f>
        <v/>
      </c>
      <c r="O489" s="291" t="str">
        <f t="shared" si="75"/>
        <v/>
      </c>
      <c r="P489" s="291" t="str">
        <f t="shared" si="76"/>
        <v/>
      </c>
    </row>
    <row r="490" spans="1:16" ht="15" customHeight="1" x14ac:dyDescent="0.2">
      <c r="A490" s="243" t="str">
        <f>IFERROR(INDEX('All Ticker P&amp;L'!$A$2:$A$1001,MATCH(ROWS($A$2:A490),'All Ticker P&amp;L'!$N$2:$N$1001,0)),"")</f>
        <v/>
      </c>
      <c r="B490" s="243" t="str">
        <f t="shared" si="68"/>
        <v/>
      </c>
      <c r="C490" s="243" t="str">
        <f t="shared" si="69"/>
        <v/>
      </c>
      <c r="D490" s="243" t="str">
        <f t="shared" si="70"/>
        <v/>
      </c>
      <c r="E490" s="265" t="str">
        <f>IF($A490="","",SUMIFS(Txn[Signed Units],Txn[Key],$A490))</f>
        <v/>
      </c>
      <c r="F490" s="287" t="str">
        <f>IF($A490="","",SUMIFS(Txn[Buy Cost],Txn[Key],$A490))</f>
        <v/>
      </c>
      <c r="G490" s="287" t="str">
        <f>IF($A490="","",SUMIFS(Txn[Sell Proceeds],Txn[Key],$A490))</f>
        <v/>
      </c>
      <c r="H490" s="288" t="str">
        <f>IF($A490="","",IFERROR(INDEX(Prices[Current Price],MATCH($A490,Prices[Key],0)),0))</f>
        <v/>
      </c>
      <c r="I490" s="289" t="str">
        <f>IF($A490="","",IFERROR(INDEX(Prices[FX to SGD],MATCH($A490,Prices[Key],0)),1))</f>
        <v/>
      </c>
      <c r="J490" s="287" t="str">
        <f t="shared" si="71"/>
        <v/>
      </c>
      <c r="K490" s="287" t="str">
        <f t="shared" si="72"/>
        <v/>
      </c>
      <c r="L490" s="287" t="str">
        <f t="shared" si="73"/>
        <v/>
      </c>
      <c r="M490" s="290" t="str">
        <f t="shared" si="74"/>
        <v/>
      </c>
      <c r="N490" t="str">
        <f>IF($A490="","",IFERROR(INDEX(Prices[Category],MATCH($A490,Prices[Key],0)),"Uncategorized"))</f>
        <v/>
      </c>
      <c r="O490" s="291" t="str">
        <f t="shared" si="75"/>
        <v/>
      </c>
      <c r="P490" s="291" t="str">
        <f t="shared" si="76"/>
        <v/>
      </c>
    </row>
    <row r="491" spans="1:16" ht="15" customHeight="1" x14ac:dyDescent="0.2">
      <c r="A491" s="243" t="str">
        <f>IFERROR(INDEX('All Ticker P&amp;L'!$A$2:$A$1001,MATCH(ROWS($A$2:A491),'All Ticker P&amp;L'!$N$2:$N$1001,0)),"")</f>
        <v/>
      </c>
      <c r="B491" s="243" t="str">
        <f t="shared" si="68"/>
        <v/>
      </c>
      <c r="C491" s="243" t="str">
        <f t="shared" si="69"/>
        <v/>
      </c>
      <c r="D491" s="243" t="str">
        <f t="shared" si="70"/>
        <v/>
      </c>
      <c r="E491" s="265" t="str">
        <f>IF($A491="","",SUMIFS(Txn[Signed Units],Txn[Key],$A491))</f>
        <v/>
      </c>
      <c r="F491" s="287" t="str">
        <f>IF($A491="","",SUMIFS(Txn[Buy Cost],Txn[Key],$A491))</f>
        <v/>
      </c>
      <c r="G491" s="287" t="str">
        <f>IF($A491="","",SUMIFS(Txn[Sell Proceeds],Txn[Key],$A491))</f>
        <v/>
      </c>
      <c r="H491" s="288" t="str">
        <f>IF($A491="","",IFERROR(INDEX(Prices[Current Price],MATCH($A491,Prices[Key],0)),0))</f>
        <v/>
      </c>
      <c r="I491" s="289" t="str">
        <f>IF($A491="","",IFERROR(INDEX(Prices[FX to SGD],MATCH($A491,Prices[Key],0)),1))</f>
        <v/>
      </c>
      <c r="J491" s="287" t="str">
        <f t="shared" si="71"/>
        <v/>
      </c>
      <c r="K491" s="287" t="str">
        <f t="shared" si="72"/>
        <v/>
      </c>
      <c r="L491" s="287" t="str">
        <f t="shared" si="73"/>
        <v/>
      </c>
      <c r="M491" s="290" t="str">
        <f t="shared" si="74"/>
        <v/>
      </c>
      <c r="N491" t="str">
        <f>IF($A491="","",IFERROR(INDEX(Prices[Category],MATCH($A491,Prices[Key],0)),"Uncategorized"))</f>
        <v/>
      </c>
      <c r="O491" s="291" t="str">
        <f t="shared" si="75"/>
        <v/>
      </c>
      <c r="P491" s="291" t="str">
        <f t="shared" si="76"/>
        <v/>
      </c>
    </row>
    <row r="492" spans="1:16" ht="15" customHeight="1" x14ac:dyDescent="0.2">
      <c r="A492" s="243" t="str">
        <f>IFERROR(INDEX('All Ticker P&amp;L'!$A$2:$A$1001,MATCH(ROWS($A$2:A492),'All Ticker P&amp;L'!$N$2:$N$1001,0)),"")</f>
        <v/>
      </c>
      <c r="B492" s="243" t="str">
        <f t="shared" si="68"/>
        <v/>
      </c>
      <c r="C492" s="243" t="str">
        <f t="shared" si="69"/>
        <v/>
      </c>
      <c r="D492" s="243" t="str">
        <f t="shared" si="70"/>
        <v/>
      </c>
      <c r="E492" s="265" t="str">
        <f>IF($A492="","",SUMIFS(Txn[Signed Units],Txn[Key],$A492))</f>
        <v/>
      </c>
      <c r="F492" s="287" t="str">
        <f>IF($A492="","",SUMIFS(Txn[Buy Cost],Txn[Key],$A492))</f>
        <v/>
      </c>
      <c r="G492" s="287" t="str">
        <f>IF($A492="","",SUMIFS(Txn[Sell Proceeds],Txn[Key],$A492))</f>
        <v/>
      </c>
      <c r="H492" s="288" t="str">
        <f>IF($A492="","",IFERROR(INDEX(Prices[Current Price],MATCH($A492,Prices[Key],0)),0))</f>
        <v/>
      </c>
      <c r="I492" s="289" t="str">
        <f>IF($A492="","",IFERROR(INDEX(Prices[FX to SGD],MATCH($A492,Prices[Key],0)),1))</f>
        <v/>
      </c>
      <c r="J492" s="287" t="str">
        <f t="shared" si="71"/>
        <v/>
      </c>
      <c r="K492" s="287" t="str">
        <f t="shared" si="72"/>
        <v/>
      </c>
      <c r="L492" s="287" t="str">
        <f t="shared" si="73"/>
        <v/>
      </c>
      <c r="M492" s="290" t="str">
        <f t="shared" si="74"/>
        <v/>
      </c>
      <c r="N492" t="str">
        <f>IF($A492="","",IFERROR(INDEX(Prices[Category],MATCH($A492,Prices[Key],0)),"Uncategorized"))</f>
        <v/>
      </c>
      <c r="O492" s="291" t="str">
        <f t="shared" si="75"/>
        <v/>
      </c>
      <c r="P492" s="291" t="str">
        <f t="shared" si="76"/>
        <v/>
      </c>
    </row>
    <row r="493" spans="1:16" ht="15" customHeight="1" x14ac:dyDescent="0.2">
      <c r="A493" s="243" t="str">
        <f>IFERROR(INDEX('All Ticker P&amp;L'!$A$2:$A$1001,MATCH(ROWS($A$2:A493),'All Ticker P&amp;L'!$N$2:$N$1001,0)),"")</f>
        <v/>
      </c>
      <c r="B493" s="243" t="str">
        <f t="shared" si="68"/>
        <v/>
      </c>
      <c r="C493" s="243" t="str">
        <f t="shared" si="69"/>
        <v/>
      </c>
      <c r="D493" s="243" t="str">
        <f t="shared" si="70"/>
        <v/>
      </c>
      <c r="E493" s="265" t="str">
        <f>IF($A493="","",SUMIFS(Txn[Signed Units],Txn[Key],$A493))</f>
        <v/>
      </c>
      <c r="F493" s="287" t="str">
        <f>IF($A493="","",SUMIFS(Txn[Buy Cost],Txn[Key],$A493))</f>
        <v/>
      </c>
      <c r="G493" s="287" t="str">
        <f>IF($A493="","",SUMIFS(Txn[Sell Proceeds],Txn[Key],$A493))</f>
        <v/>
      </c>
      <c r="H493" s="288" t="str">
        <f>IF($A493="","",IFERROR(INDEX(Prices[Current Price],MATCH($A493,Prices[Key],0)),0))</f>
        <v/>
      </c>
      <c r="I493" s="289" t="str">
        <f>IF($A493="","",IFERROR(INDEX(Prices[FX to SGD],MATCH($A493,Prices[Key],0)),1))</f>
        <v/>
      </c>
      <c r="J493" s="287" t="str">
        <f t="shared" si="71"/>
        <v/>
      </c>
      <c r="K493" s="287" t="str">
        <f t="shared" si="72"/>
        <v/>
      </c>
      <c r="L493" s="287" t="str">
        <f t="shared" si="73"/>
        <v/>
      </c>
      <c r="M493" s="290" t="str">
        <f t="shared" si="74"/>
        <v/>
      </c>
      <c r="N493" t="str">
        <f>IF($A493="","",IFERROR(INDEX(Prices[Category],MATCH($A493,Prices[Key],0)),"Uncategorized"))</f>
        <v/>
      </c>
      <c r="O493" s="291" t="str">
        <f t="shared" si="75"/>
        <v/>
      </c>
      <c r="P493" s="291" t="str">
        <f t="shared" si="76"/>
        <v/>
      </c>
    </row>
    <row r="494" spans="1:16" ht="15" customHeight="1" x14ac:dyDescent="0.2">
      <c r="A494" s="243" t="str">
        <f>IFERROR(INDEX('All Ticker P&amp;L'!$A$2:$A$1001,MATCH(ROWS($A$2:A494),'All Ticker P&amp;L'!$N$2:$N$1001,0)),"")</f>
        <v/>
      </c>
      <c r="B494" s="243" t="str">
        <f t="shared" si="68"/>
        <v/>
      </c>
      <c r="C494" s="243" t="str">
        <f t="shared" si="69"/>
        <v/>
      </c>
      <c r="D494" s="243" t="str">
        <f t="shared" si="70"/>
        <v/>
      </c>
      <c r="E494" s="265" t="str">
        <f>IF($A494="","",SUMIFS(Txn[Signed Units],Txn[Key],$A494))</f>
        <v/>
      </c>
      <c r="F494" s="287" t="str">
        <f>IF($A494="","",SUMIFS(Txn[Buy Cost],Txn[Key],$A494))</f>
        <v/>
      </c>
      <c r="G494" s="287" t="str">
        <f>IF($A494="","",SUMIFS(Txn[Sell Proceeds],Txn[Key],$A494))</f>
        <v/>
      </c>
      <c r="H494" s="288" t="str">
        <f>IF($A494="","",IFERROR(INDEX(Prices[Current Price],MATCH($A494,Prices[Key],0)),0))</f>
        <v/>
      </c>
      <c r="I494" s="289" t="str">
        <f>IF($A494="","",IFERROR(INDEX(Prices[FX to SGD],MATCH($A494,Prices[Key],0)),1))</f>
        <v/>
      </c>
      <c r="J494" s="287" t="str">
        <f t="shared" si="71"/>
        <v/>
      </c>
      <c r="K494" s="287" t="str">
        <f t="shared" si="72"/>
        <v/>
      </c>
      <c r="L494" s="287" t="str">
        <f t="shared" si="73"/>
        <v/>
      </c>
      <c r="M494" s="290" t="str">
        <f t="shared" si="74"/>
        <v/>
      </c>
      <c r="N494" t="str">
        <f>IF($A494="","",IFERROR(INDEX(Prices[Category],MATCH($A494,Prices[Key],0)),"Uncategorized"))</f>
        <v/>
      </c>
      <c r="O494" s="291" t="str">
        <f t="shared" si="75"/>
        <v/>
      </c>
      <c r="P494" s="291" t="str">
        <f t="shared" si="76"/>
        <v/>
      </c>
    </row>
    <row r="495" spans="1:16" ht="15" customHeight="1" x14ac:dyDescent="0.2">
      <c r="A495" s="243" t="str">
        <f>IFERROR(INDEX('All Ticker P&amp;L'!$A$2:$A$1001,MATCH(ROWS($A$2:A495),'All Ticker P&amp;L'!$N$2:$N$1001,0)),"")</f>
        <v/>
      </c>
      <c r="B495" s="243" t="str">
        <f t="shared" si="68"/>
        <v/>
      </c>
      <c r="C495" s="243" t="str">
        <f t="shared" si="69"/>
        <v/>
      </c>
      <c r="D495" s="243" t="str">
        <f t="shared" si="70"/>
        <v/>
      </c>
      <c r="E495" s="265" t="str">
        <f>IF($A495="","",SUMIFS(Txn[Signed Units],Txn[Key],$A495))</f>
        <v/>
      </c>
      <c r="F495" s="287" t="str">
        <f>IF($A495="","",SUMIFS(Txn[Buy Cost],Txn[Key],$A495))</f>
        <v/>
      </c>
      <c r="G495" s="287" t="str">
        <f>IF($A495="","",SUMIFS(Txn[Sell Proceeds],Txn[Key],$A495))</f>
        <v/>
      </c>
      <c r="H495" s="288" t="str">
        <f>IF($A495="","",IFERROR(INDEX(Prices[Current Price],MATCH($A495,Prices[Key],0)),0))</f>
        <v/>
      </c>
      <c r="I495" s="289" t="str">
        <f>IF($A495="","",IFERROR(INDEX(Prices[FX to SGD],MATCH($A495,Prices[Key],0)),1))</f>
        <v/>
      </c>
      <c r="J495" s="287" t="str">
        <f t="shared" si="71"/>
        <v/>
      </c>
      <c r="K495" s="287" t="str">
        <f t="shared" si="72"/>
        <v/>
      </c>
      <c r="L495" s="287" t="str">
        <f t="shared" si="73"/>
        <v/>
      </c>
      <c r="M495" s="290" t="str">
        <f t="shared" si="74"/>
        <v/>
      </c>
      <c r="N495" t="str">
        <f>IF($A495="","",IFERROR(INDEX(Prices[Category],MATCH($A495,Prices[Key],0)),"Uncategorized"))</f>
        <v/>
      </c>
      <c r="O495" s="291" t="str">
        <f t="shared" si="75"/>
        <v/>
      </c>
      <c r="P495" s="291" t="str">
        <f t="shared" si="76"/>
        <v/>
      </c>
    </row>
    <row r="496" spans="1:16" ht="15" customHeight="1" x14ac:dyDescent="0.2">
      <c r="A496" s="243" t="str">
        <f>IFERROR(INDEX('All Ticker P&amp;L'!$A$2:$A$1001,MATCH(ROWS($A$2:A496),'All Ticker P&amp;L'!$N$2:$N$1001,0)),"")</f>
        <v/>
      </c>
      <c r="B496" s="243" t="str">
        <f t="shared" si="68"/>
        <v/>
      </c>
      <c r="C496" s="243" t="str">
        <f t="shared" si="69"/>
        <v/>
      </c>
      <c r="D496" s="243" t="str">
        <f t="shared" si="70"/>
        <v/>
      </c>
      <c r="E496" s="265" t="str">
        <f>IF($A496="","",SUMIFS(Txn[Signed Units],Txn[Key],$A496))</f>
        <v/>
      </c>
      <c r="F496" s="287" t="str">
        <f>IF($A496="","",SUMIFS(Txn[Buy Cost],Txn[Key],$A496))</f>
        <v/>
      </c>
      <c r="G496" s="287" t="str">
        <f>IF($A496="","",SUMIFS(Txn[Sell Proceeds],Txn[Key],$A496))</f>
        <v/>
      </c>
      <c r="H496" s="288" t="str">
        <f>IF($A496="","",IFERROR(INDEX(Prices[Current Price],MATCH($A496,Prices[Key],0)),0))</f>
        <v/>
      </c>
      <c r="I496" s="289" t="str">
        <f>IF($A496="","",IFERROR(INDEX(Prices[FX to SGD],MATCH($A496,Prices[Key],0)),1))</f>
        <v/>
      </c>
      <c r="J496" s="287" t="str">
        <f t="shared" si="71"/>
        <v/>
      </c>
      <c r="K496" s="287" t="str">
        <f t="shared" si="72"/>
        <v/>
      </c>
      <c r="L496" s="287" t="str">
        <f t="shared" si="73"/>
        <v/>
      </c>
      <c r="M496" s="290" t="str">
        <f t="shared" si="74"/>
        <v/>
      </c>
      <c r="N496" t="str">
        <f>IF($A496="","",IFERROR(INDEX(Prices[Category],MATCH($A496,Prices[Key],0)),"Uncategorized"))</f>
        <v/>
      </c>
      <c r="O496" s="291" t="str">
        <f t="shared" si="75"/>
        <v/>
      </c>
      <c r="P496" s="291" t="str">
        <f t="shared" si="76"/>
        <v/>
      </c>
    </row>
    <row r="497" spans="1:16" ht="15" customHeight="1" x14ac:dyDescent="0.2">
      <c r="A497" s="243" t="str">
        <f>IFERROR(INDEX('All Ticker P&amp;L'!$A$2:$A$1001,MATCH(ROWS($A$2:A497),'All Ticker P&amp;L'!$N$2:$N$1001,0)),"")</f>
        <v/>
      </c>
      <c r="B497" s="243" t="str">
        <f t="shared" si="68"/>
        <v/>
      </c>
      <c r="C497" s="243" t="str">
        <f t="shared" si="69"/>
        <v/>
      </c>
      <c r="D497" s="243" t="str">
        <f t="shared" si="70"/>
        <v/>
      </c>
      <c r="E497" s="265" t="str">
        <f>IF($A497="","",SUMIFS(Txn[Signed Units],Txn[Key],$A497))</f>
        <v/>
      </c>
      <c r="F497" s="287" t="str">
        <f>IF($A497="","",SUMIFS(Txn[Buy Cost],Txn[Key],$A497))</f>
        <v/>
      </c>
      <c r="G497" s="287" t="str">
        <f>IF($A497="","",SUMIFS(Txn[Sell Proceeds],Txn[Key],$A497))</f>
        <v/>
      </c>
      <c r="H497" s="288" t="str">
        <f>IF($A497="","",IFERROR(INDEX(Prices[Current Price],MATCH($A497,Prices[Key],0)),0))</f>
        <v/>
      </c>
      <c r="I497" s="289" t="str">
        <f>IF($A497="","",IFERROR(INDEX(Prices[FX to SGD],MATCH($A497,Prices[Key],0)),1))</f>
        <v/>
      </c>
      <c r="J497" s="287" t="str">
        <f t="shared" si="71"/>
        <v/>
      </c>
      <c r="K497" s="287" t="str">
        <f t="shared" si="72"/>
        <v/>
      </c>
      <c r="L497" s="287" t="str">
        <f t="shared" si="73"/>
        <v/>
      </c>
      <c r="M497" s="290" t="str">
        <f t="shared" si="74"/>
        <v/>
      </c>
      <c r="N497" t="str">
        <f>IF($A497="","",IFERROR(INDEX(Prices[Category],MATCH($A497,Prices[Key],0)),"Uncategorized"))</f>
        <v/>
      </c>
      <c r="O497" s="291" t="str">
        <f t="shared" si="75"/>
        <v/>
      </c>
      <c r="P497" s="291" t="str">
        <f t="shared" si="76"/>
        <v/>
      </c>
    </row>
    <row r="498" spans="1:16" ht="15" customHeight="1" x14ac:dyDescent="0.2">
      <c r="A498" s="243" t="str">
        <f>IFERROR(INDEX('All Ticker P&amp;L'!$A$2:$A$1001,MATCH(ROWS($A$2:A498),'All Ticker P&amp;L'!$N$2:$N$1001,0)),"")</f>
        <v/>
      </c>
      <c r="B498" s="243" t="str">
        <f t="shared" si="68"/>
        <v/>
      </c>
      <c r="C498" s="243" t="str">
        <f t="shared" si="69"/>
        <v/>
      </c>
      <c r="D498" s="243" t="str">
        <f t="shared" si="70"/>
        <v/>
      </c>
      <c r="E498" s="265" t="str">
        <f>IF($A498="","",SUMIFS(Txn[Signed Units],Txn[Key],$A498))</f>
        <v/>
      </c>
      <c r="F498" s="287" t="str">
        <f>IF($A498="","",SUMIFS(Txn[Buy Cost],Txn[Key],$A498))</f>
        <v/>
      </c>
      <c r="G498" s="287" t="str">
        <f>IF($A498="","",SUMIFS(Txn[Sell Proceeds],Txn[Key],$A498))</f>
        <v/>
      </c>
      <c r="H498" s="288" t="str">
        <f>IF($A498="","",IFERROR(INDEX(Prices[Current Price],MATCH($A498,Prices[Key],0)),0))</f>
        <v/>
      </c>
      <c r="I498" s="289" t="str">
        <f>IF($A498="","",IFERROR(INDEX(Prices[FX to SGD],MATCH($A498,Prices[Key],0)),1))</f>
        <v/>
      </c>
      <c r="J498" s="287" t="str">
        <f t="shared" si="71"/>
        <v/>
      </c>
      <c r="K498" s="287" t="str">
        <f t="shared" si="72"/>
        <v/>
      </c>
      <c r="L498" s="287" t="str">
        <f t="shared" si="73"/>
        <v/>
      </c>
      <c r="M498" s="290" t="str">
        <f t="shared" si="74"/>
        <v/>
      </c>
      <c r="N498" t="str">
        <f>IF($A498="","",IFERROR(INDEX(Prices[Category],MATCH($A498,Prices[Key],0)),"Uncategorized"))</f>
        <v/>
      </c>
      <c r="O498" s="291" t="str">
        <f t="shared" si="75"/>
        <v/>
      </c>
      <c r="P498" s="291" t="str">
        <f t="shared" si="76"/>
        <v/>
      </c>
    </row>
    <row r="499" spans="1:16" ht="15" customHeight="1" x14ac:dyDescent="0.2">
      <c r="A499" s="243" t="str">
        <f>IFERROR(INDEX('All Ticker P&amp;L'!$A$2:$A$1001,MATCH(ROWS($A$2:A499),'All Ticker P&amp;L'!$N$2:$N$1001,0)),"")</f>
        <v/>
      </c>
      <c r="B499" s="243" t="str">
        <f t="shared" si="68"/>
        <v/>
      </c>
      <c r="C499" s="243" t="str">
        <f t="shared" si="69"/>
        <v/>
      </c>
      <c r="D499" s="243" t="str">
        <f t="shared" si="70"/>
        <v/>
      </c>
      <c r="E499" s="265" t="str">
        <f>IF($A499="","",SUMIFS(Txn[Signed Units],Txn[Key],$A499))</f>
        <v/>
      </c>
      <c r="F499" s="287" t="str">
        <f>IF($A499="","",SUMIFS(Txn[Buy Cost],Txn[Key],$A499))</f>
        <v/>
      </c>
      <c r="G499" s="287" t="str">
        <f>IF($A499="","",SUMIFS(Txn[Sell Proceeds],Txn[Key],$A499))</f>
        <v/>
      </c>
      <c r="H499" s="288" t="str">
        <f>IF($A499="","",IFERROR(INDEX(Prices[Current Price],MATCH($A499,Prices[Key],0)),0))</f>
        <v/>
      </c>
      <c r="I499" s="289" t="str">
        <f>IF($A499="","",IFERROR(INDEX(Prices[FX to SGD],MATCH($A499,Prices[Key],0)),1))</f>
        <v/>
      </c>
      <c r="J499" s="287" t="str">
        <f t="shared" si="71"/>
        <v/>
      </c>
      <c r="K499" s="287" t="str">
        <f t="shared" si="72"/>
        <v/>
      </c>
      <c r="L499" s="287" t="str">
        <f t="shared" si="73"/>
        <v/>
      </c>
      <c r="M499" s="290" t="str">
        <f t="shared" si="74"/>
        <v/>
      </c>
      <c r="N499" t="str">
        <f>IF($A499="","",IFERROR(INDEX(Prices[Category],MATCH($A499,Prices[Key],0)),"Uncategorized"))</f>
        <v/>
      </c>
      <c r="O499" s="291" t="str">
        <f t="shared" si="75"/>
        <v/>
      </c>
      <c r="P499" s="291" t="str">
        <f t="shared" si="76"/>
        <v/>
      </c>
    </row>
    <row r="500" spans="1:16" ht="15" customHeight="1" x14ac:dyDescent="0.2">
      <c r="A500" s="243" t="str">
        <f>IFERROR(INDEX('All Ticker P&amp;L'!$A$2:$A$1001,MATCH(ROWS($A$2:A500),'All Ticker P&amp;L'!$N$2:$N$1001,0)),"")</f>
        <v/>
      </c>
      <c r="B500" s="243" t="str">
        <f t="shared" si="68"/>
        <v/>
      </c>
      <c r="C500" s="243" t="str">
        <f t="shared" si="69"/>
        <v/>
      </c>
      <c r="D500" s="243" t="str">
        <f t="shared" si="70"/>
        <v/>
      </c>
      <c r="E500" s="265" t="str">
        <f>IF($A500="","",SUMIFS(Txn[Signed Units],Txn[Key],$A500))</f>
        <v/>
      </c>
      <c r="F500" s="287" t="str">
        <f>IF($A500="","",SUMIFS(Txn[Buy Cost],Txn[Key],$A500))</f>
        <v/>
      </c>
      <c r="G500" s="287" t="str">
        <f>IF($A500="","",SUMIFS(Txn[Sell Proceeds],Txn[Key],$A500))</f>
        <v/>
      </c>
      <c r="H500" s="288" t="str">
        <f>IF($A500="","",IFERROR(INDEX(Prices[Current Price],MATCH($A500,Prices[Key],0)),0))</f>
        <v/>
      </c>
      <c r="I500" s="289" t="str">
        <f>IF($A500="","",IFERROR(INDEX(Prices[FX to SGD],MATCH($A500,Prices[Key],0)),1))</f>
        <v/>
      </c>
      <c r="J500" s="287" t="str">
        <f t="shared" si="71"/>
        <v/>
      </c>
      <c r="K500" s="287" t="str">
        <f t="shared" si="72"/>
        <v/>
      </c>
      <c r="L500" s="287" t="str">
        <f t="shared" si="73"/>
        <v/>
      </c>
      <c r="M500" s="290" t="str">
        <f t="shared" si="74"/>
        <v/>
      </c>
      <c r="N500" t="str">
        <f>IF($A500="","",IFERROR(INDEX(Prices[Category],MATCH($A500,Prices[Key],0)),"Uncategorized"))</f>
        <v/>
      </c>
      <c r="O500" s="291" t="str">
        <f t="shared" si="75"/>
        <v/>
      </c>
      <c r="P500" s="291" t="str">
        <f t="shared" si="76"/>
        <v/>
      </c>
    </row>
    <row r="501" spans="1:16" ht="15" customHeight="1" x14ac:dyDescent="0.2">
      <c r="A501" s="243" t="str">
        <f>IFERROR(INDEX('All Ticker P&amp;L'!$A$2:$A$1001,MATCH(ROWS($A$2:A501),'All Ticker P&amp;L'!$N$2:$N$1001,0)),"")</f>
        <v/>
      </c>
      <c r="B501" s="243" t="str">
        <f t="shared" si="68"/>
        <v/>
      </c>
      <c r="C501" s="243" t="str">
        <f t="shared" si="69"/>
        <v/>
      </c>
      <c r="D501" s="243" t="str">
        <f t="shared" si="70"/>
        <v/>
      </c>
      <c r="E501" s="265" t="str">
        <f>IF($A501="","",SUMIFS(Txn[Signed Units],Txn[Key],$A501))</f>
        <v/>
      </c>
      <c r="F501" s="287" t="str">
        <f>IF($A501="","",SUMIFS(Txn[Buy Cost],Txn[Key],$A501))</f>
        <v/>
      </c>
      <c r="G501" s="287" t="str">
        <f>IF($A501="","",SUMIFS(Txn[Sell Proceeds],Txn[Key],$A501))</f>
        <v/>
      </c>
      <c r="H501" s="288" t="str">
        <f>IF($A501="","",IFERROR(INDEX(Prices[Current Price],MATCH($A501,Prices[Key],0)),0))</f>
        <v/>
      </c>
      <c r="I501" s="289" t="str">
        <f>IF($A501="","",IFERROR(INDEX(Prices[FX to SGD],MATCH($A501,Prices[Key],0)),1))</f>
        <v/>
      </c>
      <c r="J501" s="287" t="str">
        <f t="shared" si="71"/>
        <v/>
      </c>
      <c r="K501" s="287" t="str">
        <f t="shared" si="72"/>
        <v/>
      </c>
      <c r="L501" s="287" t="str">
        <f t="shared" si="73"/>
        <v/>
      </c>
      <c r="M501" s="290" t="str">
        <f t="shared" si="74"/>
        <v/>
      </c>
      <c r="N501" t="str">
        <f>IF($A501="","",IFERROR(INDEX(Prices[Category],MATCH($A501,Prices[Key],0)),"Uncategorized"))</f>
        <v/>
      </c>
      <c r="O501" s="291" t="str">
        <f t="shared" si="75"/>
        <v/>
      </c>
      <c r="P501" s="291" t="str">
        <f t="shared" si="76"/>
        <v/>
      </c>
    </row>
    <row r="502" spans="1:16" ht="15" customHeight="1" x14ac:dyDescent="0.2">
      <c r="A502" s="243" t="str">
        <f>IFERROR(INDEX('All Ticker P&amp;L'!$A$2:$A$1001,MATCH(ROWS($A$2:A502),'All Ticker P&amp;L'!$N$2:$N$1001,0)),"")</f>
        <v/>
      </c>
      <c r="B502" s="243" t="str">
        <f t="shared" si="68"/>
        <v/>
      </c>
      <c r="C502" s="243" t="str">
        <f t="shared" si="69"/>
        <v/>
      </c>
      <c r="D502" s="243" t="str">
        <f t="shared" si="70"/>
        <v/>
      </c>
      <c r="E502" s="265" t="str">
        <f>IF($A502="","",SUMIFS(Txn[Signed Units],Txn[Key],$A502))</f>
        <v/>
      </c>
      <c r="F502" s="287" t="str">
        <f>IF($A502="","",SUMIFS(Txn[Buy Cost],Txn[Key],$A502))</f>
        <v/>
      </c>
      <c r="G502" s="287" t="str">
        <f>IF($A502="","",SUMIFS(Txn[Sell Proceeds],Txn[Key],$A502))</f>
        <v/>
      </c>
      <c r="H502" s="288" t="str">
        <f>IF($A502="","",IFERROR(INDEX(Prices[Current Price],MATCH($A502,Prices[Key],0)),0))</f>
        <v/>
      </c>
      <c r="I502" s="289" t="str">
        <f>IF($A502="","",IFERROR(INDEX(Prices[FX to SGD],MATCH($A502,Prices[Key],0)),1))</f>
        <v/>
      </c>
      <c r="J502" s="287" t="str">
        <f t="shared" si="71"/>
        <v/>
      </c>
      <c r="K502" s="287" t="str">
        <f t="shared" si="72"/>
        <v/>
      </c>
      <c r="L502" s="287" t="str">
        <f t="shared" si="73"/>
        <v/>
      </c>
      <c r="M502" s="290" t="str">
        <f t="shared" si="74"/>
        <v/>
      </c>
      <c r="N502" t="str">
        <f>IF($A502="","",IFERROR(INDEX(Prices[Category],MATCH($A502,Prices[Key],0)),"Uncategorized"))</f>
        <v/>
      </c>
      <c r="O502" s="291" t="str">
        <f t="shared" si="75"/>
        <v/>
      </c>
      <c r="P502" s="291" t="str">
        <f t="shared" si="76"/>
        <v/>
      </c>
    </row>
    <row r="503" spans="1:16" ht="15" customHeight="1" x14ac:dyDescent="0.2">
      <c r="A503" s="243" t="str">
        <f>IFERROR(INDEX('All Ticker P&amp;L'!$A$2:$A$1001,MATCH(ROWS($A$2:A503),'All Ticker P&amp;L'!$N$2:$N$1001,0)),"")</f>
        <v/>
      </c>
      <c r="B503" s="243" t="str">
        <f t="shared" si="68"/>
        <v/>
      </c>
      <c r="C503" s="243" t="str">
        <f t="shared" si="69"/>
        <v/>
      </c>
      <c r="D503" s="243" t="str">
        <f t="shared" si="70"/>
        <v/>
      </c>
      <c r="E503" s="265" t="str">
        <f>IF($A503="","",SUMIFS(Txn[Signed Units],Txn[Key],$A503))</f>
        <v/>
      </c>
      <c r="F503" s="287" t="str">
        <f>IF($A503="","",SUMIFS(Txn[Buy Cost],Txn[Key],$A503))</f>
        <v/>
      </c>
      <c r="G503" s="287" t="str">
        <f>IF($A503="","",SUMIFS(Txn[Sell Proceeds],Txn[Key],$A503))</f>
        <v/>
      </c>
      <c r="H503" s="288" t="str">
        <f>IF($A503="","",IFERROR(INDEX(Prices[Current Price],MATCH($A503,Prices[Key],0)),0))</f>
        <v/>
      </c>
      <c r="I503" s="289" t="str">
        <f>IF($A503="","",IFERROR(INDEX(Prices[FX to SGD],MATCH($A503,Prices[Key],0)),1))</f>
        <v/>
      </c>
      <c r="J503" s="287" t="str">
        <f t="shared" si="71"/>
        <v/>
      </c>
      <c r="K503" s="287" t="str">
        <f t="shared" si="72"/>
        <v/>
      </c>
      <c r="L503" s="287" t="str">
        <f t="shared" si="73"/>
        <v/>
      </c>
      <c r="M503" s="290" t="str">
        <f t="shared" si="74"/>
        <v/>
      </c>
      <c r="N503" t="str">
        <f>IF($A503="","",IFERROR(INDEX(Prices[Category],MATCH($A503,Prices[Key],0)),"Uncategorized"))</f>
        <v/>
      </c>
      <c r="O503" s="291" t="str">
        <f t="shared" si="75"/>
        <v/>
      </c>
      <c r="P503" s="291" t="str">
        <f t="shared" si="76"/>
        <v/>
      </c>
    </row>
    <row r="504" spans="1:16" ht="15" customHeight="1" x14ac:dyDescent="0.2">
      <c r="A504" s="243" t="str">
        <f>IFERROR(INDEX('All Ticker P&amp;L'!$A$2:$A$1001,MATCH(ROWS($A$2:A504),'All Ticker P&amp;L'!$N$2:$N$1001,0)),"")</f>
        <v/>
      </c>
      <c r="B504" s="243" t="str">
        <f t="shared" si="68"/>
        <v/>
      </c>
      <c r="C504" s="243" t="str">
        <f t="shared" si="69"/>
        <v/>
      </c>
      <c r="D504" s="243" t="str">
        <f t="shared" si="70"/>
        <v/>
      </c>
      <c r="E504" s="265" t="str">
        <f>IF($A504="","",SUMIFS(Txn[Signed Units],Txn[Key],$A504))</f>
        <v/>
      </c>
      <c r="F504" s="287" t="str">
        <f>IF($A504="","",SUMIFS(Txn[Buy Cost],Txn[Key],$A504))</f>
        <v/>
      </c>
      <c r="G504" s="287" t="str">
        <f>IF($A504="","",SUMIFS(Txn[Sell Proceeds],Txn[Key],$A504))</f>
        <v/>
      </c>
      <c r="H504" s="288" t="str">
        <f>IF($A504="","",IFERROR(INDEX(Prices[Current Price],MATCH($A504,Prices[Key],0)),0))</f>
        <v/>
      </c>
      <c r="I504" s="289" t="str">
        <f>IF($A504="","",IFERROR(INDEX(Prices[FX to SGD],MATCH($A504,Prices[Key],0)),1))</f>
        <v/>
      </c>
      <c r="J504" s="287" t="str">
        <f t="shared" si="71"/>
        <v/>
      </c>
      <c r="K504" s="287" t="str">
        <f t="shared" si="72"/>
        <v/>
      </c>
      <c r="L504" s="287" t="str">
        <f t="shared" si="73"/>
        <v/>
      </c>
      <c r="M504" s="290" t="str">
        <f t="shared" si="74"/>
        <v/>
      </c>
      <c r="N504" t="str">
        <f>IF($A504="","",IFERROR(INDEX(Prices[Category],MATCH($A504,Prices[Key],0)),"Uncategorized"))</f>
        <v/>
      </c>
      <c r="O504" s="291" t="str">
        <f t="shared" si="75"/>
        <v/>
      </c>
      <c r="P504" s="291" t="str">
        <f t="shared" si="76"/>
        <v/>
      </c>
    </row>
    <row r="505" spans="1:16" ht="15" customHeight="1" x14ac:dyDescent="0.2">
      <c r="A505" s="243" t="str">
        <f>IFERROR(INDEX('All Ticker P&amp;L'!$A$2:$A$1001,MATCH(ROWS($A$2:A505),'All Ticker P&amp;L'!$N$2:$N$1001,0)),"")</f>
        <v/>
      </c>
      <c r="B505" s="243" t="str">
        <f t="shared" si="68"/>
        <v/>
      </c>
      <c r="C505" s="243" t="str">
        <f t="shared" si="69"/>
        <v/>
      </c>
      <c r="D505" s="243" t="str">
        <f t="shared" si="70"/>
        <v/>
      </c>
      <c r="E505" s="265" t="str">
        <f>IF($A505="","",SUMIFS(Txn[Signed Units],Txn[Key],$A505))</f>
        <v/>
      </c>
      <c r="F505" s="287" t="str">
        <f>IF($A505="","",SUMIFS(Txn[Buy Cost],Txn[Key],$A505))</f>
        <v/>
      </c>
      <c r="G505" s="287" t="str">
        <f>IF($A505="","",SUMIFS(Txn[Sell Proceeds],Txn[Key],$A505))</f>
        <v/>
      </c>
      <c r="H505" s="288" t="str">
        <f>IF($A505="","",IFERROR(INDEX(Prices[Current Price],MATCH($A505,Prices[Key],0)),0))</f>
        <v/>
      </c>
      <c r="I505" s="289" t="str">
        <f>IF($A505="","",IFERROR(INDEX(Prices[FX to SGD],MATCH($A505,Prices[Key],0)),1))</f>
        <v/>
      </c>
      <c r="J505" s="287" t="str">
        <f t="shared" si="71"/>
        <v/>
      </c>
      <c r="K505" s="287" t="str">
        <f t="shared" si="72"/>
        <v/>
      </c>
      <c r="L505" s="287" t="str">
        <f t="shared" si="73"/>
        <v/>
      </c>
      <c r="M505" s="290" t="str">
        <f t="shared" si="74"/>
        <v/>
      </c>
      <c r="N505" t="str">
        <f>IF($A505="","",IFERROR(INDEX(Prices[Category],MATCH($A505,Prices[Key],0)),"Uncategorized"))</f>
        <v/>
      </c>
      <c r="O505" s="291" t="str">
        <f t="shared" si="75"/>
        <v/>
      </c>
      <c r="P505" s="291" t="str">
        <f t="shared" si="76"/>
        <v/>
      </c>
    </row>
    <row r="506" spans="1:16" ht="15" customHeight="1" x14ac:dyDescent="0.2">
      <c r="A506" s="243" t="str">
        <f>IFERROR(INDEX('All Ticker P&amp;L'!$A$2:$A$1001,MATCH(ROWS($A$2:A506),'All Ticker P&amp;L'!$N$2:$N$1001,0)),"")</f>
        <v/>
      </c>
      <c r="B506" s="243" t="str">
        <f t="shared" si="68"/>
        <v/>
      </c>
      <c r="C506" s="243" t="str">
        <f t="shared" si="69"/>
        <v/>
      </c>
      <c r="D506" s="243" t="str">
        <f t="shared" si="70"/>
        <v/>
      </c>
      <c r="E506" s="265" t="str">
        <f>IF($A506="","",SUMIFS(Txn[Signed Units],Txn[Key],$A506))</f>
        <v/>
      </c>
      <c r="F506" s="287" t="str">
        <f>IF($A506="","",SUMIFS(Txn[Buy Cost],Txn[Key],$A506))</f>
        <v/>
      </c>
      <c r="G506" s="287" t="str">
        <f>IF($A506="","",SUMIFS(Txn[Sell Proceeds],Txn[Key],$A506))</f>
        <v/>
      </c>
      <c r="H506" s="288" t="str">
        <f>IF($A506="","",IFERROR(INDEX(Prices[Current Price],MATCH($A506,Prices[Key],0)),0))</f>
        <v/>
      </c>
      <c r="I506" s="289" t="str">
        <f>IF($A506="","",IFERROR(INDEX(Prices[FX to SGD],MATCH($A506,Prices[Key],0)),1))</f>
        <v/>
      </c>
      <c r="J506" s="287" t="str">
        <f t="shared" si="71"/>
        <v/>
      </c>
      <c r="K506" s="287" t="str">
        <f t="shared" si="72"/>
        <v/>
      </c>
      <c r="L506" s="287" t="str">
        <f t="shared" si="73"/>
        <v/>
      </c>
      <c r="M506" s="290" t="str">
        <f t="shared" si="74"/>
        <v/>
      </c>
      <c r="N506" t="str">
        <f>IF($A506="","",IFERROR(INDEX(Prices[Category],MATCH($A506,Prices[Key],0)),"Uncategorized"))</f>
        <v/>
      </c>
      <c r="O506" s="291" t="str">
        <f t="shared" si="75"/>
        <v/>
      </c>
      <c r="P506" s="291" t="str">
        <f t="shared" si="76"/>
        <v/>
      </c>
    </row>
    <row r="507" spans="1:16" ht="15" customHeight="1" x14ac:dyDescent="0.2">
      <c r="A507" s="243" t="str">
        <f>IFERROR(INDEX('All Ticker P&amp;L'!$A$2:$A$1001,MATCH(ROWS($A$2:A507),'All Ticker P&amp;L'!$N$2:$N$1001,0)),"")</f>
        <v/>
      </c>
      <c r="B507" s="243" t="str">
        <f t="shared" si="68"/>
        <v/>
      </c>
      <c r="C507" s="243" t="str">
        <f t="shared" si="69"/>
        <v/>
      </c>
      <c r="D507" s="243" t="str">
        <f t="shared" si="70"/>
        <v/>
      </c>
      <c r="E507" s="265" t="str">
        <f>IF($A507="","",SUMIFS(Txn[Signed Units],Txn[Key],$A507))</f>
        <v/>
      </c>
      <c r="F507" s="287" t="str">
        <f>IF($A507="","",SUMIFS(Txn[Buy Cost],Txn[Key],$A507))</f>
        <v/>
      </c>
      <c r="G507" s="287" t="str">
        <f>IF($A507="","",SUMIFS(Txn[Sell Proceeds],Txn[Key],$A507))</f>
        <v/>
      </c>
      <c r="H507" s="288" t="str">
        <f>IF($A507="","",IFERROR(INDEX(Prices[Current Price],MATCH($A507,Prices[Key],0)),0))</f>
        <v/>
      </c>
      <c r="I507" s="289" t="str">
        <f>IF($A507="","",IFERROR(INDEX(Prices[FX to SGD],MATCH($A507,Prices[Key],0)),1))</f>
        <v/>
      </c>
      <c r="J507" s="287" t="str">
        <f t="shared" si="71"/>
        <v/>
      </c>
      <c r="K507" s="287" t="str">
        <f t="shared" si="72"/>
        <v/>
      </c>
      <c r="L507" s="287" t="str">
        <f t="shared" si="73"/>
        <v/>
      </c>
      <c r="M507" s="290" t="str">
        <f t="shared" si="74"/>
        <v/>
      </c>
      <c r="N507" t="str">
        <f>IF($A507="","",IFERROR(INDEX(Prices[Category],MATCH($A507,Prices[Key],0)),"Uncategorized"))</f>
        <v/>
      </c>
      <c r="O507" s="291" t="str">
        <f t="shared" si="75"/>
        <v/>
      </c>
      <c r="P507" s="291" t="str">
        <f t="shared" si="76"/>
        <v/>
      </c>
    </row>
    <row r="508" spans="1:16" ht="15" customHeight="1" x14ac:dyDescent="0.2">
      <c r="A508" s="243" t="str">
        <f>IFERROR(INDEX('All Ticker P&amp;L'!$A$2:$A$1001,MATCH(ROWS($A$2:A508),'All Ticker P&amp;L'!$N$2:$N$1001,0)),"")</f>
        <v/>
      </c>
      <c r="B508" s="243" t="str">
        <f t="shared" si="68"/>
        <v/>
      </c>
      <c r="C508" s="243" t="str">
        <f t="shared" si="69"/>
        <v/>
      </c>
      <c r="D508" s="243" t="str">
        <f t="shared" si="70"/>
        <v/>
      </c>
      <c r="E508" s="265" t="str">
        <f>IF($A508="","",SUMIFS(Txn[Signed Units],Txn[Key],$A508))</f>
        <v/>
      </c>
      <c r="F508" s="287" t="str">
        <f>IF($A508="","",SUMIFS(Txn[Buy Cost],Txn[Key],$A508))</f>
        <v/>
      </c>
      <c r="G508" s="287" t="str">
        <f>IF($A508="","",SUMIFS(Txn[Sell Proceeds],Txn[Key],$A508))</f>
        <v/>
      </c>
      <c r="H508" s="288" t="str">
        <f>IF($A508="","",IFERROR(INDEX(Prices[Current Price],MATCH($A508,Prices[Key],0)),0))</f>
        <v/>
      </c>
      <c r="I508" s="289" t="str">
        <f>IF($A508="","",IFERROR(INDEX(Prices[FX to SGD],MATCH($A508,Prices[Key],0)),1))</f>
        <v/>
      </c>
      <c r="J508" s="287" t="str">
        <f t="shared" si="71"/>
        <v/>
      </c>
      <c r="K508" s="287" t="str">
        <f t="shared" si="72"/>
        <v/>
      </c>
      <c r="L508" s="287" t="str">
        <f t="shared" si="73"/>
        <v/>
      </c>
      <c r="M508" s="290" t="str">
        <f t="shared" si="74"/>
        <v/>
      </c>
      <c r="N508" t="str">
        <f>IF($A508="","",IFERROR(INDEX(Prices[Category],MATCH($A508,Prices[Key],0)),"Uncategorized"))</f>
        <v/>
      </c>
      <c r="O508" s="291" t="str">
        <f t="shared" si="75"/>
        <v/>
      </c>
      <c r="P508" s="291" t="str">
        <f t="shared" si="76"/>
        <v/>
      </c>
    </row>
    <row r="509" spans="1:16" ht="15" customHeight="1" x14ac:dyDescent="0.2">
      <c r="A509" s="243" t="str">
        <f>IFERROR(INDEX('All Ticker P&amp;L'!$A$2:$A$1001,MATCH(ROWS($A$2:A509),'All Ticker P&amp;L'!$N$2:$N$1001,0)),"")</f>
        <v/>
      </c>
      <c r="B509" s="243" t="str">
        <f t="shared" si="68"/>
        <v/>
      </c>
      <c r="C509" s="243" t="str">
        <f t="shared" si="69"/>
        <v/>
      </c>
      <c r="D509" s="243" t="str">
        <f t="shared" si="70"/>
        <v/>
      </c>
      <c r="E509" s="265" t="str">
        <f>IF($A509="","",SUMIFS(Txn[Signed Units],Txn[Key],$A509))</f>
        <v/>
      </c>
      <c r="F509" s="287" t="str">
        <f>IF($A509="","",SUMIFS(Txn[Buy Cost],Txn[Key],$A509))</f>
        <v/>
      </c>
      <c r="G509" s="287" t="str">
        <f>IF($A509="","",SUMIFS(Txn[Sell Proceeds],Txn[Key],$A509))</f>
        <v/>
      </c>
      <c r="H509" s="288" t="str">
        <f>IF($A509="","",IFERROR(INDEX(Prices[Current Price],MATCH($A509,Prices[Key],0)),0))</f>
        <v/>
      </c>
      <c r="I509" s="289" t="str">
        <f>IF($A509="","",IFERROR(INDEX(Prices[FX to SGD],MATCH($A509,Prices[Key],0)),1))</f>
        <v/>
      </c>
      <c r="J509" s="287" t="str">
        <f t="shared" si="71"/>
        <v/>
      </c>
      <c r="K509" s="287" t="str">
        <f t="shared" si="72"/>
        <v/>
      </c>
      <c r="L509" s="287" t="str">
        <f t="shared" si="73"/>
        <v/>
      </c>
      <c r="M509" s="290" t="str">
        <f t="shared" si="74"/>
        <v/>
      </c>
      <c r="N509" t="str">
        <f>IF($A509="","",IFERROR(INDEX(Prices[Category],MATCH($A509,Prices[Key],0)),"Uncategorized"))</f>
        <v/>
      </c>
      <c r="O509" s="291" t="str">
        <f t="shared" si="75"/>
        <v/>
      </c>
      <c r="P509" s="291" t="str">
        <f t="shared" si="76"/>
        <v/>
      </c>
    </row>
    <row r="510" spans="1:16" ht="15" customHeight="1" x14ac:dyDescent="0.2">
      <c r="A510" s="243" t="str">
        <f>IFERROR(INDEX('All Ticker P&amp;L'!$A$2:$A$1001,MATCH(ROWS($A$2:A510),'All Ticker P&amp;L'!$N$2:$N$1001,0)),"")</f>
        <v/>
      </c>
      <c r="B510" s="243" t="str">
        <f t="shared" si="68"/>
        <v/>
      </c>
      <c r="C510" s="243" t="str">
        <f t="shared" si="69"/>
        <v/>
      </c>
      <c r="D510" s="243" t="str">
        <f t="shared" si="70"/>
        <v/>
      </c>
      <c r="E510" s="265" t="str">
        <f>IF($A510="","",SUMIFS(Txn[Signed Units],Txn[Key],$A510))</f>
        <v/>
      </c>
      <c r="F510" s="287" t="str">
        <f>IF($A510="","",SUMIFS(Txn[Buy Cost],Txn[Key],$A510))</f>
        <v/>
      </c>
      <c r="G510" s="287" t="str">
        <f>IF($A510="","",SUMIFS(Txn[Sell Proceeds],Txn[Key],$A510))</f>
        <v/>
      </c>
      <c r="H510" s="288" t="str">
        <f>IF($A510="","",IFERROR(INDEX(Prices[Current Price],MATCH($A510,Prices[Key],0)),0))</f>
        <v/>
      </c>
      <c r="I510" s="289" t="str">
        <f>IF($A510="","",IFERROR(INDEX(Prices[FX to SGD],MATCH($A510,Prices[Key],0)),1))</f>
        <v/>
      </c>
      <c r="J510" s="287" t="str">
        <f t="shared" si="71"/>
        <v/>
      </c>
      <c r="K510" s="287" t="str">
        <f t="shared" si="72"/>
        <v/>
      </c>
      <c r="L510" s="287" t="str">
        <f t="shared" si="73"/>
        <v/>
      </c>
      <c r="M510" s="290" t="str">
        <f t="shared" si="74"/>
        <v/>
      </c>
      <c r="N510" t="str">
        <f>IF($A510="","",IFERROR(INDEX(Prices[Category],MATCH($A510,Prices[Key],0)),"Uncategorized"))</f>
        <v/>
      </c>
      <c r="O510" s="291" t="str">
        <f t="shared" si="75"/>
        <v/>
      </c>
      <c r="P510" s="291" t="str">
        <f t="shared" si="76"/>
        <v/>
      </c>
    </row>
    <row r="511" spans="1:16" ht="15" customHeight="1" x14ac:dyDescent="0.2">
      <c r="A511" s="243" t="str">
        <f>IFERROR(INDEX('All Ticker P&amp;L'!$A$2:$A$1001,MATCH(ROWS($A$2:A511),'All Ticker P&amp;L'!$N$2:$N$1001,0)),"")</f>
        <v/>
      </c>
      <c r="B511" s="243" t="str">
        <f t="shared" si="68"/>
        <v/>
      </c>
      <c r="C511" s="243" t="str">
        <f t="shared" si="69"/>
        <v/>
      </c>
      <c r="D511" s="243" t="str">
        <f t="shared" si="70"/>
        <v/>
      </c>
      <c r="E511" s="265" t="str">
        <f>IF($A511="","",SUMIFS(Txn[Signed Units],Txn[Key],$A511))</f>
        <v/>
      </c>
      <c r="F511" s="287" t="str">
        <f>IF($A511="","",SUMIFS(Txn[Buy Cost],Txn[Key],$A511))</f>
        <v/>
      </c>
      <c r="G511" s="287" t="str">
        <f>IF($A511="","",SUMIFS(Txn[Sell Proceeds],Txn[Key],$A511))</f>
        <v/>
      </c>
      <c r="H511" s="288" t="str">
        <f>IF($A511="","",IFERROR(INDEX(Prices[Current Price],MATCH($A511,Prices[Key],0)),0))</f>
        <v/>
      </c>
      <c r="I511" s="289" t="str">
        <f>IF($A511="","",IFERROR(INDEX(Prices[FX to SGD],MATCH($A511,Prices[Key],0)),1))</f>
        <v/>
      </c>
      <c r="J511" s="287" t="str">
        <f t="shared" si="71"/>
        <v/>
      </c>
      <c r="K511" s="287" t="str">
        <f t="shared" si="72"/>
        <v/>
      </c>
      <c r="L511" s="287" t="str">
        <f t="shared" si="73"/>
        <v/>
      </c>
      <c r="M511" s="290" t="str">
        <f t="shared" si="74"/>
        <v/>
      </c>
      <c r="N511" t="str">
        <f>IF($A511="","",IFERROR(INDEX(Prices[Category],MATCH($A511,Prices[Key],0)),"Uncategorized"))</f>
        <v/>
      </c>
      <c r="O511" s="291" t="str">
        <f t="shared" si="75"/>
        <v/>
      </c>
      <c r="P511" s="291" t="str">
        <f t="shared" si="76"/>
        <v/>
      </c>
    </row>
    <row r="512" spans="1:16" ht="15" customHeight="1" x14ac:dyDescent="0.2">
      <c r="A512" s="243" t="str">
        <f>IFERROR(INDEX('All Ticker P&amp;L'!$A$2:$A$1001,MATCH(ROWS($A$2:A512),'All Ticker P&amp;L'!$N$2:$N$1001,0)),"")</f>
        <v/>
      </c>
      <c r="B512" s="243" t="str">
        <f t="shared" si="68"/>
        <v/>
      </c>
      <c r="C512" s="243" t="str">
        <f t="shared" si="69"/>
        <v/>
      </c>
      <c r="D512" s="243" t="str">
        <f t="shared" si="70"/>
        <v/>
      </c>
      <c r="E512" s="265" t="str">
        <f>IF($A512="","",SUMIFS(Txn[Signed Units],Txn[Key],$A512))</f>
        <v/>
      </c>
      <c r="F512" s="287" t="str">
        <f>IF($A512="","",SUMIFS(Txn[Buy Cost],Txn[Key],$A512))</f>
        <v/>
      </c>
      <c r="G512" s="287" t="str">
        <f>IF($A512="","",SUMIFS(Txn[Sell Proceeds],Txn[Key],$A512))</f>
        <v/>
      </c>
      <c r="H512" s="288" t="str">
        <f>IF($A512="","",IFERROR(INDEX(Prices[Current Price],MATCH($A512,Prices[Key],0)),0))</f>
        <v/>
      </c>
      <c r="I512" s="289" t="str">
        <f>IF($A512="","",IFERROR(INDEX(Prices[FX to SGD],MATCH($A512,Prices[Key],0)),1))</f>
        <v/>
      </c>
      <c r="J512" s="287" t="str">
        <f t="shared" si="71"/>
        <v/>
      </c>
      <c r="K512" s="287" t="str">
        <f t="shared" si="72"/>
        <v/>
      </c>
      <c r="L512" s="287" t="str">
        <f t="shared" si="73"/>
        <v/>
      </c>
      <c r="M512" s="290" t="str">
        <f t="shared" si="74"/>
        <v/>
      </c>
      <c r="N512" t="str">
        <f>IF($A512="","",IFERROR(INDEX(Prices[Category],MATCH($A512,Prices[Key],0)),"Uncategorized"))</f>
        <v/>
      </c>
      <c r="O512" s="291" t="str">
        <f t="shared" si="75"/>
        <v/>
      </c>
      <c r="P512" s="291" t="str">
        <f t="shared" si="76"/>
        <v/>
      </c>
    </row>
    <row r="513" spans="1:16" ht="15" customHeight="1" x14ac:dyDescent="0.2">
      <c r="A513" s="243" t="str">
        <f>IFERROR(INDEX('All Ticker P&amp;L'!$A$2:$A$1001,MATCH(ROWS($A$2:A513),'All Ticker P&amp;L'!$N$2:$N$1001,0)),"")</f>
        <v/>
      </c>
      <c r="B513" s="243" t="str">
        <f t="shared" si="68"/>
        <v/>
      </c>
      <c r="C513" s="243" t="str">
        <f t="shared" si="69"/>
        <v/>
      </c>
      <c r="D513" s="243" t="str">
        <f t="shared" si="70"/>
        <v/>
      </c>
      <c r="E513" s="265" t="str">
        <f>IF($A513="","",SUMIFS(Txn[Signed Units],Txn[Key],$A513))</f>
        <v/>
      </c>
      <c r="F513" s="287" t="str">
        <f>IF($A513="","",SUMIFS(Txn[Buy Cost],Txn[Key],$A513))</f>
        <v/>
      </c>
      <c r="G513" s="287" t="str">
        <f>IF($A513="","",SUMIFS(Txn[Sell Proceeds],Txn[Key],$A513))</f>
        <v/>
      </c>
      <c r="H513" s="288" t="str">
        <f>IF($A513="","",IFERROR(INDEX(Prices[Current Price],MATCH($A513,Prices[Key],0)),0))</f>
        <v/>
      </c>
      <c r="I513" s="289" t="str">
        <f>IF($A513="","",IFERROR(INDEX(Prices[FX to SGD],MATCH($A513,Prices[Key],0)),1))</f>
        <v/>
      </c>
      <c r="J513" s="287" t="str">
        <f t="shared" si="71"/>
        <v/>
      </c>
      <c r="K513" s="287" t="str">
        <f t="shared" si="72"/>
        <v/>
      </c>
      <c r="L513" s="287" t="str">
        <f t="shared" si="73"/>
        <v/>
      </c>
      <c r="M513" s="290" t="str">
        <f t="shared" si="74"/>
        <v/>
      </c>
      <c r="N513" t="str">
        <f>IF($A513="","",IFERROR(INDEX(Prices[Category],MATCH($A513,Prices[Key],0)),"Uncategorized"))</f>
        <v/>
      </c>
      <c r="O513" s="291" t="str">
        <f t="shared" si="75"/>
        <v/>
      </c>
      <c r="P513" s="291" t="str">
        <f t="shared" si="76"/>
        <v/>
      </c>
    </row>
    <row r="514" spans="1:16" ht="15" customHeight="1" x14ac:dyDescent="0.2">
      <c r="A514" s="243" t="str">
        <f>IFERROR(INDEX('All Ticker P&amp;L'!$A$2:$A$1001,MATCH(ROWS($A$2:A514),'All Ticker P&amp;L'!$N$2:$N$1001,0)),"")</f>
        <v/>
      </c>
      <c r="B514" s="243" t="str">
        <f t="shared" ref="B514:B577" si="77">IF($A514="","",LEFT($A514,FIND(":",$A514)-1))</f>
        <v/>
      </c>
      <c r="C514" s="243" t="str">
        <f t="shared" ref="C514:C577" si="78">IF($A514="","",MID($A514,FIND(":",$A514)+1,FIND(":",$A514,FIND(":",$A514)+1)-FIND(":",$A514)-1))</f>
        <v/>
      </c>
      <c r="D514" s="243" t="str">
        <f t="shared" ref="D514:D577" si="79">IF($A514="","",RIGHT($A514,LEN($A514)-FIND(":",$A514,FIND(":",$A514)+1)))</f>
        <v/>
      </c>
      <c r="E514" s="265" t="str">
        <f>IF($A514="","",SUMIFS(Txn[Signed Units],Txn[Key],$A514))</f>
        <v/>
      </c>
      <c r="F514" s="287" t="str">
        <f>IF($A514="","",SUMIFS(Txn[Buy Cost],Txn[Key],$A514))</f>
        <v/>
      </c>
      <c r="G514" s="287" t="str">
        <f>IF($A514="","",SUMIFS(Txn[Sell Proceeds],Txn[Key],$A514))</f>
        <v/>
      </c>
      <c r="H514" s="288" t="str">
        <f>IF($A514="","",IFERROR(INDEX(Prices[Current Price],MATCH($A514,Prices[Key],0)),0))</f>
        <v/>
      </c>
      <c r="I514" s="289" t="str">
        <f>IF($A514="","",IFERROR(INDEX(Prices[FX to SGD],MATCH($A514,Prices[Key],0)),1))</f>
        <v/>
      </c>
      <c r="J514" s="287" t="str">
        <f t="shared" ref="J514:J577" si="80">IF($A514="","",E514*H514)</f>
        <v/>
      </c>
      <c r="K514" s="287" t="str">
        <f t="shared" ref="K514:K577" si="81">IF($A514="","",J514+G514-F514)</f>
        <v/>
      </c>
      <c r="L514" s="287" t="str">
        <f t="shared" ref="L514:L577" si="82">IF($A514="","",K514*I514)</f>
        <v/>
      </c>
      <c r="M514" s="290" t="str">
        <f t="shared" ref="M514:M577" si="83">IF($A514="","",IFERROR(K514/F514,0))</f>
        <v/>
      </c>
      <c r="N514" t="str">
        <f>IF($A514="","",IFERROR(INDEX(Prices[Category],MATCH($A514,Prices[Key],0)),"Uncategorized"))</f>
        <v/>
      </c>
      <c r="O514" s="291" t="str">
        <f t="shared" ref="O514:O577" si="84">IF($A514="","",$J514*$I514)</f>
        <v/>
      </c>
      <c r="P514" s="291" t="str">
        <f t="shared" ref="P514:P577" si="85">IF($A514="","",$L514)</f>
        <v/>
      </c>
    </row>
    <row r="515" spans="1:16" ht="15" customHeight="1" x14ac:dyDescent="0.2">
      <c r="A515" s="243" t="str">
        <f>IFERROR(INDEX('All Ticker P&amp;L'!$A$2:$A$1001,MATCH(ROWS($A$2:A515),'All Ticker P&amp;L'!$N$2:$N$1001,0)),"")</f>
        <v/>
      </c>
      <c r="B515" s="243" t="str">
        <f t="shared" si="77"/>
        <v/>
      </c>
      <c r="C515" s="243" t="str">
        <f t="shared" si="78"/>
        <v/>
      </c>
      <c r="D515" s="243" t="str">
        <f t="shared" si="79"/>
        <v/>
      </c>
      <c r="E515" s="265" t="str">
        <f>IF($A515="","",SUMIFS(Txn[Signed Units],Txn[Key],$A515))</f>
        <v/>
      </c>
      <c r="F515" s="287" t="str">
        <f>IF($A515="","",SUMIFS(Txn[Buy Cost],Txn[Key],$A515))</f>
        <v/>
      </c>
      <c r="G515" s="287" t="str">
        <f>IF($A515="","",SUMIFS(Txn[Sell Proceeds],Txn[Key],$A515))</f>
        <v/>
      </c>
      <c r="H515" s="288" t="str">
        <f>IF($A515="","",IFERROR(INDEX(Prices[Current Price],MATCH($A515,Prices[Key],0)),0))</f>
        <v/>
      </c>
      <c r="I515" s="289" t="str">
        <f>IF($A515="","",IFERROR(INDEX(Prices[FX to SGD],MATCH($A515,Prices[Key],0)),1))</f>
        <v/>
      </c>
      <c r="J515" s="287" t="str">
        <f t="shared" si="80"/>
        <v/>
      </c>
      <c r="K515" s="287" t="str">
        <f t="shared" si="81"/>
        <v/>
      </c>
      <c r="L515" s="287" t="str">
        <f t="shared" si="82"/>
        <v/>
      </c>
      <c r="M515" s="290" t="str">
        <f t="shared" si="83"/>
        <v/>
      </c>
      <c r="N515" t="str">
        <f>IF($A515="","",IFERROR(INDEX(Prices[Category],MATCH($A515,Prices[Key],0)),"Uncategorized"))</f>
        <v/>
      </c>
      <c r="O515" s="291" t="str">
        <f t="shared" si="84"/>
        <v/>
      </c>
      <c r="P515" s="291" t="str">
        <f t="shared" si="85"/>
        <v/>
      </c>
    </row>
    <row r="516" spans="1:16" ht="15" customHeight="1" x14ac:dyDescent="0.2">
      <c r="A516" s="243" t="str">
        <f>IFERROR(INDEX('All Ticker P&amp;L'!$A$2:$A$1001,MATCH(ROWS($A$2:A516),'All Ticker P&amp;L'!$N$2:$N$1001,0)),"")</f>
        <v/>
      </c>
      <c r="B516" s="243" t="str">
        <f t="shared" si="77"/>
        <v/>
      </c>
      <c r="C516" s="243" t="str">
        <f t="shared" si="78"/>
        <v/>
      </c>
      <c r="D516" s="243" t="str">
        <f t="shared" si="79"/>
        <v/>
      </c>
      <c r="E516" s="265" t="str">
        <f>IF($A516="","",SUMIFS(Txn[Signed Units],Txn[Key],$A516))</f>
        <v/>
      </c>
      <c r="F516" s="287" t="str">
        <f>IF($A516="","",SUMIFS(Txn[Buy Cost],Txn[Key],$A516))</f>
        <v/>
      </c>
      <c r="G516" s="287" t="str">
        <f>IF($A516="","",SUMIFS(Txn[Sell Proceeds],Txn[Key],$A516))</f>
        <v/>
      </c>
      <c r="H516" s="288" t="str">
        <f>IF($A516="","",IFERROR(INDEX(Prices[Current Price],MATCH($A516,Prices[Key],0)),0))</f>
        <v/>
      </c>
      <c r="I516" s="289" t="str">
        <f>IF($A516="","",IFERROR(INDEX(Prices[FX to SGD],MATCH($A516,Prices[Key],0)),1))</f>
        <v/>
      </c>
      <c r="J516" s="287" t="str">
        <f t="shared" si="80"/>
        <v/>
      </c>
      <c r="K516" s="287" t="str">
        <f t="shared" si="81"/>
        <v/>
      </c>
      <c r="L516" s="287" t="str">
        <f t="shared" si="82"/>
        <v/>
      </c>
      <c r="M516" s="290" t="str">
        <f t="shared" si="83"/>
        <v/>
      </c>
      <c r="N516" t="str">
        <f>IF($A516="","",IFERROR(INDEX(Prices[Category],MATCH($A516,Prices[Key],0)),"Uncategorized"))</f>
        <v/>
      </c>
      <c r="O516" s="291" t="str">
        <f t="shared" si="84"/>
        <v/>
      </c>
      <c r="P516" s="291" t="str">
        <f t="shared" si="85"/>
        <v/>
      </c>
    </row>
    <row r="517" spans="1:16" ht="15" customHeight="1" x14ac:dyDescent="0.2">
      <c r="A517" s="243" t="str">
        <f>IFERROR(INDEX('All Ticker P&amp;L'!$A$2:$A$1001,MATCH(ROWS($A$2:A517),'All Ticker P&amp;L'!$N$2:$N$1001,0)),"")</f>
        <v/>
      </c>
      <c r="B517" s="243" t="str">
        <f t="shared" si="77"/>
        <v/>
      </c>
      <c r="C517" s="243" t="str">
        <f t="shared" si="78"/>
        <v/>
      </c>
      <c r="D517" s="243" t="str">
        <f t="shared" si="79"/>
        <v/>
      </c>
      <c r="E517" s="265" t="str">
        <f>IF($A517="","",SUMIFS(Txn[Signed Units],Txn[Key],$A517))</f>
        <v/>
      </c>
      <c r="F517" s="287" t="str">
        <f>IF($A517="","",SUMIFS(Txn[Buy Cost],Txn[Key],$A517))</f>
        <v/>
      </c>
      <c r="G517" s="287" t="str">
        <f>IF($A517="","",SUMIFS(Txn[Sell Proceeds],Txn[Key],$A517))</f>
        <v/>
      </c>
      <c r="H517" s="288" t="str">
        <f>IF($A517="","",IFERROR(INDEX(Prices[Current Price],MATCH($A517,Prices[Key],0)),0))</f>
        <v/>
      </c>
      <c r="I517" s="289" t="str">
        <f>IF($A517="","",IFERROR(INDEX(Prices[FX to SGD],MATCH($A517,Prices[Key],0)),1))</f>
        <v/>
      </c>
      <c r="J517" s="287" t="str">
        <f t="shared" si="80"/>
        <v/>
      </c>
      <c r="K517" s="287" t="str">
        <f t="shared" si="81"/>
        <v/>
      </c>
      <c r="L517" s="287" t="str">
        <f t="shared" si="82"/>
        <v/>
      </c>
      <c r="M517" s="290" t="str">
        <f t="shared" si="83"/>
        <v/>
      </c>
      <c r="N517" t="str">
        <f>IF($A517="","",IFERROR(INDEX(Prices[Category],MATCH($A517,Prices[Key],0)),"Uncategorized"))</f>
        <v/>
      </c>
      <c r="O517" s="291" t="str">
        <f t="shared" si="84"/>
        <v/>
      </c>
      <c r="P517" s="291" t="str">
        <f t="shared" si="85"/>
        <v/>
      </c>
    </row>
    <row r="518" spans="1:16" ht="15" customHeight="1" x14ac:dyDescent="0.2">
      <c r="A518" s="243" t="str">
        <f>IFERROR(INDEX('All Ticker P&amp;L'!$A$2:$A$1001,MATCH(ROWS($A$2:A518),'All Ticker P&amp;L'!$N$2:$N$1001,0)),"")</f>
        <v/>
      </c>
      <c r="B518" s="243" t="str">
        <f t="shared" si="77"/>
        <v/>
      </c>
      <c r="C518" s="243" t="str">
        <f t="shared" si="78"/>
        <v/>
      </c>
      <c r="D518" s="243" t="str">
        <f t="shared" si="79"/>
        <v/>
      </c>
      <c r="E518" s="265" t="str">
        <f>IF($A518="","",SUMIFS(Txn[Signed Units],Txn[Key],$A518))</f>
        <v/>
      </c>
      <c r="F518" s="287" t="str">
        <f>IF($A518="","",SUMIFS(Txn[Buy Cost],Txn[Key],$A518))</f>
        <v/>
      </c>
      <c r="G518" s="287" t="str">
        <f>IF($A518="","",SUMIFS(Txn[Sell Proceeds],Txn[Key],$A518))</f>
        <v/>
      </c>
      <c r="H518" s="288" t="str">
        <f>IF($A518="","",IFERROR(INDEX(Prices[Current Price],MATCH($A518,Prices[Key],0)),0))</f>
        <v/>
      </c>
      <c r="I518" s="289" t="str">
        <f>IF($A518="","",IFERROR(INDEX(Prices[FX to SGD],MATCH($A518,Prices[Key],0)),1))</f>
        <v/>
      </c>
      <c r="J518" s="287" t="str">
        <f t="shared" si="80"/>
        <v/>
      </c>
      <c r="K518" s="287" t="str">
        <f t="shared" si="81"/>
        <v/>
      </c>
      <c r="L518" s="287" t="str">
        <f t="shared" si="82"/>
        <v/>
      </c>
      <c r="M518" s="290" t="str">
        <f t="shared" si="83"/>
        <v/>
      </c>
      <c r="N518" t="str">
        <f>IF($A518="","",IFERROR(INDEX(Prices[Category],MATCH($A518,Prices[Key],0)),"Uncategorized"))</f>
        <v/>
      </c>
      <c r="O518" s="291" t="str">
        <f t="shared" si="84"/>
        <v/>
      </c>
      <c r="P518" s="291" t="str">
        <f t="shared" si="85"/>
        <v/>
      </c>
    </row>
    <row r="519" spans="1:16" ht="15" customHeight="1" x14ac:dyDescent="0.2">
      <c r="A519" s="243" t="str">
        <f>IFERROR(INDEX('All Ticker P&amp;L'!$A$2:$A$1001,MATCH(ROWS($A$2:A519),'All Ticker P&amp;L'!$N$2:$N$1001,0)),"")</f>
        <v/>
      </c>
      <c r="B519" s="243" t="str">
        <f t="shared" si="77"/>
        <v/>
      </c>
      <c r="C519" s="243" t="str">
        <f t="shared" si="78"/>
        <v/>
      </c>
      <c r="D519" s="243" t="str">
        <f t="shared" si="79"/>
        <v/>
      </c>
      <c r="E519" s="265" t="str">
        <f>IF($A519="","",SUMIFS(Txn[Signed Units],Txn[Key],$A519))</f>
        <v/>
      </c>
      <c r="F519" s="287" t="str">
        <f>IF($A519="","",SUMIFS(Txn[Buy Cost],Txn[Key],$A519))</f>
        <v/>
      </c>
      <c r="G519" s="287" t="str">
        <f>IF($A519="","",SUMIFS(Txn[Sell Proceeds],Txn[Key],$A519))</f>
        <v/>
      </c>
      <c r="H519" s="288" t="str">
        <f>IF($A519="","",IFERROR(INDEX(Prices[Current Price],MATCH($A519,Prices[Key],0)),0))</f>
        <v/>
      </c>
      <c r="I519" s="289" t="str">
        <f>IF($A519="","",IFERROR(INDEX(Prices[FX to SGD],MATCH($A519,Prices[Key],0)),1))</f>
        <v/>
      </c>
      <c r="J519" s="287" t="str">
        <f t="shared" si="80"/>
        <v/>
      </c>
      <c r="K519" s="287" t="str">
        <f t="shared" si="81"/>
        <v/>
      </c>
      <c r="L519" s="287" t="str">
        <f t="shared" si="82"/>
        <v/>
      </c>
      <c r="M519" s="290" t="str">
        <f t="shared" si="83"/>
        <v/>
      </c>
      <c r="N519" t="str">
        <f>IF($A519="","",IFERROR(INDEX(Prices[Category],MATCH($A519,Prices[Key],0)),"Uncategorized"))</f>
        <v/>
      </c>
      <c r="O519" s="291" t="str">
        <f t="shared" si="84"/>
        <v/>
      </c>
      <c r="P519" s="291" t="str">
        <f t="shared" si="85"/>
        <v/>
      </c>
    </row>
    <row r="520" spans="1:16" ht="15" customHeight="1" x14ac:dyDescent="0.2">
      <c r="A520" s="243" t="str">
        <f>IFERROR(INDEX('All Ticker P&amp;L'!$A$2:$A$1001,MATCH(ROWS($A$2:A520),'All Ticker P&amp;L'!$N$2:$N$1001,0)),"")</f>
        <v/>
      </c>
      <c r="B520" s="243" t="str">
        <f t="shared" si="77"/>
        <v/>
      </c>
      <c r="C520" s="243" t="str">
        <f t="shared" si="78"/>
        <v/>
      </c>
      <c r="D520" s="243" t="str">
        <f t="shared" si="79"/>
        <v/>
      </c>
      <c r="E520" s="265" t="str">
        <f>IF($A520="","",SUMIFS(Txn[Signed Units],Txn[Key],$A520))</f>
        <v/>
      </c>
      <c r="F520" s="287" t="str">
        <f>IF($A520="","",SUMIFS(Txn[Buy Cost],Txn[Key],$A520))</f>
        <v/>
      </c>
      <c r="G520" s="287" t="str">
        <f>IF($A520="","",SUMIFS(Txn[Sell Proceeds],Txn[Key],$A520))</f>
        <v/>
      </c>
      <c r="H520" s="288" t="str">
        <f>IF($A520="","",IFERROR(INDEX(Prices[Current Price],MATCH($A520,Prices[Key],0)),0))</f>
        <v/>
      </c>
      <c r="I520" s="289" t="str">
        <f>IF($A520="","",IFERROR(INDEX(Prices[FX to SGD],MATCH($A520,Prices[Key],0)),1))</f>
        <v/>
      </c>
      <c r="J520" s="287" t="str">
        <f t="shared" si="80"/>
        <v/>
      </c>
      <c r="K520" s="287" t="str">
        <f t="shared" si="81"/>
        <v/>
      </c>
      <c r="L520" s="287" t="str">
        <f t="shared" si="82"/>
        <v/>
      </c>
      <c r="M520" s="290" t="str">
        <f t="shared" si="83"/>
        <v/>
      </c>
      <c r="N520" t="str">
        <f>IF($A520="","",IFERROR(INDEX(Prices[Category],MATCH($A520,Prices[Key],0)),"Uncategorized"))</f>
        <v/>
      </c>
      <c r="O520" s="291" t="str">
        <f t="shared" si="84"/>
        <v/>
      </c>
      <c r="P520" s="291" t="str">
        <f t="shared" si="85"/>
        <v/>
      </c>
    </row>
    <row r="521" spans="1:16" ht="15" customHeight="1" x14ac:dyDescent="0.2">
      <c r="A521" s="243" t="str">
        <f>IFERROR(INDEX('All Ticker P&amp;L'!$A$2:$A$1001,MATCH(ROWS($A$2:A521),'All Ticker P&amp;L'!$N$2:$N$1001,0)),"")</f>
        <v/>
      </c>
      <c r="B521" s="243" t="str">
        <f t="shared" si="77"/>
        <v/>
      </c>
      <c r="C521" s="243" t="str">
        <f t="shared" si="78"/>
        <v/>
      </c>
      <c r="D521" s="243" t="str">
        <f t="shared" si="79"/>
        <v/>
      </c>
      <c r="E521" s="265" t="str">
        <f>IF($A521="","",SUMIFS(Txn[Signed Units],Txn[Key],$A521))</f>
        <v/>
      </c>
      <c r="F521" s="287" t="str">
        <f>IF($A521="","",SUMIFS(Txn[Buy Cost],Txn[Key],$A521))</f>
        <v/>
      </c>
      <c r="G521" s="287" t="str">
        <f>IF($A521="","",SUMIFS(Txn[Sell Proceeds],Txn[Key],$A521))</f>
        <v/>
      </c>
      <c r="H521" s="288" t="str">
        <f>IF($A521="","",IFERROR(INDEX(Prices[Current Price],MATCH($A521,Prices[Key],0)),0))</f>
        <v/>
      </c>
      <c r="I521" s="289" t="str">
        <f>IF($A521="","",IFERROR(INDEX(Prices[FX to SGD],MATCH($A521,Prices[Key],0)),1))</f>
        <v/>
      </c>
      <c r="J521" s="287" t="str">
        <f t="shared" si="80"/>
        <v/>
      </c>
      <c r="K521" s="287" t="str">
        <f t="shared" si="81"/>
        <v/>
      </c>
      <c r="L521" s="287" t="str">
        <f t="shared" si="82"/>
        <v/>
      </c>
      <c r="M521" s="290" t="str">
        <f t="shared" si="83"/>
        <v/>
      </c>
      <c r="N521" t="str">
        <f>IF($A521="","",IFERROR(INDEX(Prices[Category],MATCH($A521,Prices[Key],0)),"Uncategorized"))</f>
        <v/>
      </c>
      <c r="O521" s="291" t="str">
        <f t="shared" si="84"/>
        <v/>
      </c>
      <c r="P521" s="291" t="str">
        <f t="shared" si="85"/>
        <v/>
      </c>
    </row>
    <row r="522" spans="1:16" ht="15" customHeight="1" x14ac:dyDescent="0.2">
      <c r="A522" s="243" t="str">
        <f>IFERROR(INDEX('All Ticker P&amp;L'!$A$2:$A$1001,MATCH(ROWS($A$2:A522),'All Ticker P&amp;L'!$N$2:$N$1001,0)),"")</f>
        <v/>
      </c>
      <c r="B522" s="243" t="str">
        <f t="shared" si="77"/>
        <v/>
      </c>
      <c r="C522" s="243" t="str">
        <f t="shared" si="78"/>
        <v/>
      </c>
      <c r="D522" s="243" t="str">
        <f t="shared" si="79"/>
        <v/>
      </c>
      <c r="E522" s="265" t="str">
        <f>IF($A522="","",SUMIFS(Txn[Signed Units],Txn[Key],$A522))</f>
        <v/>
      </c>
      <c r="F522" s="287" t="str">
        <f>IF($A522="","",SUMIFS(Txn[Buy Cost],Txn[Key],$A522))</f>
        <v/>
      </c>
      <c r="G522" s="287" t="str">
        <f>IF($A522="","",SUMIFS(Txn[Sell Proceeds],Txn[Key],$A522))</f>
        <v/>
      </c>
      <c r="H522" s="288" t="str">
        <f>IF($A522="","",IFERROR(INDEX(Prices[Current Price],MATCH($A522,Prices[Key],0)),0))</f>
        <v/>
      </c>
      <c r="I522" s="289" t="str">
        <f>IF($A522="","",IFERROR(INDEX(Prices[FX to SGD],MATCH($A522,Prices[Key],0)),1))</f>
        <v/>
      </c>
      <c r="J522" s="287" t="str">
        <f t="shared" si="80"/>
        <v/>
      </c>
      <c r="K522" s="287" t="str">
        <f t="shared" si="81"/>
        <v/>
      </c>
      <c r="L522" s="287" t="str">
        <f t="shared" si="82"/>
        <v/>
      </c>
      <c r="M522" s="290" t="str">
        <f t="shared" si="83"/>
        <v/>
      </c>
      <c r="N522" t="str">
        <f>IF($A522="","",IFERROR(INDEX(Prices[Category],MATCH($A522,Prices[Key],0)),"Uncategorized"))</f>
        <v/>
      </c>
      <c r="O522" s="291" t="str">
        <f t="shared" si="84"/>
        <v/>
      </c>
      <c r="P522" s="291" t="str">
        <f t="shared" si="85"/>
        <v/>
      </c>
    </row>
    <row r="523" spans="1:16" ht="15" customHeight="1" x14ac:dyDescent="0.2">
      <c r="A523" s="243" t="str">
        <f>IFERROR(INDEX('All Ticker P&amp;L'!$A$2:$A$1001,MATCH(ROWS($A$2:A523),'All Ticker P&amp;L'!$N$2:$N$1001,0)),"")</f>
        <v/>
      </c>
      <c r="B523" s="243" t="str">
        <f t="shared" si="77"/>
        <v/>
      </c>
      <c r="C523" s="243" t="str">
        <f t="shared" si="78"/>
        <v/>
      </c>
      <c r="D523" s="243" t="str">
        <f t="shared" si="79"/>
        <v/>
      </c>
      <c r="E523" s="265" t="str">
        <f>IF($A523="","",SUMIFS(Txn[Signed Units],Txn[Key],$A523))</f>
        <v/>
      </c>
      <c r="F523" s="287" t="str">
        <f>IF($A523="","",SUMIFS(Txn[Buy Cost],Txn[Key],$A523))</f>
        <v/>
      </c>
      <c r="G523" s="287" t="str">
        <f>IF($A523="","",SUMIFS(Txn[Sell Proceeds],Txn[Key],$A523))</f>
        <v/>
      </c>
      <c r="H523" s="288" t="str">
        <f>IF($A523="","",IFERROR(INDEX(Prices[Current Price],MATCH($A523,Prices[Key],0)),0))</f>
        <v/>
      </c>
      <c r="I523" s="289" t="str">
        <f>IF($A523="","",IFERROR(INDEX(Prices[FX to SGD],MATCH($A523,Prices[Key],0)),1))</f>
        <v/>
      </c>
      <c r="J523" s="287" t="str">
        <f t="shared" si="80"/>
        <v/>
      </c>
      <c r="K523" s="287" t="str">
        <f t="shared" si="81"/>
        <v/>
      </c>
      <c r="L523" s="287" t="str">
        <f t="shared" si="82"/>
        <v/>
      </c>
      <c r="M523" s="290" t="str">
        <f t="shared" si="83"/>
        <v/>
      </c>
      <c r="N523" t="str">
        <f>IF($A523="","",IFERROR(INDEX(Prices[Category],MATCH($A523,Prices[Key],0)),"Uncategorized"))</f>
        <v/>
      </c>
      <c r="O523" s="291" t="str">
        <f t="shared" si="84"/>
        <v/>
      </c>
      <c r="P523" s="291" t="str">
        <f t="shared" si="85"/>
        <v/>
      </c>
    </row>
    <row r="524" spans="1:16" ht="15" customHeight="1" x14ac:dyDescent="0.2">
      <c r="A524" s="243" t="str">
        <f>IFERROR(INDEX('All Ticker P&amp;L'!$A$2:$A$1001,MATCH(ROWS($A$2:A524),'All Ticker P&amp;L'!$N$2:$N$1001,0)),"")</f>
        <v/>
      </c>
      <c r="B524" s="243" t="str">
        <f t="shared" si="77"/>
        <v/>
      </c>
      <c r="C524" s="243" t="str">
        <f t="shared" si="78"/>
        <v/>
      </c>
      <c r="D524" s="243" t="str">
        <f t="shared" si="79"/>
        <v/>
      </c>
      <c r="E524" s="265" t="str">
        <f>IF($A524="","",SUMIFS(Txn[Signed Units],Txn[Key],$A524))</f>
        <v/>
      </c>
      <c r="F524" s="287" t="str">
        <f>IF($A524="","",SUMIFS(Txn[Buy Cost],Txn[Key],$A524))</f>
        <v/>
      </c>
      <c r="G524" s="287" t="str">
        <f>IF($A524="","",SUMIFS(Txn[Sell Proceeds],Txn[Key],$A524))</f>
        <v/>
      </c>
      <c r="H524" s="288" t="str">
        <f>IF($A524="","",IFERROR(INDEX(Prices[Current Price],MATCH($A524,Prices[Key],0)),0))</f>
        <v/>
      </c>
      <c r="I524" s="289" t="str">
        <f>IF($A524="","",IFERROR(INDEX(Prices[FX to SGD],MATCH($A524,Prices[Key],0)),1))</f>
        <v/>
      </c>
      <c r="J524" s="287" t="str">
        <f t="shared" si="80"/>
        <v/>
      </c>
      <c r="K524" s="287" t="str">
        <f t="shared" si="81"/>
        <v/>
      </c>
      <c r="L524" s="287" t="str">
        <f t="shared" si="82"/>
        <v/>
      </c>
      <c r="M524" s="290" t="str">
        <f t="shared" si="83"/>
        <v/>
      </c>
      <c r="N524" t="str">
        <f>IF($A524="","",IFERROR(INDEX(Prices[Category],MATCH($A524,Prices[Key],0)),"Uncategorized"))</f>
        <v/>
      </c>
      <c r="O524" s="291" t="str">
        <f t="shared" si="84"/>
        <v/>
      </c>
      <c r="P524" s="291" t="str">
        <f t="shared" si="85"/>
        <v/>
      </c>
    </row>
    <row r="525" spans="1:16" ht="15" customHeight="1" x14ac:dyDescent="0.2">
      <c r="A525" s="243" t="str">
        <f>IFERROR(INDEX('All Ticker P&amp;L'!$A$2:$A$1001,MATCH(ROWS($A$2:A525),'All Ticker P&amp;L'!$N$2:$N$1001,0)),"")</f>
        <v/>
      </c>
      <c r="B525" s="243" t="str">
        <f t="shared" si="77"/>
        <v/>
      </c>
      <c r="C525" s="243" t="str">
        <f t="shared" si="78"/>
        <v/>
      </c>
      <c r="D525" s="243" t="str">
        <f t="shared" si="79"/>
        <v/>
      </c>
      <c r="E525" s="265" t="str">
        <f>IF($A525="","",SUMIFS(Txn[Signed Units],Txn[Key],$A525))</f>
        <v/>
      </c>
      <c r="F525" s="287" t="str">
        <f>IF($A525="","",SUMIFS(Txn[Buy Cost],Txn[Key],$A525))</f>
        <v/>
      </c>
      <c r="G525" s="287" t="str">
        <f>IF($A525="","",SUMIFS(Txn[Sell Proceeds],Txn[Key],$A525))</f>
        <v/>
      </c>
      <c r="H525" s="288" t="str">
        <f>IF($A525="","",IFERROR(INDEX(Prices[Current Price],MATCH($A525,Prices[Key],0)),0))</f>
        <v/>
      </c>
      <c r="I525" s="289" t="str">
        <f>IF($A525="","",IFERROR(INDEX(Prices[FX to SGD],MATCH($A525,Prices[Key],0)),1))</f>
        <v/>
      </c>
      <c r="J525" s="287" t="str">
        <f t="shared" si="80"/>
        <v/>
      </c>
      <c r="K525" s="287" t="str">
        <f t="shared" si="81"/>
        <v/>
      </c>
      <c r="L525" s="287" t="str">
        <f t="shared" si="82"/>
        <v/>
      </c>
      <c r="M525" s="290" t="str">
        <f t="shared" si="83"/>
        <v/>
      </c>
      <c r="N525" t="str">
        <f>IF($A525="","",IFERROR(INDEX(Prices[Category],MATCH($A525,Prices[Key],0)),"Uncategorized"))</f>
        <v/>
      </c>
      <c r="O525" s="291" t="str">
        <f t="shared" si="84"/>
        <v/>
      </c>
      <c r="P525" s="291" t="str">
        <f t="shared" si="85"/>
        <v/>
      </c>
    </row>
    <row r="526" spans="1:16" ht="15" customHeight="1" x14ac:dyDescent="0.2">
      <c r="A526" s="243" t="str">
        <f>IFERROR(INDEX('All Ticker P&amp;L'!$A$2:$A$1001,MATCH(ROWS($A$2:A526),'All Ticker P&amp;L'!$N$2:$N$1001,0)),"")</f>
        <v/>
      </c>
      <c r="B526" s="243" t="str">
        <f t="shared" si="77"/>
        <v/>
      </c>
      <c r="C526" s="243" t="str">
        <f t="shared" si="78"/>
        <v/>
      </c>
      <c r="D526" s="243" t="str">
        <f t="shared" si="79"/>
        <v/>
      </c>
      <c r="E526" s="265" t="str">
        <f>IF($A526="","",SUMIFS(Txn[Signed Units],Txn[Key],$A526))</f>
        <v/>
      </c>
      <c r="F526" s="287" t="str">
        <f>IF($A526="","",SUMIFS(Txn[Buy Cost],Txn[Key],$A526))</f>
        <v/>
      </c>
      <c r="G526" s="287" t="str">
        <f>IF($A526="","",SUMIFS(Txn[Sell Proceeds],Txn[Key],$A526))</f>
        <v/>
      </c>
      <c r="H526" s="288" t="str">
        <f>IF($A526="","",IFERROR(INDEX(Prices[Current Price],MATCH($A526,Prices[Key],0)),0))</f>
        <v/>
      </c>
      <c r="I526" s="289" t="str">
        <f>IF($A526="","",IFERROR(INDEX(Prices[FX to SGD],MATCH($A526,Prices[Key],0)),1))</f>
        <v/>
      </c>
      <c r="J526" s="287" t="str">
        <f t="shared" si="80"/>
        <v/>
      </c>
      <c r="K526" s="287" t="str">
        <f t="shared" si="81"/>
        <v/>
      </c>
      <c r="L526" s="287" t="str">
        <f t="shared" si="82"/>
        <v/>
      </c>
      <c r="M526" s="290" t="str">
        <f t="shared" si="83"/>
        <v/>
      </c>
      <c r="N526" t="str">
        <f>IF($A526="","",IFERROR(INDEX(Prices[Category],MATCH($A526,Prices[Key],0)),"Uncategorized"))</f>
        <v/>
      </c>
      <c r="O526" s="291" t="str">
        <f t="shared" si="84"/>
        <v/>
      </c>
      <c r="P526" s="291" t="str">
        <f t="shared" si="85"/>
        <v/>
      </c>
    </row>
    <row r="527" spans="1:16" ht="15" customHeight="1" x14ac:dyDescent="0.2">
      <c r="A527" s="243" t="str">
        <f>IFERROR(INDEX('All Ticker P&amp;L'!$A$2:$A$1001,MATCH(ROWS($A$2:A527),'All Ticker P&amp;L'!$N$2:$N$1001,0)),"")</f>
        <v/>
      </c>
      <c r="B527" s="243" t="str">
        <f t="shared" si="77"/>
        <v/>
      </c>
      <c r="C527" s="243" t="str">
        <f t="shared" si="78"/>
        <v/>
      </c>
      <c r="D527" s="243" t="str">
        <f t="shared" si="79"/>
        <v/>
      </c>
      <c r="E527" s="265" t="str">
        <f>IF($A527="","",SUMIFS(Txn[Signed Units],Txn[Key],$A527))</f>
        <v/>
      </c>
      <c r="F527" s="287" t="str">
        <f>IF($A527="","",SUMIFS(Txn[Buy Cost],Txn[Key],$A527))</f>
        <v/>
      </c>
      <c r="G527" s="287" t="str">
        <f>IF($A527="","",SUMIFS(Txn[Sell Proceeds],Txn[Key],$A527))</f>
        <v/>
      </c>
      <c r="H527" s="288" t="str">
        <f>IF($A527="","",IFERROR(INDEX(Prices[Current Price],MATCH($A527,Prices[Key],0)),0))</f>
        <v/>
      </c>
      <c r="I527" s="289" t="str">
        <f>IF($A527="","",IFERROR(INDEX(Prices[FX to SGD],MATCH($A527,Prices[Key],0)),1))</f>
        <v/>
      </c>
      <c r="J527" s="287" t="str">
        <f t="shared" si="80"/>
        <v/>
      </c>
      <c r="K527" s="287" t="str">
        <f t="shared" si="81"/>
        <v/>
      </c>
      <c r="L527" s="287" t="str">
        <f t="shared" si="82"/>
        <v/>
      </c>
      <c r="M527" s="290" t="str">
        <f t="shared" si="83"/>
        <v/>
      </c>
      <c r="N527" t="str">
        <f>IF($A527="","",IFERROR(INDEX(Prices[Category],MATCH($A527,Prices[Key],0)),"Uncategorized"))</f>
        <v/>
      </c>
      <c r="O527" s="291" t="str">
        <f t="shared" si="84"/>
        <v/>
      </c>
      <c r="P527" s="291" t="str">
        <f t="shared" si="85"/>
        <v/>
      </c>
    </row>
    <row r="528" spans="1:16" ht="15" customHeight="1" x14ac:dyDescent="0.2">
      <c r="A528" s="243" t="str">
        <f>IFERROR(INDEX('All Ticker P&amp;L'!$A$2:$A$1001,MATCH(ROWS($A$2:A528),'All Ticker P&amp;L'!$N$2:$N$1001,0)),"")</f>
        <v/>
      </c>
      <c r="B528" s="243" t="str">
        <f t="shared" si="77"/>
        <v/>
      </c>
      <c r="C528" s="243" t="str">
        <f t="shared" si="78"/>
        <v/>
      </c>
      <c r="D528" s="243" t="str">
        <f t="shared" si="79"/>
        <v/>
      </c>
      <c r="E528" s="265" t="str">
        <f>IF($A528="","",SUMIFS(Txn[Signed Units],Txn[Key],$A528))</f>
        <v/>
      </c>
      <c r="F528" s="287" t="str">
        <f>IF($A528="","",SUMIFS(Txn[Buy Cost],Txn[Key],$A528))</f>
        <v/>
      </c>
      <c r="G528" s="287" t="str">
        <f>IF($A528="","",SUMIFS(Txn[Sell Proceeds],Txn[Key],$A528))</f>
        <v/>
      </c>
      <c r="H528" s="288" t="str">
        <f>IF($A528="","",IFERROR(INDEX(Prices[Current Price],MATCH($A528,Prices[Key],0)),0))</f>
        <v/>
      </c>
      <c r="I528" s="289" t="str">
        <f>IF($A528="","",IFERROR(INDEX(Prices[FX to SGD],MATCH($A528,Prices[Key],0)),1))</f>
        <v/>
      </c>
      <c r="J528" s="287" t="str">
        <f t="shared" si="80"/>
        <v/>
      </c>
      <c r="K528" s="287" t="str">
        <f t="shared" si="81"/>
        <v/>
      </c>
      <c r="L528" s="287" t="str">
        <f t="shared" si="82"/>
        <v/>
      </c>
      <c r="M528" s="290" t="str">
        <f t="shared" si="83"/>
        <v/>
      </c>
      <c r="N528" t="str">
        <f>IF($A528="","",IFERROR(INDEX(Prices[Category],MATCH($A528,Prices[Key],0)),"Uncategorized"))</f>
        <v/>
      </c>
      <c r="O528" s="291" t="str">
        <f t="shared" si="84"/>
        <v/>
      </c>
      <c r="P528" s="291" t="str">
        <f t="shared" si="85"/>
        <v/>
      </c>
    </row>
    <row r="529" spans="1:16" ht="15" customHeight="1" x14ac:dyDescent="0.2">
      <c r="A529" s="243" t="str">
        <f>IFERROR(INDEX('All Ticker P&amp;L'!$A$2:$A$1001,MATCH(ROWS($A$2:A529),'All Ticker P&amp;L'!$N$2:$N$1001,0)),"")</f>
        <v/>
      </c>
      <c r="B529" s="243" t="str">
        <f t="shared" si="77"/>
        <v/>
      </c>
      <c r="C529" s="243" t="str">
        <f t="shared" si="78"/>
        <v/>
      </c>
      <c r="D529" s="243" t="str">
        <f t="shared" si="79"/>
        <v/>
      </c>
      <c r="E529" s="265" t="str">
        <f>IF($A529="","",SUMIFS(Txn[Signed Units],Txn[Key],$A529))</f>
        <v/>
      </c>
      <c r="F529" s="287" t="str">
        <f>IF($A529="","",SUMIFS(Txn[Buy Cost],Txn[Key],$A529))</f>
        <v/>
      </c>
      <c r="G529" s="287" t="str">
        <f>IF($A529="","",SUMIFS(Txn[Sell Proceeds],Txn[Key],$A529))</f>
        <v/>
      </c>
      <c r="H529" s="288" t="str">
        <f>IF($A529="","",IFERROR(INDEX(Prices[Current Price],MATCH($A529,Prices[Key],0)),0))</f>
        <v/>
      </c>
      <c r="I529" s="289" t="str">
        <f>IF($A529="","",IFERROR(INDEX(Prices[FX to SGD],MATCH($A529,Prices[Key],0)),1))</f>
        <v/>
      </c>
      <c r="J529" s="287" t="str">
        <f t="shared" si="80"/>
        <v/>
      </c>
      <c r="K529" s="287" t="str">
        <f t="shared" si="81"/>
        <v/>
      </c>
      <c r="L529" s="287" t="str">
        <f t="shared" si="82"/>
        <v/>
      </c>
      <c r="M529" s="290" t="str">
        <f t="shared" si="83"/>
        <v/>
      </c>
      <c r="N529" t="str">
        <f>IF($A529="","",IFERROR(INDEX(Prices[Category],MATCH($A529,Prices[Key],0)),"Uncategorized"))</f>
        <v/>
      </c>
      <c r="O529" s="291" t="str">
        <f t="shared" si="84"/>
        <v/>
      </c>
      <c r="P529" s="291" t="str">
        <f t="shared" si="85"/>
        <v/>
      </c>
    </row>
    <row r="530" spans="1:16" ht="15" customHeight="1" x14ac:dyDescent="0.2">
      <c r="A530" s="243" t="str">
        <f>IFERROR(INDEX('All Ticker P&amp;L'!$A$2:$A$1001,MATCH(ROWS($A$2:A530),'All Ticker P&amp;L'!$N$2:$N$1001,0)),"")</f>
        <v/>
      </c>
      <c r="B530" s="243" t="str">
        <f t="shared" si="77"/>
        <v/>
      </c>
      <c r="C530" s="243" t="str">
        <f t="shared" si="78"/>
        <v/>
      </c>
      <c r="D530" s="243" t="str">
        <f t="shared" si="79"/>
        <v/>
      </c>
      <c r="E530" s="265" t="str">
        <f>IF($A530="","",SUMIFS(Txn[Signed Units],Txn[Key],$A530))</f>
        <v/>
      </c>
      <c r="F530" s="287" t="str">
        <f>IF($A530="","",SUMIFS(Txn[Buy Cost],Txn[Key],$A530))</f>
        <v/>
      </c>
      <c r="G530" s="287" t="str">
        <f>IF($A530="","",SUMIFS(Txn[Sell Proceeds],Txn[Key],$A530))</f>
        <v/>
      </c>
      <c r="H530" s="288" t="str">
        <f>IF($A530="","",IFERROR(INDEX(Prices[Current Price],MATCH($A530,Prices[Key],0)),0))</f>
        <v/>
      </c>
      <c r="I530" s="289" t="str">
        <f>IF($A530="","",IFERROR(INDEX(Prices[FX to SGD],MATCH($A530,Prices[Key],0)),1))</f>
        <v/>
      </c>
      <c r="J530" s="287" t="str">
        <f t="shared" si="80"/>
        <v/>
      </c>
      <c r="K530" s="287" t="str">
        <f t="shared" si="81"/>
        <v/>
      </c>
      <c r="L530" s="287" t="str">
        <f t="shared" si="82"/>
        <v/>
      </c>
      <c r="M530" s="290" t="str">
        <f t="shared" si="83"/>
        <v/>
      </c>
      <c r="N530" t="str">
        <f>IF($A530="","",IFERROR(INDEX(Prices[Category],MATCH($A530,Prices[Key],0)),"Uncategorized"))</f>
        <v/>
      </c>
      <c r="O530" s="291" t="str">
        <f t="shared" si="84"/>
        <v/>
      </c>
      <c r="P530" s="291" t="str">
        <f t="shared" si="85"/>
        <v/>
      </c>
    </row>
    <row r="531" spans="1:16" ht="15" customHeight="1" x14ac:dyDescent="0.2">
      <c r="A531" s="243" t="str">
        <f>IFERROR(INDEX('All Ticker P&amp;L'!$A$2:$A$1001,MATCH(ROWS($A$2:A531),'All Ticker P&amp;L'!$N$2:$N$1001,0)),"")</f>
        <v/>
      </c>
      <c r="B531" s="243" t="str">
        <f t="shared" si="77"/>
        <v/>
      </c>
      <c r="C531" s="243" t="str">
        <f t="shared" si="78"/>
        <v/>
      </c>
      <c r="D531" s="243" t="str">
        <f t="shared" si="79"/>
        <v/>
      </c>
      <c r="E531" s="265" t="str">
        <f>IF($A531="","",SUMIFS(Txn[Signed Units],Txn[Key],$A531))</f>
        <v/>
      </c>
      <c r="F531" s="287" t="str">
        <f>IF($A531="","",SUMIFS(Txn[Buy Cost],Txn[Key],$A531))</f>
        <v/>
      </c>
      <c r="G531" s="287" t="str">
        <f>IF($A531="","",SUMIFS(Txn[Sell Proceeds],Txn[Key],$A531))</f>
        <v/>
      </c>
      <c r="H531" s="288" t="str">
        <f>IF($A531="","",IFERROR(INDEX(Prices[Current Price],MATCH($A531,Prices[Key],0)),0))</f>
        <v/>
      </c>
      <c r="I531" s="289" t="str">
        <f>IF($A531="","",IFERROR(INDEX(Prices[FX to SGD],MATCH($A531,Prices[Key],0)),1))</f>
        <v/>
      </c>
      <c r="J531" s="287" t="str">
        <f t="shared" si="80"/>
        <v/>
      </c>
      <c r="K531" s="287" t="str">
        <f t="shared" si="81"/>
        <v/>
      </c>
      <c r="L531" s="287" t="str">
        <f t="shared" si="82"/>
        <v/>
      </c>
      <c r="M531" s="290" t="str">
        <f t="shared" si="83"/>
        <v/>
      </c>
      <c r="N531" t="str">
        <f>IF($A531="","",IFERROR(INDEX(Prices[Category],MATCH($A531,Prices[Key],0)),"Uncategorized"))</f>
        <v/>
      </c>
      <c r="O531" s="291" t="str">
        <f t="shared" si="84"/>
        <v/>
      </c>
      <c r="P531" s="291" t="str">
        <f t="shared" si="85"/>
        <v/>
      </c>
    </row>
    <row r="532" spans="1:16" ht="15" customHeight="1" x14ac:dyDescent="0.2">
      <c r="A532" s="243" t="str">
        <f>IFERROR(INDEX('All Ticker P&amp;L'!$A$2:$A$1001,MATCH(ROWS($A$2:A532),'All Ticker P&amp;L'!$N$2:$N$1001,0)),"")</f>
        <v/>
      </c>
      <c r="B532" s="243" t="str">
        <f t="shared" si="77"/>
        <v/>
      </c>
      <c r="C532" s="243" t="str">
        <f t="shared" si="78"/>
        <v/>
      </c>
      <c r="D532" s="243" t="str">
        <f t="shared" si="79"/>
        <v/>
      </c>
      <c r="E532" s="265" t="str">
        <f>IF($A532="","",SUMIFS(Txn[Signed Units],Txn[Key],$A532))</f>
        <v/>
      </c>
      <c r="F532" s="287" t="str">
        <f>IF($A532="","",SUMIFS(Txn[Buy Cost],Txn[Key],$A532))</f>
        <v/>
      </c>
      <c r="G532" s="287" t="str">
        <f>IF($A532="","",SUMIFS(Txn[Sell Proceeds],Txn[Key],$A532))</f>
        <v/>
      </c>
      <c r="H532" s="288" t="str">
        <f>IF($A532="","",IFERROR(INDEX(Prices[Current Price],MATCH($A532,Prices[Key],0)),0))</f>
        <v/>
      </c>
      <c r="I532" s="289" t="str">
        <f>IF($A532="","",IFERROR(INDEX(Prices[FX to SGD],MATCH($A532,Prices[Key],0)),1))</f>
        <v/>
      </c>
      <c r="J532" s="287" t="str">
        <f t="shared" si="80"/>
        <v/>
      </c>
      <c r="K532" s="287" t="str">
        <f t="shared" si="81"/>
        <v/>
      </c>
      <c r="L532" s="287" t="str">
        <f t="shared" si="82"/>
        <v/>
      </c>
      <c r="M532" s="290" t="str">
        <f t="shared" si="83"/>
        <v/>
      </c>
      <c r="N532" t="str">
        <f>IF($A532="","",IFERROR(INDEX(Prices[Category],MATCH($A532,Prices[Key],0)),"Uncategorized"))</f>
        <v/>
      </c>
      <c r="O532" s="291" t="str">
        <f t="shared" si="84"/>
        <v/>
      </c>
      <c r="P532" s="291" t="str">
        <f t="shared" si="85"/>
        <v/>
      </c>
    </row>
    <row r="533" spans="1:16" ht="15" customHeight="1" x14ac:dyDescent="0.2">
      <c r="A533" s="243" t="str">
        <f>IFERROR(INDEX('All Ticker P&amp;L'!$A$2:$A$1001,MATCH(ROWS($A$2:A533),'All Ticker P&amp;L'!$N$2:$N$1001,0)),"")</f>
        <v/>
      </c>
      <c r="B533" s="243" t="str">
        <f t="shared" si="77"/>
        <v/>
      </c>
      <c r="C533" s="243" t="str">
        <f t="shared" si="78"/>
        <v/>
      </c>
      <c r="D533" s="243" t="str">
        <f t="shared" si="79"/>
        <v/>
      </c>
      <c r="E533" s="265" t="str">
        <f>IF($A533="","",SUMIFS(Txn[Signed Units],Txn[Key],$A533))</f>
        <v/>
      </c>
      <c r="F533" s="287" t="str">
        <f>IF($A533="","",SUMIFS(Txn[Buy Cost],Txn[Key],$A533))</f>
        <v/>
      </c>
      <c r="G533" s="287" t="str">
        <f>IF($A533="","",SUMIFS(Txn[Sell Proceeds],Txn[Key],$A533))</f>
        <v/>
      </c>
      <c r="H533" s="288" t="str">
        <f>IF($A533="","",IFERROR(INDEX(Prices[Current Price],MATCH($A533,Prices[Key],0)),0))</f>
        <v/>
      </c>
      <c r="I533" s="289" t="str">
        <f>IF($A533="","",IFERROR(INDEX(Prices[FX to SGD],MATCH($A533,Prices[Key],0)),1))</f>
        <v/>
      </c>
      <c r="J533" s="287" t="str">
        <f t="shared" si="80"/>
        <v/>
      </c>
      <c r="K533" s="287" t="str">
        <f t="shared" si="81"/>
        <v/>
      </c>
      <c r="L533" s="287" t="str">
        <f t="shared" si="82"/>
        <v/>
      </c>
      <c r="M533" s="290" t="str">
        <f t="shared" si="83"/>
        <v/>
      </c>
      <c r="N533" t="str">
        <f>IF($A533="","",IFERROR(INDEX(Prices[Category],MATCH($A533,Prices[Key],0)),"Uncategorized"))</f>
        <v/>
      </c>
      <c r="O533" s="291" t="str">
        <f t="shared" si="84"/>
        <v/>
      </c>
      <c r="P533" s="291" t="str">
        <f t="shared" si="85"/>
        <v/>
      </c>
    </row>
    <row r="534" spans="1:16" ht="15" customHeight="1" x14ac:dyDescent="0.2">
      <c r="A534" s="243" t="str">
        <f>IFERROR(INDEX('All Ticker P&amp;L'!$A$2:$A$1001,MATCH(ROWS($A$2:A534),'All Ticker P&amp;L'!$N$2:$N$1001,0)),"")</f>
        <v/>
      </c>
      <c r="B534" s="243" t="str">
        <f t="shared" si="77"/>
        <v/>
      </c>
      <c r="C534" s="243" t="str">
        <f t="shared" si="78"/>
        <v/>
      </c>
      <c r="D534" s="243" t="str">
        <f t="shared" si="79"/>
        <v/>
      </c>
      <c r="E534" s="265" t="str">
        <f>IF($A534="","",SUMIFS(Txn[Signed Units],Txn[Key],$A534))</f>
        <v/>
      </c>
      <c r="F534" s="287" t="str">
        <f>IF($A534="","",SUMIFS(Txn[Buy Cost],Txn[Key],$A534))</f>
        <v/>
      </c>
      <c r="G534" s="287" t="str">
        <f>IF($A534="","",SUMIFS(Txn[Sell Proceeds],Txn[Key],$A534))</f>
        <v/>
      </c>
      <c r="H534" s="288" t="str">
        <f>IF($A534="","",IFERROR(INDEX(Prices[Current Price],MATCH($A534,Prices[Key],0)),0))</f>
        <v/>
      </c>
      <c r="I534" s="289" t="str">
        <f>IF($A534="","",IFERROR(INDEX(Prices[FX to SGD],MATCH($A534,Prices[Key],0)),1))</f>
        <v/>
      </c>
      <c r="J534" s="287" t="str">
        <f t="shared" si="80"/>
        <v/>
      </c>
      <c r="K534" s="287" t="str">
        <f t="shared" si="81"/>
        <v/>
      </c>
      <c r="L534" s="287" t="str">
        <f t="shared" si="82"/>
        <v/>
      </c>
      <c r="M534" s="290" t="str">
        <f t="shared" si="83"/>
        <v/>
      </c>
      <c r="N534" t="str">
        <f>IF($A534="","",IFERROR(INDEX(Prices[Category],MATCH($A534,Prices[Key],0)),"Uncategorized"))</f>
        <v/>
      </c>
      <c r="O534" s="291" t="str">
        <f t="shared" si="84"/>
        <v/>
      </c>
      <c r="P534" s="291" t="str">
        <f t="shared" si="85"/>
        <v/>
      </c>
    </row>
    <row r="535" spans="1:16" ht="15" customHeight="1" x14ac:dyDescent="0.2">
      <c r="A535" s="243" t="str">
        <f>IFERROR(INDEX('All Ticker P&amp;L'!$A$2:$A$1001,MATCH(ROWS($A$2:A535),'All Ticker P&amp;L'!$N$2:$N$1001,0)),"")</f>
        <v/>
      </c>
      <c r="B535" s="243" t="str">
        <f t="shared" si="77"/>
        <v/>
      </c>
      <c r="C535" s="243" t="str">
        <f t="shared" si="78"/>
        <v/>
      </c>
      <c r="D535" s="243" t="str">
        <f t="shared" si="79"/>
        <v/>
      </c>
      <c r="E535" s="265" t="str">
        <f>IF($A535="","",SUMIFS(Txn[Signed Units],Txn[Key],$A535))</f>
        <v/>
      </c>
      <c r="F535" s="287" t="str">
        <f>IF($A535="","",SUMIFS(Txn[Buy Cost],Txn[Key],$A535))</f>
        <v/>
      </c>
      <c r="G535" s="287" t="str">
        <f>IF($A535="","",SUMIFS(Txn[Sell Proceeds],Txn[Key],$A535))</f>
        <v/>
      </c>
      <c r="H535" s="288" t="str">
        <f>IF($A535="","",IFERROR(INDEX(Prices[Current Price],MATCH($A535,Prices[Key],0)),0))</f>
        <v/>
      </c>
      <c r="I535" s="289" t="str">
        <f>IF($A535="","",IFERROR(INDEX(Prices[FX to SGD],MATCH($A535,Prices[Key],0)),1))</f>
        <v/>
      </c>
      <c r="J535" s="287" t="str">
        <f t="shared" si="80"/>
        <v/>
      </c>
      <c r="K535" s="287" t="str">
        <f t="shared" si="81"/>
        <v/>
      </c>
      <c r="L535" s="287" t="str">
        <f t="shared" si="82"/>
        <v/>
      </c>
      <c r="M535" s="290" t="str">
        <f t="shared" si="83"/>
        <v/>
      </c>
      <c r="N535" t="str">
        <f>IF($A535="","",IFERROR(INDEX(Prices[Category],MATCH($A535,Prices[Key],0)),"Uncategorized"))</f>
        <v/>
      </c>
      <c r="O535" s="291" t="str">
        <f t="shared" si="84"/>
        <v/>
      </c>
      <c r="P535" s="291" t="str">
        <f t="shared" si="85"/>
        <v/>
      </c>
    </row>
    <row r="536" spans="1:16" ht="15" customHeight="1" x14ac:dyDescent="0.2">
      <c r="A536" s="243" t="str">
        <f>IFERROR(INDEX('All Ticker P&amp;L'!$A$2:$A$1001,MATCH(ROWS($A$2:A536),'All Ticker P&amp;L'!$N$2:$N$1001,0)),"")</f>
        <v/>
      </c>
      <c r="B536" s="243" t="str">
        <f t="shared" si="77"/>
        <v/>
      </c>
      <c r="C536" s="243" t="str">
        <f t="shared" si="78"/>
        <v/>
      </c>
      <c r="D536" s="243" t="str">
        <f t="shared" si="79"/>
        <v/>
      </c>
      <c r="E536" s="265" t="str">
        <f>IF($A536="","",SUMIFS(Txn[Signed Units],Txn[Key],$A536))</f>
        <v/>
      </c>
      <c r="F536" s="287" t="str">
        <f>IF($A536="","",SUMIFS(Txn[Buy Cost],Txn[Key],$A536))</f>
        <v/>
      </c>
      <c r="G536" s="287" t="str">
        <f>IF($A536="","",SUMIFS(Txn[Sell Proceeds],Txn[Key],$A536))</f>
        <v/>
      </c>
      <c r="H536" s="288" t="str">
        <f>IF($A536="","",IFERROR(INDEX(Prices[Current Price],MATCH($A536,Prices[Key],0)),0))</f>
        <v/>
      </c>
      <c r="I536" s="289" t="str">
        <f>IF($A536="","",IFERROR(INDEX(Prices[FX to SGD],MATCH($A536,Prices[Key],0)),1))</f>
        <v/>
      </c>
      <c r="J536" s="287" t="str">
        <f t="shared" si="80"/>
        <v/>
      </c>
      <c r="K536" s="287" t="str">
        <f t="shared" si="81"/>
        <v/>
      </c>
      <c r="L536" s="287" t="str">
        <f t="shared" si="82"/>
        <v/>
      </c>
      <c r="M536" s="290" t="str">
        <f t="shared" si="83"/>
        <v/>
      </c>
      <c r="N536" t="str">
        <f>IF($A536="","",IFERROR(INDEX(Prices[Category],MATCH($A536,Prices[Key],0)),"Uncategorized"))</f>
        <v/>
      </c>
      <c r="O536" s="291" t="str">
        <f t="shared" si="84"/>
        <v/>
      </c>
      <c r="P536" s="291" t="str">
        <f t="shared" si="85"/>
        <v/>
      </c>
    </row>
    <row r="537" spans="1:16" ht="15" customHeight="1" x14ac:dyDescent="0.2">
      <c r="A537" s="243" t="str">
        <f>IFERROR(INDEX('All Ticker P&amp;L'!$A$2:$A$1001,MATCH(ROWS($A$2:A537),'All Ticker P&amp;L'!$N$2:$N$1001,0)),"")</f>
        <v/>
      </c>
      <c r="B537" s="243" t="str">
        <f t="shared" si="77"/>
        <v/>
      </c>
      <c r="C537" s="243" t="str">
        <f t="shared" si="78"/>
        <v/>
      </c>
      <c r="D537" s="243" t="str">
        <f t="shared" si="79"/>
        <v/>
      </c>
      <c r="E537" s="265" t="str">
        <f>IF($A537="","",SUMIFS(Txn[Signed Units],Txn[Key],$A537))</f>
        <v/>
      </c>
      <c r="F537" s="287" t="str">
        <f>IF($A537="","",SUMIFS(Txn[Buy Cost],Txn[Key],$A537))</f>
        <v/>
      </c>
      <c r="G537" s="287" t="str">
        <f>IF($A537="","",SUMIFS(Txn[Sell Proceeds],Txn[Key],$A537))</f>
        <v/>
      </c>
      <c r="H537" s="288" t="str">
        <f>IF($A537="","",IFERROR(INDEX(Prices[Current Price],MATCH($A537,Prices[Key],0)),0))</f>
        <v/>
      </c>
      <c r="I537" s="289" t="str">
        <f>IF($A537="","",IFERROR(INDEX(Prices[FX to SGD],MATCH($A537,Prices[Key],0)),1))</f>
        <v/>
      </c>
      <c r="J537" s="287" t="str">
        <f t="shared" si="80"/>
        <v/>
      </c>
      <c r="K537" s="287" t="str">
        <f t="shared" si="81"/>
        <v/>
      </c>
      <c r="L537" s="287" t="str">
        <f t="shared" si="82"/>
        <v/>
      </c>
      <c r="M537" s="290" t="str">
        <f t="shared" si="83"/>
        <v/>
      </c>
      <c r="N537" t="str">
        <f>IF($A537="","",IFERROR(INDEX(Prices[Category],MATCH($A537,Prices[Key],0)),"Uncategorized"))</f>
        <v/>
      </c>
      <c r="O537" s="291" t="str">
        <f t="shared" si="84"/>
        <v/>
      </c>
      <c r="P537" s="291" t="str">
        <f t="shared" si="85"/>
        <v/>
      </c>
    </row>
    <row r="538" spans="1:16" ht="15" customHeight="1" x14ac:dyDescent="0.2">
      <c r="A538" s="243" t="str">
        <f>IFERROR(INDEX('All Ticker P&amp;L'!$A$2:$A$1001,MATCH(ROWS($A$2:A538),'All Ticker P&amp;L'!$N$2:$N$1001,0)),"")</f>
        <v/>
      </c>
      <c r="B538" s="243" t="str">
        <f t="shared" si="77"/>
        <v/>
      </c>
      <c r="C538" s="243" t="str">
        <f t="shared" si="78"/>
        <v/>
      </c>
      <c r="D538" s="243" t="str">
        <f t="shared" si="79"/>
        <v/>
      </c>
      <c r="E538" s="265" t="str">
        <f>IF($A538="","",SUMIFS(Txn[Signed Units],Txn[Key],$A538))</f>
        <v/>
      </c>
      <c r="F538" s="287" t="str">
        <f>IF($A538="","",SUMIFS(Txn[Buy Cost],Txn[Key],$A538))</f>
        <v/>
      </c>
      <c r="G538" s="287" t="str">
        <f>IF($A538="","",SUMIFS(Txn[Sell Proceeds],Txn[Key],$A538))</f>
        <v/>
      </c>
      <c r="H538" s="288" t="str">
        <f>IF($A538="","",IFERROR(INDEX(Prices[Current Price],MATCH($A538,Prices[Key],0)),0))</f>
        <v/>
      </c>
      <c r="I538" s="289" t="str">
        <f>IF($A538="","",IFERROR(INDEX(Prices[FX to SGD],MATCH($A538,Prices[Key],0)),1))</f>
        <v/>
      </c>
      <c r="J538" s="287" t="str">
        <f t="shared" si="80"/>
        <v/>
      </c>
      <c r="K538" s="287" t="str">
        <f t="shared" si="81"/>
        <v/>
      </c>
      <c r="L538" s="287" t="str">
        <f t="shared" si="82"/>
        <v/>
      </c>
      <c r="M538" s="290" t="str">
        <f t="shared" si="83"/>
        <v/>
      </c>
      <c r="N538" t="str">
        <f>IF($A538="","",IFERROR(INDEX(Prices[Category],MATCH($A538,Prices[Key],0)),"Uncategorized"))</f>
        <v/>
      </c>
      <c r="O538" s="291" t="str">
        <f t="shared" si="84"/>
        <v/>
      </c>
      <c r="P538" s="291" t="str">
        <f t="shared" si="85"/>
        <v/>
      </c>
    </row>
    <row r="539" spans="1:16" ht="15" customHeight="1" x14ac:dyDescent="0.2">
      <c r="A539" s="243" t="str">
        <f>IFERROR(INDEX('All Ticker P&amp;L'!$A$2:$A$1001,MATCH(ROWS($A$2:A539),'All Ticker P&amp;L'!$N$2:$N$1001,0)),"")</f>
        <v/>
      </c>
      <c r="B539" s="243" t="str">
        <f t="shared" si="77"/>
        <v/>
      </c>
      <c r="C539" s="243" t="str">
        <f t="shared" si="78"/>
        <v/>
      </c>
      <c r="D539" s="243" t="str">
        <f t="shared" si="79"/>
        <v/>
      </c>
      <c r="E539" s="265" t="str">
        <f>IF($A539="","",SUMIFS(Txn[Signed Units],Txn[Key],$A539))</f>
        <v/>
      </c>
      <c r="F539" s="287" t="str">
        <f>IF($A539="","",SUMIFS(Txn[Buy Cost],Txn[Key],$A539))</f>
        <v/>
      </c>
      <c r="G539" s="287" t="str">
        <f>IF($A539="","",SUMIFS(Txn[Sell Proceeds],Txn[Key],$A539))</f>
        <v/>
      </c>
      <c r="H539" s="288" t="str">
        <f>IF($A539="","",IFERROR(INDEX(Prices[Current Price],MATCH($A539,Prices[Key],0)),0))</f>
        <v/>
      </c>
      <c r="I539" s="289" t="str">
        <f>IF($A539="","",IFERROR(INDEX(Prices[FX to SGD],MATCH($A539,Prices[Key],0)),1))</f>
        <v/>
      </c>
      <c r="J539" s="287" t="str">
        <f t="shared" si="80"/>
        <v/>
      </c>
      <c r="K539" s="287" t="str">
        <f t="shared" si="81"/>
        <v/>
      </c>
      <c r="L539" s="287" t="str">
        <f t="shared" si="82"/>
        <v/>
      </c>
      <c r="M539" s="290" t="str">
        <f t="shared" si="83"/>
        <v/>
      </c>
      <c r="N539" t="str">
        <f>IF($A539="","",IFERROR(INDEX(Prices[Category],MATCH($A539,Prices[Key],0)),"Uncategorized"))</f>
        <v/>
      </c>
      <c r="O539" s="291" t="str">
        <f t="shared" si="84"/>
        <v/>
      </c>
      <c r="P539" s="291" t="str">
        <f t="shared" si="85"/>
        <v/>
      </c>
    </row>
    <row r="540" spans="1:16" ht="15" customHeight="1" x14ac:dyDescent="0.2">
      <c r="A540" s="243" t="str">
        <f>IFERROR(INDEX('All Ticker P&amp;L'!$A$2:$A$1001,MATCH(ROWS($A$2:A540),'All Ticker P&amp;L'!$N$2:$N$1001,0)),"")</f>
        <v/>
      </c>
      <c r="B540" s="243" t="str">
        <f t="shared" si="77"/>
        <v/>
      </c>
      <c r="C540" s="243" t="str">
        <f t="shared" si="78"/>
        <v/>
      </c>
      <c r="D540" s="243" t="str">
        <f t="shared" si="79"/>
        <v/>
      </c>
      <c r="E540" s="265" t="str">
        <f>IF($A540="","",SUMIFS(Txn[Signed Units],Txn[Key],$A540))</f>
        <v/>
      </c>
      <c r="F540" s="287" t="str">
        <f>IF($A540="","",SUMIFS(Txn[Buy Cost],Txn[Key],$A540))</f>
        <v/>
      </c>
      <c r="G540" s="287" t="str">
        <f>IF($A540="","",SUMIFS(Txn[Sell Proceeds],Txn[Key],$A540))</f>
        <v/>
      </c>
      <c r="H540" s="288" t="str">
        <f>IF($A540="","",IFERROR(INDEX(Prices[Current Price],MATCH($A540,Prices[Key],0)),0))</f>
        <v/>
      </c>
      <c r="I540" s="289" t="str">
        <f>IF($A540="","",IFERROR(INDEX(Prices[FX to SGD],MATCH($A540,Prices[Key],0)),1))</f>
        <v/>
      </c>
      <c r="J540" s="287" t="str">
        <f t="shared" si="80"/>
        <v/>
      </c>
      <c r="K540" s="287" t="str">
        <f t="shared" si="81"/>
        <v/>
      </c>
      <c r="L540" s="287" t="str">
        <f t="shared" si="82"/>
        <v/>
      </c>
      <c r="M540" s="290" t="str">
        <f t="shared" si="83"/>
        <v/>
      </c>
      <c r="N540" t="str">
        <f>IF($A540="","",IFERROR(INDEX(Prices[Category],MATCH($A540,Prices[Key],0)),"Uncategorized"))</f>
        <v/>
      </c>
      <c r="O540" s="291" t="str">
        <f t="shared" si="84"/>
        <v/>
      </c>
      <c r="P540" s="291" t="str">
        <f t="shared" si="85"/>
        <v/>
      </c>
    </row>
    <row r="541" spans="1:16" ht="15" customHeight="1" x14ac:dyDescent="0.2">
      <c r="A541" s="243" t="str">
        <f>IFERROR(INDEX('All Ticker P&amp;L'!$A$2:$A$1001,MATCH(ROWS($A$2:A541),'All Ticker P&amp;L'!$N$2:$N$1001,0)),"")</f>
        <v/>
      </c>
      <c r="B541" s="243" t="str">
        <f t="shared" si="77"/>
        <v/>
      </c>
      <c r="C541" s="243" t="str">
        <f t="shared" si="78"/>
        <v/>
      </c>
      <c r="D541" s="243" t="str">
        <f t="shared" si="79"/>
        <v/>
      </c>
      <c r="E541" s="265" t="str">
        <f>IF($A541="","",SUMIFS(Txn[Signed Units],Txn[Key],$A541))</f>
        <v/>
      </c>
      <c r="F541" s="287" t="str">
        <f>IF($A541="","",SUMIFS(Txn[Buy Cost],Txn[Key],$A541))</f>
        <v/>
      </c>
      <c r="G541" s="287" t="str">
        <f>IF($A541="","",SUMIFS(Txn[Sell Proceeds],Txn[Key],$A541))</f>
        <v/>
      </c>
      <c r="H541" s="288" t="str">
        <f>IF($A541="","",IFERROR(INDEX(Prices[Current Price],MATCH($A541,Prices[Key],0)),0))</f>
        <v/>
      </c>
      <c r="I541" s="289" t="str">
        <f>IF($A541="","",IFERROR(INDEX(Prices[FX to SGD],MATCH($A541,Prices[Key],0)),1))</f>
        <v/>
      </c>
      <c r="J541" s="287" t="str">
        <f t="shared" si="80"/>
        <v/>
      </c>
      <c r="K541" s="287" t="str">
        <f t="shared" si="81"/>
        <v/>
      </c>
      <c r="L541" s="287" t="str">
        <f t="shared" si="82"/>
        <v/>
      </c>
      <c r="M541" s="290" t="str">
        <f t="shared" si="83"/>
        <v/>
      </c>
      <c r="N541" t="str">
        <f>IF($A541="","",IFERROR(INDEX(Prices[Category],MATCH($A541,Prices[Key],0)),"Uncategorized"))</f>
        <v/>
      </c>
      <c r="O541" s="291" t="str">
        <f t="shared" si="84"/>
        <v/>
      </c>
      <c r="P541" s="291" t="str">
        <f t="shared" si="85"/>
        <v/>
      </c>
    </row>
    <row r="542" spans="1:16" ht="15" customHeight="1" x14ac:dyDescent="0.2">
      <c r="A542" s="243" t="str">
        <f>IFERROR(INDEX('All Ticker P&amp;L'!$A$2:$A$1001,MATCH(ROWS($A$2:A542),'All Ticker P&amp;L'!$N$2:$N$1001,0)),"")</f>
        <v/>
      </c>
      <c r="B542" s="243" t="str">
        <f t="shared" si="77"/>
        <v/>
      </c>
      <c r="C542" s="243" t="str">
        <f t="shared" si="78"/>
        <v/>
      </c>
      <c r="D542" s="243" t="str">
        <f t="shared" si="79"/>
        <v/>
      </c>
      <c r="E542" s="265" t="str">
        <f>IF($A542="","",SUMIFS(Txn[Signed Units],Txn[Key],$A542))</f>
        <v/>
      </c>
      <c r="F542" s="287" t="str">
        <f>IF($A542="","",SUMIFS(Txn[Buy Cost],Txn[Key],$A542))</f>
        <v/>
      </c>
      <c r="G542" s="287" t="str">
        <f>IF($A542="","",SUMIFS(Txn[Sell Proceeds],Txn[Key],$A542))</f>
        <v/>
      </c>
      <c r="H542" s="288" t="str">
        <f>IF($A542="","",IFERROR(INDEX(Prices[Current Price],MATCH($A542,Prices[Key],0)),0))</f>
        <v/>
      </c>
      <c r="I542" s="289" t="str">
        <f>IF($A542="","",IFERROR(INDEX(Prices[FX to SGD],MATCH($A542,Prices[Key],0)),1))</f>
        <v/>
      </c>
      <c r="J542" s="287" t="str">
        <f t="shared" si="80"/>
        <v/>
      </c>
      <c r="K542" s="287" t="str">
        <f t="shared" si="81"/>
        <v/>
      </c>
      <c r="L542" s="287" t="str">
        <f t="shared" si="82"/>
        <v/>
      </c>
      <c r="M542" s="290" t="str">
        <f t="shared" si="83"/>
        <v/>
      </c>
      <c r="N542" t="str">
        <f>IF($A542="","",IFERROR(INDEX(Prices[Category],MATCH($A542,Prices[Key],0)),"Uncategorized"))</f>
        <v/>
      </c>
      <c r="O542" s="291" t="str">
        <f t="shared" si="84"/>
        <v/>
      </c>
      <c r="P542" s="291" t="str">
        <f t="shared" si="85"/>
        <v/>
      </c>
    </row>
    <row r="543" spans="1:16" ht="15" customHeight="1" x14ac:dyDescent="0.2">
      <c r="A543" s="243" t="str">
        <f>IFERROR(INDEX('All Ticker P&amp;L'!$A$2:$A$1001,MATCH(ROWS($A$2:A543),'All Ticker P&amp;L'!$N$2:$N$1001,0)),"")</f>
        <v/>
      </c>
      <c r="B543" s="243" t="str">
        <f t="shared" si="77"/>
        <v/>
      </c>
      <c r="C543" s="243" t="str">
        <f t="shared" si="78"/>
        <v/>
      </c>
      <c r="D543" s="243" t="str">
        <f t="shared" si="79"/>
        <v/>
      </c>
      <c r="E543" s="265" t="str">
        <f>IF($A543="","",SUMIFS(Txn[Signed Units],Txn[Key],$A543))</f>
        <v/>
      </c>
      <c r="F543" s="287" t="str">
        <f>IF($A543="","",SUMIFS(Txn[Buy Cost],Txn[Key],$A543))</f>
        <v/>
      </c>
      <c r="G543" s="287" t="str">
        <f>IF($A543="","",SUMIFS(Txn[Sell Proceeds],Txn[Key],$A543))</f>
        <v/>
      </c>
      <c r="H543" s="288" t="str">
        <f>IF($A543="","",IFERROR(INDEX(Prices[Current Price],MATCH($A543,Prices[Key],0)),0))</f>
        <v/>
      </c>
      <c r="I543" s="289" t="str">
        <f>IF($A543="","",IFERROR(INDEX(Prices[FX to SGD],MATCH($A543,Prices[Key],0)),1))</f>
        <v/>
      </c>
      <c r="J543" s="287" t="str">
        <f t="shared" si="80"/>
        <v/>
      </c>
      <c r="K543" s="287" t="str">
        <f t="shared" si="81"/>
        <v/>
      </c>
      <c r="L543" s="287" t="str">
        <f t="shared" si="82"/>
        <v/>
      </c>
      <c r="M543" s="290" t="str">
        <f t="shared" si="83"/>
        <v/>
      </c>
      <c r="N543" t="str">
        <f>IF($A543="","",IFERROR(INDEX(Prices[Category],MATCH($A543,Prices[Key],0)),"Uncategorized"))</f>
        <v/>
      </c>
      <c r="O543" s="291" t="str">
        <f t="shared" si="84"/>
        <v/>
      </c>
      <c r="P543" s="291" t="str">
        <f t="shared" si="85"/>
        <v/>
      </c>
    </row>
    <row r="544" spans="1:16" ht="15" customHeight="1" x14ac:dyDescent="0.2">
      <c r="A544" s="243" t="str">
        <f>IFERROR(INDEX('All Ticker P&amp;L'!$A$2:$A$1001,MATCH(ROWS($A$2:A544),'All Ticker P&amp;L'!$N$2:$N$1001,0)),"")</f>
        <v/>
      </c>
      <c r="B544" s="243" t="str">
        <f t="shared" si="77"/>
        <v/>
      </c>
      <c r="C544" s="243" t="str">
        <f t="shared" si="78"/>
        <v/>
      </c>
      <c r="D544" s="243" t="str">
        <f t="shared" si="79"/>
        <v/>
      </c>
      <c r="E544" s="265" t="str">
        <f>IF($A544="","",SUMIFS(Txn[Signed Units],Txn[Key],$A544))</f>
        <v/>
      </c>
      <c r="F544" s="287" t="str">
        <f>IF($A544="","",SUMIFS(Txn[Buy Cost],Txn[Key],$A544))</f>
        <v/>
      </c>
      <c r="G544" s="287" t="str">
        <f>IF($A544="","",SUMIFS(Txn[Sell Proceeds],Txn[Key],$A544))</f>
        <v/>
      </c>
      <c r="H544" s="288" t="str">
        <f>IF($A544="","",IFERROR(INDEX(Prices[Current Price],MATCH($A544,Prices[Key],0)),0))</f>
        <v/>
      </c>
      <c r="I544" s="289" t="str">
        <f>IF($A544="","",IFERROR(INDEX(Prices[FX to SGD],MATCH($A544,Prices[Key],0)),1))</f>
        <v/>
      </c>
      <c r="J544" s="287" t="str">
        <f t="shared" si="80"/>
        <v/>
      </c>
      <c r="K544" s="287" t="str">
        <f t="shared" si="81"/>
        <v/>
      </c>
      <c r="L544" s="287" t="str">
        <f t="shared" si="82"/>
        <v/>
      </c>
      <c r="M544" s="290" t="str">
        <f t="shared" si="83"/>
        <v/>
      </c>
      <c r="N544" t="str">
        <f>IF($A544="","",IFERROR(INDEX(Prices[Category],MATCH($A544,Prices[Key],0)),"Uncategorized"))</f>
        <v/>
      </c>
      <c r="O544" s="291" t="str">
        <f t="shared" si="84"/>
        <v/>
      </c>
      <c r="P544" s="291" t="str">
        <f t="shared" si="85"/>
        <v/>
      </c>
    </row>
    <row r="545" spans="1:16" ht="15" customHeight="1" x14ac:dyDescent="0.2">
      <c r="A545" s="243" t="str">
        <f>IFERROR(INDEX('All Ticker P&amp;L'!$A$2:$A$1001,MATCH(ROWS($A$2:A545),'All Ticker P&amp;L'!$N$2:$N$1001,0)),"")</f>
        <v/>
      </c>
      <c r="B545" s="243" t="str">
        <f t="shared" si="77"/>
        <v/>
      </c>
      <c r="C545" s="243" t="str">
        <f t="shared" si="78"/>
        <v/>
      </c>
      <c r="D545" s="243" t="str">
        <f t="shared" si="79"/>
        <v/>
      </c>
      <c r="E545" s="265" t="str">
        <f>IF($A545="","",SUMIFS(Txn[Signed Units],Txn[Key],$A545))</f>
        <v/>
      </c>
      <c r="F545" s="287" t="str">
        <f>IF($A545="","",SUMIFS(Txn[Buy Cost],Txn[Key],$A545))</f>
        <v/>
      </c>
      <c r="G545" s="287" t="str">
        <f>IF($A545="","",SUMIFS(Txn[Sell Proceeds],Txn[Key],$A545))</f>
        <v/>
      </c>
      <c r="H545" s="288" t="str">
        <f>IF($A545="","",IFERROR(INDEX(Prices[Current Price],MATCH($A545,Prices[Key],0)),0))</f>
        <v/>
      </c>
      <c r="I545" s="289" t="str">
        <f>IF($A545="","",IFERROR(INDEX(Prices[FX to SGD],MATCH($A545,Prices[Key],0)),1))</f>
        <v/>
      </c>
      <c r="J545" s="287" t="str">
        <f t="shared" si="80"/>
        <v/>
      </c>
      <c r="K545" s="287" t="str">
        <f t="shared" si="81"/>
        <v/>
      </c>
      <c r="L545" s="287" t="str">
        <f t="shared" si="82"/>
        <v/>
      </c>
      <c r="M545" s="290" t="str">
        <f t="shared" si="83"/>
        <v/>
      </c>
      <c r="N545" t="str">
        <f>IF($A545="","",IFERROR(INDEX(Prices[Category],MATCH($A545,Prices[Key],0)),"Uncategorized"))</f>
        <v/>
      </c>
      <c r="O545" s="291" t="str">
        <f t="shared" si="84"/>
        <v/>
      </c>
      <c r="P545" s="291" t="str">
        <f t="shared" si="85"/>
        <v/>
      </c>
    </row>
    <row r="546" spans="1:16" ht="15" customHeight="1" x14ac:dyDescent="0.2">
      <c r="A546" s="243" t="str">
        <f>IFERROR(INDEX('All Ticker P&amp;L'!$A$2:$A$1001,MATCH(ROWS($A$2:A546),'All Ticker P&amp;L'!$N$2:$N$1001,0)),"")</f>
        <v/>
      </c>
      <c r="B546" s="243" t="str">
        <f t="shared" si="77"/>
        <v/>
      </c>
      <c r="C546" s="243" t="str">
        <f t="shared" si="78"/>
        <v/>
      </c>
      <c r="D546" s="243" t="str">
        <f t="shared" si="79"/>
        <v/>
      </c>
      <c r="E546" s="265" t="str">
        <f>IF($A546="","",SUMIFS(Txn[Signed Units],Txn[Key],$A546))</f>
        <v/>
      </c>
      <c r="F546" s="287" t="str">
        <f>IF($A546="","",SUMIFS(Txn[Buy Cost],Txn[Key],$A546))</f>
        <v/>
      </c>
      <c r="G546" s="287" t="str">
        <f>IF($A546="","",SUMIFS(Txn[Sell Proceeds],Txn[Key],$A546))</f>
        <v/>
      </c>
      <c r="H546" s="288" t="str">
        <f>IF($A546="","",IFERROR(INDEX(Prices[Current Price],MATCH($A546,Prices[Key],0)),0))</f>
        <v/>
      </c>
      <c r="I546" s="289" t="str">
        <f>IF($A546="","",IFERROR(INDEX(Prices[FX to SGD],MATCH($A546,Prices[Key],0)),1))</f>
        <v/>
      </c>
      <c r="J546" s="287" t="str">
        <f t="shared" si="80"/>
        <v/>
      </c>
      <c r="K546" s="287" t="str">
        <f t="shared" si="81"/>
        <v/>
      </c>
      <c r="L546" s="287" t="str">
        <f t="shared" si="82"/>
        <v/>
      </c>
      <c r="M546" s="290" t="str">
        <f t="shared" si="83"/>
        <v/>
      </c>
      <c r="N546" t="str">
        <f>IF($A546="","",IFERROR(INDEX(Prices[Category],MATCH($A546,Prices[Key],0)),"Uncategorized"))</f>
        <v/>
      </c>
      <c r="O546" s="291" t="str">
        <f t="shared" si="84"/>
        <v/>
      </c>
      <c r="P546" s="291" t="str">
        <f t="shared" si="85"/>
        <v/>
      </c>
    </row>
    <row r="547" spans="1:16" ht="15" customHeight="1" x14ac:dyDescent="0.2">
      <c r="A547" s="243" t="str">
        <f>IFERROR(INDEX('All Ticker P&amp;L'!$A$2:$A$1001,MATCH(ROWS($A$2:A547),'All Ticker P&amp;L'!$N$2:$N$1001,0)),"")</f>
        <v/>
      </c>
      <c r="B547" s="243" t="str">
        <f t="shared" si="77"/>
        <v/>
      </c>
      <c r="C547" s="243" t="str">
        <f t="shared" si="78"/>
        <v/>
      </c>
      <c r="D547" s="243" t="str">
        <f t="shared" si="79"/>
        <v/>
      </c>
      <c r="E547" s="265" t="str">
        <f>IF($A547="","",SUMIFS(Txn[Signed Units],Txn[Key],$A547))</f>
        <v/>
      </c>
      <c r="F547" s="287" t="str">
        <f>IF($A547="","",SUMIFS(Txn[Buy Cost],Txn[Key],$A547))</f>
        <v/>
      </c>
      <c r="G547" s="287" t="str">
        <f>IF($A547="","",SUMIFS(Txn[Sell Proceeds],Txn[Key],$A547))</f>
        <v/>
      </c>
      <c r="H547" s="288" t="str">
        <f>IF($A547="","",IFERROR(INDEX(Prices[Current Price],MATCH($A547,Prices[Key],0)),0))</f>
        <v/>
      </c>
      <c r="I547" s="289" t="str">
        <f>IF($A547="","",IFERROR(INDEX(Prices[FX to SGD],MATCH($A547,Prices[Key],0)),1))</f>
        <v/>
      </c>
      <c r="J547" s="287" t="str">
        <f t="shared" si="80"/>
        <v/>
      </c>
      <c r="K547" s="287" t="str">
        <f t="shared" si="81"/>
        <v/>
      </c>
      <c r="L547" s="287" t="str">
        <f t="shared" si="82"/>
        <v/>
      </c>
      <c r="M547" s="290" t="str">
        <f t="shared" si="83"/>
        <v/>
      </c>
      <c r="N547" t="str">
        <f>IF($A547="","",IFERROR(INDEX(Prices[Category],MATCH($A547,Prices[Key],0)),"Uncategorized"))</f>
        <v/>
      </c>
      <c r="O547" s="291" t="str">
        <f t="shared" si="84"/>
        <v/>
      </c>
      <c r="P547" s="291" t="str">
        <f t="shared" si="85"/>
        <v/>
      </c>
    </row>
    <row r="548" spans="1:16" ht="15" customHeight="1" x14ac:dyDescent="0.2">
      <c r="A548" s="243" t="str">
        <f>IFERROR(INDEX('All Ticker P&amp;L'!$A$2:$A$1001,MATCH(ROWS($A$2:A548),'All Ticker P&amp;L'!$N$2:$N$1001,0)),"")</f>
        <v/>
      </c>
      <c r="B548" s="243" t="str">
        <f t="shared" si="77"/>
        <v/>
      </c>
      <c r="C548" s="243" t="str">
        <f t="shared" si="78"/>
        <v/>
      </c>
      <c r="D548" s="243" t="str">
        <f t="shared" si="79"/>
        <v/>
      </c>
      <c r="E548" s="265" t="str">
        <f>IF($A548="","",SUMIFS(Txn[Signed Units],Txn[Key],$A548))</f>
        <v/>
      </c>
      <c r="F548" s="287" t="str">
        <f>IF($A548="","",SUMIFS(Txn[Buy Cost],Txn[Key],$A548))</f>
        <v/>
      </c>
      <c r="G548" s="287" t="str">
        <f>IF($A548="","",SUMIFS(Txn[Sell Proceeds],Txn[Key],$A548))</f>
        <v/>
      </c>
      <c r="H548" s="288" t="str">
        <f>IF($A548="","",IFERROR(INDEX(Prices[Current Price],MATCH($A548,Prices[Key],0)),0))</f>
        <v/>
      </c>
      <c r="I548" s="289" t="str">
        <f>IF($A548="","",IFERROR(INDEX(Prices[FX to SGD],MATCH($A548,Prices[Key],0)),1))</f>
        <v/>
      </c>
      <c r="J548" s="287" t="str">
        <f t="shared" si="80"/>
        <v/>
      </c>
      <c r="K548" s="287" t="str">
        <f t="shared" si="81"/>
        <v/>
      </c>
      <c r="L548" s="287" t="str">
        <f t="shared" si="82"/>
        <v/>
      </c>
      <c r="M548" s="290" t="str">
        <f t="shared" si="83"/>
        <v/>
      </c>
      <c r="N548" t="str">
        <f>IF($A548="","",IFERROR(INDEX(Prices[Category],MATCH($A548,Prices[Key],0)),"Uncategorized"))</f>
        <v/>
      </c>
      <c r="O548" s="291" t="str">
        <f t="shared" si="84"/>
        <v/>
      </c>
      <c r="P548" s="291" t="str">
        <f t="shared" si="85"/>
        <v/>
      </c>
    </row>
    <row r="549" spans="1:16" ht="15" customHeight="1" x14ac:dyDescent="0.2">
      <c r="A549" s="243" t="str">
        <f>IFERROR(INDEX('All Ticker P&amp;L'!$A$2:$A$1001,MATCH(ROWS($A$2:A549),'All Ticker P&amp;L'!$N$2:$N$1001,0)),"")</f>
        <v/>
      </c>
      <c r="B549" s="243" t="str">
        <f t="shared" si="77"/>
        <v/>
      </c>
      <c r="C549" s="243" t="str">
        <f t="shared" si="78"/>
        <v/>
      </c>
      <c r="D549" s="243" t="str">
        <f t="shared" si="79"/>
        <v/>
      </c>
      <c r="E549" s="265" t="str">
        <f>IF($A549="","",SUMIFS(Txn[Signed Units],Txn[Key],$A549))</f>
        <v/>
      </c>
      <c r="F549" s="287" t="str">
        <f>IF($A549="","",SUMIFS(Txn[Buy Cost],Txn[Key],$A549))</f>
        <v/>
      </c>
      <c r="G549" s="287" t="str">
        <f>IF($A549="","",SUMIFS(Txn[Sell Proceeds],Txn[Key],$A549))</f>
        <v/>
      </c>
      <c r="H549" s="288" t="str">
        <f>IF($A549="","",IFERROR(INDEX(Prices[Current Price],MATCH($A549,Prices[Key],0)),0))</f>
        <v/>
      </c>
      <c r="I549" s="289" t="str">
        <f>IF($A549="","",IFERROR(INDEX(Prices[FX to SGD],MATCH($A549,Prices[Key],0)),1))</f>
        <v/>
      </c>
      <c r="J549" s="287" t="str">
        <f t="shared" si="80"/>
        <v/>
      </c>
      <c r="K549" s="287" t="str">
        <f t="shared" si="81"/>
        <v/>
      </c>
      <c r="L549" s="287" t="str">
        <f t="shared" si="82"/>
        <v/>
      </c>
      <c r="M549" s="290" t="str">
        <f t="shared" si="83"/>
        <v/>
      </c>
      <c r="N549" t="str">
        <f>IF($A549="","",IFERROR(INDEX(Prices[Category],MATCH($A549,Prices[Key],0)),"Uncategorized"))</f>
        <v/>
      </c>
      <c r="O549" s="291" t="str">
        <f t="shared" si="84"/>
        <v/>
      </c>
      <c r="P549" s="291" t="str">
        <f t="shared" si="85"/>
        <v/>
      </c>
    </row>
    <row r="550" spans="1:16" ht="15" customHeight="1" x14ac:dyDescent="0.2">
      <c r="A550" s="243" t="str">
        <f>IFERROR(INDEX('All Ticker P&amp;L'!$A$2:$A$1001,MATCH(ROWS($A$2:A550),'All Ticker P&amp;L'!$N$2:$N$1001,0)),"")</f>
        <v/>
      </c>
      <c r="B550" s="243" t="str">
        <f t="shared" si="77"/>
        <v/>
      </c>
      <c r="C550" s="243" t="str">
        <f t="shared" si="78"/>
        <v/>
      </c>
      <c r="D550" s="243" t="str">
        <f t="shared" si="79"/>
        <v/>
      </c>
      <c r="E550" s="265" t="str">
        <f>IF($A550="","",SUMIFS(Txn[Signed Units],Txn[Key],$A550))</f>
        <v/>
      </c>
      <c r="F550" s="287" t="str">
        <f>IF($A550="","",SUMIFS(Txn[Buy Cost],Txn[Key],$A550))</f>
        <v/>
      </c>
      <c r="G550" s="287" t="str">
        <f>IF($A550="","",SUMIFS(Txn[Sell Proceeds],Txn[Key],$A550))</f>
        <v/>
      </c>
      <c r="H550" s="288" t="str">
        <f>IF($A550="","",IFERROR(INDEX(Prices[Current Price],MATCH($A550,Prices[Key],0)),0))</f>
        <v/>
      </c>
      <c r="I550" s="289" t="str">
        <f>IF($A550="","",IFERROR(INDEX(Prices[FX to SGD],MATCH($A550,Prices[Key],0)),1))</f>
        <v/>
      </c>
      <c r="J550" s="287" t="str">
        <f t="shared" si="80"/>
        <v/>
      </c>
      <c r="K550" s="287" t="str">
        <f t="shared" si="81"/>
        <v/>
      </c>
      <c r="L550" s="287" t="str">
        <f t="shared" si="82"/>
        <v/>
      </c>
      <c r="M550" s="290" t="str">
        <f t="shared" si="83"/>
        <v/>
      </c>
      <c r="N550" t="str">
        <f>IF($A550="","",IFERROR(INDEX(Prices[Category],MATCH($A550,Prices[Key],0)),"Uncategorized"))</f>
        <v/>
      </c>
      <c r="O550" s="291" t="str">
        <f t="shared" si="84"/>
        <v/>
      </c>
      <c r="P550" s="291" t="str">
        <f t="shared" si="85"/>
        <v/>
      </c>
    </row>
    <row r="551" spans="1:16" ht="15" customHeight="1" x14ac:dyDescent="0.2">
      <c r="A551" s="243" t="str">
        <f>IFERROR(INDEX('All Ticker P&amp;L'!$A$2:$A$1001,MATCH(ROWS($A$2:A551),'All Ticker P&amp;L'!$N$2:$N$1001,0)),"")</f>
        <v/>
      </c>
      <c r="B551" s="243" t="str">
        <f t="shared" si="77"/>
        <v/>
      </c>
      <c r="C551" s="243" t="str">
        <f t="shared" si="78"/>
        <v/>
      </c>
      <c r="D551" s="243" t="str">
        <f t="shared" si="79"/>
        <v/>
      </c>
      <c r="E551" s="265" t="str">
        <f>IF($A551="","",SUMIFS(Txn[Signed Units],Txn[Key],$A551))</f>
        <v/>
      </c>
      <c r="F551" s="287" t="str">
        <f>IF($A551="","",SUMIFS(Txn[Buy Cost],Txn[Key],$A551))</f>
        <v/>
      </c>
      <c r="G551" s="287" t="str">
        <f>IF($A551="","",SUMIFS(Txn[Sell Proceeds],Txn[Key],$A551))</f>
        <v/>
      </c>
      <c r="H551" s="288" t="str">
        <f>IF($A551="","",IFERROR(INDEX(Prices[Current Price],MATCH($A551,Prices[Key],0)),0))</f>
        <v/>
      </c>
      <c r="I551" s="289" t="str">
        <f>IF($A551="","",IFERROR(INDEX(Prices[FX to SGD],MATCH($A551,Prices[Key],0)),1))</f>
        <v/>
      </c>
      <c r="J551" s="287" t="str">
        <f t="shared" si="80"/>
        <v/>
      </c>
      <c r="K551" s="287" t="str">
        <f t="shared" si="81"/>
        <v/>
      </c>
      <c r="L551" s="287" t="str">
        <f t="shared" si="82"/>
        <v/>
      </c>
      <c r="M551" s="290" t="str">
        <f t="shared" si="83"/>
        <v/>
      </c>
      <c r="N551" t="str">
        <f>IF($A551="","",IFERROR(INDEX(Prices[Category],MATCH($A551,Prices[Key],0)),"Uncategorized"))</f>
        <v/>
      </c>
      <c r="O551" s="291" t="str">
        <f t="shared" si="84"/>
        <v/>
      </c>
      <c r="P551" s="291" t="str">
        <f t="shared" si="85"/>
        <v/>
      </c>
    </row>
    <row r="552" spans="1:16" ht="15" customHeight="1" x14ac:dyDescent="0.2">
      <c r="A552" s="243" t="str">
        <f>IFERROR(INDEX('All Ticker P&amp;L'!$A$2:$A$1001,MATCH(ROWS($A$2:A552),'All Ticker P&amp;L'!$N$2:$N$1001,0)),"")</f>
        <v/>
      </c>
      <c r="B552" s="243" t="str">
        <f t="shared" si="77"/>
        <v/>
      </c>
      <c r="C552" s="243" t="str">
        <f t="shared" si="78"/>
        <v/>
      </c>
      <c r="D552" s="243" t="str">
        <f t="shared" si="79"/>
        <v/>
      </c>
      <c r="E552" s="265" t="str">
        <f>IF($A552="","",SUMIFS(Txn[Signed Units],Txn[Key],$A552))</f>
        <v/>
      </c>
      <c r="F552" s="287" t="str">
        <f>IF($A552="","",SUMIFS(Txn[Buy Cost],Txn[Key],$A552))</f>
        <v/>
      </c>
      <c r="G552" s="287" t="str">
        <f>IF($A552="","",SUMIFS(Txn[Sell Proceeds],Txn[Key],$A552))</f>
        <v/>
      </c>
      <c r="H552" s="288" t="str">
        <f>IF($A552="","",IFERROR(INDEX(Prices[Current Price],MATCH($A552,Prices[Key],0)),0))</f>
        <v/>
      </c>
      <c r="I552" s="289" t="str">
        <f>IF($A552="","",IFERROR(INDEX(Prices[FX to SGD],MATCH($A552,Prices[Key],0)),1))</f>
        <v/>
      </c>
      <c r="J552" s="287" t="str">
        <f t="shared" si="80"/>
        <v/>
      </c>
      <c r="K552" s="287" t="str">
        <f t="shared" si="81"/>
        <v/>
      </c>
      <c r="L552" s="287" t="str">
        <f t="shared" si="82"/>
        <v/>
      </c>
      <c r="M552" s="290" t="str">
        <f t="shared" si="83"/>
        <v/>
      </c>
      <c r="N552" t="str">
        <f>IF($A552="","",IFERROR(INDEX(Prices[Category],MATCH($A552,Prices[Key],0)),"Uncategorized"))</f>
        <v/>
      </c>
      <c r="O552" s="291" t="str">
        <f t="shared" si="84"/>
        <v/>
      </c>
      <c r="P552" s="291" t="str">
        <f t="shared" si="85"/>
        <v/>
      </c>
    </row>
    <row r="553" spans="1:16" ht="15" customHeight="1" x14ac:dyDescent="0.2">
      <c r="A553" s="243" t="str">
        <f>IFERROR(INDEX('All Ticker P&amp;L'!$A$2:$A$1001,MATCH(ROWS($A$2:A553),'All Ticker P&amp;L'!$N$2:$N$1001,0)),"")</f>
        <v/>
      </c>
      <c r="B553" s="243" t="str">
        <f t="shared" si="77"/>
        <v/>
      </c>
      <c r="C553" s="243" t="str">
        <f t="shared" si="78"/>
        <v/>
      </c>
      <c r="D553" s="243" t="str">
        <f t="shared" si="79"/>
        <v/>
      </c>
      <c r="E553" s="265" t="str">
        <f>IF($A553="","",SUMIFS(Txn[Signed Units],Txn[Key],$A553))</f>
        <v/>
      </c>
      <c r="F553" s="287" t="str">
        <f>IF($A553="","",SUMIFS(Txn[Buy Cost],Txn[Key],$A553))</f>
        <v/>
      </c>
      <c r="G553" s="287" t="str">
        <f>IF($A553="","",SUMIFS(Txn[Sell Proceeds],Txn[Key],$A553))</f>
        <v/>
      </c>
      <c r="H553" s="288" t="str">
        <f>IF($A553="","",IFERROR(INDEX(Prices[Current Price],MATCH($A553,Prices[Key],0)),0))</f>
        <v/>
      </c>
      <c r="I553" s="289" t="str">
        <f>IF($A553="","",IFERROR(INDEX(Prices[FX to SGD],MATCH($A553,Prices[Key],0)),1))</f>
        <v/>
      </c>
      <c r="J553" s="287" t="str">
        <f t="shared" si="80"/>
        <v/>
      </c>
      <c r="K553" s="287" t="str">
        <f t="shared" si="81"/>
        <v/>
      </c>
      <c r="L553" s="287" t="str">
        <f t="shared" si="82"/>
        <v/>
      </c>
      <c r="M553" s="290" t="str">
        <f t="shared" si="83"/>
        <v/>
      </c>
      <c r="N553" t="str">
        <f>IF($A553="","",IFERROR(INDEX(Prices[Category],MATCH($A553,Prices[Key],0)),"Uncategorized"))</f>
        <v/>
      </c>
      <c r="O553" s="291" t="str">
        <f t="shared" si="84"/>
        <v/>
      </c>
      <c r="P553" s="291" t="str">
        <f t="shared" si="85"/>
        <v/>
      </c>
    </row>
    <row r="554" spans="1:16" ht="15" customHeight="1" x14ac:dyDescent="0.2">
      <c r="A554" s="243" t="str">
        <f>IFERROR(INDEX('All Ticker P&amp;L'!$A$2:$A$1001,MATCH(ROWS($A$2:A554),'All Ticker P&amp;L'!$N$2:$N$1001,0)),"")</f>
        <v/>
      </c>
      <c r="B554" s="243" t="str">
        <f t="shared" si="77"/>
        <v/>
      </c>
      <c r="C554" s="243" t="str">
        <f t="shared" si="78"/>
        <v/>
      </c>
      <c r="D554" s="243" t="str">
        <f t="shared" si="79"/>
        <v/>
      </c>
      <c r="E554" s="265" t="str">
        <f>IF($A554="","",SUMIFS(Txn[Signed Units],Txn[Key],$A554))</f>
        <v/>
      </c>
      <c r="F554" s="287" t="str">
        <f>IF($A554="","",SUMIFS(Txn[Buy Cost],Txn[Key],$A554))</f>
        <v/>
      </c>
      <c r="G554" s="287" t="str">
        <f>IF($A554="","",SUMIFS(Txn[Sell Proceeds],Txn[Key],$A554))</f>
        <v/>
      </c>
      <c r="H554" s="288" t="str">
        <f>IF($A554="","",IFERROR(INDEX(Prices[Current Price],MATCH($A554,Prices[Key],0)),0))</f>
        <v/>
      </c>
      <c r="I554" s="289" t="str">
        <f>IF($A554="","",IFERROR(INDEX(Prices[FX to SGD],MATCH($A554,Prices[Key],0)),1))</f>
        <v/>
      </c>
      <c r="J554" s="287" t="str">
        <f t="shared" si="80"/>
        <v/>
      </c>
      <c r="K554" s="287" t="str">
        <f t="shared" si="81"/>
        <v/>
      </c>
      <c r="L554" s="287" t="str">
        <f t="shared" si="82"/>
        <v/>
      </c>
      <c r="M554" s="290" t="str">
        <f t="shared" si="83"/>
        <v/>
      </c>
      <c r="N554" t="str">
        <f>IF($A554="","",IFERROR(INDEX(Prices[Category],MATCH($A554,Prices[Key],0)),"Uncategorized"))</f>
        <v/>
      </c>
      <c r="O554" s="291" t="str">
        <f t="shared" si="84"/>
        <v/>
      </c>
      <c r="P554" s="291" t="str">
        <f t="shared" si="85"/>
        <v/>
      </c>
    </row>
    <row r="555" spans="1:16" ht="15" customHeight="1" x14ac:dyDescent="0.2">
      <c r="A555" s="243" t="str">
        <f>IFERROR(INDEX('All Ticker P&amp;L'!$A$2:$A$1001,MATCH(ROWS($A$2:A555),'All Ticker P&amp;L'!$N$2:$N$1001,0)),"")</f>
        <v/>
      </c>
      <c r="B555" s="243" t="str">
        <f t="shared" si="77"/>
        <v/>
      </c>
      <c r="C555" s="243" t="str">
        <f t="shared" si="78"/>
        <v/>
      </c>
      <c r="D555" s="243" t="str">
        <f t="shared" si="79"/>
        <v/>
      </c>
      <c r="E555" s="265" t="str">
        <f>IF($A555="","",SUMIFS(Txn[Signed Units],Txn[Key],$A555))</f>
        <v/>
      </c>
      <c r="F555" s="287" t="str">
        <f>IF($A555="","",SUMIFS(Txn[Buy Cost],Txn[Key],$A555))</f>
        <v/>
      </c>
      <c r="G555" s="287" t="str">
        <f>IF($A555="","",SUMIFS(Txn[Sell Proceeds],Txn[Key],$A555))</f>
        <v/>
      </c>
      <c r="H555" s="288" t="str">
        <f>IF($A555="","",IFERROR(INDEX(Prices[Current Price],MATCH($A555,Prices[Key],0)),0))</f>
        <v/>
      </c>
      <c r="I555" s="289" t="str">
        <f>IF($A555="","",IFERROR(INDEX(Prices[FX to SGD],MATCH($A555,Prices[Key],0)),1))</f>
        <v/>
      </c>
      <c r="J555" s="287" t="str">
        <f t="shared" si="80"/>
        <v/>
      </c>
      <c r="K555" s="287" t="str">
        <f t="shared" si="81"/>
        <v/>
      </c>
      <c r="L555" s="287" t="str">
        <f t="shared" si="82"/>
        <v/>
      </c>
      <c r="M555" s="290" t="str">
        <f t="shared" si="83"/>
        <v/>
      </c>
      <c r="N555" t="str">
        <f>IF($A555="","",IFERROR(INDEX(Prices[Category],MATCH($A555,Prices[Key],0)),"Uncategorized"))</f>
        <v/>
      </c>
      <c r="O555" s="291" t="str">
        <f t="shared" si="84"/>
        <v/>
      </c>
      <c r="P555" s="291" t="str">
        <f t="shared" si="85"/>
        <v/>
      </c>
    </row>
    <row r="556" spans="1:16" ht="15" customHeight="1" x14ac:dyDescent="0.2">
      <c r="A556" s="243" t="str">
        <f>IFERROR(INDEX('All Ticker P&amp;L'!$A$2:$A$1001,MATCH(ROWS($A$2:A556),'All Ticker P&amp;L'!$N$2:$N$1001,0)),"")</f>
        <v/>
      </c>
      <c r="B556" s="243" t="str">
        <f t="shared" si="77"/>
        <v/>
      </c>
      <c r="C556" s="243" t="str">
        <f t="shared" si="78"/>
        <v/>
      </c>
      <c r="D556" s="243" t="str">
        <f t="shared" si="79"/>
        <v/>
      </c>
      <c r="E556" s="265" t="str">
        <f>IF($A556="","",SUMIFS(Txn[Signed Units],Txn[Key],$A556))</f>
        <v/>
      </c>
      <c r="F556" s="287" t="str">
        <f>IF($A556="","",SUMIFS(Txn[Buy Cost],Txn[Key],$A556))</f>
        <v/>
      </c>
      <c r="G556" s="287" t="str">
        <f>IF($A556="","",SUMIFS(Txn[Sell Proceeds],Txn[Key],$A556))</f>
        <v/>
      </c>
      <c r="H556" s="288" t="str">
        <f>IF($A556="","",IFERROR(INDEX(Prices[Current Price],MATCH($A556,Prices[Key],0)),0))</f>
        <v/>
      </c>
      <c r="I556" s="289" t="str">
        <f>IF($A556="","",IFERROR(INDEX(Prices[FX to SGD],MATCH($A556,Prices[Key],0)),1))</f>
        <v/>
      </c>
      <c r="J556" s="287" t="str">
        <f t="shared" si="80"/>
        <v/>
      </c>
      <c r="K556" s="287" t="str">
        <f t="shared" si="81"/>
        <v/>
      </c>
      <c r="L556" s="287" t="str">
        <f t="shared" si="82"/>
        <v/>
      </c>
      <c r="M556" s="290" t="str">
        <f t="shared" si="83"/>
        <v/>
      </c>
      <c r="N556" t="str">
        <f>IF($A556="","",IFERROR(INDEX(Prices[Category],MATCH($A556,Prices[Key],0)),"Uncategorized"))</f>
        <v/>
      </c>
      <c r="O556" s="291" t="str">
        <f t="shared" si="84"/>
        <v/>
      </c>
      <c r="P556" s="291" t="str">
        <f t="shared" si="85"/>
        <v/>
      </c>
    </row>
    <row r="557" spans="1:16" ht="15" customHeight="1" x14ac:dyDescent="0.2">
      <c r="A557" s="243" t="str">
        <f>IFERROR(INDEX('All Ticker P&amp;L'!$A$2:$A$1001,MATCH(ROWS($A$2:A557),'All Ticker P&amp;L'!$N$2:$N$1001,0)),"")</f>
        <v/>
      </c>
      <c r="B557" s="243" t="str">
        <f t="shared" si="77"/>
        <v/>
      </c>
      <c r="C557" s="243" t="str">
        <f t="shared" si="78"/>
        <v/>
      </c>
      <c r="D557" s="243" t="str">
        <f t="shared" si="79"/>
        <v/>
      </c>
      <c r="E557" s="265" t="str">
        <f>IF($A557="","",SUMIFS(Txn[Signed Units],Txn[Key],$A557))</f>
        <v/>
      </c>
      <c r="F557" s="287" t="str">
        <f>IF($A557="","",SUMIFS(Txn[Buy Cost],Txn[Key],$A557))</f>
        <v/>
      </c>
      <c r="G557" s="287" t="str">
        <f>IF($A557="","",SUMIFS(Txn[Sell Proceeds],Txn[Key],$A557))</f>
        <v/>
      </c>
      <c r="H557" s="288" t="str">
        <f>IF($A557="","",IFERROR(INDEX(Prices[Current Price],MATCH($A557,Prices[Key],0)),0))</f>
        <v/>
      </c>
      <c r="I557" s="289" t="str">
        <f>IF($A557="","",IFERROR(INDEX(Prices[FX to SGD],MATCH($A557,Prices[Key],0)),1))</f>
        <v/>
      </c>
      <c r="J557" s="287" t="str">
        <f t="shared" si="80"/>
        <v/>
      </c>
      <c r="K557" s="287" t="str">
        <f t="shared" si="81"/>
        <v/>
      </c>
      <c r="L557" s="287" t="str">
        <f t="shared" si="82"/>
        <v/>
      </c>
      <c r="M557" s="290" t="str">
        <f t="shared" si="83"/>
        <v/>
      </c>
      <c r="N557" t="str">
        <f>IF($A557="","",IFERROR(INDEX(Prices[Category],MATCH($A557,Prices[Key],0)),"Uncategorized"))</f>
        <v/>
      </c>
      <c r="O557" s="291" t="str">
        <f t="shared" si="84"/>
        <v/>
      </c>
      <c r="P557" s="291" t="str">
        <f t="shared" si="85"/>
        <v/>
      </c>
    </row>
    <row r="558" spans="1:16" ht="15" customHeight="1" x14ac:dyDescent="0.2">
      <c r="A558" s="243" t="str">
        <f>IFERROR(INDEX('All Ticker P&amp;L'!$A$2:$A$1001,MATCH(ROWS($A$2:A558),'All Ticker P&amp;L'!$N$2:$N$1001,0)),"")</f>
        <v/>
      </c>
      <c r="B558" s="243" t="str">
        <f t="shared" si="77"/>
        <v/>
      </c>
      <c r="C558" s="243" t="str">
        <f t="shared" si="78"/>
        <v/>
      </c>
      <c r="D558" s="243" t="str">
        <f t="shared" si="79"/>
        <v/>
      </c>
      <c r="E558" s="265" t="str">
        <f>IF($A558="","",SUMIFS(Txn[Signed Units],Txn[Key],$A558))</f>
        <v/>
      </c>
      <c r="F558" s="287" t="str">
        <f>IF($A558="","",SUMIFS(Txn[Buy Cost],Txn[Key],$A558))</f>
        <v/>
      </c>
      <c r="G558" s="287" t="str">
        <f>IF($A558="","",SUMIFS(Txn[Sell Proceeds],Txn[Key],$A558))</f>
        <v/>
      </c>
      <c r="H558" s="288" t="str">
        <f>IF($A558="","",IFERROR(INDEX(Prices[Current Price],MATCH($A558,Prices[Key],0)),0))</f>
        <v/>
      </c>
      <c r="I558" s="289" t="str">
        <f>IF($A558="","",IFERROR(INDEX(Prices[FX to SGD],MATCH($A558,Prices[Key],0)),1))</f>
        <v/>
      </c>
      <c r="J558" s="287" t="str">
        <f t="shared" si="80"/>
        <v/>
      </c>
      <c r="K558" s="287" t="str">
        <f t="shared" si="81"/>
        <v/>
      </c>
      <c r="L558" s="287" t="str">
        <f t="shared" si="82"/>
        <v/>
      </c>
      <c r="M558" s="290" t="str">
        <f t="shared" si="83"/>
        <v/>
      </c>
      <c r="N558" t="str">
        <f>IF($A558="","",IFERROR(INDEX(Prices[Category],MATCH($A558,Prices[Key],0)),"Uncategorized"))</f>
        <v/>
      </c>
      <c r="O558" s="291" t="str">
        <f t="shared" si="84"/>
        <v/>
      </c>
      <c r="P558" s="291" t="str">
        <f t="shared" si="85"/>
        <v/>
      </c>
    </row>
    <row r="559" spans="1:16" ht="15" customHeight="1" x14ac:dyDescent="0.2">
      <c r="A559" s="243" t="str">
        <f>IFERROR(INDEX('All Ticker P&amp;L'!$A$2:$A$1001,MATCH(ROWS($A$2:A559),'All Ticker P&amp;L'!$N$2:$N$1001,0)),"")</f>
        <v/>
      </c>
      <c r="B559" s="243" t="str">
        <f t="shared" si="77"/>
        <v/>
      </c>
      <c r="C559" s="243" t="str">
        <f t="shared" si="78"/>
        <v/>
      </c>
      <c r="D559" s="243" t="str">
        <f t="shared" si="79"/>
        <v/>
      </c>
      <c r="E559" s="265" t="str">
        <f>IF($A559="","",SUMIFS(Txn[Signed Units],Txn[Key],$A559))</f>
        <v/>
      </c>
      <c r="F559" s="287" t="str">
        <f>IF($A559="","",SUMIFS(Txn[Buy Cost],Txn[Key],$A559))</f>
        <v/>
      </c>
      <c r="G559" s="287" t="str">
        <f>IF($A559="","",SUMIFS(Txn[Sell Proceeds],Txn[Key],$A559))</f>
        <v/>
      </c>
      <c r="H559" s="288" t="str">
        <f>IF($A559="","",IFERROR(INDEX(Prices[Current Price],MATCH($A559,Prices[Key],0)),0))</f>
        <v/>
      </c>
      <c r="I559" s="289" t="str">
        <f>IF($A559="","",IFERROR(INDEX(Prices[FX to SGD],MATCH($A559,Prices[Key],0)),1))</f>
        <v/>
      </c>
      <c r="J559" s="287" t="str">
        <f t="shared" si="80"/>
        <v/>
      </c>
      <c r="K559" s="287" t="str">
        <f t="shared" si="81"/>
        <v/>
      </c>
      <c r="L559" s="287" t="str">
        <f t="shared" si="82"/>
        <v/>
      </c>
      <c r="M559" s="290" t="str">
        <f t="shared" si="83"/>
        <v/>
      </c>
      <c r="N559" t="str">
        <f>IF($A559="","",IFERROR(INDEX(Prices[Category],MATCH($A559,Prices[Key],0)),"Uncategorized"))</f>
        <v/>
      </c>
      <c r="O559" s="291" t="str">
        <f t="shared" si="84"/>
        <v/>
      </c>
      <c r="P559" s="291" t="str">
        <f t="shared" si="85"/>
        <v/>
      </c>
    </row>
    <row r="560" spans="1:16" ht="15" customHeight="1" x14ac:dyDescent="0.2">
      <c r="A560" s="243" t="str">
        <f>IFERROR(INDEX('All Ticker P&amp;L'!$A$2:$A$1001,MATCH(ROWS($A$2:A560),'All Ticker P&amp;L'!$N$2:$N$1001,0)),"")</f>
        <v/>
      </c>
      <c r="B560" s="243" t="str">
        <f t="shared" si="77"/>
        <v/>
      </c>
      <c r="C560" s="243" t="str">
        <f t="shared" si="78"/>
        <v/>
      </c>
      <c r="D560" s="243" t="str">
        <f t="shared" si="79"/>
        <v/>
      </c>
      <c r="E560" s="265" t="str">
        <f>IF($A560="","",SUMIFS(Txn[Signed Units],Txn[Key],$A560))</f>
        <v/>
      </c>
      <c r="F560" s="287" t="str">
        <f>IF($A560="","",SUMIFS(Txn[Buy Cost],Txn[Key],$A560))</f>
        <v/>
      </c>
      <c r="G560" s="287" t="str">
        <f>IF($A560="","",SUMIFS(Txn[Sell Proceeds],Txn[Key],$A560))</f>
        <v/>
      </c>
      <c r="H560" s="288" t="str">
        <f>IF($A560="","",IFERROR(INDEX(Prices[Current Price],MATCH($A560,Prices[Key],0)),0))</f>
        <v/>
      </c>
      <c r="I560" s="289" t="str">
        <f>IF($A560="","",IFERROR(INDEX(Prices[FX to SGD],MATCH($A560,Prices[Key],0)),1))</f>
        <v/>
      </c>
      <c r="J560" s="287" t="str">
        <f t="shared" si="80"/>
        <v/>
      </c>
      <c r="K560" s="287" t="str">
        <f t="shared" si="81"/>
        <v/>
      </c>
      <c r="L560" s="287" t="str">
        <f t="shared" si="82"/>
        <v/>
      </c>
      <c r="M560" s="290" t="str">
        <f t="shared" si="83"/>
        <v/>
      </c>
      <c r="N560" t="str">
        <f>IF($A560="","",IFERROR(INDEX(Prices[Category],MATCH($A560,Prices[Key],0)),"Uncategorized"))</f>
        <v/>
      </c>
      <c r="O560" s="291" t="str">
        <f t="shared" si="84"/>
        <v/>
      </c>
      <c r="P560" s="291" t="str">
        <f t="shared" si="85"/>
        <v/>
      </c>
    </row>
    <row r="561" spans="1:16" ht="15" customHeight="1" x14ac:dyDescent="0.2">
      <c r="A561" s="243" t="str">
        <f>IFERROR(INDEX('All Ticker P&amp;L'!$A$2:$A$1001,MATCH(ROWS($A$2:A561),'All Ticker P&amp;L'!$N$2:$N$1001,0)),"")</f>
        <v/>
      </c>
      <c r="B561" s="243" t="str">
        <f t="shared" si="77"/>
        <v/>
      </c>
      <c r="C561" s="243" t="str">
        <f t="shared" si="78"/>
        <v/>
      </c>
      <c r="D561" s="243" t="str">
        <f t="shared" si="79"/>
        <v/>
      </c>
      <c r="E561" s="265" t="str">
        <f>IF($A561="","",SUMIFS(Txn[Signed Units],Txn[Key],$A561))</f>
        <v/>
      </c>
      <c r="F561" s="287" t="str">
        <f>IF($A561="","",SUMIFS(Txn[Buy Cost],Txn[Key],$A561))</f>
        <v/>
      </c>
      <c r="G561" s="287" t="str">
        <f>IF($A561="","",SUMIFS(Txn[Sell Proceeds],Txn[Key],$A561))</f>
        <v/>
      </c>
      <c r="H561" s="288" t="str">
        <f>IF($A561="","",IFERROR(INDEX(Prices[Current Price],MATCH($A561,Prices[Key],0)),0))</f>
        <v/>
      </c>
      <c r="I561" s="289" t="str">
        <f>IF($A561="","",IFERROR(INDEX(Prices[FX to SGD],MATCH($A561,Prices[Key],0)),1))</f>
        <v/>
      </c>
      <c r="J561" s="287" t="str">
        <f t="shared" si="80"/>
        <v/>
      </c>
      <c r="K561" s="287" t="str">
        <f t="shared" si="81"/>
        <v/>
      </c>
      <c r="L561" s="287" t="str">
        <f t="shared" si="82"/>
        <v/>
      </c>
      <c r="M561" s="290" t="str">
        <f t="shared" si="83"/>
        <v/>
      </c>
      <c r="N561" t="str">
        <f>IF($A561="","",IFERROR(INDEX(Prices[Category],MATCH($A561,Prices[Key],0)),"Uncategorized"))</f>
        <v/>
      </c>
      <c r="O561" s="291" t="str">
        <f t="shared" si="84"/>
        <v/>
      </c>
      <c r="P561" s="291" t="str">
        <f t="shared" si="85"/>
        <v/>
      </c>
    </row>
    <row r="562" spans="1:16" ht="15" customHeight="1" x14ac:dyDescent="0.2">
      <c r="A562" s="243" t="str">
        <f>IFERROR(INDEX('All Ticker P&amp;L'!$A$2:$A$1001,MATCH(ROWS($A$2:A562),'All Ticker P&amp;L'!$N$2:$N$1001,0)),"")</f>
        <v/>
      </c>
      <c r="B562" s="243" t="str">
        <f t="shared" si="77"/>
        <v/>
      </c>
      <c r="C562" s="243" t="str">
        <f t="shared" si="78"/>
        <v/>
      </c>
      <c r="D562" s="243" t="str">
        <f t="shared" si="79"/>
        <v/>
      </c>
      <c r="E562" s="265" t="str">
        <f>IF($A562="","",SUMIFS(Txn[Signed Units],Txn[Key],$A562))</f>
        <v/>
      </c>
      <c r="F562" s="287" t="str">
        <f>IF($A562="","",SUMIFS(Txn[Buy Cost],Txn[Key],$A562))</f>
        <v/>
      </c>
      <c r="G562" s="287" t="str">
        <f>IF($A562="","",SUMIFS(Txn[Sell Proceeds],Txn[Key],$A562))</f>
        <v/>
      </c>
      <c r="H562" s="288" t="str">
        <f>IF($A562="","",IFERROR(INDEX(Prices[Current Price],MATCH($A562,Prices[Key],0)),0))</f>
        <v/>
      </c>
      <c r="I562" s="289" t="str">
        <f>IF($A562="","",IFERROR(INDEX(Prices[FX to SGD],MATCH($A562,Prices[Key],0)),1))</f>
        <v/>
      </c>
      <c r="J562" s="287" t="str">
        <f t="shared" si="80"/>
        <v/>
      </c>
      <c r="K562" s="287" t="str">
        <f t="shared" si="81"/>
        <v/>
      </c>
      <c r="L562" s="287" t="str">
        <f t="shared" si="82"/>
        <v/>
      </c>
      <c r="M562" s="290" t="str">
        <f t="shared" si="83"/>
        <v/>
      </c>
      <c r="N562" t="str">
        <f>IF($A562="","",IFERROR(INDEX(Prices[Category],MATCH($A562,Prices[Key],0)),"Uncategorized"))</f>
        <v/>
      </c>
      <c r="O562" s="291" t="str">
        <f t="shared" si="84"/>
        <v/>
      </c>
      <c r="P562" s="291" t="str">
        <f t="shared" si="85"/>
        <v/>
      </c>
    </row>
    <row r="563" spans="1:16" ht="15" customHeight="1" x14ac:dyDescent="0.2">
      <c r="A563" s="243" t="str">
        <f>IFERROR(INDEX('All Ticker P&amp;L'!$A$2:$A$1001,MATCH(ROWS($A$2:A563),'All Ticker P&amp;L'!$N$2:$N$1001,0)),"")</f>
        <v/>
      </c>
      <c r="B563" s="243" t="str">
        <f t="shared" si="77"/>
        <v/>
      </c>
      <c r="C563" s="243" t="str">
        <f t="shared" si="78"/>
        <v/>
      </c>
      <c r="D563" s="243" t="str">
        <f t="shared" si="79"/>
        <v/>
      </c>
      <c r="E563" s="265" t="str">
        <f>IF($A563="","",SUMIFS(Txn[Signed Units],Txn[Key],$A563))</f>
        <v/>
      </c>
      <c r="F563" s="287" t="str">
        <f>IF($A563="","",SUMIFS(Txn[Buy Cost],Txn[Key],$A563))</f>
        <v/>
      </c>
      <c r="G563" s="287" t="str">
        <f>IF($A563="","",SUMIFS(Txn[Sell Proceeds],Txn[Key],$A563))</f>
        <v/>
      </c>
      <c r="H563" s="288" t="str">
        <f>IF($A563="","",IFERROR(INDEX(Prices[Current Price],MATCH($A563,Prices[Key],0)),0))</f>
        <v/>
      </c>
      <c r="I563" s="289" t="str">
        <f>IF($A563="","",IFERROR(INDEX(Prices[FX to SGD],MATCH($A563,Prices[Key],0)),1))</f>
        <v/>
      </c>
      <c r="J563" s="287" t="str">
        <f t="shared" si="80"/>
        <v/>
      </c>
      <c r="K563" s="287" t="str">
        <f t="shared" si="81"/>
        <v/>
      </c>
      <c r="L563" s="287" t="str">
        <f t="shared" si="82"/>
        <v/>
      </c>
      <c r="M563" s="290" t="str">
        <f t="shared" si="83"/>
        <v/>
      </c>
      <c r="N563" t="str">
        <f>IF($A563="","",IFERROR(INDEX(Prices[Category],MATCH($A563,Prices[Key],0)),"Uncategorized"))</f>
        <v/>
      </c>
      <c r="O563" s="291" t="str">
        <f t="shared" si="84"/>
        <v/>
      </c>
      <c r="P563" s="291" t="str">
        <f t="shared" si="85"/>
        <v/>
      </c>
    </row>
    <row r="564" spans="1:16" ht="15" customHeight="1" x14ac:dyDescent="0.2">
      <c r="A564" s="243" t="str">
        <f>IFERROR(INDEX('All Ticker P&amp;L'!$A$2:$A$1001,MATCH(ROWS($A$2:A564),'All Ticker P&amp;L'!$N$2:$N$1001,0)),"")</f>
        <v/>
      </c>
      <c r="B564" s="243" t="str">
        <f t="shared" si="77"/>
        <v/>
      </c>
      <c r="C564" s="243" t="str">
        <f t="shared" si="78"/>
        <v/>
      </c>
      <c r="D564" s="243" t="str">
        <f t="shared" si="79"/>
        <v/>
      </c>
      <c r="E564" s="265" t="str">
        <f>IF($A564="","",SUMIFS(Txn[Signed Units],Txn[Key],$A564))</f>
        <v/>
      </c>
      <c r="F564" s="287" t="str">
        <f>IF($A564="","",SUMIFS(Txn[Buy Cost],Txn[Key],$A564))</f>
        <v/>
      </c>
      <c r="G564" s="287" t="str">
        <f>IF($A564="","",SUMIFS(Txn[Sell Proceeds],Txn[Key],$A564))</f>
        <v/>
      </c>
      <c r="H564" s="288" t="str">
        <f>IF($A564="","",IFERROR(INDEX(Prices[Current Price],MATCH($A564,Prices[Key],0)),0))</f>
        <v/>
      </c>
      <c r="I564" s="289" t="str">
        <f>IF($A564="","",IFERROR(INDEX(Prices[FX to SGD],MATCH($A564,Prices[Key],0)),1))</f>
        <v/>
      </c>
      <c r="J564" s="287" t="str">
        <f t="shared" si="80"/>
        <v/>
      </c>
      <c r="K564" s="287" t="str">
        <f t="shared" si="81"/>
        <v/>
      </c>
      <c r="L564" s="287" t="str">
        <f t="shared" si="82"/>
        <v/>
      </c>
      <c r="M564" s="290" t="str">
        <f t="shared" si="83"/>
        <v/>
      </c>
      <c r="N564" t="str">
        <f>IF($A564="","",IFERROR(INDEX(Prices[Category],MATCH($A564,Prices[Key],0)),"Uncategorized"))</f>
        <v/>
      </c>
      <c r="O564" s="291" t="str">
        <f t="shared" si="84"/>
        <v/>
      </c>
      <c r="P564" s="291" t="str">
        <f t="shared" si="85"/>
        <v/>
      </c>
    </row>
    <row r="565" spans="1:16" ht="15" customHeight="1" x14ac:dyDescent="0.2">
      <c r="A565" s="243" t="str">
        <f>IFERROR(INDEX('All Ticker P&amp;L'!$A$2:$A$1001,MATCH(ROWS($A$2:A565),'All Ticker P&amp;L'!$N$2:$N$1001,0)),"")</f>
        <v/>
      </c>
      <c r="B565" s="243" t="str">
        <f t="shared" si="77"/>
        <v/>
      </c>
      <c r="C565" s="243" t="str">
        <f t="shared" si="78"/>
        <v/>
      </c>
      <c r="D565" s="243" t="str">
        <f t="shared" si="79"/>
        <v/>
      </c>
      <c r="E565" s="265" t="str">
        <f>IF($A565="","",SUMIFS(Txn[Signed Units],Txn[Key],$A565))</f>
        <v/>
      </c>
      <c r="F565" s="287" t="str">
        <f>IF($A565="","",SUMIFS(Txn[Buy Cost],Txn[Key],$A565))</f>
        <v/>
      </c>
      <c r="G565" s="287" t="str">
        <f>IF($A565="","",SUMIFS(Txn[Sell Proceeds],Txn[Key],$A565))</f>
        <v/>
      </c>
      <c r="H565" s="288" t="str">
        <f>IF($A565="","",IFERROR(INDEX(Prices[Current Price],MATCH($A565,Prices[Key],0)),0))</f>
        <v/>
      </c>
      <c r="I565" s="289" t="str">
        <f>IF($A565="","",IFERROR(INDEX(Prices[FX to SGD],MATCH($A565,Prices[Key],0)),1))</f>
        <v/>
      </c>
      <c r="J565" s="287" t="str">
        <f t="shared" si="80"/>
        <v/>
      </c>
      <c r="K565" s="287" t="str">
        <f t="shared" si="81"/>
        <v/>
      </c>
      <c r="L565" s="287" t="str">
        <f t="shared" si="82"/>
        <v/>
      </c>
      <c r="M565" s="290" t="str">
        <f t="shared" si="83"/>
        <v/>
      </c>
      <c r="N565" t="str">
        <f>IF($A565="","",IFERROR(INDEX(Prices[Category],MATCH($A565,Prices[Key],0)),"Uncategorized"))</f>
        <v/>
      </c>
      <c r="O565" s="291" t="str">
        <f t="shared" si="84"/>
        <v/>
      </c>
      <c r="P565" s="291" t="str">
        <f t="shared" si="85"/>
        <v/>
      </c>
    </row>
    <row r="566" spans="1:16" ht="15" customHeight="1" x14ac:dyDescent="0.2">
      <c r="A566" s="243" t="str">
        <f>IFERROR(INDEX('All Ticker P&amp;L'!$A$2:$A$1001,MATCH(ROWS($A$2:A566),'All Ticker P&amp;L'!$N$2:$N$1001,0)),"")</f>
        <v/>
      </c>
      <c r="B566" s="243" t="str">
        <f t="shared" si="77"/>
        <v/>
      </c>
      <c r="C566" s="243" t="str">
        <f t="shared" si="78"/>
        <v/>
      </c>
      <c r="D566" s="243" t="str">
        <f t="shared" si="79"/>
        <v/>
      </c>
      <c r="E566" s="265" t="str">
        <f>IF($A566="","",SUMIFS(Txn[Signed Units],Txn[Key],$A566))</f>
        <v/>
      </c>
      <c r="F566" s="287" t="str">
        <f>IF($A566="","",SUMIFS(Txn[Buy Cost],Txn[Key],$A566))</f>
        <v/>
      </c>
      <c r="G566" s="287" t="str">
        <f>IF($A566="","",SUMIFS(Txn[Sell Proceeds],Txn[Key],$A566))</f>
        <v/>
      </c>
      <c r="H566" s="288" t="str">
        <f>IF($A566="","",IFERROR(INDEX(Prices[Current Price],MATCH($A566,Prices[Key],0)),0))</f>
        <v/>
      </c>
      <c r="I566" s="289" t="str">
        <f>IF($A566="","",IFERROR(INDEX(Prices[FX to SGD],MATCH($A566,Prices[Key],0)),1))</f>
        <v/>
      </c>
      <c r="J566" s="287" t="str">
        <f t="shared" si="80"/>
        <v/>
      </c>
      <c r="K566" s="287" t="str">
        <f t="shared" si="81"/>
        <v/>
      </c>
      <c r="L566" s="287" t="str">
        <f t="shared" si="82"/>
        <v/>
      </c>
      <c r="M566" s="290" t="str">
        <f t="shared" si="83"/>
        <v/>
      </c>
      <c r="N566" t="str">
        <f>IF($A566="","",IFERROR(INDEX(Prices[Category],MATCH($A566,Prices[Key],0)),"Uncategorized"))</f>
        <v/>
      </c>
      <c r="O566" s="291" t="str">
        <f t="shared" si="84"/>
        <v/>
      </c>
      <c r="P566" s="291" t="str">
        <f t="shared" si="85"/>
        <v/>
      </c>
    </row>
    <row r="567" spans="1:16" ht="15" customHeight="1" x14ac:dyDescent="0.2">
      <c r="A567" s="243" t="str">
        <f>IFERROR(INDEX('All Ticker P&amp;L'!$A$2:$A$1001,MATCH(ROWS($A$2:A567),'All Ticker P&amp;L'!$N$2:$N$1001,0)),"")</f>
        <v/>
      </c>
      <c r="B567" s="243" t="str">
        <f t="shared" si="77"/>
        <v/>
      </c>
      <c r="C567" s="243" t="str">
        <f t="shared" si="78"/>
        <v/>
      </c>
      <c r="D567" s="243" t="str">
        <f t="shared" si="79"/>
        <v/>
      </c>
      <c r="E567" s="265" t="str">
        <f>IF($A567="","",SUMIFS(Txn[Signed Units],Txn[Key],$A567))</f>
        <v/>
      </c>
      <c r="F567" s="287" t="str">
        <f>IF($A567="","",SUMIFS(Txn[Buy Cost],Txn[Key],$A567))</f>
        <v/>
      </c>
      <c r="G567" s="287" t="str">
        <f>IF($A567="","",SUMIFS(Txn[Sell Proceeds],Txn[Key],$A567))</f>
        <v/>
      </c>
      <c r="H567" s="288" t="str">
        <f>IF($A567="","",IFERROR(INDEX(Prices[Current Price],MATCH($A567,Prices[Key],0)),0))</f>
        <v/>
      </c>
      <c r="I567" s="289" t="str">
        <f>IF($A567="","",IFERROR(INDEX(Prices[FX to SGD],MATCH($A567,Prices[Key],0)),1))</f>
        <v/>
      </c>
      <c r="J567" s="287" t="str">
        <f t="shared" si="80"/>
        <v/>
      </c>
      <c r="K567" s="287" t="str">
        <f t="shared" si="81"/>
        <v/>
      </c>
      <c r="L567" s="287" t="str">
        <f t="shared" si="82"/>
        <v/>
      </c>
      <c r="M567" s="290" t="str">
        <f t="shared" si="83"/>
        <v/>
      </c>
      <c r="N567" t="str">
        <f>IF($A567="","",IFERROR(INDEX(Prices[Category],MATCH($A567,Prices[Key],0)),"Uncategorized"))</f>
        <v/>
      </c>
      <c r="O567" s="291" t="str">
        <f t="shared" si="84"/>
        <v/>
      </c>
      <c r="P567" s="291" t="str">
        <f t="shared" si="85"/>
        <v/>
      </c>
    </row>
    <row r="568" spans="1:16" ht="15" customHeight="1" x14ac:dyDescent="0.2">
      <c r="A568" s="243" t="str">
        <f>IFERROR(INDEX('All Ticker P&amp;L'!$A$2:$A$1001,MATCH(ROWS($A$2:A568),'All Ticker P&amp;L'!$N$2:$N$1001,0)),"")</f>
        <v/>
      </c>
      <c r="B568" s="243" t="str">
        <f t="shared" si="77"/>
        <v/>
      </c>
      <c r="C568" s="243" t="str">
        <f t="shared" si="78"/>
        <v/>
      </c>
      <c r="D568" s="243" t="str">
        <f t="shared" si="79"/>
        <v/>
      </c>
      <c r="E568" s="265" t="str">
        <f>IF($A568="","",SUMIFS(Txn[Signed Units],Txn[Key],$A568))</f>
        <v/>
      </c>
      <c r="F568" s="287" t="str">
        <f>IF($A568="","",SUMIFS(Txn[Buy Cost],Txn[Key],$A568))</f>
        <v/>
      </c>
      <c r="G568" s="287" t="str">
        <f>IF($A568="","",SUMIFS(Txn[Sell Proceeds],Txn[Key],$A568))</f>
        <v/>
      </c>
      <c r="H568" s="288" t="str">
        <f>IF($A568="","",IFERROR(INDEX(Prices[Current Price],MATCH($A568,Prices[Key],0)),0))</f>
        <v/>
      </c>
      <c r="I568" s="289" t="str">
        <f>IF($A568="","",IFERROR(INDEX(Prices[FX to SGD],MATCH($A568,Prices[Key],0)),1))</f>
        <v/>
      </c>
      <c r="J568" s="287" t="str">
        <f t="shared" si="80"/>
        <v/>
      </c>
      <c r="K568" s="287" t="str">
        <f t="shared" si="81"/>
        <v/>
      </c>
      <c r="L568" s="287" t="str">
        <f t="shared" si="82"/>
        <v/>
      </c>
      <c r="M568" s="290" t="str">
        <f t="shared" si="83"/>
        <v/>
      </c>
      <c r="N568" t="str">
        <f>IF($A568="","",IFERROR(INDEX(Prices[Category],MATCH($A568,Prices[Key],0)),"Uncategorized"))</f>
        <v/>
      </c>
      <c r="O568" s="291" t="str">
        <f t="shared" si="84"/>
        <v/>
      </c>
      <c r="P568" s="291" t="str">
        <f t="shared" si="85"/>
        <v/>
      </c>
    </row>
    <row r="569" spans="1:16" ht="15" customHeight="1" x14ac:dyDescent="0.2">
      <c r="A569" s="243" t="str">
        <f>IFERROR(INDEX('All Ticker P&amp;L'!$A$2:$A$1001,MATCH(ROWS($A$2:A569),'All Ticker P&amp;L'!$N$2:$N$1001,0)),"")</f>
        <v/>
      </c>
      <c r="B569" s="243" t="str">
        <f t="shared" si="77"/>
        <v/>
      </c>
      <c r="C569" s="243" t="str">
        <f t="shared" si="78"/>
        <v/>
      </c>
      <c r="D569" s="243" t="str">
        <f t="shared" si="79"/>
        <v/>
      </c>
      <c r="E569" s="265" t="str">
        <f>IF($A569="","",SUMIFS(Txn[Signed Units],Txn[Key],$A569))</f>
        <v/>
      </c>
      <c r="F569" s="287" t="str">
        <f>IF($A569="","",SUMIFS(Txn[Buy Cost],Txn[Key],$A569))</f>
        <v/>
      </c>
      <c r="G569" s="287" t="str">
        <f>IF($A569="","",SUMIFS(Txn[Sell Proceeds],Txn[Key],$A569))</f>
        <v/>
      </c>
      <c r="H569" s="288" t="str">
        <f>IF($A569="","",IFERROR(INDEX(Prices[Current Price],MATCH($A569,Prices[Key],0)),0))</f>
        <v/>
      </c>
      <c r="I569" s="289" t="str">
        <f>IF($A569="","",IFERROR(INDEX(Prices[FX to SGD],MATCH($A569,Prices[Key],0)),1))</f>
        <v/>
      </c>
      <c r="J569" s="287" t="str">
        <f t="shared" si="80"/>
        <v/>
      </c>
      <c r="K569" s="287" t="str">
        <f t="shared" si="81"/>
        <v/>
      </c>
      <c r="L569" s="287" t="str">
        <f t="shared" si="82"/>
        <v/>
      </c>
      <c r="M569" s="290" t="str">
        <f t="shared" si="83"/>
        <v/>
      </c>
      <c r="N569" t="str">
        <f>IF($A569="","",IFERROR(INDEX(Prices[Category],MATCH($A569,Prices[Key],0)),"Uncategorized"))</f>
        <v/>
      </c>
      <c r="O569" s="291" t="str">
        <f t="shared" si="84"/>
        <v/>
      </c>
      <c r="P569" s="291" t="str">
        <f t="shared" si="85"/>
        <v/>
      </c>
    </row>
    <row r="570" spans="1:16" ht="15" customHeight="1" x14ac:dyDescent="0.2">
      <c r="A570" s="243" t="str">
        <f>IFERROR(INDEX('All Ticker P&amp;L'!$A$2:$A$1001,MATCH(ROWS($A$2:A570),'All Ticker P&amp;L'!$N$2:$N$1001,0)),"")</f>
        <v/>
      </c>
      <c r="B570" s="243" t="str">
        <f t="shared" si="77"/>
        <v/>
      </c>
      <c r="C570" s="243" t="str">
        <f t="shared" si="78"/>
        <v/>
      </c>
      <c r="D570" s="243" t="str">
        <f t="shared" si="79"/>
        <v/>
      </c>
      <c r="E570" s="265" t="str">
        <f>IF($A570="","",SUMIFS(Txn[Signed Units],Txn[Key],$A570))</f>
        <v/>
      </c>
      <c r="F570" s="287" t="str">
        <f>IF($A570="","",SUMIFS(Txn[Buy Cost],Txn[Key],$A570))</f>
        <v/>
      </c>
      <c r="G570" s="287" t="str">
        <f>IF($A570="","",SUMIFS(Txn[Sell Proceeds],Txn[Key],$A570))</f>
        <v/>
      </c>
      <c r="H570" s="288" t="str">
        <f>IF($A570="","",IFERROR(INDEX(Prices[Current Price],MATCH($A570,Prices[Key],0)),0))</f>
        <v/>
      </c>
      <c r="I570" s="289" t="str">
        <f>IF($A570="","",IFERROR(INDEX(Prices[FX to SGD],MATCH($A570,Prices[Key],0)),1))</f>
        <v/>
      </c>
      <c r="J570" s="287" t="str">
        <f t="shared" si="80"/>
        <v/>
      </c>
      <c r="K570" s="287" t="str">
        <f t="shared" si="81"/>
        <v/>
      </c>
      <c r="L570" s="287" t="str">
        <f t="shared" si="82"/>
        <v/>
      </c>
      <c r="M570" s="290" t="str">
        <f t="shared" si="83"/>
        <v/>
      </c>
      <c r="N570" t="str">
        <f>IF($A570="","",IFERROR(INDEX(Prices[Category],MATCH($A570,Prices[Key],0)),"Uncategorized"))</f>
        <v/>
      </c>
      <c r="O570" s="291" t="str">
        <f t="shared" si="84"/>
        <v/>
      </c>
      <c r="P570" s="291" t="str">
        <f t="shared" si="85"/>
        <v/>
      </c>
    </row>
    <row r="571" spans="1:16" ht="15" customHeight="1" x14ac:dyDescent="0.2">
      <c r="A571" s="243" t="str">
        <f>IFERROR(INDEX('All Ticker P&amp;L'!$A$2:$A$1001,MATCH(ROWS($A$2:A571),'All Ticker P&amp;L'!$N$2:$N$1001,0)),"")</f>
        <v/>
      </c>
      <c r="B571" s="243" t="str">
        <f t="shared" si="77"/>
        <v/>
      </c>
      <c r="C571" s="243" t="str">
        <f t="shared" si="78"/>
        <v/>
      </c>
      <c r="D571" s="243" t="str">
        <f t="shared" si="79"/>
        <v/>
      </c>
      <c r="E571" s="265" t="str">
        <f>IF($A571="","",SUMIFS(Txn[Signed Units],Txn[Key],$A571))</f>
        <v/>
      </c>
      <c r="F571" s="287" t="str">
        <f>IF($A571="","",SUMIFS(Txn[Buy Cost],Txn[Key],$A571))</f>
        <v/>
      </c>
      <c r="G571" s="287" t="str">
        <f>IF($A571="","",SUMIFS(Txn[Sell Proceeds],Txn[Key],$A571))</f>
        <v/>
      </c>
      <c r="H571" s="288" t="str">
        <f>IF($A571="","",IFERROR(INDEX(Prices[Current Price],MATCH($A571,Prices[Key],0)),0))</f>
        <v/>
      </c>
      <c r="I571" s="289" t="str">
        <f>IF($A571="","",IFERROR(INDEX(Prices[FX to SGD],MATCH($A571,Prices[Key],0)),1))</f>
        <v/>
      </c>
      <c r="J571" s="287" t="str">
        <f t="shared" si="80"/>
        <v/>
      </c>
      <c r="K571" s="287" t="str">
        <f t="shared" si="81"/>
        <v/>
      </c>
      <c r="L571" s="287" t="str">
        <f t="shared" si="82"/>
        <v/>
      </c>
      <c r="M571" s="290" t="str">
        <f t="shared" si="83"/>
        <v/>
      </c>
      <c r="N571" t="str">
        <f>IF($A571="","",IFERROR(INDEX(Prices[Category],MATCH($A571,Prices[Key],0)),"Uncategorized"))</f>
        <v/>
      </c>
      <c r="O571" s="291" t="str">
        <f t="shared" si="84"/>
        <v/>
      </c>
      <c r="P571" s="291" t="str">
        <f t="shared" si="85"/>
        <v/>
      </c>
    </row>
    <row r="572" spans="1:16" ht="15" customHeight="1" x14ac:dyDescent="0.2">
      <c r="A572" s="243" t="str">
        <f>IFERROR(INDEX('All Ticker P&amp;L'!$A$2:$A$1001,MATCH(ROWS($A$2:A572),'All Ticker P&amp;L'!$N$2:$N$1001,0)),"")</f>
        <v/>
      </c>
      <c r="B572" s="243" t="str">
        <f t="shared" si="77"/>
        <v/>
      </c>
      <c r="C572" s="243" t="str">
        <f t="shared" si="78"/>
        <v/>
      </c>
      <c r="D572" s="243" t="str">
        <f t="shared" si="79"/>
        <v/>
      </c>
      <c r="E572" s="265" t="str">
        <f>IF($A572="","",SUMIFS(Txn[Signed Units],Txn[Key],$A572))</f>
        <v/>
      </c>
      <c r="F572" s="287" t="str">
        <f>IF($A572="","",SUMIFS(Txn[Buy Cost],Txn[Key],$A572))</f>
        <v/>
      </c>
      <c r="G572" s="287" t="str">
        <f>IF($A572="","",SUMIFS(Txn[Sell Proceeds],Txn[Key],$A572))</f>
        <v/>
      </c>
      <c r="H572" s="288" t="str">
        <f>IF($A572="","",IFERROR(INDEX(Prices[Current Price],MATCH($A572,Prices[Key],0)),0))</f>
        <v/>
      </c>
      <c r="I572" s="289" t="str">
        <f>IF($A572="","",IFERROR(INDEX(Prices[FX to SGD],MATCH($A572,Prices[Key],0)),1))</f>
        <v/>
      </c>
      <c r="J572" s="287" t="str">
        <f t="shared" si="80"/>
        <v/>
      </c>
      <c r="K572" s="287" t="str">
        <f t="shared" si="81"/>
        <v/>
      </c>
      <c r="L572" s="287" t="str">
        <f t="shared" si="82"/>
        <v/>
      </c>
      <c r="M572" s="290" t="str">
        <f t="shared" si="83"/>
        <v/>
      </c>
      <c r="N572" t="str">
        <f>IF($A572="","",IFERROR(INDEX(Prices[Category],MATCH($A572,Prices[Key],0)),"Uncategorized"))</f>
        <v/>
      </c>
      <c r="O572" s="291" t="str">
        <f t="shared" si="84"/>
        <v/>
      </c>
      <c r="P572" s="291" t="str">
        <f t="shared" si="85"/>
        <v/>
      </c>
    </row>
    <row r="573" spans="1:16" ht="15" customHeight="1" x14ac:dyDescent="0.2">
      <c r="A573" s="243" t="str">
        <f>IFERROR(INDEX('All Ticker P&amp;L'!$A$2:$A$1001,MATCH(ROWS($A$2:A573),'All Ticker P&amp;L'!$N$2:$N$1001,0)),"")</f>
        <v/>
      </c>
      <c r="B573" s="243" t="str">
        <f t="shared" si="77"/>
        <v/>
      </c>
      <c r="C573" s="243" t="str">
        <f t="shared" si="78"/>
        <v/>
      </c>
      <c r="D573" s="243" t="str">
        <f t="shared" si="79"/>
        <v/>
      </c>
      <c r="E573" s="265" t="str">
        <f>IF($A573="","",SUMIFS(Txn[Signed Units],Txn[Key],$A573))</f>
        <v/>
      </c>
      <c r="F573" s="287" t="str">
        <f>IF($A573="","",SUMIFS(Txn[Buy Cost],Txn[Key],$A573))</f>
        <v/>
      </c>
      <c r="G573" s="287" t="str">
        <f>IF($A573="","",SUMIFS(Txn[Sell Proceeds],Txn[Key],$A573))</f>
        <v/>
      </c>
      <c r="H573" s="288" t="str">
        <f>IF($A573="","",IFERROR(INDEX(Prices[Current Price],MATCH($A573,Prices[Key],0)),0))</f>
        <v/>
      </c>
      <c r="I573" s="289" t="str">
        <f>IF($A573="","",IFERROR(INDEX(Prices[FX to SGD],MATCH($A573,Prices[Key],0)),1))</f>
        <v/>
      </c>
      <c r="J573" s="287" t="str">
        <f t="shared" si="80"/>
        <v/>
      </c>
      <c r="K573" s="287" t="str">
        <f t="shared" si="81"/>
        <v/>
      </c>
      <c r="L573" s="287" t="str">
        <f t="shared" si="82"/>
        <v/>
      </c>
      <c r="M573" s="290" t="str">
        <f t="shared" si="83"/>
        <v/>
      </c>
      <c r="N573" t="str">
        <f>IF($A573="","",IFERROR(INDEX(Prices[Category],MATCH($A573,Prices[Key],0)),"Uncategorized"))</f>
        <v/>
      </c>
      <c r="O573" s="291" t="str">
        <f t="shared" si="84"/>
        <v/>
      </c>
      <c r="P573" s="291" t="str">
        <f t="shared" si="85"/>
        <v/>
      </c>
    </row>
    <row r="574" spans="1:16" ht="15" customHeight="1" x14ac:dyDescent="0.2">
      <c r="A574" s="243" t="str">
        <f>IFERROR(INDEX('All Ticker P&amp;L'!$A$2:$A$1001,MATCH(ROWS($A$2:A574),'All Ticker P&amp;L'!$N$2:$N$1001,0)),"")</f>
        <v/>
      </c>
      <c r="B574" s="243" t="str">
        <f t="shared" si="77"/>
        <v/>
      </c>
      <c r="C574" s="243" t="str">
        <f t="shared" si="78"/>
        <v/>
      </c>
      <c r="D574" s="243" t="str">
        <f t="shared" si="79"/>
        <v/>
      </c>
      <c r="E574" s="265" t="str">
        <f>IF($A574="","",SUMIFS(Txn[Signed Units],Txn[Key],$A574))</f>
        <v/>
      </c>
      <c r="F574" s="287" t="str">
        <f>IF($A574="","",SUMIFS(Txn[Buy Cost],Txn[Key],$A574))</f>
        <v/>
      </c>
      <c r="G574" s="287" t="str">
        <f>IF($A574="","",SUMIFS(Txn[Sell Proceeds],Txn[Key],$A574))</f>
        <v/>
      </c>
      <c r="H574" s="288" t="str">
        <f>IF($A574="","",IFERROR(INDEX(Prices[Current Price],MATCH($A574,Prices[Key],0)),0))</f>
        <v/>
      </c>
      <c r="I574" s="289" t="str">
        <f>IF($A574="","",IFERROR(INDEX(Prices[FX to SGD],MATCH($A574,Prices[Key],0)),1))</f>
        <v/>
      </c>
      <c r="J574" s="287" t="str">
        <f t="shared" si="80"/>
        <v/>
      </c>
      <c r="K574" s="287" t="str">
        <f t="shared" si="81"/>
        <v/>
      </c>
      <c r="L574" s="287" t="str">
        <f t="shared" si="82"/>
        <v/>
      </c>
      <c r="M574" s="290" t="str">
        <f t="shared" si="83"/>
        <v/>
      </c>
      <c r="N574" t="str">
        <f>IF($A574="","",IFERROR(INDEX(Prices[Category],MATCH($A574,Prices[Key],0)),"Uncategorized"))</f>
        <v/>
      </c>
      <c r="O574" s="291" t="str">
        <f t="shared" si="84"/>
        <v/>
      </c>
      <c r="P574" s="291" t="str">
        <f t="shared" si="85"/>
        <v/>
      </c>
    </row>
    <row r="575" spans="1:16" ht="15" customHeight="1" x14ac:dyDescent="0.2">
      <c r="A575" s="243" t="str">
        <f>IFERROR(INDEX('All Ticker P&amp;L'!$A$2:$A$1001,MATCH(ROWS($A$2:A575),'All Ticker P&amp;L'!$N$2:$N$1001,0)),"")</f>
        <v/>
      </c>
      <c r="B575" s="243" t="str">
        <f t="shared" si="77"/>
        <v/>
      </c>
      <c r="C575" s="243" t="str">
        <f t="shared" si="78"/>
        <v/>
      </c>
      <c r="D575" s="243" t="str">
        <f t="shared" si="79"/>
        <v/>
      </c>
      <c r="E575" s="265" t="str">
        <f>IF($A575="","",SUMIFS(Txn[Signed Units],Txn[Key],$A575))</f>
        <v/>
      </c>
      <c r="F575" s="287" t="str">
        <f>IF($A575="","",SUMIFS(Txn[Buy Cost],Txn[Key],$A575))</f>
        <v/>
      </c>
      <c r="G575" s="287" t="str">
        <f>IF($A575="","",SUMIFS(Txn[Sell Proceeds],Txn[Key],$A575))</f>
        <v/>
      </c>
      <c r="H575" s="288" t="str">
        <f>IF($A575="","",IFERROR(INDEX(Prices[Current Price],MATCH($A575,Prices[Key],0)),0))</f>
        <v/>
      </c>
      <c r="I575" s="289" t="str">
        <f>IF($A575="","",IFERROR(INDEX(Prices[FX to SGD],MATCH($A575,Prices[Key],0)),1))</f>
        <v/>
      </c>
      <c r="J575" s="287" t="str">
        <f t="shared" si="80"/>
        <v/>
      </c>
      <c r="K575" s="287" t="str">
        <f t="shared" si="81"/>
        <v/>
      </c>
      <c r="L575" s="287" t="str">
        <f t="shared" si="82"/>
        <v/>
      </c>
      <c r="M575" s="290" t="str">
        <f t="shared" si="83"/>
        <v/>
      </c>
      <c r="N575" t="str">
        <f>IF($A575="","",IFERROR(INDEX(Prices[Category],MATCH($A575,Prices[Key],0)),"Uncategorized"))</f>
        <v/>
      </c>
      <c r="O575" s="291" t="str">
        <f t="shared" si="84"/>
        <v/>
      </c>
      <c r="P575" s="291" t="str">
        <f t="shared" si="85"/>
        <v/>
      </c>
    </row>
    <row r="576" spans="1:16" ht="15" customHeight="1" x14ac:dyDescent="0.2">
      <c r="A576" s="243" t="str">
        <f>IFERROR(INDEX('All Ticker P&amp;L'!$A$2:$A$1001,MATCH(ROWS($A$2:A576),'All Ticker P&amp;L'!$N$2:$N$1001,0)),"")</f>
        <v/>
      </c>
      <c r="B576" s="243" t="str">
        <f t="shared" si="77"/>
        <v/>
      </c>
      <c r="C576" s="243" t="str">
        <f t="shared" si="78"/>
        <v/>
      </c>
      <c r="D576" s="243" t="str">
        <f t="shared" si="79"/>
        <v/>
      </c>
      <c r="E576" s="265" t="str">
        <f>IF($A576="","",SUMIFS(Txn[Signed Units],Txn[Key],$A576))</f>
        <v/>
      </c>
      <c r="F576" s="287" t="str">
        <f>IF($A576="","",SUMIFS(Txn[Buy Cost],Txn[Key],$A576))</f>
        <v/>
      </c>
      <c r="G576" s="287" t="str">
        <f>IF($A576="","",SUMIFS(Txn[Sell Proceeds],Txn[Key],$A576))</f>
        <v/>
      </c>
      <c r="H576" s="288" t="str">
        <f>IF($A576="","",IFERROR(INDEX(Prices[Current Price],MATCH($A576,Prices[Key],0)),0))</f>
        <v/>
      </c>
      <c r="I576" s="289" t="str">
        <f>IF($A576="","",IFERROR(INDEX(Prices[FX to SGD],MATCH($A576,Prices[Key],0)),1))</f>
        <v/>
      </c>
      <c r="J576" s="287" t="str">
        <f t="shared" si="80"/>
        <v/>
      </c>
      <c r="K576" s="287" t="str">
        <f t="shared" si="81"/>
        <v/>
      </c>
      <c r="L576" s="287" t="str">
        <f t="shared" si="82"/>
        <v/>
      </c>
      <c r="M576" s="290" t="str">
        <f t="shared" si="83"/>
        <v/>
      </c>
      <c r="N576" t="str">
        <f>IF($A576="","",IFERROR(INDEX(Prices[Category],MATCH($A576,Prices[Key],0)),"Uncategorized"))</f>
        <v/>
      </c>
      <c r="O576" s="291" t="str">
        <f t="shared" si="84"/>
        <v/>
      </c>
      <c r="P576" s="291" t="str">
        <f t="shared" si="85"/>
        <v/>
      </c>
    </row>
    <row r="577" spans="1:16" ht="15" customHeight="1" x14ac:dyDescent="0.2">
      <c r="A577" s="243" t="str">
        <f>IFERROR(INDEX('All Ticker P&amp;L'!$A$2:$A$1001,MATCH(ROWS($A$2:A577),'All Ticker P&amp;L'!$N$2:$N$1001,0)),"")</f>
        <v/>
      </c>
      <c r="B577" s="243" t="str">
        <f t="shared" si="77"/>
        <v/>
      </c>
      <c r="C577" s="243" t="str">
        <f t="shared" si="78"/>
        <v/>
      </c>
      <c r="D577" s="243" t="str">
        <f t="shared" si="79"/>
        <v/>
      </c>
      <c r="E577" s="265" t="str">
        <f>IF($A577="","",SUMIFS(Txn[Signed Units],Txn[Key],$A577))</f>
        <v/>
      </c>
      <c r="F577" s="287" t="str">
        <f>IF($A577="","",SUMIFS(Txn[Buy Cost],Txn[Key],$A577))</f>
        <v/>
      </c>
      <c r="G577" s="287" t="str">
        <f>IF($A577="","",SUMIFS(Txn[Sell Proceeds],Txn[Key],$A577))</f>
        <v/>
      </c>
      <c r="H577" s="288" t="str">
        <f>IF($A577="","",IFERROR(INDEX(Prices[Current Price],MATCH($A577,Prices[Key],0)),0))</f>
        <v/>
      </c>
      <c r="I577" s="289" t="str">
        <f>IF($A577="","",IFERROR(INDEX(Prices[FX to SGD],MATCH($A577,Prices[Key],0)),1))</f>
        <v/>
      </c>
      <c r="J577" s="287" t="str">
        <f t="shared" si="80"/>
        <v/>
      </c>
      <c r="K577" s="287" t="str">
        <f t="shared" si="81"/>
        <v/>
      </c>
      <c r="L577" s="287" t="str">
        <f t="shared" si="82"/>
        <v/>
      </c>
      <c r="M577" s="290" t="str">
        <f t="shared" si="83"/>
        <v/>
      </c>
      <c r="N577" t="str">
        <f>IF($A577="","",IFERROR(INDEX(Prices[Category],MATCH($A577,Prices[Key],0)),"Uncategorized"))</f>
        <v/>
      </c>
      <c r="O577" s="291" t="str">
        <f t="shared" si="84"/>
        <v/>
      </c>
      <c r="P577" s="291" t="str">
        <f t="shared" si="85"/>
        <v/>
      </c>
    </row>
    <row r="578" spans="1:16" ht="15" customHeight="1" x14ac:dyDescent="0.2">
      <c r="A578" s="243" t="str">
        <f>IFERROR(INDEX('All Ticker P&amp;L'!$A$2:$A$1001,MATCH(ROWS($A$2:A578),'All Ticker P&amp;L'!$N$2:$N$1001,0)),"")</f>
        <v/>
      </c>
      <c r="B578" s="243" t="str">
        <f t="shared" ref="B578:B641" si="86">IF($A578="","",LEFT($A578,FIND(":",$A578)-1))</f>
        <v/>
      </c>
      <c r="C578" s="243" t="str">
        <f t="shared" ref="C578:C641" si="87">IF($A578="","",MID($A578,FIND(":",$A578)+1,FIND(":",$A578,FIND(":",$A578)+1)-FIND(":",$A578)-1))</f>
        <v/>
      </c>
      <c r="D578" s="243" t="str">
        <f t="shared" ref="D578:D641" si="88">IF($A578="","",RIGHT($A578,LEN($A578)-FIND(":",$A578,FIND(":",$A578)+1)))</f>
        <v/>
      </c>
      <c r="E578" s="265" t="str">
        <f>IF($A578="","",SUMIFS(Txn[Signed Units],Txn[Key],$A578))</f>
        <v/>
      </c>
      <c r="F578" s="287" t="str">
        <f>IF($A578="","",SUMIFS(Txn[Buy Cost],Txn[Key],$A578))</f>
        <v/>
      </c>
      <c r="G578" s="287" t="str">
        <f>IF($A578="","",SUMIFS(Txn[Sell Proceeds],Txn[Key],$A578))</f>
        <v/>
      </c>
      <c r="H578" s="288" t="str">
        <f>IF($A578="","",IFERROR(INDEX(Prices[Current Price],MATCH($A578,Prices[Key],0)),0))</f>
        <v/>
      </c>
      <c r="I578" s="289" t="str">
        <f>IF($A578="","",IFERROR(INDEX(Prices[FX to SGD],MATCH($A578,Prices[Key],0)),1))</f>
        <v/>
      </c>
      <c r="J578" s="287" t="str">
        <f t="shared" ref="J578:J641" si="89">IF($A578="","",E578*H578)</f>
        <v/>
      </c>
      <c r="K578" s="287" t="str">
        <f t="shared" ref="K578:K641" si="90">IF($A578="","",J578+G578-F578)</f>
        <v/>
      </c>
      <c r="L578" s="287" t="str">
        <f t="shared" ref="L578:L641" si="91">IF($A578="","",K578*I578)</f>
        <v/>
      </c>
      <c r="M578" s="290" t="str">
        <f t="shared" ref="M578:M641" si="92">IF($A578="","",IFERROR(K578/F578,0))</f>
        <v/>
      </c>
      <c r="N578" t="str">
        <f>IF($A578="","",IFERROR(INDEX(Prices[Category],MATCH($A578,Prices[Key],0)),"Uncategorized"))</f>
        <v/>
      </c>
      <c r="O578" s="291" t="str">
        <f t="shared" ref="O578:O641" si="93">IF($A578="","",$J578*$I578)</f>
        <v/>
      </c>
      <c r="P578" s="291" t="str">
        <f t="shared" ref="P578:P641" si="94">IF($A578="","",$L578)</f>
        <v/>
      </c>
    </row>
    <row r="579" spans="1:16" ht="15" customHeight="1" x14ac:dyDescent="0.2">
      <c r="A579" s="243" t="str">
        <f>IFERROR(INDEX('All Ticker P&amp;L'!$A$2:$A$1001,MATCH(ROWS($A$2:A579),'All Ticker P&amp;L'!$N$2:$N$1001,0)),"")</f>
        <v/>
      </c>
      <c r="B579" s="243" t="str">
        <f t="shared" si="86"/>
        <v/>
      </c>
      <c r="C579" s="243" t="str">
        <f t="shared" si="87"/>
        <v/>
      </c>
      <c r="D579" s="243" t="str">
        <f t="shared" si="88"/>
        <v/>
      </c>
      <c r="E579" s="265" t="str">
        <f>IF($A579="","",SUMIFS(Txn[Signed Units],Txn[Key],$A579))</f>
        <v/>
      </c>
      <c r="F579" s="287" t="str">
        <f>IF($A579="","",SUMIFS(Txn[Buy Cost],Txn[Key],$A579))</f>
        <v/>
      </c>
      <c r="G579" s="287" t="str">
        <f>IF($A579="","",SUMIFS(Txn[Sell Proceeds],Txn[Key],$A579))</f>
        <v/>
      </c>
      <c r="H579" s="288" t="str">
        <f>IF($A579="","",IFERROR(INDEX(Prices[Current Price],MATCH($A579,Prices[Key],0)),0))</f>
        <v/>
      </c>
      <c r="I579" s="289" t="str">
        <f>IF($A579="","",IFERROR(INDEX(Prices[FX to SGD],MATCH($A579,Prices[Key],0)),1))</f>
        <v/>
      </c>
      <c r="J579" s="287" t="str">
        <f t="shared" si="89"/>
        <v/>
      </c>
      <c r="K579" s="287" t="str">
        <f t="shared" si="90"/>
        <v/>
      </c>
      <c r="L579" s="287" t="str">
        <f t="shared" si="91"/>
        <v/>
      </c>
      <c r="M579" s="290" t="str">
        <f t="shared" si="92"/>
        <v/>
      </c>
      <c r="N579" t="str">
        <f>IF($A579="","",IFERROR(INDEX(Prices[Category],MATCH($A579,Prices[Key],0)),"Uncategorized"))</f>
        <v/>
      </c>
      <c r="O579" s="291" t="str">
        <f t="shared" si="93"/>
        <v/>
      </c>
      <c r="P579" s="291" t="str">
        <f t="shared" si="94"/>
        <v/>
      </c>
    </row>
    <row r="580" spans="1:16" ht="15" customHeight="1" x14ac:dyDescent="0.2">
      <c r="A580" s="243" t="str">
        <f>IFERROR(INDEX('All Ticker P&amp;L'!$A$2:$A$1001,MATCH(ROWS($A$2:A580),'All Ticker P&amp;L'!$N$2:$N$1001,0)),"")</f>
        <v/>
      </c>
      <c r="B580" s="243" t="str">
        <f t="shared" si="86"/>
        <v/>
      </c>
      <c r="C580" s="243" t="str">
        <f t="shared" si="87"/>
        <v/>
      </c>
      <c r="D580" s="243" t="str">
        <f t="shared" si="88"/>
        <v/>
      </c>
      <c r="E580" s="265" t="str">
        <f>IF($A580="","",SUMIFS(Txn[Signed Units],Txn[Key],$A580))</f>
        <v/>
      </c>
      <c r="F580" s="287" t="str">
        <f>IF($A580="","",SUMIFS(Txn[Buy Cost],Txn[Key],$A580))</f>
        <v/>
      </c>
      <c r="G580" s="287" t="str">
        <f>IF($A580="","",SUMIFS(Txn[Sell Proceeds],Txn[Key],$A580))</f>
        <v/>
      </c>
      <c r="H580" s="288" t="str">
        <f>IF($A580="","",IFERROR(INDEX(Prices[Current Price],MATCH($A580,Prices[Key],0)),0))</f>
        <v/>
      </c>
      <c r="I580" s="289" t="str">
        <f>IF($A580="","",IFERROR(INDEX(Prices[FX to SGD],MATCH($A580,Prices[Key],0)),1))</f>
        <v/>
      </c>
      <c r="J580" s="287" t="str">
        <f t="shared" si="89"/>
        <v/>
      </c>
      <c r="K580" s="287" t="str">
        <f t="shared" si="90"/>
        <v/>
      </c>
      <c r="L580" s="287" t="str">
        <f t="shared" si="91"/>
        <v/>
      </c>
      <c r="M580" s="290" t="str">
        <f t="shared" si="92"/>
        <v/>
      </c>
      <c r="N580" t="str">
        <f>IF($A580="","",IFERROR(INDEX(Prices[Category],MATCH($A580,Prices[Key],0)),"Uncategorized"))</f>
        <v/>
      </c>
      <c r="O580" s="291" t="str">
        <f t="shared" si="93"/>
        <v/>
      </c>
      <c r="P580" s="291" t="str">
        <f t="shared" si="94"/>
        <v/>
      </c>
    </row>
    <row r="581" spans="1:16" ht="15" customHeight="1" x14ac:dyDescent="0.2">
      <c r="A581" s="243" t="str">
        <f>IFERROR(INDEX('All Ticker P&amp;L'!$A$2:$A$1001,MATCH(ROWS($A$2:A581),'All Ticker P&amp;L'!$N$2:$N$1001,0)),"")</f>
        <v/>
      </c>
      <c r="B581" s="243" t="str">
        <f t="shared" si="86"/>
        <v/>
      </c>
      <c r="C581" s="243" t="str">
        <f t="shared" si="87"/>
        <v/>
      </c>
      <c r="D581" s="243" t="str">
        <f t="shared" si="88"/>
        <v/>
      </c>
      <c r="E581" s="265" t="str">
        <f>IF($A581="","",SUMIFS(Txn[Signed Units],Txn[Key],$A581))</f>
        <v/>
      </c>
      <c r="F581" s="287" t="str">
        <f>IF($A581="","",SUMIFS(Txn[Buy Cost],Txn[Key],$A581))</f>
        <v/>
      </c>
      <c r="G581" s="287" t="str">
        <f>IF($A581="","",SUMIFS(Txn[Sell Proceeds],Txn[Key],$A581))</f>
        <v/>
      </c>
      <c r="H581" s="288" t="str">
        <f>IF($A581="","",IFERROR(INDEX(Prices[Current Price],MATCH($A581,Prices[Key],0)),0))</f>
        <v/>
      </c>
      <c r="I581" s="289" t="str">
        <f>IF($A581="","",IFERROR(INDEX(Prices[FX to SGD],MATCH($A581,Prices[Key],0)),1))</f>
        <v/>
      </c>
      <c r="J581" s="287" t="str">
        <f t="shared" si="89"/>
        <v/>
      </c>
      <c r="K581" s="287" t="str">
        <f t="shared" si="90"/>
        <v/>
      </c>
      <c r="L581" s="287" t="str">
        <f t="shared" si="91"/>
        <v/>
      </c>
      <c r="M581" s="290" t="str">
        <f t="shared" si="92"/>
        <v/>
      </c>
      <c r="N581" t="str">
        <f>IF($A581="","",IFERROR(INDEX(Prices[Category],MATCH($A581,Prices[Key],0)),"Uncategorized"))</f>
        <v/>
      </c>
      <c r="O581" s="291" t="str">
        <f t="shared" si="93"/>
        <v/>
      </c>
      <c r="P581" s="291" t="str">
        <f t="shared" si="94"/>
        <v/>
      </c>
    </row>
    <row r="582" spans="1:16" ht="15" customHeight="1" x14ac:dyDescent="0.2">
      <c r="A582" s="243" t="str">
        <f>IFERROR(INDEX('All Ticker P&amp;L'!$A$2:$A$1001,MATCH(ROWS($A$2:A582),'All Ticker P&amp;L'!$N$2:$N$1001,0)),"")</f>
        <v/>
      </c>
      <c r="B582" s="243" t="str">
        <f t="shared" si="86"/>
        <v/>
      </c>
      <c r="C582" s="243" t="str">
        <f t="shared" si="87"/>
        <v/>
      </c>
      <c r="D582" s="243" t="str">
        <f t="shared" si="88"/>
        <v/>
      </c>
      <c r="E582" s="265" t="str">
        <f>IF($A582="","",SUMIFS(Txn[Signed Units],Txn[Key],$A582))</f>
        <v/>
      </c>
      <c r="F582" s="287" t="str">
        <f>IF($A582="","",SUMIFS(Txn[Buy Cost],Txn[Key],$A582))</f>
        <v/>
      </c>
      <c r="G582" s="287" t="str">
        <f>IF($A582="","",SUMIFS(Txn[Sell Proceeds],Txn[Key],$A582))</f>
        <v/>
      </c>
      <c r="H582" s="288" t="str">
        <f>IF($A582="","",IFERROR(INDEX(Prices[Current Price],MATCH($A582,Prices[Key],0)),0))</f>
        <v/>
      </c>
      <c r="I582" s="289" t="str">
        <f>IF($A582="","",IFERROR(INDEX(Prices[FX to SGD],MATCH($A582,Prices[Key],0)),1))</f>
        <v/>
      </c>
      <c r="J582" s="287" t="str">
        <f t="shared" si="89"/>
        <v/>
      </c>
      <c r="K582" s="287" t="str">
        <f t="shared" si="90"/>
        <v/>
      </c>
      <c r="L582" s="287" t="str">
        <f t="shared" si="91"/>
        <v/>
      </c>
      <c r="M582" s="290" t="str">
        <f t="shared" si="92"/>
        <v/>
      </c>
      <c r="N582" t="str">
        <f>IF($A582="","",IFERROR(INDEX(Prices[Category],MATCH($A582,Prices[Key],0)),"Uncategorized"))</f>
        <v/>
      </c>
      <c r="O582" s="291" t="str">
        <f t="shared" si="93"/>
        <v/>
      </c>
      <c r="P582" s="291" t="str">
        <f t="shared" si="94"/>
        <v/>
      </c>
    </row>
    <row r="583" spans="1:16" ht="15" customHeight="1" x14ac:dyDescent="0.2">
      <c r="A583" s="243" t="str">
        <f>IFERROR(INDEX('All Ticker P&amp;L'!$A$2:$A$1001,MATCH(ROWS($A$2:A583),'All Ticker P&amp;L'!$N$2:$N$1001,0)),"")</f>
        <v/>
      </c>
      <c r="B583" s="243" t="str">
        <f t="shared" si="86"/>
        <v/>
      </c>
      <c r="C583" s="243" t="str">
        <f t="shared" si="87"/>
        <v/>
      </c>
      <c r="D583" s="243" t="str">
        <f t="shared" si="88"/>
        <v/>
      </c>
      <c r="E583" s="265" t="str">
        <f>IF($A583="","",SUMIFS(Txn[Signed Units],Txn[Key],$A583))</f>
        <v/>
      </c>
      <c r="F583" s="287" t="str">
        <f>IF($A583="","",SUMIFS(Txn[Buy Cost],Txn[Key],$A583))</f>
        <v/>
      </c>
      <c r="G583" s="287" t="str">
        <f>IF($A583="","",SUMIFS(Txn[Sell Proceeds],Txn[Key],$A583))</f>
        <v/>
      </c>
      <c r="H583" s="288" t="str">
        <f>IF($A583="","",IFERROR(INDEX(Prices[Current Price],MATCH($A583,Prices[Key],0)),0))</f>
        <v/>
      </c>
      <c r="I583" s="289" t="str">
        <f>IF($A583="","",IFERROR(INDEX(Prices[FX to SGD],MATCH($A583,Prices[Key],0)),1))</f>
        <v/>
      </c>
      <c r="J583" s="287" t="str">
        <f t="shared" si="89"/>
        <v/>
      </c>
      <c r="K583" s="287" t="str">
        <f t="shared" si="90"/>
        <v/>
      </c>
      <c r="L583" s="287" t="str">
        <f t="shared" si="91"/>
        <v/>
      </c>
      <c r="M583" s="290" t="str">
        <f t="shared" si="92"/>
        <v/>
      </c>
      <c r="N583" t="str">
        <f>IF($A583="","",IFERROR(INDEX(Prices[Category],MATCH($A583,Prices[Key],0)),"Uncategorized"))</f>
        <v/>
      </c>
      <c r="O583" s="291" t="str">
        <f t="shared" si="93"/>
        <v/>
      </c>
      <c r="P583" s="291" t="str">
        <f t="shared" si="94"/>
        <v/>
      </c>
    </row>
    <row r="584" spans="1:16" ht="15" customHeight="1" x14ac:dyDescent="0.2">
      <c r="A584" s="243" t="str">
        <f>IFERROR(INDEX('All Ticker P&amp;L'!$A$2:$A$1001,MATCH(ROWS($A$2:A584),'All Ticker P&amp;L'!$N$2:$N$1001,0)),"")</f>
        <v/>
      </c>
      <c r="B584" s="243" t="str">
        <f t="shared" si="86"/>
        <v/>
      </c>
      <c r="C584" s="243" t="str">
        <f t="shared" si="87"/>
        <v/>
      </c>
      <c r="D584" s="243" t="str">
        <f t="shared" si="88"/>
        <v/>
      </c>
      <c r="E584" s="265" t="str">
        <f>IF($A584="","",SUMIFS(Txn[Signed Units],Txn[Key],$A584))</f>
        <v/>
      </c>
      <c r="F584" s="287" t="str">
        <f>IF($A584="","",SUMIFS(Txn[Buy Cost],Txn[Key],$A584))</f>
        <v/>
      </c>
      <c r="G584" s="287" t="str">
        <f>IF($A584="","",SUMIFS(Txn[Sell Proceeds],Txn[Key],$A584))</f>
        <v/>
      </c>
      <c r="H584" s="288" t="str">
        <f>IF($A584="","",IFERROR(INDEX(Prices[Current Price],MATCH($A584,Prices[Key],0)),0))</f>
        <v/>
      </c>
      <c r="I584" s="289" t="str">
        <f>IF($A584="","",IFERROR(INDEX(Prices[FX to SGD],MATCH($A584,Prices[Key],0)),1))</f>
        <v/>
      </c>
      <c r="J584" s="287" t="str">
        <f t="shared" si="89"/>
        <v/>
      </c>
      <c r="K584" s="287" t="str">
        <f t="shared" si="90"/>
        <v/>
      </c>
      <c r="L584" s="287" t="str">
        <f t="shared" si="91"/>
        <v/>
      </c>
      <c r="M584" s="290" t="str">
        <f t="shared" si="92"/>
        <v/>
      </c>
      <c r="N584" t="str">
        <f>IF($A584="","",IFERROR(INDEX(Prices[Category],MATCH($A584,Prices[Key],0)),"Uncategorized"))</f>
        <v/>
      </c>
      <c r="O584" s="291" t="str">
        <f t="shared" si="93"/>
        <v/>
      </c>
      <c r="P584" s="291" t="str">
        <f t="shared" si="94"/>
        <v/>
      </c>
    </row>
    <row r="585" spans="1:16" ht="15" customHeight="1" x14ac:dyDescent="0.2">
      <c r="A585" s="243" t="str">
        <f>IFERROR(INDEX('All Ticker P&amp;L'!$A$2:$A$1001,MATCH(ROWS($A$2:A585),'All Ticker P&amp;L'!$N$2:$N$1001,0)),"")</f>
        <v/>
      </c>
      <c r="B585" s="243" t="str">
        <f t="shared" si="86"/>
        <v/>
      </c>
      <c r="C585" s="243" t="str">
        <f t="shared" si="87"/>
        <v/>
      </c>
      <c r="D585" s="243" t="str">
        <f t="shared" si="88"/>
        <v/>
      </c>
      <c r="E585" s="265" t="str">
        <f>IF($A585="","",SUMIFS(Txn[Signed Units],Txn[Key],$A585))</f>
        <v/>
      </c>
      <c r="F585" s="287" t="str">
        <f>IF($A585="","",SUMIFS(Txn[Buy Cost],Txn[Key],$A585))</f>
        <v/>
      </c>
      <c r="G585" s="287" t="str">
        <f>IF($A585="","",SUMIFS(Txn[Sell Proceeds],Txn[Key],$A585))</f>
        <v/>
      </c>
      <c r="H585" s="288" t="str">
        <f>IF($A585="","",IFERROR(INDEX(Prices[Current Price],MATCH($A585,Prices[Key],0)),0))</f>
        <v/>
      </c>
      <c r="I585" s="289" t="str">
        <f>IF($A585="","",IFERROR(INDEX(Prices[FX to SGD],MATCH($A585,Prices[Key],0)),1))</f>
        <v/>
      </c>
      <c r="J585" s="287" t="str">
        <f t="shared" si="89"/>
        <v/>
      </c>
      <c r="K585" s="287" t="str">
        <f t="shared" si="90"/>
        <v/>
      </c>
      <c r="L585" s="287" t="str">
        <f t="shared" si="91"/>
        <v/>
      </c>
      <c r="M585" s="290" t="str">
        <f t="shared" si="92"/>
        <v/>
      </c>
      <c r="N585" t="str">
        <f>IF($A585="","",IFERROR(INDEX(Prices[Category],MATCH($A585,Prices[Key],0)),"Uncategorized"))</f>
        <v/>
      </c>
      <c r="O585" s="291" t="str">
        <f t="shared" si="93"/>
        <v/>
      </c>
      <c r="P585" s="291" t="str">
        <f t="shared" si="94"/>
        <v/>
      </c>
    </row>
    <row r="586" spans="1:16" ht="15" customHeight="1" x14ac:dyDescent="0.2">
      <c r="A586" s="243" t="str">
        <f>IFERROR(INDEX('All Ticker P&amp;L'!$A$2:$A$1001,MATCH(ROWS($A$2:A586),'All Ticker P&amp;L'!$N$2:$N$1001,0)),"")</f>
        <v/>
      </c>
      <c r="B586" s="243" t="str">
        <f t="shared" si="86"/>
        <v/>
      </c>
      <c r="C586" s="243" t="str">
        <f t="shared" si="87"/>
        <v/>
      </c>
      <c r="D586" s="243" t="str">
        <f t="shared" si="88"/>
        <v/>
      </c>
      <c r="E586" s="265" t="str">
        <f>IF($A586="","",SUMIFS(Txn[Signed Units],Txn[Key],$A586))</f>
        <v/>
      </c>
      <c r="F586" s="287" t="str">
        <f>IF($A586="","",SUMIFS(Txn[Buy Cost],Txn[Key],$A586))</f>
        <v/>
      </c>
      <c r="G586" s="287" t="str">
        <f>IF($A586="","",SUMIFS(Txn[Sell Proceeds],Txn[Key],$A586))</f>
        <v/>
      </c>
      <c r="H586" s="288" t="str">
        <f>IF($A586="","",IFERROR(INDEX(Prices[Current Price],MATCH($A586,Prices[Key],0)),0))</f>
        <v/>
      </c>
      <c r="I586" s="289" t="str">
        <f>IF($A586="","",IFERROR(INDEX(Prices[FX to SGD],MATCH($A586,Prices[Key],0)),1))</f>
        <v/>
      </c>
      <c r="J586" s="287" t="str">
        <f t="shared" si="89"/>
        <v/>
      </c>
      <c r="K586" s="287" t="str">
        <f t="shared" si="90"/>
        <v/>
      </c>
      <c r="L586" s="287" t="str">
        <f t="shared" si="91"/>
        <v/>
      </c>
      <c r="M586" s="290" t="str">
        <f t="shared" si="92"/>
        <v/>
      </c>
      <c r="N586" t="str">
        <f>IF($A586="","",IFERROR(INDEX(Prices[Category],MATCH($A586,Prices[Key],0)),"Uncategorized"))</f>
        <v/>
      </c>
      <c r="O586" s="291" t="str">
        <f t="shared" si="93"/>
        <v/>
      </c>
      <c r="P586" s="291" t="str">
        <f t="shared" si="94"/>
        <v/>
      </c>
    </row>
    <row r="587" spans="1:16" ht="15" customHeight="1" x14ac:dyDescent="0.2">
      <c r="A587" s="243" t="str">
        <f>IFERROR(INDEX('All Ticker P&amp;L'!$A$2:$A$1001,MATCH(ROWS($A$2:A587),'All Ticker P&amp;L'!$N$2:$N$1001,0)),"")</f>
        <v/>
      </c>
      <c r="B587" s="243" t="str">
        <f t="shared" si="86"/>
        <v/>
      </c>
      <c r="C587" s="243" t="str">
        <f t="shared" si="87"/>
        <v/>
      </c>
      <c r="D587" s="243" t="str">
        <f t="shared" si="88"/>
        <v/>
      </c>
      <c r="E587" s="265" t="str">
        <f>IF($A587="","",SUMIFS(Txn[Signed Units],Txn[Key],$A587))</f>
        <v/>
      </c>
      <c r="F587" s="287" t="str">
        <f>IF($A587="","",SUMIFS(Txn[Buy Cost],Txn[Key],$A587))</f>
        <v/>
      </c>
      <c r="G587" s="287" t="str">
        <f>IF($A587="","",SUMIFS(Txn[Sell Proceeds],Txn[Key],$A587))</f>
        <v/>
      </c>
      <c r="H587" s="288" t="str">
        <f>IF($A587="","",IFERROR(INDEX(Prices[Current Price],MATCH($A587,Prices[Key],0)),0))</f>
        <v/>
      </c>
      <c r="I587" s="289" t="str">
        <f>IF($A587="","",IFERROR(INDEX(Prices[FX to SGD],MATCH($A587,Prices[Key],0)),1))</f>
        <v/>
      </c>
      <c r="J587" s="287" t="str">
        <f t="shared" si="89"/>
        <v/>
      </c>
      <c r="K587" s="287" t="str">
        <f t="shared" si="90"/>
        <v/>
      </c>
      <c r="L587" s="287" t="str">
        <f t="shared" si="91"/>
        <v/>
      </c>
      <c r="M587" s="290" t="str">
        <f t="shared" si="92"/>
        <v/>
      </c>
      <c r="N587" t="str">
        <f>IF($A587="","",IFERROR(INDEX(Prices[Category],MATCH($A587,Prices[Key],0)),"Uncategorized"))</f>
        <v/>
      </c>
      <c r="O587" s="291" t="str">
        <f t="shared" si="93"/>
        <v/>
      </c>
      <c r="P587" s="291" t="str">
        <f t="shared" si="94"/>
        <v/>
      </c>
    </row>
    <row r="588" spans="1:16" ht="15" customHeight="1" x14ac:dyDescent="0.2">
      <c r="A588" s="243" t="str">
        <f>IFERROR(INDEX('All Ticker P&amp;L'!$A$2:$A$1001,MATCH(ROWS($A$2:A588),'All Ticker P&amp;L'!$N$2:$N$1001,0)),"")</f>
        <v/>
      </c>
      <c r="B588" s="243" t="str">
        <f t="shared" si="86"/>
        <v/>
      </c>
      <c r="C588" s="243" t="str">
        <f t="shared" si="87"/>
        <v/>
      </c>
      <c r="D588" s="243" t="str">
        <f t="shared" si="88"/>
        <v/>
      </c>
      <c r="E588" s="265" t="str">
        <f>IF($A588="","",SUMIFS(Txn[Signed Units],Txn[Key],$A588))</f>
        <v/>
      </c>
      <c r="F588" s="287" t="str">
        <f>IF($A588="","",SUMIFS(Txn[Buy Cost],Txn[Key],$A588))</f>
        <v/>
      </c>
      <c r="G588" s="287" t="str">
        <f>IF($A588="","",SUMIFS(Txn[Sell Proceeds],Txn[Key],$A588))</f>
        <v/>
      </c>
      <c r="H588" s="288" t="str">
        <f>IF($A588="","",IFERROR(INDEX(Prices[Current Price],MATCH($A588,Prices[Key],0)),0))</f>
        <v/>
      </c>
      <c r="I588" s="289" t="str">
        <f>IF($A588="","",IFERROR(INDEX(Prices[FX to SGD],MATCH($A588,Prices[Key],0)),1))</f>
        <v/>
      </c>
      <c r="J588" s="287" t="str">
        <f t="shared" si="89"/>
        <v/>
      </c>
      <c r="K588" s="287" t="str">
        <f t="shared" si="90"/>
        <v/>
      </c>
      <c r="L588" s="287" t="str">
        <f t="shared" si="91"/>
        <v/>
      </c>
      <c r="M588" s="290" t="str">
        <f t="shared" si="92"/>
        <v/>
      </c>
      <c r="N588" t="str">
        <f>IF($A588="","",IFERROR(INDEX(Prices[Category],MATCH($A588,Prices[Key],0)),"Uncategorized"))</f>
        <v/>
      </c>
      <c r="O588" s="291" t="str">
        <f t="shared" si="93"/>
        <v/>
      </c>
      <c r="P588" s="291" t="str">
        <f t="shared" si="94"/>
        <v/>
      </c>
    </row>
    <row r="589" spans="1:16" ht="15" customHeight="1" x14ac:dyDescent="0.2">
      <c r="A589" s="243" t="str">
        <f>IFERROR(INDEX('All Ticker P&amp;L'!$A$2:$A$1001,MATCH(ROWS($A$2:A589),'All Ticker P&amp;L'!$N$2:$N$1001,0)),"")</f>
        <v/>
      </c>
      <c r="B589" s="243" t="str">
        <f t="shared" si="86"/>
        <v/>
      </c>
      <c r="C589" s="243" t="str">
        <f t="shared" si="87"/>
        <v/>
      </c>
      <c r="D589" s="243" t="str">
        <f t="shared" si="88"/>
        <v/>
      </c>
      <c r="E589" s="265" t="str">
        <f>IF($A589="","",SUMIFS(Txn[Signed Units],Txn[Key],$A589))</f>
        <v/>
      </c>
      <c r="F589" s="287" t="str">
        <f>IF($A589="","",SUMIFS(Txn[Buy Cost],Txn[Key],$A589))</f>
        <v/>
      </c>
      <c r="G589" s="287" t="str">
        <f>IF($A589="","",SUMIFS(Txn[Sell Proceeds],Txn[Key],$A589))</f>
        <v/>
      </c>
      <c r="H589" s="288" t="str">
        <f>IF($A589="","",IFERROR(INDEX(Prices[Current Price],MATCH($A589,Prices[Key],0)),0))</f>
        <v/>
      </c>
      <c r="I589" s="289" t="str">
        <f>IF($A589="","",IFERROR(INDEX(Prices[FX to SGD],MATCH($A589,Prices[Key],0)),1))</f>
        <v/>
      </c>
      <c r="J589" s="287" t="str">
        <f t="shared" si="89"/>
        <v/>
      </c>
      <c r="K589" s="287" t="str">
        <f t="shared" si="90"/>
        <v/>
      </c>
      <c r="L589" s="287" t="str">
        <f t="shared" si="91"/>
        <v/>
      </c>
      <c r="M589" s="290" t="str">
        <f t="shared" si="92"/>
        <v/>
      </c>
      <c r="N589" t="str">
        <f>IF($A589="","",IFERROR(INDEX(Prices[Category],MATCH($A589,Prices[Key],0)),"Uncategorized"))</f>
        <v/>
      </c>
      <c r="O589" s="291" t="str">
        <f t="shared" si="93"/>
        <v/>
      </c>
      <c r="P589" s="291" t="str">
        <f t="shared" si="94"/>
        <v/>
      </c>
    </row>
    <row r="590" spans="1:16" ht="15" customHeight="1" x14ac:dyDescent="0.2">
      <c r="A590" s="243" t="str">
        <f>IFERROR(INDEX('All Ticker P&amp;L'!$A$2:$A$1001,MATCH(ROWS($A$2:A590),'All Ticker P&amp;L'!$N$2:$N$1001,0)),"")</f>
        <v/>
      </c>
      <c r="B590" s="243" t="str">
        <f t="shared" si="86"/>
        <v/>
      </c>
      <c r="C590" s="243" t="str">
        <f t="shared" si="87"/>
        <v/>
      </c>
      <c r="D590" s="243" t="str">
        <f t="shared" si="88"/>
        <v/>
      </c>
      <c r="E590" s="265" t="str">
        <f>IF($A590="","",SUMIFS(Txn[Signed Units],Txn[Key],$A590))</f>
        <v/>
      </c>
      <c r="F590" s="287" t="str">
        <f>IF($A590="","",SUMIFS(Txn[Buy Cost],Txn[Key],$A590))</f>
        <v/>
      </c>
      <c r="G590" s="287" t="str">
        <f>IF($A590="","",SUMIFS(Txn[Sell Proceeds],Txn[Key],$A590))</f>
        <v/>
      </c>
      <c r="H590" s="288" t="str">
        <f>IF($A590="","",IFERROR(INDEX(Prices[Current Price],MATCH($A590,Prices[Key],0)),0))</f>
        <v/>
      </c>
      <c r="I590" s="289" t="str">
        <f>IF($A590="","",IFERROR(INDEX(Prices[FX to SGD],MATCH($A590,Prices[Key],0)),1))</f>
        <v/>
      </c>
      <c r="J590" s="287" t="str">
        <f t="shared" si="89"/>
        <v/>
      </c>
      <c r="K590" s="287" t="str">
        <f t="shared" si="90"/>
        <v/>
      </c>
      <c r="L590" s="287" t="str">
        <f t="shared" si="91"/>
        <v/>
      </c>
      <c r="M590" s="290" t="str">
        <f t="shared" si="92"/>
        <v/>
      </c>
      <c r="N590" t="str">
        <f>IF($A590="","",IFERROR(INDEX(Prices[Category],MATCH($A590,Prices[Key],0)),"Uncategorized"))</f>
        <v/>
      </c>
      <c r="O590" s="291" t="str">
        <f t="shared" si="93"/>
        <v/>
      </c>
      <c r="P590" s="291" t="str">
        <f t="shared" si="94"/>
        <v/>
      </c>
    </row>
    <row r="591" spans="1:16" ht="15" customHeight="1" x14ac:dyDescent="0.2">
      <c r="A591" s="243" t="str">
        <f>IFERROR(INDEX('All Ticker P&amp;L'!$A$2:$A$1001,MATCH(ROWS($A$2:A591),'All Ticker P&amp;L'!$N$2:$N$1001,0)),"")</f>
        <v/>
      </c>
      <c r="B591" s="243" t="str">
        <f t="shared" si="86"/>
        <v/>
      </c>
      <c r="C591" s="243" t="str">
        <f t="shared" si="87"/>
        <v/>
      </c>
      <c r="D591" s="243" t="str">
        <f t="shared" si="88"/>
        <v/>
      </c>
      <c r="E591" s="265" t="str">
        <f>IF($A591="","",SUMIFS(Txn[Signed Units],Txn[Key],$A591))</f>
        <v/>
      </c>
      <c r="F591" s="287" t="str">
        <f>IF($A591="","",SUMIFS(Txn[Buy Cost],Txn[Key],$A591))</f>
        <v/>
      </c>
      <c r="G591" s="287" t="str">
        <f>IF($A591="","",SUMIFS(Txn[Sell Proceeds],Txn[Key],$A591))</f>
        <v/>
      </c>
      <c r="H591" s="288" t="str">
        <f>IF($A591="","",IFERROR(INDEX(Prices[Current Price],MATCH($A591,Prices[Key],0)),0))</f>
        <v/>
      </c>
      <c r="I591" s="289" t="str">
        <f>IF($A591="","",IFERROR(INDEX(Prices[FX to SGD],MATCH($A591,Prices[Key],0)),1))</f>
        <v/>
      </c>
      <c r="J591" s="287" t="str">
        <f t="shared" si="89"/>
        <v/>
      </c>
      <c r="K591" s="287" t="str">
        <f t="shared" si="90"/>
        <v/>
      </c>
      <c r="L591" s="287" t="str">
        <f t="shared" si="91"/>
        <v/>
      </c>
      <c r="M591" s="290" t="str">
        <f t="shared" si="92"/>
        <v/>
      </c>
      <c r="N591" t="str">
        <f>IF($A591="","",IFERROR(INDEX(Prices[Category],MATCH($A591,Prices[Key],0)),"Uncategorized"))</f>
        <v/>
      </c>
      <c r="O591" s="291" t="str">
        <f t="shared" si="93"/>
        <v/>
      </c>
      <c r="P591" s="291" t="str">
        <f t="shared" si="94"/>
        <v/>
      </c>
    </row>
    <row r="592" spans="1:16" ht="15" customHeight="1" x14ac:dyDescent="0.2">
      <c r="A592" s="243" t="str">
        <f>IFERROR(INDEX('All Ticker P&amp;L'!$A$2:$A$1001,MATCH(ROWS($A$2:A592),'All Ticker P&amp;L'!$N$2:$N$1001,0)),"")</f>
        <v/>
      </c>
      <c r="B592" s="243" t="str">
        <f t="shared" si="86"/>
        <v/>
      </c>
      <c r="C592" s="243" t="str">
        <f t="shared" si="87"/>
        <v/>
      </c>
      <c r="D592" s="243" t="str">
        <f t="shared" si="88"/>
        <v/>
      </c>
      <c r="E592" s="265" t="str">
        <f>IF($A592="","",SUMIFS(Txn[Signed Units],Txn[Key],$A592))</f>
        <v/>
      </c>
      <c r="F592" s="287" t="str">
        <f>IF($A592="","",SUMIFS(Txn[Buy Cost],Txn[Key],$A592))</f>
        <v/>
      </c>
      <c r="G592" s="287" t="str">
        <f>IF($A592="","",SUMIFS(Txn[Sell Proceeds],Txn[Key],$A592))</f>
        <v/>
      </c>
      <c r="H592" s="288" t="str">
        <f>IF($A592="","",IFERROR(INDEX(Prices[Current Price],MATCH($A592,Prices[Key],0)),0))</f>
        <v/>
      </c>
      <c r="I592" s="289" t="str">
        <f>IF($A592="","",IFERROR(INDEX(Prices[FX to SGD],MATCH($A592,Prices[Key],0)),1))</f>
        <v/>
      </c>
      <c r="J592" s="287" t="str">
        <f t="shared" si="89"/>
        <v/>
      </c>
      <c r="K592" s="287" t="str">
        <f t="shared" si="90"/>
        <v/>
      </c>
      <c r="L592" s="287" t="str">
        <f t="shared" si="91"/>
        <v/>
      </c>
      <c r="M592" s="290" t="str">
        <f t="shared" si="92"/>
        <v/>
      </c>
      <c r="N592" t="str">
        <f>IF($A592="","",IFERROR(INDEX(Prices[Category],MATCH($A592,Prices[Key],0)),"Uncategorized"))</f>
        <v/>
      </c>
      <c r="O592" s="291" t="str">
        <f t="shared" si="93"/>
        <v/>
      </c>
      <c r="P592" s="291" t="str">
        <f t="shared" si="94"/>
        <v/>
      </c>
    </row>
    <row r="593" spans="1:16" ht="15" customHeight="1" x14ac:dyDescent="0.2">
      <c r="A593" s="243" t="str">
        <f>IFERROR(INDEX('All Ticker P&amp;L'!$A$2:$A$1001,MATCH(ROWS($A$2:A593),'All Ticker P&amp;L'!$N$2:$N$1001,0)),"")</f>
        <v/>
      </c>
      <c r="B593" s="243" t="str">
        <f t="shared" si="86"/>
        <v/>
      </c>
      <c r="C593" s="243" t="str">
        <f t="shared" si="87"/>
        <v/>
      </c>
      <c r="D593" s="243" t="str">
        <f t="shared" si="88"/>
        <v/>
      </c>
      <c r="E593" s="265" t="str">
        <f>IF($A593="","",SUMIFS(Txn[Signed Units],Txn[Key],$A593))</f>
        <v/>
      </c>
      <c r="F593" s="287" t="str">
        <f>IF($A593="","",SUMIFS(Txn[Buy Cost],Txn[Key],$A593))</f>
        <v/>
      </c>
      <c r="G593" s="287" t="str">
        <f>IF($A593="","",SUMIFS(Txn[Sell Proceeds],Txn[Key],$A593))</f>
        <v/>
      </c>
      <c r="H593" s="288" t="str">
        <f>IF($A593="","",IFERROR(INDEX(Prices[Current Price],MATCH($A593,Prices[Key],0)),0))</f>
        <v/>
      </c>
      <c r="I593" s="289" t="str">
        <f>IF($A593="","",IFERROR(INDEX(Prices[FX to SGD],MATCH($A593,Prices[Key],0)),1))</f>
        <v/>
      </c>
      <c r="J593" s="287" t="str">
        <f t="shared" si="89"/>
        <v/>
      </c>
      <c r="K593" s="287" t="str">
        <f t="shared" si="90"/>
        <v/>
      </c>
      <c r="L593" s="287" t="str">
        <f t="shared" si="91"/>
        <v/>
      </c>
      <c r="M593" s="290" t="str">
        <f t="shared" si="92"/>
        <v/>
      </c>
      <c r="N593" t="str">
        <f>IF($A593="","",IFERROR(INDEX(Prices[Category],MATCH($A593,Prices[Key],0)),"Uncategorized"))</f>
        <v/>
      </c>
      <c r="O593" s="291" t="str">
        <f t="shared" si="93"/>
        <v/>
      </c>
      <c r="P593" s="291" t="str">
        <f t="shared" si="94"/>
        <v/>
      </c>
    </row>
    <row r="594" spans="1:16" ht="15" customHeight="1" x14ac:dyDescent="0.2">
      <c r="A594" s="243" t="str">
        <f>IFERROR(INDEX('All Ticker P&amp;L'!$A$2:$A$1001,MATCH(ROWS($A$2:A594),'All Ticker P&amp;L'!$N$2:$N$1001,0)),"")</f>
        <v/>
      </c>
      <c r="B594" s="243" t="str">
        <f t="shared" si="86"/>
        <v/>
      </c>
      <c r="C594" s="243" t="str">
        <f t="shared" si="87"/>
        <v/>
      </c>
      <c r="D594" s="243" t="str">
        <f t="shared" si="88"/>
        <v/>
      </c>
      <c r="E594" s="265" t="str">
        <f>IF($A594="","",SUMIFS(Txn[Signed Units],Txn[Key],$A594))</f>
        <v/>
      </c>
      <c r="F594" s="287" t="str">
        <f>IF($A594="","",SUMIFS(Txn[Buy Cost],Txn[Key],$A594))</f>
        <v/>
      </c>
      <c r="G594" s="287" t="str">
        <f>IF($A594="","",SUMIFS(Txn[Sell Proceeds],Txn[Key],$A594))</f>
        <v/>
      </c>
      <c r="H594" s="288" t="str">
        <f>IF($A594="","",IFERROR(INDEX(Prices[Current Price],MATCH($A594,Prices[Key],0)),0))</f>
        <v/>
      </c>
      <c r="I594" s="289" t="str">
        <f>IF($A594="","",IFERROR(INDEX(Prices[FX to SGD],MATCH($A594,Prices[Key],0)),1))</f>
        <v/>
      </c>
      <c r="J594" s="287" t="str">
        <f t="shared" si="89"/>
        <v/>
      </c>
      <c r="K594" s="287" t="str">
        <f t="shared" si="90"/>
        <v/>
      </c>
      <c r="L594" s="287" t="str">
        <f t="shared" si="91"/>
        <v/>
      </c>
      <c r="M594" s="290" t="str">
        <f t="shared" si="92"/>
        <v/>
      </c>
      <c r="N594" t="str">
        <f>IF($A594="","",IFERROR(INDEX(Prices[Category],MATCH($A594,Prices[Key],0)),"Uncategorized"))</f>
        <v/>
      </c>
      <c r="O594" s="291" t="str">
        <f t="shared" si="93"/>
        <v/>
      </c>
      <c r="P594" s="291" t="str">
        <f t="shared" si="94"/>
        <v/>
      </c>
    </row>
    <row r="595" spans="1:16" ht="15" customHeight="1" x14ac:dyDescent="0.2">
      <c r="A595" s="243" t="str">
        <f>IFERROR(INDEX('All Ticker P&amp;L'!$A$2:$A$1001,MATCH(ROWS($A$2:A595),'All Ticker P&amp;L'!$N$2:$N$1001,0)),"")</f>
        <v/>
      </c>
      <c r="B595" s="243" t="str">
        <f t="shared" si="86"/>
        <v/>
      </c>
      <c r="C595" s="243" t="str">
        <f t="shared" si="87"/>
        <v/>
      </c>
      <c r="D595" s="243" t="str">
        <f t="shared" si="88"/>
        <v/>
      </c>
      <c r="E595" s="265" t="str">
        <f>IF($A595="","",SUMIFS(Txn[Signed Units],Txn[Key],$A595))</f>
        <v/>
      </c>
      <c r="F595" s="287" t="str">
        <f>IF($A595="","",SUMIFS(Txn[Buy Cost],Txn[Key],$A595))</f>
        <v/>
      </c>
      <c r="G595" s="287" t="str">
        <f>IF($A595="","",SUMIFS(Txn[Sell Proceeds],Txn[Key],$A595))</f>
        <v/>
      </c>
      <c r="H595" s="288" t="str">
        <f>IF($A595="","",IFERROR(INDEX(Prices[Current Price],MATCH($A595,Prices[Key],0)),0))</f>
        <v/>
      </c>
      <c r="I595" s="289" t="str">
        <f>IF($A595="","",IFERROR(INDEX(Prices[FX to SGD],MATCH($A595,Prices[Key],0)),1))</f>
        <v/>
      </c>
      <c r="J595" s="287" t="str">
        <f t="shared" si="89"/>
        <v/>
      </c>
      <c r="K595" s="287" t="str">
        <f t="shared" si="90"/>
        <v/>
      </c>
      <c r="L595" s="287" t="str">
        <f t="shared" si="91"/>
        <v/>
      </c>
      <c r="M595" s="290" t="str">
        <f t="shared" si="92"/>
        <v/>
      </c>
      <c r="N595" t="str">
        <f>IF($A595="","",IFERROR(INDEX(Prices[Category],MATCH($A595,Prices[Key],0)),"Uncategorized"))</f>
        <v/>
      </c>
      <c r="O595" s="291" t="str">
        <f t="shared" si="93"/>
        <v/>
      </c>
      <c r="P595" s="291" t="str">
        <f t="shared" si="94"/>
        <v/>
      </c>
    </row>
    <row r="596" spans="1:16" ht="15" customHeight="1" x14ac:dyDescent="0.2">
      <c r="A596" s="243" t="str">
        <f>IFERROR(INDEX('All Ticker P&amp;L'!$A$2:$A$1001,MATCH(ROWS($A$2:A596),'All Ticker P&amp;L'!$N$2:$N$1001,0)),"")</f>
        <v/>
      </c>
      <c r="B596" s="243" t="str">
        <f t="shared" si="86"/>
        <v/>
      </c>
      <c r="C596" s="243" t="str">
        <f t="shared" si="87"/>
        <v/>
      </c>
      <c r="D596" s="243" t="str">
        <f t="shared" si="88"/>
        <v/>
      </c>
      <c r="E596" s="265" t="str">
        <f>IF($A596="","",SUMIFS(Txn[Signed Units],Txn[Key],$A596))</f>
        <v/>
      </c>
      <c r="F596" s="287" t="str">
        <f>IF($A596="","",SUMIFS(Txn[Buy Cost],Txn[Key],$A596))</f>
        <v/>
      </c>
      <c r="G596" s="287" t="str">
        <f>IF($A596="","",SUMIFS(Txn[Sell Proceeds],Txn[Key],$A596))</f>
        <v/>
      </c>
      <c r="H596" s="288" t="str">
        <f>IF($A596="","",IFERROR(INDEX(Prices[Current Price],MATCH($A596,Prices[Key],0)),0))</f>
        <v/>
      </c>
      <c r="I596" s="289" t="str">
        <f>IF($A596="","",IFERROR(INDEX(Prices[FX to SGD],MATCH($A596,Prices[Key],0)),1))</f>
        <v/>
      </c>
      <c r="J596" s="287" t="str">
        <f t="shared" si="89"/>
        <v/>
      </c>
      <c r="K596" s="287" t="str">
        <f t="shared" si="90"/>
        <v/>
      </c>
      <c r="L596" s="287" t="str">
        <f t="shared" si="91"/>
        <v/>
      </c>
      <c r="M596" s="290" t="str">
        <f t="shared" si="92"/>
        <v/>
      </c>
      <c r="N596" t="str">
        <f>IF($A596="","",IFERROR(INDEX(Prices[Category],MATCH($A596,Prices[Key],0)),"Uncategorized"))</f>
        <v/>
      </c>
      <c r="O596" s="291" t="str">
        <f t="shared" si="93"/>
        <v/>
      </c>
      <c r="P596" s="291" t="str">
        <f t="shared" si="94"/>
        <v/>
      </c>
    </row>
    <row r="597" spans="1:16" ht="15" customHeight="1" x14ac:dyDescent="0.2">
      <c r="A597" s="243" t="str">
        <f>IFERROR(INDEX('All Ticker P&amp;L'!$A$2:$A$1001,MATCH(ROWS($A$2:A597),'All Ticker P&amp;L'!$N$2:$N$1001,0)),"")</f>
        <v/>
      </c>
      <c r="B597" s="243" t="str">
        <f t="shared" si="86"/>
        <v/>
      </c>
      <c r="C597" s="243" t="str">
        <f t="shared" si="87"/>
        <v/>
      </c>
      <c r="D597" s="243" t="str">
        <f t="shared" si="88"/>
        <v/>
      </c>
      <c r="E597" s="265" t="str">
        <f>IF($A597="","",SUMIFS(Txn[Signed Units],Txn[Key],$A597))</f>
        <v/>
      </c>
      <c r="F597" s="287" t="str">
        <f>IF($A597="","",SUMIFS(Txn[Buy Cost],Txn[Key],$A597))</f>
        <v/>
      </c>
      <c r="G597" s="287" t="str">
        <f>IF($A597="","",SUMIFS(Txn[Sell Proceeds],Txn[Key],$A597))</f>
        <v/>
      </c>
      <c r="H597" s="288" t="str">
        <f>IF($A597="","",IFERROR(INDEX(Prices[Current Price],MATCH($A597,Prices[Key],0)),0))</f>
        <v/>
      </c>
      <c r="I597" s="289" t="str">
        <f>IF($A597="","",IFERROR(INDEX(Prices[FX to SGD],MATCH($A597,Prices[Key],0)),1))</f>
        <v/>
      </c>
      <c r="J597" s="287" t="str">
        <f t="shared" si="89"/>
        <v/>
      </c>
      <c r="K597" s="287" t="str">
        <f t="shared" si="90"/>
        <v/>
      </c>
      <c r="L597" s="287" t="str">
        <f t="shared" si="91"/>
        <v/>
      </c>
      <c r="M597" s="290" t="str">
        <f t="shared" si="92"/>
        <v/>
      </c>
      <c r="N597" t="str">
        <f>IF($A597="","",IFERROR(INDEX(Prices[Category],MATCH($A597,Prices[Key],0)),"Uncategorized"))</f>
        <v/>
      </c>
      <c r="O597" s="291" t="str">
        <f t="shared" si="93"/>
        <v/>
      </c>
      <c r="P597" s="291" t="str">
        <f t="shared" si="94"/>
        <v/>
      </c>
    </row>
    <row r="598" spans="1:16" ht="15" customHeight="1" x14ac:dyDescent="0.2">
      <c r="A598" s="243" t="str">
        <f>IFERROR(INDEX('All Ticker P&amp;L'!$A$2:$A$1001,MATCH(ROWS($A$2:A598),'All Ticker P&amp;L'!$N$2:$N$1001,0)),"")</f>
        <v/>
      </c>
      <c r="B598" s="243" t="str">
        <f t="shared" si="86"/>
        <v/>
      </c>
      <c r="C598" s="243" t="str">
        <f t="shared" si="87"/>
        <v/>
      </c>
      <c r="D598" s="243" t="str">
        <f t="shared" si="88"/>
        <v/>
      </c>
      <c r="E598" s="265" t="str">
        <f>IF($A598="","",SUMIFS(Txn[Signed Units],Txn[Key],$A598))</f>
        <v/>
      </c>
      <c r="F598" s="287" t="str">
        <f>IF($A598="","",SUMIFS(Txn[Buy Cost],Txn[Key],$A598))</f>
        <v/>
      </c>
      <c r="G598" s="287" t="str">
        <f>IF($A598="","",SUMIFS(Txn[Sell Proceeds],Txn[Key],$A598))</f>
        <v/>
      </c>
      <c r="H598" s="288" t="str">
        <f>IF($A598="","",IFERROR(INDEX(Prices[Current Price],MATCH($A598,Prices[Key],0)),0))</f>
        <v/>
      </c>
      <c r="I598" s="289" t="str">
        <f>IF($A598="","",IFERROR(INDEX(Prices[FX to SGD],MATCH($A598,Prices[Key],0)),1))</f>
        <v/>
      </c>
      <c r="J598" s="287" t="str">
        <f t="shared" si="89"/>
        <v/>
      </c>
      <c r="K598" s="287" t="str">
        <f t="shared" si="90"/>
        <v/>
      </c>
      <c r="L598" s="287" t="str">
        <f t="shared" si="91"/>
        <v/>
      </c>
      <c r="M598" s="290" t="str">
        <f t="shared" si="92"/>
        <v/>
      </c>
      <c r="N598" t="str">
        <f>IF($A598="","",IFERROR(INDEX(Prices[Category],MATCH($A598,Prices[Key],0)),"Uncategorized"))</f>
        <v/>
      </c>
      <c r="O598" s="291" t="str">
        <f t="shared" si="93"/>
        <v/>
      </c>
      <c r="P598" s="291" t="str">
        <f t="shared" si="94"/>
        <v/>
      </c>
    </row>
    <row r="599" spans="1:16" ht="15" customHeight="1" x14ac:dyDescent="0.2">
      <c r="A599" s="243" t="str">
        <f>IFERROR(INDEX('All Ticker P&amp;L'!$A$2:$A$1001,MATCH(ROWS($A$2:A599),'All Ticker P&amp;L'!$N$2:$N$1001,0)),"")</f>
        <v/>
      </c>
      <c r="B599" s="243" t="str">
        <f t="shared" si="86"/>
        <v/>
      </c>
      <c r="C599" s="243" t="str">
        <f t="shared" si="87"/>
        <v/>
      </c>
      <c r="D599" s="243" t="str">
        <f t="shared" si="88"/>
        <v/>
      </c>
      <c r="E599" s="265" t="str">
        <f>IF($A599="","",SUMIFS(Txn[Signed Units],Txn[Key],$A599))</f>
        <v/>
      </c>
      <c r="F599" s="287" t="str">
        <f>IF($A599="","",SUMIFS(Txn[Buy Cost],Txn[Key],$A599))</f>
        <v/>
      </c>
      <c r="G599" s="287" t="str">
        <f>IF($A599="","",SUMIFS(Txn[Sell Proceeds],Txn[Key],$A599))</f>
        <v/>
      </c>
      <c r="H599" s="288" t="str">
        <f>IF($A599="","",IFERROR(INDEX(Prices[Current Price],MATCH($A599,Prices[Key],0)),0))</f>
        <v/>
      </c>
      <c r="I599" s="289" t="str">
        <f>IF($A599="","",IFERROR(INDEX(Prices[FX to SGD],MATCH($A599,Prices[Key],0)),1))</f>
        <v/>
      </c>
      <c r="J599" s="287" t="str">
        <f t="shared" si="89"/>
        <v/>
      </c>
      <c r="K599" s="287" t="str">
        <f t="shared" si="90"/>
        <v/>
      </c>
      <c r="L599" s="287" t="str">
        <f t="shared" si="91"/>
        <v/>
      </c>
      <c r="M599" s="290" t="str">
        <f t="shared" si="92"/>
        <v/>
      </c>
      <c r="N599" t="str">
        <f>IF($A599="","",IFERROR(INDEX(Prices[Category],MATCH($A599,Prices[Key],0)),"Uncategorized"))</f>
        <v/>
      </c>
      <c r="O599" s="291" t="str">
        <f t="shared" si="93"/>
        <v/>
      </c>
      <c r="P599" s="291" t="str">
        <f t="shared" si="94"/>
        <v/>
      </c>
    </row>
    <row r="600" spans="1:16" ht="15" customHeight="1" x14ac:dyDescent="0.2">
      <c r="A600" s="243" t="str">
        <f>IFERROR(INDEX('All Ticker P&amp;L'!$A$2:$A$1001,MATCH(ROWS($A$2:A600),'All Ticker P&amp;L'!$N$2:$N$1001,0)),"")</f>
        <v/>
      </c>
      <c r="B600" s="243" t="str">
        <f t="shared" si="86"/>
        <v/>
      </c>
      <c r="C600" s="243" t="str">
        <f t="shared" si="87"/>
        <v/>
      </c>
      <c r="D600" s="243" t="str">
        <f t="shared" si="88"/>
        <v/>
      </c>
      <c r="E600" s="265" t="str">
        <f>IF($A600="","",SUMIFS(Txn[Signed Units],Txn[Key],$A600))</f>
        <v/>
      </c>
      <c r="F600" s="287" t="str">
        <f>IF($A600="","",SUMIFS(Txn[Buy Cost],Txn[Key],$A600))</f>
        <v/>
      </c>
      <c r="G600" s="287" t="str">
        <f>IF($A600="","",SUMIFS(Txn[Sell Proceeds],Txn[Key],$A600))</f>
        <v/>
      </c>
      <c r="H600" s="288" t="str">
        <f>IF($A600="","",IFERROR(INDEX(Prices[Current Price],MATCH($A600,Prices[Key],0)),0))</f>
        <v/>
      </c>
      <c r="I600" s="289" t="str">
        <f>IF($A600="","",IFERROR(INDEX(Prices[FX to SGD],MATCH($A600,Prices[Key],0)),1))</f>
        <v/>
      </c>
      <c r="J600" s="287" t="str">
        <f t="shared" si="89"/>
        <v/>
      </c>
      <c r="K600" s="287" t="str">
        <f t="shared" si="90"/>
        <v/>
      </c>
      <c r="L600" s="287" t="str">
        <f t="shared" si="91"/>
        <v/>
      </c>
      <c r="M600" s="290" t="str">
        <f t="shared" si="92"/>
        <v/>
      </c>
      <c r="N600" t="str">
        <f>IF($A600="","",IFERROR(INDEX(Prices[Category],MATCH($A600,Prices[Key],0)),"Uncategorized"))</f>
        <v/>
      </c>
      <c r="O600" s="291" t="str">
        <f t="shared" si="93"/>
        <v/>
      </c>
      <c r="P600" s="291" t="str">
        <f t="shared" si="94"/>
        <v/>
      </c>
    </row>
    <row r="601" spans="1:16" ht="15" customHeight="1" x14ac:dyDescent="0.2">
      <c r="A601" s="243" t="str">
        <f>IFERROR(INDEX('All Ticker P&amp;L'!$A$2:$A$1001,MATCH(ROWS($A$2:A601),'All Ticker P&amp;L'!$N$2:$N$1001,0)),"")</f>
        <v/>
      </c>
      <c r="B601" s="243" t="str">
        <f t="shared" si="86"/>
        <v/>
      </c>
      <c r="C601" s="243" t="str">
        <f t="shared" si="87"/>
        <v/>
      </c>
      <c r="D601" s="243" t="str">
        <f t="shared" si="88"/>
        <v/>
      </c>
      <c r="E601" s="265" t="str">
        <f>IF($A601="","",SUMIFS(Txn[Signed Units],Txn[Key],$A601))</f>
        <v/>
      </c>
      <c r="F601" s="287" t="str">
        <f>IF($A601="","",SUMIFS(Txn[Buy Cost],Txn[Key],$A601))</f>
        <v/>
      </c>
      <c r="G601" s="287" t="str">
        <f>IF($A601="","",SUMIFS(Txn[Sell Proceeds],Txn[Key],$A601))</f>
        <v/>
      </c>
      <c r="H601" s="288" t="str">
        <f>IF($A601="","",IFERROR(INDEX(Prices[Current Price],MATCH($A601,Prices[Key],0)),0))</f>
        <v/>
      </c>
      <c r="I601" s="289" t="str">
        <f>IF($A601="","",IFERROR(INDEX(Prices[FX to SGD],MATCH($A601,Prices[Key],0)),1))</f>
        <v/>
      </c>
      <c r="J601" s="287" t="str">
        <f t="shared" si="89"/>
        <v/>
      </c>
      <c r="K601" s="287" t="str">
        <f t="shared" si="90"/>
        <v/>
      </c>
      <c r="L601" s="287" t="str">
        <f t="shared" si="91"/>
        <v/>
      </c>
      <c r="M601" s="290" t="str">
        <f t="shared" si="92"/>
        <v/>
      </c>
      <c r="N601" t="str">
        <f>IF($A601="","",IFERROR(INDEX(Prices[Category],MATCH($A601,Prices[Key],0)),"Uncategorized"))</f>
        <v/>
      </c>
      <c r="O601" s="291" t="str">
        <f t="shared" si="93"/>
        <v/>
      </c>
      <c r="P601" s="291" t="str">
        <f t="shared" si="94"/>
        <v/>
      </c>
    </row>
    <row r="602" spans="1:16" ht="15" customHeight="1" x14ac:dyDescent="0.2">
      <c r="A602" s="243" t="str">
        <f>IFERROR(INDEX('All Ticker P&amp;L'!$A$2:$A$1001,MATCH(ROWS($A$2:A602),'All Ticker P&amp;L'!$N$2:$N$1001,0)),"")</f>
        <v/>
      </c>
      <c r="B602" s="243" t="str">
        <f t="shared" si="86"/>
        <v/>
      </c>
      <c r="C602" s="243" t="str">
        <f t="shared" si="87"/>
        <v/>
      </c>
      <c r="D602" s="243" t="str">
        <f t="shared" si="88"/>
        <v/>
      </c>
      <c r="E602" s="265" t="str">
        <f>IF($A602="","",SUMIFS(Txn[Signed Units],Txn[Key],$A602))</f>
        <v/>
      </c>
      <c r="F602" s="287" t="str">
        <f>IF($A602="","",SUMIFS(Txn[Buy Cost],Txn[Key],$A602))</f>
        <v/>
      </c>
      <c r="G602" s="287" t="str">
        <f>IF($A602="","",SUMIFS(Txn[Sell Proceeds],Txn[Key],$A602))</f>
        <v/>
      </c>
      <c r="H602" s="288" t="str">
        <f>IF($A602="","",IFERROR(INDEX(Prices[Current Price],MATCH($A602,Prices[Key],0)),0))</f>
        <v/>
      </c>
      <c r="I602" s="289" t="str">
        <f>IF($A602="","",IFERROR(INDEX(Prices[FX to SGD],MATCH($A602,Prices[Key],0)),1))</f>
        <v/>
      </c>
      <c r="J602" s="287" t="str">
        <f t="shared" si="89"/>
        <v/>
      </c>
      <c r="K602" s="287" t="str">
        <f t="shared" si="90"/>
        <v/>
      </c>
      <c r="L602" s="287" t="str">
        <f t="shared" si="91"/>
        <v/>
      </c>
      <c r="M602" s="290" t="str">
        <f t="shared" si="92"/>
        <v/>
      </c>
      <c r="N602" t="str">
        <f>IF($A602="","",IFERROR(INDEX(Prices[Category],MATCH($A602,Prices[Key],0)),"Uncategorized"))</f>
        <v/>
      </c>
      <c r="O602" s="291" t="str">
        <f t="shared" si="93"/>
        <v/>
      </c>
      <c r="P602" s="291" t="str">
        <f t="shared" si="94"/>
        <v/>
      </c>
    </row>
    <row r="603" spans="1:16" ht="15" customHeight="1" x14ac:dyDescent="0.2">
      <c r="A603" s="243" t="str">
        <f>IFERROR(INDEX('All Ticker P&amp;L'!$A$2:$A$1001,MATCH(ROWS($A$2:A603),'All Ticker P&amp;L'!$N$2:$N$1001,0)),"")</f>
        <v/>
      </c>
      <c r="B603" s="243" t="str">
        <f t="shared" si="86"/>
        <v/>
      </c>
      <c r="C603" s="243" t="str">
        <f t="shared" si="87"/>
        <v/>
      </c>
      <c r="D603" s="243" t="str">
        <f t="shared" si="88"/>
        <v/>
      </c>
      <c r="E603" s="265" t="str">
        <f>IF($A603="","",SUMIFS(Txn[Signed Units],Txn[Key],$A603))</f>
        <v/>
      </c>
      <c r="F603" s="287" t="str">
        <f>IF($A603="","",SUMIFS(Txn[Buy Cost],Txn[Key],$A603))</f>
        <v/>
      </c>
      <c r="G603" s="287" t="str">
        <f>IF($A603="","",SUMIFS(Txn[Sell Proceeds],Txn[Key],$A603))</f>
        <v/>
      </c>
      <c r="H603" s="288" t="str">
        <f>IF($A603="","",IFERROR(INDEX(Prices[Current Price],MATCH($A603,Prices[Key],0)),0))</f>
        <v/>
      </c>
      <c r="I603" s="289" t="str">
        <f>IF($A603="","",IFERROR(INDEX(Prices[FX to SGD],MATCH($A603,Prices[Key],0)),1))</f>
        <v/>
      </c>
      <c r="J603" s="287" t="str">
        <f t="shared" si="89"/>
        <v/>
      </c>
      <c r="K603" s="287" t="str">
        <f t="shared" si="90"/>
        <v/>
      </c>
      <c r="L603" s="287" t="str">
        <f t="shared" si="91"/>
        <v/>
      </c>
      <c r="M603" s="290" t="str">
        <f t="shared" si="92"/>
        <v/>
      </c>
      <c r="N603" t="str">
        <f>IF($A603="","",IFERROR(INDEX(Prices[Category],MATCH($A603,Prices[Key],0)),"Uncategorized"))</f>
        <v/>
      </c>
      <c r="O603" s="291" t="str">
        <f t="shared" si="93"/>
        <v/>
      </c>
      <c r="P603" s="291" t="str">
        <f t="shared" si="94"/>
        <v/>
      </c>
    </row>
    <row r="604" spans="1:16" ht="15" customHeight="1" x14ac:dyDescent="0.2">
      <c r="A604" s="243" t="str">
        <f>IFERROR(INDEX('All Ticker P&amp;L'!$A$2:$A$1001,MATCH(ROWS($A$2:A604),'All Ticker P&amp;L'!$N$2:$N$1001,0)),"")</f>
        <v/>
      </c>
      <c r="B604" s="243" t="str">
        <f t="shared" si="86"/>
        <v/>
      </c>
      <c r="C604" s="243" t="str">
        <f t="shared" si="87"/>
        <v/>
      </c>
      <c r="D604" s="243" t="str">
        <f t="shared" si="88"/>
        <v/>
      </c>
      <c r="E604" s="265" t="str">
        <f>IF($A604="","",SUMIFS(Txn[Signed Units],Txn[Key],$A604))</f>
        <v/>
      </c>
      <c r="F604" s="287" t="str">
        <f>IF($A604="","",SUMIFS(Txn[Buy Cost],Txn[Key],$A604))</f>
        <v/>
      </c>
      <c r="G604" s="287" t="str">
        <f>IF($A604="","",SUMIFS(Txn[Sell Proceeds],Txn[Key],$A604))</f>
        <v/>
      </c>
      <c r="H604" s="288" t="str">
        <f>IF($A604="","",IFERROR(INDEX(Prices[Current Price],MATCH($A604,Prices[Key],0)),0))</f>
        <v/>
      </c>
      <c r="I604" s="289" t="str">
        <f>IF($A604="","",IFERROR(INDEX(Prices[FX to SGD],MATCH($A604,Prices[Key],0)),1))</f>
        <v/>
      </c>
      <c r="J604" s="287" t="str">
        <f t="shared" si="89"/>
        <v/>
      </c>
      <c r="K604" s="287" t="str">
        <f t="shared" si="90"/>
        <v/>
      </c>
      <c r="L604" s="287" t="str">
        <f t="shared" si="91"/>
        <v/>
      </c>
      <c r="M604" s="290" t="str">
        <f t="shared" si="92"/>
        <v/>
      </c>
      <c r="N604" t="str">
        <f>IF($A604="","",IFERROR(INDEX(Prices[Category],MATCH($A604,Prices[Key],0)),"Uncategorized"))</f>
        <v/>
      </c>
      <c r="O604" s="291" t="str">
        <f t="shared" si="93"/>
        <v/>
      </c>
      <c r="P604" s="291" t="str">
        <f t="shared" si="94"/>
        <v/>
      </c>
    </row>
    <row r="605" spans="1:16" ht="15" customHeight="1" x14ac:dyDescent="0.2">
      <c r="A605" s="243" t="str">
        <f>IFERROR(INDEX('All Ticker P&amp;L'!$A$2:$A$1001,MATCH(ROWS($A$2:A605),'All Ticker P&amp;L'!$N$2:$N$1001,0)),"")</f>
        <v/>
      </c>
      <c r="B605" s="243" t="str">
        <f t="shared" si="86"/>
        <v/>
      </c>
      <c r="C605" s="243" t="str">
        <f t="shared" si="87"/>
        <v/>
      </c>
      <c r="D605" s="243" t="str">
        <f t="shared" si="88"/>
        <v/>
      </c>
      <c r="E605" s="265" t="str">
        <f>IF($A605="","",SUMIFS(Txn[Signed Units],Txn[Key],$A605))</f>
        <v/>
      </c>
      <c r="F605" s="287" t="str">
        <f>IF($A605="","",SUMIFS(Txn[Buy Cost],Txn[Key],$A605))</f>
        <v/>
      </c>
      <c r="G605" s="287" t="str">
        <f>IF($A605="","",SUMIFS(Txn[Sell Proceeds],Txn[Key],$A605))</f>
        <v/>
      </c>
      <c r="H605" s="288" t="str">
        <f>IF($A605="","",IFERROR(INDEX(Prices[Current Price],MATCH($A605,Prices[Key],0)),0))</f>
        <v/>
      </c>
      <c r="I605" s="289" t="str">
        <f>IF($A605="","",IFERROR(INDEX(Prices[FX to SGD],MATCH($A605,Prices[Key],0)),1))</f>
        <v/>
      </c>
      <c r="J605" s="287" t="str">
        <f t="shared" si="89"/>
        <v/>
      </c>
      <c r="K605" s="287" t="str">
        <f t="shared" si="90"/>
        <v/>
      </c>
      <c r="L605" s="287" t="str">
        <f t="shared" si="91"/>
        <v/>
      </c>
      <c r="M605" s="290" t="str">
        <f t="shared" si="92"/>
        <v/>
      </c>
      <c r="N605" t="str">
        <f>IF($A605="","",IFERROR(INDEX(Prices[Category],MATCH($A605,Prices[Key],0)),"Uncategorized"))</f>
        <v/>
      </c>
      <c r="O605" s="291" t="str">
        <f t="shared" si="93"/>
        <v/>
      </c>
      <c r="P605" s="291" t="str">
        <f t="shared" si="94"/>
        <v/>
      </c>
    </row>
    <row r="606" spans="1:16" ht="15" customHeight="1" x14ac:dyDescent="0.2">
      <c r="A606" s="243" t="str">
        <f>IFERROR(INDEX('All Ticker P&amp;L'!$A$2:$A$1001,MATCH(ROWS($A$2:A606),'All Ticker P&amp;L'!$N$2:$N$1001,0)),"")</f>
        <v/>
      </c>
      <c r="B606" s="243" t="str">
        <f t="shared" si="86"/>
        <v/>
      </c>
      <c r="C606" s="243" t="str">
        <f t="shared" si="87"/>
        <v/>
      </c>
      <c r="D606" s="243" t="str">
        <f t="shared" si="88"/>
        <v/>
      </c>
      <c r="E606" s="265" t="str">
        <f>IF($A606="","",SUMIFS(Txn[Signed Units],Txn[Key],$A606))</f>
        <v/>
      </c>
      <c r="F606" s="287" t="str">
        <f>IF($A606="","",SUMIFS(Txn[Buy Cost],Txn[Key],$A606))</f>
        <v/>
      </c>
      <c r="G606" s="287" t="str">
        <f>IF($A606="","",SUMIFS(Txn[Sell Proceeds],Txn[Key],$A606))</f>
        <v/>
      </c>
      <c r="H606" s="288" t="str">
        <f>IF($A606="","",IFERROR(INDEX(Prices[Current Price],MATCH($A606,Prices[Key],0)),0))</f>
        <v/>
      </c>
      <c r="I606" s="289" t="str">
        <f>IF($A606="","",IFERROR(INDEX(Prices[FX to SGD],MATCH($A606,Prices[Key],0)),1))</f>
        <v/>
      </c>
      <c r="J606" s="287" t="str">
        <f t="shared" si="89"/>
        <v/>
      </c>
      <c r="K606" s="287" t="str">
        <f t="shared" si="90"/>
        <v/>
      </c>
      <c r="L606" s="287" t="str">
        <f t="shared" si="91"/>
        <v/>
      </c>
      <c r="M606" s="290" t="str">
        <f t="shared" si="92"/>
        <v/>
      </c>
      <c r="N606" t="str">
        <f>IF($A606="","",IFERROR(INDEX(Prices[Category],MATCH($A606,Prices[Key],0)),"Uncategorized"))</f>
        <v/>
      </c>
      <c r="O606" s="291" t="str">
        <f t="shared" si="93"/>
        <v/>
      </c>
      <c r="P606" s="291" t="str">
        <f t="shared" si="94"/>
        <v/>
      </c>
    </row>
    <row r="607" spans="1:16" ht="15" customHeight="1" x14ac:dyDescent="0.2">
      <c r="A607" s="243" t="str">
        <f>IFERROR(INDEX('All Ticker P&amp;L'!$A$2:$A$1001,MATCH(ROWS($A$2:A607),'All Ticker P&amp;L'!$N$2:$N$1001,0)),"")</f>
        <v/>
      </c>
      <c r="B607" s="243" t="str">
        <f t="shared" si="86"/>
        <v/>
      </c>
      <c r="C607" s="243" t="str">
        <f t="shared" si="87"/>
        <v/>
      </c>
      <c r="D607" s="243" t="str">
        <f t="shared" si="88"/>
        <v/>
      </c>
      <c r="E607" s="265" t="str">
        <f>IF($A607="","",SUMIFS(Txn[Signed Units],Txn[Key],$A607))</f>
        <v/>
      </c>
      <c r="F607" s="287" t="str">
        <f>IF($A607="","",SUMIFS(Txn[Buy Cost],Txn[Key],$A607))</f>
        <v/>
      </c>
      <c r="G607" s="287" t="str">
        <f>IF($A607="","",SUMIFS(Txn[Sell Proceeds],Txn[Key],$A607))</f>
        <v/>
      </c>
      <c r="H607" s="288" t="str">
        <f>IF($A607="","",IFERROR(INDEX(Prices[Current Price],MATCH($A607,Prices[Key],0)),0))</f>
        <v/>
      </c>
      <c r="I607" s="289" t="str">
        <f>IF($A607="","",IFERROR(INDEX(Prices[FX to SGD],MATCH($A607,Prices[Key],0)),1))</f>
        <v/>
      </c>
      <c r="J607" s="287" t="str">
        <f t="shared" si="89"/>
        <v/>
      </c>
      <c r="K607" s="287" t="str">
        <f t="shared" si="90"/>
        <v/>
      </c>
      <c r="L607" s="287" t="str">
        <f t="shared" si="91"/>
        <v/>
      </c>
      <c r="M607" s="290" t="str">
        <f t="shared" si="92"/>
        <v/>
      </c>
      <c r="N607" t="str">
        <f>IF($A607="","",IFERROR(INDEX(Prices[Category],MATCH($A607,Prices[Key],0)),"Uncategorized"))</f>
        <v/>
      </c>
      <c r="O607" s="291" t="str">
        <f t="shared" si="93"/>
        <v/>
      </c>
      <c r="P607" s="291" t="str">
        <f t="shared" si="94"/>
        <v/>
      </c>
    </row>
    <row r="608" spans="1:16" ht="15" customHeight="1" x14ac:dyDescent="0.2">
      <c r="A608" s="243" t="str">
        <f>IFERROR(INDEX('All Ticker P&amp;L'!$A$2:$A$1001,MATCH(ROWS($A$2:A608),'All Ticker P&amp;L'!$N$2:$N$1001,0)),"")</f>
        <v/>
      </c>
      <c r="B608" s="243" t="str">
        <f t="shared" si="86"/>
        <v/>
      </c>
      <c r="C608" s="243" t="str">
        <f t="shared" si="87"/>
        <v/>
      </c>
      <c r="D608" s="243" t="str">
        <f t="shared" si="88"/>
        <v/>
      </c>
      <c r="E608" s="265" t="str">
        <f>IF($A608="","",SUMIFS(Txn[Signed Units],Txn[Key],$A608))</f>
        <v/>
      </c>
      <c r="F608" s="287" t="str">
        <f>IF($A608="","",SUMIFS(Txn[Buy Cost],Txn[Key],$A608))</f>
        <v/>
      </c>
      <c r="G608" s="287" t="str">
        <f>IF($A608="","",SUMIFS(Txn[Sell Proceeds],Txn[Key],$A608))</f>
        <v/>
      </c>
      <c r="H608" s="288" t="str">
        <f>IF($A608="","",IFERROR(INDEX(Prices[Current Price],MATCH($A608,Prices[Key],0)),0))</f>
        <v/>
      </c>
      <c r="I608" s="289" t="str">
        <f>IF($A608="","",IFERROR(INDEX(Prices[FX to SGD],MATCH($A608,Prices[Key],0)),1))</f>
        <v/>
      </c>
      <c r="J608" s="287" t="str">
        <f t="shared" si="89"/>
        <v/>
      </c>
      <c r="K608" s="287" t="str">
        <f t="shared" si="90"/>
        <v/>
      </c>
      <c r="L608" s="287" t="str">
        <f t="shared" si="91"/>
        <v/>
      </c>
      <c r="M608" s="290" t="str">
        <f t="shared" si="92"/>
        <v/>
      </c>
      <c r="N608" t="str">
        <f>IF($A608="","",IFERROR(INDEX(Prices[Category],MATCH($A608,Prices[Key],0)),"Uncategorized"))</f>
        <v/>
      </c>
      <c r="O608" s="291" t="str">
        <f t="shared" si="93"/>
        <v/>
      </c>
      <c r="P608" s="291" t="str">
        <f t="shared" si="94"/>
        <v/>
      </c>
    </row>
    <row r="609" spans="1:16" ht="15" customHeight="1" x14ac:dyDescent="0.2">
      <c r="A609" s="243" t="str">
        <f>IFERROR(INDEX('All Ticker P&amp;L'!$A$2:$A$1001,MATCH(ROWS($A$2:A609),'All Ticker P&amp;L'!$N$2:$N$1001,0)),"")</f>
        <v/>
      </c>
      <c r="B609" s="243" t="str">
        <f t="shared" si="86"/>
        <v/>
      </c>
      <c r="C609" s="243" t="str">
        <f t="shared" si="87"/>
        <v/>
      </c>
      <c r="D609" s="243" t="str">
        <f t="shared" si="88"/>
        <v/>
      </c>
      <c r="E609" s="265" t="str">
        <f>IF($A609="","",SUMIFS(Txn[Signed Units],Txn[Key],$A609))</f>
        <v/>
      </c>
      <c r="F609" s="287" t="str">
        <f>IF($A609="","",SUMIFS(Txn[Buy Cost],Txn[Key],$A609))</f>
        <v/>
      </c>
      <c r="G609" s="287" t="str">
        <f>IF($A609="","",SUMIFS(Txn[Sell Proceeds],Txn[Key],$A609))</f>
        <v/>
      </c>
      <c r="H609" s="288" t="str">
        <f>IF($A609="","",IFERROR(INDEX(Prices[Current Price],MATCH($A609,Prices[Key],0)),0))</f>
        <v/>
      </c>
      <c r="I609" s="289" t="str">
        <f>IF($A609="","",IFERROR(INDEX(Prices[FX to SGD],MATCH($A609,Prices[Key],0)),1))</f>
        <v/>
      </c>
      <c r="J609" s="287" t="str">
        <f t="shared" si="89"/>
        <v/>
      </c>
      <c r="K609" s="287" t="str">
        <f t="shared" si="90"/>
        <v/>
      </c>
      <c r="L609" s="287" t="str">
        <f t="shared" si="91"/>
        <v/>
      </c>
      <c r="M609" s="290" t="str">
        <f t="shared" si="92"/>
        <v/>
      </c>
      <c r="N609" t="str">
        <f>IF($A609="","",IFERROR(INDEX(Prices[Category],MATCH($A609,Prices[Key],0)),"Uncategorized"))</f>
        <v/>
      </c>
      <c r="O609" s="291" t="str">
        <f t="shared" si="93"/>
        <v/>
      </c>
      <c r="P609" s="291" t="str">
        <f t="shared" si="94"/>
        <v/>
      </c>
    </row>
    <row r="610" spans="1:16" ht="15" customHeight="1" x14ac:dyDescent="0.2">
      <c r="A610" s="243" t="str">
        <f>IFERROR(INDEX('All Ticker P&amp;L'!$A$2:$A$1001,MATCH(ROWS($A$2:A610),'All Ticker P&amp;L'!$N$2:$N$1001,0)),"")</f>
        <v/>
      </c>
      <c r="B610" s="243" t="str">
        <f t="shared" si="86"/>
        <v/>
      </c>
      <c r="C610" s="243" t="str">
        <f t="shared" si="87"/>
        <v/>
      </c>
      <c r="D610" s="243" t="str">
        <f t="shared" si="88"/>
        <v/>
      </c>
      <c r="E610" s="265" t="str">
        <f>IF($A610="","",SUMIFS(Txn[Signed Units],Txn[Key],$A610))</f>
        <v/>
      </c>
      <c r="F610" s="287" t="str">
        <f>IF($A610="","",SUMIFS(Txn[Buy Cost],Txn[Key],$A610))</f>
        <v/>
      </c>
      <c r="G610" s="287" t="str">
        <f>IF($A610="","",SUMIFS(Txn[Sell Proceeds],Txn[Key],$A610))</f>
        <v/>
      </c>
      <c r="H610" s="288" t="str">
        <f>IF($A610="","",IFERROR(INDEX(Prices[Current Price],MATCH($A610,Prices[Key],0)),0))</f>
        <v/>
      </c>
      <c r="I610" s="289" t="str">
        <f>IF($A610="","",IFERROR(INDEX(Prices[FX to SGD],MATCH($A610,Prices[Key],0)),1))</f>
        <v/>
      </c>
      <c r="J610" s="287" t="str">
        <f t="shared" si="89"/>
        <v/>
      </c>
      <c r="K610" s="287" t="str">
        <f t="shared" si="90"/>
        <v/>
      </c>
      <c r="L610" s="287" t="str">
        <f t="shared" si="91"/>
        <v/>
      </c>
      <c r="M610" s="290" t="str">
        <f t="shared" si="92"/>
        <v/>
      </c>
      <c r="N610" t="str">
        <f>IF($A610="","",IFERROR(INDEX(Prices[Category],MATCH($A610,Prices[Key],0)),"Uncategorized"))</f>
        <v/>
      </c>
      <c r="O610" s="291" t="str">
        <f t="shared" si="93"/>
        <v/>
      </c>
      <c r="P610" s="291" t="str">
        <f t="shared" si="94"/>
        <v/>
      </c>
    </row>
    <row r="611" spans="1:16" ht="15" customHeight="1" x14ac:dyDescent="0.2">
      <c r="A611" s="243" t="str">
        <f>IFERROR(INDEX('All Ticker P&amp;L'!$A$2:$A$1001,MATCH(ROWS($A$2:A611),'All Ticker P&amp;L'!$N$2:$N$1001,0)),"")</f>
        <v/>
      </c>
      <c r="B611" s="243" t="str">
        <f t="shared" si="86"/>
        <v/>
      </c>
      <c r="C611" s="243" t="str">
        <f t="shared" si="87"/>
        <v/>
      </c>
      <c r="D611" s="243" t="str">
        <f t="shared" si="88"/>
        <v/>
      </c>
      <c r="E611" s="265" t="str">
        <f>IF($A611="","",SUMIFS(Txn[Signed Units],Txn[Key],$A611))</f>
        <v/>
      </c>
      <c r="F611" s="287" t="str">
        <f>IF($A611="","",SUMIFS(Txn[Buy Cost],Txn[Key],$A611))</f>
        <v/>
      </c>
      <c r="G611" s="287" t="str">
        <f>IF($A611="","",SUMIFS(Txn[Sell Proceeds],Txn[Key],$A611))</f>
        <v/>
      </c>
      <c r="H611" s="288" t="str">
        <f>IF($A611="","",IFERROR(INDEX(Prices[Current Price],MATCH($A611,Prices[Key],0)),0))</f>
        <v/>
      </c>
      <c r="I611" s="289" t="str">
        <f>IF($A611="","",IFERROR(INDEX(Prices[FX to SGD],MATCH($A611,Prices[Key],0)),1))</f>
        <v/>
      </c>
      <c r="J611" s="287" t="str">
        <f t="shared" si="89"/>
        <v/>
      </c>
      <c r="K611" s="287" t="str">
        <f t="shared" si="90"/>
        <v/>
      </c>
      <c r="L611" s="287" t="str">
        <f t="shared" si="91"/>
        <v/>
      </c>
      <c r="M611" s="290" t="str">
        <f t="shared" si="92"/>
        <v/>
      </c>
      <c r="N611" t="str">
        <f>IF($A611="","",IFERROR(INDEX(Prices[Category],MATCH($A611,Prices[Key],0)),"Uncategorized"))</f>
        <v/>
      </c>
      <c r="O611" s="291" t="str">
        <f t="shared" si="93"/>
        <v/>
      </c>
      <c r="P611" s="291" t="str">
        <f t="shared" si="94"/>
        <v/>
      </c>
    </row>
    <row r="612" spans="1:16" ht="15" customHeight="1" x14ac:dyDescent="0.2">
      <c r="A612" s="243" t="str">
        <f>IFERROR(INDEX('All Ticker P&amp;L'!$A$2:$A$1001,MATCH(ROWS($A$2:A612),'All Ticker P&amp;L'!$N$2:$N$1001,0)),"")</f>
        <v/>
      </c>
      <c r="B612" s="243" t="str">
        <f t="shared" si="86"/>
        <v/>
      </c>
      <c r="C612" s="243" t="str">
        <f t="shared" si="87"/>
        <v/>
      </c>
      <c r="D612" s="243" t="str">
        <f t="shared" si="88"/>
        <v/>
      </c>
      <c r="E612" s="265" t="str">
        <f>IF($A612="","",SUMIFS(Txn[Signed Units],Txn[Key],$A612))</f>
        <v/>
      </c>
      <c r="F612" s="287" t="str">
        <f>IF($A612="","",SUMIFS(Txn[Buy Cost],Txn[Key],$A612))</f>
        <v/>
      </c>
      <c r="G612" s="287" t="str">
        <f>IF($A612="","",SUMIFS(Txn[Sell Proceeds],Txn[Key],$A612))</f>
        <v/>
      </c>
      <c r="H612" s="288" t="str">
        <f>IF($A612="","",IFERROR(INDEX(Prices[Current Price],MATCH($A612,Prices[Key],0)),0))</f>
        <v/>
      </c>
      <c r="I612" s="289" t="str">
        <f>IF($A612="","",IFERROR(INDEX(Prices[FX to SGD],MATCH($A612,Prices[Key],0)),1))</f>
        <v/>
      </c>
      <c r="J612" s="287" t="str">
        <f t="shared" si="89"/>
        <v/>
      </c>
      <c r="K612" s="287" t="str">
        <f t="shared" si="90"/>
        <v/>
      </c>
      <c r="L612" s="287" t="str">
        <f t="shared" si="91"/>
        <v/>
      </c>
      <c r="M612" s="290" t="str">
        <f t="shared" si="92"/>
        <v/>
      </c>
      <c r="N612" t="str">
        <f>IF($A612="","",IFERROR(INDEX(Prices[Category],MATCH($A612,Prices[Key],0)),"Uncategorized"))</f>
        <v/>
      </c>
      <c r="O612" s="291" t="str">
        <f t="shared" si="93"/>
        <v/>
      </c>
      <c r="P612" s="291" t="str">
        <f t="shared" si="94"/>
        <v/>
      </c>
    </row>
    <row r="613" spans="1:16" ht="15" customHeight="1" x14ac:dyDescent="0.2">
      <c r="A613" s="243" t="str">
        <f>IFERROR(INDEX('All Ticker P&amp;L'!$A$2:$A$1001,MATCH(ROWS($A$2:A613),'All Ticker P&amp;L'!$N$2:$N$1001,0)),"")</f>
        <v/>
      </c>
      <c r="B613" s="243" t="str">
        <f t="shared" si="86"/>
        <v/>
      </c>
      <c r="C613" s="243" t="str">
        <f t="shared" si="87"/>
        <v/>
      </c>
      <c r="D613" s="243" t="str">
        <f t="shared" si="88"/>
        <v/>
      </c>
      <c r="E613" s="265" t="str">
        <f>IF($A613="","",SUMIFS(Txn[Signed Units],Txn[Key],$A613))</f>
        <v/>
      </c>
      <c r="F613" s="287" t="str">
        <f>IF($A613="","",SUMIFS(Txn[Buy Cost],Txn[Key],$A613))</f>
        <v/>
      </c>
      <c r="G613" s="287" t="str">
        <f>IF($A613="","",SUMIFS(Txn[Sell Proceeds],Txn[Key],$A613))</f>
        <v/>
      </c>
      <c r="H613" s="288" t="str">
        <f>IF($A613="","",IFERROR(INDEX(Prices[Current Price],MATCH($A613,Prices[Key],0)),0))</f>
        <v/>
      </c>
      <c r="I613" s="289" t="str">
        <f>IF($A613="","",IFERROR(INDEX(Prices[FX to SGD],MATCH($A613,Prices[Key],0)),1))</f>
        <v/>
      </c>
      <c r="J613" s="287" t="str">
        <f t="shared" si="89"/>
        <v/>
      </c>
      <c r="K613" s="287" t="str">
        <f t="shared" si="90"/>
        <v/>
      </c>
      <c r="L613" s="287" t="str">
        <f t="shared" si="91"/>
        <v/>
      </c>
      <c r="M613" s="290" t="str">
        <f t="shared" si="92"/>
        <v/>
      </c>
      <c r="N613" t="str">
        <f>IF($A613="","",IFERROR(INDEX(Prices[Category],MATCH($A613,Prices[Key],0)),"Uncategorized"))</f>
        <v/>
      </c>
      <c r="O613" s="291" t="str">
        <f t="shared" si="93"/>
        <v/>
      </c>
      <c r="P613" s="291" t="str">
        <f t="shared" si="94"/>
        <v/>
      </c>
    </row>
    <row r="614" spans="1:16" ht="15" customHeight="1" x14ac:dyDescent="0.2">
      <c r="A614" s="243" t="str">
        <f>IFERROR(INDEX('All Ticker P&amp;L'!$A$2:$A$1001,MATCH(ROWS($A$2:A614),'All Ticker P&amp;L'!$N$2:$N$1001,0)),"")</f>
        <v/>
      </c>
      <c r="B614" s="243" t="str">
        <f t="shared" si="86"/>
        <v/>
      </c>
      <c r="C614" s="243" t="str">
        <f t="shared" si="87"/>
        <v/>
      </c>
      <c r="D614" s="243" t="str">
        <f t="shared" si="88"/>
        <v/>
      </c>
      <c r="E614" s="265" t="str">
        <f>IF($A614="","",SUMIFS(Txn[Signed Units],Txn[Key],$A614))</f>
        <v/>
      </c>
      <c r="F614" s="287" t="str">
        <f>IF($A614="","",SUMIFS(Txn[Buy Cost],Txn[Key],$A614))</f>
        <v/>
      </c>
      <c r="G614" s="287" t="str">
        <f>IF($A614="","",SUMIFS(Txn[Sell Proceeds],Txn[Key],$A614))</f>
        <v/>
      </c>
      <c r="H614" s="288" t="str">
        <f>IF($A614="","",IFERROR(INDEX(Prices[Current Price],MATCH($A614,Prices[Key],0)),0))</f>
        <v/>
      </c>
      <c r="I614" s="289" t="str">
        <f>IF($A614="","",IFERROR(INDEX(Prices[FX to SGD],MATCH($A614,Prices[Key],0)),1))</f>
        <v/>
      </c>
      <c r="J614" s="287" t="str">
        <f t="shared" si="89"/>
        <v/>
      </c>
      <c r="K614" s="287" t="str">
        <f t="shared" si="90"/>
        <v/>
      </c>
      <c r="L614" s="287" t="str">
        <f t="shared" si="91"/>
        <v/>
      </c>
      <c r="M614" s="290" t="str">
        <f t="shared" si="92"/>
        <v/>
      </c>
      <c r="N614" t="str">
        <f>IF($A614="","",IFERROR(INDEX(Prices[Category],MATCH($A614,Prices[Key],0)),"Uncategorized"))</f>
        <v/>
      </c>
      <c r="O614" s="291" t="str">
        <f t="shared" si="93"/>
        <v/>
      </c>
      <c r="P614" s="291" t="str">
        <f t="shared" si="94"/>
        <v/>
      </c>
    </row>
    <row r="615" spans="1:16" ht="15" customHeight="1" x14ac:dyDescent="0.2">
      <c r="A615" s="243" t="str">
        <f>IFERROR(INDEX('All Ticker P&amp;L'!$A$2:$A$1001,MATCH(ROWS($A$2:A615),'All Ticker P&amp;L'!$N$2:$N$1001,0)),"")</f>
        <v/>
      </c>
      <c r="B615" s="243" t="str">
        <f t="shared" si="86"/>
        <v/>
      </c>
      <c r="C615" s="243" t="str">
        <f t="shared" si="87"/>
        <v/>
      </c>
      <c r="D615" s="243" t="str">
        <f t="shared" si="88"/>
        <v/>
      </c>
      <c r="E615" s="265" t="str">
        <f>IF($A615="","",SUMIFS(Txn[Signed Units],Txn[Key],$A615))</f>
        <v/>
      </c>
      <c r="F615" s="287" t="str">
        <f>IF($A615="","",SUMIFS(Txn[Buy Cost],Txn[Key],$A615))</f>
        <v/>
      </c>
      <c r="G615" s="287" t="str">
        <f>IF($A615="","",SUMIFS(Txn[Sell Proceeds],Txn[Key],$A615))</f>
        <v/>
      </c>
      <c r="H615" s="288" t="str">
        <f>IF($A615="","",IFERROR(INDEX(Prices[Current Price],MATCH($A615,Prices[Key],0)),0))</f>
        <v/>
      </c>
      <c r="I615" s="289" t="str">
        <f>IF($A615="","",IFERROR(INDEX(Prices[FX to SGD],MATCH($A615,Prices[Key],0)),1))</f>
        <v/>
      </c>
      <c r="J615" s="287" t="str">
        <f t="shared" si="89"/>
        <v/>
      </c>
      <c r="K615" s="287" t="str">
        <f t="shared" si="90"/>
        <v/>
      </c>
      <c r="L615" s="287" t="str">
        <f t="shared" si="91"/>
        <v/>
      </c>
      <c r="M615" s="290" t="str">
        <f t="shared" si="92"/>
        <v/>
      </c>
      <c r="N615" t="str">
        <f>IF($A615="","",IFERROR(INDEX(Prices[Category],MATCH($A615,Prices[Key],0)),"Uncategorized"))</f>
        <v/>
      </c>
      <c r="O615" s="291" t="str">
        <f t="shared" si="93"/>
        <v/>
      </c>
      <c r="P615" s="291" t="str">
        <f t="shared" si="94"/>
        <v/>
      </c>
    </row>
    <row r="616" spans="1:16" ht="15" customHeight="1" x14ac:dyDescent="0.2">
      <c r="A616" s="243" t="str">
        <f>IFERROR(INDEX('All Ticker P&amp;L'!$A$2:$A$1001,MATCH(ROWS($A$2:A616),'All Ticker P&amp;L'!$N$2:$N$1001,0)),"")</f>
        <v/>
      </c>
      <c r="B616" s="243" t="str">
        <f t="shared" si="86"/>
        <v/>
      </c>
      <c r="C616" s="243" t="str">
        <f t="shared" si="87"/>
        <v/>
      </c>
      <c r="D616" s="243" t="str">
        <f t="shared" si="88"/>
        <v/>
      </c>
      <c r="E616" s="265" t="str">
        <f>IF($A616="","",SUMIFS(Txn[Signed Units],Txn[Key],$A616))</f>
        <v/>
      </c>
      <c r="F616" s="287" t="str">
        <f>IF($A616="","",SUMIFS(Txn[Buy Cost],Txn[Key],$A616))</f>
        <v/>
      </c>
      <c r="G616" s="287" t="str">
        <f>IF($A616="","",SUMIFS(Txn[Sell Proceeds],Txn[Key],$A616))</f>
        <v/>
      </c>
      <c r="H616" s="288" t="str">
        <f>IF($A616="","",IFERROR(INDEX(Prices[Current Price],MATCH($A616,Prices[Key],0)),0))</f>
        <v/>
      </c>
      <c r="I616" s="289" t="str">
        <f>IF($A616="","",IFERROR(INDEX(Prices[FX to SGD],MATCH($A616,Prices[Key],0)),1))</f>
        <v/>
      </c>
      <c r="J616" s="287" t="str">
        <f t="shared" si="89"/>
        <v/>
      </c>
      <c r="K616" s="287" t="str">
        <f t="shared" si="90"/>
        <v/>
      </c>
      <c r="L616" s="287" t="str">
        <f t="shared" si="91"/>
        <v/>
      </c>
      <c r="M616" s="290" t="str">
        <f t="shared" si="92"/>
        <v/>
      </c>
      <c r="N616" t="str">
        <f>IF($A616="","",IFERROR(INDEX(Prices[Category],MATCH($A616,Prices[Key],0)),"Uncategorized"))</f>
        <v/>
      </c>
      <c r="O616" s="291" t="str">
        <f t="shared" si="93"/>
        <v/>
      </c>
      <c r="P616" s="291" t="str">
        <f t="shared" si="94"/>
        <v/>
      </c>
    </row>
    <row r="617" spans="1:16" ht="15" customHeight="1" x14ac:dyDescent="0.2">
      <c r="A617" s="243" t="str">
        <f>IFERROR(INDEX('All Ticker P&amp;L'!$A$2:$A$1001,MATCH(ROWS($A$2:A617),'All Ticker P&amp;L'!$N$2:$N$1001,0)),"")</f>
        <v/>
      </c>
      <c r="B617" s="243" t="str">
        <f t="shared" si="86"/>
        <v/>
      </c>
      <c r="C617" s="243" t="str">
        <f t="shared" si="87"/>
        <v/>
      </c>
      <c r="D617" s="243" t="str">
        <f t="shared" si="88"/>
        <v/>
      </c>
      <c r="E617" s="265" t="str">
        <f>IF($A617="","",SUMIFS(Txn[Signed Units],Txn[Key],$A617))</f>
        <v/>
      </c>
      <c r="F617" s="287" t="str">
        <f>IF($A617="","",SUMIFS(Txn[Buy Cost],Txn[Key],$A617))</f>
        <v/>
      </c>
      <c r="G617" s="287" t="str">
        <f>IF($A617="","",SUMIFS(Txn[Sell Proceeds],Txn[Key],$A617))</f>
        <v/>
      </c>
      <c r="H617" s="288" t="str">
        <f>IF($A617="","",IFERROR(INDEX(Prices[Current Price],MATCH($A617,Prices[Key],0)),0))</f>
        <v/>
      </c>
      <c r="I617" s="289" t="str">
        <f>IF($A617="","",IFERROR(INDEX(Prices[FX to SGD],MATCH($A617,Prices[Key],0)),1))</f>
        <v/>
      </c>
      <c r="J617" s="287" t="str">
        <f t="shared" si="89"/>
        <v/>
      </c>
      <c r="K617" s="287" t="str">
        <f t="shared" si="90"/>
        <v/>
      </c>
      <c r="L617" s="287" t="str">
        <f t="shared" si="91"/>
        <v/>
      </c>
      <c r="M617" s="290" t="str">
        <f t="shared" si="92"/>
        <v/>
      </c>
      <c r="N617" t="str">
        <f>IF($A617="","",IFERROR(INDEX(Prices[Category],MATCH($A617,Prices[Key],0)),"Uncategorized"))</f>
        <v/>
      </c>
      <c r="O617" s="291" t="str">
        <f t="shared" si="93"/>
        <v/>
      </c>
      <c r="P617" s="291" t="str">
        <f t="shared" si="94"/>
        <v/>
      </c>
    </row>
    <row r="618" spans="1:16" ht="15" customHeight="1" x14ac:dyDescent="0.2">
      <c r="A618" s="243" t="str">
        <f>IFERROR(INDEX('All Ticker P&amp;L'!$A$2:$A$1001,MATCH(ROWS($A$2:A618),'All Ticker P&amp;L'!$N$2:$N$1001,0)),"")</f>
        <v/>
      </c>
      <c r="B618" s="243" t="str">
        <f t="shared" si="86"/>
        <v/>
      </c>
      <c r="C618" s="243" t="str">
        <f t="shared" si="87"/>
        <v/>
      </c>
      <c r="D618" s="243" t="str">
        <f t="shared" si="88"/>
        <v/>
      </c>
      <c r="E618" s="265" t="str">
        <f>IF($A618="","",SUMIFS(Txn[Signed Units],Txn[Key],$A618))</f>
        <v/>
      </c>
      <c r="F618" s="287" t="str">
        <f>IF($A618="","",SUMIFS(Txn[Buy Cost],Txn[Key],$A618))</f>
        <v/>
      </c>
      <c r="G618" s="287" t="str">
        <f>IF($A618="","",SUMIFS(Txn[Sell Proceeds],Txn[Key],$A618))</f>
        <v/>
      </c>
      <c r="H618" s="288" t="str">
        <f>IF($A618="","",IFERROR(INDEX(Prices[Current Price],MATCH($A618,Prices[Key],0)),0))</f>
        <v/>
      </c>
      <c r="I618" s="289" t="str">
        <f>IF($A618="","",IFERROR(INDEX(Prices[FX to SGD],MATCH($A618,Prices[Key],0)),1))</f>
        <v/>
      </c>
      <c r="J618" s="287" t="str">
        <f t="shared" si="89"/>
        <v/>
      </c>
      <c r="K618" s="287" t="str">
        <f t="shared" si="90"/>
        <v/>
      </c>
      <c r="L618" s="287" t="str">
        <f t="shared" si="91"/>
        <v/>
      </c>
      <c r="M618" s="290" t="str">
        <f t="shared" si="92"/>
        <v/>
      </c>
      <c r="N618" t="str">
        <f>IF($A618="","",IFERROR(INDEX(Prices[Category],MATCH($A618,Prices[Key],0)),"Uncategorized"))</f>
        <v/>
      </c>
      <c r="O618" s="291" t="str">
        <f t="shared" si="93"/>
        <v/>
      </c>
      <c r="P618" s="291" t="str">
        <f t="shared" si="94"/>
        <v/>
      </c>
    </row>
    <row r="619" spans="1:16" ht="15" customHeight="1" x14ac:dyDescent="0.2">
      <c r="A619" s="243" t="str">
        <f>IFERROR(INDEX('All Ticker P&amp;L'!$A$2:$A$1001,MATCH(ROWS($A$2:A619),'All Ticker P&amp;L'!$N$2:$N$1001,0)),"")</f>
        <v/>
      </c>
      <c r="B619" s="243" t="str">
        <f t="shared" si="86"/>
        <v/>
      </c>
      <c r="C619" s="243" t="str">
        <f t="shared" si="87"/>
        <v/>
      </c>
      <c r="D619" s="243" t="str">
        <f t="shared" si="88"/>
        <v/>
      </c>
      <c r="E619" s="265" t="str">
        <f>IF($A619="","",SUMIFS(Txn[Signed Units],Txn[Key],$A619))</f>
        <v/>
      </c>
      <c r="F619" s="287" t="str">
        <f>IF($A619="","",SUMIFS(Txn[Buy Cost],Txn[Key],$A619))</f>
        <v/>
      </c>
      <c r="G619" s="287" t="str">
        <f>IF($A619="","",SUMIFS(Txn[Sell Proceeds],Txn[Key],$A619))</f>
        <v/>
      </c>
      <c r="H619" s="288" t="str">
        <f>IF($A619="","",IFERROR(INDEX(Prices[Current Price],MATCH($A619,Prices[Key],0)),0))</f>
        <v/>
      </c>
      <c r="I619" s="289" t="str">
        <f>IF($A619="","",IFERROR(INDEX(Prices[FX to SGD],MATCH($A619,Prices[Key],0)),1))</f>
        <v/>
      </c>
      <c r="J619" s="287" t="str">
        <f t="shared" si="89"/>
        <v/>
      </c>
      <c r="K619" s="287" t="str">
        <f t="shared" si="90"/>
        <v/>
      </c>
      <c r="L619" s="287" t="str">
        <f t="shared" si="91"/>
        <v/>
      </c>
      <c r="M619" s="290" t="str">
        <f t="shared" si="92"/>
        <v/>
      </c>
      <c r="N619" t="str">
        <f>IF($A619="","",IFERROR(INDEX(Prices[Category],MATCH($A619,Prices[Key],0)),"Uncategorized"))</f>
        <v/>
      </c>
      <c r="O619" s="291" t="str">
        <f t="shared" si="93"/>
        <v/>
      </c>
      <c r="P619" s="291" t="str">
        <f t="shared" si="94"/>
        <v/>
      </c>
    </row>
    <row r="620" spans="1:16" ht="15" customHeight="1" x14ac:dyDescent="0.2">
      <c r="A620" s="243" t="str">
        <f>IFERROR(INDEX('All Ticker P&amp;L'!$A$2:$A$1001,MATCH(ROWS($A$2:A620),'All Ticker P&amp;L'!$N$2:$N$1001,0)),"")</f>
        <v/>
      </c>
      <c r="B620" s="243" t="str">
        <f t="shared" si="86"/>
        <v/>
      </c>
      <c r="C620" s="243" t="str">
        <f t="shared" si="87"/>
        <v/>
      </c>
      <c r="D620" s="243" t="str">
        <f t="shared" si="88"/>
        <v/>
      </c>
      <c r="E620" s="265" t="str">
        <f>IF($A620="","",SUMIFS(Txn[Signed Units],Txn[Key],$A620))</f>
        <v/>
      </c>
      <c r="F620" s="287" t="str">
        <f>IF($A620="","",SUMIFS(Txn[Buy Cost],Txn[Key],$A620))</f>
        <v/>
      </c>
      <c r="G620" s="287" t="str">
        <f>IF($A620="","",SUMIFS(Txn[Sell Proceeds],Txn[Key],$A620))</f>
        <v/>
      </c>
      <c r="H620" s="288" t="str">
        <f>IF($A620="","",IFERROR(INDEX(Prices[Current Price],MATCH($A620,Prices[Key],0)),0))</f>
        <v/>
      </c>
      <c r="I620" s="289" t="str">
        <f>IF($A620="","",IFERROR(INDEX(Prices[FX to SGD],MATCH($A620,Prices[Key],0)),1))</f>
        <v/>
      </c>
      <c r="J620" s="287" t="str">
        <f t="shared" si="89"/>
        <v/>
      </c>
      <c r="K620" s="287" t="str">
        <f t="shared" si="90"/>
        <v/>
      </c>
      <c r="L620" s="287" t="str">
        <f t="shared" si="91"/>
        <v/>
      </c>
      <c r="M620" s="290" t="str">
        <f t="shared" si="92"/>
        <v/>
      </c>
      <c r="N620" t="str">
        <f>IF($A620="","",IFERROR(INDEX(Prices[Category],MATCH($A620,Prices[Key],0)),"Uncategorized"))</f>
        <v/>
      </c>
      <c r="O620" s="291" t="str">
        <f t="shared" si="93"/>
        <v/>
      </c>
      <c r="P620" s="291" t="str">
        <f t="shared" si="94"/>
        <v/>
      </c>
    </row>
    <row r="621" spans="1:16" ht="15" customHeight="1" x14ac:dyDescent="0.2">
      <c r="A621" s="243" t="str">
        <f>IFERROR(INDEX('All Ticker P&amp;L'!$A$2:$A$1001,MATCH(ROWS($A$2:A621),'All Ticker P&amp;L'!$N$2:$N$1001,0)),"")</f>
        <v/>
      </c>
      <c r="B621" s="243" t="str">
        <f t="shared" si="86"/>
        <v/>
      </c>
      <c r="C621" s="243" t="str">
        <f t="shared" si="87"/>
        <v/>
      </c>
      <c r="D621" s="243" t="str">
        <f t="shared" si="88"/>
        <v/>
      </c>
      <c r="E621" s="265" t="str">
        <f>IF($A621="","",SUMIFS(Txn[Signed Units],Txn[Key],$A621))</f>
        <v/>
      </c>
      <c r="F621" s="287" t="str">
        <f>IF($A621="","",SUMIFS(Txn[Buy Cost],Txn[Key],$A621))</f>
        <v/>
      </c>
      <c r="G621" s="287" t="str">
        <f>IF($A621="","",SUMIFS(Txn[Sell Proceeds],Txn[Key],$A621))</f>
        <v/>
      </c>
      <c r="H621" s="288" t="str">
        <f>IF($A621="","",IFERROR(INDEX(Prices[Current Price],MATCH($A621,Prices[Key],0)),0))</f>
        <v/>
      </c>
      <c r="I621" s="289" t="str">
        <f>IF($A621="","",IFERROR(INDEX(Prices[FX to SGD],MATCH($A621,Prices[Key],0)),1))</f>
        <v/>
      </c>
      <c r="J621" s="287" t="str">
        <f t="shared" si="89"/>
        <v/>
      </c>
      <c r="K621" s="287" t="str">
        <f t="shared" si="90"/>
        <v/>
      </c>
      <c r="L621" s="287" t="str">
        <f t="shared" si="91"/>
        <v/>
      </c>
      <c r="M621" s="290" t="str">
        <f t="shared" si="92"/>
        <v/>
      </c>
      <c r="N621" t="str">
        <f>IF($A621="","",IFERROR(INDEX(Prices[Category],MATCH($A621,Prices[Key],0)),"Uncategorized"))</f>
        <v/>
      </c>
      <c r="O621" s="291" t="str">
        <f t="shared" si="93"/>
        <v/>
      </c>
      <c r="P621" s="291" t="str">
        <f t="shared" si="94"/>
        <v/>
      </c>
    </row>
    <row r="622" spans="1:16" ht="15" customHeight="1" x14ac:dyDescent="0.2">
      <c r="A622" s="243" t="str">
        <f>IFERROR(INDEX('All Ticker P&amp;L'!$A$2:$A$1001,MATCH(ROWS($A$2:A622),'All Ticker P&amp;L'!$N$2:$N$1001,0)),"")</f>
        <v/>
      </c>
      <c r="B622" s="243" t="str">
        <f t="shared" si="86"/>
        <v/>
      </c>
      <c r="C622" s="243" t="str">
        <f t="shared" si="87"/>
        <v/>
      </c>
      <c r="D622" s="243" t="str">
        <f t="shared" si="88"/>
        <v/>
      </c>
      <c r="E622" s="265" t="str">
        <f>IF($A622="","",SUMIFS(Txn[Signed Units],Txn[Key],$A622))</f>
        <v/>
      </c>
      <c r="F622" s="287" t="str">
        <f>IF($A622="","",SUMIFS(Txn[Buy Cost],Txn[Key],$A622))</f>
        <v/>
      </c>
      <c r="G622" s="287" t="str">
        <f>IF($A622="","",SUMIFS(Txn[Sell Proceeds],Txn[Key],$A622))</f>
        <v/>
      </c>
      <c r="H622" s="288" t="str">
        <f>IF($A622="","",IFERROR(INDEX(Prices[Current Price],MATCH($A622,Prices[Key],0)),0))</f>
        <v/>
      </c>
      <c r="I622" s="289" t="str">
        <f>IF($A622="","",IFERROR(INDEX(Prices[FX to SGD],MATCH($A622,Prices[Key],0)),1))</f>
        <v/>
      </c>
      <c r="J622" s="287" t="str">
        <f t="shared" si="89"/>
        <v/>
      </c>
      <c r="K622" s="287" t="str">
        <f t="shared" si="90"/>
        <v/>
      </c>
      <c r="L622" s="287" t="str">
        <f t="shared" si="91"/>
        <v/>
      </c>
      <c r="M622" s="290" t="str">
        <f t="shared" si="92"/>
        <v/>
      </c>
      <c r="N622" t="str">
        <f>IF($A622="","",IFERROR(INDEX(Prices[Category],MATCH($A622,Prices[Key],0)),"Uncategorized"))</f>
        <v/>
      </c>
      <c r="O622" s="291" t="str">
        <f t="shared" si="93"/>
        <v/>
      </c>
      <c r="P622" s="291" t="str">
        <f t="shared" si="94"/>
        <v/>
      </c>
    </row>
    <row r="623" spans="1:16" ht="15" customHeight="1" x14ac:dyDescent="0.2">
      <c r="A623" s="243" t="str">
        <f>IFERROR(INDEX('All Ticker P&amp;L'!$A$2:$A$1001,MATCH(ROWS($A$2:A623),'All Ticker P&amp;L'!$N$2:$N$1001,0)),"")</f>
        <v/>
      </c>
      <c r="B623" s="243" t="str">
        <f t="shared" si="86"/>
        <v/>
      </c>
      <c r="C623" s="243" t="str">
        <f t="shared" si="87"/>
        <v/>
      </c>
      <c r="D623" s="243" t="str">
        <f t="shared" si="88"/>
        <v/>
      </c>
      <c r="E623" s="265" t="str">
        <f>IF($A623="","",SUMIFS(Txn[Signed Units],Txn[Key],$A623))</f>
        <v/>
      </c>
      <c r="F623" s="287" t="str">
        <f>IF($A623="","",SUMIFS(Txn[Buy Cost],Txn[Key],$A623))</f>
        <v/>
      </c>
      <c r="G623" s="287" t="str">
        <f>IF($A623="","",SUMIFS(Txn[Sell Proceeds],Txn[Key],$A623))</f>
        <v/>
      </c>
      <c r="H623" s="288" t="str">
        <f>IF($A623="","",IFERROR(INDEX(Prices[Current Price],MATCH($A623,Prices[Key],0)),0))</f>
        <v/>
      </c>
      <c r="I623" s="289" t="str">
        <f>IF($A623="","",IFERROR(INDEX(Prices[FX to SGD],MATCH($A623,Prices[Key],0)),1))</f>
        <v/>
      </c>
      <c r="J623" s="287" t="str">
        <f t="shared" si="89"/>
        <v/>
      </c>
      <c r="K623" s="287" t="str">
        <f t="shared" si="90"/>
        <v/>
      </c>
      <c r="L623" s="287" t="str">
        <f t="shared" si="91"/>
        <v/>
      </c>
      <c r="M623" s="290" t="str">
        <f t="shared" si="92"/>
        <v/>
      </c>
      <c r="N623" t="str">
        <f>IF($A623="","",IFERROR(INDEX(Prices[Category],MATCH($A623,Prices[Key],0)),"Uncategorized"))</f>
        <v/>
      </c>
      <c r="O623" s="291" t="str">
        <f t="shared" si="93"/>
        <v/>
      </c>
      <c r="P623" s="291" t="str">
        <f t="shared" si="94"/>
        <v/>
      </c>
    </row>
    <row r="624" spans="1:16" ht="15" customHeight="1" x14ac:dyDescent="0.2">
      <c r="A624" s="243" t="str">
        <f>IFERROR(INDEX('All Ticker P&amp;L'!$A$2:$A$1001,MATCH(ROWS($A$2:A624),'All Ticker P&amp;L'!$N$2:$N$1001,0)),"")</f>
        <v/>
      </c>
      <c r="B624" s="243" t="str">
        <f t="shared" si="86"/>
        <v/>
      </c>
      <c r="C624" s="243" t="str">
        <f t="shared" si="87"/>
        <v/>
      </c>
      <c r="D624" s="243" t="str">
        <f t="shared" si="88"/>
        <v/>
      </c>
      <c r="E624" s="265" t="str">
        <f>IF($A624="","",SUMIFS(Txn[Signed Units],Txn[Key],$A624))</f>
        <v/>
      </c>
      <c r="F624" s="287" t="str">
        <f>IF($A624="","",SUMIFS(Txn[Buy Cost],Txn[Key],$A624))</f>
        <v/>
      </c>
      <c r="G624" s="287" t="str">
        <f>IF($A624="","",SUMIFS(Txn[Sell Proceeds],Txn[Key],$A624))</f>
        <v/>
      </c>
      <c r="H624" s="288" t="str">
        <f>IF($A624="","",IFERROR(INDEX(Prices[Current Price],MATCH($A624,Prices[Key],0)),0))</f>
        <v/>
      </c>
      <c r="I624" s="289" t="str">
        <f>IF($A624="","",IFERROR(INDEX(Prices[FX to SGD],MATCH($A624,Prices[Key],0)),1))</f>
        <v/>
      </c>
      <c r="J624" s="287" t="str">
        <f t="shared" si="89"/>
        <v/>
      </c>
      <c r="K624" s="287" t="str">
        <f t="shared" si="90"/>
        <v/>
      </c>
      <c r="L624" s="287" t="str">
        <f t="shared" si="91"/>
        <v/>
      </c>
      <c r="M624" s="290" t="str">
        <f t="shared" si="92"/>
        <v/>
      </c>
      <c r="N624" t="str">
        <f>IF($A624="","",IFERROR(INDEX(Prices[Category],MATCH($A624,Prices[Key],0)),"Uncategorized"))</f>
        <v/>
      </c>
      <c r="O624" s="291" t="str">
        <f t="shared" si="93"/>
        <v/>
      </c>
      <c r="P624" s="291" t="str">
        <f t="shared" si="94"/>
        <v/>
      </c>
    </row>
    <row r="625" spans="1:16" ht="15" customHeight="1" x14ac:dyDescent="0.2">
      <c r="A625" s="243" t="str">
        <f>IFERROR(INDEX('All Ticker P&amp;L'!$A$2:$A$1001,MATCH(ROWS($A$2:A625),'All Ticker P&amp;L'!$N$2:$N$1001,0)),"")</f>
        <v/>
      </c>
      <c r="B625" s="243" t="str">
        <f t="shared" si="86"/>
        <v/>
      </c>
      <c r="C625" s="243" t="str">
        <f t="shared" si="87"/>
        <v/>
      </c>
      <c r="D625" s="243" t="str">
        <f t="shared" si="88"/>
        <v/>
      </c>
      <c r="E625" s="265" t="str">
        <f>IF($A625="","",SUMIFS(Txn[Signed Units],Txn[Key],$A625))</f>
        <v/>
      </c>
      <c r="F625" s="287" t="str">
        <f>IF($A625="","",SUMIFS(Txn[Buy Cost],Txn[Key],$A625))</f>
        <v/>
      </c>
      <c r="G625" s="287" t="str">
        <f>IF($A625="","",SUMIFS(Txn[Sell Proceeds],Txn[Key],$A625))</f>
        <v/>
      </c>
      <c r="H625" s="288" t="str">
        <f>IF($A625="","",IFERROR(INDEX(Prices[Current Price],MATCH($A625,Prices[Key],0)),0))</f>
        <v/>
      </c>
      <c r="I625" s="289" t="str">
        <f>IF($A625="","",IFERROR(INDEX(Prices[FX to SGD],MATCH($A625,Prices[Key],0)),1))</f>
        <v/>
      </c>
      <c r="J625" s="287" t="str">
        <f t="shared" si="89"/>
        <v/>
      </c>
      <c r="K625" s="287" t="str">
        <f t="shared" si="90"/>
        <v/>
      </c>
      <c r="L625" s="287" t="str">
        <f t="shared" si="91"/>
        <v/>
      </c>
      <c r="M625" s="290" t="str">
        <f t="shared" si="92"/>
        <v/>
      </c>
      <c r="N625" t="str">
        <f>IF($A625="","",IFERROR(INDEX(Prices[Category],MATCH($A625,Prices[Key],0)),"Uncategorized"))</f>
        <v/>
      </c>
      <c r="O625" s="291" t="str">
        <f t="shared" si="93"/>
        <v/>
      </c>
      <c r="P625" s="291" t="str">
        <f t="shared" si="94"/>
        <v/>
      </c>
    </row>
    <row r="626" spans="1:16" ht="15" customHeight="1" x14ac:dyDescent="0.2">
      <c r="A626" s="243" t="str">
        <f>IFERROR(INDEX('All Ticker P&amp;L'!$A$2:$A$1001,MATCH(ROWS($A$2:A626),'All Ticker P&amp;L'!$N$2:$N$1001,0)),"")</f>
        <v/>
      </c>
      <c r="B626" s="243" t="str">
        <f t="shared" si="86"/>
        <v/>
      </c>
      <c r="C626" s="243" t="str">
        <f t="shared" si="87"/>
        <v/>
      </c>
      <c r="D626" s="243" t="str">
        <f t="shared" si="88"/>
        <v/>
      </c>
      <c r="E626" s="265" t="str">
        <f>IF($A626="","",SUMIFS(Txn[Signed Units],Txn[Key],$A626))</f>
        <v/>
      </c>
      <c r="F626" s="287" t="str">
        <f>IF($A626="","",SUMIFS(Txn[Buy Cost],Txn[Key],$A626))</f>
        <v/>
      </c>
      <c r="G626" s="287" t="str">
        <f>IF($A626="","",SUMIFS(Txn[Sell Proceeds],Txn[Key],$A626))</f>
        <v/>
      </c>
      <c r="H626" s="288" t="str">
        <f>IF($A626="","",IFERROR(INDEX(Prices[Current Price],MATCH($A626,Prices[Key],0)),0))</f>
        <v/>
      </c>
      <c r="I626" s="289" t="str">
        <f>IF($A626="","",IFERROR(INDEX(Prices[FX to SGD],MATCH($A626,Prices[Key],0)),1))</f>
        <v/>
      </c>
      <c r="J626" s="287" t="str">
        <f t="shared" si="89"/>
        <v/>
      </c>
      <c r="K626" s="287" t="str">
        <f t="shared" si="90"/>
        <v/>
      </c>
      <c r="L626" s="287" t="str">
        <f t="shared" si="91"/>
        <v/>
      </c>
      <c r="M626" s="290" t="str">
        <f t="shared" si="92"/>
        <v/>
      </c>
      <c r="N626" t="str">
        <f>IF($A626="","",IFERROR(INDEX(Prices[Category],MATCH($A626,Prices[Key],0)),"Uncategorized"))</f>
        <v/>
      </c>
      <c r="O626" s="291" t="str">
        <f t="shared" si="93"/>
        <v/>
      </c>
      <c r="P626" s="291" t="str">
        <f t="shared" si="94"/>
        <v/>
      </c>
    </row>
    <row r="627" spans="1:16" ht="15" customHeight="1" x14ac:dyDescent="0.2">
      <c r="A627" s="243" t="str">
        <f>IFERROR(INDEX('All Ticker P&amp;L'!$A$2:$A$1001,MATCH(ROWS($A$2:A627),'All Ticker P&amp;L'!$N$2:$N$1001,0)),"")</f>
        <v/>
      </c>
      <c r="B627" s="243" t="str">
        <f t="shared" si="86"/>
        <v/>
      </c>
      <c r="C627" s="243" t="str">
        <f t="shared" si="87"/>
        <v/>
      </c>
      <c r="D627" s="243" t="str">
        <f t="shared" si="88"/>
        <v/>
      </c>
      <c r="E627" s="265" t="str">
        <f>IF($A627="","",SUMIFS(Txn[Signed Units],Txn[Key],$A627))</f>
        <v/>
      </c>
      <c r="F627" s="287" t="str">
        <f>IF($A627="","",SUMIFS(Txn[Buy Cost],Txn[Key],$A627))</f>
        <v/>
      </c>
      <c r="G627" s="287" t="str">
        <f>IF($A627="","",SUMIFS(Txn[Sell Proceeds],Txn[Key],$A627))</f>
        <v/>
      </c>
      <c r="H627" s="288" t="str">
        <f>IF($A627="","",IFERROR(INDEX(Prices[Current Price],MATCH($A627,Prices[Key],0)),0))</f>
        <v/>
      </c>
      <c r="I627" s="289" t="str">
        <f>IF($A627="","",IFERROR(INDEX(Prices[FX to SGD],MATCH($A627,Prices[Key],0)),1))</f>
        <v/>
      </c>
      <c r="J627" s="287" t="str">
        <f t="shared" si="89"/>
        <v/>
      </c>
      <c r="K627" s="287" t="str">
        <f t="shared" si="90"/>
        <v/>
      </c>
      <c r="L627" s="287" t="str">
        <f t="shared" si="91"/>
        <v/>
      </c>
      <c r="M627" s="290" t="str">
        <f t="shared" si="92"/>
        <v/>
      </c>
      <c r="N627" t="str">
        <f>IF($A627="","",IFERROR(INDEX(Prices[Category],MATCH($A627,Prices[Key],0)),"Uncategorized"))</f>
        <v/>
      </c>
      <c r="O627" s="291" t="str">
        <f t="shared" si="93"/>
        <v/>
      </c>
      <c r="P627" s="291" t="str">
        <f t="shared" si="94"/>
        <v/>
      </c>
    </row>
    <row r="628" spans="1:16" ht="15" customHeight="1" x14ac:dyDescent="0.2">
      <c r="A628" s="243" t="str">
        <f>IFERROR(INDEX('All Ticker P&amp;L'!$A$2:$A$1001,MATCH(ROWS($A$2:A628),'All Ticker P&amp;L'!$N$2:$N$1001,0)),"")</f>
        <v/>
      </c>
      <c r="B628" s="243" t="str">
        <f t="shared" si="86"/>
        <v/>
      </c>
      <c r="C628" s="243" t="str">
        <f t="shared" si="87"/>
        <v/>
      </c>
      <c r="D628" s="243" t="str">
        <f t="shared" si="88"/>
        <v/>
      </c>
      <c r="E628" s="265" t="str">
        <f>IF($A628="","",SUMIFS(Txn[Signed Units],Txn[Key],$A628))</f>
        <v/>
      </c>
      <c r="F628" s="287" t="str">
        <f>IF($A628="","",SUMIFS(Txn[Buy Cost],Txn[Key],$A628))</f>
        <v/>
      </c>
      <c r="G628" s="287" t="str">
        <f>IF($A628="","",SUMIFS(Txn[Sell Proceeds],Txn[Key],$A628))</f>
        <v/>
      </c>
      <c r="H628" s="288" t="str">
        <f>IF($A628="","",IFERROR(INDEX(Prices[Current Price],MATCH($A628,Prices[Key],0)),0))</f>
        <v/>
      </c>
      <c r="I628" s="289" t="str">
        <f>IF($A628="","",IFERROR(INDEX(Prices[FX to SGD],MATCH($A628,Prices[Key],0)),1))</f>
        <v/>
      </c>
      <c r="J628" s="287" t="str">
        <f t="shared" si="89"/>
        <v/>
      </c>
      <c r="K628" s="287" t="str">
        <f t="shared" si="90"/>
        <v/>
      </c>
      <c r="L628" s="287" t="str">
        <f t="shared" si="91"/>
        <v/>
      </c>
      <c r="M628" s="290" t="str">
        <f t="shared" si="92"/>
        <v/>
      </c>
      <c r="N628" t="str">
        <f>IF($A628="","",IFERROR(INDEX(Prices[Category],MATCH($A628,Prices[Key],0)),"Uncategorized"))</f>
        <v/>
      </c>
      <c r="O628" s="291" t="str">
        <f t="shared" si="93"/>
        <v/>
      </c>
      <c r="P628" s="291" t="str">
        <f t="shared" si="94"/>
        <v/>
      </c>
    </row>
    <row r="629" spans="1:16" ht="15" customHeight="1" x14ac:dyDescent="0.2">
      <c r="A629" s="243" t="str">
        <f>IFERROR(INDEX('All Ticker P&amp;L'!$A$2:$A$1001,MATCH(ROWS($A$2:A629),'All Ticker P&amp;L'!$N$2:$N$1001,0)),"")</f>
        <v/>
      </c>
      <c r="B629" s="243" t="str">
        <f t="shared" si="86"/>
        <v/>
      </c>
      <c r="C629" s="243" t="str">
        <f t="shared" si="87"/>
        <v/>
      </c>
      <c r="D629" s="243" t="str">
        <f t="shared" si="88"/>
        <v/>
      </c>
      <c r="E629" s="265" t="str">
        <f>IF($A629="","",SUMIFS(Txn[Signed Units],Txn[Key],$A629))</f>
        <v/>
      </c>
      <c r="F629" s="287" t="str">
        <f>IF($A629="","",SUMIFS(Txn[Buy Cost],Txn[Key],$A629))</f>
        <v/>
      </c>
      <c r="G629" s="287" t="str">
        <f>IF($A629="","",SUMIFS(Txn[Sell Proceeds],Txn[Key],$A629))</f>
        <v/>
      </c>
      <c r="H629" s="288" t="str">
        <f>IF($A629="","",IFERROR(INDEX(Prices[Current Price],MATCH($A629,Prices[Key],0)),0))</f>
        <v/>
      </c>
      <c r="I629" s="289" t="str">
        <f>IF($A629="","",IFERROR(INDEX(Prices[FX to SGD],MATCH($A629,Prices[Key],0)),1))</f>
        <v/>
      </c>
      <c r="J629" s="287" t="str">
        <f t="shared" si="89"/>
        <v/>
      </c>
      <c r="K629" s="287" t="str">
        <f t="shared" si="90"/>
        <v/>
      </c>
      <c r="L629" s="287" t="str">
        <f t="shared" si="91"/>
        <v/>
      </c>
      <c r="M629" s="290" t="str">
        <f t="shared" si="92"/>
        <v/>
      </c>
      <c r="N629" t="str">
        <f>IF($A629="","",IFERROR(INDEX(Prices[Category],MATCH($A629,Prices[Key],0)),"Uncategorized"))</f>
        <v/>
      </c>
      <c r="O629" s="291" t="str">
        <f t="shared" si="93"/>
        <v/>
      </c>
      <c r="P629" s="291" t="str">
        <f t="shared" si="94"/>
        <v/>
      </c>
    </row>
    <row r="630" spans="1:16" ht="15" customHeight="1" x14ac:dyDescent="0.2">
      <c r="A630" s="243" t="str">
        <f>IFERROR(INDEX('All Ticker P&amp;L'!$A$2:$A$1001,MATCH(ROWS($A$2:A630),'All Ticker P&amp;L'!$N$2:$N$1001,0)),"")</f>
        <v/>
      </c>
      <c r="B630" s="243" t="str">
        <f t="shared" si="86"/>
        <v/>
      </c>
      <c r="C630" s="243" t="str">
        <f t="shared" si="87"/>
        <v/>
      </c>
      <c r="D630" s="243" t="str">
        <f t="shared" si="88"/>
        <v/>
      </c>
      <c r="E630" s="265" t="str">
        <f>IF($A630="","",SUMIFS(Txn[Signed Units],Txn[Key],$A630))</f>
        <v/>
      </c>
      <c r="F630" s="287" t="str">
        <f>IF($A630="","",SUMIFS(Txn[Buy Cost],Txn[Key],$A630))</f>
        <v/>
      </c>
      <c r="G630" s="287" t="str">
        <f>IF($A630="","",SUMIFS(Txn[Sell Proceeds],Txn[Key],$A630))</f>
        <v/>
      </c>
      <c r="H630" s="288" t="str">
        <f>IF($A630="","",IFERROR(INDEX(Prices[Current Price],MATCH($A630,Prices[Key],0)),0))</f>
        <v/>
      </c>
      <c r="I630" s="289" t="str">
        <f>IF($A630="","",IFERROR(INDEX(Prices[FX to SGD],MATCH($A630,Prices[Key],0)),1))</f>
        <v/>
      </c>
      <c r="J630" s="287" t="str">
        <f t="shared" si="89"/>
        <v/>
      </c>
      <c r="K630" s="287" t="str">
        <f t="shared" si="90"/>
        <v/>
      </c>
      <c r="L630" s="287" t="str">
        <f t="shared" si="91"/>
        <v/>
      </c>
      <c r="M630" s="290" t="str">
        <f t="shared" si="92"/>
        <v/>
      </c>
      <c r="N630" t="str">
        <f>IF($A630="","",IFERROR(INDEX(Prices[Category],MATCH($A630,Prices[Key],0)),"Uncategorized"))</f>
        <v/>
      </c>
      <c r="O630" s="291" t="str">
        <f t="shared" si="93"/>
        <v/>
      </c>
      <c r="P630" s="291" t="str">
        <f t="shared" si="94"/>
        <v/>
      </c>
    </row>
    <row r="631" spans="1:16" ht="15" customHeight="1" x14ac:dyDescent="0.2">
      <c r="A631" s="243" t="str">
        <f>IFERROR(INDEX('All Ticker P&amp;L'!$A$2:$A$1001,MATCH(ROWS($A$2:A631),'All Ticker P&amp;L'!$N$2:$N$1001,0)),"")</f>
        <v/>
      </c>
      <c r="B631" s="243" t="str">
        <f t="shared" si="86"/>
        <v/>
      </c>
      <c r="C631" s="243" t="str">
        <f t="shared" si="87"/>
        <v/>
      </c>
      <c r="D631" s="243" t="str">
        <f t="shared" si="88"/>
        <v/>
      </c>
      <c r="E631" s="265" t="str">
        <f>IF($A631="","",SUMIFS(Txn[Signed Units],Txn[Key],$A631))</f>
        <v/>
      </c>
      <c r="F631" s="287" t="str">
        <f>IF($A631="","",SUMIFS(Txn[Buy Cost],Txn[Key],$A631))</f>
        <v/>
      </c>
      <c r="G631" s="287" t="str">
        <f>IF($A631="","",SUMIFS(Txn[Sell Proceeds],Txn[Key],$A631))</f>
        <v/>
      </c>
      <c r="H631" s="288" t="str">
        <f>IF($A631="","",IFERROR(INDEX(Prices[Current Price],MATCH($A631,Prices[Key],0)),0))</f>
        <v/>
      </c>
      <c r="I631" s="289" t="str">
        <f>IF($A631="","",IFERROR(INDEX(Prices[FX to SGD],MATCH($A631,Prices[Key],0)),1))</f>
        <v/>
      </c>
      <c r="J631" s="287" t="str">
        <f t="shared" si="89"/>
        <v/>
      </c>
      <c r="K631" s="287" t="str">
        <f t="shared" si="90"/>
        <v/>
      </c>
      <c r="L631" s="287" t="str">
        <f t="shared" si="91"/>
        <v/>
      </c>
      <c r="M631" s="290" t="str">
        <f t="shared" si="92"/>
        <v/>
      </c>
      <c r="N631" t="str">
        <f>IF($A631="","",IFERROR(INDEX(Prices[Category],MATCH($A631,Prices[Key],0)),"Uncategorized"))</f>
        <v/>
      </c>
      <c r="O631" s="291" t="str">
        <f t="shared" si="93"/>
        <v/>
      </c>
      <c r="P631" s="291" t="str">
        <f t="shared" si="94"/>
        <v/>
      </c>
    </row>
    <row r="632" spans="1:16" ht="15" customHeight="1" x14ac:dyDescent="0.2">
      <c r="A632" s="243" t="str">
        <f>IFERROR(INDEX('All Ticker P&amp;L'!$A$2:$A$1001,MATCH(ROWS($A$2:A632),'All Ticker P&amp;L'!$N$2:$N$1001,0)),"")</f>
        <v/>
      </c>
      <c r="B632" s="243" t="str">
        <f t="shared" si="86"/>
        <v/>
      </c>
      <c r="C632" s="243" t="str">
        <f t="shared" si="87"/>
        <v/>
      </c>
      <c r="D632" s="243" t="str">
        <f t="shared" si="88"/>
        <v/>
      </c>
      <c r="E632" s="265" t="str">
        <f>IF($A632="","",SUMIFS(Txn[Signed Units],Txn[Key],$A632))</f>
        <v/>
      </c>
      <c r="F632" s="287" t="str">
        <f>IF($A632="","",SUMIFS(Txn[Buy Cost],Txn[Key],$A632))</f>
        <v/>
      </c>
      <c r="G632" s="287" t="str">
        <f>IF($A632="","",SUMIFS(Txn[Sell Proceeds],Txn[Key],$A632))</f>
        <v/>
      </c>
      <c r="H632" s="288" t="str">
        <f>IF($A632="","",IFERROR(INDEX(Prices[Current Price],MATCH($A632,Prices[Key],0)),0))</f>
        <v/>
      </c>
      <c r="I632" s="289" t="str">
        <f>IF($A632="","",IFERROR(INDEX(Prices[FX to SGD],MATCH($A632,Prices[Key],0)),1))</f>
        <v/>
      </c>
      <c r="J632" s="287" t="str">
        <f t="shared" si="89"/>
        <v/>
      </c>
      <c r="K632" s="287" t="str">
        <f t="shared" si="90"/>
        <v/>
      </c>
      <c r="L632" s="287" t="str">
        <f t="shared" si="91"/>
        <v/>
      </c>
      <c r="M632" s="290" t="str">
        <f t="shared" si="92"/>
        <v/>
      </c>
      <c r="N632" t="str">
        <f>IF($A632="","",IFERROR(INDEX(Prices[Category],MATCH($A632,Prices[Key],0)),"Uncategorized"))</f>
        <v/>
      </c>
      <c r="O632" s="291" t="str">
        <f t="shared" si="93"/>
        <v/>
      </c>
      <c r="P632" s="291" t="str">
        <f t="shared" si="94"/>
        <v/>
      </c>
    </row>
    <row r="633" spans="1:16" ht="15" customHeight="1" x14ac:dyDescent="0.2">
      <c r="A633" s="243" t="str">
        <f>IFERROR(INDEX('All Ticker P&amp;L'!$A$2:$A$1001,MATCH(ROWS($A$2:A633),'All Ticker P&amp;L'!$N$2:$N$1001,0)),"")</f>
        <v/>
      </c>
      <c r="B633" s="243" t="str">
        <f t="shared" si="86"/>
        <v/>
      </c>
      <c r="C633" s="243" t="str">
        <f t="shared" si="87"/>
        <v/>
      </c>
      <c r="D633" s="243" t="str">
        <f t="shared" si="88"/>
        <v/>
      </c>
      <c r="E633" s="265" t="str">
        <f>IF($A633="","",SUMIFS(Txn[Signed Units],Txn[Key],$A633))</f>
        <v/>
      </c>
      <c r="F633" s="287" t="str">
        <f>IF($A633="","",SUMIFS(Txn[Buy Cost],Txn[Key],$A633))</f>
        <v/>
      </c>
      <c r="G633" s="287" t="str">
        <f>IF($A633="","",SUMIFS(Txn[Sell Proceeds],Txn[Key],$A633))</f>
        <v/>
      </c>
      <c r="H633" s="288" t="str">
        <f>IF($A633="","",IFERROR(INDEX(Prices[Current Price],MATCH($A633,Prices[Key],0)),0))</f>
        <v/>
      </c>
      <c r="I633" s="289" t="str">
        <f>IF($A633="","",IFERROR(INDEX(Prices[FX to SGD],MATCH($A633,Prices[Key],0)),1))</f>
        <v/>
      </c>
      <c r="J633" s="287" t="str">
        <f t="shared" si="89"/>
        <v/>
      </c>
      <c r="K633" s="287" t="str">
        <f t="shared" si="90"/>
        <v/>
      </c>
      <c r="L633" s="287" t="str">
        <f t="shared" si="91"/>
        <v/>
      </c>
      <c r="M633" s="290" t="str">
        <f t="shared" si="92"/>
        <v/>
      </c>
      <c r="N633" t="str">
        <f>IF($A633="","",IFERROR(INDEX(Prices[Category],MATCH($A633,Prices[Key],0)),"Uncategorized"))</f>
        <v/>
      </c>
      <c r="O633" s="291" t="str">
        <f t="shared" si="93"/>
        <v/>
      </c>
      <c r="P633" s="291" t="str">
        <f t="shared" si="94"/>
        <v/>
      </c>
    </row>
    <row r="634" spans="1:16" ht="15" customHeight="1" x14ac:dyDescent="0.2">
      <c r="A634" s="243" t="str">
        <f>IFERROR(INDEX('All Ticker P&amp;L'!$A$2:$A$1001,MATCH(ROWS($A$2:A634),'All Ticker P&amp;L'!$N$2:$N$1001,0)),"")</f>
        <v/>
      </c>
      <c r="B634" s="243" t="str">
        <f t="shared" si="86"/>
        <v/>
      </c>
      <c r="C634" s="243" t="str">
        <f t="shared" si="87"/>
        <v/>
      </c>
      <c r="D634" s="243" t="str">
        <f t="shared" si="88"/>
        <v/>
      </c>
      <c r="E634" s="265" t="str">
        <f>IF($A634="","",SUMIFS(Txn[Signed Units],Txn[Key],$A634))</f>
        <v/>
      </c>
      <c r="F634" s="287" t="str">
        <f>IF($A634="","",SUMIFS(Txn[Buy Cost],Txn[Key],$A634))</f>
        <v/>
      </c>
      <c r="G634" s="287" t="str">
        <f>IF($A634="","",SUMIFS(Txn[Sell Proceeds],Txn[Key],$A634))</f>
        <v/>
      </c>
      <c r="H634" s="288" t="str">
        <f>IF($A634="","",IFERROR(INDEX(Prices[Current Price],MATCH($A634,Prices[Key],0)),0))</f>
        <v/>
      </c>
      <c r="I634" s="289" t="str">
        <f>IF($A634="","",IFERROR(INDEX(Prices[FX to SGD],MATCH($A634,Prices[Key],0)),1))</f>
        <v/>
      </c>
      <c r="J634" s="287" t="str">
        <f t="shared" si="89"/>
        <v/>
      </c>
      <c r="K634" s="287" t="str">
        <f t="shared" si="90"/>
        <v/>
      </c>
      <c r="L634" s="287" t="str">
        <f t="shared" si="91"/>
        <v/>
      </c>
      <c r="M634" s="290" t="str">
        <f t="shared" si="92"/>
        <v/>
      </c>
      <c r="N634" t="str">
        <f>IF($A634="","",IFERROR(INDEX(Prices[Category],MATCH($A634,Prices[Key],0)),"Uncategorized"))</f>
        <v/>
      </c>
      <c r="O634" s="291" t="str">
        <f t="shared" si="93"/>
        <v/>
      </c>
      <c r="P634" s="291" t="str">
        <f t="shared" si="94"/>
        <v/>
      </c>
    </row>
    <row r="635" spans="1:16" ht="15" customHeight="1" x14ac:dyDescent="0.2">
      <c r="A635" s="243" t="str">
        <f>IFERROR(INDEX('All Ticker P&amp;L'!$A$2:$A$1001,MATCH(ROWS($A$2:A635),'All Ticker P&amp;L'!$N$2:$N$1001,0)),"")</f>
        <v/>
      </c>
      <c r="B635" s="243" t="str">
        <f t="shared" si="86"/>
        <v/>
      </c>
      <c r="C635" s="243" t="str">
        <f t="shared" si="87"/>
        <v/>
      </c>
      <c r="D635" s="243" t="str">
        <f t="shared" si="88"/>
        <v/>
      </c>
      <c r="E635" s="265" t="str">
        <f>IF($A635="","",SUMIFS(Txn[Signed Units],Txn[Key],$A635))</f>
        <v/>
      </c>
      <c r="F635" s="287" t="str">
        <f>IF($A635="","",SUMIFS(Txn[Buy Cost],Txn[Key],$A635))</f>
        <v/>
      </c>
      <c r="G635" s="287" t="str">
        <f>IF($A635="","",SUMIFS(Txn[Sell Proceeds],Txn[Key],$A635))</f>
        <v/>
      </c>
      <c r="H635" s="288" t="str">
        <f>IF($A635="","",IFERROR(INDEX(Prices[Current Price],MATCH($A635,Prices[Key],0)),0))</f>
        <v/>
      </c>
      <c r="I635" s="289" t="str">
        <f>IF($A635="","",IFERROR(INDEX(Prices[FX to SGD],MATCH($A635,Prices[Key],0)),1))</f>
        <v/>
      </c>
      <c r="J635" s="287" t="str">
        <f t="shared" si="89"/>
        <v/>
      </c>
      <c r="K635" s="287" t="str">
        <f t="shared" si="90"/>
        <v/>
      </c>
      <c r="L635" s="287" t="str">
        <f t="shared" si="91"/>
        <v/>
      </c>
      <c r="M635" s="290" t="str">
        <f t="shared" si="92"/>
        <v/>
      </c>
      <c r="N635" t="str">
        <f>IF($A635="","",IFERROR(INDEX(Prices[Category],MATCH($A635,Prices[Key],0)),"Uncategorized"))</f>
        <v/>
      </c>
      <c r="O635" s="291" t="str">
        <f t="shared" si="93"/>
        <v/>
      </c>
      <c r="P635" s="291" t="str">
        <f t="shared" si="94"/>
        <v/>
      </c>
    </row>
    <row r="636" spans="1:16" ht="15" customHeight="1" x14ac:dyDescent="0.2">
      <c r="A636" s="243" t="str">
        <f>IFERROR(INDEX('All Ticker P&amp;L'!$A$2:$A$1001,MATCH(ROWS($A$2:A636),'All Ticker P&amp;L'!$N$2:$N$1001,0)),"")</f>
        <v/>
      </c>
      <c r="B636" s="243" t="str">
        <f t="shared" si="86"/>
        <v/>
      </c>
      <c r="C636" s="243" t="str">
        <f t="shared" si="87"/>
        <v/>
      </c>
      <c r="D636" s="243" t="str">
        <f t="shared" si="88"/>
        <v/>
      </c>
      <c r="E636" s="265" t="str">
        <f>IF($A636="","",SUMIFS(Txn[Signed Units],Txn[Key],$A636))</f>
        <v/>
      </c>
      <c r="F636" s="287" t="str">
        <f>IF($A636="","",SUMIFS(Txn[Buy Cost],Txn[Key],$A636))</f>
        <v/>
      </c>
      <c r="G636" s="287" t="str">
        <f>IF($A636="","",SUMIFS(Txn[Sell Proceeds],Txn[Key],$A636))</f>
        <v/>
      </c>
      <c r="H636" s="288" t="str">
        <f>IF($A636="","",IFERROR(INDEX(Prices[Current Price],MATCH($A636,Prices[Key],0)),0))</f>
        <v/>
      </c>
      <c r="I636" s="289" t="str">
        <f>IF($A636="","",IFERROR(INDEX(Prices[FX to SGD],MATCH($A636,Prices[Key],0)),1))</f>
        <v/>
      </c>
      <c r="J636" s="287" t="str">
        <f t="shared" si="89"/>
        <v/>
      </c>
      <c r="K636" s="287" t="str">
        <f t="shared" si="90"/>
        <v/>
      </c>
      <c r="L636" s="287" t="str">
        <f t="shared" si="91"/>
        <v/>
      </c>
      <c r="M636" s="290" t="str">
        <f t="shared" si="92"/>
        <v/>
      </c>
      <c r="N636" t="str">
        <f>IF($A636="","",IFERROR(INDEX(Prices[Category],MATCH($A636,Prices[Key],0)),"Uncategorized"))</f>
        <v/>
      </c>
      <c r="O636" s="291" t="str">
        <f t="shared" si="93"/>
        <v/>
      </c>
      <c r="P636" s="291" t="str">
        <f t="shared" si="94"/>
        <v/>
      </c>
    </row>
    <row r="637" spans="1:16" ht="15" customHeight="1" x14ac:dyDescent="0.2">
      <c r="A637" s="243" t="str">
        <f>IFERROR(INDEX('All Ticker P&amp;L'!$A$2:$A$1001,MATCH(ROWS($A$2:A637),'All Ticker P&amp;L'!$N$2:$N$1001,0)),"")</f>
        <v/>
      </c>
      <c r="B637" s="243" t="str">
        <f t="shared" si="86"/>
        <v/>
      </c>
      <c r="C637" s="243" t="str">
        <f t="shared" si="87"/>
        <v/>
      </c>
      <c r="D637" s="243" t="str">
        <f t="shared" si="88"/>
        <v/>
      </c>
      <c r="E637" s="265" t="str">
        <f>IF($A637="","",SUMIFS(Txn[Signed Units],Txn[Key],$A637))</f>
        <v/>
      </c>
      <c r="F637" s="287" t="str">
        <f>IF($A637="","",SUMIFS(Txn[Buy Cost],Txn[Key],$A637))</f>
        <v/>
      </c>
      <c r="G637" s="287" t="str">
        <f>IF($A637="","",SUMIFS(Txn[Sell Proceeds],Txn[Key],$A637))</f>
        <v/>
      </c>
      <c r="H637" s="288" t="str">
        <f>IF($A637="","",IFERROR(INDEX(Prices[Current Price],MATCH($A637,Prices[Key],0)),0))</f>
        <v/>
      </c>
      <c r="I637" s="289" t="str">
        <f>IF($A637="","",IFERROR(INDEX(Prices[FX to SGD],MATCH($A637,Prices[Key],0)),1))</f>
        <v/>
      </c>
      <c r="J637" s="287" t="str">
        <f t="shared" si="89"/>
        <v/>
      </c>
      <c r="K637" s="287" t="str">
        <f t="shared" si="90"/>
        <v/>
      </c>
      <c r="L637" s="287" t="str">
        <f t="shared" si="91"/>
        <v/>
      </c>
      <c r="M637" s="290" t="str">
        <f t="shared" si="92"/>
        <v/>
      </c>
      <c r="N637" t="str">
        <f>IF($A637="","",IFERROR(INDEX(Prices[Category],MATCH($A637,Prices[Key],0)),"Uncategorized"))</f>
        <v/>
      </c>
      <c r="O637" s="291" t="str">
        <f t="shared" si="93"/>
        <v/>
      </c>
      <c r="P637" s="291" t="str">
        <f t="shared" si="94"/>
        <v/>
      </c>
    </row>
    <row r="638" spans="1:16" ht="15" customHeight="1" x14ac:dyDescent="0.2">
      <c r="A638" s="243" t="str">
        <f>IFERROR(INDEX('All Ticker P&amp;L'!$A$2:$A$1001,MATCH(ROWS($A$2:A638),'All Ticker P&amp;L'!$N$2:$N$1001,0)),"")</f>
        <v/>
      </c>
      <c r="B638" s="243" t="str">
        <f t="shared" si="86"/>
        <v/>
      </c>
      <c r="C638" s="243" t="str">
        <f t="shared" si="87"/>
        <v/>
      </c>
      <c r="D638" s="243" t="str">
        <f t="shared" si="88"/>
        <v/>
      </c>
      <c r="E638" s="265" t="str">
        <f>IF($A638="","",SUMIFS(Txn[Signed Units],Txn[Key],$A638))</f>
        <v/>
      </c>
      <c r="F638" s="287" t="str">
        <f>IF($A638="","",SUMIFS(Txn[Buy Cost],Txn[Key],$A638))</f>
        <v/>
      </c>
      <c r="G638" s="287" t="str">
        <f>IF($A638="","",SUMIFS(Txn[Sell Proceeds],Txn[Key],$A638))</f>
        <v/>
      </c>
      <c r="H638" s="288" t="str">
        <f>IF($A638="","",IFERROR(INDEX(Prices[Current Price],MATCH($A638,Prices[Key],0)),0))</f>
        <v/>
      </c>
      <c r="I638" s="289" t="str">
        <f>IF($A638="","",IFERROR(INDEX(Prices[FX to SGD],MATCH($A638,Prices[Key],0)),1))</f>
        <v/>
      </c>
      <c r="J638" s="287" t="str">
        <f t="shared" si="89"/>
        <v/>
      </c>
      <c r="K638" s="287" t="str">
        <f t="shared" si="90"/>
        <v/>
      </c>
      <c r="L638" s="287" t="str">
        <f t="shared" si="91"/>
        <v/>
      </c>
      <c r="M638" s="290" t="str">
        <f t="shared" si="92"/>
        <v/>
      </c>
      <c r="N638" t="str">
        <f>IF($A638="","",IFERROR(INDEX(Prices[Category],MATCH($A638,Prices[Key],0)),"Uncategorized"))</f>
        <v/>
      </c>
      <c r="O638" s="291" t="str">
        <f t="shared" si="93"/>
        <v/>
      </c>
      <c r="P638" s="291" t="str">
        <f t="shared" si="94"/>
        <v/>
      </c>
    </row>
    <row r="639" spans="1:16" ht="15" customHeight="1" x14ac:dyDescent="0.2">
      <c r="A639" s="243" t="str">
        <f>IFERROR(INDEX('All Ticker P&amp;L'!$A$2:$A$1001,MATCH(ROWS($A$2:A639),'All Ticker P&amp;L'!$N$2:$N$1001,0)),"")</f>
        <v/>
      </c>
      <c r="B639" s="243" t="str">
        <f t="shared" si="86"/>
        <v/>
      </c>
      <c r="C639" s="243" t="str">
        <f t="shared" si="87"/>
        <v/>
      </c>
      <c r="D639" s="243" t="str">
        <f t="shared" si="88"/>
        <v/>
      </c>
      <c r="E639" s="265" t="str">
        <f>IF($A639="","",SUMIFS(Txn[Signed Units],Txn[Key],$A639))</f>
        <v/>
      </c>
      <c r="F639" s="287" t="str">
        <f>IF($A639="","",SUMIFS(Txn[Buy Cost],Txn[Key],$A639))</f>
        <v/>
      </c>
      <c r="G639" s="287" t="str">
        <f>IF($A639="","",SUMIFS(Txn[Sell Proceeds],Txn[Key],$A639))</f>
        <v/>
      </c>
      <c r="H639" s="288" t="str">
        <f>IF($A639="","",IFERROR(INDEX(Prices[Current Price],MATCH($A639,Prices[Key],0)),0))</f>
        <v/>
      </c>
      <c r="I639" s="289" t="str">
        <f>IF($A639="","",IFERROR(INDEX(Prices[FX to SGD],MATCH($A639,Prices[Key],0)),1))</f>
        <v/>
      </c>
      <c r="J639" s="287" t="str">
        <f t="shared" si="89"/>
        <v/>
      </c>
      <c r="K639" s="287" t="str">
        <f t="shared" si="90"/>
        <v/>
      </c>
      <c r="L639" s="287" t="str">
        <f t="shared" si="91"/>
        <v/>
      </c>
      <c r="M639" s="290" t="str">
        <f t="shared" si="92"/>
        <v/>
      </c>
      <c r="N639" t="str">
        <f>IF($A639="","",IFERROR(INDEX(Prices[Category],MATCH($A639,Prices[Key],0)),"Uncategorized"))</f>
        <v/>
      </c>
      <c r="O639" s="291" t="str">
        <f t="shared" si="93"/>
        <v/>
      </c>
      <c r="P639" s="291" t="str">
        <f t="shared" si="94"/>
        <v/>
      </c>
    </row>
    <row r="640" spans="1:16" ht="15" customHeight="1" x14ac:dyDescent="0.2">
      <c r="A640" s="243" t="str">
        <f>IFERROR(INDEX('All Ticker P&amp;L'!$A$2:$A$1001,MATCH(ROWS($A$2:A640),'All Ticker P&amp;L'!$N$2:$N$1001,0)),"")</f>
        <v/>
      </c>
      <c r="B640" s="243" t="str">
        <f t="shared" si="86"/>
        <v/>
      </c>
      <c r="C640" s="243" t="str">
        <f t="shared" si="87"/>
        <v/>
      </c>
      <c r="D640" s="243" t="str">
        <f t="shared" si="88"/>
        <v/>
      </c>
      <c r="E640" s="265" t="str">
        <f>IF($A640="","",SUMIFS(Txn[Signed Units],Txn[Key],$A640))</f>
        <v/>
      </c>
      <c r="F640" s="287" t="str">
        <f>IF($A640="","",SUMIFS(Txn[Buy Cost],Txn[Key],$A640))</f>
        <v/>
      </c>
      <c r="G640" s="287" t="str">
        <f>IF($A640="","",SUMIFS(Txn[Sell Proceeds],Txn[Key],$A640))</f>
        <v/>
      </c>
      <c r="H640" s="288" t="str">
        <f>IF($A640="","",IFERROR(INDEX(Prices[Current Price],MATCH($A640,Prices[Key],0)),0))</f>
        <v/>
      </c>
      <c r="I640" s="289" t="str">
        <f>IF($A640="","",IFERROR(INDEX(Prices[FX to SGD],MATCH($A640,Prices[Key],0)),1))</f>
        <v/>
      </c>
      <c r="J640" s="287" t="str">
        <f t="shared" si="89"/>
        <v/>
      </c>
      <c r="K640" s="287" t="str">
        <f t="shared" si="90"/>
        <v/>
      </c>
      <c r="L640" s="287" t="str">
        <f t="shared" si="91"/>
        <v/>
      </c>
      <c r="M640" s="290" t="str">
        <f t="shared" si="92"/>
        <v/>
      </c>
      <c r="N640" t="str">
        <f>IF($A640="","",IFERROR(INDEX(Prices[Category],MATCH($A640,Prices[Key],0)),"Uncategorized"))</f>
        <v/>
      </c>
      <c r="O640" s="291" t="str">
        <f t="shared" si="93"/>
        <v/>
      </c>
      <c r="P640" s="291" t="str">
        <f t="shared" si="94"/>
        <v/>
      </c>
    </row>
    <row r="641" spans="1:16" ht="15" customHeight="1" x14ac:dyDescent="0.2">
      <c r="A641" s="243" t="str">
        <f>IFERROR(INDEX('All Ticker P&amp;L'!$A$2:$A$1001,MATCH(ROWS($A$2:A641),'All Ticker P&amp;L'!$N$2:$N$1001,0)),"")</f>
        <v/>
      </c>
      <c r="B641" s="243" t="str">
        <f t="shared" si="86"/>
        <v/>
      </c>
      <c r="C641" s="243" t="str">
        <f t="shared" si="87"/>
        <v/>
      </c>
      <c r="D641" s="243" t="str">
        <f t="shared" si="88"/>
        <v/>
      </c>
      <c r="E641" s="265" t="str">
        <f>IF($A641="","",SUMIFS(Txn[Signed Units],Txn[Key],$A641))</f>
        <v/>
      </c>
      <c r="F641" s="287" t="str">
        <f>IF($A641="","",SUMIFS(Txn[Buy Cost],Txn[Key],$A641))</f>
        <v/>
      </c>
      <c r="G641" s="287" t="str">
        <f>IF($A641="","",SUMIFS(Txn[Sell Proceeds],Txn[Key],$A641))</f>
        <v/>
      </c>
      <c r="H641" s="288" t="str">
        <f>IF($A641="","",IFERROR(INDEX(Prices[Current Price],MATCH($A641,Prices[Key],0)),0))</f>
        <v/>
      </c>
      <c r="I641" s="289" t="str">
        <f>IF($A641="","",IFERROR(INDEX(Prices[FX to SGD],MATCH($A641,Prices[Key],0)),1))</f>
        <v/>
      </c>
      <c r="J641" s="287" t="str">
        <f t="shared" si="89"/>
        <v/>
      </c>
      <c r="K641" s="287" t="str">
        <f t="shared" si="90"/>
        <v/>
      </c>
      <c r="L641" s="287" t="str">
        <f t="shared" si="91"/>
        <v/>
      </c>
      <c r="M641" s="290" t="str">
        <f t="shared" si="92"/>
        <v/>
      </c>
      <c r="N641" t="str">
        <f>IF($A641="","",IFERROR(INDEX(Prices[Category],MATCH($A641,Prices[Key],0)),"Uncategorized"))</f>
        <v/>
      </c>
      <c r="O641" s="291" t="str">
        <f t="shared" si="93"/>
        <v/>
      </c>
      <c r="P641" s="291" t="str">
        <f t="shared" si="94"/>
        <v/>
      </c>
    </row>
    <row r="642" spans="1:16" ht="15" customHeight="1" x14ac:dyDescent="0.2">
      <c r="A642" s="243" t="str">
        <f>IFERROR(INDEX('All Ticker P&amp;L'!$A$2:$A$1001,MATCH(ROWS($A$2:A642),'All Ticker P&amp;L'!$N$2:$N$1001,0)),"")</f>
        <v/>
      </c>
      <c r="B642" s="243" t="str">
        <f t="shared" ref="B642:B705" si="95">IF($A642="","",LEFT($A642,FIND(":",$A642)-1))</f>
        <v/>
      </c>
      <c r="C642" s="243" t="str">
        <f t="shared" ref="C642:C705" si="96">IF($A642="","",MID($A642,FIND(":",$A642)+1,FIND(":",$A642,FIND(":",$A642)+1)-FIND(":",$A642)-1))</f>
        <v/>
      </c>
      <c r="D642" s="243" t="str">
        <f t="shared" ref="D642:D705" si="97">IF($A642="","",RIGHT($A642,LEN($A642)-FIND(":",$A642,FIND(":",$A642)+1)))</f>
        <v/>
      </c>
      <c r="E642" s="265" t="str">
        <f>IF($A642="","",SUMIFS(Txn[Signed Units],Txn[Key],$A642))</f>
        <v/>
      </c>
      <c r="F642" s="287" t="str">
        <f>IF($A642="","",SUMIFS(Txn[Buy Cost],Txn[Key],$A642))</f>
        <v/>
      </c>
      <c r="G642" s="287" t="str">
        <f>IF($A642="","",SUMIFS(Txn[Sell Proceeds],Txn[Key],$A642))</f>
        <v/>
      </c>
      <c r="H642" s="288" t="str">
        <f>IF($A642="","",IFERROR(INDEX(Prices[Current Price],MATCH($A642,Prices[Key],0)),0))</f>
        <v/>
      </c>
      <c r="I642" s="289" t="str">
        <f>IF($A642="","",IFERROR(INDEX(Prices[FX to SGD],MATCH($A642,Prices[Key],0)),1))</f>
        <v/>
      </c>
      <c r="J642" s="287" t="str">
        <f t="shared" ref="J642:J705" si="98">IF($A642="","",E642*H642)</f>
        <v/>
      </c>
      <c r="K642" s="287" t="str">
        <f t="shared" ref="K642:K705" si="99">IF($A642="","",J642+G642-F642)</f>
        <v/>
      </c>
      <c r="L642" s="287" t="str">
        <f t="shared" ref="L642:L705" si="100">IF($A642="","",K642*I642)</f>
        <v/>
      </c>
      <c r="M642" s="290" t="str">
        <f t="shared" ref="M642:M705" si="101">IF($A642="","",IFERROR(K642/F642,0))</f>
        <v/>
      </c>
      <c r="N642" t="str">
        <f>IF($A642="","",IFERROR(INDEX(Prices[Category],MATCH($A642,Prices[Key],0)),"Uncategorized"))</f>
        <v/>
      </c>
      <c r="O642" s="291" t="str">
        <f t="shared" ref="O642:O705" si="102">IF($A642="","",$J642*$I642)</f>
        <v/>
      </c>
      <c r="P642" s="291" t="str">
        <f t="shared" ref="P642:P705" si="103">IF($A642="","",$L642)</f>
        <v/>
      </c>
    </row>
    <row r="643" spans="1:16" ht="15" customHeight="1" x14ac:dyDescent="0.2">
      <c r="A643" s="243" t="str">
        <f>IFERROR(INDEX('All Ticker P&amp;L'!$A$2:$A$1001,MATCH(ROWS($A$2:A643),'All Ticker P&amp;L'!$N$2:$N$1001,0)),"")</f>
        <v/>
      </c>
      <c r="B643" s="243" t="str">
        <f t="shared" si="95"/>
        <v/>
      </c>
      <c r="C643" s="243" t="str">
        <f t="shared" si="96"/>
        <v/>
      </c>
      <c r="D643" s="243" t="str">
        <f t="shared" si="97"/>
        <v/>
      </c>
      <c r="E643" s="265" t="str">
        <f>IF($A643="","",SUMIFS(Txn[Signed Units],Txn[Key],$A643))</f>
        <v/>
      </c>
      <c r="F643" s="287" t="str">
        <f>IF($A643="","",SUMIFS(Txn[Buy Cost],Txn[Key],$A643))</f>
        <v/>
      </c>
      <c r="G643" s="287" t="str">
        <f>IF($A643="","",SUMIFS(Txn[Sell Proceeds],Txn[Key],$A643))</f>
        <v/>
      </c>
      <c r="H643" s="288" t="str">
        <f>IF($A643="","",IFERROR(INDEX(Prices[Current Price],MATCH($A643,Prices[Key],0)),0))</f>
        <v/>
      </c>
      <c r="I643" s="289" t="str">
        <f>IF($A643="","",IFERROR(INDEX(Prices[FX to SGD],MATCH($A643,Prices[Key],0)),1))</f>
        <v/>
      </c>
      <c r="J643" s="287" t="str">
        <f t="shared" si="98"/>
        <v/>
      </c>
      <c r="K643" s="287" t="str">
        <f t="shared" si="99"/>
        <v/>
      </c>
      <c r="L643" s="287" t="str">
        <f t="shared" si="100"/>
        <v/>
      </c>
      <c r="M643" s="290" t="str">
        <f t="shared" si="101"/>
        <v/>
      </c>
      <c r="N643" t="str">
        <f>IF($A643="","",IFERROR(INDEX(Prices[Category],MATCH($A643,Prices[Key],0)),"Uncategorized"))</f>
        <v/>
      </c>
      <c r="O643" s="291" t="str">
        <f t="shared" si="102"/>
        <v/>
      </c>
      <c r="P643" s="291" t="str">
        <f t="shared" si="103"/>
        <v/>
      </c>
    </row>
    <row r="644" spans="1:16" ht="15" customHeight="1" x14ac:dyDescent="0.2">
      <c r="A644" s="243" t="str">
        <f>IFERROR(INDEX('All Ticker P&amp;L'!$A$2:$A$1001,MATCH(ROWS($A$2:A644),'All Ticker P&amp;L'!$N$2:$N$1001,0)),"")</f>
        <v/>
      </c>
      <c r="B644" s="243" t="str">
        <f t="shared" si="95"/>
        <v/>
      </c>
      <c r="C644" s="243" t="str">
        <f t="shared" si="96"/>
        <v/>
      </c>
      <c r="D644" s="243" t="str">
        <f t="shared" si="97"/>
        <v/>
      </c>
      <c r="E644" s="265" t="str">
        <f>IF($A644="","",SUMIFS(Txn[Signed Units],Txn[Key],$A644))</f>
        <v/>
      </c>
      <c r="F644" s="287" t="str">
        <f>IF($A644="","",SUMIFS(Txn[Buy Cost],Txn[Key],$A644))</f>
        <v/>
      </c>
      <c r="G644" s="287" t="str">
        <f>IF($A644="","",SUMIFS(Txn[Sell Proceeds],Txn[Key],$A644))</f>
        <v/>
      </c>
      <c r="H644" s="288" t="str">
        <f>IF($A644="","",IFERROR(INDEX(Prices[Current Price],MATCH($A644,Prices[Key],0)),0))</f>
        <v/>
      </c>
      <c r="I644" s="289" t="str">
        <f>IF($A644="","",IFERROR(INDEX(Prices[FX to SGD],MATCH($A644,Prices[Key],0)),1))</f>
        <v/>
      </c>
      <c r="J644" s="287" t="str">
        <f t="shared" si="98"/>
        <v/>
      </c>
      <c r="K644" s="287" t="str">
        <f t="shared" si="99"/>
        <v/>
      </c>
      <c r="L644" s="287" t="str">
        <f t="shared" si="100"/>
        <v/>
      </c>
      <c r="M644" s="290" t="str">
        <f t="shared" si="101"/>
        <v/>
      </c>
      <c r="N644" t="str">
        <f>IF($A644="","",IFERROR(INDEX(Prices[Category],MATCH($A644,Prices[Key],0)),"Uncategorized"))</f>
        <v/>
      </c>
      <c r="O644" s="291" t="str">
        <f t="shared" si="102"/>
        <v/>
      </c>
      <c r="P644" s="291" t="str">
        <f t="shared" si="103"/>
        <v/>
      </c>
    </row>
    <row r="645" spans="1:16" ht="15" customHeight="1" x14ac:dyDescent="0.2">
      <c r="A645" s="243" t="str">
        <f>IFERROR(INDEX('All Ticker P&amp;L'!$A$2:$A$1001,MATCH(ROWS($A$2:A645),'All Ticker P&amp;L'!$N$2:$N$1001,0)),"")</f>
        <v/>
      </c>
      <c r="B645" s="243" t="str">
        <f t="shared" si="95"/>
        <v/>
      </c>
      <c r="C645" s="243" t="str">
        <f t="shared" si="96"/>
        <v/>
      </c>
      <c r="D645" s="243" t="str">
        <f t="shared" si="97"/>
        <v/>
      </c>
      <c r="E645" s="265" t="str">
        <f>IF($A645="","",SUMIFS(Txn[Signed Units],Txn[Key],$A645))</f>
        <v/>
      </c>
      <c r="F645" s="287" t="str">
        <f>IF($A645="","",SUMIFS(Txn[Buy Cost],Txn[Key],$A645))</f>
        <v/>
      </c>
      <c r="G645" s="287" t="str">
        <f>IF($A645="","",SUMIFS(Txn[Sell Proceeds],Txn[Key],$A645))</f>
        <v/>
      </c>
      <c r="H645" s="288" t="str">
        <f>IF($A645="","",IFERROR(INDEX(Prices[Current Price],MATCH($A645,Prices[Key],0)),0))</f>
        <v/>
      </c>
      <c r="I645" s="289" t="str">
        <f>IF($A645="","",IFERROR(INDEX(Prices[FX to SGD],MATCH($A645,Prices[Key],0)),1))</f>
        <v/>
      </c>
      <c r="J645" s="287" t="str">
        <f t="shared" si="98"/>
        <v/>
      </c>
      <c r="K645" s="287" t="str">
        <f t="shared" si="99"/>
        <v/>
      </c>
      <c r="L645" s="287" t="str">
        <f t="shared" si="100"/>
        <v/>
      </c>
      <c r="M645" s="290" t="str">
        <f t="shared" si="101"/>
        <v/>
      </c>
      <c r="N645" t="str">
        <f>IF($A645="","",IFERROR(INDEX(Prices[Category],MATCH($A645,Prices[Key],0)),"Uncategorized"))</f>
        <v/>
      </c>
      <c r="O645" s="291" t="str">
        <f t="shared" si="102"/>
        <v/>
      </c>
      <c r="P645" s="291" t="str">
        <f t="shared" si="103"/>
        <v/>
      </c>
    </row>
    <row r="646" spans="1:16" ht="15" customHeight="1" x14ac:dyDescent="0.2">
      <c r="A646" s="243" t="str">
        <f>IFERROR(INDEX('All Ticker P&amp;L'!$A$2:$A$1001,MATCH(ROWS($A$2:A646),'All Ticker P&amp;L'!$N$2:$N$1001,0)),"")</f>
        <v/>
      </c>
      <c r="B646" s="243" t="str">
        <f t="shared" si="95"/>
        <v/>
      </c>
      <c r="C646" s="243" t="str">
        <f t="shared" si="96"/>
        <v/>
      </c>
      <c r="D646" s="243" t="str">
        <f t="shared" si="97"/>
        <v/>
      </c>
      <c r="E646" s="265" t="str">
        <f>IF($A646="","",SUMIFS(Txn[Signed Units],Txn[Key],$A646))</f>
        <v/>
      </c>
      <c r="F646" s="287" t="str">
        <f>IF($A646="","",SUMIFS(Txn[Buy Cost],Txn[Key],$A646))</f>
        <v/>
      </c>
      <c r="G646" s="287" t="str">
        <f>IF($A646="","",SUMIFS(Txn[Sell Proceeds],Txn[Key],$A646))</f>
        <v/>
      </c>
      <c r="H646" s="288" t="str">
        <f>IF($A646="","",IFERROR(INDEX(Prices[Current Price],MATCH($A646,Prices[Key],0)),0))</f>
        <v/>
      </c>
      <c r="I646" s="289" t="str">
        <f>IF($A646="","",IFERROR(INDEX(Prices[FX to SGD],MATCH($A646,Prices[Key],0)),1))</f>
        <v/>
      </c>
      <c r="J646" s="287" t="str">
        <f t="shared" si="98"/>
        <v/>
      </c>
      <c r="K646" s="287" t="str">
        <f t="shared" si="99"/>
        <v/>
      </c>
      <c r="L646" s="287" t="str">
        <f t="shared" si="100"/>
        <v/>
      </c>
      <c r="M646" s="290" t="str">
        <f t="shared" si="101"/>
        <v/>
      </c>
      <c r="N646" t="str">
        <f>IF($A646="","",IFERROR(INDEX(Prices[Category],MATCH($A646,Prices[Key],0)),"Uncategorized"))</f>
        <v/>
      </c>
      <c r="O646" s="291" t="str">
        <f t="shared" si="102"/>
        <v/>
      </c>
      <c r="P646" s="291" t="str">
        <f t="shared" si="103"/>
        <v/>
      </c>
    </row>
    <row r="647" spans="1:16" ht="15" customHeight="1" x14ac:dyDescent="0.2">
      <c r="A647" s="243" t="str">
        <f>IFERROR(INDEX('All Ticker P&amp;L'!$A$2:$A$1001,MATCH(ROWS($A$2:A647),'All Ticker P&amp;L'!$N$2:$N$1001,0)),"")</f>
        <v/>
      </c>
      <c r="B647" s="243" t="str">
        <f t="shared" si="95"/>
        <v/>
      </c>
      <c r="C647" s="243" t="str">
        <f t="shared" si="96"/>
        <v/>
      </c>
      <c r="D647" s="243" t="str">
        <f t="shared" si="97"/>
        <v/>
      </c>
      <c r="E647" s="265" t="str">
        <f>IF($A647="","",SUMIFS(Txn[Signed Units],Txn[Key],$A647))</f>
        <v/>
      </c>
      <c r="F647" s="287" t="str">
        <f>IF($A647="","",SUMIFS(Txn[Buy Cost],Txn[Key],$A647))</f>
        <v/>
      </c>
      <c r="G647" s="287" t="str">
        <f>IF($A647="","",SUMIFS(Txn[Sell Proceeds],Txn[Key],$A647))</f>
        <v/>
      </c>
      <c r="H647" s="288" t="str">
        <f>IF($A647="","",IFERROR(INDEX(Prices[Current Price],MATCH($A647,Prices[Key],0)),0))</f>
        <v/>
      </c>
      <c r="I647" s="289" t="str">
        <f>IF($A647="","",IFERROR(INDEX(Prices[FX to SGD],MATCH($A647,Prices[Key],0)),1))</f>
        <v/>
      </c>
      <c r="J647" s="287" t="str">
        <f t="shared" si="98"/>
        <v/>
      </c>
      <c r="K647" s="287" t="str">
        <f t="shared" si="99"/>
        <v/>
      </c>
      <c r="L647" s="287" t="str">
        <f t="shared" si="100"/>
        <v/>
      </c>
      <c r="M647" s="290" t="str">
        <f t="shared" si="101"/>
        <v/>
      </c>
      <c r="N647" t="str">
        <f>IF($A647="","",IFERROR(INDEX(Prices[Category],MATCH($A647,Prices[Key],0)),"Uncategorized"))</f>
        <v/>
      </c>
      <c r="O647" s="291" t="str">
        <f t="shared" si="102"/>
        <v/>
      </c>
      <c r="P647" s="291" t="str">
        <f t="shared" si="103"/>
        <v/>
      </c>
    </row>
    <row r="648" spans="1:16" ht="15" customHeight="1" x14ac:dyDescent="0.2">
      <c r="A648" s="243" t="str">
        <f>IFERROR(INDEX('All Ticker P&amp;L'!$A$2:$A$1001,MATCH(ROWS($A$2:A648),'All Ticker P&amp;L'!$N$2:$N$1001,0)),"")</f>
        <v/>
      </c>
      <c r="B648" s="243" t="str">
        <f t="shared" si="95"/>
        <v/>
      </c>
      <c r="C648" s="243" t="str">
        <f t="shared" si="96"/>
        <v/>
      </c>
      <c r="D648" s="243" t="str">
        <f t="shared" si="97"/>
        <v/>
      </c>
      <c r="E648" s="265" t="str">
        <f>IF($A648="","",SUMIFS(Txn[Signed Units],Txn[Key],$A648))</f>
        <v/>
      </c>
      <c r="F648" s="287" t="str">
        <f>IF($A648="","",SUMIFS(Txn[Buy Cost],Txn[Key],$A648))</f>
        <v/>
      </c>
      <c r="G648" s="287" t="str">
        <f>IF($A648="","",SUMIFS(Txn[Sell Proceeds],Txn[Key],$A648))</f>
        <v/>
      </c>
      <c r="H648" s="288" t="str">
        <f>IF($A648="","",IFERROR(INDEX(Prices[Current Price],MATCH($A648,Prices[Key],0)),0))</f>
        <v/>
      </c>
      <c r="I648" s="289" t="str">
        <f>IF($A648="","",IFERROR(INDEX(Prices[FX to SGD],MATCH($A648,Prices[Key],0)),1))</f>
        <v/>
      </c>
      <c r="J648" s="287" t="str">
        <f t="shared" si="98"/>
        <v/>
      </c>
      <c r="K648" s="287" t="str">
        <f t="shared" si="99"/>
        <v/>
      </c>
      <c r="L648" s="287" t="str">
        <f t="shared" si="100"/>
        <v/>
      </c>
      <c r="M648" s="290" t="str">
        <f t="shared" si="101"/>
        <v/>
      </c>
      <c r="N648" t="str">
        <f>IF($A648="","",IFERROR(INDEX(Prices[Category],MATCH($A648,Prices[Key],0)),"Uncategorized"))</f>
        <v/>
      </c>
      <c r="O648" s="291" t="str">
        <f t="shared" si="102"/>
        <v/>
      </c>
      <c r="P648" s="291" t="str">
        <f t="shared" si="103"/>
        <v/>
      </c>
    </row>
    <row r="649" spans="1:16" ht="15" customHeight="1" x14ac:dyDescent="0.2">
      <c r="A649" s="243" t="str">
        <f>IFERROR(INDEX('All Ticker P&amp;L'!$A$2:$A$1001,MATCH(ROWS($A$2:A649),'All Ticker P&amp;L'!$N$2:$N$1001,0)),"")</f>
        <v/>
      </c>
      <c r="B649" s="243" t="str">
        <f t="shared" si="95"/>
        <v/>
      </c>
      <c r="C649" s="243" t="str">
        <f t="shared" si="96"/>
        <v/>
      </c>
      <c r="D649" s="243" t="str">
        <f t="shared" si="97"/>
        <v/>
      </c>
      <c r="E649" s="265" t="str">
        <f>IF($A649="","",SUMIFS(Txn[Signed Units],Txn[Key],$A649))</f>
        <v/>
      </c>
      <c r="F649" s="287" t="str">
        <f>IF($A649="","",SUMIFS(Txn[Buy Cost],Txn[Key],$A649))</f>
        <v/>
      </c>
      <c r="G649" s="287" t="str">
        <f>IF($A649="","",SUMIFS(Txn[Sell Proceeds],Txn[Key],$A649))</f>
        <v/>
      </c>
      <c r="H649" s="288" t="str">
        <f>IF($A649="","",IFERROR(INDEX(Prices[Current Price],MATCH($A649,Prices[Key],0)),0))</f>
        <v/>
      </c>
      <c r="I649" s="289" t="str">
        <f>IF($A649="","",IFERROR(INDEX(Prices[FX to SGD],MATCH($A649,Prices[Key],0)),1))</f>
        <v/>
      </c>
      <c r="J649" s="287" t="str">
        <f t="shared" si="98"/>
        <v/>
      </c>
      <c r="K649" s="287" t="str">
        <f t="shared" si="99"/>
        <v/>
      </c>
      <c r="L649" s="287" t="str">
        <f t="shared" si="100"/>
        <v/>
      </c>
      <c r="M649" s="290" t="str">
        <f t="shared" si="101"/>
        <v/>
      </c>
      <c r="N649" t="str">
        <f>IF($A649="","",IFERROR(INDEX(Prices[Category],MATCH($A649,Prices[Key],0)),"Uncategorized"))</f>
        <v/>
      </c>
      <c r="O649" s="291" t="str">
        <f t="shared" si="102"/>
        <v/>
      </c>
      <c r="P649" s="291" t="str">
        <f t="shared" si="103"/>
        <v/>
      </c>
    </row>
    <row r="650" spans="1:16" ht="15" customHeight="1" x14ac:dyDescent="0.2">
      <c r="A650" s="243" t="str">
        <f>IFERROR(INDEX('All Ticker P&amp;L'!$A$2:$A$1001,MATCH(ROWS($A$2:A650),'All Ticker P&amp;L'!$N$2:$N$1001,0)),"")</f>
        <v/>
      </c>
      <c r="B650" s="243" t="str">
        <f t="shared" si="95"/>
        <v/>
      </c>
      <c r="C650" s="243" t="str">
        <f t="shared" si="96"/>
        <v/>
      </c>
      <c r="D650" s="243" t="str">
        <f t="shared" si="97"/>
        <v/>
      </c>
      <c r="E650" s="265" t="str">
        <f>IF($A650="","",SUMIFS(Txn[Signed Units],Txn[Key],$A650))</f>
        <v/>
      </c>
      <c r="F650" s="287" t="str">
        <f>IF($A650="","",SUMIFS(Txn[Buy Cost],Txn[Key],$A650))</f>
        <v/>
      </c>
      <c r="G650" s="287" t="str">
        <f>IF($A650="","",SUMIFS(Txn[Sell Proceeds],Txn[Key],$A650))</f>
        <v/>
      </c>
      <c r="H650" s="288" t="str">
        <f>IF($A650="","",IFERROR(INDEX(Prices[Current Price],MATCH($A650,Prices[Key],0)),0))</f>
        <v/>
      </c>
      <c r="I650" s="289" t="str">
        <f>IF($A650="","",IFERROR(INDEX(Prices[FX to SGD],MATCH($A650,Prices[Key],0)),1))</f>
        <v/>
      </c>
      <c r="J650" s="287" t="str">
        <f t="shared" si="98"/>
        <v/>
      </c>
      <c r="K650" s="287" t="str">
        <f t="shared" si="99"/>
        <v/>
      </c>
      <c r="L650" s="287" t="str">
        <f t="shared" si="100"/>
        <v/>
      </c>
      <c r="M650" s="290" t="str">
        <f t="shared" si="101"/>
        <v/>
      </c>
      <c r="N650" t="str">
        <f>IF($A650="","",IFERROR(INDEX(Prices[Category],MATCH($A650,Prices[Key],0)),"Uncategorized"))</f>
        <v/>
      </c>
      <c r="O650" s="291" t="str">
        <f t="shared" si="102"/>
        <v/>
      </c>
      <c r="P650" s="291" t="str">
        <f t="shared" si="103"/>
        <v/>
      </c>
    </row>
    <row r="651" spans="1:16" ht="15" customHeight="1" x14ac:dyDescent="0.2">
      <c r="A651" s="243" t="str">
        <f>IFERROR(INDEX('All Ticker P&amp;L'!$A$2:$A$1001,MATCH(ROWS($A$2:A651),'All Ticker P&amp;L'!$N$2:$N$1001,0)),"")</f>
        <v/>
      </c>
      <c r="B651" s="243" t="str">
        <f t="shared" si="95"/>
        <v/>
      </c>
      <c r="C651" s="243" t="str">
        <f t="shared" si="96"/>
        <v/>
      </c>
      <c r="D651" s="243" t="str">
        <f t="shared" si="97"/>
        <v/>
      </c>
      <c r="E651" s="265" t="str">
        <f>IF($A651="","",SUMIFS(Txn[Signed Units],Txn[Key],$A651))</f>
        <v/>
      </c>
      <c r="F651" s="287" t="str">
        <f>IF($A651="","",SUMIFS(Txn[Buy Cost],Txn[Key],$A651))</f>
        <v/>
      </c>
      <c r="G651" s="287" t="str">
        <f>IF($A651="","",SUMIFS(Txn[Sell Proceeds],Txn[Key],$A651))</f>
        <v/>
      </c>
      <c r="H651" s="288" t="str">
        <f>IF($A651="","",IFERROR(INDEX(Prices[Current Price],MATCH($A651,Prices[Key],0)),0))</f>
        <v/>
      </c>
      <c r="I651" s="289" t="str">
        <f>IF($A651="","",IFERROR(INDEX(Prices[FX to SGD],MATCH($A651,Prices[Key],0)),1))</f>
        <v/>
      </c>
      <c r="J651" s="287" t="str">
        <f t="shared" si="98"/>
        <v/>
      </c>
      <c r="K651" s="287" t="str">
        <f t="shared" si="99"/>
        <v/>
      </c>
      <c r="L651" s="287" t="str">
        <f t="shared" si="100"/>
        <v/>
      </c>
      <c r="M651" s="290" t="str">
        <f t="shared" si="101"/>
        <v/>
      </c>
      <c r="N651" t="str">
        <f>IF($A651="","",IFERROR(INDEX(Prices[Category],MATCH($A651,Prices[Key],0)),"Uncategorized"))</f>
        <v/>
      </c>
      <c r="O651" s="291" t="str">
        <f t="shared" si="102"/>
        <v/>
      </c>
      <c r="P651" s="291" t="str">
        <f t="shared" si="103"/>
        <v/>
      </c>
    </row>
    <row r="652" spans="1:16" ht="15" customHeight="1" x14ac:dyDescent="0.2">
      <c r="A652" s="243" t="str">
        <f>IFERROR(INDEX('All Ticker P&amp;L'!$A$2:$A$1001,MATCH(ROWS($A$2:A652),'All Ticker P&amp;L'!$N$2:$N$1001,0)),"")</f>
        <v/>
      </c>
      <c r="B652" s="243" t="str">
        <f t="shared" si="95"/>
        <v/>
      </c>
      <c r="C652" s="243" t="str">
        <f t="shared" si="96"/>
        <v/>
      </c>
      <c r="D652" s="243" t="str">
        <f t="shared" si="97"/>
        <v/>
      </c>
      <c r="E652" s="265" t="str">
        <f>IF($A652="","",SUMIFS(Txn[Signed Units],Txn[Key],$A652))</f>
        <v/>
      </c>
      <c r="F652" s="287" t="str">
        <f>IF($A652="","",SUMIFS(Txn[Buy Cost],Txn[Key],$A652))</f>
        <v/>
      </c>
      <c r="G652" s="287" t="str">
        <f>IF($A652="","",SUMIFS(Txn[Sell Proceeds],Txn[Key],$A652))</f>
        <v/>
      </c>
      <c r="H652" s="288" t="str">
        <f>IF($A652="","",IFERROR(INDEX(Prices[Current Price],MATCH($A652,Prices[Key],0)),0))</f>
        <v/>
      </c>
      <c r="I652" s="289" t="str">
        <f>IF($A652="","",IFERROR(INDEX(Prices[FX to SGD],MATCH($A652,Prices[Key],0)),1))</f>
        <v/>
      </c>
      <c r="J652" s="287" t="str">
        <f t="shared" si="98"/>
        <v/>
      </c>
      <c r="K652" s="287" t="str">
        <f t="shared" si="99"/>
        <v/>
      </c>
      <c r="L652" s="287" t="str">
        <f t="shared" si="100"/>
        <v/>
      </c>
      <c r="M652" s="290" t="str">
        <f t="shared" si="101"/>
        <v/>
      </c>
      <c r="N652" t="str">
        <f>IF($A652="","",IFERROR(INDEX(Prices[Category],MATCH($A652,Prices[Key],0)),"Uncategorized"))</f>
        <v/>
      </c>
      <c r="O652" s="291" t="str">
        <f t="shared" si="102"/>
        <v/>
      </c>
      <c r="P652" s="291" t="str">
        <f t="shared" si="103"/>
        <v/>
      </c>
    </row>
    <row r="653" spans="1:16" ht="15" customHeight="1" x14ac:dyDescent="0.2">
      <c r="A653" s="243" t="str">
        <f>IFERROR(INDEX('All Ticker P&amp;L'!$A$2:$A$1001,MATCH(ROWS($A$2:A653),'All Ticker P&amp;L'!$N$2:$N$1001,0)),"")</f>
        <v/>
      </c>
      <c r="B653" s="243" t="str">
        <f t="shared" si="95"/>
        <v/>
      </c>
      <c r="C653" s="243" t="str">
        <f t="shared" si="96"/>
        <v/>
      </c>
      <c r="D653" s="243" t="str">
        <f t="shared" si="97"/>
        <v/>
      </c>
      <c r="E653" s="265" t="str">
        <f>IF($A653="","",SUMIFS(Txn[Signed Units],Txn[Key],$A653))</f>
        <v/>
      </c>
      <c r="F653" s="287" t="str">
        <f>IF($A653="","",SUMIFS(Txn[Buy Cost],Txn[Key],$A653))</f>
        <v/>
      </c>
      <c r="G653" s="287" t="str">
        <f>IF($A653="","",SUMIFS(Txn[Sell Proceeds],Txn[Key],$A653))</f>
        <v/>
      </c>
      <c r="H653" s="288" t="str">
        <f>IF($A653="","",IFERROR(INDEX(Prices[Current Price],MATCH($A653,Prices[Key],0)),0))</f>
        <v/>
      </c>
      <c r="I653" s="289" t="str">
        <f>IF($A653="","",IFERROR(INDEX(Prices[FX to SGD],MATCH($A653,Prices[Key],0)),1))</f>
        <v/>
      </c>
      <c r="J653" s="287" t="str">
        <f t="shared" si="98"/>
        <v/>
      </c>
      <c r="K653" s="287" t="str">
        <f t="shared" si="99"/>
        <v/>
      </c>
      <c r="L653" s="287" t="str">
        <f t="shared" si="100"/>
        <v/>
      </c>
      <c r="M653" s="290" t="str">
        <f t="shared" si="101"/>
        <v/>
      </c>
      <c r="N653" t="str">
        <f>IF($A653="","",IFERROR(INDEX(Prices[Category],MATCH($A653,Prices[Key],0)),"Uncategorized"))</f>
        <v/>
      </c>
      <c r="O653" s="291" t="str">
        <f t="shared" si="102"/>
        <v/>
      </c>
      <c r="P653" s="291" t="str">
        <f t="shared" si="103"/>
        <v/>
      </c>
    </row>
    <row r="654" spans="1:16" ht="15" customHeight="1" x14ac:dyDescent="0.2">
      <c r="A654" s="243" t="str">
        <f>IFERROR(INDEX('All Ticker P&amp;L'!$A$2:$A$1001,MATCH(ROWS($A$2:A654),'All Ticker P&amp;L'!$N$2:$N$1001,0)),"")</f>
        <v/>
      </c>
      <c r="B654" s="243" t="str">
        <f t="shared" si="95"/>
        <v/>
      </c>
      <c r="C654" s="243" t="str">
        <f t="shared" si="96"/>
        <v/>
      </c>
      <c r="D654" s="243" t="str">
        <f t="shared" si="97"/>
        <v/>
      </c>
      <c r="E654" s="265" t="str">
        <f>IF($A654="","",SUMIFS(Txn[Signed Units],Txn[Key],$A654))</f>
        <v/>
      </c>
      <c r="F654" s="287" t="str">
        <f>IF($A654="","",SUMIFS(Txn[Buy Cost],Txn[Key],$A654))</f>
        <v/>
      </c>
      <c r="G654" s="287" t="str">
        <f>IF($A654="","",SUMIFS(Txn[Sell Proceeds],Txn[Key],$A654))</f>
        <v/>
      </c>
      <c r="H654" s="288" t="str">
        <f>IF($A654="","",IFERROR(INDEX(Prices[Current Price],MATCH($A654,Prices[Key],0)),0))</f>
        <v/>
      </c>
      <c r="I654" s="289" t="str">
        <f>IF($A654="","",IFERROR(INDEX(Prices[FX to SGD],MATCH($A654,Prices[Key],0)),1))</f>
        <v/>
      </c>
      <c r="J654" s="287" t="str">
        <f t="shared" si="98"/>
        <v/>
      </c>
      <c r="K654" s="287" t="str">
        <f t="shared" si="99"/>
        <v/>
      </c>
      <c r="L654" s="287" t="str">
        <f t="shared" si="100"/>
        <v/>
      </c>
      <c r="M654" s="290" t="str">
        <f t="shared" si="101"/>
        <v/>
      </c>
      <c r="N654" t="str">
        <f>IF($A654="","",IFERROR(INDEX(Prices[Category],MATCH($A654,Prices[Key],0)),"Uncategorized"))</f>
        <v/>
      </c>
      <c r="O654" s="291" t="str">
        <f t="shared" si="102"/>
        <v/>
      </c>
      <c r="P654" s="291" t="str">
        <f t="shared" si="103"/>
        <v/>
      </c>
    </row>
    <row r="655" spans="1:16" ht="15" customHeight="1" x14ac:dyDescent="0.2">
      <c r="A655" s="243" t="str">
        <f>IFERROR(INDEX('All Ticker P&amp;L'!$A$2:$A$1001,MATCH(ROWS($A$2:A655),'All Ticker P&amp;L'!$N$2:$N$1001,0)),"")</f>
        <v/>
      </c>
      <c r="B655" s="243" t="str">
        <f t="shared" si="95"/>
        <v/>
      </c>
      <c r="C655" s="243" t="str">
        <f t="shared" si="96"/>
        <v/>
      </c>
      <c r="D655" s="243" t="str">
        <f t="shared" si="97"/>
        <v/>
      </c>
      <c r="E655" s="265" t="str">
        <f>IF($A655="","",SUMIFS(Txn[Signed Units],Txn[Key],$A655))</f>
        <v/>
      </c>
      <c r="F655" s="287" t="str">
        <f>IF($A655="","",SUMIFS(Txn[Buy Cost],Txn[Key],$A655))</f>
        <v/>
      </c>
      <c r="G655" s="287" t="str">
        <f>IF($A655="","",SUMIFS(Txn[Sell Proceeds],Txn[Key],$A655))</f>
        <v/>
      </c>
      <c r="H655" s="288" t="str">
        <f>IF($A655="","",IFERROR(INDEX(Prices[Current Price],MATCH($A655,Prices[Key],0)),0))</f>
        <v/>
      </c>
      <c r="I655" s="289" t="str">
        <f>IF($A655="","",IFERROR(INDEX(Prices[FX to SGD],MATCH($A655,Prices[Key],0)),1))</f>
        <v/>
      </c>
      <c r="J655" s="287" t="str">
        <f t="shared" si="98"/>
        <v/>
      </c>
      <c r="K655" s="287" t="str">
        <f t="shared" si="99"/>
        <v/>
      </c>
      <c r="L655" s="287" t="str">
        <f t="shared" si="100"/>
        <v/>
      </c>
      <c r="M655" s="290" t="str">
        <f t="shared" si="101"/>
        <v/>
      </c>
      <c r="N655" t="str">
        <f>IF($A655="","",IFERROR(INDEX(Prices[Category],MATCH($A655,Prices[Key],0)),"Uncategorized"))</f>
        <v/>
      </c>
      <c r="O655" s="291" t="str">
        <f t="shared" si="102"/>
        <v/>
      </c>
      <c r="P655" s="291" t="str">
        <f t="shared" si="103"/>
        <v/>
      </c>
    </row>
    <row r="656" spans="1:16" ht="15" customHeight="1" x14ac:dyDescent="0.2">
      <c r="A656" s="243" t="str">
        <f>IFERROR(INDEX('All Ticker P&amp;L'!$A$2:$A$1001,MATCH(ROWS($A$2:A656),'All Ticker P&amp;L'!$N$2:$N$1001,0)),"")</f>
        <v/>
      </c>
      <c r="B656" s="243" t="str">
        <f t="shared" si="95"/>
        <v/>
      </c>
      <c r="C656" s="243" t="str">
        <f t="shared" si="96"/>
        <v/>
      </c>
      <c r="D656" s="243" t="str">
        <f t="shared" si="97"/>
        <v/>
      </c>
      <c r="E656" s="265" t="str">
        <f>IF($A656="","",SUMIFS(Txn[Signed Units],Txn[Key],$A656))</f>
        <v/>
      </c>
      <c r="F656" s="287" t="str">
        <f>IF($A656="","",SUMIFS(Txn[Buy Cost],Txn[Key],$A656))</f>
        <v/>
      </c>
      <c r="G656" s="287" t="str">
        <f>IF($A656="","",SUMIFS(Txn[Sell Proceeds],Txn[Key],$A656))</f>
        <v/>
      </c>
      <c r="H656" s="288" t="str">
        <f>IF($A656="","",IFERROR(INDEX(Prices[Current Price],MATCH($A656,Prices[Key],0)),0))</f>
        <v/>
      </c>
      <c r="I656" s="289" t="str">
        <f>IF($A656="","",IFERROR(INDEX(Prices[FX to SGD],MATCH($A656,Prices[Key],0)),1))</f>
        <v/>
      </c>
      <c r="J656" s="287" t="str">
        <f t="shared" si="98"/>
        <v/>
      </c>
      <c r="K656" s="287" t="str">
        <f t="shared" si="99"/>
        <v/>
      </c>
      <c r="L656" s="287" t="str">
        <f t="shared" si="100"/>
        <v/>
      </c>
      <c r="M656" s="290" t="str">
        <f t="shared" si="101"/>
        <v/>
      </c>
      <c r="N656" t="str">
        <f>IF($A656="","",IFERROR(INDEX(Prices[Category],MATCH($A656,Prices[Key],0)),"Uncategorized"))</f>
        <v/>
      </c>
      <c r="O656" s="291" t="str">
        <f t="shared" si="102"/>
        <v/>
      </c>
      <c r="P656" s="291" t="str">
        <f t="shared" si="103"/>
        <v/>
      </c>
    </row>
    <row r="657" spans="1:16" ht="15" customHeight="1" x14ac:dyDescent="0.2">
      <c r="A657" s="243" t="str">
        <f>IFERROR(INDEX('All Ticker P&amp;L'!$A$2:$A$1001,MATCH(ROWS($A$2:A657),'All Ticker P&amp;L'!$N$2:$N$1001,0)),"")</f>
        <v/>
      </c>
      <c r="B657" s="243" t="str">
        <f t="shared" si="95"/>
        <v/>
      </c>
      <c r="C657" s="243" t="str">
        <f t="shared" si="96"/>
        <v/>
      </c>
      <c r="D657" s="243" t="str">
        <f t="shared" si="97"/>
        <v/>
      </c>
      <c r="E657" s="265" t="str">
        <f>IF($A657="","",SUMIFS(Txn[Signed Units],Txn[Key],$A657))</f>
        <v/>
      </c>
      <c r="F657" s="287" t="str">
        <f>IF($A657="","",SUMIFS(Txn[Buy Cost],Txn[Key],$A657))</f>
        <v/>
      </c>
      <c r="G657" s="287" t="str">
        <f>IF($A657="","",SUMIFS(Txn[Sell Proceeds],Txn[Key],$A657))</f>
        <v/>
      </c>
      <c r="H657" s="288" t="str">
        <f>IF($A657="","",IFERROR(INDEX(Prices[Current Price],MATCH($A657,Prices[Key],0)),0))</f>
        <v/>
      </c>
      <c r="I657" s="289" t="str">
        <f>IF($A657="","",IFERROR(INDEX(Prices[FX to SGD],MATCH($A657,Prices[Key],0)),1))</f>
        <v/>
      </c>
      <c r="J657" s="287" t="str">
        <f t="shared" si="98"/>
        <v/>
      </c>
      <c r="K657" s="287" t="str">
        <f t="shared" si="99"/>
        <v/>
      </c>
      <c r="L657" s="287" t="str">
        <f t="shared" si="100"/>
        <v/>
      </c>
      <c r="M657" s="290" t="str">
        <f t="shared" si="101"/>
        <v/>
      </c>
      <c r="N657" t="str">
        <f>IF($A657="","",IFERROR(INDEX(Prices[Category],MATCH($A657,Prices[Key],0)),"Uncategorized"))</f>
        <v/>
      </c>
      <c r="O657" s="291" t="str">
        <f t="shared" si="102"/>
        <v/>
      </c>
      <c r="P657" s="291" t="str">
        <f t="shared" si="103"/>
        <v/>
      </c>
    </row>
    <row r="658" spans="1:16" ht="15" customHeight="1" x14ac:dyDescent="0.2">
      <c r="A658" s="243" t="str">
        <f>IFERROR(INDEX('All Ticker P&amp;L'!$A$2:$A$1001,MATCH(ROWS($A$2:A658),'All Ticker P&amp;L'!$N$2:$N$1001,0)),"")</f>
        <v/>
      </c>
      <c r="B658" s="243" t="str">
        <f t="shared" si="95"/>
        <v/>
      </c>
      <c r="C658" s="243" t="str">
        <f t="shared" si="96"/>
        <v/>
      </c>
      <c r="D658" s="243" t="str">
        <f t="shared" si="97"/>
        <v/>
      </c>
      <c r="E658" s="265" t="str">
        <f>IF($A658="","",SUMIFS(Txn[Signed Units],Txn[Key],$A658))</f>
        <v/>
      </c>
      <c r="F658" s="287" t="str">
        <f>IF($A658="","",SUMIFS(Txn[Buy Cost],Txn[Key],$A658))</f>
        <v/>
      </c>
      <c r="G658" s="287" t="str">
        <f>IF($A658="","",SUMIFS(Txn[Sell Proceeds],Txn[Key],$A658))</f>
        <v/>
      </c>
      <c r="H658" s="288" t="str">
        <f>IF($A658="","",IFERROR(INDEX(Prices[Current Price],MATCH($A658,Prices[Key],0)),0))</f>
        <v/>
      </c>
      <c r="I658" s="289" t="str">
        <f>IF($A658="","",IFERROR(INDEX(Prices[FX to SGD],MATCH($A658,Prices[Key],0)),1))</f>
        <v/>
      </c>
      <c r="J658" s="287" t="str">
        <f t="shared" si="98"/>
        <v/>
      </c>
      <c r="K658" s="287" t="str">
        <f t="shared" si="99"/>
        <v/>
      </c>
      <c r="L658" s="287" t="str">
        <f t="shared" si="100"/>
        <v/>
      </c>
      <c r="M658" s="290" t="str">
        <f t="shared" si="101"/>
        <v/>
      </c>
      <c r="N658" t="str">
        <f>IF($A658="","",IFERROR(INDEX(Prices[Category],MATCH($A658,Prices[Key],0)),"Uncategorized"))</f>
        <v/>
      </c>
      <c r="O658" s="291" t="str">
        <f t="shared" si="102"/>
        <v/>
      </c>
      <c r="P658" s="291" t="str">
        <f t="shared" si="103"/>
        <v/>
      </c>
    </row>
    <row r="659" spans="1:16" ht="15" customHeight="1" x14ac:dyDescent="0.2">
      <c r="A659" s="243" t="str">
        <f>IFERROR(INDEX('All Ticker P&amp;L'!$A$2:$A$1001,MATCH(ROWS($A$2:A659),'All Ticker P&amp;L'!$N$2:$N$1001,0)),"")</f>
        <v/>
      </c>
      <c r="B659" s="243" t="str">
        <f t="shared" si="95"/>
        <v/>
      </c>
      <c r="C659" s="243" t="str">
        <f t="shared" si="96"/>
        <v/>
      </c>
      <c r="D659" s="243" t="str">
        <f t="shared" si="97"/>
        <v/>
      </c>
      <c r="E659" s="265" t="str">
        <f>IF($A659="","",SUMIFS(Txn[Signed Units],Txn[Key],$A659))</f>
        <v/>
      </c>
      <c r="F659" s="287" t="str">
        <f>IF($A659="","",SUMIFS(Txn[Buy Cost],Txn[Key],$A659))</f>
        <v/>
      </c>
      <c r="G659" s="287" t="str">
        <f>IF($A659="","",SUMIFS(Txn[Sell Proceeds],Txn[Key],$A659))</f>
        <v/>
      </c>
      <c r="H659" s="288" t="str">
        <f>IF($A659="","",IFERROR(INDEX(Prices[Current Price],MATCH($A659,Prices[Key],0)),0))</f>
        <v/>
      </c>
      <c r="I659" s="289" t="str">
        <f>IF($A659="","",IFERROR(INDEX(Prices[FX to SGD],MATCH($A659,Prices[Key],0)),1))</f>
        <v/>
      </c>
      <c r="J659" s="287" t="str">
        <f t="shared" si="98"/>
        <v/>
      </c>
      <c r="K659" s="287" t="str">
        <f t="shared" si="99"/>
        <v/>
      </c>
      <c r="L659" s="287" t="str">
        <f t="shared" si="100"/>
        <v/>
      </c>
      <c r="M659" s="290" t="str">
        <f t="shared" si="101"/>
        <v/>
      </c>
      <c r="N659" t="str">
        <f>IF($A659="","",IFERROR(INDEX(Prices[Category],MATCH($A659,Prices[Key],0)),"Uncategorized"))</f>
        <v/>
      </c>
      <c r="O659" s="291" t="str">
        <f t="shared" si="102"/>
        <v/>
      </c>
      <c r="P659" s="291" t="str">
        <f t="shared" si="103"/>
        <v/>
      </c>
    </row>
    <row r="660" spans="1:16" ht="15" customHeight="1" x14ac:dyDescent="0.2">
      <c r="A660" s="243" t="str">
        <f>IFERROR(INDEX('All Ticker P&amp;L'!$A$2:$A$1001,MATCH(ROWS($A$2:A660),'All Ticker P&amp;L'!$N$2:$N$1001,0)),"")</f>
        <v/>
      </c>
      <c r="B660" s="243" t="str">
        <f t="shared" si="95"/>
        <v/>
      </c>
      <c r="C660" s="243" t="str">
        <f t="shared" si="96"/>
        <v/>
      </c>
      <c r="D660" s="243" t="str">
        <f t="shared" si="97"/>
        <v/>
      </c>
      <c r="E660" s="265" t="str">
        <f>IF($A660="","",SUMIFS(Txn[Signed Units],Txn[Key],$A660))</f>
        <v/>
      </c>
      <c r="F660" s="287" t="str">
        <f>IF($A660="","",SUMIFS(Txn[Buy Cost],Txn[Key],$A660))</f>
        <v/>
      </c>
      <c r="G660" s="287" t="str">
        <f>IF($A660="","",SUMIFS(Txn[Sell Proceeds],Txn[Key],$A660))</f>
        <v/>
      </c>
      <c r="H660" s="288" t="str">
        <f>IF($A660="","",IFERROR(INDEX(Prices[Current Price],MATCH($A660,Prices[Key],0)),0))</f>
        <v/>
      </c>
      <c r="I660" s="289" t="str">
        <f>IF($A660="","",IFERROR(INDEX(Prices[FX to SGD],MATCH($A660,Prices[Key],0)),1))</f>
        <v/>
      </c>
      <c r="J660" s="287" t="str">
        <f t="shared" si="98"/>
        <v/>
      </c>
      <c r="K660" s="287" t="str">
        <f t="shared" si="99"/>
        <v/>
      </c>
      <c r="L660" s="287" t="str">
        <f t="shared" si="100"/>
        <v/>
      </c>
      <c r="M660" s="290" t="str">
        <f t="shared" si="101"/>
        <v/>
      </c>
      <c r="N660" t="str">
        <f>IF($A660="","",IFERROR(INDEX(Prices[Category],MATCH($A660,Prices[Key],0)),"Uncategorized"))</f>
        <v/>
      </c>
      <c r="O660" s="291" t="str">
        <f t="shared" si="102"/>
        <v/>
      </c>
      <c r="P660" s="291" t="str">
        <f t="shared" si="103"/>
        <v/>
      </c>
    </row>
    <row r="661" spans="1:16" ht="15" customHeight="1" x14ac:dyDescent="0.2">
      <c r="A661" s="243" t="str">
        <f>IFERROR(INDEX('All Ticker P&amp;L'!$A$2:$A$1001,MATCH(ROWS($A$2:A661),'All Ticker P&amp;L'!$N$2:$N$1001,0)),"")</f>
        <v/>
      </c>
      <c r="B661" s="243" t="str">
        <f t="shared" si="95"/>
        <v/>
      </c>
      <c r="C661" s="243" t="str">
        <f t="shared" si="96"/>
        <v/>
      </c>
      <c r="D661" s="243" t="str">
        <f t="shared" si="97"/>
        <v/>
      </c>
      <c r="E661" s="265" t="str">
        <f>IF($A661="","",SUMIFS(Txn[Signed Units],Txn[Key],$A661))</f>
        <v/>
      </c>
      <c r="F661" s="287" t="str">
        <f>IF($A661="","",SUMIFS(Txn[Buy Cost],Txn[Key],$A661))</f>
        <v/>
      </c>
      <c r="G661" s="287" t="str">
        <f>IF($A661="","",SUMIFS(Txn[Sell Proceeds],Txn[Key],$A661))</f>
        <v/>
      </c>
      <c r="H661" s="288" t="str">
        <f>IF($A661="","",IFERROR(INDEX(Prices[Current Price],MATCH($A661,Prices[Key],0)),0))</f>
        <v/>
      </c>
      <c r="I661" s="289" t="str">
        <f>IF($A661="","",IFERROR(INDEX(Prices[FX to SGD],MATCH($A661,Prices[Key],0)),1))</f>
        <v/>
      </c>
      <c r="J661" s="287" t="str">
        <f t="shared" si="98"/>
        <v/>
      </c>
      <c r="K661" s="287" t="str">
        <f t="shared" si="99"/>
        <v/>
      </c>
      <c r="L661" s="287" t="str">
        <f t="shared" si="100"/>
        <v/>
      </c>
      <c r="M661" s="290" t="str">
        <f t="shared" si="101"/>
        <v/>
      </c>
      <c r="N661" t="str">
        <f>IF($A661="","",IFERROR(INDEX(Prices[Category],MATCH($A661,Prices[Key],0)),"Uncategorized"))</f>
        <v/>
      </c>
      <c r="O661" s="291" t="str">
        <f t="shared" si="102"/>
        <v/>
      </c>
      <c r="P661" s="291" t="str">
        <f t="shared" si="103"/>
        <v/>
      </c>
    </row>
    <row r="662" spans="1:16" ht="15" customHeight="1" x14ac:dyDescent="0.2">
      <c r="A662" s="243" t="str">
        <f>IFERROR(INDEX('All Ticker P&amp;L'!$A$2:$A$1001,MATCH(ROWS($A$2:A662),'All Ticker P&amp;L'!$N$2:$N$1001,0)),"")</f>
        <v/>
      </c>
      <c r="B662" s="243" t="str">
        <f t="shared" si="95"/>
        <v/>
      </c>
      <c r="C662" s="243" t="str">
        <f t="shared" si="96"/>
        <v/>
      </c>
      <c r="D662" s="243" t="str">
        <f t="shared" si="97"/>
        <v/>
      </c>
      <c r="E662" s="265" t="str">
        <f>IF($A662="","",SUMIFS(Txn[Signed Units],Txn[Key],$A662))</f>
        <v/>
      </c>
      <c r="F662" s="287" t="str">
        <f>IF($A662="","",SUMIFS(Txn[Buy Cost],Txn[Key],$A662))</f>
        <v/>
      </c>
      <c r="G662" s="287" t="str">
        <f>IF($A662="","",SUMIFS(Txn[Sell Proceeds],Txn[Key],$A662))</f>
        <v/>
      </c>
      <c r="H662" s="288" t="str">
        <f>IF($A662="","",IFERROR(INDEX(Prices[Current Price],MATCH($A662,Prices[Key],0)),0))</f>
        <v/>
      </c>
      <c r="I662" s="289" t="str">
        <f>IF($A662="","",IFERROR(INDEX(Prices[FX to SGD],MATCH($A662,Prices[Key],0)),1))</f>
        <v/>
      </c>
      <c r="J662" s="287" t="str">
        <f t="shared" si="98"/>
        <v/>
      </c>
      <c r="K662" s="287" t="str">
        <f t="shared" si="99"/>
        <v/>
      </c>
      <c r="L662" s="287" t="str">
        <f t="shared" si="100"/>
        <v/>
      </c>
      <c r="M662" s="290" t="str">
        <f t="shared" si="101"/>
        <v/>
      </c>
      <c r="N662" t="str">
        <f>IF($A662="","",IFERROR(INDEX(Prices[Category],MATCH($A662,Prices[Key],0)),"Uncategorized"))</f>
        <v/>
      </c>
      <c r="O662" s="291" t="str">
        <f t="shared" si="102"/>
        <v/>
      </c>
      <c r="P662" s="291" t="str">
        <f t="shared" si="103"/>
        <v/>
      </c>
    </row>
    <row r="663" spans="1:16" ht="15" customHeight="1" x14ac:dyDescent="0.2">
      <c r="A663" s="243" t="str">
        <f>IFERROR(INDEX('All Ticker P&amp;L'!$A$2:$A$1001,MATCH(ROWS($A$2:A663),'All Ticker P&amp;L'!$N$2:$N$1001,0)),"")</f>
        <v/>
      </c>
      <c r="B663" s="243" t="str">
        <f t="shared" si="95"/>
        <v/>
      </c>
      <c r="C663" s="243" t="str">
        <f t="shared" si="96"/>
        <v/>
      </c>
      <c r="D663" s="243" t="str">
        <f t="shared" si="97"/>
        <v/>
      </c>
      <c r="E663" s="265" t="str">
        <f>IF($A663="","",SUMIFS(Txn[Signed Units],Txn[Key],$A663))</f>
        <v/>
      </c>
      <c r="F663" s="287" t="str">
        <f>IF($A663="","",SUMIFS(Txn[Buy Cost],Txn[Key],$A663))</f>
        <v/>
      </c>
      <c r="G663" s="287" t="str">
        <f>IF($A663="","",SUMIFS(Txn[Sell Proceeds],Txn[Key],$A663))</f>
        <v/>
      </c>
      <c r="H663" s="288" t="str">
        <f>IF($A663="","",IFERROR(INDEX(Prices[Current Price],MATCH($A663,Prices[Key],0)),0))</f>
        <v/>
      </c>
      <c r="I663" s="289" t="str">
        <f>IF($A663="","",IFERROR(INDEX(Prices[FX to SGD],MATCH($A663,Prices[Key],0)),1))</f>
        <v/>
      </c>
      <c r="J663" s="287" t="str">
        <f t="shared" si="98"/>
        <v/>
      </c>
      <c r="K663" s="287" t="str">
        <f t="shared" si="99"/>
        <v/>
      </c>
      <c r="L663" s="287" t="str">
        <f t="shared" si="100"/>
        <v/>
      </c>
      <c r="M663" s="290" t="str">
        <f t="shared" si="101"/>
        <v/>
      </c>
      <c r="N663" t="str">
        <f>IF($A663="","",IFERROR(INDEX(Prices[Category],MATCH($A663,Prices[Key],0)),"Uncategorized"))</f>
        <v/>
      </c>
      <c r="O663" s="291" t="str">
        <f t="shared" si="102"/>
        <v/>
      </c>
      <c r="P663" s="291" t="str">
        <f t="shared" si="103"/>
        <v/>
      </c>
    </row>
    <row r="664" spans="1:16" ht="15" customHeight="1" x14ac:dyDescent="0.2">
      <c r="A664" s="243" t="str">
        <f>IFERROR(INDEX('All Ticker P&amp;L'!$A$2:$A$1001,MATCH(ROWS($A$2:A664),'All Ticker P&amp;L'!$N$2:$N$1001,0)),"")</f>
        <v/>
      </c>
      <c r="B664" s="243" t="str">
        <f t="shared" si="95"/>
        <v/>
      </c>
      <c r="C664" s="243" t="str">
        <f t="shared" si="96"/>
        <v/>
      </c>
      <c r="D664" s="243" t="str">
        <f t="shared" si="97"/>
        <v/>
      </c>
      <c r="E664" s="265" t="str">
        <f>IF($A664="","",SUMIFS(Txn[Signed Units],Txn[Key],$A664))</f>
        <v/>
      </c>
      <c r="F664" s="287" t="str">
        <f>IF($A664="","",SUMIFS(Txn[Buy Cost],Txn[Key],$A664))</f>
        <v/>
      </c>
      <c r="G664" s="287" t="str">
        <f>IF($A664="","",SUMIFS(Txn[Sell Proceeds],Txn[Key],$A664))</f>
        <v/>
      </c>
      <c r="H664" s="288" t="str">
        <f>IF($A664="","",IFERROR(INDEX(Prices[Current Price],MATCH($A664,Prices[Key],0)),0))</f>
        <v/>
      </c>
      <c r="I664" s="289" t="str">
        <f>IF($A664="","",IFERROR(INDEX(Prices[FX to SGD],MATCH($A664,Prices[Key],0)),1))</f>
        <v/>
      </c>
      <c r="J664" s="287" t="str">
        <f t="shared" si="98"/>
        <v/>
      </c>
      <c r="K664" s="287" t="str">
        <f t="shared" si="99"/>
        <v/>
      </c>
      <c r="L664" s="287" t="str">
        <f t="shared" si="100"/>
        <v/>
      </c>
      <c r="M664" s="290" t="str">
        <f t="shared" si="101"/>
        <v/>
      </c>
      <c r="N664" t="str">
        <f>IF($A664="","",IFERROR(INDEX(Prices[Category],MATCH($A664,Prices[Key],0)),"Uncategorized"))</f>
        <v/>
      </c>
      <c r="O664" s="291" t="str">
        <f t="shared" si="102"/>
        <v/>
      </c>
      <c r="P664" s="291" t="str">
        <f t="shared" si="103"/>
        <v/>
      </c>
    </row>
    <row r="665" spans="1:16" ht="15" customHeight="1" x14ac:dyDescent="0.2">
      <c r="A665" s="243" t="str">
        <f>IFERROR(INDEX('All Ticker P&amp;L'!$A$2:$A$1001,MATCH(ROWS($A$2:A665),'All Ticker P&amp;L'!$N$2:$N$1001,0)),"")</f>
        <v/>
      </c>
      <c r="B665" s="243" t="str">
        <f t="shared" si="95"/>
        <v/>
      </c>
      <c r="C665" s="243" t="str">
        <f t="shared" si="96"/>
        <v/>
      </c>
      <c r="D665" s="243" t="str">
        <f t="shared" si="97"/>
        <v/>
      </c>
      <c r="E665" s="265" t="str">
        <f>IF($A665="","",SUMIFS(Txn[Signed Units],Txn[Key],$A665))</f>
        <v/>
      </c>
      <c r="F665" s="287" t="str">
        <f>IF($A665="","",SUMIFS(Txn[Buy Cost],Txn[Key],$A665))</f>
        <v/>
      </c>
      <c r="G665" s="287" t="str">
        <f>IF($A665="","",SUMIFS(Txn[Sell Proceeds],Txn[Key],$A665))</f>
        <v/>
      </c>
      <c r="H665" s="288" t="str">
        <f>IF($A665="","",IFERROR(INDEX(Prices[Current Price],MATCH($A665,Prices[Key],0)),0))</f>
        <v/>
      </c>
      <c r="I665" s="289" t="str">
        <f>IF($A665="","",IFERROR(INDEX(Prices[FX to SGD],MATCH($A665,Prices[Key],0)),1))</f>
        <v/>
      </c>
      <c r="J665" s="287" t="str">
        <f t="shared" si="98"/>
        <v/>
      </c>
      <c r="K665" s="287" t="str">
        <f t="shared" si="99"/>
        <v/>
      </c>
      <c r="L665" s="287" t="str">
        <f t="shared" si="100"/>
        <v/>
      </c>
      <c r="M665" s="290" t="str">
        <f t="shared" si="101"/>
        <v/>
      </c>
      <c r="N665" t="str">
        <f>IF($A665="","",IFERROR(INDEX(Prices[Category],MATCH($A665,Prices[Key],0)),"Uncategorized"))</f>
        <v/>
      </c>
      <c r="O665" s="291" t="str">
        <f t="shared" si="102"/>
        <v/>
      </c>
      <c r="P665" s="291" t="str">
        <f t="shared" si="103"/>
        <v/>
      </c>
    </row>
    <row r="666" spans="1:16" ht="15" customHeight="1" x14ac:dyDescent="0.2">
      <c r="A666" s="243" t="str">
        <f>IFERROR(INDEX('All Ticker P&amp;L'!$A$2:$A$1001,MATCH(ROWS($A$2:A666),'All Ticker P&amp;L'!$N$2:$N$1001,0)),"")</f>
        <v/>
      </c>
      <c r="B666" s="243" t="str">
        <f t="shared" si="95"/>
        <v/>
      </c>
      <c r="C666" s="243" t="str">
        <f t="shared" si="96"/>
        <v/>
      </c>
      <c r="D666" s="243" t="str">
        <f t="shared" si="97"/>
        <v/>
      </c>
      <c r="E666" s="265" t="str">
        <f>IF($A666="","",SUMIFS(Txn[Signed Units],Txn[Key],$A666))</f>
        <v/>
      </c>
      <c r="F666" s="287" t="str">
        <f>IF($A666="","",SUMIFS(Txn[Buy Cost],Txn[Key],$A666))</f>
        <v/>
      </c>
      <c r="G666" s="287" t="str">
        <f>IF($A666="","",SUMIFS(Txn[Sell Proceeds],Txn[Key],$A666))</f>
        <v/>
      </c>
      <c r="H666" s="288" t="str">
        <f>IF($A666="","",IFERROR(INDEX(Prices[Current Price],MATCH($A666,Prices[Key],0)),0))</f>
        <v/>
      </c>
      <c r="I666" s="289" t="str">
        <f>IF($A666="","",IFERROR(INDEX(Prices[FX to SGD],MATCH($A666,Prices[Key],0)),1))</f>
        <v/>
      </c>
      <c r="J666" s="287" t="str">
        <f t="shared" si="98"/>
        <v/>
      </c>
      <c r="K666" s="287" t="str">
        <f t="shared" si="99"/>
        <v/>
      </c>
      <c r="L666" s="287" t="str">
        <f t="shared" si="100"/>
        <v/>
      </c>
      <c r="M666" s="290" t="str">
        <f t="shared" si="101"/>
        <v/>
      </c>
      <c r="N666" t="str">
        <f>IF($A666="","",IFERROR(INDEX(Prices[Category],MATCH($A666,Prices[Key],0)),"Uncategorized"))</f>
        <v/>
      </c>
      <c r="O666" s="291" t="str">
        <f t="shared" si="102"/>
        <v/>
      </c>
      <c r="P666" s="291" t="str">
        <f t="shared" si="103"/>
        <v/>
      </c>
    </row>
    <row r="667" spans="1:16" ht="15" customHeight="1" x14ac:dyDescent="0.2">
      <c r="A667" s="243" t="str">
        <f>IFERROR(INDEX('All Ticker P&amp;L'!$A$2:$A$1001,MATCH(ROWS($A$2:A667),'All Ticker P&amp;L'!$N$2:$N$1001,0)),"")</f>
        <v/>
      </c>
      <c r="B667" s="243" t="str">
        <f t="shared" si="95"/>
        <v/>
      </c>
      <c r="C667" s="243" t="str">
        <f t="shared" si="96"/>
        <v/>
      </c>
      <c r="D667" s="243" t="str">
        <f t="shared" si="97"/>
        <v/>
      </c>
      <c r="E667" s="265" t="str">
        <f>IF($A667="","",SUMIFS(Txn[Signed Units],Txn[Key],$A667))</f>
        <v/>
      </c>
      <c r="F667" s="287" t="str">
        <f>IF($A667="","",SUMIFS(Txn[Buy Cost],Txn[Key],$A667))</f>
        <v/>
      </c>
      <c r="G667" s="287" t="str">
        <f>IF($A667="","",SUMIFS(Txn[Sell Proceeds],Txn[Key],$A667))</f>
        <v/>
      </c>
      <c r="H667" s="288" t="str">
        <f>IF($A667="","",IFERROR(INDEX(Prices[Current Price],MATCH($A667,Prices[Key],0)),0))</f>
        <v/>
      </c>
      <c r="I667" s="289" t="str">
        <f>IF($A667="","",IFERROR(INDEX(Prices[FX to SGD],MATCH($A667,Prices[Key],0)),1))</f>
        <v/>
      </c>
      <c r="J667" s="287" t="str">
        <f t="shared" si="98"/>
        <v/>
      </c>
      <c r="K667" s="287" t="str">
        <f t="shared" si="99"/>
        <v/>
      </c>
      <c r="L667" s="287" t="str">
        <f t="shared" si="100"/>
        <v/>
      </c>
      <c r="M667" s="290" t="str">
        <f t="shared" si="101"/>
        <v/>
      </c>
      <c r="N667" t="str">
        <f>IF($A667="","",IFERROR(INDEX(Prices[Category],MATCH($A667,Prices[Key],0)),"Uncategorized"))</f>
        <v/>
      </c>
      <c r="O667" s="291" t="str">
        <f t="shared" si="102"/>
        <v/>
      </c>
      <c r="P667" s="291" t="str">
        <f t="shared" si="103"/>
        <v/>
      </c>
    </row>
    <row r="668" spans="1:16" ht="15" customHeight="1" x14ac:dyDescent="0.2">
      <c r="A668" s="243" t="str">
        <f>IFERROR(INDEX('All Ticker P&amp;L'!$A$2:$A$1001,MATCH(ROWS($A$2:A668),'All Ticker P&amp;L'!$N$2:$N$1001,0)),"")</f>
        <v/>
      </c>
      <c r="B668" s="243" t="str">
        <f t="shared" si="95"/>
        <v/>
      </c>
      <c r="C668" s="243" t="str">
        <f t="shared" si="96"/>
        <v/>
      </c>
      <c r="D668" s="243" t="str">
        <f t="shared" si="97"/>
        <v/>
      </c>
      <c r="E668" s="265" t="str">
        <f>IF($A668="","",SUMIFS(Txn[Signed Units],Txn[Key],$A668))</f>
        <v/>
      </c>
      <c r="F668" s="287" t="str">
        <f>IF($A668="","",SUMIFS(Txn[Buy Cost],Txn[Key],$A668))</f>
        <v/>
      </c>
      <c r="G668" s="287" t="str">
        <f>IF($A668="","",SUMIFS(Txn[Sell Proceeds],Txn[Key],$A668))</f>
        <v/>
      </c>
      <c r="H668" s="288" t="str">
        <f>IF($A668="","",IFERROR(INDEX(Prices[Current Price],MATCH($A668,Prices[Key],0)),0))</f>
        <v/>
      </c>
      <c r="I668" s="289" t="str">
        <f>IF($A668="","",IFERROR(INDEX(Prices[FX to SGD],MATCH($A668,Prices[Key],0)),1))</f>
        <v/>
      </c>
      <c r="J668" s="287" t="str">
        <f t="shared" si="98"/>
        <v/>
      </c>
      <c r="K668" s="287" t="str">
        <f t="shared" si="99"/>
        <v/>
      </c>
      <c r="L668" s="287" t="str">
        <f t="shared" si="100"/>
        <v/>
      </c>
      <c r="M668" s="290" t="str">
        <f t="shared" si="101"/>
        <v/>
      </c>
      <c r="N668" t="str">
        <f>IF($A668="","",IFERROR(INDEX(Prices[Category],MATCH($A668,Prices[Key],0)),"Uncategorized"))</f>
        <v/>
      </c>
      <c r="O668" s="291" t="str">
        <f t="shared" si="102"/>
        <v/>
      </c>
      <c r="P668" s="291" t="str">
        <f t="shared" si="103"/>
        <v/>
      </c>
    </row>
    <row r="669" spans="1:16" ht="15" customHeight="1" x14ac:dyDescent="0.2">
      <c r="A669" s="243" t="str">
        <f>IFERROR(INDEX('All Ticker P&amp;L'!$A$2:$A$1001,MATCH(ROWS($A$2:A669),'All Ticker P&amp;L'!$N$2:$N$1001,0)),"")</f>
        <v/>
      </c>
      <c r="B669" s="243" t="str">
        <f t="shared" si="95"/>
        <v/>
      </c>
      <c r="C669" s="243" t="str">
        <f t="shared" si="96"/>
        <v/>
      </c>
      <c r="D669" s="243" t="str">
        <f t="shared" si="97"/>
        <v/>
      </c>
      <c r="E669" s="265" t="str">
        <f>IF($A669="","",SUMIFS(Txn[Signed Units],Txn[Key],$A669))</f>
        <v/>
      </c>
      <c r="F669" s="287" t="str">
        <f>IF($A669="","",SUMIFS(Txn[Buy Cost],Txn[Key],$A669))</f>
        <v/>
      </c>
      <c r="G669" s="287" t="str">
        <f>IF($A669="","",SUMIFS(Txn[Sell Proceeds],Txn[Key],$A669))</f>
        <v/>
      </c>
      <c r="H669" s="288" t="str">
        <f>IF($A669="","",IFERROR(INDEX(Prices[Current Price],MATCH($A669,Prices[Key],0)),0))</f>
        <v/>
      </c>
      <c r="I669" s="289" t="str">
        <f>IF($A669="","",IFERROR(INDEX(Prices[FX to SGD],MATCH($A669,Prices[Key],0)),1))</f>
        <v/>
      </c>
      <c r="J669" s="287" t="str">
        <f t="shared" si="98"/>
        <v/>
      </c>
      <c r="K669" s="287" t="str">
        <f t="shared" si="99"/>
        <v/>
      </c>
      <c r="L669" s="287" t="str">
        <f t="shared" si="100"/>
        <v/>
      </c>
      <c r="M669" s="290" t="str">
        <f t="shared" si="101"/>
        <v/>
      </c>
      <c r="N669" t="str">
        <f>IF($A669="","",IFERROR(INDEX(Prices[Category],MATCH($A669,Prices[Key],0)),"Uncategorized"))</f>
        <v/>
      </c>
      <c r="O669" s="291" t="str">
        <f t="shared" si="102"/>
        <v/>
      </c>
      <c r="P669" s="291" t="str">
        <f t="shared" si="103"/>
        <v/>
      </c>
    </row>
    <row r="670" spans="1:16" ht="15" customHeight="1" x14ac:dyDescent="0.2">
      <c r="A670" s="243" t="str">
        <f>IFERROR(INDEX('All Ticker P&amp;L'!$A$2:$A$1001,MATCH(ROWS($A$2:A670),'All Ticker P&amp;L'!$N$2:$N$1001,0)),"")</f>
        <v/>
      </c>
      <c r="B670" s="243" t="str">
        <f t="shared" si="95"/>
        <v/>
      </c>
      <c r="C670" s="243" t="str">
        <f t="shared" si="96"/>
        <v/>
      </c>
      <c r="D670" s="243" t="str">
        <f t="shared" si="97"/>
        <v/>
      </c>
      <c r="E670" s="265" t="str">
        <f>IF($A670="","",SUMIFS(Txn[Signed Units],Txn[Key],$A670))</f>
        <v/>
      </c>
      <c r="F670" s="287" t="str">
        <f>IF($A670="","",SUMIFS(Txn[Buy Cost],Txn[Key],$A670))</f>
        <v/>
      </c>
      <c r="G670" s="287" t="str">
        <f>IF($A670="","",SUMIFS(Txn[Sell Proceeds],Txn[Key],$A670))</f>
        <v/>
      </c>
      <c r="H670" s="288" t="str">
        <f>IF($A670="","",IFERROR(INDEX(Prices[Current Price],MATCH($A670,Prices[Key],0)),0))</f>
        <v/>
      </c>
      <c r="I670" s="289" t="str">
        <f>IF($A670="","",IFERROR(INDEX(Prices[FX to SGD],MATCH($A670,Prices[Key],0)),1))</f>
        <v/>
      </c>
      <c r="J670" s="287" t="str">
        <f t="shared" si="98"/>
        <v/>
      </c>
      <c r="K670" s="287" t="str">
        <f t="shared" si="99"/>
        <v/>
      </c>
      <c r="L670" s="287" t="str">
        <f t="shared" si="100"/>
        <v/>
      </c>
      <c r="M670" s="290" t="str">
        <f t="shared" si="101"/>
        <v/>
      </c>
      <c r="N670" t="str">
        <f>IF($A670="","",IFERROR(INDEX(Prices[Category],MATCH($A670,Prices[Key],0)),"Uncategorized"))</f>
        <v/>
      </c>
      <c r="O670" s="291" t="str">
        <f t="shared" si="102"/>
        <v/>
      </c>
      <c r="P670" s="291" t="str">
        <f t="shared" si="103"/>
        <v/>
      </c>
    </row>
    <row r="671" spans="1:16" ht="15" customHeight="1" x14ac:dyDescent="0.2">
      <c r="A671" s="243" t="str">
        <f>IFERROR(INDEX('All Ticker P&amp;L'!$A$2:$A$1001,MATCH(ROWS($A$2:A671),'All Ticker P&amp;L'!$N$2:$N$1001,0)),"")</f>
        <v/>
      </c>
      <c r="B671" s="243" t="str">
        <f t="shared" si="95"/>
        <v/>
      </c>
      <c r="C671" s="243" t="str">
        <f t="shared" si="96"/>
        <v/>
      </c>
      <c r="D671" s="243" t="str">
        <f t="shared" si="97"/>
        <v/>
      </c>
      <c r="E671" s="265" t="str">
        <f>IF($A671="","",SUMIFS(Txn[Signed Units],Txn[Key],$A671))</f>
        <v/>
      </c>
      <c r="F671" s="287" t="str">
        <f>IF($A671="","",SUMIFS(Txn[Buy Cost],Txn[Key],$A671))</f>
        <v/>
      </c>
      <c r="G671" s="287" t="str">
        <f>IF($A671="","",SUMIFS(Txn[Sell Proceeds],Txn[Key],$A671))</f>
        <v/>
      </c>
      <c r="H671" s="288" t="str">
        <f>IF($A671="","",IFERROR(INDEX(Prices[Current Price],MATCH($A671,Prices[Key],0)),0))</f>
        <v/>
      </c>
      <c r="I671" s="289" t="str">
        <f>IF($A671="","",IFERROR(INDEX(Prices[FX to SGD],MATCH($A671,Prices[Key],0)),1))</f>
        <v/>
      </c>
      <c r="J671" s="287" t="str">
        <f t="shared" si="98"/>
        <v/>
      </c>
      <c r="K671" s="287" t="str">
        <f t="shared" si="99"/>
        <v/>
      </c>
      <c r="L671" s="287" t="str">
        <f t="shared" si="100"/>
        <v/>
      </c>
      <c r="M671" s="290" t="str">
        <f t="shared" si="101"/>
        <v/>
      </c>
      <c r="N671" t="str">
        <f>IF($A671="","",IFERROR(INDEX(Prices[Category],MATCH($A671,Prices[Key],0)),"Uncategorized"))</f>
        <v/>
      </c>
      <c r="O671" s="291" t="str">
        <f t="shared" si="102"/>
        <v/>
      </c>
      <c r="P671" s="291" t="str">
        <f t="shared" si="103"/>
        <v/>
      </c>
    </row>
    <row r="672" spans="1:16" ht="15" customHeight="1" x14ac:dyDescent="0.2">
      <c r="A672" s="243" t="str">
        <f>IFERROR(INDEX('All Ticker P&amp;L'!$A$2:$A$1001,MATCH(ROWS($A$2:A672),'All Ticker P&amp;L'!$N$2:$N$1001,0)),"")</f>
        <v/>
      </c>
      <c r="B672" s="243" t="str">
        <f t="shared" si="95"/>
        <v/>
      </c>
      <c r="C672" s="243" t="str">
        <f t="shared" si="96"/>
        <v/>
      </c>
      <c r="D672" s="243" t="str">
        <f t="shared" si="97"/>
        <v/>
      </c>
      <c r="E672" s="265" t="str">
        <f>IF($A672="","",SUMIFS(Txn[Signed Units],Txn[Key],$A672))</f>
        <v/>
      </c>
      <c r="F672" s="287" t="str">
        <f>IF($A672="","",SUMIFS(Txn[Buy Cost],Txn[Key],$A672))</f>
        <v/>
      </c>
      <c r="G672" s="287" t="str">
        <f>IF($A672="","",SUMIFS(Txn[Sell Proceeds],Txn[Key],$A672))</f>
        <v/>
      </c>
      <c r="H672" s="288" t="str">
        <f>IF($A672="","",IFERROR(INDEX(Prices[Current Price],MATCH($A672,Prices[Key],0)),0))</f>
        <v/>
      </c>
      <c r="I672" s="289" t="str">
        <f>IF($A672="","",IFERROR(INDEX(Prices[FX to SGD],MATCH($A672,Prices[Key],0)),1))</f>
        <v/>
      </c>
      <c r="J672" s="287" t="str">
        <f t="shared" si="98"/>
        <v/>
      </c>
      <c r="K672" s="287" t="str">
        <f t="shared" si="99"/>
        <v/>
      </c>
      <c r="L672" s="287" t="str">
        <f t="shared" si="100"/>
        <v/>
      </c>
      <c r="M672" s="290" t="str">
        <f t="shared" si="101"/>
        <v/>
      </c>
      <c r="N672" t="str">
        <f>IF($A672="","",IFERROR(INDEX(Prices[Category],MATCH($A672,Prices[Key],0)),"Uncategorized"))</f>
        <v/>
      </c>
      <c r="O672" s="291" t="str">
        <f t="shared" si="102"/>
        <v/>
      </c>
      <c r="P672" s="291" t="str">
        <f t="shared" si="103"/>
        <v/>
      </c>
    </row>
    <row r="673" spans="1:16" ht="15" customHeight="1" x14ac:dyDescent="0.2">
      <c r="A673" s="243" t="str">
        <f>IFERROR(INDEX('All Ticker P&amp;L'!$A$2:$A$1001,MATCH(ROWS($A$2:A673),'All Ticker P&amp;L'!$N$2:$N$1001,0)),"")</f>
        <v/>
      </c>
      <c r="B673" s="243" t="str">
        <f t="shared" si="95"/>
        <v/>
      </c>
      <c r="C673" s="243" t="str">
        <f t="shared" si="96"/>
        <v/>
      </c>
      <c r="D673" s="243" t="str">
        <f t="shared" si="97"/>
        <v/>
      </c>
      <c r="E673" s="265" t="str">
        <f>IF($A673="","",SUMIFS(Txn[Signed Units],Txn[Key],$A673))</f>
        <v/>
      </c>
      <c r="F673" s="287" t="str">
        <f>IF($A673="","",SUMIFS(Txn[Buy Cost],Txn[Key],$A673))</f>
        <v/>
      </c>
      <c r="G673" s="287" t="str">
        <f>IF($A673="","",SUMIFS(Txn[Sell Proceeds],Txn[Key],$A673))</f>
        <v/>
      </c>
      <c r="H673" s="288" t="str">
        <f>IF($A673="","",IFERROR(INDEX(Prices[Current Price],MATCH($A673,Prices[Key],0)),0))</f>
        <v/>
      </c>
      <c r="I673" s="289" t="str">
        <f>IF($A673="","",IFERROR(INDEX(Prices[FX to SGD],MATCH($A673,Prices[Key],0)),1))</f>
        <v/>
      </c>
      <c r="J673" s="287" t="str">
        <f t="shared" si="98"/>
        <v/>
      </c>
      <c r="K673" s="287" t="str">
        <f t="shared" si="99"/>
        <v/>
      </c>
      <c r="L673" s="287" t="str">
        <f t="shared" si="100"/>
        <v/>
      </c>
      <c r="M673" s="290" t="str">
        <f t="shared" si="101"/>
        <v/>
      </c>
      <c r="N673" t="str">
        <f>IF($A673="","",IFERROR(INDEX(Prices[Category],MATCH($A673,Prices[Key],0)),"Uncategorized"))</f>
        <v/>
      </c>
      <c r="O673" s="291" t="str">
        <f t="shared" si="102"/>
        <v/>
      </c>
      <c r="P673" s="291" t="str">
        <f t="shared" si="103"/>
        <v/>
      </c>
    </row>
    <row r="674" spans="1:16" ht="15" customHeight="1" x14ac:dyDescent="0.2">
      <c r="A674" s="243" t="str">
        <f>IFERROR(INDEX('All Ticker P&amp;L'!$A$2:$A$1001,MATCH(ROWS($A$2:A674),'All Ticker P&amp;L'!$N$2:$N$1001,0)),"")</f>
        <v/>
      </c>
      <c r="B674" s="243" t="str">
        <f t="shared" si="95"/>
        <v/>
      </c>
      <c r="C674" s="243" t="str">
        <f t="shared" si="96"/>
        <v/>
      </c>
      <c r="D674" s="243" t="str">
        <f t="shared" si="97"/>
        <v/>
      </c>
      <c r="E674" s="265" t="str">
        <f>IF($A674="","",SUMIFS(Txn[Signed Units],Txn[Key],$A674))</f>
        <v/>
      </c>
      <c r="F674" s="287" t="str">
        <f>IF($A674="","",SUMIFS(Txn[Buy Cost],Txn[Key],$A674))</f>
        <v/>
      </c>
      <c r="G674" s="287" t="str">
        <f>IF($A674="","",SUMIFS(Txn[Sell Proceeds],Txn[Key],$A674))</f>
        <v/>
      </c>
      <c r="H674" s="288" t="str">
        <f>IF($A674="","",IFERROR(INDEX(Prices[Current Price],MATCH($A674,Prices[Key],0)),0))</f>
        <v/>
      </c>
      <c r="I674" s="289" t="str">
        <f>IF($A674="","",IFERROR(INDEX(Prices[FX to SGD],MATCH($A674,Prices[Key],0)),1))</f>
        <v/>
      </c>
      <c r="J674" s="287" t="str">
        <f t="shared" si="98"/>
        <v/>
      </c>
      <c r="K674" s="287" t="str">
        <f t="shared" si="99"/>
        <v/>
      </c>
      <c r="L674" s="287" t="str">
        <f t="shared" si="100"/>
        <v/>
      </c>
      <c r="M674" s="290" t="str">
        <f t="shared" si="101"/>
        <v/>
      </c>
      <c r="N674" t="str">
        <f>IF($A674="","",IFERROR(INDEX(Prices[Category],MATCH($A674,Prices[Key],0)),"Uncategorized"))</f>
        <v/>
      </c>
      <c r="O674" s="291" t="str">
        <f t="shared" si="102"/>
        <v/>
      </c>
      <c r="P674" s="291" t="str">
        <f t="shared" si="103"/>
        <v/>
      </c>
    </row>
    <row r="675" spans="1:16" ht="15" customHeight="1" x14ac:dyDescent="0.2">
      <c r="A675" s="243" t="str">
        <f>IFERROR(INDEX('All Ticker P&amp;L'!$A$2:$A$1001,MATCH(ROWS($A$2:A675),'All Ticker P&amp;L'!$N$2:$N$1001,0)),"")</f>
        <v/>
      </c>
      <c r="B675" s="243" t="str">
        <f t="shared" si="95"/>
        <v/>
      </c>
      <c r="C675" s="243" t="str">
        <f t="shared" si="96"/>
        <v/>
      </c>
      <c r="D675" s="243" t="str">
        <f t="shared" si="97"/>
        <v/>
      </c>
      <c r="E675" s="265" t="str">
        <f>IF($A675="","",SUMIFS(Txn[Signed Units],Txn[Key],$A675))</f>
        <v/>
      </c>
      <c r="F675" s="287" t="str">
        <f>IF($A675="","",SUMIFS(Txn[Buy Cost],Txn[Key],$A675))</f>
        <v/>
      </c>
      <c r="G675" s="287" t="str">
        <f>IF($A675="","",SUMIFS(Txn[Sell Proceeds],Txn[Key],$A675))</f>
        <v/>
      </c>
      <c r="H675" s="288" t="str">
        <f>IF($A675="","",IFERROR(INDEX(Prices[Current Price],MATCH($A675,Prices[Key],0)),0))</f>
        <v/>
      </c>
      <c r="I675" s="289" t="str">
        <f>IF($A675="","",IFERROR(INDEX(Prices[FX to SGD],MATCH($A675,Prices[Key],0)),1))</f>
        <v/>
      </c>
      <c r="J675" s="287" t="str">
        <f t="shared" si="98"/>
        <v/>
      </c>
      <c r="K675" s="287" t="str">
        <f t="shared" si="99"/>
        <v/>
      </c>
      <c r="L675" s="287" t="str">
        <f t="shared" si="100"/>
        <v/>
      </c>
      <c r="M675" s="290" t="str">
        <f t="shared" si="101"/>
        <v/>
      </c>
      <c r="N675" t="str">
        <f>IF($A675="","",IFERROR(INDEX(Prices[Category],MATCH($A675,Prices[Key],0)),"Uncategorized"))</f>
        <v/>
      </c>
      <c r="O675" s="291" t="str">
        <f t="shared" si="102"/>
        <v/>
      </c>
      <c r="P675" s="291" t="str">
        <f t="shared" si="103"/>
        <v/>
      </c>
    </row>
    <row r="676" spans="1:16" ht="15" customHeight="1" x14ac:dyDescent="0.2">
      <c r="A676" s="243" t="str">
        <f>IFERROR(INDEX('All Ticker P&amp;L'!$A$2:$A$1001,MATCH(ROWS($A$2:A676),'All Ticker P&amp;L'!$N$2:$N$1001,0)),"")</f>
        <v/>
      </c>
      <c r="B676" s="243" t="str">
        <f t="shared" si="95"/>
        <v/>
      </c>
      <c r="C676" s="243" t="str">
        <f t="shared" si="96"/>
        <v/>
      </c>
      <c r="D676" s="243" t="str">
        <f t="shared" si="97"/>
        <v/>
      </c>
      <c r="E676" s="265" t="str">
        <f>IF($A676="","",SUMIFS(Txn[Signed Units],Txn[Key],$A676))</f>
        <v/>
      </c>
      <c r="F676" s="287" t="str">
        <f>IF($A676="","",SUMIFS(Txn[Buy Cost],Txn[Key],$A676))</f>
        <v/>
      </c>
      <c r="G676" s="287" t="str">
        <f>IF($A676="","",SUMIFS(Txn[Sell Proceeds],Txn[Key],$A676))</f>
        <v/>
      </c>
      <c r="H676" s="288" t="str">
        <f>IF($A676="","",IFERROR(INDEX(Prices[Current Price],MATCH($A676,Prices[Key],0)),0))</f>
        <v/>
      </c>
      <c r="I676" s="289" t="str">
        <f>IF($A676="","",IFERROR(INDEX(Prices[FX to SGD],MATCH($A676,Prices[Key],0)),1))</f>
        <v/>
      </c>
      <c r="J676" s="287" t="str">
        <f t="shared" si="98"/>
        <v/>
      </c>
      <c r="K676" s="287" t="str">
        <f t="shared" si="99"/>
        <v/>
      </c>
      <c r="L676" s="287" t="str">
        <f t="shared" si="100"/>
        <v/>
      </c>
      <c r="M676" s="290" t="str">
        <f t="shared" si="101"/>
        <v/>
      </c>
      <c r="N676" t="str">
        <f>IF($A676="","",IFERROR(INDEX(Prices[Category],MATCH($A676,Prices[Key],0)),"Uncategorized"))</f>
        <v/>
      </c>
      <c r="O676" s="291" t="str">
        <f t="shared" si="102"/>
        <v/>
      </c>
      <c r="P676" s="291" t="str">
        <f t="shared" si="103"/>
        <v/>
      </c>
    </row>
    <row r="677" spans="1:16" ht="15" customHeight="1" x14ac:dyDescent="0.2">
      <c r="A677" s="243" t="str">
        <f>IFERROR(INDEX('All Ticker P&amp;L'!$A$2:$A$1001,MATCH(ROWS($A$2:A677),'All Ticker P&amp;L'!$N$2:$N$1001,0)),"")</f>
        <v/>
      </c>
      <c r="B677" s="243" t="str">
        <f t="shared" si="95"/>
        <v/>
      </c>
      <c r="C677" s="243" t="str">
        <f t="shared" si="96"/>
        <v/>
      </c>
      <c r="D677" s="243" t="str">
        <f t="shared" si="97"/>
        <v/>
      </c>
      <c r="E677" s="265" t="str">
        <f>IF($A677="","",SUMIFS(Txn[Signed Units],Txn[Key],$A677))</f>
        <v/>
      </c>
      <c r="F677" s="287" t="str">
        <f>IF($A677="","",SUMIFS(Txn[Buy Cost],Txn[Key],$A677))</f>
        <v/>
      </c>
      <c r="G677" s="287" t="str">
        <f>IF($A677="","",SUMIFS(Txn[Sell Proceeds],Txn[Key],$A677))</f>
        <v/>
      </c>
      <c r="H677" s="288" t="str">
        <f>IF($A677="","",IFERROR(INDEX(Prices[Current Price],MATCH($A677,Prices[Key],0)),0))</f>
        <v/>
      </c>
      <c r="I677" s="289" t="str">
        <f>IF($A677="","",IFERROR(INDEX(Prices[FX to SGD],MATCH($A677,Prices[Key],0)),1))</f>
        <v/>
      </c>
      <c r="J677" s="287" t="str">
        <f t="shared" si="98"/>
        <v/>
      </c>
      <c r="K677" s="287" t="str">
        <f t="shared" si="99"/>
        <v/>
      </c>
      <c r="L677" s="287" t="str">
        <f t="shared" si="100"/>
        <v/>
      </c>
      <c r="M677" s="290" t="str">
        <f t="shared" si="101"/>
        <v/>
      </c>
      <c r="N677" t="str">
        <f>IF($A677="","",IFERROR(INDEX(Prices[Category],MATCH($A677,Prices[Key],0)),"Uncategorized"))</f>
        <v/>
      </c>
      <c r="O677" s="291" t="str">
        <f t="shared" si="102"/>
        <v/>
      </c>
      <c r="P677" s="291" t="str">
        <f t="shared" si="103"/>
        <v/>
      </c>
    </row>
    <row r="678" spans="1:16" ht="15" customHeight="1" x14ac:dyDescent="0.2">
      <c r="A678" s="243" t="str">
        <f>IFERROR(INDEX('All Ticker P&amp;L'!$A$2:$A$1001,MATCH(ROWS($A$2:A678),'All Ticker P&amp;L'!$N$2:$N$1001,0)),"")</f>
        <v/>
      </c>
      <c r="B678" s="243" t="str">
        <f t="shared" si="95"/>
        <v/>
      </c>
      <c r="C678" s="243" t="str">
        <f t="shared" si="96"/>
        <v/>
      </c>
      <c r="D678" s="243" t="str">
        <f t="shared" si="97"/>
        <v/>
      </c>
      <c r="E678" s="265" t="str">
        <f>IF($A678="","",SUMIFS(Txn[Signed Units],Txn[Key],$A678))</f>
        <v/>
      </c>
      <c r="F678" s="287" t="str">
        <f>IF($A678="","",SUMIFS(Txn[Buy Cost],Txn[Key],$A678))</f>
        <v/>
      </c>
      <c r="G678" s="287" t="str">
        <f>IF($A678="","",SUMIFS(Txn[Sell Proceeds],Txn[Key],$A678))</f>
        <v/>
      </c>
      <c r="H678" s="288" t="str">
        <f>IF($A678="","",IFERROR(INDEX(Prices[Current Price],MATCH($A678,Prices[Key],0)),0))</f>
        <v/>
      </c>
      <c r="I678" s="289" t="str">
        <f>IF($A678="","",IFERROR(INDEX(Prices[FX to SGD],MATCH($A678,Prices[Key],0)),1))</f>
        <v/>
      </c>
      <c r="J678" s="287" t="str">
        <f t="shared" si="98"/>
        <v/>
      </c>
      <c r="K678" s="287" t="str">
        <f t="shared" si="99"/>
        <v/>
      </c>
      <c r="L678" s="287" t="str">
        <f t="shared" si="100"/>
        <v/>
      </c>
      <c r="M678" s="290" t="str">
        <f t="shared" si="101"/>
        <v/>
      </c>
      <c r="N678" t="str">
        <f>IF($A678="","",IFERROR(INDEX(Prices[Category],MATCH($A678,Prices[Key],0)),"Uncategorized"))</f>
        <v/>
      </c>
      <c r="O678" s="291" t="str">
        <f t="shared" si="102"/>
        <v/>
      </c>
      <c r="P678" s="291" t="str">
        <f t="shared" si="103"/>
        <v/>
      </c>
    </row>
    <row r="679" spans="1:16" ht="15" customHeight="1" x14ac:dyDescent="0.2">
      <c r="A679" s="243" t="str">
        <f>IFERROR(INDEX('All Ticker P&amp;L'!$A$2:$A$1001,MATCH(ROWS($A$2:A679),'All Ticker P&amp;L'!$N$2:$N$1001,0)),"")</f>
        <v/>
      </c>
      <c r="B679" s="243" t="str">
        <f t="shared" si="95"/>
        <v/>
      </c>
      <c r="C679" s="243" t="str">
        <f t="shared" si="96"/>
        <v/>
      </c>
      <c r="D679" s="243" t="str">
        <f t="shared" si="97"/>
        <v/>
      </c>
      <c r="E679" s="265" t="str">
        <f>IF($A679="","",SUMIFS(Txn[Signed Units],Txn[Key],$A679))</f>
        <v/>
      </c>
      <c r="F679" s="287" t="str">
        <f>IF($A679="","",SUMIFS(Txn[Buy Cost],Txn[Key],$A679))</f>
        <v/>
      </c>
      <c r="G679" s="287" t="str">
        <f>IF($A679="","",SUMIFS(Txn[Sell Proceeds],Txn[Key],$A679))</f>
        <v/>
      </c>
      <c r="H679" s="288" t="str">
        <f>IF($A679="","",IFERROR(INDEX(Prices[Current Price],MATCH($A679,Prices[Key],0)),0))</f>
        <v/>
      </c>
      <c r="I679" s="289" t="str">
        <f>IF($A679="","",IFERROR(INDEX(Prices[FX to SGD],MATCH($A679,Prices[Key],0)),1))</f>
        <v/>
      </c>
      <c r="J679" s="287" t="str">
        <f t="shared" si="98"/>
        <v/>
      </c>
      <c r="K679" s="287" t="str">
        <f t="shared" si="99"/>
        <v/>
      </c>
      <c r="L679" s="287" t="str">
        <f t="shared" si="100"/>
        <v/>
      </c>
      <c r="M679" s="290" t="str">
        <f t="shared" si="101"/>
        <v/>
      </c>
      <c r="N679" t="str">
        <f>IF($A679="","",IFERROR(INDEX(Prices[Category],MATCH($A679,Prices[Key],0)),"Uncategorized"))</f>
        <v/>
      </c>
      <c r="O679" s="291" t="str">
        <f t="shared" si="102"/>
        <v/>
      </c>
      <c r="P679" s="291" t="str">
        <f t="shared" si="103"/>
        <v/>
      </c>
    </row>
    <row r="680" spans="1:16" ht="15" customHeight="1" x14ac:dyDescent="0.2">
      <c r="A680" s="243" t="str">
        <f>IFERROR(INDEX('All Ticker P&amp;L'!$A$2:$A$1001,MATCH(ROWS($A$2:A680),'All Ticker P&amp;L'!$N$2:$N$1001,0)),"")</f>
        <v/>
      </c>
      <c r="B680" s="243" t="str">
        <f t="shared" si="95"/>
        <v/>
      </c>
      <c r="C680" s="243" t="str">
        <f t="shared" si="96"/>
        <v/>
      </c>
      <c r="D680" s="243" t="str">
        <f t="shared" si="97"/>
        <v/>
      </c>
      <c r="E680" s="265" t="str">
        <f>IF($A680="","",SUMIFS(Txn[Signed Units],Txn[Key],$A680))</f>
        <v/>
      </c>
      <c r="F680" s="287" t="str">
        <f>IF($A680="","",SUMIFS(Txn[Buy Cost],Txn[Key],$A680))</f>
        <v/>
      </c>
      <c r="G680" s="287" t="str">
        <f>IF($A680="","",SUMIFS(Txn[Sell Proceeds],Txn[Key],$A680))</f>
        <v/>
      </c>
      <c r="H680" s="288" t="str">
        <f>IF($A680="","",IFERROR(INDEX(Prices[Current Price],MATCH($A680,Prices[Key],0)),0))</f>
        <v/>
      </c>
      <c r="I680" s="289" t="str">
        <f>IF($A680="","",IFERROR(INDEX(Prices[FX to SGD],MATCH($A680,Prices[Key],0)),1))</f>
        <v/>
      </c>
      <c r="J680" s="287" t="str">
        <f t="shared" si="98"/>
        <v/>
      </c>
      <c r="K680" s="287" t="str">
        <f t="shared" si="99"/>
        <v/>
      </c>
      <c r="L680" s="287" t="str">
        <f t="shared" si="100"/>
        <v/>
      </c>
      <c r="M680" s="290" t="str">
        <f t="shared" si="101"/>
        <v/>
      </c>
      <c r="N680" t="str">
        <f>IF($A680="","",IFERROR(INDEX(Prices[Category],MATCH($A680,Prices[Key],0)),"Uncategorized"))</f>
        <v/>
      </c>
      <c r="O680" s="291" t="str">
        <f t="shared" si="102"/>
        <v/>
      </c>
      <c r="P680" s="291" t="str">
        <f t="shared" si="103"/>
        <v/>
      </c>
    </row>
    <row r="681" spans="1:16" ht="15" customHeight="1" x14ac:dyDescent="0.2">
      <c r="A681" s="243" t="str">
        <f>IFERROR(INDEX('All Ticker P&amp;L'!$A$2:$A$1001,MATCH(ROWS($A$2:A681),'All Ticker P&amp;L'!$N$2:$N$1001,0)),"")</f>
        <v/>
      </c>
      <c r="B681" s="243" t="str">
        <f t="shared" si="95"/>
        <v/>
      </c>
      <c r="C681" s="243" t="str">
        <f t="shared" si="96"/>
        <v/>
      </c>
      <c r="D681" s="243" t="str">
        <f t="shared" si="97"/>
        <v/>
      </c>
      <c r="E681" s="265" t="str">
        <f>IF($A681="","",SUMIFS(Txn[Signed Units],Txn[Key],$A681))</f>
        <v/>
      </c>
      <c r="F681" s="287" t="str">
        <f>IF($A681="","",SUMIFS(Txn[Buy Cost],Txn[Key],$A681))</f>
        <v/>
      </c>
      <c r="G681" s="287" t="str">
        <f>IF($A681="","",SUMIFS(Txn[Sell Proceeds],Txn[Key],$A681))</f>
        <v/>
      </c>
      <c r="H681" s="288" t="str">
        <f>IF($A681="","",IFERROR(INDEX(Prices[Current Price],MATCH($A681,Prices[Key],0)),0))</f>
        <v/>
      </c>
      <c r="I681" s="289" t="str">
        <f>IF($A681="","",IFERROR(INDEX(Prices[FX to SGD],MATCH($A681,Prices[Key],0)),1))</f>
        <v/>
      </c>
      <c r="J681" s="287" t="str">
        <f t="shared" si="98"/>
        <v/>
      </c>
      <c r="K681" s="287" t="str">
        <f t="shared" si="99"/>
        <v/>
      </c>
      <c r="L681" s="287" t="str">
        <f t="shared" si="100"/>
        <v/>
      </c>
      <c r="M681" s="290" t="str">
        <f t="shared" si="101"/>
        <v/>
      </c>
      <c r="N681" t="str">
        <f>IF($A681="","",IFERROR(INDEX(Prices[Category],MATCH($A681,Prices[Key],0)),"Uncategorized"))</f>
        <v/>
      </c>
      <c r="O681" s="291" t="str">
        <f t="shared" si="102"/>
        <v/>
      </c>
      <c r="P681" s="291" t="str">
        <f t="shared" si="103"/>
        <v/>
      </c>
    </row>
    <row r="682" spans="1:16" ht="15" customHeight="1" x14ac:dyDescent="0.2">
      <c r="A682" s="243" t="str">
        <f>IFERROR(INDEX('All Ticker P&amp;L'!$A$2:$A$1001,MATCH(ROWS($A$2:A682),'All Ticker P&amp;L'!$N$2:$N$1001,0)),"")</f>
        <v/>
      </c>
      <c r="B682" s="243" t="str">
        <f t="shared" si="95"/>
        <v/>
      </c>
      <c r="C682" s="243" t="str">
        <f t="shared" si="96"/>
        <v/>
      </c>
      <c r="D682" s="243" t="str">
        <f t="shared" si="97"/>
        <v/>
      </c>
      <c r="E682" s="265" t="str">
        <f>IF($A682="","",SUMIFS(Txn[Signed Units],Txn[Key],$A682))</f>
        <v/>
      </c>
      <c r="F682" s="287" t="str">
        <f>IF($A682="","",SUMIFS(Txn[Buy Cost],Txn[Key],$A682))</f>
        <v/>
      </c>
      <c r="G682" s="287" t="str">
        <f>IF($A682="","",SUMIFS(Txn[Sell Proceeds],Txn[Key],$A682))</f>
        <v/>
      </c>
      <c r="H682" s="288" t="str">
        <f>IF($A682="","",IFERROR(INDEX(Prices[Current Price],MATCH($A682,Prices[Key],0)),0))</f>
        <v/>
      </c>
      <c r="I682" s="289" t="str">
        <f>IF($A682="","",IFERROR(INDEX(Prices[FX to SGD],MATCH($A682,Prices[Key],0)),1))</f>
        <v/>
      </c>
      <c r="J682" s="287" t="str">
        <f t="shared" si="98"/>
        <v/>
      </c>
      <c r="K682" s="287" t="str">
        <f t="shared" si="99"/>
        <v/>
      </c>
      <c r="L682" s="287" t="str">
        <f t="shared" si="100"/>
        <v/>
      </c>
      <c r="M682" s="290" t="str">
        <f t="shared" si="101"/>
        <v/>
      </c>
      <c r="N682" t="str">
        <f>IF($A682="","",IFERROR(INDEX(Prices[Category],MATCH($A682,Prices[Key],0)),"Uncategorized"))</f>
        <v/>
      </c>
      <c r="O682" s="291" t="str">
        <f t="shared" si="102"/>
        <v/>
      </c>
      <c r="P682" s="291" t="str">
        <f t="shared" si="103"/>
        <v/>
      </c>
    </row>
    <row r="683" spans="1:16" ht="15" customHeight="1" x14ac:dyDescent="0.2">
      <c r="A683" s="243" t="str">
        <f>IFERROR(INDEX('All Ticker P&amp;L'!$A$2:$A$1001,MATCH(ROWS($A$2:A683),'All Ticker P&amp;L'!$N$2:$N$1001,0)),"")</f>
        <v/>
      </c>
      <c r="B683" s="243" t="str">
        <f t="shared" si="95"/>
        <v/>
      </c>
      <c r="C683" s="243" t="str">
        <f t="shared" si="96"/>
        <v/>
      </c>
      <c r="D683" s="243" t="str">
        <f t="shared" si="97"/>
        <v/>
      </c>
      <c r="E683" s="265" t="str">
        <f>IF($A683="","",SUMIFS(Txn[Signed Units],Txn[Key],$A683))</f>
        <v/>
      </c>
      <c r="F683" s="287" t="str">
        <f>IF($A683="","",SUMIFS(Txn[Buy Cost],Txn[Key],$A683))</f>
        <v/>
      </c>
      <c r="G683" s="287" t="str">
        <f>IF($A683="","",SUMIFS(Txn[Sell Proceeds],Txn[Key],$A683))</f>
        <v/>
      </c>
      <c r="H683" s="288" t="str">
        <f>IF($A683="","",IFERROR(INDEX(Prices[Current Price],MATCH($A683,Prices[Key],0)),0))</f>
        <v/>
      </c>
      <c r="I683" s="289" t="str">
        <f>IF($A683="","",IFERROR(INDEX(Prices[FX to SGD],MATCH($A683,Prices[Key],0)),1))</f>
        <v/>
      </c>
      <c r="J683" s="287" t="str">
        <f t="shared" si="98"/>
        <v/>
      </c>
      <c r="K683" s="287" t="str">
        <f t="shared" si="99"/>
        <v/>
      </c>
      <c r="L683" s="287" t="str">
        <f t="shared" si="100"/>
        <v/>
      </c>
      <c r="M683" s="290" t="str">
        <f t="shared" si="101"/>
        <v/>
      </c>
      <c r="N683" t="str">
        <f>IF($A683="","",IFERROR(INDEX(Prices[Category],MATCH($A683,Prices[Key],0)),"Uncategorized"))</f>
        <v/>
      </c>
      <c r="O683" s="291" t="str">
        <f t="shared" si="102"/>
        <v/>
      </c>
      <c r="P683" s="291" t="str">
        <f t="shared" si="103"/>
        <v/>
      </c>
    </row>
    <row r="684" spans="1:16" ht="15" customHeight="1" x14ac:dyDescent="0.2">
      <c r="A684" s="243" t="str">
        <f>IFERROR(INDEX('All Ticker P&amp;L'!$A$2:$A$1001,MATCH(ROWS($A$2:A684),'All Ticker P&amp;L'!$N$2:$N$1001,0)),"")</f>
        <v/>
      </c>
      <c r="B684" s="243" t="str">
        <f t="shared" si="95"/>
        <v/>
      </c>
      <c r="C684" s="243" t="str">
        <f t="shared" si="96"/>
        <v/>
      </c>
      <c r="D684" s="243" t="str">
        <f t="shared" si="97"/>
        <v/>
      </c>
      <c r="E684" s="265" t="str">
        <f>IF($A684="","",SUMIFS(Txn[Signed Units],Txn[Key],$A684))</f>
        <v/>
      </c>
      <c r="F684" s="287" t="str">
        <f>IF($A684="","",SUMIFS(Txn[Buy Cost],Txn[Key],$A684))</f>
        <v/>
      </c>
      <c r="G684" s="287" t="str">
        <f>IF($A684="","",SUMIFS(Txn[Sell Proceeds],Txn[Key],$A684))</f>
        <v/>
      </c>
      <c r="H684" s="288" t="str">
        <f>IF($A684="","",IFERROR(INDEX(Prices[Current Price],MATCH($A684,Prices[Key],0)),0))</f>
        <v/>
      </c>
      <c r="I684" s="289" t="str">
        <f>IF($A684="","",IFERROR(INDEX(Prices[FX to SGD],MATCH($A684,Prices[Key],0)),1))</f>
        <v/>
      </c>
      <c r="J684" s="287" t="str">
        <f t="shared" si="98"/>
        <v/>
      </c>
      <c r="K684" s="287" t="str">
        <f t="shared" si="99"/>
        <v/>
      </c>
      <c r="L684" s="287" t="str">
        <f t="shared" si="100"/>
        <v/>
      </c>
      <c r="M684" s="290" t="str">
        <f t="shared" si="101"/>
        <v/>
      </c>
      <c r="N684" t="str">
        <f>IF($A684="","",IFERROR(INDEX(Prices[Category],MATCH($A684,Prices[Key],0)),"Uncategorized"))</f>
        <v/>
      </c>
      <c r="O684" s="291" t="str">
        <f t="shared" si="102"/>
        <v/>
      </c>
      <c r="P684" s="291" t="str">
        <f t="shared" si="103"/>
        <v/>
      </c>
    </row>
    <row r="685" spans="1:16" ht="15" customHeight="1" x14ac:dyDescent="0.2">
      <c r="A685" s="243" t="str">
        <f>IFERROR(INDEX('All Ticker P&amp;L'!$A$2:$A$1001,MATCH(ROWS($A$2:A685),'All Ticker P&amp;L'!$N$2:$N$1001,0)),"")</f>
        <v/>
      </c>
      <c r="B685" s="243" t="str">
        <f t="shared" si="95"/>
        <v/>
      </c>
      <c r="C685" s="243" t="str">
        <f t="shared" si="96"/>
        <v/>
      </c>
      <c r="D685" s="243" t="str">
        <f t="shared" si="97"/>
        <v/>
      </c>
      <c r="E685" s="265" t="str">
        <f>IF($A685="","",SUMIFS(Txn[Signed Units],Txn[Key],$A685))</f>
        <v/>
      </c>
      <c r="F685" s="287" t="str">
        <f>IF($A685="","",SUMIFS(Txn[Buy Cost],Txn[Key],$A685))</f>
        <v/>
      </c>
      <c r="G685" s="287" t="str">
        <f>IF($A685="","",SUMIFS(Txn[Sell Proceeds],Txn[Key],$A685))</f>
        <v/>
      </c>
      <c r="H685" s="288" t="str">
        <f>IF($A685="","",IFERROR(INDEX(Prices[Current Price],MATCH($A685,Prices[Key],0)),0))</f>
        <v/>
      </c>
      <c r="I685" s="289" t="str">
        <f>IF($A685="","",IFERROR(INDEX(Prices[FX to SGD],MATCH($A685,Prices[Key],0)),1))</f>
        <v/>
      </c>
      <c r="J685" s="287" t="str">
        <f t="shared" si="98"/>
        <v/>
      </c>
      <c r="K685" s="287" t="str">
        <f t="shared" si="99"/>
        <v/>
      </c>
      <c r="L685" s="287" t="str">
        <f t="shared" si="100"/>
        <v/>
      </c>
      <c r="M685" s="290" t="str">
        <f t="shared" si="101"/>
        <v/>
      </c>
      <c r="N685" t="str">
        <f>IF($A685="","",IFERROR(INDEX(Prices[Category],MATCH($A685,Prices[Key],0)),"Uncategorized"))</f>
        <v/>
      </c>
      <c r="O685" s="291" t="str">
        <f t="shared" si="102"/>
        <v/>
      </c>
      <c r="P685" s="291" t="str">
        <f t="shared" si="103"/>
        <v/>
      </c>
    </row>
    <row r="686" spans="1:16" ht="15" customHeight="1" x14ac:dyDescent="0.2">
      <c r="A686" s="243" t="str">
        <f>IFERROR(INDEX('All Ticker P&amp;L'!$A$2:$A$1001,MATCH(ROWS($A$2:A686),'All Ticker P&amp;L'!$N$2:$N$1001,0)),"")</f>
        <v/>
      </c>
      <c r="B686" s="243" t="str">
        <f t="shared" si="95"/>
        <v/>
      </c>
      <c r="C686" s="243" t="str">
        <f t="shared" si="96"/>
        <v/>
      </c>
      <c r="D686" s="243" t="str">
        <f t="shared" si="97"/>
        <v/>
      </c>
      <c r="E686" s="265" t="str">
        <f>IF($A686="","",SUMIFS(Txn[Signed Units],Txn[Key],$A686))</f>
        <v/>
      </c>
      <c r="F686" s="287" t="str">
        <f>IF($A686="","",SUMIFS(Txn[Buy Cost],Txn[Key],$A686))</f>
        <v/>
      </c>
      <c r="G686" s="287" t="str">
        <f>IF($A686="","",SUMIFS(Txn[Sell Proceeds],Txn[Key],$A686))</f>
        <v/>
      </c>
      <c r="H686" s="288" t="str">
        <f>IF($A686="","",IFERROR(INDEX(Prices[Current Price],MATCH($A686,Prices[Key],0)),0))</f>
        <v/>
      </c>
      <c r="I686" s="289" t="str">
        <f>IF($A686="","",IFERROR(INDEX(Prices[FX to SGD],MATCH($A686,Prices[Key],0)),1))</f>
        <v/>
      </c>
      <c r="J686" s="287" t="str">
        <f t="shared" si="98"/>
        <v/>
      </c>
      <c r="K686" s="287" t="str">
        <f t="shared" si="99"/>
        <v/>
      </c>
      <c r="L686" s="287" t="str">
        <f t="shared" si="100"/>
        <v/>
      </c>
      <c r="M686" s="290" t="str">
        <f t="shared" si="101"/>
        <v/>
      </c>
      <c r="N686" t="str">
        <f>IF($A686="","",IFERROR(INDEX(Prices[Category],MATCH($A686,Prices[Key],0)),"Uncategorized"))</f>
        <v/>
      </c>
      <c r="O686" s="291" t="str">
        <f t="shared" si="102"/>
        <v/>
      </c>
      <c r="P686" s="291" t="str">
        <f t="shared" si="103"/>
        <v/>
      </c>
    </row>
    <row r="687" spans="1:16" ht="15" customHeight="1" x14ac:dyDescent="0.2">
      <c r="A687" s="243" t="str">
        <f>IFERROR(INDEX('All Ticker P&amp;L'!$A$2:$A$1001,MATCH(ROWS($A$2:A687),'All Ticker P&amp;L'!$N$2:$N$1001,0)),"")</f>
        <v/>
      </c>
      <c r="B687" s="243" t="str">
        <f t="shared" si="95"/>
        <v/>
      </c>
      <c r="C687" s="243" t="str">
        <f t="shared" si="96"/>
        <v/>
      </c>
      <c r="D687" s="243" t="str">
        <f t="shared" si="97"/>
        <v/>
      </c>
      <c r="E687" s="265" t="str">
        <f>IF($A687="","",SUMIFS(Txn[Signed Units],Txn[Key],$A687))</f>
        <v/>
      </c>
      <c r="F687" s="287" t="str">
        <f>IF($A687="","",SUMIFS(Txn[Buy Cost],Txn[Key],$A687))</f>
        <v/>
      </c>
      <c r="G687" s="287" t="str">
        <f>IF($A687="","",SUMIFS(Txn[Sell Proceeds],Txn[Key],$A687))</f>
        <v/>
      </c>
      <c r="H687" s="288" t="str">
        <f>IF($A687="","",IFERROR(INDEX(Prices[Current Price],MATCH($A687,Prices[Key],0)),0))</f>
        <v/>
      </c>
      <c r="I687" s="289" t="str">
        <f>IF($A687="","",IFERROR(INDEX(Prices[FX to SGD],MATCH($A687,Prices[Key],0)),1))</f>
        <v/>
      </c>
      <c r="J687" s="287" t="str">
        <f t="shared" si="98"/>
        <v/>
      </c>
      <c r="K687" s="287" t="str">
        <f t="shared" si="99"/>
        <v/>
      </c>
      <c r="L687" s="287" t="str">
        <f t="shared" si="100"/>
        <v/>
      </c>
      <c r="M687" s="290" t="str">
        <f t="shared" si="101"/>
        <v/>
      </c>
      <c r="N687" t="str">
        <f>IF($A687="","",IFERROR(INDEX(Prices[Category],MATCH($A687,Prices[Key],0)),"Uncategorized"))</f>
        <v/>
      </c>
      <c r="O687" s="291" t="str">
        <f t="shared" si="102"/>
        <v/>
      </c>
      <c r="P687" s="291" t="str">
        <f t="shared" si="103"/>
        <v/>
      </c>
    </row>
    <row r="688" spans="1:16" ht="15" customHeight="1" x14ac:dyDescent="0.2">
      <c r="A688" s="243" t="str">
        <f>IFERROR(INDEX('All Ticker P&amp;L'!$A$2:$A$1001,MATCH(ROWS($A$2:A688),'All Ticker P&amp;L'!$N$2:$N$1001,0)),"")</f>
        <v/>
      </c>
      <c r="B688" s="243" t="str">
        <f t="shared" si="95"/>
        <v/>
      </c>
      <c r="C688" s="243" t="str">
        <f t="shared" si="96"/>
        <v/>
      </c>
      <c r="D688" s="243" t="str">
        <f t="shared" si="97"/>
        <v/>
      </c>
      <c r="E688" s="265" t="str">
        <f>IF($A688="","",SUMIFS(Txn[Signed Units],Txn[Key],$A688))</f>
        <v/>
      </c>
      <c r="F688" s="287" t="str">
        <f>IF($A688="","",SUMIFS(Txn[Buy Cost],Txn[Key],$A688))</f>
        <v/>
      </c>
      <c r="G688" s="287" t="str">
        <f>IF($A688="","",SUMIFS(Txn[Sell Proceeds],Txn[Key],$A688))</f>
        <v/>
      </c>
      <c r="H688" s="288" t="str">
        <f>IF($A688="","",IFERROR(INDEX(Prices[Current Price],MATCH($A688,Prices[Key],0)),0))</f>
        <v/>
      </c>
      <c r="I688" s="289" t="str">
        <f>IF($A688="","",IFERROR(INDEX(Prices[FX to SGD],MATCH($A688,Prices[Key],0)),1))</f>
        <v/>
      </c>
      <c r="J688" s="287" t="str">
        <f t="shared" si="98"/>
        <v/>
      </c>
      <c r="K688" s="287" t="str">
        <f t="shared" si="99"/>
        <v/>
      </c>
      <c r="L688" s="287" t="str">
        <f t="shared" si="100"/>
        <v/>
      </c>
      <c r="M688" s="290" t="str">
        <f t="shared" si="101"/>
        <v/>
      </c>
      <c r="N688" t="str">
        <f>IF($A688="","",IFERROR(INDEX(Prices[Category],MATCH($A688,Prices[Key],0)),"Uncategorized"))</f>
        <v/>
      </c>
      <c r="O688" s="291" t="str">
        <f t="shared" si="102"/>
        <v/>
      </c>
      <c r="P688" s="291" t="str">
        <f t="shared" si="103"/>
        <v/>
      </c>
    </row>
    <row r="689" spans="1:16" ht="15" customHeight="1" x14ac:dyDescent="0.2">
      <c r="A689" s="243" t="str">
        <f>IFERROR(INDEX('All Ticker P&amp;L'!$A$2:$A$1001,MATCH(ROWS($A$2:A689),'All Ticker P&amp;L'!$N$2:$N$1001,0)),"")</f>
        <v/>
      </c>
      <c r="B689" s="243" t="str">
        <f t="shared" si="95"/>
        <v/>
      </c>
      <c r="C689" s="243" t="str">
        <f t="shared" si="96"/>
        <v/>
      </c>
      <c r="D689" s="243" t="str">
        <f t="shared" si="97"/>
        <v/>
      </c>
      <c r="E689" s="265" t="str">
        <f>IF($A689="","",SUMIFS(Txn[Signed Units],Txn[Key],$A689))</f>
        <v/>
      </c>
      <c r="F689" s="287" t="str">
        <f>IF($A689="","",SUMIFS(Txn[Buy Cost],Txn[Key],$A689))</f>
        <v/>
      </c>
      <c r="G689" s="287" t="str">
        <f>IF($A689="","",SUMIFS(Txn[Sell Proceeds],Txn[Key],$A689))</f>
        <v/>
      </c>
      <c r="H689" s="288" t="str">
        <f>IF($A689="","",IFERROR(INDEX(Prices[Current Price],MATCH($A689,Prices[Key],0)),0))</f>
        <v/>
      </c>
      <c r="I689" s="289" t="str">
        <f>IF($A689="","",IFERROR(INDEX(Prices[FX to SGD],MATCH($A689,Prices[Key],0)),1))</f>
        <v/>
      </c>
      <c r="J689" s="287" t="str">
        <f t="shared" si="98"/>
        <v/>
      </c>
      <c r="K689" s="287" t="str">
        <f t="shared" si="99"/>
        <v/>
      </c>
      <c r="L689" s="287" t="str">
        <f t="shared" si="100"/>
        <v/>
      </c>
      <c r="M689" s="290" t="str">
        <f t="shared" si="101"/>
        <v/>
      </c>
      <c r="N689" t="str">
        <f>IF($A689="","",IFERROR(INDEX(Prices[Category],MATCH($A689,Prices[Key],0)),"Uncategorized"))</f>
        <v/>
      </c>
      <c r="O689" s="291" t="str">
        <f t="shared" si="102"/>
        <v/>
      </c>
      <c r="P689" s="291" t="str">
        <f t="shared" si="103"/>
        <v/>
      </c>
    </row>
    <row r="690" spans="1:16" ht="15" customHeight="1" x14ac:dyDescent="0.2">
      <c r="A690" s="243" t="str">
        <f>IFERROR(INDEX('All Ticker P&amp;L'!$A$2:$A$1001,MATCH(ROWS($A$2:A690),'All Ticker P&amp;L'!$N$2:$N$1001,0)),"")</f>
        <v/>
      </c>
      <c r="B690" s="243" t="str">
        <f t="shared" si="95"/>
        <v/>
      </c>
      <c r="C690" s="243" t="str">
        <f t="shared" si="96"/>
        <v/>
      </c>
      <c r="D690" s="243" t="str">
        <f t="shared" si="97"/>
        <v/>
      </c>
      <c r="E690" s="265" t="str">
        <f>IF($A690="","",SUMIFS(Txn[Signed Units],Txn[Key],$A690))</f>
        <v/>
      </c>
      <c r="F690" s="287" t="str">
        <f>IF($A690="","",SUMIFS(Txn[Buy Cost],Txn[Key],$A690))</f>
        <v/>
      </c>
      <c r="G690" s="287" t="str">
        <f>IF($A690="","",SUMIFS(Txn[Sell Proceeds],Txn[Key],$A690))</f>
        <v/>
      </c>
      <c r="H690" s="288" t="str">
        <f>IF($A690="","",IFERROR(INDEX(Prices[Current Price],MATCH($A690,Prices[Key],0)),0))</f>
        <v/>
      </c>
      <c r="I690" s="289" t="str">
        <f>IF($A690="","",IFERROR(INDEX(Prices[FX to SGD],MATCH($A690,Prices[Key],0)),1))</f>
        <v/>
      </c>
      <c r="J690" s="287" t="str">
        <f t="shared" si="98"/>
        <v/>
      </c>
      <c r="K690" s="287" t="str">
        <f t="shared" si="99"/>
        <v/>
      </c>
      <c r="L690" s="287" t="str">
        <f t="shared" si="100"/>
        <v/>
      </c>
      <c r="M690" s="290" t="str">
        <f t="shared" si="101"/>
        <v/>
      </c>
      <c r="N690" t="str">
        <f>IF($A690="","",IFERROR(INDEX(Prices[Category],MATCH($A690,Prices[Key],0)),"Uncategorized"))</f>
        <v/>
      </c>
      <c r="O690" s="291" t="str">
        <f t="shared" si="102"/>
        <v/>
      </c>
      <c r="P690" s="291" t="str">
        <f t="shared" si="103"/>
        <v/>
      </c>
    </row>
    <row r="691" spans="1:16" ht="15" customHeight="1" x14ac:dyDescent="0.2">
      <c r="A691" s="243" t="str">
        <f>IFERROR(INDEX('All Ticker P&amp;L'!$A$2:$A$1001,MATCH(ROWS($A$2:A691),'All Ticker P&amp;L'!$N$2:$N$1001,0)),"")</f>
        <v/>
      </c>
      <c r="B691" s="243" t="str">
        <f t="shared" si="95"/>
        <v/>
      </c>
      <c r="C691" s="243" t="str">
        <f t="shared" si="96"/>
        <v/>
      </c>
      <c r="D691" s="243" t="str">
        <f t="shared" si="97"/>
        <v/>
      </c>
      <c r="E691" s="265" t="str">
        <f>IF($A691="","",SUMIFS(Txn[Signed Units],Txn[Key],$A691))</f>
        <v/>
      </c>
      <c r="F691" s="287" t="str">
        <f>IF($A691="","",SUMIFS(Txn[Buy Cost],Txn[Key],$A691))</f>
        <v/>
      </c>
      <c r="G691" s="287" t="str">
        <f>IF($A691="","",SUMIFS(Txn[Sell Proceeds],Txn[Key],$A691))</f>
        <v/>
      </c>
      <c r="H691" s="288" t="str">
        <f>IF($A691="","",IFERROR(INDEX(Prices[Current Price],MATCH($A691,Prices[Key],0)),0))</f>
        <v/>
      </c>
      <c r="I691" s="289" t="str">
        <f>IF($A691="","",IFERROR(INDEX(Prices[FX to SGD],MATCH($A691,Prices[Key],0)),1))</f>
        <v/>
      </c>
      <c r="J691" s="287" t="str">
        <f t="shared" si="98"/>
        <v/>
      </c>
      <c r="K691" s="287" t="str">
        <f t="shared" si="99"/>
        <v/>
      </c>
      <c r="L691" s="287" t="str">
        <f t="shared" si="100"/>
        <v/>
      </c>
      <c r="M691" s="290" t="str">
        <f t="shared" si="101"/>
        <v/>
      </c>
      <c r="N691" t="str">
        <f>IF($A691="","",IFERROR(INDEX(Prices[Category],MATCH($A691,Prices[Key],0)),"Uncategorized"))</f>
        <v/>
      </c>
      <c r="O691" s="291" t="str">
        <f t="shared" si="102"/>
        <v/>
      </c>
      <c r="P691" s="291" t="str">
        <f t="shared" si="103"/>
        <v/>
      </c>
    </row>
    <row r="692" spans="1:16" ht="15" customHeight="1" x14ac:dyDescent="0.2">
      <c r="A692" s="243" t="str">
        <f>IFERROR(INDEX('All Ticker P&amp;L'!$A$2:$A$1001,MATCH(ROWS($A$2:A692),'All Ticker P&amp;L'!$N$2:$N$1001,0)),"")</f>
        <v/>
      </c>
      <c r="B692" s="243" t="str">
        <f t="shared" si="95"/>
        <v/>
      </c>
      <c r="C692" s="243" t="str">
        <f t="shared" si="96"/>
        <v/>
      </c>
      <c r="D692" s="243" t="str">
        <f t="shared" si="97"/>
        <v/>
      </c>
      <c r="E692" s="265" t="str">
        <f>IF($A692="","",SUMIFS(Txn[Signed Units],Txn[Key],$A692))</f>
        <v/>
      </c>
      <c r="F692" s="287" t="str">
        <f>IF($A692="","",SUMIFS(Txn[Buy Cost],Txn[Key],$A692))</f>
        <v/>
      </c>
      <c r="G692" s="287" t="str">
        <f>IF($A692="","",SUMIFS(Txn[Sell Proceeds],Txn[Key],$A692))</f>
        <v/>
      </c>
      <c r="H692" s="288" t="str">
        <f>IF($A692="","",IFERROR(INDEX(Prices[Current Price],MATCH($A692,Prices[Key],0)),0))</f>
        <v/>
      </c>
      <c r="I692" s="289" t="str">
        <f>IF($A692="","",IFERROR(INDEX(Prices[FX to SGD],MATCH($A692,Prices[Key],0)),1))</f>
        <v/>
      </c>
      <c r="J692" s="287" t="str">
        <f t="shared" si="98"/>
        <v/>
      </c>
      <c r="K692" s="287" t="str">
        <f t="shared" si="99"/>
        <v/>
      </c>
      <c r="L692" s="287" t="str">
        <f t="shared" si="100"/>
        <v/>
      </c>
      <c r="M692" s="290" t="str">
        <f t="shared" si="101"/>
        <v/>
      </c>
      <c r="N692" t="str">
        <f>IF($A692="","",IFERROR(INDEX(Prices[Category],MATCH($A692,Prices[Key],0)),"Uncategorized"))</f>
        <v/>
      </c>
      <c r="O692" s="291" t="str">
        <f t="shared" si="102"/>
        <v/>
      </c>
      <c r="P692" s="291" t="str">
        <f t="shared" si="103"/>
        <v/>
      </c>
    </row>
    <row r="693" spans="1:16" ht="15" customHeight="1" x14ac:dyDescent="0.2">
      <c r="A693" s="243" t="str">
        <f>IFERROR(INDEX('All Ticker P&amp;L'!$A$2:$A$1001,MATCH(ROWS($A$2:A693),'All Ticker P&amp;L'!$N$2:$N$1001,0)),"")</f>
        <v/>
      </c>
      <c r="B693" s="243" t="str">
        <f t="shared" si="95"/>
        <v/>
      </c>
      <c r="C693" s="243" t="str">
        <f t="shared" si="96"/>
        <v/>
      </c>
      <c r="D693" s="243" t="str">
        <f t="shared" si="97"/>
        <v/>
      </c>
      <c r="E693" s="265" t="str">
        <f>IF($A693="","",SUMIFS(Txn[Signed Units],Txn[Key],$A693))</f>
        <v/>
      </c>
      <c r="F693" s="287" t="str">
        <f>IF($A693="","",SUMIFS(Txn[Buy Cost],Txn[Key],$A693))</f>
        <v/>
      </c>
      <c r="G693" s="287" t="str">
        <f>IF($A693="","",SUMIFS(Txn[Sell Proceeds],Txn[Key],$A693))</f>
        <v/>
      </c>
      <c r="H693" s="288" t="str">
        <f>IF($A693="","",IFERROR(INDEX(Prices[Current Price],MATCH($A693,Prices[Key],0)),0))</f>
        <v/>
      </c>
      <c r="I693" s="289" t="str">
        <f>IF($A693="","",IFERROR(INDEX(Prices[FX to SGD],MATCH($A693,Prices[Key],0)),1))</f>
        <v/>
      </c>
      <c r="J693" s="287" t="str">
        <f t="shared" si="98"/>
        <v/>
      </c>
      <c r="K693" s="287" t="str">
        <f t="shared" si="99"/>
        <v/>
      </c>
      <c r="L693" s="287" t="str">
        <f t="shared" si="100"/>
        <v/>
      </c>
      <c r="M693" s="290" t="str">
        <f t="shared" si="101"/>
        <v/>
      </c>
      <c r="N693" t="str">
        <f>IF($A693="","",IFERROR(INDEX(Prices[Category],MATCH($A693,Prices[Key],0)),"Uncategorized"))</f>
        <v/>
      </c>
      <c r="O693" s="291" t="str">
        <f t="shared" si="102"/>
        <v/>
      </c>
      <c r="P693" s="291" t="str">
        <f t="shared" si="103"/>
        <v/>
      </c>
    </row>
    <row r="694" spans="1:16" ht="15" customHeight="1" x14ac:dyDescent="0.2">
      <c r="A694" s="243" t="str">
        <f>IFERROR(INDEX('All Ticker P&amp;L'!$A$2:$A$1001,MATCH(ROWS($A$2:A694),'All Ticker P&amp;L'!$N$2:$N$1001,0)),"")</f>
        <v/>
      </c>
      <c r="B694" s="243" t="str">
        <f t="shared" si="95"/>
        <v/>
      </c>
      <c r="C694" s="243" t="str">
        <f t="shared" si="96"/>
        <v/>
      </c>
      <c r="D694" s="243" t="str">
        <f t="shared" si="97"/>
        <v/>
      </c>
      <c r="E694" s="265" t="str">
        <f>IF($A694="","",SUMIFS(Txn[Signed Units],Txn[Key],$A694))</f>
        <v/>
      </c>
      <c r="F694" s="287" t="str">
        <f>IF($A694="","",SUMIFS(Txn[Buy Cost],Txn[Key],$A694))</f>
        <v/>
      </c>
      <c r="G694" s="287" t="str">
        <f>IF($A694="","",SUMIFS(Txn[Sell Proceeds],Txn[Key],$A694))</f>
        <v/>
      </c>
      <c r="H694" s="288" t="str">
        <f>IF($A694="","",IFERROR(INDEX(Prices[Current Price],MATCH($A694,Prices[Key],0)),0))</f>
        <v/>
      </c>
      <c r="I694" s="289" t="str">
        <f>IF($A694="","",IFERROR(INDEX(Prices[FX to SGD],MATCH($A694,Prices[Key],0)),1))</f>
        <v/>
      </c>
      <c r="J694" s="287" t="str">
        <f t="shared" si="98"/>
        <v/>
      </c>
      <c r="K694" s="287" t="str">
        <f t="shared" si="99"/>
        <v/>
      </c>
      <c r="L694" s="287" t="str">
        <f t="shared" si="100"/>
        <v/>
      </c>
      <c r="M694" s="290" t="str">
        <f t="shared" si="101"/>
        <v/>
      </c>
      <c r="N694" t="str">
        <f>IF($A694="","",IFERROR(INDEX(Prices[Category],MATCH($A694,Prices[Key],0)),"Uncategorized"))</f>
        <v/>
      </c>
      <c r="O694" s="291" t="str">
        <f t="shared" si="102"/>
        <v/>
      </c>
      <c r="P694" s="291" t="str">
        <f t="shared" si="103"/>
        <v/>
      </c>
    </row>
    <row r="695" spans="1:16" ht="15" customHeight="1" x14ac:dyDescent="0.2">
      <c r="A695" s="243" t="str">
        <f>IFERROR(INDEX('All Ticker P&amp;L'!$A$2:$A$1001,MATCH(ROWS($A$2:A695),'All Ticker P&amp;L'!$N$2:$N$1001,0)),"")</f>
        <v/>
      </c>
      <c r="B695" s="243" t="str">
        <f t="shared" si="95"/>
        <v/>
      </c>
      <c r="C695" s="243" t="str">
        <f t="shared" si="96"/>
        <v/>
      </c>
      <c r="D695" s="243" t="str">
        <f t="shared" si="97"/>
        <v/>
      </c>
      <c r="E695" s="265" t="str">
        <f>IF($A695="","",SUMIFS(Txn[Signed Units],Txn[Key],$A695))</f>
        <v/>
      </c>
      <c r="F695" s="287" t="str">
        <f>IF($A695="","",SUMIFS(Txn[Buy Cost],Txn[Key],$A695))</f>
        <v/>
      </c>
      <c r="G695" s="287" t="str">
        <f>IF($A695="","",SUMIFS(Txn[Sell Proceeds],Txn[Key],$A695))</f>
        <v/>
      </c>
      <c r="H695" s="288" t="str">
        <f>IF($A695="","",IFERROR(INDEX(Prices[Current Price],MATCH($A695,Prices[Key],0)),0))</f>
        <v/>
      </c>
      <c r="I695" s="289" t="str">
        <f>IF($A695="","",IFERROR(INDEX(Prices[FX to SGD],MATCH($A695,Prices[Key],0)),1))</f>
        <v/>
      </c>
      <c r="J695" s="287" t="str">
        <f t="shared" si="98"/>
        <v/>
      </c>
      <c r="K695" s="287" t="str">
        <f t="shared" si="99"/>
        <v/>
      </c>
      <c r="L695" s="287" t="str">
        <f t="shared" si="100"/>
        <v/>
      </c>
      <c r="M695" s="290" t="str">
        <f t="shared" si="101"/>
        <v/>
      </c>
      <c r="N695" t="str">
        <f>IF($A695="","",IFERROR(INDEX(Prices[Category],MATCH($A695,Prices[Key],0)),"Uncategorized"))</f>
        <v/>
      </c>
      <c r="O695" s="291" t="str">
        <f t="shared" si="102"/>
        <v/>
      </c>
      <c r="P695" s="291" t="str">
        <f t="shared" si="103"/>
        <v/>
      </c>
    </row>
    <row r="696" spans="1:16" ht="15" customHeight="1" x14ac:dyDescent="0.2">
      <c r="A696" s="243" t="str">
        <f>IFERROR(INDEX('All Ticker P&amp;L'!$A$2:$A$1001,MATCH(ROWS($A$2:A696),'All Ticker P&amp;L'!$N$2:$N$1001,0)),"")</f>
        <v/>
      </c>
      <c r="B696" s="243" t="str">
        <f t="shared" si="95"/>
        <v/>
      </c>
      <c r="C696" s="243" t="str">
        <f t="shared" si="96"/>
        <v/>
      </c>
      <c r="D696" s="243" t="str">
        <f t="shared" si="97"/>
        <v/>
      </c>
      <c r="E696" s="265" t="str">
        <f>IF($A696="","",SUMIFS(Txn[Signed Units],Txn[Key],$A696))</f>
        <v/>
      </c>
      <c r="F696" s="287" t="str">
        <f>IF($A696="","",SUMIFS(Txn[Buy Cost],Txn[Key],$A696))</f>
        <v/>
      </c>
      <c r="G696" s="287" t="str">
        <f>IF($A696="","",SUMIFS(Txn[Sell Proceeds],Txn[Key],$A696))</f>
        <v/>
      </c>
      <c r="H696" s="288" t="str">
        <f>IF($A696="","",IFERROR(INDEX(Prices[Current Price],MATCH($A696,Prices[Key],0)),0))</f>
        <v/>
      </c>
      <c r="I696" s="289" t="str">
        <f>IF($A696="","",IFERROR(INDEX(Prices[FX to SGD],MATCH($A696,Prices[Key],0)),1))</f>
        <v/>
      </c>
      <c r="J696" s="287" t="str">
        <f t="shared" si="98"/>
        <v/>
      </c>
      <c r="K696" s="287" t="str">
        <f t="shared" si="99"/>
        <v/>
      </c>
      <c r="L696" s="287" t="str">
        <f t="shared" si="100"/>
        <v/>
      </c>
      <c r="M696" s="290" t="str">
        <f t="shared" si="101"/>
        <v/>
      </c>
      <c r="N696" t="str">
        <f>IF($A696="","",IFERROR(INDEX(Prices[Category],MATCH($A696,Prices[Key],0)),"Uncategorized"))</f>
        <v/>
      </c>
      <c r="O696" s="291" t="str">
        <f t="shared" si="102"/>
        <v/>
      </c>
      <c r="P696" s="291" t="str">
        <f t="shared" si="103"/>
        <v/>
      </c>
    </row>
    <row r="697" spans="1:16" ht="15" customHeight="1" x14ac:dyDescent="0.2">
      <c r="A697" s="243" t="str">
        <f>IFERROR(INDEX('All Ticker P&amp;L'!$A$2:$A$1001,MATCH(ROWS($A$2:A697),'All Ticker P&amp;L'!$N$2:$N$1001,0)),"")</f>
        <v/>
      </c>
      <c r="B697" s="243" t="str">
        <f t="shared" si="95"/>
        <v/>
      </c>
      <c r="C697" s="243" t="str">
        <f t="shared" si="96"/>
        <v/>
      </c>
      <c r="D697" s="243" t="str">
        <f t="shared" si="97"/>
        <v/>
      </c>
      <c r="E697" s="265" t="str">
        <f>IF($A697="","",SUMIFS(Txn[Signed Units],Txn[Key],$A697))</f>
        <v/>
      </c>
      <c r="F697" s="287" t="str">
        <f>IF($A697="","",SUMIFS(Txn[Buy Cost],Txn[Key],$A697))</f>
        <v/>
      </c>
      <c r="G697" s="287" t="str">
        <f>IF($A697="","",SUMIFS(Txn[Sell Proceeds],Txn[Key],$A697))</f>
        <v/>
      </c>
      <c r="H697" s="288" t="str">
        <f>IF($A697="","",IFERROR(INDEX(Prices[Current Price],MATCH($A697,Prices[Key],0)),0))</f>
        <v/>
      </c>
      <c r="I697" s="289" t="str">
        <f>IF($A697="","",IFERROR(INDEX(Prices[FX to SGD],MATCH($A697,Prices[Key],0)),1))</f>
        <v/>
      </c>
      <c r="J697" s="287" t="str">
        <f t="shared" si="98"/>
        <v/>
      </c>
      <c r="K697" s="287" t="str">
        <f t="shared" si="99"/>
        <v/>
      </c>
      <c r="L697" s="287" t="str">
        <f t="shared" si="100"/>
        <v/>
      </c>
      <c r="M697" s="290" t="str">
        <f t="shared" si="101"/>
        <v/>
      </c>
      <c r="N697" t="str">
        <f>IF($A697="","",IFERROR(INDEX(Prices[Category],MATCH($A697,Prices[Key],0)),"Uncategorized"))</f>
        <v/>
      </c>
      <c r="O697" s="291" t="str">
        <f t="shared" si="102"/>
        <v/>
      </c>
      <c r="P697" s="291" t="str">
        <f t="shared" si="103"/>
        <v/>
      </c>
    </row>
    <row r="698" spans="1:16" ht="15" customHeight="1" x14ac:dyDescent="0.2">
      <c r="A698" s="243" t="str">
        <f>IFERROR(INDEX('All Ticker P&amp;L'!$A$2:$A$1001,MATCH(ROWS($A$2:A698),'All Ticker P&amp;L'!$N$2:$N$1001,0)),"")</f>
        <v/>
      </c>
      <c r="B698" s="243" t="str">
        <f t="shared" si="95"/>
        <v/>
      </c>
      <c r="C698" s="243" t="str">
        <f t="shared" si="96"/>
        <v/>
      </c>
      <c r="D698" s="243" t="str">
        <f t="shared" si="97"/>
        <v/>
      </c>
      <c r="E698" s="265" t="str">
        <f>IF($A698="","",SUMIFS(Txn[Signed Units],Txn[Key],$A698))</f>
        <v/>
      </c>
      <c r="F698" s="287" t="str">
        <f>IF($A698="","",SUMIFS(Txn[Buy Cost],Txn[Key],$A698))</f>
        <v/>
      </c>
      <c r="G698" s="287" t="str">
        <f>IF($A698="","",SUMIFS(Txn[Sell Proceeds],Txn[Key],$A698))</f>
        <v/>
      </c>
      <c r="H698" s="288" t="str">
        <f>IF($A698="","",IFERROR(INDEX(Prices[Current Price],MATCH($A698,Prices[Key],0)),0))</f>
        <v/>
      </c>
      <c r="I698" s="289" t="str">
        <f>IF($A698="","",IFERROR(INDEX(Prices[FX to SGD],MATCH($A698,Prices[Key],0)),1))</f>
        <v/>
      </c>
      <c r="J698" s="287" t="str">
        <f t="shared" si="98"/>
        <v/>
      </c>
      <c r="K698" s="287" t="str">
        <f t="shared" si="99"/>
        <v/>
      </c>
      <c r="L698" s="287" t="str">
        <f t="shared" si="100"/>
        <v/>
      </c>
      <c r="M698" s="290" t="str">
        <f t="shared" si="101"/>
        <v/>
      </c>
      <c r="N698" t="str">
        <f>IF($A698="","",IFERROR(INDEX(Prices[Category],MATCH($A698,Prices[Key],0)),"Uncategorized"))</f>
        <v/>
      </c>
      <c r="O698" s="291" t="str">
        <f t="shared" si="102"/>
        <v/>
      </c>
      <c r="P698" s="291" t="str">
        <f t="shared" si="103"/>
        <v/>
      </c>
    </row>
    <row r="699" spans="1:16" ht="15" customHeight="1" x14ac:dyDescent="0.2">
      <c r="A699" s="243" t="str">
        <f>IFERROR(INDEX('All Ticker P&amp;L'!$A$2:$A$1001,MATCH(ROWS($A$2:A699),'All Ticker P&amp;L'!$N$2:$N$1001,0)),"")</f>
        <v/>
      </c>
      <c r="B699" s="243" t="str">
        <f t="shared" si="95"/>
        <v/>
      </c>
      <c r="C699" s="243" t="str">
        <f t="shared" si="96"/>
        <v/>
      </c>
      <c r="D699" s="243" t="str">
        <f t="shared" si="97"/>
        <v/>
      </c>
      <c r="E699" s="265" t="str">
        <f>IF($A699="","",SUMIFS(Txn[Signed Units],Txn[Key],$A699))</f>
        <v/>
      </c>
      <c r="F699" s="287" t="str">
        <f>IF($A699="","",SUMIFS(Txn[Buy Cost],Txn[Key],$A699))</f>
        <v/>
      </c>
      <c r="G699" s="287" t="str">
        <f>IF($A699="","",SUMIFS(Txn[Sell Proceeds],Txn[Key],$A699))</f>
        <v/>
      </c>
      <c r="H699" s="288" t="str">
        <f>IF($A699="","",IFERROR(INDEX(Prices[Current Price],MATCH($A699,Prices[Key],0)),0))</f>
        <v/>
      </c>
      <c r="I699" s="289" t="str">
        <f>IF($A699="","",IFERROR(INDEX(Prices[FX to SGD],MATCH($A699,Prices[Key],0)),1))</f>
        <v/>
      </c>
      <c r="J699" s="287" t="str">
        <f t="shared" si="98"/>
        <v/>
      </c>
      <c r="K699" s="287" t="str">
        <f t="shared" si="99"/>
        <v/>
      </c>
      <c r="L699" s="287" t="str">
        <f t="shared" si="100"/>
        <v/>
      </c>
      <c r="M699" s="290" t="str">
        <f t="shared" si="101"/>
        <v/>
      </c>
      <c r="N699" t="str">
        <f>IF($A699="","",IFERROR(INDEX(Prices[Category],MATCH($A699,Prices[Key],0)),"Uncategorized"))</f>
        <v/>
      </c>
      <c r="O699" s="291" t="str">
        <f t="shared" si="102"/>
        <v/>
      </c>
      <c r="P699" s="291" t="str">
        <f t="shared" si="103"/>
        <v/>
      </c>
    </row>
    <row r="700" spans="1:16" ht="15" customHeight="1" x14ac:dyDescent="0.2">
      <c r="A700" s="243" t="str">
        <f>IFERROR(INDEX('All Ticker P&amp;L'!$A$2:$A$1001,MATCH(ROWS($A$2:A700),'All Ticker P&amp;L'!$N$2:$N$1001,0)),"")</f>
        <v/>
      </c>
      <c r="B700" s="243" t="str">
        <f t="shared" si="95"/>
        <v/>
      </c>
      <c r="C700" s="243" t="str">
        <f t="shared" si="96"/>
        <v/>
      </c>
      <c r="D700" s="243" t="str">
        <f t="shared" si="97"/>
        <v/>
      </c>
      <c r="E700" s="265" t="str">
        <f>IF($A700="","",SUMIFS(Txn[Signed Units],Txn[Key],$A700))</f>
        <v/>
      </c>
      <c r="F700" s="287" t="str">
        <f>IF($A700="","",SUMIFS(Txn[Buy Cost],Txn[Key],$A700))</f>
        <v/>
      </c>
      <c r="G700" s="287" t="str">
        <f>IF($A700="","",SUMIFS(Txn[Sell Proceeds],Txn[Key],$A700))</f>
        <v/>
      </c>
      <c r="H700" s="288" t="str">
        <f>IF($A700="","",IFERROR(INDEX(Prices[Current Price],MATCH($A700,Prices[Key],0)),0))</f>
        <v/>
      </c>
      <c r="I700" s="289" t="str">
        <f>IF($A700="","",IFERROR(INDEX(Prices[FX to SGD],MATCH($A700,Prices[Key],0)),1))</f>
        <v/>
      </c>
      <c r="J700" s="287" t="str">
        <f t="shared" si="98"/>
        <v/>
      </c>
      <c r="K700" s="287" t="str">
        <f t="shared" si="99"/>
        <v/>
      </c>
      <c r="L700" s="287" t="str">
        <f t="shared" si="100"/>
        <v/>
      </c>
      <c r="M700" s="290" t="str">
        <f t="shared" si="101"/>
        <v/>
      </c>
      <c r="N700" t="str">
        <f>IF($A700="","",IFERROR(INDEX(Prices[Category],MATCH($A700,Prices[Key],0)),"Uncategorized"))</f>
        <v/>
      </c>
      <c r="O700" s="291" t="str">
        <f t="shared" si="102"/>
        <v/>
      </c>
      <c r="P700" s="291" t="str">
        <f t="shared" si="103"/>
        <v/>
      </c>
    </row>
    <row r="701" spans="1:16" ht="15" customHeight="1" x14ac:dyDescent="0.2">
      <c r="A701" s="243" t="str">
        <f>IFERROR(INDEX('All Ticker P&amp;L'!$A$2:$A$1001,MATCH(ROWS($A$2:A701),'All Ticker P&amp;L'!$N$2:$N$1001,0)),"")</f>
        <v/>
      </c>
      <c r="B701" s="243" t="str">
        <f t="shared" si="95"/>
        <v/>
      </c>
      <c r="C701" s="243" t="str">
        <f t="shared" si="96"/>
        <v/>
      </c>
      <c r="D701" s="243" t="str">
        <f t="shared" si="97"/>
        <v/>
      </c>
      <c r="E701" s="265" t="str">
        <f>IF($A701="","",SUMIFS(Txn[Signed Units],Txn[Key],$A701))</f>
        <v/>
      </c>
      <c r="F701" s="287" t="str">
        <f>IF($A701="","",SUMIFS(Txn[Buy Cost],Txn[Key],$A701))</f>
        <v/>
      </c>
      <c r="G701" s="287" t="str">
        <f>IF($A701="","",SUMIFS(Txn[Sell Proceeds],Txn[Key],$A701))</f>
        <v/>
      </c>
      <c r="H701" s="288" t="str">
        <f>IF($A701="","",IFERROR(INDEX(Prices[Current Price],MATCH($A701,Prices[Key],0)),0))</f>
        <v/>
      </c>
      <c r="I701" s="289" t="str">
        <f>IF($A701="","",IFERROR(INDEX(Prices[FX to SGD],MATCH($A701,Prices[Key],0)),1))</f>
        <v/>
      </c>
      <c r="J701" s="287" t="str">
        <f t="shared" si="98"/>
        <v/>
      </c>
      <c r="K701" s="287" t="str">
        <f t="shared" si="99"/>
        <v/>
      </c>
      <c r="L701" s="287" t="str">
        <f t="shared" si="100"/>
        <v/>
      </c>
      <c r="M701" s="290" t="str">
        <f t="shared" si="101"/>
        <v/>
      </c>
      <c r="N701" t="str">
        <f>IF($A701="","",IFERROR(INDEX(Prices[Category],MATCH($A701,Prices[Key],0)),"Uncategorized"))</f>
        <v/>
      </c>
      <c r="O701" s="291" t="str">
        <f t="shared" si="102"/>
        <v/>
      </c>
      <c r="P701" s="291" t="str">
        <f t="shared" si="103"/>
        <v/>
      </c>
    </row>
    <row r="702" spans="1:16" ht="15" customHeight="1" x14ac:dyDescent="0.2">
      <c r="A702" s="243" t="str">
        <f>IFERROR(INDEX('All Ticker P&amp;L'!$A$2:$A$1001,MATCH(ROWS($A$2:A702),'All Ticker P&amp;L'!$N$2:$N$1001,0)),"")</f>
        <v/>
      </c>
      <c r="B702" s="243" t="str">
        <f t="shared" si="95"/>
        <v/>
      </c>
      <c r="C702" s="243" t="str">
        <f t="shared" si="96"/>
        <v/>
      </c>
      <c r="D702" s="243" t="str">
        <f t="shared" si="97"/>
        <v/>
      </c>
      <c r="E702" s="265" t="str">
        <f>IF($A702="","",SUMIFS(Txn[Signed Units],Txn[Key],$A702))</f>
        <v/>
      </c>
      <c r="F702" s="287" t="str">
        <f>IF($A702="","",SUMIFS(Txn[Buy Cost],Txn[Key],$A702))</f>
        <v/>
      </c>
      <c r="G702" s="287" t="str">
        <f>IF($A702="","",SUMIFS(Txn[Sell Proceeds],Txn[Key],$A702))</f>
        <v/>
      </c>
      <c r="H702" s="288" t="str">
        <f>IF($A702="","",IFERROR(INDEX(Prices[Current Price],MATCH($A702,Prices[Key],0)),0))</f>
        <v/>
      </c>
      <c r="I702" s="289" t="str">
        <f>IF($A702="","",IFERROR(INDEX(Prices[FX to SGD],MATCH($A702,Prices[Key],0)),1))</f>
        <v/>
      </c>
      <c r="J702" s="287" t="str">
        <f t="shared" si="98"/>
        <v/>
      </c>
      <c r="K702" s="287" t="str">
        <f t="shared" si="99"/>
        <v/>
      </c>
      <c r="L702" s="287" t="str">
        <f t="shared" si="100"/>
        <v/>
      </c>
      <c r="M702" s="290" t="str">
        <f t="shared" si="101"/>
        <v/>
      </c>
      <c r="N702" t="str">
        <f>IF($A702="","",IFERROR(INDEX(Prices[Category],MATCH($A702,Prices[Key],0)),"Uncategorized"))</f>
        <v/>
      </c>
      <c r="O702" s="291" t="str">
        <f t="shared" si="102"/>
        <v/>
      </c>
      <c r="P702" s="291" t="str">
        <f t="shared" si="103"/>
        <v/>
      </c>
    </row>
    <row r="703" spans="1:16" ht="15" customHeight="1" x14ac:dyDescent="0.2">
      <c r="A703" s="243" t="str">
        <f>IFERROR(INDEX('All Ticker P&amp;L'!$A$2:$A$1001,MATCH(ROWS($A$2:A703),'All Ticker P&amp;L'!$N$2:$N$1001,0)),"")</f>
        <v/>
      </c>
      <c r="B703" s="243" t="str">
        <f t="shared" si="95"/>
        <v/>
      </c>
      <c r="C703" s="243" t="str">
        <f t="shared" si="96"/>
        <v/>
      </c>
      <c r="D703" s="243" t="str">
        <f t="shared" si="97"/>
        <v/>
      </c>
      <c r="E703" s="265" t="str">
        <f>IF($A703="","",SUMIFS(Txn[Signed Units],Txn[Key],$A703))</f>
        <v/>
      </c>
      <c r="F703" s="287" t="str">
        <f>IF($A703="","",SUMIFS(Txn[Buy Cost],Txn[Key],$A703))</f>
        <v/>
      </c>
      <c r="G703" s="287" t="str">
        <f>IF($A703="","",SUMIFS(Txn[Sell Proceeds],Txn[Key],$A703))</f>
        <v/>
      </c>
      <c r="H703" s="288" t="str">
        <f>IF($A703="","",IFERROR(INDEX(Prices[Current Price],MATCH($A703,Prices[Key],0)),0))</f>
        <v/>
      </c>
      <c r="I703" s="289" t="str">
        <f>IF($A703="","",IFERROR(INDEX(Prices[FX to SGD],MATCH($A703,Prices[Key],0)),1))</f>
        <v/>
      </c>
      <c r="J703" s="287" t="str">
        <f t="shared" si="98"/>
        <v/>
      </c>
      <c r="K703" s="287" t="str">
        <f t="shared" si="99"/>
        <v/>
      </c>
      <c r="L703" s="287" t="str">
        <f t="shared" si="100"/>
        <v/>
      </c>
      <c r="M703" s="290" t="str">
        <f t="shared" si="101"/>
        <v/>
      </c>
      <c r="N703" t="str">
        <f>IF($A703="","",IFERROR(INDEX(Prices[Category],MATCH($A703,Prices[Key],0)),"Uncategorized"))</f>
        <v/>
      </c>
      <c r="O703" s="291" t="str">
        <f t="shared" si="102"/>
        <v/>
      </c>
      <c r="P703" s="291" t="str">
        <f t="shared" si="103"/>
        <v/>
      </c>
    </row>
    <row r="704" spans="1:16" ht="15" customHeight="1" x14ac:dyDescent="0.2">
      <c r="A704" s="243" t="str">
        <f>IFERROR(INDEX('All Ticker P&amp;L'!$A$2:$A$1001,MATCH(ROWS($A$2:A704),'All Ticker P&amp;L'!$N$2:$N$1001,0)),"")</f>
        <v/>
      </c>
      <c r="B704" s="243" t="str">
        <f t="shared" si="95"/>
        <v/>
      </c>
      <c r="C704" s="243" t="str">
        <f t="shared" si="96"/>
        <v/>
      </c>
      <c r="D704" s="243" t="str">
        <f t="shared" si="97"/>
        <v/>
      </c>
      <c r="E704" s="265" t="str">
        <f>IF($A704="","",SUMIFS(Txn[Signed Units],Txn[Key],$A704))</f>
        <v/>
      </c>
      <c r="F704" s="287" t="str">
        <f>IF($A704="","",SUMIFS(Txn[Buy Cost],Txn[Key],$A704))</f>
        <v/>
      </c>
      <c r="G704" s="287" t="str">
        <f>IF($A704="","",SUMIFS(Txn[Sell Proceeds],Txn[Key],$A704))</f>
        <v/>
      </c>
      <c r="H704" s="288" t="str">
        <f>IF($A704="","",IFERROR(INDEX(Prices[Current Price],MATCH($A704,Prices[Key],0)),0))</f>
        <v/>
      </c>
      <c r="I704" s="289" t="str">
        <f>IF($A704="","",IFERROR(INDEX(Prices[FX to SGD],MATCH($A704,Prices[Key],0)),1))</f>
        <v/>
      </c>
      <c r="J704" s="287" t="str">
        <f t="shared" si="98"/>
        <v/>
      </c>
      <c r="K704" s="287" t="str">
        <f t="shared" si="99"/>
        <v/>
      </c>
      <c r="L704" s="287" t="str">
        <f t="shared" si="100"/>
        <v/>
      </c>
      <c r="M704" s="290" t="str">
        <f t="shared" si="101"/>
        <v/>
      </c>
      <c r="N704" t="str">
        <f>IF($A704="","",IFERROR(INDEX(Prices[Category],MATCH($A704,Prices[Key],0)),"Uncategorized"))</f>
        <v/>
      </c>
      <c r="O704" s="291" t="str">
        <f t="shared" si="102"/>
        <v/>
      </c>
      <c r="P704" s="291" t="str">
        <f t="shared" si="103"/>
        <v/>
      </c>
    </row>
    <row r="705" spans="1:16" ht="15" customHeight="1" x14ac:dyDescent="0.2">
      <c r="A705" s="243" t="str">
        <f>IFERROR(INDEX('All Ticker P&amp;L'!$A$2:$A$1001,MATCH(ROWS($A$2:A705),'All Ticker P&amp;L'!$N$2:$N$1001,0)),"")</f>
        <v/>
      </c>
      <c r="B705" s="243" t="str">
        <f t="shared" si="95"/>
        <v/>
      </c>
      <c r="C705" s="243" t="str">
        <f t="shared" si="96"/>
        <v/>
      </c>
      <c r="D705" s="243" t="str">
        <f t="shared" si="97"/>
        <v/>
      </c>
      <c r="E705" s="265" t="str">
        <f>IF($A705="","",SUMIFS(Txn[Signed Units],Txn[Key],$A705))</f>
        <v/>
      </c>
      <c r="F705" s="287" t="str">
        <f>IF($A705="","",SUMIFS(Txn[Buy Cost],Txn[Key],$A705))</f>
        <v/>
      </c>
      <c r="G705" s="287" t="str">
        <f>IF($A705="","",SUMIFS(Txn[Sell Proceeds],Txn[Key],$A705))</f>
        <v/>
      </c>
      <c r="H705" s="288" t="str">
        <f>IF($A705="","",IFERROR(INDEX(Prices[Current Price],MATCH($A705,Prices[Key],0)),0))</f>
        <v/>
      </c>
      <c r="I705" s="289" t="str">
        <f>IF($A705="","",IFERROR(INDEX(Prices[FX to SGD],MATCH($A705,Prices[Key],0)),1))</f>
        <v/>
      </c>
      <c r="J705" s="287" t="str">
        <f t="shared" si="98"/>
        <v/>
      </c>
      <c r="K705" s="287" t="str">
        <f t="shared" si="99"/>
        <v/>
      </c>
      <c r="L705" s="287" t="str">
        <f t="shared" si="100"/>
        <v/>
      </c>
      <c r="M705" s="290" t="str">
        <f t="shared" si="101"/>
        <v/>
      </c>
      <c r="N705" t="str">
        <f>IF($A705="","",IFERROR(INDEX(Prices[Category],MATCH($A705,Prices[Key],0)),"Uncategorized"))</f>
        <v/>
      </c>
      <c r="O705" s="291" t="str">
        <f t="shared" si="102"/>
        <v/>
      </c>
      <c r="P705" s="291" t="str">
        <f t="shared" si="103"/>
        <v/>
      </c>
    </row>
    <row r="706" spans="1:16" ht="15" customHeight="1" x14ac:dyDescent="0.2">
      <c r="A706" s="243" t="str">
        <f>IFERROR(INDEX('All Ticker P&amp;L'!$A$2:$A$1001,MATCH(ROWS($A$2:A706),'All Ticker P&amp;L'!$N$2:$N$1001,0)),"")</f>
        <v/>
      </c>
      <c r="B706" s="243" t="str">
        <f t="shared" ref="B706:B769" si="104">IF($A706="","",LEFT($A706,FIND(":",$A706)-1))</f>
        <v/>
      </c>
      <c r="C706" s="243" t="str">
        <f t="shared" ref="C706:C769" si="105">IF($A706="","",MID($A706,FIND(":",$A706)+1,FIND(":",$A706,FIND(":",$A706)+1)-FIND(":",$A706)-1))</f>
        <v/>
      </c>
      <c r="D706" s="243" t="str">
        <f t="shared" ref="D706:D769" si="106">IF($A706="","",RIGHT($A706,LEN($A706)-FIND(":",$A706,FIND(":",$A706)+1)))</f>
        <v/>
      </c>
      <c r="E706" s="265" t="str">
        <f>IF($A706="","",SUMIFS(Txn[Signed Units],Txn[Key],$A706))</f>
        <v/>
      </c>
      <c r="F706" s="287" t="str">
        <f>IF($A706="","",SUMIFS(Txn[Buy Cost],Txn[Key],$A706))</f>
        <v/>
      </c>
      <c r="G706" s="287" t="str">
        <f>IF($A706="","",SUMIFS(Txn[Sell Proceeds],Txn[Key],$A706))</f>
        <v/>
      </c>
      <c r="H706" s="288" t="str">
        <f>IF($A706="","",IFERROR(INDEX(Prices[Current Price],MATCH($A706,Prices[Key],0)),0))</f>
        <v/>
      </c>
      <c r="I706" s="289" t="str">
        <f>IF($A706="","",IFERROR(INDEX(Prices[FX to SGD],MATCH($A706,Prices[Key],0)),1))</f>
        <v/>
      </c>
      <c r="J706" s="287" t="str">
        <f t="shared" ref="J706:J769" si="107">IF($A706="","",E706*H706)</f>
        <v/>
      </c>
      <c r="K706" s="287" t="str">
        <f t="shared" ref="K706:K769" si="108">IF($A706="","",J706+G706-F706)</f>
        <v/>
      </c>
      <c r="L706" s="287" t="str">
        <f t="shared" ref="L706:L769" si="109">IF($A706="","",K706*I706)</f>
        <v/>
      </c>
      <c r="M706" s="290" t="str">
        <f t="shared" ref="M706:M769" si="110">IF($A706="","",IFERROR(K706/F706,0))</f>
        <v/>
      </c>
      <c r="N706" t="str">
        <f>IF($A706="","",IFERROR(INDEX(Prices[Category],MATCH($A706,Prices[Key],0)),"Uncategorized"))</f>
        <v/>
      </c>
      <c r="O706" s="291" t="str">
        <f t="shared" ref="O706:O769" si="111">IF($A706="","",$J706*$I706)</f>
        <v/>
      </c>
      <c r="P706" s="291" t="str">
        <f t="shared" ref="P706:P769" si="112">IF($A706="","",$L706)</f>
        <v/>
      </c>
    </row>
    <row r="707" spans="1:16" ht="15" customHeight="1" x14ac:dyDescent="0.2">
      <c r="A707" s="243" t="str">
        <f>IFERROR(INDEX('All Ticker P&amp;L'!$A$2:$A$1001,MATCH(ROWS($A$2:A707),'All Ticker P&amp;L'!$N$2:$N$1001,0)),"")</f>
        <v/>
      </c>
      <c r="B707" s="243" t="str">
        <f t="shared" si="104"/>
        <v/>
      </c>
      <c r="C707" s="243" t="str">
        <f t="shared" si="105"/>
        <v/>
      </c>
      <c r="D707" s="243" t="str">
        <f t="shared" si="106"/>
        <v/>
      </c>
      <c r="E707" s="265" t="str">
        <f>IF($A707="","",SUMIFS(Txn[Signed Units],Txn[Key],$A707))</f>
        <v/>
      </c>
      <c r="F707" s="287" t="str">
        <f>IF($A707="","",SUMIFS(Txn[Buy Cost],Txn[Key],$A707))</f>
        <v/>
      </c>
      <c r="G707" s="287" t="str">
        <f>IF($A707="","",SUMIFS(Txn[Sell Proceeds],Txn[Key],$A707))</f>
        <v/>
      </c>
      <c r="H707" s="288" t="str">
        <f>IF($A707="","",IFERROR(INDEX(Prices[Current Price],MATCH($A707,Prices[Key],0)),0))</f>
        <v/>
      </c>
      <c r="I707" s="289" t="str">
        <f>IF($A707="","",IFERROR(INDEX(Prices[FX to SGD],MATCH($A707,Prices[Key],0)),1))</f>
        <v/>
      </c>
      <c r="J707" s="287" t="str">
        <f t="shared" si="107"/>
        <v/>
      </c>
      <c r="K707" s="287" t="str">
        <f t="shared" si="108"/>
        <v/>
      </c>
      <c r="L707" s="287" t="str">
        <f t="shared" si="109"/>
        <v/>
      </c>
      <c r="M707" s="290" t="str">
        <f t="shared" si="110"/>
        <v/>
      </c>
      <c r="N707" t="str">
        <f>IF($A707="","",IFERROR(INDEX(Prices[Category],MATCH($A707,Prices[Key],0)),"Uncategorized"))</f>
        <v/>
      </c>
      <c r="O707" s="291" t="str">
        <f t="shared" si="111"/>
        <v/>
      </c>
      <c r="P707" s="291" t="str">
        <f t="shared" si="112"/>
        <v/>
      </c>
    </row>
    <row r="708" spans="1:16" ht="15" customHeight="1" x14ac:dyDescent="0.2">
      <c r="A708" s="243" t="str">
        <f>IFERROR(INDEX('All Ticker P&amp;L'!$A$2:$A$1001,MATCH(ROWS($A$2:A708),'All Ticker P&amp;L'!$N$2:$N$1001,0)),"")</f>
        <v/>
      </c>
      <c r="B708" s="243" t="str">
        <f t="shared" si="104"/>
        <v/>
      </c>
      <c r="C708" s="243" t="str">
        <f t="shared" si="105"/>
        <v/>
      </c>
      <c r="D708" s="243" t="str">
        <f t="shared" si="106"/>
        <v/>
      </c>
      <c r="E708" s="265" t="str">
        <f>IF($A708="","",SUMIFS(Txn[Signed Units],Txn[Key],$A708))</f>
        <v/>
      </c>
      <c r="F708" s="287" t="str">
        <f>IF($A708="","",SUMIFS(Txn[Buy Cost],Txn[Key],$A708))</f>
        <v/>
      </c>
      <c r="G708" s="287" t="str">
        <f>IF($A708="","",SUMIFS(Txn[Sell Proceeds],Txn[Key],$A708))</f>
        <v/>
      </c>
      <c r="H708" s="288" t="str">
        <f>IF($A708="","",IFERROR(INDEX(Prices[Current Price],MATCH($A708,Prices[Key],0)),0))</f>
        <v/>
      </c>
      <c r="I708" s="289" t="str">
        <f>IF($A708="","",IFERROR(INDEX(Prices[FX to SGD],MATCH($A708,Prices[Key],0)),1))</f>
        <v/>
      </c>
      <c r="J708" s="287" t="str">
        <f t="shared" si="107"/>
        <v/>
      </c>
      <c r="K708" s="287" t="str">
        <f t="shared" si="108"/>
        <v/>
      </c>
      <c r="L708" s="287" t="str">
        <f t="shared" si="109"/>
        <v/>
      </c>
      <c r="M708" s="290" t="str">
        <f t="shared" si="110"/>
        <v/>
      </c>
      <c r="N708" t="str">
        <f>IF($A708="","",IFERROR(INDEX(Prices[Category],MATCH($A708,Prices[Key],0)),"Uncategorized"))</f>
        <v/>
      </c>
      <c r="O708" s="291" t="str">
        <f t="shared" si="111"/>
        <v/>
      </c>
      <c r="P708" s="291" t="str">
        <f t="shared" si="112"/>
        <v/>
      </c>
    </row>
    <row r="709" spans="1:16" ht="15" customHeight="1" x14ac:dyDescent="0.2">
      <c r="A709" s="243" t="str">
        <f>IFERROR(INDEX('All Ticker P&amp;L'!$A$2:$A$1001,MATCH(ROWS($A$2:A709),'All Ticker P&amp;L'!$N$2:$N$1001,0)),"")</f>
        <v/>
      </c>
      <c r="B709" s="243" t="str">
        <f t="shared" si="104"/>
        <v/>
      </c>
      <c r="C709" s="243" t="str">
        <f t="shared" si="105"/>
        <v/>
      </c>
      <c r="D709" s="243" t="str">
        <f t="shared" si="106"/>
        <v/>
      </c>
      <c r="E709" s="265" t="str">
        <f>IF($A709="","",SUMIFS(Txn[Signed Units],Txn[Key],$A709))</f>
        <v/>
      </c>
      <c r="F709" s="287" t="str">
        <f>IF($A709="","",SUMIFS(Txn[Buy Cost],Txn[Key],$A709))</f>
        <v/>
      </c>
      <c r="G709" s="287" t="str">
        <f>IF($A709="","",SUMIFS(Txn[Sell Proceeds],Txn[Key],$A709))</f>
        <v/>
      </c>
      <c r="H709" s="288" t="str">
        <f>IF($A709="","",IFERROR(INDEX(Prices[Current Price],MATCH($A709,Prices[Key],0)),0))</f>
        <v/>
      </c>
      <c r="I709" s="289" t="str">
        <f>IF($A709="","",IFERROR(INDEX(Prices[FX to SGD],MATCH($A709,Prices[Key],0)),1))</f>
        <v/>
      </c>
      <c r="J709" s="287" t="str">
        <f t="shared" si="107"/>
        <v/>
      </c>
      <c r="K709" s="287" t="str">
        <f t="shared" si="108"/>
        <v/>
      </c>
      <c r="L709" s="287" t="str">
        <f t="shared" si="109"/>
        <v/>
      </c>
      <c r="M709" s="290" t="str">
        <f t="shared" si="110"/>
        <v/>
      </c>
      <c r="N709" t="str">
        <f>IF($A709="","",IFERROR(INDEX(Prices[Category],MATCH($A709,Prices[Key],0)),"Uncategorized"))</f>
        <v/>
      </c>
      <c r="O709" s="291" t="str">
        <f t="shared" si="111"/>
        <v/>
      </c>
      <c r="P709" s="291" t="str">
        <f t="shared" si="112"/>
        <v/>
      </c>
    </row>
    <row r="710" spans="1:16" ht="15" customHeight="1" x14ac:dyDescent="0.2">
      <c r="A710" s="243" t="str">
        <f>IFERROR(INDEX('All Ticker P&amp;L'!$A$2:$A$1001,MATCH(ROWS($A$2:A710),'All Ticker P&amp;L'!$N$2:$N$1001,0)),"")</f>
        <v/>
      </c>
      <c r="B710" s="243" t="str">
        <f t="shared" si="104"/>
        <v/>
      </c>
      <c r="C710" s="243" t="str">
        <f t="shared" si="105"/>
        <v/>
      </c>
      <c r="D710" s="243" t="str">
        <f t="shared" si="106"/>
        <v/>
      </c>
      <c r="E710" s="265" t="str">
        <f>IF($A710="","",SUMIFS(Txn[Signed Units],Txn[Key],$A710))</f>
        <v/>
      </c>
      <c r="F710" s="287" t="str">
        <f>IF($A710="","",SUMIFS(Txn[Buy Cost],Txn[Key],$A710))</f>
        <v/>
      </c>
      <c r="G710" s="287" t="str">
        <f>IF($A710="","",SUMIFS(Txn[Sell Proceeds],Txn[Key],$A710))</f>
        <v/>
      </c>
      <c r="H710" s="288" t="str">
        <f>IF($A710="","",IFERROR(INDEX(Prices[Current Price],MATCH($A710,Prices[Key],0)),0))</f>
        <v/>
      </c>
      <c r="I710" s="289" t="str">
        <f>IF($A710="","",IFERROR(INDEX(Prices[FX to SGD],MATCH($A710,Prices[Key],0)),1))</f>
        <v/>
      </c>
      <c r="J710" s="287" t="str">
        <f t="shared" si="107"/>
        <v/>
      </c>
      <c r="K710" s="287" t="str">
        <f t="shared" si="108"/>
        <v/>
      </c>
      <c r="L710" s="287" t="str">
        <f t="shared" si="109"/>
        <v/>
      </c>
      <c r="M710" s="290" t="str">
        <f t="shared" si="110"/>
        <v/>
      </c>
      <c r="N710" t="str">
        <f>IF($A710="","",IFERROR(INDEX(Prices[Category],MATCH($A710,Prices[Key],0)),"Uncategorized"))</f>
        <v/>
      </c>
      <c r="O710" s="291" t="str">
        <f t="shared" si="111"/>
        <v/>
      </c>
      <c r="P710" s="291" t="str">
        <f t="shared" si="112"/>
        <v/>
      </c>
    </row>
    <row r="711" spans="1:16" ht="15" customHeight="1" x14ac:dyDescent="0.2">
      <c r="A711" s="243" t="str">
        <f>IFERROR(INDEX('All Ticker P&amp;L'!$A$2:$A$1001,MATCH(ROWS($A$2:A711),'All Ticker P&amp;L'!$N$2:$N$1001,0)),"")</f>
        <v/>
      </c>
      <c r="B711" s="243" t="str">
        <f t="shared" si="104"/>
        <v/>
      </c>
      <c r="C711" s="243" t="str">
        <f t="shared" si="105"/>
        <v/>
      </c>
      <c r="D711" s="243" t="str">
        <f t="shared" si="106"/>
        <v/>
      </c>
      <c r="E711" s="265" t="str">
        <f>IF($A711="","",SUMIFS(Txn[Signed Units],Txn[Key],$A711))</f>
        <v/>
      </c>
      <c r="F711" s="287" t="str">
        <f>IF($A711="","",SUMIFS(Txn[Buy Cost],Txn[Key],$A711))</f>
        <v/>
      </c>
      <c r="G711" s="287" t="str">
        <f>IF($A711="","",SUMIFS(Txn[Sell Proceeds],Txn[Key],$A711))</f>
        <v/>
      </c>
      <c r="H711" s="288" t="str">
        <f>IF($A711="","",IFERROR(INDEX(Prices[Current Price],MATCH($A711,Prices[Key],0)),0))</f>
        <v/>
      </c>
      <c r="I711" s="289" t="str">
        <f>IF($A711="","",IFERROR(INDEX(Prices[FX to SGD],MATCH($A711,Prices[Key],0)),1))</f>
        <v/>
      </c>
      <c r="J711" s="287" t="str">
        <f t="shared" si="107"/>
        <v/>
      </c>
      <c r="K711" s="287" t="str">
        <f t="shared" si="108"/>
        <v/>
      </c>
      <c r="L711" s="287" t="str">
        <f t="shared" si="109"/>
        <v/>
      </c>
      <c r="M711" s="290" t="str">
        <f t="shared" si="110"/>
        <v/>
      </c>
      <c r="N711" t="str">
        <f>IF($A711="","",IFERROR(INDEX(Prices[Category],MATCH($A711,Prices[Key],0)),"Uncategorized"))</f>
        <v/>
      </c>
      <c r="O711" s="291" t="str">
        <f t="shared" si="111"/>
        <v/>
      </c>
      <c r="P711" s="291" t="str">
        <f t="shared" si="112"/>
        <v/>
      </c>
    </row>
    <row r="712" spans="1:16" ht="15" customHeight="1" x14ac:dyDescent="0.2">
      <c r="A712" s="243" t="str">
        <f>IFERROR(INDEX('All Ticker P&amp;L'!$A$2:$A$1001,MATCH(ROWS($A$2:A712),'All Ticker P&amp;L'!$N$2:$N$1001,0)),"")</f>
        <v/>
      </c>
      <c r="B712" s="243" t="str">
        <f t="shared" si="104"/>
        <v/>
      </c>
      <c r="C712" s="243" t="str">
        <f t="shared" si="105"/>
        <v/>
      </c>
      <c r="D712" s="243" t="str">
        <f t="shared" si="106"/>
        <v/>
      </c>
      <c r="E712" s="265" t="str">
        <f>IF($A712="","",SUMIFS(Txn[Signed Units],Txn[Key],$A712))</f>
        <v/>
      </c>
      <c r="F712" s="287" t="str">
        <f>IF($A712="","",SUMIFS(Txn[Buy Cost],Txn[Key],$A712))</f>
        <v/>
      </c>
      <c r="G712" s="287" t="str">
        <f>IF($A712="","",SUMIFS(Txn[Sell Proceeds],Txn[Key],$A712))</f>
        <v/>
      </c>
      <c r="H712" s="288" t="str">
        <f>IF($A712="","",IFERROR(INDEX(Prices[Current Price],MATCH($A712,Prices[Key],0)),0))</f>
        <v/>
      </c>
      <c r="I712" s="289" t="str">
        <f>IF($A712="","",IFERROR(INDEX(Prices[FX to SGD],MATCH($A712,Prices[Key],0)),1))</f>
        <v/>
      </c>
      <c r="J712" s="287" t="str">
        <f t="shared" si="107"/>
        <v/>
      </c>
      <c r="K712" s="287" t="str">
        <f t="shared" si="108"/>
        <v/>
      </c>
      <c r="L712" s="287" t="str">
        <f t="shared" si="109"/>
        <v/>
      </c>
      <c r="M712" s="290" t="str">
        <f t="shared" si="110"/>
        <v/>
      </c>
      <c r="N712" t="str">
        <f>IF($A712="","",IFERROR(INDEX(Prices[Category],MATCH($A712,Prices[Key],0)),"Uncategorized"))</f>
        <v/>
      </c>
      <c r="O712" s="291" t="str">
        <f t="shared" si="111"/>
        <v/>
      </c>
      <c r="P712" s="291" t="str">
        <f t="shared" si="112"/>
        <v/>
      </c>
    </row>
    <row r="713" spans="1:16" ht="15" customHeight="1" x14ac:dyDescent="0.2">
      <c r="A713" s="243" t="str">
        <f>IFERROR(INDEX('All Ticker P&amp;L'!$A$2:$A$1001,MATCH(ROWS($A$2:A713),'All Ticker P&amp;L'!$N$2:$N$1001,0)),"")</f>
        <v/>
      </c>
      <c r="B713" s="243" t="str">
        <f t="shared" si="104"/>
        <v/>
      </c>
      <c r="C713" s="243" t="str">
        <f t="shared" si="105"/>
        <v/>
      </c>
      <c r="D713" s="243" t="str">
        <f t="shared" si="106"/>
        <v/>
      </c>
      <c r="E713" s="265" t="str">
        <f>IF($A713="","",SUMIFS(Txn[Signed Units],Txn[Key],$A713))</f>
        <v/>
      </c>
      <c r="F713" s="287" t="str">
        <f>IF($A713="","",SUMIFS(Txn[Buy Cost],Txn[Key],$A713))</f>
        <v/>
      </c>
      <c r="G713" s="287" t="str">
        <f>IF($A713="","",SUMIFS(Txn[Sell Proceeds],Txn[Key],$A713))</f>
        <v/>
      </c>
      <c r="H713" s="288" t="str">
        <f>IF($A713="","",IFERROR(INDEX(Prices[Current Price],MATCH($A713,Prices[Key],0)),0))</f>
        <v/>
      </c>
      <c r="I713" s="289" t="str">
        <f>IF($A713="","",IFERROR(INDEX(Prices[FX to SGD],MATCH($A713,Prices[Key],0)),1))</f>
        <v/>
      </c>
      <c r="J713" s="287" t="str">
        <f t="shared" si="107"/>
        <v/>
      </c>
      <c r="K713" s="287" t="str">
        <f t="shared" si="108"/>
        <v/>
      </c>
      <c r="L713" s="287" t="str">
        <f t="shared" si="109"/>
        <v/>
      </c>
      <c r="M713" s="290" t="str">
        <f t="shared" si="110"/>
        <v/>
      </c>
      <c r="N713" t="str">
        <f>IF($A713="","",IFERROR(INDEX(Prices[Category],MATCH($A713,Prices[Key],0)),"Uncategorized"))</f>
        <v/>
      </c>
      <c r="O713" s="291" t="str">
        <f t="shared" si="111"/>
        <v/>
      </c>
      <c r="P713" s="291" t="str">
        <f t="shared" si="112"/>
        <v/>
      </c>
    </row>
    <row r="714" spans="1:16" ht="15" customHeight="1" x14ac:dyDescent="0.2">
      <c r="A714" s="243" t="str">
        <f>IFERROR(INDEX('All Ticker P&amp;L'!$A$2:$A$1001,MATCH(ROWS($A$2:A714),'All Ticker P&amp;L'!$N$2:$N$1001,0)),"")</f>
        <v/>
      </c>
      <c r="B714" s="243" t="str">
        <f t="shared" si="104"/>
        <v/>
      </c>
      <c r="C714" s="243" t="str">
        <f t="shared" si="105"/>
        <v/>
      </c>
      <c r="D714" s="243" t="str">
        <f t="shared" si="106"/>
        <v/>
      </c>
      <c r="E714" s="265" t="str">
        <f>IF($A714="","",SUMIFS(Txn[Signed Units],Txn[Key],$A714))</f>
        <v/>
      </c>
      <c r="F714" s="287" t="str">
        <f>IF($A714="","",SUMIFS(Txn[Buy Cost],Txn[Key],$A714))</f>
        <v/>
      </c>
      <c r="G714" s="287" t="str">
        <f>IF($A714="","",SUMIFS(Txn[Sell Proceeds],Txn[Key],$A714))</f>
        <v/>
      </c>
      <c r="H714" s="288" t="str">
        <f>IF($A714="","",IFERROR(INDEX(Prices[Current Price],MATCH($A714,Prices[Key],0)),0))</f>
        <v/>
      </c>
      <c r="I714" s="289" t="str">
        <f>IF($A714="","",IFERROR(INDEX(Prices[FX to SGD],MATCH($A714,Prices[Key],0)),1))</f>
        <v/>
      </c>
      <c r="J714" s="287" t="str">
        <f t="shared" si="107"/>
        <v/>
      </c>
      <c r="K714" s="287" t="str">
        <f t="shared" si="108"/>
        <v/>
      </c>
      <c r="L714" s="287" t="str">
        <f t="shared" si="109"/>
        <v/>
      </c>
      <c r="M714" s="290" t="str">
        <f t="shared" si="110"/>
        <v/>
      </c>
      <c r="N714" t="str">
        <f>IF($A714="","",IFERROR(INDEX(Prices[Category],MATCH($A714,Prices[Key],0)),"Uncategorized"))</f>
        <v/>
      </c>
      <c r="O714" s="291" t="str">
        <f t="shared" si="111"/>
        <v/>
      </c>
      <c r="P714" s="291" t="str">
        <f t="shared" si="112"/>
        <v/>
      </c>
    </row>
    <row r="715" spans="1:16" ht="15" customHeight="1" x14ac:dyDescent="0.2">
      <c r="A715" s="243" t="str">
        <f>IFERROR(INDEX('All Ticker P&amp;L'!$A$2:$A$1001,MATCH(ROWS($A$2:A715),'All Ticker P&amp;L'!$N$2:$N$1001,0)),"")</f>
        <v/>
      </c>
      <c r="B715" s="243" t="str">
        <f t="shared" si="104"/>
        <v/>
      </c>
      <c r="C715" s="243" t="str">
        <f t="shared" si="105"/>
        <v/>
      </c>
      <c r="D715" s="243" t="str">
        <f t="shared" si="106"/>
        <v/>
      </c>
      <c r="E715" s="265" t="str">
        <f>IF($A715="","",SUMIFS(Txn[Signed Units],Txn[Key],$A715))</f>
        <v/>
      </c>
      <c r="F715" s="287" t="str">
        <f>IF($A715="","",SUMIFS(Txn[Buy Cost],Txn[Key],$A715))</f>
        <v/>
      </c>
      <c r="G715" s="287" t="str">
        <f>IF($A715="","",SUMIFS(Txn[Sell Proceeds],Txn[Key],$A715))</f>
        <v/>
      </c>
      <c r="H715" s="288" t="str">
        <f>IF($A715="","",IFERROR(INDEX(Prices[Current Price],MATCH($A715,Prices[Key],0)),0))</f>
        <v/>
      </c>
      <c r="I715" s="289" t="str">
        <f>IF($A715="","",IFERROR(INDEX(Prices[FX to SGD],MATCH($A715,Prices[Key],0)),1))</f>
        <v/>
      </c>
      <c r="J715" s="287" t="str">
        <f t="shared" si="107"/>
        <v/>
      </c>
      <c r="K715" s="287" t="str">
        <f t="shared" si="108"/>
        <v/>
      </c>
      <c r="L715" s="287" t="str">
        <f t="shared" si="109"/>
        <v/>
      </c>
      <c r="M715" s="290" t="str">
        <f t="shared" si="110"/>
        <v/>
      </c>
      <c r="N715" t="str">
        <f>IF($A715="","",IFERROR(INDEX(Prices[Category],MATCH($A715,Prices[Key],0)),"Uncategorized"))</f>
        <v/>
      </c>
      <c r="O715" s="291" t="str">
        <f t="shared" si="111"/>
        <v/>
      </c>
      <c r="P715" s="291" t="str">
        <f t="shared" si="112"/>
        <v/>
      </c>
    </row>
    <row r="716" spans="1:16" ht="15" customHeight="1" x14ac:dyDescent="0.2">
      <c r="A716" s="243" t="str">
        <f>IFERROR(INDEX('All Ticker P&amp;L'!$A$2:$A$1001,MATCH(ROWS($A$2:A716),'All Ticker P&amp;L'!$N$2:$N$1001,0)),"")</f>
        <v/>
      </c>
      <c r="B716" s="243" t="str">
        <f t="shared" si="104"/>
        <v/>
      </c>
      <c r="C716" s="243" t="str">
        <f t="shared" si="105"/>
        <v/>
      </c>
      <c r="D716" s="243" t="str">
        <f t="shared" si="106"/>
        <v/>
      </c>
      <c r="E716" s="265" t="str">
        <f>IF($A716="","",SUMIFS(Txn[Signed Units],Txn[Key],$A716))</f>
        <v/>
      </c>
      <c r="F716" s="287" t="str">
        <f>IF($A716="","",SUMIFS(Txn[Buy Cost],Txn[Key],$A716))</f>
        <v/>
      </c>
      <c r="G716" s="287" t="str">
        <f>IF($A716="","",SUMIFS(Txn[Sell Proceeds],Txn[Key],$A716))</f>
        <v/>
      </c>
      <c r="H716" s="288" t="str">
        <f>IF($A716="","",IFERROR(INDEX(Prices[Current Price],MATCH($A716,Prices[Key],0)),0))</f>
        <v/>
      </c>
      <c r="I716" s="289" t="str">
        <f>IF($A716="","",IFERROR(INDEX(Prices[FX to SGD],MATCH($A716,Prices[Key],0)),1))</f>
        <v/>
      </c>
      <c r="J716" s="287" t="str">
        <f t="shared" si="107"/>
        <v/>
      </c>
      <c r="K716" s="287" t="str">
        <f t="shared" si="108"/>
        <v/>
      </c>
      <c r="L716" s="287" t="str">
        <f t="shared" si="109"/>
        <v/>
      </c>
      <c r="M716" s="290" t="str">
        <f t="shared" si="110"/>
        <v/>
      </c>
      <c r="N716" t="str">
        <f>IF($A716="","",IFERROR(INDEX(Prices[Category],MATCH($A716,Prices[Key],0)),"Uncategorized"))</f>
        <v/>
      </c>
      <c r="O716" s="291" t="str">
        <f t="shared" si="111"/>
        <v/>
      </c>
      <c r="P716" s="291" t="str">
        <f t="shared" si="112"/>
        <v/>
      </c>
    </row>
    <row r="717" spans="1:16" ht="15" customHeight="1" x14ac:dyDescent="0.2">
      <c r="A717" s="243" t="str">
        <f>IFERROR(INDEX('All Ticker P&amp;L'!$A$2:$A$1001,MATCH(ROWS($A$2:A717),'All Ticker P&amp;L'!$N$2:$N$1001,0)),"")</f>
        <v/>
      </c>
      <c r="B717" s="243" t="str">
        <f t="shared" si="104"/>
        <v/>
      </c>
      <c r="C717" s="243" t="str">
        <f t="shared" si="105"/>
        <v/>
      </c>
      <c r="D717" s="243" t="str">
        <f t="shared" si="106"/>
        <v/>
      </c>
      <c r="E717" s="265" t="str">
        <f>IF($A717="","",SUMIFS(Txn[Signed Units],Txn[Key],$A717))</f>
        <v/>
      </c>
      <c r="F717" s="287" t="str">
        <f>IF($A717="","",SUMIFS(Txn[Buy Cost],Txn[Key],$A717))</f>
        <v/>
      </c>
      <c r="G717" s="287" t="str">
        <f>IF($A717="","",SUMIFS(Txn[Sell Proceeds],Txn[Key],$A717))</f>
        <v/>
      </c>
      <c r="H717" s="288" t="str">
        <f>IF($A717="","",IFERROR(INDEX(Prices[Current Price],MATCH($A717,Prices[Key],0)),0))</f>
        <v/>
      </c>
      <c r="I717" s="289" t="str">
        <f>IF($A717="","",IFERROR(INDEX(Prices[FX to SGD],MATCH($A717,Prices[Key],0)),1))</f>
        <v/>
      </c>
      <c r="J717" s="287" t="str">
        <f t="shared" si="107"/>
        <v/>
      </c>
      <c r="K717" s="287" t="str">
        <f t="shared" si="108"/>
        <v/>
      </c>
      <c r="L717" s="287" t="str">
        <f t="shared" si="109"/>
        <v/>
      </c>
      <c r="M717" s="290" t="str">
        <f t="shared" si="110"/>
        <v/>
      </c>
      <c r="N717" t="str">
        <f>IF($A717="","",IFERROR(INDEX(Prices[Category],MATCH($A717,Prices[Key],0)),"Uncategorized"))</f>
        <v/>
      </c>
      <c r="O717" s="291" t="str">
        <f t="shared" si="111"/>
        <v/>
      </c>
      <c r="P717" s="291" t="str">
        <f t="shared" si="112"/>
        <v/>
      </c>
    </row>
    <row r="718" spans="1:16" ht="15" customHeight="1" x14ac:dyDescent="0.2">
      <c r="A718" s="243" t="str">
        <f>IFERROR(INDEX('All Ticker P&amp;L'!$A$2:$A$1001,MATCH(ROWS($A$2:A718),'All Ticker P&amp;L'!$N$2:$N$1001,0)),"")</f>
        <v/>
      </c>
      <c r="B718" s="243" t="str">
        <f t="shared" si="104"/>
        <v/>
      </c>
      <c r="C718" s="243" t="str">
        <f t="shared" si="105"/>
        <v/>
      </c>
      <c r="D718" s="243" t="str">
        <f t="shared" si="106"/>
        <v/>
      </c>
      <c r="E718" s="265" t="str">
        <f>IF($A718="","",SUMIFS(Txn[Signed Units],Txn[Key],$A718))</f>
        <v/>
      </c>
      <c r="F718" s="287" t="str">
        <f>IF($A718="","",SUMIFS(Txn[Buy Cost],Txn[Key],$A718))</f>
        <v/>
      </c>
      <c r="G718" s="287" t="str">
        <f>IF($A718="","",SUMIFS(Txn[Sell Proceeds],Txn[Key],$A718))</f>
        <v/>
      </c>
      <c r="H718" s="288" t="str">
        <f>IF($A718="","",IFERROR(INDEX(Prices[Current Price],MATCH($A718,Prices[Key],0)),0))</f>
        <v/>
      </c>
      <c r="I718" s="289" t="str">
        <f>IF($A718="","",IFERROR(INDEX(Prices[FX to SGD],MATCH($A718,Prices[Key],0)),1))</f>
        <v/>
      </c>
      <c r="J718" s="287" t="str">
        <f t="shared" si="107"/>
        <v/>
      </c>
      <c r="K718" s="287" t="str">
        <f t="shared" si="108"/>
        <v/>
      </c>
      <c r="L718" s="287" t="str">
        <f t="shared" si="109"/>
        <v/>
      </c>
      <c r="M718" s="290" t="str">
        <f t="shared" si="110"/>
        <v/>
      </c>
      <c r="N718" t="str">
        <f>IF($A718="","",IFERROR(INDEX(Prices[Category],MATCH($A718,Prices[Key],0)),"Uncategorized"))</f>
        <v/>
      </c>
      <c r="O718" s="291" t="str">
        <f t="shared" si="111"/>
        <v/>
      </c>
      <c r="P718" s="291" t="str">
        <f t="shared" si="112"/>
        <v/>
      </c>
    </row>
    <row r="719" spans="1:16" ht="15" customHeight="1" x14ac:dyDescent="0.2">
      <c r="A719" s="243" t="str">
        <f>IFERROR(INDEX('All Ticker P&amp;L'!$A$2:$A$1001,MATCH(ROWS($A$2:A719),'All Ticker P&amp;L'!$N$2:$N$1001,0)),"")</f>
        <v/>
      </c>
      <c r="B719" s="243" t="str">
        <f t="shared" si="104"/>
        <v/>
      </c>
      <c r="C719" s="243" t="str">
        <f t="shared" si="105"/>
        <v/>
      </c>
      <c r="D719" s="243" t="str">
        <f t="shared" si="106"/>
        <v/>
      </c>
      <c r="E719" s="265" t="str">
        <f>IF($A719="","",SUMIFS(Txn[Signed Units],Txn[Key],$A719))</f>
        <v/>
      </c>
      <c r="F719" s="287" t="str">
        <f>IF($A719="","",SUMIFS(Txn[Buy Cost],Txn[Key],$A719))</f>
        <v/>
      </c>
      <c r="G719" s="287" t="str">
        <f>IF($A719="","",SUMIFS(Txn[Sell Proceeds],Txn[Key],$A719))</f>
        <v/>
      </c>
      <c r="H719" s="288" t="str">
        <f>IF($A719="","",IFERROR(INDEX(Prices[Current Price],MATCH($A719,Prices[Key],0)),0))</f>
        <v/>
      </c>
      <c r="I719" s="289" t="str">
        <f>IF($A719="","",IFERROR(INDEX(Prices[FX to SGD],MATCH($A719,Prices[Key],0)),1))</f>
        <v/>
      </c>
      <c r="J719" s="287" t="str">
        <f t="shared" si="107"/>
        <v/>
      </c>
      <c r="K719" s="287" t="str">
        <f t="shared" si="108"/>
        <v/>
      </c>
      <c r="L719" s="287" t="str">
        <f t="shared" si="109"/>
        <v/>
      </c>
      <c r="M719" s="290" t="str">
        <f t="shared" si="110"/>
        <v/>
      </c>
      <c r="N719" t="str">
        <f>IF($A719="","",IFERROR(INDEX(Prices[Category],MATCH($A719,Prices[Key],0)),"Uncategorized"))</f>
        <v/>
      </c>
      <c r="O719" s="291" t="str">
        <f t="shared" si="111"/>
        <v/>
      </c>
      <c r="P719" s="291" t="str">
        <f t="shared" si="112"/>
        <v/>
      </c>
    </row>
    <row r="720" spans="1:16" ht="15" customHeight="1" x14ac:dyDescent="0.2">
      <c r="A720" s="243" t="str">
        <f>IFERROR(INDEX('All Ticker P&amp;L'!$A$2:$A$1001,MATCH(ROWS($A$2:A720),'All Ticker P&amp;L'!$N$2:$N$1001,0)),"")</f>
        <v/>
      </c>
      <c r="B720" s="243" t="str">
        <f t="shared" si="104"/>
        <v/>
      </c>
      <c r="C720" s="243" t="str">
        <f t="shared" si="105"/>
        <v/>
      </c>
      <c r="D720" s="243" t="str">
        <f t="shared" si="106"/>
        <v/>
      </c>
      <c r="E720" s="265" t="str">
        <f>IF($A720="","",SUMIFS(Txn[Signed Units],Txn[Key],$A720))</f>
        <v/>
      </c>
      <c r="F720" s="287" t="str">
        <f>IF($A720="","",SUMIFS(Txn[Buy Cost],Txn[Key],$A720))</f>
        <v/>
      </c>
      <c r="G720" s="287" t="str">
        <f>IF($A720="","",SUMIFS(Txn[Sell Proceeds],Txn[Key],$A720))</f>
        <v/>
      </c>
      <c r="H720" s="288" t="str">
        <f>IF($A720="","",IFERROR(INDEX(Prices[Current Price],MATCH($A720,Prices[Key],0)),0))</f>
        <v/>
      </c>
      <c r="I720" s="289" t="str">
        <f>IF($A720="","",IFERROR(INDEX(Prices[FX to SGD],MATCH($A720,Prices[Key],0)),1))</f>
        <v/>
      </c>
      <c r="J720" s="287" t="str">
        <f t="shared" si="107"/>
        <v/>
      </c>
      <c r="K720" s="287" t="str">
        <f t="shared" si="108"/>
        <v/>
      </c>
      <c r="L720" s="287" t="str">
        <f t="shared" si="109"/>
        <v/>
      </c>
      <c r="M720" s="290" t="str">
        <f t="shared" si="110"/>
        <v/>
      </c>
      <c r="N720" t="str">
        <f>IF($A720="","",IFERROR(INDEX(Prices[Category],MATCH($A720,Prices[Key],0)),"Uncategorized"))</f>
        <v/>
      </c>
      <c r="O720" s="291" t="str">
        <f t="shared" si="111"/>
        <v/>
      </c>
      <c r="P720" s="291" t="str">
        <f t="shared" si="112"/>
        <v/>
      </c>
    </row>
    <row r="721" spans="1:16" ht="15" customHeight="1" x14ac:dyDescent="0.2">
      <c r="A721" s="243" t="str">
        <f>IFERROR(INDEX('All Ticker P&amp;L'!$A$2:$A$1001,MATCH(ROWS($A$2:A721),'All Ticker P&amp;L'!$N$2:$N$1001,0)),"")</f>
        <v/>
      </c>
      <c r="B721" s="243" t="str">
        <f t="shared" si="104"/>
        <v/>
      </c>
      <c r="C721" s="243" t="str">
        <f t="shared" si="105"/>
        <v/>
      </c>
      <c r="D721" s="243" t="str">
        <f t="shared" si="106"/>
        <v/>
      </c>
      <c r="E721" s="265" t="str">
        <f>IF($A721="","",SUMIFS(Txn[Signed Units],Txn[Key],$A721))</f>
        <v/>
      </c>
      <c r="F721" s="287" t="str">
        <f>IF($A721="","",SUMIFS(Txn[Buy Cost],Txn[Key],$A721))</f>
        <v/>
      </c>
      <c r="G721" s="287" t="str">
        <f>IF($A721="","",SUMIFS(Txn[Sell Proceeds],Txn[Key],$A721))</f>
        <v/>
      </c>
      <c r="H721" s="288" t="str">
        <f>IF($A721="","",IFERROR(INDEX(Prices[Current Price],MATCH($A721,Prices[Key],0)),0))</f>
        <v/>
      </c>
      <c r="I721" s="289" t="str">
        <f>IF($A721="","",IFERROR(INDEX(Prices[FX to SGD],MATCH($A721,Prices[Key],0)),1))</f>
        <v/>
      </c>
      <c r="J721" s="287" t="str">
        <f t="shared" si="107"/>
        <v/>
      </c>
      <c r="K721" s="287" t="str">
        <f t="shared" si="108"/>
        <v/>
      </c>
      <c r="L721" s="287" t="str">
        <f t="shared" si="109"/>
        <v/>
      </c>
      <c r="M721" s="290" t="str">
        <f t="shared" si="110"/>
        <v/>
      </c>
      <c r="N721" t="str">
        <f>IF($A721="","",IFERROR(INDEX(Prices[Category],MATCH($A721,Prices[Key],0)),"Uncategorized"))</f>
        <v/>
      </c>
      <c r="O721" s="291" t="str">
        <f t="shared" si="111"/>
        <v/>
      </c>
      <c r="P721" s="291" t="str">
        <f t="shared" si="112"/>
        <v/>
      </c>
    </row>
    <row r="722" spans="1:16" ht="15" customHeight="1" x14ac:dyDescent="0.2">
      <c r="A722" s="243" t="str">
        <f>IFERROR(INDEX('All Ticker P&amp;L'!$A$2:$A$1001,MATCH(ROWS($A$2:A722),'All Ticker P&amp;L'!$N$2:$N$1001,0)),"")</f>
        <v/>
      </c>
      <c r="B722" s="243" t="str">
        <f t="shared" si="104"/>
        <v/>
      </c>
      <c r="C722" s="243" t="str">
        <f t="shared" si="105"/>
        <v/>
      </c>
      <c r="D722" s="243" t="str">
        <f t="shared" si="106"/>
        <v/>
      </c>
      <c r="E722" s="265" t="str">
        <f>IF($A722="","",SUMIFS(Txn[Signed Units],Txn[Key],$A722))</f>
        <v/>
      </c>
      <c r="F722" s="287" t="str">
        <f>IF($A722="","",SUMIFS(Txn[Buy Cost],Txn[Key],$A722))</f>
        <v/>
      </c>
      <c r="G722" s="287" t="str">
        <f>IF($A722="","",SUMIFS(Txn[Sell Proceeds],Txn[Key],$A722))</f>
        <v/>
      </c>
      <c r="H722" s="288" t="str">
        <f>IF($A722="","",IFERROR(INDEX(Prices[Current Price],MATCH($A722,Prices[Key],0)),0))</f>
        <v/>
      </c>
      <c r="I722" s="289" t="str">
        <f>IF($A722="","",IFERROR(INDEX(Prices[FX to SGD],MATCH($A722,Prices[Key],0)),1))</f>
        <v/>
      </c>
      <c r="J722" s="287" t="str">
        <f t="shared" si="107"/>
        <v/>
      </c>
      <c r="K722" s="287" t="str">
        <f t="shared" si="108"/>
        <v/>
      </c>
      <c r="L722" s="287" t="str">
        <f t="shared" si="109"/>
        <v/>
      </c>
      <c r="M722" s="290" t="str">
        <f t="shared" si="110"/>
        <v/>
      </c>
      <c r="N722" t="str">
        <f>IF($A722="","",IFERROR(INDEX(Prices[Category],MATCH($A722,Prices[Key],0)),"Uncategorized"))</f>
        <v/>
      </c>
      <c r="O722" s="291" t="str">
        <f t="shared" si="111"/>
        <v/>
      </c>
      <c r="P722" s="291" t="str">
        <f t="shared" si="112"/>
        <v/>
      </c>
    </row>
    <row r="723" spans="1:16" ht="15" customHeight="1" x14ac:dyDescent="0.2">
      <c r="A723" s="243" t="str">
        <f>IFERROR(INDEX('All Ticker P&amp;L'!$A$2:$A$1001,MATCH(ROWS($A$2:A723),'All Ticker P&amp;L'!$N$2:$N$1001,0)),"")</f>
        <v/>
      </c>
      <c r="B723" s="243" t="str">
        <f t="shared" si="104"/>
        <v/>
      </c>
      <c r="C723" s="243" t="str">
        <f t="shared" si="105"/>
        <v/>
      </c>
      <c r="D723" s="243" t="str">
        <f t="shared" si="106"/>
        <v/>
      </c>
      <c r="E723" s="265" t="str">
        <f>IF($A723="","",SUMIFS(Txn[Signed Units],Txn[Key],$A723))</f>
        <v/>
      </c>
      <c r="F723" s="287" t="str">
        <f>IF($A723="","",SUMIFS(Txn[Buy Cost],Txn[Key],$A723))</f>
        <v/>
      </c>
      <c r="G723" s="287" t="str">
        <f>IF($A723="","",SUMIFS(Txn[Sell Proceeds],Txn[Key],$A723))</f>
        <v/>
      </c>
      <c r="H723" s="288" t="str">
        <f>IF($A723="","",IFERROR(INDEX(Prices[Current Price],MATCH($A723,Prices[Key],0)),0))</f>
        <v/>
      </c>
      <c r="I723" s="289" t="str">
        <f>IF($A723="","",IFERROR(INDEX(Prices[FX to SGD],MATCH($A723,Prices[Key],0)),1))</f>
        <v/>
      </c>
      <c r="J723" s="287" t="str">
        <f t="shared" si="107"/>
        <v/>
      </c>
      <c r="K723" s="287" t="str">
        <f t="shared" si="108"/>
        <v/>
      </c>
      <c r="L723" s="287" t="str">
        <f t="shared" si="109"/>
        <v/>
      </c>
      <c r="M723" s="290" t="str">
        <f t="shared" si="110"/>
        <v/>
      </c>
      <c r="N723" t="str">
        <f>IF($A723="","",IFERROR(INDEX(Prices[Category],MATCH($A723,Prices[Key],0)),"Uncategorized"))</f>
        <v/>
      </c>
      <c r="O723" s="291" t="str">
        <f t="shared" si="111"/>
        <v/>
      </c>
      <c r="P723" s="291" t="str">
        <f t="shared" si="112"/>
        <v/>
      </c>
    </row>
    <row r="724" spans="1:16" ht="15" customHeight="1" x14ac:dyDescent="0.2">
      <c r="A724" s="243" t="str">
        <f>IFERROR(INDEX('All Ticker P&amp;L'!$A$2:$A$1001,MATCH(ROWS($A$2:A724),'All Ticker P&amp;L'!$N$2:$N$1001,0)),"")</f>
        <v/>
      </c>
      <c r="B724" s="243" t="str">
        <f t="shared" si="104"/>
        <v/>
      </c>
      <c r="C724" s="243" t="str">
        <f t="shared" si="105"/>
        <v/>
      </c>
      <c r="D724" s="243" t="str">
        <f t="shared" si="106"/>
        <v/>
      </c>
      <c r="E724" s="265" t="str">
        <f>IF($A724="","",SUMIFS(Txn[Signed Units],Txn[Key],$A724))</f>
        <v/>
      </c>
      <c r="F724" s="287" t="str">
        <f>IF($A724="","",SUMIFS(Txn[Buy Cost],Txn[Key],$A724))</f>
        <v/>
      </c>
      <c r="G724" s="287" t="str">
        <f>IF($A724="","",SUMIFS(Txn[Sell Proceeds],Txn[Key],$A724))</f>
        <v/>
      </c>
      <c r="H724" s="288" t="str">
        <f>IF($A724="","",IFERROR(INDEX(Prices[Current Price],MATCH($A724,Prices[Key],0)),0))</f>
        <v/>
      </c>
      <c r="I724" s="289" t="str">
        <f>IF($A724="","",IFERROR(INDEX(Prices[FX to SGD],MATCH($A724,Prices[Key],0)),1))</f>
        <v/>
      </c>
      <c r="J724" s="287" t="str">
        <f t="shared" si="107"/>
        <v/>
      </c>
      <c r="K724" s="287" t="str">
        <f t="shared" si="108"/>
        <v/>
      </c>
      <c r="L724" s="287" t="str">
        <f t="shared" si="109"/>
        <v/>
      </c>
      <c r="M724" s="290" t="str">
        <f t="shared" si="110"/>
        <v/>
      </c>
      <c r="N724" t="str">
        <f>IF($A724="","",IFERROR(INDEX(Prices[Category],MATCH($A724,Prices[Key],0)),"Uncategorized"))</f>
        <v/>
      </c>
      <c r="O724" s="291" t="str">
        <f t="shared" si="111"/>
        <v/>
      </c>
      <c r="P724" s="291" t="str">
        <f t="shared" si="112"/>
        <v/>
      </c>
    </row>
    <row r="725" spans="1:16" ht="15" customHeight="1" x14ac:dyDescent="0.2">
      <c r="A725" s="243" t="str">
        <f>IFERROR(INDEX('All Ticker P&amp;L'!$A$2:$A$1001,MATCH(ROWS($A$2:A725),'All Ticker P&amp;L'!$N$2:$N$1001,0)),"")</f>
        <v/>
      </c>
      <c r="B725" s="243" t="str">
        <f t="shared" si="104"/>
        <v/>
      </c>
      <c r="C725" s="243" t="str">
        <f t="shared" si="105"/>
        <v/>
      </c>
      <c r="D725" s="243" t="str">
        <f t="shared" si="106"/>
        <v/>
      </c>
      <c r="E725" s="265" t="str">
        <f>IF($A725="","",SUMIFS(Txn[Signed Units],Txn[Key],$A725))</f>
        <v/>
      </c>
      <c r="F725" s="287" t="str">
        <f>IF($A725="","",SUMIFS(Txn[Buy Cost],Txn[Key],$A725))</f>
        <v/>
      </c>
      <c r="G725" s="287" t="str">
        <f>IF($A725="","",SUMIFS(Txn[Sell Proceeds],Txn[Key],$A725))</f>
        <v/>
      </c>
      <c r="H725" s="288" t="str">
        <f>IF($A725="","",IFERROR(INDEX(Prices[Current Price],MATCH($A725,Prices[Key],0)),0))</f>
        <v/>
      </c>
      <c r="I725" s="289" t="str">
        <f>IF($A725="","",IFERROR(INDEX(Prices[FX to SGD],MATCH($A725,Prices[Key],0)),1))</f>
        <v/>
      </c>
      <c r="J725" s="287" t="str">
        <f t="shared" si="107"/>
        <v/>
      </c>
      <c r="K725" s="287" t="str">
        <f t="shared" si="108"/>
        <v/>
      </c>
      <c r="L725" s="287" t="str">
        <f t="shared" si="109"/>
        <v/>
      </c>
      <c r="M725" s="290" t="str">
        <f t="shared" si="110"/>
        <v/>
      </c>
      <c r="N725" t="str">
        <f>IF($A725="","",IFERROR(INDEX(Prices[Category],MATCH($A725,Prices[Key],0)),"Uncategorized"))</f>
        <v/>
      </c>
      <c r="O725" s="291" t="str">
        <f t="shared" si="111"/>
        <v/>
      </c>
      <c r="P725" s="291" t="str">
        <f t="shared" si="112"/>
        <v/>
      </c>
    </row>
    <row r="726" spans="1:16" ht="15" customHeight="1" x14ac:dyDescent="0.2">
      <c r="A726" s="243" t="str">
        <f>IFERROR(INDEX('All Ticker P&amp;L'!$A$2:$A$1001,MATCH(ROWS($A$2:A726),'All Ticker P&amp;L'!$N$2:$N$1001,0)),"")</f>
        <v/>
      </c>
      <c r="B726" s="243" t="str">
        <f t="shared" si="104"/>
        <v/>
      </c>
      <c r="C726" s="243" t="str">
        <f t="shared" si="105"/>
        <v/>
      </c>
      <c r="D726" s="243" t="str">
        <f t="shared" si="106"/>
        <v/>
      </c>
      <c r="E726" s="265" t="str">
        <f>IF($A726="","",SUMIFS(Txn[Signed Units],Txn[Key],$A726))</f>
        <v/>
      </c>
      <c r="F726" s="287" t="str">
        <f>IF($A726="","",SUMIFS(Txn[Buy Cost],Txn[Key],$A726))</f>
        <v/>
      </c>
      <c r="G726" s="287" t="str">
        <f>IF($A726="","",SUMIFS(Txn[Sell Proceeds],Txn[Key],$A726))</f>
        <v/>
      </c>
      <c r="H726" s="288" t="str">
        <f>IF($A726="","",IFERROR(INDEX(Prices[Current Price],MATCH($A726,Prices[Key],0)),0))</f>
        <v/>
      </c>
      <c r="I726" s="289" t="str">
        <f>IF($A726="","",IFERROR(INDEX(Prices[FX to SGD],MATCH($A726,Prices[Key],0)),1))</f>
        <v/>
      </c>
      <c r="J726" s="287" t="str">
        <f t="shared" si="107"/>
        <v/>
      </c>
      <c r="K726" s="287" t="str">
        <f t="shared" si="108"/>
        <v/>
      </c>
      <c r="L726" s="287" t="str">
        <f t="shared" si="109"/>
        <v/>
      </c>
      <c r="M726" s="290" t="str">
        <f t="shared" si="110"/>
        <v/>
      </c>
      <c r="N726" t="str">
        <f>IF($A726="","",IFERROR(INDEX(Prices[Category],MATCH($A726,Prices[Key],0)),"Uncategorized"))</f>
        <v/>
      </c>
      <c r="O726" s="291" t="str">
        <f t="shared" si="111"/>
        <v/>
      </c>
      <c r="P726" s="291" t="str">
        <f t="shared" si="112"/>
        <v/>
      </c>
    </row>
    <row r="727" spans="1:16" ht="15" customHeight="1" x14ac:dyDescent="0.2">
      <c r="A727" s="243" t="str">
        <f>IFERROR(INDEX('All Ticker P&amp;L'!$A$2:$A$1001,MATCH(ROWS($A$2:A727),'All Ticker P&amp;L'!$N$2:$N$1001,0)),"")</f>
        <v/>
      </c>
      <c r="B727" s="243" t="str">
        <f t="shared" si="104"/>
        <v/>
      </c>
      <c r="C727" s="243" t="str">
        <f t="shared" si="105"/>
        <v/>
      </c>
      <c r="D727" s="243" t="str">
        <f t="shared" si="106"/>
        <v/>
      </c>
      <c r="E727" s="265" t="str">
        <f>IF($A727="","",SUMIFS(Txn[Signed Units],Txn[Key],$A727))</f>
        <v/>
      </c>
      <c r="F727" s="287" t="str">
        <f>IF($A727="","",SUMIFS(Txn[Buy Cost],Txn[Key],$A727))</f>
        <v/>
      </c>
      <c r="G727" s="287" t="str">
        <f>IF($A727="","",SUMIFS(Txn[Sell Proceeds],Txn[Key],$A727))</f>
        <v/>
      </c>
      <c r="H727" s="288" t="str">
        <f>IF($A727="","",IFERROR(INDEX(Prices[Current Price],MATCH($A727,Prices[Key],0)),0))</f>
        <v/>
      </c>
      <c r="I727" s="289" t="str">
        <f>IF($A727="","",IFERROR(INDEX(Prices[FX to SGD],MATCH($A727,Prices[Key],0)),1))</f>
        <v/>
      </c>
      <c r="J727" s="287" t="str">
        <f t="shared" si="107"/>
        <v/>
      </c>
      <c r="K727" s="287" t="str">
        <f t="shared" si="108"/>
        <v/>
      </c>
      <c r="L727" s="287" t="str">
        <f t="shared" si="109"/>
        <v/>
      </c>
      <c r="M727" s="290" t="str">
        <f t="shared" si="110"/>
        <v/>
      </c>
      <c r="N727" t="str">
        <f>IF($A727="","",IFERROR(INDEX(Prices[Category],MATCH($A727,Prices[Key],0)),"Uncategorized"))</f>
        <v/>
      </c>
      <c r="O727" s="291" t="str">
        <f t="shared" si="111"/>
        <v/>
      </c>
      <c r="P727" s="291" t="str">
        <f t="shared" si="112"/>
        <v/>
      </c>
    </row>
    <row r="728" spans="1:16" ht="15" customHeight="1" x14ac:dyDescent="0.2">
      <c r="A728" s="243" t="str">
        <f>IFERROR(INDEX('All Ticker P&amp;L'!$A$2:$A$1001,MATCH(ROWS($A$2:A728),'All Ticker P&amp;L'!$N$2:$N$1001,0)),"")</f>
        <v/>
      </c>
      <c r="B728" s="243" t="str">
        <f t="shared" si="104"/>
        <v/>
      </c>
      <c r="C728" s="243" t="str">
        <f t="shared" si="105"/>
        <v/>
      </c>
      <c r="D728" s="243" t="str">
        <f t="shared" si="106"/>
        <v/>
      </c>
      <c r="E728" s="265" t="str">
        <f>IF($A728="","",SUMIFS(Txn[Signed Units],Txn[Key],$A728))</f>
        <v/>
      </c>
      <c r="F728" s="287" t="str">
        <f>IF($A728="","",SUMIFS(Txn[Buy Cost],Txn[Key],$A728))</f>
        <v/>
      </c>
      <c r="G728" s="287" t="str">
        <f>IF($A728="","",SUMIFS(Txn[Sell Proceeds],Txn[Key],$A728))</f>
        <v/>
      </c>
      <c r="H728" s="288" t="str">
        <f>IF($A728="","",IFERROR(INDEX(Prices[Current Price],MATCH($A728,Prices[Key],0)),0))</f>
        <v/>
      </c>
      <c r="I728" s="289" t="str">
        <f>IF($A728="","",IFERROR(INDEX(Prices[FX to SGD],MATCH($A728,Prices[Key],0)),1))</f>
        <v/>
      </c>
      <c r="J728" s="287" t="str">
        <f t="shared" si="107"/>
        <v/>
      </c>
      <c r="K728" s="287" t="str">
        <f t="shared" si="108"/>
        <v/>
      </c>
      <c r="L728" s="287" t="str">
        <f t="shared" si="109"/>
        <v/>
      </c>
      <c r="M728" s="290" t="str">
        <f t="shared" si="110"/>
        <v/>
      </c>
      <c r="N728" t="str">
        <f>IF($A728="","",IFERROR(INDEX(Prices[Category],MATCH($A728,Prices[Key],0)),"Uncategorized"))</f>
        <v/>
      </c>
      <c r="O728" s="291" t="str">
        <f t="shared" si="111"/>
        <v/>
      </c>
      <c r="P728" s="291" t="str">
        <f t="shared" si="112"/>
        <v/>
      </c>
    </row>
    <row r="729" spans="1:16" ht="15" customHeight="1" x14ac:dyDescent="0.2">
      <c r="A729" s="243" t="str">
        <f>IFERROR(INDEX('All Ticker P&amp;L'!$A$2:$A$1001,MATCH(ROWS($A$2:A729),'All Ticker P&amp;L'!$N$2:$N$1001,0)),"")</f>
        <v/>
      </c>
      <c r="B729" s="243" t="str">
        <f t="shared" si="104"/>
        <v/>
      </c>
      <c r="C729" s="243" t="str">
        <f t="shared" si="105"/>
        <v/>
      </c>
      <c r="D729" s="243" t="str">
        <f t="shared" si="106"/>
        <v/>
      </c>
      <c r="E729" s="265" t="str">
        <f>IF($A729="","",SUMIFS(Txn[Signed Units],Txn[Key],$A729))</f>
        <v/>
      </c>
      <c r="F729" s="287" t="str">
        <f>IF($A729="","",SUMIFS(Txn[Buy Cost],Txn[Key],$A729))</f>
        <v/>
      </c>
      <c r="G729" s="287" t="str">
        <f>IF($A729="","",SUMIFS(Txn[Sell Proceeds],Txn[Key],$A729))</f>
        <v/>
      </c>
      <c r="H729" s="288" t="str">
        <f>IF($A729="","",IFERROR(INDEX(Prices[Current Price],MATCH($A729,Prices[Key],0)),0))</f>
        <v/>
      </c>
      <c r="I729" s="289" t="str">
        <f>IF($A729="","",IFERROR(INDEX(Prices[FX to SGD],MATCH($A729,Prices[Key],0)),1))</f>
        <v/>
      </c>
      <c r="J729" s="287" t="str">
        <f t="shared" si="107"/>
        <v/>
      </c>
      <c r="K729" s="287" t="str">
        <f t="shared" si="108"/>
        <v/>
      </c>
      <c r="L729" s="287" t="str">
        <f t="shared" si="109"/>
        <v/>
      </c>
      <c r="M729" s="290" t="str">
        <f t="shared" si="110"/>
        <v/>
      </c>
      <c r="N729" t="str">
        <f>IF($A729="","",IFERROR(INDEX(Prices[Category],MATCH($A729,Prices[Key],0)),"Uncategorized"))</f>
        <v/>
      </c>
      <c r="O729" s="291" t="str">
        <f t="shared" si="111"/>
        <v/>
      </c>
      <c r="P729" s="291" t="str">
        <f t="shared" si="112"/>
        <v/>
      </c>
    </row>
    <row r="730" spans="1:16" ht="15" customHeight="1" x14ac:dyDescent="0.2">
      <c r="A730" s="243" t="str">
        <f>IFERROR(INDEX('All Ticker P&amp;L'!$A$2:$A$1001,MATCH(ROWS($A$2:A730),'All Ticker P&amp;L'!$N$2:$N$1001,0)),"")</f>
        <v/>
      </c>
      <c r="B730" s="243" t="str">
        <f t="shared" si="104"/>
        <v/>
      </c>
      <c r="C730" s="243" t="str">
        <f t="shared" si="105"/>
        <v/>
      </c>
      <c r="D730" s="243" t="str">
        <f t="shared" si="106"/>
        <v/>
      </c>
      <c r="E730" s="265" t="str">
        <f>IF($A730="","",SUMIFS(Txn[Signed Units],Txn[Key],$A730))</f>
        <v/>
      </c>
      <c r="F730" s="287" t="str">
        <f>IF($A730="","",SUMIFS(Txn[Buy Cost],Txn[Key],$A730))</f>
        <v/>
      </c>
      <c r="G730" s="287" t="str">
        <f>IF($A730="","",SUMIFS(Txn[Sell Proceeds],Txn[Key],$A730))</f>
        <v/>
      </c>
      <c r="H730" s="288" t="str">
        <f>IF($A730="","",IFERROR(INDEX(Prices[Current Price],MATCH($A730,Prices[Key],0)),0))</f>
        <v/>
      </c>
      <c r="I730" s="289" t="str">
        <f>IF($A730="","",IFERROR(INDEX(Prices[FX to SGD],MATCH($A730,Prices[Key],0)),1))</f>
        <v/>
      </c>
      <c r="J730" s="287" t="str">
        <f t="shared" si="107"/>
        <v/>
      </c>
      <c r="K730" s="287" t="str">
        <f t="shared" si="108"/>
        <v/>
      </c>
      <c r="L730" s="287" t="str">
        <f t="shared" si="109"/>
        <v/>
      </c>
      <c r="M730" s="290" t="str">
        <f t="shared" si="110"/>
        <v/>
      </c>
      <c r="N730" t="str">
        <f>IF($A730="","",IFERROR(INDEX(Prices[Category],MATCH($A730,Prices[Key],0)),"Uncategorized"))</f>
        <v/>
      </c>
      <c r="O730" s="291" t="str">
        <f t="shared" si="111"/>
        <v/>
      </c>
      <c r="P730" s="291" t="str">
        <f t="shared" si="112"/>
        <v/>
      </c>
    </row>
    <row r="731" spans="1:16" ht="15" customHeight="1" x14ac:dyDescent="0.2">
      <c r="A731" s="243" t="str">
        <f>IFERROR(INDEX('All Ticker P&amp;L'!$A$2:$A$1001,MATCH(ROWS($A$2:A731),'All Ticker P&amp;L'!$N$2:$N$1001,0)),"")</f>
        <v/>
      </c>
      <c r="B731" s="243" t="str">
        <f t="shared" si="104"/>
        <v/>
      </c>
      <c r="C731" s="243" t="str">
        <f t="shared" si="105"/>
        <v/>
      </c>
      <c r="D731" s="243" t="str">
        <f t="shared" si="106"/>
        <v/>
      </c>
      <c r="E731" s="265" t="str">
        <f>IF($A731="","",SUMIFS(Txn[Signed Units],Txn[Key],$A731))</f>
        <v/>
      </c>
      <c r="F731" s="287" t="str">
        <f>IF($A731="","",SUMIFS(Txn[Buy Cost],Txn[Key],$A731))</f>
        <v/>
      </c>
      <c r="G731" s="287" t="str">
        <f>IF($A731="","",SUMIFS(Txn[Sell Proceeds],Txn[Key],$A731))</f>
        <v/>
      </c>
      <c r="H731" s="288" t="str">
        <f>IF($A731="","",IFERROR(INDEX(Prices[Current Price],MATCH($A731,Prices[Key],0)),0))</f>
        <v/>
      </c>
      <c r="I731" s="289" t="str">
        <f>IF($A731="","",IFERROR(INDEX(Prices[FX to SGD],MATCH($A731,Prices[Key],0)),1))</f>
        <v/>
      </c>
      <c r="J731" s="287" t="str">
        <f t="shared" si="107"/>
        <v/>
      </c>
      <c r="K731" s="287" t="str">
        <f t="shared" si="108"/>
        <v/>
      </c>
      <c r="L731" s="287" t="str">
        <f t="shared" si="109"/>
        <v/>
      </c>
      <c r="M731" s="290" t="str">
        <f t="shared" si="110"/>
        <v/>
      </c>
      <c r="N731" t="str">
        <f>IF($A731="","",IFERROR(INDEX(Prices[Category],MATCH($A731,Prices[Key],0)),"Uncategorized"))</f>
        <v/>
      </c>
      <c r="O731" s="291" t="str">
        <f t="shared" si="111"/>
        <v/>
      </c>
      <c r="P731" s="291" t="str">
        <f t="shared" si="112"/>
        <v/>
      </c>
    </row>
    <row r="732" spans="1:16" ht="15" customHeight="1" x14ac:dyDescent="0.2">
      <c r="A732" s="243" t="str">
        <f>IFERROR(INDEX('All Ticker P&amp;L'!$A$2:$A$1001,MATCH(ROWS($A$2:A732),'All Ticker P&amp;L'!$N$2:$N$1001,0)),"")</f>
        <v/>
      </c>
      <c r="B732" s="243" t="str">
        <f t="shared" si="104"/>
        <v/>
      </c>
      <c r="C732" s="243" t="str">
        <f t="shared" si="105"/>
        <v/>
      </c>
      <c r="D732" s="243" t="str">
        <f t="shared" si="106"/>
        <v/>
      </c>
      <c r="E732" s="265" t="str">
        <f>IF($A732="","",SUMIFS(Txn[Signed Units],Txn[Key],$A732))</f>
        <v/>
      </c>
      <c r="F732" s="287" t="str">
        <f>IF($A732="","",SUMIFS(Txn[Buy Cost],Txn[Key],$A732))</f>
        <v/>
      </c>
      <c r="G732" s="287" t="str">
        <f>IF($A732="","",SUMIFS(Txn[Sell Proceeds],Txn[Key],$A732))</f>
        <v/>
      </c>
      <c r="H732" s="288" t="str">
        <f>IF($A732="","",IFERROR(INDEX(Prices[Current Price],MATCH($A732,Prices[Key],0)),0))</f>
        <v/>
      </c>
      <c r="I732" s="289" t="str">
        <f>IF($A732="","",IFERROR(INDEX(Prices[FX to SGD],MATCH($A732,Prices[Key],0)),1))</f>
        <v/>
      </c>
      <c r="J732" s="287" t="str">
        <f t="shared" si="107"/>
        <v/>
      </c>
      <c r="K732" s="287" t="str">
        <f t="shared" si="108"/>
        <v/>
      </c>
      <c r="L732" s="287" t="str">
        <f t="shared" si="109"/>
        <v/>
      </c>
      <c r="M732" s="290" t="str">
        <f t="shared" si="110"/>
        <v/>
      </c>
      <c r="N732" t="str">
        <f>IF($A732="","",IFERROR(INDEX(Prices[Category],MATCH($A732,Prices[Key],0)),"Uncategorized"))</f>
        <v/>
      </c>
      <c r="O732" s="291" t="str">
        <f t="shared" si="111"/>
        <v/>
      </c>
      <c r="P732" s="291" t="str">
        <f t="shared" si="112"/>
        <v/>
      </c>
    </row>
    <row r="733" spans="1:16" ht="15" customHeight="1" x14ac:dyDescent="0.2">
      <c r="A733" s="243" t="str">
        <f>IFERROR(INDEX('All Ticker P&amp;L'!$A$2:$A$1001,MATCH(ROWS($A$2:A733),'All Ticker P&amp;L'!$N$2:$N$1001,0)),"")</f>
        <v/>
      </c>
      <c r="B733" s="243" t="str">
        <f t="shared" si="104"/>
        <v/>
      </c>
      <c r="C733" s="243" t="str">
        <f t="shared" si="105"/>
        <v/>
      </c>
      <c r="D733" s="243" t="str">
        <f t="shared" si="106"/>
        <v/>
      </c>
      <c r="E733" s="265" t="str">
        <f>IF($A733="","",SUMIFS(Txn[Signed Units],Txn[Key],$A733))</f>
        <v/>
      </c>
      <c r="F733" s="287" t="str">
        <f>IF($A733="","",SUMIFS(Txn[Buy Cost],Txn[Key],$A733))</f>
        <v/>
      </c>
      <c r="G733" s="287" t="str">
        <f>IF($A733="","",SUMIFS(Txn[Sell Proceeds],Txn[Key],$A733))</f>
        <v/>
      </c>
      <c r="H733" s="288" t="str">
        <f>IF($A733="","",IFERROR(INDEX(Prices[Current Price],MATCH($A733,Prices[Key],0)),0))</f>
        <v/>
      </c>
      <c r="I733" s="289" t="str">
        <f>IF($A733="","",IFERROR(INDEX(Prices[FX to SGD],MATCH($A733,Prices[Key],0)),1))</f>
        <v/>
      </c>
      <c r="J733" s="287" t="str">
        <f t="shared" si="107"/>
        <v/>
      </c>
      <c r="K733" s="287" t="str">
        <f t="shared" si="108"/>
        <v/>
      </c>
      <c r="L733" s="287" t="str">
        <f t="shared" si="109"/>
        <v/>
      </c>
      <c r="M733" s="290" t="str">
        <f t="shared" si="110"/>
        <v/>
      </c>
      <c r="N733" t="str">
        <f>IF($A733="","",IFERROR(INDEX(Prices[Category],MATCH($A733,Prices[Key],0)),"Uncategorized"))</f>
        <v/>
      </c>
      <c r="O733" s="291" t="str">
        <f t="shared" si="111"/>
        <v/>
      </c>
      <c r="P733" s="291" t="str">
        <f t="shared" si="112"/>
        <v/>
      </c>
    </row>
    <row r="734" spans="1:16" ht="15" customHeight="1" x14ac:dyDescent="0.2">
      <c r="A734" s="243" t="str">
        <f>IFERROR(INDEX('All Ticker P&amp;L'!$A$2:$A$1001,MATCH(ROWS($A$2:A734),'All Ticker P&amp;L'!$N$2:$N$1001,0)),"")</f>
        <v/>
      </c>
      <c r="B734" s="243" t="str">
        <f t="shared" si="104"/>
        <v/>
      </c>
      <c r="C734" s="243" t="str">
        <f t="shared" si="105"/>
        <v/>
      </c>
      <c r="D734" s="243" t="str">
        <f t="shared" si="106"/>
        <v/>
      </c>
      <c r="E734" s="265" t="str">
        <f>IF($A734="","",SUMIFS(Txn[Signed Units],Txn[Key],$A734))</f>
        <v/>
      </c>
      <c r="F734" s="287" t="str">
        <f>IF($A734="","",SUMIFS(Txn[Buy Cost],Txn[Key],$A734))</f>
        <v/>
      </c>
      <c r="G734" s="287" t="str">
        <f>IF($A734="","",SUMIFS(Txn[Sell Proceeds],Txn[Key],$A734))</f>
        <v/>
      </c>
      <c r="H734" s="288" t="str">
        <f>IF($A734="","",IFERROR(INDEX(Prices[Current Price],MATCH($A734,Prices[Key],0)),0))</f>
        <v/>
      </c>
      <c r="I734" s="289" t="str">
        <f>IF($A734="","",IFERROR(INDEX(Prices[FX to SGD],MATCH($A734,Prices[Key],0)),1))</f>
        <v/>
      </c>
      <c r="J734" s="287" t="str">
        <f t="shared" si="107"/>
        <v/>
      </c>
      <c r="K734" s="287" t="str">
        <f t="shared" si="108"/>
        <v/>
      </c>
      <c r="L734" s="287" t="str">
        <f t="shared" si="109"/>
        <v/>
      </c>
      <c r="M734" s="290" t="str">
        <f t="shared" si="110"/>
        <v/>
      </c>
      <c r="N734" t="str">
        <f>IF($A734="","",IFERROR(INDEX(Prices[Category],MATCH($A734,Prices[Key],0)),"Uncategorized"))</f>
        <v/>
      </c>
      <c r="O734" s="291" t="str">
        <f t="shared" si="111"/>
        <v/>
      </c>
      <c r="P734" s="291" t="str">
        <f t="shared" si="112"/>
        <v/>
      </c>
    </row>
    <row r="735" spans="1:16" ht="15" customHeight="1" x14ac:dyDescent="0.2">
      <c r="A735" s="243" t="str">
        <f>IFERROR(INDEX('All Ticker P&amp;L'!$A$2:$A$1001,MATCH(ROWS($A$2:A735),'All Ticker P&amp;L'!$N$2:$N$1001,0)),"")</f>
        <v/>
      </c>
      <c r="B735" s="243" t="str">
        <f t="shared" si="104"/>
        <v/>
      </c>
      <c r="C735" s="243" t="str">
        <f t="shared" si="105"/>
        <v/>
      </c>
      <c r="D735" s="243" t="str">
        <f t="shared" si="106"/>
        <v/>
      </c>
      <c r="E735" s="265" t="str">
        <f>IF($A735="","",SUMIFS(Txn[Signed Units],Txn[Key],$A735))</f>
        <v/>
      </c>
      <c r="F735" s="287" t="str">
        <f>IF($A735="","",SUMIFS(Txn[Buy Cost],Txn[Key],$A735))</f>
        <v/>
      </c>
      <c r="G735" s="287" t="str">
        <f>IF($A735="","",SUMIFS(Txn[Sell Proceeds],Txn[Key],$A735))</f>
        <v/>
      </c>
      <c r="H735" s="288" t="str">
        <f>IF($A735="","",IFERROR(INDEX(Prices[Current Price],MATCH($A735,Prices[Key],0)),0))</f>
        <v/>
      </c>
      <c r="I735" s="289" t="str">
        <f>IF($A735="","",IFERROR(INDEX(Prices[FX to SGD],MATCH($A735,Prices[Key],0)),1))</f>
        <v/>
      </c>
      <c r="J735" s="287" t="str">
        <f t="shared" si="107"/>
        <v/>
      </c>
      <c r="K735" s="287" t="str">
        <f t="shared" si="108"/>
        <v/>
      </c>
      <c r="L735" s="287" t="str">
        <f t="shared" si="109"/>
        <v/>
      </c>
      <c r="M735" s="290" t="str">
        <f t="shared" si="110"/>
        <v/>
      </c>
      <c r="N735" t="str">
        <f>IF($A735="","",IFERROR(INDEX(Prices[Category],MATCH($A735,Prices[Key],0)),"Uncategorized"))</f>
        <v/>
      </c>
      <c r="O735" s="291" t="str">
        <f t="shared" si="111"/>
        <v/>
      </c>
      <c r="P735" s="291" t="str">
        <f t="shared" si="112"/>
        <v/>
      </c>
    </row>
    <row r="736" spans="1:16" ht="15" customHeight="1" x14ac:dyDescent="0.2">
      <c r="A736" s="243" t="str">
        <f>IFERROR(INDEX('All Ticker P&amp;L'!$A$2:$A$1001,MATCH(ROWS($A$2:A736),'All Ticker P&amp;L'!$N$2:$N$1001,0)),"")</f>
        <v/>
      </c>
      <c r="B736" s="243" t="str">
        <f t="shared" si="104"/>
        <v/>
      </c>
      <c r="C736" s="243" t="str">
        <f t="shared" si="105"/>
        <v/>
      </c>
      <c r="D736" s="243" t="str">
        <f t="shared" si="106"/>
        <v/>
      </c>
      <c r="E736" s="265" t="str">
        <f>IF($A736="","",SUMIFS(Txn[Signed Units],Txn[Key],$A736))</f>
        <v/>
      </c>
      <c r="F736" s="287" t="str">
        <f>IF($A736="","",SUMIFS(Txn[Buy Cost],Txn[Key],$A736))</f>
        <v/>
      </c>
      <c r="G736" s="287" t="str">
        <f>IF($A736="","",SUMIFS(Txn[Sell Proceeds],Txn[Key],$A736))</f>
        <v/>
      </c>
      <c r="H736" s="288" t="str">
        <f>IF($A736="","",IFERROR(INDEX(Prices[Current Price],MATCH($A736,Prices[Key],0)),0))</f>
        <v/>
      </c>
      <c r="I736" s="289" t="str">
        <f>IF($A736="","",IFERROR(INDEX(Prices[FX to SGD],MATCH($A736,Prices[Key],0)),1))</f>
        <v/>
      </c>
      <c r="J736" s="287" t="str">
        <f t="shared" si="107"/>
        <v/>
      </c>
      <c r="K736" s="287" t="str">
        <f t="shared" si="108"/>
        <v/>
      </c>
      <c r="L736" s="287" t="str">
        <f t="shared" si="109"/>
        <v/>
      </c>
      <c r="M736" s="290" t="str">
        <f t="shared" si="110"/>
        <v/>
      </c>
      <c r="N736" t="str">
        <f>IF($A736="","",IFERROR(INDEX(Prices[Category],MATCH($A736,Prices[Key],0)),"Uncategorized"))</f>
        <v/>
      </c>
      <c r="O736" s="291" t="str">
        <f t="shared" si="111"/>
        <v/>
      </c>
      <c r="P736" s="291" t="str">
        <f t="shared" si="112"/>
        <v/>
      </c>
    </row>
    <row r="737" spans="1:16" ht="15" customHeight="1" x14ac:dyDescent="0.2">
      <c r="A737" s="243" t="str">
        <f>IFERROR(INDEX('All Ticker P&amp;L'!$A$2:$A$1001,MATCH(ROWS($A$2:A737),'All Ticker P&amp;L'!$N$2:$N$1001,0)),"")</f>
        <v/>
      </c>
      <c r="B737" s="243" t="str">
        <f t="shared" si="104"/>
        <v/>
      </c>
      <c r="C737" s="243" t="str">
        <f t="shared" si="105"/>
        <v/>
      </c>
      <c r="D737" s="243" t="str">
        <f t="shared" si="106"/>
        <v/>
      </c>
      <c r="E737" s="265" t="str">
        <f>IF($A737="","",SUMIFS(Txn[Signed Units],Txn[Key],$A737))</f>
        <v/>
      </c>
      <c r="F737" s="287" t="str">
        <f>IF($A737="","",SUMIFS(Txn[Buy Cost],Txn[Key],$A737))</f>
        <v/>
      </c>
      <c r="G737" s="287" t="str">
        <f>IF($A737="","",SUMIFS(Txn[Sell Proceeds],Txn[Key],$A737))</f>
        <v/>
      </c>
      <c r="H737" s="288" t="str">
        <f>IF($A737="","",IFERROR(INDEX(Prices[Current Price],MATCH($A737,Prices[Key],0)),0))</f>
        <v/>
      </c>
      <c r="I737" s="289" t="str">
        <f>IF($A737="","",IFERROR(INDEX(Prices[FX to SGD],MATCH($A737,Prices[Key],0)),1))</f>
        <v/>
      </c>
      <c r="J737" s="287" t="str">
        <f t="shared" si="107"/>
        <v/>
      </c>
      <c r="K737" s="287" t="str">
        <f t="shared" si="108"/>
        <v/>
      </c>
      <c r="L737" s="287" t="str">
        <f t="shared" si="109"/>
        <v/>
      </c>
      <c r="M737" s="290" t="str">
        <f t="shared" si="110"/>
        <v/>
      </c>
      <c r="N737" t="str">
        <f>IF($A737="","",IFERROR(INDEX(Prices[Category],MATCH($A737,Prices[Key],0)),"Uncategorized"))</f>
        <v/>
      </c>
      <c r="O737" s="291" t="str">
        <f t="shared" si="111"/>
        <v/>
      </c>
      <c r="P737" s="291" t="str">
        <f t="shared" si="112"/>
        <v/>
      </c>
    </row>
    <row r="738" spans="1:16" ht="15" customHeight="1" x14ac:dyDescent="0.2">
      <c r="A738" s="243" t="str">
        <f>IFERROR(INDEX('All Ticker P&amp;L'!$A$2:$A$1001,MATCH(ROWS($A$2:A738),'All Ticker P&amp;L'!$N$2:$N$1001,0)),"")</f>
        <v/>
      </c>
      <c r="B738" s="243" t="str">
        <f t="shared" si="104"/>
        <v/>
      </c>
      <c r="C738" s="243" t="str">
        <f t="shared" si="105"/>
        <v/>
      </c>
      <c r="D738" s="243" t="str">
        <f t="shared" si="106"/>
        <v/>
      </c>
      <c r="E738" s="265" t="str">
        <f>IF($A738="","",SUMIFS(Txn[Signed Units],Txn[Key],$A738))</f>
        <v/>
      </c>
      <c r="F738" s="287" t="str">
        <f>IF($A738="","",SUMIFS(Txn[Buy Cost],Txn[Key],$A738))</f>
        <v/>
      </c>
      <c r="G738" s="287" t="str">
        <f>IF($A738="","",SUMIFS(Txn[Sell Proceeds],Txn[Key],$A738))</f>
        <v/>
      </c>
      <c r="H738" s="288" t="str">
        <f>IF($A738="","",IFERROR(INDEX(Prices[Current Price],MATCH($A738,Prices[Key],0)),0))</f>
        <v/>
      </c>
      <c r="I738" s="289" t="str">
        <f>IF($A738="","",IFERROR(INDEX(Prices[FX to SGD],MATCH($A738,Prices[Key],0)),1))</f>
        <v/>
      </c>
      <c r="J738" s="287" t="str">
        <f t="shared" si="107"/>
        <v/>
      </c>
      <c r="K738" s="287" t="str">
        <f t="shared" si="108"/>
        <v/>
      </c>
      <c r="L738" s="287" t="str">
        <f t="shared" si="109"/>
        <v/>
      </c>
      <c r="M738" s="290" t="str">
        <f t="shared" si="110"/>
        <v/>
      </c>
      <c r="N738" t="str">
        <f>IF($A738="","",IFERROR(INDEX(Prices[Category],MATCH($A738,Prices[Key],0)),"Uncategorized"))</f>
        <v/>
      </c>
      <c r="O738" s="291" t="str">
        <f t="shared" si="111"/>
        <v/>
      </c>
      <c r="P738" s="291" t="str">
        <f t="shared" si="112"/>
        <v/>
      </c>
    </row>
    <row r="739" spans="1:16" ht="15" customHeight="1" x14ac:dyDescent="0.2">
      <c r="A739" s="243" t="str">
        <f>IFERROR(INDEX('All Ticker P&amp;L'!$A$2:$A$1001,MATCH(ROWS($A$2:A739),'All Ticker P&amp;L'!$N$2:$N$1001,0)),"")</f>
        <v/>
      </c>
      <c r="B739" s="243" t="str">
        <f t="shared" si="104"/>
        <v/>
      </c>
      <c r="C739" s="243" t="str">
        <f t="shared" si="105"/>
        <v/>
      </c>
      <c r="D739" s="243" t="str">
        <f t="shared" si="106"/>
        <v/>
      </c>
      <c r="E739" s="265" t="str">
        <f>IF($A739="","",SUMIFS(Txn[Signed Units],Txn[Key],$A739))</f>
        <v/>
      </c>
      <c r="F739" s="287" t="str">
        <f>IF($A739="","",SUMIFS(Txn[Buy Cost],Txn[Key],$A739))</f>
        <v/>
      </c>
      <c r="G739" s="287" t="str">
        <f>IF($A739="","",SUMIFS(Txn[Sell Proceeds],Txn[Key],$A739))</f>
        <v/>
      </c>
      <c r="H739" s="288" t="str">
        <f>IF($A739="","",IFERROR(INDEX(Prices[Current Price],MATCH($A739,Prices[Key],0)),0))</f>
        <v/>
      </c>
      <c r="I739" s="289" t="str">
        <f>IF($A739="","",IFERROR(INDEX(Prices[FX to SGD],MATCH($A739,Prices[Key],0)),1))</f>
        <v/>
      </c>
      <c r="J739" s="287" t="str">
        <f t="shared" si="107"/>
        <v/>
      </c>
      <c r="K739" s="287" t="str">
        <f t="shared" si="108"/>
        <v/>
      </c>
      <c r="L739" s="287" t="str">
        <f t="shared" si="109"/>
        <v/>
      </c>
      <c r="M739" s="290" t="str">
        <f t="shared" si="110"/>
        <v/>
      </c>
      <c r="N739" t="str">
        <f>IF($A739="","",IFERROR(INDEX(Prices[Category],MATCH($A739,Prices[Key],0)),"Uncategorized"))</f>
        <v/>
      </c>
      <c r="O739" s="291" t="str">
        <f t="shared" si="111"/>
        <v/>
      </c>
      <c r="P739" s="291" t="str">
        <f t="shared" si="112"/>
        <v/>
      </c>
    </row>
    <row r="740" spans="1:16" ht="15" customHeight="1" x14ac:dyDescent="0.2">
      <c r="A740" s="243" t="str">
        <f>IFERROR(INDEX('All Ticker P&amp;L'!$A$2:$A$1001,MATCH(ROWS($A$2:A740),'All Ticker P&amp;L'!$N$2:$N$1001,0)),"")</f>
        <v/>
      </c>
      <c r="B740" s="243" t="str">
        <f t="shared" si="104"/>
        <v/>
      </c>
      <c r="C740" s="243" t="str">
        <f t="shared" si="105"/>
        <v/>
      </c>
      <c r="D740" s="243" t="str">
        <f t="shared" si="106"/>
        <v/>
      </c>
      <c r="E740" s="265" t="str">
        <f>IF($A740="","",SUMIFS(Txn[Signed Units],Txn[Key],$A740))</f>
        <v/>
      </c>
      <c r="F740" s="287" t="str">
        <f>IF($A740="","",SUMIFS(Txn[Buy Cost],Txn[Key],$A740))</f>
        <v/>
      </c>
      <c r="G740" s="287" t="str">
        <f>IF($A740="","",SUMIFS(Txn[Sell Proceeds],Txn[Key],$A740))</f>
        <v/>
      </c>
      <c r="H740" s="288" t="str">
        <f>IF($A740="","",IFERROR(INDEX(Prices[Current Price],MATCH($A740,Prices[Key],0)),0))</f>
        <v/>
      </c>
      <c r="I740" s="289" t="str">
        <f>IF($A740="","",IFERROR(INDEX(Prices[FX to SGD],MATCH($A740,Prices[Key],0)),1))</f>
        <v/>
      </c>
      <c r="J740" s="287" t="str">
        <f t="shared" si="107"/>
        <v/>
      </c>
      <c r="K740" s="287" t="str">
        <f t="shared" si="108"/>
        <v/>
      </c>
      <c r="L740" s="287" t="str">
        <f t="shared" si="109"/>
        <v/>
      </c>
      <c r="M740" s="290" t="str">
        <f t="shared" si="110"/>
        <v/>
      </c>
      <c r="N740" t="str">
        <f>IF($A740="","",IFERROR(INDEX(Prices[Category],MATCH($A740,Prices[Key],0)),"Uncategorized"))</f>
        <v/>
      </c>
      <c r="O740" s="291" t="str">
        <f t="shared" si="111"/>
        <v/>
      </c>
      <c r="P740" s="291" t="str">
        <f t="shared" si="112"/>
        <v/>
      </c>
    </row>
    <row r="741" spans="1:16" ht="15" customHeight="1" x14ac:dyDescent="0.2">
      <c r="A741" s="243" t="str">
        <f>IFERROR(INDEX('All Ticker P&amp;L'!$A$2:$A$1001,MATCH(ROWS($A$2:A741),'All Ticker P&amp;L'!$N$2:$N$1001,0)),"")</f>
        <v/>
      </c>
      <c r="B741" s="243" t="str">
        <f t="shared" si="104"/>
        <v/>
      </c>
      <c r="C741" s="243" t="str">
        <f t="shared" si="105"/>
        <v/>
      </c>
      <c r="D741" s="243" t="str">
        <f t="shared" si="106"/>
        <v/>
      </c>
      <c r="E741" s="265" t="str">
        <f>IF($A741="","",SUMIFS(Txn[Signed Units],Txn[Key],$A741))</f>
        <v/>
      </c>
      <c r="F741" s="287" t="str">
        <f>IF($A741="","",SUMIFS(Txn[Buy Cost],Txn[Key],$A741))</f>
        <v/>
      </c>
      <c r="G741" s="287" t="str">
        <f>IF($A741="","",SUMIFS(Txn[Sell Proceeds],Txn[Key],$A741))</f>
        <v/>
      </c>
      <c r="H741" s="288" t="str">
        <f>IF($A741="","",IFERROR(INDEX(Prices[Current Price],MATCH($A741,Prices[Key],0)),0))</f>
        <v/>
      </c>
      <c r="I741" s="289" t="str">
        <f>IF($A741="","",IFERROR(INDEX(Prices[FX to SGD],MATCH($A741,Prices[Key],0)),1))</f>
        <v/>
      </c>
      <c r="J741" s="287" t="str">
        <f t="shared" si="107"/>
        <v/>
      </c>
      <c r="K741" s="287" t="str">
        <f t="shared" si="108"/>
        <v/>
      </c>
      <c r="L741" s="287" t="str">
        <f t="shared" si="109"/>
        <v/>
      </c>
      <c r="M741" s="290" t="str">
        <f t="shared" si="110"/>
        <v/>
      </c>
      <c r="N741" t="str">
        <f>IF($A741="","",IFERROR(INDEX(Prices[Category],MATCH($A741,Prices[Key],0)),"Uncategorized"))</f>
        <v/>
      </c>
      <c r="O741" s="291" t="str">
        <f t="shared" si="111"/>
        <v/>
      </c>
      <c r="P741" s="291" t="str">
        <f t="shared" si="112"/>
        <v/>
      </c>
    </row>
    <row r="742" spans="1:16" ht="15" customHeight="1" x14ac:dyDescent="0.2">
      <c r="A742" s="243" t="str">
        <f>IFERROR(INDEX('All Ticker P&amp;L'!$A$2:$A$1001,MATCH(ROWS($A$2:A742),'All Ticker P&amp;L'!$N$2:$N$1001,0)),"")</f>
        <v/>
      </c>
      <c r="B742" s="243" t="str">
        <f t="shared" si="104"/>
        <v/>
      </c>
      <c r="C742" s="243" t="str">
        <f t="shared" si="105"/>
        <v/>
      </c>
      <c r="D742" s="243" t="str">
        <f t="shared" si="106"/>
        <v/>
      </c>
      <c r="E742" s="265" t="str">
        <f>IF($A742="","",SUMIFS(Txn[Signed Units],Txn[Key],$A742))</f>
        <v/>
      </c>
      <c r="F742" s="287" t="str">
        <f>IF($A742="","",SUMIFS(Txn[Buy Cost],Txn[Key],$A742))</f>
        <v/>
      </c>
      <c r="G742" s="287" t="str">
        <f>IF($A742="","",SUMIFS(Txn[Sell Proceeds],Txn[Key],$A742))</f>
        <v/>
      </c>
      <c r="H742" s="288" t="str">
        <f>IF($A742="","",IFERROR(INDEX(Prices[Current Price],MATCH($A742,Prices[Key],0)),0))</f>
        <v/>
      </c>
      <c r="I742" s="289" t="str">
        <f>IF($A742="","",IFERROR(INDEX(Prices[FX to SGD],MATCH($A742,Prices[Key],0)),1))</f>
        <v/>
      </c>
      <c r="J742" s="287" t="str">
        <f t="shared" si="107"/>
        <v/>
      </c>
      <c r="K742" s="287" t="str">
        <f t="shared" si="108"/>
        <v/>
      </c>
      <c r="L742" s="287" t="str">
        <f t="shared" si="109"/>
        <v/>
      </c>
      <c r="M742" s="290" t="str">
        <f t="shared" si="110"/>
        <v/>
      </c>
      <c r="N742" t="str">
        <f>IF($A742="","",IFERROR(INDEX(Prices[Category],MATCH($A742,Prices[Key],0)),"Uncategorized"))</f>
        <v/>
      </c>
      <c r="O742" s="291" t="str">
        <f t="shared" si="111"/>
        <v/>
      </c>
      <c r="P742" s="291" t="str">
        <f t="shared" si="112"/>
        <v/>
      </c>
    </row>
    <row r="743" spans="1:16" ht="15" customHeight="1" x14ac:dyDescent="0.2">
      <c r="A743" s="243" t="str">
        <f>IFERROR(INDEX('All Ticker P&amp;L'!$A$2:$A$1001,MATCH(ROWS($A$2:A743),'All Ticker P&amp;L'!$N$2:$N$1001,0)),"")</f>
        <v/>
      </c>
      <c r="B743" s="243" t="str">
        <f t="shared" si="104"/>
        <v/>
      </c>
      <c r="C743" s="243" t="str">
        <f t="shared" si="105"/>
        <v/>
      </c>
      <c r="D743" s="243" t="str">
        <f t="shared" si="106"/>
        <v/>
      </c>
      <c r="E743" s="265" t="str">
        <f>IF($A743="","",SUMIFS(Txn[Signed Units],Txn[Key],$A743))</f>
        <v/>
      </c>
      <c r="F743" s="287" t="str">
        <f>IF($A743="","",SUMIFS(Txn[Buy Cost],Txn[Key],$A743))</f>
        <v/>
      </c>
      <c r="G743" s="287" t="str">
        <f>IF($A743="","",SUMIFS(Txn[Sell Proceeds],Txn[Key],$A743))</f>
        <v/>
      </c>
      <c r="H743" s="288" t="str">
        <f>IF($A743="","",IFERROR(INDEX(Prices[Current Price],MATCH($A743,Prices[Key],0)),0))</f>
        <v/>
      </c>
      <c r="I743" s="289" t="str">
        <f>IF($A743="","",IFERROR(INDEX(Prices[FX to SGD],MATCH($A743,Prices[Key],0)),1))</f>
        <v/>
      </c>
      <c r="J743" s="287" t="str">
        <f t="shared" si="107"/>
        <v/>
      </c>
      <c r="K743" s="287" t="str">
        <f t="shared" si="108"/>
        <v/>
      </c>
      <c r="L743" s="287" t="str">
        <f t="shared" si="109"/>
        <v/>
      </c>
      <c r="M743" s="290" t="str">
        <f t="shared" si="110"/>
        <v/>
      </c>
      <c r="N743" t="str">
        <f>IF($A743="","",IFERROR(INDEX(Prices[Category],MATCH($A743,Prices[Key],0)),"Uncategorized"))</f>
        <v/>
      </c>
      <c r="O743" s="291" t="str">
        <f t="shared" si="111"/>
        <v/>
      </c>
      <c r="P743" s="291" t="str">
        <f t="shared" si="112"/>
        <v/>
      </c>
    </row>
    <row r="744" spans="1:16" ht="15" customHeight="1" x14ac:dyDescent="0.2">
      <c r="A744" s="243" t="str">
        <f>IFERROR(INDEX('All Ticker P&amp;L'!$A$2:$A$1001,MATCH(ROWS($A$2:A744),'All Ticker P&amp;L'!$N$2:$N$1001,0)),"")</f>
        <v/>
      </c>
      <c r="B744" s="243" t="str">
        <f t="shared" si="104"/>
        <v/>
      </c>
      <c r="C744" s="243" t="str">
        <f t="shared" si="105"/>
        <v/>
      </c>
      <c r="D744" s="243" t="str">
        <f t="shared" si="106"/>
        <v/>
      </c>
      <c r="E744" s="265" t="str">
        <f>IF($A744="","",SUMIFS(Txn[Signed Units],Txn[Key],$A744))</f>
        <v/>
      </c>
      <c r="F744" s="287" t="str">
        <f>IF($A744="","",SUMIFS(Txn[Buy Cost],Txn[Key],$A744))</f>
        <v/>
      </c>
      <c r="G744" s="287" t="str">
        <f>IF($A744="","",SUMIFS(Txn[Sell Proceeds],Txn[Key],$A744))</f>
        <v/>
      </c>
      <c r="H744" s="288" t="str">
        <f>IF($A744="","",IFERROR(INDEX(Prices[Current Price],MATCH($A744,Prices[Key],0)),0))</f>
        <v/>
      </c>
      <c r="I744" s="289" t="str">
        <f>IF($A744="","",IFERROR(INDEX(Prices[FX to SGD],MATCH($A744,Prices[Key],0)),1))</f>
        <v/>
      </c>
      <c r="J744" s="287" t="str">
        <f t="shared" si="107"/>
        <v/>
      </c>
      <c r="K744" s="287" t="str">
        <f t="shared" si="108"/>
        <v/>
      </c>
      <c r="L744" s="287" t="str">
        <f t="shared" si="109"/>
        <v/>
      </c>
      <c r="M744" s="290" t="str">
        <f t="shared" si="110"/>
        <v/>
      </c>
      <c r="N744" t="str">
        <f>IF($A744="","",IFERROR(INDEX(Prices[Category],MATCH($A744,Prices[Key],0)),"Uncategorized"))</f>
        <v/>
      </c>
      <c r="O744" s="291" t="str">
        <f t="shared" si="111"/>
        <v/>
      </c>
      <c r="P744" s="291" t="str">
        <f t="shared" si="112"/>
        <v/>
      </c>
    </row>
    <row r="745" spans="1:16" ht="15" customHeight="1" x14ac:dyDescent="0.2">
      <c r="A745" s="243" t="str">
        <f>IFERROR(INDEX('All Ticker P&amp;L'!$A$2:$A$1001,MATCH(ROWS($A$2:A745),'All Ticker P&amp;L'!$N$2:$N$1001,0)),"")</f>
        <v/>
      </c>
      <c r="B745" s="243" t="str">
        <f t="shared" si="104"/>
        <v/>
      </c>
      <c r="C745" s="243" t="str">
        <f t="shared" si="105"/>
        <v/>
      </c>
      <c r="D745" s="243" t="str">
        <f t="shared" si="106"/>
        <v/>
      </c>
      <c r="E745" s="265" t="str">
        <f>IF($A745="","",SUMIFS(Txn[Signed Units],Txn[Key],$A745))</f>
        <v/>
      </c>
      <c r="F745" s="287" t="str">
        <f>IF($A745="","",SUMIFS(Txn[Buy Cost],Txn[Key],$A745))</f>
        <v/>
      </c>
      <c r="G745" s="287" t="str">
        <f>IF($A745="","",SUMIFS(Txn[Sell Proceeds],Txn[Key],$A745))</f>
        <v/>
      </c>
      <c r="H745" s="288" t="str">
        <f>IF($A745="","",IFERROR(INDEX(Prices[Current Price],MATCH($A745,Prices[Key],0)),0))</f>
        <v/>
      </c>
      <c r="I745" s="289" t="str">
        <f>IF($A745="","",IFERROR(INDEX(Prices[FX to SGD],MATCH($A745,Prices[Key],0)),1))</f>
        <v/>
      </c>
      <c r="J745" s="287" t="str">
        <f t="shared" si="107"/>
        <v/>
      </c>
      <c r="K745" s="287" t="str">
        <f t="shared" si="108"/>
        <v/>
      </c>
      <c r="L745" s="287" t="str">
        <f t="shared" si="109"/>
        <v/>
      </c>
      <c r="M745" s="290" t="str">
        <f t="shared" si="110"/>
        <v/>
      </c>
      <c r="N745" t="str">
        <f>IF($A745="","",IFERROR(INDEX(Prices[Category],MATCH($A745,Prices[Key],0)),"Uncategorized"))</f>
        <v/>
      </c>
      <c r="O745" s="291" t="str">
        <f t="shared" si="111"/>
        <v/>
      </c>
      <c r="P745" s="291" t="str">
        <f t="shared" si="112"/>
        <v/>
      </c>
    </row>
    <row r="746" spans="1:16" ht="15" customHeight="1" x14ac:dyDescent="0.2">
      <c r="A746" s="243" t="str">
        <f>IFERROR(INDEX('All Ticker P&amp;L'!$A$2:$A$1001,MATCH(ROWS($A$2:A746),'All Ticker P&amp;L'!$N$2:$N$1001,0)),"")</f>
        <v/>
      </c>
      <c r="B746" s="243" t="str">
        <f t="shared" si="104"/>
        <v/>
      </c>
      <c r="C746" s="243" t="str">
        <f t="shared" si="105"/>
        <v/>
      </c>
      <c r="D746" s="243" t="str">
        <f t="shared" si="106"/>
        <v/>
      </c>
      <c r="E746" s="265" t="str">
        <f>IF($A746="","",SUMIFS(Txn[Signed Units],Txn[Key],$A746))</f>
        <v/>
      </c>
      <c r="F746" s="287" t="str">
        <f>IF($A746="","",SUMIFS(Txn[Buy Cost],Txn[Key],$A746))</f>
        <v/>
      </c>
      <c r="G746" s="287" t="str">
        <f>IF($A746="","",SUMIFS(Txn[Sell Proceeds],Txn[Key],$A746))</f>
        <v/>
      </c>
      <c r="H746" s="288" t="str">
        <f>IF($A746="","",IFERROR(INDEX(Prices[Current Price],MATCH($A746,Prices[Key],0)),0))</f>
        <v/>
      </c>
      <c r="I746" s="289" t="str">
        <f>IF($A746="","",IFERROR(INDEX(Prices[FX to SGD],MATCH($A746,Prices[Key],0)),1))</f>
        <v/>
      </c>
      <c r="J746" s="287" t="str">
        <f t="shared" si="107"/>
        <v/>
      </c>
      <c r="K746" s="287" t="str">
        <f t="shared" si="108"/>
        <v/>
      </c>
      <c r="L746" s="287" t="str">
        <f t="shared" si="109"/>
        <v/>
      </c>
      <c r="M746" s="290" t="str">
        <f t="shared" si="110"/>
        <v/>
      </c>
      <c r="N746" t="str">
        <f>IF($A746="","",IFERROR(INDEX(Prices[Category],MATCH($A746,Prices[Key],0)),"Uncategorized"))</f>
        <v/>
      </c>
      <c r="O746" s="291" t="str">
        <f t="shared" si="111"/>
        <v/>
      </c>
      <c r="P746" s="291" t="str">
        <f t="shared" si="112"/>
        <v/>
      </c>
    </row>
    <row r="747" spans="1:16" ht="15" customHeight="1" x14ac:dyDescent="0.2">
      <c r="A747" s="243" t="str">
        <f>IFERROR(INDEX('All Ticker P&amp;L'!$A$2:$A$1001,MATCH(ROWS($A$2:A747),'All Ticker P&amp;L'!$N$2:$N$1001,0)),"")</f>
        <v/>
      </c>
      <c r="B747" s="243" t="str">
        <f t="shared" si="104"/>
        <v/>
      </c>
      <c r="C747" s="243" t="str">
        <f t="shared" si="105"/>
        <v/>
      </c>
      <c r="D747" s="243" t="str">
        <f t="shared" si="106"/>
        <v/>
      </c>
      <c r="E747" s="265" t="str">
        <f>IF($A747="","",SUMIFS(Txn[Signed Units],Txn[Key],$A747))</f>
        <v/>
      </c>
      <c r="F747" s="287" t="str">
        <f>IF($A747="","",SUMIFS(Txn[Buy Cost],Txn[Key],$A747))</f>
        <v/>
      </c>
      <c r="G747" s="287" t="str">
        <f>IF($A747="","",SUMIFS(Txn[Sell Proceeds],Txn[Key],$A747))</f>
        <v/>
      </c>
      <c r="H747" s="288" t="str">
        <f>IF($A747="","",IFERROR(INDEX(Prices[Current Price],MATCH($A747,Prices[Key],0)),0))</f>
        <v/>
      </c>
      <c r="I747" s="289" t="str">
        <f>IF($A747="","",IFERROR(INDEX(Prices[FX to SGD],MATCH($A747,Prices[Key],0)),1))</f>
        <v/>
      </c>
      <c r="J747" s="287" t="str">
        <f t="shared" si="107"/>
        <v/>
      </c>
      <c r="K747" s="287" t="str">
        <f t="shared" si="108"/>
        <v/>
      </c>
      <c r="L747" s="287" t="str">
        <f t="shared" si="109"/>
        <v/>
      </c>
      <c r="M747" s="290" t="str">
        <f t="shared" si="110"/>
        <v/>
      </c>
      <c r="N747" t="str">
        <f>IF($A747="","",IFERROR(INDEX(Prices[Category],MATCH($A747,Prices[Key],0)),"Uncategorized"))</f>
        <v/>
      </c>
      <c r="O747" s="291" t="str">
        <f t="shared" si="111"/>
        <v/>
      </c>
      <c r="P747" s="291" t="str">
        <f t="shared" si="112"/>
        <v/>
      </c>
    </row>
    <row r="748" spans="1:16" ht="15" customHeight="1" x14ac:dyDescent="0.2">
      <c r="A748" s="243" t="str">
        <f>IFERROR(INDEX('All Ticker P&amp;L'!$A$2:$A$1001,MATCH(ROWS($A$2:A748),'All Ticker P&amp;L'!$N$2:$N$1001,0)),"")</f>
        <v/>
      </c>
      <c r="B748" s="243" t="str">
        <f t="shared" si="104"/>
        <v/>
      </c>
      <c r="C748" s="243" t="str">
        <f t="shared" si="105"/>
        <v/>
      </c>
      <c r="D748" s="243" t="str">
        <f t="shared" si="106"/>
        <v/>
      </c>
      <c r="E748" s="265" t="str">
        <f>IF($A748="","",SUMIFS(Txn[Signed Units],Txn[Key],$A748))</f>
        <v/>
      </c>
      <c r="F748" s="287" t="str">
        <f>IF($A748="","",SUMIFS(Txn[Buy Cost],Txn[Key],$A748))</f>
        <v/>
      </c>
      <c r="G748" s="287" t="str">
        <f>IF($A748="","",SUMIFS(Txn[Sell Proceeds],Txn[Key],$A748))</f>
        <v/>
      </c>
      <c r="H748" s="288" t="str">
        <f>IF($A748="","",IFERROR(INDEX(Prices[Current Price],MATCH($A748,Prices[Key],0)),0))</f>
        <v/>
      </c>
      <c r="I748" s="289" t="str">
        <f>IF($A748="","",IFERROR(INDEX(Prices[FX to SGD],MATCH($A748,Prices[Key],0)),1))</f>
        <v/>
      </c>
      <c r="J748" s="287" t="str">
        <f t="shared" si="107"/>
        <v/>
      </c>
      <c r="K748" s="287" t="str">
        <f t="shared" si="108"/>
        <v/>
      </c>
      <c r="L748" s="287" t="str">
        <f t="shared" si="109"/>
        <v/>
      </c>
      <c r="M748" s="290" t="str">
        <f t="shared" si="110"/>
        <v/>
      </c>
      <c r="N748" t="str">
        <f>IF($A748="","",IFERROR(INDEX(Prices[Category],MATCH($A748,Prices[Key],0)),"Uncategorized"))</f>
        <v/>
      </c>
      <c r="O748" s="291" t="str">
        <f t="shared" si="111"/>
        <v/>
      </c>
      <c r="P748" s="291" t="str">
        <f t="shared" si="112"/>
        <v/>
      </c>
    </row>
    <row r="749" spans="1:16" ht="15" customHeight="1" x14ac:dyDescent="0.2">
      <c r="A749" s="243" t="str">
        <f>IFERROR(INDEX('All Ticker P&amp;L'!$A$2:$A$1001,MATCH(ROWS($A$2:A749),'All Ticker P&amp;L'!$N$2:$N$1001,0)),"")</f>
        <v/>
      </c>
      <c r="B749" s="243" t="str">
        <f t="shared" si="104"/>
        <v/>
      </c>
      <c r="C749" s="243" t="str">
        <f t="shared" si="105"/>
        <v/>
      </c>
      <c r="D749" s="243" t="str">
        <f t="shared" si="106"/>
        <v/>
      </c>
      <c r="E749" s="265" t="str">
        <f>IF($A749="","",SUMIFS(Txn[Signed Units],Txn[Key],$A749))</f>
        <v/>
      </c>
      <c r="F749" s="287" t="str">
        <f>IF($A749="","",SUMIFS(Txn[Buy Cost],Txn[Key],$A749))</f>
        <v/>
      </c>
      <c r="G749" s="287" t="str">
        <f>IF($A749="","",SUMIFS(Txn[Sell Proceeds],Txn[Key],$A749))</f>
        <v/>
      </c>
      <c r="H749" s="288" t="str">
        <f>IF($A749="","",IFERROR(INDEX(Prices[Current Price],MATCH($A749,Prices[Key],0)),0))</f>
        <v/>
      </c>
      <c r="I749" s="289" t="str">
        <f>IF($A749="","",IFERROR(INDEX(Prices[FX to SGD],MATCH($A749,Prices[Key],0)),1))</f>
        <v/>
      </c>
      <c r="J749" s="287" t="str">
        <f t="shared" si="107"/>
        <v/>
      </c>
      <c r="K749" s="287" t="str">
        <f t="shared" si="108"/>
        <v/>
      </c>
      <c r="L749" s="287" t="str">
        <f t="shared" si="109"/>
        <v/>
      </c>
      <c r="M749" s="290" t="str">
        <f t="shared" si="110"/>
        <v/>
      </c>
      <c r="N749" t="str">
        <f>IF($A749="","",IFERROR(INDEX(Prices[Category],MATCH($A749,Prices[Key],0)),"Uncategorized"))</f>
        <v/>
      </c>
      <c r="O749" s="291" t="str">
        <f t="shared" si="111"/>
        <v/>
      </c>
      <c r="P749" s="291" t="str">
        <f t="shared" si="112"/>
        <v/>
      </c>
    </row>
    <row r="750" spans="1:16" ht="15" customHeight="1" x14ac:dyDescent="0.2">
      <c r="A750" s="243" t="str">
        <f>IFERROR(INDEX('All Ticker P&amp;L'!$A$2:$A$1001,MATCH(ROWS($A$2:A750),'All Ticker P&amp;L'!$N$2:$N$1001,0)),"")</f>
        <v/>
      </c>
      <c r="B750" s="243" t="str">
        <f t="shared" si="104"/>
        <v/>
      </c>
      <c r="C750" s="243" t="str">
        <f t="shared" si="105"/>
        <v/>
      </c>
      <c r="D750" s="243" t="str">
        <f t="shared" si="106"/>
        <v/>
      </c>
      <c r="E750" s="265" t="str">
        <f>IF($A750="","",SUMIFS(Txn[Signed Units],Txn[Key],$A750))</f>
        <v/>
      </c>
      <c r="F750" s="287" t="str">
        <f>IF($A750="","",SUMIFS(Txn[Buy Cost],Txn[Key],$A750))</f>
        <v/>
      </c>
      <c r="G750" s="287" t="str">
        <f>IF($A750="","",SUMIFS(Txn[Sell Proceeds],Txn[Key],$A750))</f>
        <v/>
      </c>
      <c r="H750" s="288" t="str">
        <f>IF($A750="","",IFERROR(INDEX(Prices[Current Price],MATCH($A750,Prices[Key],0)),0))</f>
        <v/>
      </c>
      <c r="I750" s="289" t="str">
        <f>IF($A750="","",IFERROR(INDEX(Prices[FX to SGD],MATCH($A750,Prices[Key],0)),1))</f>
        <v/>
      </c>
      <c r="J750" s="287" t="str">
        <f t="shared" si="107"/>
        <v/>
      </c>
      <c r="K750" s="287" t="str">
        <f t="shared" si="108"/>
        <v/>
      </c>
      <c r="L750" s="287" t="str">
        <f t="shared" si="109"/>
        <v/>
      </c>
      <c r="M750" s="290" t="str">
        <f t="shared" si="110"/>
        <v/>
      </c>
      <c r="N750" t="str">
        <f>IF($A750="","",IFERROR(INDEX(Prices[Category],MATCH($A750,Prices[Key],0)),"Uncategorized"))</f>
        <v/>
      </c>
      <c r="O750" s="291" t="str">
        <f t="shared" si="111"/>
        <v/>
      </c>
      <c r="P750" s="291" t="str">
        <f t="shared" si="112"/>
        <v/>
      </c>
    </row>
    <row r="751" spans="1:16" ht="15" customHeight="1" x14ac:dyDescent="0.2">
      <c r="A751" s="243" t="str">
        <f>IFERROR(INDEX('All Ticker P&amp;L'!$A$2:$A$1001,MATCH(ROWS($A$2:A751),'All Ticker P&amp;L'!$N$2:$N$1001,0)),"")</f>
        <v/>
      </c>
      <c r="B751" s="243" t="str">
        <f t="shared" si="104"/>
        <v/>
      </c>
      <c r="C751" s="243" t="str">
        <f t="shared" si="105"/>
        <v/>
      </c>
      <c r="D751" s="243" t="str">
        <f t="shared" si="106"/>
        <v/>
      </c>
      <c r="E751" s="265" t="str">
        <f>IF($A751="","",SUMIFS(Txn[Signed Units],Txn[Key],$A751))</f>
        <v/>
      </c>
      <c r="F751" s="287" t="str">
        <f>IF($A751="","",SUMIFS(Txn[Buy Cost],Txn[Key],$A751))</f>
        <v/>
      </c>
      <c r="G751" s="287" t="str">
        <f>IF($A751="","",SUMIFS(Txn[Sell Proceeds],Txn[Key],$A751))</f>
        <v/>
      </c>
      <c r="H751" s="288" t="str">
        <f>IF($A751="","",IFERROR(INDEX(Prices[Current Price],MATCH($A751,Prices[Key],0)),0))</f>
        <v/>
      </c>
      <c r="I751" s="289" t="str">
        <f>IF($A751="","",IFERROR(INDEX(Prices[FX to SGD],MATCH($A751,Prices[Key],0)),1))</f>
        <v/>
      </c>
      <c r="J751" s="287" t="str">
        <f t="shared" si="107"/>
        <v/>
      </c>
      <c r="K751" s="287" t="str">
        <f t="shared" si="108"/>
        <v/>
      </c>
      <c r="L751" s="287" t="str">
        <f t="shared" si="109"/>
        <v/>
      </c>
      <c r="M751" s="290" t="str">
        <f t="shared" si="110"/>
        <v/>
      </c>
      <c r="N751" t="str">
        <f>IF($A751="","",IFERROR(INDEX(Prices[Category],MATCH($A751,Prices[Key],0)),"Uncategorized"))</f>
        <v/>
      </c>
      <c r="O751" s="291" t="str">
        <f t="shared" si="111"/>
        <v/>
      </c>
      <c r="P751" s="291" t="str">
        <f t="shared" si="112"/>
        <v/>
      </c>
    </row>
    <row r="752" spans="1:16" ht="15" customHeight="1" x14ac:dyDescent="0.2">
      <c r="A752" s="243" t="str">
        <f>IFERROR(INDEX('All Ticker P&amp;L'!$A$2:$A$1001,MATCH(ROWS($A$2:A752),'All Ticker P&amp;L'!$N$2:$N$1001,0)),"")</f>
        <v/>
      </c>
      <c r="B752" s="243" t="str">
        <f t="shared" si="104"/>
        <v/>
      </c>
      <c r="C752" s="243" t="str">
        <f t="shared" si="105"/>
        <v/>
      </c>
      <c r="D752" s="243" t="str">
        <f t="shared" si="106"/>
        <v/>
      </c>
      <c r="E752" s="265" t="str">
        <f>IF($A752="","",SUMIFS(Txn[Signed Units],Txn[Key],$A752))</f>
        <v/>
      </c>
      <c r="F752" s="287" t="str">
        <f>IF($A752="","",SUMIFS(Txn[Buy Cost],Txn[Key],$A752))</f>
        <v/>
      </c>
      <c r="G752" s="287" t="str">
        <f>IF($A752="","",SUMIFS(Txn[Sell Proceeds],Txn[Key],$A752))</f>
        <v/>
      </c>
      <c r="H752" s="288" t="str">
        <f>IF($A752="","",IFERROR(INDEX(Prices[Current Price],MATCH($A752,Prices[Key],0)),0))</f>
        <v/>
      </c>
      <c r="I752" s="289" t="str">
        <f>IF($A752="","",IFERROR(INDEX(Prices[FX to SGD],MATCH($A752,Prices[Key],0)),1))</f>
        <v/>
      </c>
      <c r="J752" s="287" t="str">
        <f t="shared" si="107"/>
        <v/>
      </c>
      <c r="K752" s="287" t="str">
        <f t="shared" si="108"/>
        <v/>
      </c>
      <c r="L752" s="287" t="str">
        <f t="shared" si="109"/>
        <v/>
      </c>
      <c r="M752" s="290" t="str">
        <f t="shared" si="110"/>
        <v/>
      </c>
      <c r="N752" t="str">
        <f>IF($A752="","",IFERROR(INDEX(Prices[Category],MATCH($A752,Prices[Key],0)),"Uncategorized"))</f>
        <v/>
      </c>
      <c r="O752" s="291" t="str">
        <f t="shared" si="111"/>
        <v/>
      </c>
      <c r="P752" s="291" t="str">
        <f t="shared" si="112"/>
        <v/>
      </c>
    </row>
    <row r="753" spans="1:16" ht="15" customHeight="1" x14ac:dyDescent="0.2">
      <c r="A753" s="243" t="str">
        <f>IFERROR(INDEX('All Ticker P&amp;L'!$A$2:$A$1001,MATCH(ROWS($A$2:A753),'All Ticker P&amp;L'!$N$2:$N$1001,0)),"")</f>
        <v/>
      </c>
      <c r="B753" s="243" t="str">
        <f t="shared" si="104"/>
        <v/>
      </c>
      <c r="C753" s="243" t="str">
        <f t="shared" si="105"/>
        <v/>
      </c>
      <c r="D753" s="243" t="str">
        <f t="shared" si="106"/>
        <v/>
      </c>
      <c r="E753" s="265" t="str">
        <f>IF($A753="","",SUMIFS(Txn[Signed Units],Txn[Key],$A753))</f>
        <v/>
      </c>
      <c r="F753" s="287" t="str">
        <f>IF($A753="","",SUMIFS(Txn[Buy Cost],Txn[Key],$A753))</f>
        <v/>
      </c>
      <c r="G753" s="287" t="str">
        <f>IF($A753="","",SUMIFS(Txn[Sell Proceeds],Txn[Key],$A753))</f>
        <v/>
      </c>
      <c r="H753" s="288" t="str">
        <f>IF($A753="","",IFERROR(INDEX(Prices[Current Price],MATCH($A753,Prices[Key],0)),0))</f>
        <v/>
      </c>
      <c r="I753" s="289" t="str">
        <f>IF($A753="","",IFERROR(INDEX(Prices[FX to SGD],MATCH($A753,Prices[Key],0)),1))</f>
        <v/>
      </c>
      <c r="J753" s="287" t="str">
        <f t="shared" si="107"/>
        <v/>
      </c>
      <c r="K753" s="287" t="str">
        <f t="shared" si="108"/>
        <v/>
      </c>
      <c r="L753" s="287" t="str">
        <f t="shared" si="109"/>
        <v/>
      </c>
      <c r="M753" s="290" t="str">
        <f t="shared" si="110"/>
        <v/>
      </c>
      <c r="N753" t="str">
        <f>IF($A753="","",IFERROR(INDEX(Prices[Category],MATCH($A753,Prices[Key],0)),"Uncategorized"))</f>
        <v/>
      </c>
      <c r="O753" s="291" t="str">
        <f t="shared" si="111"/>
        <v/>
      </c>
      <c r="P753" s="291" t="str">
        <f t="shared" si="112"/>
        <v/>
      </c>
    </row>
    <row r="754" spans="1:16" ht="15" customHeight="1" x14ac:dyDescent="0.2">
      <c r="A754" s="243" t="str">
        <f>IFERROR(INDEX('All Ticker P&amp;L'!$A$2:$A$1001,MATCH(ROWS($A$2:A754),'All Ticker P&amp;L'!$N$2:$N$1001,0)),"")</f>
        <v/>
      </c>
      <c r="B754" s="243" t="str">
        <f t="shared" si="104"/>
        <v/>
      </c>
      <c r="C754" s="243" t="str">
        <f t="shared" si="105"/>
        <v/>
      </c>
      <c r="D754" s="243" t="str">
        <f t="shared" si="106"/>
        <v/>
      </c>
      <c r="E754" s="265" t="str">
        <f>IF($A754="","",SUMIFS(Txn[Signed Units],Txn[Key],$A754))</f>
        <v/>
      </c>
      <c r="F754" s="287" t="str">
        <f>IF($A754="","",SUMIFS(Txn[Buy Cost],Txn[Key],$A754))</f>
        <v/>
      </c>
      <c r="G754" s="287" t="str">
        <f>IF($A754="","",SUMIFS(Txn[Sell Proceeds],Txn[Key],$A754))</f>
        <v/>
      </c>
      <c r="H754" s="288" t="str">
        <f>IF($A754="","",IFERROR(INDEX(Prices[Current Price],MATCH($A754,Prices[Key],0)),0))</f>
        <v/>
      </c>
      <c r="I754" s="289" t="str">
        <f>IF($A754="","",IFERROR(INDEX(Prices[FX to SGD],MATCH($A754,Prices[Key],0)),1))</f>
        <v/>
      </c>
      <c r="J754" s="287" t="str">
        <f t="shared" si="107"/>
        <v/>
      </c>
      <c r="K754" s="287" t="str">
        <f t="shared" si="108"/>
        <v/>
      </c>
      <c r="L754" s="287" t="str">
        <f t="shared" si="109"/>
        <v/>
      </c>
      <c r="M754" s="290" t="str">
        <f t="shared" si="110"/>
        <v/>
      </c>
      <c r="N754" t="str">
        <f>IF($A754="","",IFERROR(INDEX(Prices[Category],MATCH($A754,Prices[Key],0)),"Uncategorized"))</f>
        <v/>
      </c>
      <c r="O754" s="291" t="str">
        <f t="shared" si="111"/>
        <v/>
      </c>
      <c r="P754" s="291" t="str">
        <f t="shared" si="112"/>
        <v/>
      </c>
    </row>
    <row r="755" spans="1:16" ht="15" customHeight="1" x14ac:dyDescent="0.2">
      <c r="A755" s="243" t="str">
        <f>IFERROR(INDEX('All Ticker P&amp;L'!$A$2:$A$1001,MATCH(ROWS($A$2:A755),'All Ticker P&amp;L'!$N$2:$N$1001,0)),"")</f>
        <v/>
      </c>
      <c r="B755" s="243" t="str">
        <f t="shared" si="104"/>
        <v/>
      </c>
      <c r="C755" s="243" t="str">
        <f t="shared" si="105"/>
        <v/>
      </c>
      <c r="D755" s="243" t="str">
        <f t="shared" si="106"/>
        <v/>
      </c>
      <c r="E755" s="265" t="str">
        <f>IF($A755="","",SUMIFS(Txn[Signed Units],Txn[Key],$A755))</f>
        <v/>
      </c>
      <c r="F755" s="287" t="str">
        <f>IF($A755="","",SUMIFS(Txn[Buy Cost],Txn[Key],$A755))</f>
        <v/>
      </c>
      <c r="G755" s="287" t="str">
        <f>IF($A755="","",SUMIFS(Txn[Sell Proceeds],Txn[Key],$A755))</f>
        <v/>
      </c>
      <c r="H755" s="288" t="str">
        <f>IF($A755="","",IFERROR(INDEX(Prices[Current Price],MATCH($A755,Prices[Key],0)),0))</f>
        <v/>
      </c>
      <c r="I755" s="289" t="str">
        <f>IF($A755="","",IFERROR(INDEX(Prices[FX to SGD],MATCH($A755,Prices[Key],0)),1))</f>
        <v/>
      </c>
      <c r="J755" s="287" t="str">
        <f t="shared" si="107"/>
        <v/>
      </c>
      <c r="K755" s="287" t="str">
        <f t="shared" si="108"/>
        <v/>
      </c>
      <c r="L755" s="287" t="str">
        <f t="shared" si="109"/>
        <v/>
      </c>
      <c r="M755" s="290" t="str">
        <f t="shared" si="110"/>
        <v/>
      </c>
      <c r="N755" t="str">
        <f>IF($A755="","",IFERROR(INDEX(Prices[Category],MATCH($A755,Prices[Key],0)),"Uncategorized"))</f>
        <v/>
      </c>
      <c r="O755" s="291" t="str">
        <f t="shared" si="111"/>
        <v/>
      </c>
      <c r="P755" s="291" t="str">
        <f t="shared" si="112"/>
        <v/>
      </c>
    </row>
    <row r="756" spans="1:16" ht="15" customHeight="1" x14ac:dyDescent="0.2">
      <c r="A756" s="243" t="str">
        <f>IFERROR(INDEX('All Ticker P&amp;L'!$A$2:$A$1001,MATCH(ROWS($A$2:A756),'All Ticker P&amp;L'!$N$2:$N$1001,0)),"")</f>
        <v/>
      </c>
      <c r="B756" s="243" t="str">
        <f t="shared" si="104"/>
        <v/>
      </c>
      <c r="C756" s="243" t="str">
        <f t="shared" si="105"/>
        <v/>
      </c>
      <c r="D756" s="243" t="str">
        <f t="shared" si="106"/>
        <v/>
      </c>
      <c r="E756" s="265" t="str">
        <f>IF($A756="","",SUMIFS(Txn[Signed Units],Txn[Key],$A756))</f>
        <v/>
      </c>
      <c r="F756" s="287" t="str">
        <f>IF($A756="","",SUMIFS(Txn[Buy Cost],Txn[Key],$A756))</f>
        <v/>
      </c>
      <c r="G756" s="287" t="str">
        <f>IF($A756="","",SUMIFS(Txn[Sell Proceeds],Txn[Key],$A756))</f>
        <v/>
      </c>
      <c r="H756" s="288" t="str">
        <f>IF($A756="","",IFERROR(INDEX(Prices[Current Price],MATCH($A756,Prices[Key],0)),0))</f>
        <v/>
      </c>
      <c r="I756" s="289" t="str">
        <f>IF($A756="","",IFERROR(INDEX(Prices[FX to SGD],MATCH($A756,Prices[Key],0)),1))</f>
        <v/>
      </c>
      <c r="J756" s="287" t="str">
        <f t="shared" si="107"/>
        <v/>
      </c>
      <c r="K756" s="287" t="str">
        <f t="shared" si="108"/>
        <v/>
      </c>
      <c r="L756" s="287" t="str">
        <f t="shared" si="109"/>
        <v/>
      </c>
      <c r="M756" s="290" t="str">
        <f t="shared" si="110"/>
        <v/>
      </c>
      <c r="N756" t="str">
        <f>IF($A756="","",IFERROR(INDEX(Prices[Category],MATCH($A756,Prices[Key],0)),"Uncategorized"))</f>
        <v/>
      </c>
      <c r="O756" s="291" t="str">
        <f t="shared" si="111"/>
        <v/>
      </c>
      <c r="P756" s="291" t="str">
        <f t="shared" si="112"/>
        <v/>
      </c>
    </row>
    <row r="757" spans="1:16" ht="15" customHeight="1" x14ac:dyDescent="0.2">
      <c r="A757" s="243" t="str">
        <f>IFERROR(INDEX('All Ticker P&amp;L'!$A$2:$A$1001,MATCH(ROWS($A$2:A757),'All Ticker P&amp;L'!$N$2:$N$1001,0)),"")</f>
        <v/>
      </c>
      <c r="B757" s="243" t="str">
        <f t="shared" si="104"/>
        <v/>
      </c>
      <c r="C757" s="243" t="str">
        <f t="shared" si="105"/>
        <v/>
      </c>
      <c r="D757" s="243" t="str">
        <f t="shared" si="106"/>
        <v/>
      </c>
      <c r="E757" s="265" t="str">
        <f>IF($A757="","",SUMIFS(Txn[Signed Units],Txn[Key],$A757))</f>
        <v/>
      </c>
      <c r="F757" s="287" t="str">
        <f>IF($A757="","",SUMIFS(Txn[Buy Cost],Txn[Key],$A757))</f>
        <v/>
      </c>
      <c r="G757" s="287" t="str">
        <f>IF($A757="","",SUMIFS(Txn[Sell Proceeds],Txn[Key],$A757))</f>
        <v/>
      </c>
      <c r="H757" s="288" t="str">
        <f>IF($A757="","",IFERROR(INDEX(Prices[Current Price],MATCH($A757,Prices[Key],0)),0))</f>
        <v/>
      </c>
      <c r="I757" s="289" t="str">
        <f>IF($A757="","",IFERROR(INDEX(Prices[FX to SGD],MATCH($A757,Prices[Key],0)),1))</f>
        <v/>
      </c>
      <c r="J757" s="287" t="str">
        <f t="shared" si="107"/>
        <v/>
      </c>
      <c r="K757" s="287" t="str">
        <f t="shared" si="108"/>
        <v/>
      </c>
      <c r="L757" s="287" t="str">
        <f t="shared" si="109"/>
        <v/>
      </c>
      <c r="M757" s="290" t="str">
        <f t="shared" si="110"/>
        <v/>
      </c>
      <c r="N757" t="str">
        <f>IF($A757="","",IFERROR(INDEX(Prices[Category],MATCH($A757,Prices[Key],0)),"Uncategorized"))</f>
        <v/>
      </c>
      <c r="O757" s="291" t="str">
        <f t="shared" si="111"/>
        <v/>
      </c>
      <c r="P757" s="291" t="str">
        <f t="shared" si="112"/>
        <v/>
      </c>
    </row>
    <row r="758" spans="1:16" ht="15" customHeight="1" x14ac:dyDescent="0.2">
      <c r="A758" s="243" t="str">
        <f>IFERROR(INDEX('All Ticker P&amp;L'!$A$2:$A$1001,MATCH(ROWS($A$2:A758),'All Ticker P&amp;L'!$N$2:$N$1001,0)),"")</f>
        <v/>
      </c>
      <c r="B758" s="243" t="str">
        <f t="shared" si="104"/>
        <v/>
      </c>
      <c r="C758" s="243" t="str">
        <f t="shared" si="105"/>
        <v/>
      </c>
      <c r="D758" s="243" t="str">
        <f t="shared" si="106"/>
        <v/>
      </c>
      <c r="E758" s="265" t="str">
        <f>IF($A758="","",SUMIFS(Txn[Signed Units],Txn[Key],$A758))</f>
        <v/>
      </c>
      <c r="F758" s="287" t="str">
        <f>IF($A758="","",SUMIFS(Txn[Buy Cost],Txn[Key],$A758))</f>
        <v/>
      </c>
      <c r="G758" s="287" t="str">
        <f>IF($A758="","",SUMIFS(Txn[Sell Proceeds],Txn[Key],$A758))</f>
        <v/>
      </c>
      <c r="H758" s="288" t="str">
        <f>IF($A758="","",IFERROR(INDEX(Prices[Current Price],MATCH($A758,Prices[Key],0)),0))</f>
        <v/>
      </c>
      <c r="I758" s="289" t="str">
        <f>IF($A758="","",IFERROR(INDEX(Prices[FX to SGD],MATCH($A758,Prices[Key],0)),1))</f>
        <v/>
      </c>
      <c r="J758" s="287" t="str">
        <f t="shared" si="107"/>
        <v/>
      </c>
      <c r="K758" s="287" t="str">
        <f t="shared" si="108"/>
        <v/>
      </c>
      <c r="L758" s="287" t="str">
        <f t="shared" si="109"/>
        <v/>
      </c>
      <c r="M758" s="290" t="str">
        <f t="shared" si="110"/>
        <v/>
      </c>
      <c r="N758" t="str">
        <f>IF($A758="","",IFERROR(INDEX(Prices[Category],MATCH($A758,Prices[Key],0)),"Uncategorized"))</f>
        <v/>
      </c>
      <c r="O758" s="291" t="str">
        <f t="shared" si="111"/>
        <v/>
      </c>
      <c r="P758" s="291" t="str">
        <f t="shared" si="112"/>
        <v/>
      </c>
    </row>
    <row r="759" spans="1:16" ht="15" customHeight="1" x14ac:dyDescent="0.2">
      <c r="A759" s="243" t="str">
        <f>IFERROR(INDEX('All Ticker P&amp;L'!$A$2:$A$1001,MATCH(ROWS($A$2:A759),'All Ticker P&amp;L'!$N$2:$N$1001,0)),"")</f>
        <v/>
      </c>
      <c r="B759" s="243" t="str">
        <f t="shared" si="104"/>
        <v/>
      </c>
      <c r="C759" s="243" t="str">
        <f t="shared" si="105"/>
        <v/>
      </c>
      <c r="D759" s="243" t="str">
        <f t="shared" si="106"/>
        <v/>
      </c>
      <c r="E759" s="265" t="str">
        <f>IF($A759="","",SUMIFS(Txn[Signed Units],Txn[Key],$A759))</f>
        <v/>
      </c>
      <c r="F759" s="287" t="str">
        <f>IF($A759="","",SUMIFS(Txn[Buy Cost],Txn[Key],$A759))</f>
        <v/>
      </c>
      <c r="G759" s="287" t="str">
        <f>IF($A759="","",SUMIFS(Txn[Sell Proceeds],Txn[Key],$A759))</f>
        <v/>
      </c>
      <c r="H759" s="288" t="str">
        <f>IF($A759="","",IFERROR(INDEX(Prices[Current Price],MATCH($A759,Prices[Key],0)),0))</f>
        <v/>
      </c>
      <c r="I759" s="289" t="str">
        <f>IF($A759="","",IFERROR(INDEX(Prices[FX to SGD],MATCH($A759,Prices[Key],0)),1))</f>
        <v/>
      </c>
      <c r="J759" s="287" t="str">
        <f t="shared" si="107"/>
        <v/>
      </c>
      <c r="K759" s="287" t="str">
        <f t="shared" si="108"/>
        <v/>
      </c>
      <c r="L759" s="287" t="str">
        <f t="shared" si="109"/>
        <v/>
      </c>
      <c r="M759" s="290" t="str">
        <f t="shared" si="110"/>
        <v/>
      </c>
      <c r="N759" t="str">
        <f>IF($A759="","",IFERROR(INDEX(Prices[Category],MATCH($A759,Prices[Key],0)),"Uncategorized"))</f>
        <v/>
      </c>
      <c r="O759" s="291" t="str">
        <f t="shared" si="111"/>
        <v/>
      </c>
      <c r="P759" s="291" t="str">
        <f t="shared" si="112"/>
        <v/>
      </c>
    </row>
    <row r="760" spans="1:16" ht="15" customHeight="1" x14ac:dyDescent="0.2">
      <c r="A760" s="243" t="str">
        <f>IFERROR(INDEX('All Ticker P&amp;L'!$A$2:$A$1001,MATCH(ROWS($A$2:A760),'All Ticker P&amp;L'!$N$2:$N$1001,0)),"")</f>
        <v/>
      </c>
      <c r="B760" s="243" t="str">
        <f t="shared" si="104"/>
        <v/>
      </c>
      <c r="C760" s="243" t="str">
        <f t="shared" si="105"/>
        <v/>
      </c>
      <c r="D760" s="243" t="str">
        <f t="shared" si="106"/>
        <v/>
      </c>
      <c r="E760" s="265" t="str">
        <f>IF($A760="","",SUMIFS(Txn[Signed Units],Txn[Key],$A760))</f>
        <v/>
      </c>
      <c r="F760" s="287" t="str">
        <f>IF($A760="","",SUMIFS(Txn[Buy Cost],Txn[Key],$A760))</f>
        <v/>
      </c>
      <c r="G760" s="287" t="str">
        <f>IF($A760="","",SUMIFS(Txn[Sell Proceeds],Txn[Key],$A760))</f>
        <v/>
      </c>
      <c r="H760" s="288" t="str">
        <f>IF($A760="","",IFERROR(INDEX(Prices[Current Price],MATCH($A760,Prices[Key],0)),0))</f>
        <v/>
      </c>
      <c r="I760" s="289" t="str">
        <f>IF($A760="","",IFERROR(INDEX(Prices[FX to SGD],MATCH($A760,Prices[Key],0)),1))</f>
        <v/>
      </c>
      <c r="J760" s="287" t="str">
        <f t="shared" si="107"/>
        <v/>
      </c>
      <c r="K760" s="287" t="str">
        <f t="shared" si="108"/>
        <v/>
      </c>
      <c r="L760" s="287" t="str">
        <f t="shared" si="109"/>
        <v/>
      </c>
      <c r="M760" s="290" t="str">
        <f t="shared" si="110"/>
        <v/>
      </c>
      <c r="N760" t="str">
        <f>IF($A760="","",IFERROR(INDEX(Prices[Category],MATCH($A760,Prices[Key],0)),"Uncategorized"))</f>
        <v/>
      </c>
      <c r="O760" s="291" t="str">
        <f t="shared" si="111"/>
        <v/>
      </c>
      <c r="P760" s="291" t="str">
        <f t="shared" si="112"/>
        <v/>
      </c>
    </row>
    <row r="761" spans="1:16" ht="15" customHeight="1" x14ac:dyDescent="0.2">
      <c r="A761" s="243" t="str">
        <f>IFERROR(INDEX('All Ticker P&amp;L'!$A$2:$A$1001,MATCH(ROWS($A$2:A761),'All Ticker P&amp;L'!$N$2:$N$1001,0)),"")</f>
        <v/>
      </c>
      <c r="B761" s="243" t="str">
        <f t="shared" si="104"/>
        <v/>
      </c>
      <c r="C761" s="243" t="str">
        <f t="shared" si="105"/>
        <v/>
      </c>
      <c r="D761" s="243" t="str">
        <f t="shared" si="106"/>
        <v/>
      </c>
      <c r="E761" s="265" t="str">
        <f>IF($A761="","",SUMIFS(Txn[Signed Units],Txn[Key],$A761))</f>
        <v/>
      </c>
      <c r="F761" s="287" t="str">
        <f>IF($A761="","",SUMIFS(Txn[Buy Cost],Txn[Key],$A761))</f>
        <v/>
      </c>
      <c r="G761" s="287" t="str">
        <f>IF($A761="","",SUMIFS(Txn[Sell Proceeds],Txn[Key],$A761))</f>
        <v/>
      </c>
      <c r="H761" s="288" t="str">
        <f>IF($A761="","",IFERROR(INDEX(Prices[Current Price],MATCH($A761,Prices[Key],0)),0))</f>
        <v/>
      </c>
      <c r="I761" s="289" t="str">
        <f>IF($A761="","",IFERROR(INDEX(Prices[FX to SGD],MATCH($A761,Prices[Key],0)),1))</f>
        <v/>
      </c>
      <c r="J761" s="287" t="str">
        <f t="shared" si="107"/>
        <v/>
      </c>
      <c r="K761" s="287" t="str">
        <f t="shared" si="108"/>
        <v/>
      </c>
      <c r="L761" s="287" t="str">
        <f t="shared" si="109"/>
        <v/>
      </c>
      <c r="M761" s="290" t="str">
        <f t="shared" si="110"/>
        <v/>
      </c>
      <c r="N761" t="str">
        <f>IF($A761="","",IFERROR(INDEX(Prices[Category],MATCH($A761,Prices[Key],0)),"Uncategorized"))</f>
        <v/>
      </c>
      <c r="O761" s="291" t="str">
        <f t="shared" si="111"/>
        <v/>
      </c>
      <c r="P761" s="291" t="str">
        <f t="shared" si="112"/>
        <v/>
      </c>
    </row>
    <row r="762" spans="1:16" ht="15" customHeight="1" x14ac:dyDescent="0.2">
      <c r="A762" s="243" t="str">
        <f>IFERROR(INDEX('All Ticker P&amp;L'!$A$2:$A$1001,MATCH(ROWS($A$2:A762),'All Ticker P&amp;L'!$N$2:$N$1001,0)),"")</f>
        <v/>
      </c>
      <c r="B762" s="243" t="str">
        <f t="shared" si="104"/>
        <v/>
      </c>
      <c r="C762" s="243" t="str">
        <f t="shared" si="105"/>
        <v/>
      </c>
      <c r="D762" s="243" t="str">
        <f t="shared" si="106"/>
        <v/>
      </c>
      <c r="E762" s="265" t="str">
        <f>IF($A762="","",SUMIFS(Txn[Signed Units],Txn[Key],$A762))</f>
        <v/>
      </c>
      <c r="F762" s="287" t="str">
        <f>IF($A762="","",SUMIFS(Txn[Buy Cost],Txn[Key],$A762))</f>
        <v/>
      </c>
      <c r="G762" s="287" t="str">
        <f>IF($A762="","",SUMIFS(Txn[Sell Proceeds],Txn[Key],$A762))</f>
        <v/>
      </c>
      <c r="H762" s="288" t="str">
        <f>IF($A762="","",IFERROR(INDEX(Prices[Current Price],MATCH($A762,Prices[Key],0)),0))</f>
        <v/>
      </c>
      <c r="I762" s="289" t="str">
        <f>IF($A762="","",IFERROR(INDEX(Prices[FX to SGD],MATCH($A762,Prices[Key],0)),1))</f>
        <v/>
      </c>
      <c r="J762" s="287" t="str">
        <f t="shared" si="107"/>
        <v/>
      </c>
      <c r="K762" s="287" t="str">
        <f t="shared" si="108"/>
        <v/>
      </c>
      <c r="L762" s="287" t="str">
        <f t="shared" si="109"/>
        <v/>
      </c>
      <c r="M762" s="290" t="str">
        <f t="shared" si="110"/>
        <v/>
      </c>
      <c r="N762" t="str">
        <f>IF($A762="","",IFERROR(INDEX(Prices[Category],MATCH($A762,Prices[Key],0)),"Uncategorized"))</f>
        <v/>
      </c>
      <c r="O762" s="291" t="str">
        <f t="shared" si="111"/>
        <v/>
      </c>
      <c r="P762" s="291" t="str">
        <f t="shared" si="112"/>
        <v/>
      </c>
    </row>
    <row r="763" spans="1:16" ht="15" customHeight="1" x14ac:dyDescent="0.2">
      <c r="A763" s="243" t="str">
        <f>IFERROR(INDEX('All Ticker P&amp;L'!$A$2:$A$1001,MATCH(ROWS($A$2:A763),'All Ticker P&amp;L'!$N$2:$N$1001,0)),"")</f>
        <v/>
      </c>
      <c r="B763" s="243" t="str">
        <f t="shared" si="104"/>
        <v/>
      </c>
      <c r="C763" s="243" t="str">
        <f t="shared" si="105"/>
        <v/>
      </c>
      <c r="D763" s="243" t="str">
        <f t="shared" si="106"/>
        <v/>
      </c>
      <c r="E763" s="265" t="str">
        <f>IF($A763="","",SUMIFS(Txn[Signed Units],Txn[Key],$A763))</f>
        <v/>
      </c>
      <c r="F763" s="287" t="str">
        <f>IF($A763="","",SUMIFS(Txn[Buy Cost],Txn[Key],$A763))</f>
        <v/>
      </c>
      <c r="G763" s="287" t="str">
        <f>IF($A763="","",SUMIFS(Txn[Sell Proceeds],Txn[Key],$A763))</f>
        <v/>
      </c>
      <c r="H763" s="288" t="str">
        <f>IF($A763="","",IFERROR(INDEX(Prices[Current Price],MATCH($A763,Prices[Key],0)),0))</f>
        <v/>
      </c>
      <c r="I763" s="289" t="str">
        <f>IF($A763="","",IFERROR(INDEX(Prices[FX to SGD],MATCH($A763,Prices[Key],0)),1))</f>
        <v/>
      </c>
      <c r="J763" s="287" t="str">
        <f t="shared" si="107"/>
        <v/>
      </c>
      <c r="K763" s="287" t="str">
        <f t="shared" si="108"/>
        <v/>
      </c>
      <c r="L763" s="287" t="str">
        <f t="shared" si="109"/>
        <v/>
      </c>
      <c r="M763" s="290" t="str">
        <f t="shared" si="110"/>
        <v/>
      </c>
      <c r="N763" t="str">
        <f>IF($A763="","",IFERROR(INDEX(Prices[Category],MATCH($A763,Prices[Key],0)),"Uncategorized"))</f>
        <v/>
      </c>
      <c r="O763" s="291" t="str">
        <f t="shared" si="111"/>
        <v/>
      </c>
      <c r="P763" s="291" t="str">
        <f t="shared" si="112"/>
        <v/>
      </c>
    </row>
    <row r="764" spans="1:16" ht="15" customHeight="1" x14ac:dyDescent="0.2">
      <c r="A764" s="243" t="str">
        <f>IFERROR(INDEX('All Ticker P&amp;L'!$A$2:$A$1001,MATCH(ROWS($A$2:A764),'All Ticker P&amp;L'!$N$2:$N$1001,0)),"")</f>
        <v/>
      </c>
      <c r="B764" s="243" t="str">
        <f t="shared" si="104"/>
        <v/>
      </c>
      <c r="C764" s="243" t="str">
        <f t="shared" si="105"/>
        <v/>
      </c>
      <c r="D764" s="243" t="str">
        <f t="shared" si="106"/>
        <v/>
      </c>
      <c r="E764" s="265" t="str">
        <f>IF($A764="","",SUMIFS(Txn[Signed Units],Txn[Key],$A764))</f>
        <v/>
      </c>
      <c r="F764" s="287" t="str">
        <f>IF($A764="","",SUMIFS(Txn[Buy Cost],Txn[Key],$A764))</f>
        <v/>
      </c>
      <c r="G764" s="287" t="str">
        <f>IF($A764="","",SUMIFS(Txn[Sell Proceeds],Txn[Key],$A764))</f>
        <v/>
      </c>
      <c r="H764" s="288" t="str">
        <f>IF($A764="","",IFERROR(INDEX(Prices[Current Price],MATCH($A764,Prices[Key],0)),0))</f>
        <v/>
      </c>
      <c r="I764" s="289" t="str">
        <f>IF($A764="","",IFERROR(INDEX(Prices[FX to SGD],MATCH($A764,Prices[Key],0)),1))</f>
        <v/>
      </c>
      <c r="J764" s="287" t="str">
        <f t="shared" si="107"/>
        <v/>
      </c>
      <c r="K764" s="287" t="str">
        <f t="shared" si="108"/>
        <v/>
      </c>
      <c r="L764" s="287" t="str">
        <f t="shared" si="109"/>
        <v/>
      </c>
      <c r="M764" s="290" t="str">
        <f t="shared" si="110"/>
        <v/>
      </c>
      <c r="N764" t="str">
        <f>IF($A764="","",IFERROR(INDEX(Prices[Category],MATCH($A764,Prices[Key],0)),"Uncategorized"))</f>
        <v/>
      </c>
      <c r="O764" s="291" t="str">
        <f t="shared" si="111"/>
        <v/>
      </c>
      <c r="P764" s="291" t="str">
        <f t="shared" si="112"/>
        <v/>
      </c>
    </row>
    <row r="765" spans="1:16" ht="15" customHeight="1" x14ac:dyDescent="0.2">
      <c r="A765" s="243" t="str">
        <f>IFERROR(INDEX('All Ticker P&amp;L'!$A$2:$A$1001,MATCH(ROWS($A$2:A765),'All Ticker P&amp;L'!$N$2:$N$1001,0)),"")</f>
        <v/>
      </c>
      <c r="B765" s="243" t="str">
        <f t="shared" si="104"/>
        <v/>
      </c>
      <c r="C765" s="243" t="str">
        <f t="shared" si="105"/>
        <v/>
      </c>
      <c r="D765" s="243" t="str">
        <f t="shared" si="106"/>
        <v/>
      </c>
      <c r="E765" s="265" t="str">
        <f>IF($A765="","",SUMIFS(Txn[Signed Units],Txn[Key],$A765))</f>
        <v/>
      </c>
      <c r="F765" s="287" t="str">
        <f>IF($A765="","",SUMIFS(Txn[Buy Cost],Txn[Key],$A765))</f>
        <v/>
      </c>
      <c r="G765" s="287" t="str">
        <f>IF($A765="","",SUMIFS(Txn[Sell Proceeds],Txn[Key],$A765))</f>
        <v/>
      </c>
      <c r="H765" s="288" t="str">
        <f>IF($A765="","",IFERROR(INDEX(Prices[Current Price],MATCH($A765,Prices[Key],0)),0))</f>
        <v/>
      </c>
      <c r="I765" s="289" t="str">
        <f>IF($A765="","",IFERROR(INDEX(Prices[FX to SGD],MATCH($A765,Prices[Key],0)),1))</f>
        <v/>
      </c>
      <c r="J765" s="287" t="str">
        <f t="shared" si="107"/>
        <v/>
      </c>
      <c r="K765" s="287" t="str">
        <f t="shared" si="108"/>
        <v/>
      </c>
      <c r="L765" s="287" t="str">
        <f t="shared" si="109"/>
        <v/>
      </c>
      <c r="M765" s="290" t="str">
        <f t="shared" si="110"/>
        <v/>
      </c>
      <c r="N765" t="str">
        <f>IF($A765="","",IFERROR(INDEX(Prices[Category],MATCH($A765,Prices[Key],0)),"Uncategorized"))</f>
        <v/>
      </c>
      <c r="O765" s="291" t="str">
        <f t="shared" si="111"/>
        <v/>
      </c>
      <c r="P765" s="291" t="str">
        <f t="shared" si="112"/>
        <v/>
      </c>
    </row>
    <row r="766" spans="1:16" ht="15" customHeight="1" x14ac:dyDescent="0.2">
      <c r="A766" s="243" t="str">
        <f>IFERROR(INDEX('All Ticker P&amp;L'!$A$2:$A$1001,MATCH(ROWS($A$2:A766),'All Ticker P&amp;L'!$N$2:$N$1001,0)),"")</f>
        <v/>
      </c>
      <c r="B766" s="243" t="str">
        <f t="shared" si="104"/>
        <v/>
      </c>
      <c r="C766" s="243" t="str">
        <f t="shared" si="105"/>
        <v/>
      </c>
      <c r="D766" s="243" t="str">
        <f t="shared" si="106"/>
        <v/>
      </c>
      <c r="E766" s="265" t="str">
        <f>IF($A766="","",SUMIFS(Txn[Signed Units],Txn[Key],$A766))</f>
        <v/>
      </c>
      <c r="F766" s="287" t="str">
        <f>IF($A766="","",SUMIFS(Txn[Buy Cost],Txn[Key],$A766))</f>
        <v/>
      </c>
      <c r="G766" s="287" t="str">
        <f>IF($A766="","",SUMIFS(Txn[Sell Proceeds],Txn[Key],$A766))</f>
        <v/>
      </c>
      <c r="H766" s="288" t="str">
        <f>IF($A766="","",IFERROR(INDEX(Prices[Current Price],MATCH($A766,Prices[Key],0)),0))</f>
        <v/>
      </c>
      <c r="I766" s="289" t="str">
        <f>IF($A766="","",IFERROR(INDEX(Prices[FX to SGD],MATCH($A766,Prices[Key],0)),1))</f>
        <v/>
      </c>
      <c r="J766" s="287" t="str">
        <f t="shared" si="107"/>
        <v/>
      </c>
      <c r="K766" s="287" t="str">
        <f t="shared" si="108"/>
        <v/>
      </c>
      <c r="L766" s="287" t="str">
        <f t="shared" si="109"/>
        <v/>
      </c>
      <c r="M766" s="290" t="str">
        <f t="shared" si="110"/>
        <v/>
      </c>
      <c r="N766" t="str">
        <f>IF($A766="","",IFERROR(INDEX(Prices[Category],MATCH($A766,Prices[Key],0)),"Uncategorized"))</f>
        <v/>
      </c>
      <c r="O766" s="291" t="str">
        <f t="shared" si="111"/>
        <v/>
      </c>
      <c r="P766" s="291" t="str">
        <f t="shared" si="112"/>
        <v/>
      </c>
    </row>
    <row r="767" spans="1:16" ht="15" customHeight="1" x14ac:dyDescent="0.2">
      <c r="A767" s="243" t="str">
        <f>IFERROR(INDEX('All Ticker P&amp;L'!$A$2:$A$1001,MATCH(ROWS($A$2:A767),'All Ticker P&amp;L'!$N$2:$N$1001,0)),"")</f>
        <v/>
      </c>
      <c r="B767" s="243" t="str">
        <f t="shared" si="104"/>
        <v/>
      </c>
      <c r="C767" s="243" t="str">
        <f t="shared" si="105"/>
        <v/>
      </c>
      <c r="D767" s="243" t="str">
        <f t="shared" si="106"/>
        <v/>
      </c>
      <c r="E767" s="265" t="str">
        <f>IF($A767="","",SUMIFS(Txn[Signed Units],Txn[Key],$A767))</f>
        <v/>
      </c>
      <c r="F767" s="287" t="str">
        <f>IF($A767="","",SUMIFS(Txn[Buy Cost],Txn[Key],$A767))</f>
        <v/>
      </c>
      <c r="G767" s="287" t="str">
        <f>IF($A767="","",SUMIFS(Txn[Sell Proceeds],Txn[Key],$A767))</f>
        <v/>
      </c>
      <c r="H767" s="288" t="str">
        <f>IF($A767="","",IFERROR(INDEX(Prices[Current Price],MATCH($A767,Prices[Key],0)),0))</f>
        <v/>
      </c>
      <c r="I767" s="289" t="str">
        <f>IF($A767="","",IFERROR(INDEX(Prices[FX to SGD],MATCH($A767,Prices[Key],0)),1))</f>
        <v/>
      </c>
      <c r="J767" s="287" t="str">
        <f t="shared" si="107"/>
        <v/>
      </c>
      <c r="K767" s="287" t="str">
        <f t="shared" si="108"/>
        <v/>
      </c>
      <c r="L767" s="287" t="str">
        <f t="shared" si="109"/>
        <v/>
      </c>
      <c r="M767" s="290" t="str">
        <f t="shared" si="110"/>
        <v/>
      </c>
      <c r="N767" t="str">
        <f>IF($A767="","",IFERROR(INDEX(Prices[Category],MATCH($A767,Prices[Key],0)),"Uncategorized"))</f>
        <v/>
      </c>
      <c r="O767" s="291" t="str">
        <f t="shared" si="111"/>
        <v/>
      </c>
      <c r="P767" s="291" t="str">
        <f t="shared" si="112"/>
        <v/>
      </c>
    </row>
    <row r="768" spans="1:16" ht="15" customHeight="1" x14ac:dyDescent="0.2">
      <c r="A768" s="243" t="str">
        <f>IFERROR(INDEX('All Ticker P&amp;L'!$A$2:$A$1001,MATCH(ROWS($A$2:A768),'All Ticker P&amp;L'!$N$2:$N$1001,0)),"")</f>
        <v/>
      </c>
      <c r="B768" s="243" t="str">
        <f t="shared" si="104"/>
        <v/>
      </c>
      <c r="C768" s="243" t="str">
        <f t="shared" si="105"/>
        <v/>
      </c>
      <c r="D768" s="243" t="str">
        <f t="shared" si="106"/>
        <v/>
      </c>
      <c r="E768" s="265" t="str">
        <f>IF($A768="","",SUMIFS(Txn[Signed Units],Txn[Key],$A768))</f>
        <v/>
      </c>
      <c r="F768" s="287" t="str">
        <f>IF($A768="","",SUMIFS(Txn[Buy Cost],Txn[Key],$A768))</f>
        <v/>
      </c>
      <c r="G768" s="287" t="str">
        <f>IF($A768="","",SUMIFS(Txn[Sell Proceeds],Txn[Key],$A768))</f>
        <v/>
      </c>
      <c r="H768" s="288" t="str">
        <f>IF($A768="","",IFERROR(INDEX(Prices[Current Price],MATCH($A768,Prices[Key],0)),0))</f>
        <v/>
      </c>
      <c r="I768" s="289" t="str">
        <f>IF($A768="","",IFERROR(INDEX(Prices[FX to SGD],MATCH($A768,Prices[Key],0)),1))</f>
        <v/>
      </c>
      <c r="J768" s="287" t="str">
        <f t="shared" si="107"/>
        <v/>
      </c>
      <c r="K768" s="287" t="str">
        <f t="shared" si="108"/>
        <v/>
      </c>
      <c r="L768" s="287" t="str">
        <f t="shared" si="109"/>
        <v/>
      </c>
      <c r="M768" s="290" t="str">
        <f t="shared" si="110"/>
        <v/>
      </c>
      <c r="N768" t="str">
        <f>IF($A768="","",IFERROR(INDEX(Prices[Category],MATCH($A768,Prices[Key],0)),"Uncategorized"))</f>
        <v/>
      </c>
      <c r="O768" s="291" t="str">
        <f t="shared" si="111"/>
        <v/>
      </c>
      <c r="P768" s="291" t="str">
        <f t="shared" si="112"/>
        <v/>
      </c>
    </row>
    <row r="769" spans="1:16" ht="15" customHeight="1" x14ac:dyDescent="0.2">
      <c r="A769" s="243" t="str">
        <f>IFERROR(INDEX('All Ticker P&amp;L'!$A$2:$A$1001,MATCH(ROWS($A$2:A769),'All Ticker P&amp;L'!$N$2:$N$1001,0)),"")</f>
        <v/>
      </c>
      <c r="B769" s="243" t="str">
        <f t="shared" si="104"/>
        <v/>
      </c>
      <c r="C769" s="243" t="str">
        <f t="shared" si="105"/>
        <v/>
      </c>
      <c r="D769" s="243" t="str">
        <f t="shared" si="106"/>
        <v/>
      </c>
      <c r="E769" s="265" t="str">
        <f>IF($A769="","",SUMIFS(Txn[Signed Units],Txn[Key],$A769))</f>
        <v/>
      </c>
      <c r="F769" s="287" t="str">
        <f>IF($A769="","",SUMIFS(Txn[Buy Cost],Txn[Key],$A769))</f>
        <v/>
      </c>
      <c r="G769" s="287" t="str">
        <f>IF($A769="","",SUMIFS(Txn[Sell Proceeds],Txn[Key],$A769))</f>
        <v/>
      </c>
      <c r="H769" s="288" t="str">
        <f>IF($A769="","",IFERROR(INDEX(Prices[Current Price],MATCH($A769,Prices[Key],0)),0))</f>
        <v/>
      </c>
      <c r="I769" s="289" t="str">
        <f>IF($A769="","",IFERROR(INDEX(Prices[FX to SGD],MATCH($A769,Prices[Key],0)),1))</f>
        <v/>
      </c>
      <c r="J769" s="287" t="str">
        <f t="shared" si="107"/>
        <v/>
      </c>
      <c r="K769" s="287" t="str">
        <f t="shared" si="108"/>
        <v/>
      </c>
      <c r="L769" s="287" t="str">
        <f t="shared" si="109"/>
        <v/>
      </c>
      <c r="M769" s="290" t="str">
        <f t="shared" si="110"/>
        <v/>
      </c>
      <c r="N769" t="str">
        <f>IF($A769="","",IFERROR(INDEX(Prices[Category],MATCH($A769,Prices[Key],0)),"Uncategorized"))</f>
        <v/>
      </c>
      <c r="O769" s="291" t="str">
        <f t="shared" si="111"/>
        <v/>
      </c>
      <c r="P769" s="291" t="str">
        <f t="shared" si="112"/>
        <v/>
      </c>
    </row>
    <row r="770" spans="1:16" ht="15" customHeight="1" x14ac:dyDescent="0.2">
      <c r="A770" s="243" t="str">
        <f>IFERROR(INDEX('All Ticker P&amp;L'!$A$2:$A$1001,MATCH(ROWS($A$2:A770),'All Ticker P&amp;L'!$N$2:$N$1001,0)),"")</f>
        <v/>
      </c>
      <c r="B770" s="243" t="str">
        <f t="shared" ref="B770:B833" si="113">IF($A770="","",LEFT($A770,FIND(":",$A770)-1))</f>
        <v/>
      </c>
      <c r="C770" s="243" t="str">
        <f t="shared" ref="C770:C833" si="114">IF($A770="","",MID($A770,FIND(":",$A770)+1,FIND(":",$A770,FIND(":",$A770)+1)-FIND(":",$A770)-1))</f>
        <v/>
      </c>
      <c r="D770" s="243" t="str">
        <f t="shared" ref="D770:D833" si="115">IF($A770="","",RIGHT($A770,LEN($A770)-FIND(":",$A770,FIND(":",$A770)+1)))</f>
        <v/>
      </c>
      <c r="E770" s="265" t="str">
        <f>IF($A770="","",SUMIFS(Txn[Signed Units],Txn[Key],$A770))</f>
        <v/>
      </c>
      <c r="F770" s="287" t="str">
        <f>IF($A770="","",SUMIFS(Txn[Buy Cost],Txn[Key],$A770))</f>
        <v/>
      </c>
      <c r="G770" s="287" t="str">
        <f>IF($A770="","",SUMIFS(Txn[Sell Proceeds],Txn[Key],$A770))</f>
        <v/>
      </c>
      <c r="H770" s="288" t="str">
        <f>IF($A770="","",IFERROR(INDEX(Prices[Current Price],MATCH($A770,Prices[Key],0)),0))</f>
        <v/>
      </c>
      <c r="I770" s="289" t="str">
        <f>IF($A770="","",IFERROR(INDEX(Prices[FX to SGD],MATCH($A770,Prices[Key],0)),1))</f>
        <v/>
      </c>
      <c r="J770" s="287" t="str">
        <f t="shared" ref="J770:J833" si="116">IF($A770="","",E770*H770)</f>
        <v/>
      </c>
      <c r="K770" s="287" t="str">
        <f t="shared" ref="K770:K833" si="117">IF($A770="","",J770+G770-F770)</f>
        <v/>
      </c>
      <c r="L770" s="287" t="str">
        <f t="shared" ref="L770:L833" si="118">IF($A770="","",K770*I770)</f>
        <v/>
      </c>
      <c r="M770" s="290" t="str">
        <f t="shared" ref="M770:M833" si="119">IF($A770="","",IFERROR(K770/F770,0))</f>
        <v/>
      </c>
      <c r="N770" t="str">
        <f>IF($A770="","",IFERROR(INDEX(Prices[Category],MATCH($A770,Prices[Key],0)),"Uncategorized"))</f>
        <v/>
      </c>
      <c r="O770" s="291" t="str">
        <f t="shared" ref="O770:O833" si="120">IF($A770="","",$J770*$I770)</f>
        <v/>
      </c>
      <c r="P770" s="291" t="str">
        <f t="shared" ref="P770:P833" si="121">IF($A770="","",$L770)</f>
        <v/>
      </c>
    </row>
    <row r="771" spans="1:16" ht="15" customHeight="1" x14ac:dyDescent="0.2">
      <c r="A771" s="243" t="str">
        <f>IFERROR(INDEX('All Ticker P&amp;L'!$A$2:$A$1001,MATCH(ROWS($A$2:A771),'All Ticker P&amp;L'!$N$2:$N$1001,0)),"")</f>
        <v/>
      </c>
      <c r="B771" s="243" t="str">
        <f t="shared" si="113"/>
        <v/>
      </c>
      <c r="C771" s="243" t="str">
        <f t="shared" si="114"/>
        <v/>
      </c>
      <c r="D771" s="243" t="str">
        <f t="shared" si="115"/>
        <v/>
      </c>
      <c r="E771" s="265" t="str">
        <f>IF($A771="","",SUMIFS(Txn[Signed Units],Txn[Key],$A771))</f>
        <v/>
      </c>
      <c r="F771" s="287" t="str">
        <f>IF($A771="","",SUMIFS(Txn[Buy Cost],Txn[Key],$A771))</f>
        <v/>
      </c>
      <c r="G771" s="287" t="str">
        <f>IF($A771="","",SUMIFS(Txn[Sell Proceeds],Txn[Key],$A771))</f>
        <v/>
      </c>
      <c r="H771" s="288" t="str">
        <f>IF($A771="","",IFERROR(INDEX(Prices[Current Price],MATCH($A771,Prices[Key],0)),0))</f>
        <v/>
      </c>
      <c r="I771" s="289" t="str">
        <f>IF($A771="","",IFERROR(INDEX(Prices[FX to SGD],MATCH($A771,Prices[Key],0)),1))</f>
        <v/>
      </c>
      <c r="J771" s="287" t="str">
        <f t="shared" si="116"/>
        <v/>
      </c>
      <c r="K771" s="287" t="str">
        <f t="shared" si="117"/>
        <v/>
      </c>
      <c r="L771" s="287" t="str">
        <f t="shared" si="118"/>
        <v/>
      </c>
      <c r="M771" s="290" t="str">
        <f t="shared" si="119"/>
        <v/>
      </c>
      <c r="N771" t="str">
        <f>IF($A771="","",IFERROR(INDEX(Prices[Category],MATCH($A771,Prices[Key],0)),"Uncategorized"))</f>
        <v/>
      </c>
      <c r="O771" s="291" t="str">
        <f t="shared" si="120"/>
        <v/>
      </c>
      <c r="P771" s="291" t="str">
        <f t="shared" si="121"/>
        <v/>
      </c>
    </row>
    <row r="772" spans="1:16" ht="15" customHeight="1" x14ac:dyDescent="0.2">
      <c r="A772" s="243" t="str">
        <f>IFERROR(INDEX('All Ticker P&amp;L'!$A$2:$A$1001,MATCH(ROWS($A$2:A772),'All Ticker P&amp;L'!$N$2:$N$1001,0)),"")</f>
        <v/>
      </c>
      <c r="B772" s="243" t="str">
        <f t="shared" si="113"/>
        <v/>
      </c>
      <c r="C772" s="243" t="str">
        <f t="shared" si="114"/>
        <v/>
      </c>
      <c r="D772" s="243" t="str">
        <f t="shared" si="115"/>
        <v/>
      </c>
      <c r="E772" s="265" t="str">
        <f>IF($A772="","",SUMIFS(Txn[Signed Units],Txn[Key],$A772))</f>
        <v/>
      </c>
      <c r="F772" s="287" t="str">
        <f>IF($A772="","",SUMIFS(Txn[Buy Cost],Txn[Key],$A772))</f>
        <v/>
      </c>
      <c r="G772" s="287" t="str">
        <f>IF($A772="","",SUMIFS(Txn[Sell Proceeds],Txn[Key],$A772))</f>
        <v/>
      </c>
      <c r="H772" s="288" t="str">
        <f>IF($A772="","",IFERROR(INDEX(Prices[Current Price],MATCH($A772,Prices[Key],0)),0))</f>
        <v/>
      </c>
      <c r="I772" s="289" t="str">
        <f>IF($A772="","",IFERROR(INDEX(Prices[FX to SGD],MATCH($A772,Prices[Key],0)),1))</f>
        <v/>
      </c>
      <c r="J772" s="287" t="str">
        <f t="shared" si="116"/>
        <v/>
      </c>
      <c r="K772" s="287" t="str">
        <f t="shared" si="117"/>
        <v/>
      </c>
      <c r="L772" s="287" t="str">
        <f t="shared" si="118"/>
        <v/>
      </c>
      <c r="M772" s="290" t="str">
        <f t="shared" si="119"/>
        <v/>
      </c>
      <c r="N772" t="str">
        <f>IF($A772="","",IFERROR(INDEX(Prices[Category],MATCH($A772,Prices[Key],0)),"Uncategorized"))</f>
        <v/>
      </c>
      <c r="O772" s="291" t="str">
        <f t="shared" si="120"/>
        <v/>
      </c>
      <c r="P772" s="291" t="str">
        <f t="shared" si="121"/>
        <v/>
      </c>
    </row>
    <row r="773" spans="1:16" ht="15" customHeight="1" x14ac:dyDescent="0.2">
      <c r="A773" s="243" t="str">
        <f>IFERROR(INDEX('All Ticker P&amp;L'!$A$2:$A$1001,MATCH(ROWS($A$2:A773),'All Ticker P&amp;L'!$N$2:$N$1001,0)),"")</f>
        <v/>
      </c>
      <c r="B773" s="243" t="str">
        <f t="shared" si="113"/>
        <v/>
      </c>
      <c r="C773" s="243" t="str">
        <f t="shared" si="114"/>
        <v/>
      </c>
      <c r="D773" s="243" t="str">
        <f t="shared" si="115"/>
        <v/>
      </c>
      <c r="E773" s="265" t="str">
        <f>IF($A773="","",SUMIFS(Txn[Signed Units],Txn[Key],$A773))</f>
        <v/>
      </c>
      <c r="F773" s="287" t="str">
        <f>IF($A773="","",SUMIFS(Txn[Buy Cost],Txn[Key],$A773))</f>
        <v/>
      </c>
      <c r="G773" s="287" t="str">
        <f>IF($A773="","",SUMIFS(Txn[Sell Proceeds],Txn[Key],$A773))</f>
        <v/>
      </c>
      <c r="H773" s="288" t="str">
        <f>IF($A773="","",IFERROR(INDEX(Prices[Current Price],MATCH($A773,Prices[Key],0)),0))</f>
        <v/>
      </c>
      <c r="I773" s="289" t="str">
        <f>IF($A773="","",IFERROR(INDEX(Prices[FX to SGD],MATCH($A773,Prices[Key],0)),1))</f>
        <v/>
      </c>
      <c r="J773" s="287" t="str">
        <f t="shared" si="116"/>
        <v/>
      </c>
      <c r="K773" s="287" t="str">
        <f t="shared" si="117"/>
        <v/>
      </c>
      <c r="L773" s="287" t="str">
        <f t="shared" si="118"/>
        <v/>
      </c>
      <c r="M773" s="290" t="str">
        <f t="shared" si="119"/>
        <v/>
      </c>
      <c r="N773" t="str">
        <f>IF($A773="","",IFERROR(INDEX(Prices[Category],MATCH($A773,Prices[Key],0)),"Uncategorized"))</f>
        <v/>
      </c>
      <c r="O773" s="291" t="str">
        <f t="shared" si="120"/>
        <v/>
      </c>
      <c r="P773" s="291" t="str">
        <f t="shared" si="121"/>
        <v/>
      </c>
    </row>
    <row r="774" spans="1:16" ht="15" customHeight="1" x14ac:dyDescent="0.2">
      <c r="A774" s="243" t="str">
        <f>IFERROR(INDEX('All Ticker P&amp;L'!$A$2:$A$1001,MATCH(ROWS($A$2:A774),'All Ticker P&amp;L'!$N$2:$N$1001,0)),"")</f>
        <v/>
      </c>
      <c r="B774" s="243" t="str">
        <f t="shared" si="113"/>
        <v/>
      </c>
      <c r="C774" s="243" t="str">
        <f t="shared" si="114"/>
        <v/>
      </c>
      <c r="D774" s="243" t="str">
        <f t="shared" si="115"/>
        <v/>
      </c>
      <c r="E774" s="265" t="str">
        <f>IF($A774="","",SUMIFS(Txn[Signed Units],Txn[Key],$A774))</f>
        <v/>
      </c>
      <c r="F774" s="287" t="str">
        <f>IF($A774="","",SUMIFS(Txn[Buy Cost],Txn[Key],$A774))</f>
        <v/>
      </c>
      <c r="G774" s="287" t="str">
        <f>IF($A774="","",SUMIFS(Txn[Sell Proceeds],Txn[Key],$A774))</f>
        <v/>
      </c>
      <c r="H774" s="288" t="str">
        <f>IF($A774="","",IFERROR(INDEX(Prices[Current Price],MATCH($A774,Prices[Key],0)),0))</f>
        <v/>
      </c>
      <c r="I774" s="289" t="str">
        <f>IF($A774="","",IFERROR(INDEX(Prices[FX to SGD],MATCH($A774,Prices[Key],0)),1))</f>
        <v/>
      </c>
      <c r="J774" s="287" t="str">
        <f t="shared" si="116"/>
        <v/>
      </c>
      <c r="K774" s="287" t="str">
        <f t="shared" si="117"/>
        <v/>
      </c>
      <c r="L774" s="287" t="str">
        <f t="shared" si="118"/>
        <v/>
      </c>
      <c r="M774" s="290" t="str">
        <f t="shared" si="119"/>
        <v/>
      </c>
      <c r="N774" t="str">
        <f>IF($A774="","",IFERROR(INDEX(Prices[Category],MATCH($A774,Prices[Key],0)),"Uncategorized"))</f>
        <v/>
      </c>
      <c r="O774" s="291" t="str">
        <f t="shared" si="120"/>
        <v/>
      </c>
      <c r="P774" s="291" t="str">
        <f t="shared" si="121"/>
        <v/>
      </c>
    </row>
    <row r="775" spans="1:16" ht="15" customHeight="1" x14ac:dyDescent="0.2">
      <c r="A775" s="243" t="str">
        <f>IFERROR(INDEX('All Ticker P&amp;L'!$A$2:$A$1001,MATCH(ROWS($A$2:A775),'All Ticker P&amp;L'!$N$2:$N$1001,0)),"")</f>
        <v/>
      </c>
      <c r="B775" s="243" t="str">
        <f t="shared" si="113"/>
        <v/>
      </c>
      <c r="C775" s="243" t="str">
        <f t="shared" si="114"/>
        <v/>
      </c>
      <c r="D775" s="243" t="str">
        <f t="shared" si="115"/>
        <v/>
      </c>
      <c r="E775" s="265" t="str">
        <f>IF($A775="","",SUMIFS(Txn[Signed Units],Txn[Key],$A775))</f>
        <v/>
      </c>
      <c r="F775" s="287" t="str">
        <f>IF($A775="","",SUMIFS(Txn[Buy Cost],Txn[Key],$A775))</f>
        <v/>
      </c>
      <c r="G775" s="287" t="str">
        <f>IF($A775="","",SUMIFS(Txn[Sell Proceeds],Txn[Key],$A775))</f>
        <v/>
      </c>
      <c r="H775" s="288" t="str">
        <f>IF($A775="","",IFERROR(INDEX(Prices[Current Price],MATCH($A775,Prices[Key],0)),0))</f>
        <v/>
      </c>
      <c r="I775" s="289" t="str">
        <f>IF($A775="","",IFERROR(INDEX(Prices[FX to SGD],MATCH($A775,Prices[Key],0)),1))</f>
        <v/>
      </c>
      <c r="J775" s="287" t="str">
        <f t="shared" si="116"/>
        <v/>
      </c>
      <c r="K775" s="287" t="str">
        <f t="shared" si="117"/>
        <v/>
      </c>
      <c r="L775" s="287" t="str">
        <f t="shared" si="118"/>
        <v/>
      </c>
      <c r="M775" s="290" t="str">
        <f t="shared" si="119"/>
        <v/>
      </c>
      <c r="N775" t="str">
        <f>IF($A775="","",IFERROR(INDEX(Prices[Category],MATCH($A775,Prices[Key],0)),"Uncategorized"))</f>
        <v/>
      </c>
      <c r="O775" s="291" t="str">
        <f t="shared" si="120"/>
        <v/>
      </c>
      <c r="P775" s="291" t="str">
        <f t="shared" si="121"/>
        <v/>
      </c>
    </row>
    <row r="776" spans="1:16" ht="15" customHeight="1" x14ac:dyDescent="0.2">
      <c r="A776" s="243" t="str">
        <f>IFERROR(INDEX('All Ticker P&amp;L'!$A$2:$A$1001,MATCH(ROWS($A$2:A776),'All Ticker P&amp;L'!$N$2:$N$1001,0)),"")</f>
        <v/>
      </c>
      <c r="B776" s="243" t="str">
        <f t="shared" si="113"/>
        <v/>
      </c>
      <c r="C776" s="243" t="str">
        <f t="shared" si="114"/>
        <v/>
      </c>
      <c r="D776" s="243" t="str">
        <f t="shared" si="115"/>
        <v/>
      </c>
      <c r="E776" s="265" t="str">
        <f>IF($A776="","",SUMIFS(Txn[Signed Units],Txn[Key],$A776))</f>
        <v/>
      </c>
      <c r="F776" s="287" t="str">
        <f>IF($A776="","",SUMIFS(Txn[Buy Cost],Txn[Key],$A776))</f>
        <v/>
      </c>
      <c r="G776" s="287" t="str">
        <f>IF($A776="","",SUMIFS(Txn[Sell Proceeds],Txn[Key],$A776))</f>
        <v/>
      </c>
      <c r="H776" s="288" t="str">
        <f>IF($A776="","",IFERROR(INDEX(Prices[Current Price],MATCH($A776,Prices[Key],0)),0))</f>
        <v/>
      </c>
      <c r="I776" s="289" t="str">
        <f>IF($A776="","",IFERROR(INDEX(Prices[FX to SGD],MATCH($A776,Prices[Key],0)),1))</f>
        <v/>
      </c>
      <c r="J776" s="287" t="str">
        <f t="shared" si="116"/>
        <v/>
      </c>
      <c r="K776" s="287" t="str">
        <f t="shared" si="117"/>
        <v/>
      </c>
      <c r="L776" s="287" t="str">
        <f t="shared" si="118"/>
        <v/>
      </c>
      <c r="M776" s="290" t="str">
        <f t="shared" si="119"/>
        <v/>
      </c>
      <c r="N776" t="str">
        <f>IF($A776="","",IFERROR(INDEX(Prices[Category],MATCH($A776,Prices[Key],0)),"Uncategorized"))</f>
        <v/>
      </c>
      <c r="O776" s="291" t="str">
        <f t="shared" si="120"/>
        <v/>
      </c>
      <c r="P776" s="291" t="str">
        <f t="shared" si="121"/>
        <v/>
      </c>
    </row>
    <row r="777" spans="1:16" ht="15" customHeight="1" x14ac:dyDescent="0.2">
      <c r="A777" s="243" t="str">
        <f>IFERROR(INDEX('All Ticker P&amp;L'!$A$2:$A$1001,MATCH(ROWS($A$2:A777),'All Ticker P&amp;L'!$N$2:$N$1001,0)),"")</f>
        <v/>
      </c>
      <c r="B777" s="243" t="str">
        <f t="shared" si="113"/>
        <v/>
      </c>
      <c r="C777" s="243" t="str">
        <f t="shared" si="114"/>
        <v/>
      </c>
      <c r="D777" s="243" t="str">
        <f t="shared" si="115"/>
        <v/>
      </c>
      <c r="E777" s="265" t="str">
        <f>IF($A777="","",SUMIFS(Txn[Signed Units],Txn[Key],$A777))</f>
        <v/>
      </c>
      <c r="F777" s="287" t="str">
        <f>IF($A777="","",SUMIFS(Txn[Buy Cost],Txn[Key],$A777))</f>
        <v/>
      </c>
      <c r="G777" s="287" t="str">
        <f>IF($A777="","",SUMIFS(Txn[Sell Proceeds],Txn[Key],$A777))</f>
        <v/>
      </c>
      <c r="H777" s="288" t="str">
        <f>IF($A777="","",IFERROR(INDEX(Prices[Current Price],MATCH($A777,Prices[Key],0)),0))</f>
        <v/>
      </c>
      <c r="I777" s="289" t="str">
        <f>IF($A777="","",IFERROR(INDEX(Prices[FX to SGD],MATCH($A777,Prices[Key],0)),1))</f>
        <v/>
      </c>
      <c r="J777" s="287" t="str">
        <f t="shared" si="116"/>
        <v/>
      </c>
      <c r="K777" s="287" t="str">
        <f t="shared" si="117"/>
        <v/>
      </c>
      <c r="L777" s="287" t="str">
        <f t="shared" si="118"/>
        <v/>
      </c>
      <c r="M777" s="290" t="str">
        <f t="shared" si="119"/>
        <v/>
      </c>
      <c r="N777" t="str">
        <f>IF($A777="","",IFERROR(INDEX(Prices[Category],MATCH($A777,Prices[Key],0)),"Uncategorized"))</f>
        <v/>
      </c>
      <c r="O777" s="291" t="str">
        <f t="shared" si="120"/>
        <v/>
      </c>
      <c r="P777" s="291" t="str">
        <f t="shared" si="121"/>
        <v/>
      </c>
    </row>
    <row r="778" spans="1:16" ht="15" customHeight="1" x14ac:dyDescent="0.2">
      <c r="A778" s="243" t="str">
        <f>IFERROR(INDEX('All Ticker P&amp;L'!$A$2:$A$1001,MATCH(ROWS($A$2:A778),'All Ticker P&amp;L'!$N$2:$N$1001,0)),"")</f>
        <v/>
      </c>
      <c r="B778" s="243" t="str">
        <f t="shared" si="113"/>
        <v/>
      </c>
      <c r="C778" s="243" t="str">
        <f t="shared" si="114"/>
        <v/>
      </c>
      <c r="D778" s="243" t="str">
        <f t="shared" si="115"/>
        <v/>
      </c>
      <c r="E778" s="265" t="str">
        <f>IF($A778="","",SUMIFS(Txn[Signed Units],Txn[Key],$A778))</f>
        <v/>
      </c>
      <c r="F778" s="287" t="str">
        <f>IF($A778="","",SUMIFS(Txn[Buy Cost],Txn[Key],$A778))</f>
        <v/>
      </c>
      <c r="G778" s="287" t="str">
        <f>IF($A778="","",SUMIFS(Txn[Sell Proceeds],Txn[Key],$A778))</f>
        <v/>
      </c>
      <c r="H778" s="288" t="str">
        <f>IF($A778="","",IFERROR(INDEX(Prices[Current Price],MATCH($A778,Prices[Key],0)),0))</f>
        <v/>
      </c>
      <c r="I778" s="289" t="str">
        <f>IF($A778="","",IFERROR(INDEX(Prices[FX to SGD],MATCH($A778,Prices[Key],0)),1))</f>
        <v/>
      </c>
      <c r="J778" s="287" t="str">
        <f t="shared" si="116"/>
        <v/>
      </c>
      <c r="K778" s="287" t="str">
        <f t="shared" si="117"/>
        <v/>
      </c>
      <c r="L778" s="287" t="str">
        <f t="shared" si="118"/>
        <v/>
      </c>
      <c r="M778" s="290" t="str">
        <f t="shared" si="119"/>
        <v/>
      </c>
      <c r="N778" t="str">
        <f>IF($A778="","",IFERROR(INDEX(Prices[Category],MATCH($A778,Prices[Key],0)),"Uncategorized"))</f>
        <v/>
      </c>
      <c r="O778" s="291" t="str">
        <f t="shared" si="120"/>
        <v/>
      </c>
      <c r="P778" s="291" t="str">
        <f t="shared" si="121"/>
        <v/>
      </c>
    </row>
    <row r="779" spans="1:16" ht="15" customHeight="1" x14ac:dyDescent="0.2">
      <c r="A779" s="243" t="str">
        <f>IFERROR(INDEX('All Ticker P&amp;L'!$A$2:$A$1001,MATCH(ROWS($A$2:A779),'All Ticker P&amp;L'!$N$2:$N$1001,0)),"")</f>
        <v/>
      </c>
      <c r="B779" s="243" t="str">
        <f t="shared" si="113"/>
        <v/>
      </c>
      <c r="C779" s="243" t="str">
        <f t="shared" si="114"/>
        <v/>
      </c>
      <c r="D779" s="243" t="str">
        <f t="shared" si="115"/>
        <v/>
      </c>
      <c r="E779" s="265" t="str">
        <f>IF($A779="","",SUMIFS(Txn[Signed Units],Txn[Key],$A779))</f>
        <v/>
      </c>
      <c r="F779" s="287" t="str">
        <f>IF($A779="","",SUMIFS(Txn[Buy Cost],Txn[Key],$A779))</f>
        <v/>
      </c>
      <c r="G779" s="287" t="str">
        <f>IF($A779="","",SUMIFS(Txn[Sell Proceeds],Txn[Key],$A779))</f>
        <v/>
      </c>
      <c r="H779" s="288" t="str">
        <f>IF($A779="","",IFERROR(INDEX(Prices[Current Price],MATCH($A779,Prices[Key],0)),0))</f>
        <v/>
      </c>
      <c r="I779" s="289" t="str">
        <f>IF($A779="","",IFERROR(INDEX(Prices[FX to SGD],MATCH($A779,Prices[Key],0)),1))</f>
        <v/>
      </c>
      <c r="J779" s="287" t="str">
        <f t="shared" si="116"/>
        <v/>
      </c>
      <c r="K779" s="287" t="str">
        <f t="shared" si="117"/>
        <v/>
      </c>
      <c r="L779" s="287" t="str">
        <f t="shared" si="118"/>
        <v/>
      </c>
      <c r="M779" s="290" t="str">
        <f t="shared" si="119"/>
        <v/>
      </c>
      <c r="N779" t="str">
        <f>IF($A779="","",IFERROR(INDEX(Prices[Category],MATCH($A779,Prices[Key],0)),"Uncategorized"))</f>
        <v/>
      </c>
      <c r="O779" s="291" t="str">
        <f t="shared" si="120"/>
        <v/>
      </c>
      <c r="P779" s="291" t="str">
        <f t="shared" si="121"/>
        <v/>
      </c>
    </row>
    <row r="780" spans="1:16" ht="15" customHeight="1" x14ac:dyDescent="0.2">
      <c r="A780" s="243" t="str">
        <f>IFERROR(INDEX('All Ticker P&amp;L'!$A$2:$A$1001,MATCH(ROWS($A$2:A780),'All Ticker P&amp;L'!$N$2:$N$1001,0)),"")</f>
        <v/>
      </c>
      <c r="B780" s="243" t="str">
        <f t="shared" si="113"/>
        <v/>
      </c>
      <c r="C780" s="243" t="str">
        <f t="shared" si="114"/>
        <v/>
      </c>
      <c r="D780" s="243" t="str">
        <f t="shared" si="115"/>
        <v/>
      </c>
      <c r="E780" s="265" t="str">
        <f>IF($A780="","",SUMIFS(Txn[Signed Units],Txn[Key],$A780))</f>
        <v/>
      </c>
      <c r="F780" s="287" t="str">
        <f>IF($A780="","",SUMIFS(Txn[Buy Cost],Txn[Key],$A780))</f>
        <v/>
      </c>
      <c r="G780" s="287" t="str">
        <f>IF($A780="","",SUMIFS(Txn[Sell Proceeds],Txn[Key],$A780))</f>
        <v/>
      </c>
      <c r="H780" s="288" t="str">
        <f>IF($A780="","",IFERROR(INDEX(Prices[Current Price],MATCH($A780,Prices[Key],0)),0))</f>
        <v/>
      </c>
      <c r="I780" s="289" t="str">
        <f>IF($A780="","",IFERROR(INDEX(Prices[FX to SGD],MATCH($A780,Prices[Key],0)),1))</f>
        <v/>
      </c>
      <c r="J780" s="287" t="str">
        <f t="shared" si="116"/>
        <v/>
      </c>
      <c r="K780" s="287" t="str">
        <f t="shared" si="117"/>
        <v/>
      </c>
      <c r="L780" s="287" t="str">
        <f t="shared" si="118"/>
        <v/>
      </c>
      <c r="M780" s="290" t="str">
        <f t="shared" si="119"/>
        <v/>
      </c>
      <c r="N780" t="str">
        <f>IF($A780="","",IFERROR(INDEX(Prices[Category],MATCH($A780,Prices[Key],0)),"Uncategorized"))</f>
        <v/>
      </c>
      <c r="O780" s="291" t="str">
        <f t="shared" si="120"/>
        <v/>
      </c>
      <c r="P780" s="291" t="str">
        <f t="shared" si="121"/>
        <v/>
      </c>
    </row>
    <row r="781" spans="1:16" ht="15" customHeight="1" x14ac:dyDescent="0.2">
      <c r="A781" s="243" t="str">
        <f>IFERROR(INDEX('All Ticker P&amp;L'!$A$2:$A$1001,MATCH(ROWS($A$2:A781),'All Ticker P&amp;L'!$N$2:$N$1001,0)),"")</f>
        <v/>
      </c>
      <c r="B781" s="243" t="str">
        <f t="shared" si="113"/>
        <v/>
      </c>
      <c r="C781" s="243" t="str">
        <f t="shared" si="114"/>
        <v/>
      </c>
      <c r="D781" s="243" t="str">
        <f t="shared" si="115"/>
        <v/>
      </c>
      <c r="E781" s="265" t="str">
        <f>IF($A781="","",SUMIFS(Txn[Signed Units],Txn[Key],$A781))</f>
        <v/>
      </c>
      <c r="F781" s="287" t="str">
        <f>IF($A781="","",SUMIFS(Txn[Buy Cost],Txn[Key],$A781))</f>
        <v/>
      </c>
      <c r="G781" s="287" t="str">
        <f>IF($A781="","",SUMIFS(Txn[Sell Proceeds],Txn[Key],$A781))</f>
        <v/>
      </c>
      <c r="H781" s="288" t="str">
        <f>IF($A781="","",IFERROR(INDEX(Prices[Current Price],MATCH($A781,Prices[Key],0)),0))</f>
        <v/>
      </c>
      <c r="I781" s="289" t="str">
        <f>IF($A781="","",IFERROR(INDEX(Prices[FX to SGD],MATCH($A781,Prices[Key],0)),1))</f>
        <v/>
      </c>
      <c r="J781" s="287" t="str">
        <f t="shared" si="116"/>
        <v/>
      </c>
      <c r="K781" s="287" t="str">
        <f t="shared" si="117"/>
        <v/>
      </c>
      <c r="L781" s="287" t="str">
        <f t="shared" si="118"/>
        <v/>
      </c>
      <c r="M781" s="290" t="str">
        <f t="shared" si="119"/>
        <v/>
      </c>
      <c r="N781" t="str">
        <f>IF($A781="","",IFERROR(INDEX(Prices[Category],MATCH($A781,Prices[Key],0)),"Uncategorized"))</f>
        <v/>
      </c>
      <c r="O781" s="291" t="str">
        <f t="shared" si="120"/>
        <v/>
      </c>
      <c r="P781" s="291" t="str">
        <f t="shared" si="121"/>
        <v/>
      </c>
    </row>
    <row r="782" spans="1:16" ht="15" customHeight="1" x14ac:dyDescent="0.2">
      <c r="A782" s="243" t="str">
        <f>IFERROR(INDEX('All Ticker P&amp;L'!$A$2:$A$1001,MATCH(ROWS($A$2:A782),'All Ticker P&amp;L'!$N$2:$N$1001,0)),"")</f>
        <v/>
      </c>
      <c r="B782" s="243" t="str">
        <f t="shared" si="113"/>
        <v/>
      </c>
      <c r="C782" s="243" t="str">
        <f t="shared" si="114"/>
        <v/>
      </c>
      <c r="D782" s="243" t="str">
        <f t="shared" si="115"/>
        <v/>
      </c>
      <c r="E782" s="265" t="str">
        <f>IF($A782="","",SUMIFS(Txn[Signed Units],Txn[Key],$A782))</f>
        <v/>
      </c>
      <c r="F782" s="287" t="str">
        <f>IF($A782="","",SUMIFS(Txn[Buy Cost],Txn[Key],$A782))</f>
        <v/>
      </c>
      <c r="G782" s="287" t="str">
        <f>IF($A782="","",SUMIFS(Txn[Sell Proceeds],Txn[Key],$A782))</f>
        <v/>
      </c>
      <c r="H782" s="288" t="str">
        <f>IF($A782="","",IFERROR(INDEX(Prices[Current Price],MATCH($A782,Prices[Key],0)),0))</f>
        <v/>
      </c>
      <c r="I782" s="289" t="str">
        <f>IF($A782="","",IFERROR(INDEX(Prices[FX to SGD],MATCH($A782,Prices[Key],0)),1))</f>
        <v/>
      </c>
      <c r="J782" s="287" t="str">
        <f t="shared" si="116"/>
        <v/>
      </c>
      <c r="K782" s="287" t="str">
        <f t="shared" si="117"/>
        <v/>
      </c>
      <c r="L782" s="287" t="str">
        <f t="shared" si="118"/>
        <v/>
      </c>
      <c r="M782" s="290" t="str">
        <f t="shared" si="119"/>
        <v/>
      </c>
      <c r="N782" t="str">
        <f>IF($A782="","",IFERROR(INDEX(Prices[Category],MATCH($A782,Prices[Key],0)),"Uncategorized"))</f>
        <v/>
      </c>
      <c r="O782" s="291" t="str">
        <f t="shared" si="120"/>
        <v/>
      </c>
      <c r="P782" s="291" t="str">
        <f t="shared" si="121"/>
        <v/>
      </c>
    </row>
    <row r="783" spans="1:16" ht="15" customHeight="1" x14ac:dyDescent="0.2">
      <c r="A783" s="243" t="str">
        <f>IFERROR(INDEX('All Ticker P&amp;L'!$A$2:$A$1001,MATCH(ROWS($A$2:A783),'All Ticker P&amp;L'!$N$2:$N$1001,0)),"")</f>
        <v/>
      </c>
      <c r="B783" s="243" t="str">
        <f t="shared" si="113"/>
        <v/>
      </c>
      <c r="C783" s="243" t="str">
        <f t="shared" si="114"/>
        <v/>
      </c>
      <c r="D783" s="243" t="str">
        <f t="shared" si="115"/>
        <v/>
      </c>
      <c r="E783" s="265" t="str">
        <f>IF($A783="","",SUMIFS(Txn[Signed Units],Txn[Key],$A783))</f>
        <v/>
      </c>
      <c r="F783" s="287" t="str">
        <f>IF($A783="","",SUMIFS(Txn[Buy Cost],Txn[Key],$A783))</f>
        <v/>
      </c>
      <c r="G783" s="287" t="str">
        <f>IF($A783="","",SUMIFS(Txn[Sell Proceeds],Txn[Key],$A783))</f>
        <v/>
      </c>
      <c r="H783" s="288" t="str">
        <f>IF($A783="","",IFERROR(INDEX(Prices[Current Price],MATCH($A783,Prices[Key],0)),0))</f>
        <v/>
      </c>
      <c r="I783" s="289" t="str">
        <f>IF($A783="","",IFERROR(INDEX(Prices[FX to SGD],MATCH($A783,Prices[Key],0)),1))</f>
        <v/>
      </c>
      <c r="J783" s="287" t="str">
        <f t="shared" si="116"/>
        <v/>
      </c>
      <c r="K783" s="287" t="str">
        <f t="shared" si="117"/>
        <v/>
      </c>
      <c r="L783" s="287" t="str">
        <f t="shared" si="118"/>
        <v/>
      </c>
      <c r="M783" s="290" t="str">
        <f t="shared" si="119"/>
        <v/>
      </c>
      <c r="N783" t="str">
        <f>IF($A783="","",IFERROR(INDEX(Prices[Category],MATCH($A783,Prices[Key],0)),"Uncategorized"))</f>
        <v/>
      </c>
      <c r="O783" s="291" t="str">
        <f t="shared" si="120"/>
        <v/>
      </c>
      <c r="P783" s="291" t="str">
        <f t="shared" si="121"/>
        <v/>
      </c>
    </row>
    <row r="784" spans="1:16" ht="15" customHeight="1" x14ac:dyDescent="0.2">
      <c r="A784" s="243" t="str">
        <f>IFERROR(INDEX('All Ticker P&amp;L'!$A$2:$A$1001,MATCH(ROWS($A$2:A784),'All Ticker P&amp;L'!$N$2:$N$1001,0)),"")</f>
        <v/>
      </c>
      <c r="B784" s="243" t="str">
        <f t="shared" si="113"/>
        <v/>
      </c>
      <c r="C784" s="243" t="str">
        <f t="shared" si="114"/>
        <v/>
      </c>
      <c r="D784" s="243" t="str">
        <f t="shared" si="115"/>
        <v/>
      </c>
      <c r="E784" s="265" t="str">
        <f>IF($A784="","",SUMIFS(Txn[Signed Units],Txn[Key],$A784))</f>
        <v/>
      </c>
      <c r="F784" s="287" t="str">
        <f>IF($A784="","",SUMIFS(Txn[Buy Cost],Txn[Key],$A784))</f>
        <v/>
      </c>
      <c r="G784" s="287" t="str">
        <f>IF($A784="","",SUMIFS(Txn[Sell Proceeds],Txn[Key],$A784))</f>
        <v/>
      </c>
      <c r="H784" s="288" t="str">
        <f>IF($A784="","",IFERROR(INDEX(Prices[Current Price],MATCH($A784,Prices[Key],0)),0))</f>
        <v/>
      </c>
      <c r="I784" s="289" t="str">
        <f>IF($A784="","",IFERROR(INDEX(Prices[FX to SGD],MATCH($A784,Prices[Key],0)),1))</f>
        <v/>
      </c>
      <c r="J784" s="287" t="str">
        <f t="shared" si="116"/>
        <v/>
      </c>
      <c r="K784" s="287" t="str">
        <f t="shared" si="117"/>
        <v/>
      </c>
      <c r="L784" s="287" t="str">
        <f t="shared" si="118"/>
        <v/>
      </c>
      <c r="M784" s="290" t="str">
        <f t="shared" si="119"/>
        <v/>
      </c>
      <c r="N784" t="str">
        <f>IF($A784="","",IFERROR(INDEX(Prices[Category],MATCH($A784,Prices[Key],0)),"Uncategorized"))</f>
        <v/>
      </c>
      <c r="O784" s="291" t="str">
        <f t="shared" si="120"/>
        <v/>
      </c>
      <c r="P784" s="291" t="str">
        <f t="shared" si="121"/>
        <v/>
      </c>
    </row>
    <row r="785" spans="1:16" ht="15" customHeight="1" x14ac:dyDescent="0.2">
      <c r="A785" s="243" t="str">
        <f>IFERROR(INDEX('All Ticker P&amp;L'!$A$2:$A$1001,MATCH(ROWS($A$2:A785),'All Ticker P&amp;L'!$N$2:$N$1001,0)),"")</f>
        <v/>
      </c>
      <c r="B785" s="243" t="str">
        <f t="shared" si="113"/>
        <v/>
      </c>
      <c r="C785" s="243" t="str">
        <f t="shared" si="114"/>
        <v/>
      </c>
      <c r="D785" s="243" t="str">
        <f t="shared" si="115"/>
        <v/>
      </c>
      <c r="E785" s="265" t="str">
        <f>IF($A785="","",SUMIFS(Txn[Signed Units],Txn[Key],$A785))</f>
        <v/>
      </c>
      <c r="F785" s="287" t="str">
        <f>IF($A785="","",SUMIFS(Txn[Buy Cost],Txn[Key],$A785))</f>
        <v/>
      </c>
      <c r="G785" s="287" t="str">
        <f>IF($A785="","",SUMIFS(Txn[Sell Proceeds],Txn[Key],$A785))</f>
        <v/>
      </c>
      <c r="H785" s="288" t="str">
        <f>IF($A785="","",IFERROR(INDEX(Prices[Current Price],MATCH($A785,Prices[Key],0)),0))</f>
        <v/>
      </c>
      <c r="I785" s="289" t="str">
        <f>IF($A785="","",IFERROR(INDEX(Prices[FX to SGD],MATCH($A785,Prices[Key],0)),1))</f>
        <v/>
      </c>
      <c r="J785" s="287" t="str">
        <f t="shared" si="116"/>
        <v/>
      </c>
      <c r="K785" s="287" t="str">
        <f t="shared" si="117"/>
        <v/>
      </c>
      <c r="L785" s="287" t="str">
        <f t="shared" si="118"/>
        <v/>
      </c>
      <c r="M785" s="290" t="str">
        <f t="shared" si="119"/>
        <v/>
      </c>
      <c r="N785" t="str">
        <f>IF($A785="","",IFERROR(INDEX(Prices[Category],MATCH($A785,Prices[Key],0)),"Uncategorized"))</f>
        <v/>
      </c>
      <c r="O785" s="291" t="str">
        <f t="shared" si="120"/>
        <v/>
      </c>
      <c r="P785" s="291" t="str">
        <f t="shared" si="121"/>
        <v/>
      </c>
    </row>
    <row r="786" spans="1:16" ht="15" customHeight="1" x14ac:dyDescent="0.2">
      <c r="A786" s="243" t="str">
        <f>IFERROR(INDEX('All Ticker P&amp;L'!$A$2:$A$1001,MATCH(ROWS($A$2:A786),'All Ticker P&amp;L'!$N$2:$N$1001,0)),"")</f>
        <v/>
      </c>
      <c r="B786" s="243" t="str">
        <f t="shared" si="113"/>
        <v/>
      </c>
      <c r="C786" s="243" t="str">
        <f t="shared" si="114"/>
        <v/>
      </c>
      <c r="D786" s="243" t="str">
        <f t="shared" si="115"/>
        <v/>
      </c>
      <c r="E786" s="265" t="str">
        <f>IF($A786="","",SUMIFS(Txn[Signed Units],Txn[Key],$A786))</f>
        <v/>
      </c>
      <c r="F786" s="287" t="str">
        <f>IF($A786="","",SUMIFS(Txn[Buy Cost],Txn[Key],$A786))</f>
        <v/>
      </c>
      <c r="G786" s="287" t="str">
        <f>IF($A786="","",SUMIFS(Txn[Sell Proceeds],Txn[Key],$A786))</f>
        <v/>
      </c>
      <c r="H786" s="288" t="str">
        <f>IF($A786="","",IFERROR(INDEX(Prices[Current Price],MATCH($A786,Prices[Key],0)),0))</f>
        <v/>
      </c>
      <c r="I786" s="289" t="str">
        <f>IF($A786="","",IFERROR(INDEX(Prices[FX to SGD],MATCH($A786,Prices[Key],0)),1))</f>
        <v/>
      </c>
      <c r="J786" s="287" t="str">
        <f t="shared" si="116"/>
        <v/>
      </c>
      <c r="K786" s="287" t="str">
        <f t="shared" si="117"/>
        <v/>
      </c>
      <c r="L786" s="287" t="str">
        <f t="shared" si="118"/>
        <v/>
      </c>
      <c r="M786" s="290" t="str">
        <f t="shared" si="119"/>
        <v/>
      </c>
      <c r="N786" t="str">
        <f>IF($A786="","",IFERROR(INDEX(Prices[Category],MATCH($A786,Prices[Key],0)),"Uncategorized"))</f>
        <v/>
      </c>
      <c r="O786" s="291" t="str">
        <f t="shared" si="120"/>
        <v/>
      </c>
      <c r="P786" s="291" t="str">
        <f t="shared" si="121"/>
        <v/>
      </c>
    </row>
    <row r="787" spans="1:16" ht="15" customHeight="1" x14ac:dyDescent="0.2">
      <c r="A787" s="243" t="str">
        <f>IFERROR(INDEX('All Ticker P&amp;L'!$A$2:$A$1001,MATCH(ROWS($A$2:A787),'All Ticker P&amp;L'!$N$2:$N$1001,0)),"")</f>
        <v/>
      </c>
      <c r="B787" s="243" t="str">
        <f t="shared" si="113"/>
        <v/>
      </c>
      <c r="C787" s="243" t="str">
        <f t="shared" si="114"/>
        <v/>
      </c>
      <c r="D787" s="243" t="str">
        <f t="shared" si="115"/>
        <v/>
      </c>
      <c r="E787" s="265" t="str">
        <f>IF($A787="","",SUMIFS(Txn[Signed Units],Txn[Key],$A787))</f>
        <v/>
      </c>
      <c r="F787" s="287" t="str">
        <f>IF($A787="","",SUMIFS(Txn[Buy Cost],Txn[Key],$A787))</f>
        <v/>
      </c>
      <c r="G787" s="287" t="str">
        <f>IF($A787="","",SUMIFS(Txn[Sell Proceeds],Txn[Key],$A787))</f>
        <v/>
      </c>
      <c r="H787" s="288" t="str">
        <f>IF($A787="","",IFERROR(INDEX(Prices[Current Price],MATCH($A787,Prices[Key],0)),0))</f>
        <v/>
      </c>
      <c r="I787" s="289" t="str">
        <f>IF($A787="","",IFERROR(INDEX(Prices[FX to SGD],MATCH($A787,Prices[Key],0)),1))</f>
        <v/>
      </c>
      <c r="J787" s="287" t="str">
        <f t="shared" si="116"/>
        <v/>
      </c>
      <c r="K787" s="287" t="str">
        <f t="shared" si="117"/>
        <v/>
      </c>
      <c r="L787" s="287" t="str">
        <f t="shared" si="118"/>
        <v/>
      </c>
      <c r="M787" s="290" t="str">
        <f t="shared" si="119"/>
        <v/>
      </c>
      <c r="N787" t="str">
        <f>IF($A787="","",IFERROR(INDEX(Prices[Category],MATCH($A787,Prices[Key],0)),"Uncategorized"))</f>
        <v/>
      </c>
      <c r="O787" s="291" t="str">
        <f t="shared" si="120"/>
        <v/>
      </c>
      <c r="P787" s="291" t="str">
        <f t="shared" si="121"/>
        <v/>
      </c>
    </row>
    <row r="788" spans="1:16" ht="15" customHeight="1" x14ac:dyDescent="0.2">
      <c r="A788" s="243" t="str">
        <f>IFERROR(INDEX('All Ticker P&amp;L'!$A$2:$A$1001,MATCH(ROWS($A$2:A788),'All Ticker P&amp;L'!$N$2:$N$1001,0)),"")</f>
        <v/>
      </c>
      <c r="B788" s="243" t="str">
        <f t="shared" si="113"/>
        <v/>
      </c>
      <c r="C788" s="243" t="str">
        <f t="shared" si="114"/>
        <v/>
      </c>
      <c r="D788" s="243" t="str">
        <f t="shared" si="115"/>
        <v/>
      </c>
      <c r="E788" s="265" t="str">
        <f>IF($A788="","",SUMIFS(Txn[Signed Units],Txn[Key],$A788))</f>
        <v/>
      </c>
      <c r="F788" s="287" t="str">
        <f>IF($A788="","",SUMIFS(Txn[Buy Cost],Txn[Key],$A788))</f>
        <v/>
      </c>
      <c r="G788" s="287" t="str">
        <f>IF($A788="","",SUMIFS(Txn[Sell Proceeds],Txn[Key],$A788))</f>
        <v/>
      </c>
      <c r="H788" s="288" t="str">
        <f>IF($A788="","",IFERROR(INDEX(Prices[Current Price],MATCH($A788,Prices[Key],0)),0))</f>
        <v/>
      </c>
      <c r="I788" s="289" t="str">
        <f>IF($A788="","",IFERROR(INDEX(Prices[FX to SGD],MATCH($A788,Prices[Key],0)),1))</f>
        <v/>
      </c>
      <c r="J788" s="287" t="str">
        <f t="shared" si="116"/>
        <v/>
      </c>
      <c r="K788" s="287" t="str">
        <f t="shared" si="117"/>
        <v/>
      </c>
      <c r="L788" s="287" t="str">
        <f t="shared" si="118"/>
        <v/>
      </c>
      <c r="M788" s="290" t="str">
        <f t="shared" si="119"/>
        <v/>
      </c>
      <c r="N788" t="str">
        <f>IF($A788="","",IFERROR(INDEX(Prices[Category],MATCH($A788,Prices[Key],0)),"Uncategorized"))</f>
        <v/>
      </c>
      <c r="O788" s="291" t="str">
        <f t="shared" si="120"/>
        <v/>
      </c>
      <c r="P788" s="291" t="str">
        <f t="shared" si="121"/>
        <v/>
      </c>
    </row>
    <row r="789" spans="1:16" ht="15" customHeight="1" x14ac:dyDescent="0.2">
      <c r="A789" s="243" t="str">
        <f>IFERROR(INDEX('All Ticker P&amp;L'!$A$2:$A$1001,MATCH(ROWS($A$2:A789),'All Ticker P&amp;L'!$N$2:$N$1001,0)),"")</f>
        <v/>
      </c>
      <c r="B789" s="243" t="str">
        <f t="shared" si="113"/>
        <v/>
      </c>
      <c r="C789" s="243" t="str">
        <f t="shared" si="114"/>
        <v/>
      </c>
      <c r="D789" s="243" t="str">
        <f t="shared" si="115"/>
        <v/>
      </c>
      <c r="E789" s="265" t="str">
        <f>IF($A789="","",SUMIFS(Txn[Signed Units],Txn[Key],$A789))</f>
        <v/>
      </c>
      <c r="F789" s="287" t="str">
        <f>IF($A789="","",SUMIFS(Txn[Buy Cost],Txn[Key],$A789))</f>
        <v/>
      </c>
      <c r="G789" s="287" t="str">
        <f>IF($A789="","",SUMIFS(Txn[Sell Proceeds],Txn[Key],$A789))</f>
        <v/>
      </c>
      <c r="H789" s="288" t="str">
        <f>IF($A789="","",IFERROR(INDEX(Prices[Current Price],MATCH($A789,Prices[Key],0)),0))</f>
        <v/>
      </c>
      <c r="I789" s="289" t="str">
        <f>IF($A789="","",IFERROR(INDEX(Prices[FX to SGD],MATCH($A789,Prices[Key],0)),1))</f>
        <v/>
      </c>
      <c r="J789" s="287" t="str">
        <f t="shared" si="116"/>
        <v/>
      </c>
      <c r="K789" s="287" t="str">
        <f t="shared" si="117"/>
        <v/>
      </c>
      <c r="L789" s="287" t="str">
        <f t="shared" si="118"/>
        <v/>
      </c>
      <c r="M789" s="290" t="str">
        <f t="shared" si="119"/>
        <v/>
      </c>
      <c r="N789" t="str">
        <f>IF($A789="","",IFERROR(INDEX(Prices[Category],MATCH($A789,Prices[Key],0)),"Uncategorized"))</f>
        <v/>
      </c>
      <c r="O789" s="291" t="str">
        <f t="shared" si="120"/>
        <v/>
      </c>
      <c r="P789" s="291" t="str">
        <f t="shared" si="121"/>
        <v/>
      </c>
    </row>
    <row r="790" spans="1:16" ht="15" customHeight="1" x14ac:dyDescent="0.2">
      <c r="A790" s="243" t="str">
        <f>IFERROR(INDEX('All Ticker P&amp;L'!$A$2:$A$1001,MATCH(ROWS($A$2:A790),'All Ticker P&amp;L'!$N$2:$N$1001,0)),"")</f>
        <v/>
      </c>
      <c r="B790" s="243" t="str">
        <f t="shared" si="113"/>
        <v/>
      </c>
      <c r="C790" s="243" t="str">
        <f t="shared" si="114"/>
        <v/>
      </c>
      <c r="D790" s="243" t="str">
        <f t="shared" si="115"/>
        <v/>
      </c>
      <c r="E790" s="265" t="str">
        <f>IF($A790="","",SUMIFS(Txn[Signed Units],Txn[Key],$A790))</f>
        <v/>
      </c>
      <c r="F790" s="287" t="str">
        <f>IF($A790="","",SUMIFS(Txn[Buy Cost],Txn[Key],$A790))</f>
        <v/>
      </c>
      <c r="G790" s="287" t="str">
        <f>IF($A790="","",SUMIFS(Txn[Sell Proceeds],Txn[Key],$A790))</f>
        <v/>
      </c>
      <c r="H790" s="288" t="str">
        <f>IF($A790="","",IFERROR(INDEX(Prices[Current Price],MATCH($A790,Prices[Key],0)),0))</f>
        <v/>
      </c>
      <c r="I790" s="289" t="str">
        <f>IF($A790="","",IFERROR(INDEX(Prices[FX to SGD],MATCH($A790,Prices[Key],0)),1))</f>
        <v/>
      </c>
      <c r="J790" s="287" t="str">
        <f t="shared" si="116"/>
        <v/>
      </c>
      <c r="K790" s="287" t="str">
        <f t="shared" si="117"/>
        <v/>
      </c>
      <c r="L790" s="287" t="str">
        <f t="shared" si="118"/>
        <v/>
      </c>
      <c r="M790" s="290" t="str">
        <f t="shared" si="119"/>
        <v/>
      </c>
      <c r="N790" t="str">
        <f>IF($A790="","",IFERROR(INDEX(Prices[Category],MATCH($A790,Prices[Key],0)),"Uncategorized"))</f>
        <v/>
      </c>
      <c r="O790" s="291" t="str">
        <f t="shared" si="120"/>
        <v/>
      </c>
      <c r="P790" s="291" t="str">
        <f t="shared" si="121"/>
        <v/>
      </c>
    </row>
    <row r="791" spans="1:16" ht="15" customHeight="1" x14ac:dyDescent="0.2">
      <c r="A791" s="243" t="str">
        <f>IFERROR(INDEX('All Ticker P&amp;L'!$A$2:$A$1001,MATCH(ROWS($A$2:A791),'All Ticker P&amp;L'!$N$2:$N$1001,0)),"")</f>
        <v/>
      </c>
      <c r="B791" s="243" t="str">
        <f t="shared" si="113"/>
        <v/>
      </c>
      <c r="C791" s="243" t="str">
        <f t="shared" si="114"/>
        <v/>
      </c>
      <c r="D791" s="243" t="str">
        <f t="shared" si="115"/>
        <v/>
      </c>
      <c r="E791" s="265" t="str">
        <f>IF($A791="","",SUMIFS(Txn[Signed Units],Txn[Key],$A791))</f>
        <v/>
      </c>
      <c r="F791" s="287" t="str">
        <f>IF($A791="","",SUMIFS(Txn[Buy Cost],Txn[Key],$A791))</f>
        <v/>
      </c>
      <c r="G791" s="287" t="str">
        <f>IF($A791="","",SUMIFS(Txn[Sell Proceeds],Txn[Key],$A791))</f>
        <v/>
      </c>
      <c r="H791" s="288" t="str">
        <f>IF($A791="","",IFERROR(INDEX(Prices[Current Price],MATCH($A791,Prices[Key],0)),0))</f>
        <v/>
      </c>
      <c r="I791" s="289" t="str">
        <f>IF($A791="","",IFERROR(INDEX(Prices[FX to SGD],MATCH($A791,Prices[Key],0)),1))</f>
        <v/>
      </c>
      <c r="J791" s="287" t="str">
        <f t="shared" si="116"/>
        <v/>
      </c>
      <c r="K791" s="287" t="str">
        <f t="shared" si="117"/>
        <v/>
      </c>
      <c r="L791" s="287" t="str">
        <f t="shared" si="118"/>
        <v/>
      </c>
      <c r="M791" s="290" t="str">
        <f t="shared" si="119"/>
        <v/>
      </c>
      <c r="N791" t="str">
        <f>IF($A791="","",IFERROR(INDEX(Prices[Category],MATCH($A791,Prices[Key],0)),"Uncategorized"))</f>
        <v/>
      </c>
      <c r="O791" s="291" t="str">
        <f t="shared" si="120"/>
        <v/>
      </c>
      <c r="P791" s="291" t="str">
        <f t="shared" si="121"/>
        <v/>
      </c>
    </row>
    <row r="792" spans="1:16" ht="15" customHeight="1" x14ac:dyDescent="0.2">
      <c r="A792" s="243" t="str">
        <f>IFERROR(INDEX('All Ticker P&amp;L'!$A$2:$A$1001,MATCH(ROWS($A$2:A792),'All Ticker P&amp;L'!$N$2:$N$1001,0)),"")</f>
        <v/>
      </c>
      <c r="B792" s="243" t="str">
        <f t="shared" si="113"/>
        <v/>
      </c>
      <c r="C792" s="243" t="str">
        <f t="shared" si="114"/>
        <v/>
      </c>
      <c r="D792" s="243" t="str">
        <f t="shared" si="115"/>
        <v/>
      </c>
      <c r="E792" s="265" t="str">
        <f>IF($A792="","",SUMIFS(Txn[Signed Units],Txn[Key],$A792))</f>
        <v/>
      </c>
      <c r="F792" s="287" t="str">
        <f>IF($A792="","",SUMIFS(Txn[Buy Cost],Txn[Key],$A792))</f>
        <v/>
      </c>
      <c r="G792" s="287" t="str">
        <f>IF($A792="","",SUMIFS(Txn[Sell Proceeds],Txn[Key],$A792))</f>
        <v/>
      </c>
      <c r="H792" s="288" t="str">
        <f>IF($A792="","",IFERROR(INDEX(Prices[Current Price],MATCH($A792,Prices[Key],0)),0))</f>
        <v/>
      </c>
      <c r="I792" s="289" t="str">
        <f>IF($A792="","",IFERROR(INDEX(Prices[FX to SGD],MATCH($A792,Prices[Key],0)),1))</f>
        <v/>
      </c>
      <c r="J792" s="287" t="str">
        <f t="shared" si="116"/>
        <v/>
      </c>
      <c r="K792" s="287" t="str">
        <f t="shared" si="117"/>
        <v/>
      </c>
      <c r="L792" s="287" t="str">
        <f t="shared" si="118"/>
        <v/>
      </c>
      <c r="M792" s="290" t="str">
        <f t="shared" si="119"/>
        <v/>
      </c>
      <c r="N792" t="str">
        <f>IF($A792="","",IFERROR(INDEX(Prices[Category],MATCH($A792,Prices[Key],0)),"Uncategorized"))</f>
        <v/>
      </c>
      <c r="O792" s="291" t="str">
        <f t="shared" si="120"/>
        <v/>
      </c>
      <c r="P792" s="291" t="str">
        <f t="shared" si="121"/>
        <v/>
      </c>
    </row>
    <row r="793" spans="1:16" ht="15" customHeight="1" x14ac:dyDescent="0.2">
      <c r="A793" s="243" t="str">
        <f>IFERROR(INDEX('All Ticker P&amp;L'!$A$2:$A$1001,MATCH(ROWS($A$2:A793),'All Ticker P&amp;L'!$N$2:$N$1001,0)),"")</f>
        <v/>
      </c>
      <c r="B793" s="243" t="str">
        <f t="shared" si="113"/>
        <v/>
      </c>
      <c r="C793" s="243" t="str">
        <f t="shared" si="114"/>
        <v/>
      </c>
      <c r="D793" s="243" t="str">
        <f t="shared" si="115"/>
        <v/>
      </c>
      <c r="E793" s="265" t="str">
        <f>IF($A793="","",SUMIFS(Txn[Signed Units],Txn[Key],$A793))</f>
        <v/>
      </c>
      <c r="F793" s="287" t="str">
        <f>IF($A793="","",SUMIFS(Txn[Buy Cost],Txn[Key],$A793))</f>
        <v/>
      </c>
      <c r="G793" s="287" t="str">
        <f>IF($A793="","",SUMIFS(Txn[Sell Proceeds],Txn[Key],$A793))</f>
        <v/>
      </c>
      <c r="H793" s="288" t="str">
        <f>IF($A793="","",IFERROR(INDEX(Prices[Current Price],MATCH($A793,Prices[Key],0)),0))</f>
        <v/>
      </c>
      <c r="I793" s="289" t="str">
        <f>IF($A793="","",IFERROR(INDEX(Prices[FX to SGD],MATCH($A793,Prices[Key],0)),1))</f>
        <v/>
      </c>
      <c r="J793" s="287" t="str">
        <f t="shared" si="116"/>
        <v/>
      </c>
      <c r="K793" s="287" t="str">
        <f t="shared" si="117"/>
        <v/>
      </c>
      <c r="L793" s="287" t="str">
        <f t="shared" si="118"/>
        <v/>
      </c>
      <c r="M793" s="290" t="str">
        <f t="shared" si="119"/>
        <v/>
      </c>
      <c r="N793" t="str">
        <f>IF($A793="","",IFERROR(INDEX(Prices[Category],MATCH($A793,Prices[Key],0)),"Uncategorized"))</f>
        <v/>
      </c>
      <c r="O793" s="291" t="str">
        <f t="shared" si="120"/>
        <v/>
      </c>
      <c r="P793" s="291" t="str">
        <f t="shared" si="121"/>
        <v/>
      </c>
    </row>
    <row r="794" spans="1:16" ht="15" customHeight="1" x14ac:dyDescent="0.2">
      <c r="A794" s="243" t="str">
        <f>IFERROR(INDEX('All Ticker P&amp;L'!$A$2:$A$1001,MATCH(ROWS($A$2:A794),'All Ticker P&amp;L'!$N$2:$N$1001,0)),"")</f>
        <v/>
      </c>
      <c r="B794" s="243" t="str">
        <f t="shared" si="113"/>
        <v/>
      </c>
      <c r="C794" s="243" t="str">
        <f t="shared" si="114"/>
        <v/>
      </c>
      <c r="D794" s="243" t="str">
        <f t="shared" si="115"/>
        <v/>
      </c>
      <c r="E794" s="265" t="str">
        <f>IF($A794="","",SUMIFS(Txn[Signed Units],Txn[Key],$A794))</f>
        <v/>
      </c>
      <c r="F794" s="287" t="str">
        <f>IF($A794="","",SUMIFS(Txn[Buy Cost],Txn[Key],$A794))</f>
        <v/>
      </c>
      <c r="G794" s="287" t="str">
        <f>IF($A794="","",SUMIFS(Txn[Sell Proceeds],Txn[Key],$A794))</f>
        <v/>
      </c>
      <c r="H794" s="288" t="str">
        <f>IF($A794="","",IFERROR(INDEX(Prices[Current Price],MATCH($A794,Prices[Key],0)),0))</f>
        <v/>
      </c>
      <c r="I794" s="289" t="str">
        <f>IF($A794="","",IFERROR(INDEX(Prices[FX to SGD],MATCH($A794,Prices[Key],0)),1))</f>
        <v/>
      </c>
      <c r="J794" s="287" t="str">
        <f t="shared" si="116"/>
        <v/>
      </c>
      <c r="K794" s="287" t="str">
        <f t="shared" si="117"/>
        <v/>
      </c>
      <c r="L794" s="287" t="str">
        <f t="shared" si="118"/>
        <v/>
      </c>
      <c r="M794" s="290" t="str">
        <f t="shared" si="119"/>
        <v/>
      </c>
      <c r="N794" t="str">
        <f>IF($A794="","",IFERROR(INDEX(Prices[Category],MATCH($A794,Prices[Key],0)),"Uncategorized"))</f>
        <v/>
      </c>
      <c r="O794" s="291" t="str">
        <f t="shared" si="120"/>
        <v/>
      </c>
      <c r="P794" s="291" t="str">
        <f t="shared" si="121"/>
        <v/>
      </c>
    </row>
    <row r="795" spans="1:16" ht="15" customHeight="1" x14ac:dyDescent="0.2">
      <c r="A795" s="243" t="str">
        <f>IFERROR(INDEX('All Ticker P&amp;L'!$A$2:$A$1001,MATCH(ROWS($A$2:A795),'All Ticker P&amp;L'!$N$2:$N$1001,0)),"")</f>
        <v/>
      </c>
      <c r="B795" s="243" t="str">
        <f t="shared" si="113"/>
        <v/>
      </c>
      <c r="C795" s="243" t="str">
        <f t="shared" si="114"/>
        <v/>
      </c>
      <c r="D795" s="243" t="str">
        <f t="shared" si="115"/>
        <v/>
      </c>
      <c r="E795" s="265" t="str">
        <f>IF($A795="","",SUMIFS(Txn[Signed Units],Txn[Key],$A795))</f>
        <v/>
      </c>
      <c r="F795" s="287" t="str">
        <f>IF($A795="","",SUMIFS(Txn[Buy Cost],Txn[Key],$A795))</f>
        <v/>
      </c>
      <c r="G795" s="287" t="str">
        <f>IF($A795="","",SUMIFS(Txn[Sell Proceeds],Txn[Key],$A795))</f>
        <v/>
      </c>
      <c r="H795" s="288" t="str">
        <f>IF($A795="","",IFERROR(INDEX(Prices[Current Price],MATCH($A795,Prices[Key],0)),0))</f>
        <v/>
      </c>
      <c r="I795" s="289" t="str">
        <f>IF($A795="","",IFERROR(INDEX(Prices[FX to SGD],MATCH($A795,Prices[Key],0)),1))</f>
        <v/>
      </c>
      <c r="J795" s="287" t="str">
        <f t="shared" si="116"/>
        <v/>
      </c>
      <c r="K795" s="287" t="str">
        <f t="shared" si="117"/>
        <v/>
      </c>
      <c r="L795" s="287" t="str">
        <f t="shared" si="118"/>
        <v/>
      </c>
      <c r="M795" s="290" t="str">
        <f t="shared" si="119"/>
        <v/>
      </c>
      <c r="N795" t="str">
        <f>IF($A795="","",IFERROR(INDEX(Prices[Category],MATCH($A795,Prices[Key],0)),"Uncategorized"))</f>
        <v/>
      </c>
      <c r="O795" s="291" t="str">
        <f t="shared" si="120"/>
        <v/>
      </c>
      <c r="P795" s="291" t="str">
        <f t="shared" si="121"/>
        <v/>
      </c>
    </row>
    <row r="796" spans="1:16" ht="15" customHeight="1" x14ac:dyDescent="0.2">
      <c r="A796" s="243" t="str">
        <f>IFERROR(INDEX('All Ticker P&amp;L'!$A$2:$A$1001,MATCH(ROWS($A$2:A796),'All Ticker P&amp;L'!$N$2:$N$1001,0)),"")</f>
        <v/>
      </c>
      <c r="B796" s="243" t="str">
        <f t="shared" si="113"/>
        <v/>
      </c>
      <c r="C796" s="243" t="str">
        <f t="shared" si="114"/>
        <v/>
      </c>
      <c r="D796" s="243" t="str">
        <f t="shared" si="115"/>
        <v/>
      </c>
      <c r="E796" s="265" t="str">
        <f>IF($A796="","",SUMIFS(Txn[Signed Units],Txn[Key],$A796))</f>
        <v/>
      </c>
      <c r="F796" s="287" t="str">
        <f>IF($A796="","",SUMIFS(Txn[Buy Cost],Txn[Key],$A796))</f>
        <v/>
      </c>
      <c r="G796" s="287" t="str">
        <f>IF($A796="","",SUMIFS(Txn[Sell Proceeds],Txn[Key],$A796))</f>
        <v/>
      </c>
      <c r="H796" s="288" t="str">
        <f>IF($A796="","",IFERROR(INDEX(Prices[Current Price],MATCH($A796,Prices[Key],0)),0))</f>
        <v/>
      </c>
      <c r="I796" s="289" t="str">
        <f>IF($A796="","",IFERROR(INDEX(Prices[FX to SGD],MATCH($A796,Prices[Key],0)),1))</f>
        <v/>
      </c>
      <c r="J796" s="287" t="str">
        <f t="shared" si="116"/>
        <v/>
      </c>
      <c r="K796" s="287" t="str">
        <f t="shared" si="117"/>
        <v/>
      </c>
      <c r="L796" s="287" t="str">
        <f t="shared" si="118"/>
        <v/>
      </c>
      <c r="M796" s="290" t="str">
        <f t="shared" si="119"/>
        <v/>
      </c>
      <c r="N796" t="str">
        <f>IF($A796="","",IFERROR(INDEX(Prices[Category],MATCH($A796,Prices[Key],0)),"Uncategorized"))</f>
        <v/>
      </c>
      <c r="O796" s="291" t="str">
        <f t="shared" si="120"/>
        <v/>
      </c>
      <c r="P796" s="291" t="str">
        <f t="shared" si="121"/>
        <v/>
      </c>
    </row>
    <row r="797" spans="1:16" ht="15" customHeight="1" x14ac:dyDescent="0.2">
      <c r="A797" s="243" t="str">
        <f>IFERROR(INDEX('All Ticker P&amp;L'!$A$2:$A$1001,MATCH(ROWS($A$2:A797),'All Ticker P&amp;L'!$N$2:$N$1001,0)),"")</f>
        <v/>
      </c>
      <c r="B797" s="243" t="str">
        <f t="shared" si="113"/>
        <v/>
      </c>
      <c r="C797" s="243" t="str">
        <f t="shared" si="114"/>
        <v/>
      </c>
      <c r="D797" s="243" t="str">
        <f t="shared" si="115"/>
        <v/>
      </c>
      <c r="E797" s="265" t="str">
        <f>IF($A797="","",SUMIFS(Txn[Signed Units],Txn[Key],$A797))</f>
        <v/>
      </c>
      <c r="F797" s="287" t="str">
        <f>IF($A797="","",SUMIFS(Txn[Buy Cost],Txn[Key],$A797))</f>
        <v/>
      </c>
      <c r="G797" s="287" t="str">
        <f>IF($A797="","",SUMIFS(Txn[Sell Proceeds],Txn[Key],$A797))</f>
        <v/>
      </c>
      <c r="H797" s="288" t="str">
        <f>IF($A797="","",IFERROR(INDEX(Prices[Current Price],MATCH($A797,Prices[Key],0)),0))</f>
        <v/>
      </c>
      <c r="I797" s="289" t="str">
        <f>IF($A797="","",IFERROR(INDEX(Prices[FX to SGD],MATCH($A797,Prices[Key],0)),1))</f>
        <v/>
      </c>
      <c r="J797" s="287" t="str">
        <f t="shared" si="116"/>
        <v/>
      </c>
      <c r="K797" s="287" t="str">
        <f t="shared" si="117"/>
        <v/>
      </c>
      <c r="L797" s="287" t="str">
        <f t="shared" si="118"/>
        <v/>
      </c>
      <c r="M797" s="290" t="str">
        <f t="shared" si="119"/>
        <v/>
      </c>
      <c r="N797" t="str">
        <f>IF($A797="","",IFERROR(INDEX(Prices[Category],MATCH($A797,Prices[Key],0)),"Uncategorized"))</f>
        <v/>
      </c>
      <c r="O797" s="291" t="str">
        <f t="shared" si="120"/>
        <v/>
      </c>
      <c r="P797" s="291" t="str">
        <f t="shared" si="121"/>
        <v/>
      </c>
    </row>
    <row r="798" spans="1:16" ht="15" customHeight="1" x14ac:dyDescent="0.2">
      <c r="A798" s="243" t="str">
        <f>IFERROR(INDEX('All Ticker P&amp;L'!$A$2:$A$1001,MATCH(ROWS($A$2:A798),'All Ticker P&amp;L'!$N$2:$N$1001,0)),"")</f>
        <v/>
      </c>
      <c r="B798" s="243" t="str">
        <f t="shared" si="113"/>
        <v/>
      </c>
      <c r="C798" s="243" t="str">
        <f t="shared" si="114"/>
        <v/>
      </c>
      <c r="D798" s="243" t="str">
        <f t="shared" si="115"/>
        <v/>
      </c>
      <c r="E798" s="265" t="str">
        <f>IF($A798="","",SUMIFS(Txn[Signed Units],Txn[Key],$A798))</f>
        <v/>
      </c>
      <c r="F798" s="287" t="str">
        <f>IF($A798="","",SUMIFS(Txn[Buy Cost],Txn[Key],$A798))</f>
        <v/>
      </c>
      <c r="G798" s="287" t="str">
        <f>IF($A798="","",SUMIFS(Txn[Sell Proceeds],Txn[Key],$A798))</f>
        <v/>
      </c>
      <c r="H798" s="288" t="str">
        <f>IF($A798="","",IFERROR(INDEX(Prices[Current Price],MATCH($A798,Prices[Key],0)),0))</f>
        <v/>
      </c>
      <c r="I798" s="289" t="str">
        <f>IF($A798="","",IFERROR(INDEX(Prices[FX to SGD],MATCH($A798,Prices[Key],0)),1))</f>
        <v/>
      </c>
      <c r="J798" s="287" t="str">
        <f t="shared" si="116"/>
        <v/>
      </c>
      <c r="K798" s="287" t="str">
        <f t="shared" si="117"/>
        <v/>
      </c>
      <c r="L798" s="287" t="str">
        <f t="shared" si="118"/>
        <v/>
      </c>
      <c r="M798" s="290" t="str">
        <f t="shared" si="119"/>
        <v/>
      </c>
      <c r="N798" t="str">
        <f>IF($A798="","",IFERROR(INDEX(Prices[Category],MATCH($A798,Prices[Key],0)),"Uncategorized"))</f>
        <v/>
      </c>
      <c r="O798" s="291" t="str">
        <f t="shared" si="120"/>
        <v/>
      </c>
      <c r="P798" s="291" t="str">
        <f t="shared" si="121"/>
        <v/>
      </c>
    </row>
    <row r="799" spans="1:16" ht="15" customHeight="1" x14ac:dyDescent="0.2">
      <c r="A799" s="243" t="str">
        <f>IFERROR(INDEX('All Ticker P&amp;L'!$A$2:$A$1001,MATCH(ROWS($A$2:A799),'All Ticker P&amp;L'!$N$2:$N$1001,0)),"")</f>
        <v/>
      </c>
      <c r="B799" s="243" t="str">
        <f t="shared" si="113"/>
        <v/>
      </c>
      <c r="C799" s="243" t="str">
        <f t="shared" si="114"/>
        <v/>
      </c>
      <c r="D799" s="243" t="str">
        <f t="shared" si="115"/>
        <v/>
      </c>
      <c r="E799" s="265" t="str">
        <f>IF($A799="","",SUMIFS(Txn[Signed Units],Txn[Key],$A799))</f>
        <v/>
      </c>
      <c r="F799" s="287" t="str">
        <f>IF($A799="","",SUMIFS(Txn[Buy Cost],Txn[Key],$A799))</f>
        <v/>
      </c>
      <c r="G799" s="287" t="str">
        <f>IF($A799="","",SUMIFS(Txn[Sell Proceeds],Txn[Key],$A799))</f>
        <v/>
      </c>
      <c r="H799" s="288" t="str">
        <f>IF($A799="","",IFERROR(INDEX(Prices[Current Price],MATCH($A799,Prices[Key],0)),0))</f>
        <v/>
      </c>
      <c r="I799" s="289" t="str">
        <f>IF($A799="","",IFERROR(INDEX(Prices[FX to SGD],MATCH($A799,Prices[Key],0)),1))</f>
        <v/>
      </c>
      <c r="J799" s="287" t="str">
        <f t="shared" si="116"/>
        <v/>
      </c>
      <c r="K799" s="287" t="str">
        <f t="shared" si="117"/>
        <v/>
      </c>
      <c r="L799" s="287" t="str">
        <f t="shared" si="118"/>
        <v/>
      </c>
      <c r="M799" s="290" t="str">
        <f t="shared" si="119"/>
        <v/>
      </c>
      <c r="N799" t="str">
        <f>IF($A799="","",IFERROR(INDEX(Prices[Category],MATCH($A799,Prices[Key],0)),"Uncategorized"))</f>
        <v/>
      </c>
      <c r="O799" s="291" t="str">
        <f t="shared" si="120"/>
        <v/>
      </c>
      <c r="P799" s="291" t="str">
        <f t="shared" si="121"/>
        <v/>
      </c>
    </row>
    <row r="800" spans="1:16" ht="15" customHeight="1" x14ac:dyDescent="0.2">
      <c r="A800" s="243" t="str">
        <f>IFERROR(INDEX('All Ticker P&amp;L'!$A$2:$A$1001,MATCH(ROWS($A$2:A800),'All Ticker P&amp;L'!$N$2:$N$1001,0)),"")</f>
        <v/>
      </c>
      <c r="B800" s="243" t="str">
        <f t="shared" si="113"/>
        <v/>
      </c>
      <c r="C800" s="243" t="str">
        <f t="shared" si="114"/>
        <v/>
      </c>
      <c r="D800" s="243" t="str">
        <f t="shared" si="115"/>
        <v/>
      </c>
      <c r="E800" s="265" t="str">
        <f>IF($A800="","",SUMIFS(Txn[Signed Units],Txn[Key],$A800))</f>
        <v/>
      </c>
      <c r="F800" s="287" t="str">
        <f>IF($A800="","",SUMIFS(Txn[Buy Cost],Txn[Key],$A800))</f>
        <v/>
      </c>
      <c r="G800" s="287" t="str">
        <f>IF($A800="","",SUMIFS(Txn[Sell Proceeds],Txn[Key],$A800))</f>
        <v/>
      </c>
      <c r="H800" s="288" t="str">
        <f>IF($A800="","",IFERROR(INDEX(Prices[Current Price],MATCH($A800,Prices[Key],0)),0))</f>
        <v/>
      </c>
      <c r="I800" s="289" t="str">
        <f>IF($A800="","",IFERROR(INDEX(Prices[FX to SGD],MATCH($A800,Prices[Key],0)),1))</f>
        <v/>
      </c>
      <c r="J800" s="287" t="str">
        <f t="shared" si="116"/>
        <v/>
      </c>
      <c r="K800" s="287" t="str">
        <f t="shared" si="117"/>
        <v/>
      </c>
      <c r="L800" s="287" t="str">
        <f t="shared" si="118"/>
        <v/>
      </c>
      <c r="M800" s="290" t="str">
        <f t="shared" si="119"/>
        <v/>
      </c>
      <c r="N800" t="str">
        <f>IF($A800="","",IFERROR(INDEX(Prices[Category],MATCH($A800,Prices[Key],0)),"Uncategorized"))</f>
        <v/>
      </c>
      <c r="O800" s="291" t="str">
        <f t="shared" si="120"/>
        <v/>
      </c>
      <c r="P800" s="291" t="str">
        <f t="shared" si="121"/>
        <v/>
      </c>
    </row>
    <row r="801" spans="1:16" ht="15" customHeight="1" x14ac:dyDescent="0.2">
      <c r="A801" s="243" t="str">
        <f>IFERROR(INDEX('All Ticker P&amp;L'!$A$2:$A$1001,MATCH(ROWS($A$2:A801),'All Ticker P&amp;L'!$N$2:$N$1001,0)),"")</f>
        <v/>
      </c>
      <c r="B801" s="243" t="str">
        <f t="shared" si="113"/>
        <v/>
      </c>
      <c r="C801" s="243" t="str">
        <f t="shared" si="114"/>
        <v/>
      </c>
      <c r="D801" s="243" t="str">
        <f t="shared" si="115"/>
        <v/>
      </c>
      <c r="E801" s="265" t="str">
        <f>IF($A801="","",SUMIFS(Txn[Signed Units],Txn[Key],$A801))</f>
        <v/>
      </c>
      <c r="F801" s="287" t="str">
        <f>IF($A801="","",SUMIFS(Txn[Buy Cost],Txn[Key],$A801))</f>
        <v/>
      </c>
      <c r="G801" s="287" t="str">
        <f>IF($A801="","",SUMIFS(Txn[Sell Proceeds],Txn[Key],$A801))</f>
        <v/>
      </c>
      <c r="H801" s="288" t="str">
        <f>IF($A801="","",IFERROR(INDEX(Prices[Current Price],MATCH($A801,Prices[Key],0)),0))</f>
        <v/>
      </c>
      <c r="I801" s="289" t="str">
        <f>IF($A801="","",IFERROR(INDEX(Prices[FX to SGD],MATCH($A801,Prices[Key],0)),1))</f>
        <v/>
      </c>
      <c r="J801" s="287" t="str">
        <f t="shared" si="116"/>
        <v/>
      </c>
      <c r="K801" s="287" t="str">
        <f t="shared" si="117"/>
        <v/>
      </c>
      <c r="L801" s="287" t="str">
        <f t="shared" si="118"/>
        <v/>
      </c>
      <c r="M801" s="290" t="str">
        <f t="shared" si="119"/>
        <v/>
      </c>
      <c r="N801" t="str">
        <f>IF($A801="","",IFERROR(INDEX(Prices[Category],MATCH($A801,Prices[Key],0)),"Uncategorized"))</f>
        <v/>
      </c>
      <c r="O801" s="291" t="str">
        <f t="shared" si="120"/>
        <v/>
      </c>
      <c r="P801" s="291" t="str">
        <f t="shared" si="121"/>
        <v/>
      </c>
    </row>
    <row r="802" spans="1:16" ht="15" customHeight="1" x14ac:dyDescent="0.2">
      <c r="A802" s="243" t="str">
        <f>IFERROR(INDEX('All Ticker P&amp;L'!$A$2:$A$1001,MATCH(ROWS($A$2:A802),'All Ticker P&amp;L'!$N$2:$N$1001,0)),"")</f>
        <v/>
      </c>
      <c r="B802" s="243" t="str">
        <f t="shared" si="113"/>
        <v/>
      </c>
      <c r="C802" s="243" t="str">
        <f t="shared" si="114"/>
        <v/>
      </c>
      <c r="D802" s="243" t="str">
        <f t="shared" si="115"/>
        <v/>
      </c>
      <c r="E802" s="265" t="str">
        <f>IF($A802="","",SUMIFS(Txn[Signed Units],Txn[Key],$A802))</f>
        <v/>
      </c>
      <c r="F802" s="287" t="str">
        <f>IF($A802="","",SUMIFS(Txn[Buy Cost],Txn[Key],$A802))</f>
        <v/>
      </c>
      <c r="G802" s="287" t="str">
        <f>IF($A802="","",SUMIFS(Txn[Sell Proceeds],Txn[Key],$A802))</f>
        <v/>
      </c>
      <c r="H802" s="288" t="str">
        <f>IF($A802="","",IFERROR(INDEX(Prices[Current Price],MATCH($A802,Prices[Key],0)),0))</f>
        <v/>
      </c>
      <c r="I802" s="289" t="str">
        <f>IF($A802="","",IFERROR(INDEX(Prices[FX to SGD],MATCH($A802,Prices[Key],0)),1))</f>
        <v/>
      </c>
      <c r="J802" s="287" t="str">
        <f t="shared" si="116"/>
        <v/>
      </c>
      <c r="K802" s="287" t="str">
        <f t="shared" si="117"/>
        <v/>
      </c>
      <c r="L802" s="287" t="str">
        <f t="shared" si="118"/>
        <v/>
      </c>
      <c r="M802" s="290" t="str">
        <f t="shared" si="119"/>
        <v/>
      </c>
      <c r="N802" t="str">
        <f>IF($A802="","",IFERROR(INDEX(Prices[Category],MATCH($A802,Prices[Key],0)),"Uncategorized"))</f>
        <v/>
      </c>
      <c r="O802" s="291" t="str">
        <f t="shared" si="120"/>
        <v/>
      </c>
      <c r="P802" s="291" t="str">
        <f t="shared" si="121"/>
        <v/>
      </c>
    </row>
    <row r="803" spans="1:16" ht="15" customHeight="1" x14ac:dyDescent="0.2">
      <c r="A803" s="243" t="str">
        <f>IFERROR(INDEX('All Ticker P&amp;L'!$A$2:$A$1001,MATCH(ROWS($A$2:A803),'All Ticker P&amp;L'!$N$2:$N$1001,0)),"")</f>
        <v/>
      </c>
      <c r="B803" s="243" t="str">
        <f t="shared" si="113"/>
        <v/>
      </c>
      <c r="C803" s="243" t="str">
        <f t="shared" si="114"/>
        <v/>
      </c>
      <c r="D803" s="243" t="str">
        <f t="shared" si="115"/>
        <v/>
      </c>
      <c r="E803" s="265" t="str">
        <f>IF($A803="","",SUMIFS(Txn[Signed Units],Txn[Key],$A803))</f>
        <v/>
      </c>
      <c r="F803" s="287" t="str">
        <f>IF($A803="","",SUMIFS(Txn[Buy Cost],Txn[Key],$A803))</f>
        <v/>
      </c>
      <c r="G803" s="287" t="str">
        <f>IF($A803="","",SUMIFS(Txn[Sell Proceeds],Txn[Key],$A803))</f>
        <v/>
      </c>
      <c r="H803" s="288" t="str">
        <f>IF($A803="","",IFERROR(INDEX(Prices[Current Price],MATCH($A803,Prices[Key],0)),0))</f>
        <v/>
      </c>
      <c r="I803" s="289" t="str">
        <f>IF($A803="","",IFERROR(INDEX(Prices[FX to SGD],MATCH($A803,Prices[Key],0)),1))</f>
        <v/>
      </c>
      <c r="J803" s="287" t="str">
        <f t="shared" si="116"/>
        <v/>
      </c>
      <c r="K803" s="287" t="str">
        <f t="shared" si="117"/>
        <v/>
      </c>
      <c r="L803" s="287" t="str">
        <f t="shared" si="118"/>
        <v/>
      </c>
      <c r="M803" s="290" t="str">
        <f t="shared" si="119"/>
        <v/>
      </c>
      <c r="N803" t="str">
        <f>IF($A803="","",IFERROR(INDEX(Prices[Category],MATCH($A803,Prices[Key],0)),"Uncategorized"))</f>
        <v/>
      </c>
      <c r="O803" s="291" t="str">
        <f t="shared" si="120"/>
        <v/>
      </c>
      <c r="P803" s="291" t="str">
        <f t="shared" si="121"/>
        <v/>
      </c>
    </row>
    <row r="804" spans="1:16" ht="15" customHeight="1" x14ac:dyDescent="0.2">
      <c r="A804" s="243" t="str">
        <f>IFERROR(INDEX('All Ticker P&amp;L'!$A$2:$A$1001,MATCH(ROWS($A$2:A804),'All Ticker P&amp;L'!$N$2:$N$1001,0)),"")</f>
        <v/>
      </c>
      <c r="B804" s="243" t="str">
        <f t="shared" si="113"/>
        <v/>
      </c>
      <c r="C804" s="243" t="str">
        <f t="shared" si="114"/>
        <v/>
      </c>
      <c r="D804" s="243" t="str">
        <f t="shared" si="115"/>
        <v/>
      </c>
      <c r="E804" s="265" t="str">
        <f>IF($A804="","",SUMIFS(Txn[Signed Units],Txn[Key],$A804))</f>
        <v/>
      </c>
      <c r="F804" s="287" t="str">
        <f>IF($A804="","",SUMIFS(Txn[Buy Cost],Txn[Key],$A804))</f>
        <v/>
      </c>
      <c r="G804" s="287" t="str">
        <f>IF($A804="","",SUMIFS(Txn[Sell Proceeds],Txn[Key],$A804))</f>
        <v/>
      </c>
      <c r="H804" s="288" t="str">
        <f>IF($A804="","",IFERROR(INDEX(Prices[Current Price],MATCH($A804,Prices[Key],0)),0))</f>
        <v/>
      </c>
      <c r="I804" s="289" t="str">
        <f>IF($A804="","",IFERROR(INDEX(Prices[FX to SGD],MATCH($A804,Prices[Key],0)),1))</f>
        <v/>
      </c>
      <c r="J804" s="287" t="str">
        <f t="shared" si="116"/>
        <v/>
      </c>
      <c r="K804" s="287" t="str">
        <f t="shared" si="117"/>
        <v/>
      </c>
      <c r="L804" s="287" t="str">
        <f t="shared" si="118"/>
        <v/>
      </c>
      <c r="M804" s="290" t="str">
        <f t="shared" si="119"/>
        <v/>
      </c>
      <c r="N804" t="str">
        <f>IF($A804="","",IFERROR(INDEX(Prices[Category],MATCH($A804,Prices[Key],0)),"Uncategorized"))</f>
        <v/>
      </c>
      <c r="O804" s="291" t="str">
        <f t="shared" si="120"/>
        <v/>
      </c>
      <c r="P804" s="291" t="str">
        <f t="shared" si="121"/>
        <v/>
      </c>
    </row>
    <row r="805" spans="1:16" ht="15" customHeight="1" x14ac:dyDescent="0.2">
      <c r="A805" s="243" t="str">
        <f>IFERROR(INDEX('All Ticker P&amp;L'!$A$2:$A$1001,MATCH(ROWS($A$2:A805),'All Ticker P&amp;L'!$N$2:$N$1001,0)),"")</f>
        <v/>
      </c>
      <c r="B805" s="243" t="str">
        <f t="shared" si="113"/>
        <v/>
      </c>
      <c r="C805" s="243" t="str">
        <f t="shared" si="114"/>
        <v/>
      </c>
      <c r="D805" s="243" t="str">
        <f t="shared" si="115"/>
        <v/>
      </c>
      <c r="E805" s="265" t="str">
        <f>IF($A805="","",SUMIFS(Txn[Signed Units],Txn[Key],$A805))</f>
        <v/>
      </c>
      <c r="F805" s="287" t="str">
        <f>IF($A805="","",SUMIFS(Txn[Buy Cost],Txn[Key],$A805))</f>
        <v/>
      </c>
      <c r="G805" s="287" t="str">
        <f>IF($A805="","",SUMIFS(Txn[Sell Proceeds],Txn[Key],$A805))</f>
        <v/>
      </c>
      <c r="H805" s="288" t="str">
        <f>IF($A805="","",IFERROR(INDEX(Prices[Current Price],MATCH($A805,Prices[Key],0)),0))</f>
        <v/>
      </c>
      <c r="I805" s="289" t="str">
        <f>IF($A805="","",IFERROR(INDEX(Prices[FX to SGD],MATCH($A805,Prices[Key],0)),1))</f>
        <v/>
      </c>
      <c r="J805" s="287" t="str">
        <f t="shared" si="116"/>
        <v/>
      </c>
      <c r="K805" s="287" t="str">
        <f t="shared" si="117"/>
        <v/>
      </c>
      <c r="L805" s="287" t="str">
        <f t="shared" si="118"/>
        <v/>
      </c>
      <c r="M805" s="290" t="str">
        <f t="shared" si="119"/>
        <v/>
      </c>
      <c r="N805" t="str">
        <f>IF($A805="","",IFERROR(INDEX(Prices[Category],MATCH($A805,Prices[Key],0)),"Uncategorized"))</f>
        <v/>
      </c>
      <c r="O805" s="291" t="str">
        <f t="shared" si="120"/>
        <v/>
      </c>
      <c r="P805" s="291" t="str">
        <f t="shared" si="121"/>
        <v/>
      </c>
    </row>
    <row r="806" spans="1:16" ht="15" customHeight="1" x14ac:dyDescent="0.2">
      <c r="A806" s="243" t="str">
        <f>IFERROR(INDEX('All Ticker P&amp;L'!$A$2:$A$1001,MATCH(ROWS($A$2:A806),'All Ticker P&amp;L'!$N$2:$N$1001,0)),"")</f>
        <v/>
      </c>
      <c r="B806" s="243" t="str">
        <f t="shared" si="113"/>
        <v/>
      </c>
      <c r="C806" s="243" t="str">
        <f t="shared" si="114"/>
        <v/>
      </c>
      <c r="D806" s="243" t="str">
        <f t="shared" si="115"/>
        <v/>
      </c>
      <c r="E806" s="265" t="str">
        <f>IF($A806="","",SUMIFS(Txn[Signed Units],Txn[Key],$A806))</f>
        <v/>
      </c>
      <c r="F806" s="287" t="str">
        <f>IF($A806="","",SUMIFS(Txn[Buy Cost],Txn[Key],$A806))</f>
        <v/>
      </c>
      <c r="G806" s="287" t="str">
        <f>IF($A806="","",SUMIFS(Txn[Sell Proceeds],Txn[Key],$A806))</f>
        <v/>
      </c>
      <c r="H806" s="288" t="str">
        <f>IF($A806="","",IFERROR(INDEX(Prices[Current Price],MATCH($A806,Prices[Key],0)),0))</f>
        <v/>
      </c>
      <c r="I806" s="289" t="str">
        <f>IF($A806="","",IFERROR(INDEX(Prices[FX to SGD],MATCH($A806,Prices[Key],0)),1))</f>
        <v/>
      </c>
      <c r="J806" s="287" t="str">
        <f t="shared" si="116"/>
        <v/>
      </c>
      <c r="K806" s="287" t="str">
        <f t="shared" si="117"/>
        <v/>
      </c>
      <c r="L806" s="287" t="str">
        <f t="shared" si="118"/>
        <v/>
      </c>
      <c r="M806" s="290" t="str">
        <f t="shared" si="119"/>
        <v/>
      </c>
      <c r="N806" t="str">
        <f>IF($A806="","",IFERROR(INDEX(Prices[Category],MATCH($A806,Prices[Key],0)),"Uncategorized"))</f>
        <v/>
      </c>
      <c r="O806" s="291" t="str">
        <f t="shared" si="120"/>
        <v/>
      </c>
      <c r="P806" s="291" t="str">
        <f t="shared" si="121"/>
        <v/>
      </c>
    </row>
    <row r="807" spans="1:16" ht="15" customHeight="1" x14ac:dyDescent="0.2">
      <c r="A807" s="243" t="str">
        <f>IFERROR(INDEX('All Ticker P&amp;L'!$A$2:$A$1001,MATCH(ROWS($A$2:A807),'All Ticker P&amp;L'!$N$2:$N$1001,0)),"")</f>
        <v/>
      </c>
      <c r="B807" s="243" t="str">
        <f t="shared" si="113"/>
        <v/>
      </c>
      <c r="C807" s="243" t="str">
        <f t="shared" si="114"/>
        <v/>
      </c>
      <c r="D807" s="243" t="str">
        <f t="shared" si="115"/>
        <v/>
      </c>
      <c r="E807" s="265" t="str">
        <f>IF($A807="","",SUMIFS(Txn[Signed Units],Txn[Key],$A807))</f>
        <v/>
      </c>
      <c r="F807" s="287" t="str">
        <f>IF($A807="","",SUMIFS(Txn[Buy Cost],Txn[Key],$A807))</f>
        <v/>
      </c>
      <c r="G807" s="287" t="str">
        <f>IF($A807="","",SUMIFS(Txn[Sell Proceeds],Txn[Key],$A807))</f>
        <v/>
      </c>
      <c r="H807" s="288" t="str">
        <f>IF($A807="","",IFERROR(INDEX(Prices[Current Price],MATCH($A807,Prices[Key],0)),0))</f>
        <v/>
      </c>
      <c r="I807" s="289" t="str">
        <f>IF($A807="","",IFERROR(INDEX(Prices[FX to SGD],MATCH($A807,Prices[Key],0)),1))</f>
        <v/>
      </c>
      <c r="J807" s="287" t="str">
        <f t="shared" si="116"/>
        <v/>
      </c>
      <c r="K807" s="287" t="str">
        <f t="shared" si="117"/>
        <v/>
      </c>
      <c r="L807" s="287" t="str">
        <f t="shared" si="118"/>
        <v/>
      </c>
      <c r="M807" s="290" t="str">
        <f t="shared" si="119"/>
        <v/>
      </c>
      <c r="N807" t="str">
        <f>IF($A807="","",IFERROR(INDEX(Prices[Category],MATCH($A807,Prices[Key],0)),"Uncategorized"))</f>
        <v/>
      </c>
      <c r="O807" s="291" t="str">
        <f t="shared" si="120"/>
        <v/>
      </c>
      <c r="P807" s="291" t="str">
        <f t="shared" si="121"/>
        <v/>
      </c>
    </row>
    <row r="808" spans="1:16" ht="15" customHeight="1" x14ac:dyDescent="0.2">
      <c r="A808" s="243" t="str">
        <f>IFERROR(INDEX('All Ticker P&amp;L'!$A$2:$A$1001,MATCH(ROWS($A$2:A808),'All Ticker P&amp;L'!$N$2:$N$1001,0)),"")</f>
        <v/>
      </c>
      <c r="B808" s="243" t="str">
        <f t="shared" si="113"/>
        <v/>
      </c>
      <c r="C808" s="243" t="str">
        <f t="shared" si="114"/>
        <v/>
      </c>
      <c r="D808" s="243" t="str">
        <f t="shared" si="115"/>
        <v/>
      </c>
      <c r="E808" s="265" t="str">
        <f>IF($A808="","",SUMIFS(Txn[Signed Units],Txn[Key],$A808))</f>
        <v/>
      </c>
      <c r="F808" s="287" t="str">
        <f>IF($A808="","",SUMIFS(Txn[Buy Cost],Txn[Key],$A808))</f>
        <v/>
      </c>
      <c r="G808" s="287" t="str">
        <f>IF($A808="","",SUMIFS(Txn[Sell Proceeds],Txn[Key],$A808))</f>
        <v/>
      </c>
      <c r="H808" s="288" t="str">
        <f>IF($A808="","",IFERROR(INDEX(Prices[Current Price],MATCH($A808,Prices[Key],0)),0))</f>
        <v/>
      </c>
      <c r="I808" s="289" t="str">
        <f>IF($A808="","",IFERROR(INDEX(Prices[FX to SGD],MATCH($A808,Prices[Key],0)),1))</f>
        <v/>
      </c>
      <c r="J808" s="287" t="str">
        <f t="shared" si="116"/>
        <v/>
      </c>
      <c r="K808" s="287" t="str">
        <f t="shared" si="117"/>
        <v/>
      </c>
      <c r="L808" s="287" t="str">
        <f t="shared" si="118"/>
        <v/>
      </c>
      <c r="M808" s="290" t="str">
        <f t="shared" si="119"/>
        <v/>
      </c>
      <c r="N808" t="str">
        <f>IF($A808="","",IFERROR(INDEX(Prices[Category],MATCH($A808,Prices[Key],0)),"Uncategorized"))</f>
        <v/>
      </c>
      <c r="O808" s="291" t="str">
        <f t="shared" si="120"/>
        <v/>
      </c>
      <c r="P808" s="291" t="str">
        <f t="shared" si="121"/>
        <v/>
      </c>
    </row>
    <row r="809" spans="1:16" ht="15" customHeight="1" x14ac:dyDescent="0.2">
      <c r="A809" s="243" t="str">
        <f>IFERROR(INDEX('All Ticker P&amp;L'!$A$2:$A$1001,MATCH(ROWS($A$2:A809),'All Ticker P&amp;L'!$N$2:$N$1001,0)),"")</f>
        <v/>
      </c>
      <c r="B809" s="243" t="str">
        <f t="shared" si="113"/>
        <v/>
      </c>
      <c r="C809" s="243" t="str">
        <f t="shared" si="114"/>
        <v/>
      </c>
      <c r="D809" s="243" t="str">
        <f t="shared" si="115"/>
        <v/>
      </c>
      <c r="E809" s="265" t="str">
        <f>IF($A809="","",SUMIFS(Txn[Signed Units],Txn[Key],$A809))</f>
        <v/>
      </c>
      <c r="F809" s="287" t="str">
        <f>IF($A809="","",SUMIFS(Txn[Buy Cost],Txn[Key],$A809))</f>
        <v/>
      </c>
      <c r="G809" s="287" t="str">
        <f>IF($A809="","",SUMIFS(Txn[Sell Proceeds],Txn[Key],$A809))</f>
        <v/>
      </c>
      <c r="H809" s="288" t="str">
        <f>IF($A809="","",IFERROR(INDEX(Prices[Current Price],MATCH($A809,Prices[Key],0)),0))</f>
        <v/>
      </c>
      <c r="I809" s="289" t="str">
        <f>IF($A809="","",IFERROR(INDEX(Prices[FX to SGD],MATCH($A809,Prices[Key],0)),1))</f>
        <v/>
      </c>
      <c r="J809" s="287" t="str">
        <f t="shared" si="116"/>
        <v/>
      </c>
      <c r="K809" s="287" t="str">
        <f t="shared" si="117"/>
        <v/>
      </c>
      <c r="L809" s="287" t="str">
        <f t="shared" si="118"/>
        <v/>
      </c>
      <c r="M809" s="290" t="str">
        <f t="shared" si="119"/>
        <v/>
      </c>
      <c r="N809" t="str">
        <f>IF($A809="","",IFERROR(INDEX(Prices[Category],MATCH($A809,Prices[Key],0)),"Uncategorized"))</f>
        <v/>
      </c>
      <c r="O809" s="291" t="str">
        <f t="shared" si="120"/>
        <v/>
      </c>
      <c r="P809" s="291" t="str">
        <f t="shared" si="121"/>
        <v/>
      </c>
    </row>
    <row r="810" spans="1:16" ht="15" customHeight="1" x14ac:dyDescent="0.2">
      <c r="A810" s="243" t="str">
        <f>IFERROR(INDEX('All Ticker P&amp;L'!$A$2:$A$1001,MATCH(ROWS($A$2:A810),'All Ticker P&amp;L'!$N$2:$N$1001,0)),"")</f>
        <v/>
      </c>
      <c r="B810" s="243" t="str">
        <f t="shared" si="113"/>
        <v/>
      </c>
      <c r="C810" s="243" t="str">
        <f t="shared" si="114"/>
        <v/>
      </c>
      <c r="D810" s="243" t="str">
        <f t="shared" si="115"/>
        <v/>
      </c>
      <c r="E810" s="265" t="str">
        <f>IF($A810="","",SUMIFS(Txn[Signed Units],Txn[Key],$A810))</f>
        <v/>
      </c>
      <c r="F810" s="287" t="str">
        <f>IF($A810="","",SUMIFS(Txn[Buy Cost],Txn[Key],$A810))</f>
        <v/>
      </c>
      <c r="G810" s="287" t="str">
        <f>IF($A810="","",SUMIFS(Txn[Sell Proceeds],Txn[Key],$A810))</f>
        <v/>
      </c>
      <c r="H810" s="288" t="str">
        <f>IF($A810="","",IFERROR(INDEX(Prices[Current Price],MATCH($A810,Prices[Key],0)),0))</f>
        <v/>
      </c>
      <c r="I810" s="289" t="str">
        <f>IF($A810="","",IFERROR(INDEX(Prices[FX to SGD],MATCH($A810,Prices[Key],0)),1))</f>
        <v/>
      </c>
      <c r="J810" s="287" t="str">
        <f t="shared" si="116"/>
        <v/>
      </c>
      <c r="K810" s="287" t="str">
        <f t="shared" si="117"/>
        <v/>
      </c>
      <c r="L810" s="287" t="str">
        <f t="shared" si="118"/>
        <v/>
      </c>
      <c r="M810" s="290" t="str">
        <f t="shared" si="119"/>
        <v/>
      </c>
      <c r="N810" t="str">
        <f>IF($A810="","",IFERROR(INDEX(Prices[Category],MATCH($A810,Prices[Key],0)),"Uncategorized"))</f>
        <v/>
      </c>
      <c r="O810" s="291" t="str">
        <f t="shared" si="120"/>
        <v/>
      </c>
      <c r="P810" s="291" t="str">
        <f t="shared" si="121"/>
        <v/>
      </c>
    </row>
    <row r="811" spans="1:16" ht="15" customHeight="1" x14ac:dyDescent="0.2">
      <c r="A811" s="243" t="str">
        <f>IFERROR(INDEX('All Ticker P&amp;L'!$A$2:$A$1001,MATCH(ROWS($A$2:A811),'All Ticker P&amp;L'!$N$2:$N$1001,0)),"")</f>
        <v/>
      </c>
      <c r="B811" s="243" t="str">
        <f t="shared" si="113"/>
        <v/>
      </c>
      <c r="C811" s="243" t="str">
        <f t="shared" si="114"/>
        <v/>
      </c>
      <c r="D811" s="243" t="str">
        <f t="shared" si="115"/>
        <v/>
      </c>
      <c r="E811" s="265" t="str">
        <f>IF($A811="","",SUMIFS(Txn[Signed Units],Txn[Key],$A811))</f>
        <v/>
      </c>
      <c r="F811" s="287" t="str">
        <f>IF($A811="","",SUMIFS(Txn[Buy Cost],Txn[Key],$A811))</f>
        <v/>
      </c>
      <c r="G811" s="287" t="str">
        <f>IF($A811="","",SUMIFS(Txn[Sell Proceeds],Txn[Key],$A811))</f>
        <v/>
      </c>
      <c r="H811" s="288" t="str">
        <f>IF($A811="","",IFERROR(INDEX(Prices[Current Price],MATCH($A811,Prices[Key],0)),0))</f>
        <v/>
      </c>
      <c r="I811" s="289" t="str">
        <f>IF($A811="","",IFERROR(INDEX(Prices[FX to SGD],MATCH($A811,Prices[Key],0)),1))</f>
        <v/>
      </c>
      <c r="J811" s="287" t="str">
        <f t="shared" si="116"/>
        <v/>
      </c>
      <c r="K811" s="287" t="str">
        <f t="shared" si="117"/>
        <v/>
      </c>
      <c r="L811" s="287" t="str">
        <f t="shared" si="118"/>
        <v/>
      </c>
      <c r="M811" s="290" t="str">
        <f t="shared" si="119"/>
        <v/>
      </c>
      <c r="N811" t="str">
        <f>IF($A811="","",IFERROR(INDEX(Prices[Category],MATCH($A811,Prices[Key],0)),"Uncategorized"))</f>
        <v/>
      </c>
      <c r="O811" s="291" t="str">
        <f t="shared" si="120"/>
        <v/>
      </c>
      <c r="P811" s="291" t="str">
        <f t="shared" si="121"/>
        <v/>
      </c>
    </row>
    <row r="812" spans="1:16" ht="15" customHeight="1" x14ac:dyDescent="0.2">
      <c r="A812" s="243" t="str">
        <f>IFERROR(INDEX('All Ticker P&amp;L'!$A$2:$A$1001,MATCH(ROWS($A$2:A812),'All Ticker P&amp;L'!$N$2:$N$1001,0)),"")</f>
        <v/>
      </c>
      <c r="B812" s="243" t="str">
        <f t="shared" si="113"/>
        <v/>
      </c>
      <c r="C812" s="243" t="str">
        <f t="shared" si="114"/>
        <v/>
      </c>
      <c r="D812" s="243" t="str">
        <f t="shared" si="115"/>
        <v/>
      </c>
      <c r="E812" s="265" t="str">
        <f>IF($A812="","",SUMIFS(Txn[Signed Units],Txn[Key],$A812))</f>
        <v/>
      </c>
      <c r="F812" s="287" t="str">
        <f>IF($A812="","",SUMIFS(Txn[Buy Cost],Txn[Key],$A812))</f>
        <v/>
      </c>
      <c r="G812" s="287" t="str">
        <f>IF($A812="","",SUMIFS(Txn[Sell Proceeds],Txn[Key],$A812))</f>
        <v/>
      </c>
      <c r="H812" s="288" t="str">
        <f>IF($A812="","",IFERROR(INDEX(Prices[Current Price],MATCH($A812,Prices[Key],0)),0))</f>
        <v/>
      </c>
      <c r="I812" s="289" t="str">
        <f>IF($A812="","",IFERROR(INDEX(Prices[FX to SGD],MATCH($A812,Prices[Key],0)),1))</f>
        <v/>
      </c>
      <c r="J812" s="287" t="str">
        <f t="shared" si="116"/>
        <v/>
      </c>
      <c r="K812" s="287" t="str">
        <f t="shared" si="117"/>
        <v/>
      </c>
      <c r="L812" s="287" t="str">
        <f t="shared" si="118"/>
        <v/>
      </c>
      <c r="M812" s="290" t="str">
        <f t="shared" si="119"/>
        <v/>
      </c>
      <c r="N812" t="str">
        <f>IF($A812="","",IFERROR(INDEX(Prices[Category],MATCH($A812,Prices[Key],0)),"Uncategorized"))</f>
        <v/>
      </c>
      <c r="O812" s="291" t="str">
        <f t="shared" si="120"/>
        <v/>
      </c>
      <c r="P812" s="291" t="str">
        <f t="shared" si="121"/>
        <v/>
      </c>
    </row>
    <row r="813" spans="1:16" ht="15" customHeight="1" x14ac:dyDescent="0.2">
      <c r="A813" s="243" t="str">
        <f>IFERROR(INDEX('All Ticker P&amp;L'!$A$2:$A$1001,MATCH(ROWS($A$2:A813),'All Ticker P&amp;L'!$N$2:$N$1001,0)),"")</f>
        <v/>
      </c>
      <c r="B813" s="243" t="str">
        <f t="shared" si="113"/>
        <v/>
      </c>
      <c r="C813" s="243" t="str">
        <f t="shared" si="114"/>
        <v/>
      </c>
      <c r="D813" s="243" t="str">
        <f t="shared" si="115"/>
        <v/>
      </c>
      <c r="E813" s="265" t="str">
        <f>IF($A813="","",SUMIFS(Txn[Signed Units],Txn[Key],$A813))</f>
        <v/>
      </c>
      <c r="F813" s="287" t="str">
        <f>IF($A813="","",SUMIFS(Txn[Buy Cost],Txn[Key],$A813))</f>
        <v/>
      </c>
      <c r="G813" s="287" t="str">
        <f>IF($A813="","",SUMIFS(Txn[Sell Proceeds],Txn[Key],$A813))</f>
        <v/>
      </c>
      <c r="H813" s="288" t="str">
        <f>IF($A813="","",IFERROR(INDEX(Prices[Current Price],MATCH($A813,Prices[Key],0)),0))</f>
        <v/>
      </c>
      <c r="I813" s="289" t="str">
        <f>IF($A813="","",IFERROR(INDEX(Prices[FX to SGD],MATCH($A813,Prices[Key],0)),1))</f>
        <v/>
      </c>
      <c r="J813" s="287" t="str">
        <f t="shared" si="116"/>
        <v/>
      </c>
      <c r="K813" s="287" t="str">
        <f t="shared" si="117"/>
        <v/>
      </c>
      <c r="L813" s="287" t="str">
        <f t="shared" si="118"/>
        <v/>
      </c>
      <c r="M813" s="290" t="str">
        <f t="shared" si="119"/>
        <v/>
      </c>
      <c r="N813" t="str">
        <f>IF($A813="","",IFERROR(INDEX(Prices[Category],MATCH($A813,Prices[Key],0)),"Uncategorized"))</f>
        <v/>
      </c>
      <c r="O813" s="291" t="str">
        <f t="shared" si="120"/>
        <v/>
      </c>
      <c r="P813" s="291" t="str">
        <f t="shared" si="121"/>
        <v/>
      </c>
    </row>
    <row r="814" spans="1:16" ht="15" customHeight="1" x14ac:dyDescent="0.2">
      <c r="A814" s="243" t="str">
        <f>IFERROR(INDEX('All Ticker P&amp;L'!$A$2:$A$1001,MATCH(ROWS($A$2:A814),'All Ticker P&amp;L'!$N$2:$N$1001,0)),"")</f>
        <v/>
      </c>
      <c r="B814" s="243" t="str">
        <f t="shared" si="113"/>
        <v/>
      </c>
      <c r="C814" s="243" t="str">
        <f t="shared" si="114"/>
        <v/>
      </c>
      <c r="D814" s="243" t="str">
        <f t="shared" si="115"/>
        <v/>
      </c>
      <c r="E814" s="265" t="str">
        <f>IF($A814="","",SUMIFS(Txn[Signed Units],Txn[Key],$A814))</f>
        <v/>
      </c>
      <c r="F814" s="287" t="str">
        <f>IF($A814="","",SUMIFS(Txn[Buy Cost],Txn[Key],$A814))</f>
        <v/>
      </c>
      <c r="G814" s="287" t="str">
        <f>IF($A814="","",SUMIFS(Txn[Sell Proceeds],Txn[Key],$A814))</f>
        <v/>
      </c>
      <c r="H814" s="288" t="str">
        <f>IF($A814="","",IFERROR(INDEX(Prices[Current Price],MATCH($A814,Prices[Key],0)),0))</f>
        <v/>
      </c>
      <c r="I814" s="289" t="str">
        <f>IF($A814="","",IFERROR(INDEX(Prices[FX to SGD],MATCH($A814,Prices[Key],0)),1))</f>
        <v/>
      </c>
      <c r="J814" s="287" t="str">
        <f t="shared" si="116"/>
        <v/>
      </c>
      <c r="K814" s="287" t="str">
        <f t="shared" si="117"/>
        <v/>
      </c>
      <c r="L814" s="287" t="str">
        <f t="shared" si="118"/>
        <v/>
      </c>
      <c r="M814" s="290" t="str">
        <f t="shared" si="119"/>
        <v/>
      </c>
      <c r="N814" t="str">
        <f>IF($A814="","",IFERROR(INDEX(Prices[Category],MATCH($A814,Prices[Key],0)),"Uncategorized"))</f>
        <v/>
      </c>
      <c r="O814" s="291" t="str">
        <f t="shared" si="120"/>
        <v/>
      </c>
      <c r="P814" s="291" t="str">
        <f t="shared" si="121"/>
        <v/>
      </c>
    </row>
    <row r="815" spans="1:16" ht="15" customHeight="1" x14ac:dyDescent="0.2">
      <c r="A815" s="243" t="str">
        <f>IFERROR(INDEX('All Ticker P&amp;L'!$A$2:$A$1001,MATCH(ROWS($A$2:A815),'All Ticker P&amp;L'!$N$2:$N$1001,0)),"")</f>
        <v/>
      </c>
      <c r="B815" s="243" t="str">
        <f t="shared" si="113"/>
        <v/>
      </c>
      <c r="C815" s="243" t="str">
        <f t="shared" si="114"/>
        <v/>
      </c>
      <c r="D815" s="243" t="str">
        <f t="shared" si="115"/>
        <v/>
      </c>
      <c r="E815" s="265" t="str">
        <f>IF($A815="","",SUMIFS(Txn[Signed Units],Txn[Key],$A815))</f>
        <v/>
      </c>
      <c r="F815" s="287" t="str">
        <f>IF($A815="","",SUMIFS(Txn[Buy Cost],Txn[Key],$A815))</f>
        <v/>
      </c>
      <c r="G815" s="287" t="str">
        <f>IF($A815="","",SUMIFS(Txn[Sell Proceeds],Txn[Key],$A815))</f>
        <v/>
      </c>
      <c r="H815" s="288" t="str">
        <f>IF($A815="","",IFERROR(INDEX(Prices[Current Price],MATCH($A815,Prices[Key],0)),0))</f>
        <v/>
      </c>
      <c r="I815" s="289" t="str">
        <f>IF($A815="","",IFERROR(INDEX(Prices[FX to SGD],MATCH($A815,Prices[Key],0)),1))</f>
        <v/>
      </c>
      <c r="J815" s="287" t="str">
        <f t="shared" si="116"/>
        <v/>
      </c>
      <c r="K815" s="287" t="str">
        <f t="shared" si="117"/>
        <v/>
      </c>
      <c r="L815" s="287" t="str">
        <f t="shared" si="118"/>
        <v/>
      </c>
      <c r="M815" s="290" t="str">
        <f t="shared" si="119"/>
        <v/>
      </c>
      <c r="N815" t="str">
        <f>IF($A815="","",IFERROR(INDEX(Prices[Category],MATCH($A815,Prices[Key],0)),"Uncategorized"))</f>
        <v/>
      </c>
      <c r="O815" s="291" t="str">
        <f t="shared" si="120"/>
        <v/>
      </c>
      <c r="P815" s="291" t="str">
        <f t="shared" si="121"/>
        <v/>
      </c>
    </row>
    <row r="816" spans="1:16" ht="15" customHeight="1" x14ac:dyDescent="0.2">
      <c r="A816" s="243" t="str">
        <f>IFERROR(INDEX('All Ticker P&amp;L'!$A$2:$A$1001,MATCH(ROWS($A$2:A816),'All Ticker P&amp;L'!$N$2:$N$1001,0)),"")</f>
        <v/>
      </c>
      <c r="B816" s="243" t="str">
        <f t="shared" si="113"/>
        <v/>
      </c>
      <c r="C816" s="243" t="str">
        <f t="shared" si="114"/>
        <v/>
      </c>
      <c r="D816" s="243" t="str">
        <f t="shared" si="115"/>
        <v/>
      </c>
      <c r="E816" s="265" t="str">
        <f>IF($A816="","",SUMIFS(Txn[Signed Units],Txn[Key],$A816))</f>
        <v/>
      </c>
      <c r="F816" s="287" t="str">
        <f>IF($A816="","",SUMIFS(Txn[Buy Cost],Txn[Key],$A816))</f>
        <v/>
      </c>
      <c r="G816" s="287" t="str">
        <f>IF($A816="","",SUMIFS(Txn[Sell Proceeds],Txn[Key],$A816))</f>
        <v/>
      </c>
      <c r="H816" s="288" t="str">
        <f>IF($A816="","",IFERROR(INDEX(Prices[Current Price],MATCH($A816,Prices[Key],0)),0))</f>
        <v/>
      </c>
      <c r="I816" s="289" t="str">
        <f>IF($A816="","",IFERROR(INDEX(Prices[FX to SGD],MATCH($A816,Prices[Key],0)),1))</f>
        <v/>
      </c>
      <c r="J816" s="287" t="str">
        <f t="shared" si="116"/>
        <v/>
      </c>
      <c r="K816" s="287" t="str">
        <f t="shared" si="117"/>
        <v/>
      </c>
      <c r="L816" s="287" t="str">
        <f t="shared" si="118"/>
        <v/>
      </c>
      <c r="M816" s="290" t="str">
        <f t="shared" si="119"/>
        <v/>
      </c>
      <c r="N816" t="str">
        <f>IF($A816="","",IFERROR(INDEX(Prices[Category],MATCH($A816,Prices[Key],0)),"Uncategorized"))</f>
        <v/>
      </c>
      <c r="O816" s="291" t="str">
        <f t="shared" si="120"/>
        <v/>
      </c>
      <c r="P816" s="291" t="str">
        <f t="shared" si="121"/>
        <v/>
      </c>
    </row>
    <row r="817" spans="1:16" ht="15" customHeight="1" x14ac:dyDescent="0.2">
      <c r="A817" s="243" t="str">
        <f>IFERROR(INDEX('All Ticker P&amp;L'!$A$2:$A$1001,MATCH(ROWS($A$2:A817),'All Ticker P&amp;L'!$N$2:$N$1001,0)),"")</f>
        <v/>
      </c>
      <c r="B817" s="243" t="str">
        <f t="shared" si="113"/>
        <v/>
      </c>
      <c r="C817" s="243" t="str">
        <f t="shared" si="114"/>
        <v/>
      </c>
      <c r="D817" s="243" t="str">
        <f t="shared" si="115"/>
        <v/>
      </c>
      <c r="E817" s="265" t="str">
        <f>IF($A817="","",SUMIFS(Txn[Signed Units],Txn[Key],$A817))</f>
        <v/>
      </c>
      <c r="F817" s="287" t="str">
        <f>IF($A817="","",SUMIFS(Txn[Buy Cost],Txn[Key],$A817))</f>
        <v/>
      </c>
      <c r="G817" s="287" t="str">
        <f>IF($A817="","",SUMIFS(Txn[Sell Proceeds],Txn[Key],$A817))</f>
        <v/>
      </c>
      <c r="H817" s="288" t="str">
        <f>IF($A817="","",IFERROR(INDEX(Prices[Current Price],MATCH($A817,Prices[Key],0)),0))</f>
        <v/>
      </c>
      <c r="I817" s="289" t="str">
        <f>IF($A817="","",IFERROR(INDEX(Prices[FX to SGD],MATCH($A817,Prices[Key],0)),1))</f>
        <v/>
      </c>
      <c r="J817" s="287" t="str">
        <f t="shared" si="116"/>
        <v/>
      </c>
      <c r="K817" s="287" t="str">
        <f t="shared" si="117"/>
        <v/>
      </c>
      <c r="L817" s="287" t="str">
        <f t="shared" si="118"/>
        <v/>
      </c>
      <c r="M817" s="290" t="str">
        <f t="shared" si="119"/>
        <v/>
      </c>
      <c r="N817" t="str">
        <f>IF($A817="","",IFERROR(INDEX(Prices[Category],MATCH($A817,Prices[Key],0)),"Uncategorized"))</f>
        <v/>
      </c>
      <c r="O817" s="291" t="str">
        <f t="shared" si="120"/>
        <v/>
      </c>
      <c r="P817" s="291" t="str">
        <f t="shared" si="121"/>
        <v/>
      </c>
    </row>
    <row r="818" spans="1:16" ht="15" customHeight="1" x14ac:dyDescent="0.2">
      <c r="A818" s="243" t="str">
        <f>IFERROR(INDEX('All Ticker P&amp;L'!$A$2:$A$1001,MATCH(ROWS($A$2:A818),'All Ticker P&amp;L'!$N$2:$N$1001,0)),"")</f>
        <v/>
      </c>
      <c r="B818" s="243" t="str">
        <f t="shared" si="113"/>
        <v/>
      </c>
      <c r="C818" s="243" t="str">
        <f t="shared" si="114"/>
        <v/>
      </c>
      <c r="D818" s="243" t="str">
        <f t="shared" si="115"/>
        <v/>
      </c>
      <c r="E818" s="265" t="str">
        <f>IF($A818="","",SUMIFS(Txn[Signed Units],Txn[Key],$A818))</f>
        <v/>
      </c>
      <c r="F818" s="287" t="str">
        <f>IF($A818="","",SUMIFS(Txn[Buy Cost],Txn[Key],$A818))</f>
        <v/>
      </c>
      <c r="G818" s="287" t="str">
        <f>IF($A818="","",SUMIFS(Txn[Sell Proceeds],Txn[Key],$A818))</f>
        <v/>
      </c>
      <c r="H818" s="288" t="str">
        <f>IF($A818="","",IFERROR(INDEX(Prices[Current Price],MATCH($A818,Prices[Key],0)),0))</f>
        <v/>
      </c>
      <c r="I818" s="289" t="str">
        <f>IF($A818="","",IFERROR(INDEX(Prices[FX to SGD],MATCH($A818,Prices[Key],0)),1))</f>
        <v/>
      </c>
      <c r="J818" s="287" t="str">
        <f t="shared" si="116"/>
        <v/>
      </c>
      <c r="K818" s="287" t="str">
        <f t="shared" si="117"/>
        <v/>
      </c>
      <c r="L818" s="287" t="str">
        <f t="shared" si="118"/>
        <v/>
      </c>
      <c r="M818" s="290" t="str">
        <f t="shared" si="119"/>
        <v/>
      </c>
      <c r="N818" t="str">
        <f>IF($A818="","",IFERROR(INDEX(Prices[Category],MATCH($A818,Prices[Key],0)),"Uncategorized"))</f>
        <v/>
      </c>
      <c r="O818" s="291" t="str">
        <f t="shared" si="120"/>
        <v/>
      </c>
      <c r="P818" s="291" t="str">
        <f t="shared" si="121"/>
        <v/>
      </c>
    </row>
    <row r="819" spans="1:16" ht="15" customHeight="1" x14ac:dyDescent="0.2">
      <c r="A819" s="243" t="str">
        <f>IFERROR(INDEX('All Ticker P&amp;L'!$A$2:$A$1001,MATCH(ROWS($A$2:A819),'All Ticker P&amp;L'!$N$2:$N$1001,0)),"")</f>
        <v/>
      </c>
      <c r="B819" s="243" t="str">
        <f t="shared" si="113"/>
        <v/>
      </c>
      <c r="C819" s="243" t="str">
        <f t="shared" si="114"/>
        <v/>
      </c>
      <c r="D819" s="243" t="str">
        <f t="shared" si="115"/>
        <v/>
      </c>
      <c r="E819" s="265" t="str">
        <f>IF($A819="","",SUMIFS(Txn[Signed Units],Txn[Key],$A819))</f>
        <v/>
      </c>
      <c r="F819" s="287" t="str">
        <f>IF($A819="","",SUMIFS(Txn[Buy Cost],Txn[Key],$A819))</f>
        <v/>
      </c>
      <c r="G819" s="287" t="str">
        <f>IF($A819="","",SUMIFS(Txn[Sell Proceeds],Txn[Key],$A819))</f>
        <v/>
      </c>
      <c r="H819" s="288" t="str">
        <f>IF($A819="","",IFERROR(INDEX(Prices[Current Price],MATCH($A819,Prices[Key],0)),0))</f>
        <v/>
      </c>
      <c r="I819" s="289" t="str">
        <f>IF($A819="","",IFERROR(INDEX(Prices[FX to SGD],MATCH($A819,Prices[Key],0)),1))</f>
        <v/>
      </c>
      <c r="J819" s="287" t="str">
        <f t="shared" si="116"/>
        <v/>
      </c>
      <c r="K819" s="287" t="str">
        <f t="shared" si="117"/>
        <v/>
      </c>
      <c r="L819" s="287" t="str">
        <f t="shared" si="118"/>
        <v/>
      </c>
      <c r="M819" s="290" t="str">
        <f t="shared" si="119"/>
        <v/>
      </c>
      <c r="N819" t="str">
        <f>IF($A819="","",IFERROR(INDEX(Prices[Category],MATCH($A819,Prices[Key],0)),"Uncategorized"))</f>
        <v/>
      </c>
      <c r="O819" s="291" t="str">
        <f t="shared" si="120"/>
        <v/>
      </c>
      <c r="P819" s="291" t="str">
        <f t="shared" si="121"/>
        <v/>
      </c>
    </row>
    <row r="820" spans="1:16" ht="15" customHeight="1" x14ac:dyDescent="0.2">
      <c r="A820" s="243" t="str">
        <f>IFERROR(INDEX('All Ticker P&amp;L'!$A$2:$A$1001,MATCH(ROWS($A$2:A820),'All Ticker P&amp;L'!$N$2:$N$1001,0)),"")</f>
        <v/>
      </c>
      <c r="B820" s="243" t="str">
        <f t="shared" si="113"/>
        <v/>
      </c>
      <c r="C820" s="243" t="str">
        <f t="shared" si="114"/>
        <v/>
      </c>
      <c r="D820" s="243" t="str">
        <f t="shared" si="115"/>
        <v/>
      </c>
      <c r="E820" s="265" t="str">
        <f>IF($A820="","",SUMIFS(Txn[Signed Units],Txn[Key],$A820))</f>
        <v/>
      </c>
      <c r="F820" s="287" t="str">
        <f>IF($A820="","",SUMIFS(Txn[Buy Cost],Txn[Key],$A820))</f>
        <v/>
      </c>
      <c r="G820" s="287" t="str">
        <f>IF($A820="","",SUMIFS(Txn[Sell Proceeds],Txn[Key],$A820))</f>
        <v/>
      </c>
      <c r="H820" s="288" t="str">
        <f>IF($A820="","",IFERROR(INDEX(Prices[Current Price],MATCH($A820,Prices[Key],0)),0))</f>
        <v/>
      </c>
      <c r="I820" s="289" t="str">
        <f>IF($A820="","",IFERROR(INDEX(Prices[FX to SGD],MATCH($A820,Prices[Key],0)),1))</f>
        <v/>
      </c>
      <c r="J820" s="287" t="str">
        <f t="shared" si="116"/>
        <v/>
      </c>
      <c r="K820" s="287" t="str">
        <f t="shared" si="117"/>
        <v/>
      </c>
      <c r="L820" s="287" t="str">
        <f t="shared" si="118"/>
        <v/>
      </c>
      <c r="M820" s="290" t="str">
        <f t="shared" si="119"/>
        <v/>
      </c>
      <c r="N820" t="str">
        <f>IF($A820="","",IFERROR(INDEX(Prices[Category],MATCH($A820,Prices[Key],0)),"Uncategorized"))</f>
        <v/>
      </c>
      <c r="O820" s="291" t="str">
        <f t="shared" si="120"/>
        <v/>
      </c>
      <c r="P820" s="291" t="str">
        <f t="shared" si="121"/>
        <v/>
      </c>
    </row>
    <row r="821" spans="1:16" ht="15" customHeight="1" x14ac:dyDescent="0.2">
      <c r="A821" s="243" t="str">
        <f>IFERROR(INDEX('All Ticker P&amp;L'!$A$2:$A$1001,MATCH(ROWS($A$2:A821),'All Ticker P&amp;L'!$N$2:$N$1001,0)),"")</f>
        <v/>
      </c>
      <c r="B821" s="243" t="str">
        <f t="shared" si="113"/>
        <v/>
      </c>
      <c r="C821" s="243" t="str">
        <f t="shared" si="114"/>
        <v/>
      </c>
      <c r="D821" s="243" t="str">
        <f t="shared" si="115"/>
        <v/>
      </c>
      <c r="E821" s="265" t="str">
        <f>IF($A821="","",SUMIFS(Txn[Signed Units],Txn[Key],$A821))</f>
        <v/>
      </c>
      <c r="F821" s="287" t="str">
        <f>IF($A821="","",SUMIFS(Txn[Buy Cost],Txn[Key],$A821))</f>
        <v/>
      </c>
      <c r="G821" s="287" t="str">
        <f>IF($A821="","",SUMIFS(Txn[Sell Proceeds],Txn[Key],$A821))</f>
        <v/>
      </c>
      <c r="H821" s="288" t="str">
        <f>IF($A821="","",IFERROR(INDEX(Prices[Current Price],MATCH($A821,Prices[Key],0)),0))</f>
        <v/>
      </c>
      <c r="I821" s="289" t="str">
        <f>IF($A821="","",IFERROR(INDEX(Prices[FX to SGD],MATCH($A821,Prices[Key],0)),1))</f>
        <v/>
      </c>
      <c r="J821" s="287" t="str">
        <f t="shared" si="116"/>
        <v/>
      </c>
      <c r="K821" s="287" t="str">
        <f t="shared" si="117"/>
        <v/>
      </c>
      <c r="L821" s="287" t="str">
        <f t="shared" si="118"/>
        <v/>
      </c>
      <c r="M821" s="290" t="str">
        <f t="shared" si="119"/>
        <v/>
      </c>
      <c r="N821" t="str">
        <f>IF($A821="","",IFERROR(INDEX(Prices[Category],MATCH($A821,Prices[Key],0)),"Uncategorized"))</f>
        <v/>
      </c>
      <c r="O821" s="291" t="str">
        <f t="shared" si="120"/>
        <v/>
      </c>
      <c r="P821" s="291" t="str">
        <f t="shared" si="121"/>
        <v/>
      </c>
    </row>
    <row r="822" spans="1:16" ht="15" customHeight="1" x14ac:dyDescent="0.2">
      <c r="A822" s="243" t="str">
        <f>IFERROR(INDEX('All Ticker P&amp;L'!$A$2:$A$1001,MATCH(ROWS($A$2:A822),'All Ticker P&amp;L'!$N$2:$N$1001,0)),"")</f>
        <v/>
      </c>
      <c r="B822" s="243" t="str">
        <f t="shared" si="113"/>
        <v/>
      </c>
      <c r="C822" s="243" t="str">
        <f t="shared" si="114"/>
        <v/>
      </c>
      <c r="D822" s="243" t="str">
        <f t="shared" si="115"/>
        <v/>
      </c>
      <c r="E822" s="265" t="str">
        <f>IF($A822="","",SUMIFS(Txn[Signed Units],Txn[Key],$A822))</f>
        <v/>
      </c>
      <c r="F822" s="287" t="str">
        <f>IF($A822="","",SUMIFS(Txn[Buy Cost],Txn[Key],$A822))</f>
        <v/>
      </c>
      <c r="G822" s="287" t="str">
        <f>IF($A822="","",SUMIFS(Txn[Sell Proceeds],Txn[Key],$A822))</f>
        <v/>
      </c>
      <c r="H822" s="288" t="str">
        <f>IF($A822="","",IFERROR(INDEX(Prices[Current Price],MATCH($A822,Prices[Key],0)),0))</f>
        <v/>
      </c>
      <c r="I822" s="289" t="str">
        <f>IF($A822="","",IFERROR(INDEX(Prices[FX to SGD],MATCH($A822,Prices[Key],0)),1))</f>
        <v/>
      </c>
      <c r="J822" s="287" t="str">
        <f t="shared" si="116"/>
        <v/>
      </c>
      <c r="K822" s="287" t="str">
        <f t="shared" si="117"/>
        <v/>
      </c>
      <c r="L822" s="287" t="str">
        <f t="shared" si="118"/>
        <v/>
      </c>
      <c r="M822" s="290" t="str">
        <f t="shared" si="119"/>
        <v/>
      </c>
      <c r="N822" t="str">
        <f>IF($A822="","",IFERROR(INDEX(Prices[Category],MATCH($A822,Prices[Key],0)),"Uncategorized"))</f>
        <v/>
      </c>
      <c r="O822" s="291" t="str">
        <f t="shared" si="120"/>
        <v/>
      </c>
      <c r="P822" s="291" t="str">
        <f t="shared" si="121"/>
        <v/>
      </c>
    </row>
    <row r="823" spans="1:16" ht="15" customHeight="1" x14ac:dyDescent="0.2">
      <c r="A823" s="243" t="str">
        <f>IFERROR(INDEX('All Ticker P&amp;L'!$A$2:$A$1001,MATCH(ROWS($A$2:A823),'All Ticker P&amp;L'!$N$2:$N$1001,0)),"")</f>
        <v/>
      </c>
      <c r="B823" s="243" t="str">
        <f t="shared" si="113"/>
        <v/>
      </c>
      <c r="C823" s="243" t="str">
        <f t="shared" si="114"/>
        <v/>
      </c>
      <c r="D823" s="243" t="str">
        <f t="shared" si="115"/>
        <v/>
      </c>
      <c r="E823" s="265" t="str">
        <f>IF($A823="","",SUMIFS(Txn[Signed Units],Txn[Key],$A823))</f>
        <v/>
      </c>
      <c r="F823" s="287" t="str">
        <f>IF($A823="","",SUMIFS(Txn[Buy Cost],Txn[Key],$A823))</f>
        <v/>
      </c>
      <c r="G823" s="287" t="str">
        <f>IF($A823="","",SUMIFS(Txn[Sell Proceeds],Txn[Key],$A823))</f>
        <v/>
      </c>
      <c r="H823" s="288" t="str">
        <f>IF($A823="","",IFERROR(INDEX(Prices[Current Price],MATCH($A823,Prices[Key],0)),0))</f>
        <v/>
      </c>
      <c r="I823" s="289" t="str">
        <f>IF($A823="","",IFERROR(INDEX(Prices[FX to SGD],MATCH($A823,Prices[Key],0)),1))</f>
        <v/>
      </c>
      <c r="J823" s="287" t="str">
        <f t="shared" si="116"/>
        <v/>
      </c>
      <c r="K823" s="287" t="str">
        <f t="shared" si="117"/>
        <v/>
      </c>
      <c r="L823" s="287" t="str">
        <f t="shared" si="118"/>
        <v/>
      </c>
      <c r="M823" s="290" t="str">
        <f t="shared" si="119"/>
        <v/>
      </c>
      <c r="N823" t="str">
        <f>IF($A823="","",IFERROR(INDEX(Prices[Category],MATCH($A823,Prices[Key],0)),"Uncategorized"))</f>
        <v/>
      </c>
      <c r="O823" s="291" t="str">
        <f t="shared" si="120"/>
        <v/>
      </c>
      <c r="P823" s="291" t="str">
        <f t="shared" si="121"/>
        <v/>
      </c>
    </row>
    <row r="824" spans="1:16" ht="15" customHeight="1" x14ac:dyDescent="0.2">
      <c r="A824" s="243" t="str">
        <f>IFERROR(INDEX('All Ticker P&amp;L'!$A$2:$A$1001,MATCH(ROWS($A$2:A824),'All Ticker P&amp;L'!$N$2:$N$1001,0)),"")</f>
        <v/>
      </c>
      <c r="B824" s="243" t="str">
        <f t="shared" si="113"/>
        <v/>
      </c>
      <c r="C824" s="243" t="str">
        <f t="shared" si="114"/>
        <v/>
      </c>
      <c r="D824" s="243" t="str">
        <f t="shared" si="115"/>
        <v/>
      </c>
      <c r="E824" s="265" t="str">
        <f>IF($A824="","",SUMIFS(Txn[Signed Units],Txn[Key],$A824))</f>
        <v/>
      </c>
      <c r="F824" s="287" t="str">
        <f>IF($A824="","",SUMIFS(Txn[Buy Cost],Txn[Key],$A824))</f>
        <v/>
      </c>
      <c r="G824" s="287" t="str">
        <f>IF($A824="","",SUMIFS(Txn[Sell Proceeds],Txn[Key],$A824))</f>
        <v/>
      </c>
      <c r="H824" s="288" t="str">
        <f>IF($A824="","",IFERROR(INDEX(Prices[Current Price],MATCH($A824,Prices[Key],0)),0))</f>
        <v/>
      </c>
      <c r="I824" s="289" t="str">
        <f>IF($A824="","",IFERROR(INDEX(Prices[FX to SGD],MATCH($A824,Prices[Key],0)),1))</f>
        <v/>
      </c>
      <c r="J824" s="287" t="str">
        <f t="shared" si="116"/>
        <v/>
      </c>
      <c r="K824" s="287" t="str">
        <f t="shared" si="117"/>
        <v/>
      </c>
      <c r="L824" s="287" t="str">
        <f t="shared" si="118"/>
        <v/>
      </c>
      <c r="M824" s="290" t="str">
        <f t="shared" si="119"/>
        <v/>
      </c>
      <c r="N824" t="str">
        <f>IF($A824="","",IFERROR(INDEX(Prices[Category],MATCH($A824,Prices[Key],0)),"Uncategorized"))</f>
        <v/>
      </c>
      <c r="O824" s="291" t="str">
        <f t="shared" si="120"/>
        <v/>
      </c>
      <c r="P824" s="291" t="str">
        <f t="shared" si="121"/>
        <v/>
      </c>
    </row>
    <row r="825" spans="1:16" ht="15" customHeight="1" x14ac:dyDescent="0.2">
      <c r="A825" s="243" t="str">
        <f>IFERROR(INDEX('All Ticker P&amp;L'!$A$2:$A$1001,MATCH(ROWS($A$2:A825),'All Ticker P&amp;L'!$N$2:$N$1001,0)),"")</f>
        <v/>
      </c>
      <c r="B825" s="243" t="str">
        <f t="shared" si="113"/>
        <v/>
      </c>
      <c r="C825" s="243" t="str">
        <f t="shared" si="114"/>
        <v/>
      </c>
      <c r="D825" s="243" t="str">
        <f t="shared" si="115"/>
        <v/>
      </c>
      <c r="E825" s="265" t="str">
        <f>IF($A825="","",SUMIFS(Txn[Signed Units],Txn[Key],$A825))</f>
        <v/>
      </c>
      <c r="F825" s="287" t="str">
        <f>IF($A825="","",SUMIFS(Txn[Buy Cost],Txn[Key],$A825))</f>
        <v/>
      </c>
      <c r="G825" s="287" t="str">
        <f>IF($A825="","",SUMIFS(Txn[Sell Proceeds],Txn[Key],$A825))</f>
        <v/>
      </c>
      <c r="H825" s="288" t="str">
        <f>IF($A825="","",IFERROR(INDEX(Prices[Current Price],MATCH($A825,Prices[Key],0)),0))</f>
        <v/>
      </c>
      <c r="I825" s="289" t="str">
        <f>IF($A825="","",IFERROR(INDEX(Prices[FX to SGD],MATCH($A825,Prices[Key],0)),1))</f>
        <v/>
      </c>
      <c r="J825" s="287" t="str">
        <f t="shared" si="116"/>
        <v/>
      </c>
      <c r="K825" s="287" t="str">
        <f t="shared" si="117"/>
        <v/>
      </c>
      <c r="L825" s="287" t="str">
        <f t="shared" si="118"/>
        <v/>
      </c>
      <c r="M825" s="290" t="str">
        <f t="shared" si="119"/>
        <v/>
      </c>
      <c r="N825" t="str">
        <f>IF($A825="","",IFERROR(INDEX(Prices[Category],MATCH($A825,Prices[Key],0)),"Uncategorized"))</f>
        <v/>
      </c>
      <c r="O825" s="291" t="str">
        <f t="shared" si="120"/>
        <v/>
      </c>
      <c r="P825" s="291" t="str">
        <f t="shared" si="121"/>
        <v/>
      </c>
    </row>
    <row r="826" spans="1:16" ht="15" customHeight="1" x14ac:dyDescent="0.2">
      <c r="A826" s="243" t="str">
        <f>IFERROR(INDEX('All Ticker P&amp;L'!$A$2:$A$1001,MATCH(ROWS($A$2:A826),'All Ticker P&amp;L'!$N$2:$N$1001,0)),"")</f>
        <v/>
      </c>
      <c r="B826" s="243" t="str">
        <f t="shared" si="113"/>
        <v/>
      </c>
      <c r="C826" s="243" t="str">
        <f t="shared" si="114"/>
        <v/>
      </c>
      <c r="D826" s="243" t="str">
        <f t="shared" si="115"/>
        <v/>
      </c>
      <c r="E826" s="265" t="str">
        <f>IF($A826="","",SUMIFS(Txn[Signed Units],Txn[Key],$A826))</f>
        <v/>
      </c>
      <c r="F826" s="287" t="str">
        <f>IF($A826="","",SUMIFS(Txn[Buy Cost],Txn[Key],$A826))</f>
        <v/>
      </c>
      <c r="G826" s="287" t="str">
        <f>IF($A826="","",SUMIFS(Txn[Sell Proceeds],Txn[Key],$A826))</f>
        <v/>
      </c>
      <c r="H826" s="288" t="str">
        <f>IF($A826="","",IFERROR(INDEX(Prices[Current Price],MATCH($A826,Prices[Key],0)),0))</f>
        <v/>
      </c>
      <c r="I826" s="289" t="str">
        <f>IF($A826="","",IFERROR(INDEX(Prices[FX to SGD],MATCH($A826,Prices[Key],0)),1))</f>
        <v/>
      </c>
      <c r="J826" s="287" t="str">
        <f t="shared" si="116"/>
        <v/>
      </c>
      <c r="K826" s="287" t="str">
        <f t="shared" si="117"/>
        <v/>
      </c>
      <c r="L826" s="287" t="str">
        <f t="shared" si="118"/>
        <v/>
      </c>
      <c r="M826" s="290" t="str">
        <f t="shared" si="119"/>
        <v/>
      </c>
      <c r="N826" t="str">
        <f>IF($A826="","",IFERROR(INDEX(Prices[Category],MATCH($A826,Prices[Key],0)),"Uncategorized"))</f>
        <v/>
      </c>
      <c r="O826" s="291" t="str">
        <f t="shared" si="120"/>
        <v/>
      </c>
      <c r="P826" s="291" t="str">
        <f t="shared" si="121"/>
        <v/>
      </c>
    </row>
    <row r="827" spans="1:16" ht="15" customHeight="1" x14ac:dyDescent="0.2">
      <c r="A827" s="243" t="str">
        <f>IFERROR(INDEX('All Ticker P&amp;L'!$A$2:$A$1001,MATCH(ROWS($A$2:A827),'All Ticker P&amp;L'!$N$2:$N$1001,0)),"")</f>
        <v/>
      </c>
      <c r="B827" s="243" t="str">
        <f t="shared" si="113"/>
        <v/>
      </c>
      <c r="C827" s="243" t="str">
        <f t="shared" si="114"/>
        <v/>
      </c>
      <c r="D827" s="243" t="str">
        <f t="shared" si="115"/>
        <v/>
      </c>
      <c r="E827" s="265" t="str">
        <f>IF($A827="","",SUMIFS(Txn[Signed Units],Txn[Key],$A827))</f>
        <v/>
      </c>
      <c r="F827" s="287" t="str">
        <f>IF($A827="","",SUMIFS(Txn[Buy Cost],Txn[Key],$A827))</f>
        <v/>
      </c>
      <c r="G827" s="287" t="str">
        <f>IF($A827="","",SUMIFS(Txn[Sell Proceeds],Txn[Key],$A827))</f>
        <v/>
      </c>
      <c r="H827" s="288" t="str">
        <f>IF($A827="","",IFERROR(INDEX(Prices[Current Price],MATCH($A827,Prices[Key],0)),0))</f>
        <v/>
      </c>
      <c r="I827" s="289" t="str">
        <f>IF($A827="","",IFERROR(INDEX(Prices[FX to SGD],MATCH($A827,Prices[Key],0)),1))</f>
        <v/>
      </c>
      <c r="J827" s="287" t="str">
        <f t="shared" si="116"/>
        <v/>
      </c>
      <c r="K827" s="287" t="str">
        <f t="shared" si="117"/>
        <v/>
      </c>
      <c r="L827" s="287" t="str">
        <f t="shared" si="118"/>
        <v/>
      </c>
      <c r="M827" s="290" t="str">
        <f t="shared" si="119"/>
        <v/>
      </c>
      <c r="N827" t="str">
        <f>IF($A827="","",IFERROR(INDEX(Prices[Category],MATCH($A827,Prices[Key],0)),"Uncategorized"))</f>
        <v/>
      </c>
      <c r="O827" s="291" t="str">
        <f t="shared" si="120"/>
        <v/>
      </c>
      <c r="P827" s="291" t="str">
        <f t="shared" si="121"/>
        <v/>
      </c>
    </row>
    <row r="828" spans="1:16" ht="15" customHeight="1" x14ac:dyDescent="0.2">
      <c r="A828" s="243" t="str">
        <f>IFERROR(INDEX('All Ticker P&amp;L'!$A$2:$A$1001,MATCH(ROWS($A$2:A828),'All Ticker P&amp;L'!$N$2:$N$1001,0)),"")</f>
        <v/>
      </c>
      <c r="B828" s="243" t="str">
        <f t="shared" si="113"/>
        <v/>
      </c>
      <c r="C828" s="243" t="str">
        <f t="shared" si="114"/>
        <v/>
      </c>
      <c r="D828" s="243" t="str">
        <f t="shared" si="115"/>
        <v/>
      </c>
      <c r="E828" s="265" t="str">
        <f>IF($A828="","",SUMIFS(Txn[Signed Units],Txn[Key],$A828))</f>
        <v/>
      </c>
      <c r="F828" s="287" t="str">
        <f>IF($A828="","",SUMIFS(Txn[Buy Cost],Txn[Key],$A828))</f>
        <v/>
      </c>
      <c r="G828" s="287" t="str">
        <f>IF($A828="","",SUMIFS(Txn[Sell Proceeds],Txn[Key],$A828))</f>
        <v/>
      </c>
      <c r="H828" s="288" t="str">
        <f>IF($A828="","",IFERROR(INDEX(Prices[Current Price],MATCH($A828,Prices[Key],0)),0))</f>
        <v/>
      </c>
      <c r="I828" s="289" t="str">
        <f>IF($A828="","",IFERROR(INDEX(Prices[FX to SGD],MATCH($A828,Prices[Key],0)),1))</f>
        <v/>
      </c>
      <c r="J828" s="287" t="str">
        <f t="shared" si="116"/>
        <v/>
      </c>
      <c r="K828" s="287" t="str">
        <f t="shared" si="117"/>
        <v/>
      </c>
      <c r="L828" s="287" t="str">
        <f t="shared" si="118"/>
        <v/>
      </c>
      <c r="M828" s="290" t="str">
        <f t="shared" si="119"/>
        <v/>
      </c>
      <c r="N828" t="str">
        <f>IF($A828="","",IFERROR(INDEX(Prices[Category],MATCH($A828,Prices[Key],0)),"Uncategorized"))</f>
        <v/>
      </c>
      <c r="O828" s="291" t="str">
        <f t="shared" si="120"/>
        <v/>
      </c>
      <c r="P828" s="291" t="str">
        <f t="shared" si="121"/>
        <v/>
      </c>
    </row>
    <row r="829" spans="1:16" ht="15" customHeight="1" x14ac:dyDescent="0.2">
      <c r="A829" s="243" t="str">
        <f>IFERROR(INDEX('All Ticker P&amp;L'!$A$2:$A$1001,MATCH(ROWS($A$2:A829),'All Ticker P&amp;L'!$N$2:$N$1001,0)),"")</f>
        <v/>
      </c>
      <c r="B829" s="243" t="str">
        <f t="shared" si="113"/>
        <v/>
      </c>
      <c r="C829" s="243" t="str">
        <f t="shared" si="114"/>
        <v/>
      </c>
      <c r="D829" s="243" t="str">
        <f t="shared" si="115"/>
        <v/>
      </c>
      <c r="E829" s="265" t="str">
        <f>IF($A829="","",SUMIFS(Txn[Signed Units],Txn[Key],$A829))</f>
        <v/>
      </c>
      <c r="F829" s="287" t="str">
        <f>IF($A829="","",SUMIFS(Txn[Buy Cost],Txn[Key],$A829))</f>
        <v/>
      </c>
      <c r="G829" s="287" t="str">
        <f>IF($A829="","",SUMIFS(Txn[Sell Proceeds],Txn[Key],$A829))</f>
        <v/>
      </c>
      <c r="H829" s="288" t="str">
        <f>IF($A829="","",IFERROR(INDEX(Prices[Current Price],MATCH($A829,Prices[Key],0)),0))</f>
        <v/>
      </c>
      <c r="I829" s="289" t="str">
        <f>IF($A829="","",IFERROR(INDEX(Prices[FX to SGD],MATCH($A829,Prices[Key],0)),1))</f>
        <v/>
      </c>
      <c r="J829" s="287" t="str">
        <f t="shared" si="116"/>
        <v/>
      </c>
      <c r="K829" s="287" t="str">
        <f t="shared" si="117"/>
        <v/>
      </c>
      <c r="L829" s="287" t="str">
        <f t="shared" si="118"/>
        <v/>
      </c>
      <c r="M829" s="290" t="str">
        <f t="shared" si="119"/>
        <v/>
      </c>
      <c r="N829" t="str">
        <f>IF($A829="","",IFERROR(INDEX(Prices[Category],MATCH($A829,Prices[Key],0)),"Uncategorized"))</f>
        <v/>
      </c>
      <c r="O829" s="291" t="str">
        <f t="shared" si="120"/>
        <v/>
      </c>
      <c r="P829" s="291" t="str">
        <f t="shared" si="121"/>
        <v/>
      </c>
    </row>
    <row r="830" spans="1:16" ht="15" customHeight="1" x14ac:dyDescent="0.2">
      <c r="A830" s="243" t="str">
        <f>IFERROR(INDEX('All Ticker P&amp;L'!$A$2:$A$1001,MATCH(ROWS($A$2:A830),'All Ticker P&amp;L'!$N$2:$N$1001,0)),"")</f>
        <v/>
      </c>
      <c r="B830" s="243" t="str">
        <f t="shared" si="113"/>
        <v/>
      </c>
      <c r="C830" s="243" t="str">
        <f t="shared" si="114"/>
        <v/>
      </c>
      <c r="D830" s="243" t="str">
        <f t="shared" si="115"/>
        <v/>
      </c>
      <c r="E830" s="265" t="str">
        <f>IF($A830="","",SUMIFS(Txn[Signed Units],Txn[Key],$A830))</f>
        <v/>
      </c>
      <c r="F830" s="287" t="str">
        <f>IF($A830="","",SUMIFS(Txn[Buy Cost],Txn[Key],$A830))</f>
        <v/>
      </c>
      <c r="G830" s="287" t="str">
        <f>IF($A830="","",SUMIFS(Txn[Sell Proceeds],Txn[Key],$A830))</f>
        <v/>
      </c>
      <c r="H830" s="288" t="str">
        <f>IF($A830="","",IFERROR(INDEX(Prices[Current Price],MATCH($A830,Prices[Key],0)),0))</f>
        <v/>
      </c>
      <c r="I830" s="289" t="str">
        <f>IF($A830="","",IFERROR(INDEX(Prices[FX to SGD],MATCH($A830,Prices[Key],0)),1))</f>
        <v/>
      </c>
      <c r="J830" s="287" t="str">
        <f t="shared" si="116"/>
        <v/>
      </c>
      <c r="K830" s="287" t="str">
        <f t="shared" si="117"/>
        <v/>
      </c>
      <c r="L830" s="287" t="str">
        <f t="shared" si="118"/>
        <v/>
      </c>
      <c r="M830" s="290" t="str">
        <f t="shared" si="119"/>
        <v/>
      </c>
      <c r="N830" t="str">
        <f>IF($A830="","",IFERROR(INDEX(Prices[Category],MATCH($A830,Prices[Key],0)),"Uncategorized"))</f>
        <v/>
      </c>
      <c r="O830" s="291" t="str">
        <f t="shared" si="120"/>
        <v/>
      </c>
      <c r="P830" s="291" t="str">
        <f t="shared" si="121"/>
        <v/>
      </c>
    </row>
    <row r="831" spans="1:16" ht="15" customHeight="1" x14ac:dyDescent="0.2">
      <c r="A831" s="243" t="str">
        <f>IFERROR(INDEX('All Ticker P&amp;L'!$A$2:$A$1001,MATCH(ROWS($A$2:A831),'All Ticker P&amp;L'!$N$2:$N$1001,0)),"")</f>
        <v/>
      </c>
      <c r="B831" s="243" t="str">
        <f t="shared" si="113"/>
        <v/>
      </c>
      <c r="C831" s="243" t="str">
        <f t="shared" si="114"/>
        <v/>
      </c>
      <c r="D831" s="243" t="str">
        <f t="shared" si="115"/>
        <v/>
      </c>
      <c r="E831" s="265" t="str">
        <f>IF($A831="","",SUMIFS(Txn[Signed Units],Txn[Key],$A831))</f>
        <v/>
      </c>
      <c r="F831" s="287" t="str">
        <f>IF($A831="","",SUMIFS(Txn[Buy Cost],Txn[Key],$A831))</f>
        <v/>
      </c>
      <c r="G831" s="287" t="str">
        <f>IF($A831="","",SUMIFS(Txn[Sell Proceeds],Txn[Key],$A831))</f>
        <v/>
      </c>
      <c r="H831" s="288" t="str">
        <f>IF($A831="","",IFERROR(INDEX(Prices[Current Price],MATCH($A831,Prices[Key],0)),0))</f>
        <v/>
      </c>
      <c r="I831" s="289" t="str">
        <f>IF($A831="","",IFERROR(INDEX(Prices[FX to SGD],MATCH($A831,Prices[Key],0)),1))</f>
        <v/>
      </c>
      <c r="J831" s="287" t="str">
        <f t="shared" si="116"/>
        <v/>
      </c>
      <c r="K831" s="287" t="str">
        <f t="shared" si="117"/>
        <v/>
      </c>
      <c r="L831" s="287" t="str">
        <f t="shared" si="118"/>
        <v/>
      </c>
      <c r="M831" s="290" t="str">
        <f t="shared" si="119"/>
        <v/>
      </c>
      <c r="N831" t="str">
        <f>IF($A831="","",IFERROR(INDEX(Prices[Category],MATCH($A831,Prices[Key],0)),"Uncategorized"))</f>
        <v/>
      </c>
      <c r="O831" s="291" t="str">
        <f t="shared" si="120"/>
        <v/>
      </c>
      <c r="P831" s="291" t="str">
        <f t="shared" si="121"/>
        <v/>
      </c>
    </row>
    <row r="832" spans="1:16" ht="15" customHeight="1" x14ac:dyDescent="0.2">
      <c r="A832" s="243" t="str">
        <f>IFERROR(INDEX('All Ticker P&amp;L'!$A$2:$A$1001,MATCH(ROWS($A$2:A832),'All Ticker P&amp;L'!$N$2:$N$1001,0)),"")</f>
        <v/>
      </c>
      <c r="B832" s="243" t="str">
        <f t="shared" si="113"/>
        <v/>
      </c>
      <c r="C832" s="243" t="str">
        <f t="shared" si="114"/>
        <v/>
      </c>
      <c r="D832" s="243" t="str">
        <f t="shared" si="115"/>
        <v/>
      </c>
      <c r="E832" s="265" t="str">
        <f>IF($A832="","",SUMIFS(Txn[Signed Units],Txn[Key],$A832))</f>
        <v/>
      </c>
      <c r="F832" s="287" t="str">
        <f>IF($A832="","",SUMIFS(Txn[Buy Cost],Txn[Key],$A832))</f>
        <v/>
      </c>
      <c r="G832" s="287" t="str">
        <f>IF($A832="","",SUMIFS(Txn[Sell Proceeds],Txn[Key],$A832))</f>
        <v/>
      </c>
      <c r="H832" s="288" t="str">
        <f>IF($A832="","",IFERROR(INDEX(Prices[Current Price],MATCH($A832,Prices[Key],0)),0))</f>
        <v/>
      </c>
      <c r="I832" s="289" t="str">
        <f>IF($A832="","",IFERROR(INDEX(Prices[FX to SGD],MATCH($A832,Prices[Key],0)),1))</f>
        <v/>
      </c>
      <c r="J832" s="287" t="str">
        <f t="shared" si="116"/>
        <v/>
      </c>
      <c r="K832" s="287" t="str">
        <f t="shared" si="117"/>
        <v/>
      </c>
      <c r="L832" s="287" t="str">
        <f t="shared" si="118"/>
        <v/>
      </c>
      <c r="M832" s="290" t="str">
        <f t="shared" si="119"/>
        <v/>
      </c>
      <c r="N832" t="str">
        <f>IF($A832="","",IFERROR(INDEX(Prices[Category],MATCH($A832,Prices[Key],0)),"Uncategorized"))</f>
        <v/>
      </c>
      <c r="O832" s="291" t="str">
        <f t="shared" si="120"/>
        <v/>
      </c>
      <c r="P832" s="291" t="str">
        <f t="shared" si="121"/>
        <v/>
      </c>
    </row>
    <row r="833" spans="1:16" ht="15" customHeight="1" x14ac:dyDescent="0.2">
      <c r="A833" s="243" t="str">
        <f>IFERROR(INDEX('All Ticker P&amp;L'!$A$2:$A$1001,MATCH(ROWS($A$2:A833),'All Ticker P&amp;L'!$N$2:$N$1001,0)),"")</f>
        <v/>
      </c>
      <c r="B833" s="243" t="str">
        <f t="shared" si="113"/>
        <v/>
      </c>
      <c r="C833" s="243" t="str">
        <f t="shared" si="114"/>
        <v/>
      </c>
      <c r="D833" s="243" t="str">
        <f t="shared" si="115"/>
        <v/>
      </c>
      <c r="E833" s="265" t="str">
        <f>IF($A833="","",SUMIFS(Txn[Signed Units],Txn[Key],$A833))</f>
        <v/>
      </c>
      <c r="F833" s="287" t="str">
        <f>IF($A833="","",SUMIFS(Txn[Buy Cost],Txn[Key],$A833))</f>
        <v/>
      </c>
      <c r="G833" s="287" t="str">
        <f>IF($A833="","",SUMIFS(Txn[Sell Proceeds],Txn[Key],$A833))</f>
        <v/>
      </c>
      <c r="H833" s="288" t="str">
        <f>IF($A833="","",IFERROR(INDEX(Prices[Current Price],MATCH($A833,Prices[Key],0)),0))</f>
        <v/>
      </c>
      <c r="I833" s="289" t="str">
        <f>IF($A833="","",IFERROR(INDEX(Prices[FX to SGD],MATCH($A833,Prices[Key],0)),1))</f>
        <v/>
      </c>
      <c r="J833" s="287" t="str">
        <f t="shared" si="116"/>
        <v/>
      </c>
      <c r="K833" s="287" t="str">
        <f t="shared" si="117"/>
        <v/>
      </c>
      <c r="L833" s="287" t="str">
        <f t="shared" si="118"/>
        <v/>
      </c>
      <c r="M833" s="290" t="str">
        <f t="shared" si="119"/>
        <v/>
      </c>
      <c r="N833" t="str">
        <f>IF($A833="","",IFERROR(INDEX(Prices[Category],MATCH($A833,Prices[Key],0)),"Uncategorized"))</f>
        <v/>
      </c>
      <c r="O833" s="291" t="str">
        <f t="shared" si="120"/>
        <v/>
      </c>
      <c r="P833" s="291" t="str">
        <f t="shared" si="121"/>
        <v/>
      </c>
    </row>
    <row r="834" spans="1:16" ht="15" customHeight="1" x14ac:dyDescent="0.2">
      <c r="A834" s="243" t="str">
        <f>IFERROR(INDEX('All Ticker P&amp;L'!$A$2:$A$1001,MATCH(ROWS($A$2:A834),'All Ticker P&amp;L'!$N$2:$N$1001,0)),"")</f>
        <v/>
      </c>
      <c r="B834" s="243" t="str">
        <f t="shared" ref="B834:B897" si="122">IF($A834="","",LEFT($A834,FIND(":",$A834)-1))</f>
        <v/>
      </c>
      <c r="C834" s="243" t="str">
        <f t="shared" ref="C834:C897" si="123">IF($A834="","",MID($A834,FIND(":",$A834)+1,FIND(":",$A834,FIND(":",$A834)+1)-FIND(":",$A834)-1))</f>
        <v/>
      </c>
      <c r="D834" s="243" t="str">
        <f t="shared" ref="D834:D897" si="124">IF($A834="","",RIGHT($A834,LEN($A834)-FIND(":",$A834,FIND(":",$A834)+1)))</f>
        <v/>
      </c>
      <c r="E834" s="265" t="str">
        <f>IF($A834="","",SUMIFS(Txn[Signed Units],Txn[Key],$A834))</f>
        <v/>
      </c>
      <c r="F834" s="287" t="str">
        <f>IF($A834="","",SUMIFS(Txn[Buy Cost],Txn[Key],$A834))</f>
        <v/>
      </c>
      <c r="G834" s="287" t="str">
        <f>IF($A834="","",SUMIFS(Txn[Sell Proceeds],Txn[Key],$A834))</f>
        <v/>
      </c>
      <c r="H834" s="288" t="str">
        <f>IF($A834="","",IFERROR(INDEX(Prices[Current Price],MATCH($A834,Prices[Key],0)),0))</f>
        <v/>
      </c>
      <c r="I834" s="289" t="str">
        <f>IF($A834="","",IFERROR(INDEX(Prices[FX to SGD],MATCH($A834,Prices[Key],0)),1))</f>
        <v/>
      </c>
      <c r="J834" s="287" t="str">
        <f t="shared" ref="J834:J897" si="125">IF($A834="","",E834*H834)</f>
        <v/>
      </c>
      <c r="K834" s="287" t="str">
        <f t="shared" ref="K834:K897" si="126">IF($A834="","",J834+G834-F834)</f>
        <v/>
      </c>
      <c r="L834" s="287" t="str">
        <f t="shared" ref="L834:L897" si="127">IF($A834="","",K834*I834)</f>
        <v/>
      </c>
      <c r="M834" s="290" t="str">
        <f t="shared" ref="M834:M897" si="128">IF($A834="","",IFERROR(K834/F834,0))</f>
        <v/>
      </c>
      <c r="N834" t="str">
        <f>IF($A834="","",IFERROR(INDEX(Prices[Category],MATCH($A834,Prices[Key],0)),"Uncategorized"))</f>
        <v/>
      </c>
      <c r="O834" s="291" t="str">
        <f t="shared" ref="O834:O897" si="129">IF($A834="","",$J834*$I834)</f>
        <v/>
      </c>
      <c r="P834" s="291" t="str">
        <f t="shared" ref="P834:P897" si="130">IF($A834="","",$L834)</f>
        <v/>
      </c>
    </row>
    <row r="835" spans="1:16" ht="15" customHeight="1" x14ac:dyDescent="0.2">
      <c r="A835" s="243" t="str">
        <f>IFERROR(INDEX('All Ticker P&amp;L'!$A$2:$A$1001,MATCH(ROWS($A$2:A835),'All Ticker P&amp;L'!$N$2:$N$1001,0)),"")</f>
        <v/>
      </c>
      <c r="B835" s="243" t="str">
        <f t="shared" si="122"/>
        <v/>
      </c>
      <c r="C835" s="243" t="str">
        <f t="shared" si="123"/>
        <v/>
      </c>
      <c r="D835" s="243" t="str">
        <f t="shared" si="124"/>
        <v/>
      </c>
      <c r="E835" s="265" t="str">
        <f>IF($A835="","",SUMIFS(Txn[Signed Units],Txn[Key],$A835))</f>
        <v/>
      </c>
      <c r="F835" s="287" t="str">
        <f>IF($A835="","",SUMIFS(Txn[Buy Cost],Txn[Key],$A835))</f>
        <v/>
      </c>
      <c r="G835" s="287" t="str">
        <f>IF($A835="","",SUMIFS(Txn[Sell Proceeds],Txn[Key],$A835))</f>
        <v/>
      </c>
      <c r="H835" s="288" t="str">
        <f>IF($A835="","",IFERROR(INDEX(Prices[Current Price],MATCH($A835,Prices[Key],0)),0))</f>
        <v/>
      </c>
      <c r="I835" s="289" t="str">
        <f>IF($A835="","",IFERROR(INDEX(Prices[FX to SGD],MATCH($A835,Prices[Key],0)),1))</f>
        <v/>
      </c>
      <c r="J835" s="287" t="str">
        <f t="shared" si="125"/>
        <v/>
      </c>
      <c r="K835" s="287" t="str">
        <f t="shared" si="126"/>
        <v/>
      </c>
      <c r="L835" s="287" t="str">
        <f t="shared" si="127"/>
        <v/>
      </c>
      <c r="M835" s="290" t="str">
        <f t="shared" si="128"/>
        <v/>
      </c>
      <c r="N835" t="str">
        <f>IF($A835="","",IFERROR(INDEX(Prices[Category],MATCH($A835,Prices[Key],0)),"Uncategorized"))</f>
        <v/>
      </c>
      <c r="O835" s="291" t="str">
        <f t="shared" si="129"/>
        <v/>
      </c>
      <c r="P835" s="291" t="str">
        <f t="shared" si="130"/>
        <v/>
      </c>
    </row>
    <row r="836" spans="1:16" ht="15" customHeight="1" x14ac:dyDescent="0.2">
      <c r="A836" s="243" t="str">
        <f>IFERROR(INDEX('All Ticker P&amp;L'!$A$2:$A$1001,MATCH(ROWS($A$2:A836),'All Ticker P&amp;L'!$N$2:$N$1001,0)),"")</f>
        <v/>
      </c>
      <c r="B836" s="243" t="str">
        <f t="shared" si="122"/>
        <v/>
      </c>
      <c r="C836" s="243" t="str">
        <f t="shared" si="123"/>
        <v/>
      </c>
      <c r="D836" s="243" t="str">
        <f t="shared" si="124"/>
        <v/>
      </c>
      <c r="E836" s="265" t="str">
        <f>IF($A836="","",SUMIFS(Txn[Signed Units],Txn[Key],$A836))</f>
        <v/>
      </c>
      <c r="F836" s="287" t="str">
        <f>IF($A836="","",SUMIFS(Txn[Buy Cost],Txn[Key],$A836))</f>
        <v/>
      </c>
      <c r="G836" s="287" t="str">
        <f>IF($A836="","",SUMIFS(Txn[Sell Proceeds],Txn[Key],$A836))</f>
        <v/>
      </c>
      <c r="H836" s="288" t="str">
        <f>IF($A836="","",IFERROR(INDEX(Prices[Current Price],MATCH($A836,Prices[Key],0)),0))</f>
        <v/>
      </c>
      <c r="I836" s="289" t="str">
        <f>IF($A836="","",IFERROR(INDEX(Prices[FX to SGD],MATCH($A836,Prices[Key],0)),1))</f>
        <v/>
      </c>
      <c r="J836" s="287" t="str">
        <f t="shared" si="125"/>
        <v/>
      </c>
      <c r="K836" s="287" t="str">
        <f t="shared" si="126"/>
        <v/>
      </c>
      <c r="L836" s="287" t="str">
        <f t="shared" si="127"/>
        <v/>
      </c>
      <c r="M836" s="290" t="str">
        <f t="shared" si="128"/>
        <v/>
      </c>
      <c r="N836" t="str">
        <f>IF($A836="","",IFERROR(INDEX(Prices[Category],MATCH($A836,Prices[Key],0)),"Uncategorized"))</f>
        <v/>
      </c>
      <c r="O836" s="291" t="str">
        <f t="shared" si="129"/>
        <v/>
      </c>
      <c r="P836" s="291" t="str">
        <f t="shared" si="130"/>
        <v/>
      </c>
    </row>
    <row r="837" spans="1:16" ht="15" customHeight="1" x14ac:dyDescent="0.2">
      <c r="A837" s="243" t="str">
        <f>IFERROR(INDEX('All Ticker P&amp;L'!$A$2:$A$1001,MATCH(ROWS($A$2:A837),'All Ticker P&amp;L'!$N$2:$N$1001,0)),"")</f>
        <v/>
      </c>
      <c r="B837" s="243" t="str">
        <f t="shared" si="122"/>
        <v/>
      </c>
      <c r="C837" s="243" t="str">
        <f t="shared" si="123"/>
        <v/>
      </c>
      <c r="D837" s="243" t="str">
        <f t="shared" si="124"/>
        <v/>
      </c>
      <c r="E837" s="265" t="str">
        <f>IF($A837="","",SUMIFS(Txn[Signed Units],Txn[Key],$A837))</f>
        <v/>
      </c>
      <c r="F837" s="287" t="str">
        <f>IF($A837="","",SUMIFS(Txn[Buy Cost],Txn[Key],$A837))</f>
        <v/>
      </c>
      <c r="G837" s="287" t="str">
        <f>IF($A837="","",SUMIFS(Txn[Sell Proceeds],Txn[Key],$A837))</f>
        <v/>
      </c>
      <c r="H837" s="288" t="str">
        <f>IF($A837="","",IFERROR(INDEX(Prices[Current Price],MATCH($A837,Prices[Key],0)),0))</f>
        <v/>
      </c>
      <c r="I837" s="289" t="str">
        <f>IF($A837="","",IFERROR(INDEX(Prices[FX to SGD],MATCH($A837,Prices[Key],0)),1))</f>
        <v/>
      </c>
      <c r="J837" s="287" t="str">
        <f t="shared" si="125"/>
        <v/>
      </c>
      <c r="K837" s="287" t="str">
        <f t="shared" si="126"/>
        <v/>
      </c>
      <c r="L837" s="287" t="str">
        <f t="shared" si="127"/>
        <v/>
      </c>
      <c r="M837" s="290" t="str">
        <f t="shared" si="128"/>
        <v/>
      </c>
      <c r="N837" t="str">
        <f>IF($A837="","",IFERROR(INDEX(Prices[Category],MATCH($A837,Prices[Key],0)),"Uncategorized"))</f>
        <v/>
      </c>
      <c r="O837" s="291" t="str">
        <f t="shared" si="129"/>
        <v/>
      </c>
      <c r="P837" s="291" t="str">
        <f t="shared" si="130"/>
        <v/>
      </c>
    </row>
    <row r="838" spans="1:16" ht="15" customHeight="1" x14ac:dyDescent="0.2">
      <c r="A838" s="243" t="str">
        <f>IFERROR(INDEX('All Ticker P&amp;L'!$A$2:$A$1001,MATCH(ROWS($A$2:A838),'All Ticker P&amp;L'!$N$2:$N$1001,0)),"")</f>
        <v/>
      </c>
      <c r="B838" s="243" t="str">
        <f t="shared" si="122"/>
        <v/>
      </c>
      <c r="C838" s="243" t="str">
        <f t="shared" si="123"/>
        <v/>
      </c>
      <c r="D838" s="243" t="str">
        <f t="shared" si="124"/>
        <v/>
      </c>
      <c r="E838" s="265" t="str">
        <f>IF($A838="","",SUMIFS(Txn[Signed Units],Txn[Key],$A838))</f>
        <v/>
      </c>
      <c r="F838" s="287" t="str">
        <f>IF($A838="","",SUMIFS(Txn[Buy Cost],Txn[Key],$A838))</f>
        <v/>
      </c>
      <c r="G838" s="287" t="str">
        <f>IF($A838="","",SUMIFS(Txn[Sell Proceeds],Txn[Key],$A838))</f>
        <v/>
      </c>
      <c r="H838" s="288" t="str">
        <f>IF($A838="","",IFERROR(INDEX(Prices[Current Price],MATCH($A838,Prices[Key],0)),0))</f>
        <v/>
      </c>
      <c r="I838" s="289" t="str">
        <f>IF($A838="","",IFERROR(INDEX(Prices[FX to SGD],MATCH($A838,Prices[Key],0)),1))</f>
        <v/>
      </c>
      <c r="J838" s="287" t="str">
        <f t="shared" si="125"/>
        <v/>
      </c>
      <c r="K838" s="287" t="str">
        <f t="shared" si="126"/>
        <v/>
      </c>
      <c r="L838" s="287" t="str">
        <f t="shared" si="127"/>
        <v/>
      </c>
      <c r="M838" s="290" t="str">
        <f t="shared" si="128"/>
        <v/>
      </c>
      <c r="N838" t="str">
        <f>IF($A838="","",IFERROR(INDEX(Prices[Category],MATCH($A838,Prices[Key],0)),"Uncategorized"))</f>
        <v/>
      </c>
      <c r="O838" s="291" t="str">
        <f t="shared" si="129"/>
        <v/>
      </c>
      <c r="P838" s="291" t="str">
        <f t="shared" si="130"/>
        <v/>
      </c>
    </row>
    <row r="839" spans="1:16" ht="15" customHeight="1" x14ac:dyDescent="0.2">
      <c r="A839" s="243" t="str">
        <f>IFERROR(INDEX('All Ticker P&amp;L'!$A$2:$A$1001,MATCH(ROWS($A$2:A839),'All Ticker P&amp;L'!$N$2:$N$1001,0)),"")</f>
        <v/>
      </c>
      <c r="B839" s="243" t="str">
        <f t="shared" si="122"/>
        <v/>
      </c>
      <c r="C839" s="243" t="str">
        <f t="shared" si="123"/>
        <v/>
      </c>
      <c r="D839" s="243" t="str">
        <f t="shared" si="124"/>
        <v/>
      </c>
      <c r="E839" s="265" t="str">
        <f>IF($A839="","",SUMIFS(Txn[Signed Units],Txn[Key],$A839))</f>
        <v/>
      </c>
      <c r="F839" s="287" t="str">
        <f>IF($A839="","",SUMIFS(Txn[Buy Cost],Txn[Key],$A839))</f>
        <v/>
      </c>
      <c r="G839" s="287" t="str">
        <f>IF($A839="","",SUMIFS(Txn[Sell Proceeds],Txn[Key],$A839))</f>
        <v/>
      </c>
      <c r="H839" s="288" t="str">
        <f>IF($A839="","",IFERROR(INDEX(Prices[Current Price],MATCH($A839,Prices[Key],0)),0))</f>
        <v/>
      </c>
      <c r="I839" s="289" t="str">
        <f>IF($A839="","",IFERROR(INDEX(Prices[FX to SGD],MATCH($A839,Prices[Key],0)),1))</f>
        <v/>
      </c>
      <c r="J839" s="287" t="str">
        <f t="shared" si="125"/>
        <v/>
      </c>
      <c r="K839" s="287" t="str">
        <f t="shared" si="126"/>
        <v/>
      </c>
      <c r="L839" s="287" t="str">
        <f t="shared" si="127"/>
        <v/>
      </c>
      <c r="M839" s="290" t="str">
        <f t="shared" si="128"/>
        <v/>
      </c>
      <c r="N839" t="str">
        <f>IF($A839="","",IFERROR(INDEX(Prices[Category],MATCH($A839,Prices[Key],0)),"Uncategorized"))</f>
        <v/>
      </c>
      <c r="O839" s="291" t="str">
        <f t="shared" si="129"/>
        <v/>
      </c>
      <c r="P839" s="291" t="str">
        <f t="shared" si="130"/>
        <v/>
      </c>
    </row>
    <row r="840" spans="1:16" ht="15" customHeight="1" x14ac:dyDescent="0.2">
      <c r="A840" s="243" t="str">
        <f>IFERROR(INDEX('All Ticker P&amp;L'!$A$2:$A$1001,MATCH(ROWS($A$2:A840),'All Ticker P&amp;L'!$N$2:$N$1001,0)),"")</f>
        <v/>
      </c>
      <c r="B840" s="243" t="str">
        <f t="shared" si="122"/>
        <v/>
      </c>
      <c r="C840" s="243" t="str">
        <f t="shared" si="123"/>
        <v/>
      </c>
      <c r="D840" s="243" t="str">
        <f t="shared" si="124"/>
        <v/>
      </c>
      <c r="E840" s="265" t="str">
        <f>IF($A840="","",SUMIFS(Txn[Signed Units],Txn[Key],$A840))</f>
        <v/>
      </c>
      <c r="F840" s="287" t="str">
        <f>IF($A840="","",SUMIFS(Txn[Buy Cost],Txn[Key],$A840))</f>
        <v/>
      </c>
      <c r="G840" s="287" t="str">
        <f>IF($A840="","",SUMIFS(Txn[Sell Proceeds],Txn[Key],$A840))</f>
        <v/>
      </c>
      <c r="H840" s="288" t="str">
        <f>IF($A840="","",IFERROR(INDEX(Prices[Current Price],MATCH($A840,Prices[Key],0)),0))</f>
        <v/>
      </c>
      <c r="I840" s="289" t="str">
        <f>IF($A840="","",IFERROR(INDEX(Prices[FX to SGD],MATCH($A840,Prices[Key],0)),1))</f>
        <v/>
      </c>
      <c r="J840" s="287" t="str">
        <f t="shared" si="125"/>
        <v/>
      </c>
      <c r="K840" s="287" t="str">
        <f t="shared" si="126"/>
        <v/>
      </c>
      <c r="L840" s="287" t="str">
        <f t="shared" si="127"/>
        <v/>
      </c>
      <c r="M840" s="290" t="str">
        <f t="shared" si="128"/>
        <v/>
      </c>
      <c r="N840" t="str">
        <f>IF($A840="","",IFERROR(INDEX(Prices[Category],MATCH($A840,Prices[Key],0)),"Uncategorized"))</f>
        <v/>
      </c>
      <c r="O840" s="291" t="str">
        <f t="shared" si="129"/>
        <v/>
      </c>
      <c r="P840" s="291" t="str">
        <f t="shared" si="130"/>
        <v/>
      </c>
    </row>
    <row r="841" spans="1:16" ht="15" customHeight="1" x14ac:dyDescent="0.2">
      <c r="A841" s="243" t="str">
        <f>IFERROR(INDEX('All Ticker P&amp;L'!$A$2:$A$1001,MATCH(ROWS($A$2:A841),'All Ticker P&amp;L'!$N$2:$N$1001,0)),"")</f>
        <v/>
      </c>
      <c r="B841" s="243" t="str">
        <f t="shared" si="122"/>
        <v/>
      </c>
      <c r="C841" s="243" t="str">
        <f t="shared" si="123"/>
        <v/>
      </c>
      <c r="D841" s="243" t="str">
        <f t="shared" si="124"/>
        <v/>
      </c>
      <c r="E841" s="265" t="str">
        <f>IF($A841="","",SUMIFS(Txn[Signed Units],Txn[Key],$A841))</f>
        <v/>
      </c>
      <c r="F841" s="287" t="str">
        <f>IF($A841="","",SUMIFS(Txn[Buy Cost],Txn[Key],$A841))</f>
        <v/>
      </c>
      <c r="G841" s="287" t="str">
        <f>IF($A841="","",SUMIFS(Txn[Sell Proceeds],Txn[Key],$A841))</f>
        <v/>
      </c>
      <c r="H841" s="288" t="str">
        <f>IF($A841="","",IFERROR(INDEX(Prices[Current Price],MATCH($A841,Prices[Key],0)),0))</f>
        <v/>
      </c>
      <c r="I841" s="289" t="str">
        <f>IF($A841="","",IFERROR(INDEX(Prices[FX to SGD],MATCH($A841,Prices[Key],0)),1))</f>
        <v/>
      </c>
      <c r="J841" s="287" t="str">
        <f t="shared" si="125"/>
        <v/>
      </c>
      <c r="K841" s="287" t="str">
        <f t="shared" si="126"/>
        <v/>
      </c>
      <c r="L841" s="287" t="str">
        <f t="shared" si="127"/>
        <v/>
      </c>
      <c r="M841" s="290" t="str">
        <f t="shared" si="128"/>
        <v/>
      </c>
      <c r="N841" t="str">
        <f>IF($A841="","",IFERROR(INDEX(Prices[Category],MATCH($A841,Prices[Key],0)),"Uncategorized"))</f>
        <v/>
      </c>
      <c r="O841" s="291" t="str">
        <f t="shared" si="129"/>
        <v/>
      </c>
      <c r="P841" s="291" t="str">
        <f t="shared" si="130"/>
        <v/>
      </c>
    </row>
    <row r="842" spans="1:16" ht="15" customHeight="1" x14ac:dyDescent="0.2">
      <c r="A842" s="243" t="str">
        <f>IFERROR(INDEX('All Ticker P&amp;L'!$A$2:$A$1001,MATCH(ROWS($A$2:A842),'All Ticker P&amp;L'!$N$2:$N$1001,0)),"")</f>
        <v/>
      </c>
      <c r="B842" s="243" t="str">
        <f t="shared" si="122"/>
        <v/>
      </c>
      <c r="C842" s="243" t="str">
        <f t="shared" si="123"/>
        <v/>
      </c>
      <c r="D842" s="243" t="str">
        <f t="shared" si="124"/>
        <v/>
      </c>
      <c r="E842" s="265" t="str">
        <f>IF($A842="","",SUMIFS(Txn[Signed Units],Txn[Key],$A842))</f>
        <v/>
      </c>
      <c r="F842" s="287" t="str">
        <f>IF($A842="","",SUMIFS(Txn[Buy Cost],Txn[Key],$A842))</f>
        <v/>
      </c>
      <c r="G842" s="287" t="str">
        <f>IF($A842="","",SUMIFS(Txn[Sell Proceeds],Txn[Key],$A842))</f>
        <v/>
      </c>
      <c r="H842" s="288" t="str">
        <f>IF($A842="","",IFERROR(INDEX(Prices[Current Price],MATCH($A842,Prices[Key],0)),0))</f>
        <v/>
      </c>
      <c r="I842" s="289" t="str">
        <f>IF($A842="","",IFERROR(INDEX(Prices[FX to SGD],MATCH($A842,Prices[Key],0)),1))</f>
        <v/>
      </c>
      <c r="J842" s="287" t="str">
        <f t="shared" si="125"/>
        <v/>
      </c>
      <c r="K842" s="287" t="str">
        <f t="shared" si="126"/>
        <v/>
      </c>
      <c r="L842" s="287" t="str">
        <f t="shared" si="127"/>
        <v/>
      </c>
      <c r="M842" s="290" t="str">
        <f t="shared" si="128"/>
        <v/>
      </c>
      <c r="N842" t="str">
        <f>IF($A842="","",IFERROR(INDEX(Prices[Category],MATCH($A842,Prices[Key],0)),"Uncategorized"))</f>
        <v/>
      </c>
      <c r="O842" s="291" t="str">
        <f t="shared" si="129"/>
        <v/>
      </c>
      <c r="P842" s="291" t="str">
        <f t="shared" si="130"/>
        <v/>
      </c>
    </row>
    <row r="843" spans="1:16" ht="15" customHeight="1" x14ac:dyDescent="0.2">
      <c r="A843" s="243" t="str">
        <f>IFERROR(INDEX('All Ticker P&amp;L'!$A$2:$A$1001,MATCH(ROWS($A$2:A843),'All Ticker P&amp;L'!$N$2:$N$1001,0)),"")</f>
        <v/>
      </c>
      <c r="B843" s="243" t="str">
        <f t="shared" si="122"/>
        <v/>
      </c>
      <c r="C843" s="243" t="str">
        <f t="shared" si="123"/>
        <v/>
      </c>
      <c r="D843" s="243" t="str">
        <f t="shared" si="124"/>
        <v/>
      </c>
      <c r="E843" s="265" t="str">
        <f>IF($A843="","",SUMIFS(Txn[Signed Units],Txn[Key],$A843))</f>
        <v/>
      </c>
      <c r="F843" s="287" t="str">
        <f>IF($A843="","",SUMIFS(Txn[Buy Cost],Txn[Key],$A843))</f>
        <v/>
      </c>
      <c r="G843" s="287" t="str">
        <f>IF($A843="","",SUMIFS(Txn[Sell Proceeds],Txn[Key],$A843))</f>
        <v/>
      </c>
      <c r="H843" s="288" t="str">
        <f>IF($A843="","",IFERROR(INDEX(Prices[Current Price],MATCH($A843,Prices[Key],0)),0))</f>
        <v/>
      </c>
      <c r="I843" s="289" t="str">
        <f>IF($A843="","",IFERROR(INDEX(Prices[FX to SGD],MATCH($A843,Prices[Key],0)),1))</f>
        <v/>
      </c>
      <c r="J843" s="287" t="str">
        <f t="shared" si="125"/>
        <v/>
      </c>
      <c r="K843" s="287" t="str">
        <f t="shared" si="126"/>
        <v/>
      </c>
      <c r="L843" s="287" t="str">
        <f t="shared" si="127"/>
        <v/>
      </c>
      <c r="M843" s="290" t="str">
        <f t="shared" si="128"/>
        <v/>
      </c>
      <c r="N843" t="str">
        <f>IF($A843="","",IFERROR(INDEX(Prices[Category],MATCH($A843,Prices[Key],0)),"Uncategorized"))</f>
        <v/>
      </c>
      <c r="O843" s="291" t="str">
        <f t="shared" si="129"/>
        <v/>
      </c>
      <c r="P843" s="291" t="str">
        <f t="shared" si="130"/>
        <v/>
      </c>
    </row>
    <row r="844" spans="1:16" ht="15" customHeight="1" x14ac:dyDescent="0.2">
      <c r="A844" s="243" t="str">
        <f>IFERROR(INDEX('All Ticker P&amp;L'!$A$2:$A$1001,MATCH(ROWS($A$2:A844),'All Ticker P&amp;L'!$N$2:$N$1001,0)),"")</f>
        <v/>
      </c>
      <c r="B844" s="243" t="str">
        <f t="shared" si="122"/>
        <v/>
      </c>
      <c r="C844" s="243" t="str">
        <f t="shared" si="123"/>
        <v/>
      </c>
      <c r="D844" s="243" t="str">
        <f t="shared" si="124"/>
        <v/>
      </c>
      <c r="E844" s="265" t="str">
        <f>IF($A844="","",SUMIFS(Txn[Signed Units],Txn[Key],$A844))</f>
        <v/>
      </c>
      <c r="F844" s="287" t="str">
        <f>IF($A844="","",SUMIFS(Txn[Buy Cost],Txn[Key],$A844))</f>
        <v/>
      </c>
      <c r="G844" s="287" t="str">
        <f>IF($A844="","",SUMIFS(Txn[Sell Proceeds],Txn[Key],$A844))</f>
        <v/>
      </c>
      <c r="H844" s="288" t="str">
        <f>IF($A844="","",IFERROR(INDEX(Prices[Current Price],MATCH($A844,Prices[Key],0)),0))</f>
        <v/>
      </c>
      <c r="I844" s="289" t="str">
        <f>IF($A844="","",IFERROR(INDEX(Prices[FX to SGD],MATCH($A844,Prices[Key],0)),1))</f>
        <v/>
      </c>
      <c r="J844" s="287" t="str">
        <f t="shared" si="125"/>
        <v/>
      </c>
      <c r="K844" s="287" t="str">
        <f t="shared" si="126"/>
        <v/>
      </c>
      <c r="L844" s="287" t="str">
        <f t="shared" si="127"/>
        <v/>
      </c>
      <c r="M844" s="290" t="str">
        <f t="shared" si="128"/>
        <v/>
      </c>
      <c r="N844" t="str">
        <f>IF($A844="","",IFERROR(INDEX(Prices[Category],MATCH($A844,Prices[Key],0)),"Uncategorized"))</f>
        <v/>
      </c>
      <c r="O844" s="291" t="str">
        <f t="shared" si="129"/>
        <v/>
      </c>
      <c r="P844" s="291" t="str">
        <f t="shared" si="130"/>
        <v/>
      </c>
    </row>
    <row r="845" spans="1:16" ht="15" customHeight="1" x14ac:dyDescent="0.2">
      <c r="A845" s="243" t="str">
        <f>IFERROR(INDEX('All Ticker P&amp;L'!$A$2:$A$1001,MATCH(ROWS($A$2:A845),'All Ticker P&amp;L'!$N$2:$N$1001,0)),"")</f>
        <v/>
      </c>
      <c r="B845" s="243" t="str">
        <f t="shared" si="122"/>
        <v/>
      </c>
      <c r="C845" s="243" t="str">
        <f t="shared" si="123"/>
        <v/>
      </c>
      <c r="D845" s="243" t="str">
        <f t="shared" si="124"/>
        <v/>
      </c>
      <c r="E845" s="265" t="str">
        <f>IF($A845="","",SUMIFS(Txn[Signed Units],Txn[Key],$A845))</f>
        <v/>
      </c>
      <c r="F845" s="287" t="str">
        <f>IF($A845="","",SUMIFS(Txn[Buy Cost],Txn[Key],$A845))</f>
        <v/>
      </c>
      <c r="G845" s="287" t="str">
        <f>IF($A845="","",SUMIFS(Txn[Sell Proceeds],Txn[Key],$A845))</f>
        <v/>
      </c>
      <c r="H845" s="288" t="str">
        <f>IF($A845="","",IFERROR(INDEX(Prices[Current Price],MATCH($A845,Prices[Key],0)),0))</f>
        <v/>
      </c>
      <c r="I845" s="289" t="str">
        <f>IF($A845="","",IFERROR(INDEX(Prices[FX to SGD],MATCH($A845,Prices[Key],0)),1))</f>
        <v/>
      </c>
      <c r="J845" s="287" t="str">
        <f t="shared" si="125"/>
        <v/>
      </c>
      <c r="K845" s="287" t="str">
        <f t="shared" si="126"/>
        <v/>
      </c>
      <c r="L845" s="287" t="str">
        <f t="shared" si="127"/>
        <v/>
      </c>
      <c r="M845" s="290" t="str">
        <f t="shared" si="128"/>
        <v/>
      </c>
      <c r="N845" t="str">
        <f>IF($A845="","",IFERROR(INDEX(Prices[Category],MATCH($A845,Prices[Key],0)),"Uncategorized"))</f>
        <v/>
      </c>
      <c r="O845" s="291" t="str">
        <f t="shared" si="129"/>
        <v/>
      </c>
      <c r="P845" s="291" t="str">
        <f t="shared" si="130"/>
        <v/>
      </c>
    </row>
    <row r="846" spans="1:16" ht="15" customHeight="1" x14ac:dyDescent="0.2">
      <c r="A846" s="243" t="str">
        <f>IFERROR(INDEX('All Ticker P&amp;L'!$A$2:$A$1001,MATCH(ROWS($A$2:A846),'All Ticker P&amp;L'!$N$2:$N$1001,0)),"")</f>
        <v/>
      </c>
      <c r="B846" s="243" t="str">
        <f t="shared" si="122"/>
        <v/>
      </c>
      <c r="C846" s="243" t="str">
        <f t="shared" si="123"/>
        <v/>
      </c>
      <c r="D846" s="243" t="str">
        <f t="shared" si="124"/>
        <v/>
      </c>
      <c r="E846" s="265" t="str">
        <f>IF($A846="","",SUMIFS(Txn[Signed Units],Txn[Key],$A846))</f>
        <v/>
      </c>
      <c r="F846" s="287" t="str">
        <f>IF($A846="","",SUMIFS(Txn[Buy Cost],Txn[Key],$A846))</f>
        <v/>
      </c>
      <c r="G846" s="287" t="str">
        <f>IF($A846="","",SUMIFS(Txn[Sell Proceeds],Txn[Key],$A846))</f>
        <v/>
      </c>
      <c r="H846" s="288" t="str">
        <f>IF($A846="","",IFERROR(INDEX(Prices[Current Price],MATCH($A846,Prices[Key],0)),0))</f>
        <v/>
      </c>
      <c r="I846" s="289" t="str">
        <f>IF($A846="","",IFERROR(INDEX(Prices[FX to SGD],MATCH($A846,Prices[Key],0)),1))</f>
        <v/>
      </c>
      <c r="J846" s="287" t="str">
        <f t="shared" si="125"/>
        <v/>
      </c>
      <c r="K846" s="287" t="str">
        <f t="shared" si="126"/>
        <v/>
      </c>
      <c r="L846" s="287" t="str">
        <f t="shared" si="127"/>
        <v/>
      </c>
      <c r="M846" s="290" t="str">
        <f t="shared" si="128"/>
        <v/>
      </c>
      <c r="N846" t="str">
        <f>IF($A846="","",IFERROR(INDEX(Prices[Category],MATCH($A846,Prices[Key],0)),"Uncategorized"))</f>
        <v/>
      </c>
      <c r="O846" s="291" t="str">
        <f t="shared" si="129"/>
        <v/>
      </c>
      <c r="P846" s="291" t="str">
        <f t="shared" si="130"/>
        <v/>
      </c>
    </row>
    <row r="847" spans="1:16" ht="15" customHeight="1" x14ac:dyDescent="0.2">
      <c r="A847" s="243" t="str">
        <f>IFERROR(INDEX('All Ticker P&amp;L'!$A$2:$A$1001,MATCH(ROWS($A$2:A847),'All Ticker P&amp;L'!$N$2:$N$1001,0)),"")</f>
        <v/>
      </c>
      <c r="B847" s="243" t="str">
        <f t="shared" si="122"/>
        <v/>
      </c>
      <c r="C847" s="243" t="str">
        <f t="shared" si="123"/>
        <v/>
      </c>
      <c r="D847" s="243" t="str">
        <f t="shared" si="124"/>
        <v/>
      </c>
      <c r="E847" s="265" t="str">
        <f>IF($A847="","",SUMIFS(Txn[Signed Units],Txn[Key],$A847))</f>
        <v/>
      </c>
      <c r="F847" s="287" t="str">
        <f>IF($A847="","",SUMIFS(Txn[Buy Cost],Txn[Key],$A847))</f>
        <v/>
      </c>
      <c r="G847" s="287" t="str">
        <f>IF($A847="","",SUMIFS(Txn[Sell Proceeds],Txn[Key],$A847))</f>
        <v/>
      </c>
      <c r="H847" s="288" t="str">
        <f>IF($A847="","",IFERROR(INDEX(Prices[Current Price],MATCH($A847,Prices[Key],0)),0))</f>
        <v/>
      </c>
      <c r="I847" s="289" t="str">
        <f>IF($A847="","",IFERROR(INDEX(Prices[FX to SGD],MATCH($A847,Prices[Key],0)),1))</f>
        <v/>
      </c>
      <c r="J847" s="287" t="str">
        <f t="shared" si="125"/>
        <v/>
      </c>
      <c r="K847" s="287" t="str">
        <f t="shared" si="126"/>
        <v/>
      </c>
      <c r="L847" s="287" t="str">
        <f t="shared" si="127"/>
        <v/>
      </c>
      <c r="M847" s="290" t="str">
        <f t="shared" si="128"/>
        <v/>
      </c>
      <c r="N847" t="str">
        <f>IF($A847="","",IFERROR(INDEX(Prices[Category],MATCH($A847,Prices[Key],0)),"Uncategorized"))</f>
        <v/>
      </c>
      <c r="O847" s="291" t="str">
        <f t="shared" si="129"/>
        <v/>
      </c>
      <c r="P847" s="291" t="str">
        <f t="shared" si="130"/>
        <v/>
      </c>
    </row>
    <row r="848" spans="1:16" ht="15" customHeight="1" x14ac:dyDescent="0.2">
      <c r="A848" s="243" t="str">
        <f>IFERROR(INDEX('All Ticker P&amp;L'!$A$2:$A$1001,MATCH(ROWS($A$2:A848),'All Ticker P&amp;L'!$N$2:$N$1001,0)),"")</f>
        <v/>
      </c>
      <c r="B848" s="243" t="str">
        <f t="shared" si="122"/>
        <v/>
      </c>
      <c r="C848" s="243" t="str">
        <f t="shared" si="123"/>
        <v/>
      </c>
      <c r="D848" s="243" t="str">
        <f t="shared" si="124"/>
        <v/>
      </c>
      <c r="E848" s="265" t="str">
        <f>IF($A848="","",SUMIFS(Txn[Signed Units],Txn[Key],$A848))</f>
        <v/>
      </c>
      <c r="F848" s="287" t="str">
        <f>IF($A848="","",SUMIFS(Txn[Buy Cost],Txn[Key],$A848))</f>
        <v/>
      </c>
      <c r="G848" s="287" t="str">
        <f>IF($A848="","",SUMIFS(Txn[Sell Proceeds],Txn[Key],$A848))</f>
        <v/>
      </c>
      <c r="H848" s="288" t="str">
        <f>IF($A848="","",IFERROR(INDEX(Prices[Current Price],MATCH($A848,Prices[Key],0)),0))</f>
        <v/>
      </c>
      <c r="I848" s="289" t="str">
        <f>IF($A848="","",IFERROR(INDEX(Prices[FX to SGD],MATCH($A848,Prices[Key],0)),1))</f>
        <v/>
      </c>
      <c r="J848" s="287" t="str">
        <f t="shared" si="125"/>
        <v/>
      </c>
      <c r="K848" s="287" t="str">
        <f t="shared" si="126"/>
        <v/>
      </c>
      <c r="L848" s="287" t="str">
        <f t="shared" si="127"/>
        <v/>
      </c>
      <c r="M848" s="290" t="str">
        <f t="shared" si="128"/>
        <v/>
      </c>
      <c r="N848" t="str">
        <f>IF($A848="","",IFERROR(INDEX(Prices[Category],MATCH($A848,Prices[Key],0)),"Uncategorized"))</f>
        <v/>
      </c>
      <c r="O848" s="291" t="str">
        <f t="shared" si="129"/>
        <v/>
      </c>
      <c r="P848" s="291" t="str">
        <f t="shared" si="130"/>
        <v/>
      </c>
    </row>
    <row r="849" spans="1:16" ht="15" customHeight="1" x14ac:dyDescent="0.2">
      <c r="A849" s="243" t="str">
        <f>IFERROR(INDEX('All Ticker P&amp;L'!$A$2:$A$1001,MATCH(ROWS($A$2:A849),'All Ticker P&amp;L'!$N$2:$N$1001,0)),"")</f>
        <v/>
      </c>
      <c r="B849" s="243" t="str">
        <f t="shared" si="122"/>
        <v/>
      </c>
      <c r="C849" s="243" t="str">
        <f t="shared" si="123"/>
        <v/>
      </c>
      <c r="D849" s="243" t="str">
        <f t="shared" si="124"/>
        <v/>
      </c>
      <c r="E849" s="265" t="str">
        <f>IF($A849="","",SUMIFS(Txn[Signed Units],Txn[Key],$A849))</f>
        <v/>
      </c>
      <c r="F849" s="287" t="str">
        <f>IF($A849="","",SUMIFS(Txn[Buy Cost],Txn[Key],$A849))</f>
        <v/>
      </c>
      <c r="G849" s="287" t="str">
        <f>IF($A849="","",SUMIFS(Txn[Sell Proceeds],Txn[Key],$A849))</f>
        <v/>
      </c>
      <c r="H849" s="288" t="str">
        <f>IF($A849="","",IFERROR(INDEX(Prices[Current Price],MATCH($A849,Prices[Key],0)),0))</f>
        <v/>
      </c>
      <c r="I849" s="289" t="str">
        <f>IF($A849="","",IFERROR(INDEX(Prices[FX to SGD],MATCH($A849,Prices[Key],0)),1))</f>
        <v/>
      </c>
      <c r="J849" s="287" t="str">
        <f t="shared" si="125"/>
        <v/>
      </c>
      <c r="K849" s="287" t="str">
        <f t="shared" si="126"/>
        <v/>
      </c>
      <c r="L849" s="287" t="str">
        <f t="shared" si="127"/>
        <v/>
      </c>
      <c r="M849" s="290" t="str">
        <f t="shared" si="128"/>
        <v/>
      </c>
      <c r="N849" t="str">
        <f>IF($A849="","",IFERROR(INDEX(Prices[Category],MATCH($A849,Prices[Key],0)),"Uncategorized"))</f>
        <v/>
      </c>
      <c r="O849" s="291" t="str">
        <f t="shared" si="129"/>
        <v/>
      </c>
      <c r="P849" s="291" t="str">
        <f t="shared" si="130"/>
        <v/>
      </c>
    </row>
    <row r="850" spans="1:16" ht="15" customHeight="1" x14ac:dyDescent="0.2">
      <c r="A850" s="243" t="str">
        <f>IFERROR(INDEX('All Ticker P&amp;L'!$A$2:$A$1001,MATCH(ROWS($A$2:A850),'All Ticker P&amp;L'!$N$2:$N$1001,0)),"")</f>
        <v/>
      </c>
      <c r="B850" s="243" t="str">
        <f t="shared" si="122"/>
        <v/>
      </c>
      <c r="C850" s="243" t="str">
        <f t="shared" si="123"/>
        <v/>
      </c>
      <c r="D850" s="243" t="str">
        <f t="shared" si="124"/>
        <v/>
      </c>
      <c r="E850" s="265" t="str">
        <f>IF($A850="","",SUMIFS(Txn[Signed Units],Txn[Key],$A850))</f>
        <v/>
      </c>
      <c r="F850" s="287" t="str">
        <f>IF($A850="","",SUMIFS(Txn[Buy Cost],Txn[Key],$A850))</f>
        <v/>
      </c>
      <c r="G850" s="287" t="str">
        <f>IF($A850="","",SUMIFS(Txn[Sell Proceeds],Txn[Key],$A850))</f>
        <v/>
      </c>
      <c r="H850" s="288" t="str">
        <f>IF($A850="","",IFERROR(INDEX(Prices[Current Price],MATCH($A850,Prices[Key],0)),0))</f>
        <v/>
      </c>
      <c r="I850" s="289" t="str">
        <f>IF($A850="","",IFERROR(INDEX(Prices[FX to SGD],MATCH($A850,Prices[Key],0)),1))</f>
        <v/>
      </c>
      <c r="J850" s="287" t="str">
        <f t="shared" si="125"/>
        <v/>
      </c>
      <c r="K850" s="287" t="str">
        <f t="shared" si="126"/>
        <v/>
      </c>
      <c r="L850" s="287" t="str">
        <f t="shared" si="127"/>
        <v/>
      </c>
      <c r="M850" s="290" t="str">
        <f t="shared" si="128"/>
        <v/>
      </c>
      <c r="N850" t="str">
        <f>IF($A850="","",IFERROR(INDEX(Prices[Category],MATCH($A850,Prices[Key],0)),"Uncategorized"))</f>
        <v/>
      </c>
      <c r="O850" s="291" t="str">
        <f t="shared" si="129"/>
        <v/>
      </c>
      <c r="P850" s="291" t="str">
        <f t="shared" si="130"/>
        <v/>
      </c>
    </row>
    <row r="851" spans="1:16" ht="15" customHeight="1" x14ac:dyDescent="0.2">
      <c r="A851" s="243" t="str">
        <f>IFERROR(INDEX('All Ticker P&amp;L'!$A$2:$A$1001,MATCH(ROWS($A$2:A851),'All Ticker P&amp;L'!$N$2:$N$1001,0)),"")</f>
        <v/>
      </c>
      <c r="B851" s="243" t="str">
        <f t="shared" si="122"/>
        <v/>
      </c>
      <c r="C851" s="243" t="str">
        <f t="shared" si="123"/>
        <v/>
      </c>
      <c r="D851" s="243" t="str">
        <f t="shared" si="124"/>
        <v/>
      </c>
      <c r="E851" s="265" t="str">
        <f>IF($A851="","",SUMIFS(Txn[Signed Units],Txn[Key],$A851))</f>
        <v/>
      </c>
      <c r="F851" s="287" t="str">
        <f>IF($A851="","",SUMIFS(Txn[Buy Cost],Txn[Key],$A851))</f>
        <v/>
      </c>
      <c r="G851" s="287" t="str">
        <f>IF($A851="","",SUMIFS(Txn[Sell Proceeds],Txn[Key],$A851))</f>
        <v/>
      </c>
      <c r="H851" s="288" t="str">
        <f>IF($A851="","",IFERROR(INDEX(Prices[Current Price],MATCH($A851,Prices[Key],0)),0))</f>
        <v/>
      </c>
      <c r="I851" s="289" t="str">
        <f>IF($A851="","",IFERROR(INDEX(Prices[FX to SGD],MATCH($A851,Prices[Key],0)),1))</f>
        <v/>
      </c>
      <c r="J851" s="287" t="str">
        <f t="shared" si="125"/>
        <v/>
      </c>
      <c r="K851" s="287" t="str">
        <f t="shared" si="126"/>
        <v/>
      </c>
      <c r="L851" s="287" t="str">
        <f t="shared" si="127"/>
        <v/>
      </c>
      <c r="M851" s="290" t="str">
        <f t="shared" si="128"/>
        <v/>
      </c>
      <c r="N851" t="str">
        <f>IF($A851="","",IFERROR(INDEX(Prices[Category],MATCH($A851,Prices[Key],0)),"Uncategorized"))</f>
        <v/>
      </c>
      <c r="O851" s="291" t="str">
        <f t="shared" si="129"/>
        <v/>
      </c>
      <c r="P851" s="291" t="str">
        <f t="shared" si="130"/>
        <v/>
      </c>
    </row>
    <row r="852" spans="1:16" ht="15" customHeight="1" x14ac:dyDescent="0.2">
      <c r="A852" s="243" t="str">
        <f>IFERROR(INDEX('All Ticker P&amp;L'!$A$2:$A$1001,MATCH(ROWS($A$2:A852),'All Ticker P&amp;L'!$N$2:$N$1001,0)),"")</f>
        <v/>
      </c>
      <c r="B852" s="243" t="str">
        <f t="shared" si="122"/>
        <v/>
      </c>
      <c r="C852" s="243" t="str">
        <f t="shared" si="123"/>
        <v/>
      </c>
      <c r="D852" s="243" t="str">
        <f t="shared" si="124"/>
        <v/>
      </c>
      <c r="E852" s="265" t="str">
        <f>IF($A852="","",SUMIFS(Txn[Signed Units],Txn[Key],$A852))</f>
        <v/>
      </c>
      <c r="F852" s="287" t="str">
        <f>IF($A852="","",SUMIFS(Txn[Buy Cost],Txn[Key],$A852))</f>
        <v/>
      </c>
      <c r="G852" s="287" t="str">
        <f>IF($A852="","",SUMIFS(Txn[Sell Proceeds],Txn[Key],$A852))</f>
        <v/>
      </c>
      <c r="H852" s="288" t="str">
        <f>IF($A852="","",IFERROR(INDEX(Prices[Current Price],MATCH($A852,Prices[Key],0)),0))</f>
        <v/>
      </c>
      <c r="I852" s="289" t="str">
        <f>IF($A852="","",IFERROR(INDEX(Prices[FX to SGD],MATCH($A852,Prices[Key],0)),1))</f>
        <v/>
      </c>
      <c r="J852" s="287" t="str">
        <f t="shared" si="125"/>
        <v/>
      </c>
      <c r="K852" s="287" t="str">
        <f t="shared" si="126"/>
        <v/>
      </c>
      <c r="L852" s="287" t="str">
        <f t="shared" si="127"/>
        <v/>
      </c>
      <c r="M852" s="290" t="str">
        <f t="shared" si="128"/>
        <v/>
      </c>
      <c r="N852" t="str">
        <f>IF($A852="","",IFERROR(INDEX(Prices[Category],MATCH($A852,Prices[Key],0)),"Uncategorized"))</f>
        <v/>
      </c>
      <c r="O852" s="291" t="str">
        <f t="shared" si="129"/>
        <v/>
      </c>
      <c r="P852" s="291" t="str">
        <f t="shared" si="130"/>
        <v/>
      </c>
    </row>
    <row r="853" spans="1:16" ht="15" customHeight="1" x14ac:dyDescent="0.2">
      <c r="A853" s="243" t="str">
        <f>IFERROR(INDEX('All Ticker P&amp;L'!$A$2:$A$1001,MATCH(ROWS($A$2:A853),'All Ticker P&amp;L'!$N$2:$N$1001,0)),"")</f>
        <v/>
      </c>
      <c r="B853" s="243" t="str">
        <f t="shared" si="122"/>
        <v/>
      </c>
      <c r="C853" s="243" t="str">
        <f t="shared" si="123"/>
        <v/>
      </c>
      <c r="D853" s="243" t="str">
        <f t="shared" si="124"/>
        <v/>
      </c>
      <c r="E853" s="265" t="str">
        <f>IF($A853="","",SUMIFS(Txn[Signed Units],Txn[Key],$A853))</f>
        <v/>
      </c>
      <c r="F853" s="287" t="str">
        <f>IF($A853="","",SUMIFS(Txn[Buy Cost],Txn[Key],$A853))</f>
        <v/>
      </c>
      <c r="G853" s="287" t="str">
        <f>IF($A853="","",SUMIFS(Txn[Sell Proceeds],Txn[Key],$A853))</f>
        <v/>
      </c>
      <c r="H853" s="288" t="str">
        <f>IF($A853="","",IFERROR(INDEX(Prices[Current Price],MATCH($A853,Prices[Key],0)),0))</f>
        <v/>
      </c>
      <c r="I853" s="289" t="str">
        <f>IF($A853="","",IFERROR(INDEX(Prices[FX to SGD],MATCH($A853,Prices[Key],0)),1))</f>
        <v/>
      </c>
      <c r="J853" s="287" t="str">
        <f t="shared" si="125"/>
        <v/>
      </c>
      <c r="K853" s="287" t="str">
        <f t="shared" si="126"/>
        <v/>
      </c>
      <c r="L853" s="287" t="str">
        <f t="shared" si="127"/>
        <v/>
      </c>
      <c r="M853" s="290" t="str">
        <f t="shared" si="128"/>
        <v/>
      </c>
      <c r="N853" t="str">
        <f>IF($A853="","",IFERROR(INDEX(Prices[Category],MATCH($A853,Prices[Key],0)),"Uncategorized"))</f>
        <v/>
      </c>
      <c r="O853" s="291" t="str">
        <f t="shared" si="129"/>
        <v/>
      </c>
      <c r="P853" s="291" t="str">
        <f t="shared" si="130"/>
        <v/>
      </c>
    </row>
    <row r="854" spans="1:16" ht="15" customHeight="1" x14ac:dyDescent="0.2">
      <c r="A854" s="243" t="str">
        <f>IFERROR(INDEX('All Ticker P&amp;L'!$A$2:$A$1001,MATCH(ROWS($A$2:A854),'All Ticker P&amp;L'!$N$2:$N$1001,0)),"")</f>
        <v/>
      </c>
      <c r="B854" s="243" t="str">
        <f t="shared" si="122"/>
        <v/>
      </c>
      <c r="C854" s="243" t="str">
        <f t="shared" si="123"/>
        <v/>
      </c>
      <c r="D854" s="243" t="str">
        <f t="shared" si="124"/>
        <v/>
      </c>
      <c r="E854" s="265" t="str">
        <f>IF($A854="","",SUMIFS(Txn[Signed Units],Txn[Key],$A854))</f>
        <v/>
      </c>
      <c r="F854" s="287" t="str">
        <f>IF($A854="","",SUMIFS(Txn[Buy Cost],Txn[Key],$A854))</f>
        <v/>
      </c>
      <c r="G854" s="287" t="str">
        <f>IF($A854="","",SUMIFS(Txn[Sell Proceeds],Txn[Key],$A854))</f>
        <v/>
      </c>
      <c r="H854" s="288" t="str">
        <f>IF($A854="","",IFERROR(INDEX(Prices[Current Price],MATCH($A854,Prices[Key],0)),0))</f>
        <v/>
      </c>
      <c r="I854" s="289" t="str">
        <f>IF($A854="","",IFERROR(INDEX(Prices[FX to SGD],MATCH($A854,Prices[Key],0)),1))</f>
        <v/>
      </c>
      <c r="J854" s="287" t="str">
        <f t="shared" si="125"/>
        <v/>
      </c>
      <c r="K854" s="287" t="str">
        <f t="shared" si="126"/>
        <v/>
      </c>
      <c r="L854" s="287" t="str">
        <f t="shared" si="127"/>
        <v/>
      </c>
      <c r="M854" s="290" t="str">
        <f t="shared" si="128"/>
        <v/>
      </c>
      <c r="N854" t="str">
        <f>IF($A854="","",IFERROR(INDEX(Prices[Category],MATCH($A854,Prices[Key],0)),"Uncategorized"))</f>
        <v/>
      </c>
      <c r="O854" s="291" t="str">
        <f t="shared" si="129"/>
        <v/>
      </c>
      <c r="P854" s="291" t="str">
        <f t="shared" si="130"/>
        <v/>
      </c>
    </row>
    <row r="855" spans="1:16" ht="15" customHeight="1" x14ac:dyDescent="0.2">
      <c r="A855" s="243" t="str">
        <f>IFERROR(INDEX('All Ticker P&amp;L'!$A$2:$A$1001,MATCH(ROWS($A$2:A855),'All Ticker P&amp;L'!$N$2:$N$1001,0)),"")</f>
        <v/>
      </c>
      <c r="B855" s="243" t="str">
        <f t="shared" si="122"/>
        <v/>
      </c>
      <c r="C855" s="243" t="str">
        <f t="shared" si="123"/>
        <v/>
      </c>
      <c r="D855" s="243" t="str">
        <f t="shared" si="124"/>
        <v/>
      </c>
      <c r="E855" s="265" t="str">
        <f>IF($A855="","",SUMIFS(Txn[Signed Units],Txn[Key],$A855))</f>
        <v/>
      </c>
      <c r="F855" s="287" t="str">
        <f>IF($A855="","",SUMIFS(Txn[Buy Cost],Txn[Key],$A855))</f>
        <v/>
      </c>
      <c r="G855" s="287" t="str">
        <f>IF($A855="","",SUMIFS(Txn[Sell Proceeds],Txn[Key],$A855))</f>
        <v/>
      </c>
      <c r="H855" s="288" t="str">
        <f>IF($A855="","",IFERROR(INDEX(Prices[Current Price],MATCH($A855,Prices[Key],0)),0))</f>
        <v/>
      </c>
      <c r="I855" s="289" t="str">
        <f>IF($A855="","",IFERROR(INDEX(Prices[FX to SGD],MATCH($A855,Prices[Key],0)),1))</f>
        <v/>
      </c>
      <c r="J855" s="287" t="str">
        <f t="shared" si="125"/>
        <v/>
      </c>
      <c r="K855" s="287" t="str">
        <f t="shared" si="126"/>
        <v/>
      </c>
      <c r="L855" s="287" t="str">
        <f t="shared" si="127"/>
        <v/>
      </c>
      <c r="M855" s="290" t="str">
        <f t="shared" si="128"/>
        <v/>
      </c>
      <c r="N855" t="str">
        <f>IF($A855="","",IFERROR(INDEX(Prices[Category],MATCH($A855,Prices[Key],0)),"Uncategorized"))</f>
        <v/>
      </c>
      <c r="O855" s="291" t="str">
        <f t="shared" si="129"/>
        <v/>
      </c>
      <c r="P855" s="291" t="str">
        <f t="shared" si="130"/>
        <v/>
      </c>
    </row>
    <row r="856" spans="1:16" ht="15" customHeight="1" x14ac:dyDescent="0.2">
      <c r="A856" s="243" t="str">
        <f>IFERROR(INDEX('All Ticker P&amp;L'!$A$2:$A$1001,MATCH(ROWS($A$2:A856),'All Ticker P&amp;L'!$N$2:$N$1001,0)),"")</f>
        <v/>
      </c>
      <c r="B856" s="243" t="str">
        <f t="shared" si="122"/>
        <v/>
      </c>
      <c r="C856" s="243" t="str">
        <f t="shared" si="123"/>
        <v/>
      </c>
      <c r="D856" s="243" t="str">
        <f t="shared" si="124"/>
        <v/>
      </c>
      <c r="E856" s="265" t="str">
        <f>IF($A856="","",SUMIFS(Txn[Signed Units],Txn[Key],$A856))</f>
        <v/>
      </c>
      <c r="F856" s="287" t="str">
        <f>IF($A856="","",SUMIFS(Txn[Buy Cost],Txn[Key],$A856))</f>
        <v/>
      </c>
      <c r="G856" s="287" t="str">
        <f>IF($A856="","",SUMIFS(Txn[Sell Proceeds],Txn[Key],$A856))</f>
        <v/>
      </c>
      <c r="H856" s="288" t="str">
        <f>IF($A856="","",IFERROR(INDEX(Prices[Current Price],MATCH($A856,Prices[Key],0)),0))</f>
        <v/>
      </c>
      <c r="I856" s="289" t="str">
        <f>IF($A856="","",IFERROR(INDEX(Prices[FX to SGD],MATCH($A856,Prices[Key],0)),1))</f>
        <v/>
      </c>
      <c r="J856" s="287" t="str">
        <f t="shared" si="125"/>
        <v/>
      </c>
      <c r="K856" s="287" t="str">
        <f t="shared" si="126"/>
        <v/>
      </c>
      <c r="L856" s="287" t="str">
        <f t="shared" si="127"/>
        <v/>
      </c>
      <c r="M856" s="290" t="str">
        <f t="shared" si="128"/>
        <v/>
      </c>
      <c r="N856" t="str">
        <f>IF($A856="","",IFERROR(INDEX(Prices[Category],MATCH($A856,Prices[Key],0)),"Uncategorized"))</f>
        <v/>
      </c>
      <c r="O856" s="291" t="str">
        <f t="shared" si="129"/>
        <v/>
      </c>
      <c r="P856" s="291" t="str">
        <f t="shared" si="130"/>
        <v/>
      </c>
    </row>
    <row r="857" spans="1:16" ht="15" customHeight="1" x14ac:dyDescent="0.2">
      <c r="A857" s="243" t="str">
        <f>IFERROR(INDEX('All Ticker P&amp;L'!$A$2:$A$1001,MATCH(ROWS($A$2:A857),'All Ticker P&amp;L'!$N$2:$N$1001,0)),"")</f>
        <v/>
      </c>
      <c r="B857" s="243" t="str">
        <f t="shared" si="122"/>
        <v/>
      </c>
      <c r="C857" s="243" t="str">
        <f t="shared" si="123"/>
        <v/>
      </c>
      <c r="D857" s="243" t="str">
        <f t="shared" si="124"/>
        <v/>
      </c>
      <c r="E857" s="265" t="str">
        <f>IF($A857="","",SUMIFS(Txn[Signed Units],Txn[Key],$A857))</f>
        <v/>
      </c>
      <c r="F857" s="287" t="str">
        <f>IF($A857="","",SUMIFS(Txn[Buy Cost],Txn[Key],$A857))</f>
        <v/>
      </c>
      <c r="G857" s="287" t="str">
        <f>IF($A857="","",SUMIFS(Txn[Sell Proceeds],Txn[Key],$A857))</f>
        <v/>
      </c>
      <c r="H857" s="288" t="str">
        <f>IF($A857="","",IFERROR(INDEX(Prices[Current Price],MATCH($A857,Prices[Key],0)),0))</f>
        <v/>
      </c>
      <c r="I857" s="289" t="str">
        <f>IF($A857="","",IFERROR(INDEX(Prices[FX to SGD],MATCH($A857,Prices[Key],0)),1))</f>
        <v/>
      </c>
      <c r="J857" s="287" t="str">
        <f t="shared" si="125"/>
        <v/>
      </c>
      <c r="K857" s="287" t="str">
        <f t="shared" si="126"/>
        <v/>
      </c>
      <c r="L857" s="287" t="str">
        <f t="shared" si="127"/>
        <v/>
      </c>
      <c r="M857" s="290" t="str">
        <f t="shared" si="128"/>
        <v/>
      </c>
      <c r="N857" t="str">
        <f>IF($A857="","",IFERROR(INDEX(Prices[Category],MATCH($A857,Prices[Key],0)),"Uncategorized"))</f>
        <v/>
      </c>
      <c r="O857" s="291" t="str">
        <f t="shared" si="129"/>
        <v/>
      </c>
      <c r="P857" s="291" t="str">
        <f t="shared" si="130"/>
        <v/>
      </c>
    </row>
    <row r="858" spans="1:16" ht="15" customHeight="1" x14ac:dyDescent="0.2">
      <c r="A858" s="243" t="str">
        <f>IFERROR(INDEX('All Ticker P&amp;L'!$A$2:$A$1001,MATCH(ROWS($A$2:A858),'All Ticker P&amp;L'!$N$2:$N$1001,0)),"")</f>
        <v/>
      </c>
      <c r="B858" s="243" t="str">
        <f t="shared" si="122"/>
        <v/>
      </c>
      <c r="C858" s="243" t="str">
        <f t="shared" si="123"/>
        <v/>
      </c>
      <c r="D858" s="243" t="str">
        <f t="shared" si="124"/>
        <v/>
      </c>
      <c r="E858" s="265" t="str">
        <f>IF($A858="","",SUMIFS(Txn[Signed Units],Txn[Key],$A858))</f>
        <v/>
      </c>
      <c r="F858" s="287" t="str">
        <f>IF($A858="","",SUMIFS(Txn[Buy Cost],Txn[Key],$A858))</f>
        <v/>
      </c>
      <c r="G858" s="287" t="str">
        <f>IF($A858="","",SUMIFS(Txn[Sell Proceeds],Txn[Key],$A858))</f>
        <v/>
      </c>
      <c r="H858" s="288" t="str">
        <f>IF($A858="","",IFERROR(INDEX(Prices[Current Price],MATCH($A858,Prices[Key],0)),0))</f>
        <v/>
      </c>
      <c r="I858" s="289" t="str">
        <f>IF($A858="","",IFERROR(INDEX(Prices[FX to SGD],MATCH($A858,Prices[Key],0)),1))</f>
        <v/>
      </c>
      <c r="J858" s="287" t="str">
        <f t="shared" si="125"/>
        <v/>
      </c>
      <c r="K858" s="287" t="str">
        <f t="shared" si="126"/>
        <v/>
      </c>
      <c r="L858" s="287" t="str">
        <f t="shared" si="127"/>
        <v/>
      </c>
      <c r="M858" s="290" t="str">
        <f t="shared" si="128"/>
        <v/>
      </c>
      <c r="N858" t="str">
        <f>IF($A858="","",IFERROR(INDEX(Prices[Category],MATCH($A858,Prices[Key],0)),"Uncategorized"))</f>
        <v/>
      </c>
      <c r="O858" s="291" t="str">
        <f t="shared" si="129"/>
        <v/>
      </c>
      <c r="P858" s="291" t="str">
        <f t="shared" si="130"/>
        <v/>
      </c>
    </row>
    <row r="859" spans="1:16" ht="15" customHeight="1" x14ac:dyDescent="0.2">
      <c r="A859" s="243" t="str">
        <f>IFERROR(INDEX('All Ticker P&amp;L'!$A$2:$A$1001,MATCH(ROWS($A$2:A859),'All Ticker P&amp;L'!$N$2:$N$1001,0)),"")</f>
        <v/>
      </c>
      <c r="B859" s="243" t="str">
        <f t="shared" si="122"/>
        <v/>
      </c>
      <c r="C859" s="243" t="str">
        <f t="shared" si="123"/>
        <v/>
      </c>
      <c r="D859" s="243" t="str">
        <f t="shared" si="124"/>
        <v/>
      </c>
      <c r="E859" s="265" t="str">
        <f>IF($A859="","",SUMIFS(Txn[Signed Units],Txn[Key],$A859))</f>
        <v/>
      </c>
      <c r="F859" s="287" t="str">
        <f>IF($A859="","",SUMIFS(Txn[Buy Cost],Txn[Key],$A859))</f>
        <v/>
      </c>
      <c r="G859" s="287" t="str">
        <f>IF($A859="","",SUMIFS(Txn[Sell Proceeds],Txn[Key],$A859))</f>
        <v/>
      </c>
      <c r="H859" s="288" t="str">
        <f>IF($A859="","",IFERROR(INDEX(Prices[Current Price],MATCH($A859,Prices[Key],0)),0))</f>
        <v/>
      </c>
      <c r="I859" s="289" t="str">
        <f>IF($A859="","",IFERROR(INDEX(Prices[FX to SGD],MATCH($A859,Prices[Key],0)),1))</f>
        <v/>
      </c>
      <c r="J859" s="287" t="str">
        <f t="shared" si="125"/>
        <v/>
      </c>
      <c r="K859" s="287" t="str">
        <f t="shared" si="126"/>
        <v/>
      </c>
      <c r="L859" s="287" t="str">
        <f t="shared" si="127"/>
        <v/>
      </c>
      <c r="M859" s="290" t="str">
        <f t="shared" si="128"/>
        <v/>
      </c>
      <c r="N859" t="str">
        <f>IF($A859="","",IFERROR(INDEX(Prices[Category],MATCH($A859,Prices[Key],0)),"Uncategorized"))</f>
        <v/>
      </c>
      <c r="O859" s="291" t="str">
        <f t="shared" si="129"/>
        <v/>
      </c>
      <c r="P859" s="291" t="str">
        <f t="shared" si="130"/>
        <v/>
      </c>
    </row>
    <row r="860" spans="1:16" ht="15" customHeight="1" x14ac:dyDescent="0.2">
      <c r="A860" s="243" t="str">
        <f>IFERROR(INDEX('All Ticker P&amp;L'!$A$2:$A$1001,MATCH(ROWS($A$2:A860),'All Ticker P&amp;L'!$N$2:$N$1001,0)),"")</f>
        <v/>
      </c>
      <c r="B860" s="243" t="str">
        <f t="shared" si="122"/>
        <v/>
      </c>
      <c r="C860" s="243" t="str">
        <f t="shared" si="123"/>
        <v/>
      </c>
      <c r="D860" s="243" t="str">
        <f t="shared" si="124"/>
        <v/>
      </c>
      <c r="E860" s="265" t="str">
        <f>IF($A860="","",SUMIFS(Txn[Signed Units],Txn[Key],$A860))</f>
        <v/>
      </c>
      <c r="F860" s="287" t="str">
        <f>IF($A860="","",SUMIFS(Txn[Buy Cost],Txn[Key],$A860))</f>
        <v/>
      </c>
      <c r="G860" s="287" t="str">
        <f>IF($A860="","",SUMIFS(Txn[Sell Proceeds],Txn[Key],$A860))</f>
        <v/>
      </c>
      <c r="H860" s="288" t="str">
        <f>IF($A860="","",IFERROR(INDEX(Prices[Current Price],MATCH($A860,Prices[Key],0)),0))</f>
        <v/>
      </c>
      <c r="I860" s="289" t="str">
        <f>IF($A860="","",IFERROR(INDEX(Prices[FX to SGD],MATCH($A860,Prices[Key],0)),1))</f>
        <v/>
      </c>
      <c r="J860" s="287" t="str">
        <f t="shared" si="125"/>
        <v/>
      </c>
      <c r="K860" s="287" t="str">
        <f t="shared" si="126"/>
        <v/>
      </c>
      <c r="L860" s="287" t="str">
        <f t="shared" si="127"/>
        <v/>
      </c>
      <c r="M860" s="290" t="str">
        <f t="shared" si="128"/>
        <v/>
      </c>
      <c r="N860" t="str">
        <f>IF($A860="","",IFERROR(INDEX(Prices[Category],MATCH($A860,Prices[Key],0)),"Uncategorized"))</f>
        <v/>
      </c>
      <c r="O860" s="291" t="str">
        <f t="shared" si="129"/>
        <v/>
      </c>
      <c r="P860" s="291" t="str">
        <f t="shared" si="130"/>
        <v/>
      </c>
    </row>
    <row r="861" spans="1:16" ht="15" customHeight="1" x14ac:dyDescent="0.2">
      <c r="A861" s="243" t="str">
        <f>IFERROR(INDEX('All Ticker P&amp;L'!$A$2:$A$1001,MATCH(ROWS($A$2:A861),'All Ticker P&amp;L'!$N$2:$N$1001,0)),"")</f>
        <v/>
      </c>
      <c r="B861" s="243" t="str">
        <f t="shared" si="122"/>
        <v/>
      </c>
      <c r="C861" s="243" t="str">
        <f t="shared" si="123"/>
        <v/>
      </c>
      <c r="D861" s="243" t="str">
        <f t="shared" si="124"/>
        <v/>
      </c>
      <c r="E861" s="265" t="str">
        <f>IF($A861="","",SUMIFS(Txn[Signed Units],Txn[Key],$A861))</f>
        <v/>
      </c>
      <c r="F861" s="287" t="str">
        <f>IF($A861="","",SUMIFS(Txn[Buy Cost],Txn[Key],$A861))</f>
        <v/>
      </c>
      <c r="G861" s="287" t="str">
        <f>IF($A861="","",SUMIFS(Txn[Sell Proceeds],Txn[Key],$A861))</f>
        <v/>
      </c>
      <c r="H861" s="288" t="str">
        <f>IF($A861="","",IFERROR(INDEX(Prices[Current Price],MATCH($A861,Prices[Key],0)),0))</f>
        <v/>
      </c>
      <c r="I861" s="289" t="str">
        <f>IF($A861="","",IFERROR(INDEX(Prices[FX to SGD],MATCH($A861,Prices[Key],0)),1))</f>
        <v/>
      </c>
      <c r="J861" s="287" t="str">
        <f t="shared" si="125"/>
        <v/>
      </c>
      <c r="K861" s="287" t="str">
        <f t="shared" si="126"/>
        <v/>
      </c>
      <c r="L861" s="287" t="str">
        <f t="shared" si="127"/>
        <v/>
      </c>
      <c r="M861" s="290" t="str">
        <f t="shared" si="128"/>
        <v/>
      </c>
      <c r="N861" t="str">
        <f>IF($A861="","",IFERROR(INDEX(Prices[Category],MATCH($A861,Prices[Key],0)),"Uncategorized"))</f>
        <v/>
      </c>
      <c r="O861" s="291" t="str">
        <f t="shared" si="129"/>
        <v/>
      </c>
      <c r="P861" s="291" t="str">
        <f t="shared" si="130"/>
        <v/>
      </c>
    </row>
    <row r="862" spans="1:16" ht="15" customHeight="1" x14ac:dyDescent="0.2">
      <c r="A862" s="243" t="str">
        <f>IFERROR(INDEX('All Ticker P&amp;L'!$A$2:$A$1001,MATCH(ROWS($A$2:A862),'All Ticker P&amp;L'!$N$2:$N$1001,0)),"")</f>
        <v/>
      </c>
      <c r="B862" s="243" t="str">
        <f t="shared" si="122"/>
        <v/>
      </c>
      <c r="C862" s="243" t="str">
        <f t="shared" si="123"/>
        <v/>
      </c>
      <c r="D862" s="243" t="str">
        <f t="shared" si="124"/>
        <v/>
      </c>
      <c r="E862" s="265" t="str">
        <f>IF($A862="","",SUMIFS(Txn[Signed Units],Txn[Key],$A862))</f>
        <v/>
      </c>
      <c r="F862" s="287" t="str">
        <f>IF($A862="","",SUMIFS(Txn[Buy Cost],Txn[Key],$A862))</f>
        <v/>
      </c>
      <c r="G862" s="287" t="str">
        <f>IF($A862="","",SUMIFS(Txn[Sell Proceeds],Txn[Key],$A862))</f>
        <v/>
      </c>
      <c r="H862" s="288" t="str">
        <f>IF($A862="","",IFERROR(INDEX(Prices[Current Price],MATCH($A862,Prices[Key],0)),0))</f>
        <v/>
      </c>
      <c r="I862" s="289" t="str">
        <f>IF($A862="","",IFERROR(INDEX(Prices[FX to SGD],MATCH($A862,Prices[Key],0)),1))</f>
        <v/>
      </c>
      <c r="J862" s="287" t="str">
        <f t="shared" si="125"/>
        <v/>
      </c>
      <c r="K862" s="287" t="str">
        <f t="shared" si="126"/>
        <v/>
      </c>
      <c r="L862" s="287" t="str">
        <f t="shared" si="127"/>
        <v/>
      </c>
      <c r="M862" s="290" t="str">
        <f t="shared" si="128"/>
        <v/>
      </c>
      <c r="N862" t="str">
        <f>IF($A862="","",IFERROR(INDEX(Prices[Category],MATCH($A862,Prices[Key],0)),"Uncategorized"))</f>
        <v/>
      </c>
      <c r="O862" s="291" t="str">
        <f t="shared" si="129"/>
        <v/>
      </c>
      <c r="P862" s="291" t="str">
        <f t="shared" si="130"/>
        <v/>
      </c>
    </row>
    <row r="863" spans="1:16" ht="15" customHeight="1" x14ac:dyDescent="0.2">
      <c r="A863" s="243" t="str">
        <f>IFERROR(INDEX('All Ticker P&amp;L'!$A$2:$A$1001,MATCH(ROWS($A$2:A863),'All Ticker P&amp;L'!$N$2:$N$1001,0)),"")</f>
        <v/>
      </c>
      <c r="B863" s="243" t="str">
        <f t="shared" si="122"/>
        <v/>
      </c>
      <c r="C863" s="243" t="str">
        <f t="shared" si="123"/>
        <v/>
      </c>
      <c r="D863" s="243" t="str">
        <f t="shared" si="124"/>
        <v/>
      </c>
      <c r="E863" s="265" t="str">
        <f>IF($A863="","",SUMIFS(Txn[Signed Units],Txn[Key],$A863))</f>
        <v/>
      </c>
      <c r="F863" s="287" t="str">
        <f>IF($A863="","",SUMIFS(Txn[Buy Cost],Txn[Key],$A863))</f>
        <v/>
      </c>
      <c r="G863" s="287" t="str">
        <f>IF($A863="","",SUMIFS(Txn[Sell Proceeds],Txn[Key],$A863))</f>
        <v/>
      </c>
      <c r="H863" s="288" t="str">
        <f>IF($A863="","",IFERROR(INDEX(Prices[Current Price],MATCH($A863,Prices[Key],0)),0))</f>
        <v/>
      </c>
      <c r="I863" s="289" t="str">
        <f>IF($A863="","",IFERROR(INDEX(Prices[FX to SGD],MATCH($A863,Prices[Key],0)),1))</f>
        <v/>
      </c>
      <c r="J863" s="287" t="str">
        <f t="shared" si="125"/>
        <v/>
      </c>
      <c r="K863" s="287" t="str">
        <f t="shared" si="126"/>
        <v/>
      </c>
      <c r="L863" s="287" t="str">
        <f t="shared" si="127"/>
        <v/>
      </c>
      <c r="M863" s="290" t="str">
        <f t="shared" si="128"/>
        <v/>
      </c>
      <c r="N863" t="str">
        <f>IF($A863="","",IFERROR(INDEX(Prices[Category],MATCH($A863,Prices[Key],0)),"Uncategorized"))</f>
        <v/>
      </c>
      <c r="O863" s="291" t="str">
        <f t="shared" si="129"/>
        <v/>
      </c>
      <c r="P863" s="291" t="str">
        <f t="shared" si="130"/>
        <v/>
      </c>
    </row>
    <row r="864" spans="1:16" ht="15" customHeight="1" x14ac:dyDescent="0.2">
      <c r="A864" s="243" t="str">
        <f>IFERROR(INDEX('All Ticker P&amp;L'!$A$2:$A$1001,MATCH(ROWS($A$2:A864),'All Ticker P&amp;L'!$N$2:$N$1001,0)),"")</f>
        <v/>
      </c>
      <c r="B864" s="243" t="str">
        <f t="shared" si="122"/>
        <v/>
      </c>
      <c r="C864" s="243" t="str">
        <f t="shared" si="123"/>
        <v/>
      </c>
      <c r="D864" s="243" t="str">
        <f t="shared" si="124"/>
        <v/>
      </c>
      <c r="E864" s="265" t="str">
        <f>IF($A864="","",SUMIFS(Txn[Signed Units],Txn[Key],$A864))</f>
        <v/>
      </c>
      <c r="F864" s="287" t="str">
        <f>IF($A864="","",SUMIFS(Txn[Buy Cost],Txn[Key],$A864))</f>
        <v/>
      </c>
      <c r="G864" s="287" t="str">
        <f>IF($A864="","",SUMIFS(Txn[Sell Proceeds],Txn[Key],$A864))</f>
        <v/>
      </c>
      <c r="H864" s="288" t="str">
        <f>IF($A864="","",IFERROR(INDEX(Prices[Current Price],MATCH($A864,Prices[Key],0)),0))</f>
        <v/>
      </c>
      <c r="I864" s="289" t="str">
        <f>IF($A864="","",IFERROR(INDEX(Prices[FX to SGD],MATCH($A864,Prices[Key],0)),1))</f>
        <v/>
      </c>
      <c r="J864" s="287" t="str">
        <f t="shared" si="125"/>
        <v/>
      </c>
      <c r="K864" s="287" t="str">
        <f t="shared" si="126"/>
        <v/>
      </c>
      <c r="L864" s="287" t="str">
        <f t="shared" si="127"/>
        <v/>
      </c>
      <c r="M864" s="290" t="str">
        <f t="shared" si="128"/>
        <v/>
      </c>
      <c r="N864" t="str">
        <f>IF($A864="","",IFERROR(INDEX(Prices[Category],MATCH($A864,Prices[Key],0)),"Uncategorized"))</f>
        <v/>
      </c>
      <c r="O864" s="291" t="str">
        <f t="shared" si="129"/>
        <v/>
      </c>
      <c r="P864" s="291" t="str">
        <f t="shared" si="130"/>
        <v/>
      </c>
    </row>
    <row r="865" spans="1:16" ht="15" customHeight="1" x14ac:dyDescent="0.2">
      <c r="A865" s="243" t="str">
        <f>IFERROR(INDEX('All Ticker P&amp;L'!$A$2:$A$1001,MATCH(ROWS($A$2:A865),'All Ticker P&amp;L'!$N$2:$N$1001,0)),"")</f>
        <v/>
      </c>
      <c r="B865" s="243" t="str">
        <f t="shared" si="122"/>
        <v/>
      </c>
      <c r="C865" s="243" t="str">
        <f t="shared" si="123"/>
        <v/>
      </c>
      <c r="D865" s="243" t="str">
        <f t="shared" si="124"/>
        <v/>
      </c>
      <c r="E865" s="265" t="str">
        <f>IF($A865="","",SUMIFS(Txn[Signed Units],Txn[Key],$A865))</f>
        <v/>
      </c>
      <c r="F865" s="287" t="str">
        <f>IF($A865="","",SUMIFS(Txn[Buy Cost],Txn[Key],$A865))</f>
        <v/>
      </c>
      <c r="G865" s="287" t="str">
        <f>IF($A865="","",SUMIFS(Txn[Sell Proceeds],Txn[Key],$A865))</f>
        <v/>
      </c>
      <c r="H865" s="288" t="str">
        <f>IF($A865="","",IFERROR(INDEX(Prices[Current Price],MATCH($A865,Prices[Key],0)),0))</f>
        <v/>
      </c>
      <c r="I865" s="289" t="str">
        <f>IF($A865="","",IFERROR(INDEX(Prices[FX to SGD],MATCH($A865,Prices[Key],0)),1))</f>
        <v/>
      </c>
      <c r="J865" s="287" t="str">
        <f t="shared" si="125"/>
        <v/>
      </c>
      <c r="K865" s="287" t="str">
        <f t="shared" si="126"/>
        <v/>
      </c>
      <c r="L865" s="287" t="str">
        <f t="shared" si="127"/>
        <v/>
      </c>
      <c r="M865" s="290" t="str">
        <f t="shared" si="128"/>
        <v/>
      </c>
      <c r="N865" t="str">
        <f>IF($A865="","",IFERROR(INDEX(Prices[Category],MATCH($A865,Prices[Key],0)),"Uncategorized"))</f>
        <v/>
      </c>
      <c r="O865" s="291" t="str">
        <f t="shared" si="129"/>
        <v/>
      </c>
      <c r="P865" s="291" t="str">
        <f t="shared" si="130"/>
        <v/>
      </c>
    </row>
    <row r="866" spans="1:16" ht="15" customHeight="1" x14ac:dyDescent="0.2">
      <c r="A866" s="243" t="str">
        <f>IFERROR(INDEX('All Ticker P&amp;L'!$A$2:$A$1001,MATCH(ROWS($A$2:A866),'All Ticker P&amp;L'!$N$2:$N$1001,0)),"")</f>
        <v/>
      </c>
      <c r="B866" s="243" t="str">
        <f t="shared" si="122"/>
        <v/>
      </c>
      <c r="C866" s="243" t="str">
        <f t="shared" si="123"/>
        <v/>
      </c>
      <c r="D866" s="243" t="str">
        <f t="shared" si="124"/>
        <v/>
      </c>
      <c r="E866" s="265" t="str">
        <f>IF($A866="","",SUMIFS(Txn[Signed Units],Txn[Key],$A866))</f>
        <v/>
      </c>
      <c r="F866" s="287" t="str">
        <f>IF($A866="","",SUMIFS(Txn[Buy Cost],Txn[Key],$A866))</f>
        <v/>
      </c>
      <c r="G866" s="287" t="str">
        <f>IF($A866="","",SUMIFS(Txn[Sell Proceeds],Txn[Key],$A866))</f>
        <v/>
      </c>
      <c r="H866" s="288" t="str">
        <f>IF($A866="","",IFERROR(INDEX(Prices[Current Price],MATCH($A866,Prices[Key],0)),0))</f>
        <v/>
      </c>
      <c r="I866" s="289" t="str">
        <f>IF($A866="","",IFERROR(INDEX(Prices[FX to SGD],MATCH($A866,Prices[Key],0)),1))</f>
        <v/>
      </c>
      <c r="J866" s="287" t="str">
        <f t="shared" si="125"/>
        <v/>
      </c>
      <c r="K866" s="287" t="str">
        <f t="shared" si="126"/>
        <v/>
      </c>
      <c r="L866" s="287" t="str">
        <f t="shared" si="127"/>
        <v/>
      </c>
      <c r="M866" s="290" t="str">
        <f t="shared" si="128"/>
        <v/>
      </c>
      <c r="N866" t="str">
        <f>IF($A866="","",IFERROR(INDEX(Prices[Category],MATCH($A866,Prices[Key],0)),"Uncategorized"))</f>
        <v/>
      </c>
      <c r="O866" s="291" t="str">
        <f t="shared" si="129"/>
        <v/>
      </c>
      <c r="P866" s="291" t="str">
        <f t="shared" si="130"/>
        <v/>
      </c>
    </row>
    <row r="867" spans="1:16" ht="15" customHeight="1" x14ac:dyDescent="0.2">
      <c r="A867" s="243" t="str">
        <f>IFERROR(INDEX('All Ticker P&amp;L'!$A$2:$A$1001,MATCH(ROWS($A$2:A867),'All Ticker P&amp;L'!$N$2:$N$1001,0)),"")</f>
        <v/>
      </c>
      <c r="B867" s="243" t="str">
        <f t="shared" si="122"/>
        <v/>
      </c>
      <c r="C867" s="243" t="str">
        <f t="shared" si="123"/>
        <v/>
      </c>
      <c r="D867" s="243" t="str">
        <f t="shared" si="124"/>
        <v/>
      </c>
      <c r="E867" s="265" t="str">
        <f>IF($A867="","",SUMIFS(Txn[Signed Units],Txn[Key],$A867))</f>
        <v/>
      </c>
      <c r="F867" s="287" t="str">
        <f>IF($A867="","",SUMIFS(Txn[Buy Cost],Txn[Key],$A867))</f>
        <v/>
      </c>
      <c r="G867" s="287" t="str">
        <f>IF($A867="","",SUMIFS(Txn[Sell Proceeds],Txn[Key],$A867))</f>
        <v/>
      </c>
      <c r="H867" s="288" t="str">
        <f>IF($A867="","",IFERROR(INDEX(Prices[Current Price],MATCH($A867,Prices[Key],0)),0))</f>
        <v/>
      </c>
      <c r="I867" s="289" t="str">
        <f>IF($A867="","",IFERROR(INDEX(Prices[FX to SGD],MATCH($A867,Prices[Key],0)),1))</f>
        <v/>
      </c>
      <c r="J867" s="287" t="str">
        <f t="shared" si="125"/>
        <v/>
      </c>
      <c r="K867" s="287" t="str">
        <f t="shared" si="126"/>
        <v/>
      </c>
      <c r="L867" s="287" t="str">
        <f t="shared" si="127"/>
        <v/>
      </c>
      <c r="M867" s="290" t="str">
        <f t="shared" si="128"/>
        <v/>
      </c>
      <c r="N867" t="str">
        <f>IF($A867="","",IFERROR(INDEX(Prices[Category],MATCH($A867,Prices[Key],0)),"Uncategorized"))</f>
        <v/>
      </c>
      <c r="O867" s="291" t="str">
        <f t="shared" si="129"/>
        <v/>
      </c>
      <c r="P867" s="291" t="str">
        <f t="shared" si="130"/>
        <v/>
      </c>
    </row>
    <row r="868" spans="1:16" ht="15" customHeight="1" x14ac:dyDescent="0.2">
      <c r="A868" s="243" t="str">
        <f>IFERROR(INDEX('All Ticker P&amp;L'!$A$2:$A$1001,MATCH(ROWS($A$2:A868),'All Ticker P&amp;L'!$N$2:$N$1001,0)),"")</f>
        <v/>
      </c>
      <c r="B868" s="243" t="str">
        <f t="shared" si="122"/>
        <v/>
      </c>
      <c r="C868" s="243" t="str">
        <f t="shared" si="123"/>
        <v/>
      </c>
      <c r="D868" s="243" t="str">
        <f t="shared" si="124"/>
        <v/>
      </c>
      <c r="E868" s="265" t="str">
        <f>IF($A868="","",SUMIFS(Txn[Signed Units],Txn[Key],$A868))</f>
        <v/>
      </c>
      <c r="F868" s="287" t="str">
        <f>IF($A868="","",SUMIFS(Txn[Buy Cost],Txn[Key],$A868))</f>
        <v/>
      </c>
      <c r="G868" s="287" t="str">
        <f>IF($A868="","",SUMIFS(Txn[Sell Proceeds],Txn[Key],$A868))</f>
        <v/>
      </c>
      <c r="H868" s="288" t="str">
        <f>IF($A868="","",IFERROR(INDEX(Prices[Current Price],MATCH($A868,Prices[Key],0)),0))</f>
        <v/>
      </c>
      <c r="I868" s="289" t="str">
        <f>IF($A868="","",IFERROR(INDEX(Prices[FX to SGD],MATCH($A868,Prices[Key],0)),1))</f>
        <v/>
      </c>
      <c r="J868" s="287" t="str">
        <f t="shared" si="125"/>
        <v/>
      </c>
      <c r="K868" s="287" t="str">
        <f t="shared" si="126"/>
        <v/>
      </c>
      <c r="L868" s="287" t="str">
        <f t="shared" si="127"/>
        <v/>
      </c>
      <c r="M868" s="290" t="str">
        <f t="shared" si="128"/>
        <v/>
      </c>
      <c r="N868" t="str">
        <f>IF($A868="","",IFERROR(INDEX(Prices[Category],MATCH($A868,Prices[Key],0)),"Uncategorized"))</f>
        <v/>
      </c>
      <c r="O868" s="291" t="str">
        <f t="shared" si="129"/>
        <v/>
      </c>
      <c r="P868" s="291" t="str">
        <f t="shared" si="130"/>
        <v/>
      </c>
    </row>
    <row r="869" spans="1:16" ht="15" customHeight="1" x14ac:dyDescent="0.2">
      <c r="A869" s="243" t="str">
        <f>IFERROR(INDEX('All Ticker P&amp;L'!$A$2:$A$1001,MATCH(ROWS($A$2:A869),'All Ticker P&amp;L'!$N$2:$N$1001,0)),"")</f>
        <v/>
      </c>
      <c r="B869" s="243" t="str">
        <f t="shared" si="122"/>
        <v/>
      </c>
      <c r="C869" s="243" t="str">
        <f t="shared" si="123"/>
        <v/>
      </c>
      <c r="D869" s="243" t="str">
        <f t="shared" si="124"/>
        <v/>
      </c>
      <c r="E869" s="265" t="str">
        <f>IF($A869="","",SUMIFS(Txn[Signed Units],Txn[Key],$A869))</f>
        <v/>
      </c>
      <c r="F869" s="287" t="str">
        <f>IF($A869="","",SUMIFS(Txn[Buy Cost],Txn[Key],$A869))</f>
        <v/>
      </c>
      <c r="G869" s="287" t="str">
        <f>IF($A869="","",SUMIFS(Txn[Sell Proceeds],Txn[Key],$A869))</f>
        <v/>
      </c>
      <c r="H869" s="288" t="str">
        <f>IF($A869="","",IFERROR(INDEX(Prices[Current Price],MATCH($A869,Prices[Key],0)),0))</f>
        <v/>
      </c>
      <c r="I869" s="289" t="str">
        <f>IF($A869="","",IFERROR(INDEX(Prices[FX to SGD],MATCH($A869,Prices[Key],0)),1))</f>
        <v/>
      </c>
      <c r="J869" s="287" t="str">
        <f t="shared" si="125"/>
        <v/>
      </c>
      <c r="K869" s="287" t="str">
        <f t="shared" si="126"/>
        <v/>
      </c>
      <c r="L869" s="287" t="str">
        <f t="shared" si="127"/>
        <v/>
      </c>
      <c r="M869" s="290" t="str">
        <f t="shared" si="128"/>
        <v/>
      </c>
      <c r="N869" t="str">
        <f>IF($A869="","",IFERROR(INDEX(Prices[Category],MATCH($A869,Prices[Key],0)),"Uncategorized"))</f>
        <v/>
      </c>
      <c r="O869" s="291" t="str">
        <f t="shared" si="129"/>
        <v/>
      </c>
      <c r="P869" s="291" t="str">
        <f t="shared" si="130"/>
        <v/>
      </c>
    </row>
    <row r="870" spans="1:16" ht="15" customHeight="1" x14ac:dyDescent="0.2">
      <c r="A870" s="243" t="str">
        <f>IFERROR(INDEX('All Ticker P&amp;L'!$A$2:$A$1001,MATCH(ROWS($A$2:A870),'All Ticker P&amp;L'!$N$2:$N$1001,0)),"")</f>
        <v/>
      </c>
      <c r="B870" s="243" t="str">
        <f t="shared" si="122"/>
        <v/>
      </c>
      <c r="C870" s="243" t="str">
        <f t="shared" si="123"/>
        <v/>
      </c>
      <c r="D870" s="243" t="str">
        <f t="shared" si="124"/>
        <v/>
      </c>
      <c r="E870" s="265" t="str">
        <f>IF($A870="","",SUMIFS(Txn[Signed Units],Txn[Key],$A870))</f>
        <v/>
      </c>
      <c r="F870" s="287" t="str">
        <f>IF($A870="","",SUMIFS(Txn[Buy Cost],Txn[Key],$A870))</f>
        <v/>
      </c>
      <c r="G870" s="287" t="str">
        <f>IF($A870="","",SUMIFS(Txn[Sell Proceeds],Txn[Key],$A870))</f>
        <v/>
      </c>
      <c r="H870" s="288" t="str">
        <f>IF($A870="","",IFERROR(INDEX(Prices[Current Price],MATCH($A870,Prices[Key],0)),0))</f>
        <v/>
      </c>
      <c r="I870" s="289" t="str">
        <f>IF($A870="","",IFERROR(INDEX(Prices[FX to SGD],MATCH($A870,Prices[Key],0)),1))</f>
        <v/>
      </c>
      <c r="J870" s="287" t="str">
        <f t="shared" si="125"/>
        <v/>
      </c>
      <c r="K870" s="287" t="str">
        <f t="shared" si="126"/>
        <v/>
      </c>
      <c r="L870" s="287" t="str">
        <f t="shared" si="127"/>
        <v/>
      </c>
      <c r="M870" s="290" t="str">
        <f t="shared" si="128"/>
        <v/>
      </c>
      <c r="N870" t="str">
        <f>IF($A870="","",IFERROR(INDEX(Prices[Category],MATCH($A870,Prices[Key],0)),"Uncategorized"))</f>
        <v/>
      </c>
      <c r="O870" s="291" t="str">
        <f t="shared" si="129"/>
        <v/>
      </c>
      <c r="P870" s="291" t="str">
        <f t="shared" si="130"/>
        <v/>
      </c>
    </row>
    <row r="871" spans="1:16" ht="15" customHeight="1" x14ac:dyDescent="0.2">
      <c r="A871" s="243" t="str">
        <f>IFERROR(INDEX('All Ticker P&amp;L'!$A$2:$A$1001,MATCH(ROWS($A$2:A871),'All Ticker P&amp;L'!$N$2:$N$1001,0)),"")</f>
        <v/>
      </c>
      <c r="B871" s="243" t="str">
        <f t="shared" si="122"/>
        <v/>
      </c>
      <c r="C871" s="243" t="str">
        <f t="shared" si="123"/>
        <v/>
      </c>
      <c r="D871" s="243" t="str">
        <f t="shared" si="124"/>
        <v/>
      </c>
      <c r="E871" s="265" t="str">
        <f>IF($A871="","",SUMIFS(Txn[Signed Units],Txn[Key],$A871))</f>
        <v/>
      </c>
      <c r="F871" s="287" t="str">
        <f>IF($A871="","",SUMIFS(Txn[Buy Cost],Txn[Key],$A871))</f>
        <v/>
      </c>
      <c r="G871" s="287" t="str">
        <f>IF($A871="","",SUMIFS(Txn[Sell Proceeds],Txn[Key],$A871))</f>
        <v/>
      </c>
      <c r="H871" s="288" t="str">
        <f>IF($A871="","",IFERROR(INDEX(Prices[Current Price],MATCH($A871,Prices[Key],0)),0))</f>
        <v/>
      </c>
      <c r="I871" s="289" t="str">
        <f>IF($A871="","",IFERROR(INDEX(Prices[FX to SGD],MATCH($A871,Prices[Key],0)),1))</f>
        <v/>
      </c>
      <c r="J871" s="287" t="str">
        <f t="shared" si="125"/>
        <v/>
      </c>
      <c r="K871" s="287" t="str">
        <f t="shared" si="126"/>
        <v/>
      </c>
      <c r="L871" s="287" t="str">
        <f t="shared" si="127"/>
        <v/>
      </c>
      <c r="M871" s="290" t="str">
        <f t="shared" si="128"/>
        <v/>
      </c>
      <c r="N871" t="str">
        <f>IF($A871="","",IFERROR(INDEX(Prices[Category],MATCH($A871,Prices[Key],0)),"Uncategorized"))</f>
        <v/>
      </c>
      <c r="O871" s="291" t="str">
        <f t="shared" si="129"/>
        <v/>
      </c>
      <c r="P871" s="291" t="str">
        <f t="shared" si="130"/>
        <v/>
      </c>
    </row>
    <row r="872" spans="1:16" ht="15" customHeight="1" x14ac:dyDescent="0.2">
      <c r="A872" s="243" t="str">
        <f>IFERROR(INDEX('All Ticker P&amp;L'!$A$2:$A$1001,MATCH(ROWS($A$2:A872),'All Ticker P&amp;L'!$N$2:$N$1001,0)),"")</f>
        <v/>
      </c>
      <c r="B872" s="243" t="str">
        <f t="shared" si="122"/>
        <v/>
      </c>
      <c r="C872" s="243" t="str">
        <f t="shared" si="123"/>
        <v/>
      </c>
      <c r="D872" s="243" t="str">
        <f t="shared" si="124"/>
        <v/>
      </c>
      <c r="E872" s="265" t="str">
        <f>IF($A872="","",SUMIFS(Txn[Signed Units],Txn[Key],$A872))</f>
        <v/>
      </c>
      <c r="F872" s="287" t="str">
        <f>IF($A872="","",SUMIFS(Txn[Buy Cost],Txn[Key],$A872))</f>
        <v/>
      </c>
      <c r="G872" s="287" t="str">
        <f>IF($A872="","",SUMIFS(Txn[Sell Proceeds],Txn[Key],$A872))</f>
        <v/>
      </c>
      <c r="H872" s="288" t="str">
        <f>IF($A872="","",IFERROR(INDEX(Prices[Current Price],MATCH($A872,Prices[Key],0)),0))</f>
        <v/>
      </c>
      <c r="I872" s="289" t="str">
        <f>IF($A872="","",IFERROR(INDEX(Prices[FX to SGD],MATCH($A872,Prices[Key],0)),1))</f>
        <v/>
      </c>
      <c r="J872" s="287" t="str">
        <f t="shared" si="125"/>
        <v/>
      </c>
      <c r="K872" s="287" t="str">
        <f t="shared" si="126"/>
        <v/>
      </c>
      <c r="L872" s="287" t="str">
        <f t="shared" si="127"/>
        <v/>
      </c>
      <c r="M872" s="290" t="str">
        <f t="shared" si="128"/>
        <v/>
      </c>
      <c r="N872" t="str">
        <f>IF($A872="","",IFERROR(INDEX(Prices[Category],MATCH($A872,Prices[Key],0)),"Uncategorized"))</f>
        <v/>
      </c>
      <c r="O872" s="291" t="str">
        <f t="shared" si="129"/>
        <v/>
      </c>
      <c r="P872" s="291" t="str">
        <f t="shared" si="130"/>
        <v/>
      </c>
    </row>
    <row r="873" spans="1:16" ht="15" customHeight="1" x14ac:dyDescent="0.2">
      <c r="A873" s="243" t="str">
        <f>IFERROR(INDEX('All Ticker P&amp;L'!$A$2:$A$1001,MATCH(ROWS($A$2:A873),'All Ticker P&amp;L'!$N$2:$N$1001,0)),"")</f>
        <v/>
      </c>
      <c r="B873" s="243" t="str">
        <f t="shared" si="122"/>
        <v/>
      </c>
      <c r="C873" s="243" t="str">
        <f t="shared" si="123"/>
        <v/>
      </c>
      <c r="D873" s="243" t="str">
        <f t="shared" si="124"/>
        <v/>
      </c>
      <c r="E873" s="265" t="str">
        <f>IF($A873="","",SUMIFS(Txn[Signed Units],Txn[Key],$A873))</f>
        <v/>
      </c>
      <c r="F873" s="287" t="str">
        <f>IF($A873="","",SUMIFS(Txn[Buy Cost],Txn[Key],$A873))</f>
        <v/>
      </c>
      <c r="G873" s="287" t="str">
        <f>IF($A873="","",SUMIFS(Txn[Sell Proceeds],Txn[Key],$A873))</f>
        <v/>
      </c>
      <c r="H873" s="288" t="str">
        <f>IF($A873="","",IFERROR(INDEX(Prices[Current Price],MATCH($A873,Prices[Key],0)),0))</f>
        <v/>
      </c>
      <c r="I873" s="289" t="str">
        <f>IF($A873="","",IFERROR(INDEX(Prices[FX to SGD],MATCH($A873,Prices[Key],0)),1))</f>
        <v/>
      </c>
      <c r="J873" s="287" t="str">
        <f t="shared" si="125"/>
        <v/>
      </c>
      <c r="K873" s="287" t="str">
        <f t="shared" si="126"/>
        <v/>
      </c>
      <c r="L873" s="287" t="str">
        <f t="shared" si="127"/>
        <v/>
      </c>
      <c r="M873" s="290" t="str">
        <f t="shared" si="128"/>
        <v/>
      </c>
      <c r="N873" t="str">
        <f>IF($A873="","",IFERROR(INDEX(Prices[Category],MATCH($A873,Prices[Key],0)),"Uncategorized"))</f>
        <v/>
      </c>
      <c r="O873" s="291" t="str">
        <f t="shared" si="129"/>
        <v/>
      </c>
      <c r="P873" s="291" t="str">
        <f t="shared" si="130"/>
        <v/>
      </c>
    </row>
    <row r="874" spans="1:16" ht="15" customHeight="1" x14ac:dyDescent="0.2">
      <c r="A874" s="243" t="str">
        <f>IFERROR(INDEX('All Ticker P&amp;L'!$A$2:$A$1001,MATCH(ROWS($A$2:A874),'All Ticker P&amp;L'!$N$2:$N$1001,0)),"")</f>
        <v/>
      </c>
      <c r="B874" s="243" t="str">
        <f t="shared" si="122"/>
        <v/>
      </c>
      <c r="C874" s="243" t="str">
        <f t="shared" si="123"/>
        <v/>
      </c>
      <c r="D874" s="243" t="str">
        <f t="shared" si="124"/>
        <v/>
      </c>
      <c r="E874" s="265" t="str">
        <f>IF($A874="","",SUMIFS(Txn[Signed Units],Txn[Key],$A874))</f>
        <v/>
      </c>
      <c r="F874" s="287" t="str">
        <f>IF($A874="","",SUMIFS(Txn[Buy Cost],Txn[Key],$A874))</f>
        <v/>
      </c>
      <c r="G874" s="287" t="str">
        <f>IF($A874="","",SUMIFS(Txn[Sell Proceeds],Txn[Key],$A874))</f>
        <v/>
      </c>
      <c r="H874" s="288" t="str">
        <f>IF($A874="","",IFERROR(INDEX(Prices[Current Price],MATCH($A874,Prices[Key],0)),0))</f>
        <v/>
      </c>
      <c r="I874" s="289" t="str">
        <f>IF($A874="","",IFERROR(INDEX(Prices[FX to SGD],MATCH($A874,Prices[Key],0)),1))</f>
        <v/>
      </c>
      <c r="J874" s="287" t="str">
        <f t="shared" si="125"/>
        <v/>
      </c>
      <c r="K874" s="287" t="str">
        <f t="shared" si="126"/>
        <v/>
      </c>
      <c r="L874" s="287" t="str">
        <f t="shared" si="127"/>
        <v/>
      </c>
      <c r="M874" s="290" t="str">
        <f t="shared" si="128"/>
        <v/>
      </c>
      <c r="N874" t="str">
        <f>IF($A874="","",IFERROR(INDEX(Prices[Category],MATCH($A874,Prices[Key],0)),"Uncategorized"))</f>
        <v/>
      </c>
      <c r="O874" s="291" t="str">
        <f t="shared" si="129"/>
        <v/>
      </c>
      <c r="P874" s="291" t="str">
        <f t="shared" si="130"/>
        <v/>
      </c>
    </row>
    <row r="875" spans="1:16" ht="15" customHeight="1" x14ac:dyDescent="0.2">
      <c r="A875" s="243" t="str">
        <f>IFERROR(INDEX('All Ticker P&amp;L'!$A$2:$A$1001,MATCH(ROWS($A$2:A875),'All Ticker P&amp;L'!$N$2:$N$1001,0)),"")</f>
        <v/>
      </c>
      <c r="B875" s="243" t="str">
        <f t="shared" si="122"/>
        <v/>
      </c>
      <c r="C875" s="243" t="str">
        <f t="shared" si="123"/>
        <v/>
      </c>
      <c r="D875" s="243" t="str">
        <f t="shared" si="124"/>
        <v/>
      </c>
      <c r="E875" s="265" t="str">
        <f>IF($A875="","",SUMIFS(Txn[Signed Units],Txn[Key],$A875))</f>
        <v/>
      </c>
      <c r="F875" s="287" t="str">
        <f>IF($A875="","",SUMIFS(Txn[Buy Cost],Txn[Key],$A875))</f>
        <v/>
      </c>
      <c r="G875" s="287" t="str">
        <f>IF($A875="","",SUMIFS(Txn[Sell Proceeds],Txn[Key],$A875))</f>
        <v/>
      </c>
      <c r="H875" s="288" t="str">
        <f>IF($A875="","",IFERROR(INDEX(Prices[Current Price],MATCH($A875,Prices[Key],0)),0))</f>
        <v/>
      </c>
      <c r="I875" s="289" t="str">
        <f>IF($A875="","",IFERROR(INDEX(Prices[FX to SGD],MATCH($A875,Prices[Key],0)),1))</f>
        <v/>
      </c>
      <c r="J875" s="287" t="str">
        <f t="shared" si="125"/>
        <v/>
      </c>
      <c r="K875" s="287" t="str">
        <f t="shared" si="126"/>
        <v/>
      </c>
      <c r="L875" s="287" t="str">
        <f t="shared" si="127"/>
        <v/>
      </c>
      <c r="M875" s="290" t="str">
        <f t="shared" si="128"/>
        <v/>
      </c>
      <c r="N875" t="str">
        <f>IF($A875="","",IFERROR(INDEX(Prices[Category],MATCH($A875,Prices[Key],0)),"Uncategorized"))</f>
        <v/>
      </c>
      <c r="O875" s="291" t="str">
        <f t="shared" si="129"/>
        <v/>
      </c>
      <c r="P875" s="291" t="str">
        <f t="shared" si="130"/>
        <v/>
      </c>
    </row>
    <row r="876" spans="1:16" ht="15" customHeight="1" x14ac:dyDescent="0.2">
      <c r="A876" s="243" t="str">
        <f>IFERROR(INDEX('All Ticker P&amp;L'!$A$2:$A$1001,MATCH(ROWS($A$2:A876),'All Ticker P&amp;L'!$N$2:$N$1001,0)),"")</f>
        <v/>
      </c>
      <c r="B876" s="243" t="str">
        <f t="shared" si="122"/>
        <v/>
      </c>
      <c r="C876" s="243" t="str">
        <f t="shared" si="123"/>
        <v/>
      </c>
      <c r="D876" s="243" t="str">
        <f t="shared" si="124"/>
        <v/>
      </c>
      <c r="E876" s="265" t="str">
        <f>IF($A876="","",SUMIFS(Txn[Signed Units],Txn[Key],$A876))</f>
        <v/>
      </c>
      <c r="F876" s="287" t="str">
        <f>IF($A876="","",SUMIFS(Txn[Buy Cost],Txn[Key],$A876))</f>
        <v/>
      </c>
      <c r="G876" s="287" t="str">
        <f>IF($A876="","",SUMIFS(Txn[Sell Proceeds],Txn[Key],$A876))</f>
        <v/>
      </c>
      <c r="H876" s="288" t="str">
        <f>IF($A876="","",IFERROR(INDEX(Prices[Current Price],MATCH($A876,Prices[Key],0)),0))</f>
        <v/>
      </c>
      <c r="I876" s="289" t="str">
        <f>IF($A876="","",IFERROR(INDEX(Prices[FX to SGD],MATCH($A876,Prices[Key],0)),1))</f>
        <v/>
      </c>
      <c r="J876" s="287" t="str">
        <f t="shared" si="125"/>
        <v/>
      </c>
      <c r="K876" s="287" t="str">
        <f t="shared" si="126"/>
        <v/>
      </c>
      <c r="L876" s="287" t="str">
        <f t="shared" si="127"/>
        <v/>
      </c>
      <c r="M876" s="290" t="str">
        <f t="shared" si="128"/>
        <v/>
      </c>
      <c r="N876" t="str">
        <f>IF($A876="","",IFERROR(INDEX(Prices[Category],MATCH($A876,Prices[Key],0)),"Uncategorized"))</f>
        <v/>
      </c>
      <c r="O876" s="291" t="str">
        <f t="shared" si="129"/>
        <v/>
      </c>
      <c r="P876" s="291" t="str">
        <f t="shared" si="130"/>
        <v/>
      </c>
    </row>
    <row r="877" spans="1:16" ht="15" customHeight="1" x14ac:dyDescent="0.2">
      <c r="A877" s="243" t="str">
        <f>IFERROR(INDEX('All Ticker P&amp;L'!$A$2:$A$1001,MATCH(ROWS($A$2:A877),'All Ticker P&amp;L'!$N$2:$N$1001,0)),"")</f>
        <v/>
      </c>
      <c r="B877" s="243" t="str">
        <f t="shared" si="122"/>
        <v/>
      </c>
      <c r="C877" s="243" t="str">
        <f t="shared" si="123"/>
        <v/>
      </c>
      <c r="D877" s="243" t="str">
        <f t="shared" si="124"/>
        <v/>
      </c>
      <c r="E877" s="265" t="str">
        <f>IF($A877="","",SUMIFS(Txn[Signed Units],Txn[Key],$A877))</f>
        <v/>
      </c>
      <c r="F877" s="287" t="str">
        <f>IF($A877="","",SUMIFS(Txn[Buy Cost],Txn[Key],$A877))</f>
        <v/>
      </c>
      <c r="G877" s="287" t="str">
        <f>IF($A877="","",SUMIFS(Txn[Sell Proceeds],Txn[Key],$A877))</f>
        <v/>
      </c>
      <c r="H877" s="288" t="str">
        <f>IF($A877="","",IFERROR(INDEX(Prices[Current Price],MATCH($A877,Prices[Key],0)),0))</f>
        <v/>
      </c>
      <c r="I877" s="289" t="str">
        <f>IF($A877="","",IFERROR(INDEX(Prices[FX to SGD],MATCH($A877,Prices[Key],0)),1))</f>
        <v/>
      </c>
      <c r="J877" s="287" t="str">
        <f t="shared" si="125"/>
        <v/>
      </c>
      <c r="K877" s="287" t="str">
        <f t="shared" si="126"/>
        <v/>
      </c>
      <c r="L877" s="287" t="str">
        <f t="shared" si="127"/>
        <v/>
      </c>
      <c r="M877" s="290" t="str">
        <f t="shared" si="128"/>
        <v/>
      </c>
      <c r="N877" t="str">
        <f>IF($A877="","",IFERROR(INDEX(Prices[Category],MATCH($A877,Prices[Key],0)),"Uncategorized"))</f>
        <v/>
      </c>
      <c r="O877" s="291" t="str">
        <f t="shared" si="129"/>
        <v/>
      </c>
      <c r="P877" s="291" t="str">
        <f t="shared" si="130"/>
        <v/>
      </c>
    </row>
    <row r="878" spans="1:16" ht="15" customHeight="1" x14ac:dyDescent="0.2">
      <c r="A878" s="243" t="str">
        <f>IFERROR(INDEX('All Ticker P&amp;L'!$A$2:$A$1001,MATCH(ROWS($A$2:A878),'All Ticker P&amp;L'!$N$2:$N$1001,0)),"")</f>
        <v/>
      </c>
      <c r="B878" s="243" t="str">
        <f t="shared" si="122"/>
        <v/>
      </c>
      <c r="C878" s="243" t="str">
        <f t="shared" si="123"/>
        <v/>
      </c>
      <c r="D878" s="243" t="str">
        <f t="shared" si="124"/>
        <v/>
      </c>
      <c r="E878" s="265" t="str">
        <f>IF($A878="","",SUMIFS(Txn[Signed Units],Txn[Key],$A878))</f>
        <v/>
      </c>
      <c r="F878" s="287" t="str">
        <f>IF($A878="","",SUMIFS(Txn[Buy Cost],Txn[Key],$A878))</f>
        <v/>
      </c>
      <c r="G878" s="287" t="str">
        <f>IF($A878="","",SUMIFS(Txn[Sell Proceeds],Txn[Key],$A878))</f>
        <v/>
      </c>
      <c r="H878" s="288" t="str">
        <f>IF($A878="","",IFERROR(INDEX(Prices[Current Price],MATCH($A878,Prices[Key],0)),0))</f>
        <v/>
      </c>
      <c r="I878" s="289" t="str">
        <f>IF($A878="","",IFERROR(INDEX(Prices[FX to SGD],MATCH($A878,Prices[Key],0)),1))</f>
        <v/>
      </c>
      <c r="J878" s="287" t="str">
        <f t="shared" si="125"/>
        <v/>
      </c>
      <c r="K878" s="287" t="str">
        <f t="shared" si="126"/>
        <v/>
      </c>
      <c r="L878" s="287" t="str">
        <f t="shared" si="127"/>
        <v/>
      </c>
      <c r="M878" s="290" t="str">
        <f t="shared" si="128"/>
        <v/>
      </c>
      <c r="N878" t="str">
        <f>IF($A878="","",IFERROR(INDEX(Prices[Category],MATCH($A878,Prices[Key],0)),"Uncategorized"))</f>
        <v/>
      </c>
      <c r="O878" s="291" t="str">
        <f t="shared" si="129"/>
        <v/>
      </c>
      <c r="P878" s="291" t="str">
        <f t="shared" si="130"/>
        <v/>
      </c>
    </row>
    <row r="879" spans="1:16" ht="15" customHeight="1" x14ac:dyDescent="0.2">
      <c r="A879" s="243" t="str">
        <f>IFERROR(INDEX('All Ticker P&amp;L'!$A$2:$A$1001,MATCH(ROWS($A$2:A879),'All Ticker P&amp;L'!$N$2:$N$1001,0)),"")</f>
        <v/>
      </c>
      <c r="B879" s="243" t="str">
        <f t="shared" si="122"/>
        <v/>
      </c>
      <c r="C879" s="243" t="str">
        <f t="shared" si="123"/>
        <v/>
      </c>
      <c r="D879" s="243" t="str">
        <f t="shared" si="124"/>
        <v/>
      </c>
      <c r="E879" s="265" t="str">
        <f>IF($A879="","",SUMIFS(Txn[Signed Units],Txn[Key],$A879))</f>
        <v/>
      </c>
      <c r="F879" s="287" t="str">
        <f>IF($A879="","",SUMIFS(Txn[Buy Cost],Txn[Key],$A879))</f>
        <v/>
      </c>
      <c r="G879" s="287" t="str">
        <f>IF($A879="","",SUMIFS(Txn[Sell Proceeds],Txn[Key],$A879))</f>
        <v/>
      </c>
      <c r="H879" s="288" t="str">
        <f>IF($A879="","",IFERROR(INDEX(Prices[Current Price],MATCH($A879,Prices[Key],0)),0))</f>
        <v/>
      </c>
      <c r="I879" s="289" t="str">
        <f>IF($A879="","",IFERROR(INDEX(Prices[FX to SGD],MATCH($A879,Prices[Key],0)),1))</f>
        <v/>
      </c>
      <c r="J879" s="287" t="str">
        <f t="shared" si="125"/>
        <v/>
      </c>
      <c r="K879" s="287" t="str">
        <f t="shared" si="126"/>
        <v/>
      </c>
      <c r="L879" s="287" t="str">
        <f t="shared" si="127"/>
        <v/>
      </c>
      <c r="M879" s="290" t="str">
        <f t="shared" si="128"/>
        <v/>
      </c>
      <c r="N879" t="str">
        <f>IF($A879="","",IFERROR(INDEX(Prices[Category],MATCH($A879,Prices[Key],0)),"Uncategorized"))</f>
        <v/>
      </c>
      <c r="O879" s="291" t="str">
        <f t="shared" si="129"/>
        <v/>
      </c>
      <c r="P879" s="291" t="str">
        <f t="shared" si="130"/>
        <v/>
      </c>
    </row>
    <row r="880" spans="1:16" ht="15" customHeight="1" x14ac:dyDescent="0.2">
      <c r="A880" s="243" t="str">
        <f>IFERROR(INDEX('All Ticker P&amp;L'!$A$2:$A$1001,MATCH(ROWS($A$2:A880),'All Ticker P&amp;L'!$N$2:$N$1001,0)),"")</f>
        <v/>
      </c>
      <c r="B880" s="243" t="str">
        <f t="shared" si="122"/>
        <v/>
      </c>
      <c r="C880" s="243" t="str">
        <f t="shared" si="123"/>
        <v/>
      </c>
      <c r="D880" s="243" t="str">
        <f t="shared" si="124"/>
        <v/>
      </c>
      <c r="E880" s="265" t="str">
        <f>IF($A880="","",SUMIFS(Txn[Signed Units],Txn[Key],$A880))</f>
        <v/>
      </c>
      <c r="F880" s="287" t="str">
        <f>IF($A880="","",SUMIFS(Txn[Buy Cost],Txn[Key],$A880))</f>
        <v/>
      </c>
      <c r="G880" s="287" t="str">
        <f>IF($A880="","",SUMIFS(Txn[Sell Proceeds],Txn[Key],$A880))</f>
        <v/>
      </c>
      <c r="H880" s="288" t="str">
        <f>IF($A880="","",IFERROR(INDEX(Prices[Current Price],MATCH($A880,Prices[Key],0)),0))</f>
        <v/>
      </c>
      <c r="I880" s="289" t="str">
        <f>IF($A880="","",IFERROR(INDEX(Prices[FX to SGD],MATCH($A880,Prices[Key],0)),1))</f>
        <v/>
      </c>
      <c r="J880" s="287" t="str">
        <f t="shared" si="125"/>
        <v/>
      </c>
      <c r="K880" s="287" t="str">
        <f t="shared" si="126"/>
        <v/>
      </c>
      <c r="L880" s="287" t="str">
        <f t="shared" si="127"/>
        <v/>
      </c>
      <c r="M880" s="290" t="str">
        <f t="shared" si="128"/>
        <v/>
      </c>
      <c r="N880" t="str">
        <f>IF($A880="","",IFERROR(INDEX(Prices[Category],MATCH($A880,Prices[Key],0)),"Uncategorized"))</f>
        <v/>
      </c>
      <c r="O880" s="291" t="str">
        <f t="shared" si="129"/>
        <v/>
      </c>
      <c r="P880" s="291" t="str">
        <f t="shared" si="130"/>
        <v/>
      </c>
    </row>
    <row r="881" spans="1:16" ht="15" customHeight="1" x14ac:dyDescent="0.2">
      <c r="A881" s="243" t="str">
        <f>IFERROR(INDEX('All Ticker P&amp;L'!$A$2:$A$1001,MATCH(ROWS($A$2:A881),'All Ticker P&amp;L'!$N$2:$N$1001,0)),"")</f>
        <v/>
      </c>
      <c r="B881" s="243" t="str">
        <f t="shared" si="122"/>
        <v/>
      </c>
      <c r="C881" s="243" t="str">
        <f t="shared" si="123"/>
        <v/>
      </c>
      <c r="D881" s="243" t="str">
        <f t="shared" si="124"/>
        <v/>
      </c>
      <c r="E881" s="265" t="str">
        <f>IF($A881="","",SUMIFS(Txn[Signed Units],Txn[Key],$A881))</f>
        <v/>
      </c>
      <c r="F881" s="287" t="str">
        <f>IF($A881="","",SUMIFS(Txn[Buy Cost],Txn[Key],$A881))</f>
        <v/>
      </c>
      <c r="G881" s="287" t="str">
        <f>IF($A881="","",SUMIFS(Txn[Sell Proceeds],Txn[Key],$A881))</f>
        <v/>
      </c>
      <c r="H881" s="288" t="str">
        <f>IF($A881="","",IFERROR(INDEX(Prices[Current Price],MATCH($A881,Prices[Key],0)),0))</f>
        <v/>
      </c>
      <c r="I881" s="289" t="str">
        <f>IF($A881="","",IFERROR(INDEX(Prices[FX to SGD],MATCH($A881,Prices[Key],0)),1))</f>
        <v/>
      </c>
      <c r="J881" s="287" t="str">
        <f t="shared" si="125"/>
        <v/>
      </c>
      <c r="K881" s="287" t="str">
        <f t="shared" si="126"/>
        <v/>
      </c>
      <c r="L881" s="287" t="str">
        <f t="shared" si="127"/>
        <v/>
      </c>
      <c r="M881" s="290" t="str">
        <f t="shared" si="128"/>
        <v/>
      </c>
      <c r="N881" t="str">
        <f>IF($A881="","",IFERROR(INDEX(Prices[Category],MATCH($A881,Prices[Key],0)),"Uncategorized"))</f>
        <v/>
      </c>
      <c r="O881" s="291" t="str">
        <f t="shared" si="129"/>
        <v/>
      </c>
      <c r="P881" s="291" t="str">
        <f t="shared" si="130"/>
        <v/>
      </c>
    </row>
    <row r="882" spans="1:16" ht="15" customHeight="1" x14ac:dyDescent="0.2">
      <c r="A882" s="243" t="str">
        <f>IFERROR(INDEX('All Ticker P&amp;L'!$A$2:$A$1001,MATCH(ROWS($A$2:A882),'All Ticker P&amp;L'!$N$2:$N$1001,0)),"")</f>
        <v/>
      </c>
      <c r="B882" s="243" t="str">
        <f t="shared" si="122"/>
        <v/>
      </c>
      <c r="C882" s="243" t="str">
        <f t="shared" si="123"/>
        <v/>
      </c>
      <c r="D882" s="243" t="str">
        <f t="shared" si="124"/>
        <v/>
      </c>
      <c r="E882" s="265" t="str">
        <f>IF($A882="","",SUMIFS(Txn[Signed Units],Txn[Key],$A882))</f>
        <v/>
      </c>
      <c r="F882" s="287" t="str">
        <f>IF($A882="","",SUMIFS(Txn[Buy Cost],Txn[Key],$A882))</f>
        <v/>
      </c>
      <c r="G882" s="287" t="str">
        <f>IF($A882="","",SUMIFS(Txn[Sell Proceeds],Txn[Key],$A882))</f>
        <v/>
      </c>
      <c r="H882" s="288" t="str">
        <f>IF($A882="","",IFERROR(INDEX(Prices[Current Price],MATCH($A882,Prices[Key],0)),0))</f>
        <v/>
      </c>
      <c r="I882" s="289" t="str">
        <f>IF($A882="","",IFERROR(INDEX(Prices[FX to SGD],MATCH($A882,Prices[Key],0)),1))</f>
        <v/>
      </c>
      <c r="J882" s="287" t="str">
        <f t="shared" si="125"/>
        <v/>
      </c>
      <c r="K882" s="287" t="str">
        <f t="shared" si="126"/>
        <v/>
      </c>
      <c r="L882" s="287" t="str">
        <f t="shared" si="127"/>
        <v/>
      </c>
      <c r="M882" s="290" t="str">
        <f t="shared" si="128"/>
        <v/>
      </c>
      <c r="N882" t="str">
        <f>IF($A882="","",IFERROR(INDEX(Prices[Category],MATCH($A882,Prices[Key],0)),"Uncategorized"))</f>
        <v/>
      </c>
      <c r="O882" s="291" t="str">
        <f t="shared" si="129"/>
        <v/>
      </c>
      <c r="P882" s="291" t="str">
        <f t="shared" si="130"/>
        <v/>
      </c>
    </row>
    <row r="883" spans="1:16" ht="15" customHeight="1" x14ac:dyDescent="0.2">
      <c r="A883" s="243" t="str">
        <f>IFERROR(INDEX('All Ticker P&amp;L'!$A$2:$A$1001,MATCH(ROWS($A$2:A883),'All Ticker P&amp;L'!$N$2:$N$1001,0)),"")</f>
        <v/>
      </c>
      <c r="B883" s="243" t="str">
        <f t="shared" si="122"/>
        <v/>
      </c>
      <c r="C883" s="243" t="str">
        <f t="shared" si="123"/>
        <v/>
      </c>
      <c r="D883" s="243" t="str">
        <f t="shared" si="124"/>
        <v/>
      </c>
      <c r="E883" s="265" t="str">
        <f>IF($A883="","",SUMIFS(Txn[Signed Units],Txn[Key],$A883))</f>
        <v/>
      </c>
      <c r="F883" s="287" t="str">
        <f>IF($A883="","",SUMIFS(Txn[Buy Cost],Txn[Key],$A883))</f>
        <v/>
      </c>
      <c r="G883" s="287" t="str">
        <f>IF($A883="","",SUMIFS(Txn[Sell Proceeds],Txn[Key],$A883))</f>
        <v/>
      </c>
      <c r="H883" s="288" t="str">
        <f>IF($A883="","",IFERROR(INDEX(Prices[Current Price],MATCH($A883,Prices[Key],0)),0))</f>
        <v/>
      </c>
      <c r="I883" s="289" t="str">
        <f>IF($A883="","",IFERROR(INDEX(Prices[FX to SGD],MATCH($A883,Prices[Key],0)),1))</f>
        <v/>
      </c>
      <c r="J883" s="287" t="str">
        <f t="shared" si="125"/>
        <v/>
      </c>
      <c r="K883" s="287" t="str">
        <f t="shared" si="126"/>
        <v/>
      </c>
      <c r="L883" s="287" t="str">
        <f t="shared" si="127"/>
        <v/>
      </c>
      <c r="M883" s="290" t="str">
        <f t="shared" si="128"/>
        <v/>
      </c>
      <c r="N883" t="str">
        <f>IF($A883="","",IFERROR(INDEX(Prices[Category],MATCH($A883,Prices[Key],0)),"Uncategorized"))</f>
        <v/>
      </c>
      <c r="O883" s="291" t="str">
        <f t="shared" si="129"/>
        <v/>
      </c>
      <c r="P883" s="291" t="str">
        <f t="shared" si="130"/>
        <v/>
      </c>
    </row>
    <row r="884" spans="1:16" ht="15" customHeight="1" x14ac:dyDescent="0.2">
      <c r="A884" s="243" t="str">
        <f>IFERROR(INDEX('All Ticker P&amp;L'!$A$2:$A$1001,MATCH(ROWS($A$2:A884),'All Ticker P&amp;L'!$N$2:$N$1001,0)),"")</f>
        <v/>
      </c>
      <c r="B884" s="243" t="str">
        <f t="shared" si="122"/>
        <v/>
      </c>
      <c r="C884" s="243" t="str">
        <f t="shared" si="123"/>
        <v/>
      </c>
      <c r="D884" s="243" t="str">
        <f t="shared" si="124"/>
        <v/>
      </c>
      <c r="E884" s="265" t="str">
        <f>IF($A884="","",SUMIFS(Txn[Signed Units],Txn[Key],$A884))</f>
        <v/>
      </c>
      <c r="F884" s="287" t="str">
        <f>IF($A884="","",SUMIFS(Txn[Buy Cost],Txn[Key],$A884))</f>
        <v/>
      </c>
      <c r="G884" s="287" t="str">
        <f>IF($A884="","",SUMIFS(Txn[Sell Proceeds],Txn[Key],$A884))</f>
        <v/>
      </c>
      <c r="H884" s="288" t="str">
        <f>IF($A884="","",IFERROR(INDEX(Prices[Current Price],MATCH($A884,Prices[Key],0)),0))</f>
        <v/>
      </c>
      <c r="I884" s="289" t="str">
        <f>IF($A884="","",IFERROR(INDEX(Prices[FX to SGD],MATCH($A884,Prices[Key],0)),1))</f>
        <v/>
      </c>
      <c r="J884" s="287" t="str">
        <f t="shared" si="125"/>
        <v/>
      </c>
      <c r="K884" s="287" t="str">
        <f t="shared" si="126"/>
        <v/>
      </c>
      <c r="L884" s="287" t="str">
        <f t="shared" si="127"/>
        <v/>
      </c>
      <c r="M884" s="290" t="str">
        <f t="shared" si="128"/>
        <v/>
      </c>
      <c r="N884" t="str">
        <f>IF($A884="","",IFERROR(INDEX(Prices[Category],MATCH($A884,Prices[Key],0)),"Uncategorized"))</f>
        <v/>
      </c>
      <c r="O884" s="291" t="str">
        <f t="shared" si="129"/>
        <v/>
      </c>
      <c r="P884" s="291" t="str">
        <f t="shared" si="130"/>
        <v/>
      </c>
    </row>
    <row r="885" spans="1:16" ht="15" customHeight="1" x14ac:dyDescent="0.2">
      <c r="A885" s="243" t="str">
        <f>IFERROR(INDEX('All Ticker P&amp;L'!$A$2:$A$1001,MATCH(ROWS($A$2:A885),'All Ticker P&amp;L'!$N$2:$N$1001,0)),"")</f>
        <v/>
      </c>
      <c r="B885" s="243" t="str">
        <f t="shared" si="122"/>
        <v/>
      </c>
      <c r="C885" s="243" t="str">
        <f t="shared" si="123"/>
        <v/>
      </c>
      <c r="D885" s="243" t="str">
        <f t="shared" si="124"/>
        <v/>
      </c>
      <c r="E885" s="265" t="str">
        <f>IF($A885="","",SUMIFS(Txn[Signed Units],Txn[Key],$A885))</f>
        <v/>
      </c>
      <c r="F885" s="287" t="str">
        <f>IF($A885="","",SUMIFS(Txn[Buy Cost],Txn[Key],$A885))</f>
        <v/>
      </c>
      <c r="G885" s="287" t="str">
        <f>IF($A885="","",SUMIFS(Txn[Sell Proceeds],Txn[Key],$A885))</f>
        <v/>
      </c>
      <c r="H885" s="288" t="str">
        <f>IF($A885="","",IFERROR(INDEX(Prices[Current Price],MATCH($A885,Prices[Key],0)),0))</f>
        <v/>
      </c>
      <c r="I885" s="289" t="str">
        <f>IF($A885="","",IFERROR(INDEX(Prices[FX to SGD],MATCH($A885,Prices[Key],0)),1))</f>
        <v/>
      </c>
      <c r="J885" s="287" t="str">
        <f t="shared" si="125"/>
        <v/>
      </c>
      <c r="K885" s="287" t="str">
        <f t="shared" si="126"/>
        <v/>
      </c>
      <c r="L885" s="287" t="str">
        <f t="shared" si="127"/>
        <v/>
      </c>
      <c r="M885" s="290" t="str">
        <f t="shared" si="128"/>
        <v/>
      </c>
      <c r="N885" t="str">
        <f>IF($A885="","",IFERROR(INDEX(Prices[Category],MATCH($A885,Prices[Key],0)),"Uncategorized"))</f>
        <v/>
      </c>
      <c r="O885" s="291" t="str">
        <f t="shared" si="129"/>
        <v/>
      </c>
      <c r="P885" s="291" t="str">
        <f t="shared" si="130"/>
        <v/>
      </c>
    </row>
    <row r="886" spans="1:16" ht="15" customHeight="1" x14ac:dyDescent="0.2">
      <c r="A886" s="243" t="str">
        <f>IFERROR(INDEX('All Ticker P&amp;L'!$A$2:$A$1001,MATCH(ROWS($A$2:A886),'All Ticker P&amp;L'!$N$2:$N$1001,0)),"")</f>
        <v/>
      </c>
      <c r="B886" s="243" t="str">
        <f t="shared" si="122"/>
        <v/>
      </c>
      <c r="C886" s="243" t="str">
        <f t="shared" si="123"/>
        <v/>
      </c>
      <c r="D886" s="243" t="str">
        <f t="shared" si="124"/>
        <v/>
      </c>
      <c r="E886" s="265" t="str">
        <f>IF($A886="","",SUMIFS(Txn[Signed Units],Txn[Key],$A886))</f>
        <v/>
      </c>
      <c r="F886" s="287" t="str">
        <f>IF($A886="","",SUMIFS(Txn[Buy Cost],Txn[Key],$A886))</f>
        <v/>
      </c>
      <c r="G886" s="287" t="str">
        <f>IF($A886="","",SUMIFS(Txn[Sell Proceeds],Txn[Key],$A886))</f>
        <v/>
      </c>
      <c r="H886" s="288" t="str">
        <f>IF($A886="","",IFERROR(INDEX(Prices[Current Price],MATCH($A886,Prices[Key],0)),0))</f>
        <v/>
      </c>
      <c r="I886" s="289" t="str">
        <f>IF($A886="","",IFERROR(INDEX(Prices[FX to SGD],MATCH($A886,Prices[Key],0)),1))</f>
        <v/>
      </c>
      <c r="J886" s="287" t="str">
        <f t="shared" si="125"/>
        <v/>
      </c>
      <c r="K886" s="287" t="str">
        <f t="shared" si="126"/>
        <v/>
      </c>
      <c r="L886" s="287" t="str">
        <f t="shared" si="127"/>
        <v/>
      </c>
      <c r="M886" s="290" t="str">
        <f t="shared" si="128"/>
        <v/>
      </c>
      <c r="N886" t="str">
        <f>IF($A886="","",IFERROR(INDEX(Prices[Category],MATCH($A886,Prices[Key],0)),"Uncategorized"))</f>
        <v/>
      </c>
      <c r="O886" s="291" t="str">
        <f t="shared" si="129"/>
        <v/>
      </c>
      <c r="P886" s="291" t="str">
        <f t="shared" si="130"/>
        <v/>
      </c>
    </row>
    <row r="887" spans="1:16" ht="15" customHeight="1" x14ac:dyDescent="0.2">
      <c r="A887" s="243" t="str">
        <f>IFERROR(INDEX('All Ticker P&amp;L'!$A$2:$A$1001,MATCH(ROWS($A$2:A887),'All Ticker P&amp;L'!$N$2:$N$1001,0)),"")</f>
        <v/>
      </c>
      <c r="B887" s="243" t="str">
        <f t="shared" si="122"/>
        <v/>
      </c>
      <c r="C887" s="243" t="str">
        <f t="shared" si="123"/>
        <v/>
      </c>
      <c r="D887" s="243" t="str">
        <f t="shared" si="124"/>
        <v/>
      </c>
      <c r="E887" s="265" t="str">
        <f>IF($A887="","",SUMIFS(Txn[Signed Units],Txn[Key],$A887))</f>
        <v/>
      </c>
      <c r="F887" s="287" t="str">
        <f>IF($A887="","",SUMIFS(Txn[Buy Cost],Txn[Key],$A887))</f>
        <v/>
      </c>
      <c r="G887" s="287" t="str">
        <f>IF($A887="","",SUMIFS(Txn[Sell Proceeds],Txn[Key],$A887))</f>
        <v/>
      </c>
      <c r="H887" s="288" t="str">
        <f>IF($A887="","",IFERROR(INDEX(Prices[Current Price],MATCH($A887,Prices[Key],0)),0))</f>
        <v/>
      </c>
      <c r="I887" s="289" t="str">
        <f>IF($A887="","",IFERROR(INDEX(Prices[FX to SGD],MATCH($A887,Prices[Key],0)),1))</f>
        <v/>
      </c>
      <c r="J887" s="287" t="str">
        <f t="shared" si="125"/>
        <v/>
      </c>
      <c r="K887" s="287" t="str">
        <f t="shared" si="126"/>
        <v/>
      </c>
      <c r="L887" s="287" t="str">
        <f t="shared" si="127"/>
        <v/>
      </c>
      <c r="M887" s="290" t="str">
        <f t="shared" si="128"/>
        <v/>
      </c>
      <c r="N887" t="str">
        <f>IF($A887="","",IFERROR(INDEX(Prices[Category],MATCH($A887,Prices[Key],0)),"Uncategorized"))</f>
        <v/>
      </c>
      <c r="O887" s="291" t="str">
        <f t="shared" si="129"/>
        <v/>
      </c>
      <c r="P887" s="291" t="str">
        <f t="shared" si="130"/>
        <v/>
      </c>
    </row>
    <row r="888" spans="1:16" ht="15" customHeight="1" x14ac:dyDescent="0.2">
      <c r="A888" s="243" t="str">
        <f>IFERROR(INDEX('All Ticker P&amp;L'!$A$2:$A$1001,MATCH(ROWS($A$2:A888),'All Ticker P&amp;L'!$N$2:$N$1001,0)),"")</f>
        <v/>
      </c>
      <c r="B888" s="243" t="str">
        <f t="shared" si="122"/>
        <v/>
      </c>
      <c r="C888" s="243" t="str">
        <f t="shared" si="123"/>
        <v/>
      </c>
      <c r="D888" s="243" t="str">
        <f t="shared" si="124"/>
        <v/>
      </c>
      <c r="E888" s="265" t="str">
        <f>IF($A888="","",SUMIFS(Txn[Signed Units],Txn[Key],$A888))</f>
        <v/>
      </c>
      <c r="F888" s="287" t="str">
        <f>IF($A888="","",SUMIFS(Txn[Buy Cost],Txn[Key],$A888))</f>
        <v/>
      </c>
      <c r="G888" s="287" t="str">
        <f>IF($A888="","",SUMIFS(Txn[Sell Proceeds],Txn[Key],$A888))</f>
        <v/>
      </c>
      <c r="H888" s="288" t="str">
        <f>IF($A888="","",IFERROR(INDEX(Prices[Current Price],MATCH($A888,Prices[Key],0)),0))</f>
        <v/>
      </c>
      <c r="I888" s="289" t="str">
        <f>IF($A888="","",IFERROR(INDEX(Prices[FX to SGD],MATCH($A888,Prices[Key],0)),1))</f>
        <v/>
      </c>
      <c r="J888" s="287" t="str">
        <f t="shared" si="125"/>
        <v/>
      </c>
      <c r="K888" s="287" t="str">
        <f t="shared" si="126"/>
        <v/>
      </c>
      <c r="L888" s="287" t="str">
        <f t="shared" si="127"/>
        <v/>
      </c>
      <c r="M888" s="290" t="str">
        <f t="shared" si="128"/>
        <v/>
      </c>
      <c r="N888" t="str">
        <f>IF($A888="","",IFERROR(INDEX(Prices[Category],MATCH($A888,Prices[Key],0)),"Uncategorized"))</f>
        <v/>
      </c>
      <c r="O888" s="291" t="str">
        <f t="shared" si="129"/>
        <v/>
      </c>
      <c r="P888" s="291" t="str">
        <f t="shared" si="130"/>
        <v/>
      </c>
    </row>
    <row r="889" spans="1:16" ht="15" customHeight="1" x14ac:dyDescent="0.2">
      <c r="A889" s="243" t="str">
        <f>IFERROR(INDEX('All Ticker P&amp;L'!$A$2:$A$1001,MATCH(ROWS($A$2:A889),'All Ticker P&amp;L'!$N$2:$N$1001,0)),"")</f>
        <v/>
      </c>
      <c r="B889" s="243" t="str">
        <f t="shared" si="122"/>
        <v/>
      </c>
      <c r="C889" s="243" t="str">
        <f t="shared" si="123"/>
        <v/>
      </c>
      <c r="D889" s="243" t="str">
        <f t="shared" si="124"/>
        <v/>
      </c>
      <c r="E889" s="265" t="str">
        <f>IF($A889="","",SUMIFS(Txn[Signed Units],Txn[Key],$A889))</f>
        <v/>
      </c>
      <c r="F889" s="287" t="str">
        <f>IF($A889="","",SUMIFS(Txn[Buy Cost],Txn[Key],$A889))</f>
        <v/>
      </c>
      <c r="G889" s="287" t="str">
        <f>IF($A889="","",SUMIFS(Txn[Sell Proceeds],Txn[Key],$A889))</f>
        <v/>
      </c>
      <c r="H889" s="288" t="str">
        <f>IF($A889="","",IFERROR(INDEX(Prices[Current Price],MATCH($A889,Prices[Key],0)),0))</f>
        <v/>
      </c>
      <c r="I889" s="289" t="str">
        <f>IF($A889="","",IFERROR(INDEX(Prices[FX to SGD],MATCH($A889,Prices[Key],0)),1))</f>
        <v/>
      </c>
      <c r="J889" s="287" t="str">
        <f t="shared" si="125"/>
        <v/>
      </c>
      <c r="K889" s="287" t="str">
        <f t="shared" si="126"/>
        <v/>
      </c>
      <c r="L889" s="287" t="str">
        <f t="shared" si="127"/>
        <v/>
      </c>
      <c r="M889" s="290" t="str">
        <f t="shared" si="128"/>
        <v/>
      </c>
      <c r="N889" t="str">
        <f>IF($A889="","",IFERROR(INDEX(Prices[Category],MATCH($A889,Prices[Key],0)),"Uncategorized"))</f>
        <v/>
      </c>
      <c r="O889" s="291" t="str">
        <f t="shared" si="129"/>
        <v/>
      </c>
      <c r="P889" s="291" t="str">
        <f t="shared" si="130"/>
        <v/>
      </c>
    </row>
    <row r="890" spans="1:16" ht="15" customHeight="1" x14ac:dyDescent="0.2">
      <c r="A890" s="243" t="str">
        <f>IFERROR(INDEX('All Ticker P&amp;L'!$A$2:$A$1001,MATCH(ROWS($A$2:A890),'All Ticker P&amp;L'!$N$2:$N$1001,0)),"")</f>
        <v/>
      </c>
      <c r="B890" s="243" t="str">
        <f t="shared" si="122"/>
        <v/>
      </c>
      <c r="C890" s="243" t="str">
        <f t="shared" si="123"/>
        <v/>
      </c>
      <c r="D890" s="243" t="str">
        <f t="shared" si="124"/>
        <v/>
      </c>
      <c r="E890" s="265" t="str">
        <f>IF($A890="","",SUMIFS(Txn[Signed Units],Txn[Key],$A890))</f>
        <v/>
      </c>
      <c r="F890" s="287" t="str">
        <f>IF($A890="","",SUMIFS(Txn[Buy Cost],Txn[Key],$A890))</f>
        <v/>
      </c>
      <c r="G890" s="287" t="str">
        <f>IF($A890="","",SUMIFS(Txn[Sell Proceeds],Txn[Key],$A890))</f>
        <v/>
      </c>
      <c r="H890" s="288" t="str">
        <f>IF($A890="","",IFERROR(INDEX(Prices[Current Price],MATCH($A890,Prices[Key],0)),0))</f>
        <v/>
      </c>
      <c r="I890" s="289" t="str">
        <f>IF($A890="","",IFERROR(INDEX(Prices[FX to SGD],MATCH($A890,Prices[Key],0)),1))</f>
        <v/>
      </c>
      <c r="J890" s="287" t="str">
        <f t="shared" si="125"/>
        <v/>
      </c>
      <c r="K890" s="287" t="str">
        <f t="shared" si="126"/>
        <v/>
      </c>
      <c r="L890" s="287" t="str">
        <f t="shared" si="127"/>
        <v/>
      </c>
      <c r="M890" s="290" t="str">
        <f t="shared" si="128"/>
        <v/>
      </c>
      <c r="N890" t="str">
        <f>IF($A890="","",IFERROR(INDEX(Prices[Category],MATCH($A890,Prices[Key],0)),"Uncategorized"))</f>
        <v/>
      </c>
      <c r="O890" s="291" t="str">
        <f t="shared" si="129"/>
        <v/>
      </c>
      <c r="P890" s="291" t="str">
        <f t="shared" si="130"/>
        <v/>
      </c>
    </row>
    <row r="891" spans="1:16" ht="15" customHeight="1" x14ac:dyDescent="0.2">
      <c r="A891" s="243" t="str">
        <f>IFERROR(INDEX('All Ticker P&amp;L'!$A$2:$A$1001,MATCH(ROWS($A$2:A891),'All Ticker P&amp;L'!$N$2:$N$1001,0)),"")</f>
        <v/>
      </c>
      <c r="B891" s="243" t="str">
        <f t="shared" si="122"/>
        <v/>
      </c>
      <c r="C891" s="243" t="str">
        <f t="shared" si="123"/>
        <v/>
      </c>
      <c r="D891" s="243" t="str">
        <f t="shared" si="124"/>
        <v/>
      </c>
      <c r="E891" s="265" t="str">
        <f>IF($A891="","",SUMIFS(Txn[Signed Units],Txn[Key],$A891))</f>
        <v/>
      </c>
      <c r="F891" s="287" t="str">
        <f>IF($A891="","",SUMIFS(Txn[Buy Cost],Txn[Key],$A891))</f>
        <v/>
      </c>
      <c r="G891" s="287" t="str">
        <f>IF($A891="","",SUMIFS(Txn[Sell Proceeds],Txn[Key],$A891))</f>
        <v/>
      </c>
      <c r="H891" s="288" t="str">
        <f>IF($A891="","",IFERROR(INDEX(Prices[Current Price],MATCH($A891,Prices[Key],0)),0))</f>
        <v/>
      </c>
      <c r="I891" s="289" t="str">
        <f>IF($A891="","",IFERROR(INDEX(Prices[FX to SGD],MATCH($A891,Prices[Key],0)),1))</f>
        <v/>
      </c>
      <c r="J891" s="287" t="str">
        <f t="shared" si="125"/>
        <v/>
      </c>
      <c r="K891" s="287" t="str">
        <f t="shared" si="126"/>
        <v/>
      </c>
      <c r="L891" s="287" t="str">
        <f t="shared" si="127"/>
        <v/>
      </c>
      <c r="M891" s="290" t="str">
        <f t="shared" si="128"/>
        <v/>
      </c>
      <c r="N891" t="str">
        <f>IF($A891="","",IFERROR(INDEX(Prices[Category],MATCH($A891,Prices[Key],0)),"Uncategorized"))</f>
        <v/>
      </c>
      <c r="O891" s="291" t="str">
        <f t="shared" si="129"/>
        <v/>
      </c>
      <c r="P891" s="291" t="str">
        <f t="shared" si="130"/>
        <v/>
      </c>
    </row>
    <row r="892" spans="1:16" ht="15" customHeight="1" x14ac:dyDescent="0.2">
      <c r="A892" s="243" t="str">
        <f>IFERROR(INDEX('All Ticker P&amp;L'!$A$2:$A$1001,MATCH(ROWS($A$2:A892),'All Ticker P&amp;L'!$N$2:$N$1001,0)),"")</f>
        <v/>
      </c>
      <c r="B892" s="243" t="str">
        <f t="shared" si="122"/>
        <v/>
      </c>
      <c r="C892" s="243" t="str">
        <f t="shared" si="123"/>
        <v/>
      </c>
      <c r="D892" s="243" t="str">
        <f t="shared" si="124"/>
        <v/>
      </c>
      <c r="E892" s="265" t="str">
        <f>IF($A892="","",SUMIFS(Txn[Signed Units],Txn[Key],$A892))</f>
        <v/>
      </c>
      <c r="F892" s="287" t="str">
        <f>IF($A892="","",SUMIFS(Txn[Buy Cost],Txn[Key],$A892))</f>
        <v/>
      </c>
      <c r="G892" s="287" t="str">
        <f>IF($A892="","",SUMIFS(Txn[Sell Proceeds],Txn[Key],$A892))</f>
        <v/>
      </c>
      <c r="H892" s="288" t="str">
        <f>IF($A892="","",IFERROR(INDEX(Prices[Current Price],MATCH($A892,Prices[Key],0)),0))</f>
        <v/>
      </c>
      <c r="I892" s="289" t="str">
        <f>IF($A892="","",IFERROR(INDEX(Prices[FX to SGD],MATCH($A892,Prices[Key],0)),1))</f>
        <v/>
      </c>
      <c r="J892" s="287" t="str">
        <f t="shared" si="125"/>
        <v/>
      </c>
      <c r="K892" s="287" t="str">
        <f t="shared" si="126"/>
        <v/>
      </c>
      <c r="L892" s="287" t="str">
        <f t="shared" si="127"/>
        <v/>
      </c>
      <c r="M892" s="290" t="str">
        <f t="shared" si="128"/>
        <v/>
      </c>
      <c r="N892" t="str">
        <f>IF($A892="","",IFERROR(INDEX(Prices[Category],MATCH($A892,Prices[Key],0)),"Uncategorized"))</f>
        <v/>
      </c>
      <c r="O892" s="291" t="str">
        <f t="shared" si="129"/>
        <v/>
      </c>
      <c r="P892" s="291" t="str">
        <f t="shared" si="130"/>
        <v/>
      </c>
    </row>
    <row r="893" spans="1:16" ht="15" customHeight="1" x14ac:dyDescent="0.2">
      <c r="A893" s="243" t="str">
        <f>IFERROR(INDEX('All Ticker P&amp;L'!$A$2:$A$1001,MATCH(ROWS($A$2:A893),'All Ticker P&amp;L'!$N$2:$N$1001,0)),"")</f>
        <v/>
      </c>
      <c r="B893" s="243" t="str">
        <f t="shared" si="122"/>
        <v/>
      </c>
      <c r="C893" s="243" t="str">
        <f t="shared" si="123"/>
        <v/>
      </c>
      <c r="D893" s="243" t="str">
        <f t="shared" si="124"/>
        <v/>
      </c>
      <c r="E893" s="265" t="str">
        <f>IF($A893="","",SUMIFS(Txn[Signed Units],Txn[Key],$A893))</f>
        <v/>
      </c>
      <c r="F893" s="287" t="str">
        <f>IF($A893="","",SUMIFS(Txn[Buy Cost],Txn[Key],$A893))</f>
        <v/>
      </c>
      <c r="G893" s="287" t="str">
        <f>IF($A893="","",SUMIFS(Txn[Sell Proceeds],Txn[Key],$A893))</f>
        <v/>
      </c>
      <c r="H893" s="288" t="str">
        <f>IF($A893="","",IFERROR(INDEX(Prices[Current Price],MATCH($A893,Prices[Key],0)),0))</f>
        <v/>
      </c>
      <c r="I893" s="289" t="str">
        <f>IF($A893="","",IFERROR(INDEX(Prices[FX to SGD],MATCH($A893,Prices[Key],0)),1))</f>
        <v/>
      </c>
      <c r="J893" s="287" t="str">
        <f t="shared" si="125"/>
        <v/>
      </c>
      <c r="K893" s="287" t="str">
        <f t="shared" si="126"/>
        <v/>
      </c>
      <c r="L893" s="287" t="str">
        <f t="shared" si="127"/>
        <v/>
      </c>
      <c r="M893" s="290" t="str">
        <f t="shared" si="128"/>
        <v/>
      </c>
      <c r="N893" t="str">
        <f>IF($A893="","",IFERROR(INDEX(Prices[Category],MATCH($A893,Prices[Key],0)),"Uncategorized"))</f>
        <v/>
      </c>
      <c r="O893" s="291" t="str">
        <f t="shared" si="129"/>
        <v/>
      </c>
      <c r="P893" s="291" t="str">
        <f t="shared" si="130"/>
        <v/>
      </c>
    </row>
    <row r="894" spans="1:16" ht="15" customHeight="1" x14ac:dyDescent="0.2">
      <c r="A894" s="243" t="str">
        <f>IFERROR(INDEX('All Ticker P&amp;L'!$A$2:$A$1001,MATCH(ROWS($A$2:A894),'All Ticker P&amp;L'!$N$2:$N$1001,0)),"")</f>
        <v/>
      </c>
      <c r="B894" s="243" t="str">
        <f t="shared" si="122"/>
        <v/>
      </c>
      <c r="C894" s="243" t="str">
        <f t="shared" si="123"/>
        <v/>
      </c>
      <c r="D894" s="243" t="str">
        <f t="shared" si="124"/>
        <v/>
      </c>
      <c r="E894" s="265" t="str">
        <f>IF($A894="","",SUMIFS(Txn[Signed Units],Txn[Key],$A894))</f>
        <v/>
      </c>
      <c r="F894" s="287" t="str">
        <f>IF($A894="","",SUMIFS(Txn[Buy Cost],Txn[Key],$A894))</f>
        <v/>
      </c>
      <c r="G894" s="287" t="str">
        <f>IF($A894="","",SUMIFS(Txn[Sell Proceeds],Txn[Key],$A894))</f>
        <v/>
      </c>
      <c r="H894" s="288" t="str">
        <f>IF($A894="","",IFERROR(INDEX(Prices[Current Price],MATCH($A894,Prices[Key],0)),0))</f>
        <v/>
      </c>
      <c r="I894" s="289" t="str">
        <f>IF($A894="","",IFERROR(INDEX(Prices[FX to SGD],MATCH($A894,Prices[Key],0)),1))</f>
        <v/>
      </c>
      <c r="J894" s="287" t="str">
        <f t="shared" si="125"/>
        <v/>
      </c>
      <c r="K894" s="287" t="str">
        <f t="shared" si="126"/>
        <v/>
      </c>
      <c r="L894" s="287" t="str">
        <f t="shared" si="127"/>
        <v/>
      </c>
      <c r="M894" s="290" t="str">
        <f t="shared" si="128"/>
        <v/>
      </c>
      <c r="N894" t="str">
        <f>IF($A894="","",IFERROR(INDEX(Prices[Category],MATCH($A894,Prices[Key],0)),"Uncategorized"))</f>
        <v/>
      </c>
      <c r="O894" s="291" t="str">
        <f t="shared" si="129"/>
        <v/>
      </c>
      <c r="P894" s="291" t="str">
        <f t="shared" si="130"/>
        <v/>
      </c>
    </row>
    <row r="895" spans="1:16" ht="15" customHeight="1" x14ac:dyDescent="0.2">
      <c r="A895" s="243" t="str">
        <f>IFERROR(INDEX('All Ticker P&amp;L'!$A$2:$A$1001,MATCH(ROWS($A$2:A895),'All Ticker P&amp;L'!$N$2:$N$1001,0)),"")</f>
        <v/>
      </c>
      <c r="B895" s="243" t="str">
        <f t="shared" si="122"/>
        <v/>
      </c>
      <c r="C895" s="243" t="str">
        <f t="shared" si="123"/>
        <v/>
      </c>
      <c r="D895" s="243" t="str">
        <f t="shared" si="124"/>
        <v/>
      </c>
      <c r="E895" s="265" t="str">
        <f>IF($A895="","",SUMIFS(Txn[Signed Units],Txn[Key],$A895))</f>
        <v/>
      </c>
      <c r="F895" s="287" t="str">
        <f>IF($A895="","",SUMIFS(Txn[Buy Cost],Txn[Key],$A895))</f>
        <v/>
      </c>
      <c r="G895" s="287" t="str">
        <f>IF($A895="","",SUMIFS(Txn[Sell Proceeds],Txn[Key],$A895))</f>
        <v/>
      </c>
      <c r="H895" s="288" t="str">
        <f>IF($A895="","",IFERROR(INDEX(Prices[Current Price],MATCH($A895,Prices[Key],0)),0))</f>
        <v/>
      </c>
      <c r="I895" s="289" t="str">
        <f>IF($A895="","",IFERROR(INDEX(Prices[FX to SGD],MATCH($A895,Prices[Key],0)),1))</f>
        <v/>
      </c>
      <c r="J895" s="287" t="str">
        <f t="shared" si="125"/>
        <v/>
      </c>
      <c r="K895" s="287" t="str">
        <f t="shared" si="126"/>
        <v/>
      </c>
      <c r="L895" s="287" t="str">
        <f t="shared" si="127"/>
        <v/>
      </c>
      <c r="M895" s="290" t="str">
        <f t="shared" si="128"/>
        <v/>
      </c>
      <c r="N895" t="str">
        <f>IF($A895="","",IFERROR(INDEX(Prices[Category],MATCH($A895,Prices[Key],0)),"Uncategorized"))</f>
        <v/>
      </c>
      <c r="O895" s="291" t="str">
        <f t="shared" si="129"/>
        <v/>
      </c>
      <c r="P895" s="291" t="str">
        <f t="shared" si="130"/>
        <v/>
      </c>
    </row>
    <row r="896" spans="1:16" ht="15" customHeight="1" x14ac:dyDescent="0.2">
      <c r="A896" s="243" t="str">
        <f>IFERROR(INDEX('All Ticker P&amp;L'!$A$2:$A$1001,MATCH(ROWS($A$2:A896),'All Ticker P&amp;L'!$N$2:$N$1001,0)),"")</f>
        <v/>
      </c>
      <c r="B896" s="243" t="str">
        <f t="shared" si="122"/>
        <v/>
      </c>
      <c r="C896" s="243" t="str">
        <f t="shared" si="123"/>
        <v/>
      </c>
      <c r="D896" s="243" t="str">
        <f t="shared" si="124"/>
        <v/>
      </c>
      <c r="E896" s="265" t="str">
        <f>IF($A896="","",SUMIFS(Txn[Signed Units],Txn[Key],$A896))</f>
        <v/>
      </c>
      <c r="F896" s="287" t="str">
        <f>IF($A896="","",SUMIFS(Txn[Buy Cost],Txn[Key],$A896))</f>
        <v/>
      </c>
      <c r="G896" s="287" t="str">
        <f>IF($A896="","",SUMIFS(Txn[Sell Proceeds],Txn[Key],$A896))</f>
        <v/>
      </c>
      <c r="H896" s="288" t="str">
        <f>IF($A896="","",IFERROR(INDEX(Prices[Current Price],MATCH($A896,Prices[Key],0)),0))</f>
        <v/>
      </c>
      <c r="I896" s="289" t="str">
        <f>IF($A896="","",IFERROR(INDEX(Prices[FX to SGD],MATCH($A896,Prices[Key],0)),1))</f>
        <v/>
      </c>
      <c r="J896" s="287" t="str">
        <f t="shared" si="125"/>
        <v/>
      </c>
      <c r="K896" s="287" t="str">
        <f t="shared" si="126"/>
        <v/>
      </c>
      <c r="L896" s="287" t="str">
        <f t="shared" si="127"/>
        <v/>
      </c>
      <c r="M896" s="290" t="str">
        <f t="shared" si="128"/>
        <v/>
      </c>
      <c r="N896" t="str">
        <f>IF($A896="","",IFERROR(INDEX(Prices[Category],MATCH($A896,Prices[Key],0)),"Uncategorized"))</f>
        <v/>
      </c>
      <c r="O896" s="291" t="str">
        <f t="shared" si="129"/>
        <v/>
      </c>
      <c r="P896" s="291" t="str">
        <f t="shared" si="130"/>
        <v/>
      </c>
    </row>
    <row r="897" spans="1:16" ht="15" customHeight="1" x14ac:dyDescent="0.2">
      <c r="A897" s="243" t="str">
        <f>IFERROR(INDEX('All Ticker P&amp;L'!$A$2:$A$1001,MATCH(ROWS($A$2:A897),'All Ticker P&amp;L'!$N$2:$N$1001,0)),"")</f>
        <v/>
      </c>
      <c r="B897" s="243" t="str">
        <f t="shared" si="122"/>
        <v/>
      </c>
      <c r="C897" s="243" t="str">
        <f t="shared" si="123"/>
        <v/>
      </c>
      <c r="D897" s="243" t="str">
        <f t="shared" si="124"/>
        <v/>
      </c>
      <c r="E897" s="265" t="str">
        <f>IF($A897="","",SUMIFS(Txn[Signed Units],Txn[Key],$A897))</f>
        <v/>
      </c>
      <c r="F897" s="287" t="str">
        <f>IF($A897="","",SUMIFS(Txn[Buy Cost],Txn[Key],$A897))</f>
        <v/>
      </c>
      <c r="G897" s="287" t="str">
        <f>IF($A897="","",SUMIFS(Txn[Sell Proceeds],Txn[Key],$A897))</f>
        <v/>
      </c>
      <c r="H897" s="288" t="str">
        <f>IF($A897="","",IFERROR(INDEX(Prices[Current Price],MATCH($A897,Prices[Key],0)),0))</f>
        <v/>
      </c>
      <c r="I897" s="289" t="str">
        <f>IF($A897="","",IFERROR(INDEX(Prices[FX to SGD],MATCH($A897,Prices[Key],0)),1))</f>
        <v/>
      </c>
      <c r="J897" s="287" t="str">
        <f t="shared" si="125"/>
        <v/>
      </c>
      <c r="K897" s="287" t="str">
        <f t="shared" si="126"/>
        <v/>
      </c>
      <c r="L897" s="287" t="str">
        <f t="shared" si="127"/>
        <v/>
      </c>
      <c r="M897" s="290" t="str">
        <f t="shared" si="128"/>
        <v/>
      </c>
      <c r="N897" t="str">
        <f>IF($A897="","",IFERROR(INDEX(Prices[Category],MATCH($A897,Prices[Key],0)),"Uncategorized"))</f>
        <v/>
      </c>
      <c r="O897" s="291" t="str">
        <f t="shared" si="129"/>
        <v/>
      </c>
      <c r="P897" s="291" t="str">
        <f t="shared" si="130"/>
        <v/>
      </c>
    </row>
    <row r="898" spans="1:16" ht="15" customHeight="1" x14ac:dyDescent="0.2">
      <c r="A898" s="243" t="str">
        <f>IFERROR(INDEX('All Ticker P&amp;L'!$A$2:$A$1001,MATCH(ROWS($A$2:A898),'All Ticker P&amp;L'!$N$2:$N$1001,0)),"")</f>
        <v/>
      </c>
      <c r="B898" s="243" t="str">
        <f t="shared" ref="B898:B961" si="131">IF($A898="","",LEFT($A898,FIND(":",$A898)-1))</f>
        <v/>
      </c>
      <c r="C898" s="243" t="str">
        <f t="shared" ref="C898:C961" si="132">IF($A898="","",MID($A898,FIND(":",$A898)+1,FIND(":",$A898,FIND(":",$A898)+1)-FIND(":",$A898)-1))</f>
        <v/>
      </c>
      <c r="D898" s="243" t="str">
        <f t="shared" ref="D898:D961" si="133">IF($A898="","",RIGHT($A898,LEN($A898)-FIND(":",$A898,FIND(":",$A898)+1)))</f>
        <v/>
      </c>
      <c r="E898" s="265" t="str">
        <f>IF($A898="","",SUMIFS(Txn[Signed Units],Txn[Key],$A898))</f>
        <v/>
      </c>
      <c r="F898" s="287" t="str">
        <f>IF($A898="","",SUMIFS(Txn[Buy Cost],Txn[Key],$A898))</f>
        <v/>
      </c>
      <c r="G898" s="287" t="str">
        <f>IF($A898="","",SUMIFS(Txn[Sell Proceeds],Txn[Key],$A898))</f>
        <v/>
      </c>
      <c r="H898" s="288" t="str">
        <f>IF($A898="","",IFERROR(INDEX(Prices[Current Price],MATCH($A898,Prices[Key],0)),0))</f>
        <v/>
      </c>
      <c r="I898" s="289" t="str">
        <f>IF($A898="","",IFERROR(INDEX(Prices[FX to SGD],MATCH($A898,Prices[Key],0)),1))</f>
        <v/>
      </c>
      <c r="J898" s="287" t="str">
        <f t="shared" ref="J898:J961" si="134">IF($A898="","",E898*H898)</f>
        <v/>
      </c>
      <c r="K898" s="287" t="str">
        <f t="shared" ref="K898:K961" si="135">IF($A898="","",J898+G898-F898)</f>
        <v/>
      </c>
      <c r="L898" s="287" t="str">
        <f t="shared" ref="L898:L961" si="136">IF($A898="","",K898*I898)</f>
        <v/>
      </c>
      <c r="M898" s="290" t="str">
        <f t="shared" ref="M898:M961" si="137">IF($A898="","",IFERROR(K898/F898,0))</f>
        <v/>
      </c>
      <c r="N898" t="str">
        <f>IF($A898="","",IFERROR(INDEX(Prices[Category],MATCH($A898,Prices[Key],0)),"Uncategorized"))</f>
        <v/>
      </c>
      <c r="O898" s="291" t="str">
        <f t="shared" ref="O898:O961" si="138">IF($A898="","",$J898*$I898)</f>
        <v/>
      </c>
      <c r="P898" s="291" t="str">
        <f t="shared" ref="P898:P961" si="139">IF($A898="","",$L898)</f>
        <v/>
      </c>
    </row>
    <row r="899" spans="1:16" ht="15" customHeight="1" x14ac:dyDescent="0.2">
      <c r="A899" s="243" t="str">
        <f>IFERROR(INDEX('All Ticker P&amp;L'!$A$2:$A$1001,MATCH(ROWS($A$2:A899),'All Ticker P&amp;L'!$N$2:$N$1001,0)),"")</f>
        <v/>
      </c>
      <c r="B899" s="243" t="str">
        <f t="shared" si="131"/>
        <v/>
      </c>
      <c r="C899" s="243" t="str">
        <f t="shared" si="132"/>
        <v/>
      </c>
      <c r="D899" s="243" t="str">
        <f t="shared" si="133"/>
        <v/>
      </c>
      <c r="E899" s="265" t="str">
        <f>IF($A899="","",SUMIFS(Txn[Signed Units],Txn[Key],$A899))</f>
        <v/>
      </c>
      <c r="F899" s="287" t="str">
        <f>IF($A899="","",SUMIFS(Txn[Buy Cost],Txn[Key],$A899))</f>
        <v/>
      </c>
      <c r="G899" s="287" t="str">
        <f>IF($A899="","",SUMIFS(Txn[Sell Proceeds],Txn[Key],$A899))</f>
        <v/>
      </c>
      <c r="H899" s="288" t="str">
        <f>IF($A899="","",IFERROR(INDEX(Prices[Current Price],MATCH($A899,Prices[Key],0)),0))</f>
        <v/>
      </c>
      <c r="I899" s="289" t="str">
        <f>IF($A899="","",IFERROR(INDEX(Prices[FX to SGD],MATCH($A899,Prices[Key],0)),1))</f>
        <v/>
      </c>
      <c r="J899" s="287" t="str">
        <f t="shared" si="134"/>
        <v/>
      </c>
      <c r="K899" s="287" t="str">
        <f t="shared" si="135"/>
        <v/>
      </c>
      <c r="L899" s="287" t="str">
        <f t="shared" si="136"/>
        <v/>
      </c>
      <c r="M899" s="290" t="str">
        <f t="shared" si="137"/>
        <v/>
      </c>
      <c r="N899" t="str">
        <f>IF($A899="","",IFERROR(INDEX(Prices[Category],MATCH($A899,Prices[Key],0)),"Uncategorized"))</f>
        <v/>
      </c>
      <c r="O899" s="291" t="str">
        <f t="shared" si="138"/>
        <v/>
      </c>
      <c r="P899" s="291" t="str">
        <f t="shared" si="139"/>
        <v/>
      </c>
    </row>
    <row r="900" spans="1:16" ht="15" customHeight="1" x14ac:dyDescent="0.2">
      <c r="A900" s="243" t="str">
        <f>IFERROR(INDEX('All Ticker P&amp;L'!$A$2:$A$1001,MATCH(ROWS($A$2:A900),'All Ticker P&amp;L'!$N$2:$N$1001,0)),"")</f>
        <v/>
      </c>
      <c r="B900" s="243" t="str">
        <f t="shared" si="131"/>
        <v/>
      </c>
      <c r="C900" s="243" t="str">
        <f t="shared" si="132"/>
        <v/>
      </c>
      <c r="D900" s="243" t="str">
        <f t="shared" si="133"/>
        <v/>
      </c>
      <c r="E900" s="265" t="str">
        <f>IF($A900="","",SUMIFS(Txn[Signed Units],Txn[Key],$A900))</f>
        <v/>
      </c>
      <c r="F900" s="287" t="str">
        <f>IF($A900="","",SUMIFS(Txn[Buy Cost],Txn[Key],$A900))</f>
        <v/>
      </c>
      <c r="G900" s="287" t="str">
        <f>IF($A900="","",SUMIFS(Txn[Sell Proceeds],Txn[Key],$A900))</f>
        <v/>
      </c>
      <c r="H900" s="288" t="str">
        <f>IF($A900="","",IFERROR(INDEX(Prices[Current Price],MATCH($A900,Prices[Key],0)),0))</f>
        <v/>
      </c>
      <c r="I900" s="289" t="str">
        <f>IF($A900="","",IFERROR(INDEX(Prices[FX to SGD],MATCH($A900,Prices[Key],0)),1))</f>
        <v/>
      </c>
      <c r="J900" s="287" t="str">
        <f t="shared" si="134"/>
        <v/>
      </c>
      <c r="K900" s="287" t="str">
        <f t="shared" si="135"/>
        <v/>
      </c>
      <c r="L900" s="287" t="str">
        <f t="shared" si="136"/>
        <v/>
      </c>
      <c r="M900" s="290" t="str">
        <f t="shared" si="137"/>
        <v/>
      </c>
      <c r="N900" t="str">
        <f>IF($A900="","",IFERROR(INDEX(Prices[Category],MATCH($A900,Prices[Key],0)),"Uncategorized"))</f>
        <v/>
      </c>
      <c r="O900" s="291" t="str">
        <f t="shared" si="138"/>
        <v/>
      </c>
      <c r="P900" s="291" t="str">
        <f t="shared" si="139"/>
        <v/>
      </c>
    </row>
    <row r="901" spans="1:16" ht="15" customHeight="1" x14ac:dyDescent="0.2">
      <c r="A901" s="243" t="str">
        <f>IFERROR(INDEX('All Ticker P&amp;L'!$A$2:$A$1001,MATCH(ROWS($A$2:A901),'All Ticker P&amp;L'!$N$2:$N$1001,0)),"")</f>
        <v/>
      </c>
      <c r="B901" s="243" t="str">
        <f t="shared" si="131"/>
        <v/>
      </c>
      <c r="C901" s="243" t="str">
        <f t="shared" si="132"/>
        <v/>
      </c>
      <c r="D901" s="243" t="str">
        <f t="shared" si="133"/>
        <v/>
      </c>
      <c r="E901" s="265" t="str">
        <f>IF($A901="","",SUMIFS(Txn[Signed Units],Txn[Key],$A901))</f>
        <v/>
      </c>
      <c r="F901" s="287" t="str">
        <f>IF($A901="","",SUMIFS(Txn[Buy Cost],Txn[Key],$A901))</f>
        <v/>
      </c>
      <c r="G901" s="287" t="str">
        <f>IF($A901="","",SUMIFS(Txn[Sell Proceeds],Txn[Key],$A901))</f>
        <v/>
      </c>
      <c r="H901" s="288" t="str">
        <f>IF($A901="","",IFERROR(INDEX(Prices[Current Price],MATCH($A901,Prices[Key],0)),0))</f>
        <v/>
      </c>
      <c r="I901" s="289" t="str">
        <f>IF($A901="","",IFERROR(INDEX(Prices[FX to SGD],MATCH($A901,Prices[Key],0)),1))</f>
        <v/>
      </c>
      <c r="J901" s="287" t="str">
        <f t="shared" si="134"/>
        <v/>
      </c>
      <c r="K901" s="287" t="str">
        <f t="shared" si="135"/>
        <v/>
      </c>
      <c r="L901" s="287" t="str">
        <f t="shared" si="136"/>
        <v/>
      </c>
      <c r="M901" s="290" t="str">
        <f t="shared" si="137"/>
        <v/>
      </c>
      <c r="N901" t="str">
        <f>IF($A901="","",IFERROR(INDEX(Prices[Category],MATCH($A901,Prices[Key],0)),"Uncategorized"))</f>
        <v/>
      </c>
      <c r="O901" s="291" t="str">
        <f t="shared" si="138"/>
        <v/>
      </c>
      <c r="P901" s="291" t="str">
        <f t="shared" si="139"/>
        <v/>
      </c>
    </row>
    <row r="902" spans="1:16" ht="15" customHeight="1" x14ac:dyDescent="0.2">
      <c r="A902" s="243" t="str">
        <f>IFERROR(INDEX('All Ticker P&amp;L'!$A$2:$A$1001,MATCH(ROWS($A$2:A902),'All Ticker P&amp;L'!$N$2:$N$1001,0)),"")</f>
        <v/>
      </c>
      <c r="B902" s="243" t="str">
        <f t="shared" si="131"/>
        <v/>
      </c>
      <c r="C902" s="243" t="str">
        <f t="shared" si="132"/>
        <v/>
      </c>
      <c r="D902" s="243" t="str">
        <f t="shared" si="133"/>
        <v/>
      </c>
      <c r="E902" s="265" t="str">
        <f>IF($A902="","",SUMIFS(Txn[Signed Units],Txn[Key],$A902))</f>
        <v/>
      </c>
      <c r="F902" s="287" t="str">
        <f>IF($A902="","",SUMIFS(Txn[Buy Cost],Txn[Key],$A902))</f>
        <v/>
      </c>
      <c r="G902" s="287" t="str">
        <f>IF($A902="","",SUMIFS(Txn[Sell Proceeds],Txn[Key],$A902))</f>
        <v/>
      </c>
      <c r="H902" s="288" t="str">
        <f>IF($A902="","",IFERROR(INDEX(Prices[Current Price],MATCH($A902,Prices[Key],0)),0))</f>
        <v/>
      </c>
      <c r="I902" s="289" t="str">
        <f>IF($A902="","",IFERROR(INDEX(Prices[FX to SGD],MATCH($A902,Prices[Key],0)),1))</f>
        <v/>
      </c>
      <c r="J902" s="287" t="str">
        <f t="shared" si="134"/>
        <v/>
      </c>
      <c r="K902" s="287" t="str">
        <f t="shared" si="135"/>
        <v/>
      </c>
      <c r="L902" s="287" t="str">
        <f t="shared" si="136"/>
        <v/>
      </c>
      <c r="M902" s="290" t="str">
        <f t="shared" si="137"/>
        <v/>
      </c>
      <c r="N902" t="str">
        <f>IF($A902="","",IFERROR(INDEX(Prices[Category],MATCH($A902,Prices[Key],0)),"Uncategorized"))</f>
        <v/>
      </c>
      <c r="O902" s="291" t="str">
        <f t="shared" si="138"/>
        <v/>
      </c>
      <c r="P902" s="291" t="str">
        <f t="shared" si="139"/>
        <v/>
      </c>
    </row>
    <row r="903" spans="1:16" ht="15" customHeight="1" x14ac:dyDescent="0.2">
      <c r="A903" s="243" t="str">
        <f>IFERROR(INDEX('All Ticker P&amp;L'!$A$2:$A$1001,MATCH(ROWS($A$2:A903),'All Ticker P&amp;L'!$N$2:$N$1001,0)),"")</f>
        <v/>
      </c>
      <c r="B903" s="243" t="str">
        <f t="shared" si="131"/>
        <v/>
      </c>
      <c r="C903" s="243" t="str">
        <f t="shared" si="132"/>
        <v/>
      </c>
      <c r="D903" s="243" t="str">
        <f t="shared" si="133"/>
        <v/>
      </c>
      <c r="E903" s="265" t="str">
        <f>IF($A903="","",SUMIFS(Txn[Signed Units],Txn[Key],$A903))</f>
        <v/>
      </c>
      <c r="F903" s="287" t="str">
        <f>IF($A903="","",SUMIFS(Txn[Buy Cost],Txn[Key],$A903))</f>
        <v/>
      </c>
      <c r="G903" s="287" t="str">
        <f>IF($A903="","",SUMIFS(Txn[Sell Proceeds],Txn[Key],$A903))</f>
        <v/>
      </c>
      <c r="H903" s="288" t="str">
        <f>IF($A903="","",IFERROR(INDEX(Prices[Current Price],MATCH($A903,Prices[Key],0)),0))</f>
        <v/>
      </c>
      <c r="I903" s="289" t="str">
        <f>IF($A903="","",IFERROR(INDEX(Prices[FX to SGD],MATCH($A903,Prices[Key],0)),1))</f>
        <v/>
      </c>
      <c r="J903" s="287" t="str">
        <f t="shared" si="134"/>
        <v/>
      </c>
      <c r="K903" s="287" t="str">
        <f t="shared" si="135"/>
        <v/>
      </c>
      <c r="L903" s="287" t="str">
        <f t="shared" si="136"/>
        <v/>
      </c>
      <c r="M903" s="290" t="str">
        <f t="shared" si="137"/>
        <v/>
      </c>
      <c r="N903" t="str">
        <f>IF($A903="","",IFERROR(INDEX(Prices[Category],MATCH($A903,Prices[Key],0)),"Uncategorized"))</f>
        <v/>
      </c>
      <c r="O903" s="291" t="str">
        <f t="shared" si="138"/>
        <v/>
      </c>
      <c r="P903" s="291" t="str">
        <f t="shared" si="139"/>
        <v/>
      </c>
    </row>
    <row r="904" spans="1:16" ht="15" customHeight="1" x14ac:dyDescent="0.2">
      <c r="A904" s="243" t="str">
        <f>IFERROR(INDEX('All Ticker P&amp;L'!$A$2:$A$1001,MATCH(ROWS($A$2:A904),'All Ticker P&amp;L'!$N$2:$N$1001,0)),"")</f>
        <v/>
      </c>
      <c r="B904" s="243" t="str">
        <f t="shared" si="131"/>
        <v/>
      </c>
      <c r="C904" s="243" t="str">
        <f t="shared" si="132"/>
        <v/>
      </c>
      <c r="D904" s="243" t="str">
        <f t="shared" si="133"/>
        <v/>
      </c>
      <c r="E904" s="265" t="str">
        <f>IF($A904="","",SUMIFS(Txn[Signed Units],Txn[Key],$A904))</f>
        <v/>
      </c>
      <c r="F904" s="287" t="str">
        <f>IF($A904="","",SUMIFS(Txn[Buy Cost],Txn[Key],$A904))</f>
        <v/>
      </c>
      <c r="G904" s="287" t="str">
        <f>IF($A904="","",SUMIFS(Txn[Sell Proceeds],Txn[Key],$A904))</f>
        <v/>
      </c>
      <c r="H904" s="288" t="str">
        <f>IF($A904="","",IFERROR(INDEX(Prices[Current Price],MATCH($A904,Prices[Key],0)),0))</f>
        <v/>
      </c>
      <c r="I904" s="289" t="str">
        <f>IF($A904="","",IFERROR(INDEX(Prices[FX to SGD],MATCH($A904,Prices[Key],0)),1))</f>
        <v/>
      </c>
      <c r="J904" s="287" t="str">
        <f t="shared" si="134"/>
        <v/>
      </c>
      <c r="K904" s="287" t="str">
        <f t="shared" si="135"/>
        <v/>
      </c>
      <c r="L904" s="287" t="str">
        <f t="shared" si="136"/>
        <v/>
      </c>
      <c r="M904" s="290" t="str">
        <f t="shared" si="137"/>
        <v/>
      </c>
      <c r="N904" t="str">
        <f>IF($A904="","",IFERROR(INDEX(Prices[Category],MATCH($A904,Prices[Key],0)),"Uncategorized"))</f>
        <v/>
      </c>
      <c r="O904" s="291" t="str">
        <f t="shared" si="138"/>
        <v/>
      </c>
      <c r="P904" s="291" t="str">
        <f t="shared" si="139"/>
        <v/>
      </c>
    </row>
    <row r="905" spans="1:16" ht="15" customHeight="1" x14ac:dyDescent="0.2">
      <c r="A905" s="243" t="str">
        <f>IFERROR(INDEX('All Ticker P&amp;L'!$A$2:$A$1001,MATCH(ROWS($A$2:A905),'All Ticker P&amp;L'!$N$2:$N$1001,0)),"")</f>
        <v/>
      </c>
      <c r="B905" s="243" t="str">
        <f t="shared" si="131"/>
        <v/>
      </c>
      <c r="C905" s="243" t="str">
        <f t="shared" si="132"/>
        <v/>
      </c>
      <c r="D905" s="243" t="str">
        <f t="shared" si="133"/>
        <v/>
      </c>
      <c r="E905" s="265" t="str">
        <f>IF($A905="","",SUMIFS(Txn[Signed Units],Txn[Key],$A905))</f>
        <v/>
      </c>
      <c r="F905" s="287" t="str">
        <f>IF($A905="","",SUMIFS(Txn[Buy Cost],Txn[Key],$A905))</f>
        <v/>
      </c>
      <c r="G905" s="287" t="str">
        <f>IF($A905="","",SUMIFS(Txn[Sell Proceeds],Txn[Key],$A905))</f>
        <v/>
      </c>
      <c r="H905" s="288" t="str">
        <f>IF($A905="","",IFERROR(INDEX(Prices[Current Price],MATCH($A905,Prices[Key],0)),0))</f>
        <v/>
      </c>
      <c r="I905" s="289" t="str">
        <f>IF($A905="","",IFERROR(INDEX(Prices[FX to SGD],MATCH($A905,Prices[Key],0)),1))</f>
        <v/>
      </c>
      <c r="J905" s="287" t="str">
        <f t="shared" si="134"/>
        <v/>
      </c>
      <c r="K905" s="287" t="str">
        <f t="shared" si="135"/>
        <v/>
      </c>
      <c r="L905" s="287" t="str">
        <f t="shared" si="136"/>
        <v/>
      </c>
      <c r="M905" s="290" t="str">
        <f t="shared" si="137"/>
        <v/>
      </c>
      <c r="N905" t="str">
        <f>IF($A905="","",IFERROR(INDEX(Prices[Category],MATCH($A905,Prices[Key],0)),"Uncategorized"))</f>
        <v/>
      </c>
      <c r="O905" s="291" t="str">
        <f t="shared" si="138"/>
        <v/>
      </c>
      <c r="P905" s="291" t="str">
        <f t="shared" si="139"/>
        <v/>
      </c>
    </row>
    <row r="906" spans="1:16" ht="15" customHeight="1" x14ac:dyDescent="0.2">
      <c r="A906" s="243" t="str">
        <f>IFERROR(INDEX('All Ticker P&amp;L'!$A$2:$A$1001,MATCH(ROWS($A$2:A906),'All Ticker P&amp;L'!$N$2:$N$1001,0)),"")</f>
        <v/>
      </c>
      <c r="B906" s="243" t="str">
        <f t="shared" si="131"/>
        <v/>
      </c>
      <c r="C906" s="243" t="str">
        <f t="shared" si="132"/>
        <v/>
      </c>
      <c r="D906" s="243" t="str">
        <f t="shared" si="133"/>
        <v/>
      </c>
      <c r="E906" s="265" t="str">
        <f>IF($A906="","",SUMIFS(Txn[Signed Units],Txn[Key],$A906))</f>
        <v/>
      </c>
      <c r="F906" s="287" t="str">
        <f>IF($A906="","",SUMIFS(Txn[Buy Cost],Txn[Key],$A906))</f>
        <v/>
      </c>
      <c r="G906" s="287" t="str">
        <f>IF($A906="","",SUMIFS(Txn[Sell Proceeds],Txn[Key],$A906))</f>
        <v/>
      </c>
      <c r="H906" s="288" t="str">
        <f>IF($A906="","",IFERROR(INDEX(Prices[Current Price],MATCH($A906,Prices[Key],0)),0))</f>
        <v/>
      </c>
      <c r="I906" s="289" t="str">
        <f>IF($A906="","",IFERROR(INDEX(Prices[FX to SGD],MATCH($A906,Prices[Key],0)),1))</f>
        <v/>
      </c>
      <c r="J906" s="287" t="str">
        <f t="shared" si="134"/>
        <v/>
      </c>
      <c r="K906" s="287" t="str">
        <f t="shared" si="135"/>
        <v/>
      </c>
      <c r="L906" s="287" t="str">
        <f t="shared" si="136"/>
        <v/>
      </c>
      <c r="M906" s="290" t="str">
        <f t="shared" si="137"/>
        <v/>
      </c>
      <c r="N906" t="str">
        <f>IF($A906="","",IFERROR(INDEX(Prices[Category],MATCH($A906,Prices[Key],0)),"Uncategorized"))</f>
        <v/>
      </c>
      <c r="O906" s="291" t="str">
        <f t="shared" si="138"/>
        <v/>
      </c>
      <c r="P906" s="291" t="str">
        <f t="shared" si="139"/>
        <v/>
      </c>
    </row>
    <row r="907" spans="1:16" ht="15" customHeight="1" x14ac:dyDescent="0.2">
      <c r="A907" s="243" t="str">
        <f>IFERROR(INDEX('All Ticker P&amp;L'!$A$2:$A$1001,MATCH(ROWS($A$2:A907),'All Ticker P&amp;L'!$N$2:$N$1001,0)),"")</f>
        <v/>
      </c>
      <c r="B907" s="243" t="str">
        <f t="shared" si="131"/>
        <v/>
      </c>
      <c r="C907" s="243" t="str">
        <f t="shared" si="132"/>
        <v/>
      </c>
      <c r="D907" s="243" t="str">
        <f t="shared" si="133"/>
        <v/>
      </c>
      <c r="E907" s="265" t="str">
        <f>IF($A907="","",SUMIFS(Txn[Signed Units],Txn[Key],$A907))</f>
        <v/>
      </c>
      <c r="F907" s="287" t="str">
        <f>IF($A907="","",SUMIFS(Txn[Buy Cost],Txn[Key],$A907))</f>
        <v/>
      </c>
      <c r="G907" s="287" t="str">
        <f>IF($A907="","",SUMIFS(Txn[Sell Proceeds],Txn[Key],$A907))</f>
        <v/>
      </c>
      <c r="H907" s="288" t="str">
        <f>IF($A907="","",IFERROR(INDEX(Prices[Current Price],MATCH($A907,Prices[Key],0)),0))</f>
        <v/>
      </c>
      <c r="I907" s="289" t="str">
        <f>IF($A907="","",IFERROR(INDEX(Prices[FX to SGD],MATCH($A907,Prices[Key],0)),1))</f>
        <v/>
      </c>
      <c r="J907" s="287" t="str">
        <f t="shared" si="134"/>
        <v/>
      </c>
      <c r="K907" s="287" t="str">
        <f t="shared" si="135"/>
        <v/>
      </c>
      <c r="L907" s="287" t="str">
        <f t="shared" si="136"/>
        <v/>
      </c>
      <c r="M907" s="290" t="str">
        <f t="shared" si="137"/>
        <v/>
      </c>
      <c r="N907" t="str">
        <f>IF($A907="","",IFERROR(INDEX(Prices[Category],MATCH($A907,Prices[Key],0)),"Uncategorized"))</f>
        <v/>
      </c>
      <c r="O907" s="291" t="str">
        <f t="shared" si="138"/>
        <v/>
      </c>
      <c r="P907" s="291" t="str">
        <f t="shared" si="139"/>
        <v/>
      </c>
    </row>
    <row r="908" spans="1:16" ht="15" customHeight="1" x14ac:dyDescent="0.2">
      <c r="A908" s="243" t="str">
        <f>IFERROR(INDEX('All Ticker P&amp;L'!$A$2:$A$1001,MATCH(ROWS($A$2:A908),'All Ticker P&amp;L'!$N$2:$N$1001,0)),"")</f>
        <v/>
      </c>
      <c r="B908" s="243" t="str">
        <f t="shared" si="131"/>
        <v/>
      </c>
      <c r="C908" s="243" t="str">
        <f t="shared" si="132"/>
        <v/>
      </c>
      <c r="D908" s="243" t="str">
        <f t="shared" si="133"/>
        <v/>
      </c>
      <c r="E908" s="265" t="str">
        <f>IF($A908="","",SUMIFS(Txn[Signed Units],Txn[Key],$A908))</f>
        <v/>
      </c>
      <c r="F908" s="287" t="str">
        <f>IF($A908="","",SUMIFS(Txn[Buy Cost],Txn[Key],$A908))</f>
        <v/>
      </c>
      <c r="G908" s="287" t="str">
        <f>IF($A908="","",SUMIFS(Txn[Sell Proceeds],Txn[Key],$A908))</f>
        <v/>
      </c>
      <c r="H908" s="288" t="str">
        <f>IF($A908="","",IFERROR(INDEX(Prices[Current Price],MATCH($A908,Prices[Key],0)),0))</f>
        <v/>
      </c>
      <c r="I908" s="289" t="str">
        <f>IF($A908="","",IFERROR(INDEX(Prices[FX to SGD],MATCH($A908,Prices[Key],0)),1))</f>
        <v/>
      </c>
      <c r="J908" s="287" t="str">
        <f t="shared" si="134"/>
        <v/>
      </c>
      <c r="K908" s="287" t="str">
        <f t="shared" si="135"/>
        <v/>
      </c>
      <c r="L908" s="287" t="str">
        <f t="shared" si="136"/>
        <v/>
      </c>
      <c r="M908" s="290" t="str">
        <f t="shared" si="137"/>
        <v/>
      </c>
      <c r="N908" t="str">
        <f>IF($A908="","",IFERROR(INDEX(Prices[Category],MATCH($A908,Prices[Key],0)),"Uncategorized"))</f>
        <v/>
      </c>
      <c r="O908" s="291" t="str">
        <f t="shared" si="138"/>
        <v/>
      </c>
      <c r="P908" s="291" t="str">
        <f t="shared" si="139"/>
        <v/>
      </c>
    </row>
    <row r="909" spans="1:16" ht="15" customHeight="1" x14ac:dyDescent="0.2">
      <c r="A909" s="243" t="str">
        <f>IFERROR(INDEX('All Ticker P&amp;L'!$A$2:$A$1001,MATCH(ROWS($A$2:A909),'All Ticker P&amp;L'!$N$2:$N$1001,0)),"")</f>
        <v/>
      </c>
      <c r="B909" s="243" t="str">
        <f t="shared" si="131"/>
        <v/>
      </c>
      <c r="C909" s="243" t="str">
        <f t="shared" si="132"/>
        <v/>
      </c>
      <c r="D909" s="243" t="str">
        <f t="shared" si="133"/>
        <v/>
      </c>
      <c r="E909" s="265" t="str">
        <f>IF($A909="","",SUMIFS(Txn[Signed Units],Txn[Key],$A909))</f>
        <v/>
      </c>
      <c r="F909" s="287" t="str">
        <f>IF($A909="","",SUMIFS(Txn[Buy Cost],Txn[Key],$A909))</f>
        <v/>
      </c>
      <c r="G909" s="287" t="str">
        <f>IF($A909="","",SUMIFS(Txn[Sell Proceeds],Txn[Key],$A909))</f>
        <v/>
      </c>
      <c r="H909" s="288" t="str">
        <f>IF($A909="","",IFERROR(INDEX(Prices[Current Price],MATCH($A909,Prices[Key],0)),0))</f>
        <v/>
      </c>
      <c r="I909" s="289" t="str">
        <f>IF($A909="","",IFERROR(INDEX(Prices[FX to SGD],MATCH($A909,Prices[Key],0)),1))</f>
        <v/>
      </c>
      <c r="J909" s="287" t="str">
        <f t="shared" si="134"/>
        <v/>
      </c>
      <c r="K909" s="287" t="str">
        <f t="shared" si="135"/>
        <v/>
      </c>
      <c r="L909" s="287" t="str">
        <f t="shared" si="136"/>
        <v/>
      </c>
      <c r="M909" s="290" t="str">
        <f t="shared" si="137"/>
        <v/>
      </c>
      <c r="N909" t="str">
        <f>IF($A909="","",IFERROR(INDEX(Prices[Category],MATCH($A909,Prices[Key],0)),"Uncategorized"))</f>
        <v/>
      </c>
      <c r="O909" s="291" t="str">
        <f t="shared" si="138"/>
        <v/>
      </c>
      <c r="P909" s="291" t="str">
        <f t="shared" si="139"/>
        <v/>
      </c>
    </row>
    <row r="910" spans="1:16" ht="15" customHeight="1" x14ac:dyDescent="0.2">
      <c r="A910" s="243" t="str">
        <f>IFERROR(INDEX('All Ticker P&amp;L'!$A$2:$A$1001,MATCH(ROWS($A$2:A910),'All Ticker P&amp;L'!$N$2:$N$1001,0)),"")</f>
        <v/>
      </c>
      <c r="B910" s="243" t="str">
        <f t="shared" si="131"/>
        <v/>
      </c>
      <c r="C910" s="243" t="str">
        <f t="shared" si="132"/>
        <v/>
      </c>
      <c r="D910" s="243" t="str">
        <f t="shared" si="133"/>
        <v/>
      </c>
      <c r="E910" s="265" t="str">
        <f>IF($A910="","",SUMIFS(Txn[Signed Units],Txn[Key],$A910))</f>
        <v/>
      </c>
      <c r="F910" s="287" t="str">
        <f>IF($A910="","",SUMIFS(Txn[Buy Cost],Txn[Key],$A910))</f>
        <v/>
      </c>
      <c r="G910" s="287" t="str">
        <f>IF($A910="","",SUMIFS(Txn[Sell Proceeds],Txn[Key],$A910))</f>
        <v/>
      </c>
      <c r="H910" s="288" t="str">
        <f>IF($A910="","",IFERROR(INDEX(Prices[Current Price],MATCH($A910,Prices[Key],0)),0))</f>
        <v/>
      </c>
      <c r="I910" s="289" t="str">
        <f>IF($A910="","",IFERROR(INDEX(Prices[FX to SGD],MATCH($A910,Prices[Key],0)),1))</f>
        <v/>
      </c>
      <c r="J910" s="287" t="str">
        <f t="shared" si="134"/>
        <v/>
      </c>
      <c r="K910" s="287" t="str">
        <f t="shared" si="135"/>
        <v/>
      </c>
      <c r="L910" s="287" t="str">
        <f t="shared" si="136"/>
        <v/>
      </c>
      <c r="M910" s="290" t="str">
        <f t="shared" si="137"/>
        <v/>
      </c>
      <c r="N910" t="str">
        <f>IF($A910="","",IFERROR(INDEX(Prices[Category],MATCH($A910,Prices[Key],0)),"Uncategorized"))</f>
        <v/>
      </c>
      <c r="O910" s="291" t="str">
        <f t="shared" si="138"/>
        <v/>
      </c>
      <c r="P910" s="291" t="str">
        <f t="shared" si="139"/>
        <v/>
      </c>
    </row>
    <row r="911" spans="1:16" ht="15" customHeight="1" x14ac:dyDescent="0.2">
      <c r="A911" s="243" t="str">
        <f>IFERROR(INDEX('All Ticker P&amp;L'!$A$2:$A$1001,MATCH(ROWS($A$2:A911),'All Ticker P&amp;L'!$N$2:$N$1001,0)),"")</f>
        <v/>
      </c>
      <c r="B911" s="243" t="str">
        <f t="shared" si="131"/>
        <v/>
      </c>
      <c r="C911" s="243" t="str">
        <f t="shared" si="132"/>
        <v/>
      </c>
      <c r="D911" s="243" t="str">
        <f t="shared" si="133"/>
        <v/>
      </c>
      <c r="E911" s="265" t="str">
        <f>IF($A911="","",SUMIFS(Txn[Signed Units],Txn[Key],$A911))</f>
        <v/>
      </c>
      <c r="F911" s="287" t="str">
        <f>IF($A911="","",SUMIFS(Txn[Buy Cost],Txn[Key],$A911))</f>
        <v/>
      </c>
      <c r="G911" s="287" t="str">
        <f>IF($A911="","",SUMIFS(Txn[Sell Proceeds],Txn[Key],$A911))</f>
        <v/>
      </c>
      <c r="H911" s="288" t="str">
        <f>IF($A911="","",IFERROR(INDEX(Prices[Current Price],MATCH($A911,Prices[Key],0)),0))</f>
        <v/>
      </c>
      <c r="I911" s="289" t="str">
        <f>IF($A911="","",IFERROR(INDEX(Prices[FX to SGD],MATCH($A911,Prices[Key],0)),1))</f>
        <v/>
      </c>
      <c r="J911" s="287" t="str">
        <f t="shared" si="134"/>
        <v/>
      </c>
      <c r="K911" s="287" t="str">
        <f t="shared" si="135"/>
        <v/>
      </c>
      <c r="L911" s="287" t="str">
        <f t="shared" si="136"/>
        <v/>
      </c>
      <c r="M911" s="290" t="str">
        <f t="shared" si="137"/>
        <v/>
      </c>
      <c r="N911" t="str">
        <f>IF($A911="","",IFERROR(INDEX(Prices[Category],MATCH($A911,Prices[Key],0)),"Uncategorized"))</f>
        <v/>
      </c>
      <c r="O911" s="291" t="str">
        <f t="shared" si="138"/>
        <v/>
      </c>
      <c r="P911" s="291" t="str">
        <f t="shared" si="139"/>
        <v/>
      </c>
    </row>
    <row r="912" spans="1:16" ht="15" customHeight="1" x14ac:dyDescent="0.2">
      <c r="A912" s="243" t="str">
        <f>IFERROR(INDEX('All Ticker P&amp;L'!$A$2:$A$1001,MATCH(ROWS($A$2:A912),'All Ticker P&amp;L'!$N$2:$N$1001,0)),"")</f>
        <v/>
      </c>
      <c r="B912" s="243" t="str">
        <f t="shared" si="131"/>
        <v/>
      </c>
      <c r="C912" s="243" t="str">
        <f t="shared" si="132"/>
        <v/>
      </c>
      <c r="D912" s="243" t="str">
        <f t="shared" si="133"/>
        <v/>
      </c>
      <c r="E912" s="265" t="str">
        <f>IF($A912="","",SUMIFS(Txn[Signed Units],Txn[Key],$A912))</f>
        <v/>
      </c>
      <c r="F912" s="287" t="str">
        <f>IF($A912="","",SUMIFS(Txn[Buy Cost],Txn[Key],$A912))</f>
        <v/>
      </c>
      <c r="G912" s="287" t="str">
        <f>IF($A912="","",SUMIFS(Txn[Sell Proceeds],Txn[Key],$A912))</f>
        <v/>
      </c>
      <c r="H912" s="288" t="str">
        <f>IF($A912="","",IFERROR(INDEX(Prices[Current Price],MATCH($A912,Prices[Key],0)),0))</f>
        <v/>
      </c>
      <c r="I912" s="289" t="str">
        <f>IF($A912="","",IFERROR(INDEX(Prices[FX to SGD],MATCH($A912,Prices[Key],0)),1))</f>
        <v/>
      </c>
      <c r="J912" s="287" t="str">
        <f t="shared" si="134"/>
        <v/>
      </c>
      <c r="K912" s="287" t="str">
        <f t="shared" si="135"/>
        <v/>
      </c>
      <c r="L912" s="287" t="str">
        <f t="shared" si="136"/>
        <v/>
      </c>
      <c r="M912" s="290" t="str">
        <f t="shared" si="137"/>
        <v/>
      </c>
      <c r="N912" t="str">
        <f>IF($A912="","",IFERROR(INDEX(Prices[Category],MATCH($A912,Prices[Key],0)),"Uncategorized"))</f>
        <v/>
      </c>
      <c r="O912" s="291" t="str">
        <f t="shared" si="138"/>
        <v/>
      </c>
      <c r="P912" s="291" t="str">
        <f t="shared" si="139"/>
        <v/>
      </c>
    </row>
    <row r="913" spans="1:16" ht="15" customHeight="1" x14ac:dyDescent="0.2">
      <c r="A913" s="243" t="str">
        <f>IFERROR(INDEX('All Ticker P&amp;L'!$A$2:$A$1001,MATCH(ROWS($A$2:A913),'All Ticker P&amp;L'!$N$2:$N$1001,0)),"")</f>
        <v/>
      </c>
      <c r="B913" s="243" t="str">
        <f t="shared" si="131"/>
        <v/>
      </c>
      <c r="C913" s="243" t="str">
        <f t="shared" si="132"/>
        <v/>
      </c>
      <c r="D913" s="243" t="str">
        <f t="shared" si="133"/>
        <v/>
      </c>
      <c r="E913" s="265" t="str">
        <f>IF($A913="","",SUMIFS(Txn[Signed Units],Txn[Key],$A913))</f>
        <v/>
      </c>
      <c r="F913" s="287" t="str">
        <f>IF($A913="","",SUMIFS(Txn[Buy Cost],Txn[Key],$A913))</f>
        <v/>
      </c>
      <c r="G913" s="287" t="str">
        <f>IF($A913="","",SUMIFS(Txn[Sell Proceeds],Txn[Key],$A913))</f>
        <v/>
      </c>
      <c r="H913" s="288" t="str">
        <f>IF($A913="","",IFERROR(INDEX(Prices[Current Price],MATCH($A913,Prices[Key],0)),0))</f>
        <v/>
      </c>
      <c r="I913" s="289" t="str">
        <f>IF($A913="","",IFERROR(INDEX(Prices[FX to SGD],MATCH($A913,Prices[Key],0)),1))</f>
        <v/>
      </c>
      <c r="J913" s="287" t="str">
        <f t="shared" si="134"/>
        <v/>
      </c>
      <c r="K913" s="287" t="str">
        <f t="shared" si="135"/>
        <v/>
      </c>
      <c r="L913" s="287" t="str">
        <f t="shared" si="136"/>
        <v/>
      </c>
      <c r="M913" s="290" t="str">
        <f t="shared" si="137"/>
        <v/>
      </c>
      <c r="N913" t="str">
        <f>IF($A913="","",IFERROR(INDEX(Prices[Category],MATCH($A913,Prices[Key],0)),"Uncategorized"))</f>
        <v/>
      </c>
      <c r="O913" s="291" t="str">
        <f t="shared" si="138"/>
        <v/>
      </c>
      <c r="P913" s="291" t="str">
        <f t="shared" si="139"/>
        <v/>
      </c>
    </row>
    <row r="914" spans="1:16" ht="15" customHeight="1" x14ac:dyDescent="0.2">
      <c r="A914" s="243" t="str">
        <f>IFERROR(INDEX('All Ticker P&amp;L'!$A$2:$A$1001,MATCH(ROWS($A$2:A914),'All Ticker P&amp;L'!$N$2:$N$1001,0)),"")</f>
        <v/>
      </c>
      <c r="B914" s="243" t="str">
        <f t="shared" si="131"/>
        <v/>
      </c>
      <c r="C914" s="243" t="str">
        <f t="shared" si="132"/>
        <v/>
      </c>
      <c r="D914" s="243" t="str">
        <f t="shared" si="133"/>
        <v/>
      </c>
      <c r="E914" s="265" t="str">
        <f>IF($A914="","",SUMIFS(Txn[Signed Units],Txn[Key],$A914))</f>
        <v/>
      </c>
      <c r="F914" s="287" t="str">
        <f>IF($A914="","",SUMIFS(Txn[Buy Cost],Txn[Key],$A914))</f>
        <v/>
      </c>
      <c r="G914" s="287" t="str">
        <f>IF($A914="","",SUMIFS(Txn[Sell Proceeds],Txn[Key],$A914))</f>
        <v/>
      </c>
      <c r="H914" s="288" t="str">
        <f>IF($A914="","",IFERROR(INDEX(Prices[Current Price],MATCH($A914,Prices[Key],0)),0))</f>
        <v/>
      </c>
      <c r="I914" s="289" t="str">
        <f>IF($A914="","",IFERROR(INDEX(Prices[FX to SGD],MATCH($A914,Prices[Key],0)),1))</f>
        <v/>
      </c>
      <c r="J914" s="287" t="str">
        <f t="shared" si="134"/>
        <v/>
      </c>
      <c r="K914" s="287" t="str">
        <f t="shared" si="135"/>
        <v/>
      </c>
      <c r="L914" s="287" t="str">
        <f t="shared" si="136"/>
        <v/>
      </c>
      <c r="M914" s="290" t="str">
        <f t="shared" si="137"/>
        <v/>
      </c>
      <c r="N914" t="str">
        <f>IF($A914="","",IFERROR(INDEX(Prices[Category],MATCH($A914,Prices[Key],0)),"Uncategorized"))</f>
        <v/>
      </c>
      <c r="O914" s="291" t="str">
        <f t="shared" si="138"/>
        <v/>
      </c>
      <c r="P914" s="291" t="str">
        <f t="shared" si="139"/>
        <v/>
      </c>
    </row>
    <row r="915" spans="1:16" ht="15" customHeight="1" x14ac:dyDescent="0.2">
      <c r="A915" s="243" t="str">
        <f>IFERROR(INDEX('All Ticker P&amp;L'!$A$2:$A$1001,MATCH(ROWS($A$2:A915),'All Ticker P&amp;L'!$N$2:$N$1001,0)),"")</f>
        <v/>
      </c>
      <c r="B915" s="243" t="str">
        <f t="shared" si="131"/>
        <v/>
      </c>
      <c r="C915" s="243" t="str">
        <f t="shared" si="132"/>
        <v/>
      </c>
      <c r="D915" s="243" t="str">
        <f t="shared" si="133"/>
        <v/>
      </c>
      <c r="E915" s="265" t="str">
        <f>IF($A915="","",SUMIFS(Txn[Signed Units],Txn[Key],$A915))</f>
        <v/>
      </c>
      <c r="F915" s="287" t="str">
        <f>IF($A915="","",SUMIFS(Txn[Buy Cost],Txn[Key],$A915))</f>
        <v/>
      </c>
      <c r="G915" s="287" t="str">
        <f>IF($A915="","",SUMIFS(Txn[Sell Proceeds],Txn[Key],$A915))</f>
        <v/>
      </c>
      <c r="H915" s="288" t="str">
        <f>IF($A915="","",IFERROR(INDEX(Prices[Current Price],MATCH($A915,Prices[Key],0)),0))</f>
        <v/>
      </c>
      <c r="I915" s="289" t="str">
        <f>IF($A915="","",IFERROR(INDEX(Prices[FX to SGD],MATCH($A915,Prices[Key],0)),1))</f>
        <v/>
      </c>
      <c r="J915" s="287" t="str">
        <f t="shared" si="134"/>
        <v/>
      </c>
      <c r="K915" s="287" t="str">
        <f t="shared" si="135"/>
        <v/>
      </c>
      <c r="L915" s="287" t="str">
        <f t="shared" si="136"/>
        <v/>
      </c>
      <c r="M915" s="290" t="str">
        <f t="shared" si="137"/>
        <v/>
      </c>
      <c r="N915" t="str">
        <f>IF($A915="","",IFERROR(INDEX(Prices[Category],MATCH($A915,Prices[Key],0)),"Uncategorized"))</f>
        <v/>
      </c>
      <c r="O915" s="291" t="str">
        <f t="shared" si="138"/>
        <v/>
      </c>
      <c r="P915" s="291" t="str">
        <f t="shared" si="139"/>
        <v/>
      </c>
    </row>
    <row r="916" spans="1:16" ht="15" customHeight="1" x14ac:dyDescent="0.2">
      <c r="A916" s="243" t="str">
        <f>IFERROR(INDEX('All Ticker P&amp;L'!$A$2:$A$1001,MATCH(ROWS($A$2:A916),'All Ticker P&amp;L'!$N$2:$N$1001,0)),"")</f>
        <v/>
      </c>
      <c r="B916" s="243" t="str">
        <f t="shared" si="131"/>
        <v/>
      </c>
      <c r="C916" s="243" t="str">
        <f t="shared" si="132"/>
        <v/>
      </c>
      <c r="D916" s="243" t="str">
        <f t="shared" si="133"/>
        <v/>
      </c>
      <c r="E916" s="265" t="str">
        <f>IF($A916="","",SUMIFS(Txn[Signed Units],Txn[Key],$A916))</f>
        <v/>
      </c>
      <c r="F916" s="287" t="str">
        <f>IF($A916="","",SUMIFS(Txn[Buy Cost],Txn[Key],$A916))</f>
        <v/>
      </c>
      <c r="G916" s="287" t="str">
        <f>IF($A916="","",SUMIFS(Txn[Sell Proceeds],Txn[Key],$A916))</f>
        <v/>
      </c>
      <c r="H916" s="288" t="str">
        <f>IF($A916="","",IFERROR(INDEX(Prices[Current Price],MATCH($A916,Prices[Key],0)),0))</f>
        <v/>
      </c>
      <c r="I916" s="289" t="str">
        <f>IF($A916="","",IFERROR(INDEX(Prices[FX to SGD],MATCH($A916,Prices[Key],0)),1))</f>
        <v/>
      </c>
      <c r="J916" s="287" t="str">
        <f t="shared" si="134"/>
        <v/>
      </c>
      <c r="K916" s="287" t="str">
        <f t="shared" si="135"/>
        <v/>
      </c>
      <c r="L916" s="287" t="str">
        <f t="shared" si="136"/>
        <v/>
      </c>
      <c r="M916" s="290" t="str">
        <f t="shared" si="137"/>
        <v/>
      </c>
      <c r="N916" t="str">
        <f>IF($A916="","",IFERROR(INDEX(Prices[Category],MATCH($A916,Prices[Key],0)),"Uncategorized"))</f>
        <v/>
      </c>
      <c r="O916" s="291" t="str">
        <f t="shared" si="138"/>
        <v/>
      </c>
      <c r="P916" s="291" t="str">
        <f t="shared" si="139"/>
        <v/>
      </c>
    </row>
    <row r="917" spans="1:16" ht="15" customHeight="1" x14ac:dyDescent="0.2">
      <c r="A917" s="243" t="str">
        <f>IFERROR(INDEX('All Ticker P&amp;L'!$A$2:$A$1001,MATCH(ROWS($A$2:A917),'All Ticker P&amp;L'!$N$2:$N$1001,0)),"")</f>
        <v/>
      </c>
      <c r="B917" s="243" t="str">
        <f t="shared" si="131"/>
        <v/>
      </c>
      <c r="C917" s="243" t="str">
        <f t="shared" si="132"/>
        <v/>
      </c>
      <c r="D917" s="243" t="str">
        <f t="shared" si="133"/>
        <v/>
      </c>
      <c r="E917" s="265" t="str">
        <f>IF($A917="","",SUMIFS(Txn[Signed Units],Txn[Key],$A917))</f>
        <v/>
      </c>
      <c r="F917" s="287" t="str">
        <f>IF($A917="","",SUMIFS(Txn[Buy Cost],Txn[Key],$A917))</f>
        <v/>
      </c>
      <c r="G917" s="287" t="str">
        <f>IF($A917="","",SUMIFS(Txn[Sell Proceeds],Txn[Key],$A917))</f>
        <v/>
      </c>
      <c r="H917" s="288" t="str">
        <f>IF($A917="","",IFERROR(INDEX(Prices[Current Price],MATCH($A917,Prices[Key],0)),0))</f>
        <v/>
      </c>
      <c r="I917" s="289" t="str">
        <f>IF($A917="","",IFERROR(INDEX(Prices[FX to SGD],MATCH($A917,Prices[Key],0)),1))</f>
        <v/>
      </c>
      <c r="J917" s="287" t="str">
        <f t="shared" si="134"/>
        <v/>
      </c>
      <c r="K917" s="287" t="str">
        <f t="shared" si="135"/>
        <v/>
      </c>
      <c r="L917" s="287" t="str">
        <f t="shared" si="136"/>
        <v/>
      </c>
      <c r="M917" s="290" t="str">
        <f t="shared" si="137"/>
        <v/>
      </c>
      <c r="N917" t="str">
        <f>IF($A917="","",IFERROR(INDEX(Prices[Category],MATCH($A917,Prices[Key],0)),"Uncategorized"))</f>
        <v/>
      </c>
      <c r="O917" s="291" t="str">
        <f t="shared" si="138"/>
        <v/>
      </c>
      <c r="P917" s="291" t="str">
        <f t="shared" si="139"/>
        <v/>
      </c>
    </row>
    <row r="918" spans="1:16" ht="15" customHeight="1" x14ac:dyDescent="0.2">
      <c r="A918" s="243" t="str">
        <f>IFERROR(INDEX('All Ticker P&amp;L'!$A$2:$A$1001,MATCH(ROWS($A$2:A918),'All Ticker P&amp;L'!$N$2:$N$1001,0)),"")</f>
        <v/>
      </c>
      <c r="B918" s="243" t="str">
        <f t="shared" si="131"/>
        <v/>
      </c>
      <c r="C918" s="243" t="str">
        <f t="shared" si="132"/>
        <v/>
      </c>
      <c r="D918" s="243" t="str">
        <f t="shared" si="133"/>
        <v/>
      </c>
      <c r="E918" s="265" t="str">
        <f>IF($A918="","",SUMIFS(Txn[Signed Units],Txn[Key],$A918))</f>
        <v/>
      </c>
      <c r="F918" s="287" t="str">
        <f>IF($A918="","",SUMIFS(Txn[Buy Cost],Txn[Key],$A918))</f>
        <v/>
      </c>
      <c r="G918" s="287" t="str">
        <f>IF($A918="","",SUMIFS(Txn[Sell Proceeds],Txn[Key],$A918))</f>
        <v/>
      </c>
      <c r="H918" s="288" t="str">
        <f>IF($A918="","",IFERROR(INDEX(Prices[Current Price],MATCH($A918,Prices[Key],0)),0))</f>
        <v/>
      </c>
      <c r="I918" s="289" t="str">
        <f>IF($A918="","",IFERROR(INDEX(Prices[FX to SGD],MATCH($A918,Prices[Key],0)),1))</f>
        <v/>
      </c>
      <c r="J918" s="287" t="str">
        <f t="shared" si="134"/>
        <v/>
      </c>
      <c r="K918" s="287" t="str">
        <f t="shared" si="135"/>
        <v/>
      </c>
      <c r="L918" s="287" t="str">
        <f t="shared" si="136"/>
        <v/>
      </c>
      <c r="M918" s="290" t="str">
        <f t="shared" si="137"/>
        <v/>
      </c>
      <c r="N918" t="str">
        <f>IF($A918="","",IFERROR(INDEX(Prices[Category],MATCH($A918,Prices[Key],0)),"Uncategorized"))</f>
        <v/>
      </c>
      <c r="O918" s="291" t="str">
        <f t="shared" si="138"/>
        <v/>
      </c>
      <c r="P918" s="291" t="str">
        <f t="shared" si="139"/>
        <v/>
      </c>
    </row>
    <row r="919" spans="1:16" ht="15" customHeight="1" x14ac:dyDescent="0.2">
      <c r="A919" s="243" t="str">
        <f>IFERROR(INDEX('All Ticker P&amp;L'!$A$2:$A$1001,MATCH(ROWS($A$2:A919),'All Ticker P&amp;L'!$N$2:$N$1001,0)),"")</f>
        <v/>
      </c>
      <c r="B919" s="243" t="str">
        <f t="shared" si="131"/>
        <v/>
      </c>
      <c r="C919" s="243" t="str">
        <f t="shared" si="132"/>
        <v/>
      </c>
      <c r="D919" s="243" t="str">
        <f t="shared" si="133"/>
        <v/>
      </c>
      <c r="E919" s="265" t="str">
        <f>IF($A919="","",SUMIFS(Txn[Signed Units],Txn[Key],$A919))</f>
        <v/>
      </c>
      <c r="F919" s="287" t="str">
        <f>IF($A919="","",SUMIFS(Txn[Buy Cost],Txn[Key],$A919))</f>
        <v/>
      </c>
      <c r="G919" s="287" t="str">
        <f>IF($A919="","",SUMIFS(Txn[Sell Proceeds],Txn[Key],$A919))</f>
        <v/>
      </c>
      <c r="H919" s="288" t="str">
        <f>IF($A919="","",IFERROR(INDEX(Prices[Current Price],MATCH($A919,Prices[Key],0)),0))</f>
        <v/>
      </c>
      <c r="I919" s="289" t="str">
        <f>IF($A919="","",IFERROR(INDEX(Prices[FX to SGD],MATCH($A919,Prices[Key],0)),1))</f>
        <v/>
      </c>
      <c r="J919" s="287" t="str">
        <f t="shared" si="134"/>
        <v/>
      </c>
      <c r="K919" s="287" t="str">
        <f t="shared" si="135"/>
        <v/>
      </c>
      <c r="L919" s="287" t="str">
        <f t="shared" si="136"/>
        <v/>
      </c>
      <c r="M919" s="290" t="str">
        <f t="shared" si="137"/>
        <v/>
      </c>
      <c r="N919" t="str">
        <f>IF($A919="","",IFERROR(INDEX(Prices[Category],MATCH($A919,Prices[Key],0)),"Uncategorized"))</f>
        <v/>
      </c>
      <c r="O919" s="291" t="str">
        <f t="shared" si="138"/>
        <v/>
      </c>
      <c r="P919" s="291" t="str">
        <f t="shared" si="139"/>
        <v/>
      </c>
    </row>
    <row r="920" spans="1:16" ht="15" customHeight="1" x14ac:dyDescent="0.2">
      <c r="A920" s="243" t="str">
        <f>IFERROR(INDEX('All Ticker P&amp;L'!$A$2:$A$1001,MATCH(ROWS($A$2:A920),'All Ticker P&amp;L'!$N$2:$N$1001,0)),"")</f>
        <v/>
      </c>
      <c r="B920" s="243" t="str">
        <f t="shared" si="131"/>
        <v/>
      </c>
      <c r="C920" s="243" t="str">
        <f t="shared" si="132"/>
        <v/>
      </c>
      <c r="D920" s="243" t="str">
        <f t="shared" si="133"/>
        <v/>
      </c>
      <c r="E920" s="265" t="str">
        <f>IF($A920="","",SUMIFS(Txn[Signed Units],Txn[Key],$A920))</f>
        <v/>
      </c>
      <c r="F920" s="287" t="str">
        <f>IF($A920="","",SUMIFS(Txn[Buy Cost],Txn[Key],$A920))</f>
        <v/>
      </c>
      <c r="G920" s="287" t="str">
        <f>IF($A920="","",SUMIFS(Txn[Sell Proceeds],Txn[Key],$A920))</f>
        <v/>
      </c>
      <c r="H920" s="288" t="str">
        <f>IF($A920="","",IFERROR(INDEX(Prices[Current Price],MATCH($A920,Prices[Key],0)),0))</f>
        <v/>
      </c>
      <c r="I920" s="289" t="str">
        <f>IF($A920="","",IFERROR(INDEX(Prices[FX to SGD],MATCH($A920,Prices[Key],0)),1))</f>
        <v/>
      </c>
      <c r="J920" s="287" t="str">
        <f t="shared" si="134"/>
        <v/>
      </c>
      <c r="K920" s="287" t="str">
        <f t="shared" si="135"/>
        <v/>
      </c>
      <c r="L920" s="287" t="str">
        <f t="shared" si="136"/>
        <v/>
      </c>
      <c r="M920" s="290" t="str">
        <f t="shared" si="137"/>
        <v/>
      </c>
      <c r="N920" t="str">
        <f>IF($A920="","",IFERROR(INDEX(Prices[Category],MATCH($A920,Prices[Key],0)),"Uncategorized"))</f>
        <v/>
      </c>
      <c r="O920" s="291" t="str">
        <f t="shared" si="138"/>
        <v/>
      </c>
      <c r="P920" s="291" t="str">
        <f t="shared" si="139"/>
        <v/>
      </c>
    </row>
    <row r="921" spans="1:16" ht="15" customHeight="1" x14ac:dyDescent="0.2">
      <c r="A921" s="243" t="str">
        <f>IFERROR(INDEX('All Ticker P&amp;L'!$A$2:$A$1001,MATCH(ROWS($A$2:A921),'All Ticker P&amp;L'!$N$2:$N$1001,0)),"")</f>
        <v/>
      </c>
      <c r="B921" s="243" t="str">
        <f t="shared" si="131"/>
        <v/>
      </c>
      <c r="C921" s="243" t="str">
        <f t="shared" si="132"/>
        <v/>
      </c>
      <c r="D921" s="243" t="str">
        <f t="shared" si="133"/>
        <v/>
      </c>
      <c r="E921" s="265" t="str">
        <f>IF($A921="","",SUMIFS(Txn[Signed Units],Txn[Key],$A921))</f>
        <v/>
      </c>
      <c r="F921" s="287" t="str">
        <f>IF($A921="","",SUMIFS(Txn[Buy Cost],Txn[Key],$A921))</f>
        <v/>
      </c>
      <c r="G921" s="287" t="str">
        <f>IF($A921="","",SUMIFS(Txn[Sell Proceeds],Txn[Key],$A921))</f>
        <v/>
      </c>
      <c r="H921" s="288" t="str">
        <f>IF($A921="","",IFERROR(INDEX(Prices[Current Price],MATCH($A921,Prices[Key],0)),0))</f>
        <v/>
      </c>
      <c r="I921" s="289" t="str">
        <f>IF($A921="","",IFERROR(INDEX(Prices[FX to SGD],MATCH($A921,Prices[Key],0)),1))</f>
        <v/>
      </c>
      <c r="J921" s="287" t="str">
        <f t="shared" si="134"/>
        <v/>
      </c>
      <c r="K921" s="287" t="str">
        <f t="shared" si="135"/>
        <v/>
      </c>
      <c r="L921" s="287" t="str">
        <f t="shared" si="136"/>
        <v/>
      </c>
      <c r="M921" s="290" t="str">
        <f t="shared" si="137"/>
        <v/>
      </c>
      <c r="N921" t="str">
        <f>IF($A921="","",IFERROR(INDEX(Prices[Category],MATCH($A921,Prices[Key],0)),"Uncategorized"))</f>
        <v/>
      </c>
      <c r="O921" s="291" t="str">
        <f t="shared" si="138"/>
        <v/>
      </c>
      <c r="P921" s="291" t="str">
        <f t="shared" si="139"/>
        <v/>
      </c>
    </row>
    <row r="922" spans="1:16" ht="15" customHeight="1" x14ac:dyDescent="0.2">
      <c r="A922" s="243" t="str">
        <f>IFERROR(INDEX('All Ticker P&amp;L'!$A$2:$A$1001,MATCH(ROWS($A$2:A922),'All Ticker P&amp;L'!$N$2:$N$1001,0)),"")</f>
        <v/>
      </c>
      <c r="B922" s="243" t="str">
        <f t="shared" si="131"/>
        <v/>
      </c>
      <c r="C922" s="243" t="str">
        <f t="shared" si="132"/>
        <v/>
      </c>
      <c r="D922" s="243" t="str">
        <f t="shared" si="133"/>
        <v/>
      </c>
      <c r="E922" s="265" t="str">
        <f>IF($A922="","",SUMIFS(Txn[Signed Units],Txn[Key],$A922))</f>
        <v/>
      </c>
      <c r="F922" s="287" t="str">
        <f>IF($A922="","",SUMIFS(Txn[Buy Cost],Txn[Key],$A922))</f>
        <v/>
      </c>
      <c r="G922" s="287" t="str">
        <f>IF($A922="","",SUMIFS(Txn[Sell Proceeds],Txn[Key],$A922))</f>
        <v/>
      </c>
      <c r="H922" s="288" t="str">
        <f>IF($A922="","",IFERROR(INDEX(Prices[Current Price],MATCH($A922,Prices[Key],0)),0))</f>
        <v/>
      </c>
      <c r="I922" s="289" t="str">
        <f>IF($A922="","",IFERROR(INDEX(Prices[FX to SGD],MATCH($A922,Prices[Key],0)),1))</f>
        <v/>
      </c>
      <c r="J922" s="287" t="str">
        <f t="shared" si="134"/>
        <v/>
      </c>
      <c r="K922" s="287" t="str">
        <f t="shared" si="135"/>
        <v/>
      </c>
      <c r="L922" s="287" t="str">
        <f t="shared" si="136"/>
        <v/>
      </c>
      <c r="M922" s="290" t="str">
        <f t="shared" si="137"/>
        <v/>
      </c>
      <c r="N922" t="str">
        <f>IF($A922="","",IFERROR(INDEX(Prices[Category],MATCH($A922,Prices[Key],0)),"Uncategorized"))</f>
        <v/>
      </c>
      <c r="O922" s="291" t="str">
        <f t="shared" si="138"/>
        <v/>
      </c>
      <c r="P922" s="291" t="str">
        <f t="shared" si="139"/>
        <v/>
      </c>
    </row>
    <row r="923" spans="1:16" ht="15" customHeight="1" x14ac:dyDescent="0.2">
      <c r="A923" s="243" t="str">
        <f>IFERROR(INDEX('All Ticker P&amp;L'!$A$2:$A$1001,MATCH(ROWS($A$2:A923),'All Ticker P&amp;L'!$N$2:$N$1001,0)),"")</f>
        <v/>
      </c>
      <c r="B923" s="243" t="str">
        <f t="shared" si="131"/>
        <v/>
      </c>
      <c r="C923" s="243" t="str">
        <f t="shared" si="132"/>
        <v/>
      </c>
      <c r="D923" s="243" t="str">
        <f t="shared" si="133"/>
        <v/>
      </c>
      <c r="E923" s="265" t="str">
        <f>IF($A923="","",SUMIFS(Txn[Signed Units],Txn[Key],$A923))</f>
        <v/>
      </c>
      <c r="F923" s="287" t="str">
        <f>IF($A923="","",SUMIFS(Txn[Buy Cost],Txn[Key],$A923))</f>
        <v/>
      </c>
      <c r="G923" s="287" t="str">
        <f>IF($A923="","",SUMIFS(Txn[Sell Proceeds],Txn[Key],$A923))</f>
        <v/>
      </c>
      <c r="H923" s="288" t="str">
        <f>IF($A923="","",IFERROR(INDEX(Prices[Current Price],MATCH($A923,Prices[Key],0)),0))</f>
        <v/>
      </c>
      <c r="I923" s="289" t="str">
        <f>IF($A923="","",IFERROR(INDEX(Prices[FX to SGD],MATCH($A923,Prices[Key],0)),1))</f>
        <v/>
      </c>
      <c r="J923" s="287" t="str">
        <f t="shared" si="134"/>
        <v/>
      </c>
      <c r="K923" s="287" t="str">
        <f t="shared" si="135"/>
        <v/>
      </c>
      <c r="L923" s="287" t="str">
        <f t="shared" si="136"/>
        <v/>
      </c>
      <c r="M923" s="290" t="str">
        <f t="shared" si="137"/>
        <v/>
      </c>
      <c r="N923" t="str">
        <f>IF($A923="","",IFERROR(INDEX(Prices[Category],MATCH($A923,Prices[Key],0)),"Uncategorized"))</f>
        <v/>
      </c>
      <c r="O923" s="291" t="str">
        <f t="shared" si="138"/>
        <v/>
      </c>
      <c r="P923" s="291" t="str">
        <f t="shared" si="139"/>
        <v/>
      </c>
    </row>
    <row r="924" spans="1:16" ht="15" customHeight="1" x14ac:dyDescent="0.2">
      <c r="A924" s="243" t="str">
        <f>IFERROR(INDEX('All Ticker P&amp;L'!$A$2:$A$1001,MATCH(ROWS($A$2:A924),'All Ticker P&amp;L'!$N$2:$N$1001,0)),"")</f>
        <v/>
      </c>
      <c r="B924" s="243" t="str">
        <f t="shared" si="131"/>
        <v/>
      </c>
      <c r="C924" s="243" t="str">
        <f t="shared" si="132"/>
        <v/>
      </c>
      <c r="D924" s="243" t="str">
        <f t="shared" si="133"/>
        <v/>
      </c>
      <c r="E924" s="265" t="str">
        <f>IF($A924="","",SUMIFS(Txn[Signed Units],Txn[Key],$A924))</f>
        <v/>
      </c>
      <c r="F924" s="287" t="str">
        <f>IF($A924="","",SUMIFS(Txn[Buy Cost],Txn[Key],$A924))</f>
        <v/>
      </c>
      <c r="G924" s="287" t="str">
        <f>IF($A924="","",SUMIFS(Txn[Sell Proceeds],Txn[Key],$A924))</f>
        <v/>
      </c>
      <c r="H924" s="288" t="str">
        <f>IF($A924="","",IFERROR(INDEX(Prices[Current Price],MATCH($A924,Prices[Key],0)),0))</f>
        <v/>
      </c>
      <c r="I924" s="289" t="str">
        <f>IF($A924="","",IFERROR(INDEX(Prices[FX to SGD],MATCH($A924,Prices[Key],0)),1))</f>
        <v/>
      </c>
      <c r="J924" s="287" t="str">
        <f t="shared" si="134"/>
        <v/>
      </c>
      <c r="K924" s="287" t="str">
        <f t="shared" si="135"/>
        <v/>
      </c>
      <c r="L924" s="287" t="str">
        <f t="shared" si="136"/>
        <v/>
      </c>
      <c r="M924" s="290" t="str">
        <f t="shared" si="137"/>
        <v/>
      </c>
      <c r="N924" t="str">
        <f>IF($A924="","",IFERROR(INDEX(Prices[Category],MATCH($A924,Prices[Key],0)),"Uncategorized"))</f>
        <v/>
      </c>
      <c r="O924" s="291" t="str">
        <f t="shared" si="138"/>
        <v/>
      </c>
      <c r="P924" s="291" t="str">
        <f t="shared" si="139"/>
        <v/>
      </c>
    </row>
    <row r="925" spans="1:16" ht="15" customHeight="1" x14ac:dyDescent="0.2">
      <c r="A925" s="243" t="str">
        <f>IFERROR(INDEX('All Ticker P&amp;L'!$A$2:$A$1001,MATCH(ROWS($A$2:A925),'All Ticker P&amp;L'!$N$2:$N$1001,0)),"")</f>
        <v/>
      </c>
      <c r="B925" s="243" t="str">
        <f t="shared" si="131"/>
        <v/>
      </c>
      <c r="C925" s="243" t="str">
        <f t="shared" si="132"/>
        <v/>
      </c>
      <c r="D925" s="243" t="str">
        <f t="shared" si="133"/>
        <v/>
      </c>
      <c r="E925" s="265" t="str">
        <f>IF($A925="","",SUMIFS(Txn[Signed Units],Txn[Key],$A925))</f>
        <v/>
      </c>
      <c r="F925" s="287" t="str">
        <f>IF($A925="","",SUMIFS(Txn[Buy Cost],Txn[Key],$A925))</f>
        <v/>
      </c>
      <c r="G925" s="287" t="str">
        <f>IF($A925="","",SUMIFS(Txn[Sell Proceeds],Txn[Key],$A925))</f>
        <v/>
      </c>
      <c r="H925" s="288" t="str">
        <f>IF($A925="","",IFERROR(INDEX(Prices[Current Price],MATCH($A925,Prices[Key],0)),0))</f>
        <v/>
      </c>
      <c r="I925" s="289" t="str">
        <f>IF($A925="","",IFERROR(INDEX(Prices[FX to SGD],MATCH($A925,Prices[Key],0)),1))</f>
        <v/>
      </c>
      <c r="J925" s="287" t="str">
        <f t="shared" si="134"/>
        <v/>
      </c>
      <c r="K925" s="287" t="str">
        <f t="shared" si="135"/>
        <v/>
      </c>
      <c r="L925" s="287" t="str">
        <f t="shared" si="136"/>
        <v/>
      </c>
      <c r="M925" s="290" t="str">
        <f t="shared" si="137"/>
        <v/>
      </c>
      <c r="N925" t="str">
        <f>IF($A925="","",IFERROR(INDEX(Prices[Category],MATCH($A925,Prices[Key],0)),"Uncategorized"))</f>
        <v/>
      </c>
      <c r="O925" s="291" t="str">
        <f t="shared" si="138"/>
        <v/>
      </c>
      <c r="P925" s="291" t="str">
        <f t="shared" si="139"/>
        <v/>
      </c>
    </row>
    <row r="926" spans="1:16" ht="15" customHeight="1" x14ac:dyDescent="0.2">
      <c r="A926" s="243" t="str">
        <f>IFERROR(INDEX('All Ticker P&amp;L'!$A$2:$A$1001,MATCH(ROWS($A$2:A926),'All Ticker P&amp;L'!$N$2:$N$1001,0)),"")</f>
        <v/>
      </c>
      <c r="B926" s="243" t="str">
        <f t="shared" si="131"/>
        <v/>
      </c>
      <c r="C926" s="243" t="str">
        <f t="shared" si="132"/>
        <v/>
      </c>
      <c r="D926" s="243" t="str">
        <f t="shared" si="133"/>
        <v/>
      </c>
      <c r="E926" s="265" t="str">
        <f>IF($A926="","",SUMIFS(Txn[Signed Units],Txn[Key],$A926))</f>
        <v/>
      </c>
      <c r="F926" s="287" t="str">
        <f>IF($A926="","",SUMIFS(Txn[Buy Cost],Txn[Key],$A926))</f>
        <v/>
      </c>
      <c r="G926" s="287" t="str">
        <f>IF($A926="","",SUMIFS(Txn[Sell Proceeds],Txn[Key],$A926))</f>
        <v/>
      </c>
      <c r="H926" s="288" t="str">
        <f>IF($A926="","",IFERROR(INDEX(Prices[Current Price],MATCH($A926,Prices[Key],0)),0))</f>
        <v/>
      </c>
      <c r="I926" s="289" t="str">
        <f>IF($A926="","",IFERROR(INDEX(Prices[FX to SGD],MATCH($A926,Prices[Key],0)),1))</f>
        <v/>
      </c>
      <c r="J926" s="287" t="str">
        <f t="shared" si="134"/>
        <v/>
      </c>
      <c r="K926" s="287" t="str">
        <f t="shared" si="135"/>
        <v/>
      </c>
      <c r="L926" s="287" t="str">
        <f t="shared" si="136"/>
        <v/>
      </c>
      <c r="M926" s="290" t="str">
        <f t="shared" si="137"/>
        <v/>
      </c>
      <c r="N926" t="str">
        <f>IF($A926="","",IFERROR(INDEX(Prices[Category],MATCH($A926,Prices[Key],0)),"Uncategorized"))</f>
        <v/>
      </c>
      <c r="O926" s="291" t="str">
        <f t="shared" si="138"/>
        <v/>
      </c>
      <c r="P926" s="291" t="str">
        <f t="shared" si="139"/>
        <v/>
      </c>
    </row>
    <row r="927" spans="1:16" ht="15" customHeight="1" x14ac:dyDescent="0.2">
      <c r="A927" s="243" t="str">
        <f>IFERROR(INDEX('All Ticker P&amp;L'!$A$2:$A$1001,MATCH(ROWS($A$2:A927),'All Ticker P&amp;L'!$N$2:$N$1001,0)),"")</f>
        <v/>
      </c>
      <c r="B927" s="243" t="str">
        <f t="shared" si="131"/>
        <v/>
      </c>
      <c r="C927" s="243" t="str">
        <f t="shared" si="132"/>
        <v/>
      </c>
      <c r="D927" s="243" t="str">
        <f t="shared" si="133"/>
        <v/>
      </c>
      <c r="E927" s="265" t="str">
        <f>IF($A927="","",SUMIFS(Txn[Signed Units],Txn[Key],$A927))</f>
        <v/>
      </c>
      <c r="F927" s="287" t="str">
        <f>IF($A927="","",SUMIFS(Txn[Buy Cost],Txn[Key],$A927))</f>
        <v/>
      </c>
      <c r="G927" s="287" t="str">
        <f>IF($A927="","",SUMIFS(Txn[Sell Proceeds],Txn[Key],$A927))</f>
        <v/>
      </c>
      <c r="H927" s="288" t="str">
        <f>IF($A927="","",IFERROR(INDEX(Prices[Current Price],MATCH($A927,Prices[Key],0)),0))</f>
        <v/>
      </c>
      <c r="I927" s="289" t="str">
        <f>IF($A927="","",IFERROR(INDEX(Prices[FX to SGD],MATCH($A927,Prices[Key],0)),1))</f>
        <v/>
      </c>
      <c r="J927" s="287" t="str">
        <f t="shared" si="134"/>
        <v/>
      </c>
      <c r="K927" s="287" t="str">
        <f t="shared" si="135"/>
        <v/>
      </c>
      <c r="L927" s="287" t="str">
        <f t="shared" si="136"/>
        <v/>
      </c>
      <c r="M927" s="290" t="str">
        <f t="shared" si="137"/>
        <v/>
      </c>
      <c r="N927" t="str">
        <f>IF($A927="","",IFERROR(INDEX(Prices[Category],MATCH($A927,Prices[Key],0)),"Uncategorized"))</f>
        <v/>
      </c>
      <c r="O927" s="291" t="str">
        <f t="shared" si="138"/>
        <v/>
      </c>
      <c r="P927" s="291" t="str">
        <f t="shared" si="139"/>
        <v/>
      </c>
    </row>
    <row r="928" spans="1:16" ht="15" customHeight="1" x14ac:dyDescent="0.2">
      <c r="A928" s="243" t="str">
        <f>IFERROR(INDEX('All Ticker P&amp;L'!$A$2:$A$1001,MATCH(ROWS($A$2:A928),'All Ticker P&amp;L'!$N$2:$N$1001,0)),"")</f>
        <v/>
      </c>
      <c r="B928" s="243" t="str">
        <f t="shared" si="131"/>
        <v/>
      </c>
      <c r="C928" s="243" t="str">
        <f t="shared" si="132"/>
        <v/>
      </c>
      <c r="D928" s="243" t="str">
        <f t="shared" si="133"/>
        <v/>
      </c>
      <c r="E928" s="265" t="str">
        <f>IF($A928="","",SUMIFS(Txn[Signed Units],Txn[Key],$A928))</f>
        <v/>
      </c>
      <c r="F928" s="287" t="str">
        <f>IF($A928="","",SUMIFS(Txn[Buy Cost],Txn[Key],$A928))</f>
        <v/>
      </c>
      <c r="G928" s="287" t="str">
        <f>IF($A928="","",SUMIFS(Txn[Sell Proceeds],Txn[Key],$A928))</f>
        <v/>
      </c>
      <c r="H928" s="288" t="str">
        <f>IF($A928="","",IFERROR(INDEX(Prices[Current Price],MATCH($A928,Prices[Key],0)),0))</f>
        <v/>
      </c>
      <c r="I928" s="289" t="str">
        <f>IF($A928="","",IFERROR(INDEX(Prices[FX to SGD],MATCH($A928,Prices[Key],0)),1))</f>
        <v/>
      </c>
      <c r="J928" s="287" t="str">
        <f t="shared" si="134"/>
        <v/>
      </c>
      <c r="K928" s="287" t="str">
        <f t="shared" si="135"/>
        <v/>
      </c>
      <c r="L928" s="287" t="str">
        <f t="shared" si="136"/>
        <v/>
      </c>
      <c r="M928" s="290" t="str">
        <f t="shared" si="137"/>
        <v/>
      </c>
      <c r="N928" t="str">
        <f>IF($A928="","",IFERROR(INDEX(Prices[Category],MATCH($A928,Prices[Key],0)),"Uncategorized"))</f>
        <v/>
      </c>
      <c r="O928" s="291" t="str">
        <f t="shared" si="138"/>
        <v/>
      </c>
      <c r="P928" s="291" t="str">
        <f t="shared" si="139"/>
        <v/>
      </c>
    </row>
    <row r="929" spans="1:16" ht="15" customHeight="1" x14ac:dyDescent="0.2">
      <c r="A929" s="243" t="str">
        <f>IFERROR(INDEX('All Ticker P&amp;L'!$A$2:$A$1001,MATCH(ROWS($A$2:A929),'All Ticker P&amp;L'!$N$2:$N$1001,0)),"")</f>
        <v/>
      </c>
      <c r="B929" s="243" t="str">
        <f t="shared" si="131"/>
        <v/>
      </c>
      <c r="C929" s="243" t="str">
        <f t="shared" si="132"/>
        <v/>
      </c>
      <c r="D929" s="243" t="str">
        <f t="shared" si="133"/>
        <v/>
      </c>
      <c r="E929" s="265" t="str">
        <f>IF($A929="","",SUMIFS(Txn[Signed Units],Txn[Key],$A929))</f>
        <v/>
      </c>
      <c r="F929" s="287" t="str">
        <f>IF($A929="","",SUMIFS(Txn[Buy Cost],Txn[Key],$A929))</f>
        <v/>
      </c>
      <c r="G929" s="287" t="str">
        <f>IF($A929="","",SUMIFS(Txn[Sell Proceeds],Txn[Key],$A929))</f>
        <v/>
      </c>
      <c r="H929" s="288" t="str">
        <f>IF($A929="","",IFERROR(INDEX(Prices[Current Price],MATCH($A929,Prices[Key],0)),0))</f>
        <v/>
      </c>
      <c r="I929" s="289" t="str">
        <f>IF($A929="","",IFERROR(INDEX(Prices[FX to SGD],MATCH($A929,Prices[Key],0)),1))</f>
        <v/>
      </c>
      <c r="J929" s="287" t="str">
        <f t="shared" si="134"/>
        <v/>
      </c>
      <c r="K929" s="287" t="str">
        <f t="shared" si="135"/>
        <v/>
      </c>
      <c r="L929" s="287" t="str">
        <f t="shared" si="136"/>
        <v/>
      </c>
      <c r="M929" s="290" t="str">
        <f t="shared" si="137"/>
        <v/>
      </c>
      <c r="N929" t="str">
        <f>IF($A929="","",IFERROR(INDEX(Prices[Category],MATCH($A929,Prices[Key],0)),"Uncategorized"))</f>
        <v/>
      </c>
      <c r="O929" s="291" t="str">
        <f t="shared" si="138"/>
        <v/>
      </c>
      <c r="P929" s="291" t="str">
        <f t="shared" si="139"/>
        <v/>
      </c>
    </row>
    <row r="930" spans="1:16" ht="15" customHeight="1" x14ac:dyDescent="0.2">
      <c r="A930" s="243" t="str">
        <f>IFERROR(INDEX('All Ticker P&amp;L'!$A$2:$A$1001,MATCH(ROWS($A$2:A930),'All Ticker P&amp;L'!$N$2:$N$1001,0)),"")</f>
        <v/>
      </c>
      <c r="B930" s="243" t="str">
        <f t="shared" si="131"/>
        <v/>
      </c>
      <c r="C930" s="243" t="str">
        <f t="shared" si="132"/>
        <v/>
      </c>
      <c r="D930" s="243" t="str">
        <f t="shared" si="133"/>
        <v/>
      </c>
      <c r="E930" s="265" t="str">
        <f>IF($A930="","",SUMIFS(Txn[Signed Units],Txn[Key],$A930))</f>
        <v/>
      </c>
      <c r="F930" s="287" t="str">
        <f>IF($A930="","",SUMIFS(Txn[Buy Cost],Txn[Key],$A930))</f>
        <v/>
      </c>
      <c r="G930" s="287" t="str">
        <f>IF($A930="","",SUMIFS(Txn[Sell Proceeds],Txn[Key],$A930))</f>
        <v/>
      </c>
      <c r="H930" s="288" t="str">
        <f>IF($A930="","",IFERROR(INDEX(Prices[Current Price],MATCH($A930,Prices[Key],0)),0))</f>
        <v/>
      </c>
      <c r="I930" s="289" t="str">
        <f>IF($A930="","",IFERROR(INDEX(Prices[FX to SGD],MATCH($A930,Prices[Key],0)),1))</f>
        <v/>
      </c>
      <c r="J930" s="287" t="str">
        <f t="shared" si="134"/>
        <v/>
      </c>
      <c r="K930" s="287" t="str">
        <f t="shared" si="135"/>
        <v/>
      </c>
      <c r="L930" s="287" t="str">
        <f t="shared" si="136"/>
        <v/>
      </c>
      <c r="M930" s="290" t="str">
        <f t="shared" si="137"/>
        <v/>
      </c>
      <c r="N930" t="str">
        <f>IF($A930="","",IFERROR(INDEX(Prices[Category],MATCH($A930,Prices[Key],0)),"Uncategorized"))</f>
        <v/>
      </c>
      <c r="O930" s="291" t="str">
        <f t="shared" si="138"/>
        <v/>
      </c>
      <c r="P930" s="291" t="str">
        <f t="shared" si="139"/>
        <v/>
      </c>
    </row>
    <row r="931" spans="1:16" ht="15" customHeight="1" x14ac:dyDescent="0.2">
      <c r="A931" s="243" t="str">
        <f>IFERROR(INDEX('All Ticker P&amp;L'!$A$2:$A$1001,MATCH(ROWS($A$2:A931),'All Ticker P&amp;L'!$N$2:$N$1001,0)),"")</f>
        <v/>
      </c>
      <c r="B931" s="243" t="str">
        <f t="shared" si="131"/>
        <v/>
      </c>
      <c r="C931" s="243" t="str">
        <f t="shared" si="132"/>
        <v/>
      </c>
      <c r="D931" s="243" t="str">
        <f t="shared" si="133"/>
        <v/>
      </c>
      <c r="E931" s="265" t="str">
        <f>IF($A931="","",SUMIFS(Txn[Signed Units],Txn[Key],$A931))</f>
        <v/>
      </c>
      <c r="F931" s="287" t="str">
        <f>IF($A931="","",SUMIFS(Txn[Buy Cost],Txn[Key],$A931))</f>
        <v/>
      </c>
      <c r="G931" s="287" t="str">
        <f>IF($A931="","",SUMIFS(Txn[Sell Proceeds],Txn[Key],$A931))</f>
        <v/>
      </c>
      <c r="H931" s="288" t="str">
        <f>IF($A931="","",IFERROR(INDEX(Prices[Current Price],MATCH($A931,Prices[Key],0)),0))</f>
        <v/>
      </c>
      <c r="I931" s="289" t="str">
        <f>IF($A931="","",IFERROR(INDEX(Prices[FX to SGD],MATCH($A931,Prices[Key],0)),1))</f>
        <v/>
      </c>
      <c r="J931" s="287" t="str">
        <f t="shared" si="134"/>
        <v/>
      </c>
      <c r="K931" s="287" t="str">
        <f t="shared" si="135"/>
        <v/>
      </c>
      <c r="L931" s="287" t="str">
        <f t="shared" si="136"/>
        <v/>
      </c>
      <c r="M931" s="290" t="str">
        <f t="shared" si="137"/>
        <v/>
      </c>
      <c r="N931" t="str">
        <f>IF($A931="","",IFERROR(INDEX(Prices[Category],MATCH($A931,Prices[Key],0)),"Uncategorized"))</f>
        <v/>
      </c>
      <c r="O931" s="291" t="str">
        <f t="shared" si="138"/>
        <v/>
      </c>
      <c r="P931" s="291" t="str">
        <f t="shared" si="139"/>
        <v/>
      </c>
    </row>
    <row r="932" spans="1:16" ht="15" customHeight="1" x14ac:dyDescent="0.2">
      <c r="A932" s="243" t="str">
        <f>IFERROR(INDEX('All Ticker P&amp;L'!$A$2:$A$1001,MATCH(ROWS($A$2:A932),'All Ticker P&amp;L'!$N$2:$N$1001,0)),"")</f>
        <v/>
      </c>
      <c r="B932" s="243" t="str">
        <f t="shared" si="131"/>
        <v/>
      </c>
      <c r="C932" s="243" t="str">
        <f t="shared" si="132"/>
        <v/>
      </c>
      <c r="D932" s="243" t="str">
        <f t="shared" si="133"/>
        <v/>
      </c>
      <c r="E932" s="265" t="str">
        <f>IF($A932="","",SUMIFS(Txn[Signed Units],Txn[Key],$A932))</f>
        <v/>
      </c>
      <c r="F932" s="287" t="str">
        <f>IF($A932="","",SUMIFS(Txn[Buy Cost],Txn[Key],$A932))</f>
        <v/>
      </c>
      <c r="G932" s="287" t="str">
        <f>IF($A932="","",SUMIFS(Txn[Sell Proceeds],Txn[Key],$A932))</f>
        <v/>
      </c>
      <c r="H932" s="288" t="str">
        <f>IF($A932="","",IFERROR(INDEX(Prices[Current Price],MATCH($A932,Prices[Key],0)),0))</f>
        <v/>
      </c>
      <c r="I932" s="289" t="str">
        <f>IF($A932="","",IFERROR(INDEX(Prices[FX to SGD],MATCH($A932,Prices[Key],0)),1))</f>
        <v/>
      </c>
      <c r="J932" s="287" t="str">
        <f t="shared" si="134"/>
        <v/>
      </c>
      <c r="K932" s="287" t="str">
        <f t="shared" si="135"/>
        <v/>
      </c>
      <c r="L932" s="287" t="str">
        <f t="shared" si="136"/>
        <v/>
      </c>
      <c r="M932" s="290" t="str">
        <f t="shared" si="137"/>
        <v/>
      </c>
      <c r="N932" t="str">
        <f>IF($A932="","",IFERROR(INDEX(Prices[Category],MATCH($A932,Prices[Key],0)),"Uncategorized"))</f>
        <v/>
      </c>
      <c r="O932" s="291" t="str">
        <f t="shared" si="138"/>
        <v/>
      </c>
      <c r="P932" s="291" t="str">
        <f t="shared" si="139"/>
        <v/>
      </c>
    </row>
    <row r="933" spans="1:16" ht="15" customHeight="1" x14ac:dyDescent="0.2">
      <c r="A933" s="243" t="str">
        <f>IFERROR(INDEX('All Ticker P&amp;L'!$A$2:$A$1001,MATCH(ROWS($A$2:A933),'All Ticker P&amp;L'!$N$2:$N$1001,0)),"")</f>
        <v/>
      </c>
      <c r="B933" s="243" t="str">
        <f t="shared" si="131"/>
        <v/>
      </c>
      <c r="C933" s="243" t="str">
        <f t="shared" si="132"/>
        <v/>
      </c>
      <c r="D933" s="243" t="str">
        <f t="shared" si="133"/>
        <v/>
      </c>
      <c r="E933" s="265" t="str">
        <f>IF($A933="","",SUMIFS(Txn[Signed Units],Txn[Key],$A933))</f>
        <v/>
      </c>
      <c r="F933" s="287" t="str">
        <f>IF($A933="","",SUMIFS(Txn[Buy Cost],Txn[Key],$A933))</f>
        <v/>
      </c>
      <c r="G933" s="287" t="str">
        <f>IF($A933="","",SUMIFS(Txn[Sell Proceeds],Txn[Key],$A933))</f>
        <v/>
      </c>
      <c r="H933" s="288" t="str">
        <f>IF($A933="","",IFERROR(INDEX(Prices[Current Price],MATCH($A933,Prices[Key],0)),0))</f>
        <v/>
      </c>
      <c r="I933" s="289" t="str">
        <f>IF($A933="","",IFERROR(INDEX(Prices[FX to SGD],MATCH($A933,Prices[Key],0)),1))</f>
        <v/>
      </c>
      <c r="J933" s="287" t="str">
        <f t="shared" si="134"/>
        <v/>
      </c>
      <c r="K933" s="287" t="str">
        <f t="shared" si="135"/>
        <v/>
      </c>
      <c r="L933" s="287" t="str">
        <f t="shared" si="136"/>
        <v/>
      </c>
      <c r="M933" s="290" t="str">
        <f t="shared" si="137"/>
        <v/>
      </c>
      <c r="N933" t="str">
        <f>IF($A933="","",IFERROR(INDEX(Prices[Category],MATCH($A933,Prices[Key],0)),"Uncategorized"))</f>
        <v/>
      </c>
      <c r="O933" s="291" t="str">
        <f t="shared" si="138"/>
        <v/>
      </c>
      <c r="P933" s="291" t="str">
        <f t="shared" si="139"/>
        <v/>
      </c>
    </row>
    <row r="934" spans="1:16" ht="15" customHeight="1" x14ac:dyDescent="0.2">
      <c r="A934" s="243" t="str">
        <f>IFERROR(INDEX('All Ticker P&amp;L'!$A$2:$A$1001,MATCH(ROWS($A$2:A934),'All Ticker P&amp;L'!$N$2:$N$1001,0)),"")</f>
        <v/>
      </c>
      <c r="B934" s="243" t="str">
        <f t="shared" si="131"/>
        <v/>
      </c>
      <c r="C934" s="243" t="str">
        <f t="shared" si="132"/>
        <v/>
      </c>
      <c r="D934" s="243" t="str">
        <f t="shared" si="133"/>
        <v/>
      </c>
      <c r="E934" s="265" t="str">
        <f>IF($A934="","",SUMIFS(Txn[Signed Units],Txn[Key],$A934))</f>
        <v/>
      </c>
      <c r="F934" s="287" t="str">
        <f>IF($A934="","",SUMIFS(Txn[Buy Cost],Txn[Key],$A934))</f>
        <v/>
      </c>
      <c r="G934" s="287" t="str">
        <f>IF($A934="","",SUMIFS(Txn[Sell Proceeds],Txn[Key],$A934))</f>
        <v/>
      </c>
      <c r="H934" s="288" t="str">
        <f>IF($A934="","",IFERROR(INDEX(Prices[Current Price],MATCH($A934,Prices[Key],0)),0))</f>
        <v/>
      </c>
      <c r="I934" s="289" t="str">
        <f>IF($A934="","",IFERROR(INDEX(Prices[FX to SGD],MATCH($A934,Prices[Key],0)),1))</f>
        <v/>
      </c>
      <c r="J934" s="287" t="str">
        <f t="shared" si="134"/>
        <v/>
      </c>
      <c r="K934" s="287" t="str">
        <f t="shared" si="135"/>
        <v/>
      </c>
      <c r="L934" s="287" t="str">
        <f t="shared" si="136"/>
        <v/>
      </c>
      <c r="M934" s="290" t="str">
        <f t="shared" si="137"/>
        <v/>
      </c>
      <c r="N934" t="str">
        <f>IF($A934="","",IFERROR(INDEX(Prices[Category],MATCH($A934,Prices[Key],0)),"Uncategorized"))</f>
        <v/>
      </c>
      <c r="O934" s="291" t="str">
        <f t="shared" si="138"/>
        <v/>
      </c>
      <c r="P934" s="291" t="str">
        <f t="shared" si="139"/>
        <v/>
      </c>
    </row>
    <row r="935" spans="1:16" ht="15" customHeight="1" x14ac:dyDescent="0.2">
      <c r="A935" s="243" t="str">
        <f>IFERROR(INDEX('All Ticker P&amp;L'!$A$2:$A$1001,MATCH(ROWS($A$2:A935),'All Ticker P&amp;L'!$N$2:$N$1001,0)),"")</f>
        <v/>
      </c>
      <c r="B935" s="243" t="str">
        <f t="shared" si="131"/>
        <v/>
      </c>
      <c r="C935" s="243" t="str">
        <f t="shared" si="132"/>
        <v/>
      </c>
      <c r="D935" s="243" t="str">
        <f t="shared" si="133"/>
        <v/>
      </c>
      <c r="E935" s="265" t="str">
        <f>IF($A935="","",SUMIFS(Txn[Signed Units],Txn[Key],$A935))</f>
        <v/>
      </c>
      <c r="F935" s="287" t="str">
        <f>IF($A935="","",SUMIFS(Txn[Buy Cost],Txn[Key],$A935))</f>
        <v/>
      </c>
      <c r="G935" s="287" t="str">
        <f>IF($A935="","",SUMIFS(Txn[Sell Proceeds],Txn[Key],$A935))</f>
        <v/>
      </c>
      <c r="H935" s="288" t="str">
        <f>IF($A935="","",IFERROR(INDEX(Prices[Current Price],MATCH($A935,Prices[Key],0)),0))</f>
        <v/>
      </c>
      <c r="I935" s="289" t="str">
        <f>IF($A935="","",IFERROR(INDEX(Prices[FX to SGD],MATCH($A935,Prices[Key],0)),1))</f>
        <v/>
      </c>
      <c r="J935" s="287" t="str">
        <f t="shared" si="134"/>
        <v/>
      </c>
      <c r="K935" s="287" t="str">
        <f t="shared" si="135"/>
        <v/>
      </c>
      <c r="L935" s="287" t="str">
        <f t="shared" si="136"/>
        <v/>
      </c>
      <c r="M935" s="290" t="str">
        <f t="shared" si="137"/>
        <v/>
      </c>
      <c r="N935" t="str">
        <f>IF($A935="","",IFERROR(INDEX(Prices[Category],MATCH($A935,Prices[Key],0)),"Uncategorized"))</f>
        <v/>
      </c>
      <c r="O935" s="291" t="str">
        <f t="shared" si="138"/>
        <v/>
      </c>
      <c r="P935" s="291" t="str">
        <f t="shared" si="139"/>
        <v/>
      </c>
    </row>
    <row r="936" spans="1:16" ht="15" customHeight="1" x14ac:dyDescent="0.2">
      <c r="A936" s="243" t="str">
        <f>IFERROR(INDEX('All Ticker P&amp;L'!$A$2:$A$1001,MATCH(ROWS($A$2:A936),'All Ticker P&amp;L'!$N$2:$N$1001,0)),"")</f>
        <v/>
      </c>
      <c r="B936" s="243" t="str">
        <f t="shared" si="131"/>
        <v/>
      </c>
      <c r="C936" s="243" t="str">
        <f t="shared" si="132"/>
        <v/>
      </c>
      <c r="D936" s="243" t="str">
        <f t="shared" si="133"/>
        <v/>
      </c>
      <c r="E936" s="265" t="str">
        <f>IF($A936="","",SUMIFS(Txn[Signed Units],Txn[Key],$A936))</f>
        <v/>
      </c>
      <c r="F936" s="287" t="str">
        <f>IF($A936="","",SUMIFS(Txn[Buy Cost],Txn[Key],$A936))</f>
        <v/>
      </c>
      <c r="G936" s="287" t="str">
        <f>IF($A936="","",SUMIFS(Txn[Sell Proceeds],Txn[Key],$A936))</f>
        <v/>
      </c>
      <c r="H936" s="288" t="str">
        <f>IF($A936="","",IFERROR(INDEX(Prices[Current Price],MATCH($A936,Prices[Key],0)),0))</f>
        <v/>
      </c>
      <c r="I936" s="289" t="str">
        <f>IF($A936="","",IFERROR(INDEX(Prices[FX to SGD],MATCH($A936,Prices[Key],0)),1))</f>
        <v/>
      </c>
      <c r="J936" s="287" t="str">
        <f t="shared" si="134"/>
        <v/>
      </c>
      <c r="K936" s="287" t="str">
        <f t="shared" si="135"/>
        <v/>
      </c>
      <c r="L936" s="287" t="str">
        <f t="shared" si="136"/>
        <v/>
      </c>
      <c r="M936" s="290" t="str">
        <f t="shared" si="137"/>
        <v/>
      </c>
      <c r="N936" t="str">
        <f>IF($A936="","",IFERROR(INDEX(Prices[Category],MATCH($A936,Prices[Key],0)),"Uncategorized"))</f>
        <v/>
      </c>
      <c r="O936" s="291" t="str">
        <f t="shared" si="138"/>
        <v/>
      </c>
      <c r="P936" s="291" t="str">
        <f t="shared" si="139"/>
        <v/>
      </c>
    </row>
    <row r="937" spans="1:16" ht="15" customHeight="1" x14ac:dyDescent="0.2">
      <c r="A937" s="243" t="str">
        <f>IFERROR(INDEX('All Ticker P&amp;L'!$A$2:$A$1001,MATCH(ROWS($A$2:A937),'All Ticker P&amp;L'!$N$2:$N$1001,0)),"")</f>
        <v/>
      </c>
      <c r="B937" s="243" t="str">
        <f t="shared" si="131"/>
        <v/>
      </c>
      <c r="C937" s="243" t="str">
        <f t="shared" si="132"/>
        <v/>
      </c>
      <c r="D937" s="243" t="str">
        <f t="shared" si="133"/>
        <v/>
      </c>
      <c r="E937" s="265" t="str">
        <f>IF($A937="","",SUMIFS(Txn[Signed Units],Txn[Key],$A937))</f>
        <v/>
      </c>
      <c r="F937" s="287" t="str">
        <f>IF($A937="","",SUMIFS(Txn[Buy Cost],Txn[Key],$A937))</f>
        <v/>
      </c>
      <c r="G937" s="287" t="str">
        <f>IF($A937="","",SUMIFS(Txn[Sell Proceeds],Txn[Key],$A937))</f>
        <v/>
      </c>
      <c r="H937" s="288" t="str">
        <f>IF($A937="","",IFERROR(INDEX(Prices[Current Price],MATCH($A937,Prices[Key],0)),0))</f>
        <v/>
      </c>
      <c r="I937" s="289" t="str">
        <f>IF($A937="","",IFERROR(INDEX(Prices[FX to SGD],MATCH($A937,Prices[Key],0)),1))</f>
        <v/>
      </c>
      <c r="J937" s="287" t="str">
        <f t="shared" si="134"/>
        <v/>
      </c>
      <c r="K937" s="287" t="str">
        <f t="shared" si="135"/>
        <v/>
      </c>
      <c r="L937" s="287" t="str">
        <f t="shared" si="136"/>
        <v/>
      </c>
      <c r="M937" s="290" t="str">
        <f t="shared" si="137"/>
        <v/>
      </c>
      <c r="N937" t="str">
        <f>IF($A937="","",IFERROR(INDEX(Prices[Category],MATCH($A937,Prices[Key],0)),"Uncategorized"))</f>
        <v/>
      </c>
      <c r="O937" s="291" t="str">
        <f t="shared" si="138"/>
        <v/>
      </c>
      <c r="P937" s="291" t="str">
        <f t="shared" si="139"/>
        <v/>
      </c>
    </row>
    <row r="938" spans="1:16" ht="15" customHeight="1" x14ac:dyDescent="0.2">
      <c r="A938" s="243" t="str">
        <f>IFERROR(INDEX('All Ticker P&amp;L'!$A$2:$A$1001,MATCH(ROWS($A$2:A938),'All Ticker P&amp;L'!$N$2:$N$1001,0)),"")</f>
        <v/>
      </c>
      <c r="B938" s="243" t="str">
        <f t="shared" si="131"/>
        <v/>
      </c>
      <c r="C938" s="243" t="str">
        <f t="shared" si="132"/>
        <v/>
      </c>
      <c r="D938" s="243" t="str">
        <f t="shared" si="133"/>
        <v/>
      </c>
      <c r="E938" s="265" t="str">
        <f>IF($A938="","",SUMIFS(Txn[Signed Units],Txn[Key],$A938))</f>
        <v/>
      </c>
      <c r="F938" s="287" t="str">
        <f>IF($A938="","",SUMIFS(Txn[Buy Cost],Txn[Key],$A938))</f>
        <v/>
      </c>
      <c r="G938" s="287" t="str">
        <f>IF($A938="","",SUMIFS(Txn[Sell Proceeds],Txn[Key],$A938))</f>
        <v/>
      </c>
      <c r="H938" s="288" t="str">
        <f>IF($A938="","",IFERROR(INDEX(Prices[Current Price],MATCH($A938,Prices[Key],0)),0))</f>
        <v/>
      </c>
      <c r="I938" s="289" t="str">
        <f>IF($A938="","",IFERROR(INDEX(Prices[FX to SGD],MATCH($A938,Prices[Key],0)),1))</f>
        <v/>
      </c>
      <c r="J938" s="287" t="str">
        <f t="shared" si="134"/>
        <v/>
      </c>
      <c r="K938" s="287" t="str">
        <f t="shared" si="135"/>
        <v/>
      </c>
      <c r="L938" s="287" t="str">
        <f t="shared" si="136"/>
        <v/>
      </c>
      <c r="M938" s="290" t="str">
        <f t="shared" si="137"/>
        <v/>
      </c>
      <c r="N938" t="str">
        <f>IF($A938="","",IFERROR(INDEX(Prices[Category],MATCH($A938,Prices[Key],0)),"Uncategorized"))</f>
        <v/>
      </c>
      <c r="O938" s="291" t="str">
        <f t="shared" si="138"/>
        <v/>
      </c>
      <c r="P938" s="291" t="str">
        <f t="shared" si="139"/>
        <v/>
      </c>
    </row>
    <row r="939" spans="1:16" ht="15" customHeight="1" x14ac:dyDescent="0.2">
      <c r="A939" s="243" t="str">
        <f>IFERROR(INDEX('All Ticker P&amp;L'!$A$2:$A$1001,MATCH(ROWS($A$2:A939),'All Ticker P&amp;L'!$N$2:$N$1001,0)),"")</f>
        <v/>
      </c>
      <c r="B939" s="243" t="str">
        <f t="shared" si="131"/>
        <v/>
      </c>
      <c r="C939" s="243" t="str">
        <f t="shared" si="132"/>
        <v/>
      </c>
      <c r="D939" s="243" t="str">
        <f t="shared" si="133"/>
        <v/>
      </c>
      <c r="E939" s="265" t="str">
        <f>IF($A939="","",SUMIFS(Txn[Signed Units],Txn[Key],$A939))</f>
        <v/>
      </c>
      <c r="F939" s="287" t="str">
        <f>IF($A939="","",SUMIFS(Txn[Buy Cost],Txn[Key],$A939))</f>
        <v/>
      </c>
      <c r="G939" s="287" t="str">
        <f>IF($A939="","",SUMIFS(Txn[Sell Proceeds],Txn[Key],$A939))</f>
        <v/>
      </c>
      <c r="H939" s="288" t="str">
        <f>IF($A939="","",IFERROR(INDEX(Prices[Current Price],MATCH($A939,Prices[Key],0)),0))</f>
        <v/>
      </c>
      <c r="I939" s="289" t="str">
        <f>IF($A939="","",IFERROR(INDEX(Prices[FX to SGD],MATCH($A939,Prices[Key],0)),1))</f>
        <v/>
      </c>
      <c r="J939" s="287" t="str">
        <f t="shared" si="134"/>
        <v/>
      </c>
      <c r="K939" s="287" t="str">
        <f t="shared" si="135"/>
        <v/>
      </c>
      <c r="L939" s="287" t="str">
        <f t="shared" si="136"/>
        <v/>
      </c>
      <c r="M939" s="290" t="str">
        <f t="shared" si="137"/>
        <v/>
      </c>
      <c r="N939" t="str">
        <f>IF($A939="","",IFERROR(INDEX(Prices[Category],MATCH($A939,Prices[Key],0)),"Uncategorized"))</f>
        <v/>
      </c>
      <c r="O939" s="291" t="str">
        <f t="shared" si="138"/>
        <v/>
      </c>
      <c r="P939" s="291" t="str">
        <f t="shared" si="139"/>
        <v/>
      </c>
    </row>
    <row r="940" spans="1:16" ht="15" customHeight="1" x14ac:dyDescent="0.2">
      <c r="A940" s="243" t="str">
        <f>IFERROR(INDEX('All Ticker P&amp;L'!$A$2:$A$1001,MATCH(ROWS($A$2:A940),'All Ticker P&amp;L'!$N$2:$N$1001,0)),"")</f>
        <v/>
      </c>
      <c r="B940" s="243" t="str">
        <f t="shared" si="131"/>
        <v/>
      </c>
      <c r="C940" s="243" t="str">
        <f t="shared" si="132"/>
        <v/>
      </c>
      <c r="D940" s="243" t="str">
        <f t="shared" si="133"/>
        <v/>
      </c>
      <c r="E940" s="265" t="str">
        <f>IF($A940="","",SUMIFS(Txn[Signed Units],Txn[Key],$A940))</f>
        <v/>
      </c>
      <c r="F940" s="287" t="str">
        <f>IF($A940="","",SUMIFS(Txn[Buy Cost],Txn[Key],$A940))</f>
        <v/>
      </c>
      <c r="G940" s="287" t="str">
        <f>IF($A940="","",SUMIFS(Txn[Sell Proceeds],Txn[Key],$A940))</f>
        <v/>
      </c>
      <c r="H940" s="288" t="str">
        <f>IF($A940="","",IFERROR(INDEX(Prices[Current Price],MATCH($A940,Prices[Key],0)),0))</f>
        <v/>
      </c>
      <c r="I940" s="289" t="str">
        <f>IF($A940="","",IFERROR(INDEX(Prices[FX to SGD],MATCH($A940,Prices[Key],0)),1))</f>
        <v/>
      </c>
      <c r="J940" s="287" t="str">
        <f t="shared" si="134"/>
        <v/>
      </c>
      <c r="K940" s="287" t="str">
        <f t="shared" si="135"/>
        <v/>
      </c>
      <c r="L940" s="287" t="str">
        <f t="shared" si="136"/>
        <v/>
      </c>
      <c r="M940" s="290" t="str">
        <f t="shared" si="137"/>
        <v/>
      </c>
      <c r="N940" t="str">
        <f>IF($A940="","",IFERROR(INDEX(Prices[Category],MATCH($A940,Prices[Key],0)),"Uncategorized"))</f>
        <v/>
      </c>
      <c r="O940" s="291" t="str">
        <f t="shared" si="138"/>
        <v/>
      </c>
      <c r="P940" s="291" t="str">
        <f t="shared" si="139"/>
        <v/>
      </c>
    </row>
    <row r="941" spans="1:16" ht="15" customHeight="1" x14ac:dyDescent="0.2">
      <c r="A941" s="243" t="str">
        <f>IFERROR(INDEX('All Ticker P&amp;L'!$A$2:$A$1001,MATCH(ROWS($A$2:A941),'All Ticker P&amp;L'!$N$2:$N$1001,0)),"")</f>
        <v/>
      </c>
      <c r="B941" s="243" t="str">
        <f t="shared" si="131"/>
        <v/>
      </c>
      <c r="C941" s="243" t="str">
        <f t="shared" si="132"/>
        <v/>
      </c>
      <c r="D941" s="243" t="str">
        <f t="shared" si="133"/>
        <v/>
      </c>
      <c r="E941" s="265" t="str">
        <f>IF($A941="","",SUMIFS(Txn[Signed Units],Txn[Key],$A941))</f>
        <v/>
      </c>
      <c r="F941" s="287" t="str">
        <f>IF($A941="","",SUMIFS(Txn[Buy Cost],Txn[Key],$A941))</f>
        <v/>
      </c>
      <c r="G941" s="287" t="str">
        <f>IF($A941="","",SUMIFS(Txn[Sell Proceeds],Txn[Key],$A941))</f>
        <v/>
      </c>
      <c r="H941" s="288" t="str">
        <f>IF($A941="","",IFERROR(INDEX(Prices[Current Price],MATCH($A941,Prices[Key],0)),0))</f>
        <v/>
      </c>
      <c r="I941" s="289" t="str">
        <f>IF($A941="","",IFERROR(INDEX(Prices[FX to SGD],MATCH($A941,Prices[Key],0)),1))</f>
        <v/>
      </c>
      <c r="J941" s="287" t="str">
        <f t="shared" si="134"/>
        <v/>
      </c>
      <c r="K941" s="287" t="str">
        <f t="shared" si="135"/>
        <v/>
      </c>
      <c r="L941" s="287" t="str">
        <f t="shared" si="136"/>
        <v/>
      </c>
      <c r="M941" s="290" t="str">
        <f t="shared" si="137"/>
        <v/>
      </c>
      <c r="N941" t="str">
        <f>IF($A941="","",IFERROR(INDEX(Prices[Category],MATCH($A941,Prices[Key],0)),"Uncategorized"))</f>
        <v/>
      </c>
      <c r="O941" s="291" t="str">
        <f t="shared" si="138"/>
        <v/>
      </c>
      <c r="P941" s="291" t="str">
        <f t="shared" si="139"/>
        <v/>
      </c>
    </row>
    <row r="942" spans="1:16" ht="15" customHeight="1" x14ac:dyDescent="0.2">
      <c r="A942" s="243" t="str">
        <f>IFERROR(INDEX('All Ticker P&amp;L'!$A$2:$A$1001,MATCH(ROWS($A$2:A942),'All Ticker P&amp;L'!$N$2:$N$1001,0)),"")</f>
        <v/>
      </c>
      <c r="B942" s="243" t="str">
        <f t="shared" si="131"/>
        <v/>
      </c>
      <c r="C942" s="243" t="str">
        <f t="shared" si="132"/>
        <v/>
      </c>
      <c r="D942" s="243" t="str">
        <f t="shared" si="133"/>
        <v/>
      </c>
      <c r="E942" s="265" t="str">
        <f>IF($A942="","",SUMIFS(Txn[Signed Units],Txn[Key],$A942))</f>
        <v/>
      </c>
      <c r="F942" s="287" t="str">
        <f>IF($A942="","",SUMIFS(Txn[Buy Cost],Txn[Key],$A942))</f>
        <v/>
      </c>
      <c r="G942" s="287" t="str">
        <f>IF($A942="","",SUMIFS(Txn[Sell Proceeds],Txn[Key],$A942))</f>
        <v/>
      </c>
      <c r="H942" s="288" t="str">
        <f>IF($A942="","",IFERROR(INDEX(Prices[Current Price],MATCH($A942,Prices[Key],0)),0))</f>
        <v/>
      </c>
      <c r="I942" s="289" t="str">
        <f>IF($A942="","",IFERROR(INDEX(Prices[FX to SGD],MATCH($A942,Prices[Key],0)),1))</f>
        <v/>
      </c>
      <c r="J942" s="287" t="str">
        <f t="shared" si="134"/>
        <v/>
      </c>
      <c r="K942" s="287" t="str">
        <f t="shared" si="135"/>
        <v/>
      </c>
      <c r="L942" s="287" t="str">
        <f t="shared" si="136"/>
        <v/>
      </c>
      <c r="M942" s="290" t="str">
        <f t="shared" si="137"/>
        <v/>
      </c>
      <c r="N942" t="str">
        <f>IF($A942="","",IFERROR(INDEX(Prices[Category],MATCH($A942,Prices[Key],0)),"Uncategorized"))</f>
        <v/>
      </c>
      <c r="O942" s="291" t="str">
        <f t="shared" si="138"/>
        <v/>
      </c>
      <c r="P942" s="291" t="str">
        <f t="shared" si="139"/>
        <v/>
      </c>
    </row>
    <row r="943" spans="1:16" ht="15" customHeight="1" x14ac:dyDescent="0.2">
      <c r="A943" s="243" t="str">
        <f>IFERROR(INDEX('All Ticker P&amp;L'!$A$2:$A$1001,MATCH(ROWS($A$2:A943),'All Ticker P&amp;L'!$N$2:$N$1001,0)),"")</f>
        <v/>
      </c>
      <c r="B943" s="243" t="str">
        <f t="shared" si="131"/>
        <v/>
      </c>
      <c r="C943" s="243" t="str">
        <f t="shared" si="132"/>
        <v/>
      </c>
      <c r="D943" s="243" t="str">
        <f t="shared" si="133"/>
        <v/>
      </c>
      <c r="E943" s="265" t="str">
        <f>IF($A943="","",SUMIFS(Txn[Signed Units],Txn[Key],$A943))</f>
        <v/>
      </c>
      <c r="F943" s="287" t="str">
        <f>IF($A943="","",SUMIFS(Txn[Buy Cost],Txn[Key],$A943))</f>
        <v/>
      </c>
      <c r="G943" s="287" t="str">
        <f>IF($A943="","",SUMIFS(Txn[Sell Proceeds],Txn[Key],$A943))</f>
        <v/>
      </c>
      <c r="H943" s="288" t="str">
        <f>IF($A943="","",IFERROR(INDEX(Prices[Current Price],MATCH($A943,Prices[Key],0)),0))</f>
        <v/>
      </c>
      <c r="I943" s="289" t="str">
        <f>IF($A943="","",IFERROR(INDEX(Prices[FX to SGD],MATCH($A943,Prices[Key],0)),1))</f>
        <v/>
      </c>
      <c r="J943" s="287" t="str">
        <f t="shared" si="134"/>
        <v/>
      </c>
      <c r="K943" s="287" t="str">
        <f t="shared" si="135"/>
        <v/>
      </c>
      <c r="L943" s="287" t="str">
        <f t="shared" si="136"/>
        <v/>
      </c>
      <c r="M943" s="290" t="str">
        <f t="shared" si="137"/>
        <v/>
      </c>
      <c r="N943" t="str">
        <f>IF($A943="","",IFERROR(INDEX(Prices[Category],MATCH($A943,Prices[Key],0)),"Uncategorized"))</f>
        <v/>
      </c>
      <c r="O943" s="291" t="str">
        <f t="shared" si="138"/>
        <v/>
      </c>
      <c r="P943" s="291" t="str">
        <f t="shared" si="139"/>
        <v/>
      </c>
    </row>
    <row r="944" spans="1:16" ht="15" customHeight="1" x14ac:dyDescent="0.2">
      <c r="A944" s="243" t="str">
        <f>IFERROR(INDEX('All Ticker P&amp;L'!$A$2:$A$1001,MATCH(ROWS($A$2:A944),'All Ticker P&amp;L'!$N$2:$N$1001,0)),"")</f>
        <v/>
      </c>
      <c r="B944" s="243" t="str">
        <f t="shared" si="131"/>
        <v/>
      </c>
      <c r="C944" s="243" t="str">
        <f t="shared" si="132"/>
        <v/>
      </c>
      <c r="D944" s="243" t="str">
        <f t="shared" si="133"/>
        <v/>
      </c>
      <c r="E944" s="265" t="str">
        <f>IF($A944="","",SUMIFS(Txn[Signed Units],Txn[Key],$A944))</f>
        <v/>
      </c>
      <c r="F944" s="287" t="str">
        <f>IF($A944="","",SUMIFS(Txn[Buy Cost],Txn[Key],$A944))</f>
        <v/>
      </c>
      <c r="G944" s="287" t="str">
        <f>IF($A944="","",SUMIFS(Txn[Sell Proceeds],Txn[Key],$A944))</f>
        <v/>
      </c>
      <c r="H944" s="288" t="str">
        <f>IF($A944="","",IFERROR(INDEX(Prices[Current Price],MATCH($A944,Prices[Key],0)),0))</f>
        <v/>
      </c>
      <c r="I944" s="289" t="str">
        <f>IF($A944="","",IFERROR(INDEX(Prices[FX to SGD],MATCH($A944,Prices[Key],0)),1))</f>
        <v/>
      </c>
      <c r="J944" s="287" t="str">
        <f t="shared" si="134"/>
        <v/>
      </c>
      <c r="K944" s="287" t="str">
        <f t="shared" si="135"/>
        <v/>
      </c>
      <c r="L944" s="287" t="str">
        <f t="shared" si="136"/>
        <v/>
      </c>
      <c r="M944" s="290" t="str">
        <f t="shared" si="137"/>
        <v/>
      </c>
      <c r="N944" t="str">
        <f>IF($A944="","",IFERROR(INDEX(Prices[Category],MATCH($A944,Prices[Key],0)),"Uncategorized"))</f>
        <v/>
      </c>
      <c r="O944" s="291" t="str">
        <f t="shared" si="138"/>
        <v/>
      </c>
      <c r="P944" s="291" t="str">
        <f t="shared" si="139"/>
        <v/>
      </c>
    </row>
    <row r="945" spans="1:16" ht="15" customHeight="1" x14ac:dyDescent="0.2">
      <c r="A945" s="243" t="str">
        <f>IFERROR(INDEX('All Ticker P&amp;L'!$A$2:$A$1001,MATCH(ROWS($A$2:A945),'All Ticker P&amp;L'!$N$2:$N$1001,0)),"")</f>
        <v/>
      </c>
      <c r="B945" s="243" t="str">
        <f t="shared" si="131"/>
        <v/>
      </c>
      <c r="C945" s="243" t="str">
        <f t="shared" si="132"/>
        <v/>
      </c>
      <c r="D945" s="243" t="str">
        <f t="shared" si="133"/>
        <v/>
      </c>
      <c r="E945" s="265" t="str">
        <f>IF($A945="","",SUMIFS(Txn[Signed Units],Txn[Key],$A945))</f>
        <v/>
      </c>
      <c r="F945" s="287" t="str">
        <f>IF($A945="","",SUMIFS(Txn[Buy Cost],Txn[Key],$A945))</f>
        <v/>
      </c>
      <c r="G945" s="287" t="str">
        <f>IF($A945="","",SUMIFS(Txn[Sell Proceeds],Txn[Key],$A945))</f>
        <v/>
      </c>
      <c r="H945" s="288" t="str">
        <f>IF($A945="","",IFERROR(INDEX(Prices[Current Price],MATCH($A945,Prices[Key],0)),0))</f>
        <v/>
      </c>
      <c r="I945" s="289" t="str">
        <f>IF($A945="","",IFERROR(INDEX(Prices[FX to SGD],MATCH($A945,Prices[Key],0)),1))</f>
        <v/>
      </c>
      <c r="J945" s="287" t="str">
        <f t="shared" si="134"/>
        <v/>
      </c>
      <c r="K945" s="287" t="str">
        <f t="shared" si="135"/>
        <v/>
      </c>
      <c r="L945" s="287" t="str">
        <f t="shared" si="136"/>
        <v/>
      </c>
      <c r="M945" s="290" t="str">
        <f t="shared" si="137"/>
        <v/>
      </c>
      <c r="N945" t="str">
        <f>IF($A945="","",IFERROR(INDEX(Prices[Category],MATCH($A945,Prices[Key],0)),"Uncategorized"))</f>
        <v/>
      </c>
      <c r="O945" s="291" t="str">
        <f t="shared" si="138"/>
        <v/>
      </c>
      <c r="P945" s="291" t="str">
        <f t="shared" si="139"/>
        <v/>
      </c>
    </row>
    <row r="946" spans="1:16" ht="15" customHeight="1" x14ac:dyDescent="0.2">
      <c r="A946" s="243" t="str">
        <f>IFERROR(INDEX('All Ticker P&amp;L'!$A$2:$A$1001,MATCH(ROWS($A$2:A946),'All Ticker P&amp;L'!$N$2:$N$1001,0)),"")</f>
        <v/>
      </c>
      <c r="B946" s="243" t="str">
        <f t="shared" si="131"/>
        <v/>
      </c>
      <c r="C946" s="243" t="str">
        <f t="shared" si="132"/>
        <v/>
      </c>
      <c r="D946" s="243" t="str">
        <f t="shared" si="133"/>
        <v/>
      </c>
      <c r="E946" s="265" t="str">
        <f>IF($A946="","",SUMIFS(Txn[Signed Units],Txn[Key],$A946))</f>
        <v/>
      </c>
      <c r="F946" s="287" t="str">
        <f>IF($A946="","",SUMIFS(Txn[Buy Cost],Txn[Key],$A946))</f>
        <v/>
      </c>
      <c r="G946" s="287" t="str">
        <f>IF($A946="","",SUMIFS(Txn[Sell Proceeds],Txn[Key],$A946))</f>
        <v/>
      </c>
      <c r="H946" s="288" t="str">
        <f>IF($A946="","",IFERROR(INDEX(Prices[Current Price],MATCH($A946,Prices[Key],0)),0))</f>
        <v/>
      </c>
      <c r="I946" s="289" t="str">
        <f>IF($A946="","",IFERROR(INDEX(Prices[FX to SGD],MATCH($A946,Prices[Key],0)),1))</f>
        <v/>
      </c>
      <c r="J946" s="287" t="str">
        <f t="shared" si="134"/>
        <v/>
      </c>
      <c r="K946" s="287" t="str">
        <f t="shared" si="135"/>
        <v/>
      </c>
      <c r="L946" s="287" t="str">
        <f t="shared" si="136"/>
        <v/>
      </c>
      <c r="M946" s="290" t="str">
        <f t="shared" si="137"/>
        <v/>
      </c>
      <c r="N946" t="str">
        <f>IF($A946="","",IFERROR(INDEX(Prices[Category],MATCH($A946,Prices[Key],0)),"Uncategorized"))</f>
        <v/>
      </c>
      <c r="O946" s="291" t="str">
        <f t="shared" si="138"/>
        <v/>
      </c>
      <c r="P946" s="291" t="str">
        <f t="shared" si="139"/>
        <v/>
      </c>
    </row>
    <row r="947" spans="1:16" ht="15" customHeight="1" x14ac:dyDescent="0.2">
      <c r="A947" s="243" t="str">
        <f>IFERROR(INDEX('All Ticker P&amp;L'!$A$2:$A$1001,MATCH(ROWS($A$2:A947),'All Ticker P&amp;L'!$N$2:$N$1001,0)),"")</f>
        <v/>
      </c>
      <c r="B947" s="243" t="str">
        <f t="shared" si="131"/>
        <v/>
      </c>
      <c r="C947" s="243" t="str">
        <f t="shared" si="132"/>
        <v/>
      </c>
      <c r="D947" s="243" t="str">
        <f t="shared" si="133"/>
        <v/>
      </c>
      <c r="E947" s="265" t="str">
        <f>IF($A947="","",SUMIFS(Txn[Signed Units],Txn[Key],$A947))</f>
        <v/>
      </c>
      <c r="F947" s="287" t="str">
        <f>IF($A947="","",SUMIFS(Txn[Buy Cost],Txn[Key],$A947))</f>
        <v/>
      </c>
      <c r="G947" s="287" t="str">
        <f>IF($A947="","",SUMIFS(Txn[Sell Proceeds],Txn[Key],$A947))</f>
        <v/>
      </c>
      <c r="H947" s="288" t="str">
        <f>IF($A947="","",IFERROR(INDEX(Prices[Current Price],MATCH($A947,Prices[Key],0)),0))</f>
        <v/>
      </c>
      <c r="I947" s="289" t="str">
        <f>IF($A947="","",IFERROR(INDEX(Prices[FX to SGD],MATCH($A947,Prices[Key],0)),1))</f>
        <v/>
      </c>
      <c r="J947" s="287" t="str">
        <f t="shared" si="134"/>
        <v/>
      </c>
      <c r="K947" s="287" t="str">
        <f t="shared" si="135"/>
        <v/>
      </c>
      <c r="L947" s="287" t="str">
        <f t="shared" si="136"/>
        <v/>
      </c>
      <c r="M947" s="290" t="str">
        <f t="shared" si="137"/>
        <v/>
      </c>
      <c r="N947" t="str">
        <f>IF($A947="","",IFERROR(INDEX(Prices[Category],MATCH($A947,Prices[Key],0)),"Uncategorized"))</f>
        <v/>
      </c>
      <c r="O947" s="291" t="str">
        <f t="shared" si="138"/>
        <v/>
      </c>
      <c r="P947" s="291" t="str">
        <f t="shared" si="139"/>
        <v/>
      </c>
    </row>
    <row r="948" spans="1:16" ht="15" customHeight="1" x14ac:dyDescent="0.2">
      <c r="A948" s="243" t="str">
        <f>IFERROR(INDEX('All Ticker P&amp;L'!$A$2:$A$1001,MATCH(ROWS($A$2:A948),'All Ticker P&amp;L'!$N$2:$N$1001,0)),"")</f>
        <v/>
      </c>
      <c r="B948" s="243" t="str">
        <f t="shared" si="131"/>
        <v/>
      </c>
      <c r="C948" s="243" t="str">
        <f t="shared" si="132"/>
        <v/>
      </c>
      <c r="D948" s="243" t="str">
        <f t="shared" si="133"/>
        <v/>
      </c>
      <c r="E948" s="265" t="str">
        <f>IF($A948="","",SUMIFS(Txn[Signed Units],Txn[Key],$A948))</f>
        <v/>
      </c>
      <c r="F948" s="287" t="str">
        <f>IF($A948="","",SUMIFS(Txn[Buy Cost],Txn[Key],$A948))</f>
        <v/>
      </c>
      <c r="G948" s="287" t="str">
        <f>IF($A948="","",SUMIFS(Txn[Sell Proceeds],Txn[Key],$A948))</f>
        <v/>
      </c>
      <c r="H948" s="288" t="str">
        <f>IF($A948="","",IFERROR(INDEX(Prices[Current Price],MATCH($A948,Prices[Key],0)),0))</f>
        <v/>
      </c>
      <c r="I948" s="289" t="str">
        <f>IF($A948="","",IFERROR(INDEX(Prices[FX to SGD],MATCH($A948,Prices[Key],0)),1))</f>
        <v/>
      </c>
      <c r="J948" s="287" t="str">
        <f t="shared" si="134"/>
        <v/>
      </c>
      <c r="K948" s="287" t="str">
        <f t="shared" si="135"/>
        <v/>
      </c>
      <c r="L948" s="287" t="str">
        <f t="shared" si="136"/>
        <v/>
      </c>
      <c r="M948" s="290" t="str">
        <f t="shared" si="137"/>
        <v/>
      </c>
      <c r="N948" t="str">
        <f>IF($A948="","",IFERROR(INDEX(Prices[Category],MATCH($A948,Prices[Key],0)),"Uncategorized"))</f>
        <v/>
      </c>
      <c r="O948" s="291" t="str">
        <f t="shared" si="138"/>
        <v/>
      </c>
      <c r="P948" s="291" t="str">
        <f t="shared" si="139"/>
        <v/>
      </c>
    </row>
    <row r="949" spans="1:16" ht="15" customHeight="1" x14ac:dyDescent="0.2">
      <c r="A949" s="243" t="str">
        <f>IFERROR(INDEX('All Ticker P&amp;L'!$A$2:$A$1001,MATCH(ROWS($A$2:A949),'All Ticker P&amp;L'!$N$2:$N$1001,0)),"")</f>
        <v/>
      </c>
      <c r="B949" s="243" t="str">
        <f t="shared" si="131"/>
        <v/>
      </c>
      <c r="C949" s="243" t="str">
        <f t="shared" si="132"/>
        <v/>
      </c>
      <c r="D949" s="243" t="str">
        <f t="shared" si="133"/>
        <v/>
      </c>
      <c r="E949" s="265" t="str">
        <f>IF($A949="","",SUMIFS(Txn[Signed Units],Txn[Key],$A949))</f>
        <v/>
      </c>
      <c r="F949" s="287" t="str">
        <f>IF($A949="","",SUMIFS(Txn[Buy Cost],Txn[Key],$A949))</f>
        <v/>
      </c>
      <c r="G949" s="287" t="str">
        <f>IF($A949="","",SUMIFS(Txn[Sell Proceeds],Txn[Key],$A949))</f>
        <v/>
      </c>
      <c r="H949" s="288" t="str">
        <f>IF($A949="","",IFERROR(INDEX(Prices[Current Price],MATCH($A949,Prices[Key],0)),0))</f>
        <v/>
      </c>
      <c r="I949" s="289" t="str">
        <f>IF($A949="","",IFERROR(INDEX(Prices[FX to SGD],MATCH($A949,Prices[Key],0)),1))</f>
        <v/>
      </c>
      <c r="J949" s="287" t="str">
        <f t="shared" si="134"/>
        <v/>
      </c>
      <c r="K949" s="287" t="str">
        <f t="shared" si="135"/>
        <v/>
      </c>
      <c r="L949" s="287" t="str">
        <f t="shared" si="136"/>
        <v/>
      </c>
      <c r="M949" s="290" t="str">
        <f t="shared" si="137"/>
        <v/>
      </c>
      <c r="N949" t="str">
        <f>IF($A949="","",IFERROR(INDEX(Prices[Category],MATCH($A949,Prices[Key],0)),"Uncategorized"))</f>
        <v/>
      </c>
      <c r="O949" s="291" t="str">
        <f t="shared" si="138"/>
        <v/>
      </c>
      <c r="P949" s="291" t="str">
        <f t="shared" si="139"/>
        <v/>
      </c>
    </row>
    <row r="950" spans="1:16" ht="15" customHeight="1" x14ac:dyDescent="0.2">
      <c r="A950" s="243" t="str">
        <f>IFERROR(INDEX('All Ticker P&amp;L'!$A$2:$A$1001,MATCH(ROWS($A$2:A950),'All Ticker P&amp;L'!$N$2:$N$1001,0)),"")</f>
        <v/>
      </c>
      <c r="B950" s="243" t="str">
        <f t="shared" si="131"/>
        <v/>
      </c>
      <c r="C950" s="243" t="str">
        <f t="shared" si="132"/>
        <v/>
      </c>
      <c r="D950" s="243" t="str">
        <f t="shared" si="133"/>
        <v/>
      </c>
      <c r="E950" s="265" t="str">
        <f>IF($A950="","",SUMIFS(Txn[Signed Units],Txn[Key],$A950))</f>
        <v/>
      </c>
      <c r="F950" s="287" t="str">
        <f>IF($A950="","",SUMIFS(Txn[Buy Cost],Txn[Key],$A950))</f>
        <v/>
      </c>
      <c r="G950" s="287" t="str">
        <f>IF($A950="","",SUMIFS(Txn[Sell Proceeds],Txn[Key],$A950))</f>
        <v/>
      </c>
      <c r="H950" s="288" t="str">
        <f>IF($A950="","",IFERROR(INDEX(Prices[Current Price],MATCH($A950,Prices[Key],0)),0))</f>
        <v/>
      </c>
      <c r="I950" s="289" t="str">
        <f>IF($A950="","",IFERROR(INDEX(Prices[FX to SGD],MATCH($A950,Prices[Key],0)),1))</f>
        <v/>
      </c>
      <c r="J950" s="287" t="str">
        <f t="shared" si="134"/>
        <v/>
      </c>
      <c r="K950" s="287" t="str">
        <f t="shared" si="135"/>
        <v/>
      </c>
      <c r="L950" s="287" t="str">
        <f t="shared" si="136"/>
        <v/>
      </c>
      <c r="M950" s="290" t="str">
        <f t="shared" si="137"/>
        <v/>
      </c>
      <c r="N950" t="str">
        <f>IF($A950="","",IFERROR(INDEX(Prices[Category],MATCH($A950,Prices[Key],0)),"Uncategorized"))</f>
        <v/>
      </c>
      <c r="O950" s="291" t="str">
        <f t="shared" si="138"/>
        <v/>
      </c>
      <c r="P950" s="291" t="str">
        <f t="shared" si="139"/>
        <v/>
      </c>
    </row>
    <row r="951" spans="1:16" ht="15" customHeight="1" x14ac:dyDescent="0.2">
      <c r="A951" s="243" t="str">
        <f>IFERROR(INDEX('All Ticker P&amp;L'!$A$2:$A$1001,MATCH(ROWS($A$2:A951),'All Ticker P&amp;L'!$N$2:$N$1001,0)),"")</f>
        <v/>
      </c>
      <c r="B951" s="243" t="str">
        <f t="shared" si="131"/>
        <v/>
      </c>
      <c r="C951" s="243" t="str">
        <f t="shared" si="132"/>
        <v/>
      </c>
      <c r="D951" s="243" t="str">
        <f t="shared" si="133"/>
        <v/>
      </c>
      <c r="E951" s="265" t="str">
        <f>IF($A951="","",SUMIFS(Txn[Signed Units],Txn[Key],$A951))</f>
        <v/>
      </c>
      <c r="F951" s="287" t="str">
        <f>IF($A951="","",SUMIFS(Txn[Buy Cost],Txn[Key],$A951))</f>
        <v/>
      </c>
      <c r="G951" s="287" t="str">
        <f>IF($A951="","",SUMIFS(Txn[Sell Proceeds],Txn[Key],$A951))</f>
        <v/>
      </c>
      <c r="H951" s="288" t="str">
        <f>IF($A951="","",IFERROR(INDEX(Prices[Current Price],MATCH($A951,Prices[Key],0)),0))</f>
        <v/>
      </c>
      <c r="I951" s="289" t="str">
        <f>IF($A951="","",IFERROR(INDEX(Prices[FX to SGD],MATCH($A951,Prices[Key],0)),1))</f>
        <v/>
      </c>
      <c r="J951" s="287" t="str">
        <f t="shared" si="134"/>
        <v/>
      </c>
      <c r="K951" s="287" t="str">
        <f t="shared" si="135"/>
        <v/>
      </c>
      <c r="L951" s="287" t="str">
        <f t="shared" si="136"/>
        <v/>
      </c>
      <c r="M951" s="290" t="str">
        <f t="shared" si="137"/>
        <v/>
      </c>
      <c r="N951" t="str">
        <f>IF($A951="","",IFERROR(INDEX(Prices[Category],MATCH($A951,Prices[Key],0)),"Uncategorized"))</f>
        <v/>
      </c>
      <c r="O951" s="291" t="str">
        <f t="shared" si="138"/>
        <v/>
      </c>
      <c r="P951" s="291" t="str">
        <f t="shared" si="139"/>
        <v/>
      </c>
    </row>
    <row r="952" spans="1:16" ht="15" customHeight="1" x14ac:dyDescent="0.2">
      <c r="A952" s="243" t="str">
        <f>IFERROR(INDEX('All Ticker P&amp;L'!$A$2:$A$1001,MATCH(ROWS($A$2:A952),'All Ticker P&amp;L'!$N$2:$N$1001,0)),"")</f>
        <v/>
      </c>
      <c r="B952" s="243" t="str">
        <f t="shared" si="131"/>
        <v/>
      </c>
      <c r="C952" s="243" t="str">
        <f t="shared" si="132"/>
        <v/>
      </c>
      <c r="D952" s="243" t="str">
        <f t="shared" si="133"/>
        <v/>
      </c>
      <c r="E952" s="265" t="str">
        <f>IF($A952="","",SUMIFS(Txn[Signed Units],Txn[Key],$A952))</f>
        <v/>
      </c>
      <c r="F952" s="287" t="str">
        <f>IF($A952="","",SUMIFS(Txn[Buy Cost],Txn[Key],$A952))</f>
        <v/>
      </c>
      <c r="G952" s="287" t="str">
        <f>IF($A952="","",SUMIFS(Txn[Sell Proceeds],Txn[Key],$A952))</f>
        <v/>
      </c>
      <c r="H952" s="288" t="str">
        <f>IF($A952="","",IFERROR(INDEX(Prices[Current Price],MATCH($A952,Prices[Key],0)),0))</f>
        <v/>
      </c>
      <c r="I952" s="289" t="str">
        <f>IF($A952="","",IFERROR(INDEX(Prices[FX to SGD],MATCH($A952,Prices[Key],0)),1))</f>
        <v/>
      </c>
      <c r="J952" s="287" t="str">
        <f t="shared" si="134"/>
        <v/>
      </c>
      <c r="K952" s="287" t="str">
        <f t="shared" si="135"/>
        <v/>
      </c>
      <c r="L952" s="287" t="str">
        <f t="shared" si="136"/>
        <v/>
      </c>
      <c r="M952" s="290" t="str">
        <f t="shared" si="137"/>
        <v/>
      </c>
      <c r="N952" t="str">
        <f>IF($A952="","",IFERROR(INDEX(Prices[Category],MATCH($A952,Prices[Key],0)),"Uncategorized"))</f>
        <v/>
      </c>
      <c r="O952" s="291" t="str">
        <f t="shared" si="138"/>
        <v/>
      </c>
      <c r="P952" s="291" t="str">
        <f t="shared" si="139"/>
        <v/>
      </c>
    </row>
    <row r="953" spans="1:16" ht="15" customHeight="1" x14ac:dyDescent="0.2">
      <c r="A953" s="243" t="str">
        <f>IFERROR(INDEX('All Ticker P&amp;L'!$A$2:$A$1001,MATCH(ROWS($A$2:A953),'All Ticker P&amp;L'!$N$2:$N$1001,0)),"")</f>
        <v/>
      </c>
      <c r="B953" s="243" t="str">
        <f t="shared" si="131"/>
        <v/>
      </c>
      <c r="C953" s="243" t="str">
        <f t="shared" si="132"/>
        <v/>
      </c>
      <c r="D953" s="243" t="str">
        <f t="shared" si="133"/>
        <v/>
      </c>
      <c r="E953" s="265" t="str">
        <f>IF($A953="","",SUMIFS(Txn[Signed Units],Txn[Key],$A953))</f>
        <v/>
      </c>
      <c r="F953" s="287" t="str">
        <f>IF($A953="","",SUMIFS(Txn[Buy Cost],Txn[Key],$A953))</f>
        <v/>
      </c>
      <c r="G953" s="287" t="str">
        <f>IF($A953="","",SUMIFS(Txn[Sell Proceeds],Txn[Key],$A953))</f>
        <v/>
      </c>
      <c r="H953" s="288" t="str">
        <f>IF($A953="","",IFERROR(INDEX(Prices[Current Price],MATCH($A953,Prices[Key],0)),0))</f>
        <v/>
      </c>
      <c r="I953" s="289" t="str">
        <f>IF($A953="","",IFERROR(INDEX(Prices[FX to SGD],MATCH($A953,Prices[Key],0)),1))</f>
        <v/>
      </c>
      <c r="J953" s="287" t="str">
        <f t="shared" si="134"/>
        <v/>
      </c>
      <c r="K953" s="287" t="str">
        <f t="shared" si="135"/>
        <v/>
      </c>
      <c r="L953" s="287" t="str">
        <f t="shared" si="136"/>
        <v/>
      </c>
      <c r="M953" s="290" t="str">
        <f t="shared" si="137"/>
        <v/>
      </c>
      <c r="N953" t="str">
        <f>IF($A953="","",IFERROR(INDEX(Prices[Category],MATCH($A953,Prices[Key],0)),"Uncategorized"))</f>
        <v/>
      </c>
      <c r="O953" s="291" t="str">
        <f t="shared" si="138"/>
        <v/>
      </c>
      <c r="P953" s="291" t="str">
        <f t="shared" si="139"/>
        <v/>
      </c>
    </row>
    <row r="954" spans="1:16" ht="15" customHeight="1" x14ac:dyDescent="0.2">
      <c r="A954" s="243" t="str">
        <f>IFERROR(INDEX('All Ticker P&amp;L'!$A$2:$A$1001,MATCH(ROWS($A$2:A954),'All Ticker P&amp;L'!$N$2:$N$1001,0)),"")</f>
        <v/>
      </c>
      <c r="B954" s="243" t="str">
        <f t="shared" si="131"/>
        <v/>
      </c>
      <c r="C954" s="243" t="str">
        <f t="shared" si="132"/>
        <v/>
      </c>
      <c r="D954" s="243" t="str">
        <f t="shared" si="133"/>
        <v/>
      </c>
      <c r="E954" s="265" t="str">
        <f>IF($A954="","",SUMIFS(Txn[Signed Units],Txn[Key],$A954))</f>
        <v/>
      </c>
      <c r="F954" s="287" t="str">
        <f>IF($A954="","",SUMIFS(Txn[Buy Cost],Txn[Key],$A954))</f>
        <v/>
      </c>
      <c r="G954" s="287" t="str">
        <f>IF($A954="","",SUMIFS(Txn[Sell Proceeds],Txn[Key],$A954))</f>
        <v/>
      </c>
      <c r="H954" s="288" t="str">
        <f>IF($A954="","",IFERROR(INDEX(Prices[Current Price],MATCH($A954,Prices[Key],0)),0))</f>
        <v/>
      </c>
      <c r="I954" s="289" t="str">
        <f>IF($A954="","",IFERROR(INDEX(Prices[FX to SGD],MATCH($A954,Prices[Key],0)),1))</f>
        <v/>
      </c>
      <c r="J954" s="287" t="str">
        <f t="shared" si="134"/>
        <v/>
      </c>
      <c r="K954" s="287" t="str">
        <f t="shared" si="135"/>
        <v/>
      </c>
      <c r="L954" s="287" t="str">
        <f t="shared" si="136"/>
        <v/>
      </c>
      <c r="M954" s="290" t="str">
        <f t="shared" si="137"/>
        <v/>
      </c>
      <c r="N954" t="str">
        <f>IF($A954="","",IFERROR(INDEX(Prices[Category],MATCH($A954,Prices[Key],0)),"Uncategorized"))</f>
        <v/>
      </c>
      <c r="O954" s="291" t="str">
        <f t="shared" si="138"/>
        <v/>
      </c>
      <c r="P954" s="291" t="str">
        <f t="shared" si="139"/>
        <v/>
      </c>
    </row>
    <row r="955" spans="1:16" ht="15" customHeight="1" x14ac:dyDescent="0.2">
      <c r="A955" s="243" t="str">
        <f>IFERROR(INDEX('All Ticker P&amp;L'!$A$2:$A$1001,MATCH(ROWS($A$2:A955),'All Ticker P&amp;L'!$N$2:$N$1001,0)),"")</f>
        <v/>
      </c>
      <c r="B955" s="243" t="str">
        <f t="shared" si="131"/>
        <v/>
      </c>
      <c r="C955" s="243" t="str">
        <f t="shared" si="132"/>
        <v/>
      </c>
      <c r="D955" s="243" t="str">
        <f t="shared" si="133"/>
        <v/>
      </c>
      <c r="E955" s="265" t="str">
        <f>IF($A955="","",SUMIFS(Txn[Signed Units],Txn[Key],$A955))</f>
        <v/>
      </c>
      <c r="F955" s="287" t="str">
        <f>IF($A955="","",SUMIFS(Txn[Buy Cost],Txn[Key],$A955))</f>
        <v/>
      </c>
      <c r="G955" s="287" t="str">
        <f>IF($A955="","",SUMIFS(Txn[Sell Proceeds],Txn[Key],$A955))</f>
        <v/>
      </c>
      <c r="H955" s="288" t="str">
        <f>IF($A955="","",IFERROR(INDEX(Prices[Current Price],MATCH($A955,Prices[Key],0)),0))</f>
        <v/>
      </c>
      <c r="I955" s="289" t="str">
        <f>IF($A955="","",IFERROR(INDEX(Prices[FX to SGD],MATCH($A955,Prices[Key],0)),1))</f>
        <v/>
      </c>
      <c r="J955" s="287" t="str">
        <f t="shared" si="134"/>
        <v/>
      </c>
      <c r="K955" s="287" t="str">
        <f t="shared" si="135"/>
        <v/>
      </c>
      <c r="L955" s="287" t="str">
        <f t="shared" si="136"/>
        <v/>
      </c>
      <c r="M955" s="290" t="str">
        <f t="shared" si="137"/>
        <v/>
      </c>
      <c r="N955" t="str">
        <f>IF($A955="","",IFERROR(INDEX(Prices[Category],MATCH($A955,Prices[Key],0)),"Uncategorized"))</f>
        <v/>
      </c>
      <c r="O955" s="291" t="str">
        <f t="shared" si="138"/>
        <v/>
      </c>
      <c r="P955" s="291" t="str">
        <f t="shared" si="139"/>
        <v/>
      </c>
    </row>
    <row r="956" spans="1:16" ht="15" customHeight="1" x14ac:dyDescent="0.2">
      <c r="A956" s="243" t="str">
        <f>IFERROR(INDEX('All Ticker P&amp;L'!$A$2:$A$1001,MATCH(ROWS($A$2:A956),'All Ticker P&amp;L'!$N$2:$N$1001,0)),"")</f>
        <v/>
      </c>
      <c r="B956" s="243" t="str">
        <f t="shared" si="131"/>
        <v/>
      </c>
      <c r="C956" s="243" t="str">
        <f t="shared" si="132"/>
        <v/>
      </c>
      <c r="D956" s="243" t="str">
        <f t="shared" si="133"/>
        <v/>
      </c>
      <c r="E956" s="265" t="str">
        <f>IF($A956="","",SUMIFS(Txn[Signed Units],Txn[Key],$A956))</f>
        <v/>
      </c>
      <c r="F956" s="287" t="str">
        <f>IF($A956="","",SUMIFS(Txn[Buy Cost],Txn[Key],$A956))</f>
        <v/>
      </c>
      <c r="G956" s="287" t="str">
        <f>IF($A956="","",SUMIFS(Txn[Sell Proceeds],Txn[Key],$A956))</f>
        <v/>
      </c>
      <c r="H956" s="288" t="str">
        <f>IF($A956="","",IFERROR(INDEX(Prices[Current Price],MATCH($A956,Prices[Key],0)),0))</f>
        <v/>
      </c>
      <c r="I956" s="289" t="str">
        <f>IF($A956="","",IFERROR(INDEX(Prices[FX to SGD],MATCH($A956,Prices[Key],0)),1))</f>
        <v/>
      </c>
      <c r="J956" s="287" t="str">
        <f t="shared" si="134"/>
        <v/>
      </c>
      <c r="K956" s="287" t="str">
        <f t="shared" si="135"/>
        <v/>
      </c>
      <c r="L956" s="287" t="str">
        <f t="shared" si="136"/>
        <v/>
      </c>
      <c r="M956" s="290" t="str">
        <f t="shared" si="137"/>
        <v/>
      </c>
      <c r="N956" t="str">
        <f>IF($A956="","",IFERROR(INDEX(Prices[Category],MATCH($A956,Prices[Key],0)),"Uncategorized"))</f>
        <v/>
      </c>
      <c r="O956" s="291" t="str">
        <f t="shared" si="138"/>
        <v/>
      </c>
      <c r="P956" s="291" t="str">
        <f t="shared" si="139"/>
        <v/>
      </c>
    </row>
    <row r="957" spans="1:16" ht="15" customHeight="1" x14ac:dyDescent="0.2">
      <c r="A957" s="243" t="str">
        <f>IFERROR(INDEX('All Ticker P&amp;L'!$A$2:$A$1001,MATCH(ROWS($A$2:A957),'All Ticker P&amp;L'!$N$2:$N$1001,0)),"")</f>
        <v/>
      </c>
      <c r="B957" s="243" t="str">
        <f t="shared" si="131"/>
        <v/>
      </c>
      <c r="C957" s="243" t="str">
        <f t="shared" si="132"/>
        <v/>
      </c>
      <c r="D957" s="243" t="str">
        <f t="shared" si="133"/>
        <v/>
      </c>
      <c r="E957" s="265" t="str">
        <f>IF($A957="","",SUMIFS(Txn[Signed Units],Txn[Key],$A957))</f>
        <v/>
      </c>
      <c r="F957" s="287" t="str">
        <f>IF($A957="","",SUMIFS(Txn[Buy Cost],Txn[Key],$A957))</f>
        <v/>
      </c>
      <c r="G957" s="287" t="str">
        <f>IF($A957="","",SUMIFS(Txn[Sell Proceeds],Txn[Key],$A957))</f>
        <v/>
      </c>
      <c r="H957" s="288" t="str">
        <f>IF($A957="","",IFERROR(INDEX(Prices[Current Price],MATCH($A957,Prices[Key],0)),0))</f>
        <v/>
      </c>
      <c r="I957" s="289" t="str">
        <f>IF($A957="","",IFERROR(INDEX(Prices[FX to SGD],MATCH($A957,Prices[Key],0)),1))</f>
        <v/>
      </c>
      <c r="J957" s="287" t="str">
        <f t="shared" si="134"/>
        <v/>
      </c>
      <c r="K957" s="287" t="str">
        <f t="shared" si="135"/>
        <v/>
      </c>
      <c r="L957" s="287" t="str">
        <f t="shared" si="136"/>
        <v/>
      </c>
      <c r="M957" s="290" t="str">
        <f t="shared" si="137"/>
        <v/>
      </c>
      <c r="N957" t="str">
        <f>IF($A957="","",IFERROR(INDEX(Prices[Category],MATCH($A957,Prices[Key],0)),"Uncategorized"))</f>
        <v/>
      </c>
      <c r="O957" s="291" t="str">
        <f t="shared" si="138"/>
        <v/>
      </c>
      <c r="P957" s="291" t="str">
        <f t="shared" si="139"/>
        <v/>
      </c>
    </row>
    <row r="958" spans="1:16" ht="15" customHeight="1" x14ac:dyDescent="0.2">
      <c r="A958" s="243" t="str">
        <f>IFERROR(INDEX('All Ticker P&amp;L'!$A$2:$A$1001,MATCH(ROWS($A$2:A958),'All Ticker P&amp;L'!$N$2:$N$1001,0)),"")</f>
        <v/>
      </c>
      <c r="B958" s="243" t="str">
        <f t="shared" si="131"/>
        <v/>
      </c>
      <c r="C958" s="243" t="str">
        <f t="shared" si="132"/>
        <v/>
      </c>
      <c r="D958" s="243" t="str">
        <f t="shared" si="133"/>
        <v/>
      </c>
      <c r="E958" s="265" t="str">
        <f>IF($A958="","",SUMIFS(Txn[Signed Units],Txn[Key],$A958))</f>
        <v/>
      </c>
      <c r="F958" s="287" t="str">
        <f>IF($A958="","",SUMIFS(Txn[Buy Cost],Txn[Key],$A958))</f>
        <v/>
      </c>
      <c r="G958" s="287" t="str">
        <f>IF($A958="","",SUMIFS(Txn[Sell Proceeds],Txn[Key],$A958))</f>
        <v/>
      </c>
      <c r="H958" s="288" t="str">
        <f>IF($A958="","",IFERROR(INDEX(Prices[Current Price],MATCH($A958,Prices[Key],0)),0))</f>
        <v/>
      </c>
      <c r="I958" s="289" t="str">
        <f>IF($A958="","",IFERROR(INDEX(Prices[FX to SGD],MATCH($A958,Prices[Key],0)),1))</f>
        <v/>
      </c>
      <c r="J958" s="287" t="str">
        <f t="shared" si="134"/>
        <v/>
      </c>
      <c r="K958" s="287" t="str">
        <f t="shared" si="135"/>
        <v/>
      </c>
      <c r="L958" s="287" t="str">
        <f t="shared" si="136"/>
        <v/>
      </c>
      <c r="M958" s="290" t="str">
        <f t="shared" si="137"/>
        <v/>
      </c>
      <c r="N958" t="str">
        <f>IF($A958="","",IFERROR(INDEX(Prices[Category],MATCH($A958,Prices[Key],0)),"Uncategorized"))</f>
        <v/>
      </c>
      <c r="O958" s="291" t="str">
        <f t="shared" si="138"/>
        <v/>
      </c>
      <c r="P958" s="291" t="str">
        <f t="shared" si="139"/>
        <v/>
      </c>
    </row>
    <row r="959" spans="1:16" ht="15" customHeight="1" x14ac:dyDescent="0.2">
      <c r="A959" s="243" t="str">
        <f>IFERROR(INDEX('All Ticker P&amp;L'!$A$2:$A$1001,MATCH(ROWS($A$2:A959),'All Ticker P&amp;L'!$N$2:$N$1001,0)),"")</f>
        <v/>
      </c>
      <c r="B959" s="243" t="str">
        <f t="shared" si="131"/>
        <v/>
      </c>
      <c r="C959" s="243" t="str">
        <f t="shared" si="132"/>
        <v/>
      </c>
      <c r="D959" s="243" t="str">
        <f t="shared" si="133"/>
        <v/>
      </c>
      <c r="E959" s="265" t="str">
        <f>IF($A959="","",SUMIFS(Txn[Signed Units],Txn[Key],$A959))</f>
        <v/>
      </c>
      <c r="F959" s="287" t="str">
        <f>IF($A959="","",SUMIFS(Txn[Buy Cost],Txn[Key],$A959))</f>
        <v/>
      </c>
      <c r="G959" s="287" t="str">
        <f>IF($A959="","",SUMIFS(Txn[Sell Proceeds],Txn[Key],$A959))</f>
        <v/>
      </c>
      <c r="H959" s="288" t="str">
        <f>IF($A959="","",IFERROR(INDEX(Prices[Current Price],MATCH($A959,Prices[Key],0)),0))</f>
        <v/>
      </c>
      <c r="I959" s="289" t="str">
        <f>IF($A959="","",IFERROR(INDEX(Prices[FX to SGD],MATCH($A959,Prices[Key],0)),1))</f>
        <v/>
      </c>
      <c r="J959" s="287" t="str">
        <f t="shared" si="134"/>
        <v/>
      </c>
      <c r="K959" s="287" t="str">
        <f t="shared" si="135"/>
        <v/>
      </c>
      <c r="L959" s="287" t="str">
        <f t="shared" si="136"/>
        <v/>
      </c>
      <c r="M959" s="290" t="str">
        <f t="shared" si="137"/>
        <v/>
      </c>
      <c r="N959" t="str">
        <f>IF($A959="","",IFERROR(INDEX(Prices[Category],MATCH($A959,Prices[Key],0)),"Uncategorized"))</f>
        <v/>
      </c>
      <c r="O959" s="291" t="str">
        <f t="shared" si="138"/>
        <v/>
      </c>
      <c r="P959" s="291" t="str">
        <f t="shared" si="139"/>
        <v/>
      </c>
    </row>
    <row r="960" spans="1:16" ht="15" customHeight="1" x14ac:dyDescent="0.2">
      <c r="A960" s="243" t="str">
        <f>IFERROR(INDEX('All Ticker P&amp;L'!$A$2:$A$1001,MATCH(ROWS($A$2:A960),'All Ticker P&amp;L'!$N$2:$N$1001,0)),"")</f>
        <v/>
      </c>
      <c r="B960" s="243" t="str">
        <f t="shared" si="131"/>
        <v/>
      </c>
      <c r="C960" s="243" t="str">
        <f t="shared" si="132"/>
        <v/>
      </c>
      <c r="D960" s="243" t="str">
        <f t="shared" si="133"/>
        <v/>
      </c>
      <c r="E960" s="265" t="str">
        <f>IF($A960="","",SUMIFS(Txn[Signed Units],Txn[Key],$A960))</f>
        <v/>
      </c>
      <c r="F960" s="287" t="str">
        <f>IF($A960="","",SUMIFS(Txn[Buy Cost],Txn[Key],$A960))</f>
        <v/>
      </c>
      <c r="G960" s="287" t="str">
        <f>IF($A960="","",SUMIFS(Txn[Sell Proceeds],Txn[Key],$A960))</f>
        <v/>
      </c>
      <c r="H960" s="288" t="str">
        <f>IF($A960="","",IFERROR(INDEX(Prices[Current Price],MATCH($A960,Prices[Key],0)),0))</f>
        <v/>
      </c>
      <c r="I960" s="289" t="str">
        <f>IF($A960="","",IFERROR(INDEX(Prices[FX to SGD],MATCH($A960,Prices[Key],0)),1))</f>
        <v/>
      </c>
      <c r="J960" s="287" t="str">
        <f t="shared" si="134"/>
        <v/>
      </c>
      <c r="K960" s="287" t="str">
        <f t="shared" si="135"/>
        <v/>
      </c>
      <c r="L960" s="287" t="str">
        <f t="shared" si="136"/>
        <v/>
      </c>
      <c r="M960" s="290" t="str">
        <f t="shared" si="137"/>
        <v/>
      </c>
      <c r="N960" t="str">
        <f>IF($A960="","",IFERROR(INDEX(Prices[Category],MATCH($A960,Prices[Key],0)),"Uncategorized"))</f>
        <v/>
      </c>
      <c r="O960" s="291" t="str">
        <f t="shared" si="138"/>
        <v/>
      </c>
      <c r="P960" s="291" t="str">
        <f t="shared" si="139"/>
        <v/>
      </c>
    </row>
    <row r="961" spans="1:16" ht="15" customHeight="1" x14ac:dyDescent="0.2">
      <c r="A961" s="243" t="str">
        <f>IFERROR(INDEX('All Ticker P&amp;L'!$A$2:$A$1001,MATCH(ROWS($A$2:A961),'All Ticker P&amp;L'!$N$2:$N$1001,0)),"")</f>
        <v/>
      </c>
      <c r="B961" s="243" t="str">
        <f t="shared" si="131"/>
        <v/>
      </c>
      <c r="C961" s="243" t="str">
        <f t="shared" si="132"/>
        <v/>
      </c>
      <c r="D961" s="243" t="str">
        <f t="shared" si="133"/>
        <v/>
      </c>
      <c r="E961" s="265" t="str">
        <f>IF($A961="","",SUMIFS(Txn[Signed Units],Txn[Key],$A961))</f>
        <v/>
      </c>
      <c r="F961" s="287" t="str">
        <f>IF($A961="","",SUMIFS(Txn[Buy Cost],Txn[Key],$A961))</f>
        <v/>
      </c>
      <c r="G961" s="287" t="str">
        <f>IF($A961="","",SUMIFS(Txn[Sell Proceeds],Txn[Key],$A961))</f>
        <v/>
      </c>
      <c r="H961" s="288" t="str">
        <f>IF($A961="","",IFERROR(INDEX(Prices[Current Price],MATCH($A961,Prices[Key],0)),0))</f>
        <v/>
      </c>
      <c r="I961" s="289" t="str">
        <f>IF($A961="","",IFERROR(INDEX(Prices[FX to SGD],MATCH($A961,Prices[Key],0)),1))</f>
        <v/>
      </c>
      <c r="J961" s="287" t="str">
        <f t="shared" si="134"/>
        <v/>
      </c>
      <c r="K961" s="287" t="str">
        <f t="shared" si="135"/>
        <v/>
      </c>
      <c r="L961" s="287" t="str">
        <f t="shared" si="136"/>
        <v/>
      </c>
      <c r="M961" s="290" t="str">
        <f t="shared" si="137"/>
        <v/>
      </c>
      <c r="N961" t="str">
        <f>IF($A961="","",IFERROR(INDEX(Prices[Category],MATCH($A961,Prices[Key],0)),"Uncategorized"))</f>
        <v/>
      </c>
      <c r="O961" s="291" t="str">
        <f t="shared" si="138"/>
        <v/>
      </c>
      <c r="P961" s="291" t="str">
        <f t="shared" si="139"/>
        <v/>
      </c>
    </row>
    <row r="962" spans="1:16" ht="15" customHeight="1" x14ac:dyDescent="0.2">
      <c r="A962" s="243" t="str">
        <f>IFERROR(INDEX('All Ticker P&amp;L'!$A$2:$A$1001,MATCH(ROWS($A$2:A962),'All Ticker P&amp;L'!$N$2:$N$1001,0)),"")</f>
        <v/>
      </c>
      <c r="B962" s="243" t="str">
        <f t="shared" ref="B962:B1001" si="140">IF($A962="","",LEFT($A962,FIND(":",$A962)-1))</f>
        <v/>
      </c>
      <c r="C962" s="243" t="str">
        <f t="shared" ref="C962:C1001" si="141">IF($A962="","",MID($A962,FIND(":",$A962)+1,FIND(":",$A962,FIND(":",$A962)+1)-FIND(":",$A962)-1))</f>
        <v/>
      </c>
      <c r="D962" s="243" t="str">
        <f t="shared" ref="D962:D1001" si="142">IF($A962="","",RIGHT($A962,LEN($A962)-FIND(":",$A962,FIND(":",$A962)+1)))</f>
        <v/>
      </c>
      <c r="E962" s="265" t="str">
        <f>IF($A962="","",SUMIFS(Txn[Signed Units],Txn[Key],$A962))</f>
        <v/>
      </c>
      <c r="F962" s="287" t="str">
        <f>IF($A962="","",SUMIFS(Txn[Buy Cost],Txn[Key],$A962))</f>
        <v/>
      </c>
      <c r="G962" s="287" t="str">
        <f>IF($A962="","",SUMIFS(Txn[Sell Proceeds],Txn[Key],$A962))</f>
        <v/>
      </c>
      <c r="H962" s="288" t="str">
        <f>IF($A962="","",IFERROR(INDEX(Prices[Current Price],MATCH($A962,Prices[Key],0)),0))</f>
        <v/>
      </c>
      <c r="I962" s="289" t="str">
        <f>IF($A962="","",IFERROR(INDEX(Prices[FX to SGD],MATCH($A962,Prices[Key],0)),1))</f>
        <v/>
      </c>
      <c r="J962" s="287" t="str">
        <f t="shared" ref="J962:J1001" si="143">IF($A962="","",E962*H962)</f>
        <v/>
      </c>
      <c r="K962" s="287" t="str">
        <f t="shared" ref="K962:K1025" si="144">IF($A962="","",J962+G962-F962)</f>
        <v/>
      </c>
      <c r="L962" s="287" t="str">
        <f t="shared" ref="L962:L1025" si="145">IF($A962="","",K962*I962)</f>
        <v/>
      </c>
      <c r="M962" s="290" t="str">
        <f t="shared" ref="M962:M1001" si="146">IF($A962="","",IFERROR(K962/F962,0))</f>
        <v/>
      </c>
      <c r="N962" t="str">
        <f>IF($A962="","",IFERROR(INDEX(Prices[Category],MATCH($A962,Prices[Key],0)),"Uncategorized"))</f>
        <v/>
      </c>
      <c r="O962" s="291" t="str">
        <f t="shared" ref="O962:O1001" si="147">IF($A962="","",$J962*$I962)</f>
        <v/>
      </c>
      <c r="P962" s="291" t="str">
        <f t="shared" ref="P962:P1001" si="148">IF($A962="","",$L962)</f>
        <v/>
      </c>
    </row>
    <row r="963" spans="1:16" ht="15" customHeight="1" x14ac:dyDescent="0.2">
      <c r="A963" s="243" t="str">
        <f>IFERROR(INDEX('All Ticker P&amp;L'!$A$2:$A$1001,MATCH(ROWS($A$2:A963),'All Ticker P&amp;L'!$N$2:$N$1001,0)),"")</f>
        <v/>
      </c>
      <c r="B963" s="243" t="str">
        <f t="shared" si="140"/>
        <v/>
      </c>
      <c r="C963" s="243" t="str">
        <f t="shared" si="141"/>
        <v/>
      </c>
      <c r="D963" s="243" t="str">
        <f t="shared" si="142"/>
        <v/>
      </c>
      <c r="E963" s="265" t="str">
        <f>IF($A963="","",SUMIFS(Txn[Signed Units],Txn[Key],$A963))</f>
        <v/>
      </c>
      <c r="F963" s="287" t="str">
        <f>IF($A963="","",SUMIFS(Txn[Buy Cost],Txn[Key],$A963))</f>
        <v/>
      </c>
      <c r="G963" s="287" t="str">
        <f>IF($A963="","",SUMIFS(Txn[Sell Proceeds],Txn[Key],$A963))</f>
        <v/>
      </c>
      <c r="H963" s="288" t="str">
        <f>IF($A963="","",IFERROR(INDEX(Prices[Current Price],MATCH($A963,Prices[Key],0)),0))</f>
        <v/>
      </c>
      <c r="I963" s="289" t="str">
        <f>IF($A963="","",IFERROR(INDEX(Prices[FX to SGD],MATCH($A963,Prices[Key],0)),1))</f>
        <v/>
      </c>
      <c r="J963" s="287" t="str">
        <f t="shared" si="143"/>
        <v/>
      </c>
      <c r="K963" s="287" t="str">
        <f t="shared" si="144"/>
        <v/>
      </c>
      <c r="L963" s="287" t="str">
        <f t="shared" si="145"/>
        <v/>
      </c>
      <c r="M963" s="290" t="str">
        <f t="shared" si="146"/>
        <v/>
      </c>
      <c r="N963" t="str">
        <f>IF($A963="","",IFERROR(INDEX(Prices[Category],MATCH($A963,Prices[Key],0)),"Uncategorized"))</f>
        <v/>
      </c>
      <c r="O963" s="291" t="str">
        <f t="shared" si="147"/>
        <v/>
      </c>
      <c r="P963" s="291" t="str">
        <f t="shared" si="148"/>
        <v/>
      </c>
    </row>
    <row r="964" spans="1:16" ht="15" customHeight="1" x14ac:dyDescent="0.2">
      <c r="A964" s="243" t="str">
        <f>IFERROR(INDEX('All Ticker P&amp;L'!$A$2:$A$1001,MATCH(ROWS($A$2:A964),'All Ticker P&amp;L'!$N$2:$N$1001,0)),"")</f>
        <v/>
      </c>
      <c r="B964" s="243" t="str">
        <f t="shared" si="140"/>
        <v/>
      </c>
      <c r="C964" s="243" t="str">
        <f t="shared" si="141"/>
        <v/>
      </c>
      <c r="D964" s="243" t="str">
        <f t="shared" si="142"/>
        <v/>
      </c>
      <c r="E964" s="265" t="str">
        <f>IF($A964="","",SUMIFS(Txn[Signed Units],Txn[Key],$A964))</f>
        <v/>
      </c>
      <c r="F964" s="287" t="str">
        <f>IF($A964="","",SUMIFS(Txn[Buy Cost],Txn[Key],$A964))</f>
        <v/>
      </c>
      <c r="G964" s="287" t="str">
        <f>IF($A964="","",SUMIFS(Txn[Sell Proceeds],Txn[Key],$A964))</f>
        <v/>
      </c>
      <c r="H964" s="288" t="str">
        <f>IF($A964="","",IFERROR(INDEX(Prices[Current Price],MATCH($A964,Prices[Key],0)),0))</f>
        <v/>
      </c>
      <c r="I964" s="289" t="str">
        <f>IF($A964="","",IFERROR(INDEX(Prices[FX to SGD],MATCH($A964,Prices[Key],0)),1))</f>
        <v/>
      </c>
      <c r="J964" s="287" t="str">
        <f t="shared" si="143"/>
        <v/>
      </c>
      <c r="K964" s="287" t="str">
        <f t="shared" si="144"/>
        <v/>
      </c>
      <c r="L964" s="287" t="str">
        <f t="shared" si="145"/>
        <v/>
      </c>
      <c r="M964" s="290" t="str">
        <f t="shared" si="146"/>
        <v/>
      </c>
      <c r="N964" t="str">
        <f>IF($A964="","",IFERROR(INDEX(Prices[Category],MATCH($A964,Prices[Key],0)),"Uncategorized"))</f>
        <v/>
      </c>
      <c r="O964" s="291" t="str">
        <f t="shared" si="147"/>
        <v/>
      </c>
      <c r="P964" s="291" t="str">
        <f t="shared" si="148"/>
        <v/>
      </c>
    </row>
    <row r="965" spans="1:16" ht="15" customHeight="1" x14ac:dyDescent="0.2">
      <c r="A965" s="243" t="str">
        <f>IFERROR(INDEX('All Ticker P&amp;L'!$A$2:$A$1001,MATCH(ROWS($A$2:A965),'All Ticker P&amp;L'!$N$2:$N$1001,0)),"")</f>
        <v/>
      </c>
      <c r="B965" s="243" t="str">
        <f t="shared" si="140"/>
        <v/>
      </c>
      <c r="C965" s="243" t="str">
        <f t="shared" si="141"/>
        <v/>
      </c>
      <c r="D965" s="243" t="str">
        <f t="shared" si="142"/>
        <v/>
      </c>
      <c r="E965" s="265" t="str">
        <f>IF($A965="","",SUMIFS(Txn[Signed Units],Txn[Key],$A965))</f>
        <v/>
      </c>
      <c r="F965" s="287" t="str">
        <f>IF($A965="","",SUMIFS(Txn[Buy Cost],Txn[Key],$A965))</f>
        <v/>
      </c>
      <c r="G965" s="287" t="str">
        <f>IF($A965="","",SUMIFS(Txn[Sell Proceeds],Txn[Key],$A965))</f>
        <v/>
      </c>
      <c r="H965" s="288" t="str">
        <f>IF($A965="","",IFERROR(INDEX(Prices[Current Price],MATCH($A965,Prices[Key],0)),0))</f>
        <v/>
      </c>
      <c r="I965" s="289" t="str">
        <f>IF($A965="","",IFERROR(INDEX(Prices[FX to SGD],MATCH($A965,Prices[Key],0)),1))</f>
        <v/>
      </c>
      <c r="J965" s="287" t="str">
        <f t="shared" si="143"/>
        <v/>
      </c>
      <c r="K965" s="287" t="str">
        <f t="shared" si="144"/>
        <v/>
      </c>
      <c r="L965" s="287" t="str">
        <f t="shared" si="145"/>
        <v/>
      </c>
      <c r="M965" s="290" t="str">
        <f t="shared" si="146"/>
        <v/>
      </c>
      <c r="N965" t="str">
        <f>IF($A965="","",IFERROR(INDEX(Prices[Category],MATCH($A965,Prices[Key],0)),"Uncategorized"))</f>
        <v/>
      </c>
      <c r="O965" s="291" t="str">
        <f t="shared" si="147"/>
        <v/>
      </c>
      <c r="P965" s="291" t="str">
        <f t="shared" si="148"/>
        <v/>
      </c>
    </row>
    <row r="966" spans="1:16" ht="15" customHeight="1" x14ac:dyDescent="0.2">
      <c r="A966" s="243" t="str">
        <f>IFERROR(INDEX('All Ticker P&amp;L'!$A$2:$A$1001,MATCH(ROWS($A$2:A966),'All Ticker P&amp;L'!$N$2:$N$1001,0)),"")</f>
        <v/>
      </c>
      <c r="B966" s="243" t="str">
        <f t="shared" si="140"/>
        <v/>
      </c>
      <c r="C966" s="243" t="str">
        <f t="shared" si="141"/>
        <v/>
      </c>
      <c r="D966" s="243" t="str">
        <f t="shared" si="142"/>
        <v/>
      </c>
      <c r="E966" s="265" t="str">
        <f>IF($A966="","",SUMIFS(Txn[Signed Units],Txn[Key],$A966))</f>
        <v/>
      </c>
      <c r="F966" s="287" t="str">
        <f>IF($A966="","",SUMIFS(Txn[Buy Cost],Txn[Key],$A966))</f>
        <v/>
      </c>
      <c r="G966" s="287" t="str">
        <f>IF($A966="","",SUMIFS(Txn[Sell Proceeds],Txn[Key],$A966))</f>
        <v/>
      </c>
      <c r="H966" s="288" t="str">
        <f>IF($A966="","",IFERROR(INDEX(Prices[Current Price],MATCH($A966,Prices[Key],0)),0))</f>
        <v/>
      </c>
      <c r="I966" s="289" t="str">
        <f>IF($A966="","",IFERROR(INDEX(Prices[FX to SGD],MATCH($A966,Prices[Key],0)),1))</f>
        <v/>
      </c>
      <c r="J966" s="287" t="str">
        <f t="shared" si="143"/>
        <v/>
      </c>
      <c r="K966" s="287" t="str">
        <f t="shared" si="144"/>
        <v/>
      </c>
      <c r="L966" s="287" t="str">
        <f t="shared" si="145"/>
        <v/>
      </c>
      <c r="M966" s="290" t="str">
        <f t="shared" si="146"/>
        <v/>
      </c>
      <c r="N966" t="str">
        <f>IF($A966="","",IFERROR(INDEX(Prices[Category],MATCH($A966,Prices[Key],0)),"Uncategorized"))</f>
        <v/>
      </c>
      <c r="O966" s="291" t="str">
        <f t="shared" si="147"/>
        <v/>
      </c>
      <c r="P966" s="291" t="str">
        <f t="shared" si="148"/>
        <v/>
      </c>
    </row>
    <row r="967" spans="1:16" ht="15" customHeight="1" x14ac:dyDescent="0.2">
      <c r="A967" s="243" t="str">
        <f>IFERROR(INDEX('All Ticker P&amp;L'!$A$2:$A$1001,MATCH(ROWS($A$2:A967),'All Ticker P&amp;L'!$N$2:$N$1001,0)),"")</f>
        <v/>
      </c>
      <c r="B967" s="243" t="str">
        <f t="shared" si="140"/>
        <v/>
      </c>
      <c r="C967" s="243" t="str">
        <f t="shared" si="141"/>
        <v/>
      </c>
      <c r="D967" s="243" t="str">
        <f t="shared" si="142"/>
        <v/>
      </c>
      <c r="E967" s="265" t="str">
        <f>IF($A967="","",SUMIFS(Txn[Signed Units],Txn[Key],$A967))</f>
        <v/>
      </c>
      <c r="F967" s="287" t="str">
        <f>IF($A967="","",SUMIFS(Txn[Buy Cost],Txn[Key],$A967))</f>
        <v/>
      </c>
      <c r="G967" s="287" t="str">
        <f>IF($A967="","",SUMIFS(Txn[Sell Proceeds],Txn[Key],$A967))</f>
        <v/>
      </c>
      <c r="H967" s="288" t="str">
        <f>IF($A967="","",IFERROR(INDEX(Prices[Current Price],MATCH($A967,Prices[Key],0)),0))</f>
        <v/>
      </c>
      <c r="I967" s="289" t="str">
        <f>IF($A967="","",IFERROR(INDEX(Prices[FX to SGD],MATCH($A967,Prices[Key],0)),1))</f>
        <v/>
      </c>
      <c r="J967" s="287" t="str">
        <f t="shared" si="143"/>
        <v/>
      </c>
      <c r="K967" s="287" t="str">
        <f t="shared" si="144"/>
        <v/>
      </c>
      <c r="L967" s="287" t="str">
        <f t="shared" si="145"/>
        <v/>
      </c>
      <c r="M967" s="290" t="str">
        <f t="shared" si="146"/>
        <v/>
      </c>
      <c r="N967" t="str">
        <f>IF($A967="","",IFERROR(INDEX(Prices[Category],MATCH($A967,Prices[Key],0)),"Uncategorized"))</f>
        <v/>
      </c>
      <c r="O967" s="291" t="str">
        <f t="shared" si="147"/>
        <v/>
      </c>
      <c r="P967" s="291" t="str">
        <f t="shared" si="148"/>
        <v/>
      </c>
    </row>
    <row r="968" spans="1:16" ht="15" customHeight="1" x14ac:dyDescent="0.2">
      <c r="A968" s="243" t="str">
        <f>IFERROR(INDEX('All Ticker P&amp;L'!$A$2:$A$1001,MATCH(ROWS($A$2:A968),'All Ticker P&amp;L'!$N$2:$N$1001,0)),"")</f>
        <v/>
      </c>
      <c r="B968" s="243" t="str">
        <f t="shared" si="140"/>
        <v/>
      </c>
      <c r="C968" s="243" t="str">
        <f t="shared" si="141"/>
        <v/>
      </c>
      <c r="D968" s="243" t="str">
        <f t="shared" si="142"/>
        <v/>
      </c>
      <c r="E968" s="265" t="str">
        <f>IF($A968="","",SUMIFS(Txn[Signed Units],Txn[Key],$A968))</f>
        <v/>
      </c>
      <c r="F968" s="287" t="str">
        <f>IF($A968="","",SUMIFS(Txn[Buy Cost],Txn[Key],$A968))</f>
        <v/>
      </c>
      <c r="G968" s="287" t="str">
        <f>IF($A968="","",SUMIFS(Txn[Sell Proceeds],Txn[Key],$A968))</f>
        <v/>
      </c>
      <c r="H968" s="288" t="str">
        <f>IF($A968="","",IFERROR(INDEX(Prices[Current Price],MATCH($A968,Prices[Key],0)),0))</f>
        <v/>
      </c>
      <c r="I968" s="289" t="str">
        <f>IF($A968="","",IFERROR(INDEX(Prices[FX to SGD],MATCH($A968,Prices[Key],0)),1))</f>
        <v/>
      </c>
      <c r="J968" s="287" t="str">
        <f t="shared" si="143"/>
        <v/>
      </c>
      <c r="K968" s="287" t="str">
        <f t="shared" si="144"/>
        <v/>
      </c>
      <c r="L968" s="287" t="str">
        <f t="shared" si="145"/>
        <v/>
      </c>
      <c r="M968" s="290" t="str">
        <f t="shared" si="146"/>
        <v/>
      </c>
      <c r="N968" t="str">
        <f>IF($A968="","",IFERROR(INDEX(Prices[Category],MATCH($A968,Prices[Key],0)),"Uncategorized"))</f>
        <v/>
      </c>
      <c r="O968" s="291" t="str">
        <f t="shared" si="147"/>
        <v/>
      </c>
      <c r="P968" s="291" t="str">
        <f t="shared" si="148"/>
        <v/>
      </c>
    </row>
    <row r="969" spans="1:16" ht="15" customHeight="1" x14ac:dyDescent="0.2">
      <c r="A969" s="243" t="str">
        <f>IFERROR(INDEX('All Ticker P&amp;L'!$A$2:$A$1001,MATCH(ROWS($A$2:A969),'All Ticker P&amp;L'!$N$2:$N$1001,0)),"")</f>
        <v/>
      </c>
      <c r="B969" s="243" t="str">
        <f t="shared" si="140"/>
        <v/>
      </c>
      <c r="C969" s="243" t="str">
        <f t="shared" si="141"/>
        <v/>
      </c>
      <c r="D969" s="243" t="str">
        <f t="shared" si="142"/>
        <v/>
      </c>
      <c r="E969" s="265" t="str">
        <f>IF($A969="","",SUMIFS(Txn[Signed Units],Txn[Key],$A969))</f>
        <v/>
      </c>
      <c r="F969" s="287" t="str">
        <f>IF($A969="","",SUMIFS(Txn[Buy Cost],Txn[Key],$A969))</f>
        <v/>
      </c>
      <c r="G969" s="287" t="str">
        <f>IF($A969="","",SUMIFS(Txn[Sell Proceeds],Txn[Key],$A969))</f>
        <v/>
      </c>
      <c r="H969" s="288" t="str">
        <f>IF($A969="","",IFERROR(INDEX(Prices[Current Price],MATCH($A969,Prices[Key],0)),0))</f>
        <v/>
      </c>
      <c r="I969" s="289" t="str">
        <f>IF($A969="","",IFERROR(INDEX(Prices[FX to SGD],MATCH($A969,Prices[Key],0)),1))</f>
        <v/>
      </c>
      <c r="J969" s="287" t="str">
        <f t="shared" si="143"/>
        <v/>
      </c>
      <c r="K969" s="287" t="str">
        <f t="shared" si="144"/>
        <v/>
      </c>
      <c r="L969" s="287" t="str">
        <f t="shared" si="145"/>
        <v/>
      </c>
      <c r="M969" s="290" t="str">
        <f t="shared" si="146"/>
        <v/>
      </c>
      <c r="N969" t="str">
        <f>IF($A969="","",IFERROR(INDEX(Prices[Category],MATCH($A969,Prices[Key],0)),"Uncategorized"))</f>
        <v/>
      </c>
      <c r="O969" s="291" t="str">
        <f t="shared" si="147"/>
        <v/>
      </c>
      <c r="P969" s="291" t="str">
        <f t="shared" si="148"/>
        <v/>
      </c>
    </row>
    <row r="970" spans="1:16" ht="15" customHeight="1" x14ac:dyDescent="0.2">
      <c r="A970" s="243" t="str">
        <f>IFERROR(INDEX('All Ticker P&amp;L'!$A$2:$A$1001,MATCH(ROWS($A$2:A970),'All Ticker P&amp;L'!$N$2:$N$1001,0)),"")</f>
        <v/>
      </c>
      <c r="B970" s="243" t="str">
        <f t="shared" si="140"/>
        <v/>
      </c>
      <c r="C970" s="243" t="str">
        <f t="shared" si="141"/>
        <v/>
      </c>
      <c r="D970" s="243" t="str">
        <f t="shared" si="142"/>
        <v/>
      </c>
      <c r="E970" s="265" t="str">
        <f>IF($A970="","",SUMIFS(Txn[Signed Units],Txn[Key],$A970))</f>
        <v/>
      </c>
      <c r="F970" s="287" t="str">
        <f>IF($A970="","",SUMIFS(Txn[Buy Cost],Txn[Key],$A970))</f>
        <v/>
      </c>
      <c r="G970" s="287" t="str">
        <f>IF($A970="","",SUMIFS(Txn[Sell Proceeds],Txn[Key],$A970))</f>
        <v/>
      </c>
      <c r="H970" s="288" t="str">
        <f>IF($A970="","",IFERROR(INDEX(Prices[Current Price],MATCH($A970,Prices[Key],0)),0))</f>
        <v/>
      </c>
      <c r="I970" s="289" t="str">
        <f>IF($A970="","",IFERROR(INDEX(Prices[FX to SGD],MATCH($A970,Prices[Key],0)),1))</f>
        <v/>
      </c>
      <c r="J970" s="287" t="str">
        <f t="shared" si="143"/>
        <v/>
      </c>
      <c r="K970" s="287" t="str">
        <f t="shared" si="144"/>
        <v/>
      </c>
      <c r="L970" s="287" t="str">
        <f t="shared" si="145"/>
        <v/>
      </c>
      <c r="M970" s="290" t="str">
        <f t="shared" si="146"/>
        <v/>
      </c>
      <c r="N970" t="str">
        <f>IF($A970="","",IFERROR(INDEX(Prices[Category],MATCH($A970,Prices[Key],0)),"Uncategorized"))</f>
        <v/>
      </c>
      <c r="O970" s="291" t="str">
        <f t="shared" si="147"/>
        <v/>
      </c>
      <c r="P970" s="291" t="str">
        <f t="shared" si="148"/>
        <v/>
      </c>
    </row>
    <row r="971" spans="1:16" ht="15" customHeight="1" x14ac:dyDescent="0.2">
      <c r="A971" s="243" t="str">
        <f>IFERROR(INDEX('All Ticker P&amp;L'!$A$2:$A$1001,MATCH(ROWS($A$2:A971),'All Ticker P&amp;L'!$N$2:$N$1001,0)),"")</f>
        <v/>
      </c>
      <c r="B971" s="243" t="str">
        <f t="shared" si="140"/>
        <v/>
      </c>
      <c r="C971" s="243" t="str">
        <f t="shared" si="141"/>
        <v/>
      </c>
      <c r="D971" s="243" t="str">
        <f t="shared" si="142"/>
        <v/>
      </c>
      <c r="E971" s="265" t="str">
        <f>IF($A971="","",SUMIFS(Txn[Signed Units],Txn[Key],$A971))</f>
        <v/>
      </c>
      <c r="F971" s="287" t="str">
        <f>IF($A971="","",SUMIFS(Txn[Buy Cost],Txn[Key],$A971))</f>
        <v/>
      </c>
      <c r="G971" s="287" t="str">
        <f>IF($A971="","",SUMIFS(Txn[Sell Proceeds],Txn[Key],$A971))</f>
        <v/>
      </c>
      <c r="H971" s="288" t="str">
        <f>IF($A971="","",IFERROR(INDEX(Prices[Current Price],MATCH($A971,Prices[Key],0)),0))</f>
        <v/>
      </c>
      <c r="I971" s="289" t="str">
        <f>IF($A971="","",IFERROR(INDEX(Prices[FX to SGD],MATCH($A971,Prices[Key],0)),1))</f>
        <v/>
      </c>
      <c r="J971" s="287" t="str">
        <f t="shared" si="143"/>
        <v/>
      </c>
      <c r="K971" s="287" t="str">
        <f t="shared" si="144"/>
        <v/>
      </c>
      <c r="L971" s="287" t="str">
        <f t="shared" si="145"/>
        <v/>
      </c>
      <c r="M971" s="290" t="str">
        <f t="shared" si="146"/>
        <v/>
      </c>
      <c r="N971" t="str">
        <f>IF($A971="","",IFERROR(INDEX(Prices[Category],MATCH($A971,Prices[Key],0)),"Uncategorized"))</f>
        <v/>
      </c>
      <c r="O971" s="291" t="str">
        <f t="shared" si="147"/>
        <v/>
      </c>
      <c r="P971" s="291" t="str">
        <f t="shared" si="148"/>
        <v/>
      </c>
    </row>
    <row r="972" spans="1:16" ht="15" customHeight="1" x14ac:dyDescent="0.2">
      <c r="A972" s="243" t="str">
        <f>IFERROR(INDEX('All Ticker P&amp;L'!$A$2:$A$1001,MATCH(ROWS($A$2:A972),'All Ticker P&amp;L'!$N$2:$N$1001,0)),"")</f>
        <v/>
      </c>
      <c r="B972" s="243" t="str">
        <f t="shared" si="140"/>
        <v/>
      </c>
      <c r="C972" s="243" t="str">
        <f t="shared" si="141"/>
        <v/>
      </c>
      <c r="D972" s="243" t="str">
        <f t="shared" si="142"/>
        <v/>
      </c>
      <c r="E972" s="265" t="str">
        <f>IF($A972="","",SUMIFS(Txn[Signed Units],Txn[Key],$A972))</f>
        <v/>
      </c>
      <c r="F972" s="287" t="str">
        <f>IF($A972="","",SUMIFS(Txn[Buy Cost],Txn[Key],$A972))</f>
        <v/>
      </c>
      <c r="G972" s="287" t="str">
        <f>IF($A972="","",SUMIFS(Txn[Sell Proceeds],Txn[Key],$A972))</f>
        <v/>
      </c>
      <c r="H972" s="288" t="str">
        <f>IF($A972="","",IFERROR(INDEX(Prices[Current Price],MATCH($A972,Prices[Key],0)),0))</f>
        <v/>
      </c>
      <c r="I972" s="289" t="str">
        <f>IF($A972="","",IFERROR(INDEX(Prices[FX to SGD],MATCH($A972,Prices[Key],0)),1))</f>
        <v/>
      </c>
      <c r="J972" s="287" t="str">
        <f t="shared" si="143"/>
        <v/>
      </c>
      <c r="K972" s="287" t="str">
        <f t="shared" si="144"/>
        <v/>
      </c>
      <c r="L972" s="287" t="str">
        <f t="shared" si="145"/>
        <v/>
      </c>
      <c r="M972" s="290" t="str">
        <f t="shared" si="146"/>
        <v/>
      </c>
      <c r="N972" t="str">
        <f>IF($A972="","",IFERROR(INDEX(Prices[Category],MATCH($A972,Prices[Key],0)),"Uncategorized"))</f>
        <v/>
      </c>
      <c r="O972" s="291" t="str">
        <f t="shared" si="147"/>
        <v/>
      </c>
      <c r="P972" s="291" t="str">
        <f t="shared" si="148"/>
        <v/>
      </c>
    </row>
    <row r="973" spans="1:16" ht="15" customHeight="1" x14ac:dyDescent="0.2">
      <c r="A973" s="243" t="str">
        <f>IFERROR(INDEX('All Ticker P&amp;L'!$A$2:$A$1001,MATCH(ROWS($A$2:A973),'All Ticker P&amp;L'!$N$2:$N$1001,0)),"")</f>
        <v/>
      </c>
      <c r="B973" s="243" t="str">
        <f t="shared" si="140"/>
        <v/>
      </c>
      <c r="C973" s="243" t="str">
        <f t="shared" si="141"/>
        <v/>
      </c>
      <c r="D973" s="243" t="str">
        <f t="shared" si="142"/>
        <v/>
      </c>
      <c r="E973" s="265" t="str">
        <f>IF($A973="","",SUMIFS(Txn[Signed Units],Txn[Key],$A973))</f>
        <v/>
      </c>
      <c r="F973" s="287" t="str">
        <f>IF($A973="","",SUMIFS(Txn[Buy Cost],Txn[Key],$A973))</f>
        <v/>
      </c>
      <c r="G973" s="287" t="str">
        <f>IF($A973="","",SUMIFS(Txn[Sell Proceeds],Txn[Key],$A973))</f>
        <v/>
      </c>
      <c r="H973" s="288" t="str">
        <f>IF($A973="","",IFERROR(INDEX(Prices[Current Price],MATCH($A973,Prices[Key],0)),0))</f>
        <v/>
      </c>
      <c r="I973" s="289" t="str">
        <f>IF($A973="","",IFERROR(INDEX(Prices[FX to SGD],MATCH($A973,Prices[Key],0)),1))</f>
        <v/>
      </c>
      <c r="J973" s="287" t="str">
        <f t="shared" si="143"/>
        <v/>
      </c>
      <c r="K973" s="287" t="str">
        <f t="shared" si="144"/>
        <v/>
      </c>
      <c r="L973" s="287" t="str">
        <f t="shared" si="145"/>
        <v/>
      </c>
      <c r="M973" s="290" t="str">
        <f t="shared" si="146"/>
        <v/>
      </c>
      <c r="N973" t="str">
        <f>IF($A973="","",IFERROR(INDEX(Prices[Category],MATCH($A973,Prices[Key],0)),"Uncategorized"))</f>
        <v/>
      </c>
      <c r="O973" s="291" t="str">
        <f t="shared" si="147"/>
        <v/>
      </c>
      <c r="P973" s="291" t="str">
        <f t="shared" si="148"/>
        <v/>
      </c>
    </row>
    <row r="974" spans="1:16" ht="15" customHeight="1" x14ac:dyDescent="0.2">
      <c r="A974" s="243" t="str">
        <f>IFERROR(INDEX('All Ticker P&amp;L'!$A$2:$A$1001,MATCH(ROWS($A$2:A974),'All Ticker P&amp;L'!$N$2:$N$1001,0)),"")</f>
        <v/>
      </c>
      <c r="B974" s="243" t="str">
        <f t="shared" si="140"/>
        <v/>
      </c>
      <c r="C974" s="243" t="str">
        <f t="shared" si="141"/>
        <v/>
      </c>
      <c r="D974" s="243" t="str">
        <f t="shared" si="142"/>
        <v/>
      </c>
      <c r="E974" s="265" t="str">
        <f>IF($A974="","",SUMIFS(Txn[Signed Units],Txn[Key],$A974))</f>
        <v/>
      </c>
      <c r="F974" s="287" t="str">
        <f>IF($A974="","",SUMIFS(Txn[Buy Cost],Txn[Key],$A974))</f>
        <v/>
      </c>
      <c r="G974" s="287" t="str">
        <f>IF($A974="","",SUMIFS(Txn[Sell Proceeds],Txn[Key],$A974))</f>
        <v/>
      </c>
      <c r="H974" s="288" t="str">
        <f>IF($A974="","",IFERROR(INDEX(Prices[Current Price],MATCH($A974,Prices[Key],0)),0))</f>
        <v/>
      </c>
      <c r="I974" s="289" t="str">
        <f>IF($A974="","",IFERROR(INDEX(Prices[FX to SGD],MATCH($A974,Prices[Key],0)),1))</f>
        <v/>
      </c>
      <c r="J974" s="287" t="str">
        <f t="shared" si="143"/>
        <v/>
      </c>
      <c r="K974" s="287" t="str">
        <f t="shared" si="144"/>
        <v/>
      </c>
      <c r="L974" s="287" t="str">
        <f t="shared" si="145"/>
        <v/>
      </c>
      <c r="M974" s="290" t="str">
        <f t="shared" si="146"/>
        <v/>
      </c>
      <c r="N974" t="str">
        <f>IF($A974="","",IFERROR(INDEX(Prices[Category],MATCH($A974,Prices[Key],0)),"Uncategorized"))</f>
        <v/>
      </c>
      <c r="O974" s="291" t="str">
        <f t="shared" si="147"/>
        <v/>
      </c>
      <c r="P974" s="291" t="str">
        <f t="shared" si="148"/>
        <v/>
      </c>
    </row>
    <row r="975" spans="1:16" ht="15" customHeight="1" x14ac:dyDescent="0.2">
      <c r="A975" s="243" t="str">
        <f>IFERROR(INDEX('All Ticker P&amp;L'!$A$2:$A$1001,MATCH(ROWS($A$2:A975),'All Ticker P&amp;L'!$N$2:$N$1001,0)),"")</f>
        <v/>
      </c>
      <c r="B975" s="243" t="str">
        <f t="shared" si="140"/>
        <v/>
      </c>
      <c r="C975" s="243" t="str">
        <f t="shared" si="141"/>
        <v/>
      </c>
      <c r="D975" s="243" t="str">
        <f t="shared" si="142"/>
        <v/>
      </c>
      <c r="E975" s="265" t="str">
        <f>IF($A975="","",SUMIFS(Txn[Signed Units],Txn[Key],$A975))</f>
        <v/>
      </c>
      <c r="F975" s="287" t="str">
        <f>IF($A975="","",SUMIFS(Txn[Buy Cost],Txn[Key],$A975))</f>
        <v/>
      </c>
      <c r="G975" s="287" t="str">
        <f>IF($A975="","",SUMIFS(Txn[Sell Proceeds],Txn[Key],$A975))</f>
        <v/>
      </c>
      <c r="H975" s="288" t="str">
        <f>IF($A975="","",IFERROR(INDEX(Prices[Current Price],MATCH($A975,Prices[Key],0)),0))</f>
        <v/>
      </c>
      <c r="I975" s="289" t="str">
        <f>IF($A975="","",IFERROR(INDEX(Prices[FX to SGD],MATCH($A975,Prices[Key],0)),1))</f>
        <v/>
      </c>
      <c r="J975" s="287" t="str">
        <f t="shared" si="143"/>
        <v/>
      </c>
      <c r="K975" s="287" t="str">
        <f t="shared" si="144"/>
        <v/>
      </c>
      <c r="L975" s="287" t="str">
        <f t="shared" si="145"/>
        <v/>
      </c>
      <c r="M975" s="290" t="str">
        <f t="shared" si="146"/>
        <v/>
      </c>
      <c r="N975" t="str">
        <f>IF($A975="","",IFERROR(INDEX(Prices[Category],MATCH($A975,Prices[Key],0)),"Uncategorized"))</f>
        <v/>
      </c>
      <c r="O975" s="291" t="str">
        <f t="shared" si="147"/>
        <v/>
      </c>
      <c r="P975" s="291" t="str">
        <f t="shared" si="148"/>
        <v/>
      </c>
    </row>
    <row r="976" spans="1:16" ht="15" customHeight="1" x14ac:dyDescent="0.2">
      <c r="A976" s="243" t="str">
        <f>IFERROR(INDEX('All Ticker P&amp;L'!$A$2:$A$1001,MATCH(ROWS($A$2:A976),'All Ticker P&amp;L'!$N$2:$N$1001,0)),"")</f>
        <v/>
      </c>
      <c r="B976" s="243" t="str">
        <f t="shared" si="140"/>
        <v/>
      </c>
      <c r="C976" s="243" t="str">
        <f t="shared" si="141"/>
        <v/>
      </c>
      <c r="D976" s="243" t="str">
        <f t="shared" si="142"/>
        <v/>
      </c>
      <c r="E976" s="265" t="str">
        <f>IF($A976="","",SUMIFS(Txn[Signed Units],Txn[Key],$A976))</f>
        <v/>
      </c>
      <c r="F976" s="287" t="str">
        <f>IF($A976="","",SUMIFS(Txn[Buy Cost],Txn[Key],$A976))</f>
        <v/>
      </c>
      <c r="G976" s="287" t="str">
        <f>IF($A976="","",SUMIFS(Txn[Sell Proceeds],Txn[Key],$A976))</f>
        <v/>
      </c>
      <c r="H976" s="288" t="str">
        <f>IF($A976="","",IFERROR(INDEX(Prices[Current Price],MATCH($A976,Prices[Key],0)),0))</f>
        <v/>
      </c>
      <c r="I976" s="289" t="str">
        <f>IF($A976="","",IFERROR(INDEX(Prices[FX to SGD],MATCH($A976,Prices[Key],0)),1))</f>
        <v/>
      </c>
      <c r="J976" s="287" t="str">
        <f t="shared" si="143"/>
        <v/>
      </c>
      <c r="K976" s="287" t="str">
        <f t="shared" si="144"/>
        <v/>
      </c>
      <c r="L976" s="287" t="str">
        <f t="shared" si="145"/>
        <v/>
      </c>
      <c r="M976" s="290" t="str">
        <f t="shared" si="146"/>
        <v/>
      </c>
      <c r="N976" t="str">
        <f>IF($A976="","",IFERROR(INDEX(Prices[Category],MATCH($A976,Prices[Key],0)),"Uncategorized"))</f>
        <v/>
      </c>
      <c r="O976" s="291" t="str">
        <f t="shared" si="147"/>
        <v/>
      </c>
      <c r="P976" s="291" t="str">
        <f t="shared" si="148"/>
        <v/>
      </c>
    </row>
    <row r="977" spans="1:16" ht="15" customHeight="1" x14ac:dyDescent="0.2">
      <c r="A977" s="243" t="str">
        <f>IFERROR(INDEX('All Ticker P&amp;L'!$A$2:$A$1001,MATCH(ROWS($A$2:A977),'All Ticker P&amp;L'!$N$2:$N$1001,0)),"")</f>
        <v/>
      </c>
      <c r="B977" s="243" t="str">
        <f t="shared" si="140"/>
        <v/>
      </c>
      <c r="C977" s="243" t="str">
        <f t="shared" si="141"/>
        <v/>
      </c>
      <c r="D977" s="243" t="str">
        <f t="shared" si="142"/>
        <v/>
      </c>
      <c r="E977" s="265" t="str">
        <f>IF($A977="","",SUMIFS(Txn[Signed Units],Txn[Key],$A977))</f>
        <v/>
      </c>
      <c r="F977" s="287" t="str">
        <f>IF($A977="","",SUMIFS(Txn[Buy Cost],Txn[Key],$A977))</f>
        <v/>
      </c>
      <c r="G977" s="287" t="str">
        <f>IF($A977="","",SUMIFS(Txn[Sell Proceeds],Txn[Key],$A977))</f>
        <v/>
      </c>
      <c r="H977" s="288" t="str">
        <f>IF($A977="","",IFERROR(INDEX(Prices[Current Price],MATCH($A977,Prices[Key],0)),0))</f>
        <v/>
      </c>
      <c r="I977" s="289" t="str">
        <f>IF($A977="","",IFERROR(INDEX(Prices[FX to SGD],MATCH($A977,Prices[Key],0)),1))</f>
        <v/>
      </c>
      <c r="J977" s="287" t="str">
        <f t="shared" si="143"/>
        <v/>
      </c>
      <c r="K977" s="287" t="str">
        <f t="shared" si="144"/>
        <v/>
      </c>
      <c r="L977" s="287" t="str">
        <f t="shared" si="145"/>
        <v/>
      </c>
      <c r="M977" s="290" t="str">
        <f t="shared" si="146"/>
        <v/>
      </c>
      <c r="N977" t="str">
        <f>IF($A977="","",IFERROR(INDEX(Prices[Category],MATCH($A977,Prices[Key],0)),"Uncategorized"))</f>
        <v/>
      </c>
      <c r="O977" s="291" t="str">
        <f t="shared" si="147"/>
        <v/>
      </c>
      <c r="P977" s="291" t="str">
        <f t="shared" si="148"/>
        <v/>
      </c>
    </row>
    <row r="978" spans="1:16" ht="15" customHeight="1" x14ac:dyDescent="0.2">
      <c r="A978" s="243" t="str">
        <f>IFERROR(INDEX('All Ticker P&amp;L'!$A$2:$A$1001,MATCH(ROWS($A$2:A978),'All Ticker P&amp;L'!$N$2:$N$1001,0)),"")</f>
        <v/>
      </c>
      <c r="B978" s="243" t="str">
        <f t="shared" si="140"/>
        <v/>
      </c>
      <c r="C978" s="243" t="str">
        <f t="shared" si="141"/>
        <v/>
      </c>
      <c r="D978" s="243" t="str">
        <f t="shared" si="142"/>
        <v/>
      </c>
      <c r="E978" s="265" t="str">
        <f>IF($A978="","",SUMIFS(Txn[Signed Units],Txn[Key],$A978))</f>
        <v/>
      </c>
      <c r="F978" s="287" t="str">
        <f>IF($A978="","",SUMIFS(Txn[Buy Cost],Txn[Key],$A978))</f>
        <v/>
      </c>
      <c r="G978" s="287" t="str">
        <f>IF($A978="","",SUMIFS(Txn[Sell Proceeds],Txn[Key],$A978))</f>
        <v/>
      </c>
      <c r="H978" s="288" t="str">
        <f>IF($A978="","",IFERROR(INDEX(Prices[Current Price],MATCH($A978,Prices[Key],0)),0))</f>
        <v/>
      </c>
      <c r="I978" s="289" t="str">
        <f>IF($A978="","",IFERROR(INDEX(Prices[FX to SGD],MATCH($A978,Prices[Key],0)),1))</f>
        <v/>
      </c>
      <c r="J978" s="287" t="str">
        <f t="shared" si="143"/>
        <v/>
      </c>
      <c r="K978" s="287" t="str">
        <f t="shared" si="144"/>
        <v/>
      </c>
      <c r="L978" s="287" t="str">
        <f t="shared" si="145"/>
        <v/>
      </c>
      <c r="M978" s="290" t="str">
        <f t="shared" si="146"/>
        <v/>
      </c>
      <c r="N978" t="str">
        <f>IF($A978="","",IFERROR(INDEX(Prices[Category],MATCH($A978,Prices[Key],0)),"Uncategorized"))</f>
        <v/>
      </c>
      <c r="O978" s="291" t="str">
        <f t="shared" si="147"/>
        <v/>
      </c>
      <c r="P978" s="291" t="str">
        <f t="shared" si="148"/>
        <v/>
      </c>
    </row>
    <row r="979" spans="1:16" ht="15" customHeight="1" x14ac:dyDescent="0.2">
      <c r="A979" s="243" t="str">
        <f>IFERROR(INDEX('All Ticker P&amp;L'!$A$2:$A$1001,MATCH(ROWS($A$2:A979),'All Ticker P&amp;L'!$N$2:$N$1001,0)),"")</f>
        <v/>
      </c>
      <c r="B979" s="243" t="str">
        <f t="shared" si="140"/>
        <v/>
      </c>
      <c r="C979" s="243" t="str">
        <f t="shared" si="141"/>
        <v/>
      </c>
      <c r="D979" s="243" t="str">
        <f t="shared" si="142"/>
        <v/>
      </c>
      <c r="E979" s="265" t="str">
        <f>IF($A979="","",SUMIFS(Txn[Signed Units],Txn[Key],$A979))</f>
        <v/>
      </c>
      <c r="F979" s="287" t="str">
        <f>IF($A979="","",SUMIFS(Txn[Buy Cost],Txn[Key],$A979))</f>
        <v/>
      </c>
      <c r="G979" s="287" t="str">
        <f>IF($A979="","",SUMIFS(Txn[Sell Proceeds],Txn[Key],$A979))</f>
        <v/>
      </c>
      <c r="H979" s="288" t="str">
        <f>IF($A979="","",IFERROR(INDEX(Prices[Current Price],MATCH($A979,Prices[Key],0)),0))</f>
        <v/>
      </c>
      <c r="I979" s="289" t="str">
        <f>IF($A979="","",IFERROR(INDEX(Prices[FX to SGD],MATCH($A979,Prices[Key],0)),1))</f>
        <v/>
      </c>
      <c r="J979" s="287" t="str">
        <f t="shared" si="143"/>
        <v/>
      </c>
      <c r="K979" s="287" t="str">
        <f t="shared" si="144"/>
        <v/>
      </c>
      <c r="L979" s="287" t="str">
        <f t="shared" si="145"/>
        <v/>
      </c>
      <c r="M979" s="290" t="str">
        <f t="shared" si="146"/>
        <v/>
      </c>
      <c r="N979" t="str">
        <f>IF($A979="","",IFERROR(INDEX(Prices[Category],MATCH($A979,Prices[Key],0)),"Uncategorized"))</f>
        <v/>
      </c>
      <c r="O979" s="291" t="str">
        <f t="shared" si="147"/>
        <v/>
      </c>
      <c r="P979" s="291" t="str">
        <f t="shared" si="148"/>
        <v/>
      </c>
    </row>
    <row r="980" spans="1:16" ht="15" customHeight="1" x14ac:dyDescent="0.2">
      <c r="A980" s="243" t="str">
        <f>IFERROR(INDEX('All Ticker P&amp;L'!$A$2:$A$1001,MATCH(ROWS($A$2:A980),'All Ticker P&amp;L'!$N$2:$N$1001,0)),"")</f>
        <v/>
      </c>
      <c r="B980" s="243" t="str">
        <f t="shared" si="140"/>
        <v/>
      </c>
      <c r="C980" s="243" t="str">
        <f t="shared" si="141"/>
        <v/>
      </c>
      <c r="D980" s="243" t="str">
        <f t="shared" si="142"/>
        <v/>
      </c>
      <c r="E980" s="265" t="str">
        <f>IF($A980="","",SUMIFS(Txn[Signed Units],Txn[Key],$A980))</f>
        <v/>
      </c>
      <c r="F980" s="287" t="str">
        <f>IF($A980="","",SUMIFS(Txn[Buy Cost],Txn[Key],$A980))</f>
        <v/>
      </c>
      <c r="G980" s="287" t="str">
        <f>IF($A980="","",SUMIFS(Txn[Sell Proceeds],Txn[Key],$A980))</f>
        <v/>
      </c>
      <c r="H980" s="288" t="str">
        <f>IF($A980="","",IFERROR(INDEX(Prices[Current Price],MATCH($A980,Prices[Key],0)),0))</f>
        <v/>
      </c>
      <c r="I980" s="289" t="str">
        <f>IF($A980="","",IFERROR(INDEX(Prices[FX to SGD],MATCH($A980,Prices[Key],0)),1))</f>
        <v/>
      </c>
      <c r="J980" s="287" t="str">
        <f t="shared" si="143"/>
        <v/>
      </c>
      <c r="K980" s="287" t="str">
        <f t="shared" si="144"/>
        <v/>
      </c>
      <c r="L980" s="287" t="str">
        <f t="shared" si="145"/>
        <v/>
      </c>
      <c r="M980" s="290" t="str">
        <f t="shared" si="146"/>
        <v/>
      </c>
      <c r="N980" t="str">
        <f>IF($A980="","",IFERROR(INDEX(Prices[Category],MATCH($A980,Prices[Key],0)),"Uncategorized"))</f>
        <v/>
      </c>
      <c r="O980" s="291" t="str">
        <f t="shared" si="147"/>
        <v/>
      </c>
      <c r="P980" s="291" t="str">
        <f t="shared" si="148"/>
        <v/>
      </c>
    </row>
    <row r="981" spans="1:16" ht="15" customHeight="1" x14ac:dyDescent="0.2">
      <c r="A981" s="243" t="str">
        <f>IFERROR(INDEX('All Ticker P&amp;L'!$A$2:$A$1001,MATCH(ROWS($A$2:A981),'All Ticker P&amp;L'!$N$2:$N$1001,0)),"")</f>
        <v/>
      </c>
      <c r="B981" s="243" t="str">
        <f t="shared" si="140"/>
        <v/>
      </c>
      <c r="C981" s="243" t="str">
        <f t="shared" si="141"/>
        <v/>
      </c>
      <c r="D981" s="243" t="str">
        <f t="shared" si="142"/>
        <v/>
      </c>
      <c r="E981" s="265" t="str">
        <f>IF($A981="","",SUMIFS(Txn[Signed Units],Txn[Key],$A981))</f>
        <v/>
      </c>
      <c r="F981" s="287" t="str">
        <f>IF($A981="","",SUMIFS(Txn[Buy Cost],Txn[Key],$A981))</f>
        <v/>
      </c>
      <c r="G981" s="287" t="str">
        <f>IF($A981="","",SUMIFS(Txn[Sell Proceeds],Txn[Key],$A981))</f>
        <v/>
      </c>
      <c r="H981" s="288" t="str">
        <f>IF($A981="","",IFERROR(INDEX(Prices[Current Price],MATCH($A981,Prices[Key],0)),0))</f>
        <v/>
      </c>
      <c r="I981" s="289" t="str">
        <f>IF($A981="","",IFERROR(INDEX(Prices[FX to SGD],MATCH($A981,Prices[Key],0)),1))</f>
        <v/>
      </c>
      <c r="J981" s="287" t="str">
        <f t="shared" si="143"/>
        <v/>
      </c>
      <c r="K981" s="287" t="str">
        <f t="shared" si="144"/>
        <v/>
      </c>
      <c r="L981" s="287" t="str">
        <f t="shared" si="145"/>
        <v/>
      </c>
      <c r="M981" s="290" t="str">
        <f t="shared" si="146"/>
        <v/>
      </c>
      <c r="N981" t="str">
        <f>IF($A981="","",IFERROR(INDEX(Prices[Category],MATCH($A981,Prices[Key],0)),"Uncategorized"))</f>
        <v/>
      </c>
      <c r="O981" s="291" t="str">
        <f t="shared" si="147"/>
        <v/>
      </c>
      <c r="P981" s="291" t="str">
        <f t="shared" si="148"/>
        <v/>
      </c>
    </row>
    <row r="982" spans="1:16" ht="15" customHeight="1" x14ac:dyDescent="0.2">
      <c r="A982" s="243" t="str">
        <f>IFERROR(INDEX('All Ticker P&amp;L'!$A$2:$A$1001,MATCH(ROWS($A$2:A982),'All Ticker P&amp;L'!$N$2:$N$1001,0)),"")</f>
        <v/>
      </c>
      <c r="B982" s="243" t="str">
        <f t="shared" si="140"/>
        <v/>
      </c>
      <c r="C982" s="243" t="str">
        <f t="shared" si="141"/>
        <v/>
      </c>
      <c r="D982" s="243" t="str">
        <f t="shared" si="142"/>
        <v/>
      </c>
      <c r="E982" s="265" t="str">
        <f>IF($A982="","",SUMIFS(Txn[Signed Units],Txn[Key],$A982))</f>
        <v/>
      </c>
      <c r="F982" s="287" t="str">
        <f>IF($A982="","",SUMIFS(Txn[Buy Cost],Txn[Key],$A982))</f>
        <v/>
      </c>
      <c r="G982" s="287" t="str">
        <f>IF($A982="","",SUMIFS(Txn[Sell Proceeds],Txn[Key],$A982))</f>
        <v/>
      </c>
      <c r="H982" s="288" t="str">
        <f>IF($A982="","",IFERROR(INDEX(Prices[Current Price],MATCH($A982,Prices[Key],0)),0))</f>
        <v/>
      </c>
      <c r="I982" s="289" t="str">
        <f>IF($A982="","",IFERROR(INDEX(Prices[FX to SGD],MATCH($A982,Prices[Key],0)),1))</f>
        <v/>
      </c>
      <c r="J982" s="287" t="str">
        <f t="shared" si="143"/>
        <v/>
      </c>
      <c r="K982" s="287" t="str">
        <f t="shared" si="144"/>
        <v/>
      </c>
      <c r="L982" s="287" t="str">
        <f t="shared" si="145"/>
        <v/>
      </c>
      <c r="M982" s="290" t="str">
        <f t="shared" si="146"/>
        <v/>
      </c>
      <c r="N982" t="str">
        <f>IF($A982="","",IFERROR(INDEX(Prices[Category],MATCH($A982,Prices[Key],0)),"Uncategorized"))</f>
        <v/>
      </c>
      <c r="O982" s="291" t="str">
        <f t="shared" si="147"/>
        <v/>
      </c>
      <c r="P982" s="291" t="str">
        <f t="shared" si="148"/>
        <v/>
      </c>
    </row>
    <row r="983" spans="1:16" ht="15" customHeight="1" x14ac:dyDescent="0.2">
      <c r="A983" s="243" t="str">
        <f>IFERROR(INDEX('All Ticker P&amp;L'!$A$2:$A$1001,MATCH(ROWS($A$2:A983),'All Ticker P&amp;L'!$N$2:$N$1001,0)),"")</f>
        <v/>
      </c>
      <c r="B983" s="243" t="str">
        <f t="shared" si="140"/>
        <v/>
      </c>
      <c r="C983" s="243" t="str">
        <f t="shared" si="141"/>
        <v/>
      </c>
      <c r="D983" s="243" t="str">
        <f t="shared" si="142"/>
        <v/>
      </c>
      <c r="E983" s="265" t="str">
        <f>IF($A983="","",SUMIFS(Txn[Signed Units],Txn[Key],$A983))</f>
        <v/>
      </c>
      <c r="F983" s="287" t="str">
        <f>IF($A983="","",SUMIFS(Txn[Buy Cost],Txn[Key],$A983))</f>
        <v/>
      </c>
      <c r="G983" s="287" t="str">
        <f>IF($A983="","",SUMIFS(Txn[Sell Proceeds],Txn[Key],$A983))</f>
        <v/>
      </c>
      <c r="H983" s="288" t="str">
        <f>IF($A983="","",IFERROR(INDEX(Prices[Current Price],MATCH($A983,Prices[Key],0)),0))</f>
        <v/>
      </c>
      <c r="I983" s="289" t="str">
        <f>IF($A983="","",IFERROR(INDEX(Prices[FX to SGD],MATCH($A983,Prices[Key],0)),1))</f>
        <v/>
      </c>
      <c r="J983" s="287" t="str">
        <f t="shared" si="143"/>
        <v/>
      </c>
      <c r="K983" s="287" t="str">
        <f t="shared" si="144"/>
        <v/>
      </c>
      <c r="L983" s="287" t="str">
        <f t="shared" si="145"/>
        <v/>
      </c>
      <c r="M983" s="290" t="str">
        <f t="shared" si="146"/>
        <v/>
      </c>
      <c r="N983" t="str">
        <f>IF($A983="","",IFERROR(INDEX(Prices[Category],MATCH($A983,Prices[Key],0)),"Uncategorized"))</f>
        <v/>
      </c>
      <c r="O983" s="291" t="str">
        <f t="shared" si="147"/>
        <v/>
      </c>
      <c r="P983" s="291" t="str">
        <f t="shared" si="148"/>
        <v/>
      </c>
    </row>
    <row r="984" spans="1:16" ht="15" customHeight="1" x14ac:dyDescent="0.2">
      <c r="A984" s="243" t="str">
        <f>IFERROR(INDEX('All Ticker P&amp;L'!$A$2:$A$1001,MATCH(ROWS($A$2:A984),'All Ticker P&amp;L'!$N$2:$N$1001,0)),"")</f>
        <v/>
      </c>
      <c r="B984" s="243" t="str">
        <f t="shared" si="140"/>
        <v/>
      </c>
      <c r="C984" s="243" t="str">
        <f t="shared" si="141"/>
        <v/>
      </c>
      <c r="D984" s="243" t="str">
        <f t="shared" si="142"/>
        <v/>
      </c>
      <c r="E984" s="265" t="str">
        <f>IF($A984="","",SUMIFS(Txn[Signed Units],Txn[Key],$A984))</f>
        <v/>
      </c>
      <c r="F984" s="287" t="str">
        <f>IF($A984="","",SUMIFS(Txn[Buy Cost],Txn[Key],$A984))</f>
        <v/>
      </c>
      <c r="G984" s="287" t="str">
        <f>IF($A984="","",SUMIFS(Txn[Sell Proceeds],Txn[Key],$A984))</f>
        <v/>
      </c>
      <c r="H984" s="288" t="str">
        <f>IF($A984="","",IFERROR(INDEX(Prices[Current Price],MATCH($A984,Prices[Key],0)),0))</f>
        <v/>
      </c>
      <c r="I984" s="289" t="str">
        <f>IF($A984="","",IFERROR(INDEX(Prices[FX to SGD],MATCH($A984,Prices[Key],0)),1))</f>
        <v/>
      </c>
      <c r="J984" s="287" t="str">
        <f t="shared" si="143"/>
        <v/>
      </c>
      <c r="K984" s="287" t="str">
        <f t="shared" si="144"/>
        <v/>
      </c>
      <c r="L984" s="287" t="str">
        <f t="shared" si="145"/>
        <v/>
      </c>
      <c r="M984" s="290" t="str">
        <f t="shared" si="146"/>
        <v/>
      </c>
      <c r="N984" t="str">
        <f>IF($A984="","",IFERROR(INDEX(Prices[Category],MATCH($A984,Prices[Key],0)),"Uncategorized"))</f>
        <v/>
      </c>
      <c r="O984" s="291" t="str">
        <f t="shared" si="147"/>
        <v/>
      </c>
      <c r="P984" s="291" t="str">
        <f t="shared" si="148"/>
        <v/>
      </c>
    </row>
    <row r="985" spans="1:16" ht="15" customHeight="1" x14ac:dyDescent="0.2">
      <c r="A985" s="243" t="str">
        <f>IFERROR(INDEX('All Ticker P&amp;L'!$A$2:$A$1001,MATCH(ROWS($A$2:A985),'All Ticker P&amp;L'!$N$2:$N$1001,0)),"")</f>
        <v/>
      </c>
      <c r="B985" s="243" t="str">
        <f t="shared" si="140"/>
        <v/>
      </c>
      <c r="C985" s="243" t="str">
        <f t="shared" si="141"/>
        <v/>
      </c>
      <c r="D985" s="243" t="str">
        <f t="shared" si="142"/>
        <v/>
      </c>
      <c r="E985" s="265" t="str">
        <f>IF($A985="","",SUMIFS(Txn[Signed Units],Txn[Key],$A985))</f>
        <v/>
      </c>
      <c r="F985" s="287" t="str">
        <f>IF($A985="","",SUMIFS(Txn[Buy Cost],Txn[Key],$A985))</f>
        <v/>
      </c>
      <c r="G985" s="287" t="str">
        <f>IF($A985="","",SUMIFS(Txn[Sell Proceeds],Txn[Key],$A985))</f>
        <v/>
      </c>
      <c r="H985" s="288" t="str">
        <f>IF($A985="","",IFERROR(INDEX(Prices[Current Price],MATCH($A985,Prices[Key],0)),0))</f>
        <v/>
      </c>
      <c r="I985" s="289" t="str">
        <f>IF($A985="","",IFERROR(INDEX(Prices[FX to SGD],MATCH($A985,Prices[Key],0)),1))</f>
        <v/>
      </c>
      <c r="J985" s="287" t="str">
        <f t="shared" si="143"/>
        <v/>
      </c>
      <c r="K985" s="287" t="str">
        <f t="shared" si="144"/>
        <v/>
      </c>
      <c r="L985" s="287" t="str">
        <f t="shared" si="145"/>
        <v/>
      </c>
      <c r="M985" s="290" t="str">
        <f t="shared" si="146"/>
        <v/>
      </c>
      <c r="N985" t="str">
        <f>IF($A985="","",IFERROR(INDEX(Prices[Category],MATCH($A985,Prices[Key],0)),"Uncategorized"))</f>
        <v/>
      </c>
      <c r="O985" s="291" t="str">
        <f t="shared" si="147"/>
        <v/>
      </c>
      <c r="P985" s="291" t="str">
        <f t="shared" si="148"/>
        <v/>
      </c>
    </row>
    <row r="986" spans="1:16" ht="15" customHeight="1" x14ac:dyDescent="0.2">
      <c r="A986" s="243" t="str">
        <f>IFERROR(INDEX('All Ticker P&amp;L'!$A$2:$A$1001,MATCH(ROWS($A$2:A986),'All Ticker P&amp;L'!$N$2:$N$1001,0)),"")</f>
        <v/>
      </c>
      <c r="B986" s="243" t="str">
        <f t="shared" si="140"/>
        <v/>
      </c>
      <c r="C986" s="243" t="str">
        <f t="shared" si="141"/>
        <v/>
      </c>
      <c r="D986" s="243" t="str">
        <f t="shared" si="142"/>
        <v/>
      </c>
      <c r="E986" s="265" t="str">
        <f>IF($A986="","",SUMIFS(Txn[Signed Units],Txn[Key],$A986))</f>
        <v/>
      </c>
      <c r="F986" s="287" t="str">
        <f>IF($A986="","",SUMIFS(Txn[Buy Cost],Txn[Key],$A986))</f>
        <v/>
      </c>
      <c r="G986" s="287" t="str">
        <f>IF($A986="","",SUMIFS(Txn[Sell Proceeds],Txn[Key],$A986))</f>
        <v/>
      </c>
      <c r="H986" s="288" t="str">
        <f>IF($A986="","",IFERROR(INDEX(Prices[Current Price],MATCH($A986,Prices[Key],0)),0))</f>
        <v/>
      </c>
      <c r="I986" s="289" t="str">
        <f>IF($A986="","",IFERROR(INDEX(Prices[FX to SGD],MATCH($A986,Prices[Key],0)),1))</f>
        <v/>
      </c>
      <c r="J986" s="287" t="str">
        <f t="shared" si="143"/>
        <v/>
      </c>
      <c r="K986" s="287" t="str">
        <f t="shared" si="144"/>
        <v/>
      </c>
      <c r="L986" s="287" t="str">
        <f t="shared" si="145"/>
        <v/>
      </c>
      <c r="M986" s="290" t="str">
        <f t="shared" si="146"/>
        <v/>
      </c>
      <c r="N986" t="str">
        <f>IF($A986="","",IFERROR(INDEX(Prices[Category],MATCH($A986,Prices[Key],0)),"Uncategorized"))</f>
        <v/>
      </c>
      <c r="O986" s="291" t="str">
        <f t="shared" si="147"/>
        <v/>
      </c>
      <c r="P986" s="291" t="str">
        <f t="shared" si="148"/>
        <v/>
      </c>
    </row>
    <row r="987" spans="1:16" ht="15" customHeight="1" x14ac:dyDescent="0.2">
      <c r="A987" s="243" t="str">
        <f>IFERROR(INDEX('All Ticker P&amp;L'!$A$2:$A$1001,MATCH(ROWS($A$2:A987),'All Ticker P&amp;L'!$N$2:$N$1001,0)),"")</f>
        <v/>
      </c>
      <c r="B987" s="243" t="str">
        <f t="shared" si="140"/>
        <v/>
      </c>
      <c r="C987" s="243" t="str">
        <f t="shared" si="141"/>
        <v/>
      </c>
      <c r="D987" s="243" t="str">
        <f t="shared" si="142"/>
        <v/>
      </c>
      <c r="E987" s="265" t="str">
        <f>IF($A987="","",SUMIFS(Txn[Signed Units],Txn[Key],$A987))</f>
        <v/>
      </c>
      <c r="F987" s="287" t="str">
        <f>IF($A987="","",SUMIFS(Txn[Buy Cost],Txn[Key],$A987))</f>
        <v/>
      </c>
      <c r="G987" s="287" t="str">
        <f>IF($A987="","",SUMIFS(Txn[Sell Proceeds],Txn[Key],$A987))</f>
        <v/>
      </c>
      <c r="H987" s="288" t="str">
        <f>IF($A987="","",IFERROR(INDEX(Prices[Current Price],MATCH($A987,Prices[Key],0)),0))</f>
        <v/>
      </c>
      <c r="I987" s="289" t="str">
        <f>IF($A987="","",IFERROR(INDEX(Prices[FX to SGD],MATCH($A987,Prices[Key],0)),1))</f>
        <v/>
      </c>
      <c r="J987" s="287" t="str">
        <f t="shared" si="143"/>
        <v/>
      </c>
      <c r="K987" s="287" t="str">
        <f t="shared" si="144"/>
        <v/>
      </c>
      <c r="L987" s="287" t="str">
        <f t="shared" si="145"/>
        <v/>
      </c>
      <c r="M987" s="290" t="str">
        <f t="shared" si="146"/>
        <v/>
      </c>
      <c r="N987" t="str">
        <f>IF($A987="","",IFERROR(INDEX(Prices[Category],MATCH($A987,Prices[Key],0)),"Uncategorized"))</f>
        <v/>
      </c>
      <c r="O987" s="291" t="str">
        <f t="shared" si="147"/>
        <v/>
      </c>
      <c r="P987" s="291" t="str">
        <f t="shared" si="148"/>
        <v/>
      </c>
    </row>
    <row r="988" spans="1:16" ht="15" customHeight="1" x14ac:dyDescent="0.2">
      <c r="A988" s="243" t="str">
        <f>IFERROR(INDEX('All Ticker P&amp;L'!$A$2:$A$1001,MATCH(ROWS($A$2:A988),'All Ticker P&amp;L'!$N$2:$N$1001,0)),"")</f>
        <v/>
      </c>
      <c r="B988" s="243" t="str">
        <f t="shared" si="140"/>
        <v/>
      </c>
      <c r="C988" s="243" t="str">
        <f t="shared" si="141"/>
        <v/>
      </c>
      <c r="D988" s="243" t="str">
        <f t="shared" si="142"/>
        <v/>
      </c>
      <c r="E988" s="265" t="str">
        <f>IF($A988="","",SUMIFS(Txn[Signed Units],Txn[Key],$A988))</f>
        <v/>
      </c>
      <c r="F988" s="287" t="str">
        <f>IF($A988="","",SUMIFS(Txn[Buy Cost],Txn[Key],$A988))</f>
        <v/>
      </c>
      <c r="G988" s="287" t="str">
        <f>IF($A988="","",SUMIFS(Txn[Sell Proceeds],Txn[Key],$A988))</f>
        <v/>
      </c>
      <c r="H988" s="288" t="str">
        <f>IF($A988="","",IFERROR(INDEX(Prices[Current Price],MATCH($A988,Prices[Key],0)),0))</f>
        <v/>
      </c>
      <c r="I988" s="289" t="str">
        <f>IF($A988="","",IFERROR(INDEX(Prices[FX to SGD],MATCH($A988,Prices[Key],0)),1))</f>
        <v/>
      </c>
      <c r="J988" s="287" t="str">
        <f t="shared" si="143"/>
        <v/>
      </c>
      <c r="K988" s="287" t="str">
        <f t="shared" si="144"/>
        <v/>
      </c>
      <c r="L988" s="287" t="str">
        <f t="shared" si="145"/>
        <v/>
      </c>
      <c r="M988" s="290" t="str">
        <f t="shared" si="146"/>
        <v/>
      </c>
      <c r="N988" t="str">
        <f>IF($A988="","",IFERROR(INDEX(Prices[Category],MATCH($A988,Prices[Key],0)),"Uncategorized"))</f>
        <v/>
      </c>
      <c r="O988" s="291" t="str">
        <f t="shared" si="147"/>
        <v/>
      </c>
      <c r="P988" s="291" t="str">
        <f t="shared" si="148"/>
        <v/>
      </c>
    </row>
    <row r="989" spans="1:16" ht="15" customHeight="1" x14ac:dyDescent="0.2">
      <c r="A989" s="243" t="str">
        <f>IFERROR(INDEX('All Ticker P&amp;L'!$A$2:$A$1001,MATCH(ROWS($A$2:A989),'All Ticker P&amp;L'!$N$2:$N$1001,0)),"")</f>
        <v/>
      </c>
      <c r="B989" s="243" t="str">
        <f t="shared" si="140"/>
        <v/>
      </c>
      <c r="C989" s="243" t="str">
        <f t="shared" si="141"/>
        <v/>
      </c>
      <c r="D989" s="243" t="str">
        <f t="shared" si="142"/>
        <v/>
      </c>
      <c r="E989" s="265" t="str">
        <f>IF($A989="","",SUMIFS(Txn[Signed Units],Txn[Key],$A989))</f>
        <v/>
      </c>
      <c r="F989" s="287" t="str">
        <f>IF($A989="","",SUMIFS(Txn[Buy Cost],Txn[Key],$A989))</f>
        <v/>
      </c>
      <c r="G989" s="287" t="str">
        <f>IF($A989="","",SUMIFS(Txn[Sell Proceeds],Txn[Key],$A989))</f>
        <v/>
      </c>
      <c r="H989" s="288" t="str">
        <f>IF($A989="","",IFERROR(INDEX(Prices[Current Price],MATCH($A989,Prices[Key],0)),0))</f>
        <v/>
      </c>
      <c r="I989" s="289" t="str">
        <f>IF($A989="","",IFERROR(INDEX(Prices[FX to SGD],MATCH($A989,Prices[Key],0)),1))</f>
        <v/>
      </c>
      <c r="J989" s="287" t="str">
        <f t="shared" si="143"/>
        <v/>
      </c>
      <c r="K989" s="287" t="str">
        <f t="shared" si="144"/>
        <v/>
      </c>
      <c r="L989" s="287" t="str">
        <f t="shared" si="145"/>
        <v/>
      </c>
      <c r="M989" s="290" t="str">
        <f t="shared" si="146"/>
        <v/>
      </c>
      <c r="N989" t="str">
        <f>IF($A989="","",IFERROR(INDEX(Prices[Category],MATCH($A989,Prices[Key],0)),"Uncategorized"))</f>
        <v/>
      </c>
      <c r="O989" s="291" t="str">
        <f t="shared" si="147"/>
        <v/>
      </c>
      <c r="P989" s="291" t="str">
        <f t="shared" si="148"/>
        <v/>
      </c>
    </row>
    <row r="990" spans="1:16" ht="15" customHeight="1" x14ac:dyDescent="0.2">
      <c r="A990" s="243" t="str">
        <f>IFERROR(INDEX('All Ticker P&amp;L'!$A$2:$A$1001,MATCH(ROWS($A$2:A990),'All Ticker P&amp;L'!$N$2:$N$1001,0)),"")</f>
        <v/>
      </c>
      <c r="B990" s="243" t="str">
        <f t="shared" si="140"/>
        <v/>
      </c>
      <c r="C990" s="243" t="str">
        <f t="shared" si="141"/>
        <v/>
      </c>
      <c r="D990" s="243" t="str">
        <f t="shared" si="142"/>
        <v/>
      </c>
      <c r="E990" s="265" t="str">
        <f>IF($A990="","",SUMIFS(Txn[Signed Units],Txn[Key],$A990))</f>
        <v/>
      </c>
      <c r="F990" s="287" t="str">
        <f>IF($A990="","",SUMIFS(Txn[Buy Cost],Txn[Key],$A990))</f>
        <v/>
      </c>
      <c r="G990" s="287" t="str">
        <f>IF($A990="","",SUMIFS(Txn[Sell Proceeds],Txn[Key],$A990))</f>
        <v/>
      </c>
      <c r="H990" s="288" t="str">
        <f>IF($A990="","",IFERROR(INDEX(Prices[Current Price],MATCH($A990,Prices[Key],0)),0))</f>
        <v/>
      </c>
      <c r="I990" s="289" t="str">
        <f>IF($A990="","",IFERROR(INDEX(Prices[FX to SGD],MATCH($A990,Prices[Key],0)),1))</f>
        <v/>
      </c>
      <c r="J990" s="287" t="str">
        <f t="shared" si="143"/>
        <v/>
      </c>
      <c r="K990" s="287" t="str">
        <f t="shared" si="144"/>
        <v/>
      </c>
      <c r="L990" s="287" t="str">
        <f t="shared" si="145"/>
        <v/>
      </c>
      <c r="M990" s="290" t="str">
        <f t="shared" si="146"/>
        <v/>
      </c>
      <c r="N990" t="str">
        <f>IF($A990="","",IFERROR(INDEX(Prices[Category],MATCH($A990,Prices[Key],0)),"Uncategorized"))</f>
        <v/>
      </c>
      <c r="O990" s="291" t="str">
        <f t="shared" si="147"/>
        <v/>
      </c>
      <c r="P990" s="291" t="str">
        <f t="shared" si="148"/>
        <v/>
      </c>
    </row>
    <row r="991" spans="1:16" ht="15" customHeight="1" x14ac:dyDescent="0.2">
      <c r="A991" s="243" t="str">
        <f>IFERROR(INDEX('All Ticker P&amp;L'!$A$2:$A$1001,MATCH(ROWS($A$2:A991),'All Ticker P&amp;L'!$N$2:$N$1001,0)),"")</f>
        <v/>
      </c>
      <c r="B991" s="243" t="str">
        <f t="shared" si="140"/>
        <v/>
      </c>
      <c r="C991" s="243" t="str">
        <f t="shared" si="141"/>
        <v/>
      </c>
      <c r="D991" s="243" t="str">
        <f t="shared" si="142"/>
        <v/>
      </c>
      <c r="E991" s="265" t="str">
        <f>IF($A991="","",SUMIFS(Txn[Signed Units],Txn[Key],$A991))</f>
        <v/>
      </c>
      <c r="F991" s="287" t="str">
        <f>IF($A991="","",SUMIFS(Txn[Buy Cost],Txn[Key],$A991))</f>
        <v/>
      </c>
      <c r="G991" s="287" t="str">
        <f>IF($A991="","",SUMIFS(Txn[Sell Proceeds],Txn[Key],$A991))</f>
        <v/>
      </c>
      <c r="H991" s="288" t="str">
        <f>IF($A991="","",IFERROR(INDEX(Prices[Current Price],MATCH($A991,Prices[Key],0)),0))</f>
        <v/>
      </c>
      <c r="I991" s="289" t="str">
        <f>IF($A991="","",IFERROR(INDEX(Prices[FX to SGD],MATCH($A991,Prices[Key],0)),1))</f>
        <v/>
      </c>
      <c r="J991" s="287" t="str">
        <f t="shared" si="143"/>
        <v/>
      </c>
      <c r="K991" s="287" t="str">
        <f t="shared" si="144"/>
        <v/>
      </c>
      <c r="L991" s="287" t="str">
        <f t="shared" si="145"/>
        <v/>
      </c>
      <c r="M991" s="290" t="str">
        <f t="shared" si="146"/>
        <v/>
      </c>
      <c r="N991" t="str">
        <f>IF($A991="","",IFERROR(INDEX(Prices[Category],MATCH($A991,Prices[Key],0)),"Uncategorized"))</f>
        <v/>
      </c>
      <c r="O991" s="291" t="str">
        <f t="shared" si="147"/>
        <v/>
      </c>
      <c r="P991" s="291" t="str">
        <f t="shared" si="148"/>
        <v/>
      </c>
    </row>
    <row r="992" spans="1:16" ht="15" customHeight="1" x14ac:dyDescent="0.2">
      <c r="A992" s="243" t="str">
        <f>IFERROR(INDEX('All Ticker P&amp;L'!$A$2:$A$1001,MATCH(ROWS($A$2:A992),'All Ticker P&amp;L'!$N$2:$N$1001,0)),"")</f>
        <v/>
      </c>
      <c r="B992" s="243" t="str">
        <f t="shared" si="140"/>
        <v/>
      </c>
      <c r="C992" s="243" t="str">
        <f t="shared" si="141"/>
        <v/>
      </c>
      <c r="D992" s="243" t="str">
        <f t="shared" si="142"/>
        <v/>
      </c>
      <c r="E992" s="265" t="str">
        <f>IF($A992="","",SUMIFS(Txn[Signed Units],Txn[Key],$A992))</f>
        <v/>
      </c>
      <c r="F992" s="287" t="str">
        <f>IF($A992="","",SUMIFS(Txn[Buy Cost],Txn[Key],$A992))</f>
        <v/>
      </c>
      <c r="G992" s="287" t="str">
        <f>IF($A992="","",SUMIFS(Txn[Sell Proceeds],Txn[Key],$A992))</f>
        <v/>
      </c>
      <c r="H992" s="288" t="str">
        <f>IF($A992="","",IFERROR(INDEX(Prices[Current Price],MATCH($A992,Prices[Key],0)),0))</f>
        <v/>
      </c>
      <c r="I992" s="289" t="str">
        <f>IF($A992="","",IFERROR(INDEX(Prices[FX to SGD],MATCH($A992,Prices[Key],0)),1))</f>
        <v/>
      </c>
      <c r="J992" s="287" t="str">
        <f t="shared" si="143"/>
        <v/>
      </c>
      <c r="K992" s="287" t="str">
        <f t="shared" si="144"/>
        <v/>
      </c>
      <c r="L992" s="287" t="str">
        <f t="shared" si="145"/>
        <v/>
      </c>
      <c r="M992" s="290" t="str">
        <f t="shared" si="146"/>
        <v/>
      </c>
      <c r="N992" t="str">
        <f>IF($A992="","",IFERROR(INDEX(Prices[Category],MATCH($A992,Prices[Key],0)),"Uncategorized"))</f>
        <v/>
      </c>
      <c r="O992" s="291" t="str">
        <f t="shared" si="147"/>
        <v/>
      </c>
      <c r="P992" s="291" t="str">
        <f t="shared" si="148"/>
        <v/>
      </c>
    </row>
    <row r="993" spans="1:16" ht="15" customHeight="1" x14ac:dyDescent="0.2">
      <c r="A993" s="243" t="str">
        <f>IFERROR(INDEX('All Ticker P&amp;L'!$A$2:$A$1001,MATCH(ROWS($A$2:A993),'All Ticker P&amp;L'!$N$2:$N$1001,0)),"")</f>
        <v/>
      </c>
      <c r="B993" s="243" t="str">
        <f t="shared" si="140"/>
        <v/>
      </c>
      <c r="C993" s="243" t="str">
        <f t="shared" si="141"/>
        <v/>
      </c>
      <c r="D993" s="243" t="str">
        <f t="shared" si="142"/>
        <v/>
      </c>
      <c r="E993" s="265" t="str">
        <f>IF($A993="","",SUMIFS(Txn[Signed Units],Txn[Key],$A993))</f>
        <v/>
      </c>
      <c r="F993" s="287" t="str">
        <f>IF($A993="","",SUMIFS(Txn[Buy Cost],Txn[Key],$A993))</f>
        <v/>
      </c>
      <c r="G993" s="287" t="str">
        <f>IF($A993="","",SUMIFS(Txn[Sell Proceeds],Txn[Key],$A993))</f>
        <v/>
      </c>
      <c r="H993" s="288" t="str">
        <f>IF($A993="","",IFERROR(INDEX(Prices[Current Price],MATCH($A993,Prices[Key],0)),0))</f>
        <v/>
      </c>
      <c r="I993" s="289" t="str">
        <f>IF($A993="","",IFERROR(INDEX(Prices[FX to SGD],MATCH($A993,Prices[Key],0)),1))</f>
        <v/>
      </c>
      <c r="J993" s="287" t="str">
        <f t="shared" si="143"/>
        <v/>
      </c>
      <c r="K993" s="287" t="str">
        <f t="shared" si="144"/>
        <v/>
      </c>
      <c r="L993" s="287" t="str">
        <f t="shared" si="145"/>
        <v/>
      </c>
      <c r="M993" s="290" t="str">
        <f t="shared" si="146"/>
        <v/>
      </c>
      <c r="N993" t="str">
        <f>IF($A993="","",IFERROR(INDEX(Prices[Category],MATCH($A993,Prices[Key],0)),"Uncategorized"))</f>
        <v/>
      </c>
      <c r="O993" s="291" t="str">
        <f t="shared" si="147"/>
        <v/>
      </c>
      <c r="P993" s="291" t="str">
        <f t="shared" si="148"/>
        <v/>
      </c>
    </row>
    <row r="994" spans="1:16" ht="15" customHeight="1" x14ac:dyDescent="0.2">
      <c r="A994" s="243" t="str">
        <f>IFERROR(INDEX('All Ticker P&amp;L'!$A$2:$A$1001,MATCH(ROWS($A$2:A994),'All Ticker P&amp;L'!$N$2:$N$1001,0)),"")</f>
        <v/>
      </c>
      <c r="B994" s="243" t="str">
        <f t="shared" si="140"/>
        <v/>
      </c>
      <c r="C994" s="243" t="str">
        <f t="shared" si="141"/>
        <v/>
      </c>
      <c r="D994" s="243" t="str">
        <f t="shared" si="142"/>
        <v/>
      </c>
      <c r="E994" s="265" t="str">
        <f>IF($A994="","",SUMIFS(Txn[Signed Units],Txn[Key],$A994))</f>
        <v/>
      </c>
      <c r="F994" s="287" t="str">
        <f>IF($A994="","",SUMIFS(Txn[Buy Cost],Txn[Key],$A994))</f>
        <v/>
      </c>
      <c r="G994" s="287" t="str">
        <f>IF($A994="","",SUMIFS(Txn[Sell Proceeds],Txn[Key],$A994))</f>
        <v/>
      </c>
      <c r="H994" s="288" t="str">
        <f>IF($A994="","",IFERROR(INDEX(Prices[Current Price],MATCH($A994,Prices[Key],0)),0))</f>
        <v/>
      </c>
      <c r="I994" s="289" t="str">
        <f>IF($A994="","",IFERROR(INDEX(Prices[FX to SGD],MATCH($A994,Prices[Key],0)),1))</f>
        <v/>
      </c>
      <c r="J994" s="287" t="str">
        <f t="shared" si="143"/>
        <v/>
      </c>
      <c r="K994" s="287" t="str">
        <f t="shared" si="144"/>
        <v/>
      </c>
      <c r="L994" s="287" t="str">
        <f t="shared" si="145"/>
        <v/>
      </c>
      <c r="M994" s="290" t="str">
        <f t="shared" si="146"/>
        <v/>
      </c>
      <c r="N994" t="str">
        <f>IF($A994="","",IFERROR(INDEX(Prices[Category],MATCH($A994,Prices[Key],0)),"Uncategorized"))</f>
        <v/>
      </c>
      <c r="O994" s="291" t="str">
        <f t="shared" si="147"/>
        <v/>
      </c>
      <c r="P994" s="291" t="str">
        <f t="shared" si="148"/>
        <v/>
      </c>
    </row>
    <row r="995" spans="1:16" ht="15" customHeight="1" x14ac:dyDescent="0.2">
      <c r="A995" s="243" t="str">
        <f>IFERROR(INDEX('All Ticker P&amp;L'!$A$2:$A$1001,MATCH(ROWS($A$2:A995),'All Ticker P&amp;L'!$N$2:$N$1001,0)),"")</f>
        <v/>
      </c>
      <c r="B995" s="243" t="str">
        <f t="shared" si="140"/>
        <v/>
      </c>
      <c r="C995" s="243" t="str">
        <f t="shared" si="141"/>
        <v/>
      </c>
      <c r="D995" s="243" t="str">
        <f t="shared" si="142"/>
        <v/>
      </c>
      <c r="E995" s="265" t="str">
        <f>IF($A995="","",SUMIFS(Txn[Signed Units],Txn[Key],$A995))</f>
        <v/>
      </c>
      <c r="F995" s="287" t="str">
        <f>IF($A995="","",SUMIFS(Txn[Buy Cost],Txn[Key],$A995))</f>
        <v/>
      </c>
      <c r="G995" s="287" t="str">
        <f>IF($A995="","",SUMIFS(Txn[Sell Proceeds],Txn[Key],$A995))</f>
        <v/>
      </c>
      <c r="H995" s="288" t="str">
        <f>IF($A995="","",IFERROR(INDEX(Prices[Current Price],MATCH($A995,Prices[Key],0)),0))</f>
        <v/>
      </c>
      <c r="I995" s="289" t="str">
        <f>IF($A995="","",IFERROR(INDEX(Prices[FX to SGD],MATCH($A995,Prices[Key],0)),1))</f>
        <v/>
      </c>
      <c r="J995" s="287" t="str">
        <f t="shared" si="143"/>
        <v/>
      </c>
      <c r="K995" s="287" t="str">
        <f t="shared" si="144"/>
        <v/>
      </c>
      <c r="L995" s="287" t="str">
        <f t="shared" si="145"/>
        <v/>
      </c>
      <c r="M995" s="290" t="str">
        <f t="shared" si="146"/>
        <v/>
      </c>
      <c r="N995" t="str">
        <f>IF($A995="","",IFERROR(INDEX(Prices[Category],MATCH($A995,Prices[Key],0)),"Uncategorized"))</f>
        <v/>
      </c>
      <c r="O995" s="291" t="str">
        <f t="shared" si="147"/>
        <v/>
      </c>
      <c r="P995" s="291" t="str">
        <f t="shared" si="148"/>
        <v/>
      </c>
    </row>
    <row r="996" spans="1:16" ht="15" customHeight="1" x14ac:dyDescent="0.2">
      <c r="A996" s="243" t="str">
        <f>IFERROR(INDEX('All Ticker P&amp;L'!$A$2:$A$1001,MATCH(ROWS($A$2:A996),'All Ticker P&amp;L'!$N$2:$N$1001,0)),"")</f>
        <v/>
      </c>
      <c r="B996" s="243" t="str">
        <f t="shared" si="140"/>
        <v/>
      </c>
      <c r="C996" s="243" t="str">
        <f t="shared" si="141"/>
        <v/>
      </c>
      <c r="D996" s="243" t="str">
        <f t="shared" si="142"/>
        <v/>
      </c>
      <c r="E996" s="265" t="str">
        <f>IF($A996="","",SUMIFS(Txn[Signed Units],Txn[Key],$A996))</f>
        <v/>
      </c>
      <c r="F996" s="287" t="str">
        <f>IF($A996="","",SUMIFS(Txn[Buy Cost],Txn[Key],$A996))</f>
        <v/>
      </c>
      <c r="G996" s="287" t="str">
        <f>IF($A996="","",SUMIFS(Txn[Sell Proceeds],Txn[Key],$A996))</f>
        <v/>
      </c>
      <c r="H996" s="288" t="str">
        <f>IF($A996="","",IFERROR(INDEX(Prices[Current Price],MATCH($A996,Prices[Key],0)),0))</f>
        <v/>
      </c>
      <c r="I996" s="289" t="str">
        <f>IF($A996="","",IFERROR(INDEX(Prices[FX to SGD],MATCH($A996,Prices[Key],0)),1))</f>
        <v/>
      </c>
      <c r="J996" s="287" t="str">
        <f t="shared" si="143"/>
        <v/>
      </c>
      <c r="K996" s="287" t="str">
        <f t="shared" si="144"/>
        <v/>
      </c>
      <c r="L996" s="287" t="str">
        <f t="shared" si="145"/>
        <v/>
      </c>
      <c r="M996" s="290" t="str">
        <f t="shared" si="146"/>
        <v/>
      </c>
      <c r="N996" t="str">
        <f>IF($A996="","",IFERROR(INDEX(Prices[Category],MATCH($A996,Prices[Key],0)),"Uncategorized"))</f>
        <v/>
      </c>
      <c r="O996" s="291" t="str">
        <f t="shared" si="147"/>
        <v/>
      </c>
      <c r="P996" s="291" t="str">
        <f t="shared" si="148"/>
        <v/>
      </c>
    </row>
    <row r="997" spans="1:16" ht="15" customHeight="1" x14ac:dyDescent="0.2">
      <c r="A997" s="243" t="str">
        <f>IFERROR(INDEX('All Ticker P&amp;L'!$A$2:$A$1001,MATCH(ROWS($A$2:A997),'All Ticker P&amp;L'!$N$2:$N$1001,0)),"")</f>
        <v/>
      </c>
      <c r="B997" s="243" t="str">
        <f t="shared" si="140"/>
        <v/>
      </c>
      <c r="C997" s="243" t="str">
        <f t="shared" si="141"/>
        <v/>
      </c>
      <c r="D997" s="243" t="str">
        <f t="shared" si="142"/>
        <v/>
      </c>
      <c r="E997" s="265" t="str">
        <f>IF($A997="","",SUMIFS(Txn[Signed Units],Txn[Key],$A997))</f>
        <v/>
      </c>
      <c r="F997" s="287" t="str">
        <f>IF($A997="","",SUMIFS(Txn[Buy Cost],Txn[Key],$A997))</f>
        <v/>
      </c>
      <c r="G997" s="287" t="str">
        <f>IF($A997="","",SUMIFS(Txn[Sell Proceeds],Txn[Key],$A997))</f>
        <v/>
      </c>
      <c r="H997" s="288" t="str">
        <f>IF($A997="","",IFERROR(INDEX(Prices[Current Price],MATCH($A997,Prices[Key],0)),0))</f>
        <v/>
      </c>
      <c r="I997" s="289" t="str">
        <f>IF($A997="","",IFERROR(INDEX(Prices[FX to SGD],MATCH($A997,Prices[Key],0)),1))</f>
        <v/>
      </c>
      <c r="J997" s="287" t="str">
        <f t="shared" si="143"/>
        <v/>
      </c>
      <c r="K997" s="287" t="str">
        <f t="shared" si="144"/>
        <v/>
      </c>
      <c r="L997" s="287" t="str">
        <f t="shared" si="145"/>
        <v/>
      </c>
      <c r="M997" s="290" t="str">
        <f t="shared" si="146"/>
        <v/>
      </c>
      <c r="N997" t="str">
        <f>IF($A997="","",IFERROR(INDEX(Prices[Category],MATCH($A997,Prices[Key],0)),"Uncategorized"))</f>
        <v/>
      </c>
      <c r="O997" s="291" t="str">
        <f t="shared" si="147"/>
        <v/>
      </c>
      <c r="P997" s="291" t="str">
        <f t="shared" si="148"/>
        <v/>
      </c>
    </row>
    <row r="998" spans="1:16" ht="15" customHeight="1" x14ac:dyDescent="0.2">
      <c r="A998" s="243" t="str">
        <f>IFERROR(INDEX('All Ticker P&amp;L'!$A$2:$A$1001,MATCH(ROWS($A$2:A998),'All Ticker P&amp;L'!$N$2:$N$1001,0)),"")</f>
        <v/>
      </c>
      <c r="B998" s="243" t="str">
        <f t="shared" si="140"/>
        <v/>
      </c>
      <c r="C998" s="243" t="str">
        <f t="shared" si="141"/>
        <v/>
      </c>
      <c r="D998" s="243" t="str">
        <f t="shared" si="142"/>
        <v/>
      </c>
      <c r="E998" s="265" t="str">
        <f>IF($A998="","",SUMIFS(Txn[Signed Units],Txn[Key],$A998))</f>
        <v/>
      </c>
      <c r="F998" s="287" t="str">
        <f>IF($A998="","",SUMIFS(Txn[Buy Cost],Txn[Key],$A998))</f>
        <v/>
      </c>
      <c r="G998" s="287" t="str">
        <f>IF($A998="","",SUMIFS(Txn[Sell Proceeds],Txn[Key],$A998))</f>
        <v/>
      </c>
      <c r="H998" s="288" t="str">
        <f>IF($A998="","",IFERROR(INDEX(Prices[Current Price],MATCH($A998,Prices[Key],0)),0))</f>
        <v/>
      </c>
      <c r="I998" s="289" t="str">
        <f>IF($A998="","",IFERROR(INDEX(Prices[FX to SGD],MATCH($A998,Prices[Key],0)),1))</f>
        <v/>
      </c>
      <c r="J998" s="287" t="str">
        <f t="shared" si="143"/>
        <v/>
      </c>
      <c r="K998" s="287" t="str">
        <f t="shared" si="144"/>
        <v/>
      </c>
      <c r="L998" s="287" t="str">
        <f t="shared" si="145"/>
        <v/>
      </c>
      <c r="M998" s="290" t="str">
        <f t="shared" si="146"/>
        <v/>
      </c>
      <c r="N998" t="str">
        <f>IF($A998="","",IFERROR(INDEX(Prices[Category],MATCH($A998,Prices[Key],0)),"Uncategorized"))</f>
        <v/>
      </c>
      <c r="O998" s="291" t="str">
        <f t="shared" si="147"/>
        <v/>
      </c>
      <c r="P998" s="291" t="str">
        <f t="shared" si="148"/>
        <v/>
      </c>
    </row>
    <row r="999" spans="1:16" ht="15" customHeight="1" x14ac:dyDescent="0.2">
      <c r="A999" s="243" t="str">
        <f>IFERROR(INDEX('All Ticker P&amp;L'!$A$2:$A$1001,MATCH(ROWS($A$2:A999),'All Ticker P&amp;L'!$N$2:$N$1001,0)),"")</f>
        <v/>
      </c>
      <c r="B999" s="243" t="str">
        <f t="shared" si="140"/>
        <v/>
      </c>
      <c r="C999" s="243" t="str">
        <f t="shared" si="141"/>
        <v/>
      </c>
      <c r="D999" s="243" t="str">
        <f t="shared" si="142"/>
        <v/>
      </c>
      <c r="E999" s="265" t="str">
        <f>IF($A999="","",SUMIFS(Txn[Signed Units],Txn[Key],$A999))</f>
        <v/>
      </c>
      <c r="F999" s="287" t="str">
        <f>IF($A999="","",SUMIFS(Txn[Buy Cost],Txn[Key],$A999))</f>
        <v/>
      </c>
      <c r="G999" s="287" t="str">
        <f>IF($A999="","",SUMIFS(Txn[Sell Proceeds],Txn[Key],$A999))</f>
        <v/>
      </c>
      <c r="H999" s="288" t="str">
        <f>IF($A999="","",IFERROR(INDEX(Prices[Current Price],MATCH($A999,Prices[Key],0)),0))</f>
        <v/>
      </c>
      <c r="I999" s="289" t="str">
        <f>IF($A999="","",IFERROR(INDEX(Prices[FX to SGD],MATCH($A999,Prices[Key],0)),1))</f>
        <v/>
      </c>
      <c r="J999" s="287" t="str">
        <f t="shared" si="143"/>
        <v/>
      </c>
      <c r="K999" s="287" t="str">
        <f t="shared" si="144"/>
        <v/>
      </c>
      <c r="L999" s="287" t="str">
        <f t="shared" si="145"/>
        <v/>
      </c>
      <c r="M999" s="290" t="str">
        <f t="shared" si="146"/>
        <v/>
      </c>
      <c r="N999" t="str">
        <f>IF($A999="","",IFERROR(INDEX(Prices[Category],MATCH($A999,Prices[Key],0)),"Uncategorized"))</f>
        <v/>
      </c>
      <c r="O999" s="291" t="str">
        <f t="shared" si="147"/>
        <v/>
      </c>
      <c r="P999" s="291" t="str">
        <f t="shared" si="148"/>
        <v/>
      </c>
    </row>
    <row r="1000" spans="1:16" ht="15" customHeight="1" x14ac:dyDescent="0.2">
      <c r="A1000" s="243" t="str">
        <f>IFERROR(INDEX('All Ticker P&amp;L'!$A$2:$A$1001,MATCH(ROWS($A$2:A1000),'All Ticker P&amp;L'!$N$2:$N$1001,0)),"")</f>
        <v/>
      </c>
      <c r="B1000" s="243" t="str">
        <f t="shared" si="140"/>
        <v/>
      </c>
      <c r="C1000" s="243" t="str">
        <f t="shared" si="141"/>
        <v/>
      </c>
      <c r="D1000" s="243" t="str">
        <f t="shared" si="142"/>
        <v/>
      </c>
      <c r="E1000" s="265" t="str">
        <f>IF($A1000="","",SUMIFS(Txn[Signed Units],Txn[Key],$A1000))</f>
        <v/>
      </c>
      <c r="F1000" s="287" t="str">
        <f>IF($A1000="","",SUMIFS(Txn[Buy Cost],Txn[Key],$A1000))</f>
        <v/>
      </c>
      <c r="G1000" s="287" t="str">
        <f>IF($A1000="","",SUMIFS(Txn[Sell Proceeds],Txn[Key],$A1000))</f>
        <v/>
      </c>
      <c r="H1000" s="288" t="str">
        <f>IF($A1000="","",IFERROR(INDEX(Prices[Current Price],MATCH($A1000,Prices[Key],0)),0))</f>
        <v/>
      </c>
      <c r="I1000" s="289" t="str">
        <f>IF($A1000="","",IFERROR(INDEX(Prices[FX to SGD],MATCH($A1000,Prices[Key],0)),1))</f>
        <v/>
      </c>
      <c r="J1000" s="287" t="str">
        <f t="shared" si="143"/>
        <v/>
      </c>
      <c r="K1000" s="287" t="str">
        <f t="shared" si="144"/>
        <v/>
      </c>
      <c r="L1000" s="287" t="str">
        <f t="shared" si="145"/>
        <v/>
      </c>
      <c r="M1000" s="290" t="str">
        <f t="shared" si="146"/>
        <v/>
      </c>
      <c r="N1000" t="str">
        <f>IF($A1000="","",IFERROR(INDEX(Prices[Category],MATCH($A1000,Prices[Key],0)),"Uncategorized"))</f>
        <v/>
      </c>
      <c r="O1000" s="291" t="str">
        <f t="shared" si="147"/>
        <v/>
      </c>
      <c r="P1000" s="291" t="str">
        <f t="shared" si="148"/>
        <v/>
      </c>
    </row>
    <row r="1001" spans="1:16" ht="15" customHeight="1" x14ac:dyDescent="0.2">
      <c r="A1001" s="243" t="str">
        <f>IFERROR(INDEX('All Ticker P&amp;L'!$A$2:$A$1001,MATCH(ROWS($A$2:A1001),'All Ticker P&amp;L'!$N$2:$N$1001,0)),"")</f>
        <v/>
      </c>
      <c r="B1001" s="243" t="str">
        <f t="shared" si="140"/>
        <v/>
      </c>
      <c r="C1001" s="243" t="str">
        <f t="shared" si="141"/>
        <v/>
      </c>
      <c r="D1001" s="243" t="str">
        <f t="shared" si="142"/>
        <v/>
      </c>
      <c r="E1001" s="265" t="str">
        <f>IF($A1001="","",SUMIFS(Txn[Signed Units],Txn[Key],$A1001))</f>
        <v/>
      </c>
      <c r="F1001" s="287" t="str">
        <f>IF($A1001="","",SUMIFS(Txn[Buy Cost],Txn[Key],$A1001))</f>
        <v/>
      </c>
      <c r="G1001" s="287" t="str">
        <f>IF($A1001="","",SUMIFS(Txn[Sell Proceeds],Txn[Key],$A1001))</f>
        <v/>
      </c>
      <c r="H1001" s="288" t="str">
        <f>IF($A1001="","",IFERROR(INDEX(Prices[Current Price],MATCH($A1001,Prices[Key],0)),0))</f>
        <v/>
      </c>
      <c r="I1001" s="289" t="str">
        <f>IF($A1001="","",IFERROR(INDEX(Prices[FX to SGD],MATCH($A1001,Prices[Key],0)),1))</f>
        <v/>
      </c>
      <c r="J1001" s="287" t="str">
        <f t="shared" si="143"/>
        <v/>
      </c>
      <c r="K1001" s="287" t="str">
        <f t="shared" si="144"/>
        <v/>
      </c>
      <c r="L1001" s="287" t="str">
        <f t="shared" si="145"/>
        <v/>
      </c>
      <c r="M1001" s="290" t="str">
        <f t="shared" si="146"/>
        <v/>
      </c>
      <c r="N1001" t="str">
        <f>IF($A1001="","",IFERROR(INDEX(Prices[Category],MATCH($A1001,Prices[Key],0)),"Uncategorized"))</f>
        <v/>
      </c>
      <c r="O1001" s="291" t="str">
        <f t="shared" si="147"/>
        <v/>
      </c>
      <c r="P1001" s="291" t="str">
        <f t="shared" si="148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Q1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18" customWidth="1"/>
    <col min="8" max="8" width="14" customWidth="1"/>
    <col min="9" max="9" width="12" customWidth="1"/>
    <col min="10" max="10" width="16" customWidth="1"/>
    <col min="14" max="14" width="13" hidden="1" customWidth="1"/>
  </cols>
  <sheetData>
    <row r="1" spans="1:17" ht="15" customHeight="1" x14ac:dyDescent="0.2">
      <c r="A1" s="296" t="s">
        <v>395</v>
      </c>
      <c r="B1" s="296" t="s">
        <v>387</v>
      </c>
      <c r="C1" s="296" t="s">
        <v>388</v>
      </c>
      <c r="D1" s="296" t="s">
        <v>390</v>
      </c>
      <c r="E1" s="296" t="s">
        <v>496</v>
      </c>
      <c r="F1" s="296" t="s">
        <v>510</v>
      </c>
      <c r="G1" s="296" t="s">
        <v>511</v>
      </c>
      <c r="H1" s="296" t="s">
        <v>423</v>
      </c>
      <c r="I1" s="296" t="s">
        <v>424</v>
      </c>
      <c r="J1" s="296" t="s">
        <v>512</v>
      </c>
      <c r="K1" s="296" t="s">
        <v>513</v>
      </c>
      <c r="L1" s="296" t="s">
        <v>514</v>
      </c>
      <c r="M1" s="296" t="s">
        <v>515</v>
      </c>
      <c r="N1" s="243" t="s">
        <v>528</v>
      </c>
      <c r="O1" s="243" t="s">
        <v>529</v>
      </c>
      <c r="P1" s="243" t="s">
        <v>530</v>
      </c>
      <c r="Q1" s="243" t="s">
        <v>531</v>
      </c>
    </row>
    <row r="2" spans="1:17" ht="15" customHeight="1" x14ac:dyDescent="0.2">
      <c r="A2" s="243" t="str">
        <f>IFERROR(INDEX(Txn[Key],MATCH(0,INDEX(COUNTIF($A$1:A1,Txn[Key])+(Txn[Key]=""),0),0)),"")</f>
        <v>CA:GOLD:SGD</v>
      </c>
      <c r="B2" s="243" t="str">
        <f t="shared" ref="B2:B65" si="0">IF($A2="","",LEFT($A2,FIND(":",$A2)-1))</f>
        <v>CA</v>
      </c>
      <c r="C2" s="243" t="str">
        <f t="shared" ref="C2:C65" si="1">IF($A2="","",MID($A2,FIND(":",$A2)+1,FIND(":",$A2,FIND(":",$A2)+1)-FIND(":",$A2)-1))</f>
        <v>GOLD</v>
      </c>
      <c r="D2" s="243" t="str">
        <f t="shared" ref="D2:D65" si="2">IF($A2="","",RIGHT($A2,LEN($A2)-FIND(":",$A2,FIND(":",$A2)+1)))</f>
        <v>SGD</v>
      </c>
      <c r="E2" s="265">
        <f>IF($A2="","",SUMIFS(Txn[Signed Units],Txn[Key],$A2))</f>
        <v>700</v>
      </c>
      <c r="F2" s="287">
        <f>IF($A2="","",SUMIFS(Txn[Buy Cost],Txn[Key],$A2))</f>
        <v>55500</v>
      </c>
      <c r="G2" s="287">
        <f>IF($A2="","",SUMIFS(Txn[Sell Proceeds],Txn[Key],$A2))</f>
        <v>0</v>
      </c>
      <c r="H2" s="288">
        <f>IF($A2="","",IFERROR(INDEX(Prices[Current Price],MATCH($A2,Prices[Key],0)),0))</f>
        <v>111.61</v>
      </c>
      <c r="I2" s="289">
        <f>IF($A2="","",IFERROR(INDEX(Prices[FX to SGD],MATCH($A2,Prices[Key],0)),1))</f>
        <v>1</v>
      </c>
      <c r="J2" s="287">
        <f t="shared" ref="J2:J65" si="3">IF($A2="","",E2*H2)</f>
        <v>78127</v>
      </c>
      <c r="K2" s="287">
        <f t="shared" ref="K2:K65" si="4">IF($A2="","",J2+G2-F2)</f>
        <v>22627</v>
      </c>
      <c r="L2" s="287">
        <f t="shared" ref="L2:L65" si="5">IF($A2="","",K2*I2)</f>
        <v>22627</v>
      </c>
      <c r="M2" s="290">
        <f t="shared" ref="M2:M65" si="6">IF($A2="","",IFERROR(K2/F2,0))</f>
        <v>0.40769369369369368</v>
      </c>
      <c r="N2" s="243">
        <f>IF($A2="","",IF(ABS(E2)&gt;0.000001,COUNT($N$1:N1)+1,""))</f>
        <v>1</v>
      </c>
      <c r="O2" s="291">
        <f>IF($A2="","",SUMIFS(Transactions!$H$2:$H$1001,Transactions!$J$2:$J$1001,$A2,Transactions!$A$2:$A$1001,2)*$I2)</f>
        <v>0</v>
      </c>
      <c r="P2" s="291">
        <f t="shared" ref="P2:P65" si="7">IF($A2="","",$L2+$O2)</f>
        <v>22627</v>
      </c>
      <c r="Q2" s="292">
        <f t="shared" ref="Q2:Q65" si="8">IF($A2="","",IFERROR(($L2+$O2)/($F2*$I2),0))</f>
        <v>0.40769369369369368</v>
      </c>
    </row>
    <row r="3" spans="1:17" ht="15" customHeight="1" x14ac:dyDescent="0.2">
      <c r="A3" s="243" t="str">
        <f>IFERROR(INDEX(Txn[Key],MATCH(0,INDEX(COUNTIF($A$1:A2,Txn[Key])+(Txn[Key]=""),0),0)),"")</f>
        <v>SGX:Z74:SGD</v>
      </c>
      <c r="B3" s="243" t="str">
        <f t="shared" si="0"/>
        <v>SGX</v>
      </c>
      <c r="C3" s="243" t="str">
        <f t="shared" si="1"/>
        <v>Z74</v>
      </c>
      <c r="D3" s="243" t="str">
        <f t="shared" si="2"/>
        <v>SGD</v>
      </c>
      <c r="E3" s="265">
        <f>IF($A3="","",SUMIFS(Txn[Signed Units],Txn[Key],$A3))</f>
        <v>3000</v>
      </c>
      <c r="F3" s="287">
        <f>IF($A3="","",SUMIFS(Txn[Buy Cost],Txn[Key],$A3))</f>
        <v>9325</v>
      </c>
      <c r="G3" s="287">
        <f>IF($A3="","",SUMIFS(Txn[Sell Proceeds],Txn[Key],$A3))</f>
        <v>0</v>
      </c>
      <c r="H3" s="288">
        <f>IF($A3="","",IFERROR(INDEX(Prices[Current Price],MATCH($A3,Prices[Key],0)),0))</f>
        <v>3.82</v>
      </c>
      <c r="I3" s="289">
        <f>IF($A3="","",IFERROR(INDEX(Prices[FX to SGD],MATCH($A3,Prices[Key],0)),1))</f>
        <v>1</v>
      </c>
      <c r="J3" s="287">
        <f t="shared" si="3"/>
        <v>11460</v>
      </c>
      <c r="K3" s="287">
        <f t="shared" si="4"/>
        <v>2135</v>
      </c>
      <c r="L3" s="287">
        <f t="shared" si="5"/>
        <v>2135</v>
      </c>
      <c r="M3" s="290">
        <f t="shared" si="6"/>
        <v>0.22895442359249329</v>
      </c>
      <c r="N3" s="243">
        <f>IF($A3="","",IF(ABS(E3)&gt;0.000001,COUNT($N$1:N2)+1,""))</f>
        <v>2</v>
      </c>
      <c r="O3" s="291">
        <f>IF($A3="","",SUMIFS(Transactions!$H$2:$H$1001,Transactions!$J$2:$J$1001,$A3,Transactions!$A$2:$A$1001,2)*$I3)</f>
        <v>200</v>
      </c>
      <c r="P3" s="291">
        <f t="shared" si="7"/>
        <v>2335</v>
      </c>
      <c r="Q3" s="292">
        <f t="shared" si="8"/>
        <v>0.25040214477211797</v>
      </c>
    </row>
    <row r="4" spans="1:17" ht="15" customHeight="1" x14ac:dyDescent="0.2">
      <c r="A4" s="243" t="str">
        <f>IFERROR(INDEX(Txn[Key],MATCH(0,INDEX(COUNTIF($A$1:A3,Txn[Key])+(Txn[Key]=""),0),0)),"")</f>
        <v>USX:AAPL:USD</v>
      </c>
      <c r="B4" s="243" t="str">
        <f t="shared" si="0"/>
        <v>USX</v>
      </c>
      <c r="C4" s="243" t="str">
        <f t="shared" si="1"/>
        <v>AAPL</v>
      </c>
      <c r="D4" s="243" t="str">
        <f t="shared" si="2"/>
        <v>USD</v>
      </c>
      <c r="E4" s="265">
        <f>IF($A4="","",SUMIFS(Txn[Signed Units],Txn[Key],$A4))</f>
        <v>80</v>
      </c>
      <c r="F4" s="287">
        <f>IF($A4="","",SUMIFS(Txn[Buy Cost],Txn[Key],$A4))</f>
        <v>9110</v>
      </c>
      <c r="G4" s="287">
        <f>IF($A4="","",SUMIFS(Txn[Sell Proceeds],Txn[Key],$A4))</f>
        <v>0</v>
      </c>
      <c r="H4" s="288">
        <f>IF($A4="","",IFERROR(INDEX(Prices[Current Price],MATCH($A4,Prices[Key],0)),0))</f>
        <v>200</v>
      </c>
      <c r="I4" s="289">
        <f>IF($A4="","",IFERROR(INDEX(Prices[FX to SGD],MATCH($A4,Prices[Key],0)),1))</f>
        <v>1.2928081084924601</v>
      </c>
      <c r="J4" s="287">
        <f t="shared" si="3"/>
        <v>16000</v>
      </c>
      <c r="K4" s="287">
        <f t="shared" si="4"/>
        <v>6890</v>
      </c>
      <c r="L4" s="287">
        <f t="shared" si="5"/>
        <v>8907.4478675130504</v>
      </c>
      <c r="M4" s="290">
        <f t="shared" si="6"/>
        <v>0.75631174533479695</v>
      </c>
      <c r="N4" s="243">
        <f>IF($A4="","",IF(ABS(E4)&gt;0.000001,COUNT($N$1:N3)+1,""))</f>
        <v>3</v>
      </c>
      <c r="O4" s="291">
        <f>IF($A4="","",SUMIFS(Transactions!$H$2:$H$1001,Transactions!$J$2:$J$1001,$A4,Transactions!$A$2:$A$1001,2)*$I4)</f>
        <v>0</v>
      </c>
      <c r="P4" s="291">
        <f t="shared" si="7"/>
        <v>8907.4478675130504</v>
      </c>
      <c r="Q4" s="292">
        <f t="shared" si="8"/>
        <v>0.75631174533479706</v>
      </c>
    </row>
    <row r="5" spans="1:17" ht="15" customHeight="1" x14ac:dyDescent="0.2">
      <c r="A5" s="243" t="str">
        <f>IFERROR(INDEX(Txn[Key],MATCH(0,INDEX(COUNTIF($A$1:A4,Txn[Key])+(Txn[Key]=""),0),0)),"")</f>
        <v>SGX:C38U:SGD</v>
      </c>
      <c r="B5" s="243" t="str">
        <f t="shared" si="0"/>
        <v>SGX</v>
      </c>
      <c r="C5" s="243" t="str">
        <f t="shared" si="1"/>
        <v>C38U</v>
      </c>
      <c r="D5" s="243" t="str">
        <f t="shared" si="2"/>
        <v>SGD</v>
      </c>
      <c r="E5" s="265">
        <f>IF($A5="","",SUMIFS(Txn[Signed Units],Txn[Key],$A5))</f>
        <v>8000</v>
      </c>
      <c r="F5" s="287">
        <f>IF($A5="","",SUMIFS(Txn[Buy Cost],Txn[Key],$A5))</f>
        <v>16150</v>
      </c>
      <c r="G5" s="287">
        <f>IF($A5="","",SUMIFS(Txn[Sell Proceeds],Txn[Key],$A5))</f>
        <v>0</v>
      </c>
      <c r="H5" s="288">
        <f>IF($A5="","",IFERROR(INDEX(Prices[Current Price],MATCH($A5,Prices[Key],0)),0))</f>
        <v>2.04</v>
      </c>
      <c r="I5" s="289">
        <f>IF($A5="","",IFERROR(INDEX(Prices[FX to SGD],MATCH($A5,Prices[Key],0)),1))</f>
        <v>1</v>
      </c>
      <c r="J5" s="287">
        <f t="shared" si="3"/>
        <v>16320</v>
      </c>
      <c r="K5" s="287">
        <f t="shared" si="4"/>
        <v>170</v>
      </c>
      <c r="L5" s="287">
        <f t="shared" si="5"/>
        <v>170</v>
      </c>
      <c r="M5" s="290">
        <f t="shared" si="6"/>
        <v>1.0526315789473684E-2</v>
      </c>
      <c r="N5" s="243">
        <f>IF($A5="","",IF(ABS(E5)&gt;0.000001,COUNT($N$1:N4)+1,""))</f>
        <v>4</v>
      </c>
      <c r="O5" s="291">
        <f>IF($A5="","",SUMIFS(Transactions!$H$2:$H$1001,Transactions!$J$2:$J$1001,$A5,Transactions!$A$2:$A$1001,2)*$I5)</f>
        <v>580</v>
      </c>
      <c r="P5" s="291">
        <f t="shared" si="7"/>
        <v>750</v>
      </c>
      <c r="Q5" s="292">
        <f t="shared" si="8"/>
        <v>4.6439628482972138E-2</v>
      </c>
    </row>
    <row r="6" spans="1:17" ht="15" customHeight="1" x14ac:dyDescent="0.2">
      <c r="A6" s="243" t="str">
        <f>IFERROR(INDEX(Txn[Key],MATCH(0,INDEX(COUNTIF($A$1:A5,Txn[Key])+(Txn[Key]=""),0),0)),"")</f>
        <v>CG:BITCOIN:USD</v>
      </c>
      <c r="B6" s="243" t="str">
        <f t="shared" si="0"/>
        <v>CG</v>
      </c>
      <c r="C6" s="243" t="str">
        <f t="shared" si="1"/>
        <v>BITCOIN</v>
      </c>
      <c r="D6" s="243" t="str">
        <f t="shared" si="2"/>
        <v>USD</v>
      </c>
      <c r="E6" s="265">
        <f>IF($A6="","",SUMIFS(Txn[Signed Units],Txn[Key],$A6))</f>
        <v>0.1</v>
      </c>
      <c r="F6" s="287">
        <f>IF($A6="","",SUMIFS(Txn[Buy Cost],Txn[Key],$A6))</f>
        <v>1850</v>
      </c>
      <c r="G6" s="287">
        <f>IF($A6="","",SUMIFS(Txn[Sell Proceeds],Txn[Key],$A6))</f>
        <v>0</v>
      </c>
      <c r="H6" s="288">
        <f>IF($A6="","",IFERROR(INDEX(Prices[Current Price],MATCH($A6,Prices[Key],0)),0))</f>
        <v>102509.66</v>
      </c>
      <c r="I6" s="289">
        <f>IF($A6="","",IFERROR(INDEX(Prices[FX to SGD],MATCH($A6,Prices[Key],0)),1))</f>
        <v>1.2928081084924601</v>
      </c>
      <c r="J6" s="287">
        <f t="shared" si="3"/>
        <v>10250.966</v>
      </c>
      <c r="K6" s="287">
        <f t="shared" si="4"/>
        <v>8400.9660000000003</v>
      </c>
      <c r="L6" s="287">
        <f t="shared" si="5"/>
        <v>10860.836963969468</v>
      </c>
      <c r="M6" s="290">
        <f t="shared" si="6"/>
        <v>4.5410627027027033</v>
      </c>
      <c r="N6" s="243">
        <f>IF($A6="","",IF(ABS(E6)&gt;0.000001,COUNT($N$1:N5)+1,""))</f>
        <v>5</v>
      </c>
      <c r="O6" s="291">
        <f>IF($A6="","",SUMIFS(Transactions!$H$2:$H$1001,Transactions!$J$2:$J$1001,$A6,Transactions!$A$2:$A$1001,2)*$I6)</f>
        <v>0</v>
      </c>
      <c r="P6" s="291">
        <f t="shared" si="7"/>
        <v>10860.836963969468</v>
      </c>
      <c r="Q6" s="292">
        <f t="shared" si="8"/>
        <v>4.5410627027027024</v>
      </c>
    </row>
    <row r="7" spans="1:17" ht="15" customHeight="1" x14ac:dyDescent="0.2">
      <c r="A7" s="243" t="str">
        <f>IFERROR(INDEX(Txn[Key],MATCH(0,INDEX(COUNTIF($A$1:A6,Txn[Key])+(Txn[Key]=""),0),0)),"")</f>
        <v>HKEX:700:HKD</v>
      </c>
      <c r="B7" s="243" t="str">
        <f t="shared" si="0"/>
        <v>HKEX</v>
      </c>
      <c r="C7" s="243" t="str">
        <f t="shared" si="1"/>
        <v>700</v>
      </c>
      <c r="D7" s="243" t="str">
        <f t="shared" si="2"/>
        <v>HKD</v>
      </c>
      <c r="E7" s="265">
        <f>IF($A7="","",SUMIFS(Txn[Signed Units],Txn[Key],$A7))</f>
        <v>100</v>
      </c>
      <c r="F7" s="287">
        <f>IF($A7="","",SUMIFS(Txn[Buy Cost],Txn[Key],$A7))</f>
        <v>60100</v>
      </c>
      <c r="G7" s="287">
        <f>IF($A7="","",SUMIFS(Txn[Sell Proceeds],Txn[Key],$A7))</f>
        <v>0</v>
      </c>
      <c r="H7" s="288">
        <f>IF($A7="","",IFERROR(INDEX(Prices[Current Price],MATCH($A7,Prices[Key],0)),0))</f>
        <v>488.2</v>
      </c>
      <c r="I7" s="289">
        <f>IF($A7="","",IFERROR(INDEX(Prices[FX to SGD],MATCH($A7,Prices[Key],0)),1))</f>
        <v>0.16489949375855401</v>
      </c>
      <c r="J7" s="287">
        <f t="shared" si="3"/>
        <v>48820</v>
      </c>
      <c r="K7" s="287">
        <f t="shared" si="4"/>
        <v>-11280</v>
      </c>
      <c r="L7" s="287">
        <f t="shared" si="5"/>
        <v>-1860.0662895964892</v>
      </c>
      <c r="M7" s="290">
        <f t="shared" si="6"/>
        <v>-0.18768718801996673</v>
      </c>
      <c r="N7" s="243">
        <f>IF($A7="","",IF(ABS(E7)&gt;0.000001,COUNT($N$1:N6)+1,""))</f>
        <v>6</v>
      </c>
      <c r="O7" s="291">
        <f>IF($A7="","",SUMIFS(Transactions!$H$2:$H$1001,Transactions!$J$2:$J$1001,$A7,Transactions!$A$2:$A$1001,2)*$I7)</f>
        <v>0</v>
      </c>
      <c r="P7" s="291">
        <f t="shared" si="7"/>
        <v>-1860.0662895964892</v>
      </c>
      <c r="Q7" s="292">
        <f t="shared" si="8"/>
        <v>-0.18768718801996673</v>
      </c>
    </row>
    <row r="8" spans="1:17" ht="15" customHeight="1" x14ac:dyDescent="0.2">
      <c r="A8" s="243" t="str">
        <f>IFERROR(INDEX(Txn[Key],MATCH(0,INDEX(COUNTIF($A$1:A7,Txn[Key])+(Txn[Key]=""),0),0)),"")</f>
        <v>USX:MSFT:USD</v>
      </c>
      <c r="B8" s="243" t="str">
        <f t="shared" si="0"/>
        <v>USX</v>
      </c>
      <c r="C8" s="243" t="str">
        <f t="shared" si="1"/>
        <v>MSFT</v>
      </c>
      <c r="D8" s="243" t="str">
        <f t="shared" si="2"/>
        <v>USD</v>
      </c>
      <c r="E8" s="265">
        <f>IF($A8="","",SUMIFS(Txn[Signed Units],Txn[Key],$A8))</f>
        <v>20</v>
      </c>
      <c r="F8" s="287">
        <f>IF($A8="","",SUMIFS(Txn[Buy Cost],Txn[Key],$A8))</f>
        <v>4605</v>
      </c>
      <c r="G8" s="287">
        <f>IF($A8="","",SUMIFS(Txn[Sell Proceeds],Txn[Key],$A8))</f>
        <v>0</v>
      </c>
      <c r="H8" s="288">
        <f>IF($A8="","",IFERROR(INDEX(Prices[Current Price],MATCH($A8,Prices[Key],0)),0))</f>
        <v>420</v>
      </c>
      <c r="I8" s="289">
        <f>IF($A8="","",IFERROR(INDEX(Prices[FX to SGD],MATCH($A8,Prices[Key],0)),1))</f>
        <v>1.2928081084924601</v>
      </c>
      <c r="J8" s="287">
        <f t="shared" si="3"/>
        <v>8400</v>
      </c>
      <c r="K8" s="287">
        <f t="shared" si="4"/>
        <v>3795</v>
      </c>
      <c r="L8" s="287">
        <f t="shared" si="5"/>
        <v>4906.2067717288865</v>
      </c>
      <c r="M8" s="290">
        <f t="shared" si="6"/>
        <v>0.82410423452768733</v>
      </c>
      <c r="N8" s="243">
        <f>IF($A8="","",IF(ABS(E8)&gt;0.000001,COUNT($N$1:N7)+1,""))</f>
        <v>7</v>
      </c>
      <c r="O8" s="291">
        <f>IF($A8="","",SUMIFS(Transactions!$H$2:$H$1001,Transactions!$J$2:$J$1001,$A8,Transactions!$A$2:$A$1001,2)*$I8)</f>
        <v>0</v>
      </c>
      <c r="P8" s="291">
        <f t="shared" si="7"/>
        <v>4906.2067717288865</v>
      </c>
      <c r="Q8" s="292">
        <f t="shared" si="8"/>
        <v>0.82410423452768744</v>
      </c>
    </row>
    <row r="9" spans="1:17" ht="15" customHeight="1" x14ac:dyDescent="0.2">
      <c r="A9" s="243" t="str">
        <f>IFERROR(INDEX(Txn[Key],MATCH(0,INDEX(COUNTIF($A$1:A8,Txn[Key])+(Txn[Key]=""),0),0)),"")</f>
        <v>SGX:A17U:SGD</v>
      </c>
      <c r="B9" s="243" t="str">
        <f t="shared" si="0"/>
        <v>SGX</v>
      </c>
      <c r="C9" s="243" t="str">
        <f t="shared" si="1"/>
        <v>A17U</v>
      </c>
      <c r="D9" s="243" t="str">
        <f t="shared" si="2"/>
        <v>SGD</v>
      </c>
      <c r="E9" s="265">
        <f>IF($A9="","",SUMIFS(Txn[Signed Units],Txn[Key],$A9))</f>
        <v>4000</v>
      </c>
      <c r="F9" s="287">
        <f>IF($A9="","",SUMIFS(Txn[Buy Cost],Txn[Key],$A9))</f>
        <v>11850</v>
      </c>
      <c r="G9" s="287">
        <f>IF($A9="","",SUMIFS(Txn[Sell Proceeds],Txn[Key],$A9))</f>
        <v>0</v>
      </c>
      <c r="H9" s="288">
        <f>IF($A9="","",IFERROR(INDEX(Prices[Current Price],MATCH($A9,Prices[Key],0)),0))</f>
        <v>2.74</v>
      </c>
      <c r="I9" s="289">
        <f>IF($A9="","",IFERROR(INDEX(Prices[FX to SGD],MATCH($A9,Prices[Key],0)),1))</f>
        <v>1</v>
      </c>
      <c r="J9" s="287">
        <f t="shared" si="3"/>
        <v>10960</v>
      </c>
      <c r="K9" s="287">
        <f t="shared" si="4"/>
        <v>-890</v>
      </c>
      <c r="L9" s="287">
        <f t="shared" si="5"/>
        <v>-890</v>
      </c>
      <c r="M9" s="290">
        <f t="shared" si="6"/>
        <v>-7.5105485232067504E-2</v>
      </c>
      <c r="N9" s="243">
        <f>IF($A9="","",IF(ABS(E9)&gt;0.000001,COUNT($N$1:N8)+1,""))</f>
        <v>8</v>
      </c>
      <c r="O9" s="291">
        <f>IF($A9="","",SUMIFS(Transactions!$H$2:$H$1001,Transactions!$J$2:$J$1001,$A9,Transactions!$A$2:$A$1001,2)*$I9)</f>
        <v>310</v>
      </c>
      <c r="P9" s="291">
        <f t="shared" si="7"/>
        <v>-580</v>
      </c>
      <c r="Q9" s="292">
        <f t="shared" si="8"/>
        <v>-4.8945147679324896E-2</v>
      </c>
    </row>
    <row r="10" spans="1:17" ht="15" customHeight="1" x14ac:dyDescent="0.2">
      <c r="A10" s="243" t="str">
        <f>IFERROR(INDEX(Txn[Key],MATCH(0,INDEX(COUNTIF($A$1:A9,Txn[Key])+(Txn[Key]=""),0),0)),"")</f>
        <v>USX:NVDA:USD</v>
      </c>
      <c r="B10" s="243" t="str">
        <f t="shared" si="0"/>
        <v>USX</v>
      </c>
      <c r="C10" s="243" t="str">
        <f t="shared" si="1"/>
        <v>NVDA</v>
      </c>
      <c r="D10" s="243" t="str">
        <f t="shared" si="2"/>
        <v>USD</v>
      </c>
      <c r="E10" s="265">
        <f>IF($A10="","",SUMIFS(Txn[Signed Units],Txn[Key],$A10))</f>
        <v>0</v>
      </c>
      <c r="F10" s="287">
        <f>IF($A10="","",SUMIFS(Txn[Buy Cost],Txn[Key],$A10))</f>
        <v>4805</v>
      </c>
      <c r="G10" s="287">
        <f>IF($A10="","",SUMIFS(Txn[Sell Proceeds],Txn[Key],$A10))</f>
        <v>17995</v>
      </c>
      <c r="H10" s="288">
        <f>IF($A10="","",IFERROR(INDEX(Prices[Current Price],MATCH($A10,Prices[Key],0)),0))</f>
        <v>170</v>
      </c>
      <c r="I10" s="289">
        <f>IF($A10="","",IFERROR(INDEX(Prices[FX to SGD],MATCH($A10,Prices[Key],0)),1))</f>
        <v>1.2928081084924601</v>
      </c>
      <c r="J10" s="287">
        <f t="shared" si="3"/>
        <v>0</v>
      </c>
      <c r="K10" s="287">
        <f t="shared" si="4"/>
        <v>13190</v>
      </c>
      <c r="L10" s="287">
        <f t="shared" si="5"/>
        <v>17052.13895101555</v>
      </c>
      <c r="M10" s="290">
        <f t="shared" si="6"/>
        <v>2.7450572320499478</v>
      </c>
      <c r="N10" s="243" t="str">
        <f>IF($A10="","",IF(ABS(E10)&gt;0.000001,COUNT($N$1:N9)+1,""))</f>
        <v/>
      </c>
      <c r="O10" s="291">
        <f>IF($A10="","",SUMIFS(Transactions!$H$2:$H$1001,Transactions!$J$2:$J$1001,$A10,Transactions!$A$2:$A$1001,2)*$I10)</f>
        <v>0</v>
      </c>
      <c r="P10" s="291">
        <f t="shared" si="7"/>
        <v>17052.13895101555</v>
      </c>
      <c r="Q10" s="292">
        <f t="shared" si="8"/>
        <v>2.7450572320499482</v>
      </c>
    </row>
    <row r="11" spans="1:17" ht="15" customHeight="1" x14ac:dyDescent="0.2">
      <c r="A11" s="243" t="str">
        <f>IFERROR(INDEX(Txn[Key],MATCH(0,INDEX(COUNTIF($A$1:A10,Txn[Key])+(Txn[Key]=""),0),0)),"")</f>
        <v>SGX:CLR:SGD</v>
      </c>
      <c r="B11" s="243" t="str">
        <f t="shared" si="0"/>
        <v>SGX</v>
      </c>
      <c r="C11" s="243" t="str">
        <f t="shared" si="1"/>
        <v>CLR</v>
      </c>
      <c r="D11" s="243" t="str">
        <f t="shared" si="2"/>
        <v>SGD</v>
      </c>
      <c r="E11" s="265">
        <f>IF($A11="","",SUMIFS(Txn[Signed Units],Txn[Key],$A11))</f>
        <v>10000</v>
      </c>
      <c r="F11" s="287">
        <f>IF($A11="","",SUMIFS(Txn[Buy Cost],Txn[Key],$A11))</f>
        <v>7025</v>
      </c>
      <c r="G11" s="287">
        <f>IF($A11="","",SUMIFS(Txn[Sell Proceeds],Txn[Key],$A11))</f>
        <v>0</v>
      </c>
      <c r="H11" s="288">
        <f>IF($A11="","",IFERROR(INDEX(Prices[Current Price],MATCH($A11,Prices[Key],0)),0))</f>
        <v>0.81499999999999995</v>
      </c>
      <c r="I11" s="289">
        <f>IF($A11="","",IFERROR(INDEX(Prices[FX to SGD],MATCH($A11,Prices[Key],0)),1))</f>
        <v>1</v>
      </c>
      <c r="J11" s="287">
        <f t="shared" si="3"/>
        <v>8149.9999999999991</v>
      </c>
      <c r="K11" s="287">
        <f t="shared" si="4"/>
        <v>1124.9999999999991</v>
      </c>
      <c r="L11" s="287">
        <f t="shared" si="5"/>
        <v>1124.9999999999991</v>
      </c>
      <c r="M11" s="290">
        <f t="shared" si="6"/>
        <v>0.16014234875444827</v>
      </c>
      <c r="N11" s="243">
        <f>IF($A11="","",IF(ABS(E11)&gt;0.000001,COUNT($N$1:N10)+1,""))</f>
        <v>9</v>
      </c>
      <c r="O11" s="291">
        <f>IF($A11="","",SUMIFS(Transactions!$H$2:$H$1001,Transactions!$J$2:$J$1001,$A11,Transactions!$A$2:$A$1001,2)*$I11)</f>
        <v>0</v>
      </c>
      <c r="P11" s="291">
        <f t="shared" si="7"/>
        <v>1124.9999999999991</v>
      </c>
      <c r="Q11" s="292">
        <f t="shared" si="8"/>
        <v>0.16014234875444827</v>
      </c>
    </row>
    <row r="12" spans="1:17" ht="15" customHeight="1" x14ac:dyDescent="0.2">
      <c r="A12" s="243" t="str">
        <f>IFERROR(INDEX(Txn[Key],MATCH(0,INDEX(COUNTIF($A$1:A11,Txn[Key])+(Txn[Key]=""),0),0)),"")</f>
        <v/>
      </c>
      <c r="B12" s="243" t="str">
        <f t="shared" si="0"/>
        <v/>
      </c>
      <c r="C12" s="243" t="str">
        <f t="shared" si="1"/>
        <v/>
      </c>
      <c r="D12" s="243" t="str">
        <f t="shared" si="2"/>
        <v/>
      </c>
      <c r="E12" s="265" t="str">
        <f>IF($A12="","",SUMIFS(Txn[Signed Units],Txn[Key],$A12))</f>
        <v/>
      </c>
      <c r="F12" s="287" t="str">
        <f>IF($A12="","",SUMIFS(Txn[Buy Cost],Txn[Key],$A12))</f>
        <v/>
      </c>
      <c r="G12" s="287" t="str">
        <f>IF($A12="","",SUMIFS(Txn[Sell Proceeds],Txn[Key],$A12))</f>
        <v/>
      </c>
      <c r="H12" s="288" t="str">
        <f>IF($A12="","",IFERROR(INDEX(Prices[Current Price],MATCH($A12,Prices[Key],0)),0))</f>
        <v/>
      </c>
      <c r="I12" s="289" t="str">
        <f>IF($A12="","",IFERROR(INDEX(Prices[FX to SGD],MATCH($A12,Prices[Key],0)),1))</f>
        <v/>
      </c>
      <c r="J12" s="287" t="str">
        <f t="shared" si="3"/>
        <v/>
      </c>
      <c r="K12" s="287" t="str">
        <f t="shared" si="4"/>
        <v/>
      </c>
      <c r="L12" s="287" t="str">
        <f t="shared" si="5"/>
        <v/>
      </c>
      <c r="M12" s="290" t="str">
        <f t="shared" si="6"/>
        <v/>
      </c>
      <c r="N12" s="243" t="str">
        <f>IF($A12="","",IF(ABS(E12)&gt;0.000001,COUNT($N$1:N11)+1,""))</f>
        <v/>
      </c>
      <c r="O12" s="291" t="str">
        <f>IF($A12="","",SUMIFS(Transactions!$H$2:$H$1001,Transactions!$J$2:$J$1001,$A12,Transactions!$A$2:$A$1001,2)*$I12)</f>
        <v/>
      </c>
      <c r="P12" s="291" t="str">
        <f t="shared" si="7"/>
        <v/>
      </c>
      <c r="Q12" s="292" t="str">
        <f t="shared" si="8"/>
        <v/>
      </c>
    </row>
    <row r="13" spans="1:17" ht="15" customHeight="1" x14ac:dyDescent="0.2">
      <c r="A13" s="243" t="str">
        <f>IFERROR(INDEX(Txn[Key],MATCH(0,INDEX(COUNTIF($A$1:A12,Txn[Key])+(Txn[Key]=""),0),0)),"")</f>
        <v/>
      </c>
      <c r="B13" s="243" t="str">
        <f t="shared" si="0"/>
        <v/>
      </c>
      <c r="C13" s="243" t="str">
        <f t="shared" si="1"/>
        <v/>
      </c>
      <c r="D13" s="243" t="str">
        <f t="shared" si="2"/>
        <v/>
      </c>
      <c r="E13" s="265" t="str">
        <f>IF($A13="","",SUMIFS(Txn[Signed Units],Txn[Key],$A13))</f>
        <v/>
      </c>
      <c r="F13" s="287" t="str">
        <f>IF($A13="","",SUMIFS(Txn[Buy Cost],Txn[Key],$A13))</f>
        <v/>
      </c>
      <c r="G13" s="287" t="str">
        <f>IF($A13="","",SUMIFS(Txn[Sell Proceeds],Txn[Key],$A13))</f>
        <v/>
      </c>
      <c r="H13" s="288" t="str">
        <f>IF($A13="","",IFERROR(INDEX(Prices[Current Price],MATCH($A13,Prices[Key],0)),0))</f>
        <v/>
      </c>
      <c r="I13" s="289" t="str">
        <f>IF($A13="","",IFERROR(INDEX(Prices[FX to SGD],MATCH($A13,Prices[Key],0)),1))</f>
        <v/>
      </c>
      <c r="J13" s="287" t="str">
        <f t="shared" si="3"/>
        <v/>
      </c>
      <c r="K13" s="287" t="str">
        <f t="shared" si="4"/>
        <v/>
      </c>
      <c r="L13" s="287" t="str">
        <f t="shared" si="5"/>
        <v/>
      </c>
      <c r="M13" s="290" t="str">
        <f t="shared" si="6"/>
        <v/>
      </c>
      <c r="N13" s="243" t="str">
        <f>IF($A13="","",IF(ABS(E13)&gt;0.000001,COUNT($N$1:N12)+1,""))</f>
        <v/>
      </c>
      <c r="O13" s="291" t="str">
        <f>IF($A13="","",SUMIFS(Transactions!$H$2:$H$1001,Transactions!$J$2:$J$1001,$A13,Transactions!$A$2:$A$1001,2)*$I13)</f>
        <v/>
      </c>
      <c r="P13" s="291" t="str">
        <f t="shared" si="7"/>
        <v/>
      </c>
      <c r="Q13" s="292" t="str">
        <f t="shared" si="8"/>
        <v/>
      </c>
    </row>
    <row r="14" spans="1:17" ht="15" customHeight="1" x14ac:dyDescent="0.2">
      <c r="A14" s="243" t="str">
        <f>IFERROR(INDEX(Txn[Key],MATCH(0,INDEX(COUNTIF($A$1:A13,Txn[Key])+(Txn[Key]=""),0),0)),"")</f>
        <v/>
      </c>
      <c r="B14" s="243" t="str">
        <f t="shared" si="0"/>
        <v/>
      </c>
      <c r="C14" s="243" t="str">
        <f t="shared" si="1"/>
        <v/>
      </c>
      <c r="D14" s="243" t="str">
        <f t="shared" si="2"/>
        <v/>
      </c>
      <c r="E14" s="265" t="str">
        <f>IF($A14="","",SUMIFS(Txn[Signed Units],Txn[Key],$A14))</f>
        <v/>
      </c>
      <c r="F14" s="287" t="str">
        <f>IF($A14="","",SUMIFS(Txn[Buy Cost],Txn[Key],$A14))</f>
        <v/>
      </c>
      <c r="G14" s="287" t="str">
        <f>IF($A14="","",SUMIFS(Txn[Sell Proceeds],Txn[Key],$A14))</f>
        <v/>
      </c>
      <c r="H14" s="288" t="str">
        <f>IF($A14="","",IFERROR(INDEX(Prices[Current Price],MATCH($A14,Prices[Key],0)),0))</f>
        <v/>
      </c>
      <c r="I14" s="289" t="str">
        <f>IF($A14="","",IFERROR(INDEX(Prices[FX to SGD],MATCH($A14,Prices[Key],0)),1))</f>
        <v/>
      </c>
      <c r="J14" s="287" t="str">
        <f t="shared" si="3"/>
        <v/>
      </c>
      <c r="K14" s="287" t="str">
        <f t="shared" si="4"/>
        <v/>
      </c>
      <c r="L14" s="287" t="str">
        <f t="shared" si="5"/>
        <v/>
      </c>
      <c r="M14" s="290" t="str">
        <f t="shared" si="6"/>
        <v/>
      </c>
      <c r="N14" s="243" t="str">
        <f>IF($A14="","",IF(ABS(E14)&gt;0.000001,COUNT($N$1:N13)+1,""))</f>
        <v/>
      </c>
      <c r="O14" s="291" t="str">
        <f>IF($A14="","",SUMIFS(Transactions!$H$2:$H$1001,Transactions!$J$2:$J$1001,$A14,Transactions!$A$2:$A$1001,2)*$I14)</f>
        <v/>
      </c>
      <c r="P14" s="291" t="str">
        <f t="shared" si="7"/>
        <v/>
      </c>
      <c r="Q14" s="292" t="str">
        <f t="shared" si="8"/>
        <v/>
      </c>
    </row>
    <row r="15" spans="1:17" ht="15" customHeight="1" x14ac:dyDescent="0.2">
      <c r="A15" s="243" t="str">
        <f>IFERROR(INDEX(Txn[Key],MATCH(0,INDEX(COUNTIF($A$1:A14,Txn[Key])+(Txn[Key]=""),0),0)),"")</f>
        <v/>
      </c>
      <c r="B15" s="243" t="str">
        <f t="shared" si="0"/>
        <v/>
      </c>
      <c r="C15" s="243" t="str">
        <f t="shared" si="1"/>
        <v/>
      </c>
      <c r="D15" s="243" t="str">
        <f t="shared" si="2"/>
        <v/>
      </c>
      <c r="E15" s="265" t="str">
        <f>IF($A15="","",SUMIFS(Txn[Signed Units],Txn[Key],$A15))</f>
        <v/>
      </c>
      <c r="F15" s="287" t="str">
        <f>IF($A15="","",SUMIFS(Txn[Buy Cost],Txn[Key],$A15))</f>
        <v/>
      </c>
      <c r="G15" s="287" t="str">
        <f>IF($A15="","",SUMIFS(Txn[Sell Proceeds],Txn[Key],$A15))</f>
        <v/>
      </c>
      <c r="H15" s="288" t="str">
        <f>IF($A15="","",IFERROR(INDEX(Prices[Current Price],MATCH($A15,Prices[Key],0)),0))</f>
        <v/>
      </c>
      <c r="I15" s="289" t="str">
        <f>IF($A15="","",IFERROR(INDEX(Prices[FX to SGD],MATCH($A15,Prices[Key],0)),1))</f>
        <v/>
      </c>
      <c r="J15" s="287" t="str">
        <f t="shared" si="3"/>
        <v/>
      </c>
      <c r="K15" s="287" t="str">
        <f t="shared" si="4"/>
        <v/>
      </c>
      <c r="L15" s="287" t="str">
        <f t="shared" si="5"/>
        <v/>
      </c>
      <c r="M15" s="290" t="str">
        <f t="shared" si="6"/>
        <v/>
      </c>
      <c r="N15" s="243" t="str">
        <f>IF($A15="","",IF(ABS(E15)&gt;0.000001,COUNT($N$1:N14)+1,""))</f>
        <v/>
      </c>
      <c r="O15" s="291" t="str">
        <f>IF($A15="","",SUMIFS(Transactions!$H$2:$H$1001,Transactions!$J$2:$J$1001,$A15,Transactions!$A$2:$A$1001,2)*$I15)</f>
        <v/>
      </c>
      <c r="P15" s="291" t="str">
        <f t="shared" si="7"/>
        <v/>
      </c>
      <c r="Q15" s="292" t="str">
        <f t="shared" si="8"/>
        <v/>
      </c>
    </row>
    <row r="16" spans="1:17" ht="15" customHeight="1" x14ac:dyDescent="0.2">
      <c r="A16" s="243" t="str">
        <f>IFERROR(INDEX(Txn[Key],MATCH(0,INDEX(COUNTIF($A$1:A15,Txn[Key])+(Txn[Key]=""),0),0)),"")</f>
        <v/>
      </c>
      <c r="B16" s="243" t="str">
        <f t="shared" si="0"/>
        <v/>
      </c>
      <c r="C16" s="243" t="str">
        <f t="shared" si="1"/>
        <v/>
      </c>
      <c r="D16" s="243" t="str">
        <f t="shared" si="2"/>
        <v/>
      </c>
      <c r="E16" s="265" t="str">
        <f>IF($A16="","",SUMIFS(Txn[Signed Units],Txn[Key],$A16))</f>
        <v/>
      </c>
      <c r="F16" s="287" t="str">
        <f>IF($A16="","",SUMIFS(Txn[Buy Cost],Txn[Key],$A16))</f>
        <v/>
      </c>
      <c r="G16" s="287" t="str">
        <f>IF($A16="","",SUMIFS(Txn[Sell Proceeds],Txn[Key],$A16))</f>
        <v/>
      </c>
      <c r="H16" s="288" t="str">
        <f>IF($A16="","",IFERROR(INDEX(Prices[Current Price],MATCH($A16,Prices[Key],0)),0))</f>
        <v/>
      </c>
      <c r="I16" s="289" t="str">
        <f>IF($A16="","",IFERROR(INDEX(Prices[FX to SGD],MATCH($A16,Prices[Key],0)),1))</f>
        <v/>
      </c>
      <c r="J16" s="287" t="str">
        <f t="shared" si="3"/>
        <v/>
      </c>
      <c r="K16" s="287" t="str">
        <f t="shared" si="4"/>
        <v/>
      </c>
      <c r="L16" s="287" t="str">
        <f t="shared" si="5"/>
        <v/>
      </c>
      <c r="M16" s="290" t="str">
        <f t="shared" si="6"/>
        <v/>
      </c>
      <c r="N16" s="243" t="str">
        <f>IF($A16="","",IF(ABS(E16)&gt;0.000001,COUNT($N$1:N15)+1,""))</f>
        <v/>
      </c>
      <c r="O16" s="291" t="str">
        <f>IF($A16="","",SUMIFS(Transactions!$H$2:$H$1001,Transactions!$J$2:$J$1001,$A16,Transactions!$A$2:$A$1001,2)*$I16)</f>
        <v/>
      </c>
      <c r="P16" s="291" t="str">
        <f t="shared" si="7"/>
        <v/>
      </c>
      <c r="Q16" s="292" t="str">
        <f t="shared" si="8"/>
        <v/>
      </c>
    </row>
    <row r="17" spans="1:17" ht="15" customHeight="1" x14ac:dyDescent="0.2">
      <c r="A17" s="243" t="str">
        <f>IFERROR(INDEX(Txn[Key],MATCH(0,INDEX(COUNTIF($A$1:A16,Txn[Key])+(Txn[Key]=""),0),0)),"")</f>
        <v/>
      </c>
      <c r="B17" s="243" t="str">
        <f t="shared" si="0"/>
        <v/>
      </c>
      <c r="C17" s="243" t="str">
        <f t="shared" si="1"/>
        <v/>
      </c>
      <c r="D17" s="243" t="str">
        <f t="shared" si="2"/>
        <v/>
      </c>
      <c r="E17" s="265" t="str">
        <f>IF($A17="","",SUMIFS(Txn[Signed Units],Txn[Key],$A17))</f>
        <v/>
      </c>
      <c r="F17" s="287" t="str">
        <f>IF($A17="","",SUMIFS(Txn[Buy Cost],Txn[Key],$A17))</f>
        <v/>
      </c>
      <c r="G17" s="287" t="str">
        <f>IF($A17="","",SUMIFS(Txn[Sell Proceeds],Txn[Key],$A17))</f>
        <v/>
      </c>
      <c r="H17" s="288" t="str">
        <f>IF($A17="","",IFERROR(INDEX(Prices[Current Price],MATCH($A17,Prices[Key],0)),0))</f>
        <v/>
      </c>
      <c r="I17" s="289" t="str">
        <f>IF($A17="","",IFERROR(INDEX(Prices[FX to SGD],MATCH($A17,Prices[Key],0)),1))</f>
        <v/>
      </c>
      <c r="J17" s="287" t="str">
        <f t="shared" si="3"/>
        <v/>
      </c>
      <c r="K17" s="287" t="str">
        <f t="shared" si="4"/>
        <v/>
      </c>
      <c r="L17" s="287" t="str">
        <f t="shared" si="5"/>
        <v/>
      </c>
      <c r="M17" s="290" t="str">
        <f t="shared" si="6"/>
        <v/>
      </c>
      <c r="N17" s="243" t="str">
        <f>IF($A17="","",IF(ABS(E17)&gt;0.000001,COUNT($N$1:N16)+1,""))</f>
        <v/>
      </c>
      <c r="O17" s="291" t="str">
        <f>IF($A17="","",SUMIFS(Transactions!$H$2:$H$1001,Transactions!$J$2:$J$1001,$A17,Transactions!$A$2:$A$1001,2)*$I17)</f>
        <v/>
      </c>
      <c r="P17" s="291" t="str">
        <f t="shared" si="7"/>
        <v/>
      </c>
      <c r="Q17" s="292" t="str">
        <f t="shared" si="8"/>
        <v/>
      </c>
    </row>
    <row r="18" spans="1:17" ht="15" customHeight="1" x14ac:dyDescent="0.2">
      <c r="A18" s="243" t="str">
        <f>IFERROR(INDEX(Txn[Key],MATCH(0,INDEX(COUNTIF($A$1:A17,Txn[Key])+(Txn[Key]=""),0),0)),"")</f>
        <v/>
      </c>
      <c r="B18" s="243" t="str">
        <f t="shared" si="0"/>
        <v/>
      </c>
      <c r="C18" s="243" t="str">
        <f t="shared" si="1"/>
        <v/>
      </c>
      <c r="D18" s="243" t="str">
        <f t="shared" si="2"/>
        <v/>
      </c>
      <c r="E18" s="265" t="str">
        <f>IF($A18="","",SUMIFS(Txn[Signed Units],Txn[Key],$A18))</f>
        <v/>
      </c>
      <c r="F18" s="287" t="str">
        <f>IF($A18="","",SUMIFS(Txn[Buy Cost],Txn[Key],$A18))</f>
        <v/>
      </c>
      <c r="G18" s="287" t="str">
        <f>IF($A18="","",SUMIFS(Txn[Sell Proceeds],Txn[Key],$A18))</f>
        <v/>
      </c>
      <c r="H18" s="288" t="str">
        <f>IF($A18="","",IFERROR(INDEX(Prices[Current Price],MATCH($A18,Prices[Key],0)),0))</f>
        <v/>
      </c>
      <c r="I18" s="289" t="str">
        <f>IF($A18="","",IFERROR(INDEX(Prices[FX to SGD],MATCH($A18,Prices[Key],0)),1))</f>
        <v/>
      </c>
      <c r="J18" s="287" t="str">
        <f t="shared" si="3"/>
        <v/>
      </c>
      <c r="K18" s="287" t="str">
        <f t="shared" si="4"/>
        <v/>
      </c>
      <c r="L18" s="287" t="str">
        <f t="shared" si="5"/>
        <v/>
      </c>
      <c r="M18" s="290" t="str">
        <f t="shared" si="6"/>
        <v/>
      </c>
      <c r="N18" s="243" t="str">
        <f>IF($A18="","",IF(ABS(E18)&gt;0.000001,COUNT($N$1:N17)+1,""))</f>
        <v/>
      </c>
      <c r="O18" s="291" t="str">
        <f>IF($A18="","",SUMIFS(Transactions!$H$2:$H$1001,Transactions!$J$2:$J$1001,$A18,Transactions!$A$2:$A$1001,2)*$I18)</f>
        <v/>
      </c>
      <c r="P18" s="291" t="str">
        <f t="shared" si="7"/>
        <v/>
      </c>
      <c r="Q18" s="292" t="str">
        <f t="shared" si="8"/>
        <v/>
      </c>
    </row>
    <row r="19" spans="1:17" ht="15" customHeight="1" x14ac:dyDescent="0.2">
      <c r="A19" s="243" t="str">
        <f>IFERROR(INDEX(Txn[Key],MATCH(0,INDEX(COUNTIF($A$1:A18,Txn[Key])+(Txn[Key]=""),0),0)),"")</f>
        <v/>
      </c>
      <c r="B19" s="243" t="str">
        <f t="shared" si="0"/>
        <v/>
      </c>
      <c r="C19" s="243" t="str">
        <f t="shared" si="1"/>
        <v/>
      </c>
      <c r="D19" s="243" t="str">
        <f t="shared" si="2"/>
        <v/>
      </c>
      <c r="E19" s="265" t="str">
        <f>IF($A19="","",SUMIFS(Txn[Signed Units],Txn[Key],$A19))</f>
        <v/>
      </c>
      <c r="F19" s="287" t="str">
        <f>IF($A19="","",SUMIFS(Txn[Buy Cost],Txn[Key],$A19))</f>
        <v/>
      </c>
      <c r="G19" s="287" t="str">
        <f>IF($A19="","",SUMIFS(Txn[Sell Proceeds],Txn[Key],$A19))</f>
        <v/>
      </c>
      <c r="H19" s="288" t="str">
        <f>IF($A19="","",IFERROR(INDEX(Prices[Current Price],MATCH($A19,Prices[Key],0)),0))</f>
        <v/>
      </c>
      <c r="I19" s="289" t="str">
        <f>IF($A19="","",IFERROR(INDEX(Prices[FX to SGD],MATCH($A19,Prices[Key],0)),1))</f>
        <v/>
      </c>
      <c r="J19" s="287" t="str">
        <f t="shared" si="3"/>
        <v/>
      </c>
      <c r="K19" s="287" t="str">
        <f t="shared" si="4"/>
        <v/>
      </c>
      <c r="L19" s="287" t="str">
        <f t="shared" si="5"/>
        <v/>
      </c>
      <c r="M19" s="290" t="str">
        <f t="shared" si="6"/>
        <v/>
      </c>
      <c r="N19" s="243" t="str">
        <f>IF($A19="","",IF(ABS(E19)&gt;0.000001,COUNT($N$1:N18)+1,""))</f>
        <v/>
      </c>
      <c r="O19" s="291" t="str">
        <f>IF($A19="","",SUMIFS(Transactions!$H$2:$H$1001,Transactions!$J$2:$J$1001,$A19,Transactions!$A$2:$A$1001,2)*$I19)</f>
        <v/>
      </c>
      <c r="P19" s="291" t="str">
        <f t="shared" si="7"/>
        <v/>
      </c>
      <c r="Q19" s="292" t="str">
        <f t="shared" si="8"/>
        <v/>
      </c>
    </row>
    <row r="20" spans="1:17" ht="15" customHeight="1" x14ac:dyDescent="0.2">
      <c r="A20" s="243" t="str">
        <f>IFERROR(INDEX(Txn[Key],MATCH(0,INDEX(COUNTIF($A$1:A19,Txn[Key])+(Txn[Key]=""),0),0)),"")</f>
        <v/>
      </c>
      <c r="B20" s="243" t="str">
        <f t="shared" si="0"/>
        <v/>
      </c>
      <c r="C20" s="243" t="str">
        <f t="shared" si="1"/>
        <v/>
      </c>
      <c r="D20" s="243" t="str">
        <f t="shared" si="2"/>
        <v/>
      </c>
      <c r="E20" s="265" t="str">
        <f>IF($A20="","",SUMIFS(Txn[Signed Units],Txn[Key],$A20))</f>
        <v/>
      </c>
      <c r="F20" s="287" t="str">
        <f>IF($A20="","",SUMIFS(Txn[Buy Cost],Txn[Key],$A20))</f>
        <v/>
      </c>
      <c r="G20" s="287" t="str">
        <f>IF($A20="","",SUMIFS(Txn[Sell Proceeds],Txn[Key],$A20))</f>
        <v/>
      </c>
      <c r="H20" s="288" t="str">
        <f>IF($A20="","",IFERROR(INDEX(Prices[Current Price],MATCH($A20,Prices[Key],0)),0))</f>
        <v/>
      </c>
      <c r="I20" s="289" t="str">
        <f>IF($A20="","",IFERROR(INDEX(Prices[FX to SGD],MATCH($A20,Prices[Key],0)),1))</f>
        <v/>
      </c>
      <c r="J20" s="287" t="str">
        <f t="shared" si="3"/>
        <v/>
      </c>
      <c r="K20" s="287" t="str">
        <f t="shared" si="4"/>
        <v/>
      </c>
      <c r="L20" s="287" t="str">
        <f t="shared" si="5"/>
        <v/>
      </c>
      <c r="M20" s="290" t="str">
        <f t="shared" si="6"/>
        <v/>
      </c>
      <c r="N20" s="243" t="str">
        <f>IF($A20="","",IF(ABS(E20)&gt;0.000001,COUNT($N$1:N19)+1,""))</f>
        <v/>
      </c>
      <c r="O20" s="291" t="str">
        <f>IF($A20="","",SUMIFS(Transactions!$H$2:$H$1001,Transactions!$J$2:$J$1001,$A20,Transactions!$A$2:$A$1001,2)*$I20)</f>
        <v/>
      </c>
      <c r="P20" s="291" t="str">
        <f t="shared" si="7"/>
        <v/>
      </c>
      <c r="Q20" s="292" t="str">
        <f t="shared" si="8"/>
        <v/>
      </c>
    </row>
    <row r="21" spans="1:17" ht="15" customHeight="1" x14ac:dyDescent="0.2">
      <c r="A21" s="243" t="str">
        <f>IFERROR(INDEX(Txn[Key],MATCH(0,INDEX(COUNTIF($A$1:A20,Txn[Key])+(Txn[Key]=""),0),0)),"")</f>
        <v/>
      </c>
      <c r="B21" s="243" t="str">
        <f t="shared" si="0"/>
        <v/>
      </c>
      <c r="C21" s="243" t="str">
        <f t="shared" si="1"/>
        <v/>
      </c>
      <c r="D21" s="243" t="str">
        <f t="shared" si="2"/>
        <v/>
      </c>
      <c r="E21" s="265" t="str">
        <f>IF($A21="","",SUMIFS(Txn[Signed Units],Txn[Key],$A21))</f>
        <v/>
      </c>
      <c r="F21" s="287" t="str">
        <f>IF($A21="","",SUMIFS(Txn[Buy Cost],Txn[Key],$A21))</f>
        <v/>
      </c>
      <c r="G21" s="287" t="str">
        <f>IF($A21="","",SUMIFS(Txn[Sell Proceeds],Txn[Key],$A21))</f>
        <v/>
      </c>
      <c r="H21" s="288" t="str">
        <f>IF($A21="","",IFERROR(INDEX(Prices[Current Price],MATCH($A21,Prices[Key],0)),0))</f>
        <v/>
      </c>
      <c r="I21" s="289" t="str">
        <f>IF($A21="","",IFERROR(INDEX(Prices[FX to SGD],MATCH($A21,Prices[Key],0)),1))</f>
        <v/>
      </c>
      <c r="J21" s="287" t="str">
        <f t="shared" si="3"/>
        <v/>
      </c>
      <c r="K21" s="287" t="str">
        <f t="shared" si="4"/>
        <v/>
      </c>
      <c r="L21" s="287" t="str">
        <f t="shared" si="5"/>
        <v/>
      </c>
      <c r="M21" s="290" t="str">
        <f t="shared" si="6"/>
        <v/>
      </c>
      <c r="N21" s="243" t="str">
        <f>IF($A21="","",IF(ABS(E21)&gt;0.000001,COUNT($N$1:N20)+1,""))</f>
        <v/>
      </c>
      <c r="O21" s="291" t="str">
        <f>IF($A21="","",SUMIFS(Transactions!$H$2:$H$1001,Transactions!$J$2:$J$1001,$A21,Transactions!$A$2:$A$1001,2)*$I21)</f>
        <v/>
      </c>
      <c r="P21" s="291" t="str">
        <f t="shared" si="7"/>
        <v/>
      </c>
      <c r="Q21" s="292" t="str">
        <f t="shared" si="8"/>
        <v/>
      </c>
    </row>
    <row r="22" spans="1:17" ht="15" customHeight="1" x14ac:dyDescent="0.2">
      <c r="A22" s="243" t="str">
        <f>IFERROR(INDEX(Txn[Key],MATCH(0,INDEX(COUNTIF($A$1:A21,Txn[Key])+(Txn[Key]=""),0),0)),"")</f>
        <v/>
      </c>
      <c r="B22" s="243" t="str">
        <f t="shared" si="0"/>
        <v/>
      </c>
      <c r="C22" s="243" t="str">
        <f t="shared" si="1"/>
        <v/>
      </c>
      <c r="D22" s="243" t="str">
        <f t="shared" si="2"/>
        <v/>
      </c>
      <c r="E22" s="265" t="str">
        <f>IF($A22="","",SUMIFS(Txn[Signed Units],Txn[Key],$A22))</f>
        <v/>
      </c>
      <c r="F22" s="287" t="str">
        <f>IF($A22="","",SUMIFS(Txn[Buy Cost],Txn[Key],$A22))</f>
        <v/>
      </c>
      <c r="G22" s="287" t="str">
        <f>IF($A22="","",SUMIFS(Txn[Sell Proceeds],Txn[Key],$A22))</f>
        <v/>
      </c>
      <c r="H22" s="288" t="str">
        <f>IF($A22="","",IFERROR(INDEX(Prices[Current Price],MATCH($A22,Prices[Key],0)),0))</f>
        <v/>
      </c>
      <c r="I22" s="289" t="str">
        <f>IF($A22="","",IFERROR(INDEX(Prices[FX to SGD],MATCH($A22,Prices[Key],0)),1))</f>
        <v/>
      </c>
      <c r="J22" s="287" t="str">
        <f t="shared" si="3"/>
        <v/>
      </c>
      <c r="K22" s="287" t="str">
        <f t="shared" si="4"/>
        <v/>
      </c>
      <c r="L22" s="287" t="str">
        <f t="shared" si="5"/>
        <v/>
      </c>
      <c r="M22" s="290" t="str">
        <f t="shared" si="6"/>
        <v/>
      </c>
      <c r="N22" s="243" t="str">
        <f>IF($A22="","",IF(ABS(E22)&gt;0.000001,COUNT($N$1:N21)+1,""))</f>
        <v/>
      </c>
      <c r="O22" s="291" t="str">
        <f>IF($A22="","",SUMIFS(Transactions!$H$2:$H$1001,Transactions!$J$2:$J$1001,$A22,Transactions!$A$2:$A$1001,2)*$I22)</f>
        <v/>
      </c>
      <c r="P22" s="291" t="str">
        <f t="shared" si="7"/>
        <v/>
      </c>
      <c r="Q22" s="292" t="str">
        <f t="shared" si="8"/>
        <v/>
      </c>
    </row>
    <row r="23" spans="1:17" ht="15" customHeight="1" x14ac:dyDescent="0.2">
      <c r="A23" s="243" t="str">
        <f>IFERROR(INDEX(Txn[Key],MATCH(0,INDEX(COUNTIF($A$1:A22,Txn[Key])+(Txn[Key]=""),0),0)),"")</f>
        <v/>
      </c>
      <c r="B23" s="243" t="str">
        <f t="shared" si="0"/>
        <v/>
      </c>
      <c r="C23" s="243" t="str">
        <f t="shared" si="1"/>
        <v/>
      </c>
      <c r="D23" s="243" t="str">
        <f t="shared" si="2"/>
        <v/>
      </c>
      <c r="E23" s="265" t="str">
        <f>IF($A23="","",SUMIFS(Txn[Signed Units],Txn[Key],$A23))</f>
        <v/>
      </c>
      <c r="F23" s="287" t="str">
        <f>IF($A23="","",SUMIFS(Txn[Buy Cost],Txn[Key],$A23))</f>
        <v/>
      </c>
      <c r="G23" s="287" t="str">
        <f>IF($A23="","",SUMIFS(Txn[Sell Proceeds],Txn[Key],$A23))</f>
        <v/>
      </c>
      <c r="H23" s="288" t="str">
        <f>IF($A23="","",IFERROR(INDEX(Prices[Current Price],MATCH($A23,Prices[Key],0)),0))</f>
        <v/>
      </c>
      <c r="I23" s="289" t="str">
        <f>IF($A23="","",IFERROR(INDEX(Prices[FX to SGD],MATCH($A23,Prices[Key],0)),1))</f>
        <v/>
      </c>
      <c r="J23" s="287" t="str">
        <f t="shared" si="3"/>
        <v/>
      </c>
      <c r="K23" s="287" t="str">
        <f t="shared" si="4"/>
        <v/>
      </c>
      <c r="L23" s="287" t="str">
        <f t="shared" si="5"/>
        <v/>
      </c>
      <c r="M23" s="290" t="str">
        <f t="shared" si="6"/>
        <v/>
      </c>
      <c r="N23" s="243" t="str">
        <f>IF($A23="","",IF(ABS(E23)&gt;0.000001,COUNT($N$1:N22)+1,""))</f>
        <v/>
      </c>
      <c r="O23" s="291" t="str">
        <f>IF($A23="","",SUMIFS(Transactions!$H$2:$H$1001,Transactions!$J$2:$J$1001,$A23,Transactions!$A$2:$A$1001,2)*$I23)</f>
        <v/>
      </c>
      <c r="P23" s="291" t="str">
        <f t="shared" si="7"/>
        <v/>
      </c>
      <c r="Q23" s="292" t="str">
        <f t="shared" si="8"/>
        <v/>
      </c>
    </row>
    <row r="24" spans="1:17" ht="15" customHeight="1" x14ac:dyDescent="0.2">
      <c r="A24" s="243" t="str">
        <f>IFERROR(INDEX(Txn[Key],MATCH(0,INDEX(COUNTIF($A$1:A23,Txn[Key])+(Txn[Key]=""),0),0)),"")</f>
        <v/>
      </c>
      <c r="B24" s="243" t="str">
        <f t="shared" si="0"/>
        <v/>
      </c>
      <c r="C24" s="243" t="str">
        <f t="shared" si="1"/>
        <v/>
      </c>
      <c r="D24" s="243" t="str">
        <f t="shared" si="2"/>
        <v/>
      </c>
      <c r="E24" s="265" t="str">
        <f>IF($A24="","",SUMIFS(Txn[Signed Units],Txn[Key],$A24))</f>
        <v/>
      </c>
      <c r="F24" s="287" t="str">
        <f>IF($A24="","",SUMIFS(Txn[Buy Cost],Txn[Key],$A24))</f>
        <v/>
      </c>
      <c r="G24" s="287" t="str">
        <f>IF($A24="","",SUMIFS(Txn[Sell Proceeds],Txn[Key],$A24))</f>
        <v/>
      </c>
      <c r="H24" s="288" t="str">
        <f>IF($A24="","",IFERROR(INDEX(Prices[Current Price],MATCH($A24,Prices[Key],0)),0))</f>
        <v/>
      </c>
      <c r="I24" s="289" t="str">
        <f>IF($A24="","",IFERROR(INDEX(Prices[FX to SGD],MATCH($A24,Prices[Key],0)),1))</f>
        <v/>
      </c>
      <c r="J24" s="287" t="str">
        <f t="shared" si="3"/>
        <v/>
      </c>
      <c r="K24" s="287" t="str">
        <f t="shared" si="4"/>
        <v/>
      </c>
      <c r="L24" s="287" t="str">
        <f t="shared" si="5"/>
        <v/>
      </c>
      <c r="M24" s="290" t="str">
        <f t="shared" si="6"/>
        <v/>
      </c>
      <c r="N24" s="243" t="str">
        <f>IF($A24="","",IF(ABS(E24)&gt;0.000001,COUNT($N$1:N23)+1,""))</f>
        <v/>
      </c>
      <c r="O24" s="291" t="str">
        <f>IF($A24="","",SUMIFS(Transactions!$H$2:$H$1001,Transactions!$J$2:$J$1001,$A24,Transactions!$A$2:$A$1001,2)*$I24)</f>
        <v/>
      </c>
      <c r="P24" s="291" t="str">
        <f t="shared" si="7"/>
        <v/>
      </c>
      <c r="Q24" s="292" t="str">
        <f t="shared" si="8"/>
        <v/>
      </c>
    </row>
    <row r="25" spans="1:17" ht="15" customHeight="1" x14ac:dyDescent="0.2">
      <c r="A25" s="243" t="str">
        <f>IFERROR(INDEX(Txn[Key],MATCH(0,INDEX(COUNTIF($A$1:A24,Txn[Key])+(Txn[Key]=""),0),0)),"")</f>
        <v/>
      </c>
      <c r="B25" s="243" t="str">
        <f t="shared" si="0"/>
        <v/>
      </c>
      <c r="C25" s="243" t="str">
        <f t="shared" si="1"/>
        <v/>
      </c>
      <c r="D25" s="243" t="str">
        <f t="shared" si="2"/>
        <v/>
      </c>
      <c r="E25" s="265" t="str">
        <f>IF($A25="","",SUMIFS(Txn[Signed Units],Txn[Key],$A25))</f>
        <v/>
      </c>
      <c r="F25" s="287" t="str">
        <f>IF($A25="","",SUMIFS(Txn[Buy Cost],Txn[Key],$A25))</f>
        <v/>
      </c>
      <c r="G25" s="287" t="str">
        <f>IF($A25="","",SUMIFS(Txn[Sell Proceeds],Txn[Key],$A25))</f>
        <v/>
      </c>
      <c r="H25" s="288" t="str">
        <f>IF($A25="","",IFERROR(INDEX(Prices[Current Price],MATCH($A25,Prices[Key],0)),0))</f>
        <v/>
      </c>
      <c r="I25" s="289" t="str">
        <f>IF($A25="","",IFERROR(INDEX(Prices[FX to SGD],MATCH($A25,Prices[Key],0)),1))</f>
        <v/>
      </c>
      <c r="J25" s="287" t="str">
        <f t="shared" si="3"/>
        <v/>
      </c>
      <c r="K25" s="287" t="str">
        <f t="shared" si="4"/>
        <v/>
      </c>
      <c r="L25" s="287" t="str">
        <f t="shared" si="5"/>
        <v/>
      </c>
      <c r="M25" s="290" t="str">
        <f t="shared" si="6"/>
        <v/>
      </c>
      <c r="N25" s="243" t="str">
        <f>IF($A25="","",IF(ABS(E25)&gt;0.000001,COUNT($N$1:N24)+1,""))</f>
        <v/>
      </c>
      <c r="O25" s="291" t="str">
        <f>IF($A25="","",SUMIFS(Transactions!$H$2:$H$1001,Transactions!$J$2:$J$1001,$A25,Transactions!$A$2:$A$1001,2)*$I25)</f>
        <v/>
      </c>
      <c r="P25" s="291" t="str">
        <f t="shared" si="7"/>
        <v/>
      </c>
      <c r="Q25" s="292" t="str">
        <f t="shared" si="8"/>
        <v/>
      </c>
    </row>
    <row r="26" spans="1:17" ht="15" customHeight="1" x14ac:dyDescent="0.2">
      <c r="A26" s="243" t="str">
        <f>IFERROR(INDEX(Txn[Key],MATCH(0,INDEX(COUNTIF($A$1:A25,Txn[Key])+(Txn[Key]=""),0),0)),"")</f>
        <v/>
      </c>
      <c r="B26" s="243" t="str">
        <f t="shared" si="0"/>
        <v/>
      </c>
      <c r="C26" s="243" t="str">
        <f t="shared" si="1"/>
        <v/>
      </c>
      <c r="D26" s="243" t="str">
        <f t="shared" si="2"/>
        <v/>
      </c>
      <c r="E26" s="265" t="str">
        <f>IF($A26="","",SUMIFS(Txn[Signed Units],Txn[Key],$A26))</f>
        <v/>
      </c>
      <c r="F26" s="287" t="str">
        <f>IF($A26="","",SUMIFS(Txn[Buy Cost],Txn[Key],$A26))</f>
        <v/>
      </c>
      <c r="G26" s="287" t="str">
        <f>IF($A26="","",SUMIFS(Txn[Sell Proceeds],Txn[Key],$A26))</f>
        <v/>
      </c>
      <c r="H26" s="288" t="str">
        <f>IF($A26="","",IFERROR(INDEX(Prices[Current Price],MATCH($A26,Prices[Key],0)),0))</f>
        <v/>
      </c>
      <c r="I26" s="289" t="str">
        <f>IF($A26="","",IFERROR(INDEX(Prices[FX to SGD],MATCH($A26,Prices[Key],0)),1))</f>
        <v/>
      </c>
      <c r="J26" s="287" t="str">
        <f t="shared" si="3"/>
        <v/>
      </c>
      <c r="K26" s="287" t="str">
        <f t="shared" si="4"/>
        <v/>
      </c>
      <c r="L26" s="287" t="str">
        <f t="shared" si="5"/>
        <v/>
      </c>
      <c r="M26" s="290" t="str">
        <f t="shared" si="6"/>
        <v/>
      </c>
      <c r="N26" s="243" t="str">
        <f>IF($A26="","",IF(ABS(E26)&gt;0.000001,COUNT($N$1:N25)+1,""))</f>
        <v/>
      </c>
      <c r="O26" s="291" t="str">
        <f>IF($A26="","",SUMIFS(Transactions!$H$2:$H$1001,Transactions!$J$2:$J$1001,$A26,Transactions!$A$2:$A$1001,2)*$I26)</f>
        <v/>
      </c>
      <c r="P26" s="291" t="str">
        <f t="shared" si="7"/>
        <v/>
      </c>
      <c r="Q26" s="292" t="str">
        <f t="shared" si="8"/>
        <v/>
      </c>
    </row>
    <row r="27" spans="1:17" ht="15" customHeight="1" x14ac:dyDescent="0.2">
      <c r="A27" s="243" t="str">
        <f>IFERROR(INDEX(Txn[Key],MATCH(0,INDEX(COUNTIF($A$1:A26,Txn[Key])+(Txn[Key]=""),0),0)),"")</f>
        <v/>
      </c>
      <c r="B27" s="243" t="str">
        <f t="shared" si="0"/>
        <v/>
      </c>
      <c r="C27" s="243" t="str">
        <f t="shared" si="1"/>
        <v/>
      </c>
      <c r="D27" s="243" t="str">
        <f t="shared" si="2"/>
        <v/>
      </c>
      <c r="E27" s="265" t="str">
        <f>IF($A27="","",SUMIFS(Txn[Signed Units],Txn[Key],$A27))</f>
        <v/>
      </c>
      <c r="F27" s="287" t="str">
        <f>IF($A27="","",SUMIFS(Txn[Buy Cost],Txn[Key],$A27))</f>
        <v/>
      </c>
      <c r="G27" s="287" t="str">
        <f>IF($A27="","",SUMIFS(Txn[Sell Proceeds],Txn[Key],$A27))</f>
        <v/>
      </c>
      <c r="H27" s="288" t="str">
        <f>IF($A27="","",IFERROR(INDEX(Prices[Current Price],MATCH($A27,Prices[Key],0)),0))</f>
        <v/>
      </c>
      <c r="I27" s="289" t="str">
        <f>IF($A27="","",IFERROR(INDEX(Prices[FX to SGD],MATCH($A27,Prices[Key],0)),1))</f>
        <v/>
      </c>
      <c r="J27" s="287" t="str">
        <f t="shared" si="3"/>
        <v/>
      </c>
      <c r="K27" s="287" t="str">
        <f t="shared" si="4"/>
        <v/>
      </c>
      <c r="L27" s="287" t="str">
        <f t="shared" si="5"/>
        <v/>
      </c>
      <c r="M27" s="290" t="str">
        <f t="shared" si="6"/>
        <v/>
      </c>
      <c r="N27" s="243" t="str">
        <f>IF($A27="","",IF(ABS(E27)&gt;0.000001,COUNT($N$1:N26)+1,""))</f>
        <v/>
      </c>
      <c r="O27" s="291" t="str">
        <f>IF($A27="","",SUMIFS(Transactions!$H$2:$H$1001,Transactions!$J$2:$J$1001,$A27,Transactions!$A$2:$A$1001,2)*$I27)</f>
        <v/>
      </c>
      <c r="P27" s="291" t="str">
        <f t="shared" si="7"/>
        <v/>
      </c>
      <c r="Q27" s="292" t="str">
        <f t="shared" si="8"/>
        <v/>
      </c>
    </row>
    <row r="28" spans="1:17" ht="15" customHeight="1" x14ac:dyDescent="0.2">
      <c r="A28" s="243" t="str">
        <f>IFERROR(INDEX(Txn[Key],MATCH(0,INDEX(COUNTIF($A$1:A27,Txn[Key])+(Txn[Key]=""),0),0)),"")</f>
        <v/>
      </c>
      <c r="B28" s="243" t="str">
        <f t="shared" si="0"/>
        <v/>
      </c>
      <c r="C28" s="243" t="str">
        <f t="shared" si="1"/>
        <v/>
      </c>
      <c r="D28" s="243" t="str">
        <f t="shared" si="2"/>
        <v/>
      </c>
      <c r="E28" s="265" t="str">
        <f>IF($A28="","",SUMIFS(Txn[Signed Units],Txn[Key],$A28))</f>
        <v/>
      </c>
      <c r="F28" s="287" t="str">
        <f>IF($A28="","",SUMIFS(Txn[Buy Cost],Txn[Key],$A28))</f>
        <v/>
      </c>
      <c r="G28" s="287" t="str">
        <f>IF($A28="","",SUMIFS(Txn[Sell Proceeds],Txn[Key],$A28))</f>
        <v/>
      </c>
      <c r="H28" s="288" t="str">
        <f>IF($A28="","",IFERROR(INDEX(Prices[Current Price],MATCH($A28,Prices[Key],0)),0))</f>
        <v/>
      </c>
      <c r="I28" s="289" t="str">
        <f>IF($A28="","",IFERROR(INDEX(Prices[FX to SGD],MATCH($A28,Prices[Key],0)),1))</f>
        <v/>
      </c>
      <c r="J28" s="287" t="str">
        <f t="shared" si="3"/>
        <v/>
      </c>
      <c r="K28" s="287" t="str">
        <f t="shared" si="4"/>
        <v/>
      </c>
      <c r="L28" s="287" t="str">
        <f t="shared" si="5"/>
        <v/>
      </c>
      <c r="M28" s="290" t="str">
        <f t="shared" si="6"/>
        <v/>
      </c>
      <c r="N28" s="243" t="str">
        <f>IF($A28="","",IF(ABS(E28)&gt;0.000001,COUNT($N$1:N27)+1,""))</f>
        <v/>
      </c>
      <c r="O28" s="291" t="str">
        <f>IF($A28="","",SUMIFS(Transactions!$H$2:$H$1001,Transactions!$J$2:$J$1001,$A28,Transactions!$A$2:$A$1001,2)*$I28)</f>
        <v/>
      </c>
      <c r="P28" s="291" t="str">
        <f t="shared" si="7"/>
        <v/>
      </c>
      <c r="Q28" s="292" t="str">
        <f t="shared" si="8"/>
        <v/>
      </c>
    </row>
    <row r="29" spans="1:17" ht="15" customHeight="1" x14ac:dyDescent="0.2">
      <c r="A29" s="243" t="str">
        <f>IFERROR(INDEX(Txn[Key],MATCH(0,INDEX(COUNTIF($A$1:A28,Txn[Key])+(Txn[Key]=""),0),0)),"")</f>
        <v/>
      </c>
      <c r="B29" s="243" t="str">
        <f t="shared" si="0"/>
        <v/>
      </c>
      <c r="C29" s="243" t="str">
        <f t="shared" si="1"/>
        <v/>
      </c>
      <c r="D29" s="243" t="str">
        <f t="shared" si="2"/>
        <v/>
      </c>
      <c r="E29" s="265" t="str">
        <f>IF($A29="","",SUMIFS(Txn[Signed Units],Txn[Key],$A29))</f>
        <v/>
      </c>
      <c r="F29" s="287" t="str">
        <f>IF($A29="","",SUMIFS(Txn[Buy Cost],Txn[Key],$A29))</f>
        <v/>
      </c>
      <c r="G29" s="287" t="str">
        <f>IF($A29="","",SUMIFS(Txn[Sell Proceeds],Txn[Key],$A29))</f>
        <v/>
      </c>
      <c r="H29" s="288" t="str">
        <f>IF($A29="","",IFERROR(INDEX(Prices[Current Price],MATCH($A29,Prices[Key],0)),0))</f>
        <v/>
      </c>
      <c r="I29" s="289" t="str">
        <f>IF($A29="","",IFERROR(INDEX(Prices[FX to SGD],MATCH($A29,Prices[Key],0)),1))</f>
        <v/>
      </c>
      <c r="J29" s="287" t="str">
        <f t="shared" si="3"/>
        <v/>
      </c>
      <c r="K29" s="287" t="str">
        <f t="shared" si="4"/>
        <v/>
      </c>
      <c r="L29" s="287" t="str">
        <f t="shared" si="5"/>
        <v/>
      </c>
      <c r="M29" s="290" t="str">
        <f t="shared" si="6"/>
        <v/>
      </c>
      <c r="N29" s="243" t="str">
        <f>IF($A29="","",IF(ABS(E29)&gt;0.000001,COUNT($N$1:N28)+1,""))</f>
        <v/>
      </c>
      <c r="O29" s="291" t="str">
        <f>IF($A29="","",SUMIFS(Transactions!$H$2:$H$1001,Transactions!$J$2:$J$1001,$A29,Transactions!$A$2:$A$1001,2)*$I29)</f>
        <v/>
      </c>
      <c r="P29" s="291" t="str">
        <f t="shared" si="7"/>
        <v/>
      </c>
      <c r="Q29" s="292" t="str">
        <f t="shared" si="8"/>
        <v/>
      </c>
    </row>
    <row r="30" spans="1:17" ht="15" customHeight="1" x14ac:dyDescent="0.2">
      <c r="A30" s="243" t="str">
        <f>IFERROR(INDEX(Txn[Key],MATCH(0,INDEX(COUNTIF($A$1:A29,Txn[Key])+(Txn[Key]=""),0),0)),"")</f>
        <v/>
      </c>
      <c r="B30" s="243" t="str">
        <f t="shared" si="0"/>
        <v/>
      </c>
      <c r="C30" s="243" t="str">
        <f t="shared" si="1"/>
        <v/>
      </c>
      <c r="D30" s="243" t="str">
        <f t="shared" si="2"/>
        <v/>
      </c>
      <c r="E30" s="265" t="str">
        <f>IF($A30="","",SUMIFS(Txn[Signed Units],Txn[Key],$A30))</f>
        <v/>
      </c>
      <c r="F30" s="287" t="str">
        <f>IF($A30="","",SUMIFS(Txn[Buy Cost],Txn[Key],$A30))</f>
        <v/>
      </c>
      <c r="G30" s="287" t="str">
        <f>IF($A30="","",SUMIFS(Txn[Sell Proceeds],Txn[Key],$A30))</f>
        <v/>
      </c>
      <c r="H30" s="288" t="str">
        <f>IF($A30="","",IFERROR(INDEX(Prices[Current Price],MATCH($A30,Prices[Key],0)),0))</f>
        <v/>
      </c>
      <c r="I30" s="289" t="str">
        <f>IF($A30="","",IFERROR(INDEX(Prices[FX to SGD],MATCH($A30,Prices[Key],0)),1))</f>
        <v/>
      </c>
      <c r="J30" s="287" t="str">
        <f t="shared" si="3"/>
        <v/>
      </c>
      <c r="K30" s="287" t="str">
        <f t="shared" si="4"/>
        <v/>
      </c>
      <c r="L30" s="287" t="str">
        <f t="shared" si="5"/>
        <v/>
      </c>
      <c r="M30" s="290" t="str">
        <f t="shared" si="6"/>
        <v/>
      </c>
      <c r="N30" s="243" t="str">
        <f>IF($A30="","",IF(ABS(E30)&gt;0.000001,COUNT($N$1:N29)+1,""))</f>
        <v/>
      </c>
      <c r="O30" s="291" t="str">
        <f>IF($A30="","",SUMIFS(Transactions!$H$2:$H$1001,Transactions!$J$2:$J$1001,$A30,Transactions!$A$2:$A$1001,2)*$I30)</f>
        <v/>
      </c>
      <c r="P30" s="291" t="str">
        <f t="shared" si="7"/>
        <v/>
      </c>
      <c r="Q30" s="292" t="str">
        <f t="shared" si="8"/>
        <v/>
      </c>
    </row>
    <row r="31" spans="1:17" ht="15" customHeight="1" x14ac:dyDescent="0.2">
      <c r="A31" s="243" t="str">
        <f>IFERROR(INDEX(Txn[Key],MATCH(0,INDEX(COUNTIF($A$1:A30,Txn[Key])+(Txn[Key]=""),0),0)),"")</f>
        <v/>
      </c>
      <c r="B31" s="243" t="str">
        <f t="shared" si="0"/>
        <v/>
      </c>
      <c r="C31" s="243" t="str">
        <f t="shared" si="1"/>
        <v/>
      </c>
      <c r="D31" s="243" t="str">
        <f t="shared" si="2"/>
        <v/>
      </c>
      <c r="E31" s="265" t="str">
        <f>IF($A31="","",SUMIFS(Txn[Signed Units],Txn[Key],$A31))</f>
        <v/>
      </c>
      <c r="F31" s="287" t="str">
        <f>IF($A31="","",SUMIFS(Txn[Buy Cost],Txn[Key],$A31))</f>
        <v/>
      </c>
      <c r="G31" s="287" t="str">
        <f>IF($A31="","",SUMIFS(Txn[Sell Proceeds],Txn[Key],$A31))</f>
        <v/>
      </c>
      <c r="H31" s="288" t="str">
        <f>IF($A31="","",IFERROR(INDEX(Prices[Current Price],MATCH($A31,Prices[Key],0)),0))</f>
        <v/>
      </c>
      <c r="I31" s="289" t="str">
        <f>IF($A31="","",IFERROR(INDEX(Prices[FX to SGD],MATCH($A31,Prices[Key],0)),1))</f>
        <v/>
      </c>
      <c r="J31" s="287" t="str">
        <f t="shared" si="3"/>
        <v/>
      </c>
      <c r="K31" s="287" t="str">
        <f t="shared" si="4"/>
        <v/>
      </c>
      <c r="L31" s="287" t="str">
        <f t="shared" si="5"/>
        <v/>
      </c>
      <c r="M31" s="290" t="str">
        <f t="shared" si="6"/>
        <v/>
      </c>
      <c r="N31" s="243" t="str">
        <f>IF($A31="","",IF(ABS(E31)&gt;0.000001,COUNT($N$1:N30)+1,""))</f>
        <v/>
      </c>
      <c r="O31" s="291" t="str">
        <f>IF($A31="","",SUMIFS(Transactions!$H$2:$H$1001,Transactions!$J$2:$J$1001,$A31,Transactions!$A$2:$A$1001,2)*$I31)</f>
        <v/>
      </c>
      <c r="P31" s="291" t="str">
        <f t="shared" si="7"/>
        <v/>
      </c>
      <c r="Q31" s="292" t="str">
        <f t="shared" si="8"/>
        <v/>
      </c>
    </row>
    <row r="32" spans="1:17" ht="15" customHeight="1" x14ac:dyDescent="0.2">
      <c r="A32" s="243" t="str">
        <f>IFERROR(INDEX(Txn[Key],MATCH(0,INDEX(COUNTIF($A$1:A31,Txn[Key])+(Txn[Key]=""),0),0)),"")</f>
        <v/>
      </c>
      <c r="B32" s="243" t="str">
        <f t="shared" si="0"/>
        <v/>
      </c>
      <c r="C32" s="243" t="str">
        <f t="shared" si="1"/>
        <v/>
      </c>
      <c r="D32" s="243" t="str">
        <f t="shared" si="2"/>
        <v/>
      </c>
      <c r="E32" s="265" t="str">
        <f>IF($A32="","",SUMIFS(Txn[Signed Units],Txn[Key],$A32))</f>
        <v/>
      </c>
      <c r="F32" s="287" t="str">
        <f>IF($A32="","",SUMIFS(Txn[Buy Cost],Txn[Key],$A32))</f>
        <v/>
      </c>
      <c r="G32" s="287" t="str">
        <f>IF($A32="","",SUMIFS(Txn[Sell Proceeds],Txn[Key],$A32))</f>
        <v/>
      </c>
      <c r="H32" s="288" t="str">
        <f>IF($A32="","",IFERROR(INDEX(Prices[Current Price],MATCH($A32,Prices[Key],0)),0))</f>
        <v/>
      </c>
      <c r="I32" s="289" t="str">
        <f>IF($A32="","",IFERROR(INDEX(Prices[FX to SGD],MATCH($A32,Prices[Key],0)),1))</f>
        <v/>
      </c>
      <c r="J32" s="287" t="str">
        <f t="shared" si="3"/>
        <v/>
      </c>
      <c r="K32" s="287" t="str">
        <f t="shared" si="4"/>
        <v/>
      </c>
      <c r="L32" s="287" t="str">
        <f t="shared" si="5"/>
        <v/>
      </c>
      <c r="M32" s="290" t="str">
        <f t="shared" si="6"/>
        <v/>
      </c>
      <c r="N32" s="243" t="str">
        <f>IF($A32="","",IF(ABS(E32)&gt;0.000001,COUNT($N$1:N31)+1,""))</f>
        <v/>
      </c>
      <c r="O32" s="291" t="str">
        <f>IF($A32="","",SUMIFS(Transactions!$H$2:$H$1001,Transactions!$J$2:$J$1001,$A32,Transactions!$A$2:$A$1001,2)*$I32)</f>
        <v/>
      </c>
      <c r="P32" s="291" t="str">
        <f t="shared" si="7"/>
        <v/>
      </c>
      <c r="Q32" s="292" t="str">
        <f t="shared" si="8"/>
        <v/>
      </c>
    </row>
    <row r="33" spans="1:17" ht="15" customHeight="1" x14ac:dyDescent="0.2">
      <c r="A33" s="243" t="str">
        <f>IFERROR(INDEX(Txn[Key],MATCH(0,INDEX(COUNTIF($A$1:A32,Txn[Key])+(Txn[Key]=""),0),0)),"")</f>
        <v/>
      </c>
      <c r="B33" s="243" t="str">
        <f t="shared" si="0"/>
        <v/>
      </c>
      <c r="C33" s="243" t="str">
        <f t="shared" si="1"/>
        <v/>
      </c>
      <c r="D33" s="243" t="str">
        <f t="shared" si="2"/>
        <v/>
      </c>
      <c r="E33" s="265" t="str">
        <f>IF($A33="","",SUMIFS(Txn[Signed Units],Txn[Key],$A33))</f>
        <v/>
      </c>
      <c r="F33" s="287" t="str">
        <f>IF($A33="","",SUMIFS(Txn[Buy Cost],Txn[Key],$A33))</f>
        <v/>
      </c>
      <c r="G33" s="287" t="str">
        <f>IF($A33="","",SUMIFS(Txn[Sell Proceeds],Txn[Key],$A33))</f>
        <v/>
      </c>
      <c r="H33" s="288" t="str">
        <f>IF($A33="","",IFERROR(INDEX(Prices[Current Price],MATCH($A33,Prices[Key],0)),0))</f>
        <v/>
      </c>
      <c r="I33" s="289" t="str">
        <f>IF($A33="","",IFERROR(INDEX(Prices[FX to SGD],MATCH($A33,Prices[Key],0)),1))</f>
        <v/>
      </c>
      <c r="J33" s="287" t="str">
        <f t="shared" si="3"/>
        <v/>
      </c>
      <c r="K33" s="287" t="str">
        <f t="shared" si="4"/>
        <v/>
      </c>
      <c r="L33" s="287" t="str">
        <f t="shared" si="5"/>
        <v/>
      </c>
      <c r="M33" s="290" t="str">
        <f t="shared" si="6"/>
        <v/>
      </c>
      <c r="N33" s="243" t="str">
        <f>IF($A33="","",IF(ABS(E33)&gt;0.000001,COUNT($N$1:N32)+1,""))</f>
        <v/>
      </c>
      <c r="O33" s="291" t="str">
        <f>IF($A33="","",SUMIFS(Transactions!$H$2:$H$1001,Transactions!$J$2:$J$1001,$A33,Transactions!$A$2:$A$1001,2)*$I33)</f>
        <v/>
      </c>
      <c r="P33" s="291" t="str">
        <f t="shared" si="7"/>
        <v/>
      </c>
      <c r="Q33" s="292" t="str">
        <f t="shared" si="8"/>
        <v/>
      </c>
    </row>
    <row r="34" spans="1:17" ht="15" customHeight="1" x14ac:dyDescent="0.2">
      <c r="A34" s="243" t="str">
        <f>IFERROR(INDEX(Txn[Key],MATCH(0,INDEX(COUNTIF($A$1:A33,Txn[Key])+(Txn[Key]=""),0),0)),"")</f>
        <v/>
      </c>
      <c r="B34" s="243" t="str">
        <f t="shared" si="0"/>
        <v/>
      </c>
      <c r="C34" s="243" t="str">
        <f t="shared" si="1"/>
        <v/>
      </c>
      <c r="D34" s="243" t="str">
        <f t="shared" si="2"/>
        <v/>
      </c>
      <c r="E34" s="265" t="str">
        <f>IF($A34="","",SUMIFS(Txn[Signed Units],Txn[Key],$A34))</f>
        <v/>
      </c>
      <c r="F34" s="287" t="str">
        <f>IF($A34="","",SUMIFS(Txn[Buy Cost],Txn[Key],$A34))</f>
        <v/>
      </c>
      <c r="G34" s="287" t="str">
        <f>IF($A34="","",SUMIFS(Txn[Sell Proceeds],Txn[Key],$A34))</f>
        <v/>
      </c>
      <c r="H34" s="288" t="str">
        <f>IF($A34="","",IFERROR(INDEX(Prices[Current Price],MATCH($A34,Prices[Key],0)),0))</f>
        <v/>
      </c>
      <c r="I34" s="289" t="str">
        <f>IF($A34="","",IFERROR(INDEX(Prices[FX to SGD],MATCH($A34,Prices[Key],0)),1))</f>
        <v/>
      </c>
      <c r="J34" s="287" t="str">
        <f t="shared" si="3"/>
        <v/>
      </c>
      <c r="K34" s="287" t="str">
        <f t="shared" si="4"/>
        <v/>
      </c>
      <c r="L34" s="287" t="str">
        <f t="shared" si="5"/>
        <v/>
      </c>
      <c r="M34" s="290" t="str">
        <f t="shared" si="6"/>
        <v/>
      </c>
      <c r="N34" s="243" t="str">
        <f>IF($A34="","",IF(ABS(E34)&gt;0.000001,COUNT($N$1:N33)+1,""))</f>
        <v/>
      </c>
      <c r="O34" s="291" t="str">
        <f>IF($A34="","",SUMIFS(Transactions!$H$2:$H$1001,Transactions!$J$2:$J$1001,$A34,Transactions!$A$2:$A$1001,2)*$I34)</f>
        <v/>
      </c>
      <c r="P34" s="291" t="str">
        <f t="shared" si="7"/>
        <v/>
      </c>
      <c r="Q34" s="292" t="str">
        <f t="shared" si="8"/>
        <v/>
      </c>
    </row>
    <row r="35" spans="1:17" ht="15" customHeight="1" x14ac:dyDescent="0.2">
      <c r="A35" s="243" t="str">
        <f>IFERROR(INDEX(Txn[Key],MATCH(0,INDEX(COUNTIF($A$1:A34,Txn[Key])+(Txn[Key]=""),0),0)),"")</f>
        <v/>
      </c>
      <c r="B35" s="243" t="str">
        <f t="shared" si="0"/>
        <v/>
      </c>
      <c r="C35" s="243" t="str">
        <f t="shared" si="1"/>
        <v/>
      </c>
      <c r="D35" s="243" t="str">
        <f t="shared" si="2"/>
        <v/>
      </c>
      <c r="E35" s="265" t="str">
        <f>IF($A35="","",SUMIFS(Txn[Signed Units],Txn[Key],$A35))</f>
        <v/>
      </c>
      <c r="F35" s="287" t="str">
        <f>IF($A35="","",SUMIFS(Txn[Buy Cost],Txn[Key],$A35))</f>
        <v/>
      </c>
      <c r="G35" s="287" t="str">
        <f>IF($A35="","",SUMIFS(Txn[Sell Proceeds],Txn[Key],$A35))</f>
        <v/>
      </c>
      <c r="H35" s="288" t="str">
        <f>IF($A35="","",IFERROR(INDEX(Prices[Current Price],MATCH($A35,Prices[Key],0)),0))</f>
        <v/>
      </c>
      <c r="I35" s="289" t="str">
        <f>IF($A35="","",IFERROR(INDEX(Prices[FX to SGD],MATCH($A35,Prices[Key],0)),1))</f>
        <v/>
      </c>
      <c r="J35" s="287" t="str">
        <f t="shared" si="3"/>
        <v/>
      </c>
      <c r="K35" s="287" t="str">
        <f t="shared" si="4"/>
        <v/>
      </c>
      <c r="L35" s="287" t="str">
        <f t="shared" si="5"/>
        <v/>
      </c>
      <c r="M35" s="290" t="str">
        <f t="shared" si="6"/>
        <v/>
      </c>
      <c r="N35" s="243" t="str">
        <f>IF($A35="","",IF(ABS(E35)&gt;0.000001,COUNT($N$1:N34)+1,""))</f>
        <v/>
      </c>
      <c r="O35" s="291" t="str">
        <f>IF($A35="","",SUMIFS(Transactions!$H$2:$H$1001,Transactions!$J$2:$J$1001,$A35,Transactions!$A$2:$A$1001,2)*$I35)</f>
        <v/>
      </c>
      <c r="P35" s="291" t="str">
        <f t="shared" si="7"/>
        <v/>
      </c>
      <c r="Q35" s="292" t="str">
        <f t="shared" si="8"/>
        <v/>
      </c>
    </row>
    <row r="36" spans="1:17" ht="15" customHeight="1" x14ac:dyDescent="0.2">
      <c r="A36" s="243" t="str">
        <f>IFERROR(INDEX(Txn[Key],MATCH(0,INDEX(COUNTIF($A$1:A35,Txn[Key])+(Txn[Key]=""),0),0)),"")</f>
        <v/>
      </c>
      <c r="B36" s="243" t="str">
        <f t="shared" si="0"/>
        <v/>
      </c>
      <c r="C36" s="243" t="str">
        <f t="shared" si="1"/>
        <v/>
      </c>
      <c r="D36" s="243" t="str">
        <f t="shared" si="2"/>
        <v/>
      </c>
      <c r="E36" s="265" t="str">
        <f>IF($A36="","",SUMIFS(Txn[Signed Units],Txn[Key],$A36))</f>
        <v/>
      </c>
      <c r="F36" s="287" t="str">
        <f>IF($A36="","",SUMIFS(Txn[Buy Cost],Txn[Key],$A36))</f>
        <v/>
      </c>
      <c r="G36" s="287" t="str">
        <f>IF($A36="","",SUMIFS(Txn[Sell Proceeds],Txn[Key],$A36))</f>
        <v/>
      </c>
      <c r="H36" s="288" t="str">
        <f>IF($A36="","",IFERROR(INDEX(Prices[Current Price],MATCH($A36,Prices[Key],0)),0))</f>
        <v/>
      </c>
      <c r="I36" s="289" t="str">
        <f>IF($A36="","",IFERROR(INDEX(Prices[FX to SGD],MATCH($A36,Prices[Key],0)),1))</f>
        <v/>
      </c>
      <c r="J36" s="287" t="str">
        <f t="shared" si="3"/>
        <v/>
      </c>
      <c r="K36" s="287" t="str">
        <f t="shared" si="4"/>
        <v/>
      </c>
      <c r="L36" s="287" t="str">
        <f t="shared" si="5"/>
        <v/>
      </c>
      <c r="M36" s="290" t="str">
        <f t="shared" si="6"/>
        <v/>
      </c>
      <c r="N36" s="243" t="str">
        <f>IF($A36="","",IF(ABS(E36)&gt;0.000001,COUNT($N$1:N35)+1,""))</f>
        <v/>
      </c>
      <c r="O36" s="291" t="str">
        <f>IF($A36="","",SUMIFS(Transactions!$H$2:$H$1001,Transactions!$J$2:$J$1001,$A36,Transactions!$A$2:$A$1001,2)*$I36)</f>
        <v/>
      </c>
      <c r="P36" s="291" t="str">
        <f t="shared" si="7"/>
        <v/>
      </c>
      <c r="Q36" s="292" t="str">
        <f t="shared" si="8"/>
        <v/>
      </c>
    </row>
    <row r="37" spans="1:17" ht="15" customHeight="1" x14ac:dyDescent="0.2">
      <c r="A37" s="243" t="str">
        <f>IFERROR(INDEX(Txn[Key],MATCH(0,INDEX(COUNTIF($A$1:A36,Txn[Key])+(Txn[Key]=""),0),0)),"")</f>
        <v/>
      </c>
      <c r="B37" s="243" t="str">
        <f t="shared" si="0"/>
        <v/>
      </c>
      <c r="C37" s="243" t="str">
        <f t="shared" si="1"/>
        <v/>
      </c>
      <c r="D37" s="243" t="str">
        <f t="shared" si="2"/>
        <v/>
      </c>
      <c r="E37" s="265" t="str">
        <f>IF($A37="","",SUMIFS(Txn[Signed Units],Txn[Key],$A37))</f>
        <v/>
      </c>
      <c r="F37" s="287" t="str">
        <f>IF($A37="","",SUMIFS(Txn[Buy Cost],Txn[Key],$A37))</f>
        <v/>
      </c>
      <c r="G37" s="287" t="str">
        <f>IF($A37="","",SUMIFS(Txn[Sell Proceeds],Txn[Key],$A37))</f>
        <v/>
      </c>
      <c r="H37" s="288" t="str">
        <f>IF($A37="","",IFERROR(INDEX(Prices[Current Price],MATCH($A37,Prices[Key],0)),0))</f>
        <v/>
      </c>
      <c r="I37" s="289" t="str">
        <f>IF($A37="","",IFERROR(INDEX(Prices[FX to SGD],MATCH($A37,Prices[Key],0)),1))</f>
        <v/>
      </c>
      <c r="J37" s="287" t="str">
        <f t="shared" si="3"/>
        <v/>
      </c>
      <c r="K37" s="287" t="str">
        <f t="shared" si="4"/>
        <v/>
      </c>
      <c r="L37" s="287" t="str">
        <f t="shared" si="5"/>
        <v/>
      </c>
      <c r="M37" s="290" t="str">
        <f t="shared" si="6"/>
        <v/>
      </c>
      <c r="N37" s="243" t="str">
        <f>IF($A37="","",IF(ABS(E37)&gt;0.000001,COUNT($N$1:N36)+1,""))</f>
        <v/>
      </c>
      <c r="O37" s="291" t="str">
        <f>IF($A37="","",SUMIFS(Transactions!$H$2:$H$1001,Transactions!$J$2:$J$1001,$A37,Transactions!$A$2:$A$1001,2)*$I37)</f>
        <v/>
      </c>
      <c r="P37" s="291" t="str">
        <f t="shared" si="7"/>
        <v/>
      </c>
      <c r="Q37" s="292" t="str">
        <f t="shared" si="8"/>
        <v/>
      </c>
    </row>
    <row r="38" spans="1:17" ht="15" customHeight="1" x14ac:dyDescent="0.2">
      <c r="A38" s="243" t="str">
        <f>IFERROR(INDEX(Txn[Key],MATCH(0,INDEX(COUNTIF($A$1:A37,Txn[Key])+(Txn[Key]=""),0),0)),"")</f>
        <v/>
      </c>
      <c r="B38" s="243" t="str">
        <f t="shared" si="0"/>
        <v/>
      </c>
      <c r="C38" s="243" t="str">
        <f t="shared" si="1"/>
        <v/>
      </c>
      <c r="D38" s="243" t="str">
        <f t="shared" si="2"/>
        <v/>
      </c>
      <c r="E38" s="265" t="str">
        <f>IF($A38="","",SUMIFS(Txn[Signed Units],Txn[Key],$A38))</f>
        <v/>
      </c>
      <c r="F38" s="287" t="str">
        <f>IF($A38="","",SUMIFS(Txn[Buy Cost],Txn[Key],$A38))</f>
        <v/>
      </c>
      <c r="G38" s="287" t="str">
        <f>IF($A38="","",SUMIFS(Txn[Sell Proceeds],Txn[Key],$A38))</f>
        <v/>
      </c>
      <c r="H38" s="288" t="str">
        <f>IF($A38="","",IFERROR(INDEX(Prices[Current Price],MATCH($A38,Prices[Key],0)),0))</f>
        <v/>
      </c>
      <c r="I38" s="289" t="str">
        <f>IF($A38="","",IFERROR(INDEX(Prices[FX to SGD],MATCH($A38,Prices[Key],0)),1))</f>
        <v/>
      </c>
      <c r="J38" s="287" t="str">
        <f t="shared" si="3"/>
        <v/>
      </c>
      <c r="K38" s="287" t="str">
        <f t="shared" si="4"/>
        <v/>
      </c>
      <c r="L38" s="287" t="str">
        <f t="shared" si="5"/>
        <v/>
      </c>
      <c r="M38" s="290" t="str">
        <f t="shared" si="6"/>
        <v/>
      </c>
      <c r="N38" s="243" t="str">
        <f>IF($A38="","",IF(ABS(E38)&gt;0.000001,COUNT($N$1:N37)+1,""))</f>
        <v/>
      </c>
      <c r="O38" s="291" t="str">
        <f>IF($A38="","",SUMIFS(Transactions!$H$2:$H$1001,Transactions!$J$2:$J$1001,$A38,Transactions!$A$2:$A$1001,2)*$I38)</f>
        <v/>
      </c>
      <c r="P38" s="291" t="str">
        <f t="shared" si="7"/>
        <v/>
      </c>
      <c r="Q38" s="292" t="str">
        <f t="shared" si="8"/>
        <v/>
      </c>
    </row>
    <row r="39" spans="1:17" ht="15" customHeight="1" x14ac:dyDescent="0.2">
      <c r="A39" s="243" t="str">
        <f>IFERROR(INDEX(Txn[Key],MATCH(0,INDEX(COUNTIF($A$1:A38,Txn[Key])+(Txn[Key]=""),0),0)),"")</f>
        <v/>
      </c>
      <c r="B39" s="243" t="str">
        <f t="shared" si="0"/>
        <v/>
      </c>
      <c r="C39" s="243" t="str">
        <f t="shared" si="1"/>
        <v/>
      </c>
      <c r="D39" s="243" t="str">
        <f t="shared" si="2"/>
        <v/>
      </c>
      <c r="E39" s="265" t="str">
        <f>IF($A39="","",SUMIFS(Txn[Signed Units],Txn[Key],$A39))</f>
        <v/>
      </c>
      <c r="F39" s="287" t="str">
        <f>IF($A39="","",SUMIFS(Txn[Buy Cost],Txn[Key],$A39))</f>
        <v/>
      </c>
      <c r="G39" s="287" t="str">
        <f>IF($A39="","",SUMIFS(Txn[Sell Proceeds],Txn[Key],$A39))</f>
        <v/>
      </c>
      <c r="H39" s="288" t="str">
        <f>IF($A39="","",IFERROR(INDEX(Prices[Current Price],MATCH($A39,Prices[Key],0)),0))</f>
        <v/>
      </c>
      <c r="I39" s="289" t="str">
        <f>IF($A39="","",IFERROR(INDEX(Prices[FX to SGD],MATCH($A39,Prices[Key],0)),1))</f>
        <v/>
      </c>
      <c r="J39" s="287" t="str">
        <f t="shared" si="3"/>
        <v/>
      </c>
      <c r="K39" s="287" t="str">
        <f t="shared" si="4"/>
        <v/>
      </c>
      <c r="L39" s="287" t="str">
        <f t="shared" si="5"/>
        <v/>
      </c>
      <c r="M39" s="290" t="str">
        <f t="shared" si="6"/>
        <v/>
      </c>
      <c r="N39" s="243" t="str">
        <f>IF($A39="","",IF(ABS(E39)&gt;0.000001,COUNT($N$1:N38)+1,""))</f>
        <v/>
      </c>
      <c r="O39" s="291" t="str">
        <f>IF($A39="","",SUMIFS(Transactions!$H$2:$H$1001,Transactions!$J$2:$J$1001,$A39,Transactions!$A$2:$A$1001,2)*$I39)</f>
        <v/>
      </c>
      <c r="P39" s="291" t="str">
        <f t="shared" si="7"/>
        <v/>
      </c>
      <c r="Q39" s="292" t="str">
        <f t="shared" si="8"/>
        <v/>
      </c>
    </row>
    <row r="40" spans="1:17" ht="15" customHeight="1" x14ac:dyDescent="0.2">
      <c r="A40" s="243" t="str">
        <f>IFERROR(INDEX(Txn[Key],MATCH(0,INDEX(COUNTIF($A$1:A39,Txn[Key])+(Txn[Key]=""),0),0)),"")</f>
        <v/>
      </c>
      <c r="B40" s="243" t="str">
        <f t="shared" si="0"/>
        <v/>
      </c>
      <c r="C40" s="243" t="str">
        <f t="shared" si="1"/>
        <v/>
      </c>
      <c r="D40" s="243" t="str">
        <f t="shared" si="2"/>
        <v/>
      </c>
      <c r="E40" s="265" t="str">
        <f>IF($A40="","",SUMIFS(Txn[Signed Units],Txn[Key],$A40))</f>
        <v/>
      </c>
      <c r="F40" s="287" t="str">
        <f>IF($A40="","",SUMIFS(Txn[Buy Cost],Txn[Key],$A40))</f>
        <v/>
      </c>
      <c r="G40" s="287" t="str">
        <f>IF($A40="","",SUMIFS(Txn[Sell Proceeds],Txn[Key],$A40))</f>
        <v/>
      </c>
      <c r="H40" s="288" t="str">
        <f>IF($A40="","",IFERROR(INDEX(Prices[Current Price],MATCH($A40,Prices[Key],0)),0))</f>
        <v/>
      </c>
      <c r="I40" s="289" t="str">
        <f>IF($A40="","",IFERROR(INDEX(Prices[FX to SGD],MATCH($A40,Prices[Key],0)),1))</f>
        <v/>
      </c>
      <c r="J40" s="287" t="str">
        <f t="shared" si="3"/>
        <v/>
      </c>
      <c r="K40" s="287" t="str">
        <f t="shared" si="4"/>
        <v/>
      </c>
      <c r="L40" s="287" t="str">
        <f t="shared" si="5"/>
        <v/>
      </c>
      <c r="M40" s="290" t="str">
        <f t="shared" si="6"/>
        <v/>
      </c>
      <c r="N40" s="243" t="str">
        <f>IF($A40="","",IF(ABS(E40)&gt;0.000001,COUNT($N$1:N39)+1,""))</f>
        <v/>
      </c>
      <c r="O40" s="291" t="str">
        <f>IF($A40="","",SUMIFS(Transactions!$H$2:$H$1001,Transactions!$J$2:$J$1001,$A40,Transactions!$A$2:$A$1001,2)*$I40)</f>
        <v/>
      </c>
      <c r="P40" s="291" t="str">
        <f t="shared" si="7"/>
        <v/>
      </c>
      <c r="Q40" s="292" t="str">
        <f t="shared" si="8"/>
        <v/>
      </c>
    </row>
    <row r="41" spans="1:17" ht="15" customHeight="1" x14ac:dyDescent="0.2">
      <c r="A41" s="243" t="str">
        <f>IFERROR(INDEX(Txn[Key],MATCH(0,INDEX(COUNTIF($A$1:A40,Txn[Key])+(Txn[Key]=""),0),0)),"")</f>
        <v/>
      </c>
      <c r="B41" s="243" t="str">
        <f t="shared" si="0"/>
        <v/>
      </c>
      <c r="C41" s="243" t="str">
        <f t="shared" si="1"/>
        <v/>
      </c>
      <c r="D41" s="243" t="str">
        <f t="shared" si="2"/>
        <v/>
      </c>
      <c r="E41" s="265" t="str">
        <f>IF($A41="","",SUMIFS(Txn[Signed Units],Txn[Key],$A41))</f>
        <v/>
      </c>
      <c r="F41" s="287" t="str">
        <f>IF($A41="","",SUMIFS(Txn[Buy Cost],Txn[Key],$A41))</f>
        <v/>
      </c>
      <c r="G41" s="287" t="str">
        <f>IF($A41="","",SUMIFS(Txn[Sell Proceeds],Txn[Key],$A41))</f>
        <v/>
      </c>
      <c r="H41" s="288" t="str">
        <f>IF($A41="","",IFERROR(INDEX(Prices[Current Price],MATCH($A41,Prices[Key],0)),0))</f>
        <v/>
      </c>
      <c r="I41" s="289" t="str">
        <f>IF($A41="","",IFERROR(INDEX(Prices[FX to SGD],MATCH($A41,Prices[Key],0)),1))</f>
        <v/>
      </c>
      <c r="J41" s="287" t="str">
        <f t="shared" si="3"/>
        <v/>
      </c>
      <c r="K41" s="287" t="str">
        <f t="shared" si="4"/>
        <v/>
      </c>
      <c r="L41" s="287" t="str">
        <f t="shared" si="5"/>
        <v/>
      </c>
      <c r="M41" s="290" t="str">
        <f t="shared" si="6"/>
        <v/>
      </c>
      <c r="N41" s="243" t="str">
        <f>IF($A41="","",IF(ABS(E41)&gt;0.000001,COUNT($N$1:N40)+1,""))</f>
        <v/>
      </c>
      <c r="O41" s="291" t="str">
        <f>IF($A41="","",SUMIFS(Transactions!$H$2:$H$1001,Transactions!$J$2:$J$1001,$A41,Transactions!$A$2:$A$1001,2)*$I41)</f>
        <v/>
      </c>
      <c r="P41" s="291" t="str">
        <f t="shared" si="7"/>
        <v/>
      </c>
      <c r="Q41" s="292" t="str">
        <f t="shared" si="8"/>
        <v/>
      </c>
    </row>
    <row r="42" spans="1:17" ht="15" customHeight="1" x14ac:dyDescent="0.2">
      <c r="A42" s="243" t="str">
        <f>IFERROR(INDEX(Txn[Key],MATCH(0,INDEX(COUNTIF($A$1:A41,Txn[Key])+(Txn[Key]=""),0),0)),"")</f>
        <v/>
      </c>
      <c r="B42" s="243" t="str">
        <f t="shared" si="0"/>
        <v/>
      </c>
      <c r="C42" s="243" t="str">
        <f t="shared" si="1"/>
        <v/>
      </c>
      <c r="D42" s="243" t="str">
        <f t="shared" si="2"/>
        <v/>
      </c>
      <c r="E42" s="265" t="str">
        <f>IF($A42="","",SUMIFS(Txn[Signed Units],Txn[Key],$A42))</f>
        <v/>
      </c>
      <c r="F42" s="287" t="str">
        <f>IF($A42="","",SUMIFS(Txn[Buy Cost],Txn[Key],$A42))</f>
        <v/>
      </c>
      <c r="G42" s="287" t="str">
        <f>IF($A42="","",SUMIFS(Txn[Sell Proceeds],Txn[Key],$A42))</f>
        <v/>
      </c>
      <c r="H42" s="288" t="str">
        <f>IF($A42="","",IFERROR(INDEX(Prices[Current Price],MATCH($A42,Prices[Key],0)),0))</f>
        <v/>
      </c>
      <c r="I42" s="289" t="str">
        <f>IF($A42="","",IFERROR(INDEX(Prices[FX to SGD],MATCH($A42,Prices[Key],0)),1))</f>
        <v/>
      </c>
      <c r="J42" s="287" t="str">
        <f t="shared" si="3"/>
        <v/>
      </c>
      <c r="K42" s="287" t="str">
        <f t="shared" si="4"/>
        <v/>
      </c>
      <c r="L42" s="287" t="str">
        <f t="shared" si="5"/>
        <v/>
      </c>
      <c r="M42" s="290" t="str">
        <f t="shared" si="6"/>
        <v/>
      </c>
      <c r="N42" s="243" t="str">
        <f>IF($A42="","",IF(ABS(E42)&gt;0.000001,COUNT($N$1:N41)+1,""))</f>
        <v/>
      </c>
      <c r="O42" s="291" t="str">
        <f>IF($A42="","",SUMIFS(Transactions!$H$2:$H$1001,Transactions!$J$2:$J$1001,$A42,Transactions!$A$2:$A$1001,2)*$I42)</f>
        <v/>
      </c>
      <c r="P42" s="291" t="str">
        <f t="shared" si="7"/>
        <v/>
      </c>
      <c r="Q42" s="292" t="str">
        <f t="shared" si="8"/>
        <v/>
      </c>
    </row>
    <row r="43" spans="1:17" ht="15" customHeight="1" x14ac:dyDescent="0.2">
      <c r="A43" s="243" t="str">
        <f>IFERROR(INDEX(Txn[Key],MATCH(0,INDEX(COUNTIF($A$1:A42,Txn[Key])+(Txn[Key]=""),0),0)),"")</f>
        <v/>
      </c>
      <c r="B43" s="243" t="str">
        <f t="shared" si="0"/>
        <v/>
      </c>
      <c r="C43" s="243" t="str">
        <f t="shared" si="1"/>
        <v/>
      </c>
      <c r="D43" s="243" t="str">
        <f t="shared" si="2"/>
        <v/>
      </c>
      <c r="E43" s="265" t="str">
        <f>IF($A43="","",SUMIFS(Txn[Signed Units],Txn[Key],$A43))</f>
        <v/>
      </c>
      <c r="F43" s="287" t="str">
        <f>IF($A43="","",SUMIFS(Txn[Buy Cost],Txn[Key],$A43))</f>
        <v/>
      </c>
      <c r="G43" s="287" t="str">
        <f>IF($A43="","",SUMIFS(Txn[Sell Proceeds],Txn[Key],$A43))</f>
        <v/>
      </c>
      <c r="H43" s="288" t="str">
        <f>IF($A43="","",IFERROR(INDEX(Prices[Current Price],MATCH($A43,Prices[Key],0)),0))</f>
        <v/>
      </c>
      <c r="I43" s="289" t="str">
        <f>IF($A43="","",IFERROR(INDEX(Prices[FX to SGD],MATCH($A43,Prices[Key],0)),1))</f>
        <v/>
      </c>
      <c r="J43" s="287" t="str">
        <f t="shared" si="3"/>
        <v/>
      </c>
      <c r="K43" s="287" t="str">
        <f t="shared" si="4"/>
        <v/>
      </c>
      <c r="L43" s="287" t="str">
        <f t="shared" si="5"/>
        <v/>
      </c>
      <c r="M43" s="290" t="str">
        <f t="shared" si="6"/>
        <v/>
      </c>
      <c r="N43" s="243" t="str">
        <f>IF($A43="","",IF(ABS(E43)&gt;0.000001,COUNT($N$1:N42)+1,""))</f>
        <v/>
      </c>
      <c r="O43" s="291" t="str">
        <f>IF($A43="","",SUMIFS(Transactions!$H$2:$H$1001,Transactions!$J$2:$J$1001,$A43,Transactions!$A$2:$A$1001,2)*$I43)</f>
        <v/>
      </c>
      <c r="P43" s="291" t="str">
        <f t="shared" si="7"/>
        <v/>
      </c>
      <c r="Q43" s="292" t="str">
        <f t="shared" si="8"/>
        <v/>
      </c>
    </row>
    <row r="44" spans="1:17" ht="15" customHeight="1" x14ac:dyDescent="0.2">
      <c r="A44" s="243" t="str">
        <f>IFERROR(INDEX(Txn[Key],MATCH(0,INDEX(COUNTIF($A$1:A43,Txn[Key])+(Txn[Key]=""),0),0)),"")</f>
        <v/>
      </c>
      <c r="B44" s="243" t="str">
        <f t="shared" si="0"/>
        <v/>
      </c>
      <c r="C44" s="243" t="str">
        <f t="shared" si="1"/>
        <v/>
      </c>
      <c r="D44" s="243" t="str">
        <f t="shared" si="2"/>
        <v/>
      </c>
      <c r="E44" s="265" t="str">
        <f>IF($A44="","",SUMIFS(Txn[Signed Units],Txn[Key],$A44))</f>
        <v/>
      </c>
      <c r="F44" s="287" t="str">
        <f>IF($A44="","",SUMIFS(Txn[Buy Cost],Txn[Key],$A44))</f>
        <v/>
      </c>
      <c r="G44" s="287" t="str">
        <f>IF($A44="","",SUMIFS(Txn[Sell Proceeds],Txn[Key],$A44))</f>
        <v/>
      </c>
      <c r="H44" s="288" t="str">
        <f>IF($A44="","",IFERROR(INDEX(Prices[Current Price],MATCH($A44,Prices[Key],0)),0))</f>
        <v/>
      </c>
      <c r="I44" s="289" t="str">
        <f>IF($A44="","",IFERROR(INDEX(Prices[FX to SGD],MATCH($A44,Prices[Key],0)),1))</f>
        <v/>
      </c>
      <c r="J44" s="287" t="str">
        <f t="shared" si="3"/>
        <v/>
      </c>
      <c r="K44" s="287" t="str">
        <f t="shared" si="4"/>
        <v/>
      </c>
      <c r="L44" s="287" t="str">
        <f t="shared" si="5"/>
        <v/>
      </c>
      <c r="M44" s="290" t="str">
        <f t="shared" si="6"/>
        <v/>
      </c>
      <c r="N44" s="243" t="str">
        <f>IF($A44="","",IF(ABS(E44)&gt;0.000001,COUNT($N$1:N43)+1,""))</f>
        <v/>
      </c>
      <c r="O44" s="291" t="str">
        <f>IF($A44="","",SUMIFS(Transactions!$H$2:$H$1001,Transactions!$J$2:$J$1001,$A44,Transactions!$A$2:$A$1001,2)*$I44)</f>
        <v/>
      </c>
      <c r="P44" s="291" t="str">
        <f t="shared" si="7"/>
        <v/>
      </c>
      <c r="Q44" s="292" t="str">
        <f t="shared" si="8"/>
        <v/>
      </c>
    </row>
    <row r="45" spans="1:17" ht="15" customHeight="1" x14ac:dyDescent="0.2">
      <c r="A45" s="243" t="str">
        <f>IFERROR(INDEX(Txn[Key],MATCH(0,INDEX(COUNTIF($A$1:A44,Txn[Key])+(Txn[Key]=""),0),0)),"")</f>
        <v/>
      </c>
      <c r="B45" s="243" t="str">
        <f t="shared" si="0"/>
        <v/>
      </c>
      <c r="C45" s="243" t="str">
        <f t="shared" si="1"/>
        <v/>
      </c>
      <c r="D45" s="243" t="str">
        <f t="shared" si="2"/>
        <v/>
      </c>
      <c r="E45" s="265" t="str">
        <f>IF($A45="","",SUMIFS(Txn[Signed Units],Txn[Key],$A45))</f>
        <v/>
      </c>
      <c r="F45" s="287" t="str">
        <f>IF($A45="","",SUMIFS(Txn[Buy Cost],Txn[Key],$A45))</f>
        <v/>
      </c>
      <c r="G45" s="287" t="str">
        <f>IF($A45="","",SUMIFS(Txn[Sell Proceeds],Txn[Key],$A45))</f>
        <v/>
      </c>
      <c r="H45" s="288" t="str">
        <f>IF($A45="","",IFERROR(INDEX(Prices[Current Price],MATCH($A45,Prices[Key],0)),0))</f>
        <v/>
      </c>
      <c r="I45" s="289" t="str">
        <f>IF($A45="","",IFERROR(INDEX(Prices[FX to SGD],MATCH($A45,Prices[Key],0)),1))</f>
        <v/>
      </c>
      <c r="J45" s="287" t="str">
        <f t="shared" si="3"/>
        <v/>
      </c>
      <c r="K45" s="287" t="str">
        <f t="shared" si="4"/>
        <v/>
      </c>
      <c r="L45" s="287" t="str">
        <f t="shared" si="5"/>
        <v/>
      </c>
      <c r="M45" s="290" t="str">
        <f t="shared" si="6"/>
        <v/>
      </c>
      <c r="N45" s="243" t="str">
        <f>IF($A45="","",IF(ABS(E45)&gt;0.000001,COUNT($N$1:N44)+1,""))</f>
        <v/>
      </c>
      <c r="O45" s="291" t="str">
        <f>IF($A45="","",SUMIFS(Transactions!$H$2:$H$1001,Transactions!$J$2:$J$1001,$A45,Transactions!$A$2:$A$1001,2)*$I45)</f>
        <v/>
      </c>
      <c r="P45" s="291" t="str">
        <f t="shared" si="7"/>
        <v/>
      </c>
      <c r="Q45" s="292" t="str">
        <f t="shared" si="8"/>
        <v/>
      </c>
    </row>
    <row r="46" spans="1:17" ht="15" customHeight="1" x14ac:dyDescent="0.2">
      <c r="A46" s="243" t="str">
        <f>IFERROR(INDEX(Txn[Key],MATCH(0,INDEX(COUNTIF($A$1:A45,Txn[Key])+(Txn[Key]=""),0),0)),"")</f>
        <v/>
      </c>
      <c r="B46" s="243" t="str">
        <f t="shared" si="0"/>
        <v/>
      </c>
      <c r="C46" s="243" t="str">
        <f t="shared" si="1"/>
        <v/>
      </c>
      <c r="D46" s="243" t="str">
        <f t="shared" si="2"/>
        <v/>
      </c>
      <c r="E46" s="265" t="str">
        <f>IF($A46="","",SUMIFS(Txn[Signed Units],Txn[Key],$A46))</f>
        <v/>
      </c>
      <c r="F46" s="287" t="str">
        <f>IF($A46="","",SUMIFS(Txn[Buy Cost],Txn[Key],$A46))</f>
        <v/>
      </c>
      <c r="G46" s="287" t="str">
        <f>IF($A46="","",SUMIFS(Txn[Sell Proceeds],Txn[Key],$A46))</f>
        <v/>
      </c>
      <c r="H46" s="288" t="str">
        <f>IF($A46="","",IFERROR(INDEX(Prices[Current Price],MATCH($A46,Prices[Key],0)),0))</f>
        <v/>
      </c>
      <c r="I46" s="289" t="str">
        <f>IF($A46="","",IFERROR(INDEX(Prices[FX to SGD],MATCH($A46,Prices[Key],0)),1))</f>
        <v/>
      </c>
      <c r="J46" s="287" t="str">
        <f t="shared" si="3"/>
        <v/>
      </c>
      <c r="K46" s="287" t="str">
        <f t="shared" si="4"/>
        <v/>
      </c>
      <c r="L46" s="287" t="str">
        <f t="shared" si="5"/>
        <v/>
      </c>
      <c r="M46" s="290" t="str">
        <f t="shared" si="6"/>
        <v/>
      </c>
      <c r="N46" s="243" t="str">
        <f>IF($A46="","",IF(ABS(E46)&gt;0.000001,COUNT($N$1:N45)+1,""))</f>
        <v/>
      </c>
      <c r="O46" s="291" t="str">
        <f>IF($A46="","",SUMIFS(Transactions!$H$2:$H$1001,Transactions!$J$2:$J$1001,$A46,Transactions!$A$2:$A$1001,2)*$I46)</f>
        <v/>
      </c>
      <c r="P46" s="291" t="str">
        <f t="shared" si="7"/>
        <v/>
      </c>
      <c r="Q46" s="292" t="str">
        <f t="shared" si="8"/>
        <v/>
      </c>
    </row>
    <row r="47" spans="1:17" ht="15" customHeight="1" x14ac:dyDescent="0.2">
      <c r="A47" s="243" t="str">
        <f>IFERROR(INDEX(Txn[Key],MATCH(0,INDEX(COUNTIF($A$1:A46,Txn[Key])+(Txn[Key]=""),0),0)),"")</f>
        <v/>
      </c>
      <c r="B47" s="243" t="str">
        <f t="shared" si="0"/>
        <v/>
      </c>
      <c r="C47" s="243" t="str">
        <f t="shared" si="1"/>
        <v/>
      </c>
      <c r="D47" s="243" t="str">
        <f t="shared" si="2"/>
        <v/>
      </c>
      <c r="E47" s="265" t="str">
        <f>IF($A47="","",SUMIFS(Txn[Signed Units],Txn[Key],$A47))</f>
        <v/>
      </c>
      <c r="F47" s="287" t="str">
        <f>IF($A47="","",SUMIFS(Txn[Buy Cost],Txn[Key],$A47))</f>
        <v/>
      </c>
      <c r="G47" s="287" t="str">
        <f>IF($A47="","",SUMIFS(Txn[Sell Proceeds],Txn[Key],$A47))</f>
        <v/>
      </c>
      <c r="H47" s="288" t="str">
        <f>IF($A47="","",IFERROR(INDEX(Prices[Current Price],MATCH($A47,Prices[Key],0)),0))</f>
        <v/>
      </c>
      <c r="I47" s="289" t="str">
        <f>IF($A47="","",IFERROR(INDEX(Prices[FX to SGD],MATCH($A47,Prices[Key],0)),1))</f>
        <v/>
      </c>
      <c r="J47" s="287" t="str">
        <f t="shared" si="3"/>
        <v/>
      </c>
      <c r="K47" s="287" t="str">
        <f t="shared" si="4"/>
        <v/>
      </c>
      <c r="L47" s="287" t="str">
        <f t="shared" si="5"/>
        <v/>
      </c>
      <c r="M47" s="290" t="str">
        <f t="shared" si="6"/>
        <v/>
      </c>
      <c r="N47" s="243" t="str">
        <f>IF($A47="","",IF(ABS(E47)&gt;0.000001,COUNT($N$1:N46)+1,""))</f>
        <v/>
      </c>
      <c r="O47" s="291" t="str">
        <f>IF($A47="","",SUMIFS(Transactions!$H$2:$H$1001,Transactions!$J$2:$J$1001,$A47,Transactions!$A$2:$A$1001,2)*$I47)</f>
        <v/>
      </c>
      <c r="P47" s="291" t="str">
        <f t="shared" si="7"/>
        <v/>
      </c>
      <c r="Q47" s="292" t="str">
        <f t="shared" si="8"/>
        <v/>
      </c>
    </row>
    <row r="48" spans="1:17" ht="15" customHeight="1" x14ac:dyDescent="0.2">
      <c r="A48" s="243" t="str">
        <f>IFERROR(INDEX(Txn[Key],MATCH(0,INDEX(COUNTIF($A$1:A47,Txn[Key])+(Txn[Key]=""),0),0)),"")</f>
        <v/>
      </c>
      <c r="B48" s="243" t="str">
        <f t="shared" si="0"/>
        <v/>
      </c>
      <c r="C48" s="243" t="str">
        <f t="shared" si="1"/>
        <v/>
      </c>
      <c r="D48" s="243" t="str">
        <f t="shared" si="2"/>
        <v/>
      </c>
      <c r="E48" s="265" t="str">
        <f>IF($A48="","",SUMIFS(Txn[Signed Units],Txn[Key],$A48))</f>
        <v/>
      </c>
      <c r="F48" s="287" t="str">
        <f>IF($A48="","",SUMIFS(Txn[Buy Cost],Txn[Key],$A48))</f>
        <v/>
      </c>
      <c r="G48" s="287" t="str">
        <f>IF($A48="","",SUMIFS(Txn[Sell Proceeds],Txn[Key],$A48))</f>
        <v/>
      </c>
      <c r="H48" s="288" t="str">
        <f>IF($A48="","",IFERROR(INDEX(Prices[Current Price],MATCH($A48,Prices[Key],0)),0))</f>
        <v/>
      </c>
      <c r="I48" s="289" t="str">
        <f>IF($A48="","",IFERROR(INDEX(Prices[FX to SGD],MATCH($A48,Prices[Key],0)),1))</f>
        <v/>
      </c>
      <c r="J48" s="287" t="str">
        <f t="shared" si="3"/>
        <v/>
      </c>
      <c r="K48" s="287" t="str">
        <f t="shared" si="4"/>
        <v/>
      </c>
      <c r="L48" s="287" t="str">
        <f t="shared" si="5"/>
        <v/>
      </c>
      <c r="M48" s="290" t="str">
        <f t="shared" si="6"/>
        <v/>
      </c>
      <c r="N48" s="243" t="str">
        <f>IF($A48="","",IF(ABS(E48)&gt;0.000001,COUNT($N$1:N47)+1,""))</f>
        <v/>
      </c>
      <c r="O48" s="291" t="str">
        <f>IF($A48="","",SUMIFS(Transactions!$H$2:$H$1001,Transactions!$J$2:$J$1001,$A48,Transactions!$A$2:$A$1001,2)*$I48)</f>
        <v/>
      </c>
      <c r="P48" s="291" t="str">
        <f t="shared" si="7"/>
        <v/>
      </c>
      <c r="Q48" s="292" t="str">
        <f t="shared" si="8"/>
        <v/>
      </c>
    </row>
    <row r="49" spans="1:17" ht="15" customHeight="1" x14ac:dyDescent="0.2">
      <c r="A49" s="243" t="str">
        <f>IFERROR(INDEX(Txn[Key],MATCH(0,INDEX(COUNTIF($A$1:A48,Txn[Key])+(Txn[Key]=""),0),0)),"")</f>
        <v/>
      </c>
      <c r="B49" s="243" t="str">
        <f t="shared" si="0"/>
        <v/>
      </c>
      <c r="C49" s="243" t="str">
        <f t="shared" si="1"/>
        <v/>
      </c>
      <c r="D49" s="243" t="str">
        <f t="shared" si="2"/>
        <v/>
      </c>
      <c r="E49" s="265" t="str">
        <f>IF($A49="","",SUMIFS(Txn[Signed Units],Txn[Key],$A49))</f>
        <v/>
      </c>
      <c r="F49" s="287" t="str">
        <f>IF($A49="","",SUMIFS(Txn[Buy Cost],Txn[Key],$A49))</f>
        <v/>
      </c>
      <c r="G49" s="287" t="str">
        <f>IF($A49="","",SUMIFS(Txn[Sell Proceeds],Txn[Key],$A49))</f>
        <v/>
      </c>
      <c r="H49" s="288" t="str">
        <f>IF($A49="","",IFERROR(INDEX(Prices[Current Price],MATCH($A49,Prices[Key],0)),0))</f>
        <v/>
      </c>
      <c r="I49" s="289" t="str">
        <f>IF($A49="","",IFERROR(INDEX(Prices[FX to SGD],MATCH($A49,Prices[Key],0)),1))</f>
        <v/>
      </c>
      <c r="J49" s="287" t="str">
        <f t="shared" si="3"/>
        <v/>
      </c>
      <c r="K49" s="287" t="str">
        <f t="shared" si="4"/>
        <v/>
      </c>
      <c r="L49" s="287" t="str">
        <f t="shared" si="5"/>
        <v/>
      </c>
      <c r="M49" s="290" t="str">
        <f t="shared" si="6"/>
        <v/>
      </c>
      <c r="N49" s="243" t="str">
        <f>IF($A49="","",IF(ABS(E49)&gt;0.000001,COUNT($N$1:N48)+1,""))</f>
        <v/>
      </c>
      <c r="O49" s="291" t="str">
        <f>IF($A49="","",SUMIFS(Transactions!$H$2:$H$1001,Transactions!$J$2:$J$1001,$A49,Transactions!$A$2:$A$1001,2)*$I49)</f>
        <v/>
      </c>
      <c r="P49" s="291" t="str">
        <f t="shared" si="7"/>
        <v/>
      </c>
      <c r="Q49" s="292" t="str">
        <f t="shared" si="8"/>
        <v/>
      </c>
    </row>
    <row r="50" spans="1:17" ht="15" customHeight="1" x14ac:dyDescent="0.2">
      <c r="A50" s="243" t="str">
        <f>IFERROR(INDEX(Txn[Key],MATCH(0,INDEX(COUNTIF($A$1:A49,Txn[Key])+(Txn[Key]=""),0),0)),"")</f>
        <v/>
      </c>
      <c r="B50" s="243" t="str">
        <f t="shared" si="0"/>
        <v/>
      </c>
      <c r="C50" s="243" t="str">
        <f t="shared" si="1"/>
        <v/>
      </c>
      <c r="D50" s="243" t="str">
        <f t="shared" si="2"/>
        <v/>
      </c>
      <c r="E50" s="265" t="str">
        <f>IF($A50="","",SUMIFS(Txn[Signed Units],Txn[Key],$A50))</f>
        <v/>
      </c>
      <c r="F50" s="287" t="str">
        <f>IF($A50="","",SUMIFS(Txn[Buy Cost],Txn[Key],$A50))</f>
        <v/>
      </c>
      <c r="G50" s="287" t="str">
        <f>IF($A50="","",SUMIFS(Txn[Sell Proceeds],Txn[Key],$A50))</f>
        <v/>
      </c>
      <c r="H50" s="288" t="str">
        <f>IF($A50="","",IFERROR(INDEX(Prices[Current Price],MATCH($A50,Prices[Key],0)),0))</f>
        <v/>
      </c>
      <c r="I50" s="289" t="str">
        <f>IF($A50="","",IFERROR(INDEX(Prices[FX to SGD],MATCH($A50,Prices[Key],0)),1))</f>
        <v/>
      </c>
      <c r="J50" s="287" t="str">
        <f t="shared" si="3"/>
        <v/>
      </c>
      <c r="K50" s="287" t="str">
        <f t="shared" si="4"/>
        <v/>
      </c>
      <c r="L50" s="287" t="str">
        <f t="shared" si="5"/>
        <v/>
      </c>
      <c r="M50" s="290" t="str">
        <f t="shared" si="6"/>
        <v/>
      </c>
      <c r="N50" s="243" t="str">
        <f>IF($A50="","",IF(ABS(E50)&gt;0.000001,COUNT($N$1:N49)+1,""))</f>
        <v/>
      </c>
      <c r="O50" s="291" t="str">
        <f>IF($A50="","",SUMIFS(Transactions!$H$2:$H$1001,Transactions!$J$2:$J$1001,$A50,Transactions!$A$2:$A$1001,2)*$I50)</f>
        <v/>
      </c>
      <c r="P50" s="291" t="str">
        <f t="shared" si="7"/>
        <v/>
      </c>
      <c r="Q50" s="292" t="str">
        <f t="shared" si="8"/>
        <v/>
      </c>
    </row>
    <row r="51" spans="1:17" ht="15" customHeight="1" x14ac:dyDescent="0.2">
      <c r="A51" s="243" t="str">
        <f>IFERROR(INDEX(Txn[Key],MATCH(0,INDEX(COUNTIF($A$1:A50,Txn[Key])+(Txn[Key]=""),0),0)),"")</f>
        <v/>
      </c>
      <c r="B51" s="243" t="str">
        <f t="shared" si="0"/>
        <v/>
      </c>
      <c r="C51" s="243" t="str">
        <f t="shared" si="1"/>
        <v/>
      </c>
      <c r="D51" s="243" t="str">
        <f t="shared" si="2"/>
        <v/>
      </c>
      <c r="E51" s="265" t="str">
        <f>IF($A51="","",SUMIFS(Txn[Signed Units],Txn[Key],$A51))</f>
        <v/>
      </c>
      <c r="F51" s="287" t="str">
        <f>IF($A51="","",SUMIFS(Txn[Buy Cost],Txn[Key],$A51))</f>
        <v/>
      </c>
      <c r="G51" s="287" t="str">
        <f>IF($A51="","",SUMIFS(Txn[Sell Proceeds],Txn[Key],$A51))</f>
        <v/>
      </c>
      <c r="H51" s="288" t="str">
        <f>IF($A51="","",IFERROR(INDEX(Prices[Current Price],MATCH($A51,Prices[Key],0)),0))</f>
        <v/>
      </c>
      <c r="I51" s="289" t="str">
        <f>IF($A51="","",IFERROR(INDEX(Prices[FX to SGD],MATCH($A51,Prices[Key],0)),1))</f>
        <v/>
      </c>
      <c r="J51" s="287" t="str">
        <f t="shared" si="3"/>
        <v/>
      </c>
      <c r="K51" s="287" t="str">
        <f t="shared" si="4"/>
        <v/>
      </c>
      <c r="L51" s="287" t="str">
        <f t="shared" si="5"/>
        <v/>
      </c>
      <c r="M51" s="290" t="str">
        <f t="shared" si="6"/>
        <v/>
      </c>
      <c r="N51" s="243" t="str">
        <f>IF($A51="","",IF(ABS(E51)&gt;0.000001,COUNT($N$1:N50)+1,""))</f>
        <v/>
      </c>
      <c r="O51" s="291" t="str">
        <f>IF($A51="","",SUMIFS(Transactions!$H$2:$H$1001,Transactions!$J$2:$J$1001,$A51,Transactions!$A$2:$A$1001,2)*$I51)</f>
        <v/>
      </c>
      <c r="P51" s="291" t="str">
        <f t="shared" si="7"/>
        <v/>
      </c>
      <c r="Q51" s="292" t="str">
        <f t="shared" si="8"/>
        <v/>
      </c>
    </row>
    <row r="52" spans="1:17" ht="15" customHeight="1" x14ac:dyDescent="0.2">
      <c r="A52" s="243" t="str">
        <f>IFERROR(INDEX(Txn[Key],MATCH(0,INDEX(COUNTIF($A$1:A51,Txn[Key])+(Txn[Key]=""),0),0)),"")</f>
        <v/>
      </c>
      <c r="B52" s="243" t="str">
        <f t="shared" si="0"/>
        <v/>
      </c>
      <c r="C52" s="243" t="str">
        <f t="shared" si="1"/>
        <v/>
      </c>
      <c r="D52" s="243" t="str">
        <f t="shared" si="2"/>
        <v/>
      </c>
      <c r="E52" s="265" t="str">
        <f>IF($A52="","",SUMIFS(Txn[Signed Units],Txn[Key],$A52))</f>
        <v/>
      </c>
      <c r="F52" s="287" t="str">
        <f>IF($A52="","",SUMIFS(Txn[Buy Cost],Txn[Key],$A52))</f>
        <v/>
      </c>
      <c r="G52" s="287" t="str">
        <f>IF($A52="","",SUMIFS(Txn[Sell Proceeds],Txn[Key],$A52))</f>
        <v/>
      </c>
      <c r="H52" s="288" t="str">
        <f>IF($A52="","",IFERROR(INDEX(Prices[Current Price],MATCH($A52,Prices[Key],0)),0))</f>
        <v/>
      </c>
      <c r="I52" s="289" t="str">
        <f>IF($A52="","",IFERROR(INDEX(Prices[FX to SGD],MATCH($A52,Prices[Key],0)),1))</f>
        <v/>
      </c>
      <c r="J52" s="287" t="str">
        <f t="shared" si="3"/>
        <v/>
      </c>
      <c r="K52" s="287" t="str">
        <f t="shared" si="4"/>
        <v/>
      </c>
      <c r="L52" s="287" t="str">
        <f t="shared" si="5"/>
        <v/>
      </c>
      <c r="M52" s="290" t="str">
        <f t="shared" si="6"/>
        <v/>
      </c>
      <c r="N52" s="243" t="str">
        <f>IF($A52="","",IF(ABS(E52)&gt;0.000001,COUNT($N$1:N51)+1,""))</f>
        <v/>
      </c>
      <c r="O52" s="291" t="str">
        <f>IF($A52="","",SUMIFS(Transactions!$H$2:$H$1001,Transactions!$J$2:$J$1001,$A52,Transactions!$A$2:$A$1001,2)*$I52)</f>
        <v/>
      </c>
      <c r="P52" s="291" t="str">
        <f t="shared" si="7"/>
        <v/>
      </c>
      <c r="Q52" s="292" t="str">
        <f t="shared" si="8"/>
        <v/>
      </c>
    </row>
    <row r="53" spans="1:17" ht="15" customHeight="1" x14ac:dyDescent="0.2">
      <c r="A53" s="243" t="str">
        <f>IFERROR(INDEX(Txn[Key],MATCH(0,INDEX(COUNTIF($A$1:A52,Txn[Key])+(Txn[Key]=""),0),0)),"")</f>
        <v/>
      </c>
      <c r="B53" s="243" t="str">
        <f t="shared" si="0"/>
        <v/>
      </c>
      <c r="C53" s="243" t="str">
        <f t="shared" si="1"/>
        <v/>
      </c>
      <c r="D53" s="243" t="str">
        <f t="shared" si="2"/>
        <v/>
      </c>
      <c r="E53" s="265" t="str">
        <f>IF($A53="","",SUMIFS(Txn[Signed Units],Txn[Key],$A53))</f>
        <v/>
      </c>
      <c r="F53" s="287" t="str">
        <f>IF($A53="","",SUMIFS(Txn[Buy Cost],Txn[Key],$A53))</f>
        <v/>
      </c>
      <c r="G53" s="287" t="str">
        <f>IF($A53="","",SUMIFS(Txn[Sell Proceeds],Txn[Key],$A53))</f>
        <v/>
      </c>
      <c r="H53" s="288" t="str">
        <f>IF($A53="","",IFERROR(INDEX(Prices[Current Price],MATCH($A53,Prices[Key],0)),0))</f>
        <v/>
      </c>
      <c r="I53" s="289" t="str">
        <f>IF($A53="","",IFERROR(INDEX(Prices[FX to SGD],MATCH($A53,Prices[Key],0)),1))</f>
        <v/>
      </c>
      <c r="J53" s="287" t="str">
        <f t="shared" si="3"/>
        <v/>
      </c>
      <c r="K53" s="287" t="str">
        <f t="shared" si="4"/>
        <v/>
      </c>
      <c r="L53" s="287" t="str">
        <f t="shared" si="5"/>
        <v/>
      </c>
      <c r="M53" s="290" t="str">
        <f t="shared" si="6"/>
        <v/>
      </c>
      <c r="N53" s="243" t="str">
        <f>IF($A53="","",IF(ABS(E53)&gt;0.000001,COUNT($N$1:N52)+1,""))</f>
        <v/>
      </c>
      <c r="O53" s="291" t="str">
        <f>IF($A53="","",SUMIFS(Transactions!$H$2:$H$1001,Transactions!$J$2:$J$1001,$A53,Transactions!$A$2:$A$1001,2)*$I53)</f>
        <v/>
      </c>
      <c r="P53" s="291" t="str">
        <f t="shared" si="7"/>
        <v/>
      </c>
      <c r="Q53" s="292" t="str">
        <f t="shared" si="8"/>
        <v/>
      </c>
    </row>
    <row r="54" spans="1:17" ht="15" customHeight="1" x14ac:dyDescent="0.2">
      <c r="A54" s="243" t="str">
        <f>IFERROR(INDEX(Txn[Key],MATCH(0,INDEX(COUNTIF($A$1:A53,Txn[Key])+(Txn[Key]=""),0),0)),"")</f>
        <v/>
      </c>
      <c r="B54" s="243" t="str">
        <f t="shared" si="0"/>
        <v/>
      </c>
      <c r="C54" s="243" t="str">
        <f t="shared" si="1"/>
        <v/>
      </c>
      <c r="D54" s="243" t="str">
        <f t="shared" si="2"/>
        <v/>
      </c>
      <c r="E54" s="265" t="str">
        <f>IF($A54="","",SUMIFS(Txn[Signed Units],Txn[Key],$A54))</f>
        <v/>
      </c>
      <c r="F54" s="287" t="str">
        <f>IF($A54="","",SUMIFS(Txn[Buy Cost],Txn[Key],$A54))</f>
        <v/>
      </c>
      <c r="G54" s="287" t="str">
        <f>IF($A54="","",SUMIFS(Txn[Sell Proceeds],Txn[Key],$A54))</f>
        <v/>
      </c>
      <c r="H54" s="288" t="str">
        <f>IF($A54="","",IFERROR(INDEX(Prices[Current Price],MATCH($A54,Prices[Key],0)),0))</f>
        <v/>
      </c>
      <c r="I54" s="289" t="str">
        <f>IF($A54="","",IFERROR(INDEX(Prices[FX to SGD],MATCH($A54,Prices[Key],0)),1))</f>
        <v/>
      </c>
      <c r="J54" s="287" t="str">
        <f t="shared" si="3"/>
        <v/>
      </c>
      <c r="K54" s="287" t="str">
        <f t="shared" si="4"/>
        <v/>
      </c>
      <c r="L54" s="287" t="str">
        <f t="shared" si="5"/>
        <v/>
      </c>
      <c r="M54" s="290" t="str">
        <f t="shared" si="6"/>
        <v/>
      </c>
      <c r="N54" s="243" t="str">
        <f>IF($A54="","",IF(ABS(E54)&gt;0.000001,COUNT($N$1:N53)+1,""))</f>
        <v/>
      </c>
      <c r="O54" s="291" t="str">
        <f>IF($A54="","",SUMIFS(Transactions!$H$2:$H$1001,Transactions!$J$2:$J$1001,$A54,Transactions!$A$2:$A$1001,2)*$I54)</f>
        <v/>
      </c>
      <c r="P54" s="291" t="str">
        <f t="shared" si="7"/>
        <v/>
      </c>
      <c r="Q54" s="292" t="str">
        <f t="shared" si="8"/>
        <v/>
      </c>
    </row>
    <row r="55" spans="1:17" ht="15" customHeight="1" x14ac:dyDescent="0.2">
      <c r="A55" s="243" t="str">
        <f>IFERROR(INDEX(Txn[Key],MATCH(0,INDEX(COUNTIF($A$1:A54,Txn[Key])+(Txn[Key]=""),0),0)),"")</f>
        <v/>
      </c>
      <c r="B55" s="243" t="str">
        <f t="shared" si="0"/>
        <v/>
      </c>
      <c r="C55" s="243" t="str">
        <f t="shared" si="1"/>
        <v/>
      </c>
      <c r="D55" s="243" t="str">
        <f t="shared" si="2"/>
        <v/>
      </c>
      <c r="E55" s="265" t="str">
        <f>IF($A55="","",SUMIFS(Txn[Signed Units],Txn[Key],$A55))</f>
        <v/>
      </c>
      <c r="F55" s="287" t="str">
        <f>IF($A55="","",SUMIFS(Txn[Buy Cost],Txn[Key],$A55))</f>
        <v/>
      </c>
      <c r="G55" s="287" t="str">
        <f>IF($A55="","",SUMIFS(Txn[Sell Proceeds],Txn[Key],$A55))</f>
        <v/>
      </c>
      <c r="H55" s="288" t="str">
        <f>IF($A55="","",IFERROR(INDEX(Prices[Current Price],MATCH($A55,Prices[Key],0)),0))</f>
        <v/>
      </c>
      <c r="I55" s="289" t="str">
        <f>IF($A55="","",IFERROR(INDEX(Prices[FX to SGD],MATCH($A55,Prices[Key],0)),1))</f>
        <v/>
      </c>
      <c r="J55" s="287" t="str">
        <f t="shared" si="3"/>
        <v/>
      </c>
      <c r="K55" s="287" t="str">
        <f t="shared" si="4"/>
        <v/>
      </c>
      <c r="L55" s="287" t="str">
        <f t="shared" si="5"/>
        <v/>
      </c>
      <c r="M55" s="290" t="str">
        <f t="shared" si="6"/>
        <v/>
      </c>
      <c r="N55" s="243" t="str">
        <f>IF($A55="","",IF(ABS(E55)&gt;0.000001,COUNT($N$1:N54)+1,""))</f>
        <v/>
      </c>
      <c r="O55" s="291" t="str">
        <f>IF($A55="","",SUMIFS(Transactions!$H$2:$H$1001,Transactions!$J$2:$J$1001,$A55,Transactions!$A$2:$A$1001,2)*$I55)</f>
        <v/>
      </c>
      <c r="P55" s="291" t="str">
        <f t="shared" si="7"/>
        <v/>
      </c>
      <c r="Q55" s="292" t="str">
        <f t="shared" si="8"/>
        <v/>
      </c>
    </row>
    <row r="56" spans="1:17" ht="15" customHeight="1" x14ac:dyDescent="0.2">
      <c r="A56" s="243" t="str">
        <f>IFERROR(INDEX(Txn[Key],MATCH(0,INDEX(COUNTIF($A$1:A55,Txn[Key])+(Txn[Key]=""),0),0)),"")</f>
        <v/>
      </c>
      <c r="B56" s="243" t="str">
        <f t="shared" si="0"/>
        <v/>
      </c>
      <c r="C56" s="243" t="str">
        <f t="shared" si="1"/>
        <v/>
      </c>
      <c r="D56" s="243" t="str">
        <f t="shared" si="2"/>
        <v/>
      </c>
      <c r="E56" s="265" t="str">
        <f>IF($A56="","",SUMIFS(Txn[Signed Units],Txn[Key],$A56))</f>
        <v/>
      </c>
      <c r="F56" s="287" t="str">
        <f>IF($A56="","",SUMIFS(Txn[Buy Cost],Txn[Key],$A56))</f>
        <v/>
      </c>
      <c r="G56" s="287" t="str">
        <f>IF($A56="","",SUMIFS(Txn[Sell Proceeds],Txn[Key],$A56))</f>
        <v/>
      </c>
      <c r="H56" s="288" t="str">
        <f>IF($A56="","",IFERROR(INDEX(Prices[Current Price],MATCH($A56,Prices[Key],0)),0))</f>
        <v/>
      </c>
      <c r="I56" s="289" t="str">
        <f>IF($A56="","",IFERROR(INDEX(Prices[FX to SGD],MATCH($A56,Prices[Key],0)),1))</f>
        <v/>
      </c>
      <c r="J56" s="287" t="str">
        <f t="shared" si="3"/>
        <v/>
      </c>
      <c r="K56" s="287" t="str">
        <f t="shared" si="4"/>
        <v/>
      </c>
      <c r="L56" s="287" t="str">
        <f t="shared" si="5"/>
        <v/>
      </c>
      <c r="M56" s="290" t="str">
        <f t="shared" si="6"/>
        <v/>
      </c>
      <c r="N56" s="243" t="str">
        <f>IF($A56="","",IF(ABS(E56)&gt;0.000001,COUNT($N$1:N55)+1,""))</f>
        <v/>
      </c>
      <c r="O56" s="291" t="str">
        <f>IF($A56="","",SUMIFS(Transactions!$H$2:$H$1001,Transactions!$J$2:$J$1001,$A56,Transactions!$A$2:$A$1001,2)*$I56)</f>
        <v/>
      </c>
      <c r="P56" s="291" t="str">
        <f t="shared" si="7"/>
        <v/>
      </c>
      <c r="Q56" s="292" t="str">
        <f t="shared" si="8"/>
        <v/>
      </c>
    </row>
    <row r="57" spans="1:17" ht="15" customHeight="1" x14ac:dyDescent="0.2">
      <c r="A57" s="243" t="str">
        <f>IFERROR(INDEX(Txn[Key],MATCH(0,INDEX(COUNTIF($A$1:A56,Txn[Key])+(Txn[Key]=""),0),0)),"")</f>
        <v/>
      </c>
      <c r="B57" s="243" t="str">
        <f t="shared" si="0"/>
        <v/>
      </c>
      <c r="C57" s="243" t="str">
        <f t="shared" si="1"/>
        <v/>
      </c>
      <c r="D57" s="243" t="str">
        <f t="shared" si="2"/>
        <v/>
      </c>
      <c r="E57" s="265" t="str">
        <f>IF($A57="","",SUMIFS(Txn[Signed Units],Txn[Key],$A57))</f>
        <v/>
      </c>
      <c r="F57" s="287" t="str">
        <f>IF($A57="","",SUMIFS(Txn[Buy Cost],Txn[Key],$A57))</f>
        <v/>
      </c>
      <c r="G57" s="287" t="str">
        <f>IF($A57="","",SUMIFS(Txn[Sell Proceeds],Txn[Key],$A57))</f>
        <v/>
      </c>
      <c r="H57" s="288" t="str">
        <f>IF($A57="","",IFERROR(INDEX(Prices[Current Price],MATCH($A57,Prices[Key],0)),0))</f>
        <v/>
      </c>
      <c r="I57" s="289" t="str">
        <f>IF($A57="","",IFERROR(INDEX(Prices[FX to SGD],MATCH($A57,Prices[Key],0)),1))</f>
        <v/>
      </c>
      <c r="J57" s="287" t="str">
        <f t="shared" si="3"/>
        <v/>
      </c>
      <c r="K57" s="287" t="str">
        <f t="shared" si="4"/>
        <v/>
      </c>
      <c r="L57" s="287" t="str">
        <f t="shared" si="5"/>
        <v/>
      </c>
      <c r="M57" s="290" t="str">
        <f t="shared" si="6"/>
        <v/>
      </c>
      <c r="N57" s="243" t="str">
        <f>IF($A57="","",IF(ABS(E57)&gt;0.000001,COUNT($N$1:N56)+1,""))</f>
        <v/>
      </c>
      <c r="O57" s="291" t="str">
        <f>IF($A57="","",SUMIFS(Transactions!$H$2:$H$1001,Transactions!$J$2:$J$1001,$A57,Transactions!$A$2:$A$1001,2)*$I57)</f>
        <v/>
      </c>
      <c r="P57" s="291" t="str">
        <f t="shared" si="7"/>
        <v/>
      </c>
      <c r="Q57" s="292" t="str">
        <f t="shared" si="8"/>
        <v/>
      </c>
    </row>
    <row r="58" spans="1:17" ht="15" customHeight="1" x14ac:dyDescent="0.2">
      <c r="A58" s="243" t="str">
        <f>IFERROR(INDEX(Txn[Key],MATCH(0,INDEX(COUNTIF($A$1:A57,Txn[Key])+(Txn[Key]=""),0),0)),"")</f>
        <v/>
      </c>
      <c r="B58" s="243" t="str">
        <f t="shared" si="0"/>
        <v/>
      </c>
      <c r="C58" s="243" t="str">
        <f t="shared" si="1"/>
        <v/>
      </c>
      <c r="D58" s="243" t="str">
        <f t="shared" si="2"/>
        <v/>
      </c>
      <c r="E58" s="265" t="str">
        <f>IF($A58="","",SUMIFS(Txn[Signed Units],Txn[Key],$A58))</f>
        <v/>
      </c>
      <c r="F58" s="287" t="str">
        <f>IF($A58="","",SUMIFS(Txn[Buy Cost],Txn[Key],$A58))</f>
        <v/>
      </c>
      <c r="G58" s="287" t="str">
        <f>IF($A58="","",SUMIFS(Txn[Sell Proceeds],Txn[Key],$A58))</f>
        <v/>
      </c>
      <c r="H58" s="288" t="str">
        <f>IF($A58="","",IFERROR(INDEX(Prices[Current Price],MATCH($A58,Prices[Key],0)),0))</f>
        <v/>
      </c>
      <c r="I58" s="289" t="str">
        <f>IF($A58="","",IFERROR(INDEX(Prices[FX to SGD],MATCH($A58,Prices[Key],0)),1))</f>
        <v/>
      </c>
      <c r="J58" s="287" t="str">
        <f t="shared" si="3"/>
        <v/>
      </c>
      <c r="K58" s="287" t="str">
        <f t="shared" si="4"/>
        <v/>
      </c>
      <c r="L58" s="287" t="str">
        <f t="shared" si="5"/>
        <v/>
      </c>
      <c r="M58" s="290" t="str">
        <f t="shared" si="6"/>
        <v/>
      </c>
      <c r="N58" s="243" t="str">
        <f>IF($A58="","",IF(ABS(E58)&gt;0.000001,COUNT($N$1:N57)+1,""))</f>
        <v/>
      </c>
      <c r="O58" s="291" t="str">
        <f>IF($A58="","",SUMIFS(Transactions!$H$2:$H$1001,Transactions!$J$2:$J$1001,$A58,Transactions!$A$2:$A$1001,2)*$I58)</f>
        <v/>
      </c>
      <c r="P58" s="291" t="str">
        <f t="shared" si="7"/>
        <v/>
      </c>
      <c r="Q58" s="292" t="str">
        <f t="shared" si="8"/>
        <v/>
      </c>
    </row>
    <row r="59" spans="1:17" ht="15" customHeight="1" x14ac:dyDescent="0.2">
      <c r="A59" s="243" t="str">
        <f>IFERROR(INDEX(Txn[Key],MATCH(0,INDEX(COUNTIF($A$1:A58,Txn[Key])+(Txn[Key]=""),0),0)),"")</f>
        <v/>
      </c>
      <c r="B59" s="243" t="str">
        <f t="shared" si="0"/>
        <v/>
      </c>
      <c r="C59" s="243" t="str">
        <f t="shared" si="1"/>
        <v/>
      </c>
      <c r="D59" s="243" t="str">
        <f t="shared" si="2"/>
        <v/>
      </c>
      <c r="E59" s="265" t="str">
        <f>IF($A59="","",SUMIFS(Txn[Signed Units],Txn[Key],$A59))</f>
        <v/>
      </c>
      <c r="F59" s="287" t="str">
        <f>IF($A59="","",SUMIFS(Txn[Buy Cost],Txn[Key],$A59))</f>
        <v/>
      </c>
      <c r="G59" s="287" t="str">
        <f>IF($A59="","",SUMIFS(Txn[Sell Proceeds],Txn[Key],$A59))</f>
        <v/>
      </c>
      <c r="H59" s="288" t="str">
        <f>IF($A59="","",IFERROR(INDEX(Prices[Current Price],MATCH($A59,Prices[Key],0)),0))</f>
        <v/>
      </c>
      <c r="I59" s="289" t="str">
        <f>IF($A59="","",IFERROR(INDEX(Prices[FX to SGD],MATCH($A59,Prices[Key],0)),1))</f>
        <v/>
      </c>
      <c r="J59" s="287" t="str">
        <f t="shared" si="3"/>
        <v/>
      </c>
      <c r="K59" s="287" t="str">
        <f t="shared" si="4"/>
        <v/>
      </c>
      <c r="L59" s="287" t="str">
        <f t="shared" si="5"/>
        <v/>
      </c>
      <c r="M59" s="290" t="str">
        <f t="shared" si="6"/>
        <v/>
      </c>
      <c r="N59" s="243" t="str">
        <f>IF($A59="","",IF(ABS(E59)&gt;0.000001,COUNT($N$1:N58)+1,""))</f>
        <v/>
      </c>
      <c r="O59" s="291" t="str">
        <f>IF($A59="","",SUMIFS(Transactions!$H$2:$H$1001,Transactions!$J$2:$J$1001,$A59,Transactions!$A$2:$A$1001,2)*$I59)</f>
        <v/>
      </c>
      <c r="P59" s="291" t="str">
        <f t="shared" si="7"/>
        <v/>
      </c>
      <c r="Q59" s="292" t="str">
        <f t="shared" si="8"/>
        <v/>
      </c>
    </row>
    <row r="60" spans="1:17" ht="15" customHeight="1" x14ac:dyDescent="0.2">
      <c r="A60" s="243" t="str">
        <f>IFERROR(INDEX(Txn[Key],MATCH(0,INDEX(COUNTIF($A$1:A59,Txn[Key])+(Txn[Key]=""),0),0)),"")</f>
        <v/>
      </c>
      <c r="B60" s="243" t="str">
        <f t="shared" si="0"/>
        <v/>
      </c>
      <c r="C60" s="243" t="str">
        <f t="shared" si="1"/>
        <v/>
      </c>
      <c r="D60" s="243" t="str">
        <f t="shared" si="2"/>
        <v/>
      </c>
      <c r="E60" s="265" t="str">
        <f>IF($A60="","",SUMIFS(Txn[Signed Units],Txn[Key],$A60))</f>
        <v/>
      </c>
      <c r="F60" s="287" t="str">
        <f>IF($A60="","",SUMIFS(Txn[Buy Cost],Txn[Key],$A60))</f>
        <v/>
      </c>
      <c r="G60" s="287" t="str">
        <f>IF($A60="","",SUMIFS(Txn[Sell Proceeds],Txn[Key],$A60))</f>
        <v/>
      </c>
      <c r="H60" s="288" t="str">
        <f>IF($A60="","",IFERROR(INDEX(Prices[Current Price],MATCH($A60,Prices[Key],0)),0))</f>
        <v/>
      </c>
      <c r="I60" s="289" t="str">
        <f>IF($A60="","",IFERROR(INDEX(Prices[FX to SGD],MATCH($A60,Prices[Key],0)),1))</f>
        <v/>
      </c>
      <c r="J60" s="287" t="str">
        <f t="shared" si="3"/>
        <v/>
      </c>
      <c r="K60" s="287" t="str">
        <f t="shared" si="4"/>
        <v/>
      </c>
      <c r="L60" s="287" t="str">
        <f t="shared" si="5"/>
        <v/>
      </c>
      <c r="M60" s="290" t="str">
        <f t="shared" si="6"/>
        <v/>
      </c>
      <c r="N60" s="243" t="str">
        <f>IF($A60="","",IF(ABS(E60)&gt;0.000001,COUNT($N$1:N59)+1,""))</f>
        <v/>
      </c>
      <c r="O60" s="291" t="str">
        <f>IF($A60="","",SUMIFS(Transactions!$H$2:$H$1001,Transactions!$J$2:$J$1001,$A60,Transactions!$A$2:$A$1001,2)*$I60)</f>
        <v/>
      </c>
      <c r="P60" s="291" t="str">
        <f t="shared" si="7"/>
        <v/>
      </c>
      <c r="Q60" s="292" t="str">
        <f t="shared" si="8"/>
        <v/>
      </c>
    </row>
    <row r="61" spans="1:17" ht="15" customHeight="1" x14ac:dyDescent="0.2">
      <c r="A61" s="243" t="str">
        <f>IFERROR(INDEX(Txn[Key],MATCH(0,INDEX(COUNTIF($A$1:A60,Txn[Key])+(Txn[Key]=""),0),0)),"")</f>
        <v/>
      </c>
      <c r="B61" s="243" t="str">
        <f t="shared" si="0"/>
        <v/>
      </c>
      <c r="C61" s="243" t="str">
        <f t="shared" si="1"/>
        <v/>
      </c>
      <c r="D61" s="243" t="str">
        <f t="shared" si="2"/>
        <v/>
      </c>
      <c r="E61" s="265" t="str">
        <f>IF($A61="","",SUMIFS(Txn[Signed Units],Txn[Key],$A61))</f>
        <v/>
      </c>
      <c r="F61" s="287" t="str">
        <f>IF($A61="","",SUMIFS(Txn[Buy Cost],Txn[Key],$A61))</f>
        <v/>
      </c>
      <c r="G61" s="287" t="str">
        <f>IF($A61="","",SUMIFS(Txn[Sell Proceeds],Txn[Key],$A61))</f>
        <v/>
      </c>
      <c r="H61" s="288" t="str">
        <f>IF($A61="","",IFERROR(INDEX(Prices[Current Price],MATCH($A61,Prices[Key],0)),0))</f>
        <v/>
      </c>
      <c r="I61" s="289" t="str">
        <f>IF($A61="","",IFERROR(INDEX(Prices[FX to SGD],MATCH($A61,Prices[Key],0)),1))</f>
        <v/>
      </c>
      <c r="J61" s="287" t="str">
        <f t="shared" si="3"/>
        <v/>
      </c>
      <c r="K61" s="287" t="str">
        <f t="shared" si="4"/>
        <v/>
      </c>
      <c r="L61" s="287" t="str">
        <f t="shared" si="5"/>
        <v/>
      </c>
      <c r="M61" s="290" t="str">
        <f t="shared" si="6"/>
        <v/>
      </c>
      <c r="N61" s="243" t="str">
        <f>IF($A61="","",IF(ABS(E61)&gt;0.000001,COUNT($N$1:N60)+1,""))</f>
        <v/>
      </c>
      <c r="O61" s="291" t="str">
        <f>IF($A61="","",SUMIFS(Transactions!$H$2:$H$1001,Transactions!$J$2:$J$1001,$A61,Transactions!$A$2:$A$1001,2)*$I61)</f>
        <v/>
      </c>
      <c r="P61" s="291" t="str">
        <f t="shared" si="7"/>
        <v/>
      </c>
      <c r="Q61" s="292" t="str">
        <f t="shared" si="8"/>
        <v/>
      </c>
    </row>
    <row r="62" spans="1:17" ht="15" customHeight="1" x14ac:dyDescent="0.2">
      <c r="A62" s="243" t="str">
        <f>IFERROR(INDEX(Txn[Key],MATCH(0,INDEX(COUNTIF($A$1:A61,Txn[Key])+(Txn[Key]=""),0),0)),"")</f>
        <v/>
      </c>
      <c r="B62" s="243" t="str">
        <f t="shared" si="0"/>
        <v/>
      </c>
      <c r="C62" s="243" t="str">
        <f t="shared" si="1"/>
        <v/>
      </c>
      <c r="D62" s="243" t="str">
        <f t="shared" si="2"/>
        <v/>
      </c>
      <c r="E62" s="265" t="str">
        <f>IF($A62="","",SUMIFS(Txn[Signed Units],Txn[Key],$A62))</f>
        <v/>
      </c>
      <c r="F62" s="287" t="str">
        <f>IF($A62="","",SUMIFS(Txn[Buy Cost],Txn[Key],$A62))</f>
        <v/>
      </c>
      <c r="G62" s="287" t="str">
        <f>IF($A62="","",SUMIFS(Txn[Sell Proceeds],Txn[Key],$A62))</f>
        <v/>
      </c>
      <c r="H62" s="288" t="str">
        <f>IF($A62="","",IFERROR(INDEX(Prices[Current Price],MATCH($A62,Prices[Key],0)),0))</f>
        <v/>
      </c>
      <c r="I62" s="289" t="str">
        <f>IF($A62="","",IFERROR(INDEX(Prices[FX to SGD],MATCH($A62,Prices[Key],0)),1))</f>
        <v/>
      </c>
      <c r="J62" s="287" t="str">
        <f t="shared" si="3"/>
        <v/>
      </c>
      <c r="K62" s="287" t="str">
        <f t="shared" si="4"/>
        <v/>
      </c>
      <c r="L62" s="287" t="str">
        <f t="shared" si="5"/>
        <v/>
      </c>
      <c r="M62" s="290" t="str">
        <f t="shared" si="6"/>
        <v/>
      </c>
      <c r="N62" s="243" t="str">
        <f>IF($A62="","",IF(ABS(E62)&gt;0.000001,COUNT($N$1:N61)+1,""))</f>
        <v/>
      </c>
      <c r="O62" s="291" t="str">
        <f>IF($A62="","",SUMIFS(Transactions!$H$2:$H$1001,Transactions!$J$2:$J$1001,$A62,Transactions!$A$2:$A$1001,2)*$I62)</f>
        <v/>
      </c>
      <c r="P62" s="291" t="str">
        <f t="shared" si="7"/>
        <v/>
      </c>
      <c r="Q62" s="292" t="str">
        <f t="shared" si="8"/>
        <v/>
      </c>
    </row>
    <row r="63" spans="1:17" ht="15" customHeight="1" x14ac:dyDescent="0.2">
      <c r="A63" s="243" t="str">
        <f>IFERROR(INDEX(Txn[Key],MATCH(0,INDEX(COUNTIF($A$1:A62,Txn[Key])+(Txn[Key]=""),0),0)),"")</f>
        <v/>
      </c>
      <c r="B63" s="243" t="str">
        <f t="shared" si="0"/>
        <v/>
      </c>
      <c r="C63" s="243" t="str">
        <f t="shared" si="1"/>
        <v/>
      </c>
      <c r="D63" s="243" t="str">
        <f t="shared" si="2"/>
        <v/>
      </c>
      <c r="E63" s="265" t="str">
        <f>IF($A63="","",SUMIFS(Txn[Signed Units],Txn[Key],$A63))</f>
        <v/>
      </c>
      <c r="F63" s="287" t="str">
        <f>IF($A63="","",SUMIFS(Txn[Buy Cost],Txn[Key],$A63))</f>
        <v/>
      </c>
      <c r="G63" s="287" t="str">
        <f>IF($A63="","",SUMIFS(Txn[Sell Proceeds],Txn[Key],$A63))</f>
        <v/>
      </c>
      <c r="H63" s="288" t="str">
        <f>IF($A63="","",IFERROR(INDEX(Prices[Current Price],MATCH($A63,Prices[Key],0)),0))</f>
        <v/>
      </c>
      <c r="I63" s="289" t="str">
        <f>IF($A63="","",IFERROR(INDEX(Prices[FX to SGD],MATCH($A63,Prices[Key],0)),1))</f>
        <v/>
      </c>
      <c r="J63" s="287" t="str">
        <f t="shared" si="3"/>
        <v/>
      </c>
      <c r="K63" s="287" t="str">
        <f t="shared" si="4"/>
        <v/>
      </c>
      <c r="L63" s="287" t="str">
        <f t="shared" si="5"/>
        <v/>
      </c>
      <c r="M63" s="290" t="str">
        <f t="shared" si="6"/>
        <v/>
      </c>
      <c r="N63" s="243" t="str">
        <f>IF($A63="","",IF(ABS(E63)&gt;0.000001,COUNT($N$1:N62)+1,""))</f>
        <v/>
      </c>
      <c r="O63" s="291" t="str">
        <f>IF($A63="","",SUMIFS(Transactions!$H$2:$H$1001,Transactions!$J$2:$J$1001,$A63,Transactions!$A$2:$A$1001,2)*$I63)</f>
        <v/>
      </c>
      <c r="P63" s="291" t="str">
        <f t="shared" si="7"/>
        <v/>
      </c>
      <c r="Q63" s="292" t="str">
        <f t="shared" si="8"/>
        <v/>
      </c>
    </row>
    <row r="64" spans="1:17" ht="15" customHeight="1" x14ac:dyDescent="0.2">
      <c r="A64" s="243" t="str">
        <f>IFERROR(INDEX(Txn[Key],MATCH(0,INDEX(COUNTIF($A$1:A63,Txn[Key])+(Txn[Key]=""),0),0)),"")</f>
        <v/>
      </c>
      <c r="B64" s="243" t="str">
        <f t="shared" si="0"/>
        <v/>
      </c>
      <c r="C64" s="243" t="str">
        <f t="shared" si="1"/>
        <v/>
      </c>
      <c r="D64" s="243" t="str">
        <f t="shared" si="2"/>
        <v/>
      </c>
      <c r="E64" s="265" t="str">
        <f>IF($A64="","",SUMIFS(Txn[Signed Units],Txn[Key],$A64))</f>
        <v/>
      </c>
      <c r="F64" s="287" t="str">
        <f>IF($A64="","",SUMIFS(Txn[Buy Cost],Txn[Key],$A64))</f>
        <v/>
      </c>
      <c r="G64" s="287" t="str">
        <f>IF($A64="","",SUMIFS(Txn[Sell Proceeds],Txn[Key],$A64))</f>
        <v/>
      </c>
      <c r="H64" s="288" t="str">
        <f>IF($A64="","",IFERROR(INDEX(Prices[Current Price],MATCH($A64,Prices[Key],0)),0))</f>
        <v/>
      </c>
      <c r="I64" s="289" t="str">
        <f>IF($A64="","",IFERROR(INDEX(Prices[FX to SGD],MATCH($A64,Prices[Key],0)),1))</f>
        <v/>
      </c>
      <c r="J64" s="287" t="str">
        <f t="shared" si="3"/>
        <v/>
      </c>
      <c r="K64" s="287" t="str">
        <f t="shared" si="4"/>
        <v/>
      </c>
      <c r="L64" s="287" t="str">
        <f t="shared" si="5"/>
        <v/>
      </c>
      <c r="M64" s="290" t="str">
        <f t="shared" si="6"/>
        <v/>
      </c>
      <c r="N64" s="243" t="str">
        <f>IF($A64="","",IF(ABS(E64)&gt;0.000001,COUNT($N$1:N63)+1,""))</f>
        <v/>
      </c>
      <c r="O64" s="291" t="str">
        <f>IF($A64="","",SUMIFS(Transactions!$H$2:$H$1001,Transactions!$J$2:$J$1001,$A64,Transactions!$A$2:$A$1001,2)*$I64)</f>
        <v/>
      </c>
      <c r="P64" s="291" t="str">
        <f t="shared" si="7"/>
        <v/>
      </c>
      <c r="Q64" s="292" t="str">
        <f t="shared" si="8"/>
        <v/>
      </c>
    </row>
    <row r="65" spans="1:17" ht="15" customHeight="1" x14ac:dyDescent="0.2">
      <c r="A65" s="243" t="str">
        <f>IFERROR(INDEX(Txn[Key],MATCH(0,INDEX(COUNTIF($A$1:A64,Txn[Key])+(Txn[Key]=""),0),0)),"")</f>
        <v/>
      </c>
      <c r="B65" s="243" t="str">
        <f t="shared" si="0"/>
        <v/>
      </c>
      <c r="C65" s="243" t="str">
        <f t="shared" si="1"/>
        <v/>
      </c>
      <c r="D65" s="243" t="str">
        <f t="shared" si="2"/>
        <v/>
      </c>
      <c r="E65" s="265" t="str">
        <f>IF($A65="","",SUMIFS(Txn[Signed Units],Txn[Key],$A65))</f>
        <v/>
      </c>
      <c r="F65" s="287" t="str">
        <f>IF($A65="","",SUMIFS(Txn[Buy Cost],Txn[Key],$A65))</f>
        <v/>
      </c>
      <c r="G65" s="287" t="str">
        <f>IF($A65="","",SUMIFS(Txn[Sell Proceeds],Txn[Key],$A65))</f>
        <v/>
      </c>
      <c r="H65" s="288" t="str">
        <f>IF($A65="","",IFERROR(INDEX(Prices[Current Price],MATCH($A65,Prices[Key],0)),0))</f>
        <v/>
      </c>
      <c r="I65" s="289" t="str">
        <f>IF($A65="","",IFERROR(INDEX(Prices[FX to SGD],MATCH($A65,Prices[Key],0)),1))</f>
        <v/>
      </c>
      <c r="J65" s="287" t="str">
        <f t="shared" si="3"/>
        <v/>
      </c>
      <c r="K65" s="287" t="str">
        <f t="shared" si="4"/>
        <v/>
      </c>
      <c r="L65" s="287" t="str">
        <f t="shared" si="5"/>
        <v/>
      </c>
      <c r="M65" s="290" t="str">
        <f t="shared" si="6"/>
        <v/>
      </c>
      <c r="N65" s="243" t="str">
        <f>IF($A65="","",IF(ABS(E65)&gt;0.000001,COUNT($N$1:N64)+1,""))</f>
        <v/>
      </c>
      <c r="O65" s="291" t="str">
        <f>IF($A65="","",SUMIFS(Transactions!$H$2:$H$1001,Transactions!$J$2:$J$1001,$A65,Transactions!$A$2:$A$1001,2)*$I65)</f>
        <v/>
      </c>
      <c r="P65" s="291" t="str">
        <f t="shared" si="7"/>
        <v/>
      </c>
      <c r="Q65" s="292" t="str">
        <f t="shared" si="8"/>
        <v/>
      </c>
    </row>
    <row r="66" spans="1:17" ht="15" customHeight="1" x14ac:dyDescent="0.2">
      <c r="A66" s="243" t="str">
        <f>IFERROR(INDEX(Txn[Key],MATCH(0,INDEX(COUNTIF($A$1:A65,Txn[Key])+(Txn[Key]=""),0),0)),"")</f>
        <v/>
      </c>
      <c r="B66" s="243" t="str">
        <f t="shared" ref="B66:B129" si="9">IF($A66="","",LEFT($A66,FIND(":",$A66)-1))</f>
        <v/>
      </c>
      <c r="C66" s="243" t="str">
        <f t="shared" ref="C66:C129" si="10">IF($A66="","",MID($A66,FIND(":",$A66)+1,FIND(":",$A66,FIND(":",$A66)+1)-FIND(":",$A66)-1))</f>
        <v/>
      </c>
      <c r="D66" s="243" t="str">
        <f t="shared" ref="D66:D129" si="11">IF($A66="","",RIGHT($A66,LEN($A66)-FIND(":",$A66,FIND(":",$A66)+1)))</f>
        <v/>
      </c>
      <c r="E66" s="265" t="str">
        <f>IF($A66="","",SUMIFS(Txn[Signed Units],Txn[Key],$A66))</f>
        <v/>
      </c>
      <c r="F66" s="287" t="str">
        <f>IF($A66="","",SUMIFS(Txn[Buy Cost],Txn[Key],$A66))</f>
        <v/>
      </c>
      <c r="G66" s="287" t="str">
        <f>IF($A66="","",SUMIFS(Txn[Sell Proceeds],Txn[Key],$A66))</f>
        <v/>
      </c>
      <c r="H66" s="288" t="str">
        <f>IF($A66="","",IFERROR(INDEX(Prices[Current Price],MATCH($A66,Prices[Key],0)),0))</f>
        <v/>
      </c>
      <c r="I66" s="289" t="str">
        <f>IF($A66="","",IFERROR(INDEX(Prices[FX to SGD],MATCH($A66,Prices[Key],0)),1))</f>
        <v/>
      </c>
      <c r="J66" s="287" t="str">
        <f t="shared" ref="J66:J129" si="12">IF($A66="","",E66*H66)</f>
        <v/>
      </c>
      <c r="K66" s="287" t="str">
        <f t="shared" ref="K66:K129" si="13">IF($A66="","",J66+G66-F66)</f>
        <v/>
      </c>
      <c r="L66" s="287" t="str">
        <f t="shared" ref="L66:L129" si="14">IF($A66="","",K66*I66)</f>
        <v/>
      </c>
      <c r="M66" s="290" t="str">
        <f t="shared" ref="M66:M129" si="15">IF($A66="","",IFERROR(K66/F66,0))</f>
        <v/>
      </c>
      <c r="N66" s="243" t="str">
        <f>IF($A66="","",IF(ABS(E66)&gt;0.000001,COUNT($N$1:N65)+1,""))</f>
        <v/>
      </c>
      <c r="O66" s="291" t="str">
        <f>IF($A66="","",SUMIFS(Transactions!$H$2:$H$1001,Transactions!$J$2:$J$1001,$A66,Transactions!$A$2:$A$1001,2)*$I66)</f>
        <v/>
      </c>
      <c r="P66" s="291" t="str">
        <f t="shared" ref="P66:P129" si="16">IF($A66="","",$L66+$O66)</f>
        <v/>
      </c>
      <c r="Q66" s="292" t="str">
        <f t="shared" ref="Q66:Q129" si="17">IF($A66="","",IFERROR(($L66+$O66)/($F66*$I66),0))</f>
        <v/>
      </c>
    </row>
    <row r="67" spans="1:17" ht="15" customHeight="1" x14ac:dyDescent="0.2">
      <c r="A67" s="243" t="str">
        <f>IFERROR(INDEX(Txn[Key],MATCH(0,INDEX(COUNTIF($A$1:A66,Txn[Key])+(Txn[Key]=""),0),0)),"")</f>
        <v/>
      </c>
      <c r="B67" s="243" t="str">
        <f t="shared" si="9"/>
        <v/>
      </c>
      <c r="C67" s="243" t="str">
        <f t="shared" si="10"/>
        <v/>
      </c>
      <c r="D67" s="243" t="str">
        <f t="shared" si="11"/>
        <v/>
      </c>
      <c r="E67" s="265" t="str">
        <f>IF($A67="","",SUMIFS(Txn[Signed Units],Txn[Key],$A67))</f>
        <v/>
      </c>
      <c r="F67" s="287" t="str">
        <f>IF($A67="","",SUMIFS(Txn[Buy Cost],Txn[Key],$A67))</f>
        <v/>
      </c>
      <c r="G67" s="287" t="str">
        <f>IF($A67="","",SUMIFS(Txn[Sell Proceeds],Txn[Key],$A67))</f>
        <v/>
      </c>
      <c r="H67" s="288" t="str">
        <f>IF($A67="","",IFERROR(INDEX(Prices[Current Price],MATCH($A67,Prices[Key],0)),0))</f>
        <v/>
      </c>
      <c r="I67" s="289" t="str">
        <f>IF($A67="","",IFERROR(INDEX(Prices[FX to SGD],MATCH($A67,Prices[Key],0)),1))</f>
        <v/>
      </c>
      <c r="J67" s="287" t="str">
        <f t="shared" si="12"/>
        <v/>
      </c>
      <c r="K67" s="287" t="str">
        <f t="shared" si="13"/>
        <v/>
      </c>
      <c r="L67" s="287" t="str">
        <f t="shared" si="14"/>
        <v/>
      </c>
      <c r="M67" s="290" t="str">
        <f t="shared" si="15"/>
        <v/>
      </c>
      <c r="N67" s="243" t="str">
        <f>IF($A67="","",IF(ABS(E67)&gt;0.000001,COUNT($N$1:N66)+1,""))</f>
        <v/>
      </c>
      <c r="O67" s="291" t="str">
        <f>IF($A67="","",SUMIFS(Transactions!$H$2:$H$1001,Transactions!$J$2:$J$1001,$A67,Transactions!$A$2:$A$1001,2)*$I67)</f>
        <v/>
      </c>
      <c r="P67" s="291" t="str">
        <f t="shared" si="16"/>
        <v/>
      </c>
      <c r="Q67" s="292" t="str">
        <f t="shared" si="17"/>
        <v/>
      </c>
    </row>
    <row r="68" spans="1:17" ht="15" customHeight="1" x14ac:dyDescent="0.2">
      <c r="A68" s="243" t="str">
        <f>IFERROR(INDEX(Txn[Key],MATCH(0,INDEX(COUNTIF($A$1:A67,Txn[Key])+(Txn[Key]=""),0),0)),"")</f>
        <v/>
      </c>
      <c r="B68" s="243" t="str">
        <f t="shared" si="9"/>
        <v/>
      </c>
      <c r="C68" s="243" t="str">
        <f t="shared" si="10"/>
        <v/>
      </c>
      <c r="D68" s="243" t="str">
        <f t="shared" si="11"/>
        <v/>
      </c>
      <c r="E68" s="265" t="str">
        <f>IF($A68="","",SUMIFS(Txn[Signed Units],Txn[Key],$A68))</f>
        <v/>
      </c>
      <c r="F68" s="287" t="str">
        <f>IF($A68="","",SUMIFS(Txn[Buy Cost],Txn[Key],$A68))</f>
        <v/>
      </c>
      <c r="G68" s="287" t="str">
        <f>IF($A68="","",SUMIFS(Txn[Sell Proceeds],Txn[Key],$A68))</f>
        <v/>
      </c>
      <c r="H68" s="288" t="str">
        <f>IF($A68="","",IFERROR(INDEX(Prices[Current Price],MATCH($A68,Prices[Key],0)),0))</f>
        <v/>
      </c>
      <c r="I68" s="289" t="str">
        <f>IF($A68="","",IFERROR(INDEX(Prices[FX to SGD],MATCH($A68,Prices[Key],0)),1))</f>
        <v/>
      </c>
      <c r="J68" s="287" t="str">
        <f t="shared" si="12"/>
        <v/>
      </c>
      <c r="K68" s="287" t="str">
        <f t="shared" si="13"/>
        <v/>
      </c>
      <c r="L68" s="287" t="str">
        <f t="shared" si="14"/>
        <v/>
      </c>
      <c r="M68" s="290" t="str">
        <f t="shared" si="15"/>
        <v/>
      </c>
      <c r="N68" s="243" t="str">
        <f>IF($A68="","",IF(ABS(E68)&gt;0.000001,COUNT($N$1:N67)+1,""))</f>
        <v/>
      </c>
      <c r="O68" s="291" t="str">
        <f>IF($A68="","",SUMIFS(Transactions!$H$2:$H$1001,Transactions!$J$2:$J$1001,$A68,Transactions!$A$2:$A$1001,2)*$I68)</f>
        <v/>
      </c>
      <c r="P68" s="291" t="str">
        <f t="shared" si="16"/>
        <v/>
      </c>
      <c r="Q68" s="292" t="str">
        <f t="shared" si="17"/>
        <v/>
      </c>
    </row>
    <row r="69" spans="1:17" ht="15" customHeight="1" x14ac:dyDescent="0.2">
      <c r="A69" s="243" t="str">
        <f>IFERROR(INDEX(Txn[Key],MATCH(0,INDEX(COUNTIF($A$1:A68,Txn[Key])+(Txn[Key]=""),0),0)),"")</f>
        <v/>
      </c>
      <c r="B69" s="243" t="str">
        <f t="shared" si="9"/>
        <v/>
      </c>
      <c r="C69" s="243" t="str">
        <f t="shared" si="10"/>
        <v/>
      </c>
      <c r="D69" s="243" t="str">
        <f t="shared" si="11"/>
        <v/>
      </c>
      <c r="E69" s="265" t="str">
        <f>IF($A69="","",SUMIFS(Txn[Signed Units],Txn[Key],$A69))</f>
        <v/>
      </c>
      <c r="F69" s="287" t="str">
        <f>IF($A69="","",SUMIFS(Txn[Buy Cost],Txn[Key],$A69))</f>
        <v/>
      </c>
      <c r="G69" s="287" t="str">
        <f>IF($A69="","",SUMIFS(Txn[Sell Proceeds],Txn[Key],$A69))</f>
        <v/>
      </c>
      <c r="H69" s="288" t="str">
        <f>IF($A69="","",IFERROR(INDEX(Prices[Current Price],MATCH($A69,Prices[Key],0)),0))</f>
        <v/>
      </c>
      <c r="I69" s="289" t="str">
        <f>IF($A69="","",IFERROR(INDEX(Prices[FX to SGD],MATCH($A69,Prices[Key],0)),1))</f>
        <v/>
      </c>
      <c r="J69" s="287" t="str">
        <f t="shared" si="12"/>
        <v/>
      </c>
      <c r="K69" s="287" t="str">
        <f t="shared" si="13"/>
        <v/>
      </c>
      <c r="L69" s="287" t="str">
        <f t="shared" si="14"/>
        <v/>
      </c>
      <c r="M69" s="290" t="str">
        <f t="shared" si="15"/>
        <v/>
      </c>
      <c r="N69" s="243" t="str">
        <f>IF($A69="","",IF(ABS(E69)&gt;0.000001,COUNT($N$1:N68)+1,""))</f>
        <v/>
      </c>
      <c r="O69" s="291" t="str">
        <f>IF($A69="","",SUMIFS(Transactions!$H$2:$H$1001,Transactions!$J$2:$J$1001,$A69,Transactions!$A$2:$A$1001,2)*$I69)</f>
        <v/>
      </c>
      <c r="P69" s="291" t="str">
        <f t="shared" si="16"/>
        <v/>
      </c>
      <c r="Q69" s="292" t="str">
        <f t="shared" si="17"/>
        <v/>
      </c>
    </row>
    <row r="70" spans="1:17" ht="15" customHeight="1" x14ac:dyDescent="0.2">
      <c r="A70" s="243" t="str">
        <f>IFERROR(INDEX(Txn[Key],MATCH(0,INDEX(COUNTIF($A$1:A69,Txn[Key])+(Txn[Key]=""),0),0)),"")</f>
        <v/>
      </c>
      <c r="B70" s="243" t="str">
        <f t="shared" si="9"/>
        <v/>
      </c>
      <c r="C70" s="243" t="str">
        <f t="shared" si="10"/>
        <v/>
      </c>
      <c r="D70" s="243" t="str">
        <f t="shared" si="11"/>
        <v/>
      </c>
      <c r="E70" s="265" t="str">
        <f>IF($A70="","",SUMIFS(Txn[Signed Units],Txn[Key],$A70))</f>
        <v/>
      </c>
      <c r="F70" s="287" t="str">
        <f>IF($A70="","",SUMIFS(Txn[Buy Cost],Txn[Key],$A70))</f>
        <v/>
      </c>
      <c r="G70" s="287" t="str">
        <f>IF($A70="","",SUMIFS(Txn[Sell Proceeds],Txn[Key],$A70))</f>
        <v/>
      </c>
      <c r="H70" s="288" t="str">
        <f>IF($A70="","",IFERROR(INDEX(Prices[Current Price],MATCH($A70,Prices[Key],0)),0))</f>
        <v/>
      </c>
      <c r="I70" s="289" t="str">
        <f>IF($A70="","",IFERROR(INDEX(Prices[FX to SGD],MATCH($A70,Prices[Key],0)),1))</f>
        <v/>
      </c>
      <c r="J70" s="287" t="str">
        <f t="shared" si="12"/>
        <v/>
      </c>
      <c r="K70" s="287" t="str">
        <f t="shared" si="13"/>
        <v/>
      </c>
      <c r="L70" s="287" t="str">
        <f t="shared" si="14"/>
        <v/>
      </c>
      <c r="M70" s="290" t="str">
        <f t="shared" si="15"/>
        <v/>
      </c>
      <c r="N70" s="243" t="str">
        <f>IF($A70="","",IF(ABS(E70)&gt;0.000001,COUNT($N$1:N69)+1,""))</f>
        <v/>
      </c>
      <c r="O70" s="291" t="str">
        <f>IF($A70="","",SUMIFS(Transactions!$H$2:$H$1001,Transactions!$J$2:$J$1001,$A70,Transactions!$A$2:$A$1001,2)*$I70)</f>
        <v/>
      </c>
      <c r="P70" s="291" t="str">
        <f t="shared" si="16"/>
        <v/>
      </c>
      <c r="Q70" s="292" t="str">
        <f t="shared" si="17"/>
        <v/>
      </c>
    </row>
    <row r="71" spans="1:17" ht="15" customHeight="1" x14ac:dyDescent="0.2">
      <c r="A71" s="243" t="str">
        <f>IFERROR(INDEX(Txn[Key],MATCH(0,INDEX(COUNTIF($A$1:A70,Txn[Key])+(Txn[Key]=""),0),0)),"")</f>
        <v/>
      </c>
      <c r="B71" s="243" t="str">
        <f t="shared" si="9"/>
        <v/>
      </c>
      <c r="C71" s="243" t="str">
        <f t="shared" si="10"/>
        <v/>
      </c>
      <c r="D71" s="243" t="str">
        <f t="shared" si="11"/>
        <v/>
      </c>
      <c r="E71" s="265" t="str">
        <f>IF($A71="","",SUMIFS(Txn[Signed Units],Txn[Key],$A71))</f>
        <v/>
      </c>
      <c r="F71" s="287" t="str">
        <f>IF($A71="","",SUMIFS(Txn[Buy Cost],Txn[Key],$A71))</f>
        <v/>
      </c>
      <c r="G71" s="287" t="str">
        <f>IF($A71="","",SUMIFS(Txn[Sell Proceeds],Txn[Key],$A71))</f>
        <v/>
      </c>
      <c r="H71" s="288" t="str">
        <f>IF($A71="","",IFERROR(INDEX(Prices[Current Price],MATCH($A71,Prices[Key],0)),0))</f>
        <v/>
      </c>
      <c r="I71" s="289" t="str">
        <f>IF($A71="","",IFERROR(INDEX(Prices[FX to SGD],MATCH($A71,Prices[Key],0)),1))</f>
        <v/>
      </c>
      <c r="J71" s="287" t="str">
        <f t="shared" si="12"/>
        <v/>
      </c>
      <c r="K71" s="287" t="str">
        <f t="shared" si="13"/>
        <v/>
      </c>
      <c r="L71" s="287" t="str">
        <f t="shared" si="14"/>
        <v/>
      </c>
      <c r="M71" s="290" t="str">
        <f t="shared" si="15"/>
        <v/>
      </c>
      <c r="N71" s="243" t="str">
        <f>IF($A71="","",IF(ABS(E71)&gt;0.000001,COUNT($N$1:N70)+1,""))</f>
        <v/>
      </c>
      <c r="O71" s="291" t="str">
        <f>IF($A71="","",SUMIFS(Transactions!$H$2:$H$1001,Transactions!$J$2:$J$1001,$A71,Transactions!$A$2:$A$1001,2)*$I71)</f>
        <v/>
      </c>
      <c r="P71" s="291" t="str">
        <f t="shared" si="16"/>
        <v/>
      </c>
      <c r="Q71" s="292" t="str">
        <f t="shared" si="17"/>
        <v/>
      </c>
    </row>
    <row r="72" spans="1:17" ht="15" customHeight="1" x14ac:dyDescent="0.2">
      <c r="A72" s="243" t="str">
        <f>IFERROR(INDEX(Txn[Key],MATCH(0,INDEX(COUNTIF($A$1:A71,Txn[Key])+(Txn[Key]=""),0),0)),"")</f>
        <v/>
      </c>
      <c r="B72" s="243" t="str">
        <f t="shared" si="9"/>
        <v/>
      </c>
      <c r="C72" s="243" t="str">
        <f t="shared" si="10"/>
        <v/>
      </c>
      <c r="D72" s="243" t="str">
        <f t="shared" si="11"/>
        <v/>
      </c>
      <c r="E72" s="265" t="str">
        <f>IF($A72="","",SUMIFS(Txn[Signed Units],Txn[Key],$A72))</f>
        <v/>
      </c>
      <c r="F72" s="287" t="str">
        <f>IF($A72="","",SUMIFS(Txn[Buy Cost],Txn[Key],$A72))</f>
        <v/>
      </c>
      <c r="G72" s="287" t="str">
        <f>IF($A72="","",SUMIFS(Txn[Sell Proceeds],Txn[Key],$A72))</f>
        <v/>
      </c>
      <c r="H72" s="288" t="str">
        <f>IF($A72="","",IFERROR(INDEX(Prices[Current Price],MATCH($A72,Prices[Key],0)),0))</f>
        <v/>
      </c>
      <c r="I72" s="289" t="str">
        <f>IF($A72="","",IFERROR(INDEX(Prices[FX to SGD],MATCH($A72,Prices[Key],0)),1))</f>
        <v/>
      </c>
      <c r="J72" s="287" t="str">
        <f t="shared" si="12"/>
        <v/>
      </c>
      <c r="K72" s="287" t="str">
        <f t="shared" si="13"/>
        <v/>
      </c>
      <c r="L72" s="287" t="str">
        <f t="shared" si="14"/>
        <v/>
      </c>
      <c r="M72" s="290" t="str">
        <f t="shared" si="15"/>
        <v/>
      </c>
      <c r="N72" s="243" t="str">
        <f>IF($A72="","",IF(ABS(E72)&gt;0.000001,COUNT($N$1:N71)+1,""))</f>
        <v/>
      </c>
      <c r="O72" s="291" t="str">
        <f>IF($A72="","",SUMIFS(Transactions!$H$2:$H$1001,Transactions!$J$2:$J$1001,$A72,Transactions!$A$2:$A$1001,2)*$I72)</f>
        <v/>
      </c>
      <c r="P72" s="291" t="str">
        <f t="shared" si="16"/>
        <v/>
      </c>
      <c r="Q72" s="292" t="str">
        <f t="shared" si="17"/>
        <v/>
      </c>
    </row>
    <row r="73" spans="1:17" ht="15" customHeight="1" x14ac:dyDescent="0.2">
      <c r="A73" s="243" t="str">
        <f>IFERROR(INDEX(Txn[Key],MATCH(0,INDEX(COUNTIF($A$1:A72,Txn[Key])+(Txn[Key]=""),0),0)),"")</f>
        <v/>
      </c>
      <c r="B73" s="243" t="str">
        <f t="shared" si="9"/>
        <v/>
      </c>
      <c r="C73" s="243" t="str">
        <f t="shared" si="10"/>
        <v/>
      </c>
      <c r="D73" s="243" t="str">
        <f t="shared" si="11"/>
        <v/>
      </c>
      <c r="E73" s="265" t="str">
        <f>IF($A73="","",SUMIFS(Txn[Signed Units],Txn[Key],$A73))</f>
        <v/>
      </c>
      <c r="F73" s="287" t="str">
        <f>IF($A73="","",SUMIFS(Txn[Buy Cost],Txn[Key],$A73))</f>
        <v/>
      </c>
      <c r="G73" s="287" t="str">
        <f>IF($A73="","",SUMIFS(Txn[Sell Proceeds],Txn[Key],$A73))</f>
        <v/>
      </c>
      <c r="H73" s="288" t="str">
        <f>IF($A73="","",IFERROR(INDEX(Prices[Current Price],MATCH($A73,Prices[Key],0)),0))</f>
        <v/>
      </c>
      <c r="I73" s="289" t="str">
        <f>IF($A73="","",IFERROR(INDEX(Prices[FX to SGD],MATCH($A73,Prices[Key],0)),1))</f>
        <v/>
      </c>
      <c r="J73" s="287" t="str">
        <f t="shared" si="12"/>
        <v/>
      </c>
      <c r="K73" s="287" t="str">
        <f t="shared" si="13"/>
        <v/>
      </c>
      <c r="L73" s="287" t="str">
        <f t="shared" si="14"/>
        <v/>
      </c>
      <c r="M73" s="290" t="str">
        <f t="shared" si="15"/>
        <v/>
      </c>
      <c r="N73" s="243" t="str">
        <f>IF($A73="","",IF(ABS(E73)&gt;0.000001,COUNT($N$1:N72)+1,""))</f>
        <v/>
      </c>
      <c r="O73" s="291" t="str">
        <f>IF($A73="","",SUMIFS(Transactions!$H$2:$H$1001,Transactions!$J$2:$J$1001,$A73,Transactions!$A$2:$A$1001,2)*$I73)</f>
        <v/>
      </c>
      <c r="P73" s="291" t="str">
        <f t="shared" si="16"/>
        <v/>
      </c>
      <c r="Q73" s="292" t="str">
        <f t="shared" si="17"/>
        <v/>
      </c>
    </row>
    <row r="74" spans="1:17" ht="15" customHeight="1" x14ac:dyDescent="0.2">
      <c r="A74" s="243" t="str">
        <f>IFERROR(INDEX(Txn[Key],MATCH(0,INDEX(COUNTIF($A$1:A73,Txn[Key])+(Txn[Key]=""),0),0)),"")</f>
        <v/>
      </c>
      <c r="B74" s="243" t="str">
        <f t="shared" si="9"/>
        <v/>
      </c>
      <c r="C74" s="243" t="str">
        <f t="shared" si="10"/>
        <v/>
      </c>
      <c r="D74" s="243" t="str">
        <f t="shared" si="11"/>
        <v/>
      </c>
      <c r="E74" s="265" t="str">
        <f>IF($A74="","",SUMIFS(Txn[Signed Units],Txn[Key],$A74))</f>
        <v/>
      </c>
      <c r="F74" s="287" t="str">
        <f>IF($A74="","",SUMIFS(Txn[Buy Cost],Txn[Key],$A74))</f>
        <v/>
      </c>
      <c r="G74" s="287" t="str">
        <f>IF($A74="","",SUMIFS(Txn[Sell Proceeds],Txn[Key],$A74))</f>
        <v/>
      </c>
      <c r="H74" s="288" t="str">
        <f>IF($A74="","",IFERROR(INDEX(Prices[Current Price],MATCH($A74,Prices[Key],0)),0))</f>
        <v/>
      </c>
      <c r="I74" s="289" t="str">
        <f>IF($A74="","",IFERROR(INDEX(Prices[FX to SGD],MATCH($A74,Prices[Key],0)),1))</f>
        <v/>
      </c>
      <c r="J74" s="287" t="str">
        <f t="shared" si="12"/>
        <v/>
      </c>
      <c r="K74" s="287" t="str">
        <f t="shared" si="13"/>
        <v/>
      </c>
      <c r="L74" s="287" t="str">
        <f t="shared" si="14"/>
        <v/>
      </c>
      <c r="M74" s="290" t="str">
        <f t="shared" si="15"/>
        <v/>
      </c>
      <c r="N74" s="243" t="str">
        <f>IF($A74="","",IF(ABS(E74)&gt;0.000001,COUNT($N$1:N73)+1,""))</f>
        <v/>
      </c>
      <c r="O74" s="291" t="str">
        <f>IF($A74="","",SUMIFS(Transactions!$H$2:$H$1001,Transactions!$J$2:$J$1001,$A74,Transactions!$A$2:$A$1001,2)*$I74)</f>
        <v/>
      </c>
      <c r="P74" s="291" t="str">
        <f t="shared" si="16"/>
        <v/>
      </c>
      <c r="Q74" s="292" t="str">
        <f t="shared" si="17"/>
        <v/>
      </c>
    </row>
    <row r="75" spans="1:17" ht="15" customHeight="1" x14ac:dyDescent="0.2">
      <c r="A75" s="243" t="str">
        <f>IFERROR(INDEX(Txn[Key],MATCH(0,INDEX(COUNTIF($A$1:A74,Txn[Key])+(Txn[Key]=""),0),0)),"")</f>
        <v/>
      </c>
      <c r="B75" s="243" t="str">
        <f t="shared" si="9"/>
        <v/>
      </c>
      <c r="C75" s="243" t="str">
        <f t="shared" si="10"/>
        <v/>
      </c>
      <c r="D75" s="243" t="str">
        <f t="shared" si="11"/>
        <v/>
      </c>
      <c r="E75" s="265" t="str">
        <f>IF($A75="","",SUMIFS(Txn[Signed Units],Txn[Key],$A75))</f>
        <v/>
      </c>
      <c r="F75" s="287" t="str">
        <f>IF($A75="","",SUMIFS(Txn[Buy Cost],Txn[Key],$A75))</f>
        <v/>
      </c>
      <c r="G75" s="287" t="str">
        <f>IF($A75="","",SUMIFS(Txn[Sell Proceeds],Txn[Key],$A75))</f>
        <v/>
      </c>
      <c r="H75" s="288" t="str">
        <f>IF($A75="","",IFERROR(INDEX(Prices[Current Price],MATCH($A75,Prices[Key],0)),0))</f>
        <v/>
      </c>
      <c r="I75" s="289" t="str">
        <f>IF($A75="","",IFERROR(INDEX(Prices[FX to SGD],MATCH($A75,Prices[Key],0)),1))</f>
        <v/>
      </c>
      <c r="J75" s="287" t="str">
        <f t="shared" si="12"/>
        <v/>
      </c>
      <c r="K75" s="287" t="str">
        <f t="shared" si="13"/>
        <v/>
      </c>
      <c r="L75" s="287" t="str">
        <f t="shared" si="14"/>
        <v/>
      </c>
      <c r="M75" s="290" t="str">
        <f t="shared" si="15"/>
        <v/>
      </c>
      <c r="N75" s="243" t="str">
        <f>IF($A75="","",IF(ABS(E75)&gt;0.000001,COUNT($N$1:N74)+1,""))</f>
        <v/>
      </c>
      <c r="O75" s="291" t="str">
        <f>IF($A75="","",SUMIFS(Transactions!$H$2:$H$1001,Transactions!$J$2:$J$1001,$A75,Transactions!$A$2:$A$1001,2)*$I75)</f>
        <v/>
      </c>
      <c r="P75" s="291" t="str">
        <f t="shared" si="16"/>
        <v/>
      </c>
      <c r="Q75" s="292" t="str">
        <f t="shared" si="17"/>
        <v/>
      </c>
    </row>
    <row r="76" spans="1:17" ht="15" customHeight="1" x14ac:dyDescent="0.2">
      <c r="A76" s="243" t="str">
        <f>IFERROR(INDEX(Txn[Key],MATCH(0,INDEX(COUNTIF($A$1:A75,Txn[Key])+(Txn[Key]=""),0),0)),"")</f>
        <v/>
      </c>
      <c r="B76" s="243" t="str">
        <f t="shared" si="9"/>
        <v/>
      </c>
      <c r="C76" s="243" t="str">
        <f t="shared" si="10"/>
        <v/>
      </c>
      <c r="D76" s="243" t="str">
        <f t="shared" si="11"/>
        <v/>
      </c>
      <c r="E76" s="265" t="str">
        <f>IF($A76="","",SUMIFS(Txn[Signed Units],Txn[Key],$A76))</f>
        <v/>
      </c>
      <c r="F76" s="287" t="str">
        <f>IF($A76="","",SUMIFS(Txn[Buy Cost],Txn[Key],$A76))</f>
        <v/>
      </c>
      <c r="G76" s="287" t="str">
        <f>IF($A76="","",SUMIFS(Txn[Sell Proceeds],Txn[Key],$A76))</f>
        <v/>
      </c>
      <c r="H76" s="288" t="str">
        <f>IF($A76="","",IFERROR(INDEX(Prices[Current Price],MATCH($A76,Prices[Key],0)),0))</f>
        <v/>
      </c>
      <c r="I76" s="289" t="str">
        <f>IF($A76="","",IFERROR(INDEX(Prices[FX to SGD],MATCH($A76,Prices[Key],0)),1))</f>
        <v/>
      </c>
      <c r="J76" s="287" t="str">
        <f t="shared" si="12"/>
        <v/>
      </c>
      <c r="K76" s="287" t="str">
        <f t="shared" si="13"/>
        <v/>
      </c>
      <c r="L76" s="287" t="str">
        <f t="shared" si="14"/>
        <v/>
      </c>
      <c r="M76" s="290" t="str">
        <f t="shared" si="15"/>
        <v/>
      </c>
      <c r="N76" s="243" t="str">
        <f>IF($A76="","",IF(ABS(E76)&gt;0.000001,COUNT($N$1:N75)+1,""))</f>
        <v/>
      </c>
      <c r="O76" s="291" t="str">
        <f>IF($A76="","",SUMIFS(Transactions!$H$2:$H$1001,Transactions!$J$2:$J$1001,$A76,Transactions!$A$2:$A$1001,2)*$I76)</f>
        <v/>
      </c>
      <c r="P76" s="291" t="str">
        <f t="shared" si="16"/>
        <v/>
      </c>
      <c r="Q76" s="292" t="str">
        <f t="shared" si="17"/>
        <v/>
      </c>
    </row>
    <row r="77" spans="1:17" ht="15" customHeight="1" x14ac:dyDescent="0.2">
      <c r="A77" s="243" t="str">
        <f>IFERROR(INDEX(Txn[Key],MATCH(0,INDEX(COUNTIF($A$1:A76,Txn[Key])+(Txn[Key]=""),0),0)),"")</f>
        <v/>
      </c>
      <c r="B77" s="243" t="str">
        <f t="shared" si="9"/>
        <v/>
      </c>
      <c r="C77" s="243" t="str">
        <f t="shared" si="10"/>
        <v/>
      </c>
      <c r="D77" s="243" t="str">
        <f t="shared" si="11"/>
        <v/>
      </c>
      <c r="E77" s="265" t="str">
        <f>IF($A77="","",SUMIFS(Txn[Signed Units],Txn[Key],$A77))</f>
        <v/>
      </c>
      <c r="F77" s="287" t="str">
        <f>IF($A77="","",SUMIFS(Txn[Buy Cost],Txn[Key],$A77))</f>
        <v/>
      </c>
      <c r="G77" s="287" t="str">
        <f>IF($A77="","",SUMIFS(Txn[Sell Proceeds],Txn[Key],$A77))</f>
        <v/>
      </c>
      <c r="H77" s="288" t="str">
        <f>IF($A77="","",IFERROR(INDEX(Prices[Current Price],MATCH($A77,Prices[Key],0)),0))</f>
        <v/>
      </c>
      <c r="I77" s="289" t="str">
        <f>IF($A77="","",IFERROR(INDEX(Prices[FX to SGD],MATCH($A77,Prices[Key],0)),1))</f>
        <v/>
      </c>
      <c r="J77" s="287" t="str">
        <f t="shared" si="12"/>
        <v/>
      </c>
      <c r="K77" s="287" t="str">
        <f t="shared" si="13"/>
        <v/>
      </c>
      <c r="L77" s="287" t="str">
        <f t="shared" si="14"/>
        <v/>
      </c>
      <c r="M77" s="290" t="str">
        <f t="shared" si="15"/>
        <v/>
      </c>
      <c r="N77" s="243" t="str">
        <f>IF($A77="","",IF(ABS(E77)&gt;0.000001,COUNT($N$1:N76)+1,""))</f>
        <v/>
      </c>
      <c r="O77" s="291" t="str">
        <f>IF($A77="","",SUMIFS(Transactions!$H$2:$H$1001,Transactions!$J$2:$J$1001,$A77,Transactions!$A$2:$A$1001,2)*$I77)</f>
        <v/>
      </c>
      <c r="P77" s="291" t="str">
        <f t="shared" si="16"/>
        <v/>
      </c>
      <c r="Q77" s="292" t="str">
        <f t="shared" si="17"/>
        <v/>
      </c>
    </row>
    <row r="78" spans="1:17" ht="15" customHeight="1" x14ac:dyDescent="0.2">
      <c r="A78" s="243" t="str">
        <f>IFERROR(INDEX(Txn[Key],MATCH(0,INDEX(COUNTIF($A$1:A77,Txn[Key])+(Txn[Key]=""),0),0)),"")</f>
        <v/>
      </c>
      <c r="B78" s="243" t="str">
        <f t="shared" si="9"/>
        <v/>
      </c>
      <c r="C78" s="243" t="str">
        <f t="shared" si="10"/>
        <v/>
      </c>
      <c r="D78" s="243" t="str">
        <f t="shared" si="11"/>
        <v/>
      </c>
      <c r="E78" s="265" t="str">
        <f>IF($A78="","",SUMIFS(Txn[Signed Units],Txn[Key],$A78))</f>
        <v/>
      </c>
      <c r="F78" s="287" t="str">
        <f>IF($A78="","",SUMIFS(Txn[Buy Cost],Txn[Key],$A78))</f>
        <v/>
      </c>
      <c r="G78" s="287" t="str">
        <f>IF($A78="","",SUMIFS(Txn[Sell Proceeds],Txn[Key],$A78))</f>
        <v/>
      </c>
      <c r="H78" s="288" t="str">
        <f>IF($A78="","",IFERROR(INDEX(Prices[Current Price],MATCH($A78,Prices[Key],0)),0))</f>
        <v/>
      </c>
      <c r="I78" s="289" t="str">
        <f>IF($A78="","",IFERROR(INDEX(Prices[FX to SGD],MATCH($A78,Prices[Key],0)),1))</f>
        <v/>
      </c>
      <c r="J78" s="287" t="str">
        <f t="shared" si="12"/>
        <v/>
      </c>
      <c r="K78" s="287" t="str">
        <f t="shared" si="13"/>
        <v/>
      </c>
      <c r="L78" s="287" t="str">
        <f t="shared" si="14"/>
        <v/>
      </c>
      <c r="M78" s="290" t="str">
        <f t="shared" si="15"/>
        <v/>
      </c>
      <c r="N78" s="243" t="str">
        <f>IF($A78="","",IF(ABS(E78)&gt;0.000001,COUNT($N$1:N77)+1,""))</f>
        <v/>
      </c>
      <c r="O78" s="291" t="str">
        <f>IF($A78="","",SUMIFS(Transactions!$H$2:$H$1001,Transactions!$J$2:$J$1001,$A78,Transactions!$A$2:$A$1001,2)*$I78)</f>
        <v/>
      </c>
      <c r="P78" s="291" t="str">
        <f t="shared" si="16"/>
        <v/>
      </c>
      <c r="Q78" s="292" t="str">
        <f t="shared" si="17"/>
        <v/>
      </c>
    </row>
    <row r="79" spans="1:17" ht="15" customHeight="1" x14ac:dyDescent="0.2">
      <c r="A79" s="243" t="str">
        <f>IFERROR(INDEX(Txn[Key],MATCH(0,INDEX(COUNTIF($A$1:A78,Txn[Key])+(Txn[Key]=""),0),0)),"")</f>
        <v/>
      </c>
      <c r="B79" s="243" t="str">
        <f t="shared" si="9"/>
        <v/>
      </c>
      <c r="C79" s="243" t="str">
        <f t="shared" si="10"/>
        <v/>
      </c>
      <c r="D79" s="243" t="str">
        <f t="shared" si="11"/>
        <v/>
      </c>
      <c r="E79" s="265" t="str">
        <f>IF($A79="","",SUMIFS(Txn[Signed Units],Txn[Key],$A79))</f>
        <v/>
      </c>
      <c r="F79" s="287" t="str">
        <f>IF($A79="","",SUMIFS(Txn[Buy Cost],Txn[Key],$A79))</f>
        <v/>
      </c>
      <c r="G79" s="287" t="str">
        <f>IF($A79="","",SUMIFS(Txn[Sell Proceeds],Txn[Key],$A79))</f>
        <v/>
      </c>
      <c r="H79" s="288" t="str">
        <f>IF($A79="","",IFERROR(INDEX(Prices[Current Price],MATCH($A79,Prices[Key],0)),0))</f>
        <v/>
      </c>
      <c r="I79" s="289" t="str">
        <f>IF($A79="","",IFERROR(INDEX(Prices[FX to SGD],MATCH($A79,Prices[Key],0)),1))</f>
        <v/>
      </c>
      <c r="J79" s="287" t="str">
        <f t="shared" si="12"/>
        <v/>
      </c>
      <c r="K79" s="287" t="str">
        <f t="shared" si="13"/>
        <v/>
      </c>
      <c r="L79" s="287" t="str">
        <f t="shared" si="14"/>
        <v/>
      </c>
      <c r="M79" s="290" t="str">
        <f t="shared" si="15"/>
        <v/>
      </c>
      <c r="N79" s="243" t="str">
        <f>IF($A79="","",IF(ABS(E79)&gt;0.000001,COUNT($N$1:N78)+1,""))</f>
        <v/>
      </c>
      <c r="O79" s="291" t="str">
        <f>IF($A79="","",SUMIFS(Transactions!$H$2:$H$1001,Transactions!$J$2:$J$1001,$A79,Transactions!$A$2:$A$1001,2)*$I79)</f>
        <v/>
      </c>
      <c r="P79" s="291" t="str">
        <f t="shared" si="16"/>
        <v/>
      </c>
      <c r="Q79" s="292" t="str">
        <f t="shared" si="17"/>
        <v/>
      </c>
    </row>
    <row r="80" spans="1:17" ht="15" customHeight="1" x14ac:dyDescent="0.2">
      <c r="A80" s="243" t="str">
        <f>IFERROR(INDEX(Txn[Key],MATCH(0,INDEX(COUNTIF($A$1:A79,Txn[Key])+(Txn[Key]=""),0),0)),"")</f>
        <v/>
      </c>
      <c r="B80" s="243" t="str">
        <f t="shared" si="9"/>
        <v/>
      </c>
      <c r="C80" s="243" t="str">
        <f t="shared" si="10"/>
        <v/>
      </c>
      <c r="D80" s="243" t="str">
        <f t="shared" si="11"/>
        <v/>
      </c>
      <c r="E80" s="265" t="str">
        <f>IF($A80="","",SUMIFS(Txn[Signed Units],Txn[Key],$A80))</f>
        <v/>
      </c>
      <c r="F80" s="287" t="str">
        <f>IF($A80="","",SUMIFS(Txn[Buy Cost],Txn[Key],$A80))</f>
        <v/>
      </c>
      <c r="G80" s="287" t="str">
        <f>IF($A80="","",SUMIFS(Txn[Sell Proceeds],Txn[Key],$A80))</f>
        <v/>
      </c>
      <c r="H80" s="288" t="str">
        <f>IF($A80="","",IFERROR(INDEX(Prices[Current Price],MATCH($A80,Prices[Key],0)),0))</f>
        <v/>
      </c>
      <c r="I80" s="289" t="str">
        <f>IF($A80="","",IFERROR(INDEX(Prices[FX to SGD],MATCH($A80,Prices[Key],0)),1))</f>
        <v/>
      </c>
      <c r="J80" s="287" t="str">
        <f t="shared" si="12"/>
        <v/>
      </c>
      <c r="K80" s="287" t="str">
        <f t="shared" si="13"/>
        <v/>
      </c>
      <c r="L80" s="287" t="str">
        <f t="shared" si="14"/>
        <v/>
      </c>
      <c r="M80" s="290" t="str">
        <f t="shared" si="15"/>
        <v/>
      </c>
      <c r="N80" s="243" t="str">
        <f>IF($A80="","",IF(ABS(E80)&gt;0.000001,COUNT($N$1:N79)+1,""))</f>
        <v/>
      </c>
      <c r="O80" s="291" t="str">
        <f>IF($A80="","",SUMIFS(Transactions!$H$2:$H$1001,Transactions!$J$2:$J$1001,$A80,Transactions!$A$2:$A$1001,2)*$I80)</f>
        <v/>
      </c>
      <c r="P80" s="291" t="str">
        <f t="shared" si="16"/>
        <v/>
      </c>
      <c r="Q80" s="292" t="str">
        <f t="shared" si="17"/>
        <v/>
      </c>
    </row>
    <row r="81" spans="1:17" ht="15" customHeight="1" x14ac:dyDescent="0.2">
      <c r="A81" s="243" t="str">
        <f>IFERROR(INDEX(Txn[Key],MATCH(0,INDEX(COUNTIF($A$1:A80,Txn[Key])+(Txn[Key]=""),0),0)),"")</f>
        <v/>
      </c>
      <c r="B81" s="243" t="str">
        <f t="shared" si="9"/>
        <v/>
      </c>
      <c r="C81" s="243" t="str">
        <f t="shared" si="10"/>
        <v/>
      </c>
      <c r="D81" s="243" t="str">
        <f t="shared" si="11"/>
        <v/>
      </c>
      <c r="E81" s="265" t="str">
        <f>IF($A81="","",SUMIFS(Txn[Signed Units],Txn[Key],$A81))</f>
        <v/>
      </c>
      <c r="F81" s="287" t="str">
        <f>IF($A81="","",SUMIFS(Txn[Buy Cost],Txn[Key],$A81))</f>
        <v/>
      </c>
      <c r="G81" s="287" t="str">
        <f>IF($A81="","",SUMIFS(Txn[Sell Proceeds],Txn[Key],$A81))</f>
        <v/>
      </c>
      <c r="H81" s="288" t="str">
        <f>IF($A81="","",IFERROR(INDEX(Prices[Current Price],MATCH($A81,Prices[Key],0)),0))</f>
        <v/>
      </c>
      <c r="I81" s="289" t="str">
        <f>IF($A81="","",IFERROR(INDEX(Prices[FX to SGD],MATCH($A81,Prices[Key],0)),1))</f>
        <v/>
      </c>
      <c r="J81" s="287" t="str">
        <f t="shared" si="12"/>
        <v/>
      </c>
      <c r="K81" s="287" t="str">
        <f t="shared" si="13"/>
        <v/>
      </c>
      <c r="L81" s="287" t="str">
        <f t="shared" si="14"/>
        <v/>
      </c>
      <c r="M81" s="290" t="str">
        <f t="shared" si="15"/>
        <v/>
      </c>
      <c r="N81" s="243" t="str">
        <f>IF($A81="","",IF(ABS(E81)&gt;0.000001,COUNT($N$1:N80)+1,""))</f>
        <v/>
      </c>
      <c r="O81" s="291" t="str">
        <f>IF($A81="","",SUMIFS(Transactions!$H$2:$H$1001,Transactions!$J$2:$J$1001,$A81,Transactions!$A$2:$A$1001,2)*$I81)</f>
        <v/>
      </c>
      <c r="P81" s="291" t="str">
        <f t="shared" si="16"/>
        <v/>
      </c>
      <c r="Q81" s="292" t="str">
        <f t="shared" si="17"/>
        <v/>
      </c>
    </row>
    <row r="82" spans="1:17" ht="15" customHeight="1" x14ac:dyDescent="0.2">
      <c r="A82" s="243" t="str">
        <f>IFERROR(INDEX(Txn[Key],MATCH(0,INDEX(COUNTIF($A$1:A81,Txn[Key])+(Txn[Key]=""),0),0)),"")</f>
        <v/>
      </c>
      <c r="B82" s="243" t="str">
        <f t="shared" si="9"/>
        <v/>
      </c>
      <c r="C82" s="243" t="str">
        <f t="shared" si="10"/>
        <v/>
      </c>
      <c r="D82" s="243" t="str">
        <f t="shared" si="11"/>
        <v/>
      </c>
      <c r="E82" s="265" t="str">
        <f>IF($A82="","",SUMIFS(Txn[Signed Units],Txn[Key],$A82))</f>
        <v/>
      </c>
      <c r="F82" s="287" t="str">
        <f>IF($A82="","",SUMIFS(Txn[Buy Cost],Txn[Key],$A82))</f>
        <v/>
      </c>
      <c r="G82" s="287" t="str">
        <f>IF($A82="","",SUMIFS(Txn[Sell Proceeds],Txn[Key],$A82))</f>
        <v/>
      </c>
      <c r="H82" s="288" t="str">
        <f>IF($A82="","",IFERROR(INDEX(Prices[Current Price],MATCH($A82,Prices[Key],0)),0))</f>
        <v/>
      </c>
      <c r="I82" s="289" t="str">
        <f>IF($A82="","",IFERROR(INDEX(Prices[FX to SGD],MATCH($A82,Prices[Key],0)),1))</f>
        <v/>
      </c>
      <c r="J82" s="287" t="str">
        <f t="shared" si="12"/>
        <v/>
      </c>
      <c r="K82" s="287" t="str">
        <f t="shared" si="13"/>
        <v/>
      </c>
      <c r="L82" s="287" t="str">
        <f t="shared" si="14"/>
        <v/>
      </c>
      <c r="M82" s="290" t="str">
        <f t="shared" si="15"/>
        <v/>
      </c>
      <c r="N82" s="243" t="str">
        <f>IF($A82="","",IF(ABS(E82)&gt;0.000001,COUNT($N$1:N81)+1,""))</f>
        <v/>
      </c>
      <c r="O82" s="291" t="str">
        <f>IF($A82="","",SUMIFS(Transactions!$H$2:$H$1001,Transactions!$J$2:$J$1001,$A82,Transactions!$A$2:$A$1001,2)*$I82)</f>
        <v/>
      </c>
      <c r="P82" s="291" t="str">
        <f t="shared" si="16"/>
        <v/>
      </c>
      <c r="Q82" s="292" t="str">
        <f t="shared" si="17"/>
        <v/>
      </c>
    </row>
    <row r="83" spans="1:17" ht="15" customHeight="1" x14ac:dyDescent="0.2">
      <c r="A83" s="243" t="str">
        <f>IFERROR(INDEX(Txn[Key],MATCH(0,INDEX(COUNTIF($A$1:A82,Txn[Key])+(Txn[Key]=""),0),0)),"")</f>
        <v/>
      </c>
      <c r="B83" s="243" t="str">
        <f t="shared" si="9"/>
        <v/>
      </c>
      <c r="C83" s="243" t="str">
        <f t="shared" si="10"/>
        <v/>
      </c>
      <c r="D83" s="243" t="str">
        <f t="shared" si="11"/>
        <v/>
      </c>
      <c r="E83" s="265" t="str">
        <f>IF($A83="","",SUMIFS(Txn[Signed Units],Txn[Key],$A83))</f>
        <v/>
      </c>
      <c r="F83" s="287" t="str">
        <f>IF($A83="","",SUMIFS(Txn[Buy Cost],Txn[Key],$A83))</f>
        <v/>
      </c>
      <c r="G83" s="287" t="str">
        <f>IF($A83="","",SUMIFS(Txn[Sell Proceeds],Txn[Key],$A83))</f>
        <v/>
      </c>
      <c r="H83" s="288" t="str">
        <f>IF($A83="","",IFERROR(INDEX(Prices[Current Price],MATCH($A83,Prices[Key],0)),0))</f>
        <v/>
      </c>
      <c r="I83" s="289" t="str">
        <f>IF($A83="","",IFERROR(INDEX(Prices[FX to SGD],MATCH($A83,Prices[Key],0)),1))</f>
        <v/>
      </c>
      <c r="J83" s="287" t="str">
        <f t="shared" si="12"/>
        <v/>
      </c>
      <c r="K83" s="287" t="str">
        <f t="shared" si="13"/>
        <v/>
      </c>
      <c r="L83" s="287" t="str">
        <f t="shared" si="14"/>
        <v/>
      </c>
      <c r="M83" s="290" t="str">
        <f t="shared" si="15"/>
        <v/>
      </c>
      <c r="N83" s="243" t="str">
        <f>IF($A83="","",IF(ABS(E83)&gt;0.000001,COUNT($N$1:N82)+1,""))</f>
        <v/>
      </c>
      <c r="O83" s="291" t="str">
        <f>IF($A83="","",SUMIFS(Transactions!$H$2:$H$1001,Transactions!$J$2:$J$1001,$A83,Transactions!$A$2:$A$1001,2)*$I83)</f>
        <v/>
      </c>
      <c r="P83" s="291" t="str">
        <f t="shared" si="16"/>
        <v/>
      </c>
      <c r="Q83" s="292" t="str">
        <f t="shared" si="17"/>
        <v/>
      </c>
    </row>
    <row r="84" spans="1:17" ht="15" customHeight="1" x14ac:dyDescent="0.2">
      <c r="A84" s="243" t="str">
        <f>IFERROR(INDEX(Txn[Key],MATCH(0,INDEX(COUNTIF($A$1:A83,Txn[Key])+(Txn[Key]=""),0),0)),"")</f>
        <v/>
      </c>
      <c r="B84" s="243" t="str">
        <f t="shared" si="9"/>
        <v/>
      </c>
      <c r="C84" s="243" t="str">
        <f t="shared" si="10"/>
        <v/>
      </c>
      <c r="D84" s="243" t="str">
        <f t="shared" si="11"/>
        <v/>
      </c>
      <c r="E84" s="265" t="str">
        <f>IF($A84="","",SUMIFS(Txn[Signed Units],Txn[Key],$A84))</f>
        <v/>
      </c>
      <c r="F84" s="287" t="str">
        <f>IF($A84="","",SUMIFS(Txn[Buy Cost],Txn[Key],$A84))</f>
        <v/>
      </c>
      <c r="G84" s="287" t="str">
        <f>IF($A84="","",SUMIFS(Txn[Sell Proceeds],Txn[Key],$A84))</f>
        <v/>
      </c>
      <c r="H84" s="288" t="str">
        <f>IF($A84="","",IFERROR(INDEX(Prices[Current Price],MATCH($A84,Prices[Key],0)),0))</f>
        <v/>
      </c>
      <c r="I84" s="289" t="str">
        <f>IF($A84="","",IFERROR(INDEX(Prices[FX to SGD],MATCH($A84,Prices[Key],0)),1))</f>
        <v/>
      </c>
      <c r="J84" s="287" t="str">
        <f t="shared" si="12"/>
        <v/>
      </c>
      <c r="K84" s="287" t="str">
        <f t="shared" si="13"/>
        <v/>
      </c>
      <c r="L84" s="287" t="str">
        <f t="shared" si="14"/>
        <v/>
      </c>
      <c r="M84" s="290" t="str">
        <f t="shared" si="15"/>
        <v/>
      </c>
      <c r="N84" s="243" t="str">
        <f>IF($A84="","",IF(ABS(E84)&gt;0.000001,COUNT($N$1:N83)+1,""))</f>
        <v/>
      </c>
      <c r="O84" s="291" t="str">
        <f>IF($A84="","",SUMIFS(Transactions!$H$2:$H$1001,Transactions!$J$2:$J$1001,$A84,Transactions!$A$2:$A$1001,2)*$I84)</f>
        <v/>
      </c>
      <c r="P84" s="291" t="str">
        <f t="shared" si="16"/>
        <v/>
      </c>
      <c r="Q84" s="292" t="str">
        <f t="shared" si="17"/>
        <v/>
      </c>
    </row>
    <row r="85" spans="1:17" ht="15" customHeight="1" x14ac:dyDescent="0.2">
      <c r="A85" s="243" t="str">
        <f>IFERROR(INDEX(Txn[Key],MATCH(0,INDEX(COUNTIF($A$1:A84,Txn[Key])+(Txn[Key]=""),0),0)),"")</f>
        <v/>
      </c>
      <c r="B85" s="243" t="str">
        <f t="shared" si="9"/>
        <v/>
      </c>
      <c r="C85" s="243" t="str">
        <f t="shared" si="10"/>
        <v/>
      </c>
      <c r="D85" s="243" t="str">
        <f t="shared" si="11"/>
        <v/>
      </c>
      <c r="E85" s="265" t="str">
        <f>IF($A85="","",SUMIFS(Txn[Signed Units],Txn[Key],$A85))</f>
        <v/>
      </c>
      <c r="F85" s="287" t="str">
        <f>IF($A85="","",SUMIFS(Txn[Buy Cost],Txn[Key],$A85))</f>
        <v/>
      </c>
      <c r="G85" s="287" t="str">
        <f>IF($A85="","",SUMIFS(Txn[Sell Proceeds],Txn[Key],$A85))</f>
        <v/>
      </c>
      <c r="H85" s="288" t="str">
        <f>IF($A85="","",IFERROR(INDEX(Prices[Current Price],MATCH($A85,Prices[Key],0)),0))</f>
        <v/>
      </c>
      <c r="I85" s="289" t="str">
        <f>IF($A85="","",IFERROR(INDEX(Prices[FX to SGD],MATCH($A85,Prices[Key],0)),1))</f>
        <v/>
      </c>
      <c r="J85" s="287" t="str">
        <f t="shared" si="12"/>
        <v/>
      </c>
      <c r="K85" s="287" t="str">
        <f t="shared" si="13"/>
        <v/>
      </c>
      <c r="L85" s="287" t="str">
        <f t="shared" si="14"/>
        <v/>
      </c>
      <c r="M85" s="290" t="str">
        <f t="shared" si="15"/>
        <v/>
      </c>
      <c r="N85" s="243" t="str">
        <f>IF($A85="","",IF(ABS(E85)&gt;0.000001,COUNT($N$1:N84)+1,""))</f>
        <v/>
      </c>
      <c r="O85" s="291" t="str">
        <f>IF($A85="","",SUMIFS(Transactions!$H$2:$H$1001,Transactions!$J$2:$J$1001,$A85,Transactions!$A$2:$A$1001,2)*$I85)</f>
        <v/>
      </c>
      <c r="P85" s="291" t="str">
        <f t="shared" si="16"/>
        <v/>
      </c>
      <c r="Q85" s="292" t="str">
        <f t="shared" si="17"/>
        <v/>
      </c>
    </row>
    <row r="86" spans="1:17" ht="15" customHeight="1" x14ac:dyDescent="0.2">
      <c r="A86" s="243" t="str">
        <f>IFERROR(INDEX(Txn[Key],MATCH(0,INDEX(COUNTIF($A$1:A85,Txn[Key])+(Txn[Key]=""),0),0)),"")</f>
        <v/>
      </c>
      <c r="B86" s="243" t="str">
        <f t="shared" si="9"/>
        <v/>
      </c>
      <c r="C86" s="243" t="str">
        <f t="shared" si="10"/>
        <v/>
      </c>
      <c r="D86" s="243" t="str">
        <f t="shared" si="11"/>
        <v/>
      </c>
      <c r="E86" s="265" t="str">
        <f>IF($A86="","",SUMIFS(Txn[Signed Units],Txn[Key],$A86))</f>
        <v/>
      </c>
      <c r="F86" s="287" t="str">
        <f>IF($A86="","",SUMIFS(Txn[Buy Cost],Txn[Key],$A86))</f>
        <v/>
      </c>
      <c r="G86" s="287" t="str">
        <f>IF($A86="","",SUMIFS(Txn[Sell Proceeds],Txn[Key],$A86))</f>
        <v/>
      </c>
      <c r="H86" s="288" t="str">
        <f>IF($A86="","",IFERROR(INDEX(Prices[Current Price],MATCH($A86,Prices[Key],0)),0))</f>
        <v/>
      </c>
      <c r="I86" s="289" t="str">
        <f>IF($A86="","",IFERROR(INDEX(Prices[FX to SGD],MATCH($A86,Prices[Key],0)),1))</f>
        <v/>
      </c>
      <c r="J86" s="287" t="str">
        <f t="shared" si="12"/>
        <v/>
      </c>
      <c r="K86" s="287" t="str">
        <f t="shared" si="13"/>
        <v/>
      </c>
      <c r="L86" s="287" t="str">
        <f t="shared" si="14"/>
        <v/>
      </c>
      <c r="M86" s="290" t="str">
        <f t="shared" si="15"/>
        <v/>
      </c>
      <c r="N86" s="243" t="str">
        <f>IF($A86="","",IF(ABS(E86)&gt;0.000001,COUNT($N$1:N85)+1,""))</f>
        <v/>
      </c>
      <c r="O86" s="291" t="str">
        <f>IF($A86="","",SUMIFS(Transactions!$H$2:$H$1001,Transactions!$J$2:$J$1001,$A86,Transactions!$A$2:$A$1001,2)*$I86)</f>
        <v/>
      </c>
      <c r="P86" s="291" t="str">
        <f t="shared" si="16"/>
        <v/>
      </c>
      <c r="Q86" s="292" t="str">
        <f t="shared" si="17"/>
        <v/>
      </c>
    </row>
    <row r="87" spans="1:17" ht="15" customHeight="1" x14ac:dyDescent="0.2">
      <c r="A87" s="243" t="str">
        <f>IFERROR(INDEX(Txn[Key],MATCH(0,INDEX(COUNTIF($A$1:A86,Txn[Key])+(Txn[Key]=""),0),0)),"")</f>
        <v/>
      </c>
      <c r="B87" s="243" t="str">
        <f t="shared" si="9"/>
        <v/>
      </c>
      <c r="C87" s="243" t="str">
        <f t="shared" si="10"/>
        <v/>
      </c>
      <c r="D87" s="243" t="str">
        <f t="shared" si="11"/>
        <v/>
      </c>
      <c r="E87" s="265" t="str">
        <f>IF($A87="","",SUMIFS(Txn[Signed Units],Txn[Key],$A87))</f>
        <v/>
      </c>
      <c r="F87" s="287" t="str">
        <f>IF($A87="","",SUMIFS(Txn[Buy Cost],Txn[Key],$A87))</f>
        <v/>
      </c>
      <c r="G87" s="287" t="str">
        <f>IF($A87="","",SUMIFS(Txn[Sell Proceeds],Txn[Key],$A87))</f>
        <v/>
      </c>
      <c r="H87" s="288" t="str">
        <f>IF($A87="","",IFERROR(INDEX(Prices[Current Price],MATCH($A87,Prices[Key],0)),0))</f>
        <v/>
      </c>
      <c r="I87" s="289" t="str">
        <f>IF($A87="","",IFERROR(INDEX(Prices[FX to SGD],MATCH($A87,Prices[Key],0)),1))</f>
        <v/>
      </c>
      <c r="J87" s="287" t="str">
        <f t="shared" si="12"/>
        <v/>
      </c>
      <c r="K87" s="287" t="str">
        <f t="shared" si="13"/>
        <v/>
      </c>
      <c r="L87" s="287" t="str">
        <f t="shared" si="14"/>
        <v/>
      </c>
      <c r="M87" s="290" t="str">
        <f t="shared" si="15"/>
        <v/>
      </c>
      <c r="N87" s="243" t="str">
        <f>IF($A87="","",IF(ABS(E87)&gt;0.000001,COUNT($N$1:N86)+1,""))</f>
        <v/>
      </c>
      <c r="O87" s="291" t="str">
        <f>IF($A87="","",SUMIFS(Transactions!$H$2:$H$1001,Transactions!$J$2:$J$1001,$A87,Transactions!$A$2:$A$1001,2)*$I87)</f>
        <v/>
      </c>
      <c r="P87" s="291" t="str">
        <f t="shared" si="16"/>
        <v/>
      </c>
      <c r="Q87" s="292" t="str">
        <f t="shared" si="17"/>
        <v/>
      </c>
    </row>
    <row r="88" spans="1:17" ht="15" customHeight="1" x14ac:dyDescent="0.2">
      <c r="A88" s="243" t="str">
        <f>IFERROR(INDEX(Txn[Key],MATCH(0,INDEX(COUNTIF($A$1:A87,Txn[Key])+(Txn[Key]=""),0),0)),"")</f>
        <v/>
      </c>
      <c r="B88" s="243" t="str">
        <f t="shared" si="9"/>
        <v/>
      </c>
      <c r="C88" s="243" t="str">
        <f t="shared" si="10"/>
        <v/>
      </c>
      <c r="D88" s="243" t="str">
        <f t="shared" si="11"/>
        <v/>
      </c>
      <c r="E88" s="265" t="str">
        <f>IF($A88="","",SUMIFS(Txn[Signed Units],Txn[Key],$A88))</f>
        <v/>
      </c>
      <c r="F88" s="287" t="str">
        <f>IF($A88="","",SUMIFS(Txn[Buy Cost],Txn[Key],$A88))</f>
        <v/>
      </c>
      <c r="G88" s="287" t="str">
        <f>IF($A88="","",SUMIFS(Txn[Sell Proceeds],Txn[Key],$A88))</f>
        <v/>
      </c>
      <c r="H88" s="288" t="str">
        <f>IF($A88="","",IFERROR(INDEX(Prices[Current Price],MATCH($A88,Prices[Key],0)),0))</f>
        <v/>
      </c>
      <c r="I88" s="289" t="str">
        <f>IF($A88="","",IFERROR(INDEX(Prices[FX to SGD],MATCH($A88,Prices[Key],0)),1))</f>
        <v/>
      </c>
      <c r="J88" s="287" t="str">
        <f t="shared" si="12"/>
        <v/>
      </c>
      <c r="K88" s="287" t="str">
        <f t="shared" si="13"/>
        <v/>
      </c>
      <c r="L88" s="287" t="str">
        <f t="shared" si="14"/>
        <v/>
      </c>
      <c r="M88" s="290" t="str">
        <f t="shared" si="15"/>
        <v/>
      </c>
      <c r="N88" s="243" t="str">
        <f>IF($A88="","",IF(ABS(E88)&gt;0.000001,COUNT($N$1:N87)+1,""))</f>
        <v/>
      </c>
      <c r="O88" s="291" t="str">
        <f>IF($A88="","",SUMIFS(Transactions!$H$2:$H$1001,Transactions!$J$2:$J$1001,$A88,Transactions!$A$2:$A$1001,2)*$I88)</f>
        <v/>
      </c>
      <c r="P88" s="291" t="str">
        <f t="shared" si="16"/>
        <v/>
      </c>
      <c r="Q88" s="292" t="str">
        <f t="shared" si="17"/>
        <v/>
      </c>
    </row>
    <row r="89" spans="1:17" ht="15" customHeight="1" x14ac:dyDescent="0.2">
      <c r="A89" s="243" t="str">
        <f>IFERROR(INDEX(Txn[Key],MATCH(0,INDEX(COUNTIF($A$1:A88,Txn[Key])+(Txn[Key]=""),0),0)),"")</f>
        <v/>
      </c>
      <c r="B89" s="243" t="str">
        <f t="shared" si="9"/>
        <v/>
      </c>
      <c r="C89" s="243" t="str">
        <f t="shared" si="10"/>
        <v/>
      </c>
      <c r="D89" s="243" t="str">
        <f t="shared" si="11"/>
        <v/>
      </c>
      <c r="E89" s="265" t="str">
        <f>IF($A89="","",SUMIFS(Txn[Signed Units],Txn[Key],$A89))</f>
        <v/>
      </c>
      <c r="F89" s="287" t="str">
        <f>IF($A89="","",SUMIFS(Txn[Buy Cost],Txn[Key],$A89))</f>
        <v/>
      </c>
      <c r="G89" s="287" t="str">
        <f>IF($A89="","",SUMIFS(Txn[Sell Proceeds],Txn[Key],$A89))</f>
        <v/>
      </c>
      <c r="H89" s="288" t="str">
        <f>IF($A89="","",IFERROR(INDEX(Prices[Current Price],MATCH($A89,Prices[Key],0)),0))</f>
        <v/>
      </c>
      <c r="I89" s="289" t="str">
        <f>IF($A89="","",IFERROR(INDEX(Prices[FX to SGD],MATCH($A89,Prices[Key],0)),1))</f>
        <v/>
      </c>
      <c r="J89" s="287" t="str">
        <f t="shared" si="12"/>
        <v/>
      </c>
      <c r="K89" s="287" t="str">
        <f t="shared" si="13"/>
        <v/>
      </c>
      <c r="L89" s="287" t="str">
        <f t="shared" si="14"/>
        <v/>
      </c>
      <c r="M89" s="290" t="str">
        <f t="shared" si="15"/>
        <v/>
      </c>
      <c r="N89" s="243" t="str">
        <f>IF($A89="","",IF(ABS(E89)&gt;0.000001,COUNT($N$1:N88)+1,""))</f>
        <v/>
      </c>
      <c r="O89" s="291" t="str">
        <f>IF($A89="","",SUMIFS(Transactions!$H$2:$H$1001,Transactions!$J$2:$J$1001,$A89,Transactions!$A$2:$A$1001,2)*$I89)</f>
        <v/>
      </c>
      <c r="P89" s="291" t="str">
        <f t="shared" si="16"/>
        <v/>
      </c>
      <c r="Q89" s="292" t="str">
        <f t="shared" si="17"/>
        <v/>
      </c>
    </row>
    <row r="90" spans="1:17" ht="15" customHeight="1" x14ac:dyDescent="0.2">
      <c r="A90" s="243" t="str">
        <f>IFERROR(INDEX(Txn[Key],MATCH(0,INDEX(COUNTIF($A$1:A89,Txn[Key])+(Txn[Key]=""),0),0)),"")</f>
        <v/>
      </c>
      <c r="B90" s="243" t="str">
        <f t="shared" si="9"/>
        <v/>
      </c>
      <c r="C90" s="243" t="str">
        <f t="shared" si="10"/>
        <v/>
      </c>
      <c r="D90" s="243" t="str">
        <f t="shared" si="11"/>
        <v/>
      </c>
      <c r="E90" s="265" t="str">
        <f>IF($A90="","",SUMIFS(Txn[Signed Units],Txn[Key],$A90))</f>
        <v/>
      </c>
      <c r="F90" s="287" t="str">
        <f>IF($A90="","",SUMIFS(Txn[Buy Cost],Txn[Key],$A90))</f>
        <v/>
      </c>
      <c r="G90" s="287" t="str">
        <f>IF($A90="","",SUMIFS(Txn[Sell Proceeds],Txn[Key],$A90))</f>
        <v/>
      </c>
      <c r="H90" s="288" t="str">
        <f>IF($A90="","",IFERROR(INDEX(Prices[Current Price],MATCH($A90,Prices[Key],0)),0))</f>
        <v/>
      </c>
      <c r="I90" s="289" t="str">
        <f>IF($A90="","",IFERROR(INDEX(Prices[FX to SGD],MATCH($A90,Prices[Key],0)),1))</f>
        <v/>
      </c>
      <c r="J90" s="287" t="str">
        <f t="shared" si="12"/>
        <v/>
      </c>
      <c r="K90" s="287" t="str">
        <f t="shared" si="13"/>
        <v/>
      </c>
      <c r="L90" s="287" t="str">
        <f t="shared" si="14"/>
        <v/>
      </c>
      <c r="M90" s="290" t="str">
        <f t="shared" si="15"/>
        <v/>
      </c>
      <c r="N90" s="243" t="str">
        <f>IF($A90="","",IF(ABS(E90)&gt;0.000001,COUNT($N$1:N89)+1,""))</f>
        <v/>
      </c>
      <c r="O90" s="291" t="str">
        <f>IF($A90="","",SUMIFS(Transactions!$H$2:$H$1001,Transactions!$J$2:$J$1001,$A90,Transactions!$A$2:$A$1001,2)*$I90)</f>
        <v/>
      </c>
      <c r="P90" s="291" t="str">
        <f t="shared" si="16"/>
        <v/>
      </c>
      <c r="Q90" s="292" t="str">
        <f t="shared" si="17"/>
        <v/>
      </c>
    </row>
    <row r="91" spans="1:17" ht="15" customHeight="1" x14ac:dyDescent="0.2">
      <c r="A91" s="243" t="str">
        <f>IFERROR(INDEX(Txn[Key],MATCH(0,INDEX(COUNTIF($A$1:A90,Txn[Key])+(Txn[Key]=""),0),0)),"")</f>
        <v/>
      </c>
      <c r="B91" s="243" t="str">
        <f t="shared" si="9"/>
        <v/>
      </c>
      <c r="C91" s="243" t="str">
        <f t="shared" si="10"/>
        <v/>
      </c>
      <c r="D91" s="243" t="str">
        <f t="shared" si="11"/>
        <v/>
      </c>
      <c r="E91" s="265" t="str">
        <f>IF($A91="","",SUMIFS(Txn[Signed Units],Txn[Key],$A91))</f>
        <v/>
      </c>
      <c r="F91" s="287" t="str">
        <f>IF($A91="","",SUMIFS(Txn[Buy Cost],Txn[Key],$A91))</f>
        <v/>
      </c>
      <c r="G91" s="287" t="str">
        <f>IF($A91="","",SUMIFS(Txn[Sell Proceeds],Txn[Key],$A91))</f>
        <v/>
      </c>
      <c r="H91" s="288" t="str">
        <f>IF($A91="","",IFERROR(INDEX(Prices[Current Price],MATCH($A91,Prices[Key],0)),0))</f>
        <v/>
      </c>
      <c r="I91" s="289" t="str">
        <f>IF($A91="","",IFERROR(INDEX(Prices[FX to SGD],MATCH($A91,Prices[Key],0)),1))</f>
        <v/>
      </c>
      <c r="J91" s="287" t="str">
        <f t="shared" si="12"/>
        <v/>
      </c>
      <c r="K91" s="287" t="str">
        <f t="shared" si="13"/>
        <v/>
      </c>
      <c r="L91" s="287" t="str">
        <f t="shared" si="14"/>
        <v/>
      </c>
      <c r="M91" s="290" t="str">
        <f t="shared" si="15"/>
        <v/>
      </c>
      <c r="N91" s="243" t="str">
        <f>IF($A91="","",IF(ABS(E91)&gt;0.000001,COUNT($N$1:N90)+1,""))</f>
        <v/>
      </c>
      <c r="O91" s="291" t="str">
        <f>IF($A91="","",SUMIFS(Transactions!$H$2:$H$1001,Transactions!$J$2:$J$1001,$A91,Transactions!$A$2:$A$1001,2)*$I91)</f>
        <v/>
      </c>
      <c r="P91" s="291" t="str">
        <f t="shared" si="16"/>
        <v/>
      </c>
      <c r="Q91" s="292" t="str">
        <f t="shared" si="17"/>
        <v/>
      </c>
    </row>
    <row r="92" spans="1:17" ht="15" customHeight="1" x14ac:dyDescent="0.2">
      <c r="A92" s="243" t="str">
        <f>IFERROR(INDEX(Txn[Key],MATCH(0,INDEX(COUNTIF($A$1:A91,Txn[Key])+(Txn[Key]=""),0),0)),"")</f>
        <v/>
      </c>
      <c r="B92" s="243" t="str">
        <f t="shared" si="9"/>
        <v/>
      </c>
      <c r="C92" s="243" t="str">
        <f t="shared" si="10"/>
        <v/>
      </c>
      <c r="D92" s="243" t="str">
        <f t="shared" si="11"/>
        <v/>
      </c>
      <c r="E92" s="265" t="str">
        <f>IF($A92="","",SUMIFS(Txn[Signed Units],Txn[Key],$A92))</f>
        <v/>
      </c>
      <c r="F92" s="287" t="str">
        <f>IF($A92="","",SUMIFS(Txn[Buy Cost],Txn[Key],$A92))</f>
        <v/>
      </c>
      <c r="G92" s="287" t="str">
        <f>IF($A92="","",SUMIFS(Txn[Sell Proceeds],Txn[Key],$A92))</f>
        <v/>
      </c>
      <c r="H92" s="288" t="str">
        <f>IF($A92="","",IFERROR(INDEX(Prices[Current Price],MATCH($A92,Prices[Key],0)),0))</f>
        <v/>
      </c>
      <c r="I92" s="289" t="str">
        <f>IF($A92="","",IFERROR(INDEX(Prices[FX to SGD],MATCH($A92,Prices[Key],0)),1))</f>
        <v/>
      </c>
      <c r="J92" s="287" t="str">
        <f t="shared" si="12"/>
        <v/>
      </c>
      <c r="K92" s="287" t="str">
        <f t="shared" si="13"/>
        <v/>
      </c>
      <c r="L92" s="287" t="str">
        <f t="shared" si="14"/>
        <v/>
      </c>
      <c r="M92" s="290" t="str">
        <f t="shared" si="15"/>
        <v/>
      </c>
      <c r="N92" s="243" t="str">
        <f>IF($A92="","",IF(ABS(E92)&gt;0.000001,COUNT($N$1:N91)+1,""))</f>
        <v/>
      </c>
      <c r="O92" s="291" t="str">
        <f>IF($A92="","",SUMIFS(Transactions!$H$2:$H$1001,Transactions!$J$2:$J$1001,$A92,Transactions!$A$2:$A$1001,2)*$I92)</f>
        <v/>
      </c>
      <c r="P92" s="291" t="str">
        <f t="shared" si="16"/>
        <v/>
      </c>
      <c r="Q92" s="292" t="str">
        <f t="shared" si="17"/>
        <v/>
      </c>
    </row>
    <row r="93" spans="1:17" ht="15" customHeight="1" x14ac:dyDescent="0.2">
      <c r="A93" s="243" t="str">
        <f>IFERROR(INDEX(Txn[Key],MATCH(0,INDEX(COUNTIF($A$1:A92,Txn[Key])+(Txn[Key]=""),0),0)),"")</f>
        <v/>
      </c>
      <c r="B93" s="243" t="str">
        <f t="shared" si="9"/>
        <v/>
      </c>
      <c r="C93" s="243" t="str">
        <f t="shared" si="10"/>
        <v/>
      </c>
      <c r="D93" s="243" t="str">
        <f t="shared" si="11"/>
        <v/>
      </c>
      <c r="E93" s="265" t="str">
        <f>IF($A93="","",SUMIFS(Txn[Signed Units],Txn[Key],$A93))</f>
        <v/>
      </c>
      <c r="F93" s="287" t="str">
        <f>IF($A93="","",SUMIFS(Txn[Buy Cost],Txn[Key],$A93))</f>
        <v/>
      </c>
      <c r="G93" s="287" t="str">
        <f>IF($A93="","",SUMIFS(Txn[Sell Proceeds],Txn[Key],$A93))</f>
        <v/>
      </c>
      <c r="H93" s="288" t="str">
        <f>IF($A93="","",IFERROR(INDEX(Prices[Current Price],MATCH($A93,Prices[Key],0)),0))</f>
        <v/>
      </c>
      <c r="I93" s="289" t="str">
        <f>IF($A93="","",IFERROR(INDEX(Prices[FX to SGD],MATCH($A93,Prices[Key],0)),1))</f>
        <v/>
      </c>
      <c r="J93" s="287" t="str">
        <f t="shared" si="12"/>
        <v/>
      </c>
      <c r="K93" s="287" t="str">
        <f t="shared" si="13"/>
        <v/>
      </c>
      <c r="L93" s="287" t="str">
        <f t="shared" si="14"/>
        <v/>
      </c>
      <c r="M93" s="290" t="str">
        <f t="shared" si="15"/>
        <v/>
      </c>
      <c r="N93" s="243" t="str">
        <f>IF($A93="","",IF(ABS(E93)&gt;0.000001,COUNT($N$1:N92)+1,""))</f>
        <v/>
      </c>
      <c r="O93" s="291" t="str">
        <f>IF($A93="","",SUMIFS(Transactions!$H$2:$H$1001,Transactions!$J$2:$J$1001,$A93,Transactions!$A$2:$A$1001,2)*$I93)</f>
        <v/>
      </c>
      <c r="P93" s="291" t="str">
        <f t="shared" si="16"/>
        <v/>
      </c>
      <c r="Q93" s="292" t="str">
        <f t="shared" si="17"/>
        <v/>
      </c>
    </row>
    <row r="94" spans="1:17" ht="15" customHeight="1" x14ac:dyDescent="0.2">
      <c r="A94" s="243" t="str">
        <f>IFERROR(INDEX(Txn[Key],MATCH(0,INDEX(COUNTIF($A$1:A93,Txn[Key])+(Txn[Key]=""),0),0)),"")</f>
        <v/>
      </c>
      <c r="B94" s="243" t="str">
        <f t="shared" si="9"/>
        <v/>
      </c>
      <c r="C94" s="243" t="str">
        <f t="shared" si="10"/>
        <v/>
      </c>
      <c r="D94" s="243" t="str">
        <f t="shared" si="11"/>
        <v/>
      </c>
      <c r="E94" s="265" t="str">
        <f>IF($A94="","",SUMIFS(Txn[Signed Units],Txn[Key],$A94))</f>
        <v/>
      </c>
      <c r="F94" s="287" t="str">
        <f>IF($A94="","",SUMIFS(Txn[Buy Cost],Txn[Key],$A94))</f>
        <v/>
      </c>
      <c r="G94" s="287" t="str">
        <f>IF($A94="","",SUMIFS(Txn[Sell Proceeds],Txn[Key],$A94))</f>
        <v/>
      </c>
      <c r="H94" s="288" t="str">
        <f>IF($A94="","",IFERROR(INDEX(Prices[Current Price],MATCH($A94,Prices[Key],0)),0))</f>
        <v/>
      </c>
      <c r="I94" s="289" t="str">
        <f>IF($A94="","",IFERROR(INDEX(Prices[FX to SGD],MATCH($A94,Prices[Key],0)),1))</f>
        <v/>
      </c>
      <c r="J94" s="287" t="str">
        <f t="shared" si="12"/>
        <v/>
      </c>
      <c r="K94" s="287" t="str">
        <f t="shared" si="13"/>
        <v/>
      </c>
      <c r="L94" s="287" t="str">
        <f t="shared" si="14"/>
        <v/>
      </c>
      <c r="M94" s="290" t="str">
        <f t="shared" si="15"/>
        <v/>
      </c>
      <c r="N94" s="243" t="str">
        <f>IF($A94="","",IF(ABS(E94)&gt;0.000001,COUNT($N$1:N93)+1,""))</f>
        <v/>
      </c>
      <c r="O94" s="291" t="str">
        <f>IF($A94="","",SUMIFS(Transactions!$H$2:$H$1001,Transactions!$J$2:$J$1001,$A94,Transactions!$A$2:$A$1001,2)*$I94)</f>
        <v/>
      </c>
      <c r="P94" s="291" t="str">
        <f t="shared" si="16"/>
        <v/>
      </c>
      <c r="Q94" s="292" t="str">
        <f t="shared" si="17"/>
        <v/>
      </c>
    </row>
    <row r="95" spans="1:17" ht="15" customHeight="1" x14ac:dyDescent="0.2">
      <c r="A95" s="243" t="str">
        <f>IFERROR(INDEX(Txn[Key],MATCH(0,INDEX(COUNTIF($A$1:A94,Txn[Key])+(Txn[Key]=""),0),0)),"")</f>
        <v/>
      </c>
      <c r="B95" s="243" t="str">
        <f t="shared" si="9"/>
        <v/>
      </c>
      <c r="C95" s="243" t="str">
        <f t="shared" si="10"/>
        <v/>
      </c>
      <c r="D95" s="243" t="str">
        <f t="shared" si="11"/>
        <v/>
      </c>
      <c r="E95" s="265" t="str">
        <f>IF($A95="","",SUMIFS(Txn[Signed Units],Txn[Key],$A95))</f>
        <v/>
      </c>
      <c r="F95" s="287" t="str">
        <f>IF($A95="","",SUMIFS(Txn[Buy Cost],Txn[Key],$A95))</f>
        <v/>
      </c>
      <c r="G95" s="287" t="str">
        <f>IF($A95="","",SUMIFS(Txn[Sell Proceeds],Txn[Key],$A95))</f>
        <v/>
      </c>
      <c r="H95" s="288" t="str">
        <f>IF($A95="","",IFERROR(INDEX(Prices[Current Price],MATCH($A95,Prices[Key],0)),0))</f>
        <v/>
      </c>
      <c r="I95" s="289" t="str">
        <f>IF($A95="","",IFERROR(INDEX(Prices[FX to SGD],MATCH($A95,Prices[Key],0)),1))</f>
        <v/>
      </c>
      <c r="J95" s="287" t="str">
        <f t="shared" si="12"/>
        <v/>
      </c>
      <c r="K95" s="287" t="str">
        <f t="shared" si="13"/>
        <v/>
      </c>
      <c r="L95" s="287" t="str">
        <f t="shared" si="14"/>
        <v/>
      </c>
      <c r="M95" s="290" t="str">
        <f t="shared" si="15"/>
        <v/>
      </c>
      <c r="N95" s="243" t="str">
        <f>IF($A95="","",IF(ABS(E95)&gt;0.000001,COUNT($N$1:N94)+1,""))</f>
        <v/>
      </c>
      <c r="O95" s="291" t="str">
        <f>IF($A95="","",SUMIFS(Transactions!$H$2:$H$1001,Transactions!$J$2:$J$1001,$A95,Transactions!$A$2:$A$1001,2)*$I95)</f>
        <v/>
      </c>
      <c r="P95" s="291" t="str">
        <f t="shared" si="16"/>
        <v/>
      </c>
      <c r="Q95" s="292" t="str">
        <f t="shared" si="17"/>
        <v/>
      </c>
    </row>
    <row r="96" spans="1:17" ht="15" customHeight="1" x14ac:dyDescent="0.2">
      <c r="A96" s="243" t="str">
        <f>IFERROR(INDEX(Txn[Key],MATCH(0,INDEX(COUNTIF($A$1:A95,Txn[Key])+(Txn[Key]=""),0),0)),"")</f>
        <v/>
      </c>
      <c r="B96" s="243" t="str">
        <f t="shared" si="9"/>
        <v/>
      </c>
      <c r="C96" s="243" t="str">
        <f t="shared" si="10"/>
        <v/>
      </c>
      <c r="D96" s="243" t="str">
        <f t="shared" si="11"/>
        <v/>
      </c>
      <c r="E96" s="265" t="str">
        <f>IF($A96="","",SUMIFS(Txn[Signed Units],Txn[Key],$A96))</f>
        <v/>
      </c>
      <c r="F96" s="287" t="str">
        <f>IF($A96="","",SUMIFS(Txn[Buy Cost],Txn[Key],$A96))</f>
        <v/>
      </c>
      <c r="G96" s="287" t="str">
        <f>IF($A96="","",SUMIFS(Txn[Sell Proceeds],Txn[Key],$A96))</f>
        <v/>
      </c>
      <c r="H96" s="288" t="str">
        <f>IF($A96="","",IFERROR(INDEX(Prices[Current Price],MATCH($A96,Prices[Key],0)),0))</f>
        <v/>
      </c>
      <c r="I96" s="289" t="str">
        <f>IF($A96="","",IFERROR(INDEX(Prices[FX to SGD],MATCH($A96,Prices[Key],0)),1))</f>
        <v/>
      </c>
      <c r="J96" s="287" t="str">
        <f t="shared" si="12"/>
        <v/>
      </c>
      <c r="K96" s="287" t="str">
        <f t="shared" si="13"/>
        <v/>
      </c>
      <c r="L96" s="287" t="str">
        <f t="shared" si="14"/>
        <v/>
      </c>
      <c r="M96" s="290" t="str">
        <f t="shared" si="15"/>
        <v/>
      </c>
      <c r="N96" s="243" t="str">
        <f>IF($A96="","",IF(ABS(E96)&gt;0.000001,COUNT($N$1:N95)+1,""))</f>
        <v/>
      </c>
      <c r="O96" s="291" t="str">
        <f>IF($A96="","",SUMIFS(Transactions!$H$2:$H$1001,Transactions!$J$2:$J$1001,$A96,Transactions!$A$2:$A$1001,2)*$I96)</f>
        <v/>
      </c>
      <c r="P96" s="291" t="str">
        <f t="shared" si="16"/>
        <v/>
      </c>
      <c r="Q96" s="292" t="str">
        <f t="shared" si="17"/>
        <v/>
      </c>
    </row>
    <row r="97" spans="1:17" ht="15" customHeight="1" x14ac:dyDescent="0.2">
      <c r="A97" s="243" t="str">
        <f>IFERROR(INDEX(Txn[Key],MATCH(0,INDEX(COUNTIF($A$1:A96,Txn[Key])+(Txn[Key]=""),0),0)),"")</f>
        <v/>
      </c>
      <c r="B97" s="243" t="str">
        <f t="shared" si="9"/>
        <v/>
      </c>
      <c r="C97" s="243" t="str">
        <f t="shared" si="10"/>
        <v/>
      </c>
      <c r="D97" s="243" t="str">
        <f t="shared" si="11"/>
        <v/>
      </c>
      <c r="E97" s="265" t="str">
        <f>IF($A97="","",SUMIFS(Txn[Signed Units],Txn[Key],$A97))</f>
        <v/>
      </c>
      <c r="F97" s="287" t="str">
        <f>IF($A97="","",SUMIFS(Txn[Buy Cost],Txn[Key],$A97))</f>
        <v/>
      </c>
      <c r="G97" s="287" t="str">
        <f>IF($A97="","",SUMIFS(Txn[Sell Proceeds],Txn[Key],$A97))</f>
        <v/>
      </c>
      <c r="H97" s="288" t="str">
        <f>IF($A97="","",IFERROR(INDEX(Prices[Current Price],MATCH($A97,Prices[Key],0)),0))</f>
        <v/>
      </c>
      <c r="I97" s="289" t="str">
        <f>IF($A97="","",IFERROR(INDEX(Prices[FX to SGD],MATCH($A97,Prices[Key],0)),1))</f>
        <v/>
      </c>
      <c r="J97" s="287" t="str">
        <f t="shared" si="12"/>
        <v/>
      </c>
      <c r="K97" s="287" t="str">
        <f t="shared" si="13"/>
        <v/>
      </c>
      <c r="L97" s="287" t="str">
        <f t="shared" si="14"/>
        <v/>
      </c>
      <c r="M97" s="290" t="str">
        <f t="shared" si="15"/>
        <v/>
      </c>
      <c r="N97" s="243" t="str">
        <f>IF($A97="","",IF(ABS(E97)&gt;0.000001,COUNT($N$1:N96)+1,""))</f>
        <v/>
      </c>
      <c r="O97" s="291" t="str">
        <f>IF($A97="","",SUMIFS(Transactions!$H$2:$H$1001,Transactions!$J$2:$J$1001,$A97,Transactions!$A$2:$A$1001,2)*$I97)</f>
        <v/>
      </c>
      <c r="P97" s="291" t="str">
        <f t="shared" si="16"/>
        <v/>
      </c>
      <c r="Q97" s="292" t="str">
        <f t="shared" si="17"/>
        <v/>
      </c>
    </row>
    <row r="98" spans="1:17" ht="15" customHeight="1" x14ac:dyDescent="0.2">
      <c r="A98" s="243" t="str">
        <f>IFERROR(INDEX(Txn[Key],MATCH(0,INDEX(COUNTIF($A$1:A97,Txn[Key])+(Txn[Key]=""),0),0)),"")</f>
        <v/>
      </c>
      <c r="B98" s="243" t="str">
        <f t="shared" si="9"/>
        <v/>
      </c>
      <c r="C98" s="243" t="str">
        <f t="shared" si="10"/>
        <v/>
      </c>
      <c r="D98" s="243" t="str">
        <f t="shared" si="11"/>
        <v/>
      </c>
      <c r="E98" s="265" t="str">
        <f>IF($A98="","",SUMIFS(Txn[Signed Units],Txn[Key],$A98))</f>
        <v/>
      </c>
      <c r="F98" s="287" t="str">
        <f>IF($A98="","",SUMIFS(Txn[Buy Cost],Txn[Key],$A98))</f>
        <v/>
      </c>
      <c r="G98" s="287" t="str">
        <f>IF($A98="","",SUMIFS(Txn[Sell Proceeds],Txn[Key],$A98))</f>
        <v/>
      </c>
      <c r="H98" s="288" t="str">
        <f>IF($A98="","",IFERROR(INDEX(Prices[Current Price],MATCH($A98,Prices[Key],0)),0))</f>
        <v/>
      </c>
      <c r="I98" s="289" t="str">
        <f>IF($A98="","",IFERROR(INDEX(Prices[FX to SGD],MATCH($A98,Prices[Key],0)),1))</f>
        <v/>
      </c>
      <c r="J98" s="287" t="str">
        <f t="shared" si="12"/>
        <v/>
      </c>
      <c r="K98" s="287" t="str">
        <f t="shared" si="13"/>
        <v/>
      </c>
      <c r="L98" s="287" t="str">
        <f t="shared" si="14"/>
        <v/>
      </c>
      <c r="M98" s="290" t="str">
        <f t="shared" si="15"/>
        <v/>
      </c>
      <c r="N98" s="243" t="str">
        <f>IF($A98="","",IF(ABS(E98)&gt;0.000001,COUNT($N$1:N97)+1,""))</f>
        <v/>
      </c>
      <c r="O98" s="291" t="str">
        <f>IF($A98="","",SUMIFS(Transactions!$H$2:$H$1001,Transactions!$J$2:$J$1001,$A98,Transactions!$A$2:$A$1001,2)*$I98)</f>
        <v/>
      </c>
      <c r="P98" s="291" t="str">
        <f t="shared" si="16"/>
        <v/>
      </c>
      <c r="Q98" s="292" t="str">
        <f t="shared" si="17"/>
        <v/>
      </c>
    </row>
    <row r="99" spans="1:17" ht="15" customHeight="1" x14ac:dyDescent="0.2">
      <c r="A99" s="243" t="str">
        <f>IFERROR(INDEX(Txn[Key],MATCH(0,INDEX(COUNTIF($A$1:A98,Txn[Key])+(Txn[Key]=""),0),0)),"")</f>
        <v/>
      </c>
      <c r="B99" s="243" t="str">
        <f t="shared" si="9"/>
        <v/>
      </c>
      <c r="C99" s="243" t="str">
        <f t="shared" si="10"/>
        <v/>
      </c>
      <c r="D99" s="243" t="str">
        <f t="shared" si="11"/>
        <v/>
      </c>
      <c r="E99" s="265" t="str">
        <f>IF($A99="","",SUMIFS(Txn[Signed Units],Txn[Key],$A99))</f>
        <v/>
      </c>
      <c r="F99" s="287" t="str">
        <f>IF($A99="","",SUMIFS(Txn[Buy Cost],Txn[Key],$A99))</f>
        <v/>
      </c>
      <c r="G99" s="287" t="str">
        <f>IF($A99="","",SUMIFS(Txn[Sell Proceeds],Txn[Key],$A99))</f>
        <v/>
      </c>
      <c r="H99" s="288" t="str">
        <f>IF($A99="","",IFERROR(INDEX(Prices[Current Price],MATCH($A99,Prices[Key],0)),0))</f>
        <v/>
      </c>
      <c r="I99" s="289" t="str">
        <f>IF($A99="","",IFERROR(INDEX(Prices[FX to SGD],MATCH($A99,Prices[Key],0)),1))</f>
        <v/>
      </c>
      <c r="J99" s="287" t="str">
        <f t="shared" si="12"/>
        <v/>
      </c>
      <c r="K99" s="287" t="str">
        <f t="shared" si="13"/>
        <v/>
      </c>
      <c r="L99" s="287" t="str">
        <f t="shared" si="14"/>
        <v/>
      </c>
      <c r="M99" s="290" t="str">
        <f t="shared" si="15"/>
        <v/>
      </c>
      <c r="N99" s="243" t="str">
        <f>IF($A99="","",IF(ABS(E99)&gt;0.000001,COUNT($N$1:N98)+1,""))</f>
        <v/>
      </c>
      <c r="O99" s="291" t="str">
        <f>IF($A99="","",SUMIFS(Transactions!$H$2:$H$1001,Transactions!$J$2:$J$1001,$A99,Transactions!$A$2:$A$1001,2)*$I99)</f>
        <v/>
      </c>
      <c r="P99" s="291" t="str">
        <f t="shared" si="16"/>
        <v/>
      </c>
      <c r="Q99" s="292" t="str">
        <f t="shared" si="17"/>
        <v/>
      </c>
    </row>
    <row r="100" spans="1:17" ht="15" customHeight="1" x14ac:dyDescent="0.2">
      <c r="A100" s="243" t="str">
        <f>IFERROR(INDEX(Txn[Key],MATCH(0,INDEX(COUNTIF($A$1:A99,Txn[Key])+(Txn[Key]=""),0),0)),"")</f>
        <v/>
      </c>
      <c r="B100" s="243" t="str">
        <f t="shared" si="9"/>
        <v/>
      </c>
      <c r="C100" s="243" t="str">
        <f t="shared" si="10"/>
        <v/>
      </c>
      <c r="D100" s="243" t="str">
        <f t="shared" si="11"/>
        <v/>
      </c>
      <c r="E100" s="265" t="str">
        <f>IF($A100="","",SUMIFS(Txn[Signed Units],Txn[Key],$A100))</f>
        <v/>
      </c>
      <c r="F100" s="287" t="str">
        <f>IF($A100="","",SUMIFS(Txn[Buy Cost],Txn[Key],$A100))</f>
        <v/>
      </c>
      <c r="G100" s="287" t="str">
        <f>IF($A100="","",SUMIFS(Txn[Sell Proceeds],Txn[Key],$A100))</f>
        <v/>
      </c>
      <c r="H100" s="288" t="str">
        <f>IF($A100="","",IFERROR(INDEX(Prices[Current Price],MATCH($A100,Prices[Key],0)),0))</f>
        <v/>
      </c>
      <c r="I100" s="289" t="str">
        <f>IF($A100="","",IFERROR(INDEX(Prices[FX to SGD],MATCH($A100,Prices[Key],0)),1))</f>
        <v/>
      </c>
      <c r="J100" s="287" t="str">
        <f t="shared" si="12"/>
        <v/>
      </c>
      <c r="K100" s="287" t="str">
        <f t="shared" si="13"/>
        <v/>
      </c>
      <c r="L100" s="287" t="str">
        <f t="shared" si="14"/>
        <v/>
      </c>
      <c r="M100" s="290" t="str">
        <f t="shared" si="15"/>
        <v/>
      </c>
      <c r="N100" s="243" t="str">
        <f>IF($A100="","",IF(ABS(E100)&gt;0.000001,COUNT($N$1:N99)+1,""))</f>
        <v/>
      </c>
      <c r="O100" s="291" t="str">
        <f>IF($A100="","",SUMIFS(Transactions!$H$2:$H$1001,Transactions!$J$2:$J$1001,$A100,Transactions!$A$2:$A$1001,2)*$I100)</f>
        <v/>
      </c>
      <c r="P100" s="291" t="str">
        <f t="shared" si="16"/>
        <v/>
      </c>
      <c r="Q100" s="292" t="str">
        <f t="shared" si="17"/>
        <v/>
      </c>
    </row>
    <row r="101" spans="1:17" ht="15" customHeight="1" x14ac:dyDescent="0.2">
      <c r="A101" s="243" t="str">
        <f>IFERROR(INDEX(Txn[Key],MATCH(0,INDEX(COUNTIF($A$1:A100,Txn[Key])+(Txn[Key]=""),0),0)),"")</f>
        <v/>
      </c>
      <c r="B101" s="243" t="str">
        <f t="shared" si="9"/>
        <v/>
      </c>
      <c r="C101" s="243" t="str">
        <f t="shared" si="10"/>
        <v/>
      </c>
      <c r="D101" s="243" t="str">
        <f t="shared" si="11"/>
        <v/>
      </c>
      <c r="E101" s="265" t="str">
        <f>IF($A101="","",SUMIFS(Txn[Signed Units],Txn[Key],$A101))</f>
        <v/>
      </c>
      <c r="F101" s="287" t="str">
        <f>IF($A101="","",SUMIFS(Txn[Buy Cost],Txn[Key],$A101))</f>
        <v/>
      </c>
      <c r="G101" s="287" t="str">
        <f>IF($A101="","",SUMIFS(Txn[Sell Proceeds],Txn[Key],$A101))</f>
        <v/>
      </c>
      <c r="H101" s="288" t="str">
        <f>IF($A101="","",IFERROR(INDEX(Prices[Current Price],MATCH($A101,Prices[Key],0)),0))</f>
        <v/>
      </c>
      <c r="I101" s="289" t="str">
        <f>IF($A101="","",IFERROR(INDEX(Prices[FX to SGD],MATCH($A101,Prices[Key],0)),1))</f>
        <v/>
      </c>
      <c r="J101" s="287" t="str">
        <f t="shared" si="12"/>
        <v/>
      </c>
      <c r="K101" s="287" t="str">
        <f t="shared" si="13"/>
        <v/>
      </c>
      <c r="L101" s="287" t="str">
        <f t="shared" si="14"/>
        <v/>
      </c>
      <c r="M101" s="290" t="str">
        <f t="shared" si="15"/>
        <v/>
      </c>
      <c r="N101" s="243" t="str">
        <f>IF($A101="","",IF(ABS(E101)&gt;0.000001,COUNT($N$1:N100)+1,""))</f>
        <v/>
      </c>
      <c r="O101" s="291" t="str">
        <f>IF($A101="","",SUMIFS(Transactions!$H$2:$H$1001,Transactions!$J$2:$J$1001,$A101,Transactions!$A$2:$A$1001,2)*$I101)</f>
        <v/>
      </c>
      <c r="P101" s="291" t="str">
        <f t="shared" si="16"/>
        <v/>
      </c>
      <c r="Q101" s="292" t="str">
        <f t="shared" si="17"/>
        <v/>
      </c>
    </row>
    <row r="102" spans="1:17" ht="15" customHeight="1" x14ac:dyDescent="0.2">
      <c r="A102" s="243" t="str">
        <f>IFERROR(INDEX(Txn[Key],MATCH(0,INDEX(COUNTIF($A$1:A101,Txn[Key])+(Txn[Key]=""),0),0)),"")</f>
        <v/>
      </c>
      <c r="B102" s="243" t="str">
        <f t="shared" si="9"/>
        <v/>
      </c>
      <c r="C102" s="243" t="str">
        <f t="shared" si="10"/>
        <v/>
      </c>
      <c r="D102" s="243" t="str">
        <f t="shared" si="11"/>
        <v/>
      </c>
      <c r="E102" s="265" t="str">
        <f>IF($A102="","",SUMIFS(Txn[Signed Units],Txn[Key],$A102))</f>
        <v/>
      </c>
      <c r="F102" s="287" t="str">
        <f>IF($A102="","",SUMIFS(Txn[Buy Cost],Txn[Key],$A102))</f>
        <v/>
      </c>
      <c r="G102" s="287" t="str">
        <f>IF($A102="","",SUMIFS(Txn[Sell Proceeds],Txn[Key],$A102))</f>
        <v/>
      </c>
      <c r="H102" s="288" t="str">
        <f>IF($A102="","",IFERROR(INDEX(Prices[Current Price],MATCH($A102,Prices[Key],0)),0))</f>
        <v/>
      </c>
      <c r="I102" s="289" t="str">
        <f>IF($A102="","",IFERROR(INDEX(Prices[FX to SGD],MATCH($A102,Prices[Key],0)),1))</f>
        <v/>
      </c>
      <c r="J102" s="287" t="str">
        <f t="shared" si="12"/>
        <v/>
      </c>
      <c r="K102" s="287" t="str">
        <f t="shared" si="13"/>
        <v/>
      </c>
      <c r="L102" s="287" t="str">
        <f t="shared" si="14"/>
        <v/>
      </c>
      <c r="M102" s="290" t="str">
        <f t="shared" si="15"/>
        <v/>
      </c>
      <c r="N102" s="243" t="str">
        <f>IF($A102="","",IF(ABS(E102)&gt;0.000001,COUNT($N$1:N101)+1,""))</f>
        <v/>
      </c>
      <c r="O102" s="291" t="str">
        <f>IF($A102="","",SUMIFS(Transactions!$H$2:$H$1001,Transactions!$J$2:$J$1001,$A102,Transactions!$A$2:$A$1001,2)*$I102)</f>
        <v/>
      </c>
      <c r="P102" s="291" t="str">
        <f t="shared" si="16"/>
        <v/>
      </c>
      <c r="Q102" s="292" t="str">
        <f t="shared" si="17"/>
        <v/>
      </c>
    </row>
    <row r="103" spans="1:17" ht="15" customHeight="1" x14ac:dyDescent="0.2">
      <c r="A103" s="243" t="str">
        <f>IFERROR(INDEX(Txn[Key],MATCH(0,INDEX(COUNTIF($A$1:A102,Txn[Key])+(Txn[Key]=""),0),0)),"")</f>
        <v/>
      </c>
      <c r="B103" s="243" t="str">
        <f t="shared" si="9"/>
        <v/>
      </c>
      <c r="C103" s="243" t="str">
        <f t="shared" si="10"/>
        <v/>
      </c>
      <c r="D103" s="243" t="str">
        <f t="shared" si="11"/>
        <v/>
      </c>
      <c r="E103" s="265" t="str">
        <f>IF($A103="","",SUMIFS(Txn[Signed Units],Txn[Key],$A103))</f>
        <v/>
      </c>
      <c r="F103" s="287" t="str">
        <f>IF($A103="","",SUMIFS(Txn[Buy Cost],Txn[Key],$A103))</f>
        <v/>
      </c>
      <c r="G103" s="287" t="str">
        <f>IF($A103="","",SUMIFS(Txn[Sell Proceeds],Txn[Key],$A103))</f>
        <v/>
      </c>
      <c r="H103" s="288" t="str">
        <f>IF($A103="","",IFERROR(INDEX(Prices[Current Price],MATCH($A103,Prices[Key],0)),0))</f>
        <v/>
      </c>
      <c r="I103" s="289" t="str">
        <f>IF($A103="","",IFERROR(INDEX(Prices[FX to SGD],MATCH($A103,Prices[Key],0)),1))</f>
        <v/>
      </c>
      <c r="J103" s="287" t="str">
        <f t="shared" si="12"/>
        <v/>
      </c>
      <c r="K103" s="287" t="str">
        <f t="shared" si="13"/>
        <v/>
      </c>
      <c r="L103" s="287" t="str">
        <f t="shared" si="14"/>
        <v/>
      </c>
      <c r="M103" s="290" t="str">
        <f t="shared" si="15"/>
        <v/>
      </c>
      <c r="N103" s="243" t="str">
        <f>IF($A103="","",IF(ABS(E103)&gt;0.000001,COUNT($N$1:N102)+1,""))</f>
        <v/>
      </c>
      <c r="O103" s="291" t="str">
        <f>IF($A103="","",SUMIFS(Transactions!$H$2:$H$1001,Transactions!$J$2:$J$1001,$A103,Transactions!$A$2:$A$1001,2)*$I103)</f>
        <v/>
      </c>
      <c r="P103" s="291" t="str">
        <f t="shared" si="16"/>
        <v/>
      </c>
      <c r="Q103" s="292" t="str">
        <f t="shared" si="17"/>
        <v/>
      </c>
    </row>
    <row r="104" spans="1:17" ht="15" customHeight="1" x14ac:dyDescent="0.2">
      <c r="A104" s="243" t="str">
        <f>IFERROR(INDEX(Txn[Key],MATCH(0,INDEX(COUNTIF($A$1:A103,Txn[Key])+(Txn[Key]=""),0),0)),"")</f>
        <v/>
      </c>
      <c r="B104" s="243" t="str">
        <f t="shared" si="9"/>
        <v/>
      </c>
      <c r="C104" s="243" t="str">
        <f t="shared" si="10"/>
        <v/>
      </c>
      <c r="D104" s="243" t="str">
        <f t="shared" si="11"/>
        <v/>
      </c>
      <c r="E104" s="265" t="str">
        <f>IF($A104="","",SUMIFS(Txn[Signed Units],Txn[Key],$A104))</f>
        <v/>
      </c>
      <c r="F104" s="287" t="str">
        <f>IF($A104="","",SUMIFS(Txn[Buy Cost],Txn[Key],$A104))</f>
        <v/>
      </c>
      <c r="G104" s="287" t="str">
        <f>IF($A104="","",SUMIFS(Txn[Sell Proceeds],Txn[Key],$A104))</f>
        <v/>
      </c>
      <c r="H104" s="288" t="str">
        <f>IF($A104="","",IFERROR(INDEX(Prices[Current Price],MATCH($A104,Prices[Key],0)),0))</f>
        <v/>
      </c>
      <c r="I104" s="289" t="str">
        <f>IF($A104="","",IFERROR(INDEX(Prices[FX to SGD],MATCH($A104,Prices[Key],0)),1))</f>
        <v/>
      </c>
      <c r="J104" s="287" t="str">
        <f t="shared" si="12"/>
        <v/>
      </c>
      <c r="K104" s="287" t="str">
        <f t="shared" si="13"/>
        <v/>
      </c>
      <c r="L104" s="287" t="str">
        <f t="shared" si="14"/>
        <v/>
      </c>
      <c r="M104" s="290" t="str">
        <f t="shared" si="15"/>
        <v/>
      </c>
      <c r="N104" s="243" t="str">
        <f>IF($A104="","",IF(ABS(E104)&gt;0.000001,COUNT($N$1:N103)+1,""))</f>
        <v/>
      </c>
      <c r="O104" s="291" t="str">
        <f>IF($A104="","",SUMIFS(Transactions!$H$2:$H$1001,Transactions!$J$2:$J$1001,$A104,Transactions!$A$2:$A$1001,2)*$I104)</f>
        <v/>
      </c>
      <c r="P104" s="291" t="str">
        <f t="shared" si="16"/>
        <v/>
      </c>
      <c r="Q104" s="292" t="str">
        <f t="shared" si="17"/>
        <v/>
      </c>
    </row>
    <row r="105" spans="1:17" ht="15" customHeight="1" x14ac:dyDescent="0.2">
      <c r="A105" s="243" t="str">
        <f>IFERROR(INDEX(Txn[Key],MATCH(0,INDEX(COUNTIF($A$1:A104,Txn[Key])+(Txn[Key]=""),0),0)),"")</f>
        <v/>
      </c>
      <c r="B105" s="243" t="str">
        <f t="shared" si="9"/>
        <v/>
      </c>
      <c r="C105" s="243" t="str">
        <f t="shared" si="10"/>
        <v/>
      </c>
      <c r="D105" s="243" t="str">
        <f t="shared" si="11"/>
        <v/>
      </c>
      <c r="E105" s="265" t="str">
        <f>IF($A105="","",SUMIFS(Txn[Signed Units],Txn[Key],$A105))</f>
        <v/>
      </c>
      <c r="F105" s="287" t="str">
        <f>IF($A105="","",SUMIFS(Txn[Buy Cost],Txn[Key],$A105))</f>
        <v/>
      </c>
      <c r="G105" s="287" t="str">
        <f>IF($A105="","",SUMIFS(Txn[Sell Proceeds],Txn[Key],$A105))</f>
        <v/>
      </c>
      <c r="H105" s="288" t="str">
        <f>IF($A105="","",IFERROR(INDEX(Prices[Current Price],MATCH($A105,Prices[Key],0)),0))</f>
        <v/>
      </c>
      <c r="I105" s="289" t="str">
        <f>IF($A105="","",IFERROR(INDEX(Prices[FX to SGD],MATCH($A105,Prices[Key],0)),1))</f>
        <v/>
      </c>
      <c r="J105" s="287" t="str">
        <f t="shared" si="12"/>
        <v/>
      </c>
      <c r="K105" s="287" t="str">
        <f t="shared" si="13"/>
        <v/>
      </c>
      <c r="L105" s="287" t="str">
        <f t="shared" si="14"/>
        <v/>
      </c>
      <c r="M105" s="290" t="str">
        <f t="shared" si="15"/>
        <v/>
      </c>
      <c r="N105" s="243" t="str">
        <f>IF($A105="","",IF(ABS(E105)&gt;0.000001,COUNT($N$1:N104)+1,""))</f>
        <v/>
      </c>
      <c r="O105" s="291" t="str">
        <f>IF($A105="","",SUMIFS(Transactions!$H$2:$H$1001,Transactions!$J$2:$J$1001,$A105,Transactions!$A$2:$A$1001,2)*$I105)</f>
        <v/>
      </c>
      <c r="P105" s="291" t="str">
        <f t="shared" si="16"/>
        <v/>
      </c>
      <c r="Q105" s="292" t="str">
        <f t="shared" si="17"/>
        <v/>
      </c>
    </row>
    <row r="106" spans="1:17" ht="15" customHeight="1" x14ac:dyDescent="0.2">
      <c r="A106" s="243" t="str">
        <f>IFERROR(INDEX(Txn[Key],MATCH(0,INDEX(COUNTIF($A$1:A105,Txn[Key])+(Txn[Key]=""),0),0)),"")</f>
        <v/>
      </c>
      <c r="B106" s="243" t="str">
        <f t="shared" si="9"/>
        <v/>
      </c>
      <c r="C106" s="243" t="str">
        <f t="shared" si="10"/>
        <v/>
      </c>
      <c r="D106" s="243" t="str">
        <f t="shared" si="11"/>
        <v/>
      </c>
      <c r="E106" s="265" t="str">
        <f>IF($A106="","",SUMIFS(Txn[Signed Units],Txn[Key],$A106))</f>
        <v/>
      </c>
      <c r="F106" s="287" t="str">
        <f>IF($A106="","",SUMIFS(Txn[Buy Cost],Txn[Key],$A106))</f>
        <v/>
      </c>
      <c r="G106" s="287" t="str">
        <f>IF($A106="","",SUMIFS(Txn[Sell Proceeds],Txn[Key],$A106))</f>
        <v/>
      </c>
      <c r="H106" s="288" t="str">
        <f>IF($A106="","",IFERROR(INDEX(Prices[Current Price],MATCH($A106,Prices[Key],0)),0))</f>
        <v/>
      </c>
      <c r="I106" s="289" t="str">
        <f>IF($A106="","",IFERROR(INDEX(Prices[FX to SGD],MATCH($A106,Prices[Key],0)),1))</f>
        <v/>
      </c>
      <c r="J106" s="287" t="str">
        <f t="shared" si="12"/>
        <v/>
      </c>
      <c r="K106" s="287" t="str">
        <f t="shared" si="13"/>
        <v/>
      </c>
      <c r="L106" s="287" t="str">
        <f t="shared" si="14"/>
        <v/>
      </c>
      <c r="M106" s="290" t="str">
        <f t="shared" si="15"/>
        <v/>
      </c>
      <c r="N106" s="243" t="str">
        <f>IF($A106="","",IF(ABS(E106)&gt;0.000001,COUNT($N$1:N105)+1,""))</f>
        <v/>
      </c>
      <c r="O106" s="291" t="str">
        <f>IF($A106="","",SUMIFS(Transactions!$H$2:$H$1001,Transactions!$J$2:$J$1001,$A106,Transactions!$A$2:$A$1001,2)*$I106)</f>
        <v/>
      </c>
      <c r="P106" s="291" t="str">
        <f t="shared" si="16"/>
        <v/>
      </c>
      <c r="Q106" s="292" t="str">
        <f t="shared" si="17"/>
        <v/>
      </c>
    </row>
    <row r="107" spans="1:17" ht="15" customHeight="1" x14ac:dyDescent="0.2">
      <c r="A107" s="243" t="str">
        <f>IFERROR(INDEX(Txn[Key],MATCH(0,INDEX(COUNTIF($A$1:A106,Txn[Key])+(Txn[Key]=""),0),0)),"")</f>
        <v/>
      </c>
      <c r="B107" s="243" t="str">
        <f t="shared" si="9"/>
        <v/>
      </c>
      <c r="C107" s="243" t="str">
        <f t="shared" si="10"/>
        <v/>
      </c>
      <c r="D107" s="243" t="str">
        <f t="shared" si="11"/>
        <v/>
      </c>
      <c r="E107" s="265" t="str">
        <f>IF($A107="","",SUMIFS(Txn[Signed Units],Txn[Key],$A107))</f>
        <v/>
      </c>
      <c r="F107" s="287" t="str">
        <f>IF($A107="","",SUMIFS(Txn[Buy Cost],Txn[Key],$A107))</f>
        <v/>
      </c>
      <c r="G107" s="287" t="str">
        <f>IF($A107="","",SUMIFS(Txn[Sell Proceeds],Txn[Key],$A107))</f>
        <v/>
      </c>
      <c r="H107" s="288" t="str">
        <f>IF($A107="","",IFERROR(INDEX(Prices[Current Price],MATCH($A107,Prices[Key],0)),0))</f>
        <v/>
      </c>
      <c r="I107" s="289" t="str">
        <f>IF($A107="","",IFERROR(INDEX(Prices[FX to SGD],MATCH($A107,Prices[Key],0)),1))</f>
        <v/>
      </c>
      <c r="J107" s="287" t="str">
        <f t="shared" si="12"/>
        <v/>
      </c>
      <c r="K107" s="287" t="str">
        <f t="shared" si="13"/>
        <v/>
      </c>
      <c r="L107" s="287" t="str">
        <f t="shared" si="14"/>
        <v/>
      </c>
      <c r="M107" s="290" t="str">
        <f t="shared" si="15"/>
        <v/>
      </c>
      <c r="N107" s="243" t="str">
        <f>IF($A107="","",IF(ABS(E107)&gt;0.000001,COUNT($N$1:N106)+1,""))</f>
        <v/>
      </c>
      <c r="O107" s="291" t="str">
        <f>IF($A107="","",SUMIFS(Transactions!$H$2:$H$1001,Transactions!$J$2:$J$1001,$A107,Transactions!$A$2:$A$1001,2)*$I107)</f>
        <v/>
      </c>
      <c r="P107" s="291" t="str">
        <f t="shared" si="16"/>
        <v/>
      </c>
      <c r="Q107" s="292" t="str">
        <f t="shared" si="17"/>
        <v/>
      </c>
    </row>
    <row r="108" spans="1:17" ht="15" customHeight="1" x14ac:dyDescent="0.2">
      <c r="A108" s="243" t="str">
        <f>IFERROR(INDEX(Txn[Key],MATCH(0,INDEX(COUNTIF($A$1:A107,Txn[Key])+(Txn[Key]=""),0),0)),"")</f>
        <v/>
      </c>
      <c r="B108" s="243" t="str">
        <f t="shared" si="9"/>
        <v/>
      </c>
      <c r="C108" s="243" t="str">
        <f t="shared" si="10"/>
        <v/>
      </c>
      <c r="D108" s="243" t="str">
        <f t="shared" si="11"/>
        <v/>
      </c>
      <c r="E108" s="265" t="str">
        <f>IF($A108="","",SUMIFS(Txn[Signed Units],Txn[Key],$A108))</f>
        <v/>
      </c>
      <c r="F108" s="287" t="str">
        <f>IF($A108="","",SUMIFS(Txn[Buy Cost],Txn[Key],$A108))</f>
        <v/>
      </c>
      <c r="G108" s="287" t="str">
        <f>IF($A108="","",SUMIFS(Txn[Sell Proceeds],Txn[Key],$A108))</f>
        <v/>
      </c>
      <c r="H108" s="288" t="str">
        <f>IF($A108="","",IFERROR(INDEX(Prices[Current Price],MATCH($A108,Prices[Key],0)),0))</f>
        <v/>
      </c>
      <c r="I108" s="289" t="str">
        <f>IF($A108="","",IFERROR(INDEX(Prices[FX to SGD],MATCH($A108,Prices[Key],0)),1))</f>
        <v/>
      </c>
      <c r="J108" s="287" t="str">
        <f t="shared" si="12"/>
        <v/>
      </c>
      <c r="K108" s="287" t="str">
        <f t="shared" si="13"/>
        <v/>
      </c>
      <c r="L108" s="287" t="str">
        <f t="shared" si="14"/>
        <v/>
      </c>
      <c r="M108" s="290" t="str">
        <f t="shared" si="15"/>
        <v/>
      </c>
      <c r="N108" s="243" t="str">
        <f>IF($A108="","",IF(ABS(E108)&gt;0.000001,COUNT($N$1:N107)+1,""))</f>
        <v/>
      </c>
      <c r="O108" s="291" t="str">
        <f>IF($A108="","",SUMIFS(Transactions!$H$2:$H$1001,Transactions!$J$2:$J$1001,$A108,Transactions!$A$2:$A$1001,2)*$I108)</f>
        <v/>
      </c>
      <c r="P108" s="291" t="str">
        <f t="shared" si="16"/>
        <v/>
      </c>
      <c r="Q108" s="292" t="str">
        <f t="shared" si="17"/>
        <v/>
      </c>
    </row>
    <row r="109" spans="1:17" ht="15" customHeight="1" x14ac:dyDescent="0.2">
      <c r="A109" s="243" t="str">
        <f>IFERROR(INDEX(Txn[Key],MATCH(0,INDEX(COUNTIF($A$1:A108,Txn[Key])+(Txn[Key]=""),0),0)),"")</f>
        <v/>
      </c>
      <c r="B109" s="243" t="str">
        <f t="shared" si="9"/>
        <v/>
      </c>
      <c r="C109" s="243" t="str">
        <f t="shared" si="10"/>
        <v/>
      </c>
      <c r="D109" s="243" t="str">
        <f t="shared" si="11"/>
        <v/>
      </c>
      <c r="E109" s="265" t="str">
        <f>IF($A109="","",SUMIFS(Txn[Signed Units],Txn[Key],$A109))</f>
        <v/>
      </c>
      <c r="F109" s="287" t="str">
        <f>IF($A109="","",SUMIFS(Txn[Buy Cost],Txn[Key],$A109))</f>
        <v/>
      </c>
      <c r="G109" s="287" t="str">
        <f>IF($A109="","",SUMIFS(Txn[Sell Proceeds],Txn[Key],$A109))</f>
        <v/>
      </c>
      <c r="H109" s="288" t="str">
        <f>IF($A109="","",IFERROR(INDEX(Prices[Current Price],MATCH($A109,Prices[Key],0)),0))</f>
        <v/>
      </c>
      <c r="I109" s="289" t="str">
        <f>IF($A109="","",IFERROR(INDEX(Prices[FX to SGD],MATCH($A109,Prices[Key],0)),1))</f>
        <v/>
      </c>
      <c r="J109" s="287" t="str">
        <f t="shared" si="12"/>
        <v/>
      </c>
      <c r="K109" s="287" t="str">
        <f t="shared" si="13"/>
        <v/>
      </c>
      <c r="L109" s="287" t="str">
        <f t="shared" si="14"/>
        <v/>
      </c>
      <c r="M109" s="290" t="str">
        <f t="shared" si="15"/>
        <v/>
      </c>
      <c r="N109" s="243" t="str">
        <f>IF($A109="","",IF(ABS(E109)&gt;0.000001,COUNT($N$1:N108)+1,""))</f>
        <v/>
      </c>
      <c r="O109" s="291" t="str">
        <f>IF($A109="","",SUMIFS(Transactions!$H$2:$H$1001,Transactions!$J$2:$J$1001,$A109,Transactions!$A$2:$A$1001,2)*$I109)</f>
        <v/>
      </c>
      <c r="P109" s="291" t="str">
        <f t="shared" si="16"/>
        <v/>
      </c>
      <c r="Q109" s="292" t="str">
        <f t="shared" si="17"/>
        <v/>
      </c>
    </row>
    <row r="110" spans="1:17" ht="15" customHeight="1" x14ac:dyDescent="0.2">
      <c r="A110" s="243" t="str">
        <f>IFERROR(INDEX(Txn[Key],MATCH(0,INDEX(COUNTIF($A$1:A109,Txn[Key])+(Txn[Key]=""),0),0)),"")</f>
        <v/>
      </c>
      <c r="B110" s="243" t="str">
        <f t="shared" si="9"/>
        <v/>
      </c>
      <c r="C110" s="243" t="str">
        <f t="shared" si="10"/>
        <v/>
      </c>
      <c r="D110" s="243" t="str">
        <f t="shared" si="11"/>
        <v/>
      </c>
      <c r="E110" s="265" t="str">
        <f>IF($A110="","",SUMIFS(Txn[Signed Units],Txn[Key],$A110))</f>
        <v/>
      </c>
      <c r="F110" s="287" t="str">
        <f>IF($A110="","",SUMIFS(Txn[Buy Cost],Txn[Key],$A110))</f>
        <v/>
      </c>
      <c r="G110" s="287" t="str">
        <f>IF($A110="","",SUMIFS(Txn[Sell Proceeds],Txn[Key],$A110))</f>
        <v/>
      </c>
      <c r="H110" s="288" t="str">
        <f>IF($A110="","",IFERROR(INDEX(Prices[Current Price],MATCH($A110,Prices[Key],0)),0))</f>
        <v/>
      </c>
      <c r="I110" s="289" t="str">
        <f>IF($A110="","",IFERROR(INDEX(Prices[FX to SGD],MATCH($A110,Prices[Key],0)),1))</f>
        <v/>
      </c>
      <c r="J110" s="287" t="str">
        <f t="shared" si="12"/>
        <v/>
      </c>
      <c r="K110" s="287" t="str">
        <f t="shared" si="13"/>
        <v/>
      </c>
      <c r="L110" s="287" t="str">
        <f t="shared" si="14"/>
        <v/>
      </c>
      <c r="M110" s="290" t="str">
        <f t="shared" si="15"/>
        <v/>
      </c>
      <c r="N110" s="243" t="str">
        <f>IF($A110="","",IF(ABS(E110)&gt;0.000001,COUNT($N$1:N109)+1,""))</f>
        <v/>
      </c>
      <c r="O110" s="291" t="str">
        <f>IF($A110="","",SUMIFS(Transactions!$H$2:$H$1001,Transactions!$J$2:$J$1001,$A110,Transactions!$A$2:$A$1001,2)*$I110)</f>
        <v/>
      </c>
      <c r="P110" s="291" t="str">
        <f t="shared" si="16"/>
        <v/>
      </c>
      <c r="Q110" s="292" t="str">
        <f t="shared" si="17"/>
        <v/>
      </c>
    </row>
    <row r="111" spans="1:17" ht="15" customHeight="1" x14ac:dyDescent="0.2">
      <c r="A111" s="243" t="str">
        <f>IFERROR(INDEX(Txn[Key],MATCH(0,INDEX(COUNTIF($A$1:A110,Txn[Key])+(Txn[Key]=""),0),0)),"")</f>
        <v/>
      </c>
      <c r="B111" s="243" t="str">
        <f t="shared" si="9"/>
        <v/>
      </c>
      <c r="C111" s="243" t="str">
        <f t="shared" si="10"/>
        <v/>
      </c>
      <c r="D111" s="243" t="str">
        <f t="shared" si="11"/>
        <v/>
      </c>
      <c r="E111" s="265" t="str">
        <f>IF($A111="","",SUMIFS(Txn[Signed Units],Txn[Key],$A111))</f>
        <v/>
      </c>
      <c r="F111" s="287" t="str">
        <f>IF($A111="","",SUMIFS(Txn[Buy Cost],Txn[Key],$A111))</f>
        <v/>
      </c>
      <c r="G111" s="287" t="str">
        <f>IF($A111="","",SUMIFS(Txn[Sell Proceeds],Txn[Key],$A111))</f>
        <v/>
      </c>
      <c r="H111" s="288" t="str">
        <f>IF($A111="","",IFERROR(INDEX(Prices[Current Price],MATCH($A111,Prices[Key],0)),0))</f>
        <v/>
      </c>
      <c r="I111" s="289" t="str">
        <f>IF($A111="","",IFERROR(INDEX(Prices[FX to SGD],MATCH($A111,Prices[Key],0)),1))</f>
        <v/>
      </c>
      <c r="J111" s="287" t="str">
        <f t="shared" si="12"/>
        <v/>
      </c>
      <c r="K111" s="287" t="str">
        <f t="shared" si="13"/>
        <v/>
      </c>
      <c r="L111" s="287" t="str">
        <f t="shared" si="14"/>
        <v/>
      </c>
      <c r="M111" s="290" t="str">
        <f t="shared" si="15"/>
        <v/>
      </c>
      <c r="N111" s="243" t="str">
        <f>IF($A111="","",IF(ABS(E111)&gt;0.000001,COUNT($N$1:N110)+1,""))</f>
        <v/>
      </c>
      <c r="O111" s="291" t="str">
        <f>IF($A111="","",SUMIFS(Transactions!$H$2:$H$1001,Transactions!$J$2:$J$1001,$A111,Transactions!$A$2:$A$1001,2)*$I111)</f>
        <v/>
      </c>
      <c r="P111" s="291" t="str">
        <f t="shared" si="16"/>
        <v/>
      </c>
      <c r="Q111" s="292" t="str">
        <f t="shared" si="17"/>
        <v/>
      </c>
    </row>
    <row r="112" spans="1:17" ht="15" customHeight="1" x14ac:dyDescent="0.2">
      <c r="A112" s="243" t="str">
        <f>IFERROR(INDEX(Txn[Key],MATCH(0,INDEX(COUNTIF($A$1:A111,Txn[Key])+(Txn[Key]=""),0),0)),"")</f>
        <v/>
      </c>
      <c r="B112" s="243" t="str">
        <f t="shared" si="9"/>
        <v/>
      </c>
      <c r="C112" s="243" t="str">
        <f t="shared" si="10"/>
        <v/>
      </c>
      <c r="D112" s="243" t="str">
        <f t="shared" si="11"/>
        <v/>
      </c>
      <c r="E112" s="265" t="str">
        <f>IF($A112="","",SUMIFS(Txn[Signed Units],Txn[Key],$A112))</f>
        <v/>
      </c>
      <c r="F112" s="287" t="str">
        <f>IF($A112="","",SUMIFS(Txn[Buy Cost],Txn[Key],$A112))</f>
        <v/>
      </c>
      <c r="G112" s="287" t="str">
        <f>IF($A112="","",SUMIFS(Txn[Sell Proceeds],Txn[Key],$A112))</f>
        <v/>
      </c>
      <c r="H112" s="288" t="str">
        <f>IF($A112="","",IFERROR(INDEX(Prices[Current Price],MATCH($A112,Prices[Key],0)),0))</f>
        <v/>
      </c>
      <c r="I112" s="289" t="str">
        <f>IF($A112="","",IFERROR(INDEX(Prices[FX to SGD],MATCH($A112,Prices[Key],0)),1))</f>
        <v/>
      </c>
      <c r="J112" s="287" t="str">
        <f t="shared" si="12"/>
        <v/>
      </c>
      <c r="K112" s="287" t="str">
        <f t="shared" si="13"/>
        <v/>
      </c>
      <c r="L112" s="287" t="str">
        <f t="shared" si="14"/>
        <v/>
      </c>
      <c r="M112" s="290" t="str">
        <f t="shared" si="15"/>
        <v/>
      </c>
      <c r="N112" s="243" t="str">
        <f>IF($A112="","",IF(ABS(E112)&gt;0.000001,COUNT($N$1:N111)+1,""))</f>
        <v/>
      </c>
      <c r="O112" s="291" t="str">
        <f>IF($A112="","",SUMIFS(Transactions!$H$2:$H$1001,Transactions!$J$2:$J$1001,$A112,Transactions!$A$2:$A$1001,2)*$I112)</f>
        <v/>
      </c>
      <c r="P112" s="291" t="str">
        <f t="shared" si="16"/>
        <v/>
      </c>
      <c r="Q112" s="292" t="str">
        <f t="shared" si="17"/>
        <v/>
      </c>
    </row>
    <row r="113" spans="1:17" ht="15" customHeight="1" x14ac:dyDescent="0.2">
      <c r="A113" s="243" t="str">
        <f>IFERROR(INDEX(Txn[Key],MATCH(0,INDEX(COUNTIF($A$1:A112,Txn[Key])+(Txn[Key]=""),0),0)),"")</f>
        <v/>
      </c>
      <c r="B113" s="243" t="str">
        <f t="shared" si="9"/>
        <v/>
      </c>
      <c r="C113" s="243" t="str">
        <f t="shared" si="10"/>
        <v/>
      </c>
      <c r="D113" s="243" t="str">
        <f t="shared" si="11"/>
        <v/>
      </c>
      <c r="E113" s="265" t="str">
        <f>IF($A113="","",SUMIFS(Txn[Signed Units],Txn[Key],$A113))</f>
        <v/>
      </c>
      <c r="F113" s="287" t="str">
        <f>IF($A113="","",SUMIFS(Txn[Buy Cost],Txn[Key],$A113))</f>
        <v/>
      </c>
      <c r="G113" s="287" t="str">
        <f>IF($A113="","",SUMIFS(Txn[Sell Proceeds],Txn[Key],$A113))</f>
        <v/>
      </c>
      <c r="H113" s="288" t="str">
        <f>IF($A113="","",IFERROR(INDEX(Prices[Current Price],MATCH($A113,Prices[Key],0)),0))</f>
        <v/>
      </c>
      <c r="I113" s="289" t="str">
        <f>IF($A113="","",IFERROR(INDEX(Prices[FX to SGD],MATCH($A113,Prices[Key],0)),1))</f>
        <v/>
      </c>
      <c r="J113" s="287" t="str">
        <f t="shared" si="12"/>
        <v/>
      </c>
      <c r="K113" s="287" t="str">
        <f t="shared" si="13"/>
        <v/>
      </c>
      <c r="L113" s="287" t="str">
        <f t="shared" si="14"/>
        <v/>
      </c>
      <c r="M113" s="290" t="str">
        <f t="shared" si="15"/>
        <v/>
      </c>
      <c r="N113" s="243" t="str">
        <f>IF($A113="","",IF(ABS(E113)&gt;0.000001,COUNT($N$1:N112)+1,""))</f>
        <v/>
      </c>
      <c r="O113" s="291" t="str">
        <f>IF($A113="","",SUMIFS(Transactions!$H$2:$H$1001,Transactions!$J$2:$J$1001,$A113,Transactions!$A$2:$A$1001,2)*$I113)</f>
        <v/>
      </c>
      <c r="P113" s="291" t="str">
        <f t="shared" si="16"/>
        <v/>
      </c>
      <c r="Q113" s="292" t="str">
        <f t="shared" si="17"/>
        <v/>
      </c>
    </row>
    <row r="114" spans="1:17" ht="15" customHeight="1" x14ac:dyDescent="0.2">
      <c r="A114" s="243" t="str">
        <f>IFERROR(INDEX(Txn[Key],MATCH(0,INDEX(COUNTIF($A$1:A113,Txn[Key])+(Txn[Key]=""),0),0)),"")</f>
        <v/>
      </c>
      <c r="B114" s="243" t="str">
        <f t="shared" si="9"/>
        <v/>
      </c>
      <c r="C114" s="243" t="str">
        <f t="shared" si="10"/>
        <v/>
      </c>
      <c r="D114" s="243" t="str">
        <f t="shared" si="11"/>
        <v/>
      </c>
      <c r="E114" s="265" t="str">
        <f>IF($A114="","",SUMIFS(Txn[Signed Units],Txn[Key],$A114))</f>
        <v/>
      </c>
      <c r="F114" s="287" t="str">
        <f>IF($A114="","",SUMIFS(Txn[Buy Cost],Txn[Key],$A114))</f>
        <v/>
      </c>
      <c r="G114" s="287" t="str">
        <f>IF($A114="","",SUMIFS(Txn[Sell Proceeds],Txn[Key],$A114))</f>
        <v/>
      </c>
      <c r="H114" s="288" t="str">
        <f>IF($A114="","",IFERROR(INDEX(Prices[Current Price],MATCH($A114,Prices[Key],0)),0))</f>
        <v/>
      </c>
      <c r="I114" s="289" t="str">
        <f>IF($A114="","",IFERROR(INDEX(Prices[FX to SGD],MATCH($A114,Prices[Key],0)),1))</f>
        <v/>
      </c>
      <c r="J114" s="287" t="str">
        <f t="shared" si="12"/>
        <v/>
      </c>
      <c r="K114" s="287" t="str">
        <f t="shared" si="13"/>
        <v/>
      </c>
      <c r="L114" s="287" t="str">
        <f t="shared" si="14"/>
        <v/>
      </c>
      <c r="M114" s="290" t="str">
        <f t="shared" si="15"/>
        <v/>
      </c>
      <c r="N114" s="243" t="str">
        <f>IF($A114="","",IF(ABS(E114)&gt;0.000001,COUNT($N$1:N113)+1,""))</f>
        <v/>
      </c>
      <c r="O114" s="291" t="str">
        <f>IF($A114="","",SUMIFS(Transactions!$H$2:$H$1001,Transactions!$J$2:$J$1001,$A114,Transactions!$A$2:$A$1001,2)*$I114)</f>
        <v/>
      </c>
      <c r="P114" s="291" t="str">
        <f t="shared" si="16"/>
        <v/>
      </c>
      <c r="Q114" s="292" t="str">
        <f t="shared" si="17"/>
        <v/>
      </c>
    </row>
    <row r="115" spans="1:17" ht="15" customHeight="1" x14ac:dyDescent="0.2">
      <c r="A115" s="243" t="str">
        <f>IFERROR(INDEX(Txn[Key],MATCH(0,INDEX(COUNTIF($A$1:A114,Txn[Key])+(Txn[Key]=""),0),0)),"")</f>
        <v/>
      </c>
      <c r="B115" s="243" t="str">
        <f t="shared" si="9"/>
        <v/>
      </c>
      <c r="C115" s="243" t="str">
        <f t="shared" si="10"/>
        <v/>
      </c>
      <c r="D115" s="243" t="str">
        <f t="shared" si="11"/>
        <v/>
      </c>
      <c r="E115" s="265" t="str">
        <f>IF($A115="","",SUMIFS(Txn[Signed Units],Txn[Key],$A115))</f>
        <v/>
      </c>
      <c r="F115" s="287" t="str">
        <f>IF($A115="","",SUMIFS(Txn[Buy Cost],Txn[Key],$A115))</f>
        <v/>
      </c>
      <c r="G115" s="287" t="str">
        <f>IF($A115="","",SUMIFS(Txn[Sell Proceeds],Txn[Key],$A115))</f>
        <v/>
      </c>
      <c r="H115" s="288" t="str">
        <f>IF($A115="","",IFERROR(INDEX(Prices[Current Price],MATCH($A115,Prices[Key],0)),0))</f>
        <v/>
      </c>
      <c r="I115" s="289" t="str">
        <f>IF($A115="","",IFERROR(INDEX(Prices[FX to SGD],MATCH($A115,Prices[Key],0)),1))</f>
        <v/>
      </c>
      <c r="J115" s="287" t="str">
        <f t="shared" si="12"/>
        <v/>
      </c>
      <c r="K115" s="287" t="str">
        <f t="shared" si="13"/>
        <v/>
      </c>
      <c r="L115" s="287" t="str">
        <f t="shared" si="14"/>
        <v/>
      </c>
      <c r="M115" s="290" t="str">
        <f t="shared" si="15"/>
        <v/>
      </c>
      <c r="N115" s="243" t="str">
        <f>IF($A115="","",IF(ABS(E115)&gt;0.000001,COUNT($N$1:N114)+1,""))</f>
        <v/>
      </c>
      <c r="O115" s="291" t="str">
        <f>IF($A115="","",SUMIFS(Transactions!$H$2:$H$1001,Transactions!$J$2:$J$1001,$A115,Transactions!$A$2:$A$1001,2)*$I115)</f>
        <v/>
      </c>
      <c r="P115" s="291" t="str">
        <f t="shared" si="16"/>
        <v/>
      </c>
      <c r="Q115" s="292" t="str">
        <f t="shared" si="17"/>
        <v/>
      </c>
    </row>
    <row r="116" spans="1:17" ht="15" customHeight="1" x14ac:dyDescent="0.2">
      <c r="A116" s="243" t="str">
        <f>IFERROR(INDEX(Txn[Key],MATCH(0,INDEX(COUNTIF($A$1:A115,Txn[Key])+(Txn[Key]=""),0),0)),"")</f>
        <v/>
      </c>
      <c r="B116" s="243" t="str">
        <f t="shared" si="9"/>
        <v/>
      </c>
      <c r="C116" s="243" t="str">
        <f t="shared" si="10"/>
        <v/>
      </c>
      <c r="D116" s="243" t="str">
        <f t="shared" si="11"/>
        <v/>
      </c>
      <c r="E116" s="265" t="str">
        <f>IF($A116="","",SUMIFS(Txn[Signed Units],Txn[Key],$A116))</f>
        <v/>
      </c>
      <c r="F116" s="287" t="str">
        <f>IF($A116="","",SUMIFS(Txn[Buy Cost],Txn[Key],$A116))</f>
        <v/>
      </c>
      <c r="G116" s="287" t="str">
        <f>IF($A116="","",SUMIFS(Txn[Sell Proceeds],Txn[Key],$A116))</f>
        <v/>
      </c>
      <c r="H116" s="288" t="str">
        <f>IF($A116="","",IFERROR(INDEX(Prices[Current Price],MATCH($A116,Prices[Key],0)),0))</f>
        <v/>
      </c>
      <c r="I116" s="289" t="str">
        <f>IF($A116="","",IFERROR(INDEX(Prices[FX to SGD],MATCH($A116,Prices[Key],0)),1))</f>
        <v/>
      </c>
      <c r="J116" s="287" t="str">
        <f t="shared" si="12"/>
        <v/>
      </c>
      <c r="K116" s="287" t="str">
        <f t="shared" si="13"/>
        <v/>
      </c>
      <c r="L116" s="287" t="str">
        <f t="shared" si="14"/>
        <v/>
      </c>
      <c r="M116" s="290" t="str">
        <f t="shared" si="15"/>
        <v/>
      </c>
      <c r="N116" s="243" t="str">
        <f>IF($A116="","",IF(ABS(E116)&gt;0.000001,COUNT($N$1:N115)+1,""))</f>
        <v/>
      </c>
      <c r="O116" s="291" t="str">
        <f>IF($A116="","",SUMIFS(Transactions!$H$2:$H$1001,Transactions!$J$2:$J$1001,$A116,Transactions!$A$2:$A$1001,2)*$I116)</f>
        <v/>
      </c>
      <c r="P116" s="291" t="str">
        <f t="shared" si="16"/>
        <v/>
      </c>
      <c r="Q116" s="292" t="str">
        <f t="shared" si="17"/>
        <v/>
      </c>
    </row>
    <row r="117" spans="1:17" ht="15" customHeight="1" x14ac:dyDescent="0.2">
      <c r="A117" s="243" t="str">
        <f>IFERROR(INDEX(Txn[Key],MATCH(0,INDEX(COUNTIF($A$1:A116,Txn[Key])+(Txn[Key]=""),0),0)),"")</f>
        <v/>
      </c>
      <c r="B117" s="243" t="str">
        <f t="shared" si="9"/>
        <v/>
      </c>
      <c r="C117" s="243" t="str">
        <f t="shared" si="10"/>
        <v/>
      </c>
      <c r="D117" s="243" t="str">
        <f t="shared" si="11"/>
        <v/>
      </c>
      <c r="E117" s="265" t="str">
        <f>IF($A117="","",SUMIFS(Txn[Signed Units],Txn[Key],$A117))</f>
        <v/>
      </c>
      <c r="F117" s="287" t="str">
        <f>IF($A117="","",SUMIFS(Txn[Buy Cost],Txn[Key],$A117))</f>
        <v/>
      </c>
      <c r="G117" s="287" t="str">
        <f>IF($A117="","",SUMIFS(Txn[Sell Proceeds],Txn[Key],$A117))</f>
        <v/>
      </c>
      <c r="H117" s="288" t="str">
        <f>IF($A117="","",IFERROR(INDEX(Prices[Current Price],MATCH($A117,Prices[Key],0)),0))</f>
        <v/>
      </c>
      <c r="I117" s="289" t="str">
        <f>IF($A117="","",IFERROR(INDEX(Prices[FX to SGD],MATCH($A117,Prices[Key],0)),1))</f>
        <v/>
      </c>
      <c r="J117" s="287" t="str">
        <f t="shared" si="12"/>
        <v/>
      </c>
      <c r="K117" s="287" t="str">
        <f t="shared" si="13"/>
        <v/>
      </c>
      <c r="L117" s="287" t="str">
        <f t="shared" si="14"/>
        <v/>
      </c>
      <c r="M117" s="290" t="str">
        <f t="shared" si="15"/>
        <v/>
      </c>
      <c r="N117" s="243" t="str">
        <f>IF($A117="","",IF(ABS(E117)&gt;0.000001,COUNT($N$1:N116)+1,""))</f>
        <v/>
      </c>
      <c r="O117" s="291" t="str">
        <f>IF($A117="","",SUMIFS(Transactions!$H$2:$H$1001,Transactions!$J$2:$J$1001,$A117,Transactions!$A$2:$A$1001,2)*$I117)</f>
        <v/>
      </c>
      <c r="P117" s="291" t="str">
        <f t="shared" si="16"/>
        <v/>
      </c>
      <c r="Q117" s="292" t="str">
        <f t="shared" si="17"/>
        <v/>
      </c>
    </row>
    <row r="118" spans="1:17" ht="15" customHeight="1" x14ac:dyDescent="0.2">
      <c r="A118" s="243" t="str">
        <f>IFERROR(INDEX(Txn[Key],MATCH(0,INDEX(COUNTIF($A$1:A117,Txn[Key])+(Txn[Key]=""),0),0)),"")</f>
        <v/>
      </c>
      <c r="B118" s="243" t="str">
        <f t="shared" si="9"/>
        <v/>
      </c>
      <c r="C118" s="243" t="str">
        <f t="shared" si="10"/>
        <v/>
      </c>
      <c r="D118" s="243" t="str">
        <f t="shared" si="11"/>
        <v/>
      </c>
      <c r="E118" s="265" t="str">
        <f>IF($A118="","",SUMIFS(Txn[Signed Units],Txn[Key],$A118))</f>
        <v/>
      </c>
      <c r="F118" s="287" t="str">
        <f>IF($A118="","",SUMIFS(Txn[Buy Cost],Txn[Key],$A118))</f>
        <v/>
      </c>
      <c r="G118" s="287" t="str">
        <f>IF($A118="","",SUMIFS(Txn[Sell Proceeds],Txn[Key],$A118))</f>
        <v/>
      </c>
      <c r="H118" s="288" t="str">
        <f>IF($A118="","",IFERROR(INDEX(Prices[Current Price],MATCH($A118,Prices[Key],0)),0))</f>
        <v/>
      </c>
      <c r="I118" s="289" t="str">
        <f>IF($A118="","",IFERROR(INDEX(Prices[FX to SGD],MATCH($A118,Prices[Key],0)),1))</f>
        <v/>
      </c>
      <c r="J118" s="287" t="str">
        <f t="shared" si="12"/>
        <v/>
      </c>
      <c r="K118" s="287" t="str">
        <f t="shared" si="13"/>
        <v/>
      </c>
      <c r="L118" s="287" t="str">
        <f t="shared" si="14"/>
        <v/>
      </c>
      <c r="M118" s="290" t="str">
        <f t="shared" si="15"/>
        <v/>
      </c>
      <c r="N118" s="243" t="str">
        <f>IF($A118="","",IF(ABS(E118)&gt;0.000001,COUNT($N$1:N117)+1,""))</f>
        <v/>
      </c>
      <c r="O118" s="291" t="str">
        <f>IF($A118="","",SUMIFS(Transactions!$H$2:$H$1001,Transactions!$J$2:$J$1001,$A118,Transactions!$A$2:$A$1001,2)*$I118)</f>
        <v/>
      </c>
      <c r="P118" s="291" t="str">
        <f t="shared" si="16"/>
        <v/>
      </c>
      <c r="Q118" s="292" t="str">
        <f t="shared" si="17"/>
        <v/>
      </c>
    </row>
    <row r="119" spans="1:17" ht="15" customHeight="1" x14ac:dyDescent="0.2">
      <c r="A119" s="243" t="str">
        <f>IFERROR(INDEX(Txn[Key],MATCH(0,INDEX(COUNTIF($A$1:A118,Txn[Key])+(Txn[Key]=""),0),0)),"")</f>
        <v/>
      </c>
      <c r="B119" s="243" t="str">
        <f t="shared" si="9"/>
        <v/>
      </c>
      <c r="C119" s="243" t="str">
        <f t="shared" si="10"/>
        <v/>
      </c>
      <c r="D119" s="243" t="str">
        <f t="shared" si="11"/>
        <v/>
      </c>
      <c r="E119" s="265" t="str">
        <f>IF($A119="","",SUMIFS(Txn[Signed Units],Txn[Key],$A119))</f>
        <v/>
      </c>
      <c r="F119" s="287" t="str">
        <f>IF($A119="","",SUMIFS(Txn[Buy Cost],Txn[Key],$A119))</f>
        <v/>
      </c>
      <c r="G119" s="287" t="str">
        <f>IF($A119="","",SUMIFS(Txn[Sell Proceeds],Txn[Key],$A119))</f>
        <v/>
      </c>
      <c r="H119" s="288" t="str">
        <f>IF($A119="","",IFERROR(INDEX(Prices[Current Price],MATCH($A119,Prices[Key],0)),0))</f>
        <v/>
      </c>
      <c r="I119" s="289" t="str">
        <f>IF($A119="","",IFERROR(INDEX(Prices[FX to SGD],MATCH($A119,Prices[Key],0)),1))</f>
        <v/>
      </c>
      <c r="J119" s="287" t="str">
        <f t="shared" si="12"/>
        <v/>
      </c>
      <c r="K119" s="287" t="str">
        <f t="shared" si="13"/>
        <v/>
      </c>
      <c r="L119" s="287" t="str">
        <f t="shared" si="14"/>
        <v/>
      </c>
      <c r="M119" s="290" t="str">
        <f t="shared" si="15"/>
        <v/>
      </c>
      <c r="N119" s="243" t="str">
        <f>IF($A119="","",IF(ABS(E119)&gt;0.000001,COUNT($N$1:N118)+1,""))</f>
        <v/>
      </c>
      <c r="O119" s="291" t="str">
        <f>IF($A119="","",SUMIFS(Transactions!$H$2:$H$1001,Transactions!$J$2:$J$1001,$A119,Transactions!$A$2:$A$1001,2)*$I119)</f>
        <v/>
      </c>
      <c r="P119" s="291" t="str">
        <f t="shared" si="16"/>
        <v/>
      </c>
      <c r="Q119" s="292" t="str">
        <f t="shared" si="17"/>
        <v/>
      </c>
    </row>
    <row r="120" spans="1:17" ht="15" customHeight="1" x14ac:dyDescent="0.2">
      <c r="A120" s="243" t="str">
        <f>IFERROR(INDEX(Txn[Key],MATCH(0,INDEX(COUNTIF($A$1:A119,Txn[Key])+(Txn[Key]=""),0),0)),"")</f>
        <v/>
      </c>
      <c r="B120" s="243" t="str">
        <f t="shared" si="9"/>
        <v/>
      </c>
      <c r="C120" s="243" t="str">
        <f t="shared" si="10"/>
        <v/>
      </c>
      <c r="D120" s="243" t="str">
        <f t="shared" si="11"/>
        <v/>
      </c>
      <c r="E120" s="265" t="str">
        <f>IF($A120="","",SUMIFS(Txn[Signed Units],Txn[Key],$A120))</f>
        <v/>
      </c>
      <c r="F120" s="287" t="str">
        <f>IF($A120="","",SUMIFS(Txn[Buy Cost],Txn[Key],$A120))</f>
        <v/>
      </c>
      <c r="G120" s="287" t="str">
        <f>IF($A120="","",SUMIFS(Txn[Sell Proceeds],Txn[Key],$A120))</f>
        <v/>
      </c>
      <c r="H120" s="288" t="str">
        <f>IF($A120="","",IFERROR(INDEX(Prices[Current Price],MATCH($A120,Prices[Key],0)),0))</f>
        <v/>
      </c>
      <c r="I120" s="289" t="str">
        <f>IF($A120="","",IFERROR(INDEX(Prices[FX to SGD],MATCH($A120,Prices[Key],0)),1))</f>
        <v/>
      </c>
      <c r="J120" s="287" t="str">
        <f t="shared" si="12"/>
        <v/>
      </c>
      <c r="K120" s="287" t="str">
        <f t="shared" si="13"/>
        <v/>
      </c>
      <c r="L120" s="287" t="str">
        <f t="shared" si="14"/>
        <v/>
      </c>
      <c r="M120" s="290" t="str">
        <f t="shared" si="15"/>
        <v/>
      </c>
      <c r="N120" s="243" t="str">
        <f>IF($A120="","",IF(ABS(E120)&gt;0.000001,COUNT($N$1:N119)+1,""))</f>
        <v/>
      </c>
      <c r="O120" s="291" t="str">
        <f>IF($A120="","",SUMIFS(Transactions!$H$2:$H$1001,Transactions!$J$2:$J$1001,$A120,Transactions!$A$2:$A$1001,2)*$I120)</f>
        <v/>
      </c>
      <c r="P120" s="291" t="str">
        <f t="shared" si="16"/>
        <v/>
      </c>
      <c r="Q120" s="292" t="str">
        <f t="shared" si="17"/>
        <v/>
      </c>
    </row>
    <row r="121" spans="1:17" ht="15" customHeight="1" x14ac:dyDescent="0.2">
      <c r="A121" s="243" t="str">
        <f>IFERROR(INDEX(Txn[Key],MATCH(0,INDEX(COUNTIF($A$1:A120,Txn[Key])+(Txn[Key]=""),0),0)),"")</f>
        <v/>
      </c>
      <c r="B121" s="243" t="str">
        <f t="shared" si="9"/>
        <v/>
      </c>
      <c r="C121" s="243" t="str">
        <f t="shared" si="10"/>
        <v/>
      </c>
      <c r="D121" s="243" t="str">
        <f t="shared" si="11"/>
        <v/>
      </c>
      <c r="E121" s="265" t="str">
        <f>IF($A121="","",SUMIFS(Txn[Signed Units],Txn[Key],$A121))</f>
        <v/>
      </c>
      <c r="F121" s="287" t="str">
        <f>IF($A121="","",SUMIFS(Txn[Buy Cost],Txn[Key],$A121))</f>
        <v/>
      </c>
      <c r="G121" s="287" t="str">
        <f>IF($A121="","",SUMIFS(Txn[Sell Proceeds],Txn[Key],$A121))</f>
        <v/>
      </c>
      <c r="H121" s="288" t="str">
        <f>IF($A121="","",IFERROR(INDEX(Prices[Current Price],MATCH($A121,Prices[Key],0)),0))</f>
        <v/>
      </c>
      <c r="I121" s="289" t="str">
        <f>IF($A121="","",IFERROR(INDEX(Prices[FX to SGD],MATCH($A121,Prices[Key],0)),1))</f>
        <v/>
      </c>
      <c r="J121" s="287" t="str">
        <f t="shared" si="12"/>
        <v/>
      </c>
      <c r="K121" s="287" t="str">
        <f t="shared" si="13"/>
        <v/>
      </c>
      <c r="L121" s="287" t="str">
        <f t="shared" si="14"/>
        <v/>
      </c>
      <c r="M121" s="290" t="str">
        <f t="shared" si="15"/>
        <v/>
      </c>
      <c r="N121" s="243" t="str">
        <f>IF($A121="","",IF(ABS(E121)&gt;0.000001,COUNT($N$1:N120)+1,""))</f>
        <v/>
      </c>
      <c r="O121" s="291" t="str">
        <f>IF($A121="","",SUMIFS(Transactions!$H$2:$H$1001,Transactions!$J$2:$J$1001,$A121,Transactions!$A$2:$A$1001,2)*$I121)</f>
        <v/>
      </c>
      <c r="P121" s="291" t="str">
        <f t="shared" si="16"/>
        <v/>
      </c>
      <c r="Q121" s="292" t="str">
        <f t="shared" si="17"/>
        <v/>
      </c>
    </row>
    <row r="122" spans="1:17" ht="15" customHeight="1" x14ac:dyDescent="0.2">
      <c r="A122" s="243" t="str">
        <f>IFERROR(INDEX(Txn[Key],MATCH(0,INDEX(COUNTIF($A$1:A121,Txn[Key])+(Txn[Key]=""),0),0)),"")</f>
        <v/>
      </c>
      <c r="B122" s="243" t="str">
        <f t="shared" si="9"/>
        <v/>
      </c>
      <c r="C122" s="243" t="str">
        <f t="shared" si="10"/>
        <v/>
      </c>
      <c r="D122" s="243" t="str">
        <f t="shared" si="11"/>
        <v/>
      </c>
      <c r="E122" s="265" t="str">
        <f>IF($A122="","",SUMIFS(Txn[Signed Units],Txn[Key],$A122))</f>
        <v/>
      </c>
      <c r="F122" s="287" t="str">
        <f>IF($A122="","",SUMIFS(Txn[Buy Cost],Txn[Key],$A122))</f>
        <v/>
      </c>
      <c r="G122" s="287" t="str">
        <f>IF($A122="","",SUMIFS(Txn[Sell Proceeds],Txn[Key],$A122))</f>
        <v/>
      </c>
      <c r="H122" s="288" t="str">
        <f>IF($A122="","",IFERROR(INDEX(Prices[Current Price],MATCH($A122,Prices[Key],0)),0))</f>
        <v/>
      </c>
      <c r="I122" s="289" t="str">
        <f>IF($A122="","",IFERROR(INDEX(Prices[FX to SGD],MATCH($A122,Prices[Key],0)),1))</f>
        <v/>
      </c>
      <c r="J122" s="287" t="str">
        <f t="shared" si="12"/>
        <v/>
      </c>
      <c r="K122" s="287" t="str">
        <f t="shared" si="13"/>
        <v/>
      </c>
      <c r="L122" s="287" t="str">
        <f t="shared" si="14"/>
        <v/>
      </c>
      <c r="M122" s="290" t="str">
        <f t="shared" si="15"/>
        <v/>
      </c>
      <c r="N122" s="243" t="str">
        <f>IF($A122="","",IF(ABS(E122)&gt;0.000001,COUNT($N$1:N121)+1,""))</f>
        <v/>
      </c>
      <c r="O122" s="291" t="str">
        <f>IF($A122="","",SUMIFS(Transactions!$H$2:$H$1001,Transactions!$J$2:$J$1001,$A122,Transactions!$A$2:$A$1001,2)*$I122)</f>
        <v/>
      </c>
      <c r="P122" s="291" t="str">
        <f t="shared" si="16"/>
        <v/>
      </c>
      <c r="Q122" s="292" t="str">
        <f t="shared" si="17"/>
        <v/>
      </c>
    </row>
    <row r="123" spans="1:17" ht="15" customHeight="1" x14ac:dyDescent="0.2">
      <c r="A123" s="243" t="str">
        <f>IFERROR(INDEX(Txn[Key],MATCH(0,INDEX(COUNTIF($A$1:A122,Txn[Key])+(Txn[Key]=""),0),0)),"")</f>
        <v/>
      </c>
      <c r="B123" s="243" t="str">
        <f t="shared" si="9"/>
        <v/>
      </c>
      <c r="C123" s="243" t="str">
        <f t="shared" si="10"/>
        <v/>
      </c>
      <c r="D123" s="243" t="str">
        <f t="shared" si="11"/>
        <v/>
      </c>
      <c r="E123" s="265" t="str">
        <f>IF($A123="","",SUMIFS(Txn[Signed Units],Txn[Key],$A123))</f>
        <v/>
      </c>
      <c r="F123" s="287" t="str">
        <f>IF($A123="","",SUMIFS(Txn[Buy Cost],Txn[Key],$A123))</f>
        <v/>
      </c>
      <c r="G123" s="287" t="str">
        <f>IF($A123="","",SUMIFS(Txn[Sell Proceeds],Txn[Key],$A123))</f>
        <v/>
      </c>
      <c r="H123" s="288" t="str">
        <f>IF($A123="","",IFERROR(INDEX(Prices[Current Price],MATCH($A123,Prices[Key],0)),0))</f>
        <v/>
      </c>
      <c r="I123" s="289" t="str">
        <f>IF($A123="","",IFERROR(INDEX(Prices[FX to SGD],MATCH($A123,Prices[Key],0)),1))</f>
        <v/>
      </c>
      <c r="J123" s="287" t="str">
        <f t="shared" si="12"/>
        <v/>
      </c>
      <c r="K123" s="287" t="str">
        <f t="shared" si="13"/>
        <v/>
      </c>
      <c r="L123" s="287" t="str">
        <f t="shared" si="14"/>
        <v/>
      </c>
      <c r="M123" s="290" t="str">
        <f t="shared" si="15"/>
        <v/>
      </c>
      <c r="N123" s="243" t="str">
        <f>IF($A123="","",IF(ABS(E123)&gt;0.000001,COUNT($N$1:N122)+1,""))</f>
        <v/>
      </c>
      <c r="O123" s="291" t="str">
        <f>IF($A123="","",SUMIFS(Transactions!$H$2:$H$1001,Transactions!$J$2:$J$1001,$A123,Transactions!$A$2:$A$1001,2)*$I123)</f>
        <v/>
      </c>
      <c r="P123" s="291" t="str">
        <f t="shared" si="16"/>
        <v/>
      </c>
      <c r="Q123" s="292" t="str">
        <f t="shared" si="17"/>
        <v/>
      </c>
    </row>
    <row r="124" spans="1:17" ht="15" customHeight="1" x14ac:dyDescent="0.2">
      <c r="A124" s="243" t="str">
        <f>IFERROR(INDEX(Txn[Key],MATCH(0,INDEX(COUNTIF($A$1:A123,Txn[Key])+(Txn[Key]=""),0),0)),"")</f>
        <v/>
      </c>
      <c r="B124" s="243" t="str">
        <f t="shared" si="9"/>
        <v/>
      </c>
      <c r="C124" s="243" t="str">
        <f t="shared" si="10"/>
        <v/>
      </c>
      <c r="D124" s="243" t="str">
        <f t="shared" si="11"/>
        <v/>
      </c>
      <c r="E124" s="265" t="str">
        <f>IF($A124="","",SUMIFS(Txn[Signed Units],Txn[Key],$A124))</f>
        <v/>
      </c>
      <c r="F124" s="287" t="str">
        <f>IF($A124="","",SUMIFS(Txn[Buy Cost],Txn[Key],$A124))</f>
        <v/>
      </c>
      <c r="G124" s="287" t="str">
        <f>IF($A124="","",SUMIFS(Txn[Sell Proceeds],Txn[Key],$A124))</f>
        <v/>
      </c>
      <c r="H124" s="288" t="str">
        <f>IF($A124="","",IFERROR(INDEX(Prices[Current Price],MATCH($A124,Prices[Key],0)),0))</f>
        <v/>
      </c>
      <c r="I124" s="289" t="str">
        <f>IF($A124="","",IFERROR(INDEX(Prices[FX to SGD],MATCH($A124,Prices[Key],0)),1))</f>
        <v/>
      </c>
      <c r="J124" s="287" t="str">
        <f t="shared" si="12"/>
        <v/>
      </c>
      <c r="K124" s="287" t="str">
        <f t="shared" si="13"/>
        <v/>
      </c>
      <c r="L124" s="287" t="str">
        <f t="shared" si="14"/>
        <v/>
      </c>
      <c r="M124" s="290" t="str">
        <f t="shared" si="15"/>
        <v/>
      </c>
      <c r="N124" s="243" t="str">
        <f>IF($A124="","",IF(ABS(E124)&gt;0.000001,COUNT($N$1:N123)+1,""))</f>
        <v/>
      </c>
      <c r="O124" s="291" t="str">
        <f>IF($A124="","",SUMIFS(Transactions!$H$2:$H$1001,Transactions!$J$2:$J$1001,$A124,Transactions!$A$2:$A$1001,2)*$I124)</f>
        <v/>
      </c>
      <c r="P124" s="291" t="str">
        <f t="shared" si="16"/>
        <v/>
      </c>
      <c r="Q124" s="292" t="str">
        <f t="shared" si="17"/>
        <v/>
      </c>
    </row>
    <row r="125" spans="1:17" ht="15" customHeight="1" x14ac:dyDescent="0.2">
      <c r="A125" s="243" t="str">
        <f>IFERROR(INDEX(Txn[Key],MATCH(0,INDEX(COUNTIF($A$1:A124,Txn[Key])+(Txn[Key]=""),0),0)),"")</f>
        <v/>
      </c>
      <c r="B125" s="243" t="str">
        <f t="shared" si="9"/>
        <v/>
      </c>
      <c r="C125" s="243" t="str">
        <f t="shared" si="10"/>
        <v/>
      </c>
      <c r="D125" s="243" t="str">
        <f t="shared" si="11"/>
        <v/>
      </c>
      <c r="E125" s="265" t="str">
        <f>IF($A125="","",SUMIFS(Txn[Signed Units],Txn[Key],$A125))</f>
        <v/>
      </c>
      <c r="F125" s="287" t="str">
        <f>IF($A125="","",SUMIFS(Txn[Buy Cost],Txn[Key],$A125))</f>
        <v/>
      </c>
      <c r="G125" s="287" t="str">
        <f>IF($A125="","",SUMIFS(Txn[Sell Proceeds],Txn[Key],$A125))</f>
        <v/>
      </c>
      <c r="H125" s="288" t="str">
        <f>IF($A125="","",IFERROR(INDEX(Prices[Current Price],MATCH($A125,Prices[Key],0)),0))</f>
        <v/>
      </c>
      <c r="I125" s="289" t="str">
        <f>IF($A125="","",IFERROR(INDEX(Prices[FX to SGD],MATCH($A125,Prices[Key],0)),1))</f>
        <v/>
      </c>
      <c r="J125" s="287" t="str">
        <f t="shared" si="12"/>
        <v/>
      </c>
      <c r="K125" s="287" t="str">
        <f t="shared" si="13"/>
        <v/>
      </c>
      <c r="L125" s="287" t="str">
        <f t="shared" si="14"/>
        <v/>
      </c>
      <c r="M125" s="290" t="str">
        <f t="shared" si="15"/>
        <v/>
      </c>
      <c r="N125" s="243" t="str">
        <f>IF($A125="","",IF(ABS(E125)&gt;0.000001,COUNT($N$1:N124)+1,""))</f>
        <v/>
      </c>
      <c r="O125" s="291" t="str">
        <f>IF($A125="","",SUMIFS(Transactions!$H$2:$H$1001,Transactions!$J$2:$J$1001,$A125,Transactions!$A$2:$A$1001,2)*$I125)</f>
        <v/>
      </c>
      <c r="P125" s="291" t="str">
        <f t="shared" si="16"/>
        <v/>
      </c>
      <c r="Q125" s="292" t="str">
        <f t="shared" si="17"/>
        <v/>
      </c>
    </row>
    <row r="126" spans="1:17" ht="15" customHeight="1" x14ac:dyDescent="0.2">
      <c r="A126" s="243" t="str">
        <f>IFERROR(INDEX(Txn[Key],MATCH(0,INDEX(COUNTIF($A$1:A125,Txn[Key])+(Txn[Key]=""),0),0)),"")</f>
        <v/>
      </c>
      <c r="B126" s="243" t="str">
        <f t="shared" si="9"/>
        <v/>
      </c>
      <c r="C126" s="243" t="str">
        <f t="shared" si="10"/>
        <v/>
      </c>
      <c r="D126" s="243" t="str">
        <f t="shared" si="11"/>
        <v/>
      </c>
      <c r="E126" s="265" t="str">
        <f>IF($A126="","",SUMIFS(Txn[Signed Units],Txn[Key],$A126))</f>
        <v/>
      </c>
      <c r="F126" s="287" t="str">
        <f>IF($A126="","",SUMIFS(Txn[Buy Cost],Txn[Key],$A126))</f>
        <v/>
      </c>
      <c r="G126" s="287" t="str">
        <f>IF($A126="","",SUMIFS(Txn[Sell Proceeds],Txn[Key],$A126))</f>
        <v/>
      </c>
      <c r="H126" s="288" t="str">
        <f>IF($A126="","",IFERROR(INDEX(Prices[Current Price],MATCH($A126,Prices[Key],0)),0))</f>
        <v/>
      </c>
      <c r="I126" s="289" t="str">
        <f>IF($A126="","",IFERROR(INDEX(Prices[FX to SGD],MATCH($A126,Prices[Key],0)),1))</f>
        <v/>
      </c>
      <c r="J126" s="287" t="str">
        <f t="shared" si="12"/>
        <v/>
      </c>
      <c r="K126" s="287" t="str">
        <f t="shared" si="13"/>
        <v/>
      </c>
      <c r="L126" s="287" t="str">
        <f t="shared" si="14"/>
        <v/>
      </c>
      <c r="M126" s="290" t="str">
        <f t="shared" si="15"/>
        <v/>
      </c>
      <c r="N126" s="243" t="str">
        <f>IF($A126="","",IF(ABS(E126)&gt;0.000001,COUNT($N$1:N125)+1,""))</f>
        <v/>
      </c>
      <c r="O126" s="291" t="str">
        <f>IF($A126="","",SUMIFS(Transactions!$H$2:$H$1001,Transactions!$J$2:$J$1001,$A126,Transactions!$A$2:$A$1001,2)*$I126)</f>
        <v/>
      </c>
      <c r="P126" s="291" t="str">
        <f t="shared" si="16"/>
        <v/>
      </c>
      <c r="Q126" s="292" t="str">
        <f t="shared" si="17"/>
        <v/>
      </c>
    </row>
    <row r="127" spans="1:17" ht="15" customHeight="1" x14ac:dyDescent="0.2">
      <c r="A127" s="243" t="str">
        <f>IFERROR(INDEX(Txn[Key],MATCH(0,INDEX(COUNTIF($A$1:A126,Txn[Key])+(Txn[Key]=""),0),0)),"")</f>
        <v/>
      </c>
      <c r="B127" s="243" t="str">
        <f t="shared" si="9"/>
        <v/>
      </c>
      <c r="C127" s="243" t="str">
        <f t="shared" si="10"/>
        <v/>
      </c>
      <c r="D127" s="243" t="str">
        <f t="shared" si="11"/>
        <v/>
      </c>
      <c r="E127" s="265" t="str">
        <f>IF($A127="","",SUMIFS(Txn[Signed Units],Txn[Key],$A127))</f>
        <v/>
      </c>
      <c r="F127" s="287" t="str">
        <f>IF($A127="","",SUMIFS(Txn[Buy Cost],Txn[Key],$A127))</f>
        <v/>
      </c>
      <c r="G127" s="287" t="str">
        <f>IF($A127="","",SUMIFS(Txn[Sell Proceeds],Txn[Key],$A127))</f>
        <v/>
      </c>
      <c r="H127" s="288" t="str">
        <f>IF($A127="","",IFERROR(INDEX(Prices[Current Price],MATCH($A127,Prices[Key],0)),0))</f>
        <v/>
      </c>
      <c r="I127" s="289" t="str">
        <f>IF($A127="","",IFERROR(INDEX(Prices[FX to SGD],MATCH($A127,Prices[Key],0)),1))</f>
        <v/>
      </c>
      <c r="J127" s="287" t="str">
        <f t="shared" si="12"/>
        <v/>
      </c>
      <c r="K127" s="287" t="str">
        <f t="shared" si="13"/>
        <v/>
      </c>
      <c r="L127" s="287" t="str">
        <f t="shared" si="14"/>
        <v/>
      </c>
      <c r="M127" s="290" t="str">
        <f t="shared" si="15"/>
        <v/>
      </c>
      <c r="N127" s="243" t="str">
        <f>IF($A127="","",IF(ABS(E127)&gt;0.000001,COUNT($N$1:N126)+1,""))</f>
        <v/>
      </c>
      <c r="O127" s="291" t="str">
        <f>IF($A127="","",SUMIFS(Transactions!$H$2:$H$1001,Transactions!$J$2:$J$1001,$A127,Transactions!$A$2:$A$1001,2)*$I127)</f>
        <v/>
      </c>
      <c r="P127" s="291" t="str">
        <f t="shared" si="16"/>
        <v/>
      </c>
      <c r="Q127" s="292" t="str">
        <f t="shared" si="17"/>
        <v/>
      </c>
    </row>
    <row r="128" spans="1:17" ht="15" customHeight="1" x14ac:dyDescent="0.2">
      <c r="A128" s="243" t="str">
        <f>IFERROR(INDEX(Txn[Key],MATCH(0,INDEX(COUNTIF($A$1:A127,Txn[Key])+(Txn[Key]=""),0),0)),"")</f>
        <v/>
      </c>
      <c r="B128" s="243" t="str">
        <f t="shared" si="9"/>
        <v/>
      </c>
      <c r="C128" s="243" t="str">
        <f t="shared" si="10"/>
        <v/>
      </c>
      <c r="D128" s="243" t="str">
        <f t="shared" si="11"/>
        <v/>
      </c>
      <c r="E128" s="265" t="str">
        <f>IF($A128="","",SUMIFS(Txn[Signed Units],Txn[Key],$A128))</f>
        <v/>
      </c>
      <c r="F128" s="287" t="str">
        <f>IF($A128="","",SUMIFS(Txn[Buy Cost],Txn[Key],$A128))</f>
        <v/>
      </c>
      <c r="G128" s="287" t="str">
        <f>IF($A128="","",SUMIFS(Txn[Sell Proceeds],Txn[Key],$A128))</f>
        <v/>
      </c>
      <c r="H128" s="288" t="str">
        <f>IF($A128="","",IFERROR(INDEX(Prices[Current Price],MATCH($A128,Prices[Key],0)),0))</f>
        <v/>
      </c>
      <c r="I128" s="289" t="str">
        <f>IF($A128="","",IFERROR(INDEX(Prices[FX to SGD],MATCH($A128,Prices[Key],0)),1))</f>
        <v/>
      </c>
      <c r="J128" s="287" t="str">
        <f t="shared" si="12"/>
        <v/>
      </c>
      <c r="K128" s="287" t="str">
        <f t="shared" si="13"/>
        <v/>
      </c>
      <c r="L128" s="287" t="str">
        <f t="shared" si="14"/>
        <v/>
      </c>
      <c r="M128" s="290" t="str">
        <f t="shared" si="15"/>
        <v/>
      </c>
      <c r="N128" s="243" t="str">
        <f>IF($A128="","",IF(ABS(E128)&gt;0.000001,COUNT($N$1:N127)+1,""))</f>
        <v/>
      </c>
      <c r="O128" s="291" t="str">
        <f>IF($A128="","",SUMIFS(Transactions!$H$2:$H$1001,Transactions!$J$2:$J$1001,$A128,Transactions!$A$2:$A$1001,2)*$I128)</f>
        <v/>
      </c>
      <c r="P128" s="291" t="str">
        <f t="shared" si="16"/>
        <v/>
      </c>
      <c r="Q128" s="292" t="str">
        <f t="shared" si="17"/>
        <v/>
      </c>
    </row>
    <row r="129" spans="1:17" ht="15" customHeight="1" x14ac:dyDescent="0.2">
      <c r="A129" s="243" t="str">
        <f>IFERROR(INDEX(Txn[Key],MATCH(0,INDEX(COUNTIF($A$1:A128,Txn[Key])+(Txn[Key]=""),0),0)),"")</f>
        <v/>
      </c>
      <c r="B129" s="243" t="str">
        <f t="shared" si="9"/>
        <v/>
      </c>
      <c r="C129" s="243" t="str">
        <f t="shared" si="10"/>
        <v/>
      </c>
      <c r="D129" s="243" t="str">
        <f t="shared" si="11"/>
        <v/>
      </c>
      <c r="E129" s="265" t="str">
        <f>IF($A129="","",SUMIFS(Txn[Signed Units],Txn[Key],$A129))</f>
        <v/>
      </c>
      <c r="F129" s="287" t="str">
        <f>IF($A129="","",SUMIFS(Txn[Buy Cost],Txn[Key],$A129))</f>
        <v/>
      </c>
      <c r="G129" s="287" t="str">
        <f>IF($A129="","",SUMIFS(Txn[Sell Proceeds],Txn[Key],$A129))</f>
        <v/>
      </c>
      <c r="H129" s="288" t="str">
        <f>IF($A129="","",IFERROR(INDEX(Prices[Current Price],MATCH($A129,Prices[Key],0)),0))</f>
        <v/>
      </c>
      <c r="I129" s="289" t="str">
        <f>IF($A129="","",IFERROR(INDEX(Prices[FX to SGD],MATCH($A129,Prices[Key],0)),1))</f>
        <v/>
      </c>
      <c r="J129" s="287" t="str">
        <f t="shared" si="12"/>
        <v/>
      </c>
      <c r="K129" s="287" t="str">
        <f t="shared" si="13"/>
        <v/>
      </c>
      <c r="L129" s="287" t="str">
        <f t="shared" si="14"/>
        <v/>
      </c>
      <c r="M129" s="290" t="str">
        <f t="shared" si="15"/>
        <v/>
      </c>
      <c r="N129" s="243" t="str">
        <f>IF($A129="","",IF(ABS(E129)&gt;0.000001,COUNT($N$1:N128)+1,""))</f>
        <v/>
      </c>
      <c r="O129" s="291" t="str">
        <f>IF($A129="","",SUMIFS(Transactions!$H$2:$H$1001,Transactions!$J$2:$J$1001,$A129,Transactions!$A$2:$A$1001,2)*$I129)</f>
        <v/>
      </c>
      <c r="P129" s="291" t="str">
        <f t="shared" si="16"/>
        <v/>
      </c>
      <c r="Q129" s="292" t="str">
        <f t="shared" si="17"/>
        <v/>
      </c>
    </row>
    <row r="130" spans="1:17" ht="15" customHeight="1" x14ac:dyDescent="0.2">
      <c r="A130" s="243" t="str">
        <f>IFERROR(INDEX(Txn[Key],MATCH(0,INDEX(COUNTIF($A$1:A129,Txn[Key])+(Txn[Key]=""),0),0)),"")</f>
        <v/>
      </c>
      <c r="B130" s="243" t="str">
        <f t="shared" ref="B130:B193" si="18">IF($A130="","",LEFT($A130,FIND(":",$A130)-1))</f>
        <v/>
      </c>
      <c r="C130" s="243" t="str">
        <f t="shared" ref="C130:C193" si="19">IF($A130="","",MID($A130,FIND(":",$A130)+1,FIND(":",$A130,FIND(":",$A130)+1)-FIND(":",$A130)-1))</f>
        <v/>
      </c>
      <c r="D130" s="243" t="str">
        <f t="shared" ref="D130:D193" si="20">IF($A130="","",RIGHT($A130,LEN($A130)-FIND(":",$A130,FIND(":",$A130)+1)))</f>
        <v/>
      </c>
      <c r="E130" s="265" t="str">
        <f>IF($A130="","",SUMIFS(Txn[Signed Units],Txn[Key],$A130))</f>
        <v/>
      </c>
      <c r="F130" s="287" t="str">
        <f>IF($A130="","",SUMIFS(Txn[Buy Cost],Txn[Key],$A130))</f>
        <v/>
      </c>
      <c r="G130" s="287" t="str">
        <f>IF($A130="","",SUMIFS(Txn[Sell Proceeds],Txn[Key],$A130))</f>
        <v/>
      </c>
      <c r="H130" s="288" t="str">
        <f>IF($A130="","",IFERROR(INDEX(Prices[Current Price],MATCH($A130,Prices[Key],0)),0))</f>
        <v/>
      </c>
      <c r="I130" s="289" t="str">
        <f>IF($A130="","",IFERROR(INDEX(Prices[FX to SGD],MATCH($A130,Prices[Key],0)),1))</f>
        <v/>
      </c>
      <c r="J130" s="287" t="str">
        <f t="shared" ref="J130:J193" si="21">IF($A130="","",E130*H130)</f>
        <v/>
      </c>
      <c r="K130" s="287" t="str">
        <f t="shared" ref="K130:K193" si="22">IF($A130="","",J130+G130-F130)</f>
        <v/>
      </c>
      <c r="L130" s="287" t="str">
        <f t="shared" ref="L130:L193" si="23">IF($A130="","",K130*I130)</f>
        <v/>
      </c>
      <c r="M130" s="290" t="str">
        <f t="shared" ref="M130:M193" si="24">IF($A130="","",IFERROR(K130/F130,0))</f>
        <v/>
      </c>
      <c r="N130" s="243" t="str">
        <f>IF($A130="","",IF(ABS(E130)&gt;0.000001,COUNT($N$1:N129)+1,""))</f>
        <v/>
      </c>
      <c r="O130" s="291" t="str">
        <f>IF($A130="","",SUMIFS(Transactions!$H$2:$H$1001,Transactions!$J$2:$J$1001,$A130,Transactions!$A$2:$A$1001,2)*$I130)</f>
        <v/>
      </c>
      <c r="P130" s="291" t="str">
        <f t="shared" ref="P130:P193" si="25">IF($A130="","",$L130+$O130)</f>
        <v/>
      </c>
      <c r="Q130" s="292" t="str">
        <f t="shared" ref="Q130:Q193" si="26">IF($A130="","",IFERROR(($L130+$O130)/($F130*$I130),0))</f>
        <v/>
      </c>
    </row>
    <row r="131" spans="1:17" ht="15" customHeight="1" x14ac:dyDescent="0.2">
      <c r="A131" s="243" t="str">
        <f>IFERROR(INDEX(Txn[Key],MATCH(0,INDEX(COUNTIF($A$1:A130,Txn[Key])+(Txn[Key]=""),0),0)),"")</f>
        <v/>
      </c>
      <c r="B131" s="243" t="str">
        <f t="shared" si="18"/>
        <v/>
      </c>
      <c r="C131" s="243" t="str">
        <f t="shared" si="19"/>
        <v/>
      </c>
      <c r="D131" s="243" t="str">
        <f t="shared" si="20"/>
        <v/>
      </c>
      <c r="E131" s="265" t="str">
        <f>IF($A131="","",SUMIFS(Txn[Signed Units],Txn[Key],$A131))</f>
        <v/>
      </c>
      <c r="F131" s="287" t="str">
        <f>IF($A131="","",SUMIFS(Txn[Buy Cost],Txn[Key],$A131))</f>
        <v/>
      </c>
      <c r="G131" s="287" t="str">
        <f>IF($A131="","",SUMIFS(Txn[Sell Proceeds],Txn[Key],$A131))</f>
        <v/>
      </c>
      <c r="H131" s="288" t="str">
        <f>IF($A131="","",IFERROR(INDEX(Prices[Current Price],MATCH($A131,Prices[Key],0)),0))</f>
        <v/>
      </c>
      <c r="I131" s="289" t="str">
        <f>IF($A131="","",IFERROR(INDEX(Prices[FX to SGD],MATCH($A131,Prices[Key],0)),1))</f>
        <v/>
      </c>
      <c r="J131" s="287" t="str">
        <f t="shared" si="21"/>
        <v/>
      </c>
      <c r="K131" s="287" t="str">
        <f t="shared" si="22"/>
        <v/>
      </c>
      <c r="L131" s="287" t="str">
        <f t="shared" si="23"/>
        <v/>
      </c>
      <c r="M131" s="290" t="str">
        <f t="shared" si="24"/>
        <v/>
      </c>
      <c r="N131" s="243" t="str">
        <f>IF($A131="","",IF(ABS(E131)&gt;0.000001,COUNT($N$1:N130)+1,""))</f>
        <v/>
      </c>
      <c r="O131" s="291" t="str">
        <f>IF($A131="","",SUMIFS(Transactions!$H$2:$H$1001,Transactions!$J$2:$J$1001,$A131,Transactions!$A$2:$A$1001,2)*$I131)</f>
        <v/>
      </c>
      <c r="P131" s="291" t="str">
        <f t="shared" si="25"/>
        <v/>
      </c>
      <c r="Q131" s="292" t="str">
        <f t="shared" si="26"/>
        <v/>
      </c>
    </row>
    <row r="132" spans="1:17" ht="15" customHeight="1" x14ac:dyDescent="0.2">
      <c r="A132" s="243" t="str">
        <f>IFERROR(INDEX(Txn[Key],MATCH(0,INDEX(COUNTIF($A$1:A131,Txn[Key])+(Txn[Key]=""),0),0)),"")</f>
        <v/>
      </c>
      <c r="B132" s="243" t="str">
        <f t="shared" si="18"/>
        <v/>
      </c>
      <c r="C132" s="243" t="str">
        <f t="shared" si="19"/>
        <v/>
      </c>
      <c r="D132" s="243" t="str">
        <f t="shared" si="20"/>
        <v/>
      </c>
      <c r="E132" s="265" t="str">
        <f>IF($A132="","",SUMIFS(Txn[Signed Units],Txn[Key],$A132))</f>
        <v/>
      </c>
      <c r="F132" s="287" t="str">
        <f>IF($A132="","",SUMIFS(Txn[Buy Cost],Txn[Key],$A132))</f>
        <v/>
      </c>
      <c r="G132" s="287" t="str">
        <f>IF($A132="","",SUMIFS(Txn[Sell Proceeds],Txn[Key],$A132))</f>
        <v/>
      </c>
      <c r="H132" s="288" t="str">
        <f>IF($A132="","",IFERROR(INDEX(Prices[Current Price],MATCH($A132,Prices[Key],0)),0))</f>
        <v/>
      </c>
      <c r="I132" s="289" t="str">
        <f>IF($A132="","",IFERROR(INDEX(Prices[FX to SGD],MATCH($A132,Prices[Key],0)),1))</f>
        <v/>
      </c>
      <c r="J132" s="287" t="str">
        <f t="shared" si="21"/>
        <v/>
      </c>
      <c r="K132" s="287" t="str">
        <f t="shared" si="22"/>
        <v/>
      </c>
      <c r="L132" s="287" t="str">
        <f t="shared" si="23"/>
        <v/>
      </c>
      <c r="M132" s="290" t="str">
        <f t="shared" si="24"/>
        <v/>
      </c>
      <c r="N132" s="243" t="str">
        <f>IF($A132="","",IF(ABS(E132)&gt;0.000001,COUNT($N$1:N131)+1,""))</f>
        <v/>
      </c>
      <c r="O132" s="291" t="str">
        <f>IF($A132="","",SUMIFS(Transactions!$H$2:$H$1001,Transactions!$J$2:$J$1001,$A132,Transactions!$A$2:$A$1001,2)*$I132)</f>
        <v/>
      </c>
      <c r="P132" s="291" t="str">
        <f t="shared" si="25"/>
        <v/>
      </c>
      <c r="Q132" s="292" t="str">
        <f t="shared" si="26"/>
        <v/>
      </c>
    </row>
    <row r="133" spans="1:17" ht="15" customHeight="1" x14ac:dyDescent="0.2">
      <c r="A133" s="243" t="str">
        <f>IFERROR(INDEX(Txn[Key],MATCH(0,INDEX(COUNTIF($A$1:A132,Txn[Key])+(Txn[Key]=""),0),0)),"")</f>
        <v/>
      </c>
      <c r="B133" s="243" t="str">
        <f t="shared" si="18"/>
        <v/>
      </c>
      <c r="C133" s="243" t="str">
        <f t="shared" si="19"/>
        <v/>
      </c>
      <c r="D133" s="243" t="str">
        <f t="shared" si="20"/>
        <v/>
      </c>
      <c r="E133" s="265" t="str">
        <f>IF($A133="","",SUMIFS(Txn[Signed Units],Txn[Key],$A133))</f>
        <v/>
      </c>
      <c r="F133" s="287" t="str">
        <f>IF($A133="","",SUMIFS(Txn[Buy Cost],Txn[Key],$A133))</f>
        <v/>
      </c>
      <c r="G133" s="287" t="str">
        <f>IF($A133="","",SUMIFS(Txn[Sell Proceeds],Txn[Key],$A133))</f>
        <v/>
      </c>
      <c r="H133" s="288" t="str">
        <f>IF($A133="","",IFERROR(INDEX(Prices[Current Price],MATCH($A133,Prices[Key],0)),0))</f>
        <v/>
      </c>
      <c r="I133" s="289" t="str">
        <f>IF($A133="","",IFERROR(INDEX(Prices[FX to SGD],MATCH($A133,Prices[Key],0)),1))</f>
        <v/>
      </c>
      <c r="J133" s="287" t="str">
        <f t="shared" si="21"/>
        <v/>
      </c>
      <c r="K133" s="287" t="str">
        <f t="shared" si="22"/>
        <v/>
      </c>
      <c r="L133" s="287" t="str">
        <f t="shared" si="23"/>
        <v/>
      </c>
      <c r="M133" s="290" t="str">
        <f t="shared" si="24"/>
        <v/>
      </c>
      <c r="N133" s="243" t="str">
        <f>IF($A133="","",IF(ABS(E133)&gt;0.000001,COUNT($N$1:N132)+1,""))</f>
        <v/>
      </c>
      <c r="O133" s="291" t="str">
        <f>IF($A133="","",SUMIFS(Transactions!$H$2:$H$1001,Transactions!$J$2:$J$1001,$A133,Transactions!$A$2:$A$1001,2)*$I133)</f>
        <v/>
      </c>
      <c r="P133" s="291" t="str">
        <f t="shared" si="25"/>
        <v/>
      </c>
      <c r="Q133" s="292" t="str">
        <f t="shared" si="26"/>
        <v/>
      </c>
    </row>
    <row r="134" spans="1:17" ht="15" customHeight="1" x14ac:dyDescent="0.2">
      <c r="A134" s="243" t="str">
        <f>IFERROR(INDEX(Txn[Key],MATCH(0,INDEX(COUNTIF($A$1:A133,Txn[Key])+(Txn[Key]=""),0),0)),"")</f>
        <v/>
      </c>
      <c r="B134" s="243" t="str">
        <f t="shared" si="18"/>
        <v/>
      </c>
      <c r="C134" s="243" t="str">
        <f t="shared" si="19"/>
        <v/>
      </c>
      <c r="D134" s="243" t="str">
        <f t="shared" si="20"/>
        <v/>
      </c>
      <c r="E134" s="265" t="str">
        <f>IF($A134="","",SUMIFS(Txn[Signed Units],Txn[Key],$A134))</f>
        <v/>
      </c>
      <c r="F134" s="287" t="str">
        <f>IF($A134="","",SUMIFS(Txn[Buy Cost],Txn[Key],$A134))</f>
        <v/>
      </c>
      <c r="G134" s="287" t="str">
        <f>IF($A134="","",SUMIFS(Txn[Sell Proceeds],Txn[Key],$A134))</f>
        <v/>
      </c>
      <c r="H134" s="288" t="str">
        <f>IF($A134="","",IFERROR(INDEX(Prices[Current Price],MATCH($A134,Prices[Key],0)),0))</f>
        <v/>
      </c>
      <c r="I134" s="289" t="str">
        <f>IF($A134="","",IFERROR(INDEX(Prices[FX to SGD],MATCH($A134,Prices[Key],0)),1))</f>
        <v/>
      </c>
      <c r="J134" s="287" t="str">
        <f t="shared" si="21"/>
        <v/>
      </c>
      <c r="K134" s="287" t="str">
        <f t="shared" si="22"/>
        <v/>
      </c>
      <c r="L134" s="287" t="str">
        <f t="shared" si="23"/>
        <v/>
      </c>
      <c r="M134" s="290" t="str">
        <f t="shared" si="24"/>
        <v/>
      </c>
      <c r="N134" s="243" t="str">
        <f>IF($A134="","",IF(ABS(E134)&gt;0.000001,COUNT($N$1:N133)+1,""))</f>
        <v/>
      </c>
      <c r="O134" s="291" t="str">
        <f>IF($A134="","",SUMIFS(Transactions!$H$2:$H$1001,Transactions!$J$2:$J$1001,$A134,Transactions!$A$2:$A$1001,2)*$I134)</f>
        <v/>
      </c>
      <c r="P134" s="291" t="str">
        <f t="shared" si="25"/>
        <v/>
      </c>
      <c r="Q134" s="292" t="str">
        <f t="shared" si="26"/>
        <v/>
      </c>
    </row>
    <row r="135" spans="1:17" ht="15" customHeight="1" x14ac:dyDescent="0.2">
      <c r="A135" s="243" t="str">
        <f>IFERROR(INDEX(Txn[Key],MATCH(0,INDEX(COUNTIF($A$1:A134,Txn[Key])+(Txn[Key]=""),0),0)),"")</f>
        <v/>
      </c>
      <c r="B135" s="243" t="str">
        <f t="shared" si="18"/>
        <v/>
      </c>
      <c r="C135" s="243" t="str">
        <f t="shared" si="19"/>
        <v/>
      </c>
      <c r="D135" s="243" t="str">
        <f t="shared" si="20"/>
        <v/>
      </c>
      <c r="E135" s="265" t="str">
        <f>IF($A135="","",SUMIFS(Txn[Signed Units],Txn[Key],$A135))</f>
        <v/>
      </c>
      <c r="F135" s="287" t="str">
        <f>IF($A135="","",SUMIFS(Txn[Buy Cost],Txn[Key],$A135))</f>
        <v/>
      </c>
      <c r="G135" s="287" t="str">
        <f>IF($A135="","",SUMIFS(Txn[Sell Proceeds],Txn[Key],$A135))</f>
        <v/>
      </c>
      <c r="H135" s="288" t="str">
        <f>IF($A135="","",IFERROR(INDEX(Prices[Current Price],MATCH($A135,Prices[Key],0)),0))</f>
        <v/>
      </c>
      <c r="I135" s="289" t="str">
        <f>IF($A135="","",IFERROR(INDEX(Prices[FX to SGD],MATCH($A135,Prices[Key],0)),1))</f>
        <v/>
      </c>
      <c r="J135" s="287" t="str">
        <f t="shared" si="21"/>
        <v/>
      </c>
      <c r="K135" s="287" t="str">
        <f t="shared" si="22"/>
        <v/>
      </c>
      <c r="L135" s="287" t="str">
        <f t="shared" si="23"/>
        <v/>
      </c>
      <c r="M135" s="290" t="str">
        <f t="shared" si="24"/>
        <v/>
      </c>
      <c r="N135" s="243" t="str">
        <f>IF($A135="","",IF(ABS(E135)&gt;0.000001,COUNT($N$1:N134)+1,""))</f>
        <v/>
      </c>
      <c r="O135" s="291" t="str">
        <f>IF($A135="","",SUMIFS(Transactions!$H$2:$H$1001,Transactions!$J$2:$J$1001,$A135,Transactions!$A$2:$A$1001,2)*$I135)</f>
        <v/>
      </c>
      <c r="P135" s="291" t="str">
        <f t="shared" si="25"/>
        <v/>
      </c>
      <c r="Q135" s="292" t="str">
        <f t="shared" si="26"/>
        <v/>
      </c>
    </row>
    <row r="136" spans="1:17" ht="15" customHeight="1" x14ac:dyDescent="0.2">
      <c r="A136" s="243" t="str">
        <f>IFERROR(INDEX(Txn[Key],MATCH(0,INDEX(COUNTIF($A$1:A135,Txn[Key])+(Txn[Key]=""),0),0)),"")</f>
        <v/>
      </c>
      <c r="B136" s="243" t="str">
        <f t="shared" si="18"/>
        <v/>
      </c>
      <c r="C136" s="243" t="str">
        <f t="shared" si="19"/>
        <v/>
      </c>
      <c r="D136" s="243" t="str">
        <f t="shared" si="20"/>
        <v/>
      </c>
      <c r="E136" s="265" t="str">
        <f>IF($A136="","",SUMIFS(Txn[Signed Units],Txn[Key],$A136))</f>
        <v/>
      </c>
      <c r="F136" s="287" t="str">
        <f>IF($A136="","",SUMIFS(Txn[Buy Cost],Txn[Key],$A136))</f>
        <v/>
      </c>
      <c r="G136" s="287" t="str">
        <f>IF($A136="","",SUMIFS(Txn[Sell Proceeds],Txn[Key],$A136))</f>
        <v/>
      </c>
      <c r="H136" s="288" t="str">
        <f>IF($A136="","",IFERROR(INDEX(Prices[Current Price],MATCH($A136,Prices[Key],0)),0))</f>
        <v/>
      </c>
      <c r="I136" s="289" t="str">
        <f>IF($A136="","",IFERROR(INDEX(Prices[FX to SGD],MATCH($A136,Prices[Key],0)),1))</f>
        <v/>
      </c>
      <c r="J136" s="287" t="str">
        <f t="shared" si="21"/>
        <v/>
      </c>
      <c r="K136" s="287" t="str">
        <f t="shared" si="22"/>
        <v/>
      </c>
      <c r="L136" s="287" t="str">
        <f t="shared" si="23"/>
        <v/>
      </c>
      <c r="M136" s="290" t="str">
        <f t="shared" si="24"/>
        <v/>
      </c>
      <c r="N136" s="243" t="str">
        <f>IF($A136="","",IF(ABS(E136)&gt;0.000001,COUNT($N$1:N135)+1,""))</f>
        <v/>
      </c>
      <c r="O136" s="291" t="str">
        <f>IF($A136="","",SUMIFS(Transactions!$H$2:$H$1001,Transactions!$J$2:$J$1001,$A136,Transactions!$A$2:$A$1001,2)*$I136)</f>
        <v/>
      </c>
      <c r="P136" s="291" t="str">
        <f t="shared" si="25"/>
        <v/>
      </c>
      <c r="Q136" s="292" t="str">
        <f t="shared" si="26"/>
        <v/>
      </c>
    </row>
    <row r="137" spans="1:17" ht="15" customHeight="1" x14ac:dyDescent="0.2">
      <c r="A137" s="243" t="str">
        <f>IFERROR(INDEX(Txn[Key],MATCH(0,INDEX(COUNTIF($A$1:A136,Txn[Key])+(Txn[Key]=""),0),0)),"")</f>
        <v/>
      </c>
      <c r="B137" s="243" t="str">
        <f t="shared" si="18"/>
        <v/>
      </c>
      <c r="C137" s="243" t="str">
        <f t="shared" si="19"/>
        <v/>
      </c>
      <c r="D137" s="243" t="str">
        <f t="shared" si="20"/>
        <v/>
      </c>
      <c r="E137" s="265" t="str">
        <f>IF($A137="","",SUMIFS(Txn[Signed Units],Txn[Key],$A137))</f>
        <v/>
      </c>
      <c r="F137" s="287" t="str">
        <f>IF($A137="","",SUMIFS(Txn[Buy Cost],Txn[Key],$A137))</f>
        <v/>
      </c>
      <c r="G137" s="287" t="str">
        <f>IF($A137="","",SUMIFS(Txn[Sell Proceeds],Txn[Key],$A137))</f>
        <v/>
      </c>
      <c r="H137" s="288" t="str">
        <f>IF($A137="","",IFERROR(INDEX(Prices[Current Price],MATCH($A137,Prices[Key],0)),0))</f>
        <v/>
      </c>
      <c r="I137" s="289" t="str">
        <f>IF($A137="","",IFERROR(INDEX(Prices[FX to SGD],MATCH($A137,Prices[Key],0)),1))</f>
        <v/>
      </c>
      <c r="J137" s="287" t="str">
        <f t="shared" si="21"/>
        <v/>
      </c>
      <c r="K137" s="287" t="str">
        <f t="shared" si="22"/>
        <v/>
      </c>
      <c r="L137" s="287" t="str">
        <f t="shared" si="23"/>
        <v/>
      </c>
      <c r="M137" s="290" t="str">
        <f t="shared" si="24"/>
        <v/>
      </c>
      <c r="N137" s="243" t="str">
        <f>IF($A137="","",IF(ABS(E137)&gt;0.000001,COUNT($N$1:N136)+1,""))</f>
        <v/>
      </c>
      <c r="O137" s="291" t="str">
        <f>IF($A137="","",SUMIFS(Transactions!$H$2:$H$1001,Transactions!$J$2:$J$1001,$A137,Transactions!$A$2:$A$1001,2)*$I137)</f>
        <v/>
      </c>
      <c r="P137" s="291" t="str">
        <f t="shared" si="25"/>
        <v/>
      </c>
      <c r="Q137" s="292" t="str">
        <f t="shared" si="26"/>
        <v/>
      </c>
    </row>
    <row r="138" spans="1:17" ht="15" customHeight="1" x14ac:dyDescent="0.2">
      <c r="A138" s="243" t="str">
        <f>IFERROR(INDEX(Txn[Key],MATCH(0,INDEX(COUNTIF($A$1:A137,Txn[Key])+(Txn[Key]=""),0),0)),"")</f>
        <v/>
      </c>
      <c r="B138" s="243" t="str">
        <f t="shared" si="18"/>
        <v/>
      </c>
      <c r="C138" s="243" t="str">
        <f t="shared" si="19"/>
        <v/>
      </c>
      <c r="D138" s="243" t="str">
        <f t="shared" si="20"/>
        <v/>
      </c>
      <c r="E138" s="265" t="str">
        <f>IF($A138="","",SUMIFS(Txn[Signed Units],Txn[Key],$A138))</f>
        <v/>
      </c>
      <c r="F138" s="287" t="str">
        <f>IF($A138="","",SUMIFS(Txn[Buy Cost],Txn[Key],$A138))</f>
        <v/>
      </c>
      <c r="G138" s="287" t="str">
        <f>IF($A138="","",SUMIFS(Txn[Sell Proceeds],Txn[Key],$A138))</f>
        <v/>
      </c>
      <c r="H138" s="288" t="str">
        <f>IF($A138="","",IFERROR(INDEX(Prices[Current Price],MATCH($A138,Prices[Key],0)),0))</f>
        <v/>
      </c>
      <c r="I138" s="289" t="str">
        <f>IF($A138="","",IFERROR(INDEX(Prices[FX to SGD],MATCH($A138,Prices[Key],0)),1))</f>
        <v/>
      </c>
      <c r="J138" s="287" t="str">
        <f t="shared" si="21"/>
        <v/>
      </c>
      <c r="K138" s="287" t="str">
        <f t="shared" si="22"/>
        <v/>
      </c>
      <c r="L138" s="287" t="str">
        <f t="shared" si="23"/>
        <v/>
      </c>
      <c r="M138" s="290" t="str">
        <f t="shared" si="24"/>
        <v/>
      </c>
      <c r="N138" s="243" t="str">
        <f>IF($A138="","",IF(ABS(E138)&gt;0.000001,COUNT($N$1:N137)+1,""))</f>
        <v/>
      </c>
      <c r="O138" s="291" t="str">
        <f>IF($A138="","",SUMIFS(Transactions!$H$2:$H$1001,Transactions!$J$2:$J$1001,$A138,Transactions!$A$2:$A$1001,2)*$I138)</f>
        <v/>
      </c>
      <c r="P138" s="291" t="str">
        <f t="shared" si="25"/>
        <v/>
      </c>
      <c r="Q138" s="292" t="str">
        <f t="shared" si="26"/>
        <v/>
      </c>
    </row>
    <row r="139" spans="1:17" ht="15" customHeight="1" x14ac:dyDescent="0.2">
      <c r="A139" s="243" t="str">
        <f>IFERROR(INDEX(Txn[Key],MATCH(0,INDEX(COUNTIF($A$1:A138,Txn[Key])+(Txn[Key]=""),0),0)),"")</f>
        <v/>
      </c>
      <c r="B139" s="243" t="str">
        <f t="shared" si="18"/>
        <v/>
      </c>
      <c r="C139" s="243" t="str">
        <f t="shared" si="19"/>
        <v/>
      </c>
      <c r="D139" s="243" t="str">
        <f t="shared" si="20"/>
        <v/>
      </c>
      <c r="E139" s="265" t="str">
        <f>IF($A139="","",SUMIFS(Txn[Signed Units],Txn[Key],$A139))</f>
        <v/>
      </c>
      <c r="F139" s="287" t="str">
        <f>IF($A139="","",SUMIFS(Txn[Buy Cost],Txn[Key],$A139))</f>
        <v/>
      </c>
      <c r="G139" s="287" t="str">
        <f>IF($A139="","",SUMIFS(Txn[Sell Proceeds],Txn[Key],$A139))</f>
        <v/>
      </c>
      <c r="H139" s="288" t="str">
        <f>IF($A139="","",IFERROR(INDEX(Prices[Current Price],MATCH($A139,Prices[Key],0)),0))</f>
        <v/>
      </c>
      <c r="I139" s="289" t="str">
        <f>IF($A139="","",IFERROR(INDEX(Prices[FX to SGD],MATCH($A139,Prices[Key],0)),1))</f>
        <v/>
      </c>
      <c r="J139" s="287" t="str">
        <f t="shared" si="21"/>
        <v/>
      </c>
      <c r="K139" s="287" t="str">
        <f t="shared" si="22"/>
        <v/>
      </c>
      <c r="L139" s="287" t="str">
        <f t="shared" si="23"/>
        <v/>
      </c>
      <c r="M139" s="290" t="str">
        <f t="shared" si="24"/>
        <v/>
      </c>
      <c r="N139" s="243" t="str">
        <f>IF($A139="","",IF(ABS(E139)&gt;0.000001,COUNT($N$1:N138)+1,""))</f>
        <v/>
      </c>
      <c r="O139" s="291" t="str">
        <f>IF($A139="","",SUMIFS(Transactions!$H$2:$H$1001,Transactions!$J$2:$J$1001,$A139,Transactions!$A$2:$A$1001,2)*$I139)</f>
        <v/>
      </c>
      <c r="P139" s="291" t="str">
        <f t="shared" si="25"/>
        <v/>
      </c>
      <c r="Q139" s="292" t="str">
        <f t="shared" si="26"/>
        <v/>
      </c>
    </row>
    <row r="140" spans="1:17" ht="15" customHeight="1" x14ac:dyDescent="0.2">
      <c r="A140" s="243" t="str">
        <f>IFERROR(INDEX(Txn[Key],MATCH(0,INDEX(COUNTIF($A$1:A139,Txn[Key])+(Txn[Key]=""),0),0)),"")</f>
        <v/>
      </c>
      <c r="B140" s="243" t="str">
        <f t="shared" si="18"/>
        <v/>
      </c>
      <c r="C140" s="243" t="str">
        <f t="shared" si="19"/>
        <v/>
      </c>
      <c r="D140" s="243" t="str">
        <f t="shared" si="20"/>
        <v/>
      </c>
      <c r="E140" s="265" t="str">
        <f>IF($A140="","",SUMIFS(Txn[Signed Units],Txn[Key],$A140))</f>
        <v/>
      </c>
      <c r="F140" s="287" t="str">
        <f>IF($A140="","",SUMIFS(Txn[Buy Cost],Txn[Key],$A140))</f>
        <v/>
      </c>
      <c r="G140" s="287" t="str">
        <f>IF($A140="","",SUMIFS(Txn[Sell Proceeds],Txn[Key],$A140))</f>
        <v/>
      </c>
      <c r="H140" s="288" t="str">
        <f>IF($A140="","",IFERROR(INDEX(Prices[Current Price],MATCH($A140,Prices[Key],0)),0))</f>
        <v/>
      </c>
      <c r="I140" s="289" t="str">
        <f>IF($A140="","",IFERROR(INDEX(Prices[FX to SGD],MATCH($A140,Prices[Key],0)),1))</f>
        <v/>
      </c>
      <c r="J140" s="287" t="str">
        <f t="shared" si="21"/>
        <v/>
      </c>
      <c r="K140" s="287" t="str">
        <f t="shared" si="22"/>
        <v/>
      </c>
      <c r="L140" s="287" t="str">
        <f t="shared" si="23"/>
        <v/>
      </c>
      <c r="M140" s="290" t="str">
        <f t="shared" si="24"/>
        <v/>
      </c>
      <c r="N140" s="243" t="str">
        <f>IF($A140="","",IF(ABS(E140)&gt;0.000001,COUNT($N$1:N139)+1,""))</f>
        <v/>
      </c>
      <c r="O140" s="291" t="str">
        <f>IF($A140="","",SUMIFS(Transactions!$H$2:$H$1001,Transactions!$J$2:$J$1001,$A140,Transactions!$A$2:$A$1001,2)*$I140)</f>
        <v/>
      </c>
      <c r="P140" s="291" t="str">
        <f t="shared" si="25"/>
        <v/>
      </c>
      <c r="Q140" s="292" t="str">
        <f t="shared" si="26"/>
        <v/>
      </c>
    </row>
    <row r="141" spans="1:17" ht="15" customHeight="1" x14ac:dyDescent="0.2">
      <c r="A141" s="243" t="str">
        <f>IFERROR(INDEX(Txn[Key],MATCH(0,INDEX(COUNTIF($A$1:A140,Txn[Key])+(Txn[Key]=""),0),0)),"")</f>
        <v/>
      </c>
      <c r="B141" s="243" t="str">
        <f t="shared" si="18"/>
        <v/>
      </c>
      <c r="C141" s="243" t="str">
        <f t="shared" si="19"/>
        <v/>
      </c>
      <c r="D141" s="243" t="str">
        <f t="shared" si="20"/>
        <v/>
      </c>
      <c r="E141" s="265" t="str">
        <f>IF($A141="","",SUMIFS(Txn[Signed Units],Txn[Key],$A141))</f>
        <v/>
      </c>
      <c r="F141" s="287" t="str">
        <f>IF($A141="","",SUMIFS(Txn[Buy Cost],Txn[Key],$A141))</f>
        <v/>
      </c>
      <c r="G141" s="287" t="str">
        <f>IF($A141="","",SUMIFS(Txn[Sell Proceeds],Txn[Key],$A141))</f>
        <v/>
      </c>
      <c r="H141" s="288" t="str">
        <f>IF($A141="","",IFERROR(INDEX(Prices[Current Price],MATCH($A141,Prices[Key],0)),0))</f>
        <v/>
      </c>
      <c r="I141" s="289" t="str">
        <f>IF($A141="","",IFERROR(INDEX(Prices[FX to SGD],MATCH($A141,Prices[Key],0)),1))</f>
        <v/>
      </c>
      <c r="J141" s="287" t="str">
        <f t="shared" si="21"/>
        <v/>
      </c>
      <c r="K141" s="287" t="str">
        <f t="shared" si="22"/>
        <v/>
      </c>
      <c r="L141" s="287" t="str">
        <f t="shared" si="23"/>
        <v/>
      </c>
      <c r="M141" s="290" t="str">
        <f t="shared" si="24"/>
        <v/>
      </c>
      <c r="N141" s="243" t="str">
        <f>IF($A141="","",IF(ABS(E141)&gt;0.000001,COUNT($N$1:N140)+1,""))</f>
        <v/>
      </c>
      <c r="O141" s="291" t="str">
        <f>IF($A141="","",SUMIFS(Transactions!$H$2:$H$1001,Transactions!$J$2:$J$1001,$A141,Transactions!$A$2:$A$1001,2)*$I141)</f>
        <v/>
      </c>
      <c r="P141" s="291" t="str">
        <f t="shared" si="25"/>
        <v/>
      </c>
      <c r="Q141" s="292" t="str">
        <f t="shared" si="26"/>
        <v/>
      </c>
    </row>
    <row r="142" spans="1:17" ht="15" customHeight="1" x14ac:dyDescent="0.2">
      <c r="A142" s="243" t="str">
        <f>IFERROR(INDEX(Txn[Key],MATCH(0,INDEX(COUNTIF($A$1:A141,Txn[Key])+(Txn[Key]=""),0),0)),"")</f>
        <v/>
      </c>
      <c r="B142" s="243" t="str">
        <f t="shared" si="18"/>
        <v/>
      </c>
      <c r="C142" s="243" t="str">
        <f t="shared" si="19"/>
        <v/>
      </c>
      <c r="D142" s="243" t="str">
        <f t="shared" si="20"/>
        <v/>
      </c>
      <c r="E142" s="265" t="str">
        <f>IF($A142="","",SUMIFS(Txn[Signed Units],Txn[Key],$A142))</f>
        <v/>
      </c>
      <c r="F142" s="287" t="str">
        <f>IF($A142="","",SUMIFS(Txn[Buy Cost],Txn[Key],$A142))</f>
        <v/>
      </c>
      <c r="G142" s="287" t="str">
        <f>IF($A142="","",SUMIFS(Txn[Sell Proceeds],Txn[Key],$A142))</f>
        <v/>
      </c>
      <c r="H142" s="288" t="str">
        <f>IF($A142="","",IFERROR(INDEX(Prices[Current Price],MATCH($A142,Prices[Key],0)),0))</f>
        <v/>
      </c>
      <c r="I142" s="289" t="str">
        <f>IF($A142="","",IFERROR(INDEX(Prices[FX to SGD],MATCH($A142,Prices[Key],0)),1))</f>
        <v/>
      </c>
      <c r="J142" s="287" t="str">
        <f t="shared" si="21"/>
        <v/>
      </c>
      <c r="K142" s="287" t="str">
        <f t="shared" si="22"/>
        <v/>
      </c>
      <c r="L142" s="287" t="str">
        <f t="shared" si="23"/>
        <v/>
      </c>
      <c r="M142" s="290" t="str">
        <f t="shared" si="24"/>
        <v/>
      </c>
      <c r="N142" s="243" t="str">
        <f>IF($A142="","",IF(ABS(E142)&gt;0.000001,COUNT($N$1:N141)+1,""))</f>
        <v/>
      </c>
      <c r="O142" s="291" t="str">
        <f>IF($A142="","",SUMIFS(Transactions!$H$2:$H$1001,Transactions!$J$2:$J$1001,$A142,Transactions!$A$2:$A$1001,2)*$I142)</f>
        <v/>
      </c>
      <c r="P142" s="291" t="str">
        <f t="shared" si="25"/>
        <v/>
      </c>
      <c r="Q142" s="292" t="str">
        <f t="shared" si="26"/>
        <v/>
      </c>
    </row>
    <row r="143" spans="1:17" ht="15" customHeight="1" x14ac:dyDescent="0.2">
      <c r="A143" s="243" t="str">
        <f>IFERROR(INDEX(Txn[Key],MATCH(0,INDEX(COUNTIF($A$1:A142,Txn[Key])+(Txn[Key]=""),0),0)),"")</f>
        <v/>
      </c>
      <c r="B143" s="243" t="str">
        <f t="shared" si="18"/>
        <v/>
      </c>
      <c r="C143" s="243" t="str">
        <f t="shared" si="19"/>
        <v/>
      </c>
      <c r="D143" s="243" t="str">
        <f t="shared" si="20"/>
        <v/>
      </c>
      <c r="E143" s="265" t="str">
        <f>IF($A143="","",SUMIFS(Txn[Signed Units],Txn[Key],$A143))</f>
        <v/>
      </c>
      <c r="F143" s="287" t="str">
        <f>IF($A143="","",SUMIFS(Txn[Buy Cost],Txn[Key],$A143))</f>
        <v/>
      </c>
      <c r="G143" s="287" t="str">
        <f>IF($A143="","",SUMIFS(Txn[Sell Proceeds],Txn[Key],$A143))</f>
        <v/>
      </c>
      <c r="H143" s="288" t="str">
        <f>IF($A143="","",IFERROR(INDEX(Prices[Current Price],MATCH($A143,Prices[Key],0)),0))</f>
        <v/>
      </c>
      <c r="I143" s="289" t="str">
        <f>IF($A143="","",IFERROR(INDEX(Prices[FX to SGD],MATCH($A143,Prices[Key],0)),1))</f>
        <v/>
      </c>
      <c r="J143" s="287" t="str">
        <f t="shared" si="21"/>
        <v/>
      </c>
      <c r="K143" s="287" t="str">
        <f t="shared" si="22"/>
        <v/>
      </c>
      <c r="L143" s="287" t="str">
        <f t="shared" si="23"/>
        <v/>
      </c>
      <c r="M143" s="290" t="str">
        <f t="shared" si="24"/>
        <v/>
      </c>
      <c r="N143" s="243" t="str">
        <f>IF($A143="","",IF(ABS(E143)&gt;0.000001,COUNT($N$1:N142)+1,""))</f>
        <v/>
      </c>
      <c r="O143" s="291" t="str">
        <f>IF($A143="","",SUMIFS(Transactions!$H$2:$H$1001,Transactions!$J$2:$J$1001,$A143,Transactions!$A$2:$A$1001,2)*$I143)</f>
        <v/>
      </c>
      <c r="P143" s="291" t="str">
        <f t="shared" si="25"/>
        <v/>
      </c>
      <c r="Q143" s="292" t="str">
        <f t="shared" si="26"/>
        <v/>
      </c>
    </row>
    <row r="144" spans="1:17" ht="15" customHeight="1" x14ac:dyDescent="0.2">
      <c r="A144" s="243" t="str">
        <f>IFERROR(INDEX(Txn[Key],MATCH(0,INDEX(COUNTIF($A$1:A143,Txn[Key])+(Txn[Key]=""),0),0)),"")</f>
        <v/>
      </c>
      <c r="B144" s="243" t="str">
        <f t="shared" si="18"/>
        <v/>
      </c>
      <c r="C144" s="243" t="str">
        <f t="shared" si="19"/>
        <v/>
      </c>
      <c r="D144" s="243" t="str">
        <f t="shared" si="20"/>
        <v/>
      </c>
      <c r="E144" s="265" t="str">
        <f>IF($A144="","",SUMIFS(Txn[Signed Units],Txn[Key],$A144))</f>
        <v/>
      </c>
      <c r="F144" s="287" t="str">
        <f>IF($A144="","",SUMIFS(Txn[Buy Cost],Txn[Key],$A144))</f>
        <v/>
      </c>
      <c r="G144" s="287" t="str">
        <f>IF($A144="","",SUMIFS(Txn[Sell Proceeds],Txn[Key],$A144))</f>
        <v/>
      </c>
      <c r="H144" s="288" t="str">
        <f>IF($A144="","",IFERROR(INDEX(Prices[Current Price],MATCH($A144,Prices[Key],0)),0))</f>
        <v/>
      </c>
      <c r="I144" s="289" t="str">
        <f>IF($A144="","",IFERROR(INDEX(Prices[FX to SGD],MATCH($A144,Prices[Key],0)),1))</f>
        <v/>
      </c>
      <c r="J144" s="287" t="str">
        <f t="shared" si="21"/>
        <v/>
      </c>
      <c r="K144" s="287" t="str">
        <f t="shared" si="22"/>
        <v/>
      </c>
      <c r="L144" s="287" t="str">
        <f t="shared" si="23"/>
        <v/>
      </c>
      <c r="M144" s="290" t="str">
        <f t="shared" si="24"/>
        <v/>
      </c>
      <c r="N144" s="243" t="str">
        <f>IF($A144="","",IF(ABS(E144)&gt;0.000001,COUNT($N$1:N143)+1,""))</f>
        <v/>
      </c>
      <c r="O144" s="291" t="str">
        <f>IF($A144="","",SUMIFS(Transactions!$H$2:$H$1001,Transactions!$J$2:$J$1001,$A144,Transactions!$A$2:$A$1001,2)*$I144)</f>
        <v/>
      </c>
      <c r="P144" s="291" t="str">
        <f t="shared" si="25"/>
        <v/>
      </c>
      <c r="Q144" s="292" t="str">
        <f t="shared" si="26"/>
        <v/>
      </c>
    </row>
    <row r="145" spans="1:17" ht="15" customHeight="1" x14ac:dyDescent="0.2">
      <c r="A145" s="243" t="str">
        <f>IFERROR(INDEX(Txn[Key],MATCH(0,INDEX(COUNTIF($A$1:A144,Txn[Key])+(Txn[Key]=""),0),0)),"")</f>
        <v/>
      </c>
      <c r="B145" s="243" t="str">
        <f t="shared" si="18"/>
        <v/>
      </c>
      <c r="C145" s="243" t="str">
        <f t="shared" si="19"/>
        <v/>
      </c>
      <c r="D145" s="243" t="str">
        <f t="shared" si="20"/>
        <v/>
      </c>
      <c r="E145" s="265" t="str">
        <f>IF($A145="","",SUMIFS(Txn[Signed Units],Txn[Key],$A145))</f>
        <v/>
      </c>
      <c r="F145" s="287" t="str">
        <f>IF($A145="","",SUMIFS(Txn[Buy Cost],Txn[Key],$A145))</f>
        <v/>
      </c>
      <c r="G145" s="287" t="str">
        <f>IF($A145="","",SUMIFS(Txn[Sell Proceeds],Txn[Key],$A145))</f>
        <v/>
      </c>
      <c r="H145" s="288" t="str">
        <f>IF($A145="","",IFERROR(INDEX(Prices[Current Price],MATCH($A145,Prices[Key],0)),0))</f>
        <v/>
      </c>
      <c r="I145" s="289" t="str">
        <f>IF($A145="","",IFERROR(INDEX(Prices[FX to SGD],MATCH($A145,Prices[Key],0)),1))</f>
        <v/>
      </c>
      <c r="J145" s="287" t="str">
        <f t="shared" si="21"/>
        <v/>
      </c>
      <c r="K145" s="287" t="str">
        <f t="shared" si="22"/>
        <v/>
      </c>
      <c r="L145" s="287" t="str">
        <f t="shared" si="23"/>
        <v/>
      </c>
      <c r="M145" s="290" t="str">
        <f t="shared" si="24"/>
        <v/>
      </c>
      <c r="N145" s="243" t="str">
        <f>IF($A145="","",IF(ABS(E145)&gt;0.000001,COUNT($N$1:N144)+1,""))</f>
        <v/>
      </c>
      <c r="O145" s="291" t="str">
        <f>IF($A145="","",SUMIFS(Transactions!$H$2:$H$1001,Transactions!$J$2:$J$1001,$A145,Transactions!$A$2:$A$1001,2)*$I145)</f>
        <v/>
      </c>
      <c r="P145" s="291" t="str">
        <f t="shared" si="25"/>
        <v/>
      </c>
      <c r="Q145" s="292" t="str">
        <f t="shared" si="26"/>
        <v/>
      </c>
    </row>
    <row r="146" spans="1:17" ht="15" customHeight="1" x14ac:dyDescent="0.2">
      <c r="A146" s="243" t="str">
        <f>IFERROR(INDEX(Txn[Key],MATCH(0,INDEX(COUNTIF($A$1:A145,Txn[Key])+(Txn[Key]=""),0),0)),"")</f>
        <v/>
      </c>
      <c r="B146" s="243" t="str">
        <f t="shared" si="18"/>
        <v/>
      </c>
      <c r="C146" s="243" t="str">
        <f t="shared" si="19"/>
        <v/>
      </c>
      <c r="D146" s="243" t="str">
        <f t="shared" si="20"/>
        <v/>
      </c>
      <c r="E146" s="265" t="str">
        <f>IF($A146="","",SUMIFS(Txn[Signed Units],Txn[Key],$A146))</f>
        <v/>
      </c>
      <c r="F146" s="287" t="str">
        <f>IF($A146="","",SUMIFS(Txn[Buy Cost],Txn[Key],$A146))</f>
        <v/>
      </c>
      <c r="G146" s="287" t="str">
        <f>IF($A146="","",SUMIFS(Txn[Sell Proceeds],Txn[Key],$A146))</f>
        <v/>
      </c>
      <c r="H146" s="288" t="str">
        <f>IF($A146="","",IFERROR(INDEX(Prices[Current Price],MATCH($A146,Prices[Key],0)),0))</f>
        <v/>
      </c>
      <c r="I146" s="289" t="str">
        <f>IF($A146="","",IFERROR(INDEX(Prices[FX to SGD],MATCH($A146,Prices[Key],0)),1))</f>
        <v/>
      </c>
      <c r="J146" s="287" t="str">
        <f t="shared" si="21"/>
        <v/>
      </c>
      <c r="K146" s="287" t="str">
        <f t="shared" si="22"/>
        <v/>
      </c>
      <c r="L146" s="287" t="str">
        <f t="shared" si="23"/>
        <v/>
      </c>
      <c r="M146" s="290" t="str">
        <f t="shared" si="24"/>
        <v/>
      </c>
      <c r="N146" s="243" t="str">
        <f>IF($A146="","",IF(ABS(E146)&gt;0.000001,COUNT($N$1:N145)+1,""))</f>
        <v/>
      </c>
      <c r="O146" s="291" t="str">
        <f>IF($A146="","",SUMIFS(Transactions!$H$2:$H$1001,Transactions!$J$2:$J$1001,$A146,Transactions!$A$2:$A$1001,2)*$I146)</f>
        <v/>
      </c>
      <c r="P146" s="291" t="str">
        <f t="shared" si="25"/>
        <v/>
      </c>
      <c r="Q146" s="292" t="str">
        <f t="shared" si="26"/>
        <v/>
      </c>
    </row>
    <row r="147" spans="1:17" ht="15" customHeight="1" x14ac:dyDescent="0.2">
      <c r="A147" s="243" t="str">
        <f>IFERROR(INDEX(Txn[Key],MATCH(0,INDEX(COUNTIF($A$1:A146,Txn[Key])+(Txn[Key]=""),0),0)),"")</f>
        <v/>
      </c>
      <c r="B147" s="243" t="str">
        <f t="shared" si="18"/>
        <v/>
      </c>
      <c r="C147" s="243" t="str">
        <f t="shared" si="19"/>
        <v/>
      </c>
      <c r="D147" s="243" t="str">
        <f t="shared" si="20"/>
        <v/>
      </c>
      <c r="E147" s="265" t="str">
        <f>IF($A147="","",SUMIFS(Txn[Signed Units],Txn[Key],$A147))</f>
        <v/>
      </c>
      <c r="F147" s="287" t="str">
        <f>IF($A147="","",SUMIFS(Txn[Buy Cost],Txn[Key],$A147))</f>
        <v/>
      </c>
      <c r="G147" s="287" t="str">
        <f>IF($A147="","",SUMIFS(Txn[Sell Proceeds],Txn[Key],$A147))</f>
        <v/>
      </c>
      <c r="H147" s="288" t="str">
        <f>IF($A147="","",IFERROR(INDEX(Prices[Current Price],MATCH($A147,Prices[Key],0)),0))</f>
        <v/>
      </c>
      <c r="I147" s="289" t="str">
        <f>IF($A147="","",IFERROR(INDEX(Prices[FX to SGD],MATCH($A147,Prices[Key],0)),1))</f>
        <v/>
      </c>
      <c r="J147" s="287" t="str">
        <f t="shared" si="21"/>
        <v/>
      </c>
      <c r="K147" s="287" t="str">
        <f t="shared" si="22"/>
        <v/>
      </c>
      <c r="L147" s="287" t="str">
        <f t="shared" si="23"/>
        <v/>
      </c>
      <c r="M147" s="290" t="str">
        <f t="shared" si="24"/>
        <v/>
      </c>
      <c r="N147" s="243" t="str">
        <f>IF($A147="","",IF(ABS(E147)&gt;0.000001,COUNT($N$1:N146)+1,""))</f>
        <v/>
      </c>
      <c r="O147" s="291" t="str">
        <f>IF($A147="","",SUMIFS(Transactions!$H$2:$H$1001,Transactions!$J$2:$J$1001,$A147,Transactions!$A$2:$A$1001,2)*$I147)</f>
        <v/>
      </c>
      <c r="P147" s="291" t="str">
        <f t="shared" si="25"/>
        <v/>
      </c>
      <c r="Q147" s="292" t="str">
        <f t="shared" si="26"/>
        <v/>
      </c>
    </row>
    <row r="148" spans="1:17" ht="15" customHeight="1" x14ac:dyDescent="0.2">
      <c r="A148" s="243" t="str">
        <f>IFERROR(INDEX(Txn[Key],MATCH(0,INDEX(COUNTIF($A$1:A147,Txn[Key])+(Txn[Key]=""),0),0)),"")</f>
        <v/>
      </c>
      <c r="B148" s="243" t="str">
        <f t="shared" si="18"/>
        <v/>
      </c>
      <c r="C148" s="243" t="str">
        <f t="shared" si="19"/>
        <v/>
      </c>
      <c r="D148" s="243" t="str">
        <f t="shared" si="20"/>
        <v/>
      </c>
      <c r="E148" s="265" t="str">
        <f>IF($A148="","",SUMIFS(Txn[Signed Units],Txn[Key],$A148))</f>
        <v/>
      </c>
      <c r="F148" s="287" t="str">
        <f>IF($A148="","",SUMIFS(Txn[Buy Cost],Txn[Key],$A148))</f>
        <v/>
      </c>
      <c r="G148" s="287" t="str">
        <f>IF($A148="","",SUMIFS(Txn[Sell Proceeds],Txn[Key],$A148))</f>
        <v/>
      </c>
      <c r="H148" s="288" t="str">
        <f>IF($A148="","",IFERROR(INDEX(Prices[Current Price],MATCH($A148,Prices[Key],0)),0))</f>
        <v/>
      </c>
      <c r="I148" s="289" t="str">
        <f>IF($A148="","",IFERROR(INDEX(Prices[FX to SGD],MATCH($A148,Prices[Key],0)),1))</f>
        <v/>
      </c>
      <c r="J148" s="287" t="str">
        <f t="shared" si="21"/>
        <v/>
      </c>
      <c r="K148" s="287" t="str">
        <f t="shared" si="22"/>
        <v/>
      </c>
      <c r="L148" s="287" t="str">
        <f t="shared" si="23"/>
        <v/>
      </c>
      <c r="M148" s="290" t="str">
        <f t="shared" si="24"/>
        <v/>
      </c>
      <c r="N148" s="243" t="str">
        <f>IF($A148="","",IF(ABS(E148)&gt;0.000001,COUNT($N$1:N147)+1,""))</f>
        <v/>
      </c>
      <c r="O148" s="291" t="str">
        <f>IF($A148="","",SUMIFS(Transactions!$H$2:$H$1001,Transactions!$J$2:$J$1001,$A148,Transactions!$A$2:$A$1001,2)*$I148)</f>
        <v/>
      </c>
      <c r="P148" s="291" t="str">
        <f t="shared" si="25"/>
        <v/>
      </c>
      <c r="Q148" s="292" t="str">
        <f t="shared" si="26"/>
        <v/>
      </c>
    </row>
    <row r="149" spans="1:17" ht="15" customHeight="1" x14ac:dyDescent="0.2">
      <c r="A149" s="243" t="str">
        <f>IFERROR(INDEX(Txn[Key],MATCH(0,INDEX(COUNTIF($A$1:A148,Txn[Key])+(Txn[Key]=""),0),0)),"")</f>
        <v/>
      </c>
      <c r="B149" s="243" t="str">
        <f t="shared" si="18"/>
        <v/>
      </c>
      <c r="C149" s="243" t="str">
        <f t="shared" si="19"/>
        <v/>
      </c>
      <c r="D149" s="243" t="str">
        <f t="shared" si="20"/>
        <v/>
      </c>
      <c r="E149" s="265" t="str">
        <f>IF($A149="","",SUMIFS(Txn[Signed Units],Txn[Key],$A149))</f>
        <v/>
      </c>
      <c r="F149" s="287" t="str">
        <f>IF($A149="","",SUMIFS(Txn[Buy Cost],Txn[Key],$A149))</f>
        <v/>
      </c>
      <c r="G149" s="287" t="str">
        <f>IF($A149="","",SUMIFS(Txn[Sell Proceeds],Txn[Key],$A149))</f>
        <v/>
      </c>
      <c r="H149" s="288" t="str">
        <f>IF($A149="","",IFERROR(INDEX(Prices[Current Price],MATCH($A149,Prices[Key],0)),0))</f>
        <v/>
      </c>
      <c r="I149" s="289" t="str">
        <f>IF($A149="","",IFERROR(INDEX(Prices[FX to SGD],MATCH($A149,Prices[Key],0)),1))</f>
        <v/>
      </c>
      <c r="J149" s="287" t="str">
        <f t="shared" si="21"/>
        <v/>
      </c>
      <c r="K149" s="287" t="str">
        <f t="shared" si="22"/>
        <v/>
      </c>
      <c r="L149" s="287" t="str">
        <f t="shared" si="23"/>
        <v/>
      </c>
      <c r="M149" s="290" t="str">
        <f t="shared" si="24"/>
        <v/>
      </c>
      <c r="N149" s="243" t="str">
        <f>IF($A149="","",IF(ABS(E149)&gt;0.000001,COUNT($N$1:N148)+1,""))</f>
        <v/>
      </c>
      <c r="O149" s="291" t="str">
        <f>IF($A149="","",SUMIFS(Transactions!$H$2:$H$1001,Transactions!$J$2:$J$1001,$A149,Transactions!$A$2:$A$1001,2)*$I149)</f>
        <v/>
      </c>
      <c r="P149" s="291" t="str">
        <f t="shared" si="25"/>
        <v/>
      </c>
      <c r="Q149" s="292" t="str">
        <f t="shared" si="26"/>
        <v/>
      </c>
    </row>
    <row r="150" spans="1:17" ht="15" customHeight="1" x14ac:dyDescent="0.2">
      <c r="A150" s="243" t="str">
        <f>IFERROR(INDEX(Txn[Key],MATCH(0,INDEX(COUNTIF($A$1:A149,Txn[Key])+(Txn[Key]=""),0),0)),"")</f>
        <v/>
      </c>
      <c r="B150" s="243" t="str">
        <f t="shared" si="18"/>
        <v/>
      </c>
      <c r="C150" s="243" t="str">
        <f t="shared" si="19"/>
        <v/>
      </c>
      <c r="D150" s="243" t="str">
        <f t="shared" si="20"/>
        <v/>
      </c>
      <c r="E150" s="265" t="str">
        <f>IF($A150="","",SUMIFS(Txn[Signed Units],Txn[Key],$A150))</f>
        <v/>
      </c>
      <c r="F150" s="287" t="str">
        <f>IF($A150="","",SUMIFS(Txn[Buy Cost],Txn[Key],$A150))</f>
        <v/>
      </c>
      <c r="G150" s="287" t="str">
        <f>IF($A150="","",SUMIFS(Txn[Sell Proceeds],Txn[Key],$A150))</f>
        <v/>
      </c>
      <c r="H150" s="288" t="str">
        <f>IF($A150="","",IFERROR(INDEX(Prices[Current Price],MATCH($A150,Prices[Key],0)),0))</f>
        <v/>
      </c>
      <c r="I150" s="289" t="str">
        <f>IF($A150="","",IFERROR(INDEX(Prices[FX to SGD],MATCH($A150,Prices[Key],0)),1))</f>
        <v/>
      </c>
      <c r="J150" s="287" t="str">
        <f t="shared" si="21"/>
        <v/>
      </c>
      <c r="K150" s="287" t="str">
        <f t="shared" si="22"/>
        <v/>
      </c>
      <c r="L150" s="287" t="str">
        <f t="shared" si="23"/>
        <v/>
      </c>
      <c r="M150" s="290" t="str">
        <f t="shared" si="24"/>
        <v/>
      </c>
      <c r="N150" s="243" t="str">
        <f>IF($A150="","",IF(ABS(E150)&gt;0.000001,COUNT($N$1:N149)+1,""))</f>
        <v/>
      </c>
      <c r="O150" s="291" t="str">
        <f>IF($A150="","",SUMIFS(Transactions!$H$2:$H$1001,Transactions!$J$2:$J$1001,$A150,Transactions!$A$2:$A$1001,2)*$I150)</f>
        <v/>
      </c>
      <c r="P150" s="291" t="str">
        <f t="shared" si="25"/>
        <v/>
      </c>
      <c r="Q150" s="292" t="str">
        <f t="shared" si="26"/>
        <v/>
      </c>
    </row>
    <row r="151" spans="1:17" ht="15" customHeight="1" x14ac:dyDescent="0.2">
      <c r="A151" s="243" t="str">
        <f>IFERROR(INDEX(Txn[Key],MATCH(0,INDEX(COUNTIF($A$1:A150,Txn[Key])+(Txn[Key]=""),0),0)),"")</f>
        <v/>
      </c>
      <c r="B151" s="243" t="str">
        <f t="shared" si="18"/>
        <v/>
      </c>
      <c r="C151" s="243" t="str">
        <f t="shared" si="19"/>
        <v/>
      </c>
      <c r="D151" s="243" t="str">
        <f t="shared" si="20"/>
        <v/>
      </c>
      <c r="E151" s="265" t="str">
        <f>IF($A151="","",SUMIFS(Txn[Signed Units],Txn[Key],$A151))</f>
        <v/>
      </c>
      <c r="F151" s="287" t="str">
        <f>IF($A151="","",SUMIFS(Txn[Buy Cost],Txn[Key],$A151))</f>
        <v/>
      </c>
      <c r="G151" s="287" t="str">
        <f>IF($A151="","",SUMIFS(Txn[Sell Proceeds],Txn[Key],$A151))</f>
        <v/>
      </c>
      <c r="H151" s="288" t="str">
        <f>IF($A151="","",IFERROR(INDEX(Prices[Current Price],MATCH($A151,Prices[Key],0)),0))</f>
        <v/>
      </c>
      <c r="I151" s="289" t="str">
        <f>IF($A151="","",IFERROR(INDEX(Prices[FX to SGD],MATCH($A151,Prices[Key],0)),1))</f>
        <v/>
      </c>
      <c r="J151" s="287" t="str">
        <f t="shared" si="21"/>
        <v/>
      </c>
      <c r="K151" s="287" t="str">
        <f t="shared" si="22"/>
        <v/>
      </c>
      <c r="L151" s="287" t="str">
        <f t="shared" si="23"/>
        <v/>
      </c>
      <c r="M151" s="290" t="str">
        <f t="shared" si="24"/>
        <v/>
      </c>
      <c r="N151" s="243" t="str">
        <f>IF($A151="","",IF(ABS(E151)&gt;0.000001,COUNT($N$1:N150)+1,""))</f>
        <v/>
      </c>
      <c r="O151" s="291" t="str">
        <f>IF($A151="","",SUMIFS(Transactions!$H$2:$H$1001,Transactions!$J$2:$J$1001,$A151,Transactions!$A$2:$A$1001,2)*$I151)</f>
        <v/>
      </c>
      <c r="P151" s="291" t="str">
        <f t="shared" si="25"/>
        <v/>
      </c>
      <c r="Q151" s="292" t="str">
        <f t="shared" si="26"/>
        <v/>
      </c>
    </row>
    <row r="152" spans="1:17" ht="15" customHeight="1" x14ac:dyDescent="0.2">
      <c r="A152" s="243" t="str">
        <f>IFERROR(INDEX(Txn[Key],MATCH(0,INDEX(COUNTIF($A$1:A151,Txn[Key])+(Txn[Key]=""),0),0)),"")</f>
        <v/>
      </c>
      <c r="B152" s="243" t="str">
        <f t="shared" si="18"/>
        <v/>
      </c>
      <c r="C152" s="243" t="str">
        <f t="shared" si="19"/>
        <v/>
      </c>
      <c r="D152" s="243" t="str">
        <f t="shared" si="20"/>
        <v/>
      </c>
      <c r="E152" s="265" t="str">
        <f>IF($A152="","",SUMIFS(Txn[Signed Units],Txn[Key],$A152))</f>
        <v/>
      </c>
      <c r="F152" s="287" t="str">
        <f>IF($A152="","",SUMIFS(Txn[Buy Cost],Txn[Key],$A152))</f>
        <v/>
      </c>
      <c r="G152" s="287" t="str">
        <f>IF($A152="","",SUMIFS(Txn[Sell Proceeds],Txn[Key],$A152))</f>
        <v/>
      </c>
      <c r="H152" s="288" t="str">
        <f>IF($A152="","",IFERROR(INDEX(Prices[Current Price],MATCH($A152,Prices[Key],0)),0))</f>
        <v/>
      </c>
      <c r="I152" s="289" t="str">
        <f>IF($A152="","",IFERROR(INDEX(Prices[FX to SGD],MATCH($A152,Prices[Key],0)),1))</f>
        <v/>
      </c>
      <c r="J152" s="287" t="str">
        <f t="shared" si="21"/>
        <v/>
      </c>
      <c r="K152" s="287" t="str">
        <f t="shared" si="22"/>
        <v/>
      </c>
      <c r="L152" s="287" t="str">
        <f t="shared" si="23"/>
        <v/>
      </c>
      <c r="M152" s="290" t="str">
        <f t="shared" si="24"/>
        <v/>
      </c>
      <c r="N152" s="243" t="str">
        <f>IF($A152="","",IF(ABS(E152)&gt;0.000001,COUNT($N$1:N151)+1,""))</f>
        <v/>
      </c>
      <c r="O152" s="291" t="str">
        <f>IF($A152="","",SUMIFS(Transactions!$H$2:$H$1001,Transactions!$J$2:$J$1001,$A152,Transactions!$A$2:$A$1001,2)*$I152)</f>
        <v/>
      </c>
      <c r="P152" s="291" t="str">
        <f t="shared" si="25"/>
        <v/>
      </c>
      <c r="Q152" s="292" t="str">
        <f t="shared" si="26"/>
        <v/>
      </c>
    </row>
    <row r="153" spans="1:17" ht="15" customHeight="1" x14ac:dyDescent="0.2">
      <c r="A153" s="243" t="str">
        <f>IFERROR(INDEX(Txn[Key],MATCH(0,INDEX(COUNTIF($A$1:A152,Txn[Key])+(Txn[Key]=""),0),0)),"")</f>
        <v/>
      </c>
      <c r="B153" s="243" t="str">
        <f t="shared" si="18"/>
        <v/>
      </c>
      <c r="C153" s="243" t="str">
        <f t="shared" si="19"/>
        <v/>
      </c>
      <c r="D153" s="243" t="str">
        <f t="shared" si="20"/>
        <v/>
      </c>
      <c r="E153" s="265" t="str">
        <f>IF($A153="","",SUMIFS(Txn[Signed Units],Txn[Key],$A153))</f>
        <v/>
      </c>
      <c r="F153" s="287" t="str">
        <f>IF($A153="","",SUMIFS(Txn[Buy Cost],Txn[Key],$A153))</f>
        <v/>
      </c>
      <c r="G153" s="287" t="str">
        <f>IF($A153="","",SUMIFS(Txn[Sell Proceeds],Txn[Key],$A153))</f>
        <v/>
      </c>
      <c r="H153" s="288" t="str">
        <f>IF($A153="","",IFERROR(INDEX(Prices[Current Price],MATCH($A153,Prices[Key],0)),0))</f>
        <v/>
      </c>
      <c r="I153" s="289" t="str">
        <f>IF($A153="","",IFERROR(INDEX(Prices[FX to SGD],MATCH($A153,Prices[Key],0)),1))</f>
        <v/>
      </c>
      <c r="J153" s="287" t="str">
        <f t="shared" si="21"/>
        <v/>
      </c>
      <c r="K153" s="287" t="str">
        <f t="shared" si="22"/>
        <v/>
      </c>
      <c r="L153" s="287" t="str">
        <f t="shared" si="23"/>
        <v/>
      </c>
      <c r="M153" s="290" t="str">
        <f t="shared" si="24"/>
        <v/>
      </c>
      <c r="N153" s="243" t="str">
        <f>IF($A153="","",IF(ABS(E153)&gt;0.000001,COUNT($N$1:N152)+1,""))</f>
        <v/>
      </c>
      <c r="O153" s="291" t="str">
        <f>IF($A153="","",SUMIFS(Transactions!$H$2:$H$1001,Transactions!$J$2:$J$1001,$A153,Transactions!$A$2:$A$1001,2)*$I153)</f>
        <v/>
      </c>
      <c r="P153" s="291" t="str">
        <f t="shared" si="25"/>
        <v/>
      </c>
      <c r="Q153" s="292" t="str">
        <f t="shared" si="26"/>
        <v/>
      </c>
    </row>
    <row r="154" spans="1:17" ht="15" customHeight="1" x14ac:dyDescent="0.2">
      <c r="A154" s="243" t="str">
        <f>IFERROR(INDEX(Txn[Key],MATCH(0,INDEX(COUNTIF($A$1:A153,Txn[Key])+(Txn[Key]=""),0),0)),"")</f>
        <v/>
      </c>
      <c r="B154" s="243" t="str">
        <f t="shared" si="18"/>
        <v/>
      </c>
      <c r="C154" s="243" t="str">
        <f t="shared" si="19"/>
        <v/>
      </c>
      <c r="D154" s="243" t="str">
        <f t="shared" si="20"/>
        <v/>
      </c>
      <c r="E154" s="265" t="str">
        <f>IF($A154="","",SUMIFS(Txn[Signed Units],Txn[Key],$A154))</f>
        <v/>
      </c>
      <c r="F154" s="287" t="str">
        <f>IF($A154="","",SUMIFS(Txn[Buy Cost],Txn[Key],$A154))</f>
        <v/>
      </c>
      <c r="G154" s="287" t="str">
        <f>IF($A154="","",SUMIFS(Txn[Sell Proceeds],Txn[Key],$A154))</f>
        <v/>
      </c>
      <c r="H154" s="288" t="str">
        <f>IF($A154="","",IFERROR(INDEX(Prices[Current Price],MATCH($A154,Prices[Key],0)),0))</f>
        <v/>
      </c>
      <c r="I154" s="289" t="str">
        <f>IF($A154="","",IFERROR(INDEX(Prices[FX to SGD],MATCH($A154,Prices[Key],0)),1))</f>
        <v/>
      </c>
      <c r="J154" s="287" t="str">
        <f t="shared" si="21"/>
        <v/>
      </c>
      <c r="K154" s="287" t="str">
        <f t="shared" si="22"/>
        <v/>
      </c>
      <c r="L154" s="287" t="str">
        <f t="shared" si="23"/>
        <v/>
      </c>
      <c r="M154" s="290" t="str">
        <f t="shared" si="24"/>
        <v/>
      </c>
      <c r="N154" s="243" t="str">
        <f>IF($A154="","",IF(ABS(E154)&gt;0.000001,COUNT($N$1:N153)+1,""))</f>
        <v/>
      </c>
      <c r="O154" s="291" t="str">
        <f>IF($A154="","",SUMIFS(Transactions!$H$2:$H$1001,Transactions!$J$2:$J$1001,$A154,Transactions!$A$2:$A$1001,2)*$I154)</f>
        <v/>
      </c>
      <c r="P154" s="291" t="str">
        <f t="shared" si="25"/>
        <v/>
      </c>
      <c r="Q154" s="292" t="str">
        <f t="shared" si="26"/>
        <v/>
      </c>
    </row>
    <row r="155" spans="1:17" ht="15" customHeight="1" x14ac:dyDescent="0.2">
      <c r="A155" s="243" t="str">
        <f>IFERROR(INDEX(Txn[Key],MATCH(0,INDEX(COUNTIF($A$1:A154,Txn[Key])+(Txn[Key]=""),0),0)),"")</f>
        <v/>
      </c>
      <c r="B155" s="243" t="str">
        <f t="shared" si="18"/>
        <v/>
      </c>
      <c r="C155" s="243" t="str">
        <f t="shared" si="19"/>
        <v/>
      </c>
      <c r="D155" s="243" t="str">
        <f t="shared" si="20"/>
        <v/>
      </c>
      <c r="E155" s="265" t="str">
        <f>IF($A155="","",SUMIFS(Txn[Signed Units],Txn[Key],$A155))</f>
        <v/>
      </c>
      <c r="F155" s="287" t="str">
        <f>IF($A155="","",SUMIFS(Txn[Buy Cost],Txn[Key],$A155))</f>
        <v/>
      </c>
      <c r="G155" s="287" t="str">
        <f>IF($A155="","",SUMIFS(Txn[Sell Proceeds],Txn[Key],$A155))</f>
        <v/>
      </c>
      <c r="H155" s="288" t="str">
        <f>IF($A155="","",IFERROR(INDEX(Prices[Current Price],MATCH($A155,Prices[Key],0)),0))</f>
        <v/>
      </c>
      <c r="I155" s="289" t="str">
        <f>IF($A155="","",IFERROR(INDEX(Prices[FX to SGD],MATCH($A155,Prices[Key],0)),1))</f>
        <v/>
      </c>
      <c r="J155" s="287" t="str">
        <f t="shared" si="21"/>
        <v/>
      </c>
      <c r="K155" s="287" t="str">
        <f t="shared" si="22"/>
        <v/>
      </c>
      <c r="L155" s="287" t="str">
        <f t="shared" si="23"/>
        <v/>
      </c>
      <c r="M155" s="290" t="str">
        <f t="shared" si="24"/>
        <v/>
      </c>
      <c r="N155" s="243" t="str">
        <f>IF($A155="","",IF(ABS(E155)&gt;0.000001,COUNT($N$1:N154)+1,""))</f>
        <v/>
      </c>
      <c r="O155" s="291" t="str">
        <f>IF($A155="","",SUMIFS(Transactions!$H$2:$H$1001,Transactions!$J$2:$J$1001,$A155,Transactions!$A$2:$A$1001,2)*$I155)</f>
        <v/>
      </c>
      <c r="P155" s="291" t="str">
        <f t="shared" si="25"/>
        <v/>
      </c>
      <c r="Q155" s="292" t="str">
        <f t="shared" si="26"/>
        <v/>
      </c>
    </row>
    <row r="156" spans="1:17" ht="15" customHeight="1" x14ac:dyDescent="0.2">
      <c r="A156" s="243" t="str">
        <f>IFERROR(INDEX(Txn[Key],MATCH(0,INDEX(COUNTIF($A$1:A155,Txn[Key])+(Txn[Key]=""),0),0)),"")</f>
        <v/>
      </c>
      <c r="B156" s="243" t="str">
        <f t="shared" si="18"/>
        <v/>
      </c>
      <c r="C156" s="243" t="str">
        <f t="shared" si="19"/>
        <v/>
      </c>
      <c r="D156" s="243" t="str">
        <f t="shared" si="20"/>
        <v/>
      </c>
      <c r="E156" s="265" t="str">
        <f>IF($A156="","",SUMIFS(Txn[Signed Units],Txn[Key],$A156))</f>
        <v/>
      </c>
      <c r="F156" s="287" t="str">
        <f>IF($A156="","",SUMIFS(Txn[Buy Cost],Txn[Key],$A156))</f>
        <v/>
      </c>
      <c r="G156" s="287" t="str">
        <f>IF($A156="","",SUMIFS(Txn[Sell Proceeds],Txn[Key],$A156))</f>
        <v/>
      </c>
      <c r="H156" s="288" t="str">
        <f>IF($A156="","",IFERROR(INDEX(Prices[Current Price],MATCH($A156,Prices[Key],0)),0))</f>
        <v/>
      </c>
      <c r="I156" s="289" t="str">
        <f>IF($A156="","",IFERROR(INDEX(Prices[FX to SGD],MATCH($A156,Prices[Key],0)),1))</f>
        <v/>
      </c>
      <c r="J156" s="287" t="str">
        <f t="shared" si="21"/>
        <v/>
      </c>
      <c r="K156" s="287" t="str">
        <f t="shared" si="22"/>
        <v/>
      </c>
      <c r="L156" s="287" t="str">
        <f t="shared" si="23"/>
        <v/>
      </c>
      <c r="M156" s="290" t="str">
        <f t="shared" si="24"/>
        <v/>
      </c>
      <c r="N156" s="243" t="str">
        <f>IF($A156="","",IF(ABS(E156)&gt;0.000001,COUNT($N$1:N155)+1,""))</f>
        <v/>
      </c>
      <c r="O156" s="291" t="str">
        <f>IF($A156="","",SUMIFS(Transactions!$H$2:$H$1001,Transactions!$J$2:$J$1001,$A156,Transactions!$A$2:$A$1001,2)*$I156)</f>
        <v/>
      </c>
      <c r="P156" s="291" t="str">
        <f t="shared" si="25"/>
        <v/>
      </c>
      <c r="Q156" s="292" t="str">
        <f t="shared" si="26"/>
        <v/>
      </c>
    </row>
    <row r="157" spans="1:17" ht="15" customHeight="1" x14ac:dyDescent="0.2">
      <c r="A157" s="243" t="str">
        <f>IFERROR(INDEX(Txn[Key],MATCH(0,INDEX(COUNTIF($A$1:A156,Txn[Key])+(Txn[Key]=""),0),0)),"")</f>
        <v/>
      </c>
      <c r="B157" s="243" t="str">
        <f t="shared" si="18"/>
        <v/>
      </c>
      <c r="C157" s="243" t="str">
        <f t="shared" si="19"/>
        <v/>
      </c>
      <c r="D157" s="243" t="str">
        <f t="shared" si="20"/>
        <v/>
      </c>
      <c r="E157" s="265" t="str">
        <f>IF($A157="","",SUMIFS(Txn[Signed Units],Txn[Key],$A157))</f>
        <v/>
      </c>
      <c r="F157" s="287" t="str">
        <f>IF($A157="","",SUMIFS(Txn[Buy Cost],Txn[Key],$A157))</f>
        <v/>
      </c>
      <c r="G157" s="287" t="str">
        <f>IF($A157="","",SUMIFS(Txn[Sell Proceeds],Txn[Key],$A157))</f>
        <v/>
      </c>
      <c r="H157" s="288" t="str">
        <f>IF($A157="","",IFERROR(INDEX(Prices[Current Price],MATCH($A157,Prices[Key],0)),0))</f>
        <v/>
      </c>
      <c r="I157" s="289" t="str">
        <f>IF($A157="","",IFERROR(INDEX(Prices[FX to SGD],MATCH($A157,Prices[Key],0)),1))</f>
        <v/>
      </c>
      <c r="J157" s="287" t="str">
        <f t="shared" si="21"/>
        <v/>
      </c>
      <c r="K157" s="287" t="str">
        <f t="shared" si="22"/>
        <v/>
      </c>
      <c r="L157" s="287" t="str">
        <f t="shared" si="23"/>
        <v/>
      </c>
      <c r="M157" s="290" t="str">
        <f t="shared" si="24"/>
        <v/>
      </c>
      <c r="N157" s="243" t="str">
        <f>IF($A157="","",IF(ABS(E157)&gt;0.000001,COUNT($N$1:N156)+1,""))</f>
        <v/>
      </c>
      <c r="O157" s="291" t="str">
        <f>IF($A157="","",SUMIFS(Transactions!$H$2:$H$1001,Transactions!$J$2:$J$1001,$A157,Transactions!$A$2:$A$1001,2)*$I157)</f>
        <v/>
      </c>
      <c r="P157" s="291" t="str">
        <f t="shared" si="25"/>
        <v/>
      </c>
      <c r="Q157" s="292" t="str">
        <f t="shared" si="26"/>
        <v/>
      </c>
    </row>
    <row r="158" spans="1:17" ht="15" customHeight="1" x14ac:dyDescent="0.2">
      <c r="A158" s="243" t="str">
        <f>IFERROR(INDEX(Txn[Key],MATCH(0,INDEX(COUNTIF($A$1:A157,Txn[Key])+(Txn[Key]=""),0),0)),"")</f>
        <v/>
      </c>
      <c r="B158" s="243" t="str">
        <f t="shared" si="18"/>
        <v/>
      </c>
      <c r="C158" s="243" t="str">
        <f t="shared" si="19"/>
        <v/>
      </c>
      <c r="D158" s="243" t="str">
        <f t="shared" si="20"/>
        <v/>
      </c>
      <c r="E158" s="265" t="str">
        <f>IF($A158="","",SUMIFS(Txn[Signed Units],Txn[Key],$A158))</f>
        <v/>
      </c>
      <c r="F158" s="287" t="str">
        <f>IF($A158="","",SUMIFS(Txn[Buy Cost],Txn[Key],$A158))</f>
        <v/>
      </c>
      <c r="G158" s="287" t="str">
        <f>IF($A158="","",SUMIFS(Txn[Sell Proceeds],Txn[Key],$A158))</f>
        <v/>
      </c>
      <c r="H158" s="288" t="str">
        <f>IF($A158="","",IFERROR(INDEX(Prices[Current Price],MATCH($A158,Prices[Key],0)),0))</f>
        <v/>
      </c>
      <c r="I158" s="289" t="str">
        <f>IF($A158="","",IFERROR(INDEX(Prices[FX to SGD],MATCH($A158,Prices[Key],0)),1))</f>
        <v/>
      </c>
      <c r="J158" s="287" t="str">
        <f t="shared" si="21"/>
        <v/>
      </c>
      <c r="K158" s="287" t="str">
        <f t="shared" si="22"/>
        <v/>
      </c>
      <c r="L158" s="287" t="str">
        <f t="shared" si="23"/>
        <v/>
      </c>
      <c r="M158" s="290" t="str">
        <f t="shared" si="24"/>
        <v/>
      </c>
      <c r="N158" s="243" t="str">
        <f>IF($A158="","",IF(ABS(E158)&gt;0.000001,COUNT($N$1:N157)+1,""))</f>
        <v/>
      </c>
      <c r="O158" s="291" t="str">
        <f>IF($A158="","",SUMIFS(Transactions!$H$2:$H$1001,Transactions!$J$2:$J$1001,$A158,Transactions!$A$2:$A$1001,2)*$I158)</f>
        <v/>
      </c>
      <c r="P158" s="291" t="str">
        <f t="shared" si="25"/>
        <v/>
      </c>
      <c r="Q158" s="292" t="str">
        <f t="shared" si="26"/>
        <v/>
      </c>
    </row>
    <row r="159" spans="1:17" ht="15" customHeight="1" x14ac:dyDescent="0.2">
      <c r="A159" s="243" t="str">
        <f>IFERROR(INDEX(Txn[Key],MATCH(0,INDEX(COUNTIF($A$1:A158,Txn[Key])+(Txn[Key]=""),0),0)),"")</f>
        <v/>
      </c>
      <c r="B159" s="243" t="str">
        <f t="shared" si="18"/>
        <v/>
      </c>
      <c r="C159" s="243" t="str">
        <f t="shared" si="19"/>
        <v/>
      </c>
      <c r="D159" s="243" t="str">
        <f t="shared" si="20"/>
        <v/>
      </c>
      <c r="E159" s="265" t="str">
        <f>IF($A159="","",SUMIFS(Txn[Signed Units],Txn[Key],$A159))</f>
        <v/>
      </c>
      <c r="F159" s="287" t="str">
        <f>IF($A159="","",SUMIFS(Txn[Buy Cost],Txn[Key],$A159))</f>
        <v/>
      </c>
      <c r="G159" s="287" t="str">
        <f>IF($A159="","",SUMIFS(Txn[Sell Proceeds],Txn[Key],$A159))</f>
        <v/>
      </c>
      <c r="H159" s="288" t="str">
        <f>IF($A159="","",IFERROR(INDEX(Prices[Current Price],MATCH($A159,Prices[Key],0)),0))</f>
        <v/>
      </c>
      <c r="I159" s="289" t="str">
        <f>IF($A159="","",IFERROR(INDEX(Prices[FX to SGD],MATCH($A159,Prices[Key],0)),1))</f>
        <v/>
      </c>
      <c r="J159" s="287" t="str">
        <f t="shared" si="21"/>
        <v/>
      </c>
      <c r="K159" s="287" t="str">
        <f t="shared" si="22"/>
        <v/>
      </c>
      <c r="L159" s="287" t="str">
        <f t="shared" si="23"/>
        <v/>
      </c>
      <c r="M159" s="290" t="str">
        <f t="shared" si="24"/>
        <v/>
      </c>
      <c r="N159" s="243" t="str">
        <f>IF($A159="","",IF(ABS(E159)&gt;0.000001,COUNT($N$1:N158)+1,""))</f>
        <v/>
      </c>
      <c r="O159" s="291" t="str">
        <f>IF($A159="","",SUMIFS(Transactions!$H$2:$H$1001,Transactions!$J$2:$J$1001,$A159,Transactions!$A$2:$A$1001,2)*$I159)</f>
        <v/>
      </c>
      <c r="P159" s="291" t="str">
        <f t="shared" si="25"/>
        <v/>
      </c>
      <c r="Q159" s="292" t="str">
        <f t="shared" si="26"/>
        <v/>
      </c>
    </row>
    <row r="160" spans="1:17" ht="15" customHeight="1" x14ac:dyDescent="0.2">
      <c r="A160" s="243" t="str">
        <f>IFERROR(INDEX(Txn[Key],MATCH(0,INDEX(COUNTIF($A$1:A159,Txn[Key])+(Txn[Key]=""),0),0)),"")</f>
        <v/>
      </c>
      <c r="B160" s="243" t="str">
        <f t="shared" si="18"/>
        <v/>
      </c>
      <c r="C160" s="243" t="str">
        <f t="shared" si="19"/>
        <v/>
      </c>
      <c r="D160" s="243" t="str">
        <f t="shared" si="20"/>
        <v/>
      </c>
      <c r="E160" s="265" t="str">
        <f>IF($A160="","",SUMIFS(Txn[Signed Units],Txn[Key],$A160))</f>
        <v/>
      </c>
      <c r="F160" s="287" t="str">
        <f>IF($A160="","",SUMIFS(Txn[Buy Cost],Txn[Key],$A160))</f>
        <v/>
      </c>
      <c r="G160" s="287" t="str">
        <f>IF($A160="","",SUMIFS(Txn[Sell Proceeds],Txn[Key],$A160))</f>
        <v/>
      </c>
      <c r="H160" s="288" t="str">
        <f>IF($A160="","",IFERROR(INDEX(Prices[Current Price],MATCH($A160,Prices[Key],0)),0))</f>
        <v/>
      </c>
      <c r="I160" s="289" t="str">
        <f>IF($A160="","",IFERROR(INDEX(Prices[FX to SGD],MATCH($A160,Prices[Key],0)),1))</f>
        <v/>
      </c>
      <c r="J160" s="287" t="str">
        <f t="shared" si="21"/>
        <v/>
      </c>
      <c r="K160" s="287" t="str">
        <f t="shared" si="22"/>
        <v/>
      </c>
      <c r="L160" s="287" t="str">
        <f t="shared" si="23"/>
        <v/>
      </c>
      <c r="M160" s="290" t="str">
        <f t="shared" si="24"/>
        <v/>
      </c>
      <c r="N160" s="243" t="str">
        <f>IF($A160="","",IF(ABS(E160)&gt;0.000001,COUNT($N$1:N159)+1,""))</f>
        <v/>
      </c>
      <c r="O160" s="291" t="str">
        <f>IF($A160="","",SUMIFS(Transactions!$H$2:$H$1001,Transactions!$J$2:$J$1001,$A160,Transactions!$A$2:$A$1001,2)*$I160)</f>
        <v/>
      </c>
      <c r="P160" s="291" t="str">
        <f t="shared" si="25"/>
        <v/>
      </c>
      <c r="Q160" s="292" t="str">
        <f t="shared" si="26"/>
        <v/>
      </c>
    </row>
    <row r="161" spans="1:17" ht="15" customHeight="1" x14ac:dyDescent="0.2">
      <c r="A161" s="243" t="str">
        <f>IFERROR(INDEX(Txn[Key],MATCH(0,INDEX(COUNTIF($A$1:A160,Txn[Key])+(Txn[Key]=""),0),0)),"")</f>
        <v/>
      </c>
      <c r="B161" s="243" t="str">
        <f t="shared" si="18"/>
        <v/>
      </c>
      <c r="C161" s="243" t="str">
        <f t="shared" si="19"/>
        <v/>
      </c>
      <c r="D161" s="243" t="str">
        <f t="shared" si="20"/>
        <v/>
      </c>
      <c r="E161" s="265" t="str">
        <f>IF($A161="","",SUMIFS(Txn[Signed Units],Txn[Key],$A161))</f>
        <v/>
      </c>
      <c r="F161" s="287" t="str">
        <f>IF($A161="","",SUMIFS(Txn[Buy Cost],Txn[Key],$A161))</f>
        <v/>
      </c>
      <c r="G161" s="287" t="str">
        <f>IF($A161="","",SUMIFS(Txn[Sell Proceeds],Txn[Key],$A161))</f>
        <v/>
      </c>
      <c r="H161" s="288" t="str">
        <f>IF($A161="","",IFERROR(INDEX(Prices[Current Price],MATCH($A161,Prices[Key],0)),0))</f>
        <v/>
      </c>
      <c r="I161" s="289" t="str">
        <f>IF($A161="","",IFERROR(INDEX(Prices[FX to SGD],MATCH($A161,Prices[Key],0)),1))</f>
        <v/>
      </c>
      <c r="J161" s="287" t="str">
        <f t="shared" si="21"/>
        <v/>
      </c>
      <c r="K161" s="287" t="str">
        <f t="shared" si="22"/>
        <v/>
      </c>
      <c r="L161" s="287" t="str">
        <f t="shared" si="23"/>
        <v/>
      </c>
      <c r="M161" s="290" t="str">
        <f t="shared" si="24"/>
        <v/>
      </c>
      <c r="N161" s="243" t="str">
        <f>IF($A161="","",IF(ABS(E161)&gt;0.000001,COUNT($N$1:N160)+1,""))</f>
        <v/>
      </c>
      <c r="O161" s="291" t="str">
        <f>IF($A161="","",SUMIFS(Transactions!$H$2:$H$1001,Transactions!$J$2:$J$1001,$A161,Transactions!$A$2:$A$1001,2)*$I161)</f>
        <v/>
      </c>
      <c r="P161" s="291" t="str">
        <f t="shared" si="25"/>
        <v/>
      </c>
      <c r="Q161" s="292" t="str">
        <f t="shared" si="26"/>
        <v/>
      </c>
    </row>
    <row r="162" spans="1:17" ht="15" customHeight="1" x14ac:dyDescent="0.2">
      <c r="A162" s="243" t="str">
        <f>IFERROR(INDEX(Txn[Key],MATCH(0,INDEX(COUNTIF($A$1:A161,Txn[Key])+(Txn[Key]=""),0),0)),"")</f>
        <v/>
      </c>
      <c r="B162" s="243" t="str">
        <f t="shared" si="18"/>
        <v/>
      </c>
      <c r="C162" s="243" t="str">
        <f t="shared" si="19"/>
        <v/>
      </c>
      <c r="D162" s="243" t="str">
        <f t="shared" si="20"/>
        <v/>
      </c>
      <c r="E162" s="265" t="str">
        <f>IF($A162="","",SUMIFS(Txn[Signed Units],Txn[Key],$A162))</f>
        <v/>
      </c>
      <c r="F162" s="287" t="str">
        <f>IF($A162="","",SUMIFS(Txn[Buy Cost],Txn[Key],$A162))</f>
        <v/>
      </c>
      <c r="G162" s="287" t="str">
        <f>IF($A162="","",SUMIFS(Txn[Sell Proceeds],Txn[Key],$A162))</f>
        <v/>
      </c>
      <c r="H162" s="288" t="str">
        <f>IF($A162="","",IFERROR(INDEX(Prices[Current Price],MATCH($A162,Prices[Key],0)),0))</f>
        <v/>
      </c>
      <c r="I162" s="289" t="str">
        <f>IF($A162="","",IFERROR(INDEX(Prices[FX to SGD],MATCH($A162,Prices[Key],0)),1))</f>
        <v/>
      </c>
      <c r="J162" s="287" t="str">
        <f t="shared" si="21"/>
        <v/>
      </c>
      <c r="K162" s="287" t="str">
        <f t="shared" si="22"/>
        <v/>
      </c>
      <c r="L162" s="287" t="str">
        <f t="shared" si="23"/>
        <v/>
      </c>
      <c r="M162" s="290" t="str">
        <f t="shared" si="24"/>
        <v/>
      </c>
      <c r="N162" s="243" t="str">
        <f>IF($A162="","",IF(ABS(E162)&gt;0.000001,COUNT($N$1:N161)+1,""))</f>
        <v/>
      </c>
      <c r="O162" s="291" t="str">
        <f>IF($A162="","",SUMIFS(Transactions!$H$2:$H$1001,Transactions!$J$2:$J$1001,$A162,Transactions!$A$2:$A$1001,2)*$I162)</f>
        <v/>
      </c>
      <c r="P162" s="291" t="str">
        <f t="shared" si="25"/>
        <v/>
      </c>
      <c r="Q162" s="292" t="str">
        <f t="shared" si="26"/>
        <v/>
      </c>
    </row>
    <row r="163" spans="1:17" ht="15" customHeight="1" x14ac:dyDescent="0.2">
      <c r="A163" s="243" t="str">
        <f>IFERROR(INDEX(Txn[Key],MATCH(0,INDEX(COUNTIF($A$1:A162,Txn[Key])+(Txn[Key]=""),0),0)),"")</f>
        <v/>
      </c>
      <c r="B163" s="243" t="str">
        <f t="shared" si="18"/>
        <v/>
      </c>
      <c r="C163" s="243" t="str">
        <f t="shared" si="19"/>
        <v/>
      </c>
      <c r="D163" s="243" t="str">
        <f t="shared" si="20"/>
        <v/>
      </c>
      <c r="E163" s="265" t="str">
        <f>IF($A163="","",SUMIFS(Txn[Signed Units],Txn[Key],$A163))</f>
        <v/>
      </c>
      <c r="F163" s="287" t="str">
        <f>IF($A163="","",SUMIFS(Txn[Buy Cost],Txn[Key],$A163))</f>
        <v/>
      </c>
      <c r="G163" s="287" t="str">
        <f>IF($A163="","",SUMIFS(Txn[Sell Proceeds],Txn[Key],$A163))</f>
        <v/>
      </c>
      <c r="H163" s="288" t="str">
        <f>IF($A163="","",IFERROR(INDEX(Prices[Current Price],MATCH($A163,Prices[Key],0)),0))</f>
        <v/>
      </c>
      <c r="I163" s="289" t="str">
        <f>IF($A163="","",IFERROR(INDEX(Prices[FX to SGD],MATCH($A163,Prices[Key],0)),1))</f>
        <v/>
      </c>
      <c r="J163" s="287" t="str">
        <f t="shared" si="21"/>
        <v/>
      </c>
      <c r="K163" s="287" t="str">
        <f t="shared" si="22"/>
        <v/>
      </c>
      <c r="L163" s="287" t="str">
        <f t="shared" si="23"/>
        <v/>
      </c>
      <c r="M163" s="290" t="str">
        <f t="shared" si="24"/>
        <v/>
      </c>
      <c r="N163" s="243" t="str">
        <f>IF($A163="","",IF(ABS(E163)&gt;0.000001,COUNT($N$1:N162)+1,""))</f>
        <v/>
      </c>
      <c r="O163" s="291" t="str">
        <f>IF($A163="","",SUMIFS(Transactions!$H$2:$H$1001,Transactions!$J$2:$J$1001,$A163,Transactions!$A$2:$A$1001,2)*$I163)</f>
        <v/>
      </c>
      <c r="P163" s="291" t="str">
        <f t="shared" si="25"/>
        <v/>
      </c>
      <c r="Q163" s="292" t="str">
        <f t="shared" si="26"/>
        <v/>
      </c>
    </row>
    <row r="164" spans="1:17" ht="15" customHeight="1" x14ac:dyDescent="0.2">
      <c r="A164" s="243" t="str">
        <f>IFERROR(INDEX(Txn[Key],MATCH(0,INDEX(COUNTIF($A$1:A163,Txn[Key])+(Txn[Key]=""),0),0)),"")</f>
        <v/>
      </c>
      <c r="B164" s="243" t="str">
        <f t="shared" si="18"/>
        <v/>
      </c>
      <c r="C164" s="243" t="str">
        <f t="shared" si="19"/>
        <v/>
      </c>
      <c r="D164" s="243" t="str">
        <f t="shared" si="20"/>
        <v/>
      </c>
      <c r="E164" s="265" t="str">
        <f>IF($A164="","",SUMIFS(Txn[Signed Units],Txn[Key],$A164))</f>
        <v/>
      </c>
      <c r="F164" s="287" t="str">
        <f>IF($A164="","",SUMIFS(Txn[Buy Cost],Txn[Key],$A164))</f>
        <v/>
      </c>
      <c r="G164" s="287" t="str">
        <f>IF($A164="","",SUMIFS(Txn[Sell Proceeds],Txn[Key],$A164))</f>
        <v/>
      </c>
      <c r="H164" s="288" t="str">
        <f>IF($A164="","",IFERROR(INDEX(Prices[Current Price],MATCH($A164,Prices[Key],0)),0))</f>
        <v/>
      </c>
      <c r="I164" s="289" t="str">
        <f>IF($A164="","",IFERROR(INDEX(Prices[FX to SGD],MATCH($A164,Prices[Key],0)),1))</f>
        <v/>
      </c>
      <c r="J164" s="287" t="str">
        <f t="shared" si="21"/>
        <v/>
      </c>
      <c r="K164" s="287" t="str">
        <f t="shared" si="22"/>
        <v/>
      </c>
      <c r="L164" s="287" t="str">
        <f t="shared" si="23"/>
        <v/>
      </c>
      <c r="M164" s="290" t="str">
        <f t="shared" si="24"/>
        <v/>
      </c>
      <c r="N164" s="243" t="str">
        <f>IF($A164="","",IF(ABS(E164)&gt;0.000001,COUNT($N$1:N163)+1,""))</f>
        <v/>
      </c>
      <c r="O164" s="291" t="str">
        <f>IF($A164="","",SUMIFS(Transactions!$H$2:$H$1001,Transactions!$J$2:$J$1001,$A164,Transactions!$A$2:$A$1001,2)*$I164)</f>
        <v/>
      </c>
      <c r="P164" s="291" t="str">
        <f t="shared" si="25"/>
        <v/>
      </c>
      <c r="Q164" s="292" t="str">
        <f t="shared" si="26"/>
        <v/>
      </c>
    </row>
    <row r="165" spans="1:17" ht="15" customHeight="1" x14ac:dyDescent="0.2">
      <c r="A165" s="243" t="str">
        <f>IFERROR(INDEX(Txn[Key],MATCH(0,INDEX(COUNTIF($A$1:A164,Txn[Key])+(Txn[Key]=""),0),0)),"")</f>
        <v/>
      </c>
      <c r="B165" s="243" t="str">
        <f t="shared" si="18"/>
        <v/>
      </c>
      <c r="C165" s="243" t="str">
        <f t="shared" si="19"/>
        <v/>
      </c>
      <c r="D165" s="243" t="str">
        <f t="shared" si="20"/>
        <v/>
      </c>
      <c r="E165" s="265" t="str">
        <f>IF($A165="","",SUMIFS(Txn[Signed Units],Txn[Key],$A165))</f>
        <v/>
      </c>
      <c r="F165" s="287" t="str">
        <f>IF($A165="","",SUMIFS(Txn[Buy Cost],Txn[Key],$A165))</f>
        <v/>
      </c>
      <c r="G165" s="287" t="str">
        <f>IF($A165="","",SUMIFS(Txn[Sell Proceeds],Txn[Key],$A165))</f>
        <v/>
      </c>
      <c r="H165" s="288" t="str">
        <f>IF($A165="","",IFERROR(INDEX(Prices[Current Price],MATCH($A165,Prices[Key],0)),0))</f>
        <v/>
      </c>
      <c r="I165" s="289" t="str">
        <f>IF($A165="","",IFERROR(INDEX(Prices[FX to SGD],MATCH($A165,Prices[Key],0)),1))</f>
        <v/>
      </c>
      <c r="J165" s="287" t="str">
        <f t="shared" si="21"/>
        <v/>
      </c>
      <c r="K165" s="287" t="str">
        <f t="shared" si="22"/>
        <v/>
      </c>
      <c r="L165" s="287" t="str">
        <f t="shared" si="23"/>
        <v/>
      </c>
      <c r="M165" s="290" t="str">
        <f t="shared" si="24"/>
        <v/>
      </c>
      <c r="N165" s="243" t="str">
        <f>IF($A165="","",IF(ABS(E165)&gt;0.000001,COUNT($N$1:N164)+1,""))</f>
        <v/>
      </c>
      <c r="O165" s="291" t="str">
        <f>IF($A165="","",SUMIFS(Transactions!$H$2:$H$1001,Transactions!$J$2:$J$1001,$A165,Transactions!$A$2:$A$1001,2)*$I165)</f>
        <v/>
      </c>
      <c r="P165" s="291" t="str">
        <f t="shared" si="25"/>
        <v/>
      </c>
      <c r="Q165" s="292" t="str">
        <f t="shared" si="26"/>
        <v/>
      </c>
    </row>
    <row r="166" spans="1:17" ht="15" customHeight="1" x14ac:dyDescent="0.2">
      <c r="A166" s="243" t="str">
        <f>IFERROR(INDEX(Txn[Key],MATCH(0,INDEX(COUNTIF($A$1:A165,Txn[Key])+(Txn[Key]=""),0),0)),"")</f>
        <v/>
      </c>
      <c r="B166" s="243" t="str">
        <f t="shared" si="18"/>
        <v/>
      </c>
      <c r="C166" s="243" t="str">
        <f t="shared" si="19"/>
        <v/>
      </c>
      <c r="D166" s="243" t="str">
        <f t="shared" si="20"/>
        <v/>
      </c>
      <c r="E166" s="265" t="str">
        <f>IF($A166="","",SUMIFS(Txn[Signed Units],Txn[Key],$A166))</f>
        <v/>
      </c>
      <c r="F166" s="287" t="str">
        <f>IF($A166="","",SUMIFS(Txn[Buy Cost],Txn[Key],$A166))</f>
        <v/>
      </c>
      <c r="G166" s="287" t="str">
        <f>IF($A166="","",SUMIFS(Txn[Sell Proceeds],Txn[Key],$A166))</f>
        <v/>
      </c>
      <c r="H166" s="288" t="str">
        <f>IF($A166="","",IFERROR(INDEX(Prices[Current Price],MATCH($A166,Prices[Key],0)),0))</f>
        <v/>
      </c>
      <c r="I166" s="289" t="str">
        <f>IF($A166="","",IFERROR(INDEX(Prices[FX to SGD],MATCH($A166,Prices[Key],0)),1))</f>
        <v/>
      </c>
      <c r="J166" s="287" t="str">
        <f t="shared" si="21"/>
        <v/>
      </c>
      <c r="K166" s="287" t="str">
        <f t="shared" si="22"/>
        <v/>
      </c>
      <c r="L166" s="287" t="str">
        <f t="shared" si="23"/>
        <v/>
      </c>
      <c r="M166" s="290" t="str">
        <f t="shared" si="24"/>
        <v/>
      </c>
      <c r="N166" s="243" t="str">
        <f>IF($A166="","",IF(ABS(E166)&gt;0.000001,COUNT($N$1:N165)+1,""))</f>
        <v/>
      </c>
      <c r="O166" s="291" t="str">
        <f>IF($A166="","",SUMIFS(Transactions!$H$2:$H$1001,Transactions!$J$2:$J$1001,$A166,Transactions!$A$2:$A$1001,2)*$I166)</f>
        <v/>
      </c>
      <c r="P166" s="291" t="str">
        <f t="shared" si="25"/>
        <v/>
      </c>
      <c r="Q166" s="292" t="str">
        <f t="shared" si="26"/>
        <v/>
      </c>
    </row>
    <row r="167" spans="1:17" ht="15" customHeight="1" x14ac:dyDescent="0.2">
      <c r="A167" s="243" t="str">
        <f>IFERROR(INDEX(Txn[Key],MATCH(0,INDEX(COUNTIF($A$1:A166,Txn[Key])+(Txn[Key]=""),0),0)),"")</f>
        <v/>
      </c>
      <c r="B167" s="243" t="str">
        <f t="shared" si="18"/>
        <v/>
      </c>
      <c r="C167" s="243" t="str">
        <f t="shared" si="19"/>
        <v/>
      </c>
      <c r="D167" s="243" t="str">
        <f t="shared" si="20"/>
        <v/>
      </c>
      <c r="E167" s="265" t="str">
        <f>IF($A167="","",SUMIFS(Txn[Signed Units],Txn[Key],$A167))</f>
        <v/>
      </c>
      <c r="F167" s="287" t="str">
        <f>IF($A167="","",SUMIFS(Txn[Buy Cost],Txn[Key],$A167))</f>
        <v/>
      </c>
      <c r="G167" s="287" t="str">
        <f>IF($A167="","",SUMIFS(Txn[Sell Proceeds],Txn[Key],$A167))</f>
        <v/>
      </c>
      <c r="H167" s="288" t="str">
        <f>IF($A167="","",IFERROR(INDEX(Prices[Current Price],MATCH($A167,Prices[Key],0)),0))</f>
        <v/>
      </c>
      <c r="I167" s="289" t="str">
        <f>IF($A167="","",IFERROR(INDEX(Prices[FX to SGD],MATCH($A167,Prices[Key],0)),1))</f>
        <v/>
      </c>
      <c r="J167" s="287" t="str">
        <f t="shared" si="21"/>
        <v/>
      </c>
      <c r="K167" s="287" t="str">
        <f t="shared" si="22"/>
        <v/>
      </c>
      <c r="L167" s="287" t="str">
        <f t="shared" si="23"/>
        <v/>
      </c>
      <c r="M167" s="290" t="str">
        <f t="shared" si="24"/>
        <v/>
      </c>
      <c r="N167" s="243" t="str">
        <f>IF($A167="","",IF(ABS(E167)&gt;0.000001,COUNT($N$1:N166)+1,""))</f>
        <v/>
      </c>
      <c r="O167" s="291" t="str">
        <f>IF($A167="","",SUMIFS(Transactions!$H$2:$H$1001,Transactions!$J$2:$J$1001,$A167,Transactions!$A$2:$A$1001,2)*$I167)</f>
        <v/>
      </c>
      <c r="P167" s="291" t="str">
        <f t="shared" si="25"/>
        <v/>
      </c>
      <c r="Q167" s="292" t="str">
        <f t="shared" si="26"/>
        <v/>
      </c>
    </row>
    <row r="168" spans="1:17" ht="15" customHeight="1" x14ac:dyDescent="0.2">
      <c r="A168" s="243" t="str">
        <f>IFERROR(INDEX(Txn[Key],MATCH(0,INDEX(COUNTIF($A$1:A167,Txn[Key])+(Txn[Key]=""),0),0)),"")</f>
        <v/>
      </c>
      <c r="B168" s="243" t="str">
        <f t="shared" si="18"/>
        <v/>
      </c>
      <c r="C168" s="243" t="str">
        <f t="shared" si="19"/>
        <v/>
      </c>
      <c r="D168" s="243" t="str">
        <f t="shared" si="20"/>
        <v/>
      </c>
      <c r="E168" s="265" t="str">
        <f>IF($A168="","",SUMIFS(Txn[Signed Units],Txn[Key],$A168))</f>
        <v/>
      </c>
      <c r="F168" s="287" t="str">
        <f>IF($A168="","",SUMIFS(Txn[Buy Cost],Txn[Key],$A168))</f>
        <v/>
      </c>
      <c r="G168" s="287" t="str">
        <f>IF($A168="","",SUMIFS(Txn[Sell Proceeds],Txn[Key],$A168))</f>
        <v/>
      </c>
      <c r="H168" s="288" t="str">
        <f>IF($A168="","",IFERROR(INDEX(Prices[Current Price],MATCH($A168,Prices[Key],0)),0))</f>
        <v/>
      </c>
      <c r="I168" s="289" t="str">
        <f>IF($A168="","",IFERROR(INDEX(Prices[FX to SGD],MATCH($A168,Prices[Key],0)),1))</f>
        <v/>
      </c>
      <c r="J168" s="287" t="str">
        <f t="shared" si="21"/>
        <v/>
      </c>
      <c r="K168" s="287" t="str">
        <f t="shared" si="22"/>
        <v/>
      </c>
      <c r="L168" s="287" t="str">
        <f t="shared" si="23"/>
        <v/>
      </c>
      <c r="M168" s="290" t="str">
        <f t="shared" si="24"/>
        <v/>
      </c>
      <c r="N168" s="243" t="str">
        <f>IF($A168="","",IF(ABS(E168)&gt;0.000001,COUNT($N$1:N167)+1,""))</f>
        <v/>
      </c>
      <c r="O168" s="291" t="str">
        <f>IF($A168="","",SUMIFS(Transactions!$H$2:$H$1001,Transactions!$J$2:$J$1001,$A168,Transactions!$A$2:$A$1001,2)*$I168)</f>
        <v/>
      </c>
      <c r="P168" s="291" t="str">
        <f t="shared" si="25"/>
        <v/>
      </c>
      <c r="Q168" s="292" t="str">
        <f t="shared" si="26"/>
        <v/>
      </c>
    </row>
    <row r="169" spans="1:17" ht="15" customHeight="1" x14ac:dyDescent="0.2">
      <c r="A169" s="243" t="str">
        <f>IFERROR(INDEX(Txn[Key],MATCH(0,INDEX(COUNTIF($A$1:A168,Txn[Key])+(Txn[Key]=""),0),0)),"")</f>
        <v/>
      </c>
      <c r="B169" s="243" t="str">
        <f t="shared" si="18"/>
        <v/>
      </c>
      <c r="C169" s="243" t="str">
        <f t="shared" si="19"/>
        <v/>
      </c>
      <c r="D169" s="243" t="str">
        <f t="shared" si="20"/>
        <v/>
      </c>
      <c r="E169" s="265" t="str">
        <f>IF($A169="","",SUMIFS(Txn[Signed Units],Txn[Key],$A169))</f>
        <v/>
      </c>
      <c r="F169" s="287" t="str">
        <f>IF($A169="","",SUMIFS(Txn[Buy Cost],Txn[Key],$A169))</f>
        <v/>
      </c>
      <c r="G169" s="287" t="str">
        <f>IF($A169="","",SUMIFS(Txn[Sell Proceeds],Txn[Key],$A169))</f>
        <v/>
      </c>
      <c r="H169" s="288" t="str">
        <f>IF($A169="","",IFERROR(INDEX(Prices[Current Price],MATCH($A169,Prices[Key],0)),0))</f>
        <v/>
      </c>
      <c r="I169" s="289" t="str">
        <f>IF($A169="","",IFERROR(INDEX(Prices[FX to SGD],MATCH($A169,Prices[Key],0)),1))</f>
        <v/>
      </c>
      <c r="J169" s="287" t="str">
        <f t="shared" si="21"/>
        <v/>
      </c>
      <c r="K169" s="287" t="str">
        <f t="shared" si="22"/>
        <v/>
      </c>
      <c r="L169" s="287" t="str">
        <f t="shared" si="23"/>
        <v/>
      </c>
      <c r="M169" s="290" t="str">
        <f t="shared" si="24"/>
        <v/>
      </c>
      <c r="N169" s="243" t="str">
        <f>IF($A169="","",IF(ABS(E169)&gt;0.000001,COUNT($N$1:N168)+1,""))</f>
        <v/>
      </c>
      <c r="O169" s="291" t="str">
        <f>IF($A169="","",SUMIFS(Transactions!$H$2:$H$1001,Transactions!$J$2:$J$1001,$A169,Transactions!$A$2:$A$1001,2)*$I169)</f>
        <v/>
      </c>
      <c r="P169" s="291" t="str">
        <f t="shared" si="25"/>
        <v/>
      </c>
      <c r="Q169" s="292" t="str">
        <f t="shared" si="26"/>
        <v/>
      </c>
    </row>
    <row r="170" spans="1:17" ht="15" customHeight="1" x14ac:dyDescent="0.2">
      <c r="A170" s="243" t="str">
        <f>IFERROR(INDEX(Txn[Key],MATCH(0,INDEX(COUNTIF($A$1:A169,Txn[Key])+(Txn[Key]=""),0),0)),"")</f>
        <v/>
      </c>
      <c r="B170" s="243" t="str">
        <f t="shared" si="18"/>
        <v/>
      </c>
      <c r="C170" s="243" t="str">
        <f t="shared" si="19"/>
        <v/>
      </c>
      <c r="D170" s="243" t="str">
        <f t="shared" si="20"/>
        <v/>
      </c>
      <c r="E170" s="265" t="str">
        <f>IF($A170="","",SUMIFS(Txn[Signed Units],Txn[Key],$A170))</f>
        <v/>
      </c>
      <c r="F170" s="287" t="str">
        <f>IF($A170="","",SUMIFS(Txn[Buy Cost],Txn[Key],$A170))</f>
        <v/>
      </c>
      <c r="G170" s="287" t="str">
        <f>IF($A170="","",SUMIFS(Txn[Sell Proceeds],Txn[Key],$A170))</f>
        <v/>
      </c>
      <c r="H170" s="288" t="str">
        <f>IF($A170="","",IFERROR(INDEX(Prices[Current Price],MATCH($A170,Prices[Key],0)),0))</f>
        <v/>
      </c>
      <c r="I170" s="289" t="str">
        <f>IF($A170="","",IFERROR(INDEX(Prices[FX to SGD],MATCH($A170,Prices[Key],0)),1))</f>
        <v/>
      </c>
      <c r="J170" s="287" t="str">
        <f t="shared" si="21"/>
        <v/>
      </c>
      <c r="K170" s="287" t="str">
        <f t="shared" si="22"/>
        <v/>
      </c>
      <c r="L170" s="287" t="str">
        <f t="shared" si="23"/>
        <v/>
      </c>
      <c r="M170" s="290" t="str">
        <f t="shared" si="24"/>
        <v/>
      </c>
      <c r="N170" s="243" t="str">
        <f>IF($A170="","",IF(ABS(E170)&gt;0.000001,COUNT($N$1:N169)+1,""))</f>
        <v/>
      </c>
      <c r="O170" s="291" t="str">
        <f>IF($A170="","",SUMIFS(Transactions!$H$2:$H$1001,Transactions!$J$2:$J$1001,$A170,Transactions!$A$2:$A$1001,2)*$I170)</f>
        <v/>
      </c>
      <c r="P170" s="291" t="str">
        <f t="shared" si="25"/>
        <v/>
      </c>
      <c r="Q170" s="292" t="str">
        <f t="shared" si="26"/>
        <v/>
      </c>
    </row>
    <row r="171" spans="1:17" ht="15" customHeight="1" x14ac:dyDescent="0.2">
      <c r="A171" s="243" t="str">
        <f>IFERROR(INDEX(Txn[Key],MATCH(0,INDEX(COUNTIF($A$1:A170,Txn[Key])+(Txn[Key]=""),0),0)),"")</f>
        <v/>
      </c>
      <c r="B171" s="243" t="str">
        <f t="shared" si="18"/>
        <v/>
      </c>
      <c r="C171" s="243" t="str">
        <f t="shared" si="19"/>
        <v/>
      </c>
      <c r="D171" s="243" t="str">
        <f t="shared" si="20"/>
        <v/>
      </c>
      <c r="E171" s="265" t="str">
        <f>IF($A171="","",SUMIFS(Txn[Signed Units],Txn[Key],$A171))</f>
        <v/>
      </c>
      <c r="F171" s="287" t="str">
        <f>IF($A171="","",SUMIFS(Txn[Buy Cost],Txn[Key],$A171))</f>
        <v/>
      </c>
      <c r="G171" s="287" t="str">
        <f>IF($A171="","",SUMIFS(Txn[Sell Proceeds],Txn[Key],$A171))</f>
        <v/>
      </c>
      <c r="H171" s="288" t="str">
        <f>IF($A171="","",IFERROR(INDEX(Prices[Current Price],MATCH($A171,Prices[Key],0)),0))</f>
        <v/>
      </c>
      <c r="I171" s="289" t="str">
        <f>IF($A171="","",IFERROR(INDEX(Prices[FX to SGD],MATCH($A171,Prices[Key],0)),1))</f>
        <v/>
      </c>
      <c r="J171" s="287" t="str">
        <f t="shared" si="21"/>
        <v/>
      </c>
      <c r="K171" s="287" t="str">
        <f t="shared" si="22"/>
        <v/>
      </c>
      <c r="L171" s="287" t="str">
        <f t="shared" si="23"/>
        <v/>
      </c>
      <c r="M171" s="290" t="str">
        <f t="shared" si="24"/>
        <v/>
      </c>
      <c r="N171" s="243" t="str">
        <f>IF($A171="","",IF(ABS(E171)&gt;0.000001,COUNT($N$1:N170)+1,""))</f>
        <v/>
      </c>
      <c r="O171" s="291" t="str">
        <f>IF($A171="","",SUMIFS(Transactions!$H$2:$H$1001,Transactions!$J$2:$J$1001,$A171,Transactions!$A$2:$A$1001,2)*$I171)</f>
        <v/>
      </c>
      <c r="P171" s="291" t="str">
        <f t="shared" si="25"/>
        <v/>
      </c>
      <c r="Q171" s="292" t="str">
        <f t="shared" si="26"/>
        <v/>
      </c>
    </row>
    <row r="172" spans="1:17" ht="15" customHeight="1" x14ac:dyDescent="0.2">
      <c r="A172" s="243" t="str">
        <f>IFERROR(INDEX(Txn[Key],MATCH(0,INDEX(COUNTIF($A$1:A171,Txn[Key])+(Txn[Key]=""),0),0)),"")</f>
        <v/>
      </c>
      <c r="B172" s="243" t="str">
        <f t="shared" si="18"/>
        <v/>
      </c>
      <c r="C172" s="243" t="str">
        <f t="shared" si="19"/>
        <v/>
      </c>
      <c r="D172" s="243" t="str">
        <f t="shared" si="20"/>
        <v/>
      </c>
      <c r="E172" s="265" t="str">
        <f>IF($A172="","",SUMIFS(Txn[Signed Units],Txn[Key],$A172))</f>
        <v/>
      </c>
      <c r="F172" s="287" t="str">
        <f>IF($A172="","",SUMIFS(Txn[Buy Cost],Txn[Key],$A172))</f>
        <v/>
      </c>
      <c r="G172" s="287" t="str">
        <f>IF($A172="","",SUMIFS(Txn[Sell Proceeds],Txn[Key],$A172))</f>
        <v/>
      </c>
      <c r="H172" s="288" t="str">
        <f>IF($A172="","",IFERROR(INDEX(Prices[Current Price],MATCH($A172,Prices[Key],0)),0))</f>
        <v/>
      </c>
      <c r="I172" s="289" t="str">
        <f>IF($A172="","",IFERROR(INDEX(Prices[FX to SGD],MATCH($A172,Prices[Key],0)),1))</f>
        <v/>
      </c>
      <c r="J172" s="287" t="str">
        <f t="shared" si="21"/>
        <v/>
      </c>
      <c r="K172" s="287" t="str">
        <f t="shared" si="22"/>
        <v/>
      </c>
      <c r="L172" s="287" t="str">
        <f t="shared" si="23"/>
        <v/>
      </c>
      <c r="M172" s="290" t="str">
        <f t="shared" si="24"/>
        <v/>
      </c>
      <c r="N172" s="243" t="str">
        <f>IF($A172="","",IF(ABS(E172)&gt;0.000001,COUNT($N$1:N171)+1,""))</f>
        <v/>
      </c>
      <c r="O172" s="291" t="str">
        <f>IF($A172="","",SUMIFS(Transactions!$H$2:$H$1001,Transactions!$J$2:$J$1001,$A172,Transactions!$A$2:$A$1001,2)*$I172)</f>
        <v/>
      </c>
      <c r="P172" s="291" t="str">
        <f t="shared" si="25"/>
        <v/>
      </c>
      <c r="Q172" s="292" t="str">
        <f t="shared" si="26"/>
        <v/>
      </c>
    </row>
    <row r="173" spans="1:17" ht="15" customHeight="1" x14ac:dyDescent="0.2">
      <c r="A173" s="243" t="str">
        <f>IFERROR(INDEX(Txn[Key],MATCH(0,INDEX(COUNTIF($A$1:A172,Txn[Key])+(Txn[Key]=""),0),0)),"")</f>
        <v/>
      </c>
      <c r="B173" s="243" t="str">
        <f t="shared" si="18"/>
        <v/>
      </c>
      <c r="C173" s="243" t="str">
        <f t="shared" si="19"/>
        <v/>
      </c>
      <c r="D173" s="243" t="str">
        <f t="shared" si="20"/>
        <v/>
      </c>
      <c r="E173" s="265" t="str">
        <f>IF($A173="","",SUMIFS(Txn[Signed Units],Txn[Key],$A173))</f>
        <v/>
      </c>
      <c r="F173" s="287" t="str">
        <f>IF($A173="","",SUMIFS(Txn[Buy Cost],Txn[Key],$A173))</f>
        <v/>
      </c>
      <c r="G173" s="287" t="str">
        <f>IF($A173="","",SUMIFS(Txn[Sell Proceeds],Txn[Key],$A173))</f>
        <v/>
      </c>
      <c r="H173" s="288" t="str">
        <f>IF($A173="","",IFERROR(INDEX(Prices[Current Price],MATCH($A173,Prices[Key],0)),0))</f>
        <v/>
      </c>
      <c r="I173" s="289" t="str">
        <f>IF($A173="","",IFERROR(INDEX(Prices[FX to SGD],MATCH($A173,Prices[Key],0)),1))</f>
        <v/>
      </c>
      <c r="J173" s="287" t="str">
        <f t="shared" si="21"/>
        <v/>
      </c>
      <c r="K173" s="287" t="str">
        <f t="shared" si="22"/>
        <v/>
      </c>
      <c r="L173" s="287" t="str">
        <f t="shared" si="23"/>
        <v/>
      </c>
      <c r="M173" s="290" t="str">
        <f t="shared" si="24"/>
        <v/>
      </c>
      <c r="N173" s="243" t="str">
        <f>IF($A173="","",IF(ABS(E173)&gt;0.000001,COUNT($N$1:N172)+1,""))</f>
        <v/>
      </c>
      <c r="O173" s="291" t="str">
        <f>IF($A173="","",SUMIFS(Transactions!$H$2:$H$1001,Transactions!$J$2:$J$1001,$A173,Transactions!$A$2:$A$1001,2)*$I173)</f>
        <v/>
      </c>
      <c r="P173" s="291" t="str">
        <f t="shared" si="25"/>
        <v/>
      </c>
      <c r="Q173" s="292" t="str">
        <f t="shared" si="26"/>
        <v/>
      </c>
    </row>
    <row r="174" spans="1:17" ht="15" customHeight="1" x14ac:dyDescent="0.2">
      <c r="A174" s="243" t="str">
        <f>IFERROR(INDEX(Txn[Key],MATCH(0,INDEX(COUNTIF($A$1:A173,Txn[Key])+(Txn[Key]=""),0),0)),"")</f>
        <v/>
      </c>
      <c r="B174" s="243" t="str">
        <f t="shared" si="18"/>
        <v/>
      </c>
      <c r="C174" s="243" t="str">
        <f t="shared" si="19"/>
        <v/>
      </c>
      <c r="D174" s="243" t="str">
        <f t="shared" si="20"/>
        <v/>
      </c>
      <c r="E174" s="265" t="str">
        <f>IF($A174="","",SUMIFS(Txn[Signed Units],Txn[Key],$A174))</f>
        <v/>
      </c>
      <c r="F174" s="287" t="str">
        <f>IF($A174="","",SUMIFS(Txn[Buy Cost],Txn[Key],$A174))</f>
        <v/>
      </c>
      <c r="G174" s="287" t="str">
        <f>IF($A174="","",SUMIFS(Txn[Sell Proceeds],Txn[Key],$A174))</f>
        <v/>
      </c>
      <c r="H174" s="288" t="str">
        <f>IF($A174="","",IFERROR(INDEX(Prices[Current Price],MATCH($A174,Prices[Key],0)),0))</f>
        <v/>
      </c>
      <c r="I174" s="289" t="str">
        <f>IF($A174="","",IFERROR(INDEX(Prices[FX to SGD],MATCH($A174,Prices[Key],0)),1))</f>
        <v/>
      </c>
      <c r="J174" s="287" t="str">
        <f t="shared" si="21"/>
        <v/>
      </c>
      <c r="K174" s="287" t="str">
        <f t="shared" si="22"/>
        <v/>
      </c>
      <c r="L174" s="287" t="str">
        <f t="shared" si="23"/>
        <v/>
      </c>
      <c r="M174" s="290" t="str">
        <f t="shared" si="24"/>
        <v/>
      </c>
      <c r="N174" s="243" t="str">
        <f>IF($A174="","",IF(ABS(E174)&gt;0.000001,COUNT($N$1:N173)+1,""))</f>
        <v/>
      </c>
      <c r="O174" s="291" t="str">
        <f>IF($A174="","",SUMIFS(Transactions!$H$2:$H$1001,Transactions!$J$2:$J$1001,$A174,Transactions!$A$2:$A$1001,2)*$I174)</f>
        <v/>
      </c>
      <c r="P174" s="291" t="str">
        <f t="shared" si="25"/>
        <v/>
      </c>
      <c r="Q174" s="292" t="str">
        <f t="shared" si="26"/>
        <v/>
      </c>
    </row>
    <row r="175" spans="1:17" ht="15" customHeight="1" x14ac:dyDescent="0.2">
      <c r="A175" s="243" t="str">
        <f>IFERROR(INDEX(Txn[Key],MATCH(0,INDEX(COUNTIF($A$1:A174,Txn[Key])+(Txn[Key]=""),0),0)),"")</f>
        <v/>
      </c>
      <c r="B175" s="243" t="str">
        <f t="shared" si="18"/>
        <v/>
      </c>
      <c r="C175" s="243" t="str">
        <f t="shared" si="19"/>
        <v/>
      </c>
      <c r="D175" s="243" t="str">
        <f t="shared" si="20"/>
        <v/>
      </c>
      <c r="E175" s="265" t="str">
        <f>IF($A175="","",SUMIFS(Txn[Signed Units],Txn[Key],$A175))</f>
        <v/>
      </c>
      <c r="F175" s="287" t="str">
        <f>IF($A175="","",SUMIFS(Txn[Buy Cost],Txn[Key],$A175))</f>
        <v/>
      </c>
      <c r="G175" s="287" t="str">
        <f>IF($A175="","",SUMIFS(Txn[Sell Proceeds],Txn[Key],$A175))</f>
        <v/>
      </c>
      <c r="H175" s="288" t="str">
        <f>IF($A175="","",IFERROR(INDEX(Prices[Current Price],MATCH($A175,Prices[Key],0)),0))</f>
        <v/>
      </c>
      <c r="I175" s="289" t="str">
        <f>IF($A175="","",IFERROR(INDEX(Prices[FX to SGD],MATCH($A175,Prices[Key],0)),1))</f>
        <v/>
      </c>
      <c r="J175" s="287" t="str">
        <f t="shared" si="21"/>
        <v/>
      </c>
      <c r="K175" s="287" t="str">
        <f t="shared" si="22"/>
        <v/>
      </c>
      <c r="L175" s="287" t="str">
        <f t="shared" si="23"/>
        <v/>
      </c>
      <c r="M175" s="290" t="str">
        <f t="shared" si="24"/>
        <v/>
      </c>
      <c r="N175" s="243" t="str">
        <f>IF($A175="","",IF(ABS(E175)&gt;0.000001,COUNT($N$1:N174)+1,""))</f>
        <v/>
      </c>
      <c r="O175" s="291" t="str">
        <f>IF($A175="","",SUMIFS(Transactions!$H$2:$H$1001,Transactions!$J$2:$J$1001,$A175,Transactions!$A$2:$A$1001,2)*$I175)</f>
        <v/>
      </c>
      <c r="P175" s="291" t="str">
        <f t="shared" si="25"/>
        <v/>
      </c>
      <c r="Q175" s="292" t="str">
        <f t="shared" si="26"/>
        <v/>
      </c>
    </row>
    <row r="176" spans="1:17" ht="15" customHeight="1" x14ac:dyDescent="0.2">
      <c r="A176" s="243" t="str">
        <f>IFERROR(INDEX(Txn[Key],MATCH(0,INDEX(COUNTIF($A$1:A175,Txn[Key])+(Txn[Key]=""),0),0)),"")</f>
        <v/>
      </c>
      <c r="B176" s="243" t="str">
        <f t="shared" si="18"/>
        <v/>
      </c>
      <c r="C176" s="243" t="str">
        <f t="shared" si="19"/>
        <v/>
      </c>
      <c r="D176" s="243" t="str">
        <f t="shared" si="20"/>
        <v/>
      </c>
      <c r="E176" s="265" t="str">
        <f>IF($A176="","",SUMIFS(Txn[Signed Units],Txn[Key],$A176))</f>
        <v/>
      </c>
      <c r="F176" s="287" t="str">
        <f>IF($A176="","",SUMIFS(Txn[Buy Cost],Txn[Key],$A176))</f>
        <v/>
      </c>
      <c r="G176" s="287" t="str">
        <f>IF($A176="","",SUMIFS(Txn[Sell Proceeds],Txn[Key],$A176))</f>
        <v/>
      </c>
      <c r="H176" s="288" t="str">
        <f>IF($A176="","",IFERROR(INDEX(Prices[Current Price],MATCH($A176,Prices[Key],0)),0))</f>
        <v/>
      </c>
      <c r="I176" s="289" t="str">
        <f>IF($A176="","",IFERROR(INDEX(Prices[FX to SGD],MATCH($A176,Prices[Key],0)),1))</f>
        <v/>
      </c>
      <c r="J176" s="287" t="str">
        <f t="shared" si="21"/>
        <v/>
      </c>
      <c r="K176" s="287" t="str">
        <f t="shared" si="22"/>
        <v/>
      </c>
      <c r="L176" s="287" t="str">
        <f t="shared" si="23"/>
        <v/>
      </c>
      <c r="M176" s="290" t="str">
        <f t="shared" si="24"/>
        <v/>
      </c>
      <c r="N176" s="243" t="str">
        <f>IF($A176="","",IF(ABS(E176)&gt;0.000001,COUNT($N$1:N175)+1,""))</f>
        <v/>
      </c>
      <c r="O176" s="291" t="str">
        <f>IF($A176="","",SUMIFS(Transactions!$H$2:$H$1001,Transactions!$J$2:$J$1001,$A176,Transactions!$A$2:$A$1001,2)*$I176)</f>
        <v/>
      </c>
      <c r="P176" s="291" t="str">
        <f t="shared" si="25"/>
        <v/>
      </c>
      <c r="Q176" s="292" t="str">
        <f t="shared" si="26"/>
        <v/>
      </c>
    </row>
    <row r="177" spans="1:17" ht="15" customHeight="1" x14ac:dyDescent="0.2">
      <c r="A177" s="243" t="str">
        <f>IFERROR(INDEX(Txn[Key],MATCH(0,INDEX(COUNTIF($A$1:A176,Txn[Key])+(Txn[Key]=""),0),0)),"")</f>
        <v/>
      </c>
      <c r="B177" s="243" t="str">
        <f t="shared" si="18"/>
        <v/>
      </c>
      <c r="C177" s="243" t="str">
        <f t="shared" si="19"/>
        <v/>
      </c>
      <c r="D177" s="243" t="str">
        <f t="shared" si="20"/>
        <v/>
      </c>
      <c r="E177" s="265" t="str">
        <f>IF($A177="","",SUMIFS(Txn[Signed Units],Txn[Key],$A177))</f>
        <v/>
      </c>
      <c r="F177" s="287" t="str">
        <f>IF($A177="","",SUMIFS(Txn[Buy Cost],Txn[Key],$A177))</f>
        <v/>
      </c>
      <c r="G177" s="287" t="str">
        <f>IF($A177="","",SUMIFS(Txn[Sell Proceeds],Txn[Key],$A177))</f>
        <v/>
      </c>
      <c r="H177" s="288" t="str">
        <f>IF($A177="","",IFERROR(INDEX(Prices[Current Price],MATCH($A177,Prices[Key],0)),0))</f>
        <v/>
      </c>
      <c r="I177" s="289" t="str">
        <f>IF($A177="","",IFERROR(INDEX(Prices[FX to SGD],MATCH($A177,Prices[Key],0)),1))</f>
        <v/>
      </c>
      <c r="J177" s="287" t="str">
        <f t="shared" si="21"/>
        <v/>
      </c>
      <c r="K177" s="287" t="str">
        <f t="shared" si="22"/>
        <v/>
      </c>
      <c r="L177" s="287" t="str">
        <f t="shared" si="23"/>
        <v/>
      </c>
      <c r="M177" s="290" t="str">
        <f t="shared" si="24"/>
        <v/>
      </c>
      <c r="N177" s="243" t="str">
        <f>IF($A177="","",IF(ABS(E177)&gt;0.000001,COUNT($N$1:N176)+1,""))</f>
        <v/>
      </c>
      <c r="O177" s="291" t="str">
        <f>IF($A177="","",SUMIFS(Transactions!$H$2:$H$1001,Transactions!$J$2:$J$1001,$A177,Transactions!$A$2:$A$1001,2)*$I177)</f>
        <v/>
      </c>
      <c r="P177" s="291" t="str">
        <f t="shared" si="25"/>
        <v/>
      </c>
      <c r="Q177" s="292" t="str">
        <f t="shared" si="26"/>
        <v/>
      </c>
    </row>
    <row r="178" spans="1:17" ht="15" customHeight="1" x14ac:dyDescent="0.2">
      <c r="A178" s="243" t="str">
        <f>IFERROR(INDEX(Txn[Key],MATCH(0,INDEX(COUNTIF($A$1:A177,Txn[Key])+(Txn[Key]=""),0),0)),"")</f>
        <v/>
      </c>
      <c r="B178" s="243" t="str">
        <f t="shared" si="18"/>
        <v/>
      </c>
      <c r="C178" s="243" t="str">
        <f t="shared" si="19"/>
        <v/>
      </c>
      <c r="D178" s="243" t="str">
        <f t="shared" si="20"/>
        <v/>
      </c>
      <c r="E178" s="265" t="str">
        <f>IF($A178="","",SUMIFS(Txn[Signed Units],Txn[Key],$A178))</f>
        <v/>
      </c>
      <c r="F178" s="287" t="str">
        <f>IF($A178="","",SUMIFS(Txn[Buy Cost],Txn[Key],$A178))</f>
        <v/>
      </c>
      <c r="G178" s="287" t="str">
        <f>IF($A178="","",SUMIFS(Txn[Sell Proceeds],Txn[Key],$A178))</f>
        <v/>
      </c>
      <c r="H178" s="288" t="str">
        <f>IF($A178="","",IFERROR(INDEX(Prices[Current Price],MATCH($A178,Prices[Key],0)),0))</f>
        <v/>
      </c>
      <c r="I178" s="289" t="str">
        <f>IF($A178="","",IFERROR(INDEX(Prices[FX to SGD],MATCH($A178,Prices[Key],0)),1))</f>
        <v/>
      </c>
      <c r="J178" s="287" t="str">
        <f t="shared" si="21"/>
        <v/>
      </c>
      <c r="K178" s="287" t="str">
        <f t="shared" si="22"/>
        <v/>
      </c>
      <c r="L178" s="287" t="str">
        <f t="shared" si="23"/>
        <v/>
      </c>
      <c r="M178" s="290" t="str">
        <f t="shared" si="24"/>
        <v/>
      </c>
      <c r="N178" s="243" t="str">
        <f>IF($A178="","",IF(ABS(E178)&gt;0.000001,COUNT($N$1:N177)+1,""))</f>
        <v/>
      </c>
      <c r="O178" s="291" t="str">
        <f>IF($A178="","",SUMIFS(Transactions!$H$2:$H$1001,Transactions!$J$2:$J$1001,$A178,Transactions!$A$2:$A$1001,2)*$I178)</f>
        <v/>
      </c>
      <c r="P178" s="291" t="str">
        <f t="shared" si="25"/>
        <v/>
      </c>
      <c r="Q178" s="292" t="str">
        <f t="shared" si="26"/>
        <v/>
      </c>
    </row>
    <row r="179" spans="1:17" ht="15" customHeight="1" x14ac:dyDescent="0.2">
      <c r="A179" s="243" t="str">
        <f>IFERROR(INDEX(Txn[Key],MATCH(0,INDEX(COUNTIF($A$1:A178,Txn[Key])+(Txn[Key]=""),0),0)),"")</f>
        <v/>
      </c>
      <c r="B179" s="243" t="str">
        <f t="shared" si="18"/>
        <v/>
      </c>
      <c r="C179" s="243" t="str">
        <f t="shared" si="19"/>
        <v/>
      </c>
      <c r="D179" s="243" t="str">
        <f t="shared" si="20"/>
        <v/>
      </c>
      <c r="E179" s="265" t="str">
        <f>IF($A179="","",SUMIFS(Txn[Signed Units],Txn[Key],$A179))</f>
        <v/>
      </c>
      <c r="F179" s="287" t="str">
        <f>IF($A179="","",SUMIFS(Txn[Buy Cost],Txn[Key],$A179))</f>
        <v/>
      </c>
      <c r="G179" s="287" t="str">
        <f>IF($A179="","",SUMIFS(Txn[Sell Proceeds],Txn[Key],$A179))</f>
        <v/>
      </c>
      <c r="H179" s="288" t="str">
        <f>IF($A179="","",IFERROR(INDEX(Prices[Current Price],MATCH($A179,Prices[Key],0)),0))</f>
        <v/>
      </c>
      <c r="I179" s="289" t="str">
        <f>IF($A179="","",IFERROR(INDEX(Prices[FX to SGD],MATCH($A179,Prices[Key],0)),1))</f>
        <v/>
      </c>
      <c r="J179" s="287" t="str">
        <f t="shared" si="21"/>
        <v/>
      </c>
      <c r="K179" s="287" t="str">
        <f t="shared" si="22"/>
        <v/>
      </c>
      <c r="L179" s="287" t="str">
        <f t="shared" si="23"/>
        <v/>
      </c>
      <c r="M179" s="290" t="str">
        <f t="shared" si="24"/>
        <v/>
      </c>
      <c r="N179" s="243" t="str">
        <f>IF($A179="","",IF(ABS(E179)&gt;0.000001,COUNT($N$1:N178)+1,""))</f>
        <v/>
      </c>
      <c r="O179" s="291" t="str">
        <f>IF($A179="","",SUMIFS(Transactions!$H$2:$H$1001,Transactions!$J$2:$J$1001,$A179,Transactions!$A$2:$A$1001,2)*$I179)</f>
        <v/>
      </c>
      <c r="P179" s="291" t="str">
        <f t="shared" si="25"/>
        <v/>
      </c>
      <c r="Q179" s="292" t="str">
        <f t="shared" si="26"/>
        <v/>
      </c>
    </row>
    <row r="180" spans="1:17" ht="15" customHeight="1" x14ac:dyDescent="0.2">
      <c r="A180" s="243" t="str">
        <f>IFERROR(INDEX(Txn[Key],MATCH(0,INDEX(COUNTIF($A$1:A179,Txn[Key])+(Txn[Key]=""),0),0)),"")</f>
        <v/>
      </c>
      <c r="B180" s="243" t="str">
        <f t="shared" si="18"/>
        <v/>
      </c>
      <c r="C180" s="243" t="str">
        <f t="shared" si="19"/>
        <v/>
      </c>
      <c r="D180" s="243" t="str">
        <f t="shared" si="20"/>
        <v/>
      </c>
      <c r="E180" s="265" t="str">
        <f>IF($A180="","",SUMIFS(Txn[Signed Units],Txn[Key],$A180))</f>
        <v/>
      </c>
      <c r="F180" s="287" t="str">
        <f>IF($A180="","",SUMIFS(Txn[Buy Cost],Txn[Key],$A180))</f>
        <v/>
      </c>
      <c r="G180" s="287" t="str">
        <f>IF($A180="","",SUMIFS(Txn[Sell Proceeds],Txn[Key],$A180))</f>
        <v/>
      </c>
      <c r="H180" s="288" t="str">
        <f>IF($A180="","",IFERROR(INDEX(Prices[Current Price],MATCH($A180,Prices[Key],0)),0))</f>
        <v/>
      </c>
      <c r="I180" s="289" t="str">
        <f>IF($A180="","",IFERROR(INDEX(Prices[FX to SGD],MATCH($A180,Prices[Key],0)),1))</f>
        <v/>
      </c>
      <c r="J180" s="287" t="str">
        <f t="shared" si="21"/>
        <v/>
      </c>
      <c r="K180" s="287" t="str">
        <f t="shared" si="22"/>
        <v/>
      </c>
      <c r="L180" s="287" t="str">
        <f t="shared" si="23"/>
        <v/>
      </c>
      <c r="M180" s="290" t="str">
        <f t="shared" si="24"/>
        <v/>
      </c>
      <c r="N180" s="243" t="str">
        <f>IF($A180="","",IF(ABS(E180)&gt;0.000001,COUNT($N$1:N179)+1,""))</f>
        <v/>
      </c>
      <c r="O180" s="291" t="str">
        <f>IF($A180="","",SUMIFS(Transactions!$H$2:$H$1001,Transactions!$J$2:$J$1001,$A180,Transactions!$A$2:$A$1001,2)*$I180)</f>
        <v/>
      </c>
      <c r="P180" s="291" t="str">
        <f t="shared" si="25"/>
        <v/>
      </c>
      <c r="Q180" s="292" t="str">
        <f t="shared" si="26"/>
        <v/>
      </c>
    </row>
    <row r="181" spans="1:17" ht="15" customHeight="1" x14ac:dyDescent="0.2">
      <c r="A181" s="243" t="str">
        <f>IFERROR(INDEX(Txn[Key],MATCH(0,INDEX(COUNTIF($A$1:A180,Txn[Key])+(Txn[Key]=""),0),0)),"")</f>
        <v/>
      </c>
      <c r="B181" s="243" t="str">
        <f t="shared" si="18"/>
        <v/>
      </c>
      <c r="C181" s="243" t="str">
        <f t="shared" si="19"/>
        <v/>
      </c>
      <c r="D181" s="243" t="str">
        <f t="shared" si="20"/>
        <v/>
      </c>
      <c r="E181" s="265" t="str">
        <f>IF($A181="","",SUMIFS(Txn[Signed Units],Txn[Key],$A181))</f>
        <v/>
      </c>
      <c r="F181" s="287" t="str">
        <f>IF($A181="","",SUMIFS(Txn[Buy Cost],Txn[Key],$A181))</f>
        <v/>
      </c>
      <c r="G181" s="287" t="str">
        <f>IF($A181="","",SUMIFS(Txn[Sell Proceeds],Txn[Key],$A181))</f>
        <v/>
      </c>
      <c r="H181" s="288" t="str">
        <f>IF($A181="","",IFERROR(INDEX(Prices[Current Price],MATCH($A181,Prices[Key],0)),0))</f>
        <v/>
      </c>
      <c r="I181" s="289" t="str">
        <f>IF($A181="","",IFERROR(INDEX(Prices[FX to SGD],MATCH($A181,Prices[Key],0)),1))</f>
        <v/>
      </c>
      <c r="J181" s="287" t="str">
        <f t="shared" si="21"/>
        <v/>
      </c>
      <c r="K181" s="287" t="str">
        <f t="shared" si="22"/>
        <v/>
      </c>
      <c r="L181" s="287" t="str">
        <f t="shared" si="23"/>
        <v/>
      </c>
      <c r="M181" s="290" t="str">
        <f t="shared" si="24"/>
        <v/>
      </c>
      <c r="N181" s="243" t="str">
        <f>IF($A181="","",IF(ABS(E181)&gt;0.000001,COUNT($N$1:N180)+1,""))</f>
        <v/>
      </c>
      <c r="O181" s="291" t="str">
        <f>IF($A181="","",SUMIFS(Transactions!$H$2:$H$1001,Transactions!$J$2:$J$1001,$A181,Transactions!$A$2:$A$1001,2)*$I181)</f>
        <v/>
      </c>
      <c r="P181" s="291" t="str">
        <f t="shared" si="25"/>
        <v/>
      </c>
      <c r="Q181" s="292" t="str">
        <f t="shared" si="26"/>
        <v/>
      </c>
    </row>
    <row r="182" spans="1:17" ht="15" customHeight="1" x14ac:dyDescent="0.2">
      <c r="A182" s="243" t="str">
        <f>IFERROR(INDEX(Txn[Key],MATCH(0,INDEX(COUNTIF($A$1:A181,Txn[Key])+(Txn[Key]=""),0),0)),"")</f>
        <v/>
      </c>
      <c r="B182" s="243" t="str">
        <f t="shared" si="18"/>
        <v/>
      </c>
      <c r="C182" s="243" t="str">
        <f t="shared" si="19"/>
        <v/>
      </c>
      <c r="D182" s="243" t="str">
        <f t="shared" si="20"/>
        <v/>
      </c>
      <c r="E182" s="265" t="str">
        <f>IF($A182="","",SUMIFS(Txn[Signed Units],Txn[Key],$A182))</f>
        <v/>
      </c>
      <c r="F182" s="287" t="str">
        <f>IF($A182="","",SUMIFS(Txn[Buy Cost],Txn[Key],$A182))</f>
        <v/>
      </c>
      <c r="G182" s="287" t="str">
        <f>IF($A182="","",SUMIFS(Txn[Sell Proceeds],Txn[Key],$A182))</f>
        <v/>
      </c>
      <c r="H182" s="288" t="str">
        <f>IF($A182="","",IFERROR(INDEX(Prices[Current Price],MATCH($A182,Prices[Key],0)),0))</f>
        <v/>
      </c>
      <c r="I182" s="289" t="str">
        <f>IF($A182="","",IFERROR(INDEX(Prices[FX to SGD],MATCH($A182,Prices[Key],0)),1))</f>
        <v/>
      </c>
      <c r="J182" s="287" t="str">
        <f t="shared" si="21"/>
        <v/>
      </c>
      <c r="K182" s="287" t="str">
        <f t="shared" si="22"/>
        <v/>
      </c>
      <c r="L182" s="287" t="str">
        <f t="shared" si="23"/>
        <v/>
      </c>
      <c r="M182" s="290" t="str">
        <f t="shared" si="24"/>
        <v/>
      </c>
      <c r="N182" s="243" t="str">
        <f>IF($A182="","",IF(ABS(E182)&gt;0.000001,COUNT($N$1:N181)+1,""))</f>
        <v/>
      </c>
      <c r="O182" s="291" t="str">
        <f>IF($A182="","",SUMIFS(Transactions!$H$2:$H$1001,Transactions!$J$2:$J$1001,$A182,Transactions!$A$2:$A$1001,2)*$I182)</f>
        <v/>
      </c>
      <c r="P182" s="291" t="str">
        <f t="shared" si="25"/>
        <v/>
      </c>
      <c r="Q182" s="292" t="str">
        <f t="shared" si="26"/>
        <v/>
      </c>
    </row>
    <row r="183" spans="1:17" ht="15" customHeight="1" x14ac:dyDescent="0.2">
      <c r="A183" s="243" t="str">
        <f>IFERROR(INDEX(Txn[Key],MATCH(0,INDEX(COUNTIF($A$1:A182,Txn[Key])+(Txn[Key]=""),0),0)),"")</f>
        <v/>
      </c>
      <c r="B183" s="243" t="str">
        <f t="shared" si="18"/>
        <v/>
      </c>
      <c r="C183" s="243" t="str">
        <f t="shared" si="19"/>
        <v/>
      </c>
      <c r="D183" s="243" t="str">
        <f t="shared" si="20"/>
        <v/>
      </c>
      <c r="E183" s="265" t="str">
        <f>IF($A183="","",SUMIFS(Txn[Signed Units],Txn[Key],$A183))</f>
        <v/>
      </c>
      <c r="F183" s="287" t="str">
        <f>IF($A183="","",SUMIFS(Txn[Buy Cost],Txn[Key],$A183))</f>
        <v/>
      </c>
      <c r="G183" s="287" t="str">
        <f>IF($A183="","",SUMIFS(Txn[Sell Proceeds],Txn[Key],$A183))</f>
        <v/>
      </c>
      <c r="H183" s="288" t="str">
        <f>IF($A183="","",IFERROR(INDEX(Prices[Current Price],MATCH($A183,Prices[Key],0)),0))</f>
        <v/>
      </c>
      <c r="I183" s="289" t="str">
        <f>IF($A183="","",IFERROR(INDEX(Prices[FX to SGD],MATCH($A183,Prices[Key],0)),1))</f>
        <v/>
      </c>
      <c r="J183" s="287" t="str">
        <f t="shared" si="21"/>
        <v/>
      </c>
      <c r="K183" s="287" t="str">
        <f t="shared" si="22"/>
        <v/>
      </c>
      <c r="L183" s="287" t="str">
        <f t="shared" si="23"/>
        <v/>
      </c>
      <c r="M183" s="290" t="str">
        <f t="shared" si="24"/>
        <v/>
      </c>
      <c r="N183" s="243" t="str">
        <f>IF($A183="","",IF(ABS(E183)&gt;0.000001,COUNT($N$1:N182)+1,""))</f>
        <v/>
      </c>
      <c r="O183" s="291" t="str">
        <f>IF($A183="","",SUMIFS(Transactions!$H$2:$H$1001,Transactions!$J$2:$J$1001,$A183,Transactions!$A$2:$A$1001,2)*$I183)</f>
        <v/>
      </c>
      <c r="P183" s="291" t="str">
        <f t="shared" si="25"/>
        <v/>
      </c>
      <c r="Q183" s="292" t="str">
        <f t="shared" si="26"/>
        <v/>
      </c>
    </row>
    <row r="184" spans="1:17" ht="15" customHeight="1" x14ac:dyDescent="0.2">
      <c r="A184" s="243" t="str">
        <f>IFERROR(INDEX(Txn[Key],MATCH(0,INDEX(COUNTIF($A$1:A183,Txn[Key])+(Txn[Key]=""),0),0)),"")</f>
        <v/>
      </c>
      <c r="B184" s="243" t="str">
        <f t="shared" si="18"/>
        <v/>
      </c>
      <c r="C184" s="243" t="str">
        <f t="shared" si="19"/>
        <v/>
      </c>
      <c r="D184" s="243" t="str">
        <f t="shared" si="20"/>
        <v/>
      </c>
      <c r="E184" s="265" t="str">
        <f>IF($A184="","",SUMIFS(Txn[Signed Units],Txn[Key],$A184))</f>
        <v/>
      </c>
      <c r="F184" s="287" t="str">
        <f>IF($A184="","",SUMIFS(Txn[Buy Cost],Txn[Key],$A184))</f>
        <v/>
      </c>
      <c r="G184" s="287" t="str">
        <f>IF($A184="","",SUMIFS(Txn[Sell Proceeds],Txn[Key],$A184))</f>
        <v/>
      </c>
      <c r="H184" s="288" t="str">
        <f>IF($A184="","",IFERROR(INDEX(Prices[Current Price],MATCH($A184,Prices[Key],0)),0))</f>
        <v/>
      </c>
      <c r="I184" s="289" t="str">
        <f>IF($A184="","",IFERROR(INDEX(Prices[FX to SGD],MATCH($A184,Prices[Key],0)),1))</f>
        <v/>
      </c>
      <c r="J184" s="287" t="str">
        <f t="shared" si="21"/>
        <v/>
      </c>
      <c r="K184" s="287" t="str">
        <f t="shared" si="22"/>
        <v/>
      </c>
      <c r="L184" s="287" t="str">
        <f t="shared" si="23"/>
        <v/>
      </c>
      <c r="M184" s="290" t="str">
        <f t="shared" si="24"/>
        <v/>
      </c>
      <c r="N184" s="243" t="str">
        <f>IF($A184="","",IF(ABS(E184)&gt;0.000001,COUNT($N$1:N183)+1,""))</f>
        <v/>
      </c>
      <c r="O184" s="291" t="str">
        <f>IF($A184="","",SUMIFS(Transactions!$H$2:$H$1001,Transactions!$J$2:$J$1001,$A184,Transactions!$A$2:$A$1001,2)*$I184)</f>
        <v/>
      </c>
      <c r="P184" s="291" t="str">
        <f t="shared" si="25"/>
        <v/>
      </c>
      <c r="Q184" s="292" t="str">
        <f t="shared" si="26"/>
        <v/>
      </c>
    </row>
    <row r="185" spans="1:17" ht="15" customHeight="1" x14ac:dyDescent="0.2">
      <c r="A185" s="243" t="str">
        <f>IFERROR(INDEX(Txn[Key],MATCH(0,INDEX(COUNTIF($A$1:A184,Txn[Key])+(Txn[Key]=""),0),0)),"")</f>
        <v/>
      </c>
      <c r="B185" s="243" t="str">
        <f t="shared" si="18"/>
        <v/>
      </c>
      <c r="C185" s="243" t="str">
        <f t="shared" si="19"/>
        <v/>
      </c>
      <c r="D185" s="243" t="str">
        <f t="shared" si="20"/>
        <v/>
      </c>
      <c r="E185" s="265" t="str">
        <f>IF($A185="","",SUMIFS(Txn[Signed Units],Txn[Key],$A185))</f>
        <v/>
      </c>
      <c r="F185" s="287" t="str">
        <f>IF($A185="","",SUMIFS(Txn[Buy Cost],Txn[Key],$A185))</f>
        <v/>
      </c>
      <c r="G185" s="287" t="str">
        <f>IF($A185="","",SUMIFS(Txn[Sell Proceeds],Txn[Key],$A185))</f>
        <v/>
      </c>
      <c r="H185" s="288" t="str">
        <f>IF($A185="","",IFERROR(INDEX(Prices[Current Price],MATCH($A185,Prices[Key],0)),0))</f>
        <v/>
      </c>
      <c r="I185" s="289" t="str">
        <f>IF($A185="","",IFERROR(INDEX(Prices[FX to SGD],MATCH($A185,Prices[Key],0)),1))</f>
        <v/>
      </c>
      <c r="J185" s="287" t="str">
        <f t="shared" si="21"/>
        <v/>
      </c>
      <c r="K185" s="287" t="str">
        <f t="shared" si="22"/>
        <v/>
      </c>
      <c r="L185" s="287" t="str">
        <f t="shared" si="23"/>
        <v/>
      </c>
      <c r="M185" s="290" t="str">
        <f t="shared" si="24"/>
        <v/>
      </c>
      <c r="N185" s="243" t="str">
        <f>IF($A185="","",IF(ABS(E185)&gt;0.000001,COUNT($N$1:N184)+1,""))</f>
        <v/>
      </c>
      <c r="O185" s="291" t="str">
        <f>IF($A185="","",SUMIFS(Transactions!$H$2:$H$1001,Transactions!$J$2:$J$1001,$A185,Transactions!$A$2:$A$1001,2)*$I185)</f>
        <v/>
      </c>
      <c r="P185" s="291" t="str">
        <f t="shared" si="25"/>
        <v/>
      </c>
      <c r="Q185" s="292" t="str">
        <f t="shared" si="26"/>
        <v/>
      </c>
    </row>
    <row r="186" spans="1:17" ht="15" customHeight="1" x14ac:dyDescent="0.2">
      <c r="A186" s="243" t="str">
        <f>IFERROR(INDEX(Txn[Key],MATCH(0,INDEX(COUNTIF($A$1:A185,Txn[Key])+(Txn[Key]=""),0),0)),"")</f>
        <v/>
      </c>
      <c r="B186" s="243" t="str">
        <f t="shared" si="18"/>
        <v/>
      </c>
      <c r="C186" s="243" t="str">
        <f t="shared" si="19"/>
        <v/>
      </c>
      <c r="D186" s="243" t="str">
        <f t="shared" si="20"/>
        <v/>
      </c>
      <c r="E186" s="265" t="str">
        <f>IF($A186="","",SUMIFS(Txn[Signed Units],Txn[Key],$A186))</f>
        <v/>
      </c>
      <c r="F186" s="287" t="str">
        <f>IF($A186="","",SUMIFS(Txn[Buy Cost],Txn[Key],$A186))</f>
        <v/>
      </c>
      <c r="G186" s="287" t="str">
        <f>IF($A186="","",SUMIFS(Txn[Sell Proceeds],Txn[Key],$A186))</f>
        <v/>
      </c>
      <c r="H186" s="288" t="str">
        <f>IF($A186="","",IFERROR(INDEX(Prices[Current Price],MATCH($A186,Prices[Key],0)),0))</f>
        <v/>
      </c>
      <c r="I186" s="289" t="str">
        <f>IF($A186="","",IFERROR(INDEX(Prices[FX to SGD],MATCH($A186,Prices[Key],0)),1))</f>
        <v/>
      </c>
      <c r="J186" s="287" t="str">
        <f t="shared" si="21"/>
        <v/>
      </c>
      <c r="K186" s="287" t="str">
        <f t="shared" si="22"/>
        <v/>
      </c>
      <c r="L186" s="287" t="str">
        <f t="shared" si="23"/>
        <v/>
      </c>
      <c r="M186" s="290" t="str">
        <f t="shared" si="24"/>
        <v/>
      </c>
      <c r="N186" s="243" t="str">
        <f>IF($A186="","",IF(ABS(E186)&gt;0.000001,COUNT($N$1:N185)+1,""))</f>
        <v/>
      </c>
      <c r="O186" s="291" t="str">
        <f>IF($A186="","",SUMIFS(Transactions!$H$2:$H$1001,Transactions!$J$2:$J$1001,$A186,Transactions!$A$2:$A$1001,2)*$I186)</f>
        <v/>
      </c>
      <c r="P186" s="291" t="str">
        <f t="shared" si="25"/>
        <v/>
      </c>
      <c r="Q186" s="292" t="str">
        <f t="shared" si="26"/>
        <v/>
      </c>
    </row>
    <row r="187" spans="1:17" ht="15" customHeight="1" x14ac:dyDescent="0.2">
      <c r="A187" s="243" t="str">
        <f>IFERROR(INDEX(Txn[Key],MATCH(0,INDEX(COUNTIF($A$1:A186,Txn[Key])+(Txn[Key]=""),0),0)),"")</f>
        <v/>
      </c>
      <c r="B187" s="243" t="str">
        <f t="shared" si="18"/>
        <v/>
      </c>
      <c r="C187" s="243" t="str">
        <f t="shared" si="19"/>
        <v/>
      </c>
      <c r="D187" s="243" t="str">
        <f t="shared" si="20"/>
        <v/>
      </c>
      <c r="E187" s="265" t="str">
        <f>IF($A187="","",SUMIFS(Txn[Signed Units],Txn[Key],$A187))</f>
        <v/>
      </c>
      <c r="F187" s="287" t="str">
        <f>IF($A187="","",SUMIFS(Txn[Buy Cost],Txn[Key],$A187))</f>
        <v/>
      </c>
      <c r="G187" s="287" t="str">
        <f>IF($A187="","",SUMIFS(Txn[Sell Proceeds],Txn[Key],$A187))</f>
        <v/>
      </c>
      <c r="H187" s="288" t="str">
        <f>IF($A187="","",IFERROR(INDEX(Prices[Current Price],MATCH($A187,Prices[Key],0)),0))</f>
        <v/>
      </c>
      <c r="I187" s="289" t="str">
        <f>IF($A187="","",IFERROR(INDEX(Prices[FX to SGD],MATCH($A187,Prices[Key],0)),1))</f>
        <v/>
      </c>
      <c r="J187" s="287" t="str">
        <f t="shared" si="21"/>
        <v/>
      </c>
      <c r="K187" s="287" t="str">
        <f t="shared" si="22"/>
        <v/>
      </c>
      <c r="L187" s="287" t="str">
        <f t="shared" si="23"/>
        <v/>
      </c>
      <c r="M187" s="290" t="str">
        <f t="shared" si="24"/>
        <v/>
      </c>
      <c r="N187" s="243" t="str">
        <f>IF($A187="","",IF(ABS(E187)&gt;0.000001,COUNT($N$1:N186)+1,""))</f>
        <v/>
      </c>
      <c r="O187" s="291" t="str">
        <f>IF($A187="","",SUMIFS(Transactions!$H$2:$H$1001,Transactions!$J$2:$J$1001,$A187,Transactions!$A$2:$A$1001,2)*$I187)</f>
        <v/>
      </c>
      <c r="P187" s="291" t="str">
        <f t="shared" si="25"/>
        <v/>
      </c>
      <c r="Q187" s="292" t="str">
        <f t="shared" si="26"/>
        <v/>
      </c>
    </row>
    <row r="188" spans="1:17" ht="15" customHeight="1" x14ac:dyDescent="0.2">
      <c r="A188" s="243" t="str">
        <f>IFERROR(INDEX(Txn[Key],MATCH(0,INDEX(COUNTIF($A$1:A187,Txn[Key])+(Txn[Key]=""),0),0)),"")</f>
        <v/>
      </c>
      <c r="B188" s="243" t="str">
        <f t="shared" si="18"/>
        <v/>
      </c>
      <c r="C188" s="243" t="str">
        <f t="shared" si="19"/>
        <v/>
      </c>
      <c r="D188" s="243" t="str">
        <f t="shared" si="20"/>
        <v/>
      </c>
      <c r="E188" s="265" t="str">
        <f>IF($A188="","",SUMIFS(Txn[Signed Units],Txn[Key],$A188))</f>
        <v/>
      </c>
      <c r="F188" s="287" t="str">
        <f>IF($A188="","",SUMIFS(Txn[Buy Cost],Txn[Key],$A188))</f>
        <v/>
      </c>
      <c r="G188" s="287" t="str">
        <f>IF($A188="","",SUMIFS(Txn[Sell Proceeds],Txn[Key],$A188))</f>
        <v/>
      </c>
      <c r="H188" s="288" t="str">
        <f>IF($A188="","",IFERROR(INDEX(Prices[Current Price],MATCH($A188,Prices[Key],0)),0))</f>
        <v/>
      </c>
      <c r="I188" s="289" t="str">
        <f>IF($A188="","",IFERROR(INDEX(Prices[FX to SGD],MATCH($A188,Prices[Key],0)),1))</f>
        <v/>
      </c>
      <c r="J188" s="287" t="str">
        <f t="shared" si="21"/>
        <v/>
      </c>
      <c r="K188" s="287" t="str">
        <f t="shared" si="22"/>
        <v/>
      </c>
      <c r="L188" s="287" t="str">
        <f t="shared" si="23"/>
        <v/>
      </c>
      <c r="M188" s="290" t="str">
        <f t="shared" si="24"/>
        <v/>
      </c>
      <c r="N188" s="243" t="str">
        <f>IF($A188="","",IF(ABS(E188)&gt;0.000001,COUNT($N$1:N187)+1,""))</f>
        <v/>
      </c>
      <c r="O188" s="291" t="str">
        <f>IF($A188="","",SUMIFS(Transactions!$H$2:$H$1001,Transactions!$J$2:$J$1001,$A188,Transactions!$A$2:$A$1001,2)*$I188)</f>
        <v/>
      </c>
      <c r="P188" s="291" t="str">
        <f t="shared" si="25"/>
        <v/>
      </c>
      <c r="Q188" s="292" t="str">
        <f t="shared" si="26"/>
        <v/>
      </c>
    </row>
    <row r="189" spans="1:17" ht="15" customHeight="1" x14ac:dyDescent="0.2">
      <c r="A189" s="243" t="str">
        <f>IFERROR(INDEX(Txn[Key],MATCH(0,INDEX(COUNTIF($A$1:A188,Txn[Key])+(Txn[Key]=""),0),0)),"")</f>
        <v/>
      </c>
      <c r="B189" s="243" t="str">
        <f t="shared" si="18"/>
        <v/>
      </c>
      <c r="C189" s="243" t="str">
        <f t="shared" si="19"/>
        <v/>
      </c>
      <c r="D189" s="243" t="str">
        <f t="shared" si="20"/>
        <v/>
      </c>
      <c r="E189" s="265" t="str">
        <f>IF($A189="","",SUMIFS(Txn[Signed Units],Txn[Key],$A189))</f>
        <v/>
      </c>
      <c r="F189" s="287" t="str">
        <f>IF($A189="","",SUMIFS(Txn[Buy Cost],Txn[Key],$A189))</f>
        <v/>
      </c>
      <c r="G189" s="287" t="str">
        <f>IF($A189="","",SUMIFS(Txn[Sell Proceeds],Txn[Key],$A189))</f>
        <v/>
      </c>
      <c r="H189" s="288" t="str">
        <f>IF($A189="","",IFERROR(INDEX(Prices[Current Price],MATCH($A189,Prices[Key],0)),0))</f>
        <v/>
      </c>
      <c r="I189" s="289" t="str">
        <f>IF($A189="","",IFERROR(INDEX(Prices[FX to SGD],MATCH($A189,Prices[Key],0)),1))</f>
        <v/>
      </c>
      <c r="J189" s="287" t="str">
        <f t="shared" si="21"/>
        <v/>
      </c>
      <c r="K189" s="287" t="str">
        <f t="shared" si="22"/>
        <v/>
      </c>
      <c r="L189" s="287" t="str">
        <f t="shared" si="23"/>
        <v/>
      </c>
      <c r="M189" s="290" t="str">
        <f t="shared" si="24"/>
        <v/>
      </c>
      <c r="N189" s="243" t="str">
        <f>IF($A189="","",IF(ABS(E189)&gt;0.000001,COUNT($N$1:N188)+1,""))</f>
        <v/>
      </c>
      <c r="O189" s="291" t="str">
        <f>IF($A189="","",SUMIFS(Transactions!$H$2:$H$1001,Transactions!$J$2:$J$1001,$A189,Transactions!$A$2:$A$1001,2)*$I189)</f>
        <v/>
      </c>
      <c r="P189" s="291" t="str">
        <f t="shared" si="25"/>
        <v/>
      </c>
      <c r="Q189" s="292" t="str">
        <f t="shared" si="26"/>
        <v/>
      </c>
    </row>
    <row r="190" spans="1:17" ht="15" customHeight="1" x14ac:dyDescent="0.2">
      <c r="A190" s="243" t="str">
        <f>IFERROR(INDEX(Txn[Key],MATCH(0,INDEX(COUNTIF($A$1:A189,Txn[Key])+(Txn[Key]=""),0),0)),"")</f>
        <v/>
      </c>
      <c r="B190" s="243" t="str">
        <f t="shared" si="18"/>
        <v/>
      </c>
      <c r="C190" s="243" t="str">
        <f t="shared" si="19"/>
        <v/>
      </c>
      <c r="D190" s="243" t="str">
        <f t="shared" si="20"/>
        <v/>
      </c>
      <c r="E190" s="265" t="str">
        <f>IF($A190="","",SUMIFS(Txn[Signed Units],Txn[Key],$A190))</f>
        <v/>
      </c>
      <c r="F190" s="287" t="str">
        <f>IF($A190="","",SUMIFS(Txn[Buy Cost],Txn[Key],$A190))</f>
        <v/>
      </c>
      <c r="G190" s="287" t="str">
        <f>IF($A190="","",SUMIFS(Txn[Sell Proceeds],Txn[Key],$A190))</f>
        <v/>
      </c>
      <c r="H190" s="288" t="str">
        <f>IF($A190="","",IFERROR(INDEX(Prices[Current Price],MATCH($A190,Prices[Key],0)),0))</f>
        <v/>
      </c>
      <c r="I190" s="289" t="str">
        <f>IF($A190="","",IFERROR(INDEX(Prices[FX to SGD],MATCH($A190,Prices[Key],0)),1))</f>
        <v/>
      </c>
      <c r="J190" s="287" t="str">
        <f t="shared" si="21"/>
        <v/>
      </c>
      <c r="K190" s="287" t="str">
        <f t="shared" si="22"/>
        <v/>
      </c>
      <c r="L190" s="287" t="str">
        <f t="shared" si="23"/>
        <v/>
      </c>
      <c r="M190" s="290" t="str">
        <f t="shared" si="24"/>
        <v/>
      </c>
      <c r="N190" s="243" t="str">
        <f>IF($A190="","",IF(ABS(E190)&gt;0.000001,COUNT($N$1:N189)+1,""))</f>
        <v/>
      </c>
      <c r="O190" s="291" t="str">
        <f>IF($A190="","",SUMIFS(Transactions!$H$2:$H$1001,Transactions!$J$2:$J$1001,$A190,Transactions!$A$2:$A$1001,2)*$I190)</f>
        <v/>
      </c>
      <c r="P190" s="291" t="str">
        <f t="shared" si="25"/>
        <v/>
      </c>
      <c r="Q190" s="292" t="str">
        <f t="shared" si="26"/>
        <v/>
      </c>
    </row>
    <row r="191" spans="1:17" ht="15" customHeight="1" x14ac:dyDescent="0.2">
      <c r="A191" s="243" t="str">
        <f>IFERROR(INDEX(Txn[Key],MATCH(0,INDEX(COUNTIF($A$1:A190,Txn[Key])+(Txn[Key]=""),0),0)),"")</f>
        <v/>
      </c>
      <c r="B191" s="243" t="str">
        <f t="shared" si="18"/>
        <v/>
      </c>
      <c r="C191" s="243" t="str">
        <f t="shared" si="19"/>
        <v/>
      </c>
      <c r="D191" s="243" t="str">
        <f t="shared" si="20"/>
        <v/>
      </c>
      <c r="E191" s="265" t="str">
        <f>IF($A191="","",SUMIFS(Txn[Signed Units],Txn[Key],$A191))</f>
        <v/>
      </c>
      <c r="F191" s="287" t="str">
        <f>IF($A191="","",SUMIFS(Txn[Buy Cost],Txn[Key],$A191))</f>
        <v/>
      </c>
      <c r="G191" s="287" t="str">
        <f>IF($A191="","",SUMIFS(Txn[Sell Proceeds],Txn[Key],$A191))</f>
        <v/>
      </c>
      <c r="H191" s="288" t="str">
        <f>IF($A191="","",IFERROR(INDEX(Prices[Current Price],MATCH($A191,Prices[Key],0)),0))</f>
        <v/>
      </c>
      <c r="I191" s="289" t="str">
        <f>IF($A191="","",IFERROR(INDEX(Prices[FX to SGD],MATCH($A191,Prices[Key],0)),1))</f>
        <v/>
      </c>
      <c r="J191" s="287" t="str">
        <f t="shared" si="21"/>
        <v/>
      </c>
      <c r="K191" s="287" t="str">
        <f t="shared" si="22"/>
        <v/>
      </c>
      <c r="L191" s="287" t="str">
        <f t="shared" si="23"/>
        <v/>
      </c>
      <c r="M191" s="290" t="str">
        <f t="shared" si="24"/>
        <v/>
      </c>
      <c r="N191" s="243" t="str">
        <f>IF($A191="","",IF(ABS(E191)&gt;0.000001,COUNT($N$1:N190)+1,""))</f>
        <v/>
      </c>
      <c r="O191" s="291" t="str">
        <f>IF($A191="","",SUMIFS(Transactions!$H$2:$H$1001,Transactions!$J$2:$J$1001,$A191,Transactions!$A$2:$A$1001,2)*$I191)</f>
        <v/>
      </c>
      <c r="P191" s="291" t="str">
        <f t="shared" si="25"/>
        <v/>
      </c>
      <c r="Q191" s="292" t="str">
        <f t="shared" si="26"/>
        <v/>
      </c>
    </row>
    <row r="192" spans="1:17" ht="15" customHeight="1" x14ac:dyDescent="0.2">
      <c r="A192" s="243" t="str">
        <f>IFERROR(INDEX(Txn[Key],MATCH(0,INDEX(COUNTIF($A$1:A191,Txn[Key])+(Txn[Key]=""),0),0)),"")</f>
        <v/>
      </c>
      <c r="B192" s="243" t="str">
        <f t="shared" si="18"/>
        <v/>
      </c>
      <c r="C192" s="243" t="str">
        <f t="shared" si="19"/>
        <v/>
      </c>
      <c r="D192" s="243" t="str">
        <f t="shared" si="20"/>
        <v/>
      </c>
      <c r="E192" s="265" t="str">
        <f>IF($A192="","",SUMIFS(Txn[Signed Units],Txn[Key],$A192))</f>
        <v/>
      </c>
      <c r="F192" s="287" t="str">
        <f>IF($A192="","",SUMIFS(Txn[Buy Cost],Txn[Key],$A192))</f>
        <v/>
      </c>
      <c r="G192" s="287" t="str">
        <f>IF($A192="","",SUMIFS(Txn[Sell Proceeds],Txn[Key],$A192))</f>
        <v/>
      </c>
      <c r="H192" s="288" t="str">
        <f>IF($A192="","",IFERROR(INDEX(Prices[Current Price],MATCH($A192,Prices[Key],0)),0))</f>
        <v/>
      </c>
      <c r="I192" s="289" t="str">
        <f>IF($A192="","",IFERROR(INDEX(Prices[FX to SGD],MATCH($A192,Prices[Key],0)),1))</f>
        <v/>
      </c>
      <c r="J192" s="287" t="str">
        <f t="shared" si="21"/>
        <v/>
      </c>
      <c r="K192" s="287" t="str">
        <f t="shared" si="22"/>
        <v/>
      </c>
      <c r="L192" s="287" t="str">
        <f t="shared" si="23"/>
        <v/>
      </c>
      <c r="M192" s="290" t="str">
        <f t="shared" si="24"/>
        <v/>
      </c>
      <c r="N192" s="243" t="str">
        <f>IF($A192="","",IF(ABS(E192)&gt;0.000001,COUNT($N$1:N191)+1,""))</f>
        <v/>
      </c>
      <c r="O192" s="291" t="str">
        <f>IF($A192="","",SUMIFS(Transactions!$H$2:$H$1001,Transactions!$J$2:$J$1001,$A192,Transactions!$A$2:$A$1001,2)*$I192)</f>
        <v/>
      </c>
      <c r="P192" s="291" t="str">
        <f t="shared" si="25"/>
        <v/>
      </c>
      <c r="Q192" s="292" t="str">
        <f t="shared" si="26"/>
        <v/>
      </c>
    </row>
    <row r="193" spans="1:17" ht="15" customHeight="1" x14ac:dyDescent="0.2">
      <c r="A193" s="243" t="str">
        <f>IFERROR(INDEX(Txn[Key],MATCH(0,INDEX(COUNTIF($A$1:A192,Txn[Key])+(Txn[Key]=""),0),0)),"")</f>
        <v/>
      </c>
      <c r="B193" s="243" t="str">
        <f t="shared" si="18"/>
        <v/>
      </c>
      <c r="C193" s="243" t="str">
        <f t="shared" si="19"/>
        <v/>
      </c>
      <c r="D193" s="243" t="str">
        <f t="shared" si="20"/>
        <v/>
      </c>
      <c r="E193" s="265" t="str">
        <f>IF($A193="","",SUMIFS(Txn[Signed Units],Txn[Key],$A193))</f>
        <v/>
      </c>
      <c r="F193" s="287" t="str">
        <f>IF($A193="","",SUMIFS(Txn[Buy Cost],Txn[Key],$A193))</f>
        <v/>
      </c>
      <c r="G193" s="287" t="str">
        <f>IF($A193="","",SUMIFS(Txn[Sell Proceeds],Txn[Key],$A193))</f>
        <v/>
      </c>
      <c r="H193" s="288" t="str">
        <f>IF($A193="","",IFERROR(INDEX(Prices[Current Price],MATCH($A193,Prices[Key],0)),0))</f>
        <v/>
      </c>
      <c r="I193" s="289" t="str">
        <f>IF($A193="","",IFERROR(INDEX(Prices[FX to SGD],MATCH($A193,Prices[Key],0)),1))</f>
        <v/>
      </c>
      <c r="J193" s="287" t="str">
        <f t="shared" si="21"/>
        <v/>
      </c>
      <c r="K193" s="287" t="str">
        <f t="shared" si="22"/>
        <v/>
      </c>
      <c r="L193" s="287" t="str">
        <f t="shared" si="23"/>
        <v/>
      </c>
      <c r="M193" s="290" t="str">
        <f t="shared" si="24"/>
        <v/>
      </c>
      <c r="N193" s="243" t="str">
        <f>IF($A193="","",IF(ABS(E193)&gt;0.000001,COUNT($N$1:N192)+1,""))</f>
        <v/>
      </c>
      <c r="O193" s="291" t="str">
        <f>IF($A193="","",SUMIFS(Transactions!$H$2:$H$1001,Transactions!$J$2:$J$1001,$A193,Transactions!$A$2:$A$1001,2)*$I193)</f>
        <v/>
      </c>
      <c r="P193" s="291" t="str">
        <f t="shared" si="25"/>
        <v/>
      </c>
      <c r="Q193" s="292" t="str">
        <f t="shared" si="26"/>
        <v/>
      </c>
    </row>
    <row r="194" spans="1:17" ht="15" customHeight="1" x14ac:dyDescent="0.2">
      <c r="A194" s="243" t="str">
        <f>IFERROR(INDEX(Txn[Key],MATCH(0,INDEX(COUNTIF($A$1:A193,Txn[Key])+(Txn[Key]=""),0),0)),"")</f>
        <v/>
      </c>
      <c r="B194" s="243" t="str">
        <f t="shared" ref="B194:B257" si="27">IF($A194="","",LEFT($A194,FIND(":",$A194)-1))</f>
        <v/>
      </c>
      <c r="C194" s="243" t="str">
        <f t="shared" ref="C194:C257" si="28">IF($A194="","",MID($A194,FIND(":",$A194)+1,FIND(":",$A194,FIND(":",$A194)+1)-FIND(":",$A194)-1))</f>
        <v/>
      </c>
      <c r="D194" s="243" t="str">
        <f t="shared" ref="D194:D257" si="29">IF($A194="","",RIGHT($A194,LEN($A194)-FIND(":",$A194,FIND(":",$A194)+1)))</f>
        <v/>
      </c>
      <c r="E194" s="265" t="str">
        <f>IF($A194="","",SUMIFS(Txn[Signed Units],Txn[Key],$A194))</f>
        <v/>
      </c>
      <c r="F194" s="287" t="str">
        <f>IF($A194="","",SUMIFS(Txn[Buy Cost],Txn[Key],$A194))</f>
        <v/>
      </c>
      <c r="G194" s="287" t="str">
        <f>IF($A194="","",SUMIFS(Txn[Sell Proceeds],Txn[Key],$A194))</f>
        <v/>
      </c>
      <c r="H194" s="288" t="str">
        <f>IF($A194="","",IFERROR(INDEX(Prices[Current Price],MATCH($A194,Prices[Key],0)),0))</f>
        <v/>
      </c>
      <c r="I194" s="289" t="str">
        <f>IF($A194="","",IFERROR(INDEX(Prices[FX to SGD],MATCH($A194,Prices[Key],0)),1))</f>
        <v/>
      </c>
      <c r="J194" s="287" t="str">
        <f t="shared" ref="J194:J257" si="30">IF($A194="","",E194*H194)</f>
        <v/>
      </c>
      <c r="K194" s="287" t="str">
        <f t="shared" ref="K194:K257" si="31">IF($A194="","",J194+G194-F194)</f>
        <v/>
      </c>
      <c r="L194" s="287" t="str">
        <f t="shared" ref="L194:L257" si="32">IF($A194="","",K194*I194)</f>
        <v/>
      </c>
      <c r="M194" s="290" t="str">
        <f t="shared" ref="M194:M257" si="33">IF($A194="","",IFERROR(K194/F194,0))</f>
        <v/>
      </c>
      <c r="N194" s="243" t="str">
        <f>IF($A194="","",IF(ABS(E194)&gt;0.000001,COUNT($N$1:N193)+1,""))</f>
        <v/>
      </c>
      <c r="O194" s="291" t="str">
        <f>IF($A194="","",SUMIFS(Transactions!$H$2:$H$1001,Transactions!$J$2:$J$1001,$A194,Transactions!$A$2:$A$1001,2)*$I194)</f>
        <v/>
      </c>
      <c r="P194" s="291" t="str">
        <f t="shared" ref="P194:P257" si="34">IF($A194="","",$L194+$O194)</f>
        <v/>
      </c>
      <c r="Q194" s="292" t="str">
        <f t="shared" ref="Q194:Q257" si="35">IF($A194="","",IFERROR(($L194+$O194)/($F194*$I194),0))</f>
        <v/>
      </c>
    </row>
    <row r="195" spans="1:17" ht="15" customHeight="1" x14ac:dyDescent="0.2">
      <c r="A195" s="243" t="str">
        <f>IFERROR(INDEX(Txn[Key],MATCH(0,INDEX(COUNTIF($A$1:A194,Txn[Key])+(Txn[Key]=""),0),0)),"")</f>
        <v/>
      </c>
      <c r="B195" s="243" t="str">
        <f t="shared" si="27"/>
        <v/>
      </c>
      <c r="C195" s="243" t="str">
        <f t="shared" si="28"/>
        <v/>
      </c>
      <c r="D195" s="243" t="str">
        <f t="shared" si="29"/>
        <v/>
      </c>
      <c r="E195" s="265" t="str">
        <f>IF($A195="","",SUMIFS(Txn[Signed Units],Txn[Key],$A195))</f>
        <v/>
      </c>
      <c r="F195" s="287" t="str">
        <f>IF($A195="","",SUMIFS(Txn[Buy Cost],Txn[Key],$A195))</f>
        <v/>
      </c>
      <c r="G195" s="287" t="str">
        <f>IF($A195="","",SUMIFS(Txn[Sell Proceeds],Txn[Key],$A195))</f>
        <v/>
      </c>
      <c r="H195" s="288" t="str">
        <f>IF($A195="","",IFERROR(INDEX(Prices[Current Price],MATCH($A195,Prices[Key],0)),0))</f>
        <v/>
      </c>
      <c r="I195" s="289" t="str">
        <f>IF($A195="","",IFERROR(INDEX(Prices[FX to SGD],MATCH($A195,Prices[Key],0)),1))</f>
        <v/>
      </c>
      <c r="J195" s="287" t="str">
        <f t="shared" si="30"/>
        <v/>
      </c>
      <c r="K195" s="287" t="str">
        <f t="shared" si="31"/>
        <v/>
      </c>
      <c r="L195" s="287" t="str">
        <f t="shared" si="32"/>
        <v/>
      </c>
      <c r="M195" s="290" t="str">
        <f t="shared" si="33"/>
        <v/>
      </c>
      <c r="N195" s="243" t="str">
        <f>IF($A195="","",IF(ABS(E195)&gt;0.000001,COUNT($N$1:N194)+1,""))</f>
        <v/>
      </c>
      <c r="O195" s="291" t="str">
        <f>IF($A195="","",SUMIFS(Transactions!$H$2:$H$1001,Transactions!$J$2:$J$1001,$A195,Transactions!$A$2:$A$1001,2)*$I195)</f>
        <v/>
      </c>
      <c r="P195" s="291" t="str">
        <f t="shared" si="34"/>
        <v/>
      </c>
      <c r="Q195" s="292" t="str">
        <f t="shared" si="35"/>
        <v/>
      </c>
    </row>
    <row r="196" spans="1:17" ht="15" customHeight="1" x14ac:dyDescent="0.2">
      <c r="A196" s="243" t="str">
        <f>IFERROR(INDEX(Txn[Key],MATCH(0,INDEX(COUNTIF($A$1:A195,Txn[Key])+(Txn[Key]=""),0),0)),"")</f>
        <v/>
      </c>
      <c r="B196" s="243" t="str">
        <f t="shared" si="27"/>
        <v/>
      </c>
      <c r="C196" s="243" t="str">
        <f t="shared" si="28"/>
        <v/>
      </c>
      <c r="D196" s="243" t="str">
        <f t="shared" si="29"/>
        <v/>
      </c>
      <c r="E196" s="265" t="str">
        <f>IF($A196="","",SUMIFS(Txn[Signed Units],Txn[Key],$A196))</f>
        <v/>
      </c>
      <c r="F196" s="287" t="str">
        <f>IF($A196="","",SUMIFS(Txn[Buy Cost],Txn[Key],$A196))</f>
        <v/>
      </c>
      <c r="G196" s="287" t="str">
        <f>IF($A196="","",SUMIFS(Txn[Sell Proceeds],Txn[Key],$A196))</f>
        <v/>
      </c>
      <c r="H196" s="288" t="str">
        <f>IF($A196="","",IFERROR(INDEX(Prices[Current Price],MATCH($A196,Prices[Key],0)),0))</f>
        <v/>
      </c>
      <c r="I196" s="289" t="str">
        <f>IF($A196="","",IFERROR(INDEX(Prices[FX to SGD],MATCH($A196,Prices[Key],0)),1))</f>
        <v/>
      </c>
      <c r="J196" s="287" t="str">
        <f t="shared" si="30"/>
        <v/>
      </c>
      <c r="K196" s="287" t="str">
        <f t="shared" si="31"/>
        <v/>
      </c>
      <c r="L196" s="287" t="str">
        <f t="shared" si="32"/>
        <v/>
      </c>
      <c r="M196" s="290" t="str">
        <f t="shared" si="33"/>
        <v/>
      </c>
      <c r="N196" s="243" t="str">
        <f>IF($A196="","",IF(ABS(E196)&gt;0.000001,COUNT($N$1:N195)+1,""))</f>
        <v/>
      </c>
      <c r="O196" s="291" t="str">
        <f>IF($A196="","",SUMIFS(Transactions!$H$2:$H$1001,Transactions!$J$2:$J$1001,$A196,Transactions!$A$2:$A$1001,2)*$I196)</f>
        <v/>
      </c>
      <c r="P196" s="291" t="str">
        <f t="shared" si="34"/>
        <v/>
      </c>
      <c r="Q196" s="292" t="str">
        <f t="shared" si="35"/>
        <v/>
      </c>
    </row>
    <row r="197" spans="1:17" ht="15" customHeight="1" x14ac:dyDescent="0.2">
      <c r="A197" s="243" t="str">
        <f>IFERROR(INDEX(Txn[Key],MATCH(0,INDEX(COUNTIF($A$1:A196,Txn[Key])+(Txn[Key]=""),0),0)),"")</f>
        <v/>
      </c>
      <c r="B197" s="243" t="str">
        <f t="shared" si="27"/>
        <v/>
      </c>
      <c r="C197" s="243" t="str">
        <f t="shared" si="28"/>
        <v/>
      </c>
      <c r="D197" s="243" t="str">
        <f t="shared" si="29"/>
        <v/>
      </c>
      <c r="E197" s="265" t="str">
        <f>IF($A197="","",SUMIFS(Txn[Signed Units],Txn[Key],$A197))</f>
        <v/>
      </c>
      <c r="F197" s="287" t="str">
        <f>IF($A197="","",SUMIFS(Txn[Buy Cost],Txn[Key],$A197))</f>
        <v/>
      </c>
      <c r="G197" s="287" t="str">
        <f>IF($A197="","",SUMIFS(Txn[Sell Proceeds],Txn[Key],$A197))</f>
        <v/>
      </c>
      <c r="H197" s="288" t="str">
        <f>IF($A197="","",IFERROR(INDEX(Prices[Current Price],MATCH($A197,Prices[Key],0)),0))</f>
        <v/>
      </c>
      <c r="I197" s="289" t="str">
        <f>IF($A197="","",IFERROR(INDEX(Prices[FX to SGD],MATCH($A197,Prices[Key],0)),1))</f>
        <v/>
      </c>
      <c r="J197" s="287" t="str">
        <f t="shared" si="30"/>
        <v/>
      </c>
      <c r="K197" s="287" t="str">
        <f t="shared" si="31"/>
        <v/>
      </c>
      <c r="L197" s="287" t="str">
        <f t="shared" si="32"/>
        <v/>
      </c>
      <c r="M197" s="290" t="str">
        <f t="shared" si="33"/>
        <v/>
      </c>
      <c r="N197" s="243" t="str">
        <f>IF($A197="","",IF(ABS(E197)&gt;0.000001,COUNT($N$1:N196)+1,""))</f>
        <v/>
      </c>
      <c r="O197" s="291" t="str">
        <f>IF($A197="","",SUMIFS(Transactions!$H$2:$H$1001,Transactions!$J$2:$J$1001,$A197,Transactions!$A$2:$A$1001,2)*$I197)</f>
        <v/>
      </c>
      <c r="P197" s="291" t="str">
        <f t="shared" si="34"/>
        <v/>
      </c>
      <c r="Q197" s="292" t="str">
        <f t="shared" si="35"/>
        <v/>
      </c>
    </row>
    <row r="198" spans="1:17" ht="15" customHeight="1" x14ac:dyDescent="0.2">
      <c r="A198" s="243" t="str">
        <f>IFERROR(INDEX(Txn[Key],MATCH(0,INDEX(COUNTIF($A$1:A197,Txn[Key])+(Txn[Key]=""),0),0)),"")</f>
        <v/>
      </c>
      <c r="B198" s="243" t="str">
        <f t="shared" si="27"/>
        <v/>
      </c>
      <c r="C198" s="243" t="str">
        <f t="shared" si="28"/>
        <v/>
      </c>
      <c r="D198" s="243" t="str">
        <f t="shared" si="29"/>
        <v/>
      </c>
      <c r="E198" s="265" t="str">
        <f>IF($A198="","",SUMIFS(Txn[Signed Units],Txn[Key],$A198))</f>
        <v/>
      </c>
      <c r="F198" s="287" t="str">
        <f>IF($A198="","",SUMIFS(Txn[Buy Cost],Txn[Key],$A198))</f>
        <v/>
      </c>
      <c r="G198" s="287" t="str">
        <f>IF($A198="","",SUMIFS(Txn[Sell Proceeds],Txn[Key],$A198))</f>
        <v/>
      </c>
      <c r="H198" s="288" t="str">
        <f>IF($A198="","",IFERROR(INDEX(Prices[Current Price],MATCH($A198,Prices[Key],0)),0))</f>
        <v/>
      </c>
      <c r="I198" s="289" t="str">
        <f>IF($A198="","",IFERROR(INDEX(Prices[FX to SGD],MATCH($A198,Prices[Key],0)),1))</f>
        <v/>
      </c>
      <c r="J198" s="287" t="str">
        <f t="shared" si="30"/>
        <v/>
      </c>
      <c r="K198" s="287" t="str">
        <f t="shared" si="31"/>
        <v/>
      </c>
      <c r="L198" s="287" t="str">
        <f t="shared" si="32"/>
        <v/>
      </c>
      <c r="M198" s="290" t="str">
        <f t="shared" si="33"/>
        <v/>
      </c>
      <c r="N198" s="243" t="str">
        <f>IF($A198="","",IF(ABS(E198)&gt;0.000001,COUNT($N$1:N197)+1,""))</f>
        <v/>
      </c>
      <c r="O198" s="291" t="str">
        <f>IF($A198="","",SUMIFS(Transactions!$H$2:$H$1001,Transactions!$J$2:$J$1001,$A198,Transactions!$A$2:$A$1001,2)*$I198)</f>
        <v/>
      </c>
      <c r="P198" s="291" t="str">
        <f t="shared" si="34"/>
        <v/>
      </c>
      <c r="Q198" s="292" t="str">
        <f t="shared" si="35"/>
        <v/>
      </c>
    </row>
    <row r="199" spans="1:17" ht="15" customHeight="1" x14ac:dyDescent="0.2">
      <c r="A199" s="243" t="str">
        <f>IFERROR(INDEX(Txn[Key],MATCH(0,INDEX(COUNTIF($A$1:A198,Txn[Key])+(Txn[Key]=""),0),0)),"")</f>
        <v/>
      </c>
      <c r="B199" s="243" t="str">
        <f t="shared" si="27"/>
        <v/>
      </c>
      <c r="C199" s="243" t="str">
        <f t="shared" si="28"/>
        <v/>
      </c>
      <c r="D199" s="243" t="str">
        <f t="shared" si="29"/>
        <v/>
      </c>
      <c r="E199" s="265" t="str">
        <f>IF($A199="","",SUMIFS(Txn[Signed Units],Txn[Key],$A199))</f>
        <v/>
      </c>
      <c r="F199" s="287" t="str">
        <f>IF($A199="","",SUMIFS(Txn[Buy Cost],Txn[Key],$A199))</f>
        <v/>
      </c>
      <c r="G199" s="287" t="str">
        <f>IF($A199="","",SUMIFS(Txn[Sell Proceeds],Txn[Key],$A199))</f>
        <v/>
      </c>
      <c r="H199" s="288" t="str">
        <f>IF($A199="","",IFERROR(INDEX(Prices[Current Price],MATCH($A199,Prices[Key],0)),0))</f>
        <v/>
      </c>
      <c r="I199" s="289" t="str">
        <f>IF($A199="","",IFERROR(INDEX(Prices[FX to SGD],MATCH($A199,Prices[Key],0)),1))</f>
        <v/>
      </c>
      <c r="J199" s="287" t="str">
        <f t="shared" si="30"/>
        <v/>
      </c>
      <c r="K199" s="287" t="str">
        <f t="shared" si="31"/>
        <v/>
      </c>
      <c r="L199" s="287" t="str">
        <f t="shared" si="32"/>
        <v/>
      </c>
      <c r="M199" s="290" t="str">
        <f t="shared" si="33"/>
        <v/>
      </c>
      <c r="N199" s="243" t="str">
        <f>IF($A199="","",IF(ABS(E199)&gt;0.000001,COUNT($N$1:N198)+1,""))</f>
        <v/>
      </c>
      <c r="O199" s="291" t="str">
        <f>IF($A199="","",SUMIFS(Transactions!$H$2:$H$1001,Transactions!$J$2:$J$1001,$A199,Transactions!$A$2:$A$1001,2)*$I199)</f>
        <v/>
      </c>
      <c r="P199" s="291" t="str">
        <f t="shared" si="34"/>
        <v/>
      </c>
      <c r="Q199" s="292" t="str">
        <f t="shared" si="35"/>
        <v/>
      </c>
    </row>
    <row r="200" spans="1:17" ht="15" customHeight="1" x14ac:dyDescent="0.2">
      <c r="A200" s="243" t="str">
        <f>IFERROR(INDEX(Txn[Key],MATCH(0,INDEX(COUNTIF($A$1:A199,Txn[Key])+(Txn[Key]=""),0),0)),"")</f>
        <v/>
      </c>
      <c r="B200" s="243" t="str">
        <f t="shared" si="27"/>
        <v/>
      </c>
      <c r="C200" s="243" t="str">
        <f t="shared" si="28"/>
        <v/>
      </c>
      <c r="D200" s="243" t="str">
        <f t="shared" si="29"/>
        <v/>
      </c>
      <c r="E200" s="265" t="str">
        <f>IF($A200="","",SUMIFS(Txn[Signed Units],Txn[Key],$A200))</f>
        <v/>
      </c>
      <c r="F200" s="287" t="str">
        <f>IF($A200="","",SUMIFS(Txn[Buy Cost],Txn[Key],$A200))</f>
        <v/>
      </c>
      <c r="G200" s="287" t="str">
        <f>IF($A200="","",SUMIFS(Txn[Sell Proceeds],Txn[Key],$A200))</f>
        <v/>
      </c>
      <c r="H200" s="288" t="str">
        <f>IF($A200="","",IFERROR(INDEX(Prices[Current Price],MATCH($A200,Prices[Key],0)),0))</f>
        <v/>
      </c>
      <c r="I200" s="289" t="str">
        <f>IF($A200="","",IFERROR(INDEX(Prices[FX to SGD],MATCH($A200,Prices[Key],0)),1))</f>
        <v/>
      </c>
      <c r="J200" s="287" t="str">
        <f t="shared" si="30"/>
        <v/>
      </c>
      <c r="K200" s="287" t="str">
        <f t="shared" si="31"/>
        <v/>
      </c>
      <c r="L200" s="287" t="str">
        <f t="shared" si="32"/>
        <v/>
      </c>
      <c r="M200" s="290" t="str">
        <f t="shared" si="33"/>
        <v/>
      </c>
      <c r="N200" s="243" t="str">
        <f>IF($A200="","",IF(ABS(E200)&gt;0.000001,COUNT($N$1:N199)+1,""))</f>
        <v/>
      </c>
      <c r="O200" s="291" t="str">
        <f>IF($A200="","",SUMIFS(Transactions!$H$2:$H$1001,Transactions!$J$2:$J$1001,$A200,Transactions!$A$2:$A$1001,2)*$I200)</f>
        <v/>
      </c>
      <c r="P200" s="291" t="str">
        <f t="shared" si="34"/>
        <v/>
      </c>
      <c r="Q200" s="292" t="str">
        <f t="shared" si="35"/>
        <v/>
      </c>
    </row>
    <row r="201" spans="1:17" ht="15" customHeight="1" x14ac:dyDescent="0.2">
      <c r="A201" s="243" t="str">
        <f>IFERROR(INDEX(Txn[Key],MATCH(0,INDEX(COUNTIF($A$1:A200,Txn[Key])+(Txn[Key]=""),0),0)),"")</f>
        <v/>
      </c>
      <c r="B201" s="243" t="str">
        <f t="shared" si="27"/>
        <v/>
      </c>
      <c r="C201" s="243" t="str">
        <f t="shared" si="28"/>
        <v/>
      </c>
      <c r="D201" s="243" t="str">
        <f t="shared" si="29"/>
        <v/>
      </c>
      <c r="E201" s="265" t="str">
        <f>IF($A201="","",SUMIFS(Txn[Signed Units],Txn[Key],$A201))</f>
        <v/>
      </c>
      <c r="F201" s="287" t="str">
        <f>IF($A201="","",SUMIFS(Txn[Buy Cost],Txn[Key],$A201))</f>
        <v/>
      </c>
      <c r="G201" s="287" t="str">
        <f>IF($A201="","",SUMIFS(Txn[Sell Proceeds],Txn[Key],$A201))</f>
        <v/>
      </c>
      <c r="H201" s="288" t="str">
        <f>IF($A201="","",IFERROR(INDEX(Prices[Current Price],MATCH($A201,Prices[Key],0)),0))</f>
        <v/>
      </c>
      <c r="I201" s="289" t="str">
        <f>IF($A201="","",IFERROR(INDEX(Prices[FX to SGD],MATCH($A201,Prices[Key],0)),1))</f>
        <v/>
      </c>
      <c r="J201" s="287" t="str">
        <f t="shared" si="30"/>
        <v/>
      </c>
      <c r="K201" s="287" t="str">
        <f t="shared" si="31"/>
        <v/>
      </c>
      <c r="L201" s="287" t="str">
        <f t="shared" si="32"/>
        <v/>
      </c>
      <c r="M201" s="290" t="str">
        <f t="shared" si="33"/>
        <v/>
      </c>
      <c r="N201" s="243" t="str">
        <f>IF($A201="","",IF(ABS(E201)&gt;0.000001,COUNT($N$1:N200)+1,""))</f>
        <v/>
      </c>
      <c r="O201" s="291" t="str">
        <f>IF($A201="","",SUMIFS(Transactions!$H$2:$H$1001,Transactions!$J$2:$J$1001,$A201,Transactions!$A$2:$A$1001,2)*$I201)</f>
        <v/>
      </c>
      <c r="P201" s="291" t="str">
        <f t="shared" si="34"/>
        <v/>
      </c>
      <c r="Q201" s="292" t="str">
        <f t="shared" si="35"/>
        <v/>
      </c>
    </row>
    <row r="202" spans="1:17" ht="15" customHeight="1" x14ac:dyDescent="0.2">
      <c r="A202" s="243" t="str">
        <f>IFERROR(INDEX(Txn[Key],MATCH(0,INDEX(COUNTIF($A$1:A201,Txn[Key])+(Txn[Key]=""),0),0)),"")</f>
        <v/>
      </c>
      <c r="B202" s="243" t="str">
        <f t="shared" si="27"/>
        <v/>
      </c>
      <c r="C202" s="243" t="str">
        <f t="shared" si="28"/>
        <v/>
      </c>
      <c r="D202" s="243" t="str">
        <f t="shared" si="29"/>
        <v/>
      </c>
      <c r="E202" s="265" t="str">
        <f>IF($A202="","",SUMIFS(Txn[Signed Units],Txn[Key],$A202))</f>
        <v/>
      </c>
      <c r="F202" s="287" t="str">
        <f>IF($A202="","",SUMIFS(Txn[Buy Cost],Txn[Key],$A202))</f>
        <v/>
      </c>
      <c r="G202" s="287" t="str">
        <f>IF($A202="","",SUMIFS(Txn[Sell Proceeds],Txn[Key],$A202))</f>
        <v/>
      </c>
      <c r="H202" s="288" t="str">
        <f>IF($A202="","",IFERROR(INDEX(Prices[Current Price],MATCH($A202,Prices[Key],0)),0))</f>
        <v/>
      </c>
      <c r="I202" s="289" t="str">
        <f>IF($A202="","",IFERROR(INDEX(Prices[FX to SGD],MATCH($A202,Prices[Key],0)),1))</f>
        <v/>
      </c>
      <c r="J202" s="287" t="str">
        <f t="shared" si="30"/>
        <v/>
      </c>
      <c r="K202" s="287" t="str">
        <f t="shared" si="31"/>
        <v/>
      </c>
      <c r="L202" s="287" t="str">
        <f t="shared" si="32"/>
        <v/>
      </c>
      <c r="M202" s="290" t="str">
        <f t="shared" si="33"/>
        <v/>
      </c>
      <c r="N202" s="243" t="str">
        <f>IF($A202="","",IF(ABS(E202)&gt;0.000001,COUNT($N$1:N201)+1,""))</f>
        <v/>
      </c>
      <c r="O202" s="291" t="str">
        <f>IF($A202="","",SUMIFS(Transactions!$H$2:$H$1001,Transactions!$J$2:$J$1001,$A202,Transactions!$A$2:$A$1001,2)*$I202)</f>
        <v/>
      </c>
      <c r="P202" s="291" t="str">
        <f t="shared" si="34"/>
        <v/>
      </c>
      <c r="Q202" s="292" t="str">
        <f t="shared" si="35"/>
        <v/>
      </c>
    </row>
    <row r="203" spans="1:17" ht="15" customHeight="1" x14ac:dyDescent="0.2">
      <c r="A203" s="243" t="str">
        <f>IFERROR(INDEX(Txn[Key],MATCH(0,INDEX(COUNTIF($A$1:A202,Txn[Key])+(Txn[Key]=""),0),0)),"")</f>
        <v/>
      </c>
      <c r="B203" s="243" t="str">
        <f t="shared" si="27"/>
        <v/>
      </c>
      <c r="C203" s="243" t="str">
        <f t="shared" si="28"/>
        <v/>
      </c>
      <c r="D203" s="243" t="str">
        <f t="shared" si="29"/>
        <v/>
      </c>
      <c r="E203" s="265" t="str">
        <f>IF($A203="","",SUMIFS(Txn[Signed Units],Txn[Key],$A203))</f>
        <v/>
      </c>
      <c r="F203" s="287" t="str">
        <f>IF($A203="","",SUMIFS(Txn[Buy Cost],Txn[Key],$A203))</f>
        <v/>
      </c>
      <c r="G203" s="287" t="str">
        <f>IF($A203="","",SUMIFS(Txn[Sell Proceeds],Txn[Key],$A203))</f>
        <v/>
      </c>
      <c r="H203" s="288" t="str">
        <f>IF($A203="","",IFERROR(INDEX(Prices[Current Price],MATCH($A203,Prices[Key],0)),0))</f>
        <v/>
      </c>
      <c r="I203" s="289" t="str">
        <f>IF($A203="","",IFERROR(INDEX(Prices[FX to SGD],MATCH($A203,Prices[Key],0)),1))</f>
        <v/>
      </c>
      <c r="J203" s="287" t="str">
        <f t="shared" si="30"/>
        <v/>
      </c>
      <c r="K203" s="287" t="str">
        <f t="shared" si="31"/>
        <v/>
      </c>
      <c r="L203" s="287" t="str">
        <f t="shared" si="32"/>
        <v/>
      </c>
      <c r="M203" s="290" t="str">
        <f t="shared" si="33"/>
        <v/>
      </c>
      <c r="N203" s="243" t="str">
        <f>IF($A203="","",IF(ABS(E203)&gt;0.000001,COUNT($N$1:N202)+1,""))</f>
        <v/>
      </c>
      <c r="O203" s="291" t="str">
        <f>IF($A203="","",SUMIFS(Transactions!$H$2:$H$1001,Transactions!$J$2:$J$1001,$A203,Transactions!$A$2:$A$1001,2)*$I203)</f>
        <v/>
      </c>
      <c r="P203" s="291" t="str">
        <f t="shared" si="34"/>
        <v/>
      </c>
      <c r="Q203" s="292" t="str">
        <f t="shared" si="35"/>
        <v/>
      </c>
    </row>
    <row r="204" spans="1:17" ht="15" customHeight="1" x14ac:dyDescent="0.2">
      <c r="A204" s="243" t="str">
        <f>IFERROR(INDEX(Txn[Key],MATCH(0,INDEX(COUNTIF($A$1:A203,Txn[Key])+(Txn[Key]=""),0),0)),"")</f>
        <v/>
      </c>
      <c r="B204" s="243" t="str">
        <f t="shared" si="27"/>
        <v/>
      </c>
      <c r="C204" s="243" t="str">
        <f t="shared" si="28"/>
        <v/>
      </c>
      <c r="D204" s="243" t="str">
        <f t="shared" si="29"/>
        <v/>
      </c>
      <c r="E204" s="265" t="str">
        <f>IF($A204="","",SUMIFS(Txn[Signed Units],Txn[Key],$A204))</f>
        <v/>
      </c>
      <c r="F204" s="287" t="str">
        <f>IF($A204="","",SUMIFS(Txn[Buy Cost],Txn[Key],$A204))</f>
        <v/>
      </c>
      <c r="G204" s="287" t="str">
        <f>IF($A204="","",SUMIFS(Txn[Sell Proceeds],Txn[Key],$A204))</f>
        <v/>
      </c>
      <c r="H204" s="288" t="str">
        <f>IF($A204="","",IFERROR(INDEX(Prices[Current Price],MATCH($A204,Prices[Key],0)),0))</f>
        <v/>
      </c>
      <c r="I204" s="289" t="str">
        <f>IF($A204="","",IFERROR(INDEX(Prices[FX to SGD],MATCH($A204,Prices[Key],0)),1))</f>
        <v/>
      </c>
      <c r="J204" s="287" t="str">
        <f t="shared" si="30"/>
        <v/>
      </c>
      <c r="K204" s="287" t="str">
        <f t="shared" si="31"/>
        <v/>
      </c>
      <c r="L204" s="287" t="str">
        <f t="shared" si="32"/>
        <v/>
      </c>
      <c r="M204" s="290" t="str">
        <f t="shared" si="33"/>
        <v/>
      </c>
      <c r="N204" s="243" t="str">
        <f>IF($A204="","",IF(ABS(E204)&gt;0.000001,COUNT($N$1:N203)+1,""))</f>
        <v/>
      </c>
      <c r="O204" s="291" t="str">
        <f>IF($A204="","",SUMIFS(Transactions!$H$2:$H$1001,Transactions!$J$2:$J$1001,$A204,Transactions!$A$2:$A$1001,2)*$I204)</f>
        <v/>
      </c>
      <c r="P204" s="291" t="str">
        <f t="shared" si="34"/>
        <v/>
      </c>
      <c r="Q204" s="292" t="str">
        <f t="shared" si="35"/>
        <v/>
      </c>
    </row>
    <row r="205" spans="1:17" ht="15" customHeight="1" x14ac:dyDescent="0.2">
      <c r="A205" s="243" t="str">
        <f>IFERROR(INDEX(Txn[Key],MATCH(0,INDEX(COUNTIF($A$1:A204,Txn[Key])+(Txn[Key]=""),0),0)),"")</f>
        <v/>
      </c>
      <c r="B205" s="243" t="str">
        <f t="shared" si="27"/>
        <v/>
      </c>
      <c r="C205" s="243" t="str">
        <f t="shared" si="28"/>
        <v/>
      </c>
      <c r="D205" s="243" t="str">
        <f t="shared" si="29"/>
        <v/>
      </c>
      <c r="E205" s="265" t="str">
        <f>IF($A205="","",SUMIFS(Txn[Signed Units],Txn[Key],$A205))</f>
        <v/>
      </c>
      <c r="F205" s="287" t="str">
        <f>IF($A205="","",SUMIFS(Txn[Buy Cost],Txn[Key],$A205))</f>
        <v/>
      </c>
      <c r="G205" s="287" t="str">
        <f>IF($A205="","",SUMIFS(Txn[Sell Proceeds],Txn[Key],$A205))</f>
        <v/>
      </c>
      <c r="H205" s="288" t="str">
        <f>IF($A205="","",IFERROR(INDEX(Prices[Current Price],MATCH($A205,Prices[Key],0)),0))</f>
        <v/>
      </c>
      <c r="I205" s="289" t="str">
        <f>IF($A205="","",IFERROR(INDEX(Prices[FX to SGD],MATCH($A205,Prices[Key],0)),1))</f>
        <v/>
      </c>
      <c r="J205" s="287" t="str">
        <f t="shared" si="30"/>
        <v/>
      </c>
      <c r="K205" s="287" t="str">
        <f t="shared" si="31"/>
        <v/>
      </c>
      <c r="L205" s="287" t="str">
        <f t="shared" si="32"/>
        <v/>
      </c>
      <c r="M205" s="290" t="str">
        <f t="shared" si="33"/>
        <v/>
      </c>
      <c r="N205" s="243" t="str">
        <f>IF($A205="","",IF(ABS(E205)&gt;0.000001,COUNT($N$1:N204)+1,""))</f>
        <v/>
      </c>
      <c r="O205" s="291" t="str">
        <f>IF($A205="","",SUMIFS(Transactions!$H$2:$H$1001,Transactions!$J$2:$J$1001,$A205,Transactions!$A$2:$A$1001,2)*$I205)</f>
        <v/>
      </c>
      <c r="P205" s="291" t="str">
        <f t="shared" si="34"/>
        <v/>
      </c>
      <c r="Q205" s="292" t="str">
        <f t="shared" si="35"/>
        <v/>
      </c>
    </row>
    <row r="206" spans="1:17" ht="15" customHeight="1" x14ac:dyDescent="0.2">
      <c r="A206" s="243" t="str">
        <f>IFERROR(INDEX(Txn[Key],MATCH(0,INDEX(COUNTIF($A$1:A205,Txn[Key])+(Txn[Key]=""),0),0)),"")</f>
        <v/>
      </c>
      <c r="B206" s="243" t="str">
        <f t="shared" si="27"/>
        <v/>
      </c>
      <c r="C206" s="243" t="str">
        <f t="shared" si="28"/>
        <v/>
      </c>
      <c r="D206" s="243" t="str">
        <f t="shared" si="29"/>
        <v/>
      </c>
      <c r="E206" s="265" t="str">
        <f>IF($A206="","",SUMIFS(Txn[Signed Units],Txn[Key],$A206))</f>
        <v/>
      </c>
      <c r="F206" s="287" t="str">
        <f>IF($A206="","",SUMIFS(Txn[Buy Cost],Txn[Key],$A206))</f>
        <v/>
      </c>
      <c r="G206" s="287" t="str">
        <f>IF($A206="","",SUMIFS(Txn[Sell Proceeds],Txn[Key],$A206))</f>
        <v/>
      </c>
      <c r="H206" s="288" t="str">
        <f>IF($A206="","",IFERROR(INDEX(Prices[Current Price],MATCH($A206,Prices[Key],0)),0))</f>
        <v/>
      </c>
      <c r="I206" s="289" t="str">
        <f>IF($A206="","",IFERROR(INDEX(Prices[FX to SGD],MATCH($A206,Prices[Key],0)),1))</f>
        <v/>
      </c>
      <c r="J206" s="287" t="str">
        <f t="shared" si="30"/>
        <v/>
      </c>
      <c r="K206" s="287" t="str">
        <f t="shared" si="31"/>
        <v/>
      </c>
      <c r="L206" s="287" t="str">
        <f t="shared" si="32"/>
        <v/>
      </c>
      <c r="M206" s="290" t="str">
        <f t="shared" si="33"/>
        <v/>
      </c>
      <c r="N206" s="243" t="str">
        <f>IF($A206="","",IF(ABS(E206)&gt;0.000001,COUNT($N$1:N205)+1,""))</f>
        <v/>
      </c>
      <c r="O206" s="291" t="str">
        <f>IF($A206="","",SUMIFS(Transactions!$H$2:$H$1001,Transactions!$J$2:$J$1001,$A206,Transactions!$A$2:$A$1001,2)*$I206)</f>
        <v/>
      </c>
      <c r="P206" s="291" t="str">
        <f t="shared" si="34"/>
        <v/>
      </c>
      <c r="Q206" s="292" t="str">
        <f t="shared" si="35"/>
        <v/>
      </c>
    </row>
    <row r="207" spans="1:17" ht="15" customHeight="1" x14ac:dyDescent="0.2">
      <c r="A207" s="243" t="str">
        <f>IFERROR(INDEX(Txn[Key],MATCH(0,INDEX(COUNTIF($A$1:A206,Txn[Key])+(Txn[Key]=""),0),0)),"")</f>
        <v/>
      </c>
      <c r="B207" s="243" t="str">
        <f t="shared" si="27"/>
        <v/>
      </c>
      <c r="C207" s="243" t="str">
        <f t="shared" si="28"/>
        <v/>
      </c>
      <c r="D207" s="243" t="str">
        <f t="shared" si="29"/>
        <v/>
      </c>
      <c r="E207" s="265" t="str">
        <f>IF($A207="","",SUMIFS(Txn[Signed Units],Txn[Key],$A207))</f>
        <v/>
      </c>
      <c r="F207" s="287" t="str">
        <f>IF($A207="","",SUMIFS(Txn[Buy Cost],Txn[Key],$A207))</f>
        <v/>
      </c>
      <c r="G207" s="287" t="str">
        <f>IF($A207="","",SUMIFS(Txn[Sell Proceeds],Txn[Key],$A207))</f>
        <v/>
      </c>
      <c r="H207" s="288" t="str">
        <f>IF($A207="","",IFERROR(INDEX(Prices[Current Price],MATCH($A207,Prices[Key],0)),0))</f>
        <v/>
      </c>
      <c r="I207" s="289" t="str">
        <f>IF($A207="","",IFERROR(INDEX(Prices[FX to SGD],MATCH($A207,Prices[Key],0)),1))</f>
        <v/>
      </c>
      <c r="J207" s="287" t="str">
        <f t="shared" si="30"/>
        <v/>
      </c>
      <c r="K207" s="287" t="str">
        <f t="shared" si="31"/>
        <v/>
      </c>
      <c r="L207" s="287" t="str">
        <f t="shared" si="32"/>
        <v/>
      </c>
      <c r="M207" s="290" t="str">
        <f t="shared" si="33"/>
        <v/>
      </c>
      <c r="N207" s="243" t="str">
        <f>IF($A207="","",IF(ABS(E207)&gt;0.000001,COUNT($N$1:N206)+1,""))</f>
        <v/>
      </c>
      <c r="O207" s="291" t="str">
        <f>IF($A207="","",SUMIFS(Transactions!$H$2:$H$1001,Transactions!$J$2:$J$1001,$A207,Transactions!$A$2:$A$1001,2)*$I207)</f>
        <v/>
      </c>
      <c r="P207" s="291" t="str">
        <f t="shared" si="34"/>
        <v/>
      </c>
      <c r="Q207" s="292" t="str">
        <f t="shared" si="35"/>
        <v/>
      </c>
    </row>
    <row r="208" spans="1:17" ht="15" customHeight="1" x14ac:dyDescent="0.2">
      <c r="A208" s="243" t="str">
        <f>IFERROR(INDEX(Txn[Key],MATCH(0,INDEX(COUNTIF($A$1:A207,Txn[Key])+(Txn[Key]=""),0),0)),"")</f>
        <v/>
      </c>
      <c r="B208" s="243" t="str">
        <f t="shared" si="27"/>
        <v/>
      </c>
      <c r="C208" s="243" t="str">
        <f t="shared" si="28"/>
        <v/>
      </c>
      <c r="D208" s="243" t="str">
        <f t="shared" si="29"/>
        <v/>
      </c>
      <c r="E208" s="265" t="str">
        <f>IF($A208="","",SUMIFS(Txn[Signed Units],Txn[Key],$A208))</f>
        <v/>
      </c>
      <c r="F208" s="287" t="str">
        <f>IF($A208="","",SUMIFS(Txn[Buy Cost],Txn[Key],$A208))</f>
        <v/>
      </c>
      <c r="G208" s="287" t="str">
        <f>IF($A208="","",SUMIFS(Txn[Sell Proceeds],Txn[Key],$A208))</f>
        <v/>
      </c>
      <c r="H208" s="288" t="str">
        <f>IF($A208="","",IFERROR(INDEX(Prices[Current Price],MATCH($A208,Prices[Key],0)),0))</f>
        <v/>
      </c>
      <c r="I208" s="289" t="str">
        <f>IF($A208="","",IFERROR(INDEX(Prices[FX to SGD],MATCH($A208,Prices[Key],0)),1))</f>
        <v/>
      </c>
      <c r="J208" s="287" t="str">
        <f t="shared" si="30"/>
        <v/>
      </c>
      <c r="K208" s="287" t="str">
        <f t="shared" si="31"/>
        <v/>
      </c>
      <c r="L208" s="287" t="str">
        <f t="shared" si="32"/>
        <v/>
      </c>
      <c r="M208" s="290" t="str">
        <f t="shared" si="33"/>
        <v/>
      </c>
      <c r="N208" s="243" t="str">
        <f>IF($A208="","",IF(ABS(E208)&gt;0.000001,COUNT($N$1:N207)+1,""))</f>
        <v/>
      </c>
      <c r="O208" s="291" t="str">
        <f>IF($A208="","",SUMIFS(Transactions!$H$2:$H$1001,Transactions!$J$2:$J$1001,$A208,Transactions!$A$2:$A$1001,2)*$I208)</f>
        <v/>
      </c>
      <c r="P208" s="291" t="str">
        <f t="shared" si="34"/>
        <v/>
      </c>
      <c r="Q208" s="292" t="str">
        <f t="shared" si="35"/>
        <v/>
      </c>
    </row>
    <row r="209" spans="1:17" ht="15" customHeight="1" x14ac:dyDescent="0.2">
      <c r="A209" s="243" t="str">
        <f>IFERROR(INDEX(Txn[Key],MATCH(0,INDEX(COUNTIF($A$1:A208,Txn[Key])+(Txn[Key]=""),0),0)),"")</f>
        <v/>
      </c>
      <c r="B209" s="243" t="str">
        <f t="shared" si="27"/>
        <v/>
      </c>
      <c r="C209" s="243" t="str">
        <f t="shared" si="28"/>
        <v/>
      </c>
      <c r="D209" s="243" t="str">
        <f t="shared" si="29"/>
        <v/>
      </c>
      <c r="E209" s="265" t="str">
        <f>IF($A209="","",SUMIFS(Txn[Signed Units],Txn[Key],$A209))</f>
        <v/>
      </c>
      <c r="F209" s="287" t="str">
        <f>IF($A209="","",SUMIFS(Txn[Buy Cost],Txn[Key],$A209))</f>
        <v/>
      </c>
      <c r="G209" s="287" t="str">
        <f>IF($A209="","",SUMIFS(Txn[Sell Proceeds],Txn[Key],$A209))</f>
        <v/>
      </c>
      <c r="H209" s="288" t="str">
        <f>IF($A209="","",IFERROR(INDEX(Prices[Current Price],MATCH($A209,Prices[Key],0)),0))</f>
        <v/>
      </c>
      <c r="I209" s="289" t="str">
        <f>IF($A209="","",IFERROR(INDEX(Prices[FX to SGD],MATCH($A209,Prices[Key],0)),1))</f>
        <v/>
      </c>
      <c r="J209" s="287" t="str">
        <f t="shared" si="30"/>
        <v/>
      </c>
      <c r="K209" s="287" t="str">
        <f t="shared" si="31"/>
        <v/>
      </c>
      <c r="L209" s="287" t="str">
        <f t="shared" si="32"/>
        <v/>
      </c>
      <c r="M209" s="290" t="str">
        <f t="shared" si="33"/>
        <v/>
      </c>
      <c r="N209" s="243" t="str">
        <f>IF($A209="","",IF(ABS(E209)&gt;0.000001,COUNT($N$1:N208)+1,""))</f>
        <v/>
      </c>
      <c r="O209" s="291" t="str">
        <f>IF($A209="","",SUMIFS(Transactions!$H$2:$H$1001,Transactions!$J$2:$J$1001,$A209,Transactions!$A$2:$A$1001,2)*$I209)</f>
        <v/>
      </c>
      <c r="P209" s="291" t="str">
        <f t="shared" si="34"/>
        <v/>
      </c>
      <c r="Q209" s="292" t="str">
        <f t="shared" si="35"/>
        <v/>
      </c>
    </row>
    <row r="210" spans="1:17" ht="15" customHeight="1" x14ac:dyDescent="0.2">
      <c r="A210" s="243" t="str">
        <f>IFERROR(INDEX(Txn[Key],MATCH(0,INDEX(COUNTIF($A$1:A209,Txn[Key])+(Txn[Key]=""),0),0)),"")</f>
        <v/>
      </c>
      <c r="B210" s="243" t="str">
        <f t="shared" si="27"/>
        <v/>
      </c>
      <c r="C210" s="243" t="str">
        <f t="shared" si="28"/>
        <v/>
      </c>
      <c r="D210" s="243" t="str">
        <f t="shared" si="29"/>
        <v/>
      </c>
      <c r="E210" s="265" t="str">
        <f>IF($A210="","",SUMIFS(Txn[Signed Units],Txn[Key],$A210))</f>
        <v/>
      </c>
      <c r="F210" s="287" t="str">
        <f>IF($A210="","",SUMIFS(Txn[Buy Cost],Txn[Key],$A210))</f>
        <v/>
      </c>
      <c r="G210" s="287" t="str">
        <f>IF($A210="","",SUMIFS(Txn[Sell Proceeds],Txn[Key],$A210))</f>
        <v/>
      </c>
      <c r="H210" s="288" t="str">
        <f>IF($A210="","",IFERROR(INDEX(Prices[Current Price],MATCH($A210,Prices[Key],0)),0))</f>
        <v/>
      </c>
      <c r="I210" s="289" t="str">
        <f>IF($A210="","",IFERROR(INDEX(Prices[FX to SGD],MATCH($A210,Prices[Key],0)),1))</f>
        <v/>
      </c>
      <c r="J210" s="287" t="str">
        <f t="shared" si="30"/>
        <v/>
      </c>
      <c r="K210" s="287" t="str">
        <f t="shared" si="31"/>
        <v/>
      </c>
      <c r="L210" s="287" t="str">
        <f t="shared" si="32"/>
        <v/>
      </c>
      <c r="M210" s="290" t="str">
        <f t="shared" si="33"/>
        <v/>
      </c>
      <c r="N210" s="243" t="str">
        <f>IF($A210="","",IF(ABS(E210)&gt;0.000001,COUNT($N$1:N209)+1,""))</f>
        <v/>
      </c>
      <c r="O210" s="291" t="str">
        <f>IF($A210="","",SUMIFS(Transactions!$H$2:$H$1001,Transactions!$J$2:$J$1001,$A210,Transactions!$A$2:$A$1001,2)*$I210)</f>
        <v/>
      </c>
      <c r="P210" s="291" t="str">
        <f t="shared" si="34"/>
        <v/>
      </c>
      <c r="Q210" s="292" t="str">
        <f t="shared" si="35"/>
        <v/>
      </c>
    </row>
    <row r="211" spans="1:17" ht="15" customHeight="1" x14ac:dyDescent="0.2">
      <c r="A211" s="243" t="str">
        <f>IFERROR(INDEX(Txn[Key],MATCH(0,INDEX(COUNTIF($A$1:A210,Txn[Key])+(Txn[Key]=""),0),0)),"")</f>
        <v/>
      </c>
      <c r="B211" s="243" t="str">
        <f t="shared" si="27"/>
        <v/>
      </c>
      <c r="C211" s="243" t="str">
        <f t="shared" si="28"/>
        <v/>
      </c>
      <c r="D211" s="243" t="str">
        <f t="shared" si="29"/>
        <v/>
      </c>
      <c r="E211" s="265" t="str">
        <f>IF($A211="","",SUMIFS(Txn[Signed Units],Txn[Key],$A211))</f>
        <v/>
      </c>
      <c r="F211" s="287" t="str">
        <f>IF($A211="","",SUMIFS(Txn[Buy Cost],Txn[Key],$A211))</f>
        <v/>
      </c>
      <c r="G211" s="287" t="str">
        <f>IF($A211="","",SUMIFS(Txn[Sell Proceeds],Txn[Key],$A211))</f>
        <v/>
      </c>
      <c r="H211" s="288" t="str">
        <f>IF($A211="","",IFERROR(INDEX(Prices[Current Price],MATCH($A211,Prices[Key],0)),0))</f>
        <v/>
      </c>
      <c r="I211" s="289" t="str">
        <f>IF($A211="","",IFERROR(INDEX(Prices[FX to SGD],MATCH($A211,Prices[Key],0)),1))</f>
        <v/>
      </c>
      <c r="J211" s="287" t="str">
        <f t="shared" si="30"/>
        <v/>
      </c>
      <c r="K211" s="287" t="str">
        <f t="shared" si="31"/>
        <v/>
      </c>
      <c r="L211" s="287" t="str">
        <f t="shared" si="32"/>
        <v/>
      </c>
      <c r="M211" s="290" t="str">
        <f t="shared" si="33"/>
        <v/>
      </c>
      <c r="N211" s="243" t="str">
        <f>IF($A211="","",IF(ABS(E211)&gt;0.000001,COUNT($N$1:N210)+1,""))</f>
        <v/>
      </c>
      <c r="O211" s="291" t="str">
        <f>IF($A211="","",SUMIFS(Transactions!$H$2:$H$1001,Transactions!$J$2:$J$1001,$A211,Transactions!$A$2:$A$1001,2)*$I211)</f>
        <v/>
      </c>
      <c r="P211" s="291" t="str">
        <f t="shared" si="34"/>
        <v/>
      </c>
      <c r="Q211" s="292" t="str">
        <f t="shared" si="35"/>
        <v/>
      </c>
    </row>
    <row r="212" spans="1:17" ht="15" customHeight="1" x14ac:dyDescent="0.2">
      <c r="A212" s="243" t="str">
        <f>IFERROR(INDEX(Txn[Key],MATCH(0,INDEX(COUNTIF($A$1:A211,Txn[Key])+(Txn[Key]=""),0),0)),"")</f>
        <v/>
      </c>
      <c r="B212" s="243" t="str">
        <f t="shared" si="27"/>
        <v/>
      </c>
      <c r="C212" s="243" t="str">
        <f t="shared" si="28"/>
        <v/>
      </c>
      <c r="D212" s="243" t="str">
        <f t="shared" si="29"/>
        <v/>
      </c>
      <c r="E212" s="265" t="str">
        <f>IF($A212="","",SUMIFS(Txn[Signed Units],Txn[Key],$A212))</f>
        <v/>
      </c>
      <c r="F212" s="287" t="str">
        <f>IF($A212="","",SUMIFS(Txn[Buy Cost],Txn[Key],$A212))</f>
        <v/>
      </c>
      <c r="G212" s="287" t="str">
        <f>IF($A212="","",SUMIFS(Txn[Sell Proceeds],Txn[Key],$A212))</f>
        <v/>
      </c>
      <c r="H212" s="288" t="str">
        <f>IF($A212="","",IFERROR(INDEX(Prices[Current Price],MATCH($A212,Prices[Key],0)),0))</f>
        <v/>
      </c>
      <c r="I212" s="289" t="str">
        <f>IF($A212="","",IFERROR(INDEX(Prices[FX to SGD],MATCH($A212,Prices[Key],0)),1))</f>
        <v/>
      </c>
      <c r="J212" s="287" t="str">
        <f t="shared" si="30"/>
        <v/>
      </c>
      <c r="K212" s="287" t="str">
        <f t="shared" si="31"/>
        <v/>
      </c>
      <c r="L212" s="287" t="str">
        <f t="shared" si="32"/>
        <v/>
      </c>
      <c r="M212" s="290" t="str">
        <f t="shared" si="33"/>
        <v/>
      </c>
      <c r="N212" s="243" t="str">
        <f>IF($A212="","",IF(ABS(E212)&gt;0.000001,COUNT($N$1:N211)+1,""))</f>
        <v/>
      </c>
      <c r="O212" s="291" t="str">
        <f>IF($A212="","",SUMIFS(Transactions!$H$2:$H$1001,Transactions!$J$2:$J$1001,$A212,Transactions!$A$2:$A$1001,2)*$I212)</f>
        <v/>
      </c>
      <c r="P212" s="291" t="str">
        <f t="shared" si="34"/>
        <v/>
      </c>
      <c r="Q212" s="292" t="str">
        <f t="shared" si="35"/>
        <v/>
      </c>
    </row>
    <row r="213" spans="1:17" ht="15" customHeight="1" x14ac:dyDescent="0.2">
      <c r="A213" s="243" t="str">
        <f>IFERROR(INDEX(Txn[Key],MATCH(0,INDEX(COUNTIF($A$1:A212,Txn[Key])+(Txn[Key]=""),0),0)),"")</f>
        <v/>
      </c>
      <c r="B213" s="243" t="str">
        <f t="shared" si="27"/>
        <v/>
      </c>
      <c r="C213" s="243" t="str">
        <f t="shared" si="28"/>
        <v/>
      </c>
      <c r="D213" s="243" t="str">
        <f t="shared" si="29"/>
        <v/>
      </c>
      <c r="E213" s="265" t="str">
        <f>IF($A213="","",SUMIFS(Txn[Signed Units],Txn[Key],$A213))</f>
        <v/>
      </c>
      <c r="F213" s="287" t="str">
        <f>IF($A213="","",SUMIFS(Txn[Buy Cost],Txn[Key],$A213))</f>
        <v/>
      </c>
      <c r="G213" s="287" t="str">
        <f>IF($A213="","",SUMIFS(Txn[Sell Proceeds],Txn[Key],$A213))</f>
        <v/>
      </c>
      <c r="H213" s="288" t="str">
        <f>IF($A213="","",IFERROR(INDEX(Prices[Current Price],MATCH($A213,Prices[Key],0)),0))</f>
        <v/>
      </c>
      <c r="I213" s="289" t="str">
        <f>IF($A213="","",IFERROR(INDEX(Prices[FX to SGD],MATCH($A213,Prices[Key],0)),1))</f>
        <v/>
      </c>
      <c r="J213" s="287" t="str">
        <f t="shared" si="30"/>
        <v/>
      </c>
      <c r="K213" s="287" t="str">
        <f t="shared" si="31"/>
        <v/>
      </c>
      <c r="L213" s="287" t="str">
        <f t="shared" si="32"/>
        <v/>
      </c>
      <c r="M213" s="290" t="str">
        <f t="shared" si="33"/>
        <v/>
      </c>
      <c r="N213" s="243" t="str">
        <f>IF($A213="","",IF(ABS(E213)&gt;0.000001,COUNT($N$1:N212)+1,""))</f>
        <v/>
      </c>
      <c r="O213" s="291" t="str">
        <f>IF($A213="","",SUMIFS(Transactions!$H$2:$H$1001,Transactions!$J$2:$J$1001,$A213,Transactions!$A$2:$A$1001,2)*$I213)</f>
        <v/>
      </c>
      <c r="P213" s="291" t="str">
        <f t="shared" si="34"/>
        <v/>
      </c>
      <c r="Q213" s="292" t="str">
        <f t="shared" si="35"/>
        <v/>
      </c>
    </row>
    <row r="214" spans="1:17" ht="15" customHeight="1" x14ac:dyDescent="0.2">
      <c r="A214" s="243" t="str">
        <f>IFERROR(INDEX(Txn[Key],MATCH(0,INDEX(COUNTIF($A$1:A213,Txn[Key])+(Txn[Key]=""),0),0)),"")</f>
        <v/>
      </c>
      <c r="B214" s="243" t="str">
        <f t="shared" si="27"/>
        <v/>
      </c>
      <c r="C214" s="243" t="str">
        <f t="shared" si="28"/>
        <v/>
      </c>
      <c r="D214" s="243" t="str">
        <f t="shared" si="29"/>
        <v/>
      </c>
      <c r="E214" s="265" t="str">
        <f>IF($A214="","",SUMIFS(Txn[Signed Units],Txn[Key],$A214))</f>
        <v/>
      </c>
      <c r="F214" s="287" t="str">
        <f>IF($A214="","",SUMIFS(Txn[Buy Cost],Txn[Key],$A214))</f>
        <v/>
      </c>
      <c r="G214" s="287" t="str">
        <f>IF($A214="","",SUMIFS(Txn[Sell Proceeds],Txn[Key],$A214))</f>
        <v/>
      </c>
      <c r="H214" s="288" t="str">
        <f>IF($A214="","",IFERROR(INDEX(Prices[Current Price],MATCH($A214,Prices[Key],0)),0))</f>
        <v/>
      </c>
      <c r="I214" s="289" t="str">
        <f>IF($A214="","",IFERROR(INDEX(Prices[FX to SGD],MATCH($A214,Prices[Key],0)),1))</f>
        <v/>
      </c>
      <c r="J214" s="287" t="str">
        <f t="shared" si="30"/>
        <v/>
      </c>
      <c r="K214" s="287" t="str">
        <f t="shared" si="31"/>
        <v/>
      </c>
      <c r="L214" s="287" t="str">
        <f t="shared" si="32"/>
        <v/>
      </c>
      <c r="M214" s="290" t="str">
        <f t="shared" si="33"/>
        <v/>
      </c>
      <c r="N214" s="243" t="str">
        <f>IF($A214="","",IF(ABS(E214)&gt;0.000001,COUNT($N$1:N213)+1,""))</f>
        <v/>
      </c>
      <c r="O214" s="291" t="str">
        <f>IF($A214="","",SUMIFS(Transactions!$H$2:$H$1001,Transactions!$J$2:$J$1001,$A214,Transactions!$A$2:$A$1001,2)*$I214)</f>
        <v/>
      </c>
      <c r="P214" s="291" t="str">
        <f t="shared" si="34"/>
        <v/>
      </c>
      <c r="Q214" s="292" t="str">
        <f t="shared" si="35"/>
        <v/>
      </c>
    </row>
    <row r="215" spans="1:17" ht="15" customHeight="1" x14ac:dyDescent="0.2">
      <c r="A215" s="243" t="str">
        <f>IFERROR(INDEX(Txn[Key],MATCH(0,INDEX(COUNTIF($A$1:A214,Txn[Key])+(Txn[Key]=""),0),0)),"")</f>
        <v/>
      </c>
      <c r="B215" s="243" t="str">
        <f t="shared" si="27"/>
        <v/>
      </c>
      <c r="C215" s="243" t="str">
        <f t="shared" si="28"/>
        <v/>
      </c>
      <c r="D215" s="243" t="str">
        <f t="shared" si="29"/>
        <v/>
      </c>
      <c r="E215" s="265" t="str">
        <f>IF($A215="","",SUMIFS(Txn[Signed Units],Txn[Key],$A215))</f>
        <v/>
      </c>
      <c r="F215" s="287" t="str">
        <f>IF($A215="","",SUMIFS(Txn[Buy Cost],Txn[Key],$A215))</f>
        <v/>
      </c>
      <c r="G215" s="287" t="str">
        <f>IF($A215="","",SUMIFS(Txn[Sell Proceeds],Txn[Key],$A215))</f>
        <v/>
      </c>
      <c r="H215" s="288" t="str">
        <f>IF($A215="","",IFERROR(INDEX(Prices[Current Price],MATCH($A215,Prices[Key],0)),0))</f>
        <v/>
      </c>
      <c r="I215" s="289" t="str">
        <f>IF($A215="","",IFERROR(INDEX(Prices[FX to SGD],MATCH($A215,Prices[Key],0)),1))</f>
        <v/>
      </c>
      <c r="J215" s="287" t="str">
        <f t="shared" si="30"/>
        <v/>
      </c>
      <c r="K215" s="287" t="str">
        <f t="shared" si="31"/>
        <v/>
      </c>
      <c r="L215" s="287" t="str">
        <f t="shared" si="32"/>
        <v/>
      </c>
      <c r="M215" s="290" t="str">
        <f t="shared" si="33"/>
        <v/>
      </c>
      <c r="N215" s="243" t="str">
        <f>IF($A215="","",IF(ABS(E215)&gt;0.000001,COUNT($N$1:N214)+1,""))</f>
        <v/>
      </c>
      <c r="O215" s="291" t="str">
        <f>IF($A215="","",SUMIFS(Transactions!$H$2:$H$1001,Transactions!$J$2:$J$1001,$A215,Transactions!$A$2:$A$1001,2)*$I215)</f>
        <v/>
      </c>
      <c r="P215" s="291" t="str">
        <f t="shared" si="34"/>
        <v/>
      </c>
      <c r="Q215" s="292" t="str">
        <f t="shared" si="35"/>
        <v/>
      </c>
    </row>
    <row r="216" spans="1:17" ht="15" customHeight="1" x14ac:dyDescent="0.2">
      <c r="A216" s="243" t="str">
        <f>IFERROR(INDEX(Txn[Key],MATCH(0,INDEX(COUNTIF($A$1:A215,Txn[Key])+(Txn[Key]=""),0),0)),"")</f>
        <v/>
      </c>
      <c r="B216" s="243" t="str">
        <f t="shared" si="27"/>
        <v/>
      </c>
      <c r="C216" s="243" t="str">
        <f t="shared" si="28"/>
        <v/>
      </c>
      <c r="D216" s="243" t="str">
        <f t="shared" si="29"/>
        <v/>
      </c>
      <c r="E216" s="265" t="str">
        <f>IF($A216="","",SUMIFS(Txn[Signed Units],Txn[Key],$A216))</f>
        <v/>
      </c>
      <c r="F216" s="287" t="str">
        <f>IF($A216="","",SUMIFS(Txn[Buy Cost],Txn[Key],$A216))</f>
        <v/>
      </c>
      <c r="G216" s="287" t="str">
        <f>IF($A216="","",SUMIFS(Txn[Sell Proceeds],Txn[Key],$A216))</f>
        <v/>
      </c>
      <c r="H216" s="288" t="str">
        <f>IF($A216="","",IFERROR(INDEX(Prices[Current Price],MATCH($A216,Prices[Key],0)),0))</f>
        <v/>
      </c>
      <c r="I216" s="289" t="str">
        <f>IF($A216="","",IFERROR(INDEX(Prices[FX to SGD],MATCH($A216,Prices[Key],0)),1))</f>
        <v/>
      </c>
      <c r="J216" s="287" t="str">
        <f t="shared" si="30"/>
        <v/>
      </c>
      <c r="K216" s="287" t="str">
        <f t="shared" si="31"/>
        <v/>
      </c>
      <c r="L216" s="287" t="str">
        <f t="shared" si="32"/>
        <v/>
      </c>
      <c r="M216" s="290" t="str">
        <f t="shared" si="33"/>
        <v/>
      </c>
      <c r="N216" s="243" t="str">
        <f>IF($A216="","",IF(ABS(E216)&gt;0.000001,COUNT($N$1:N215)+1,""))</f>
        <v/>
      </c>
      <c r="O216" s="291" t="str">
        <f>IF($A216="","",SUMIFS(Transactions!$H$2:$H$1001,Transactions!$J$2:$J$1001,$A216,Transactions!$A$2:$A$1001,2)*$I216)</f>
        <v/>
      </c>
      <c r="P216" s="291" t="str">
        <f t="shared" si="34"/>
        <v/>
      </c>
      <c r="Q216" s="292" t="str">
        <f t="shared" si="35"/>
        <v/>
      </c>
    </row>
    <row r="217" spans="1:17" ht="15" customHeight="1" x14ac:dyDescent="0.2">
      <c r="A217" s="243" t="str">
        <f>IFERROR(INDEX(Txn[Key],MATCH(0,INDEX(COUNTIF($A$1:A216,Txn[Key])+(Txn[Key]=""),0),0)),"")</f>
        <v/>
      </c>
      <c r="B217" s="243" t="str">
        <f t="shared" si="27"/>
        <v/>
      </c>
      <c r="C217" s="243" t="str">
        <f t="shared" si="28"/>
        <v/>
      </c>
      <c r="D217" s="243" t="str">
        <f t="shared" si="29"/>
        <v/>
      </c>
      <c r="E217" s="265" t="str">
        <f>IF($A217="","",SUMIFS(Txn[Signed Units],Txn[Key],$A217))</f>
        <v/>
      </c>
      <c r="F217" s="287" t="str">
        <f>IF($A217="","",SUMIFS(Txn[Buy Cost],Txn[Key],$A217))</f>
        <v/>
      </c>
      <c r="G217" s="287" t="str">
        <f>IF($A217="","",SUMIFS(Txn[Sell Proceeds],Txn[Key],$A217))</f>
        <v/>
      </c>
      <c r="H217" s="288" t="str">
        <f>IF($A217="","",IFERROR(INDEX(Prices[Current Price],MATCH($A217,Prices[Key],0)),0))</f>
        <v/>
      </c>
      <c r="I217" s="289" t="str">
        <f>IF($A217="","",IFERROR(INDEX(Prices[FX to SGD],MATCH($A217,Prices[Key],0)),1))</f>
        <v/>
      </c>
      <c r="J217" s="287" t="str">
        <f t="shared" si="30"/>
        <v/>
      </c>
      <c r="K217" s="287" t="str">
        <f t="shared" si="31"/>
        <v/>
      </c>
      <c r="L217" s="287" t="str">
        <f t="shared" si="32"/>
        <v/>
      </c>
      <c r="M217" s="290" t="str">
        <f t="shared" si="33"/>
        <v/>
      </c>
      <c r="N217" s="243" t="str">
        <f>IF($A217="","",IF(ABS(E217)&gt;0.000001,COUNT($N$1:N216)+1,""))</f>
        <v/>
      </c>
      <c r="O217" s="291" t="str">
        <f>IF($A217="","",SUMIFS(Transactions!$H$2:$H$1001,Transactions!$J$2:$J$1001,$A217,Transactions!$A$2:$A$1001,2)*$I217)</f>
        <v/>
      </c>
      <c r="P217" s="291" t="str">
        <f t="shared" si="34"/>
        <v/>
      </c>
      <c r="Q217" s="292" t="str">
        <f t="shared" si="35"/>
        <v/>
      </c>
    </row>
    <row r="218" spans="1:17" ht="15" customHeight="1" x14ac:dyDescent="0.2">
      <c r="A218" s="243" t="str">
        <f>IFERROR(INDEX(Txn[Key],MATCH(0,INDEX(COUNTIF($A$1:A217,Txn[Key])+(Txn[Key]=""),0),0)),"")</f>
        <v/>
      </c>
      <c r="B218" s="243" t="str">
        <f t="shared" si="27"/>
        <v/>
      </c>
      <c r="C218" s="243" t="str">
        <f t="shared" si="28"/>
        <v/>
      </c>
      <c r="D218" s="243" t="str">
        <f t="shared" si="29"/>
        <v/>
      </c>
      <c r="E218" s="265" t="str">
        <f>IF($A218="","",SUMIFS(Txn[Signed Units],Txn[Key],$A218))</f>
        <v/>
      </c>
      <c r="F218" s="287" t="str">
        <f>IF($A218="","",SUMIFS(Txn[Buy Cost],Txn[Key],$A218))</f>
        <v/>
      </c>
      <c r="G218" s="287" t="str">
        <f>IF($A218="","",SUMIFS(Txn[Sell Proceeds],Txn[Key],$A218))</f>
        <v/>
      </c>
      <c r="H218" s="288" t="str">
        <f>IF($A218="","",IFERROR(INDEX(Prices[Current Price],MATCH($A218,Prices[Key],0)),0))</f>
        <v/>
      </c>
      <c r="I218" s="289" t="str">
        <f>IF($A218="","",IFERROR(INDEX(Prices[FX to SGD],MATCH($A218,Prices[Key],0)),1))</f>
        <v/>
      </c>
      <c r="J218" s="287" t="str">
        <f t="shared" si="30"/>
        <v/>
      </c>
      <c r="K218" s="287" t="str">
        <f t="shared" si="31"/>
        <v/>
      </c>
      <c r="L218" s="287" t="str">
        <f t="shared" si="32"/>
        <v/>
      </c>
      <c r="M218" s="290" t="str">
        <f t="shared" si="33"/>
        <v/>
      </c>
      <c r="N218" s="243" t="str">
        <f>IF($A218="","",IF(ABS(E218)&gt;0.000001,COUNT($N$1:N217)+1,""))</f>
        <v/>
      </c>
      <c r="O218" s="291" t="str">
        <f>IF($A218="","",SUMIFS(Transactions!$H$2:$H$1001,Transactions!$J$2:$J$1001,$A218,Transactions!$A$2:$A$1001,2)*$I218)</f>
        <v/>
      </c>
      <c r="P218" s="291" t="str">
        <f t="shared" si="34"/>
        <v/>
      </c>
      <c r="Q218" s="292" t="str">
        <f t="shared" si="35"/>
        <v/>
      </c>
    </row>
    <row r="219" spans="1:17" ht="15" customHeight="1" x14ac:dyDescent="0.2">
      <c r="A219" s="243" t="str">
        <f>IFERROR(INDEX(Txn[Key],MATCH(0,INDEX(COUNTIF($A$1:A218,Txn[Key])+(Txn[Key]=""),0),0)),"")</f>
        <v/>
      </c>
      <c r="B219" s="243" t="str">
        <f t="shared" si="27"/>
        <v/>
      </c>
      <c r="C219" s="243" t="str">
        <f t="shared" si="28"/>
        <v/>
      </c>
      <c r="D219" s="243" t="str">
        <f t="shared" si="29"/>
        <v/>
      </c>
      <c r="E219" s="265" t="str">
        <f>IF($A219="","",SUMIFS(Txn[Signed Units],Txn[Key],$A219))</f>
        <v/>
      </c>
      <c r="F219" s="287" t="str">
        <f>IF($A219="","",SUMIFS(Txn[Buy Cost],Txn[Key],$A219))</f>
        <v/>
      </c>
      <c r="G219" s="287" t="str">
        <f>IF($A219="","",SUMIFS(Txn[Sell Proceeds],Txn[Key],$A219))</f>
        <v/>
      </c>
      <c r="H219" s="288" t="str">
        <f>IF($A219="","",IFERROR(INDEX(Prices[Current Price],MATCH($A219,Prices[Key],0)),0))</f>
        <v/>
      </c>
      <c r="I219" s="289" t="str">
        <f>IF($A219="","",IFERROR(INDEX(Prices[FX to SGD],MATCH($A219,Prices[Key],0)),1))</f>
        <v/>
      </c>
      <c r="J219" s="287" t="str">
        <f t="shared" si="30"/>
        <v/>
      </c>
      <c r="K219" s="287" t="str">
        <f t="shared" si="31"/>
        <v/>
      </c>
      <c r="L219" s="287" t="str">
        <f t="shared" si="32"/>
        <v/>
      </c>
      <c r="M219" s="290" t="str">
        <f t="shared" si="33"/>
        <v/>
      </c>
      <c r="N219" s="243" t="str">
        <f>IF($A219="","",IF(ABS(E219)&gt;0.000001,COUNT($N$1:N218)+1,""))</f>
        <v/>
      </c>
      <c r="O219" s="291" t="str">
        <f>IF($A219="","",SUMIFS(Transactions!$H$2:$H$1001,Transactions!$J$2:$J$1001,$A219,Transactions!$A$2:$A$1001,2)*$I219)</f>
        <v/>
      </c>
      <c r="P219" s="291" t="str">
        <f t="shared" si="34"/>
        <v/>
      </c>
      <c r="Q219" s="292" t="str">
        <f t="shared" si="35"/>
        <v/>
      </c>
    </row>
    <row r="220" spans="1:17" ht="15" customHeight="1" x14ac:dyDescent="0.2">
      <c r="A220" s="243" t="str">
        <f>IFERROR(INDEX(Txn[Key],MATCH(0,INDEX(COUNTIF($A$1:A219,Txn[Key])+(Txn[Key]=""),0),0)),"")</f>
        <v/>
      </c>
      <c r="B220" s="243" t="str">
        <f t="shared" si="27"/>
        <v/>
      </c>
      <c r="C220" s="243" t="str">
        <f t="shared" si="28"/>
        <v/>
      </c>
      <c r="D220" s="243" t="str">
        <f t="shared" si="29"/>
        <v/>
      </c>
      <c r="E220" s="265" t="str">
        <f>IF($A220="","",SUMIFS(Txn[Signed Units],Txn[Key],$A220))</f>
        <v/>
      </c>
      <c r="F220" s="287" t="str">
        <f>IF($A220="","",SUMIFS(Txn[Buy Cost],Txn[Key],$A220))</f>
        <v/>
      </c>
      <c r="G220" s="287" t="str">
        <f>IF($A220="","",SUMIFS(Txn[Sell Proceeds],Txn[Key],$A220))</f>
        <v/>
      </c>
      <c r="H220" s="288" t="str">
        <f>IF($A220="","",IFERROR(INDEX(Prices[Current Price],MATCH($A220,Prices[Key],0)),0))</f>
        <v/>
      </c>
      <c r="I220" s="289" t="str">
        <f>IF($A220="","",IFERROR(INDEX(Prices[FX to SGD],MATCH($A220,Prices[Key],0)),1))</f>
        <v/>
      </c>
      <c r="J220" s="287" t="str">
        <f t="shared" si="30"/>
        <v/>
      </c>
      <c r="K220" s="287" t="str">
        <f t="shared" si="31"/>
        <v/>
      </c>
      <c r="L220" s="287" t="str">
        <f t="shared" si="32"/>
        <v/>
      </c>
      <c r="M220" s="290" t="str">
        <f t="shared" si="33"/>
        <v/>
      </c>
      <c r="N220" s="243" t="str">
        <f>IF($A220="","",IF(ABS(E220)&gt;0.000001,COUNT($N$1:N219)+1,""))</f>
        <v/>
      </c>
      <c r="O220" s="291" t="str">
        <f>IF($A220="","",SUMIFS(Transactions!$H$2:$H$1001,Transactions!$J$2:$J$1001,$A220,Transactions!$A$2:$A$1001,2)*$I220)</f>
        <v/>
      </c>
      <c r="P220" s="291" t="str">
        <f t="shared" si="34"/>
        <v/>
      </c>
      <c r="Q220" s="292" t="str">
        <f t="shared" si="35"/>
        <v/>
      </c>
    </row>
    <row r="221" spans="1:17" ht="15" customHeight="1" x14ac:dyDescent="0.2">
      <c r="A221" s="243" t="str">
        <f>IFERROR(INDEX(Txn[Key],MATCH(0,INDEX(COUNTIF($A$1:A220,Txn[Key])+(Txn[Key]=""),0),0)),"")</f>
        <v/>
      </c>
      <c r="B221" s="243" t="str">
        <f t="shared" si="27"/>
        <v/>
      </c>
      <c r="C221" s="243" t="str">
        <f t="shared" si="28"/>
        <v/>
      </c>
      <c r="D221" s="243" t="str">
        <f t="shared" si="29"/>
        <v/>
      </c>
      <c r="E221" s="265" t="str">
        <f>IF($A221="","",SUMIFS(Txn[Signed Units],Txn[Key],$A221))</f>
        <v/>
      </c>
      <c r="F221" s="287" t="str">
        <f>IF($A221="","",SUMIFS(Txn[Buy Cost],Txn[Key],$A221))</f>
        <v/>
      </c>
      <c r="G221" s="287" t="str">
        <f>IF($A221="","",SUMIFS(Txn[Sell Proceeds],Txn[Key],$A221))</f>
        <v/>
      </c>
      <c r="H221" s="288" t="str">
        <f>IF($A221="","",IFERROR(INDEX(Prices[Current Price],MATCH($A221,Prices[Key],0)),0))</f>
        <v/>
      </c>
      <c r="I221" s="289" t="str">
        <f>IF($A221="","",IFERROR(INDEX(Prices[FX to SGD],MATCH($A221,Prices[Key],0)),1))</f>
        <v/>
      </c>
      <c r="J221" s="287" t="str">
        <f t="shared" si="30"/>
        <v/>
      </c>
      <c r="K221" s="287" t="str">
        <f t="shared" si="31"/>
        <v/>
      </c>
      <c r="L221" s="287" t="str">
        <f t="shared" si="32"/>
        <v/>
      </c>
      <c r="M221" s="290" t="str">
        <f t="shared" si="33"/>
        <v/>
      </c>
      <c r="N221" s="243" t="str">
        <f>IF($A221="","",IF(ABS(E221)&gt;0.000001,COUNT($N$1:N220)+1,""))</f>
        <v/>
      </c>
      <c r="O221" s="291" t="str">
        <f>IF($A221="","",SUMIFS(Transactions!$H$2:$H$1001,Transactions!$J$2:$J$1001,$A221,Transactions!$A$2:$A$1001,2)*$I221)</f>
        <v/>
      </c>
      <c r="P221" s="291" t="str">
        <f t="shared" si="34"/>
        <v/>
      </c>
      <c r="Q221" s="292" t="str">
        <f t="shared" si="35"/>
        <v/>
      </c>
    </row>
    <row r="222" spans="1:17" ht="15" customHeight="1" x14ac:dyDescent="0.2">
      <c r="A222" s="243" t="str">
        <f>IFERROR(INDEX(Txn[Key],MATCH(0,INDEX(COUNTIF($A$1:A221,Txn[Key])+(Txn[Key]=""),0),0)),"")</f>
        <v/>
      </c>
      <c r="B222" s="243" t="str">
        <f t="shared" si="27"/>
        <v/>
      </c>
      <c r="C222" s="243" t="str">
        <f t="shared" si="28"/>
        <v/>
      </c>
      <c r="D222" s="243" t="str">
        <f t="shared" si="29"/>
        <v/>
      </c>
      <c r="E222" s="265" t="str">
        <f>IF($A222="","",SUMIFS(Txn[Signed Units],Txn[Key],$A222))</f>
        <v/>
      </c>
      <c r="F222" s="287" t="str">
        <f>IF($A222="","",SUMIFS(Txn[Buy Cost],Txn[Key],$A222))</f>
        <v/>
      </c>
      <c r="G222" s="287" t="str">
        <f>IF($A222="","",SUMIFS(Txn[Sell Proceeds],Txn[Key],$A222))</f>
        <v/>
      </c>
      <c r="H222" s="288" t="str">
        <f>IF($A222="","",IFERROR(INDEX(Prices[Current Price],MATCH($A222,Prices[Key],0)),0))</f>
        <v/>
      </c>
      <c r="I222" s="289" t="str">
        <f>IF($A222="","",IFERROR(INDEX(Prices[FX to SGD],MATCH($A222,Prices[Key],0)),1))</f>
        <v/>
      </c>
      <c r="J222" s="287" t="str">
        <f t="shared" si="30"/>
        <v/>
      </c>
      <c r="K222" s="287" t="str">
        <f t="shared" si="31"/>
        <v/>
      </c>
      <c r="L222" s="287" t="str">
        <f t="shared" si="32"/>
        <v/>
      </c>
      <c r="M222" s="290" t="str">
        <f t="shared" si="33"/>
        <v/>
      </c>
      <c r="N222" s="243" t="str">
        <f>IF($A222="","",IF(ABS(E222)&gt;0.000001,COUNT($N$1:N221)+1,""))</f>
        <v/>
      </c>
      <c r="O222" s="291" t="str">
        <f>IF($A222="","",SUMIFS(Transactions!$H$2:$H$1001,Transactions!$J$2:$J$1001,$A222,Transactions!$A$2:$A$1001,2)*$I222)</f>
        <v/>
      </c>
      <c r="P222" s="291" t="str">
        <f t="shared" si="34"/>
        <v/>
      </c>
      <c r="Q222" s="292" t="str">
        <f t="shared" si="35"/>
        <v/>
      </c>
    </row>
    <row r="223" spans="1:17" ht="15" customHeight="1" x14ac:dyDescent="0.2">
      <c r="A223" s="243" t="str">
        <f>IFERROR(INDEX(Txn[Key],MATCH(0,INDEX(COUNTIF($A$1:A222,Txn[Key])+(Txn[Key]=""),0),0)),"")</f>
        <v/>
      </c>
      <c r="B223" s="243" t="str">
        <f t="shared" si="27"/>
        <v/>
      </c>
      <c r="C223" s="243" t="str">
        <f t="shared" si="28"/>
        <v/>
      </c>
      <c r="D223" s="243" t="str">
        <f t="shared" si="29"/>
        <v/>
      </c>
      <c r="E223" s="265" t="str">
        <f>IF($A223="","",SUMIFS(Txn[Signed Units],Txn[Key],$A223))</f>
        <v/>
      </c>
      <c r="F223" s="287" t="str">
        <f>IF($A223="","",SUMIFS(Txn[Buy Cost],Txn[Key],$A223))</f>
        <v/>
      </c>
      <c r="G223" s="287" t="str">
        <f>IF($A223="","",SUMIFS(Txn[Sell Proceeds],Txn[Key],$A223))</f>
        <v/>
      </c>
      <c r="H223" s="288" t="str">
        <f>IF($A223="","",IFERROR(INDEX(Prices[Current Price],MATCH($A223,Prices[Key],0)),0))</f>
        <v/>
      </c>
      <c r="I223" s="289" t="str">
        <f>IF($A223="","",IFERROR(INDEX(Prices[FX to SGD],MATCH($A223,Prices[Key],0)),1))</f>
        <v/>
      </c>
      <c r="J223" s="287" t="str">
        <f t="shared" si="30"/>
        <v/>
      </c>
      <c r="K223" s="287" t="str">
        <f t="shared" si="31"/>
        <v/>
      </c>
      <c r="L223" s="287" t="str">
        <f t="shared" si="32"/>
        <v/>
      </c>
      <c r="M223" s="290" t="str">
        <f t="shared" si="33"/>
        <v/>
      </c>
      <c r="N223" s="243" t="str">
        <f>IF($A223="","",IF(ABS(E223)&gt;0.000001,COUNT($N$1:N222)+1,""))</f>
        <v/>
      </c>
      <c r="O223" s="291" t="str">
        <f>IF($A223="","",SUMIFS(Transactions!$H$2:$H$1001,Transactions!$J$2:$J$1001,$A223,Transactions!$A$2:$A$1001,2)*$I223)</f>
        <v/>
      </c>
      <c r="P223" s="291" t="str">
        <f t="shared" si="34"/>
        <v/>
      </c>
      <c r="Q223" s="292" t="str">
        <f t="shared" si="35"/>
        <v/>
      </c>
    </row>
    <row r="224" spans="1:17" ht="15" customHeight="1" x14ac:dyDescent="0.2">
      <c r="A224" s="243" t="str">
        <f>IFERROR(INDEX(Txn[Key],MATCH(0,INDEX(COUNTIF($A$1:A223,Txn[Key])+(Txn[Key]=""),0),0)),"")</f>
        <v/>
      </c>
      <c r="B224" s="243" t="str">
        <f t="shared" si="27"/>
        <v/>
      </c>
      <c r="C224" s="243" t="str">
        <f t="shared" si="28"/>
        <v/>
      </c>
      <c r="D224" s="243" t="str">
        <f t="shared" si="29"/>
        <v/>
      </c>
      <c r="E224" s="265" t="str">
        <f>IF($A224="","",SUMIFS(Txn[Signed Units],Txn[Key],$A224))</f>
        <v/>
      </c>
      <c r="F224" s="287" t="str">
        <f>IF($A224="","",SUMIFS(Txn[Buy Cost],Txn[Key],$A224))</f>
        <v/>
      </c>
      <c r="G224" s="287" t="str">
        <f>IF($A224="","",SUMIFS(Txn[Sell Proceeds],Txn[Key],$A224))</f>
        <v/>
      </c>
      <c r="H224" s="288" t="str">
        <f>IF($A224="","",IFERROR(INDEX(Prices[Current Price],MATCH($A224,Prices[Key],0)),0))</f>
        <v/>
      </c>
      <c r="I224" s="289" t="str">
        <f>IF($A224="","",IFERROR(INDEX(Prices[FX to SGD],MATCH($A224,Prices[Key],0)),1))</f>
        <v/>
      </c>
      <c r="J224" s="287" t="str">
        <f t="shared" si="30"/>
        <v/>
      </c>
      <c r="K224" s="287" t="str">
        <f t="shared" si="31"/>
        <v/>
      </c>
      <c r="L224" s="287" t="str">
        <f t="shared" si="32"/>
        <v/>
      </c>
      <c r="M224" s="290" t="str">
        <f t="shared" si="33"/>
        <v/>
      </c>
      <c r="N224" s="243" t="str">
        <f>IF($A224="","",IF(ABS(E224)&gt;0.000001,COUNT($N$1:N223)+1,""))</f>
        <v/>
      </c>
      <c r="O224" s="291" t="str">
        <f>IF($A224="","",SUMIFS(Transactions!$H$2:$H$1001,Transactions!$J$2:$J$1001,$A224,Transactions!$A$2:$A$1001,2)*$I224)</f>
        <v/>
      </c>
      <c r="P224" s="291" t="str">
        <f t="shared" si="34"/>
        <v/>
      </c>
      <c r="Q224" s="292" t="str">
        <f t="shared" si="35"/>
        <v/>
      </c>
    </row>
    <row r="225" spans="1:17" ht="15" customHeight="1" x14ac:dyDescent="0.2">
      <c r="A225" s="243" t="str">
        <f>IFERROR(INDEX(Txn[Key],MATCH(0,INDEX(COUNTIF($A$1:A224,Txn[Key])+(Txn[Key]=""),0),0)),"")</f>
        <v/>
      </c>
      <c r="B225" s="243" t="str">
        <f t="shared" si="27"/>
        <v/>
      </c>
      <c r="C225" s="243" t="str">
        <f t="shared" si="28"/>
        <v/>
      </c>
      <c r="D225" s="243" t="str">
        <f t="shared" si="29"/>
        <v/>
      </c>
      <c r="E225" s="265" t="str">
        <f>IF($A225="","",SUMIFS(Txn[Signed Units],Txn[Key],$A225))</f>
        <v/>
      </c>
      <c r="F225" s="287" t="str">
        <f>IF($A225="","",SUMIFS(Txn[Buy Cost],Txn[Key],$A225))</f>
        <v/>
      </c>
      <c r="G225" s="287" t="str">
        <f>IF($A225="","",SUMIFS(Txn[Sell Proceeds],Txn[Key],$A225))</f>
        <v/>
      </c>
      <c r="H225" s="288" t="str">
        <f>IF($A225="","",IFERROR(INDEX(Prices[Current Price],MATCH($A225,Prices[Key],0)),0))</f>
        <v/>
      </c>
      <c r="I225" s="289" t="str">
        <f>IF($A225="","",IFERROR(INDEX(Prices[FX to SGD],MATCH($A225,Prices[Key],0)),1))</f>
        <v/>
      </c>
      <c r="J225" s="287" t="str">
        <f t="shared" si="30"/>
        <v/>
      </c>
      <c r="K225" s="287" t="str">
        <f t="shared" si="31"/>
        <v/>
      </c>
      <c r="L225" s="287" t="str">
        <f t="shared" si="32"/>
        <v/>
      </c>
      <c r="M225" s="290" t="str">
        <f t="shared" si="33"/>
        <v/>
      </c>
      <c r="N225" s="243" t="str">
        <f>IF($A225="","",IF(ABS(E225)&gt;0.000001,COUNT($N$1:N224)+1,""))</f>
        <v/>
      </c>
      <c r="O225" s="291" t="str">
        <f>IF($A225="","",SUMIFS(Transactions!$H$2:$H$1001,Transactions!$J$2:$J$1001,$A225,Transactions!$A$2:$A$1001,2)*$I225)</f>
        <v/>
      </c>
      <c r="P225" s="291" t="str">
        <f t="shared" si="34"/>
        <v/>
      </c>
      <c r="Q225" s="292" t="str">
        <f t="shared" si="35"/>
        <v/>
      </c>
    </row>
    <row r="226" spans="1:17" ht="15" customHeight="1" x14ac:dyDescent="0.2">
      <c r="A226" s="243" t="str">
        <f>IFERROR(INDEX(Txn[Key],MATCH(0,INDEX(COUNTIF($A$1:A225,Txn[Key])+(Txn[Key]=""),0),0)),"")</f>
        <v/>
      </c>
      <c r="B226" s="243" t="str">
        <f t="shared" si="27"/>
        <v/>
      </c>
      <c r="C226" s="243" t="str">
        <f t="shared" si="28"/>
        <v/>
      </c>
      <c r="D226" s="243" t="str">
        <f t="shared" si="29"/>
        <v/>
      </c>
      <c r="E226" s="265" t="str">
        <f>IF($A226="","",SUMIFS(Txn[Signed Units],Txn[Key],$A226))</f>
        <v/>
      </c>
      <c r="F226" s="287" t="str">
        <f>IF($A226="","",SUMIFS(Txn[Buy Cost],Txn[Key],$A226))</f>
        <v/>
      </c>
      <c r="G226" s="287" t="str">
        <f>IF($A226="","",SUMIFS(Txn[Sell Proceeds],Txn[Key],$A226))</f>
        <v/>
      </c>
      <c r="H226" s="288" t="str">
        <f>IF($A226="","",IFERROR(INDEX(Prices[Current Price],MATCH($A226,Prices[Key],0)),0))</f>
        <v/>
      </c>
      <c r="I226" s="289" t="str">
        <f>IF($A226="","",IFERROR(INDEX(Prices[FX to SGD],MATCH($A226,Prices[Key],0)),1))</f>
        <v/>
      </c>
      <c r="J226" s="287" t="str">
        <f t="shared" si="30"/>
        <v/>
      </c>
      <c r="K226" s="287" t="str">
        <f t="shared" si="31"/>
        <v/>
      </c>
      <c r="L226" s="287" t="str">
        <f t="shared" si="32"/>
        <v/>
      </c>
      <c r="M226" s="290" t="str">
        <f t="shared" si="33"/>
        <v/>
      </c>
      <c r="N226" s="243" t="str">
        <f>IF($A226="","",IF(ABS(E226)&gt;0.000001,COUNT($N$1:N225)+1,""))</f>
        <v/>
      </c>
      <c r="O226" s="291" t="str">
        <f>IF($A226="","",SUMIFS(Transactions!$H$2:$H$1001,Transactions!$J$2:$J$1001,$A226,Transactions!$A$2:$A$1001,2)*$I226)</f>
        <v/>
      </c>
      <c r="P226" s="291" t="str">
        <f t="shared" si="34"/>
        <v/>
      </c>
      <c r="Q226" s="292" t="str">
        <f t="shared" si="35"/>
        <v/>
      </c>
    </row>
    <row r="227" spans="1:17" ht="15" customHeight="1" x14ac:dyDescent="0.2">
      <c r="A227" s="243" t="str">
        <f>IFERROR(INDEX(Txn[Key],MATCH(0,INDEX(COUNTIF($A$1:A226,Txn[Key])+(Txn[Key]=""),0),0)),"")</f>
        <v/>
      </c>
      <c r="B227" s="243" t="str">
        <f t="shared" si="27"/>
        <v/>
      </c>
      <c r="C227" s="243" t="str">
        <f t="shared" si="28"/>
        <v/>
      </c>
      <c r="D227" s="243" t="str">
        <f t="shared" si="29"/>
        <v/>
      </c>
      <c r="E227" s="265" t="str">
        <f>IF($A227="","",SUMIFS(Txn[Signed Units],Txn[Key],$A227))</f>
        <v/>
      </c>
      <c r="F227" s="287" t="str">
        <f>IF($A227="","",SUMIFS(Txn[Buy Cost],Txn[Key],$A227))</f>
        <v/>
      </c>
      <c r="G227" s="287" t="str">
        <f>IF($A227="","",SUMIFS(Txn[Sell Proceeds],Txn[Key],$A227))</f>
        <v/>
      </c>
      <c r="H227" s="288" t="str">
        <f>IF($A227="","",IFERROR(INDEX(Prices[Current Price],MATCH($A227,Prices[Key],0)),0))</f>
        <v/>
      </c>
      <c r="I227" s="289" t="str">
        <f>IF($A227="","",IFERROR(INDEX(Prices[FX to SGD],MATCH($A227,Prices[Key],0)),1))</f>
        <v/>
      </c>
      <c r="J227" s="287" t="str">
        <f t="shared" si="30"/>
        <v/>
      </c>
      <c r="K227" s="287" t="str">
        <f t="shared" si="31"/>
        <v/>
      </c>
      <c r="L227" s="287" t="str">
        <f t="shared" si="32"/>
        <v/>
      </c>
      <c r="M227" s="290" t="str">
        <f t="shared" si="33"/>
        <v/>
      </c>
      <c r="N227" s="243" t="str">
        <f>IF($A227="","",IF(ABS(E227)&gt;0.000001,COUNT($N$1:N226)+1,""))</f>
        <v/>
      </c>
      <c r="O227" s="291" t="str">
        <f>IF($A227="","",SUMIFS(Transactions!$H$2:$H$1001,Transactions!$J$2:$J$1001,$A227,Transactions!$A$2:$A$1001,2)*$I227)</f>
        <v/>
      </c>
      <c r="P227" s="291" t="str">
        <f t="shared" si="34"/>
        <v/>
      </c>
      <c r="Q227" s="292" t="str">
        <f t="shared" si="35"/>
        <v/>
      </c>
    </row>
    <row r="228" spans="1:17" ht="15" customHeight="1" x14ac:dyDescent="0.2">
      <c r="A228" s="243" t="str">
        <f>IFERROR(INDEX(Txn[Key],MATCH(0,INDEX(COUNTIF($A$1:A227,Txn[Key])+(Txn[Key]=""),0),0)),"")</f>
        <v/>
      </c>
      <c r="B228" s="243" t="str">
        <f t="shared" si="27"/>
        <v/>
      </c>
      <c r="C228" s="243" t="str">
        <f t="shared" si="28"/>
        <v/>
      </c>
      <c r="D228" s="243" t="str">
        <f t="shared" si="29"/>
        <v/>
      </c>
      <c r="E228" s="265" t="str">
        <f>IF($A228="","",SUMIFS(Txn[Signed Units],Txn[Key],$A228))</f>
        <v/>
      </c>
      <c r="F228" s="287" t="str">
        <f>IF($A228="","",SUMIFS(Txn[Buy Cost],Txn[Key],$A228))</f>
        <v/>
      </c>
      <c r="G228" s="287" t="str">
        <f>IF($A228="","",SUMIFS(Txn[Sell Proceeds],Txn[Key],$A228))</f>
        <v/>
      </c>
      <c r="H228" s="288" t="str">
        <f>IF($A228="","",IFERROR(INDEX(Prices[Current Price],MATCH($A228,Prices[Key],0)),0))</f>
        <v/>
      </c>
      <c r="I228" s="289" t="str">
        <f>IF($A228="","",IFERROR(INDEX(Prices[FX to SGD],MATCH($A228,Prices[Key],0)),1))</f>
        <v/>
      </c>
      <c r="J228" s="287" t="str">
        <f t="shared" si="30"/>
        <v/>
      </c>
      <c r="K228" s="287" t="str">
        <f t="shared" si="31"/>
        <v/>
      </c>
      <c r="L228" s="287" t="str">
        <f t="shared" si="32"/>
        <v/>
      </c>
      <c r="M228" s="290" t="str">
        <f t="shared" si="33"/>
        <v/>
      </c>
      <c r="N228" s="243" t="str">
        <f>IF($A228="","",IF(ABS(E228)&gt;0.000001,COUNT($N$1:N227)+1,""))</f>
        <v/>
      </c>
      <c r="O228" s="291" t="str">
        <f>IF($A228="","",SUMIFS(Transactions!$H$2:$H$1001,Transactions!$J$2:$J$1001,$A228,Transactions!$A$2:$A$1001,2)*$I228)</f>
        <v/>
      </c>
      <c r="P228" s="291" t="str">
        <f t="shared" si="34"/>
        <v/>
      </c>
      <c r="Q228" s="292" t="str">
        <f t="shared" si="35"/>
        <v/>
      </c>
    </row>
    <row r="229" spans="1:17" ht="15" customHeight="1" x14ac:dyDescent="0.2">
      <c r="A229" s="243" t="str">
        <f>IFERROR(INDEX(Txn[Key],MATCH(0,INDEX(COUNTIF($A$1:A228,Txn[Key])+(Txn[Key]=""),0),0)),"")</f>
        <v/>
      </c>
      <c r="B229" s="243" t="str">
        <f t="shared" si="27"/>
        <v/>
      </c>
      <c r="C229" s="243" t="str">
        <f t="shared" si="28"/>
        <v/>
      </c>
      <c r="D229" s="243" t="str">
        <f t="shared" si="29"/>
        <v/>
      </c>
      <c r="E229" s="265" t="str">
        <f>IF($A229="","",SUMIFS(Txn[Signed Units],Txn[Key],$A229))</f>
        <v/>
      </c>
      <c r="F229" s="287" t="str">
        <f>IF($A229="","",SUMIFS(Txn[Buy Cost],Txn[Key],$A229))</f>
        <v/>
      </c>
      <c r="G229" s="287" t="str">
        <f>IF($A229="","",SUMIFS(Txn[Sell Proceeds],Txn[Key],$A229))</f>
        <v/>
      </c>
      <c r="H229" s="288" t="str">
        <f>IF($A229="","",IFERROR(INDEX(Prices[Current Price],MATCH($A229,Prices[Key],0)),0))</f>
        <v/>
      </c>
      <c r="I229" s="289" t="str">
        <f>IF($A229="","",IFERROR(INDEX(Prices[FX to SGD],MATCH($A229,Prices[Key],0)),1))</f>
        <v/>
      </c>
      <c r="J229" s="287" t="str">
        <f t="shared" si="30"/>
        <v/>
      </c>
      <c r="K229" s="287" t="str">
        <f t="shared" si="31"/>
        <v/>
      </c>
      <c r="L229" s="287" t="str">
        <f t="shared" si="32"/>
        <v/>
      </c>
      <c r="M229" s="290" t="str">
        <f t="shared" si="33"/>
        <v/>
      </c>
      <c r="N229" s="243" t="str">
        <f>IF($A229="","",IF(ABS(E229)&gt;0.000001,COUNT($N$1:N228)+1,""))</f>
        <v/>
      </c>
      <c r="O229" s="291" t="str">
        <f>IF($A229="","",SUMIFS(Transactions!$H$2:$H$1001,Transactions!$J$2:$J$1001,$A229,Transactions!$A$2:$A$1001,2)*$I229)</f>
        <v/>
      </c>
      <c r="P229" s="291" t="str">
        <f t="shared" si="34"/>
        <v/>
      </c>
      <c r="Q229" s="292" t="str">
        <f t="shared" si="35"/>
        <v/>
      </c>
    </row>
    <row r="230" spans="1:17" ht="15" customHeight="1" x14ac:dyDescent="0.2">
      <c r="A230" s="243" t="str">
        <f>IFERROR(INDEX(Txn[Key],MATCH(0,INDEX(COUNTIF($A$1:A229,Txn[Key])+(Txn[Key]=""),0),0)),"")</f>
        <v/>
      </c>
      <c r="B230" s="243" t="str">
        <f t="shared" si="27"/>
        <v/>
      </c>
      <c r="C230" s="243" t="str">
        <f t="shared" si="28"/>
        <v/>
      </c>
      <c r="D230" s="243" t="str">
        <f t="shared" si="29"/>
        <v/>
      </c>
      <c r="E230" s="265" t="str">
        <f>IF($A230="","",SUMIFS(Txn[Signed Units],Txn[Key],$A230))</f>
        <v/>
      </c>
      <c r="F230" s="287" t="str">
        <f>IF($A230="","",SUMIFS(Txn[Buy Cost],Txn[Key],$A230))</f>
        <v/>
      </c>
      <c r="G230" s="287" t="str">
        <f>IF($A230="","",SUMIFS(Txn[Sell Proceeds],Txn[Key],$A230))</f>
        <v/>
      </c>
      <c r="H230" s="288" t="str">
        <f>IF($A230="","",IFERROR(INDEX(Prices[Current Price],MATCH($A230,Prices[Key],0)),0))</f>
        <v/>
      </c>
      <c r="I230" s="289" t="str">
        <f>IF($A230="","",IFERROR(INDEX(Prices[FX to SGD],MATCH($A230,Prices[Key],0)),1))</f>
        <v/>
      </c>
      <c r="J230" s="287" t="str">
        <f t="shared" si="30"/>
        <v/>
      </c>
      <c r="K230" s="287" t="str">
        <f t="shared" si="31"/>
        <v/>
      </c>
      <c r="L230" s="287" t="str">
        <f t="shared" si="32"/>
        <v/>
      </c>
      <c r="M230" s="290" t="str">
        <f t="shared" si="33"/>
        <v/>
      </c>
      <c r="N230" s="243" t="str">
        <f>IF($A230="","",IF(ABS(E230)&gt;0.000001,COUNT($N$1:N229)+1,""))</f>
        <v/>
      </c>
      <c r="O230" s="291" t="str">
        <f>IF($A230="","",SUMIFS(Transactions!$H$2:$H$1001,Transactions!$J$2:$J$1001,$A230,Transactions!$A$2:$A$1001,2)*$I230)</f>
        <v/>
      </c>
      <c r="P230" s="291" t="str">
        <f t="shared" si="34"/>
        <v/>
      </c>
      <c r="Q230" s="292" t="str">
        <f t="shared" si="35"/>
        <v/>
      </c>
    </row>
    <row r="231" spans="1:17" ht="15" customHeight="1" x14ac:dyDescent="0.2">
      <c r="A231" s="243" t="str">
        <f>IFERROR(INDEX(Txn[Key],MATCH(0,INDEX(COUNTIF($A$1:A230,Txn[Key])+(Txn[Key]=""),0),0)),"")</f>
        <v/>
      </c>
      <c r="B231" s="243" t="str">
        <f t="shared" si="27"/>
        <v/>
      </c>
      <c r="C231" s="243" t="str">
        <f t="shared" si="28"/>
        <v/>
      </c>
      <c r="D231" s="243" t="str">
        <f t="shared" si="29"/>
        <v/>
      </c>
      <c r="E231" s="265" t="str">
        <f>IF($A231="","",SUMIFS(Txn[Signed Units],Txn[Key],$A231))</f>
        <v/>
      </c>
      <c r="F231" s="287" t="str">
        <f>IF($A231="","",SUMIFS(Txn[Buy Cost],Txn[Key],$A231))</f>
        <v/>
      </c>
      <c r="G231" s="287" t="str">
        <f>IF($A231="","",SUMIFS(Txn[Sell Proceeds],Txn[Key],$A231))</f>
        <v/>
      </c>
      <c r="H231" s="288" t="str">
        <f>IF($A231="","",IFERROR(INDEX(Prices[Current Price],MATCH($A231,Prices[Key],0)),0))</f>
        <v/>
      </c>
      <c r="I231" s="289" t="str">
        <f>IF($A231="","",IFERROR(INDEX(Prices[FX to SGD],MATCH($A231,Prices[Key],0)),1))</f>
        <v/>
      </c>
      <c r="J231" s="287" t="str">
        <f t="shared" si="30"/>
        <v/>
      </c>
      <c r="K231" s="287" t="str">
        <f t="shared" si="31"/>
        <v/>
      </c>
      <c r="L231" s="287" t="str">
        <f t="shared" si="32"/>
        <v/>
      </c>
      <c r="M231" s="290" t="str">
        <f t="shared" si="33"/>
        <v/>
      </c>
      <c r="N231" s="243" t="str">
        <f>IF($A231="","",IF(ABS(E231)&gt;0.000001,COUNT($N$1:N230)+1,""))</f>
        <v/>
      </c>
      <c r="O231" s="291" t="str">
        <f>IF($A231="","",SUMIFS(Transactions!$H$2:$H$1001,Transactions!$J$2:$J$1001,$A231,Transactions!$A$2:$A$1001,2)*$I231)</f>
        <v/>
      </c>
      <c r="P231" s="291" t="str">
        <f t="shared" si="34"/>
        <v/>
      </c>
      <c r="Q231" s="292" t="str">
        <f t="shared" si="35"/>
        <v/>
      </c>
    </row>
    <row r="232" spans="1:17" ht="15" customHeight="1" x14ac:dyDescent="0.2">
      <c r="A232" s="243" t="str">
        <f>IFERROR(INDEX(Txn[Key],MATCH(0,INDEX(COUNTIF($A$1:A231,Txn[Key])+(Txn[Key]=""),0),0)),"")</f>
        <v/>
      </c>
      <c r="B232" s="243" t="str">
        <f t="shared" si="27"/>
        <v/>
      </c>
      <c r="C232" s="243" t="str">
        <f t="shared" si="28"/>
        <v/>
      </c>
      <c r="D232" s="243" t="str">
        <f t="shared" si="29"/>
        <v/>
      </c>
      <c r="E232" s="265" t="str">
        <f>IF($A232="","",SUMIFS(Txn[Signed Units],Txn[Key],$A232))</f>
        <v/>
      </c>
      <c r="F232" s="287" t="str">
        <f>IF($A232="","",SUMIFS(Txn[Buy Cost],Txn[Key],$A232))</f>
        <v/>
      </c>
      <c r="G232" s="287" t="str">
        <f>IF($A232="","",SUMIFS(Txn[Sell Proceeds],Txn[Key],$A232))</f>
        <v/>
      </c>
      <c r="H232" s="288" t="str">
        <f>IF($A232="","",IFERROR(INDEX(Prices[Current Price],MATCH($A232,Prices[Key],0)),0))</f>
        <v/>
      </c>
      <c r="I232" s="289" t="str">
        <f>IF($A232="","",IFERROR(INDEX(Prices[FX to SGD],MATCH($A232,Prices[Key],0)),1))</f>
        <v/>
      </c>
      <c r="J232" s="287" t="str">
        <f t="shared" si="30"/>
        <v/>
      </c>
      <c r="K232" s="287" t="str">
        <f t="shared" si="31"/>
        <v/>
      </c>
      <c r="L232" s="287" t="str">
        <f t="shared" si="32"/>
        <v/>
      </c>
      <c r="M232" s="290" t="str">
        <f t="shared" si="33"/>
        <v/>
      </c>
      <c r="N232" s="243" t="str">
        <f>IF($A232="","",IF(ABS(E232)&gt;0.000001,COUNT($N$1:N231)+1,""))</f>
        <v/>
      </c>
      <c r="O232" s="291" t="str">
        <f>IF($A232="","",SUMIFS(Transactions!$H$2:$H$1001,Transactions!$J$2:$J$1001,$A232,Transactions!$A$2:$A$1001,2)*$I232)</f>
        <v/>
      </c>
      <c r="P232" s="291" t="str">
        <f t="shared" si="34"/>
        <v/>
      </c>
      <c r="Q232" s="292" t="str">
        <f t="shared" si="35"/>
        <v/>
      </c>
    </row>
    <row r="233" spans="1:17" ht="15" customHeight="1" x14ac:dyDescent="0.2">
      <c r="A233" s="243" t="str">
        <f>IFERROR(INDEX(Txn[Key],MATCH(0,INDEX(COUNTIF($A$1:A232,Txn[Key])+(Txn[Key]=""),0),0)),"")</f>
        <v/>
      </c>
      <c r="B233" s="243" t="str">
        <f t="shared" si="27"/>
        <v/>
      </c>
      <c r="C233" s="243" t="str">
        <f t="shared" si="28"/>
        <v/>
      </c>
      <c r="D233" s="243" t="str">
        <f t="shared" si="29"/>
        <v/>
      </c>
      <c r="E233" s="265" t="str">
        <f>IF($A233="","",SUMIFS(Txn[Signed Units],Txn[Key],$A233))</f>
        <v/>
      </c>
      <c r="F233" s="287" t="str">
        <f>IF($A233="","",SUMIFS(Txn[Buy Cost],Txn[Key],$A233))</f>
        <v/>
      </c>
      <c r="G233" s="287" t="str">
        <f>IF($A233="","",SUMIFS(Txn[Sell Proceeds],Txn[Key],$A233))</f>
        <v/>
      </c>
      <c r="H233" s="288" t="str">
        <f>IF($A233="","",IFERROR(INDEX(Prices[Current Price],MATCH($A233,Prices[Key],0)),0))</f>
        <v/>
      </c>
      <c r="I233" s="289" t="str">
        <f>IF($A233="","",IFERROR(INDEX(Prices[FX to SGD],MATCH($A233,Prices[Key],0)),1))</f>
        <v/>
      </c>
      <c r="J233" s="287" t="str">
        <f t="shared" si="30"/>
        <v/>
      </c>
      <c r="K233" s="287" t="str">
        <f t="shared" si="31"/>
        <v/>
      </c>
      <c r="L233" s="287" t="str">
        <f t="shared" si="32"/>
        <v/>
      </c>
      <c r="M233" s="290" t="str">
        <f t="shared" si="33"/>
        <v/>
      </c>
      <c r="N233" s="243" t="str">
        <f>IF($A233="","",IF(ABS(E233)&gt;0.000001,COUNT($N$1:N232)+1,""))</f>
        <v/>
      </c>
      <c r="O233" s="291" t="str">
        <f>IF($A233="","",SUMIFS(Transactions!$H$2:$H$1001,Transactions!$J$2:$J$1001,$A233,Transactions!$A$2:$A$1001,2)*$I233)</f>
        <v/>
      </c>
      <c r="P233" s="291" t="str">
        <f t="shared" si="34"/>
        <v/>
      </c>
      <c r="Q233" s="292" t="str">
        <f t="shared" si="35"/>
        <v/>
      </c>
    </row>
    <row r="234" spans="1:17" ht="15" customHeight="1" x14ac:dyDescent="0.2">
      <c r="A234" s="243" t="str">
        <f>IFERROR(INDEX(Txn[Key],MATCH(0,INDEX(COUNTIF($A$1:A233,Txn[Key])+(Txn[Key]=""),0),0)),"")</f>
        <v/>
      </c>
      <c r="B234" s="243" t="str">
        <f t="shared" si="27"/>
        <v/>
      </c>
      <c r="C234" s="243" t="str">
        <f t="shared" si="28"/>
        <v/>
      </c>
      <c r="D234" s="243" t="str">
        <f t="shared" si="29"/>
        <v/>
      </c>
      <c r="E234" s="265" t="str">
        <f>IF($A234="","",SUMIFS(Txn[Signed Units],Txn[Key],$A234))</f>
        <v/>
      </c>
      <c r="F234" s="287" t="str">
        <f>IF($A234="","",SUMIFS(Txn[Buy Cost],Txn[Key],$A234))</f>
        <v/>
      </c>
      <c r="G234" s="287" t="str">
        <f>IF($A234="","",SUMIFS(Txn[Sell Proceeds],Txn[Key],$A234))</f>
        <v/>
      </c>
      <c r="H234" s="288" t="str">
        <f>IF($A234="","",IFERROR(INDEX(Prices[Current Price],MATCH($A234,Prices[Key],0)),0))</f>
        <v/>
      </c>
      <c r="I234" s="289" t="str">
        <f>IF($A234="","",IFERROR(INDEX(Prices[FX to SGD],MATCH($A234,Prices[Key],0)),1))</f>
        <v/>
      </c>
      <c r="J234" s="287" t="str">
        <f t="shared" si="30"/>
        <v/>
      </c>
      <c r="K234" s="287" t="str">
        <f t="shared" si="31"/>
        <v/>
      </c>
      <c r="L234" s="287" t="str">
        <f t="shared" si="32"/>
        <v/>
      </c>
      <c r="M234" s="290" t="str">
        <f t="shared" si="33"/>
        <v/>
      </c>
      <c r="N234" s="243" t="str">
        <f>IF($A234="","",IF(ABS(E234)&gt;0.000001,COUNT($N$1:N233)+1,""))</f>
        <v/>
      </c>
      <c r="O234" s="291" t="str">
        <f>IF($A234="","",SUMIFS(Transactions!$H$2:$H$1001,Transactions!$J$2:$J$1001,$A234,Transactions!$A$2:$A$1001,2)*$I234)</f>
        <v/>
      </c>
      <c r="P234" s="291" t="str">
        <f t="shared" si="34"/>
        <v/>
      </c>
      <c r="Q234" s="292" t="str">
        <f t="shared" si="35"/>
        <v/>
      </c>
    </row>
    <row r="235" spans="1:17" ht="15" customHeight="1" x14ac:dyDescent="0.2">
      <c r="A235" s="243" t="str">
        <f>IFERROR(INDEX(Txn[Key],MATCH(0,INDEX(COUNTIF($A$1:A234,Txn[Key])+(Txn[Key]=""),0),0)),"")</f>
        <v/>
      </c>
      <c r="B235" s="243" t="str">
        <f t="shared" si="27"/>
        <v/>
      </c>
      <c r="C235" s="243" t="str">
        <f t="shared" si="28"/>
        <v/>
      </c>
      <c r="D235" s="243" t="str">
        <f t="shared" si="29"/>
        <v/>
      </c>
      <c r="E235" s="265" t="str">
        <f>IF($A235="","",SUMIFS(Txn[Signed Units],Txn[Key],$A235))</f>
        <v/>
      </c>
      <c r="F235" s="287" t="str">
        <f>IF($A235="","",SUMIFS(Txn[Buy Cost],Txn[Key],$A235))</f>
        <v/>
      </c>
      <c r="G235" s="287" t="str">
        <f>IF($A235="","",SUMIFS(Txn[Sell Proceeds],Txn[Key],$A235))</f>
        <v/>
      </c>
      <c r="H235" s="288" t="str">
        <f>IF($A235="","",IFERROR(INDEX(Prices[Current Price],MATCH($A235,Prices[Key],0)),0))</f>
        <v/>
      </c>
      <c r="I235" s="289" t="str">
        <f>IF($A235="","",IFERROR(INDEX(Prices[FX to SGD],MATCH($A235,Prices[Key],0)),1))</f>
        <v/>
      </c>
      <c r="J235" s="287" t="str">
        <f t="shared" si="30"/>
        <v/>
      </c>
      <c r="K235" s="287" t="str">
        <f t="shared" si="31"/>
        <v/>
      </c>
      <c r="L235" s="287" t="str">
        <f t="shared" si="32"/>
        <v/>
      </c>
      <c r="M235" s="290" t="str">
        <f t="shared" si="33"/>
        <v/>
      </c>
      <c r="N235" s="243" t="str">
        <f>IF($A235="","",IF(ABS(E235)&gt;0.000001,COUNT($N$1:N234)+1,""))</f>
        <v/>
      </c>
      <c r="O235" s="291" t="str">
        <f>IF($A235="","",SUMIFS(Transactions!$H$2:$H$1001,Transactions!$J$2:$J$1001,$A235,Transactions!$A$2:$A$1001,2)*$I235)</f>
        <v/>
      </c>
      <c r="P235" s="291" t="str">
        <f t="shared" si="34"/>
        <v/>
      </c>
      <c r="Q235" s="292" t="str">
        <f t="shared" si="35"/>
        <v/>
      </c>
    </row>
    <row r="236" spans="1:17" ht="15" customHeight="1" x14ac:dyDescent="0.2">
      <c r="A236" s="243" t="str">
        <f>IFERROR(INDEX(Txn[Key],MATCH(0,INDEX(COUNTIF($A$1:A235,Txn[Key])+(Txn[Key]=""),0),0)),"")</f>
        <v/>
      </c>
      <c r="B236" s="243" t="str">
        <f t="shared" si="27"/>
        <v/>
      </c>
      <c r="C236" s="243" t="str">
        <f t="shared" si="28"/>
        <v/>
      </c>
      <c r="D236" s="243" t="str">
        <f t="shared" si="29"/>
        <v/>
      </c>
      <c r="E236" s="265" t="str">
        <f>IF($A236="","",SUMIFS(Txn[Signed Units],Txn[Key],$A236))</f>
        <v/>
      </c>
      <c r="F236" s="287" t="str">
        <f>IF($A236="","",SUMIFS(Txn[Buy Cost],Txn[Key],$A236))</f>
        <v/>
      </c>
      <c r="G236" s="287" t="str">
        <f>IF($A236="","",SUMIFS(Txn[Sell Proceeds],Txn[Key],$A236))</f>
        <v/>
      </c>
      <c r="H236" s="288" t="str">
        <f>IF($A236="","",IFERROR(INDEX(Prices[Current Price],MATCH($A236,Prices[Key],0)),0))</f>
        <v/>
      </c>
      <c r="I236" s="289" t="str">
        <f>IF($A236="","",IFERROR(INDEX(Prices[FX to SGD],MATCH($A236,Prices[Key],0)),1))</f>
        <v/>
      </c>
      <c r="J236" s="287" t="str">
        <f t="shared" si="30"/>
        <v/>
      </c>
      <c r="K236" s="287" t="str">
        <f t="shared" si="31"/>
        <v/>
      </c>
      <c r="L236" s="287" t="str">
        <f t="shared" si="32"/>
        <v/>
      </c>
      <c r="M236" s="290" t="str">
        <f t="shared" si="33"/>
        <v/>
      </c>
      <c r="N236" s="243" t="str">
        <f>IF($A236="","",IF(ABS(E236)&gt;0.000001,COUNT($N$1:N235)+1,""))</f>
        <v/>
      </c>
      <c r="O236" s="291" t="str">
        <f>IF($A236="","",SUMIFS(Transactions!$H$2:$H$1001,Transactions!$J$2:$J$1001,$A236,Transactions!$A$2:$A$1001,2)*$I236)</f>
        <v/>
      </c>
      <c r="P236" s="291" t="str">
        <f t="shared" si="34"/>
        <v/>
      </c>
      <c r="Q236" s="292" t="str">
        <f t="shared" si="35"/>
        <v/>
      </c>
    </row>
    <row r="237" spans="1:17" ht="15" customHeight="1" x14ac:dyDescent="0.2">
      <c r="A237" s="243" t="str">
        <f>IFERROR(INDEX(Txn[Key],MATCH(0,INDEX(COUNTIF($A$1:A236,Txn[Key])+(Txn[Key]=""),0),0)),"")</f>
        <v/>
      </c>
      <c r="B237" s="243" t="str">
        <f t="shared" si="27"/>
        <v/>
      </c>
      <c r="C237" s="243" t="str">
        <f t="shared" si="28"/>
        <v/>
      </c>
      <c r="D237" s="243" t="str">
        <f t="shared" si="29"/>
        <v/>
      </c>
      <c r="E237" s="265" t="str">
        <f>IF($A237="","",SUMIFS(Txn[Signed Units],Txn[Key],$A237))</f>
        <v/>
      </c>
      <c r="F237" s="287" t="str">
        <f>IF($A237="","",SUMIFS(Txn[Buy Cost],Txn[Key],$A237))</f>
        <v/>
      </c>
      <c r="G237" s="287" t="str">
        <f>IF($A237="","",SUMIFS(Txn[Sell Proceeds],Txn[Key],$A237))</f>
        <v/>
      </c>
      <c r="H237" s="288" t="str">
        <f>IF($A237="","",IFERROR(INDEX(Prices[Current Price],MATCH($A237,Prices[Key],0)),0))</f>
        <v/>
      </c>
      <c r="I237" s="289" t="str">
        <f>IF($A237="","",IFERROR(INDEX(Prices[FX to SGD],MATCH($A237,Prices[Key],0)),1))</f>
        <v/>
      </c>
      <c r="J237" s="287" t="str">
        <f t="shared" si="30"/>
        <v/>
      </c>
      <c r="K237" s="287" t="str">
        <f t="shared" si="31"/>
        <v/>
      </c>
      <c r="L237" s="287" t="str">
        <f t="shared" si="32"/>
        <v/>
      </c>
      <c r="M237" s="290" t="str">
        <f t="shared" si="33"/>
        <v/>
      </c>
      <c r="N237" s="243" t="str">
        <f>IF($A237="","",IF(ABS(E237)&gt;0.000001,COUNT($N$1:N236)+1,""))</f>
        <v/>
      </c>
      <c r="O237" s="291" t="str">
        <f>IF($A237="","",SUMIFS(Transactions!$H$2:$H$1001,Transactions!$J$2:$J$1001,$A237,Transactions!$A$2:$A$1001,2)*$I237)</f>
        <v/>
      </c>
      <c r="P237" s="291" t="str">
        <f t="shared" si="34"/>
        <v/>
      </c>
      <c r="Q237" s="292" t="str">
        <f t="shared" si="35"/>
        <v/>
      </c>
    </row>
    <row r="238" spans="1:17" ht="15" customHeight="1" x14ac:dyDescent="0.2">
      <c r="A238" s="243" t="str">
        <f>IFERROR(INDEX(Txn[Key],MATCH(0,INDEX(COUNTIF($A$1:A237,Txn[Key])+(Txn[Key]=""),0),0)),"")</f>
        <v/>
      </c>
      <c r="B238" s="243" t="str">
        <f t="shared" si="27"/>
        <v/>
      </c>
      <c r="C238" s="243" t="str">
        <f t="shared" si="28"/>
        <v/>
      </c>
      <c r="D238" s="243" t="str">
        <f t="shared" si="29"/>
        <v/>
      </c>
      <c r="E238" s="265" t="str">
        <f>IF($A238="","",SUMIFS(Txn[Signed Units],Txn[Key],$A238))</f>
        <v/>
      </c>
      <c r="F238" s="287" t="str">
        <f>IF($A238="","",SUMIFS(Txn[Buy Cost],Txn[Key],$A238))</f>
        <v/>
      </c>
      <c r="G238" s="287" t="str">
        <f>IF($A238="","",SUMIFS(Txn[Sell Proceeds],Txn[Key],$A238))</f>
        <v/>
      </c>
      <c r="H238" s="288" t="str">
        <f>IF($A238="","",IFERROR(INDEX(Prices[Current Price],MATCH($A238,Prices[Key],0)),0))</f>
        <v/>
      </c>
      <c r="I238" s="289" t="str">
        <f>IF($A238="","",IFERROR(INDEX(Prices[FX to SGD],MATCH($A238,Prices[Key],0)),1))</f>
        <v/>
      </c>
      <c r="J238" s="287" t="str">
        <f t="shared" si="30"/>
        <v/>
      </c>
      <c r="K238" s="287" t="str">
        <f t="shared" si="31"/>
        <v/>
      </c>
      <c r="L238" s="287" t="str">
        <f t="shared" si="32"/>
        <v/>
      </c>
      <c r="M238" s="290" t="str">
        <f t="shared" si="33"/>
        <v/>
      </c>
      <c r="N238" s="243" t="str">
        <f>IF($A238="","",IF(ABS(E238)&gt;0.000001,COUNT($N$1:N237)+1,""))</f>
        <v/>
      </c>
      <c r="O238" s="291" t="str">
        <f>IF($A238="","",SUMIFS(Transactions!$H$2:$H$1001,Transactions!$J$2:$J$1001,$A238,Transactions!$A$2:$A$1001,2)*$I238)</f>
        <v/>
      </c>
      <c r="P238" s="291" t="str">
        <f t="shared" si="34"/>
        <v/>
      </c>
      <c r="Q238" s="292" t="str">
        <f t="shared" si="35"/>
        <v/>
      </c>
    </row>
    <row r="239" spans="1:17" ht="15" customHeight="1" x14ac:dyDescent="0.2">
      <c r="A239" s="243" t="str">
        <f>IFERROR(INDEX(Txn[Key],MATCH(0,INDEX(COUNTIF($A$1:A238,Txn[Key])+(Txn[Key]=""),0),0)),"")</f>
        <v/>
      </c>
      <c r="B239" s="243" t="str">
        <f t="shared" si="27"/>
        <v/>
      </c>
      <c r="C239" s="243" t="str">
        <f t="shared" si="28"/>
        <v/>
      </c>
      <c r="D239" s="243" t="str">
        <f t="shared" si="29"/>
        <v/>
      </c>
      <c r="E239" s="265" t="str">
        <f>IF($A239="","",SUMIFS(Txn[Signed Units],Txn[Key],$A239))</f>
        <v/>
      </c>
      <c r="F239" s="287" t="str">
        <f>IF($A239="","",SUMIFS(Txn[Buy Cost],Txn[Key],$A239))</f>
        <v/>
      </c>
      <c r="G239" s="287" t="str">
        <f>IF($A239="","",SUMIFS(Txn[Sell Proceeds],Txn[Key],$A239))</f>
        <v/>
      </c>
      <c r="H239" s="288" t="str">
        <f>IF($A239="","",IFERROR(INDEX(Prices[Current Price],MATCH($A239,Prices[Key],0)),0))</f>
        <v/>
      </c>
      <c r="I239" s="289" t="str">
        <f>IF($A239="","",IFERROR(INDEX(Prices[FX to SGD],MATCH($A239,Prices[Key],0)),1))</f>
        <v/>
      </c>
      <c r="J239" s="287" t="str">
        <f t="shared" si="30"/>
        <v/>
      </c>
      <c r="K239" s="287" t="str">
        <f t="shared" si="31"/>
        <v/>
      </c>
      <c r="L239" s="287" t="str">
        <f t="shared" si="32"/>
        <v/>
      </c>
      <c r="M239" s="290" t="str">
        <f t="shared" si="33"/>
        <v/>
      </c>
      <c r="N239" s="243" t="str">
        <f>IF($A239="","",IF(ABS(E239)&gt;0.000001,COUNT($N$1:N238)+1,""))</f>
        <v/>
      </c>
      <c r="O239" s="291" t="str">
        <f>IF($A239="","",SUMIFS(Transactions!$H$2:$H$1001,Transactions!$J$2:$J$1001,$A239,Transactions!$A$2:$A$1001,2)*$I239)</f>
        <v/>
      </c>
      <c r="P239" s="291" t="str">
        <f t="shared" si="34"/>
        <v/>
      </c>
      <c r="Q239" s="292" t="str">
        <f t="shared" si="35"/>
        <v/>
      </c>
    </row>
    <row r="240" spans="1:17" ht="15" customHeight="1" x14ac:dyDescent="0.2">
      <c r="A240" s="243" t="str">
        <f>IFERROR(INDEX(Txn[Key],MATCH(0,INDEX(COUNTIF($A$1:A239,Txn[Key])+(Txn[Key]=""),0),0)),"")</f>
        <v/>
      </c>
      <c r="B240" s="243" t="str">
        <f t="shared" si="27"/>
        <v/>
      </c>
      <c r="C240" s="243" t="str">
        <f t="shared" si="28"/>
        <v/>
      </c>
      <c r="D240" s="243" t="str">
        <f t="shared" si="29"/>
        <v/>
      </c>
      <c r="E240" s="265" t="str">
        <f>IF($A240="","",SUMIFS(Txn[Signed Units],Txn[Key],$A240))</f>
        <v/>
      </c>
      <c r="F240" s="287" t="str">
        <f>IF($A240="","",SUMIFS(Txn[Buy Cost],Txn[Key],$A240))</f>
        <v/>
      </c>
      <c r="G240" s="287" t="str">
        <f>IF($A240="","",SUMIFS(Txn[Sell Proceeds],Txn[Key],$A240))</f>
        <v/>
      </c>
      <c r="H240" s="288" t="str">
        <f>IF($A240="","",IFERROR(INDEX(Prices[Current Price],MATCH($A240,Prices[Key],0)),0))</f>
        <v/>
      </c>
      <c r="I240" s="289" t="str">
        <f>IF($A240="","",IFERROR(INDEX(Prices[FX to SGD],MATCH($A240,Prices[Key],0)),1))</f>
        <v/>
      </c>
      <c r="J240" s="287" t="str">
        <f t="shared" si="30"/>
        <v/>
      </c>
      <c r="K240" s="287" t="str">
        <f t="shared" si="31"/>
        <v/>
      </c>
      <c r="L240" s="287" t="str">
        <f t="shared" si="32"/>
        <v/>
      </c>
      <c r="M240" s="290" t="str">
        <f t="shared" si="33"/>
        <v/>
      </c>
      <c r="N240" s="243" t="str">
        <f>IF($A240="","",IF(ABS(E240)&gt;0.000001,COUNT($N$1:N239)+1,""))</f>
        <v/>
      </c>
      <c r="O240" s="291" t="str">
        <f>IF($A240="","",SUMIFS(Transactions!$H$2:$H$1001,Transactions!$J$2:$J$1001,$A240,Transactions!$A$2:$A$1001,2)*$I240)</f>
        <v/>
      </c>
      <c r="P240" s="291" t="str">
        <f t="shared" si="34"/>
        <v/>
      </c>
      <c r="Q240" s="292" t="str">
        <f t="shared" si="35"/>
        <v/>
      </c>
    </row>
    <row r="241" spans="1:17" ht="15" customHeight="1" x14ac:dyDescent="0.2">
      <c r="A241" s="243" t="str">
        <f>IFERROR(INDEX(Txn[Key],MATCH(0,INDEX(COUNTIF($A$1:A240,Txn[Key])+(Txn[Key]=""),0),0)),"")</f>
        <v/>
      </c>
      <c r="B241" s="243" t="str">
        <f t="shared" si="27"/>
        <v/>
      </c>
      <c r="C241" s="243" t="str">
        <f t="shared" si="28"/>
        <v/>
      </c>
      <c r="D241" s="243" t="str">
        <f t="shared" si="29"/>
        <v/>
      </c>
      <c r="E241" s="265" t="str">
        <f>IF($A241="","",SUMIFS(Txn[Signed Units],Txn[Key],$A241))</f>
        <v/>
      </c>
      <c r="F241" s="287" t="str">
        <f>IF($A241="","",SUMIFS(Txn[Buy Cost],Txn[Key],$A241))</f>
        <v/>
      </c>
      <c r="G241" s="287" t="str">
        <f>IF($A241="","",SUMIFS(Txn[Sell Proceeds],Txn[Key],$A241))</f>
        <v/>
      </c>
      <c r="H241" s="288" t="str">
        <f>IF($A241="","",IFERROR(INDEX(Prices[Current Price],MATCH($A241,Prices[Key],0)),0))</f>
        <v/>
      </c>
      <c r="I241" s="289" t="str">
        <f>IF($A241="","",IFERROR(INDEX(Prices[FX to SGD],MATCH($A241,Prices[Key],0)),1))</f>
        <v/>
      </c>
      <c r="J241" s="287" t="str">
        <f t="shared" si="30"/>
        <v/>
      </c>
      <c r="K241" s="287" t="str">
        <f t="shared" si="31"/>
        <v/>
      </c>
      <c r="L241" s="287" t="str">
        <f t="shared" si="32"/>
        <v/>
      </c>
      <c r="M241" s="290" t="str">
        <f t="shared" si="33"/>
        <v/>
      </c>
      <c r="N241" s="243" t="str">
        <f>IF($A241="","",IF(ABS(E241)&gt;0.000001,COUNT($N$1:N240)+1,""))</f>
        <v/>
      </c>
      <c r="O241" s="291" t="str">
        <f>IF($A241="","",SUMIFS(Transactions!$H$2:$H$1001,Transactions!$J$2:$J$1001,$A241,Transactions!$A$2:$A$1001,2)*$I241)</f>
        <v/>
      </c>
      <c r="P241" s="291" t="str">
        <f t="shared" si="34"/>
        <v/>
      </c>
      <c r="Q241" s="292" t="str">
        <f t="shared" si="35"/>
        <v/>
      </c>
    </row>
    <row r="242" spans="1:17" ht="15" customHeight="1" x14ac:dyDescent="0.2">
      <c r="A242" s="243" t="str">
        <f>IFERROR(INDEX(Txn[Key],MATCH(0,INDEX(COUNTIF($A$1:A241,Txn[Key])+(Txn[Key]=""),0),0)),"")</f>
        <v/>
      </c>
      <c r="B242" s="243" t="str">
        <f t="shared" si="27"/>
        <v/>
      </c>
      <c r="C242" s="243" t="str">
        <f t="shared" si="28"/>
        <v/>
      </c>
      <c r="D242" s="243" t="str">
        <f t="shared" si="29"/>
        <v/>
      </c>
      <c r="E242" s="265" t="str">
        <f>IF($A242="","",SUMIFS(Txn[Signed Units],Txn[Key],$A242))</f>
        <v/>
      </c>
      <c r="F242" s="287" t="str">
        <f>IF($A242="","",SUMIFS(Txn[Buy Cost],Txn[Key],$A242))</f>
        <v/>
      </c>
      <c r="G242" s="287" t="str">
        <f>IF($A242="","",SUMIFS(Txn[Sell Proceeds],Txn[Key],$A242))</f>
        <v/>
      </c>
      <c r="H242" s="288" t="str">
        <f>IF($A242="","",IFERROR(INDEX(Prices[Current Price],MATCH($A242,Prices[Key],0)),0))</f>
        <v/>
      </c>
      <c r="I242" s="289" t="str">
        <f>IF($A242="","",IFERROR(INDEX(Prices[FX to SGD],MATCH($A242,Prices[Key],0)),1))</f>
        <v/>
      </c>
      <c r="J242" s="287" t="str">
        <f t="shared" si="30"/>
        <v/>
      </c>
      <c r="K242" s="287" t="str">
        <f t="shared" si="31"/>
        <v/>
      </c>
      <c r="L242" s="287" t="str">
        <f t="shared" si="32"/>
        <v/>
      </c>
      <c r="M242" s="290" t="str">
        <f t="shared" si="33"/>
        <v/>
      </c>
      <c r="N242" s="243" t="str">
        <f>IF($A242="","",IF(ABS(E242)&gt;0.000001,COUNT($N$1:N241)+1,""))</f>
        <v/>
      </c>
      <c r="O242" s="291" t="str">
        <f>IF($A242="","",SUMIFS(Transactions!$H$2:$H$1001,Transactions!$J$2:$J$1001,$A242,Transactions!$A$2:$A$1001,2)*$I242)</f>
        <v/>
      </c>
      <c r="P242" s="291" t="str">
        <f t="shared" si="34"/>
        <v/>
      </c>
      <c r="Q242" s="292" t="str">
        <f t="shared" si="35"/>
        <v/>
      </c>
    </row>
    <row r="243" spans="1:17" ht="15" customHeight="1" x14ac:dyDescent="0.2">
      <c r="A243" s="243" t="str">
        <f>IFERROR(INDEX(Txn[Key],MATCH(0,INDEX(COUNTIF($A$1:A242,Txn[Key])+(Txn[Key]=""),0),0)),"")</f>
        <v/>
      </c>
      <c r="B243" s="243" t="str">
        <f t="shared" si="27"/>
        <v/>
      </c>
      <c r="C243" s="243" t="str">
        <f t="shared" si="28"/>
        <v/>
      </c>
      <c r="D243" s="243" t="str">
        <f t="shared" si="29"/>
        <v/>
      </c>
      <c r="E243" s="265" t="str">
        <f>IF($A243="","",SUMIFS(Txn[Signed Units],Txn[Key],$A243))</f>
        <v/>
      </c>
      <c r="F243" s="287" t="str">
        <f>IF($A243="","",SUMIFS(Txn[Buy Cost],Txn[Key],$A243))</f>
        <v/>
      </c>
      <c r="G243" s="287" t="str">
        <f>IF($A243="","",SUMIFS(Txn[Sell Proceeds],Txn[Key],$A243))</f>
        <v/>
      </c>
      <c r="H243" s="288" t="str">
        <f>IF($A243="","",IFERROR(INDEX(Prices[Current Price],MATCH($A243,Prices[Key],0)),0))</f>
        <v/>
      </c>
      <c r="I243" s="289" t="str">
        <f>IF($A243="","",IFERROR(INDEX(Prices[FX to SGD],MATCH($A243,Prices[Key],0)),1))</f>
        <v/>
      </c>
      <c r="J243" s="287" t="str">
        <f t="shared" si="30"/>
        <v/>
      </c>
      <c r="K243" s="287" t="str">
        <f t="shared" si="31"/>
        <v/>
      </c>
      <c r="L243" s="287" t="str">
        <f t="shared" si="32"/>
        <v/>
      </c>
      <c r="M243" s="290" t="str">
        <f t="shared" si="33"/>
        <v/>
      </c>
      <c r="N243" s="243" t="str">
        <f>IF($A243="","",IF(ABS(E243)&gt;0.000001,COUNT($N$1:N242)+1,""))</f>
        <v/>
      </c>
      <c r="O243" s="291" t="str">
        <f>IF($A243="","",SUMIFS(Transactions!$H$2:$H$1001,Transactions!$J$2:$J$1001,$A243,Transactions!$A$2:$A$1001,2)*$I243)</f>
        <v/>
      </c>
      <c r="P243" s="291" t="str">
        <f t="shared" si="34"/>
        <v/>
      </c>
      <c r="Q243" s="292" t="str">
        <f t="shared" si="35"/>
        <v/>
      </c>
    </row>
    <row r="244" spans="1:17" ht="15" customHeight="1" x14ac:dyDescent="0.2">
      <c r="A244" s="243" t="str">
        <f>IFERROR(INDEX(Txn[Key],MATCH(0,INDEX(COUNTIF($A$1:A243,Txn[Key])+(Txn[Key]=""),0),0)),"")</f>
        <v/>
      </c>
      <c r="B244" s="243" t="str">
        <f t="shared" si="27"/>
        <v/>
      </c>
      <c r="C244" s="243" t="str">
        <f t="shared" si="28"/>
        <v/>
      </c>
      <c r="D244" s="243" t="str">
        <f t="shared" si="29"/>
        <v/>
      </c>
      <c r="E244" s="265" t="str">
        <f>IF($A244="","",SUMIFS(Txn[Signed Units],Txn[Key],$A244))</f>
        <v/>
      </c>
      <c r="F244" s="287" t="str">
        <f>IF($A244="","",SUMIFS(Txn[Buy Cost],Txn[Key],$A244))</f>
        <v/>
      </c>
      <c r="G244" s="287" t="str">
        <f>IF($A244="","",SUMIFS(Txn[Sell Proceeds],Txn[Key],$A244))</f>
        <v/>
      </c>
      <c r="H244" s="288" t="str">
        <f>IF($A244="","",IFERROR(INDEX(Prices[Current Price],MATCH($A244,Prices[Key],0)),0))</f>
        <v/>
      </c>
      <c r="I244" s="289" t="str">
        <f>IF($A244="","",IFERROR(INDEX(Prices[FX to SGD],MATCH($A244,Prices[Key],0)),1))</f>
        <v/>
      </c>
      <c r="J244" s="287" t="str">
        <f t="shared" si="30"/>
        <v/>
      </c>
      <c r="K244" s="287" t="str">
        <f t="shared" si="31"/>
        <v/>
      </c>
      <c r="L244" s="287" t="str">
        <f t="shared" si="32"/>
        <v/>
      </c>
      <c r="M244" s="290" t="str">
        <f t="shared" si="33"/>
        <v/>
      </c>
      <c r="N244" s="243" t="str">
        <f>IF($A244="","",IF(ABS(E244)&gt;0.000001,COUNT($N$1:N243)+1,""))</f>
        <v/>
      </c>
      <c r="O244" s="291" t="str">
        <f>IF($A244="","",SUMIFS(Transactions!$H$2:$H$1001,Transactions!$J$2:$J$1001,$A244,Transactions!$A$2:$A$1001,2)*$I244)</f>
        <v/>
      </c>
      <c r="P244" s="291" t="str">
        <f t="shared" si="34"/>
        <v/>
      </c>
      <c r="Q244" s="292" t="str">
        <f t="shared" si="35"/>
        <v/>
      </c>
    </row>
    <row r="245" spans="1:17" ht="15" customHeight="1" x14ac:dyDescent="0.2">
      <c r="A245" s="243" t="str">
        <f>IFERROR(INDEX(Txn[Key],MATCH(0,INDEX(COUNTIF($A$1:A244,Txn[Key])+(Txn[Key]=""),0),0)),"")</f>
        <v/>
      </c>
      <c r="B245" s="243" t="str">
        <f t="shared" si="27"/>
        <v/>
      </c>
      <c r="C245" s="243" t="str">
        <f t="shared" si="28"/>
        <v/>
      </c>
      <c r="D245" s="243" t="str">
        <f t="shared" si="29"/>
        <v/>
      </c>
      <c r="E245" s="265" t="str">
        <f>IF($A245="","",SUMIFS(Txn[Signed Units],Txn[Key],$A245))</f>
        <v/>
      </c>
      <c r="F245" s="287" t="str">
        <f>IF($A245="","",SUMIFS(Txn[Buy Cost],Txn[Key],$A245))</f>
        <v/>
      </c>
      <c r="G245" s="287" t="str">
        <f>IF($A245="","",SUMIFS(Txn[Sell Proceeds],Txn[Key],$A245))</f>
        <v/>
      </c>
      <c r="H245" s="288" t="str">
        <f>IF($A245="","",IFERROR(INDEX(Prices[Current Price],MATCH($A245,Prices[Key],0)),0))</f>
        <v/>
      </c>
      <c r="I245" s="289" t="str">
        <f>IF($A245="","",IFERROR(INDEX(Prices[FX to SGD],MATCH($A245,Prices[Key],0)),1))</f>
        <v/>
      </c>
      <c r="J245" s="287" t="str">
        <f t="shared" si="30"/>
        <v/>
      </c>
      <c r="K245" s="287" t="str">
        <f t="shared" si="31"/>
        <v/>
      </c>
      <c r="L245" s="287" t="str">
        <f t="shared" si="32"/>
        <v/>
      </c>
      <c r="M245" s="290" t="str">
        <f t="shared" si="33"/>
        <v/>
      </c>
      <c r="N245" s="243" t="str">
        <f>IF($A245="","",IF(ABS(E245)&gt;0.000001,COUNT($N$1:N244)+1,""))</f>
        <v/>
      </c>
      <c r="O245" s="291" t="str">
        <f>IF($A245="","",SUMIFS(Transactions!$H$2:$H$1001,Transactions!$J$2:$J$1001,$A245,Transactions!$A$2:$A$1001,2)*$I245)</f>
        <v/>
      </c>
      <c r="P245" s="291" t="str">
        <f t="shared" si="34"/>
        <v/>
      </c>
      <c r="Q245" s="292" t="str">
        <f t="shared" si="35"/>
        <v/>
      </c>
    </row>
    <row r="246" spans="1:17" ht="15" customHeight="1" x14ac:dyDescent="0.2">
      <c r="A246" s="243" t="str">
        <f>IFERROR(INDEX(Txn[Key],MATCH(0,INDEX(COUNTIF($A$1:A245,Txn[Key])+(Txn[Key]=""),0),0)),"")</f>
        <v/>
      </c>
      <c r="B246" s="243" t="str">
        <f t="shared" si="27"/>
        <v/>
      </c>
      <c r="C246" s="243" t="str">
        <f t="shared" si="28"/>
        <v/>
      </c>
      <c r="D246" s="243" t="str">
        <f t="shared" si="29"/>
        <v/>
      </c>
      <c r="E246" s="265" t="str">
        <f>IF($A246="","",SUMIFS(Txn[Signed Units],Txn[Key],$A246))</f>
        <v/>
      </c>
      <c r="F246" s="287" t="str">
        <f>IF($A246="","",SUMIFS(Txn[Buy Cost],Txn[Key],$A246))</f>
        <v/>
      </c>
      <c r="G246" s="287" t="str">
        <f>IF($A246="","",SUMIFS(Txn[Sell Proceeds],Txn[Key],$A246))</f>
        <v/>
      </c>
      <c r="H246" s="288" t="str">
        <f>IF($A246="","",IFERROR(INDEX(Prices[Current Price],MATCH($A246,Prices[Key],0)),0))</f>
        <v/>
      </c>
      <c r="I246" s="289" t="str">
        <f>IF($A246="","",IFERROR(INDEX(Prices[FX to SGD],MATCH($A246,Prices[Key],0)),1))</f>
        <v/>
      </c>
      <c r="J246" s="287" t="str">
        <f t="shared" si="30"/>
        <v/>
      </c>
      <c r="K246" s="287" t="str">
        <f t="shared" si="31"/>
        <v/>
      </c>
      <c r="L246" s="287" t="str">
        <f t="shared" si="32"/>
        <v/>
      </c>
      <c r="M246" s="290" t="str">
        <f t="shared" si="33"/>
        <v/>
      </c>
      <c r="N246" s="243" t="str">
        <f>IF($A246="","",IF(ABS(E246)&gt;0.000001,COUNT($N$1:N245)+1,""))</f>
        <v/>
      </c>
      <c r="O246" s="291" t="str">
        <f>IF($A246="","",SUMIFS(Transactions!$H$2:$H$1001,Transactions!$J$2:$J$1001,$A246,Transactions!$A$2:$A$1001,2)*$I246)</f>
        <v/>
      </c>
      <c r="P246" s="291" t="str">
        <f t="shared" si="34"/>
        <v/>
      </c>
      <c r="Q246" s="292" t="str">
        <f t="shared" si="35"/>
        <v/>
      </c>
    </row>
    <row r="247" spans="1:17" ht="15" customHeight="1" x14ac:dyDescent="0.2">
      <c r="A247" s="243" t="str">
        <f>IFERROR(INDEX(Txn[Key],MATCH(0,INDEX(COUNTIF($A$1:A246,Txn[Key])+(Txn[Key]=""),0),0)),"")</f>
        <v/>
      </c>
      <c r="B247" s="243" t="str">
        <f t="shared" si="27"/>
        <v/>
      </c>
      <c r="C247" s="243" t="str">
        <f t="shared" si="28"/>
        <v/>
      </c>
      <c r="D247" s="243" t="str">
        <f t="shared" si="29"/>
        <v/>
      </c>
      <c r="E247" s="265" t="str">
        <f>IF($A247="","",SUMIFS(Txn[Signed Units],Txn[Key],$A247))</f>
        <v/>
      </c>
      <c r="F247" s="287" t="str">
        <f>IF($A247="","",SUMIFS(Txn[Buy Cost],Txn[Key],$A247))</f>
        <v/>
      </c>
      <c r="G247" s="287" t="str">
        <f>IF($A247="","",SUMIFS(Txn[Sell Proceeds],Txn[Key],$A247))</f>
        <v/>
      </c>
      <c r="H247" s="288" t="str">
        <f>IF($A247="","",IFERROR(INDEX(Prices[Current Price],MATCH($A247,Prices[Key],0)),0))</f>
        <v/>
      </c>
      <c r="I247" s="289" t="str">
        <f>IF($A247="","",IFERROR(INDEX(Prices[FX to SGD],MATCH($A247,Prices[Key],0)),1))</f>
        <v/>
      </c>
      <c r="J247" s="287" t="str">
        <f t="shared" si="30"/>
        <v/>
      </c>
      <c r="K247" s="287" t="str">
        <f t="shared" si="31"/>
        <v/>
      </c>
      <c r="L247" s="287" t="str">
        <f t="shared" si="32"/>
        <v/>
      </c>
      <c r="M247" s="290" t="str">
        <f t="shared" si="33"/>
        <v/>
      </c>
      <c r="N247" s="243" t="str">
        <f>IF($A247="","",IF(ABS(E247)&gt;0.000001,COUNT($N$1:N246)+1,""))</f>
        <v/>
      </c>
      <c r="O247" s="291" t="str">
        <f>IF($A247="","",SUMIFS(Transactions!$H$2:$H$1001,Transactions!$J$2:$J$1001,$A247,Transactions!$A$2:$A$1001,2)*$I247)</f>
        <v/>
      </c>
      <c r="P247" s="291" t="str">
        <f t="shared" si="34"/>
        <v/>
      </c>
      <c r="Q247" s="292" t="str">
        <f t="shared" si="35"/>
        <v/>
      </c>
    </row>
    <row r="248" spans="1:17" ht="15" customHeight="1" x14ac:dyDescent="0.2">
      <c r="A248" s="243" t="str">
        <f>IFERROR(INDEX(Txn[Key],MATCH(0,INDEX(COUNTIF($A$1:A247,Txn[Key])+(Txn[Key]=""),0),0)),"")</f>
        <v/>
      </c>
      <c r="B248" s="243" t="str">
        <f t="shared" si="27"/>
        <v/>
      </c>
      <c r="C248" s="243" t="str">
        <f t="shared" si="28"/>
        <v/>
      </c>
      <c r="D248" s="243" t="str">
        <f t="shared" si="29"/>
        <v/>
      </c>
      <c r="E248" s="265" t="str">
        <f>IF($A248="","",SUMIFS(Txn[Signed Units],Txn[Key],$A248))</f>
        <v/>
      </c>
      <c r="F248" s="287" t="str">
        <f>IF($A248="","",SUMIFS(Txn[Buy Cost],Txn[Key],$A248))</f>
        <v/>
      </c>
      <c r="G248" s="287" t="str">
        <f>IF($A248="","",SUMIFS(Txn[Sell Proceeds],Txn[Key],$A248))</f>
        <v/>
      </c>
      <c r="H248" s="288" t="str">
        <f>IF($A248="","",IFERROR(INDEX(Prices[Current Price],MATCH($A248,Prices[Key],0)),0))</f>
        <v/>
      </c>
      <c r="I248" s="289" t="str">
        <f>IF($A248="","",IFERROR(INDEX(Prices[FX to SGD],MATCH($A248,Prices[Key],0)),1))</f>
        <v/>
      </c>
      <c r="J248" s="287" t="str">
        <f t="shared" si="30"/>
        <v/>
      </c>
      <c r="K248" s="287" t="str">
        <f t="shared" si="31"/>
        <v/>
      </c>
      <c r="L248" s="287" t="str">
        <f t="shared" si="32"/>
        <v/>
      </c>
      <c r="M248" s="290" t="str">
        <f t="shared" si="33"/>
        <v/>
      </c>
      <c r="N248" s="243" t="str">
        <f>IF($A248="","",IF(ABS(E248)&gt;0.000001,COUNT($N$1:N247)+1,""))</f>
        <v/>
      </c>
      <c r="O248" s="291" t="str">
        <f>IF($A248="","",SUMIFS(Transactions!$H$2:$H$1001,Transactions!$J$2:$J$1001,$A248,Transactions!$A$2:$A$1001,2)*$I248)</f>
        <v/>
      </c>
      <c r="P248" s="291" t="str">
        <f t="shared" si="34"/>
        <v/>
      </c>
      <c r="Q248" s="292" t="str">
        <f t="shared" si="35"/>
        <v/>
      </c>
    </row>
    <row r="249" spans="1:17" ht="15" customHeight="1" x14ac:dyDescent="0.2">
      <c r="A249" s="243" t="str">
        <f>IFERROR(INDEX(Txn[Key],MATCH(0,INDEX(COUNTIF($A$1:A248,Txn[Key])+(Txn[Key]=""),0),0)),"")</f>
        <v/>
      </c>
      <c r="B249" s="243" t="str">
        <f t="shared" si="27"/>
        <v/>
      </c>
      <c r="C249" s="243" t="str">
        <f t="shared" si="28"/>
        <v/>
      </c>
      <c r="D249" s="243" t="str">
        <f t="shared" si="29"/>
        <v/>
      </c>
      <c r="E249" s="265" t="str">
        <f>IF($A249="","",SUMIFS(Txn[Signed Units],Txn[Key],$A249))</f>
        <v/>
      </c>
      <c r="F249" s="287" t="str">
        <f>IF($A249="","",SUMIFS(Txn[Buy Cost],Txn[Key],$A249))</f>
        <v/>
      </c>
      <c r="G249" s="287" t="str">
        <f>IF($A249="","",SUMIFS(Txn[Sell Proceeds],Txn[Key],$A249))</f>
        <v/>
      </c>
      <c r="H249" s="288" t="str">
        <f>IF($A249="","",IFERROR(INDEX(Prices[Current Price],MATCH($A249,Prices[Key],0)),0))</f>
        <v/>
      </c>
      <c r="I249" s="289" t="str">
        <f>IF($A249="","",IFERROR(INDEX(Prices[FX to SGD],MATCH($A249,Prices[Key],0)),1))</f>
        <v/>
      </c>
      <c r="J249" s="287" t="str">
        <f t="shared" si="30"/>
        <v/>
      </c>
      <c r="K249" s="287" t="str">
        <f t="shared" si="31"/>
        <v/>
      </c>
      <c r="L249" s="287" t="str">
        <f t="shared" si="32"/>
        <v/>
      </c>
      <c r="M249" s="290" t="str">
        <f t="shared" si="33"/>
        <v/>
      </c>
      <c r="N249" s="243" t="str">
        <f>IF($A249="","",IF(ABS(E249)&gt;0.000001,COUNT($N$1:N248)+1,""))</f>
        <v/>
      </c>
      <c r="O249" s="291" t="str">
        <f>IF($A249="","",SUMIFS(Transactions!$H$2:$H$1001,Transactions!$J$2:$J$1001,$A249,Transactions!$A$2:$A$1001,2)*$I249)</f>
        <v/>
      </c>
      <c r="P249" s="291" t="str">
        <f t="shared" si="34"/>
        <v/>
      </c>
      <c r="Q249" s="292" t="str">
        <f t="shared" si="35"/>
        <v/>
      </c>
    </row>
    <row r="250" spans="1:17" ht="15" customHeight="1" x14ac:dyDescent="0.2">
      <c r="A250" s="243" t="str">
        <f>IFERROR(INDEX(Txn[Key],MATCH(0,INDEX(COUNTIF($A$1:A249,Txn[Key])+(Txn[Key]=""),0),0)),"")</f>
        <v/>
      </c>
      <c r="B250" s="243" t="str">
        <f t="shared" si="27"/>
        <v/>
      </c>
      <c r="C250" s="243" t="str">
        <f t="shared" si="28"/>
        <v/>
      </c>
      <c r="D250" s="243" t="str">
        <f t="shared" si="29"/>
        <v/>
      </c>
      <c r="E250" s="265" t="str">
        <f>IF($A250="","",SUMIFS(Txn[Signed Units],Txn[Key],$A250))</f>
        <v/>
      </c>
      <c r="F250" s="287" t="str">
        <f>IF($A250="","",SUMIFS(Txn[Buy Cost],Txn[Key],$A250))</f>
        <v/>
      </c>
      <c r="G250" s="287" t="str">
        <f>IF($A250="","",SUMIFS(Txn[Sell Proceeds],Txn[Key],$A250))</f>
        <v/>
      </c>
      <c r="H250" s="288" t="str">
        <f>IF($A250="","",IFERROR(INDEX(Prices[Current Price],MATCH($A250,Prices[Key],0)),0))</f>
        <v/>
      </c>
      <c r="I250" s="289" t="str">
        <f>IF($A250="","",IFERROR(INDEX(Prices[FX to SGD],MATCH($A250,Prices[Key],0)),1))</f>
        <v/>
      </c>
      <c r="J250" s="287" t="str">
        <f t="shared" si="30"/>
        <v/>
      </c>
      <c r="K250" s="287" t="str">
        <f t="shared" si="31"/>
        <v/>
      </c>
      <c r="L250" s="287" t="str">
        <f t="shared" si="32"/>
        <v/>
      </c>
      <c r="M250" s="290" t="str">
        <f t="shared" si="33"/>
        <v/>
      </c>
      <c r="N250" s="243" t="str">
        <f>IF($A250="","",IF(ABS(E250)&gt;0.000001,COUNT($N$1:N249)+1,""))</f>
        <v/>
      </c>
      <c r="O250" s="291" t="str">
        <f>IF($A250="","",SUMIFS(Transactions!$H$2:$H$1001,Transactions!$J$2:$J$1001,$A250,Transactions!$A$2:$A$1001,2)*$I250)</f>
        <v/>
      </c>
      <c r="P250" s="291" t="str">
        <f t="shared" si="34"/>
        <v/>
      </c>
      <c r="Q250" s="292" t="str">
        <f t="shared" si="35"/>
        <v/>
      </c>
    </row>
    <row r="251" spans="1:17" ht="15" customHeight="1" x14ac:dyDescent="0.2">
      <c r="A251" s="243" t="str">
        <f>IFERROR(INDEX(Txn[Key],MATCH(0,INDEX(COUNTIF($A$1:A250,Txn[Key])+(Txn[Key]=""),0),0)),"")</f>
        <v/>
      </c>
      <c r="B251" s="243" t="str">
        <f t="shared" si="27"/>
        <v/>
      </c>
      <c r="C251" s="243" t="str">
        <f t="shared" si="28"/>
        <v/>
      </c>
      <c r="D251" s="243" t="str">
        <f t="shared" si="29"/>
        <v/>
      </c>
      <c r="E251" s="265" t="str">
        <f>IF($A251="","",SUMIFS(Txn[Signed Units],Txn[Key],$A251))</f>
        <v/>
      </c>
      <c r="F251" s="287" t="str">
        <f>IF($A251="","",SUMIFS(Txn[Buy Cost],Txn[Key],$A251))</f>
        <v/>
      </c>
      <c r="G251" s="287" t="str">
        <f>IF($A251="","",SUMIFS(Txn[Sell Proceeds],Txn[Key],$A251))</f>
        <v/>
      </c>
      <c r="H251" s="288" t="str">
        <f>IF($A251="","",IFERROR(INDEX(Prices[Current Price],MATCH($A251,Prices[Key],0)),0))</f>
        <v/>
      </c>
      <c r="I251" s="289" t="str">
        <f>IF($A251="","",IFERROR(INDEX(Prices[FX to SGD],MATCH($A251,Prices[Key],0)),1))</f>
        <v/>
      </c>
      <c r="J251" s="287" t="str">
        <f t="shared" si="30"/>
        <v/>
      </c>
      <c r="K251" s="287" t="str">
        <f t="shared" si="31"/>
        <v/>
      </c>
      <c r="L251" s="287" t="str">
        <f t="shared" si="32"/>
        <v/>
      </c>
      <c r="M251" s="290" t="str">
        <f t="shared" si="33"/>
        <v/>
      </c>
      <c r="N251" s="243" t="str">
        <f>IF($A251="","",IF(ABS(E251)&gt;0.000001,COUNT($N$1:N250)+1,""))</f>
        <v/>
      </c>
      <c r="O251" s="291" t="str">
        <f>IF($A251="","",SUMIFS(Transactions!$H$2:$H$1001,Transactions!$J$2:$J$1001,$A251,Transactions!$A$2:$A$1001,2)*$I251)</f>
        <v/>
      </c>
      <c r="P251" s="291" t="str">
        <f t="shared" si="34"/>
        <v/>
      </c>
      <c r="Q251" s="292" t="str">
        <f t="shared" si="35"/>
        <v/>
      </c>
    </row>
    <row r="252" spans="1:17" ht="15" customHeight="1" x14ac:dyDescent="0.2">
      <c r="A252" s="243" t="str">
        <f>IFERROR(INDEX(Txn[Key],MATCH(0,INDEX(COUNTIF($A$1:A251,Txn[Key])+(Txn[Key]=""),0),0)),"")</f>
        <v/>
      </c>
      <c r="B252" s="243" t="str">
        <f t="shared" si="27"/>
        <v/>
      </c>
      <c r="C252" s="243" t="str">
        <f t="shared" si="28"/>
        <v/>
      </c>
      <c r="D252" s="243" t="str">
        <f t="shared" si="29"/>
        <v/>
      </c>
      <c r="E252" s="265" t="str">
        <f>IF($A252="","",SUMIFS(Txn[Signed Units],Txn[Key],$A252))</f>
        <v/>
      </c>
      <c r="F252" s="287" t="str">
        <f>IF($A252="","",SUMIFS(Txn[Buy Cost],Txn[Key],$A252))</f>
        <v/>
      </c>
      <c r="G252" s="287" t="str">
        <f>IF($A252="","",SUMIFS(Txn[Sell Proceeds],Txn[Key],$A252))</f>
        <v/>
      </c>
      <c r="H252" s="288" t="str">
        <f>IF($A252="","",IFERROR(INDEX(Prices[Current Price],MATCH($A252,Prices[Key],0)),0))</f>
        <v/>
      </c>
      <c r="I252" s="289" t="str">
        <f>IF($A252="","",IFERROR(INDEX(Prices[FX to SGD],MATCH($A252,Prices[Key],0)),1))</f>
        <v/>
      </c>
      <c r="J252" s="287" t="str">
        <f t="shared" si="30"/>
        <v/>
      </c>
      <c r="K252" s="287" t="str">
        <f t="shared" si="31"/>
        <v/>
      </c>
      <c r="L252" s="287" t="str">
        <f t="shared" si="32"/>
        <v/>
      </c>
      <c r="M252" s="290" t="str">
        <f t="shared" si="33"/>
        <v/>
      </c>
      <c r="N252" s="243" t="str">
        <f>IF($A252="","",IF(ABS(E252)&gt;0.000001,COUNT($N$1:N251)+1,""))</f>
        <v/>
      </c>
      <c r="O252" s="291" t="str">
        <f>IF($A252="","",SUMIFS(Transactions!$H$2:$H$1001,Transactions!$J$2:$J$1001,$A252,Transactions!$A$2:$A$1001,2)*$I252)</f>
        <v/>
      </c>
      <c r="P252" s="291" t="str">
        <f t="shared" si="34"/>
        <v/>
      </c>
      <c r="Q252" s="292" t="str">
        <f t="shared" si="35"/>
        <v/>
      </c>
    </row>
    <row r="253" spans="1:17" ht="15" customHeight="1" x14ac:dyDescent="0.2">
      <c r="A253" s="243" t="str">
        <f>IFERROR(INDEX(Txn[Key],MATCH(0,INDEX(COUNTIF($A$1:A252,Txn[Key])+(Txn[Key]=""),0),0)),"")</f>
        <v/>
      </c>
      <c r="B253" s="243" t="str">
        <f t="shared" si="27"/>
        <v/>
      </c>
      <c r="C253" s="243" t="str">
        <f t="shared" si="28"/>
        <v/>
      </c>
      <c r="D253" s="243" t="str">
        <f t="shared" si="29"/>
        <v/>
      </c>
      <c r="E253" s="265" t="str">
        <f>IF($A253="","",SUMIFS(Txn[Signed Units],Txn[Key],$A253))</f>
        <v/>
      </c>
      <c r="F253" s="287" t="str">
        <f>IF($A253="","",SUMIFS(Txn[Buy Cost],Txn[Key],$A253))</f>
        <v/>
      </c>
      <c r="G253" s="287" t="str">
        <f>IF($A253="","",SUMIFS(Txn[Sell Proceeds],Txn[Key],$A253))</f>
        <v/>
      </c>
      <c r="H253" s="288" t="str">
        <f>IF($A253="","",IFERROR(INDEX(Prices[Current Price],MATCH($A253,Prices[Key],0)),0))</f>
        <v/>
      </c>
      <c r="I253" s="289" t="str">
        <f>IF($A253="","",IFERROR(INDEX(Prices[FX to SGD],MATCH($A253,Prices[Key],0)),1))</f>
        <v/>
      </c>
      <c r="J253" s="287" t="str">
        <f t="shared" si="30"/>
        <v/>
      </c>
      <c r="K253" s="287" t="str">
        <f t="shared" si="31"/>
        <v/>
      </c>
      <c r="L253" s="287" t="str">
        <f t="shared" si="32"/>
        <v/>
      </c>
      <c r="M253" s="290" t="str">
        <f t="shared" si="33"/>
        <v/>
      </c>
      <c r="N253" s="243" t="str">
        <f>IF($A253="","",IF(ABS(E253)&gt;0.000001,COUNT($N$1:N252)+1,""))</f>
        <v/>
      </c>
      <c r="O253" s="291" t="str">
        <f>IF($A253="","",SUMIFS(Transactions!$H$2:$H$1001,Transactions!$J$2:$J$1001,$A253,Transactions!$A$2:$A$1001,2)*$I253)</f>
        <v/>
      </c>
      <c r="P253" s="291" t="str">
        <f t="shared" si="34"/>
        <v/>
      </c>
      <c r="Q253" s="292" t="str">
        <f t="shared" si="35"/>
        <v/>
      </c>
    </row>
    <row r="254" spans="1:17" ht="15" customHeight="1" x14ac:dyDescent="0.2">
      <c r="A254" s="243" t="str">
        <f>IFERROR(INDEX(Txn[Key],MATCH(0,INDEX(COUNTIF($A$1:A253,Txn[Key])+(Txn[Key]=""),0),0)),"")</f>
        <v/>
      </c>
      <c r="B254" s="243" t="str">
        <f t="shared" si="27"/>
        <v/>
      </c>
      <c r="C254" s="243" t="str">
        <f t="shared" si="28"/>
        <v/>
      </c>
      <c r="D254" s="243" t="str">
        <f t="shared" si="29"/>
        <v/>
      </c>
      <c r="E254" s="265" t="str">
        <f>IF($A254="","",SUMIFS(Txn[Signed Units],Txn[Key],$A254))</f>
        <v/>
      </c>
      <c r="F254" s="287" t="str">
        <f>IF($A254="","",SUMIFS(Txn[Buy Cost],Txn[Key],$A254))</f>
        <v/>
      </c>
      <c r="G254" s="287" t="str">
        <f>IF($A254="","",SUMIFS(Txn[Sell Proceeds],Txn[Key],$A254))</f>
        <v/>
      </c>
      <c r="H254" s="288" t="str">
        <f>IF($A254="","",IFERROR(INDEX(Prices[Current Price],MATCH($A254,Prices[Key],0)),0))</f>
        <v/>
      </c>
      <c r="I254" s="289" t="str">
        <f>IF($A254="","",IFERROR(INDEX(Prices[FX to SGD],MATCH($A254,Prices[Key],0)),1))</f>
        <v/>
      </c>
      <c r="J254" s="287" t="str">
        <f t="shared" si="30"/>
        <v/>
      </c>
      <c r="K254" s="287" t="str">
        <f t="shared" si="31"/>
        <v/>
      </c>
      <c r="L254" s="287" t="str">
        <f t="shared" si="32"/>
        <v/>
      </c>
      <c r="M254" s="290" t="str">
        <f t="shared" si="33"/>
        <v/>
      </c>
      <c r="N254" s="243" t="str">
        <f>IF($A254="","",IF(ABS(E254)&gt;0.000001,COUNT($N$1:N253)+1,""))</f>
        <v/>
      </c>
      <c r="O254" s="291" t="str">
        <f>IF($A254="","",SUMIFS(Transactions!$H$2:$H$1001,Transactions!$J$2:$J$1001,$A254,Transactions!$A$2:$A$1001,2)*$I254)</f>
        <v/>
      </c>
      <c r="P254" s="291" t="str">
        <f t="shared" si="34"/>
        <v/>
      </c>
      <c r="Q254" s="292" t="str">
        <f t="shared" si="35"/>
        <v/>
      </c>
    </row>
    <row r="255" spans="1:17" ht="15" customHeight="1" x14ac:dyDescent="0.2">
      <c r="A255" s="243" t="str">
        <f>IFERROR(INDEX(Txn[Key],MATCH(0,INDEX(COUNTIF($A$1:A254,Txn[Key])+(Txn[Key]=""),0),0)),"")</f>
        <v/>
      </c>
      <c r="B255" s="243" t="str">
        <f t="shared" si="27"/>
        <v/>
      </c>
      <c r="C255" s="243" t="str">
        <f t="shared" si="28"/>
        <v/>
      </c>
      <c r="D255" s="243" t="str">
        <f t="shared" si="29"/>
        <v/>
      </c>
      <c r="E255" s="265" t="str">
        <f>IF($A255="","",SUMIFS(Txn[Signed Units],Txn[Key],$A255))</f>
        <v/>
      </c>
      <c r="F255" s="287" t="str">
        <f>IF($A255="","",SUMIFS(Txn[Buy Cost],Txn[Key],$A255))</f>
        <v/>
      </c>
      <c r="G255" s="287" t="str">
        <f>IF($A255="","",SUMIFS(Txn[Sell Proceeds],Txn[Key],$A255))</f>
        <v/>
      </c>
      <c r="H255" s="288" t="str">
        <f>IF($A255="","",IFERROR(INDEX(Prices[Current Price],MATCH($A255,Prices[Key],0)),0))</f>
        <v/>
      </c>
      <c r="I255" s="289" t="str">
        <f>IF($A255="","",IFERROR(INDEX(Prices[FX to SGD],MATCH($A255,Prices[Key],0)),1))</f>
        <v/>
      </c>
      <c r="J255" s="287" t="str">
        <f t="shared" si="30"/>
        <v/>
      </c>
      <c r="K255" s="287" t="str">
        <f t="shared" si="31"/>
        <v/>
      </c>
      <c r="L255" s="287" t="str">
        <f t="shared" si="32"/>
        <v/>
      </c>
      <c r="M255" s="290" t="str">
        <f t="shared" si="33"/>
        <v/>
      </c>
      <c r="N255" s="243" t="str">
        <f>IF($A255="","",IF(ABS(E255)&gt;0.000001,COUNT($N$1:N254)+1,""))</f>
        <v/>
      </c>
      <c r="O255" s="291" t="str">
        <f>IF($A255="","",SUMIFS(Transactions!$H$2:$H$1001,Transactions!$J$2:$J$1001,$A255,Transactions!$A$2:$A$1001,2)*$I255)</f>
        <v/>
      </c>
      <c r="P255" s="291" t="str">
        <f t="shared" si="34"/>
        <v/>
      </c>
      <c r="Q255" s="292" t="str">
        <f t="shared" si="35"/>
        <v/>
      </c>
    </row>
    <row r="256" spans="1:17" ht="15" customHeight="1" x14ac:dyDescent="0.2">
      <c r="A256" s="243" t="str">
        <f>IFERROR(INDEX(Txn[Key],MATCH(0,INDEX(COUNTIF($A$1:A255,Txn[Key])+(Txn[Key]=""),0),0)),"")</f>
        <v/>
      </c>
      <c r="B256" s="243" t="str">
        <f t="shared" si="27"/>
        <v/>
      </c>
      <c r="C256" s="243" t="str">
        <f t="shared" si="28"/>
        <v/>
      </c>
      <c r="D256" s="243" t="str">
        <f t="shared" si="29"/>
        <v/>
      </c>
      <c r="E256" s="265" t="str">
        <f>IF($A256="","",SUMIFS(Txn[Signed Units],Txn[Key],$A256))</f>
        <v/>
      </c>
      <c r="F256" s="287" t="str">
        <f>IF($A256="","",SUMIFS(Txn[Buy Cost],Txn[Key],$A256))</f>
        <v/>
      </c>
      <c r="G256" s="287" t="str">
        <f>IF($A256="","",SUMIFS(Txn[Sell Proceeds],Txn[Key],$A256))</f>
        <v/>
      </c>
      <c r="H256" s="288" t="str">
        <f>IF($A256="","",IFERROR(INDEX(Prices[Current Price],MATCH($A256,Prices[Key],0)),0))</f>
        <v/>
      </c>
      <c r="I256" s="289" t="str">
        <f>IF($A256="","",IFERROR(INDEX(Prices[FX to SGD],MATCH($A256,Prices[Key],0)),1))</f>
        <v/>
      </c>
      <c r="J256" s="287" t="str">
        <f t="shared" si="30"/>
        <v/>
      </c>
      <c r="K256" s="287" t="str">
        <f t="shared" si="31"/>
        <v/>
      </c>
      <c r="L256" s="287" t="str">
        <f t="shared" si="32"/>
        <v/>
      </c>
      <c r="M256" s="290" t="str">
        <f t="shared" si="33"/>
        <v/>
      </c>
      <c r="N256" s="243" t="str">
        <f>IF($A256="","",IF(ABS(E256)&gt;0.000001,COUNT($N$1:N255)+1,""))</f>
        <v/>
      </c>
      <c r="O256" s="291" t="str">
        <f>IF($A256="","",SUMIFS(Transactions!$H$2:$H$1001,Transactions!$J$2:$J$1001,$A256,Transactions!$A$2:$A$1001,2)*$I256)</f>
        <v/>
      </c>
      <c r="P256" s="291" t="str">
        <f t="shared" si="34"/>
        <v/>
      </c>
      <c r="Q256" s="292" t="str">
        <f t="shared" si="35"/>
        <v/>
      </c>
    </row>
    <row r="257" spans="1:17" ht="15" customHeight="1" x14ac:dyDescent="0.2">
      <c r="A257" s="243" t="str">
        <f>IFERROR(INDEX(Txn[Key],MATCH(0,INDEX(COUNTIF($A$1:A256,Txn[Key])+(Txn[Key]=""),0),0)),"")</f>
        <v/>
      </c>
      <c r="B257" s="243" t="str">
        <f t="shared" si="27"/>
        <v/>
      </c>
      <c r="C257" s="243" t="str">
        <f t="shared" si="28"/>
        <v/>
      </c>
      <c r="D257" s="243" t="str">
        <f t="shared" si="29"/>
        <v/>
      </c>
      <c r="E257" s="265" t="str">
        <f>IF($A257="","",SUMIFS(Txn[Signed Units],Txn[Key],$A257))</f>
        <v/>
      </c>
      <c r="F257" s="287" t="str">
        <f>IF($A257="","",SUMIFS(Txn[Buy Cost],Txn[Key],$A257))</f>
        <v/>
      </c>
      <c r="G257" s="287" t="str">
        <f>IF($A257="","",SUMIFS(Txn[Sell Proceeds],Txn[Key],$A257))</f>
        <v/>
      </c>
      <c r="H257" s="288" t="str">
        <f>IF($A257="","",IFERROR(INDEX(Prices[Current Price],MATCH($A257,Prices[Key],0)),0))</f>
        <v/>
      </c>
      <c r="I257" s="289" t="str">
        <f>IF($A257="","",IFERROR(INDEX(Prices[FX to SGD],MATCH($A257,Prices[Key],0)),1))</f>
        <v/>
      </c>
      <c r="J257" s="287" t="str">
        <f t="shared" si="30"/>
        <v/>
      </c>
      <c r="K257" s="287" t="str">
        <f t="shared" si="31"/>
        <v/>
      </c>
      <c r="L257" s="287" t="str">
        <f t="shared" si="32"/>
        <v/>
      </c>
      <c r="M257" s="290" t="str">
        <f t="shared" si="33"/>
        <v/>
      </c>
      <c r="N257" s="243" t="str">
        <f>IF($A257="","",IF(ABS(E257)&gt;0.000001,COUNT($N$1:N256)+1,""))</f>
        <v/>
      </c>
      <c r="O257" s="291" t="str">
        <f>IF($A257="","",SUMIFS(Transactions!$H$2:$H$1001,Transactions!$J$2:$J$1001,$A257,Transactions!$A$2:$A$1001,2)*$I257)</f>
        <v/>
      </c>
      <c r="P257" s="291" t="str">
        <f t="shared" si="34"/>
        <v/>
      </c>
      <c r="Q257" s="292" t="str">
        <f t="shared" si="35"/>
        <v/>
      </c>
    </row>
    <row r="258" spans="1:17" ht="15" customHeight="1" x14ac:dyDescent="0.2">
      <c r="A258" s="243" t="str">
        <f>IFERROR(INDEX(Txn[Key],MATCH(0,INDEX(COUNTIF($A$1:A257,Txn[Key])+(Txn[Key]=""),0),0)),"")</f>
        <v/>
      </c>
      <c r="B258" s="243" t="str">
        <f t="shared" ref="B258:B321" si="36">IF($A258="","",LEFT($A258,FIND(":",$A258)-1))</f>
        <v/>
      </c>
      <c r="C258" s="243" t="str">
        <f t="shared" ref="C258:C321" si="37">IF($A258="","",MID($A258,FIND(":",$A258)+1,FIND(":",$A258,FIND(":",$A258)+1)-FIND(":",$A258)-1))</f>
        <v/>
      </c>
      <c r="D258" s="243" t="str">
        <f t="shared" ref="D258:D321" si="38">IF($A258="","",RIGHT($A258,LEN($A258)-FIND(":",$A258,FIND(":",$A258)+1)))</f>
        <v/>
      </c>
      <c r="E258" s="265" t="str">
        <f>IF($A258="","",SUMIFS(Txn[Signed Units],Txn[Key],$A258))</f>
        <v/>
      </c>
      <c r="F258" s="287" t="str">
        <f>IF($A258="","",SUMIFS(Txn[Buy Cost],Txn[Key],$A258))</f>
        <v/>
      </c>
      <c r="G258" s="287" t="str">
        <f>IF($A258="","",SUMIFS(Txn[Sell Proceeds],Txn[Key],$A258))</f>
        <v/>
      </c>
      <c r="H258" s="288" t="str">
        <f>IF($A258="","",IFERROR(INDEX(Prices[Current Price],MATCH($A258,Prices[Key],0)),0))</f>
        <v/>
      </c>
      <c r="I258" s="289" t="str">
        <f>IF($A258="","",IFERROR(INDEX(Prices[FX to SGD],MATCH($A258,Prices[Key],0)),1))</f>
        <v/>
      </c>
      <c r="J258" s="287" t="str">
        <f t="shared" ref="J258:J321" si="39">IF($A258="","",E258*H258)</f>
        <v/>
      </c>
      <c r="K258" s="287" t="str">
        <f t="shared" ref="K258:K321" si="40">IF($A258="","",J258+G258-F258)</f>
        <v/>
      </c>
      <c r="L258" s="287" t="str">
        <f t="shared" ref="L258:L321" si="41">IF($A258="","",K258*I258)</f>
        <v/>
      </c>
      <c r="M258" s="290" t="str">
        <f t="shared" ref="M258:M321" si="42">IF($A258="","",IFERROR(K258/F258,0))</f>
        <v/>
      </c>
      <c r="N258" s="243" t="str">
        <f>IF($A258="","",IF(ABS(E258)&gt;0.000001,COUNT($N$1:N257)+1,""))</f>
        <v/>
      </c>
      <c r="O258" s="291" t="str">
        <f>IF($A258="","",SUMIFS(Transactions!$H$2:$H$1001,Transactions!$J$2:$J$1001,$A258,Transactions!$A$2:$A$1001,2)*$I258)</f>
        <v/>
      </c>
      <c r="P258" s="291" t="str">
        <f t="shared" ref="P258:P321" si="43">IF($A258="","",$L258+$O258)</f>
        <v/>
      </c>
      <c r="Q258" s="292" t="str">
        <f t="shared" ref="Q258:Q321" si="44">IF($A258="","",IFERROR(($L258+$O258)/($F258*$I258),0))</f>
        <v/>
      </c>
    </row>
    <row r="259" spans="1:17" ht="15" customHeight="1" x14ac:dyDescent="0.2">
      <c r="A259" s="243" t="str">
        <f>IFERROR(INDEX(Txn[Key],MATCH(0,INDEX(COUNTIF($A$1:A258,Txn[Key])+(Txn[Key]=""),0),0)),"")</f>
        <v/>
      </c>
      <c r="B259" s="243" t="str">
        <f t="shared" si="36"/>
        <v/>
      </c>
      <c r="C259" s="243" t="str">
        <f t="shared" si="37"/>
        <v/>
      </c>
      <c r="D259" s="243" t="str">
        <f t="shared" si="38"/>
        <v/>
      </c>
      <c r="E259" s="265" t="str">
        <f>IF($A259="","",SUMIFS(Txn[Signed Units],Txn[Key],$A259))</f>
        <v/>
      </c>
      <c r="F259" s="287" t="str">
        <f>IF($A259="","",SUMIFS(Txn[Buy Cost],Txn[Key],$A259))</f>
        <v/>
      </c>
      <c r="G259" s="287" t="str">
        <f>IF($A259="","",SUMIFS(Txn[Sell Proceeds],Txn[Key],$A259))</f>
        <v/>
      </c>
      <c r="H259" s="288" t="str">
        <f>IF($A259="","",IFERROR(INDEX(Prices[Current Price],MATCH($A259,Prices[Key],0)),0))</f>
        <v/>
      </c>
      <c r="I259" s="289" t="str">
        <f>IF($A259="","",IFERROR(INDEX(Prices[FX to SGD],MATCH($A259,Prices[Key],0)),1))</f>
        <v/>
      </c>
      <c r="J259" s="287" t="str">
        <f t="shared" si="39"/>
        <v/>
      </c>
      <c r="K259" s="287" t="str">
        <f t="shared" si="40"/>
        <v/>
      </c>
      <c r="L259" s="287" t="str">
        <f t="shared" si="41"/>
        <v/>
      </c>
      <c r="M259" s="290" t="str">
        <f t="shared" si="42"/>
        <v/>
      </c>
      <c r="N259" s="243" t="str">
        <f>IF($A259="","",IF(ABS(E259)&gt;0.000001,COUNT($N$1:N258)+1,""))</f>
        <v/>
      </c>
      <c r="O259" s="291" t="str">
        <f>IF($A259="","",SUMIFS(Transactions!$H$2:$H$1001,Transactions!$J$2:$J$1001,$A259,Transactions!$A$2:$A$1001,2)*$I259)</f>
        <v/>
      </c>
      <c r="P259" s="291" t="str">
        <f t="shared" si="43"/>
        <v/>
      </c>
      <c r="Q259" s="292" t="str">
        <f t="shared" si="44"/>
        <v/>
      </c>
    </row>
    <row r="260" spans="1:17" ht="15" customHeight="1" x14ac:dyDescent="0.2">
      <c r="A260" s="243" t="str">
        <f>IFERROR(INDEX(Txn[Key],MATCH(0,INDEX(COUNTIF($A$1:A259,Txn[Key])+(Txn[Key]=""),0),0)),"")</f>
        <v/>
      </c>
      <c r="B260" s="243" t="str">
        <f t="shared" si="36"/>
        <v/>
      </c>
      <c r="C260" s="243" t="str">
        <f t="shared" si="37"/>
        <v/>
      </c>
      <c r="D260" s="243" t="str">
        <f t="shared" si="38"/>
        <v/>
      </c>
      <c r="E260" s="265" t="str">
        <f>IF($A260="","",SUMIFS(Txn[Signed Units],Txn[Key],$A260))</f>
        <v/>
      </c>
      <c r="F260" s="287" t="str">
        <f>IF($A260="","",SUMIFS(Txn[Buy Cost],Txn[Key],$A260))</f>
        <v/>
      </c>
      <c r="G260" s="287" t="str">
        <f>IF($A260="","",SUMIFS(Txn[Sell Proceeds],Txn[Key],$A260))</f>
        <v/>
      </c>
      <c r="H260" s="288" t="str">
        <f>IF($A260="","",IFERROR(INDEX(Prices[Current Price],MATCH($A260,Prices[Key],0)),0))</f>
        <v/>
      </c>
      <c r="I260" s="289" t="str">
        <f>IF($A260="","",IFERROR(INDEX(Prices[FX to SGD],MATCH($A260,Prices[Key],0)),1))</f>
        <v/>
      </c>
      <c r="J260" s="287" t="str">
        <f t="shared" si="39"/>
        <v/>
      </c>
      <c r="K260" s="287" t="str">
        <f t="shared" si="40"/>
        <v/>
      </c>
      <c r="L260" s="287" t="str">
        <f t="shared" si="41"/>
        <v/>
      </c>
      <c r="M260" s="290" t="str">
        <f t="shared" si="42"/>
        <v/>
      </c>
      <c r="N260" s="243" t="str">
        <f>IF($A260="","",IF(ABS(E260)&gt;0.000001,COUNT($N$1:N259)+1,""))</f>
        <v/>
      </c>
      <c r="O260" s="291" t="str">
        <f>IF($A260="","",SUMIFS(Transactions!$H$2:$H$1001,Transactions!$J$2:$J$1001,$A260,Transactions!$A$2:$A$1001,2)*$I260)</f>
        <v/>
      </c>
      <c r="P260" s="291" t="str">
        <f t="shared" si="43"/>
        <v/>
      </c>
      <c r="Q260" s="292" t="str">
        <f t="shared" si="44"/>
        <v/>
      </c>
    </row>
    <row r="261" spans="1:17" ht="15" customHeight="1" x14ac:dyDescent="0.2">
      <c r="A261" s="243" t="str">
        <f>IFERROR(INDEX(Txn[Key],MATCH(0,INDEX(COUNTIF($A$1:A260,Txn[Key])+(Txn[Key]=""),0),0)),"")</f>
        <v/>
      </c>
      <c r="B261" s="243" t="str">
        <f t="shared" si="36"/>
        <v/>
      </c>
      <c r="C261" s="243" t="str">
        <f t="shared" si="37"/>
        <v/>
      </c>
      <c r="D261" s="243" t="str">
        <f t="shared" si="38"/>
        <v/>
      </c>
      <c r="E261" s="265" t="str">
        <f>IF($A261="","",SUMIFS(Txn[Signed Units],Txn[Key],$A261))</f>
        <v/>
      </c>
      <c r="F261" s="287" t="str">
        <f>IF($A261="","",SUMIFS(Txn[Buy Cost],Txn[Key],$A261))</f>
        <v/>
      </c>
      <c r="G261" s="287" t="str">
        <f>IF($A261="","",SUMIFS(Txn[Sell Proceeds],Txn[Key],$A261))</f>
        <v/>
      </c>
      <c r="H261" s="288" t="str">
        <f>IF($A261="","",IFERROR(INDEX(Prices[Current Price],MATCH($A261,Prices[Key],0)),0))</f>
        <v/>
      </c>
      <c r="I261" s="289" t="str">
        <f>IF($A261="","",IFERROR(INDEX(Prices[FX to SGD],MATCH($A261,Prices[Key],0)),1))</f>
        <v/>
      </c>
      <c r="J261" s="287" t="str">
        <f t="shared" si="39"/>
        <v/>
      </c>
      <c r="K261" s="287" t="str">
        <f t="shared" si="40"/>
        <v/>
      </c>
      <c r="L261" s="287" t="str">
        <f t="shared" si="41"/>
        <v/>
      </c>
      <c r="M261" s="290" t="str">
        <f t="shared" si="42"/>
        <v/>
      </c>
      <c r="N261" s="243" t="str">
        <f>IF($A261="","",IF(ABS(E261)&gt;0.000001,COUNT($N$1:N260)+1,""))</f>
        <v/>
      </c>
      <c r="O261" s="291" t="str">
        <f>IF($A261="","",SUMIFS(Transactions!$H$2:$H$1001,Transactions!$J$2:$J$1001,$A261,Transactions!$A$2:$A$1001,2)*$I261)</f>
        <v/>
      </c>
      <c r="P261" s="291" t="str">
        <f t="shared" si="43"/>
        <v/>
      </c>
      <c r="Q261" s="292" t="str">
        <f t="shared" si="44"/>
        <v/>
      </c>
    </row>
    <row r="262" spans="1:17" ht="15" customHeight="1" x14ac:dyDescent="0.2">
      <c r="A262" s="243" t="str">
        <f>IFERROR(INDEX(Txn[Key],MATCH(0,INDEX(COUNTIF($A$1:A261,Txn[Key])+(Txn[Key]=""),0),0)),"")</f>
        <v/>
      </c>
      <c r="B262" s="243" t="str">
        <f t="shared" si="36"/>
        <v/>
      </c>
      <c r="C262" s="243" t="str">
        <f t="shared" si="37"/>
        <v/>
      </c>
      <c r="D262" s="243" t="str">
        <f t="shared" si="38"/>
        <v/>
      </c>
      <c r="E262" s="265" t="str">
        <f>IF($A262="","",SUMIFS(Txn[Signed Units],Txn[Key],$A262))</f>
        <v/>
      </c>
      <c r="F262" s="287" t="str">
        <f>IF($A262="","",SUMIFS(Txn[Buy Cost],Txn[Key],$A262))</f>
        <v/>
      </c>
      <c r="G262" s="287" t="str">
        <f>IF($A262="","",SUMIFS(Txn[Sell Proceeds],Txn[Key],$A262))</f>
        <v/>
      </c>
      <c r="H262" s="288" t="str">
        <f>IF($A262="","",IFERROR(INDEX(Prices[Current Price],MATCH($A262,Prices[Key],0)),0))</f>
        <v/>
      </c>
      <c r="I262" s="289" t="str">
        <f>IF($A262="","",IFERROR(INDEX(Prices[FX to SGD],MATCH($A262,Prices[Key],0)),1))</f>
        <v/>
      </c>
      <c r="J262" s="287" t="str">
        <f t="shared" si="39"/>
        <v/>
      </c>
      <c r="K262" s="287" t="str">
        <f t="shared" si="40"/>
        <v/>
      </c>
      <c r="L262" s="287" t="str">
        <f t="shared" si="41"/>
        <v/>
      </c>
      <c r="M262" s="290" t="str">
        <f t="shared" si="42"/>
        <v/>
      </c>
      <c r="N262" s="243" t="str">
        <f>IF($A262="","",IF(ABS(E262)&gt;0.000001,COUNT($N$1:N261)+1,""))</f>
        <v/>
      </c>
      <c r="O262" s="291" t="str">
        <f>IF($A262="","",SUMIFS(Transactions!$H$2:$H$1001,Transactions!$J$2:$J$1001,$A262,Transactions!$A$2:$A$1001,2)*$I262)</f>
        <v/>
      </c>
      <c r="P262" s="291" t="str">
        <f t="shared" si="43"/>
        <v/>
      </c>
      <c r="Q262" s="292" t="str">
        <f t="shared" si="44"/>
        <v/>
      </c>
    </row>
    <row r="263" spans="1:17" ht="15" customHeight="1" x14ac:dyDescent="0.2">
      <c r="A263" s="243" t="str">
        <f>IFERROR(INDEX(Txn[Key],MATCH(0,INDEX(COUNTIF($A$1:A262,Txn[Key])+(Txn[Key]=""),0),0)),"")</f>
        <v/>
      </c>
      <c r="B263" s="243" t="str">
        <f t="shared" si="36"/>
        <v/>
      </c>
      <c r="C263" s="243" t="str">
        <f t="shared" si="37"/>
        <v/>
      </c>
      <c r="D263" s="243" t="str">
        <f t="shared" si="38"/>
        <v/>
      </c>
      <c r="E263" s="265" t="str">
        <f>IF($A263="","",SUMIFS(Txn[Signed Units],Txn[Key],$A263))</f>
        <v/>
      </c>
      <c r="F263" s="287" t="str">
        <f>IF($A263="","",SUMIFS(Txn[Buy Cost],Txn[Key],$A263))</f>
        <v/>
      </c>
      <c r="G263" s="287" t="str">
        <f>IF($A263="","",SUMIFS(Txn[Sell Proceeds],Txn[Key],$A263))</f>
        <v/>
      </c>
      <c r="H263" s="288" t="str">
        <f>IF($A263="","",IFERROR(INDEX(Prices[Current Price],MATCH($A263,Prices[Key],0)),0))</f>
        <v/>
      </c>
      <c r="I263" s="289" t="str">
        <f>IF($A263="","",IFERROR(INDEX(Prices[FX to SGD],MATCH($A263,Prices[Key],0)),1))</f>
        <v/>
      </c>
      <c r="J263" s="287" t="str">
        <f t="shared" si="39"/>
        <v/>
      </c>
      <c r="K263" s="287" t="str">
        <f t="shared" si="40"/>
        <v/>
      </c>
      <c r="L263" s="287" t="str">
        <f t="shared" si="41"/>
        <v/>
      </c>
      <c r="M263" s="290" t="str">
        <f t="shared" si="42"/>
        <v/>
      </c>
      <c r="N263" s="243" t="str">
        <f>IF($A263="","",IF(ABS(E263)&gt;0.000001,COUNT($N$1:N262)+1,""))</f>
        <v/>
      </c>
      <c r="O263" s="291" t="str">
        <f>IF($A263="","",SUMIFS(Transactions!$H$2:$H$1001,Transactions!$J$2:$J$1001,$A263,Transactions!$A$2:$A$1001,2)*$I263)</f>
        <v/>
      </c>
      <c r="P263" s="291" t="str">
        <f t="shared" si="43"/>
        <v/>
      </c>
      <c r="Q263" s="292" t="str">
        <f t="shared" si="44"/>
        <v/>
      </c>
    </row>
    <row r="264" spans="1:17" ht="15" customHeight="1" x14ac:dyDescent="0.2">
      <c r="A264" s="243" t="str">
        <f>IFERROR(INDEX(Txn[Key],MATCH(0,INDEX(COUNTIF($A$1:A263,Txn[Key])+(Txn[Key]=""),0),0)),"")</f>
        <v/>
      </c>
      <c r="B264" s="243" t="str">
        <f t="shared" si="36"/>
        <v/>
      </c>
      <c r="C264" s="243" t="str">
        <f t="shared" si="37"/>
        <v/>
      </c>
      <c r="D264" s="243" t="str">
        <f t="shared" si="38"/>
        <v/>
      </c>
      <c r="E264" s="265" t="str">
        <f>IF($A264="","",SUMIFS(Txn[Signed Units],Txn[Key],$A264))</f>
        <v/>
      </c>
      <c r="F264" s="287" t="str">
        <f>IF($A264="","",SUMIFS(Txn[Buy Cost],Txn[Key],$A264))</f>
        <v/>
      </c>
      <c r="G264" s="287" t="str">
        <f>IF($A264="","",SUMIFS(Txn[Sell Proceeds],Txn[Key],$A264))</f>
        <v/>
      </c>
      <c r="H264" s="288" t="str">
        <f>IF($A264="","",IFERROR(INDEX(Prices[Current Price],MATCH($A264,Prices[Key],0)),0))</f>
        <v/>
      </c>
      <c r="I264" s="289" t="str">
        <f>IF($A264="","",IFERROR(INDEX(Prices[FX to SGD],MATCH($A264,Prices[Key],0)),1))</f>
        <v/>
      </c>
      <c r="J264" s="287" t="str">
        <f t="shared" si="39"/>
        <v/>
      </c>
      <c r="K264" s="287" t="str">
        <f t="shared" si="40"/>
        <v/>
      </c>
      <c r="L264" s="287" t="str">
        <f t="shared" si="41"/>
        <v/>
      </c>
      <c r="M264" s="290" t="str">
        <f t="shared" si="42"/>
        <v/>
      </c>
      <c r="N264" s="243" t="str">
        <f>IF($A264="","",IF(ABS(E264)&gt;0.000001,COUNT($N$1:N263)+1,""))</f>
        <v/>
      </c>
      <c r="O264" s="291" t="str">
        <f>IF($A264="","",SUMIFS(Transactions!$H$2:$H$1001,Transactions!$J$2:$J$1001,$A264,Transactions!$A$2:$A$1001,2)*$I264)</f>
        <v/>
      </c>
      <c r="P264" s="291" t="str">
        <f t="shared" si="43"/>
        <v/>
      </c>
      <c r="Q264" s="292" t="str">
        <f t="shared" si="44"/>
        <v/>
      </c>
    </row>
    <row r="265" spans="1:17" ht="15" customHeight="1" x14ac:dyDescent="0.2">
      <c r="A265" s="243" t="str">
        <f>IFERROR(INDEX(Txn[Key],MATCH(0,INDEX(COUNTIF($A$1:A264,Txn[Key])+(Txn[Key]=""),0),0)),"")</f>
        <v/>
      </c>
      <c r="B265" s="243" t="str">
        <f t="shared" si="36"/>
        <v/>
      </c>
      <c r="C265" s="243" t="str">
        <f t="shared" si="37"/>
        <v/>
      </c>
      <c r="D265" s="243" t="str">
        <f t="shared" si="38"/>
        <v/>
      </c>
      <c r="E265" s="265" t="str">
        <f>IF($A265="","",SUMIFS(Txn[Signed Units],Txn[Key],$A265))</f>
        <v/>
      </c>
      <c r="F265" s="287" t="str">
        <f>IF($A265="","",SUMIFS(Txn[Buy Cost],Txn[Key],$A265))</f>
        <v/>
      </c>
      <c r="G265" s="287" t="str">
        <f>IF($A265="","",SUMIFS(Txn[Sell Proceeds],Txn[Key],$A265))</f>
        <v/>
      </c>
      <c r="H265" s="288" t="str">
        <f>IF($A265="","",IFERROR(INDEX(Prices[Current Price],MATCH($A265,Prices[Key],0)),0))</f>
        <v/>
      </c>
      <c r="I265" s="289" t="str">
        <f>IF($A265="","",IFERROR(INDEX(Prices[FX to SGD],MATCH($A265,Prices[Key],0)),1))</f>
        <v/>
      </c>
      <c r="J265" s="287" t="str">
        <f t="shared" si="39"/>
        <v/>
      </c>
      <c r="K265" s="287" t="str">
        <f t="shared" si="40"/>
        <v/>
      </c>
      <c r="L265" s="287" t="str">
        <f t="shared" si="41"/>
        <v/>
      </c>
      <c r="M265" s="290" t="str">
        <f t="shared" si="42"/>
        <v/>
      </c>
      <c r="N265" s="243" t="str">
        <f>IF($A265="","",IF(ABS(E265)&gt;0.000001,COUNT($N$1:N264)+1,""))</f>
        <v/>
      </c>
      <c r="O265" s="291" t="str">
        <f>IF($A265="","",SUMIFS(Transactions!$H$2:$H$1001,Transactions!$J$2:$J$1001,$A265,Transactions!$A$2:$A$1001,2)*$I265)</f>
        <v/>
      </c>
      <c r="P265" s="291" t="str">
        <f t="shared" si="43"/>
        <v/>
      </c>
      <c r="Q265" s="292" t="str">
        <f t="shared" si="44"/>
        <v/>
      </c>
    </row>
    <row r="266" spans="1:17" ht="15" customHeight="1" x14ac:dyDescent="0.2">
      <c r="A266" s="243" t="str">
        <f>IFERROR(INDEX(Txn[Key],MATCH(0,INDEX(COUNTIF($A$1:A265,Txn[Key])+(Txn[Key]=""),0),0)),"")</f>
        <v/>
      </c>
      <c r="B266" s="243" t="str">
        <f t="shared" si="36"/>
        <v/>
      </c>
      <c r="C266" s="243" t="str">
        <f t="shared" si="37"/>
        <v/>
      </c>
      <c r="D266" s="243" t="str">
        <f t="shared" si="38"/>
        <v/>
      </c>
      <c r="E266" s="265" t="str">
        <f>IF($A266="","",SUMIFS(Txn[Signed Units],Txn[Key],$A266))</f>
        <v/>
      </c>
      <c r="F266" s="287" t="str">
        <f>IF($A266="","",SUMIFS(Txn[Buy Cost],Txn[Key],$A266))</f>
        <v/>
      </c>
      <c r="G266" s="287" t="str">
        <f>IF($A266="","",SUMIFS(Txn[Sell Proceeds],Txn[Key],$A266))</f>
        <v/>
      </c>
      <c r="H266" s="288" t="str">
        <f>IF($A266="","",IFERROR(INDEX(Prices[Current Price],MATCH($A266,Prices[Key],0)),0))</f>
        <v/>
      </c>
      <c r="I266" s="289" t="str">
        <f>IF($A266="","",IFERROR(INDEX(Prices[FX to SGD],MATCH($A266,Prices[Key],0)),1))</f>
        <v/>
      </c>
      <c r="J266" s="287" t="str">
        <f t="shared" si="39"/>
        <v/>
      </c>
      <c r="K266" s="287" t="str">
        <f t="shared" si="40"/>
        <v/>
      </c>
      <c r="L266" s="287" t="str">
        <f t="shared" si="41"/>
        <v/>
      </c>
      <c r="M266" s="290" t="str">
        <f t="shared" si="42"/>
        <v/>
      </c>
      <c r="N266" s="243" t="str">
        <f>IF($A266="","",IF(ABS(E266)&gt;0.000001,COUNT($N$1:N265)+1,""))</f>
        <v/>
      </c>
      <c r="O266" s="291" t="str">
        <f>IF($A266="","",SUMIFS(Transactions!$H$2:$H$1001,Transactions!$J$2:$J$1001,$A266,Transactions!$A$2:$A$1001,2)*$I266)</f>
        <v/>
      </c>
      <c r="P266" s="291" t="str">
        <f t="shared" si="43"/>
        <v/>
      </c>
      <c r="Q266" s="292" t="str">
        <f t="shared" si="44"/>
        <v/>
      </c>
    </row>
    <row r="267" spans="1:17" ht="15" customHeight="1" x14ac:dyDescent="0.2">
      <c r="A267" s="243" t="str">
        <f>IFERROR(INDEX(Txn[Key],MATCH(0,INDEX(COUNTIF($A$1:A266,Txn[Key])+(Txn[Key]=""),0),0)),"")</f>
        <v/>
      </c>
      <c r="B267" s="243" t="str">
        <f t="shared" si="36"/>
        <v/>
      </c>
      <c r="C267" s="243" t="str">
        <f t="shared" si="37"/>
        <v/>
      </c>
      <c r="D267" s="243" t="str">
        <f t="shared" si="38"/>
        <v/>
      </c>
      <c r="E267" s="265" t="str">
        <f>IF($A267="","",SUMIFS(Txn[Signed Units],Txn[Key],$A267))</f>
        <v/>
      </c>
      <c r="F267" s="287" t="str">
        <f>IF($A267="","",SUMIFS(Txn[Buy Cost],Txn[Key],$A267))</f>
        <v/>
      </c>
      <c r="G267" s="287" t="str">
        <f>IF($A267="","",SUMIFS(Txn[Sell Proceeds],Txn[Key],$A267))</f>
        <v/>
      </c>
      <c r="H267" s="288" t="str">
        <f>IF($A267="","",IFERROR(INDEX(Prices[Current Price],MATCH($A267,Prices[Key],0)),0))</f>
        <v/>
      </c>
      <c r="I267" s="289" t="str">
        <f>IF($A267="","",IFERROR(INDEX(Prices[FX to SGD],MATCH($A267,Prices[Key],0)),1))</f>
        <v/>
      </c>
      <c r="J267" s="287" t="str">
        <f t="shared" si="39"/>
        <v/>
      </c>
      <c r="K267" s="287" t="str">
        <f t="shared" si="40"/>
        <v/>
      </c>
      <c r="L267" s="287" t="str">
        <f t="shared" si="41"/>
        <v/>
      </c>
      <c r="M267" s="290" t="str">
        <f t="shared" si="42"/>
        <v/>
      </c>
      <c r="N267" s="243" t="str">
        <f>IF($A267="","",IF(ABS(E267)&gt;0.000001,COUNT($N$1:N266)+1,""))</f>
        <v/>
      </c>
      <c r="O267" s="291" t="str">
        <f>IF($A267="","",SUMIFS(Transactions!$H$2:$H$1001,Transactions!$J$2:$J$1001,$A267,Transactions!$A$2:$A$1001,2)*$I267)</f>
        <v/>
      </c>
      <c r="P267" s="291" t="str">
        <f t="shared" si="43"/>
        <v/>
      </c>
      <c r="Q267" s="292" t="str">
        <f t="shared" si="44"/>
        <v/>
      </c>
    </row>
    <row r="268" spans="1:17" ht="15" customHeight="1" x14ac:dyDescent="0.2">
      <c r="A268" s="243" t="str">
        <f>IFERROR(INDEX(Txn[Key],MATCH(0,INDEX(COUNTIF($A$1:A267,Txn[Key])+(Txn[Key]=""),0),0)),"")</f>
        <v/>
      </c>
      <c r="B268" s="243" t="str">
        <f t="shared" si="36"/>
        <v/>
      </c>
      <c r="C268" s="243" t="str">
        <f t="shared" si="37"/>
        <v/>
      </c>
      <c r="D268" s="243" t="str">
        <f t="shared" si="38"/>
        <v/>
      </c>
      <c r="E268" s="265" t="str">
        <f>IF($A268="","",SUMIFS(Txn[Signed Units],Txn[Key],$A268))</f>
        <v/>
      </c>
      <c r="F268" s="287" t="str">
        <f>IF($A268="","",SUMIFS(Txn[Buy Cost],Txn[Key],$A268))</f>
        <v/>
      </c>
      <c r="G268" s="287" t="str">
        <f>IF($A268="","",SUMIFS(Txn[Sell Proceeds],Txn[Key],$A268))</f>
        <v/>
      </c>
      <c r="H268" s="288" t="str">
        <f>IF($A268="","",IFERROR(INDEX(Prices[Current Price],MATCH($A268,Prices[Key],0)),0))</f>
        <v/>
      </c>
      <c r="I268" s="289" t="str">
        <f>IF($A268="","",IFERROR(INDEX(Prices[FX to SGD],MATCH($A268,Prices[Key],0)),1))</f>
        <v/>
      </c>
      <c r="J268" s="287" t="str">
        <f t="shared" si="39"/>
        <v/>
      </c>
      <c r="K268" s="287" t="str">
        <f t="shared" si="40"/>
        <v/>
      </c>
      <c r="L268" s="287" t="str">
        <f t="shared" si="41"/>
        <v/>
      </c>
      <c r="M268" s="290" t="str">
        <f t="shared" si="42"/>
        <v/>
      </c>
      <c r="N268" s="243" t="str">
        <f>IF($A268="","",IF(ABS(E268)&gt;0.000001,COUNT($N$1:N267)+1,""))</f>
        <v/>
      </c>
      <c r="O268" s="291" t="str">
        <f>IF($A268="","",SUMIFS(Transactions!$H$2:$H$1001,Transactions!$J$2:$J$1001,$A268,Transactions!$A$2:$A$1001,2)*$I268)</f>
        <v/>
      </c>
      <c r="P268" s="291" t="str">
        <f t="shared" si="43"/>
        <v/>
      </c>
      <c r="Q268" s="292" t="str">
        <f t="shared" si="44"/>
        <v/>
      </c>
    </row>
    <row r="269" spans="1:17" ht="15" customHeight="1" x14ac:dyDescent="0.2">
      <c r="A269" s="243" t="str">
        <f>IFERROR(INDEX(Txn[Key],MATCH(0,INDEX(COUNTIF($A$1:A268,Txn[Key])+(Txn[Key]=""),0),0)),"")</f>
        <v/>
      </c>
      <c r="B269" s="243" t="str">
        <f t="shared" si="36"/>
        <v/>
      </c>
      <c r="C269" s="243" t="str">
        <f t="shared" si="37"/>
        <v/>
      </c>
      <c r="D269" s="243" t="str">
        <f t="shared" si="38"/>
        <v/>
      </c>
      <c r="E269" s="265" t="str">
        <f>IF($A269="","",SUMIFS(Txn[Signed Units],Txn[Key],$A269))</f>
        <v/>
      </c>
      <c r="F269" s="287" t="str">
        <f>IF($A269="","",SUMIFS(Txn[Buy Cost],Txn[Key],$A269))</f>
        <v/>
      </c>
      <c r="G269" s="287" t="str">
        <f>IF($A269="","",SUMIFS(Txn[Sell Proceeds],Txn[Key],$A269))</f>
        <v/>
      </c>
      <c r="H269" s="288" t="str">
        <f>IF($A269="","",IFERROR(INDEX(Prices[Current Price],MATCH($A269,Prices[Key],0)),0))</f>
        <v/>
      </c>
      <c r="I269" s="289" t="str">
        <f>IF($A269="","",IFERROR(INDEX(Prices[FX to SGD],MATCH($A269,Prices[Key],0)),1))</f>
        <v/>
      </c>
      <c r="J269" s="287" t="str">
        <f t="shared" si="39"/>
        <v/>
      </c>
      <c r="K269" s="287" t="str">
        <f t="shared" si="40"/>
        <v/>
      </c>
      <c r="L269" s="287" t="str">
        <f t="shared" si="41"/>
        <v/>
      </c>
      <c r="M269" s="290" t="str">
        <f t="shared" si="42"/>
        <v/>
      </c>
      <c r="N269" s="243" t="str">
        <f>IF($A269="","",IF(ABS(E269)&gt;0.000001,COUNT($N$1:N268)+1,""))</f>
        <v/>
      </c>
      <c r="O269" s="291" t="str">
        <f>IF($A269="","",SUMIFS(Transactions!$H$2:$H$1001,Transactions!$J$2:$J$1001,$A269,Transactions!$A$2:$A$1001,2)*$I269)</f>
        <v/>
      </c>
      <c r="P269" s="291" t="str">
        <f t="shared" si="43"/>
        <v/>
      </c>
      <c r="Q269" s="292" t="str">
        <f t="shared" si="44"/>
        <v/>
      </c>
    </row>
    <row r="270" spans="1:17" ht="15" customHeight="1" x14ac:dyDescent="0.2">
      <c r="A270" s="243" t="str">
        <f>IFERROR(INDEX(Txn[Key],MATCH(0,INDEX(COUNTIF($A$1:A269,Txn[Key])+(Txn[Key]=""),0),0)),"")</f>
        <v/>
      </c>
      <c r="B270" s="243" t="str">
        <f t="shared" si="36"/>
        <v/>
      </c>
      <c r="C270" s="243" t="str">
        <f t="shared" si="37"/>
        <v/>
      </c>
      <c r="D270" s="243" t="str">
        <f t="shared" si="38"/>
        <v/>
      </c>
      <c r="E270" s="265" t="str">
        <f>IF($A270="","",SUMIFS(Txn[Signed Units],Txn[Key],$A270))</f>
        <v/>
      </c>
      <c r="F270" s="287" t="str">
        <f>IF($A270="","",SUMIFS(Txn[Buy Cost],Txn[Key],$A270))</f>
        <v/>
      </c>
      <c r="G270" s="287" t="str">
        <f>IF($A270="","",SUMIFS(Txn[Sell Proceeds],Txn[Key],$A270))</f>
        <v/>
      </c>
      <c r="H270" s="288" t="str">
        <f>IF($A270="","",IFERROR(INDEX(Prices[Current Price],MATCH($A270,Prices[Key],0)),0))</f>
        <v/>
      </c>
      <c r="I270" s="289" t="str">
        <f>IF($A270="","",IFERROR(INDEX(Prices[FX to SGD],MATCH($A270,Prices[Key],0)),1))</f>
        <v/>
      </c>
      <c r="J270" s="287" t="str">
        <f t="shared" si="39"/>
        <v/>
      </c>
      <c r="K270" s="287" t="str">
        <f t="shared" si="40"/>
        <v/>
      </c>
      <c r="L270" s="287" t="str">
        <f t="shared" si="41"/>
        <v/>
      </c>
      <c r="M270" s="290" t="str">
        <f t="shared" si="42"/>
        <v/>
      </c>
      <c r="N270" s="243" t="str">
        <f>IF($A270="","",IF(ABS(E270)&gt;0.000001,COUNT($N$1:N269)+1,""))</f>
        <v/>
      </c>
      <c r="O270" s="291" t="str">
        <f>IF($A270="","",SUMIFS(Transactions!$H$2:$H$1001,Transactions!$J$2:$J$1001,$A270,Transactions!$A$2:$A$1001,2)*$I270)</f>
        <v/>
      </c>
      <c r="P270" s="291" t="str">
        <f t="shared" si="43"/>
        <v/>
      </c>
      <c r="Q270" s="292" t="str">
        <f t="shared" si="44"/>
        <v/>
      </c>
    </row>
    <row r="271" spans="1:17" ht="15" customHeight="1" x14ac:dyDescent="0.2">
      <c r="A271" s="243" t="str">
        <f>IFERROR(INDEX(Txn[Key],MATCH(0,INDEX(COUNTIF($A$1:A270,Txn[Key])+(Txn[Key]=""),0),0)),"")</f>
        <v/>
      </c>
      <c r="B271" s="243" t="str">
        <f t="shared" si="36"/>
        <v/>
      </c>
      <c r="C271" s="243" t="str">
        <f t="shared" si="37"/>
        <v/>
      </c>
      <c r="D271" s="243" t="str">
        <f t="shared" si="38"/>
        <v/>
      </c>
      <c r="E271" s="265" t="str">
        <f>IF($A271="","",SUMIFS(Txn[Signed Units],Txn[Key],$A271))</f>
        <v/>
      </c>
      <c r="F271" s="287" t="str">
        <f>IF($A271="","",SUMIFS(Txn[Buy Cost],Txn[Key],$A271))</f>
        <v/>
      </c>
      <c r="G271" s="287" t="str">
        <f>IF($A271="","",SUMIFS(Txn[Sell Proceeds],Txn[Key],$A271))</f>
        <v/>
      </c>
      <c r="H271" s="288" t="str">
        <f>IF($A271="","",IFERROR(INDEX(Prices[Current Price],MATCH($A271,Prices[Key],0)),0))</f>
        <v/>
      </c>
      <c r="I271" s="289" t="str">
        <f>IF($A271="","",IFERROR(INDEX(Prices[FX to SGD],MATCH($A271,Prices[Key],0)),1))</f>
        <v/>
      </c>
      <c r="J271" s="287" t="str">
        <f t="shared" si="39"/>
        <v/>
      </c>
      <c r="K271" s="287" t="str">
        <f t="shared" si="40"/>
        <v/>
      </c>
      <c r="L271" s="287" t="str">
        <f t="shared" si="41"/>
        <v/>
      </c>
      <c r="M271" s="290" t="str">
        <f t="shared" si="42"/>
        <v/>
      </c>
      <c r="N271" s="243" t="str">
        <f>IF($A271="","",IF(ABS(E271)&gt;0.000001,COUNT($N$1:N270)+1,""))</f>
        <v/>
      </c>
      <c r="O271" s="291" t="str">
        <f>IF($A271="","",SUMIFS(Transactions!$H$2:$H$1001,Transactions!$J$2:$J$1001,$A271,Transactions!$A$2:$A$1001,2)*$I271)</f>
        <v/>
      </c>
      <c r="P271" s="291" t="str">
        <f t="shared" si="43"/>
        <v/>
      </c>
      <c r="Q271" s="292" t="str">
        <f t="shared" si="44"/>
        <v/>
      </c>
    </row>
    <row r="272" spans="1:17" ht="15" customHeight="1" x14ac:dyDescent="0.2">
      <c r="A272" s="243" t="str">
        <f>IFERROR(INDEX(Txn[Key],MATCH(0,INDEX(COUNTIF($A$1:A271,Txn[Key])+(Txn[Key]=""),0),0)),"")</f>
        <v/>
      </c>
      <c r="B272" s="243" t="str">
        <f t="shared" si="36"/>
        <v/>
      </c>
      <c r="C272" s="243" t="str">
        <f t="shared" si="37"/>
        <v/>
      </c>
      <c r="D272" s="243" t="str">
        <f t="shared" si="38"/>
        <v/>
      </c>
      <c r="E272" s="265" t="str">
        <f>IF($A272="","",SUMIFS(Txn[Signed Units],Txn[Key],$A272))</f>
        <v/>
      </c>
      <c r="F272" s="287" t="str">
        <f>IF($A272="","",SUMIFS(Txn[Buy Cost],Txn[Key],$A272))</f>
        <v/>
      </c>
      <c r="G272" s="287" t="str">
        <f>IF($A272="","",SUMIFS(Txn[Sell Proceeds],Txn[Key],$A272))</f>
        <v/>
      </c>
      <c r="H272" s="288" t="str">
        <f>IF($A272="","",IFERROR(INDEX(Prices[Current Price],MATCH($A272,Prices[Key],0)),0))</f>
        <v/>
      </c>
      <c r="I272" s="289" t="str">
        <f>IF($A272="","",IFERROR(INDEX(Prices[FX to SGD],MATCH($A272,Prices[Key],0)),1))</f>
        <v/>
      </c>
      <c r="J272" s="287" t="str">
        <f t="shared" si="39"/>
        <v/>
      </c>
      <c r="K272" s="287" t="str">
        <f t="shared" si="40"/>
        <v/>
      </c>
      <c r="L272" s="287" t="str">
        <f t="shared" si="41"/>
        <v/>
      </c>
      <c r="M272" s="290" t="str">
        <f t="shared" si="42"/>
        <v/>
      </c>
      <c r="N272" s="243" t="str">
        <f>IF($A272="","",IF(ABS(E272)&gt;0.000001,COUNT($N$1:N271)+1,""))</f>
        <v/>
      </c>
      <c r="O272" s="291" t="str">
        <f>IF($A272="","",SUMIFS(Transactions!$H$2:$H$1001,Transactions!$J$2:$J$1001,$A272,Transactions!$A$2:$A$1001,2)*$I272)</f>
        <v/>
      </c>
      <c r="P272" s="291" t="str">
        <f t="shared" si="43"/>
        <v/>
      </c>
      <c r="Q272" s="292" t="str">
        <f t="shared" si="44"/>
        <v/>
      </c>
    </row>
    <row r="273" spans="1:17" ht="15" customHeight="1" x14ac:dyDescent="0.2">
      <c r="A273" s="243" t="str">
        <f>IFERROR(INDEX(Txn[Key],MATCH(0,INDEX(COUNTIF($A$1:A272,Txn[Key])+(Txn[Key]=""),0),0)),"")</f>
        <v/>
      </c>
      <c r="B273" s="243" t="str">
        <f t="shared" si="36"/>
        <v/>
      </c>
      <c r="C273" s="243" t="str">
        <f t="shared" si="37"/>
        <v/>
      </c>
      <c r="D273" s="243" t="str">
        <f t="shared" si="38"/>
        <v/>
      </c>
      <c r="E273" s="265" t="str">
        <f>IF($A273="","",SUMIFS(Txn[Signed Units],Txn[Key],$A273))</f>
        <v/>
      </c>
      <c r="F273" s="287" t="str">
        <f>IF($A273="","",SUMIFS(Txn[Buy Cost],Txn[Key],$A273))</f>
        <v/>
      </c>
      <c r="G273" s="287" t="str">
        <f>IF($A273="","",SUMIFS(Txn[Sell Proceeds],Txn[Key],$A273))</f>
        <v/>
      </c>
      <c r="H273" s="288" t="str">
        <f>IF($A273="","",IFERROR(INDEX(Prices[Current Price],MATCH($A273,Prices[Key],0)),0))</f>
        <v/>
      </c>
      <c r="I273" s="289" t="str">
        <f>IF($A273="","",IFERROR(INDEX(Prices[FX to SGD],MATCH($A273,Prices[Key],0)),1))</f>
        <v/>
      </c>
      <c r="J273" s="287" t="str">
        <f t="shared" si="39"/>
        <v/>
      </c>
      <c r="K273" s="287" t="str">
        <f t="shared" si="40"/>
        <v/>
      </c>
      <c r="L273" s="287" t="str">
        <f t="shared" si="41"/>
        <v/>
      </c>
      <c r="M273" s="290" t="str">
        <f t="shared" si="42"/>
        <v/>
      </c>
      <c r="N273" s="243" t="str">
        <f>IF($A273="","",IF(ABS(E273)&gt;0.000001,COUNT($N$1:N272)+1,""))</f>
        <v/>
      </c>
      <c r="O273" s="291" t="str">
        <f>IF($A273="","",SUMIFS(Transactions!$H$2:$H$1001,Transactions!$J$2:$J$1001,$A273,Transactions!$A$2:$A$1001,2)*$I273)</f>
        <v/>
      </c>
      <c r="P273" s="291" t="str">
        <f t="shared" si="43"/>
        <v/>
      </c>
      <c r="Q273" s="292" t="str">
        <f t="shared" si="44"/>
        <v/>
      </c>
    </row>
    <row r="274" spans="1:17" ht="15" customHeight="1" x14ac:dyDescent="0.2">
      <c r="A274" s="243" t="str">
        <f>IFERROR(INDEX(Txn[Key],MATCH(0,INDEX(COUNTIF($A$1:A273,Txn[Key])+(Txn[Key]=""),0),0)),"")</f>
        <v/>
      </c>
      <c r="B274" s="243" t="str">
        <f t="shared" si="36"/>
        <v/>
      </c>
      <c r="C274" s="243" t="str">
        <f t="shared" si="37"/>
        <v/>
      </c>
      <c r="D274" s="243" t="str">
        <f t="shared" si="38"/>
        <v/>
      </c>
      <c r="E274" s="265" t="str">
        <f>IF($A274="","",SUMIFS(Txn[Signed Units],Txn[Key],$A274))</f>
        <v/>
      </c>
      <c r="F274" s="287" t="str">
        <f>IF($A274="","",SUMIFS(Txn[Buy Cost],Txn[Key],$A274))</f>
        <v/>
      </c>
      <c r="G274" s="287" t="str">
        <f>IF($A274="","",SUMIFS(Txn[Sell Proceeds],Txn[Key],$A274))</f>
        <v/>
      </c>
      <c r="H274" s="288" t="str">
        <f>IF($A274="","",IFERROR(INDEX(Prices[Current Price],MATCH($A274,Prices[Key],0)),0))</f>
        <v/>
      </c>
      <c r="I274" s="289" t="str">
        <f>IF($A274="","",IFERROR(INDEX(Prices[FX to SGD],MATCH($A274,Prices[Key],0)),1))</f>
        <v/>
      </c>
      <c r="J274" s="287" t="str">
        <f t="shared" si="39"/>
        <v/>
      </c>
      <c r="K274" s="287" t="str">
        <f t="shared" si="40"/>
        <v/>
      </c>
      <c r="L274" s="287" t="str">
        <f t="shared" si="41"/>
        <v/>
      </c>
      <c r="M274" s="290" t="str">
        <f t="shared" si="42"/>
        <v/>
      </c>
      <c r="N274" s="243" t="str">
        <f>IF($A274="","",IF(ABS(E274)&gt;0.000001,COUNT($N$1:N273)+1,""))</f>
        <v/>
      </c>
      <c r="O274" s="291" t="str">
        <f>IF($A274="","",SUMIFS(Transactions!$H$2:$H$1001,Transactions!$J$2:$J$1001,$A274,Transactions!$A$2:$A$1001,2)*$I274)</f>
        <v/>
      </c>
      <c r="P274" s="291" t="str">
        <f t="shared" si="43"/>
        <v/>
      </c>
      <c r="Q274" s="292" t="str">
        <f t="shared" si="44"/>
        <v/>
      </c>
    </row>
    <row r="275" spans="1:17" ht="15" customHeight="1" x14ac:dyDescent="0.2">
      <c r="A275" s="243" t="str">
        <f>IFERROR(INDEX(Txn[Key],MATCH(0,INDEX(COUNTIF($A$1:A274,Txn[Key])+(Txn[Key]=""),0),0)),"")</f>
        <v/>
      </c>
      <c r="B275" s="243" t="str">
        <f t="shared" si="36"/>
        <v/>
      </c>
      <c r="C275" s="243" t="str">
        <f t="shared" si="37"/>
        <v/>
      </c>
      <c r="D275" s="243" t="str">
        <f t="shared" si="38"/>
        <v/>
      </c>
      <c r="E275" s="265" t="str">
        <f>IF($A275="","",SUMIFS(Txn[Signed Units],Txn[Key],$A275))</f>
        <v/>
      </c>
      <c r="F275" s="287" t="str">
        <f>IF($A275="","",SUMIFS(Txn[Buy Cost],Txn[Key],$A275))</f>
        <v/>
      </c>
      <c r="G275" s="287" t="str">
        <f>IF($A275="","",SUMIFS(Txn[Sell Proceeds],Txn[Key],$A275))</f>
        <v/>
      </c>
      <c r="H275" s="288" t="str">
        <f>IF($A275="","",IFERROR(INDEX(Prices[Current Price],MATCH($A275,Prices[Key],0)),0))</f>
        <v/>
      </c>
      <c r="I275" s="289" t="str">
        <f>IF($A275="","",IFERROR(INDEX(Prices[FX to SGD],MATCH($A275,Prices[Key],0)),1))</f>
        <v/>
      </c>
      <c r="J275" s="287" t="str">
        <f t="shared" si="39"/>
        <v/>
      </c>
      <c r="K275" s="287" t="str">
        <f t="shared" si="40"/>
        <v/>
      </c>
      <c r="L275" s="287" t="str">
        <f t="shared" si="41"/>
        <v/>
      </c>
      <c r="M275" s="290" t="str">
        <f t="shared" si="42"/>
        <v/>
      </c>
      <c r="N275" s="243" t="str">
        <f>IF($A275="","",IF(ABS(E275)&gt;0.000001,COUNT($N$1:N274)+1,""))</f>
        <v/>
      </c>
      <c r="O275" s="291" t="str">
        <f>IF($A275="","",SUMIFS(Transactions!$H$2:$H$1001,Transactions!$J$2:$J$1001,$A275,Transactions!$A$2:$A$1001,2)*$I275)</f>
        <v/>
      </c>
      <c r="P275" s="291" t="str">
        <f t="shared" si="43"/>
        <v/>
      </c>
      <c r="Q275" s="292" t="str">
        <f t="shared" si="44"/>
        <v/>
      </c>
    </row>
    <row r="276" spans="1:17" ht="15" customHeight="1" x14ac:dyDescent="0.2">
      <c r="A276" s="243" t="str">
        <f>IFERROR(INDEX(Txn[Key],MATCH(0,INDEX(COUNTIF($A$1:A275,Txn[Key])+(Txn[Key]=""),0),0)),"")</f>
        <v/>
      </c>
      <c r="B276" s="243" t="str">
        <f t="shared" si="36"/>
        <v/>
      </c>
      <c r="C276" s="243" t="str">
        <f t="shared" si="37"/>
        <v/>
      </c>
      <c r="D276" s="243" t="str">
        <f t="shared" si="38"/>
        <v/>
      </c>
      <c r="E276" s="265" t="str">
        <f>IF($A276="","",SUMIFS(Txn[Signed Units],Txn[Key],$A276))</f>
        <v/>
      </c>
      <c r="F276" s="287" t="str">
        <f>IF($A276="","",SUMIFS(Txn[Buy Cost],Txn[Key],$A276))</f>
        <v/>
      </c>
      <c r="G276" s="287" t="str">
        <f>IF($A276="","",SUMIFS(Txn[Sell Proceeds],Txn[Key],$A276))</f>
        <v/>
      </c>
      <c r="H276" s="288" t="str">
        <f>IF($A276="","",IFERROR(INDEX(Prices[Current Price],MATCH($A276,Prices[Key],0)),0))</f>
        <v/>
      </c>
      <c r="I276" s="289" t="str">
        <f>IF($A276="","",IFERROR(INDEX(Prices[FX to SGD],MATCH($A276,Prices[Key],0)),1))</f>
        <v/>
      </c>
      <c r="J276" s="287" t="str">
        <f t="shared" si="39"/>
        <v/>
      </c>
      <c r="K276" s="287" t="str">
        <f t="shared" si="40"/>
        <v/>
      </c>
      <c r="L276" s="287" t="str">
        <f t="shared" si="41"/>
        <v/>
      </c>
      <c r="M276" s="290" t="str">
        <f t="shared" si="42"/>
        <v/>
      </c>
      <c r="N276" s="243" t="str">
        <f>IF($A276="","",IF(ABS(E276)&gt;0.000001,COUNT($N$1:N275)+1,""))</f>
        <v/>
      </c>
      <c r="O276" s="291" t="str">
        <f>IF($A276="","",SUMIFS(Transactions!$H$2:$H$1001,Transactions!$J$2:$J$1001,$A276,Transactions!$A$2:$A$1001,2)*$I276)</f>
        <v/>
      </c>
      <c r="P276" s="291" t="str">
        <f t="shared" si="43"/>
        <v/>
      </c>
      <c r="Q276" s="292" t="str">
        <f t="shared" si="44"/>
        <v/>
      </c>
    </row>
    <row r="277" spans="1:17" ht="15" customHeight="1" x14ac:dyDescent="0.2">
      <c r="A277" s="243" t="str">
        <f>IFERROR(INDEX(Txn[Key],MATCH(0,INDEX(COUNTIF($A$1:A276,Txn[Key])+(Txn[Key]=""),0),0)),"")</f>
        <v/>
      </c>
      <c r="B277" s="243" t="str">
        <f t="shared" si="36"/>
        <v/>
      </c>
      <c r="C277" s="243" t="str">
        <f t="shared" si="37"/>
        <v/>
      </c>
      <c r="D277" s="243" t="str">
        <f t="shared" si="38"/>
        <v/>
      </c>
      <c r="E277" s="265" t="str">
        <f>IF($A277="","",SUMIFS(Txn[Signed Units],Txn[Key],$A277))</f>
        <v/>
      </c>
      <c r="F277" s="287" t="str">
        <f>IF($A277="","",SUMIFS(Txn[Buy Cost],Txn[Key],$A277))</f>
        <v/>
      </c>
      <c r="G277" s="287" t="str">
        <f>IF($A277="","",SUMIFS(Txn[Sell Proceeds],Txn[Key],$A277))</f>
        <v/>
      </c>
      <c r="H277" s="288" t="str">
        <f>IF($A277="","",IFERROR(INDEX(Prices[Current Price],MATCH($A277,Prices[Key],0)),0))</f>
        <v/>
      </c>
      <c r="I277" s="289" t="str">
        <f>IF($A277="","",IFERROR(INDEX(Prices[FX to SGD],MATCH($A277,Prices[Key],0)),1))</f>
        <v/>
      </c>
      <c r="J277" s="287" t="str">
        <f t="shared" si="39"/>
        <v/>
      </c>
      <c r="K277" s="287" t="str">
        <f t="shared" si="40"/>
        <v/>
      </c>
      <c r="L277" s="287" t="str">
        <f t="shared" si="41"/>
        <v/>
      </c>
      <c r="M277" s="290" t="str">
        <f t="shared" si="42"/>
        <v/>
      </c>
      <c r="N277" s="243" t="str">
        <f>IF($A277="","",IF(ABS(E277)&gt;0.000001,COUNT($N$1:N276)+1,""))</f>
        <v/>
      </c>
      <c r="O277" s="291" t="str">
        <f>IF($A277="","",SUMIFS(Transactions!$H$2:$H$1001,Transactions!$J$2:$J$1001,$A277,Transactions!$A$2:$A$1001,2)*$I277)</f>
        <v/>
      </c>
      <c r="P277" s="291" t="str">
        <f t="shared" si="43"/>
        <v/>
      </c>
      <c r="Q277" s="292" t="str">
        <f t="shared" si="44"/>
        <v/>
      </c>
    </row>
    <row r="278" spans="1:17" ht="15" customHeight="1" x14ac:dyDescent="0.2">
      <c r="A278" s="243" t="str">
        <f>IFERROR(INDEX(Txn[Key],MATCH(0,INDEX(COUNTIF($A$1:A277,Txn[Key])+(Txn[Key]=""),0),0)),"")</f>
        <v/>
      </c>
      <c r="B278" s="243" t="str">
        <f t="shared" si="36"/>
        <v/>
      </c>
      <c r="C278" s="243" t="str">
        <f t="shared" si="37"/>
        <v/>
      </c>
      <c r="D278" s="243" t="str">
        <f t="shared" si="38"/>
        <v/>
      </c>
      <c r="E278" s="265" t="str">
        <f>IF($A278="","",SUMIFS(Txn[Signed Units],Txn[Key],$A278))</f>
        <v/>
      </c>
      <c r="F278" s="287" t="str">
        <f>IF($A278="","",SUMIFS(Txn[Buy Cost],Txn[Key],$A278))</f>
        <v/>
      </c>
      <c r="G278" s="287" t="str">
        <f>IF($A278="","",SUMIFS(Txn[Sell Proceeds],Txn[Key],$A278))</f>
        <v/>
      </c>
      <c r="H278" s="288" t="str">
        <f>IF($A278="","",IFERROR(INDEX(Prices[Current Price],MATCH($A278,Prices[Key],0)),0))</f>
        <v/>
      </c>
      <c r="I278" s="289" t="str">
        <f>IF($A278="","",IFERROR(INDEX(Prices[FX to SGD],MATCH($A278,Prices[Key],0)),1))</f>
        <v/>
      </c>
      <c r="J278" s="287" t="str">
        <f t="shared" si="39"/>
        <v/>
      </c>
      <c r="K278" s="287" t="str">
        <f t="shared" si="40"/>
        <v/>
      </c>
      <c r="L278" s="287" t="str">
        <f t="shared" si="41"/>
        <v/>
      </c>
      <c r="M278" s="290" t="str">
        <f t="shared" si="42"/>
        <v/>
      </c>
      <c r="N278" s="243" t="str">
        <f>IF($A278="","",IF(ABS(E278)&gt;0.000001,COUNT($N$1:N277)+1,""))</f>
        <v/>
      </c>
      <c r="O278" s="291" t="str">
        <f>IF($A278="","",SUMIFS(Transactions!$H$2:$H$1001,Transactions!$J$2:$J$1001,$A278,Transactions!$A$2:$A$1001,2)*$I278)</f>
        <v/>
      </c>
      <c r="P278" s="291" t="str">
        <f t="shared" si="43"/>
        <v/>
      </c>
      <c r="Q278" s="292" t="str">
        <f t="shared" si="44"/>
        <v/>
      </c>
    </row>
    <row r="279" spans="1:17" ht="15" customHeight="1" x14ac:dyDescent="0.2">
      <c r="A279" s="243" t="str">
        <f>IFERROR(INDEX(Txn[Key],MATCH(0,INDEX(COUNTIF($A$1:A278,Txn[Key])+(Txn[Key]=""),0),0)),"")</f>
        <v/>
      </c>
      <c r="B279" s="243" t="str">
        <f t="shared" si="36"/>
        <v/>
      </c>
      <c r="C279" s="243" t="str">
        <f t="shared" si="37"/>
        <v/>
      </c>
      <c r="D279" s="243" t="str">
        <f t="shared" si="38"/>
        <v/>
      </c>
      <c r="E279" s="265" t="str">
        <f>IF($A279="","",SUMIFS(Txn[Signed Units],Txn[Key],$A279))</f>
        <v/>
      </c>
      <c r="F279" s="287" t="str">
        <f>IF($A279="","",SUMIFS(Txn[Buy Cost],Txn[Key],$A279))</f>
        <v/>
      </c>
      <c r="G279" s="287" t="str">
        <f>IF($A279="","",SUMIFS(Txn[Sell Proceeds],Txn[Key],$A279))</f>
        <v/>
      </c>
      <c r="H279" s="288" t="str">
        <f>IF($A279="","",IFERROR(INDEX(Prices[Current Price],MATCH($A279,Prices[Key],0)),0))</f>
        <v/>
      </c>
      <c r="I279" s="289" t="str">
        <f>IF($A279="","",IFERROR(INDEX(Prices[FX to SGD],MATCH($A279,Prices[Key],0)),1))</f>
        <v/>
      </c>
      <c r="J279" s="287" t="str">
        <f t="shared" si="39"/>
        <v/>
      </c>
      <c r="K279" s="287" t="str">
        <f t="shared" si="40"/>
        <v/>
      </c>
      <c r="L279" s="287" t="str">
        <f t="shared" si="41"/>
        <v/>
      </c>
      <c r="M279" s="290" t="str">
        <f t="shared" si="42"/>
        <v/>
      </c>
      <c r="N279" s="243" t="str">
        <f>IF($A279="","",IF(ABS(E279)&gt;0.000001,COUNT($N$1:N278)+1,""))</f>
        <v/>
      </c>
      <c r="O279" s="291" t="str">
        <f>IF($A279="","",SUMIFS(Transactions!$H$2:$H$1001,Transactions!$J$2:$J$1001,$A279,Transactions!$A$2:$A$1001,2)*$I279)</f>
        <v/>
      </c>
      <c r="P279" s="291" t="str">
        <f t="shared" si="43"/>
        <v/>
      </c>
      <c r="Q279" s="292" t="str">
        <f t="shared" si="44"/>
        <v/>
      </c>
    </row>
    <row r="280" spans="1:17" ht="15" customHeight="1" x14ac:dyDescent="0.2">
      <c r="A280" s="243" t="str">
        <f>IFERROR(INDEX(Txn[Key],MATCH(0,INDEX(COUNTIF($A$1:A279,Txn[Key])+(Txn[Key]=""),0),0)),"")</f>
        <v/>
      </c>
      <c r="B280" s="243" t="str">
        <f t="shared" si="36"/>
        <v/>
      </c>
      <c r="C280" s="243" t="str">
        <f t="shared" si="37"/>
        <v/>
      </c>
      <c r="D280" s="243" t="str">
        <f t="shared" si="38"/>
        <v/>
      </c>
      <c r="E280" s="265" t="str">
        <f>IF($A280="","",SUMIFS(Txn[Signed Units],Txn[Key],$A280))</f>
        <v/>
      </c>
      <c r="F280" s="287" t="str">
        <f>IF($A280="","",SUMIFS(Txn[Buy Cost],Txn[Key],$A280))</f>
        <v/>
      </c>
      <c r="G280" s="287" t="str">
        <f>IF($A280="","",SUMIFS(Txn[Sell Proceeds],Txn[Key],$A280))</f>
        <v/>
      </c>
      <c r="H280" s="288" t="str">
        <f>IF($A280="","",IFERROR(INDEX(Prices[Current Price],MATCH($A280,Prices[Key],0)),0))</f>
        <v/>
      </c>
      <c r="I280" s="289" t="str">
        <f>IF($A280="","",IFERROR(INDEX(Prices[FX to SGD],MATCH($A280,Prices[Key],0)),1))</f>
        <v/>
      </c>
      <c r="J280" s="287" t="str">
        <f t="shared" si="39"/>
        <v/>
      </c>
      <c r="K280" s="287" t="str">
        <f t="shared" si="40"/>
        <v/>
      </c>
      <c r="L280" s="287" t="str">
        <f t="shared" si="41"/>
        <v/>
      </c>
      <c r="M280" s="290" t="str">
        <f t="shared" si="42"/>
        <v/>
      </c>
      <c r="N280" s="243" t="str">
        <f>IF($A280="","",IF(ABS(E280)&gt;0.000001,COUNT($N$1:N279)+1,""))</f>
        <v/>
      </c>
      <c r="O280" s="291" t="str">
        <f>IF($A280="","",SUMIFS(Transactions!$H$2:$H$1001,Transactions!$J$2:$J$1001,$A280,Transactions!$A$2:$A$1001,2)*$I280)</f>
        <v/>
      </c>
      <c r="P280" s="291" t="str">
        <f t="shared" si="43"/>
        <v/>
      </c>
      <c r="Q280" s="292" t="str">
        <f t="shared" si="44"/>
        <v/>
      </c>
    </row>
    <row r="281" spans="1:17" ht="15" customHeight="1" x14ac:dyDescent="0.2">
      <c r="A281" s="243" t="str">
        <f>IFERROR(INDEX(Txn[Key],MATCH(0,INDEX(COUNTIF($A$1:A280,Txn[Key])+(Txn[Key]=""),0),0)),"")</f>
        <v/>
      </c>
      <c r="B281" s="243" t="str">
        <f t="shared" si="36"/>
        <v/>
      </c>
      <c r="C281" s="243" t="str">
        <f t="shared" si="37"/>
        <v/>
      </c>
      <c r="D281" s="243" t="str">
        <f t="shared" si="38"/>
        <v/>
      </c>
      <c r="E281" s="265" t="str">
        <f>IF($A281="","",SUMIFS(Txn[Signed Units],Txn[Key],$A281))</f>
        <v/>
      </c>
      <c r="F281" s="287" t="str">
        <f>IF($A281="","",SUMIFS(Txn[Buy Cost],Txn[Key],$A281))</f>
        <v/>
      </c>
      <c r="G281" s="287" t="str">
        <f>IF($A281="","",SUMIFS(Txn[Sell Proceeds],Txn[Key],$A281))</f>
        <v/>
      </c>
      <c r="H281" s="288" t="str">
        <f>IF($A281="","",IFERROR(INDEX(Prices[Current Price],MATCH($A281,Prices[Key],0)),0))</f>
        <v/>
      </c>
      <c r="I281" s="289" t="str">
        <f>IF($A281="","",IFERROR(INDEX(Prices[FX to SGD],MATCH($A281,Prices[Key],0)),1))</f>
        <v/>
      </c>
      <c r="J281" s="287" t="str">
        <f t="shared" si="39"/>
        <v/>
      </c>
      <c r="K281" s="287" t="str">
        <f t="shared" si="40"/>
        <v/>
      </c>
      <c r="L281" s="287" t="str">
        <f t="shared" si="41"/>
        <v/>
      </c>
      <c r="M281" s="290" t="str">
        <f t="shared" si="42"/>
        <v/>
      </c>
      <c r="N281" s="243" t="str">
        <f>IF($A281="","",IF(ABS(E281)&gt;0.000001,COUNT($N$1:N280)+1,""))</f>
        <v/>
      </c>
      <c r="O281" s="291" t="str">
        <f>IF($A281="","",SUMIFS(Transactions!$H$2:$H$1001,Transactions!$J$2:$J$1001,$A281,Transactions!$A$2:$A$1001,2)*$I281)</f>
        <v/>
      </c>
      <c r="P281" s="291" t="str">
        <f t="shared" si="43"/>
        <v/>
      </c>
      <c r="Q281" s="292" t="str">
        <f t="shared" si="44"/>
        <v/>
      </c>
    </row>
    <row r="282" spans="1:17" ht="15" customHeight="1" x14ac:dyDescent="0.2">
      <c r="A282" s="243" t="str">
        <f>IFERROR(INDEX(Txn[Key],MATCH(0,INDEX(COUNTIF($A$1:A281,Txn[Key])+(Txn[Key]=""),0),0)),"")</f>
        <v/>
      </c>
      <c r="B282" s="243" t="str">
        <f t="shared" si="36"/>
        <v/>
      </c>
      <c r="C282" s="243" t="str">
        <f t="shared" si="37"/>
        <v/>
      </c>
      <c r="D282" s="243" t="str">
        <f t="shared" si="38"/>
        <v/>
      </c>
      <c r="E282" s="265" t="str">
        <f>IF($A282="","",SUMIFS(Txn[Signed Units],Txn[Key],$A282))</f>
        <v/>
      </c>
      <c r="F282" s="287" t="str">
        <f>IF($A282="","",SUMIFS(Txn[Buy Cost],Txn[Key],$A282))</f>
        <v/>
      </c>
      <c r="G282" s="287" t="str">
        <f>IF($A282="","",SUMIFS(Txn[Sell Proceeds],Txn[Key],$A282))</f>
        <v/>
      </c>
      <c r="H282" s="288" t="str">
        <f>IF($A282="","",IFERROR(INDEX(Prices[Current Price],MATCH($A282,Prices[Key],0)),0))</f>
        <v/>
      </c>
      <c r="I282" s="289" t="str">
        <f>IF($A282="","",IFERROR(INDEX(Prices[FX to SGD],MATCH($A282,Prices[Key],0)),1))</f>
        <v/>
      </c>
      <c r="J282" s="287" t="str">
        <f t="shared" si="39"/>
        <v/>
      </c>
      <c r="K282" s="287" t="str">
        <f t="shared" si="40"/>
        <v/>
      </c>
      <c r="L282" s="287" t="str">
        <f t="shared" si="41"/>
        <v/>
      </c>
      <c r="M282" s="290" t="str">
        <f t="shared" si="42"/>
        <v/>
      </c>
      <c r="N282" s="243" t="str">
        <f>IF($A282="","",IF(ABS(E282)&gt;0.000001,COUNT($N$1:N281)+1,""))</f>
        <v/>
      </c>
      <c r="O282" s="291" t="str">
        <f>IF($A282="","",SUMIFS(Transactions!$H$2:$H$1001,Transactions!$J$2:$J$1001,$A282,Transactions!$A$2:$A$1001,2)*$I282)</f>
        <v/>
      </c>
      <c r="P282" s="291" t="str">
        <f t="shared" si="43"/>
        <v/>
      </c>
      <c r="Q282" s="292" t="str">
        <f t="shared" si="44"/>
        <v/>
      </c>
    </row>
    <row r="283" spans="1:17" ht="15" customHeight="1" x14ac:dyDescent="0.2">
      <c r="A283" s="243" t="str">
        <f>IFERROR(INDEX(Txn[Key],MATCH(0,INDEX(COUNTIF($A$1:A282,Txn[Key])+(Txn[Key]=""),0),0)),"")</f>
        <v/>
      </c>
      <c r="B283" s="243" t="str">
        <f t="shared" si="36"/>
        <v/>
      </c>
      <c r="C283" s="243" t="str">
        <f t="shared" si="37"/>
        <v/>
      </c>
      <c r="D283" s="243" t="str">
        <f t="shared" si="38"/>
        <v/>
      </c>
      <c r="E283" s="265" t="str">
        <f>IF($A283="","",SUMIFS(Txn[Signed Units],Txn[Key],$A283))</f>
        <v/>
      </c>
      <c r="F283" s="287" t="str">
        <f>IF($A283="","",SUMIFS(Txn[Buy Cost],Txn[Key],$A283))</f>
        <v/>
      </c>
      <c r="G283" s="287" t="str">
        <f>IF($A283="","",SUMIFS(Txn[Sell Proceeds],Txn[Key],$A283))</f>
        <v/>
      </c>
      <c r="H283" s="288" t="str">
        <f>IF($A283="","",IFERROR(INDEX(Prices[Current Price],MATCH($A283,Prices[Key],0)),0))</f>
        <v/>
      </c>
      <c r="I283" s="289" t="str">
        <f>IF($A283="","",IFERROR(INDEX(Prices[FX to SGD],MATCH($A283,Prices[Key],0)),1))</f>
        <v/>
      </c>
      <c r="J283" s="287" t="str">
        <f t="shared" si="39"/>
        <v/>
      </c>
      <c r="K283" s="287" t="str">
        <f t="shared" si="40"/>
        <v/>
      </c>
      <c r="L283" s="287" t="str">
        <f t="shared" si="41"/>
        <v/>
      </c>
      <c r="M283" s="290" t="str">
        <f t="shared" si="42"/>
        <v/>
      </c>
      <c r="N283" s="243" t="str">
        <f>IF($A283="","",IF(ABS(E283)&gt;0.000001,COUNT($N$1:N282)+1,""))</f>
        <v/>
      </c>
      <c r="O283" s="291" t="str">
        <f>IF($A283="","",SUMIFS(Transactions!$H$2:$H$1001,Transactions!$J$2:$J$1001,$A283,Transactions!$A$2:$A$1001,2)*$I283)</f>
        <v/>
      </c>
      <c r="P283" s="291" t="str">
        <f t="shared" si="43"/>
        <v/>
      </c>
      <c r="Q283" s="292" t="str">
        <f t="shared" si="44"/>
        <v/>
      </c>
    </row>
    <row r="284" spans="1:17" ht="15" customHeight="1" x14ac:dyDescent="0.2">
      <c r="A284" s="243" t="str">
        <f>IFERROR(INDEX(Txn[Key],MATCH(0,INDEX(COUNTIF($A$1:A283,Txn[Key])+(Txn[Key]=""),0),0)),"")</f>
        <v/>
      </c>
      <c r="B284" s="243" t="str">
        <f t="shared" si="36"/>
        <v/>
      </c>
      <c r="C284" s="243" t="str">
        <f t="shared" si="37"/>
        <v/>
      </c>
      <c r="D284" s="243" t="str">
        <f t="shared" si="38"/>
        <v/>
      </c>
      <c r="E284" s="265" t="str">
        <f>IF($A284="","",SUMIFS(Txn[Signed Units],Txn[Key],$A284))</f>
        <v/>
      </c>
      <c r="F284" s="287" t="str">
        <f>IF($A284="","",SUMIFS(Txn[Buy Cost],Txn[Key],$A284))</f>
        <v/>
      </c>
      <c r="G284" s="287" t="str">
        <f>IF($A284="","",SUMIFS(Txn[Sell Proceeds],Txn[Key],$A284))</f>
        <v/>
      </c>
      <c r="H284" s="288" t="str">
        <f>IF($A284="","",IFERROR(INDEX(Prices[Current Price],MATCH($A284,Prices[Key],0)),0))</f>
        <v/>
      </c>
      <c r="I284" s="289" t="str">
        <f>IF($A284="","",IFERROR(INDEX(Prices[FX to SGD],MATCH($A284,Prices[Key],0)),1))</f>
        <v/>
      </c>
      <c r="J284" s="287" t="str">
        <f t="shared" si="39"/>
        <v/>
      </c>
      <c r="K284" s="287" t="str">
        <f t="shared" si="40"/>
        <v/>
      </c>
      <c r="L284" s="287" t="str">
        <f t="shared" si="41"/>
        <v/>
      </c>
      <c r="M284" s="290" t="str">
        <f t="shared" si="42"/>
        <v/>
      </c>
      <c r="N284" s="243" t="str">
        <f>IF($A284="","",IF(ABS(E284)&gt;0.000001,COUNT($N$1:N283)+1,""))</f>
        <v/>
      </c>
      <c r="O284" s="291" t="str">
        <f>IF($A284="","",SUMIFS(Transactions!$H$2:$H$1001,Transactions!$J$2:$J$1001,$A284,Transactions!$A$2:$A$1001,2)*$I284)</f>
        <v/>
      </c>
      <c r="P284" s="291" t="str">
        <f t="shared" si="43"/>
        <v/>
      </c>
      <c r="Q284" s="292" t="str">
        <f t="shared" si="44"/>
        <v/>
      </c>
    </row>
    <row r="285" spans="1:17" ht="15" customHeight="1" x14ac:dyDescent="0.2">
      <c r="A285" s="243" t="str">
        <f>IFERROR(INDEX(Txn[Key],MATCH(0,INDEX(COUNTIF($A$1:A284,Txn[Key])+(Txn[Key]=""),0),0)),"")</f>
        <v/>
      </c>
      <c r="B285" s="243" t="str">
        <f t="shared" si="36"/>
        <v/>
      </c>
      <c r="C285" s="243" t="str">
        <f t="shared" si="37"/>
        <v/>
      </c>
      <c r="D285" s="243" t="str">
        <f t="shared" si="38"/>
        <v/>
      </c>
      <c r="E285" s="265" t="str">
        <f>IF($A285="","",SUMIFS(Txn[Signed Units],Txn[Key],$A285))</f>
        <v/>
      </c>
      <c r="F285" s="287" t="str">
        <f>IF($A285="","",SUMIFS(Txn[Buy Cost],Txn[Key],$A285))</f>
        <v/>
      </c>
      <c r="G285" s="287" t="str">
        <f>IF($A285="","",SUMIFS(Txn[Sell Proceeds],Txn[Key],$A285))</f>
        <v/>
      </c>
      <c r="H285" s="288" t="str">
        <f>IF($A285="","",IFERROR(INDEX(Prices[Current Price],MATCH($A285,Prices[Key],0)),0))</f>
        <v/>
      </c>
      <c r="I285" s="289" t="str">
        <f>IF($A285="","",IFERROR(INDEX(Prices[FX to SGD],MATCH($A285,Prices[Key],0)),1))</f>
        <v/>
      </c>
      <c r="J285" s="287" t="str">
        <f t="shared" si="39"/>
        <v/>
      </c>
      <c r="K285" s="287" t="str">
        <f t="shared" si="40"/>
        <v/>
      </c>
      <c r="L285" s="287" t="str">
        <f t="shared" si="41"/>
        <v/>
      </c>
      <c r="M285" s="290" t="str">
        <f t="shared" si="42"/>
        <v/>
      </c>
      <c r="N285" s="243" t="str">
        <f>IF($A285="","",IF(ABS(E285)&gt;0.000001,COUNT($N$1:N284)+1,""))</f>
        <v/>
      </c>
      <c r="O285" s="291" t="str">
        <f>IF($A285="","",SUMIFS(Transactions!$H$2:$H$1001,Transactions!$J$2:$J$1001,$A285,Transactions!$A$2:$A$1001,2)*$I285)</f>
        <v/>
      </c>
      <c r="P285" s="291" t="str">
        <f t="shared" si="43"/>
        <v/>
      </c>
      <c r="Q285" s="292" t="str">
        <f t="shared" si="44"/>
        <v/>
      </c>
    </row>
    <row r="286" spans="1:17" ht="15" customHeight="1" x14ac:dyDescent="0.2">
      <c r="A286" s="243" t="str">
        <f>IFERROR(INDEX(Txn[Key],MATCH(0,INDEX(COUNTIF($A$1:A285,Txn[Key])+(Txn[Key]=""),0),0)),"")</f>
        <v/>
      </c>
      <c r="B286" s="243" t="str">
        <f t="shared" si="36"/>
        <v/>
      </c>
      <c r="C286" s="243" t="str">
        <f t="shared" si="37"/>
        <v/>
      </c>
      <c r="D286" s="243" t="str">
        <f t="shared" si="38"/>
        <v/>
      </c>
      <c r="E286" s="265" t="str">
        <f>IF($A286="","",SUMIFS(Txn[Signed Units],Txn[Key],$A286))</f>
        <v/>
      </c>
      <c r="F286" s="287" t="str">
        <f>IF($A286="","",SUMIFS(Txn[Buy Cost],Txn[Key],$A286))</f>
        <v/>
      </c>
      <c r="G286" s="287" t="str">
        <f>IF($A286="","",SUMIFS(Txn[Sell Proceeds],Txn[Key],$A286))</f>
        <v/>
      </c>
      <c r="H286" s="288" t="str">
        <f>IF($A286="","",IFERROR(INDEX(Prices[Current Price],MATCH($A286,Prices[Key],0)),0))</f>
        <v/>
      </c>
      <c r="I286" s="289" t="str">
        <f>IF($A286="","",IFERROR(INDEX(Prices[FX to SGD],MATCH($A286,Prices[Key],0)),1))</f>
        <v/>
      </c>
      <c r="J286" s="287" t="str">
        <f t="shared" si="39"/>
        <v/>
      </c>
      <c r="K286" s="287" t="str">
        <f t="shared" si="40"/>
        <v/>
      </c>
      <c r="L286" s="287" t="str">
        <f t="shared" si="41"/>
        <v/>
      </c>
      <c r="M286" s="290" t="str">
        <f t="shared" si="42"/>
        <v/>
      </c>
      <c r="N286" s="243" t="str">
        <f>IF($A286="","",IF(ABS(E286)&gt;0.000001,COUNT($N$1:N285)+1,""))</f>
        <v/>
      </c>
      <c r="O286" s="291" t="str">
        <f>IF($A286="","",SUMIFS(Transactions!$H$2:$H$1001,Transactions!$J$2:$J$1001,$A286,Transactions!$A$2:$A$1001,2)*$I286)</f>
        <v/>
      </c>
      <c r="P286" s="291" t="str">
        <f t="shared" si="43"/>
        <v/>
      </c>
      <c r="Q286" s="292" t="str">
        <f t="shared" si="44"/>
        <v/>
      </c>
    </row>
    <row r="287" spans="1:17" ht="15" customHeight="1" x14ac:dyDescent="0.2">
      <c r="A287" s="243" t="str">
        <f>IFERROR(INDEX(Txn[Key],MATCH(0,INDEX(COUNTIF($A$1:A286,Txn[Key])+(Txn[Key]=""),0),0)),"")</f>
        <v/>
      </c>
      <c r="B287" s="243" t="str">
        <f t="shared" si="36"/>
        <v/>
      </c>
      <c r="C287" s="243" t="str">
        <f t="shared" si="37"/>
        <v/>
      </c>
      <c r="D287" s="243" t="str">
        <f t="shared" si="38"/>
        <v/>
      </c>
      <c r="E287" s="265" t="str">
        <f>IF($A287="","",SUMIFS(Txn[Signed Units],Txn[Key],$A287))</f>
        <v/>
      </c>
      <c r="F287" s="287" t="str">
        <f>IF($A287="","",SUMIFS(Txn[Buy Cost],Txn[Key],$A287))</f>
        <v/>
      </c>
      <c r="G287" s="287" t="str">
        <f>IF($A287="","",SUMIFS(Txn[Sell Proceeds],Txn[Key],$A287))</f>
        <v/>
      </c>
      <c r="H287" s="288" t="str">
        <f>IF($A287="","",IFERROR(INDEX(Prices[Current Price],MATCH($A287,Prices[Key],0)),0))</f>
        <v/>
      </c>
      <c r="I287" s="289" t="str">
        <f>IF($A287="","",IFERROR(INDEX(Prices[FX to SGD],MATCH($A287,Prices[Key],0)),1))</f>
        <v/>
      </c>
      <c r="J287" s="287" t="str">
        <f t="shared" si="39"/>
        <v/>
      </c>
      <c r="K287" s="287" t="str">
        <f t="shared" si="40"/>
        <v/>
      </c>
      <c r="L287" s="287" t="str">
        <f t="shared" si="41"/>
        <v/>
      </c>
      <c r="M287" s="290" t="str">
        <f t="shared" si="42"/>
        <v/>
      </c>
      <c r="N287" s="243" t="str">
        <f>IF($A287="","",IF(ABS(E287)&gt;0.000001,COUNT($N$1:N286)+1,""))</f>
        <v/>
      </c>
      <c r="O287" s="291" t="str">
        <f>IF($A287="","",SUMIFS(Transactions!$H$2:$H$1001,Transactions!$J$2:$J$1001,$A287,Transactions!$A$2:$A$1001,2)*$I287)</f>
        <v/>
      </c>
      <c r="P287" s="291" t="str">
        <f t="shared" si="43"/>
        <v/>
      </c>
      <c r="Q287" s="292" t="str">
        <f t="shared" si="44"/>
        <v/>
      </c>
    </row>
    <row r="288" spans="1:17" ht="15" customHeight="1" x14ac:dyDescent="0.2">
      <c r="A288" s="243" t="str">
        <f>IFERROR(INDEX(Txn[Key],MATCH(0,INDEX(COUNTIF($A$1:A287,Txn[Key])+(Txn[Key]=""),0),0)),"")</f>
        <v/>
      </c>
      <c r="B288" s="243" t="str">
        <f t="shared" si="36"/>
        <v/>
      </c>
      <c r="C288" s="243" t="str">
        <f t="shared" si="37"/>
        <v/>
      </c>
      <c r="D288" s="243" t="str">
        <f t="shared" si="38"/>
        <v/>
      </c>
      <c r="E288" s="265" t="str">
        <f>IF($A288="","",SUMIFS(Txn[Signed Units],Txn[Key],$A288))</f>
        <v/>
      </c>
      <c r="F288" s="287" t="str">
        <f>IF($A288="","",SUMIFS(Txn[Buy Cost],Txn[Key],$A288))</f>
        <v/>
      </c>
      <c r="G288" s="287" t="str">
        <f>IF($A288="","",SUMIFS(Txn[Sell Proceeds],Txn[Key],$A288))</f>
        <v/>
      </c>
      <c r="H288" s="288" t="str">
        <f>IF($A288="","",IFERROR(INDEX(Prices[Current Price],MATCH($A288,Prices[Key],0)),0))</f>
        <v/>
      </c>
      <c r="I288" s="289" t="str">
        <f>IF($A288="","",IFERROR(INDEX(Prices[FX to SGD],MATCH($A288,Prices[Key],0)),1))</f>
        <v/>
      </c>
      <c r="J288" s="287" t="str">
        <f t="shared" si="39"/>
        <v/>
      </c>
      <c r="K288" s="287" t="str">
        <f t="shared" si="40"/>
        <v/>
      </c>
      <c r="L288" s="287" t="str">
        <f t="shared" si="41"/>
        <v/>
      </c>
      <c r="M288" s="290" t="str">
        <f t="shared" si="42"/>
        <v/>
      </c>
      <c r="N288" s="243" t="str">
        <f>IF($A288="","",IF(ABS(E288)&gt;0.000001,COUNT($N$1:N287)+1,""))</f>
        <v/>
      </c>
      <c r="O288" s="291" t="str">
        <f>IF($A288="","",SUMIFS(Transactions!$H$2:$H$1001,Transactions!$J$2:$J$1001,$A288,Transactions!$A$2:$A$1001,2)*$I288)</f>
        <v/>
      </c>
      <c r="P288" s="291" t="str">
        <f t="shared" si="43"/>
        <v/>
      </c>
      <c r="Q288" s="292" t="str">
        <f t="shared" si="44"/>
        <v/>
      </c>
    </row>
    <row r="289" spans="1:17" ht="15" customHeight="1" x14ac:dyDescent="0.2">
      <c r="A289" s="243" t="str">
        <f>IFERROR(INDEX(Txn[Key],MATCH(0,INDEX(COUNTIF($A$1:A288,Txn[Key])+(Txn[Key]=""),0),0)),"")</f>
        <v/>
      </c>
      <c r="B289" s="243" t="str">
        <f t="shared" si="36"/>
        <v/>
      </c>
      <c r="C289" s="243" t="str">
        <f t="shared" si="37"/>
        <v/>
      </c>
      <c r="D289" s="243" t="str">
        <f t="shared" si="38"/>
        <v/>
      </c>
      <c r="E289" s="265" t="str">
        <f>IF($A289="","",SUMIFS(Txn[Signed Units],Txn[Key],$A289))</f>
        <v/>
      </c>
      <c r="F289" s="287" t="str">
        <f>IF($A289="","",SUMIFS(Txn[Buy Cost],Txn[Key],$A289))</f>
        <v/>
      </c>
      <c r="G289" s="287" t="str">
        <f>IF($A289="","",SUMIFS(Txn[Sell Proceeds],Txn[Key],$A289))</f>
        <v/>
      </c>
      <c r="H289" s="288" t="str">
        <f>IF($A289="","",IFERROR(INDEX(Prices[Current Price],MATCH($A289,Prices[Key],0)),0))</f>
        <v/>
      </c>
      <c r="I289" s="289" t="str">
        <f>IF($A289="","",IFERROR(INDEX(Prices[FX to SGD],MATCH($A289,Prices[Key],0)),1))</f>
        <v/>
      </c>
      <c r="J289" s="287" t="str">
        <f t="shared" si="39"/>
        <v/>
      </c>
      <c r="K289" s="287" t="str">
        <f t="shared" si="40"/>
        <v/>
      </c>
      <c r="L289" s="287" t="str">
        <f t="shared" si="41"/>
        <v/>
      </c>
      <c r="M289" s="290" t="str">
        <f t="shared" si="42"/>
        <v/>
      </c>
      <c r="N289" s="243" t="str">
        <f>IF($A289="","",IF(ABS(E289)&gt;0.000001,COUNT($N$1:N288)+1,""))</f>
        <v/>
      </c>
      <c r="O289" s="291" t="str">
        <f>IF($A289="","",SUMIFS(Transactions!$H$2:$H$1001,Transactions!$J$2:$J$1001,$A289,Transactions!$A$2:$A$1001,2)*$I289)</f>
        <v/>
      </c>
      <c r="P289" s="291" t="str">
        <f t="shared" si="43"/>
        <v/>
      </c>
      <c r="Q289" s="292" t="str">
        <f t="shared" si="44"/>
        <v/>
      </c>
    </row>
    <row r="290" spans="1:17" ht="15" customHeight="1" x14ac:dyDescent="0.2">
      <c r="A290" s="243" t="str">
        <f>IFERROR(INDEX(Txn[Key],MATCH(0,INDEX(COUNTIF($A$1:A289,Txn[Key])+(Txn[Key]=""),0),0)),"")</f>
        <v/>
      </c>
      <c r="B290" s="243" t="str">
        <f t="shared" si="36"/>
        <v/>
      </c>
      <c r="C290" s="243" t="str">
        <f t="shared" si="37"/>
        <v/>
      </c>
      <c r="D290" s="243" t="str">
        <f t="shared" si="38"/>
        <v/>
      </c>
      <c r="E290" s="265" t="str">
        <f>IF($A290="","",SUMIFS(Txn[Signed Units],Txn[Key],$A290))</f>
        <v/>
      </c>
      <c r="F290" s="287" t="str">
        <f>IF($A290="","",SUMIFS(Txn[Buy Cost],Txn[Key],$A290))</f>
        <v/>
      </c>
      <c r="G290" s="287" t="str">
        <f>IF($A290="","",SUMIFS(Txn[Sell Proceeds],Txn[Key],$A290))</f>
        <v/>
      </c>
      <c r="H290" s="288" t="str">
        <f>IF($A290="","",IFERROR(INDEX(Prices[Current Price],MATCH($A290,Prices[Key],0)),0))</f>
        <v/>
      </c>
      <c r="I290" s="289" t="str">
        <f>IF($A290="","",IFERROR(INDEX(Prices[FX to SGD],MATCH($A290,Prices[Key],0)),1))</f>
        <v/>
      </c>
      <c r="J290" s="287" t="str">
        <f t="shared" si="39"/>
        <v/>
      </c>
      <c r="K290" s="287" t="str">
        <f t="shared" si="40"/>
        <v/>
      </c>
      <c r="L290" s="287" t="str">
        <f t="shared" si="41"/>
        <v/>
      </c>
      <c r="M290" s="290" t="str">
        <f t="shared" si="42"/>
        <v/>
      </c>
      <c r="N290" s="243" t="str">
        <f>IF($A290="","",IF(ABS(E290)&gt;0.000001,COUNT($N$1:N289)+1,""))</f>
        <v/>
      </c>
      <c r="O290" s="291" t="str">
        <f>IF($A290="","",SUMIFS(Transactions!$H$2:$H$1001,Transactions!$J$2:$J$1001,$A290,Transactions!$A$2:$A$1001,2)*$I290)</f>
        <v/>
      </c>
      <c r="P290" s="291" t="str">
        <f t="shared" si="43"/>
        <v/>
      </c>
      <c r="Q290" s="292" t="str">
        <f t="shared" si="44"/>
        <v/>
      </c>
    </row>
    <row r="291" spans="1:17" ht="15" customHeight="1" x14ac:dyDescent="0.2">
      <c r="A291" s="243" t="str">
        <f>IFERROR(INDEX(Txn[Key],MATCH(0,INDEX(COUNTIF($A$1:A290,Txn[Key])+(Txn[Key]=""),0),0)),"")</f>
        <v/>
      </c>
      <c r="B291" s="243" t="str">
        <f t="shared" si="36"/>
        <v/>
      </c>
      <c r="C291" s="243" t="str">
        <f t="shared" si="37"/>
        <v/>
      </c>
      <c r="D291" s="243" t="str">
        <f t="shared" si="38"/>
        <v/>
      </c>
      <c r="E291" s="265" t="str">
        <f>IF($A291="","",SUMIFS(Txn[Signed Units],Txn[Key],$A291))</f>
        <v/>
      </c>
      <c r="F291" s="287" t="str">
        <f>IF($A291="","",SUMIFS(Txn[Buy Cost],Txn[Key],$A291))</f>
        <v/>
      </c>
      <c r="G291" s="287" t="str">
        <f>IF($A291="","",SUMIFS(Txn[Sell Proceeds],Txn[Key],$A291))</f>
        <v/>
      </c>
      <c r="H291" s="288" t="str">
        <f>IF($A291="","",IFERROR(INDEX(Prices[Current Price],MATCH($A291,Prices[Key],0)),0))</f>
        <v/>
      </c>
      <c r="I291" s="289" t="str">
        <f>IF($A291="","",IFERROR(INDEX(Prices[FX to SGD],MATCH($A291,Prices[Key],0)),1))</f>
        <v/>
      </c>
      <c r="J291" s="287" t="str">
        <f t="shared" si="39"/>
        <v/>
      </c>
      <c r="K291" s="287" t="str">
        <f t="shared" si="40"/>
        <v/>
      </c>
      <c r="L291" s="287" t="str">
        <f t="shared" si="41"/>
        <v/>
      </c>
      <c r="M291" s="290" t="str">
        <f t="shared" si="42"/>
        <v/>
      </c>
      <c r="N291" s="243" t="str">
        <f>IF($A291="","",IF(ABS(E291)&gt;0.000001,COUNT($N$1:N290)+1,""))</f>
        <v/>
      </c>
      <c r="O291" s="291" t="str">
        <f>IF($A291="","",SUMIFS(Transactions!$H$2:$H$1001,Transactions!$J$2:$J$1001,$A291,Transactions!$A$2:$A$1001,2)*$I291)</f>
        <v/>
      </c>
      <c r="P291" s="291" t="str">
        <f t="shared" si="43"/>
        <v/>
      </c>
      <c r="Q291" s="292" t="str">
        <f t="shared" si="44"/>
        <v/>
      </c>
    </row>
    <row r="292" spans="1:17" ht="15" customHeight="1" x14ac:dyDescent="0.2">
      <c r="A292" s="243" t="str">
        <f>IFERROR(INDEX(Txn[Key],MATCH(0,INDEX(COUNTIF($A$1:A291,Txn[Key])+(Txn[Key]=""),0),0)),"")</f>
        <v/>
      </c>
      <c r="B292" s="243" t="str">
        <f t="shared" si="36"/>
        <v/>
      </c>
      <c r="C292" s="243" t="str">
        <f t="shared" si="37"/>
        <v/>
      </c>
      <c r="D292" s="243" t="str">
        <f t="shared" si="38"/>
        <v/>
      </c>
      <c r="E292" s="265" t="str">
        <f>IF($A292="","",SUMIFS(Txn[Signed Units],Txn[Key],$A292))</f>
        <v/>
      </c>
      <c r="F292" s="287" t="str">
        <f>IF($A292="","",SUMIFS(Txn[Buy Cost],Txn[Key],$A292))</f>
        <v/>
      </c>
      <c r="G292" s="287" t="str">
        <f>IF($A292="","",SUMIFS(Txn[Sell Proceeds],Txn[Key],$A292))</f>
        <v/>
      </c>
      <c r="H292" s="288" t="str">
        <f>IF($A292="","",IFERROR(INDEX(Prices[Current Price],MATCH($A292,Prices[Key],0)),0))</f>
        <v/>
      </c>
      <c r="I292" s="289" t="str">
        <f>IF($A292="","",IFERROR(INDEX(Prices[FX to SGD],MATCH($A292,Prices[Key],0)),1))</f>
        <v/>
      </c>
      <c r="J292" s="287" t="str">
        <f t="shared" si="39"/>
        <v/>
      </c>
      <c r="K292" s="287" t="str">
        <f t="shared" si="40"/>
        <v/>
      </c>
      <c r="L292" s="287" t="str">
        <f t="shared" si="41"/>
        <v/>
      </c>
      <c r="M292" s="290" t="str">
        <f t="shared" si="42"/>
        <v/>
      </c>
      <c r="N292" s="243" t="str">
        <f>IF($A292="","",IF(ABS(E292)&gt;0.000001,COUNT($N$1:N291)+1,""))</f>
        <v/>
      </c>
      <c r="O292" s="291" t="str">
        <f>IF($A292="","",SUMIFS(Transactions!$H$2:$H$1001,Transactions!$J$2:$J$1001,$A292,Transactions!$A$2:$A$1001,2)*$I292)</f>
        <v/>
      </c>
      <c r="P292" s="291" t="str">
        <f t="shared" si="43"/>
        <v/>
      </c>
      <c r="Q292" s="292" t="str">
        <f t="shared" si="44"/>
        <v/>
      </c>
    </row>
    <row r="293" spans="1:17" ht="15" customHeight="1" x14ac:dyDescent="0.2">
      <c r="A293" s="243" t="str">
        <f>IFERROR(INDEX(Txn[Key],MATCH(0,INDEX(COUNTIF($A$1:A292,Txn[Key])+(Txn[Key]=""),0),0)),"")</f>
        <v/>
      </c>
      <c r="B293" s="243" t="str">
        <f t="shared" si="36"/>
        <v/>
      </c>
      <c r="C293" s="243" t="str">
        <f t="shared" si="37"/>
        <v/>
      </c>
      <c r="D293" s="243" t="str">
        <f t="shared" si="38"/>
        <v/>
      </c>
      <c r="E293" s="265" t="str">
        <f>IF($A293="","",SUMIFS(Txn[Signed Units],Txn[Key],$A293))</f>
        <v/>
      </c>
      <c r="F293" s="287" t="str">
        <f>IF($A293="","",SUMIFS(Txn[Buy Cost],Txn[Key],$A293))</f>
        <v/>
      </c>
      <c r="G293" s="287" t="str">
        <f>IF($A293="","",SUMIFS(Txn[Sell Proceeds],Txn[Key],$A293))</f>
        <v/>
      </c>
      <c r="H293" s="288" t="str">
        <f>IF($A293="","",IFERROR(INDEX(Prices[Current Price],MATCH($A293,Prices[Key],0)),0))</f>
        <v/>
      </c>
      <c r="I293" s="289" t="str">
        <f>IF($A293="","",IFERROR(INDEX(Prices[FX to SGD],MATCH($A293,Prices[Key],0)),1))</f>
        <v/>
      </c>
      <c r="J293" s="287" t="str">
        <f t="shared" si="39"/>
        <v/>
      </c>
      <c r="K293" s="287" t="str">
        <f t="shared" si="40"/>
        <v/>
      </c>
      <c r="L293" s="287" t="str">
        <f t="shared" si="41"/>
        <v/>
      </c>
      <c r="M293" s="290" t="str">
        <f t="shared" si="42"/>
        <v/>
      </c>
      <c r="N293" s="243" t="str">
        <f>IF($A293="","",IF(ABS(E293)&gt;0.000001,COUNT($N$1:N292)+1,""))</f>
        <v/>
      </c>
      <c r="O293" s="291" t="str">
        <f>IF($A293="","",SUMIFS(Transactions!$H$2:$H$1001,Transactions!$J$2:$J$1001,$A293,Transactions!$A$2:$A$1001,2)*$I293)</f>
        <v/>
      </c>
      <c r="P293" s="291" t="str">
        <f t="shared" si="43"/>
        <v/>
      </c>
      <c r="Q293" s="292" t="str">
        <f t="shared" si="44"/>
        <v/>
      </c>
    </row>
    <row r="294" spans="1:17" ht="15" customHeight="1" x14ac:dyDescent="0.2">
      <c r="A294" s="243" t="str">
        <f>IFERROR(INDEX(Txn[Key],MATCH(0,INDEX(COUNTIF($A$1:A293,Txn[Key])+(Txn[Key]=""),0),0)),"")</f>
        <v/>
      </c>
      <c r="B294" s="243" t="str">
        <f t="shared" si="36"/>
        <v/>
      </c>
      <c r="C294" s="243" t="str">
        <f t="shared" si="37"/>
        <v/>
      </c>
      <c r="D294" s="243" t="str">
        <f t="shared" si="38"/>
        <v/>
      </c>
      <c r="E294" s="265" t="str">
        <f>IF($A294="","",SUMIFS(Txn[Signed Units],Txn[Key],$A294))</f>
        <v/>
      </c>
      <c r="F294" s="287" t="str">
        <f>IF($A294="","",SUMIFS(Txn[Buy Cost],Txn[Key],$A294))</f>
        <v/>
      </c>
      <c r="G294" s="287" t="str">
        <f>IF($A294="","",SUMIFS(Txn[Sell Proceeds],Txn[Key],$A294))</f>
        <v/>
      </c>
      <c r="H294" s="288" t="str">
        <f>IF($A294="","",IFERROR(INDEX(Prices[Current Price],MATCH($A294,Prices[Key],0)),0))</f>
        <v/>
      </c>
      <c r="I294" s="289" t="str">
        <f>IF($A294="","",IFERROR(INDEX(Prices[FX to SGD],MATCH($A294,Prices[Key],0)),1))</f>
        <v/>
      </c>
      <c r="J294" s="287" t="str">
        <f t="shared" si="39"/>
        <v/>
      </c>
      <c r="K294" s="287" t="str">
        <f t="shared" si="40"/>
        <v/>
      </c>
      <c r="L294" s="287" t="str">
        <f t="shared" si="41"/>
        <v/>
      </c>
      <c r="M294" s="290" t="str">
        <f t="shared" si="42"/>
        <v/>
      </c>
      <c r="N294" s="243" t="str">
        <f>IF($A294="","",IF(ABS(E294)&gt;0.000001,COUNT($N$1:N293)+1,""))</f>
        <v/>
      </c>
      <c r="O294" s="291" t="str">
        <f>IF($A294="","",SUMIFS(Transactions!$H$2:$H$1001,Transactions!$J$2:$J$1001,$A294,Transactions!$A$2:$A$1001,2)*$I294)</f>
        <v/>
      </c>
      <c r="P294" s="291" t="str">
        <f t="shared" si="43"/>
        <v/>
      </c>
      <c r="Q294" s="292" t="str">
        <f t="shared" si="44"/>
        <v/>
      </c>
    </row>
    <row r="295" spans="1:17" ht="15" customHeight="1" x14ac:dyDescent="0.2">
      <c r="A295" s="243" t="str">
        <f>IFERROR(INDEX(Txn[Key],MATCH(0,INDEX(COUNTIF($A$1:A294,Txn[Key])+(Txn[Key]=""),0),0)),"")</f>
        <v/>
      </c>
      <c r="B295" s="243" t="str">
        <f t="shared" si="36"/>
        <v/>
      </c>
      <c r="C295" s="243" t="str">
        <f t="shared" si="37"/>
        <v/>
      </c>
      <c r="D295" s="243" t="str">
        <f t="shared" si="38"/>
        <v/>
      </c>
      <c r="E295" s="265" t="str">
        <f>IF($A295="","",SUMIFS(Txn[Signed Units],Txn[Key],$A295))</f>
        <v/>
      </c>
      <c r="F295" s="287" t="str">
        <f>IF($A295="","",SUMIFS(Txn[Buy Cost],Txn[Key],$A295))</f>
        <v/>
      </c>
      <c r="G295" s="287" t="str">
        <f>IF($A295="","",SUMIFS(Txn[Sell Proceeds],Txn[Key],$A295))</f>
        <v/>
      </c>
      <c r="H295" s="288" t="str">
        <f>IF($A295="","",IFERROR(INDEX(Prices[Current Price],MATCH($A295,Prices[Key],0)),0))</f>
        <v/>
      </c>
      <c r="I295" s="289" t="str">
        <f>IF($A295="","",IFERROR(INDEX(Prices[FX to SGD],MATCH($A295,Prices[Key],0)),1))</f>
        <v/>
      </c>
      <c r="J295" s="287" t="str">
        <f t="shared" si="39"/>
        <v/>
      </c>
      <c r="K295" s="287" t="str">
        <f t="shared" si="40"/>
        <v/>
      </c>
      <c r="L295" s="287" t="str">
        <f t="shared" si="41"/>
        <v/>
      </c>
      <c r="M295" s="290" t="str">
        <f t="shared" si="42"/>
        <v/>
      </c>
      <c r="N295" s="243" t="str">
        <f>IF($A295="","",IF(ABS(E295)&gt;0.000001,COUNT($N$1:N294)+1,""))</f>
        <v/>
      </c>
      <c r="O295" s="291" t="str">
        <f>IF($A295="","",SUMIFS(Transactions!$H$2:$H$1001,Transactions!$J$2:$J$1001,$A295,Transactions!$A$2:$A$1001,2)*$I295)</f>
        <v/>
      </c>
      <c r="P295" s="291" t="str">
        <f t="shared" si="43"/>
        <v/>
      </c>
      <c r="Q295" s="292" t="str">
        <f t="shared" si="44"/>
        <v/>
      </c>
    </row>
    <row r="296" spans="1:17" ht="15" customHeight="1" x14ac:dyDescent="0.2">
      <c r="A296" s="243" t="str">
        <f>IFERROR(INDEX(Txn[Key],MATCH(0,INDEX(COUNTIF($A$1:A295,Txn[Key])+(Txn[Key]=""),0),0)),"")</f>
        <v/>
      </c>
      <c r="B296" s="243" t="str">
        <f t="shared" si="36"/>
        <v/>
      </c>
      <c r="C296" s="243" t="str">
        <f t="shared" si="37"/>
        <v/>
      </c>
      <c r="D296" s="243" t="str">
        <f t="shared" si="38"/>
        <v/>
      </c>
      <c r="E296" s="265" t="str">
        <f>IF($A296="","",SUMIFS(Txn[Signed Units],Txn[Key],$A296))</f>
        <v/>
      </c>
      <c r="F296" s="287" t="str">
        <f>IF($A296="","",SUMIFS(Txn[Buy Cost],Txn[Key],$A296))</f>
        <v/>
      </c>
      <c r="G296" s="287" t="str">
        <f>IF($A296="","",SUMIFS(Txn[Sell Proceeds],Txn[Key],$A296))</f>
        <v/>
      </c>
      <c r="H296" s="288" t="str">
        <f>IF($A296="","",IFERROR(INDEX(Prices[Current Price],MATCH($A296,Prices[Key],0)),0))</f>
        <v/>
      </c>
      <c r="I296" s="289" t="str">
        <f>IF($A296="","",IFERROR(INDEX(Prices[FX to SGD],MATCH($A296,Prices[Key],0)),1))</f>
        <v/>
      </c>
      <c r="J296" s="287" t="str">
        <f t="shared" si="39"/>
        <v/>
      </c>
      <c r="K296" s="287" t="str">
        <f t="shared" si="40"/>
        <v/>
      </c>
      <c r="L296" s="287" t="str">
        <f t="shared" si="41"/>
        <v/>
      </c>
      <c r="M296" s="290" t="str">
        <f t="shared" si="42"/>
        <v/>
      </c>
      <c r="N296" s="243" t="str">
        <f>IF($A296="","",IF(ABS(E296)&gt;0.000001,COUNT($N$1:N295)+1,""))</f>
        <v/>
      </c>
      <c r="O296" s="291" t="str">
        <f>IF($A296="","",SUMIFS(Transactions!$H$2:$H$1001,Transactions!$J$2:$J$1001,$A296,Transactions!$A$2:$A$1001,2)*$I296)</f>
        <v/>
      </c>
      <c r="P296" s="291" t="str">
        <f t="shared" si="43"/>
        <v/>
      </c>
      <c r="Q296" s="292" t="str">
        <f t="shared" si="44"/>
        <v/>
      </c>
    </row>
    <row r="297" spans="1:17" ht="15" customHeight="1" x14ac:dyDescent="0.2">
      <c r="A297" s="243" t="str">
        <f>IFERROR(INDEX(Txn[Key],MATCH(0,INDEX(COUNTIF($A$1:A296,Txn[Key])+(Txn[Key]=""),0),0)),"")</f>
        <v/>
      </c>
      <c r="B297" s="243" t="str">
        <f t="shared" si="36"/>
        <v/>
      </c>
      <c r="C297" s="243" t="str">
        <f t="shared" si="37"/>
        <v/>
      </c>
      <c r="D297" s="243" t="str">
        <f t="shared" si="38"/>
        <v/>
      </c>
      <c r="E297" s="265" t="str">
        <f>IF($A297="","",SUMIFS(Txn[Signed Units],Txn[Key],$A297))</f>
        <v/>
      </c>
      <c r="F297" s="287" t="str">
        <f>IF($A297="","",SUMIFS(Txn[Buy Cost],Txn[Key],$A297))</f>
        <v/>
      </c>
      <c r="G297" s="287" t="str">
        <f>IF($A297="","",SUMIFS(Txn[Sell Proceeds],Txn[Key],$A297))</f>
        <v/>
      </c>
      <c r="H297" s="288" t="str">
        <f>IF($A297="","",IFERROR(INDEX(Prices[Current Price],MATCH($A297,Prices[Key],0)),0))</f>
        <v/>
      </c>
      <c r="I297" s="289" t="str">
        <f>IF($A297="","",IFERROR(INDEX(Prices[FX to SGD],MATCH($A297,Prices[Key],0)),1))</f>
        <v/>
      </c>
      <c r="J297" s="287" t="str">
        <f t="shared" si="39"/>
        <v/>
      </c>
      <c r="K297" s="287" t="str">
        <f t="shared" si="40"/>
        <v/>
      </c>
      <c r="L297" s="287" t="str">
        <f t="shared" si="41"/>
        <v/>
      </c>
      <c r="M297" s="290" t="str">
        <f t="shared" si="42"/>
        <v/>
      </c>
      <c r="N297" s="243" t="str">
        <f>IF($A297="","",IF(ABS(E297)&gt;0.000001,COUNT($N$1:N296)+1,""))</f>
        <v/>
      </c>
      <c r="O297" s="291" t="str">
        <f>IF($A297="","",SUMIFS(Transactions!$H$2:$H$1001,Transactions!$J$2:$J$1001,$A297,Transactions!$A$2:$A$1001,2)*$I297)</f>
        <v/>
      </c>
      <c r="P297" s="291" t="str">
        <f t="shared" si="43"/>
        <v/>
      </c>
      <c r="Q297" s="292" t="str">
        <f t="shared" si="44"/>
        <v/>
      </c>
    </row>
    <row r="298" spans="1:17" ht="15" customHeight="1" x14ac:dyDescent="0.2">
      <c r="A298" s="243" t="str">
        <f>IFERROR(INDEX(Txn[Key],MATCH(0,INDEX(COUNTIF($A$1:A297,Txn[Key])+(Txn[Key]=""),0),0)),"")</f>
        <v/>
      </c>
      <c r="B298" s="243" t="str">
        <f t="shared" si="36"/>
        <v/>
      </c>
      <c r="C298" s="243" t="str">
        <f t="shared" si="37"/>
        <v/>
      </c>
      <c r="D298" s="243" t="str">
        <f t="shared" si="38"/>
        <v/>
      </c>
      <c r="E298" s="265" t="str">
        <f>IF($A298="","",SUMIFS(Txn[Signed Units],Txn[Key],$A298))</f>
        <v/>
      </c>
      <c r="F298" s="287" t="str">
        <f>IF($A298="","",SUMIFS(Txn[Buy Cost],Txn[Key],$A298))</f>
        <v/>
      </c>
      <c r="G298" s="287" t="str">
        <f>IF($A298="","",SUMIFS(Txn[Sell Proceeds],Txn[Key],$A298))</f>
        <v/>
      </c>
      <c r="H298" s="288" t="str">
        <f>IF($A298="","",IFERROR(INDEX(Prices[Current Price],MATCH($A298,Prices[Key],0)),0))</f>
        <v/>
      </c>
      <c r="I298" s="289" t="str">
        <f>IF($A298="","",IFERROR(INDEX(Prices[FX to SGD],MATCH($A298,Prices[Key],0)),1))</f>
        <v/>
      </c>
      <c r="J298" s="287" t="str">
        <f t="shared" si="39"/>
        <v/>
      </c>
      <c r="K298" s="287" t="str">
        <f t="shared" si="40"/>
        <v/>
      </c>
      <c r="L298" s="287" t="str">
        <f t="shared" si="41"/>
        <v/>
      </c>
      <c r="M298" s="290" t="str">
        <f t="shared" si="42"/>
        <v/>
      </c>
      <c r="N298" s="243" t="str">
        <f>IF($A298="","",IF(ABS(E298)&gt;0.000001,COUNT($N$1:N297)+1,""))</f>
        <v/>
      </c>
      <c r="O298" s="291" t="str">
        <f>IF($A298="","",SUMIFS(Transactions!$H$2:$H$1001,Transactions!$J$2:$J$1001,$A298,Transactions!$A$2:$A$1001,2)*$I298)</f>
        <v/>
      </c>
      <c r="P298" s="291" t="str">
        <f t="shared" si="43"/>
        <v/>
      </c>
      <c r="Q298" s="292" t="str">
        <f t="shared" si="44"/>
        <v/>
      </c>
    </row>
    <row r="299" spans="1:17" ht="15" customHeight="1" x14ac:dyDescent="0.2">
      <c r="A299" s="243" t="str">
        <f>IFERROR(INDEX(Txn[Key],MATCH(0,INDEX(COUNTIF($A$1:A298,Txn[Key])+(Txn[Key]=""),0),0)),"")</f>
        <v/>
      </c>
      <c r="B299" s="243" t="str">
        <f t="shared" si="36"/>
        <v/>
      </c>
      <c r="C299" s="243" t="str">
        <f t="shared" si="37"/>
        <v/>
      </c>
      <c r="D299" s="243" t="str">
        <f t="shared" si="38"/>
        <v/>
      </c>
      <c r="E299" s="265" t="str">
        <f>IF($A299="","",SUMIFS(Txn[Signed Units],Txn[Key],$A299))</f>
        <v/>
      </c>
      <c r="F299" s="287" t="str">
        <f>IF($A299="","",SUMIFS(Txn[Buy Cost],Txn[Key],$A299))</f>
        <v/>
      </c>
      <c r="G299" s="287" t="str">
        <f>IF($A299="","",SUMIFS(Txn[Sell Proceeds],Txn[Key],$A299))</f>
        <v/>
      </c>
      <c r="H299" s="288" t="str">
        <f>IF($A299="","",IFERROR(INDEX(Prices[Current Price],MATCH($A299,Prices[Key],0)),0))</f>
        <v/>
      </c>
      <c r="I299" s="289" t="str">
        <f>IF($A299="","",IFERROR(INDEX(Prices[FX to SGD],MATCH($A299,Prices[Key],0)),1))</f>
        <v/>
      </c>
      <c r="J299" s="287" t="str">
        <f t="shared" si="39"/>
        <v/>
      </c>
      <c r="K299" s="287" t="str">
        <f t="shared" si="40"/>
        <v/>
      </c>
      <c r="L299" s="287" t="str">
        <f t="shared" si="41"/>
        <v/>
      </c>
      <c r="M299" s="290" t="str">
        <f t="shared" si="42"/>
        <v/>
      </c>
      <c r="N299" s="243" t="str">
        <f>IF($A299="","",IF(ABS(E299)&gt;0.000001,COUNT($N$1:N298)+1,""))</f>
        <v/>
      </c>
      <c r="O299" s="291" t="str">
        <f>IF($A299="","",SUMIFS(Transactions!$H$2:$H$1001,Transactions!$J$2:$J$1001,$A299,Transactions!$A$2:$A$1001,2)*$I299)</f>
        <v/>
      </c>
      <c r="P299" s="291" t="str">
        <f t="shared" si="43"/>
        <v/>
      </c>
      <c r="Q299" s="292" t="str">
        <f t="shared" si="44"/>
        <v/>
      </c>
    </row>
    <row r="300" spans="1:17" ht="15" customHeight="1" x14ac:dyDescent="0.2">
      <c r="A300" s="243" t="str">
        <f>IFERROR(INDEX(Txn[Key],MATCH(0,INDEX(COUNTIF($A$1:A299,Txn[Key])+(Txn[Key]=""),0),0)),"")</f>
        <v/>
      </c>
      <c r="B300" s="243" t="str">
        <f t="shared" si="36"/>
        <v/>
      </c>
      <c r="C300" s="243" t="str">
        <f t="shared" si="37"/>
        <v/>
      </c>
      <c r="D300" s="243" t="str">
        <f t="shared" si="38"/>
        <v/>
      </c>
      <c r="E300" s="265" t="str">
        <f>IF($A300="","",SUMIFS(Txn[Signed Units],Txn[Key],$A300))</f>
        <v/>
      </c>
      <c r="F300" s="287" t="str">
        <f>IF($A300="","",SUMIFS(Txn[Buy Cost],Txn[Key],$A300))</f>
        <v/>
      </c>
      <c r="G300" s="287" t="str">
        <f>IF($A300="","",SUMIFS(Txn[Sell Proceeds],Txn[Key],$A300))</f>
        <v/>
      </c>
      <c r="H300" s="288" t="str">
        <f>IF($A300="","",IFERROR(INDEX(Prices[Current Price],MATCH($A300,Prices[Key],0)),0))</f>
        <v/>
      </c>
      <c r="I300" s="289" t="str">
        <f>IF($A300="","",IFERROR(INDEX(Prices[FX to SGD],MATCH($A300,Prices[Key],0)),1))</f>
        <v/>
      </c>
      <c r="J300" s="287" t="str">
        <f t="shared" si="39"/>
        <v/>
      </c>
      <c r="K300" s="287" t="str">
        <f t="shared" si="40"/>
        <v/>
      </c>
      <c r="L300" s="287" t="str">
        <f t="shared" si="41"/>
        <v/>
      </c>
      <c r="M300" s="290" t="str">
        <f t="shared" si="42"/>
        <v/>
      </c>
      <c r="N300" s="243" t="str">
        <f>IF($A300="","",IF(ABS(E300)&gt;0.000001,COUNT($N$1:N299)+1,""))</f>
        <v/>
      </c>
      <c r="O300" s="291" t="str">
        <f>IF($A300="","",SUMIFS(Transactions!$H$2:$H$1001,Transactions!$J$2:$J$1001,$A300,Transactions!$A$2:$A$1001,2)*$I300)</f>
        <v/>
      </c>
      <c r="P300" s="291" t="str">
        <f t="shared" si="43"/>
        <v/>
      </c>
      <c r="Q300" s="292" t="str">
        <f t="shared" si="44"/>
        <v/>
      </c>
    </row>
    <row r="301" spans="1:17" ht="15" customHeight="1" x14ac:dyDescent="0.2">
      <c r="A301" s="243" t="str">
        <f>IFERROR(INDEX(Txn[Key],MATCH(0,INDEX(COUNTIF($A$1:A300,Txn[Key])+(Txn[Key]=""),0),0)),"")</f>
        <v/>
      </c>
      <c r="B301" s="243" t="str">
        <f t="shared" si="36"/>
        <v/>
      </c>
      <c r="C301" s="243" t="str">
        <f t="shared" si="37"/>
        <v/>
      </c>
      <c r="D301" s="243" t="str">
        <f t="shared" si="38"/>
        <v/>
      </c>
      <c r="E301" s="265" t="str">
        <f>IF($A301="","",SUMIFS(Txn[Signed Units],Txn[Key],$A301))</f>
        <v/>
      </c>
      <c r="F301" s="287" t="str">
        <f>IF($A301="","",SUMIFS(Txn[Buy Cost],Txn[Key],$A301))</f>
        <v/>
      </c>
      <c r="G301" s="287" t="str">
        <f>IF($A301="","",SUMIFS(Txn[Sell Proceeds],Txn[Key],$A301))</f>
        <v/>
      </c>
      <c r="H301" s="288" t="str">
        <f>IF($A301="","",IFERROR(INDEX(Prices[Current Price],MATCH($A301,Prices[Key],0)),0))</f>
        <v/>
      </c>
      <c r="I301" s="289" t="str">
        <f>IF($A301="","",IFERROR(INDEX(Prices[FX to SGD],MATCH($A301,Prices[Key],0)),1))</f>
        <v/>
      </c>
      <c r="J301" s="287" t="str">
        <f t="shared" si="39"/>
        <v/>
      </c>
      <c r="K301" s="287" t="str">
        <f t="shared" si="40"/>
        <v/>
      </c>
      <c r="L301" s="287" t="str">
        <f t="shared" si="41"/>
        <v/>
      </c>
      <c r="M301" s="290" t="str">
        <f t="shared" si="42"/>
        <v/>
      </c>
      <c r="N301" s="243" t="str">
        <f>IF($A301="","",IF(ABS(E301)&gt;0.000001,COUNT($N$1:N300)+1,""))</f>
        <v/>
      </c>
      <c r="O301" s="291" t="str">
        <f>IF($A301="","",SUMIFS(Transactions!$H$2:$H$1001,Transactions!$J$2:$J$1001,$A301,Transactions!$A$2:$A$1001,2)*$I301)</f>
        <v/>
      </c>
      <c r="P301" s="291" t="str">
        <f t="shared" si="43"/>
        <v/>
      </c>
      <c r="Q301" s="292" t="str">
        <f t="shared" si="44"/>
        <v/>
      </c>
    </row>
    <row r="302" spans="1:17" ht="15" customHeight="1" x14ac:dyDescent="0.2">
      <c r="A302" s="243" t="str">
        <f>IFERROR(INDEX(Txn[Key],MATCH(0,INDEX(COUNTIF($A$1:A301,Txn[Key])+(Txn[Key]=""),0),0)),"")</f>
        <v/>
      </c>
      <c r="B302" s="243" t="str">
        <f t="shared" si="36"/>
        <v/>
      </c>
      <c r="C302" s="243" t="str">
        <f t="shared" si="37"/>
        <v/>
      </c>
      <c r="D302" s="243" t="str">
        <f t="shared" si="38"/>
        <v/>
      </c>
      <c r="E302" s="265" t="str">
        <f>IF($A302="","",SUMIFS(Txn[Signed Units],Txn[Key],$A302))</f>
        <v/>
      </c>
      <c r="F302" s="287" t="str">
        <f>IF($A302="","",SUMIFS(Txn[Buy Cost],Txn[Key],$A302))</f>
        <v/>
      </c>
      <c r="G302" s="287" t="str">
        <f>IF($A302="","",SUMIFS(Txn[Sell Proceeds],Txn[Key],$A302))</f>
        <v/>
      </c>
      <c r="H302" s="288" t="str">
        <f>IF($A302="","",IFERROR(INDEX(Prices[Current Price],MATCH($A302,Prices[Key],0)),0))</f>
        <v/>
      </c>
      <c r="I302" s="289" t="str">
        <f>IF($A302="","",IFERROR(INDEX(Prices[FX to SGD],MATCH($A302,Prices[Key],0)),1))</f>
        <v/>
      </c>
      <c r="J302" s="287" t="str">
        <f t="shared" si="39"/>
        <v/>
      </c>
      <c r="K302" s="287" t="str">
        <f t="shared" si="40"/>
        <v/>
      </c>
      <c r="L302" s="287" t="str">
        <f t="shared" si="41"/>
        <v/>
      </c>
      <c r="M302" s="290" t="str">
        <f t="shared" si="42"/>
        <v/>
      </c>
      <c r="N302" s="243" t="str">
        <f>IF($A302="","",IF(ABS(E302)&gt;0.000001,COUNT($N$1:N301)+1,""))</f>
        <v/>
      </c>
      <c r="O302" s="291" t="str">
        <f>IF($A302="","",SUMIFS(Transactions!$H$2:$H$1001,Transactions!$J$2:$J$1001,$A302,Transactions!$A$2:$A$1001,2)*$I302)</f>
        <v/>
      </c>
      <c r="P302" s="291" t="str">
        <f t="shared" si="43"/>
        <v/>
      </c>
      <c r="Q302" s="292" t="str">
        <f t="shared" si="44"/>
        <v/>
      </c>
    </row>
    <row r="303" spans="1:17" ht="15" customHeight="1" x14ac:dyDescent="0.2">
      <c r="A303" s="243" t="str">
        <f>IFERROR(INDEX(Txn[Key],MATCH(0,INDEX(COUNTIF($A$1:A302,Txn[Key])+(Txn[Key]=""),0),0)),"")</f>
        <v/>
      </c>
      <c r="B303" s="243" t="str">
        <f t="shared" si="36"/>
        <v/>
      </c>
      <c r="C303" s="243" t="str">
        <f t="shared" si="37"/>
        <v/>
      </c>
      <c r="D303" s="243" t="str">
        <f t="shared" si="38"/>
        <v/>
      </c>
      <c r="E303" s="265" t="str">
        <f>IF($A303="","",SUMIFS(Txn[Signed Units],Txn[Key],$A303))</f>
        <v/>
      </c>
      <c r="F303" s="287" t="str">
        <f>IF($A303="","",SUMIFS(Txn[Buy Cost],Txn[Key],$A303))</f>
        <v/>
      </c>
      <c r="G303" s="287" t="str">
        <f>IF($A303="","",SUMIFS(Txn[Sell Proceeds],Txn[Key],$A303))</f>
        <v/>
      </c>
      <c r="H303" s="288" t="str">
        <f>IF($A303="","",IFERROR(INDEX(Prices[Current Price],MATCH($A303,Prices[Key],0)),0))</f>
        <v/>
      </c>
      <c r="I303" s="289" t="str">
        <f>IF($A303="","",IFERROR(INDEX(Prices[FX to SGD],MATCH($A303,Prices[Key],0)),1))</f>
        <v/>
      </c>
      <c r="J303" s="287" t="str">
        <f t="shared" si="39"/>
        <v/>
      </c>
      <c r="K303" s="287" t="str">
        <f t="shared" si="40"/>
        <v/>
      </c>
      <c r="L303" s="287" t="str">
        <f t="shared" si="41"/>
        <v/>
      </c>
      <c r="M303" s="290" t="str">
        <f t="shared" si="42"/>
        <v/>
      </c>
      <c r="N303" s="243" t="str">
        <f>IF($A303="","",IF(ABS(E303)&gt;0.000001,COUNT($N$1:N302)+1,""))</f>
        <v/>
      </c>
      <c r="O303" s="291" t="str">
        <f>IF($A303="","",SUMIFS(Transactions!$H$2:$H$1001,Transactions!$J$2:$J$1001,$A303,Transactions!$A$2:$A$1001,2)*$I303)</f>
        <v/>
      </c>
      <c r="P303" s="291" t="str">
        <f t="shared" si="43"/>
        <v/>
      </c>
      <c r="Q303" s="292" t="str">
        <f t="shared" si="44"/>
        <v/>
      </c>
    </row>
    <row r="304" spans="1:17" ht="15" customHeight="1" x14ac:dyDescent="0.2">
      <c r="A304" s="243" t="str">
        <f>IFERROR(INDEX(Txn[Key],MATCH(0,INDEX(COUNTIF($A$1:A303,Txn[Key])+(Txn[Key]=""),0),0)),"")</f>
        <v/>
      </c>
      <c r="B304" s="243" t="str">
        <f t="shared" si="36"/>
        <v/>
      </c>
      <c r="C304" s="243" t="str">
        <f t="shared" si="37"/>
        <v/>
      </c>
      <c r="D304" s="243" t="str">
        <f t="shared" si="38"/>
        <v/>
      </c>
      <c r="E304" s="265" t="str">
        <f>IF($A304="","",SUMIFS(Txn[Signed Units],Txn[Key],$A304))</f>
        <v/>
      </c>
      <c r="F304" s="287" t="str">
        <f>IF($A304="","",SUMIFS(Txn[Buy Cost],Txn[Key],$A304))</f>
        <v/>
      </c>
      <c r="G304" s="287" t="str">
        <f>IF($A304="","",SUMIFS(Txn[Sell Proceeds],Txn[Key],$A304))</f>
        <v/>
      </c>
      <c r="H304" s="288" t="str">
        <f>IF($A304="","",IFERROR(INDEX(Prices[Current Price],MATCH($A304,Prices[Key],0)),0))</f>
        <v/>
      </c>
      <c r="I304" s="289" t="str">
        <f>IF($A304="","",IFERROR(INDEX(Prices[FX to SGD],MATCH($A304,Prices[Key],0)),1))</f>
        <v/>
      </c>
      <c r="J304" s="287" t="str">
        <f t="shared" si="39"/>
        <v/>
      </c>
      <c r="K304" s="287" t="str">
        <f t="shared" si="40"/>
        <v/>
      </c>
      <c r="L304" s="287" t="str">
        <f t="shared" si="41"/>
        <v/>
      </c>
      <c r="M304" s="290" t="str">
        <f t="shared" si="42"/>
        <v/>
      </c>
      <c r="N304" s="243" t="str">
        <f>IF($A304="","",IF(ABS(E304)&gt;0.000001,COUNT($N$1:N303)+1,""))</f>
        <v/>
      </c>
      <c r="O304" s="291" t="str">
        <f>IF($A304="","",SUMIFS(Transactions!$H$2:$H$1001,Transactions!$J$2:$J$1001,$A304,Transactions!$A$2:$A$1001,2)*$I304)</f>
        <v/>
      </c>
      <c r="P304" s="291" t="str">
        <f t="shared" si="43"/>
        <v/>
      </c>
      <c r="Q304" s="292" t="str">
        <f t="shared" si="44"/>
        <v/>
      </c>
    </row>
    <row r="305" spans="1:17" ht="15" customHeight="1" x14ac:dyDescent="0.2">
      <c r="A305" s="243" t="str">
        <f>IFERROR(INDEX(Txn[Key],MATCH(0,INDEX(COUNTIF($A$1:A304,Txn[Key])+(Txn[Key]=""),0),0)),"")</f>
        <v/>
      </c>
      <c r="B305" s="243" t="str">
        <f t="shared" si="36"/>
        <v/>
      </c>
      <c r="C305" s="243" t="str">
        <f t="shared" si="37"/>
        <v/>
      </c>
      <c r="D305" s="243" t="str">
        <f t="shared" si="38"/>
        <v/>
      </c>
      <c r="E305" s="265" t="str">
        <f>IF($A305="","",SUMIFS(Txn[Signed Units],Txn[Key],$A305))</f>
        <v/>
      </c>
      <c r="F305" s="287" t="str">
        <f>IF($A305="","",SUMIFS(Txn[Buy Cost],Txn[Key],$A305))</f>
        <v/>
      </c>
      <c r="G305" s="287" t="str">
        <f>IF($A305="","",SUMIFS(Txn[Sell Proceeds],Txn[Key],$A305))</f>
        <v/>
      </c>
      <c r="H305" s="288" t="str">
        <f>IF($A305="","",IFERROR(INDEX(Prices[Current Price],MATCH($A305,Prices[Key],0)),0))</f>
        <v/>
      </c>
      <c r="I305" s="289" t="str">
        <f>IF($A305="","",IFERROR(INDEX(Prices[FX to SGD],MATCH($A305,Prices[Key],0)),1))</f>
        <v/>
      </c>
      <c r="J305" s="287" t="str">
        <f t="shared" si="39"/>
        <v/>
      </c>
      <c r="K305" s="287" t="str">
        <f t="shared" si="40"/>
        <v/>
      </c>
      <c r="L305" s="287" t="str">
        <f t="shared" si="41"/>
        <v/>
      </c>
      <c r="M305" s="290" t="str">
        <f t="shared" si="42"/>
        <v/>
      </c>
      <c r="N305" s="243" t="str">
        <f>IF($A305="","",IF(ABS(E305)&gt;0.000001,COUNT($N$1:N304)+1,""))</f>
        <v/>
      </c>
      <c r="O305" s="291" t="str">
        <f>IF($A305="","",SUMIFS(Transactions!$H$2:$H$1001,Transactions!$J$2:$J$1001,$A305,Transactions!$A$2:$A$1001,2)*$I305)</f>
        <v/>
      </c>
      <c r="P305" s="291" t="str">
        <f t="shared" si="43"/>
        <v/>
      </c>
      <c r="Q305" s="292" t="str">
        <f t="shared" si="44"/>
        <v/>
      </c>
    </row>
    <row r="306" spans="1:17" ht="15" customHeight="1" x14ac:dyDescent="0.2">
      <c r="A306" s="243" t="str">
        <f>IFERROR(INDEX(Txn[Key],MATCH(0,INDEX(COUNTIF($A$1:A305,Txn[Key])+(Txn[Key]=""),0),0)),"")</f>
        <v/>
      </c>
      <c r="B306" s="243" t="str">
        <f t="shared" si="36"/>
        <v/>
      </c>
      <c r="C306" s="243" t="str">
        <f t="shared" si="37"/>
        <v/>
      </c>
      <c r="D306" s="243" t="str">
        <f t="shared" si="38"/>
        <v/>
      </c>
      <c r="E306" s="265" t="str">
        <f>IF($A306="","",SUMIFS(Txn[Signed Units],Txn[Key],$A306))</f>
        <v/>
      </c>
      <c r="F306" s="287" t="str">
        <f>IF($A306="","",SUMIFS(Txn[Buy Cost],Txn[Key],$A306))</f>
        <v/>
      </c>
      <c r="G306" s="287" t="str">
        <f>IF($A306="","",SUMIFS(Txn[Sell Proceeds],Txn[Key],$A306))</f>
        <v/>
      </c>
      <c r="H306" s="288" t="str">
        <f>IF($A306="","",IFERROR(INDEX(Prices[Current Price],MATCH($A306,Prices[Key],0)),0))</f>
        <v/>
      </c>
      <c r="I306" s="289" t="str">
        <f>IF($A306="","",IFERROR(INDEX(Prices[FX to SGD],MATCH($A306,Prices[Key],0)),1))</f>
        <v/>
      </c>
      <c r="J306" s="287" t="str">
        <f t="shared" si="39"/>
        <v/>
      </c>
      <c r="K306" s="287" t="str">
        <f t="shared" si="40"/>
        <v/>
      </c>
      <c r="L306" s="287" t="str">
        <f t="shared" si="41"/>
        <v/>
      </c>
      <c r="M306" s="290" t="str">
        <f t="shared" si="42"/>
        <v/>
      </c>
      <c r="N306" s="243" t="str">
        <f>IF($A306="","",IF(ABS(E306)&gt;0.000001,COUNT($N$1:N305)+1,""))</f>
        <v/>
      </c>
      <c r="O306" s="291" t="str">
        <f>IF($A306="","",SUMIFS(Transactions!$H$2:$H$1001,Transactions!$J$2:$J$1001,$A306,Transactions!$A$2:$A$1001,2)*$I306)</f>
        <v/>
      </c>
      <c r="P306" s="291" t="str">
        <f t="shared" si="43"/>
        <v/>
      </c>
      <c r="Q306" s="292" t="str">
        <f t="shared" si="44"/>
        <v/>
      </c>
    </row>
    <row r="307" spans="1:17" ht="15" customHeight="1" x14ac:dyDescent="0.2">
      <c r="A307" s="243" t="str">
        <f>IFERROR(INDEX(Txn[Key],MATCH(0,INDEX(COUNTIF($A$1:A306,Txn[Key])+(Txn[Key]=""),0),0)),"")</f>
        <v/>
      </c>
      <c r="B307" s="243" t="str">
        <f t="shared" si="36"/>
        <v/>
      </c>
      <c r="C307" s="243" t="str">
        <f t="shared" si="37"/>
        <v/>
      </c>
      <c r="D307" s="243" t="str">
        <f t="shared" si="38"/>
        <v/>
      </c>
      <c r="E307" s="265" t="str">
        <f>IF($A307="","",SUMIFS(Txn[Signed Units],Txn[Key],$A307))</f>
        <v/>
      </c>
      <c r="F307" s="287" t="str">
        <f>IF($A307="","",SUMIFS(Txn[Buy Cost],Txn[Key],$A307))</f>
        <v/>
      </c>
      <c r="G307" s="287" t="str">
        <f>IF($A307="","",SUMIFS(Txn[Sell Proceeds],Txn[Key],$A307))</f>
        <v/>
      </c>
      <c r="H307" s="288" t="str">
        <f>IF($A307="","",IFERROR(INDEX(Prices[Current Price],MATCH($A307,Prices[Key],0)),0))</f>
        <v/>
      </c>
      <c r="I307" s="289" t="str">
        <f>IF($A307="","",IFERROR(INDEX(Prices[FX to SGD],MATCH($A307,Prices[Key],0)),1))</f>
        <v/>
      </c>
      <c r="J307" s="287" t="str">
        <f t="shared" si="39"/>
        <v/>
      </c>
      <c r="K307" s="287" t="str">
        <f t="shared" si="40"/>
        <v/>
      </c>
      <c r="L307" s="287" t="str">
        <f t="shared" si="41"/>
        <v/>
      </c>
      <c r="M307" s="290" t="str">
        <f t="shared" si="42"/>
        <v/>
      </c>
      <c r="N307" s="243" t="str">
        <f>IF($A307="","",IF(ABS(E307)&gt;0.000001,COUNT($N$1:N306)+1,""))</f>
        <v/>
      </c>
      <c r="O307" s="291" t="str">
        <f>IF($A307="","",SUMIFS(Transactions!$H$2:$H$1001,Transactions!$J$2:$J$1001,$A307,Transactions!$A$2:$A$1001,2)*$I307)</f>
        <v/>
      </c>
      <c r="P307" s="291" t="str">
        <f t="shared" si="43"/>
        <v/>
      </c>
      <c r="Q307" s="292" t="str">
        <f t="shared" si="44"/>
        <v/>
      </c>
    </row>
    <row r="308" spans="1:17" ht="15" customHeight="1" x14ac:dyDescent="0.2">
      <c r="A308" s="243" t="str">
        <f>IFERROR(INDEX(Txn[Key],MATCH(0,INDEX(COUNTIF($A$1:A307,Txn[Key])+(Txn[Key]=""),0),0)),"")</f>
        <v/>
      </c>
      <c r="B308" s="243" t="str">
        <f t="shared" si="36"/>
        <v/>
      </c>
      <c r="C308" s="243" t="str">
        <f t="shared" si="37"/>
        <v/>
      </c>
      <c r="D308" s="243" t="str">
        <f t="shared" si="38"/>
        <v/>
      </c>
      <c r="E308" s="265" t="str">
        <f>IF($A308="","",SUMIFS(Txn[Signed Units],Txn[Key],$A308))</f>
        <v/>
      </c>
      <c r="F308" s="287" t="str">
        <f>IF($A308="","",SUMIFS(Txn[Buy Cost],Txn[Key],$A308))</f>
        <v/>
      </c>
      <c r="G308" s="287" t="str">
        <f>IF($A308="","",SUMIFS(Txn[Sell Proceeds],Txn[Key],$A308))</f>
        <v/>
      </c>
      <c r="H308" s="288" t="str">
        <f>IF($A308="","",IFERROR(INDEX(Prices[Current Price],MATCH($A308,Prices[Key],0)),0))</f>
        <v/>
      </c>
      <c r="I308" s="289" t="str">
        <f>IF($A308="","",IFERROR(INDEX(Prices[FX to SGD],MATCH($A308,Prices[Key],0)),1))</f>
        <v/>
      </c>
      <c r="J308" s="287" t="str">
        <f t="shared" si="39"/>
        <v/>
      </c>
      <c r="K308" s="287" t="str">
        <f t="shared" si="40"/>
        <v/>
      </c>
      <c r="L308" s="287" t="str">
        <f t="shared" si="41"/>
        <v/>
      </c>
      <c r="M308" s="290" t="str">
        <f t="shared" si="42"/>
        <v/>
      </c>
      <c r="N308" s="243" t="str">
        <f>IF($A308="","",IF(ABS(E308)&gt;0.000001,COUNT($N$1:N307)+1,""))</f>
        <v/>
      </c>
      <c r="O308" s="291" t="str">
        <f>IF($A308="","",SUMIFS(Transactions!$H$2:$H$1001,Transactions!$J$2:$J$1001,$A308,Transactions!$A$2:$A$1001,2)*$I308)</f>
        <v/>
      </c>
      <c r="P308" s="291" t="str">
        <f t="shared" si="43"/>
        <v/>
      </c>
      <c r="Q308" s="292" t="str">
        <f t="shared" si="44"/>
        <v/>
      </c>
    </row>
    <row r="309" spans="1:17" ht="15" customHeight="1" x14ac:dyDescent="0.2">
      <c r="A309" s="243" t="str">
        <f>IFERROR(INDEX(Txn[Key],MATCH(0,INDEX(COUNTIF($A$1:A308,Txn[Key])+(Txn[Key]=""),0),0)),"")</f>
        <v/>
      </c>
      <c r="B309" s="243" t="str">
        <f t="shared" si="36"/>
        <v/>
      </c>
      <c r="C309" s="243" t="str">
        <f t="shared" si="37"/>
        <v/>
      </c>
      <c r="D309" s="243" t="str">
        <f t="shared" si="38"/>
        <v/>
      </c>
      <c r="E309" s="265" t="str">
        <f>IF($A309="","",SUMIFS(Txn[Signed Units],Txn[Key],$A309))</f>
        <v/>
      </c>
      <c r="F309" s="287" t="str">
        <f>IF($A309="","",SUMIFS(Txn[Buy Cost],Txn[Key],$A309))</f>
        <v/>
      </c>
      <c r="G309" s="287" t="str">
        <f>IF($A309="","",SUMIFS(Txn[Sell Proceeds],Txn[Key],$A309))</f>
        <v/>
      </c>
      <c r="H309" s="288" t="str">
        <f>IF($A309="","",IFERROR(INDEX(Prices[Current Price],MATCH($A309,Prices[Key],0)),0))</f>
        <v/>
      </c>
      <c r="I309" s="289" t="str">
        <f>IF($A309="","",IFERROR(INDEX(Prices[FX to SGD],MATCH($A309,Prices[Key],0)),1))</f>
        <v/>
      </c>
      <c r="J309" s="287" t="str">
        <f t="shared" si="39"/>
        <v/>
      </c>
      <c r="K309" s="287" t="str">
        <f t="shared" si="40"/>
        <v/>
      </c>
      <c r="L309" s="287" t="str">
        <f t="shared" si="41"/>
        <v/>
      </c>
      <c r="M309" s="290" t="str">
        <f t="shared" si="42"/>
        <v/>
      </c>
      <c r="N309" s="243" t="str">
        <f>IF($A309="","",IF(ABS(E309)&gt;0.000001,COUNT($N$1:N308)+1,""))</f>
        <v/>
      </c>
      <c r="O309" s="291" t="str">
        <f>IF($A309="","",SUMIFS(Transactions!$H$2:$H$1001,Transactions!$J$2:$J$1001,$A309,Transactions!$A$2:$A$1001,2)*$I309)</f>
        <v/>
      </c>
      <c r="P309" s="291" t="str">
        <f t="shared" si="43"/>
        <v/>
      </c>
      <c r="Q309" s="292" t="str">
        <f t="shared" si="44"/>
        <v/>
      </c>
    </row>
    <row r="310" spans="1:17" ht="15" customHeight="1" x14ac:dyDescent="0.2">
      <c r="A310" s="243" t="str">
        <f>IFERROR(INDEX(Txn[Key],MATCH(0,INDEX(COUNTIF($A$1:A309,Txn[Key])+(Txn[Key]=""),0),0)),"")</f>
        <v/>
      </c>
      <c r="B310" s="243" t="str">
        <f t="shared" si="36"/>
        <v/>
      </c>
      <c r="C310" s="243" t="str">
        <f t="shared" si="37"/>
        <v/>
      </c>
      <c r="D310" s="243" t="str">
        <f t="shared" si="38"/>
        <v/>
      </c>
      <c r="E310" s="265" t="str">
        <f>IF($A310="","",SUMIFS(Txn[Signed Units],Txn[Key],$A310))</f>
        <v/>
      </c>
      <c r="F310" s="287" t="str">
        <f>IF($A310="","",SUMIFS(Txn[Buy Cost],Txn[Key],$A310))</f>
        <v/>
      </c>
      <c r="G310" s="287" t="str">
        <f>IF($A310="","",SUMIFS(Txn[Sell Proceeds],Txn[Key],$A310))</f>
        <v/>
      </c>
      <c r="H310" s="288" t="str">
        <f>IF($A310="","",IFERROR(INDEX(Prices[Current Price],MATCH($A310,Prices[Key],0)),0))</f>
        <v/>
      </c>
      <c r="I310" s="289" t="str">
        <f>IF($A310="","",IFERROR(INDEX(Prices[FX to SGD],MATCH($A310,Prices[Key],0)),1))</f>
        <v/>
      </c>
      <c r="J310" s="287" t="str">
        <f t="shared" si="39"/>
        <v/>
      </c>
      <c r="K310" s="287" t="str">
        <f t="shared" si="40"/>
        <v/>
      </c>
      <c r="L310" s="287" t="str">
        <f t="shared" si="41"/>
        <v/>
      </c>
      <c r="M310" s="290" t="str">
        <f t="shared" si="42"/>
        <v/>
      </c>
      <c r="N310" s="243" t="str">
        <f>IF($A310="","",IF(ABS(E310)&gt;0.000001,COUNT($N$1:N309)+1,""))</f>
        <v/>
      </c>
      <c r="O310" s="291" t="str">
        <f>IF($A310="","",SUMIFS(Transactions!$H$2:$H$1001,Transactions!$J$2:$J$1001,$A310,Transactions!$A$2:$A$1001,2)*$I310)</f>
        <v/>
      </c>
      <c r="P310" s="291" t="str">
        <f t="shared" si="43"/>
        <v/>
      </c>
      <c r="Q310" s="292" t="str">
        <f t="shared" si="44"/>
        <v/>
      </c>
    </row>
    <row r="311" spans="1:17" ht="15" customHeight="1" x14ac:dyDescent="0.2">
      <c r="A311" s="243" t="str">
        <f>IFERROR(INDEX(Txn[Key],MATCH(0,INDEX(COUNTIF($A$1:A310,Txn[Key])+(Txn[Key]=""),0),0)),"")</f>
        <v/>
      </c>
      <c r="B311" s="243" t="str">
        <f t="shared" si="36"/>
        <v/>
      </c>
      <c r="C311" s="243" t="str">
        <f t="shared" si="37"/>
        <v/>
      </c>
      <c r="D311" s="243" t="str">
        <f t="shared" si="38"/>
        <v/>
      </c>
      <c r="E311" s="265" t="str">
        <f>IF($A311="","",SUMIFS(Txn[Signed Units],Txn[Key],$A311))</f>
        <v/>
      </c>
      <c r="F311" s="287" t="str">
        <f>IF($A311="","",SUMIFS(Txn[Buy Cost],Txn[Key],$A311))</f>
        <v/>
      </c>
      <c r="G311" s="287" t="str">
        <f>IF($A311="","",SUMIFS(Txn[Sell Proceeds],Txn[Key],$A311))</f>
        <v/>
      </c>
      <c r="H311" s="288" t="str">
        <f>IF($A311="","",IFERROR(INDEX(Prices[Current Price],MATCH($A311,Prices[Key],0)),0))</f>
        <v/>
      </c>
      <c r="I311" s="289" t="str">
        <f>IF($A311="","",IFERROR(INDEX(Prices[FX to SGD],MATCH($A311,Prices[Key],0)),1))</f>
        <v/>
      </c>
      <c r="J311" s="287" t="str">
        <f t="shared" si="39"/>
        <v/>
      </c>
      <c r="K311" s="287" t="str">
        <f t="shared" si="40"/>
        <v/>
      </c>
      <c r="L311" s="287" t="str">
        <f t="shared" si="41"/>
        <v/>
      </c>
      <c r="M311" s="290" t="str">
        <f t="shared" si="42"/>
        <v/>
      </c>
      <c r="N311" s="243" t="str">
        <f>IF($A311="","",IF(ABS(E311)&gt;0.000001,COUNT($N$1:N310)+1,""))</f>
        <v/>
      </c>
      <c r="O311" s="291" t="str">
        <f>IF($A311="","",SUMIFS(Transactions!$H$2:$H$1001,Transactions!$J$2:$J$1001,$A311,Transactions!$A$2:$A$1001,2)*$I311)</f>
        <v/>
      </c>
      <c r="P311" s="291" t="str">
        <f t="shared" si="43"/>
        <v/>
      </c>
      <c r="Q311" s="292" t="str">
        <f t="shared" si="44"/>
        <v/>
      </c>
    </row>
    <row r="312" spans="1:17" ht="15" customHeight="1" x14ac:dyDescent="0.2">
      <c r="A312" s="243" t="str">
        <f>IFERROR(INDEX(Txn[Key],MATCH(0,INDEX(COUNTIF($A$1:A311,Txn[Key])+(Txn[Key]=""),0),0)),"")</f>
        <v/>
      </c>
      <c r="B312" s="243" t="str">
        <f t="shared" si="36"/>
        <v/>
      </c>
      <c r="C312" s="243" t="str">
        <f t="shared" si="37"/>
        <v/>
      </c>
      <c r="D312" s="243" t="str">
        <f t="shared" si="38"/>
        <v/>
      </c>
      <c r="E312" s="265" t="str">
        <f>IF($A312="","",SUMIFS(Txn[Signed Units],Txn[Key],$A312))</f>
        <v/>
      </c>
      <c r="F312" s="287" t="str">
        <f>IF($A312="","",SUMIFS(Txn[Buy Cost],Txn[Key],$A312))</f>
        <v/>
      </c>
      <c r="G312" s="287" t="str">
        <f>IF($A312="","",SUMIFS(Txn[Sell Proceeds],Txn[Key],$A312))</f>
        <v/>
      </c>
      <c r="H312" s="288" t="str">
        <f>IF($A312="","",IFERROR(INDEX(Prices[Current Price],MATCH($A312,Prices[Key],0)),0))</f>
        <v/>
      </c>
      <c r="I312" s="289" t="str">
        <f>IF($A312="","",IFERROR(INDEX(Prices[FX to SGD],MATCH($A312,Prices[Key],0)),1))</f>
        <v/>
      </c>
      <c r="J312" s="287" t="str">
        <f t="shared" si="39"/>
        <v/>
      </c>
      <c r="K312" s="287" t="str">
        <f t="shared" si="40"/>
        <v/>
      </c>
      <c r="L312" s="287" t="str">
        <f t="shared" si="41"/>
        <v/>
      </c>
      <c r="M312" s="290" t="str">
        <f t="shared" si="42"/>
        <v/>
      </c>
      <c r="N312" s="243" t="str">
        <f>IF($A312="","",IF(ABS(E312)&gt;0.000001,COUNT($N$1:N311)+1,""))</f>
        <v/>
      </c>
      <c r="O312" s="291" t="str">
        <f>IF($A312="","",SUMIFS(Transactions!$H$2:$H$1001,Transactions!$J$2:$J$1001,$A312,Transactions!$A$2:$A$1001,2)*$I312)</f>
        <v/>
      </c>
      <c r="P312" s="291" t="str">
        <f t="shared" si="43"/>
        <v/>
      </c>
      <c r="Q312" s="292" t="str">
        <f t="shared" si="44"/>
        <v/>
      </c>
    </row>
    <row r="313" spans="1:17" ht="15" customHeight="1" x14ac:dyDescent="0.2">
      <c r="A313" s="243" t="str">
        <f>IFERROR(INDEX(Txn[Key],MATCH(0,INDEX(COUNTIF($A$1:A312,Txn[Key])+(Txn[Key]=""),0),0)),"")</f>
        <v/>
      </c>
      <c r="B313" s="243" t="str">
        <f t="shared" si="36"/>
        <v/>
      </c>
      <c r="C313" s="243" t="str">
        <f t="shared" si="37"/>
        <v/>
      </c>
      <c r="D313" s="243" t="str">
        <f t="shared" si="38"/>
        <v/>
      </c>
      <c r="E313" s="265" t="str">
        <f>IF($A313="","",SUMIFS(Txn[Signed Units],Txn[Key],$A313))</f>
        <v/>
      </c>
      <c r="F313" s="287" t="str">
        <f>IF($A313="","",SUMIFS(Txn[Buy Cost],Txn[Key],$A313))</f>
        <v/>
      </c>
      <c r="G313" s="287" t="str">
        <f>IF($A313="","",SUMIFS(Txn[Sell Proceeds],Txn[Key],$A313))</f>
        <v/>
      </c>
      <c r="H313" s="288" t="str">
        <f>IF($A313="","",IFERROR(INDEX(Prices[Current Price],MATCH($A313,Prices[Key],0)),0))</f>
        <v/>
      </c>
      <c r="I313" s="289" t="str">
        <f>IF($A313="","",IFERROR(INDEX(Prices[FX to SGD],MATCH($A313,Prices[Key],0)),1))</f>
        <v/>
      </c>
      <c r="J313" s="287" t="str">
        <f t="shared" si="39"/>
        <v/>
      </c>
      <c r="K313" s="287" t="str">
        <f t="shared" si="40"/>
        <v/>
      </c>
      <c r="L313" s="287" t="str">
        <f t="shared" si="41"/>
        <v/>
      </c>
      <c r="M313" s="290" t="str">
        <f t="shared" si="42"/>
        <v/>
      </c>
      <c r="N313" s="243" t="str">
        <f>IF($A313="","",IF(ABS(E313)&gt;0.000001,COUNT($N$1:N312)+1,""))</f>
        <v/>
      </c>
      <c r="O313" s="291" t="str">
        <f>IF($A313="","",SUMIFS(Transactions!$H$2:$H$1001,Transactions!$J$2:$J$1001,$A313,Transactions!$A$2:$A$1001,2)*$I313)</f>
        <v/>
      </c>
      <c r="P313" s="291" t="str">
        <f t="shared" si="43"/>
        <v/>
      </c>
      <c r="Q313" s="292" t="str">
        <f t="shared" si="44"/>
        <v/>
      </c>
    </row>
    <row r="314" spans="1:17" ht="15" customHeight="1" x14ac:dyDescent="0.2">
      <c r="A314" s="243" t="str">
        <f>IFERROR(INDEX(Txn[Key],MATCH(0,INDEX(COUNTIF($A$1:A313,Txn[Key])+(Txn[Key]=""),0),0)),"")</f>
        <v/>
      </c>
      <c r="B314" s="243" t="str">
        <f t="shared" si="36"/>
        <v/>
      </c>
      <c r="C314" s="243" t="str">
        <f t="shared" si="37"/>
        <v/>
      </c>
      <c r="D314" s="243" t="str">
        <f t="shared" si="38"/>
        <v/>
      </c>
      <c r="E314" s="265" t="str">
        <f>IF($A314="","",SUMIFS(Txn[Signed Units],Txn[Key],$A314))</f>
        <v/>
      </c>
      <c r="F314" s="287" t="str">
        <f>IF($A314="","",SUMIFS(Txn[Buy Cost],Txn[Key],$A314))</f>
        <v/>
      </c>
      <c r="G314" s="287" t="str">
        <f>IF($A314="","",SUMIFS(Txn[Sell Proceeds],Txn[Key],$A314))</f>
        <v/>
      </c>
      <c r="H314" s="288" t="str">
        <f>IF($A314="","",IFERROR(INDEX(Prices[Current Price],MATCH($A314,Prices[Key],0)),0))</f>
        <v/>
      </c>
      <c r="I314" s="289" t="str">
        <f>IF($A314="","",IFERROR(INDEX(Prices[FX to SGD],MATCH($A314,Prices[Key],0)),1))</f>
        <v/>
      </c>
      <c r="J314" s="287" t="str">
        <f t="shared" si="39"/>
        <v/>
      </c>
      <c r="K314" s="287" t="str">
        <f t="shared" si="40"/>
        <v/>
      </c>
      <c r="L314" s="287" t="str">
        <f t="shared" si="41"/>
        <v/>
      </c>
      <c r="M314" s="290" t="str">
        <f t="shared" si="42"/>
        <v/>
      </c>
      <c r="N314" s="243" t="str">
        <f>IF($A314="","",IF(ABS(E314)&gt;0.000001,COUNT($N$1:N313)+1,""))</f>
        <v/>
      </c>
      <c r="O314" s="291" t="str">
        <f>IF($A314="","",SUMIFS(Transactions!$H$2:$H$1001,Transactions!$J$2:$J$1001,$A314,Transactions!$A$2:$A$1001,2)*$I314)</f>
        <v/>
      </c>
      <c r="P314" s="291" t="str">
        <f t="shared" si="43"/>
        <v/>
      </c>
      <c r="Q314" s="292" t="str">
        <f t="shared" si="44"/>
        <v/>
      </c>
    </row>
    <row r="315" spans="1:17" ht="15" customHeight="1" x14ac:dyDescent="0.2">
      <c r="A315" s="243" t="str">
        <f>IFERROR(INDEX(Txn[Key],MATCH(0,INDEX(COUNTIF($A$1:A314,Txn[Key])+(Txn[Key]=""),0),0)),"")</f>
        <v/>
      </c>
      <c r="B315" s="243" t="str">
        <f t="shared" si="36"/>
        <v/>
      </c>
      <c r="C315" s="243" t="str">
        <f t="shared" si="37"/>
        <v/>
      </c>
      <c r="D315" s="243" t="str">
        <f t="shared" si="38"/>
        <v/>
      </c>
      <c r="E315" s="265" t="str">
        <f>IF($A315="","",SUMIFS(Txn[Signed Units],Txn[Key],$A315))</f>
        <v/>
      </c>
      <c r="F315" s="287" t="str">
        <f>IF($A315="","",SUMIFS(Txn[Buy Cost],Txn[Key],$A315))</f>
        <v/>
      </c>
      <c r="G315" s="287" t="str">
        <f>IF($A315="","",SUMIFS(Txn[Sell Proceeds],Txn[Key],$A315))</f>
        <v/>
      </c>
      <c r="H315" s="288" t="str">
        <f>IF($A315="","",IFERROR(INDEX(Prices[Current Price],MATCH($A315,Prices[Key],0)),0))</f>
        <v/>
      </c>
      <c r="I315" s="289" t="str">
        <f>IF($A315="","",IFERROR(INDEX(Prices[FX to SGD],MATCH($A315,Prices[Key],0)),1))</f>
        <v/>
      </c>
      <c r="J315" s="287" t="str">
        <f t="shared" si="39"/>
        <v/>
      </c>
      <c r="K315" s="287" t="str">
        <f t="shared" si="40"/>
        <v/>
      </c>
      <c r="L315" s="287" t="str">
        <f t="shared" si="41"/>
        <v/>
      </c>
      <c r="M315" s="290" t="str">
        <f t="shared" si="42"/>
        <v/>
      </c>
      <c r="N315" s="243" t="str">
        <f>IF($A315="","",IF(ABS(E315)&gt;0.000001,COUNT($N$1:N314)+1,""))</f>
        <v/>
      </c>
      <c r="O315" s="291" t="str">
        <f>IF($A315="","",SUMIFS(Transactions!$H$2:$H$1001,Transactions!$J$2:$J$1001,$A315,Transactions!$A$2:$A$1001,2)*$I315)</f>
        <v/>
      </c>
      <c r="P315" s="291" t="str">
        <f t="shared" si="43"/>
        <v/>
      </c>
      <c r="Q315" s="292" t="str">
        <f t="shared" si="44"/>
        <v/>
      </c>
    </row>
    <row r="316" spans="1:17" ht="15" customHeight="1" x14ac:dyDescent="0.2">
      <c r="A316" s="243" t="str">
        <f>IFERROR(INDEX(Txn[Key],MATCH(0,INDEX(COUNTIF($A$1:A315,Txn[Key])+(Txn[Key]=""),0),0)),"")</f>
        <v/>
      </c>
      <c r="B316" s="243" t="str">
        <f t="shared" si="36"/>
        <v/>
      </c>
      <c r="C316" s="243" t="str">
        <f t="shared" si="37"/>
        <v/>
      </c>
      <c r="D316" s="243" t="str">
        <f t="shared" si="38"/>
        <v/>
      </c>
      <c r="E316" s="265" t="str">
        <f>IF($A316="","",SUMIFS(Txn[Signed Units],Txn[Key],$A316))</f>
        <v/>
      </c>
      <c r="F316" s="287" t="str">
        <f>IF($A316="","",SUMIFS(Txn[Buy Cost],Txn[Key],$A316))</f>
        <v/>
      </c>
      <c r="G316" s="287" t="str">
        <f>IF($A316="","",SUMIFS(Txn[Sell Proceeds],Txn[Key],$A316))</f>
        <v/>
      </c>
      <c r="H316" s="288" t="str">
        <f>IF($A316="","",IFERROR(INDEX(Prices[Current Price],MATCH($A316,Prices[Key],0)),0))</f>
        <v/>
      </c>
      <c r="I316" s="289" t="str">
        <f>IF($A316="","",IFERROR(INDEX(Prices[FX to SGD],MATCH($A316,Prices[Key],0)),1))</f>
        <v/>
      </c>
      <c r="J316" s="287" t="str">
        <f t="shared" si="39"/>
        <v/>
      </c>
      <c r="K316" s="287" t="str">
        <f t="shared" si="40"/>
        <v/>
      </c>
      <c r="L316" s="287" t="str">
        <f t="shared" si="41"/>
        <v/>
      </c>
      <c r="M316" s="290" t="str">
        <f t="shared" si="42"/>
        <v/>
      </c>
      <c r="N316" s="243" t="str">
        <f>IF($A316="","",IF(ABS(E316)&gt;0.000001,COUNT($N$1:N315)+1,""))</f>
        <v/>
      </c>
      <c r="O316" s="291" t="str">
        <f>IF($A316="","",SUMIFS(Transactions!$H$2:$H$1001,Transactions!$J$2:$J$1001,$A316,Transactions!$A$2:$A$1001,2)*$I316)</f>
        <v/>
      </c>
      <c r="P316" s="291" t="str">
        <f t="shared" si="43"/>
        <v/>
      </c>
      <c r="Q316" s="292" t="str">
        <f t="shared" si="44"/>
        <v/>
      </c>
    </row>
    <row r="317" spans="1:17" ht="15" customHeight="1" x14ac:dyDescent="0.2">
      <c r="A317" s="243" t="str">
        <f>IFERROR(INDEX(Txn[Key],MATCH(0,INDEX(COUNTIF($A$1:A316,Txn[Key])+(Txn[Key]=""),0),0)),"")</f>
        <v/>
      </c>
      <c r="B317" s="243" t="str">
        <f t="shared" si="36"/>
        <v/>
      </c>
      <c r="C317" s="243" t="str">
        <f t="shared" si="37"/>
        <v/>
      </c>
      <c r="D317" s="243" t="str">
        <f t="shared" si="38"/>
        <v/>
      </c>
      <c r="E317" s="265" t="str">
        <f>IF($A317="","",SUMIFS(Txn[Signed Units],Txn[Key],$A317))</f>
        <v/>
      </c>
      <c r="F317" s="287" t="str">
        <f>IF($A317="","",SUMIFS(Txn[Buy Cost],Txn[Key],$A317))</f>
        <v/>
      </c>
      <c r="G317" s="287" t="str">
        <f>IF($A317="","",SUMIFS(Txn[Sell Proceeds],Txn[Key],$A317))</f>
        <v/>
      </c>
      <c r="H317" s="288" t="str">
        <f>IF($A317="","",IFERROR(INDEX(Prices[Current Price],MATCH($A317,Prices[Key],0)),0))</f>
        <v/>
      </c>
      <c r="I317" s="289" t="str">
        <f>IF($A317="","",IFERROR(INDEX(Prices[FX to SGD],MATCH($A317,Prices[Key],0)),1))</f>
        <v/>
      </c>
      <c r="J317" s="287" t="str">
        <f t="shared" si="39"/>
        <v/>
      </c>
      <c r="K317" s="287" t="str">
        <f t="shared" si="40"/>
        <v/>
      </c>
      <c r="L317" s="287" t="str">
        <f t="shared" si="41"/>
        <v/>
      </c>
      <c r="M317" s="290" t="str">
        <f t="shared" si="42"/>
        <v/>
      </c>
      <c r="N317" s="243" t="str">
        <f>IF($A317="","",IF(ABS(E317)&gt;0.000001,COUNT($N$1:N316)+1,""))</f>
        <v/>
      </c>
      <c r="O317" s="291" t="str">
        <f>IF($A317="","",SUMIFS(Transactions!$H$2:$H$1001,Transactions!$J$2:$J$1001,$A317,Transactions!$A$2:$A$1001,2)*$I317)</f>
        <v/>
      </c>
      <c r="P317" s="291" t="str">
        <f t="shared" si="43"/>
        <v/>
      </c>
      <c r="Q317" s="292" t="str">
        <f t="shared" si="44"/>
        <v/>
      </c>
    </row>
    <row r="318" spans="1:17" ht="15" customHeight="1" x14ac:dyDescent="0.2">
      <c r="A318" s="243" t="str">
        <f>IFERROR(INDEX(Txn[Key],MATCH(0,INDEX(COUNTIF($A$1:A317,Txn[Key])+(Txn[Key]=""),0),0)),"")</f>
        <v/>
      </c>
      <c r="B318" s="243" t="str">
        <f t="shared" si="36"/>
        <v/>
      </c>
      <c r="C318" s="243" t="str">
        <f t="shared" si="37"/>
        <v/>
      </c>
      <c r="D318" s="243" t="str">
        <f t="shared" si="38"/>
        <v/>
      </c>
      <c r="E318" s="265" t="str">
        <f>IF($A318="","",SUMIFS(Txn[Signed Units],Txn[Key],$A318))</f>
        <v/>
      </c>
      <c r="F318" s="287" t="str">
        <f>IF($A318="","",SUMIFS(Txn[Buy Cost],Txn[Key],$A318))</f>
        <v/>
      </c>
      <c r="G318" s="287" t="str">
        <f>IF($A318="","",SUMIFS(Txn[Sell Proceeds],Txn[Key],$A318))</f>
        <v/>
      </c>
      <c r="H318" s="288" t="str">
        <f>IF($A318="","",IFERROR(INDEX(Prices[Current Price],MATCH($A318,Prices[Key],0)),0))</f>
        <v/>
      </c>
      <c r="I318" s="289" t="str">
        <f>IF($A318="","",IFERROR(INDEX(Prices[FX to SGD],MATCH($A318,Prices[Key],0)),1))</f>
        <v/>
      </c>
      <c r="J318" s="287" t="str">
        <f t="shared" si="39"/>
        <v/>
      </c>
      <c r="K318" s="287" t="str">
        <f t="shared" si="40"/>
        <v/>
      </c>
      <c r="L318" s="287" t="str">
        <f t="shared" si="41"/>
        <v/>
      </c>
      <c r="M318" s="290" t="str">
        <f t="shared" si="42"/>
        <v/>
      </c>
      <c r="N318" s="243" t="str">
        <f>IF($A318="","",IF(ABS(E318)&gt;0.000001,COUNT($N$1:N317)+1,""))</f>
        <v/>
      </c>
      <c r="O318" s="291" t="str">
        <f>IF($A318="","",SUMIFS(Transactions!$H$2:$H$1001,Transactions!$J$2:$J$1001,$A318,Transactions!$A$2:$A$1001,2)*$I318)</f>
        <v/>
      </c>
      <c r="P318" s="291" t="str">
        <f t="shared" si="43"/>
        <v/>
      </c>
      <c r="Q318" s="292" t="str">
        <f t="shared" si="44"/>
        <v/>
      </c>
    </row>
    <row r="319" spans="1:17" ht="15" customHeight="1" x14ac:dyDescent="0.2">
      <c r="A319" s="243" t="str">
        <f>IFERROR(INDEX(Txn[Key],MATCH(0,INDEX(COUNTIF($A$1:A318,Txn[Key])+(Txn[Key]=""),0),0)),"")</f>
        <v/>
      </c>
      <c r="B319" s="243" t="str">
        <f t="shared" si="36"/>
        <v/>
      </c>
      <c r="C319" s="243" t="str">
        <f t="shared" si="37"/>
        <v/>
      </c>
      <c r="D319" s="243" t="str">
        <f t="shared" si="38"/>
        <v/>
      </c>
      <c r="E319" s="265" t="str">
        <f>IF($A319="","",SUMIFS(Txn[Signed Units],Txn[Key],$A319))</f>
        <v/>
      </c>
      <c r="F319" s="287" t="str">
        <f>IF($A319="","",SUMIFS(Txn[Buy Cost],Txn[Key],$A319))</f>
        <v/>
      </c>
      <c r="G319" s="287" t="str">
        <f>IF($A319="","",SUMIFS(Txn[Sell Proceeds],Txn[Key],$A319))</f>
        <v/>
      </c>
      <c r="H319" s="288" t="str">
        <f>IF($A319="","",IFERROR(INDEX(Prices[Current Price],MATCH($A319,Prices[Key],0)),0))</f>
        <v/>
      </c>
      <c r="I319" s="289" t="str">
        <f>IF($A319="","",IFERROR(INDEX(Prices[FX to SGD],MATCH($A319,Prices[Key],0)),1))</f>
        <v/>
      </c>
      <c r="J319" s="287" t="str">
        <f t="shared" si="39"/>
        <v/>
      </c>
      <c r="K319" s="287" t="str">
        <f t="shared" si="40"/>
        <v/>
      </c>
      <c r="L319" s="287" t="str">
        <f t="shared" si="41"/>
        <v/>
      </c>
      <c r="M319" s="290" t="str">
        <f t="shared" si="42"/>
        <v/>
      </c>
      <c r="N319" s="243" t="str">
        <f>IF($A319="","",IF(ABS(E319)&gt;0.000001,COUNT($N$1:N318)+1,""))</f>
        <v/>
      </c>
      <c r="O319" s="291" t="str">
        <f>IF($A319="","",SUMIFS(Transactions!$H$2:$H$1001,Transactions!$J$2:$J$1001,$A319,Transactions!$A$2:$A$1001,2)*$I319)</f>
        <v/>
      </c>
      <c r="P319" s="291" t="str">
        <f t="shared" si="43"/>
        <v/>
      </c>
      <c r="Q319" s="292" t="str">
        <f t="shared" si="44"/>
        <v/>
      </c>
    </row>
    <row r="320" spans="1:17" ht="15" customHeight="1" x14ac:dyDescent="0.2">
      <c r="A320" s="243" t="str">
        <f>IFERROR(INDEX(Txn[Key],MATCH(0,INDEX(COUNTIF($A$1:A319,Txn[Key])+(Txn[Key]=""),0),0)),"")</f>
        <v/>
      </c>
      <c r="B320" s="243" t="str">
        <f t="shared" si="36"/>
        <v/>
      </c>
      <c r="C320" s="243" t="str">
        <f t="shared" si="37"/>
        <v/>
      </c>
      <c r="D320" s="243" t="str">
        <f t="shared" si="38"/>
        <v/>
      </c>
      <c r="E320" s="265" t="str">
        <f>IF($A320="","",SUMIFS(Txn[Signed Units],Txn[Key],$A320))</f>
        <v/>
      </c>
      <c r="F320" s="287" t="str">
        <f>IF($A320="","",SUMIFS(Txn[Buy Cost],Txn[Key],$A320))</f>
        <v/>
      </c>
      <c r="G320" s="287" t="str">
        <f>IF($A320="","",SUMIFS(Txn[Sell Proceeds],Txn[Key],$A320))</f>
        <v/>
      </c>
      <c r="H320" s="288" t="str">
        <f>IF($A320="","",IFERROR(INDEX(Prices[Current Price],MATCH($A320,Prices[Key],0)),0))</f>
        <v/>
      </c>
      <c r="I320" s="289" t="str">
        <f>IF($A320="","",IFERROR(INDEX(Prices[FX to SGD],MATCH($A320,Prices[Key],0)),1))</f>
        <v/>
      </c>
      <c r="J320" s="287" t="str">
        <f t="shared" si="39"/>
        <v/>
      </c>
      <c r="K320" s="287" t="str">
        <f t="shared" si="40"/>
        <v/>
      </c>
      <c r="L320" s="287" t="str">
        <f t="shared" si="41"/>
        <v/>
      </c>
      <c r="M320" s="290" t="str">
        <f t="shared" si="42"/>
        <v/>
      </c>
      <c r="N320" s="243" t="str">
        <f>IF($A320="","",IF(ABS(E320)&gt;0.000001,COUNT($N$1:N319)+1,""))</f>
        <v/>
      </c>
      <c r="O320" s="291" t="str">
        <f>IF($A320="","",SUMIFS(Transactions!$H$2:$H$1001,Transactions!$J$2:$J$1001,$A320,Transactions!$A$2:$A$1001,2)*$I320)</f>
        <v/>
      </c>
      <c r="P320" s="291" t="str">
        <f t="shared" si="43"/>
        <v/>
      </c>
      <c r="Q320" s="292" t="str">
        <f t="shared" si="44"/>
        <v/>
      </c>
    </row>
    <row r="321" spans="1:17" ht="15" customHeight="1" x14ac:dyDescent="0.2">
      <c r="A321" s="243" t="str">
        <f>IFERROR(INDEX(Txn[Key],MATCH(0,INDEX(COUNTIF($A$1:A320,Txn[Key])+(Txn[Key]=""),0),0)),"")</f>
        <v/>
      </c>
      <c r="B321" s="243" t="str">
        <f t="shared" si="36"/>
        <v/>
      </c>
      <c r="C321" s="243" t="str">
        <f t="shared" si="37"/>
        <v/>
      </c>
      <c r="D321" s="243" t="str">
        <f t="shared" si="38"/>
        <v/>
      </c>
      <c r="E321" s="265" t="str">
        <f>IF($A321="","",SUMIFS(Txn[Signed Units],Txn[Key],$A321))</f>
        <v/>
      </c>
      <c r="F321" s="287" t="str">
        <f>IF($A321="","",SUMIFS(Txn[Buy Cost],Txn[Key],$A321))</f>
        <v/>
      </c>
      <c r="G321" s="287" t="str">
        <f>IF($A321="","",SUMIFS(Txn[Sell Proceeds],Txn[Key],$A321))</f>
        <v/>
      </c>
      <c r="H321" s="288" t="str">
        <f>IF($A321="","",IFERROR(INDEX(Prices[Current Price],MATCH($A321,Prices[Key],0)),0))</f>
        <v/>
      </c>
      <c r="I321" s="289" t="str">
        <f>IF($A321="","",IFERROR(INDEX(Prices[FX to SGD],MATCH($A321,Prices[Key],0)),1))</f>
        <v/>
      </c>
      <c r="J321" s="287" t="str">
        <f t="shared" si="39"/>
        <v/>
      </c>
      <c r="K321" s="287" t="str">
        <f t="shared" si="40"/>
        <v/>
      </c>
      <c r="L321" s="287" t="str">
        <f t="shared" si="41"/>
        <v/>
      </c>
      <c r="M321" s="290" t="str">
        <f t="shared" si="42"/>
        <v/>
      </c>
      <c r="N321" s="243" t="str">
        <f>IF($A321="","",IF(ABS(E321)&gt;0.000001,COUNT($N$1:N320)+1,""))</f>
        <v/>
      </c>
      <c r="O321" s="291" t="str">
        <f>IF($A321="","",SUMIFS(Transactions!$H$2:$H$1001,Transactions!$J$2:$J$1001,$A321,Transactions!$A$2:$A$1001,2)*$I321)</f>
        <v/>
      </c>
      <c r="P321" s="291" t="str">
        <f t="shared" si="43"/>
        <v/>
      </c>
      <c r="Q321" s="292" t="str">
        <f t="shared" si="44"/>
        <v/>
      </c>
    </row>
    <row r="322" spans="1:17" ht="15" customHeight="1" x14ac:dyDescent="0.2">
      <c r="A322" s="243" t="str">
        <f>IFERROR(INDEX(Txn[Key],MATCH(0,INDEX(COUNTIF($A$1:A321,Txn[Key])+(Txn[Key]=""),0),0)),"")</f>
        <v/>
      </c>
      <c r="B322" s="243" t="str">
        <f t="shared" ref="B322:B385" si="45">IF($A322="","",LEFT($A322,FIND(":",$A322)-1))</f>
        <v/>
      </c>
      <c r="C322" s="243" t="str">
        <f t="shared" ref="C322:C385" si="46">IF($A322="","",MID($A322,FIND(":",$A322)+1,FIND(":",$A322,FIND(":",$A322)+1)-FIND(":",$A322)-1))</f>
        <v/>
      </c>
      <c r="D322" s="243" t="str">
        <f t="shared" ref="D322:D385" si="47">IF($A322="","",RIGHT($A322,LEN($A322)-FIND(":",$A322,FIND(":",$A322)+1)))</f>
        <v/>
      </c>
      <c r="E322" s="265" t="str">
        <f>IF($A322="","",SUMIFS(Txn[Signed Units],Txn[Key],$A322))</f>
        <v/>
      </c>
      <c r="F322" s="287" t="str">
        <f>IF($A322="","",SUMIFS(Txn[Buy Cost],Txn[Key],$A322))</f>
        <v/>
      </c>
      <c r="G322" s="287" t="str">
        <f>IF($A322="","",SUMIFS(Txn[Sell Proceeds],Txn[Key],$A322))</f>
        <v/>
      </c>
      <c r="H322" s="288" t="str">
        <f>IF($A322="","",IFERROR(INDEX(Prices[Current Price],MATCH($A322,Prices[Key],0)),0))</f>
        <v/>
      </c>
      <c r="I322" s="289" t="str">
        <f>IF($A322="","",IFERROR(INDEX(Prices[FX to SGD],MATCH($A322,Prices[Key],0)),1))</f>
        <v/>
      </c>
      <c r="J322" s="287" t="str">
        <f t="shared" ref="J322:J385" si="48">IF($A322="","",E322*H322)</f>
        <v/>
      </c>
      <c r="K322" s="287" t="str">
        <f t="shared" ref="K322:K385" si="49">IF($A322="","",J322+G322-F322)</f>
        <v/>
      </c>
      <c r="L322" s="287" t="str">
        <f t="shared" ref="L322:L385" si="50">IF($A322="","",K322*I322)</f>
        <v/>
      </c>
      <c r="M322" s="290" t="str">
        <f t="shared" ref="M322:M385" si="51">IF($A322="","",IFERROR(K322/F322,0))</f>
        <v/>
      </c>
      <c r="N322" s="243" t="str">
        <f>IF($A322="","",IF(ABS(E322)&gt;0.000001,COUNT($N$1:N321)+1,""))</f>
        <v/>
      </c>
      <c r="O322" s="291" t="str">
        <f>IF($A322="","",SUMIFS(Transactions!$H$2:$H$1001,Transactions!$J$2:$J$1001,$A322,Transactions!$A$2:$A$1001,2)*$I322)</f>
        <v/>
      </c>
      <c r="P322" s="291" t="str">
        <f t="shared" ref="P322:P385" si="52">IF($A322="","",$L322+$O322)</f>
        <v/>
      </c>
      <c r="Q322" s="292" t="str">
        <f t="shared" ref="Q322:Q385" si="53">IF($A322="","",IFERROR(($L322+$O322)/($F322*$I322),0))</f>
        <v/>
      </c>
    </row>
    <row r="323" spans="1:17" ht="15" customHeight="1" x14ac:dyDescent="0.2">
      <c r="A323" s="243" t="str">
        <f>IFERROR(INDEX(Txn[Key],MATCH(0,INDEX(COUNTIF($A$1:A322,Txn[Key])+(Txn[Key]=""),0),0)),"")</f>
        <v/>
      </c>
      <c r="B323" s="243" t="str">
        <f t="shared" si="45"/>
        <v/>
      </c>
      <c r="C323" s="243" t="str">
        <f t="shared" si="46"/>
        <v/>
      </c>
      <c r="D323" s="243" t="str">
        <f t="shared" si="47"/>
        <v/>
      </c>
      <c r="E323" s="265" t="str">
        <f>IF($A323="","",SUMIFS(Txn[Signed Units],Txn[Key],$A323))</f>
        <v/>
      </c>
      <c r="F323" s="287" t="str">
        <f>IF($A323="","",SUMIFS(Txn[Buy Cost],Txn[Key],$A323))</f>
        <v/>
      </c>
      <c r="G323" s="287" t="str">
        <f>IF($A323="","",SUMIFS(Txn[Sell Proceeds],Txn[Key],$A323))</f>
        <v/>
      </c>
      <c r="H323" s="288" t="str">
        <f>IF($A323="","",IFERROR(INDEX(Prices[Current Price],MATCH($A323,Prices[Key],0)),0))</f>
        <v/>
      </c>
      <c r="I323" s="289" t="str">
        <f>IF($A323="","",IFERROR(INDEX(Prices[FX to SGD],MATCH($A323,Prices[Key],0)),1))</f>
        <v/>
      </c>
      <c r="J323" s="287" t="str">
        <f t="shared" si="48"/>
        <v/>
      </c>
      <c r="K323" s="287" t="str">
        <f t="shared" si="49"/>
        <v/>
      </c>
      <c r="L323" s="287" t="str">
        <f t="shared" si="50"/>
        <v/>
      </c>
      <c r="M323" s="290" t="str">
        <f t="shared" si="51"/>
        <v/>
      </c>
      <c r="N323" s="243" t="str">
        <f>IF($A323="","",IF(ABS(E323)&gt;0.000001,COUNT($N$1:N322)+1,""))</f>
        <v/>
      </c>
      <c r="O323" s="291" t="str">
        <f>IF($A323="","",SUMIFS(Transactions!$H$2:$H$1001,Transactions!$J$2:$J$1001,$A323,Transactions!$A$2:$A$1001,2)*$I323)</f>
        <v/>
      </c>
      <c r="P323" s="291" t="str">
        <f t="shared" si="52"/>
        <v/>
      </c>
      <c r="Q323" s="292" t="str">
        <f t="shared" si="53"/>
        <v/>
      </c>
    </row>
    <row r="324" spans="1:17" ht="15" customHeight="1" x14ac:dyDescent="0.2">
      <c r="A324" s="243" t="str">
        <f>IFERROR(INDEX(Txn[Key],MATCH(0,INDEX(COUNTIF($A$1:A323,Txn[Key])+(Txn[Key]=""),0),0)),"")</f>
        <v/>
      </c>
      <c r="B324" s="243" t="str">
        <f t="shared" si="45"/>
        <v/>
      </c>
      <c r="C324" s="243" t="str">
        <f t="shared" si="46"/>
        <v/>
      </c>
      <c r="D324" s="243" t="str">
        <f t="shared" si="47"/>
        <v/>
      </c>
      <c r="E324" s="265" t="str">
        <f>IF($A324="","",SUMIFS(Txn[Signed Units],Txn[Key],$A324))</f>
        <v/>
      </c>
      <c r="F324" s="287" t="str">
        <f>IF($A324="","",SUMIFS(Txn[Buy Cost],Txn[Key],$A324))</f>
        <v/>
      </c>
      <c r="G324" s="287" t="str">
        <f>IF($A324="","",SUMIFS(Txn[Sell Proceeds],Txn[Key],$A324))</f>
        <v/>
      </c>
      <c r="H324" s="288" t="str">
        <f>IF($A324="","",IFERROR(INDEX(Prices[Current Price],MATCH($A324,Prices[Key],0)),0))</f>
        <v/>
      </c>
      <c r="I324" s="289" t="str">
        <f>IF($A324="","",IFERROR(INDEX(Prices[FX to SGD],MATCH($A324,Prices[Key],0)),1))</f>
        <v/>
      </c>
      <c r="J324" s="287" t="str">
        <f t="shared" si="48"/>
        <v/>
      </c>
      <c r="K324" s="287" t="str">
        <f t="shared" si="49"/>
        <v/>
      </c>
      <c r="L324" s="287" t="str">
        <f t="shared" si="50"/>
        <v/>
      </c>
      <c r="M324" s="290" t="str">
        <f t="shared" si="51"/>
        <v/>
      </c>
      <c r="N324" s="243" t="str">
        <f>IF($A324="","",IF(ABS(E324)&gt;0.000001,COUNT($N$1:N323)+1,""))</f>
        <v/>
      </c>
      <c r="O324" s="291" t="str">
        <f>IF($A324="","",SUMIFS(Transactions!$H$2:$H$1001,Transactions!$J$2:$J$1001,$A324,Transactions!$A$2:$A$1001,2)*$I324)</f>
        <v/>
      </c>
      <c r="P324" s="291" t="str">
        <f t="shared" si="52"/>
        <v/>
      </c>
      <c r="Q324" s="292" t="str">
        <f t="shared" si="53"/>
        <v/>
      </c>
    </row>
    <row r="325" spans="1:17" ht="15" customHeight="1" x14ac:dyDescent="0.2">
      <c r="A325" s="243" t="str">
        <f>IFERROR(INDEX(Txn[Key],MATCH(0,INDEX(COUNTIF($A$1:A324,Txn[Key])+(Txn[Key]=""),0),0)),"")</f>
        <v/>
      </c>
      <c r="B325" s="243" t="str">
        <f t="shared" si="45"/>
        <v/>
      </c>
      <c r="C325" s="243" t="str">
        <f t="shared" si="46"/>
        <v/>
      </c>
      <c r="D325" s="243" t="str">
        <f t="shared" si="47"/>
        <v/>
      </c>
      <c r="E325" s="265" t="str">
        <f>IF($A325="","",SUMIFS(Txn[Signed Units],Txn[Key],$A325))</f>
        <v/>
      </c>
      <c r="F325" s="287" t="str">
        <f>IF($A325="","",SUMIFS(Txn[Buy Cost],Txn[Key],$A325))</f>
        <v/>
      </c>
      <c r="G325" s="287" t="str">
        <f>IF($A325="","",SUMIFS(Txn[Sell Proceeds],Txn[Key],$A325))</f>
        <v/>
      </c>
      <c r="H325" s="288" t="str">
        <f>IF($A325="","",IFERROR(INDEX(Prices[Current Price],MATCH($A325,Prices[Key],0)),0))</f>
        <v/>
      </c>
      <c r="I325" s="289" t="str">
        <f>IF($A325="","",IFERROR(INDEX(Prices[FX to SGD],MATCH($A325,Prices[Key],0)),1))</f>
        <v/>
      </c>
      <c r="J325" s="287" t="str">
        <f t="shared" si="48"/>
        <v/>
      </c>
      <c r="K325" s="287" t="str">
        <f t="shared" si="49"/>
        <v/>
      </c>
      <c r="L325" s="287" t="str">
        <f t="shared" si="50"/>
        <v/>
      </c>
      <c r="M325" s="290" t="str">
        <f t="shared" si="51"/>
        <v/>
      </c>
      <c r="N325" s="243" t="str">
        <f>IF($A325="","",IF(ABS(E325)&gt;0.000001,COUNT($N$1:N324)+1,""))</f>
        <v/>
      </c>
      <c r="O325" s="291" t="str">
        <f>IF($A325="","",SUMIFS(Transactions!$H$2:$H$1001,Transactions!$J$2:$J$1001,$A325,Transactions!$A$2:$A$1001,2)*$I325)</f>
        <v/>
      </c>
      <c r="P325" s="291" t="str">
        <f t="shared" si="52"/>
        <v/>
      </c>
      <c r="Q325" s="292" t="str">
        <f t="shared" si="53"/>
        <v/>
      </c>
    </row>
    <row r="326" spans="1:17" ht="15" customHeight="1" x14ac:dyDescent="0.2">
      <c r="A326" s="243" t="str">
        <f>IFERROR(INDEX(Txn[Key],MATCH(0,INDEX(COUNTIF($A$1:A325,Txn[Key])+(Txn[Key]=""),0),0)),"")</f>
        <v/>
      </c>
      <c r="B326" s="243" t="str">
        <f t="shared" si="45"/>
        <v/>
      </c>
      <c r="C326" s="243" t="str">
        <f t="shared" si="46"/>
        <v/>
      </c>
      <c r="D326" s="243" t="str">
        <f t="shared" si="47"/>
        <v/>
      </c>
      <c r="E326" s="265" t="str">
        <f>IF($A326="","",SUMIFS(Txn[Signed Units],Txn[Key],$A326))</f>
        <v/>
      </c>
      <c r="F326" s="287" t="str">
        <f>IF($A326="","",SUMIFS(Txn[Buy Cost],Txn[Key],$A326))</f>
        <v/>
      </c>
      <c r="G326" s="287" t="str">
        <f>IF($A326="","",SUMIFS(Txn[Sell Proceeds],Txn[Key],$A326))</f>
        <v/>
      </c>
      <c r="H326" s="288" t="str">
        <f>IF($A326="","",IFERROR(INDEX(Prices[Current Price],MATCH($A326,Prices[Key],0)),0))</f>
        <v/>
      </c>
      <c r="I326" s="289" t="str">
        <f>IF($A326="","",IFERROR(INDEX(Prices[FX to SGD],MATCH($A326,Prices[Key],0)),1))</f>
        <v/>
      </c>
      <c r="J326" s="287" t="str">
        <f t="shared" si="48"/>
        <v/>
      </c>
      <c r="K326" s="287" t="str">
        <f t="shared" si="49"/>
        <v/>
      </c>
      <c r="L326" s="287" t="str">
        <f t="shared" si="50"/>
        <v/>
      </c>
      <c r="M326" s="290" t="str">
        <f t="shared" si="51"/>
        <v/>
      </c>
      <c r="N326" s="243" t="str">
        <f>IF($A326="","",IF(ABS(E326)&gt;0.000001,COUNT($N$1:N325)+1,""))</f>
        <v/>
      </c>
      <c r="O326" s="291" t="str">
        <f>IF($A326="","",SUMIFS(Transactions!$H$2:$H$1001,Transactions!$J$2:$J$1001,$A326,Transactions!$A$2:$A$1001,2)*$I326)</f>
        <v/>
      </c>
      <c r="P326" s="291" t="str">
        <f t="shared" si="52"/>
        <v/>
      </c>
      <c r="Q326" s="292" t="str">
        <f t="shared" si="53"/>
        <v/>
      </c>
    </row>
    <row r="327" spans="1:17" ht="15" customHeight="1" x14ac:dyDescent="0.2">
      <c r="A327" s="243" t="str">
        <f>IFERROR(INDEX(Txn[Key],MATCH(0,INDEX(COUNTIF($A$1:A326,Txn[Key])+(Txn[Key]=""),0),0)),"")</f>
        <v/>
      </c>
      <c r="B327" s="243" t="str">
        <f t="shared" si="45"/>
        <v/>
      </c>
      <c r="C327" s="243" t="str">
        <f t="shared" si="46"/>
        <v/>
      </c>
      <c r="D327" s="243" t="str">
        <f t="shared" si="47"/>
        <v/>
      </c>
      <c r="E327" s="265" t="str">
        <f>IF($A327="","",SUMIFS(Txn[Signed Units],Txn[Key],$A327))</f>
        <v/>
      </c>
      <c r="F327" s="287" t="str">
        <f>IF($A327="","",SUMIFS(Txn[Buy Cost],Txn[Key],$A327))</f>
        <v/>
      </c>
      <c r="G327" s="287" t="str">
        <f>IF($A327="","",SUMIFS(Txn[Sell Proceeds],Txn[Key],$A327))</f>
        <v/>
      </c>
      <c r="H327" s="288" t="str">
        <f>IF($A327="","",IFERROR(INDEX(Prices[Current Price],MATCH($A327,Prices[Key],0)),0))</f>
        <v/>
      </c>
      <c r="I327" s="289" t="str">
        <f>IF($A327="","",IFERROR(INDEX(Prices[FX to SGD],MATCH($A327,Prices[Key],0)),1))</f>
        <v/>
      </c>
      <c r="J327" s="287" t="str">
        <f t="shared" si="48"/>
        <v/>
      </c>
      <c r="K327" s="287" t="str">
        <f t="shared" si="49"/>
        <v/>
      </c>
      <c r="L327" s="287" t="str">
        <f t="shared" si="50"/>
        <v/>
      </c>
      <c r="M327" s="290" t="str">
        <f t="shared" si="51"/>
        <v/>
      </c>
      <c r="N327" s="243" t="str">
        <f>IF($A327="","",IF(ABS(E327)&gt;0.000001,COUNT($N$1:N326)+1,""))</f>
        <v/>
      </c>
      <c r="O327" s="291" t="str">
        <f>IF($A327="","",SUMIFS(Transactions!$H$2:$H$1001,Transactions!$J$2:$J$1001,$A327,Transactions!$A$2:$A$1001,2)*$I327)</f>
        <v/>
      </c>
      <c r="P327" s="291" t="str">
        <f t="shared" si="52"/>
        <v/>
      </c>
      <c r="Q327" s="292" t="str">
        <f t="shared" si="53"/>
        <v/>
      </c>
    </row>
    <row r="328" spans="1:17" ht="15" customHeight="1" x14ac:dyDescent="0.2">
      <c r="A328" s="243" t="str">
        <f>IFERROR(INDEX(Txn[Key],MATCH(0,INDEX(COUNTIF($A$1:A327,Txn[Key])+(Txn[Key]=""),0),0)),"")</f>
        <v/>
      </c>
      <c r="B328" s="243" t="str">
        <f t="shared" si="45"/>
        <v/>
      </c>
      <c r="C328" s="243" t="str">
        <f t="shared" si="46"/>
        <v/>
      </c>
      <c r="D328" s="243" t="str">
        <f t="shared" si="47"/>
        <v/>
      </c>
      <c r="E328" s="265" t="str">
        <f>IF($A328="","",SUMIFS(Txn[Signed Units],Txn[Key],$A328))</f>
        <v/>
      </c>
      <c r="F328" s="287" t="str">
        <f>IF($A328="","",SUMIFS(Txn[Buy Cost],Txn[Key],$A328))</f>
        <v/>
      </c>
      <c r="G328" s="287" t="str">
        <f>IF($A328="","",SUMIFS(Txn[Sell Proceeds],Txn[Key],$A328))</f>
        <v/>
      </c>
      <c r="H328" s="288" t="str">
        <f>IF($A328="","",IFERROR(INDEX(Prices[Current Price],MATCH($A328,Prices[Key],0)),0))</f>
        <v/>
      </c>
      <c r="I328" s="289" t="str">
        <f>IF($A328="","",IFERROR(INDEX(Prices[FX to SGD],MATCH($A328,Prices[Key],0)),1))</f>
        <v/>
      </c>
      <c r="J328" s="287" t="str">
        <f t="shared" si="48"/>
        <v/>
      </c>
      <c r="K328" s="287" t="str">
        <f t="shared" si="49"/>
        <v/>
      </c>
      <c r="L328" s="287" t="str">
        <f t="shared" si="50"/>
        <v/>
      </c>
      <c r="M328" s="290" t="str">
        <f t="shared" si="51"/>
        <v/>
      </c>
      <c r="N328" s="243" t="str">
        <f>IF($A328="","",IF(ABS(E328)&gt;0.000001,COUNT($N$1:N327)+1,""))</f>
        <v/>
      </c>
      <c r="O328" s="291" t="str">
        <f>IF($A328="","",SUMIFS(Transactions!$H$2:$H$1001,Transactions!$J$2:$J$1001,$A328,Transactions!$A$2:$A$1001,2)*$I328)</f>
        <v/>
      </c>
      <c r="P328" s="291" t="str">
        <f t="shared" si="52"/>
        <v/>
      </c>
      <c r="Q328" s="292" t="str">
        <f t="shared" si="53"/>
        <v/>
      </c>
    </row>
    <row r="329" spans="1:17" ht="15" customHeight="1" x14ac:dyDescent="0.2">
      <c r="A329" s="243" t="str">
        <f>IFERROR(INDEX(Txn[Key],MATCH(0,INDEX(COUNTIF($A$1:A328,Txn[Key])+(Txn[Key]=""),0),0)),"")</f>
        <v/>
      </c>
      <c r="B329" s="243" t="str">
        <f t="shared" si="45"/>
        <v/>
      </c>
      <c r="C329" s="243" t="str">
        <f t="shared" si="46"/>
        <v/>
      </c>
      <c r="D329" s="243" t="str">
        <f t="shared" si="47"/>
        <v/>
      </c>
      <c r="E329" s="265" t="str">
        <f>IF($A329="","",SUMIFS(Txn[Signed Units],Txn[Key],$A329))</f>
        <v/>
      </c>
      <c r="F329" s="287" t="str">
        <f>IF($A329="","",SUMIFS(Txn[Buy Cost],Txn[Key],$A329))</f>
        <v/>
      </c>
      <c r="G329" s="287" t="str">
        <f>IF($A329="","",SUMIFS(Txn[Sell Proceeds],Txn[Key],$A329))</f>
        <v/>
      </c>
      <c r="H329" s="288" t="str">
        <f>IF($A329="","",IFERROR(INDEX(Prices[Current Price],MATCH($A329,Prices[Key],0)),0))</f>
        <v/>
      </c>
      <c r="I329" s="289" t="str">
        <f>IF($A329="","",IFERROR(INDEX(Prices[FX to SGD],MATCH($A329,Prices[Key],0)),1))</f>
        <v/>
      </c>
      <c r="J329" s="287" t="str">
        <f t="shared" si="48"/>
        <v/>
      </c>
      <c r="K329" s="287" t="str">
        <f t="shared" si="49"/>
        <v/>
      </c>
      <c r="L329" s="287" t="str">
        <f t="shared" si="50"/>
        <v/>
      </c>
      <c r="M329" s="290" t="str">
        <f t="shared" si="51"/>
        <v/>
      </c>
      <c r="N329" s="243" t="str">
        <f>IF($A329="","",IF(ABS(E329)&gt;0.000001,COUNT($N$1:N328)+1,""))</f>
        <v/>
      </c>
      <c r="O329" s="291" t="str">
        <f>IF($A329="","",SUMIFS(Transactions!$H$2:$H$1001,Transactions!$J$2:$J$1001,$A329,Transactions!$A$2:$A$1001,2)*$I329)</f>
        <v/>
      </c>
      <c r="P329" s="291" t="str">
        <f t="shared" si="52"/>
        <v/>
      </c>
      <c r="Q329" s="292" t="str">
        <f t="shared" si="53"/>
        <v/>
      </c>
    </row>
    <row r="330" spans="1:17" ht="15" customHeight="1" x14ac:dyDescent="0.2">
      <c r="A330" s="243" t="str">
        <f>IFERROR(INDEX(Txn[Key],MATCH(0,INDEX(COUNTIF($A$1:A329,Txn[Key])+(Txn[Key]=""),0),0)),"")</f>
        <v/>
      </c>
      <c r="B330" s="243" t="str">
        <f t="shared" si="45"/>
        <v/>
      </c>
      <c r="C330" s="243" t="str">
        <f t="shared" si="46"/>
        <v/>
      </c>
      <c r="D330" s="243" t="str">
        <f t="shared" si="47"/>
        <v/>
      </c>
      <c r="E330" s="265" t="str">
        <f>IF($A330="","",SUMIFS(Txn[Signed Units],Txn[Key],$A330))</f>
        <v/>
      </c>
      <c r="F330" s="287" t="str">
        <f>IF($A330="","",SUMIFS(Txn[Buy Cost],Txn[Key],$A330))</f>
        <v/>
      </c>
      <c r="G330" s="287" t="str">
        <f>IF($A330="","",SUMIFS(Txn[Sell Proceeds],Txn[Key],$A330))</f>
        <v/>
      </c>
      <c r="H330" s="288" t="str">
        <f>IF($A330="","",IFERROR(INDEX(Prices[Current Price],MATCH($A330,Prices[Key],0)),0))</f>
        <v/>
      </c>
      <c r="I330" s="289" t="str">
        <f>IF($A330="","",IFERROR(INDEX(Prices[FX to SGD],MATCH($A330,Prices[Key],0)),1))</f>
        <v/>
      </c>
      <c r="J330" s="287" t="str">
        <f t="shared" si="48"/>
        <v/>
      </c>
      <c r="K330" s="287" t="str">
        <f t="shared" si="49"/>
        <v/>
      </c>
      <c r="L330" s="287" t="str">
        <f t="shared" si="50"/>
        <v/>
      </c>
      <c r="M330" s="290" t="str">
        <f t="shared" si="51"/>
        <v/>
      </c>
      <c r="N330" s="243" t="str">
        <f>IF($A330="","",IF(ABS(E330)&gt;0.000001,COUNT($N$1:N329)+1,""))</f>
        <v/>
      </c>
      <c r="O330" s="291" t="str">
        <f>IF($A330="","",SUMIFS(Transactions!$H$2:$H$1001,Transactions!$J$2:$J$1001,$A330,Transactions!$A$2:$A$1001,2)*$I330)</f>
        <v/>
      </c>
      <c r="P330" s="291" t="str">
        <f t="shared" si="52"/>
        <v/>
      </c>
      <c r="Q330" s="292" t="str">
        <f t="shared" si="53"/>
        <v/>
      </c>
    </row>
    <row r="331" spans="1:17" ht="15" customHeight="1" x14ac:dyDescent="0.2">
      <c r="A331" s="243" t="str">
        <f>IFERROR(INDEX(Txn[Key],MATCH(0,INDEX(COUNTIF($A$1:A330,Txn[Key])+(Txn[Key]=""),0),0)),"")</f>
        <v/>
      </c>
      <c r="B331" s="243" t="str">
        <f t="shared" si="45"/>
        <v/>
      </c>
      <c r="C331" s="243" t="str">
        <f t="shared" si="46"/>
        <v/>
      </c>
      <c r="D331" s="243" t="str">
        <f t="shared" si="47"/>
        <v/>
      </c>
      <c r="E331" s="265" t="str">
        <f>IF($A331="","",SUMIFS(Txn[Signed Units],Txn[Key],$A331))</f>
        <v/>
      </c>
      <c r="F331" s="287" t="str">
        <f>IF($A331="","",SUMIFS(Txn[Buy Cost],Txn[Key],$A331))</f>
        <v/>
      </c>
      <c r="G331" s="287" t="str">
        <f>IF($A331="","",SUMIFS(Txn[Sell Proceeds],Txn[Key],$A331))</f>
        <v/>
      </c>
      <c r="H331" s="288" t="str">
        <f>IF($A331="","",IFERROR(INDEX(Prices[Current Price],MATCH($A331,Prices[Key],0)),0))</f>
        <v/>
      </c>
      <c r="I331" s="289" t="str">
        <f>IF($A331="","",IFERROR(INDEX(Prices[FX to SGD],MATCH($A331,Prices[Key],0)),1))</f>
        <v/>
      </c>
      <c r="J331" s="287" t="str">
        <f t="shared" si="48"/>
        <v/>
      </c>
      <c r="K331" s="287" t="str">
        <f t="shared" si="49"/>
        <v/>
      </c>
      <c r="L331" s="287" t="str">
        <f t="shared" si="50"/>
        <v/>
      </c>
      <c r="M331" s="290" t="str">
        <f t="shared" si="51"/>
        <v/>
      </c>
      <c r="N331" s="243" t="str">
        <f>IF($A331="","",IF(ABS(E331)&gt;0.000001,COUNT($N$1:N330)+1,""))</f>
        <v/>
      </c>
      <c r="O331" s="291" t="str">
        <f>IF($A331="","",SUMIFS(Transactions!$H$2:$H$1001,Transactions!$J$2:$J$1001,$A331,Transactions!$A$2:$A$1001,2)*$I331)</f>
        <v/>
      </c>
      <c r="P331" s="291" t="str">
        <f t="shared" si="52"/>
        <v/>
      </c>
      <c r="Q331" s="292" t="str">
        <f t="shared" si="53"/>
        <v/>
      </c>
    </row>
    <row r="332" spans="1:17" ht="15" customHeight="1" x14ac:dyDescent="0.2">
      <c r="A332" s="243" t="str">
        <f>IFERROR(INDEX(Txn[Key],MATCH(0,INDEX(COUNTIF($A$1:A331,Txn[Key])+(Txn[Key]=""),0),0)),"")</f>
        <v/>
      </c>
      <c r="B332" s="243" t="str">
        <f t="shared" si="45"/>
        <v/>
      </c>
      <c r="C332" s="243" t="str">
        <f t="shared" si="46"/>
        <v/>
      </c>
      <c r="D332" s="243" t="str">
        <f t="shared" si="47"/>
        <v/>
      </c>
      <c r="E332" s="265" t="str">
        <f>IF($A332="","",SUMIFS(Txn[Signed Units],Txn[Key],$A332))</f>
        <v/>
      </c>
      <c r="F332" s="287" t="str">
        <f>IF($A332="","",SUMIFS(Txn[Buy Cost],Txn[Key],$A332))</f>
        <v/>
      </c>
      <c r="G332" s="287" t="str">
        <f>IF($A332="","",SUMIFS(Txn[Sell Proceeds],Txn[Key],$A332))</f>
        <v/>
      </c>
      <c r="H332" s="288" t="str">
        <f>IF($A332="","",IFERROR(INDEX(Prices[Current Price],MATCH($A332,Prices[Key],0)),0))</f>
        <v/>
      </c>
      <c r="I332" s="289" t="str">
        <f>IF($A332="","",IFERROR(INDEX(Prices[FX to SGD],MATCH($A332,Prices[Key],0)),1))</f>
        <v/>
      </c>
      <c r="J332" s="287" t="str">
        <f t="shared" si="48"/>
        <v/>
      </c>
      <c r="K332" s="287" t="str">
        <f t="shared" si="49"/>
        <v/>
      </c>
      <c r="L332" s="287" t="str">
        <f t="shared" si="50"/>
        <v/>
      </c>
      <c r="M332" s="290" t="str">
        <f t="shared" si="51"/>
        <v/>
      </c>
      <c r="N332" s="243" t="str">
        <f>IF($A332="","",IF(ABS(E332)&gt;0.000001,COUNT($N$1:N331)+1,""))</f>
        <v/>
      </c>
      <c r="O332" s="291" t="str">
        <f>IF($A332="","",SUMIFS(Transactions!$H$2:$H$1001,Transactions!$J$2:$J$1001,$A332,Transactions!$A$2:$A$1001,2)*$I332)</f>
        <v/>
      </c>
      <c r="P332" s="291" t="str">
        <f t="shared" si="52"/>
        <v/>
      </c>
      <c r="Q332" s="292" t="str">
        <f t="shared" si="53"/>
        <v/>
      </c>
    </row>
    <row r="333" spans="1:17" ht="15" customHeight="1" x14ac:dyDescent="0.2">
      <c r="A333" s="243" t="str">
        <f>IFERROR(INDEX(Txn[Key],MATCH(0,INDEX(COUNTIF($A$1:A332,Txn[Key])+(Txn[Key]=""),0),0)),"")</f>
        <v/>
      </c>
      <c r="B333" s="243" t="str">
        <f t="shared" si="45"/>
        <v/>
      </c>
      <c r="C333" s="243" t="str">
        <f t="shared" si="46"/>
        <v/>
      </c>
      <c r="D333" s="243" t="str">
        <f t="shared" si="47"/>
        <v/>
      </c>
      <c r="E333" s="265" t="str">
        <f>IF($A333="","",SUMIFS(Txn[Signed Units],Txn[Key],$A333))</f>
        <v/>
      </c>
      <c r="F333" s="287" t="str">
        <f>IF($A333="","",SUMIFS(Txn[Buy Cost],Txn[Key],$A333))</f>
        <v/>
      </c>
      <c r="G333" s="287" t="str">
        <f>IF($A333="","",SUMIFS(Txn[Sell Proceeds],Txn[Key],$A333))</f>
        <v/>
      </c>
      <c r="H333" s="288" t="str">
        <f>IF($A333="","",IFERROR(INDEX(Prices[Current Price],MATCH($A333,Prices[Key],0)),0))</f>
        <v/>
      </c>
      <c r="I333" s="289" t="str">
        <f>IF($A333="","",IFERROR(INDEX(Prices[FX to SGD],MATCH($A333,Prices[Key],0)),1))</f>
        <v/>
      </c>
      <c r="J333" s="287" t="str">
        <f t="shared" si="48"/>
        <v/>
      </c>
      <c r="K333" s="287" t="str">
        <f t="shared" si="49"/>
        <v/>
      </c>
      <c r="L333" s="287" t="str">
        <f t="shared" si="50"/>
        <v/>
      </c>
      <c r="M333" s="290" t="str">
        <f t="shared" si="51"/>
        <v/>
      </c>
      <c r="N333" s="243" t="str">
        <f>IF($A333="","",IF(ABS(E333)&gt;0.000001,COUNT($N$1:N332)+1,""))</f>
        <v/>
      </c>
      <c r="O333" s="291" t="str">
        <f>IF($A333="","",SUMIFS(Transactions!$H$2:$H$1001,Transactions!$J$2:$J$1001,$A333,Transactions!$A$2:$A$1001,2)*$I333)</f>
        <v/>
      </c>
      <c r="P333" s="291" t="str">
        <f t="shared" si="52"/>
        <v/>
      </c>
      <c r="Q333" s="292" t="str">
        <f t="shared" si="53"/>
        <v/>
      </c>
    </row>
    <row r="334" spans="1:17" ht="15" customHeight="1" x14ac:dyDescent="0.2">
      <c r="A334" s="243" t="str">
        <f>IFERROR(INDEX(Txn[Key],MATCH(0,INDEX(COUNTIF($A$1:A333,Txn[Key])+(Txn[Key]=""),0),0)),"")</f>
        <v/>
      </c>
      <c r="B334" s="243" t="str">
        <f t="shared" si="45"/>
        <v/>
      </c>
      <c r="C334" s="243" t="str">
        <f t="shared" si="46"/>
        <v/>
      </c>
      <c r="D334" s="243" t="str">
        <f t="shared" si="47"/>
        <v/>
      </c>
      <c r="E334" s="265" t="str">
        <f>IF($A334="","",SUMIFS(Txn[Signed Units],Txn[Key],$A334))</f>
        <v/>
      </c>
      <c r="F334" s="287" t="str">
        <f>IF($A334="","",SUMIFS(Txn[Buy Cost],Txn[Key],$A334))</f>
        <v/>
      </c>
      <c r="G334" s="287" t="str">
        <f>IF($A334="","",SUMIFS(Txn[Sell Proceeds],Txn[Key],$A334))</f>
        <v/>
      </c>
      <c r="H334" s="288" t="str">
        <f>IF($A334="","",IFERROR(INDEX(Prices[Current Price],MATCH($A334,Prices[Key],0)),0))</f>
        <v/>
      </c>
      <c r="I334" s="289" t="str">
        <f>IF($A334="","",IFERROR(INDEX(Prices[FX to SGD],MATCH($A334,Prices[Key],0)),1))</f>
        <v/>
      </c>
      <c r="J334" s="287" t="str">
        <f t="shared" si="48"/>
        <v/>
      </c>
      <c r="K334" s="287" t="str">
        <f t="shared" si="49"/>
        <v/>
      </c>
      <c r="L334" s="287" t="str">
        <f t="shared" si="50"/>
        <v/>
      </c>
      <c r="M334" s="290" t="str">
        <f t="shared" si="51"/>
        <v/>
      </c>
      <c r="N334" s="243" t="str">
        <f>IF($A334="","",IF(ABS(E334)&gt;0.000001,COUNT($N$1:N333)+1,""))</f>
        <v/>
      </c>
      <c r="O334" s="291" t="str">
        <f>IF($A334="","",SUMIFS(Transactions!$H$2:$H$1001,Transactions!$J$2:$J$1001,$A334,Transactions!$A$2:$A$1001,2)*$I334)</f>
        <v/>
      </c>
      <c r="P334" s="291" t="str">
        <f t="shared" si="52"/>
        <v/>
      </c>
      <c r="Q334" s="292" t="str">
        <f t="shared" si="53"/>
        <v/>
      </c>
    </row>
    <row r="335" spans="1:17" ht="15" customHeight="1" x14ac:dyDescent="0.2">
      <c r="A335" s="243" t="str">
        <f>IFERROR(INDEX(Txn[Key],MATCH(0,INDEX(COUNTIF($A$1:A334,Txn[Key])+(Txn[Key]=""),0),0)),"")</f>
        <v/>
      </c>
      <c r="B335" s="243" t="str">
        <f t="shared" si="45"/>
        <v/>
      </c>
      <c r="C335" s="243" t="str">
        <f t="shared" si="46"/>
        <v/>
      </c>
      <c r="D335" s="243" t="str">
        <f t="shared" si="47"/>
        <v/>
      </c>
      <c r="E335" s="265" t="str">
        <f>IF($A335="","",SUMIFS(Txn[Signed Units],Txn[Key],$A335))</f>
        <v/>
      </c>
      <c r="F335" s="287" t="str">
        <f>IF($A335="","",SUMIFS(Txn[Buy Cost],Txn[Key],$A335))</f>
        <v/>
      </c>
      <c r="G335" s="287" t="str">
        <f>IF($A335="","",SUMIFS(Txn[Sell Proceeds],Txn[Key],$A335))</f>
        <v/>
      </c>
      <c r="H335" s="288" t="str">
        <f>IF($A335="","",IFERROR(INDEX(Prices[Current Price],MATCH($A335,Prices[Key],0)),0))</f>
        <v/>
      </c>
      <c r="I335" s="289" t="str">
        <f>IF($A335="","",IFERROR(INDEX(Prices[FX to SGD],MATCH($A335,Prices[Key],0)),1))</f>
        <v/>
      </c>
      <c r="J335" s="287" t="str">
        <f t="shared" si="48"/>
        <v/>
      </c>
      <c r="K335" s="287" t="str">
        <f t="shared" si="49"/>
        <v/>
      </c>
      <c r="L335" s="287" t="str">
        <f t="shared" si="50"/>
        <v/>
      </c>
      <c r="M335" s="290" t="str">
        <f t="shared" si="51"/>
        <v/>
      </c>
      <c r="N335" s="243" t="str">
        <f>IF($A335="","",IF(ABS(E335)&gt;0.000001,COUNT($N$1:N334)+1,""))</f>
        <v/>
      </c>
      <c r="O335" s="291" t="str">
        <f>IF($A335="","",SUMIFS(Transactions!$H$2:$H$1001,Transactions!$J$2:$J$1001,$A335,Transactions!$A$2:$A$1001,2)*$I335)</f>
        <v/>
      </c>
      <c r="P335" s="291" t="str">
        <f t="shared" si="52"/>
        <v/>
      </c>
      <c r="Q335" s="292" t="str">
        <f t="shared" si="53"/>
        <v/>
      </c>
    </row>
    <row r="336" spans="1:17" ht="15" customHeight="1" x14ac:dyDescent="0.2">
      <c r="A336" s="243" t="str">
        <f>IFERROR(INDEX(Txn[Key],MATCH(0,INDEX(COUNTIF($A$1:A335,Txn[Key])+(Txn[Key]=""),0),0)),"")</f>
        <v/>
      </c>
      <c r="B336" s="243" t="str">
        <f t="shared" si="45"/>
        <v/>
      </c>
      <c r="C336" s="243" t="str">
        <f t="shared" si="46"/>
        <v/>
      </c>
      <c r="D336" s="243" t="str">
        <f t="shared" si="47"/>
        <v/>
      </c>
      <c r="E336" s="265" t="str">
        <f>IF($A336="","",SUMIFS(Txn[Signed Units],Txn[Key],$A336))</f>
        <v/>
      </c>
      <c r="F336" s="287" t="str">
        <f>IF($A336="","",SUMIFS(Txn[Buy Cost],Txn[Key],$A336))</f>
        <v/>
      </c>
      <c r="G336" s="287" t="str">
        <f>IF($A336="","",SUMIFS(Txn[Sell Proceeds],Txn[Key],$A336))</f>
        <v/>
      </c>
      <c r="H336" s="288" t="str">
        <f>IF($A336="","",IFERROR(INDEX(Prices[Current Price],MATCH($A336,Prices[Key],0)),0))</f>
        <v/>
      </c>
      <c r="I336" s="289" t="str">
        <f>IF($A336="","",IFERROR(INDEX(Prices[FX to SGD],MATCH($A336,Prices[Key],0)),1))</f>
        <v/>
      </c>
      <c r="J336" s="287" t="str">
        <f t="shared" si="48"/>
        <v/>
      </c>
      <c r="K336" s="287" t="str">
        <f t="shared" si="49"/>
        <v/>
      </c>
      <c r="L336" s="287" t="str">
        <f t="shared" si="50"/>
        <v/>
      </c>
      <c r="M336" s="290" t="str">
        <f t="shared" si="51"/>
        <v/>
      </c>
      <c r="N336" s="243" t="str">
        <f>IF($A336="","",IF(ABS(E336)&gt;0.000001,COUNT($N$1:N335)+1,""))</f>
        <v/>
      </c>
      <c r="O336" s="291" t="str">
        <f>IF($A336="","",SUMIFS(Transactions!$H$2:$H$1001,Transactions!$J$2:$J$1001,$A336,Transactions!$A$2:$A$1001,2)*$I336)</f>
        <v/>
      </c>
      <c r="P336" s="291" t="str">
        <f t="shared" si="52"/>
        <v/>
      </c>
      <c r="Q336" s="292" t="str">
        <f t="shared" si="53"/>
        <v/>
      </c>
    </row>
    <row r="337" spans="1:17" ht="15" customHeight="1" x14ac:dyDescent="0.2">
      <c r="A337" s="243" t="str">
        <f>IFERROR(INDEX(Txn[Key],MATCH(0,INDEX(COUNTIF($A$1:A336,Txn[Key])+(Txn[Key]=""),0),0)),"")</f>
        <v/>
      </c>
      <c r="B337" s="243" t="str">
        <f t="shared" si="45"/>
        <v/>
      </c>
      <c r="C337" s="243" t="str">
        <f t="shared" si="46"/>
        <v/>
      </c>
      <c r="D337" s="243" t="str">
        <f t="shared" si="47"/>
        <v/>
      </c>
      <c r="E337" s="265" t="str">
        <f>IF($A337="","",SUMIFS(Txn[Signed Units],Txn[Key],$A337))</f>
        <v/>
      </c>
      <c r="F337" s="287" t="str">
        <f>IF($A337="","",SUMIFS(Txn[Buy Cost],Txn[Key],$A337))</f>
        <v/>
      </c>
      <c r="G337" s="287" t="str">
        <f>IF($A337="","",SUMIFS(Txn[Sell Proceeds],Txn[Key],$A337))</f>
        <v/>
      </c>
      <c r="H337" s="288" t="str">
        <f>IF($A337="","",IFERROR(INDEX(Prices[Current Price],MATCH($A337,Prices[Key],0)),0))</f>
        <v/>
      </c>
      <c r="I337" s="289" t="str">
        <f>IF($A337="","",IFERROR(INDEX(Prices[FX to SGD],MATCH($A337,Prices[Key],0)),1))</f>
        <v/>
      </c>
      <c r="J337" s="287" t="str">
        <f t="shared" si="48"/>
        <v/>
      </c>
      <c r="K337" s="287" t="str">
        <f t="shared" si="49"/>
        <v/>
      </c>
      <c r="L337" s="287" t="str">
        <f t="shared" si="50"/>
        <v/>
      </c>
      <c r="M337" s="290" t="str">
        <f t="shared" si="51"/>
        <v/>
      </c>
      <c r="N337" s="243" t="str">
        <f>IF($A337="","",IF(ABS(E337)&gt;0.000001,COUNT($N$1:N336)+1,""))</f>
        <v/>
      </c>
      <c r="O337" s="291" t="str">
        <f>IF($A337="","",SUMIFS(Transactions!$H$2:$H$1001,Transactions!$J$2:$J$1001,$A337,Transactions!$A$2:$A$1001,2)*$I337)</f>
        <v/>
      </c>
      <c r="P337" s="291" t="str">
        <f t="shared" si="52"/>
        <v/>
      </c>
      <c r="Q337" s="292" t="str">
        <f t="shared" si="53"/>
        <v/>
      </c>
    </row>
    <row r="338" spans="1:17" ht="15" customHeight="1" x14ac:dyDescent="0.2">
      <c r="A338" s="243" t="str">
        <f>IFERROR(INDEX(Txn[Key],MATCH(0,INDEX(COUNTIF($A$1:A337,Txn[Key])+(Txn[Key]=""),0),0)),"")</f>
        <v/>
      </c>
      <c r="B338" s="243" t="str">
        <f t="shared" si="45"/>
        <v/>
      </c>
      <c r="C338" s="243" t="str">
        <f t="shared" si="46"/>
        <v/>
      </c>
      <c r="D338" s="243" t="str">
        <f t="shared" si="47"/>
        <v/>
      </c>
      <c r="E338" s="265" t="str">
        <f>IF($A338="","",SUMIFS(Txn[Signed Units],Txn[Key],$A338))</f>
        <v/>
      </c>
      <c r="F338" s="287" t="str">
        <f>IF($A338="","",SUMIFS(Txn[Buy Cost],Txn[Key],$A338))</f>
        <v/>
      </c>
      <c r="G338" s="287" t="str">
        <f>IF($A338="","",SUMIFS(Txn[Sell Proceeds],Txn[Key],$A338))</f>
        <v/>
      </c>
      <c r="H338" s="288" t="str">
        <f>IF($A338="","",IFERROR(INDEX(Prices[Current Price],MATCH($A338,Prices[Key],0)),0))</f>
        <v/>
      </c>
      <c r="I338" s="289" t="str">
        <f>IF($A338="","",IFERROR(INDEX(Prices[FX to SGD],MATCH($A338,Prices[Key],0)),1))</f>
        <v/>
      </c>
      <c r="J338" s="287" t="str">
        <f t="shared" si="48"/>
        <v/>
      </c>
      <c r="K338" s="287" t="str">
        <f t="shared" si="49"/>
        <v/>
      </c>
      <c r="L338" s="287" t="str">
        <f t="shared" si="50"/>
        <v/>
      </c>
      <c r="M338" s="290" t="str">
        <f t="shared" si="51"/>
        <v/>
      </c>
      <c r="N338" s="243" t="str">
        <f>IF($A338="","",IF(ABS(E338)&gt;0.000001,COUNT($N$1:N337)+1,""))</f>
        <v/>
      </c>
      <c r="O338" s="291" t="str">
        <f>IF($A338="","",SUMIFS(Transactions!$H$2:$H$1001,Transactions!$J$2:$J$1001,$A338,Transactions!$A$2:$A$1001,2)*$I338)</f>
        <v/>
      </c>
      <c r="P338" s="291" t="str">
        <f t="shared" si="52"/>
        <v/>
      </c>
      <c r="Q338" s="292" t="str">
        <f t="shared" si="53"/>
        <v/>
      </c>
    </row>
    <row r="339" spans="1:17" ht="15" customHeight="1" x14ac:dyDescent="0.2">
      <c r="A339" s="243" t="str">
        <f>IFERROR(INDEX(Txn[Key],MATCH(0,INDEX(COUNTIF($A$1:A338,Txn[Key])+(Txn[Key]=""),0),0)),"")</f>
        <v/>
      </c>
      <c r="B339" s="243" t="str">
        <f t="shared" si="45"/>
        <v/>
      </c>
      <c r="C339" s="243" t="str">
        <f t="shared" si="46"/>
        <v/>
      </c>
      <c r="D339" s="243" t="str">
        <f t="shared" si="47"/>
        <v/>
      </c>
      <c r="E339" s="265" t="str">
        <f>IF($A339="","",SUMIFS(Txn[Signed Units],Txn[Key],$A339))</f>
        <v/>
      </c>
      <c r="F339" s="287" t="str">
        <f>IF($A339="","",SUMIFS(Txn[Buy Cost],Txn[Key],$A339))</f>
        <v/>
      </c>
      <c r="G339" s="287" t="str">
        <f>IF($A339="","",SUMIFS(Txn[Sell Proceeds],Txn[Key],$A339))</f>
        <v/>
      </c>
      <c r="H339" s="288" t="str">
        <f>IF($A339="","",IFERROR(INDEX(Prices[Current Price],MATCH($A339,Prices[Key],0)),0))</f>
        <v/>
      </c>
      <c r="I339" s="289" t="str">
        <f>IF($A339="","",IFERROR(INDEX(Prices[FX to SGD],MATCH($A339,Prices[Key],0)),1))</f>
        <v/>
      </c>
      <c r="J339" s="287" t="str">
        <f t="shared" si="48"/>
        <v/>
      </c>
      <c r="K339" s="287" t="str">
        <f t="shared" si="49"/>
        <v/>
      </c>
      <c r="L339" s="287" t="str">
        <f t="shared" si="50"/>
        <v/>
      </c>
      <c r="M339" s="290" t="str">
        <f t="shared" si="51"/>
        <v/>
      </c>
      <c r="N339" s="243" t="str">
        <f>IF($A339="","",IF(ABS(E339)&gt;0.000001,COUNT($N$1:N338)+1,""))</f>
        <v/>
      </c>
      <c r="O339" s="291" t="str">
        <f>IF($A339="","",SUMIFS(Transactions!$H$2:$H$1001,Transactions!$J$2:$J$1001,$A339,Transactions!$A$2:$A$1001,2)*$I339)</f>
        <v/>
      </c>
      <c r="P339" s="291" t="str">
        <f t="shared" si="52"/>
        <v/>
      </c>
      <c r="Q339" s="292" t="str">
        <f t="shared" si="53"/>
        <v/>
      </c>
    </row>
    <row r="340" spans="1:17" ht="15" customHeight="1" x14ac:dyDescent="0.2">
      <c r="A340" s="243" t="str">
        <f>IFERROR(INDEX(Txn[Key],MATCH(0,INDEX(COUNTIF($A$1:A339,Txn[Key])+(Txn[Key]=""),0),0)),"")</f>
        <v/>
      </c>
      <c r="B340" s="243" t="str">
        <f t="shared" si="45"/>
        <v/>
      </c>
      <c r="C340" s="243" t="str">
        <f t="shared" si="46"/>
        <v/>
      </c>
      <c r="D340" s="243" t="str">
        <f t="shared" si="47"/>
        <v/>
      </c>
      <c r="E340" s="265" t="str">
        <f>IF($A340="","",SUMIFS(Txn[Signed Units],Txn[Key],$A340))</f>
        <v/>
      </c>
      <c r="F340" s="287" t="str">
        <f>IF($A340="","",SUMIFS(Txn[Buy Cost],Txn[Key],$A340))</f>
        <v/>
      </c>
      <c r="G340" s="287" t="str">
        <f>IF($A340="","",SUMIFS(Txn[Sell Proceeds],Txn[Key],$A340))</f>
        <v/>
      </c>
      <c r="H340" s="288" t="str">
        <f>IF($A340="","",IFERROR(INDEX(Prices[Current Price],MATCH($A340,Prices[Key],0)),0))</f>
        <v/>
      </c>
      <c r="I340" s="289" t="str">
        <f>IF($A340="","",IFERROR(INDEX(Prices[FX to SGD],MATCH($A340,Prices[Key],0)),1))</f>
        <v/>
      </c>
      <c r="J340" s="287" t="str">
        <f t="shared" si="48"/>
        <v/>
      </c>
      <c r="K340" s="287" t="str">
        <f t="shared" si="49"/>
        <v/>
      </c>
      <c r="L340" s="287" t="str">
        <f t="shared" si="50"/>
        <v/>
      </c>
      <c r="M340" s="290" t="str">
        <f t="shared" si="51"/>
        <v/>
      </c>
      <c r="N340" s="243" t="str">
        <f>IF($A340="","",IF(ABS(E340)&gt;0.000001,COUNT($N$1:N339)+1,""))</f>
        <v/>
      </c>
      <c r="O340" s="291" t="str">
        <f>IF($A340="","",SUMIFS(Transactions!$H$2:$H$1001,Transactions!$J$2:$J$1001,$A340,Transactions!$A$2:$A$1001,2)*$I340)</f>
        <v/>
      </c>
      <c r="P340" s="291" t="str">
        <f t="shared" si="52"/>
        <v/>
      </c>
      <c r="Q340" s="292" t="str">
        <f t="shared" si="53"/>
        <v/>
      </c>
    </row>
    <row r="341" spans="1:17" ht="15" customHeight="1" x14ac:dyDescent="0.2">
      <c r="A341" s="243" t="str">
        <f>IFERROR(INDEX(Txn[Key],MATCH(0,INDEX(COUNTIF($A$1:A340,Txn[Key])+(Txn[Key]=""),0),0)),"")</f>
        <v/>
      </c>
      <c r="B341" s="243" t="str">
        <f t="shared" si="45"/>
        <v/>
      </c>
      <c r="C341" s="243" t="str">
        <f t="shared" si="46"/>
        <v/>
      </c>
      <c r="D341" s="243" t="str">
        <f t="shared" si="47"/>
        <v/>
      </c>
      <c r="E341" s="265" t="str">
        <f>IF($A341="","",SUMIFS(Txn[Signed Units],Txn[Key],$A341))</f>
        <v/>
      </c>
      <c r="F341" s="287" t="str">
        <f>IF($A341="","",SUMIFS(Txn[Buy Cost],Txn[Key],$A341))</f>
        <v/>
      </c>
      <c r="G341" s="287" t="str">
        <f>IF($A341="","",SUMIFS(Txn[Sell Proceeds],Txn[Key],$A341))</f>
        <v/>
      </c>
      <c r="H341" s="288" t="str">
        <f>IF($A341="","",IFERROR(INDEX(Prices[Current Price],MATCH($A341,Prices[Key],0)),0))</f>
        <v/>
      </c>
      <c r="I341" s="289" t="str">
        <f>IF($A341="","",IFERROR(INDEX(Prices[FX to SGD],MATCH($A341,Prices[Key],0)),1))</f>
        <v/>
      </c>
      <c r="J341" s="287" t="str">
        <f t="shared" si="48"/>
        <v/>
      </c>
      <c r="K341" s="287" t="str">
        <f t="shared" si="49"/>
        <v/>
      </c>
      <c r="L341" s="287" t="str">
        <f t="shared" si="50"/>
        <v/>
      </c>
      <c r="M341" s="290" t="str">
        <f t="shared" si="51"/>
        <v/>
      </c>
      <c r="N341" s="243" t="str">
        <f>IF($A341="","",IF(ABS(E341)&gt;0.000001,COUNT($N$1:N340)+1,""))</f>
        <v/>
      </c>
      <c r="O341" s="291" t="str">
        <f>IF($A341="","",SUMIFS(Transactions!$H$2:$H$1001,Transactions!$J$2:$J$1001,$A341,Transactions!$A$2:$A$1001,2)*$I341)</f>
        <v/>
      </c>
      <c r="P341" s="291" t="str">
        <f t="shared" si="52"/>
        <v/>
      </c>
      <c r="Q341" s="292" t="str">
        <f t="shared" si="53"/>
        <v/>
      </c>
    </row>
    <row r="342" spans="1:17" ht="15" customHeight="1" x14ac:dyDescent="0.2">
      <c r="A342" s="243" t="str">
        <f>IFERROR(INDEX(Txn[Key],MATCH(0,INDEX(COUNTIF($A$1:A341,Txn[Key])+(Txn[Key]=""),0),0)),"")</f>
        <v/>
      </c>
      <c r="B342" s="243" t="str">
        <f t="shared" si="45"/>
        <v/>
      </c>
      <c r="C342" s="243" t="str">
        <f t="shared" si="46"/>
        <v/>
      </c>
      <c r="D342" s="243" t="str">
        <f t="shared" si="47"/>
        <v/>
      </c>
      <c r="E342" s="265" t="str">
        <f>IF($A342="","",SUMIFS(Txn[Signed Units],Txn[Key],$A342))</f>
        <v/>
      </c>
      <c r="F342" s="287" t="str">
        <f>IF($A342="","",SUMIFS(Txn[Buy Cost],Txn[Key],$A342))</f>
        <v/>
      </c>
      <c r="G342" s="287" t="str">
        <f>IF($A342="","",SUMIFS(Txn[Sell Proceeds],Txn[Key],$A342))</f>
        <v/>
      </c>
      <c r="H342" s="288" t="str">
        <f>IF($A342="","",IFERROR(INDEX(Prices[Current Price],MATCH($A342,Prices[Key],0)),0))</f>
        <v/>
      </c>
      <c r="I342" s="289" t="str">
        <f>IF($A342="","",IFERROR(INDEX(Prices[FX to SGD],MATCH($A342,Prices[Key],0)),1))</f>
        <v/>
      </c>
      <c r="J342" s="287" t="str">
        <f t="shared" si="48"/>
        <v/>
      </c>
      <c r="K342" s="287" t="str">
        <f t="shared" si="49"/>
        <v/>
      </c>
      <c r="L342" s="287" t="str">
        <f t="shared" si="50"/>
        <v/>
      </c>
      <c r="M342" s="290" t="str">
        <f t="shared" si="51"/>
        <v/>
      </c>
      <c r="N342" s="243" t="str">
        <f>IF($A342="","",IF(ABS(E342)&gt;0.000001,COUNT($N$1:N341)+1,""))</f>
        <v/>
      </c>
      <c r="O342" s="291" t="str">
        <f>IF($A342="","",SUMIFS(Transactions!$H$2:$H$1001,Transactions!$J$2:$J$1001,$A342,Transactions!$A$2:$A$1001,2)*$I342)</f>
        <v/>
      </c>
      <c r="P342" s="291" t="str">
        <f t="shared" si="52"/>
        <v/>
      </c>
      <c r="Q342" s="292" t="str">
        <f t="shared" si="53"/>
        <v/>
      </c>
    </row>
    <row r="343" spans="1:17" ht="15" customHeight="1" x14ac:dyDescent="0.2">
      <c r="A343" s="243" t="str">
        <f>IFERROR(INDEX(Txn[Key],MATCH(0,INDEX(COUNTIF($A$1:A342,Txn[Key])+(Txn[Key]=""),0),0)),"")</f>
        <v/>
      </c>
      <c r="B343" s="243" t="str">
        <f t="shared" si="45"/>
        <v/>
      </c>
      <c r="C343" s="243" t="str">
        <f t="shared" si="46"/>
        <v/>
      </c>
      <c r="D343" s="243" t="str">
        <f t="shared" si="47"/>
        <v/>
      </c>
      <c r="E343" s="265" t="str">
        <f>IF($A343="","",SUMIFS(Txn[Signed Units],Txn[Key],$A343))</f>
        <v/>
      </c>
      <c r="F343" s="287" t="str">
        <f>IF($A343="","",SUMIFS(Txn[Buy Cost],Txn[Key],$A343))</f>
        <v/>
      </c>
      <c r="G343" s="287" t="str">
        <f>IF($A343="","",SUMIFS(Txn[Sell Proceeds],Txn[Key],$A343))</f>
        <v/>
      </c>
      <c r="H343" s="288" t="str">
        <f>IF($A343="","",IFERROR(INDEX(Prices[Current Price],MATCH($A343,Prices[Key],0)),0))</f>
        <v/>
      </c>
      <c r="I343" s="289" t="str">
        <f>IF($A343="","",IFERROR(INDEX(Prices[FX to SGD],MATCH($A343,Prices[Key],0)),1))</f>
        <v/>
      </c>
      <c r="J343" s="287" t="str">
        <f t="shared" si="48"/>
        <v/>
      </c>
      <c r="K343" s="287" t="str">
        <f t="shared" si="49"/>
        <v/>
      </c>
      <c r="L343" s="287" t="str">
        <f t="shared" si="50"/>
        <v/>
      </c>
      <c r="M343" s="290" t="str">
        <f t="shared" si="51"/>
        <v/>
      </c>
      <c r="N343" s="243" t="str">
        <f>IF($A343="","",IF(ABS(E343)&gt;0.000001,COUNT($N$1:N342)+1,""))</f>
        <v/>
      </c>
      <c r="O343" s="291" t="str">
        <f>IF($A343="","",SUMIFS(Transactions!$H$2:$H$1001,Transactions!$J$2:$J$1001,$A343,Transactions!$A$2:$A$1001,2)*$I343)</f>
        <v/>
      </c>
      <c r="P343" s="291" t="str">
        <f t="shared" si="52"/>
        <v/>
      </c>
      <c r="Q343" s="292" t="str">
        <f t="shared" si="53"/>
        <v/>
      </c>
    </row>
    <row r="344" spans="1:17" ht="15" customHeight="1" x14ac:dyDescent="0.2">
      <c r="A344" s="243" t="str">
        <f>IFERROR(INDEX(Txn[Key],MATCH(0,INDEX(COUNTIF($A$1:A343,Txn[Key])+(Txn[Key]=""),0),0)),"")</f>
        <v/>
      </c>
      <c r="B344" s="243" t="str">
        <f t="shared" si="45"/>
        <v/>
      </c>
      <c r="C344" s="243" t="str">
        <f t="shared" si="46"/>
        <v/>
      </c>
      <c r="D344" s="243" t="str">
        <f t="shared" si="47"/>
        <v/>
      </c>
      <c r="E344" s="265" t="str">
        <f>IF($A344="","",SUMIFS(Txn[Signed Units],Txn[Key],$A344))</f>
        <v/>
      </c>
      <c r="F344" s="287" t="str">
        <f>IF($A344="","",SUMIFS(Txn[Buy Cost],Txn[Key],$A344))</f>
        <v/>
      </c>
      <c r="G344" s="287" t="str">
        <f>IF($A344="","",SUMIFS(Txn[Sell Proceeds],Txn[Key],$A344))</f>
        <v/>
      </c>
      <c r="H344" s="288" t="str">
        <f>IF($A344="","",IFERROR(INDEX(Prices[Current Price],MATCH($A344,Prices[Key],0)),0))</f>
        <v/>
      </c>
      <c r="I344" s="289" t="str">
        <f>IF($A344="","",IFERROR(INDEX(Prices[FX to SGD],MATCH($A344,Prices[Key],0)),1))</f>
        <v/>
      </c>
      <c r="J344" s="287" t="str">
        <f t="shared" si="48"/>
        <v/>
      </c>
      <c r="K344" s="287" t="str">
        <f t="shared" si="49"/>
        <v/>
      </c>
      <c r="L344" s="287" t="str">
        <f t="shared" si="50"/>
        <v/>
      </c>
      <c r="M344" s="290" t="str">
        <f t="shared" si="51"/>
        <v/>
      </c>
      <c r="N344" s="243" t="str">
        <f>IF($A344="","",IF(ABS(E344)&gt;0.000001,COUNT($N$1:N343)+1,""))</f>
        <v/>
      </c>
      <c r="O344" s="291" t="str">
        <f>IF($A344="","",SUMIFS(Transactions!$H$2:$H$1001,Transactions!$J$2:$J$1001,$A344,Transactions!$A$2:$A$1001,2)*$I344)</f>
        <v/>
      </c>
      <c r="P344" s="291" t="str">
        <f t="shared" si="52"/>
        <v/>
      </c>
      <c r="Q344" s="292" t="str">
        <f t="shared" si="53"/>
        <v/>
      </c>
    </row>
    <row r="345" spans="1:17" ht="15" customHeight="1" x14ac:dyDescent="0.2">
      <c r="A345" s="243" t="str">
        <f>IFERROR(INDEX(Txn[Key],MATCH(0,INDEX(COUNTIF($A$1:A344,Txn[Key])+(Txn[Key]=""),0),0)),"")</f>
        <v/>
      </c>
      <c r="B345" s="243" t="str">
        <f t="shared" si="45"/>
        <v/>
      </c>
      <c r="C345" s="243" t="str">
        <f t="shared" si="46"/>
        <v/>
      </c>
      <c r="D345" s="243" t="str">
        <f t="shared" si="47"/>
        <v/>
      </c>
      <c r="E345" s="265" t="str">
        <f>IF($A345="","",SUMIFS(Txn[Signed Units],Txn[Key],$A345))</f>
        <v/>
      </c>
      <c r="F345" s="287" t="str">
        <f>IF($A345="","",SUMIFS(Txn[Buy Cost],Txn[Key],$A345))</f>
        <v/>
      </c>
      <c r="G345" s="287" t="str">
        <f>IF($A345="","",SUMIFS(Txn[Sell Proceeds],Txn[Key],$A345))</f>
        <v/>
      </c>
      <c r="H345" s="288" t="str">
        <f>IF($A345="","",IFERROR(INDEX(Prices[Current Price],MATCH($A345,Prices[Key],0)),0))</f>
        <v/>
      </c>
      <c r="I345" s="289" t="str">
        <f>IF($A345="","",IFERROR(INDEX(Prices[FX to SGD],MATCH($A345,Prices[Key],0)),1))</f>
        <v/>
      </c>
      <c r="J345" s="287" t="str">
        <f t="shared" si="48"/>
        <v/>
      </c>
      <c r="K345" s="287" t="str">
        <f t="shared" si="49"/>
        <v/>
      </c>
      <c r="L345" s="287" t="str">
        <f t="shared" si="50"/>
        <v/>
      </c>
      <c r="M345" s="290" t="str">
        <f t="shared" si="51"/>
        <v/>
      </c>
      <c r="N345" s="243" t="str">
        <f>IF($A345="","",IF(ABS(E345)&gt;0.000001,COUNT($N$1:N344)+1,""))</f>
        <v/>
      </c>
      <c r="O345" s="291" t="str">
        <f>IF($A345="","",SUMIFS(Transactions!$H$2:$H$1001,Transactions!$J$2:$J$1001,$A345,Transactions!$A$2:$A$1001,2)*$I345)</f>
        <v/>
      </c>
      <c r="P345" s="291" t="str">
        <f t="shared" si="52"/>
        <v/>
      </c>
      <c r="Q345" s="292" t="str">
        <f t="shared" si="53"/>
        <v/>
      </c>
    </row>
    <row r="346" spans="1:17" ht="15" customHeight="1" x14ac:dyDescent="0.2">
      <c r="A346" s="243" t="str">
        <f>IFERROR(INDEX(Txn[Key],MATCH(0,INDEX(COUNTIF($A$1:A345,Txn[Key])+(Txn[Key]=""),0),0)),"")</f>
        <v/>
      </c>
      <c r="B346" s="243" t="str">
        <f t="shared" si="45"/>
        <v/>
      </c>
      <c r="C346" s="243" t="str">
        <f t="shared" si="46"/>
        <v/>
      </c>
      <c r="D346" s="243" t="str">
        <f t="shared" si="47"/>
        <v/>
      </c>
      <c r="E346" s="265" t="str">
        <f>IF($A346="","",SUMIFS(Txn[Signed Units],Txn[Key],$A346))</f>
        <v/>
      </c>
      <c r="F346" s="287" t="str">
        <f>IF($A346="","",SUMIFS(Txn[Buy Cost],Txn[Key],$A346))</f>
        <v/>
      </c>
      <c r="G346" s="287" t="str">
        <f>IF($A346="","",SUMIFS(Txn[Sell Proceeds],Txn[Key],$A346))</f>
        <v/>
      </c>
      <c r="H346" s="288" t="str">
        <f>IF($A346="","",IFERROR(INDEX(Prices[Current Price],MATCH($A346,Prices[Key],0)),0))</f>
        <v/>
      </c>
      <c r="I346" s="289" t="str">
        <f>IF($A346="","",IFERROR(INDEX(Prices[FX to SGD],MATCH($A346,Prices[Key],0)),1))</f>
        <v/>
      </c>
      <c r="J346" s="287" t="str">
        <f t="shared" si="48"/>
        <v/>
      </c>
      <c r="K346" s="287" t="str">
        <f t="shared" si="49"/>
        <v/>
      </c>
      <c r="L346" s="287" t="str">
        <f t="shared" si="50"/>
        <v/>
      </c>
      <c r="M346" s="290" t="str">
        <f t="shared" si="51"/>
        <v/>
      </c>
      <c r="N346" s="243" t="str">
        <f>IF($A346="","",IF(ABS(E346)&gt;0.000001,COUNT($N$1:N345)+1,""))</f>
        <v/>
      </c>
      <c r="O346" s="291" t="str">
        <f>IF($A346="","",SUMIFS(Transactions!$H$2:$H$1001,Transactions!$J$2:$J$1001,$A346,Transactions!$A$2:$A$1001,2)*$I346)</f>
        <v/>
      </c>
      <c r="P346" s="291" t="str">
        <f t="shared" si="52"/>
        <v/>
      </c>
      <c r="Q346" s="292" t="str">
        <f t="shared" si="53"/>
        <v/>
      </c>
    </row>
    <row r="347" spans="1:17" ht="15" customHeight="1" x14ac:dyDescent="0.2">
      <c r="A347" s="243" t="str">
        <f>IFERROR(INDEX(Txn[Key],MATCH(0,INDEX(COUNTIF($A$1:A346,Txn[Key])+(Txn[Key]=""),0),0)),"")</f>
        <v/>
      </c>
      <c r="B347" s="243" t="str">
        <f t="shared" si="45"/>
        <v/>
      </c>
      <c r="C347" s="243" t="str">
        <f t="shared" si="46"/>
        <v/>
      </c>
      <c r="D347" s="243" t="str">
        <f t="shared" si="47"/>
        <v/>
      </c>
      <c r="E347" s="265" t="str">
        <f>IF($A347="","",SUMIFS(Txn[Signed Units],Txn[Key],$A347))</f>
        <v/>
      </c>
      <c r="F347" s="287" t="str">
        <f>IF($A347="","",SUMIFS(Txn[Buy Cost],Txn[Key],$A347))</f>
        <v/>
      </c>
      <c r="G347" s="287" t="str">
        <f>IF($A347="","",SUMIFS(Txn[Sell Proceeds],Txn[Key],$A347))</f>
        <v/>
      </c>
      <c r="H347" s="288" t="str">
        <f>IF($A347="","",IFERROR(INDEX(Prices[Current Price],MATCH($A347,Prices[Key],0)),0))</f>
        <v/>
      </c>
      <c r="I347" s="289" t="str">
        <f>IF($A347="","",IFERROR(INDEX(Prices[FX to SGD],MATCH($A347,Prices[Key],0)),1))</f>
        <v/>
      </c>
      <c r="J347" s="287" t="str">
        <f t="shared" si="48"/>
        <v/>
      </c>
      <c r="K347" s="287" t="str">
        <f t="shared" si="49"/>
        <v/>
      </c>
      <c r="L347" s="287" t="str">
        <f t="shared" si="50"/>
        <v/>
      </c>
      <c r="M347" s="290" t="str">
        <f t="shared" si="51"/>
        <v/>
      </c>
      <c r="N347" s="243" t="str">
        <f>IF($A347="","",IF(ABS(E347)&gt;0.000001,COUNT($N$1:N346)+1,""))</f>
        <v/>
      </c>
      <c r="O347" s="291" t="str">
        <f>IF($A347="","",SUMIFS(Transactions!$H$2:$H$1001,Transactions!$J$2:$J$1001,$A347,Transactions!$A$2:$A$1001,2)*$I347)</f>
        <v/>
      </c>
      <c r="P347" s="291" t="str">
        <f t="shared" si="52"/>
        <v/>
      </c>
      <c r="Q347" s="292" t="str">
        <f t="shared" si="53"/>
        <v/>
      </c>
    </row>
    <row r="348" spans="1:17" ht="15" customHeight="1" x14ac:dyDescent="0.2">
      <c r="A348" s="243" t="str">
        <f>IFERROR(INDEX(Txn[Key],MATCH(0,INDEX(COUNTIF($A$1:A347,Txn[Key])+(Txn[Key]=""),0),0)),"")</f>
        <v/>
      </c>
      <c r="B348" s="243" t="str">
        <f t="shared" si="45"/>
        <v/>
      </c>
      <c r="C348" s="243" t="str">
        <f t="shared" si="46"/>
        <v/>
      </c>
      <c r="D348" s="243" t="str">
        <f t="shared" si="47"/>
        <v/>
      </c>
      <c r="E348" s="265" t="str">
        <f>IF($A348="","",SUMIFS(Txn[Signed Units],Txn[Key],$A348))</f>
        <v/>
      </c>
      <c r="F348" s="287" t="str">
        <f>IF($A348="","",SUMIFS(Txn[Buy Cost],Txn[Key],$A348))</f>
        <v/>
      </c>
      <c r="G348" s="287" t="str">
        <f>IF($A348="","",SUMIFS(Txn[Sell Proceeds],Txn[Key],$A348))</f>
        <v/>
      </c>
      <c r="H348" s="288" t="str">
        <f>IF($A348="","",IFERROR(INDEX(Prices[Current Price],MATCH($A348,Prices[Key],0)),0))</f>
        <v/>
      </c>
      <c r="I348" s="289" t="str">
        <f>IF($A348="","",IFERROR(INDEX(Prices[FX to SGD],MATCH($A348,Prices[Key],0)),1))</f>
        <v/>
      </c>
      <c r="J348" s="287" t="str">
        <f t="shared" si="48"/>
        <v/>
      </c>
      <c r="K348" s="287" t="str">
        <f t="shared" si="49"/>
        <v/>
      </c>
      <c r="L348" s="287" t="str">
        <f t="shared" si="50"/>
        <v/>
      </c>
      <c r="M348" s="290" t="str">
        <f t="shared" si="51"/>
        <v/>
      </c>
      <c r="N348" s="243" t="str">
        <f>IF($A348="","",IF(ABS(E348)&gt;0.000001,COUNT($N$1:N347)+1,""))</f>
        <v/>
      </c>
      <c r="O348" s="291" t="str">
        <f>IF($A348="","",SUMIFS(Transactions!$H$2:$H$1001,Transactions!$J$2:$J$1001,$A348,Transactions!$A$2:$A$1001,2)*$I348)</f>
        <v/>
      </c>
      <c r="P348" s="291" t="str">
        <f t="shared" si="52"/>
        <v/>
      </c>
      <c r="Q348" s="292" t="str">
        <f t="shared" si="53"/>
        <v/>
      </c>
    </row>
    <row r="349" spans="1:17" ht="15" customHeight="1" x14ac:dyDescent="0.2">
      <c r="A349" s="243" t="str">
        <f>IFERROR(INDEX(Txn[Key],MATCH(0,INDEX(COUNTIF($A$1:A348,Txn[Key])+(Txn[Key]=""),0),0)),"")</f>
        <v/>
      </c>
      <c r="B349" s="243" t="str">
        <f t="shared" si="45"/>
        <v/>
      </c>
      <c r="C349" s="243" t="str">
        <f t="shared" si="46"/>
        <v/>
      </c>
      <c r="D349" s="243" t="str">
        <f t="shared" si="47"/>
        <v/>
      </c>
      <c r="E349" s="265" t="str">
        <f>IF($A349="","",SUMIFS(Txn[Signed Units],Txn[Key],$A349))</f>
        <v/>
      </c>
      <c r="F349" s="287" t="str">
        <f>IF($A349="","",SUMIFS(Txn[Buy Cost],Txn[Key],$A349))</f>
        <v/>
      </c>
      <c r="G349" s="287" t="str">
        <f>IF($A349="","",SUMIFS(Txn[Sell Proceeds],Txn[Key],$A349))</f>
        <v/>
      </c>
      <c r="H349" s="288" t="str">
        <f>IF($A349="","",IFERROR(INDEX(Prices[Current Price],MATCH($A349,Prices[Key],0)),0))</f>
        <v/>
      </c>
      <c r="I349" s="289" t="str">
        <f>IF($A349="","",IFERROR(INDEX(Prices[FX to SGD],MATCH($A349,Prices[Key],0)),1))</f>
        <v/>
      </c>
      <c r="J349" s="287" t="str">
        <f t="shared" si="48"/>
        <v/>
      </c>
      <c r="K349" s="287" t="str">
        <f t="shared" si="49"/>
        <v/>
      </c>
      <c r="L349" s="287" t="str">
        <f t="shared" si="50"/>
        <v/>
      </c>
      <c r="M349" s="290" t="str">
        <f t="shared" si="51"/>
        <v/>
      </c>
      <c r="N349" s="243" t="str">
        <f>IF($A349="","",IF(ABS(E349)&gt;0.000001,COUNT($N$1:N348)+1,""))</f>
        <v/>
      </c>
      <c r="O349" s="291" t="str">
        <f>IF($A349="","",SUMIFS(Transactions!$H$2:$H$1001,Transactions!$J$2:$J$1001,$A349,Transactions!$A$2:$A$1001,2)*$I349)</f>
        <v/>
      </c>
      <c r="P349" s="291" t="str">
        <f t="shared" si="52"/>
        <v/>
      </c>
      <c r="Q349" s="292" t="str">
        <f t="shared" si="53"/>
        <v/>
      </c>
    </row>
    <row r="350" spans="1:17" ht="15" customHeight="1" x14ac:dyDescent="0.2">
      <c r="A350" s="243" t="str">
        <f>IFERROR(INDEX(Txn[Key],MATCH(0,INDEX(COUNTIF($A$1:A349,Txn[Key])+(Txn[Key]=""),0),0)),"")</f>
        <v/>
      </c>
      <c r="B350" s="243" t="str">
        <f t="shared" si="45"/>
        <v/>
      </c>
      <c r="C350" s="243" t="str">
        <f t="shared" si="46"/>
        <v/>
      </c>
      <c r="D350" s="243" t="str">
        <f t="shared" si="47"/>
        <v/>
      </c>
      <c r="E350" s="265" t="str">
        <f>IF($A350="","",SUMIFS(Txn[Signed Units],Txn[Key],$A350))</f>
        <v/>
      </c>
      <c r="F350" s="287" t="str">
        <f>IF($A350="","",SUMIFS(Txn[Buy Cost],Txn[Key],$A350))</f>
        <v/>
      </c>
      <c r="G350" s="287" t="str">
        <f>IF($A350="","",SUMIFS(Txn[Sell Proceeds],Txn[Key],$A350))</f>
        <v/>
      </c>
      <c r="H350" s="288" t="str">
        <f>IF($A350="","",IFERROR(INDEX(Prices[Current Price],MATCH($A350,Prices[Key],0)),0))</f>
        <v/>
      </c>
      <c r="I350" s="289" t="str">
        <f>IF($A350="","",IFERROR(INDEX(Prices[FX to SGD],MATCH($A350,Prices[Key],0)),1))</f>
        <v/>
      </c>
      <c r="J350" s="287" t="str">
        <f t="shared" si="48"/>
        <v/>
      </c>
      <c r="K350" s="287" t="str">
        <f t="shared" si="49"/>
        <v/>
      </c>
      <c r="L350" s="287" t="str">
        <f t="shared" si="50"/>
        <v/>
      </c>
      <c r="M350" s="290" t="str">
        <f t="shared" si="51"/>
        <v/>
      </c>
      <c r="N350" s="243" t="str">
        <f>IF($A350="","",IF(ABS(E350)&gt;0.000001,COUNT($N$1:N349)+1,""))</f>
        <v/>
      </c>
      <c r="O350" s="291" t="str">
        <f>IF($A350="","",SUMIFS(Transactions!$H$2:$H$1001,Transactions!$J$2:$J$1001,$A350,Transactions!$A$2:$A$1001,2)*$I350)</f>
        <v/>
      </c>
      <c r="P350" s="291" t="str">
        <f t="shared" si="52"/>
        <v/>
      </c>
      <c r="Q350" s="292" t="str">
        <f t="shared" si="53"/>
        <v/>
      </c>
    </row>
    <row r="351" spans="1:17" ht="15" customHeight="1" x14ac:dyDescent="0.2">
      <c r="A351" s="243" t="str">
        <f>IFERROR(INDEX(Txn[Key],MATCH(0,INDEX(COUNTIF($A$1:A350,Txn[Key])+(Txn[Key]=""),0),0)),"")</f>
        <v/>
      </c>
      <c r="B351" s="243" t="str">
        <f t="shared" si="45"/>
        <v/>
      </c>
      <c r="C351" s="243" t="str">
        <f t="shared" si="46"/>
        <v/>
      </c>
      <c r="D351" s="243" t="str">
        <f t="shared" si="47"/>
        <v/>
      </c>
      <c r="E351" s="265" t="str">
        <f>IF($A351="","",SUMIFS(Txn[Signed Units],Txn[Key],$A351))</f>
        <v/>
      </c>
      <c r="F351" s="287" t="str">
        <f>IF($A351="","",SUMIFS(Txn[Buy Cost],Txn[Key],$A351))</f>
        <v/>
      </c>
      <c r="G351" s="287" t="str">
        <f>IF($A351="","",SUMIFS(Txn[Sell Proceeds],Txn[Key],$A351))</f>
        <v/>
      </c>
      <c r="H351" s="288" t="str">
        <f>IF($A351="","",IFERROR(INDEX(Prices[Current Price],MATCH($A351,Prices[Key],0)),0))</f>
        <v/>
      </c>
      <c r="I351" s="289" t="str">
        <f>IF($A351="","",IFERROR(INDEX(Prices[FX to SGD],MATCH($A351,Prices[Key],0)),1))</f>
        <v/>
      </c>
      <c r="J351" s="287" t="str">
        <f t="shared" si="48"/>
        <v/>
      </c>
      <c r="K351" s="287" t="str">
        <f t="shared" si="49"/>
        <v/>
      </c>
      <c r="L351" s="287" t="str">
        <f t="shared" si="50"/>
        <v/>
      </c>
      <c r="M351" s="290" t="str">
        <f t="shared" si="51"/>
        <v/>
      </c>
      <c r="N351" s="243" t="str">
        <f>IF($A351="","",IF(ABS(E351)&gt;0.000001,COUNT($N$1:N350)+1,""))</f>
        <v/>
      </c>
      <c r="O351" s="291" t="str">
        <f>IF($A351="","",SUMIFS(Transactions!$H$2:$H$1001,Transactions!$J$2:$J$1001,$A351,Transactions!$A$2:$A$1001,2)*$I351)</f>
        <v/>
      </c>
      <c r="P351" s="291" t="str">
        <f t="shared" si="52"/>
        <v/>
      </c>
      <c r="Q351" s="292" t="str">
        <f t="shared" si="53"/>
        <v/>
      </c>
    </row>
    <row r="352" spans="1:17" ht="15" customHeight="1" x14ac:dyDescent="0.2">
      <c r="A352" s="243" t="str">
        <f>IFERROR(INDEX(Txn[Key],MATCH(0,INDEX(COUNTIF($A$1:A351,Txn[Key])+(Txn[Key]=""),0),0)),"")</f>
        <v/>
      </c>
      <c r="B352" s="243" t="str">
        <f t="shared" si="45"/>
        <v/>
      </c>
      <c r="C352" s="243" t="str">
        <f t="shared" si="46"/>
        <v/>
      </c>
      <c r="D352" s="243" t="str">
        <f t="shared" si="47"/>
        <v/>
      </c>
      <c r="E352" s="265" t="str">
        <f>IF($A352="","",SUMIFS(Txn[Signed Units],Txn[Key],$A352))</f>
        <v/>
      </c>
      <c r="F352" s="287" t="str">
        <f>IF($A352="","",SUMIFS(Txn[Buy Cost],Txn[Key],$A352))</f>
        <v/>
      </c>
      <c r="G352" s="287" t="str">
        <f>IF($A352="","",SUMIFS(Txn[Sell Proceeds],Txn[Key],$A352))</f>
        <v/>
      </c>
      <c r="H352" s="288" t="str">
        <f>IF($A352="","",IFERROR(INDEX(Prices[Current Price],MATCH($A352,Prices[Key],0)),0))</f>
        <v/>
      </c>
      <c r="I352" s="289" t="str">
        <f>IF($A352="","",IFERROR(INDEX(Prices[FX to SGD],MATCH($A352,Prices[Key],0)),1))</f>
        <v/>
      </c>
      <c r="J352" s="287" t="str">
        <f t="shared" si="48"/>
        <v/>
      </c>
      <c r="K352" s="287" t="str">
        <f t="shared" si="49"/>
        <v/>
      </c>
      <c r="L352" s="287" t="str">
        <f t="shared" si="50"/>
        <v/>
      </c>
      <c r="M352" s="290" t="str">
        <f t="shared" si="51"/>
        <v/>
      </c>
      <c r="N352" s="243" t="str">
        <f>IF($A352="","",IF(ABS(E352)&gt;0.000001,COUNT($N$1:N351)+1,""))</f>
        <v/>
      </c>
      <c r="O352" s="291" t="str">
        <f>IF($A352="","",SUMIFS(Transactions!$H$2:$H$1001,Transactions!$J$2:$J$1001,$A352,Transactions!$A$2:$A$1001,2)*$I352)</f>
        <v/>
      </c>
      <c r="P352" s="291" t="str">
        <f t="shared" si="52"/>
        <v/>
      </c>
      <c r="Q352" s="292" t="str">
        <f t="shared" si="53"/>
        <v/>
      </c>
    </row>
    <row r="353" spans="1:17" ht="15" customHeight="1" x14ac:dyDescent="0.2">
      <c r="A353" s="243" t="str">
        <f>IFERROR(INDEX(Txn[Key],MATCH(0,INDEX(COUNTIF($A$1:A352,Txn[Key])+(Txn[Key]=""),0),0)),"")</f>
        <v/>
      </c>
      <c r="B353" s="243" t="str">
        <f t="shared" si="45"/>
        <v/>
      </c>
      <c r="C353" s="243" t="str">
        <f t="shared" si="46"/>
        <v/>
      </c>
      <c r="D353" s="243" t="str">
        <f t="shared" si="47"/>
        <v/>
      </c>
      <c r="E353" s="265" t="str">
        <f>IF($A353="","",SUMIFS(Txn[Signed Units],Txn[Key],$A353))</f>
        <v/>
      </c>
      <c r="F353" s="287" t="str">
        <f>IF($A353="","",SUMIFS(Txn[Buy Cost],Txn[Key],$A353))</f>
        <v/>
      </c>
      <c r="G353" s="287" t="str">
        <f>IF($A353="","",SUMIFS(Txn[Sell Proceeds],Txn[Key],$A353))</f>
        <v/>
      </c>
      <c r="H353" s="288" t="str">
        <f>IF($A353="","",IFERROR(INDEX(Prices[Current Price],MATCH($A353,Prices[Key],0)),0))</f>
        <v/>
      </c>
      <c r="I353" s="289" t="str">
        <f>IF($A353="","",IFERROR(INDEX(Prices[FX to SGD],MATCH($A353,Prices[Key],0)),1))</f>
        <v/>
      </c>
      <c r="J353" s="287" t="str">
        <f t="shared" si="48"/>
        <v/>
      </c>
      <c r="K353" s="287" t="str">
        <f t="shared" si="49"/>
        <v/>
      </c>
      <c r="L353" s="287" t="str">
        <f t="shared" si="50"/>
        <v/>
      </c>
      <c r="M353" s="290" t="str">
        <f t="shared" si="51"/>
        <v/>
      </c>
      <c r="N353" s="243" t="str">
        <f>IF($A353="","",IF(ABS(E353)&gt;0.000001,COUNT($N$1:N352)+1,""))</f>
        <v/>
      </c>
      <c r="O353" s="291" t="str">
        <f>IF($A353="","",SUMIFS(Transactions!$H$2:$H$1001,Transactions!$J$2:$J$1001,$A353,Transactions!$A$2:$A$1001,2)*$I353)</f>
        <v/>
      </c>
      <c r="P353" s="291" t="str">
        <f t="shared" si="52"/>
        <v/>
      </c>
      <c r="Q353" s="292" t="str">
        <f t="shared" si="53"/>
        <v/>
      </c>
    </row>
    <row r="354" spans="1:17" ht="15" customHeight="1" x14ac:dyDescent="0.2">
      <c r="A354" s="243" t="str">
        <f>IFERROR(INDEX(Txn[Key],MATCH(0,INDEX(COUNTIF($A$1:A353,Txn[Key])+(Txn[Key]=""),0),0)),"")</f>
        <v/>
      </c>
      <c r="B354" s="243" t="str">
        <f t="shared" si="45"/>
        <v/>
      </c>
      <c r="C354" s="243" t="str">
        <f t="shared" si="46"/>
        <v/>
      </c>
      <c r="D354" s="243" t="str">
        <f t="shared" si="47"/>
        <v/>
      </c>
      <c r="E354" s="265" t="str">
        <f>IF($A354="","",SUMIFS(Txn[Signed Units],Txn[Key],$A354))</f>
        <v/>
      </c>
      <c r="F354" s="287" t="str">
        <f>IF($A354="","",SUMIFS(Txn[Buy Cost],Txn[Key],$A354))</f>
        <v/>
      </c>
      <c r="G354" s="287" t="str">
        <f>IF($A354="","",SUMIFS(Txn[Sell Proceeds],Txn[Key],$A354))</f>
        <v/>
      </c>
      <c r="H354" s="288" t="str">
        <f>IF($A354="","",IFERROR(INDEX(Prices[Current Price],MATCH($A354,Prices[Key],0)),0))</f>
        <v/>
      </c>
      <c r="I354" s="289" t="str">
        <f>IF($A354="","",IFERROR(INDEX(Prices[FX to SGD],MATCH($A354,Prices[Key],0)),1))</f>
        <v/>
      </c>
      <c r="J354" s="287" t="str">
        <f t="shared" si="48"/>
        <v/>
      </c>
      <c r="K354" s="287" t="str">
        <f t="shared" si="49"/>
        <v/>
      </c>
      <c r="L354" s="287" t="str">
        <f t="shared" si="50"/>
        <v/>
      </c>
      <c r="M354" s="290" t="str">
        <f t="shared" si="51"/>
        <v/>
      </c>
      <c r="N354" s="243" t="str">
        <f>IF($A354="","",IF(ABS(E354)&gt;0.000001,COUNT($N$1:N353)+1,""))</f>
        <v/>
      </c>
      <c r="O354" s="291" t="str">
        <f>IF($A354="","",SUMIFS(Transactions!$H$2:$H$1001,Transactions!$J$2:$J$1001,$A354,Transactions!$A$2:$A$1001,2)*$I354)</f>
        <v/>
      </c>
      <c r="P354" s="291" t="str">
        <f t="shared" si="52"/>
        <v/>
      </c>
      <c r="Q354" s="292" t="str">
        <f t="shared" si="53"/>
        <v/>
      </c>
    </row>
    <row r="355" spans="1:17" ht="15" customHeight="1" x14ac:dyDescent="0.2">
      <c r="A355" s="243" t="str">
        <f>IFERROR(INDEX(Txn[Key],MATCH(0,INDEX(COUNTIF($A$1:A354,Txn[Key])+(Txn[Key]=""),0),0)),"")</f>
        <v/>
      </c>
      <c r="B355" s="243" t="str">
        <f t="shared" si="45"/>
        <v/>
      </c>
      <c r="C355" s="243" t="str">
        <f t="shared" si="46"/>
        <v/>
      </c>
      <c r="D355" s="243" t="str">
        <f t="shared" si="47"/>
        <v/>
      </c>
      <c r="E355" s="265" t="str">
        <f>IF($A355="","",SUMIFS(Txn[Signed Units],Txn[Key],$A355))</f>
        <v/>
      </c>
      <c r="F355" s="287" t="str">
        <f>IF($A355="","",SUMIFS(Txn[Buy Cost],Txn[Key],$A355))</f>
        <v/>
      </c>
      <c r="G355" s="287" t="str">
        <f>IF($A355="","",SUMIFS(Txn[Sell Proceeds],Txn[Key],$A355))</f>
        <v/>
      </c>
      <c r="H355" s="288" t="str">
        <f>IF($A355="","",IFERROR(INDEX(Prices[Current Price],MATCH($A355,Prices[Key],0)),0))</f>
        <v/>
      </c>
      <c r="I355" s="289" t="str">
        <f>IF($A355="","",IFERROR(INDEX(Prices[FX to SGD],MATCH($A355,Prices[Key],0)),1))</f>
        <v/>
      </c>
      <c r="J355" s="287" t="str">
        <f t="shared" si="48"/>
        <v/>
      </c>
      <c r="K355" s="287" t="str">
        <f t="shared" si="49"/>
        <v/>
      </c>
      <c r="L355" s="287" t="str">
        <f t="shared" si="50"/>
        <v/>
      </c>
      <c r="M355" s="290" t="str">
        <f t="shared" si="51"/>
        <v/>
      </c>
      <c r="N355" s="243" t="str">
        <f>IF($A355="","",IF(ABS(E355)&gt;0.000001,COUNT($N$1:N354)+1,""))</f>
        <v/>
      </c>
      <c r="O355" s="291" t="str">
        <f>IF($A355="","",SUMIFS(Transactions!$H$2:$H$1001,Transactions!$J$2:$J$1001,$A355,Transactions!$A$2:$A$1001,2)*$I355)</f>
        <v/>
      </c>
      <c r="P355" s="291" t="str">
        <f t="shared" si="52"/>
        <v/>
      </c>
      <c r="Q355" s="292" t="str">
        <f t="shared" si="53"/>
        <v/>
      </c>
    </row>
    <row r="356" spans="1:17" ht="15" customHeight="1" x14ac:dyDescent="0.2">
      <c r="A356" s="243" t="str">
        <f>IFERROR(INDEX(Txn[Key],MATCH(0,INDEX(COUNTIF($A$1:A355,Txn[Key])+(Txn[Key]=""),0),0)),"")</f>
        <v/>
      </c>
      <c r="B356" s="243" t="str">
        <f t="shared" si="45"/>
        <v/>
      </c>
      <c r="C356" s="243" t="str">
        <f t="shared" si="46"/>
        <v/>
      </c>
      <c r="D356" s="243" t="str">
        <f t="shared" si="47"/>
        <v/>
      </c>
      <c r="E356" s="265" t="str">
        <f>IF($A356="","",SUMIFS(Txn[Signed Units],Txn[Key],$A356))</f>
        <v/>
      </c>
      <c r="F356" s="287" t="str">
        <f>IF($A356="","",SUMIFS(Txn[Buy Cost],Txn[Key],$A356))</f>
        <v/>
      </c>
      <c r="G356" s="287" t="str">
        <f>IF($A356="","",SUMIFS(Txn[Sell Proceeds],Txn[Key],$A356))</f>
        <v/>
      </c>
      <c r="H356" s="288" t="str">
        <f>IF($A356="","",IFERROR(INDEX(Prices[Current Price],MATCH($A356,Prices[Key],0)),0))</f>
        <v/>
      </c>
      <c r="I356" s="289" t="str">
        <f>IF($A356="","",IFERROR(INDEX(Prices[FX to SGD],MATCH($A356,Prices[Key],0)),1))</f>
        <v/>
      </c>
      <c r="J356" s="287" t="str">
        <f t="shared" si="48"/>
        <v/>
      </c>
      <c r="K356" s="287" t="str">
        <f t="shared" si="49"/>
        <v/>
      </c>
      <c r="L356" s="287" t="str">
        <f t="shared" si="50"/>
        <v/>
      </c>
      <c r="M356" s="290" t="str">
        <f t="shared" si="51"/>
        <v/>
      </c>
      <c r="N356" s="243" t="str">
        <f>IF($A356="","",IF(ABS(E356)&gt;0.000001,COUNT($N$1:N355)+1,""))</f>
        <v/>
      </c>
      <c r="O356" s="291" t="str">
        <f>IF($A356="","",SUMIFS(Transactions!$H$2:$H$1001,Transactions!$J$2:$J$1001,$A356,Transactions!$A$2:$A$1001,2)*$I356)</f>
        <v/>
      </c>
      <c r="P356" s="291" t="str">
        <f t="shared" si="52"/>
        <v/>
      </c>
      <c r="Q356" s="292" t="str">
        <f t="shared" si="53"/>
        <v/>
      </c>
    </row>
    <row r="357" spans="1:17" ht="15" customHeight="1" x14ac:dyDescent="0.2">
      <c r="A357" s="243" t="str">
        <f>IFERROR(INDEX(Txn[Key],MATCH(0,INDEX(COUNTIF($A$1:A356,Txn[Key])+(Txn[Key]=""),0),0)),"")</f>
        <v/>
      </c>
      <c r="B357" s="243" t="str">
        <f t="shared" si="45"/>
        <v/>
      </c>
      <c r="C357" s="243" t="str">
        <f t="shared" si="46"/>
        <v/>
      </c>
      <c r="D357" s="243" t="str">
        <f t="shared" si="47"/>
        <v/>
      </c>
      <c r="E357" s="265" t="str">
        <f>IF($A357="","",SUMIFS(Txn[Signed Units],Txn[Key],$A357))</f>
        <v/>
      </c>
      <c r="F357" s="287" t="str">
        <f>IF($A357="","",SUMIFS(Txn[Buy Cost],Txn[Key],$A357))</f>
        <v/>
      </c>
      <c r="G357" s="287" t="str">
        <f>IF($A357="","",SUMIFS(Txn[Sell Proceeds],Txn[Key],$A357))</f>
        <v/>
      </c>
      <c r="H357" s="288" t="str">
        <f>IF($A357="","",IFERROR(INDEX(Prices[Current Price],MATCH($A357,Prices[Key],0)),0))</f>
        <v/>
      </c>
      <c r="I357" s="289" t="str">
        <f>IF($A357="","",IFERROR(INDEX(Prices[FX to SGD],MATCH($A357,Prices[Key],0)),1))</f>
        <v/>
      </c>
      <c r="J357" s="287" t="str">
        <f t="shared" si="48"/>
        <v/>
      </c>
      <c r="K357" s="287" t="str">
        <f t="shared" si="49"/>
        <v/>
      </c>
      <c r="L357" s="287" t="str">
        <f t="shared" si="50"/>
        <v/>
      </c>
      <c r="M357" s="290" t="str">
        <f t="shared" si="51"/>
        <v/>
      </c>
      <c r="N357" s="243" t="str">
        <f>IF($A357="","",IF(ABS(E357)&gt;0.000001,COUNT($N$1:N356)+1,""))</f>
        <v/>
      </c>
      <c r="O357" s="291" t="str">
        <f>IF($A357="","",SUMIFS(Transactions!$H$2:$H$1001,Transactions!$J$2:$J$1001,$A357,Transactions!$A$2:$A$1001,2)*$I357)</f>
        <v/>
      </c>
      <c r="P357" s="291" t="str">
        <f t="shared" si="52"/>
        <v/>
      </c>
      <c r="Q357" s="292" t="str">
        <f t="shared" si="53"/>
        <v/>
      </c>
    </row>
    <row r="358" spans="1:17" ht="15" customHeight="1" x14ac:dyDescent="0.2">
      <c r="A358" s="243" t="str">
        <f>IFERROR(INDEX(Txn[Key],MATCH(0,INDEX(COUNTIF($A$1:A357,Txn[Key])+(Txn[Key]=""),0),0)),"")</f>
        <v/>
      </c>
      <c r="B358" s="243" t="str">
        <f t="shared" si="45"/>
        <v/>
      </c>
      <c r="C358" s="243" t="str">
        <f t="shared" si="46"/>
        <v/>
      </c>
      <c r="D358" s="243" t="str">
        <f t="shared" si="47"/>
        <v/>
      </c>
      <c r="E358" s="265" t="str">
        <f>IF($A358="","",SUMIFS(Txn[Signed Units],Txn[Key],$A358))</f>
        <v/>
      </c>
      <c r="F358" s="287" t="str">
        <f>IF($A358="","",SUMIFS(Txn[Buy Cost],Txn[Key],$A358))</f>
        <v/>
      </c>
      <c r="G358" s="287" t="str">
        <f>IF($A358="","",SUMIFS(Txn[Sell Proceeds],Txn[Key],$A358))</f>
        <v/>
      </c>
      <c r="H358" s="288" t="str">
        <f>IF($A358="","",IFERROR(INDEX(Prices[Current Price],MATCH($A358,Prices[Key],0)),0))</f>
        <v/>
      </c>
      <c r="I358" s="289" t="str">
        <f>IF($A358="","",IFERROR(INDEX(Prices[FX to SGD],MATCH($A358,Prices[Key],0)),1))</f>
        <v/>
      </c>
      <c r="J358" s="287" t="str">
        <f t="shared" si="48"/>
        <v/>
      </c>
      <c r="K358" s="287" t="str">
        <f t="shared" si="49"/>
        <v/>
      </c>
      <c r="L358" s="287" t="str">
        <f t="shared" si="50"/>
        <v/>
      </c>
      <c r="M358" s="290" t="str">
        <f t="shared" si="51"/>
        <v/>
      </c>
      <c r="N358" s="243" t="str">
        <f>IF($A358="","",IF(ABS(E358)&gt;0.000001,COUNT($N$1:N357)+1,""))</f>
        <v/>
      </c>
      <c r="O358" s="291" t="str">
        <f>IF($A358="","",SUMIFS(Transactions!$H$2:$H$1001,Transactions!$J$2:$J$1001,$A358,Transactions!$A$2:$A$1001,2)*$I358)</f>
        <v/>
      </c>
      <c r="P358" s="291" t="str">
        <f t="shared" si="52"/>
        <v/>
      </c>
      <c r="Q358" s="292" t="str">
        <f t="shared" si="53"/>
        <v/>
      </c>
    </row>
    <row r="359" spans="1:17" ht="15" customHeight="1" x14ac:dyDescent="0.2">
      <c r="A359" s="243" t="str">
        <f>IFERROR(INDEX(Txn[Key],MATCH(0,INDEX(COUNTIF($A$1:A358,Txn[Key])+(Txn[Key]=""),0),0)),"")</f>
        <v/>
      </c>
      <c r="B359" s="243" t="str">
        <f t="shared" si="45"/>
        <v/>
      </c>
      <c r="C359" s="243" t="str">
        <f t="shared" si="46"/>
        <v/>
      </c>
      <c r="D359" s="243" t="str">
        <f t="shared" si="47"/>
        <v/>
      </c>
      <c r="E359" s="265" t="str">
        <f>IF($A359="","",SUMIFS(Txn[Signed Units],Txn[Key],$A359))</f>
        <v/>
      </c>
      <c r="F359" s="287" t="str">
        <f>IF($A359="","",SUMIFS(Txn[Buy Cost],Txn[Key],$A359))</f>
        <v/>
      </c>
      <c r="G359" s="287" t="str">
        <f>IF($A359="","",SUMIFS(Txn[Sell Proceeds],Txn[Key],$A359))</f>
        <v/>
      </c>
      <c r="H359" s="288" t="str">
        <f>IF($A359="","",IFERROR(INDEX(Prices[Current Price],MATCH($A359,Prices[Key],0)),0))</f>
        <v/>
      </c>
      <c r="I359" s="289" t="str">
        <f>IF($A359="","",IFERROR(INDEX(Prices[FX to SGD],MATCH($A359,Prices[Key],0)),1))</f>
        <v/>
      </c>
      <c r="J359" s="287" t="str">
        <f t="shared" si="48"/>
        <v/>
      </c>
      <c r="K359" s="287" t="str">
        <f t="shared" si="49"/>
        <v/>
      </c>
      <c r="L359" s="287" t="str">
        <f t="shared" si="50"/>
        <v/>
      </c>
      <c r="M359" s="290" t="str">
        <f t="shared" si="51"/>
        <v/>
      </c>
      <c r="N359" s="243" t="str">
        <f>IF($A359="","",IF(ABS(E359)&gt;0.000001,COUNT($N$1:N358)+1,""))</f>
        <v/>
      </c>
      <c r="O359" s="291" t="str">
        <f>IF($A359="","",SUMIFS(Transactions!$H$2:$H$1001,Transactions!$J$2:$J$1001,$A359,Transactions!$A$2:$A$1001,2)*$I359)</f>
        <v/>
      </c>
      <c r="P359" s="291" t="str">
        <f t="shared" si="52"/>
        <v/>
      </c>
      <c r="Q359" s="292" t="str">
        <f t="shared" si="53"/>
        <v/>
      </c>
    </row>
    <row r="360" spans="1:17" ht="15" customHeight="1" x14ac:dyDescent="0.2">
      <c r="A360" s="243" t="str">
        <f>IFERROR(INDEX(Txn[Key],MATCH(0,INDEX(COUNTIF($A$1:A359,Txn[Key])+(Txn[Key]=""),0),0)),"")</f>
        <v/>
      </c>
      <c r="B360" s="243" t="str">
        <f t="shared" si="45"/>
        <v/>
      </c>
      <c r="C360" s="243" t="str">
        <f t="shared" si="46"/>
        <v/>
      </c>
      <c r="D360" s="243" t="str">
        <f t="shared" si="47"/>
        <v/>
      </c>
      <c r="E360" s="265" t="str">
        <f>IF($A360="","",SUMIFS(Txn[Signed Units],Txn[Key],$A360))</f>
        <v/>
      </c>
      <c r="F360" s="287" t="str">
        <f>IF($A360="","",SUMIFS(Txn[Buy Cost],Txn[Key],$A360))</f>
        <v/>
      </c>
      <c r="G360" s="287" t="str">
        <f>IF($A360="","",SUMIFS(Txn[Sell Proceeds],Txn[Key],$A360))</f>
        <v/>
      </c>
      <c r="H360" s="288" t="str">
        <f>IF($A360="","",IFERROR(INDEX(Prices[Current Price],MATCH($A360,Prices[Key],0)),0))</f>
        <v/>
      </c>
      <c r="I360" s="289" t="str">
        <f>IF($A360="","",IFERROR(INDEX(Prices[FX to SGD],MATCH($A360,Prices[Key],0)),1))</f>
        <v/>
      </c>
      <c r="J360" s="287" t="str">
        <f t="shared" si="48"/>
        <v/>
      </c>
      <c r="K360" s="287" t="str">
        <f t="shared" si="49"/>
        <v/>
      </c>
      <c r="L360" s="287" t="str">
        <f t="shared" si="50"/>
        <v/>
      </c>
      <c r="M360" s="290" t="str">
        <f t="shared" si="51"/>
        <v/>
      </c>
      <c r="N360" s="243" t="str">
        <f>IF($A360="","",IF(ABS(E360)&gt;0.000001,COUNT($N$1:N359)+1,""))</f>
        <v/>
      </c>
      <c r="O360" s="291" t="str">
        <f>IF($A360="","",SUMIFS(Transactions!$H$2:$H$1001,Transactions!$J$2:$J$1001,$A360,Transactions!$A$2:$A$1001,2)*$I360)</f>
        <v/>
      </c>
      <c r="P360" s="291" t="str">
        <f t="shared" si="52"/>
        <v/>
      </c>
      <c r="Q360" s="292" t="str">
        <f t="shared" si="53"/>
        <v/>
      </c>
    </row>
    <row r="361" spans="1:17" ht="15" customHeight="1" x14ac:dyDescent="0.2">
      <c r="A361" s="243" t="str">
        <f>IFERROR(INDEX(Txn[Key],MATCH(0,INDEX(COUNTIF($A$1:A360,Txn[Key])+(Txn[Key]=""),0),0)),"")</f>
        <v/>
      </c>
      <c r="B361" s="243" t="str">
        <f t="shared" si="45"/>
        <v/>
      </c>
      <c r="C361" s="243" t="str">
        <f t="shared" si="46"/>
        <v/>
      </c>
      <c r="D361" s="243" t="str">
        <f t="shared" si="47"/>
        <v/>
      </c>
      <c r="E361" s="265" t="str">
        <f>IF($A361="","",SUMIFS(Txn[Signed Units],Txn[Key],$A361))</f>
        <v/>
      </c>
      <c r="F361" s="287" t="str">
        <f>IF($A361="","",SUMIFS(Txn[Buy Cost],Txn[Key],$A361))</f>
        <v/>
      </c>
      <c r="G361" s="287" t="str">
        <f>IF($A361="","",SUMIFS(Txn[Sell Proceeds],Txn[Key],$A361))</f>
        <v/>
      </c>
      <c r="H361" s="288" t="str">
        <f>IF($A361="","",IFERROR(INDEX(Prices[Current Price],MATCH($A361,Prices[Key],0)),0))</f>
        <v/>
      </c>
      <c r="I361" s="289" t="str">
        <f>IF($A361="","",IFERROR(INDEX(Prices[FX to SGD],MATCH($A361,Prices[Key],0)),1))</f>
        <v/>
      </c>
      <c r="J361" s="287" t="str">
        <f t="shared" si="48"/>
        <v/>
      </c>
      <c r="K361" s="287" t="str">
        <f t="shared" si="49"/>
        <v/>
      </c>
      <c r="L361" s="287" t="str">
        <f t="shared" si="50"/>
        <v/>
      </c>
      <c r="M361" s="290" t="str">
        <f t="shared" si="51"/>
        <v/>
      </c>
      <c r="N361" s="243" t="str">
        <f>IF($A361="","",IF(ABS(E361)&gt;0.000001,COUNT($N$1:N360)+1,""))</f>
        <v/>
      </c>
      <c r="O361" s="291" t="str">
        <f>IF($A361="","",SUMIFS(Transactions!$H$2:$H$1001,Transactions!$J$2:$J$1001,$A361,Transactions!$A$2:$A$1001,2)*$I361)</f>
        <v/>
      </c>
      <c r="P361" s="291" t="str">
        <f t="shared" si="52"/>
        <v/>
      </c>
      <c r="Q361" s="292" t="str">
        <f t="shared" si="53"/>
        <v/>
      </c>
    </row>
    <row r="362" spans="1:17" ht="15" customHeight="1" x14ac:dyDescent="0.2">
      <c r="A362" s="243" t="str">
        <f>IFERROR(INDEX(Txn[Key],MATCH(0,INDEX(COUNTIF($A$1:A361,Txn[Key])+(Txn[Key]=""),0),0)),"")</f>
        <v/>
      </c>
      <c r="B362" s="243" t="str">
        <f t="shared" si="45"/>
        <v/>
      </c>
      <c r="C362" s="243" t="str">
        <f t="shared" si="46"/>
        <v/>
      </c>
      <c r="D362" s="243" t="str">
        <f t="shared" si="47"/>
        <v/>
      </c>
      <c r="E362" s="265" t="str">
        <f>IF($A362="","",SUMIFS(Txn[Signed Units],Txn[Key],$A362))</f>
        <v/>
      </c>
      <c r="F362" s="287" t="str">
        <f>IF($A362="","",SUMIFS(Txn[Buy Cost],Txn[Key],$A362))</f>
        <v/>
      </c>
      <c r="G362" s="287" t="str">
        <f>IF($A362="","",SUMIFS(Txn[Sell Proceeds],Txn[Key],$A362))</f>
        <v/>
      </c>
      <c r="H362" s="288" t="str">
        <f>IF($A362="","",IFERROR(INDEX(Prices[Current Price],MATCH($A362,Prices[Key],0)),0))</f>
        <v/>
      </c>
      <c r="I362" s="289" t="str">
        <f>IF($A362="","",IFERROR(INDEX(Prices[FX to SGD],MATCH($A362,Prices[Key],0)),1))</f>
        <v/>
      </c>
      <c r="J362" s="287" t="str">
        <f t="shared" si="48"/>
        <v/>
      </c>
      <c r="K362" s="287" t="str">
        <f t="shared" si="49"/>
        <v/>
      </c>
      <c r="L362" s="287" t="str">
        <f t="shared" si="50"/>
        <v/>
      </c>
      <c r="M362" s="290" t="str">
        <f t="shared" si="51"/>
        <v/>
      </c>
      <c r="N362" s="243" t="str">
        <f>IF($A362="","",IF(ABS(E362)&gt;0.000001,COUNT($N$1:N361)+1,""))</f>
        <v/>
      </c>
      <c r="O362" s="291" t="str">
        <f>IF($A362="","",SUMIFS(Transactions!$H$2:$H$1001,Transactions!$J$2:$J$1001,$A362,Transactions!$A$2:$A$1001,2)*$I362)</f>
        <v/>
      </c>
      <c r="P362" s="291" t="str">
        <f t="shared" si="52"/>
        <v/>
      </c>
      <c r="Q362" s="292" t="str">
        <f t="shared" si="53"/>
        <v/>
      </c>
    </row>
    <row r="363" spans="1:17" ht="15" customHeight="1" x14ac:dyDescent="0.2">
      <c r="A363" s="243" t="str">
        <f>IFERROR(INDEX(Txn[Key],MATCH(0,INDEX(COUNTIF($A$1:A362,Txn[Key])+(Txn[Key]=""),0),0)),"")</f>
        <v/>
      </c>
      <c r="B363" s="243" t="str">
        <f t="shared" si="45"/>
        <v/>
      </c>
      <c r="C363" s="243" t="str">
        <f t="shared" si="46"/>
        <v/>
      </c>
      <c r="D363" s="243" t="str">
        <f t="shared" si="47"/>
        <v/>
      </c>
      <c r="E363" s="265" t="str">
        <f>IF($A363="","",SUMIFS(Txn[Signed Units],Txn[Key],$A363))</f>
        <v/>
      </c>
      <c r="F363" s="287" t="str">
        <f>IF($A363="","",SUMIFS(Txn[Buy Cost],Txn[Key],$A363))</f>
        <v/>
      </c>
      <c r="G363" s="287" t="str">
        <f>IF($A363="","",SUMIFS(Txn[Sell Proceeds],Txn[Key],$A363))</f>
        <v/>
      </c>
      <c r="H363" s="288" t="str">
        <f>IF($A363="","",IFERROR(INDEX(Prices[Current Price],MATCH($A363,Prices[Key],0)),0))</f>
        <v/>
      </c>
      <c r="I363" s="289" t="str">
        <f>IF($A363="","",IFERROR(INDEX(Prices[FX to SGD],MATCH($A363,Prices[Key],0)),1))</f>
        <v/>
      </c>
      <c r="J363" s="287" t="str">
        <f t="shared" si="48"/>
        <v/>
      </c>
      <c r="K363" s="287" t="str">
        <f t="shared" si="49"/>
        <v/>
      </c>
      <c r="L363" s="287" t="str">
        <f t="shared" si="50"/>
        <v/>
      </c>
      <c r="M363" s="290" t="str">
        <f t="shared" si="51"/>
        <v/>
      </c>
      <c r="N363" s="243" t="str">
        <f>IF($A363="","",IF(ABS(E363)&gt;0.000001,COUNT($N$1:N362)+1,""))</f>
        <v/>
      </c>
      <c r="O363" s="291" t="str">
        <f>IF($A363="","",SUMIFS(Transactions!$H$2:$H$1001,Transactions!$J$2:$J$1001,$A363,Transactions!$A$2:$A$1001,2)*$I363)</f>
        <v/>
      </c>
      <c r="P363" s="291" t="str">
        <f t="shared" si="52"/>
        <v/>
      </c>
      <c r="Q363" s="292" t="str">
        <f t="shared" si="53"/>
        <v/>
      </c>
    </row>
    <row r="364" spans="1:17" ht="15" customHeight="1" x14ac:dyDescent="0.2">
      <c r="A364" s="243" t="str">
        <f>IFERROR(INDEX(Txn[Key],MATCH(0,INDEX(COUNTIF($A$1:A363,Txn[Key])+(Txn[Key]=""),0),0)),"")</f>
        <v/>
      </c>
      <c r="B364" s="243" t="str">
        <f t="shared" si="45"/>
        <v/>
      </c>
      <c r="C364" s="243" t="str">
        <f t="shared" si="46"/>
        <v/>
      </c>
      <c r="D364" s="243" t="str">
        <f t="shared" si="47"/>
        <v/>
      </c>
      <c r="E364" s="265" t="str">
        <f>IF($A364="","",SUMIFS(Txn[Signed Units],Txn[Key],$A364))</f>
        <v/>
      </c>
      <c r="F364" s="287" t="str">
        <f>IF($A364="","",SUMIFS(Txn[Buy Cost],Txn[Key],$A364))</f>
        <v/>
      </c>
      <c r="G364" s="287" t="str">
        <f>IF($A364="","",SUMIFS(Txn[Sell Proceeds],Txn[Key],$A364))</f>
        <v/>
      </c>
      <c r="H364" s="288" t="str">
        <f>IF($A364="","",IFERROR(INDEX(Prices[Current Price],MATCH($A364,Prices[Key],0)),0))</f>
        <v/>
      </c>
      <c r="I364" s="289" t="str">
        <f>IF($A364="","",IFERROR(INDEX(Prices[FX to SGD],MATCH($A364,Prices[Key],0)),1))</f>
        <v/>
      </c>
      <c r="J364" s="287" t="str">
        <f t="shared" si="48"/>
        <v/>
      </c>
      <c r="K364" s="287" t="str">
        <f t="shared" si="49"/>
        <v/>
      </c>
      <c r="L364" s="287" t="str">
        <f t="shared" si="50"/>
        <v/>
      </c>
      <c r="M364" s="290" t="str">
        <f t="shared" si="51"/>
        <v/>
      </c>
      <c r="N364" s="243" t="str">
        <f>IF($A364="","",IF(ABS(E364)&gt;0.000001,COUNT($N$1:N363)+1,""))</f>
        <v/>
      </c>
      <c r="O364" s="291" t="str">
        <f>IF($A364="","",SUMIFS(Transactions!$H$2:$H$1001,Transactions!$J$2:$J$1001,$A364,Transactions!$A$2:$A$1001,2)*$I364)</f>
        <v/>
      </c>
      <c r="P364" s="291" t="str">
        <f t="shared" si="52"/>
        <v/>
      </c>
      <c r="Q364" s="292" t="str">
        <f t="shared" si="53"/>
        <v/>
      </c>
    </row>
    <row r="365" spans="1:17" ht="15" customHeight="1" x14ac:dyDescent="0.2">
      <c r="A365" s="243" t="str">
        <f>IFERROR(INDEX(Txn[Key],MATCH(0,INDEX(COUNTIF($A$1:A364,Txn[Key])+(Txn[Key]=""),0),0)),"")</f>
        <v/>
      </c>
      <c r="B365" s="243" t="str">
        <f t="shared" si="45"/>
        <v/>
      </c>
      <c r="C365" s="243" t="str">
        <f t="shared" si="46"/>
        <v/>
      </c>
      <c r="D365" s="243" t="str">
        <f t="shared" si="47"/>
        <v/>
      </c>
      <c r="E365" s="265" t="str">
        <f>IF($A365="","",SUMIFS(Txn[Signed Units],Txn[Key],$A365))</f>
        <v/>
      </c>
      <c r="F365" s="287" t="str">
        <f>IF($A365="","",SUMIFS(Txn[Buy Cost],Txn[Key],$A365))</f>
        <v/>
      </c>
      <c r="G365" s="287" t="str">
        <f>IF($A365="","",SUMIFS(Txn[Sell Proceeds],Txn[Key],$A365))</f>
        <v/>
      </c>
      <c r="H365" s="288" t="str">
        <f>IF($A365="","",IFERROR(INDEX(Prices[Current Price],MATCH($A365,Prices[Key],0)),0))</f>
        <v/>
      </c>
      <c r="I365" s="289" t="str">
        <f>IF($A365="","",IFERROR(INDEX(Prices[FX to SGD],MATCH($A365,Prices[Key],0)),1))</f>
        <v/>
      </c>
      <c r="J365" s="287" t="str">
        <f t="shared" si="48"/>
        <v/>
      </c>
      <c r="K365" s="287" t="str">
        <f t="shared" si="49"/>
        <v/>
      </c>
      <c r="L365" s="287" t="str">
        <f t="shared" si="50"/>
        <v/>
      </c>
      <c r="M365" s="290" t="str">
        <f t="shared" si="51"/>
        <v/>
      </c>
      <c r="N365" s="243" t="str">
        <f>IF($A365="","",IF(ABS(E365)&gt;0.000001,COUNT($N$1:N364)+1,""))</f>
        <v/>
      </c>
      <c r="O365" s="291" t="str">
        <f>IF($A365="","",SUMIFS(Transactions!$H$2:$H$1001,Transactions!$J$2:$J$1001,$A365,Transactions!$A$2:$A$1001,2)*$I365)</f>
        <v/>
      </c>
      <c r="P365" s="291" t="str">
        <f t="shared" si="52"/>
        <v/>
      </c>
      <c r="Q365" s="292" t="str">
        <f t="shared" si="53"/>
        <v/>
      </c>
    </row>
    <row r="366" spans="1:17" ht="15" customHeight="1" x14ac:dyDescent="0.2">
      <c r="A366" s="243" t="str">
        <f>IFERROR(INDEX(Txn[Key],MATCH(0,INDEX(COUNTIF($A$1:A365,Txn[Key])+(Txn[Key]=""),0),0)),"")</f>
        <v/>
      </c>
      <c r="B366" s="243" t="str">
        <f t="shared" si="45"/>
        <v/>
      </c>
      <c r="C366" s="243" t="str">
        <f t="shared" si="46"/>
        <v/>
      </c>
      <c r="D366" s="243" t="str">
        <f t="shared" si="47"/>
        <v/>
      </c>
      <c r="E366" s="265" t="str">
        <f>IF($A366="","",SUMIFS(Txn[Signed Units],Txn[Key],$A366))</f>
        <v/>
      </c>
      <c r="F366" s="287" t="str">
        <f>IF($A366="","",SUMIFS(Txn[Buy Cost],Txn[Key],$A366))</f>
        <v/>
      </c>
      <c r="G366" s="287" t="str">
        <f>IF($A366="","",SUMIFS(Txn[Sell Proceeds],Txn[Key],$A366))</f>
        <v/>
      </c>
      <c r="H366" s="288" t="str">
        <f>IF($A366="","",IFERROR(INDEX(Prices[Current Price],MATCH($A366,Prices[Key],0)),0))</f>
        <v/>
      </c>
      <c r="I366" s="289" t="str">
        <f>IF($A366="","",IFERROR(INDEX(Prices[FX to SGD],MATCH($A366,Prices[Key],0)),1))</f>
        <v/>
      </c>
      <c r="J366" s="287" t="str">
        <f t="shared" si="48"/>
        <v/>
      </c>
      <c r="K366" s="287" t="str">
        <f t="shared" si="49"/>
        <v/>
      </c>
      <c r="L366" s="287" t="str">
        <f t="shared" si="50"/>
        <v/>
      </c>
      <c r="M366" s="290" t="str">
        <f t="shared" si="51"/>
        <v/>
      </c>
      <c r="N366" s="243" t="str">
        <f>IF($A366="","",IF(ABS(E366)&gt;0.000001,COUNT($N$1:N365)+1,""))</f>
        <v/>
      </c>
      <c r="O366" s="291" t="str">
        <f>IF($A366="","",SUMIFS(Transactions!$H$2:$H$1001,Transactions!$J$2:$J$1001,$A366,Transactions!$A$2:$A$1001,2)*$I366)</f>
        <v/>
      </c>
      <c r="P366" s="291" t="str">
        <f t="shared" si="52"/>
        <v/>
      </c>
      <c r="Q366" s="292" t="str">
        <f t="shared" si="53"/>
        <v/>
      </c>
    </row>
    <row r="367" spans="1:17" ht="15" customHeight="1" x14ac:dyDescent="0.2">
      <c r="A367" s="243" t="str">
        <f>IFERROR(INDEX(Txn[Key],MATCH(0,INDEX(COUNTIF($A$1:A366,Txn[Key])+(Txn[Key]=""),0),0)),"")</f>
        <v/>
      </c>
      <c r="B367" s="243" t="str">
        <f t="shared" si="45"/>
        <v/>
      </c>
      <c r="C367" s="243" t="str">
        <f t="shared" si="46"/>
        <v/>
      </c>
      <c r="D367" s="243" t="str">
        <f t="shared" si="47"/>
        <v/>
      </c>
      <c r="E367" s="265" t="str">
        <f>IF($A367="","",SUMIFS(Txn[Signed Units],Txn[Key],$A367))</f>
        <v/>
      </c>
      <c r="F367" s="287" t="str">
        <f>IF($A367="","",SUMIFS(Txn[Buy Cost],Txn[Key],$A367))</f>
        <v/>
      </c>
      <c r="G367" s="287" t="str">
        <f>IF($A367="","",SUMIFS(Txn[Sell Proceeds],Txn[Key],$A367))</f>
        <v/>
      </c>
      <c r="H367" s="288" t="str">
        <f>IF($A367="","",IFERROR(INDEX(Prices[Current Price],MATCH($A367,Prices[Key],0)),0))</f>
        <v/>
      </c>
      <c r="I367" s="289" t="str">
        <f>IF($A367="","",IFERROR(INDEX(Prices[FX to SGD],MATCH($A367,Prices[Key],0)),1))</f>
        <v/>
      </c>
      <c r="J367" s="287" t="str">
        <f t="shared" si="48"/>
        <v/>
      </c>
      <c r="K367" s="287" t="str">
        <f t="shared" si="49"/>
        <v/>
      </c>
      <c r="L367" s="287" t="str">
        <f t="shared" si="50"/>
        <v/>
      </c>
      <c r="M367" s="290" t="str">
        <f t="shared" si="51"/>
        <v/>
      </c>
      <c r="N367" s="243" t="str">
        <f>IF($A367="","",IF(ABS(E367)&gt;0.000001,COUNT($N$1:N366)+1,""))</f>
        <v/>
      </c>
      <c r="O367" s="291" t="str">
        <f>IF($A367="","",SUMIFS(Transactions!$H$2:$H$1001,Transactions!$J$2:$J$1001,$A367,Transactions!$A$2:$A$1001,2)*$I367)</f>
        <v/>
      </c>
      <c r="P367" s="291" t="str">
        <f t="shared" si="52"/>
        <v/>
      </c>
      <c r="Q367" s="292" t="str">
        <f t="shared" si="53"/>
        <v/>
      </c>
    </row>
    <row r="368" spans="1:17" ht="15" customHeight="1" x14ac:dyDescent="0.2">
      <c r="A368" s="243" t="str">
        <f>IFERROR(INDEX(Txn[Key],MATCH(0,INDEX(COUNTIF($A$1:A367,Txn[Key])+(Txn[Key]=""),0),0)),"")</f>
        <v/>
      </c>
      <c r="B368" s="243" t="str">
        <f t="shared" si="45"/>
        <v/>
      </c>
      <c r="C368" s="243" t="str">
        <f t="shared" si="46"/>
        <v/>
      </c>
      <c r="D368" s="243" t="str">
        <f t="shared" si="47"/>
        <v/>
      </c>
      <c r="E368" s="265" t="str">
        <f>IF($A368="","",SUMIFS(Txn[Signed Units],Txn[Key],$A368))</f>
        <v/>
      </c>
      <c r="F368" s="287" t="str">
        <f>IF($A368="","",SUMIFS(Txn[Buy Cost],Txn[Key],$A368))</f>
        <v/>
      </c>
      <c r="G368" s="287" t="str">
        <f>IF($A368="","",SUMIFS(Txn[Sell Proceeds],Txn[Key],$A368))</f>
        <v/>
      </c>
      <c r="H368" s="288" t="str">
        <f>IF($A368="","",IFERROR(INDEX(Prices[Current Price],MATCH($A368,Prices[Key],0)),0))</f>
        <v/>
      </c>
      <c r="I368" s="289" t="str">
        <f>IF($A368="","",IFERROR(INDEX(Prices[FX to SGD],MATCH($A368,Prices[Key],0)),1))</f>
        <v/>
      </c>
      <c r="J368" s="287" t="str">
        <f t="shared" si="48"/>
        <v/>
      </c>
      <c r="K368" s="287" t="str">
        <f t="shared" si="49"/>
        <v/>
      </c>
      <c r="L368" s="287" t="str">
        <f t="shared" si="50"/>
        <v/>
      </c>
      <c r="M368" s="290" t="str">
        <f t="shared" si="51"/>
        <v/>
      </c>
      <c r="N368" s="243" t="str">
        <f>IF($A368="","",IF(ABS(E368)&gt;0.000001,COUNT($N$1:N367)+1,""))</f>
        <v/>
      </c>
      <c r="O368" s="291" t="str">
        <f>IF($A368="","",SUMIFS(Transactions!$H$2:$H$1001,Transactions!$J$2:$J$1001,$A368,Transactions!$A$2:$A$1001,2)*$I368)</f>
        <v/>
      </c>
      <c r="P368" s="291" t="str">
        <f t="shared" si="52"/>
        <v/>
      </c>
      <c r="Q368" s="292" t="str">
        <f t="shared" si="53"/>
        <v/>
      </c>
    </row>
    <row r="369" spans="1:17" ht="15" customHeight="1" x14ac:dyDescent="0.2">
      <c r="A369" s="243" t="str">
        <f>IFERROR(INDEX(Txn[Key],MATCH(0,INDEX(COUNTIF($A$1:A368,Txn[Key])+(Txn[Key]=""),0),0)),"")</f>
        <v/>
      </c>
      <c r="B369" s="243" t="str">
        <f t="shared" si="45"/>
        <v/>
      </c>
      <c r="C369" s="243" t="str">
        <f t="shared" si="46"/>
        <v/>
      </c>
      <c r="D369" s="243" t="str">
        <f t="shared" si="47"/>
        <v/>
      </c>
      <c r="E369" s="265" t="str">
        <f>IF($A369="","",SUMIFS(Txn[Signed Units],Txn[Key],$A369))</f>
        <v/>
      </c>
      <c r="F369" s="287" t="str">
        <f>IF($A369="","",SUMIFS(Txn[Buy Cost],Txn[Key],$A369))</f>
        <v/>
      </c>
      <c r="G369" s="287" t="str">
        <f>IF($A369="","",SUMIFS(Txn[Sell Proceeds],Txn[Key],$A369))</f>
        <v/>
      </c>
      <c r="H369" s="288" t="str">
        <f>IF($A369="","",IFERROR(INDEX(Prices[Current Price],MATCH($A369,Prices[Key],0)),0))</f>
        <v/>
      </c>
      <c r="I369" s="289" t="str">
        <f>IF($A369="","",IFERROR(INDEX(Prices[FX to SGD],MATCH($A369,Prices[Key],0)),1))</f>
        <v/>
      </c>
      <c r="J369" s="287" t="str">
        <f t="shared" si="48"/>
        <v/>
      </c>
      <c r="K369" s="287" t="str">
        <f t="shared" si="49"/>
        <v/>
      </c>
      <c r="L369" s="287" t="str">
        <f t="shared" si="50"/>
        <v/>
      </c>
      <c r="M369" s="290" t="str">
        <f t="shared" si="51"/>
        <v/>
      </c>
      <c r="N369" s="243" t="str">
        <f>IF($A369="","",IF(ABS(E369)&gt;0.000001,COUNT($N$1:N368)+1,""))</f>
        <v/>
      </c>
      <c r="O369" s="291" t="str">
        <f>IF($A369="","",SUMIFS(Transactions!$H$2:$H$1001,Transactions!$J$2:$J$1001,$A369,Transactions!$A$2:$A$1001,2)*$I369)</f>
        <v/>
      </c>
      <c r="P369" s="291" t="str">
        <f t="shared" si="52"/>
        <v/>
      </c>
      <c r="Q369" s="292" t="str">
        <f t="shared" si="53"/>
        <v/>
      </c>
    </row>
    <row r="370" spans="1:17" ht="15" customHeight="1" x14ac:dyDescent="0.2">
      <c r="A370" s="243" t="str">
        <f>IFERROR(INDEX(Txn[Key],MATCH(0,INDEX(COUNTIF($A$1:A369,Txn[Key])+(Txn[Key]=""),0),0)),"")</f>
        <v/>
      </c>
      <c r="B370" s="243" t="str">
        <f t="shared" si="45"/>
        <v/>
      </c>
      <c r="C370" s="243" t="str">
        <f t="shared" si="46"/>
        <v/>
      </c>
      <c r="D370" s="243" t="str">
        <f t="shared" si="47"/>
        <v/>
      </c>
      <c r="E370" s="265" t="str">
        <f>IF($A370="","",SUMIFS(Txn[Signed Units],Txn[Key],$A370))</f>
        <v/>
      </c>
      <c r="F370" s="287" t="str">
        <f>IF($A370="","",SUMIFS(Txn[Buy Cost],Txn[Key],$A370))</f>
        <v/>
      </c>
      <c r="G370" s="287" t="str">
        <f>IF($A370="","",SUMIFS(Txn[Sell Proceeds],Txn[Key],$A370))</f>
        <v/>
      </c>
      <c r="H370" s="288" t="str">
        <f>IF($A370="","",IFERROR(INDEX(Prices[Current Price],MATCH($A370,Prices[Key],0)),0))</f>
        <v/>
      </c>
      <c r="I370" s="289" t="str">
        <f>IF($A370="","",IFERROR(INDEX(Prices[FX to SGD],MATCH($A370,Prices[Key],0)),1))</f>
        <v/>
      </c>
      <c r="J370" s="287" t="str">
        <f t="shared" si="48"/>
        <v/>
      </c>
      <c r="K370" s="287" t="str">
        <f t="shared" si="49"/>
        <v/>
      </c>
      <c r="L370" s="287" t="str">
        <f t="shared" si="50"/>
        <v/>
      </c>
      <c r="M370" s="290" t="str">
        <f t="shared" si="51"/>
        <v/>
      </c>
      <c r="N370" s="243" t="str">
        <f>IF($A370="","",IF(ABS(E370)&gt;0.000001,COUNT($N$1:N369)+1,""))</f>
        <v/>
      </c>
      <c r="O370" s="291" t="str">
        <f>IF($A370="","",SUMIFS(Transactions!$H$2:$H$1001,Transactions!$J$2:$J$1001,$A370,Transactions!$A$2:$A$1001,2)*$I370)</f>
        <v/>
      </c>
      <c r="P370" s="291" t="str">
        <f t="shared" si="52"/>
        <v/>
      </c>
      <c r="Q370" s="292" t="str">
        <f t="shared" si="53"/>
        <v/>
      </c>
    </row>
    <row r="371" spans="1:17" ht="15" customHeight="1" x14ac:dyDescent="0.2">
      <c r="A371" s="243" t="str">
        <f>IFERROR(INDEX(Txn[Key],MATCH(0,INDEX(COUNTIF($A$1:A370,Txn[Key])+(Txn[Key]=""),0),0)),"")</f>
        <v/>
      </c>
      <c r="B371" s="243" t="str">
        <f t="shared" si="45"/>
        <v/>
      </c>
      <c r="C371" s="243" t="str">
        <f t="shared" si="46"/>
        <v/>
      </c>
      <c r="D371" s="243" t="str">
        <f t="shared" si="47"/>
        <v/>
      </c>
      <c r="E371" s="265" t="str">
        <f>IF($A371="","",SUMIFS(Txn[Signed Units],Txn[Key],$A371))</f>
        <v/>
      </c>
      <c r="F371" s="287" t="str">
        <f>IF($A371="","",SUMIFS(Txn[Buy Cost],Txn[Key],$A371))</f>
        <v/>
      </c>
      <c r="G371" s="287" t="str">
        <f>IF($A371="","",SUMIFS(Txn[Sell Proceeds],Txn[Key],$A371))</f>
        <v/>
      </c>
      <c r="H371" s="288" t="str">
        <f>IF($A371="","",IFERROR(INDEX(Prices[Current Price],MATCH($A371,Prices[Key],0)),0))</f>
        <v/>
      </c>
      <c r="I371" s="289" t="str">
        <f>IF($A371="","",IFERROR(INDEX(Prices[FX to SGD],MATCH($A371,Prices[Key],0)),1))</f>
        <v/>
      </c>
      <c r="J371" s="287" t="str">
        <f t="shared" si="48"/>
        <v/>
      </c>
      <c r="K371" s="287" t="str">
        <f t="shared" si="49"/>
        <v/>
      </c>
      <c r="L371" s="287" t="str">
        <f t="shared" si="50"/>
        <v/>
      </c>
      <c r="M371" s="290" t="str">
        <f t="shared" si="51"/>
        <v/>
      </c>
      <c r="N371" s="243" t="str">
        <f>IF($A371="","",IF(ABS(E371)&gt;0.000001,COUNT($N$1:N370)+1,""))</f>
        <v/>
      </c>
      <c r="O371" s="291" t="str">
        <f>IF($A371="","",SUMIFS(Transactions!$H$2:$H$1001,Transactions!$J$2:$J$1001,$A371,Transactions!$A$2:$A$1001,2)*$I371)</f>
        <v/>
      </c>
      <c r="P371" s="291" t="str">
        <f t="shared" si="52"/>
        <v/>
      </c>
      <c r="Q371" s="292" t="str">
        <f t="shared" si="53"/>
        <v/>
      </c>
    </row>
    <row r="372" spans="1:17" ht="15" customHeight="1" x14ac:dyDescent="0.2">
      <c r="A372" s="243" t="str">
        <f>IFERROR(INDEX(Txn[Key],MATCH(0,INDEX(COUNTIF($A$1:A371,Txn[Key])+(Txn[Key]=""),0),0)),"")</f>
        <v/>
      </c>
      <c r="B372" s="243" t="str">
        <f t="shared" si="45"/>
        <v/>
      </c>
      <c r="C372" s="243" t="str">
        <f t="shared" si="46"/>
        <v/>
      </c>
      <c r="D372" s="243" t="str">
        <f t="shared" si="47"/>
        <v/>
      </c>
      <c r="E372" s="265" t="str">
        <f>IF($A372="","",SUMIFS(Txn[Signed Units],Txn[Key],$A372))</f>
        <v/>
      </c>
      <c r="F372" s="287" t="str">
        <f>IF($A372="","",SUMIFS(Txn[Buy Cost],Txn[Key],$A372))</f>
        <v/>
      </c>
      <c r="G372" s="287" t="str">
        <f>IF($A372="","",SUMIFS(Txn[Sell Proceeds],Txn[Key],$A372))</f>
        <v/>
      </c>
      <c r="H372" s="288" t="str">
        <f>IF($A372="","",IFERROR(INDEX(Prices[Current Price],MATCH($A372,Prices[Key],0)),0))</f>
        <v/>
      </c>
      <c r="I372" s="289" t="str">
        <f>IF($A372="","",IFERROR(INDEX(Prices[FX to SGD],MATCH($A372,Prices[Key],0)),1))</f>
        <v/>
      </c>
      <c r="J372" s="287" t="str">
        <f t="shared" si="48"/>
        <v/>
      </c>
      <c r="K372" s="287" t="str">
        <f t="shared" si="49"/>
        <v/>
      </c>
      <c r="L372" s="287" t="str">
        <f t="shared" si="50"/>
        <v/>
      </c>
      <c r="M372" s="290" t="str">
        <f t="shared" si="51"/>
        <v/>
      </c>
      <c r="N372" s="243" t="str">
        <f>IF($A372="","",IF(ABS(E372)&gt;0.000001,COUNT($N$1:N371)+1,""))</f>
        <v/>
      </c>
      <c r="O372" s="291" t="str">
        <f>IF($A372="","",SUMIFS(Transactions!$H$2:$H$1001,Transactions!$J$2:$J$1001,$A372,Transactions!$A$2:$A$1001,2)*$I372)</f>
        <v/>
      </c>
      <c r="P372" s="291" t="str">
        <f t="shared" si="52"/>
        <v/>
      </c>
      <c r="Q372" s="292" t="str">
        <f t="shared" si="53"/>
        <v/>
      </c>
    </row>
    <row r="373" spans="1:17" ht="15" customHeight="1" x14ac:dyDescent="0.2">
      <c r="A373" s="243" t="str">
        <f>IFERROR(INDEX(Txn[Key],MATCH(0,INDEX(COUNTIF($A$1:A372,Txn[Key])+(Txn[Key]=""),0),0)),"")</f>
        <v/>
      </c>
      <c r="B373" s="243" t="str">
        <f t="shared" si="45"/>
        <v/>
      </c>
      <c r="C373" s="243" t="str">
        <f t="shared" si="46"/>
        <v/>
      </c>
      <c r="D373" s="243" t="str">
        <f t="shared" si="47"/>
        <v/>
      </c>
      <c r="E373" s="265" t="str">
        <f>IF($A373="","",SUMIFS(Txn[Signed Units],Txn[Key],$A373))</f>
        <v/>
      </c>
      <c r="F373" s="287" t="str">
        <f>IF($A373="","",SUMIFS(Txn[Buy Cost],Txn[Key],$A373))</f>
        <v/>
      </c>
      <c r="G373" s="287" t="str">
        <f>IF($A373="","",SUMIFS(Txn[Sell Proceeds],Txn[Key],$A373))</f>
        <v/>
      </c>
      <c r="H373" s="288" t="str">
        <f>IF($A373="","",IFERROR(INDEX(Prices[Current Price],MATCH($A373,Prices[Key],0)),0))</f>
        <v/>
      </c>
      <c r="I373" s="289" t="str">
        <f>IF($A373="","",IFERROR(INDEX(Prices[FX to SGD],MATCH($A373,Prices[Key],0)),1))</f>
        <v/>
      </c>
      <c r="J373" s="287" t="str">
        <f t="shared" si="48"/>
        <v/>
      </c>
      <c r="K373" s="287" t="str">
        <f t="shared" si="49"/>
        <v/>
      </c>
      <c r="L373" s="287" t="str">
        <f t="shared" si="50"/>
        <v/>
      </c>
      <c r="M373" s="290" t="str">
        <f t="shared" si="51"/>
        <v/>
      </c>
      <c r="N373" s="243" t="str">
        <f>IF($A373="","",IF(ABS(E373)&gt;0.000001,COUNT($N$1:N372)+1,""))</f>
        <v/>
      </c>
      <c r="O373" s="291" t="str">
        <f>IF($A373="","",SUMIFS(Transactions!$H$2:$H$1001,Transactions!$J$2:$J$1001,$A373,Transactions!$A$2:$A$1001,2)*$I373)</f>
        <v/>
      </c>
      <c r="P373" s="291" t="str">
        <f t="shared" si="52"/>
        <v/>
      </c>
      <c r="Q373" s="292" t="str">
        <f t="shared" si="53"/>
        <v/>
      </c>
    </row>
    <row r="374" spans="1:17" ht="15" customHeight="1" x14ac:dyDescent="0.2">
      <c r="A374" s="243" t="str">
        <f>IFERROR(INDEX(Txn[Key],MATCH(0,INDEX(COUNTIF($A$1:A373,Txn[Key])+(Txn[Key]=""),0),0)),"")</f>
        <v/>
      </c>
      <c r="B374" s="243" t="str">
        <f t="shared" si="45"/>
        <v/>
      </c>
      <c r="C374" s="243" t="str">
        <f t="shared" si="46"/>
        <v/>
      </c>
      <c r="D374" s="243" t="str">
        <f t="shared" si="47"/>
        <v/>
      </c>
      <c r="E374" s="265" t="str">
        <f>IF($A374="","",SUMIFS(Txn[Signed Units],Txn[Key],$A374))</f>
        <v/>
      </c>
      <c r="F374" s="287" t="str">
        <f>IF($A374="","",SUMIFS(Txn[Buy Cost],Txn[Key],$A374))</f>
        <v/>
      </c>
      <c r="G374" s="287" t="str">
        <f>IF($A374="","",SUMIFS(Txn[Sell Proceeds],Txn[Key],$A374))</f>
        <v/>
      </c>
      <c r="H374" s="288" t="str">
        <f>IF($A374="","",IFERROR(INDEX(Prices[Current Price],MATCH($A374,Prices[Key],0)),0))</f>
        <v/>
      </c>
      <c r="I374" s="289" t="str">
        <f>IF($A374="","",IFERROR(INDEX(Prices[FX to SGD],MATCH($A374,Prices[Key],0)),1))</f>
        <v/>
      </c>
      <c r="J374" s="287" t="str">
        <f t="shared" si="48"/>
        <v/>
      </c>
      <c r="K374" s="287" t="str">
        <f t="shared" si="49"/>
        <v/>
      </c>
      <c r="L374" s="287" t="str">
        <f t="shared" si="50"/>
        <v/>
      </c>
      <c r="M374" s="290" t="str">
        <f t="shared" si="51"/>
        <v/>
      </c>
      <c r="N374" s="243" t="str">
        <f>IF($A374="","",IF(ABS(E374)&gt;0.000001,COUNT($N$1:N373)+1,""))</f>
        <v/>
      </c>
      <c r="O374" s="291" t="str">
        <f>IF($A374="","",SUMIFS(Transactions!$H$2:$H$1001,Transactions!$J$2:$J$1001,$A374,Transactions!$A$2:$A$1001,2)*$I374)</f>
        <v/>
      </c>
      <c r="P374" s="291" t="str">
        <f t="shared" si="52"/>
        <v/>
      </c>
      <c r="Q374" s="292" t="str">
        <f t="shared" si="53"/>
        <v/>
      </c>
    </row>
    <row r="375" spans="1:17" ht="15" customHeight="1" x14ac:dyDescent="0.2">
      <c r="A375" s="243" t="str">
        <f>IFERROR(INDEX(Txn[Key],MATCH(0,INDEX(COUNTIF($A$1:A374,Txn[Key])+(Txn[Key]=""),0),0)),"")</f>
        <v/>
      </c>
      <c r="B375" s="243" t="str">
        <f t="shared" si="45"/>
        <v/>
      </c>
      <c r="C375" s="243" t="str">
        <f t="shared" si="46"/>
        <v/>
      </c>
      <c r="D375" s="243" t="str">
        <f t="shared" si="47"/>
        <v/>
      </c>
      <c r="E375" s="265" t="str">
        <f>IF($A375="","",SUMIFS(Txn[Signed Units],Txn[Key],$A375))</f>
        <v/>
      </c>
      <c r="F375" s="287" t="str">
        <f>IF($A375="","",SUMIFS(Txn[Buy Cost],Txn[Key],$A375))</f>
        <v/>
      </c>
      <c r="G375" s="287" t="str">
        <f>IF($A375="","",SUMIFS(Txn[Sell Proceeds],Txn[Key],$A375))</f>
        <v/>
      </c>
      <c r="H375" s="288" t="str">
        <f>IF($A375="","",IFERROR(INDEX(Prices[Current Price],MATCH($A375,Prices[Key],0)),0))</f>
        <v/>
      </c>
      <c r="I375" s="289" t="str">
        <f>IF($A375="","",IFERROR(INDEX(Prices[FX to SGD],MATCH($A375,Prices[Key],0)),1))</f>
        <v/>
      </c>
      <c r="J375" s="287" t="str">
        <f t="shared" si="48"/>
        <v/>
      </c>
      <c r="K375" s="287" t="str">
        <f t="shared" si="49"/>
        <v/>
      </c>
      <c r="L375" s="287" t="str">
        <f t="shared" si="50"/>
        <v/>
      </c>
      <c r="M375" s="290" t="str">
        <f t="shared" si="51"/>
        <v/>
      </c>
      <c r="N375" s="243" t="str">
        <f>IF($A375="","",IF(ABS(E375)&gt;0.000001,COUNT($N$1:N374)+1,""))</f>
        <v/>
      </c>
      <c r="O375" s="291" t="str">
        <f>IF($A375="","",SUMIFS(Transactions!$H$2:$H$1001,Transactions!$J$2:$J$1001,$A375,Transactions!$A$2:$A$1001,2)*$I375)</f>
        <v/>
      </c>
      <c r="P375" s="291" t="str">
        <f t="shared" si="52"/>
        <v/>
      </c>
      <c r="Q375" s="292" t="str">
        <f t="shared" si="53"/>
        <v/>
      </c>
    </row>
    <row r="376" spans="1:17" ht="15" customHeight="1" x14ac:dyDescent="0.2">
      <c r="A376" s="243" t="str">
        <f>IFERROR(INDEX(Txn[Key],MATCH(0,INDEX(COUNTIF($A$1:A375,Txn[Key])+(Txn[Key]=""),0),0)),"")</f>
        <v/>
      </c>
      <c r="B376" s="243" t="str">
        <f t="shared" si="45"/>
        <v/>
      </c>
      <c r="C376" s="243" t="str">
        <f t="shared" si="46"/>
        <v/>
      </c>
      <c r="D376" s="243" t="str">
        <f t="shared" si="47"/>
        <v/>
      </c>
      <c r="E376" s="265" t="str">
        <f>IF($A376="","",SUMIFS(Txn[Signed Units],Txn[Key],$A376))</f>
        <v/>
      </c>
      <c r="F376" s="287" t="str">
        <f>IF($A376="","",SUMIFS(Txn[Buy Cost],Txn[Key],$A376))</f>
        <v/>
      </c>
      <c r="G376" s="287" t="str">
        <f>IF($A376="","",SUMIFS(Txn[Sell Proceeds],Txn[Key],$A376))</f>
        <v/>
      </c>
      <c r="H376" s="288" t="str">
        <f>IF($A376="","",IFERROR(INDEX(Prices[Current Price],MATCH($A376,Prices[Key],0)),0))</f>
        <v/>
      </c>
      <c r="I376" s="289" t="str">
        <f>IF($A376="","",IFERROR(INDEX(Prices[FX to SGD],MATCH($A376,Prices[Key],0)),1))</f>
        <v/>
      </c>
      <c r="J376" s="287" t="str">
        <f t="shared" si="48"/>
        <v/>
      </c>
      <c r="K376" s="287" t="str">
        <f t="shared" si="49"/>
        <v/>
      </c>
      <c r="L376" s="287" t="str">
        <f t="shared" si="50"/>
        <v/>
      </c>
      <c r="M376" s="290" t="str">
        <f t="shared" si="51"/>
        <v/>
      </c>
      <c r="N376" s="243" t="str">
        <f>IF($A376="","",IF(ABS(E376)&gt;0.000001,COUNT($N$1:N375)+1,""))</f>
        <v/>
      </c>
      <c r="O376" s="291" t="str">
        <f>IF($A376="","",SUMIFS(Transactions!$H$2:$H$1001,Transactions!$J$2:$J$1001,$A376,Transactions!$A$2:$A$1001,2)*$I376)</f>
        <v/>
      </c>
      <c r="P376" s="291" t="str">
        <f t="shared" si="52"/>
        <v/>
      </c>
      <c r="Q376" s="292" t="str">
        <f t="shared" si="53"/>
        <v/>
      </c>
    </row>
    <row r="377" spans="1:17" ht="15" customHeight="1" x14ac:dyDescent="0.2">
      <c r="A377" s="243" t="str">
        <f>IFERROR(INDEX(Txn[Key],MATCH(0,INDEX(COUNTIF($A$1:A376,Txn[Key])+(Txn[Key]=""),0),0)),"")</f>
        <v/>
      </c>
      <c r="B377" s="243" t="str">
        <f t="shared" si="45"/>
        <v/>
      </c>
      <c r="C377" s="243" t="str">
        <f t="shared" si="46"/>
        <v/>
      </c>
      <c r="D377" s="243" t="str">
        <f t="shared" si="47"/>
        <v/>
      </c>
      <c r="E377" s="265" t="str">
        <f>IF($A377="","",SUMIFS(Txn[Signed Units],Txn[Key],$A377))</f>
        <v/>
      </c>
      <c r="F377" s="287" t="str">
        <f>IF($A377="","",SUMIFS(Txn[Buy Cost],Txn[Key],$A377))</f>
        <v/>
      </c>
      <c r="G377" s="287" t="str">
        <f>IF($A377="","",SUMIFS(Txn[Sell Proceeds],Txn[Key],$A377))</f>
        <v/>
      </c>
      <c r="H377" s="288" t="str">
        <f>IF($A377="","",IFERROR(INDEX(Prices[Current Price],MATCH($A377,Prices[Key],0)),0))</f>
        <v/>
      </c>
      <c r="I377" s="289" t="str">
        <f>IF($A377="","",IFERROR(INDEX(Prices[FX to SGD],MATCH($A377,Prices[Key],0)),1))</f>
        <v/>
      </c>
      <c r="J377" s="287" t="str">
        <f t="shared" si="48"/>
        <v/>
      </c>
      <c r="K377" s="287" t="str">
        <f t="shared" si="49"/>
        <v/>
      </c>
      <c r="L377" s="287" t="str">
        <f t="shared" si="50"/>
        <v/>
      </c>
      <c r="M377" s="290" t="str">
        <f t="shared" si="51"/>
        <v/>
      </c>
      <c r="N377" s="243" t="str">
        <f>IF($A377="","",IF(ABS(E377)&gt;0.000001,COUNT($N$1:N376)+1,""))</f>
        <v/>
      </c>
      <c r="O377" s="291" t="str">
        <f>IF($A377="","",SUMIFS(Transactions!$H$2:$H$1001,Transactions!$J$2:$J$1001,$A377,Transactions!$A$2:$A$1001,2)*$I377)</f>
        <v/>
      </c>
      <c r="P377" s="291" t="str">
        <f t="shared" si="52"/>
        <v/>
      </c>
      <c r="Q377" s="292" t="str">
        <f t="shared" si="53"/>
        <v/>
      </c>
    </row>
    <row r="378" spans="1:17" ht="15" customHeight="1" x14ac:dyDescent="0.2">
      <c r="A378" s="243" t="str">
        <f>IFERROR(INDEX(Txn[Key],MATCH(0,INDEX(COUNTIF($A$1:A377,Txn[Key])+(Txn[Key]=""),0),0)),"")</f>
        <v/>
      </c>
      <c r="B378" s="243" t="str">
        <f t="shared" si="45"/>
        <v/>
      </c>
      <c r="C378" s="243" t="str">
        <f t="shared" si="46"/>
        <v/>
      </c>
      <c r="D378" s="243" t="str">
        <f t="shared" si="47"/>
        <v/>
      </c>
      <c r="E378" s="265" t="str">
        <f>IF($A378="","",SUMIFS(Txn[Signed Units],Txn[Key],$A378))</f>
        <v/>
      </c>
      <c r="F378" s="287" t="str">
        <f>IF($A378="","",SUMIFS(Txn[Buy Cost],Txn[Key],$A378))</f>
        <v/>
      </c>
      <c r="G378" s="287" t="str">
        <f>IF($A378="","",SUMIFS(Txn[Sell Proceeds],Txn[Key],$A378))</f>
        <v/>
      </c>
      <c r="H378" s="288" t="str">
        <f>IF($A378="","",IFERROR(INDEX(Prices[Current Price],MATCH($A378,Prices[Key],0)),0))</f>
        <v/>
      </c>
      <c r="I378" s="289" t="str">
        <f>IF($A378="","",IFERROR(INDEX(Prices[FX to SGD],MATCH($A378,Prices[Key],0)),1))</f>
        <v/>
      </c>
      <c r="J378" s="287" t="str">
        <f t="shared" si="48"/>
        <v/>
      </c>
      <c r="K378" s="287" t="str">
        <f t="shared" si="49"/>
        <v/>
      </c>
      <c r="L378" s="287" t="str">
        <f t="shared" si="50"/>
        <v/>
      </c>
      <c r="M378" s="290" t="str">
        <f t="shared" si="51"/>
        <v/>
      </c>
      <c r="N378" s="243" t="str">
        <f>IF($A378="","",IF(ABS(E378)&gt;0.000001,COUNT($N$1:N377)+1,""))</f>
        <v/>
      </c>
      <c r="O378" s="291" t="str">
        <f>IF($A378="","",SUMIFS(Transactions!$H$2:$H$1001,Transactions!$J$2:$J$1001,$A378,Transactions!$A$2:$A$1001,2)*$I378)</f>
        <v/>
      </c>
      <c r="P378" s="291" t="str">
        <f t="shared" si="52"/>
        <v/>
      </c>
      <c r="Q378" s="292" t="str">
        <f t="shared" si="53"/>
        <v/>
      </c>
    </row>
    <row r="379" spans="1:17" ht="15" customHeight="1" x14ac:dyDescent="0.2">
      <c r="A379" s="243" t="str">
        <f>IFERROR(INDEX(Txn[Key],MATCH(0,INDEX(COUNTIF($A$1:A378,Txn[Key])+(Txn[Key]=""),0),0)),"")</f>
        <v/>
      </c>
      <c r="B379" s="243" t="str">
        <f t="shared" si="45"/>
        <v/>
      </c>
      <c r="C379" s="243" t="str">
        <f t="shared" si="46"/>
        <v/>
      </c>
      <c r="D379" s="243" t="str">
        <f t="shared" si="47"/>
        <v/>
      </c>
      <c r="E379" s="265" t="str">
        <f>IF($A379="","",SUMIFS(Txn[Signed Units],Txn[Key],$A379))</f>
        <v/>
      </c>
      <c r="F379" s="287" t="str">
        <f>IF($A379="","",SUMIFS(Txn[Buy Cost],Txn[Key],$A379))</f>
        <v/>
      </c>
      <c r="G379" s="287" t="str">
        <f>IF($A379="","",SUMIFS(Txn[Sell Proceeds],Txn[Key],$A379))</f>
        <v/>
      </c>
      <c r="H379" s="288" t="str">
        <f>IF($A379="","",IFERROR(INDEX(Prices[Current Price],MATCH($A379,Prices[Key],0)),0))</f>
        <v/>
      </c>
      <c r="I379" s="289" t="str">
        <f>IF($A379="","",IFERROR(INDEX(Prices[FX to SGD],MATCH($A379,Prices[Key],0)),1))</f>
        <v/>
      </c>
      <c r="J379" s="287" t="str">
        <f t="shared" si="48"/>
        <v/>
      </c>
      <c r="K379" s="287" t="str">
        <f t="shared" si="49"/>
        <v/>
      </c>
      <c r="L379" s="287" t="str">
        <f t="shared" si="50"/>
        <v/>
      </c>
      <c r="M379" s="290" t="str">
        <f t="shared" si="51"/>
        <v/>
      </c>
      <c r="N379" s="243" t="str">
        <f>IF($A379="","",IF(ABS(E379)&gt;0.000001,COUNT($N$1:N378)+1,""))</f>
        <v/>
      </c>
      <c r="O379" s="291" t="str">
        <f>IF($A379="","",SUMIFS(Transactions!$H$2:$H$1001,Transactions!$J$2:$J$1001,$A379,Transactions!$A$2:$A$1001,2)*$I379)</f>
        <v/>
      </c>
      <c r="P379" s="291" t="str">
        <f t="shared" si="52"/>
        <v/>
      </c>
      <c r="Q379" s="292" t="str">
        <f t="shared" si="53"/>
        <v/>
      </c>
    </row>
    <row r="380" spans="1:17" ht="15" customHeight="1" x14ac:dyDescent="0.2">
      <c r="A380" s="243" t="str">
        <f>IFERROR(INDEX(Txn[Key],MATCH(0,INDEX(COUNTIF($A$1:A379,Txn[Key])+(Txn[Key]=""),0),0)),"")</f>
        <v/>
      </c>
      <c r="B380" s="243" t="str">
        <f t="shared" si="45"/>
        <v/>
      </c>
      <c r="C380" s="243" t="str">
        <f t="shared" si="46"/>
        <v/>
      </c>
      <c r="D380" s="243" t="str">
        <f t="shared" si="47"/>
        <v/>
      </c>
      <c r="E380" s="265" t="str">
        <f>IF($A380="","",SUMIFS(Txn[Signed Units],Txn[Key],$A380))</f>
        <v/>
      </c>
      <c r="F380" s="287" t="str">
        <f>IF($A380="","",SUMIFS(Txn[Buy Cost],Txn[Key],$A380))</f>
        <v/>
      </c>
      <c r="G380" s="287" t="str">
        <f>IF($A380="","",SUMIFS(Txn[Sell Proceeds],Txn[Key],$A380))</f>
        <v/>
      </c>
      <c r="H380" s="288" t="str">
        <f>IF($A380="","",IFERROR(INDEX(Prices[Current Price],MATCH($A380,Prices[Key],0)),0))</f>
        <v/>
      </c>
      <c r="I380" s="289" t="str">
        <f>IF($A380="","",IFERROR(INDEX(Prices[FX to SGD],MATCH($A380,Prices[Key],0)),1))</f>
        <v/>
      </c>
      <c r="J380" s="287" t="str">
        <f t="shared" si="48"/>
        <v/>
      </c>
      <c r="K380" s="287" t="str">
        <f t="shared" si="49"/>
        <v/>
      </c>
      <c r="L380" s="287" t="str">
        <f t="shared" si="50"/>
        <v/>
      </c>
      <c r="M380" s="290" t="str">
        <f t="shared" si="51"/>
        <v/>
      </c>
      <c r="N380" s="243" t="str">
        <f>IF($A380="","",IF(ABS(E380)&gt;0.000001,COUNT($N$1:N379)+1,""))</f>
        <v/>
      </c>
      <c r="O380" s="291" t="str">
        <f>IF($A380="","",SUMIFS(Transactions!$H$2:$H$1001,Transactions!$J$2:$J$1001,$A380,Transactions!$A$2:$A$1001,2)*$I380)</f>
        <v/>
      </c>
      <c r="P380" s="291" t="str">
        <f t="shared" si="52"/>
        <v/>
      </c>
      <c r="Q380" s="292" t="str">
        <f t="shared" si="53"/>
        <v/>
      </c>
    </row>
    <row r="381" spans="1:17" ht="15" customHeight="1" x14ac:dyDescent="0.2">
      <c r="A381" s="243" t="str">
        <f>IFERROR(INDEX(Txn[Key],MATCH(0,INDEX(COUNTIF($A$1:A380,Txn[Key])+(Txn[Key]=""),0),0)),"")</f>
        <v/>
      </c>
      <c r="B381" s="243" t="str">
        <f t="shared" si="45"/>
        <v/>
      </c>
      <c r="C381" s="243" t="str">
        <f t="shared" si="46"/>
        <v/>
      </c>
      <c r="D381" s="243" t="str">
        <f t="shared" si="47"/>
        <v/>
      </c>
      <c r="E381" s="265" t="str">
        <f>IF($A381="","",SUMIFS(Txn[Signed Units],Txn[Key],$A381))</f>
        <v/>
      </c>
      <c r="F381" s="287" t="str">
        <f>IF($A381="","",SUMIFS(Txn[Buy Cost],Txn[Key],$A381))</f>
        <v/>
      </c>
      <c r="G381" s="287" t="str">
        <f>IF($A381="","",SUMIFS(Txn[Sell Proceeds],Txn[Key],$A381))</f>
        <v/>
      </c>
      <c r="H381" s="288" t="str">
        <f>IF($A381="","",IFERROR(INDEX(Prices[Current Price],MATCH($A381,Prices[Key],0)),0))</f>
        <v/>
      </c>
      <c r="I381" s="289" t="str">
        <f>IF($A381="","",IFERROR(INDEX(Prices[FX to SGD],MATCH($A381,Prices[Key],0)),1))</f>
        <v/>
      </c>
      <c r="J381" s="287" t="str">
        <f t="shared" si="48"/>
        <v/>
      </c>
      <c r="K381" s="287" t="str">
        <f t="shared" si="49"/>
        <v/>
      </c>
      <c r="L381" s="287" t="str">
        <f t="shared" si="50"/>
        <v/>
      </c>
      <c r="M381" s="290" t="str">
        <f t="shared" si="51"/>
        <v/>
      </c>
      <c r="N381" s="243" t="str">
        <f>IF($A381="","",IF(ABS(E381)&gt;0.000001,COUNT($N$1:N380)+1,""))</f>
        <v/>
      </c>
      <c r="O381" s="291" t="str">
        <f>IF($A381="","",SUMIFS(Transactions!$H$2:$H$1001,Transactions!$J$2:$J$1001,$A381,Transactions!$A$2:$A$1001,2)*$I381)</f>
        <v/>
      </c>
      <c r="P381" s="291" t="str">
        <f t="shared" si="52"/>
        <v/>
      </c>
      <c r="Q381" s="292" t="str">
        <f t="shared" si="53"/>
        <v/>
      </c>
    </row>
    <row r="382" spans="1:17" ht="15" customHeight="1" x14ac:dyDescent="0.2">
      <c r="A382" s="243" t="str">
        <f>IFERROR(INDEX(Txn[Key],MATCH(0,INDEX(COUNTIF($A$1:A381,Txn[Key])+(Txn[Key]=""),0),0)),"")</f>
        <v/>
      </c>
      <c r="B382" s="243" t="str">
        <f t="shared" si="45"/>
        <v/>
      </c>
      <c r="C382" s="243" t="str">
        <f t="shared" si="46"/>
        <v/>
      </c>
      <c r="D382" s="243" t="str">
        <f t="shared" si="47"/>
        <v/>
      </c>
      <c r="E382" s="265" t="str">
        <f>IF($A382="","",SUMIFS(Txn[Signed Units],Txn[Key],$A382))</f>
        <v/>
      </c>
      <c r="F382" s="287" t="str">
        <f>IF($A382="","",SUMIFS(Txn[Buy Cost],Txn[Key],$A382))</f>
        <v/>
      </c>
      <c r="G382" s="287" t="str">
        <f>IF($A382="","",SUMIFS(Txn[Sell Proceeds],Txn[Key],$A382))</f>
        <v/>
      </c>
      <c r="H382" s="288" t="str">
        <f>IF($A382="","",IFERROR(INDEX(Prices[Current Price],MATCH($A382,Prices[Key],0)),0))</f>
        <v/>
      </c>
      <c r="I382" s="289" t="str">
        <f>IF($A382="","",IFERROR(INDEX(Prices[FX to SGD],MATCH($A382,Prices[Key],0)),1))</f>
        <v/>
      </c>
      <c r="J382" s="287" t="str">
        <f t="shared" si="48"/>
        <v/>
      </c>
      <c r="K382" s="287" t="str">
        <f t="shared" si="49"/>
        <v/>
      </c>
      <c r="L382" s="287" t="str">
        <f t="shared" si="50"/>
        <v/>
      </c>
      <c r="M382" s="290" t="str">
        <f t="shared" si="51"/>
        <v/>
      </c>
      <c r="N382" s="243" t="str">
        <f>IF($A382="","",IF(ABS(E382)&gt;0.000001,COUNT($N$1:N381)+1,""))</f>
        <v/>
      </c>
      <c r="O382" s="291" t="str">
        <f>IF($A382="","",SUMIFS(Transactions!$H$2:$H$1001,Transactions!$J$2:$J$1001,$A382,Transactions!$A$2:$A$1001,2)*$I382)</f>
        <v/>
      </c>
      <c r="P382" s="291" t="str">
        <f t="shared" si="52"/>
        <v/>
      </c>
      <c r="Q382" s="292" t="str">
        <f t="shared" si="53"/>
        <v/>
      </c>
    </row>
    <row r="383" spans="1:17" ht="15" customHeight="1" x14ac:dyDescent="0.2">
      <c r="A383" s="243" t="str">
        <f>IFERROR(INDEX(Txn[Key],MATCH(0,INDEX(COUNTIF($A$1:A382,Txn[Key])+(Txn[Key]=""),0),0)),"")</f>
        <v/>
      </c>
      <c r="B383" s="243" t="str">
        <f t="shared" si="45"/>
        <v/>
      </c>
      <c r="C383" s="243" t="str">
        <f t="shared" si="46"/>
        <v/>
      </c>
      <c r="D383" s="243" t="str">
        <f t="shared" si="47"/>
        <v/>
      </c>
      <c r="E383" s="265" t="str">
        <f>IF($A383="","",SUMIFS(Txn[Signed Units],Txn[Key],$A383))</f>
        <v/>
      </c>
      <c r="F383" s="287" t="str">
        <f>IF($A383="","",SUMIFS(Txn[Buy Cost],Txn[Key],$A383))</f>
        <v/>
      </c>
      <c r="G383" s="287" t="str">
        <f>IF($A383="","",SUMIFS(Txn[Sell Proceeds],Txn[Key],$A383))</f>
        <v/>
      </c>
      <c r="H383" s="288" t="str">
        <f>IF($A383="","",IFERROR(INDEX(Prices[Current Price],MATCH($A383,Prices[Key],0)),0))</f>
        <v/>
      </c>
      <c r="I383" s="289" t="str">
        <f>IF($A383="","",IFERROR(INDEX(Prices[FX to SGD],MATCH($A383,Prices[Key],0)),1))</f>
        <v/>
      </c>
      <c r="J383" s="287" t="str">
        <f t="shared" si="48"/>
        <v/>
      </c>
      <c r="K383" s="287" t="str">
        <f t="shared" si="49"/>
        <v/>
      </c>
      <c r="L383" s="287" t="str">
        <f t="shared" si="50"/>
        <v/>
      </c>
      <c r="M383" s="290" t="str">
        <f t="shared" si="51"/>
        <v/>
      </c>
      <c r="N383" s="243" t="str">
        <f>IF($A383="","",IF(ABS(E383)&gt;0.000001,COUNT($N$1:N382)+1,""))</f>
        <v/>
      </c>
      <c r="O383" s="291" t="str">
        <f>IF($A383="","",SUMIFS(Transactions!$H$2:$H$1001,Transactions!$J$2:$J$1001,$A383,Transactions!$A$2:$A$1001,2)*$I383)</f>
        <v/>
      </c>
      <c r="P383" s="291" t="str">
        <f t="shared" si="52"/>
        <v/>
      </c>
      <c r="Q383" s="292" t="str">
        <f t="shared" si="53"/>
        <v/>
      </c>
    </row>
    <row r="384" spans="1:17" ht="15" customHeight="1" x14ac:dyDescent="0.2">
      <c r="A384" s="243" t="str">
        <f>IFERROR(INDEX(Txn[Key],MATCH(0,INDEX(COUNTIF($A$1:A383,Txn[Key])+(Txn[Key]=""),0),0)),"")</f>
        <v/>
      </c>
      <c r="B384" s="243" t="str">
        <f t="shared" si="45"/>
        <v/>
      </c>
      <c r="C384" s="243" t="str">
        <f t="shared" si="46"/>
        <v/>
      </c>
      <c r="D384" s="243" t="str">
        <f t="shared" si="47"/>
        <v/>
      </c>
      <c r="E384" s="265" t="str">
        <f>IF($A384="","",SUMIFS(Txn[Signed Units],Txn[Key],$A384))</f>
        <v/>
      </c>
      <c r="F384" s="287" t="str">
        <f>IF($A384="","",SUMIFS(Txn[Buy Cost],Txn[Key],$A384))</f>
        <v/>
      </c>
      <c r="G384" s="287" t="str">
        <f>IF($A384="","",SUMIFS(Txn[Sell Proceeds],Txn[Key],$A384))</f>
        <v/>
      </c>
      <c r="H384" s="288" t="str">
        <f>IF($A384="","",IFERROR(INDEX(Prices[Current Price],MATCH($A384,Prices[Key],0)),0))</f>
        <v/>
      </c>
      <c r="I384" s="289" t="str">
        <f>IF($A384="","",IFERROR(INDEX(Prices[FX to SGD],MATCH($A384,Prices[Key],0)),1))</f>
        <v/>
      </c>
      <c r="J384" s="287" t="str">
        <f t="shared" si="48"/>
        <v/>
      </c>
      <c r="K384" s="287" t="str">
        <f t="shared" si="49"/>
        <v/>
      </c>
      <c r="L384" s="287" t="str">
        <f t="shared" si="50"/>
        <v/>
      </c>
      <c r="M384" s="290" t="str">
        <f t="shared" si="51"/>
        <v/>
      </c>
      <c r="N384" s="243" t="str">
        <f>IF($A384="","",IF(ABS(E384)&gt;0.000001,COUNT($N$1:N383)+1,""))</f>
        <v/>
      </c>
      <c r="O384" s="291" t="str">
        <f>IF($A384="","",SUMIFS(Transactions!$H$2:$H$1001,Transactions!$J$2:$J$1001,$A384,Transactions!$A$2:$A$1001,2)*$I384)</f>
        <v/>
      </c>
      <c r="P384" s="291" t="str">
        <f t="shared" si="52"/>
        <v/>
      </c>
      <c r="Q384" s="292" t="str">
        <f t="shared" si="53"/>
        <v/>
      </c>
    </row>
    <row r="385" spans="1:17" ht="15" customHeight="1" x14ac:dyDescent="0.2">
      <c r="A385" s="243" t="str">
        <f>IFERROR(INDEX(Txn[Key],MATCH(0,INDEX(COUNTIF($A$1:A384,Txn[Key])+(Txn[Key]=""),0),0)),"")</f>
        <v/>
      </c>
      <c r="B385" s="243" t="str">
        <f t="shared" si="45"/>
        <v/>
      </c>
      <c r="C385" s="243" t="str">
        <f t="shared" si="46"/>
        <v/>
      </c>
      <c r="D385" s="243" t="str">
        <f t="shared" si="47"/>
        <v/>
      </c>
      <c r="E385" s="265" t="str">
        <f>IF($A385="","",SUMIFS(Txn[Signed Units],Txn[Key],$A385))</f>
        <v/>
      </c>
      <c r="F385" s="287" t="str">
        <f>IF($A385="","",SUMIFS(Txn[Buy Cost],Txn[Key],$A385))</f>
        <v/>
      </c>
      <c r="G385" s="287" t="str">
        <f>IF($A385="","",SUMIFS(Txn[Sell Proceeds],Txn[Key],$A385))</f>
        <v/>
      </c>
      <c r="H385" s="288" t="str">
        <f>IF($A385="","",IFERROR(INDEX(Prices[Current Price],MATCH($A385,Prices[Key],0)),0))</f>
        <v/>
      </c>
      <c r="I385" s="289" t="str">
        <f>IF($A385="","",IFERROR(INDEX(Prices[FX to SGD],MATCH($A385,Prices[Key],0)),1))</f>
        <v/>
      </c>
      <c r="J385" s="287" t="str">
        <f t="shared" si="48"/>
        <v/>
      </c>
      <c r="K385" s="287" t="str">
        <f t="shared" si="49"/>
        <v/>
      </c>
      <c r="L385" s="287" t="str">
        <f t="shared" si="50"/>
        <v/>
      </c>
      <c r="M385" s="290" t="str">
        <f t="shared" si="51"/>
        <v/>
      </c>
      <c r="N385" s="243" t="str">
        <f>IF($A385="","",IF(ABS(E385)&gt;0.000001,COUNT($N$1:N384)+1,""))</f>
        <v/>
      </c>
      <c r="O385" s="291" t="str">
        <f>IF($A385="","",SUMIFS(Transactions!$H$2:$H$1001,Transactions!$J$2:$J$1001,$A385,Transactions!$A$2:$A$1001,2)*$I385)</f>
        <v/>
      </c>
      <c r="P385" s="291" t="str">
        <f t="shared" si="52"/>
        <v/>
      </c>
      <c r="Q385" s="292" t="str">
        <f t="shared" si="53"/>
        <v/>
      </c>
    </row>
    <row r="386" spans="1:17" ht="15" customHeight="1" x14ac:dyDescent="0.2">
      <c r="A386" s="243" t="str">
        <f>IFERROR(INDEX(Txn[Key],MATCH(0,INDEX(COUNTIF($A$1:A385,Txn[Key])+(Txn[Key]=""),0),0)),"")</f>
        <v/>
      </c>
      <c r="B386" s="243" t="str">
        <f t="shared" ref="B386:B449" si="54">IF($A386="","",LEFT($A386,FIND(":",$A386)-1))</f>
        <v/>
      </c>
      <c r="C386" s="243" t="str">
        <f t="shared" ref="C386:C449" si="55">IF($A386="","",MID($A386,FIND(":",$A386)+1,FIND(":",$A386,FIND(":",$A386)+1)-FIND(":",$A386)-1))</f>
        <v/>
      </c>
      <c r="D386" s="243" t="str">
        <f t="shared" ref="D386:D449" si="56">IF($A386="","",RIGHT($A386,LEN($A386)-FIND(":",$A386,FIND(":",$A386)+1)))</f>
        <v/>
      </c>
      <c r="E386" s="265" t="str">
        <f>IF($A386="","",SUMIFS(Txn[Signed Units],Txn[Key],$A386))</f>
        <v/>
      </c>
      <c r="F386" s="287" t="str">
        <f>IF($A386="","",SUMIFS(Txn[Buy Cost],Txn[Key],$A386))</f>
        <v/>
      </c>
      <c r="G386" s="287" t="str">
        <f>IF($A386="","",SUMIFS(Txn[Sell Proceeds],Txn[Key],$A386))</f>
        <v/>
      </c>
      <c r="H386" s="288" t="str">
        <f>IF($A386="","",IFERROR(INDEX(Prices[Current Price],MATCH($A386,Prices[Key],0)),0))</f>
        <v/>
      </c>
      <c r="I386" s="289" t="str">
        <f>IF($A386="","",IFERROR(INDEX(Prices[FX to SGD],MATCH($A386,Prices[Key],0)),1))</f>
        <v/>
      </c>
      <c r="J386" s="287" t="str">
        <f t="shared" ref="J386:J449" si="57">IF($A386="","",E386*H386)</f>
        <v/>
      </c>
      <c r="K386" s="287" t="str">
        <f t="shared" ref="K386:K449" si="58">IF($A386="","",J386+G386-F386)</f>
        <v/>
      </c>
      <c r="L386" s="287" t="str">
        <f t="shared" ref="L386:L449" si="59">IF($A386="","",K386*I386)</f>
        <v/>
      </c>
      <c r="M386" s="290" t="str">
        <f t="shared" ref="M386:M449" si="60">IF($A386="","",IFERROR(K386/F386,0))</f>
        <v/>
      </c>
      <c r="N386" s="243" t="str">
        <f>IF($A386="","",IF(ABS(E386)&gt;0.000001,COUNT($N$1:N385)+1,""))</f>
        <v/>
      </c>
      <c r="O386" s="291" t="str">
        <f>IF($A386="","",SUMIFS(Transactions!$H$2:$H$1001,Transactions!$J$2:$J$1001,$A386,Transactions!$A$2:$A$1001,2)*$I386)</f>
        <v/>
      </c>
      <c r="P386" s="291" t="str">
        <f t="shared" ref="P386:P449" si="61">IF($A386="","",$L386+$O386)</f>
        <v/>
      </c>
      <c r="Q386" s="292" t="str">
        <f t="shared" ref="Q386:Q449" si="62">IF($A386="","",IFERROR(($L386+$O386)/($F386*$I386),0))</f>
        <v/>
      </c>
    </row>
    <row r="387" spans="1:17" ht="15" customHeight="1" x14ac:dyDescent="0.2">
      <c r="A387" s="243" t="str">
        <f>IFERROR(INDEX(Txn[Key],MATCH(0,INDEX(COUNTIF($A$1:A386,Txn[Key])+(Txn[Key]=""),0),0)),"")</f>
        <v/>
      </c>
      <c r="B387" s="243" t="str">
        <f t="shared" si="54"/>
        <v/>
      </c>
      <c r="C387" s="243" t="str">
        <f t="shared" si="55"/>
        <v/>
      </c>
      <c r="D387" s="243" t="str">
        <f t="shared" si="56"/>
        <v/>
      </c>
      <c r="E387" s="265" t="str">
        <f>IF($A387="","",SUMIFS(Txn[Signed Units],Txn[Key],$A387))</f>
        <v/>
      </c>
      <c r="F387" s="287" t="str">
        <f>IF($A387="","",SUMIFS(Txn[Buy Cost],Txn[Key],$A387))</f>
        <v/>
      </c>
      <c r="G387" s="287" t="str">
        <f>IF($A387="","",SUMIFS(Txn[Sell Proceeds],Txn[Key],$A387))</f>
        <v/>
      </c>
      <c r="H387" s="288" t="str">
        <f>IF($A387="","",IFERROR(INDEX(Prices[Current Price],MATCH($A387,Prices[Key],0)),0))</f>
        <v/>
      </c>
      <c r="I387" s="289" t="str">
        <f>IF($A387="","",IFERROR(INDEX(Prices[FX to SGD],MATCH($A387,Prices[Key],0)),1))</f>
        <v/>
      </c>
      <c r="J387" s="287" t="str">
        <f t="shared" si="57"/>
        <v/>
      </c>
      <c r="K387" s="287" t="str">
        <f t="shared" si="58"/>
        <v/>
      </c>
      <c r="L387" s="287" t="str">
        <f t="shared" si="59"/>
        <v/>
      </c>
      <c r="M387" s="290" t="str">
        <f t="shared" si="60"/>
        <v/>
      </c>
      <c r="N387" s="243" t="str">
        <f>IF($A387="","",IF(ABS(E387)&gt;0.000001,COUNT($N$1:N386)+1,""))</f>
        <v/>
      </c>
      <c r="O387" s="291" t="str">
        <f>IF($A387="","",SUMIFS(Transactions!$H$2:$H$1001,Transactions!$J$2:$J$1001,$A387,Transactions!$A$2:$A$1001,2)*$I387)</f>
        <v/>
      </c>
      <c r="P387" s="291" t="str">
        <f t="shared" si="61"/>
        <v/>
      </c>
      <c r="Q387" s="292" t="str">
        <f t="shared" si="62"/>
        <v/>
      </c>
    </row>
    <row r="388" spans="1:17" ht="15" customHeight="1" x14ac:dyDescent="0.2">
      <c r="A388" s="243" t="str">
        <f>IFERROR(INDEX(Txn[Key],MATCH(0,INDEX(COUNTIF($A$1:A387,Txn[Key])+(Txn[Key]=""),0),0)),"")</f>
        <v/>
      </c>
      <c r="B388" s="243" t="str">
        <f t="shared" si="54"/>
        <v/>
      </c>
      <c r="C388" s="243" t="str">
        <f t="shared" si="55"/>
        <v/>
      </c>
      <c r="D388" s="243" t="str">
        <f t="shared" si="56"/>
        <v/>
      </c>
      <c r="E388" s="265" t="str">
        <f>IF($A388="","",SUMIFS(Txn[Signed Units],Txn[Key],$A388))</f>
        <v/>
      </c>
      <c r="F388" s="287" t="str">
        <f>IF($A388="","",SUMIFS(Txn[Buy Cost],Txn[Key],$A388))</f>
        <v/>
      </c>
      <c r="G388" s="287" t="str">
        <f>IF($A388="","",SUMIFS(Txn[Sell Proceeds],Txn[Key],$A388))</f>
        <v/>
      </c>
      <c r="H388" s="288" t="str">
        <f>IF($A388="","",IFERROR(INDEX(Prices[Current Price],MATCH($A388,Prices[Key],0)),0))</f>
        <v/>
      </c>
      <c r="I388" s="289" t="str">
        <f>IF($A388="","",IFERROR(INDEX(Prices[FX to SGD],MATCH($A388,Prices[Key],0)),1))</f>
        <v/>
      </c>
      <c r="J388" s="287" t="str">
        <f t="shared" si="57"/>
        <v/>
      </c>
      <c r="K388" s="287" t="str">
        <f t="shared" si="58"/>
        <v/>
      </c>
      <c r="L388" s="287" t="str">
        <f t="shared" si="59"/>
        <v/>
      </c>
      <c r="M388" s="290" t="str">
        <f t="shared" si="60"/>
        <v/>
      </c>
      <c r="N388" s="243" t="str">
        <f>IF($A388="","",IF(ABS(E388)&gt;0.000001,COUNT($N$1:N387)+1,""))</f>
        <v/>
      </c>
      <c r="O388" s="291" t="str">
        <f>IF($A388="","",SUMIFS(Transactions!$H$2:$H$1001,Transactions!$J$2:$J$1001,$A388,Transactions!$A$2:$A$1001,2)*$I388)</f>
        <v/>
      </c>
      <c r="P388" s="291" t="str">
        <f t="shared" si="61"/>
        <v/>
      </c>
      <c r="Q388" s="292" t="str">
        <f t="shared" si="62"/>
        <v/>
      </c>
    </row>
    <row r="389" spans="1:17" ht="15" customHeight="1" x14ac:dyDescent="0.2">
      <c r="A389" s="243" t="str">
        <f>IFERROR(INDEX(Txn[Key],MATCH(0,INDEX(COUNTIF($A$1:A388,Txn[Key])+(Txn[Key]=""),0),0)),"")</f>
        <v/>
      </c>
      <c r="B389" s="243" t="str">
        <f t="shared" si="54"/>
        <v/>
      </c>
      <c r="C389" s="243" t="str">
        <f t="shared" si="55"/>
        <v/>
      </c>
      <c r="D389" s="243" t="str">
        <f t="shared" si="56"/>
        <v/>
      </c>
      <c r="E389" s="265" t="str">
        <f>IF($A389="","",SUMIFS(Txn[Signed Units],Txn[Key],$A389))</f>
        <v/>
      </c>
      <c r="F389" s="287" t="str">
        <f>IF($A389="","",SUMIFS(Txn[Buy Cost],Txn[Key],$A389))</f>
        <v/>
      </c>
      <c r="G389" s="287" t="str">
        <f>IF($A389="","",SUMIFS(Txn[Sell Proceeds],Txn[Key],$A389))</f>
        <v/>
      </c>
      <c r="H389" s="288" t="str">
        <f>IF($A389="","",IFERROR(INDEX(Prices[Current Price],MATCH($A389,Prices[Key],0)),0))</f>
        <v/>
      </c>
      <c r="I389" s="289" t="str">
        <f>IF($A389="","",IFERROR(INDEX(Prices[FX to SGD],MATCH($A389,Prices[Key],0)),1))</f>
        <v/>
      </c>
      <c r="J389" s="287" t="str">
        <f t="shared" si="57"/>
        <v/>
      </c>
      <c r="K389" s="287" t="str">
        <f t="shared" si="58"/>
        <v/>
      </c>
      <c r="L389" s="287" t="str">
        <f t="shared" si="59"/>
        <v/>
      </c>
      <c r="M389" s="290" t="str">
        <f t="shared" si="60"/>
        <v/>
      </c>
      <c r="N389" s="243" t="str">
        <f>IF($A389="","",IF(ABS(E389)&gt;0.000001,COUNT($N$1:N388)+1,""))</f>
        <v/>
      </c>
      <c r="O389" s="291" t="str">
        <f>IF($A389="","",SUMIFS(Transactions!$H$2:$H$1001,Transactions!$J$2:$J$1001,$A389,Transactions!$A$2:$A$1001,2)*$I389)</f>
        <v/>
      </c>
      <c r="P389" s="291" t="str">
        <f t="shared" si="61"/>
        <v/>
      </c>
      <c r="Q389" s="292" t="str">
        <f t="shared" si="62"/>
        <v/>
      </c>
    </row>
    <row r="390" spans="1:17" ht="15" customHeight="1" x14ac:dyDescent="0.2">
      <c r="A390" s="243" t="str">
        <f>IFERROR(INDEX(Txn[Key],MATCH(0,INDEX(COUNTIF($A$1:A389,Txn[Key])+(Txn[Key]=""),0),0)),"")</f>
        <v/>
      </c>
      <c r="B390" s="243" t="str">
        <f t="shared" si="54"/>
        <v/>
      </c>
      <c r="C390" s="243" t="str">
        <f t="shared" si="55"/>
        <v/>
      </c>
      <c r="D390" s="243" t="str">
        <f t="shared" si="56"/>
        <v/>
      </c>
      <c r="E390" s="265" t="str">
        <f>IF($A390="","",SUMIFS(Txn[Signed Units],Txn[Key],$A390))</f>
        <v/>
      </c>
      <c r="F390" s="287" t="str">
        <f>IF($A390="","",SUMIFS(Txn[Buy Cost],Txn[Key],$A390))</f>
        <v/>
      </c>
      <c r="G390" s="287" t="str">
        <f>IF($A390="","",SUMIFS(Txn[Sell Proceeds],Txn[Key],$A390))</f>
        <v/>
      </c>
      <c r="H390" s="288" t="str">
        <f>IF($A390="","",IFERROR(INDEX(Prices[Current Price],MATCH($A390,Prices[Key],0)),0))</f>
        <v/>
      </c>
      <c r="I390" s="289" t="str">
        <f>IF($A390="","",IFERROR(INDEX(Prices[FX to SGD],MATCH($A390,Prices[Key],0)),1))</f>
        <v/>
      </c>
      <c r="J390" s="287" t="str">
        <f t="shared" si="57"/>
        <v/>
      </c>
      <c r="K390" s="287" t="str">
        <f t="shared" si="58"/>
        <v/>
      </c>
      <c r="L390" s="287" t="str">
        <f t="shared" si="59"/>
        <v/>
      </c>
      <c r="M390" s="290" t="str">
        <f t="shared" si="60"/>
        <v/>
      </c>
      <c r="N390" s="243" t="str">
        <f>IF($A390="","",IF(ABS(E390)&gt;0.000001,COUNT($N$1:N389)+1,""))</f>
        <v/>
      </c>
      <c r="O390" s="291" t="str">
        <f>IF($A390="","",SUMIFS(Transactions!$H$2:$H$1001,Transactions!$J$2:$J$1001,$A390,Transactions!$A$2:$A$1001,2)*$I390)</f>
        <v/>
      </c>
      <c r="P390" s="291" t="str">
        <f t="shared" si="61"/>
        <v/>
      </c>
      <c r="Q390" s="292" t="str">
        <f t="shared" si="62"/>
        <v/>
      </c>
    </row>
    <row r="391" spans="1:17" ht="15" customHeight="1" x14ac:dyDescent="0.2">
      <c r="A391" s="243" t="str">
        <f>IFERROR(INDEX(Txn[Key],MATCH(0,INDEX(COUNTIF($A$1:A390,Txn[Key])+(Txn[Key]=""),0),0)),"")</f>
        <v/>
      </c>
      <c r="B391" s="243" t="str">
        <f t="shared" si="54"/>
        <v/>
      </c>
      <c r="C391" s="243" t="str">
        <f t="shared" si="55"/>
        <v/>
      </c>
      <c r="D391" s="243" t="str">
        <f t="shared" si="56"/>
        <v/>
      </c>
      <c r="E391" s="265" t="str">
        <f>IF($A391="","",SUMIFS(Txn[Signed Units],Txn[Key],$A391))</f>
        <v/>
      </c>
      <c r="F391" s="287" t="str">
        <f>IF($A391="","",SUMIFS(Txn[Buy Cost],Txn[Key],$A391))</f>
        <v/>
      </c>
      <c r="G391" s="287" t="str">
        <f>IF($A391="","",SUMIFS(Txn[Sell Proceeds],Txn[Key],$A391))</f>
        <v/>
      </c>
      <c r="H391" s="288" t="str">
        <f>IF($A391="","",IFERROR(INDEX(Prices[Current Price],MATCH($A391,Prices[Key],0)),0))</f>
        <v/>
      </c>
      <c r="I391" s="289" t="str">
        <f>IF($A391="","",IFERROR(INDEX(Prices[FX to SGD],MATCH($A391,Prices[Key],0)),1))</f>
        <v/>
      </c>
      <c r="J391" s="287" t="str">
        <f t="shared" si="57"/>
        <v/>
      </c>
      <c r="K391" s="287" t="str">
        <f t="shared" si="58"/>
        <v/>
      </c>
      <c r="L391" s="287" t="str">
        <f t="shared" si="59"/>
        <v/>
      </c>
      <c r="M391" s="290" t="str">
        <f t="shared" si="60"/>
        <v/>
      </c>
      <c r="N391" s="243" t="str">
        <f>IF($A391="","",IF(ABS(E391)&gt;0.000001,COUNT($N$1:N390)+1,""))</f>
        <v/>
      </c>
      <c r="O391" s="291" t="str">
        <f>IF($A391="","",SUMIFS(Transactions!$H$2:$H$1001,Transactions!$J$2:$J$1001,$A391,Transactions!$A$2:$A$1001,2)*$I391)</f>
        <v/>
      </c>
      <c r="P391" s="291" t="str">
        <f t="shared" si="61"/>
        <v/>
      </c>
      <c r="Q391" s="292" t="str">
        <f t="shared" si="62"/>
        <v/>
      </c>
    </row>
    <row r="392" spans="1:17" ht="15" customHeight="1" x14ac:dyDescent="0.2">
      <c r="A392" s="243" t="str">
        <f>IFERROR(INDEX(Txn[Key],MATCH(0,INDEX(COUNTIF($A$1:A391,Txn[Key])+(Txn[Key]=""),0),0)),"")</f>
        <v/>
      </c>
      <c r="B392" s="243" t="str">
        <f t="shared" si="54"/>
        <v/>
      </c>
      <c r="C392" s="243" t="str">
        <f t="shared" si="55"/>
        <v/>
      </c>
      <c r="D392" s="243" t="str">
        <f t="shared" si="56"/>
        <v/>
      </c>
      <c r="E392" s="265" t="str">
        <f>IF($A392="","",SUMIFS(Txn[Signed Units],Txn[Key],$A392))</f>
        <v/>
      </c>
      <c r="F392" s="287" t="str">
        <f>IF($A392="","",SUMIFS(Txn[Buy Cost],Txn[Key],$A392))</f>
        <v/>
      </c>
      <c r="G392" s="287" t="str">
        <f>IF($A392="","",SUMIFS(Txn[Sell Proceeds],Txn[Key],$A392))</f>
        <v/>
      </c>
      <c r="H392" s="288" t="str">
        <f>IF($A392="","",IFERROR(INDEX(Prices[Current Price],MATCH($A392,Prices[Key],0)),0))</f>
        <v/>
      </c>
      <c r="I392" s="289" t="str">
        <f>IF($A392="","",IFERROR(INDEX(Prices[FX to SGD],MATCH($A392,Prices[Key],0)),1))</f>
        <v/>
      </c>
      <c r="J392" s="287" t="str">
        <f t="shared" si="57"/>
        <v/>
      </c>
      <c r="K392" s="287" t="str">
        <f t="shared" si="58"/>
        <v/>
      </c>
      <c r="L392" s="287" t="str">
        <f t="shared" si="59"/>
        <v/>
      </c>
      <c r="M392" s="290" t="str">
        <f t="shared" si="60"/>
        <v/>
      </c>
      <c r="N392" s="243" t="str">
        <f>IF($A392="","",IF(ABS(E392)&gt;0.000001,COUNT($N$1:N391)+1,""))</f>
        <v/>
      </c>
      <c r="O392" s="291" t="str">
        <f>IF($A392="","",SUMIFS(Transactions!$H$2:$H$1001,Transactions!$J$2:$J$1001,$A392,Transactions!$A$2:$A$1001,2)*$I392)</f>
        <v/>
      </c>
      <c r="P392" s="291" t="str">
        <f t="shared" si="61"/>
        <v/>
      </c>
      <c r="Q392" s="292" t="str">
        <f t="shared" si="62"/>
        <v/>
      </c>
    </row>
    <row r="393" spans="1:17" ht="15" customHeight="1" x14ac:dyDescent="0.2">
      <c r="A393" s="243" t="str">
        <f>IFERROR(INDEX(Txn[Key],MATCH(0,INDEX(COUNTIF($A$1:A392,Txn[Key])+(Txn[Key]=""),0),0)),"")</f>
        <v/>
      </c>
      <c r="B393" s="243" t="str">
        <f t="shared" si="54"/>
        <v/>
      </c>
      <c r="C393" s="243" t="str">
        <f t="shared" si="55"/>
        <v/>
      </c>
      <c r="D393" s="243" t="str">
        <f t="shared" si="56"/>
        <v/>
      </c>
      <c r="E393" s="265" t="str">
        <f>IF($A393="","",SUMIFS(Txn[Signed Units],Txn[Key],$A393))</f>
        <v/>
      </c>
      <c r="F393" s="287" t="str">
        <f>IF($A393="","",SUMIFS(Txn[Buy Cost],Txn[Key],$A393))</f>
        <v/>
      </c>
      <c r="G393" s="287" t="str">
        <f>IF($A393="","",SUMIFS(Txn[Sell Proceeds],Txn[Key],$A393))</f>
        <v/>
      </c>
      <c r="H393" s="288" t="str">
        <f>IF($A393="","",IFERROR(INDEX(Prices[Current Price],MATCH($A393,Prices[Key],0)),0))</f>
        <v/>
      </c>
      <c r="I393" s="289" t="str">
        <f>IF($A393="","",IFERROR(INDEX(Prices[FX to SGD],MATCH($A393,Prices[Key],0)),1))</f>
        <v/>
      </c>
      <c r="J393" s="287" t="str">
        <f t="shared" si="57"/>
        <v/>
      </c>
      <c r="K393" s="287" t="str">
        <f t="shared" si="58"/>
        <v/>
      </c>
      <c r="L393" s="287" t="str">
        <f t="shared" si="59"/>
        <v/>
      </c>
      <c r="M393" s="290" t="str">
        <f t="shared" si="60"/>
        <v/>
      </c>
      <c r="N393" s="243" t="str">
        <f>IF($A393="","",IF(ABS(E393)&gt;0.000001,COUNT($N$1:N392)+1,""))</f>
        <v/>
      </c>
      <c r="O393" s="291" t="str">
        <f>IF($A393="","",SUMIFS(Transactions!$H$2:$H$1001,Transactions!$J$2:$J$1001,$A393,Transactions!$A$2:$A$1001,2)*$I393)</f>
        <v/>
      </c>
      <c r="P393" s="291" t="str">
        <f t="shared" si="61"/>
        <v/>
      </c>
      <c r="Q393" s="292" t="str">
        <f t="shared" si="62"/>
        <v/>
      </c>
    </row>
    <row r="394" spans="1:17" ht="15" customHeight="1" x14ac:dyDescent="0.2">
      <c r="A394" s="243" t="str">
        <f>IFERROR(INDEX(Txn[Key],MATCH(0,INDEX(COUNTIF($A$1:A393,Txn[Key])+(Txn[Key]=""),0),0)),"")</f>
        <v/>
      </c>
      <c r="B394" s="243" t="str">
        <f t="shared" si="54"/>
        <v/>
      </c>
      <c r="C394" s="243" t="str">
        <f t="shared" si="55"/>
        <v/>
      </c>
      <c r="D394" s="243" t="str">
        <f t="shared" si="56"/>
        <v/>
      </c>
      <c r="E394" s="265" t="str">
        <f>IF($A394="","",SUMIFS(Txn[Signed Units],Txn[Key],$A394))</f>
        <v/>
      </c>
      <c r="F394" s="287" t="str">
        <f>IF($A394="","",SUMIFS(Txn[Buy Cost],Txn[Key],$A394))</f>
        <v/>
      </c>
      <c r="G394" s="287" t="str">
        <f>IF($A394="","",SUMIFS(Txn[Sell Proceeds],Txn[Key],$A394))</f>
        <v/>
      </c>
      <c r="H394" s="288" t="str">
        <f>IF($A394="","",IFERROR(INDEX(Prices[Current Price],MATCH($A394,Prices[Key],0)),0))</f>
        <v/>
      </c>
      <c r="I394" s="289" t="str">
        <f>IF($A394="","",IFERROR(INDEX(Prices[FX to SGD],MATCH($A394,Prices[Key],0)),1))</f>
        <v/>
      </c>
      <c r="J394" s="287" t="str">
        <f t="shared" si="57"/>
        <v/>
      </c>
      <c r="K394" s="287" t="str">
        <f t="shared" si="58"/>
        <v/>
      </c>
      <c r="L394" s="287" t="str">
        <f t="shared" si="59"/>
        <v/>
      </c>
      <c r="M394" s="290" t="str">
        <f t="shared" si="60"/>
        <v/>
      </c>
      <c r="N394" s="243" t="str">
        <f>IF($A394="","",IF(ABS(E394)&gt;0.000001,COUNT($N$1:N393)+1,""))</f>
        <v/>
      </c>
      <c r="O394" s="291" t="str">
        <f>IF($A394="","",SUMIFS(Transactions!$H$2:$H$1001,Transactions!$J$2:$J$1001,$A394,Transactions!$A$2:$A$1001,2)*$I394)</f>
        <v/>
      </c>
      <c r="P394" s="291" t="str">
        <f t="shared" si="61"/>
        <v/>
      </c>
      <c r="Q394" s="292" t="str">
        <f t="shared" si="62"/>
        <v/>
      </c>
    </row>
    <row r="395" spans="1:17" ht="15" customHeight="1" x14ac:dyDescent="0.2">
      <c r="A395" s="243" t="str">
        <f>IFERROR(INDEX(Txn[Key],MATCH(0,INDEX(COUNTIF($A$1:A394,Txn[Key])+(Txn[Key]=""),0),0)),"")</f>
        <v/>
      </c>
      <c r="B395" s="243" t="str">
        <f t="shared" si="54"/>
        <v/>
      </c>
      <c r="C395" s="243" t="str">
        <f t="shared" si="55"/>
        <v/>
      </c>
      <c r="D395" s="243" t="str">
        <f t="shared" si="56"/>
        <v/>
      </c>
      <c r="E395" s="265" t="str">
        <f>IF($A395="","",SUMIFS(Txn[Signed Units],Txn[Key],$A395))</f>
        <v/>
      </c>
      <c r="F395" s="287" t="str">
        <f>IF($A395="","",SUMIFS(Txn[Buy Cost],Txn[Key],$A395))</f>
        <v/>
      </c>
      <c r="G395" s="287" t="str">
        <f>IF($A395="","",SUMIFS(Txn[Sell Proceeds],Txn[Key],$A395))</f>
        <v/>
      </c>
      <c r="H395" s="288" t="str">
        <f>IF($A395="","",IFERROR(INDEX(Prices[Current Price],MATCH($A395,Prices[Key],0)),0))</f>
        <v/>
      </c>
      <c r="I395" s="289" t="str">
        <f>IF($A395="","",IFERROR(INDEX(Prices[FX to SGD],MATCH($A395,Prices[Key],0)),1))</f>
        <v/>
      </c>
      <c r="J395" s="287" t="str">
        <f t="shared" si="57"/>
        <v/>
      </c>
      <c r="K395" s="287" t="str">
        <f t="shared" si="58"/>
        <v/>
      </c>
      <c r="L395" s="287" t="str">
        <f t="shared" si="59"/>
        <v/>
      </c>
      <c r="M395" s="290" t="str">
        <f t="shared" si="60"/>
        <v/>
      </c>
      <c r="N395" s="243" t="str">
        <f>IF($A395="","",IF(ABS(E395)&gt;0.000001,COUNT($N$1:N394)+1,""))</f>
        <v/>
      </c>
      <c r="O395" s="291" t="str">
        <f>IF($A395="","",SUMIFS(Transactions!$H$2:$H$1001,Transactions!$J$2:$J$1001,$A395,Transactions!$A$2:$A$1001,2)*$I395)</f>
        <v/>
      </c>
      <c r="P395" s="291" t="str">
        <f t="shared" si="61"/>
        <v/>
      </c>
      <c r="Q395" s="292" t="str">
        <f t="shared" si="62"/>
        <v/>
      </c>
    </row>
    <row r="396" spans="1:17" ht="15" customHeight="1" x14ac:dyDescent="0.2">
      <c r="A396" s="243" t="str">
        <f>IFERROR(INDEX(Txn[Key],MATCH(0,INDEX(COUNTIF($A$1:A395,Txn[Key])+(Txn[Key]=""),0),0)),"")</f>
        <v/>
      </c>
      <c r="B396" s="243" t="str">
        <f t="shared" si="54"/>
        <v/>
      </c>
      <c r="C396" s="243" t="str">
        <f t="shared" si="55"/>
        <v/>
      </c>
      <c r="D396" s="243" t="str">
        <f t="shared" si="56"/>
        <v/>
      </c>
      <c r="E396" s="265" t="str">
        <f>IF($A396="","",SUMIFS(Txn[Signed Units],Txn[Key],$A396))</f>
        <v/>
      </c>
      <c r="F396" s="287" t="str">
        <f>IF($A396="","",SUMIFS(Txn[Buy Cost],Txn[Key],$A396))</f>
        <v/>
      </c>
      <c r="G396" s="287" t="str">
        <f>IF($A396="","",SUMIFS(Txn[Sell Proceeds],Txn[Key],$A396))</f>
        <v/>
      </c>
      <c r="H396" s="288" t="str">
        <f>IF($A396="","",IFERROR(INDEX(Prices[Current Price],MATCH($A396,Prices[Key],0)),0))</f>
        <v/>
      </c>
      <c r="I396" s="289" t="str">
        <f>IF($A396="","",IFERROR(INDEX(Prices[FX to SGD],MATCH($A396,Prices[Key],0)),1))</f>
        <v/>
      </c>
      <c r="J396" s="287" t="str">
        <f t="shared" si="57"/>
        <v/>
      </c>
      <c r="K396" s="287" t="str">
        <f t="shared" si="58"/>
        <v/>
      </c>
      <c r="L396" s="287" t="str">
        <f t="shared" si="59"/>
        <v/>
      </c>
      <c r="M396" s="290" t="str">
        <f t="shared" si="60"/>
        <v/>
      </c>
      <c r="N396" s="243" t="str">
        <f>IF($A396="","",IF(ABS(E396)&gt;0.000001,COUNT($N$1:N395)+1,""))</f>
        <v/>
      </c>
      <c r="O396" s="291" t="str">
        <f>IF($A396="","",SUMIFS(Transactions!$H$2:$H$1001,Transactions!$J$2:$J$1001,$A396,Transactions!$A$2:$A$1001,2)*$I396)</f>
        <v/>
      </c>
      <c r="P396" s="291" t="str">
        <f t="shared" si="61"/>
        <v/>
      </c>
      <c r="Q396" s="292" t="str">
        <f t="shared" si="62"/>
        <v/>
      </c>
    </row>
    <row r="397" spans="1:17" ht="15" customHeight="1" x14ac:dyDescent="0.2">
      <c r="A397" s="243" t="str">
        <f>IFERROR(INDEX(Txn[Key],MATCH(0,INDEX(COUNTIF($A$1:A396,Txn[Key])+(Txn[Key]=""),0),0)),"")</f>
        <v/>
      </c>
      <c r="B397" s="243" t="str">
        <f t="shared" si="54"/>
        <v/>
      </c>
      <c r="C397" s="243" t="str">
        <f t="shared" si="55"/>
        <v/>
      </c>
      <c r="D397" s="243" t="str">
        <f t="shared" si="56"/>
        <v/>
      </c>
      <c r="E397" s="265" t="str">
        <f>IF($A397="","",SUMIFS(Txn[Signed Units],Txn[Key],$A397))</f>
        <v/>
      </c>
      <c r="F397" s="287" t="str">
        <f>IF($A397="","",SUMIFS(Txn[Buy Cost],Txn[Key],$A397))</f>
        <v/>
      </c>
      <c r="G397" s="287" t="str">
        <f>IF($A397="","",SUMIFS(Txn[Sell Proceeds],Txn[Key],$A397))</f>
        <v/>
      </c>
      <c r="H397" s="288" t="str">
        <f>IF($A397="","",IFERROR(INDEX(Prices[Current Price],MATCH($A397,Prices[Key],0)),0))</f>
        <v/>
      </c>
      <c r="I397" s="289" t="str">
        <f>IF($A397="","",IFERROR(INDEX(Prices[FX to SGD],MATCH($A397,Prices[Key],0)),1))</f>
        <v/>
      </c>
      <c r="J397" s="287" t="str">
        <f t="shared" si="57"/>
        <v/>
      </c>
      <c r="K397" s="287" t="str">
        <f t="shared" si="58"/>
        <v/>
      </c>
      <c r="L397" s="287" t="str">
        <f t="shared" si="59"/>
        <v/>
      </c>
      <c r="M397" s="290" t="str">
        <f t="shared" si="60"/>
        <v/>
      </c>
      <c r="N397" s="243" t="str">
        <f>IF($A397="","",IF(ABS(E397)&gt;0.000001,COUNT($N$1:N396)+1,""))</f>
        <v/>
      </c>
      <c r="O397" s="291" t="str">
        <f>IF($A397="","",SUMIFS(Transactions!$H$2:$H$1001,Transactions!$J$2:$J$1001,$A397,Transactions!$A$2:$A$1001,2)*$I397)</f>
        <v/>
      </c>
      <c r="P397" s="291" t="str">
        <f t="shared" si="61"/>
        <v/>
      </c>
      <c r="Q397" s="292" t="str">
        <f t="shared" si="62"/>
        <v/>
      </c>
    </row>
    <row r="398" spans="1:17" ht="15" customHeight="1" x14ac:dyDescent="0.2">
      <c r="A398" s="243" t="str">
        <f>IFERROR(INDEX(Txn[Key],MATCH(0,INDEX(COUNTIF($A$1:A397,Txn[Key])+(Txn[Key]=""),0),0)),"")</f>
        <v/>
      </c>
      <c r="B398" s="243" t="str">
        <f t="shared" si="54"/>
        <v/>
      </c>
      <c r="C398" s="243" t="str">
        <f t="shared" si="55"/>
        <v/>
      </c>
      <c r="D398" s="243" t="str">
        <f t="shared" si="56"/>
        <v/>
      </c>
      <c r="E398" s="265" t="str">
        <f>IF($A398="","",SUMIFS(Txn[Signed Units],Txn[Key],$A398))</f>
        <v/>
      </c>
      <c r="F398" s="287" t="str">
        <f>IF($A398="","",SUMIFS(Txn[Buy Cost],Txn[Key],$A398))</f>
        <v/>
      </c>
      <c r="G398" s="287" t="str">
        <f>IF($A398="","",SUMIFS(Txn[Sell Proceeds],Txn[Key],$A398))</f>
        <v/>
      </c>
      <c r="H398" s="288" t="str">
        <f>IF($A398="","",IFERROR(INDEX(Prices[Current Price],MATCH($A398,Prices[Key],0)),0))</f>
        <v/>
      </c>
      <c r="I398" s="289" t="str">
        <f>IF($A398="","",IFERROR(INDEX(Prices[FX to SGD],MATCH($A398,Prices[Key],0)),1))</f>
        <v/>
      </c>
      <c r="J398" s="287" t="str">
        <f t="shared" si="57"/>
        <v/>
      </c>
      <c r="K398" s="287" t="str">
        <f t="shared" si="58"/>
        <v/>
      </c>
      <c r="L398" s="287" t="str">
        <f t="shared" si="59"/>
        <v/>
      </c>
      <c r="M398" s="290" t="str">
        <f t="shared" si="60"/>
        <v/>
      </c>
      <c r="N398" s="243" t="str">
        <f>IF($A398="","",IF(ABS(E398)&gt;0.000001,COUNT($N$1:N397)+1,""))</f>
        <v/>
      </c>
      <c r="O398" s="291" t="str">
        <f>IF($A398="","",SUMIFS(Transactions!$H$2:$H$1001,Transactions!$J$2:$J$1001,$A398,Transactions!$A$2:$A$1001,2)*$I398)</f>
        <v/>
      </c>
      <c r="P398" s="291" t="str">
        <f t="shared" si="61"/>
        <v/>
      </c>
      <c r="Q398" s="292" t="str">
        <f t="shared" si="62"/>
        <v/>
      </c>
    </row>
    <row r="399" spans="1:17" ht="15" customHeight="1" x14ac:dyDescent="0.2">
      <c r="A399" s="243" t="str">
        <f>IFERROR(INDEX(Txn[Key],MATCH(0,INDEX(COUNTIF($A$1:A398,Txn[Key])+(Txn[Key]=""),0),0)),"")</f>
        <v/>
      </c>
      <c r="B399" s="243" t="str">
        <f t="shared" si="54"/>
        <v/>
      </c>
      <c r="C399" s="243" t="str">
        <f t="shared" si="55"/>
        <v/>
      </c>
      <c r="D399" s="243" t="str">
        <f t="shared" si="56"/>
        <v/>
      </c>
      <c r="E399" s="265" t="str">
        <f>IF($A399="","",SUMIFS(Txn[Signed Units],Txn[Key],$A399))</f>
        <v/>
      </c>
      <c r="F399" s="287" t="str">
        <f>IF($A399="","",SUMIFS(Txn[Buy Cost],Txn[Key],$A399))</f>
        <v/>
      </c>
      <c r="G399" s="287" t="str">
        <f>IF($A399="","",SUMIFS(Txn[Sell Proceeds],Txn[Key],$A399))</f>
        <v/>
      </c>
      <c r="H399" s="288" t="str">
        <f>IF($A399="","",IFERROR(INDEX(Prices[Current Price],MATCH($A399,Prices[Key],0)),0))</f>
        <v/>
      </c>
      <c r="I399" s="289" t="str">
        <f>IF($A399="","",IFERROR(INDEX(Prices[FX to SGD],MATCH($A399,Prices[Key],0)),1))</f>
        <v/>
      </c>
      <c r="J399" s="287" t="str">
        <f t="shared" si="57"/>
        <v/>
      </c>
      <c r="K399" s="287" t="str">
        <f t="shared" si="58"/>
        <v/>
      </c>
      <c r="L399" s="287" t="str">
        <f t="shared" si="59"/>
        <v/>
      </c>
      <c r="M399" s="290" t="str">
        <f t="shared" si="60"/>
        <v/>
      </c>
      <c r="N399" s="243" t="str">
        <f>IF($A399="","",IF(ABS(E399)&gt;0.000001,COUNT($N$1:N398)+1,""))</f>
        <v/>
      </c>
      <c r="O399" s="291" t="str">
        <f>IF($A399="","",SUMIFS(Transactions!$H$2:$H$1001,Transactions!$J$2:$J$1001,$A399,Transactions!$A$2:$A$1001,2)*$I399)</f>
        <v/>
      </c>
      <c r="P399" s="291" t="str">
        <f t="shared" si="61"/>
        <v/>
      </c>
      <c r="Q399" s="292" t="str">
        <f t="shared" si="62"/>
        <v/>
      </c>
    </row>
    <row r="400" spans="1:17" ht="15" customHeight="1" x14ac:dyDescent="0.2">
      <c r="A400" s="243" t="str">
        <f>IFERROR(INDEX(Txn[Key],MATCH(0,INDEX(COUNTIF($A$1:A399,Txn[Key])+(Txn[Key]=""),0),0)),"")</f>
        <v/>
      </c>
      <c r="B400" s="243" t="str">
        <f t="shared" si="54"/>
        <v/>
      </c>
      <c r="C400" s="243" t="str">
        <f t="shared" si="55"/>
        <v/>
      </c>
      <c r="D400" s="243" t="str">
        <f t="shared" si="56"/>
        <v/>
      </c>
      <c r="E400" s="265" t="str">
        <f>IF($A400="","",SUMIFS(Txn[Signed Units],Txn[Key],$A400))</f>
        <v/>
      </c>
      <c r="F400" s="287" t="str">
        <f>IF($A400="","",SUMIFS(Txn[Buy Cost],Txn[Key],$A400))</f>
        <v/>
      </c>
      <c r="G400" s="287" t="str">
        <f>IF($A400="","",SUMIFS(Txn[Sell Proceeds],Txn[Key],$A400))</f>
        <v/>
      </c>
      <c r="H400" s="288" t="str">
        <f>IF($A400="","",IFERROR(INDEX(Prices[Current Price],MATCH($A400,Prices[Key],0)),0))</f>
        <v/>
      </c>
      <c r="I400" s="289" t="str">
        <f>IF($A400="","",IFERROR(INDEX(Prices[FX to SGD],MATCH($A400,Prices[Key],0)),1))</f>
        <v/>
      </c>
      <c r="J400" s="287" t="str">
        <f t="shared" si="57"/>
        <v/>
      </c>
      <c r="K400" s="287" t="str">
        <f t="shared" si="58"/>
        <v/>
      </c>
      <c r="L400" s="287" t="str">
        <f t="shared" si="59"/>
        <v/>
      </c>
      <c r="M400" s="290" t="str">
        <f t="shared" si="60"/>
        <v/>
      </c>
      <c r="N400" s="243" t="str">
        <f>IF($A400="","",IF(ABS(E400)&gt;0.000001,COUNT($N$1:N399)+1,""))</f>
        <v/>
      </c>
      <c r="O400" s="291" t="str">
        <f>IF($A400="","",SUMIFS(Transactions!$H$2:$H$1001,Transactions!$J$2:$J$1001,$A400,Transactions!$A$2:$A$1001,2)*$I400)</f>
        <v/>
      </c>
      <c r="P400" s="291" t="str">
        <f t="shared" si="61"/>
        <v/>
      </c>
      <c r="Q400" s="292" t="str">
        <f t="shared" si="62"/>
        <v/>
      </c>
    </row>
    <row r="401" spans="1:17" ht="15" customHeight="1" x14ac:dyDescent="0.2">
      <c r="A401" s="243" t="str">
        <f>IFERROR(INDEX(Txn[Key],MATCH(0,INDEX(COUNTIF($A$1:A400,Txn[Key])+(Txn[Key]=""),0),0)),"")</f>
        <v/>
      </c>
      <c r="B401" s="243" t="str">
        <f t="shared" si="54"/>
        <v/>
      </c>
      <c r="C401" s="243" t="str">
        <f t="shared" si="55"/>
        <v/>
      </c>
      <c r="D401" s="243" t="str">
        <f t="shared" si="56"/>
        <v/>
      </c>
      <c r="E401" s="265" t="str">
        <f>IF($A401="","",SUMIFS(Txn[Signed Units],Txn[Key],$A401))</f>
        <v/>
      </c>
      <c r="F401" s="287" t="str">
        <f>IF($A401="","",SUMIFS(Txn[Buy Cost],Txn[Key],$A401))</f>
        <v/>
      </c>
      <c r="G401" s="287" t="str">
        <f>IF($A401="","",SUMIFS(Txn[Sell Proceeds],Txn[Key],$A401))</f>
        <v/>
      </c>
      <c r="H401" s="288" t="str">
        <f>IF($A401="","",IFERROR(INDEX(Prices[Current Price],MATCH($A401,Prices[Key],0)),0))</f>
        <v/>
      </c>
      <c r="I401" s="289" t="str">
        <f>IF($A401="","",IFERROR(INDEX(Prices[FX to SGD],MATCH($A401,Prices[Key],0)),1))</f>
        <v/>
      </c>
      <c r="J401" s="287" t="str">
        <f t="shared" si="57"/>
        <v/>
      </c>
      <c r="K401" s="287" t="str">
        <f t="shared" si="58"/>
        <v/>
      </c>
      <c r="L401" s="287" t="str">
        <f t="shared" si="59"/>
        <v/>
      </c>
      <c r="M401" s="290" t="str">
        <f t="shared" si="60"/>
        <v/>
      </c>
      <c r="N401" s="243" t="str">
        <f>IF($A401="","",IF(ABS(E401)&gt;0.000001,COUNT($N$1:N400)+1,""))</f>
        <v/>
      </c>
      <c r="O401" s="291" t="str">
        <f>IF($A401="","",SUMIFS(Transactions!$H$2:$H$1001,Transactions!$J$2:$J$1001,$A401,Transactions!$A$2:$A$1001,2)*$I401)</f>
        <v/>
      </c>
      <c r="P401" s="291" t="str">
        <f t="shared" si="61"/>
        <v/>
      </c>
      <c r="Q401" s="292" t="str">
        <f t="shared" si="62"/>
        <v/>
      </c>
    </row>
    <row r="402" spans="1:17" ht="15" customHeight="1" x14ac:dyDescent="0.2">
      <c r="A402" s="243" t="str">
        <f>IFERROR(INDEX(Txn[Key],MATCH(0,INDEX(COUNTIF($A$1:A401,Txn[Key])+(Txn[Key]=""),0),0)),"")</f>
        <v/>
      </c>
      <c r="B402" s="243" t="str">
        <f t="shared" si="54"/>
        <v/>
      </c>
      <c r="C402" s="243" t="str">
        <f t="shared" si="55"/>
        <v/>
      </c>
      <c r="D402" s="243" t="str">
        <f t="shared" si="56"/>
        <v/>
      </c>
      <c r="E402" s="265" t="str">
        <f>IF($A402="","",SUMIFS(Txn[Signed Units],Txn[Key],$A402))</f>
        <v/>
      </c>
      <c r="F402" s="287" t="str">
        <f>IF($A402="","",SUMIFS(Txn[Buy Cost],Txn[Key],$A402))</f>
        <v/>
      </c>
      <c r="G402" s="287" t="str">
        <f>IF($A402="","",SUMIFS(Txn[Sell Proceeds],Txn[Key],$A402))</f>
        <v/>
      </c>
      <c r="H402" s="288" t="str">
        <f>IF($A402="","",IFERROR(INDEX(Prices[Current Price],MATCH($A402,Prices[Key],0)),0))</f>
        <v/>
      </c>
      <c r="I402" s="289" t="str">
        <f>IF($A402="","",IFERROR(INDEX(Prices[FX to SGD],MATCH($A402,Prices[Key],0)),1))</f>
        <v/>
      </c>
      <c r="J402" s="287" t="str">
        <f t="shared" si="57"/>
        <v/>
      </c>
      <c r="K402" s="287" t="str">
        <f t="shared" si="58"/>
        <v/>
      </c>
      <c r="L402" s="287" t="str">
        <f t="shared" si="59"/>
        <v/>
      </c>
      <c r="M402" s="290" t="str">
        <f t="shared" si="60"/>
        <v/>
      </c>
      <c r="N402" s="243" t="str">
        <f>IF($A402="","",IF(ABS(E402)&gt;0.000001,COUNT($N$1:N401)+1,""))</f>
        <v/>
      </c>
      <c r="O402" s="291" t="str">
        <f>IF($A402="","",SUMIFS(Transactions!$H$2:$H$1001,Transactions!$J$2:$J$1001,$A402,Transactions!$A$2:$A$1001,2)*$I402)</f>
        <v/>
      </c>
      <c r="P402" s="291" t="str">
        <f t="shared" si="61"/>
        <v/>
      </c>
      <c r="Q402" s="292" t="str">
        <f t="shared" si="62"/>
        <v/>
      </c>
    </row>
    <row r="403" spans="1:17" ht="15" customHeight="1" x14ac:dyDescent="0.2">
      <c r="A403" s="243" t="str">
        <f>IFERROR(INDEX(Txn[Key],MATCH(0,INDEX(COUNTIF($A$1:A402,Txn[Key])+(Txn[Key]=""),0),0)),"")</f>
        <v/>
      </c>
      <c r="B403" s="243" t="str">
        <f t="shared" si="54"/>
        <v/>
      </c>
      <c r="C403" s="243" t="str">
        <f t="shared" si="55"/>
        <v/>
      </c>
      <c r="D403" s="243" t="str">
        <f t="shared" si="56"/>
        <v/>
      </c>
      <c r="E403" s="265" t="str">
        <f>IF($A403="","",SUMIFS(Txn[Signed Units],Txn[Key],$A403))</f>
        <v/>
      </c>
      <c r="F403" s="287" t="str">
        <f>IF($A403="","",SUMIFS(Txn[Buy Cost],Txn[Key],$A403))</f>
        <v/>
      </c>
      <c r="G403" s="287" t="str">
        <f>IF($A403="","",SUMIFS(Txn[Sell Proceeds],Txn[Key],$A403))</f>
        <v/>
      </c>
      <c r="H403" s="288" t="str">
        <f>IF($A403="","",IFERROR(INDEX(Prices[Current Price],MATCH($A403,Prices[Key],0)),0))</f>
        <v/>
      </c>
      <c r="I403" s="289" t="str">
        <f>IF($A403="","",IFERROR(INDEX(Prices[FX to SGD],MATCH($A403,Prices[Key],0)),1))</f>
        <v/>
      </c>
      <c r="J403" s="287" t="str">
        <f t="shared" si="57"/>
        <v/>
      </c>
      <c r="K403" s="287" t="str">
        <f t="shared" si="58"/>
        <v/>
      </c>
      <c r="L403" s="287" t="str">
        <f t="shared" si="59"/>
        <v/>
      </c>
      <c r="M403" s="290" t="str">
        <f t="shared" si="60"/>
        <v/>
      </c>
      <c r="N403" s="243" t="str">
        <f>IF($A403="","",IF(ABS(E403)&gt;0.000001,COUNT($N$1:N402)+1,""))</f>
        <v/>
      </c>
      <c r="O403" s="291" t="str">
        <f>IF($A403="","",SUMIFS(Transactions!$H$2:$H$1001,Transactions!$J$2:$J$1001,$A403,Transactions!$A$2:$A$1001,2)*$I403)</f>
        <v/>
      </c>
      <c r="P403" s="291" t="str">
        <f t="shared" si="61"/>
        <v/>
      </c>
      <c r="Q403" s="292" t="str">
        <f t="shared" si="62"/>
        <v/>
      </c>
    </row>
    <row r="404" spans="1:17" ht="15" customHeight="1" x14ac:dyDescent="0.2">
      <c r="A404" s="243" t="str">
        <f>IFERROR(INDEX(Txn[Key],MATCH(0,INDEX(COUNTIF($A$1:A403,Txn[Key])+(Txn[Key]=""),0),0)),"")</f>
        <v/>
      </c>
      <c r="B404" s="243" t="str">
        <f t="shared" si="54"/>
        <v/>
      </c>
      <c r="C404" s="243" t="str">
        <f t="shared" si="55"/>
        <v/>
      </c>
      <c r="D404" s="243" t="str">
        <f t="shared" si="56"/>
        <v/>
      </c>
      <c r="E404" s="265" t="str">
        <f>IF($A404="","",SUMIFS(Txn[Signed Units],Txn[Key],$A404))</f>
        <v/>
      </c>
      <c r="F404" s="287" t="str">
        <f>IF($A404="","",SUMIFS(Txn[Buy Cost],Txn[Key],$A404))</f>
        <v/>
      </c>
      <c r="G404" s="287" t="str">
        <f>IF($A404="","",SUMIFS(Txn[Sell Proceeds],Txn[Key],$A404))</f>
        <v/>
      </c>
      <c r="H404" s="288" t="str">
        <f>IF($A404="","",IFERROR(INDEX(Prices[Current Price],MATCH($A404,Prices[Key],0)),0))</f>
        <v/>
      </c>
      <c r="I404" s="289" t="str">
        <f>IF($A404="","",IFERROR(INDEX(Prices[FX to SGD],MATCH($A404,Prices[Key],0)),1))</f>
        <v/>
      </c>
      <c r="J404" s="287" t="str">
        <f t="shared" si="57"/>
        <v/>
      </c>
      <c r="K404" s="287" t="str">
        <f t="shared" si="58"/>
        <v/>
      </c>
      <c r="L404" s="287" t="str">
        <f t="shared" si="59"/>
        <v/>
      </c>
      <c r="M404" s="290" t="str">
        <f t="shared" si="60"/>
        <v/>
      </c>
      <c r="N404" s="243" t="str">
        <f>IF($A404="","",IF(ABS(E404)&gt;0.000001,COUNT($N$1:N403)+1,""))</f>
        <v/>
      </c>
      <c r="O404" s="291" t="str">
        <f>IF($A404="","",SUMIFS(Transactions!$H$2:$H$1001,Transactions!$J$2:$J$1001,$A404,Transactions!$A$2:$A$1001,2)*$I404)</f>
        <v/>
      </c>
      <c r="P404" s="291" t="str">
        <f t="shared" si="61"/>
        <v/>
      </c>
      <c r="Q404" s="292" t="str">
        <f t="shared" si="62"/>
        <v/>
      </c>
    </row>
    <row r="405" spans="1:17" ht="15" customHeight="1" x14ac:dyDescent="0.2">
      <c r="A405" s="243" t="str">
        <f>IFERROR(INDEX(Txn[Key],MATCH(0,INDEX(COUNTIF($A$1:A404,Txn[Key])+(Txn[Key]=""),0),0)),"")</f>
        <v/>
      </c>
      <c r="B405" s="243" t="str">
        <f t="shared" si="54"/>
        <v/>
      </c>
      <c r="C405" s="243" t="str">
        <f t="shared" si="55"/>
        <v/>
      </c>
      <c r="D405" s="243" t="str">
        <f t="shared" si="56"/>
        <v/>
      </c>
      <c r="E405" s="265" t="str">
        <f>IF($A405="","",SUMIFS(Txn[Signed Units],Txn[Key],$A405))</f>
        <v/>
      </c>
      <c r="F405" s="287" t="str">
        <f>IF($A405="","",SUMIFS(Txn[Buy Cost],Txn[Key],$A405))</f>
        <v/>
      </c>
      <c r="G405" s="287" t="str">
        <f>IF($A405="","",SUMIFS(Txn[Sell Proceeds],Txn[Key],$A405))</f>
        <v/>
      </c>
      <c r="H405" s="288" t="str">
        <f>IF($A405="","",IFERROR(INDEX(Prices[Current Price],MATCH($A405,Prices[Key],0)),0))</f>
        <v/>
      </c>
      <c r="I405" s="289" t="str">
        <f>IF($A405="","",IFERROR(INDEX(Prices[FX to SGD],MATCH($A405,Prices[Key],0)),1))</f>
        <v/>
      </c>
      <c r="J405" s="287" t="str">
        <f t="shared" si="57"/>
        <v/>
      </c>
      <c r="K405" s="287" t="str">
        <f t="shared" si="58"/>
        <v/>
      </c>
      <c r="L405" s="287" t="str">
        <f t="shared" si="59"/>
        <v/>
      </c>
      <c r="M405" s="290" t="str">
        <f t="shared" si="60"/>
        <v/>
      </c>
      <c r="N405" s="243" t="str">
        <f>IF($A405="","",IF(ABS(E405)&gt;0.000001,COUNT($N$1:N404)+1,""))</f>
        <v/>
      </c>
      <c r="O405" s="291" t="str">
        <f>IF($A405="","",SUMIFS(Transactions!$H$2:$H$1001,Transactions!$J$2:$J$1001,$A405,Transactions!$A$2:$A$1001,2)*$I405)</f>
        <v/>
      </c>
      <c r="P405" s="291" t="str">
        <f t="shared" si="61"/>
        <v/>
      </c>
      <c r="Q405" s="292" t="str">
        <f t="shared" si="62"/>
        <v/>
      </c>
    </row>
    <row r="406" spans="1:17" ht="15" customHeight="1" x14ac:dyDescent="0.2">
      <c r="A406" s="243" t="str">
        <f>IFERROR(INDEX(Txn[Key],MATCH(0,INDEX(COUNTIF($A$1:A405,Txn[Key])+(Txn[Key]=""),0),0)),"")</f>
        <v/>
      </c>
      <c r="B406" s="243" t="str">
        <f t="shared" si="54"/>
        <v/>
      </c>
      <c r="C406" s="243" t="str">
        <f t="shared" si="55"/>
        <v/>
      </c>
      <c r="D406" s="243" t="str">
        <f t="shared" si="56"/>
        <v/>
      </c>
      <c r="E406" s="265" t="str">
        <f>IF($A406="","",SUMIFS(Txn[Signed Units],Txn[Key],$A406))</f>
        <v/>
      </c>
      <c r="F406" s="287" t="str">
        <f>IF($A406="","",SUMIFS(Txn[Buy Cost],Txn[Key],$A406))</f>
        <v/>
      </c>
      <c r="G406" s="287" t="str">
        <f>IF($A406="","",SUMIFS(Txn[Sell Proceeds],Txn[Key],$A406))</f>
        <v/>
      </c>
      <c r="H406" s="288" t="str">
        <f>IF($A406="","",IFERROR(INDEX(Prices[Current Price],MATCH($A406,Prices[Key],0)),0))</f>
        <v/>
      </c>
      <c r="I406" s="289" t="str">
        <f>IF($A406="","",IFERROR(INDEX(Prices[FX to SGD],MATCH($A406,Prices[Key],0)),1))</f>
        <v/>
      </c>
      <c r="J406" s="287" t="str">
        <f t="shared" si="57"/>
        <v/>
      </c>
      <c r="K406" s="287" t="str">
        <f t="shared" si="58"/>
        <v/>
      </c>
      <c r="L406" s="287" t="str">
        <f t="shared" si="59"/>
        <v/>
      </c>
      <c r="M406" s="290" t="str">
        <f t="shared" si="60"/>
        <v/>
      </c>
      <c r="N406" s="243" t="str">
        <f>IF($A406="","",IF(ABS(E406)&gt;0.000001,COUNT($N$1:N405)+1,""))</f>
        <v/>
      </c>
      <c r="O406" s="291" t="str">
        <f>IF($A406="","",SUMIFS(Transactions!$H$2:$H$1001,Transactions!$J$2:$J$1001,$A406,Transactions!$A$2:$A$1001,2)*$I406)</f>
        <v/>
      </c>
      <c r="P406" s="291" t="str">
        <f t="shared" si="61"/>
        <v/>
      </c>
      <c r="Q406" s="292" t="str">
        <f t="shared" si="62"/>
        <v/>
      </c>
    </row>
    <row r="407" spans="1:17" ht="15" customHeight="1" x14ac:dyDescent="0.2">
      <c r="A407" s="243" t="str">
        <f>IFERROR(INDEX(Txn[Key],MATCH(0,INDEX(COUNTIF($A$1:A406,Txn[Key])+(Txn[Key]=""),0),0)),"")</f>
        <v/>
      </c>
      <c r="B407" s="243" t="str">
        <f t="shared" si="54"/>
        <v/>
      </c>
      <c r="C407" s="243" t="str">
        <f t="shared" si="55"/>
        <v/>
      </c>
      <c r="D407" s="243" t="str">
        <f t="shared" si="56"/>
        <v/>
      </c>
      <c r="E407" s="265" t="str">
        <f>IF($A407="","",SUMIFS(Txn[Signed Units],Txn[Key],$A407))</f>
        <v/>
      </c>
      <c r="F407" s="287" t="str">
        <f>IF($A407="","",SUMIFS(Txn[Buy Cost],Txn[Key],$A407))</f>
        <v/>
      </c>
      <c r="G407" s="287" t="str">
        <f>IF($A407="","",SUMIFS(Txn[Sell Proceeds],Txn[Key],$A407))</f>
        <v/>
      </c>
      <c r="H407" s="288" t="str">
        <f>IF($A407="","",IFERROR(INDEX(Prices[Current Price],MATCH($A407,Prices[Key],0)),0))</f>
        <v/>
      </c>
      <c r="I407" s="289" t="str">
        <f>IF($A407="","",IFERROR(INDEX(Prices[FX to SGD],MATCH($A407,Prices[Key],0)),1))</f>
        <v/>
      </c>
      <c r="J407" s="287" t="str">
        <f t="shared" si="57"/>
        <v/>
      </c>
      <c r="K407" s="287" t="str">
        <f t="shared" si="58"/>
        <v/>
      </c>
      <c r="L407" s="287" t="str">
        <f t="shared" si="59"/>
        <v/>
      </c>
      <c r="M407" s="290" t="str">
        <f t="shared" si="60"/>
        <v/>
      </c>
      <c r="N407" s="243" t="str">
        <f>IF($A407="","",IF(ABS(E407)&gt;0.000001,COUNT($N$1:N406)+1,""))</f>
        <v/>
      </c>
      <c r="O407" s="291" t="str">
        <f>IF($A407="","",SUMIFS(Transactions!$H$2:$H$1001,Transactions!$J$2:$J$1001,$A407,Transactions!$A$2:$A$1001,2)*$I407)</f>
        <v/>
      </c>
      <c r="P407" s="291" t="str">
        <f t="shared" si="61"/>
        <v/>
      </c>
      <c r="Q407" s="292" t="str">
        <f t="shared" si="62"/>
        <v/>
      </c>
    </row>
    <row r="408" spans="1:17" ht="15" customHeight="1" x14ac:dyDescent="0.2">
      <c r="A408" s="243" t="str">
        <f>IFERROR(INDEX(Txn[Key],MATCH(0,INDEX(COUNTIF($A$1:A407,Txn[Key])+(Txn[Key]=""),0),0)),"")</f>
        <v/>
      </c>
      <c r="B408" s="243" t="str">
        <f t="shared" si="54"/>
        <v/>
      </c>
      <c r="C408" s="243" t="str">
        <f t="shared" si="55"/>
        <v/>
      </c>
      <c r="D408" s="243" t="str">
        <f t="shared" si="56"/>
        <v/>
      </c>
      <c r="E408" s="265" t="str">
        <f>IF($A408="","",SUMIFS(Txn[Signed Units],Txn[Key],$A408))</f>
        <v/>
      </c>
      <c r="F408" s="287" t="str">
        <f>IF($A408="","",SUMIFS(Txn[Buy Cost],Txn[Key],$A408))</f>
        <v/>
      </c>
      <c r="G408" s="287" t="str">
        <f>IF($A408="","",SUMIFS(Txn[Sell Proceeds],Txn[Key],$A408))</f>
        <v/>
      </c>
      <c r="H408" s="288" t="str">
        <f>IF($A408="","",IFERROR(INDEX(Prices[Current Price],MATCH($A408,Prices[Key],0)),0))</f>
        <v/>
      </c>
      <c r="I408" s="289" t="str">
        <f>IF($A408="","",IFERROR(INDEX(Prices[FX to SGD],MATCH($A408,Prices[Key],0)),1))</f>
        <v/>
      </c>
      <c r="J408" s="287" t="str">
        <f t="shared" si="57"/>
        <v/>
      </c>
      <c r="K408" s="287" t="str">
        <f t="shared" si="58"/>
        <v/>
      </c>
      <c r="L408" s="287" t="str">
        <f t="shared" si="59"/>
        <v/>
      </c>
      <c r="M408" s="290" t="str">
        <f t="shared" si="60"/>
        <v/>
      </c>
      <c r="N408" s="243" t="str">
        <f>IF($A408="","",IF(ABS(E408)&gt;0.000001,COUNT($N$1:N407)+1,""))</f>
        <v/>
      </c>
      <c r="O408" s="291" t="str">
        <f>IF($A408="","",SUMIFS(Transactions!$H$2:$H$1001,Transactions!$J$2:$J$1001,$A408,Transactions!$A$2:$A$1001,2)*$I408)</f>
        <v/>
      </c>
      <c r="P408" s="291" t="str">
        <f t="shared" si="61"/>
        <v/>
      </c>
      <c r="Q408" s="292" t="str">
        <f t="shared" si="62"/>
        <v/>
      </c>
    </row>
    <row r="409" spans="1:17" ht="15" customHeight="1" x14ac:dyDescent="0.2">
      <c r="A409" s="243" t="str">
        <f>IFERROR(INDEX(Txn[Key],MATCH(0,INDEX(COUNTIF($A$1:A408,Txn[Key])+(Txn[Key]=""),0),0)),"")</f>
        <v/>
      </c>
      <c r="B409" s="243" t="str">
        <f t="shared" si="54"/>
        <v/>
      </c>
      <c r="C409" s="243" t="str">
        <f t="shared" si="55"/>
        <v/>
      </c>
      <c r="D409" s="243" t="str">
        <f t="shared" si="56"/>
        <v/>
      </c>
      <c r="E409" s="265" t="str">
        <f>IF($A409="","",SUMIFS(Txn[Signed Units],Txn[Key],$A409))</f>
        <v/>
      </c>
      <c r="F409" s="287" t="str">
        <f>IF($A409="","",SUMIFS(Txn[Buy Cost],Txn[Key],$A409))</f>
        <v/>
      </c>
      <c r="G409" s="287" t="str">
        <f>IF($A409="","",SUMIFS(Txn[Sell Proceeds],Txn[Key],$A409))</f>
        <v/>
      </c>
      <c r="H409" s="288" t="str">
        <f>IF($A409="","",IFERROR(INDEX(Prices[Current Price],MATCH($A409,Prices[Key],0)),0))</f>
        <v/>
      </c>
      <c r="I409" s="289" t="str">
        <f>IF($A409="","",IFERROR(INDEX(Prices[FX to SGD],MATCH($A409,Prices[Key],0)),1))</f>
        <v/>
      </c>
      <c r="J409" s="287" t="str">
        <f t="shared" si="57"/>
        <v/>
      </c>
      <c r="K409" s="287" t="str">
        <f t="shared" si="58"/>
        <v/>
      </c>
      <c r="L409" s="287" t="str">
        <f t="shared" si="59"/>
        <v/>
      </c>
      <c r="M409" s="290" t="str">
        <f t="shared" si="60"/>
        <v/>
      </c>
      <c r="N409" s="243" t="str">
        <f>IF($A409="","",IF(ABS(E409)&gt;0.000001,COUNT($N$1:N408)+1,""))</f>
        <v/>
      </c>
      <c r="O409" s="291" t="str">
        <f>IF($A409="","",SUMIFS(Transactions!$H$2:$H$1001,Transactions!$J$2:$J$1001,$A409,Transactions!$A$2:$A$1001,2)*$I409)</f>
        <v/>
      </c>
      <c r="P409" s="291" t="str">
        <f t="shared" si="61"/>
        <v/>
      </c>
      <c r="Q409" s="292" t="str">
        <f t="shared" si="62"/>
        <v/>
      </c>
    </row>
    <row r="410" spans="1:17" ht="15" customHeight="1" x14ac:dyDescent="0.2">
      <c r="A410" s="243" t="str">
        <f>IFERROR(INDEX(Txn[Key],MATCH(0,INDEX(COUNTIF($A$1:A409,Txn[Key])+(Txn[Key]=""),0),0)),"")</f>
        <v/>
      </c>
      <c r="B410" s="243" t="str">
        <f t="shared" si="54"/>
        <v/>
      </c>
      <c r="C410" s="243" t="str">
        <f t="shared" si="55"/>
        <v/>
      </c>
      <c r="D410" s="243" t="str">
        <f t="shared" si="56"/>
        <v/>
      </c>
      <c r="E410" s="265" t="str">
        <f>IF($A410="","",SUMIFS(Txn[Signed Units],Txn[Key],$A410))</f>
        <v/>
      </c>
      <c r="F410" s="287" t="str">
        <f>IF($A410="","",SUMIFS(Txn[Buy Cost],Txn[Key],$A410))</f>
        <v/>
      </c>
      <c r="G410" s="287" t="str">
        <f>IF($A410="","",SUMIFS(Txn[Sell Proceeds],Txn[Key],$A410))</f>
        <v/>
      </c>
      <c r="H410" s="288" t="str">
        <f>IF($A410="","",IFERROR(INDEX(Prices[Current Price],MATCH($A410,Prices[Key],0)),0))</f>
        <v/>
      </c>
      <c r="I410" s="289" t="str">
        <f>IF($A410="","",IFERROR(INDEX(Prices[FX to SGD],MATCH($A410,Prices[Key],0)),1))</f>
        <v/>
      </c>
      <c r="J410" s="287" t="str">
        <f t="shared" si="57"/>
        <v/>
      </c>
      <c r="K410" s="287" t="str">
        <f t="shared" si="58"/>
        <v/>
      </c>
      <c r="L410" s="287" t="str">
        <f t="shared" si="59"/>
        <v/>
      </c>
      <c r="M410" s="290" t="str">
        <f t="shared" si="60"/>
        <v/>
      </c>
      <c r="N410" s="243" t="str">
        <f>IF($A410="","",IF(ABS(E410)&gt;0.000001,COUNT($N$1:N409)+1,""))</f>
        <v/>
      </c>
      <c r="O410" s="291" t="str">
        <f>IF($A410="","",SUMIFS(Transactions!$H$2:$H$1001,Transactions!$J$2:$J$1001,$A410,Transactions!$A$2:$A$1001,2)*$I410)</f>
        <v/>
      </c>
      <c r="P410" s="291" t="str">
        <f t="shared" si="61"/>
        <v/>
      </c>
      <c r="Q410" s="292" t="str">
        <f t="shared" si="62"/>
        <v/>
      </c>
    </row>
    <row r="411" spans="1:17" ht="15" customHeight="1" x14ac:dyDescent="0.2">
      <c r="A411" s="243" t="str">
        <f>IFERROR(INDEX(Txn[Key],MATCH(0,INDEX(COUNTIF($A$1:A410,Txn[Key])+(Txn[Key]=""),0),0)),"")</f>
        <v/>
      </c>
      <c r="B411" s="243" t="str">
        <f t="shared" si="54"/>
        <v/>
      </c>
      <c r="C411" s="243" t="str">
        <f t="shared" si="55"/>
        <v/>
      </c>
      <c r="D411" s="243" t="str">
        <f t="shared" si="56"/>
        <v/>
      </c>
      <c r="E411" s="265" t="str">
        <f>IF($A411="","",SUMIFS(Txn[Signed Units],Txn[Key],$A411))</f>
        <v/>
      </c>
      <c r="F411" s="287" t="str">
        <f>IF($A411="","",SUMIFS(Txn[Buy Cost],Txn[Key],$A411))</f>
        <v/>
      </c>
      <c r="G411" s="287" t="str">
        <f>IF($A411="","",SUMIFS(Txn[Sell Proceeds],Txn[Key],$A411))</f>
        <v/>
      </c>
      <c r="H411" s="288" t="str">
        <f>IF($A411="","",IFERROR(INDEX(Prices[Current Price],MATCH($A411,Prices[Key],0)),0))</f>
        <v/>
      </c>
      <c r="I411" s="289" t="str">
        <f>IF($A411="","",IFERROR(INDEX(Prices[FX to SGD],MATCH($A411,Prices[Key],0)),1))</f>
        <v/>
      </c>
      <c r="J411" s="287" t="str">
        <f t="shared" si="57"/>
        <v/>
      </c>
      <c r="K411" s="287" t="str">
        <f t="shared" si="58"/>
        <v/>
      </c>
      <c r="L411" s="287" t="str">
        <f t="shared" si="59"/>
        <v/>
      </c>
      <c r="M411" s="290" t="str">
        <f t="shared" si="60"/>
        <v/>
      </c>
      <c r="N411" s="243" t="str">
        <f>IF($A411="","",IF(ABS(E411)&gt;0.000001,COUNT($N$1:N410)+1,""))</f>
        <v/>
      </c>
      <c r="O411" s="291" t="str">
        <f>IF($A411="","",SUMIFS(Transactions!$H$2:$H$1001,Transactions!$J$2:$J$1001,$A411,Transactions!$A$2:$A$1001,2)*$I411)</f>
        <v/>
      </c>
      <c r="P411" s="291" t="str">
        <f t="shared" si="61"/>
        <v/>
      </c>
      <c r="Q411" s="292" t="str">
        <f t="shared" si="62"/>
        <v/>
      </c>
    </row>
    <row r="412" spans="1:17" ht="15" customHeight="1" x14ac:dyDescent="0.2">
      <c r="A412" s="243" t="str">
        <f>IFERROR(INDEX(Txn[Key],MATCH(0,INDEX(COUNTIF($A$1:A411,Txn[Key])+(Txn[Key]=""),0),0)),"")</f>
        <v/>
      </c>
      <c r="B412" s="243" t="str">
        <f t="shared" si="54"/>
        <v/>
      </c>
      <c r="C412" s="243" t="str">
        <f t="shared" si="55"/>
        <v/>
      </c>
      <c r="D412" s="243" t="str">
        <f t="shared" si="56"/>
        <v/>
      </c>
      <c r="E412" s="265" t="str">
        <f>IF($A412="","",SUMIFS(Txn[Signed Units],Txn[Key],$A412))</f>
        <v/>
      </c>
      <c r="F412" s="287" t="str">
        <f>IF($A412="","",SUMIFS(Txn[Buy Cost],Txn[Key],$A412))</f>
        <v/>
      </c>
      <c r="G412" s="287" t="str">
        <f>IF($A412="","",SUMIFS(Txn[Sell Proceeds],Txn[Key],$A412))</f>
        <v/>
      </c>
      <c r="H412" s="288" t="str">
        <f>IF($A412="","",IFERROR(INDEX(Prices[Current Price],MATCH($A412,Prices[Key],0)),0))</f>
        <v/>
      </c>
      <c r="I412" s="289" t="str">
        <f>IF($A412="","",IFERROR(INDEX(Prices[FX to SGD],MATCH($A412,Prices[Key],0)),1))</f>
        <v/>
      </c>
      <c r="J412" s="287" t="str">
        <f t="shared" si="57"/>
        <v/>
      </c>
      <c r="K412" s="287" t="str">
        <f t="shared" si="58"/>
        <v/>
      </c>
      <c r="L412" s="287" t="str">
        <f t="shared" si="59"/>
        <v/>
      </c>
      <c r="M412" s="290" t="str">
        <f t="shared" si="60"/>
        <v/>
      </c>
      <c r="N412" s="243" t="str">
        <f>IF($A412="","",IF(ABS(E412)&gt;0.000001,COUNT($N$1:N411)+1,""))</f>
        <v/>
      </c>
      <c r="O412" s="291" t="str">
        <f>IF($A412="","",SUMIFS(Transactions!$H$2:$H$1001,Transactions!$J$2:$J$1001,$A412,Transactions!$A$2:$A$1001,2)*$I412)</f>
        <v/>
      </c>
      <c r="P412" s="291" t="str">
        <f t="shared" si="61"/>
        <v/>
      </c>
      <c r="Q412" s="292" t="str">
        <f t="shared" si="62"/>
        <v/>
      </c>
    </row>
    <row r="413" spans="1:17" ht="15" customHeight="1" x14ac:dyDescent="0.2">
      <c r="A413" s="243" t="str">
        <f>IFERROR(INDEX(Txn[Key],MATCH(0,INDEX(COUNTIF($A$1:A412,Txn[Key])+(Txn[Key]=""),0),0)),"")</f>
        <v/>
      </c>
      <c r="B413" s="243" t="str">
        <f t="shared" si="54"/>
        <v/>
      </c>
      <c r="C413" s="243" t="str">
        <f t="shared" si="55"/>
        <v/>
      </c>
      <c r="D413" s="243" t="str">
        <f t="shared" si="56"/>
        <v/>
      </c>
      <c r="E413" s="265" t="str">
        <f>IF($A413="","",SUMIFS(Txn[Signed Units],Txn[Key],$A413))</f>
        <v/>
      </c>
      <c r="F413" s="287" t="str">
        <f>IF($A413="","",SUMIFS(Txn[Buy Cost],Txn[Key],$A413))</f>
        <v/>
      </c>
      <c r="G413" s="287" t="str">
        <f>IF($A413="","",SUMIFS(Txn[Sell Proceeds],Txn[Key],$A413))</f>
        <v/>
      </c>
      <c r="H413" s="288" t="str">
        <f>IF($A413="","",IFERROR(INDEX(Prices[Current Price],MATCH($A413,Prices[Key],0)),0))</f>
        <v/>
      </c>
      <c r="I413" s="289" t="str">
        <f>IF($A413="","",IFERROR(INDEX(Prices[FX to SGD],MATCH($A413,Prices[Key],0)),1))</f>
        <v/>
      </c>
      <c r="J413" s="287" t="str">
        <f t="shared" si="57"/>
        <v/>
      </c>
      <c r="K413" s="287" t="str">
        <f t="shared" si="58"/>
        <v/>
      </c>
      <c r="L413" s="287" t="str">
        <f t="shared" si="59"/>
        <v/>
      </c>
      <c r="M413" s="290" t="str">
        <f t="shared" si="60"/>
        <v/>
      </c>
      <c r="N413" s="243" t="str">
        <f>IF($A413="","",IF(ABS(E413)&gt;0.000001,COUNT($N$1:N412)+1,""))</f>
        <v/>
      </c>
      <c r="O413" s="291" t="str">
        <f>IF($A413="","",SUMIFS(Transactions!$H$2:$H$1001,Transactions!$J$2:$J$1001,$A413,Transactions!$A$2:$A$1001,2)*$I413)</f>
        <v/>
      </c>
      <c r="P413" s="291" t="str">
        <f t="shared" si="61"/>
        <v/>
      </c>
      <c r="Q413" s="292" t="str">
        <f t="shared" si="62"/>
        <v/>
      </c>
    </row>
    <row r="414" spans="1:17" ht="15" customHeight="1" x14ac:dyDescent="0.2">
      <c r="A414" s="243" t="str">
        <f>IFERROR(INDEX(Txn[Key],MATCH(0,INDEX(COUNTIF($A$1:A413,Txn[Key])+(Txn[Key]=""),0),0)),"")</f>
        <v/>
      </c>
      <c r="B414" s="243" t="str">
        <f t="shared" si="54"/>
        <v/>
      </c>
      <c r="C414" s="243" t="str">
        <f t="shared" si="55"/>
        <v/>
      </c>
      <c r="D414" s="243" t="str">
        <f t="shared" si="56"/>
        <v/>
      </c>
      <c r="E414" s="265" t="str">
        <f>IF($A414="","",SUMIFS(Txn[Signed Units],Txn[Key],$A414))</f>
        <v/>
      </c>
      <c r="F414" s="287" t="str">
        <f>IF($A414="","",SUMIFS(Txn[Buy Cost],Txn[Key],$A414))</f>
        <v/>
      </c>
      <c r="G414" s="287" t="str">
        <f>IF($A414="","",SUMIFS(Txn[Sell Proceeds],Txn[Key],$A414))</f>
        <v/>
      </c>
      <c r="H414" s="288" t="str">
        <f>IF($A414="","",IFERROR(INDEX(Prices[Current Price],MATCH($A414,Prices[Key],0)),0))</f>
        <v/>
      </c>
      <c r="I414" s="289" t="str">
        <f>IF($A414="","",IFERROR(INDEX(Prices[FX to SGD],MATCH($A414,Prices[Key],0)),1))</f>
        <v/>
      </c>
      <c r="J414" s="287" t="str">
        <f t="shared" si="57"/>
        <v/>
      </c>
      <c r="K414" s="287" t="str">
        <f t="shared" si="58"/>
        <v/>
      </c>
      <c r="L414" s="287" t="str">
        <f t="shared" si="59"/>
        <v/>
      </c>
      <c r="M414" s="290" t="str">
        <f t="shared" si="60"/>
        <v/>
      </c>
      <c r="N414" s="243" t="str">
        <f>IF($A414="","",IF(ABS(E414)&gt;0.000001,COUNT($N$1:N413)+1,""))</f>
        <v/>
      </c>
      <c r="O414" s="291" t="str">
        <f>IF($A414="","",SUMIFS(Transactions!$H$2:$H$1001,Transactions!$J$2:$J$1001,$A414,Transactions!$A$2:$A$1001,2)*$I414)</f>
        <v/>
      </c>
      <c r="P414" s="291" t="str">
        <f t="shared" si="61"/>
        <v/>
      </c>
      <c r="Q414" s="292" t="str">
        <f t="shared" si="62"/>
        <v/>
      </c>
    </row>
    <row r="415" spans="1:17" ht="15" customHeight="1" x14ac:dyDescent="0.2">
      <c r="A415" s="243" t="str">
        <f>IFERROR(INDEX(Txn[Key],MATCH(0,INDEX(COUNTIF($A$1:A414,Txn[Key])+(Txn[Key]=""),0),0)),"")</f>
        <v/>
      </c>
      <c r="B415" s="243" t="str">
        <f t="shared" si="54"/>
        <v/>
      </c>
      <c r="C415" s="243" t="str">
        <f t="shared" si="55"/>
        <v/>
      </c>
      <c r="D415" s="243" t="str">
        <f t="shared" si="56"/>
        <v/>
      </c>
      <c r="E415" s="265" t="str">
        <f>IF($A415="","",SUMIFS(Txn[Signed Units],Txn[Key],$A415))</f>
        <v/>
      </c>
      <c r="F415" s="287" t="str">
        <f>IF($A415="","",SUMIFS(Txn[Buy Cost],Txn[Key],$A415))</f>
        <v/>
      </c>
      <c r="G415" s="287" t="str">
        <f>IF($A415="","",SUMIFS(Txn[Sell Proceeds],Txn[Key],$A415))</f>
        <v/>
      </c>
      <c r="H415" s="288" t="str">
        <f>IF($A415="","",IFERROR(INDEX(Prices[Current Price],MATCH($A415,Prices[Key],0)),0))</f>
        <v/>
      </c>
      <c r="I415" s="289" t="str">
        <f>IF($A415="","",IFERROR(INDEX(Prices[FX to SGD],MATCH($A415,Prices[Key],0)),1))</f>
        <v/>
      </c>
      <c r="J415" s="287" t="str">
        <f t="shared" si="57"/>
        <v/>
      </c>
      <c r="K415" s="287" t="str">
        <f t="shared" si="58"/>
        <v/>
      </c>
      <c r="L415" s="287" t="str">
        <f t="shared" si="59"/>
        <v/>
      </c>
      <c r="M415" s="290" t="str">
        <f t="shared" si="60"/>
        <v/>
      </c>
      <c r="N415" s="243" t="str">
        <f>IF($A415="","",IF(ABS(E415)&gt;0.000001,COUNT($N$1:N414)+1,""))</f>
        <v/>
      </c>
      <c r="O415" s="291" t="str">
        <f>IF($A415="","",SUMIFS(Transactions!$H$2:$H$1001,Transactions!$J$2:$J$1001,$A415,Transactions!$A$2:$A$1001,2)*$I415)</f>
        <v/>
      </c>
      <c r="P415" s="291" t="str">
        <f t="shared" si="61"/>
        <v/>
      </c>
      <c r="Q415" s="292" t="str">
        <f t="shared" si="62"/>
        <v/>
      </c>
    </row>
    <row r="416" spans="1:17" ht="15" customHeight="1" x14ac:dyDescent="0.2">
      <c r="A416" s="243" t="str">
        <f>IFERROR(INDEX(Txn[Key],MATCH(0,INDEX(COUNTIF($A$1:A415,Txn[Key])+(Txn[Key]=""),0),0)),"")</f>
        <v/>
      </c>
      <c r="B416" s="243" t="str">
        <f t="shared" si="54"/>
        <v/>
      </c>
      <c r="C416" s="243" t="str">
        <f t="shared" si="55"/>
        <v/>
      </c>
      <c r="D416" s="243" t="str">
        <f t="shared" si="56"/>
        <v/>
      </c>
      <c r="E416" s="265" t="str">
        <f>IF($A416="","",SUMIFS(Txn[Signed Units],Txn[Key],$A416))</f>
        <v/>
      </c>
      <c r="F416" s="287" t="str">
        <f>IF($A416="","",SUMIFS(Txn[Buy Cost],Txn[Key],$A416))</f>
        <v/>
      </c>
      <c r="G416" s="287" t="str">
        <f>IF($A416="","",SUMIFS(Txn[Sell Proceeds],Txn[Key],$A416))</f>
        <v/>
      </c>
      <c r="H416" s="288" t="str">
        <f>IF($A416="","",IFERROR(INDEX(Prices[Current Price],MATCH($A416,Prices[Key],0)),0))</f>
        <v/>
      </c>
      <c r="I416" s="289" t="str">
        <f>IF($A416="","",IFERROR(INDEX(Prices[FX to SGD],MATCH($A416,Prices[Key],0)),1))</f>
        <v/>
      </c>
      <c r="J416" s="287" t="str">
        <f t="shared" si="57"/>
        <v/>
      </c>
      <c r="K416" s="287" t="str">
        <f t="shared" si="58"/>
        <v/>
      </c>
      <c r="L416" s="287" t="str">
        <f t="shared" si="59"/>
        <v/>
      </c>
      <c r="M416" s="290" t="str">
        <f t="shared" si="60"/>
        <v/>
      </c>
      <c r="N416" s="243" t="str">
        <f>IF($A416="","",IF(ABS(E416)&gt;0.000001,COUNT($N$1:N415)+1,""))</f>
        <v/>
      </c>
      <c r="O416" s="291" t="str">
        <f>IF($A416="","",SUMIFS(Transactions!$H$2:$H$1001,Transactions!$J$2:$J$1001,$A416,Transactions!$A$2:$A$1001,2)*$I416)</f>
        <v/>
      </c>
      <c r="P416" s="291" t="str">
        <f t="shared" si="61"/>
        <v/>
      </c>
      <c r="Q416" s="292" t="str">
        <f t="shared" si="62"/>
        <v/>
      </c>
    </row>
    <row r="417" spans="1:17" ht="15" customHeight="1" x14ac:dyDescent="0.2">
      <c r="A417" s="243" t="str">
        <f>IFERROR(INDEX(Txn[Key],MATCH(0,INDEX(COUNTIF($A$1:A416,Txn[Key])+(Txn[Key]=""),0),0)),"")</f>
        <v/>
      </c>
      <c r="B417" s="243" t="str">
        <f t="shared" si="54"/>
        <v/>
      </c>
      <c r="C417" s="243" t="str">
        <f t="shared" si="55"/>
        <v/>
      </c>
      <c r="D417" s="243" t="str">
        <f t="shared" si="56"/>
        <v/>
      </c>
      <c r="E417" s="265" t="str">
        <f>IF($A417="","",SUMIFS(Txn[Signed Units],Txn[Key],$A417))</f>
        <v/>
      </c>
      <c r="F417" s="287" t="str">
        <f>IF($A417="","",SUMIFS(Txn[Buy Cost],Txn[Key],$A417))</f>
        <v/>
      </c>
      <c r="G417" s="287" t="str">
        <f>IF($A417="","",SUMIFS(Txn[Sell Proceeds],Txn[Key],$A417))</f>
        <v/>
      </c>
      <c r="H417" s="288" t="str">
        <f>IF($A417="","",IFERROR(INDEX(Prices[Current Price],MATCH($A417,Prices[Key],0)),0))</f>
        <v/>
      </c>
      <c r="I417" s="289" t="str">
        <f>IF($A417="","",IFERROR(INDEX(Prices[FX to SGD],MATCH($A417,Prices[Key],0)),1))</f>
        <v/>
      </c>
      <c r="J417" s="287" t="str">
        <f t="shared" si="57"/>
        <v/>
      </c>
      <c r="K417" s="287" t="str">
        <f t="shared" si="58"/>
        <v/>
      </c>
      <c r="L417" s="287" t="str">
        <f t="shared" si="59"/>
        <v/>
      </c>
      <c r="M417" s="290" t="str">
        <f t="shared" si="60"/>
        <v/>
      </c>
      <c r="N417" s="243" t="str">
        <f>IF($A417="","",IF(ABS(E417)&gt;0.000001,COUNT($N$1:N416)+1,""))</f>
        <v/>
      </c>
      <c r="O417" s="291" t="str">
        <f>IF($A417="","",SUMIFS(Transactions!$H$2:$H$1001,Transactions!$J$2:$J$1001,$A417,Transactions!$A$2:$A$1001,2)*$I417)</f>
        <v/>
      </c>
      <c r="P417" s="291" t="str">
        <f t="shared" si="61"/>
        <v/>
      </c>
      <c r="Q417" s="292" t="str">
        <f t="shared" si="62"/>
        <v/>
      </c>
    </row>
    <row r="418" spans="1:17" ht="15" customHeight="1" x14ac:dyDescent="0.2">
      <c r="A418" s="243" t="str">
        <f>IFERROR(INDEX(Txn[Key],MATCH(0,INDEX(COUNTIF($A$1:A417,Txn[Key])+(Txn[Key]=""),0),0)),"")</f>
        <v/>
      </c>
      <c r="B418" s="243" t="str">
        <f t="shared" si="54"/>
        <v/>
      </c>
      <c r="C418" s="243" t="str">
        <f t="shared" si="55"/>
        <v/>
      </c>
      <c r="D418" s="243" t="str">
        <f t="shared" si="56"/>
        <v/>
      </c>
      <c r="E418" s="265" t="str">
        <f>IF($A418="","",SUMIFS(Txn[Signed Units],Txn[Key],$A418))</f>
        <v/>
      </c>
      <c r="F418" s="287" t="str">
        <f>IF($A418="","",SUMIFS(Txn[Buy Cost],Txn[Key],$A418))</f>
        <v/>
      </c>
      <c r="G418" s="287" t="str">
        <f>IF($A418="","",SUMIFS(Txn[Sell Proceeds],Txn[Key],$A418))</f>
        <v/>
      </c>
      <c r="H418" s="288" t="str">
        <f>IF($A418="","",IFERROR(INDEX(Prices[Current Price],MATCH($A418,Prices[Key],0)),0))</f>
        <v/>
      </c>
      <c r="I418" s="289" t="str">
        <f>IF($A418="","",IFERROR(INDEX(Prices[FX to SGD],MATCH($A418,Prices[Key],0)),1))</f>
        <v/>
      </c>
      <c r="J418" s="287" t="str">
        <f t="shared" si="57"/>
        <v/>
      </c>
      <c r="K418" s="287" t="str">
        <f t="shared" si="58"/>
        <v/>
      </c>
      <c r="L418" s="287" t="str">
        <f t="shared" si="59"/>
        <v/>
      </c>
      <c r="M418" s="290" t="str">
        <f t="shared" si="60"/>
        <v/>
      </c>
      <c r="N418" s="243" t="str">
        <f>IF($A418="","",IF(ABS(E418)&gt;0.000001,COUNT($N$1:N417)+1,""))</f>
        <v/>
      </c>
      <c r="O418" s="291" t="str">
        <f>IF($A418="","",SUMIFS(Transactions!$H$2:$H$1001,Transactions!$J$2:$J$1001,$A418,Transactions!$A$2:$A$1001,2)*$I418)</f>
        <v/>
      </c>
      <c r="P418" s="291" t="str">
        <f t="shared" si="61"/>
        <v/>
      </c>
      <c r="Q418" s="292" t="str">
        <f t="shared" si="62"/>
        <v/>
      </c>
    </row>
    <row r="419" spans="1:17" ht="15" customHeight="1" x14ac:dyDescent="0.2">
      <c r="A419" s="243" t="str">
        <f>IFERROR(INDEX(Txn[Key],MATCH(0,INDEX(COUNTIF($A$1:A418,Txn[Key])+(Txn[Key]=""),0),0)),"")</f>
        <v/>
      </c>
      <c r="B419" s="243" t="str">
        <f t="shared" si="54"/>
        <v/>
      </c>
      <c r="C419" s="243" t="str">
        <f t="shared" si="55"/>
        <v/>
      </c>
      <c r="D419" s="243" t="str">
        <f t="shared" si="56"/>
        <v/>
      </c>
      <c r="E419" s="265" t="str">
        <f>IF($A419="","",SUMIFS(Txn[Signed Units],Txn[Key],$A419))</f>
        <v/>
      </c>
      <c r="F419" s="287" t="str">
        <f>IF($A419="","",SUMIFS(Txn[Buy Cost],Txn[Key],$A419))</f>
        <v/>
      </c>
      <c r="G419" s="287" t="str">
        <f>IF($A419="","",SUMIFS(Txn[Sell Proceeds],Txn[Key],$A419))</f>
        <v/>
      </c>
      <c r="H419" s="288" t="str">
        <f>IF($A419="","",IFERROR(INDEX(Prices[Current Price],MATCH($A419,Prices[Key],0)),0))</f>
        <v/>
      </c>
      <c r="I419" s="289" t="str">
        <f>IF($A419="","",IFERROR(INDEX(Prices[FX to SGD],MATCH($A419,Prices[Key],0)),1))</f>
        <v/>
      </c>
      <c r="J419" s="287" t="str">
        <f t="shared" si="57"/>
        <v/>
      </c>
      <c r="K419" s="287" t="str">
        <f t="shared" si="58"/>
        <v/>
      </c>
      <c r="L419" s="287" t="str">
        <f t="shared" si="59"/>
        <v/>
      </c>
      <c r="M419" s="290" t="str">
        <f t="shared" si="60"/>
        <v/>
      </c>
      <c r="N419" s="243" t="str">
        <f>IF($A419="","",IF(ABS(E419)&gt;0.000001,COUNT($N$1:N418)+1,""))</f>
        <v/>
      </c>
      <c r="O419" s="291" t="str">
        <f>IF($A419="","",SUMIFS(Transactions!$H$2:$H$1001,Transactions!$J$2:$J$1001,$A419,Transactions!$A$2:$A$1001,2)*$I419)</f>
        <v/>
      </c>
      <c r="P419" s="291" t="str">
        <f t="shared" si="61"/>
        <v/>
      </c>
      <c r="Q419" s="292" t="str">
        <f t="shared" si="62"/>
        <v/>
      </c>
    </row>
    <row r="420" spans="1:17" ht="15" customHeight="1" x14ac:dyDescent="0.2">
      <c r="A420" s="243" t="str">
        <f>IFERROR(INDEX(Txn[Key],MATCH(0,INDEX(COUNTIF($A$1:A419,Txn[Key])+(Txn[Key]=""),0),0)),"")</f>
        <v/>
      </c>
      <c r="B420" s="243" t="str">
        <f t="shared" si="54"/>
        <v/>
      </c>
      <c r="C420" s="243" t="str">
        <f t="shared" si="55"/>
        <v/>
      </c>
      <c r="D420" s="243" t="str">
        <f t="shared" si="56"/>
        <v/>
      </c>
      <c r="E420" s="265" t="str">
        <f>IF($A420="","",SUMIFS(Txn[Signed Units],Txn[Key],$A420))</f>
        <v/>
      </c>
      <c r="F420" s="287" t="str">
        <f>IF($A420="","",SUMIFS(Txn[Buy Cost],Txn[Key],$A420))</f>
        <v/>
      </c>
      <c r="G420" s="287" t="str">
        <f>IF($A420="","",SUMIFS(Txn[Sell Proceeds],Txn[Key],$A420))</f>
        <v/>
      </c>
      <c r="H420" s="288" t="str">
        <f>IF($A420="","",IFERROR(INDEX(Prices[Current Price],MATCH($A420,Prices[Key],0)),0))</f>
        <v/>
      </c>
      <c r="I420" s="289" t="str">
        <f>IF($A420="","",IFERROR(INDEX(Prices[FX to SGD],MATCH($A420,Prices[Key],0)),1))</f>
        <v/>
      </c>
      <c r="J420" s="287" t="str">
        <f t="shared" si="57"/>
        <v/>
      </c>
      <c r="K420" s="287" t="str">
        <f t="shared" si="58"/>
        <v/>
      </c>
      <c r="L420" s="287" t="str">
        <f t="shared" si="59"/>
        <v/>
      </c>
      <c r="M420" s="290" t="str">
        <f t="shared" si="60"/>
        <v/>
      </c>
      <c r="N420" s="243" t="str">
        <f>IF($A420="","",IF(ABS(E420)&gt;0.000001,COUNT($N$1:N419)+1,""))</f>
        <v/>
      </c>
      <c r="O420" s="291" t="str">
        <f>IF($A420="","",SUMIFS(Transactions!$H$2:$H$1001,Transactions!$J$2:$J$1001,$A420,Transactions!$A$2:$A$1001,2)*$I420)</f>
        <v/>
      </c>
      <c r="P420" s="291" t="str">
        <f t="shared" si="61"/>
        <v/>
      </c>
      <c r="Q420" s="292" t="str">
        <f t="shared" si="62"/>
        <v/>
      </c>
    </row>
    <row r="421" spans="1:17" ht="15" customHeight="1" x14ac:dyDescent="0.2">
      <c r="A421" s="243" t="str">
        <f>IFERROR(INDEX(Txn[Key],MATCH(0,INDEX(COUNTIF($A$1:A420,Txn[Key])+(Txn[Key]=""),0),0)),"")</f>
        <v/>
      </c>
      <c r="B421" s="243" t="str">
        <f t="shared" si="54"/>
        <v/>
      </c>
      <c r="C421" s="243" t="str">
        <f t="shared" si="55"/>
        <v/>
      </c>
      <c r="D421" s="243" t="str">
        <f t="shared" si="56"/>
        <v/>
      </c>
      <c r="E421" s="265" t="str">
        <f>IF($A421="","",SUMIFS(Txn[Signed Units],Txn[Key],$A421))</f>
        <v/>
      </c>
      <c r="F421" s="287" t="str">
        <f>IF($A421="","",SUMIFS(Txn[Buy Cost],Txn[Key],$A421))</f>
        <v/>
      </c>
      <c r="G421" s="287" t="str">
        <f>IF($A421="","",SUMIFS(Txn[Sell Proceeds],Txn[Key],$A421))</f>
        <v/>
      </c>
      <c r="H421" s="288" t="str">
        <f>IF($A421="","",IFERROR(INDEX(Prices[Current Price],MATCH($A421,Prices[Key],0)),0))</f>
        <v/>
      </c>
      <c r="I421" s="289" t="str">
        <f>IF($A421="","",IFERROR(INDEX(Prices[FX to SGD],MATCH($A421,Prices[Key],0)),1))</f>
        <v/>
      </c>
      <c r="J421" s="287" t="str">
        <f t="shared" si="57"/>
        <v/>
      </c>
      <c r="K421" s="287" t="str">
        <f t="shared" si="58"/>
        <v/>
      </c>
      <c r="L421" s="287" t="str">
        <f t="shared" si="59"/>
        <v/>
      </c>
      <c r="M421" s="290" t="str">
        <f t="shared" si="60"/>
        <v/>
      </c>
      <c r="N421" s="243" t="str">
        <f>IF($A421="","",IF(ABS(E421)&gt;0.000001,COUNT($N$1:N420)+1,""))</f>
        <v/>
      </c>
      <c r="O421" s="291" t="str">
        <f>IF($A421="","",SUMIFS(Transactions!$H$2:$H$1001,Transactions!$J$2:$J$1001,$A421,Transactions!$A$2:$A$1001,2)*$I421)</f>
        <v/>
      </c>
      <c r="P421" s="291" t="str">
        <f t="shared" si="61"/>
        <v/>
      </c>
      <c r="Q421" s="292" t="str">
        <f t="shared" si="62"/>
        <v/>
      </c>
    </row>
    <row r="422" spans="1:17" ht="15" customHeight="1" x14ac:dyDescent="0.2">
      <c r="A422" s="243" t="str">
        <f>IFERROR(INDEX(Txn[Key],MATCH(0,INDEX(COUNTIF($A$1:A421,Txn[Key])+(Txn[Key]=""),0),0)),"")</f>
        <v/>
      </c>
      <c r="B422" s="243" t="str">
        <f t="shared" si="54"/>
        <v/>
      </c>
      <c r="C422" s="243" t="str">
        <f t="shared" si="55"/>
        <v/>
      </c>
      <c r="D422" s="243" t="str">
        <f t="shared" si="56"/>
        <v/>
      </c>
      <c r="E422" s="265" t="str">
        <f>IF($A422="","",SUMIFS(Txn[Signed Units],Txn[Key],$A422))</f>
        <v/>
      </c>
      <c r="F422" s="287" t="str">
        <f>IF($A422="","",SUMIFS(Txn[Buy Cost],Txn[Key],$A422))</f>
        <v/>
      </c>
      <c r="G422" s="287" t="str">
        <f>IF($A422="","",SUMIFS(Txn[Sell Proceeds],Txn[Key],$A422))</f>
        <v/>
      </c>
      <c r="H422" s="288" t="str">
        <f>IF($A422="","",IFERROR(INDEX(Prices[Current Price],MATCH($A422,Prices[Key],0)),0))</f>
        <v/>
      </c>
      <c r="I422" s="289" t="str">
        <f>IF($A422="","",IFERROR(INDEX(Prices[FX to SGD],MATCH($A422,Prices[Key],0)),1))</f>
        <v/>
      </c>
      <c r="J422" s="287" t="str">
        <f t="shared" si="57"/>
        <v/>
      </c>
      <c r="K422" s="287" t="str">
        <f t="shared" si="58"/>
        <v/>
      </c>
      <c r="L422" s="287" t="str">
        <f t="shared" si="59"/>
        <v/>
      </c>
      <c r="M422" s="290" t="str">
        <f t="shared" si="60"/>
        <v/>
      </c>
      <c r="N422" s="243" t="str">
        <f>IF($A422="","",IF(ABS(E422)&gt;0.000001,COUNT($N$1:N421)+1,""))</f>
        <v/>
      </c>
      <c r="O422" s="291" t="str">
        <f>IF($A422="","",SUMIFS(Transactions!$H$2:$H$1001,Transactions!$J$2:$J$1001,$A422,Transactions!$A$2:$A$1001,2)*$I422)</f>
        <v/>
      </c>
      <c r="P422" s="291" t="str">
        <f t="shared" si="61"/>
        <v/>
      </c>
      <c r="Q422" s="292" t="str">
        <f t="shared" si="62"/>
        <v/>
      </c>
    </row>
    <row r="423" spans="1:17" ht="15" customHeight="1" x14ac:dyDescent="0.2">
      <c r="A423" s="243" t="str">
        <f>IFERROR(INDEX(Txn[Key],MATCH(0,INDEX(COUNTIF($A$1:A422,Txn[Key])+(Txn[Key]=""),0),0)),"")</f>
        <v/>
      </c>
      <c r="B423" s="243" t="str">
        <f t="shared" si="54"/>
        <v/>
      </c>
      <c r="C423" s="243" t="str">
        <f t="shared" si="55"/>
        <v/>
      </c>
      <c r="D423" s="243" t="str">
        <f t="shared" si="56"/>
        <v/>
      </c>
      <c r="E423" s="265" t="str">
        <f>IF($A423="","",SUMIFS(Txn[Signed Units],Txn[Key],$A423))</f>
        <v/>
      </c>
      <c r="F423" s="287" t="str">
        <f>IF($A423="","",SUMIFS(Txn[Buy Cost],Txn[Key],$A423))</f>
        <v/>
      </c>
      <c r="G423" s="287" t="str">
        <f>IF($A423="","",SUMIFS(Txn[Sell Proceeds],Txn[Key],$A423))</f>
        <v/>
      </c>
      <c r="H423" s="288" t="str">
        <f>IF($A423="","",IFERROR(INDEX(Prices[Current Price],MATCH($A423,Prices[Key],0)),0))</f>
        <v/>
      </c>
      <c r="I423" s="289" t="str">
        <f>IF($A423="","",IFERROR(INDEX(Prices[FX to SGD],MATCH($A423,Prices[Key],0)),1))</f>
        <v/>
      </c>
      <c r="J423" s="287" t="str">
        <f t="shared" si="57"/>
        <v/>
      </c>
      <c r="K423" s="287" t="str">
        <f t="shared" si="58"/>
        <v/>
      </c>
      <c r="L423" s="287" t="str">
        <f t="shared" si="59"/>
        <v/>
      </c>
      <c r="M423" s="290" t="str">
        <f t="shared" si="60"/>
        <v/>
      </c>
      <c r="N423" s="243" t="str">
        <f>IF($A423="","",IF(ABS(E423)&gt;0.000001,COUNT($N$1:N422)+1,""))</f>
        <v/>
      </c>
      <c r="O423" s="291" t="str">
        <f>IF($A423="","",SUMIFS(Transactions!$H$2:$H$1001,Transactions!$J$2:$J$1001,$A423,Transactions!$A$2:$A$1001,2)*$I423)</f>
        <v/>
      </c>
      <c r="P423" s="291" t="str">
        <f t="shared" si="61"/>
        <v/>
      </c>
      <c r="Q423" s="292" t="str">
        <f t="shared" si="62"/>
        <v/>
      </c>
    </row>
    <row r="424" spans="1:17" ht="15" customHeight="1" x14ac:dyDescent="0.2">
      <c r="A424" s="243" t="str">
        <f>IFERROR(INDEX(Txn[Key],MATCH(0,INDEX(COUNTIF($A$1:A423,Txn[Key])+(Txn[Key]=""),0),0)),"")</f>
        <v/>
      </c>
      <c r="B424" s="243" t="str">
        <f t="shared" si="54"/>
        <v/>
      </c>
      <c r="C424" s="243" t="str">
        <f t="shared" si="55"/>
        <v/>
      </c>
      <c r="D424" s="243" t="str">
        <f t="shared" si="56"/>
        <v/>
      </c>
      <c r="E424" s="265" t="str">
        <f>IF($A424="","",SUMIFS(Txn[Signed Units],Txn[Key],$A424))</f>
        <v/>
      </c>
      <c r="F424" s="287" t="str">
        <f>IF($A424="","",SUMIFS(Txn[Buy Cost],Txn[Key],$A424))</f>
        <v/>
      </c>
      <c r="G424" s="287" t="str">
        <f>IF($A424="","",SUMIFS(Txn[Sell Proceeds],Txn[Key],$A424))</f>
        <v/>
      </c>
      <c r="H424" s="288" t="str">
        <f>IF($A424="","",IFERROR(INDEX(Prices[Current Price],MATCH($A424,Prices[Key],0)),0))</f>
        <v/>
      </c>
      <c r="I424" s="289" t="str">
        <f>IF($A424="","",IFERROR(INDEX(Prices[FX to SGD],MATCH($A424,Prices[Key],0)),1))</f>
        <v/>
      </c>
      <c r="J424" s="287" t="str">
        <f t="shared" si="57"/>
        <v/>
      </c>
      <c r="K424" s="287" t="str">
        <f t="shared" si="58"/>
        <v/>
      </c>
      <c r="L424" s="287" t="str">
        <f t="shared" si="59"/>
        <v/>
      </c>
      <c r="M424" s="290" t="str">
        <f t="shared" si="60"/>
        <v/>
      </c>
      <c r="N424" s="243" t="str">
        <f>IF($A424="","",IF(ABS(E424)&gt;0.000001,COUNT($N$1:N423)+1,""))</f>
        <v/>
      </c>
      <c r="O424" s="291" t="str">
        <f>IF($A424="","",SUMIFS(Transactions!$H$2:$H$1001,Transactions!$J$2:$J$1001,$A424,Transactions!$A$2:$A$1001,2)*$I424)</f>
        <v/>
      </c>
      <c r="P424" s="291" t="str">
        <f t="shared" si="61"/>
        <v/>
      </c>
      <c r="Q424" s="292" t="str">
        <f t="shared" si="62"/>
        <v/>
      </c>
    </row>
    <row r="425" spans="1:17" ht="15" customHeight="1" x14ac:dyDescent="0.2">
      <c r="A425" s="243" t="str">
        <f>IFERROR(INDEX(Txn[Key],MATCH(0,INDEX(COUNTIF($A$1:A424,Txn[Key])+(Txn[Key]=""),0),0)),"")</f>
        <v/>
      </c>
      <c r="B425" s="243" t="str">
        <f t="shared" si="54"/>
        <v/>
      </c>
      <c r="C425" s="243" t="str">
        <f t="shared" si="55"/>
        <v/>
      </c>
      <c r="D425" s="243" t="str">
        <f t="shared" si="56"/>
        <v/>
      </c>
      <c r="E425" s="265" t="str">
        <f>IF($A425="","",SUMIFS(Txn[Signed Units],Txn[Key],$A425))</f>
        <v/>
      </c>
      <c r="F425" s="287" t="str">
        <f>IF($A425="","",SUMIFS(Txn[Buy Cost],Txn[Key],$A425))</f>
        <v/>
      </c>
      <c r="G425" s="287" t="str">
        <f>IF($A425="","",SUMIFS(Txn[Sell Proceeds],Txn[Key],$A425))</f>
        <v/>
      </c>
      <c r="H425" s="288" t="str">
        <f>IF($A425="","",IFERROR(INDEX(Prices[Current Price],MATCH($A425,Prices[Key],0)),0))</f>
        <v/>
      </c>
      <c r="I425" s="289" t="str">
        <f>IF($A425="","",IFERROR(INDEX(Prices[FX to SGD],MATCH($A425,Prices[Key],0)),1))</f>
        <v/>
      </c>
      <c r="J425" s="287" t="str">
        <f t="shared" si="57"/>
        <v/>
      </c>
      <c r="K425" s="287" t="str">
        <f t="shared" si="58"/>
        <v/>
      </c>
      <c r="L425" s="287" t="str">
        <f t="shared" si="59"/>
        <v/>
      </c>
      <c r="M425" s="290" t="str">
        <f t="shared" si="60"/>
        <v/>
      </c>
      <c r="N425" s="243" t="str">
        <f>IF($A425="","",IF(ABS(E425)&gt;0.000001,COUNT($N$1:N424)+1,""))</f>
        <v/>
      </c>
      <c r="O425" s="291" t="str">
        <f>IF($A425="","",SUMIFS(Transactions!$H$2:$H$1001,Transactions!$J$2:$J$1001,$A425,Transactions!$A$2:$A$1001,2)*$I425)</f>
        <v/>
      </c>
      <c r="P425" s="291" t="str">
        <f t="shared" si="61"/>
        <v/>
      </c>
      <c r="Q425" s="292" t="str">
        <f t="shared" si="62"/>
        <v/>
      </c>
    </row>
    <row r="426" spans="1:17" ht="15" customHeight="1" x14ac:dyDescent="0.2">
      <c r="A426" s="243" t="str">
        <f>IFERROR(INDEX(Txn[Key],MATCH(0,INDEX(COUNTIF($A$1:A425,Txn[Key])+(Txn[Key]=""),0),0)),"")</f>
        <v/>
      </c>
      <c r="B426" s="243" t="str">
        <f t="shared" si="54"/>
        <v/>
      </c>
      <c r="C426" s="243" t="str">
        <f t="shared" si="55"/>
        <v/>
      </c>
      <c r="D426" s="243" t="str">
        <f t="shared" si="56"/>
        <v/>
      </c>
      <c r="E426" s="265" t="str">
        <f>IF($A426="","",SUMIFS(Txn[Signed Units],Txn[Key],$A426))</f>
        <v/>
      </c>
      <c r="F426" s="287" t="str">
        <f>IF($A426="","",SUMIFS(Txn[Buy Cost],Txn[Key],$A426))</f>
        <v/>
      </c>
      <c r="G426" s="287" t="str">
        <f>IF($A426="","",SUMIFS(Txn[Sell Proceeds],Txn[Key],$A426))</f>
        <v/>
      </c>
      <c r="H426" s="288" t="str">
        <f>IF($A426="","",IFERROR(INDEX(Prices[Current Price],MATCH($A426,Prices[Key],0)),0))</f>
        <v/>
      </c>
      <c r="I426" s="289" t="str">
        <f>IF($A426="","",IFERROR(INDEX(Prices[FX to SGD],MATCH($A426,Prices[Key],0)),1))</f>
        <v/>
      </c>
      <c r="J426" s="287" t="str">
        <f t="shared" si="57"/>
        <v/>
      </c>
      <c r="K426" s="287" t="str">
        <f t="shared" si="58"/>
        <v/>
      </c>
      <c r="L426" s="287" t="str">
        <f t="shared" si="59"/>
        <v/>
      </c>
      <c r="M426" s="290" t="str">
        <f t="shared" si="60"/>
        <v/>
      </c>
      <c r="N426" s="243" t="str">
        <f>IF($A426="","",IF(ABS(E426)&gt;0.000001,COUNT($N$1:N425)+1,""))</f>
        <v/>
      </c>
      <c r="O426" s="291" t="str">
        <f>IF($A426="","",SUMIFS(Transactions!$H$2:$H$1001,Transactions!$J$2:$J$1001,$A426,Transactions!$A$2:$A$1001,2)*$I426)</f>
        <v/>
      </c>
      <c r="P426" s="291" t="str">
        <f t="shared" si="61"/>
        <v/>
      </c>
      <c r="Q426" s="292" t="str">
        <f t="shared" si="62"/>
        <v/>
      </c>
    </row>
    <row r="427" spans="1:17" ht="15" customHeight="1" x14ac:dyDescent="0.2">
      <c r="A427" s="243" t="str">
        <f>IFERROR(INDEX(Txn[Key],MATCH(0,INDEX(COUNTIF($A$1:A426,Txn[Key])+(Txn[Key]=""),0),0)),"")</f>
        <v/>
      </c>
      <c r="B427" s="243" t="str">
        <f t="shared" si="54"/>
        <v/>
      </c>
      <c r="C427" s="243" t="str">
        <f t="shared" si="55"/>
        <v/>
      </c>
      <c r="D427" s="243" t="str">
        <f t="shared" si="56"/>
        <v/>
      </c>
      <c r="E427" s="265" t="str">
        <f>IF($A427="","",SUMIFS(Txn[Signed Units],Txn[Key],$A427))</f>
        <v/>
      </c>
      <c r="F427" s="287" t="str">
        <f>IF($A427="","",SUMIFS(Txn[Buy Cost],Txn[Key],$A427))</f>
        <v/>
      </c>
      <c r="G427" s="287" t="str">
        <f>IF($A427="","",SUMIFS(Txn[Sell Proceeds],Txn[Key],$A427))</f>
        <v/>
      </c>
      <c r="H427" s="288" t="str">
        <f>IF($A427="","",IFERROR(INDEX(Prices[Current Price],MATCH($A427,Prices[Key],0)),0))</f>
        <v/>
      </c>
      <c r="I427" s="289" t="str">
        <f>IF($A427="","",IFERROR(INDEX(Prices[FX to SGD],MATCH($A427,Prices[Key],0)),1))</f>
        <v/>
      </c>
      <c r="J427" s="287" t="str">
        <f t="shared" si="57"/>
        <v/>
      </c>
      <c r="K427" s="287" t="str">
        <f t="shared" si="58"/>
        <v/>
      </c>
      <c r="L427" s="287" t="str">
        <f t="shared" si="59"/>
        <v/>
      </c>
      <c r="M427" s="290" t="str">
        <f t="shared" si="60"/>
        <v/>
      </c>
      <c r="N427" s="243" t="str">
        <f>IF($A427="","",IF(ABS(E427)&gt;0.000001,COUNT($N$1:N426)+1,""))</f>
        <v/>
      </c>
      <c r="O427" s="291" t="str">
        <f>IF($A427="","",SUMIFS(Transactions!$H$2:$H$1001,Transactions!$J$2:$J$1001,$A427,Transactions!$A$2:$A$1001,2)*$I427)</f>
        <v/>
      </c>
      <c r="P427" s="291" t="str">
        <f t="shared" si="61"/>
        <v/>
      </c>
      <c r="Q427" s="292" t="str">
        <f t="shared" si="62"/>
        <v/>
      </c>
    </row>
    <row r="428" spans="1:17" ht="15" customHeight="1" x14ac:dyDescent="0.2">
      <c r="A428" s="243" t="str">
        <f>IFERROR(INDEX(Txn[Key],MATCH(0,INDEX(COUNTIF($A$1:A427,Txn[Key])+(Txn[Key]=""),0),0)),"")</f>
        <v/>
      </c>
      <c r="B428" s="243" t="str">
        <f t="shared" si="54"/>
        <v/>
      </c>
      <c r="C428" s="243" t="str">
        <f t="shared" si="55"/>
        <v/>
      </c>
      <c r="D428" s="243" t="str">
        <f t="shared" si="56"/>
        <v/>
      </c>
      <c r="E428" s="265" t="str">
        <f>IF($A428="","",SUMIFS(Txn[Signed Units],Txn[Key],$A428))</f>
        <v/>
      </c>
      <c r="F428" s="287" t="str">
        <f>IF($A428="","",SUMIFS(Txn[Buy Cost],Txn[Key],$A428))</f>
        <v/>
      </c>
      <c r="G428" s="287" t="str">
        <f>IF($A428="","",SUMIFS(Txn[Sell Proceeds],Txn[Key],$A428))</f>
        <v/>
      </c>
      <c r="H428" s="288" t="str">
        <f>IF($A428="","",IFERROR(INDEX(Prices[Current Price],MATCH($A428,Prices[Key],0)),0))</f>
        <v/>
      </c>
      <c r="I428" s="289" t="str">
        <f>IF($A428="","",IFERROR(INDEX(Prices[FX to SGD],MATCH($A428,Prices[Key],0)),1))</f>
        <v/>
      </c>
      <c r="J428" s="287" t="str">
        <f t="shared" si="57"/>
        <v/>
      </c>
      <c r="K428" s="287" t="str">
        <f t="shared" si="58"/>
        <v/>
      </c>
      <c r="L428" s="287" t="str">
        <f t="shared" si="59"/>
        <v/>
      </c>
      <c r="M428" s="290" t="str">
        <f t="shared" si="60"/>
        <v/>
      </c>
      <c r="N428" s="243" t="str">
        <f>IF($A428="","",IF(ABS(E428)&gt;0.000001,COUNT($N$1:N427)+1,""))</f>
        <v/>
      </c>
      <c r="O428" s="291" t="str">
        <f>IF($A428="","",SUMIFS(Transactions!$H$2:$H$1001,Transactions!$J$2:$J$1001,$A428,Transactions!$A$2:$A$1001,2)*$I428)</f>
        <v/>
      </c>
      <c r="P428" s="291" t="str">
        <f t="shared" si="61"/>
        <v/>
      </c>
      <c r="Q428" s="292" t="str">
        <f t="shared" si="62"/>
        <v/>
      </c>
    </row>
    <row r="429" spans="1:17" ht="15" customHeight="1" x14ac:dyDescent="0.2">
      <c r="A429" s="243" t="str">
        <f>IFERROR(INDEX(Txn[Key],MATCH(0,INDEX(COUNTIF($A$1:A428,Txn[Key])+(Txn[Key]=""),0),0)),"")</f>
        <v/>
      </c>
      <c r="B429" s="243" t="str">
        <f t="shared" si="54"/>
        <v/>
      </c>
      <c r="C429" s="243" t="str">
        <f t="shared" si="55"/>
        <v/>
      </c>
      <c r="D429" s="243" t="str">
        <f t="shared" si="56"/>
        <v/>
      </c>
      <c r="E429" s="265" t="str">
        <f>IF($A429="","",SUMIFS(Txn[Signed Units],Txn[Key],$A429))</f>
        <v/>
      </c>
      <c r="F429" s="287" t="str">
        <f>IF($A429="","",SUMIFS(Txn[Buy Cost],Txn[Key],$A429))</f>
        <v/>
      </c>
      <c r="G429" s="287" t="str">
        <f>IF($A429="","",SUMIFS(Txn[Sell Proceeds],Txn[Key],$A429))</f>
        <v/>
      </c>
      <c r="H429" s="288" t="str">
        <f>IF($A429="","",IFERROR(INDEX(Prices[Current Price],MATCH($A429,Prices[Key],0)),0))</f>
        <v/>
      </c>
      <c r="I429" s="289" t="str">
        <f>IF($A429="","",IFERROR(INDEX(Prices[FX to SGD],MATCH($A429,Prices[Key],0)),1))</f>
        <v/>
      </c>
      <c r="J429" s="287" t="str">
        <f t="shared" si="57"/>
        <v/>
      </c>
      <c r="K429" s="287" t="str">
        <f t="shared" si="58"/>
        <v/>
      </c>
      <c r="L429" s="287" t="str">
        <f t="shared" si="59"/>
        <v/>
      </c>
      <c r="M429" s="290" t="str">
        <f t="shared" si="60"/>
        <v/>
      </c>
      <c r="N429" s="243" t="str">
        <f>IF($A429="","",IF(ABS(E429)&gt;0.000001,COUNT($N$1:N428)+1,""))</f>
        <v/>
      </c>
      <c r="O429" s="291" t="str">
        <f>IF($A429="","",SUMIFS(Transactions!$H$2:$H$1001,Transactions!$J$2:$J$1001,$A429,Transactions!$A$2:$A$1001,2)*$I429)</f>
        <v/>
      </c>
      <c r="P429" s="291" t="str">
        <f t="shared" si="61"/>
        <v/>
      </c>
      <c r="Q429" s="292" t="str">
        <f t="shared" si="62"/>
        <v/>
      </c>
    </row>
    <row r="430" spans="1:17" ht="15" customHeight="1" x14ac:dyDescent="0.2">
      <c r="A430" s="243" t="str">
        <f>IFERROR(INDEX(Txn[Key],MATCH(0,INDEX(COUNTIF($A$1:A429,Txn[Key])+(Txn[Key]=""),0),0)),"")</f>
        <v/>
      </c>
      <c r="B430" s="243" t="str">
        <f t="shared" si="54"/>
        <v/>
      </c>
      <c r="C430" s="243" t="str">
        <f t="shared" si="55"/>
        <v/>
      </c>
      <c r="D430" s="243" t="str">
        <f t="shared" si="56"/>
        <v/>
      </c>
      <c r="E430" s="265" t="str">
        <f>IF($A430="","",SUMIFS(Txn[Signed Units],Txn[Key],$A430))</f>
        <v/>
      </c>
      <c r="F430" s="287" t="str">
        <f>IF($A430="","",SUMIFS(Txn[Buy Cost],Txn[Key],$A430))</f>
        <v/>
      </c>
      <c r="G430" s="287" t="str">
        <f>IF($A430="","",SUMIFS(Txn[Sell Proceeds],Txn[Key],$A430))</f>
        <v/>
      </c>
      <c r="H430" s="288" t="str">
        <f>IF($A430="","",IFERROR(INDEX(Prices[Current Price],MATCH($A430,Prices[Key],0)),0))</f>
        <v/>
      </c>
      <c r="I430" s="289" t="str">
        <f>IF($A430="","",IFERROR(INDEX(Prices[FX to SGD],MATCH($A430,Prices[Key],0)),1))</f>
        <v/>
      </c>
      <c r="J430" s="287" t="str">
        <f t="shared" si="57"/>
        <v/>
      </c>
      <c r="K430" s="287" t="str">
        <f t="shared" si="58"/>
        <v/>
      </c>
      <c r="L430" s="287" t="str">
        <f t="shared" si="59"/>
        <v/>
      </c>
      <c r="M430" s="290" t="str">
        <f t="shared" si="60"/>
        <v/>
      </c>
      <c r="N430" s="243" t="str">
        <f>IF($A430="","",IF(ABS(E430)&gt;0.000001,COUNT($N$1:N429)+1,""))</f>
        <v/>
      </c>
      <c r="O430" s="291" t="str">
        <f>IF($A430="","",SUMIFS(Transactions!$H$2:$H$1001,Transactions!$J$2:$J$1001,$A430,Transactions!$A$2:$A$1001,2)*$I430)</f>
        <v/>
      </c>
      <c r="P430" s="291" t="str">
        <f t="shared" si="61"/>
        <v/>
      </c>
      <c r="Q430" s="292" t="str">
        <f t="shared" si="62"/>
        <v/>
      </c>
    </row>
    <row r="431" spans="1:17" ht="15" customHeight="1" x14ac:dyDescent="0.2">
      <c r="A431" s="243" t="str">
        <f>IFERROR(INDEX(Txn[Key],MATCH(0,INDEX(COUNTIF($A$1:A430,Txn[Key])+(Txn[Key]=""),0),0)),"")</f>
        <v/>
      </c>
      <c r="B431" s="243" t="str">
        <f t="shared" si="54"/>
        <v/>
      </c>
      <c r="C431" s="243" t="str">
        <f t="shared" si="55"/>
        <v/>
      </c>
      <c r="D431" s="243" t="str">
        <f t="shared" si="56"/>
        <v/>
      </c>
      <c r="E431" s="265" t="str">
        <f>IF($A431="","",SUMIFS(Txn[Signed Units],Txn[Key],$A431))</f>
        <v/>
      </c>
      <c r="F431" s="287" t="str">
        <f>IF($A431="","",SUMIFS(Txn[Buy Cost],Txn[Key],$A431))</f>
        <v/>
      </c>
      <c r="G431" s="287" t="str">
        <f>IF($A431="","",SUMIFS(Txn[Sell Proceeds],Txn[Key],$A431))</f>
        <v/>
      </c>
      <c r="H431" s="288" t="str">
        <f>IF($A431="","",IFERROR(INDEX(Prices[Current Price],MATCH($A431,Prices[Key],0)),0))</f>
        <v/>
      </c>
      <c r="I431" s="289" t="str">
        <f>IF($A431="","",IFERROR(INDEX(Prices[FX to SGD],MATCH($A431,Prices[Key],0)),1))</f>
        <v/>
      </c>
      <c r="J431" s="287" t="str">
        <f t="shared" si="57"/>
        <v/>
      </c>
      <c r="K431" s="287" t="str">
        <f t="shared" si="58"/>
        <v/>
      </c>
      <c r="L431" s="287" t="str">
        <f t="shared" si="59"/>
        <v/>
      </c>
      <c r="M431" s="290" t="str">
        <f t="shared" si="60"/>
        <v/>
      </c>
      <c r="N431" s="243" t="str">
        <f>IF($A431="","",IF(ABS(E431)&gt;0.000001,COUNT($N$1:N430)+1,""))</f>
        <v/>
      </c>
      <c r="O431" s="291" t="str">
        <f>IF($A431="","",SUMIFS(Transactions!$H$2:$H$1001,Transactions!$J$2:$J$1001,$A431,Transactions!$A$2:$A$1001,2)*$I431)</f>
        <v/>
      </c>
      <c r="P431" s="291" t="str">
        <f t="shared" si="61"/>
        <v/>
      </c>
      <c r="Q431" s="292" t="str">
        <f t="shared" si="62"/>
        <v/>
      </c>
    </row>
    <row r="432" spans="1:17" ht="15" customHeight="1" x14ac:dyDescent="0.2">
      <c r="A432" s="243" t="str">
        <f>IFERROR(INDEX(Txn[Key],MATCH(0,INDEX(COUNTIF($A$1:A431,Txn[Key])+(Txn[Key]=""),0),0)),"")</f>
        <v/>
      </c>
      <c r="B432" s="243" t="str">
        <f t="shared" si="54"/>
        <v/>
      </c>
      <c r="C432" s="243" t="str">
        <f t="shared" si="55"/>
        <v/>
      </c>
      <c r="D432" s="243" t="str">
        <f t="shared" si="56"/>
        <v/>
      </c>
      <c r="E432" s="265" t="str">
        <f>IF($A432="","",SUMIFS(Txn[Signed Units],Txn[Key],$A432))</f>
        <v/>
      </c>
      <c r="F432" s="287" t="str">
        <f>IF($A432="","",SUMIFS(Txn[Buy Cost],Txn[Key],$A432))</f>
        <v/>
      </c>
      <c r="G432" s="287" t="str">
        <f>IF($A432="","",SUMIFS(Txn[Sell Proceeds],Txn[Key],$A432))</f>
        <v/>
      </c>
      <c r="H432" s="288" t="str">
        <f>IF($A432="","",IFERROR(INDEX(Prices[Current Price],MATCH($A432,Prices[Key],0)),0))</f>
        <v/>
      </c>
      <c r="I432" s="289" t="str">
        <f>IF($A432="","",IFERROR(INDEX(Prices[FX to SGD],MATCH($A432,Prices[Key],0)),1))</f>
        <v/>
      </c>
      <c r="J432" s="287" t="str">
        <f t="shared" si="57"/>
        <v/>
      </c>
      <c r="K432" s="287" t="str">
        <f t="shared" si="58"/>
        <v/>
      </c>
      <c r="L432" s="287" t="str">
        <f t="shared" si="59"/>
        <v/>
      </c>
      <c r="M432" s="290" t="str">
        <f t="shared" si="60"/>
        <v/>
      </c>
      <c r="N432" s="243" t="str">
        <f>IF($A432="","",IF(ABS(E432)&gt;0.000001,COUNT($N$1:N431)+1,""))</f>
        <v/>
      </c>
      <c r="O432" s="291" t="str">
        <f>IF($A432="","",SUMIFS(Transactions!$H$2:$H$1001,Transactions!$J$2:$J$1001,$A432,Transactions!$A$2:$A$1001,2)*$I432)</f>
        <v/>
      </c>
      <c r="P432" s="291" t="str">
        <f t="shared" si="61"/>
        <v/>
      </c>
      <c r="Q432" s="292" t="str">
        <f t="shared" si="62"/>
        <v/>
      </c>
    </row>
    <row r="433" spans="1:17" ht="15" customHeight="1" x14ac:dyDescent="0.2">
      <c r="A433" s="243" t="str">
        <f>IFERROR(INDEX(Txn[Key],MATCH(0,INDEX(COUNTIF($A$1:A432,Txn[Key])+(Txn[Key]=""),0),0)),"")</f>
        <v/>
      </c>
      <c r="B433" s="243" t="str">
        <f t="shared" si="54"/>
        <v/>
      </c>
      <c r="C433" s="243" t="str">
        <f t="shared" si="55"/>
        <v/>
      </c>
      <c r="D433" s="243" t="str">
        <f t="shared" si="56"/>
        <v/>
      </c>
      <c r="E433" s="265" t="str">
        <f>IF($A433="","",SUMIFS(Txn[Signed Units],Txn[Key],$A433))</f>
        <v/>
      </c>
      <c r="F433" s="287" t="str">
        <f>IF($A433="","",SUMIFS(Txn[Buy Cost],Txn[Key],$A433))</f>
        <v/>
      </c>
      <c r="G433" s="287" t="str">
        <f>IF($A433="","",SUMIFS(Txn[Sell Proceeds],Txn[Key],$A433))</f>
        <v/>
      </c>
      <c r="H433" s="288" t="str">
        <f>IF($A433="","",IFERROR(INDEX(Prices[Current Price],MATCH($A433,Prices[Key],0)),0))</f>
        <v/>
      </c>
      <c r="I433" s="289" t="str">
        <f>IF($A433="","",IFERROR(INDEX(Prices[FX to SGD],MATCH($A433,Prices[Key],0)),1))</f>
        <v/>
      </c>
      <c r="J433" s="287" t="str">
        <f t="shared" si="57"/>
        <v/>
      </c>
      <c r="K433" s="287" t="str">
        <f t="shared" si="58"/>
        <v/>
      </c>
      <c r="L433" s="287" t="str">
        <f t="shared" si="59"/>
        <v/>
      </c>
      <c r="M433" s="290" t="str">
        <f t="shared" si="60"/>
        <v/>
      </c>
      <c r="N433" s="243" t="str">
        <f>IF($A433="","",IF(ABS(E433)&gt;0.000001,COUNT($N$1:N432)+1,""))</f>
        <v/>
      </c>
      <c r="O433" s="291" t="str">
        <f>IF($A433="","",SUMIFS(Transactions!$H$2:$H$1001,Transactions!$J$2:$J$1001,$A433,Transactions!$A$2:$A$1001,2)*$I433)</f>
        <v/>
      </c>
      <c r="P433" s="291" t="str">
        <f t="shared" si="61"/>
        <v/>
      </c>
      <c r="Q433" s="292" t="str">
        <f t="shared" si="62"/>
        <v/>
      </c>
    </row>
    <row r="434" spans="1:17" ht="15" customHeight="1" x14ac:dyDescent="0.2">
      <c r="A434" s="243" t="str">
        <f>IFERROR(INDEX(Txn[Key],MATCH(0,INDEX(COUNTIF($A$1:A433,Txn[Key])+(Txn[Key]=""),0),0)),"")</f>
        <v/>
      </c>
      <c r="B434" s="243" t="str">
        <f t="shared" si="54"/>
        <v/>
      </c>
      <c r="C434" s="243" t="str">
        <f t="shared" si="55"/>
        <v/>
      </c>
      <c r="D434" s="243" t="str">
        <f t="shared" si="56"/>
        <v/>
      </c>
      <c r="E434" s="265" t="str">
        <f>IF($A434="","",SUMIFS(Txn[Signed Units],Txn[Key],$A434))</f>
        <v/>
      </c>
      <c r="F434" s="287" t="str">
        <f>IF($A434="","",SUMIFS(Txn[Buy Cost],Txn[Key],$A434))</f>
        <v/>
      </c>
      <c r="G434" s="287" t="str">
        <f>IF($A434="","",SUMIFS(Txn[Sell Proceeds],Txn[Key],$A434))</f>
        <v/>
      </c>
      <c r="H434" s="288" t="str">
        <f>IF($A434="","",IFERROR(INDEX(Prices[Current Price],MATCH($A434,Prices[Key],0)),0))</f>
        <v/>
      </c>
      <c r="I434" s="289" t="str">
        <f>IF($A434="","",IFERROR(INDEX(Prices[FX to SGD],MATCH($A434,Prices[Key],0)),1))</f>
        <v/>
      </c>
      <c r="J434" s="287" t="str">
        <f t="shared" si="57"/>
        <v/>
      </c>
      <c r="K434" s="287" t="str">
        <f t="shared" si="58"/>
        <v/>
      </c>
      <c r="L434" s="287" t="str">
        <f t="shared" si="59"/>
        <v/>
      </c>
      <c r="M434" s="290" t="str">
        <f t="shared" si="60"/>
        <v/>
      </c>
      <c r="N434" s="243" t="str">
        <f>IF($A434="","",IF(ABS(E434)&gt;0.000001,COUNT($N$1:N433)+1,""))</f>
        <v/>
      </c>
      <c r="O434" s="291" t="str">
        <f>IF($A434="","",SUMIFS(Transactions!$H$2:$H$1001,Transactions!$J$2:$J$1001,$A434,Transactions!$A$2:$A$1001,2)*$I434)</f>
        <v/>
      </c>
      <c r="P434" s="291" t="str">
        <f t="shared" si="61"/>
        <v/>
      </c>
      <c r="Q434" s="292" t="str">
        <f t="shared" si="62"/>
        <v/>
      </c>
    </row>
    <row r="435" spans="1:17" ht="15" customHeight="1" x14ac:dyDescent="0.2">
      <c r="A435" s="243" t="str">
        <f>IFERROR(INDEX(Txn[Key],MATCH(0,INDEX(COUNTIF($A$1:A434,Txn[Key])+(Txn[Key]=""),0),0)),"")</f>
        <v/>
      </c>
      <c r="B435" s="243" t="str">
        <f t="shared" si="54"/>
        <v/>
      </c>
      <c r="C435" s="243" t="str">
        <f t="shared" si="55"/>
        <v/>
      </c>
      <c r="D435" s="243" t="str">
        <f t="shared" si="56"/>
        <v/>
      </c>
      <c r="E435" s="265" t="str">
        <f>IF($A435="","",SUMIFS(Txn[Signed Units],Txn[Key],$A435))</f>
        <v/>
      </c>
      <c r="F435" s="287" t="str">
        <f>IF($A435="","",SUMIFS(Txn[Buy Cost],Txn[Key],$A435))</f>
        <v/>
      </c>
      <c r="G435" s="287" t="str">
        <f>IF($A435="","",SUMIFS(Txn[Sell Proceeds],Txn[Key],$A435))</f>
        <v/>
      </c>
      <c r="H435" s="288" t="str">
        <f>IF($A435="","",IFERROR(INDEX(Prices[Current Price],MATCH($A435,Prices[Key],0)),0))</f>
        <v/>
      </c>
      <c r="I435" s="289" t="str">
        <f>IF($A435="","",IFERROR(INDEX(Prices[FX to SGD],MATCH($A435,Prices[Key],0)),1))</f>
        <v/>
      </c>
      <c r="J435" s="287" t="str">
        <f t="shared" si="57"/>
        <v/>
      </c>
      <c r="K435" s="287" t="str">
        <f t="shared" si="58"/>
        <v/>
      </c>
      <c r="L435" s="287" t="str">
        <f t="shared" si="59"/>
        <v/>
      </c>
      <c r="M435" s="290" t="str">
        <f t="shared" si="60"/>
        <v/>
      </c>
      <c r="N435" s="243" t="str">
        <f>IF($A435="","",IF(ABS(E435)&gt;0.000001,COUNT($N$1:N434)+1,""))</f>
        <v/>
      </c>
      <c r="O435" s="291" t="str">
        <f>IF($A435="","",SUMIFS(Transactions!$H$2:$H$1001,Transactions!$J$2:$J$1001,$A435,Transactions!$A$2:$A$1001,2)*$I435)</f>
        <v/>
      </c>
      <c r="P435" s="291" t="str">
        <f t="shared" si="61"/>
        <v/>
      </c>
      <c r="Q435" s="292" t="str">
        <f t="shared" si="62"/>
        <v/>
      </c>
    </row>
    <row r="436" spans="1:17" ht="15" customHeight="1" x14ac:dyDescent="0.2">
      <c r="A436" s="243" t="str">
        <f>IFERROR(INDEX(Txn[Key],MATCH(0,INDEX(COUNTIF($A$1:A435,Txn[Key])+(Txn[Key]=""),0),0)),"")</f>
        <v/>
      </c>
      <c r="B436" s="243" t="str">
        <f t="shared" si="54"/>
        <v/>
      </c>
      <c r="C436" s="243" t="str">
        <f t="shared" si="55"/>
        <v/>
      </c>
      <c r="D436" s="243" t="str">
        <f t="shared" si="56"/>
        <v/>
      </c>
      <c r="E436" s="265" t="str">
        <f>IF($A436="","",SUMIFS(Txn[Signed Units],Txn[Key],$A436))</f>
        <v/>
      </c>
      <c r="F436" s="287" t="str">
        <f>IF($A436="","",SUMIFS(Txn[Buy Cost],Txn[Key],$A436))</f>
        <v/>
      </c>
      <c r="G436" s="287" t="str">
        <f>IF($A436="","",SUMIFS(Txn[Sell Proceeds],Txn[Key],$A436))</f>
        <v/>
      </c>
      <c r="H436" s="288" t="str">
        <f>IF($A436="","",IFERROR(INDEX(Prices[Current Price],MATCH($A436,Prices[Key],0)),0))</f>
        <v/>
      </c>
      <c r="I436" s="289" t="str">
        <f>IF($A436="","",IFERROR(INDEX(Prices[FX to SGD],MATCH($A436,Prices[Key],0)),1))</f>
        <v/>
      </c>
      <c r="J436" s="287" t="str">
        <f t="shared" si="57"/>
        <v/>
      </c>
      <c r="K436" s="287" t="str">
        <f t="shared" si="58"/>
        <v/>
      </c>
      <c r="L436" s="287" t="str">
        <f t="shared" si="59"/>
        <v/>
      </c>
      <c r="M436" s="290" t="str">
        <f t="shared" si="60"/>
        <v/>
      </c>
      <c r="N436" s="243" t="str">
        <f>IF($A436="","",IF(ABS(E436)&gt;0.000001,COUNT($N$1:N435)+1,""))</f>
        <v/>
      </c>
      <c r="O436" s="291" t="str">
        <f>IF($A436="","",SUMIFS(Transactions!$H$2:$H$1001,Transactions!$J$2:$J$1001,$A436,Transactions!$A$2:$A$1001,2)*$I436)</f>
        <v/>
      </c>
      <c r="P436" s="291" t="str">
        <f t="shared" si="61"/>
        <v/>
      </c>
      <c r="Q436" s="292" t="str">
        <f t="shared" si="62"/>
        <v/>
      </c>
    </row>
    <row r="437" spans="1:17" ht="15" customHeight="1" x14ac:dyDescent="0.2">
      <c r="A437" s="243" t="str">
        <f>IFERROR(INDEX(Txn[Key],MATCH(0,INDEX(COUNTIF($A$1:A436,Txn[Key])+(Txn[Key]=""),0),0)),"")</f>
        <v/>
      </c>
      <c r="B437" s="243" t="str">
        <f t="shared" si="54"/>
        <v/>
      </c>
      <c r="C437" s="243" t="str">
        <f t="shared" si="55"/>
        <v/>
      </c>
      <c r="D437" s="243" t="str">
        <f t="shared" si="56"/>
        <v/>
      </c>
      <c r="E437" s="265" t="str">
        <f>IF($A437="","",SUMIFS(Txn[Signed Units],Txn[Key],$A437))</f>
        <v/>
      </c>
      <c r="F437" s="287" t="str">
        <f>IF($A437="","",SUMIFS(Txn[Buy Cost],Txn[Key],$A437))</f>
        <v/>
      </c>
      <c r="G437" s="287" t="str">
        <f>IF($A437="","",SUMIFS(Txn[Sell Proceeds],Txn[Key],$A437))</f>
        <v/>
      </c>
      <c r="H437" s="288" t="str">
        <f>IF($A437="","",IFERROR(INDEX(Prices[Current Price],MATCH($A437,Prices[Key],0)),0))</f>
        <v/>
      </c>
      <c r="I437" s="289" t="str">
        <f>IF($A437="","",IFERROR(INDEX(Prices[FX to SGD],MATCH($A437,Prices[Key],0)),1))</f>
        <v/>
      </c>
      <c r="J437" s="287" t="str">
        <f t="shared" si="57"/>
        <v/>
      </c>
      <c r="K437" s="287" t="str">
        <f t="shared" si="58"/>
        <v/>
      </c>
      <c r="L437" s="287" t="str">
        <f t="shared" si="59"/>
        <v/>
      </c>
      <c r="M437" s="290" t="str">
        <f t="shared" si="60"/>
        <v/>
      </c>
      <c r="N437" s="243" t="str">
        <f>IF($A437="","",IF(ABS(E437)&gt;0.000001,COUNT($N$1:N436)+1,""))</f>
        <v/>
      </c>
      <c r="O437" s="291" t="str">
        <f>IF($A437="","",SUMIFS(Transactions!$H$2:$H$1001,Transactions!$J$2:$J$1001,$A437,Transactions!$A$2:$A$1001,2)*$I437)</f>
        <v/>
      </c>
      <c r="P437" s="291" t="str">
        <f t="shared" si="61"/>
        <v/>
      </c>
      <c r="Q437" s="292" t="str">
        <f t="shared" si="62"/>
        <v/>
      </c>
    </row>
    <row r="438" spans="1:17" ht="15" customHeight="1" x14ac:dyDescent="0.2">
      <c r="A438" s="243" t="str">
        <f>IFERROR(INDEX(Txn[Key],MATCH(0,INDEX(COUNTIF($A$1:A437,Txn[Key])+(Txn[Key]=""),0),0)),"")</f>
        <v/>
      </c>
      <c r="B438" s="243" t="str">
        <f t="shared" si="54"/>
        <v/>
      </c>
      <c r="C438" s="243" t="str">
        <f t="shared" si="55"/>
        <v/>
      </c>
      <c r="D438" s="243" t="str">
        <f t="shared" si="56"/>
        <v/>
      </c>
      <c r="E438" s="265" t="str">
        <f>IF($A438="","",SUMIFS(Txn[Signed Units],Txn[Key],$A438))</f>
        <v/>
      </c>
      <c r="F438" s="287" t="str">
        <f>IF($A438="","",SUMIFS(Txn[Buy Cost],Txn[Key],$A438))</f>
        <v/>
      </c>
      <c r="G438" s="287" t="str">
        <f>IF($A438="","",SUMIFS(Txn[Sell Proceeds],Txn[Key],$A438))</f>
        <v/>
      </c>
      <c r="H438" s="288" t="str">
        <f>IF($A438="","",IFERROR(INDEX(Prices[Current Price],MATCH($A438,Prices[Key],0)),0))</f>
        <v/>
      </c>
      <c r="I438" s="289" t="str">
        <f>IF($A438="","",IFERROR(INDEX(Prices[FX to SGD],MATCH($A438,Prices[Key],0)),1))</f>
        <v/>
      </c>
      <c r="J438" s="287" t="str">
        <f t="shared" si="57"/>
        <v/>
      </c>
      <c r="K438" s="287" t="str">
        <f t="shared" si="58"/>
        <v/>
      </c>
      <c r="L438" s="287" t="str">
        <f t="shared" si="59"/>
        <v/>
      </c>
      <c r="M438" s="290" t="str">
        <f t="shared" si="60"/>
        <v/>
      </c>
      <c r="N438" s="243" t="str">
        <f>IF($A438="","",IF(ABS(E438)&gt;0.000001,COUNT($N$1:N437)+1,""))</f>
        <v/>
      </c>
      <c r="O438" s="291" t="str">
        <f>IF($A438="","",SUMIFS(Transactions!$H$2:$H$1001,Transactions!$J$2:$J$1001,$A438,Transactions!$A$2:$A$1001,2)*$I438)</f>
        <v/>
      </c>
      <c r="P438" s="291" t="str">
        <f t="shared" si="61"/>
        <v/>
      </c>
      <c r="Q438" s="292" t="str">
        <f t="shared" si="62"/>
        <v/>
      </c>
    </row>
    <row r="439" spans="1:17" ht="15" customHeight="1" x14ac:dyDescent="0.2">
      <c r="A439" s="243" t="str">
        <f>IFERROR(INDEX(Txn[Key],MATCH(0,INDEX(COUNTIF($A$1:A438,Txn[Key])+(Txn[Key]=""),0),0)),"")</f>
        <v/>
      </c>
      <c r="B439" s="243" t="str">
        <f t="shared" si="54"/>
        <v/>
      </c>
      <c r="C439" s="243" t="str">
        <f t="shared" si="55"/>
        <v/>
      </c>
      <c r="D439" s="243" t="str">
        <f t="shared" si="56"/>
        <v/>
      </c>
      <c r="E439" s="265" t="str">
        <f>IF($A439="","",SUMIFS(Txn[Signed Units],Txn[Key],$A439))</f>
        <v/>
      </c>
      <c r="F439" s="287" t="str">
        <f>IF($A439="","",SUMIFS(Txn[Buy Cost],Txn[Key],$A439))</f>
        <v/>
      </c>
      <c r="G439" s="287" t="str">
        <f>IF($A439="","",SUMIFS(Txn[Sell Proceeds],Txn[Key],$A439))</f>
        <v/>
      </c>
      <c r="H439" s="288" t="str">
        <f>IF($A439="","",IFERROR(INDEX(Prices[Current Price],MATCH($A439,Prices[Key],0)),0))</f>
        <v/>
      </c>
      <c r="I439" s="289" t="str">
        <f>IF($A439="","",IFERROR(INDEX(Prices[FX to SGD],MATCH($A439,Prices[Key],0)),1))</f>
        <v/>
      </c>
      <c r="J439" s="287" t="str">
        <f t="shared" si="57"/>
        <v/>
      </c>
      <c r="K439" s="287" t="str">
        <f t="shared" si="58"/>
        <v/>
      </c>
      <c r="L439" s="287" t="str">
        <f t="shared" si="59"/>
        <v/>
      </c>
      <c r="M439" s="290" t="str">
        <f t="shared" si="60"/>
        <v/>
      </c>
      <c r="N439" s="243" t="str">
        <f>IF($A439="","",IF(ABS(E439)&gt;0.000001,COUNT($N$1:N438)+1,""))</f>
        <v/>
      </c>
      <c r="O439" s="291" t="str">
        <f>IF($A439="","",SUMIFS(Transactions!$H$2:$H$1001,Transactions!$J$2:$J$1001,$A439,Transactions!$A$2:$A$1001,2)*$I439)</f>
        <v/>
      </c>
      <c r="P439" s="291" t="str">
        <f t="shared" si="61"/>
        <v/>
      </c>
      <c r="Q439" s="292" t="str">
        <f t="shared" si="62"/>
        <v/>
      </c>
    </row>
    <row r="440" spans="1:17" ht="15" customHeight="1" x14ac:dyDescent="0.2">
      <c r="A440" s="243" t="str">
        <f>IFERROR(INDEX(Txn[Key],MATCH(0,INDEX(COUNTIF($A$1:A439,Txn[Key])+(Txn[Key]=""),0),0)),"")</f>
        <v/>
      </c>
      <c r="B440" s="243" t="str">
        <f t="shared" si="54"/>
        <v/>
      </c>
      <c r="C440" s="243" t="str">
        <f t="shared" si="55"/>
        <v/>
      </c>
      <c r="D440" s="243" t="str">
        <f t="shared" si="56"/>
        <v/>
      </c>
      <c r="E440" s="265" t="str">
        <f>IF($A440="","",SUMIFS(Txn[Signed Units],Txn[Key],$A440))</f>
        <v/>
      </c>
      <c r="F440" s="287" t="str">
        <f>IF($A440="","",SUMIFS(Txn[Buy Cost],Txn[Key],$A440))</f>
        <v/>
      </c>
      <c r="G440" s="287" t="str">
        <f>IF($A440="","",SUMIFS(Txn[Sell Proceeds],Txn[Key],$A440))</f>
        <v/>
      </c>
      <c r="H440" s="288" t="str">
        <f>IF($A440="","",IFERROR(INDEX(Prices[Current Price],MATCH($A440,Prices[Key],0)),0))</f>
        <v/>
      </c>
      <c r="I440" s="289" t="str">
        <f>IF($A440="","",IFERROR(INDEX(Prices[FX to SGD],MATCH($A440,Prices[Key],0)),1))</f>
        <v/>
      </c>
      <c r="J440" s="287" t="str">
        <f t="shared" si="57"/>
        <v/>
      </c>
      <c r="K440" s="287" t="str">
        <f t="shared" si="58"/>
        <v/>
      </c>
      <c r="L440" s="287" t="str">
        <f t="shared" si="59"/>
        <v/>
      </c>
      <c r="M440" s="290" t="str">
        <f t="shared" si="60"/>
        <v/>
      </c>
      <c r="N440" s="243" t="str">
        <f>IF($A440="","",IF(ABS(E440)&gt;0.000001,COUNT($N$1:N439)+1,""))</f>
        <v/>
      </c>
      <c r="O440" s="291" t="str">
        <f>IF($A440="","",SUMIFS(Transactions!$H$2:$H$1001,Transactions!$J$2:$J$1001,$A440,Transactions!$A$2:$A$1001,2)*$I440)</f>
        <v/>
      </c>
      <c r="P440" s="291" t="str">
        <f t="shared" si="61"/>
        <v/>
      </c>
      <c r="Q440" s="292" t="str">
        <f t="shared" si="62"/>
        <v/>
      </c>
    </row>
    <row r="441" spans="1:17" ht="15" customHeight="1" x14ac:dyDescent="0.2">
      <c r="A441" s="243" t="str">
        <f>IFERROR(INDEX(Txn[Key],MATCH(0,INDEX(COUNTIF($A$1:A440,Txn[Key])+(Txn[Key]=""),0),0)),"")</f>
        <v/>
      </c>
      <c r="B441" s="243" t="str">
        <f t="shared" si="54"/>
        <v/>
      </c>
      <c r="C441" s="243" t="str">
        <f t="shared" si="55"/>
        <v/>
      </c>
      <c r="D441" s="243" t="str">
        <f t="shared" si="56"/>
        <v/>
      </c>
      <c r="E441" s="265" t="str">
        <f>IF($A441="","",SUMIFS(Txn[Signed Units],Txn[Key],$A441))</f>
        <v/>
      </c>
      <c r="F441" s="287" t="str">
        <f>IF($A441="","",SUMIFS(Txn[Buy Cost],Txn[Key],$A441))</f>
        <v/>
      </c>
      <c r="G441" s="287" t="str">
        <f>IF($A441="","",SUMIFS(Txn[Sell Proceeds],Txn[Key],$A441))</f>
        <v/>
      </c>
      <c r="H441" s="288" t="str">
        <f>IF($A441="","",IFERROR(INDEX(Prices[Current Price],MATCH($A441,Prices[Key],0)),0))</f>
        <v/>
      </c>
      <c r="I441" s="289" t="str">
        <f>IF($A441="","",IFERROR(INDEX(Prices[FX to SGD],MATCH($A441,Prices[Key],0)),1))</f>
        <v/>
      </c>
      <c r="J441" s="287" t="str">
        <f t="shared" si="57"/>
        <v/>
      </c>
      <c r="K441" s="287" t="str">
        <f t="shared" si="58"/>
        <v/>
      </c>
      <c r="L441" s="287" t="str">
        <f t="shared" si="59"/>
        <v/>
      </c>
      <c r="M441" s="290" t="str">
        <f t="shared" si="60"/>
        <v/>
      </c>
      <c r="N441" s="243" t="str">
        <f>IF($A441="","",IF(ABS(E441)&gt;0.000001,COUNT($N$1:N440)+1,""))</f>
        <v/>
      </c>
      <c r="O441" s="291" t="str">
        <f>IF($A441="","",SUMIFS(Transactions!$H$2:$H$1001,Transactions!$J$2:$J$1001,$A441,Transactions!$A$2:$A$1001,2)*$I441)</f>
        <v/>
      </c>
      <c r="P441" s="291" t="str">
        <f t="shared" si="61"/>
        <v/>
      </c>
      <c r="Q441" s="292" t="str">
        <f t="shared" si="62"/>
        <v/>
      </c>
    </row>
    <row r="442" spans="1:17" ht="15" customHeight="1" x14ac:dyDescent="0.2">
      <c r="A442" s="243" t="str">
        <f>IFERROR(INDEX(Txn[Key],MATCH(0,INDEX(COUNTIF($A$1:A441,Txn[Key])+(Txn[Key]=""),0),0)),"")</f>
        <v/>
      </c>
      <c r="B442" s="243" t="str">
        <f t="shared" si="54"/>
        <v/>
      </c>
      <c r="C442" s="243" t="str">
        <f t="shared" si="55"/>
        <v/>
      </c>
      <c r="D442" s="243" t="str">
        <f t="shared" si="56"/>
        <v/>
      </c>
      <c r="E442" s="265" t="str">
        <f>IF($A442="","",SUMIFS(Txn[Signed Units],Txn[Key],$A442))</f>
        <v/>
      </c>
      <c r="F442" s="287" t="str">
        <f>IF($A442="","",SUMIFS(Txn[Buy Cost],Txn[Key],$A442))</f>
        <v/>
      </c>
      <c r="G442" s="287" t="str">
        <f>IF($A442="","",SUMIFS(Txn[Sell Proceeds],Txn[Key],$A442))</f>
        <v/>
      </c>
      <c r="H442" s="288" t="str">
        <f>IF($A442="","",IFERROR(INDEX(Prices[Current Price],MATCH($A442,Prices[Key],0)),0))</f>
        <v/>
      </c>
      <c r="I442" s="289" t="str">
        <f>IF($A442="","",IFERROR(INDEX(Prices[FX to SGD],MATCH($A442,Prices[Key],0)),1))</f>
        <v/>
      </c>
      <c r="J442" s="287" t="str">
        <f t="shared" si="57"/>
        <v/>
      </c>
      <c r="K442" s="287" t="str">
        <f t="shared" si="58"/>
        <v/>
      </c>
      <c r="L442" s="287" t="str">
        <f t="shared" si="59"/>
        <v/>
      </c>
      <c r="M442" s="290" t="str">
        <f t="shared" si="60"/>
        <v/>
      </c>
      <c r="N442" s="243" t="str">
        <f>IF($A442="","",IF(ABS(E442)&gt;0.000001,COUNT($N$1:N441)+1,""))</f>
        <v/>
      </c>
      <c r="O442" s="291" t="str">
        <f>IF($A442="","",SUMIFS(Transactions!$H$2:$H$1001,Transactions!$J$2:$J$1001,$A442,Transactions!$A$2:$A$1001,2)*$I442)</f>
        <v/>
      </c>
      <c r="P442" s="291" t="str">
        <f t="shared" si="61"/>
        <v/>
      </c>
      <c r="Q442" s="292" t="str">
        <f t="shared" si="62"/>
        <v/>
      </c>
    </row>
    <row r="443" spans="1:17" ht="15" customHeight="1" x14ac:dyDescent="0.2">
      <c r="A443" s="243" t="str">
        <f>IFERROR(INDEX(Txn[Key],MATCH(0,INDEX(COUNTIF($A$1:A442,Txn[Key])+(Txn[Key]=""),0),0)),"")</f>
        <v/>
      </c>
      <c r="B443" s="243" t="str">
        <f t="shared" si="54"/>
        <v/>
      </c>
      <c r="C443" s="243" t="str">
        <f t="shared" si="55"/>
        <v/>
      </c>
      <c r="D443" s="243" t="str">
        <f t="shared" si="56"/>
        <v/>
      </c>
      <c r="E443" s="265" t="str">
        <f>IF($A443="","",SUMIFS(Txn[Signed Units],Txn[Key],$A443))</f>
        <v/>
      </c>
      <c r="F443" s="287" t="str">
        <f>IF($A443="","",SUMIFS(Txn[Buy Cost],Txn[Key],$A443))</f>
        <v/>
      </c>
      <c r="G443" s="287" t="str">
        <f>IF($A443="","",SUMIFS(Txn[Sell Proceeds],Txn[Key],$A443))</f>
        <v/>
      </c>
      <c r="H443" s="288" t="str">
        <f>IF($A443="","",IFERROR(INDEX(Prices[Current Price],MATCH($A443,Prices[Key],0)),0))</f>
        <v/>
      </c>
      <c r="I443" s="289" t="str">
        <f>IF($A443="","",IFERROR(INDEX(Prices[FX to SGD],MATCH($A443,Prices[Key],0)),1))</f>
        <v/>
      </c>
      <c r="J443" s="287" t="str">
        <f t="shared" si="57"/>
        <v/>
      </c>
      <c r="K443" s="287" t="str">
        <f t="shared" si="58"/>
        <v/>
      </c>
      <c r="L443" s="287" t="str">
        <f t="shared" si="59"/>
        <v/>
      </c>
      <c r="M443" s="290" t="str">
        <f t="shared" si="60"/>
        <v/>
      </c>
      <c r="N443" s="243" t="str">
        <f>IF($A443="","",IF(ABS(E443)&gt;0.000001,COUNT($N$1:N442)+1,""))</f>
        <v/>
      </c>
      <c r="O443" s="291" t="str">
        <f>IF($A443="","",SUMIFS(Transactions!$H$2:$H$1001,Transactions!$J$2:$J$1001,$A443,Transactions!$A$2:$A$1001,2)*$I443)</f>
        <v/>
      </c>
      <c r="P443" s="291" t="str">
        <f t="shared" si="61"/>
        <v/>
      </c>
      <c r="Q443" s="292" t="str">
        <f t="shared" si="62"/>
        <v/>
      </c>
    </row>
    <row r="444" spans="1:17" ht="15" customHeight="1" x14ac:dyDescent="0.2">
      <c r="A444" s="243" t="str">
        <f>IFERROR(INDEX(Txn[Key],MATCH(0,INDEX(COUNTIF($A$1:A443,Txn[Key])+(Txn[Key]=""),0),0)),"")</f>
        <v/>
      </c>
      <c r="B444" s="243" t="str">
        <f t="shared" si="54"/>
        <v/>
      </c>
      <c r="C444" s="243" t="str">
        <f t="shared" si="55"/>
        <v/>
      </c>
      <c r="D444" s="243" t="str">
        <f t="shared" si="56"/>
        <v/>
      </c>
      <c r="E444" s="265" t="str">
        <f>IF($A444="","",SUMIFS(Txn[Signed Units],Txn[Key],$A444))</f>
        <v/>
      </c>
      <c r="F444" s="287" t="str">
        <f>IF($A444="","",SUMIFS(Txn[Buy Cost],Txn[Key],$A444))</f>
        <v/>
      </c>
      <c r="G444" s="287" t="str">
        <f>IF($A444="","",SUMIFS(Txn[Sell Proceeds],Txn[Key],$A444))</f>
        <v/>
      </c>
      <c r="H444" s="288" t="str">
        <f>IF($A444="","",IFERROR(INDEX(Prices[Current Price],MATCH($A444,Prices[Key],0)),0))</f>
        <v/>
      </c>
      <c r="I444" s="289" t="str">
        <f>IF($A444="","",IFERROR(INDEX(Prices[FX to SGD],MATCH($A444,Prices[Key],0)),1))</f>
        <v/>
      </c>
      <c r="J444" s="287" t="str">
        <f t="shared" si="57"/>
        <v/>
      </c>
      <c r="K444" s="287" t="str">
        <f t="shared" si="58"/>
        <v/>
      </c>
      <c r="L444" s="287" t="str">
        <f t="shared" si="59"/>
        <v/>
      </c>
      <c r="M444" s="290" t="str">
        <f t="shared" si="60"/>
        <v/>
      </c>
      <c r="N444" s="243" t="str">
        <f>IF($A444="","",IF(ABS(E444)&gt;0.000001,COUNT($N$1:N443)+1,""))</f>
        <v/>
      </c>
      <c r="O444" s="291" t="str">
        <f>IF($A444="","",SUMIFS(Transactions!$H$2:$H$1001,Transactions!$J$2:$J$1001,$A444,Transactions!$A$2:$A$1001,2)*$I444)</f>
        <v/>
      </c>
      <c r="P444" s="291" t="str">
        <f t="shared" si="61"/>
        <v/>
      </c>
      <c r="Q444" s="292" t="str">
        <f t="shared" si="62"/>
        <v/>
      </c>
    </row>
    <row r="445" spans="1:17" ht="15" customHeight="1" x14ac:dyDescent="0.2">
      <c r="A445" s="243" t="str">
        <f>IFERROR(INDEX(Txn[Key],MATCH(0,INDEX(COUNTIF($A$1:A444,Txn[Key])+(Txn[Key]=""),0),0)),"")</f>
        <v/>
      </c>
      <c r="B445" s="243" t="str">
        <f t="shared" si="54"/>
        <v/>
      </c>
      <c r="C445" s="243" t="str">
        <f t="shared" si="55"/>
        <v/>
      </c>
      <c r="D445" s="243" t="str">
        <f t="shared" si="56"/>
        <v/>
      </c>
      <c r="E445" s="265" t="str">
        <f>IF($A445="","",SUMIFS(Txn[Signed Units],Txn[Key],$A445))</f>
        <v/>
      </c>
      <c r="F445" s="287" t="str">
        <f>IF($A445="","",SUMIFS(Txn[Buy Cost],Txn[Key],$A445))</f>
        <v/>
      </c>
      <c r="G445" s="287" t="str">
        <f>IF($A445="","",SUMIFS(Txn[Sell Proceeds],Txn[Key],$A445))</f>
        <v/>
      </c>
      <c r="H445" s="288" t="str">
        <f>IF($A445="","",IFERROR(INDEX(Prices[Current Price],MATCH($A445,Prices[Key],0)),0))</f>
        <v/>
      </c>
      <c r="I445" s="289" t="str">
        <f>IF($A445="","",IFERROR(INDEX(Prices[FX to SGD],MATCH($A445,Prices[Key],0)),1))</f>
        <v/>
      </c>
      <c r="J445" s="287" t="str">
        <f t="shared" si="57"/>
        <v/>
      </c>
      <c r="K445" s="287" t="str">
        <f t="shared" si="58"/>
        <v/>
      </c>
      <c r="L445" s="287" t="str">
        <f t="shared" si="59"/>
        <v/>
      </c>
      <c r="M445" s="290" t="str">
        <f t="shared" si="60"/>
        <v/>
      </c>
      <c r="N445" s="243" t="str">
        <f>IF($A445="","",IF(ABS(E445)&gt;0.000001,COUNT($N$1:N444)+1,""))</f>
        <v/>
      </c>
      <c r="O445" s="291" t="str">
        <f>IF($A445="","",SUMIFS(Transactions!$H$2:$H$1001,Transactions!$J$2:$J$1001,$A445,Transactions!$A$2:$A$1001,2)*$I445)</f>
        <v/>
      </c>
      <c r="P445" s="291" t="str">
        <f t="shared" si="61"/>
        <v/>
      </c>
      <c r="Q445" s="292" t="str">
        <f t="shared" si="62"/>
        <v/>
      </c>
    </row>
    <row r="446" spans="1:17" ht="15" customHeight="1" x14ac:dyDescent="0.2">
      <c r="A446" s="243" t="str">
        <f>IFERROR(INDEX(Txn[Key],MATCH(0,INDEX(COUNTIF($A$1:A445,Txn[Key])+(Txn[Key]=""),0),0)),"")</f>
        <v/>
      </c>
      <c r="B446" s="243" t="str">
        <f t="shared" si="54"/>
        <v/>
      </c>
      <c r="C446" s="243" t="str">
        <f t="shared" si="55"/>
        <v/>
      </c>
      <c r="D446" s="243" t="str">
        <f t="shared" si="56"/>
        <v/>
      </c>
      <c r="E446" s="265" t="str">
        <f>IF($A446="","",SUMIFS(Txn[Signed Units],Txn[Key],$A446))</f>
        <v/>
      </c>
      <c r="F446" s="287" t="str">
        <f>IF($A446="","",SUMIFS(Txn[Buy Cost],Txn[Key],$A446))</f>
        <v/>
      </c>
      <c r="G446" s="287" t="str">
        <f>IF($A446="","",SUMIFS(Txn[Sell Proceeds],Txn[Key],$A446))</f>
        <v/>
      </c>
      <c r="H446" s="288" t="str">
        <f>IF($A446="","",IFERROR(INDEX(Prices[Current Price],MATCH($A446,Prices[Key],0)),0))</f>
        <v/>
      </c>
      <c r="I446" s="289" t="str">
        <f>IF($A446="","",IFERROR(INDEX(Prices[FX to SGD],MATCH($A446,Prices[Key],0)),1))</f>
        <v/>
      </c>
      <c r="J446" s="287" t="str">
        <f t="shared" si="57"/>
        <v/>
      </c>
      <c r="K446" s="287" t="str">
        <f t="shared" si="58"/>
        <v/>
      </c>
      <c r="L446" s="287" t="str">
        <f t="shared" si="59"/>
        <v/>
      </c>
      <c r="M446" s="290" t="str">
        <f t="shared" si="60"/>
        <v/>
      </c>
      <c r="N446" s="243" t="str">
        <f>IF($A446="","",IF(ABS(E446)&gt;0.000001,COUNT($N$1:N445)+1,""))</f>
        <v/>
      </c>
      <c r="O446" s="291" t="str">
        <f>IF($A446="","",SUMIFS(Transactions!$H$2:$H$1001,Transactions!$J$2:$J$1001,$A446,Transactions!$A$2:$A$1001,2)*$I446)</f>
        <v/>
      </c>
      <c r="P446" s="291" t="str">
        <f t="shared" si="61"/>
        <v/>
      </c>
      <c r="Q446" s="292" t="str">
        <f t="shared" si="62"/>
        <v/>
      </c>
    </row>
    <row r="447" spans="1:17" ht="15" customHeight="1" x14ac:dyDescent="0.2">
      <c r="A447" s="243" t="str">
        <f>IFERROR(INDEX(Txn[Key],MATCH(0,INDEX(COUNTIF($A$1:A446,Txn[Key])+(Txn[Key]=""),0),0)),"")</f>
        <v/>
      </c>
      <c r="B447" s="243" t="str">
        <f t="shared" si="54"/>
        <v/>
      </c>
      <c r="C447" s="243" t="str">
        <f t="shared" si="55"/>
        <v/>
      </c>
      <c r="D447" s="243" t="str">
        <f t="shared" si="56"/>
        <v/>
      </c>
      <c r="E447" s="265" t="str">
        <f>IF($A447="","",SUMIFS(Txn[Signed Units],Txn[Key],$A447))</f>
        <v/>
      </c>
      <c r="F447" s="287" t="str">
        <f>IF($A447="","",SUMIFS(Txn[Buy Cost],Txn[Key],$A447))</f>
        <v/>
      </c>
      <c r="G447" s="287" t="str">
        <f>IF($A447="","",SUMIFS(Txn[Sell Proceeds],Txn[Key],$A447))</f>
        <v/>
      </c>
      <c r="H447" s="288" t="str">
        <f>IF($A447="","",IFERROR(INDEX(Prices[Current Price],MATCH($A447,Prices[Key],0)),0))</f>
        <v/>
      </c>
      <c r="I447" s="289" t="str">
        <f>IF($A447="","",IFERROR(INDEX(Prices[FX to SGD],MATCH($A447,Prices[Key],0)),1))</f>
        <v/>
      </c>
      <c r="J447" s="287" t="str">
        <f t="shared" si="57"/>
        <v/>
      </c>
      <c r="K447" s="287" t="str">
        <f t="shared" si="58"/>
        <v/>
      </c>
      <c r="L447" s="287" t="str">
        <f t="shared" si="59"/>
        <v/>
      </c>
      <c r="M447" s="290" t="str">
        <f t="shared" si="60"/>
        <v/>
      </c>
      <c r="N447" s="243" t="str">
        <f>IF($A447="","",IF(ABS(E447)&gt;0.000001,COUNT($N$1:N446)+1,""))</f>
        <v/>
      </c>
      <c r="O447" s="291" t="str">
        <f>IF($A447="","",SUMIFS(Transactions!$H$2:$H$1001,Transactions!$J$2:$J$1001,$A447,Transactions!$A$2:$A$1001,2)*$I447)</f>
        <v/>
      </c>
      <c r="P447" s="291" t="str">
        <f t="shared" si="61"/>
        <v/>
      </c>
      <c r="Q447" s="292" t="str">
        <f t="shared" si="62"/>
        <v/>
      </c>
    </row>
    <row r="448" spans="1:17" ht="15" customHeight="1" x14ac:dyDescent="0.2">
      <c r="A448" s="243" t="str">
        <f>IFERROR(INDEX(Txn[Key],MATCH(0,INDEX(COUNTIF($A$1:A447,Txn[Key])+(Txn[Key]=""),0),0)),"")</f>
        <v/>
      </c>
      <c r="B448" s="243" t="str">
        <f t="shared" si="54"/>
        <v/>
      </c>
      <c r="C448" s="243" t="str">
        <f t="shared" si="55"/>
        <v/>
      </c>
      <c r="D448" s="243" t="str">
        <f t="shared" si="56"/>
        <v/>
      </c>
      <c r="E448" s="265" t="str">
        <f>IF($A448="","",SUMIFS(Txn[Signed Units],Txn[Key],$A448))</f>
        <v/>
      </c>
      <c r="F448" s="287" t="str">
        <f>IF($A448="","",SUMIFS(Txn[Buy Cost],Txn[Key],$A448))</f>
        <v/>
      </c>
      <c r="G448" s="287" t="str">
        <f>IF($A448="","",SUMIFS(Txn[Sell Proceeds],Txn[Key],$A448))</f>
        <v/>
      </c>
      <c r="H448" s="288" t="str">
        <f>IF($A448="","",IFERROR(INDEX(Prices[Current Price],MATCH($A448,Prices[Key],0)),0))</f>
        <v/>
      </c>
      <c r="I448" s="289" t="str">
        <f>IF($A448="","",IFERROR(INDEX(Prices[FX to SGD],MATCH($A448,Prices[Key],0)),1))</f>
        <v/>
      </c>
      <c r="J448" s="287" t="str">
        <f t="shared" si="57"/>
        <v/>
      </c>
      <c r="K448" s="287" t="str">
        <f t="shared" si="58"/>
        <v/>
      </c>
      <c r="L448" s="287" t="str">
        <f t="shared" si="59"/>
        <v/>
      </c>
      <c r="M448" s="290" t="str">
        <f t="shared" si="60"/>
        <v/>
      </c>
      <c r="N448" s="243" t="str">
        <f>IF($A448="","",IF(ABS(E448)&gt;0.000001,COUNT($N$1:N447)+1,""))</f>
        <v/>
      </c>
      <c r="O448" s="291" t="str">
        <f>IF($A448="","",SUMIFS(Transactions!$H$2:$H$1001,Transactions!$J$2:$J$1001,$A448,Transactions!$A$2:$A$1001,2)*$I448)</f>
        <v/>
      </c>
      <c r="P448" s="291" t="str">
        <f t="shared" si="61"/>
        <v/>
      </c>
      <c r="Q448" s="292" t="str">
        <f t="shared" si="62"/>
        <v/>
      </c>
    </row>
    <row r="449" spans="1:17" ht="15" customHeight="1" x14ac:dyDescent="0.2">
      <c r="A449" s="243" t="str">
        <f>IFERROR(INDEX(Txn[Key],MATCH(0,INDEX(COUNTIF($A$1:A448,Txn[Key])+(Txn[Key]=""),0),0)),"")</f>
        <v/>
      </c>
      <c r="B449" s="243" t="str">
        <f t="shared" si="54"/>
        <v/>
      </c>
      <c r="C449" s="243" t="str">
        <f t="shared" si="55"/>
        <v/>
      </c>
      <c r="D449" s="243" t="str">
        <f t="shared" si="56"/>
        <v/>
      </c>
      <c r="E449" s="265" t="str">
        <f>IF($A449="","",SUMIFS(Txn[Signed Units],Txn[Key],$A449))</f>
        <v/>
      </c>
      <c r="F449" s="287" t="str">
        <f>IF($A449="","",SUMIFS(Txn[Buy Cost],Txn[Key],$A449))</f>
        <v/>
      </c>
      <c r="G449" s="287" t="str">
        <f>IF($A449="","",SUMIFS(Txn[Sell Proceeds],Txn[Key],$A449))</f>
        <v/>
      </c>
      <c r="H449" s="288" t="str">
        <f>IF($A449="","",IFERROR(INDEX(Prices[Current Price],MATCH($A449,Prices[Key],0)),0))</f>
        <v/>
      </c>
      <c r="I449" s="289" t="str">
        <f>IF($A449="","",IFERROR(INDEX(Prices[FX to SGD],MATCH($A449,Prices[Key],0)),1))</f>
        <v/>
      </c>
      <c r="J449" s="287" t="str">
        <f t="shared" si="57"/>
        <v/>
      </c>
      <c r="K449" s="287" t="str">
        <f t="shared" si="58"/>
        <v/>
      </c>
      <c r="L449" s="287" t="str">
        <f t="shared" si="59"/>
        <v/>
      </c>
      <c r="M449" s="290" t="str">
        <f t="shared" si="60"/>
        <v/>
      </c>
      <c r="N449" s="243" t="str">
        <f>IF($A449="","",IF(ABS(E449)&gt;0.000001,COUNT($N$1:N448)+1,""))</f>
        <v/>
      </c>
      <c r="O449" s="291" t="str">
        <f>IF($A449="","",SUMIFS(Transactions!$H$2:$H$1001,Transactions!$J$2:$J$1001,$A449,Transactions!$A$2:$A$1001,2)*$I449)</f>
        <v/>
      </c>
      <c r="P449" s="291" t="str">
        <f t="shared" si="61"/>
        <v/>
      </c>
      <c r="Q449" s="292" t="str">
        <f t="shared" si="62"/>
        <v/>
      </c>
    </row>
    <row r="450" spans="1:17" ht="15" customHeight="1" x14ac:dyDescent="0.2">
      <c r="A450" s="243" t="str">
        <f>IFERROR(INDEX(Txn[Key],MATCH(0,INDEX(COUNTIF($A$1:A449,Txn[Key])+(Txn[Key]=""),0),0)),"")</f>
        <v/>
      </c>
      <c r="B450" s="243" t="str">
        <f t="shared" ref="B450:B513" si="63">IF($A450="","",LEFT($A450,FIND(":",$A450)-1))</f>
        <v/>
      </c>
      <c r="C450" s="243" t="str">
        <f t="shared" ref="C450:C513" si="64">IF($A450="","",MID($A450,FIND(":",$A450)+1,FIND(":",$A450,FIND(":",$A450)+1)-FIND(":",$A450)-1))</f>
        <v/>
      </c>
      <c r="D450" s="243" t="str">
        <f t="shared" ref="D450:D513" si="65">IF($A450="","",RIGHT($A450,LEN($A450)-FIND(":",$A450,FIND(":",$A450)+1)))</f>
        <v/>
      </c>
      <c r="E450" s="265" t="str">
        <f>IF($A450="","",SUMIFS(Txn[Signed Units],Txn[Key],$A450))</f>
        <v/>
      </c>
      <c r="F450" s="287" t="str">
        <f>IF($A450="","",SUMIFS(Txn[Buy Cost],Txn[Key],$A450))</f>
        <v/>
      </c>
      <c r="G450" s="287" t="str">
        <f>IF($A450="","",SUMIFS(Txn[Sell Proceeds],Txn[Key],$A450))</f>
        <v/>
      </c>
      <c r="H450" s="288" t="str">
        <f>IF($A450="","",IFERROR(INDEX(Prices[Current Price],MATCH($A450,Prices[Key],0)),0))</f>
        <v/>
      </c>
      <c r="I450" s="289" t="str">
        <f>IF($A450="","",IFERROR(INDEX(Prices[FX to SGD],MATCH($A450,Prices[Key],0)),1))</f>
        <v/>
      </c>
      <c r="J450" s="287" t="str">
        <f t="shared" ref="J450:J513" si="66">IF($A450="","",E450*H450)</f>
        <v/>
      </c>
      <c r="K450" s="287" t="str">
        <f t="shared" ref="K450:K513" si="67">IF($A450="","",J450+G450-F450)</f>
        <v/>
      </c>
      <c r="L450" s="287" t="str">
        <f t="shared" ref="L450:L513" si="68">IF($A450="","",K450*I450)</f>
        <v/>
      </c>
      <c r="M450" s="290" t="str">
        <f t="shared" ref="M450:M513" si="69">IF($A450="","",IFERROR(K450/F450,0))</f>
        <v/>
      </c>
      <c r="N450" s="243" t="str">
        <f>IF($A450="","",IF(ABS(E450)&gt;0.000001,COUNT($N$1:N449)+1,""))</f>
        <v/>
      </c>
      <c r="O450" s="291" t="str">
        <f>IF($A450="","",SUMIFS(Transactions!$H$2:$H$1001,Transactions!$J$2:$J$1001,$A450,Transactions!$A$2:$A$1001,2)*$I450)</f>
        <v/>
      </c>
      <c r="P450" s="291" t="str">
        <f t="shared" ref="P450:P513" si="70">IF($A450="","",$L450+$O450)</f>
        <v/>
      </c>
      <c r="Q450" s="292" t="str">
        <f t="shared" ref="Q450:Q513" si="71">IF($A450="","",IFERROR(($L450+$O450)/($F450*$I450),0))</f>
        <v/>
      </c>
    </row>
    <row r="451" spans="1:17" ht="15" customHeight="1" x14ac:dyDescent="0.2">
      <c r="A451" s="243" t="str">
        <f>IFERROR(INDEX(Txn[Key],MATCH(0,INDEX(COUNTIF($A$1:A450,Txn[Key])+(Txn[Key]=""),0),0)),"")</f>
        <v/>
      </c>
      <c r="B451" s="243" t="str">
        <f t="shared" si="63"/>
        <v/>
      </c>
      <c r="C451" s="243" t="str">
        <f t="shared" si="64"/>
        <v/>
      </c>
      <c r="D451" s="243" t="str">
        <f t="shared" si="65"/>
        <v/>
      </c>
      <c r="E451" s="265" t="str">
        <f>IF($A451="","",SUMIFS(Txn[Signed Units],Txn[Key],$A451))</f>
        <v/>
      </c>
      <c r="F451" s="287" t="str">
        <f>IF($A451="","",SUMIFS(Txn[Buy Cost],Txn[Key],$A451))</f>
        <v/>
      </c>
      <c r="G451" s="287" t="str">
        <f>IF($A451="","",SUMIFS(Txn[Sell Proceeds],Txn[Key],$A451))</f>
        <v/>
      </c>
      <c r="H451" s="288" t="str">
        <f>IF($A451="","",IFERROR(INDEX(Prices[Current Price],MATCH($A451,Prices[Key],0)),0))</f>
        <v/>
      </c>
      <c r="I451" s="289" t="str">
        <f>IF($A451="","",IFERROR(INDEX(Prices[FX to SGD],MATCH($A451,Prices[Key],0)),1))</f>
        <v/>
      </c>
      <c r="J451" s="287" t="str">
        <f t="shared" si="66"/>
        <v/>
      </c>
      <c r="K451" s="287" t="str">
        <f t="shared" si="67"/>
        <v/>
      </c>
      <c r="L451" s="287" t="str">
        <f t="shared" si="68"/>
        <v/>
      </c>
      <c r="M451" s="290" t="str">
        <f t="shared" si="69"/>
        <v/>
      </c>
      <c r="N451" s="243" t="str">
        <f>IF($A451="","",IF(ABS(E451)&gt;0.000001,COUNT($N$1:N450)+1,""))</f>
        <v/>
      </c>
      <c r="O451" s="291" t="str">
        <f>IF($A451="","",SUMIFS(Transactions!$H$2:$H$1001,Transactions!$J$2:$J$1001,$A451,Transactions!$A$2:$A$1001,2)*$I451)</f>
        <v/>
      </c>
      <c r="P451" s="291" t="str">
        <f t="shared" si="70"/>
        <v/>
      </c>
      <c r="Q451" s="292" t="str">
        <f t="shared" si="71"/>
        <v/>
      </c>
    </row>
    <row r="452" spans="1:17" ht="15" customHeight="1" x14ac:dyDescent="0.2">
      <c r="A452" s="243" t="str">
        <f>IFERROR(INDEX(Txn[Key],MATCH(0,INDEX(COUNTIF($A$1:A451,Txn[Key])+(Txn[Key]=""),0),0)),"")</f>
        <v/>
      </c>
      <c r="B452" s="243" t="str">
        <f t="shared" si="63"/>
        <v/>
      </c>
      <c r="C452" s="243" t="str">
        <f t="shared" si="64"/>
        <v/>
      </c>
      <c r="D452" s="243" t="str">
        <f t="shared" si="65"/>
        <v/>
      </c>
      <c r="E452" s="265" t="str">
        <f>IF($A452="","",SUMIFS(Txn[Signed Units],Txn[Key],$A452))</f>
        <v/>
      </c>
      <c r="F452" s="287" t="str">
        <f>IF($A452="","",SUMIFS(Txn[Buy Cost],Txn[Key],$A452))</f>
        <v/>
      </c>
      <c r="G452" s="287" t="str">
        <f>IF($A452="","",SUMIFS(Txn[Sell Proceeds],Txn[Key],$A452))</f>
        <v/>
      </c>
      <c r="H452" s="288" t="str">
        <f>IF($A452="","",IFERROR(INDEX(Prices[Current Price],MATCH($A452,Prices[Key],0)),0))</f>
        <v/>
      </c>
      <c r="I452" s="289" t="str">
        <f>IF($A452="","",IFERROR(INDEX(Prices[FX to SGD],MATCH($A452,Prices[Key],0)),1))</f>
        <v/>
      </c>
      <c r="J452" s="287" t="str">
        <f t="shared" si="66"/>
        <v/>
      </c>
      <c r="K452" s="287" t="str">
        <f t="shared" si="67"/>
        <v/>
      </c>
      <c r="L452" s="287" t="str">
        <f t="shared" si="68"/>
        <v/>
      </c>
      <c r="M452" s="290" t="str">
        <f t="shared" si="69"/>
        <v/>
      </c>
      <c r="N452" s="243" t="str">
        <f>IF($A452="","",IF(ABS(E452)&gt;0.000001,COUNT($N$1:N451)+1,""))</f>
        <v/>
      </c>
      <c r="O452" s="291" t="str">
        <f>IF($A452="","",SUMIFS(Transactions!$H$2:$H$1001,Transactions!$J$2:$J$1001,$A452,Transactions!$A$2:$A$1001,2)*$I452)</f>
        <v/>
      </c>
      <c r="P452" s="291" t="str">
        <f t="shared" si="70"/>
        <v/>
      </c>
      <c r="Q452" s="292" t="str">
        <f t="shared" si="71"/>
        <v/>
      </c>
    </row>
    <row r="453" spans="1:17" ht="15" customHeight="1" x14ac:dyDescent="0.2">
      <c r="A453" s="243" t="str">
        <f>IFERROR(INDEX(Txn[Key],MATCH(0,INDEX(COUNTIF($A$1:A452,Txn[Key])+(Txn[Key]=""),0),0)),"")</f>
        <v/>
      </c>
      <c r="B453" s="243" t="str">
        <f t="shared" si="63"/>
        <v/>
      </c>
      <c r="C453" s="243" t="str">
        <f t="shared" si="64"/>
        <v/>
      </c>
      <c r="D453" s="243" t="str">
        <f t="shared" si="65"/>
        <v/>
      </c>
      <c r="E453" s="265" t="str">
        <f>IF($A453="","",SUMIFS(Txn[Signed Units],Txn[Key],$A453))</f>
        <v/>
      </c>
      <c r="F453" s="287" t="str">
        <f>IF($A453="","",SUMIFS(Txn[Buy Cost],Txn[Key],$A453))</f>
        <v/>
      </c>
      <c r="G453" s="287" t="str">
        <f>IF($A453="","",SUMIFS(Txn[Sell Proceeds],Txn[Key],$A453))</f>
        <v/>
      </c>
      <c r="H453" s="288" t="str">
        <f>IF($A453="","",IFERROR(INDEX(Prices[Current Price],MATCH($A453,Prices[Key],0)),0))</f>
        <v/>
      </c>
      <c r="I453" s="289" t="str">
        <f>IF($A453="","",IFERROR(INDEX(Prices[FX to SGD],MATCH($A453,Prices[Key],0)),1))</f>
        <v/>
      </c>
      <c r="J453" s="287" t="str">
        <f t="shared" si="66"/>
        <v/>
      </c>
      <c r="K453" s="287" t="str">
        <f t="shared" si="67"/>
        <v/>
      </c>
      <c r="L453" s="287" t="str">
        <f t="shared" si="68"/>
        <v/>
      </c>
      <c r="M453" s="290" t="str">
        <f t="shared" si="69"/>
        <v/>
      </c>
      <c r="N453" s="243" t="str">
        <f>IF($A453="","",IF(ABS(E453)&gt;0.000001,COUNT($N$1:N452)+1,""))</f>
        <v/>
      </c>
      <c r="O453" s="291" t="str">
        <f>IF($A453="","",SUMIFS(Transactions!$H$2:$H$1001,Transactions!$J$2:$J$1001,$A453,Transactions!$A$2:$A$1001,2)*$I453)</f>
        <v/>
      </c>
      <c r="P453" s="291" t="str">
        <f t="shared" si="70"/>
        <v/>
      </c>
      <c r="Q453" s="292" t="str">
        <f t="shared" si="71"/>
        <v/>
      </c>
    </row>
    <row r="454" spans="1:17" ht="15" customHeight="1" x14ac:dyDescent="0.2">
      <c r="A454" s="243" t="str">
        <f>IFERROR(INDEX(Txn[Key],MATCH(0,INDEX(COUNTIF($A$1:A453,Txn[Key])+(Txn[Key]=""),0),0)),"")</f>
        <v/>
      </c>
      <c r="B454" s="243" t="str">
        <f t="shared" si="63"/>
        <v/>
      </c>
      <c r="C454" s="243" t="str">
        <f t="shared" si="64"/>
        <v/>
      </c>
      <c r="D454" s="243" t="str">
        <f t="shared" si="65"/>
        <v/>
      </c>
      <c r="E454" s="265" t="str">
        <f>IF($A454="","",SUMIFS(Txn[Signed Units],Txn[Key],$A454))</f>
        <v/>
      </c>
      <c r="F454" s="287" t="str">
        <f>IF($A454="","",SUMIFS(Txn[Buy Cost],Txn[Key],$A454))</f>
        <v/>
      </c>
      <c r="G454" s="287" t="str">
        <f>IF($A454="","",SUMIFS(Txn[Sell Proceeds],Txn[Key],$A454))</f>
        <v/>
      </c>
      <c r="H454" s="288" t="str">
        <f>IF($A454="","",IFERROR(INDEX(Prices[Current Price],MATCH($A454,Prices[Key],0)),0))</f>
        <v/>
      </c>
      <c r="I454" s="289" t="str">
        <f>IF($A454="","",IFERROR(INDEX(Prices[FX to SGD],MATCH($A454,Prices[Key],0)),1))</f>
        <v/>
      </c>
      <c r="J454" s="287" t="str">
        <f t="shared" si="66"/>
        <v/>
      </c>
      <c r="K454" s="287" t="str">
        <f t="shared" si="67"/>
        <v/>
      </c>
      <c r="L454" s="287" t="str">
        <f t="shared" si="68"/>
        <v/>
      </c>
      <c r="M454" s="290" t="str">
        <f t="shared" si="69"/>
        <v/>
      </c>
      <c r="N454" s="243" t="str">
        <f>IF($A454="","",IF(ABS(E454)&gt;0.000001,COUNT($N$1:N453)+1,""))</f>
        <v/>
      </c>
      <c r="O454" s="291" t="str">
        <f>IF($A454="","",SUMIFS(Transactions!$H$2:$H$1001,Transactions!$J$2:$J$1001,$A454,Transactions!$A$2:$A$1001,2)*$I454)</f>
        <v/>
      </c>
      <c r="P454" s="291" t="str">
        <f t="shared" si="70"/>
        <v/>
      </c>
      <c r="Q454" s="292" t="str">
        <f t="shared" si="71"/>
        <v/>
      </c>
    </row>
    <row r="455" spans="1:17" ht="15" customHeight="1" x14ac:dyDescent="0.2">
      <c r="A455" s="243" t="str">
        <f>IFERROR(INDEX(Txn[Key],MATCH(0,INDEX(COUNTIF($A$1:A454,Txn[Key])+(Txn[Key]=""),0),0)),"")</f>
        <v/>
      </c>
      <c r="B455" s="243" t="str">
        <f t="shared" si="63"/>
        <v/>
      </c>
      <c r="C455" s="243" t="str">
        <f t="shared" si="64"/>
        <v/>
      </c>
      <c r="D455" s="243" t="str">
        <f t="shared" si="65"/>
        <v/>
      </c>
      <c r="E455" s="265" t="str">
        <f>IF($A455="","",SUMIFS(Txn[Signed Units],Txn[Key],$A455))</f>
        <v/>
      </c>
      <c r="F455" s="287" t="str">
        <f>IF($A455="","",SUMIFS(Txn[Buy Cost],Txn[Key],$A455))</f>
        <v/>
      </c>
      <c r="G455" s="287" t="str">
        <f>IF($A455="","",SUMIFS(Txn[Sell Proceeds],Txn[Key],$A455))</f>
        <v/>
      </c>
      <c r="H455" s="288" t="str">
        <f>IF($A455="","",IFERROR(INDEX(Prices[Current Price],MATCH($A455,Prices[Key],0)),0))</f>
        <v/>
      </c>
      <c r="I455" s="289" t="str">
        <f>IF($A455="","",IFERROR(INDEX(Prices[FX to SGD],MATCH($A455,Prices[Key],0)),1))</f>
        <v/>
      </c>
      <c r="J455" s="287" t="str">
        <f t="shared" si="66"/>
        <v/>
      </c>
      <c r="K455" s="287" t="str">
        <f t="shared" si="67"/>
        <v/>
      </c>
      <c r="L455" s="287" t="str">
        <f t="shared" si="68"/>
        <v/>
      </c>
      <c r="M455" s="290" t="str">
        <f t="shared" si="69"/>
        <v/>
      </c>
      <c r="N455" s="243" t="str">
        <f>IF($A455="","",IF(ABS(E455)&gt;0.000001,COUNT($N$1:N454)+1,""))</f>
        <v/>
      </c>
      <c r="O455" s="291" t="str">
        <f>IF($A455="","",SUMIFS(Transactions!$H$2:$H$1001,Transactions!$J$2:$J$1001,$A455,Transactions!$A$2:$A$1001,2)*$I455)</f>
        <v/>
      </c>
      <c r="P455" s="291" t="str">
        <f t="shared" si="70"/>
        <v/>
      </c>
      <c r="Q455" s="292" t="str">
        <f t="shared" si="71"/>
        <v/>
      </c>
    </row>
    <row r="456" spans="1:17" ht="15" customHeight="1" x14ac:dyDescent="0.2">
      <c r="A456" s="243" t="str">
        <f>IFERROR(INDEX(Txn[Key],MATCH(0,INDEX(COUNTIF($A$1:A455,Txn[Key])+(Txn[Key]=""),0),0)),"")</f>
        <v/>
      </c>
      <c r="B456" s="243" t="str">
        <f t="shared" si="63"/>
        <v/>
      </c>
      <c r="C456" s="243" t="str">
        <f t="shared" si="64"/>
        <v/>
      </c>
      <c r="D456" s="243" t="str">
        <f t="shared" si="65"/>
        <v/>
      </c>
      <c r="E456" s="265" t="str">
        <f>IF($A456="","",SUMIFS(Txn[Signed Units],Txn[Key],$A456))</f>
        <v/>
      </c>
      <c r="F456" s="287" t="str">
        <f>IF($A456="","",SUMIFS(Txn[Buy Cost],Txn[Key],$A456))</f>
        <v/>
      </c>
      <c r="G456" s="287" t="str">
        <f>IF($A456="","",SUMIFS(Txn[Sell Proceeds],Txn[Key],$A456))</f>
        <v/>
      </c>
      <c r="H456" s="288" t="str">
        <f>IF($A456="","",IFERROR(INDEX(Prices[Current Price],MATCH($A456,Prices[Key],0)),0))</f>
        <v/>
      </c>
      <c r="I456" s="289" t="str">
        <f>IF($A456="","",IFERROR(INDEX(Prices[FX to SGD],MATCH($A456,Prices[Key],0)),1))</f>
        <v/>
      </c>
      <c r="J456" s="287" t="str">
        <f t="shared" si="66"/>
        <v/>
      </c>
      <c r="K456" s="287" t="str">
        <f t="shared" si="67"/>
        <v/>
      </c>
      <c r="L456" s="287" t="str">
        <f t="shared" si="68"/>
        <v/>
      </c>
      <c r="M456" s="290" t="str">
        <f t="shared" si="69"/>
        <v/>
      </c>
      <c r="N456" s="243" t="str">
        <f>IF($A456="","",IF(ABS(E456)&gt;0.000001,COUNT($N$1:N455)+1,""))</f>
        <v/>
      </c>
      <c r="O456" s="291" t="str">
        <f>IF($A456="","",SUMIFS(Transactions!$H$2:$H$1001,Transactions!$J$2:$J$1001,$A456,Transactions!$A$2:$A$1001,2)*$I456)</f>
        <v/>
      </c>
      <c r="P456" s="291" t="str">
        <f t="shared" si="70"/>
        <v/>
      </c>
      <c r="Q456" s="292" t="str">
        <f t="shared" si="71"/>
        <v/>
      </c>
    </row>
    <row r="457" spans="1:17" ht="15" customHeight="1" x14ac:dyDescent="0.2">
      <c r="A457" s="243" t="str">
        <f>IFERROR(INDEX(Txn[Key],MATCH(0,INDEX(COUNTIF($A$1:A456,Txn[Key])+(Txn[Key]=""),0),0)),"")</f>
        <v/>
      </c>
      <c r="B457" s="243" t="str">
        <f t="shared" si="63"/>
        <v/>
      </c>
      <c r="C457" s="243" t="str">
        <f t="shared" si="64"/>
        <v/>
      </c>
      <c r="D457" s="243" t="str">
        <f t="shared" si="65"/>
        <v/>
      </c>
      <c r="E457" s="265" t="str">
        <f>IF($A457="","",SUMIFS(Txn[Signed Units],Txn[Key],$A457))</f>
        <v/>
      </c>
      <c r="F457" s="287" t="str">
        <f>IF($A457="","",SUMIFS(Txn[Buy Cost],Txn[Key],$A457))</f>
        <v/>
      </c>
      <c r="G457" s="287" t="str">
        <f>IF($A457="","",SUMIFS(Txn[Sell Proceeds],Txn[Key],$A457))</f>
        <v/>
      </c>
      <c r="H457" s="288" t="str">
        <f>IF($A457="","",IFERROR(INDEX(Prices[Current Price],MATCH($A457,Prices[Key],0)),0))</f>
        <v/>
      </c>
      <c r="I457" s="289" t="str">
        <f>IF($A457="","",IFERROR(INDEX(Prices[FX to SGD],MATCH($A457,Prices[Key],0)),1))</f>
        <v/>
      </c>
      <c r="J457" s="287" t="str">
        <f t="shared" si="66"/>
        <v/>
      </c>
      <c r="K457" s="287" t="str">
        <f t="shared" si="67"/>
        <v/>
      </c>
      <c r="L457" s="287" t="str">
        <f t="shared" si="68"/>
        <v/>
      </c>
      <c r="M457" s="290" t="str">
        <f t="shared" si="69"/>
        <v/>
      </c>
      <c r="N457" s="243" t="str">
        <f>IF($A457="","",IF(ABS(E457)&gt;0.000001,COUNT($N$1:N456)+1,""))</f>
        <v/>
      </c>
      <c r="O457" s="291" t="str">
        <f>IF($A457="","",SUMIFS(Transactions!$H$2:$H$1001,Transactions!$J$2:$J$1001,$A457,Transactions!$A$2:$A$1001,2)*$I457)</f>
        <v/>
      </c>
      <c r="P457" s="291" t="str">
        <f t="shared" si="70"/>
        <v/>
      </c>
      <c r="Q457" s="292" t="str">
        <f t="shared" si="71"/>
        <v/>
      </c>
    </row>
    <row r="458" spans="1:17" ht="15" customHeight="1" x14ac:dyDescent="0.2">
      <c r="A458" s="243" t="str">
        <f>IFERROR(INDEX(Txn[Key],MATCH(0,INDEX(COUNTIF($A$1:A457,Txn[Key])+(Txn[Key]=""),0),0)),"")</f>
        <v/>
      </c>
      <c r="B458" s="243" t="str">
        <f t="shared" si="63"/>
        <v/>
      </c>
      <c r="C458" s="243" t="str">
        <f t="shared" si="64"/>
        <v/>
      </c>
      <c r="D458" s="243" t="str">
        <f t="shared" si="65"/>
        <v/>
      </c>
      <c r="E458" s="265" t="str">
        <f>IF($A458="","",SUMIFS(Txn[Signed Units],Txn[Key],$A458))</f>
        <v/>
      </c>
      <c r="F458" s="287" t="str">
        <f>IF($A458="","",SUMIFS(Txn[Buy Cost],Txn[Key],$A458))</f>
        <v/>
      </c>
      <c r="G458" s="287" t="str">
        <f>IF($A458="","",SUMIFS(Txn[Sell Proceeds],Txn[Key],$A458))</f>
        <v/>
      </c>
      <c r="H458" s="288" t="str">
        <f>IF($A458="","",IFERROR(INDEX(Prices[Current Price],MATCH($A458,Prices[Key],0)),0))</f>
        <v/>
      </c>
      <c r="I458" s="289" t="str">
        <f>IF($A458="","",IFERROR(INDEX(Prices[FX to SGD],MATCH($A458,Prices[Key],0)),1))</f>
        <v/>
      </c>
      <c r="J458" s="287" t="str">
        <f t="shared" si="66"/>
        <v/>
      </c>
      <c r="K458" s="287" t="str">
        <f t="shared" si="67"/>
        <v/>
      </c>
      <c r="L458" s="287" t="str">
        <f t="shared" si="68"/>
        <v/>
      </c>
      <c r="M458" s="290" t="str">
        <f t="shared" si="69"/>
        <v/>
      </c>
      <c r="N458" s="243" t="str">
        <f>IF($A458="","",IF(ABS(E458)&gt;0.000001,COUNT($N$1:N457)+1,""))</f>
        <v/>
      </c>
      <c r="O458" s="291" t="str">
        <f>IF($A458="","",SUMIFS(Transactions!$H$2:$H$1001,Transactions!$J$2:$J$1001,$A458,Transactions!$A$2:$A$1001,2)*$I458)</f>
        <v/>
      </c>
      <c r="P458" s="291" t="str">
        <f t="shared" si="70"/>
        <v/>
      </c>
      <c r="Q458" s="292" t="str">
        <f t="shared" si="71"/>
        <v/>
      </c>
    </row>
    <row r="459" spans="1:17" ht="15" customHeight="1" x14ac:dyDescent="0.2">
      <c r="A459" s="243" t="str">
        <f>IFERROR(INDEX(Txn[Key],MATCH(0,INDEX(COUNTIF($A$1:A458,Txn[Key])+(Txn[Key]=""),0),0)),"")</f>
        <v/>
      </c>
      <c r="B459" s="243" t="str">
        <f t="shared" si="63"/>
        <v/>
      </c>
      <c r="C459" s="243" t="str">
        <f t="shared" si="64"/>
        <v/>
      </c>
      <c r="D459" s="243" t="str">
        <f t="shared" si="65"/>
        <v/>
      </c>
      <c r="E459" s="265" t="str">
        <f>IF($A459="","",SUMIFS(Txn[Signed Units],Txn[Key],$A459))</f>
        <v/>
      </c>
      <c r="F459" s="287" t="str">
        <f>IF($A459="","",SUMIFS(Txn[Buy Cost],Txn[Key],$A459))</f>
        <v/>
      </c>
      <c r="G459" s="287" t="str">
        <f>IF($A459="","",SUMIFS(Txn[Sell Proceeds],Txn[Key],$A459))</f>
        <v/>
      </c>
      <c r="H459" s="288" t="str">
        <f>IF($A459="","",IFERROR(INDEX(Prices[Current Price],MATCH($A459,Prices[Key],0)),0))</f>
        <v/>
      </c>
      <c r="I459" s="289" t="str">
        <f>IF($A459="","",IFERROR(INDEX(Prices[FX to SGD],MATCH($A459,Prices[Key],0)),1))</f>
        <v/>
      </c>
      <c r="J459" s="287" t="str">
        <f t="shared" si="66"/>
        <v/>
      </c>
      <c r="K459" s="287" t="str">
        <f t="shared" si="67"/>
        <v/>
      </c>
      <c r="L459" s="287" t="str">
        <f t="shared" si="68"/>
        <v/>
      </c>
      <c r="M459" s="290" t="str">
        <f t="shared" si="69"/>
        <v/>
      </c>
      <c r="N459" s="243" t="str">
        <f>IF($A459="","",IF(ABS(E459)&gt;0.000001,COUNT($N$1:N458)+1,""))</f>
        <v/>
      </c>
      <c r="O459" s="291" t="str">
        <f>IF($A459="","",SUMIFS(Transactions!$H$2:$H$1001,Transactions!$J$2:$J$1001,$A459,Transactions!$A$2:$A$1001,2)*$I459)</f>
        <v/>
      </c>
      <c r="P459" s="291" t="str">
        <f t="shared" si="70"/>
        <v/>
      </c>
      <c r="Q459" s="292" t="str">
        <f t="shared" si="71"/>
        <v/>
      </c>
    </row>
    <row r="460" spans="1:17" ht="15" customHeight="1" x14ac:dyDescent="0.2">
      <c r="A460" s="243" t="str">
        <f>IFERROR(INDEX(Txn[Key],MATCH(0,INDEX(COUNTIF($A$1:A459,Txn[Key])+(Txn[Key]=""),0),0)),"")</f>
        <v/>
      </c>
      <c r="B460" s="243" t="str">
        <f t="shared" si="63"/>
        <v/>
      </c>
      <c r="C460" s="243" t="str">
        <f t="shared" si="64"/>
        <v/>
      </c>
      <c r="D460" s="243" t="str">
        <f t="shared" si="65"/>
        <v/>
      </c>
      <c r="E460" s="265" t="str">
        <f>IF($A460="","",SUMIFS(Txn[Signed Units],Txn[Key],$A460))</f>
        <v/>
      </c>
      <c r="F460" s="287" t="str">
        <f>IF($A460="","",SUMIFS(Txn[Buy Cost],Txn[Key],$A460))</f>
        <v/>
      </c>
      <c r="G460" s="287" t="str">
        <f>IF($A460="","",SUMIFS(Txn[Sell Proceeds],Txn[Key],$A460))</f>
        <v/>
      </c>
      <c r="H460" s="288" t="str">
        <f>IF($A460="","",IFERROR(INDEX(Prices[Current Price],MATCH($A460,Prices[Key],0)),0))</f>
        <v/>
      </c>
      <c r="I460" s="289" t="str">
        <f>IF($A460="","",IFERROR(INDEX(Prices[FX to SGD],MATCH($A460,Prices[Key],0)),1))</f>
        <v/>
      </c>
      <c r="J460" s="287" t="str">
        <f t="shared" si="66"/>
        <v/>
      </c>
      <c r="K460" s="287" t="str">
        <f t="shared" si="67"/>
        <v/>
      </c>
      <c r="L460" s="287" t="str">
        <f t="shared" si="68"/>
        <v/>
      </c>
      <c r="M460" s="290" t="str">
        <f t="shared" si="69"/>
        <v/>
      </c>
      <c r="N460" s="243" t="str">
        <f>IF($A460="","",IF(ABS(E460)&gt;0.000001,COUNT($N$1:N459)+1,""))</f>
        <v/>
      </c>
      <c r="O460" s="291" t="str">
        <f>IF($A460="","",SUMIFS(Transactions!$H$2:$H$1001,Transactions!$J$2:$J$1001,$A460,Transactions!$A$2:$A$1001,2)*$I460)</f>
        <v/>
      </c>
      <c r="P460" s="291" t="str">
        <f t="shared" si="70"/>
        <v/>
      </c>
      <c r="Q460" s="292" t="str">
        <f t="shared" si="71"/>
        <v/>
      </c>
    </row>
    <row r="461" spans="1:17" ht="15" customHeight="1" x14ac:dyDescent="0.2">
      <c r="A461" s="243" t="str">
        <f>IFERROR(INDEX(Txn[Key],MATCH(0,INDEX(COUNTIF($A$1:A460,Txn[Key])+(Txn[Key]=""),0),0)),"")</f>
        <v/>
      </c>
      <c r="B461" s="243" t="str">
        <f t="shared" si="63"/>
        <v/>
      </c>
      <c r="C461" s="243" t="str">
        <f t="shared" si="64"/>
        <v/>
      </c>
      <c r="D461" s="243" t="str">
        <f t="shared" si="65"/>
        <v/>
      </c>
      <c r="E461" s="265" t="str">
        <f>IF($A461="","",SUMIFS(Txn[Signed Units],Txn[Key],$A461))</f>
        <v/>
      </c>
      <c r="F461" s="287" t="str">
        <f>IF($A461="","",SUMIFS(Txn[Buy Cost],Txn[Key],$A461))</f>
        <v/>
      </c>
      <c r="G461" s="287" t="str">
        <f>IF($A461="","",SUMIFS(Txn[Sell Proceeds],Txn[Key],$A461))</f>
        <v/>
      </c>
      <c r="H461" s="288" t="str">
        <f>IF($A461="","",IFERROR(INDEX(Prices[Current Price],MATCH($A461,Prices[Key],0)),0))</f>
        <v/>
      </c>
      <c r="I461" s="289" t="str">
        <f>IF($A461="","",IFERROR(INDEX(Prices[FX to SGD],MATCH($A461,Prices[Key],0)),1))</f>
        <v/>
      </c>
      <c r="J461" s="287" t="str">
        <f t="shared" si="66"/>
        <v/>
      </c>
      <c r="K461" s="287" t="str">
        <f t="shared" si="67"/>
        <v/>
      </c>
      <c r="L461" s="287" t="str">
        <f t="shared" si="68"/>
        <v/>
      </c>
      <c r="M461" s="290" t="str">
        <f t="shared" si="69"/>
        <v/>
      </c>
      <c r="N461" s="243" t="str">
        <f>IF($A461="","",IF(ABS(E461)&gt;0.000001,COUNT($N$1:N460)+1,""))</f>
        <v/>
      </c>
      <c r="O461" s="291" t="str">
        <f>IF($A461="","",SUMIFS(Transactions!$H$2:$H$1001,Transactions!$J$2:$J$1001,$A461,Transactions!$A$2:$A$1001,2)*$I461)</f>
        <v/>
      </c>
      <c r="P461" s="291" t="str">
        <f t="shared" si="70"/>
        <v/>
      </c>
      <c r="Q461" s="292" t="str">
        <f t="shared" si="71"/>
        <v/>
      </c>
    </row>
    <row r="462" spans="1:17" ht="15" customHeight="1" x14ac:dyDescent="0.2">
      <c r="A462" s="243" t="str">
        <f>IFERROR(INDEX(Txn[Key],MATCH(0,INDEX(COUNTIF($A$1:A461,Txn[Key])+(Txn[Key]=""),0),0)),"")</f>
        <v/>
      </c>
      <c r="B462" s="243" t="str">
        <f t="shared" si="63"/>
        <v/>
      </c>
      <c r="C462" s="243" t="str">
        <f t="shared" si="64"/>
        <v/>
      </c>
      <c r="D462" s="243" t="str">
        <f t="shared" si="65"/>
        <v/>
      </c>
      <c r="E462" s="265" t="str">
        <f>IF($A462="","",SUMIFS(Txn[Signed Units],Txn[Key],$A462))</f>
        <v/>
      </c>
      <c r="F462" s="287" t="str">
        <f>IF($A462="","",SUMIFS(Txn[Buy Cost],Txn[Key],$A462))</f>
        <v/>
      </c>
      <c r="G462" s="287" t="str">
        <f>IF($A462="","",SUMIFS(Txn[Sell Proceeds],Txn[Key],$A462))</f>
        <v/>
      </c>
      <c r="H462" s="288" t="str">
        <f>IF($A462="","",IFERROR(INDEX(Prices[Current Price],MATCH($A462,Prices[Key],0)),0))</f>
        <v/>
      </c>
      <c r="I462" s="289" t="str">
        <f>IF($A462="","",IFERROR(INDEX(Prices[FX to SGD],MATCH($A462,Prices[Key],0)),1))</f>
        <v/>
      </c>
      <c r="J462" s="287" t="str">
        <f t="shared" si="66"/>
        <v/>
      </c>
      <c r="K462" s="287" t="str">
        <f t="shared" si="67"/>
        <v/>
      </c>
      <c r="L462" s="287" t="str">
        <f t="shared" si="68"/>
        <v/>
      </c>
      <c r="M462" s="290" t="str">
        <f t="shared" si="69"/>
        <v/>
      </c>
      <c r="N462" s="243" t="str">
        <f>IF($A462="","",IF(ABS(E462)&gt;0.000001,COUNT($N$1:N461)+1,""))</f>
        <v/>
      </c>
      <c r="O462" s="291" t="str">
        <f>IF($A462="","",SUMIFS(Transactions!$H$2:$H$1001,Transactions!$J$2:$J$1001,$A462,Transactions!$A$2:$A$1001,2)*$I462)</f>
        <v/>
      </c>
      <c r="P462" s="291" t="str">
        <f t="shared" si="70"/>
        <v/>
      </c>
      <c r="Q462" s="292" t="str">
        <f t="shared" si="71"/>
        <v/>
      </c>
    </row>
    <row r="463" spans="1:17" ht="15" customHeight="1" x14ac:dyDescent="0.2">
      <c r="A463" s="243" t="str">
        <f>IFERROR(INDEX(Txn[Key],MATCH(0,INDEX(COUNTIF($A$1:A462,Txn[Key])+(Txn[Key]=""),0),0)),"")</f>
        <v/>
      </c>
      <c r="B463" s="243" t="str">
        <f t="shared" si="63"/>
        <v/>
      </c>
      <c r="C463" s="243" t="str">
        <f t="shared" si="64"/>
        <v/>
      </c>
      <c r="D463" s="243" t="str">
        <f t="shared" si="65"/>
        <v/>
      </c>
      <c r="E463" s="265" t="str">
        <f>IF($A463="","",SUMIFS(Txn[Signed Units],Txn[Key],$A463))</f>
        <v/>
      </c>
      <c r="F463" s="287" t="str">
        <f>IF($A463="","",SUMIFS(Txn[Buy Cost],Txn[Key],$A463))</f>
        <v/>
      </c>
      <c r="G463" s="287" t="str">
        <f>IF($A463="","",SUMIFS(Txn[Sell Proceeds],Txn[Key],$A463))</f>
        <v/>
      </c>
      <c r="H463" s="288" t="str">
        <f>IF($A463="","",IFERROR(INDEX(Prices[Current Price],MATCH($A463,Prices[Key],0)),0))</f>
        <v/>
      </c>
      <c r="I463" s="289" t="str">
        <f>IF($A463="","",IFERROR(INDEX(Prices[FX to SGD],MATCH($A463,Prices[Key],0)),1))</f>
        <v/>
      </c>
      <c r="J463" s="287" t="str">
        <f t="shared" si="66"/>
        <v/>
      </c>
      <c r="K463" s="287" t="str">
        <f t="shared" si="67"/>
        <v/>
      </c>
      <c r="L463" s="287" t="str">
        <f t="shared" si="68"/>
        <v/>
      </c>
      <c r="M463" s="290" t="str">
        <f t="shared" si="69"/>
        <v/>
      </c>
      <c r="N463" s="243" t="str">
        <f>IF($A463="","",IF(ABS(E463)&gt;0.000001,COUNT($N$1:N462)+1,""))</f>
        <v/>
      </c>
      <c r="O463" s="291" t="str">
        <f>IF($A463="","",SUMIFS(Transactions!$H$2:$H$1001,Transactions!$J$2:$J$1001,$A463,Transactions!$A$2:$A$1001,2)*$I463)</f>
        <v/>
      </c>
      <c r="P463" s="291" t="str">
        <f t="shared" si="70"/>
        <v/>
      </c>
      <c r="Q463" s="292" t="str">
        <f t="shared" si="71"/>
        <v/>
      </c>
    </row>
    <row r="464" spans="1:17" ht="15" customHeight="1" x14ac:dyDescent="0.2">
      <c r="A464" s="243" t="str">
        <f>IFERROR(INDEX(Txn[Key],MATCH(0,INDEX(COUNTIF($A$1:A463,Txn[Key])+(Txn[Key]=""),0),0)),"")</f>
        <v/>
      </c>
      <c r="B464" s="243" t="str">
        <f t="shared" si="63"/>
        <v/>
      </c>
      <c r="C464" s="243" t="str">
        <f t="shared" si="64"/>
        <v/>
      </c>
      <c r="D464" s="243" t="str">
        <f t="shared" si="65"/>
        <v/>
      </c>
      <c r="E464" s="265" t="str">
        <f>IF($A464="","",SUMIFS(Txn[Signed Units],Txn[Key],$A464))</f>
        <v/>
      </c>
      <c r="F464" s="287" t="str">
        <f>IF($A464="","",SUMIFS(Txn[Buy Cost],Txn[Key],$A464))</f>
        <v/>
      </c>
      <c r="G464" s="287" t="str">
        <f>IF($A464="","",SUMIFS(Txn[Sell Proceeds],Txn[Key],$A464))</f>
        <v/>
      </c>
      <c r="H464" s="288" t="str">
        <f>IF($A464="","",IFERROR(INDEX(Prices[Current Price],MATCH($A464,Prices[Key],0)),0))</f>
        <v/>
      </c>
      <c r="I464" s="289" t="str">
        <f>IF($A464="","",IFERROR(INDEX(Prices[FX to SGD],MATCH($A464,Prices[Key],0)),1))</f>
        <v/>
      </c>
      <c r="J464" s="287" t="str">
        <f t="shared" si="66"/>
        <v/>
      </c>
      <c r="K464" s="287" t="str">
        <f t="shared" si="67"/>
        <v/>
      </c>
      <c r="L464" s="287" t="str">
        <f t="shared" si="68"/>
        <v/>
      </c>
      <c r="M464" s="290" t="str">
        <f t="shared" si="69"/>
        <v/>
      </c>
      <c r="N464" s="243" t="str">
        <f>IF($A464="","",IF(ABS(E464)&gt;0.000001,COUNT($N$1:N463)+1,""))</f>
        <v/>
      </c>
      <c r="O464" s="291" t="str">
        <f>IF($A464="","",SUMIFS(Transactions!$H$2:$H$1001,Transactions!$J$2:$J$1001,$A464,Transactions!$A$2:$A$1001,2)*$I464)</f>
        <v/>
      </c>
      <c r="P464" s="291" t="str">
        <f t="shared" si="70"/>
        <v/>
      </c>
      <c r="Q464" s="292" t="str">
        <f t="shared" si="71"/>
        <v/>
      </c>
    </row>
    <row r="465" spans="1:17" ht="15" customHeight="1" x14ac:dyDescent="0.2">
      <c r="A465" s="243" t="str">
        <f>IFERROR(INDEX(Txn[Key],MATCH(0,INDEX(COUNTIF($A$1:A464,Txn[Key])+(Txn[Key]=""),0),0)),"")</f>
        <v/>
      </c>
      <c r="B465" s="243" t="str">
        <f t="shared" si="63"/>
        <v/>
      </c>
      <c r="C465" s="243" t="str">
        <f t="shared" si="64"/>
        <v/>
      </c>
      <c r="D465" s="243" t="str">
        <f t="shared" si="65"/>
        <v/>
      </c>
      <c r="E465" s="265" t="str">
        <f>IF($A465="","",SUMIFS(Txn[Signed Units],Txn[Key],$A465))</f>
        <v/>
      </c>
      <c r="F465" s="287" t="str">
        <f>IF($A465="","",SUMIFS(Txn[Buy Cost],Txn[Key],$A465))</f>
        <v/>
      </c>
      <c r="G465" s="287" t="str">
        <f>IF($A465="","",SUMIFS(Txn[Sell Proceeds],Txn[Key],$A465))</f>
        <v/>
      </c>
      <c r="H465" s="288" t="str">
        <f>IF($A465="","",IFERROR(INDEX(Prices[Current Price],MATCH($A465,Prices[Key],0)),0))</f>
        <v/>
      </c>
      <c r="I465" s="289" t="str">
        <f>IF($A465="","",IFERROR(INDEX(Prices[FX to SGD],MATCH($A465,Prices[Key],0)),1))</f>
        <v/>
      </c>
      <c r="J465" s="287" t="str">
        <f t="shared" si="66"/>
        <v/>
      </c>
      <c r="K465" s="287" t="str">
        <f t="shared" si="67"/>
        <v/>
      </c>
      <c r="L465" s="287" t="str">
        <f t="shared" si="68"/>
        <v/>
      </c>
      <c r="M465" s="290" t="str">
        <f t="shared" si="69"/>
        <v/>
      </c>
      <c r="N465" s="243" t="str">
        <f>IF($A465="","",IF(ABS(E465)&gt;0.000001,COUNT($N$1:N464)+1,""))</f>
        <v/>
      </c>
      <c r="O465" s="291" t="str">
        <f>IF($A465="","",SUMIFS(Transactions!$H$2:$H$1001,Transactions!$J$2:$J$1001,$A465,Transactions!$A$2:$A$1001,2)*$I465)</f>
        <v/>
      </c>
      <c r="P465" s="291" t="str">
        <f t="shared" si="70"/>
        <v/>
      </c>
      <c r="Q465" s="292" t="str">
        <f t="shared" si="71"/>
        <v/>
      </c>
    </row>
    <row r="466" spans="1:17" ht="15" customHeight="1" x14ac:dyDescent="0.2">
      <c r="A466" s="243" t="str">
        <f>IFERROR(INDEX(Txn[Key],MATCH(0,INDEX(COUNTIF($A$1:A465,Txn[Key])+(Txn[Key]=""),0),0)),"")</f>
        <v/>
      </c>
      <c r="B466" s="243" t="str">
        <f t="shared" si="63"/>
        <v/>
      </c>
      <c r="C466" s="243" t="str">
        <f t="shared" si="64"/>
        <v/>
      </c>
      <c r="D466" s="243" t="str">
        <f t="shared" si="65"/>
        <v/>
      </c>
      <c r="E466" s="265" t="str">
        <f>IF($A466="","",SUMIFS(Txn[Signed Units],Txn[Key],$A466))</f>
        <v/>
      </c>
      <c r="F466" s="287" t="str">
        <f>IF($A466="","",SUMIFS(Txn[Buy Cost],Txn[Key],$A466))</f>
        <v/>
      </c>
      <c r="G466" s="287" t="str">
        <f>IF($A466="","",SUMIFS(Txn[Sell Proceeds],Txn[Key],$A466))</f>
        <v/>
      </c>
      <c r="H466" s="288" t="str">
        <f>IF($A466="","",IFERROR(INDEX(Prices[Current Price],MATCH($A466,Prices[Key],0)),0))</f>
        <v/>
      </c>
      <c r="I466" s="289" t="str">
        <f>IF($A466="","",IFERROR(INDEX(Prices[FX to SGD],MATCH($A466,Prices[Key],0)),1))</f>
        <v/>
      </c>
      <c r="J466" s="287" t="str">
        <f t="shared" si="66"/>
        <v/>
      </c>
      <c r="K466" s="287" t="str">
        <f t="shared" si="67"/>
        <v/>
      </c>
      <c r="L466" s="287" t="str">
        <f t="shared" si="68"/>
        <v/>
      </c>
      <c r="M466" s="290" t="str">
        <f t="shared" si="69"/>
        <v/>
      </c>
      <c r="N466" s="243" t="str">
        <f>IF($A466="","",IF(ABS(E466)&gt;0.000001,COUNT($N$1:N465)+1,""))</f>
        <v/>
      </c>
      <c r="O466" s="291" t="str">
        <f>IF($A466="","",SUMIFS(Transactions!$H$2:$H$1001,Transactions!$J$2:$J$1001,$A466,Transactions!$A$2:$A$1001,2)*$I466)</f>
        <v/>
      </c>
      <c r="P466" s="291" t="str">
        <f t="shared" si="70"/>
        <v/>
      </c>
      <c r="Q466" s="292" t="str">
        <f t="shared" si="71"/>
        <v/>
      </c>
    </row>
    <row r="467" spans="1:17" ht="15" customHeight="1" x14ac:dyDescent="0.2">
      <c r="A467" s="243" t="str">
        <f>IFERROR(INDEX(Txn[Key],MATCH(0,INDEX(COUNTIF($A$1:A466,Txn[Key])+(Txn[Key]=""),0),0)),"")</f>
        <v/>
      </c>
      <c r="B467" s="243" t="str">
        <f t="shared" si="63"/>
        <v/>
      </c>
      <c r="C467" s="243" t="str">
        <f t="shared" si="64"/>
        <v/>
      </c>
      <c r="D467" s="243" t="str">
        <f t="shared" si="65"/>
        <v/>
      </c>
      <c r="E467" s="265" t="str">
        <f>IF($A467="","",SUMIFS(Txn[Signed Units],Txn[Key],$A467))</f>
        <v/>
      </c>
      <c r="F467" s="287" t="str">
        <f>IF($A467="","",SUMIFS(Txn[Buy Cost],Txn[Key],$A467))</f>
        <v/>
      </c>
      <c r="G467" s="287" t="str">
        <f>IF($A467="","",SUMIFS(Txn[Sell Proceeds],Txn[Key],$A467))</f>
        <v/>
      </c>
      <c r="H467" s="288" t="str">
        <f>IF($A467="","",IFERROR(INDEX(Prices[Current Price],MATCH($A467,Prices[Key],0)),0))</f>
        <v/>
      </c>
      <c r="I467" s="289" t="str">
        <f>IF($A467="","",IFERROR(INDEX(Prices[FX to SGD],MATCH($A467,Prices[Key],0)),1))</f>
        <v/>
      </c>
      <c r="J467" s="287" t="str">
        <f t="shared" si="66"/>
        <v/>
      </c>
      <c r="K467" s="287" t="str">
        <f t="shared" si="67"/>
        <v/>
      </c>
      <c r="L467" s="287" t="str">
        <f t="shared" si="68"/>
        <v/>
      </c>
      <c r="M467" s="290" t="str">
        <f t="shared" si="69"/>
        <v/>
      </c>
      <c r="N467" s="243" t="str">
        <f>IF($A467="","",IF(ABS(E467)&gt;0.000001,COUNT($N$1:N466)+1,""))</f>
        <v/>
      </c>
      <c r="O467" s="291" t="str">
        <f>IF($A467="","",SUMIFS(Transactions!$H$2:$H$1001,Transactions!$J$2:$J$1001,$A467,Transactions!$A$2:$A$1001,2)*$I467)</f>
        <v/>
      </c>
      <c r="P467" s="291" t="str">
        <f t="shared" si="70"/>
        <v/>
      </c>
      <c r="Q467" s="292" t="str">
        <f t="shared" si="71"/>
        <v/>
      </c>
    </row>
    <row r="468" spans="1:17" ht="15" customHeight="1" x14ac:dyDescent="0.2">
      <c r="A468" s="243" t="str">
        <f>IFERROR(INDEX(Txn[Key],MATCH(0,INDEX(COUNTIF($A$1:A467,Txn[Key])+(Txn[Key]=""),0),0)),"")</f>
        <v/>
      </c>
      <c r="B468" s="243" t="str">
        <f t="shared" si="63"/>
        <v/>
      </c>
      <c r="C468" s="243" t="str">
        <f t="shared" si="64"/>
        <v/>
      </c>
      <c r="D468" s="243" t="str">
        <f t="shared" si="65"/>
        <v/>
      </c>
      <c r="E468" s="265" t="str">
        <f>IF($A468="","",SUMIFS(Txn[Signed Units],Txn[Key],$A468))</f>
        <v/>
      </c>
      <c r="F468" s="287" t="str">
        <f>IF($A468="","",SUMIFS(Txn[Buy Cost],Txn[Key],$A468))</f>
        <v/>
      </c>
      <c r="G468" s="287" t="str">
        <f>IF($A468="","",SUMIFS(Txn[Sell Proceeds],Txn[Key],$A468))</f>
        <v/>
      </c>
      <c r="H468" s="288" t="str">
        <f>IF($A468="","",IFERROR(INDEX(Prices[Current Price],MATCH($A468,Prices[Key],0)),0))</f>
        <v/>
      </c>
      <c r="I468" s="289" t="str">
        <f>IF($A468="","",IFERROR(INDEX(Prices[FX to SGD],MATCH($A468,Prices[Key],0)),1))</f>
        <v/>
      </c>
      <c r="J468" s="287" t="str">
        <f t="shared" si="66"/>
        <v/>
      </c>
      <c r="K468" s="287" t="str">
        <f t="shared" si="67"/>
        <v/>
      </c>
      <c r="L468" s="287" t="str">
        <f t="shared" si="68"/>
        <v/>
      </c>
      <c r="M468" s="290" t="str">
        <f t="shared" si="69"/>
        <v/>
      </c>
      <c r="N468" s="243" t="str">
        <f>IF($A468="","",IF(ABS(E468)&gt;0.000001,COUNT($N$1:N467)+1,""))</f>
        <v/>
      </c>
      <c r="O468" s="291" t="str">
        <f>IF($A468="","",SUMIFS(Transactions!$H$2:$H$1001,Transactions!$J$2:$J$1001,$A468,Transactions!$A$2:$A$1001,2)*$I468)</f>
        <v/>
      </c>
      <c r="P468" s="291" t="str">
        <f t="shared" si="70"/>
        <v/>
      </c>
      <c r="Q468" s="292" t="str">
        <f t="shared" si="71"/>
        <v/>
      </c>
    </row>
    <row r="469" spans="1:17" ht="15" customHeight="1" x14ac:dyDescent="0.2">
      <c r="A469" s="243" t="str">
        <f>IFERROR(INDEX(Txn[Key],MATCH(0,INDEX(COUNTIF($A$1:A468,Txn[Key])+(Txn[Key]=""),0),0)),"")</f>
        <v/>
      </c>
      <c r="B469" s="243" t="str">
        <f t="shared" si="63"/>
        <v/>
      </c>
      <c r="C469" s="243" t="str">
        <f t="shared" si="64"/>
        <v/>
      </c>
      <c r="D469" s="243" t="str">
        <f t="shared" si="65"/>
        <v/>
      </c>
      <c r="E469" s="265" t="str">
        <f>IF($A469="","",SUMIFS(Txn[Signed Units],Txn[Key],$A469))</f>
        <v/>
      </c>
      <c r="F469" s="287" t="str">
        <f>IF($A469="","",SUMIFS(Txn[Buy Cost],Txn[Key],$A469))</f>
        <v/>
      </c>
      <c r="G469" s="287" t="str">
        <f>IF($A469="","",SUMIFS(Txn[Sell Proceeds],Txn[Key],$A469))</f>
        <v/>
      </c>
      <c r="H469" s="288" t="str">
        <f>IF($A469="","",IFERROR(INDEX(Prices[Current Price],MATCH($A469,Prices[Key],0)),0))</f>
        <v/>
      </c>
      <c r="I469" s="289" t="str">
        <f>IF($A469="","",IFERROR(INDEX(Prices[FX to SGD],MATCH($A469,Prices[Key],0)),1))</f>
        <v/>
      </c>
      <c r="J469" s="287" t="str">
        <f t="shared" si="66"/>
        <v/>
      </c>
      <c r="K469" s="287" t="str">
        <f t="shared" si="67"/>
        <v/>
      </c>
      <c r="L469" s="287" t="str">
        <f t="shared" si="68"/>
        <v/>
      </c>
      <c r="M469" s="290" t="str">
        <f t="shared" si="69"/>
        <v/>
      </c>
      <c r="N469" s="243" t="str">
        <f>IF($A469="","",IF(ABS(E469)&gt;0.000001,COUNT($N$1:N468)+1,""))</f>
        <v/>
      </c>
      <c r="O469" s="291" t="str">
        <f>IF($A469="","",SUMIFS(Transactions!$H$2:$H$1001,Transactions!$J$2:$J$1001,$A469,Transactions!$A$2:$A$1001,2)*$I469)</f>
        <v/>
      </c>
      <c r="P469" s="291" t="str">
        <f t="shared" si="70"/>
        <v/>
      </c>
      <c r="Q469" s="292" t="str">
        <f t="shared" si="71"/>
        <v/>
      </c>
    </row>
    <row r="470" spans="1:17" ht="15" customHeight="1" x14ac:dyDescent="0.2">
      <c r="A470" s="243" t="str">
        <f>IFERROR(INDEX(Txn[Key],MATCH(0,INDEX(COUNTIF($A$1:A469,Txn[Key])+(Txn[Key]=""),0),0)),"")</f>
        <v/>
      </c>
      <c r="B470" s="243" t="str">
        <f t="shared" si="63"/>
        <v/>
      </c>
      <c r="C470" s="243" t="str">
        <f t="shared" si="64"/>
        <v/>
      </c>
      <c r="D470" s="243" t="str">
        <f t="shared" si="65"/>
        <v/>
      </c>
      <c r="E470" s="265" t="str">
        <f>IF($A470="","",SUMIFS(Txn[Signed Units],Txn[Key],$A470))</f>
        <v/>
      </c>
      <c r="F470" s="287" t="str">
        <f>IF($A470="","",SUMIFS(Txn[Buy Cost],Txn[Key],$A470))</f>
        <v/>
      </c>
      <c r="G470" s="287" t="str">
        <f>IF($A470="","",SUMIFS(Txn[Sell Proceeds],Txn[Key],$A470))</f>
        <v/>
      </c>
      <c r="H470" s="288" t="str">
        <f>IF($A470="","",IFERROR(INDEX(Prices[Current Price],MATCH($A470,Prices[Key],0)),0))</f>
        <v/>
      </c>
      <c r="I470" s="289" t="str">
        <f>IF($A470="","",IFERROR(INDEX(Prices[FX to SGD],MATCH($A470,Prices[Key],0)),1))</f>
        <v/>
      </c>
      <c r="J470" s="287" t="str">
        <f t="shared" si="66"/>
        <v/>
      </c>
      <c r="K470" s="287" t="str">
        <f t="shared" si="67"/>
        <v/>
      </c>
      <c r="L470" s="287" t="str">
        <f t="shared" si="68"/>
        <v/>
      </c>
      <c r="M470" s="290" t="str">
        <f t="shared" si="69"/>
        <v/>
      </c>
      <c r="N470" s="243" t="str">
        <f>IF($A470="","",IF(ABS(E470)&gt;0.000001,COUNT($N$1:N469)+1,""))</f>
        <v/>
      </c>
      <c r="O470" s="291" t="str">
        <f>IF($A470="","",SUMIFS(Transactions!$H$2:$H$1001,Transactions!$J$2:$J$1001,$A470,Transactions!$A$2:$A$1001,2)*$I470)</f>
        <v/>
      </c>
      <c r="P470" s="291" t="str">
        <f t="shared" si="70"/>
        <v/>
      </c>
      <c r="Q470" s="292" t="str">
        <f t="shared" si="71"/>
        <v/>
      </c>
    </row>
    <row r="471" spans="1:17" ht="15" customHeight="1" x14ac:dyDescent="0.2">
      <c r="A471" s="243" t="str">
        <f>IFERROR(INDEX(Txn[Key],MATCH(0,INDEX(COUNTIF($A$1:A470,Txn[Key])+(Txn[Key]=""),0),0)),"")</f>
        <v/>
      </c>
      <c r="B471" s="243" t="str">
        <f t="shared" si="63"/>
        <v/>
      </c>
      <c r="C471" s="243" t="str">
        <f t="shared" si="64"/>
        <v/>
      </c>
      <c r="D471" s="243" t="str">
        <f t="shared" si="65"/>
        <v/>
      </c>
      <c r="E471" s="265" t="str">
        <f>IF($A471="","",SUMIFS(Txn[Signed Units],Txn[Key],$A471))</f>
        <v/>
      </c>
      <c r="F471" s="287" t="str">
        <f>IF($A471="","",SUMIFS(Txn[Buy Cost],Txn[Key],$A471))</f>
        <v/>
      </c>
      <c r="G471" s="287" t="str">
        <f>IF($A471="","",SUMIFS(Txn[Sell Proceeds],Txn[Key],$A471))</f>
        <v/>
      </c>
      <c r="H471" s="288" t="str">
        <f>IF($A471="","",IFERROR(INDEX(Prices[Current Price],MATCH($A471,Prices[Key],0)),0))</f>
        <v/>
      </c>
      <c r="I471" s="289" t="str">
        <f>IF($A471="","",IFERROR(INDEX(Prices[FX to SGD],MATCH($A471,Prices[Key],0)),1))</f>
        <v/>
      </c>
      <c r="J471" s="287" t="str">
        <f t="shared" si="66"/>
        <v/>
      </c>
      <c r="K471" s="287" t="str">
        <f t="shared" si="67"/>
        <v/>
      </c>
      <c r="L471" s="287" t="str">
        <f t="shared" si="68"/>
        <v/>
      </c>
      <c r="M471" s="290" t="str">
        <f t="shared" si="69"/>
        <v/>
      </c>
      <c r="N471" s="243" t="str">
        <f>IF($A471="","",IF(ABS(E471)&gt;0.000001,COUNT($N$1:N470)+1,""))</f>
        <v/>
      </c>
      <c r="O471" s="291" t="str">
        <f>IF($A471="","",SUMIFS(Transactions!$H$2:$H$1001,Transactions!$J$2:$J$1001,$A471,Transactions!$A$2:$A$1001,2)*$I471)</f>
        <v/>
      </c>
      <c r="P471" s="291" t="str">
        <f t="shared" si="70"/>
        <v/>
      </c>
      <c r="Q471" s="292" t="str">
        <f t="shared" si="71"/>
        <v/>
      </c>
    </row>
    <row r="472" spans="1:17" ht="15" customHeight="1" x14ac:dyDescent="0.2">
      <c r="A472" s="243" t="str">
        <f>IFERROR(INDEX(Txn[Key],MATCH(0,INDEX(COUNTIF($A$1:A471,Txn[Key])+(Txn[Key]=""),0),0)),"")</f>
        <v/>
      </c>
      <c r="B472" s="243" t="str">
        <f t="shared" si="63"/>
        <v/>
      </c>
      <c r="C472" s="243" t="str">
        <f t="shared" si="64"/>
        <v/>
      </c>
      <c r="D472" s="243" t="str">
        <f t="shared" si="65"/>
        <v/>
      </c>
      <c r="E472" s="265" t="str">
        <f>IF($A472="","",SUMIFS(Txn[Signed Units],Txn[Key],$A472))</f>
        <v/>
      </c>
      <c r="F472" s="287" t="str">
        <f>IF($A472="","",SUMIFS(Txn[Buy Cost],Txn[Key],$A472))</f>
        <v/>
      </c>
      <c r="G472" s="287" t="str">
        <f>IF($A472="","",SUMIFS(Txn[Sell Proceeds],Txn[Key],$A472))</f>
        <v/>
      </c>
      <c r="H472" s="288" t="str">
        <f>IF($A472="","",IFERROR(INDEX(Prices[Current Price],MATCH($A472,Prices[Key],0)),0))</f>
        <v/>
      </c>
      <c r="I472" s="289" t="str">
        <f>IF($A472="","",IFERROR(INDEX(Prices[FX to SGD],MATCH($A472,Prices[Key],0)),1))</f>
        <v/>
      </c>
      <c r="J472" s="287" t="str">
        <f t="shared" si="66"/>
        <v/>
      </c>
      <c r="K472" s="287" t="str">
        <f t="shared" si="67"/>
        <v/>
      </c>
      <c r="L472" s="287" t="str">
        <f t="shared" si="68"/>
        <v/>
      </c>
      <c r="M472" s="290" t="str">
        <f t="shared" si="69"/>
        <v/>
      </c>
      <c r="N472" s="243" t="str">
        <f>IF($A472="","",IF(ABS(E472)&gt;0.000001,COUNT($N$1:N471)+1,""))</f>
        <v/>
      </c>
      <c r="O472" s="291" t="str">
        <f>IF($A472="","",SUMIFS(Transactions!$H$2:$H$1001,Transactions!$J$2:$J$1001,$A472,Transactions!$A$2:$A$1001,2)*$I472)</f>
        <v/>
      </c>
      <c r="P472" s="291" t="str">
        <f t="shared" si="70"/>
        <v/>
      </c>
      <c r="Q472" s="292" t="str">
        <f t="shared" si="71"/>
        <v/>
      </c>
    </row>
    <row r="473" spans="1:17" ht="15" customHeight="1" x14ac:dyDescent="0.2">
      <c r="A473" s="243" t="str">
        <f>IFERROR(INDEX(Txn[Key],MATCH(0,INDEX(COUNTIF($A$1:A472,Txn[Key])+(Txn[Key]=""),0),0)),"")</f>
        <v/>
      </c>
      <c r="B473" s="243" t="str">
        <f t="shared" si="63"/>
        <v/>
      </c>
      <c r="C473" s="243" t="str">
        <f t="shared" si="64"/>
        <v/>
      </c>
      <c r="D473" s="243" t="str">
        <f t="shared" si="65"/>
        <v/>
      </c>
      <c r="E473" s="265" t="str">
        <f>IF($A473="","",SUMIFS(Txn[Signed Units],Txn[Key],$A473))</f>
        <v/>
      </c>
      <c r="F473" s="287" t="str">
        <f>IF($A473="","",SUMIFS(Txn[Buy Cost],Txn[Key],$A473))</f>
        <v/>
      </c>
      <c r="G473" s="287" t="str">
        <f>IF($A473="","",SUMIFS(Txn[Sell Proceeds],Txn[Key],$A473))</f>
        <v/>
      </c>
      <c r="H473" s="288" t="str">
        <f>IF($A473="","",IFERROR(INDEX(Prices[Current Price],MATCH($A473,Prices[Key],0)),0))</f>
        <v/>
      </c>
      <c r="I473" s="289" t="str">
        <f>IF($A473="","",IFERROR(INDEX(Prices[FX to SGD],MATCH($A473,Prices[Key],0)),1))</f>
        <v/>
      </c>
      <c r="J473" s="287" t="str">
        <f t="shared" si="66"/>
        <v/>
      </c>
      <c r="K473" s="287" t="str">
        <f t="shared" si="67"/>
        <v/>
      </c>
      <c r="L473" s="287" t="str">
        <f t="shared" si="68"/>
        <v/>
      </c>
      <c r="M473" s="290" t="str">
        <f t="shared" si="69"/>
        <v/>
      </c>
      <c r="N473" s="243" t="str">
        <f>IF($A473="","",IF(ABS(E473)&gt;0.000001,COUNT($N$1:N472)+1,""))</f>
        <v/>
      </c>
      <c r="O473" s="291" t="str">
        <f>IF($A473="","",SUMIFS(Transactions!$H$2:$H$1001,Transactions!$J$2:$J$1001,$A473,Transactions!$A$2:$A$1001,2)*$I473)</f>
        <v/>
      </c>
      <c r="P473" s="291" t="str">
        <f t="shared" si="70"/>
        <v/>
      </c>
      <c r="Q473" s="292" t="str">
        <f t="shared" si="71"/>
        <v/>
      </c>
    </row>
    <row r="474" spans="1:17" ht="15" customHeight="1" x14ac:dyDescent="0.2">
      <c r="A474" s="243" t="str">
        <f>IFERROR(INDEX(Txn[Key],MATCH(0,INDEX(COUNTIF($A$1:A473,Txn[Key])+(Txn[Key]=""),0),0)),"")</f>
        <v/>
      </c>
      <c r="B474" s="243" t="str">
        <f t="shared" si="63"/>
        <v/>
      </c>
      <c r="C474" s="243" t="str">
        <f t="shared" si="64"/>
        <v/>
      </c>
      <c r="D474" s="243" t="str">
        <f t="shared" si="65"/>
        <v/>
      </c>
      <c r="E474" s="265" t="str">
        <f>IF($A474="","",SUMIFS(Txn[Signed Units],Txn[Key],$A474))</f>
        <v/>
      </c>
      <c r="F474" s="287" t="str">
        <f>IF($A474="","",SUMIFS(Txn[Buy Cost],Txn[Key],$A474))</f>
        <v/>
      </c>
      <c r="G474" s="287" t="str">
        <f>IF($A474="","",SUMIFS(Txn[Sell Proceeds],Txn[Key],$A474))</f>
        <v/>
      </c>
      <c r="H474" s="288" t="str">
        <f>IF($A474="","",IFERROR(INDEX(Prices[Current Price],MATCH($A474,Prices[Key],0)),0))</f>
        <v/>
      </c>
      <c r="I474" s="289" t="str">
        <f>IF($A474="","",IFERROR(INDEX(Prices[FX to SGD],MATCH($A474,Prices[Key],0)),1))</f>
        <v/>
      </c>
      <c r="J474" s="287" t="str">
        <f t="shared" si="66"/>
        <v/>
      </c>
      <c r="K474" s="287" t="str">
        <f t="shared" si="67"/>
        <v/>
      </c>
      <c r="L474" s="287" t="str">
        <f t="shared" si="68"/>
        <v/>
      </c>
      <c r="M474" s="290" t="str">
        <f t="shared" si="69"/>
        <v/>
      </c>
      <c r="N474" s="243" t="str">
        <f>IF($A474="","",IF(ABS(E474)&gt;0.000001,COUNT($N$1:N473)+1,""))</f>
        <v/>
      </c>
      <c r="O474" s="291" t="str">
        <f>IF($A474="","",SUMIFS(Transactions!$H$2:$H$1001,Transactions!$J$2:$J$1001,$A474,Transactions!$A$2:$A$1001,2)*$I474)</f>
        <v/>
      </c>
      <c r="P474" s="291" t="str">
        <f t="shared" si="70"/>
        <v/>
      </c>
      <c r="Q474" s="292" t="str">
        <f t="shared" si="71"/>
        <v/>
      </c>
    </row>
    <row r="475" spans="1:17" ht="15" customHeight="1" x14ac:dyDescent="0.2">
      <c r="A475" s="243" t="str">
        <f>IFERROR(INDEX(Txn[Key],MATCH(0,INDEX(COUNTIF($A$1:A474,Txn[Key])+(Txn[Key]=""),0),0)),"")</f>
        <v/>
      </c>
      <c r="B475" s="243" t="str">
        <f t="shared" si="63"/>
        <v/>
      </c>
      <c r="C475" s="243" t="str">
        <f t="shared" si="64"/>
        <v/>
      </c>
      <c r="D475" s="243" t="str">
        <f t="shared" si="65"/>
        <v/>
      </c>
      <c r="E475" s="265" t="str">
        <f>IF($A475="","",SUMIFS(Txn[Signed Units],Txn[Key],$A475))</f>
        <v/>
      </c>
      <c r="F475" s="287" t="str">
        <f>IF($A475="","",SUMIFS(Txn[Buy Cost],Txn[Key],$A475))</f>
        <v/>
      </c>
      <c r="G475" s="287" t="str">
        <f>IF($A475="","",SUMIFS(Txn[Sell Proceeds],Txn[Key],$A475))</f>
        <v/>
      </c>
      <c r="H475" s="288" t="str">
        <f>IF($A475="","",IFERROR(INDEX(Prices[Current Price],MATCH($A475,Prices[Key],0)),0))</f>
        <v/>
      </c>
      <c r="I475" s="289" t="str">
        <f>IF($A475="","",IFERROR(INDEX(Prices[FX to SGD],MATCH($A475,Prices[Key],0)),1))</f>
        <v/>
      </c>
      <c r="J475" s="287" t="str">
        <f t="shared" si="66"/>
        <v/>
      </c>
      <c r="K475" s="287" t="str">
        <f t="shared" si="67"/>
        <v/>
      </c>
      <c r="L475" s="287" t="str">
        <f t="shared" si="68"/>
        <v/>
      </c>
      <c r="M475" s="290" t="str">
        <f t="shared" si="69"/>
        <v/>
      </c>
      <c r="N475" s="243" t="str">
        <f>IF($A475="","",IF(ABS(E475)&gt;0.000001,COUNT($N$1:N474)+1,""))</f>
        <v/>
      </c>
      <c r="O475" s="291" t="str">
        <f>IF($A475="","",SUMIFS(Transactions!$H$2:$H$1001,Transactions!$J$2:$J$1001,$A475,Transactions!$A$2:$A$1001,2)*$I475)</f>
        <v/>
      </c>
      <c r="P475" s="291" t="str">
        <f t="shared" si="70"/>
        <v/>
      </c>
      <c r="Q475" s="292" t="str">
        <f t="shared" si="71"/>
        <v/>
      </c>
    </row>
    <row r="476" spans="1:17" ht="15" customHeight="1" x14ac:dyDescent="0.2">
      <c r="A476" s="243" t="str">
        <f>IFERROR(INDEX(Txn[Key],MATCH(0,INDEX(COUNTIF($A$1:A475,Txn[Key])+(Txn[Key]=""),0),0)),"")</f>
        <v/>
      </c>
      <c r="B476" s="243" t="str">
        <f t="shared" si="63"/>
        <v/>
      </c>
      <c r="C476" s="243" t="str">
        <f t="shared" si="64"/>
        <v/>
      </c>
      <c r="D476" s="243" t="str">
        <f t="shared" si="65"/>
        <v/>
      </c>
      <c r="E476" s="265" t="str">
        <f>IF($A476="","",SUMIFS(Txn[Signed Units],Txn[Key],$A476))</f>
        <v/>
      </c>
      <c r="F476" s="287" t="str">
        <f>IF($A476="","",SUMIFS(Txn[Buy Cost],Txn[Key],$A476))</f>
        <v/>
      </c>
      <c r="G476" s="287" t="str">
        <f>IF($A476="","",SUMIFS(Txn[Sell Proceeds],Txn[Key],$A476))</f>
        <v/>
      </c>
      <c r="H476" s="288" t="str">
        <f>IF($A476="","",IFERROR(INDEX(Prices[Current Price],MATCH($A476,Prices[Key],0)),0))</f>
        <v/>
      </c>
      <c r="I476" s="289" t="str">
        <f>IF($A476="","",IFERROR(INDEX(Prices[FX to SGD],MATCH($A476,Prices[Key],0)),1))</f>
        <v/>
      </c>
      <c r="J476" s="287" t="str">
        <f t="shared" si="66"/>
        <v/>
      </c>
      <c r="K476" s="287" t="str">
        <f t="shared" si="67"/>
        <v/>
      </c>
      <c r="L476" s="287" t="str">
        <f t="shared" si="68"/>
        <v/>
      </c>
      <c r="M476" s="290" t="str">
        <f t="shared" si="69"/>
        <v/>
      </c>
      <c r="N476" s="243" t="str">
        <f>IF($A476="","",IF(ABS(E476)&gt;0.000001,COUNT($N$1:N475)+1,""))</f>
        <v/>
      </c>
      <c r="O476" s="291" t="str">
        <f>IF($A476="","",SUMIFS(Transactions!$H$2:$H$1001,Transactions!$J$2:$J$1001,$A476,Transactions!$A$2:$A$1001,2)*$I476)</f>
        <v/>
      </c>
      <c r="P476" s="291" t="str">
        <f t="shared" si="70"/>
        <v/>
      </c>
      <c r="Q476" s="292" t="str">
        <f t="shared" si="71"/>
        <v/>
      </c>
    </row>
    <row r="477" spans="1:17" ht="15" customHeight="1" x14ac:dyDescent="0.2">
      <c r="A477" s="243" t="str">
        <f>IFERROR(INDEX(Txn[Key],MATCH(0,INDEX(COUNTIF($A$1:A476,Txn[Key])+(Txn[Key]=""),0),0)),"")</f>
        <v/>
      </c>
      <c r="B477" s="243" t="str">
        <f t="shared" si="63"/>
        <v/>
      </c>
      <c r="C477" s="243" t="str">
        <f t="shared" si="64"/>
        <v/>
      </c>
      <c r="D477" s="243" t="str">
        <f t="shared" si="65"/>
        <v/>
      </c>
      <c r="E477" s="265" t="str">
        <f>IF($A477="","",SUMIFS(Txn[Signed Units],Txn[Key],$A477))</f>
        <v/>
      </c>
      <c r="F477" s="287" t="str">
        <f>IF($A477="","",SUMIFS(Txn[Buy Cost],Txn[Key],$A477))</f>
        <v/>
      </c>
      <c r="G477" s="287" t="str">
        <f>IF($A477="","",SUMIFS(Txn[Sell Proceeds],Txn[Key],$A477))</f>
        <v/>
      </c>
      <c r="H477" s="288" t="str">
        <f>IF($A477="","",IFERROR(INDEX(Prices[Current Price],MATCH($A477,Prices[Key],0)),0))</f>
        <v/>
      </c>
      <c r="I477" s="289" t="str">
        <f>IF($A477="","",IFERROR(INDEX(Prices[FX to SGD],MATCH($A477,Prices[Key],0)),1))</f>
        <v/>
      </c>
      <c r="J477" s="287" t="str">
        <f t="shared" si="66"/>
        <v/>
      </c>
      <c r="K477" s="287" t="str">
        <f t="shared" si="67"/>
        <v/>
      </c>
      <c r="L477" s="287" t="str">
        <f t="shared" si="68"/>
        <v/>
      </c>
      <c r="M477" s="290" t="str">
        <f t="shared" si="69"/>
        <v/>
      </c>
      <c r="N477" s="243" t="str">
        <f>IF($A477="","",IF(ABS(E477)&gt;0.000001,COUNT($N$1:N476)+1,""))</f>
        <v/>
      </c>
      <c r="O477" s="291" t="str">
        <f>IF($A477="","",SUMIFS(Transactions!$H$2:$H$1001,Transactions!$J$2:$J$1001,$A477,Transactions!$A$2:$A$1001,2)*$I477)</f>
        <v/>
      </c>
      <c r="P477" s="291" t="str">
        <f t="shared" si="70"/>
        <v/>
      </c>
      <c r="Q477" s="292" t="str">
        <f t="shared" si="71"/>
        <v/>
      </c>
    </row>
    <row r="478" spans="1:17" ht="15" customHeight="1" x14ac:dyDescent="0.2">
      <c r="A478" s="243" t="str">
        <f>IFERROR(INDEX(Txn[Key],MATCH(0,INDEX(COUNTIF($A$1:A477,Txn[Key])+(Txn[Key]=""),0),0)),"")</f>
        <v/>
      </c>
      <c r="B478" s="243" t="str">
        <f t="shared" si="63"/>
        <v/>
      </c>
      <c r="C478" s="243" t="str">
        <f t="shared" si="64"/>
        <v/>
      </c>
      <c r="D478" s="243" t="str">
        <f t="shared" si="65"/>
        <v/>
      </c>
      <c r="E478" s="265" t="str">
        <f>IF($A478="","",SUMIFS(Txn[Signed Units],Txn[Key],$A478))</f>
        <v/>
      </c>
      <c r="F478" s="287" t="str">
        <f>IF($A478="","",SUMIFS(Txn[Buy Cost],Txn[Key],$A478))</f>
        <v/>
      </c>
      <c r="G478" s="287" t="str">
        <f>IF($A478="","",SUMIFS(Txn[Sell Proceeds],Txn[Key],$A478))</f>
        <v/>
      </c>
      <c r="H478" s="288" t="str">
        <f>IF($A478="","",IFERROR(INDEX(Prices[Current Price],MATCH($A478,Prices[Key],0)),0))</f>
        <v/>
      </c>
      <c r="I478" s="289" t="str">
        <f>IF($A478="","",IFERROR(INDEX(Prices[FX to SGD],MATCH($A478,Prices[Key],0)),1))</f>
        <v/>
      </c>
      <c r="J478" s="287" t="str">
        <f t="shared" si="66"/>
        <v/>
      </c>
      <c r="K478" s="287" t="str">
        <f t="shared" si="67"/>
        <v/>
      </c>
      <c r="L478" s="287" t="str">
        <f t="shared" si="68"/>
        <v/>
      </c>
      <c r="M478" s="290" t="str">
        <f t="shared" si="69"/>
        <v/>
      </c>
      <c r="N478" s="243" t="str">
        <f>IF($A478="","",IF(ABS(E478)&gt;0.000001,COUNT($N$1:N477)+1,""))</f>
        <v/>
      </c>
      <c r="O478" s="291" t="str">
        <f>IF($A478="","",SUMIFS(Transactions!$H$2:$H$1001,Transactions!$J$2:$J$1001,$A478,Transactions!$A$2:$A$1001,2)*$I478)</f>
        <v/>
      </c>
      <c r="P478" s="291" t="str">
        <f t="shared" si="70"/>
        <v/>
      </c>
      <c r="Q478" s="292" t="str">
        <f t="shared" si="71"/>
        <v/>
      </c>
    </row>
    <row r="479" spans="1:17" ht="15" customHeight="1" x14ac:dyDescent="0.2">
      <c r="A479" s="243" t="str">
        <f>IFERROR(INDEX(Txn[Key],MATCH(0,INDEX(COUNTIF($A$1:A478,Txn[Key])+(Txn[Key]=""),0),0)),"")</f>
        <v/>
      </c>
      <c r="B479" s="243" t="str">
        <f t="shared" si="63"/>
        <v/>
      </c>
      <c r="C479" s="243" t="str">
        <f t="shared" si="64"/>
        <v/>
      </c>
      <c r="D479" s="243" t="str">
        <f t="shared" si="65"/>
        <v/>
      </c>
      <c r="E479" s="265" t="str">
        <f>IF($A479="","",SUMIFS(Txn[Signed Units],Txn[Key],$A479))</f>
        <v/>
      </c>
      <c r="F479" s="287" t="str">
        <f>IF($A479="","",SUMIFS(Txn[Buy Cost],Txn[Key],$A479))</f>
        <v/>
      </c>
      <c r="G479" s="287" t="str">
        <f>IF($A479="","",SUMIFS(Txn[Sell Proceeds],Txn[Key],$A479))</f>
        <v/>
      </c>
      <c r="H479" s="288" t="str">
        <f>IF($A479="","",IFERROR(INDEX(Prices[Current Price],MATCH($A479,Prices[Key],0)),0))</f>
        <v/>
      </c>
      <c r="I479" s="289" t="str">
        <f>IF($A479="","",IFERROR(INDEX(Prices[FX to SGD],MATCH($A479,Prices[Key],0)),1))</f>
        <v/>
      </c>
      <c r="J479" s="287" t="str">
        <f t="shared" si="66"/>
        <v/>
      </c>
      <c r="K479" s="287" t="str">
        <f t="shared" si="67"/>
        <v/>
      </c>
      <c r="L479" s="287" t="str">
        <f t="shared" si="68"/>
        <v/>
      </c>
      <c r="M479" s="290" t="str">
        <f t="shared" si="69"/>
        <v/>
      </c>
      <c r="N479" s="243" t="str">
        <f>IF($A479="","",IF(ABS(E479)&gt;0.000001,COUNT($N$1:N478)+1,""))</f>
        <v/>
      </c>
      <c r="O479" s="291" t="str">
        <f>IF($A479="","",SUMIFS(Transactions!$H$2:$H$1001,Transactions!$J$2:$J$1001,$A479,Transactions!$A$2:$A$1001,2)*$I479)</f>
        <v/>
      </c>
      <c r="P479" s="291" t="str">
        <f t="shared" si="70"/>
        <v/>
      </c>
      <c r="Q479" s="292" t="str">
        <f t="shared" si="71"/>
        <v/>
      </c>
    </row>
    <row r="480" spans="1:17" ht="15" customHeight="1" x14ac:dyDescent="0.2">
      <c r="A480" s="243" t="str">
        <f>IFERROR(INDEX(Txn[Key],MATCH(0,INDEX(COUNTIF($A$1:A479,Txn[Key])+(Txn[Key]=""),0),0)),"")</f>
        <v/>
      </c>
      <c r="B480" s="243" t="str">
        <f t="shared" si="63"/>
        <v/>
      </c>
      <c r="C480" s="243" t="str">
        <f t="shared" si="64"/>
        <v/>
      </c>
      <c r="D480" s="243" t="str">
        <f t="shared" si="65"/>
        <v/>
      </c>
      <c r="E480" s="265" t="str">
        <f>IF($A480="","",SUMIFS(Txn[Signed Units],Txn[Key],$A480))</f>
        <v/>
      </c>
      <c r="F480" s="287" t="str">
        <f>IF($A480="","",SUMIFS(Txn[Buy Cost],Txn[Key],$A480))</f>
        <v/>
      </c>
      <c r="G480" s="287" t="str">
        <f>IF($A480="","",SUMIFS(Txn[Sell Proceeds],Txn[Key],$A480))</f>
        <v/>
      </c>
      <c r="H480" s="288" t="str">
        <f>IF($A480="","",IFERROR(INDEX(Prices[Current Price],MATCH($A480,Prices[Key],0)),0))</f>
        <v/>
      </c>
      <c r="I480" s="289" t="str">
        <f>IF($A480="","",IFERROR(INDEX(Prices[FX to SGD],MATCH($A480,Prices[Key],0)),1))</f>
        <v/>
      </c>
      <c r="J480" s="287" t="str">
        <f t="shared" si="66"/>
        <v/>
      </c>
      <c r="K480" s="287" t="str">
        <f t="shared" si="67"/>
        <v/>
      </c>
      <c r="L480" s="287" t="str">
        <f t="shared" si="68"/>
        <v/>
      </c>
      <c r="M480" s="290" t="str">
        <f t="shared" si="69"/>
        <v/>
      </c>
      <c r="N480" s="243" t="str">
        <f>IF($A480="","",IF(ABS(E480)&gt;0.000001,COUNT($N$1:N479)+1,""))</f>
        <v/>
      </c>
      <c r="O480" s="291" t="str">
        <f>IF($A480="","",SUMIFS(Transactions!$H$2:$H$1001,Transactions!$J$2:$J$1001,$A480,Transactions!$A$2:$A$1001,2)*$I480)</f>
        <v/>
      </c>
      <c r="P480" s="291" t="str">
        <f t="shared" si="70"/>
        <v/>
      </c>
      <c r="Q480" s="292" t="str">
        <f t="shared" si="71"/>
        <v/>
      </c>
    </row>
    <row r="481" spans="1:17" ht="15" customHeight="1" x14ac:dyDescent="0.2">
      <c r="A481" s="243" t="str">
        <f>IFERROR(INDEX(Txn[Key],MATCH(0,INDEX(COUNTIF($A$1:A480,Txn[Key])+(Txn[Key]=""),0),0)),"")</f>
        <v/>
      </c>
      <c r="B481" s="243" t="str">
        <f t="shared" si="63"/>
        <v/>
      </c>
      <c r="C481" s="243" t="str">
        <f t="shared" si="64"/>
        <v/>
      </c>
      <c r="D481" s="243" t="str">
        <f t="shared" si="65"/>
        <v/>
      </c>
      <c r="E481" s="265" t="str">
        <f>IF($A481="","",SUMIFS(Txn[Signed Units],Txn[Key],$A481))</f>
        <v/>
      </c>
      <c r="F481" s="287" t="str">
        <f>IF($A481="","",SUMIFS(Txn[Buy Cost],Txn[Key],$A481))</f>
        <v/>
      </c>
      <c r="G481" s="287" t="str">
        <f>IF($A481="","",SUMIFS(Txn[Sell Proceeds],Txn[Key],$A481))</f>
        <v/>
      </c>
      <c r="H481" s="288" t="str">
        <f>IF($A481="","",IFERROR(INDEX(Prices[Current Price],MATCH($A481,Prices[Key],0)),0))</f>
        <v/>
      </c>
      <c r="I481" s="289" t="str">
        <f>IF($A481="","",IFERROR(INDEX(Prices[FX to SGD],MATCH($A481,Prices[Key],0)),1))</f>
        <v/>
      </c>
      <c r="J481" s="287" t="str">
        <f t="shared" si="66"/>
        <v/>
      </c>
      <c r="K481" s="287" t="str">
        <f t="shared" si="67"/>
        <v/>
      </c>
      <c r="L481" s="287" t="str">
        <f t="shared" si="68"/>
        <v/>
      </c>
      <c r="M481" s="290" t="str">
        <f t="shared" si="69"/>
        <v/>
      </c>
      <c r="N481" s="243" t="str">
        <f>IF($A481="","",IF(ABS(E481)&gt;0.000001,COUNT($N$1:N480)+1,""))</f>
        <v/>
      </c>
      <c r="O481" s="291" t="str">
        <f>IF($A481="","",SUMIFS(Transactions!$H$2:$H$1001,Transactions!$J$2:$J$1001,$A481,Transactions!$A$2:$A$1001,2)*$I481)</f>
        <v/>
      </c>
      <c r="P481" s="291" t="str">
        <f t="shared" si="70"/>
        <v/>
      </c>
      <c r="Q481" s="292" t="str">
        <f t="shared" si="71"/>
        <v/>
      </c>
    </row>
    <row r="482" spans="1:17" ht="15" customHeight="1" x14ac:dyDescent="0.2">
      <c r="A482" s="243" t="str">
        <f>IFERROR(INDEX(Txn[Key],MATCH(0,INDEX(COUNTIF($A$1:A481,Txn[Key])+(Txn[Key]=""),0),0)),"")</f>
        <v/>
      </c>
      <c r="B482" s="243" t="str">
        <f t="shared" si="63"/>
        <v/>
      </c>
      <c r="C482" s="243" t="str">
        <f t="shared" si="64"/>
        <v/>
      </c>
      <c r="D482" s="243" t="str">
        <f t="shared" si="65"/>
        <v/>
      </c>
      <c r="E482" s="265" t="str">
        <f>IF($A482="","",SUMIFS(Txn[Signed Units],Txn[Key],$A482))</f>
        <v/>
      </c>
      <c r="F482" s="287" t="str">
        <f>IF($A482="","",SUMIFS(Txn[Buy Cost],Txn[Key],$A482))</f>
        <v/>
      </c>
      <c r="G482" s="287" t="str">
        <f>IF($A482="","",SUMIFS(Txn[Sell Proceeds],Txn[Key],$A482))</f>
        <v/>
      </c>
      <c r="H482" s="288" t="str">
        <f>IF($A482="","",IFERROR(INDEX(Prices[Current Price],MATCH($A482,Prices[Key],0)),0))</f>
        <v/>
      </c>
      <c r="I482" s="289" t="str">
        <f>IF($A482="","",IFERROR(INDEX(Prices[FX to SGD],MATCH($A482,Prices[Key],0)),1))</f>
        <v/>
      </c>
      <c r="J482" s="287" t="str">
        <f t="shared" si="66"/>
        <v/>
      </c>
      <c r="K482" s="287" t="str">
        <f t="shared" si="67"/>
        <v/>
      </c>
      <c r="L482" s="287" t="str">
        <f t="shared" si="68"/>
        <v/>
      </c>
      <c r="M482" s="290" t="str">
        <f t="shared" si="69"/>
        <v/>
      </c>
      <c r="N482" s="243" t="str">
        <f>IF($A482="","",IF(ABS(E482)&gt;0.000001,COUNT($N$1:N481)+1,""))</f>
        <v/>
      </c>
      <c r="O482" s="291" t="str">
        <f>IF($A482="","",SUMIFS(Transactions!$H$2:$H$1001,Transactions!$J$2:$J$1001,$A482,Transactions!$A$2:$A$1001,2)*$I482)</f>
        <v/>
      </c>
      <c r="P482" s="291" t="str">
        <f t="shared" si="70"/>
        <v/>
      </c>
      <c r="Q482" s="292" t="str">
        <f t="shared" si="71"/>
        <v/>
      </c>
    </row>
    <row r="483" spans="1:17" ht="15" customHeight="1" x14ac:dyDescent="0.2">
      <c r="A483" s="243" t="str">
        <f>IFERROR(INDEX(Txn[Key],MATCH(0,INDEX(COUNTIF($A$1:A482,Txn[Key])+(Txn[Key]=""),0),0)),"")</f>
        <v/>
      </c>
      <c r="B483" s="243" t="str">
        <f t="shared" si="63"/>
        <v/>
      </c>
      <c r="C483" s="243" t="str">
        <f t="shared" si="64"/>
        <v/>
      </c>
      <c r="D483" s="243" t="str">
        <f t="shared" si="65"/>
        <v/>
      </c>
      <c r="E483" s="265" t="str">
        <f>IF($A483="","",SUMIFS(Txn[Signed Units],Txn[Key],$A483))</f>
        <v/>
      </c>
      <c r="F483" s="287" t="str">
        <f>IF($A483="","",SUMIFS(Txn[Buy Cost],Txn[Key],$A483))</f>
        <v/>
      </c>
      <c r="G483" s="287" t="str">
        <f>IF($A483="","",SUMIFS(Txn[Sell Proceeds],Txn[Key],$A483))</f>
        <v/>
      </c>
      <c r="H483" s="288" t="str">
        <f>IF($A483="","",IFERROR(INDEX(Prices[Current Price],MATCH($A483,Prices[Key],0)),0))</f>
        <v/>
      </c>
      <c r="I483" s="289" t="str">
        <f>IF($A483="","",IFERROR(INDEX(Prices[FX to SGD],MATCH($A483,Prices[Key],0)),1))</f>
        <v/>
      </c>
      <c r="J483" s="287" t="str">
        <f t="shared" si="66"/>
        <v/>
      </c>
      <c r="K483" s="287" t="str">
        <f t="shared" si="67"/>
        <v/>
      </c>
      <c r="L483" s="287" t="str">
        <f t="shared" si="68"/>
        <v/>
      </c>
      <c r="M483" s="290" t="str">
        <f t="shared" si="69"/>
        <v/>
      </c>
      <c r="N483" s="243" t="str">
        <f>IF($A483="","",IF(ABS(E483)&gt;0.000001,COUNT($N$1:N482)+1,""))</f>
        <v/>
      </c>
      <c r="O483" s="291" t="str">
        <f>IF($A483="","",SUMIFS(Transactions!$H$2:$H$1001,Transactions!$J$2:$J$1001,$A483,Transactions!$A$2:$A$1001,2)*$I483)</f>
        <v/>
      </c>
      <c r="P483" s="291" t="str">
        <f t="shared" si="70"/>
        <v/>
      </c>
      <c r="Q483" s="292" t="str">
        <f t="shared" si="71"/>
        <v/>
      </c>
    </row>
    <row r="484" spans="1:17" ht="15" customHeight="1" x14ac:dyDescent="0.2">
      <c r="A484" s="243" t="str">
        <f>IFERROR(INDEX(Txn[Key],MATCH(0,INDEX(COUNTIF($A$1:A483,Txn[Key])+(Txn[Key]=""),0),0)),"")</f>
        <v/>
      </c>
      <c r="B484" s="243" t="str">
        <f t="shared" si="63"/>
        <v/>
      </c>
      <c r="C484" s="243" t="str">
        <f t="shared" si="64"/>
        <v/>
      </c>
      <c r="D484" s="243" t="str">
        <f t="shared" si="65"/>
        <v/>
      </c>
      <c r="E484" s="265" t="str">
        <f>IF($A484="","",SUMIFS(Txn[Signed Units],Txn[Key],$A484))</f>
        <v/>
      </c>
      <c r="F484" s="287" t="str">
        <f>IF($A484="","",SUMIFS(Txn[Buy Cost],Txn[Key],$A484))</f>
        <v/>
      </c>
      <c r="G484" s="287" t="str">
        <f>IF($A484="","",SUMIFS(Txn[Sell Proceeds],Txn[Key],$A484))</f>
        <v/>
      </c>
      <c r="H484" s="288" t="str">
        <f>IF($A484="","",IFERROR(INDEX(Prices[Current Price],MATCH($A484,Prices[Key],0)),0))</f>
        <v/>
      </c>
      <c r="I484" s="289" t="str">
        <f>IF($A484="","",IFERROR(INDEX(Prices[FX to SGD],MATCH($A484,Prices[Key],0)),1))</f>
        <v/>
      </c>
      <c r="J484" s="287" t="str">
        <f t="shared" si="66"/>
        <v/>
      </c>
      <c r="K484" s="287" t="str">
        <f t="shared" si="67"/>
        <v/>
      </c>
      <c r="L484" s="287" t="str">
        <f t="shared" si="68"/>
        <v/>
      </c>
      <c r="M484" s="290" t="str">
        <f t="shared" si="69"/>
        <v/>
      </c>
      <c r="N484" s="243" t="str">
        <f>IF($A484="","",IF(ABS(E484)&gt;0.000001,COUNT($N$1:N483)+1,""))</f>
        <v/>
      </c>
      <c r="O484" s="291" t="str">
        <f>IF($A484="","",SUMIFS(Transactions!$H$2:$H$1001,Transactions!$J$2:$J$1001,$A484,Transactions!$A$2:$A$1001,2)*$I484)</f>
        <v/>
      </c>
      <c r="P484" s="291" t="str">
        <f t="shared" si="70"/>
        <v/>
      </c>
      <c r="Q484" s="292" t="str">
        <f t="shared" si="71"/>
        <v/>
      </c>
    </row>
    <row r="485" spans="1:17" ht="15" customHeight="1" x14ac:dyDescent="0.2">
      <c r="A485" s="243" t="str">
        <f>IFERROR(INDEX(Txn[Key],MATCH(0,INDEX(COUNTIF($A$1:A484,Txn[Key])+(Txn[Key]=""),0),0)),"")</f>
        <v/>
      </c>
      <c r="B485" s="243" t="str">
        <f t="shared" si="63"/>
        <v/>
      </c>
      <c r="C485" s="243" t="str">
        <f t="shared" si="64"/>
        <v/>
      </c>
      <c r="D485" s="243" t="str">
        <f t="shared" si="65"/>
        <v/>
      </c>
      <c r="E485" s="265" t="str">
        <f>IF($A485="","",SUMIFS(Txn[Signed Units],Txn[Key],$A485))</f>
        <v/>
      </c>
      <c r="F485" s="287" t="str">
        <f>IF($A485="","",SUMIFS(Txn[Buy Cost],Txn[Key],$A485))</f>
        <v/>
      </c>
      <c r="G485" s="287" t="str">
        <f>IF($A485="","",SUMIFS(Txn[Sell Proceeds],Txn[Key],$A485))</f>
        <v/>
      </c>
      <c r="H485" s="288" t="str">
        <f>IF($A485="","",IFERROR(INDEX(Prices[Current Price],MATCH($A485,Prices[Key],0)),0))</f>
        <v/>
      </c>
      <c r="I485" s="289" t="str">
        <f>IF($A485="","",IFERROR(INDEX(Prices[FX to SGD],MATCH($A485,Prices[Key],0)),1))</f>
        <v/>
      </c>
      <c r="J485" s="287" t="str">
        <f t="shared" si="66"/>
        <v/>
      </c>
      <c r="K485" s="287" t="str">
        <f t="shared" si="67"/>
        <v/>
      </c>
      <c r="L485" s="287" t="str">
        <f t="shared" si="68"/>
        <v/>
      </c>
      <c r="M485" s="290" t="str">
        <f t="shared" si="69"/>
        <v/>
      </c>
      <c r="N485" s="243" t="str">
        <f>IF($A485="","",IF(ABS(E485)&gt;0.000001,COUNT($N$1:N484)+1,""))</f>
        <v/>
      </c>
      <c r="O485" s="291" t="str">
        <f>IF($A485="","",SUMIFS(Transactions!$H$2:$H$1001,Transactions!$J$2:$J$1001,$A485,Transactions!$A$2:$A$1001,2)*$I485)</f>
        <v/>
      </c>
      <c r="P485" s="291" t="str">
        <f t="shared" si="70"/>
        <v/>
      </c>
      <c r="Q485" s="292" t="str">
        <f t="shared" si="71"/>
        <v/>
      </c>
    </row>
    <row r="486" spans="1:17" ht="15" customHeight="1" x14ac:dyDescent="0.2">
      <c r="A486" s="243" t="str">
        <f>IFERROR(INDEX(Txn[Key],MATCH(0,INDEX(COUNTIF($A$1:A485,Txn[Key])+(Txn[Key]=""),0),0)),"")</f>
        <v/>
      </c>
      <c r="B486" s="243" t="str">
        <f t="shared" si="63"/>
        <v/>
      </c>
      <c r="C486" s="243" t="str">
        <f t="shared" si="64"/>
        <v/>
      </c>
      <c r="D486" s="243" t="str">
        <f t="shared" si="65"/>
        <v/>
      </c>
      <c r="E486" s="265" t="str">
        <f>IF($A486="","",SUMIFS(Txn[Signed Units],Txn[Key],$A486))</f>
        <v/>
      </c>
      <c r="F486" s="287" t="str">
        <f>IF($A486="","",SUMIFS(Txn[Buy Cost],Txn[Key],$A486))</f>
        <v/>
      </c>
      <c r="G486" s="287" t="str">
        <f>IF($A486="","",SUMIFS(Txn[Sell Proceeds],Txn[Key],$A486))</f>
        <v/>
      </c>
      <c r="H486" s="288" t="str">
        <f>IF($A486="","",IFERROR(INDEX(Prices[Current Price],MATCH($A486,Prices[Key],0)),0))</f>
        <v/>
      </c>
      <c r="I486" s="289" t="str">
        <f>IF($A486="","",IFERROR(INDEX(Prices[FX to SGD],MATCH($A486,Prices[Key],0)),1))</f>
        <v/>
      </c>
      <c r="J486" s="287" t="str">
        <f t="shared" si="66"/>
        <v/>
      </c>
      <c r="K486" s="287" t="str">
        <f t="shared" si="67"/>
        <v/>
      </c>
      <c r="L486" s="287" t="str">
        <f t="shared" si="68"/>
        <v/>
      </c>
      <c r="M486" s="290" t="str">
        <f t="shared" si="69"/>
        <v/>
      </c>
      <c r="N486" s="243" t="str">
        <f>IF($A486="","",IF(ABS(E486)&gt;0.000001,COUNT($N$1:N485)+1,""))</f>
        <v/>
      </c>
      <c r="O486" s="291" t="str">
        <f>IF($A486="","",SUMIFS(Transactions!$H$2:$H$1001,Transactions!$J$2:$J$1001,$A486,Transactions!$A$2:$A$1001,2)*$I486)</f>
        <v/>
      </c>
      <c r="P486" s="291" t="str">
        <f t="shared" si="70"/>
        <v/>
      </c>
      <c r="Q486" s="292" t="str">
        <f t="shared" si="71"/>
        <v/>
      </c>
    </row>
    <row r="487" spans="1:17" ht="15" customHeight="1" x14ac:dyDescent="0.2">
      <c r="A487" s="243" t="str">
        <f>IFERROR(INDEX(Txn[Key],MATCH(0,INDEX(COUNTIF($A$1:A486,Txn[Key])+(Txn[Key]=""),0),0)),"")</f>
        <v/>
      </c>
      <c r="B487" s="243" t="str">
        <f t="shared" si="63"/>
        <v/>
      </c>
      <c r="C487" s="243" t="str">
        <f t="shared" si="64"/>
        <v/>
      </c>
      <c r="D487" s="243" t="str">
        <f t="shared" si="65"/>
        <v/>
      </c>
      <c r="E487" s="265" t="str">
        <f>IF($A487="","",SUMIFS(Txn[Signed Units],Txn[Key],$A487))</f>
        <v/>
      </c>
      <c r="F487" s="287" t="str">
        <f>IF($A487="","",SUMIFS(Txn[Buy Cost],Txn[Key],$A487))</f>
        <v/>
      </c>
      <c r="G487" s="287" t="str">
        <f>IF($A487="","",SUMIFS(Txn[Sell Proceeds],Txn[Key],$A487))</f>
        <v/>
      </c>
      <c r="H487" s="288" t="str">
        <f>IF($A487="","",IFERROR(INDEX(Prices[Current Price],MATCH($A487,Prices[Key],0)),0))</f>
        <v/>
      </c>
      <c r="I487" s="289" t="str">
        <f>IF($A487="","",IFERROR(INDEX(Prices[FX to SGD],MATCH($A487,Prices[Key],0)),1))</f>
        <v/>
      </c>
      <c r="J487" s="287" t="str">
        <f t="shared" si="66"/>
        <v/>
      </c>
      <c r="K487" s="287" t="str">
        <f t="shared" si="67"/>
        <v/>
      </c>
      <c r="L487" s="287" t="str">
        <f t="shared" si="68"/>
        <v/>
      </c>
      <c r="M487" s="290" t="str">
        <f t="shared" si="69"/>
        <v/>
      </c>
      <c r="N487" s="243" t="str">
        <f>IF($A487="","",IF(ABS(E487)&gt;0.000001,COUNT($N$1:N486)+1,""))</f>
        <v/>
      </c>
      <c r="O487" s="291" t="str">
        <f>IF($A487="","",SUMIFS(Transactions!$H$2:$H$1001,Transactions!$J$2:$J$1001,$A487,Transactions!$A$2:$A$1001,2)*$I487)</f>
        <v/>
      </c>
      <c r="P487" s="291" t="str">
        <f t="shared" si="70"/>
        <v/>
      </c>
      <c r="Q487" s="292" t="str">
        <f t="shared" si="71"/>
        <v/>
      </c>
    </row>
    <row r="488" spans="1:17" ht="15" customHeight="1" x14ac:dyDescent="0.2">
      <c r="A488" s="243" t="str">
        <f>IFERROR(INDEX(Txn[Key],MATCH(0,INDEX(COUNTIF($A$1:A487,Txn[Key])+(Txn[Key]=""),0),0)),"")</f>
        <v/>
      </c>
      <c r="B488" s="243" t="str">
        <f t="shared" si="63"/>
        <v/>
      </c>
      <c r="C488" s="243" t="str">
        <f t="shared" si="64"/>
        <v/>
      </c>
      <c r="D488" s="243" t="str">
        <f t="shared" si="65"/>
        <v/>
      </c>
      <c r="E488" s="265" t="str">
        <f>IF($A488="","",SUMIFS(Txn[Signed Units],Txn[Key],$A488))</f>
        <v/>
      </c>
      <c r="F488" s="287" t="str">
        <f>IF($A488="","",SUMIFS(Txn[Buy Cost],Txn[Key],$A488))</f>
        <v/>
      </c>
      <c r="G488" s="287" t="str">
        <f>IF($A488="","",SUMIFS(Txn[Sell Proceeds],Txn[Key],$A488))</f>
        <v/>
      </c>
      <c r="H488" s="288" t="str">
        <f>IF($A488="","",IFERROR(INDEX(Prices[Current Price],MATCH($A488,Prices[Key],0)),0))</f>
        <v/>
      </c>
      <c r="I488" s="289" t="str">
        <f>IF($A488="","",IFERROR(INDEX(Prices[FX to SGD],MATCH($A488,Prices[Key],0)),1))</f>
        <v/>
      </c>
      <c r="J488" s="287" t="str">
        <f t="shared" si="66"/>
        <v/>
      </c>
      <c r="K488" s="287" t="str">
        <f t="shared" si="67"/>
        <v/>
      </c>
      <c r="L488" s="287" t="str">
        <f t="shared" si="68"/>
        <v/>
      </c>
      <c r="M488" s="290" t="str">
        <f t="shared" si="69"/>
        <v/>
      </c>
      <c r="N488" s="243" t="str">
        <f>IF($A488="","",IF(ABS(E488)&gt;0.000001,COUNT($N$1:N487)+1,""))</f>
        <v/>
      </c>
      <c r="O488" s="291" t="str">
        <f>IF($A488="","",SUMIFS(Transactions!$H$2:$H$1001,Transactions!$J$2:$J$1001,$A488,Transactions!$A$2:$A$1001,2)*$I488)</f>
        <v/>
      </c>
      <c r="P488" s="291" t="str">
        <f t="shared" si="70"/>
        <v/>
      </c>
      <c r="Q488" s="292" t="str">
        <f t="shared" si="71"/>
        <v/>
      </c>
    </row>
    <row r="489" spans="1:17" ht="15" customHeight="1" x14ac:dyDescent="0.2">
      <c r="A489" s="243" t="str">
        <f>IFERROR(INDEX(Txn[Key],MATCH(0,INDEX(COUNTIF($A$1:A488,Txn[Key])+(Txn[Key]=""),0),0)),"")</f>
        <v/>
      </c>
      <c r="B489" s="243" t="str">
        <f t="shared" si="63"/>
        <v/>
      </c>
      <c r="C489" s="243" t="str">
        <f t="shared" si="64"/>
        <v/>
      </c>
      <c r="D489" s="243" t="str">
        <f t="shared" si="65"/>
        <v/>
      </c>
      <c r="E489" s="265" t="str">
        <f>IF($A489="","",SUMIFS(Txn[Signed Units],Txn[Key],$A489))</f>
        <v/>
      </c>
      <c r="F489" s="287" t="str">
        <f>IF($A489="","",SUMIFS(Txn[Buy Cost],Txn[Key],$A489))</f>
        <v/>
      </c>
      <c r="G489" s="287" t="str">
        <f>IF($A489="","",SUMIFS(Txn[Sell Proceeds],Txn[Key],$A489))</f>
        <v/>
      </c>
      <c r="H489" s="288" t="str">
        <f>IF($A489="","",IFERROR(INDEX(Prices[Current Price],MATCH($A489,Prices[Key],0)),0))</f>
        <v/>
      </c>
      <c r="I489" s="289" t="str">
        <f>IF($A489="","",IFERROR(INDEX(Prices[FX to SGD],MATCH($A489,Prices[Key],0)),1))</f>
        <v/>
      </c>
      <c r="J489" s="287" t="str">
        <f t="shared" si="66"/>
        <v/>
      </c>
      <c r="K489" s="287" t="str">
        <f t="shared" si="67"/>
        <v/>
      </c>
      <c r="L489" s="287" t="str">
        <f t="shared" si="68"/>
        <v/>
      </c>
      <c r="M489" s="290" t="str">
        <f t="shared" si="69"/>
        <v/>
      </c>
      <c r="N489" s="243" t="str">
        <f>IF($A489="","",IF(ABS(E489)&gt;0.000001,COUNT($N$1:N488)+1,""))</f>
        <v/>
      </c>
      <c r="O489" s="291" t="str">
        <f>IF($A489="","",SUMIFS(Transactions!$H$2:$H$1001,Transactions!$J$2:$J$1001,$A489,Transactions!$A$2:$A$1001,2)*$I489)</f>
        <v/>
      </c>
      <c r="P489" s="291" t="str">
        <f t="shared" si="70"/>
        <v/>
      </c>
      <c r="Q489" s="292" t="str">
        <f t="shared" si="71"/>
        <v/>
      </c>
    </row>
    <row r="490" spans="1:17" ht="15" customHeight="1" x14ac:dyDescent="0.2">
      <c r="A490" s="243" t="str">
        <f>IFERROR(INDEX(Txn[Key],MATCH(0,INDEX(COUNTIF($A$1:A489,Txn[Key])+(Txn[Key]=""),0),0)),"")</f>
        <v/>
      </c>
      <c r="B490" s="243" t="str">
        <f t="shared" si="63"/>
        <v/>
      </c>
      <c r="C490" s="243" t="str">
        <f t="shared" si="64"/>
        <v/>
      </c>
      <c r="D490" s="243" t="str">
        <f t="shared" si="65"/>
        <v/>
      </c>
      <c r="E490" s="265" t="str">
        <f>IF($A490="","",SUMIFS(Txn[Signed Units],Txn[Key],$A490))</f>
        <v/>
      </c>
      <c r="F490" s="287" t="str">
        <f>IF($A490="","",SUMIFS(Txn[Buy Cost],Txn[Key],$A490))</f>
        <v/>
      </c>
      <c r="G490" s="287" t="str">
        <f>IF($A490="","",SUMIFS(Txn[Sell Proceeds],Txn[Key],$A490))</f>
        <v/>
      </c>
      <c r="H490" s="288" t="str">
        <f>IF($A490="","",IFERROR(INDEX(Prices[Current Price],MATCH($A490,Prices[Key],0)),0))</f>
        <v/>
      </c>
      <c r="I490" s="289" t="str">
        <f>IF($A490="","",IFERROR(INDEX(Prices[FX to SGD],MATCH($A490,Prices[Key],0)),1))</f>
        <v/>
      </c>
      <c r="J490" s="287" t="str">
        <f t="shared" si="66"/>
        <v/>
      </c>
      <c r="K490" s="287" t="str">
        <f t="shared" si="67"/>
        <v/>
      </c>
      <c r="L490" s="287" t="str">
        <f t="shared" si="68"/>
        <v/>
      </c>
      <c r="M490" s="290" t="str">
        <f t="shared" si="69"/>
        <v/>
      </c>
      <c r="N490" s="243" t="str">
        <f>IF($A490="","",IF(ABS(E490)&gt;0.000001,COUNT($N$1:N489)+1,""))</f>
        <v/>
      </c>
      <c r="O490" s="291" t="str">
        <f>IF($A490="","",SUMIFS(Transactions!$H$2:$H$1001,Transactions!$J$2:$J$1001,$A490,Transactions!$A$2:$A$1001,2)*$I490)</f>
        <v/>
      </c>
      <c r="P490" s="291" t="str">
        <f t="shared" si="70"/>
        <v/>
      </c>
      <c r="Q490" s="292" t="str">
        <f t="shared" si="71"/>
        <v/>
      </c>
    </row>
    <row r="491" spans="1:17" ht="15" customHeight="1" x14ac:dyDescent="0.2">
      <c r="A491" s="243" t="str">
        <f>IFERROR(INDEX(Txn[Key],MATCH(0,INDEX(COUNTIF($A$1:A490,Txn[Key])+(Txn[Key]=""),0),0)),"")</f>
        <v/>
      </c>
      <c r="B491" s="243" t="str">
        <f t="shared" si="63"/>
        <v/>
      </c>
      <c r="C491" s="243" t="str">
        <f t="shared" si="64"/>
        <v/>
      </c>
      <c r="D491" s="243" t="str">
        <f t="shared" si="65"/>
        <v/>
      </c>
      <c r="E491" s="265" t="str">
        <f>IF($A491="","",SUMIFS(Txn[Signed Units],Txn[Key],$A491))</f>
        <v/>
      </c>
      <c r="F491" s="287" t="str">
        <f>IF($A491="","",SUMIFS(Txn[Buy Cost],Txn[Key],$A491))</f>
        <v/>
      </c>
      <c r="G491" s="287" t="str">
        <f>IF($A491="","",SUMIFS(Txn[Sell Proceeds],Txn[Key],$A491))</f>
        <v/>
      </c>
      <c r="H491" s="288" t="str">
        <f>IF($A491="","",IFERROR(INDEX(Prices[Current Price],MATCH($A491,Prices[Key],0)),0))</f>
        <v/>
      </c>
      <c r="I491" s="289" t="str">
        <f>IF($A491="","",IFERROR(INDEX(Prices[FX to SGD],MATCH($A491,Prices[Key],0)),1))</f>
        <v/>
      </c>
      <c r="J491" s="287" t="str">
        <f t="shared" si="66"/>
        <v/>
      </c>
      <c r="K491" s="287" t="str">
        <f t="shared" si="67"/>
        <v/>
      </c>
      <c r="L491" s="287" t="str">
        <f t="shared" si="68"/>
        <v/>
      </c>
      <c r="M491" s="290" t="str">
        <f t="shared" si="69"/>
        <v/>
      </c>
      <c r="N491" s="243" t="str">
        <f>IF($A491="","",IF(ABS(E491)&gt;0.000001,COUNT($N$1:N490)+1,""))</f>
        <v/>
      </c>
      <c r="O491" s="291" t="str">
        <f>IF($A491="","",SUMIFS(Transactions!$H$2:$H$1001,Transactions!$J$2:$J$1001,$A491,Transactions!$A$2:$A$1001,2)*$I491)</f>
        <v/>
      </c>
      <c r="P491" s="291" t="str">
        <f t="shared" si="70"/>
        <v/>
      </c>
      <c r="Q491" s="292" t="str">
        <f t="shared" si="71"/>
        <v/>
      </c>
    </row>
    <row r="492" spans="1:17" ht="15" customHeight="1" x14ac:dyDescent="0.2">
      <c r="A492" s="243" t="str">
        <f>IFERROR(INDEX(Txn[Key],MATCH(0,INDEX(COUNTIF($A$1:A491,Txn[Key])+(Txn[Key]=""),0),0)),"")</f>
        <v/>
      </c>
      <c r="B492" s="243" t="str">
        <f t="shared" si="63"/>
        <v/>
      </c>
      <c r="C492" s="243" t="str">
        <f t="shared" si="64"/>
        <v/>
      </c>
      <c r="D492" s="243" t="str">
        <f t="shared" si="65"/>
        <v/>
      </c>
      <c r="E492" s="265" t="str">
        <f>IF($A492="","",SUMIFS(Txn[Signed Units],Txn[Key],$A492))</f>
        <v/>
      </c>
      <c r="F492" s="287" t="str">
        <f>IF($A492="","",SUMIFS(Txn[Buy Cost],Txn[Key],$A492))</f>
        <v/>
      </c>
      <c r="G492" s="287" t="str">
        <f>IF($A492="","",SUMIFS(Txn[Sell Proceeds],Txn[Key],$A492))</f>
        <v/>
      </c>
      <c r="H492" s="288" t="str">
        <f>IF($A492="","",IFERROR(INDEX(Prices[Current Price],MATCH($A492,Prices[Key],0)),0))</f>
        <v/>
      </c>
      <c r="I492" s="289" t="str">
        <f>IF($A492="","",IFERROR(INDEX(Prices[FX to SGD],MATCH($A492,Prices[Key],0)),1))</f>
        <v/>
      </c>
      <c r="J492" s="287" t="str">
        <f t="shared" si="66"/>
        <v/>
      </c>
      <c r="K492" s="287" t="str">
        <f t="shared" si="67"/>
        <v/>
      </c>
      <c r="L492" s="287" t="str">
        <f t="shared" si="68"/>
        <v/>
      </c>
      <c r="M492" s="290" t="str">
        <f t="shared" si="69"/>
        <v/>
      </c>
      <c r="N492" s="243" t="str">
        <f>IF($A492="","",IF(ABS(E492)&gt;0.000001,COUNT($N$1:N491)+1,""))</f>
        <v/>
      </c>
      <c r="O492" s="291" t="str">
        <f>IF($A492="","",SUMIFS(Transactions!$H$2:$H$1001,Transactions!$J$2:$J$1001,$A492,Transactions!$A$2:$A$1001,2)*$I492)</f>
        <v/>
      </c>
      <c r="P492" s="291" t="str">
        <f t="shared" si="70"/>
        <v/>
      </c>
      <c r="Q492" s="292" t="str">
        <f t="shared" si="71"/>
        <v/>
      </c>
    </row>
    <row r="493" spans="1:17" ht="15" customHeight="1" x14ac:dyDescent="0.2">
      <c r="A493" s="243" t="str">
        <f>IFERROR(INDEX(Txn[Key],MATCH(0,INDEX(COUNTIF($A$1:A492,Txn[Key])+(Txn[Key]=""),0),0)),"")</f>
        <v/>
      </c>
      <c r="B493" s="243" t="str">
        <f t="shared" si="63"/>
        <v/>
      </c>
      <c r="C493" s="243" t="str">
        <f t="shared" si="64"/>
        <v/>
      </c>
      <c r="D493" s="243" t="str">
        <f t="shared" si="65"/>
        <v/>
      </c>
      <c r="E493" s="265" t="str">
        <f>IF($A493="","",SUMIFS(Txn[Signed Units],Txn[Key],$A493))</f>
        <v/>
      </c>
      <c r="F493" s="287" t="str">
        <f>IF($A493="","",SUMIFS(Txn[Buy Cost],Txn[Key],$A493))</f>
        <v/>
      </c>
      <c r="G493" s="287" t="str">
        <f>IF($A493="","",SUMIFS(Txn[Sell Proceeds],Txn[Key],$A493))</f>
        <v/>
      </c>
      <c r="H493" s="288" t="str">
        <f>IF($A493="","",IFERROR(INDEX(Prices[Current Price],MATCH($A493,Prices[Key],0)),0))</f>
        <v/>
      </c>
      <c r="I493" s="289" t="str">
        <f>IF($A493="","",IFERROR(INDEX(Prices[FX to SGD],MATCH($A493,Prices[Key],0)),1))</f>
        <v/>
      </c>
      <c r="J493" s="287" t="str">
        <f t="shared" si="66"/>
        <v/>
      </c>
      <c r="K493" s="287" t="str">
        <f t="shared" si="67"/>
        <v/>
      </c>
      <c r="L493" s="287" t="str">
        <f t="shared" si="68"/>
        <v/>
      </c>
      <c r="M493" s="290" t="str">
        <f t="shared" si="69"/>
        <v/>
      </c>
      <c r="N493" s="243" t="str">
        <f>IF($A493="","",IF(ABS(E493)&gt;0.000001,COUNT($N$1:N492)+1,""))</f>
        <v/>
      </c>
      <c r="O493" s="291" t="str">
        <f>IF($A493="","",SUMIFS(Transactions!$H$2:$H$1001,Transactions!$J$2:$J$1001,$A493,Transactions!$A$2:$A$1001,2)*$I493)</f>
        <v/>
      </c>
      <c r="P493" s="291" t="str">
        <f t="shared" si="70"/>
        <v/>
      </c>
      <c r="Q493" s="292" t="str">
        <f t="shared" si="71"/>
        <v/>
      </c>
    </row>
    <row r="494" spans="1:17" ht="15" customHeight="1" x14ac:dyDescent="0.2">
      <c r="A494" s="243" t="str">
        <f>IFERROR(INDEX(Txn[Key],MATCH(0,INDEX(COUNTIF($A$1:A493,Txn[Key])+(Txn[Key]=""),0),0)),"")</f>
        <v/>
      </c>
      <c r="B494" s="243" t="str">
        <f t="shared" si="63"/>
        <v/>
      </c>
      <c r="C494" s="243" t="str">
        <f t="shared" si="64"/>
        <v/>
      </c>
      <c r="D494" s="243" t="str">
        <f t="shared" si="65"/>
        <v/>
      </c>
      <c r="E494" s="265" t="str">
        <f>IF($A494="","",SUMIFS(Txn[Signed Units],Txn[Key],$A494))</f>
        <v/>
      </c>
      <c r="F494" s="287" t="str">
        <f>IF($A494="","",SUMIFS(Txn[Buy Cost],Txn[Key],$A494))</f>
        <v/>
      </c>
      <c r="G494" s="287" t="str">
        <f>IF($A494="","",SUMIFS(Txn[Sell Proceeds],Txn[Key],$A494))</f>
        <v/>
      </c>
      <c r="H494" s="288" t="str">
        <f>IF($A494="","",IFERROR(INDEX(Prices[Current Price],MATCH($A494,Prices[Key],0)),0))</f>
        <v/>
      </c>
      <c r="I494" s="289" t="str">
        <f>IF($A494="","",IFERROR(INDEX(Prices[FX to SGD],MATCH($A494,Prices[Key],0)),1))</f>
        <v/>
      </c>
      <c r="J494" s="287" t="str">
        <f t="shared" si="66"/>
        <v/>
      </c>
      <c r="K494" s="287" t="str">
        <f t="shared" si="67"/>
        <v/>
      </c>
      <c r="L494" s="287" t="str">
        <f t="shared" si="68"/>
        <v/>
      </c>
      <c r="M494" s="290" t="str">
        <f t="shared" si="69"/>
        <v/>
      </c>
      <c r="N494" s="243" t="str">
        <f>IF($A494="","",IF(ABS(E494)&gt;0.000001,COUNT($N$1:N493)+1,""))</f>
        <v/>
      </c>
      <c r="O494" s="291" t="str">
        <f>IF($A494="","",SUMIFS(Transactions!$H$2:$H$1001,Transactions!$J$2:$J$1001,$A494,Transactions!$A$2:$A$1001,2)*$I494)</f>
        <v/>
      </c>
      <c r="P494" s="291" t="str">
        <f t="shared" si="70"/>
        <v/>
      </c>
      <c r="Q494" s="292" t="str">
        <f t="shared" si="71"/>
        <v/>
      </c>
    </row>
    <row r="495" spans="1:17" ht="15" customHeight="1" x14ac:dyDescent="0.2">
      <c r="A495" s="243" t="str">
        <f>IFERROR(INDEX(Txn[Key],MATCH(0,INDEX(COUNTIF($A$1:A494,Txn[Key])+(Txn[Key]=""),0),0)),"")</f>
        <v/>
      </c>
      <c r="B495" s="243" t="str">
        <f t="shared" si="63"/>
        <v/>
      </c>
      <c r="C495" s="243" t="str">
        <f t="shared" si="64"/>
        <v/>
      </c>
      <c r="D495" s="243" t="str">
        <f t="shared" si="65"/>
        <v/>
      </c>
      <c r="E495" s="265" t="str">
        <f>IF($A495="","",SUMIFS(Txn[Signed Units],Txn[Key],$A495))</f>
        <v/>
      </c>
      <c r="F495" s="287" t="str">
        <f>IF($A495="","",SUMIFS(Txn[Buy Cost],Txn[Key],$A495))</f>
        <v/>
      </c>
      <c r="G495" s="287" t="str">
        <f>IF($A495="","",SUMIFS(Txn[Sell Proceeds],Txn[Key],$A495))</f>
        <v/>
      </c>
      <c r="H495" s="288" t="str">
        <f>IF($A495="","",IFERROR(INDEX(Prices[Current Price],MATCH($A495,Prices[Key],0)),0))</f>
        <v/>
      </c>
      <c r="I495" s="289" t="str">
        <f>IF($A495="","",IFERROR(INDEX(Prices[FX to SGD],MATCH($A495,Prices[Key],0)),1))</f>
        <v/>
      </c>
      <c r="J495" s="287" t="str">
        <f t="shared" si="66"/>
        <v/>
      </c>
      <c r="K495" s="287" t="str">
        <f t="shared" si="67"/>
        <v/>
      </c>
      <c r="L495" s="287" t="str">
        <f t="shared" si="68"/>
        <v/>
      </c>
      <c r="M495" s="290" t="str">
        <f t="shared" si="69"/>
        <v/>
      </c>
      <c r="N495" s="243" t="str">
        <f>IF($A495="","",IF(ABS(E495)&gt;0.000001,COUNT($N$1:N494)+1,""))</f>
        <v/>
      </c>
      <c r="O495" s="291" t="str">
        <f>IF($A495="","",SUMIFS(Transactions!$H$2:$H$1001,Transactions!$J$2:$J$1001,$A495,Transactions!$A$2:$A$1001,2)*$I495)</f>
        <v/>
      </c>
      <c r="P495" s="291" t="str">
        <f t="shared" si="70"/>
        <v/>
      </c>
      <c r="Q495" s="292" t="str">
        <f t="shared" si="71"/>
        <v/>
      </c>
    </row>
    <row r="496" spans="1:17" ht="15" customHeight="1" x14ac:dyDescent="0.2">
      <c r="A496" s="243" t="str">
        <f>IFERROR(INDEX(Txn[Key],MATCH(0,INDEX(COUNTIF($A$1:A495,Txn[Key])+(Txn[Key]=""),0),0)),"")</f>
        <v/>
      </c>
      <c r="B496" s="243" t="str">
        <f t="shared" si="63"/>
        <v/>
      </c>
      <c r="C496" s="243" t="str">
        <f t="shared" si="64"/>
        <v/>
      </c>
      <c r="D496" s="243" t="str">
        <f t="shared" si="65"/>
        <v/>
      </c>
      <c r="E496" s="265" t="str">
        <f>IF($A496="","",SUMIFS(Txn[Signed Units],Txn[Key],$A496))</f>
        <v/>
      </c>
      <c r="F496" s="287" t="str">
        <f>IF($A496="","",SUMIFS(Txn[Buy Cost],Txn[Key],$A496))</f>
        <v/>
      </c>
      <c r="G496" s="287" t="str">
        <f>IF($A496="","",SUMIFS(Txn[Sell Proceeds],Txn[Key],$A496))</f>
        <v/>
      </c>
      <c r="H496" s="288" t="str">
        <f>IF($A496="","",IFERROR(INDEX(Prices[Current Price],MATCH($A496,Prices[Key],0)),0))</f>
        <v/>
      </c>
      <c r="I496" s="289" t="str">
        <f>IF($A496="","",IFERROR(INDEX(Prices[FX to SGD],MATCH($A496,Prices[Key],0)),1))</f>
        <v/>
      </c>
      <c r="J496" s="287" t="str">
        <f t="shared" si="66"/>
        <v/>
      </c>
      <c r="K496" s="287" t="str">
        <f t="shared" si="67"/>
        <v/>
      </c>
      <c r="L496" s="287" t="str">
        <f t="shared" si="68"/>
        <v/>
      </c>
      <c r="M496" s="290" t="str">
        <f t="shared" si="69"/>
        <v/>
      </c>
      <c r="N496" s="243" t="str">
        <f>IF($A496="","",IF(ABS(E496)&gt;0.000001,COUNT($N$1:N495)+1,""))</f>
        <v/>
      </c>
      <c r="O496" s="291" t="str">
        <f>IF($A496="","",SUMIFS(Transactions!$H$2:$H$1001,Transactions!$J$2:$J$1001,$A496,Transactions!$A$2:$A$1001,2)*$I496)</f>
        <v/>
      </c>
      <c r="P496" s="291" t="str">
        <f t="shared" si="70"/>
        <v/>
      </c>
      <c r="Q496" s="292" t="str">
        <f t="shared" si="71"/>
        <v/>
      </c>
    </row>
    <row r="497" spans="1:17" ht="15" customHeight="1" x14ac:dyDescent="0.2">
      <c r="A497" s="243" t="str">
        <f>IFERROR(INDEX(Txn[Key],MATCH(0,INDEX(COUNTIF($A$1:A496,Txn[Key])+(Txn[Key]=""),0),0)),"")</f>
        <v/>
      </c>
      <c r="B497" s="243" t="str">
        <f t="shared" si="63"/>
        <v/>
      </c>
      <c r="C497" s="243" t="str">
        <f t="shared" si="64"/>
        <v/>
      </c>
      <c r="D497" s="243" t="str">
        <f t="shared" si="65"/>
        <v/>
      </c>
      <c r="E497" s="265" t="str">
        <f>IF($A497="","",SUMIFS(Txn[Signed Units],Txn[Key],$A497))</f>
        <v/>
      </c>
      <c r="F497" s="287" t="str">
        <f>IF($A497="","",SUMIFS(Txn[Buy Cost],Txn[Key],$A497))</f>
        <v/>
      </c>
      <c r="G497" s="287" t="str">
        <f>IF($A497="","",SUMIFS(Txn[Sell Proceeds],Txn[Key],$A497))</f>
        <v/>
      </c>
      <c r="H497" s="288" t="str">
        <f>IF($A497="","",IFERROR(INDEX(Prices[Current Price],MATCH($A497,Prices[Key],0)),0))</f>
        <v/>
      </c>
      <c r="I497" s="289" t="str">
        <f>IF($A497="","",IFERROR(INDEX(Prices[FX to SGD],MATCH($A497,Prices[Key],0)),1))</f>
        <v/>
      </c>
      <c r="J497" s="287" t="str">
        <f t="shared" si="66"/>
        <v/>
      </c>
      <c r="K497" s="287" t="str">
        <f t="shared" si="67"/>
        <v/>
      </c>
      <c r="L497" s="287" t="str">
        <f t="shared" si="68"/>
        <v/>
      </c>
      <c r="M497" s="290" t="str">
        <f t="shared" si="69"/>
        <v/>
      </c>
      <c r="N497" s="243" t="str">
        <f>IF($A497="","",IF(ABS(E497)&gt;0.000001,COUNT($N$1:N496)+1,""))</f>
        <v/>
      </c>
      <c r="O497" s="291" t="str">
        <f>IF($A497="","",SUMIFS(Transactions!$H$2:$H$1001,Transactions!$J$2:$J$1001,$A497,Transactions!$A$2:$A$1001,2)*$I497)</f>
        <v/>
      </c>
      <c r="P497" s="291" t="str">
        <f t="shared" si="70"/>
        <v/>
      </c>
      <c r="Q497" s="292" t="str">
        <f t="shared" si="71"/>
        <v/>
      </c>
    </row>
    <row r="498" spans="1:17" ht="15" customHeight="1" x14ac:dyDescent="0.2">
      <c r="A498" s="243" t="str">
        <f>IFERROR(INDEX(Txn[Key],MATCH(0,INDEX(COUNTIF($A$1:A497,Txn[Key])+(Txn[Key]=""),0),0)),"")</f>
        <v/>
      </c>
      <c r="B498" s="243" t="str">
        <f t="shared" si="63"/>
        <v/>
      </c>
      <c r="C498" s="243" t="str">
        <f t="shared" si="64"/>
        <v/>
      </c>
      <c r="D498" s="243" t="str">
        <f t="shared" si="65"/>
        <v/>
      </c>
      <c r="E498" s="265" t="str">
        <f>IF($A498="","",SUMIFS(Txn[Signed Units],Txn[Key],$A498))</f>
        <v/>
      </c>
      <c r="F498" s="287" t="str">
        <f>IF($A498="","",SUMIFS(Txn[Buy Cost],Txn[Key],$A498))</f>
        <v/>
      </c>
      <c r="G498" s="287" t="str">
        <f>IF($A498="","",SUMIFS(Txn[Sell Proceeds],Txn[Key],$A498))</f>
        <v/>
      </c>
      <c r="H498" s="288" t="str">
        <f>IF($A498="","",IFERROR(INDEX(Prices[Current Price],MATCH($A498,Prices[Key],0)),0))</f>
        <v/>
      </c>
      <c r="I498" s="289" t="str">
        <f>IF($A498="","",IFERROR(INDEX(Prices[FX to SGD],MATCH($A498,Prices[Key],0)),1))</f>
        <v/>
      </c>
      <c r="J498" s="287" t="str">
        <f t="shared" si="66"/>
        <v/>
      </c>
      <c r="K498" s="287" t="str">
        <f t="shared" si="67"/>
        <v/>
      </c>
      <c r="L498" s="287" t="str">
        <f t="shared" si="68"/>
        <v/>
      </c>
      <c r="M498" s="290" t="str">
        <f t="shared" si="69"/>
        <v/>
      </c>
      <c r="N498" s="243" t="str">
        <f>IF($A498="","",IF(ABS(E498)&gt;0.000001,COUNT($N$1:N497)+1,""))</f>
        <v/>
      </c>
      <c r="O498" s="291" t="str">
        <f>IF($A498="","",SUMIFS(Transactions!$H$2:$H$1001,Transactions!$J$2:$J$1001,$A498,Transactions!$A$2:$A$1001,2)*$I498)</f>
        <v/>
      </c>
      <c r="P498" s="291" t="str">
        <f t="shared" si="70"/>
        <v/>
      </c>
      <c r="Q498" s="292" t="str">
        <f t="shared" si="71"/>
        <v/>
      </c>
    </row>
    <row r="499" spans="1:17" ht="15" customHeight="1" x14ac:dyDescent="0.2">
      <c r="A499" s="243" t="str">
        <f>IFERROR(INDEX(Txn[Key],MATCH(0,INDEX(COUNTIF($A$1:A498,Txn[Key])+(Txn[Key]=""),0),0)),"")</f>
        <v/>
      </c>
      <c r="B499" s="243" t="str">
        <f t="shared" si="63"/>
        <v/>
      </c>
      <c r="C499" s="243" t="str">
        <f t="shared" si="64"/>
        <v/>
      </c>
      <c r="D499" s="243" t="str">
        <f t="shared" si="65"/>
        <v/>
      </c>
      <c r="E499" s="265" t="str">
        <f>IF($A499="","",SUMIFS(Txn[Signed Units],Txn[Key],$A499))</f>
        <v/>
      </c>
      <c r="F499" s="287" t="str">
        <f>IF($A499="","",SUMIFS(Txn[Buy Cost],Txn[Key],$A499))</f>
        <v/>
      </c>
      <c r="G499" s="287" t="str">
        <f>IF($A499="","",SUMIFS(Txn[Sell Proceeds],Txn[Key],$A499))</f>
        <v/>
      </c>
      <c r="H499" s="288" t="str">
        <f>IF($A499="","",IFERROR(INDEX(Prices[Current Price],MATCH($A499,Prices[Key],0)),0))</f>
        <v/>
      </c>
      <c r="I499" s="289" t="str">
        <f>IF($A499="","",IFERROR(INDEX(Prices[FX to SGD],MATCH($A499,Prices[Key],0)),1))</f>
        <v/>
      </c>
      <c r="J499" s="287" t="str">
        <f t="shared" si="66"/>
        <v/>
      </c>
      <c r="K499" s="287" t="str">
        <f t="shared" si="67"/>
        <v/>
      </c>
      <c r="L499" s="287" t="str">
        <f t="shared" si="68"/>
        <v/>
      </c>
      <c r="M499" s="290" t="str">
        <f t="shared" si="69"/>
        <v/>
      </c>
      <c r="N499" s="243" t="str">
        <f>IF($A499="","",IF(ABS(E499)&gt;0.000001,COUNT($N$1:N498)+1,""))</f>
        <v/>
      </c>
      <c r="O499" s="291" t="str">
        <f>IF($A499="","",SUMIFS(Transactions!$H$2:$H$1001,Transactions!$J$2:$J$1001,$A499,Transactions!$A$2:$A$1001,2)*$I499)</f>
        <v/>
      </c>
      <c r="P499" s="291" t="str">
        <f t="shared" si="70"/>
        <v/>
      </c>
      <c r="Q499" s="292" t="str">
        <f t="shared" si="71"/>
        <v/>
      </c>
    </row>
    <row r="500" spans="1:17" ht="15" customHeight="1" x14ac:dyDescent="0.2">
      <c r="A500" s="243" t="str">
        <f>IFERROR(INDEX(Txn[Key],MATCH(0,INDEX(COUNTIF($A$1:A499,Txn[Key])+(Txn[Key]=""),0),0)),"")</f>
        <v/>
      </c>
      <c r="B500" s="243" t="str">
        <f t="shared" si="63"/>
        <v/>
      </c>
      <c r="C500" s="243" t="str">
        <f t="shared" si="64"/>
        <v/>
      </c>
      <c r="D500" s="243" t="str">
        <f t="shared" si="65"/>
        <v/>
      </c>
      <c r="E500" s="265" t="str">
        <f>IF($A500="","",SUMIFS(Txn[Signed Units],Txn[Key],$A500))</f>
        <v/>
      </c>
      <c r="F500" s="287" t="str">
        <f>IF($A500="","",SUMIFS(Txn[Buy Cost],Txn[Key],$A500))</f>
        <v/>
      </c>
      <c r="G500" s="287" t="str">
        <f>IF($A500="","",SUMIFS(Txn[Sell Proceeds],Txn[Key],$A500))</f>
        <v/>
      </c>
      <c r="H500" s="288" t="str">
        <f>IF($A500="","",IFERROR(INDEX(Prices[Current Price],MATCH($A500,Prices[Key],0)),0))</f>
        <v/>
      </c>
      <c r="I500" s="289" t="str">
        <f>IF($A500="","",IFERROR(INDEX(Prices[FX to SGD],MATCH($A500,Prices[Key],0)),1))</f>
        <v/>
      </c>
      <c r="J500" s="287" t="str">
        <f t="shared" si="66"/>
        <v/>
      </c>
      <c r="K500" s="287" t="str">
        <f t="shared" si="67"/>
        <v/>
      </c>
      <c r="L500" s="287" t="str">
        <f t="shared" si="68"/>
        <v/>
      </c>
      <c r="M500" s="290" t="str">
        <f t="shared" si="69"/>
        <v/>
      </c>
      <c r="N500" s="243" t="str">
        <f>IF($A500="","",IF(ABS(E500)&gt;0.000001,COUNT($N$1:N499)+1,""))</f>
        <v/>
      </c>
      <c r="O500" s="291" t="str">
        <f>IF($A500="","",SUMIFS(Transactions!$H$2:$H$1001,Transactions!$J$2:$J$1001,$A500,Transactions!$A$2:$A$1001,2)*$I500)</f>
        <v/>
      </c>
      <c r="P500" s="291" t="str">
        <f t="shared" si="70"/>
        <v/>
      </c>
      <c r="Q500" s="292" t="str">
        <f t="shared" si="71"/>
        <v/>
      </c>
    </row>
    <row r="501" spans="1:17" ht="15" customHeight="1" x14ac:dyDescent="0.2">
      <c r="A501" s="243" t="str">
        <f>IFERROR(INDEX(Txn[Key],MATCH(0,INDEX(COUNTIF($A$1:A500,Txn[Key])+(Txn[Key]=""),0),0)),"")</f>
        <v/>
      </c>
      <c r="B501" s="243" t="str">
        <f t="shared" si="63"/>
        <v/>
      </c>
      <c r="C501" s="243" t="str">
        <f t="shared" si="64"/>
        <v/>
      </c>
      <c r="D501" s="243" t="str">
        <f t="shared" si="65"/>
        <v/>
      </c>
      <c r="E501" s="265" t="str">
        <f>IF($A501="","",SUMIFS(Txn[Signed Units],Txn[Key],$A501))</f>
        <v/>
      </c>
      <c r="F501" s="287" t="str">
        <f>IF($A501="","",SUMIFS(Txn[Buy Cost],Txn[Key],$A501))</f>
        <v/>
      </c>
      <c r="G501" s="287" t="str">
        <f>IF($A501="","",SUMIFS(Txn[Sell Proceeds],Txn[Key],$A501))</f>
        <v/>
      </c>
      <c r="H501" s="288" t="str">
        <f>IF($A501="","",IFERROR(INDEX(Prices[Current Price],MATCH($A501,Prices[Key],0)),0))</f>
        <v/>
      </c>
      <c r="I501" s="289" t="str">
        <f>IF($A501="","",IFERROR(INDEX(Prices[FX to SGD],MATCH($A501,Prices[Key],0)),1))</f>
        <v/>
      </c>
      <c r="J501" s="287" t="str">
        <f t="shared" si="66"/>
        <v/>
      </c>
      <c r="K501" s="287" t="str">
        <f t="shared" si="67"/>
        <v/>
      </c>
      <c r="L501" s="287" t="str">
        <f t="shared" si="68"/>
        <v/>
      </c>
      <c r="M501" s="290" t="str">
        <f t="shared" si="69"/>
        <v/>
      </c>
      <c r="N501" s="243" t="str">
        <f>IF($A501="","",IF(ABS(E501)&gt;0.000001,COUNT($N$1:N500)+1,""))</f>
        <v/>
      </c>
      <c r="O501" s="291" t="str">
        <f>IF($A501="","",SUMIFS(Transactions!$H$2:$H$1001,Transactions!$J$2:$J$1001,$A501,Transactions!$A$2:$A$1001,2)*$I501)</f>
        <v/>
      </c>
      <c r="P501" s="291" t="str">
        <f t="shared" si="70"/>
        <v/>
      </c>
      <c r="Q501" s="292" t="str">
        <f t="shared" si="71"/>
        <v/>
      </c>
    </row>
    <row r="502" spans="1:17" ht="15" customHeight="1" x14ac:dyDescent="0.2">
      <c r="A502" s="243" t="str">
        <f>IFERROR(INDEX(Txn[Key],MATCH(0,INDEX(COUNTIF($A$1:A501,Txn[Key])+(Txn[Key]=""),0),0)),"")</f>
        <v/>
      </c>
      <c r="B502" s="243" t="str">
        <f t="shared" si="63"/>
        <v/>
      </c>
      <c r="C502" s="243" t="str">
        <f t="shared" si="64"/>
        <v/>
      </c>
      <c r="D502" s="243" t="str">
        <f t="shared" si="65"/>
        <v/>
      </c>
      <c r="E502" s="265" t="str">
        <f>IF($A502="","",SUMIFS(Txn[Signed Units],Txn[Key],$A502))</f>
        <v/>
      </c>
      <c r="F502" s="287" t="str">
        <f>IF($A502="","",SUMIFS(Txn[Buy Cost],Txn[Key],$A502))</f>
        <v/>
      </c>
      <c r="G502" s="287" t="str">
        <f>IF($A502="","",SUMIFS(Txn[Sell Proceeds],Txn[Key],$A502))</f>
        <v/>
      </c>
      <c r="H502" s="288" t="str">
        <f>IF($A502="","",IFERROR(INDEX(Prices[Current Price],MATCH($A502,Prices[Key],0)),0))</f>
        <v/>
      </c>
      <c r="I502" s="289" t="str">
        <f>IF($A502="","",IFERROR(INDEX(Prices[FX to SGD],MATCH($A502,Prices[Key],0)),1))</f>
        <v/>
      </c>
      <c r="J502" s="287" t="str">
        <f t="shared" si="66"/>
        <v/>
      </c>
      <c r="K502" s="287" t="str">
        <f t="shared" si="67"/>
        <v/>
      </c>
      <c r="L502" s="287" t="str">
        <f t="shared" si="68"/>
        <v/>
      </c>
      <c r="M502" s="290" t="str">
        <f t="shared" si="69"/>
        <v/>
      </c>
      <c r="N502" s="243" t="str">
        <f>IF($A502="","",IF(ABS(E502)&gt;0.000001,COUNT($N$1:N501)+1,""))</f>
        <v/>
      </c>
      <c r="O502" s="291" t="str">
        <f>IF($A502="","",SUMIFS(Transactions!$H$2:$H$1001,Transactions!$J$2:$J$1001,$A502,Transactions!$A$2:$A$1001,2)*$I502)</f>
        <v/>
      </c>
      <c r="P502" s="291" t="str">
        <f t="shared" si="70"/>
        <v/>
      </c>
      <c r="Q502" s="292" t="str">
        <f t="shared" si="71"/>
        <v/>
      </c>
    </row>
    <row r="503" spans="1:17" ht="15" customHeight="1" x14ac:dyDescent="0.2">
      <c r="A503" s="243" t="str">
        <f>IFERROR(INDEX(Txn[Key],MATCH(0,INDEX(COUNTIF($A$1:A502,Txn[Key])+(Txn[Key]=""),0),0)),"")</f>
        <v/>
      </c>
      <c r="B503" s="243" t="str">
        <f t="shared" si="63"/>
        <v/>
      </c>
      <c r="C503" s="243" t="str">
        <f t="shared" si="64"/>
        <v/>
      </c>
      <c r="D503" s="243" t="str">
        <f t="shared" si="65"/>
        <v/>
      </c>
      <c r="E503" s="265" t="str">
        <f>IF($A503="","",SUMIFS(Txn[Signed Units],Txn[Key],$A503))</f>
        <v/>
      </c>
      <c r="F503" s="287" t="str">
        <f>IF($A503="","",SUMIFS(Txn[Buy Cost],Txn[Key],$A503))</f>
        <v/>
      </c>
      <c r="G503" s="287" t="str">
        <f>IF($A503="","",SUMIFS(Txn[Sell Proceeds],Txn[Key],$A503))</f>
        <v/>
      </c>
      <c r="H503" s="288" t="str">
        <f>IF($A503="","",IFERROR(INDEX(Prices[Current Price],MATCH($A503,Prices[Key],0)),0))</f>
        <v/>
      </c>
      <c r="I503" s="289" t="str">
        <f>IF($A503="","",IFERROR(INDEX(Prices[FX to SGD],MATCH($A503,Prices[Key],0)),1))</f>
        <v/>
      </c>
      <c r="J503" s="287" t="str">
        <f t="shared" si="66"/>
        <v/>
      </c>
      <c r="K503" s="287" t="str">
        <f t="shared" si="67"/>
        <v/>
      </c>
      <c r="L503" s="287" t="str">
        <f t="shared" si="68"/>
        <v/>
      </c>
      <c r="M503" s="290" t="str">
        <f t="shared" si="69"/>
        <v/>
      </c>
      <c r="N503" s="243" t="str">
        <f>IF($A503="","",IF(ABS(E503)&gt;0.000001,COUNT($N$1:N502)+1,""))</f>
        <v/>
      </c>
      <c r="O503" s="291" t="str">
        <f>IF($A503="","",SUMIFS(Transactions!$H$2:$H$1001,Transactions!$J$2:$J$1001,$A503,Transactions!$A$2:$A$1001,2)*$I503)</f>
        <v/>
      </c>
      <c r="P503" s="291" t="str">
        <f t="shared" si="70"/>
        <v/>
      </c>
      <c r="Q503" s="292" t="str">
        <f t="shared" si="71"/>
        <v/>
      </c>
    </row>
    <row r="504" spans="1:17" ht="15" customHeight="1" x14ac:dyDescent="0.2">
      <c r="A504" s="243" t="str">
        <f>IFERROR(INDEX(Txn[Key],MATCH(0,INDEX(COUNTIF($A$1:A503,Txn[Key])+(Txn[Key]=""),0),0)),"")</f>
        <v/>
      </c>
      <c r="B504" s="243" t="str">
        <f t="shared" si="63"/>
        <v/>
      </c>
      <c r="C504" s="243" t="str">
        <f t="shared" si="64"/>
        <v/>
      </c>
      <c r="D504" s="243" t="str">
        <f t="shared" si="65"/>
        <v/>
      </c>
      <c r="E504" s="265" t="str">
        <f>IF($A504="","",SUMIFS(Txn[Signed Units],Txn[Key],$A504))</f>
        <v/>
      </c>
      <c r="F504" s="287" t="str">
        <f>IF($A504="","",SUMIFS(Txn[Buy Cost],Txn[Key],$A504))</f>
        <v/>
      </c>
      <c r="G504" s="287" t="str">
        <f>IF($A504="","",SUMIFS(Txn[Sell Proceeds],Txn[Key],$A504))</f>
        <v/>
      </c>
      <c r="H504" s="288" t="str">
        <f>IF($A504="","",IFERROR(INDEX(Prices[Current Price],MATCH($A504,Prices[Key],0)),0))</f>
        <v/>
      </c>
      <c r="I504" s="289" t="str">
        <f>IF($A504="","",IFERROR(INDEX(Prices[FX to SGD],MATCH($A504,Prices[Key],0)),1))</f>
        <v/>
      </c>
      <c r="J504" s="287" t="str">
        <f t="shared" si="66"/>
        <v/>
      </c>
      <c r="K504" s="287" t="str">
        <f t="shared" si="67"/>
        <v/>
      </c>
      <c r="L504" s="287" t="str">
        <f t="shared" si="68"/>
        <v/>
      </c>
      <c r="M504" s="290" t="str">
        <f t="shared" si="69"/>
        <v/>
      </c>
      <c r="N504" s="243" t="str">
        <f>IF($A504="","",IF(ABS(E504)&gt;0.000001,COUNT($N$1:N503)+1,""))</f>
        <v/>
      </c>
      <c r="O504" s="291" t="str">
        <f>IF($A504="","",SUMIFS(Transactions!$H$2:$H$1001,Transactions!$J$2:$J$1001,$A504,Transactions!$A$2:$A$1001,2)*$I504)</f>
        <v/>
      </c>
      <c r="P504" s="291" t="str">
        <f t="shared" si="70"/>
        <v/>
      </c>
      <c r="Q504" s="292" t="str">
        <f t="shared" si="71"/>
        <v/>
      </c>
    </row>
    <row r="505" spans="1:17" ht="15" customHeight="1" x14ac:dyDescent="0.2">
      <c r="A505" s="243" t="str">
        <f>IFERROR(INDEX(Txn[Key],MATCH(0,INDEX(COUNTIF($A$1:A504,Txn[Key])+(Txn[Key]=""),0),0)),"")</f>
        <v/>
      </c>
      <c r="B505" s="243" t="str">
        <f t="shared" si="63"/>
        <v/>
      </c>
      <c r="C505" s="243" t="str">
        <f t="shared" si="64"/>
        <v/>
      </c>
      <c r="D505" s="243" t="str">
        <f t="shared" si="65"/>
        <v/>
      </c>
      <c r="E505" s="265" t="str">
        <f>IF($A505="","",SUMIFS(Txn[Signed Units],Txn[Key],$A505))</f>
        <v/>
      </c>
      <c r="F505" s="287" t="str">
        <f>IF($A505="","",SUMIFS(Txn[Buy Cost],Txn[Key],$A505))</f>
        <v/>
      </c>
      <c r="G505" s="287" t="str">
        <f>IF($A505="","",SUMIFS(Txn[Sell Proceeds],Txn[Key],$A505))</f>
        <v/>
      </c>
      <c r="H505" s="288" t="str">
        <f>IF($A505="","",IFERROR(INDEX(Prices[Current Price],MATCH($A505,Prices[Key],0)),0))</f>
        <v/>
      </c>
      <c r="I505" s="289" t="str">
        <f>IF($A505="","",IFERROR(INDEX(Prices[FX to SGD],MATCH($A505,Prices[Key],0)),1))</f>
        <v/>
      </c>
      <c r="J505" s="287" t="str">
        <f t="shared" si="66"/>
        <v/>
      </c>
      <c r="K505" s="287" t="str">
        <f t="shared" si="67"/>
        <v/>
      </c>
      <c r="L505" s="287" t="str">
        <f t="shared" si="68"/>
        <v/>
      </c>
      <c r="M505" s="290" t="str">
        <f t="shared" si="69"/>
        <v/>
      </c>
      <c r="N505" s="243" t="str">
        <f>IF($A505="","",IF(ABS(E505)&gt;0.000001,COUNT($N$1:N504)+1,""))</f>
        <v/>
      </c>
      <c r="O505" s="291" t="str">
        <f>IF($A505="","",SUMIFS(Transactions!$H$2:$H$1001,Transactions!$J$2:$J$1001,$A505,Transactions!$A$2:$A$1001,2)*$I505)</f>
        <v/>
      </c>
      <c r="P505" s="291" t="str">
        <f t="shared" si="70"/>
        <v/>
      </c>
      <c r="Q505" s="292" t="str">
        <f t="shared" si="71"/>
        <v/>
      </c>
    </row>
    <row r="506" spans="1:17" ht="15" customHeight="1" x14ac:dyDescent="0.2">
      <c r="A506" s="243" t="str">
        <f>IFERROR(INDEX(Txn[Key],MATCH(0,INDEX(COUNTIF($A$1:A505,Txn[Key])+(Txn[Key]=""),0),0)),"")</f>
        <v/>
      </c>
      <c r="B506" s="243" t="str">
        <f t="shared" si="63"/>
        <v/>
      </c>
      <c r="C506" s="243" t="str">
        <f t="shared" si="64"/>
        <v/>
      </c>
      <c r="D506" s="243" t="str">
        <f t="shared" si="65"/>
        <v/>
      </c>
      <c r="E506" s="265" t="str">
        <f>IF($A506="","",SUMIFS(Txn[Signed Units],Txn[Key],$A506))</f>
        <v/>
      </c>
      <c r="F506" s="287" t="str">
        <f>IF($A506="","",SUMIFS(Txn[Buy Cost],Txn[Key],$A506))</f>
        <v/>
      </c>
      <c r="G506" s="287" t="str">
        <f>IF($A506="","",SUMIFS(Txn[Sell Proceeds],Txn[Key],$A506))</f>
        <v/>
      </c>
      <c r="H506" s="288" t="str">
        <f>IF($A506="","",IFERROR(INDEX(Prices[Current Price],MATCH($A506,Prices[Key],0)),0))</f>
        <v/>
      </c>
      <c r="I506" s="289" t="str">
        <f>IF($A506="","",IFERROR(INDEX(Prices[FX to SGD],MATCH($A506,Prices[Key],0)),1))</f>
        <v/>
      </c>
      <c r="J506" s="287" t="str">
        <f t="shared" si="66"/>
        <v/>
      </c>
      <c r="K506" s="287" t="str">
        <f t="shared" si="67"/>
        <v/>
      </c>
      <c r="L506" s="287" t="str">
        <f t="shared" si="68"/>
        <v/>
      </c>
      <c r="M506" s="290" t="str">
        <f t="shared" si="69"/>
        <v/>
      </c>
      <c r="N506" s="243" t="str">
        <f>IF($A506="","",IF(ABS(E506)&gt;0.000001,COUNT($N$1:N505)+1,""))</f>
        <v/>
      </c>
      <c r="O506" s="291" t="str">
        <f>IF($A506="","",SUMIFS(Transactions!$H$2:$H$1001,Transactions!$J$2:$J$1001,$A506,Transactions!$A$2:$A$1001,2)*$I506)</f>
        <v/>
      </c>
      <c r="P506" s="291" t="str">
        <f t="shared" si="70"/>
        <v/>
      </c>
      <c r="Q506" s="292" t="str">
        <f t="shared" si="71"/>
        <v/>
      </c>
    </row>
    <row r="507" spans="1:17" ht="15" customHeight="1" x14ac:dyDescent="0.2">
      <c r="A507" s="243" t="str">
        <f>IFERROR(INDEX(Txn[Key],MATCH(0,INDEX(COUNTIF($A$1:A506,Txn[Key])+(Txn[Key]=""),0),0)),"")</f>
        <v/>
      </c>
      <c r="B507" s="243" t="str">
        <f t="shared" si="63"/>
        <v/>
      </c>
      <c r="C507" s="243" t="str">
        <f t="shared" si="64"/>
        <v/>
      </c>
      <c r="D507" s="243" t="str">
        <f t="shared" si="65"/>
        <v/>
      </c>
      <c r="E507" s="265" t="str">
        <f>IF($A507="","",SUMIFS(Txn[Signed Units],Txn[Key],$A507))</f>
        <v/>
      </c>
      <c r="F507" s="287" t="str">
        <f>IF($A507="","",SUMIFS(Txn[Buy Cost],Txn[Key],$A507))</f>
        <v/>
      </c>
      <c r="G507" s="287" t="str">
        <f>IF($A507="","",SUMIFS(Txn[Sell Proceeds],Txn[Key],$A507))</f>
        <v/>
      </c>
      <c r="H507" s="288" t="str">
        <f>IF($A507="","",IFERROR(INDEX(Prices[Current Price],MATCH($A507,Prices[Key],0)),0))</f>
        <v/>
      </c>
      <c r="I507" s="289" t="str">
        <f>IF($A507="","",IFERROR(INDEX(Prices[FX to SGD],MATCH($A507,Prices[Key],0)),1))</f>
        <v/>
      </c>
      <c r="J507" s="287" t="str">
        <f t="shared" si="66"/>
        <v/>
      </c>
      <c r="K507" s="287" t="str">
        <f t="shared" si="67"/>
        <v/>
      </c>
      <c r="L507" s="287" t="str">
        <f t="shared" si="68"/>
        <v/>
      </c>
      <c r="M507" s="290" t="str">
        <f t="shared" si="69"/>
        <v/>
      </c>
      <c r="N507" s="243" t="str">
        <f>IF($A507="","",IF(ABS(E507)&gt;0.000001,COUNT($N$1:N506)+1,""))</f>
        <v/>
      </c>
      <c r="O507" s="291" t="str">
        <f>IF($A507="","",SUMIFS(Transactions!$H$2:$H$1001,Transactions!$J$2:$J$1001,$A507,Transactions!$A$2:$A$1001,2)*$I507)</f>
        <v/>
      </c>
      <c r="P507" s="291" t="str">
        <f t="shared" si="70"/>
        <v/>
      </c>
      <c r="Q507" s="292" t="str">
        <f t="shared" si="71"/>
        <v/>
      </c>
    </row>
    <row r="508" spans="1:17" ht="15" customHeight="1" x14ac:dyDescent="0.2">
      <c r="A508" s="243" t="str">
        <f>IFERROR(INDEX(Txn[Key],MATCH(0,INDEX(COUNTIF($A$1:A507,Txn[Key])+(Txn[Key]=""),0),0)),"")</f>
        <v/>
      </c>
      <c r="B508" s="243" t="str">
        <f t="shared" si="63"/>
        <v/>
      </c>
      <c r="C508" s="243" t="str">
        <f t="shared" si="64"/>
        <v/>
      </c>
      <c r="D508" s="243" t="str">
        <f t="shared" si="65"/>
        <v/>
      </c>
      <c r="E508" s="265" t="str">
        <f>IF($A508="","",SUMIFS(Txn[Signed Units],Txn[Key],$A508))</f>
        <v/>
      </c>
      <c r="F508" s="287" t="str">
        <f>IF($A508="","",SUMIFS(Txn[Buy Cost],Txn[Key],$A508))</f>
        <v/>
      </c>
      <c r="G508" s="287" t="str">
        <f>IF($A508="","",SUMIFS(Txn[Sell Proceeds],Txn[Key],$A508))</f>
        <v/>
      </c>
      <c r="H508" s="288" t="str">
        <f>IF($A508="","",IFERROR(INDEX(Prices[Current Price],MATCH($A508,Prices[Key],0)),0))</f>
        <v/>
      </c>
      <c r="I508" s="289" t="str">
        <f>IF($A508="","",IFERROR(INDEX(Prices[FX to SGD],MATCH($A508,Prices[Key],0)),1))</f>
        <v/>
      </c>
      <c r="J508" s="287" t="str">
        <f t="shared" si="66"/>
        <v/>
      </c>
      <c r="K508" s="287" t="str">
        <f t="shared" si="67"/>
        <v/>
      </c>
      <c r="L508" s="287" t="str">
        <f t="shared" si="68"/>
        <v/>
      </c>
      <c r="M508" s="290" t="str">
        <f t="shared" si="69"/>
        <v/>
      </c>
      <c r="N508" s="243" t="str">
        <f>IF($A508="","",IF(ABS(E508)&gt;0.000001,COUNT($N$1:N507)+1,""))</f>
        <v/>
      </c>
      <c r="O508" s="291" t="str">
        <f>IF($A508="","",SUMIFS(Transactions!$H$2:$H$1001,Transactions!$J$2:$J$1001,$A508,Transactions!$A$2:$A$1001,2)*$I508)</f>
        <v/>
      </c>
      <c r="P508" s="291" t="str">
        <f t="shared" si="70"/>
        <v/>
      </c>
      <c r="Q508" s="292" t="str">
        <f t="shared" si="71"/>
        <v/>
      </c>
    </row>
    <row r="509" spans="1:17" ht="15" customHeight="1" x14ac:dyDescent="0.2">
      <c r="A509" s="243" t="str">
        <f>IFERROR(INDEX(Txn[Key],MATCH(0,INDEX(COUNTIF($A$1:A508,Txn[Key])+(Txn[Key]=""),0),0)),"")</f>
        <v/>
      </c>
      <c r="B509" s="243" t="str">
        <f t="shared" si="63"/>
        <v/>
      </c>
      <c r="C509" s="243" t="str">
        <f t="shared" si="64"/>
        <v/>
      </c>
      <c r="D509" s="243" t="str">
        <f t="shared" si="65"/>
        <v/>
      </c>
      <c r="E509" s="265" t="str">
        <f>IF($A509="","",SUMIFS(Txn[Signed Units],Txn[Key],$A509))</f>
        <v/>
      </c>
      <c r="F509" s="287" t="str">
        <f>IF($A509="","",SUMIFS(Txn[Buy Cost],Txn[Key],$A509))</f>
        <v/>
      </c>
      <c r="G509" s="287" t="str">
        <f>IF($A509="","",SUMIFS(Txn[Sell Proceeds],Txn[Key],$A509))</f>
        <v/>
      </c>
      <c r="H509" s="288" t="str">
        <f>IF($A509="","",IFERROR(INDEX(Prices[Current Price],MATCH($A509,Prices[Key],0)),0))</f>
        <v/>
      </c>
      <c r="I509" s="289" t="str">
        <f>IF($A509="","",IFERROR(INDEX(Prices[FX to SGD],MATCH($A509,Prices[Key],0)),1))</f>
        <v/>
      </c>
      <c r="J509" s="287" t="str">
        <f t="shared" si="66"/>
        <v/>
      </c>
      <c r="K509" s="287" t="str">
        <f t="shared" si="67"/>
        <v/>
      </c>
      <c r="L509" s="287" t="str">
        <f t="shared" si="68"/>
        <v/>
      </c>
      <c r="M509" s="290" t="str">
        <f t="shared" si="69"/>
        <v/>
      </c>
      <c r="N509" s="243" t="str">
        <f>IF($A509="","",IF(ABS(E509)&gt;0.000001,COUNT($N$1:N508)+1,""))</f>
        <v/>
      </c>
      <c r="O509" s="291" t="str">
        <f>IF($A509="","",SUMIFS(Transactions!$H$2:$H$1001,Transactions!$J$2:$J$1001,$A509,Transactions!$A$2:$A$1001,2)*$I509)</f>
        <v/>
      </c>
      <c r="P509" s="291" t="str">
        <f t="shared" si="70"/>
        <v/>
      </c>
      <c r="Q509" s="292" t="str">
        <f t="shared" si="71"/>
        <v/>
      </c>
    </row>
    <row r="510" spans="1:17" ht="15" customHeight="1" x14ac:dyDescent="0.2">
      <c r="A510" s="243" t="str">
        <f>IFERROR(INDEX(Txn[Key],MATCH(0,INDEX(COUNTIF($A$1:A509,Txn[Key])+(Txn[Key]=""),0),0)),"")</f>
        <v/>
      </c>
      <c r="B510" s="243" t="str">
        <f t="shared" si="63"/>
        <v/>
      </c>
      <c r="C510" s="243" t="str">
        <f t="shared" si="64"/>
        <v/>
      </c>
      <c r="D510" s="243" t="str">
        <f t="shared" si="65"/>
        <v/>
      </c>
      <c r="E510" s="265" t="str">
        <f>IF($A510="","",SUMIFS(Txn[Signed Units],Txn[Key],$A510))</f>
        <v/>
      </c>
      <c r="F510" s="287" t="str">
        <f>IF($A510="","",SUMIFS(Txn[Buy Cost],Txn[Key],$A510))</f>
        <v/>
      </c>
      <c r="G510" s="287" t="str">
        <f>IF($A510="","",SUMIFS(Txn[Sell Proceeds],Txn[Key],$A510))</f>
        <v/>
      </c>
      <c r="H510" s="288" t="str">
        <f>IF($A510="","",IFERROR(INDEX(Prices[Current Price],MATCH($A510,Prices[Key],0)),0))</f>
        <v/>
      </c>
      <c r="I510" s="289" t="str">
        <f>IF($A510="","",IFERROR(INDEX(Prices[FX to SGD],MATCH($A510,Prices[Key],0)),1))</f>
        <v/>
      </c>
      <c r="J510" s="287" t="str">
        <f t="shared" si="66"/>
        <v/>
      </c>
      <c r="K510" s="287" t="str">
        <f t="shared" si="67"/>
        <v/>
      </c>
      <c r="L510" s="287" t="str">
        <f t="shared" si="68"/>
        <v/>
      </c>
      <c r="M510" s="290" t="str">
        <f t="shared" si="69"/>
        <v/>
      </c>
      <c r="N510" s="243" t="str">
        <f>IF($A510="","",IF(ABS(E510)&gt;0.000001,COUNT($N$1:N509)+1,""))</f>
        <v/>
      </c>
      <c r="O510" s="291" t="str">
        <f>IF($A510="","",SUMIFS(Transactions!$H$2:$H$1001,Transactions!$J$2:$J$1001,$A510,Transactions!$A$2:$A$1001,2)*$I510)</f>
        <v/>
      </c>
      <c r="P510" s="291" t="str">
        <f t="shared" si="70"/>
        <v/>
      </c>
      <c r="Q510" s="292" t="str">
        <f t="shared" si="71"/>
        <v/>
      </c>
    </row>
    <row r="511" spans="1:17" ht="15" customHeight="1" x14ac:dyDescent="0.2">
      <c r="A511" s="243" t="str">
        <f>IFERROR(INDEX(Txn[Key],MATCH(0,INDEX(COUNTIF($A$1:A510,Txn[Key])+(Txn[Key]=""),0),0)),"")</f>
        <v/>
      </c>
      <c r="B511" s="243" t="str">
        <f t="shared" si="63"/>
        <v/>
      </c>
      <c r="C511" s="243" t="str">
        <f t="shared" si="64"/>
        <v/>
      </c>
      <c r="D511" s="243" t="str">
        <f t="shared" si="65"/>
        <v/>
      </c>
      <c r="E511" s="265" t="str">
        <f>IF($A511="","",SUMIFS(Txn[Signed Units],Txn[Key],$A511))</f>
        <v/>
      </c>
      <c r="F511" s="287" t="str">
        <f>IF($A511="","",SUMIFS(Txn[Buy Cost],Txn[Key],$A511))</f>
        <v/>
      </c>
      <c r="G511" s="287" t="str">
        <f>IF($A511="","",SUMIFS(Txn[Sell Proceeds],Txn[Key],$A511))</f>
        <v/>
      </c>
      <c r="H511" s="288" t="str">
        <f>IF($A511="","",IFERROR(INDEX(Prices[Current Price],MATCH($A511,Prices[Key],0)),0))</f>
        <v/>
      </c>
      <c r="I511" s="289" t="str">
        <f>IF($A511="","",IFERROR(INDEX(Prices[FX to SGD],MATCH($A511,Prices[Key],0)),1))</f>
        <v/>
      </c>
      <c r="J511" s="287" t="str">
        <f t="shared" si="66"/>
        <v/>
      </c>
      <c r="K511" s="287" t="str">
        <f t="shared" si="67"/>
        <v/>
      </c>
      <c r="L511" s="287" t="str">
        <f t="shared" si="68"/>
        <v/>
      </c>
      <c r="M511" s="290" t="str">
        <f t="shared" si="69"/>
        <v/>
      </c>
      <c r="N511" s="243" t="str">
        <f>IF($A511="","",IF(ABS(E511)&gt;0.000001,COUNT($N$1:N510)+1,""))</f>
        <v/>
      </c>
      <c r="O511" s="291" t="str">
        <f>IF($A511="","",SUMIFS(Transactions!$H$2:$H$1001,Transactions!$J$2:$J$1001,$A511,Transactions!$A$2:$A$1001,2)*$I511)</f>
        <v/>
      </c>
      <c r="P511" s="291" t="str">
        <f t="shared" si="70"/>
        <v/>
      </c>
      <c r="Q511" s="292" t="str">
        <f t="shared" si="71"/>
        <v/>
      </c>
    </row>
    <row r="512" spans="1:17" ht="15" customHeight="1" x14ac:dyDescent="0.2">
      <c r="A512" s="243" t="str">
        <f>IFERROR(INDEX(Txn[Key],MATCH(0,INDEX(COUNTIF($A$1:A511,Txn[Key])+(Txn[Key]=""),0),0)),"")</f>
        <v/>
      </c>
      <c r="B512" s="243" t="str">
        <f t="shared" si="63"/>
        <v/>
      </c>
      <c r="C512" s="243" t="str">
        <f t="shared" si="64"/>
        <v/>
      </c>
      <c r="D512" s="243" t="str">
        <f t="shared" si="65"/>
        <v/>
      </c>
      <c r="E512" s="265" t="str">
        <f>IF($A512="","",SUMIFS(Txn[Signed Units],Txn[Key],$A512))</f>
        <v/>
      </c>
      <c r="F512" s="287" t="str">
        <f>IF($A512="","",SUMIFS(Txn[Buy Cost],Txn[Key],$A512))</f>
        <v/>
      </c>
      <c r="G512" s="287" t="str">
        <f>IF($A512="","",SUMIFS(Txn[Sell Proceeds],Txn[Key],$A512))</f>
        <v/>
      </c>
      <c r="H512" s="288" t="str">
        <f>IF($A512="","",IFERROR(INDEX(Prices[Current Price],MATCH($A512,Prices[Key],0)),0))</f>
        <v/>
      </c>
      <c r="I512" s="289" t="str">
        <f>IF($A512="","",IFERROR(INDEX(Prices[FX to SGD],MATCH($A512,Prices[Key],0)),1))</f>
        <v/>
      </c>
      <c r="J512" s="287" t="str">
        <f t="shared" si="66"/>
        <v/>
      </c>
      <c r="K512" s="287" t="str">
        <f t="shared" si="67"/>
        <v/>
      </c>
      <c r="L512" s="287" t="str">
        <f t="shared" si="68"/>
        <v/>
      </c>
      <c r="M512" s="290" t="str">
        <f t="shared" si="69"/>
        <v/>
      </c>
      <c r="N512" s="243" t="str">
        <f>IF($A512="","",IF(ABS(E512)&gt;0.000001,COUNT($N$1:N511)+1,""))</f>
        <v/>
      </c>
      <c r="O512" s="291" t="str">
        <f>IF($A512="","",SUMIFS(Transactions!$H$2:$H$1001,Transactions!$J$2:$J$1001,$A512,Transactions!$A$2:$A$1001,2)*$I512)</f>
        <v/>
      </c>
      <c r="P512" s="291" t="str">
        <f t="shared" si="70"/>
        <v/>
      </c>
      <c r="Q512" s="292" t="str">
        <f t="shared" si="71"/>
        <v/>
      </c>
    </row>
    <row r="513" spans="1:17" ht="15" customHeight="1" x14ac:dyDescent="0.2">
      <c r="A513" s="243" t="str">
        <f>IFERROR(INDEX(Txn[Key],MATCH(0,INDEX(COUNTIF($A$1:A512,Txn[Key])+(Txn[Key]=""),0),0)),"")</f>
        <v/>
      </c>
      <c r="B513" s="243" t="str">
        <f t="shared" si="63"/>
        <v/>
      </c>
      <c r="C513" s="243" t="str">
        <f t="shared" si="64"/>
        <v/>
      </c>
      <c r="D513" s="243" t="str">
        <f t="shared" si="65"/>
        <v/>
      </c>
      <c r="E513" s="265" t="str">
        <f>IF($A513="","",SUMIFS(Txn[Signed Units],Txn[Key],$A513))</f>
        <v/>
      </c>
      <c r="F513" s="287" t="str">
        <f>IF($A513="","",SUMIFS(Txn[Buy Cost],Txn[Key],$A513))</f>
        <v/>
      </c>
      <c r="G513" s="287" t="str">
        <f>IF($A513="","",SUMIFS(Txn[Sell Proceeds],Txn[Key],$A513))</f>
        <v/>
      </c>
      <c r="H513" s="288" t="str">
        <f>IF($A513="","",IFERROR(INDEX(Prices[Current Price],MATCH($A513,Prices[Key],0)),0))</f>
        <v/>
      </c>
      <c r="I513" s="289" t="str">
        <f>IF($A513="","",IFERROR(INDEX(Prices[FX to SGD],MATCH($A513,Prices[Key],0)),1))</f>
        <v/>
      </c>
      <c r="J513" s="287" t="str">
        <f t="shared" si="66"/>
        <v/>
      </c>
      <c r="K513" s="287" t="str">
        <f t="shared" si="67"/>
        <v/>
      </c>
      <c r="L513" s="287" t="str">
        <f t="shared" si="68"/>
        <v/>
      </c>
      <c r="M513" s="290" t="str">
        <f t="shared" si="69"/>
        <v/>
      </c>
      <c r="N513" s="243" t="str">
        <f>IF($A513="","",IF(ABS(E513)&gt;0.000001,COUNT($N$1:N512)+1,""))</f>
        <v/>
      </c>
      <c r="O513" s="291" t="str">
        <f>IF($A513="","",SUMIFS(Transactions!$H$2:$H$1001,Transactions!$J$2:$J$1001,$A513,Transactions!$A$2:$A$1001,2)*$I513)</f>
        <v/>
      </c>
      <c r="P513" s="291" t="str">
        <f t="shared" si="70"/>
        <v/>
      </c>
      <c r="Q513" s="292" t="str">
        <f t="shared" si="71"/>
        <v/>
      </c>
    </row>
    <row r="514" spans="1:17" ht="15" customHeight="1" x14ac:dyDescent="0.2">
      <c r="A514" s="243" t="str">
        <f>IFERROR(INDEX(Txn[Key],MATCH(0,INDEX(COUNTIF($A$1:A513,Txn[Key])+(Txn[Key]=""),0),0)),"")</f>
        <v/>
      </c>
      <c r="B514" s="243" t="str">
        <f t="shared" ref="B514:B577" si="72">IF($A514="","",LEFT($A514,FIND(":",$A514)-1))</f>
        <v/>
      </c>
      <c r="C514" s="243" t="str">
        <f t="shared" ref="C514:C577" si="73">IF($A514="","",MID($A514,FIND(":",$A514)+1,FIND(":",$A514,FIND(":",$A514)+1)-FIND(":",$A514)-1))</f>
        <v/>
      </c>
      <c r="D514" s="243" t="str">
        <f t="shared" ref="D514:D577" si="74">IF($A514="","",RIGHT($A514,LEN($A514)-FIND(":",$A514,FIND(":",$A514)+1)))</f>
        <v/>
      </c>
      <c r="E514" s="265" t="str">
        <f>IF($A514="","",SUMIFS(Txn[Signed Units],Txn[Key],$A514))</f>
        <v/>
      </c>
      <c r="F514" s="287" t="str">
        <f>IF($A514="","",SUMIFS(Txn[Buy Cost],Txn[Key],$A514))</f>
        <v/>
      </c>
      <c r="G514" s="287" t="str">
        <f>IF($A514="","",SUMIFS(Txn[Sell Proceeds],Txn[Key],$A514))</f>
        <v/>
      </c>
      <c r="H514" s="288" t="str">
        <f>IF($A514="","",IFERROR(INDEX(Prices[Current Price],MATCH($A514,Prices[Key],0)),0))</f>
        <v/>
      </c>
      <c r="I514" s="289" t="str">
        <f>IF($A514="","",IFERROR(INDEX(Prices[FX to SGD],MATCH($A514,Prices[Key],0)),1))</f>
        <v/>
      </c>
      <c r="J514" s="287" t="str">
        <f t="shared" ref="J514:J577" si="75">IF($A514="","",E514*H514)</f>
        <v/>
      </c>
      <c r="K514" s="287" t="str">
        <f t="shared" ref="K514:K577" si="76">IF($A514="","",J514+G514-F514)</f>
        <v/>
      </c>
      <c r="L514" s="287" t="str">
        <f t="shared" ref="L514:L577" si="77">IF($A514="","",K514*I514)</f>
        <v/>
      </c>
      <c r="M514" s="290" t="str">
        <f t="shared" ref="M514:M577" si="78">IF($A514="","",IFERROR(K514/F514,0))</f>
        <v/>
      </c>
      <c r="N514" s="243" t="str">
        <f>IF($A514="","",IF(ABS(E514)&gt;0.000001,COUNT($N$1:N513)+1,""))</f>
        <v/>
      </c>
      <c r="O514" s="291" t="str">
        <f>IF($A514="","",SUMIFS(Transactions!$H$2:$H$1001,Transactions!$J$2:$J$1001,$A514,Transactions!$A$2:$A$1001,2)*$I514)</f>
        <v/>
      </c>
      <c r="P514" s="291" t="str">
        <f t="shared" ref="P514:P577" si="79">IF($A514="","",$L514+$O514)</f>
        <v/>
      </c>
      <c r="Q514" s="292" t="str">
        <f t="shared" ref="Q514:Q577" si="80">IF($A514="","",IFERROR(($L514+$O514)/($F514*$I514),0))</f>
        <v/>
      </c>
    </row>
    <row r="515" spans="1:17" ht="15" customHeight="1" x14ac:dyDescent="0.2">
      <c r="A515" s="243" t="str">
        <f>IFERROR(INDEX(Txn[Key],MATCH(0,INDEX(COUNTIF($A$1:A514,Txn[Key])+(Txn[Key]=""),0),0)),"")</f>
        <v/>
      </c>
      <c r="B515" s="243" t="str">
        <f t="shared" si="72"/>
        <v/>
      </c>
      <c r="C515" s="243" t="str">
        <f t="shared" si="73"/>
        <v/>
      </c>
      <c r="D515" s="243" t="str">
        <f t="shared" si="74"/>
        <v/>
      </c>
      <c r="E515" s="265" t="str">
        <f>IF($A515="","",SUMIFS(Txn[Signed Units],Txn[Key],$A515))</f>
        <v/>
      </c>
      <c r="F515" s="287" t="str">
        <f>IF($A515="","",SUMIFS(Txn[Buy Cost],Txn[Key],$A515))</f>
        <v/>
      </c>
      <c r="G515" s="287" t="str">
        <f>IF($A515="","",SUMIFS(Txn[Sell Proceeds],Txn[Key],$A515))</f>
        <v/>
      </c>
      <c r="H515" s="288" t="str">
        <f>IF($A515="","",IFERROR(INDEX(Prices[Current Price],MATCH($A515,Prices[Key],0)),0))</f>
        <v/>
      </c>
      <c r="I515" s="289" t="str">
        <f>IF($A515="","",IFERROR(INDEX(Prices[FX to SGD],MATCH($A515,Prices[Key],0)),1))</f>
        <v/>
      </c>
      <c r="J515" s="287" t="str">
        <f t="shared" si="75"/>
        <v/>
      </c>
      <c r="K515" s="287" t="str">
        <f t="shared" si="76"/>
        <v/>
      </c>
      <c r="L515" s="287" t="str">
        <f t="shared" si="77"/>
        <v/>
      </c>
      <c r="M515" s="290" t="str">
        <f t="shared" si="78"/>
        <v/>
      </c>
      <c r="N515" s="243" t="str">
        <f>IF($A515="","",IF(ABS(E515)&gt;0.000001,COUNT($N$1:N514)+1,""))</f>
        <v/>
      </c>
      <c r="O515" s="291" t="str">
        <f>IF($A515="","",SUMIFS(Transactions!$H$2:$H$1001,Transactions!$J$2:$J$1001,$A515,Transactions!$A$2:$A$1001,2)*$I515)</f>
        <v/>
      </c>
      <c r="P515" s="291" t="str">
        <f t="shared" si="79"/>
        <v/>
      </c>
      <c r="Q515" s="292" t="str">
        <f t="shared" si="80"/>
        <v/>
      </c>
    </row>
    <row r="516" spans="1:17" ht="15" customHeight="1" x14ac:dyDescent="0.2">
      <c r="A516" s="243" t="str">
        <f>IFERROR(INDEX(Txn[Key],MATCH(0,INDEX(COUNTIF($A$1:A515,Txn[Key])+(Txn[Key]=""),0),0)),"")</f>
        <v/>
      </c>
      <c r="B516" s="243" t="str">
        <f t="shared" si="72"/>
        <v/>
      </c>
      <c r="C516" s="243" t="str">
        <f t="shared" si="73"/>
        <v/>
      </c>
      <c r="D516" s="243" t="str">
        <f t="shared" si="74"/>
        <v/>
      </c>
      <c r="E516" s="265" t="str">
        <f>IF($A516="","",SUMIFS(Txn[Signed Units],Txn[Key],$A516))</f>
        <v/>
      </c>
      <c r="F516" s="287" t="str">
        <f>IF($A516="","",SUMIFS(Txn[Buy Cost],Txn[Key],$A516))</f>
        <v/>
      </c>
      <c r="G516" s="287" t="str">
        <f>IF($A516="","",SUMIFS(Txn[Sell Proceeds],Txn[Key],$A516))</f>
        <v/>
      </c>
      <c r="H516" s="288" t="str">
        <f>IF($A516="","",IFERROR(INDEX(Prices[Current Price],MATCH($A516,Prices[Key],0)),0))</f>
        <v/>
      </c>
      <c r="I516" s="289" t="str">
        <f>IF($A516="","",IFERROR(INDEX(Prices[FX to SGD],MATCH($A516,Prices[Key],0)),1))</f>
        <v/>
      </c>
      <c r="J516" s="287" t="str">
        <f t="shared" si="75"/>
        <v/>
      </c>
      <c r="K516" s="287" t="str">
        <f t="shared" si="76"/>
        <v/>
      </c>
      <c r="L516" s="287" t="str">
        <f t="shared" si="77"/>
        <v/>
      </c>
      <c r="M516" s="290" t="str">
        <f t="shared" si="78"/>
        <v/>
      </c>
      <c r="N516" s="243" t="str">
        <f>IF($A516="","",IF(ABS(E516)&gt;0.000001,COUNT($N$1:N515)+1,""))</f>
        <v/>
      </c>
      <c r="O516" s="291" t="str">
        <f>IF($A516="","",SUMIFS(Transactions!$H$2:$H$1001,Transactions!$J$2:$J$1001,$A516,Transactions!$A$2:$A$1001,2)*$I516)</f>
        <v/>
      </c>
      <c r="P516" s="291" t="str">
        <f t="shared" si="79"/>
        <v/>
      </c>
      <c r="Q516" s="292" t="str">
        <f t="shared" si="80"/>
        <v/>
      </c>
    </row>
    <row r="517" spans="1:17" ht="15" customHeight="1" x14ac:dyDescent="0.2">
      <c r="A517" s="243" t="str">
        <f>IFERROR(INDEX(Txn[Key],MATCH(0,INDEX(COUNTIF($A$1:A516,Txn[Key])+(Txn[Key]=""),0),0)),"")</f>
        <v/>
      </c>
      <c r="B517" s="243" t="str">
        <f t="shared" si="72"/>
        <v/>
      </c>
      <c r="C517" s="243" t="str">
        <f t="shared" si="73"/>
        <v/>
      </c>
      <c r="D517" s="243" t="str">
        <f t="shared" si="74"/>
        <v/>
      </c>
      <c r="E517" s="265" t="str">
        <f>IF($A517="","",SUMIFS(Txn[Signed Units],Txn[Key],$A517))</f>
        <v/>
      </c>
      <c r="F517" s="287" t="str">
        <f>IF($A517="","",SUMIFS(Txn[Buy Cost],Txn[Key],$A517))</f>
        <v/>
      </c>
      <c r="G517" s="287" t="str">
        <f>IF($A517="","",SUMIFS(Txn[Sell Proceeds],Txn[Key],$A517))</f>
        <v/>
      </c>
      <c r="H517" s="288" t="str">
        <f>IF($A517="","",IFERROR(INDEX(Prices[Current Price],MATCH($A517,Prices[Key],0)),0))</f>
        <v/>
      </c>
      <c r="I517" s="289" t="str">
        <f>IF($A517="","",IFERROR(INDEX(Prices[FX to SGD],MATCH($A517,Prices[Key],0)),1))</f>
        <v/>
      </c>
      <c r="J517" s="287" t="str">
        <f t="shared" si="75"/>
        <v/>
      </c>
      <c r="K517" s="287" t="str">
        <f t="shared" si="76"/>
        <v/>
      </c>
      <c r="L517" s="287" t="str">
        <f t="shared" si="77"/>
        <v/>
      </c>
      <c r="M517" s="290" t="str">
        <f t="shared" si="78"/>
        <v/>
      </c>
      <c r="N517" s="243" t="str">
        <f>IF($A517="","",IF(ABS(E517)&gt;0.000001,COUNT($N$1:N516)+1,""))</f>
        <v/>
      </c>
      <c r="O517" s="291" t="str">
        <f>IF($A517="","",SUMIFS(Transactions!$H$2:$H$1001,Transactions!$J$2:$J$1001,$A517,Transactions!$A$2:$A$1001,2)*$I517)</f>
        <v/>
      </c>
      <c r="P517" s="291" t="str">
        <f t="shared" si="79"/>
        <v/>
      </c>
      <c r="Q517" s="292" t="str">
        <f t="shared" si="80"/>
        <v/>
      </c>
    </row>
    <row r="518" spans="1:17" ht="15" customHeight="1" x14ac:dyDescent="0.2">
      <c r="A518" s="243" t="str">
        <f>IFERROR(INDEX(Txn[Key],MATCH(0,INDEX(COUNTIF($A$1:A517,Txn[Key])+(Txn[Key]=""),0),0)),"")</f>
        <v/>
      </c>
      <c r="B518" s="243" t="str">
        <f t="shared" si="72"/>
        <v/>
      </c>
      <c r="C518" s="243" t="str">
        <f t="shared" si="73"/>
        <v/>
      </c>
      <c r="D518" s="243" t="str">
        <f t="shared" si="74"/>
        <v/>
      </c>
      <c r="E518" s="265" t="str">
        <f>IF($A518="","",SUMIFS(Txn[Signed Units],Txn[Key],$A518))</f>
        <v/>
      </c>
      <c r="F518" s="287" t="str">
        <f>IF($A518="","",SUMIFS(Txn[Buy Cost],Txn[Key],$A518))</f>
        <v/>
      </c>
      <c r="G518" s="287" t="str">
        <f>IF($A518="","",SUMIFS(Txn[Sell Proceeds],Txn[Key],$A518))</f>
        <v/>
      </c>
      <c r="H518" s="288" t="str">
        <f>IF($A518="","",IFERROR(INDEX(Prices[Current Price],MATCH($A518,Prices[Key],0)),0))</f>
        <v/>
      </c>
      <c r="I518" s="289" t="str">
        <f>IF($A518="","",IFERROR(INDEX(Prices[FX to SGD],MATCH($A518,Prices[Key],0)),1))</f>
        <v/>
      </c>
      <c r="J518" s="287" t="str">
        <f t="shared" si="75"/>
        <v/>
      </c>
      <c r="K518" s="287" t="str">
        <f t="shared" si="76"/>
        <v/>
      </c>
      <c r="L518" s="287" t="str">
        <f t="shared" si="77"/>
        <v/>
      </c>
      <c r="M518" s="290" t="str">
        <f t="shared" si="78"/>
        <v/>
      </c>
      <c r="N518" s="243" t="str">
        <f>IF($A518="","",IF(ABS(E518)&gt;0.000001,COUNT($N$1:N517)+1,""))</f>
        <v/>
      </c>
      <c r="O518" s="291" t="str">
        <f>IF($A518="","",SUMIFS(Transactions!$H$2:$H$1001,Transactions!$J$2:$J$1001,$A518,Transactions!$A$2:$A$1001,2)*$I518)</f>
        <v/>
      </c>
      <c r="P518" s="291" t="str">
        <f t="shared" si="79"/>
        <v/>
      </c>
      <c r="Q518" s="292" t="str">
        <f t="shared" si="80"/>
        <v/>
      </c>
    </row>
    <row r="519" spans="1:17" ht="15" customHeight="1" x14ac:dyDescent="0.2">
      <c r="A519" s="243" t="str">
        <f>IFERROR(INDEX(Txn[Key],MATCH(0,INDEX(COUNTIF($A$1:A518,Txn[Key])+(Txn[Key]=""),0),0)),"")</f>
        <v/>
      </c>
      <c r="B519" s="243" t="str">
        <f t="shared" si="72"/>
        <v/>
      </c>
      <c r="C519" s="243" t="str">
        <f t="shared" si="73"/>
        <v/>
      </c>
      <c r="D519" s="243" t="str">
        <f t="shared" si="74"/>
        <v/>
      </c>
      <c r="E519" s="265" t="str">
        <f>IF($A519="","",SUMIFS(Txn[Signed Units],Txn[Key],$A519))</f>
        <v/>
      </c>
      <c r="F519" s="287" t="str">
        <f>IF($A519="","",SUMIFS(Txn[Buy Cost],Txn[Key],$A519))</f>
        <v/>
      </c>
      <c r="G519" s="287" t="str">
        <f>IF($A519="","",SUMIFS(Txn[Sell Proceeds],Txn[Key],$A519))</f>
        <v/>
      </c>
      <c r="H519" s="288" t="str">
        <f>IF($A519="","",IFERROR(INDEX(Prices[Current Price],MATCH($A519,Prices[Key],0)),0))</f>
        <v/>
      </c>
      <c r="I519" s="289" t="str">
        <f>IF($A519="","",IFERROR(INDEX(Prices[FX to SGD],MATCH($A519,Prices[Key],0)),1))</f>
        <v/>
      </c>
      <c r="J519" s="287" t="str">
        <f t="shared" si="75"/>
        <v/>
      </c>
      <c r="K519" s="287" t="str">
        <f t="shared" si="76"/>
        <v/>
      </c>
      <c r="L519" s="287" t="str">
        <f t="shared" si="77"/>
        <v/>
      </c>
      <c r="M519" s="290" t="str">
        <f t="shared" si="78"/>
        <v/>
      </c>
      <c r="N519" s="243" t="str">
        <f>IF($A519="","",IF(ABS(E519)&gt;0.000001,COUNT($N$1:N518)+1,""))</f>
        <v/>
      </c>
      <c r="O519" s="291" t="str">
        <f>IF($A519="","",SUMIFS(Transactions!$H$2:$H$1001,Transactions!$J$2:$J$1001,$A519,Transactions!$A$2:$A$1001,2)*$I519)</f>
        <v/>
      </c>
      <c r="P519" s="291" t="str">
        <f t="shared" si="79"/>
        <v/>
      </c>
      <c r="Q519" s="292" t="str">
        <f t="shared" si="80"/>
        <v/>
      </c>
    </row>
    <row r="520" spans="1:17" ht="15" customHeight="1" x14ac:dyDescent="0.2">
      <c r="A520" s="243" t="str">
        <f>IFERROR(INDEX(Txn[Key],MATCH(0,INDEX(COUNTIF($A$1:A519,Txn[Key])+(Txn[Key]=""),0),0)),"")</f>
        <v/>
      </c>
      <c r="B520" s="243" t="str">
        <f t="shared" si="72"/>
        <v/>
      </c>
      <c r="C520" s="243" t="str">
        <f t="shared" si="73"/>
        <v/>
      </c>
      <c r="D520" s="243" t="str">
        <f t="shared" si="74"/>
        <v/>
      </c>
      <c r="E520" s="265" t="str">
        <f>IF($A520="","",SUMIFS(Txn[Signed Units],Txn[Key],$A520))</f>
        <v/>
      </c>
      <c r="F520" s="287" t="str">
        <f>IF($A520="","",SUMIFS(Txn[Buy Cost],Txn[Key],$A520))</f>
        <v/>
      </c>
      <c r="G520" s="287" t="str">
        <f>IF($A520="","",SUMIFS(Txn[Sell Proceeds],Txn[Key],$A520))</f>
        <v/>
      </c>
      <c r="H520" s="288" t="str">
        <f>IF($A520="","",IFERROR(INDEX(Prices[Current Price],MATCH($A520,Prices[Key],0)),0))</f>
        <v/>
      </c>
      <c r="I520" s="289" t="str">
        <f>IF($A520="","",IFERROR(INDEX(Prices[FX to SGD],MATCH($A520,Prices[Key],0)),1))</f>
        <v/>
      </c>
      <c r="J520" s="287" t="str">
        <f t="shared" si="75"/>
        <v/>
      </c>
      <c r="K520" s="287" t="str">
        <f t="shared" si="76"/>
        <v/>
      </c>
      <c r="L520" s="287" t="str">
        <f t="shared" si="77"/>
        <v/>
      </c>
      <c r="M520" s="290" t="str">
        <f t="shared" si="78"/>
        <v/>
      </c>
      <c r="N520" s="243" t="str">
        <f>IF($A520="","",IF(ABS(E520)&gt;0.000001,COUNT($N$1:N519)+1,""))</f>
        <v/>
      </c>
      <c r="O520" s="291" t="str">
        <f>IF($A520="","",SUMIFS(Transactions!$H$2:$H$1001,Transactions!$J$2:$J$1001,$A520,Transactions!$A$2:$A$1001,2)*$I520)</f>
        <v/>
      </c>
      <c r="P520" s="291" t="str">
        <f t="shared" si="79"/>
        <v/>
      </c>
      <c r="Q520" s="292" t="str">
        <f t="shared" si="80"/>
        <v/>
      </c>
    </row>
    <row r="521" spans="1:17" ht="15" customHeight="1" x14ac:dyDescent="0.2">
      <c r="A521" s="243" t="str">
        <f>IFERROR(INDEX(Txn[Key],MATCH(0,INDEX(COUNTIF($A$1:A520,Txn[Key])+(Txn[Key]=""),0),0)),"")</f>
        <v/>
      </c>
      <c r="B521" s="243" t="str">
        <f t="shared" si="72"/>
        <v/>
      </c>
      <c r="C521" s="243" t="str">
        <f t="shared" si="73"/>
        <v/>
      </c>
      <c r="D521" s="243" t="str">
        <f t="shared" si="74"/>
        <v/>
      </c>
      <c r="E521" s="265" t="str">
        <f>IF($A521="","",SUMIFS(Txn[Signed Units],Txn[Key],$A521))</f>
        <v/>
      </c>
      <c r="F521" s="287" t="str">
        <f>IF($A521="","",SUMIFS(Txn[Buy Cost],Txn[Key],$A521))</f>
        <v/>
      </c>
      <c r="G521" s="287" t="str">
        <f>IF($A521="","",SUMIFS(Txn[Sell Proceeds],Txn[Key],$A521))</f>
        <v/>
      </c>
      <c r="H521" s="288" t="str">
        <f>IF($A521="","",IFERROR(INDEX(Prices[Current Price],MATCH($A521,Prices[Key],0)),0))</f>
        <v/>
      </c>
      <c r="I521" s="289" t="str">
        <f>IF($A521="","",IFERROR(INDEX(Prices[FX to SGD],MATCH($A521,Prices[Key],0)),1))</f>
        <v/>
      </c>
      <c r="J521" s="287" t="str">
        <f t="shared" si="75"/>
        <v/>
      </c>
      <c r="K521" s="287" t="str">
        <f t="shared" si="76"/>
        <v/>
      </c>
      <c r="L521" s="287" t="str">
        <f t="shared" si="77"/>
        <v/>
      </c>
      <c r="M521" s="290" t="str">
        <f t="shared" si="78"/>
        <v/>
      </c>
      <c r="N521" s="243" t="str">
        <f>IF($A521="","",IF(ABS(E521)&gt;0.000001,COUNT($N$1:N520)+1,""))</f>
        <v/>
      </c>
      <c r="O521" s="291" t="str">
        <f>IF($A521="","",SUMIFS(Transactions!$H$2:$H$1001,Transactions!$J$2:$J$1001,$A521,Transactions!$A$2:$A$1001,2)*$I521)</f>
        <v/>
      </c>
      <c r="P521" s="291" t="str">
        <f t="shared" si="79"/>
        <v/>
      </c>
      <c r="Q521" s="292" t="str">
        <f t="shared" si="80"/>
        <v/>
      </c>
    </row>
    <row r="522" spans="1:17" ht="15" customHeight="1" x14ac:dyDescent="0.2">
      <c r="A522" s="243" t="str">
        <f>IFERROR(INDEX(Txn[Key],MATCH(0,INDEX(COUNTIF($A$1:A521,Txn[Key])+(Txn[Key]=""),0),0)),"")</f>
        <v/>
      </c>
      <c r="B522" s="243" t="str">
        <f t="shared" si="72"/>
        <v/>
      </c>
      <c r="C522" s="243" t="str">
        <f t="shared" si="73"/>
        <v/>
      </c>
      <c r="D522" s="243" t="str">
        <f t="shared" si="74"/>
        <v/>
      </c>
      <c r="E522" s="265" t="str">
        <f>IF($A522="","",SUMIFS(Txn[Signed Units],Txn[Key],$A522))</f>
        <v/>
      </c>
      <c r="F522" s="287" t="str">
        <f>IF($A522="","",SUMIFS(Txn[Buy Cost],Txn[Key],$A522))</f>
        <v/>
      </c>
      <c r="G522" s="287" t="str">
        <f>IF($A522="","",SUMIFS(Txn[Sell Proceeds],Txn[Key],$A522))</f>
        <v/>
      </c>
      <c r="H522" s="288" t="str">
        <f>IF($A522="","",IFERROR(INDEX(Prices[Current Price],MATCH($A522,Prices[Key],0)),0))</f>
        <v/>
      </c>
      <c r="I522" s="289" t="str">
        <f>IF($A522="","",IFERROR(INDEX(Prices[FX to SGD],MATCH($A522,Prices[Key],0)),1))</f>
        <v/>
      </c>
      <c r="J522" s="287" t="str">
        <f t="shared" si="75"/>
        <v/>
      </c>
      <c r="K522" s="287" t="str">
        <f t="shared" si="76"/>
        <v/>
      </c>
      <c r="L522" s="287" t="str">
        <f t="shared" si="77"/>
        <v/>
      </c>
      <c r="M522" s="290" t="str">
        <f t="shared" si="78"/>
        <v/>
      </c>
      <c r="N522" s="243" t="str">
        <f>IF($A522="","",IF(ABS(E522)&gt;0.000001,COUNT($N$1:N521)+1,""))</f>
        <v/>
      </c>
      <c r="O522" s="291" t="str">
        <f>IF($A522="","",SUMIFS(Transactions!$H$2:$H$1001,Transactions!$J$2:$J$1001,$A522,Transactions!$A$2:$A$1001,2)*$I522)</f>
        <v/>
      </c>
      <c r="P522" s="291" t="str">
        <f t="shared" si="79"/>
        <v/>
      </c>
      <c r="Q522" s="292" t="str">
        <f t="shared" si="80"/>
        <v/>
      </c>
    </row>
    <row r="523" spans="1:17" ht="15" customHeight="1" x14ac:dyDescent="0.2">
      <c r="A523" s="243" t="str">
        <f>IFERROR(INDEX(Txn[Key],MATCH(0,INDEX(COUNTIF($A$1:A522,Txn[Key])+(Txn[Key]=""),0),0)),"")</f>
        <v/>
      </c>
      <c r="B523" s="243" t="str">
        <f t="shared" si="72"/>
        <v/>
      </c>
      <c r="C523" s="243" t="str">
        <f t="shared" si="73"/>
        <v/>
      </c>
      <c r="D523" s="243" t="str">
        <f t="shared" si="74"/>
        <v/>
      </c>
      <c r="E523" s="265" t="str">
        <f>IF($A523="","",SUMIFS(Txn[Signed Units],Txn[Key],$A523))</f>
        <v/>
      </c>
      <c r="F523" s="287" t="str">
        <f>IF($A523="","",SUMIFS(Txn[Buy Cost],Txn[Key],$A523))</f>
        <v/>
      </c>
      <c r="G523" s="287" t="str">
        <f>IF($A523="","",SUMIFS(Txn[Sell Proceeds],Txn[Key],$A523))</f>
        <v/>
      </c>
      <c r="H523" s="288" t="str">
        <f>IF($A523="","",IFERROR(INDEX(Prices[Current Price],MATCH($A523,Prices[Key],0)),0))</f>
        <v/>
      </c>
      <c r="I523" s="289" t="str">
        <f>IF($A523="","",IFERROR(INDEX(Prices[FX to SGD],MATCH($A523,Prices[Key],0)),1))</f>
        <v/>
      </c>
      <c r="J523" s="287" t="str">
        <f t="shared" si="75"/>
        <v/>
      </c>
      <c r="K523" s="287" t="str">
        <f t="shared" si="76"/>
        <v/>
      </c>
      <c r="L523" s="287" t="str">
        <f t="shared" si="77"/>
        <v/>
      </c>
      <c r="M523" s="290" t="str">
        <f t="shared" si="78"/>
        <v/>
      </c>
      <c r="N523" s="243" t="str">
        <f>IF($A523="","",IF(ABS(E523)&gt;0.000001,COUNT($N$1:N522)+1,""))</f>
        <v/>
      </c>
      <c r="O523" s="291" t="str">
        <f>IF($A523="","",SUMIFS(Transactions!$H$2:$H$1001,Transactions!$J$2:$J$1001,$A523,Transactions!$A$2:$A$1001,2)*$I523)</f>
        <v/>
      </c>
      <c r="P523" s="291" t="str">
        <f t="shared" si="79"/>
        <v/>
      </c>
      <c r="Q523" s="292" t="str">
        <f t="shared" si="80"/>
        <v/>
      </c>
    </row>
    <row r="524" spans="1:17" ht="15" customHeight="1" x14ac:dyDescent="0.2">
      <c r="A524" s="243" t="str">
        <f>IFERROR(INDEX(Txn[Key],MATCH(0,INDEX(COUNTIF($A$1:A523,Txn[Key])+(Txn[Key]=""),0),0)),"")</f>
        <v/>
      </c>
      <c r="B524" s="243" t="str">
        <f t="shared" si="72"/>
        <v/>
      </c>
      <c r="C524" s="243" t="str">
        <f t="shared" si="73"/>
        <v/>
      </c>
      <c r="D524" s="243" t="str">
        <f t="shared" si="74"/>
        <v/>
      </c>
      <c r="E524" s="265" t="str">
        <f>IF($A524="","",SUMIFS(Txn[Signed Units],Txn[Key],$A524))</f>
        <v/>
      </c>
      <c r="F524" s="287" t="str">
        <f>IF($A524="","",SUMIFS(Txn[Buy Cost],Txn[Key],$A524))</f>
        <v/>
      </c>
      <c r="G524" s="287" t="str">
        <f>IF($A524="","",SUMIFS(Txn[Sell Proceeds],Txn[Key],$A524))</f>
        <v/>
      </c>
      <c r="H524" s="288" t="str">
        <f>IF($A524="","",IFERROR(INDEX(Prices[Current Price],MATCH($A524,Prices[Key],0)),0))</f>
        <v/>
      </c>
      <c r="I524" s="289" t="str">
        <f>IF($A524="","",IFERROR(INDEX(Prices[FX to SGD],MATCH($A524,Prices[Key],0)),1))</f>
        <v/>
      </c>
      <c r="J524" s="287" t="str">
        <f t="shared" si="75"/>
        <v/>
      </c>
      <c r="K524" s="287" t="str">
        <f t="shared" si="76"/>
        <v/>
      </c>
      <c r="L524" s="287" t="str">
        <f t="shared" si="77"/>
        <v/>
      </c>
      <c r="M524" s="290" t="str">
        <f t="shared" si="78"/>
        <v/>
      </c>
      <c r="N524" s="243" t="str">
        <f>IF($A524="","",IF(ABS(E524)&gt;0.000001,COUNT($N$1:N523)+1,""))</f>
        <v/>
      </c>
      <c r="O524" s="291" t="str">
        <f>IF($A524="","",SUMIFS(Transactions!$H$2:$H$1001,Transactions!$J$2:$J$1001,$A524,Transactions!$A$2:$A$1001,2)*$I524)</f>
        <v/>
      </c>
      <c r="P524" s="291" t="str">
        <f t="shared" si="79"/>
        <v/>
      </c>
      <c r="Q524" s="292" t="str">
        <f t="shared" si="80"/>
        <v/>
      </c>
    </row>
    <row r="525" spans="1:17" ht="15" customHeight="1" x14ac:dyDescent="0.2">
      <c r="A525" s="243" t="str">
        <f>IFERROR(INDEX(Txn[Key],MATCH(0,INDEX(COUNTIF($A$1:A524,Txn[Key])+(Txn[Key]=""),0),0)),"")</f>
        <v/>
      </c>
      <c r="B525" s="243" t="str">
        <f t="shared" si="72"/>
        <v/>
      </c>
      <c r="C525" s="243" t="str">
        <f t="shared" si="73"/>
        <v/>
      </c>
      <c r="D525" s="243" t="str">
        <f t="shared" si="74"/>
        <v/>
      </c>
      <c r="E525" s="265" t="str">
        <f>IF($A525="","",SUMIFS(Txn[Signed Units],Txn[Key],$A525))</f>
        <v/>
      </c>
      <c r="F525" s="287" t="str">
        <f>IF($A525="","",SUMIFS(Txn[Buy Cost],Txn[Key],$A525))</f>
        <v/>
      </c>
      <c r="G525" s="287" t="str">
        <f>IF($A525="","",SUMIFS(Txn[Sell Proceeds],Txn[Key],$A525))</f>
        <v/>
      </c>
      <c r="H525" s="288" t="str">
        <f>IF($A525="","",IFERROR(INDEX(Prices[Current Price],MATCH($A525,Prices[Key],0)),0))</f>
        <v/>
      </c>
      <c r="I525" s="289" t="str">
        <f>IF($A525="","",IFERROR(INDEX(Prices[FX to SGD],MATCH($A525,Prices[Key],0)),1))</f>
        <v/>
      </c>
      <c r="J525" s="287" t="str">
        <f t="shared" si="75"/>
        <v/>
      </c>
      <c r="K525" s="287" t="str">
        <f t="shared" si="76"/>
        <v/>
      </c>
      <c r="L525" s="287" t="str">
        <f t="shared" si="77"/>
        <v/>
      </c>
      <c r="M525" s="290" t="str">
        <f t="shared" si="78"/>
        <v/>
      </c>
      <c r="N525" s="243" t="str">
        <f>IF($A525="","",IF(ABS(E525)&gt;0.000001,COUNT($N$1:N524)+1,""))</f>
        <v/>
      </c>
      <c r="O525" s="291" t="str">
        <f>IF($A525="","",SUMIFS(Transactions!$H$2:$H$1001,Transactions!$J$2:$J$1001,$A525,Transactions!$A$2:$A$1001,2)*$I525)</f>
        <v/>
      </c>
      <c r="P525" s="291" t="str">
        <f t="shared" si="79"/>
        <v/>
      </c>
      <c r="Q525" s="292" t="str">
        <f t="shared" si="80"/>
        <v/>
      </c>
    </row>
    <row r="526" spans="1:17" ht="15" customHeight="1" x14ac:dyDescent="0.2">
      <c r="A526" s="243" t="str">
        <f>IFERROR(INDEX(Txn[Key],MATCH(0,INDEX(COUNTIF($A$1:A525,Txn[Key])+(Txn[Key]=""),0),0)),"")</f>
        <v/>
      </c>
      <c r="B526" s="243" t="str">
        <f t="shared" si="72"/>
        <v/>
      </c>
      <c r="C526" s="243" t="str">
        <f t="shared" si="73"/>
        <v/>
      </c>
      <c r="D526" s="243" t="str">
        <f t="shared" si="74"/>
        <v/>
      </c>
      <c r="E526" s="265" t="str">
        <f>IF($A526="","",SUMIFS(Txn[Signed Units],Txn[Key],$A526))</f>
        <v/>
      </c>
      <c r="F526" s="287" t="str">
        <f>IF($A526="","",SUMIFS(Txn[Buy Cost],Txn[Key],$A526))</f>
        <v/>
      </c>
      <c r="G526" s="287" t="str">
        <f>IF($A526="","",SUMIFS(Txn[Sell Proceeds],Txn[Key],$A526))</f>
        <v/>
      </c>
      <c r="H526" s="288" t="str">
        <f>IF($A526="","",IFERROR(INDEX(Prices[Current Price],MATCH($A526,Prices[Key],0)),0))</f>
        <v/>
      </c>
      <c r="I526" s="289" t="str">
        <f>IF($A526="","",IFERROR(INDEX(Prices[FX to SGD],MATCH($A526,Prices[Key],0)),1))</f>
        <v/>
      </c>
      <c r="J526" s="287" t="str">
        <f t="shared" si="75"/>
        <v/>
      </c>
      <c r="K526" s="287" t="str">
        <f t="shared" si="76"/>
        <v/>
      </c>
      <c r="L526" s="287" t="str">
        <f t="shared" si="77"/>
        <v/>
      </c>
      <c r="M526" s="290" t="str">
        <f t="shared" si="78"/>
        <v/>
      </c>
      <c r="N526" s="243" t="str">
        <f>IF($A526="","",IF(ABS(E526)&gt;0.000001,COUNT($N$1:N525)+1,""))</f>
        <v/>
      </c>
      <c r="O526" s="291" t="str">
        <f>IF($A526="","",SUMIFS(Transactions!$H$2:$H$1001,Transactions!$J$2:$J$1001,$A526,Transactions!$A$2:$A$1001,2)*$I526)</f>
        <v/>
      </c>
      <c r="P526" s="291" t="str">
        <f t="shared" si="79"/>
        <v/>
      </c>
      <c r="Q526" s="292" t="str">
        <f t="shared" si="80"/>
        <v/>
      </c>
    </row>
    <row r="527" spans="1:17" ht="15" customHeight="1" x14ac:dyDescent="0.2">
      <c r="A527" s="243" t="str">
        <f>IFERROR(INDEX(Txn[Key],MATCH(0,INDEX(COUNTIF($A$1:A526,Txn[Key])+(Txn[Key]=""),0),0)),"")</f>
        <v/>
      </c>
      <c r="B527" s="243" t="str">
        <f t="shared" si="72"/>
        <v/>
      </c>
      <c r="C527" s="243" t="str">
        <f t="shared" si="73"/>
        <v/>
      </c>
      <c r="D527" s="243" t="str">
        <f t="shared" si="74"/>
        <v/>
      </c>
      <c r="E527" s="265" t="str">
        <f>IF($A527="","",SUMIFS(Txn[Signed Units],Txn[Key],$A527))</f>
        <v/>
      </c>
      <c r="F527" s="287" t="str">
        <f>IF($A527="","",SUMIFS(Txn[Buy Cost],Txn[Key],$A527))</f>
        <v/>
      </c>
      <c r="G527" s="287" t="str">
        <f>IF($A527="","",SUMIFS(Txn[Sell Proceeds],Txn[Key],$A527))</f>
        <v/>
      </c>
      <c r="H527" s="288" t="str">
        <f>IF($A527="","",IFERROR(INDEX(Prices[Current Price],MATCH($A527,Prices[Key],0)),0))</f>
        <v/>
      </c>
      <c r="I527" s="289" t="str">
        <f>IF($A527="","",IFERROR(INDEX(Prices[FX to SGD],MATCH($A527,Prices[Key],0)),1))</f>
        <v/>
      </c>
      <c r="J527" s="287" t="str">
        <f t="shared" si="75"/>
        <v/>
      </c>
      <c r="K527" s="287" t="str">
        <f t="shared" si="76"/>
        <v/>
      </c>
      <c r="L527" s="287" t="str">
        <f t="shared" si="77"/>
        <v/>
      </c>
      <c r="M527" s="290" t="str">
        <f t="shared" si="78"/>
        <v/>
      </c>
      <c r="N527" s="243" t="str">
        <f>IF($A527="","",IF(ABS(E527)&gt;0.000001,COUNT($N$1:N526)+1,""))</f>
        <v/>
      </c>
      <c r="O527" s="291" t="str">
        <f>IF($A527="","",SUMIFS(Transactions!$H$2:$H$1001,Transactions!$J$2:$J$1001,$A527,Transactions!$A$2:$A$1001,2)*$I527)</f>
        <v/>
      </c>
      <c r="P527" s="291" t="str">
        <f t="shared" si="79"/>
        <v/>
      </c>
      <c r="Q527" s="292" t="str">
        <f t="shared" si="80"/>
        <v/>
      </c>
    </row>
    <row r="528" spans="1:17" ht="15" customHeight="1" x14ac:dyDescent="0.2">
      <c r="A528" s="243" t="str">
        <f>IFERROR(INDEX(Txn[Key],MATCH(0,INDEX(COUNTIF($A$1:A527,Txn[Key])+(Txn[Key]=""),0),0)),"")</f>
        <v/>
      </c>
      <c r="B528" s="243" t="str">
        <f t="shared" si="72"/>
        <v/>
      </c>
      <c r="C528" s="243" t="str">
        <f t="shared" si="73"/>
        <v/>
      </c>
      <c r="D528" s="243" t="str">
        <f t="shared" si="74"/>
        <v/>
      </c>
      <c r="E528" s="265" t="str">
        <f>IF($A528="","",SUMIFS(Txn[Signed Units],Txn[Key],$A528))</f>
        <v/>
      </c>
      <c r="F528" s="287" t="str">
        <f>IF($A528="","",SUMIFS(Txn[Buy Cost],Txn[Key],$A528))</f>
        <v/>
      </c>
      <c r="G528" s="287" t="str">
        <f>IF($A528="","",SUMIFS(Txn[Sell Proceeds],Txn[Key],$A528))</f>
        <v/>
      </c>
      <c r="H528" s="288" t="str">
        <f>IF($A528="","",IFERROR(INDEX(Prices[Current Price],MATCH($A528,Prices[Key],0)),0))</f>
        <v/>
      </c>
      <c r="I528" s="289" t="str">
        <f>IF($A528="","",IFERROR(INDEX(Prices[FX to SGD],MATCH($A528,Prices[Key],0)),1))</f>
        <v/>
      </c>
      <c r="J528" s="287" t="str">
        <f t="shared" si="75"/>
        <v/>
      </c>
      <c r="K528" s="287" t="str">
        <f t="shared" si="76"/>
        <v/>
      </c>
      <c r="L528" s="287" t="str">
        <f t="shared" si="77"/>
        <v/>
      </c>
      <c r="M528" s="290" t="str">
        <f t="shared" si="78"/>
        <v/>
      </c>
      <c r="N528" s="243" t="str">
        <f>IF($A528="","",IF(ABS(E528)&gt;0.000001,COUNT($N$1:N527)+1,""))</f>
        <v/>
      </c>
      <c r="O528" s="291" t="str">
        <f>IF($A528="","",SUMIFS(Transactions!$H$2:$H$1001,Transactions!$J$2:$J$1001,$A528,Transactions!$A$2:$A$1001,2)*$I528)</f>
        <v/>
      </c>
      <c r="P528" s="291" t="str">
        <f t="shared" si="79"/>
        <v/>
      </c>
      <c r="Q528" s="292" t="str">
        <f t="shared" si="80"/>
        <v/>
      </c>
    </row>
    <row r="529" spans="1:17" ht="15" customHeight="1" x14ac:dyDescent="0.2">
      <c r="A529" s="243" t="str">
        <f>IFERROR(INDEX(Txn[Key],MATCH(0,INDEX(COUNTIF($A$1:A528,Txn[Key])+(Txn[Key]=""),0),0)),"")</f>
        <v/>
      </c>
      <c r="B529" s="243" t="str">
        <f t="shared" si="72"/>
        <v/>
      </c>
      <c r="C529" s="243" t="str">
        <f t="shared" si="73"/>
        <v/>
      </c>
      <c r="D529" s="243" t="str">
        <f t="shared" si="74"/>
        <v/>
      </c>
      <c r="E529" s="265" t="str">
        <f>IF($A529="","",SUMIFS(Txn[Signed Units],Txn[Key],$A529))</f>
        <v/>
      </c>
      <c r="F529" s="287" t="str">
        <f>IF($A529="","",SUMIFS(Txn[Buy Cost],Txn[Key],$A529))</f>
        <v/>
      </c>
      <c r="G529" s="287" t="str">
        <f>IF($A529="","",SUMIFS(Txn[Sell Proceeds],Txn[Key],$A529))</f>
        <v/>
      </c>
      <c r="H529" s="288" t="str">
        <f>IF($A529="","",IFERROR(INDEX(Prices[Current Price],MATCH($A529,Prices[Key],0)),0))</f>
        <v/>
      </c>
      <c r="I529" s="289" t="str">
        <f>IF($A529="","",IFERROR(INDEX(Prices[FX to SGD],MATCH($A529,Prices[Key],0)),1))</f>
        <v/>
      </c>
      <c r="J529" s="287" t="str">
        <f t="shared" si="75"/>
        <v/>
      </c>
      <c r="K529" s="287" t="str">
        <f t="shared" si="76"/>
        <v/>
      </c>
      <c r="L529" s="287" t="str">
        <f t="shared" si="77"/>
        <v/>
      </c>
      <c r="M529" s="290" t="str">
        <f t="shared" si="78"/>
        <v/>
      </c>
      <c r="N529" s="243" t="str">
        <f>IF($A529="","",IF(ABS(E529)&gt;0.000001,COUNT($N$1:N528)+1,""))</f>
        <v/>
      </c>
      <c r="O529" s="291" t="str">
        <f>IF($A529="","",SUMIFS(Transactions!$H$2:$H$1001,Transactions!$J$2:$J$1001,$A529,Transactions!$A$2:$A$1001,2)*$I529)</f>
        <v/>
      </c>
      <c r="P529" s="291" t="str">
        <f t="shared" si="79"/>
        <v/>
      </c>
      <c r="Q529" s="292" t="str">
        <f t="shared" si="80"/>
        <v/>
      </c>
    </row>
    <row r="530" spans="1:17" ht="15" customHeight="1" x14ac:dyDescent="0.2">
      <c r="A530" s="243" t="str">
        <f>IFERROR(INDEX(Txn[Key],MATCH(0,INDEX(COUNTIF($A$1:A529,Txn[Key])+(Txn[Key]=""),0),0)),"")</f>
        <v/>
      </c>
      <c r="B530" s="243" t="str">
        <f t="shared" si="72"/>
        <v/>
      </c>
      <c r="C530" s="243" t="str">
        <f t="shared" si="73"/>
        <v/>
      </c>
      <c r="D530" s="243" t="str">
        <f t="shared" si="74"/>
        <v/>
      </c>
      <c r="E530" s="265" t="str">
        <f>IF($A530="","",SUMIFS(Txn[Signed Units],Txn[Key],$A530))</f>
        <v/>
      </c>
      <c r="F530" s="287" t="str">
        <f>IF($A530="","",SUMIFS(Txn[Buy Cost],Txn[Key],$A530))</f>
        <v/>
      </c>
      <c r="G530" s="287" t="str">
        <f>IF($A530="","",SUMIFS(Txn[Sell Proceeds],Txn[Key],$A530))</f>
        <v/>
      </c>
      <c r="H530" s="288" t="str">
        <f>IF($A530="","",IFERROR(INDEX(Prices[Current Price],MATCH($A530,Prices[Key],0)),0))</f>
        <v/>
      </c>
      <c r="I530" s="289" t="str">
        <f>IF($A530="","",IFERROR(INDEX(Prices[FX to SGD],MATCH($A530,Prices[Key],0)),1))</f>
        <v/>
      </c>
      <c r="J530" s="287" t="str">
        <f t="shared" si="75"/>
        <v/>
      </c>
      <c r="K530" s="287" t="str">
        <f t="shared" si="76"/>
        <v/>
      </c>
      <c r="L530" s="287" t="str">
        <f t="shared" si="77"/>
        <v/>
      </c>
      <c r="M530" s="290" t="str">
        <f t="shared" si="78"/>
        <v/>
      </c>
      <c r="N530" s="243" t="str">
        <f>IF($A530="","",IF(ABS(E530)&gt;0.000001,COUNT($N$1:N529)+1,""))</f>
        <v/>
      </c>
      <c r="O530" s="291" t="str">
        <f>IF($A530="","",SUMIFS(Transactions!$H$2:$H$1001,Transactions!$J$2:$J$1001,$A530,Transactions!$A$2:$A$1001,2)*$I530)</f>
        <v/>
      </c>
      <c r="P530" s="291" t="str">
        <f t="shared" si="79"/>
        <v/>
      </c>
      <c r="Q530" s="292" t="str">
        <f t="shared" si="80"/>
        <v/>
      </c>
    </row>
    <row r="531" spans="1:17" ht="15" customHeight="1" x14ac:dyDescent="0.2">
      <c r="A531" s="243" t="str">
        <f>IFERROR(INDEX(Txn[Key],MATCH(0,INDEX(COUNTIF($A$1:A530,Txn[Key])+(Txn[Key]=""),0),0)),"")</f>
        <v/>
      </c>
      <c r="B531" s="243" t="str">
        <f t="shared" si="72"/>
        <v/>
      </c>
      <c r="C531" s="243" t="str">
        <f t="shared" si="73"/>
        <v/>
      </c>
      <c r="D531" s="243" t="str">
        <f t="shared" si="74"/>
        <v/>
      </c>
      <c r="E531" s="265" t="str">
        <f>IF($A531="","",SUMIFS(Txn[Signed Units],Txn[Key],$A531))</f>
        <v/>
      </c>
      <c r="F531" s="287" t="str">
        <f>IF($A531="","",SUMIFS(Txn[Buy Cost],Txn[Key],$A531))</f>
        <v/>
      </c>
      <c r="G531" s="287" t="str">
        <f>IF($A531="","",SUMIFS(Txn[Sell Proceeds],Txn[Key],$A531))</f>
        <v/>
      </c>
      <c r="H531" s="288" t="str">
        <f>IF($A531="","",IFERROR(INDEX(Prices[Current Price],MATCH($A531,Prices[Key],0)),0))</f>
        <v/>
      </c>
      <c r="I531" s="289" t="str">
        <f>IF($A531="","",IFERROR(INDEX(Prices[FX to SGD],MATCH($A531,Prices[Key],0)),1))</f>
        <v/>
      </c>
      <c r="J531" s="287" t="str">
        <f t="shared" si="75"/>
        <v/>
      </c>
      <c r="K531" s="287" t="str">
        <f t="shared" si="76"/>
        <v/>
      </c>
      <c r="L531" s="287" t="str">
        <f t="shared" si="77"/>
        <v/>
      </c>
      <c r="M531" s="290" t="str">
        <f t="shared" si="78"/>
        <v/>
      </c>
      <c r="N531" s="243" t="str">
        <f>IF($A531="","",IF(ABS(E531)&gt;0.000001,COUNT($N$1:N530)+1,""))</f>
        <v/>
      </c>
      <c r="O531" s="291" t="str">
        <f>IF($A531="","",SUMIFS(Transactions!$H$2:$H$1001,Transactions!$J$2:$J$1001,$A531,Transactions!$A$2:$A$1001,2)*$I531)</f>
        <v/>
      </c>
      <c r="P531" s="291" t="str">
        <f t="shared" si="79"/>
        <v/>
      </c>
      <c r="Q531" s="292" t="str">
        <f t="shared" si="80"/>
        <v/>
      </c>
    </row>
    <row r="532" spans="1:17" ht="15" customHeight="1" x14ac:dyDescent="0.2">
      <c r="A532" s="243" t="str">
        <f>IFERROR(INDEX(Txn[Key],MATCH(0,INDEX(COUNTIF($A$1:A531,Txn[Key])+(Txn[Key]=""),0),0)),"")</f>
        <v/>
      </c>
      <c r="B532" s="243" t="str">
        <f t="shared" si="72"/>
        <v/>
      </c>
      <c r="C532" s="243" t="str">
        <f t="shared" si="73"/>
        <v/>
      </c>
      <c r="D532" s="243" t="str">
        <f t="shared" si="74"/>
        <v/>
      </c>
      <c r="E532" s="265" t="str">
        <f>IF($A532="","",SUMIFS(Txn[Signed Units],Txn[Key],$A532))</f>
        <v/>
      </c>
      <c r="F532" s="287" t="str">
        <f>IF($A532="","",SUMIFS(Txn[Buy Cost],Txn[Key],$A532))</f>
        <v/>
      </c>
      <c r="G532" s="287" t="str">
        <f>IF($A532="","",SUMIFS(Txn[Sell Proceeds],Txn[Key],$A532))</f>
        <v/>
      </c>
      <c r="H532" s="288" t="str">
        <f>IF($A532="","",IFERROR(INDEX(Prices[Current Price],MATCH($A532,Prices[Key],0)),0))</f>
        <v/>
      </c>
      <c r="I532" s="289" t="str">
        <f>IF($A532="","",IFERROR(INDEX(Prices[FX to SGD],MATCH($A532,Prices[Key],0)),1))</f>
        <v/>
      </c>
      <c r="J532" s="287" t="str">
        <f t="shared" si="75"/>
        <v/>
      </c>
      <c r="K532" s="287" t="str">
        <f t="shared" si="76"/>
        <v/>
      </c>
      <c r="L532" s="287" t="str">
        <f t="shared" si="77"/>
        <v/>
      </c>
      <c r="M532" s="290" t="str">
        <f t="shared" si="78"/>
        <v/>
      </c>
      <c r="N532" s="243" t="str">
        <f>IF($A532="","",IF(ABS(E532)&gt;0.000001,COUNT($N$1:N531)+1,""))</f>
        <v/>
      </c>
      <c r="O532" s="291" t="str">
        <f>IF($A532="","",SUMIFS(Transactions!$H$2:$H$1001,Transactions!$J$2:$J$1001,$A532,Transactions!$A$2:$A$1001,2)*$I532)</f>
        <v/>
      </c>
      <c r="P532" s="291" t="str">
        <f t="shared" si="79"/>
        <v/>
      </c>
      <c r="Q532" s="292" t="str">
        <f t="shared" si="80"/>
        <v/>
      </c>
    </row>
    <row r="533" spans="1:17" ht="15" customHeight="1" x14ac:dyDescent="0.2">
      <c r="A533" s="243" t="str">
        <f>IFERROR(INDEX(Txn[Key],MATCH(0,INDEX(COUNTIF($A$1:A532,Txn[Key])+(Txn[Key]=""),0),0)),"")</f>
        <v/>
      </c>
      <c r="B533" s="243" t="str">
        <f t="shared" si="72"/>
        <v/>
      </c>
      <c r="C533" s="243" t="str">
        <f t="shared" si="73"/>
        <v/>
      </c>
      <c r="D533" s="243" t="str">
        <f t="shared" si="74"/>
        <v/>
      </c>
      <c r="E533" s="265" t="str">
        <f>IF($A533="","",SUMIFS(Txn[Signed Units],Txn[Key],$A533))</f>
        <v/>
      </c>
      <c r="F533" s="287" t="str">
        <f>IF($A533="","",SUMIFS(Txn[Buy Cost],Txn[Key],$A533))</f>
        <v/>
      </c>
      <c r="G533" s="287" t="str">
        <f>IF($A533="","",SUMIFS(Txn[Sell Proceeds],Txn[Key],$A533))</f>
        <v/>
      </c>
      <c r="H533" s="288" t="str">
        <f>IF($A533="","",IFERROR(INDEX(Prices[Current Price],MATCH($A533,Prices[Key],0)),0))</f>
        <v/>
      </c>
      <c r="I533" s="289" t="str">
        <f>IF($A533="","",IFERROR(INDEX(Prices[FX to SGD],MATCH($A533,Prices[Key],0)),1))</f>
        <v/>
      </c>
      <c r="J533" s="287" t="str">
        <f t="shared" si="75"/>
        <v/>
      </c>
      <c r="K533" s="287" t="str">
        <f t="shared" si="76"/>
        <v/>
      </c>
      <c r="L533" s="287" t="str">
        <f t="shared" si="77"/>
        <v/>
      </c>
      <c r="M533" s="290" t="str">
        <f t="shared" si="78"/>
        <v/>
      </c>
      <c r="N533" s="243" t="str">
        <f>IF($A533="","",IF(ABS(E533)&gt;0.000001,COUNT($N$1:N532)+1,""))</f>
        <v/>
      </c>
      <c r="O533" s="291" t="str">
        <f>IF($A533="","",SUMIFS(Transactions!$H$2:$H$1001,Transactions!$J$2:$J$1001,$A533,Transactions!$A$2:$A$1001,2)*$I533)</f>
        <v/>
      </c>
      <c r="P533" s="291" t="str">
        <f t="shared" si="79"/>
        <v/>
      </c>
      <c r="Q533" s="292" t="str">
        <f t="shared" si="80"/>
        <v/>
      </c>
    </row>
    <row r="534" spans="1:17" ht="15" customHeight="1" x14ac:dyDescent="0.2">
      <c r="A534" s="243" t="str">
        <f>IFERROR(INDEX(Txn[Key],MATCH(0,INDEX(COUNTIF($A$1:A533,Txn[Key])+(Txn[Key]=""),0),0)),"")</f>
        <v/>
      </c>
      <c r="B534" s="243" t="str">
        <f t="shared" si="72"/>
        <v/>
      </c>
      <c r="C534" s="243" t="str">
        <f t="shared" si="73"/>
        <v/>
      </c>
      <c r="D534" s="243" t="str">
        <f t="shared" si="74"/>
        <v/>
      </c>
      <c r="E534" s="265" t="str">
        <f>IF($A534="","",SUMIFS(Txn[Signed Units],Txn[Key],$A534))</f>
        <v/>
      </c>
      <c r="F534" s="287" t="str">
        <f>IF($A534="","",SUMIFS(Txn[Buy Cost],Txn[Key],$A534))</f>
        <v/>
      </c>
      <c r="G534" s="287" t="str">
        <f>IF($A534="","",SUMIFS(Txn[Sell Proceeds],Txn[Key],$A534))</f>
        <v/>
      </c>
      <c r="H534" s="288" t="str">
        <f>IF($A534="","",IFERROR(INDEX(Prices[Current Price],MATCH($A534,Prices[Key],0)),0))</f>
        <v/>
      </c>
      <c r="I534" s="289" t="str">
        <f>IF($A534="","",IFERROR(INDEX(Prices[FX to SGD],MATCH($A534,Prices[Key],0)),1))</f>
        <v/>
      </c>
      <c r="J534" s="287" t="str">
        <f t="shared" si="75"/>
        <v/>
      </c>
      <c r="K534" s="287" t="str">
        <f t="shared" si="76"/>
        <v/>
      </c>
      <c r="L534" s="287" t="str">
        <f t="shared" si="77"/>
        <v/>
      </c>
      <c r="M534" s="290" t="str">
        <f t="shared" si="78"/>
        <v/>
      </c>
      <c r="N534" s="243" t="str">
        <f>IF($A534="","",IF(ABS(E534)&gt;0.000001,COUNT($N$1:N533)+1,""))</f>
        <v/>
      </c>
      <c r="O534" s="291" t="str">
        <f>IF($A534="","",SUMIFS(Transactions!$H$2:$H$1001,Transactions!$J$2:$J$1001,$A534,Transactions!$A$2:$A$1001,2)*$I534)</f>
        <v/>
      </c>
      <c r="P534" s="291" t="str">
        <f t="shared" si="79"/>
        <v/>
      </c>
      <c r="Q534" s="292" t="str">
        <f t="shared" si="80"/>
        <v/>
      </c>
    </row>
    <row r="535" spans="1:17" ht="15" customHeight="1" x14ac:dyDescent="0.2">
      <c r="A535" s="243" t="str">
        <f>IFERROR(INDEX(Txn[Key],MATCH(0,INDEX(COUNTIF($A$1:A534,Txn[Key])+(Txn[Key]=""),0),0)),"")</f>
        <v/>
      </c>
      <c r="B535" s="243" t="str">
        <f t="shared" si="72"/>
        <v/>
      </c>
      <c r="C535" s="243" t="str">
        <f t="shared" si="73"/>
        <v/>
      </c>
      <c r="D535" s="243" t="str">
        <f t="shared" si="74"/>
        <v/>
      </c>
      <c r="E535" s="265" t="str">
        <f>IF($A535="","",SUMIFS(Txn[Signed Units],Txn[Key],$A535))</f>
        <v/>
      </c>
      <c r="F535" s="287" t="str">
        <f>IF($A535="","",SUMIFS(Txn[Buy Cost],Txn[Key],$A535))</f>
        <v/>
      </c>
      <c r="G535" s="287" t="str">
        <f>IF($A535="","",SUMIFS(Txn[Sell Proceeds],Txn[Key],$A535))</f>
        <v/>
      </c>
      <c r="H535" s="288" t="str">
        <f>IF($A535="","",IFERROR(INDEX(Prices[Current Price],MATCH($A535,Prices[Key],0)),0))</f>
        <v/>
      </c>
      <c r="I535" s="289" t="str">
        <f>IF($A535="","",IFERROR(INDEX(Prices[FX to SGD],MATCH($A535,Prices[Key],0)),1))</f>
        <v/>
      </c>
      <c r="J535" s="287" t="str">
        <f t="shared" si="75"/>
        <v/>
      </c>
      <c r="K535" s="287" t="str">
        <f t="shared" si="76"/>
        <v/>
      </c>
      <c r="L535" s="287" t="str">
        <f t="shared" si="77"/>
        <v/>
      </c>
      <c r="M535" s="290" t="str">
        <f t="shared" si="78"/>
        <v/>
      </c>
      <c r="N535" s="243" t="str">
        <f>IF($A535="","",IF(ABS(E535)&gt;0.000001,COUNT($N$1:N534)+1,""))</f>
        <v/>
      </c>
      <c r="O535" s="291" t="str">
        <f>IF($A535="","",SUMIFS(Transactions!$H$2:$H$1001,Transactions!$J$2:$J$1001,$A535,Transactions!$A$2:$A$1001,2)*$I535)</f>
        <v/>
      </c>
      <c r="P535" s="291" t="str">
        <f t="shared" si="79"/>
        <v/>
      </c>
      <c r="Q535" s="292" t="str">
        <f t="shared" si="80"/>
        <v/>
      </c>
    </row>
    <row r="536" spans="1:17" ht="15" customHeight="1" x14ac:dyDescent="0.2">
      <c r="A536" s="243" t="str">
        <f>IFERROR(INDEX(Txn[Key],MATCH(0,INDEX(COUNTIF($A$1:A535,Txn[Key])+(Txn[Key]=""),0),0)),"")</f>
        <v/>
      </c>
      <c r="B536" s="243" t="str">
        <f t="shared" si="72"/>
        <v/>
      </c>
      <c r="C536" s="243" t="str">
        <f t="shared" si="73"/>
        <v/>
      </c>
      <c r="D536" s="243" t="str">
        <f t="shared" si="74"/>
        <v/>
      </c>
      <c r="E536" s="265" t="str">
        <f>IF($A536="","",SUMIFS(Txn[Signed Units],Txn[Key],$A536))</f>
        <v/>
      </c>
      <c r="F536" s="287" t="str">
        <f>IF($A536="","",SUMIFS(Txn[Buy Cost],Txn[Key],$A536))</f>
        <v/>
      </c>
      <c r="G536" s="287" t="str">
        <f>IF($A536="","",SUMIFS(Txn[Sell Proceeds],Txn[Key],$A536))</f>
        <v/>
      </c>
      <c r="H536" s="288" t="str">
        <f>IF($A536="","",IFERROR(INDEX(Prices[Current Price],MATCH($A536,Prices[Key],0)),0))</f>
        <v/>
      </c>
      <c r="I536" s="289" t="str">
        <f>IF($A536="","",IFERROR(INDEX(Prices[FX to SGD],MATCH($A536,Prices[Key],0)),1))</f>
        <v/>
      </c>
      <c r="J536" s="287" t="str">
        <f t="shared" si="75"/>
        <v/>
      </c>
      <c r="K536" s="287" t="str">
        <f t="shared" si="76"/>
        <v/>
      </c>
      <c r="L536" s="287" t="str">
        <f t="shared" si="77"/>
        <v/>
      </c>
      <c r="M536" s="290" t="str">
        <f t="shared" si="78"/>
        <v/>
      </c>
      <c r="N536" s="243" t="str">
        <f>IF($A536="","",IF(ABS(E536)&gt;0.000001,COUNT($N$1:N535)+1,""))</f>
        <v/>
      </c>
      <c r="O536" s="291" t="str">
        <f>IF($A536="","",SUMIFS(Transactions!$H$2:$H$1001,Transactions!$J$2:$J$1001,$A536,Transactions!$A$2:$A$1001,2)*$I536)</f>
        <v/>
      </c>
      <c r="P536" s="291" t="str">
        <f t="shared" si="79"/>
        <v/>
      </c>
      <c r="Q536" s="292" t="str">
        <f t="shared" si="80"/>
        <v/>
      </c>
    </row>
    <row r="537" spans="1:17" ht="15" customHeight="1" x14ac:dyDescent="0.2">
      <c r="A537" s="243" t="str">
        <f>IFERROR(INDEX(Txn[Key],MATCH(0,INDEX(COUNTIF($A$1:A536,Txn[Key])+(Txn[Key]=""),0),0)),"")</f>
        <v/>
      </c>
      <c r="B537" s="243" t="str">
        <f t="shared" si="72"/>
        <v/>
      </c>
      <c r="C537" s="243" t="str">
        <f t="shared" si="73"/>
        <v/>
      </c>
      <c r="D537" s="243" t="str">
        <f t="shared" si="74"/>
        <v/>
      </c>
      <c r="E537" s="265" t="str">
        <f>IF($A537="","",SUMIFS(Txn[Signed Units],Txn[Key],$A537))</f>
        <v/>
      </c>
      <c r="F537" s="287" t="str">
        <f>IF($A537="","",SUMIFS(Txn[Buy Cost],Txn[Key],$A537))</f>
        <v/>
      </c>
      <c r="G537" s="287" t="str">
        <f>IF($A537="","",SUMIFS(Txn[Sell Proceeds],Txn[Key],$A537))</f>
        <v/>
      </c>
      <c r="H537" s="288" t="str">
        <f>IF($A537="","",IFERROR(INDEX(Prices[Current Price],MATCH($A537,Prices[Key],0)),0))</f>
        <v/>
      </c>
      <c r="I537" s="289" t="str">
        <f>IF($A537="","",IFERROR(INDEX(Prices[FX to SGD],MATCH($A537,Prices[Key],0)),1))</f>
        <v/>
      </c>
      <c r="J537" s="287" t="str">
        <f t="shared" si="75"/>
        <v/>
      </c>
      <c r="K537" s="287" t="str">
        <f t="shared" si="76"/>
        <v/>
      </c>
      <c r="L537" s="287" t="str">
        <f t="shared" si="77"/>
        <v/>
      </c>
      <c r="M537" s="290" t="str">
        <f t="shared" si="78"/>
        <v/>
      </c>
      <c r="N537" s="243" t="str">
        <f>IF($A537="","",IF(ABS(E537)&gt;0.000001,COUNT($N$1:N536)+1,""))</f>
        <v/>
      </c>
      <c r="O537" s="291" t="str">
        <f>IF($A537="","",SUMIFS(Transactions!$H$2:$H$1001,Transactions!$J$2:$J$1001,$A537,Transactions!$A$2:$A$1001,2)*$I537)</f>
        <v/>
      </c>
      <c r="P537" s="291" t="str">
        <f t="shared" si="79"/>
        <v/>
      </c>
      <c r="Q537" s="292" t="str">
        <f t="shared" si="80"/>
        <v/>
      </c>
    </row>
    <row r="538" spans="1:17" ht="15" customHeight="1" x14ac:dyDescent="0.2">
      <c r="A538" s="243" t="str">
        <f>IFERROR(INDEX(Txn[Key],MATCH(0,INDEX(COUNTIF($A$1:A537,Txn[Key])+(Txn[Key]=""),0),0)),"")</f>
        <v/>
      </c>
      <c r="B538" s="243" t="str">
        <f t="shared" si="72"/>
        <v/>
      </c>
      <c r="C538" s="243" t="str">
        <f t="shared" si="73"/>
        <v/>
      </c>
      <c r="D538" s="243" t="str">
        <f t="shared" si="74"/>
        <v/>
      </c>
      <c r="E538" s="265" t="str">
        <f>IF($A538="","",SUMIFS(Txn[Signed Units],Txn[Key],$A538))</f>
        <v/>
      </c>
      <c r="F538" s="287" t="str">
        <f>IF($A538="","",SUMIFS(Txn[Buy Cost],Txn[Key],$A538))</f>
        <v/>
      </c>
      <c r="G538" s="287" t="str">
        <f>IF($A538="","",SUMIFS(Txn[Sell Proceeds],Txn[Key],$A538))</f>
        <v/>
      </c>
      <c r="H538" s="288" t="str">
        <f>IF($A538="","",IFERROR(INDEX(Prices[Current Price],MATCH($A538,Prices[Key],0)),0))</f>
        <v/>
      </c>
      <c r="I538" s="289" t="str">
        <f>IF($A538="","",IFERROR(INDEX(Prices[FX to SGD],MATCH($A538,Prices[Key],0)),1))</f>
        <v/>
      </c>
      <c r="J538" s="287" t="str">
        <f t="shared" si="75"/>
        <v/>
      </c>
      <c r="K538" s="287" t="str">
        <f t="shared" si="76"/>
        <v/>
      </c>
      <c r="L538" s="287" t="str">
        <f t="shared" si="77"/>
        <v/>
      </c>
      <c r="M538" s="290" t="str">
        <f t="shared" si="78"/>
        <v/>
      </c>
      <c r="N538" s="243" t="str">
        <f>IF($A538="","",IF(ABS(E538)&gt;0.000001,COUNT($N$1:N537)+1,""))</f>
        <v/>
      </c>
      <c r="O538" s="291" t="str">
        <f>IF($A538="","",SUMIFS(Transactions!$H$2:$H$1001,Transactions!$J$2:$J$1001,$A538,Transactions!$A$2:$A$1001,2)*$I538)</f>
        <v/>
      </c>
      <c r="P538" s="291" t="str">
        <f t="shared" si="79"/>
        <v/>
      </c>
      <c r="Q538" s="292" t="str">
        <f t="shared" si="80"/>
        <v/>
      </c>
    </row>
    <row r="539" spans="1:17" ht="15" customHeight="1" x14ac:dyDescent="0.2">
      <c r="A539" s="243" t="str">
        <f>IFERROR(INDEX(Txn[Key],MATCH(0,INDEX(COUNTIF($A$1:A538,Txn[Key])+(Txn[Key]=""),0),0)),"")</f>
        <v/>
      </c>
      <c r="B539" s="243" t="str">
        <f t="shared" si="72"/>
        <v/>
      </c>
      <c r="C539" s="243" t="str">
        <f t="shared" si="73"/>
        <v/>
      </c>
      <c r="D539" s="243" t="str">
        <f t="shared" si="74"/>
        <v/>
      </c>
      <c r="E539" s="265" t="str">
        <f>IF($A539="","",SUMIFS(Txn[Signed Units],Txn[Key],$A539))</f>
        <v/>
      </c>
      <c r="F539" s="287" t="str">
        <f>IF($A539="","",SUMIFS(Txn[Buy Cost],Txn[Key],$A539))</f>
        <v/>
      </c>
      <c r="G539" s="287" t="str">
        <f>IF($A539="","",SUMIFS(Txn[Sell Proceeds],Txn[Key],$A539))</f>
        <v/>
      </c>
      <c r="H539" s="288" t="str">
        <f>IF($A539="","",IFERROR(INDEX(Prices[Current Price],MATCH($A539,Prices[Key],0)),0))</f>
        <v/>
      </c>
      <c r="I539" s="289" t="str">
        <f>IF($A539="","",IFERROR(INDEX(Prices[FX to SGD],MATCH($A539,Prices[Key],0)),1))</f>
        <v/>
      </c>
      <c r="J539" s="287" t="str">
        <f t="shared" si="75"/>
        <v/>
      </c>
      <c r="K539" s="287" t="str">
        <f t="shared" si="76"/>
        <v/>
      </c>
      <c r="L539" s="287" t="str">
        <f t="shared" si="77"/>
        <v/>
      </c>
      <c r="M539" s="290" t="str">
        <f t="shared" si="78"/>
        <v/>
      </c>
      <c r="N539" s="243" t="str">
        <f>IF($A539="","",IF(ABS(E539)&gt;0.000001,COUNT($N$1:N538)+1,""))</f>
        <v/>
      </c>
      <c r="O539" s="291" t="str">
        <f>IF($A539="","",SUMIFS(Transactions!$H$2:$H$1001,Transactions!$J$2:$J$1001,$A539,Transactions!$A$2:$A$1001,2)*$I539)</f>
        <v/>
      </c>
      <c r="P539" s="291" t="str">
        <f t="shared" si="79"/>
        <v/>
      </c>
      <c r="Q539" s="292" t="str">
        <f t="shared" si="80"/>
        <v/>
      </c>
    </row>
    <row r="540" spans="1:17" ht="15" customHeight="1" x14ac:dyDescent="0.2">
      <c r="A540" s="243" t="str">
        <f>IFERROR(INDEX(Txn[Key],MATCH(0,INDEX(COUNTIF($A$1:A539,Txn[Key])+(Txn[Key]=""),0),0)),"")</f>
        <v/>
      </c>
      <c r="B540" s="243" t="str">
        <f t="shared" si="72"/>
        <v/>
      </c>
      <c r="C540" s="243" t="str">
        <f t="shared" si="73"/>
        <v/>
      </c>
      <c r="D540" s="243" t="str">
        <f t="shared" si="74"/>
        <v/>
      </c>
      <c r="E540" s="265" t="str">
        <f>IF($A540="","",SUMIFS(Txn[Signed Units],Txn[Key],$A540))</f>
        <v/>
      </c>
      <c r="F540" s="287" t="str">
        <f>IF($A540="","",SUMIFS(Txn[Buy Cost],Txn[Key],$A540))</f>
        <v/>
      </c>
      <c r="G540" s="287" t="str">
        <f>IF($A540="","",SUMIFS(Txn[Sell Proceeds],Txn[Key],$A540))</f>
        <v/>
      </c>
      <c r="H540" s="288" t="str">
        <f>IF($A540="","",IFERROR(INDEX(Prices[Current Price],MATCH($A540,Prices[Key],0)),0))</f>
        <v/>
      </c>
      <c r="I540" s="289" t="str">
        <f>IF($A540="","",IFERROR(INDEX(Prices[FX to SGD],MATCH($A540,Prices[Key],0)),1))</f>
        <v/>
      </c>
      <c r="J540" s="287" t="str">
        <f t="shared" si="75"/>
        <v/>
      </c>
      <c r="K540" s="287" t="str">
        <f t="shared" si="76"/>
        <v/>
      </c>
      <c r="L540" s="287" t="str">
        <f t="shared" si="77"/>
        <v/>
      </c>
      <c r="M540" s="290" t="str">
        <f t="shared" si="78"/>
        <v/>
      </c>
      <c r="N540" s="243" t="str">
        <f>IF($A540="","",IF(ABS(E540)&gt;0.000001,COUNT($N$1:N539)+1,""))</f>
        <v/>
      </c>
      <c r="O540" s="291" t="str">
        <f>IF($A540="","",SUMIFS(Transactions!$H$2:$H$1001,Transactions!$J$2:$J$1001,$A540,Transactions!$A$2:$A$1001,2)*$I540)</f>
        <v/>
      </c>
      <c r="P540" s="291" t="str">
        <f t="shared" si="79"/>
        <v/>
      </c>
      <c r="Q540" s="292" t="str">
        <f t="shared" si="80"/>
        <v/>
      </c>
    </row>
    <row r="541" spans="1:17" ht="15" customHeight="1" x14ac:dyDescent="0.2">
      <c r="A541" s="243" t="str">
        <f>IFERROR(INDEX(Txn[Key],MATCH(0,INDEX(COUNTIF($A$1:A540,Txn[Key])+(Txn[Key]=""),0),0)),"")</f>
        <v/>
      </c>
      <c r="B541" s="243" t="str">
        <f t="shared" si="72"/>
        <v/>
      </c>
      <c r="C541" s="243" t="str">
        <f t="shared" si="73"/>
        <v/>
      </c>
      <c r="D541" s="243" t="str">
        <f t="shared" si="74"/>
        <v/>
      </c>
      <c r="E541" s="265" t="str">
        <f>IF($A541="","",SUMIFS(Txn[Signed Units],Txn[Key],$A541))</f>
        <v/>
      </c>
      <c r="F541" s="287" t="str">
        <f>IF($A541="","",SUMIFS(Txn[Buy Cost],Txn[Key],$A541))</f>
        <v/>
      </c>
      <c r="G541" s="287" t="str">
        <f>IF($A541="","",SUMIFS(Txn[Sell Proceeds],Txn[Key],$A541))</f>
        <v/>
      </c>
      <c r="H541" s="288" t="str">
        <f>IF($A541="","",IFERROR(INDEX(Prices[Current Price],MATCH($A541,Prices[Key],0)),0))</f>
        <v/>
      </c>
      <c r="I541" s="289" t="str">
        <f>IF($A541="","",IFERROR(INDEX(Prices[FX to SGD],MATCH($A541,Prices[Key],0)),1))</f>
        <v/>
      </c>
      <c r="J541" s="287" t="str">
        <f t="shared" si="75"/>
        <v/>
      </c>
      <c r="K541" s="287" t="str">
        <f t="shared" si="76"/>
        <v/>
      </c>
      <c r="L541" s="287" t="str">
        <f t="shared" si="77"/>
        <v/>
      </c>
      <c r="M541" s="290" t="str">
        <f t="shared" si="78"/>
        <v/>
      </c>
      <c r="N541" s="243" t="str">
        <f>IF($A541="","",IF(ABS(E541)&gt;0.000001,COUNT($N$1:N540)+1,""))</f>
        <v/>
      </c>
      <c r="O541" s="291" t="str">
        <f>IF($A541="","",SUMIFS(Transactions!$H$2:$H$1001,Transactions!$J$2:$J$1001,$A541,Transactions!$A$2:$A$1001,2)*$I541)</f>
        <v/>
      </c>
      <c r="P541" s="291" t="str">
        <f t="shared" si="79"/>
        <v/>
      </c>
      <c r="Q541" s="292" t="str">
        <f t="shared" si="80"/>
        <v/>
      </c>
    </row>
    <row r="542" spans="1:17" ht="15" customHeight="1" x14ac:dyDescent="0.2">
      <c r="A542" s="243" t="str">
        <f>IFERROR(INDEX(Txn[Key],MATCH(0,INDEX(COUNTIF($A$1:A541,Txn[Key])+(Txn[Key]=""),0),0)),"")</f>
        <v/>
      </c>
      <c r="B542" s="243" t="str">
        <f t="shared" si="72"/>
        <v/>
      </c>
      <c r="C542" s="243" t="str">
        <f t="shared" si="73"/>
        <v/>
      </c>
      <c r="D542" s="243" t="str">
        <f t="shared" si="74"/>
        <v/>
      </c>
      <c r="E542" s="265" t="str">
        <f>IF($A542="","",SUMIFS(Txn[Signed Units],Txn[Key],$A542))</f>
        <v/>
      </c>
      <c r="F542" s="287" t="str">
        <f>IF($A542="","",SUMIFS(Txn[Buy Cost],Txn[Key],$A542))</f>
        <v/>
      </c>
      <c r="G542" s="287" t="str">
        <f>IF($A542="","",SUMIFS(Txn[Sell Proceeds],Txn[Key],$A542))</f>
        <v/>
      </c>
      <c r="H542" s="288" t="str">
        <f>IF($A542="","",IFERROR(INDEX(Prices[Current Price],MATCH($A542,Prices[Key],0)),0))</f>
        <v/>
      </c>
      <c r="I542" s="289" t="str">
        <f>IF($A542="","",IFERROR(INDEX(Prices[FX to SGD],MATCH($A542,Prices[Key],0)),1))</f>
        <v/>
      </c>
      <c r="J542" s="287" t="str">
        <f t="shared" si="75"/>
        <v/>
      </c>
      <c r="K542" s="287" t="str">
        <f t="shared" si="76"/>
        <v/>
      </c>
      <c r="L542" s="287" t="str">
        <f t="shared" si="77"/>
        <v/>
      </c>
      <c r="M542" s="290" t="str">
        <f t="shared" si="78"/>
        <v/>
      </c>
      <c r="N542" s="243" t="str">
        <f>IF($A542="","",IF(ABS(E542)&gt;0.000001,COUNT($N$1:N541)+1,""))</f>
        <v/>
      </c>
      <c r="O542" s="291" t="str">
        <f>IF($A542="","",SUMIFS(Transactions!$H$2:$H$1001,Transactions!$J$2:$J$1001,$A542,Transactions!$A$2:$A$1001,2)*$I542)</f>
        <v/>
      </c>
      <c r="P542" s="291" t="str">
        <f t="shared" si="79"/>
        <v/>
      </c>
      <c r="Q542" s="292" t="str">
        <f t="shared" si="80"/>
        <v/>
      </c>
    </row>
    <row r="543" spans="1:17" ht="15" customHeight="1" x14ac:dyDescent="0.2">
      <c r="A543" s="243" t="str">
        <f>IFERROR(INDEX(Txn[Key],MATCH(0,INDEX(COUNTIF($A$1:A542,Txn[Key])+(Txn[Key]=""),0),0)),"")</f>
        <v/>
      </c>
      <c r="B543" s="243" t="str">
        <f t="shared" si="72"/>
        <v/>
      </c>
      <c r="C543" s="243" t="str">
        <f t="shared" si="73"/>
        <v/>
      </c>
      <c r="D543" s="243" t="str">
        <f t="shared" si="74"/>
        <v/>
      </c>
      <c r="E543" s="265" t="str">
        <f>IF($A543="","",SUMIFS(Txn[Signed Units],Txn[Key],$A543))</f>
        <v/>
      </c>
      <c r="F543" s="287" t="str">
        <f>IF($A543="","",SUMIFS(Txn[Buy Cost],Txn[Key],$A543))</f>
        <v/>
      </c>
      <c r="G543" s="287" t="str">
        <f>IF($A543="","",SUMIFS(Txn[Sell Proceeds],Txn[Key],$A543))</f>
        <v/>
      </c>
      <c r="H543" s="288" t="str">
        <f>IF($A543="","",IFERROR(INDEX(Prices[Current Price],MATCH($A543,Prices[Key],0)),0))</f>
        <v/>
      </c>
      <c r="I543" s="289" t="str">
        <f>IF($A543="","",IFERROR(INDEX(Prices[FX to SGD],MATCH($A543,Prices[Key],0)),1))</f>
        <v/>
      </c>
      <c r="J543" s="287" t="str">
        <f t="shared" si="75"/>
        <v/>
      </c>
      <c r="K543" s="287" t="str">
        <f t="shared" si="76"/>
        <v/>
      </c>
      <c r="L543" s="287" t="str">
        <f t="shared" si="77"/>
        <v/>
      </c>
      <c r="M543" s="290" t="str">
        <f t="shared" si="78"/>
        <v/>
      </c>
      <c r="N543" s="243" t="str">
        <f>IF($A543="","",IF(ABS(E543)&gt;0.000001,COUNT($N$1:N542)+1,""))</f>
        <v/>
      </c>
      <c r="O543" s="291" t="str">
        <f>IF($A543="","",SUMIFS(Transactions!$H$2:$H$1001,Transactions!$J$2:$J$1001,$A543,Transactions!$A$2:$A$1001,2)*$I543)</f>
        <v/>
      </c>
      <c r="P543" s="291" t="str">
        <f t="shared" si="79"/>
        <v/>
      </c>
      <c r="Q543" s="292" t="str">
        <f t="shared" si="80"/>
        <v/>
      </c>
    </row>
    <row r="544" spans="1:17" ht="15" customHeight="1" x14ac:dyDescent="0.2">
      <c r="A544" s="243" t="str">
        <f>IFERROR(INDEX(Txn[Key],MATCH(0,INDEX(COUNTIF($A$1:A543,Txn[Key])+(Txn[Key]=""),0),0)),"")</f>
        <v/>
      </c>
      <c r="B544" s="243" t="str">
        <f t="shared" si="72"/>
        <v/>
      </c>
      <c r="C544" s="243" t="str">
        <f t="shared" si="73"/>
        <v/>
      </c>
      <c r="D544" s="243" t="str">
        <f t="shared" si="74"/>
        <v/>
      </c>
      <c r="E544" s="265" t="str">
        <f>IF($A544="","",SUMIFS(Txn[Signed Units],Txn[Key],$A544))</f>
        <v/>
      </c>
      <c r="F544" s="287" t="str">
        <f>IF($A544="","",SUMIFS(Txn[Buy Cost],Txn[Key],$A544))</f>
        <v/>
      </c>
      <c r="G544" s="287" t="str">
        <f>IF($A544="","",SUMIFS(Txn[Sell Proceeds],Txn[Key],$A544))</f>
        <v/>
      </c>
      <c r="H544" s="288" t="str">
        <f>IF($A544="","",IFERROR(INDEX(Prices[Current Price],MATCH($A544,Prices[Key],0)),0))</f>
        <v/>
      </c>
      <c r="I544" s="289" t="str">
        <f>IF($A544="","",IFERROR(INDEX(Prices[FX to SGD],MATCH($A544,Prices[Key],0)),1))</f>
        <v/>
      </c>
      <c r="J544" s="287" t="str">
        <f t="shared" si="75"/>
        <v/>
      </c>
      <c r="K544" s="287" t="str">
        <f t="shared" si="76"/>
        <v/>
      </c>
      <c r="L544" s="287" t="str">
        <f t="shared" si="77"/>
        <v/>
      </c>
      <c r="M544" s="290" t="str">
        <f t="shared" si="78"/>
        <v/>
      </c>
      <c r="N544" s="243" t="str">
        <f>IF($A544="","",IF(ABS(E544)&gt;0.000001,COUNT($N$1:N543)+1,""))</f>
        <v/>
      </c>
      <c r="O544" s="291" t="str">
        <f>IF($A544="","",SUMIFS(Transactions!$H$2:$H$1001,Transactions!$J$2:$J$1001,$A544,Transactions!$A$2:$A$1001,2)*$I544)</f>
        <v/>
      </c>
      <c r="P544" s="291" t="str">
        <f t="shared" si="79"/>
        <v/>
      </c>
      <c r="Q544" s="292" t="str">
        <f t="shared" si="80"/>
        <v/>
      </c>
    </row>
    <row r="545" spans="1:17" ht="15" customHeight="1" x14ac:dyDescent="0.2">
      <c r="A545" s="243" t="str">
        <f>IFERROR(INDEX(Txn[Key],MATCH(0,INDEX(COUNTIF($A$1:A544,Txn[Key])+(Txn[Key]=""),0),0)),"")</f>
        <v/>
      </c>
      <c r="B545" s="243" t="str">
        <f t="shared" si="72"/>
        <v/>
      </c>
      <c r="C545" s="243" t="str">
        <f t="shared" si="73"/>
        <v/>
      </c>
      <c r="D545" s="243" t="str">
        <f t="shared" si="74"/>
        <v/>
      </c>
      <c r="E545" s="265" t="str">
        <f>IF($A545="","",SUMIFS(Txn[Signed Units],Txn[Key],$A545))</f>
        <v/>
      </c>
      <c r="F545" s="287" t="str">
        <f>IF($A545="","",SUMIFS(Txn[Buy Cost],Txn[Key],$A545))</f>
        <v/>
      </c>
      <c r="G545" s="287" t="str">
        <f>IF($A545="","",SUMIFS(Txn[Sell Proceeds],Txn[Key],$A545))</f>
        <v/>
      </c>
      <c r="H545" s="288" t="str">
        <f>IF($A545="","",IFERROR(INDEX(Prices[Current Price],MATCH($A545,Prices[Key],0)),0))</f>
        <v/>
      </c>
      <c r="I545" s="289" t="str">
        <f>IF($A545="","",IFERROR(INDEX(Prices[FX to SGD],MATCH($A545,Prices[Key],0)),1))</f>
        <v/>
      </c>
      <c r="J545" s="287" t="str">
        <f t="shared" si="75"/>
        <v/>
      </c>
      <c r="K545" s="287" t="str">
        <f t="shared" si="76"/>
        <v/>
      </c>
      <c r="L545" s="287" t="str">
        <f t="shared" si="77"/>
        <v/>
      </c>
      <c r="M545" s="290" t="str">
        <f t="shared" si="78"/>
        <v/>
      </c>
      <c r="N545" s="243" t="str">
        <f>IF($A545="","",IF(ABS(E545)&gt;0.000001,COUNT($N$1:N544)+1,""))</f>
        <v/>
      </c>
      <c r="O545" s="291" t="str">
        <f>IF($A545="","",SUMIFS(Transactions!$H$2:$H$1001,Transactions!$J$2:$J$1001,$A545,Transactions!$A$2:$A$1001,2)*$I545)</f>
        <v/>
      </c>
      <c r="P545" s="291" t="str">
        <f t="shared" si="79"/>
        <v/>
      </c>
      <c r="Q545" s="292" t="str">
        <f t="shared" si="80"/>
        <v/>
      </c>
    </row>
    <row r="546" spans="1:17" ht="15" customHeight="1" x14ac:dyDescent="0.2">
      <c r="A546" s="243" t="str">
        <f>IFERROR(INDEX(Txn[Key],MATCH(0,INDEX(COUNTIF($A$1:A545,Txn[Key])+(Txn[Key]=""),0),0)),"")</f>
        <v/>
      </c>
      <c r="B546" s="243" t="str">
        <f t="shared" si="72"/>
        <v/>
      </c>
      <c r="C546" s="243" t="str">
        <f t="shared" si="73"/>
        <v/>
      </c>
      <c r="D546" s="243" t="str">
        <f t="shared" si="74"/>
        <v/>
      </c>
      <c r="E546" s="265" t="str">
        <f>IF($A546="","",SUMIFS(Txn[Signed Units],Txn[Key],$A546))</f>
        <v/>
      </c>
      <c r="F546" s="287" t="str">
        <f>IF($A546="","",SUMIFS(Txn[Buy Cost],Txn[Key],$A546))</f>
        <v/>
      </c>
      <c r="G546" s="287" t="str">
        <f>IF($A546="","",SUMIFS(Txn[Sell Proceeds],Txn[Key],$A546))</f>
        <v/>
      </c>
      <c r="H546" s="288" t="str">
        <f>IF($A546="","",IFERROR(INDEX(Prices[Current Price],MATCH($A546,Prices[Key],0)),0))</f>
        <v/>
      </c>
      <c r="I546" s="289" t="str">
        <f>IF($A546="","",IFERROR(INDEX(Prices[FX to SGD],MATCH($A546,Prices[Key],0)),1))</f>
        <v/>
      </c>
      <c r="J546" s="287" t="str">
        <f t="shared" si="75"/>
        <v/>
      </c>
      <c r="K546" s="287" t="str">
        <f t="shared" si="76"/>
        <v/>
      </c>
      <c r="L546" s="287" t="str">
        <f t="shared" si="77"/>
        <v/>
      </c>
      <c r="M546" s="290" t="str">
        <f t="shared" si="78"/>
        <v/>
      </c>
      <c r="N546" s="243" t="str">
        <f>IF($A546="","",IF(ABS(E546)&gt;0.000001,COUNT($N$1:N545)+1,""))</f>
        <v/>
      </c>
      <c r="O546" s="291" t="str">
        <f>IF($A546="","",SUMIFS(Transactions!$H$2:$H$1001,Transactions!$J$2:$J$1001,$A546,Transactions!$A$2:$A$1001,2)*$I546)</f>
        <v/>
      </c>
      <c r="P546" s="291" t="str">
        <f t="shared" si="79"/>
        <v/>
      </c>
      <c r="Q546" s="292" t="str">
        <f t="shared" si="80"/>
        <v/>
      </c>
    </row>
    <row r="547" spans="1:17" ht="15" customHeight="1" x14ac:dyDescent="0.2">
      <c r="A547" s="243" t="str">
        <f>IFERROR(INDEX(Txn[Key],MATCH(0,INDEX(COUNTIF($A$1:A546,Txn[Key])+(Txn[Key]=""),0),0)),"")</f>
        <v/>
      </c>
      <c r="B547" s="243" t="str">
        <f t="shared" si="72"/>
        <v/>
      </c>
      <c r="C547" s="243" t="str">
        <f t="shared" si="73"/>
        <v/>
      </c>
      <c r="D547" s="243" t="str">
        <f t="shared" si="74"/>
        <v/>
      </c>
      <c r="E547" s="265" t="str">
        <f>IF($A547="","",SUMIFS(Txn[Signed Units],Txn[Key],$A547))</f>
        <v/>
      </c>
      <c r="F547" s="287" t="str">
        <f>IF($A547="","",SUMIFS(Txn[Buy Cost],Txn[Key],$A547))</f>
        <v/>
      </c>
      <c r="G547" s="287" t="str">
        <f>IF($A547="","",SUMIFS(Txn[Sell Proceeds],Txn[Key],$A547))</f>
        <v/>
      </c>
      <c r="H547" s="288" t="str">
        <f>IF($A547="","",IFERROR(INDEX(Prices[Current Price],MATCH($A547,Prices[Key],0)),0))</f>
        <v/>
      </c>
      <c r="I547" s="289" t="str">
        <f>IF($A547="","",IFERROR(INDEX(Prices[FX to SGD],MATCH($A547,Prices[Key],0)),1))</f>
        <v/>
      </c>
      <c r="J547" s="287" t="str">
        <f t="shared" si="75"/>
        <v/>
      </c>
      <c r="K547" s="287" t="str">
        <f t="shared" si="76"/>
        <v/>
      </c>
      <c r="L547" s="287" t="str">
        <f t="shared" si="77"/>
        <v/>
      </c>
      <c r="M547" s="290" t="str">
        <f t="shared" si="78"/>
        <v/>
      </c>
      <c r="N547" s="243" t="str">
        <f>IF($A547="","",IF(ABS(E547)&gt;0.000001,COUNT($N$1:N546)+1,""))</f>
        <v/>
      </c>
      <c r="O547" s="291" t="str">
        <f>IF($A547="","",SUMIFS(Transactions!$H$2:$H$1001,Transactions!$J$2:$J$1001,$A547,Transactions!$A$2:$A$1001,2)*$I547)</f>
        <v/>
      </c>
      <c r="P547" s="291" t="str">
        <f t="shared" si="79"/>
        <v/>
      </c>
      <c r="Q547" s="292" t="str">
        <f t="shared" si="80"/>
        <v/>
      </c>
    </row>
    <row r="548" spans="1:17" ht="15" customHeight="1" x14ac:dyDescent="0.2">
      <c r="A548" s="243" t="str">
        <f>IFERROR(INDEX(Txn[Key],MATCH(0,INDEX(COUNTIF($A$1:A547,Txn[Key])+(Txn[Key]=""),0),0)),"")</f>
        <v/>
      </c>
      <c r="B548" s="243" t="str">
        <f t="shared" si="72"/>
        <v/>
      </c>
      <c r="C548" s="243" t="str">
        <f t="shared" si="73"/>
        <v/>
      </c>
      <c r="D548" s="243" t="str">
        <f t="shared" si="74"/>
        <v/>
      </c>
      <c r="E548" s="265" t="str">
        <f>IF($A548="","",SUMIFS(Txn[Signed Units],Txn[Key],$A548))</f>
        <v/>
      </c>
      <c r="F548" s="287" t="str">
        <f>IF($A548="","",SUMIFS(Txn[Buy Cost],Txn[Key],$A548))</f>
        <v/>
      </c>
      <c r="G548" s="287" t="str">
        <f>IF($A548="","",SUMIFS(Txn[Sell Proceeds],Txn[Key],$A548))</f>
        <v/>
      </c>
      <c r="H548" s="288" t="str">
        <f>IF($A548="","",IFERROR(INDEX(Prices[Current Price],MATCH($A548,Prices[Key],0)),0))</f>
        <v/>
      </c>
      <c r="I548" s="289" t="str">
        <f>IF($A548="","",IFERROR(INDEX(Prices[FX to SGD],MATCH($A548,Prices[Key],0)),1))</f>
        <v/>
      </c>
      <c r="J548" s="287" t="str">
        <f t="shared" si="75"/>
        <v/>
      </c>
      <c r="K548" s="287" t="str">
        <f t="shared" si="76"/>
        <v/>
      </c>
      <c r="L548" s="287" t="str">
        <f t="shared" si="77"/>
        <v/>
      </c>
      <c r="M548" s="290" t="str">
        <f t="shared" si="78"/>
        <v/>
      </c>
      <c r="N548" s="243" t="str">
        <f>IF($A548="","",IF(ABS(E548)&gt;0.000001,COUNT($N$1:N547)+1,""))</f>
        <v/>
      </c>
      <c r="O548" s="291" t="str">
        <f>IF($A548="","",SUMIFS(Transactions!$H$2:$H$1001,Transactions!$J$2:$J$1001,$A548,Transactions!$A$2:$A$1001,2)*$I548)</f>
        <v/>
      </c>
      <c r="P548" s="291" t="str">
        <f t="shared" si="79"/>
        <v/>
      </c>
      <c r="Q548" s="292" t="str">
        <f t="shared" si="80"/>
        <v/>
      </c>
    </row>
    <row r="549" spans="1:17" ht="15" customHeight="1" x14ac:dyDescent="0.2">
      <c r="A549" s="243" t="str">
        <f>IFERROR(INDEX(Txn[Key],MATCH(0,INDEX(COUNTIF($A$1:A548,Txn[Key])+(Txn[Key]=""),0),0)),"")</f>
        <v/>
      </c>
      <c r="B549" s="243" t="str">
        <f t="shared" si="72"/>
        <v/>
      </c>
      <c r="C549" s="243" t="str">
        <f t="shared" si="73"/>
        <v/>
      </c>
      <c r="D549" s="243" t="str">
        <f t="shared" si="74"/>
        <v/>
      </c>
      <c r="E549" s="265" t="str">
        <f>IF($A549="","",SUMIFS(Txn[Signed Units],Txn[Key],$A549))</f>
        <v/>
      </c>
      <c r="F549" s="287" t="str">
        <f>IF($A549="","",SUMIFS(Txn[Buy Cost],Txn[Key],$A549))</f>
        <v/>
      </c>
      <c r="G549" s="287" t="str">
        <f>IF($A549="","",SUMIFS(Txn[Sell Proceeds],Txn[Key],$A549))</f>
        <v/>
      </c>
      <c r="H549" s="288" t="str">
        <f>IF($A549="","",IFERROR(INDEX(Prices[Current Price],MATCH($A549,Prices[Key],0)),0))</f>
        <v/>
      </c>
      <c r="I549" s="289" t="str">
        <f>IF($A549="","",IFERROR(INDEX(Prices[FX to SGD],MATCH($A549,Prices[Key],0)),1))</f>
        <v/>
      </c>
      <c r="J549" s="287" t="str">
        <f t="shared" si="75"/>
        <v/>
      </c>
      <c r="K549" s="287" t="str">
        <f t="shared" si="76"/>
        <v/>
      </c>
      <c r="L549" s="287" t="str">
        <f t="shared" si="77"/>
        <v/>
      </c>
      <c r="M549" s="290" t="str">
        <f t="shared" si="78"/>
        <v/>
      </c>
      <c r="N549" s="243" t="str">
        <f>IF($A549="","",IF(ABS(E549)&gt;0.000001,COUNT($N$1:N548)+1,""))</f>
        <v/>
      </c>
      <c r="O549" s="291" t="str">
        <f>IF($A549="","",SUMIFS(Transactions!$H$2:$H$1001,Transactions!$J$2:$J$1001,$A549,Transactions!$A$2:$A$1001,2)*$I549)</f>
        <v/>
      </c>
      <c r="P549" s="291" t="str">
        <f t="shared" si="79"/>
        <v/>
      </c>
      <c r="Q549" s="292" t="str">
        <f t="shared" si="80"/>
        <v/>
      </c>
    </row>
    <row r="550" spans="1:17" ht="15" customHeight="1" x14ac:dyDescent="0.2">
      <c r="A550" s="243" t="str">
        <f>IFERROR(INDEX(Txn[Key],MATCH(0,INDEX(COUNTIF($A$1:A549,Txn[Key])+(Txn[Key]=""),0),0)),"")</f>
        <v/>
      </c>
      <c r="B550" s="243" t="str">
        <f t="shared" si="72"/>
        <v/>
      </c>
      <c r="C550" s="243" t="str">
        <f t="shared" si="73"/>
        <v/>
      </c>
      <c r="D550" s="243" t="str">
        <f t="shared" si="74"/>
        <v/>
      </c>
      <c r="E550" s="265" t="str">
        <f>IF($A550="","",SUMIFS(Txn[Signed Units],Txn[Key],$A550))</f>
        <v/>
      </c>
      <c r="F550" s="287" t="str">
        <f>IF($A550="","",SUMIFS(Txn[Buy Cost],Txn[Key],$A550))</f>
        <v/>
      </c>
      <c r="G550" s="287" t="str">
        <f>IF($A550="","",SUMIFS(Txn[Sell Proceeds],Txn[Key],$A550))</f>
        <v/>
      </c>
      <c r="H550" s="288" t="str">
        <f>IF($A550="","",IFERROR(INDEX(Prices[Current Price],MATCH($A550,Prices[Key],0)),0))</f>
        <v/>
      </c>
      <c r="I550" s="289" t="str">
        <f>IF($A550="","",IFERROR(INDEX(Prices[FX to SGD],MATCH($A550,Prices[Key],0)),1))</f>
        <v/>
      </c>
      <c r="J550" s="287" t="str">
        <f t="shared" si="75"/>
        <v/>
      </c>
      <c r="K550" s="287" t="str">
        <f t="shared" si="76"/>
        <v/>
      </c>
      <c r="L550" s="287" t="str">
        <f t="shared" si="77"/>
        <v/>
      </c>
      <c r="M550" s="290" t="str">
        <f t="shared" si="78"/>
        <v/>
      </c>
      <c r="N550" s="243" t="str">
        <f>IF($A550="","",IF(ABS(E550)&gt;0.000001,COUNT($N$1:N549)+1,""))</f>
        <v/>
      </c>
      <c r="O550" s="291" t="str">
        <f>IF($A550="","",SUMIFS(Transactions!$H$2:$H$1001,Transactions!$J$2:$J$1001,$A550,Transactions!$A$2:$A$1001,2)*$I550)</f>
        <v/>
      </c>
      <c r="P550" s="291" t="str">
        <f t="shared" si="79"/>
        <v/>
      </c>
      <c r="Q550" s="292" t="str">
        <f t="shared" si="80"/>
        <v/>
      </c>
    </row>
    <row r="551" spans="1:17" ht="15" customHeight="1" x14ac:dyDescent="0.2">
      <c r="A551" s="243" t="str">
        <f>IFERROR(INDEX(Txn[Key],MATCH(0,INDEX(COUNTIF($A$1:A550,Txn[Key])+(Txn[Key]=""),0),0)),"")</f>
        <v/>
      </c>
      <c r="B551" s="243" t="str">
        <f t="shared" si="72"/>
        <v/>
      </c>
      <c r="C551" s="243" t="str">
        <f t="shared" si="73"/>
        <v/>
      </c>
      <c r="D551" s="243" t="str">
        <f t="shared" si="74"/>
        <v/>
      </c>
      <c r="E551" s="265" t="str">
        <f>IF($A551="","",SUMIFS(Txn[Signed Units],Txn[Key],$A551))</f>
        <v/>
      </c>
      <c r="F551" s="287" t="str">
        <f>IF($A551="","",SUMIFS(Txn[Buy Cost],Txn[Key],$A551))</f>
        <v/>
      </c>
      <c r="G551" s="287" t="str">
        <f>IF($A551="","",SUMIFS(Txn[Sell Proceeds],Txn[Key],$A551))</f>
        <v/>
      </c>
      <c r="H551" s="288" t="str">
        <f>IF($A551="","",IFERROR(INDEX(Prices[Current Price],MATCH($A551,Prices[Key],0)),0))</f>
        <v/>
      </c>
      <c r="I551" s="289" t="str">
        <f>IF($A551="","",IFERROR(INDEX(Prices[FX to SGD],MATCH($A551,Prices[Key],0)),1))</f>
        <v/>
      </c>
      <c r="J551" s="287" t="str">
        <f t="shared" si="75"/>
        <v/>
      </c>
      <c r="K551" s="287" t="str">
        <f t="shared" si="76"/>
        <v/>
      </c>
      <c r="L551" s="287" t="str">
        <f t="shared" si="77"/>
        <v/>
      </c>
      <c r="M551" s="290" t="str">
        <f t="shared" si="78"/>
        <v/>
      </c>
      <c r="N551" s="243" t="str">
        <f>IF($A551="","",IF(ABS(E551)&gt;0.000001,COUNT($N$1:N550)+1,""))</f>
        <v/>
      </c>
      <c r="O551" s="291" t="str">
        <f>IF($A551="","",SUMIFS(Transactions!$H$2:$H$1001,Transactions!$J$2:$J$1001,$A551,Transactions!$A$2:$A$1001,2)*$I551)</f>
        <v/>
      </c>
      <c r="P551" s="291" t="str">
        <f t="shared" si="79"/>
        <v/>
      </c>
      <c r="Q551" s="292" t="str">
        <f t="shared" si="80"/>
        <v/>
      </c>
    </row>
    <row r="552" spans="1:17" ht="15" customHeight="1" x14ac:dyDescent="0.2">
      <c r="A552" s="243" t="str">
        <f>IFERROR(INDEX(Txn[Key],MATCH(0,INDEX(COUNTIF($A$1:A551,Txn[Key])+(Txn[Key]=""),0),0)),"")</f>
        <v/>
      </c>
      <c r="B552" s="243" t="str">
        <f t="shared" si="72"/>
        <v/>
      </c>
      <c r="C552" s="243" t="str">
        <f t="shared" si="73"/>
        <v/>
      </c>
      <c r="D552" s="243" t="str">
        <f t="shared" si="74"/>
        <v/>
      </c>
      <c r="E552" s="265" t="str">
        <f>IF($A552="","",SUMIFS(Txn[Signed Units],Txn[Key],$A552))</f>
        <v/>
      </c>
      <c r="F552" s="287" t="str">
        <f>IF($A552="","",SUMIFS(Txn[Buy Cost],Txn[Key],$A552))</f>
        <v/>
      </c>
      <c r="G552" s="287" t="str">
        <f>IF($A552="","",SUMIFS(Txn[Sell Proceeds],Txn[Key],$A552))</f>
        <v/>
      </c>
      <c r="H552" s="288" t="str">
        <f>IF($A552="","",IFERROR(INDEX(Prices[Current Price],MATCH($A552,Prices[Key],0)),0))</f>
        <v/>
      </c>
      <c r="I552" s="289" t="str">
        <f>IF($A552="","",IFERROR(INDEX(Prices[FX to SGD],MATCH($A552,Prices[Key],0)),1))</f>
        <v/>
      </c>
      <c r="J552" s="287" t="str">
        <f t="shared" si="75"/>
        <v/>
      </c>
      <c r="K552" s="287" t="str">
        <f t="shared" si="76"/>
        <v/>
      </c>
      <c r="L552" s="287" t="str">
        <f t="shared" si="77"/>
        <v/>
      </c>
      <c r="M552" s="290" t="str">
        <f t="shared" si="78"/>
        <v/>
      </c>
      <c r="N552" s="243" t="str">
        <f>IF($A552="","",IF(ABS(E552)&gt;0.000001,COUNT($N$1:N551)+1,""))</f>
        <v/>
      </c>
      <c r="O552" s="291" t="str">
        <f>IF($A552="","",SUMIFS(Transactions!$H$2:$H$1001,Transactions!$J$2:$J$1001,$A552,Transactions!$A$2:$A$1001,2)*$I552)</f>
        <v/>
      </c>
      <c r="P552" s="291" t="str">
        <f t="shared" si="79"/>
        <v/>
      </c>
      <c r="Q552" s="292" t="str">
        <f t="shared" si="80"/>
        <v/>
      </c>
    </row>
    <row r="553" spans="1:17" ht="15" customHeight="1" x14ac:dyDescent="0.2">
      <c r="A553" s="243" t="str">
        <f>IFERROR(INDEX(Txn[Key],MATCH(0,INDEX(COUNTIF($A$1:A552,Txn[Key])+(Txn[Key]=""),0),0)),"")</f>
        <v/>
      </c>
      <c r="B553" s="243" t="str">
        <f t="shared" si="72"/>
        <v/>
      </c>
      <c r="C553" s="243" t="str">
        <f t="shared" si="73"/>
        <v/>
      </c>
      <c r="D553" s="243" t="str">
        <f t="shared" si="74"/>
        <v/>
      </c>
      <c r="E553" s="265" t="str">
        <f>IF($A553="","",SUMIFS(Txn[Signed Units],Txn[Key],$A553))</f>
        <v/>
      </c>
      <c r="F553" s="287" t="str">
        <f>IF($A553="","",SUMIFS(Txn[Buy Cost],Txn[Key],$A553))</f>
        <v/>
      </c>
      <c r="G553" s="287" t="str">
        <f>IF($A553="","",SUMIFS(Txn[Sell Proceeds],Txn[Key],$A553))</f>
        <v/>
      </c>
      <c r="H553" s="288" t="str">
        <f>IF($A553="","",IFERROR(INDEX(Prices[Current Price],MATCH($A553,Prices[Key],0)),0))</f>
        <v/>
      </c>
      <c r="I553" s="289" t="str">
        <f>IF($A553="","",IFERROR(INDEX(Prices[FX to SGD],MATCH($A553,Prices[Key],0)),1))</f>
        <v/>
      </c>
      <c r="J553" s="287" t="str">
        <f t="shared" si="75"/>
        <v/>
      </c>
      <c r="K553" s="287" t="str">
        <f t="shared" si="76"/>
        <v/>
      </c>
      <c r="L553" s="287" t="str">
        <f t="shared" si="77"/>
        <v/>
      </c>
      <c r="M553" s="290" t="str">
        <f t="shared" si="78"/>
        <v/>
      </c>
      <c r="N553" s="243" t="str">
        <f>IF($A553="","",IF(ABS(E553)&gt;0.000001,COUNT($N$1:N552)+1,""))</f>
        <v/>
      </c>
      <c r="O553" s="291" t="str">
        <f>IF($A553="","",SUMIFS(Transactions!$H$2:$H$1001,Transactions!$J$2:$J$1001,$A553,Transactions!$A$2:$A$1001,2)*$I553)</f>
        <v/>
      </c>
      <c r="P553" s="291" t="str">
        <f t="shared" si="79"/>
        <v/>
      </c>
      <c r="Q553" s="292" t="str">
        <f t="shared" si="80"/>
        <v/>
      </c>
    </row>
    <row r="554" spans="1:17" ht="15" customHeight="1" x14ac:dyDescent="0.2">
      <c r="A554" s="243" t="str">
        <f>IFERROR(INDEX(Txn[Key],MATCH(0,INDEX(COUNTIF($A$1:A553,Txn[Key])+(Txn[Key]=""),0),0)),"")</f>
        <v/>
      </c>
      <c r="B554" s="243" t="str">
        <f t="shared" si="72"/>
        <v/>
      </c>
      <c r="C554" s="243" t="str">
        <f t="shared" si="73"/>
        <v/>
      </c>
      <c r="D554" s="243" t="str">
        <f t="shared" si="74"/>
        <v/>
      </c>
      <c r="E554" s="265" t="str">
        <f>IF($A554="","",SUMIFS(Txn[Signed Units],Txn[Key],$A554))</f>
        <v/>
      </c>
      <c r="F554" s="287" t="str">
        <f>IF($A554="","",SUMIFS(Txn[Buy Cost],Txn[Key],$A554))</f>
        <v/>
      </c>
      <c r="G554" s="287" t="str">
        <f>IF($A554="","",SUMIFS(Txn[Sell Proceeds],Txn[Key],$A554))</f>
        <v/>
      </c>
      <c r="H554" s="288" t="str">
        <f>IF($A554="","",IFERROR(INDEX(Prices[Current Price],MATCH($A554,Prices[Key],0)),0))</f>
        <v/>
      </c>
      <c r="I554" s="289" t="str">
        <f>IF($A554="","",IFERROR(INDEX(Prices[FX to SGD],MATCH($A554,Prices[Key],0)),1))</f>
        <v/>
      </c>
      <c r="J554" s="287" t="str">
        <f t="shared" si="75"/>
        <v/>
      </c>
      <c r="K554" s="287" t="str">
        <f t="shared" si="76"/>
        <v/>
      </c>
      <c r="L554" s="287" t="str">
        <f t="shared" si="77"/>
        <v/>
      </c>
      <c r="M554" s="290" t="str">
        <f t="shared" si="78"/>
        <v/>
      </c>
      <c r="N554" s="243" t="str">
        <f>IF($A554="","",IF(ABS(E554)&gt;0.000001,COUNT($N$1:N553)+1,""))</f>
        <v/>
      </c>
      <c r="O554" s="291" t="str">
        <f>IF($A554="","",SUMIFS(Transactions!$H$2:$H$1001,Transactions!$J$2:$J$1001,$A554,Transactions!$A$2:$A$1001,2)*$I554)</f>
        <v/>
      </c>
      <c r="P554" s="291" t="str">
        <f t="shared" si="79"/>
        <v/>
      </c>
      <c r="Q554" s="292" t="str">
        <f t="shared" si="80"/>
        <v/>
      </c>
    </row>
    <row r="555" spans="1:17" ht="15" customHeight="1" x14ac:dyDescent="0.2">
      <c r="A555" s="243" t="str">
        <f>IFERROR(INDEX(Txn[Key],MATCH(0,INDEX(COUNTIF($A$1:A554,Txn[Key])+(Txn[Key]=""),0),0)),"")</f>
        <v/>
      </c>
      <c r="B555" s="243" t="str">
        <f t="shared" si="72"/>
        <v/>
      </c>
      <c r="C555" s="243" t="str">
        <f t="shared" si="73"/>
        <v/>
      </c>
      <c r="D555" s="243" t="str">
        <f t="shared" si="74"/>
        <v/>
      </c>
      <c r="E555" s="265" t="str">
        <f>IF($A555="","",SUMIFS(Txn[Signed Units],Txn[Key],$A555))</f>
        <v/>
      </c>
      <c r="F555" s="287" t="str">
        <f>IF($A555="","",SUMIFS(Txn[Buy Cost],Txn[Key],$A555))</f>
        <v/>
      </c>
      <c r="G555" s="287" t="str">
        <f>IF($A555="","",SUMIFS(Txn[Sell Proceeds],Txn[Key],$A555))</f>
        <v/>
      </c>
      <c r="H555" s="288" t="str">
        <f>IF($A555="","",IFERROR(INDEX(Prices[Current Price],MATCH($A555,Prices[Key],0)),0))</f>
        <v/>
      </c>
      <c r="I555" s="289" t="str">
        <f>IF($A555="","",IFERROR(INDEX(Prices[FX to SGD],MATCH($A555,Prices[Key],0)),1))</f>
        <v/>
      </c>
      <c r="J555" s="287" t="str">
        <f t="shared" si="75"/>
        <v/>
      </c>
      <c r="K555" s="287" t="str">
        <f t="shared" si="76"/>
        <v/>
      </c>
      <c r="L555" s="287" t="str">
        <f t="shared" si="77"/>
        <v/>
      </c>
      <c r="M555" s="290" t="str">
        <f t="shared" si="78"/>
        <v/>
      </c>
      <c r="N555" s="243" t="str">
        <f>IF($A555="","",IF(ABS(E555)&gt;0.000001,COUNT($N$1:N554)+1,""))</f>
        <v/>
      </c>
      <c r="O555" s="291" t="str">
        <f>IF($A555="","",SUMIFS(Transactions!$H$2:$H$1001,Transactions!$J$2:$J$1001,$A555,Transactions!$A$2:$A$1001,2)*$I555)</f>
        <v/>
      </c>
      <c r="P555" s="291" t="str">
        <f t="shared" si="79"/>
        <v/>
      </c>
      <c r="Q555" s="292" t="str">
        <f t="shared" si="80"/>
        <v/>
      </c>
    </row>
    <row r="556" spans="1:17" ht="15" customHeight="1" x14ac:dyDescent="0.2">
      <c r="A556" s="243" t="str">
        <f>IFERROR(INDEX(Txn[Key],MATCH(0,INDEX(COUNTIF($A$1:A555,Txn[Key])+(Txn[Key]=""),0),0)),"")</f>
        <v/>
      </c>
      <c r="B556" s="243" t="str">
        <f t="shared" si="72"/>
        <v/>
      </c>
      <c r="C556" s="243" t="str">
        <f t="shared" si="73"/>
        <v/>
      </c>
      <c r="D556" s="243" t="str">
        <f t="shared" si="74"/>
        <v/>
      </c>
      <c r="E556" s="265" t="str">
        <f>IF($A556="","",SUMIFS(Txn[Signed Units],Txn[Key],$A556))</f>
        <v/>
      </c>
      <c r="F556" s="287" t="str">
        <f>IF($A556="","",SUMIFS(Txn[Buy Cost],Txn[Key],$A556))</f>
        <v/>
      </c>
      <c r="G556" s="287" t="str">
        <f>IF($A556="","",SUMIFS(Txn[Sell Proceeds],Txn[Key],$A556))</f>
        <v/>
      </c>
      <c r="H556" s="288" t="str">
        <f>IF($A556="","",IFERROR(INDEX(Prices[Current Price],MATCH($A556,Prices[Key],0)),0))</f>
        <v/>
      </c>
      <c r="I556" s="289" t="str">
        <f>IF($A556="","",IFERROR(INDEX(Prices[FX to SGD],MATCH($A556,Prices[Key],0)),1))</f>
        <v/>
      </c>
      <c r="J556" s="287" t="str">
        <f t="shared" si="75"/>
        <v/>
      </c>
      <c r="K556" s="287" t="str">
        <f t="shared" si="76"/>
        <v/>
      </c>
      <c r="L556" s="287" t="str">
        <f t="shared" si="77"/>
        <v/>
      </c>
      <c r="M556" s="290" t="str">
        <f t="shared" si="78"/>
        <v/>
      </c>
      <c r="N556" s="243" t="str">
        <f>IF($A556="","",IF(ABS(E556)&gt;0.000001,COUNT($N$1:N555)+1,""))</f>
        <v/>
      </c>
      <c r="O556" s="291" t="str">
        <f>IF($A556="","",SUMIFS(Transactions!$H$2:$H$1001,Transactions!$J$2:$J$1001,$A556,Transactions!$A$2:$A$1001,2)*$I556)</f>
        <v/>
      </c>
      <c r="P556" s="291" t="str">
        <f t="shared" si="79"/>
        <v/>
      </c>
      <c r="Q556" s="292" t="str">
        <f t="shared" si="80"/>
        <v/>
      </c>
    </row>
    <row r="557" spans="1:17" ht="15" customHeight="1" x14ac:dyDescent="0.2">
      <c r="A557" s="243" t="str">
        <f>IFERROR(INDEX(Txn[Key],MATCH(0,INDEX(COUNTIF($A$1:A556,Txn[Key])+(Txn[Key]=""),0),0)),"")</f>
        <v/>
      </c>
      <c r="B557" s="243" t="str">
        <f t="shared" si="72"/>
        <v/>
      </c>
      <c r="C557" s="243" t="str">
        <f t="shared" si="73"/>
        <v/>
      </c>
      <c r="D557" s="243" t="str">
        <f t="shared" si="74"/>
        <v/>
      </c>
      <c r="E557" s="265" t="str">
        <f>IF($A557="","",SUMIFS(Txn[Signed Units],Txn[Key],$A557))</f>
        <v/>
      </c>
      <c r="F557" s="287" t="str">
        <f>IF($A557="","",SUMIFS(Txn[Buy Cost],Txn[Key],$A557))</f>
        <v/>
      </c>
      <c r="G557" s="287" t="str">
        <f>IF($A557="","",SUMIFS(Txn[Sell Proceeds],Txn[Key],$A557))</f>
        <v/>
      </c>
      <c r="H557" s="288" t="str">
        <f>IF($A557="","",IFERROR(INDEX(Prices[Current Price],MATCH($A557,Prices[Key],0)),0))</f>
        <v/>
      </c>
      <c r="I557" s="289" t="str">
        <f>IF($A557="","",IFERROR(INDEX(Prices[FX to SGD],MATCH($A557,Prices[Key],0)),1))</f>
        <v/>
      </c>
      <c r="J557" s="287" t="str">
        <f t="shared" si="75"/>
        <v/>
      </c>
      <c r="K557" s="287" t="str">
        <f t="shared" si="76"/>
        <v/>
      </c>
      <c r="L557" s="287" t="str">
        <f t="shared" si="77"/>
        <v/>
      </c>
      <c r="M557" s="290" t="str">
        <f t="shared" si="78"/>
        <v/>
      </c>
      <c r="N557" s="243" t="str">
        <f>IF($A557="","",IF(ABS(E557)&gt;0.000001,COUNT($N$1:N556)+1,""))</f>
        <v/>
      </c>
      <c r="O557" s="291" t="str">
        <f>IF($A557="","",SUMIFS(Transactions!$H$2:$H$1001,Transactions!$J$2:$J$1001,$A557,Transactions!$A$2:$A$1001,2)*$I557)</f>
        <v/>
      </c>
      <c r="P557" s="291" t="str">
        <f t="shared" si="79"/>
        <v/>
      </c>
      <c r="Q557" s="292" t="str">
        <f t="shared" si="80"/>
        <v/>
      </c>
    </row>
    <row r="558" spans="1:17" ht="15" customHeight="1" x14ac:dyDescent="0.2">
      <c r="A558" s="243" t="str">
        <f>IFERROR(INDEX(Txn[Key],MATCH(0,INDEX(COUNTIF($A$1:A557,Txn[Key])+(Txn[Key]=""),0),0)),"")</f>
        <v/>
      </c>
      <c r="B558" s="243" t="str">
        <f t="shared" si="72"/>
        <v/>
      </c>
      <c r="C558" s="243" t="str">
        <f t="shared" si="73"/>
        <v/>
      </c>
      <c r="D558" s="243" t="str">
        <f t="shared" si="74"/>
        <v/>
      </c>
      <c r="E558" s="265" t="str">
        <f>IF($A558="","",SUMIFS(Txn[Signed Units],Txn[Key],$A558))</f>
        <v/>
      </c>
      <c r="F558" s="287" t="str">
        <f>IF($A558="","",SUMIFS(Txn[Buy Cost],Txn[Key],$A558))</f>
        <v/>
      </c>
      <c r="G558" s="287" t="str">
        <f>IF($A558="","",SUMIFS(Txn[Sell Proceeds],Txn[Key],$A558))</f>
        <v/>
      </c>
      <c r="H558" s="288" t="str">
        <f>IF($A558="","",IFERROR(INDEX(Prices[Current Price],MATCH($A558,Prices[Key],0)),0))</f>
        <v/>
      </c>
      <c r="I558" s="289" t="str">
        <f>IF($A558="","",IFERROR(INDEX(Prices[FX to SGD],MATCH($A558,Prices[Key],0)),1))</f>
        <v/>
      </c>
      <c r="J558" s="287" t="str">
        <f t="shared" si="75"/>
        <v/>
      </c>
      <c r="K558" s="287" t="str">
        <f t="shared" si="76"/>
        <v/>
      </c>
      <c r="L558" s="287" t="str">
        <f t="shared" si="77"/>
        <v/>
      </c>
      <c r="M558" s="290" t="str">
        <f t="shared" si="78"/>
        <v/>
      </c>
      <c r="N558" s="243" t="str">
        <f>IF($A558="","",IF(ABS(E558)&gt;0.000001,COUNT($N$1:N557)+1,""))</f>
        <v/>
      </c>
      <c r="O558" s="291" t="str">
        <f>IF($A558="","",SUMIFS(Transactions!$H$2:$H$1001,Transactions!$J$2:$J$1001,$A558,Transactions!$A$2:$A$1001,2)*$I558)</f>
        <v/>
      </c>
      <c r="P558" s="291" t="str">
        <f t="shared" si="79"/>
        <v/>
      </c>
      <c r="Q558" s="292" t="str">
        <f t="shared" si="80"/>
        <v/>
      </c>
    </row>
    <row r="559" spans="1:17" ht="15" customHeight="1" x14ac:dyDescent="0.2">
      <c r="A559" s="243" t="str">
        <f>IFERROR(INDEX(Txn[Key],MATCH(0,INDEX(COUNTIF($A$1:A558,Txn[Key])+(Txn[Key]=""),0),0)),"")</f>
        <v/>
      </c>
      <c r="B559" s="243" t="str">
        <f t="shared" si="72"/>
        <v/>
      </c>
      <c r="C559" s="243" t="str">
        <f t="shared" si="73"/>
        <v/>
      </c>
      <c r="D559" s="243" t="str">
        <f t="shared" si="74"/>
        <v/>
      </c>
      <c r="E559" s="265" t="str">
        <f>IF($A559="","",SUMIFS(Txn[Signed Units],Txn[Key],$A559))</f>
        <v/>
      </c>
      <c r="F559" s="287" t="str">
        <f>IF($A559="","",SUMIFS(Txn[Buy Cost],Txn[Key],$A559))</f>
        <v/>
      </c>
      <c r="G559" s="287" t="str">
        <f>IF($A559="","",SUMIFS(Txn[Sell Proceeds],Txn[Key],$A559))</f>
        <v/>
      </c>
      <c r="H559" s="288" t="str">
        <f>IF($A559="","",IFERROR(INDEX(Prices[Current Price],MATCH($A559,Prices[Key],0)),0))</f>
        <v/>
      </c>
      <c r="I559" s="289" t="str">
        <f>IF($A559="","",IFERROR(INDEX(Prices[FX to SGD],MATCH($A559,Prices[Key],0)),1))</f>
        <v/>
      </c>
      <c r="J559" s="287" t="str">
        <f t="shared" si="75"/>
        <v/>
      </c>
      <c r="K559" s="287" t="str">
        <f t="shared" si="76"/>
        <v/>
      </c>
      <c r="L559" s="287" t="str">
        <f t="shared" si="77"/>
        <v/>
      </c>
      <c r="M559" s="290" t="str">
        <f t="shared" si="78"/>
        <v/>
      </c>
      <c r="N559" s="243" t="str">
        <f>IF($A559="","",IF(ABS(E559)&gt;0.000001,COUNT($N$1:N558)+1,""))</f>
        <v/>
      </c>
      <c r="O559" s="291" t="str">
        <f>IF($A559="","",SUMIFS(Transactions!$H$2:$H$1001,Transactions!$J$2:$J$1001,$A559,Transactions!$A$2:$A$1001,2)*$I559)</f>
        <v/>
      </c>
      <c r="P559" s="291" t="str">
        <f t="shared" si="79"/>
        <v/>
      </c>
      <c r="Q559" s="292" t="str">
        <f t="shared" si="80"/>
        <v/>
      </c>
    </row>
    <row r="560" spans="1:17" ht="15" customHeight="1" x14ac:dyDescent="0.2">
      <c r="A560" s="243" t="str">
        <f>IFERROR(INDEX(Txn[Key],MATCH(0,INDEX(COUNTIF($A$1:A559,Txn[Key])+(Txn[Key]=""),0),0)),"")</f>
        <v/>
      </c>
      <c r="B560" s="243" t="str">
        <f t="shared" si="72"/>
        <v/>
      </c>
      <c r="C560" s="243" t="str">
        <f t="shared" si="73"/>
        <v/>
      </c>
      <c r="D560" s="243" t="str">
        <f t="shared" si="74"/>
        <v/>
      </c>
      <c r="E560" s="265" t="str">
        <f>IF($A560="","",SUMIFS(Txn[Signed Units],Txn[Key],$A560))</f>
        <v/>
      </c>
      <c r="F560" s="287" t="str">
        <f>IF($A560="","",SUMIFS(Txn[Buy Cost],Txn[Key],$A560))</f>
        <v/>
      </c>
      <c r="G560" s="287" t="str">
        <f>IF($A560="","",SUMIFS(Txn[Sell Proceeds],Txn[Key],$A560))</f>
        <v/>
      </c>
      <c r="H560" s="288" t="str">
        <f>IF($A560="","",IFERROR(INDEX(Prices[Current Price],MATCH($A560,Prices[Key],0)),0))</f>
        <v/>
      </c>
      <c r="I560" s="289" t="str">
        <f>IF($A560="","",IFERROR(INDEX(Prices[FX to SGD],MATCH($A560,Prices[Key],0)),1))</f>
        <v/>
      </c>
      <c r="J560" s="287" t="str">
        <f t="shared" si="75"/>
        <v/>
      </c>
      <c r="K560" s="287" t="str">
        <f t="shared" si="76"/>
        <v/>
      </c>
      <c r="L560" s="287" t="str">
        <f t="shared" si="77"/>
        <v/>
      </c>
      <c r="M560" s="290" t="str">
        <f t="shared" si="78"/>
        <v/>
      </c>
      <c r="N560" s="243" t="str">
        <f>IF($A560="","",IF(ABS(E560)&gt;0.000001,COUNT($N$1:N559)+1,""))</f>
        <v/>
      </c>
      <c r="O560" s="291" t="str">
        <f>IF($A560="","",SUMIFS(Transactions!$H$2:$H$1001,Transactions!$J$2:$J$1001,$A560,Transactions!$A$2:$A$1001,2)*$I560)</f>
        <v/>
      </c>
      <c r="P560" s="291" t="str">
        <f t="shared" si="79"/>
        <v/>
      </c>
      <c r="Q560" s="292" t="str">
        <f t="shared" si="80"/>
        <v/>
      </c>
    </row>
    <row r="561" spans="1:17" ht="15" customHeight="1" x14ac:dyDescent="0.2">
      <c r="A561" s="243" t="str">
        <f>IFERROR(INDEX(Txn[Key],MATCH(0,INDEX(COUNTIF($A$1:A560,Txn[Key])+(Txn[Key]=""),0),0)),"")</f>
        <v/>
      </c>
      <c r="B561" s="243" t="str">
        <f t="shared" si="72"/>
        <v/>
      </c>
      <c r="C561" s="243" t="str">
        <f t="shared" si="73"/>
        <v/>
      </c>
      <c r="D561" s="243" t="str">
        <f t="shared" si="74"/>
        <v/>
      </c>
      <c r="E561" s="265" t="str">
        <f>IF($A561="","",SUMIFS(Txn[Signed Units],Txn[Key],$A561))</f>
        <v/>
      </c>
      <c r="F561" s="287" t="str">
        <f>IF($A561="","",SUMIFS(Txn[Buy Cost],Txn[Key],$A561))</f>
        <v/>
      </c>
      <c r="G561" s="287" t="str">
        <f>IF($A561="","",SUMIFS(Txn[Sell Proceeds],Txn[Key],$A561))</f>
        <v/>
      </c>
      <c r="H561" s="288" t="str">
        <f>IF($A561="","",IFERROR(INDEX(Prices[Current Price],MATCH($A561,Prices[Key],0)),0))</f>
        <v/>
      </c>
      <c r="I561" s="289" t="str">
        <f>IF($A561="","",IFERROR(INDEX(Prices[FX to SGD],MATCH($A561,Prices[Key],0)),1))</f>
        <v/>
      </c>
      <c r="J561" s="287" t="str">
        <f t="shared" si="75"/>
        <v/>
      </c>
      <c r="K561" s="287" t="str">
        <f t="shared" si="76"/>
        <v/>
      </c>
      <c r="L561" s="287" t="str">
        <f t="shared" si="77"/>
        <v/>
      </c>
      <c r="M561" s="290" t="str">
        <f t="shared" si="78"/>
        <v/>
      </c>
      <c r="N561" s="243" t="str">
        <f>IF($A561="","",IF(ABS(E561)&gt;0.000001,COUNT($N$1:N560)+1,""))</f>
        <v/>
      </c>
      <c r="O561" s="291" t="str">
        <f>IF($A561="","",SUMIFS(Transactions!$H$2:$H$1001,Transactions!$J$2:$J$1001,$A561,Transactions!$A$2:$A$1001,2)*$I561)</f>
        <v/>
      </c>
      <c r="P561" s="291" t="str">
        <f t="shared" si="79"/>
        <v/>
      </c>
      <c r="Q561" s="292" t="str">
        <f t="shared" si="80"/>
        <v/>
      </c>
    </row>
    <row r="562" spans="1:17" ht="15" customHeight="1" x14ac:dyDescent="0.2">
      <c r="A562" s="243" t="str">
        <f>IFERROR(INDEX(Txn[Key],MATCH(0,INDEX(COUNTIF($A$1:A561,Txn[Key])+(Txn[Key]=""),0),0)),"")</f>
        <v/>
      </c>
      <c r="B562" s="243" t="str">
        <f t="shared" si="72"/>
        <v/>
      </c>
      <c r="C562" s="243" t="str">
        <f t="shared" si="73"/>
        <v/>
      </c>
      <c r="D562" s="243" t="str">
        <f t="shared" si="74"/>
        <v/>
      </c>
      <c r="E562" s="265" t="str">
        <f>IF($A562="","",SUMIFS(Txn[Signed Units],Txn[Key],$A562))</f>
        <v/>
      </c>
      <c r="F562" s="287" t="str">
        <f>IF($A562="","",SUMIFS(Txn[Buy Cost],Txn[Key],$A562))</f>
        <v/>
      </c>
      <c r="G562" s="287" t="str">
        <f>IF($A562="","",SUMIFS(Txn[Sell Proceeds],Txn[Key],$A562))</f>
        <v/>
      </c>
      <c r="H562" s="288" t="str">
        <f>IF($A562="","",IFERROR(INDEX(Prices[Current Price],MATCH($A562,Prices[Key],0)),0))</f>
        <v/>
      </c>
      <c r="I562" s="289" t="str">
        <f>IF($A562="","",IFERROR(INDEX(Prices[FX to SGD],MATCH($A562,Prices[Key],0)),1))</f>
        <v/>
      </c>
      <c r="J562" s="287" t="str">
        <f t="shared" si="75"/>
        <v/>
      </c>
      <c r="K562" s="287" t="str">
        <f t="shared" si="76"/>
        <v/>
      </c>
      <c r="L562" s="287" t="str">
        <f t="shared" si="77"/>
        <v/>
      </c>
      <c r="M562" s="290" t="str">
        <f t="shared" si="78"/>
        <v/>
      </c>
      <c r="N562" s="243" t="str">
        <f>IF($A562="","",IF(ABS(E562)&gt;0.000001,COUNT($N$1:N561)+1,""))</f>
        <v/>
      </c>
      <c r="O562" s="291" t="str">
        <f>IF($A562="","",SUMIFS(Transactions!$H$2:$H$1001,Transactions!$J$2:$J$1001,$A562,Transactions!$A$2:$A$1001,2)*$I562)</f>
        <v/>
      </c>
      <c r="P562" s="291" t="str">
        <f t="shared" si="79"/>
        <v/>
      </c>
      <c r="Q562" s="292" t="str">
        <f t="shared" si="80"/>
        <v/>
      </c>
    </row>
    <row r="563" spans="1:17" ht="15" customHeight="1" x14ac:dyDescent="0.2">
      <c r="A563" s="243" t="str">
        <f>IFERROR(INDEX(Txn[Key],MATCH(0,INDEX(COUNTIF($A$1:A562,Txn[Key])+(Txn[Key]=""),0),0)),"")</f>
        <v/>
      </c>
      <c r="B563" s="243" t="str">
        <f t="shared" si="72"/>
        <v/>
      </c>
      <c r="C563" s="243" t="str">
        <f t="shared" si="73"/>
        <v/>
      </c>
      <c r="D563" s="243" t="str">
        <f t="shared" si="74"/>
        <v/>
      </c>
      <c r="E563" s="265" t="str">
        <f>IF($A563="","",SUMIFS(Txn[Signed Units],Txn[Key],$A563))</f>
        <v/>
      </c>
      <c r="F563" s="287" t="str">
        <f>IF($A563="","",SUMIFS(Txn[Buy Cost],Txn[Key],$A563))</f>
        <v/>
      </c>
      <c r="G563" s="287" t="str">
        <f>IF($A563="","",SUMIFS(Txn[Sell Proceeds],Txn[Key],$A563))</f>
        <v/>
      </c>
      <c r="H563" s="288" t="str">
        <f>IF($A563="","",IFERROR(INDEX(Prices[Current Price],MATCH($A563,Prices[Key],0)),0))</f>
        <v/>
      </c>
      <c r="I563" s="289" t="str">
        <f>IF($A563="","",IFERROR(INDEX(Prices[FX to SGD],MATCH($A563,Prices[Key],0)),1))</f>
        <v/>
      </c>
      <c r="J563" s="287" t="str">
        <f t="shared" si="75"/>
        <v/>
      </c>
      <c r="K563" s="287" t="str">
        <f t="shared" si="76"/>
        <v/>
      </c>
      <c r="L563" s="287" t="str">
        <f t="shared" si="77"/>
        <v/>
      </c>
      <c r="M563" s="290" t="str">
        <f t="shared" si="78"/>
        <v/>
      </c>
      <c r="N563" s="243" t="str">
        <f>IF($A563="","",IF(ABS(E563)&gt;0.000001,COUNT($N$1:N562)+1,""))</f>
        <v/>
      </c>
      <c r="O563" s="291" t="str">
        <f>IF($A563="","",SUMIFS(Transactions!$H$2:$H$1001,Transactions!$J$2:$J$1001,$A563,Transactions!$A$2:$A$1001,2)*$I563)</f>
        <v/>
      </c>
      <c r="P563" s="291" t="str">
        <f t="shared" si="79"/>
        <v/>
      </c>
      <c r="Q563" s="292" t="str">
        <f t="shared" si="80"/>
        <v/>
      </c>
    </row>
    <row r="564" spans="1:17" ht="15" customHeight="1" x14ac:dyDescent="0.2">
      <c r="A564" s="243" t="str">
        <f>IFERROR(INDEX(Txn[Key],MATCH(0,INDEX(COUNTIF($A$1:A563,Txn[Key])+(Txn[Key]=""),0),0)),"")</f>
        <v/>
      </c>
      <c r="B564" s="243" t="str">
        <f t="shared" si="72"/>
        <v/>
      </c>
      <c r="C564" s="243" t="str">
        <f t="shared" si="73"/>
        <v/>
      </c>
      <c r="D564" s="243" t="str">
        <f t="shared" si="74"/>
        <v/>
      </c>
      <c r="E564" s="265" t="str">
        <f>IF($A564="","",SUMIFS(Txn[Signed Units],Txn[Key],$A564))</f>
        <v/>
      </c>
      <c r="F564" s="287" t="str">
        <f>IF($A564="","",SUMIFS(Txn[Buy Cost],Txn[Key],$A564))</f>
        <v/>
      </c>
      <c r="G564" s="287" t="str">
        <f>IF($A564="","",SUMIFS(Txn[Sell Proceeds],Txn[Key],$A564))</f>
        <v/>
      </c>
      <c r="H564" s="288" t="str">
        <f>IF($A564="","",IFERROR(INDEX(Prices[Current Price],MATCH($A564,Prices[Key],0)),0))</f>
        <v/>
      </c>
      <c r="I564" s="289" t="str">
        <f>IF($A564="","",IFERROR(INDEX(Prices[FX to SGD],MATCH($A564,Prices[Key],0)),1))</f>
        <v/>
      </c>
      <c r="J564" s="287" t="str">
        <f t="shared" si="75"/>
        <v/>
      </c>
      <c r="K564" s="287" t="str">
        <f t="shared" si="76"/>
        <v/>
      </c>
      <c r="L564" s="287" t="str">
        <f t="shared" si="77"/>
        <v/>
      </c>
      <c r="M564" s="290" t="str">
        <f t="shared" si="78"/>
        <v/>
      </c>
      <c r="N564" s="243" t="str">
        <f>IF($A564="","",IF(ABS(E564)&gt;0.000001,COUNT($N$1:N563)+1,""))</f>
        <v/>
      </c>
      <c r="O564" s="291" t="str">
        <f>IF($A564="","",SUMIFS(Transactions!$H$2:$H$1001,Transactions!$J$2:$J$1001,$A564,Transactions!$A$2:$A$1001,2)*$I564)</f>
        <v/>
      </c>
      <c r="P564" s="291" t="str">
        <f t="shared" si="79"/>
        <v/>
      </c>
      <c r="Q564" s="292" t="str">
        <f t="shared" si="80"/>
        <v/>
      </c>
    </row>
    <row r="565" spans="1:17" ht="15" customHeight="1" x14ac:dyDescent="0.2">
      <c r="A565" s="243" t="str">
        <f>IFERROR(INDEX(Txn[Key],MATCH(0,INDEX(COUNTIF($A$1:A564,Txn[Key])+(Txn[Key]=""),0),0)),"")</f>
        <v/>
      </c>
      <c r="B565" s="243" t="str">
        <f t="shared" si="72"/>
        <v/>
      </c>
      <c r="C565" s="243" t="str">
        <f t="shared" si="73"/>
        <v/>
      </c>
      <c r="D565" s="243" t="str">
        <f t="shared" si="74"/>
        <v/>
      </c>
      <c r="E565" s="265" t="str">
        <f>IF($A565="","",SUMIFS(Txn[Signed Units],Txn[Key],$A565))</f>
        <v/>
      </c>
      <c r="F565" s="287" t="str">
        <f>IF($A565="","",SUMIFS(Txn[Buy Cost],Txn[Key],$A565))</f>
        <v/>
      </c>
      <c r="G565" s="287" t="str">
        <f>IF($A565="","",SUMIFS(Txn[Sell Proceeds],Txn[Key],$A565))</f>
        <v/>
      </c>
      <c r="H565" s="288" t="str">
        <f>IF($A565="","",IFERROR(INDEX(Prices[Current Price],MATCH($A565,Prices[Key],0)),0))</f>
        <v/>
      </c>
      <c r="I565" s="289" t="str">
        <f>IF($A565="","",IFERROR(INDEX(Prices[FX to SGD],MATCH($A565,Prices[Key],0)),1))</f>
        <v/>
      </c>
      <c r="J565" s="287" t="str">
        <f t="shared" si="75"/>
        <v/>
      </c>
      <c r="K565" s="287" t="str">
        <f t="shared" si="76"/>
        <v/>
      </c>
      <c r="L565" s="287" t="str">
        <f t="shared" si="77"/>
        <v/>
      </c>
      <c r="M565" s="290" t="str">
        <f t="shared" si="78"/>
        <v/>
      </c>
      <c r="N565" s="243" t="str">
        <f>IF($A565="","",IF(ABS(E565)&gt;0.000001,COUNT($N$1:N564)+1,""))</f>
        <v/>
      </c>
      <c r="O565" s="291" t="str">
        <f>IF($A565="","",SUMIFS(Transactions!$H$2:$H$1001,Transactions!$J$2:$J$1001,$A565,Transactions!$A$2:$A$1001,2)*$I565)</f>
        <v/>
      </c>
      <c r="P565" s="291" t="str">
        <f t="shared" si="79"/>
        <v/>
      </c>
      <c r="Q565" s="292" t="str">
        <f t="shared" si="80"/>
        <v/>
      </c>
    </row>
    <row r="566" spans="1:17" ht="15" customHeight="1" x14ac:dyDescent="0.2">
      <c r="A566" s="243" t="str">
        <f>IFERROR(INDEX(Txn[Key],MATCH(0,INDEX(COUNTIF($A$1:A565,Txn[Key])+(Txn[Key]=""),0),0)),"")</f>
        <v/>
      </c>
      <c r="B566" s="243" t="str">
        <f t="shared" si="72"/>
        <v/>
      </c>
      <c r="C566" s="243" t="str">
        <f t="shared" si="73"/>
        <v/>
      </c>
      <c r="D566" s="243" t="str">
        <f t="shared" si="74"/>
        <v/>
      </c>
      <c r="E566" s="265" t="str">
        <f>IF($A566="","",SUMIFS(Txn[Signed Units],Txn[Key],$A566))</f>
        <v/>
      </c>
      <c r="F566" s="287" t="str">
        <f>IF($A566="","",SUMIFS(Txn[Buy Cost],Txn[Key],$A566))</f>
        <v/>
      </c>
      <c r="G566" s="287" t="str">
        <f>IF($A566="","",SUMIFS(Txn[Sell Proceeds],Txn[Key],$A566))</f>
        <v/>
      </c>
      <c r="H566" s="288" t="str">
        <f>IF($A566="","",IFERROR(INDEX(Prices[Current Price],MATCH($A566,Prices[Key],0)),0))</f>
        <v/>
      </c>
      <c r="I566" s="289" t="str">
        <f>IF($A566="","",IFERROR(INDEX(Prices[FX to SGD],MATCH($A566,Prices[Key],0)),1))</f>
        <v/>
      </c>
      <c r="J566" s="287" t="str">
        <f t="shared" si="75"/>
        <v/>
      </c>
      <c r="K566" s="287" t="str">
        <f t="shared" si="76"/>
        <v/>
      </c>
      <c r="L566" s="287" t="str">
        <f t="shared" si="77"/>
        <v/>
      </c>
      <c r="M566" s="290" t="str">
        <f t="shared" si="78"/>
        <v/>
      </c>
      <c r="N566" s="243" t="str">
        <f>IF($A566="","",IF(ABS(E566)&gt;0.000001,COUNT($N$1:N565)+1,""))</f>
        <v/>
      </c>
      <c r="O566" s="291" t="str">
        <f>IF($A566="","",SUMIFS(Transactions!$H$2:$H$1001,Transactions!$J$2:$J$1001,$A566,Transactions!$A$2:$A$1001,2)*$I566)</f>
        <v/>
      </c>
      <c r="P566" s="291" t="str">
        <f t="shared" si="79"/>
        <v/>
      </c>
      <c r="Q566" s="292" t="str">
        <f t="shared" si="80"/>
        <v/>
      </c>
    </row>
    <row r="567" spans="1:17" ht="15" customHeight="1" x14ac:dyDescent="0.2">
      <c r="A567" s="243" t="str">
        <f>IFERROR(INDEX(Txn[Key],MATCH(0,INDEX(COUNTIF($A$1:A566,Txn[Key])+(Txn[Key]=""),0),0)),"")</f>
        <v/>
      </c>
      <c r="B567" s="243" t="str">
        <f t="shared" si="72"/>
        <v/>
      </c>
      <c r="C567" s="243" t="str">
        <f t="shared" si="73"/>
        <v/>
      </c>
      <c r="D567" s="243" t="str">
        <f t="shared" si="74"/>
        <v/>
      </c>
      <c r="E567" s="265" t="str">
        <f>IF($A567="","",SUMIFS(Txn[Signed Units],Txn[Key],$A567))</f>
        <v/>
      </c>
      <c r="F567" s="287" t="str">
        <f>IF($A567="","",SUMIFS(Txn[Buy Cost],Txn[Key],$A567))</f>
        <v/>
      </c>
      <c r="G567" s="287" t="str">
        <f>IF($A567="","",SUMIFS(Txn[Sell Proceeds],Txn[Key],$A567))</f>
        <v/>
      </c>
      <c r="H567" s="288" t="str">
        <f>IF($A567="","",IFERROR(INDEX(Prices[Current Price],MATCH($A567,Prices[Key],0)),0))</f>
        <v/>
      </c>
      <c r="I567" s="289" t="str">
        <f>IF($A567="","",IFERROR(INDEX(Prices[FX to SGD],MATCH($A567,Prices[Key],0)),1))</f>
        <v/>
      </c>
      <c r="J567" s="287" t="str">
        <f t="shared" si="75"/>
        <v/>
      </c>
      <c r="K567" s="287" t="str">
        <f t="shared" si="76"/>
        <v/>
      </c>
      <c r="L567" s="287" t="str">
        <f t="shared" si="77"/>
        <v/>
      </c>
      <c r="M567" s="290" t="str">
        <f t="shared" si="78"/>
        <v/>
      </c>
      <c r="N567" s="243" t="str">
        <f>IF($A567="","",IF(ABS(E567)&gt;0.000001,COUNT($N$1:N566)+1,""))</f>
        <v/>
      </c>
      <c r="O567" s="291" t="str">
        <f>IF($A567="","",SUMIFS(Transactions!$H$2:$H$1001,Transactions!$J$2:$J$1001,$A567,Transactions!$A$2:$A$1001,2)*$I567)</f>
        <v/>
      </c>
      <c r="P567" s="291" t="str">
        <f t="shared" si="79"/>
        <v/>
      </c>
      <c r="Q567" s="292" t="str">
        <f t="shared" si="80"/>
        <v/>
      </c>
    </row>
    <row r="568" spans="1:17" ht="15" customHeight="1" x14ac:dyDescent="0.2">
      <c r="A568" s="243" t="str">
        <f>IFERROR(INDEX(Txn[Key],MATCH(0,INDEX(COUNTIF($A$1:A567,Txn[Key])+(Txn[Key]=""),0),0)),"")</f>
        <v/>
      </c>
      <c r="B568" s="243" t="str">
        <f t="shared" si="72"/>
        <v/>
      </c>
      <c r="C568" s="243" t="str">
        <f t="shared" si="73"/>
        <v/>
      </c>
      <c r="D568" s="243" t="str">
        <f t="shared" si="74"/>
        <v/>
      </c>
      <c r="E568" s="265" t="str">
        <f>IF($A568="","",SUMIFS(Txn[Signed Units],Txn[Key],$A568))</f>
        <v/>
      </c>
      <c r="F568" s="287" t="str">
        <f>IF($A568="","",SUMIFS(Txn[Buy Cost],Txn[Key],$A568))</f>
        <v/>
      </c>
      <c r="G568" s="287" t="str">
        <f>IF($A568="","",SUMIFS(Txn[Sell Proceeds],Txn[Key],$A568))</f>
        <v/>
      </c>
      <c r="H568" s="288" t="str">
        <f>IF($A568="","",IFERROR(INDEX(Prices[Current Price],MATCH($A568,Prices[Key],0)),0))</f>
        <v/>
      </c>
      <c r="I568" s="289" t="str">
        <f>IF($A568="","",IFERROR(INDEX(Prices[FX to SGD],MATCH($A568,Prices[Key],0)),1))</f>
        <v/>
      </c>
      <c r="J568" s="287" t="str">
        <f t="shared" si="75"/>
        <v/>
      </c>
      <c r="K568" s="287" t="str">
        <f t="shared" si="76"/>
        <v/>
      </c>
      <c r="L568" s="287" t="str">
        <f t="shared" si="77"/>
        <v/>
      </c>
      <c r="M568" s="290" t="str">
        <f t="shared" si="78"/>
        <v/>
      </c>
      <c r="N568" s="243" t="str">
        <f>IF($A568="","",IF(ABS(E568)&gt;0.000001,COUNT($N$1:N567)+1,""))</f>
        <v/>
      </c>
      <c r="O568" s="291" t="str">
        <f>IF($A568="","",SUMIFS(Transactions!$H$2:$H$1001,Transactions!$J$2:$J$1001,$A568,Transactions!$A$2:$A$1001,2)*$I568)</f>
        <v/>
      </c>
      <c r="P568" s="291" t="str">
        <f t="shared" si="79"/>
        <v/>
      </c>
      <c r="Q568" s="292" t="str">
        <f t="shared" si="80"/>
        <v/>
      </c>
    </row>
    <row r="569" spans="1:17" ht="15" customHeight="1" x14ac:dyDescent="0.2">
      <c r="A569" s="243" t="str">
        <f>IFERROR(INDEX(Txn[Key],MATCH(0,INDEX(COUNTIF($A$1:A568,Txn[Key])+(Txn[Key]=""),0),0)),"")</f>
        <v/>
      </c>
      <c r="B569" s="243" t="str">
        <f t="shared" si="72"/>
        <v/>
      </c>
      <c r="C569" s="243" t="str">
        <f t="shared" si="73"/>
        <v/>
      </c>
      <c r="D569" s="243" t="str">
        <f t="shared" si="74"/>
        <v/>
      </c>
      <c r="E569" s="265" t="str">
        <f>IF($A569="","",SUMIFS(Txn[Signed Units],Txn[Key],$A569))</f>
        <v/>
      </c>
      <c r="F569" s="287" t="str">
        <f>IF($A569="","",SUMIFS(Txn[Buy Cost],Txn[Key],$A569))</f>
        <v/>
      </c>
      <c r="G569" s="287" t="str">
        <f>IF($A569="","",SUMIFS(Txn[Sell Proceeds],Txn[Key],$A569))</f>
        <v/>
      </c>
      <c r="H569" s="288" t="str">
        <f>IF($A569="","",IFERROR(INDEX(Prices[Current Price],MATCH($A569,Prices[Key],0)),0))</f>
        <v/>
      </c>
      <c r="I569" s="289" t="str">
        <f>IF($A569="","",IFERROR(INDEX(Prices[FX to SGD],MATCH($A569,Prices[Key],0)),1))</f>
        <v/>
      </c>
      <c r="J569" s="287" t="str">
        <f t="shared" si="75"/>
        <v/>
      </c>
      <c r="K569" s="287" t="str">
        <f t="shared" si="76"/>
        <v/>
      </c>
      <c r="L569" s="287" t="str">
        <f t="shared" si="77"/>
        <v/>
      </c>
      <c r="M569" s="290" t="str">
        <f t="shared" si="78"/>
        <v/>
      </c>
      <c r="N569" s="243" t="str">
        <f>IF($A569="","",IF(ABS(E569)&gt;0.000001,COUNT($N$1:N568)+1,""))</f>
        <v/>
      </c>
      <c r="O569" s="291" t="str">
        <f>IF($A569="","",SUMIFS(Transactions!$H$2:$H$1001,Transactions!$J$2:$J$1001,$A569,Transactions!$A$2:$A$1001,2)*$I569)</f>
        <v/>
      </c>
      <c r="P569" s="291" t="str">
        <f t="shared" si="79"/>
        <v/>
      </c>
      <c r="Q569" s="292" t="str">
        <f t="shared" si="80"/>
        <v/>
      </c>
    </row>
    <row r="570" spans="1:17" ht="15" customHeight="1" x14ac:dyDescent="0.2">
      <c r="A570" s="243" t="str">
        <f>IFERROR(INDEX(Txn[Key],MATCH(0,INDEX(COUNTIF($A$1:A569,Txn[Key])+(Txn[Key]=""),0),0)),"")</f>
        <v/>
      </c>
      <c r="B570" s="243" t="str">
        <f t="shared" si="72"/>
        <v/>
      </c>
      <c r="C570" s="243" t="str">
        <f t="shared" si="73"/>
        <v/>
      </c>
      <c r="D570" s="243" t="str">
        <f t="shared" si="74"/>
        <v/>
      </c>
      <c r="E570" s="265" t="str">
        <f>IF($A570="","",SUMIFS(Txn[Signed Units],Txn[Key],$A570))</f>
        <v/>
      </c>
      <c r="F570" s="287" t="str">
        <f>IF($A570="","",SUMIFS(Txn[Buy Cost],Txn[Key],$A570))</f>
        <v/>
      </c>
      <c r="G570" s="287" t="str">
        <f>IF($A570="","",SUMIFS(Txn[Sell Proceeds],Txn[Key],$A570))</f>
        <v/>
      </c>
      <c r="H570" s="288" t="str">
        <f>IF($A570="","",IFERROR(INDEX(Prices[Current Price],MATCH($A570,Prices[Key],0)),0))</f>
        <v/>
      </c>
      <c r="I570" s="289" t="str">
        <f>IF($A570="","",IFERROR(INDEX(Prices[FX to SGD],MATCH($A570,Prices[Key],0)),1))</f>
        <v/>
      </c>
      <c r="J570" s="287" t="str">
        <f t="shared" si="75"/>
        <v/>
      </c>
      <c r="K570" s="287" t="str">
        <f t="shared" si="76"/>
        <v/>
      </c>
      <c r="L570" s="287" t="str">
        <f t="shared" si="77"/>
        <v/>
      </c>
      <c r="M570" s="290" t="str">
        <f t="shared" si="78"/>
        <v/>
      </c>
      <c r="N570" s="243" t="str">
        <f>IF($A570="","",IF(ABS(E570)&gt;0.000001,COUNT($N$1:N569)+1,""))</f>
        <v/>
      </c>
      <c r="O570" s="291" t="str">
        <f>IF($A570="","",SUMIFS(Transactions!$H$2:$H$1001,Transactions!$J$2:$J$1001,$A570,Transactions!$A$2:$A$1001,2)*$I570)</f>
        <v/>
      </c>
      <c r="P570" s="291" t="str">
        <f t="shared" si="79"/>
        <v/>
      </c>
      <c r="Q570" s="292" t="str">
        <f t="shared" si="80"/>
        <v/>
      </c>
    </row>
    <row r="571" spans="1:17" ht="15" customHeight="1" x14ac:dyDescent="0.2">
      <c r="A571" s="243" t="str">
        <f>IFERROR(INDEX(Txn[Key],MATCH(0,INDEX(COUNTIF($A$1:A570,Txn[Key])+(Txn[Key]=""),0),0)),"")</f>
        <v/>
      </c>
      <c r="B571" s="243" t="str">
        <f t="shared" si="72"/>
        <v/>
      </c>
      <c r="C571" s="243" t="str">
        <f t="shared" si="73"/>
        <v/>
      </c>
      <c r="D571" s="243" t="str">
        <f t="shared" si="74"/>
        <v/>
      </c>
      <c r="E571" s="265" t="str">
        <f>IF($A571="","",SUMIFS(Txn[Signed Units],Txn[Key],$A571))</f>
        <v/>
      </c>
      <c r="F571" s="287" t="str">
        <f>IF($A571="","",SUMIFS(Txn[Buy Cost],Txn[Key],$A571))</f>
        <v/>
      </c>
      <c r="G571" s="287" t="str">
        <f>IF($A571="","",SUMIFS(Txn[Sell Proceeds],Txn[Key],$A571))</f>
        <v/>
      </c>
      <c r="H571" s="288" t="str">
        <f>IF($A571="","",IFERROR(INDEX(Prices[Current Price],MATCH($A571,Prices[Key],0)),0))</f>
        <v/>
      </c>
      <c r="I571" s="289" t="str">
        <f>IF($A571="","",IFERROR(INDEX(Prices[FX to SGD],MATCH($A571,Prices[Key],0)),1))</f>
        <v/>
      </c>
      <c r="J571" s="287" t="str">
        <f t="shared" si="75"/>
        <v/>
      </c>
      <c r="K571" s="287" t="str">
        <f t="shared" si="76"/>
        <v/>
      </c>
      <c r="L571" s="287" t="str">
        <f t="shared" si="77"/>
        <v/>
      </c>
      <c r="M571" s="290" t="str">
        <f t="shared" si="78"/>
        <v/>
      </c>
      <c r="N571" s="243" t="str">
        <f>IF($A571="","",IF(ABS(E571)&gt;0.000001,COUNT($N$1:N570)+1,""))</f>
        <v/>
      </c>
      <c r="O571" s="291" t="str">
        <f>IF($A571="","",SUMIFS(Transactions!$H$2:$H$1001,Transactions!$J$2:$J$1001,$A571,Transactions!$A$2:$A$1001,2)*$I571)</f>
        <v/>
      </c>
      <c r="P571" s="291" t="str">
        <f t="shared" si="79"/>
        <v/>
      </c>
      <c r="Q571" s="292" t="str">
        <f t="shared" si="80"/>
        <v/>
      </c>
    </row>
    <row r="572" spans="1:17" ht="15" customHeight="1" x14ac:dyDescent="0.2">
      <c r="A572" s="243" t="str">
        <f>IFERROR(INDEX(Txn[Key],MATCH(0,INDEX(COUNTIF($A$1:A571,Txn[Key])+(Txn[Key]=""),0),0)),"")</f>
        <v/>
      </c>
      <c r="B572" s="243" t="str">
        <f t="shared" si="72"/>
        <v/>
      </c>
      <c r="C572" s="243" t="str">
        <f t="shared" si="73"/>
        <v/>
      </c>
      <c r="D572" s="243" t="str">
        <f t="shared" si="74"/>
        <v/>
      </c>
      <c r="E572" s="265" t="str">
        <f>IF($A572="","",SUMIFS(Txn[Signed Units],Txn[Key],$A572))</f>
        <v/>
      </c>
      <c r="F572" s="287" t="str">
        <f>IF($A572="","",SUMIFS(Txn[Buy Cost],Txn[Key],$A572))</f>
        <v/>
      </c>
      <c r="G572" s="287" t="str">
        <f>IF($A572="","",SUMIFS(Txn[Sell Proceeds],Txn[Key],$A572))</f>
        <v/>
      </c>
      <c r="H572" s="288" t="str">
        <f>IF($A572="","",IFERROR(INDEX(Prices[Current Price],MATCH($A572,Prices[Key],0)),0))</f>
        <v/>
      </c>
      <c r="I572" s="289" t="str">
        <f>IF($A572="","",IFERROR(INDEX(Prices[FX to SGD],MATCH($A572,Prices[Key],0)),1))</f>
        <v/>
      </c>
      <c r="J572" s="287" t="str">
        <f t="shared" si="75"/>
        <v/>
      </c>
      <c r="K572" s="287" t="str">
        <f t="shared" si="76"/>
        <v/>
      </c>
      <c r="L572" s="287" t="str">
        <f t="shared" si="77"/>
        <v/>
      </c>
      <c r="M572" s="290" t="str">
        <f t="shared" si="78"/>
        <v/>
      </c>
      <c r="N572" s="243" t="str">
        <f>IF($A572="","",IF(ABS(E572)&gt;0.000001,COUNT($N$1:N571)+1,""))</f>
        <v/>
      </c>
      <c r="O572" s="291" t="str">
        <f>IF($A572="","",SUMIFS(Transactions!$H$2:$H$1001,Transactions!$J$2:$J$1001,$A572,Transactions!$A$2:$A$1001,2)*$I572)</f>
        <v/>
      </c>
      <c r="P572" s="291" t="str">
        <f t="shared" si="79"/>
        <v/>
      </c>
      <c r="Q572" s="292" t="str">
        <f t="shared" si="80"/>
        <v/>
      </c>
    </row>
    <row r="573" spans="1:17" ht="15" customHeight="1" x14ac:dyDescent="0.2">
      <c r="A573" s="243" t="str">
        <f>IFERROR(INDEX(Txn[Key],MATCH(0,INDEX(COUNTIF($A$1:A572,Txn[Key])+(Txn[Key]=""),0),0)),"")</f>
        <v/>
      </c>
      <c r="B573" s="243" t="str">
        <f t="shared" si="72"/>
        <v/>
      </c>
      <c r="C573" s="243" t="str">
        <f t="shared" si="73"/>
        <v/>
      </c>
      <c r="D573" s="243" t="str">
        <f t="shared" si="74"/>
        <v/>
      </c>
      <c r="E573" s="265" t="str">
        <f>IF($A573="","",SUMIFS(Txn[Signed Units],Txn[Key],$A573))</f>
        <v/>
      </c>
      <c r="F573" s="287" t="str">
        <f>IF($A573="","",SUMIFS(Txn[Buy Cost],Txn[Key],$A573))</f>
        <v/>
      </c>
      <c r="G573" s="287" t="str">
        <f>IF($A573="","",SUMIFS(Txn[Sell Proceeds],Txn[Key],$A573))</f>
        <v/>
      </c>
      <c r="H573" s="288" t="str">
        <f>IF($A573="","",IFERROR(INDEX(Prices[Current Price],MATCH($A573,Prices[Key],0)),0))</f>
        <v/>
      </c>
      <c r="I573" s="289" t="str">
        <f>IF($A573="","",IFERROR(INDEX(Prices[FX to SGD],MATCH($A573,Prices[Key],0)),1))</f>
        <v/>
      </c>
      <c r="J573" s="287" t="str">
        <f t="shared" si="75"/>
        <v/>
      </c>
      <c r="K573" s="287" t="str">
        <f t="shared" si="76"/>
        <v/>
      </c>
      <c r="L573" s="287" t="str">
        <f t="shared" si="77"/>
        <v/>
      </c>
      <c r="M573" s="290" t="str">
        <f t="shared" si="78"/>
        <v/>
      </c>
      <c r="N573" s="243" t="str">
        <f>IF($A573="","",IF(ABS(E573)&gt;0.000001,COUNT($N$1:N572)+1,""))</f>
        <v/>
      </c>
      <c r="O573" s="291" t="str">
        <f>IF($A573="","",SUMIFS(Transactions!$H$2:$H$1001,Transactions!$J$2:$J$1001,$A573,Transactions!$A$2:$A$1001,2)*$I573)</f>
        <v/>
      </c>
      <c r="P573" s="291" t="str">
        <f t="shared" si="79"/>
        <v/>
      </c>
      <c r="Q573" s="292" t="str">
        <f t="shared" si="80"/>
        <v/>
      </c>
    </row>
    <row r="574" spans="1:17" ht="15" customHeight="1" x14ac:dyDescent="0.2">
      <c r="A574" s="243" t="str">
        <f>IFERROR(INDEX(Txn[Key],MATCH(0,INDEX(COUNTIF($A$1:A573,Txn[Key])+(Txn[Key]=""),0),0)),"")</f>
        <v/>
      </c>
      <c r="B574" s="243" t="str">
        <f t="shared" si="72"/>
        <v/>
      </c>
      <c r="C574" s="243" t="str">
        <f t="shared" si="73"/>
        <v/>
      </c>
      <c r="D574" s="243" t="str">
        <f t="shared" si="74"/>
        <v/>
      </c>
      <c r="E574" s="265" t="str">
        <f>IF($A574="","",SUMIFS(Txn[Signed Units],Txn[Key],$A574))</f>
        <v/>
      </c>
      <c r="F574" s="287" t="str">
        <f>IF($A574="","",SUMIFS(Txn[Buy Cost],Txn[Key],$A574))</f>
        <v/>
      </c>
      <c r="G574" s="287" t="str">
        <f>IF($A574="","",SUMIFS(Txn[Sell Proceeds],Txn[Key],$A574))</f>
        <v/>
      </c>
      <c r="H574" s="288" t="str">
        <f>IF($A574="","",IFERROR(INDEX(Prices[Current Price],MATCH($A574,Prices[Key],0)),0))</f>
        <v/>
      </c>
      <c r="I574" s="289" t="str">
        <f>IF($A574="","",IFERROR(INDEX(Prices[FX to SGD],MATCH($A574,Prices[Key],0)),1))</f>
        <v/>
      </c>
      <c r="J574" s="287" t="str">
        <f t="shared" si="75"/>
        <v/>
      </c>
      <c r="K574" s="287" t="str">
        <f t="shared" si="76"/>
        <v/>
      </c>
      <c r="L574" s="287" t="str">
        <f t="shared" si="77"/>
        <v/>
      </c>
      <c r="M574" s="290" t="str">
        <f t="shared" si="78"/>
        <v/>
      </c>
      <c r="N574" s="243" t="str">
        <f>IF($A574="","",IF(ABS(E574)&gt;0.000001,COUNT($N$1:N573)+1,""))</f>
        <v/>
      </c>
      <c r="O574" s="291" t="str">
        <f>IF($A574="","",SUMIFS(Transactions!$H$2:$H$1001,Transactions!$J$2:$J$1001,$A574,Transactions!$A$2:$A$1001,2)*$I574)</f>
        <v/>
      </c>
      <c r="P574" s="291" t="str">
        <f t="shared" si="79"/>
        <v/>
      </c>
      <c r="Q574" s="292" t="str">
        <f t="shared" si="80"/>
        <v/>
      </c>
    </row>
    <row r="575" spans="1:17" ht="15" customHeight="1" x14ac:dyDescent="0.2">
      <c r="A575" s="243" t="str">
        <f>IFERROR(INDEX(Txn[Key],MATCH(0,INDEX(COUNTIF($A$1:A574,Txn[Key])+(Txn[Key]=""),0),0)),"")</f>
        <v/>
      </c>
      <c r="B575" s="243" t="str">
        <f t="shared" si="72"/>
        <v/>
      </c>
      <c r="C575" s="243" t="str">
        <f t="shared" si="73"/>
        <v/>
      </c>
      <c r="D575" s="243" t="str">
        <f t="shared" si="74"/>
        <v/>
      </c>
      <c r="E575" s="265" t="str">
        <f>IF($A575="","",SUMIFS(Txn[Signed Units],Txn[Key],$A575))</f>
        <v/>
      </c>
      <c r="F575" s="287" t="str">
        <f>IF($A575="","",SUMIFS(Txn[Buy Cost],Txn[Key],$A575))</f>
        <v/>
      </c>
      <c r="G575" s="287" t="str">
        <f>IF($A575="","",SUMIFS(Txn[Sell Proceeds],Txn[Key],$A575))</f>
        <v/>
      </c>
      <c r="H575" s="288" t="str">
        <f>IF($A575="","",IFERROR(INDEX(Prices[Current Price],MATCH($A575,Prices[Key],0)),0))</f>
        <v/>
      </c>
      <c r="I575" s="289" t="str">
        <f>IF($A575="","",IFERROR(INDEX(Prices[FX to SGD],MATCH($A575,Prices[Key],0)),1))</f>
        <v/>
      </c>
      <c r="J575" s="287" t="str">
        <f t="shared" si="75"/>
        <v/>
      </c>
      <c r="K575" s="287" t="str">
        <f t="shared" si="76"/>
        <v/>
      </c>
      <c r="L575" s="287" t="str">
        <f t="shared" si="77"/>
        <v/>
      </c>
      <c r="M575" s="290" t="str">
        <f t="shared" si="78"/>
        <v/>
      </c>
      <c r="N575" s="243" t="str">
        <f>IF($A575="","",IF(ABS(E575)&gt;0.000001,COUNT($N$1:N574)+1,""))</f>
        <v/>
      </c>
      <c r="O575" s="291" t="str">
        <f>IF($A575="","",SUMIFS(Transactions!$H$2:$H$1001,Transactions!$J$2:$J$1001,$A575,Transactions!$A$2:$A$1001,2)*$I575)</f>
        <v/>
      </c>
      <c r="P575" s="291" t="str">
        <f t="shared" si="79"/>
        <v/>
      </c>
      <c r="Q575" s="292" t="str">
        <f t="shared" si="80"/>
        <v/>
      </c>
    </row>
    <row r="576" spans="1:17" ht="15" customHeight="1" x14ac:dyDescent="0.2">
      <c r="A576" s="243" t="str">
        <f>IFERROR(INDEX(Txn[Key],MATCH(0,INDEX(COUNTIF($A$1:A575,Txn[Key])+(Txn[Key]=""),0),0)),"")</f>
        <v/>
      </c>
      <c r="B576" s="243" t="str">
        <f t="shared" si="72"/>
        <v/>
      </c>
      <c r="C576" s="243" t="str">
        <f t="shared" si="73"/>
        <v/>
      </c>
      <c r="D576" s="243" t="str">
        <f t="shared" si="74"/>
        <v/>
      </c>
      <c r="E576" s="265" t="str">
        <f>IF($A576="","",SUMIFS(Txn[Signed Units],Txn[Key],$A576))</f>
        <v/>
      </c>
      <c r="F576" s="287" t="str">
        <f>IF($A576="","",SUMIFS(Txn[Buy Cost],Txn[Key],$A576))</f>
        <v/>
      </c>
      <c r="G576" s="287" t="str">
        <f>IF($A576="","",SUMIFS(Txn[Sell Proceeds],Txn[Key],$A576))</f>
        <v/>
      </c>
      <c r="H576" s="288" t="str">
        <f>IF($A576="","",IFERROR(INDEX(Prices[Current Price],MATCH($A576,Prices[Key],0)),0))</f>
        <v/>
      </c>
      <c r="I576" s="289" t="str">
        <f>IF($A576="","",IFERROR(INDEX(Prices[FX to SGD],MATCH($A576,Prices[Key],0)),1))</f>
        <v/>
      </c>
      <c r="J576" s="287" t="str">
        <f t="shared" si="75"/>
        <v/>
      </c>
      <c r="K576" s="287" t="str">
        <f t="shared" si="76"/>
        <v/>
      </c>
      <c r="L576" s="287" t="str">
        <f t="shared" si="77"/>
        <v/>
      </c>
      <c r="M576" s="290" t="str">
        <f t="shared" si="78"/>
        <v/>
      </c>
      <c r="N576" s="243" t="str">
        <f>IF($A576="","",IF(ABS(E576)&gt;0.000001,COUNT($N$1:N575)+1,""))</f>
        <v/>
      </c>
      <c r="O576" s="291" t="str">
        <f>IF($A576="","",SUMIFS(Transactions!$H$2:$H$1001,Transactions!$J$2:$J$1001,$A576,Transactions!$A$2:$A$1001,2)*$I576)</f>
        <v/>
      </c>
      <c r="P576" s="291" t="str">
        <f t="shared" si="79"/>
        <v/>
      </c>
      <c r="Q576" s="292" t="str">
        <f t="shared" si="80"/>
        <v/>
      </c>
    </row>
    <row r="577" spans="1:17" ht="15" customHeight="1" x14ac:dyDescent="0.2">
      <c r="A577" s="243" t="str">
        <f>IFERROR(INDEX(Txn[Key],MATCH(0,INDEX(COUNTIF($A$1:A576,Txn[Key])+(Txn[Key]=""),0),0)),"")</f>
        <v/>
      </c>
      <c r="B577" s="243" t="str">
        <f t="shared" si="72"/>
        <v/>
      </c>
      <c r="C577" s="243" t="str">
        <f t="shared" si="73"/>
        <v/>
      </c>
      <c r="D577" s="243" t="str">
        <f t="shared" si="74"/>
        <v/>
      </c>
      <c r="E577" s="265" t="str">
        <f>IF($A577="","",SUMIFS(Txn[Signed Units],Txn[Key],$A577))</f>
        <v/>
      </c>
      <c r="F577" s="287" t="str">
        <f>IF($A577="","",SUMIFS(Txn[Buy Cost],Txn[Key],$A577))</f>
        <v/>
      </c>
      <c r="G577" s="287" t="str">
        <f>IF($A577="","",SUMIFS(Txn[Sell Proceeds],Txn[Key],$A577))</f>
        <v/>
      </c>
      <c r="H577" s="288" t="str">
        <f>IF($A577="","",IFERROR(INDEX(Prices[Current Price],MATCH($A577,Prices[Key],0)),0))</f>
        <v/>
      </c>
      <c r="I577" s="289" t="str">
        <f>IF($A577="","",IFERROR(INDEX(Prices[FX to SGD],MATCH($A577,Prices[Key],0)),1))</f>
        <v/>
      </c>
      <c r="J577" s="287" t="str">
        <f t="shared" si="75"/>
        <v/>
      </c>
      <c r="K577" s="287" t="str">
        <f t="shared" si="76"/>
        <v/>
      </c>
      <c r="L577" s="287" t="str">
        <f t="shared" si="77"/>
        <v/>
      </c>
      <c r="M577" s="290" t="str">
        <f t="shared" si="78"/>
        <v/>
      </c>
      <c r="N577" s="243" t="str">
        <f>IF($A577="","",IF(ABS(E577)&gt;0.000001,COUNT($N$1:N576)+1,""))</f>
        <v/>
      </c>
      <c r="O577" s="291" t="str">
        <f>IF($A577="","",SUMIFS(Transactions!$H$2:$H$1001,Transactions!$J$2:$J$1001,$A577,Transactions!$A$2:$A$1001,2)*$I577)</f>
        <v/>
      </c>
      <c r="P577" s="291" t="str">
        <f t="shared" si="79"/>
        <v/>
      </c>
      <c r="Q577" s="292" t="str">
        <f t="shared" si="80"/>
        <v/>
      </c>
    </row>
    <row r="578" spans="1:17" ht="15" customHeight="1" x14ac:dyDescent="0.2">
      <c r="A578" s="243" t="str">
        <f>IFERROR(INDEX(Txn[Key],MATCH(0,INDEX(COUNTIF($A$1:A577,Txn[Key])+(Txn[Key]=""),0),0)),"")</f>
        <v/>
      </c>
      <c r="B578" s="243" t="str">
        <f t="shared" ref="B578:B641" si="81">IF($A578="","",LEFT($A578,FIND(":",$A578)-1))</f>
        <v/>
      </c>
      <c r="C578" s="243" t="str">
        <f t="shared" ref="C578:C641" si="82">IF($A578="","",MID($A578,FIND(":",$A578)+1,FIND(":",$A578,FIND(":",$A578)+1)-FIND(":",$A578)-1))</f>
        <v/>
      </c>
      <c r="D578" s="243" t="str">
        <f t="shared" ref="D578:D641" si="83">IF($A578="","",RIGHT($A578,LEN($A578)-FIND(":",$A578,FIND(":",$A578)+1)))</f>
        <v/>
      </c>
      <c r="E578" s="265" t="str">
        <f>IF($A578="","",SUMIFS(Txn[Signed Units],Txn[Key],$A578))</f>
        <v/>
      </c>
      <c r="F578" s="287" t="str">
        <f>IF($A578="","",SUMIFS(Txn[Buy Cost],Txn[Key],$A578))</f>
        <v/>
      </c>
      <c r="G578" s="287" t="str">
        <f>IF($A578="","",SUMIFS(Txn[Sell Proceeds],Txn[Key],$A578))</f>
        <v/>
      </c>
      <c r="H578" s="288" t="str">
        <f>IF($A578="","",IFERROR(INDEX(Prices[Current Price],MATCH($A578,Prices[Key],0)),0))</f>
        <v/>
      </c>
      <c r="I578" s="289" t="str">
        <f>IF($A578="","",IFERROR(INDEX(Prices[FX to SGD],MATCH($A578,Prices[Key],0)),1))</f>
        <v/>
      </c>
      <c r="J578" s="287" t="str">
        <f t="shared" ref="J578:J641" si="84">IF($A578="","",E578*H578)</f>
        <v/>
      </c>
      <c r="K578" s="287" t="str">
        <f t="shared" ref="K578:K641" si="85">IF($A578="","",J578+G578-F578)</f>
        <v/>
      </c>
      <c r="L578" s="287" t="str">
        <f t="shared" ref="L578:L641" si="86">IF($A578="","",K578*I578)</f>
        <v/>
      </c>
      <c r="M578" s="290" t="str">
        <f t="shared" ref="M578:M641" si="87">IF($A578="","",IFERROR(K578/F578,0))</f>
        <v/>
      </c>
      <c r="N578" s="243" t="str">
        <f>IF($A578="","",IF(ABS(E578)&gt;0.000001,COUNT($N$1:N577)+1,""))</f>
        <v/>
      </c>
      <c r="O578" s="291" t="str">
        <f>IF($A578="","",SUMIFS(Transactions!$H$2:$H$1001,Transactions!$J$2:$J$1001,$A578,Transactions!$A$2:$A$1001,2)*$I578)</f>
        <v/>
      </c>
      <c r="P578" s="291" t="str">
        <f t="shared" ref="P578:P641" si="88">IF($A578="","",$L578+$O578)</f>
        <v/>
      </c>
      <c r="Q578" s="292" t="str">
        <f t="shared" ref="Q578:Q641" si="89">IF($A578="","",IFERROR(($L578+$O578)/($F578*$I578),0))</f>
        <v/>
      </c>
    </row>
    <row r="579" spans="1:17" ht="15" customHeight="1" x14ac:dyDescent="0.2">
      <c r="A579" s="243" t="str">
        <f>IFERROR(INDEX(Txn[Key],MATCH(0,INDEX(COUNTIF($A$1:A578,Txn[Key])+(Txn[Key]=""),0),0)),"")</f>
        <v/>
      </c>
      <c r="B579" s="243" t="str">
        <f t="shared" si="81"/>
        <v/>
      </c>
      <c r="C579" s="243" t="str">
        <f t="shared" si="82"/>
        <v/>
      </c>
      <c r="D579" s="243" t="str">
        <f t="shared" si="83"/>
        <v/>
      </c>
      <c r="E579" s="265" t="str">
        <f>IF($A579="","",SUMIFS(Txn[Signed Units],Txn[Key],$A579))</f>
        <v/>
      </c>
      <c r="F579" s="287" t="str">
        <f>IF($A579="","",SUMIFS(Txn[Buy Cost],Txn[Key],$A579))</f>
        <v/>
      </c>
      <c r="G579" s="287" t="str">
        <f>IF($A579="","",SUMIFS(Txn[Sell Proceeds],Txn[Key],$A579))</f>
        <v/>
      </c>
      <c r="H579" s="288" t="str">
        <f>IF($A579="","",IFERROR(INDEX(Prices[Current Price],MATCH($A579,Prices[Key],0)),0))</f>
        <v/>
      </c>
      <c r="I579" s="289" t="str">
        <f>IF($A579="","",IFERROR(INDEX(Prices[FX to SGD],MATCH($A579,Prices[Key],0)),1))</f>
        <v/>
      </c>
      <c r="J579" s="287" t="str">
        <f t="shared" si="84"/>
        <v/>
      </c>
      <c r="K579" s="287" t="str">
        <f t="shared" si="85"/>
        <v/>
      </c>
      <c r="L579" s="287" t="str">
        <f t="shared" si="86"/>
        <v/>
      </c>
      <c r="M579" s="290" t="str">
        <f t="shared" si="87"/>
        <v/>
      </c>
      <c r="N579" s="243" t="str">
        <f>IF($A579="","",IF(ABS(E579)&gt;0.000001,COUNT($N$1:N578)+1,""))</f>
        <v/>
      </c>
      <c r="O579" s="291" t="str">
        <f>IF($A579="","",SUMIFS(Transactions!$H$2:$H$1001,Transactions!$J$2:$J$1001,$A579,Transactions!$A$2:$A$1001,2)*$I579)</f>
        <v/>
      </c>
      <c r="P579" s="291" t="str">
        <f t="shared" si="88"/>
        <v/>
      </c>
      <c r="Q579" s="292" t="str">
        <f t="shared" si="89"/>
        <v/>
      </c>
    </row>
    <row r="580" spans="1:17" ht="15" customHeight="1" x14ac:dyDescent="0.2">
      <c r="A580" s="243" t="str">
        <f>IFERROR(INDEX(Txn[Key],MATCH(0,INDEX(COUNTIF($A$1:A579,Txn[Key])+(Txn[Key]=""),0),0)),"")</f>
        <v/>
      </c>
      <c r="B580" s="243" t="str">
        <f t="shared" si="81"/>
        <v/>
      </c>
      <c r="C580" s="243" t="str">
        <f t="shared" si="82"/>
        <v/>
      </c>
      <c r="D580" s="243" t="str">
        <f t="shared" si="83"/>
        <v/>
      </c>
      <c r="E580" s="265" t="str">
        <f>IF($A580="","",SUMIFS(Txn[Signed Units],Txn[Key],$A580))</f>
        <v/>
      </c>
      <c r="F580" s="287" t="str">
        <f>IF($A580="","",SUMIFS(Txn[Buy Cost],Txn[Key],$A580))</f>
        <v/>
      </c>
      <c r="G580" s="287" t="str">
        <f>IF($A580="","",SUMIFS(Txn[Sell Proceeds],Txn[Key],$A580))</f>
        <v/>
      </c>
      <c r="H580" s="288" t="str">
        <f>IF($A580="","",IFERROR(INDEX(Prices[Current Price],MATCH($A580,Prices[Key],0)),0))</f>
        <v/>
      </c>
      <c r="I580" s="289" t="str">
        <f>IF($A580="","",IFERROR(INDEX(Prices[FX to SGD],MATCH($A580,Prices[Key],0)),1))</f>
        <v/>
      </c>
      <c r="J580" s="287" t="str">
        <f t="shared" si="84"/>
        <v/>
      </c>
      <c r="K580" s="287" t="str">
        <f t="shared" si="85"/>
        <v/>
      </c>
      <c r="L580" s="287" t="str">
        <f t="shared" si="86"/>
        <v/>
      </c>
      <c r="M580" s="290" t="str">
        <f t="shared" si="87"/>
        <v/>
      </c>
      <c r="N580" s="243" t="str">
        <f>IF($A580="","",IF(ABS(E580)&gt;0.000001,COUNT($N$1:N579)+1,""))</f>
        <v/>
      </c>
      <c r="O580" s="291" t="str">
        <f>IF($A580="","",SUMIFS(Transactions!$H$2:$H$1001,Transactions!$J$2:$J$1001,$A580,Transactions!$A$2:$A$1001,2)*$I580)</f>
        <v/>
      </c>
      <c r="P580" s="291" t="str">
        <f t="shared" si="88"/>
        <v/>
      </c>
      <c r="Q580" s="292" t="str">
        <f t="shared" si="89"/>
        <v/>
      </c>
    </row>
    <row r="581" spans="1:17" ht="15" customHeight="1" x14ac:dyDescent="0.2">
      <c r="A581" s="243" t="str">
        <f>IFERROR(INDEX(Txn[Key],MATCH(0,INDEX(COUNTIF($A$1:A580,Txn[Key])+(Txn[Key]=""),0),0)),"")</f>
        <v/>
      </c>
      <c r="B581" s="243" t="str">
        <f t="shared" si="81"/>
        <v/>
      </c>
      <c r="C581" s="243" t="str">
        <f t="shared" si="82"/>
        <v/>
      </c>
      <c r="D581" s="243" t="str">
        <f t="shared" si="83"/>
        <v/>
      </c>
      <c r="E581" s="265" t="str">
        <f>IF($A581="","",SUMIFS(Txn[Signed Units],Txn[Key],$A581))</f>
        <v/>
      </c>
      <c r="F581" s="287" t="str">
        <f>IF($A581="","",SUMIFS(Txn[Buy Cost],Txn[Key],$A581))</f>
        <v/>
      </c>
      <c r="G581" s="287" t="str">
        <f>IF($A581="","",SUMIFS(Txn[Sell Proceeds],Txn[Key],$A581))</f>
        <v/>
      </c>
      <c r="H581" s="288" t="str">
        <f>IF($A581="","",IFERROR(INDEX(Prices[Current Price],MATCH($A581,Prices[Key],0)),0))</f>
        <v/>
      </c>
      <c r="I581" s="289" t="str">
        <f>IF($A581="","",IFERROR(INDEX(Prices[FX to SGD],MATCH($A581,Prices[Key],0)),1))</f>
        <v/>
      </c>
      <c r="J581" s="287" t="str">
        <f t="shared" si="84"/>
        <v/>
      </c>
      <c r="K581" s="287" t="str">
        <f t="shared" si="85"/>
        <v/>
      </c>
      <c r="L581" s="287" t="str">
        <f t="shared" si="86"/>
        <v/>
      </c>
      <c r="M581" s="290" t="str">
        <f t="shared" si="87"/>
        <v/>
      </c>
      <c r="N581" s="243" t="str">
        <f>IF($A581="","",IF(ABS(E581)&gt;0.000001,COUNT($N$1:N580)+1,""))</f>
        <v/>
      </c>
      <c r="O581" s="291" t="str">
        <f>IF($A581="","",SUMIFS(Transactions!$H$2:$H$1001,Transactions!$J$2:$J$1001,$A581,Transactions!$A$2:$A$1001,2)*$I581)</f>
        <v/>
      </c>
      <c r="P581" s="291" t="str">
        <f t="shared" si="88"/>
        <v/>
      </c>
      <c r="Q581" s="292" t="str">
        <f t="shared" si="89"/>
        <v/>
      </c>
    </row>
    <row r="582" spans="1:17" ht="15" customHeight="1" x14ac:dyDescent="0.2">
      <c r="A582" s="243" t="str">
        <f>IFERROR(INDEX(Txn[Key],MATCH(0,INDEX(COUNTIF($A$1:A581,Txn[Key])+(Txn[Key]=""),0),0)),"")</f>
        <v/>
      </c>
      <c r="B582" s="243" t="str">
        <f t="shared" si="81"/>
        <v/>
      </c>
      <c r="C582" s="243" t="str">
        <f t="shared" si="82"/>
        <v/>
      </c>
      <c r="D582" s="243" t="str">
        <f t="shared" si="83"/>
        <v/>
      </c>
      <c r="E582" s="265" t="str">
        <f>IF($A582="","",SUMIFS(Txn[Signed Units],Txn[Key],$A582))</f>
        <v/>
      </c>
      <c r="F582" s="287" t="str">
        <f>IF($A582="","",SUMIFS(Txn[Buy Cost],Txn[Key],$A582))</f>
        <v/>
      </c>
      <c r="G582" s="287" t="str">
        <f>IF($A582="","",SUMIFS(Txn[Sell Proceeds],Txn[Key],$A582))</f>
        <v/>
      </c>
      <c r="H582" s="288" t="str">
        <f>IF($A582="","",IFERROR(INDEX(Prices[Current Price],MATCH($A582,Prices[Key],0)),0))</f>
        <v/>
      </c>
      <c r="I582" s="289" t="str">
        <f>IF($A582="","",IFERROR(INDEX(Prices[FX to SGD],MATCH($A582,Prices[Key],0)),1))</f>
        <v/>
      </c>
      <c r="J582" s="287" t="str">
        <f t="shared" si="84"/>
        <v/>
      </c>
      <c r="K582" s="287" t="str">
        <f t="shared" si="85"/>
        <v/>
      </c>
      <c r="L582" s="287" t="str">
        <f t="shared" si="86"/>
        <v/>
      </c>
      <c r="M582" s="290" t="str">
        <f t="shared" si="87"/>
        <v/>
      </c>
      <c r="N582" s="243" t="str">
        <f>IF($A582="","",IF(ABS(E582)&gt;0.000001,COUNT($N$1:N581)+1,""))</f>
        <v/>
      </c>
      <c r="O582" s="291" t="str">
        <f>IF($A582="","",SUMIFS(Transactions!$H$2:$H$1001,Transactions!$J$2:$J$1001,$A582,Transactions!$A$2:$A$1001,2)*$I582)</f>
        <v/>
      </c>
      <c r="P582" s="291" t="str">
        <f t="shared" si="88"/>
        <v/>
      </c>
      <c r="Q582" s="292" t="str">
        <f t="shared" si="89"/>
        <v/>
      </c>
    </row>
    <row r="583" spans="1:17" ht="15" customHeight="1" x14ac:dyDescent="0.2">
      <c r="A583" s="243" t="str">
        <f>IFERROR(INDEX(Txn[Key],MATCH(0,INDEX(COUNTIF($A$1:A582,Txn[Key])+(Txn[Key]=""),0),0)),"")</f>
        <v/>
      </c>
      <c r="B583" s="243" t="str">
        <f t="shared" si="81"/>
        <v/>
      </c>
      <c r="C583" s="243" t="str">
        <f t="shared" si="82"/>
        <v/>
      </c>
      <c r="D583" s="243" t="str">
        <f t="shared" si="83"/>
        <v/>
      </c>
      <c r="E583" s="265" t="str">
        <f>IF($A583="","",SUMIFS(Txn[Signed Units],Txn[Key],$A583))</f>
        <v/>
      </c>
      <c r="F583" s="287" t="str">
        <f>IF($A583="","",SUMIFS(Txn[Buy Cost],Txn[Key],$A583))</f>
        <v/>
      </c>
      <c r="G583" s="287" t="str">
        <f>IF($A583="","",SUMIFS(Txn[Sell Proceeds],Txn[Key],$A583))</f>
        <v/>
      </c>
      <c r="H583" s="288" t="str">
        <f>IF($A583="","",IFERROR(INDEX(Prices[Current Price],MATCH($A583,Prices[Key],0)),0))</f>
        <v/>
      </c>
      <c r="I583" s="289" t="str">
        <f>IF($A583="","",IFERROR(INDEX(Prices[FX to SGD],MATCH($A583,Prices[Key],0)),1))</f>
        <v/>
      </c>
      <c r="J583" s="287" t="str">
        <f t="shared" si="84"/>
        <v/>
      </c>
      <c r="K583" s="287" t="str">
        <f t="shared" si="85"/>
        <v/>
      </c>
      <c r="L583" s="287" t="str">
        <f t="shared" si="86"/>
        <v/>
      </c>
      <c r="M583" s="290" t="str">
        <f t="shared" si="87"/>
        <v/>
      </c>
      <c r="N583" s="243" t="str">
        <f>IF($A583="","",IF(ABS(E583)&gt;0.000001,COUNT($N$1:N582)+1,""))</f>
        <v/>
      </c>
      <c r="O583" s="291" t="str">
        <f>IF($A583="","",SUMIFS(Transactions!$H$2:$H$1001,Transactions!$J$2:$J$1001,$A583,Transactions!$A$2:$A$1001,2)*$I583)</f>
        <v/>
      </c>
      <c r="P583" s="291" t="str">
        <f t="shared" si="88"/>
        <v/>
      </c>
      <c r="Q583" s="292" t="str">
        <f t="shared" si="89"/>
        <v/>
      </c>
    </row>
    <row r="584" spans="1:17" ht="15" customHeight="1" x14ac:dyDescent="0.2">
      <c r="A584" s="243" t="str">
        <f>IFERROR(INDEX(Txn[Key],MATCH(0,INDEX(COUNTIF($A$1:A583,Txn[Key])+(Txn[Key]=""),0),0)),"")</f>
        <v/>
      </c>
      <c r="B584" s="243" t="str">
        <f t="shared" si="81"/>
        <v/>
      </c>
      <c r="C584" s="243" t="str">
        <f t="shared" si="82"/>
        <v/>
      </c>
      <c r="D584" s="243" t="str">
        <f t="shared" si="83"/>
        <v/>
      </c>
      <c r="E584" s="265" t="str">
        <f>IF($A584="","",SUMIFS(Txn[Signed Units],Txn[Key],$A584))</f>
        <v/>
      </c>
      <c r="F584" s="287" t="str">
        <f>IF($A584="","",SUMIFS(Txn[Buy Cost],Txn[Key],$A584))</f>
        <v/>
      </c>
      <c r="G584" s="287" t="str">
        <f>IF($A584="","",SUMIFS(Txn[Sell Proceeds],Txn[Key],$A584))</f>
        <v/>
      </c>
      <c r="H584" s="288" t="str">
        <f>IF($A584="","",IFERROR(INDEX(Prices[Current Price],MATCH($A584,Prices[Key],0)),0))</f>
        <v/>
      </c>
      <c r="I584" s="289" t="str">
        <f>IF($A584="","",IFERROR(INDEX(Prices[FX to SGD],MATCH($A584,Prices[Key],0)),1))</f>
        <v/>
      </c>
      <c r="J584" s="287" t="str">
        <f t="shared" si="84"/>
        <v/>
      </c>
      <c r="K584" s="287" t="str">
        <f t="shared" si="85"/>
        <v/>
      </c>
      <c r="L584" s="287" t="str">
        <f t="shared" si="86"/>
        <v/>
      </c>
      <c r="M584" s="290" t="str">
        <f t="shared" si="87"/>
        <v/>
      </c>
      <c r="N584" s="243" t="str">
        <f>IF($A584="","",IF(ABS(E584)&gt;0.000001,COUNT($N$1:N583)+1,""))</f>
        <v/>
      </c>
      <c r="O584" s="291" t="str">
        <f>IF($A584="","",SUMIFS(Transactions!$H$2:$H$1001,Transactions!$J$2:$J$1001,$A584,Transactions!$A$2:$A$1001,2)*$I584)</f>
        <v/>
      </c>
      <c r="P584" s="291" t="str">
        <f t="shared" si="88"/>
        <v/>
      </c>
      <c r="Q584" s="292" t="str">
        <f t="shared" si="89"/>
        <v/>
      </c>
    </row>
    <row r="585" spans="1:17" ht="15" customHeight="1" x14ac:dyDescent="0.2">
      <c r="A585" s="243" t="str">
        <f>IFERROR(INDEX(Txn[Key],MATCH(0,INDEX(COUNTIF($A$1:A584,Txn[Key])+(Txn[Key]=""),0),0)),"")</f>
        <v/>
      </c>
      <c r="B585" s="243" t="str">
        <f t="shared" si="81"/>
        <v/>
      </c>
      <c r="C585" s="243" t="str">
        <f t="shared" si="82"/>
        <v/>
      </c>
      <c r="D585" s="243" t="str">
        <f t="shared" si="83"/>
        <v/>
      </c>
      <c r="E585" s="265" t="str">
        <f>IF($A585="","",SUMIFS(Txn[Signed Units],Txn[Key],$A585))</f>
        <v/>
      </c>
      <c r="F585" s="287" t="str">
        <f>IF($A585="","",SUMIFS(Txn[Buy Cost],Txn[Key],$A585))</f>
        <v/>
      </c>
      <c r="G585" s="287" t="str">
        <f>IF($A585="","",SUMIFS(Txn[Sell Proceeds],Txn[Key],$A585))</f>
        <v/>
      </c>
      <c r="H585" s="288" t="str">
        <f>IF($A585="","",IFERROR(INDEX(Prices[Current Price],MATCH($A585,Prices[Key],0)),0))</f>
        <v/>
      </c>
      <c r="I585" s="289" t="str">
        <f>IF($A585="","",IFERROR(INDEX(Prices[FX to SGD],MATCH($A585,Prices[Key],0)),1))</f>
        <v/>
      </c>
      <c r="J585" s="287" t="str">
        <f t="shared" si="84"/>
        <v/>
      </c>
      <c r="K585" s="287" t="str">
        <f t="shared" si="85"/>
        <v/>
      </c>
      <c r="L585" s="287" t="str">
        <f t="shared" si="86"/>
        <v/>
      </c>
      <c r="M585" s="290" t="str">
        <f t="shared" si="87"/>
        <v/>
      </c>
      <c r="N585" s="243" t="str">
        <f>IF($A585="","",IF(ABS(E585)&gt;0.000001,COUNT($N$1:N584)+1,""))</f>
        <v/>
      </c>
      <c r="O585" s="291" t="str">
        <f>IF($A585="","",SUMIFS(Transactions!$H$2:$H$1001,Transactions!$J$2:$J$1001,$A585,Transactions!$A$2:$A$1001,2)*$I585)</f>
        <v/>
      </c>
      <c r="P585" s="291" t="str">
        <f t="shared" si="88"/>
        <v/>
      </c>
      <c r="Q585" s="292" t="str">
        <f t="shared" si="89"/>
        <v/>
      </c>
    </row>
    <row r="586" spans="1:17" ht="15" customHeight="1" x14ac:dyDescent="0.2">
      <c r="A586" s="243" t="str">
        <f>IFERROR(INDEX(Txn[Key],MATCH(0,INDEX(COUNTIF($A$1:A585,Txn[Key])+(Txn[Key]=""),0),0)),"")</f>
        <v/>
      </c>
      <c r="B586" s="243" t="str">
        <f t="shared" si="81"/>
        <v/>
      </c>
      <c r="C586" s="243" t="str">
        <f t="shared" si="82"/>
        <v/>
      </c>
      <c r="D586" s="243" t="str">
        <f t="shared" si="83"/>
        <v/>
      </c>
      <c r="E586" s="265" t="str">
        <f>IF($A586="","",SUMIFS(Txn[Signed Units],Txn[Key],$A586))</f>
        <v/>
      </c>
      <c r="F586" s="287" t="str">
        <f>IF($A586="","",SUMIFS(Txn[Buy Cost],Txn[Key],$A586))</f>
        <v/>
      </c>
      <c r="G586" s="287" t="str">
        <f>IF($A586="","",SUMIFS(Txn[Sell Proceeds],Txn[Key],$A586))</f>
        <v/>
      </c>
      <c r="H586" s="288" t="str">
        <f>IF($A586="","",IFERROR(INDEX(Prices[Current Price],MATCH($A586,Prices[Key],0)),0))</f>
        <v/>
      </c>
      <c r="I586" s="289" t="str">
        <f>IF($A586="","",IFERROR(INDEX(Prices[FX to SGD],MATCH($A586,Prices[Key],0)),1))</f>
        <v/>
      </c>
      <c r="J586" s="287" t="str">
        <f t="shared" si="84"/>
        <v/>
      </c>
      <c r="K586" s="287" t="str">
        <f t="shared" si="85"/>
        <v/>
      </c>
      <c r="L586" s="287" t="str">
        <f t="shared" si="86"/>
        <v/>
      </c>
      <c r="M586" s="290" t="str">
        <f t="shared" si="87"/>
        <v/>
      </c>
      <c r="N586" s="243" t="str">
        <f>IF($A586="","",IF(ABS(E586)&gt;0.000001,COUNT($N$1:N585)+1,""))</f>
        <v/>
      </c>
      <c r="O586" s="291" t="str">
        <f>IF($A586="","",SUMIFS(Transactions!$H$2:$H$1001,Transactions!$J$2:$J$1001,$A586,Transactions!$A$2:$A$1001,2)*$I586)</f>
        <v/>
      </c>
      <c r="P586" s="291" t="str">
        <f t="shared" si="88"/>
        <v/>
      </c>
      <c r="Q586" s="292" t="str">
        <f t="shared" si="89"/>
        <v/>
      </c>
    </row>
    <row r="587" spans="1:17" ht="15" customHeight="1" x14ac:dyDescent="0.2">
      <c r="A587" s="243" t="str">
        <f>IFERROR(INDEX(Txn[Key],MATCH(0,INDEX(COUNTIF($A$1:A586,Txn[Key])+(Txn[Key]=""),0),0)),"")</f>
        <v/>
      </c>
      <c r="B587" s="243" t="str">
        <f t="shared" si="81"/>
        <v/>
      </c>
      <c r="C587" s="243" t="str">
        <f t="shared" si="82"/>
        <v/>
      </c>
      <c r="D587" s="243" t="str">
        <f t="shared" si="83"/>
        <v/>
      </c>
      <c r="E587" s="265" t="str">
        <f>IF($A587="","",SUMIFS(Txn[Signed Units],Txn[Key],$A587))</f>
        <v/>
      </c>
      <c r="F587" s="287" t="str">
        <f>IF($A587="","",SUMIFS(Txn[Buy Cost],Txn[Key],$A587))</f>
        <v/>
      </c>
      <c r="G587" s="287" t="str">
        <f>IF($A587="","",SUMIFS(Txn[Sell Proceeds],Txn[Key],$A587))</f>
        <v/>
      </c>
      <c r="H587" s="288" t="str">
        <f>IF($A587="","",IFERROR(INDEX(Prices[Current Price],MATCH($A587,Prices[Key],0)),0))</f>
        <v/>
      </c>
      <c r="I587" s="289" t="str">
        <f>IF($A587="","",IFERROR(INDEX(Prices[FX to SGD],MATCH($A587,Prices[Key],0)),1))</f>
        <v/>
      </c>
      <c r="J587" s="287" t="str">
        <f t="shared" si="84"/>
        <v/>
      </c>
      <c r="K587" s="287" t="str">
        <f t="shared" si="85"/>
        <v/>
      </c>
      <c r="L587" s="287" t="str">
        <f t="shared" si="86"/>
        <v/>
      </c>
      <c r="M587" s="290" t="str">
        <f t="shared" si="87"/>
        <v/>
      </c>
      <c r="N587" s="243" t="str">
        <f>IF($A587="","",IF(ABS(E587)&gt;0.000001,COUNT($N$1:N586)+1,""))</f>
        <v/>
      </c>
      <c r="O587" s="291" t="str">
        <f>IF($A587="","",SUMIFS(Transactions!$H$2:$H$1001,Transactions!$J$2:$J$1001,$A587,Transactions!$A$2:$A$1001,2)*$I587)</f>
        <v/>
      </c>
      <c r="P587" s="291" t="str">
        <f t="shared" si="88"/>
        <v/>
      </c>
      <c r="Q587" s="292" t="str">
        <f t="shared" si="89"/>
        <v/>
      </c>
    </row>
    <row r="588" spans="1:17" ht="15" customHeight="1" x14ac:dyDescent="0.2">
      <c r="A588" s="243" t="str">
        <f>IFERROR(INDEX(Txn[Key],MATCH(0,INDEX(COUNTIF($A$1:A587,Txn[Key])+(Txn[Key]=""),0),0)),"")</f>
        <v/>
      </c>
      <c r="B588" s="243" t="str">
        <f t="shared" si="81"/>
        <v/>
      </c>
      <c r="C588" s="243" t="str">
        <f t="shared" si="82"/>
        <v/>
      </c>
      <c r="D588" s="243" t="str">
        <f t="shared" si="83"/>
        <v/>
      </c>
      <c r="E588" s="265" t="str">
        <f>IF($A588="","",SUMIFS(Txn[Signed Units],Txn[Key],$A588))</f>
        <v/>
      </c>
      <c r="F588" s="287" t="str">
        <f>IF($A588="","",SUMIFS(Txn[Buy Cost],Txn[Key],$A588))</f>
        <v/>
      </c>
      <c r="G588" s="287" t="str">
        <f>IF($A588="","",SUMIFS(Txn[Sell Proceeds],Txn[Key],$A588))</f>
        <v/>
      </c>
      <c r="H588" s="288" t="str">
        <f>IF($A588="","",IFERROR(INDEX(Prices[Current Price],MATCH($A588,Prices[Key],0)),0))</f>
        <v/>
      </c>
      <c r="I588" s="289" t="str">
        <f>IF($A588="","",IFERROR(INDEX(Prices[FX to SGD],MATCH($A588,Prices[Key],0)),1))</f>
        <v/>
      </c>
      <c r="J588" s="287" t="str">
        <f t="shared" si="84"/>
        <v/>
      </c>
      <c r="K588" s="287" t="str">
        <f t="shared" si="85"/>
        <v/>
      </c>
      <c r="L588" s="287" t="str">
        <f t="shared" si="86"/>
        <v/>
      </c>
      <c r="M588" s="290" t="str">
        <f t="shared" si="87"/>
        <v/>
      </c>
      <c r="N588" s="243" t="str">
        <f>IF($A588="","",IF(ABS(E588)&gt;0.000001,COUNT($N$1:N587)+1,""))</f>
        <v/>
      </c>
      <c r="O588" s="291" t="str">
        <f>IF($A588="","",SUMIFS(Transactions!$H$2:$H$1001,Transactions!$J$2:$J$1001,$A588,Transactions!$A$2:$A$1001,2)*$I588)</f>
        <v/>
      </c>
      <c r="P588" s="291" t="str">
        <f t="shared" si="88"/>
        <v/>
      </c>
      <c r="Q588" s="292" t="str">
        <f t="shared" si="89"/>
        <v/>
      </c>
    </row>
    <row r="589" spans="1:17" ht="15" customHeight="1" x14ac:dyDescent="0.2">
      <c r="A589" s="243" t="str">
        <f>IFERROR(INDEX(Txn[Key],MATCH(0,INDEX(COUNTIF($A$1:A588,Txn[Key])+(Txn[Key]=""),0),0)),"")</f>
        <v/>
      </c>
      <c r="B589" s="243" t="str">
        <f t="shared" si="81"/>
        <v/>
      </c>
      <c r="C589" s="243" t="str">
        <f t="shared" si="82"/>
        <v/>
      </c>
      <c r="D589" s="243" t="str">
        <f t="shared" si="83"/>
        <v/>
      </c>
      <c r="E589" s="265" t="str">
        <f>IF($A589="","",SUMIFS(Txn[Signed Units],Txn[Key],$A589))</f>
        <v/>
      </c>
      <c r="F589" s="287" t="str">
        <f>IF($A589="","",SUMIFS(Txn[Buy Cost],Txn[Key],$A589))</f>
        <v/>
      </c>
      <c r="G589" s="287" t="str">
        <f>IF($A589="","",SUMIFS(Txn[Sell Proceeds],Txn[Key],$A589))</f>
        <v/>
      </c>
      <c r="H589" s="288" t="str">
        <f>IF($A589="","",IFERROR(INDEX(Prices[Current Price],MATCH($A589,Prices[Key],0)),0))</f>
        <v/>
      </c>
      <c r="I589" s="289" t="str">
        <f>IF($A589="","",IFERROR(INDEX(Prices[FX to SGD],MATCH($A589,Prices[Key],0)),1))</f>
        <v/>
      </c>
      <c r="J589" s="287" t="str">
        <f t="shared" si="84"/>
        <v/>
      </c>
      <c r="K589" s="287" t="str">
        <f t="shared" si="85"/>
        <v/>
      </c>
      <c r="L589" s="287" t="str">
        <f t="shared" si="86"/>
        <v/>
      </c>
      <c r="M589" s="290" t="str">
        <f t="shared" si="87"/>
        <v/>
      </c>
      <c r="N589" s="243" t="str">
        <f>IF($A589="","",IF(ABS(E589)&gt;0.000001,COUNT($N$1:N588)+1,""))</f>
        <v/>
      </c>
      <c r="O589" s="291" t="str">
        <f>IF($A589="","",SUMIFS(Transactions!$H$2:$H$1001,Transactions!$J$2:$J$1001,$A589,Transactions!$A$2:$A$1001,2)*$I589)</f>
        <v/>
      </c>
      <c r="P589" s="291" t="str">
        <f t="shared" si="88"/>
        <v/>
      </c>
      <c r="Q589" s="292" t="str">
        <f t="shared" si="89"/>
        <v/>
      </c>
    </row>
    <row r="590" spans="1:17" ht="15" customHeight="1" x14ac:dyDescent="0.2">
      <c r="A590" s="243" t="str">
        <f>IFERROR(INDEX(Txn[Key],MATCH(0,INDEX(COUNTIF($A$1:A589,Txn[Key])+(Txn[Key]=""),0),0)),"")</f>
        <v/>
      </c>
      <c r="B590" s="243" t="str">
        <f t="shared" si="81"/>
        <v/>
      </c>
      <c r="C590" s="243" t="str">
        <f t="shared" si="82"/>
        <v/>
      </c>
      <c r="D590" s="243" t="str">
        <f t="shared" si="83"/>
        <v/>
      </c>
      <c r="E590" s="265" t="str">
        <f>IF($A590="","",SUMIFS(Txn[Signed Units],Txn[Key],$A590))</f>
        <v/>
      </c>
      <c r="F590" s="287" t="str">
        <f>IF($A590="","",SUMIFS(Txn[Buy Cost],Txn[Key],$A590))</f>
        <v/>
      </c>
      <c r="G590" s="287" t="str">
        <f>IF($A590="","",SUMIFS(Txn[Sell Proceeds],Txn[Key],$A590))</f>
        <v/>
      </c>
      <c r="H590" s="288" t="str">
        <f>IF($A590="","",IFERROR(INDEX(Prices[Current Price],MATCH($A590,Prices[Key],0)),0))</f>
        <v/>
      </c>
      <c r="I590" s="289" t="str">
        <f>IF($A590="","",IFERROR(INDEX(Prices[FX to SGD],MATCH($A590,Prices[Key],0)),1))</f>
        <v/>
      </c>
      <c r="J590" s="287" t="str">
        <f t="shared" si="84"/>
        <v/>
      </c>
      <c r="K590" s="287" t="str">
        <f t="shared" si="85"/>
        <v/>
      </c>
      <c r="L590" s="287" t="str">
        <f t="shared" si="86"/>
        <v/>
      </c>
      <c r="M590" s="290" t="str">
        <f t="shared" si="87"/>
        <v/>
      </c>
      <c r="N590" s="243" t="str">
        <f>IF($A590="","",IF(ABS(E590)&gt;0.000001,COUNT($N$1:N589)+1,""))</f>
        <v/>
      </c>
      <c r="O590" s="291" t="str">
        <f>IF($A590="","",SUMIFS(Transactions!$H$2:$H$1001,Transactions!$J$2:$J$1001,$A590,Transactions!$A$2:$A$1001,2)*$I590)</f>
        <v/>
      </c>
      <c r="P590" s="291" t="str">
        <f t="shared" si="88"/>
        <v/>
      </c>
      <c r="Q590" s="292" t="str">
        <f t="shared" si="89"/>
        <v/>
      </c>
    </row>
    <row r="591" spans="1:17" ht="15" customHeight="1" x14ac:dyDescent="0.2">
      <c r="A591" s="243" t="str">
        <f>IFERROR(INDEX(Txn[Key],MATCH(0,INDEX(COUNTIF($A$1:A590,Txn[Key])+(Txn[Key]=""),0),0)),"")</f>
        <v/>
      </c>
      <c r="B591" s="243" t="str">
        <f t="shared" si="81"/>
        <v/>
      </c>
      <c r="C591" s="243" t="str">
        <f t="shared" si="82"/>
        <v/>
      </c>
      <c r="D591" s="243" t="str">
        <f t="shared" si="83"/>
        <v/>
      </c>
      <c r="E591" s="265" t="str">
        <f>IF($A591="","",SUMIFS(Txn[Signed Units],Txn[Key],$A591))</f>
        <v/>
      </c>
      <c r="F591" s="287" t="str">
        <f>IF($A591="","",SUMIFS(Txn[Buy Cost],Txn[Key],$A591))</f>
        <v/>
      </c>
      <c r="G591" s="287" t="str">
        <f>IF($A591="","",SUMIFS(Txn[Sell Proceeds],Txn[Key],$A591))</f>
        <v/>
      </c>
      <c r="H591" s="288" t="str">
        <f>IF($A591="","",IFERROR(INDEX(Prices[Current Price],MATCH($A591,Prices[Key],0)),0))</f>
        <v/>
      </c>
      <c r="I591" s="289" t="str">
        <f>IF($A591="","",IFERROR(INDEX(Prices[FX to SGD],MATCH($A591,Prices[Key],0)),1))</f>
        <v/>
      </c>
      <c r="J591" s="287" t="str">
        <f t="shared" si="84"/>
        <v/>
      </c>
      <c r="K591" s="287" t="str">
        <f t="shared" si="85"/>
        <v/>
      </c>
      <c r="L591" s="287" t="str">
        <f t="shared" si="86"/>
        <v/>
      </c>
      <c r="M591" s="290" t="str">
        <f t="shared" si="87"/>
        <v/>
      </c>
      <c r="N591" s="243" t="str">
        <f>IF($A591="","",IF(ABS(E591)&gt;0.000001,COUNT($N$1:N590)+1,""))</f>
        <v/>
      </c>
      <c r="O591" s="291" t="str">
        <f>IF($A591="","",SUMIFS(Transactions!$H$2:$H$1001,Transactions!$J$2:$J$1001,$A591,Transactions!$A$2:$A$1001,2)*$I591)</f>
        <v/>
      </c>
      <c r="P591" s="291" t="str">
        <f t="shared" si="88"/>
        <v/>
      </c>
      <c r="Q591" s="292" t="str">
        <f t="shared" si="89"/>
        <v/>
      </c>
    </row>
    <row r="592" spans="1:17" ht="15" customHeight="1" x14ac:dyDescent="0.2">
      <c r="A592" s="243" t="str">
        <f>IFERROR(INDEX(Txn[Key],MATCH(0,INDEX(COUNTIF($A$1:A591,Txn[Key])+(Txn[Key]=""),0),0)),"")</f>
        <v/>
      </c>
      <c r="B592" s="243" t="str">
        <f t="shared" si="81"/>
        <v/>
      </c>
      <c r="C592" s="243" t="str">
        <f t="shared" si="82"/>
        <v/>
      </c>
      <c r="D592" s="243" t="str">
        <f t="shared" si="83"/>
        <v/>
      </c>
      <c r="E592" s="265" t="str">
        <f>IF($A592="","",SUMIFS(Txn[Signed Units],Txn[Key],$A592))</f>
        <v/>
      </c>
      <c r="F592" s="287" t="str">
        <f>IF($A592="","",SUMIFS(Txn[Buy Cost],Txn[Key],$A592))</f>
        <v/>
      </c>
      <c r="G592" s="287" t="str">
        <f>IF($A592="","",SUMIFS(Txn[Sell Proceeds],Txn[Key],$A592))</f>
        <v/>
      </c>
      <c r="H592" s="288" t="str">
        <f>IF($A592="","",IFERROR(INDEX(Prices[Current Price],MATCH($A592,Prices[Key],0)),0))</f>
        <v/>
      </c>
      <c r="I592" s="289" t="str">
        <f>IF($A592="","",IFERROR(INDEX(Prices[FX to SGD],MATCH($A592,Prices[Key],0)),1))</f>
        <v/>
      </c>
      <c r="J592" s="287" t="str">
        <f t="shared" si="84"/>
        <v/>
      </c>
      <c r="K592" s="287" t="str">
        <f t="shared" si="85"/>
        <v/>
      </c>
      <c r="L592" s="287" t="str">
        <f t="shared" si="86"/>
        <v/>
      </c>
      <c r="M592" s="290" t="str">
        <f t="shared" si="87"/>
        <v/>
      </c>
      <c r="N592" s="243" t="str">
        <f>IF($A592="","",IF(ABS(E592)&gt;0.000001,COUNT($N$1:N591)+1,""))</f>
        <v/>
      </c>
      <c r="O592" s="291" t="str">
        <f>IF($A592="","",SUMIFS(Transactions!$H$2:$H$1001,Transactions!$J$2:$J$1001,$A592,Transactions!$A$2:$A$1001,2)*$I592)</f>
        <v/>
      </c>
      <c r="P592" s="291" t="str">
        <f t="shared" si="88"/>
        <v/>
      </c>
      <c r="Q592" s="292" t="str">
        <f t="shared" si="89"/>
        <v/>
      </c>
    </row>
    <row r="593" spans="1:17" ht="15" customHeight="1" x14ac:dyDescent="0.2">
      <c r="A593" s="243" t="str">
        <f>IFERROR(INDEX(Txn[Key],MATCH(0,INDEX(COUNTIF($A$1:A592,Txn[Key])+(Txn[Key]=""),0),0)),"")</f>
        <v/>
      </c>
      <c r="B593" s="243" t="str">
        <f t="shared" si="81"/>
        <v/>
      </c>
      <c r="C593" s="243" t="str">
        <f t="shared" si="82"/>
        <v/>
      </c>
      <c r="D593" s="243" t="str">
        <f t="shared" si="83"/>
        <v/>
      </c>
      <c r="E593" s="265" t="str">
        <f>IF($A593="","",SUMIFS(Txn[Signed Units],Txn[Key],$A593))</f>
        <v/>
      </c>
      <c r="F593" s="287" t="str">
        <f>IF($A593="","",SUMIFS(Txn[Buy Cost],Txn[Key],$A593))</f>
        <v/>
      </c>
      <c r="G593" s="287" t="str">
        <f>IF($A593="","",SUMIFS(Txn[Sell Proceeds],Txn[Key],$A593))</f>
        <v/>
      </c>
      <c r="H593" s="288" t="str">
        <f>IF($A593="","",IFERROR(INDEX(Prices[Current Price],MATCH($A593,Prices[Key],0)),0))</f>
        <v/>
      </c>
      <c r="I593" s="289" t="str">
        <f>IF($A593="","",IFERROR(INDEX(Prices[FX to SGD],MATCH($A593,Prices[Key],0)),1))</f>
        <v/>
      </c>
      <c r="J593" s="287" t="str">
        <f t="shared" si="84"/>
        <v/>
      </c>
      <c r="K593" s="287" t="str">
        <f t="shared" si="85"/>
        <v/>
      </c>
      <c r="L593" s="287" t="str">
        <f t="shared" si="86"/>
        <v/>
      </c>
      <c r="M593" s="290" t="str">
        <f t="shared" si="87"/>
        <v/>
      </c>
      <c r="N593" s="243" t="str">
        <f>IF($A593="","",IF(ABS(E593)&gt;0.000001,COUNT($N$1:N592)+1,""))</f>
        <v/>
      </c>
      <c r="O593" s="291" t="str">
        <f>IF($A593="","",SUMIFS(Transactions!$H$2:$H$1001,Transactions!$J$2:$J$1001,$A593,Transactions!$A$2:$A$1001,2)*$I593)</f>
        <v/>
      </c>
      <c r="P593" s="291" t="str">
        <f t="shared" si="88"/>
        <v/>
      </c>
      <c r="Q593" s="292" t="str">
        <f t="shared" si="89"/>
        <v/>
      </c>
    </row>
    <row r="594" spans="1:17" ht="15" customHeight="1" x14ac:dyDescent="0.2">
      <c r="A594" s="243" t="str">
        <f>IFERROR(INDEX(Txn[Key],MATCH(0,INDEX(COUNTIF($A$1:A593,Txn[Key])+(Txn[Key]=""),0),0)),"")</f>
        <v/>
      </c>
      <c r="B594" s="243" t="str">
        <f t="shared" si="81"/>
        <v/>
      </c>
      <c r="C594" s="243" t="str">
        <f t="shared" si="82"/>
        <v/>
      </c>
      <c r="D594" s="243" t="str">
        <f t="shared" si="83"/>
        <v/>
      </c>
      <c r="E594" s="265" t="str">
        <f>IF($A594="","",SUMIFS(Txn[Signed Units],Txn[Key],$A594))</f>
        <v/>
      </c>
      <c r="F594" s="287" t="str">
        <f>IF($A594="","",SUMIFS(Txn[Buy Cost],Txn[Key],$A594))</f>
        <v/>
      </c>
      <c r="G594" s="287" t="str">
        <f>IF($A594="","",SUMIFS(Txn[Sell Proceeds],Txn[Key],$A594))</f>
        <v/>
      </c>
      <c r="H594" s="288" t="str">
        <f>IF($A594="","",IFERROR(INDEX(Prices[Current Price],MATCH($A594,Prices[Key],0)),0))</f>
        <v/>
      </c>
      <c r="I594" s="289" t="str">
        <f>IF($A594="","",IFERROR(INDEX(Prices[FX to SGD],MATCH($A594,Prices[Key],0)),1))</f>
        <v/>
      </c>
      <c r="J594" s="287" t="str">
        <f t="shared" si="84"/>
        <v/>
      </c>
      <c r="K594" s="287" t="str">
        <f t="shared" si="85"/>
        <v/>
      </c>
      <c r="L594" s="287" t="str">
        <f t="shared" si="86"/>
        <v/>
      </c>
      <c r="M594" s="290" t="str">
        <f t="shared" si="87"/>
        <v/>
      </c>
      <c r="N594" s="243" t="str">
        <f>IF($A594="","",IF(ABS(E594)&gt;0.000001,COUNT($N$1:N593)+1,""))</f>
        <v/>
      </c>
      <c r="O594" s="291" t="str">
        <f>IF($A594="","",SUMIFS(Transactions!$H$2:$H$1001,Transactions!$J$2:$J$1001,$A594,Transactions!$A$2:$A$1001,2)*$I594)</f>
        <v/>
      </c>
      <c r="P594" s="291" t="str">
        <f t="shared" si="88"/>
        <v/>
      </c>
      <c r="Q594" s="292" t="str">
        <f t="shared" si="89"/>
        <v/>
      </c>
    </row>
    <row r="595" spans="1:17" ht="15" customHeight="1" x14ac:dyDescent="0.2">
      <c r="A595" s="243" t="str">
        <f>IFERROR(INDEX(Txn[Key],MATCH(0,INDEX(COUNTIF($A$1:A594,Txn[Key])+(Txn[Key]=""),0),0)),"")</f>
        <v/>
      </c>
      <c r="B595" s="243" t="str">
        <f t="shared" si="81"/>
        <v/>
      </c>
      <c r="C595" s="243" t="str">
        <f t="shared" si="82"/>
        <v/>
      </c>
      <c r="D595" s="243" t="str">
        <f t="shared" si="83"/>
        <v/>
      </c>
      <c r="E595" s="265" t="str">
        <f>IF($A595="","",SUMIFS(Txn[Signed Units],Txn[Key],$A595))</f>
        <v/>
      </c>
      <c r="F595" s="287" t="str">
        <f>IF($A595="","",SUMIFS(Txn[Buy Cost],Txn[Key],$A595))</f>
        <v/>
      </c>
      <c r="G595" s="287" t="str">
        <f>IF($A595="","",SUMIFS(Txn[Sell Proceeds],Txn[Key],$A595))</f>
        <v/>
      </c>
      <c r="H595" s="288" t="str">
        <f>IF($A595="","",IFERROR(INDEX(Prices[Current Price],MATCH($A595,Prices[Key],0)),0))</f>
        <v/>
      </c>
      <c r="I595" s="289" t="str">
        <f>IF($A595="","",IFERROR(INDEX(Prices[FX to SGD],MATCH($A595,Prices[Key],0)),1))</f>
        <v/>
      </c>
      <c r="J595" s="287" t="str">
        <f t="shared" si="84"/>
        <v/>
      </c>
      <c r="K595" s="287" t="str">
        <f t="shared" si="85"/>
        <v/>
      </c>
      <c r="L595" s="287" t="str">
        <f t="shared" si="86"/>
        <v/>
      </c>
      <c r="M595" s="290" t="str">
        <f t="shared" si="87"/>
        <v/>
      </c>
      <c r="N595" s="243" t="str">
        <f>IF($A595="","",IF(ABS(E595)&gt;0.000001,COUNT($N$1:N594)+1,""))</f>
        <v/>
      </c>
      <c r="O595" s="291" t="str">
        <f>IF($A595="","",SUMIFS(Transactions!$H$2:$H$1001,Transactions!$J$2:$J$1001,$A595,Transactions!$A$2:$A$1001,2)*$I595)</f>
        <v/>
      </c>
      <c r="P595" s="291" t="str">
        <f t="shared" si="88"/>
        <v/>
      </c>
      <c r="Q595" s="292" t="str">
        <f t="shared" si="89"/>
        <v/>
      </c>
    </row>
    <row r="596" spans="1:17" ht="15" customHeight="1" x14ac:dyDescent="0.2">
      <c r="A596" s="243" t="str">
        <f>IFERROR(INDEX(Txn[Key],MATCH(0,INDEX(COUNTIF($A$1:A595,Txn[Key])+(Txn[Key]=""),0),0)),"")</f>
        <v/>
      </c>
      <c r="B596" s="243" t="str">
        <f t="shared" si="81"/>
        <v/>
      </c>
      <c r="C596" s="243" t="str">
        <f t="shared" si="82"/>
        <v/>
      </c>
      <c r="D596" s="243" t="str">
        <f t="shared" si="83"/>
        <v/>
      </c>
      <c r="E596" s="265" t="str">
        <f>IF($A596="","",SUMIFS(Txn[Signed Units],Txn[Key],$A596))</f>
        <v/>
      </c>
      <c r="F596" s="287" t="str">
        <f>IF($A596="","",SUMIFS(Txn[Buy Cost],Txn[Key],$A596))</f>
        <v/>
      </c>
      <c r="G596" s="287" t="str">
        <f>IF($A596="","",SUMIFS(Txn[Sell Proceeds],Txn[Key],$A596))</f>
        <v/>
      </c>
      <c r="H596" s="288" t="str">
        <f>IF($A596="","",IFERROR(INDEX(Prices[Current Price],MATCH($A596,Prices[Key],0)),0))</f>
        <v/>
      </c>
      <c r="I596" s="289" t="str">
        <f>IF($A596="","",IFERROR(INDEX(Prices[FX to SGD],MATCH($A596,Prices[Key],0)),1))</f>
        <v/>
      </c>
      <c r="J596" s="287" t="str">
        <f t="shared" si="84"/>
        <v/>
      </c>
      <c r="K596" s="287" t="str">
        <f t="shared" si="85"/>
        <v/>
      </c>
      <c r="L596" s="287" t="str">
        <f t="shared" si="86"/>
        <v/>
      </c>
      <c r="M596" s="290" t="str">
        <f t="shared" si="87"/>
        <v/>
      </c>
      <c r="N596" s="243" t="str">
        <f>IF($A596="","",IF(ABS(E596)&gt;0.000001,COUNT($N$1:N595)+1,""))</f>
        <v/>
      </c>
      <c r="O596" s="291" t="str">
        <f>IF($A596="","",SUMIFS(Transactions!$H$2:$H$1001,Transactions!$J$2:$J$1001,$A596,Transactions!$A$2:$A$1001,2)*$I596)</f>
        <v/>
      </c>
      <c r="P596" s="291" t="str">
        <f t="shared" si="88"/>
        <v/>
      </c>
      <c r="Q596" s="292" t="str">
        <f t="shared" si="89"/>
        <v/>
      </c>
    </row>
    <row r="597" spans="1:17" ht="15" customHeight="1" x14ac:dyDescent="0.2">
      <c r="A597" s="243" t="str">
        <f>IFERROR(INDEX(Txn[Key],MATCH(0,INDEX(COUNTIF($A$1:A596,Txn[Key])+(Txn[Key]=""),0),0)),"")</f>
        <v/>
      </c>
      <c r="B597" s="243" t="str">
        <f t="shared" si="81"/>
        <v/>
      </c>
      <c r="C597" s="243" t="str">
        <f t="shared" si="82"/>
        <v/>
      </c>
      <c r="D597" s="243" t="str">
        <f t="shared" si="83"/>
        <v/>
      </c>
      <c r="E597" s="265" t="str">
        <f>IF($A597="","",SUMIFS(Txn[Signed Units],Txn[Key],$A597))</f>
        <v/>
      </c>
      <c r="F597" s="287" t="str">
        <f>IF($A597="","",SUMIFS(Txn[Buy Cost],Txn[Key],$A597))</f>
        <v/>
      </c>
      <c r="G597" s="287" t="str">
        <f>IF($A597="","",SUMIFS(Txn[Sell Proceeds],Txn[Key],$A597))</f>
        <v/>
      </c>
      <c r="H597" s="288" t="str">
        <f>IF($A597="","",IFERROR(INDEX(Prices[Current Price],MATCH($A597,Prices[Key],0)),0))</f>
        <v/>
      </c>
      <c r="I597" s="289" t="str">
        <f>IF($A597="","",IFERROR(INDEX(Prices[FX to SGD],MATCH($A597,Prices[Key],0)),1))</f>
        <v/>
      </c>
      <c r="J597" s="287" t="str">
        <f t="shared" si="84"/>
        <v/>
      </c>
      <c r="K597" s="287" t="str">
        <f t="shared" si="85"/>
        <v/>
      </c>
      <c r="L597" s="287" t="str">
        <f t="shared" si="86"/>
        <v/>
      </c>
      <c r="M597" s="290" t="str">
        <f t="shared" si="87"/>
        <v/>
      </c>
      <c r="N597" s="243" t="str">
        <f>IF($A597="","",IF(ABS(E597)&gt;0.000001,COUNT($N$1:N596)+1,""))</f>
        <v/>
      </c>
      <c r="O597" s="291" t="str">
        <f>IF($A597="","",SUMIFS(Transactions!$H$2:$H$1001,Transactions!$J$2:$J$1001,$A597,Transactions!$A$2:$A$1001,2)*$I597)</f>
        <v/>
      </c>
      <c r="P597" s="291" t="str">
        <f t="shared" si="88"/>
        <v/>
      </c>
      <c r="Q597" s="292" t="str">
        <f t="shared" si="89"/>
        <v/>
      </c>
    </row>
    <row r="598" spans="1:17" ht="15" customHeight="1" x14ac:dyDescent="0.2">
      <c r="A598" s="243" t="str">
        <f>IFERROR(INDEX(Txn[Key],MATCH(0,INDEX(COUNTIF($A$1:A597,Txn[Key])+(Txn[Key]=""),0),0)),"")</f>
        <v/>
      </c>
      <c r="B598" s="243" t="str">
        <f t="shared" si="81"/>
        <v/>
      </c>
      <c r="C598" s="243" t="str">
        <f t="shared" si="82"/>
        <v/>
      </c>
      <c r="D598" s="243" t="str">
        <f t="shared" si="83"/>
        <v/>
      </c>
      <c r="E598" s="265" t="str">
        <f>IF($A598="","",SUMIFS(Txn[Signed Units],Txn[Key],$A598))</f>
        <v/>
      </c>
      <c r="F598" s="287" t="str">
        <f>IF($A598="","",SUMIFS(Txn[Buy Cost],Txn[Key],$A598))</f>
        <v/>
      </c>
      <c r="G598" s="287" t="str">
        <f>IF($A598="","",SUMIFS(Txn[Sell Proceeds],Txn[Key],$A598))</f>
        <v/>
      </c>
      <c r="H598" s="288" t="str">
        <f>IF($A598="","",IFERROR(INDEX(Prices[Current Price],MATCH($A598,Prices[Key],0)),0))</f>
        <v/>
      </c>
      <c r="I598" s="289" t="str">
        <f>IF($A598="","",IFERROR(INDEX(Prices[FX to SGD],MATCH($A598,Prices[Key],0)),1))</f>
        <v/>
      </c>
      <c r="J598" s="287" t="str">
        <f t="shared" si="84"/>
        <v/>
      </c>
      <c r="K598" s="287" t="str">
        <f t="shared" si="85"/>
        <v/>
      </c>
      <c r="L598" s="287" t="str">
        <f t="shared" si="86"/>
        <v/>
      </c>
      <c r="M598" s="290" t="str">
        <f t="shared" si="87"/>
        <v/>
      </c>
      <c r="N598" s="243" t="str">
        <f>IF($A598="","",IF(ABS(E598)&gt;0.000001,COUNT($N$1:N597)+1,""))</f>
        <v/>
      </c>
      <c r="O598" s="291" t="str">
        <f>IF($A598="","",SUMIFS(Transactions!$H$2:$H$1001,Transactions!$J$2:$J$1001,$A598,Transactions!$A$2:$A$1001,2)*$I598)</f>
        <v/>
      </c>
      <c r="P598" s="291" t="str">
        <f t="shared" si="88"/>
        <v/>
      </c>
      <c r="Q598" s="292" t="str">
        <f t="shared" si="89"/>
        <v/>
      </c>
    </row>
    <row r="599" spans="1:17" ht="15" customHeight="1" x14ac:dyDescent="0.2">
      <c r="A599" s="243" t="str">
        <f>IFERROR(INDEX(Txn[Key],MATCH(0,INDEX(COUNTIF($A$1:A598,Txn[Key])+(Txn[Key]=""),0),0)),"")</f>
        <v/>
      </c>
      <c r="B599" s="243" t="str">
        <f t="shared" si="81"/>
        <v/>
      </c>
      <c r="C599" s="243" t="str">
        <f t="shared" si="82"/>
        <v/>
      </c>
      <c r="D599" s="243" t="str">
        <f t="shared" si="83"/>
        <v/>
      </c>
      <c r="E599" s="265" t="str">
        <f>IF($A599="","",SUMIFS(Txn[Signed Units],Txn[Key],$A599))</f>
        <v/>
      </c>
      <c r="F599" s="287" t="str">
        <f>IF($A599="","",SUMIFS(Txn[Buy Cost],Txn[Key],$A599))</f>
        <v/>
      </c>
      <c r="G599" s="287" t="str">
        <f>IF($A599="","",SUMIFS(Txn[Sell Proceeds],Txn[Key],$A599))</f>
        <v/>
      </c>
      <c r="H599" s="288" t="str">
        <f>IF($A599="","",IFERROR(INDEX(Prices[Current Price],MATCH($A599,Prices[Key],0)),0))</f>
        <v/>
      </c>
      <c r="I599" s="289" t="str">
        <f>IF($A599="","",IFERROR(INDEX(Prices[FX to SGD],MATCH($A599,Prices[Key],0)),1))</f>
        <v/>
      </c>
      <c r="J599" s="287" t="str">
        <f t="shared" si="84"/>
        <v/>
      </c>
      <c r="K599" s="287" t="str">
        <f t="shared" si="85"/>
        <v/>
      </c>
      <c r="L599" s="287" t="str">
        <f t="shared" si="86"/>
        <v/>
      </c>
      <c r="M599" s="290" t="str">
        <f t="shared" si="87"/>
        <v/>
      </c>
      <c r="N599" s="243" t="str">
        <f>IF($A599="","",IF(ABS(E599)&gt;0.000001,COUNT($N$1:N598)+1,""))</f>
        <v/>
      </c>
      <c r="O599" s="291" t="str">
        <f>IF($A599="","",SUMIFS(Transactions!$H$2:$H$1001,Transactions!$J$2:$J$1001,$A599,Transactions!$A$2:$A$1001,2)*$I599)</f>
        <v/>
      </c>
      <c r="P599" s="291" t="str">
        <f t="shared" si="88"/>
        <v/>
      </c>
      <c r="Q599" s="292" t="str">
        <f t="shared" si="89"/>
        <v/>
      </c>
    </row>
    <row r="600" spans="1:17" ht="15" customHeight="1" x14ac:dyDescent="0.2">
      <c r="A600" s="243" t="str">
        <f>IFERROR(INDEX(Txn[Key],MATCH(0,INDEX(COUNTIF($A$1:A599,Txn[Key])+(Txn[Key]=""),0),0)),"")</f>
        <v/>
      </c>
      <c r="B600" s="243" t="str">
        <f t="shared" si="81"/>
        <v/>
      </c>
      <c r="C600" s="243" t="str">
        <f t="shared" si="82"/>
        <v/>
      </c>
      <c r="D600" s="243" t="str">
        <f t="shared" si="83"/>
        <v/>
      </c>
      <c r="E600" s="265" t="str">
        <f>IF($A600="","",SUMIFS(Txn[Signed Units],Txn[Key],$A600))</f>
        <v/>
      </c>
      <c r="F600" s="287" t="str">
        <f>IF($A600="","",SUMIFS(Txn[Buy Cost],Txn[Key],$A600))</f>
        <v/>
      </c>
      <c r="G600" s="287" t="str">
        <f>IF($A600="","",SUMIFS(Txn[Sell Proceeds],Txn[Key],$A600))</f>
        <v/>
      </c>
      <c r="H600" s="288" t="str">
        <f>IF($A600="","",IFERROR(INDEX(Prices[Current Price],MATCH($A600,Prices[Key],0)),0))</f>
        <v/>
      </c>
      <c r="I600" s="289" t="str">
        <f>IF($A600="","",IFERROR(INDEX(Prices[FX to SGD],MATCH($A600,Prices[Key],0)),1))</f>
        <v/>
      </c>
      <c r="J600" s="287" t="str">
        <f t="shared" si="84"/>
        <v/>
      </c>
      <c r="K600" s="287" t="str">
        <f t="shared" si="85"/>
        <v/>
      </c>
      <c r="L600" s="287" t="str">
        <f t="shared" si="86"/>
        <v/>
      </c>
      <c r="M600" s="290" t="str">
        <f t="shared" si="87"/>
        <v/>
      </c>
      <c r="N600" s="243" t="str">
        <f>IF($A600="","",IF(ABS(E600)&gt;0.000001,COUNT($N$1:N599)+1,""))</f>
        <v/>
      </c>
      <c r="O600" s="291" t="str">
        <f>IF($A600="","",SUMIFS(Transactions!$H$2:$H$1001,Transactions!$J$2:$J$1001,$A600,Transactions!$A$2:$A$1001,2)*$I600)</f>
        <v/>
      </c>
      <c r="P600" s="291" t="str">
        <f t="shared" si="88"/>
        <v/>
      </c>
      <c r="Q600" s="292" t="str">
        <f t="shared" si="89"/>
        <v/>
      </c>
    </row>
    <row r="601" spans="1:17" ht="15" customHeight="1" x14ac:dyDescent="0.2">
      <c r="A601" s="243" t="str">
        <f>IFERROR(INDEX(Txn[Key],MATCH(0,INDEX(COUNTIF($A$1:A600,Txn[Key])+(Txn[Key]=""),0),0)),"")</f>
        <v/>
      </c>
      <c r="B601" s="243" t="str">
        <f t="shared" si="81"/>
        <v/>
      </c>
      <c r="C601" s="243" t="str">
        <f t="shared" si="82"/>
        <v/>
      </c>
      <c r="D601" s="243" t="str">
        <f t="shared" si="83"/>
        <v/>
      </c>
      <c r="E601" s="265" t="str">
        <f>IF($A601="","",SUMIFS(Txn[Signed Units],Txn[Key],$A601))</f>
        <v/>
      </c>
      <c r="F601" s="287" t="str">
        <f>IF($A601="","",SUMIFS(Txn[Buy Cost],Txn[Key],$A601))</f>
        <v/>
      </c>
      <c r="G601" s="287" t="str">
        <f>IF($A601="","",SUMIFS(Txn[Sell Proceeds],Txn[Key],$A601))</f>
        <v/>
      </c>
      <c r="H601" s="288" t="str">
        <f>IF($A601="","",IFERROR(INDEX(Prices[Current Price],MATCH($A601,Prices[Key],0)),0))</f>
        <v/>
      </c>
      <c r="I601" s="289" t="str">
        <f>IF($A601="","",IFERROR(INDEX(Prices[FX to SGD],MATCH($A601,Prices[Key],0)),1))</f>
        <v/>
      </c>
      <c r="J601" s="287" t="str">
        <f t="shared" si="84"/>
        <v/>
      </c>
      <c r="K601" s="287" t="str">
        <f t="shared" si="85"/>
        <v/>
      </c>
      <c r="L601" s="287" t="str">
        <f t="shared" si="86"/>
        <v/>
      </c>
      <c r="M601" s="290" t="str">
        <f t="shared" si="87"/>
        <v/>
      </c>
      <c r="N601" s="243" t="str">
        <f>IF($A601="","",IF(ABS(E601)&gt;0.000001,COUNT($N$1:N600)+1,""))</f>
        <v/>
      </c>
      <c r="O601" s="291" t="str">
        <f>IF($A601="","",SUMIFS(Transactions!$H$2:$H$1001,Transactions!$J$2:$J$1001,$A601,Transactions!$A$2:$A$1001,2)*$I601)</f>
        <v/>
      </c>
      <c r="P601" s="291" t="str">
        <f t="shared" si="88"/>
        <v/>
      </c>
      <c r="Q601" s="292" t="str">
        <f t="shared" si="89"/>
        <v/>
      </c>
    </row>
    <row r="602" spans="1:17" ht="15" customHeight="1" x14ac:dyDescent="0.2">
      <c r="A602" s="243" t="str">
        <f>IFERROR(INDEX(Txn[Key],MATCH(0,INDEX(COUNTIF($A$1:A601,Txn[Key])+(Txn[Key]=""),0),0)),"")</f>
        <v/>
      </c>
      <c r="B602" s="243" t="str">
        <f t="shared" si="81"/>
        <v/>
      </c>
      <c r="C602" s="243" t="str">
        <f t="shared" si="82"/>
        <v/>
      </c>
      <c r="D602" s="243" t="str">
        <f t="shared" si="83"/>
        <v/>
      </c>
      <c r="E602" s="265" t="str">
        <f>IF($A602="","",SUMIFS(Txn[Signed Units],Txn[Key],$A602))</f>
        <v/>
      </c>
      <c r="F602" s="287" t="str">
        <f>IF($A602="","",SUMIFS(Txn[Buy Cost],Txn[Key],$A602))</f>
        <v/>
      </c>
      <c r="G602" s="287" t="str">
        <f>IF($A602="","",SUMIFS(Txn[Sell Proceeds],Txn[Key],$A602))</f>
        <v/>
      </c>
      <c r="H602" s="288" t="str">
        <f>IF($A602="","",IFERROR(INDEX(Prices[Current Price],MATCH($A602,Prices[Key],0)),0))</f>
        <v/>
      </c>
      <c r="I602" s="289" t="str">
        <f>IF($A602="","",IFERROR(INDEX(Prices[FX to SGD],MATCH($A602,Prices[Key],0)),1))</f>
        <v/>
      </c>
      <c r="J602" s="287" t="str">
        <f t="shared" si="84"/>
        <v/>
      </c>
      <c r="K602" s="287" t="str">
        <f t="shared" si="85"/>
        <v/>
      </c>
      <c r="L602" s="287" t="str">
        <f t="shared" si="86"/>
        <v/>
      </c>
      <c r="M602" s="290" t="str">
        <f t="shared" si="87"/>
        <v/>
      </c>
      <c r="N602" s="243" t="str">
        <f>IF($A602="","",IF(ABS(E602)&gt;0.000001,COUNT($N$1:N601)+1,""))</f>
        <v/>
      </c>
      <c r="O602" s="291" t="str">
        <f>IF($A602="","",SUMIFS(Transactions!$H$2:$H$1001,Transactions!$J$2:$J$1001,$A602,Transactions!$A$2:$A$1001,2)*$I602)</f>
        <v/>
      </c>
      <c r="P602" s="291" t="str">
        <f t="shared" si="88"/>
        <v/>
      </c>
      <c r="Q602" s="292" t="str">
        <f t="shared" si="89"/>
        <v/>
      </c>
    </row>
    <row r="603" spans="1:17" ht="15" customHeight="1" x14ac:dyDescent="0.2">
      <c r="A603" s="243" t="str">
        <f>IFERROR(INDEX(Txn[Key],MATCH(0,INDEX(COUNTIF($A$1:A602,Txn[Key])+(Txn[Key]=""),0),0)),"")</f>
        <v/>
      </c>
      <c r="B603" s="243" t="str">
        <f t="shared" si="81"/>
        <v/>
      </c>
      <c r="C603" s="243" t="str">
        <f t="shared" si="82"/>
        <v/>
      </c>
      <c r="D603" s="243" t="str">
        <f t="shared" si="83"/>
        <v/>
      </c>
      <c r="E603" s="265" t="str">
        <f>IF($A603="","",SUMIFS(Txn[Signed Units],Txn[Key],$A603))</f>
        <v/>
      </c>
      <c r="F603" s="287" t="str">
        <f>IF($A603="","",SUMIFS(Txn[Buy Cost],Txn[Key],$A603))</f>
        <v/>
      </c>
      <c r="G603" s="287" t="str">
        <f>IF($A603="","",SUMIFS(Txn[Sell Proceeds],Txn[Key],$A603))</f>
        <v/>
      </c>
      <c r="H603" s="288" t="str">
        <f>IF($A603="","",IFERROR(INDEX(Prices[Current Price],MATCH($A603,Prices[Key],0)),0))</f>
        <v/>
      </c>
      <c r="I603" s="289" t="str">
        <f>IF($A603="","",IFERROR(INDEX(Prices[FX to SGD],MATCH($A603,Prices[Key],0)),1))</f>
        <v/>
      </c>
      <c r="J603" s="287" t="str">
        <f t="shared" si="84"/>
        <v/>
      </c>
      <c r="K603" s="287" t="str">
        <f t="shared" si="85"/>
        <v/>
      </c>
      <c r="L603" s="287" t="str">
        <f t="shared" si="86"/>
        <v/>
      </c>
      <c r="M603" s="290" t="str">
        <f t="shared" si="87"/>
        <v/>
      </c>
      <c r="N603" s="243" t="str">
        <f>IF($A603="","",IF(ABS(E603)&gt;0.000001,COUNT($N$1:N602)+1,""))</f>
        <v/>
      </c>
      <c r="O603" s="291" t="str">
        <f>IF($A603="","",SUMIFS(Transactions!$H$2:$H$1001,Transactions!$J$2:$J$1001,$A603,Transactions!$A$2:$A$1001,2)*$I603)</f>
        <v/>
      </c>
      <c r="P603" s="291" t="str">
        <f t="shared" si="88"/>
        <v/>
      </c>
      <c r="Q603" s="292" t="str">
        <f t="shared" si="89"/>
        <v/>
      </c>
    </row>
    <row r="604" spans="1:17" ht="15" customHeight="1" x14ac:dyDescent="0.2">
      <c r="A604" s="243" t="str">
        <f>IFERROR(INDEX(Txn[Key],MATCH(0,INDEX(COUNTIF($A$1:A603,Txn[Key])+(Txn[Key]=""),0),0)),"")</f>
        <v/>
      </c>
      <c r="B604" s="243" t="str">
        <f t="shared" si="81"/>
        <v/>
      </c>
      <c r="C604" s="243" t="str">
        <f t="shared" si="82"/>
        <v/>
      </c>
      <c r="D604" s="243" t="str">
        <f t="shared" si="83"/>
        <v/>
      </c>
      <c r="E604" s="265" t="str">
        <f>IF($A604="","",SUMIFS(Txn[Signed Units],Txn[Key],$A604))</f>
        <v/>
      </c>
      <c r="F604" s="287" t="str">
        <f>IF($A604="","",SUMIFS(Txn[Buy Cost],Txn[Key],$A604))</f>
        <v/>
      </c>
      <c r="G604" s="287" t="str">
        <f>IF($A604="","",SUMIFS(Txn[Sell Proceeds],Txn[Key],$A604))</f>
        <v/>
      </c>
      <c r="H604" s="288" t="str">
        <f>IF($A604="","",IFERROR(INDEX(Prices[Current Price],MATCH($A604,Prices[Key],0)),0))</f>
        <v/>
      </c>
      <c r="I604" s="289" t="str">
        <f>IF($A604="","",IFERROR(INDEX(Prices[FX to SGD],MATCH($A604,Prices[Key],0)),1))</f>
        <v/>
      </c>
      <c r="J604" s="287" t="str">
        <f t="shared" si="84"/>
        <v/>
      </c>
      <c r="K604" s="287" t="str">
        <f t="shared" si="85"/>
        <v/>
      </c>
      <c r="L604" s="287" t="str">
        <f t="shared" si="86"/>
        <v/>
      </c>
      <c r="M604" s="290" t="str">
        <f t="shared" si="87"/>
        <v/>
      </c>
      <c r="N604" s="243" t="str">
        <f>IF($A604="","",IF(ABS(E604)&gt;0.000001,COUNT($N$1:N603)+1,""))</f>
        <v/>
      </c>
      <c r="O604" s="291" t="str">
        <f>IF($A604="","",SUMIFS(Transactions!$H$2:$H$1001,Transactions!$J$2:$J$1001,$A604,Transactions!$A$2:$A$1001,2)*$I604)</f>
        <v/>
      </c>
      <c r="P604" s="291" t="str">
        <f t="shared" si="88"/>
        <v/>
      </c>
      <c r="Q604" s="292" t="str">
        <f t="shared" si="89"/>
        <v/>
      </c>
    </row>
    <row r="605" spans="1:17" ht="15" customHeight="1" x14ac:dyDescent="0.2">
      <c r="A605" s="243" t="str">
        <f>IFERROR(INDEX(Txn[Key],MATCH(0,INDEX(COUNTIF($A$1:A604,Txn[Key])+(Txn[Key]=""),0),0)),"")</f>
        <v/>
      </c>
      <c r="B605" s="243" t="str">
        <f t="shared" si="81"/>
        <v/>
      </c>
      <c r="C605" s="243" t="str">
        <f t="shared" si="82"/>
        <v/>
      </c>
      <c r="D605" s="243" t="str">
        <f t="shared" si="83"/>
        <v/>
      </c>
      <c r="E605" s="265" t="str">
        <f>IF($A605="","",SUMIFS(Txn[Signed Units],Txn[Key],$A605))</f>
        <v/>
      </c>
      <c r="F605" s="287" t="str">
        <f>IF($A605="","",SUMIFS(Txn[Buy Cost],Txn[Key],$A605))</f>
        <v/>
      </c>
      <c r="G605" s="287" t="str">
        <f>IF($A605="","",SUMIFS(Txn[Sell Proceeds],Txn[Key],$A605))</f>
        <v/>
      </c>
      <c r="H605" s="288" t="str">
        <f>IF($A605="","",IFERROR(INDEX(Prices[Current Price],MATCH($A605,Prices[Key],0)),0))</f>
        <v/>
      </c>
      <c r="I605" s="289" t="str">
        <f>IF($A605="","",IFERROR(INDEX(Prices[FX to SGD],MATCH($A605,Prices[Key],0)),1))</f>
        <v/>
      </c>
      <c r="J605" s="287" t="str">
        <f t="shared" si="84"/>
        <v/>
      </c>
      <c r="K605" s="287" t="str">
        <f t="shared" si="85"/>
        <v/>
      </c>
      <c r="L605" s="287" t="str">
        <f t="shared" si="86"/>
        <v/>
      </c>
      <c r="M605" s="290" t="str">
        <f t="shared" si="87"/>
        <v/>
      </c>
      <c r="N605" s="243" t="str">
        <f>IF($A605="","",IF(ABS(E605)&gt;0.000001,COUNT($N$1:N604)+1,""))</f>
        <v/>
      </c>
      <c r="O605" s="291" t="str">
        <f>IF($A605="","",SUMIFS(Transactions!$H$2:$H$1001,Transactions!$J$2:$J$1001,$A605,Transactions!$A$2:$A$1001,2)*$I605)</f>
        <v/>
      </c>
      <c r="P605" s="291" t="str">
        <f t="shared" si="88"/>
        <v/>
      </c>
      <c r="Q605" s="292" t="str">
        <f t="shared" si="89"/>
        <v/>
      </c>
    </row>
    <row r="606" spans="1:17" ht="15" customHeight="1" x14ac:dyDescent="0.2">
      <c r="A606" s="243" t="str">
        <f>IFERROR(INDEX(Txn[Key],MATCH(0,INDEX(COUNTIF($A$1:A605,Txn[Key])+(Txn[Key]=""),0),0)),"")</f>
        <v/>
      </c>
      <c r="B606" s="243" t="str">
        <f t="shared" si="81"/>
        <v/>
      </c>
      <c r="C606" s="243" t="str">
        <f t="shared" si="82"/>
        <v/>
      </c>
      <c r="D606" s="243" t="str">
        <f t="shared" si="83"/>
        <v/>
      </c>
      <c r="E606" s="265" t="str">
        <f>IF($A606="","",SUMIFS(Txn[Signed Units],Txn[Key],$A606))</f>
        <v/>
      </c>
      <c r="F606" s="287" t="str">
        <f>IF($A606="","",SUMIFS(Txn[Buy Cost],Txn[Key],$A606))</f>
        <v/>
      </c>
      <c r="G606" s="287" t="str">
        <f>IF($A606="","",SUMIFS(Txn[Sell Proceeds],Txn[Key],$A606))</f>
        <v/>
      </c>
      <c r="H606" s="288" t="str">
        <f>IF($A606="","",IFERROR(INDEX(Prices[Current Price],MATCH($A606,Prices[Key],0)),0))</f>
        <v/>
      </c>
      <c r="I606" s="289" t="str">
        <f>IF($A606="","",IFERROR(INDEX(Prices[FX to SGD],MATCH($A606,Prices[Key],0)),1))</f>
        <v/>
      </c>
      <c r="J606" s="287" t="str">
        <f t="shared" si="84"/>
        <v/>
      </c>
      <c r="K606" s="287" t="str">
        <f t="shared" si="85"/>
        <v/>
      </c>
      <c r="L606" s="287" t="str">
        <f t="shared" si="86"/>
        <v/>
      </c>
      <c r="M606" s="290" t="str">
        <f t="shared" si="87"/>
        <v/>
      </c>
      <c r="N606" s="243" t="str">
        <f>IF($A606="","",IF(ABS(E606)&gt;0.000001,COUNT($N$1:N605)+1,""))</f>
        <v/>
      </c>
      <c r="O606" s="291" t="str">
        <f>IF($A606="","",SUMIFS(Transactions!$H$2:$H$1001,Transactions!$J$2:$J$1001,$A606,Transactions!$A$2:$A$1001,2)*$I606)</f>
        <v/>
      </c>
      <c r="P606" s="291" t="str">
        <f t="shared" si="88"/>
        <v/>
      </c>
      <c r="Q606" s="292" t="str">
        <f t="shared" si="89"/>
        <v/>
      </c>
    </row>
    <row r="607" spans="1:17" ht="15" customHeight="1" x14ac:dyDescent="0.2">
      <c r="A607" s="243" t="str">
        <f>IFERROR(INDEX(Txn[Key],MATCH(0,INDEX(COUNTIF($A$1:A606,Txn[Key])+(Txn[Key]=""),0),0)),"")</f>
        <v/>
      </c>
      <c r="B607" s="243" t="str">
        <f t="shared" si="81"/>
        <v/>
      </c>
      <c r="C607" s="243" t="str">
        <f t="shared" si="82"/>
        <v/>
      </c>
      <c r="D607" s="243" t="str">
        <f t="shared" si="83"/>
        <v/>
      </c>
      <c r="E607" s="265" t="str">
        <f>IF($A607="","",SUMIFS(Txn[Signed Units],Txn[Key],$A607))</f>
        <v/>
      </c>
      <c r="F607" s="287" t="str">
        <f>IF($A607="","",SUMIFS(Txn[Buy Cost],Txn[Key],$A607))</f>
        <v/>
      </c>
      <c r="G607" s="287" t="str">
        <f>IF($A607="","",SUMIFS(Txn[Sell Proceeds],Txn[Key],$A607))</f>
        <v/>
      </c>
      <c r="H607" s="288" t="str">
        <f>IF($A607="","",IFERROR(INDEX(Prices[Current Price],MATCH($A607,Prices[Key],0)),0))</f>
        <v/>
      </c>
      <c r="I607" s="289" t="str">
        <f>IF($A607="","",IFERROR(INDEX(Prices[FX to SGD],MATCH($A607,Prices[Key],0)),1))</f>
        <v/>
      </c>
      <c r="J607" s="287" t="str">
        <f t="shared" si="84"/>
        <v/>
      </c>
      <c r="K607" s="287" t="str">
        <f t="shared" si="85"/>
        <v/>
      </c>
      <c r="L607" s="287" t="str">
        <f t="shared" si="86"/>
        <v/>
      </c>
      <c r="M607" s="290" t="str">
        <f t="shared" si="87"/>
        <v/>
      </c>
      <c r="N607" s="243" t="str">
        <f>IF($A607="","",IF(ABS(E607)&gt;0.000001,COUNT($N$1:N606)+1,""))</f>
        <v/>
      </c>
      <c r="O607" s="291" t="str">
        <f>IF($A607="","",SUMIFS(Transactions!$H$2:$H$1001,Transactions!$J$2:$J$1001,$A607,Transactions!$A$2:$A$1001,2)*$I607)</f>
        <v/>
      </c>
      <c r="P607" s="291" t="str">
        <f t="shared" si="88"/>
        <v/>
      </c>
      <c r="Q607" s="292" t="str">
        <f t="shared" si="89"/>
        <v/>
      </c>
    </row>
    <row r="608" spans="1:17" ht="15" customHeight="1" x14ac:dyDescent="0.2">
      <c r="A608" s="243" t="str">
        <f>IFERROR(INDEX(Txn[Key],MATCH(0,INDEX(COUNTIF($A$1:A607,Txn[Key])+(Txn[Key]=""),0),0)),"")</f>
        <v/>
      </c>
      <c r="B608" s="243" t="str">
        <f t="shared" si="81"/>
        <v/>
      </c>
      <c r="C608" s="243" t="str">
        <f t="shared" si="82"/>
        <v/>
      </c>
      <c r="D608" s="243" t="str">
        <f t="shared" si="83"/>
        <v/>
      </c>
      <c r="E608" s="265" t="str">
        <f>IF($A608="","",SUMIFS(Txn[Signed Units],Txn[Key],$A608))</f>
        <v/>
      </c>
      <c r="F608" s="287" t="str">
        <f>IF($A608="","",SUMIFS(Txn[Buy Cost],Txn[Key],$A608))</f>
        <v/>
      </c>
      <c r="G608" s="287" t="str">
        <f>IF($A608="","",SUMIFS(Txn[Sell Proceeds],Txn[Key],$A608))</f>
        <v/>
      </c>
      <c r="H608" s="288" t="str">
        <f>IF($A608="","",IFERROR(INDEX(Prices[Current Price],MATCH($A608,Prices[Key],0)),0))</f>
        <v/>
      </c>
      <c r="I608" s="289" t="str">
        <f>IF($A608="","",IFERROR(INDEX(Prices[FX to SGD],MATCH($A608,Prices[Key],0)),1))</f>
        <v/>
      </c>
      <c r="J608" s="287" t="str">
        <f t="shared" si="84"/>
        <v/>
      </c>
      <c r="K608" s="287" t="str">
        <f t="shared" si="85"/>
        <v/>
      </c>
      <c r="L608" s="287" t="str">
        <f t="shared" si="86"/>
        <v/>
      </c>
      <c r="M608" s="290" t="str">
        <f t="shared" si="87"/>
        <v/>
      </c>
      <c r="N608" s="243" t="str">
        <f>IF($A608="","",IF(ABS(E608)&gt;0.000001,COUNT($N$1:N607)+1,""))</f>
        <v/>
      </c>
      <c r="O608" s="291" t="str">
        <f>IF($A608="","",SUMIFS(Transactions!$H$2:$H$1001,Transactions!$J$2:$J$1001,$A608,Transactions!$A$2:$A$1001,2)*$I608)</f>
        <v/>
      </c>
      <c r="P608" s="291" t="str">
        <f t="shared" si="88"/>
        <v/>
      </c>
      <c r="Q608" s="292" t="str">
        <f t="shared" si="89"/>
        <v/>
      </c>
    </row>
    <row r="609" spans="1:17" ht="15" customHeight="1" x14ac:dyDescent="0.2">
      <c r="A609" s="243" t="str">
        <f>IFERROR(INDEX(Txn[Key],MATCH(0,INDEX(COUNTIF($A$1:A608,Txn[Key])+(Txn[Key]=""),0),0)),"")</f>
        <v/>
      </c>
      <c r="B609" s="243" t="str">
        <f t="shared" si="81"/>
        <v/>
      </c>
      <c r="C609" s="243" t="str">
        <f t="shared" si="82"/>
        <v/>
      </c>
      <c r="D609" s="243" t="str">
        <f t="shared" si="83"/>
        <v/>
      </c>
      <c r="E609" s="265" t="str">
        <f>IF($A609="","",SUMIFS(Txn[Signed Units],Txn[Key],$A609))</f>
        <v/>
      </c>
      <c r="F609" s="287" t="str">
        <f>IF($A609="","",SUMIFS(Txn[Buy Cost],Txn[Key],$A609))</f>
        <v/>
      </c>
      <c r="G609" s="287" t="str">
        <f>IF($A609="","",SUMIFS(Txn[Sell Proceeds],Txn[Key],$A609))</f>
        <v/>
      </c>
      <c r="H609" s="288" t="str">
        <f>IF($A609="","",IFERROR(INDEX(Prices[Current Price],MATCH($A609,Prices[Key],0)),0))</f>
        <v/>
      </c>
      <c r="I609" s="289" t="str">
        <f>IF($A609="","",IFERROR(INDEX(Prices[FX to SGD],MATCH($A609,Prices[Key],0)),1))</f>
        <v/>
      </c>
      <c r="J609" s="287" t="str">
        <f t="shared" si="84"/>
        <v/>
      </c>
      <c r="K609" s="287" t="str">
        <f t="shared" si="85"/>
        <v/>
      </c>
      <c r="L609" s="287" t="str">
        <f t="shared" si="86"/>
        <v/>
      </c>
      <c r="M609" s="290" t="str">
        <f t="shared" si="87"/>
        <v/>
      </c>
      <c r="N609" s="243" t="str">
        <f>IF($A609="","",IF(ABS(E609)&gt;0.000001,COUNT($N$1:N608)+1,""))</f>
        <v/>
      </c>
      <c r="O609" s="291" t="str">
        <f>IF($A609="","",SUMIFS(Transactions!$H$2:$H$1001,Transactions!$J$2:$J$1001,$A609,Transactions!$A$2:$A$1001,2)*$I609)</f>
        <v/>
      </c>
      <c r="P609" s="291" t="str">
        <f t="shared" si="88"/>
        <v/>
      </c>
      <c r="Q609" s="292" t="str">
        <f t="shared" si="89"/>
        <v/>
      </c>
    </row>
    <row r="610" spans="1:17" ht="15" customHeight="1" x14ac:dyDescent="0.2">
      <c r="A610" s="243" t="str">
        <f>IFERROR(INDEX(Txn[Key],MATCH(0,INDEX(COUNTIF($A$1:A609,Txn[Key])+(Txn[Key]=""),0),0)),"")</f>
        <v/>
      </c>
      <c r="B610" s="243" t="str">
        <f t="shared" si="81"/>
        <v/>
      </c>
      <c r="C610" s="243" t="str">
        <f t="shared" si="82"/>
        <v/>
      </c>
      <c r="D610" s="243" t="str">
        <f t="shared" si="83"/>
        <v/>
      </c>
      <c r="E610" s="265" t="str">
        <f>IF($A610="","",SUMIFS(Txn[Signed Units],Txn[Key],$A610))</f>
        <v/>
      </c>
      <c r="F610" s="287" t="str">
        <f>IF($A610="","",SUMIFS(Txn[Buy Cost],Txn[Key],$A610))</f>
        <v/>
      </c>
      <c r="G610" s="287" t="str">
        <f>IF($A610="","",SUMIFS(Txn[Sell Proceeds],Txn[Key],$A610))</f>
        <v/>
      </c>
      <c r="H610" s="288" t="str">
        <f>IF($A610="","",IFERROR(INDEX(Prices[Current Price],MATCH($A610,Prices[Key],0)),0))</f>
        <v/>
      </c>
      <c r="I610" s="289" t="str">
        <f>IF($A610="","",IFERROR(INDEX(Prices[FX to SGD],MATCH($A610,Prices[Key],0)),1))</f>
        <v/>
      </c>
      <c r="J610" s="287" t="str">
        <f t="shared" si="84"/>
        <v/>
      </c>
      <c r="K610" s="287" t="str">
        <f t="shared" si="85"/>
        <v/>
      </c>
      <c r="L610" s="287" t="str">
        <f t="shared" si="86"/>
        <v/>
      </c>
      <c r="M610" s="290" t="str">
        <f t="shared" si="87"/>
        <v/>
      </c>
      <c r="N610" s="243" t="str">
        <f>IF($A610="","",IF(ABS(E610)&gt;0.000001,COUNT($N$1:N609)+1,""))</f>
        <v/>
      </c>
      <c r="O610" s="291" t="str">
        <f>IF($A610="","",SUMIFS(Transactions!$H$2:$H$1001,Transactions!$J$2:$J$1001,$A610,Transactions!$A$2:$A$1001,2)*$I610)</f>
        <v/>
      </c>
      <c r="P610" s="291" t="str">
        <f t="shared" si="88"/>
        <v/>
      </c>
      <c r="Q610" s="292" t="str">
        <f t="shared" si="89"/>
        <v/>
      </c>
    </row>
    <row r="611" spans="1:17" ht="15" customHeight="1" x14ac:dyDescent="0.2">
      <c r="A611" s="243" t="str">
        <f>IFERROR(INDEX(Txn[Key],MATCH(0,INDEX(COUNTIF($A$1:A610,Txn[Key])+(Txn[Key]=""),0),0)),"")</f>
        <v/>
      </c>
      <c r="B611" s="243" t="str">
        <f t="shared" si="81"/>
        <v/>
      </c>
      <c r="C611" s="243" t="str">
        <f t="shared" si="82"/>
        <v/>
      </c>
      <c r="D611" s="243" t="str">
        <f t="shared" si="83"/>
        <v/>
      </c>
      <c r="E611" s="265" t="str">
        <f>IF($A611="","",SUMIFS(Txn[Signed Units],Txn[Key],$A611))</f>
        <v/>
      </c>
      <c r="F611" s="287" t="str">
        <f>IF($A611="","",SUMIFS(Txn[Buy Cost],Txn[Key],$A611))</f>
        <v/>
      </c>
      <c r="G611" s="287" t="str">
        <f>IF($A611="","",SUMIFS(Txn[Sell Proceeds],Txn[Key],$A611))</f>
        <v/>
      </c>
      <c r="H611" s="288" t="str">
        <f>IF($A611="","",IFERROR(INDEX(Prices[Current Price],MATCH($A611,Prices[Key],0)),0))</f>
        <v/>
      </c>
      <c r="I611" s="289" t="str">
        <f>IF($A611="","",IFERROR(INDEX(Prices[FX to SGD],MATCH($A611,Prices[Key],0)),1))</f>
        <v/>
      </c>
      <c r="J611" s="287" t="str">
        <f t="shared" si="84"/>
        <v/>
      </c>
      <c r="K611" s="287" t="str">
        <f t="shared" si="85"/>
        <v/>
      </c>
      <c r="L611" s="287" t="str">
        <f t="shared" si="86"/>
        <v/>
      </c>
      <c r="M611" s="290" t="str">
        <f t="shared" si="87"/>
        <v/>
      </c>
      <c r="N611" s="243" t="str">
        <f>IF($A611="","",IF(ABS(E611)&gt;0.000001,COUNT($N$1:N610)+1,""))</f>
        <v/>
      </c>
      <c r="O611" s="291" t="str">
        <f>IF($A611="","",SUMIFS(Transactions!$H$2:$H$1001,Transactions!$J$2:$J$1001,$A611,Transactions!$A$2:$A$1001,2)*$I611)</f>
        <v/>
      </c>
      <c r="P611" s="291" t="str">
        <f t="shared" si="88"/>
        <v/>
      </c>
      <c r="Q611" s="292" t="str">
        <f t="shared" si="89"/>
        <v/>
      </c>
    </row>
    <row r="612" spans="1:17" ht="15" customHeight="1" x14ac:dyDescent="0.2">
      <c r="A612" s="243" t="str">
        <f>IFERROR(INDEX(Txn[Key],MATCH(0,INDEX(COUNTIF($A$1:A611,Txn[Key])+(Txn[Key]=""),0),0)),"")</f>
        <v/>
      </c>
      <c r="B612" s="243" t="str">
        <f t="shared" si="81"/>
        <v/>
      </c>
      <c r="C612" s="243" t="str">
        <f t="shared" si="82"/>
        <v/>
      </c>
      <c r="D612" s="243" t="str">
        <f t="shared" si="83"/>
        <v/>
      </c>
      <c r="E612" s="265" t="str">
        <f>IF($A612="","",SUMIFS(Txn[Signed Units],Txn[Key],$A612))</f>
        <v/>
      </c>
      <c r="F612" s="287" t="str">
        <f>IF($A612="","",SUMIFS(Txn[Buy Cost],Txn[Key],$A612))</f>
        <v/>
      </c>
      <c r="G612" s="287" t="str">
        <f>IF($A612="","",SUMIFS(Txn[Sell Proceeds],Txn[Key],$A612))</f>
        <v/>
      </c>
      <c r="H612" s="288" t="str">
        <f>IF($A612="","",IFERROR(INDEX(Prices[Current Price],MATCH($A612,Prices[Key],0)),0))</f>
        <v/>
      </c>
      <c r="I612" s="289" t="str">
        <f>IF($A612="","",IFERROR(INDEX(Prices[FX to SGD],MATCH($A612,Prices[Key],0)),1))</f>
        <v/>
      </c>
      <c r="J612" s="287" t="str">
        <f t="shared" si="84"/>
        <v/>
      </c>
      <c r="K612" s="287" t="str">
        <f t="shared" si="85"/>
        <v/>
      </c>
      <c r="L612" s="287" t="str">
        <f t="shared" si="86"/>
        <v/>
      </c>
      <c r="M612" s="290" t="str">
        <f t="shared" si="87"/>
        <v/>
      </c>
      <c r="N612" s="243" t="str">
        <f>IF($A612="","",IF(ABS(E612)&gt;0.000001,COUNT($N$1:N611)+1,""))</f>
        <v/>
      </c>
      <c r="O612" s="291" t="str">
        <f>IF($A612="","",SUMIFS(Transactions!$H$2:$H$1001,Transactions!$J$2:$J$1001,$A612,Transactions!$A$2:$A$1001,2)*$I612)</f>
        <v/>
      </c>
      <c r="P612" s="291" t="str">
        <f t="shared" si="88"/>
        <v/>
      </c>
      <c r="Q612" s="292" t="str">
        <f t="shared" si="89"/>
        <v/>
      </c>
    </row>
    <row r="613" spans="1:17" ht="15" customHeight="1" x14ac:dyDescent="0.2">
      <c r="A613" s="243" t="str">
        <f>IFERROR(INDEX(Txn[Key],MATCH(0,INDEX(COUNTIF($A$1:A612,Txn[Key])+(Txn[Key]=""),0),0)),"")</f>
        <v/>
      </c>
      <c r="B613" s="243" t="str">
        <f t="shared" si="81"/>
        <v/>
      </c>
      <c r="C613" s="243" t="str">
        <f t="shared" si="82"/>
        <v/>
      </c>
      <c r="D613" s="243" t="str">
        <f t="shared" si="83"/>
        <v/>
      </c>
      <c r="E613" s="265" t="str">
        <f>IF($A613="","",SUMIFS(Txn[Signed Units],Txn[Key],$A613))</f>
        <v/>
      </c>
      <c r="F613" s="287" t="str">
        <f>IF($A613="","",SUMIFS(Txn[Buy Cost],Txn[Key],$A613))</f>
        <v/>
      </c>
      <c r="G613" s="287" t="str">
        <f>IF($A613="","",SUMIFS(Txn[Sell Proceeds],Txn[Key],$A613))</f>
        <v/>
      </c>
      <c r="H613" s="288" t="str">
        <f>IF($A613="","",IFERROR(INDEX(Prices[Current Price],MATCH($A613,Prices[Key],0)),0))</f>
        <v/>
      </c>
      <c r="I613" s="289" t="str">
        <f>IF($A613="","",IFERROR(INDEX(Prices[FX to SGD],MATCH($A613,Prices[Key],0)),1))</f>
        <v/>
      </c>
      <c r="J613" s="287" t="str">
        <f t="shared" si="84"/>
        <v/>
      </c>
      <c r="K613" s="287" t="str">
        <f t="shared" si="85"/>
        <v/>
      </c>
      <c r="L613" s="287" t="str">
        <f t="shared" si="86"/>
        <v/>
      </c>
      <c r="M613" s="290" t="str">
        <f t="shared" si="87"/>
        <v/>
      </c>
      <c r="N613" s="243" t="str">
        <f>IF($A613="","",IF(ABS(E613)&gt;0.000001,COUNT($N$1:N612)+1,""))</f>
        <v/>
      </c>
      <c r="O613" s="291" t="str">
        <f>IF($A613="","",SUMIFS(Transactions!$H$2:$H$1001,Transactions!$J$2:$J$1001,$A613,Transactions!$A$2:$A$1001,2)*$I613)</f>
        <v/>
      </c>
      <c r="P613" s="291" t="str">
        <f t="shared" si="88"/>
        <v/>
      </c>
      <c r="Q613" s="292" t="str">
        <f t="shared" si="89"/>
        <v/>
      </c>
    </row>
    <row r="614" spans="1:17" ht="15" customHeight="1" x14ac:dyDescent="0.2">
      <c r="A614" s="243" t="str">
        <f>IFERROR(INDEX(Txn[Key],MATCH(0,INDEX(COUNTIF($A$1:A613,Txn[Key])+(Txn[Key]=""),0),0)),"")</f>
        <v/>
      </c>
      <c r="B614" s="243" t="str">
        <f t="shared" si="81"/>
        <v/>
      </c>
      <c r="C614" s="243" t="str">
        <f t="shared" si="82"/>
        <v/>
      </c>
      <c r="D614" s="243" t="str">
        <f t="shared" si="83"/>
        <v/>
      </c>
      <c r="E614" s="265" t="str">
        <f>IF($A614="","",SUMIFS(Txn[Signed Units],Txn[Key],$A614))</f>
        <v/>
      </c>
      <c r="F614" s="287" t="str">
        <f>IF($A614="","",SUMIFS(Txn[Buy Cost],Txn[Key],$A614))</f>
        <v/>
      </c>
      <c r="G614" s="287" t="str">
        <f>IF($A614="","",SUMIFS(Txn[Sell Proceeds],Txn[Key],$A614))</f>
        <v/>
      </c>
      <c r="H614" s="288" t="str">
        <f>IF($A614="","",IFERROR(INDEX(Prices[Current Price],MATCH($A614,Prices[Key],0)),0))</f>
        <v/>
      </c>
      <c r="I614" s="289" t="str">
        <f>IF($A614="","",IFERROR(INDEX(Prices[FX to SGD],MATCH($A614,Prices[Key],0)),1))</f>
        <v/>
      </c>
      <c r="J614" s="287" t="str">
        <f t="shared" si="84"/>
        <v/>
      </c>
      <c r="K614" s="287" t="str">
        <f t="shared" si="85"/>
        <v/>
      </c>
      <c r="L614" s="287" t="str">
        <f t="shared" si="86"/>
        <v/>
      </c>
      <c r="M614" s="290" t="str">
        <f t="shared" si="87"/>
        <v/>
      </c>
      <c r="N614" s="243" t="str">
        <f>IF($A614="","",IF(ABS(E614)&gt;0.000001,COUNT($N$1:N613)+1,""))</f>
        <v/>
      </c>
      <c r="O614" s="291" t="str">
        <f>IF($A614="","",SUMIFS(Transactions!$H$2:$H$1001,Transactions!$J$2:$J$1001,$A614,Transactions!$A$2:$A$1001,2)*$I614)</f>
        <v/>
      </c>
      <c r="P614" s="291" t="str">
        <f t="shared" si="88"/>
        <v/>
      </c>
      <c r="Q614" s="292" t="str">
        <f t="shared" si="89"/>
        <v/>
      </c>
    </row>
    <row r="615" spans="1:17" ht="15" customHeight="1" x14ac:dyDescent="0.2">
      <c r="A615" s="243" t="str">
        <f>IFERROR(INDEX(Txn[Key],MATCH(0,INDEX(COUNTIF($A$1:A614,Txn[Key])+(Txn[Key]=""),0),0)),"")</f>
        <v/>
      </c>
      <c r="B615" s="243" t="str">
        <f t="shared" si="81"/>
        <v/>
      </c>
      <c r="C615" s="243" t="str">
        <f t="shared" si="82"/>
        <v/>
      </c>
      <c r="D615" s="243" t="str">
        <f t="shared" si="83"/>
        <v/>
      </c>
      <c r="E615" s="265" t="str">
        <f>IF($A615="","",SUMIFS(Txn[Signed Units],Txn[Key],$A615))</f>
        <v/>
      </c>
      <c r="F615" s="287" t="str">
        <f>IF($A615="","",SUMIFS(Txn[Buy Cost],Txn[Key],$A615))</f>
        <v/>
      </c>
      <c r="G615" s="287" t="str">
        <f>IF($A615="","",SUMIFS(Txn[Sell Proceeds],Txn[Key],$A615))</f>
        <v/>
      </c>
      <c r="H615" s="288" t="str">
        <f>IF($A615="","",IFERROR(INDEX(Prices[Current Price],MATCH($A615,Prices[Key],0)),0))</f>
        <v/>
      </c>
      <c r="I615" s="289" t="str">
        <f>IF($A615="","",IFERROR(INDEX(Prices[FX to SGD],MATCH($A615,Prices[Key],0)),1))</f>
        <v/>
      </c>
      <c r="J615" s="287" t="str">
        <f t="shared" si="84"/>
        <v/>
      </c>
      <c r="K615" s="287" t="str">
        <f t="shared" si="85"/>
        <v/>
      </c>
      <c r="L615" s="287" t="str">
        <f t="shared" si="86"/>
        <v/>
      </c>
      <c r="M615" s="290" t="str">
        <f t="shared" si="87"/>
        <v/>
      </c>
      <c r="N615" s="243" t="str">
        <f>IF($A615="","",IF(ABS(E615)&gt;0.000001,COUNT($N$1:N614)+1,""))</f>
        <v/>
      </c>
      <c r="O615" s="291" t="str">
        <f>IF($A615="","",SUMIFS(Transactions!$H$2:$H$1001,Transactions!$J$2:$J$1001,$A615,Transactions!$A$2:$A$1001,2)*$I615)</f>
        <v/>
      </c>
      <c r="P615" s="291" t="str">
        <f t="shared" si="88"/>
        <v/>
      </c>
      <c r="Q615" s="292" t="str">
        <f t="shared" si="89"/>
        <v/>
      </c>
    </row>
    <row r="616" spans="1:17" ht="15" customHeight="1" x14ac:dyDescent="0.2">
      <c r="A616" s="243" t="str">
        <f>IFERROR(INDEX(Txn[Key],MATCH(0,INDEX(COUNTIF($A$1:A615,Txn[Key])+(Txn[Key]=""),0),0)),"")</f>
        <v/>
      </c>
      <c r="B616" s="243" t="str">
        <f t="shared" si="81"/>
        <v/>
      </c>
      <c r="C616" s="243" t="str">
        <f t="shared" si="82"/>
        <v/>
      </c>
      <c r="D616" s="243" t="str">
        <f t="shared" si="83"/>
        <v/>
      </c>
      <c r="E616" s="265" t="str">
        <f>IF($A616="","",SUMIFS(Txn[Signed Units],Txn[Key],$A616))</f>
        <v/>
      </c>
      <c r="F616" s="287" t="str">
        <f>IF($A616="","",SUMIFS(Txn[Buy Cost],Txn[Key],$A616))</f>
        <v/>
      </c>
      <c r="G616" s="287" t="str">
        <f>IF($A616="","",SUMIFS(Txn[Sell Proceeds],Txn[Key],$A616))</f>
        <v/>
      </c>
      <c r="H616" s="288" t="str">
        <f>IF($A616="","",IFERROR(INDEX(Prices[Current Price],MATCH($A616,Prices[Key],0)),0))</f>
        <v/>
      </c>
      <c r="I616" s="289" t="str">
        <f>IF($A616="","",IFERROR(INDEX(Prices[FX to SGD],MATCH($A616,Prices[Key],0)),1))</f>
        <v/>
      </c>
      <c r="J616" s="287" t="str">
        <f t="shared" si="84"/>
        <v/>
      </c>
      <c r="K616" s="287" t="str">
        <f t="shared" si="85"/>
        <v/>
      </c>
      <c r="L616" s="287" t="str">
        <f t="shared" si="86"/>
        <v/>
      </c>
      <c r="M616" s="290" t="str">
        <f t="shared" si="87"/>
        <v/>
      </c>
      <c r="N616" s="243" t="str">
        <f>IF($A616="","",IF(ABS(E616)&gt;0.000001,COUNT($N$1:N615)+1,""))</f>
        <v/>
      </c>
      <c r="O616" s="291" t="str">
        <f>IF($A616="","",SUMIFS(Transactions!$H$2:$H$1001,Transactions!$J$2:$J$1001,$A616,Transactions!$A$2:$A$1001,2)*$I616)</f>
        <v/>
      </c>
      <c r="P616" s="291" t="str">
        <f t="shared" si="88"/>
        <v/>
      </c>
      <c r="Q616" s="292" t="str">
        <f t="shared" si="89"/>
        <v/>
      </c>
    </row>
    <row r="617" spans="1:17" ht="15" customHeight="1" x14ac:dyDescent="0.2">
      <c r="A617" s="243" t="str">
        <f>IFERROR(INDEX(Txn[Key],MATCH(0,INDEX(COUNTIF($A$1:A616,Txn[Key])+(Txn[Key]=""),0),0)),"")</f>
        <v/>
      </c>
      <c r="B617" s="243" t="str">
        <f t="shared" si="81"/>
        <v/>
      </c>
      <c r="C617" s="243" t="str">
        <f t="shared" si="82"/>
        <v/>
      </c>
      <c r="D617" s="243" t="str">
        <f t="shared" si="83"/>
        <v/>
      </c>
      <c r="E617" s="265" t="str">
        <f>IF($A617="","",SUMIFS(Txn[Signed Units],Txn[Key],$A617))</f>
        <v/>
      </c>
      <c r="F617" s="287" t="str">
        <f>IF($A617="","",SUMIFS(Txn[Buy Cost],Txn[Key],$A617))</f>
        <v/>
      </c>
      <c r="G617" s="287" t="str">
        <f>IF($A617="","",SUMIFS(Txn[Sell Proceeds],Txn[Key],$A617))</f>
        <v/>
      </c>
      <c r="H617" s="288" t="str">
        <f>IF($A617="","",IFERROR(INDEX(Prices[Current Price],MATCH($A617,Prices[Key],0)),0))</f>
        <v/>
      </c>
      <c r="I617" s="289" t="str">
        <f>IF($A617="","",IFERROR(INDEX(Prices[FX to SGD],MATCH($A617,Prices[Key],0)),1))</f>
        <v/>
      </c>
      <c r="J617" s="287" t="str">
        <f t="shared" si="84"/>
        <v/>
      </c>
      <c r="K617" s="287" t="str">
        <f t="shared" si="85"/>
        <v/>
      </c>
      <c r="L617" s="287" t="str">
        <f t="shared" si="86"/>
        <v/>
      </c>
      <c r="M617" s="290" t="str">
        <f t="shared" si="87"/>
        <v/>
      </c>
      <c r="N617" s="243" t="str">
        <f>IF($A617="","",IF(ABS(E617)&gt;0.000001,COUNT($N$1:N616)+1,""))</f>
        <v/>
      </c>
      <c r="O617" s="291" t="str">
        <f>IF($A617="","",SUMIFS(Transactions!$H$2:$H$1001,Transactions!$J$2:$J$1001,$A617,Transactions!$A$2:$A$1001,2)*$I617)</f>
        <v/>
      </c>
      <c r="P617" s="291" t="str">
        <f t="shared" si="88"/>
        <v/>
      </c>
      <c r="Q617" s="292" t="str">
        <f t="shared" si="89"/>
        <v/>
      </c>
    </row>
    <row r="618" spans="1:17" ht="15" customHeight="1" x14ac:dyDescent="0.2">
      <c r="A618" s="243" t="str">
        <f>IFERROR(INDEX(Txn[Key],MATCH(0,INDEX(COUNTIF($A$1:A617,Txn[Key])+(Txn[Key]=""),0),0)),"")</f>
        <v/>
      </c>
      <c r="B618" s="243" t="str">
        <f t="shared" si="81"/>
        <v/>
      </c>
      <c r="C618" s="243" t="str">
        <f t="shared" si="82"/>
        <v/>
      </c>
      <c r="D618" s="243" t="str">
        <f t="shared" si="83"/>
        <v/>
      </c>
      <c r="E618" s="265" t="str">
        <f>IF($A618="","",SUMIFS(Txn[Signed Units],Txn[Key],$A618))</f>
        <v/>
      </c>
      <c r="F618" s="287" t="str">
        <f>IF($A618="","",SUMIFS(Txn[Buy Cost],Txn[Key],$A618))</f>
        <v/>
      </c>
      <c r="G618" s="287" t="str">
        <f>IF($A618="","",SUMIFS(Txn[Sell Proceeds],Txn[Key],$A618))</f>
        <v/>
      </c>
      <c r="H618" s="288" t="str">
        <f>IF($A618="","",IFERROR(INDEX(Prices[Current Price],MATCH($A618,Prices[Key],0)),0))</f>
        <v/>
      </c>
      <c r="I618" s="289" t="str">
        <f>IF($A618="","",IFERROR(INDEX(Prices[FX to SGD],MATCH($A618,Prices[Key],0)),1))</f>
        <v/>
      </c>
      <c r="J618" s="287" t="str">
        <f t="shared" si="84"/>
        <v/>
      </c>
      <c r="K618" s="287" t="str">
        <f t="shared" si="85"/>
        <v/>
      </c>
      <c r="L618" s="287" t="str">
        <f t="shared" si="86"/>
        <v/>
      </c>
      <c r="M618" s="290" t="str">
        <f t="shared" si="87"/>
        <v/>
      </c>
      <c r="N618" s="243" t="str">
        <f>IF($A618="","",IF(ABS(E618)&gt;0.000001,COUNT($N$1:N617)+1,""))</f>
        <v/>
      </c>
      <c r="O618" s="291" t="str">
        <f>IF($A618="","",SUMIFS(Transactions!$H$2:$H$1001,Transactions!$J$2:$J$1001,$A618,Transactions!$A$2:$A$1001,2)*$I618)</f>
        <v/>
      </c>
      <c r="P618" s="291" t="str">
        <f t="shared" si="88"/>
        <v/>
      </c>
      <c r="Q618" s="292" t="str">
        <f t="shared" si="89"/>
        <v/>
      </c>
    </row>
    <row r="619" spans="1:17" ht="15" customHeight="1" x14ac:dyDescent="0.2">
      <c r="A619" s="243" t="str">
        <f>IFERROR(INDEX(Txn[Key],MATCH(0,INDEX(COUNTIF($A$1:A618,Txn[Key])+(Txn[Key]=""),0),0)),"")</f>
        <v/>
      </c>
      <c r="B619" s="243" t="str">
        <f t="shared" si="81"/>
        <v/>
      </c>
      <c r="C619" s="243" t="str">
        <f t="shared" si="82"/>
        <v/>
      </c>
      <c r="D619" s="243" t="str">
        <f t="shared" si="83"/>
        <v/>
      </c>
      <c r="E619" s="265" t="str">
        <f>IF($A619="","",SUMIFS(Txn[Signed Units],Txn[Key],$A619))</f>
        <v/>
      </c>
      <c r="F619" s="287" t="str">
        <f>IF($A619="","",SUMIFS(Txn[Buy Cost],Txn[Key],$A619))</f>
        <v/>
      </c>
      <c r="G619" s="287" t="str">
        <f>IF($A619="","",SUMIFS(Txn[Sell Proceeds],Txn[Key],$A619))</f>
        <v/>
      </c>
      <c r="H619" s="288" t="str">
        <f>IF($A619="","",IFERROR(INDEX(Prices[Current Price],MATCH($A619,Prices[Key],0)),0))</f>
        <v/>
      </c>
      <c r="I619" s="289" t="str">
        <f>IF($A619="","",IFERROR(INDEX(Prices[FX to SGD],MATCH($A619,Prices[Key],0)),1))</f>
        <v/>
      </c>
      <c r="J619" s="287" t="str">
        <f t="shared" si="84"/>
        <v/>
      </c>
      <c r="K619" s="287" t="str">
        <f t="shared" si="85"/>
        <v/>
      </c>
      <c r="L619" s="287" t="str">
        <f t="shared" si="86"/>
        <v/>
      </c>
      <c r="M619" s="290" t="str">
        <f t="shared" si="87"/>
        <v/>
      </c>
      <c r="N619" s="243" t="str">
        <f>IF($A619="","",IF(ABS(E619)&gt;0.000001,COUNT($N$1:N618)+1,""))</f>
        <v/>
      </c>
      <c r="O619" s="291" t="str">
        <f>IF($A619="","",SUMIFS(Transactions!$H$2:$H$1001,Transactions!$J$2:$J$1001,$A619,Transactions!$A$2:$A$1001,2)*$I619)</f>
        <v/>
      </c>
      <c r="P619" s="291" t="str">
        <f t="shared" si="88"/>
        <v/>
      </c>
      <c r="Q619" s="292" t="str">
        <f t="shared" si="89"/>
        <v/>
      </c>
    </row>
    <row r="620" spans="1:17" ht="15" customHeight="1" x14ac:dyDescent="0.2">
      <c r="A620" s="243" t="str">
        <f>IFERROR(INDEX(Txn[Key],MATCH(0,INDEX(COUNTIF($A$1:A619,Txn[Key])+(Txn[Key]=""),0),0)),"")</f>
        <v/>
      </c>
      <c r="B620" s="243" t="str">
        <f t="shared" si="81"/>
        <v/>
      </c>
      <c r="C620" s="243" t="str">
        <f t="shared" si="82"/>
        <v/>
      </c>
      <c r="D620" s="243" t="str">
        <f t="shared" si="83"/>
        <v/>
      </c>
      <c r="E620" s="265" t="str">
        <f>IF($A620="","",SUMIFS(Txn[Signed Units],Txn[Key],$A620))</f>
        <v/>
      </c>
      <c r="F620" s="287" t="str">
        <f>IF($A620="","",SUMIFS(Txn[Buy Cost],Txn[Key],$A620))</f>
        <v/>
      </c>
      <c r="G620" s="287" t="str">
        <f>IF($A620="","",SUMIFS(Txn[Sell Proceeds],Txn[Key],$A620))</f>
        <v/>
      </c>
      <c r="H620" s="288" t="str">
        <f>IF($A620="","",IFERROR(INDEX(Prices[Current Price],MATCH($A620,Prices[Key],0)),0))</f>
        <v/>
      </c>
      <c r="I620" s="289" t="str">
        <f>IF($A620="","",IFERROR(INDEX(Prices[FX to SGD],MATCH($A620,Prices[Key],0)),1))</f>
        <v/>
      </c>
      <c r="J620" s="287" t="str">
        <f t="shared" si="84"/>
        <v/>
      </c>
      <c r="K620" s="287" t="str">
        <f t="shared" si="85"/>
        <v/>
      </c>
      <c r="L620" s="287" t="str">
        <f t="shared" si="86"/>
        <v/>
      </c>
      <c r="M620" s="290" t="str">
        <f t="shared" si="87"/>
        <v/>
      </c>
      <c r="N620" s="243" t="str">
        <f>IF($A620="","",IF(ABS(E620)&gt;0.000001,COUNT($N$1:N619)+1,""))</f>
        <v/>
      </c>
      <c r="O620" s="291" t="str">
        <f>IF($A620="","",SUMIFS(Transactions!$H$2:$H$1001,Transactions!$J$2:$J$1001,$A620,Transactions!$A$2:$A$1001,2)*$I620)</f>
        <v/>
      </c>
      <c r="P620" s="291" t="str">
        <f t="shared" si="88"/>
        <v/>
      </c>
      <c r="Q620" s="292" t="str">
        <f t="shared" si="89"/>
        <v/>
      </c>
    </row>
    <row r="621" spans="1:17" ht="15" customHeight="1" x14ac:dyDescent="0.2">
      <c r="A621" s="243" t="str">
        <f>IFERROR(INDEX(Txn[Key],MATCH(0,INDEX(COUNTIF($A$1:A620,Txn[Key])+(Txn[Key]=""),0),0)),"")</f>
        <v/>
      </c>
      <c r="B621" s="243" t="str">
        <f t="shared" si="81"/>
        <v/>
      </c>
      <c r="C621" s="243" t="str">
        <f t="shared" si="82"/>
        <v/>
      </c>
      <c r="D621" s="243" t="str">
        <f t="shared" si="83"/>
        <v/>
      </c>
      <c r="E621" s="265" t="str">
        <f>IF($A621="","",SUMIFS(Txn[Signed Units],Txn[Key],$A621))</f>
        <v/>
      </c>
      <c r="F621" s="287" t="str">
        <f>IF($A621="","",SUMIFS(Txn[Buy Cost],Txn[Key],$A621))</f>
        <v/>
      </c>
      <c r="G621" s="287" t="str">
        <f>IF($A621="","",SUMIFS(Txn[Sell Proceeds],Txn[Key],$A621))</f>
        <v/>
      </c>
      <c r="H621" s="288" t="str">
        <f>IF($A621="","",IFERROR(INDEX(Prices[Current Price],MATCH($A621,Prices[Key],0)),0))</f>
        <v/>
      </c>
      <c r="I621" s="289" t="str">
        <f>IF($A621="","",IFERROR(INDEX(Prices[FX to SGD],MATCH($A621,Prices[Key],0)),1))</f>
        <v/>
      </c>
      <c r="J621" s="287" t="str">
        <f t="shared" si="84"/>
        <v/>
      </c>
      <c r="K621" s="287" t="str">
        <f t="shared" si="85"/>
        <v/>
      </c>
      <c r="L621" s="287" t="str">
        <f t="shared" si="86"/>
        <v/>
      </c>
      <c r="M621" s="290" t="str">
        <f t="shared" si="87"/>
        <v/>
      </c>
      <c r="N621" s="243" t="str">
        <f>IF($A621="","",IF(ABS(E621)&gt;0.000001,COUNT($N$1:N620)+1,""))</f>
        <v/>
      </c>
      <c r="O621" s="291" t="str">
        <f>IF($A621="","",SUMIFS(Transactions!$H$2:$H$1001,Transactions!$J$2:$J$1001,$A621,Transactions!$A$2:$A$1001,2)*$I621)</f>
        <v/>
      </c>
      <c r="P621" s="291" t="str">
        <f t="shared" si="88"/>
        <v/>
      </c>
      <c r="Q621" s="292" t="str">
        <f t="shared" si="89"/>
        <v/>
      </c>
    </row>
    <row r="622" spans="1:17" ht="15" customHeight="1" x14ac:dyDescent="0.2">
      <c r="A622" s="243" t="str">
        <f>IFERROR(INDEX(Txn[Key],MATCH(0,INDEX(COUNTIF($A$1:A621,Txn[Key])+(Txn[Key]=""),0),0)),"")</f>
        <v/>
      </c>
      <c r="B622" s="243" t="str">
        <f t="shared" si="81"/>
        <v/>
      </c>
      <c r="C622" s="243" t="str">
        <f t="shared" si="82"/>
        <v/>
      </c>
      <c r="D622" s="243" t="str">
        <f t="shared" si="83"/>
        <v/>
      </c>
      <c r="E622" s="265" t="str">
        <f>IF($A622="","",SUMIFS(Txn[Signed Units],Txn[Key],$A622))</f>
        <v/>
      </c>
      <c r="F622" s="287" t="str">
        <f>IF($A622="","",SUMIFS(Txn[Buy Cost],Txn[Key],$A622))</f>
        <v/>
      </c>
      <c r="G622" s="287" t="str">
        <f>IF($A622="","",SUMIFS(Txn[Sell Proceeds],Txn[Key],$A622))</f>
        <v/>
      </c>
      <c r="H622" s="288" t="str">
        <f>IF($A622="","",IFERROR(INDEX(Prices[Current Price],MATCH($A622,Prices[Key],0)),0))</f>
        <v/>
      </c>
      <c r="I622" s="289" t="str">
        <f>IF($A622="","",IFERROR(INDEX(Prices[FX to SGD],MATCH($A622,Prices[Key],0)),1))</f>
        <v/>
      </c>
      <c r="J622" s="287" t="str">
        <f t="shared" si="84"/>
        <v/>
      </c>
      <c r="K622" s="287" t="str">
        <f t="shared" si="85"/>
        <v/>
      </c>
      <c r="L622" s="287" t="str">
        <f t="shared" si="86"/>
        <v/>
      </c>
      <c r="M622" s="290" t="str">
        <f t="shared" si="87"/>
        <v/>
      </c>
      <c r="N622" s="243" t="str">
        <f>IF($A622="","",IF(ABS(E622)&gt;0.000001,COUNT($N$1:N621)+1,""))</f>
        <v/>
      </c>
      <c r="O622" s="291" t="str">
        <f>IF($A622="","",SUMIFS(Transactions!$H$2:$H$1001,Transactions!$J$2:$J$1001,$A622,Transactions!$A$2:$A$1001,2)*$I622)</f>
        <v/>
      </c>
      <c r="P622" s="291" t="str">
        <f t="shared" si="88"/>
        <v/>
      </c>
      <c r="Q622" s="292" t="str">
        <f t="shared" si="89"/>
        <v/>
      </c>
    </row>
    <row r="623" spans="1:17" ht="15" customHeight="1" x14ac:dyDescent="0.2">
      <c r="A623" s="243" t="str">
        <f>IFERROR(INDEX(Txn[Key],MATCH(0,INDEX(COUNTIF($A$1:A622,Txn[Key])+(Txn[Key]=""),0),0)),"")</f>
        <v/>
      </c>
      <c r="B623" s="243" t="str">
        <f t="shared" si="81"/>
        <v/>
      </c>
      <c r="C623" s="243" t="str">
        <f t="shared" si="82"/>
        <v/>
      </c>
      <c r="D623" s="243" t="str">
        <f t="shared" si="83"/>
        <v/>
      </c>
      <c r="E623" s="265" t="str">
        <f>IF($A623="","",SUMIFS(Txn[Signed Units],Txn[Key],$A623))</f>
        <v/>
      </c>
      <c r="F623" s="287" t="str">
        <f>IF($A623="","",SUMIFS(Txn[Buy Cost],Txn[Key],$A623))</f>
        <v/>
      </c>
      <c r="G623" s="287" t="str">
        <f>IF($A623="","",SUMIFS(Txn[Sell Proceeds],Txn[Key],$A623))</f>
        <v/>
      </c>
      <c r="H623" s="288" t="str">
        <f>IF($A623="","",IFERROR(INDEX(Prices[Current Price],MATCH($A623,Prices[Key],0)),0))</f>
        <v/>
      </c>
      <c r="I623" s="289" t="str">
        <f>IF($A623="","",IFERROR(INDEX(Prices[FX to SGD],MATCH($A623,Prices[Key],0)),1))</f>
        <v/>
      </c>
      <c r="J623" s="287" t="str">
        <f t="shared" si="84"/>
        <v/>
      </c>
      <c r="K623" s="287" t="str">
        <f t="shared" si="85"/>
        <v/>
      </c>
      <c r="L623" s="287" t="str">
        <f t="shared" si="86"/>
        <v/>
      </c>
      <c r="M623" s="290" t="str">
        <f t="shared" si="87"/>
        <v/>
      </c>
      <c r="N623" s="243" t="str">
        <f>IF($A623="","",IF(ABS(E623)&gt;0.000001,COUNT($N$1:N622)+1,""))</f>
        <v/>
      </c>
      <c r="O623" s="291" t="str">
        <f>IF($A623="","",SUMIFS(Transactions!$H$2:$H$1001,Transactions!$J$2:$J$1001,$A623,Transactions!$A$2:$A$1001,2)*$I623)</f>
        <v/>
      </c>
      <c r="P623" s="291" t="str">
        <f t="shared" si="88"/>
        <v/>
      </c>
      <c r="Q623" s="292" t="str">
        <f t="shared" si="89"/>
        <v/>
      </c>
    </row>
    <row r="624" spans="1:17" ht="15" customHeight="1" x14ac:dyDescent="0.2">
      <c r="A624" s="243" t="str">
        <f>IFERROR(INDEX(Txn[Key],MATCH(0,INDEX(COUNTIF($A$1:A623,Txn[Key])+(Txn[Key]=""),0),0)),"")</f>
        <v/>
      </c>
      <c r="B624" s="243" t="str">
        <f t="shared" si="81"/>
        <v/>
      </c>
      <c r="C624" s="243" t="str">
        <f t="shared" si="82"/>
        <v/>
      </c>
      <c r="D624" s="243" t="str">
        <f t="shared" si="83"/>
        <v/>
      </c>
      <c r="E624" s="265" t="str">
        <f>IF($A624="","",SUMIFS(Txn[Signed Units],Txn[Key],$A624))</f>
        <v/>
      </c>
      <c r="F624" s="287" t="str">
        <f>IF($A624="","",SUMIFS(Txn[Buy Cost],Txn[Key],$A624))</f>
        <v/>
      </c>
      <c r="G624" s="287" t="str">
        <f>IF($A624="","",SUMIFS(Txn[Sell Proceeds],Txn[Key],$A624))</f>
        <v/>
      </c>
      <c r="H624" s="288" t="str">
        <f>IF($A624="","",IFERROR(INDEX(Prices[Current Price],MATCH($A624,Prices[Key],0)),0))</f>
        <v/>
      </c>
      <c r="I624" s="289" t="str">
        <f>IF($A624="","",IFERROR(INDEX(Prices[FX to SGD],MATCH($A624,Prices[Key],0)),1))</f>
        <v/>
      </c>
      <c r="J624" s="287" t="str">
        <f t="shared" si="84"/>
        <v/>
      </c>
      <c r="K624" s="287" t="str">
        <f t="shared" si="85"/>
        <v/>
      </c>
      <c r="L624" s="287" t="str">
        <f t="shared" si="86"/>
        <v/>
      </c>
      <c r="M624" s="290" t="str">
        <f t="shared" si="87"/>
        <v/>
      </c>
      <c r="N624" s="243" t="str">
        <f>IF($A624="","",IF(ABS(E624)&gt;0.000001,COUNT($N$1:N623)+1,""))</f>
        <v/>
      </c>
      <c r="O624" s="291" t="str">
        <f>IF($A624="","",SUMIFS(Transactions!$H$2:$H$1001,Transactions!$J$2:$J$1001,$A624,Transactions!$A$2:$A$1001,2)*$I624)</f>
        <v/>
      </c>
      <c r="P624" s="291" t="str">
        <f t="shared" si="88"/>
        <v/>
      </c>
      <c r="Q624" s="292" t="str">
        <f t="shared" si="89"/>
        <v/>
      </c>
    </row>
    <row r="625" spans="1:17" ht="15" customHeight="1" x14ac:dyDescent="0.2">
      <c r="A625" s="243" t="str">
        <f>IFERROR(INDEX(Txn[Key],MATCH(0,INDEX(COUNTIF($A$1:A624,Txn[Key])+(Txn[Key]=""),0),0)),"")</f>
        <v/>
      </c>
      <c r="B625" s="243" t="str">
        <f t="shared" si="81"/>
        <v/>
      </c>
      <c r="C625" s="243" t="str">
        <f t="shared" si="82"/>
        <v/>
      </c>
      <c r="D625" s="243" t="str">
        <f t="shared" si="83"/>
        <v/>
      </c>
      <c r="E625" s="265" t="str">
        <f>IF($A625="","",SUMIFS(Txn[Signed Units],Txn[Key],$A625))</f>
        <v/>
      </c>
      <c r="F625" s="287" t="str">
        <f>IF($A625="","",SUMIFS(Txn[Buy Cost],Txn[Key],$A625))</f>
        <v/>
      </c>
      <c r="G625" s="287" t="str">
        <f>IF($A625="","",SUMIFS(Txn[Sell Proceeds],Txn[Key],$A625))</f>
        <v/>
      </c>
      <c r="H625" s="288" t="str">
        <f>IF($A625="","",IFERROR(INDEX(Prices[Current Price],MATCH($A625,Prices[Key],0)),0))</f>
        <v/>
      </c>
      <c r="I625" s="289" t="str">
        <f>IF($A625="","",IFERROR(INDEX(Prices[FX to SGD],MATCH($A625,Prices[Key],0)),1))</f>
        <v/>
      </c>
      <c r="J625" s="287" t="str">
        <f t="shared" si="84"/>
        <v/>
      </c>
      <c r="K625" s="287" t="str">
        <f t="shared" si="85"/>
        <v/>
      </c>
      <c r="L625" s="287" t="str">
        <f t="shared" si="86"/>
        <v/>
      </c>
      <c r="M625" s="290" t="str">
        <f t="shared" si="87"/>
        <v/>
      </c>
      <c r="N625" s="243" t="str">
        <f>IF($A625="","",IF(ABS(E625)&gt;0.000001,COUNT($N$1:N624)+1,""))</f>
        <v/>
      </c>
      <c r="O625" s="291" t="str">
        <f>IF($A625="","",SUMIFS(Transactions!$H$2:$H$1001,Transactions!$J$2:$J$1001,$A625,Transactions!$A$2:$A$1001,2)*$I625)</f>
        <v/>
      </c>
      <c r="P625" s="291" t="str">
        <f t="shared" si="88"/>
        <v/>
      </c>
      <c r="Q625" s="292" t="str">
        <f t="shared" si="89"/>
        <v/>
      </c>
    </row>
    <row r="626" spans="1:17" ht="15" customHeight="1" x14ac:dyDescent="0.2">
      <c r="A626" s="243" t="str">
        <f>IFERROR(INDEX(Txn[Key],MATCH(0,INDEX(COUNTIF($A$1:A625,Txn[Key])+(Txn[Key]=""),0),0)),"")</f>
        <v/>
      </c>
      <c r="B626" s="243" t="str">
        <f t="shared" si="81"/>
        <v/>
      </c>
      <c r="C626" s="243" t="str">
        <f t="shared" si="82"/>
        <v/>
      </c>
      <c r="D626" s="243" t="str">
        <f t="shared" si="83"/>
        <v/>
      </c>
      <c r="E626" s="265" t="str">
        <f>IF($A626="","",SUMIFS(Txn[Signed Units],Txn[Key],$A626))</f>
        <v/>
      </c>
      <c r="F626" s="287" t="str">
        <f>IF($A626="","",SUMIFS(Txn[Buy Cost],Txn[Key],$A626))</f>
        <v/>
      </c>
      <c r="G626" s="287" t="str">
        <f>IF($A626="","",SUMIFS(Txn[Sell Proceeds],Txn[Key],$A626))</f>
        <v/>
      </c>
      <c r="H626" s="288" t="str">
        <f>IF($A626="","",IFERROR(INDEX(Prices[Current Price],MATCH($A626,Prices[Key],0)),0))</f>
        <v/>
      </c>
      <c r="I626" s="289" t="str">
        <f>IF($A626="","",IFERROR(INDEX(Prices[FX to SGD],MATCH($A626,Prices[Key],0)),1))</f>
        <v/>
      </c>
      <c r="J626" s="287" t="str">
        <f t="shared" si="84"/>
        <v/>
      </c>
      <c r="K626" s="287" t="str">
        <f t="shared" si="85"/>
        <v/>
      </c>
      <c r="L626" s="287" t="str">
        <f t="shared" si="86"/>
        <v/>
      </c>
      <c r="M626" s="290" t="str">
        <f t="shared" si="87"/>
        <v/>
      </c>
      <c r="N626" s="243" t="str">
        <f>IF($A626="","",IF(ABS(E626)&gt;0.000001,COUNT($N$1:N625)+1,""))</f>
        <v/>
      </c>
      <c r="O626" s="291" t="str">
        <f>IF($A626="","",SUMIFS(Transactions!$H$2:$H$1001,Transactions!$J$2:$J$1001,$A626,Transactions!$A$2:$A$1001,2)*$I626)</f>
        <v/>
      </c>
      <c r="P626" s="291" t="str">
        <f t="shared" si="88"/>
        <v/>
      </c>
      <c r="Q626" s="292" t="str">
        <f t="shared" si="89"/>
        <v/>
      </c>
    </row>
    <row r="627" spans="1:17" ht="15" customHeight="1" x14ac:dyDescent="0.2">
      <c r="A627" s="243" t="str">
        <f>IFERROR(INDEX(Txn[Key],MATCH(0,INDEX(COUNTIF($A$1:A626,Txn[Key])+(Txn[Key]=""),0),0)),"")</f>
        <v/>
      </c>
      <c r="B627" s="243" t="str">
        <f t="shared" si="81"/>
        <v/>
      </c>
      <c r="C627" s="243" t="str">
        <f t="shared" si="82"/>
        <v/>
      </c>
      <c r="D627" s="243" t="str">
        <f t="shared" si="83"/>
        <v/>
      </c>
      <c r="E627" s="265" t="str">
        <f>IF($A627="","",SUMIFS(Txn[Signed Units],Txn[Key],$A627))</f>
        <v/>
      </c>
      <c r="F627" s="287" t="str">
        <f>IF($A627="","",SUMIFS(Txn[Buy Cost],Txn[Key],$A627))</f>
        <v/>
      </c>
      <c r="G627" s="287" t="str">
        <f>IF($A627="","",SUMIFS(Txn[Sell Proceeds],Txn[Key],$A627))</f>
        <v/>
      </c>
      <c r="H627" s="288" t="str">
        <f>IF($A627="","",IFERROR(INDEX(Prices[Current Price],MATCH($A627,Prices[Key],0)),0))</f>
        <v/>
      </c>
      <c r="I627" s="289" t="str">
        <f>IF($A627="","",IFERROR(INDEX(Prices[FX to SGD],MATCH($A627,Prices[Key],0)),1))</f>
        <v/>
      </c>
      <c r="J627" s="287" t="str">
        <f t="shared" si="84"/>
        <v/>
      </c>
      <c r="K627" s="287" t="str">
        <f t="shared" si="85"/>
        <v/>
      </c>
      <c r="L627" s="287" t="str">
        <f t="shared" si="86"/>
        <v/>
      </c>
      <c r="M627" s="290" t="str">
        <f t="shared" si="87"/>
        <v/>
      </c>
      <c r="N627" s="243" t="str">
        <f>IF($A627="","",IF(ABS(E627)&gt;0.000001,COUNT($N$1:N626)+1,""))</f>
        <v/>
      </c>
      <c r="O627" s="291" t="str">
        <f>IF($A627="","",SUMIFS(Transactions!$H$2:$H$1001,Transactions!$J$2:$J$1001,$A627,Transactions!$A$2:$A$1001,2)*$I627)</f>
        <v/>
      </c>
      <c r="P627" s="291" t="str">
        <f t="shared" si="88"/>
        <v/>
      </c>
      <c r="Q627" s="292" t="str">
        <f t="shared" si="89"/>
        <v/>
      </c>
    </row>
    <row r="628" spans="1:17" ht="15" customHeight="1" x14ac:dyDescent="0.2">
      <c r="A628" s="243" t="str">
        <f>IFERROR(INDEX(Txn[Key],MATCH(0,INDEX(COUNTIF($A$1:A627,Txn[Key])+(Txn[Key]=""),0),0)),"")</f>
        <v/>
      </c>
      <c r="B628" s="243" t="str">
        <f t="shared" si="81"/>
        <v/>
      </c>
      <c r="C628" s="243" t="str">
        <f t="shared" si="82"/>
        <v/>
      </c>
      <c r="D628" s="243" t="str">
        <f t="shared" si="83"/>
        <v/>
      </c>
      <c r="E628" s="265" t="str">
        <f>IF($A628="","",SUMIFS(Txn[Signed Units],Txn[Key],$A628))</f>
        <v/>
      </c>
      <c r="F628" s="287" t="str">
        <f>IF($A628="","",SUMIFS(Txn[Buy Cost],Txn[Key],$A628))</f>
        <v/>
      </c>
      <c r="G628" s="287" t="str">
        <f>IF($A628="","",SUMIFS(Txn[Sell Proceeds],Txn[Key],$A628))</f>
        <v/>
      </c>
      <c r="H628" s="288" t="str">
        <f>IF($A628="","",IFERROR(INDEX(Prices[Current Price],MATCH($A628,Prices[Key],0)),0))</f>
        <v/>
      </c>
      <c r="I628" s="289" t="str">
        <f>IF($A628="","",IFERROR(INDEX(Prices[FX to SGD],MATCH($A628,Prices[Key],0)),1))</f>
        <v/>
      </c>
      <c r="J628" s="287" t="str">
        <f t="shared" si="84"/>
        <v/>
      </c>
      <c r="K628" s="287" t="str">
        <f t="shared" si="85"/>
        <v/>
      </c>
      <c r="L628" s="287" t="str">
        <f t="shared" si="86"/>
        <v/>
      </c>
      <c r="M628" s="290" t="str">
        <f t="shared" si="87"/>
        <v/>
      </c>
      <c r="N628" s="243" t="str">
        <f>IF($A628="","",IF(ABS(E628)&gt;0.000001,COUNT($N$1:N627)+1,""))</f>
        <v/>
      </c>
      <c r="O628" s="291" t="str">
        <f>IF($A628="","",SUMIFS(Transactions!$H$2:$H$1001,Transactions!$J$2:$J$1001,$A628,Transactions!$A$2:$A$1001,2)*$I628)</f>
        <v/>
      </c>
      <c r="P628" s="291" t="str">
        <f t="shared" si="88"/>
        <v/>
      </c>
      <c r="Q628" s="292" t="str">
        <f t="shared" si="89"/>
        <v/>
      </c>
    </row>
    <row r="629" spans="1:17" ht="15" customHeight="1" x14ac:dyDescent="0.2">
      <c r="A629" s="243" t="str">
        <f>IFERROR(INDEX(Txn[Key],MATCH(0,INDEX(COUNTIF($A$1:A628,Txn[Key])+(Txn[Key]=""),0),0)),"")</f>
        <v/>
      </c>
      <c r="B629" s="243" t="str">
        <f t="shared" si="81"/>
        <v/>
      </c>
      <c r="C629" s="243" t="str">
        <f t="shared" si="82"/>
        <v/>
      </c>
      <c r="D629" s="243" t="str">
        <f t="shared" si="83"/>
        <v/>
      </c>
      <c r="E629" s="265" t="str">
        <f>IF($A629="","",SUMIFS(Txn[Signed Units],Txn[Key],$A629))</f>
        <v/>
      </c>
      <c r="F629" s="287" t="str">
        <f>IF($A629="","",SUMIFS(Txn[Buy Cost],Txn[Key],$A629))</f>
        <v/>
      </c>
      <c r="G629" s="287" t="str">
        <f>IF($A629="","",SUMIFS(Txn[Sell Proceeds],Txn[Key],$A629))</f>
        <v/>
      </c>
      <c r="H629" s="288" t="str">
        <f>IF($A629="","",IFERROR(INDEX(Prices[Current Price],MATCH($A629,Prices[Key],0)),0))</f>
        <v/>
      </c>
      <c r="I629" s="289" t="str">
        <f>IF($A629="","",IFERROR(INDEX(Prices[FX to SGD],MATCH($A629,Prices[Key],0)),1))</f>
        <v/>
      </c>
      <c r="J629" s="287" t="str">
        <f t="shared" si="84"/>
        <v/>
      </c>
      <c r="K629" s="287" t="str">
        <f t="shared" si="85"/>
        <v/>
      </c>
      <c r="L629" s="287" t="str">
        <f t="shared" si="86"/>
        <v/>
      </c>
      <c r="M629" s="290" t="str">
        <f t="shared" si="87"/>
        <v/>
      </c>
      <c r="N629" s="243" t="str">
        <f>IF($A629="","",IF(ABS(E629)&gt;0.000001,COUNT($N$1:N628)+1,""))</f>
        <v/>
      </c>
      <c r="O629" s="291" t="str">
        <f>IF($A629="","",SUMIFS(Transactions!$H$2:$H$1001,Transactions!$J$2:$J$1001,$A629,Transactions!$A$2:$A$1001,2)*$I629)</f>
        <v/>
      </c>
      <c r="P629" s="291" t="str">
        <f t="shared" si="88"/>
        <v/>
      </c>
      <c r="Q629" s="292" t="str">
        <f t="shared" si="89"/>
        <v/>
      </c>
    </row>
    <row r="630" spans="1:17" ht="15" customHeight="1" x14ac:dyDescent="0.2">
      <c r="A630" s="243" t="str">
        <f>IFERROR(INDEX(Txn[Key],MATCH(0,INDEX(COUNTIF($A$1:A629,Txn[Key])+(Txn[Key]=""),0),0)),"")</f>
        <v/>
      </c>
      <c r="B630" s="243" t="str">
        <f t="shared" si="81"/>
        <v/>
      </c>
      <c r="C630" s="243" t="str">
        <f t="shared" si="82"/>
        <v/>
      </c>
      <c r="D630" s="243" t="str">
        <f t="shared" si="83"/>
        <v/>
      </c>
      <c r="E630" s="265" t="str">
        <f>IF($A630="","",SUMIFS(Txn[Signed Units],Txn[Key],$A630))</f>
        <v/>
      </c>
      <c r="F630" s="287" t="str">
        <f>IF($A630="","",SUMIFS(Txn[Buy Cost],Txn[Key],$A630))</f>
        <v/>
      </c>
      <c r="G630" s="287" t="str">
        <f>IF($A630="","",SUMIFS(Txn[Sell Proceeds],Txn[Key],$A630))</f>
        <v/>
      </c>
      <c r="H630" s="288" t="str">
        <f>IF($A630="","",IFERROR(INDEX(Prices[Current Price],MATCH($A630,Prices[Key],0)),0))</f>
        <v/>
      </c>
      <c r="I630" s="289" t="str">
        <f>IF($A630="","",IFERROR(INDEX(Prices[FX to SGD],MATCH($A630,Prices[Key],0)),1))</f>
        <v/>
      </c>
      <c r="J630" s="287" t="str">
        <f t="shared" si="84"/>
        <v/>
      </c>
      <c r="K630" s="287" t="str">
        <f t="shared" si="85"/>
        <v/>
      </c>
      <c r="L630" s="287" t="str">
        <f t="shared" si="86"/>
        <v/>
      </c>
      <c r="M630" s="290" t="str">
        <f t="shared" si="87"/>
        <v/>
      </c>
      <c r="N630" s="243" t="str">
        <f>IF($A630="","",IF(ABS(E630)&gt;0.000001,COUNT($N$1:N629)+1,""))</f>
        <v/>
      </c>
      <c r="O630" s="291" t="str">
        <f>IF($A630="","",SUMIFS(Transactions!$H$2:$H$1001,Transactions!$J$2:$J$1001,$A630,Transactions!$A$2:$A$1001,2)*$I630)</f>
        <v/>
      </c>
      <c r="P630" s="291" t="str">
        <f t="shared" si="88"/>
        <v/>
      </c>
      <c r="Q630" s="292" t="str">
        <f t="shared" si="89"/>
        <v/>
      </c>
    </row>
    <row r="631" spans="1:17" ht="15" customHeight="1" x14ac:dyDescent="0.2">
      <c r="A631" s="243" t="str">
        <f>IFERROR(INDEX(Txn[Key],MATCH(0,INDEX(COUNTIF($A$1:A630,Txn[Key])+(Txn[Key]=""),0),0)),"")</f>
        <v/>
      </c>
      <c r="B631" s="243" t="str">
        <f t="shared" si="81"/>
        <v/>
      </c>
      <c r="C631" s="243" t="str">
        <f t="shared" si="82"/>
        <v/>
      </c>
      <c r="D631" s="243" t="str">
        <f t="shared" si="83"/>
        <v/>
      </c>
      <c r="E631" s="265" t="str">
        <f>IF($A631="","",SUMIFS(Txn[Signed Units],Txn[Key],$A631))</f>
        <v/>
      </c>
      <c r="F631" s="287" t="str">
        <f>IF($A631="","",SUMIFS(Txn[Buy Cost],Txn[Key],$A631))</f>
        <v/>
      </c>
      <c r="G631" s="287" t="str">
        <f>IF($A631="","",SUMIFS(Txn[Sell Proceeds],Txn[Key],$A631))</f>
        <v/>
      </c>
      <c r="H631" s="288" t="str">
        <f>IF($A631="","",IFERROR(INDEX(Prices[Current Price],MATCH($A631,Prices[Key],0)),0))</f>
        <v/>
      </c>
      <c r="I631" s="289" t="str">
        <f>IF($A631="","",IFERROR(INDEX(Prices[FX to SGD],MATCH($A631,Prices[Key],0)),1))</f>
        <v/>
      </c>
      <c r="J631" s="287" t="str">
        <f t="shared" si="84"/>
        <v/>
      </c>
      <c r="K631" s="287" t="str">
        <f t="shared" si="85"/>
        <v/>
      </c>
      <c r="L631" s="287" t="str">
        <f t="shared" si="86"/>
        <v/>
      </c>
      <c r="M631" s="290" t="str">
        <f t="shared" si="87"/>
        <v/>
      </c>
      <c r="N631" s="243" t="str">
        <f>IF($A631="","",IF(ABS(E631)&gt;0.000001,COUNT($N$1:N630)+1,""))</f>
        <v/>
      </c>
      <c r="O631" s="291" t="str">
        <f>IF($A631="","",SUMIFS(Transactions!$H$2:$H$1001,Transactions!$J$2:$J$1001,$A631,Transactions!$A$2:$A$1001,2)*$I631)</f>
        <v/>
      </c>
      <c r="P631" s="291" t="str">
        <f t="shared" si="88"/>
        <v/>
      </c>
      <c r="Q631" s="292" t="str">
        <f t="shared" si="89"/>
        <v/>
      </c>
    </row>
    <row r="632" spans="1:17" ht="15" customHeight="1" x14ac:dyDescent="0.2">
      <c r="A632" s="243" t="str">
        <f>IFERROR(INDEX(Txn[Key],MATCH(0,INDEX(COUNTIF($A$1:A631,Txn[Key])+(Txn[Key]=""),0),0)),"")</f>
        <v/>
      </c>
      <c r="B632" s="243" t="str">
        <f t="shared" si="81"/>
        <v/>
      </c>
      <c r="C632" s="243" t="str">
        <f t="shared" si="82"/>
        <v/>
      </c>
      <c r="D632" s="243" t="str">
        <f t="shared" si="83"/>
        <v/>
      </c>
      <c r="E632" s="265" t="str">
        <f>IF($A632="","",SUMIFS(Txn[Signed Units],Txn[Key],$A632))</f>
        <v/>
      </c>
      <c r="F632" s="287" t="str">
        <f>IF($A632="","",SUMIFS(Txn[Buy Cost],Txn[Key],$A632))</f>
        <v/>
      </c>
      <c r="G632" s="287" t="str">
        <f>IF($A632="","",SUMIFS(Txn[Sell Proceeds],Txn[Key],$A632))</f>
        <v/>
      </c>
      <c r="H632" s="288" t="str">
        <f>IF($A632="","",IFERROR(INDEX(Prices[Current Price],MATCH($A632,Prices[Key],0)),0))</f>
        <v/>
      </c>
      <c r="I632" s="289" t="str">
        <f>IF($A632="","",IFERROR(INDEX(Prices[FX to SGD],MATCH($A632,Prices[Key],0)),1))</f>
        <v/>
      </c>
      <c r="J632" s="287" t="str">
        <f t="shared" si="84"/>
        <v/>
      </c>
      <c r="K632" s="287" t="str">
        <f t="shared" si="85"/>
        <v/>
      </c>
      <c r="L632" s="287" t="str">
        <f t="shared" si="86"/>
        <v/>
      </c>
      <c r="M632" s="290" t="str">
        <f t="shared" si="87"/>
        <v/>
      </c>
      <c r="N632" s="243" t="str">
        <f>IF($A632="","",IF(ABS(E632)&gt;0.000001,COUNT($N$1:N631)+1,""))</f>
        <v/>
      </c>
      <c r="O632" s="291" t="str">
        <f>IF($A632="","",SUMIFS(Transactions!$H$2:$H$1001,Transactions!$J$2:$J$1001,$A632,Transactions!$A$2:$A$1001,2)*$I632)</f>
        <v/>
      </c>
      <c r="P632" s="291" t="str">
        <f t="shared" si="88"/>
        <v/>
      </c>
      <c r="Q632" s="292" t="str">
        <f t="shared" si="89"/>
        <v/>
      </c>
    </row>
    <row r="633" spans="1:17" ht="15" customHeight="1" x14ac:dyDescent="0.2">
      <c r="A633" s="243" t="str">
        <f>IFERROR(INDEX(Txn[Key],MATCH(0,INDEX(COUNTIF($A$1:A632,Txn[Key])+(Txn[Key]=""),0),0)),"")</f>
        <v/>
      </c>
      <c r="B633" s="243" t="str">
        <f t="shared" si="81"/>
        <v/>
      </c>
      <c r="C633" s="243" t="str">
        <f t="shared" si="82"/>
        <v/>
      </c>
      <c r="D633" s="243" t="str">
        <f t="shared" si="83"/>
        <v/>
      </c>
      <c r="E633" s="265" t="str">
        <f>IF($A633="","",SUMIFS(Txn[Signed Units],Txn[Key],$A633))</f>
        <v/>
      </c>
      <c r="F633" s="287" t="str">
        <f>IF($A633="","",SUMIFS(Txn[Buy Cost],Txn[Key],$A633))</f>
        <v/>
      </c>
      <c r="G633" s="287" t="str">
        <f>IF($A633="","",SUMIFS(Txn[Sell Proceeds],Txn[Key],$A633))</f>
        <v/>
      </c>
      <c r="H633" s="288" t="str">
        <f>IF($A633="","",IFERROR(INDEX(Prices[Current Price],MATCH($A633,Prices[Key],0)),0))</f>
        <v/>
      </c>
      <c r="I633" s="289" t="str">
        <f>IF($A633="","",IFERROR(INDEX(Prices[FX to SGD],MATCH($A633,Prices[Key],0)),1))</f>
        <v/>
      </c>
      <c r="J633" s="287" t="str">
        <f t="shared" si="84"/>
        <v/>
      </c>
      <c r="K633" s="287" t="str">
        <f t="shared" si="85"/>
        <v/>
      </c>
      <c r="L633" s="287" t="str">
        <f t="shared" si="86"/>
        <v/>
      </c>
      <c r="M633" s="290" t="str">
        <f t="shared" si="87"/>
        <v/>
      </c>
      <c r="N633" s="243" t="str">
        <f>IF($A633="","",IF(ABS(E633)&gt;0.000001,COUNT($N$1:N632)+1,""))</f>
        <v/>
      </c>
      <c r="O633" s="291" t="str">
        <f>IF($A633="","",SUMIFS(Transactions!$H$2:$H$1001,Transactions!$J$2:$J$1001,$A633,Transactions!$A$2:$A$1001,2)*$I633)</f>
        <v/>
      </c>
      <c r="P633" s="291" t="str">
        <f t="shared" si="88"/>
        <v/>
      </c>
      <c r="Q633" s="292" t="str">
        <f t="shared" si="89"/>
        <v/>
      </c>
    </row>
    <row r="634" spans="1:17" ht="15" customHeight="1" x14ac:dyDescent="0.2">
      <c r="A634" s="243" t="str">
        <f>IFERROR(INDEX(Txn[Key],MATCH(0,INDEX(COUNTIF($A$1:A633,Txn[Key])+(Txn[Key]=""),0),0)),"")</f>
        <v/>
      </c>
      <c r="B634" s="243" t="str">
        <f t="shared" si="81"/>
        <v/>
      </c>
      <c r="C634" s="243" t="str">
        <f t="shared" si="82"/>
        <v/>
      </c>
      <c r="D634" s="243" t="str">
        <f t="shared" si="83"/>
        <v/>
      </c>
      <c r="E634" s="265" t="str">
        <f>IF($A634="","",SUMIFS(Txn[Signed Units],Txn[Key],$A634))</f>
        <v/>
      </c>
      <c r="F634" s="287" t="str">
        <f>IF($A634="","",SUMIFS(Txn[Buy Cost],Txn[Key],$A634))</f>
        <v/>
      </c>
      <c r="G634" s="287" t="str">
        <f>IF($A634="","",SUMIFS(Txn[Sell Proceeds],Txn[Key],$A634))</f>
        <v/>
      </c>
      <c r="H634" s="288" t="str">
        <f>IF($A634="","",IFERROR(INDEX(Prices[Current Price],MATCH($A634,Prices[Key],0)),0))</f>
        <v/>
      </c>
      <c r="I634" s="289" t="str">
        <f>IF($A634="","",IFERROR(INDEX(Prices[FX to SGD],MATCH($A634,Prices[Key],0)),1))</f>
        <v/>
      </c>
      <c r="J634" s="287" t="str">
        <f t="shared" si="84"/>
        <v/>
      </c>
      <c r="K634" s="287" t="str">
        <f t="shared" si="85"/>
        <v/>
      </c>
      <c r="L634" s="287" t="str">
        <f t="shared" si="86"/>
        <v/>
      </c>
      <c r="M634" s="290" t="str">
        <f t="shared" si="87"/>
        <v/>
      </c>
      <c r="N634" s="243" t="str">
        <f>IF($A634="","",IF(ABS(E634)&gt;0.000001,COUNT($N$1:N633)+1,""))</f>
        <v/>
      </c>
      <c r="O634" s="291" t="str">
        <f>IF($A634="","",SUMIFS(Transactions!$H$2:$H$1001,Transactions!$J$2:$J$1001,$A634,Transactions!$A$2:$A$1001,2)*$I634)</f>
        <v/>
      </c>
      <c r="P634" s="291" t="str">
        <f t="shared" si="88"/>
        <v/>
      </c>
      <c r="Q634" s="292" t="str">
        <f t="shared" si="89"/>
        <v/>
      </c>
    </row>
    <row r="635" spans="1:17" ht="15" customHeight="1" x14ac:dyDescent="0.2">
      <c r="A635" s="243" t="str">
        <f>IFERROR(INDEX(Txn[Key],MATCH(0,INDEX(COUNTIF($A$1:A634,Txn[Key])+(Txn[Key]=""),0),0)),"")</f>
        <v/>
      </c>
      <c r="B635" s="243" t="str">
        <f t="shared" si="81"/>
        <v/>
      </c>
      <c r="C635" s="243" t="str">
        <f t="shared" si="82"/>
        <v/>
      </c>
      <c r="D635" s="243" t="str">
        <f t="shared" si="83"/>
        <v/>
      </c>
      <c r="E635" s="265" t="str">
        <f>IF($A635="","",SUMIFS(Txn[Signed Units],Txn[Key],$A635))</f>
        <v/>
      </c>
      <c r="F635" s="287" t="str">
        <f>IF($A635="","",SUMIFS(Txn[Buy Cost],Txn[Key],$A635))</f>
        <v/>
      </c>
      <c r="G635" s="287" t="str">
        <f>IF($A635="","",SUMIFS(Txn[Sell Proceeds],Txn[Key],$A635))</f>
        <v/>
      </c>
      <c r="H635" s="288" t="str">
        <f>IF($A635="","",IFERROR(INDEX(Prices[Current Price],MATCH($A635,Prices[Key],0)),0))</f>
        <v/>
      </c>
      <c r="I635" s="289" t="str">
        <f>IF($A635="","",IFERROR(INDEX(Prices[FX to SGD],MATCH($A635,Prices[Key],0)),1))</f>
        <v/>
      </c>
      <c r="J635" s="287" t="str">
        <f t="shared" si="84"/>
        <v/>
      </c>
      <c r="K635" s="287" t="str">
        <f t="shared" si="85"/>
        <v/>
      </c>
      <c r="L635" s="287" t="str">
        <f t="shared" si="86"/>
        <v/>
      </c>
      <c r="M635" s="290" t="str">
        <f t="shared" si="87"/>
        <v/>
      </c>
      <c r="N635" s="243" t="str">
        <f>IF($A635="","",IF(ABS(E635)&gt;0.000001,COUNT($N$1:N634)+1,""))</f>
        <v/>
      </c>
      <c r="O635" s="291" t="str">
        <f>IF($A635="","",SUMIFS(Transactions!$H$2:$H$1001,Transactions!$J$2:$J$1001,$A635,Transactions!$A$2:$A$1001,2)*$I635)</f>
        <v/>
      </c>
      <c r="P635" s="291" t="str">
        <f t="shared" si="88"/>
        <v/>
      </c>
      <c r="Q635" s="292" t="str">
        <f t="shared" si="89"/>
        <v/>
      </c>
    </row>
    <row r="636" spans="1:17" ht="15" customHeight="1" x14ac:dyDescent="0.2">
      <c r="A636" s="243" t="str">
        <f>IFERROR(INDEX(Txn[Key],MATCH(0,INDEX(COUNTIF($A$1:A635,Txn[Key])+(Txn[Key]=""),0),0)),"")</f>
        <v/>
      </c>
      <c r="B636" s="243" t="str">
        <f t="shared" si="81"/>
        <v/>
      </c>
      <c r="C636" s="243" t="str">
        <f t="shared" si="82"/>
        <v/>
      </c>
      <c r="D636" s="243" t="str">
        <f t="shared" si="83"/>
        <v/>
      </c>
      <c r="E636" s="265" t="str">
        <f>IF($A636="","",SUMIFS(Txn[Signed Units],Txn[Key],$A636))</f>
        <v/>
      </c>
      <c r="F636" s="287" t="str">
        <f>IF($A636="","",SUMIFS(Txn[Buy Cost],Txn[Key],$A636))</f>
        <v/>
      </c>
      <c r="G636" s="287" t="str">
        <f>IF($A636="","",SUMIFS(Txn[Sell Proceeds],Txn[Key],$A636))</f>
        <v/>
      </c>
      <c r="H636" s="288" t="str">
        <f>IF($A636="","",IFERROR(INDEX(Prices[Current Price],MATCH($A636,Prices[Key],0)),0))</f>
        <v/>
      </c>
      <c r="I636" s="289" t="str">
        <f>IF($A636="","",IFERROR(INDEX(Prices[FX to SGD],MATCH($A636,Prices[Key],0)),1))</f>
        <v/>
      </c>
      <c r="J636" s="287" t="str">
        <f t="shared" si="84"/>
        <v/>
      </c>
      <c r="K636" s="287" t="str">
        <f t="shared" si="85"/>
        <v/>
      </c>
      <c r="L636" s="287" t="str">
        <f t="shared" si="86"/>
        <v/>
      </c>
      <c r="M636" s="290" t="str">
        <f t="shared" si="87"/>
        <v/>
      </c>
      <c r="N636" s="243" t="str">
        <f>IF($A636="","",IF(ABS(E636)&gt;0.000001,COUNT($N$1:N635)+1,""))</f>
        <v/>
      </c>
      <c r="O636" s="291" t="str">
        <f>IF($A636="","",SUMIFS(Transactions!$H$2:$H$1001,Transactions!$J$2:$J$1001,$A636,Transactions!$A$2:$A$1001,2)*$I636)</f>
        <v/>
      </c>
      <c r="P636" s="291" t="str">
        <f t="shared" si="88"/>
        <v/>
      </c>
      <c r="Q636" s="292" t="str">
        <f t="shared" si="89"/>
        <v/>
      </c>
    </row>
    <row r="637" spans="1:17" ht="15" customHeight="1" x14ac:dyDescent="0.2">
      <c r="A637" s="243" t="str">
        <f>IFERROR(INDEX(Txn[Key],MATCH(0,INDEX(COUNTIF($A$1:A636,Txn[Key])+(Txn[Key]=""),0),0)),"")</f>
        <v/>
      </c>
      <c r="B637" s="243" t="str">
        <f t="shared" si="81"/>
        <v/>
      </c>
      <c r="C637" s="243" t="str">
        <f t="shared" si="82"/>
        <v/>
      </c>
      <c r="D637" s="243" t="str">
        <f t="shared" si="83"/>
        <v/>
      </c>
      <c r="E637" s="265" t="str">
        <f>IF($A637="","",SUMIFS(Txn[Signed Units],Txn[Key],$A637))</f>
        <v/>
      </c>
      <c r="F637" s="287" t="str">
        <f>IF($A637="","",SUMIFS(Txn[Buy Cost],Txn[Key],$A637))</f>
        <v/>
      </c>
      <c r="G637" s="287" t="str">
        <f>IF($A637="","",SUMIFS(Txn[Sell Proceeds],Txn[Key],$A637))</f>
        <v/>
      </c>
      <c r="H637" s="288" t="str">
        <f>IF($A637="","",IFERROR(INDEX(Prices[Current Price],MATCH($A637,Prices[Key],0)),0))</f>
        <v/>
      </c>
      <c r="I637" s="289" t="str">
        <f>IF($A637="","",IFERROR(INDEX(Prices[FX to SGD],MATCH($A637,Prices[Key],0)),1))</f>
        <v/>
      </c>
      <c r="J637" s="287" t="str">
        <f t="shared" si="84"/>
        <v/>
      </c>
      <c r="K637" s="287" t="str">
        <f t="shared" si="85"/>
        <v/>
      </c>
      <c r="L637" s="287" t="str">
        <f t="shared" si="86"/>
        <v/>
      </c>
      <c r="M637" s="290" t="str">
        <f t="shared" si="87"/>
        <v/>
      </c>
      <c r="N637" s="243" t="str">
        <f>IF($A637="","",IF(ABS(E637)&gt;0.000001,COUNT($N$1:N636)+1,""))</f>
        <v/>
      </c>
      <c r="O637" s="291" t="str">
        <f>IF($A637="","",SUMIFS(Transactions!$H$2:$H$1001,Transactions!$J$2:$J$1001,$A637,Transactions!$A$2:$A$1001,2)*$I637)</f>
        <v/>
      </c>
      <c r="P637" s="291" t="str">
        <f t="shared" si="88"/>
        <v/>
      </c>
      <c r="Q637" s="292" t="str">
        <f t="shared" si="89"/>
        <v/>
      </c>
    </row>
    <row r="638" spans="1:17" ht="15" customHeight="1" x14ac:dyDescent="0.2">
      <c r="A638" s="243" t="str">
        <f>IFERROR(INDEX(Txn[Key],MATCH(0,INDEX(COUNTIF($A$1:A637,Txn[Key])+(Txn[Key]=""),0),0)),"")</f>
        <v/>
      </c>
      <c r="B638" s="243" t="str">
        <f t="shared" si="81"/>
        <v/>
      </c>
      <c r="C638" s="243" t="str">
        <f t="shared" si="82"/>
        <v/>
      </c>
      <c r="D638" s="243" t="str">
        <f t="shared" si="83"/>
        <v/>
      </c>
      <c r="E638" s="265" t="str">
        <f>IF($A638="","",SUMIFS(Txn[Signed Units],Txn[Key],$A638))</f>
        <v/>
      </c>
      <c r="F638" s="287" t="str">
        <f>IF($A638="","",SUMIFS(Txn[Buy Cost],Txn[Key],$A638))</f>
        <v/>
      </c>
      <c r="G638" s="287" t="str">
        <f>IF($A638="","",SUMIFS(Txn[Sell Proceeds],Txn[Key],$A638))</f>
        <v/>
      </c>
      <c r="H638" s="288" t="str">
        <f>IF($A638="","",IFERROR(INDEX(Prices[Current Price],MATCH($A638,Prices[Key],0)),0))</f>
        <v/>
      </c>
      <c r="I638" s="289" t="str">
        <f>IF($A638="","",IFERROR(INDEX(Prices[FX to SGD],MATCH($A638,Prices[Key],0)),1))</f>
        <v/>
      </c>
      <c r="J638" s="287" t="str">
        <f t="shared" si="84"/>
        <v/>
      </c>
      <c r="K638" s="287" t="str">
        <f t="shared" si="85"/>
        <v/>
      </c>
      <c r="L638" s="287" t="str">
        <f t="shared" si="86"/>
        <v/>
      </c>
      <c r="M638" s="290" t="str">
        <f t="shared" si="87"/>
        <v/>
      </c>
      <c r="N638" s="243" t="str">
        <f>IF($A638="","",IF(ABS(E638)&gt;0.000001,COUNT($N$1:N637)+1,""))</f>
        <v/>
      </c>
      <c r="O638" s="291" t="str">
        <f>IF($A638="","",SUMIFS(Transactions!$H$2:$H$1001,Transactions!$J$2:$J$1001,$A638,Transactions!$A$2:$A$1001,2)*$I638)</f>
        <v/>
      </c>
      <c r="P638" s="291" t="str">
        <f t="shared" si="88"/>
        <v/>
      </c>
      <c r="Q638" s="292" t="str">
        <f t="shared" si="89"/>
        <v/>
      </c>
    </row>
    <row r="639" spans="1:17" ht="15" customHeight="1" x14ac:dyDescent="0.2">
      <c r="A639" s="243" t="str">
        <f>IFERROR(INDEX(Txn[Key],MATCH(0,INDEX(COUNTIF($A$1:A638,Txn[Key])+(Txn[Key]=""),0),0)),"")</f>
        <v/>
      </c>
      <c r="B639" s="243" t="str">
        <f t="shared" si="81"/>
        <v/>
      </c>
      <c r="C639" s="243" t="str">
        <f t="shared" si="82"/>
        <v/>
      </c>
      <c r="D639" s="243" t="str">
        <f t="shared" si="83"/>
        <v/>
      </c>
      <c r="E639" s="265" t="str">
        <f>IF($A639="","",SUMIFS(Txn[Signed Units],Txn[Key],$A639))</f>
        <v/>
      </c>
      <c r="F639" s="287" t="str">
        <f>IF($A639="","",SUMIFS(Txn[Buy Cost],Txn[Key],$A639))</f>
        <v/>
      </c>
      <c r="G639" s="287" t="str">
        <f>IF($A639="","",SUMIFS(Txn[Sell Proceeds],Txn[Key],$A639))</f>
        <v/>
      </c>
      <c r="H639" s="288" t="str">
        <f>IF($A639="","",IFERROR(INDEX(Prices[Current Price],MATCH($A639,Prices[Key],0)),0))</f>
        <v/>
      </c>
      <c r="I639" s="289" t="str">
        <f>IF($A639="","",IFERROR(INDEX(Prices[FX to SGD],MATCH($A639,Prices[Key],0)),1))</f>
        <v/>
      </c>
      <c r="J639" s="287" t="str">
        <f t="shared" si="84"/>
        <v/>
      </c>
      <c r="K639" s="287" t="str">
        <f t="shared" si="85"/>
        <v/>
      </c>
      <c r="L639" s="287" t="str">
        <f t="shared" si="86"/>
        <v/>
      </c>
      <c r="M639" s="290" t="str">
        <f t="shared" si="87"/>
        <v/>
      </c>
      <c r="N639" s="243" t="str">
        <f>IF($A639="","",IF(ABS(E639)&gt;0.000001,COUNT($N$1:N638)+1,""))</f>
        <v/>
      </c>
      <c r="O639" s="291" t="str">
        <f>IF($A639="","",SUMIFS(Transactions!$H$2:$H$1001,Transactions!$J$2:$J$1001,$A639,Transactions!$A$2:$A$1001,2)*$I639)</f>
        <v/>
      </c>
      <c r="P639" s="291" t="str">
        <f t="shared" si="88"/>
        <v/>
      </c>
      <c r="Q639" s="292" t="str">
        <f t="shared" si="89"/>
        <v/>
      </c>
    </row>
    <row r="640" spans="1:17" ht="15" customHeight="1" x14ac:dyDescent="0.2">
      <c r="A640" s="243" t="str">
        <f>IFERROR(INDEX(Txn[Key],MATCH(0,INDEX(COUNTIF($A$1:A639,Txn[Key])+(Txn[Key]=""),0),0)),"")</f>
        <v/>
      </c>
      <c r="B640" s="243" t="str">
        <f t="shared" si="81"/>
        <v/>
      </c>
      <c r="C640" s="243" t="str">
        <f t="shared" si="82"/>
        <v/>
      </c>
      <c r="D640" s="243" t="str">
        <f t="shared" si="83"/>
        <v/>
      </c>
      <c r="E640" s="265" t="str">
        <f>IF($A640="","",SUMIFS(Txn[Signed Units],Txn[Key],$A640))</f>
        <v/>
      </c>
      <c r="F640" s="287" t="str">
        <f>IF($A640="","",SUMIFS(Txn[Buy Cost],Txn[Key],$A640))</f>
        <v/>
      </c>
      <c r="G640" s="287" t="str">
        <f>IF($A640="","",SUMIFS(Txn[Sell Proceeds],Txn[Key],$A640))</f>
        <v/>
      </c>
      <c r="H640" s="288" t="str">
        <f>IF($A640="","",IFERROR(INDEX(Prices[Current Price],MATCH($A640,Prices[Key],0)),0))</f>
        <v/>
      </c>
      <c r="I640" s="289" t="str">
        <f>IF($A640="","",IFERROR(INDEX(Prices[FX to SGD],MATCH($A640,Prices[Key],0)),1))</f>
        <v/>
      </c>
      <c r="J640" s="287" t="str">
        <f t="shared" si="84"/>
        <v/>
      </c>
      <c r="K640" s="287" t="str">
        <f t="shared" si="85"/>
        <v/>
      </c>
      <c r="L640" s="287" t="str">
        <f t="shared" si="86"/>
        <v/>
      </c>
      <c r="M640" s="290" t="str">
        <f t="shared" si="87"/>
        <v/>
      </c>
      <c r="N640" s="243" t="str">
        <f>IF($A640="","",IF(ABS(E640)&gt;0.000001,COUNT($N$1:N639)+1,""))</f>
        <v/>
      </c>
      <c r="O640" s="291" t="str">
        <f>IF($A640="","",SUMIFS(Transactions!$H$2:$H$1001,Transactions!$J$2:$J$1001,$A640,Transactions!$A$2:$A$1001,2)*$I640)</f>
        <v/>
      </c>
      <c r="P640" s="291" t="str">
        <f t="shared" si="88"/>
        <v/>
      </c>
      <c r="Q640" s="292" t="str">
        <f t="shared" si="89"/>
        <v/>
      </c>
    </row>
    <row r="641" spans="1:17" ht="15" customHeight="1" x14ac:dyDescent="0.2">
      <c r="A641" s="243" t="str">
        <f>IFERROR(INDEX(Txn[Key],MATCH(0,INDEX(COUNTIF($A$1:A640,Txn[Key])+(Txn[Key]=""),0),0)),"")</f>
        <v/>
      </c>
      <c r="B641" s="243" t="str">
        <f t="shared" si="81"/>
        <v/>
      </c>
      <c r="C641" s="243" t="str">
        <f t="shared" si="82"/>
        <v/>
      </c>
      <c r="D641" s="243" t="str">
        <f t="shared" si="83"/>
        <v/>
      </c>
      <c r="E641" s="265" t="str">
        <f>IF($A641="","",SUMIFS(Txn[Signed Units],Txn[Key],$A641))</f>
        <v/>
      </c>
      <c r="F641" s="287" t="str">
        <f>IF($A641="","",SUMIFS(Txn[Buy Cost],Txn[Key],$A641))</f>
        <v/>
      </c>
      <c r="G641" s="287" t="str">
        <f>IF($A641="","",SUMIFS(Txn[Sell Proceeds],Txn[Key],$A641))</f>
        <v/>
      </c>
      <c r="H641" s="288" t="str">
        <f>IF($A641="","",IFERROR(INDEX(Prices[Current Price],MATCH($A641,Prices[Key],0)),0))</f>
        <v/>
      </c>
      <c r="I641" s="289" t="str">
        <f>IF($A641="","",IFERROR(INDEX(Prices[FX to SGD],MATCH($A641,Prices[Key],0)),1))</f>
        <v/>
      </c>
      <c r="J641" s="287" t="str">
        <f t="shared" si="84"/>
        <v/>
      </c>
      <c r="K641" s="287" t="str">
        <f t="shared" si="85"/>
        <v/>
      </c>
      <c r="L641" s="287" t="str">
        <f t="shared" si="86"/>
        <v/>
      </c>
      <c r="M641" s="290" t="str">
        <f t="shared" si="87"/>
        <v/>
      </c>
      <c r="N641" s="243" t="str">
        <f>IF($A641="","",IF(ABS(E641)&gt;0.000001,COUNT($N$1:N640)+1,""))</f>
        <v/>
      </c>
      <c r="O641" s="291" t="str">
        <f>IF($A641="","",SUMIFS(Transactions!$H$2:$H$1001,Transactions!$J$2:$J$1001,$A641,Transactions!$A$2:$A$1001,2)*$I641)</f>
        <v/>
      </c>
      <c r="P641" s="291" t="str">
        <f t="shared" si="88"/>
        <v/>
      </c>
      <c r="Q641" s="292" t="str">
        <f t="shared" si="89"/>
        <v/>
      </c>
    </row>
    <row r="642" spans="1:17" ht="15" customHeight="1" x14ac:dyDescent="0.2">
      <c r="A642" s="243" t="str">
        <f>IFERROR(INDEX(Txn[Key],MATCH(0,INDEX(COUNTIF($A$1:A641,Txn[Key])+(Txn[Key]=""),0),0)),"")</f>
        <v/>
      </c>
      <c r="B642" s="243" t="str">
        <f t="shared" ref="B642:B705" si="90">IF($A642="","",LEFT($A642,FIND(":",$A642)-1))</f>
        <v/>
      </c>
      <c r="C642" s="243" t="str">
        <f t="shared" ref="C642:C705" si="91">IF($A642="","",MID($A642,FIND(":",$A642)+1,FIND(":",$A642,FIND(":",$A642)+1)-FIND(":",$A642)-1))</f>
        <v/>
      </c>
      <c r="D642" s="243" t="str">
        <f t="shared" ref="D642:D705" si="92">IF($A642="","",RIGHT($A642,LEN($A642)-FIND(":",$A642,FIND(":",$A642)+1)))</f>
        <v/>
      </c>
      <c r="E642" s="265" t="str">
        <f>IF($A642="","",SUMIFS(Txn[Signed Units],Txn[Key],$A642))</f>
        <v/>
      </c>
      <c r="F642" s="287" t="str">
        <f>IF($A642="","",SUMIFS(Txn[Buy Cost],Txn[Key],$A642))</f>
        <v/>
      </c>
      <c r="G642" s="287" t="str">
        <f>IF($A642="","",SUMIFS(Txn[Sell Proceeds],Txn[Key],$A642))</f>
        <v/>
      </c>
      <c r="H642" s="288" t="str">
        <f>IF($A642="","",IFERROR(INDEX(Prices[Current Price],MATCH($A642,Prices[Key],0)),0))</f>
        <v/>
      </c>
      <c r="I642" s="289" t="str">
        <f>IF($A642="","",IFERROR(INDEX(Prices[FX to SGD],MATCH($A642,Prices[Key],0)),1))</f>
        <v/>
      </c>
      <c r="J642" s="287" t="str">
        <f t="shared" ref="J642:J705" si="93">IF($A642="","",E642*H642)</f>
        <v/>
      </c>
      <c r="K642" s="287" t="str">
        <f t="shared" ref="K642:K705" si="94">IF($A642="","",J642+G642-F642)</f>
        <v/>
      </c>
      <c r="L642" s="287" t="str">
        <f t="shared" ref="L642:L705" si="95">IF($A642="","",K642*I642)</f>
        <v/>
      </c>
      <c r="M642" s="290" t="str">
        <f t="shared" ref="M642:M705" si="96">IF($A642="","",IFERROR(K642/F642,0))</f>
        <v/>
      </c>
      <c r="N642" s="243" t="str">
        <f>IF($A642="","",IF(ABS(E642)&gt;0.000001,COUNT($N$1:N641)+1,""))</f>
        <v/>
      </c>
      <c r="O642" s="291" t="str">
        <f>IF($A642="","",SUMIFS(Transactions!$H$2:$H$1001,Transactions!$J$2:$J$1001,$A642,Transactions!$A$2:$A$1001,2)*$I642)</f>
        <v/>
      </c>
      <c r="P642" s="291" t="str">
        <f t="shared" ref="P642:P705" si="97">IF($A642="","",$L642+$O642)</f>
        <v/>
      </c>
      <c r="Q642" s="292" t="str">
        <f t="shared" ref="Q642:Q705" si="98">IF($A642="","",IFERROR(($L642+$O642)/($F642*$I642),0))</f>
        <v/>
      </c>
    </row>
    <row r="643" spans="1:17" ht="15" customHeight="1" x14ac:dyDescent="0.2">
      <c r="A643" s="243" t="str">
        <f>IFERROR(INDEX(Txn[Key],MATCH(0,INDEX(COUNTIF($A$1:A642,Txn[Key])+(Txn[Key]=""),0),0)),"")</f>
        <v/>
      </c>
      <c r="B643" s="243" t="str">
        <f t="shared" si="90"/>
        <v/>
      </c>
      <c r="C643" s="243" t="str">
        <f t="shared" si="91"/>
        <v/>
      </c>
      <c r="D643" s="243" t="str">
        <f t="shared" si="92"/>
        <v/>
      </c>
      <c r="E643" s="265" t="str">
        <f>IF($A643="","",SUMIFS(Txn[Signed Units],Txn[Key],$A643))</f>
        <v/>
      </c>
      <c r="F643" s="287" t="str">
        <f>IF($A643="","",SUMIFS(Txn[Buy Cost],Txn[Key],$A643))</f>
        <v/>
      </c>
      <c r="G643" s="287" t="str">
        <f>IF($A643="","",SUMIFS(Txn[Sell Proceeds],Txn[Key],$A643))</f>
        <v/>
      </c>
      <c r="H643" s="288" t="str">
        <f>IF($A643="","",IFERROR(INDEX(Prices[Current Price],MATCH($A643,Prices[Key],0)),0))</f>
        <v/>
      </c>
      <c r="I643" s="289" t="str">
        <f>IF($A643="","",IFERROR(INDEX(Prices[FX to SGD],MATCH($A643,Prices[Key],0)),1))</f>
        <v/>
      </c>
      <c r="J643" s="287" t="str">
        <f t="shared" si="93"/>
        <v/>
      </c>
      <c r="K643" s="287" t="str">
        <f t="shared" si="94"/>
        <v/>
      </c>
      <c r="L643" s="287" t="str">
        <f t="shared" si="95"/>
        <v/>
      </c>
      <c r="M643" s="290" t="str">
        <f t="shared" si="96"/>
        <v/>
      </c>
      <c r="N643" s="243" t="str">
        <f>IF($A643="","",IF(ABS(E643)&gt;0.000001,COUNT($N$1:N642)+1,""))</f>
        <v/>
      </c>
      <c r="O643" s="291" t="str">
        <f>IF($A643="","",SUMIFS(Transactions!$H$2:$H$1001,Transactions!$J$2:$J$1001,$A643,Transactions!$A$2:$A$1001,2)*$I643)</f>
        <v/>
      </c>
      <c r="P643" s="291" t="str">
        <f t="shared" si="97"/>
        <v/>
      </c>
      <c r="Q643" s="292" t="str">
        <f t="shared" si="98"/>
        <v/>
      </c>
    </row>
    <row r="644" spans="1:17" ht="15" customHeight="1" x14ac:dyDescent="0.2">
      <c r="A644" s="243" t="str">
        <f>IFERROR(INDEX(Txn[Key],MATCH(0,INDEX(COUNTIF($A$1:A643,Txn[Key])+(Txn[Key]=""),0),0)),"")</f>
        <v/>
      </c>
      <c r="B644" s="243" t="str">
        <f t="shared" si="90"/>
        <v/>
      </c>
      <c r="C644" s="243" t="str">
        <f t="shared" si="91"/>
        <v/>
      </c>
      <c r="D644" s="243" t="str">
        <f t="shared" si="92"/>
        <v/>
      </c>
      <c r="E644" s="265" t="str">
        <f>IF($A644="","",SUMIFS(Txn[Signed Units],Txn[Key],$A644))</f>
        <v/>
      </c>
      <c r="F644" s="287" t="str">
        <f>IF($A644="","",SUMIFS(Txn[Buy Cost],Txn[Key],$A644))</f>
        <v/>
      </c>
      <c r="G644" s="287" t="str">
        <f>IF($A644="","",SUMIFS(Txn[Sell Proceeds],Txn[Key],$A644))</f>
        <v/>
      </c>
      <c r="H644" s="288" t="str">
        <f>IF($A644="","",IFERROR(INDEX(Prices[Current Price],MATCH($A644,Prices[Key],0)),0))</f>
        <v/>
      </c>
      <c r="I644" s="289" t="str">
        <f>IF($A644="","",IFERROR(INDEX(Prices[FX to SGD],MATCH($A644,Prices[Key],0)),1))</f>
        <v/>
      </c>
      <c r="J644" s="287" t="str">
        <f t="shared" si="93"/>
        <v/>
      </c>
      <c r="K644" s="287" t="str">
        <f t="shared" si="94"/>
        <v/>
      </c>
      <c r="L644" s="287" t="str">
        <f t="shared" si="95"/>
        <v/>
      </c>
      <c r="M644" s="290" t="str">
        <f t="shared" si="96"/>
        <v/>
      </c>
      <c r="N644" s="243" t="str">
        <f>IF($A644="","",IF(ABS(E644)&gt;0.000001,COUNT($N$1:N643)+1,""))</f>
        <v/>
      </c>
      <c r="O644" s="291" t="str">
        <f>IF($A644="","",SUMIFS(Transactions!$H$2:$H$1001,Transactions!$J$2:$J$1001,$A644,Transactions!$A$2:$A$1001,2)*$I644)</f>
        <v/>
      </c>
      <c r="P644" s="291" t="str">
        <f t="shared" si="97"/>
        <v/>
      </c>
      <c r="Q644" s="292" t="str">
        <f t="shared" si="98"/>
        <v/>
      </c>
    </row>
    <row r="645" spans="1:17" ht="15" customHeight="1" x14ac:dyDescent="0.2">
      <c r="A645" s="243" t="str">
        <f>IFERROR(INDEX(Txn[Key],MATCH(0,INDEX(COUNTIF($A$1:A644,Txn[Key])+(Txn[Key]=""),0),0)),"")</f>
        <v/>
      </c>
      <c r="B645" s="243" t="str">
        <f t="shared" si="90"/>
        <v/>
      </c>
      <c r="C645" s="243" t="str">
        <f t="shared" si="91"/>
        <v/>
      </c>
      <c r="D645" s="243" t="str">
        <f t="shared" si="92"/>
        <v/>
      </c>
      <c r="E645" s="265" t="str">
        <f>IF($A645="","",SUMIFS(Txn[Signed Units],Txn[Key],$A645))</f>
        <v/>
      </c>
      <c r="F645" s="287" t="str">
        <f>IF($A645="","",SUMIFS(Txn[Buy Cost],Txn[Key],$A645))</f>
        <v/>
      </c>
      <c r="G645" s="287" t="str">
        <f>IF($A645="","",SUMIFS(Txn[Sell Proceeds],Txn[Key],$A645))</f>
        <v/>
      </c>
      <c r="H645" s="288" t="str">
        <f>IF($A645="","",IFERROR(INDEX(Prices[Current Price],MATCH($A645,Prices[Key],0)),0))</f>
        <v/>
      </c>
      <c r="I645" s="289" t="str">
        <f>IF($A645="","",IFERROR(INDEX(Prices[FX to SGD],MATCH($A645,Prices[Key],0)),1))</f>
        <v/>
      </c>
      <c r="J645" s="287" t="str">
        <f t="shared" si="93"/>
        <v/>
      </c>
      <c r="K645" s="287" t="str">
        <f t="shared" si="94"/>
        <v/>
      </c>
      <c r="L645" s="287" t="str">
        <f t="shared" si="95"/>
        <v/>
      </c>
      <c r="M645" s="290" t="str">
        <f t="shared" si="96"/>
        <v/>
      </c>
      <c r="N645" s="243" t="str">
        <f>IF($A645="","",IF(ABS(E645)&gt;0.000001,COUNT($N$1:N644)+1,""))</f>
        <v/>
      </c>
      <c r="O645" s="291" t="str">
        <f>IF($A645="","",SUMIFS(Transactions!$H$2:$H$1001,Transactions!$J$2:$J$1001,$A645,Transactions!$A$2:$A$1001,2)*$I645)</f>
        <v/>
      </c>
      <c r="P645" s="291" t="str">
        <f t="shared" si="97"/>
        <v/>
      </c>
      <c r="Q645" s="292" t="str">
        <f t="shared" si="98"/>
        <v/>
      </c>
    </row>
    <row r="646" spans="1:17" ht="15" customHeight="1" x14ac:dyDescent="0.2">
      <c r="A646" s="243" t="str">
        <f>IFERROR(INDEX(Txn[Key],MATCH(0,INDEX(COUNTIF($A$1:A645,Txn[Key])+(Txn[Key]=""),0),0)),"")</f>
        <v/>
      </c>
      <c r="B646" s="243" t="str">
        <f t="shared" si="90"/>
        <v/>
      </c>
      <c r="C646" s="243" t="str">
        <f t="shared" si="91"/>
        <v/>
      </c>
      <c r="D646" s="243" t="str">
        <f t="shared" si="92"/>
        <v/>
      </c>
      <c r="E646" s="265" t="str">
        <f>IF($A646="","",SUMIFS(Txn[Signed Units],Txn[Key],$A646))</f>
        <v/>
      </c>
      <c r="F646" s="287" t="str">
        <f>IF($A646="","",SUMIFS(Txn[Buy Cost],Txn[Key],$A646))</f>
        <v/>
      </c>
      <c r="G646" s="287" t="str">
        <f>IF($A646="","",SUMIFS(Txn[Sell Proceeds],Txn[Key],$A646))</f>
        <v/>
      </c>
      <c r="H646" s="288" t="str">
        <f>IF($A646="","",IFERROR(INDEX(Prices[Current Price],MATCH($A646,Prices[Key],0)),0))</f>
        <v/>
      </c>
      <c r="I646" s="289" t="str">
        <f>IF($A646="","",IFERROR(INDEX(Prices[FX to SGD],MATCH($A646,Prices[Key],0)),1))</f>
        <v/>
      </c>
      <c r="J646" s="287" t="str">
        <f t="shared" si="93"/>
        <v/>
      </c>
      <c r="K646" s="287" t="str">
        <f t="shared" si="94"/>
        <v/>
      </c>
      <c r="L646" s="287" t="str">
        <f t="shared" si="95"/>
        <v/>
      </c>
      <c r="M646" s="290" t="str">
        <f t="shared" si="96"/>
        <v/>
      </c>
      <c r="N646" s="243" t="str">
        <f>IF($A646="","",IF(ABS(E646)&gt;0.000001,COUNT($N$1:N645)+1,""))</f>
        <v/>
      </c>
      <c r="O646" s="291" t="str">
        <f>IF($A646="","",SUMIFS(Transactions!$H$2:$H$1001,Transactions!$J$2:$J$1001,$A646,Transactions!$A$2:$A$1001,2)*$I646)</f>
        <v/>
      </c>
      <c r="P646" s="291" t="str">
        <f t="shared" si="97"/>
        <v/>
      </c>
      <c r="Q646" s="292" t="str">
        <f t="shared" si="98"/>
        <v/>
      </c>
    </row>
    <row r="647" spans="1:17" ht="15" customHeight="1" x14ac:dyDescent="0.2">
      <c r="A647" s="243" t="str">
        <f>IFERROR(INDEX(Txn[Key],MATCH(0,INDEX(COUNTIF($A$1:A646,Txn[Key])+(Txn[Key]=""),0),0)),"")</f>
        <v/>
      </c>
      <c r="B647" s="243" t="str">
        <f t="shared" si="90"/>
        <v/>
      </c>
      <c r="C647" s="243" t="str">
        <f t="shared" si="91"/>
        <v/>
      </c>
      <c r="D647" s="243" t="str">
        <f t="shared" si="92"/>
        <v/>
      </c>
      <c r="E647" s="265" t="str">
        <f>IF($A647="","",SUMIFS(Txn[Signed Units],Txn[Key],$A647))</f>
        <v/>
      </c>
      <c r="F647" s="287" t="str">
        <f>IF($A647="","",SUMIFS(Txn[Buy Cost],Txn[Key],$A647))</f>
        <v/>
      </c>
      <c r="G647" s="287" t="str">
        <f>IF($A647="","",SUMIFS(Txn[Sell Proceeds],Txn[Key],$A647))</f>
        <v/>
      </c>
      <c r="H647" s="288" t="str">
        <f>IF($A647="","",IFERROR(INDEX(Prices[Current Price],MATCH($A647,Prices[Key],0)),0))</f>
        <v/>
      </c>
      <c r="I647" s="289" t="str">
        <f>IF($A647="","",IFERROR(INDEX(Prices[FX to SGD],MATCH($A647,Prices[Key],0)),1))</f>
        <v/>
      </c>
      <c r="J647" s="287" t="str">
        <f t="shared" si="93"/>
        <v/>
      </c>
      <c r="K647" s="287" t="str">
        <f t="shared" si="94"/>
        <v/>
      </c>
      <c r="L647" s="287" t="str">
        <f t="shared" si="95"/>
        <v/>
      </c>
      <c r="M647" s="290" t="str">
        <f t="shared" si="96"/>
        <v/>
      </c>
      <c r="N647" s="243" t="str">
        <f>IF($A647="","",IF(ABS(E647)&gt;0.000001,COUNT($N$1:N646)+1,""))</f>
        <v/>
      </c>
      <c r="O647" s="291" t="str">
        <f>IF($A647="","",SUMIFS(Transactions!$H$2:$H$1001,Transactions!$J$2:$J$1001,$A647,Transactions!$A$2:$A$1001,2)*$I647)</f>
        <v/>
      </c>
      <c r="P647" s="291" t="str">
        <f t="shared" si="97"/>
        <v/>
      </c>
      <c r="Q647" s="292" t="str">
        <f t="shared" si="98"/>
        <v/>
      </c>
    </row>
    <row r="648" spans="1:17" ht="15" customHeight="1" x14ac:dyDescent="0.2">
      <c r="A648" s="243" t="str">
        <f>IFERROR(INDEX(Txn[Key],MATCH(0,INDEX(COUNTIF($A$1:A647,Txn[Key])+(Txn[Key]=""),0),0)),"")</f>
        <v/>
      </c>
      <c r="B648" s="243" t="str">
        <f t="shared" si="90"/>
        <v/>
      </c>
      <c r="C648" s="243" t="str">
        <f t="shared" si="91"/>
        <v/>
      </c>
      <c r="D648" s="243" t="str">
        <f t="shared" si="92"/>
        <v/>
      </c>
      <c r="E648" s="265" t="str">
        <f>IF($A648="","",SUMIFS(Txn[Signed Units],Txn[Key],$A648))</f>
        <v/>
      </c>
      <c r="F648" s="287" t="str">
        <f>IF($A648="","",SUMIFS(Txn[Buy Cost],Txn[Key],$A648))</f>
        <v/>
      </c>
      <c r="G648" s="287" t="str">
        <f>IF($A648="","",SUMIFS(Txn[Sell Proceeds],Txn[Key],$A648))</f>
        <v/>
      </c>
      <c r="H648" s="288" t="str">
        <f>IF($A648="","",IFERROR(INDEX(Prices[Current Price],MATCH($A648,Prices[Key],0)),0))</f>
        <v/>
      </c>
      <c r="I648" s="289" t="str">
        <f>IF($A648="","",IFERROR(INDEX(Prices[FX to SGD],MATCH($A648,Prices[Key],0)),1))</f>
        <v/>
      </c>
      <c r="J648" s="287" t="str">
        <f t="shared" si="93"/>
        <v/>
      </c>
      <c r="K648" s="287" t="str">
        <f t="shared" si="94"/>
        <v/>
      </c>
      <c r="L648" s="287" t="str">
        <f t="shared" si="95"/>
        <v/>
      </c>
      <c r="M648" s="290" t="str">
        <f t="shared" si="96"/>
        <v/>
      </c>
      <c r="N648" s="243" t="str">
        <f>IF($A648="","",IF(ABS(E648)&gt;0.000001,COUNT($N$1:N647)+1,""))</f>
        <v/>
      </c>
      <c r="O648" s="291" t="str">
        <f>IF($A648="","",SUMIFS(Transactions!$H$2:$H$1001,Transactions!$J$2:$J$1001,$A648,Transactions!$A$2:$A$1001,2)*$I648)</f>
        <v/>
      </c>
      <c r="P648" s="291" t="str">
        <f t="shared" si="97"/>
        <v/>
      </c>
      <c r="Q648" s="292" t="str">
        <f t="shared" si="98"/>
        <v/>
      </c>
    </row>
    <row r="649" spans="1:17" ht="15" customHeight="1" x14ac:dyDescent="0.2">
      <c r="A649" s="243" t="str">
        <f>IFERROR(INDEX(Txn[Key],MATCH(0,INDEX(COUNTIF($A$1:A648,Txn[Key])+(Txn[Key]=""),0),0)),"")</f>
        <v/>
      </c>
      <c r="B649" s="243" t="str">
        <f t="shared" si="90"/>
        <v/>
      </c>
      <c r="C649" s="243" t="str">
        <f t="shared" si="91"/>
        <v/>
      </c>
      <c r="D649" s="243" t="str">
        <f t="shared" si="92"/>
        <v/>
      </c>
      <c r="E649" s="265" t="str">
        <f>IF($A649="","",SUMIFS(Txn[Signed Units],Txn[Key],$A649))</f>
        <v/>
      </c>
      <c r="F649" s="287" t="str">
        <f>IF($A649="","",SUMIFS(Txn[Buy Cost],Txn[Key],$A649))</f>
        <v/>
      </c>
      <c r="G649" s="287" t="str">
        <f>IF($A649="","",SUMIFS(Txn[Sell Proceeds],Txn[Key],$A649))</f>
        <v/>
      </c>
      <c r="H649" s="288" t="str">
        <f>IF($A649="","",IFERROR(INDEX(Prices[Current Price],MATCH($A649,Prices[Key],0)),0))</f>
        <v/>
      </c>
      <c r="I649" s="289" t="str">
        <f>IF($A649="","",IFERROR(INDEX(Prices[FX to SGD],MATCH($A649,Prices[Key],0)),1))</f>
        <v/>
      </c>
      <c r="J649" s="287" t="str">
        <f t="shared" si="93"/>
        <v/>
      </c>
      <c r="K649" s="287" t="str">
        <f t="shared" si="94"/>
        <v/>
      </c>
      <c r="L649" s="287" t="str">
        <f t="shared" si="95"/>
        <v/>
      </c>
      <c r="M649" s="290" t="str">
        <f t="shared" si="96"/>
        <v/>
      </c>
      <c r="N649" s="243" t="str">
        <f>IF($A649="","",IF(ABS(E649)&gt;0.000001,COUNT($N$1:N648)+1,""))</f>
        <v/>
      </c>
      <c r="O649" s="291" t="str">
        <f>IF($A649="","",SUMIFS(Transactions!$H$2:$H$1001,Transactions!$J$2:$J$1001,$A649,Transactions!$A$2:$A$1001,2)*$I649)</f>
        <v/>
      </c>
      <c r="P649" s="291" t="str">
        <f t="shared" si="97"/>
        <v/>
      </c>
      <c r="Q649" s="292" t="str">
        <f t="shared" si="98"/>
        <v/>
      </c>
    </row>
    <row r="650" spans="1:17" ht="15" customHeight="1" x14ac:dyDescent="0.2">
      <c r="A650" s="243" t="str">
        <f>IFERROR(INDEX(Txn[Key],MATCH(0,INDEX(COUNTIF($A$1:A649,Txn[Key])+(Txn[Key]=""),0),0)),"")</f>
        <v/>
      </c>
      <c r="B650" s="243" t="str">
        <f t="shared" si="90"/>
        <v/>
      </c>
      <c r="C650" s="243" t="str">
        <f t="shared" si="91"/>
        <v/>
      </c>
      <c r="D650" s="243" t="str">
        <f t="shared" si="92"/>
        <v/>
      </c>
      <c r="E650" s="265" t="str">
        <f>IF($A650="","",SUMIFS(Txn[Signed Units],Txn[Key],$A650))</f>
        <v/>
      </c>
      <c r="F650" s="287" t="str">
        <f>IF($A650="","",SUMIFS(Txn[Buy Cost],Txn[Key],$A650))</f>
        <v/>
      </c>
      <c r="G650" s="287" t="str">
        <f>IF($A650="","",SUMIFS(Txn[Sell Proceeds],Txn[Key],$A650))</f>
        <v/>
      </c>
      <c r="H650" s="288" t="str">
        <f>IF($A650="","",IFERROR(INDEX(Prices[Current Price],MATCH($A650,Prices[Key],0)),0))</f>
        <v/>
      </c>
      <c r="I650" s="289" t="str">
        <f>IF($A650="","",IFERROR(INDEX(Prices[FX to SGD],MATCH($A650,Prices[Key],0)),1))</f>
        <v/>
      </c>
      <c r="J650" s="287" t="str">
        <f t="shared" si="93"/>
        <v/>
      </c>
      <c r="K650" s="287" t="str">
        <f t="shared" si="94"/>
        <v/>
      </c>
      <c r="L650" s="287" t="str">
        <f t="shared" si="95"/>
        <v/>
      </c>
      <c r="M650" s="290" t="str">
        <f t="shared" si="96"/>
        <v/>
      </c>
      <c r="N650" s="243" t="str">
        <f>IF($A650="","",IF(ABS(E650)&gt;0.000001,COUNT($N$1:N649)+1,""))</f>
        <v/>
      </c>
      <c r="O650" s="291" t="str">
        <f>IF($A650="","",SUMIFS(Transactions!$H$2:$H$1001,Transactions!$J$2:$J$1001,$A650,Transactions!$A$2:$A$1001,2)*$I650)</f>
        <v/>
      </c>
      <c r="P650" s="291" t="str">
        <f t="shared" si="97"/>
        <v/>
      </c>
      <c r="Q650" s="292" t="str">
        <f t="shared" si="98"/>
        <v/>
      </c>
    </row>
    <row r="651" spans="1:17" ht="15" customHeight="1" x14ac:dyDescent="0.2">
      <c r="A651" s="243" t="str">
        <f>IFERROR(INDEX(Txn[Key],MATCH(0,INDEX(COUNTIF($A$1:A650,Txn[Key])+(Txn[Key]=""),0),0)),"")</f>
        <v/>
      </c>
      <c r="B651" s="243" t="str">
        <f t="shared" si="90"/>
        <v/>
      </c>
      <c r="C651" s="243" t="str">
        <f t="shared" si="91"/>
        <v/>
      </c>
      <c r="D651" s="243" t="str">
        <f t="shared" si="92"/>
        <v/>
      </c>
      <c r="E651" s="265" t="str">
        <f>IF($A651="","",SUMIFS(Txn[Signed Units],Txn[Key],$A651))</f>
        <v/>
      </c>
      <c r="F651" s="287" t="str">
        <f>IF($A651="","",SUMIFS(Txn[Buy Cost],Txn[Key],$A651))</f>
        <v/>
      </c>
      <c r="G651" s="287" t="str">
        <f>IF($A651="","",SUMIFS(Txn[Sell Proceeds],Txn[Key],$A651))</f>
        <v/>
      </c>
      <c r="H651" s="288" t="str">
        <f>IF($A651="","",IFERROR(INDEX(Prices[Current Price],MATCH($A651,Prices[Key],0)),0))</f>
        <v/>
      </c>
      <c r="I651" s="289" t="str">
        <f>IF($A651="","",IFERROR(INDEX(Prices[FX to SGD],MATCH($A651,Prices[Key],0)),1))</f>
        <v/>
      </c>
      <c r="J651" s="287" t="str">
        <f t="shared" si="93"/>
        <v/>
      </c>
      <c r="K651" s="287" t="str">
        <f t="shared" si="94"/>
        <v/>
      </c>
      <c r="L651" s="287" t="str">
        <f t="shared" si="95"/>
        <v/>
      </c>
      <c r="M651" s="290" t="str">
        <f t="shared" si="96"/>
        <v/>
      </c>
      <c r="N651" s="243" t="str">
        <f>IF($A651="","",IF(ABS(E651)&gt;0.000001,COUNT($N$1:N650)+1,""))</f>
        <v/>
      </c>
      <c r="O651" s="291" t="str">
        <f>IF($A651="","",SUMIFS(Transactions!$H$2:$H$1001,Transactions!$J$2:$J$1001,$A651,Transactions!$A$2:$A$1001,2)*$I651)</f>
        <v/>
      </c>
      <c r="P651" s="291" t="str">
        <f t="shared" si="97"/>
        <v/>
      </c>
      <c r="Q651" s="292" t="str">
        <f t="shared" si="98"/>
        <v/>
      </c>
    </row>
    <row r="652" spans="1:17" ht="15" customHeight="1" x14ac:dyDescent="0.2">
      <c r="A652" s="243" t="str">
        <f>IFERROR(INDEX(Txn[Key],MATCH(0,INDEX(COUNTIF($A$1:A651,Txn[Key])+(Txn[Key]=""),0),0)),"")</f>
        <v/>
      </c>
      <c r="B652" s="243" t="str">
        <f t="shared" si="90"/>
        <v/>
      </c>
      <c r="C652" s="243" t="str">
        <f t="shared" si="91"/>
        <v/>
      </c>
      <c r="D652" s="243" t="str">
        <f t="shared" si="92"/>
        <v/>
      </c>
      <c r="E652" s="265" t="str">
        <f>IF($A652="","",SUMIFS(Txn[Signed Units],Txn[Key],$A652))</f>
        <v/>
      </c>
      <c r="F652" s="287" t="str">
        <f>IF($A652="","",SUMIFS(Txn[Buy Cost],Txn[Key],$A652))</f>
        <v/>
      </c>
      <c r="G652" s="287" t="str">
        <f>IF($A652="","",SUMIFS(Txn[Sell Proceeds],Txn[Key],$A652))</f>
        <v/>
      </c>
      <c r="H652" s="288" t="str">
        <f>IF($A652="","",IFERROR(INDEX(Prices[Current Price],MATCH($A652,Prices[Key],0)),0))</f>
        <v/>
      </c>
      <c r="I652" s="289" t="str">
        <f>IF($A652="","",IFERROR(INDEX(Prices[FX to SGD],MATCH($A652,Prices[Key],0)),1))</f>
        <v/>
      </c>
      <c r="J652" s="287" t="str">
        <f t="shared" si="93"/>
        <v/>
      </c>
      <c r="K652" s="287" t="str">
        <f t="shared" si="94"/>
        <v/>
      </c>
      <c r="L652" s="287" t="str">
        <f t="shared" si="95"/>
        <v/>
      </c>
      <c r="M652" s="290" t="str">
        <f t="shared" si="96"/>
        <v/>
      </c>
      <c r="N652" s="243" t="str">
        <f>IF($A652="","",IF(ABS(E652)&gt;0.000001,COUNT($N$1:N651)+1,""))</f>
        <v/>
      </c>
      <c r="O652" s="291" t="str">
        <f>IF($A652="","",SUMIFS(Transactions!$H$2:$H$1001,Transactions!$J$2:$J$1001,$A652,Transactions!$A$2:$A$1001,2)*$I652)</f>
        <v/>
      </c>
      <c r="P652" s="291" t="str">
        <f t="shared" si="97"/>
        <v/>
      </c>
      <c r="Q652" s="292" t="str">
        <f t="shared" si="98"/>
        <v/>
      </c>
    </row>
    <row r="653" spans="1:17" ht="15" customHeight="1" x14ac:dyDescent="0.2">
      <c r="A653" s="243" t="str">
        <f>IFERROR(INDEX(Txn[Key],MATCH(0,INDEX(COUNTIF($A$1:A652,Txn[Key])+(Txn[Key]=""),0),0)),"")</f>
        <v/>
      </c>
      <c r="B653" s="243" t="str">
        <f t="shared" si="90"/>
        <v/>
      </c>
      <c r="C653" s="243" t="str">
        <f t="shared" si="91"/>
        <v/>
      </c>
      <c r="D653" s="243" t="str">
        <f t="shared" si="92"/>
        <v/>
      </c>
      <c r="E653" s="265" t="str">
        <f>IF($A653="","",SUMIFS(Txn[Signed Units],Txn[Key],$A653))</f>
        <v/>
      </c>
      <c r="F653" s="287" t="str">
        <f>IF($A653="","",SUMIFS(Txn[Buy Cost],Txn[Key],$A653))</f>
        <v/>
      </c>
      <c r="G653" s="287" t="str">
        <f>IF($A653="","",SUMIFS(Txn[Sell Proceeds],Txn[Key],$A653))</f>
        <v/>
      </c>
      <c r="H653" s="288" t="str">
        <f>IF($A653="","",IFERROR(INDEX(Prices[Current Price],MATCH($A653,Prices[Key],0)),0))</f>
        <v/>
      </c>
      <c r="I653" s="289" t="str">
        <f>IF($A653="","",IFERROR(INDEX(Prices[FX to SGD],MATCH($A653,Prices[Key],0)),1))</f>
        <v/>
      </c>
      <c r="J653" s="287" t="str">
        <f t="shared" si="93"/>
        <v/>
      </c>
      <c r="K653" s="287" t="str">
        <f t="shared" si="94"/>
        <v/>
      </c>
      <c r="L653" s="287" t="str">
        <f t="shared" si="95"/>
        <v/>
      </c>
      <c r="M653" s="290" t="str">
        <f t="shared" si="96"/>
        <v/>
      </c>
      <c r="N653" s="243" t="str">
        <f>IF($A653="","",IF(ABS(E653)&gt;0.000001,COUNT($N$1:N652)+1,""))</f>
        <v/>
      </c>
      <c r="O653" s="291" t="str">
        <f>IF($A653="","",SUMIFS(Transactions!$H$2:$H$1001,Transactions!$J$2:$J$1001,$A653,Transactions!$A$2:$A$1001,2)*$I653)</f>
        <v/>
      </c>
      <c r="P653" s="291" t="str">
        <f t="shared" si="97"/>
        <v/>
      </c>
      <c r="Q653" s="292" t="str">
        <f t="shared" si="98"/>
        <v/>
      </c>
    </row>
    <row r="654" spans="1:17" ht="15" customHeight="1" x14ac:dyDescent="0.2">
      <c r="A654" s="243" t="str">
        <f>IFERROR(INDEX(Txn[Key],MATCH(0,INDEX(COUNTIF($A$1:A653,Txn[Key])+(Txn[Key]=""),0),0)),"")</f>
        <v/>
      </c>
      <c r="B654" s="243" t="str">
        <f t="shared" si="90"/>
        <v/>
      </c>
      <c r="C654" s="243" t="str">
        <f t="shared" si="91"/>
        <v/>
      </c>
      <c r="D654" s="243" t="str">
        <f t="shared" si="92"/>
        <v/>
      </c>
      <c r="E654" s="265" t="str">
        <f>IF($A654="","",SUMIFS(Txn[Signed Units],Txn[Key],$A654))</f>
        <v/>
      </c>
      <c r="F654" s="287" t="str">
        <f>IF($A654="","",SUMIFS(Txn[Buy Cost],Txn[Key],$A654))</f>
        <v/>
      </c>
      <c r="G654" s="287" t="str">
        <f>IF($A654="","",SUMIFS(Txn[Sell Proceeds],Txn[Key],$A654))</f>
        <v/>
      </c>
      <c r="H654" s="288" t="str">
        <f>IF($A654="","",IFERROR(INDEX(Prices[Current Price],MATCH($A654,Prices[Key],0)),0))</f>
        <v/>
      </c>
      <c r="I654" s="289" t="str">
        <f>IF($A654="","",IFERROR(INDEX(Prices[FX to SGD],MATCH($A654,Prices[Key],0)),1))</f>
        <v/>
      </c>
      <c r="J654" s="287" t="str">
        <f t="shared" si="93"/>
        <v/>
      </c>
      <c r="K654" s="287" t="str">
        <f t="shared" si="94"/>
        <v/>
      </c>
      <c r="L654" s="287" t="str">
        <f t="shared" si="95"/>
        <v/>
      </c>
      <c r="M654" s="290" t="str">
        <f t="shared" si="96"/>
        <v/>
      </c>
      <c r="N654" s="243" t="str">
        <f>IF($A654="","",IF(ABS(E654)&gt;0.000001,COUNT($N$1:N653)+1,""))</f>
        <v/>
      </c>
      <c r="O654" s="291" t="str">
        <f>IF($A654="","",SUMIFS(Transactions!$H$2:$H$1001,Transactions!$J$2:$J$1001,$A654,Transactions!$A$2:$A$1001,2)*$I654)</f>
        <v/>
      </c>
      <c r="P654" s="291" t="str">
        <f t="shared" si="97"/>
        <v/>
      </c>
      <c r="Q654" s="292" t="str">
        <f t="shared" si="98"/>
        <v/>
      </c>
    </row>
    <row r="655" spans="1:17" ht="15" customHeight="1" x14ac:dyDescent="0.2">
      <c r="A655" s="243" t="str">
        <f>IFERROR(INDEX(Txn[Key],MATCH(0,INDEX(COUNTIF($A$1:A654,Txn[Key])+(Txn[Key]=""),0),0)),"")</f>
        <v/>
      </c>
      <c r="B655" s="243" t="str">
        <f t="shared" si="90"/>
        <v/>
      </c>
      <c r="C655" s="243" t="str">
        <f t="shared" si="91"/>
        <v/>
      </c>
      <c r="D655" s="243" t="str">
        <f t="shared" si="92"/>
        <v/>
      </c>
      <c r="E655" s="265" t="str">
        <f>IF($A655="","",SUMIFS(Txn[Signed Units],Txn[Key],$A655))</f>
        <v/>
      </c>
      <c r="F655" s="287" t="str">
        <f>IF($A655="","",SUMIFS(Txn[Buy Cost],Txn[Key],$A655))</f>
        <v/>
      </c>
      <c r="G655" s="287" t="str">
        <f>IF($A655="","",SUMIFS(Txn[Sell Proceeds],Txn[Key],$A655))</f>
        <v/>
      </c>
      <c r="H655" s="288" t="str">
        <f>IF($A655="","",IFERROR(INDEX(Prices[Current Price],MATCH($A655,Prices[Key],0)),0))</f>
        <v/>
      </c>
      <c r="I655" s="289" t="str">
        <f>IF($A655="","",IFERROR(INDEX(Prices[FX to SGD],MATCH($A655,Prices[Key],0)),1))</f>
        <v/>
      </c>
      <c r="J655" s="287" t="str">
        <f t="shared" si="93"/>
        <v/>
      </c>
      <c r="K655" s="287" t="str">
        <f t="shared" si="94"/>
        <v/>
      </c>
      <c r="L655" s="287" t="str">
        <f t="shared" si="95"/>
        <v/>
      </c>
      <c r="M655" s="290" t="str">
        <f t="shared" si="96"/>
        <v/>
      </c>
      <c r="N655" s="243" t="str">
        <f>IF($A655="","",IF(ABS(E655)&gt;0.000001,COUNT($N$1:N654)+1,""))</f>
        <v/>
      </c>
      <c r="O655" s="291" t="str">
        <f>IF($A655="","",SUMIFS(Transactions!$H$2:$H$1001,Transactions!$J$2:$J$1001,$A655,Transactions!$A$2:$A$1001,2)*$I655)</f>
        <v/>
      </c>
      <c r="P655" s="291" t="str">
        <f t="shared" si="97"/>
        <v/>
      </c>
      <c r="Q655" s="292" t="str">
        <f t="shared" si="98"/>
        <v/>
      </c>
    </row>
    <row r="656" spans="1:17" ht="15" customHeight="1" x14ac:dyDescent="0.2">
      <c r="A656" s="243" t="str">
        <f>IFERROR(INDEX(Txn[Key],MATCH(0,INDEX(COUNTIF($A$1:A655,Txn[Key])+(Txn[Key]=""),0),0)),"")</f>
        <v/>
      </c>
      <c r="B656" s="243" t="str">
        <f t="shared" si="90"/>
        <v/>
      </c>
      <c r="C656" s="243" t="str">
        <f t="shared" si="91"/>
        <v/>
      </c>
      <c r="D656" s="243" t="str">
        <f t="shared" si="92"/>
        <v/>
      </c>
      <c r="E656" s="265" t="str">
        <f>IF($A656="","",SUMIFS(Txn[Signed Units],Txn[Key],$A656))</f>
        <v/>
      </c>
      <c r="F656" s="287" t="str">
        <f>IF($A656="","",SUMIFS(Txn[Buy Cost],Txn[Key],$A656))</f>
        <v/>
      </c>
      <c r="G656" s="287" t="str">
        <f>IF($A656="","",SUMIFS(Txn[Sell Proceeds],Txn[Key],$A656))</f>
        <v/>
      </c>
      <c r="H656" s="288" t="str">
        <f>IF($A656="","",IFERROR(INDEX(Prices[Current Price],MATCH($A656,Prices[Key],0)),0))</f>
        <v/>
      </c>
      <c r="I656" s="289" t="str">
        <f>IF($A656="","",IFERROR(INDEX(Prices[FX to SGD],MATCH($A656,Prices[Key],0)),1))</f>
        <v/>
      </c>
      <c r="J656" s="287" t="str">
        <f t="shared" si="93"/>
        <v/>
      </c>
      <c r="K656" s="287" t="str">
        <f t="shared" si="94"/>
        <v/>
      </c>
      <c r="L656" s="287" t="str">
        <f t="shared" si="95"/>
        <v/>
      </c>
      <c r="M656" s="290" t="str">
        <f t="shared" si="96"/>
        <v/>
      </c>
      <c r="N656" s="243" t="str">
        <f>IF($A656="","",IF(ABS(E656)&gt;0.000001,COUNT($N$1:N655)+1,""))</f>
        <v/>
      </c>
      <c r="O656" s="291" t="str">
        <f>IF($A656="","",SUMIFS(Transactions!$H$2:$H$1001,Transactions!$J$2:$J$1001,$A656,Transactions!$A$2:$A$1001,2)*$I656)</f>
        <v/>
      </c>
      <c r="P656" s="291" t="str">
        <f t="shared" si="97"/>
        <v/>
      </c>
      <c r="Q656" s="292" t="str">
        <f t="shared" si="98"/>
        <v/>
      </c>
    </row>
    <row r="657" spans="1:17" ht="15" customHeight="1" x14ac:dyDescent="0.2">
      <c r="A657" s="243" t="str">
        <f>IFERROR(INDEX(Txn[Key],MATCH(0,INDEX(COUNTIF($A$1:A656,Txn[Key])+(Txn[Key]=""),0),0)),"")</f>
        <v/>
      </c>
      <c r="B657" s="243" t="str">
        <f t="shared" si="90"/>
        <v/>
      </c>
      <c r="C657" s="243" t="str">
        <f t="shared" si="91"/>
        <v/>
      </c>
      <c r="D657" s="243" t="str">
        <f t="shared" si="92"/>
        <v/>
      </c>
      <c r="E657" s="265" t="str">
        <f>IF($A657="","",SUMIFS(Txn[Signed Units],Txn[Key],$A657))</f>
        <v/>
      </c>
      <c r="F657" s="287" t="str">
        <f>IF($A657="","",SUMIFS(Txn[Buy Cost],Txn[Key],$A657))</f>
        <v/>
      </c>
      <c r="G657" s="287" t="str">
        <f>IF($A657="","",SUMIFS(Txn[Sell Proceeds],Txn[Key],$A657))</f>
        <v/>
      </c>
      <c r="H657" s="288" t="str">
        <f>IF($A657="","",IFERROR(INDEX(Prices[Current Price],MATCH($A657,Prices[Key],0)),0))</f>
        <v/>
      </c>
      <c r="I657" s="289" t="str">
        <f>IF($A657="","",IFERROR(INDEX(Prices[FX to SGD],MATCH($A657,Prices[Key],0)),1))</f>
        <v/>
      </c>
      <c r="J657" s="287" t="str">
        <f t="shared" si="93"/>
        <v/>
      </c>
      <c r="K657" s="287" t="str">
        <f t="shared" si="94"/>
        <v/>
      </c>
      <c r="L657" s="287" t="str">
        <f t="shared" si="95"/>
        <v/>
      </c>
      <c r="M657" s="290" t="str">
        <f t="shared" si="96"/>
        <v/>
      </c>
      <c r="N657" s="243" t="str">
        <f>IF($A657="","",IF(ABS(E657)&gt;0.000001,COUNT($N$1:N656)+1,""))</f>
        <v/>
      </c>
      <c r="O657" s="291" t="str">
        <f>IF($A657="","",SUMIFS(Transactions!$H$2:$H$1001,Transactions!$J$2:$J$1001,$A657,Transactions!$A$2:$A$1001,2)*$I657)</f>
        <v/>
      </c>
      <c r="P657" s="291" t="str">
        <f t="shared" si="97"/>
        <v/>
      </c>
      <c r="Q657" s="292" t="str">
        <f t="shared" si="98"/>
        <v/>
      </c>
    </row>
    <row r="658" spans="1:17" ht="15" customHeight="1" x14ac:dyDescent="0.2">
      <c r="A658" s="243" t="str">
        <f>IFERROR(INDEX(Txn[Key],MATCH(0,INDEX(COUNTIF($A$1:A657,Txn[Key])+(Txn[Key]=""),0),0)),"")</f>
        <v/>
      </c>
      <c r="B658" s="243" t="str">
        <f t="shared" si="90"/>
        <v/>
      </c>
      <c r="C658" s="243" t="str">
        <f t="shared" si="91"/>
        <v/>
      </c>
      <c r="D658" s="243" t="str">
        <f t="shared" si="92"/>
        <v/>
      </c>
      <c r="E658" s="265" t="str">
        <f>IF($A658="","",SUMIFS(Txn[Signed Units],Txn[Key],$A658))</f>
        <v/>
      </c>
      <c r="F658" s="287" t="str">
        <f>IF($A658="","",SUMIFS(Txn[Buy Cost],Txn[Key],$A658))</f>
        <v/>
      </c>
      <c r="G658" s="287" t="str">
        <f>IF($A658="","",SUMIFS(Txn[Sell Proceeds],Txn[Key],$A658))</f>
        <v/>
      </c>
      <c r="H658" s="288" t="str">
        <f>IF($A658="","",IFERROR(INDEX(Prices[Current Price],MATCH($A658,Prices[Key],0)),0))</f>
        <v/>
      </c>
      <c r="I658" s="289" t="str">
        <f>IF($A658="","",IFERROR(INDEX(Prices[FX to SGD],MATCH($A658,Prices[Key],0)),1))</f>
        <v/>
      </c>
      <c r="J658" s="287" t="str">
        <f t="shared" si="93"/>
        <v/>
      </c>
      <c r="K658" s="287" t="str">
        <f t="shared" si="94"/>
        <v/>
      </c>
      <c r="L658" s="287" t="str">
        <f t="shared" si="95"/>
        <v/>
      </c>
      <c r="M658" s="290" t="str">
        <f t="shared" si="96"/>
        <v/>
      </c>
      <c r="N658" s="243" t="str">
        <f>IF($A658="","",IF(ABS(E658)&gt;0.000001,COUNT($N$1:N657)+1,""))</f>
        <v/>
      </c>
      <c r="O658" s="291" t="str">
        <f>IF($A658="","",SUMIFS(Transactions!$H$2:$H$1001,Transactions!$J$2:$J$1001,$A658,Transactions!$A$2:$A$1001,2)*$I658)</f>
        <v/>
      </c>
      <c r="P658" s="291" t="str">
        <f t="shared" si="97"/>
        <v/>
      </c>
      <c r="Q658" s="292" t="str">
        <f t="shared" si="98"/>
        <v/>
      </c>
    </row>
    <row r="659" spans="1:17" ht="15" customHeight="1" x14ac:dyDescent="0.2">
      <c r="A659" s="243" t="str">
        <f>IFERROR(INDEX(Txn[Key],MATCH(0,INDEX(COUNTIF($A$1:A658,Txn[Key])+(Txn[Key]=""),0),0)),"")</f>
        <v/>
      </c>
      <c r="B659" s="243" t="str">
        <f t="shared" si="90"/>
        <v/>
      </c>
      <c r="C659" s="243" t="str">
        <f t="shared" si="91"/>
        <v/>
      </c>
      <c r="D659" s="243" t="str">
        <f t="shared" si="92"/>
        <v/>
      </c>
      <c r="E659" s="265" t="str">
        <f>IF($A659="","",SUMIFS(Txn[Signed Units],Txn[Key],$A659))</f>
        <v/>
      </c>
      <c r="F659" s="287" t="str">
        <f>IF($A659="","",SUMIFS(Txn[Buy Cost],Txn[Key],$A659))</f>
        <v/>
      </c>
      <c r="G659" s="287" t="str">
        <f>IF($A659="","",SUMIFS(Txn[Sell Proceeds],Txn[Key],$A659))</f>
        <v/>
      </c>
      <c r="H659" s="288" t="str">
        <f>IF($A659="","",IFERROR(INDEX(Prices[Current Price],MATCH($A659,Prices[Key],0)),0))</f>
        <v/>
      </c>
      <c r="I659" s="289" t="str">
        <f>IF($A659="","",IFERROR(INDEX(Prices[FX to SGD],MATCH($A659,Prices[Key],0)),1))</f>
        <v/>
      </c>
      <c r="J659" s="287" t="str">
        <f t="shared" si="93"/>
        <v/>
      </c>
      <c r="K659" s="287" t="str">
        <f t="shared" si="94"/>
        <v/>
      </c>
      <c r="L659" s="287" t="str">
        <f t="shared" si="95"/>
        <v/>
      </c>
      <c r="M659" s="290" t="str">
        <f t="shared" si="96"/>
        <v/>
      </c>
      <c r="N659" s="243" t="str">
        <f>IF($A659="","",IF(ABS(E659)&gt;0.000001,COUNT($N$1:N658)+1,""))</f>
        <v/>
      </c>
      <c r="O659" s="291" t="str">
        <f>IF($A659="","",SUMIFS(Transactions!$H$2:$H$1001,Transactions!$J$2:$J$1001,$A659,Transactions!$A$2:$A$1001,2)*$I659)</f>
        <v/>
      </c>
      <c r="P659" s="291" t="str">
        <f t="shared" si="97"/>
        <v/>
      </c>
      <c r="Q659" s="292" t="str">
        <f t="shared" si="98"/>
        <v/>
      </c>
    </row>
    <row r="660" spans="1:17" ht="15" customHeight="1" x14ac:dyDescent="0.2">
      <c r="A660" s="243" t="str">
        <f>IFERROR(INDEX(Txn[Key],MATCH(0,INDEX(COUNTIF($A$1:A659,Txn[Key])+(Txn[Key]=""),0),0)),"")</f>
        <v/>
      </c>
      <c r="B660" s="243" t="str">
        <f t="shared" si="90"/>
        <v/>
      </c>
      <c r="C660" s="243" t="str">
        <f t="shared" si="91"/>
        <v/>
      </c>
      <c r="D660" s="243" t="str">
        <f t="shared" si="92"/>
        <v/>
      </c>
      <c r="E660" s="265" t="str">
        <f>IF($A660="","",SUMIFS(Txn[Signed Units],Txn[Key],$A660))</f>
        <v/>
      </c>
      <c r="F660" s="287" t="str">
        <f>IF($A660="","",SUMIFS(Txn[Buy Cost],Txn[Key],$A660))</f>
        <v/>
      </c>
      <c r="G660" s="287" t="str">
        <f>IF($A660="","",SUMIFS(Txn[Sell Proceeds],Txn[Key],$A660))</f>
        <v/>
      </c>
      <c r="H660" s="288" t="str">
        <f>IF($A660="","",IFERROR(INDEX(Prices[Current Price],MATCH($A660,Prices[Key],0)),0))</f>
        <v/>
      </c>
      <c r="I660" s="289" t="str">
        <f>IF($A660="","",IFERROR(INDEX(Prices[FX to SGD],MATCH($A660,Prices[Key],0)),1))</f>
        <v/>
      </c>
      <c r="J660" s="287" t="str">
        <f t="shared" si="93"/>
        <v/>
      </c>
      <c r="K660" s="287" t="str">
        <f t="shared" si="94"/>
        <v/>
      </c>
      <c r="L660" s="287" t="str">
        <f t="shared" si="95"/>
        <v/>
      </c>
      <c r="M660" s="290" t="str">
        <f t="shared" si="96"/>
        <v/>
      </c>
      <c r="N660" s="243" t="str">
        <f>IF($A660="","",IF(ABS(E660)&gt;0.000001,COUNT($N$1:N659)+1,""))</f>
        <v/>
      </c>
      <c r="O660" s="291" t="str">
        <f>IF($A660="","",SUMIFS(Transactions!$H$2:$H$1001,Transactions!$J$2:$J$1001,$A660,Transactions!$A$2:$A$1001,2)*$I660)</f>
        <v/>
      </c>
      <c r="P660" s="291" t="str">
        <f t="shared" si="97"/>
        <v/>
      </c>
      <c r="Q660" s="292" t="str">
        <f t="shared" si="98"/>
        <v/>
      </c>
    </row>
    <row r="661" spans="1:17" ht="15" customHeight="1" x14ac:dyDescent="0.2">
      <c r="A661" s="243" t="str">
        <f>IFERROR(INDEX(Txn[Key],MATCH(0,INDEX(COUNTIF($A$1:A660,Txn[Key])+(Txn[Key]=""),0),0)),"")</f>
        <v/>
      </c>
      <c r="B661" s="243" t="str">
        <f t="shared" si="90"/>
        <v/>
      </c>
      <c r="C661" s="243" t="str">
        <f t="shared" si="91"/>
        <v/>
      </c>
      <c r="D661" s="243" t="str">
        <f t="shared" si="92"/>
        <v/>
      </c>
      <c r="E661" s="265" t="str">
        <f>IF($A661="","",SUMIFS(Txn[Signed Units],Txn[Key],$A661))</f>
        <v/>
      </c>
      <c r="F661" s="287" t="str">
        <f>IF($A661="","",SUMIFS(Txn[Buy Cost],Txn[Key],$A661))</f>
        <v/>
      </c>
      <c r="G661" s="287" t="str">
        <f>IF($A661="","",SUMIFS(Txn[Sell Proceeds],Txn[Key],$A661))</f>
        <v/>
      </c>
      <c r="H661" s="288" t="str">
        <f>IF($A661="","",IFERROR(INDEX(Prices[Current Price],MATCH($A661,Prices[Key],0)),0))</f>
        <v/>
      </c>
      <c r="I661" s="289" t="str">
        <f>IF($A661="","",IFERROR(INDEX(Prices[FX to SGD],MATCH($A661,Prices[Key],0)),1))</f>
        <v/>
      </c>
      <c r="J661" s="287" t="str">
        <f t="shared" si="93"/>
        <v/>
      </c>
      <c r="K661" s="287" t="str">
        <f t="shared" si="94"/>
        <v/>
      </c>
      <c r="L661" s="287" t="str">
        <f t="shared" si="95"/>
        <v/>
      </c>
      <c r="M661" s="290" t="str">
        <f t="shared" si="96"/>
        <v/>
      </c>
      <c r="N661" s="243" t="str">
        <f>IF($A661="","",IF(ABS(E661)&gt;0.000001,COUNT($N$1:N660)+1,""))</f>
        <v/>
      </c>
      <c r="O661" s="291" t="str">
        <f>IF($A661="","",SUMIFS(Transactions!$H$2:$H$1001,Transactions!$J$2:$J$1001,$A661,Transactions!$A$2:$A$1001,2)*$I661)</f>
        <v/>
      </c>
      <c r="P661" s="291" t="str">
        <f t="shared" si="97"/>
        <v/>
      </c>
      <c r="Q661" s="292" t="str">
        <f t="shared" si="98"/>
        <v/>
      </c>
    </row>
    <row r="662" spans="1:17" ht="15" customHeight="1" x14ac:dyDescent="0.2">
      <c r="A662" s="243" t="str">
        <f>IFERROR(INDEX(Txn[Key],MATCH(0,INDEX(COUNTIF($A$1:A661,Txn[Key])+(Txn[Key]=""),0),0)),"")</f>
        <v/>
      </c>
      <c r="B662" s="243" t="str">
        <f t="shared" si="90"/>
        <v/>
      </c>
      <c r="C662" s="243" t="str">
        <f t="shared" si="91"/>
        <v/>
      </c>
      <c r="D662" s="243" t="str">
        <f t="shared" si="92"/>
        <v/>
      </c>
      <c r="E662" s="265" t="str">
        <f>IF($A662="","",SUMIFS(Txn[Signed Units],Txn[Key],$A662))</f>
        <v/>
      </c>
      <c r="F662" s="287" t="str">
        <f>IF($A662="","",SUMIFS(Txn[Buy Cost],Txn[Key],$A662))</f>
        <v/>
      </c>
      <c r="G662" s="287" t="str">
        <f>IF($A662="","",SUMIFS(Txn[Sell Proceeds],Txn[Key],$A662))</f>
        <v/>
      </c>
      <c r="H662" s="288" t="str">
        <f>IF($A662="","",IFERROR(INDEX(Prices[Current Price],MATCH($A662,Prices[Key],0)),0))</f>
        <v/>
      </c>
      <c r="I662" s="289" t="str">
        <f>IF($A662="","",IFERROR(INDEX(Prices[FX to SGD],MATCH($A662,Prices[Key],0)),1))</f>
        <v/>
      </c>
      <c r="J662" s="287" t="str">
        <f t="shared" si="93"/>
        <v/>
      </c>
      <c r="K662" s="287" t="str">
        <f t="shared" si="94"/>
        <v/>
      </c>
      <c r="L662" s="287" t="str">
        <f t="shared" si="95"/>
        <v/>
      </c>
      <c r="M662" s="290" t="str">
        <f t="shared" si="96"/>
        <v/>
      </c>
      <c r="N662" s="243" t="str">
        <f>IF($A662="","",IF(ABS(E662)&gt;0.000001,COUNT($N$1:N661)+1,""))</f>
        <v/>
      </c>
      <c r="O662" s="291" t="str">
        <f>IF($A662="","",SUMIFS(Transactions!$H$2:$H$1001,Transactions!$J$2:$J$1001,$A662,Transactions!$A$2:$A$1001,2)*$I662)</f>
        <v/>
      </c>
      <c r="P662" s="291" t="str">
        <f t="shared" si="97"/>
        <v/>
      </c>
      <c r="Q662" s="292" t="str">
        <f t="shared" si="98"/>
        <v/>
      </c>
    </row>
    <row r="663" spans="1:17" ht="15" customHeight="1" x14ac:dyDescent="0.2">
      <c r="A663" s="243" t="str">
        <f>IFERROR(INDEX(Txn[Key],MATCH(0,INDEX(COUNTIF($A$1:A662,Txn[Key])+(Txn[Key]=""),0),0)),"")</f>
        <v/>
      </c>
      <c r="B663" s="243" t="str">
        <f t="shared" si="90"/>
        <v/>
      </c>
      <c r="C663" s="243" t="str">
        <f t="shared" si="91"/>
        <v/>
      </c>
      <c r="D663" s="243" t="str">
        <f t="shared" si="92"/>
        <v/>
      </c>
      <c r="E663" s="265" t="str">
        <f>IF($A663="","",SUMIFS(Txn[Signed Units],Txn[Key],$A663))</f>
        <v/>
      </c>
      <c r="F663" s="287" t="str">
        <f>IF($A663="","",SUMIFS(Txn[Buy Cost],Txn[Key],$A663))</f>
        <v/>
      </c>
      <c r="G663" s="287" t="str">
        <f>IF($A663="","",SUMIFS(Txn[Sell Proceeds],Txn[Key],$A663))</f>
        <v/>
      </c>
      <c r="H663" s="288" t="str">
        <f>IF($A663="","",IFERROR(INDEX(Prices[Current Price],MATCH($A663,Prices[Key],0)),0))</f>
        <v/>
      </c>
      <c r="I663" s="289" t="str">
        <f>IF($A663="","",IFERROR(INDEX(Prices[FX to SGD],MATCH($A663,Prices[Key],0)),1))</f>
        <v/>
      </c>
      <c r="J663" s="287" t="str">
        <f t="shared" si="93"/>
        <v/>
      </c>
      <c r="K663" s="287" t="str">
        <f t="shared" si="94"/>
        <v/>
      </c>
      <c r="L663" s="287" t="str">
        <f t="shared" si="95"/>
        <v/>
      </c>
      <c r="M663" s="290" t="str">
        <f t="shared" si="96"/>
        <v/>
      </c>
      <c r="N663" s="243" t="str">
        <f>IF($A663="","",IF(ABS(E663)&gt;0.000001,COUNT($N$1:N662)+1,""))</f>
        <v/>
      </c>
      <c r="O663" s="291" t="str">
        <f>IF($A663="","",SUMIFS(Transactions!$H$2:$H$1001,Transactions!$J$2:$J$1001,$A663,Transactions!$A$2:$A$1001,2)*$I663)</f>
        <v/>
      </c>
      <c r="P663" s="291" t="str">
        <f t="shared" si="97"/>
        <v/>
      </c>
      <c r="Q663" s="292" t="str">
        <f t="shared" si="98"/>
        <v/>
      </c>
    </row>
    <row r="664" spans="1:17" ht="15" customHeight="1" x14ac:dyDescent="0.2">
      <c r="A664" s="243" t="str">
        <f>IFERROR(INDEX(Txn[Key],MATCH(0,INDEX(COUNTIF($A$1:A663,Txn[Key])+(Txn[Key]=""),0),0)),"")</f>
        <v/>
      </c>
      <c r="B664" s="243" t="str">
        <f t="shared" si="90"/>
        <v/>
      </c>
      <c r="C664" s="243" t="str">
        <f t="shared" si="91"/>
        <v/>
      </c>
      <c r="D664" s="243" t="str">
        <f t="shared" si="92"/>
        <v/>
      </c>
      <c r="E664" s="265" t="str">
        <f>IF($A664="","",SUMIFS(Txn[Signed Units],Txn[Key],$A664))</f>
        <v/>
      </c>
      <c r="F664" s="287" t="str">
        <f>IF($A664="","",SUMIFS(Txn[Buy Cost],Txn[Key],$A664))</f>
        <v/>
      </c>
      <c r="G664" s="287" t="str">
        <f>IF($A664="","",SUMIFS(Txn[Sell Proceeds],Txn[Key],$A664))</f>
        <v/>
      </c>
      <c r="H664" s="288" t="str">
        <f>IF($A664="","",IFERROR(INDEX(Prices[Current Price],MATCH($A664,Prices[Key],0)),0))</f>
        <v/>
      </c>
      <c r="I664" s="289" t="str">
        <f>IF($A664="","",IFERROR(INDEX(Prices[FX to SGD],MATCH($A664,Prices[Key],0)),1))</f>
        <v/>
      </c>
      <c r="J664" s="287" t="str">
        <f t="shared" si="93"/>
        <v/>
      </c>
      <c r="K664" s="287" t="str">
        <f t="shared" si="94"/>
        <v/>
      </c>
      <c r="L664" s="287" t="str">
        <f t="shared" si="95"/>
        <v/>
      </c>
      <c r="M664" s="290" t="str">
        <f t="shared" si="96"/>
        <v/>
      </c>
      <c r="N664" s="243" t="str">
        <f>IF($A664="","",IF(ABS(E664)&gt;0.000001,COUNT($N$1:N663)+1,""))</f>
        <v/>
      </c>
      <c r="O664" s="291" t="str">
        <f>IF($A664="","",SUMIFS(Transactions!$H$2:$H$1001,Transactions!$J$2:$J$1001,$A664,Transactions!$A$2:$A$1001,2)*$I664)</f>
        <v/>
      </c>
      <c r="P664" s="291" t="str">
        <f t="shared" si="97"/>
        <v/>
      </c>
      <c r="Q664" s="292" t="str">
        <f t="shared" si="98"/>
        <v/>
      </c>
    </row>
    <row r="665" spans="1:17" ht="15" customHeight="1" x14ac:dyDescent="0.2">
      <c r="A665" s="243" t="str">
        <f>IFERROR(INDEX(Txn[Key],MATCH(0,INDEX(COUNTIF($A$1:A664,Txn[Key])+(Txn[Key]=""),0),0)),"")</f>
        <v/>
      </c>
      <c r="B665" s="243" t="str">
        <f t="shared" si="90"/>
        <v/>
      </c>
      <c r="C665" s="243" t="str">
        <f t="shared" si="91"/>
        <v/>
      </c>
      <c r="D665" s="243" t="str">
        <f t="shared" si="92"/>
        <v/>
      </c>
      <c r="E665" s="265" t="str">
        <f>IF($A665="","",SUMIFS(Txn[Signed Units],Txn[Key],$A665))</f>
        <v/>
      </c>
      <c r="F665" s="287" t="str">
        <f>IF($A665="","",SUMIFS(Txn[Buy Cost],Txn[Key],$A665))</f>
        <v/>
      </c>
      <c r="G665" s="287" t="str">
        <f>IF($A665="","",SUMIFS(Txn[Sell Proceeds],Txn[Key],$A665))</f>
        <v/>
      </c>
      <c r="H665" s="288" t="str">
        <f>IF($A665="","",IFERROR(INDEX(Prices[Current Price],MATCH($A665,Prices[Key],0)),0))</f>
        <v/>
      </c>
      <c r="I665" s="289" t="str">
        <f>IF($A665="","",IFERROR(INDEX(Prices[FX to SGD],MATCH($A665,Prices[Key],0)),1))</f>
        <v/>
      </c>
      <c r="J665" s="287" t="str">
        <f t="shared" si="93"/>
        <v/>
      </c>
      <c r="K665" s="287" t="str">
        <f t="shared" si="94"/>
        <v/>
      </c>
      <c r="L665" s="287" t="str">
        <f t="shared" si="95"/>
        <v/>
      </c>
      <c r="M665" s="290" t="str">
        <f t="shared" si="96"/>
        <v/>
      </c>
      <c r="N665" s="243" t="str">
        <f>IF($A665="","",IF(ABS(E665)&gt;0.000001,COUNT($N$1:N664)+1,""))</f>
        <v/>
      </c>
      <c r="O665" s="291" t="str">
        <f>IF($A665="","",SUMIFS(Transactions!$H$2:$H$1001,Transactions!$J$2:$J$1001,$A665,Transactions!$A$2:$A$1001,2)*$I665)</f>
        <v/>
      </c>
      <c r="P665" s="291" t="str">
        <f t="shared" si="97"/>
        <v/>
      </c>
      <c r="Q665" s="292" t="str">
        <f t="shared" si="98"/>
        <v/>
      </c>
    </row>
    <row r="666" spans="1:17" ht="15" customHeight="1" x14ac:dyDescent="0.2">
      <c r="A666" s="243" t="str">
        <f>IFERROR(INDEX(Txn[Key],MATCH(0,INDEX(COUNTIF($A$1:A665,Txn[Key])+(Txn[Key]=""),0),0)),"")</f>
        <v/>
      </c>
      <c r="B666" s="243" t="str">
        <f t="shared" si="90"/>
        <v/>
      </c>
      <c r="C666" s="243" t="str">
        <f t="shared" si="91"/>
        <v/>
      </c>
      <c r="D666" s="243" t="str">
        <f t="shared" si="92"/>
        <v/>
      </c>
      <c r="E666" s="265" t="str">
        <f>IF($A666="","",SUMIFS(Txn[Signed Units],Txn[Key],$A666))</f>
        <v/>
      </c>
      <c r="F666" s="287" t="str">
        <f>IF($A666="","",SUMIFS(Txn[Buy Cost],Txn[Key],$A666))</f>
        <v/>
      </c>
      <c r="G666" s="287" t="str">
        <f>IF($A666="","",SUMIFS(Txn[Sell Proceeds],Txn[Key],$A666))</f>
        <v/>
      </c>
      <c r="H666" s="288" t="str">
        <f>IF($A666="","",IFERROR(INDEX(Prices[Current Price],MATCH($A666,Prices[Key],0)),0))</f>
        <v/>
      </c>
      <c r="I666" s="289" t="str">
        <f>IF($A666="","",IFERROR(INDEX(Prices[FX to SGD],MATCH($A666,Prices[Key],0)),1))</f>
        <v/>
      </c>
      <c r="J666" s="287" t="str">
        <f t="shared" si="93"/>
        <v/>
      </c>
      <c r="K666" s="287" t="str">
        <f t="shared" si="94"/>
        <v/>
      </c>
      <c r="L666" s="287" t="str">
        <f t="shared" si="95"/>
        <v/>
      </c>
      <c r="M666" s="290" t="str">
        <f t="shared" si="96"/>
        <v/>
      </c>
      <c r="N666" s="243" t="str">
        <f>IF($A666="","",IF(ABS(E666)&gt;0.000001,COUNT($N$1:N665)+1,""))</f>
        <v/>
      </c>
      <c r="O666" s="291" t="str">
        <f>IF($A666="","",SUMIFS(Transactions!$H$2:$H$1001,Transactions!$J$2:$J$1001,$A666,Transactions!$A$2:$A$1001,2)*$I666)</f>
        <v/>
      </c>
      <c r="P666" s="291" t="str">
        <f t="shared" si="97"/>
        <v/>
      </c>
      <c r="Q666" s="292" t="str">
        <f t="shared" si="98"/>
        <v/>
      </c>
    </row>
    <row r="667" spans="1:17" ht="15" customHeight="1" x14ac:dyDescent="0.2">
      <c r="A667" s="243" t="str">
        <f>IFERROR(INDEX(Txn[Key],MATCH(0,INDEX(COUNTIF($A$1:A666,Txn[Key])+(Txn[Key]=""),0),0)),"")</f>
        <v/>
      </c>
      <c r="B667" s="243" t="str">
        <f t="shared" si="90"/>
        <v/>
      </c>
      <c r="C667" s="243" t="str">
        <f t="shared" si="91"/>
        <v/>
      </c>
      <c r="D667" s="243" t="str">
        <f t="shared" si="92"/>
        <v/>
      </c>
      <c r="E667" s="265" t="str">
        <f>IF($A667="","",SUMIFS(Txn[Signed Units],Txn[Key],$A667))</f>
        <v/>
      </c>
      <c r="F667" s="287" t="str">
        <f>IF($A667="","",SUMIFS(Txn[Buy Cost],Txn[Key],$A667))</f>
        <v/>
      </c>
      <c r="G667" s="287" t="str">
        <f>IF($A667="","",SUMIFS(Txn[Sell Proceeds],Txn[Key],$A667))</f>
        <v/>
      </c>
      <c r="H667" s="288" t="str">
        <f>IF($A667="","",IFERROR(INDEX(Prices[Current Price],MATCH($A667,Prices[Key],0)),0))</f>
        <v/>
      </c>
      <c r="I667" s="289" t="str">
        <f>IF($A667="","",IFERROR(INDEX(Prices[FX to SGD],MATCH($A667,Prices[Key],0)),1))</f>
        <v/>
      </c>
      <c r="J667" s="287" t="str">
        <f t="shared" si="93"/>
        <v/>
      </c>
      <c r="K667" s="287" t="str">
        <f t="shared" si="94"/>
        <v/>
      </c>
      <c r="L667" s="287" t="str">
        <f t="shared" si="95"/>
        <v/>
      </c>
      <c r="M667" s="290" t="str">
        <f t="shared" si="96"/>
        <v/>
      </c>
      <c r="N667" s="243" t="str">
        <f>IF($A667="","",IF(ABS(E667)&gt;0.000001,COUNT($N$1:N666)+1,""))</f>
        <v/>
      </c>
      <c r="O667" s="291" t="str">
        <f>IF($A667="","",SUMIFS(Transactions!$H$2:$H$1001,Transactions!$J$2:$J$1001,$A667,Transactions!$A$2:$A$1001,2)*$I667)</f>
        <v/>
      </c>
      <c r="P667" s="291" t="str">
        <f t="shared" si="97"/>
        <v/>
      </c>
      <c r="Q667" s="292" t="str">
        <f t="shared" si="98"/>
        <v/>
      </c>
    </row>
    <row r="668" spans="1:17" ht="15" customHeight="1" x14ac:dyDescent="0.2">
      <c r="A668" s="243" t="str">
        <f>IFERROR(INDEX(Txn[Key],MATCH(0,INDEX(COUNTIF($A$1:A667,Txn[Key])+(Txn[Key]=""),0),0)),"")</f>
        <v/>
      </c>
      <c r="B668" s="243" t="str">
        <f t="shared" si="90"/>
        <v/>
      </c>
      <c r="C668" s="243" t="str">
        <f t="shared" si="91"/>
        <v/>
      </c>
      <c r="D668" s="243" t="str">
        <f t="shared" si="92"/>
        <v/>
      </c>
      <c r="E668" s="265" t="str">
        <f>IF($A668="","",SUMIFS(Txn[Signed Units],Txn[Key],$A668))</f>
        <v/>
      </c>
      <c r="F668" s="287" t="str">
        <f>IF($A668="","",SUMIFS(Txn[Buy Cost],Txn[Key],$A668))</f>
        <v/>
      </c>
      <c r="G668" s="287" t="str">
        <f>IF($A668="","",SUMIFS(Txn[Sell Proceeds],Txn[Key],$A668))</f>
        <v/>
      </c>
      <c r="H668" s="288" t="str">
        <f>IF($A668="","",IFERROR(INDEX(Prices[Current Price],MATCH($A668,Prices[Key],0)),0))</f>
        <v/>
      </c>
      <c r="I668" s="289" t="str">
        <f>IF($A668="","",IFERROR(INDEX(Prices[FX to SGD],MATCH($A668,Prices[Key],0)),1))</f>
        <v/>
      </c>
      <c r="J668" s="287" t="str">
        <f t="shared" si="93"/>
        <v/>
      </c>
      <c r="K668" s="287" t="str">
        <f t="shared" si="94"/>
        <v/>
      </c>
      <c r="L668" s="287" t="str">
        <f t="shared" si="95"/>
        <v/>
      </c>
      <c r="M668" s="290" t="str">
        <f t="shared" si="96"/>
        <v/>
      </c>
      <c r="N668" s="243" t="str">
        <f>IF($A668="","",IF(ABS(E668)&gt;0.000001,COUNT($N$1:N667)+1,""))</f>
        <v/>
      </c>
      <c r="O668" s="291" t="str">
        <f>IF($A668="","",SUMIFS(Transactions!$H$2:$H$1001,Transactions!$J$2:$J$1001,$A668,Transactions!$A$2:$A$1001,2)*$I668)</f>
        <v/>
      </c>
      <c r="P668" s="291" t="str">
        <f t="shared" si="97"/>
        <v/>
      </c>
      <c r="Q668" s="292" t="str">
        <f t="shared" si="98"/>
        <v/>
      </c>
    </row>
    <row r="669" spans="1:17" ht="15" customHeight="1" x14ac:dyDescent="0.2">
      <c r="A669" s="243" t="str">
        <f>IFERROR(INDEX(Txn[Key],MATCH(0,INDEX(COUNTIF($A$1:A668,Txn[Key])+(Txn[Key]=""),0),0)),"")</f>
        <v/>
      </c>
      <c r="B669" s="243" t="str">
        <f t="shared" si="90"/>
        <v/>
      </c>
      <c r="C669" s="243" t="str">
        <f t="shared" si="91"/>
        <v/>
      </c>
      <c r="D669" s="243" t="str">
        <f t="shared" si="92"/>
        <v/>
      </c>
      <c r="E669" s="265" t="str">
        <f>IF($A669="","",SUMIFS(Txn[Signed Units],Txn[Key],$A669))</f>
        <v/>
      </c>
      <c r="F669" s="287" t="str">
        <f>IF($A669="","",SUMIFS(Txn[Buy Cost],Txn[Key],$A669))</f>
        <v/>
      </c>
      <c r="G669" s="287" t="str">
        <f>IF($A669="","",SUMIFS(Txn[Sell Proceeds],Txn[Key],$A669))</f>
        <v/>
      </c>
      <c r="H669" s="288" t="str">
        <f>IF($A669="","",IFERROR(INDEX(Prices[Current Price],MATCH($A669,Prices[Key],0)),0))</f>
        <v/>
      </c>
      <c r="I669" s="289" t="str">
        <f>IF($A669="","",IFERROR(INDEX(Prices[FX to SGD],MATCH($A669,Prices[Key],0)),1))</f>
        <v/>
      </c>
      <c r="J669" s="287" t="str">
        <f t="shared" si="93"/>
        <v/>
      </c>
      <c r="K669" s="287" t="str">
        <f t="shared" si="94"/>
        <v/>
      </c>
      <c r="L669" s="287" t="str">
        <f t="shared" si="95"/>
        <v/>
      </c>
      <c r="M669" s="290" t="str">
        <f t="shared" si="96"/>
        <v/>
      </c>
      <c r="N669" s="243" t="str">
        <f>IF($A669="","",IF(ABS(E669)&gt;0.000001,COUNT($N$1:N668)+1,""))</f>
        <v/>
      </c>
      <c r="O669" s="291" t="str">
        <f>IF($A669="","",SUMIFS(Transactions!$H$2:$H$1001,Transactions!$J$2:$J$1001,$A669,Transactions!$A$2:$A$1001,2)*$I669)</f>
        <v/>
      </c>
      <c r="P669" s="291" t="str">
        <f t="shared" si="97"/>
        <v/>
      </c>
      <c r="Q669" s="292" t="str">
        <f t="shared" si="98"/>
        <v/>
      </c>
    </row>
    <row r="670" spans="1:17" ht="15" customHeight="1" x14ac:dyDescent="0.2">
      <c r="A670" s="243" t="str">
        <f>IFERROR(INDEX(Txn[Key],MATCH(0,INDEX(COUNTIF($A$1:A669,Txn[Key])+(Txn[Key]=""),0),0)),"")</f>
        <v/>
      </c>
      <c r="B670" s="243" t="str">
        <f t="shared" si="90"/>
        <v/>
      </c>
      <c r="C670" s="243" t="str">
        <f t="shared" si="91"/>
        <v/>
      </c>
      <c r="D670" s="243" t="str">
        <f t="shared" si="92"/>
        <v/>
      </c>
      <c r="E670" s="265" t="str">
        <f>IF($A670="","",SUMIFS(Txn[Signed Units],Txn[Key],$A670))</f>
        <v/>
      </c>
      <c r="F670" s="287" t="str">
        <f>IF($A670="","",SUMIFS(Txn[Buy Cost],Txn[Key],$A670))</f>
        <v/>
      </c>
      <c r="G670" s="287" t="str">
        <f>IF($A670="","",SUMIFS(Txn[Sell Proceeds],Txn[Key],$A670))</f>
        <v/>
      </c>
      <c r="H670" s="288" t="str">
        <f>IF($A670="","",IFERROR(INDEX(Prices[Current Price],MATCH($A670,Prices[Key],0)),0))</f>
        <v/>
      </c>
      <c r="I670" s="289" t="str">
        <f>IF($A670="","",IFERROR(INDEX(Prices[FX to SGD],MATCH($A670,Prices[Key],0)),1))</f>
        <v/>
      </c>
      <c r="J670" s="287" t="str">
        <f t="shared" si="93"/>
        <v/>
      </c>
      <c r="K670" s="287" t="str">
        <f t="shared" si="94"/>
        <v/>
      </c>
      <c r="L670" s="287" t="str">
        <f t="shared" si="95"/>
        <v/>
      </c>
      <c r="M670" s="290" t="str">
        <f t="shared" si="96"/>
        <v/>
      </c>
      <c r="N670" s="243" t="str">
        <f>IF($A670="","",IF(ABS(E670)&gt;0.000001,COUNT($N$1:N669)+1,""))</f>
        <v/>
      </c>
      <c r="O670" s="291" t="str">
        <f>IF($A670="","",SUMIFS(Transactions!$H$2:$H$1001,Transactions!$J$2:$J$1001,$A670,Transactions!$A$2:$A$1001,2)*$I670)</f>
        <v/>
      </c>
      <c r="P670" s="291" t="str">
        <f t="shared" si="97"/>
        <v/>
      </c>
      <c r="Q670" s="292" t="str">
        <f t="shared" si="98"/>
        <v/>
      </c>
    </row>
    <row r="671" spans="1:17" ht="15" customHeight="1" x14ac:dyDescent="0.2">
      <c r="A671" s="243" t="str">
        <f>IFERROR(INDEX(Txn[Key],MATCH(0,INDEX(COUNTIF($A$1:A670,Txn[Key])+(Txn[Key]=""),0),0)),"")</f>
        <v/>
      </c>
      <c r="B671" s="243" t="str">
        <f t="shared" si="90"/>
        <v/>
      </c>
      <c r="C671" s="243" t="str">
        <f t="shared" si="91"/>
        <v/>
      </c>
      <c r="D671" s="243" t="str">
        <f t="shared" si="92"/>
        <v/>
      </c>
      <c r="E671" s="265" t="str">
        <f>IF($A671="","",SUMIFS(Txn[Signed Units],Txn[Key],$A671))</f>
        <v/>
      </c>
      <c r="F671" s="287" t="str">
        <f>IF($A671="","",SUMIFS(Txn[Buy Cost],Txn[Key],$A671))</f>
        <v/>
      </c>
      <c r="G671" s="287" t="str">
        <f>IF($A671="","",SUMIFS(Txn[Sell Proceeds],Txn[Key],$A671))</f>
        <v/>
      </c>
      <c r="H671" s="288" t="str">
        <f>IF($A671="","",IFERROR(INDEX(Prices[Current Price],MATCH($A671,Prices[Key],0)),0))</f>
        <v/>
      </c>
      <c r="I671" s="289" t="str">
        <f>IF($A671="","",IFERROR(INDEX(Prices[FX to SGD],MATCH($A671,Prices[Key],0)),1))</f>
        <v/>
      </c>
      <c r="J671" s="287" t="str">
        <f t="shared" si="93"/>
        <v/>
      </c>
      <c r="K671" s="287" t="str">
        <f t="shared" si="94"/>
        <v/>
      </c>
      <c r="L671" s="287" t="str">
        <f t="shared" si="95"/>
        <v/>
      </c>
      <c r="M671" s="290" t="str">
        <f t="shared" si="96"/>
        <v/>
      </c>
      <c r="N671" s="243" t="str">
        <f>IF($A671="","",IF(ABS(E671)&gt;0.000001,COUNT($N$1:N670)+1,""))</f>
        <v/>
      </c>
      <c r="O671" s="291" t="str">
        <f>IF($A671="","",SUMIFS(Transactions!$H$2:$H$1001,Transactions!$J$2:$J$1001,$A671,Transactions!$A$2:$A$1001,2)*$I671)</f>
        <v/>
      </c>
      <c r="P671" s="291" t="str">
        <f t="shared" si="97"/>
        <v/>
      </c>
      <c r="Q671" s="292" t="str">
        <f t="shared" si="98"/>
        <v/>
      </c>
    </row>
    <row r="672" spans="1:17" ht="15" customHeight="1" x14ac:dyDescent="0.2">
      <c r="A672" s="243" t="str">
        <f>IFERROR(INDEX(Txn[Key],MATCH(0,INDEX(COUNTIF($A$1:A671,Txn[Key])+(Txn[Key]=""),0),0)),"")</f>
        <v/>
      </c>
      <c r="B672" s="243" t="str">
        <f t="shared" si="90"/>
        <v/>
      </c>
      <c r="C672" s="243" t="str">
        <f t="shared" si="91"/>
        <v/>
      </c>
      <c r="D672" s="243" t="str">
        <f t="shared" si="92"/>
        <v/>
      </c>
      <c r="E672" s="265" t="str">
        <f>IF($A672="","",SUMIFS(Txn[Signed Units],Txn[Key],$A672))</f>
        <v/>
      </c>
      <c r="F672" s="287" t="str">
        <f>IF($A672="","",SUMIFS(Txn[Buy Cost],Txn[Key],$A672))</f>
        <v/>
      </c>
      <c r="G672" s="287" t="str">
        <f>IF($A672="","",SUMIFS(Txn[Sell Proceeds],Txn[Key],$A672))</f>
        <v/>
      </c>
      <c r="H672" s="288" t="str">
        <f>IF($A672="","",IFERROR(INDEX(Prices[Current Price],MATCH($A672,Prices[Key],0)),0))</f>
        <v/>
      </c>
      <c r="I672" s="289" t="str">
        <f>IF($A672="","",IFERROR(INDEX(Prices[FX to SGD],MATCH($A672,Prices[Key],0)),1))</f>
        <v/>
      </c>
      <c r="J672" s="287" t="str">
        <f t="shared" si="93"/>
        <v/>
      </c>
      <c r="K672" s="287" t="str">
        <f t="shared" si="94"/>
        <v/>
      </c>
      <c r="L672" s="287" t="str">
        <f t="shared" si="95"/>
        <v/>
      </c>
      <c r="M672" s="290" t="str">
        <f t="shared" si="96"/>
        <v/>
      </c>
      <c r="N672" s="243" t="str">
        <f>IF($A672="","",IF(ABS(E672)&gt;0.000001,COUNT($N$1:N671)+1,""))</f>
        <v/>
      </c>
      <c r="O672" s="291" t="str">
        <f>IF($A672="","",SUMIFS(Transactions!$H$2:$H$1001,Transactions!$J$2:$J$1001,$A672,Transactions!$A$2:$A$1001,2)*$I672)</f>
        <v/>
      </c>
      <c r="P672" s="291" t="str">
        <f t="shared" si="97"/>
        <v/>
      </c>
      <c r="Q672" s="292" t="str">
        <f t="shared" si="98"/>
        <v/>
      </c>
    </row>
    <row r="673" spans="1:17" ht="15" customHeight="1" x14ac:dyDescent="0.2">
      <c r="A673" s="243" t="str">
        <f>IFERROR(INDEX(Txn[Key],MATCH(0,INDEX(COUNTIF($A$1:A672,Txn[Key])+(Txn[Key]=""),0),0)),"")</f>
        <v/>
      </c>
      <c r="B673" s="243" t="str">
        <f t="shared" si="90"/>
        <v/>
      </c>
      <c r="C673" s="243" t="str">
        <f t="shared" si="91"/>
        <v/>
      </c>
      <c r="D673" s="243" t="str">
        <f t="shared" si="92"/>
        <v/>
      </c>
      <c r="E673" s="265" t="str">
        <f>IF($A673="","",SUMIFS(Txn[Signed Units],Txn[Key],$A673))</f>
        <v/>
      </c>
      <c r="F673" s="287" t="str">
        <f>IF($A673="","",SUMIFS(Txn[Buy Cost],Txn[Key],$A673))</f>
        <v/>
      </c>
      <c r="G673" s="287" t="str">
        <f>IF($A673="","",SUMIFS(Txn[Sell Proceeds],Txn[Key],$A673))</f>
        <v/>
      </c>
      <c r="H673" s="288" t="str">
        <f>IF($A673="","",IFERROR(INDEX(Prices[Current Price],MATCH($A673,Prices[Key],0)),0))</f>
        <v/>
      </c>
      <c r="I673" s="289" t="str">
        <f>IF($A673="","",IFERROR(INDEX(Prices[FX to SGD],MATCH($A673,Prices[Key],0)),1))</f>
        <v/>
      </c>
      <c r="J673" s="287" t="str">
        <f t="shared" si="93"/>
        <v/>
      </c>
      <c r="K673" s="287" t="str">
        <f t="shared" si="94"/>
        <v/>
      </c>
      <c r="L673" s="287" t="str">
        <f t="shared" si="95"/>
        <v/>
      </c>
      <c r="M673" s="290" t="str">
        <f t="shared" si="96"/>
        <v/>
      </c>
      <c r="N673" s="243" t="str">
        <f>IF($A673="","",IF(ABS(E673)&gt;0.000001,COUNT($N$1:N672)+1,""))</f>
        <v/>
      </c>
      <c r="O673" s="291" t="str">
        <f>IF($A673="","",SUMIFS(Transactions!$H$2:$H$1001,Transactions!$J$2:$J$1001,$A673,Transactions!$A$2:$A$1001,2)*$I673)</f>
        <v/>
      </c>
      <c r="P673" s="291" t="str">
        <f t="shared" si="97"/>
        <v/>
      </c>
      <c r="Q673" s="292" t="str">
        <f t="shared" si="98"/>
        <v/>
      </c>
    </row>
    <row r="674" spans="1:17" ht="15" customHeight="1" x14ac:dyDescent="0.2">
      <c r="A674" s="243" t="str">
        <f>IFERROR(INDEX(Txn[Key],MATCH(0,INDEX(COUNTIF($A$1:A673,Txn[Key])+(Txn[Key]=""),0),0)),"")</f>
        <v/>
      </c>
      <c r="B674" s="243" t="str">
        <f t="shared" si="90"/>
        <v/>
      </c>
      <c r="C674" s="243" t="str">
        <f t="shared" si="91"/>
        <v/>
      </c>
      <c r="D674" s="243" t="str">
        <f t="shared" si="92"/>
        <v/>
      </c>
      <c r="E674" s="265" t="str">
        <f>IF($A674="","",SUMIFS(Txn[Signed Units],Txn[Key],$A674))</f>
        <v/>
      </c>
      <c r="F674" s="287" t="str">
        <f>IF($A674="","",SUMIFS(Txn[Buy Cost],Txn[Key],$A674))</f>
        <v/>
      </c>
      <c r="G674" s="287" t="str">
        <f>IF($A674="","",SUMIFS(Txn[Sell Proceeds],Txn[Key],$A674))</f>
        <v/>
      </c>
      <c r="H674" s="288" t="str">
        <f>IF($A674="","",IFERROR(INDEX(Prices[Current Price],MATCH($A674,Prices[Key],0)),0))</f>
        <v/>
      </c>
      <c r="I674" s="289" t="str">
        <f>IF($A674="","",IFERROR(INDEX(Prices[FX to SGD],MATCH($A674,Prices[Key],0)),1))</f>
        <v/>
      </c>
      <c r="J674" s="287" t="str">
        <f t="shared" si="93"/>
        <v/>
      </c>
      <c r="K674" s="287" t="str">
        <f t="shared" si="94"/>
        <v/>
      </c>
      <c r="L674" s="287" t="str">
        <f t="shared" si="95"/>
        <v/>
      </c>
      <c r="M674" s="290" t="str">
        <f t="shared" si="96"/>
        <v/>
      </c>
      <c r="N674" s="243" t="str">
        <f>IF($A674="","",IF(ABS(E674)&gt;0.000001,COUNT($N$1:N673)+1,""))</f>
        <v/>
      </c>
      <c r="O674" s="291" t="str">
        <f>IF($A674="","",SUMIFS(Transactions!$H$2:$H$1001,Transactions!$J$2:$J$1001,$A674,Transactions!$A$2:$A$1001,2)*$I674)</f>
        <v/>
      </c>
      <c r="P674" s="291" t="str">
        <f t="shared" si="97"/>
        <v/>
      </c>
      <c r="Q674" s="292" t="str">
        <f t="shared" si="98"/>
        <v/>
      </c>
    </row>
    <row r="675" spans="1:17" ht="15" customHeight="1" x14ac:dyDescent="0.2">
      <c r="A675" s="243" t="str">
        <f>IFERROR(INDEX(Txn[Key],MATCH(0,INDEX(COUNTIF($A$1:A674,Txn[Key])+(Txn[Key]=""),0),0)),"")</f>
        <v/>
      </c>
      <c r="B675" s="243" t="str">
        <f t="shared" si="90"/>
        <v/>
      </c>
      <c r="C675" s="243" t="str">
        <f t="shared" si="91"/>
        <v/>
      </c>
      <c r="D675" s="243" t="str">
        <f t="shared" si="92"/>
        <v/>
      </c>
      <c r="E675" s="265" t="str">
        <f>IF($A675="","",SUMIFS(Txn[Signed Units],Txn[Key],$A675))</f>
        <v/>
      </c>
      <c r="F675" s="287" t="str">
        <f>IF($A675="","",SUMIFS(Txn[Buy Cost],Txn[Key],$A675))</f>
        <v/>
      </c>
      <c r="G675" s="287" t="str">
        <f>IF($A675="","",SUMIFS(Txn[Sell Proceeds],Txn[Key],$A675))</f>
        <v/>
      </c>
      <c r="H675" s="288" t="str">
        <f>IF($A675="","",IFERROR(INDEX(Prices[Current Price],MATCH($A675,Prices[Key],0)),0))</f>
        <v/>
      </c>
      <c r="I675" s="289" t="str">
        <f>IF($A675="","",IFERROR(INDEX(Prices[FX to SGD],MATCH($A675,Prices[Key],0)),1))</f>
        <v/>
      </c>
      <c r="J675" s="287" t="str">
        <f t="shared" si="93"/>
        <v/>
      </c>
      <c r="K675" s="287" t="str">
        <f t="shared" si="94"/>
        <v/>
      </c>
      <c r="L675" s="287" t="str">
        <f t="shared" si="95"/>
        <v/>
      </c>
      <c r="M675" s="290" t="str">
        <f t="shared" si="96"/>
        <v/>
      </c>
      <c r="N675" s="243" t="str">
        <f>IF($A675="","",IF(ABS(E675)&gt;0.000001,COUNT($N$1:N674)+1,""))</f>
        <v/>
      </c>
      <c r="O675" s="291" t="str">
        <f>IF($A675="","",SUMIFS(Transactions!$H$2:$H$1001,Transactions!$J$2:$J$1001,$A675,Transactions!$A$2:$A$1001,2)*$I675)</f>
        <v/>
      </c>
      <c r="P675" s="291" t="str">
        <f t="shared" si="97"/>
        <v/>
      </c>
      <c r="Q675" s="292" t="str">
        <f t="shared" si="98"/>
        <v/>
      </c>
    </row>
    <row r="676" spans="1:17" ht="15" customHeight="1" x14ac:dyDescent="0.2">
      <c r="A676" s="243" t="str">
        <f>IFERROR(INDEX(Txn[Key],MATCH(0,INDEX(COUNTIF($A$1:A675,Txn[Key])+(Txn[Key]=""),0),0)),"")</f>
        <v/>
      </c>
      <c r="B676" s="243" t="str">
        <f t="shared" si="90"/>
        <v/>
      </c>
      <c r="C676" s="243" t="str">
        <f t="shared" si="91"/>
        <v/>
      </c>
      <c r="D676" s="243" t="str">
        <f t="shared" si="92"/>
        <v/>
      </c>
      <c r="E676" s="265" t="str">
        <f>IF($A676="","",SUMIFS(Txn[Signed Units],Txn[Key],$A676))</f>
        <v/>
      </c>
      <c r="F676" s="287" t="str">
        <f>IF($A676="","",SUMIFS(Txn[Buy Cost],Txn[Key],$A676))</f>
        <v/>
      </c>
      <c r="G676" s="287" t="str">
        <f>IF($A676="","",SUMIFS(Txn[Sell Proceeds],Txn[Key],$A676))</f>
        <v/>
      </c>
      <c r="H676" s="288" t="str">
        <f>IF($A676="","",IFERROR(INDEX(Prices[Current Price],MATCH($A676,Prices[Key],0)),0))</f>
        <v/>
      </c>
      <c r="I676" s="289" t="str">
        <f>IF($A676="","",IFERROR(INDEX(Prices[FX to SGD],MATCH($A676,Prices[Key],0)),1))</f>
        <v/>
      </c>
      <c r="J676" s="287" t="str">
        <f t="shared" si="93"/>
        <v/>
      </c>
      <c r="K676" s="287" t="str">
        <f t="shared" si="94"/>
        <v/>
      </c>
      <c r="L676" s="287" t="str">
        <f t="shared" si="95"/>
        <v/>
      </c>
      <c r="M676" s="290" t="str">
        <f t="shared" si="96"/>
        <v/>
      </c>
      <c r="N676" s="243" t="str">
        <f>IF($A676="","",IF(ABS(E676)&gt;0.000001,COUNT($N$1:N675)+1,""))</f>
        <v/>
      </c>
      <c r="O676" s="291" t="str">
        <f>IF($A676="","",SUMIFS(Transactions!$H$2:$H$1001,Transactions!$J$2:$J$1001,$A676,Transactions!$A$2:$A$1001,2)*$I676)</f>
        <v/>
      </c>
      <c r="P676" s="291" t="str">
        <f t="shared" si="97"/>
        <v/>
      </c>
      <c r="Q676" s="292" t="str">
        <f t="shared" si="98"/>
        <v/>
      </c>
    </row>
    <row r="677" spans="1:17" ht="15" customHeight="1" x14ac:dyDescent="0.2">
      <c r="A677" s="243" t="str">
        <f>IFERROR(INDEX(Txn[Key],MATCH(0,INDEX(COUNTIF($A$1:A676,Txn[Key])+(Txn[Key]=""),0),0)),"")</f>
        <v/>
      </c>
      <c r="B677" s="243" t="str">
        <f t="shared" si="90"/>
        <v/>
      </c>
      <c r="C677" s="243" t="str">
        <f t="shared" si="91"/>
        <v/>
      </c>
      <c r="D677" s="243" t="str">
        <f t="shared" si="92"/>
        <v/>
      </c>
      <c r="E677" s="265" t="str">
        <f>IF($A677="","",SUMIFS(Txn[Signed Units],Txn[Key],$A677))</f>
        <v/>
      </c>
      <c r="F677" s="287" t="str">
        <f>IF($A677="","",SUMIFS(Txn[Buy Cost],Txn[Key],$A677))</f>
        <v/>
      </c>
      <c r="G677" s="287" t="str">
        <f>IF($A677="","",SUMIFS(Txn[Sell Proceeds],Txn[Key],$A677))</f>
        <v/>
      </c>
      <c r="H677" s="288" t="str">
        <f>IF($A677="","",IFERROR(INDEX(Prices[Current Price],MATCH($A677,Prices[Key],0)),0))</f>
        <v/>
      </c>
      <c r="I677" s="289" t="str">
        <f>IF($A677="","",IFERROR(INDEX(Prices[FX to SGD],MATCH($A677,Prices[Key],0)),1))</f>
        <v/>
      </c>
      <c r="J677" s="287" t="str">
        <f t="shared" si="93"/>
        <v/>
      </c>
      <c r="K677" s="287" t="str">
        <f t="shared" si="94"/>
        <v/>
      </c>
      <c r="L677" s="287" t="str">
        <f t="shared" si="95"/>
        <v/>
      </c>
      <c r="M677" s="290" t="str">
        <f t="shared" si="96"/>
        <v/>
      </c>
      <c r="N677" s="243" t="str">
        <f>IF($A677="","",IF(ABS(E677)&gt;0.000001,COUNT($N$1:N676)+1,""))</f>
        <v/>
      </c>
      <c r="O677" s="291" t="str">
        <f>IF($A677="","",SUMIFS(Transactions!$H$2:$H$1001,Transactions!$J$2:$J$1001,$A677,Transactions!$A$2:$A$1001,2)*$I677)</f>
        <v/>
      </c>
      <c r="P677" s="291" t="str">
        <f t="shared" si="97"/>
        <v/>
      </c>
      <c r="Q677" s="292" t="str">
        <f t="shared" si="98"/>
        <v/>
      </c>
    </row>
    <row r="678" spans="1:17" ht="15" customHeight="1" x14ac:dyDescent="0.2">
      <c r="A678" s="243" t="str">
        <f>IFERROR(INDEX(Txn[Key],MATCH(0,INDEX(COUNTIF($A$1:A677,Txn[Key])+(Txn[Key]=""),0),0)),"")</f>
        <v/>
      </c>
      <c r="B678" s="243" t="str">
        <f t="shared" si="90"/>
        <v/>
      </c>
      <c r="C678" s="243" t="str">
        <f t="shared" si="91"/>
        <v/>
      </c>
      <c r="D678" s="243" t="str">
        <f t="shared" si="92"/>
        <v/>
      </c>
      <c r="E678" s="265" t="str">
        <f>IF($A678="","",SUMIFS(Txn[Signed Units],Txn[Key],$A678))</f>
        <v/>
      </c>
      <c r="F678" s="287" t="str">
        <f>IF($A678="","",SUMIFS(Txn[Buy Cost],Txn[Key],$A678))</f>
        <v/>
      </c>
      <c r="G678" s="287" t="str">
        <f>IF($A678="","",SUMIFS(Txn[Sell Proceeds],Txn[Key],$A678))</f>
        <v/>
      </c>
      <c r="H678" s="288" t="str">
        <f>IF($A678="","",IFERROR(INDEX(Prices[Current Price],MATCH($A678,Prices[Key],0)),0))</f>
        <v/>
      </c>
      <c r="I678" s="289" t="str">
        <f>IF($A678="","",IFERROR(INDEX(Prices[FX to SGD],MATCH($A678,Prices[Key],0)),1))</f>
        <v/>
      </c>
      <c r="J678" s="287" t="str">
        <f t="shared" si="93"/>
        <v/>
      </c>
      <c r="K678" s="287" t="str">
        <f t="shared" si="94"/>
        <v/>
      </c>
      <c r="L678" s="287" t="str">
        <f t="shared" si="95"/>
        <v/>
      </c>
      <c r="M678" s="290" t="str">
        <f t="shared" si="96"/>
        <v/>
      </c>
      <c r="N678" s="243" t="str">
        <f>IF($A678="","",IF(ABS(E678)&gt;0.000001,COUNT($N$1:N677)+1,""))</f>
        <v/>
      </c>
      <c r="O678" s="291" t="str">
        <f>IF($A678="","",SUMIFS(Transactions!$H$2:$H$1001,Transactions!$J$2:$J$1001,$A678,Transactions!$A$2:$A$1001,2)*$I678)</f>
        <v/>
      </c>
      <c r="P678" s="291" t="str">
        <f t="shared" si="97"/>
        <v/>
      </c>
      <c r="Q678" s="292" t="str">
        <f t="shared" si="98"/>
        <v/>
      </c>
    </row>
    <row r="679" spans="1:17" ht="15" customHeight="1" x14ac:dyDescent="0.2">
      <c r="A679" s="243" t="str">
        <f>IFERROR(INDEX(Txn[Key],MATCH(0,INDEX(COUNTIF($A$1:A678,Txn[Key])+(Txn[Key]=""),0),0)),"")</f>
        <v/>
      </c>
      <c r="B679" s="243" t="str">
        <f t="shared" si="90"/>
        <v/>
      </c>
      <c r="C679" s="243" t="str">
        <f t="shared" si="91"/>
        <v/>
      </c>
      <c r="D679" s="243" t="str">
        <f t="shared" si="92"/>
        <v/>
      </c>
      <c r="E679" s="265" t="str">
        <f>IF($A679="","",SUMIFS(Txn[Signed Units],Txn[Key],$A679))</f>
        <v/>
      </c>
      <c r="F679" s="287" t="str">
        <f>IF($A679="","",SUMIFS(Txn[Buy Cost],Txn[Key],$A679))</f>
        <v/>
      </c>
      <c r="G679" s="287" t="str">
        <f>IF($A679="","",SUMIFS(Txn[Sell Proceeds],Txn[Key],$A679))</f>
        <v/>
      </c>
      <c r="H679" s="288" t="str">
        <f>IF($A679="","",IFERROR(INDEX(Prices[Current Price],MATCH($A679,Prices[Key],0)),0))</f>
        <v/>
      </c>
      <c r="I679" s="289" t="str">
        <f>IF($A679="","",IFERROR(INDEX(Prices[FX to SGD],MATCH($A679,Prices[Key],0)),1))</f>
        <v/>
      </c>
      <c r="J679" s="287" t="str">
        <f t="shared" si="93"/>
        <v/>
      </c>
      <c r="K679" s="287" t="str">
        <f t="shared" si="94"/>
        <v/>
      </c>
      <c r="L679" s="287" t="str">
        <f t="shared" si="95"/>
        <v/>
      </c>
      <c r="M679" s="290" t="str">
        <f t="shared" si="96"/>
        <v/>
      </c>
      <c r="N679" s="243" t="str">
        <f>IF($A679="","",IF(ABS(E679)&gt;0.000001,COUNT($N$1:N678)+1,""))</f>
        <v/>
      </c>
      <c r="O679" s="291" t="str">
        <f>IF($A679="","",SUMIFS(Transactions!$H$2:$H$1001,Transactions!$J$2:$J$1001,$A679,Transactions!$A$2:$A$1001,2)*$I679)</f>
        <v/>
      </c>
      <c r="P679" s="291" t="str">
        <f t="shared" si="97"/>
        <v/>
      </c>
      <c r="Q679" s="292" t="str">
        <f t="shared" si="98"/>
        <v/>
      </c>
    </row>
    <row r="680" spans="1:17" ht="15" customHeight="1" x14ac:dyDescent="0.2">
      <c r="A680" s="243" t="str">
        <f>IFERROR(INDEX(Txn[Key],MATCH(0,INDEX(COUNTIF($A$1:A679,Txn[Key])+(Txn[Key]=""),0),0)),"")</f>
        <v/>
      </c>
      <c r="B680" s="243" t="str">
        <f t="shared" si="90"/>
        <v/>
      </c>
      <c r="C680" s="243" t="str">
        <f t="shared" si="91"/>
        <v/>
      </c>
      <c r="D680" s="243" t="str">
        <f t="shared" si="92"/>
        <v/>
      </c>
      <c r="E680" s="265" t="str">
        <f>IF($A680="","",SUMIFS(Txn[Signed Units],Txn[Key],$A680))</f>
        <v/>
      </c>
      <c r="F680" s="287" t="str">
        <f>IF($A680="","",SUMIFS(Txn[Buy Cost],Txn[Key],$A680))</f>
        <v/>
      </c>
      <c r="G680" s="287" t="str">
        <f>IF($A680="","",SUMIFS(Txn[Sell Proceeds],Txn[Key],$A680))</f>
        <v/>
      </c>
      <c r="H680" s="288" t="str">
        <f>IF($A680="","",IFERROR(INDEX(Prices[Current Price],MATCH($A680,Prices[Key],0)),0))</f>
        <v/>
      </c>
      <c r="I680" s="289" t="str">
        <f>IF($A680="","",IFERROR(INDEX(Prices[FX to SGD],MATCH($A680,Prices[Key],0)),1))</f>
        <v/>
      </c>
      <c r="J680" s="287" t="str">
        <f t="shared" si="93"/>
        <v/>
      </c>
      <c r="K680" s="287" t="str">
        <f t="shared" si="94"/>
        <v/>
      </c>
      <c r="L680" s="287" t="str">
        <f t="shared" si="95"/>
        <v/>
      </c>
      <c r="M680" s="290" t="str">
        <f t="shared" si="96"/>
        <v/>
      </c>
      <c r="N680" s="243" t="str">
        <f>IF($A680="","",IF(ABS(E680)&gt;0.000001,COUNT($N$1:N679)+1,""))</f>
        <v/>
      </c>
      <c r="O680" s="291" t="str">
        <f>IF($A680="","",SUMIFS(Transactions!$H$2:$H$1001,Transactions!$J$2:$J$1001,$A680,Transactions!$A$2:$A$1001,2)*$I680)</f>
        <v/>
      </c>
      <c r="P680" s="291" t="str">
        <f t="shared" si="97"/>
        <v/>
      </c>
      <c r="Q680" s="292" t="str">
        <f t="shared" si="98"/>
        <v/>
      </c>
    </row>
    <row r="681" spans="1:17" ht="15" customHeight="1" x14ac:dyDescent="0.2">
      <c r="A681" s="243" t="str">
        <f>IFERROR(INDEX(Txn[Key],MATCH(0,INDEX(COUNTIF($A$1:A680,Txn[Key])+(Txn[Key]=""),0),0)),"")</f>
        <v/>
      </c>
      <c r="B681" s="243" t="str">
        <f t="shared" si="90"/>
        <v/>
      </c>
      <c r="C681" s="243" t="str">
        <f t="shared" si="91"/>
        <v/>
      </c>
      <c r="D681" s="243" t="str">
        <f t="shared" si="92"/>
        <v/>
      </c>
      <c r="E681" s="265" t="str">
        <f>IF($A681="","",SUMIFS(Txn[Signed Units],Txn[Key],$A681))</f>
        <v/>
      </c>
      <c r="F681" s="287" t="str">
        <f>IF($A681="","",SUMIFS(Txn[Buy Cost],Txn[Key],$A681))</f>
        <v/>
      </c>
      <c r="G681" s="287" t="str">
        <f>IF($A681="","",SUMIFS(Txn[Sell Proceeds],Txn[Key],$A681))</f>
        <v/>
      </c>
      <c r="H681" s="288" t="str">
        <f>IF($A681="","",IFERROR(INDEX(Prices[Current Price],MATCH($A681,Prices[Key],0)),0))</f>
        <v/>
      </c>
      <c r="I681" s="289" t="str">
        <f>IF($A681="","",IFERROR(INDEX(Prices[FX to SGD],MATCH($A681,Prices[Key],0)),1))</f>
        <v/>
      </c>
      <c r="J681" s="287" t="str">
        <f t="shared" si="93"/>
        <v/>
      </c>
      <c r="K681" s="287" t="str">
        <f t="shared" si="94"/>
        <v/>
      </c>
      <c r="L681" s="287" t="str">
        <f t="shared" si="95"/>
        <v/>
      </c>
      <c r="M681" s="290" t="str">
        <f t="shared" si="96"/>
        <v/>
      </c>
      <c r="N681" s="243" t="str">
        <f>IF($A681="","",IF(ABS(E681)&gt;0.000001,COUNT($N$1:N680)+1,""))</f>
        <v/>
      </c>
      <c r="O681" s="291" t="str">
        <f>IF($A681="","",SUMIFS(Transactions!$H$2:$H$1001,Transactions!$J$2:$J$1001,$A681,Transactions!$A$2:$A$1001,2)*$I681)</f>
        <v/>
      </c>
      <c r="P681" s="291" t="str">
        <f t="shared" si="97"/>
        <v/>
      </c>
      <c r="Q681" s="292" t="str">
        <f t="shared" si="98"/>
        <v/>
      </c>
    </row>
    <row r="682" spans="1:17" ht="15" customHeight="1" x14ac:dyDescent="0.2">
      <c r="A682" s="243" t="str">
        <f>IFERROR(INDEX(Txn[Key],MATCH(0,INDEX(COUNTIF($A$1:A681,Txn[Key])+(Txn[Key]=""),0),0)),"")</f>
        <v/>
      </c>
      <c r="B682" s="243" t="str">
        <f t="shared" si="90"/>
        <v/>
      </c>
      <c r="C682" s="243" t="str">
        <f t="shared" si="91"/>
        <v/>
      </c>
      <c r="D682" s="243" t="str">
        <f t="shared" si="92"/>
        <v/>
      </c>
      <c r="E682" s="265" t="str">
        <f>IF($A682="","",SUMIFS(Txn[Signed Units],Txn[Key],$A682))</f>
        <v/>
      </c>
      <c r="F682" s="287" t="str">
        <f>IF($A682="","",SUMIFS(Txn[Buy Cost],Txn[Key],$A682))</f>
        <v/>
      </c>
      <c r="G682" s="287" t="str">
        <f>IF($A682="","",SUMIFS(Txn[Sell Proceeds],Txn[Key],$A682))</f>
        <v/>
      </c>
      <c r="H682" s="288" t="str">
        <f>IF($A682="","",IFERROR(INDEX(Prices[Current Price],MATCH($A682,Prices[Key],0)),0))</f>
        <v/>
      </c>
      <c r="I682" s="289" t="str">
        <f>IF($A682="","",IFERROR(INDEX(Prices[FX to SGD],MATCH($A682,Prices[Key],0)),1))</f>
        <v/>
      </c>
      <c r="J682" s="287" t="str">
        <f t="shared" si="93"/>
        <v/>
      </c>
      <c r="K682" s="287" t="str">
        <f t="shared" si="94"/>
        <v/>
      </c>
      <c r="L682" s="287" t="str">
        <f t="shared" si="95"/>
        <v/>
      </c>
      <c r="M682" s="290" t="str">
        <f t="shared" si="96"/>
        <v/>
      </c>
      <c r="N682" s="243" t="str">
        <f>IF($A682="","",IF(ABS(E682)&gt;0.000001,COUNT($N$1:N681)+1,""))</f>
        <v/>
      </c>
      <c r="O682" s="291" t="str">
        <f>IF($A682="","",SUMIFS(Transactions!$H$2:$H$1001,Transactions!$J$2:$J$1001,$A682,Transactions!$A$2:$A$1001,2)*$I682)</f>
        <v/>
      </c>
      <c r="P682" s="291" t="str">
        <f t="shared" si="97"/>
        <v/>
      </c>
      <c r="Q682" s="292" t="str">
        <f t="shared" si="98"/>
        <v/>
      </c>
    </row>
    <row r="683" spans="1:17" ht="15" customHeight="1" x14ac:dyDescent="0.2">
      <c r="A683" s="243" t="str">
        <f>IFERROR(INDEX(Txn[Key],MATCH(0,INDEX(COUNTIF($A$1:A682,Txn[Key])+(Txn[Key]=""),0),0)),"")</f>
        <v/>
      </c>
      <c r="B683" s="243" t="str">
        <f t="shared" si="90"/>
        <v/>
      </c>
      <c r="C683" s="243" t="str">
        <f t="shared" si="91"/>
        <v/>
      </c>
      <c r="D683" s="243" t="str">
        <f t="shared" si="92"/>
        <v/>
      </c>
      <c r="E683" s="265" t="str">
        <f>IF($A683="","",SUMIFS(Txn[Signed Units],Txn[Key],$A683))</f>
        <v/>
      </c>
      <c r="F683" s="287" t="str">
        <f>IF($A683="","",SUMIFS(Txn[Buy Cost],Txn[Key],$A683))</f>
        <v/>
      </c>
      <c r="G683" s="287" t="str">
        <f>IF($A683="","",SUMIFS(Txn[Sell Proceeds],Txn[Key],$A683))</f>
        <v/>
      </c>
      <c r="H683" s="288" t="str">
        <f>IF($A683="","",IFERROR(INDEX(Prices[Current Price],MATCH($A683,Prices[Key],0)),0))</f>
        <v/>
      </c>
      <c r="I683" s="289" t="str">
        <f>IF($A683="","",IFERROR(INDEX(Prices[FX to SGD],MATCH($A683,Prices[Key],0)),1))</f>
        <v/>
      </c>
      <c r="J683" s="287" t="str">
        <f t="shared" si="93"/>
        <v/>
      </c>
      <c r="K683" s="287" t="str">
        <f t="shared" si="94"/>
        <v/>
      </c>
      <c r="L683" s="287" t="str">
        <f t="shared" si="95"/>
        <v/>
      </c>
      <c r="M683" s="290" t="str">
        <f t="shared" si="96"/>
        <v/>
      </c>
      <c r="N683" s="243" t="str">
        <f>IF($A683="","",IF(ABS(E683)&gt;0.000001,COUNT($N$1:N682)+1,""))</f>
        <v/>
      </c>
      <c r="O683" s="291" t="str">
        <f>IF($A683="","",SUMIFS(Transactions!$H$2:$H$1001,Transactions!$J$2:$J$1001,$A683,Transactions!$A$2:$A$1001,2)*$I683)</f>
        <v/>
      </c>
      <c r="P683" s="291" t="str">
        <f t="shared" si="97"/>
        <v/>
      </c>
      <c r="Q683" s="292" t="str">
        <f t="shared" si="98"/>
        <v/>
      </c>
    </row>
    <row r="684" spans="1:17" ht="15" customHeight="1" x14ac:dyDescent="0.2">
      <c r="A684" s="243" t="str">
        <f>IFERROR(INDEX(Txn[Key],MATCH(0,INDEX(COUNTIF($A$1:A683,Txn[Key])+(Txn[Key]=""),0),0)),"")</f>
        <v/>
      </c>
      <c r="B684" s="243" t="str">
        <f t="shared" si="90"/>
        <v/>
      </c>
      <c r="C684" s="243" t="str">
        <f t="shared" si="91"/>
        <v/>
      </c>
      <c r="D684" s="243" t="str">
        <f t="shared" si="92"/>
        <v/>
      </c>
      <c r="E684" s="265" t="str">
        <f>IF($A684="","",SUMIFS(Txn[Signed Units],Txn[Key],$A684))</f>
        <v/>
      </c>
      <c r="F684" s="287" t="str">
        <f>IF($A684="","",SUMIFS(Txn[Buy Cost],Txn[Key],$A684))</f>
        <v/>
      </c>
      <c r="G684" s="287" t="str">
        <f>IF($A684="","",SUMIFS(Txn[Sell Proceeds],Txn[Key],$A684))</f>
        <v/>
      </c>
      <c r="H684" s="288" t="str">
        <f>IF($A684="","",IFERROR(INDEX(Prices[Current Price],MATCH($A684,Prices[Key],0)),0))</f>
        <v/>
      </c>
      <c r="I684" s="289" t="str">
        <f>IF($A684="","",IFERROR(INDEX(Prices[FX to SGD],MATCH($A684,Prices[Key],0)),1))</f>
        <v/>
      </c>
      <c r="J684" s="287" t="str">
        <f t="shared" si="93"/>
        <v/>
      </c>
      <c r="K684" s="287" t="str">
        <f t="shared" si="94"/>
        <v/>
      </c>
      <c r="L684" s="287" t="str">
        <f t="shared" si="95"/>
        <v/>
      </c>
      <c r="M684" s="290" t="str">
        <f t="shared" si="96"/>
        <v/>
      </c>
      <c r="N684" s="243" t="str">
        <f>IF($A684="","",IF(ABS(E684)&gt;0.000001,COUNT($N$1:N683)+1,""))</f>
        <v/>
      </c>
      <c r="O684" s="291" t="str">
        <f>IF($A684="","",SUMIFS(Transactions!$H$2:$H$1001,Transactions!$J$2:$J$1001,$A684,Transactions!$A$2:$A$1001,2)*$I684)</f>
        <v/>
      </c>
      <c r="P684" s="291" t="str">
        <f t="shared" si="97"/>
        <v/>
      </c>
      <c r="Q684" s="292" t="str">
        <f t="shared" si="98"/>
        <v/>
      </c>
    </row>
    <row r="685" spans="1:17" ht="15" customHeight="1" x14ac:dyDescent="0.2">
      <c r="A685" s="243" t="str">
        <f>IFERROR(INDEX(Txn[Key],MATCH(0,INDEX(COUNTIF($A$1:A684,Txn[Key])+(Txn[Key]=""),0),0)),"")</f>
        <v/>
      </c>
      <c r="B685" s="243" t="str">
        <f t="shared" si="90"/>
        <v/>
      </c>
      <c r="C685" s="243" t="str">
        <f t="shared" si="91"/>
        <v/>
      </c>
      <c r="D685" s="243" t="str">
        <f t="shared" si="92"/>
        <v/>
      </c>
      <c r="E685" s="265" t="str">
        <f>IF($A685="","",SUMIFS(Txn[Signed Units],Txn[Key],$A685))</f>
        <v/>
      </c>
      <c r="F685" s="287" t="str">
        <f>IF($A685="","",SUMIFS(Txn[Buy Cost],Txn[Key],$A685))</f>
        <v/>
      </c>
      <c r="G685" s="287" t="str">
        <f>IF($A685="","",SUMIFS(Txn[Sell Proceeds],Txn[Key],$A685))</f>
        <v/>
      </c>
      <c r="H685" s="288" t="str">
        <f>IF($A685="","",IFERROR(INDEX(Prices[Current Price],MATCH($A685,Prices[Key],0)),0))</f>
        <v/>
      </c>
      <c r="I685" s="289" t="str">
        <f>IF($A685="","",IFERROR(INDEX(Prices[FX to SGD],MATCH($A685,Prices[Key],0)),1))</f>
        <v/>
      </c>
      <c r="J685" s="287" t="str">
        <f t="shared" si="93"/>
        <v/>
      </c>
      <c r="K685" s="287" t="str">
        <f t="shared" si="94"/>
        <v/>
      </c>
      <c r="L685" s="287" t="str">
        <f t="shared" si="95"/>
        <v/>
      </c>
      <c r="M685" s="290" t="str">
        <f t="shared" si="96"/>
        <v/>
      </c>
      <c r="N685" s="243" t="str">
        <f>IF($A685="","",IF(ABS(E685)&gt;0.000001,COUNT($N$1:N684)+1,""))</f>
        <v/>
      </c>
      <c r="O685" s="291" t="str">
        <f>IF($A685="","",SUMIFS(Transactions!$H$2:$H$1001,Transactions!$J$2:$J$1001,$A685,Transactions!$A$2:$A$1001,2)*$I685)</f>
        <v/>
      </c>
      <c r="P685" s="291" t="str">
        <f t="shared" si="97"/>
        <v/>
      </c>
      <c r="Q685" s="292" t="str">
        <f t="shared" si="98"/>
        <v/>
      </c>
    </row>
    <row r="686" spans="1:17" ht="15" customHeight="1" x14ac:dyDescent="0.2">
      <c r="A686" s="243" t="str">
        <f>IFERROR(INDEX(Txn[Key],MATCH(0,INDEX(COUNTIF($A$1:A685,Txn[Key])+(Txn[Key]=""),0),0)),"")</f>
        <v/>
      </c>
      <c r="B686" s="243" t="str">
        <f t="shared" si="90"/>
        <v/>
      </c>
      <c r="C686" s="243" t="str">
        <f t="shared" si="91"/>
        <v/>
      </c>
      <c r="D686" s="243" t="str">
        <f t="shared" si="92"/>
        <v/>
      </c>
      <c r="E686" s="265" t="str">
        <f>IF($A686="","",SUMIFS(Txn[Signed Units],Txn[Key],$A686))</f>
        <v/>
      </c>
      <c r="F686" s="287" t="str">
        <f>IF($A686="","",SUMIFS(Txn[Buy Cost],Txn[Key],$A686))</f>
        <v/>
      </c>
      <c r="G686" s="287" t="str">
        <f>IF($A686="","",SUMIFS(Txn[Sell Proceeds],Txn[Key],$A686))</f>
        <v/>
      </c>
      <c r="H686" s="288" t="str">
        <f>IF($A686="","",IFERROR(INDEX(Prices[Current Price],MATCH($A686,Prices[Key],0)),0))</f>
        <v/>
      </c>
      <c r="I686" s="289" t="str">
        <f>IF($A686="","",IFERROR(INDEX(Prices[FX to SGD],MATCH($A686,Prices[Key],0)),1))</f>
        <v/>
      </c>
      <c r="J686" s="287" t="str">
        <f t="shared" si="93"/>
        <v/>
      </c>
      <c r="K686" s="287" t="str">
        <f t="shared" si="94"/>
        <v/>
      </c>
      <c r="L686" s="287" t="str">
        <f t="shared" si="95"/>
        <v/>
      </c>
      <c r="M686" s="290" t="str">
        <f t="shared" si="96"/>
        <v/>
      </c>
      <c r="N686" s="243" t="str">
        <f>IF($A686="","",IF(ABS(E686)&gt;0.000001,COUNT($N$1:N685)+1,""))</f>
        <v/>
      </c>
      <c r="O686" s="291" t="str">
        <f>IF($A686="","",SUMIFS(Transactions!$H$2:$H$1001,Transactions!$J$2:$J$1001,$A686,Transactions!$A$2:$A$1001,2)*$I686)</f>
        <v/>
      </c>
      <c r="P686" s="291" t="str">
        <f t="shared" si="97"/>
        <v/>
      </c>
      <c r="Q686" s="292" t="str">
        <f t="shared" si="98"/>
        <v/>
      </c>
    </row>
    <row r="687" spans="1:17" ht="15" customHeight="1" x14ac:dyDescent="0.2">
      <c r="A687" s="243" t="str">
        <f>IFERROR(INDEX(Txn[Key],MATCH(0,INDEX(COUNTIF($A$1:A686,Txn[Key])+(Txn[Key]=""),0),0)),"")</f>
        <v/>
      </c>
      <c r="B687" s="243" t="str">
        <f t="shared" si="90"/>
        <v/>
      </c>
      <c r="C687" s="243" t="str">
        <f t="shared" si="91"/>
        <v/>
      </c>
      <c r="D687" s="243" t="str">
        <f t="shared" si="92"/>
        <v/>
      </c>
      <c r="E687" s="265" t="str">
        <f>IF($A687="","",SUMIFS(Txn[Signed Units],Txn[Key],$A687))</f>
        <v/>
      </c>
      <c r="F687" s="287" t="str">
        <f>IF($A687="","",SUMIFS(Txn[Buy Cost],Txn[Key],$A687))</f>
        <v/>
      </c>
      <c r="G687" s="287" t="str">
        <f>IF($A687="","",SUMIFS(Txn[Sell Proceeds],Txn[Key],$A687))</f>
        <v/>
      </c>
      <c r="H687" s="288" t="str">
        <f>IF($A687="","",IFERROR(INDEX(Prices[Current Price],MATCH($A687,Prices[Key],0)),0))</f>
        <v/>
      </c>
      <c r="I687" s="289" t="str">
        <f>IF($A687="","",IFERROR(INDEX(Prices[FX to SGD],MATCH($A687,Prices[Key],0)),1))</f>
        <v/>
      </c>
      <c r="J687" s="287" t="str">
        <f t="shared" si="93"/>
        <v/>
      </c>
      <c r="K687" s="287" t="str">
        <f t="shared" si="94"/>
        <v/>
      </c>
      <c r="L687" s="287" t="str">
        <f t="shared" si="95"/>
        <v/>
      </c>
      <c r="M687" s="290" t="str">
        <f t="shared" si="96"/>
        <v/>
      </c>
      <c r="N687" s="243" t="str">
        <f>IF($A687="","",IF(ABS(E687)&gt;0.000001,COUNT($N$1:N686)+1,""))</f>
        <v/>
      </c>
      <c r="O687" s="291" t="str">
        <f>IF($A687="","",SUMIFS(Transactions!$H$2:$H$1001,Transactions!$J$2:$J$1001,$A687,Transactions!$A$2:$A$1001,2)*$I687)</f>
        <v/>
      </c>
      <c r="P687" s="291" t="str">
        <f t="shared" si="97"/>
        <v/>
      </c>
      <c r="Q687" s="292" t="str">
        <f t="shared" si="98"/>
        <v/>
      </c>
    </row>
    <row r="688" spans="1:17" ht="15" customHeight="1" x14ac:dyDescent="0.2">
      <c r="A688" s="243" t="str">
        <f>IFERROR(INDEX(Txn[Key],MATCH(0,INDEX(COUNTIF($A$1:A687,Txn[Key])+(Txn[Key]=""),0),0)),"")</f>
        <v/>
      </c>
      <c r="B688" s="243" t="str">
        <f t="shared" si="90"/>
        <v/>
      </c>
      <c r="C688" s="243" t="str">
        <f t="shared" si="91"/>
        <v/>
      </c>
      <c r="D688" s="243" t="str">
        <f t="shared" si="92"/>
        <v/>
      </c>
      <c r="E688" s="265" t="str">
        <f>IF($A688="","",SUMIFS(Txn[Signed Units],Txn[Key],$A688))</f>
        <v/>
      </c>
      <c r="F688" s="287" t="str">
        <f>IF($A688="","",SUMIFS(Txn[Buy Cost],Txn[Key],$A688))</f>
        <v/>
      </c>
      <c r="G688" s="287" t="str">
        <f>IF($A688="","",SUMIFS(Txn[Sell Proceeds],Txn[Key],$A688))</f>
        <v/>
      </c>
      <c r="H688" s="288" t="str">
        <f>IF($A688="","",IFERROR(INDEX(Prices[Current Price],MATCH($A688,Prices[Key],0)),0))</f>
        <v/>
      </c>
      <c r="I688" s="289" t="str">
        <f>IF($A688="","",IFERROR(INDEX(Prices[FX to SGD],MATCH($A688,Prices[Key],0)),1))</f>
        <v/>
      </c>
      <c r="J688" s="287" t="str">
        <f t="shared" si="93"/>
        <v/>
      </c>
      <c r="K688" s="287" t="str">
        <f t="shared" si="94"/>
        <v/>
      </c>
      <c r="L688" s="287" t="str">
        <f t="shared" si="95"/>
        <v/>
      </c>
      <c r="M688" s="290" t="str">
        <f t="shared" si="96"/>
        <v/>
      </c>
      <c r="N688" s="243" t="str">
        <f>IF($A688="","",IF(ABS(E688)&gt;0.000001,COUNT($N$1:N687)+1,""))</f>
        <v/>
      </c>
      <c r="O688" s="291" t="str">
        <f>IF($A688="","",SUMIFS(Transactions!$H$2:$H$1001,Transactions!$J$2:$J$1001,$A688,Transactions!$A$2:$A$1001,2)*$I688)</f>
        <v/>
      </c>
      <c r="P688" s="291" t="str">
        <f t="shared" si="97"/>
        <v/>
      </c>
      <c r="Q688" s="292" t="str">
        <f t="shared" si="98"/>
        <v/>
      </c>
    </row>
    <row r="689" spans="1:17" ht="15" customHeight="1" x14ac:dyDescent="0.2">
      <c r="A689" s="243" t="str">
        <f>IFERROR(INDEX(Txn[Key],MATCH(0,INDEX(COUNTIF($A$1:A688,Txn[Key])+(Txn[Key]=""),0),0)),"")</f>
        <v/>
      </c>
      <c r="B689" s="243" t="str">
        <f t="shared" si="90"/>
        <v/>
      </c>
      <c r="C689" s="243" t="str">
        <f t="shared" si="91"/>
        <v/>
      </c>
      <c r="D689" s="243" t="str">
        <f t="shared" si="92"/>
        <v/>
      </c>
      <c r="E689" s="265" t="str">
        <f>IF($A689="","",SUMIFS(Txn[Signed Units],Txn[Key],$A689))</f>
        <v/>
      </c>
      <c r="F689" s="287" t="str">
        <f>IF($A689="","",SUMIFS(Txn[Buy Cost],Txn[Key],$A689))</f>
        <v/>
      </c>
      <c r="G689" s="287" t="str">
        <f>IF($A689="","",SUMIFS(Txn[Sell Proceeds],Txn[Key],$A689))</f>
        <v/>
      </c>
      <c r="H689" s="288" t="str">
        <f>IF($A689="","",IFERROR(INDEX(Prices[Current Price],MATCH($A689,Prices[Key],0)),0))</f>
        <v/>
      </c>
      <c r="I689" s="289" t="str">
        <f>IF($A689="","",IFERROR(INDEX(Prices[FX to SGD],MATCH($A689,Prices[Key],0)),1))</f>
        <v/>
      </c>
      <c r="J689" s="287" t="str">
        <f t="shared" si="93"/>
        <v/>
      </c>
      <c r="K689" s="287" t="str">
        <f t="shared" si="94"/>
        <v/>
      </c>
      <c r="L689" s="287" t="str">
        <f t="shared" si="95"/>
        <v/>
      </c>
      <c r="M689" s="290" t="str">
        <f t="shared" si="96"/>
        <v/>
      </c>
      <c r="N689" s="243" t="str">
        <f>IF($A689="","",IF(ABS(E689)&gt;0.000001,COUNT($N$1:N688)+1,""))</f>
        <v/>
      </c>
      <c r="O689" s="291" t="str">
        <f>IF($A689="","",SUMIFS(Transactions!$H$2:$H$1001,Transactions!$J$2:$J$1001,$A689,Transactions!$A$2:$A$1001,2)*$I689)</f>
        <v/>
      </c>
      <c r="P689" s="291" t="str">
        <f t="shared" si="97"/>
        <v/>
      </c>
      <c r="Q689" s="292" t="str">
        <f t="shared" si="98"/>
        <v/>
      </c>
    </row>
    <row r="690" spans="1:17" ht="15" customHeight="1" x14ac:dyDescent="0.2">
      <c r="A690" s="243" t="str">
        <f>IFERROR(INDEX(Txn[Key],MATCH(0,INDEX(COUNTIF($A$1:A689,Txn[Key])+(Txn[Key]=""),0),0)),"")</f>
        <v/>
      </c>
      <c r="B690" s="243" t="str">
        <f t="shared" si="90"/>
        <v/>
      </c>
      <c r="C690" s="243" t="str">
        <f t="shared" si="91"/>
        <v/>
      </c>
      <c r="D690" s="243" t="str">
        <f t="shared" si="92"/>
        <v/>
      </c>
      <c r="E690" s="265" t="str">
        <f>IF($A690="","",SUMIFS(Txn[Signed Units],Txn[Key],$A690))</f>
        <v/>
      </c>
      <c r="F690" s="287" t="str">
        <f>IF($A690="","",SUMIFS(Txn[Buy Cost],Txn[Key],$A690))</f>
        <v/>
      </c>
      <c r="G690" s="287" t="str">
        <f>IF($A690="","",SUMIFS(Txn[Sell Proceeds],Txn[Key],$A690))</f>
        <v/>
      </c>
      <c r="H690" s="288" t="str">
        <f>IF($A690="","",IFERROR(INDEX(Prices[Current Price],MATCH($A690,Prices[Key],0)),0))</f>
        <v/>
      </c>
      <c r="I690" s="289" t="str">
        <f>IF($A690="","",IFERROR(INDEX(Prices[FX to SGD],MATCH($A690,Prices[Key],0)),1))</f>
        <v/>
      </c>
      <c r="J690" s="287" t="str">
        <f t="shared" si="93"/>
        <v/>
      </c>
      <c r="K690" s="287" t="str">
        <f t="shared" si="94"/>
        <v/>
      </c>
      <c r="L690" s="287" t="str">
        <f t="shared" si="95"/>
        <v/>
      </c>
      <c r="M690" s="290" t="str">
        <f t="shared" si="96"/>
        <v/>
      </c>
      <c r="N690" s="243" t="str">
        <f>IF($A690="","",IF(ABS(E690)&gt;0.000001,COUNT($N$1:N689)+1,""))</f>
        <v/>
      </c>
      <c r="O690" s="291" t="str">
        <f>IF($A690="","",SUMIFS(Transactions!$H$2:$H$1001,Transactions!$J$2:$J$1001,$A690,Transactions!$A$2:$A$1001,2)*$I690)</f>
        <v/>
      </c>
      <c r="P690" s="291" t="str">
        <f t="shared" si="97"/>
        <v/>
      </c>
      <c r="Q690" s="292" t="str">
        <f t="shared" si="98"/>
        <v/>
      </c>
    </row>
    <row r="691" spans="1:17" ht="15" customHeight="1" x14ac:dyDescent="0.2">
      <c r="A691" s="243" t="str">
        <f>IFERROR(INDEX(Txn[Key],MATCH(0,INDEX(COUNTIF($A$1:A690,Txn[Key])+(Txn[Key]=""),0),0)),"")</f>
        <v/>
      </c>
      <c r="B691" s="243" t="str">
        <f t="shared" si="90"/>
        <v/>
      </c>
      <c r="C691" s="243" t="str">
        <f t="shared" si="91"/>
        <v/>
      </c>
      <c r="D691" s="243" t="str">
        <f t="shared" si="92"/>
        <v/>
      </c>
      <c r="E691" s="265" t="str">
        <f>IF($A691="","",SUMIFS(Txn[Signed Units],Txn[Key],$A691))</f>
        <v/>
      </c>
      <c r="F691" s="287" t="str">
        <f>IF($A691="","",SUMIFS(Txn[Buy Cost],Txn[Key],$A691))</f>
        <v/>
      </c>
      <c r="G691" s="287" t="str">
        <f>IF($A691="","",SUMIFS(Txn[Sell Proceeds],Txn[Key],$A691))</f>
        <v/>
      </c>
      <c r="H691" s="288" t="str">
        <f>IF($A691="","",IFERROR(INDEX(Prices[Current Price],MATCH($A691,Prices[Key],0)),0))</f>
        <v/>
      </c>
      <c r="I691" s="289" t="str">
        <f>IF($A691="","",IFERROR(INDEX(Prices[FX to SGD],MATCH($A691,Prices[Key],0)),1))</f>
        <v/>
      </c>
      <c r="J691" s="287" t="str">
        <f t="shared" si="93"/>
        <v/>
      </c>
      <c r="K691" s="287" t="str">
        <f t="shared" si="94"/>
        <v/>
      </c>
      <c r="L691" s="287" t="str">
        <f t="shared" si="95"/>
        <v/>
      </c>
      <c r="M691" s="290" t="str">
        <f t="shared" si="96"/>
        <v/>
      </c>
      <c r="N691" s="243" t="str">
        <f>IF($A691="","",IF(ABS(E691)&gt;0.000001,COUNT($N$1:N690)+1,""))</f>
        <v/>
      </c>
      <c r="O691" s="291" t="str">
        <f>IF($A691="","",SUMIFS(Transactions!$H$2:$H$1001,Transactions!$J$2:$J$1001,$A691,Transactions!$A$2:$A$1001,2)*$I691)</f>
        <v/>
      </c>
      <c r="P691" s="291" t="str">
        <f t="shared" si="97"/>
        <v/>
      </c>
      <c r="Q691" s="292" t="str">
        <f t="shared" si="98"/>
        <v/>
      </c>
    </row>
    <row r="692" spans="1:17" ht="15" customHeight="1" x14ac:dyDescent="0.2">
      <c r="A692" s="243" t="str">
        <f>IFERROR(INDEX(Txn[Key],MATCH(0,INDEX(COUNTIF($A$1:A691,Txn[Key])+(Txn[Key]=""),0),0)),"")</f>
        <v/>
      </c>
      <c r="B692" s="243" t="str">
        <f t="shared" si="90"/>
        <v/>
      </c>
      <c r="C692" s="243" t="str">
        <f t="shared" si="91"/>
        <v/>
      </c>
      <c r="D692" s="243" t="str">
        <f t="shared" si="92"/>
        <v/>
      </c>
      <c r="E692" s="265" t="str">
        <f>IF($A692="","",SUMIFS(Txn[Signed Units],Txn[Key],$A692))</f>
        <v/>
      </c>
      <c r="F692" s="287" t="str">
        <f>IF($A692="","",SUMIFS(Txn[Buy Cost],Txn[Key],$A692))</f>
        <v/>
      </c>
      <c r="G692" s="287" t="str">
        <f>IF($A692="","",SUMIFS(Txn[Sell Proceeds],Txn[Key],$A692))</f>
        <v/>
      </c>
      <c r="H692" s="288" t="str">
        <f>IF($A692="","",IFERROR(INDEX(Prices[Current Price],MATCH($A692,Prices[Key],0)),0))</f>
        <v/>
      </c>
      <c r="I692" s="289" t="str">
        <f>IF($A692="","",IFERROR(INDEX(Prices[FX to SGD],MATCH($A692,Prices[Key],0)),1))</f>
        <v/>
      </c>
      <c r="J692" s="287" t="str">
        <f t="shared" si="93"/>
        <v/>
      </c>
      <c r="K692" s="287" t="str">
        <f t="shared" si="94"/>
        <v/>
      </c>
      <c r="L692" s="287" t="str">
        <f t="shared" si="95"/>
        <v/>
      </c>
      <c r="M692" s="290" t="str">
        <f t="shared" si="96"/>
        <v/>
      </c>
      <c r="N692" s="243" t="str">
        <f>IF($A692="","",IF(ABS(E692)&gt;0.000001,COUNT($N$1:N691)+1,""))</f>
        <v/>
      </c>
      <c r="O692" s="291" t="str">
        <f>IF($A692="","",SUMIFS(Transactions!$H$2:$H$1001,Transactions!$J$2:$J$1001,$A692,Transactions!$A$2:$A$1001,2)*$I692)</f>
        <v/>
      </c>
      <c r="P692" s="291" t="str">
        <f t="shared" si="97"/>
        <v/>
      </c>
      <c r="Q692" s="292" t="str">
        <f t="shared" si="98"/>
        <v/>
      </c>
    </row>
    <row r="693" spans="1:17" ht="15" customHeight="1" x14ac:dyDescent="0.2">
      <c r="A693" s="243" t="str">
        <f>IFERROR(INDEX(Txn[Key],MATCH(0,INDEX(COUNTIF($A$1:A692,Txn[Key])+(Txn[Key]=""),0),0)),"")</f>
        <v/>
      </c>
      <c r="B693" s="243" t="str">
        <f t="shared" si="90"/>
        <v/>
      </c>
      <c r="C693" s="243" t="str">
        <f t="shared" si="91"/>
        <v/>
      </c>
      <c r="D693" s="243" t="str">
        <f t="shared" si="92"/>
        <v/>
      </c>
      <c r="E693" s="265" t="str">
        <f>IF($A693="","",SUMIFS(Txn[Signed Units],Txn[Key],$A693))</f>
        <v/>
      </c>
      <c r="F693" s="287" t="str">
        <f>IF($A693="","",SUMIFS(Txn[Buy Cost],Txn[Key],$A693))</f>
        <v/>
      </c>
      <c r="G693" s="287" t="str">
        <f>IF($A693="","",SUMIFS(Txn[Sell Proceeds],Txn[Key],$A693))</f>
        <v/>
      </c>
      <c r="H693" s="288" t="str">
        <f>IF($A693="","",IFERROR(INDEX(Prices[Current Price],MATCH($A693,Prices[Key],0)),0))</f>
        <v/>
      </c>
      <c r="I693" s="289" t="str">
        <f>IF($A693="","",IFERROR(INDEX(Prices[FX to SGD],MATCH($A693,Prices[Key],0)),1))</f>
        <v/>
      </c>
      <c r="J693" s="287" t="str">
        <f t="shared" si="93"/>
        <v/>
      </c>
      <c r="K693" s="287" t="str">
        <f t="shared" si="94"/>
        <v/>
      </c>
      <c r="L693" s="287" t="str">
        <f t="shared" si="95"/>
        <v/>
      </c>
      <c r="M693" s="290" t="str">
        <f t="shared" si="96"/>
        <v/>
      </c>
      <c r="N693" s="243" t="str">
        <f>IF($A693="","",IF(ABS(E693)&gt;0.000001,COUNT($N$1:N692)+1,""))</f>
        <v/>
      </c>
      <c r="O693" s="291" t="str">
        <f>IF($A693="","",SUMIFS(Transactions!$H$2:$H$1001,Transactions!$J$2:$J$1001,$A693,Transactions!$A$2:$A$1001,2)*$I693)</f>
        <v/>
      </c>
      <c r="P693" s="291" t="str">
        <f t="shared" si="97"/>
        <v/>
      </c>
      <c r="Q693" s="292" t="str">
        <f t="shared" si="98"/>
        <v/>
      </c>
    </row>
    <row r="694" spans="1:17" ht="15" customHeight="1" x14ac:dyDescent="0.2">
      <c r="A694" s="243" t="str">
        <f>IFERROR(INDEX(Txn[Key],MATCH(0,INDEX(COUNTIF($A$1:A693,Txn[Key])+(Txn[Key]=""),0),0)),"")</f>
        <v/>
      </c>
      <c r="B694" s="243" t="str">
        <f t="shared" si="90"/>
        <v/>
      </c>
      <c r="C694" s="243" t="str">
        <f t="shared" si="91"/>
        <v/>
      </c>
      <c r="D694" s="243" t="str">
        <f t="shared" si="92"/>
        <v/>
      </c>
      <c r="E694" s="265" t="str">
        <f>IF($A694="","",SUMIFS(Txn[Signed Units],Txn[Key],$A694))</f>
        <v/>
      </c>
      <c r="F694" s="287" t="str">
        <f>IF($A694="","",SUMIFS(Txn[Buy Cost],Txn[Key],$A694))</f>
        <v/>
      </c>
      <c r="G694" s="287" t="str">
        <f>IF($A694="","",SUMIFS(Txn[Sell Proceeds],Txn[Key],$A694))</f>
        <v/>
      </c>
      <c r="H694" s="288" t="str">
        <f>IF($A694="","",IFERROR(INDEX(Prices[Current Price],MATCH($A694,Prices[Key],0)),0))</f>
        <v/>
      </c>
      <c r="I694" s="289" t="str">
        <f>IF($A694="","",IFERROR(INDEX(Prices[FX to SGD],MATCH($A694,Prices[Key],0)),1))</f>
        <v/>
      </c>
      <c r="J694" s="287" t="str">
        <f t="shared" si="93"/>
        <v/>
      </c>
      <c r="K694" s="287" t="str">
        <f t="shared" si="94"/>
        <v/>
      </c>
      <c r="L694" s="287" t="str">
        <f t="shared" si="95"/>
        <v/>
      </c>
      <c r="M694" s="290" t="str">
        <f t="shared" si="96"/>
        <v/>
      </c>
      <c r="N694" s="243" t="str">
        <f>IF($A694="","",IF(ABS(E694)&gt;0.000001,COUNT($N$1:N693)+1,""))</f>
        <v/>
      </c>
      <c r="O694" s="291" t="str">
        <f>IF($A694="","",SUMIFS(Transactions!$H$2:$H$1001,Transactions!$J$2:$J$1001,$A694,Transactions!$A$2:$A$1001,2)*$I694)</f>
        <v/>
      </c>
      <c r="P694" s="291" t="str">
        <f t="shared" si="97"/>
        <v/>
      </c>
      <c r="Q694" s="292" t="str">
        <f t="shared" si="98"/>
        <v/>
      </c>
    </row>
    <row r="695" spans="1:17" ht="15" customHeight="1" x14ac:dyDescent="0.2">
      <c r="A695" s="243" t="str">
        <f>IFERROR(INDEX(Txn[Key],MATCH(0,INDEX(COUNTIF($A$1:A694,Txn[Key])+(Txn[Key]=""),0),0)),"")</f>
        <v/>
      </c>
      <c r="B695" s="243" t="str">
        <f t="shared" si="90"/>
        <v/>
      </c>
      <c r="C695" s="243" t="str">
        <f t="shared" si="91"/>
        <v/>
      </c>
      <c r="D695" s="243" t="str">
        <f t="shared" si="92"/>
        <v/>
      </c>
      <c r="E695" s="265" t="str">
        <f>IF($A695="","",SUMIFS(Txn[Signed Units],Txn[Key],$A695))</f>
        <v/>
      </c>
      <c r="F695" s="287" t="str">
        <f>IF($A695="","",SUMIFS(Txn[Buy Cost],Txn[Key],$A695))</f>
        <v/>
      </c>
      <c r="G695" s="287" t="str">
        <f>IF($A695="","",SUMIFS(Txn[Sell Proceeds],Txn[Key],$A695))</f>
        <v/>
      </c>
      <c r="H695" s="288" t="str">
        <f>IF($A695="","",IFERROR(INDEX(Prices[Current Price],MATCH($A695,Prices[Key],0)),0))</f>
        <v/>
      </c>
      <c r="I695" s="289" t="str">
        <f>IF($A695="","",IFERROR(INDEX(Prices[FX to SGD],MATCH($A695,Prices[Key],0)),1))</f>
        <v/>
      </c>
      <c r="J695" s="287" t="str">
        <f t="shared" si="93"/>
        <v/>
      </c>
      <c r="K695" s="287" t="str">
        <f t="shared" si="94"/>
        <v/>
      </c>
      <c r="L695" s="287" t="str">
        <f t="shared" si="95"/>
        <v/>
      </c>
      <c r="M695" s="290" t="str">
        <f t="shared" si="96"/>
        <v/>
      </c>
      <c r="N695" s="243" t="str">
        <f>IF($A695="","",IF(ABS(E695)&gt;0.000001,COUNT($N$1:N694)+1,""))</f>
        <v/>
      </c>
      <c r="O695" s="291" t="str">
        <f>IF($A695="","",SUMIFS(Transactions!$H$2:$H$1001,Transactions!$J$2:$J$1001,$A695,Transactions!$A$2:$A$1001,2)*$I695)</f>
        <v/>
      </c>
      <c r="P695" s="291" t="str">
        <f t="shared" si="97"/>
        <v/>
      </c>
      <c r="Q695" s="292" t="str">
        <f t="shared" si="98"/>
        <v/>
      </c>
    </row>
    <row r="696" spans="1:17" ht="15" customHeight="1" x14ac:dyDescent="0.2">
      <c r="A696" s="243" t="str">
        <f>IFERROR(INDEX(Txn[Key],MATCH(0,INDEX(COUNTIF($A$1:A695,Txn[Key])+(Txn[Key]=""),0),0)),"")</f>
        <v/>
      </c>
      <c r="B696" s="243" t="str">
        <f t="shared" si="90"/>
        <v/>
      </c>
      <c r="C696" s="243" t="str">
        <f t="shared" si="91"/>
        <v/>
      </c>
      <c r="D696" s="243" t="str">
        <f t="shared" si="92"/>
        <v/>
      </c>
      <c r="E696" s="265" t="str">
        <f>IF($A696="","",SUMIFS(Txn[Signed Units],Txn[Key],$A696))</f>
        <v/>
      </c>
      <c r="F696" s="287" t="str">
        <f>IF($A696="","",SUMIFS(Txn[Buy Cost],Txn[Key],$A696))</f>
        <v/>
      </c>
      <c r="G696" s="287" t="str">
        <f>IF($A696="","",SUMIFS(Txn[Sell Proceeds],Txn[Key],$A696))</f>
        <v/>
      </c>
      <c r="H696" s="288" t="str">
        <f>IF($A696="","",IFERROR(INDEX(Prices[Current Price],MATCH($A696,Prices[Key],0)),0))</f>
        <v/>
      </c>
      <c r="I696" s="289" t="str">
        <f>IF($A696="","",IFERROR(INDEX(Prices[FX to SGD],MATCH($A696,Prices[Key],0)),1))</f>
        <v/>
      </c>
      <c r="J696" s="287" t="str">
        <f t="shared" si="93"/>
        <v/>
      </c>
      <c r="K696" s="287" t="str">
        <f t="shared" si="94"/>
        <v/>
      </c>
      <c r="L696" s="287" t="str">
        <f t="shared" si="95"/>
        <v/>
      </c>
      <c r="M696" s="290" t="str">
        <f t="shared" si="96"/>
        <v/>
      </c>
      <c r="N696" s="243" t="str">
        <f>IF($A696="","",IF(ABS(E696)&gt;0.000001,COUNT($N$1:N695)+1,""))</f>
        <v/>
      </c>
      <c r="O696" s="291" t="str">
        <f>IF($A696="","",SUMIFS(Transactions!$H$2:$H$1001,Transactions!$J$2:$J$1001,$A696,Transactions!$A$2:$A$1001,2)*$I696)</f>
        <v/>
      </c>
      <c r="P696" s="291" t="str">
        <f t="shared" si="97"/>
        <v/>
      </c>
      <c r="Q696" s="292" t="str">
        <f t="shared" si="98"/>
        <v/>
      </c>
    </row>
    <row r="697" spans="1:17" ht="15" customHeight="1" x14ac:dyDescent="0.2">
      <c r="A697" s="243" t="str">
        <f>IFERROR(INDEX(Txn[Key],MATCH(0,INDEX(COUNTIF($A$1:A696,Txn[Key])+(Txn[Key]=""),0),0)),"")</f>
        <v/>
      </c>
      <c r="B697" s="243" t="str">
        <f t="shared" si="90"/>
        <v/>
      </c>
      <c r="C697" s="243" t="str">
        <f t="shared" si="91"/>
        <v/>
      </c>
      <c r="D697" s="243" t="str">
        <f t="shared" si="92"/>
        <v/>
      </c>
      <c r="E697" s="265" t="str">
        <f>IF($A697="","",SUMIFS(Txn[Signed Units],Txn[Key],$A697))</f>
        <v/>
      </c>
      <c r="F697" s="287" t="str">
        <f>IF($A697="","",SUMIFS(Txn[Buy Cost],Txn[Key],$A697))</f>
        <v/>
      </c>
      <c r="G697" s="287" t="str">
        <f>IF($A697="","",SUMIFS(Txn[Sell Proceeds],Txn[Key],$A697))</f>
        <v/>
      </c>
      <c r="H697" s="288" t="str">
        <f>IF($A697="","",IFERROR(INDEX(Prices[Current Price],MATCH($A697,Prices[Key],0)),0))</f>
        <v/>
      </c>
      <c r="I697" s="289" t="str">
        <f>IF($A697="","",IFERROR(INDEX(Prices[FX to SGD],MATCH($A697,Prices[Key],0)),1))</f>
        <v/>
      </c>
      <c r="J697" s="287" t="str">
        <f t="shared" si="93"/>
        <v/>
      </c>
      <c r="K697" s="287" t="str">
        <f t="shared" si="94"/>
        <v/>
      </c>
      <c r="L697" s="287" t="str">
        <f t="shared" si="95"/>
        <v/>
      </c>
      <c r="M697" s="290" t="str">
        <f t="shared" si="96"/>
        <v/>
      </c>
      <c r="N697" s="243" t="str">
        <f>IF($A697="","",IF(ABS(E697)&gt;0.000001,COUNT($N$1:N696)+1,""))</f>
        <v/>
      </c>
      <c r="O697" s="291" t="str">
        <f>IF($A697="","",SUMIFS(Transactions!$H$2:$H$1001,Transactions!$J$2:$J$1001,$A697,Transactions!$A$2:$A$1001,2)*$I697)</f>
        <v/>
      </c>
      <c r="P697" s="291" t="str">
        <f t="shared" si="97"/>
        <v/>
      </c>
      <c r="Q697" s="292" t="str">
        <f t="shared" si="98"/>
        <v/>
      </c>
    </row>
    <row r="698" spans="1:17" ht="15" customHeight="1" x14ac:dyDescent="0.2">
      <c r="A698" s="243" t="str">
        <f>IFERROR(INDEX(Txn[Key],MATCH(0,INDEX(COUNTIF($A$1:A697,Txn[Key])+(Txn[Key]=""),0),0)),"")</f>
        <v/>
      </c>
      <c r="B698" s="243" t="str">
        <f t="shared" si="90"/>
        <v/>
      </c>
      <c r="C698" s="243" t="str">
        <f t="shared" si="91"/>
        <v/>
      </c>
      <c r="D698" s="243" t="str">
        <f t="shared" si="92"/>
        <v/>
      </c>
      <c r="E698" s="265" t="str">
        <f>IF($A698="","",SUMIFS(Txn[Signed Units],Txn[Key],$A698))</f>
        <v/>
      </c>
      <c r="F698" s="287" t="str">
        <f>IF($A698="","",SUMIFS(Txn[Buy Cost],Txn[Key],$A698))</f>
        <v/>
      </c>
      <c r="G698" s="287" t="str">
        <f>IF($A698="","",SUMIFS(Txn[Sell Proceeds],Txn[Key],$A698))</f>
        <v/>
      </c>
      <c r="H698" s="288" t="str">
        <f>IF($A698="","",IFERROR(INDEX(Prices[Current Price],MATCH($A698,Prices[Key],0)),0))</f>
        <v/>
      </c>
      <c r="I698" s="289" t="str">
        <f>IF($A698="","",IFERROR(INDEX(Prices[FX to SGD],MATCH($A698,Prices[Key],0)),1))</f>
        <v/>
      </c>
      <c r="J698" s="287" t="str">
        <f t="shared" si="93"/>
        <v/>
      </c>
      <c r="K698" s="287" t="str">
        <f t="shared" si="94"/>
        <v/>
      </c>
      <c r="L698" s="287" t="str">
        <f t="shared" si="95"/>
        <v/>
      </c>
      <c r="M698" s="290" t="str">
        <f t="shared" si="96"/>
        <v/>
      </c>
      <c r="N698" s="243" t="str">
        <f>IF($A698="","",IF(ABS(E698)&gt;0.000001,COUNT($N$1:N697)+1,""))</f>
        <v/>
      </c>
      <c r="O698" s="291" t="str">
        <f>IF($A698="","",SUMIFS(Transactions!$H$2:$H$1001,Transactions!$J$2:$J$1001,$A698,Transactions!$A$2:$A$1001,2)*$I698)</f>
        <v/>
      </c>
      <c r="P698" s="291" t="str">
        <f t="shared" si="97"/>
        <v/>
      </c>
      <c r="Q698" s="292" t="str">
        <f t="shared" si="98"/>
        <v/>
      </c>
    </row>
    <row r="699" spans="1:17" ht="15" customHeight="1" x14ac:dyDescent="0.2">
      <c r="A699" s="243" t="str">
        <f>IFERROR(INDEX(Txn[Key],MATCH(0,INDEX(COUNTIF($A$1:A698,Txn[Key])+(Txn[Key]=""),0),0)),"")</f>
        <v/>
      </c>
      <c r="B699" s="243" t="str">
        <f t="shared" si="90"/>
        <v/>
      </c>
      <c r="C699" s="243" t="str">
        <f t="shared" si="91"/>
        <v/>
      </c>
      <c r="D699" s="243" t="str">
        <f t="shared" si="92"/>
        <v/>
      </c>
      <c r="E699" s="265" t="str">
        <f>IF($A699="","",SUMIFS(Txn[Signed Units],Txn[Key],$A699))</f>
        <v/>
      </c>
      <c r="F699" s="287" t="str">
        <f>IF($A699="","",SUMIFS(Txn[Buy Cost],Txn[Key],$A699))</f>
        <v/>
      </c>
      <c r="G699" s="287" t="str">
        <f>IF($A699="","",SUMIFS(Txn[Sell Proceeds],Txn[Key],$A699))</f>
        <v/>
      </c>
      <c r="H699" s="288" t="str">
        <f>IF($A699="","",IFERROR(INDEX(Prices[Current Price],MATCH($A699,Prices[Key],0)),0))</f>
        <v/>
      </c>
      <c r="I699" s="289" t="str">
        <f>IF($A699="","",IFERROR(INDEX(Prices[FX to SGD],MATCH($A699,Prices[Key],0)),1))</f>
        <v/>
      </c>
      <c r="J699" s="287" t="str">
        <f t="shared" si="93"/>
        <v/>
      </c>
      <c r="K699" s="287" t="str">
        <f t="shared" si="94"/>
        <v/>
      </c>
      <c r="L699" s="287" t="str">
        <f t="shared" si="95"/>
        <v/>
      </c>
      <c r="M699" s="290" t="str">
        <f t="shared" si="96"/>
        <v/>
      </c>
      <c r="N699" s="243" t="str">
        <f>IF($A699="","",IF(ABS(E699)&gt;0.000001,COUNT($N$1:N698)+1,""))</f>
        <v/>
      </c>
      <c r="O699" s="291" t="str">
        <f>IF($A699="","",SUMIFS(Transactions!$H$2:$H$1001,Transactions!$J$2:$J$1001,$A699,Transactions!$A$2:$A$1001,2)*$I699)</f>
        <v/>
      </c>
      <c r="P699" s="291" t="str">
        <f t="shared" si="97"/>
        <v/>
      </c>
      <c r="Q699" s="292" t="str">
        <f t="shared" si="98"/>
        <v/>
      </c>
    </row>
    <row r="700" spans="1:17" ht="15" customHeight="1" x14ac:dyDescent="0.2">
      <c r="A700" s="243" t="str">
        <f>IFERROR(INDEX(Txn[Key],MATCH(0,INDEX(COUNTIF($A$1:A699,Txn[Key])+(Txn[Key]=""),0),0)),"")</f>
        <v/>
      </c>
      <c r="B700" s="243" t="str">
        <f t="shared" si="90"/>
        <v/>
      </c>
      <c r="C700" s="243" t="str">
        <f t="shared" si="91"/>
        <v/>
      </c>
      <c r="D700" s="243" t="str">
        <f t="shared" si="92"/>
        <v/>
      </c>
      <c r="E700" s="265" t="str">
        <f>IF($A700="","",SUMIFS(Txn[Signed Units],Txn[Key],$A700))</f>
        <v/>
      </c>
      <c r="F700" s="287" t="str">
        <f>IF($A700="","",SUMIFS(Txn[Buy Cost],Txn[Key],$A700))</f>
        <v/>
      </c>
      <c r="G700" s="287" t="str">
        <f>IF($A700="","",SUMIFS(Txn[Sell Proceeds],Txn[Key],$A700))</f>
        <v/>
      </c>
      <c r="H700" s="288" t="str">
        <f>IF($A700="","",IFERROR(INDEX(Prices[Current Price],MATCH($A700,Prices[Key],0)),0))</f>
        <v/>
      </c>
      <c r="I700" s="289" t="str">
        <f>IF($A700="","",IFERROR(INDEX(Prices[FX to SGD],MATCH($A700,Prices[Key],0)),1))</f>
        <v/>
      </c>
      <c r="J700" s="287" t="str">
        <f t="shared" si="93"/>
        <v/>
      </c>
      <c r="K700" s="287" t="str">
        <f t="shared" si="94"/>
        <v/>
      </c>
      <c r="L700" s="287" t="str">
        <f t="shared" si="95"/>
        <v/>
      </c>
      <c r="M700" s="290" t="str">
        <f t="shared" si="96"/>
        <v/>
      </c>
      <c r="N700" s="243" t="str">
        <f>IF($A700="","",IF(ABS(E700)&gt;0.000001,COUNT($N$1:N699)+1,""))</f>
        <v/>
      </c>
      <c r="O700" s="291" t="str">
        <f>IF($A700="","",SUMIFS(Transactions!$H$2:$H$1001,Transactions!$J$2:$J$1001,$A700,Transactions!$A$2:$A$1001,2)*$I700)</f>
        <v/>
      </c>
      <c r="P700" s="291" t="str">
        <f t="shared" si="97"/>
        <v/>
      </c>
      <c r="Q700" s="292" t="str">
        <f t="shared" si="98"/>
        <v/>
      </c>
    </row>
    <row r="701" spans="1:17" ht="15" customHeight="1" x14ac:dyDescent="0.2">
      <c r="A701" s="243" t="str">
        <f>IFERROR(INDEX(Txn[Key],MATCH(0,INDEX(COUNTIF($A$1:A700,Txn[Key])+(Txn[Key]=""),0),0)),"")</f>
        <v/>
      </c>
      <c r="B701" s="243" t="str">
        <f t="shared" si="90"/>
        <v/>
      </c>
      <c r="C701" s="243" t="str">
        <f t="shared" si="91"/>
        <v/>
      </c>
      <c r="D701" s="243" t="str">
        <f t="shared" si="92"/>
        <v/>
      </c>
      <c r="E701" s="265" t="str">
        <f>IF($A701="","",SUMIFS(Txn[Signed Units],Txn[Key],$A701))</f>
        <v/>
      </c>
      <c r="F701" s="287" t="str">
        <f>IF($A701="","",SUMIFS(Txn[Buy Cost],Txn[Key],$A701))</f>
        <v/>
      </c>
      <c r="G701" s="287" t="str">
        <f>IF($A701="","",SUMIFS(Txn[Sell Proceeds],Txn[Key],$A701))</f>
        <v/>
      </c>
      <c r="H701" s="288" t="str">
        <f>IF($A701="","",IFERROR(INDEX(Prices[Current Price],MATCH($A701,Prices[Key],0)),0))</f>
        <v/>
      </c>
      <c r="I701" s="289" t="str">
        <f>IF($A701="","",IFERROR(INDEX(Prices[FX to SGD],MATCH($A701,Prices[Key],0)),1))</f>
        <v/>
      </c>
      <c r="J701" s="287" t="str">
        <f t="shared" si="93"/>
        <v/>
      </c>
      <c r="K701" s="287" t="str">
        <f t="shared" si="94"/>
        <v/>
      </c>
      <c r="L701" s="287" t="str">
        <f t="shared" si="95"/>
        <v/>
      </c>
      <c r="M701" s="290" t="str">
        <f t="shared" si="96"/>
        <v/>
      </c>
      <c r="N701" s="243" t="str">
        <f>IF($A701="","",IF(ABS(E701)&gt;0.000001,COUNT($N$1:N700)+1,""))</f>
        <v/>
      </c>
      <c r="O701" s="291" t="str">
        <f>IF($A701="","",SUMIFS(Transactions!$H$2:$H$1001,Transactions!$J$2:$J$1001,$A701,Transactions!$A$2:$A$1001,2)*$I701)</f>
        <v/>
      </c>
      <c r="P701" s="291" t="str">
        <f t="shared" si="97"/>
        <v/>
      </c>
      <c r="Q701" s="292" t="str">
        <f t="shared" si="98"/>
        <v/>
      </c>
    </row>
    <row r="702" spans="1:17" ht="15" customHeight="1" x14ac:dyDescent="0.2">
      <c r="A702" s="243" t="str">
        <f>IFERROR(INDEX(Txn[Key],MATCH(0,INDEX(COUNTIF($A$1:A701,Txn[Key])+(Txn[Key]=""),0),0)),"")</f>
        <v/>
      </c>
      <c r="B702" s="243" t="str">
        <f t="shared" si="90"/>
        <v/>
      </c>
      <c r="C702" s="243" t="str">
        <f t="shared" si="91"/>
        <v/>
      </c>
      <c r="D702" s="243" t="str">
        <f t="shared" si="92"/>
        <v/>
      </c>
      <c r="E702" s="265" t="str">
        <f>IF($A702="","",SUMIFS(Txn[Signed Units],Txn[Key],$A702))</f>
        <v/>
      </c>
      <c r="F702" s="287" t="str">
        <f>IF($A702="","",SUMIFS(Txn[Buy Cost],Txn[Key],$A702))</f>
        <v/>
      </c>
      <c r="G702" s="287" t="str">
        <f>IF($A702="","",SUMIFS(Txn[Sell Proceeds],Txn[Key],$A702))</f>
        <v/>
      </c>
      <c r="H702" s="288" t="str">
        <f>IF($A702="","",IFERROR(INDEX(Prices[Current Price],MATCH($A702,Prices[Key],0)),0))</f>
        <v/>
      </c>
      <c r="I702" s="289" t="str">
        <f>IF($A702="","",IFERROR(INDEX(Prices[FX to SGD],MATCH($A702,Prices[Key],0)),1))</f>
        <v/>
      </c>
      <c r="J702" s="287" t="str">
        <f t="shared" si="93"/>
        <v/>
      </c>
      <c r="K702" s="287" t="str">
        <f t="shared" si="94"/>
        <v/>
      </c>
      <c r="L702" s="287" t="str">
        <f t="shared" si="95"/>
        <v/>
      </c>
      <c r="M702" s="290" t="str">
        <f t="shared" si="96"/>
        <v/>
      </c>
      <c r="N702" s="243" t="str">
        <f>IF($A702="","",IF(ABS(E702)&gt;0.000001,COUNT($N$1:N701)+1,""))</f>
        <v/>
      </c>
      <c r="O702" s="291" t="str">
        <f>IF($A702="","",SUMIFS(Transactions!$H$2:$H$1001,Transactions!$J$2:$J$1001,$A702,Transactions!$A$2:$A$1001,2)*$I702)</f>
        <v/>
      </c>
      <c r="P702" s="291" t="str">
        <f t="shared" si="97"/>
        <v/>
      </c>
      <c r="Q702" s="292" t="str">
        <f t="shared" si="98"/>
        <v/>
      </c>
    </row>
    <row r="703" spans="1:17" ht="15" customHeight="1" x14ac:dyDescent="0.2">
      <c r="A703" s="243" t="str">
        <f>IFERROR(INDEX(Txn[Key],MATCH(0,INDEX(COUNTIF($A$1:A702,Txn[Key])+(Txn[Key]=""),0),0)),"")</f>
        <v/>
      </c>
      <c r="B703" s="243" t="str">
        <f t="shared" si="90"/>
        <v/>
      </c>
      <c r="C703" s="243" t="str">
        <f t="shared" si="91"/>
        <v/>
      </c>
      <c r="D703" s="243" t="str">
        <f t="shared" si="92"/>
        <v/>
      </c>
      <c r="E703" s="265" t="str">
        <f>IF($A703="","",SUMIFS(Txn[Signed Units],Txn[Key],$A703))</f>
        <v/>
      </c>
      <c r="F703" s="287" t="str">
        <f>IF($A703="","",SUMIFS(Txn[Buy Cost],Txn[Key],$A703))</f>
        <v/>
      </c>
      <c r="G703" s="287" t="str">
        <f>IF($A703="","",SUMIFS(Txn[Sell Proceeds],Txn[Key],$A703))</f>
        <v/>
      </c>
      <c r="H703" s="288" t="str">
        <f>IF($A703="","",IFERROR(INDEX(Prices[Current Price],MATCH($A703,Prices[Key],0)),0))</f>
        <v/>
      </c>
      <c r="I703" s="289" t="str">
        <f>IF($A703="","",IFERROR(INDEX(Prices[FX to SGD],MATCH($A703,Prices[Key],0)),1))</f>
        <v/>
      </c>
      <c r="J703" s="287" t="str">
        <f t="shared" si="93"/>
        <v/>
      </c>
      <c r="K703" s="287" t="str">
        <f t="shared" si="94"/>
        <v/>
      </c>
      <c r="L703" s="287" t="str">
        <f t="shared" si="95"/>
        <v/>
      </c>
      <c r="M703" s="290" t="str">
        <f t="shared" si="96"/>
        <v/>
      </c>
      <c r="N703" s="243" t="str">
        <f>IF($A703="","",IF(ABS(E703)&gt;0.000001,COUNT($N$1:N702)+1,""))</f>
        <v/>
      </c>
      <c r="O703" s="291" t="str">
        <f>IF($A703="","",SUMIFS(Transactions!$H$2:$H$1001,Transactions!$J$2:$J$1001,$A703,Transactions!$A$2:$A$1001,2)*$I703)</f>
        <v/>
      </c>
      <c r="P703" s="291" t="str">
        <f t="shared" si="97"/>
        <v/>
      </c>
      <c r="Q703" s="292" t="str">
        <f t="shared" si="98"/>
        <v/>
      </c>
    </row>
    <row r="704" spans="1:17" ht="15" customHeight="1" x14ac:dyDescent="0.2">
      <c r="A704" s="243" t="str">
        <f>IFERROR(INDEX(Txn[Key],MATCH(0,INDEX(COUNTIF($A$1:A703,Txn[Key])+(Txn[Key]=""),0),0)),"")</f>
        <v/>
      </c>
      <c r="B704" s="243" t="str">
        <f t="shared" si="90"/>
        <v/>
      </c>
      <c r="C704" s="243" t="str">
        <f t="shared" si="91"/>
        <v/>
      </c>
      <c r="D704" s="243" t="str">
        <f t="shared" si="92"/>
        <v/>
      </c>
      <c r="E704" s="265" t="str">
        <f>IF($A704="","",SUMIFS(Txn[Signed Units],Txn[Key],$A704))</f>
        <v/>
      </c>
      <c r="F704" s="287" t="str">
        <f>IF($A704="","",SUMIFS(Txn[Buy Cost],Txn[Key],$A704))</f>
        <v/>
      </c>
      <c r="G704" s="287" t="str">
        <f>IF($A704="","",SUMIFS(Txn[Sell Proceeds],Txn[Key],$A704))</f>
        <v/>
      </c>
      <c r="H704" s="288" t="str">
        <f>IF($A704="","",IFERROR(INDEX(Prices[Current Price],MATCH($A704,Prices[Key],0)),0))</f>
        <v/>
      </c>
      <c r="I704" s="289" t="str">
        <f>IF($A704="","",IFERROR(INDEX(Prices[FX to SGD],MATCH($A704,Prices[Key],0)),1))</f>
        <v/>
      </c>
      <c r="J704" s="287" t="str">
        <f t="shared" si="93"/>
        <v/>
      </c>
      <c r="K704" s="287" t="str">
        <f t="shared" si="94"/>
        <v/>
      </c>
      <c r="L704" s="287" t="str">
        <f t="shared" si="95"/>
        <v/>
      </c>
      <c r="M704" s="290" t="str">
        <f t="shared" si="96"/>
        <v/>
      </c>
      <c r="N704" s="243" t="str">
        <f>IF($A704="","",IF(ABS(E704)&gt;0.000001,COUNT($N$1:N703)+1,""))</f>
        <v/>
      </c>
      <c r="O704" s="291" t="str">
        <f>IF($A704="","",SUMIFS(Transactions!$H$2:$H$1001,Transactions!$J$2:$J$1001,$A704,Transactions!$A$2:$A$1001,2)*$I704)</f>
        <v/>
      </c>
      <c r="P704" s="291" t="str">
        <f t="shared" si="97"/>
        <v/>
      </c>
      <c r="Q704" s="292" t="str">
        <f t="shared" si="98"/>
        <v/>
      </c>
    </row>
    <row r="705" spans="1:17" ht="15" customHeight="1" x14ac:dyDescent="0.2">
      <c r="A705" s="243" t="str">
        <f>IFERROR(INDEX(Txn[Key],MATCH(0,INDEX(COUNTIF($A$1:A704,Txn[Key])+(Txn[Key]=""),0),0)),"")</f>
        <v/>
      </c>
      <c r="B705" s="243" t="str">
        <f t="shared" si="90"/>
        <v/>
      </c>
      <c r="C705" s="243" t="str">
        <f t="shared" si="91"/>
        <v/>
      </c>
      <c r="D705" s="243" t="str">
        <f t="shared" si="92"/>
        <v/>
      </c>
      <c r="E705" s="265" t="str">
        <f>IF($A705="","",SUMIFS(Txn[Signed Units],Txn[Key],$A705))</f>
        <v/>
      </c>
      <c r="F705" s="287" t="str">
        <f>IF($A705="","",SUMIFS(Txn[Buy Cost],Txn[Key],$A705))</f>
        <v/>
      </c>
      <c r="G705" s="287" t="str">
        <f>IF($A705="","",SUMIFS(Txn[Sell Proceeds],Txn[Key],$A705))</f>
        <v/>
      </c>
      <c r="H705" s="288" t="str">
        <f>IF($A705="","",IFERROR(INDEX(Prices[Current Price],MATCH($A705,Prices[Key],0)),0))</f>
        <v/>
      </c>
      <c r="I705" s="289" t="str">
        <f>IF($A705="","",IFERROR(INDEX(Prices[FX to SGD],MATCH($A705,Prices[Key],0)),1))</f>
        <v/>
      </c>
      <c r="J705" s="287" t="str">
        <f t="shared" si="93"/>
        <v/>
      </c>
      <c r="K705" s="287" t="str">
        <f t="shared" si="94"/>
        <v/>
      </c>
      <c r="L705" s="287" t="str">
        <f t="shared" si="95"/>
        <v/>
      </c>
      <c r="M705" s="290" t="str">
        <f t="shared" si="96"/>
        <v/>
      </c>
      <c r="N705" s="243" t="str">
        <f>IF($A705="","",IF(ABS(E705)&gt;0.000001,COUNT($N$1:N704)+1,""))</f>
        <v/>
      </c>
      <c r="O705" s="291" t="str">
        <f>IF($A705="","",SUMIFS(Transactions!$H$2:$H$1001,Transactions!$J$2:$J$1001,$A705,Transactions!$A$2:$A$1001,2)*$I705)</f>
        <v/>
      </c>
      <c r="P705" s="291" t="str">
        <f t="shared" si="97"/>
        <v/>
      </c>
      <c r="Q705" s="292" t="str">
        <f t="shared" si="98"/>
        <v/>
      </c>
    </row>
    <row r="706" spans="1:17" ht="15" customHeight="1" x14ac:dyDescent="0.2">
      <c r="A706" s="243" t="str">
        <f>IFERROR(INDEX(Txn[Key],MATCH(0,INDEX(COUNTIF($A$1:A705,Txn[Key])+(Txn[Key]=""),0),0)),"")</f>
        <v/>
      </c>
      <c r="B706" s="243" t="str">
        <f t="shared" ref="B706:B769" si="99">IF($A706="","",LEFT($A706,FIND(":",$A706)-1))</f>
        <v/>
      </c>
      <c r="C706" s="243" t="str">
        <f t="shared" ref="C706:C769" si="100">IF($A706="","",MID($A706,FIND(":",$A706)+1,FIND(":",$A706,FIND(":",$A706)+1)-FIND(":",$A706)-1))</f>
        <v/>
      </c>
      <c r="D706" s="243" t="str">
        <f t="shared" ref="D706:D769" si="101">IF($A706="","",RIGHT($A706,LEN($A706)-FIND(":",$A706,FIND(":",$A706)+1)))</f>
        <v/>
      </c>
      <c r="E706" s="265" t="str">
        <f>IF($A706="","",SUMIFS(Txn[Signed Units],Txn[Key],$A706))</f>
        <v/>
      </c>
      <c r="F706" s="287" t="str">
        <f>IF($A706="","",SUMIFS(Txn[Buy Cost],Txn[Key],$A706))</f>
        <v/>
      </c>
      <c r="G706" s="287" t="str">
        <f>IF($A706="","",SUMIFS(Txn[Sell Proceeds],Txn[Key],$A706))</f>
        <v/>
      </c>
      <c r="H706" s="288" t="str">
        <f>IF($A706="","",IFERROR(INDEX(Prices[Current Price],MATCH($A706,Prices[Key],0)),0))</f>
        <v/>
      </c>
      <c r="I706" s="289" t="str">
        <f>IF($A706="","",IFERROR(INDEX(Prices[FX to SGD],MATCH($A706,Prices[Key],0)),1))</f>
        <v/>
      </c>
      <c r="J706" s="287" t="str">
        <f t="shared" ref="J706:J769" si="102">IF($A706="","",E706*H706)</f>
        <v/>
      </c>
      <c r="K706" s="287" t="str">
        <f t="shared" ref="K706:K769" si="103">IF($A706="","",J706+G706-F706)</f>
        <v/>
      </c>
      <c r="L706" s="287" t="str">
        <f t="shared" ref="L706:L769" si="104">IF($A706="","",K706*I706)</f>
        <v/>
      </c>
      <c r="M706" s="290" t="str">
        <f t="shared" ref="M706:M769" si="105">IF($A706="","",IFERROR(K706/F706,0))</f>
        <v/>
      </c>
      <c r="N706" s="243" t="str">
        <f>IF($A706="","",IF(ABS(E706)&gt;0.000001,COUNT($N$1:N705)+1,""))</f>
        <v/>
      </c>
      <c r="O706" s="291" t="str">
        <f>IF($A706="","",SUMIFS(Transactions!$H$2:$H$1001,Transactions!$J$2:$J$1001,$A706,Transactions!$A$2:$A$1001,2)*$I706)</f>
        <v/>
      </c>
      <c r="P706" s="291" t="str">
        <f t="shared" ref="P706:P769" si="106">IF($A706="","",$L706+$O706)</f>
        <v/>
      </c>
      <c r="Q706" s="292" t="str">
        <f t="shared" ref="Q706:Q769" si="107">IF($A706="","",IFERROR(($L706+$O706)/($F706*$I706),0))</f>
        <v/>
      </c>
    </row>
    <row r="707" spans="1:17" ht="15" customHeight="1" x14ac:dyDescent="0.2">
      <c r="A707" s="243" t="str">
        <f>IFERROR(INDEX(Txn[Key],MATCH(0,INDEX(COUNTIF($A$1:A706,Txn[Key])+(Txn[Key]=""),0),0)),"")</f>
        <v/>
      </c>
      <c r="B707" s="243" t="str">
        <f t="shared" si="99"/>
        <v/>
      </c>
      <c r="C707" s="243" t="str">
        <f t="shared" si="100"/>
        <v/>
      </c>
      <c r="D707" s="243" t="str">
        <f t="shared" si="101"/>
        <v/>
      </c>
      <c r="E707" s="265" t="str">
        <f>IF($A707="","",SUMIFS(Txn[Signed Units],Txn[Key],$A707))</f>
        <v/>
      </c>
      <c r="F707" s="287" t="str">
        <f>IF($A707="","",SUMIFS(Txn[Buy Cost],Txn[Key],$A707))</f>
        <v/>
      </c>
      <c r="G707" s="287" t="str">
        <f>IF($A707="","",SUMIFS(Txn[Sell Proceeds],Txn[Key],$A707))</f>
        <v/>
      </c>
      <c r="H707" s="288" t="str">
        <f>IF($A707="","",IFERROR(INDEX(Prices[Current Price],MATCH($A707,Prices[Key],0)),0))</f>
        <v/>
      </c>
      <c r="I707" s="289" t="str">
        <f>IF($A707="","",IFERROR(INDEX(Prices[FX to SGD],MATCH($A707,Prices[Key],0)),1))</f>
        <v/>
      </c>
      <c r="J707" s="287" t="str">
        <f t="shared" si="102"/>
        <v/>
      </c>
      <c r="K707" s="287" t="str">
        <f t="shared" si="103"/>
        <v/>
      </c>
      <c r="L707" s="287" t="str">
        <f t="shared" si="104"/>
        <v/>
      </c>
      <c r="M707" s="290" t="str">
        <f t="shared" si="105"/>
        <v/>
      </c>
      <c r="N707" s="243" t="str">
        <f>IF($A707="","",IF(ABS(E707)&gt;0.000001,COUNT($N$1:N706)+1,""))</f>
        <v/>
      </c>
      <c r="O707" s="291" t="str">
        <f>IF($A707="","",SUMIFS(Transactions!$H$2:$H$1001,Transactions!$J$2:$J$1001,$A707,Transactions!$A$2:$A$1001,2)*$I707)</f>
        <v/>
      </c>
      <c r="P707" s="291" t="str">
        <f t="shared" si="106"/>
        <v/>
      </c>
      <c r="Q707" s="292" t="str">
        <f t="shared" si="107"/>
        <v/>
      </c>
    </row>
    <row r="708" spans="1:17" ht="15" customHeight="1" x14ac:dyDescent="0.2">
      <c r="A708" s="243" t="str">
        <f>IFERROR(INDEX(Txn[Key],MATCH(0,INDEX(COUNTIF($A$1:A707,Txn[Key])+(Txn[Key]=""),0),0)),"")</f>
        <v/>
      </c>
      <c r="B708" s="243" t="str">
        <f t="shared" si="99"/>
        <v/>
      </c>
      <c r="C708" s="243" t="str">
        <f t="shared" si="100"/>
        <v/>
      </c>
      <c r="D708" s="243" t="str">
        <f t="shared" si="101"/>
        <v/>
      </c>
      <c r="E708" s="265" t="str">
        <f>IF($A708="","",SUMIFS(Txn[Signed Units],Txn[Key],$A708))</f>
        <v/>
      </c>
      <c r="F708" s="287" t="str">
        <f>IF($A708="","",SUMIFS(Txn[Buy Cost],Txn[Key],$A708))</f>
        <v/>
      </c>
      <c r="G708" s="287" t="str">
        <f>IF($A708="","",SUMIFS(Txn[Sell Proceeds],Txn[Key],$A708))</f>
        <v/>
      </c>
      <c r="H708" s="288" t="str">
        <f>IF($A708="","",IFERROR(INDEX(Prices[Current Price],MATCH($A708,Prices[Key],0)),0))</f>
        <v/>
      </c>
      <c r="I708" s="289" t="str">
        <f>IF($A708="","",IFERROR(INDEX(Prices[FX to SGD],MATCH($A708,Prices[Key],0)),1))</f>
        <v/>
      </c>
      <c r="J708" s="287" t="str">
        <f t="shared" si="102"/>
        <v/>
      </c>
      <c r="K708" s="287" t="str">
        <f t="shared" si="103"/>
        <v/>
      </c>
      <c r="L708" s="287" t="str">
        <f t="shared" si="104"/>
        <v/>
      </c>
      <c r="M708" s="290" t="str">
        <f t="shared" si="105"/>
        <v/>
      </c>
      <c r="N708" s="243" t="str">
        <f>IF($A708="","",IF(ABS(E708)&gt;0.000001,COUNT($N$1:N707)+1,""))</f>
        <v/>
      </c>
      <c r="O708" s="291" t="str">
        <f>IF($A708="","",SUMIFS(Transactions!$H$2:$H$1001,Transactions!$J$2:$J$1001,$A708,Transactions!$A$2:$A$1001,2)*$I708)</f>
        <v/>
      </c>
      <c r="P708" s="291" t="str">
        <f t="shared" si="106"/>
        <v/>
      </c>
      <c r="Q708" s="292" t="str">
        <f t="shared" si="107"/>
        <v/>
      </c>
    </row>
    <row r="709" spans="1:17" ht="15" customHeight="1" x14ac:dyDescent="0.2">
      <c r="A709" s="243" t="str">
        <f>IFERROR(INDEX(Txn[Key],MATCH(0,INDEX(COUNTIF($A$1:A708,Txn[Key])+(Txn[Key]=""),0),0)),"")</f>
        <v/>
      </c>
      <c r="B709" s="243" t="str">
        <f t="shared" si="99"/>
        <v/>
      </c>
      <c r="C709" s="243" t="str">
        <f t="shared" si="100"/>
        <v/>
      </c>
      <c r="D709" s="243" t="str">
        <f t="shared" si="101"/>
        <v/>
      </c>
      <c r="E709" s="265" t="str">
        <f>IF($A709="","",SUMIFS(Txn[Signed Units],Txn[Key],$A709))</f>
        <v/>
      </c>
      <c r="F709" s="287" t="str">
        <f>IF($A709="","",SUMIFS(Txn[Buy Cost],Txn[Key],$A709))</f>
        <v/>
      </c>
      <c r="G709" s="287" t="str">
        <f>IF($A709="","",SUMIFS(Txn[Sell Proceeds],Txn[Key],$A709))</f>
        <v/>
      </c>
      <c r="H709" s="288" t="str">
        <f>IF($A709="","",IFERROR(INDEX(Prices[Current Price],MATCH($A709,Prices[Key],0)),0))</f>
        <v/>
      </c>
      <c r="I709" s="289" t="str">
        <f>IF($A709="","",IFERROR(INDEX(Prices[FX to SGD],MATCH($A709,Prices[Key],0)),1))</f>
        <v/>
      </c>
      <c r="J709" s="287" t="str">
        <f t="shared" si="102"/>
        <v/>
      </c>
      <c r="K709" s="287" t="str">
        <f t="shared" si="103"/>
        <v/>
      </c>
      <c r="L709" s="287" t="str">
        <f t="shared" si="104"/>
        <v/>
      </c>
      <c r="M709" s="290" t="str">
        <f t="shared" si="105"/>
        <v/>
      </c>
      <c r="N709" s="243" t="str">
        <f>IF($A709="","",IF(ABS(E709)&gt;0.000001,COUNT($N$1:N708)+1,""))</f>
        <v/>
      </c>
      <c r="O709" s="291" t="str">
        <f>IF($A709="","",SUMIFS(Transactions!$H$2:$H$1001,Transactions!$J$2:$J$1001,$A709,Transactions!$A$2:$A$1001,2)*$I709)</f>
        <v/>
      </c>
      <c r="P709" s="291" t="str">
        <f t="shared" si="106"/>
        <v/>
      </c>
      <c r="Q709" s="292" t="str">
        <f t="shared" si="107"/>
        <v/>
      </c>
    </row>
    <row r="710" spans="1:17" ht="15" customHeight="1" x14ac:dyDescent="0.2">
      <c r="A710" s="243" t="str">
        <f>IFERROR(INDEX(Txn[Key],MATCH(0,INDEX(COUNTIF($A$1:A709,Txn[Key])+(Txn[Key]=""),0),0)),"")</f>
        <v/>
      </c>
      <c r="B710" s="243" t="str">
        <f t="shared" si="99"/>
        <v/>
      </c>
      <c r="C710" s="243" t="str">
        <f t="shared" si="100"/>
        <v/>
      </c>
      <c r="D710" s="243" t="str">
        <f t="shared" si="101"/>
        <v/>
      </c>
      <c r="E710" s="265" t="str">
        <f>IF($A710="","",SUMIFS(Txn[Signed Units],Txn[Key],$A710))</f>
        <v/>
      </c>
      <c r="F710" s="287" t="str">
        <f>IF($A710="","",SUMIFS(Txn[Buy Cost],Txn[Key],$A710))</f>
        <v/>
      </c>
      <c r="G710" s="287" t="str">
        <f>IF($A710="","",SUMIFS(Txn[Sell Proceeds],Txn[Key],$A710))</f>
        <v/>
      </c>
      <c r="H710" s="288" t="str">
        <f>IF($A710="","",IFERROR(INDEX(Prices[Current Price],MATCH($A710,Prices[Key],0)),0))</f>
        <v/>
      </c>
      <c r="I710" s="289" t="str">
        <f>IF($A710="","",IFERROR(INDEX(Prices[FX to SGD],MATCH($A710,Prices[Key],0)),1))</f>
        <v/>
      </c>
      <c r="J710" s="287" t="str">
        <f t="shared" si="102"/>
        <v/>
      </c>
      <c r="K710" s="287" t="str">
        <f t="shared" si="103"/>
        <v/>
      </c>
      <c r="L710" s="287" t="str">
        <f t="shared" si="104"/>
        <v/>
      </c>
      <c r="M710" s="290" t="str">
        <f t="shared" si="105"/>
        <v/>
      </c>
      <c r="N710" s="243" t="str">
        <f>IF($A710="","",IF(ABS(E710)&gt;0.000001,COUNT($N$1:N709)+1,""))</f>
        <v/>
      </c>
      <c r="O710" s="291" t="str">
        <f>IF($A710="","",SUMIFS(Transactions!$H$2:$H$1001,Transactions!$J$2:$J$1001,$A710,Transactions!$A$2:$A$1001,2)*$I710)</f>
        <v/>
      </c>
      <c r="P710" s="291" t="str">
        <f t="shared" si="106"/>
        <v/>
      </c>
      <c r="Q710" s="292" t="str">
        <f t="shared" si="107"/>
        <v/>
      </c>
    </row>
    <row r="711" spans="1:17" ht="15" customHeight="1" x14ac:dyDescent="0.2">
      <c r="A711" s="243" t="str">
        <f>IFERROR(INDEX(Txn[Key],MATCH(0,INDEX(COUNTIF($A$1:A710,Txn[Key])+(Txn[Key]=""),0),0)),"")</f>
        <v/>
      </c>
      <c r="B711" s="243" t="str">
        <f t="shared" si="99"/>
        <v/>
      </c>
      <c r="C711" s="243" t="str">
        <f t="shared" si="100"/>
        <v/>
      </c>
      <c r="D711" s="243" t="str">
        <f t="shared" si="101"/>
        <v/>
      </c>
      <c r="E711" s="265" t="str">
        <f>IF($A711="","",SUMIFS(Txn[Signed Units],Txn[Key],$A711))</f>
        <v/>
      </c>
      <c r="F711" s="287" t="str">
        <f>IF($A711="","",SUMIFS(Txn[Buy Cost],Txn[Key],$A711))</f>
        <v/>
      </c>
      <c r="G711" s="287" t="str">
        <f>IF($A711="","",SUMIFS(Txn[Sell Proceeds],Txn[Key],$A711))</f>
        <v/>
      </c>
      <c r="H711" s="288" t="str">
        <f>IF($A711="","",IFERROR(INDEX(Prices[Current Price],MATCH($A711,Prices[Key],0)),0))</f>
        <v/>
      </c>
      <c r="I711" s="289" t="str">
        <f>IF($A711="","",IFERROR(INDEX(Prices[FX to SGD],MATCH($A711,Prices[Key],0)),1))</f>
        <v/>
      </c>
      <c r="J711" s="287" t="str">
        <f t="shared" si="102"/>
        <v/>
      </c>
      <c r="K711" s="287" t="str">
        <f t="shared" si="103"/>
        <v/>
      </c>
      <c r="L711" s="287" t="str">
        <f t="shared" si="104"/>
        <v/>
      </c>
      <c r="M711" s="290" t="str">
        <f t="shared" si="105"/>
        <v/>
      </c>
      <c r="N711" s="243" t="str">
        <f>IF($A711="","",IF(ABS(E711)&gt;0.000001,COUNT($N$1:N710)+1,""))</f>
        <v/>
      </c>
      <c r="O711" s="291" t="str">
        <f>IF($A711="","",SUMIFS(Transactions!$H$2:$H$1001,Transactions!$J$2:$J$1001,$A711,Transactions!$A$2:$A$1001,2)*$I711)</f>
        <v/>
      </c>
      <c r="P711" s="291" t="str">
        <f t="shared" si="106"/>
        <v/>
      </c>
      <c r="Q711" s="292" t="str">
        <f t="shared" si="107"/>
        <v/>
      </c>
    </row>
    <row r="712" spans="1:17" ht="15" customHeight="1" x14ac:dyDescent="0.2">
      <c r="A712" s="243" t="str">
        <f>IFERROR(INDEX(Txn[Key],MATCH(0,INDEX(COUNTIF($A$1:A711,Txn[Key])+(Txn[Key]=""),0),0)),"")</f>
        <v/>
      </c>
      <c r="B712" s="243" t="str">
        <f t="shared" si="99"/>
        <v/>
      </c>
      <c r="C712" s="243" t="str">
        <f t="shared" si="100"/>
        <v/>
      </c>
      <c r="D712" s="243" t="str">
        <f t="shared" si="101"/>
        <v/>
      </c>
      <c r="E712" s="265" t="str">
        <f>IF($A712="","",SUMIFS(Txn[Signed Units],Txn[Key],$A712))</f>
        <v/>
      </c>
      <c r="F712" s="287" t="str">
        <f>IF($A712="","",SUMIFS(Txn[Buy Cost],Txn[Key],$A712))</f>
        <v/>
      </c>
      <c r="G712" s="287" t="str">
        <f>IF($A712="","",SUMIFS(Txn[Sell Proceeds],Txn[Key],$A712))</f>
        <v/>
      </c>
      <c r="H712" s="288" t="str">
        <f>IF($A712="","",IFERROR(INDEX(Prices[Current Price],MATCH($A712,Prices[Key],0)),0))</f>
        <v/>
      </c>
      <c r="I712" s="289" t="str">
        <f>IF($A712="","",IFERROR(INDEX(Prices[FX to SGD],MATCH($A712,Prices[Key],0)),1))</f>
        <v/>
      </c>
      <c r="J712" s="287" t="str">
        <f t="shared" si="102"/>
        <v/>
      </c>
      <c r="K712" s="287" t="str">
        <f t="shared" si="103"/>
        <v/>
      </c>
      <c r="L712" s="287" t="str">
        <f t="shared" si="104"/>
        <v/>
      </c>
      <c r="M712" s="290" t="str">
        <f t="shared" si="105"/>
        <v/>
      </c>
      <c r="N712" s="243" t="str">
        <f>IF($A712="","",IF(ABS(E712)&gt;0.000001,COUNT($N$1:N711)+1,""))</f>
        <v/>
      </c>
      <c r="O712" s="291" t="str">
        <f>IF($A712="","",SUMIFS(Transactions!$H$2:$H$1001,Transactions!$J$2:$J$1001,$A712,Transactions!$A$2:$A$1001,2)*$I712)</f>
        <v/>
      </c>
      <c r="P712" s="291" t="str">
        <f t="shared" si="106"/>
        <v/>
      </c>
      <c r="Q712" s="292" t="str">
        <f t="shared" si="107"/>
        <v/>
      </c>
    </row>
    <row r="713" spans="1:17" ht="15" customHeight="1" x14ac:dyDescent="0.2">
      <c r="A713" s="243" t="str">
        <f>IFERROR(INDEX(Txn[Key],MATCH(0,INDEX(COUNTIF($A$1:A712,Txn[Key])+(Txn[Key]=""),0),0)),"")</f>
        <v/>
      </c>
      <c r="B713" s="243" t="str">
        <f t="shared" si="99"/>
        <v/>
      </c>
      <c r="C713" s="243" t="str">
        <f t="shared" si="100"/>
        <v/>
      </c>
      <c r="D713" s="243" t="str">
        <f t="shared" si="101"/>
        <v/>
      </c>
      <c r="E713" s="265" t="str">
        <f>IF($A713="","",SUMIFS(Txn[Signed Units],Txn[Key],$A713))</f>
        <v/>
      </c>
      <c r="F713" s="287" t="str">
        <f>IF($A713="","",SUMIFS(Txn[Buy Cost],Txn[Key],$A713))</f>
        <v/>
      </c>
      <c r="G713" s="287" t="str">
        <f>IF($A713="","",SUMIFS(Txn[Sell Proceeds],Txn[Key],$A713))</f>
        <v/>
      </c>
      <c r="H713" s="288" t="str">
        <f>IF($A713="","",IFERROR(INDEX(Prices[Current Price],MATCH($A713,Prices[Key],0)),0))</f>
        <v/>
      </c>
      <c r="I713" s="289" t="str">
        <f>IF($A713="","",IFERROR(INDEX(Prices[FX to SGD],MATCH($A713,Prices[Key],0)),1))</f>
        <v/>
      </c>
      <c r="J713" s="287" t="str">
        <f t="shared" si="102"/>
        <v/>
      </c>
      <c r="K713" s="287" t="str">
        <f t="shared" si="103"/>
        <v/>
      </c>
      <c r="L713" s="287" t="str">
        <f t="shared" si="104"/>
        <v/>
      </c>
      <c r="M713" s="290" t="str">
        <f t="shared" si="105"/>
        <v/>
      </c>
      <c r="N713" s="243" t="str">
        <f>IF($A713="","",IF(ABS(E713)&gt;0.000001,COUNT($N$1:N712)+1,""))</f>
        <v/>
      </c>
      <c r="O713" s="291" t="str">
        <f>IF($A713="","",SUMIFS(Transactions!$H$2:$H$1001,Transactions!$J$2:$J$1001,$A713,Transactions!$A$2:$A$1001,2)*$I713)</f>
        <v/>
      </c>
      <c r="P713" s="291" t="str">
        <f t="shared" si="106"/>
        <v/>
      </c>
      <c r="Q713" s="292" t="str">
        <f t="shared" si="107"/>
        <v/>
      </c>
    </row>
    <row r="714" spans="1:17" ht="15" customHeight="1" x14ac:dyDescent="0.2">
      <c r="A714" s="243" t="str">
        <f>IFERROR(INDEX(Txn[Key],MATCH(0,INDEX(COUNTIF($A$1:A713,Txn[Key])+(Txn[Key]=""),0),0)),"")</f>
        <v/>
      </c>
      <c r="B714" s="243" t="str">
        <f t="shared" si="99"/>
        <v/>
      </c>
      <c r="C714" s="243" t="str">
        <f t="shared" si="100"/>
        <v/>
      </c>
      <c r="D714" s="243" t="str">
        <f t="shared" si="101"/>
        <v/>
      </c>
      <c r="E714" s="265" t="str">
        <f>IF($A714="","",SUMIFS(Txn[Signed Units],Txn[Key],$A714))</f>
        <v/>
      </c>
      <c r="F714" s="287" t="str">
        <f>IF($A714="","",SUMIFS(Txn[Buy Cost],Txn[Key],$A714))</f>
        <v/>
      </c>
      <c r="G714" s="287" t="str">
        <f>IF($A714="","",SUMIFS(Txn[Sell Proceeds],Txn[Key],$A714))</f>
        <v/>
      </c>
      <c r="H714" s="288" t="str">
        <f>IF($A714="","",IFERROR(INDEX(Prices[Current Price],MATCH($A714,Prices[Key],0)),0))</f>
        <v/>
      </c>
      <c r="I714" s="289" t="str">
        <f>IF($A714="","",IFERROR(INDEX(Prices[FX to SGD],MATCH($A714,Prices[Key],0)),1))</f>
        <v/>
      </c>
      <c r="J714" s="287" t="str">
        <f t="shared" si="102"/>
        <v/>
      </c>
      <c r="K714" s="287" t="str">
        <f t="shared" si="103"/>
        <v/>
      </c>
      <c r="L714" s="287" t="str">
        <f t="shared" si="104"/>
        <v/>
      </c>
      <c r="M714" s="290" t="str">
        <f t="shared" si="105"/>
        <v/>
      </c>
      <c r="N714" s="243" t="str">
        <f>IF($A714="","",IF(ABS(E714)&gt;0.000001,COUNT($N$1:N713)+1,""))</f>
        <v/>
      </c>
      <c r="O714" s="291" t="str">
        <f>IF($A714="","",SUMIFS(Transactions!$H$2:$H$1001,Transactions!$J$2:$J$1001,$A714,Transactions!$A$2:$A$1001,2)*$I714)</f>
        <v/>
      </c>
      <c r="P714" s="291" t="str">
        <f t="shared" si="106"/>
        <v/>
      </c>
      <c r="Q714" s="292" t="str">
        <f t="shared" si="107"/>
        <v/>
      </c>
    </row>
    <row r="715" spans="1:17" ht="15" customHeight="1" x14ac:dyDescent="0.2">
      <c r="A715" s="243" t="str">
        <f>IFERROR(INDEX(Txn[Key],MATCH(0,INDEX(COUNTIF($A$1:A714,Txn[Key])+(Txn[Key]=""),0),0)),"")</f>
        <v/>
      </c>
      <c r="B715" s="243" t="str">
        <f t="shared" si="99"/>
        <v/>
      </c>
      <c r="C715" s="243" t="str">
        <f t="shared" si="100"/>
        <v/>
      </c>
      <c r="D715" s="243" t="str">
        <f t="shared" si="101"/>
        <v/>
      </c>
      <c r="E715" s="265" t="str">
        <f>IF($A715="","",SUMIFS(Txn[Signed Units],Txn[Key],$A715))</f>
        <v/>
      </c>
      <c r="F715" s="287" t="str">
        <f>IF($A715="","",SUMIFS(Txn[Buy Cost],Txn[Key],$A715))</f>
        <v/>
      </c>
      <c r="G715" s="287" t="str">
        <f>IF($A715="","",SUMIFS(Txn[Sell Proceeds],Txn[Key],$A715))</f>
        <v/>
      </c>
      <c r="H715" s="288" t="str">
        <f>IF($A715="","",IFERROR(INDEX(Prices[Current Price],MATCH($A715,Prices[Key],0)),0))</f>
        <v/>
      </c>
      <c r="I715" s="289" t="str">
        <f>IF($A715="","",IFERROR(INDEX(Prices[FX to SGD],MATCH($A715,Prices[Key],0)),1))</f>
        <v/>
      </c>
      <c r="J715" s="287" t="str">
        <f t="shared" si="102"/>
        <v/>
      </c>
      <c r="K715" s="287" t="str">
        <f t="shared" si="103"/>
        <v/>
      </c>
      <c r="L715" s="287" t="str">
        <f t="shared" si="104"/>
        <v/>
      </c>
      <c r="M715" s="290" t="str">
        <f t="shared" si="105"/>
        <v/>
      </c>
      <c r="N715" s="243" t="str">
        <f>IF($A715="","",IF(ABS(E715)&gt;0.000001,COUNT($N$1:N714)+1,""))</f>
        <v/>
      </c>
      <c r="O715" s="291" t="str">
        <f>IF($A715="","",SUMIFS(Transactions!$H$2:$H$1001,Transactions!$J$2:$J$1001,$A715,Transactions!$A$2:$A$1001,2)*$I715)</f>
        <v/>
      </c>
      <c r="P715" s="291" t="str">
        <f t="shared" si="106"/>
        <v/>
      </c>
      <c r="Q715" s="292" t="str">
        <f t="shared" si="107"/>
        <v/>
      </c>
    </row>
    <row r="716" spans="1:17" ht="15" customHeight="1" x14ac:dyDescent="0.2">
      <c r="A716" s="243" t="str">
        <f>IFERROR(INDEX(Txn[Key],MATCH(0,INDEX(COUNTIF($A$1:A715,Txn[Key])+(Txn[Key]=""),0),0)),"")</f>
        <v/>
      </c>
      <c r="B716" s="243" t="str">
        <f t="shared" si="99"/>
        <v/>
      </c>
      <c r="C716" s="243" t="str">
        <f t="shared" si="100"/>
        <v/>
      </c>
      <c r="D716" s="243" t="str">
        <f t="shared" si="101"/>
        <v/>
      </c>
      <c r="E716" s="265" t="str">
        <f>IF($A716="","",SUMIFS(Txn[Signed Units],Txn[Key],$A716))</f>
        <v/>
      </c>
      <c r="F716" s="287" t="str">
        <f>IF($A716="","",SUMIFS(Txn[Buy Cost],Txn[Key],$A716))</f>
        <v/>
      </c>
      <c r="G716" s="287" t="str">
        <f>IF($A716="","",SUMIFS(Txn[Sell Proceeds],Txn[Key],$A716))</f>
        <v/>
      </c>
      <c r="H716" s="288" t="str">
        <f>IF($A716="","",IFERROR(INDEX(Prices[Current Price],MATCH($A716,Prices[Key],0)),0))</f>
        <v/>
      </c>
      <c r="I716" s="289" t="str">
        <f>IF($A716="","",IFERROR(INDEX(Prices[FX to SGD],MATCH($A716,Prices[Key],0)),1))</f>
        <v/>
      </c>
      <c r="J716" s="287" t="str">
        <f t="shared" si="102"/>
        <v/>
      </c>
      <c r="K716" s="287" t="str">
        <f t="shared" si="103"/>
        <v/>
      </c>
      <c r="L716" s="287" t="str">
        <f t="shared" si="104"/>
        <v/>
      </c>
      <c r="M716" s="290" t="str">
        <f t="shared" si="105"/>
        <v/>
      </c>
      <c r="N716" s="243" t="str">
        <f>IF($A716="","",IF(ABS(E716)&gt;0.000001,COUNT($N$1:N715)+1,""))</f>
        <v/>
      </c>
      <c r="O716" s="291" t="str">
        <f>IF($A716="","",SUMIFS(Transactions!$H$2:$H$1001,Transactions!$J$2:$J$1001,$A716,Transactions!$A$2:$A$1001,2)*$I716)</f>
        <v/>
      </c>
      <c r="P716" s="291" t="str">
        <f t="shared" si="106"/>
        <v/>
      </c>
      <c r="Q716" s="292" t="str">
        <f t="shared" si="107"/>
        <v/>
      </c>
    </row>
    <row r="717" spans="1:17" ht="15" customHeight="1" x14ac:dyDescent="0.2">
      <c r="A717" s="243" t="str">
        <f>IFERROR(INDEX(Txn[Key],MATCH(0,INDEX(COUNTIF($A$1:A716,Txn[Key])+(Txn[Key]=""),0),0)),"")</f>
        <v/>
      </c>
      <c r="B717" s="243" t="str">
        <f t="shared" si="99"/>
        <v/>
      </c>
      <c r="C717" s="243" t="str">
        <f t="shared" si="100"/>
        <v/>
      </c>
      <c r="D717" s="243" t="str">
        <f t="shared" si="101"/>
        <v/>
      </c>
      <c r="E717" s="265" t="str">
        <f>IF($A717="","",SUMIFS(Txn[Signed Units],Txn[Key],$A717))</f>
        <v/>
      </c>
      <c r="F717" s="287" t="str">
        <f>IF($A717="","",SUMIFS(Txn[Buy Cost],Txn[Key],$A717))</f>
        <v/>
      </c>
      <c r="G717" s="287" t="str">
        <f>IF($A717="","",SUMIFS(Txn[Sell Proceeds],Txn[Key],$A717))</f>
        <v/>
      </c>
      <c r="H717" s="288" t="str">
        <f>IF($A717="","",IFERROR(INDEX(Prices[Current Price],MATCH($A717,Prices[Key],0)),0))</f>
        <v/>
      </c>
      <c r="I717" s="289" t="str">
        <f>IF($A717="","",IFERROR(INDEX(Prices[FX to SGD],MATCH($A717,Prices[Key],0)),1))</f>
        <v/>
      </c>
      <c r="J717" s="287" t="str">
        <f t="shared" si="102"/>
        <v/>
      </c>
      <c r="K717" s="287" t="str">
        <f t="shared" si="103"/>
        <v/>
      </c>
      <c r="L717" s="287" t="str">
        <f t="shared" si="104"/>
        <v/>
      </c>
      <c r="M717" s="290" t="str">
        <f t="shared" si="105"/>
        <v/>
      </c>
      <c r="N717" s="243" t="str">
        <f>IF($A717="","",IF(ABS(E717)&gt;0.000001,COUNT($N$1:N716)+1,""))</f>
        <v/>
      </c>
      <c r="O717" s="291" t="str">
        <f>IF($A717="","",SUMIFS(Transactions!$H$2:$H$1001,Transactions!$J$2:$J$1001,$A717,Transactions!$A$2:$A$1001,2)*$I717)</f>
        <v/>
      </c>
      <c r="P717" s="291" t="str">
        <f t="shared" si="106"/>
        <v/>
      </c>
      <c r="Q717" s="292" t="str">
        <f t="shared" si="107"/>
        <v/>
      </c>
    </row>
    <row r="718" spans="1:17" ht="15" customHeight="1" x14ac:dyDescent="0.2">
      <c r="A718" s="243" t="str">
        <f>IFERROR(INDEX(Txn[Key],MATCH(0,INDEX(COUNTIF($A$1:A717,Txn[Key])+(Txn[Key]=""),0),0)),"")</f>
        <v/>
      </c>
      <c r="B718" s="243" t="str">
        <f t="shared" si="99"/>
        <v/>
      </c>
      <c r="C718" s="243" t="str">
        <f t="shared" si="100"/>
        <v/>
      </c>
      <c r="D718" s="243" t="str">
        <f t="shared" si="101"/>
        <v/>
      </c>
      <c r="E718" s="265" t="str">
        <f>IF($A718="","",SUMIFS(Txn[Signed Units],Txn[Key],$A718))</f>
        <v/>
      </c>
      <c r="F718" s="287" t="str">
        <f>IF($A718="","",SUMIFS(Txn[Buy Cost],Txn[Key],$A718))</f>
        <v/>
      </c>
      <c r="G718" s="287" t="str">
        <f>IF($A718="","",SUMIFS(Txn[Sell Proceeds],Txn[Key],$A718))</f>
        <v/>
      </c>
      <c r="H718" s="288" t="str">
        <f>IF($A718="","",IFERROR(INDEX(Prices[Current Price],MATCH($A718,Prices[Key],0)),0))</f>
        <v/>
      </c>
      <c r="I718" s="289" t="str">
        <f>IF($A718="","",IFERROR(INDEX(Prices[FX to SGD],MATCH($A718,Prices[Key],0)),1))</f>
        <v/>
      </c>
      <c r="J718" s="287" t="str">
        <f t="shared" si="102"/>
        <v/>
      </c>
      <c r="K718" s="287" t="str">
        <f t="shared" si="103"/>
        <v/>
      </c>
      <c r="L718" s="287" t="str">
        <f t="shared" si="104"/>
        <v/>
      </c>
      <c r="M718" s="290" t="str">
        <f t="shared" si="105"/>
        <v/>
      </c>
      <c r="N718" s="243" t="str">
        <f>IF($A718="","",IF(ABS(E718)&gt;0.000001,COUNT($N$1:N717)+1,""))</f>
        <v/>
      </c>
      <c r="O718" s="291" t="str">
        <f>IF($A718="","",SUMIFS(Transactions!$H$2:$H$1001,Transactions!$J$2:$J$1001,$A718,Transactions!$A$2:$A$1001,2)*$I718)</f>
        <v/>
      </c>
      <c r="P718" s="291" t="str">
        <f t="shared" si="106"/>
        <v/>
      </c>
      <c r="Q718" s="292" t="str">
        <f t="shared" si="107"/>
        <v/>
      </c>
    </row>
    <row r="719" spans="1:17" ht="15" customHeight="1" x14ac:dyDescent="0.2">
      <c r="A719" s="243" t="str">
        <f>IFERROR(INDEX(Txn[Key],MATCH(0,INDEX(COUNTIF($A$1:A718,Txn[Key])+(Txn[Key]=""),0),0)),"")</f>
        <v/>
      </c>
      <c r="B719" s="243" t="str">
        <f t="shared" si="99"/>
        <v/>
      </c>
      <c r="C719" s="243" t="str">
        <f t="shared" si="100"/>
        <v/>
      </c>
      <c r="D719" s="243" t="str">
        <f t="shared" si="101"/>
        <v/>
      </c>
      <c r="E719" s="265" t="str">
        <f>IF($A719="","",SUMIFS(Txn[Signed Units],Txn[Key],$A719))</f>
        <v/>
      </c>
      <c r="F719" s="287" t="str">
        <f>IF($A719="","",SUMIFS(Txn[Buy Cost],Txn[Key],$A719))</f>
        <v/>
      </c>
      <c r="G719" s="287" t="str">
        <f>IF($A719="","",SUMIFS(Txn[Sell Proceeds],Txn[Key],$A719))</f>
        <v/>
      </c>
      <c r="H719" s="288" t="str">
        <f>IF($A719="","",IFERROR(INDEX(Prices[Current Price],MATCH($A719,Prices[Key],0)),0))</f>
        <v/>
      </c>
      <c r="I719" s="289" t="str">
        <f>IF($A719="","",IFERROR(INDEX(Prices[FX to SGD],MATCH($A719,Prices[Key],0)),1))</f>
        <v/>
      </c>
      <c r="J719" s="287" t="str">
        <f t="shared" si="102"/>
        <v/>
      </c>
      <c r="K719" s="287" t="str">
        <f t="shared" si="103"/>
        <v/>
      </c>
      <c r="L719" s="287" t="str">
        <f t="shared" si="104"/>
        <v/>
      </c>
      <c r="M719" s="290" t="str">
        <f t="shared" si="105"/>
        <v/>
      </c>
      <c r="N719" s="243" t="str">
        <f>IF($A719="","",IF(ABS(E719)&gt;0.000001,COUNT($N$1:N718)+1,""))</f>
        <v/>
      </c>
      <c r="O719" s="291" t="str">
        <f>IF($A719="","",SUMIFS(Transactions!$H$2:$H$1001,Transactions!$J$2:$J$1001,$A719,Transactions!$A$2:$A$1001,2)*$I719)</f>
        <v/>
      </c>
      <c r="P719" s="291" t="str">
        <f t="shared" si="106"/>
        <v/>
      </c>
      <c r="Q719" s="292" t="str">
        <f t="shared" si="107"/>
        <v/>
      </c>
    </row>
    <row r="720" spans="1:17" ht="15" customHeight="1" x14ac:dyDescent="0.2">
      <c r="A720" s="243" t="str">
        <f>IFERROR(INDEX(Txn[Key],MATCH(0,INDEX(COUNTIF($A$1:A719,Txn[Key])+(Txn[Key]=""),0),0)),"")</f>
        <v/>
      </c>
      <c r="B720" s="243" t="str">
        <f t="shared" si="99"/>
        <v/>
      </c>
      <c r="C720" s="243" t="str">
        <f t="shared" si="100"/>
        <v/>
      </c>
      <c r="D720" s="243" t="str">
        <f t="shared" si="101"/>
        <v/>
      </c>
      <c r="E720" s="265" t="str">
        <f>IF($A720="","",SUMIFS(Txn[Signed Units],Txn[Key],$A720))</f>
        <v/>
      </c>
      <c r="F720" s="287" t="str">
        <f>IF($A720="","",SUMIFS(Txn[Buy Cost],Txn[Key],$A720))</f>
        <v/>
      </c>
      <c r="G720" s="287" t="str">
        <f>IF($A720="","",SUMIFS(Txn[Sell Proceeds],Txn[Key],$A720))</f>
        <v/>
      </c>
      <c r="H720" s="288" t="str">
        <f>IF($A720="","",IFERROR(INDEX(Prices[Current Price],MATCH($A720,Prices[Key],0)),0))</f>
        <v/>
      </c>
      <c r="I720" s="289" t="str">
        <f>IF($A720="","",IFERROR(INDEX(Prices[FX to SGD],MATCH($A720,Prices[Key],0)),1))</f>
        <v/>
      </c>
      <c r="J720" s="287" t="str">
        <f t="shared" si="102"/>
        <v/>
      </c>
      <c r="K720" s="287" t="str">
        <f t="shared" si="103"/>
        <v/>
      </c>
      <c r="L720" s="287" t="str">
        <f t="shared" si="104"/>
        <v/>
      </c>
      <c r="M720" s="290" t="str">
        <f t="shared" si="105"/>
        <v/>
      </c>
      <c r="N720" s="243" t="str">
        <f>IF($A720="","",IF(ABS(E720)&gt;0.000001,COUNT($N$1:N719)+1,""))</f>
        <v/>
      </c>
      <c r="O720" s="291" t="str">
        <f>IF($A720="","",SUMIFS(Transactions!$H$2:$H$1001,Transactions!$J$2:$J$1001,$A720,Transactions!$A$2:$A$1001,2)*$I720)</f>
        <v/>
      </c>
      <c r="P720" s="291" t="str">
        <f t="shared" si="106"/>
        <v/>
      </c>
      <c r="Q720" s="292" t="str">
        <f t="shared" si="107"/>
        <v/>
      </c>
    </row>
    <row r="721" spans="1:17" ht="15" customHeight="1" x14ac:dyDescent="0.2">
      <c r="A721" s="243" t="str">
        <f>IFERROR(INDEX(Txn[Key],MATCH(0,INDEX(COUNTIF($A$1:A720,Txn[Key])+(Txn[Key]=""),0),0)),"")</f>
        <v/>
      </c>
      <c r="B721" s="243" t="str">
        <f t="shared" si="99"/>
        <v/>
      </c>
      <c r="C721" s="243" t="str">
        <f t="shared" si="100"/>
        <v/>
      </c>
      <c r="D721" s="243" t="str">
        <f t="shared" si="101"/>
        <v/>
      </c>
      <c r="E721" s="265" t="str">
        <f>IF($A721="","",SUMIFS(Txn[Signed Units],Txn[Key],$A721))</f>
        <v/>
      </c>
      <c r="F721" s="287" t="str">
        <f>IF($A721="","",SUMIFS(Txn[Buy Cost],Txn[Key],$A721))</f>
        <v/>
      </c>
      <c r="G721" s="287" t="str">
        <f>IF($A721="","",SUMIFS(Txn[Sell Proceeds],Txn[Key],$A721))</f>
        <v/>
      </c>
      <c r="H721" s="288" t="str">
        <f>IF($A721="","",IFERROR(INDEX(Prices[Current Price],MATCH($A721,Prices[Key],0)),0))</f>
        <v/>
      </c>
      <c r="I721" s="289" t="str">
        <f>IF($A721="","",IFERROR(INDEX(Prices[FX to SGD],MATCH($A721,Prices[Key],0)),1))</f>
        <v/>
      </c>
      <c r="J721" s="287" t="str">
        <f t="shared" si="102"/>
        <v/>
      </c>
      <c r="K721" s="287" t="str">
        <f t="shared" si="103"/>
        <v/>
      </c>
      <c r="L721" s="287" t="str">
        <f t="shared" si="104"/>
        <v/>
      </c>
      <c r="M721" s="290" t="str">
        <f t="shared" si="105"/>
        <v/>
      </c>
      <c r="N721" s="243" t="str">
        <f>IF($A721="","",IF(ABS(E721)&gt;0.000001,COUNT($N$1:N720)+1,""))</f>
        <v/>
      </c>
      <c r="O721" s="291" t="str">
        <f>IF($A721="","",SUMIFS(Transactions!$H$2:$H$1001,Transactions!$J$2:$J$1001,$A721,Transactions!$A$2:$A$1001,2)*$I721)</f>
        <v/>
      </c>
      <c r="P721" s="291" t="str">
        <f t="shared" si="106"/>
        <v/>
      </c>
      <c r="Q721" s="292" t="str">
        <f t="shared" si="107"/>
        <v/>
      </c>
    </row>
    <row r="722" spans="1:17" ht="15" customHeight="1" x14ac:dyDescent="0.2">
      <c r="A722" s="243" t="str">
        <f>IFERROR(INDEX(Txn[Key],MATCH(0,INDEX(COUNTIF($A$1:A721,Txn[Key])+(Txn[Key]=""),0),0)),"")</f>
        <v/>
      </c>
      <c r="B722" s="243" t="str">
        <f t="shared" si="99"/>
        <v/>
      </c>
      <c r="C722" s="243" t="str">
        <f t="shared" si="100"/>
        <v/>
      </c>
      <c r="D722" s="243" t="str">
        <f t="shared" si="101"/>
        <v/>
      </c>
      <c r="E722" s="265" t="str">
        <f>IF($A722="","",SUMIFS(Txn[Signed Units],Txn[Key],$A722))</f>
        <v/>
      </c>
      <c r="F722" s="287" t="str">
        <f>IF($A722="","",SUMIFS(Txn[Buy Cost],Txn[Key],$A722))</f>
        <v/>
      </c>
      <c r="G722" s="287" t="str">
        <f>IF($A722="","",SUMIFS(Txn[Sell Proceeds],Txn[Key],$A722))</f>
        <v/>
      </c>
      <c r="H722" s="288" t="str">
        <f>IF($A722="","",IFERROR(INDEX(Prices[Current Price],MATCH($A722,Prices[Key],0)),0))</f>
        <v/>
      </c>
      <c r="I722" s="289" t="str">
        <f>IF($A722="","",IFERROR(INDEX(Prices[FX to SGD],MATCH($A722,Prices[Key],0)),1))</f>
        <v/>
      </c>
      <c r="J722" s="287" t="str">
        <f t="shared" si="102"/>
        <v/>
      </c>
      <c r="K722" s="287" t="str">
        <f t="shared" si="103"/>
        <v/>
      </c>
      <c r="L722" s="287" t="str">
        <f t="shared" si="104"/>
        <v/>
      </c>
      <c r="M722" s="290" t="str">
        <f t="shared" si="105"/>
        <v/>
      </c>
      <c r="N722" s="243" t="str">
        <f>IF($A722="","",IF(ABS(E722)&gt;0.000001,COUNT($N$1:N721)+1,""))</f>
        <v/>
      </c>
      <c r="O722" s="291" t="str">
        <f>IF($A722="","",SUMIFS(Transactions!$H$2:$H$1001,Transactions!$J$2:$J$1001,$A722,Transactions!$A$2:$A$1001,2)*$I722)</f>
        <v/>
      </c>
      <c r="P722" s="291" t="str">
        <f t="shared" si="106"/>
        <v/>
      </c>
      <c r="Q722" s="292" t="str">
        <f t="shared" si="107"/>
        <v/>
      </c>
    </row>
    <row r="723" spans="1:17" ht="15" customHeight="1" x14ac:dyDescent="0.2">
      <c r="A723" s="243" t="str">
        <f>IFERROR(INDEX(Txn[Key],MATCH(0,INDEX(COUNTIF($A$1:A722,Txn[Key])+(Txn[Key]=""),0),0)),"")</f>
        <v/>
      </c>
      <c r="B723" s="243" t="str">
        <f t="shared" si="99"/>
        <v/>
      </c>
      <c r="C723" s="243" t="str">
        <f t="shared" si="100"/>
        <v/>
      </c>
      <c r="D723" s="243" t="str">
        <f t="shared" si="101"/>
        <v/>
      </c>
      <c r="E723" s="265" t="str">
        <f>IF($A723="","",SUMIFS(Txn[Signed Units],Txn[Key],$A723))</f>
        <v/>
      </c>
      <c r="F723" s="287" t="str">
        <f>IF($A723="","",SUMIFS(Txn[Buy Cost],Txn[Key],$A723))</f>
        <v/>
      </c>
      <c r="G723" s="287" t="str">
        <f>IF($A723="","",SUMIFS(Txn[Sell Proceeds],Txn[Key],$A723))</f>
        <v/>
      </c>
      <c r="H723" s="288" t="str">
        <f>IF($A723="","",IFERROR(INDEX(Prices[Current Price],MATCH($A723,Prices[Key],0)),0))</f>
        <v/>
      </c>
      <c r="I723" s="289" t="str">
        <f>IF($A723="","",IFERROR(INDEX(Prices[FX to SGD],MATCH($A723,Prices[Key],0)),1))</f>
        <v/>
      </c>
      <c r="J723" s="287" t="str">
        <f t="shared" si="102"/>
        <v/>
      </c>
      <c r="K723" s="287" t="str">
        <f t="shared" si="103"/>
        <v/>
      </c>
      <c r="L723" s="287" t="str">
        <f t="shared" si="104"/>
        <v/>
      </c>
      <c r="M723" s="290" t="str">
        <f t="shared" si="105"/>
        <v/>
      </c>
      <c r="N723" s="243" t="str">
        <f>IF($A723="","",IF(ABS(E723)&gt;0.000001,COUNT($N$1:N722)+1,""))</f>
        <v/>
      </c>
      <c r="O723" s="291" t="str">
        <f>IF($A723="","",SUMIFS(Transactions!$H$2:$H$1001,Transactions!$J$2:$J$1001,$A723,Transactions!$A$2:$A$1001,2)*$I723)</f>
        <v/>
      </c>
      <c r="P723" s="291" t="str">
        <f t="shared" si="106"/>
        <v/>
      </c>
      <c r="Q723" s="292" t="str">
        <f t="shared" si="107"/>
        <v/>
      </c>
    </row>
    <row r="724" spans="1:17" ht="15" customHeight="1" x14ac:dyDescent="0.2">
      <c r="A724" s="243" t="str">
        <f>IFERROR(INDEX(Txn[Key],MATCH(0,INDEX(COUNTIF($A$1:A723,Txn[Key])+(Txn[Key]=""),0),0)),"")</f>
        <v/>
      </c>
      <c r="B724" s="243" t="str">
        <f t="shared" si="99"/>
        <v/>
      </c>
      <c r="C724" s="243" t="str">
        <f t="shared" si="100"/>
        <v/>
      </c>
      <c r="D724" s="243" t="str">
        <f t="shared" si="101"/>
        <v/>
      </c>
      <c r="E724" s="265" t="str">
        <f>IF($A724="","",SUMIFS(Txn[Signed Units],Txn[Key],$A724))</f>
        <v/>
      </c>
      <c r="F724" s="287" t="str">
        <f>IF($A724="","",SUMIFS(Txn[Buy Cost],Txn[Key],$A724))</f>
        <v/>
      </c>
      <c r="G724" s="287" t="str">
        <f>IF($A724="","",SUMIFS(Txn[Sell Proceeds],Txn[Key],$A724))</f>
        <v/>
      </c>
      <c r="H724" s="288" t="str">
        <f>IF($A724="","",IFERROR(INDEX(Prices[Current Price],MATCH($A724,Prices[Key],0)),0))</f>
        <v/>
      </c>
      <c r="I724" s="289" t="str">
        <f>IF($A724="","",IFERROR(INDEX(Prices[FX to SGD],MATCH($A724,Prices[Key],0)),1))</f>
        <v/>
      </c>
      <c r="J724" s="287" t="str">
        <f t="shared" si="102"/>
        <v/>
      </c>
      <c r="K724" s="287" t="str">
        <f t="shared" si="103"/>
        <v/>
      </c>
      <c r="L724" s="287" t="str">
        <f t="shared" si="104"/>
        <v/>
      </c>
      <c r="M724" s="290" t="str">
        <f t="shared" si="105"/>
        <v/>
      </c>
      <c r="N724" s="243" t="str">
        <f>IF($A724="","",IF(ABS(E724)&gt;0.000001,COUNT($N$1:N723)+1,""))</f>
        <v/>
      </c>
      <c r="O724" s="291" t="str">
        <f>IF($A724="","",SUMIFS(Transactions!$H$2:$H$1001,Transactions!$J$2:$J$1001,$A724,Transactions!$A$2:$A$1001,2)*$I724)</f>
        <v/>
      </c>
      <c r="P724" s="291" t="str">
        <f t="shared" si="106"/>
        <v/>
      </c>
      <c r="Q724" s="292" t="str">
        <f t="shared" si="107"/>
        <v/>
      </c>
    </row>
    <row r="725" spans="1:17" ht="15" customHeight="1" x14ac:dyDescent="0.2">
      <c r="A725" s="243" t="str">
        <f>IFERROR(INDEX(Txn[Key],MATCH(0,INDEX(COUNTIF($A$1:A724,Txn[Key])+(Txn[Key]=""),0),0)),"")</f>
        <v/>
      </c>
      <c r="B725" s="243" t="str">
        <f t="shared" si="99"/>
        <v/>
      </c>
      <c r="C725" s="243" t="str">
        <f t="shared" si="100"/>
        <v/>
      </c>
      <c r="D725" s="243" t="str">
        <f t="shared" si="101"/>
        <v/>
      </c>
      <c r="E725" s="265" t="str">
        <f>IF($A725="","",SUMIFS(Txn[Signed Units],Txn[Key],$A725))</f>
        <v/>
      </c>
      <c r="F725" s="287" t="str">
        <f>IF($A725="","",SUMIFS(Txn[Buy Cost],Txn[Key],$A725))</f>
        <v/>
      </c>
      <c r="G725" s="287" t="str">
        <f>IF($A725="","",SUMIFS(Txn[Sell Proceeds],Txn[Key],$A725))</f>
        <v/>
      </c>
      <c r="H725" s="288" t="str">
        <f>IF($A725="","",IFERROR(INDEX(Prices[Current Price],MATCH($A725,Prices[Key],0)),0))</f>
        <v/>
      </c>
      <c r="I725" s="289" t="str">
        <f>IF($A725="","",IFERROR(INDEX(Prices[FX to SGD],MATCH($A725,Prices[Key],0)),1))</f>
        <v/>
      </c>
      <c r="J725" s="287" t="str">
        <f t="shared" si="102"/>
        <v/>
      </c>
      <c r="K725" s="287" t="str">
        <f t="shared" si="103"/>
        <v/>
      </c>
      <c r="L725" s="287" t="str">
        <f t="shared" si="104"/>
        <v/>
      </c>
      <c r="M725" s="290" t="str">
        <f t="shared" si="105"/>
        <v/>
      </c>
      <c r="N725" s="243" t="str">
        <f>IF($A725="","",IF(ABS(E725)&gt;0.000001,COUNT($N$1:N724)+1,""))</f>
        <v/>
      </c>
      <c r="O725" s="291" t="str">
        <f>IF($A725="","",SUMIFS(Transactions!$H$2:$H$1001,Transactions!$J$2:$J$1001,$A725,Transactions!$A$2:$A$1001,2)*$I725)</f>
        <v/>
      </c>
      <c r="P725" s="291" t="str">
        <f t="shared" si="106"/>
        <v/>
      </c>
      <c r="Q725" s="292" t="str">
        <f t="shared" si="107"/>
        <v/>
      </c>
    </row>
    <row r="726" spans="1:17" ht="15" customHeight="1" x14ac:dyDescent="0.2">
      <c r="A726" s="243" t="str">
        <f>IFERROR(INDEX(Txn[Key],MATCH(0,INDEX(COUNTIF($A$1:A725,Txn[Key])+(Txn[Key]=""),0),0)),"")</f>
        <v/>
      </c>
      <c r="B726" s="243" t="str">
        <f t="shared" si="99"/>
        <v/>
      </c>
      <c r="C726" s="243" t="str">
        <f t="shared" si="100"/>
        <v/>
      </c>
      <c r="D726" s="243" t="str">
        <f t="shared" si="101"/>
        <v/>
      </c>
      <c r="E726" s="265" t="str">
        <f>IF($A726="","",SUMIFS(Txn[Signed Units],Txn[Key],$A726))</f>
        <v/>
      </c>
      <c r="F726" s="287" t="str">
        <f>IF($A726="","",SUMIFS(Txn[Buy Cost],Txn[Key],$A726))</f>
        <v/>
      </c>
      <c r="G726" s="287" t="str">
        <f>IF($A726="","",SUMIFS(Txn[Sell Proceeds],Txn[Key],$A726))</f>
        <v/>
      </c>
      <c r="H726" s="288" t="str">
        <f>IF($A726="","",IFERROR(INDEX(Prices[Current Price],MATCH($A726,Prices[Key],0)),0))</f>
        <v/>
      </c>
      <c r="I726" s="289" t="str">
        <f>IF($A726="","",IFERROR(INDEX(Prices[FX to SGD],MATCH($A726,Prices[Key],0)),1))</f>
        <v/>
      </c>
      <c r="J726" s="287" t="str">
        <f t="shared" si="102"/>
        <v/>
      </c>
      <c r="K726" s="287" t="str">
        <f t="shared" si="103"/>
        <v/>
      </c>
      <c r="L726" s="287" t="str">
        <f t="shared" si="104"/>
        <v/>
      </c>
      <c r="M726" s="290" t="str">
        <f t="shared" si="105"/>
        <v/>
      </c>
      <c r="N726" s="243" t="str">
        <f>IF($A726="","",IF(ABS(E726)&gt;0.000001,COUNT($N$1:N725)+1,""))</f>
        <v/>
      </c>
      <c r="O726" s="291" t="str">
        <f>IF($A726="","",SUMIFS(Transactions!$H$2:$H$1001,Transactions!$J$2:$J$1001,$A726,Transactions!$A$2:$A$1001,2)*$I726)</f>
        <v/>
      </c>
      <c r="P726" s="291" t="str">
        <f t="shared" si="106"/>
        <v/>
      </c>
      <c r="Q726" s="292" t="str">
        <f t="shared" si="107"/>
        <v/>
      </c>
    </row>
    <row r="727" spans="1:17" ht="15" customHeight="1" x14ac:dyDescent="0.2">
      <c r="A727" s="243" t="str">
        <f>IFERROR(INDEX(Txn[Key],MATCH(0,INDEX(COUNTIF($A$1:A726,Txn[Key])+(Txn[Key]=""),0),0)),"")</f>
        <v/>
      </c>
      <c r="B727" s="243" t="str">
        <f t="shared" si="99"/>
        <v/>
      </c>
      <c r="C727" s="243" t="str">
        <f t="shared" si="100"/>
        <v/>
      </c>
      <c r="D727" s="243" t="str">
        <f t="shared" si="101"/>
        <v/>
      </c>
      <c r="E727" s="265" t="str">
        <f>IF($A727="","",SUMIFS(Txn[Signed Units],Txn[Key],$A727))</f>
        <v/>
      </c>
      <c r="F727" s="287" t="str">
        <f>IF($A727="","",SUMIFS(Txn[Buy Cost],Txn[Key],$A727))</f>
        <v/>
      </c>
      <c r="G727" s="287" t="str">
        <f>IF($A727="","",SUMIFS(Txn[Sell Proceeds],Txn[Key],$A727))</f>
        <v/>
      </c>
      <c r="H727" s="288" t="str">
        <f>IF($A727="","",IFERROR(INDEX(Prices[Current Price],MATCH($A727,Prices[Key],0)),0))</f>
        <v/>
      </c>
      <c r="I727" s="289" t="str">
        <f>IF($A727="","",IFERROR(INDEX(Prices[FX to SGD],MATCH($A727,Prices[Key],0)),1))</f>
        <v/>
      </c>
      <c r="J727" s="287" t="str">
        <f t="shared" si="102"/>
        <v/>
      </c>
      <c r="K727" s="287" t="str">
        <f t="shared" si="103"/>
        <v/>
      </c>
      <c r="L727" s="287" t="str">
        <f t="shared" si="104"/>
        <v/>
      </c>
      <c r="M727" s="290" t="str">
        <f t="shared" si="105"/>
        <v/>
      </c>
      <c r="N727" s="243" t="str">
        <f>IF($A727="","",IF(ABS(E727)&gt;0.000001,COUNT($N$1:N726)+1,""))</f>
        <v/>
      </c>
      <c r="O727" s="291" t="str">
        <f>IF($A727="","",SUMIFS(Transactions!$H$2:$H$1001,Transactions!$J$2:$J$1001,$A727,Transactions!$A$2:$A$1001,2)*$I727)</f>
        <v/>
      </c>
      <c r="P727" s="291" t="str">
        <f t="shared" si="106"/>
        <v/>
      </c>
      <c r="Q727" s="292" t="str">
        <f t="shared" si="107"/>
        <v/>
      </c>
    </row>
    <row r="728" spans="1:17" ht="15" customHeight="1" x14ac:dyDescent="0.2">
      <c r="A728" s="243" t="str">
        <f>IFERROR(INDEX(Txn[Key],MATCH(0,INDEX(COUNTIF($A$1:A727,Txn[Key])+(Txn[Key]=""),0),0)),"")</f>
        <v/>
      </c>
      <c r="B728" s="243" t="str">
        <f t="shared" si="99"/>
        <v/>
      </c>
      <c r="C728" s="243" t="str">
        <f t="shared" si="100"/>
        <v/>
      </c>
      <c r="D728" s="243" t="str">
        <f t="shared" si="101"/>
        <v/>
      </c>
      <c r="E728" s="265" t="str">
        <f>IF($A728="","",SUMIFS(Txn[Signed Units],Txn[Key],$A728))</f>
        <v/>
      </c>
      <c r="F728" s="287" t="str">
        <f>IF($A728="","",SUMIFS(Txn[Buy Cost],Txn[Key],$A728))</f>
        <v/>
      </c>
      <c r="G728" s="287" t="str">
        <f>IF($A728="","",SUMIFS(Txn[Sell Proceeds],Txn[Key],$A728))</f>
        <v/>
      </c>
      <c r="H728" s="288" t="str">
        <f>IF($A728="","",IFERROR(INDEX(Prices[Current Price],MATCH($A728,Prices[Key],0)),0))</f>
        <v/>
      </c>
      <c r="I728" s="289" t="str">
        <f>IF($A728="","",IFERROR(INDEX(Prices[FX to SGD],MATCH($A728,Prices[Key],0)),1))</f>
        <v/>
      </c>
      <c r="J728" s="287" t="str">
        <f t="shared" si="102"/>
        <v/>
      </c>
      <c r="K728" s="287" t="str">
        <f t="shared" si="103"/>
        <v/>
      </c>
      <c r="L728" s="287" t="str">
        <f t="shared" si="104"/>
        <v/>
      </c>
      <c r="M728" s="290" t="str">
        <f t="shared" si="105"/>
        <v/>
      </c>
      <c r="N728" s="243" t="str">
        <f>IF($A728="","",IF(ABS(E728)&gt;0.000001,COUNT($N$1:N727)+1,""))</f>
        <v/>
      </c>
      <c r="O728" s="291" t="str">
        <f>IF($A728="","",SUMIFS(Transactions!$H$2:$H$1001,Transactions!$J$2:$J$1001,$A728,Transactions!$A$2:$A$1001,2)*$I728)</f>
        <v/>
      </c>
      <c r="P728" s="291" t="str">
        <f t="shared" si="106"/>
        <v/>
      </c>
      <c r="Q728" s="292" t="str">
        <f t="shared" si="107"/>
        <v/>
      </c>
    </row>
    <row r="729" spans="1:17" ht="15" customHeight="1" x14ac:dyDescent="0.2">
      <c r="A729" s="243" t="str">
        <f>IFERROR(INDEX(Txn[Key],MATCH(0,INDEX(COUNTIF($A$1:A728,Txn[Key])+(Txn[Key]=""),0),0)),"")</f>
        <v/>
      </c>
      <c r="B729" s="243" t="str">
        <f t="shared" si="99"/>
        <v/>
      </c>
      <c r="C729" s="243" t="str">
        <f t="shared" si="100"/>
        <v/>
      </c>
      <c r="D729" s="243" t="str">
        <f t="shared" si="101"/>
        <v/>
      </c>
      <c r="E729" s="265" t="str">
        <f>IF($A729="","",SUMIFS(Txn[Signed Units],Txn[Key],$A729))</f>
        <v/>
      </c>
      <c r="F729" s="287" t="str">
        <f>IF($A729="","",SUMIFS(Txn[Buy Cost],Txn[Key],$A729))</f>
        <v/>
      </c>
      <c r="G729" s="287" t="str">
        <f>IF($A729="","",SUMIFS(Txn[Sell Proceeds],Txn[Key],$A729))</f>
        <v/>
      </c>
      <c r="H729" s="288" t="str">
        <f>IF($A729="","",IFERROR(INDEX(Prices[Current Price],MATCH($A729,Prices[Key],0)),0))</f>
        <v/>
      </c>
      <c r="I729" s="289" t="str">
        <f>IF($A729="","",IFERROR(INDEX(Prices[FX to SGD],MATCH($A729,Prices[Key],0)),1))</f>
        <v/>
      </c>
      <c r="J729" s="287" t="str">
        <f t="shared" si="102"/>
        <v/>
      </c>
      <c r="K729" s="287" t="str">
        <f t="shared" si="103"/>
        <v/>
      </c>
      <c r="L729" s="287" t="str">
        <f t="shared" si="104"/>
        <v/>
      </c>
      <c r="M729" s="290" t="str">
        <f t="shared" si="105"/>
        <v/>
      </c>
      <c r="N729" s="243" t="str">
        <f>IF($A729="","",IF(ABS(E729)&gt;0.000001,COUNT($N$1:N728)+1,""))</f>
        <v/>
      </c>
      <c r="O729" s="291" t="str">
        <f>IF($A729="","",SUMIFS(Transactions!$H$2:$H$1001,Transactions!$J$2:$J$1001,$A729,Transactions!$A$2:$A$1001,2)*$I729)</f>
        <v/>
      </c>
      <c r="P729" s="291" t="str">
        <f t="shared" si="106"/>
        <v/>
      </c>
      <c r="Q729" s="292" t="str">
        <f t="shared" si="107"/>
        <v/>
      </c>
    </row>
    <row r="730" spans="1:17" ht="15" customHeight="1" x14ac:dyDescent="0.2">
      <c r="A730" s="243" t="str">
        <f>IFERROR(INDEX(Txn[Key],MATCH(0,INDEX(COUNTIF($A$1:A729,Txn[Key])+(Txn[Key]=""),0),0)),"")</f>
        <v/>
      </c>
      <c r="B730" s="243" t="str">
        <f t="shared" si="99"/>
        <v/>
      </c>
      <c r="C730" s="243" t="str">
        <f t="shared" si="100"/>
        <v/>
      </c>
      <c r="D730" s="243" t="str">
        <f t="shared" si="101"/>
        <v/>
      </c>
      <c r="E730" s="265" t="str">
        <f>IF($A730="","",SUMIFS(Txn[Signed Units],Txn[Key],$A730))</f>
        <v/>
      </c>
      <c r="F730" s="287" t="str">
        <f>IF($A730="","",SUMIFS(Txn[Buy Cost],Txn[Key],$A730))</f>
        <v/>
      </c>
      <c r="G730" s="287" t="str">
        <f>IF($A730="","",SUMIFS(Txn[Sell Proceeds],Txn[Key],$A730))</f>
        <v/>
      </c>
      <c r="H730" s="288" t="str">
        <f>IF($A730="","",IFERROR(INDEX(Prices[Current Price],MATCH($A730,Prices[Key],0)),0))</f>
        <v/>
      </c>
      <c r="I730" s="289" t="str">
        <f>IF($A730="","",IFERROR(INDEX(Prices[FX to SGD],MATCH($A730,Prices[Key],0)),1))</f>
        <v/>
      </c>
      <c r="J730" s="287" t="str">
        <f t="shared" si="102"/>
        <v/>
      </c>
      <c r="K730" s="287" t="str">
        <f t="shared" si="103"/>
        <v/>
      </c>
      <c r="L730" s="287" t="str">
        <f t="shared" si="104"/>
        <v/>
      </c>
      <c r="M730" s="290" t="str">
        <f t="shared" si="105"/>
        <v/>
      </c>
      <c r="N730" s="243" t="str">
        <f>IF($A730="","",IF(ABS(E730)&gt;0.000001,COUNT($N$1:N729)+1,""))</f>
        <v/>
      </c>
      <c r="O730" s="291" t="str">
        <f>IF($A730="","",SUMIFS(Transactions!$H$2:$H$1001,Transactions!$J$2:$J$1001,$A730,Transactions!$A$2:$A$1001,2)*$I730)</f>
        <v/>
      </c>
      <c r="P730" s="291" t="str">
        <f t="shared" si="106"/>
        <v/>
      </c>
      <c r="Q730" s="292" t="str">
        <f t="shared" si="107"/>
        <v/>
      </c>
    </row>
    <row r="731" spans="1:17" ht="15" customHeight="1" x14ac:dyDescent="0.2">
      <c r="A731" s="243" t="str">
        <f>IFERROR(INDEX(Txn[Key],MATCH(0,INDEX(COUNTIF($A$1:A730,Txn[Key])+(Txn[Key]=""),0),0)),"")</f>
        <v/>
      </c>
      <c r="B731" s="243" t="str">
        <f t="shared" si="99"/>
        <v/>
      </c>
      <c r="C731" s="243" t="str">
        <f t="shared" si="100"/>
        <v/>
      </c>
      <c r="D731" s="243" t="str">
        <f t="shared" si="101"/>
        <v/>
      </c>
      <c r="E731" s="265" t="str">
        <f>IF($A731="","",SUMIFS(Txn[Signed Units],Txn[Key],$A731))</f>
        <v/>
      </c>
      <c r="F731" s="287" t="str">
        <f>IF($A731="","",SUMIFS(Txn[Buy Cost],Txn[Key],$A731))</f>
        <v/>
      </c>
      <c r="G731" s="287" t="str">
        <f>IF($A731="","",SUMIFS(Txn[Sell Proceeds],Txn[Key],$A731))</f>
        <v/>
      </c>
      <c r="H731" s="288" t="str">
        <f>IF($A731="","",IFERROR(INDEX(Prices[Current Price],MATCH($A731,Prices[Key],0)),0))</f>
        <v/>
      </c>
      <c r="I731" s="289" t="str">
        <f>IF($A731="","",IFERROR(INDEX(Prices[FX to SGD],MATCH($A731,Prices[Key],0)),1))</f>
        <v/>
      </c>
      <c r="J731" s="287" t="str">
        <f t="shared" si="102"/>
        <v/>
      </c>
      <c r="K731" s="287" t="str">
        <f t="shared" si="103"/>
        <v/>
      </c>
      <c r="L731" s="287" t="str">
        <f t="shared" si="104"/>
        <v/>
      </c>
      <c r="M731" s="290" t="str">
        <f t="shared" si="105"/>
        <v/>
      </c>
      <c r="N731" s="243" t="str">
        <f>IF($A731="","",IF(ABS(E731)&gt;0.000001,COUNT($N$1:N730)+1,""))</f>
        <v/>
      </c>
      <c r="O731" s="291" t="str">
        <f>IF($A731="","",SUMIFS(Transactions!$H$2:$H$1001,Transactions!$J$2:$J$1001,$A731,Transactions!$A$2:$A$1001,2)*$I731)</f>
        <v/>
      </c>
      <c r="P731" s="291" t="str">
        <f t="shared" si="106"/>
        <v/>
      </c>
      <c r="Q731" s="292" t="str">
        <f t="shared" si="107"/>
        <v/>
      </c>
    </row>
    <row r="732" spans="1:17" ht="15" customHeight="1" x14ac:dyDescent="0.2">
      <c r="A732" s="243" t="str">
        <f>IFERROR(INDEX(Txn[Key],MATCH(0,INDEX(COUNTIF($A$1:A731,Txn[Key])+(Txn[Key]=""),0),0)),"")</f>
        <v/>
      </c>
      <c r="B732" s="243" t="str">
        <f t="shared" si="99"/>
        <v/>
      </c>
      <c r="C732" s="243" t="str">
        <f t="shared" si="100"/>
        <v/>
      </c>
      <c r="D732" s="243" t="str">
        <f t="shared" si="101"/>
        <v/>
      </c>
      <c r="E732" s="265" t="str">
        <f>IF($A732="","",SUMIFS(Txn[Signed Units],Txn[Key],$A732))</f>
        <v/>
      </c>
      <c r="F732" s="287" t="str">
        <f>IF($A732="","",SUMIFS(Txn[Buy Cost],Txn[Key],$A732))</f>
        <v/>
      </c>
      <c r="G732" s="287" t="str">
        <f>IF($A732="","",SUMIFS(Txn[Sell Proceeds],Txn[Key],$A732))</f>
        <v/>
      </c>
      <c r="H732" s="288" t="str">
        <f>IF($A732="","",IFERROR(INDEX(Prices[Current Price],MATCH($A732,Prices[Key],0)),0))</f>
        <v/>
      </c>
      <c r="I732" s="289" t="str">
        <f>IF($A732="","",IFERROR(INDEX(Prices[FX to SGD],MATCH($A732,Prices[Key],0)),1))</f>
        <v/>
      </c>
      <c r="J732" s="287" t="str">
        <f t="shared" si="102"/>
        <v/>
      </c>
      <c r="K732" s="287" t="str">
        <f t="shared" si="103"/>
        <v/>
      </c>
      <c r="L732" s="287" t="str">
        <f t="shared" si="104"/>
        <v/>
      </c>
      <c r="M732" s="290" t="str">
        <f t="shared" si="105"/>
        <v/>
      </c>
      <c r="N732" s="243" t="str">
        <f>IF($A732="","",IF(ABS(E732)&gt;0.000001,COUNT($N$1:N731)+1,""))</f>
        <v/>
      </c>
      <c r="O732" s="291" t="str">
        <f>IF($A732="","",SUMIFS(Transactions!$H$2:$H$1001,Transactions!$J$2:$J$1001,$A732,Transactions!$A$2:$A$1001,2)*$I732)</f>
        <v/>
      </c>
      <c r="P732" s="291" t="str">
        <f t="shared" si="106"/>
        <v/>
      </c>
      <c r="Q732" s="292" t="str">
        <f t="shared" si="107"/>
        <v/>
      </c>
    </row>
    <row r="733" spans="1:17" ht="15" customHeight="1" x14ac:dyDescent="0.2">
      <c r="A733" s="243" t="str">
        <f>IFERROR(INDEX(Txn[Key],MATCH(0,INDEX(COUNTIF($A$1:A732,Txn[Key])+(Txn[Key]=""),0),0)),"")</f>
        <v/>
      </c>
      <c r="B733" s="243" t="str">
        <f t="shared" si="99"/>
        <v/>
      </c>
      <c r="C733" s="243" t="str">
        <f t="shared" si="100"/>
        <v/>
      </c>
      <c r="D733" s="243" t="str">
        <f t="shared" si="101"/>
        <v/>
      </c>
      <c r="E733" s="265" t="str">
        <f>IF($A733="","",SUMIFS(Txn[Signed Units],Txn[Key],$A733))</f>
        <v/>
      </c>
      <c r="F733" s="287" t="str">
        <f>IF($A733="","",SUMIFS(Txn[Buy Cost],Txn[Key],$A733))</f>
        <v/>
      </c>
      <c r="G733" s="287" t="str">
        <f>IF($A733="","",SUMIFS(Txn[Sell Proceeds],Txn[Key],$A733))</f>
        <v/>
      </c>
      <c r="H733" s="288" t="str">
        <f>IF($A733="","",IFERROR(INDEX(Prices[Current Price],MATCH($A733,Prices[Key],0)),0))</f>
        <v/>
      </c>
      <c r="I733" s="289" t="str">
        <f>IF($A733="","",IFERROR(INDEX(Prices[FX to SGD],MATCH($A733,Prices[Key],0)),1))</f>
        <v/>
      </c>
      <c r="J733" s="287" t="str">
        <f t="shared" si="102"/>
        <v/>
      </c>
      <c r="K733" s="287" t="str">
        <f t="shared" si="103"/>
        <v/>
      </c>
      <c r="L733" s="287" t="str">
        <f t="shared" si="104"/>
        <v/>
      </c>
      <c r="M733" s="290" t="str">
        <f t="shared" si="105"/>
        <v/>
      </c>
      <c r="N733" s="243" t="str">
        <f>IF($A733="","",IF(ABS(E733)&gt;0.000001,COUNT($N$1:N732)+1,""))</f>
        <v/>
      </c>
      <c r="O733" s="291" t="str">
        <f>IF($A733="","",SUMIFS(Transactions!$H$2:$H$1001,Transactions!$J$2:$J$1001,$A733,Transactions!$A$2:$A$1001,2)*$I733)</f>
        <v/>
      </c>
      <c r="P733" s="291" t="str">
        <f t="shared" si="106"/>
        <v/>
      </c>
      <c r="Q733" s="292" t="str">
        <f t="shared" si="107"/>
        <v/>
      </c>
    </row>
    <row r="734" spans="1:17" ht="15" customHeight="1" x14ac:dyDescent="0.2">
      <c r="A734" s="243" t="str">
        <f>IFERROR(INDEX(Txn[Key],MATCH(0,INDEX(COUNTIF($A$1:A733,Txn[Key])+(Txn[Key]=""),0),0)),"")</f>
        <v/>
      </c>
      <c r="B734" s="243" t="str">
        <f t="shared" si="99"/>
        <v/>
      </c>
      <c r="C734" s="243" t="str">
        <f t="shared" si="100"/>
        <v/>
      </c>
      <c r="D734" s="243" t="str">
        <f t="shared" si="101"/>
        <v/>
      </c>
      <c r="E734" s="265" t="str">
        <f>IF($A734="","",SUMIFS(Txn[Signed Units],Txn[Key],$A734))</f>
        <v/>
      </c>
      <c r="F734" s="287" t="str">
        <f>IF($A734="","",SUMIFS(Txn[Buy Cost],Txn[Key],$A734))</f>
        <v/>
      </c>
      <c r="G734" s="287" t="str">
        <f>IF($A734="","",SUMIFS(Txn[Sell Proceeds],Txn[Key],$A734))</f>
        <v/>
      </c>
      <c r="H734" s="288" t="str">
        <f>IF($A734="","",IFERROR(INDEX(Prices[Current Price],MATCH($A734,Prices[Key],0)),0))</f>
        <v/>
      </c>
      <c r="I734" s="289" t="str">
        <f>IF($A734="","",IFERROR(INDEX(Prices[FX to SGD],MATCH($A734,Prices[Key],0)),1))</f>
        <v/>
      </c>
      <c r="J734" s="287" t="str">
        <f t="shared" si="102"/>
        <v/>
      </c>
      <c r="K734" s="287" t="str">
        <f t="shared" si="103"/>
        <v/>
      </c>
      <c r="L734" s="287" t="str">
        <f t="shared" si="104"/>
        <v/>
      </c>
      <c r="M734" s="290" t="str">
        <f t="shared" si="105"/>
        <v/>
      </c>
      <c r="N734" s="243" t="str">
        <f>IF($A734="","",IF(ABS(E734)&gt;0.000001,COUNT($N$1:N733)+1,""))</f>
        <v/>
      </c>
      <c r="O734" s="291" t="str">
        <f>IF($A734="","",SUMIFS(Transactions!$H$2:$H$1001,Transactions!$J$2:$J$1001,$A734,Transactions!$A$2:$A$1001,2)*$I734)</f>
        <v/>
      </c>
      <c r="P734" s="291" t="str">
        <f t="shared" si="106"/>
        <v/>
      </c>
      <c r="Q734" s="292" t="str">
        <f t="shared" si="107"/>
        <v/>
      </c>
    </row>
    <row r="735" spans="1:17" ht="15" customHeight="1" x14ac:dyDescent="0.2">
      <c r="A735" s="243" t="str">
        <f>IFERROR(INDEX(Txn[Key],MATCH(0,INDEX(COUNTIF($A$1:A734,Txn[Key])+(Txn[Key]=""),0),0)),"")</f>
        <v/>
      </c>
      <c r="B735" s="243" t="str">
        <f t="shared" si="99"/>
        <v/>
      </c>
      <c r="C735" s="243" t="str">
        <f t="shared" si="100"/>
        <v/>
      </c>
      <c r="D735" s="243" t="str">
        <f t="shared" si="101"/>
        <v/>
      </c>
      <c r="E735" s="265" t="str">
        <f>IF($A735="","",SUMIFS(Txn[Signed Units],Txn[Key],$A735))</f>
        <v/>
      </c>
      <c r="F735" s="287" t="str">
        <f>IF($A735="","",SUMIFS(Txn[Buy Cost],Txn[Key],$A735))</f>
        <v/>
      </c>
      <c r="G735" s="287" t="str">
        <f>IF($A735="","",SUMIFS(Txn[Sell Proceeds],Txn[Key],$A735))</f>
        <v/>
      </c>
      <c r="H735" s="288" t="str">
        <f>IF($A735="","",IFERROR(INDEX(Prices[Current Price],MATCH($A735,Prices[Key],0)),0))</f>
        <v/>
      </c>
      <c r="I735" s="289" t="str">
        <f>IF($A735="","",IFERROR(INDEX(Prices[FX to SGD],MATCH($A735,Prices[Key],0)),1))</f>
        <v/>
      </c>
      <c r="J735" s="287" t="str">
        <f t="shared" si="102"/>
        <v/>
      </c>
      <c r="K735" s="287" t="str">
        <f t="shared" si="103"/>
        <v/>
      </c>
      <c r="L735" s="287" t="str">
        <f t="shared" si="104"/>
        <v/>
      </c>
      <c r="M735" s="290" t="str">
        <f t="shared" si="105"/>
        <v/>
      </c>
      <c r="N735" s="243" t="str">
        <f>IF($A735="","",IF(ABS(E735)&gt;0.000001,COUNT($N$1:N734)+1,""))</f>
        <v/>
      </c>
      <c r="O735" s="291" t="str">
        <f>IF($A735="","",SUMIFS(Transactions!$H$2:$H$1001,Transactions!$J$2:$J$1001,$A735,Transactions!$A$2:$A$1001,2)*$I735)</f>
        <v/>
      </c>
      <c r="P735" s="291" t="str">
        <f t="shared" si="106"/>
        <v/>
      </c>
      <c r="Q735" s="292" t="str">
        <f t="shared" si="107"/>
        <v/>
      </c>
    </row>
    <row r="736" spans="1:17" ht="15" customHeight="1" x14ac:dyDescent="0.2">
      <c r="A736" s="243" t="str">
        <f>IFERROR(INDEX(Txn[Key],MATCH(0,INDEX(COUNTIF($A$1:A735,Txn[Key])+(Txn[Key]=""),0),0)),"")</f>
        <v/>
      </c>
      <c r="B736" s="243" t="str">
        <f t="shared" si="99"/>
        <v/>
      </c>
      <c r="C736" s="243" t="str">
        <f t="shared" si="100"/>
        <v/>
      </c>
      <c r="D736" s="243" t="str">
        <f t="shared" si="101"/>
        <v/>
      </c>
      <c r="E736" s="265" t="str">
        <f>IF($A736="","",SUMIFS(Txn[Signed Units],Txn[Key],$A736))</f>
        <v/>
      </c>
      <c r="F736" s="287" t="str">
        <f>IF($A736="","",SUMIFS(Txn[Buy Cost],Txn[Key],$A736))</f>
        <v/>
      </c>
      <c r="G736" s="287" t="str">
        <f>IF($A736="","",SUMIFS(Txn[Sell Proceeds],Txn[Key],$A736))</f>
        <v/>
      </c>
      <c r="H736" s="288" t="str">
        <f>IF($A736="","",IFERROR(INDEX(Prices[Current Price],MATCH($A736,Prices[Key],0)),0))</f>
        <v/>
      </c>
      <c r="I736" s="289" t="str">
        <f>IF($A736="","",IFERROR(INDEX(Prices[FX to SGD],MATCH($A736,Prices[Key],0)),1))</f>
        <v/>
      </c>
      <c r="J736" s="287" t="str">
        <f t="shared" si="102"/>
        <v/>
      </c>
      <c r="K736" s="287" t="str">
        <f t="shared" si="103"/>
        <v/>
      </c>
      <c r="L736" s="287" t="str">
        <f t="shared" si="104"/>
        <v/>
      </c>
      <c r="M736" s="290" t="str">
        <f t="shared" si="105"/>
        <v/>
      </c>
      <c r="N736" s="243" t="str">
        <f>IF($A736="","",IF(ABS(E736)&gt;0.000001,COUNT($N$1:N735)+1,""))</f>
        <v/>
      </c>
      <c r="O736" s="291" t="str">
        <f>IF($A736="","",SUMIFS(Transactions!$H$2:$H$1001,Transactions!$J$2:$J$1001,$A736,Transactions!$A$2:$A$1001,2)*$I736)</f>
        <v/>
      </c>
      <c r="P736" s="291" t="str">
        <f t="shared" si="106"/>
        <v/>
      </c>
      <c r="Q736" s="292" t="str">
        <f t="shared" si="107"/>
        <v/>
      </c>
    </row>
    <row r="737" spans="1:17" ht="15" customHeight="1" x14ac:dyDescent="0.2">
      <c r="A737" s="243" t="str">
        <f>IFERROR(INDEX(Txn[Key],MATCH(0,INDEX(COUNTIF($A$1:A736,Txn[Key])+(Txn[Key]=""),0),0)),"")</f>
        <v/>
      </c>
      <c r="B737" s="243" t="str">
        <f t="shared" si="99"/>
        <v/>
      </c>
      <c r="C737" s="243" t="str">
        <f t="shared" si="100"/>
        <v/>
      </c>
      <c r="D737" s="243" t="str">
        <f t="shared" si="101"/>
        <v/>
      </c>
      <c r="E737" s="265" t="str">
        <f>IF($A737="","",SUMIFS(Txn[Signed Units],Txn[Key],$A737))</f>
        <v/>
      </c>
      <c r="F737" s="287" t="str">
        <f>IF($A737="","",SUMIFS(Txn[Buy Cost],Txn[Key],$A737))</f>
        <v/>
      </c>
      <c r="G737" s="287" t="str">
        <f>IF($A737="","",SUMIFS(Txn[Sell Proceeds],Txn[Key],$A737))</f>
        <v/>
      </c>
      <c r="H737" s="288" t="str">
        <f>IF($A737="","",IFERROR(INDEX(Prices[Current Price],MATCH($A737,Prices[Key],0)),0))</f>
        <v/>
      </c>
      <c r="I737" s="289" t="str">
        <f>IF($A737="","",IFERROR(INDEX(Prices[FX to SGD],MATCH($A737,Prices[Key],0)),1))</f>
        <v/>
      </c>
      <c r="J737" s="287" t="str">
        <f t="shared" si="102"/>
        <v/>
      </c>
      <c r="K737" s="287" t="str">
        <f t="shared" si="103"/>
        <v/>
      </c>
      <c r="L737" s="287" t="str">
        <f t="shared" si="104"/>
        <v/>
      </c>
      <c r="M737" s="290" t="str">
        <f t="shared" si="105"/>
        <v/>
      </c>
      <c r="N737" s="243" t="str">
        <f>IF($A737="","",IF(ABS(E737)&gt;0.000001,COUNT($N$1:N736)+1,""))</f>
        <v/>
      </c>
      <c r="O737" s="291" t="str">
        <f>IF($A737="","",SUMIFS(Transactions!$H$2:$H$1001,Transactions!$J$2:$J$1001,$A737,Transactions!$A$2:$A$1001,2)*$I737)</f>
        <v/>
      </c>
      <c r="P737" s="291" t="str">
        <f t="shared" si="106"/>
        <v/>
      </c>
      <c r="Q737" s="292" t="str">
        <f t="shared" si="107"/>
        <v/>
      </c>
    </row>
    <row r="738" spans="1:17" ht="15" customHeight="1" x14ac:dyDescent="0.2">
      <c r="A738" s="243" t="str">
        <f>IFERROR(INDEX(Txn[Key],MATCH(0,INDEX(COUNTIF($A$1:A737,Txn[Key])+(Txn[Key]=""),0),0)),"")</f>
        <v/>
      </c>
      <c r="B738" s="243" t="str">
        <f t="shared" si="99"/>
        <v/>
      </c>
      <c r="C738" s="243" t="str">
        <f t="shared" si="100"/>
        <v/>
      </c>
      <c r="D738" s="243" t="str">
        <f t="shared" si="101"/>
        <v/>
      </c>
      <c r="E738" s="265" t="str">
        <f>IF($A738="","",SUMIFS(Txn[Signed Units],Txn[Key],$A738))</f>
        <v/>
      </c>
      <c r="F738" s="287" t="str">
        <f>IF($A738="","",SUMIFS(Txn[Buy Cost],Txn[Key],$A738))</f>
        <v/>
      </c>
      <c r="G738" s="287" t="str">
        <f>IF($A738="","",SUMIFS(Txn[Sell Proceeds],Txn[Key],$A738))</f>
        <v/>
      </c>
      <c r="H738" s="288" t="str">
        <f>IF($A738="","",IFERROR(INDEX(Prices[Current Price],MATCH($A738,Prices[Key],0)),0))</f>
        <v/>
      </c>
      <c r="I738" s="289" t="str">
        <f>IF($A738="","",IFERROR(INDEX(Prices[FX to SGD],MATCH($A738,Prices[Key],0)),1))</f>
        <v/>
      </c>
      <c r="J738" s="287" t="str">
        <f t="shared" si="102"/>
        <v/>
      </c>
      <c r="K738" s="287" t="str">
        <f t="shared" si="103"/>
        <v/>
      </c>
      <c r="L738" s="287" t="str">
        <f t="shared" si="104"/>
        <v/>
      </c>
      <c r="M738" s="290" t="str">
        <f t="shared" si="105"/>
        <v/>
      </c>
      <c r="N738" s="243" t="str">
        <f>IF($A738="","",IF(ABS(E738)&gt;0.000001,COUNT($N$1:N737)+1,""))</f>
        <v/>
      </c>
      <c r="O738" s="291" t="str">
        <f>IF($A738="","",SUMIFS(Transactions!$H$2:$H$1001,Transactions!$J$2:$J$1001,$A738,Transactions!$A$2:$A$1001,2)*$I738)</f>
        <v/>
      </c>
      <c r="P738" s="291" t="str">
        <f t="shared" si="106"/>
        <v/>
      </c>
      <c r="Q738" s="292" t="str">
        <f t="shared" si="107"/>
        <v/>
      </c>
    </row>
    <row r="739" spans="1:17" ht="15" customHeight="1" x14ac:dyDescent="0.2">
      <c r="A739" s="243" t="str">
        <f>IFERROR(INDEX(Txn[Key],MATCH(0,INDEX(COUNTIF($A$1:A738,Txn[Key])+(Txn[Key]=""),0),0)),"")</f>
        <v/>
      </c>
      <c r="B739" s="243" t="str">
        <f t="shared" si="99"/>
        <v/>
      </c>
      <c r="C739" s="243" t="str">
        <f t="shared" si="100"/>
        <v/>
      </c>
      <c r="D739" s="243" t="str">
        <f t="shared" si="101"/>
        <v/>
      </c>
      <c r="E739" s="265" t="str">
        <f>IF($A739="","",SUMIFS(Txn[Signed Units],Txn[Key],$A739))</f>
        <v/>
      </c>
      <c r="F739" s="287" t="str">
        <f>IF($A739="","",SUMIFS(Txn[Buy Cost],Txn[Key],$A739))</f>
        <v/>
      </c>
      <c r="G739" s="287" t="str">
        <f>IF($A739="","",SUMIFS(Txn[Sell Proceeds],Txn[Key],$A739))</f>
        <v/>
      </c>
      <c r="H739" s="288" t="str">
        <f>IF($A739="","",IFERROR(INDEX(Prices[Current Price],MATCH($A739,Prices[Key],0)),0))</f>
        <v/>
      </c>
      <c r="I739" s="289" t="str">
        <f>IF($A739="","",IFERROR(INDEX(Prices[FX to SGD],MATCH($A739,Prices[Key],0)),1))</f>
        <v/>
      </c>
      <c r="J739" s="287" t="str">
        <f t="shared" si="102"/>
        <v/>
      </c>
      <c r="K739" s="287" t="str">
        <f t="shared" si="103"/>
        <v/>
      </c>
      <c r="L739" s="287" t="str">
        <f t="shared" si="104"/>
        <v/>
      </c>
      <c r="M739" s="290" t="str">
        <f t="shared" si="105"/>
        <v/>
      </c>
      <c r="N739" s="243" t="str">
        <f>IF($A739="","",IF(ABS(E739)&gt;0.000001,COUNT($N$1:N738)+1,""))</f>
        <v/>
      </c>
      <c r="O739" s="291" t="str">
        <f>IF($A739="","",SUMIFS(Transactions!$H$2:$H$1001,Transactions!$J$2:$J$1001,$A739,Transactions!$A$2:$A$1001,2)*$I739)</f>
        <v/>
      </c>
      <c r="P739" s="291" t="str">
        <f t="shared" si="106"/>
        <v/>
      </c>
      <c r="Q739" s="292" t="str">
        <f t="shared" si="107"/>
        <v/>
      </c>
    </row>
    <row r="740" spans="1:17" ht="15" customHeight="1" x14ac:dyDescent="0.2">
      <c r="A740" s="243" t="str">
        <f>IFERROR(INDEX(Txn[Key],MATCH(0,INDEX(COUNTIF($A$1:A739,Txn[Key])+(Txn[Key]=""),0),0)),"")</f>
        <v/>
      </c>
      <c r="B740" s="243" t="str">
        <f t="shared" si="99"/>
        <v/>
      </c>
      <c r="C740" s="243" t="str">
        <f t="shared" si="100"/>
        <v/>
      </c>
      <c r="D740" s="243" t="str">
        <f t="shared" si="101"/>
        <v/>
      </c>
      <c r="E740" s="265" t="str">
        <f>IF($A740="","",SUMIFS(Txn[Signed Units],Txn[Key],$A740))</f>
        <v/>
      </c>
      <c r="F740" s="287" t="str">
        <f>IF($A740="","",SUMIFS(Txn[Buy Cost],Txn[Key],$A740))</f>
        <v/>
      </c>
      <c r="G740" s="287" t="str">
        <f>IF($A740="","",SUMIFS(Txn[Sell Proceeds],Txn[Key],$A740))</f>
        <v/>
      </c>
      <c r="H740" s="288" t="str">
        <f>IF($A740="","",IFERROR(INDEX(Prices[Current Price],MATCH($A740,Prices[Key],0)),0))</f>
        <v/>
      </c>
      <c r="I740" s="289" t="str">
        <f>IF($A740="","",IFERROR(INDEX(Prices[FX to SGD],MATCH($A740,Prices[Key],0)),1))</f>
        <v/>
      </c>
      <c r="J740" s="287" t="str">
        <f t="shared" si="102"/>
        <v/>
      </c>
      <c r="K740" s="287" t="str">
        <f t="shared" si="103"/>
        <v/>
      </c>
      <c r="L740" s="287" t="str">
        <f t="shared" si="104"/>
        <v/>
      </c>
      <c r="M740" s="290" t="str">
        <f t="shared" si="105"/>
        <v/>
      </c>
      <c r="N740" s="243" t="str">
        <f>IF($A740="","",IF(ABS(E740)&gt;0.000001,COUNT($N$1:N739)+1,""))</f>
        <v/>
      </c>
      <c r="O740" s="291" t="str">
        <f>IF($A740="","",SUMIFS(Transactions!$H$2:$H$1001,Transactions!$J$2:$J$1001,$A740,Transactions!$A$2:$A$1001,2)*$I740)</f>
        <v/>
      </c>
      <c r="P740" s="291" t="str">
        <f t="shared" si="106"/>
        <v/>
      </c>
      <c r="Q740" s="292" t="str">
        <f t="shared" si="107"/>
        <v/>
      </c>
    </row>
    <row r="741" spans="1:17" ht="15" customHeight="1" x14ac:dyDescent="0.2">
      <c r="A741" s="243" t="str">
        <f>IFERROR(INDEX(Txn[Key],MATCH(0,INDEX(COUNTIF($A$1:A740,Txn[Key])+(Txn[Key]=""),0),0)),"")</f>
        <v/>
      </c>
      <c r="B741" s="243" t="str">
        <f t="shared" si="99"/>
        <v/>
      </c>
      <c r="C741" s="243" t="str">
        <f t="shared" si="100"/>
        <v/>
      </c>
      <c r="D741" s="243" t="str">
        <f t="shared" si="101"/>
        <v/>
      </c>
      <c r="E741" s="265" t="str">
        <f>IF($A741="","",SUMIFS(Txn[Signed Units],Txn[Key],$A741))</f>
        <v/>
      </c>
      <c r="F741" s="287" t="str">
        <f>IF($A741="","",SUMIFS(Txn[Buy Cost],Txn[Key],$A741))</f>
        <v/>
      </c>
      <c r="G741" s="287" t="str">
        <f>IF($A741="","",SUMIFS(Txn[Sell Proceeds],Txn[Key],$A741))</f>
        <v/>
      </c>
      <c r="H741" s="288" t="str">
        <f>IF($A741="","",IFERROR(INDEX(Prices[Current Price],MATCH($A741,Prices[Key],0)),0))</f>
        <v/>
      </c>
      <c r="I741" s="289" t="str">
        <f>IF($A741="","",IFERROR(INDEX(Prices[FX to SGD],MATCH($A741,Prices[Key],0)),1))</f>
        <v/>
      </c>
      <c r="J741" s="287" t="str">
        <f t="shared" si="102"/>
        <v/>
      </c>
      <c r="K741" s="287" t="str">
        <f t="shared" si="103"/>
        <v/>
      </c>
      <c r="L741" s="287" t="str">
        <f t="shared" si="104"/>
        <v/>
      </c>
      <c r="M741" s="290" t="str">
        <f t="shared" si="105"/>
        <v/>
      </c>
      <c r="N741" s="243" t="str">
        <f>IF($A741="","",IF(ABS(E741)&gt;0.000001,COUNT($N$1:N740)+1,""))</f>
        <v/>
      </c>
      <c r="O741" s="291" t="str">
        <f>IF($A741="","",SUMIFS(Transactions!$H$2:$H$1001,Transactions!$J$2:$J$1001,$A741,Transactions!$A$2:$A$1001,2)*$I741)</f>
        <v/>
      </c>
      <c r="P741" s="291" t="str">
        <f t="shared" si="106"/>
        <v/>
      </c>
      <c r="Q741" s="292" t="str">
        <f t="shared" si="107"/>
        <v/>
      </c>
    </row>
    <row r="742" spans="1:17" ht="15" customHeight="1" x14ac:dyDescent="0.2">
      <c r="A742" s="243" t="str">
        <f>IFERROR(INDEX(Txn[Key],MATCH(0,INDEX(COUNTIF($A$1:A741,Txn[Key])+(Txn[Key]=""),0),0)),"")</f>
        <v/>
      </c>
      <c r="B742" s="243" t="str">
        <f t="shared" si="99"/>
        <v/>
      </c>
      <c r="C742" s="243" t="str">
        <f t="shared" si="100"/>
        <v/>
      </c>
      <c r="D742" s="243" t="str">
        <f t="shared" si="101"/>
        <v/>
      </c>
      <c r="E742" s="265" t="str">
        <f>IF($A742="","",SUMIFS(Txn[Signed Units],Txn[Key],$A742))</f>
        <v/>
      </c>
      <c r="F742" s="287" t="str">
        <f>IF($A742="","",SUMIFS(Txn[Buy Cost],Txn[Key],$A742))</f>
        <v/>
      </c>
      <c r="G742" s="287" t="str">
        <f>IF($A742="","",SUMIFS(Txn[Sell Proceeds],Txn[Key],$A742))</f>
        <v/>
      </c>
      <c r="H742" s="288" t="str">
        <f>IF($A742="","",IFERROR(INDEX(Prices[Current Price],MATCH($A742,Prices[Key],0)),0))</f>
        <v/>
      </c>
      <c r="I742" s="289" t="str">
        <f>IF($A742="","",IFERROR(INDEX(Prices[FX to SGD],MATCH($A742,Prices[Key],0)),1))</f>
        <v/>
      </c>
      <c r="J742" s="287" t="str">
        <f t="shared" si="102"/>
        <v/>
      </c>
      <c r="K742" s="287" t="str">
        <f t="shared" si="103"/>
        <v/>
      </c>
      <c r="L742" s="287" t="str">
        <f t="shared" si="104"/>
        <v/>
      </c>
      <c r="M742" s="290" t="str">
        <f t="shared" si="105"/>
        <v/>
      </c>
      <c r="N742" s="243" t="str">
        <f>IF($A742="","",IF(ABS(E742)&gt;0.000001,COUNT($N$1:N741)+1,""))</f>
        <v/>
      </c>
      <c r="O742" s="291" t="str">
        <f>IF($A742="","",SUMIFS(Transactions!$H$2:$H$1001,Transactions!$J$2:$J$1001,$A742,Transactions!$A$2:$A$1001,2)*$I742)</f>
        <v/>
      </c>
      <c r="P742" s="291" t="str">
        <f t="shared" si="106"/>
        <v/>
      </c>
      <c r="Q742" s="292" t="str">
        <f t="shared" si="107"/>
        <v/>
      </c>
    </row>
    <row r="743" spans="1:17" ht="15" customHeight="1" x14ac:dyDescent="0.2">
      <c r="A743" s="243" t="str">
        <f>IFERROR(INDEX(Txn[Key],MATCH(0,INDEX(COUNTIF($A$1:A742,Txn[Key])+(Txn[Key]=""),0),0)),"")</f>
        <v/>
      </c>
      <c r="B743" s="243" t="str">
        <f t="shared" si="99"/>
        <v/>
      </c>
      <c r="C743" s="243" t="str">
        <f t="shared" si="100"/>
        <v/>
      </c>
      <c r="D743" s="243" t="str">
        <f t="shared" si="101"/>
        <v/>
      </c>
      <c r="E743" s="265" t="str">
        <f>IF($A743="","",SUMIFS(Txn[Signed Units],Txn[Key],$A743))</f>
        <v/>
      </c>
      <c r="F743" s="287" t="str">
        <f>IF($A743="","",SUMIFS(Txn[Buy Cost],Txn[Key],$A743))</f>
        <v/>
      </c>
      <c r="G743" s="287" t="str">
        <f>IF($A743="","",SUMIFS(Txn[Sell Proceeds],Txn[Key],$A743))</f>
        <v/>
      </c>
      <c r="H743" s="288" t="str">
        <f>IF($A743="","",IFERROR(INDEX(Prices[Current Price],MATCH($A743,Prices[Key],0)),0))</f>
        <v/>
      </c>
      <c r="I743" s="289" t="str">
        <f>IF($A743="","",IFERROR(INDEX(Prices[FX to SGD],MATCH($A743,Prices[Key],0)),1))</f>
        <v/>
      </c>
      <c r="J743" s="287" t="str">
        <f t="shared" si="102"/>
        <v/>
      </c>
      <c r="K743" s="287" t="str">
        <f t="shared" si="103"/>
        <v/>
      </c>
      <c r="L743" s="287" t="str">
        <f t="shared" si="104"/>
        <v/>
      </c>
      <c r="M743" s="290" t="str">
        <f t="shared" si="105"/>
        <v/>
      </c>
      <c r="N743" s="243" t="str">
        <f>IF($A743="","",IF(ABS(E743)&gt;0.000001,COUNT($N$1:N742)+1,""))</f>
        <v/>
      </c>
      <c r="O743" s="291" t="str">
        <f>IF($A743="","",SUMIFS(Transactions!$H$2:$H$1001,Transactions!$J$2:$J$1001,$A743,Transactions!$A$2:$A$1001,2)*$I743)</f>
        <v/>
      </c>
      <c r="P743" s="291" t="str">
        <f t="shared" si="106"/>
        <v/>
      </c>
      <c r="Q743" s="292" t="str">
        <f t="shared" si="107"/>
        <v/>
      </c>
    </row>
    <row r="744" spans="1:17" ht="15" customHeight="1" x14ac:dyDescent="0.2">
      <c r="A744" s="243" t="str">
        <f>IFERROR(INDEX(Txn[Key],MATCH(0,INDEX(COUNTIF($A$1:A743,Txn[Key])+(Txn[Key]=""),0),0)),"")</f>
        <v/>
      </c>
      <c r="B744" s="243" t="str">
        <f t="shared" si="99"/>
        <v/>
      </c>
      <c r="C744" s="243" t="str">
        <f t="shared" si="100"/>
        <v/>
      </c>
      <c r="D744" s="243" t="str">
        <f t="shared" si="101"/>
        <v/>
      </c>
      <c r="E744" s="265" t="str">
        <f>IF($A744="","",SUMIFS(Txn[Signed Units],Txn[Key],$A744))</f>
        <v/>
      </c>
      <c r="F744" s="287" t="str">
        <f>IF($A744="","",SUMIFS(Txn[Buy Cost],Txn[Key],$A744))</f>
        <v/>
      </c>
      <c r="G744" s="287" t="str">
        <f>IF($A744="","",SUMIFS(Txn[Sell Proceeds],Txn[Key],$A744))</f>
        <v/>
      </c>
      <c r="H744" s="288" t="str">
        <f>IF($A744="","",IFERROR(INDEX(Prices[Current Price],MATCH($A744,Prices[Key],0)),0))</f>
        <v/>
      </c>
      <c r="I744" s="289" t="str">
        <f>IF($A744="","",IFERROR(INDEX(Prices[FX to SGD],MATCH($A744,Prices[Key],0)),1))</f>
        <v/>
      </c>
      <c r="J744" s="287" t="str">
        <f t="shared" si="102"/>
        <v/>
      </c>
      <c r="K744" s="287" t="str">
        <f t="shared" si="103"/>
        <v/>
      </c>
      <c r="L744" s="287" t="str">
        <f t="shared" si="104"/>
        <v/>
      </c>
      <c r="M744" s="290" t="str">
        <f t="shared" si="105"/>
        <v/>
      </c>
      <c r="N744" s="243" t="str">
        <f>IF($A744="","",IF(ABS(E744)&gt;0.000001,COUNT($N$1:N743)+1,""))</f>
        <v/>
      </c>
      <c r="O744" s="291" t="str">
        <f>IF($A744="","",SUMIFS(Transactions!$H$2:$H$1001,Transactions!$J$2:$J$1001,$A744,Transactions!$A$2:$A$1001,2)*$I744)</f>
        <v/>
      </c>
      <c r="P744" s="291" t="str">
        <f t="shared" si="106"/>
        <v/>
      </c>
      <c r="Q744" s="292" t="str">
        <f t="shared" si="107"/>
        <v/>
      </c>
    </row>
    <row r="745" spans="1:17" ht="15" customHeight="1" x14ac:dyDescent="0.2">
      <c r="A745" s="243" t="str">
        <f>IFERROR(INDEX(Txn[Key],MATCH(0,INDEX(COUNTIF($A$1:A744,Txn[Key])+(Txn[Key]=""),0),0)),"")</f>
        <v/>
      </c>
      <c r="B745" s="243" t="str">
        <f t="shared" si="99"/>
        <v/>
      </c>
      <c r="C745" s="243" t="str">
        <f t="shared" si="100"/>
        <v/>
      </c>
      <c r="D745" s="243" t="str">
        <f t="shared" si="101"/>
        <v/>
      </c>
      <c r="E745" s="265" t="str">
        <f>IF($A745="","",SUMIFS(Txn[Signed Units],Txn[Key],$A745))</f>
        <v/>
      </c>
      <c r="F745" s="287" t="str">
        <f>IF($A745="","",SUMIFS(Txn[Buy Cost],Txn[Key],$A745))</f>
        <v/>
      </c>
      <c r="G745" s="287" t="str">
        <f>IF($A745="","",SUMIFS(Txn[Sell Proceeds],Txn[Key],$A745))</f>
        <v/>
      </c>
      <c r="H745" s="288" t="str">
        <f>IF($A745="","",IFERROR(INDEX(Prices[Current Price],MATCH($A745,Prices[Key],0)),0))</f>
        <v/>
      </c>
      <c r="I745" s="289" t="str">
        <f>IF($A745="","",IFERROR(INDEX(Prices[FX to SGD],MATCH($A745,Prices[Key],0)),1))</f>
        <v/>
      </c>
      <c r="J745" s="287" t="str">
        <f t="shared" si="102"/>
        <v/>
      </c>
      <c r="K745" s="287" t="str">
        <f t="shared" si="103"/>
        <v/>
      </c>
      <c r="L745" s="287" t="str">
        <f t="shared" si="104"/>
        <v/>
      </c>
      <c r="M745" s="290" t="str">
        <f t="shared" si="105"/>
        <v/>
      </c>
      <c r="N745" s="243" t="str">
        <f>IF($A745="","",IF(ABS(E745)&gt;0.000001,COUNT($N$1:N744)+1,""))</f>
        <v/>
      </c>
      <c r="O745" s="291" t="str">
        <f>IF($A745="","",SUMIFS(Transactions!$H$2:$H$1001,Transactions!$J$2:$J$1001,$A745,Transactions!$A$2:$A$1001,2)*$I745)</f>
        <v/>
      </c>
      <c r="P745" s="291" t="str">
        <f t="shared" si="106"/>
        <v/>
      </c>
      <c r="Q745" s="292" t="str">
        <f t="shared" si="107"/>
        <v/>
      </c>
    </row>
    <row r="746" spans="1:17" ht="15" customHeight="1" x14ac:dyDescent="0.2">
      <c r="A746" s="243" t="str">
        <f>IFERROR(INDEX(Txn[Key],MATCH(0,INDEX(COUNTIF($A$1:A745,Txn[Key])+(Txn[Key]=""),0),0)),"")</f>
        <v/>
      </c>
      <c r="B746" s="243" t="str">
        <f t="shared" si="99"/>
        <v/>
      </c>
      <c r="C746" s="243" t="str">
        <f t="shared" si="100"/>
        <v/>
      </c>
      <c r="D746" s="243" t="str">
        <f t="shared" si="101"/>
        <v/>
      </c>
      <c r="E746" s="265" t="str">
        <f>IF($A746="","",SUMIFS(Txn[Signed Units],Txn[Key],$A746))</f>
        <v/>
      </c>
      <c r="F746" s="287" t="str">
        <f>IF($A746="","",SUMIFS(Txn[Buy Cost],Txn[Key],$A746))</f>
        <v/>
      </c>
      <c r="G746" s="287" t="str">
        <f>IF($A746="","",SUMIFS(Txn[Sell Proceeds],Txn[Key],$A746))</f>
        <v/>
      </c>
      <c r="H746" s="288" t="str">
        <f>IF($A746="","",IFERROR(INDEX(Prices[Current Price],MATCH($A746,Prices[Key],0)),0))</f>
        <v/>
      </c>
      <c r="I746" s="289" t="str">
        <f>IF($A746="","",IFERROR(INDEX(Prices[FX to SGD],MATCH($A746,Prices[Key],0)),1))</f>
        <v/>
      </c>
      <c r="J746" s="287" t="str">
        <f t="shared" si="102"/>
        <v/>
      </c>
      <c r="K746" s="287" t="str">
        <f t="shared" si="103"/>
        <v/>
      </c>
      <c r="L746" s="287" t="str">
        <f t="shared" si="104"/>
        <v/>
      </c>
      <c r="M746" s="290" t="str">
        <f t="shared" si="105"/>
        <v/>
      </c>
      <c r="N746" s="243" t="str">
        <f>IF($A746="","",IF(ABS(E746)&gt;0.000001,COUNT($N$1:N745)+1,""))</f>
        <v/>
      </c>
      <c r="O746" s="291" t="str">
        <f>IF($A746="","",SUMIFS(Transactions!$H$2:$H$1001,Transactions!$J$2:$J$1001,$A746,Transactions!$A$2:$A$1001,2)*$I746)</f>
        <v/>
      </c>
      <c r="P746" s="291" t="str">
        <f t="shared" si="106"/>
        <v/>
      </c>
      <c r="Q746" s="292" t="str">
        <f t="shared" si="107"/>
        <v/>
      </c>
    </row>
    <row r="747" spans="1:17" ht="15" customHeight="1" x14ac:dyDescent="0.2">
      <c r="A747" s="243" t="str">
        <f>IFERROR(INDEX(Txn[Key],MATCH(0,INDEX(COUNTIF($A$1:A746,Txn[Key])+(Txn[Key]=""),0),0)),"")</f>
        <v/>
      </c>
      <c r="B747" s="243" t="str">
        <f t="shared" si="99"/>
        <v/>
      </c>
      <c r="C747" s="243" t="str">
        <f t="shared" si="100"/>
        <v/>
      </c>
      <c r="D747" s="243" t="str">
        <f t="shared" si="101"/>
        <v/>
      </c>
      <c r="E747" s="265" t="str">
        <f>IF($A747="","",SUMIFS(Txn[Signed Units],Txn[Key],$A747))</f>
        <v/>
      </c>
      <c r="F747" s="287" t="str">
        <f>IF($A747="","",SUMIFS(Txn[Buy Cost],Txn[Key],$A747))</f>
        <v/>
      </c>
      <c r="G747" s="287" t="str">
        <f>IF($A747="","",SUMIFS(Txn[Sell Proceeds],Txn[Key],$A747))</f>
        <v/>
      </c>
      <c r="H747" s="288" t="str">
        <f>IF($A747="","",IFERROR(INDEX(Prices[Current Price],MATCH($A747,Prices[Key],0)),0))</f>
        <v/>
      </c>
      <c r="I747" s="289" t="str">
        <f>IF($A747="","",IFERROR(INDEX(Prices[FX to SGD],MATCH($A747,Prices[Key],0)),1))</f>
        <v/>
      </c>
      <c r="J747" s="287" t="str">
        <f t="shared" si="102"/>
        <v/>
      </c>
      <c r="K747" s="287" t="str">
        <f t="shared" si="103"/>
        <v/>
      </c>
      <c r="L747" s="287" t="str">
        <f t="shared" si="104"/>
        <v/>
      </c>
      <c r="M747" s="290" t="str">
        <f t="shared" si="105"/>
        <v/>
      </c>
      <c r="N747" s="243" t="str">
        <f>IF($A747="","",IF(ABS(E747)&gt;0.000001,COUNT($N$1:N746)+1,""))</f>
        <v/>
      </c>
      <c r="O747" s="291" t="str">
        <f>IF($A747="","",SUMIFS(Transactions!$H$2:$H$1001,Transactions!$J$2:$J$1001,$A747,Transactions!$A$2:$A$1001,2)*$I747)</f>
        <v/>
      </c>
      <c r="P747" s="291" t="str">
        <f t="shared" si="106"/>
        <v/>
      </c>
      <c r="Q747" s="292" t="str">
        <f t="shared" si="107"/>
        <v/>
      </c>
    </row>
    <row r="748" spans="1:17" ht="15" customHeight="1" x14ac:dyDescent="0.2">
      <c r="A748" s="243" t="str">
        <f>IFERROR(INDEX(Txn[Key],MATCH(0,INDEX(COUNTIF($A$1:A747,Txn[Key])+(Txn[Key]=""),0),0)),"")</f>
        <v/>
      </c>
      <c r="B748" s="243" t="str">
        <f t="shared" si="99"/>
        <v/>
      </c>
      <c r="C748" s="243" t="str">
        <f t="shared" si="100"/>
        <v/>
      </c>
      <c r="D748" s="243" t="str">
        <f t="shared" si="101"/>
        <v/>
      </c>
      <c r="E748" s="265" t="str">
        <f>IF($A748="","",SUMIFS(Txn[Signed Units],Txn[Key],$A748))</f>
        <v/>
      </c>
      <c r="F748" s="287" t="str">
        <f>IF($A748="","",SUMIFS(Txn[Buy Cost],Txn[Key],$A748))</f>
        <v/>
      </c>
      <c r="G748" s="287" t="str">
        <f>IF($A748="","",SUMIFS(Txn[Sell Proceeds],Txn[Key],$A748))</f>
        <v/>
      </c>
      <c r="H748" s="288" t="str">
        <f>IF($A748="","",IFERROR(INDEX(Prices[Current Price],MATCH($A748,Prices[Key],0)),0))</f>
        <v/>
      </c>
      <c r="I748" s="289" t="str">
        <f>IF($A748="","",IFERROR(INDEX(Prices[FX to SGD],MATCH($A748,Prices[Key],0)),1))</f>
        <v/>
      </c>
      <c r="J748" s="287" t="str">
        <f t="shared" si="102"/>
        <v/>
      </c>
      <c r="K748" s="287" t="str">
        <f t="shared" si="103"/>
        <v/>
      </c>
      <c r="L748" s="287" t="str">
        <f t="shared" si="104"/>
        <v/>
      </c>
      <c r="M748" s="290" t="str">
        <f t="shared" si="105"/>
        <v/>
      </c>
      <c r="N748" s="243" t="str">
        <f>IF($A748="","",IF(ABS(E748)&gt;0.000001,COUNT($N$1:N747)+1,""))</f>
        <v/>
      </c>
      <c r="O748" s="291" t="str">
        <f>IF($A748="","",SUMIFS(Transactions!$H$2:$H$1001,Transactions!$J$2:$J$1001,$A748,Transactions!$A$2:$A$1001,2)*$I748)</f>
        <v/>
      </c>
      <c r="P748" s="291" t="str">
        <f t="shared" si="106"/>
        <v/>
      </c>
      <c r="Q748" s="292" t="str">
        <f t="shared" si="107"/>
        <v/>
      </c>
    </row>
    <row r="749" spans="1:17" ht="15" customHeight="1" x14ac:dyDescent="0.2">
      <c r="A749" s="243" t="str">
        <f>IFERROR(INDEX(Txn[Key],MATCH(0,INDEX(COUNTIF($A$1:A748,Txn[Key])+(Txn[Key]=""),0),0)),"")</f>
        <v/>
      </c>
      <c r="B749" s="243" t="str">
        <f t="shared" si="99"/>
        <v/>
      </c>
      <c r="C749" s="243" t="str">
        <f t="shared" si="100"/>
        <v/>
      </c>
      <c r="D749" s="243" t="str">
        <f t="shared" si="101"/>
        <v/>
      </c>
      <c r="E749" s="265" t="str">
        <f>IF($A749="","",SUMIFS(Txn[Signed Units],Txn[Key],$A749))</f>
        <v/>
      </c>
      <c r="F749" s="287" t="str">
        <f>IF($A749="","",SUMIFS(Txn[Buy Cost],Txn[Key],$A749))</f>
        <v/>
      </c>
      <c r="G749" s="287" t="str">
        <f>IF($A749="","",SUMIFS(Txn[Sell Proceeds],Txn[Key],$A749))</f>
        <v/>
      </c>
      <c r="H749" s="288" t="str">
        <f>IF($A749="","",IFERROR(INDEX(Prices[Current Price],MATCH($A749,Prices[Key],0)),0))</f>
        <v/>
      </c>
      <c r="I749" s="289" t="str">
        <f>IF($A749="","",IFERROR(INDEX(Prices[FX to SGD],MATCH($A749,Prices[Key],0)),1))</f>
        <v/>
      </c>
      <c r="J749" s="287" t="str">
        <f t="shared" si="102"/>
        <v/>
      </c>
      <c r="K749" s="287" t="str">
        <f t="shared" si="103"/>
        <v/>
      </c>
      <c r="L749" s="287" t="str">
        <f t="shared" si="104"/>
        <v/>
      </c>
      <c r="M749" s="290" t="str">
        <f t="shared" si="105"/>
        <v/>
      </c>
      <c r="N749" s="243" t="str">
        <f>IF($A749="","",IF(ABS(E749)&gt;0.000001,COUNT($N$1:N748)+1,""))</f>
        <v/>
      </c>
      <c r="O749" s="291" t="str">
        <f>IF($A749="","",SUMIFS(Transactions!$H$2:$H$1001,Transactions!$J$2:$J$1001,$A749,Transactions!$A$2:$A$1001,2)*$I749)</f>
        <v/>
      </c>
      <c r="P749" s="291" t="str">
        <f t="shared" si="106"/>
        <v/>
      </c>
      <c r="Q749" s="292" t="str">
        <f t="shared" si="107"/>
        <v/>
      </c>
    </row>
    <row r="750" spans="1:17" ht="15" customHeight="1" x14ac:dyDescent="0.2">
      <c r="A750" s="243" t="str">
        <f>IFERROR(INDEX(Txn[Key],MATCH(0,INDEX(COUNTIF($A$1:A749,Txn[Key])+(Txn[Key]=""),0),0)),"")</f>
        <v/>
      </c>
      <c r="B750" s="243" t="str">
        <f t="shared" si="99"/>
        <v/>
      </c>
      <c r="C750" s="243" t="str">
        <f t="shared" si="100"/>
        <v/>
      </c>
      <c r="D750" s="243" t="str">
        <f t="shared" si="101"/>
        <v/>
      </c>
      <c r="E750" s="265" t="str">
        <f>IF($A750="","",SUMIFS(Txn[Signed Units],Txn[Key],$A750))</f>
        <v/>
      </c>
      <c r="F750" s="287" t="str">
        <f>IF($A750="","",SUMIFS(Txn[Buy Cost],Txn[Key],$A750))</f>
        <v/>
      </c>
      <c r="G750" s="287" t="str">
        <f>IF($A750="","",SUMIFS(Txn[Sell Proceeds],Txn[Key],$A750))</f>
        <v/>
      </c>
      <c r="H750" s="288" t="str">
        <f>IF($A750="","",IFERROR(INDEX(Prices[Current Price],MATCH($A750,Prices[Key],0)),0))</f>
        <v/>
      </c>
      <c r="I750" s="289" t="str">
        <f>IF($A750="","",IFERROR(INDEX(Prices[FX to SGD],MATCH($A750,Prices[Key],0)),1))</f>
        <v/>
      </c>
      <c r="J750" s="287" t="str">
        <f t="shared" si="102"/>
        <v/>
      </c>
      <c r="K750" s="287" t="str">
        <f t="shared" si="103"/>
        <v/>
      </c>
      <c r="L750" s="287" t="str">
        <f t="shared" si="104"/>
        <v/>
      </c>
      <c r="M750" s="290" t="str">
        <f t="shared" si="105"/>
        <v/>
      </c>
      <c r="N750" s="243" t="str">
        <f>IF($A750="","",IF(ABS(E750)&gt;0.000001,COUNT($N$1:N749)+1,""))</f>
        <v/>
      </c>
      <c r="O750" s="291" t="str">
        <f>IF($A750="","",SUMIFS(Transactions!$H$2:$H$1001,Transactions!$J$2:$J$1001,$A750,Transactions!$A$2:$A$1001,2)*$I750)</f>
        <v/>
      </c>
      <c r="P750" s="291" t="str">
        <f t="shared" si="106"/>
        <v/>
      </c>
      <c r="Q750" s="292" t="str">
        <f t="shared" si="107"/>
        <v/>
      </c>
    </row>
    <row r="751" spans="1:17" ht="15" customHeight="1" x14ac:dyDescent="0.2">
      <c r="A751" s="243" t="str">
        <f>IFERROR(INDEX(Txn[Key],MATCH(0,INDEX(COUNTIF($A$1:A750,Txn[Key])+(Txn[Key]=""),0),0)),"")</f>
        <v/>
      </c>
      <c r="B751" s="243" t="str">
        <f t="shared" si="99"/>
        <v/>
      </c>
      <c r="C751" s="243" t="str">
        <f t="shared" si="100"/>
        <v/>
      </c>
      <c r="D751" s="243" t="str">
        <f t="shared" si="101"/>
        <v/>
      </c>
      <c r="E751" s="265" t="str">
        <f>IF($A751="","",SUMIFS(Txn[Signed Units],Txn[Key],$A751))</f>
        <v/>
      </c>
      <c r="F751" s="287" t="str">
        <f>IF($A751="","",SUMIFS(Txn[Buy Cost],Txn[Key],$A751))</f>
        <v/>
      </c>
      <c r="G751" s="287" t="str">
        <f>IF($A751="","",SUMIFS(Txn[Sell Proceeds],Txn[Key],$A751))</f>
        <v/>
      </c>
      <c r="H751" s="288" t="str">
        <f>IF($A751="","",IFERROR(INDEX(Prices[Current Price],MATCH($A751,Prices[Key],0)),0))</f>
        <v/>
      </c>
      <c r="I751" s="289" t="str">
        <f>IF($A751="","",IFERROR(INDEX(Prices[FX to SGD],MATCH($A751,Prices[Key],0)),1))</f>
        <v/>
      </c>
      <c r="J751" s="287" t="str">
        <f t="shared" si="102"/>
        <v/>
      </c>
      <c r="K751" s="287" t="str">
        <f t="shared" si="103"/>
        <v/>
      </c>
      <c r="L751" s="287" t="str">
        <f t="shared" si="104"/>
        <v/>
      </c>
      <c r="M751" s="290" t="str">
        <f t="shared" si="105"/>
        <v/>
      </c>
      <c r="N751" s="243" t="str">
        <f>IF($A751="","",IF(ABS(E751)&gt;0.000001,COUNT($N$1:N750)+1,""))</f>
        <v/>
      </c>
      <c r="O751" s="291" t="str">
        <f>IF($A751="","",SUMIFS(Transactions!$H$2:$H$1001,Transactions!$J$2:$J$1001,$A751,Transactions!$A$2:$A$1001,2)*$I751)</f>
        <v/>
      </c>
      <c r="P751" s="291" t="str">
        <f t="shared" si="106"/>
        <v/>
      </c>
      <c r="Q751" s="292" t="str">
        <f t="shared" si="107"/>
        <v/>
      </c>
    </row>
    <row r="752" spans="1:17" ht="15" customHeight="1" x14ac:dyDescent="0.2">
      <c r="A752" s="243" t="str">
        <f>IFERROR(INDEX(Txn[Key],MATCH(0,INDEX(COUNTIF($A$1:A751,Txn[Key])+(Txn[Key]=""),0),0)),"")</f>
        <v/>
      </c>
      <c r="B752" s="243" t="str">
        <f t="shared" si="99"/>
        <v/>
      </c>
      <c r="C752" s="243" t="str">
        <f t="shared" si="100"/>
        <v/>
      </c>
      <c r="D752" s="243" t="str">
        <f t="shared" si="101"/>
        <v/>
      </c>
      <c r="E752" s="265" t="str">
        <f>IF($A752="","",SUMIFS(Txn[Signed Units],Txn[Key],$A752))</f>
        <v/>
      </c>
      <c r="F752" s="287" t="str">
        <f>IF($A752="","",SUMIFS(Txn[Buy Cost],Txn[Key],$A752))</f>
        <v/>
      </c>
      <c r="G752" s="287" t="str">
        <f>IF($A752="","",SUMIFS(Txn[Sell Proceeds],Txn[Key],$A752))</f>
        <v/>
      </c>
      <c r="H752" s="288" t="str">
        <f>IF($A752="","",IFERROR(INDEX(Prices[Current Price],MATCH($A752,Prices[Key],0)),0))</f>
        <v/>
      </c>
      <c r="I752" s="289" t="str">
        <f>IF($A752="","",IFERROR(INDEX(Prices[FX to SGD],MATCH($A752,Prices[Key],0)),1))</f>
        <v/>
      </c>
      <c r="J752" s="287" t="str">
        <f t="shared" si="102"/>
        <v/>
      </c>
      <c r="K752" s="287" t="str">
        <f t="shared" si="103"/>
        <v/>
      </c>
      <c r="L752" s="287" t="str">
        <f t="shared" si="104"/>
        <v/>
      </c>
      <c r="M752" s="290" t="str">
        <f t="shared" si="105"/>
        <v/>
      </c>
      <c r="N752" s="243" t="str">
        <f>IF($A752="","",IF(ABS(E752)&gt;0.000001,COUNT($N$1:N751)+1,""))</f>
        <v/>
      </c>
      <c r="O752" s="291" t="str">
        <f>IF($A752="","",SUMIFS(Transactions!$H$2:$H$1001,Transactions!$J$2:$J$1001,$A752,Transactions!$A$2:$A$1001,2)*$I752)</f>
        <v/>
      </c>
      <c r="P752" s="291" t="str">
        <f t="shared" si="106"/>
        <v/>
      </c>
      <c r="Q752" s="292" t="str">
        <f t="shared" si="107"/>
        <v/>
      </c>
    </row>
    <row r="753" spans="1:17" ht="15" customHeight="1" x14ac:dyDescent="0.2">
      <c r="A753" s="243" t="str">
        <f>IFERROR(INDEX(Txn[Key],MATCH(0,INDEX(COUNTIF($A$1:A752,Txn[Key])+(Txn[Key]=""),0),0)),"")</f>
        <v/>
      </c>
      <c r="B753" s="243" t="str">
        <f t="shared" si="99"/>
        <v/>
      </c>
      <c r="C753" s="243" t="str">
        <f t="shared" si="100"/>
        <v/>
      </c>
      <c r="D753" s="243" t="str">
        <f t="shared" si="101"/>
        <v/>
      </c>
      <c r="E753" s="265" t="str">
        <f>IF($A753="","",SUMIFS(Txn[Signed Units],Txn[Key],$A753))</f>
        <v/>
      </c>
      <c r="F753" s="287" t="str">
        <f>IF($A753="","",SUMIFS(Txn[Buy Cost],Txn[Key],$A753))</f>
        <v/>
      </c>
      <c r="G753" s="287" t="str">
        <f>IF($A753="","",SUMIFS(Txn[Sell Proceeds],Txn[Key],$A753))</f>
        <v/>
      </c>
      <c r="H753" s="288" t="str">
        <f>IF($A753="","",IFERROR(INDEX(Prices[Current Price],MATCH($A753,Prices[Key],0)),0))</f>
        <v/>
      </c>
      <c r="I753" s="289" t="str">
        <f>IF($A753="","",IFERROR(INDEX(Prices[FX to SGD],MATCH($A753,Prices[Key],0)),1))</f>
        <v/>
      </c>
      <c r="J753" s="287" t="str">
        <f t="shared" si="102"/>
        <v/>
      </c>
      <c r="K753" s="287" t="str">
        <f t="shared" si="103"/>
        <v/>
      </c>
      <c r="L753" s="287" t="str">
        <f t="shared" si="104"/>
        <v/>
      </c>
      <c r="M753" s="290" t="str">
        <f t="shared" si="105"/>
        <v/>
      </c>
      <c r="N753" s="243" t="str">
        <f>IF($A753="","",IF(ABS(E753)&gt;0.000001,COUNT($N$1:N752)+1,""))</f>
        <v/>
      </c>
      <c r="O753" s="291" t="str">
        <f>IF($A753="","",SUMIFS(Transactions!$H$2:$H$1001,Transactions!$J$2:$J$1001,$A753,Transactions!$A$2:$A$1001,2)*$I753)</f>
        <v/>
      </c>
      <c r="P753" s="291" t="str">
        <f t="shared" si="106"/>
        <v/>
      </c>
      <c r="Q753" s="292" t="str">
        <f t="shared" si="107"/>
        <v/>
      </c>
    </row>
    <row r="754" spans="1:17" ht="15" customHeight="1" x14ac:dyDescent="0.2">
      <c r="A754" s="243" t="str">
        <f>IFERROR(INDEX(Txn[Key],MATCH(0,INDEX(COUNTIF($A$1:A753,Txn[Key])+(Txn[Key]=""),0),0)),"")</f>
        <v/>
      </c>
      <c r="B754" s="243" t="str">
        <f t="shared" si="99"/>
        <v/>
      </c>
      <c r="C754" s="243" t="str">
        <f t="shared" si="100"/>
        <v/>
      </c>
      <c r="D754" s="243" t="str">
        <f t="shared" si="101"/>
        <v/>
      </c>
      <c r="E754" s="265" t="str">
        <f>IF($A754="","",SUMIFS(Txn[Signed Units],Txn[Key],$A754))</f>
        <v/>
      </c>
      <c r="F754" s="287" t="str">
        <f>IF($A754="","",SUMIFS(Txn[Buy Cost],Txn[Key],$A754))</f>
        <v/>
      </c>
      <c r="G754" s="287" t="str">
        <f>IF($A754="","",SUMIFS(Txn[Sell Proceeds],Txn[Key],$A754))</f>
        <v/>
      </c>
      <c r="H754" s="288" t="str">
        <f>IF($A754="","",IFERROR(INDEX(Prices[Current Price],MATCH($A754,Prices[Key],0)),0))</f>
        <v/>
      </c>
      <c r="I754" s="289" t="str">
        <f>IF($A754="","",IFERROR(INDEX(Prices[FX to SGD],MATCH($A754,Prices[Key],0)),1))</f>
        <v/>
      </c>
      <c r="J754" s="287" t="str">
        <f t="shared" si="102"/>
        <v/>
      </c>
      <c r="K754" s="287" t="str">
        <f t="shared" si="103"/>
        <v/>
      </c>
      <c r="L754" s="287" t="str">
        <f t="shared" si="104"/>
        <v/>
      </c>
      <c r="M754" s="290" t="str">
        <f t="shared" si="105"/>
        <v/>
      </c>
      <c r="N754" s="243" t="str">
        <f>IF($A754="","",IF(ABS(E754)&gt;0.000001,COUNT($N$1:N753)+1,""))</f>
        <v/>
      </c>
      <c r="O754" s="291" t="str">
        <f>IF($A754="","",SUMIFS(Transactions!$H$2:$H$1001,Transactions!$J$2:$J$1001,$A754,Transactions!$A$2:$A$1001,2)*$I754)</f>
        <v/>
      </c>
      <c r="P754" s="291" t="str">
        <f t="shared" si="106"/>
        <v/>
      </c>
      <c r="Q754" s="292" t="str">
        <f t="shared" si="107"/>
        <v/>
      </c>
    </row>
    <row r="755" spans="1:17" ht="15" customHeight="1" x14ac:dyDescent="0.2">
      <c r="A755" s="243" t="str">
        <f>IFERROR(INDEX(Txn[Key],MATCH(0,INDEX(COUNTIF($A$1:A754,Txn[Key])+(Txn[Key]=""),0),0)),"")</f>
        <v/>
      </c>
      <c r="B755" s="243" t="str">
        <f t="shared" si="99"/>
        <v/>
      </c>
      <c r="C755" s="243" t="str">
        <f t="shared" si="100"/>
        <v/>
      </c>
      <c r="D755" s="243" t="str">
        <f t="shared" si="101"/>
        <v/>
      </c>
      <c r="E755" s="265" t="str">
        <f>IF($A755="","",SUMIFS(Txn[Signed Units],Txn[Key],$A755))</f>
        <v/>
      </c>
      <c r="F755" s="287" t="str">
        <f>IF($A755="","",SUMIFS(Txn[Buy Cost],Txn[Key],$A755))</f>
        <v/>
      </c>
      <c r="G755" s="287" t="str">
        <f>IF($A755="","",SUMIFS(Txn[Sell Proceeds],Txn[Key],$A755))</f>
        <v/>
      </c>
      <c r="H755" s="288" t="str">
        <f>IF($A755="","",IFERROR(INDEX(Prices[Current Price],MATCH($A755,Prices[Key],0)),0))</f>
        <v/>
      </c>
      <c r="I755" s="289" t="str">
        <f>IF($A755="","",IFERROR(INDEX(Prices[FX to SGD],MATCH($A755,Prices[Key],0)),1))</f>
        <v/>
      </c>
      <c r="J755" s="287" t="str">
        <f t="shared" si="102"/>
        <v/>
      </c>
      <c r="K755" s="287" t="str">
        <f t="shared" si="103"/>
        <v/>
      </c>
      <c r="L755" s="287" t="str">
        <f t="shared" si="104"/>
        <v/>
      </c>
      <c r="M755" s="290" t="str">
        <f t="shared" si="105"/>
        <v/>
      </c>
      <c r="N755" s="243" t="str">
        <f>IF($A755="","",IF(ABS(E755)&gt;0.000001,COUNT($N$1:N754)+1,""))</f>
        <v/>
      </c>
      <c r="O755" s="291" t="str">
        <f>IF($A755="","",SUMIFS(Transactions!$H$2:$H$1001,Transactions!$J$2:$J$1001,$A755,Transactions!$A$2:$A$1001,2)*$I755)</f>
        <v/>
      </c>
      <c r="P755" s="291" t="str">
        <f t="shared" si="106"/>
        <v/>
      </c>
      <c r="Q755" s="292" t="str">
        <f t="shared" si="107"/>
        <v/>
      </c>
    </row>
    <row r="756" spans="1:17" ht="15" customHeight="1" x14ac:dyDescent="0.2">
      <c r="A756" s="243" t="str">
        <f>IFERROR(INDEX(Txn[Key],MATCH(0,INDEX(COUNTIF($A$1:A755,Txn[Key])+(Txn[Key]=""),0),0)),"")</f>
        <v/>
      </c>
      <c r="B756" s="243" t="str">
        <f t="shared" si="99"/>
        <v/>
      </c>
      <c r="C756" s="243" t="str">
        <f t="shared" si="100"/>
        <v/>
      </c>
      <c r="D756" s="243" t="str">
        <f t="shared" si="101"/>
        <v/>
      </c>
      <c r="E756" s="265" t="str">
        <f>IF($A756="","",SUMIFS(Txn[Signed Units],Txn[Key],$A756))</f>
        <v/>
      </c>
      <c r="F756" s="287" t="str">
        <f>IF($A756="","",SUMIFS(Txn[Buy Cost],Txn[Key],$A756))</f>
        <v/>
      </c>
      <c r="G756" s="287" t="str">
        <f>IF($A756="","",SUMIFS(Txn[Sell Proceeds],Txn[Key],$A756))</f>
        <v/>
      </c>
      <c r="H756" s="288" t="str">
        <f>IF($A756="","",IFERROR(INDEX(Prices[Current Price],MATCH($A756,Prices[Key],0)),0))</f>
        <v/>
      </c>
      <c r="I756" s="289" t="str">
        <f>IF($A756="","",IFERROR(INDEX(Prices[FX to SGD],MATCH($A756,Prices[Key],0)),1))</f>
        <v/>
      </c>
      <c r="J756" s="287" t="str">
        <f t="shared" si="102"/>
        <v/>
      </c>
      <c r="K756" s="287" t="str">
        <f t="shared" si="103"/>
        <v/>
      </c>
      <c r="L756" s="287" t="str">
        <f t="shared" si="104"/>
        <v/>
      </c>
      <c r="M756" s="290" t="str">
        <f t="shared" si="105"/>
        <v/>
      </c>
      <c r="N756" s="243" t="str">
        <f>IF($A756="","",IF(ABS(E756)&gt;0.000001,COUNT($N$1:N755)+1,""))</f>
        <v/>
      </c>
      <c r="O756" s="291" t="str">
        <f>IF($A756="","",SUMIFS(Transactions!$H$2:$H$1001,Transactions!$J$2:$J$1001,$A756,Transactions!$A$2:$A$1001,2)*$I756)</f>
        <v/>
      </c>
      <c r="P756" s="291" t="str">
        <f t="shared" si="106"/>
        <v/>
      </c>
      <c r="Q756" s="292" t="str">
        <f t="shared" si="107"/>
        <v/>
      </c>
    </row>
    <row r="757" spans="1:17" ht="15" customHeight="1" x14ac:dyDescent="0.2">
      <c r="A757" s="243" t="str">
        <f>IFERROR(INDEX(Txn[Key],MATCH(0,INDEX(COUNTIF($A$1:A756,Txn[Key])+(Txn[Key]=""),0),0)),"")</f>
        <v/>
      </c>
      <c r="B757" s="243" t="str">
        <f t="shared" si="99"/>
        <v/>
      </c>
      <c r="C757" s="243" t="str">
        <f t="shared" si="100"/>
        <v/>
      </c>
      <c r="D757" s="243" t="str">
        <f t="shared" si="101"/>
        <v/>
      </c>
      <c r="E757" s="265" t="str">
        <f>IF($A757="","",SUMIFS(Txn[Signed Units],Txn[Key],$A757))</f>
        <v/>
      </c>
      <c r="F757" s="287" t="str">
        <f>IF($A757="","",SUMIFS(Txn[Buy Cost],Txn[Key],$A757))</f>
        <v/>
      </c>
      <c r="G757" s="287" t="str">
        <f>IF($A757="","",SUMIFS(Txn[Sell Proceeds],Txn[Key],$A757))</f>
        <v/>
      </c>
      <c r="H757" s="288" t="str">
        <f>IF($A757="","",IFERROR(INDEX(Prices[Current Price],MATCH($A757,Prices[Key],0)),0))</f>
        <v/>
      </c>
      <c r="I757" s="289" t="str">
        <f>IF($A757="","",IFERROR(INDEX(Prices[FX to SGD],MATCH($A757,Prices[Key],0)),1))</f>
        <v/>
      </c>
      <c r="J757" s="287" t="str">
        <f t="shared" si="102"/>
        <v/>
      </c>
      <c r="K757" s="287" t="str">
        <f t="shared" si="103"/>
        <v/>
      </c>
      <c r="L757" s="287" t="str">
        <f t="shared" si="104"/>
        <v/>
      </c>
      <c r="M757" s="290" t="str">
        <f t="shared" si="105"/>
        <v/>
      </c>
      <c r="N757" s="243" t="str">
        <f>IF($A757="","",IF(ABS(E757)&gt;0.000001,COUNT($N$1:N756)+1,""))</f>
        <v/>
      </c>
      <c r="O757" s="291" t="str">
        <f>IF($A757="","",SUMIFS(Transactions!$H$2:$H$1001,Transactions!$J$2:$J$1001,$A757,Transactions!$A$2:$A$1001,2)*$I757)</f>
        <v/>
      </c>
      <c r="P757" s="291" t="str">
        <f t="shared" si="106"/>
        <v/>
      </c>
      <c r="Q757" s="292" t="str">
        <f t="shared" si="107"/>
        <v/>
      </c>
    </row>
    <row r="758" spans="1:17" ht="15" customHeight="1" x14ac:dyDescent="0.2">
      <c r="A758" s="243" t="str">
        <f>IFERROR(INDEX(Txn[Key],MATCH(0,INDEX(COUNTIF($A$1:A757,Txn[Key])+(Txn[Key]=""),0),0)),"")</f>
        <v/>
      </c>
      <c r="B758" s="243" t="str">
        <f t="shared" si="99"/>
        <v/>
      </c>
      <c r="C758" s="243" t="str">
        <f t="shared" si="100"/>
        <v/>
      </c>
      <c r="D758" s="243" t="str">
        <f t="shared" si="101"/>
        <v/>
      </c>
      <c r="E758" s="265" t="str">
        <f>IF($A758="","",SUMIFS(Txn[Signed Units],Txn[Key],$A758))</f>
        <v/>
      </c>
      <c r="F758" s="287" t="str">
        <f>IF($A758="","",SUMIFS(Txn[Buy Cost],Txn[Key],$A758))</f>
        <v/>
      </c>
      <c r="G758" s="287" t="str">
        <f>IF($A758="","",SUMIFS(Txn[Sell Proceeds],Txn[Key],$A758))</f>
        <v/>
      </c>
      <c r="H758" s="288" t="str">
        <f>IF($A758="","",IFERROR(INDEX(Prices[Current Price],MATCH($A758,Prices[Key],0)),0))</f>
        <v/>
      </c>
      <c r="I758" s="289" t="str">
        <f>IF($A758="","",IFERROR(INDEX(Prices[FX to SGD],MATCH($A758,Prices[Key],0)),1))</f>
        <v/>
      </c>
      <c r="J758" s="287" t="str">
        <f t="shared" si="102"/>
        <v/>
      </c>
      <c r="K758" s="287" t="str">
        <f t="shared" si="103"/>
        <v/>
      </c>
      <c r="L758" s="287" t="str">
        <f t="shared" si="104"/>
        <v/>
      </c>
      <c r="M758" s="290" t="str">
        <f t="shared" si="105"/>
        <v/>
      </c>
      <c r="N758" s="243" t="str">
        <f>IF($A758="","",IF(ABS(E758)&gt;0.000001,COUNT($N$1:N757)+1,""))</f>
        <v/>
      </c>
      <c r="O758" s="291" t="str">
        <f>IF($A758="","",SUMIFS(Transactions!$H$2:$H$1001,Transactions!$J$2:$J$1001,$A758,Transactions!$A$2:$A$1001,2)*$I758)</f>
        <v/>
      </c>
      <c r="P758" s="291" t="str">
        <f t="shared" si="106"/>
        <v/>
      </c>
      <c r="Q758" s="292" t="str">
        <f t="shared" si="107"/>
        <v/>
      </c>
    </row>
    <row r="759" spans="1:17" ht="15" customHeight="1" x14ac:dyDescent="0.2">
      <c r="A759" s="243" t="str">
        <f>IFERROR(INDEX(Txn[Key],MATCH(0,INDEX(COUNTIF($A$1:A758,Txn[Key])+(Txn[Key]=""),0),0)),"")</f>
        <v/>
      </c>
      <c r="B759" s="243" t="str">
        <f t="shared" si="99"/>
        <v/>
      </c>
      <c r="C759" s="243" t="str">
        <f t="shared" si="100"/>
        <v/>
      </c>
      <c r="D759" s="243" t="str">
        <f t="shared" si="101"/>
        <v/>
      </c>
      <c r="E759" s="265" t="str">
        <f>IF($A759="","",SUMIFS(Txn[Signed Units],Txn[Key],$A759))</f>
        <v/>
      </c>
      <c r="F759" s="287" t="str">
        <f>IF($A759="","",SUMIFS(Txn[Buy Cost],Txn[Key],$A759))</f>
        <v/>
      </c>
      <c r="G759" s="287" t="str">
        <f>IF($A759="","",SUMIFS(Txn[Sell Proceeds],Txn[Key],$A759))</f>
        <v/>
      </c>
      <c r="H759" s="288" t="str">
        <f>IF($A759="","",IFERROR(INDEX(Prices[Current Price],MATCH($A759,Prices[Key],0)),0))</f>
        <v/>
      </c>
      <c r="I759" s="289" t="str">
        <f>IF($A759="","",IFERROR(INDEX(Prices[FX to SGD],MATCH($A759,Prices[Key],0)),1))</f>
        <v/>
      </c>
      <c r="J759" s="287" t="str">
        <f t="shared" si="102"/>
        <v/>
      </c>
      <c r="K759" s="287" t="str">
        <f t="shared" si="103"/>
        <v/>
      </c>
      <c r="L759" s="287" t="str">
        <f t="shared" si="104"/>
        <v/>
      </c>
      <c r="M759" s="290" t="str">
        <f t="shared" si="105"/>
        <v/>
      </c>
      <c r="N759" s="243" t="str">
        <f>IF($A759="","",IF(ABS(E759)&gt;0.000001,COUNT($N$1:N758)+1,""))</f>
        <v/>
      </c>
      <c r="O759" s="291" t="str">
        <f>IF($A759="","",SUMIFS(Transactions!$H$2:$H$1001,Transactions!$J$2:$J$1001,$A759,Transactions!$A$2:$A$1001,2)*$I759)</f>
        <v/>
      </c>
      <c r="P759" s="291" t="str">
        <f t="shared" si="106"/>
        <v/>
      </c>
      <c r="Q759" s="292" t="str">
        <f t="shared" si="107"/>
        <v/>
      </c>
    </row>
    <row r="760" spans="1:17" ht="15" customHeight="1" x14ac:dyDescent="0.2">
      <c r="A760" s="243" t="str">
        <f>IFERROR(INDEX(Txn[Key],MATCH(0,INDEX(COUNTIF($A$1:A759,Txn[Key])+(Txn[Key]=""),0),0)),"")</f>
        <v/>
      </c>
      <c r="B760" s="243" t="str">
        <f t="shared" si="99"/>
        <v/>
      </c>
      <c r="C760" s="243" t="str">
        <f t="shared" si="100"/>
        <v/>
      </c>
      <c r="D760" s="243" t="str">
        <f t="shared" si="101"/>
        <v/>
      </c>
      <c r="E760" s="265" t="str">
        <f>IF($A760="","",SUMIFS(Txn[Signed Units],Txn[Key],$A760))</f>
        <v/>
      </c>
      <c r="F760" s="287" t="str">
        <f>IF($A760="","",SUMIFS(Txn[Buy Cost],Txn[Key],$A760))</f>
        <v/>
      </c>
      <c r="G760" s="287" t="str">
        <f>IF($A760="","",SUMIFS(Txn[Sell Proceeds],Txn[Key],$A760))</f>
        <v/>
      </c>
      <c r="H760" s="288" t="str">
        <f>IF($A760="","",IFERROR(INDEX(Prices[Current Price],MATCH($A760,Prices[Key],0)),0))</f>
        <v/>
      </c>
      <c r="I760" s="289" t="str">
        <f>IF($A760="","",IFERROR(INDEX(Prices[FX to SGD],MATCH($A760,Prices[Key],0)),1))</f>
        <v/>
      </c>
      <c r="J760" s="287" t="str">
        <f t="shared" si="102"/>
        <v/>
      </c>
      <c r="K760" s="287" t="str">
        <f t="shared" si="103"/>
        <v/>
      </c>
      <c r="L760" s="287" t="str">
        <f t="shared" si="104"/>
        <v/>
      </c>
      <c r="M760" s="290" t="str">
        <f t="shared" si="105"/>
        <v/>
      </c>
      <c r="N760" s="243" t="str">
        <f>IF($A760="","",IF(ABS(E760)&gt;0.000001,COUNT($N$1:N759)+1,""))</f>
        <v/>
      </c>
      <c r="O760" s="291" t="str">
        <f>IF($A760="","",SUMIFS(Transactions!$H$2:$H$1001,Transactions!$J$2:$J$1001,$A760,Transactions!$A$2:$A$1001,2)*$I760)</f>
        <v/>
      </c>
      <c r="P760" s="291" t="str">
        <f t="shared" si="106"/>
        <v/>
      </c>
      <c r="Q760" s="292" t="str">
        <f t="shared" si="107"/>
        <v/>
      </c>
    </row>
    <row r="761" spans="1:17" ht="15" customHeight="1" x14ac:dyDescent="0.2">
      <c r="A761" s="243" t="str">
        <f>IFERROR(INDEX(Txn[Key],MATCH(0,INDEX(COUNTIF($A$1:A760,Txn[Key])+(Txn[Key]=""),0),0)),"")</f>
        <v/>
      </c>
      <c r="B761" s="243" t="str">
        <f t="shared" si="99"/>
        <v/>
      </c>
      <c r="C761" s="243" t="str">
        <f t="shared" si="100"/>
        <v/>
      </c>
      <c r="D761" s="243" t="str">
        <f t="shared" si="101"/>
        <v/>
      </c>
      <c r="E761" s="265" t="str">
        <f>IF($A761="","",SUMIFS(Txn[Signed Units],Txn[Key],$A761))</f>
        <v/>
      </c>
      <c r="F761" s="287" t="str">
        <f>IF($A761="","",SUMIFS(Txn[Buy Cost],Txn[Key],$A761))</f>
        <v/>
      </c>
      <c r="G761" s="287" t="str">
        <f>IF($A761="","",SUMIFS(Txn[Sell Proceeds],Txn[Key],$A761))</f>
        <v/>
      </c>
      <c r="H761" s="288" t="str">
        <f>IF($A761="","",IFERROR(INDEX(Prices[Current Price],MATCH($A761,Prices[Key],0)),0))</f>
        <v/>
      </c>
      <c r="I761" s="289" t="str">
        <f>IF($A761="","",IFERROR(INDEX(Prices[FX to SGD],MATCH($A761,Prices[Key],0)),1))</f>
        <v/>
      </c>
      <c r="J761" s="287" t="str">
        <f t="shared" si="102"/>
        <v/>
      </c>
      <c r="K761" s="287" t="str">
        <f t="shared" si="103"/>
        <v/>
      </c>
      <c r="L761" s="287" t="str">
        <f t="shared" si="104"/>
        <v/>
      </c>
      <c r="M761" s="290" t="str">
        <f t="shared" si="105"/>
        <v/>
      </c>
      <c r="N761" s="243" t="str">
        <f>IF($A761="","",IF(ABS(E761)&gt;0.000001,COUNT($N$1:N760)+1,""))</f>
        <v/>
      </c>
      <c r="O761" s="291" t="str">
        <f>IF($A761="","",SUMIFS(Transactions!$H$2:$H$1001,Transactions!$J$2:$J$1001,$A761,Transactions!$A$2:$A$1001,2)*$I761)</f>
        <v/>
      </c>
      <c r="P761" s="291" t="str">
        <f t="shared" si="106"/>
        <v/>
      </c>
      <c r="Q761" s="292" t="str">
        <f t="shared" si="107"/>
        <v/>
      </c>
    </row>
    <row r="762" spans="1:17" ht="15" customHeight="1" x14ac:dyDescent="0.2">
      <c r="A762" s="243" t="str">
        <f>IFERROR(INDEX(Txn[Key],MATCH(0,INDEX(COUNTIF($A$1:A761,Txn[Key])+(Txn[Key]=""),0),0)),"")</f>
        <v/>
      </c>
      <c r="B762" s="243" t="str">
        <f t="shared" si="99"/>
        <v/>
      </c>
      <c r="C762" s="243" t="str">
        <f t="shared" si="100"/>
        <v/>
      </c>
      <c r="D762" s="243" t="str">
        <f t="shared" si="101"/>
        <v/>
      </c>
      <c r="E762" s="265" t="str">
        <f>IF($A762="","",SUMIFS(Txn[Signed Units],Txn[Key],$A762))</f>
        <v/>
      </c>
      <c r="F762" s="287" t="str">
        <f>IF($A762="","",SUMIFS(Txn[Buy Cost],Txn[Key],$A762))</f>
        <v/>
      </c>
      <c r="G762" s="287" t="str">
        <f>IF($A762="","",SUMIFS(Txn[Sell Proceeds],Txn[Key],$A762))</f>
        <v/>
      </c>
      <c r="H762" s="288" t="str">
        <f>IF($A762="","",IFERROR(INDEX(Prices[Current Price],MATCH($A762,Prices[Key],0)),0))</f>
        <v/>
      </c>
      <c r="I762" s="289" t="str">
        <f>IF($A762="","",IFERROR(INDEX(Prices[FX to SGD],MATCH($A762,Prices[Key],0)),1))</f>
        <v/>
      </c>
      <c r="J762" s="287" t="str">
        <f t="shared" si="102"/>
        <v/>
      </c>
      <c r="K762" s="287" t="str">
        <f t="shared" si="103"/>
        <v/>
      </c>
      <c r="L762" s="287" t="str">
        <f t="shared" si="104"/>
        <v/>
      </c>
      <c r="M762" s="290" t="str">
        <f t="shared" si="105"/>
        <v/>
      </c>
      <c r="N762" s="243" t="str">
        <f>IF($A762="","",IF(ABS(E762)&gt;0.000001,COUNT($N$1:N761)+1,""))</f>
        <v/>
      </c>
      <c r="O762" s="291" t="str">
        <f>IF($A762="","",SUMIFS(Transactions!$H$2:$H$1001,Transactions!$J$2:$J$1001,$A762,Transactions!$A$2:$A$1001,2)*$I762)</f>
        <v/>
      </c>
      <c r="P762" s="291" t="str">
        <f t="shared" si="106"/>
        <v/>
      </c>
      <c r="Q762" s="292" t="str">
        <f t="shared" si="107"/>
        <v/>
      </c>
    </row>
    <row r="763" spans="1:17" ht="15" customHeight="1" x14ac:dyDescent="0.2">
      <c r="A763" s="243" t="str">
        <f>IFERROR(INDEX(Txn[Key],MATCH(0,INDEX(COUNTIF($A$1:A762,Txn[Key])+(Txn[Key]=""),0),0)),"")</f>
        <v/>
      </c>
      <c r="B763" s="243" t="str">
        <f t="shared" si="99"/>
        <v/>
      </c>
      <c r="C763" s="243" t="str">
        <f t="shared" si="100"/>
        <v/>
      </c>
      <c r="D763" s="243" t="str">
        <f t="shared" si="101"/>
        <v/>
      </c>
      <c r="E763" s="265" t="str">
        <f>IF($A763="","",SUMIFS(Txn[Signed Units],Txn[Key],$A763))</f>
        <v/>
      </c>
      <c r="F763" s="287" t="str">
        <f>IF($A763="","",SUMIFS(Txn[Buy Cost],Txn[Key],$A763))</f>
        <v/>
      </c>
      <c r="G763" s="287" t="str">
        <f>IF($A763="","",SUMIFS(Txn[Sell Proceeds],Txn[Key],$A763))</f>
        <v/>
      </c>
      <c r="H763" s="288" t="str">
        <f>IF($A763="","",IFERROR(INDEX(Prices[Current Price],MATCH($A763,Prices[Key],0)),0))</f>
        <v/>
      </c>
      <c r="I763" s="289" t="str">
        <f>IF($A763="","",IFERROR(INDEX(Prices[FX to SGD],MATCH($A763,Prices[Key],0)),1))</f>
        <v/>
      </c>
      <c r="J763" s="287" t="str">
        <f t="shared" si="102"/>
        <v/>
      </c>
      <c r="K763" s="287" t="str">
        <f t="shared" si="103"/>
        <v/>
      </c>
      <c r="L763" s="287" t="str">
        <f t="shared" si="104"/>
        <v/>
      </c>
      <c r="M763" s="290" t="str">
        <f t="shared" si="105"/>
        <v/>
      </c>
      <c r="N763" s="243" t="str">
        <f>IF($A763="","",IF(ABS(E763)&gt;0.000001,COUNT($N$1:N762)+1,""))</f>
        <v/>
      </c>
      <c r="O763" s="291" t="str">
        <f>IF($A763="","",SUMIFS(Transactions!$H$2:$H$1001,Transactions!$J$2:$J$1001,$A763,Transactions!$A$2:$A$1001,2)*$I763)</f>
        <v/>
      </c>
      <c r="P763" s="291" t="str">
        <f t="shared" si="106"/>
        <v/>
      </c>
      <c r="Q763" s="292" t="str">
        <f t="shared" si="107"/>
        <v/>
      </c>
    </row>
    <row r="764" spans="1:17" ht="15" customHeight="1" x14ac:dyDescent="0.2">
      <c r="A764" s="243" t="str">
        <f>IFERROR(INDEX(Txn[Key],MATCH(0,INDEX(COUNTIF($A$1:A763,Txn[Key])+(Txn[Key]=""),0),0)),"")</f>
        <v/>
      </c>
      <c r="B764" s="243" t="str">
        <f t="shared" si="99"/>
        <v/>
      </c>
      <c r="C764" s="243" t="str">
        <f t="shared" si="100"/>
        <v/>
      </c>
      <c r="D764" s="243" t="str">
        <f t="shared" si="101"/>
        <v/>
      </c>
      <c r="E764" s="265" t="str">
        <f>IF($A764="","",SUMIFS(Txn[Signed Units],Txn[Key],$A764))</f>
        <v/>
      </c>
      <c r="F764" s="287" t="str">
        <f>IF($A764="","",SUMIFS(Txn[Buy Cost],Txn[Key],$A764))</f>
        <v/>
      </c>
      <c r="G764" s="287" t="str">
        <f>IF($A764="","",SUMIFS(Txn[Sell Proceeds],Txn[Key],$A764))</f>
        <v/>
      </c>
      <c r="H764" s="288" t="str">
        <f>IF($A764="","",IFERROR(INDEX(Prices[Current Price],MATCH($A764,Prices[Key],0)),0))</f>
        <v/>
      </c>
      <c r="I764" s="289" t="str">
        <f>IF($A764="","",IFERROR(INDEX(Prices[FX to SGD],MATCH($A764,Prices[Key],0)),1))</f>
        <v/>
      </c>
      <c r="J764" s="287" t="str">
        <f t="shared" si="102"/>
        <v/>
      </c>
      <c r="K764" s="287" t="str">
        <f t="shared" si="103"/>
        <v/>
      </c>
      <c r="L764" s="287" t="str">
        <f t="shared" si="104"/>
        <v/>
      </c>
      <c r="M764" s="290" t="str">
        <f t="shared" si="105"/>
        <v/>
      </c>
      <c r="N764" s="243" t="str">
        <f>IF($A764="","",IF(ABS(E764)&gt;0.000001,COUNT($N$1:N763)+1,""))</f>
        <v/>
      </c>
      <c r="O764" s="291" t="str">
        <f>IF($A764="","",SUMIFS(Transactions!$H$2:$H$1001,Transactions!$J$2:$J$1001,$A764,Transactions!$A$2:$A$1001,2)*$I764)</f>
        <v/>
      </c>
      <c r="P764" s="291" t="str">
        <f t="shared" si="106"/>
        <v/>
      </c>
      <c r="Q764" s="292" t="str">
        <f t="shared" si="107"/>
        <v/>
      </c>
    </row>
    <row r="765" spans="1:17" ht="15" customHeight="1" x14ac:dyDescent="0.2">
      <c r="A765" s="243" t="str">
        <f>IFERROR(INDEX(Txn[Key],MATCH(0,INDEX(COUNTIF($A$1:A764,Txn[Key])+(Txn[Key]=""),0),0)),"")</f>
        <v/>
      </c>
      <c r="B765" s="243" t="str">
        <f t="shared" si="99"/>
        <v/>
      </c>
      <c r="C765" s="243" t="str">
        <f t="shared" si="100"/>
        <v/>
      </c>
      <c r="D765" s="243" t="str">
        <f t="shared" si="101"/>
        <v/>
      </c>
      <c r="E765" s="265" t="str">
        <f>IF($A765="","",SUMIFS(Txn[Signed Units],Txn[Key],$A765))</f>
        <v/>
      </c>
      <c r="F765" s="287" t="str">
        <f>IF($A765="","",SUMIFS(Txn[Buy Cost],Txn[Key],$A765))</f>
        <v/>
      </c>
      <c r="G765" s="287" t="str">
        <f>IF($A765="","",SUMIFS(Txn[Sell Proceeds],Txn[Key],$A765))</f>
        <v/>
      </c>
      <c r="H765" s="288" t="str">
        <f>IF($A765="","",IFERROR(INDEX(Prices[Current Price],MATCH($A765,Prices[Key],0)),0))</f>
        <v/>
      </c>
      <c r="I765" s="289" t="str">
        <f>IF($A765="","",IFERROR(INDEX(Prices[FX to SGD],MATCH($A765,Prices[Key],0)),1))</f>
        <v/>
      </c>
      <c r="J765" s="287" t="str">
        <f t="shared" si="102"/>
        <v/>
      </c>
      <c r="K765" s="287" t="str">
        <f t="shared" si="103"/>
        <v/>
      </c>
      <c r="L765" s="287" t="str">
        <f t="shared" si="104"/>
        <v/>
      </c>
      <c r="M765" s="290" t="str">
        <f t="shared" si="105"/>
        <v/>
      </c>
      <c r="N765" s="243" t="str">
        <f>IF($A765="","",IF(ABS(E765)&gt;0.000001,COUNT($N$1:N764)+1,""))</f>
        <v/>
      </c>
      <c r="O765" s="291" t="str">
        <f>IF($A765="","",SUMIFS(Transactions!$H$2:$H$1001,Transactions!$J$2:$J$1001,$A765,Transactions!$A$2:$A$1001,2)*$I765)</f>
        <v/>
      </c>
      <c r="P765" s="291" t="str">
        <f t="shared" si="106"/>
        <v/>
      </c>
      <c r="Q765" s="292" t="str">
        <f t="shared" si="107"/>
        <v/>
      </c>
    </row>
    <row r="766" spans="1:17" ht="15" customHeight="1" x14ac:dyDescent="0.2">
      <c r="A766" s="243" t="str">
        <f>IFERROR(INDEX(Txn[Key],MATCH(0,INDEX(COUNTIF($A$1:A765,Txn[Key])+(Txn[Key]=""),0),0)),"")</f>
        <v/>
      </c>
      <c r="B766" s="243" t="str">
        <f t="shared" si="99"/>
        <v/>
      </c>
      <c r="C766" s="243" t="str">
        <f t="shared" si="100"/>
        <v/>
      </c>
      <c r="D766" s="243" t="str">
        <f t="shared" si="101"/>
        <v/>
      </c>
      <c r="E766" s="265" t="str">
        <f>IF($A766="","",SUMIFS(Txn[Signed Units],Txn[Key],$A766))</f>
        <v/>
      </c>
      <c r="F766" s="287" t="str">
        <f>IF($A766="","",SUMIFS(Txn[Buy Cost],Txn[Key],$A766))</f>
        <v/>
      </c>
      <c r="G766" s="287" t="str">
        <f>IF($A766="","",SUMIFS(Txn[Sell Proceeds],Txn[Key],$A766))</f>
        <v/>
      </c>
      <c r="H766" s="288" t="str">
        <f>IF($A766="","",IFERROR(INDEX(Prices[Current Price],MATCH($A766,Prices[Key],0)),0))</f>
        <v/>
      </c>
      <c r="I766" s="289" t="str">
        <f>IF($A766="","",IFERROR(INDEX(Prices[FX to SGD],MATCH($A766,Prices[Key],0)),1))</f>
        <v/>
      </c>
      <c r="J766" s="287" t="str">
        <f t="shared" si="102"/>
        <v/>
      </c>
      <c r="K766" s="287" t="str">
        <f t="shared" si="103"/>
        <v/>
      </c>
      <c r="L766" s="287" t="str">
        <f t="shared" si="104"/>
        <v/>
      </c>
      <c r="M766" s="290" t="str">
        <f t="shared" si="105"/>
        <v/>
      </c>
      <c r="N766" s="243" t="str">
        <f>IF($A766="","",IF(ABS(E766)&gt;0.000001,COUNT($N$1:N765)+1,""))</f>
        <v/>
      </c>
      <c r="O766" s="291" t="str">
        <f>IF($A766="","",SUMIFS(Transactions!$H$2:$H$1001,Transactions!$J$2:$J$1001,$A766,Transactions!$A$2:$A$1001,2)*$I766)</f>
        <v/>
      </c>
      <c r="P766" s="291" t="str">
        <f t="shared" si="106"/>
        <v/>
      </c>
      <c r="Q766" s="292" t="str">
        <f t="shared" si="107"/>
        <v/>
      </c>
    </row>
    <row r="767" spans="1:17" ht="15" customHeight="1" x14ac:dyDescent="0.2">
      <c r="A767" s="243" t="str">
        <f>IFERROR(INDEX(Txn[Key],MATCH(0,INDEX(COUNTIF($A$1:A766,Txn[Key])+(Txn[Key]=""),0),0)),"")</f>
        <v/>
      </c>
      <c r="B767" s="243" t="str">
        <f t="shared" si="99"/>
        <v/>
      </c>
      <c r="C767" s="243" t="str">
        <f t="shared" si="100"/>
        <v/>
      </c>
      <c r="D767" s="243" t="str">
        <f t="shared" si="101"/>
        <v/>
      </c>
      <c r="E767" s="265" t="str">
        <f>IF($A767="","",SUMIFS(Txn[Signed Units],Txn[Key],$A767))</f>
        <v/>
      </c>
      <c r="F767" s="287" t="str">
        <f>IF($A767="","",SUMIFS(Txn[Buy Cost],Txn[Key],$A767))</f>
        <v/>
      </c>
      <c r="G767" s="287" t="str">
        <f>IF($A767="","",SUMIFS(Txn[Sell Proceeds],Txn[Key],$A767))</f>
        <v/>
      </c>
      <c r="H767" s="288" t="str">
        <f>IF($A767="","",IFERROR(INDEX(Prices[Current Price],MATCH($A767,Prices[Key],0)),0))</f>
        <v/>
      </c>
      <c r="I767" s="289" t="str">
        <f>IF($A767="","",IFERROR(INDEX(Prices[FX to SGD],MATCH($A767,Prices[Key],0)),1))</f>
        <v/>
      </c>
      <c r="J767" s="287" t="str">
        <f t="shared" si="102"/>
        <v/>
      </c>
      <c r="K767" s="287" t="str">
        <f t="shared" si="103"/>
        <v/>
      </c>
      <c r="L767" s="287" t="str">
        <f t="shared" si="104"/>
        <v/>
      </c>
      <c r="M767" s="290" t="str">
        <f t="shared" si="105"/>
        <v/>
      </c>
      <c r="N767" s="243" t="str">
        <f>IF($A767="","",IF(ABS(E767)&gt;0.000001,COUNT($N$1:N766)+1,""))</f>
        <v/>
      </c>
      <c r="O767" s="291" t="str">
        <f>IF($A767="","",SUMIFS(Transactions!$H$2:$H$1001,Transactions!$J$2:$J$1001,$A767,Transactions!$A$2:$A$1001,2)*$I767)</f>
        <v/>
      </c>
      <c r="P767" s="291" t="str">
        <f t="shared" si="106"/>
        <v/>
      </c>
      <c r="Q767" s="292" t="str">
        <f t="shared" si="107"/>
        <v/>
      </c>
    </row>
    <row r="768" spans="1:17" ht="15" customHeight="1" x14ac:dyDescent="0.2">
      <c r="A768" s="243" t="str">
        <f>IFERROR(INDEX(Txn[Key],MATCH(0,INDEX(COUNTIF($A$1:A767,Txn[Key])+(Txn[Key]=""),0),0)),"")</f>
        <v/>
      </c>
      <c r="B768" s="243" t="str">
        <f t="shared" si="99"/>
        <v/>
      </c>
      <c r="C768" s="243" t="str">
        <f t="shared" si="100"/>
        <v/>
      </c>
      <c r="D768" s="243" t="str">
        <f t="shared" si="101"/>
        <v/>
      </c>
      <c r="E768" s="265" t="str">
        <f>IF($A768="","",SUMIFS(Txn[Signed Units],Txn[Key],$A768))</f>
        <v/>
      </c>
      <c r="F768" s="287" t="str">
        <f>IF($A768="","",SUMIFS(Txn[Buy Cost],Txn[Key],$A768))</f>
        <v/>
      </c>
      <c r="G768" s="287" t="str">
        <f>IF($A768="","",SUMIFS(Txn[Sell Proceeds],Txn[Key],$A768))</f>
        <v/>
      </c>
      <c r="H768" s="288" t="str">
        <f>IF($A768="","",IFERROR(INDEX(Prices[Current Price],MATCH($A768,Prices[Key],0)),0))</f>
        <v/>
      </c>
      <c r="I768" s="289" t="str">
        <f>IF($A768="","",IFERROR(INDEX(Prices[FX to SGD],MATCH($A768,Prices[Key],0)),1))</f>
        <v/>
      </c>
      <c r="J768" s="287" t="str">
        <f t="shared" si="102"/>
        <v/>
      </c>
      <c r="K768" s="287" t="str">
        <f t="shared" si="103"/>
        <v/>
      </c>
      <c r="L768" s="287" t="str">
        <f t="shared" si="104"/>
        <v/>
      </c>
      <c r="M768" s="290" t="str">
        <f t="shared" si="105"/>
        <v/>
      </c>
      <c r="N768" s="243" t="str">
        <f>IF($A768="","",IF(ABS(E768)&gt;0.000001,COUNT($N$1:N767)+1,""))</f>
        <v/>
      </c>
      <c r="O768" s="291" t="str">
        <f>IF($A768="","",SUMIFS(Transactions!$H$2:$H$1001,Transactions!$J$2:$J$1001,$A768,Transactions!$A$2:$A$1001,2)*$I768)</f>
        <v/>
      </c>
      <c r="P768" s="291" t="str">
        <f t="shared" si="106"/>
        <v/>
      </c>
      <c r="Q768" s="292" t="str">
        <f t="shared" si="107"/>
        <v/>
      </c>
    </row>
    <row r="769" spans="1:17" ht="15" customHeight="1" x14ac:dyDescent="0.2">
      <c r="A769" s="243" t="str">
        <f>IFERROR(INDEX(Txn[Key],MATCH(0,INDEX(COUNTIF($A$1:A768,Txn[Key])+(Txn[Key]=""),0),0)),"")</f>
        <v/>
      </c>
      <c r="B769" s="243" t="str">
        <f t="shared" si="99"/>
        <v/>
      </c>
      <c r="C769" s="243" t="str">
        <f t="shared" si="100"/>
        <v/>
      </c>
      <c r="D769" s="243" t="str">
        <f t="shared" si="101"/>
        <v/>
      </c>
      <c r="E769" s="265" t="str">
        <f>IF($A769="","",SUMIFS(Txn[Signed Units],Txn[Key],$A769))</f>
        <v/>
      </c>
      <c r="F769" s="287" t="str">
        <f>IF($A769="","",SUMIFS(Txn[Buy Cost],Txn[Key],$A769))</f>
        <v/>
      </c>
      <c r="G769" s="287" t="str">
        <f>IF($A769="","",SUMIFS(Txn[Sell Proceeds],Txn[Key],$A769))</f>
        <v/>
      </c>
      <c r="H769" s="288" t="str">
        <f>IF($A769="","",IFERROR(INDEX(Prices[Current Price],MATCH($A769,Prices[Key],0)),0))</f>
        <v/>
      </c>
      <c r="I769" s="289" t="str">
        <f>IF($A769="","",IFERROR(INDEX(Prices[FX to SGD],MATCH($A769,Prices[Key],0)),1))</f>
        <v/>
      </c>
      <c r="J769" s="287" t="str">
        <f t="shared" si="102"/>
        <v/>
      </c>
      <c r="K769" s="287" t="str">
        <f t="shared" si="103"/>
        <v/>
      </c>
      <c r="L769" s="287" t="str">
        <f t="shared" si="104"/>
        <v/>
      </c>
      <c r="M769" s="290" t="str">
        <f t="shared" si="105"/>
        <v/>
      </c>
      <c r="N769" s="243" t="str">
        <f>IF($A769="","",IF(ABS(E769)&gt;0.000001,COUNT($N$1:N768)+1,""))</f>
        <v/>
      </c>
      <c r="O769" s="291" t="str">
        <f>IF($A769="","",SUMIFS(Transactions!$H$2:$H$1001,Transactions!$J$2:$J$1001,$A769,Transactions!$A$2:$A$1001,2)*$I769)</f>
        <v/>
      </c>
      <c r="P769" s="291" t="str">
        <f t="shared" si="106"/>
        <v/>
      </c>
      <c r="Q769" s="292" t="str">
        <f t="shared" si="107"/>
        <v/>
      </c>
    </row>
    <row r="770" spans="1:17" ht="15" customHeight="1" x14ac:dyDescent="0.2">
      <c r="A770" s="243" t="str">
        <f>IFERROR(INDEX(Txn[Key],MATCH(0,INDEX(COUNTIF($A$1:A769,Txn[Key])+(Txn[Key]=""),0),0)),"")</f>
        <v/>
      </c>
      <c r="B770" s="243" t="str">
        <f t="shared" ref="B770:B833" si="108">IF($A770="","",LEFT($A770,FIND(":",$A770)-1))</f>
        <v/>
      </c>
      <c r="C770" s="243" t="str">
        <f t="shared" ref="C770:C833" si="109">IF($A770="","",MID($A770,FIND(":",$A770)+1,FIND(":",$A770,FIND(":",$A770)+1)-FIND(":",$A770)-1))</f>
        <v/>
      </c>
      <c r="D770" s="243" t="str">
        <f t="shared" ref="D770:D833" si="110">IF($A770="","",RIGHT($A770,LEN($A770)-FIND(":",$A770,FIND(":",$A770)+1)))</f>
        <v/>
      </c>
      <c r="E770" s="265" t="str">
        <f>IF($A770="","",SUMIFS(Txn[Signed Units],Txn[Key],$A770))</f>
        <v/>
      </c>
      <c r="F770" s="287" t="str">
        <f>IF($A770="","",SUMIFS(Txn[Buy Cost],Txn[Key],$A770))</f>
        <v/>
      </c>
      <c r="G770" s="287" t="str">
        <f>IF($A770="","",SUMIFS(Txn[Sell Proceeds],Txn[Key],$A770))</f>
        <v/>
      </c>
      <c r="H770" s="288" t="str">
        <f>IF($A770="","",IFERROR(INDEX(Prices[Current Price],MATCH($A770,Prices[Key],0)),0))</f>
        <v/>
      </c>
      <c r="I770" s="289" t="str">
        <f>IF($A770="","",IFERROR(INDEX(Prices[FX to SGD],MATCH($A770,Prices[Key],0)),1))</f>
        <v/>
      </c>
      <c r="J770" s="287" t="str">
        <f t="shared" ref="J770:J833" si="111">IF($A770="","",E770*H770)</f>
        <v/>
      </c>
      <c r="K770" s="287" t="str">
        <f t="shared" ref="K770:K833" si="112">IF($A770="","",J770+G770-F770)</f>
        <v/>
      </c>
      <c r="L770" s="287" t="str">
        <f t="shared" ref="L770:L833" si="113">IF($A770="","",K770*I770)</f>
        <v/>
      </c>
      <c r="M770" s="290" t="str">
        <f t="shared" ref="M770:M833" si="114">IF($A770="","",IFERROR(K770/F770,0))</f>
        <v/>
      </c>
      <c r="N770" s="243" t="str">
        <f>IF($A770="","",IF(ABS(E770)&gt;0.000001,COUNT($N$1:N769)+1,""))</f>
        <v/>
      </c>
      <c r="O770" s="291" t="str">
        <f>IF($A770="","",SUMIFS(Transactions!$H$2:$H$1001,Transactions!$J$2:$J$1001,$A770,Transactions!$A$2:$A$1001,2)*$I770)</f>
        <v/>
      </c>
      <c r="P770" s="291" t="str">
        <f t="shared" ref="P770:P833" si="115">IF($A770="","",$L770+$O770)</f>
        <v/>
      </c>
      <c r="Q770" s="292" t="str">
        <f t="shared" ref="Q770:Q833" si="116">IF($A770="","",IFERROR(($L770+$O770)/($F770*$I770),0))</f>
        <v/>
      </c>
    </row>
    <row r="771" spans="1:17" ht="15" customHeight="1" x14ac:dyDescent="0.2">
      <c r="A771" s="243" t="str">
        <f>IFERROR(INDEX(Txn[Key],MATCH(0,INDEX(COUNTIF($A$1:A770,Txn[Key])+(Txn[Key]=""),0),0)),"")</f>
        <v/>
      </c>
      <c r="B771" s="243" t="str">
        <f t="shared" si="108"/>
        <v/>
      </c>
      <c r="C771" s="243" t="str">
        <f t="shared" si="109"/>
        <v/>
      </c>
      <c r="D771" s="243" t="str">
        <f t="shared" si="110"/>
        <v/>
      </c>
      <c r="E771" s="265" t="str">
        <f>IF($A771="","",SUMIFS(Txn[Signed Units],Txn[Key],$A771))</f>
        <v/>
      </c>
      <c r="F771" s="287" t="str">
        <f>IF($A771="","",SUMIFS(Txn[Buy Cost],Txn[Key],$A771))</f>
        <v/>
      </c>
      <c r="G771" s="287" t="str">
        <f>IF($A771="","",SUMIFS(Txn[Sell Proceeds],Txn[Key],$A771))</f>
        <v/>
      </c>
      <c r="H771" s="288" t="str">
        <f>IF($A771="","",IFERROR(INDEX(Prices[Current Price],MATCH($A771,Prices[Key],0)),0))</f>
        <v/>
      </c>
      <c r="I771" s="289" t="str">
        <f>IF($A771="","",IFERROR(INDEX(Prices[FX to SGD],MATCH($A771,Prices[Key],0)),1))</f>
        <v/>
      </c>
      <c r="J771" s="287" t="str">
        <f t="shared" si="111"/>
        <v/>
      </c>
      <c r="K771" s="287" t="str">
        <f t="shared" si="112"/>
        <v/>
      </c>
      <c r="L771" s="287" t="str">
        <f t="shared" si="113"/>
        <v/>
      </c>
      <c r="M771" s="290" t="str">
        <f t="shared" si="114"/>
        <v/>
      </c>
      <c r="N771" s="243" t="str">
        <f>IF($A771="","",IF(ABS(E771)&gt;0.000001,COUNT($N$1:N770)+1,""))</f>
        <v/>
      </c>
      <c r="O771" s="291" t="str">
        <f>IF($A771="","",SUMIFS(Transactions!$H$2:$H$1001,Transactions!$J$2:$J$1001,$A771,Transactions!$A$2:$A$1001,2)*$I771)</f>
        <v/>
      </c>
      <c r="P771" s="291" t="str">
        <f t="shared" si="115"/>
        <v/>
      </c>
      <c r="Q771" s="292" t="str">
        <f t="shared" si="116"/>
        <v/>
      </c>
    </row>
    <row r="772" spans="1:17" ht="15" customHeight="1" x14ac:dyDescent="0.2">
      <c r="A772" s="243" t="str">
        <f>IFERROR(INDEX(Txn[Key],MATCH(0,INDEX(COUNTIF($A$1:A771,Txn[Key])+(Txn[Key]=""),0),0)),"")</f>
        <v/>
      </c>
      <c r="B772" s="243" t="str">
        <f t="shared" si="108"/>
        <v/>
      </c>
      <c r="C772" s="243" t="str">
        <f t="shared" si="109"/>
        <v/>
      </c>
      <c r="D772" s="243" t="str">
        <f t="shared" si="110"/>
        <v/>
      </c>
      <c r="E772" s="265" t="str">
        <f>IF($A772="","",SUMIFS(Txn[Signed Units],Txn[Key],$A772))</f>
        <v/>
      </c>
      <c r="F772" s="287" t="str">
        <f>IF($A772="","",SUMIFS(Txn[Buy Cost],Txn[Key],$A772))</f>
        <v/>
      </c>
      <c r="G772" s="287" t="str">
        <f>IF($A772="","",SUMIFS(Txn[Sell Proceeds],Txn[Key],$A772))</f>
        <v/>
      </c>
      <c r="H772" s="288" t="str">
        <f>IF($A772="","",IFERROR(INDEX(Prices[Current Price],MATCH($A772,Prices[Key],0)),0))</f>
        <v/>
      </c>
      <c r="I772" s="289" t="str">
        <f>IF($A772="","",IFERROR(INDEX(Prices[FX to SGD],MATCH($A772,Prices[Key],0)),1))</f>
        <v/>
      </c>
      <c r="J772" s="287" t="str">
        <f t="shared" si="111"/>
        <v/>
      </c>
      <c r="K772" s="287" t="str">
        <f t="shared" si="112"/>
        <v/>
      </c>
      <c r="L772" s="287" t="str">
        <f t="shared" si="113"/>
        <v/>
      </c>
      <c r="M772" s="290" t="str">
        <f t="shared" si="114"/>
        <v/>
      </c>
      <c r="N772" s="243" t="str">
        <f>IF($A772="","",IF(ABS(E772)&gt;0.000001,COUNT($N$1:N771)+1,""))</f>
        <v/>
      </c>
      <c r="O772" s="291" t="str">
        <f>IF($A772="","",SUMIFS(Transactions!$H$2:$H$1001,Transactions!$J$2:$J$1001,$A772,Transactions!$A$2:$A$1001,2)*$I772)</f>
        <v/>
      </c>
      <c r="P772" s="291" t="str">
        <f t="shared" si="115"/>
        <v/>
      </c>
      <c r="Q772" s="292" t="str">
        <f t="shared" si="116"/>
        <v/>
      </c>
    </row>
    <row r="773" spans="1:17" ht="15" customHeight="1" x14ac:dyDescent="0.2">
      <c r="A773" s="243" t="str">
        <f>IFERROR(INDEX(Txn[Key],MATCH(0,INDEX(COUNTIF($A$1:A772,Txn[Key])+(Txn[Key]=""),0),0)),"")</f>
        <v/>
      </c>
      <c r="B773" s="243" t="str">
        <f t="shared" si="108"/>
        <v/>
      </c>
      <c r="C773" s="243" t="str">
        <f t="shared" si="109"/>
        <v/>
      </c>
      <c r="D773" s="243" t="str">
        <f t="shared" si="110"/>
        <v/>
      </c>
      <c r="E773" s="265" t="str">
        <f>IF($A773="","",SUMIFS(Txn[Signed Units],Txn[Key],$A773))</f>
        <v/>
      </c>
      <c r="F773" s="287" t="str">
        <f>IF($A773="","",SUMIFS(Txn[Buy Cost],Txn[Key],$A773))</f>
        <v/>
      </c>
      <c r="G773" s="287" t="str">
        <f>IF($A773="","",SUMIFS(Txn[Sell Proceeds],Txn[Key],$A773))</f>
        <v/>
      </c>
      <c r="H773" s="288" t="str">
        <f>IF($A773="","",IFERROR(INDEX(Prices[Current Price],MATCH($A773,Prices[Key],0)),0))</f>
        <v/>
      </c>
      <c r="I773" s="289" t="str">
        <f>IF($A773="","",IFERROR(INDEX(Prices[FX to SGD],MATCH($A773,Prices[Key],0)),1))</f>
        <v/>
      </c>
      <c r="J773" s="287" t="str">
        <f t="shared" si="111"/>
        <v/>
      </c>
      <c r="K773" s="287" t="str">
        <f t="shared" si="112"/>
        <v/>
      </c>
      <c r="L773" s="287" t="str">
        <f t="shared" si="113"/>
        <v/>
      </c>
      <c r="M773" s="290" t="str">
        <f t="shared" si="114"/>
        <v/>
      </c>
      <c r="N773" s="243" t="str">
        <f>IF($A773="","",IF(ABS(E773)&gt;0.000001,COUNT($N$1:N772)+1,""))</f>
        <v/>
      </c>
      <c r="O773" s="291" t="str">
        <f>IF($A773="","",SUMIFS(Transactions!$H$2:$H$1001,Transactions!$J$2:$J$1001,$A773,Transactions!$A$2:$A$1001,2)*$I773)</f>
        <v/>
      </c>
      <c r="P773" s="291" t="str">
        <f t="shared" si="115"/>
        <v/>
      </c>
      <c r="Q773" s="292" t="str">
        <f t="shared" si="116"/>
        <v/>
      </c>
    </row>
    <row r="774" spans="1:17" ht="15" customHeight="1" x14ac:dyDescent="0.2">
      <c r="A774" s="243" t="str">
        <f>IFERROR(INDEX(Txn[Key],MATCH(0,INDEX(COUNTIF($A$1:A773,Txn[Key])+(Txn[Key]=""),0),0)),"")</f>
        <v/>
      </c>
      <c r="B774" s="243" t="str">
        <f t="shared" si="108"/>
        <v/>
      </c>
      <c r="C774" s="243" t="str">
        <f t="shared" si="109"/>
        <v/>
      </c>
      <c r="D774" s="243" t="str">
        <f t="shared" si="110"/>
        <v/>
      </c>
      <c r="E774" s="265" t="str">
        <f>IF($A774="","",SUMIFS(Txn[Signed Units],Txn[Key],$A774))</f>
        <v/>
      </c>
      <c r="F774" s="287" t="str">
        <f>IF($A774="","",SUMIFS(Txn[Buy Cost],Txn[Key],$A774))</f>
        <v/>
      </c>
      <c r="G774" s="287" t="str">
        <f>IF($A774="","",SUMIFS(Txn[Sell Proceeds],Txn[Key],$A774))</f>
        <v/>
      </c>
      <c r="H774" s="288" t="str">
        <f>IF($A774="","",IFERROR(INDEX(Prices[Current Price],MATCH($A774,Prices[Key],0)),0))</f>
        <v/>
      </c>
      <c r="I774" s="289" t="str">
        <f>IF($A774="","",IFERROR(INDEX(Prices[FX to SGD],MATCH($A774,Prices[Key],0)),1))</f>
        <v/>
      </c>
      <c r="J774" s="287" t="str">
        <f t="shared" si="111"/>
        <v/>
      </c>
      <c r="K774" s="287" t="str">
        <f t="shared" si="112"/>
        <v/>
      </c>
      <c r="L774" s="287" t="str">
        <f t="shared" si="113"/>
        <v/>
      </c>
      <c r="M774" s="290" t="str">
        <f t="shared" si="114"/>
        <v/>
      </c>
      <c r="N774" s="243" t="str">
        <f>IF($A774="","",IF(ABS(E774)&gt;0.000001,COUNT($N$1:N773)+1,""))</f>
        <v/>
      </c>
      <c r="O774" s="291" t="str">
        <f>IF($A774="","",SUMIFS(Transactions!$H$2:$H$1001,Transactions!$J$2:$J$1001,$A774,Transactions!$A$2:$A$1001,2)*$I774)</f>
        <v/>
      </c>
      <c r="P774" s="291" t="str">
        <f t="shared" si="115"/>
        <v/>
      </c>
      <c r="Q774" s="292" t="str">
        <f t="shared" si="116"/>
        <v/>
      </c>
    </row>
    <row r="775" spans="1:17" ht="15" customHeight="1" x14ac:dyDescent="0.2">
      <c r="A775" s="243" t="str">
        <f>IFERROR(INDEX(Txn[Key],MATCH(0,INDEX(COUNTIF($A$1:A774,Txn[Key])+(Txn[Key]=""),0),0)),"")</f>
        <v/>
      </c>
      <c r="B775" s="243" t="str">
        <f t="shared" si="108"/>
        <v/>
      </c>
      <c r="C775" s="243" t="str">
        <f t="shared" si="109"/>
        <v/>
      </c>
      <c r="D775" s="243" t="str">
        <f t="shared" si="110"/>
        <v/>
      </c>
      <c r="E775" s="265" t="str">
        <f>IF($A775="","",SUMIFS(Txn[Signed Units],Txn[Key],$A775))</f>
        <v/>
      </c>
      <c r="F775" s="287" t="str">
        <f>IF($A775="","",SUMIFS(Txn[Buy Cost],Txn[Key],$A775))</f>
        <v/>
      </c>
      <c r="G775" s="287" t="str">
        <f>IF($A775="","",SUMIFS(Txn[Sell Proceeds],Txn[Key],$A775))</f>
        <v/>
      </c>
      <c r="H775" s="288" t="str">
        <f>IF($A775="","",IFERROR(INDEX(Prices[Current Price],MATCH($A775,Prices[Key],0)),0))</f>
        <v/>
      </c>
      <c r="I775" s="289" t="str">
        <f>IF($A775="","",IFERROR(INDEX(Prices[FX to SGD],MATCH($A775,Prices[Key],0)),1))</f>
        <v/>
      </c>
      <c r="J775" s="287" t="str">
        <f t="shared" si="111"/>
        <v/>
      </c>
      <c r="K775" s="287" t="str">
        <f t="shared" si="112"/>
        <v/>
      </c>
      <c r="L775" s="287" t="str">
        <f t="shared" si="113"/>
        <v/>
      </c>
      <c r="M775" s="290" t="str">
        <f t="shared" si="114"/>
        <v/>
      </c>
      <c r="N775" s="243" t="str">
        <f>IF($A775="","",IF(ABS(E775)&gt;0.000001,COUNT($N$1:N774)+1,""))</f>
        <v/>
      </c>
      <c r="O775" s="291" t="str">
        <f>IF($A775="","",SUMIFS(Transactions!$H$2:$H$1001,Transactions!$J$2:$J$1001,$A775,Transactions!$A$2:$A$1001,2)*$I775)</f>
        <v/>
      </c>
      <c r="P775" s="291" t="str">
        <f t="shared" si="115"/>
        <v/>
      </c>
      <c r="Q775" s="292" t="str">
        <f t="shared" si="116"/>
        <v/>
      </c>
    </row>
    <row r="776" spans="1:17" ht="15" customHeight="1" x14ac:dyDescent="0.2">
      <c r="A776" s="243" t="str">
        <f>IFERROR(INDEX(Txn[Key],MATCH(0,INDEX(COUNTIF($A$1:A775,Txn[Key])+(Txn[Key]=""),0),0)),"")</f>
        <v/>
      </c>
      <c r="B776" s="243" t="str">
        <f t="shared" si="108"/>
        <v/>
      </c>
      <c r="C776" s="243" t="str">
        <f t="shared" si="109"/>
        <v/>
      </c>
      <c r="D776" s="243" t="str">
        <f t="shared" si="110"/>
        <v/>
      </c>
      <c r="E776" s="265" t="str">
        <f>IF($A776="","",SUMIFS(Txn[Signed Units],Txn[Key],$A776))</f>
        <v/>
      </c>
      <c r="F776" s="287" t="str">
        <f>IF($A776="","",SUMIFS(Txn[Buy Cost],Txn[Key],$A776))</f>
        <v/>
      </c>
      <c r="G776" s="287" t="str">
        <f>IF($A776="","",SUMIFS(Txn[Sell Proceeds],Txn[Key],$A776))</f>
        <v/>
      </c>
      <c r="H776" s="288" t="str">
        <f>IF($A776="","",IFERROR(INDEX(Prices[Current Price],MATCH($A776,Prices[Key],0)),0))</f>
        <v/>
      </c>
      <c r="I776" s="289" t="str">
        <f>IF($A776="","",IFERROR(INDEX(Prices[FX to SGD],MATCH($A776,Prices[Key],0)),1))</f>
        <v/>
      </c>
      <c r="J776" s="287" t="str">
        <f t="shared" si="111"/>
        <v/>
      </c>
      <c r="K776" s="287" t="str">
        <f t="shared" si="112"/>
        <v/>
      </c>
      <c r="L776" s="287" t="str">
        <f t="shared" si="113"/>
        <v/>
      </c>
      <c r="M776" s="290" t="str">
        <f t="shared" si="114"/>
        <v/>
      </c>
      <c r="N776" s="243" t="str">
        <f>IF($A776="","",IF(ABS(E776)&gt;0.000001,COUNT($N$1:N775)+1,""))</f>
        <v/>
      </c>
      <c r="O776" s="291" t="str">
        <f>IF($A776="","",SUMIFS(Transactions!$H$2:$H$1001,Transactions!$J$2:$J$1001,$A776,Transactions!$A$2:$A$1001,2)*$I776)</f>
        <v/>
      </c>
      <c r="P776" s="291" t="str">
        <f t="shared" si="115"/>
        <v/>
      </c>
      <c r="Q776" s="292" t="str">
        <f t="shared" si="116"/>
        <v/>
      </c>
    </row>
    <row r="777" spans="1:17" ht="15" customHeight="1" x14ac:dyDescent="0.2">
      <c r="A777" s="243" t="str">
        <f>IFERROR(INDEX(Txn[Key],MATCH(0,INDEX(COUNTIF($A$1:A776,Txn[Key])+(Txn[Key]=""),0),0)),"")</f>
        <v/>
      </c>
      <c r="B777" s="243" t="str">
        <f t="shared" si="108"/>
        <v/>
      </c>
      <c r="C777" s="243" t="str">
        <f t="shared" si="109"/>
        <v/>
      </c>
      <c r="D777" s="243" t="str">
        <f t="shared" si="110"/>
        <v/>
      </c>
      <c r="E777" s="265" t="str">
        <f>IF($A777="","",SUMIFS(Txn[Signed Units],Txn[Key],$A777))</f>
        <v/>
      </c>
      <c r="F777" s="287" t="str">
        <f>IF($A777="","",SUMIFS(Txn[Buy Cost],Txn[Key],$A777))</f>
        <v/>
      </c>
      <c r="G777" s="287" t="str">
        <f>IF($A777="","",SUMIFS(Txn[Sell Proceeds],Txn[Key],$A777))</f>
        <v/>
      </c>
      <c r="H777" s="288" t="str">
        <f>IF($A777="","",IFERROR(INDEX(Prices[Current Price],MATCH($A777,Prices[Key],0)),0))</f>
        <v/>
      </c>
      <c r="I777" s="289" t="str">
        <f>IF($A777="","",IFERROR(INDEX(Prices[FX to SGD],MATCH($A777,Prices[Key],0)),1))</f>
        <v/>
      </c>
      <c r="J777" s="287" t="str">
        <f t="shared" si="111"/>
        <v/>
      </c>
      <c r="K777" s="287" t="str">
        <f t="shared" si="112"/>
        <v/>
      </c>
      <c r="L777" s="287" t="str">
        <f t="shared" si="113"/>
        <v/>
      </c>
      <c r="M777" s="290" t="str">
        <f t="shared" si="114"/>
        <v/>
      </c>
      <c r="N777" s="243" t="str">
        <f>IF($A777="","",IF(ABS(E777)&gt;0.000001,COUNT($N$1:N776)+1,""))</f>
        <v/>
      </c>
      <c r="O777" s="291" t="str">
        <f>IF($A777="","",SUMIFS(Transactions!$H$2:$H$1001,Transactions!$J$2:$J$1001,$A777,Transactions!$A$2:$A$1001,2)*$I777)</f>
        <v/>
      </c>
      <c r="P777" s="291" t="str">
        <f t="shared" si="115"/>
        <v/>
      </c>
      <c r="Q777" s="292" t="str">
        <f t="shared" si="116"/>
        <v/>
      </c>
    </row>
    <row r="778" spans="1:17" ht="15" customHeight="1" x14ac:dyDescent="0.2">
      <c r="A778" s="243" t="str">
        <f>IFERROR(INDEX(Txn[Key],MATCH(0,INDEX(COUNTIF($A$1:A777,Txn[Key])+(Txn[Key]=""),0),0)),"")</f>
        <v/>
      </c>
      <c r="B778" s="243" t="str">
        <f t="shared" si="108"/>
        <v/>
      </c>
      <c r="C778" s="243" t="str">
        <f t="shared" si="109"/>
        <v/>
      </c>
      <c r="D778" s="243" t="str">
        <f t="shared" si="110"/>
        <v/>
      </c>
      <c r="E778" s="265" t="str">
        <f>IF($A778="","",SUMIFS(Txn[Signed Units],Txn[Key],$A778))</f>
        <v/>
      </c>
      <c r="F778" s="287" t="str">
        <f>IF($A778="","",SUMIFS(Txn[Buy Cost],Txn[Key],$A778))</f>
        <v/>
      </c>
      <c r="G778" s="287" t="str">
        <f>IF($A778="","",SUMIFS(Txn[Sell Proceeds],Txn[Key],$A778))</f>
        <v/>
      </c>
      <c r="H778" s="288" t="str">
        <f>IF($A778="","",IFERROR(INDEX(Prices[Current Price],MATCH($A778,Prices[Key],0)),0))</f>
        <v/>
      </c>
      <c r="I778" s="289" t="str">
        <f>IF($A778="","",IFERROR(INDEX(Prices[FX to SGD],MATCH($A778,Prices[Key],0)),1))</f>
        <v/>
      </c>
      <c r="J778" s="287" t="str">
        <f t="shared" si="111"/>
        <v/>
      </c>
      <c r="K778" s="287" t="str">
        <f t="shared" si="112"/>
        <v/>
      </c>
      <c r="L778" s="287" t="str">
        <f t="shared" si="113"/>
        <v/>
      </c>
      <c r="M778" s="290" t="str">
        <f t="shared" si="114"/>
        <v/>
      </c>
      <c r="N778" s="243" t="str">
        <f>IF($A778="","",IF(ABS(E778)&gt;0.000001,COUNT($N$1:N777)+1,""))</f>
        <v/>
      </c>
      <c r="O778" s="291" t="str">
        <f>IF($A778="","",SUMIFS(Transactions!$H$2:$H$1001,Transactions!$J$2:$J$1001,$A778,Transactions!$A$2:$A$1001,2)*$I778)</f>
        <v/>
      </c>
      <c r="P778" s="291" t="str">
        <f t="shared" si="115"/>
        <v/>
      </c>
      <c r="Q778" s="292" t="str">
        <f t="shared" si="116"/>
        <v/>
      </c>
    </row>
    <row r="779" spans="1:17" ht="15" customHeight="1" x14ac:dyDescent="0.2">
      <c r="A779" s="243" t="str">
        <f>IFERROR(INDEX(Txn[Key],MATCH(0,INDEX(COUNTIF($A$1:A778,Txn[Key])+(Txn[Key]=""),0),0)),"")</f>
        <v/>
      </c>
      <c r="B779" s="243" t="str">
        <f t="shared" si="108"/>
        <v/>
      </c>
      <c r="C779" s="243" t="str">
        <f t="shared" si="109"/>
        <v/>
      </c>
      <c r="D779" s="243" t="str">
        <f t="shared" si="110"/>
        <v/>
      </c>
      <c r="E779" s="265" t="str">
        <f>IF($A779="","",SUMIFS(Txn[Signed Units],Txn[Key],$A779))</f>
        <v/>
      </c>
      <c r="F779" s="287" t="str">
        <f>IF($A779="","",SUMIFS(Txn[Buy Cost],Txn[Key],$A779))</f>
        <v/>
      </c>
      <c r="G779" s="287" t="str">
        <f>IF($A779="","",SUMIFS(Txn[Sell Proceeds],Txn[Key],$A779))</f>
        <v/>
      </c>
      <c r="H779" s="288" t="str">
        <f>IF($A779="","",IFERROR(INDEX(Prices[Current Price],MATCH($A779,Prices[Key],0)),0))</f>
        <v/>
      </c>
      <c r="I779" s="289" t="str">
        <f>IF($A779="","",IFERROR(INDEX(Prices[FX to SGD],MATCH($A779,Prices[Key],0)),1))</f>
        <v/>
      </c>
      <c r="J779" s="287" t="str">
        <f t="shared" si="111"/>
        <v/>
      </c>
      <c r="K779" s="287" t="str">
        <f t="shared" si="112"/>
        <v/>
      </c>
      <c r="L779" s="287" t="str">
        <f t="shared" si="113"/>
        <v/>
      </c>
      <c r="M779" s="290" t="str">
        <f t="shared" si="114"/>
        <v/>
      </c>
      <c r="N779" s="243" t="str">
        <f>IF($A779="","",IF(ABS(E779)&gt;0.000001,COUNT($N$1:N778)+1,""))</f>
        <v/>
      </c>
      <c r="O779" s="291" t="str">
        <f>IF($A779="","",SUMIFS(Transactions!$H$2:$H$1001,Transactions!$J$2:$J$1001,$A779,Transactions!$A$2:$A$1001,2)*$I779)</f>
        <v/>
      </c>
      <c r="P779" s="291" t="str">
        <f t="shared" si="115"/>
        <v/>
      </c>
      <c r="Q779" s="292" t="str">
        <f t="shared" si="116"/>
        <v/>
      </c>
    </row>
    <row r="780" spans="1:17" ht="15" customHeight="1" x14ac:dyDescent="0.2">
      <c r="A780" s="243" t="str">
        <f>IFERROR(INDEX(Txn[Key],MATCH(0,INDEX(COUNTIF($A$1:A779,Txn[Key])+(Txn[Key]=""),0),0)),"")</f>
        <v/>
      </c>
      <c r="B780" s="243" t="str">
        <f t="shared" si="108"/>
        <v/>
      </c>
      <c r="C780" s="243" t="str">
        <f t="shared" si="109"/>
        <v/>
      </c>
      <c r="D780" s="243" t="str">
        <f t="shared" si="110"/>
        <v/>
      </c>
      <c r="E780" s="265" t="str">
        <f>IF($A780="","",SUMIFS(Txn[Signed Units],Txn[Key],$A780))</f>
        <v/>
      </c>
      <c r="F780" s="287" t="str">
        <f>IF($A780="","",SUMIFS(Txn[Buy Cost],Txn[Key],$A780))</f>
        <v/>
      </c>
      <c r="G780" s="287" t="str">
        <f>IF($A780="","",SUMIFS(Txn[Sell Proceeds],Txn[Key],$A780))</f>
        <v/>
      </c>
      <c r="H780" s="288" t="str">
        <f>IF($A780="","",IFERROR(INDEX(Prices[Current Price],MATCH($A780,Prices[Key],0)),0))</f>
        <v/>
      </c>
      <c r="I780" s="289" t="str">
        <f>IF($A780="","",IFERROR(INDEX(Prices[FX to SGD],MATCH($A780,Prices[Key],0)),1))</f>
        <v/>
      </c>
      <c r="J780" s="287" t="str">
        <f t="shared" si="111"/>
        <v/>
      </c>
      <c r="K780" s="287" t="str">
        <f t="shared" si="112"/>
        <v/>
      </c>
      <c r="L780" s="287" t="str">
        <f t="shared" si="113"/>
        <v/>
      </c>
      <c r="M780" s="290" t="str">
        <f t="shared" si="114"/>
        <v/>
      </c>
      <c r="N780" s="243" t="str">
        <f>IF($A780="","",IF(ABS(E780)&gt;0.000001,COUNT($N$1:N779)+1,""))</f>
        <v/>
      </c>
      <c r="O780" s="291" t="str">
        <f>IF($A780="","",SUMIFS(Transactions!$H$2:$H$1001,Transactions!$J$2:$J$1001,$A780,Transactions!$A$2:$A$1001,2)*$I780)</f>
        <v/>
      </c>
      <c r="P780" s="291" t="str">
        <f t="shared" si="115"/>
        <v/>
      </c>
      <c r="Q780" s="292" t="str">
        <f t="shared" si="116"/>
        <v/>
      </c>
    </row>
    <row r="781" spans="1:17" ht="15" customHeight="1" x14ac:dyDescent="0.2">
      <c r="A781" s="243" t="str">
        <f>IFERROR(INDEX(Txn[Key],MATCH(0,INDEX(COUNTIF($A$1:A780,Txn[Key])+(Txn[Key]=""),0),0)),"")</f>
        <v/>
      </c>
      <c r="B781" s="243" t="str">
        <f t="shared" si="108"/>
        <v/>
      </c>
      <c r="C781" s="243" t="str">
        <f t="shared" si="109"/>
        <v/>
      </c>
      <c r="D781" s="243" t="str">
        <f t="shared" si="110"/>
        <v/>
      </c>
      <c r="E781" s="265" t="str">
        <f>IF($A781="","",SUMIFS(Txn[Signed Units],Txn[Key],$A781))</f>
        <v/>
      </c>
      <c r="F781" s="287" t="str">
        <f>IF($A781="","",SUMIFS(Txn[Buy Cost],Txn[Key],$A781))</f>
        <v/>
      </c>
      <c r="G781" s="287" t="str">
        <f>IF($A781="","",SUMIFS(Txn[Sell Proceeds],Txn[Key],$A781))</f>
        <v/>
      </c>
      <c r="H781" s="288" t="str">
        <f>IF($A781="","",IFERROR(INDEX(Prices[Current Price],MATCH($A781,Prices[Key],0)),0))</f>
        <v/>
      </c>
      <c r="I781" s="289" t="str">
        <f>IF($A781="","",IFERROR(INDEX(Prices[FX to SGD],MATCH($A781,Prices[Key],0)),1))</f>
        <v/>
      </c>
      <c r="J781" s="287" t="str">
        <f t="shared" si="111"/>
        <v/>
      </c>
      <c r="K781" s="287" t="str">
        <f t="shared" si="112"/>
        <v/>
      </c>
      <c r="L781" s="287" t="str">
        <f t="shared" si="113"/>
        <v/>
      </c>
      <c r="M781" s="290" t="str">
        <f t="shared" si="114"/>
        <v/>
      </c>
      <c r="N781" s="243" t="str">
        <f>IF($A781="","",IF(ABS(E781)&gt;0.000001,COUNT($N$1:N780)+1,""))</f>
        <v/>
      </c>
      <c r="O781" s="291" t="str">
        <f>IF($A781="","",SUMIFS(Transactions!$H$2:$H$1001,Transactions!$J$2:$J$1001,$A781,Transactions!$A$2:$A$1001,2)*$I781)</f>
        <v/>
      </c>
      <c r="P781" s="291" t="str">
        <f t="shared" si="115"/>
        <v/>
      </c>
      <c r="Q781" s="292" t="str">
        <f t="shared" si="116"/>
        <v/>
      </c>
    </row>
    <row r="782" spans="1:17" ht="15" customHeight="1" x14ac:dyDescent="0.2">
      <c r="A782" s="243" t="str">
        <f>IFERROR(INDEX(Txn[Key],MATCH(0,INDEX(COUNTIF($A$1:A781,Txn[Key])+(Txn[Key]=""),0),0)),"")</f>
        <v/>
      </c>
      <c r="B782" s="243" t="str">
        <f t="shared" si="108"/>
        <v/>
      </c>
      <c r="C782" s="243" t="str">
        <f t="shared" si="109"/>
        <v/>
      </c>
      <c r="D782" s="243" t="str">
        <f t="shared" si="110"/>
        <v/>
      </c>
      <c r="E782" s="265" t="str">
        <f>IF($A782="","",SUMIFS(Txn[Signed Units],Txn[Key],$A782))</f>
        <v/>
      </c>
      <c r="F782" s="287" t="str">
        <f>IF($A782="","",SUMIFS(Txn[Buy Cost],Txn[Key],$A782))</f>
        <v/>
      </c>
      <c r="G782" s="287" t="str">
        <f>IF($A782="","",SUMIFS(Txn[Sell Proceeds],Txn[Key],$A782))</f>
        <v/>
      </c>
      <c r="H782" s="288" t="str">
        <f>IF($A782="","",IFERROR(INDEX(Prices[Current Price],MATCH($A782,Prices[Key],0)),0))</f>
        <v/>
      </c>
      <c r="I782" s="289" t="str">
        <f>IF($A782="","",IFERROR(INDEX(Prices[FX to SGD],MATCH($A782,Prices[Key],0)),1))</f>
        <v/>
      </c>
      <c r="J782" s="287" t="str">
        <f t="shared" si="111"/>
        <v/>
      </c>
      <c r="K782" s="287" t="str">
        <f t="shared" si="112"/>
        <v/>
      </c>
      <c r="L782" s="287" t="str">
        <f t="shared" si="113"/>
        <v/>
      </c>
      <c r="M782" s="290" t="str">
        <f t="shared" si="114"/>
        <v/>
      </c>
      <c r="N782" s="243" t="str">
        <f>IF($A782="","",IF(ABS(E782)&gt;0.000001,COUNT($N$1:N781)+1,""))</f>
        <v/>
      </c>
      <c r="O782" s="291" t="str">
        <f>IF($A782="","",SUMIFS(Transactions!$H$2:$H$1001,Transactions!$J$2:$J$1001,$A782,Transactions!$A$2:$A$1001,2)*$I782)</f>
        <v/>
      </c>
      <c r="P782" s="291" t="str">
        <f t="shared" si="115"/>
        <v/>
      </c>
      <c r="Q782" s="292" t="str">
        <f t="shared" si="116"/>
        <v/>
      </c>
    </row>
    <row r="783" spans="1:17" ht="15" customHeight="1" x14ac:dyDescent="0.2">
      <c r="A783" s="243" t="str">
        <f>IFERROR(INDEX(Txn[Key],MATCH(0,INDEX(COUNTIF($A$1:A782,Txn[Key])+(Txn[Key]=""),0),0)),"")</f>
        <v/>
      </c>
      <c r="B783" s="243" t="str">
        <f t="shared" si="108"/>
        <v/>
      </c>
      <c r="C783" s="243" t="str">
        <f t="shared" si="109"/>
        <v/>
      </c>
      <c r="D783" s="243" t="str">
        <f t="shared" si="110"/>
        <v/>
      </c>
      <c r="E783" s="265" t="str">
        <f>IF($A783="","",SUMIFS(Txn[Signed Units],Txn[Key],$A783))</f>
        <v/>
      </c>
      <c r="F783" s="287" t="str">
        <f>IF($A783="","",SUMIFS(Txn[Buy Cost],Txn[Key],$A783))</f>
        <v/>
      </c>
      <c r="G783" s="287" t="str">
        <f>IF($A783="","",SUMIFS(Txn[Sell Proceeds],Txn[Key],$A783))</f>
        <v/>
      </c>
      <c r="H783" s="288" t="str">
        <f>IF($A783="","",IFERROR(INDEX(Prices[Current Price],MATCH($A783,Prices[Key],0)),0))</f>
        <v/>
      </c>
      <c r="I783" s="289" t="str">
        <f>IF($A783="","",IFERROR(INDEX(Prices[FX to SGD],MATCH($A783,Prices[Key],0)),1))</f>
        <v/>
      </c>
      <c r="J783" s="287" t="str">
        <f t="shared" si="111"/>
        <v/>
      </c>
      <c r="K783" s="287" t="str">
        <f t="shared" si="112"/>
        <v/>
      </c>
      <c r="L783" s="287" t="str">
        <f t="shared" si="113"/>
        <v/>
      </c>
      <c r="M783" s="290" t="str">
        <f t="shared" si="114"/>
        <v/>
      </c>
      <c r="N783" s="243" t="str">
        <f>IF($A783="","",IF(ABS(E783)&gt;0.000001,COUNT($N$1:N782)+1,""))</f>
        <v/>
      </c>
      <c r="O783" s="291" t="str">
        <f>IF($A783="","",SUMIFS(Transactions!$H$2:$H$1001,Transactions!$J$2:$J$1001,$A783,Transactions!$A$2:$A$1001,2)*$I783)</f>
        <v/>
      </c>
      <c r="P783" s="291" t="str">
        <f t="shared" si="115"/>
        <v/>
      </c>
      <c r="Q783" s="292" t="str">
        <f t="shared" si="116"/>
        <v/>
      </c>
    </row>
    <row r="784" spans="1:17" ht="15" customHeight="1" x14ac:dyDescent="0.2">
      <c r="A784" s="243" t="str">
        <f>IFERROR(INDEX(Txn[Key],MATCH(0,INDEX(COUNTIF($A$1:A783,Txn[Key])+(Txn[Key]=""),0),0)),"")</f>
        <v/>
      </c>
      <c r="B784" s="243" t="str">
        <f t="shared" si="108"/>
        <v/>
      </c>
      <c r="C784" s="243" t="str">
        <f t="shared" si="109"/>
        <v/>
      </c>
      <c r="D784" s="243" t="str">
        <f t="shared" si="110"/>
        <v/>
      </c>
      <c r="E784" s="265" t="str">
        <f>IF($A784="","",SUMIFS(Txn[Signed Units],Txn[Key],$A784))</f>
        <v/>
      </c>
      <c r="F784" s="287" t="str">
        <f>IF($A784="","",SUMIFS(Txn[Buy Cost],Txn[Key],$A784))</f>
        <v/>
      </c>
      <c r="G784" s="287" t="str">
        <f>IF($A784="","",SUMIFS(Txn[Sell Proceeds],Txn[Key],$A784))</f>
        <v/>
      </c>
      <c r="H784" s="288" t="str">
        <f>IF($A784="","",IFERROR(INDEX(Prices[Current Price],MATCH($A784,Prices[Key],0)),0))</f>
        <v/>
      </c>
      <c r="I784" s="289" t="str">
        <f>IF($A784="","",IFERROR(INDEX(Prices[FX to SGD],MATCH($A784,Prices[Key],0)),1))</f>
        <v/>
      </c>
      <c r="J784" s="287" t="str">
        <f t="shared" si="111"/>
        <v/>
      </c>
      <c r="K784" s="287" t="str">
        <f t="shared" si="112"/>
        <v/>
      </c>
      <c r="L784" s="287" t="str">
        <f t="shared" si="113"/>
        <v/>
      </c>
      <c r="M784" s="290" t="str">
        <f t="shared" si="114"/>
        <v/>
      </c>
      <c r="N784" s="243" t="str">
        <f>IF($A784="","",IF(ABS(E784)&gt;0.000001,COUNT($N$1:N783)+1,""))</f>
        <v/>
      </c>
      <c r="O784" s="291" t="str">
        <f>IF($A784="","",SUMIFS(Transactions!$H$2:$H$1001,Transactions!$J$2:$J$1001,$A784,Transactions!$A$2:$A$1001,2)*$I784)</f>
        <v/>
      </c>
      <c r="P784" s="291" t="str">
        <f t="shared" si="115"/>
        <v/>
      </c>
      <c r="Q784" s="292" t="str">
        <f t="shared" si="116"/>
        <v/>
      </c>
    </row>
    <row r="785" spans="1:17" ht="15" customHeight="1" x14ac:dyDescent="0.2">
      <c r="A785" s="243" t="str">
        <f>IFERROR(INDEX(Txn[Key],MATCH(0,INDEX(COUNTIF($A$1:A784,Txn[Key])+(Txn[Key]=""),0),0)),"")</f>
        <v/>
      </c>
      <c r="B785" s="243" t="str">
        <f t="shared" si="108"/>
        <v/>
      </c>
      <c r="C785" s="243" t="str">
        <f t="shared" si="109"/>
        <v/>
      </c>
      <c r="D785" s="243" t="str">
        <f t="shared" si="110"/>
        <v/>
      </c>
      <c r="E785" s="265" t="str">
        <f>IF($A785="","",SUMIFS(Txn[Signed Units],Txn[Key],$A785))</f>
        <v/>
      </c>
      <c r="F785" s="287" t="str">
        <f>IF($A785="","",SUMIFS(Txn[Buy Cost],Txn[Key],$A785))</f>
        <v/>
      </c>
      <c r="G785" s="287" t="str">
        <f>IF($A785="","",SUMIFS(Txn[Sell Proceeds],Txn[Key],$A785))</f>
        <v/>
      </c>
      <c r="H785" s="288" t="str">
        <f>IF($A785="","",IFERROR(INDEX(Prices[Current Price],MATCH($A785,Prices[Key],0)),0))</f>
        <v/>
      </c>
      <c r="I785" s="289" t="str">
        <f>IF($A785="","",IFERROR(INDEX(Prices[FX to SGD],MATCH($A785,Prices[Key],0)),1))</f>
        <v/>
      </c>
      <c r="J785" s="287" t="str">
        <f t="shared" si="111"/>
        <v/>
      </c>
      <c r="K785" s="287" t="str">
        <f t="shared" si="112"/>
        <v/>
      </c>
      <c r="L785" s="287" t="str">
        <f t="shared" si="113"/>
        <v/>
      </c>
      <c r="M785" s="290" t="str">
        <f t="shared" si="114"/>
        <v/>
      </c>
      <c r="N785" s="243" t="str">
        <f>IF($A785="","",IF(ABS(E785)&gt;0.000001,COUNT($N$1:N784)+1,""))</f>
        <v/>
      </c>
      <c r="O785" s="291" t="str">
        <f>IF($A785="","",SUMIFS(Transactions!$H$2:$H$1001,Transactions!$J$2:$J$1001,$A785,Transactions!$A$2:$A$1001,2)*$I785)</f>
        <v/>
      </c>
      <c r="P785" s="291" t="str">
        <f t="shared" si="115"/>
        <v/>
      </c>
      <c r="Q785" s="292" t="str">
        <f t="shared" si="116"/>
        <v/>
      </c>
    </row>
    <row r="786" spans="1:17" ht="15" customHeight="1" x14ac:dyDescent="0.2">
      <c r="A786" s="243" t="str">
        <f>IFERROR(INDEX(Txn[Key],MATCH(0,INDEX(COUNTIF($A$1:A785,Txn[Key])+(Txn[Key]=""),0),0)),"")</f>
        <v/>
      </c>
      <c r="B786" s="243" t="str">
        <f t="shared" si="108"/>
        <v/>
      </c>
      <c r="C786" s="243" t="str">
        <f t="shared" si="109"/>
        <v/>
      </c>
      <c r="D786" s="243" t="str">
        <f t="shared" si="110"/>
        <v/>
      </c>
      <c r="E786" s="265" t="str">
        <f>IF($A786="","",SUMIFS(Txn[Signed Units],Txn[Key],$A786))</f>
        <v/>
      </c>
      <c r="F786" s="287" t="str">
        <f>IF($A786="","",SUMIFS(Txn[Buy Cost],Txn[Key],$A786))</f>
        <v/>
      </c>
      <c r="G786" s="287" t="str">
        <f>IF($A786="","",SUMIFS(Txn[Sell Proceeds],Txn[Key],$A786))</f>
        <v/>
      </c>
      <c r="H786" s="288" t="str">
        <f>IF($A786="","",IFERROR(INDEX(Prices[Current Price],MATCH($A786,Prices[Key],0)),0))</f>
        <v/>
      </c>
      <c r="I786" s="289" t="str">
        <f>IF($A786="","",IFERROR(INDEX(Prices[FX to SGD],MATCH($A786,Prices[Key],0)),1))</f>
        <v/>
      </c>
      <c r="J786" s="287" t="str">
        <f t="shared" si="111"/>
        <v/>
      </c>
      <c r="K786" s="287" t="str">
        <f t="shared" si="112"/>
        <v/>
      </c>
      <c r="L786" s="287" t="str">
        <f t="shared" si="113"/>
        <v/>
      </c>
      <c r="M786" s="290" t="str">
        <f t="shared" si="114"/>
        <v/>
      </c>
      <c r="N786" s="243" t="str">
        <f>IF($A786="","",IF(ABS(E786)&gt;0.000001,COUNT($N$1:N785)+1,""))</f>
        <v/>
      </c>
      <c r="O786" s="291" t="str">
        <f>IF($A786="","",SUMIFS(Transactions!$H$2:$H$1001,Transactions!$J$2:$J$1001,$A786,Transactions!$A$2:$A$1001,2)*$I786)</f>
        <v/>
      </c>
      <c r="P786" s="291" t="str">
        <f t="shared" si="115"/>
        <v/>
      </c>
      <c r="Q786" s="292" t="str">
        <f t="shared" si="116"/>
        <v/>
      </c>
    </row>
    <row r="787" spans="1:17" ht="15" customHeight="1" x14ac:dyDescent="0.2">
      <c r="A787" s="243" t="str">
        <f>IFERROR(INDEX(Txn[Key],MATCH(0,INDEX(COUNTIF($A$1:A786,Txn[Key])+(Txn[Key]=""),0),0)),"")</f>
        <v/>
      </c>
      <c r="B787" s="243" t="str">
        <f t="shared" si="108"/>
        <v/>
      </c>
      <c r="C787" s="243" t="str">
        <f t="shared" si="109"/>
        <v/>
      </c>
      <c r="D787" s="243" t="str">
        <f t="shared" si="110"/>
        <v/>
      </c>
      <c r="E787" s="265" t="str">
        <f>IF($A787="","",SUMIFS(Txn[Signed Units],Txn[Key],$A787))</f>
        <v/>
      </c>
      <c r="F787" s="287" t="str">
        <f>IF($A787="","",SUMIFS(Txn[Buy Cost],Txn[Key],$A787))</f>
        <v/>
      </c>
      <c r="G787" s="287" t="str">
        <f>IF($A787="","",SUMIFS(Txn[Sell Proceeds],Txn[Key],$A787))</f>
        <v/>
      </c>
      <c r="H787" s="288" t="str">
        <f>IF($A787="","",IFERROR(INDEX(Prices[Current Price],MATCH($A787,Prices[Key],0)),0))</f>
        <v/>
      </c>
      <c r="I787" s="289" t="str">
        <f>IF($A787="","",IFERROR(INDEX(Prices[FX to SGD],MATCH($A787,Prices[Key],0)),1))</f>
        <v/>
      </c>
      <c r="J787" s="287" t="str">
        <f t="shared" si="111"/>
        <v/>
      </c>
      <c r="K787" s="287" t="str">
        <f t="shared" si="112"/>
        <v/>
      </c>
      <c r="L787" s="287" t="str">
        <f t="shared" si="113"/>
        <v/>
      </c>
      <c r="M787" s="290" t="str">
        <f t="shared" si="114"/>
        <v/>
      </c>
      <c r="N787" s="243" t="str">
        <f>IF($A787="","",IF(ABS(E787)&gt;0.000001,COUNT($N$1:N786)+1,""))</f>
        <v/>
      </c>
      <c r="O787" s="291" t="str">
        <f>IF($A787="","",SUMIFS(Transactions!$H$2:$H$1001,Transactions!$J$2:$J$1001,$A787,Transactions!$A$2:$A$1001,2)*$I787)</f>
        <v/>
      </c>
      <c r="P787" s="291" t="str">
        <f t="shared" si="115"/>
        <v/>
      </c>
      <c r="Q787" s="292" t="str">
        <f t="shared" si="116"/>
        <v/>
      </c>
    </row>
    <row r="788" spans="1:17" ht="15" customHeight="1" x14ac:dyDescent="0.2">
      <c r="A788" s="243" t="str">
        <f>IFERROR(INDEX(Txn[Key],MATCH(0,INDEX(COUNTIF($A$1:A787,Txn[Key])+(Txn[Key]=""),0),0)),"")</f>
        <v/>
      </c>
      <c r="B788" s="243" t="str">
        <f t="shared" si="108"/>
        <v/>
      </c>
      <c r="C788" s="243" t="str">
        <f t="shared" si="109"/>
        <v/>
      </c>
      <c r="D788" s="243" t="str">
        <f t="shared" si="110"/>
        <v/>
      </c>
      <c r="E788" s="265" t="str">
        <f>IF($A788="","",SUMIFS(Txn[Signed Units],Txn[Key],$A788))</f>
        <v/>
      </c>
      <c r="F788" s="287" t="str">
        <f>IF($A788="","",SUMIFS(Txn[Buy Cost],Txn[Key],$A788))</f>
        <v/>
      </c>
      <c r="G788" s="287" t="str">
        <f>IF($A788="","",SUMIFS(Txn[Sell Proceeds],Txn[Key],$A788))</f>
        <v/>
      </c>
      <c r="H788" s="288" t="str">
        <f>IF($A788="","",IFERROR(INDEX(Prices[Current Price],MATCH($A788,Prices[Key],0)),0))</f>
        <v/>
      </c>
      <c r="I788" s="289" t="str">
        <f>IF($A788="","",IFERROR(INDEX(Prices[FX to SGD],MATCH($A788,Prices[Key],0)),1))</f>
        <v/>
      </c>
      <c r="J788" s="287" t="str">
        <f t="shared" si="111"/>
        <v/>
      </c>
      <c r="K788" s="287" t="str">
        <f t="shared" si="112"/>
        <v/>
      </c>
      <c r="L788" s="287" t="str">
        <f t="shared" si="113"/>
        <v/>
      </c>
      <c r="M788" s="290" t="str">
        <f t="shared" si="114"/>
        <v/>
      </c>
      <c r="N788" s="243" t="str">
        <f>IF($A788="","",IF(ABS(E788)&gt;0.000001,COUNT($N$1:N787)+1,""))</f>
        <v/>
      </c>
      <c r="O788" s="291" t="str">
        <f>IF($A788="","",SUMIFS(Transactions!$H$2:$H$1001,Transactions!$J$2:$J$1001,$A788,Transactions!$A$2:$A$1001,2)*$I788)</f>
        <v/>
      </c>
      <c r="P788" s="291" t="str">
        <f t="shared" si="115"/>
        <v/>
      </c>
      <c r="Q788" s="292" t="str">
        <f t="shared" si="116"/>
        <v/>
      </c>
    </row>
    <row r="789" spans="1:17" ht="15" customHeight="1" x14ac:dyDescent="0.2">
      <c r="A789" s="243" t="str">
        <f>IFERROR(INDEX(Txn[Key],MATCH(0,INDEX(COUNTIF($A$1:A788,Txn[Key])+(Txn[Key]=""),0),0)),"")</f>
        <v/>
      </c>
      <c r="B789" s="243" t="str">
        <f t="shared" si="108"/>
        <v/>
      </c>
      <c r="C789" s="243" t="str">
        <f t="shared" si="109"/>
        <v/>
      </c>
      <c r="D789" s="243" t="str">
        <f t="shared" si="110"/>
        <v/>
      </c>
      <c r="E789" s="265" t="str">
        <f>IF($A789="","",SUMIFS(Txn[Signed Units],Txn[Key],$A789))</f>
        <v/>
      </c>
      <c r="F789" s="287" t="str">
        <f>IF($A789="","",SUMIFS(Txn[Buy Cost],Txn[Key],$A789))</f>
        <v/>
      </c>
      <c r="G789" s="287" t="str">
        <f>IF($A789="","",SUMIFS(Txn[Sell Proceeds],Txn[Key],$A789))</f>
        <v/>
      </c>
      <c r="H789" s="288" t="str">
        <f>IF($A789="","",IFERROR(INDEX(Prices[Current Price],MATCH($A789,Prices[Key],0)),0))</f>
        <v/>
      </c>
      <c r="I789" s="289" t="str">
        <f>IF($A789="","",IFERROR(INDEX(Prices[FX to SGD],MATCH($A789,Prices[Key],0)),1))</f>
        <v/>
      </c>
      <c r="J789" s="287" t="str">
        <f t="shared" si="111"/>
        <v/>
      </c>
      <c r="K789" s="287" t="str">
        <f t="shared" si="112"/>
        <v/>
      </c>
      <c r="L789" s="287" t="str">
        <f t="shared" si="113"/>
        <v/>
      </c>
      <c r="M789" s="290" t="str">
        <f t="shared" si="114"/>
        <v/>
      </c>
      <c r="N789" s="243" t="str">
        <f>IF($A789="","",IF(ABS(E789)&gt;0.000001,COUNT($N$1:N788)+1,""))</f>
        <v/>
      </c>
      <c r="O789" s="291" t="str">
        <f>IF($A789="","",SUMIFS(Transactions!$H$2:$H$1001,Transactions!$J$2:$J$1001,$A789,Transactions!$A$2:$A$1001,2)*$I789)</f>
        <v/>
      </c>
      <c r="P789" s="291" t="str">
        <f t="shared" si="115"/>
        <v/>
      </c>
      <c r="Q789" s="292" t="str">
        <f t="shared" si="116"/>
        <v/>
      </c>
    </row>
    <row r="790" spans="1:17" ht="15" customHeight="1" x14ac:dyDescent="0.2">
      <c r="A790" s="243" t="str">
        <f>IFERROR(INDEX(Txn[Key],MATCH(0,INDEX(COUNTIF($A$1:A789,Txn[Key])+(Txn[Key]=""),0),0)),"")</f>
        <v/>
      </c>
      <c r="B790" s="243" t="str">
        <f t="shared" si="108"/>
        <v/>
      </c>
      <c r="C790" s="243" t="str">
        <f t="shared" si="109"/>
        <v/>
      </c>
      <c r="D790" s="243" t="str">
        <f t="shared" si="110"/>
        <v/>
      </c>
      <c r="E790" s="265" t="str">
        <f>IF($A790="","",SUMIFS(Txn[Signed Units],Txn[Key],$A790))</f>
        <v/>
      </c>
      <c r="F790" s="287" t="str">
        <f>IF($A790="","",SUMIFS(Txn[Buy Cost],Txn[Key],$A790))</f>
        <v/>
      </c>
      <c r="G790" s="287" t="str">
        <f>IF($A790="","",SUMIFS(Txn[Sell Proceeds],Txn[Key],$A790))</f>
        <v/>
      </c>
      <c r="H790" s="288" t="str">
        <f>IF($A790="","",IFERROR(INDEX(Prices[Current Price],MATCH($A790,Prices[Key],0)),0))</f>
        <v/>
      </c>
      <c r="I790" s="289" t="str">
        <f>IF($A790="","",IFERROR(INDEX(Prices[FX to SGD],MATCH($A790,Prices[Key],0)),1))</f>
        <v/>
      </c>
      <c r="J790" s="287" t="str">
        <f t="shared" si="111"/>
        <v/>
      </c>
      <c r="K790" s="287" t="str">
        <f t="shared" si="112"/>
        <v/>
      </c>
      <c r="L790" s="287" t="str">
        <f t="shared" si="113"/>
        <v/>
      </c>
      <c r="M790" s="290" t="str">
        <f t="shared" si="114"/>
        <v/>
      </c>
      <c r="N790" s="243" t="str">
        <f>IF($A790="","",IF(ABS(E790)&gt;0.000001,COUNT($N$1:N789)+1,""))</f>
        <v/>
      </c>
      <c r="O790" s="291" t="str">
        <f>IF($A790="","",SUMIFS(Transactions!$H$2:$H$1001,Transactions!$J$2:$J$1001,$A790,Transactions!$A$2:$A$1001,2)*$I790)</f>
        <v/>
      </c>
      <c r="P790" s="291" t="str">
        <f t="shared" si="115"/>
        <v/>
      </c>
      <c r="Q790" s="292" t="str">
        <f t="shared" si="116"/>
        <v/>
      </c>
    </row>
    <row r="791" spans="1:17" ht="15" customHeight="1" x14ac:dyDescent="0.2">
      <c r="A791" s="243" t="str">
        <f>IFERROR(INDEX(Txn[Key],MATCH(0,INDEX(COUNTIF($A$1:A790,Txn[Key])+(Txn[Key]=""),0),0)),"")</f>
        <v/>
      </c>
      <c r="B791" s="243" t="str">
        <f t="shared" si="108"/>
        <v/>
      </c>
      <c r="C791" s="243" t="str">
        <f t="shared" si="109"/>
        <v/>
      </c>
      <c r="D791" s="243" t="str">
        <f t="shared" si="110"/>
        <v/>
      </c>
      <c r="E791" s="265" t="str">
        <f>IF($A791="","",SUMIFS(Txn[Signed Units],Txn[Key],$A791))</f>
        <v/>
      </c>
      <c r="F791" s="287" t="str">
        <f>IF($A791="","",SUMIFS(Txn[Buy Cost],Txn[Key],$A791))</f>
        <v/>
      </c>
      <c r="G791" s="287" t="str">
        <f>IF($A791="","",SUMIFS(Txn[Sell Proceeds],Txn[Key],$A791))</f>
        <v/>
      </c>
      <c r="H791" s="288" t="str">
        <f>IF($A791="","",IFERROR(INDEX(Prices[Current Price],MATCH($A791,Prices[Key],0)),0))</f>
        <v/>
      </c>
      <c r="I791" s="289" t="str">
        <f>IF($A791="","",IFERROR(INDEX(Prices[FX to SGD],MATCH($A791,Prices[Key],0)),1))</f>
        <v/>
      </c>
      <c r="J791" s="287" t="str">
        <f t="shared" si="111"/>
        <v/>
      </c>
      <c r="K791" s="287" t="str">
        <f t="shared" si="112"/>
        <v/>
      </c>
      <c r="L791" s="287" t="str">
        <f t="shared" si="113"/>
        <v/>
      </c>
      <c r="M791" s="290" t="str">
        <f t="shared" si="114"/>
        <v/>
      </c>
      <c r="N791" s="243" t="str">
        <f>IF($A791="","",IF(ABS(E791)&gt;0.000001,COUNT($N$1:N790)+1,""))</f>
        <v/>
      </c>
      <c r="O791" s="291" t="str">
        <f>IF($A791="","",SUMIFS(Transactions!$H$2:$H$1001,Transactions!$J$2:$J$1001,$A791,Transactions!$A$2:$A$1001,2)*$I791)</f>
        <v/>
      </c>
      <c r="P791" s="291" t="str">
        <f t="shared" si="115"/>
        <v/>
      </c>
      <c r="Q791" s="292" t="str">
        <f t="shared" si="116"/>
        <v/>
      </c>
    </row>
    <row r="792" spans="1:17" ht="15" customHeight="1" x14ac:dyDescent="0.2">
      <c r="A792" s="243" t="str">
        <f>IFERROR(INDEX(Txn[Key],MATCH(0,INDEX(COUNTIF($A$1:A791,Txn[Key])+(Txn[Key]=""),0),0)),"")</f>
        <v/>
      </c>
      <c r="B792" s="243" t="str">
        <f t="shared" si="108"/>
        <v/>
      </c>
      <c r="C792" s="243" t="str">
        <f t="shared" si="109"/>
        <v/>
      </c>
      <c r="D792" s="243" t="str">
        <f t="shared" si="110"/>
        <v/>
      </c>
      <c r="E792" s="265" t="str">
        <f>IF($A792="","",SUMIFS(Txn[Signed Units],Txn[Key],$A792))</f>
        <v/>
      </c>
      <c r="F792" s="287" t="str">
        <f>IF($A792="","",SUMIFS(Txn[Buy Cost],Txn[Key],$A792))</f>
        <v/>
      </c>
      <c r="G792" s="287" t="str">
        <f>IF($A792="","",SUMIFS(Txn[Sell Proceeds],Txn[Key],$A792))</f>
        <v/>
      </c>
      <c r="H792" s="288" t="str">
        <f>IF($A792="","",IFERROR(INDEX(Prices[Current Price],MATCH($A792,Prices[Key],0)),0))</f>
        <v/>
      </c>
      <c r="I792" s="289" t="str">
        <f>IF($A792="","",IFERROR(INDEX(Prices[FX to SGD],MATCH($A792,Prices[Key],0)),1))</f>
        <v/>
      </c>
      <c r="J792" s="287" t="str">
        <f t="shared" si="111"/>
        <v/>
      </c>
      <c r="K792" s="287" t="str">
        <f t="shared" si="112"/>
        <v/>
      </c>
      <c r="L792" s="287" t="str">
        <f t="shared" si="113"/>
        <v/>
      </c>
      <c r="M792" s="290" t="str">
        <f t="shared" si="114"/>
        <v/>
      </c>
      <c r="N792" s="243" t="str">
        <f>IF($A792="","",IF(ABS(E792)&gt;0.000001,COUNT($N$1:N791)+1,""))</f>
        <v/>
      </c>
      <c r="O792" s="291" t="str">
        <f>IF($A792="","",SUMIFS(Transactions!$H$2:$H$1001,Transactions!$J$2:$J$1001,$A792,Transactions!$A$2:$A$1001,2)*$I792)</f>
        <v/>
      </c>
      <c r="P792" s="291" t="str">
        <f t="shared" si="115"/>
        <v/>
      </c>
      <c r="Q792" s="292" t="str">
        <f t="shared" si="116"/>
        <v/>
      </c>
    </row>
    <row r="793" spans="1:17" ht="15" customHeight="1" x14ac:dyDescent="0.2">
      <c r="A793" s="243" t="str">
        <f>IFERROR(INDEX(Txn[Key],MATCH(0,INDEX(COUNTIF($A$1:A792,Txn[Key])+(Txn[Key]=""),0),0)),"")</f>
        <v/>
      </c>
      <c r="B793" s="243" t="str">
        <f t="shared" si="108"/>
        <v/>
      </c>
      <c r="C793" s="243" t="str">
        <f t="shared" si="109"/>
        <v/>
      </c>
      <c r="D793" s="243" t="str">
        <f t="shared" si="110"/>
        <v/>
      </c>
      <c r="E793" s="265" t="str">
        <f>IF($A793="","",SUMIFS(Txn[Signed Units],Txn[Key],$A793))</f>
        <v/>
      </c>
      <c r="F793" s="287" t="str">
        <f>IF($A793="","",SUMIFS(Txn[Buy Cost],Txn[Key],$A793))</f>
        <v/>
      </c>
      <c r="G793" s="287" t="str">
        <f>IF($A793="","",SUMIFS(Txn[Sell Proceeds],Txn[Key],$A793))</f>
        <v/>
      </c>
      <c r="H793" s="288" t="str">
        <f>IF($A793="","",IFERROR(INDEX(Prices[Current Price],MATCH($A793,Prices[Key],0)),0))</f>
        <v/>
      </c>
      <c r="I793" s="289" t="str">
        <f>IF($A793="","",IFERROR(INDEX(Prices[FX to SGD],MATCH($A793,Prices[Key],0)),1))</f>
        <v/>
      </c>
      <c r="J793" s="287" t="str">
        <f t="shared" si="111"/>
        <v/>
      </c>
      <c r="K793" s="287" t="str">
        <f t="shared" si="112"/>
        <v/>
      </c>
      <c r="L793" s="287" t="str">
        <f t="shared" si="113"/>
        <v/>
      </c>
      <c r="M793" s="290" t="str">
        <f t="shared" si="114"/>
        <v/>
      </c>
      <c r="N793" s="243" t="str">
        <f>IF($A793="","",IF(ABS(E793)&gt;0.000001,COUNT($N$1:N792)+1,""))</f>
        <v/>
      </c>
      <c r="O793" s="291" t="str">
        <f>IF($A793="","",SUMIFS(Transactions!$H$2:$H$1001,Transactions!$J$2:$J$1001,$A793,Transactions!$A$2:$A$1001,2)*$I793)</f>
        <v/>
      </c>
      <c r="P793" s="291" t="str">
        <f t="shared" si="115"/>
        <v/>
      </c>
      <c r="Q793" s="292" t="str">
        <f t="shared" si="116"/>
        <v/>
      </c>
    </row>
    <row r="794" spans="1:17" ht="15" customHeight="1" x14ac:dyDescent="0.2">
      <c r="A794" s="243" t="str">
        <f>IFERROR(INDEX(Txn[Key],MATCH(0,INDEX(COUNTIF($A$1:A793,Txn[Key])+(Txn[Key]=""),0),0)),"")</f>
        <v/>
      </c>
      <c r="B794" s="243" t="str">
        <f t="shared" si="108"/>
        <v/>
      </c>
      <c r="C794" s="243" t="str">
        <f t="shared" si="109"/>
        <v/>
      </c>
      <c r="D794" s="243" t="str">
        <f t="shared" si="110"/>
        <v/>
      </c>
      <c r="E794" s="265" t="str">
        <f>IF($A794="","",SUMIFS(Txn[Signed Units],Txn[Key],$A794))</f>
        <v/>
      </c>
      <c r="F794" s="287" t="str">
        <f>IF($A794="","",SUMIFS(Txn[Buy Cost],Txn[Key],$A794))</f>
        <v/>
      </c>
      <c r="G794" s="287" t="str">
        <f>IF($A794="","",SUMIFS(Txn[Sell Proceeds],Txn[Key],$A794))</f>
        <v/>
      </c>
      <c r="H794" s="288" t="str">
        <f>IF($A794="","",IFERROR(INDEX(Prices[Current Price],MATCH($A794,Prices[Key],0)),0))</f>
        <v/>
      </c>
      <c r="I794" s="289" t="str">
        <f>IF($A794="","",IFERROR(INDEX(Prices[FX to SGD],MATCH($A794,Prices[Key],0)),1))</f>
        <v/>
      </c>
      <c r="J794" s="287" t="str">
        <f t="shared" si="111"/>
        <v/>
      </c>
      <c r="K794" s="287" t="str">
        <f t="shared" si="112"/>
        <v/>
      </c>
      <c r="L794" s="287" t="str">
        <f t="shared" si="113"/>
        <v/>
      </c>
      <c r="M794" s="290" t="str">
        <f t="shared" si="114"/>
        <v/>
      </c>
      <c r="N794" s="243" t="str">
        <f>IF($A794="","",IF(ABS(E794)&gt;0.000001,COUNT($N$1:N793)+1,""))</f>
        <v/>
      </c>
      <c r="O794" s="291" t="str">
        <f>IF($A794="","",SUMIFS(Transactions!$H$2:$H$1001,Transactions!$J$2:$J$1001,$A794,Transactions!$A$2:$A$1001,2)*$I794)</f>
        <v/>
      </c>
      <c r="P794" s="291" t="str">
        <f t="shared" si="115"/>
        <v/>
      </c>
      <c r="Q794" s="292" t="str">
        <f t="shared" si="116"/>
        <v/>
      </c>
    </row>
    <row r="795" spans="1:17" ht="15" customHeight="1" x14ac:dyDescent="0.2">
      <c r="A795" s="243" t="str">
        <f>IFERROR(INDEX(Txn[Key],MATCH(0,INDEX(COUNTIF($A$1:A794,Txn[Key])+(Txn[Key]=""),0),0)),"")</f>
        <v/>
      </c>
      <c r="B795" s="243" t="str">
        <f t="shared" si="108"/>
        <v/>
      </c>
      <c r="C795" s="243" t="str">
        <f t="shared" si="109"/>
        <v/>
      </c>
      <c r="D795" s="243" t="str">
        <f t="shared" si="110"/>
        <v/>
      </c>
      <c r="E795" s="265" t="str">
        <f>IF($A795="","",SUMIFS(Txn[Signed Units],Txn[Key],$A795))</f>
        <v/>
      </c>
      <c r="F795" s="287" t="str">
        <f>IF($A795="","",SUMIFS(Txn[Buy Cost],Txn[Key],$A795))</f>
        <v/>
      </c>
      <c r="G795" s="287" t="str">
        <f>IF($A795="","",SUMIFS(Txn[Sell Proceeds],Txn[Key],$A795))</f>
        <v/>
      </c>
      <c r="H795" s="288" t="str">
        <f>IF($A795="","",IFERROR(INDEX(Prices[Current Price],MATCH($A795,Prices[Key],0)),0))</f>
        <v/>
      </c>
      <c r="I795" s="289" t="str">
        <f>IF($A795="","",IFERROR(INDEX(Prices[FX to SGD],MATCH($A795,Prices[Key],0)),1))</f>
        <v/>
      </c>
      <c r="J795" s="287" t="str">
        <f t="shared" si="111"/>
        <v/>
      </c>
      <c r="K795" s="287" t="str">
        <f t="shared" si="112"/>
        <v/>
      </c>
      <c r="L795" s="287" t="str">
        <f t="shared" si="113"/>
        <v/>
      </c>
      <c r="M795" s="290" t="str">
        <f t="shared" si="114"/>
        <v/>
      </c>
      <c r="N795" s="243" t="str">
        <f>IF($A795="","",IF(ABS(E795)&gt;0.000001,COUNT($N$1:N794)+1,""))</f>
        <v/>
      </c>
      <c r="O795" s="291" t="str">
        <f>IF($A795="","",SUMIFS(Transactions!$H$2:$H$1001,Transactions!$J$2:$J$1001,$A795,Transactions!$A$2:$A$1001,2)*$I795)</f>
        <v/>
      </c>
      <c r="P795" s="291" t="str">
        <f t="shared" si="115"/>
        <v/>
      </c>
      <c r="Q795" s="292" t="str">
        <f t="shared" si="116"/>
        <v/>
      </c>
    </row>
    <row r="796" spans="1:17" ht="15" customHeight="1" x14ac:dyDescent="0.2">
      <c r="A796" s="243" t="str">
        <f>IFERROR(INDEX(Txn[Key],MATCH(0,INDEX(COUNTIF($A$1:A795,Txn[Key])+(Txn[Key]=""),0),0)),"")</f>
        <v/>
      </c>
      <c r="B796" s="243" t="str">
        <f t="shared" si="108"/>
        <v/>
      </c>
      <c r="C796" s="243" t="str">
        <f t="shared" si="109"/>
        <v/>
      </c>
      <c r="D796" s="243" t="str">
        <f t="shared" si="110"/>
        <v/>
      </c>
      <c r="E796" s="265" t="str">
        <f>IF($A796="","",SUMIFS(Txn[Signed Units],Txn[Key],$A796))</f>
        <v/>
      </c>
      <c r="F796" s="287" t="str">
        <f>IF($A796="","",SUMIFS(Txn[Buy Cost],Txn[Key],$A796))</f>
        <v/>
      </c>
      <c r="G796" s="287" t="str">
        <f>IF($A796="","",SUMIFS(Txn[Sell Proceeds],Txn[Key],$A796))</f>
        <v/>
      </c>
      <c r="H796" s="288" t="str">
        <f>IF($A796="","",IFERROR(INDEX(Prices[Current Price],MATCH($A796,Prices[Key],0)),0))</f>
        <v/>
      </c>
      <c r="I796" s="289" t="str">
        <f>IF($A796="","",IFERROR(INDEX(Prices[FX to SGD],MATCH($A796,Prices[Key],0)),1))</f>
        <v/>
      </c>
      <c r="J796" s="287" t="str">
        <f t="shared" si="111"/>
        <v/>
      </c>
      <c r="K796" s="287" t="str">
        <f t="shared" si="112"/>
        <v/>
      </c>
      <c r="L796" s="287" t="str">
        <f t="shared" si="113"/>
        <v/>
      </c>
      <c r="M796" s="290" t="str">
        <f t="shared" si="114"/>
        <v/>
      </c>
      <c r="N796" s="243" t="str">
        <f>IF($A796="","",IF(ABS(E796)&gt;0.000001,COUNT($N$1:N795)+1,""))</f>
        <v/>
      </c>
      <c r="O796" s="291" t="str">
        <f>IF($A796="","",SUMIFS(Transactions!$H$2:$H$1001,Transactions!$J$2:$J$1001,$A796,Transactions!$A$2:$A$1001,2)*$I796)</f>
        <v/>
      </c>
      <c r="P796" s="291" t="str">
        <f t="shared" si="115"/>
        <v/>
      </c>
      <c r="Q796" s="292" t="str">
        <f t="shared" si="116"/>
        <v/>
      </c>
    </row>
    <row r="797" spans="1:17" ht="15" customHeight="1" x14ac:dyDescent="0.2">
      <c r="A797" s="243" t="str">
        <f>IFERROR(INDEX(Txn[Key],MATCH(0,INDEX(COUNTIF($A$1:A796,Txn[Key])+(Txn[Key]=""),0),0)),"")</f>
        <v/>
      </c>
      <c r="B797" s="243" t="str">
        <f t="shared" si="108"/>
        <v/>
      </c>
      <c r="C797" s="243" t="str">
        <f t="shared" si="109"/>
        <v/>
      </c>
      <c r="D797" s="243" t="str">
        <f t="shared" si="110"/>
        <v/>
      </c>
      <c r="E797" s="265" t="str">
        <f>IF($A797="","",SUMIFS(Txn[Signed Units],Txn[Key],$A797))</f>
        <v/>
      </c>
      <c r="F797" s="287" t="str">
        <f>IF($A797="","",SUMIFS(Txn[Buy Cost],Txn[Key],$A797))</f>
        <v/>
      </c>
      <c r="G797" s="287" t="str">
        <f>IF($A797="","",SUMIFS(Txn[Sell Proceeds],Txn[Key],$A797))</f>
        <v/>
      </c>
      <c r="H797" s="288" t="str">
        <f>IF($A797="","",IFERROR(INDEX(Prices[Current Price],MATCH($A797,Prices[Key],0)),0))</f>
        <v/>
      </c>
      <c r="I797" s="289" t="str">
        <f>IF($A797="","",IFERROR(INDEX(Prices[FX to SGD],MATCH($A797,Prices[Key],0)),1))</f>
        <v/>
      </c>
      <c r="J797" s="287" t="str">
        <f t="shared" si="111"/>
        <v/>
      </c>
      <c r="K797" s="287" t="str">
        <f t="shared" si="112"/>
        <v/>
      </c>
      <c r="L797" s="287" t="str">
        <f t="shared" si="113"/>
        <v/>
      </c>
      <c r="M797" s="290" t="str">
        <f t="shared" si="114"/>
        <v/>
      </c>
      <c r="N797" s="243" t="str">
        <f>IF($A797="","",IF(ABS(E797)&gt;0.000001,COUNT($N$1:N796)+1,""))</f>
        <v/>
      </c>
      <c r="O797" s="291" t="str">
        <f>IF($A797="","",SUMIFS(Transactions!$H$2:$H$1001,Transactions!$J$2:$J$1001,$A797,Transactions!$A$2:$A$1001,2)*$I797)</f>
        <v/>
      </c>
      <c r="P797" s="291" t="str">
        <f t="shared" si="115"/>
        <v/>
      </c>
      <c r="Q797" s="292" t="str">
        <f t="shared" si="116"/>
        <v/>
      </c>
    </row>
    <row r="798" spans="1:17" ht="15" customHeight="1" x14ac:dyDescent="0.2">
      <c r="A798" s="243" t="str">
        <f>IFERROR(INDEX(Txn[Key],MATCH(0,INDEX(COUNTIF($A$1:A797,Txn[Key])+(Txn[Key]=""),0),0)),"")</f>
        <v/>
      </c>
      <c r="B798" s="243" t="str">
        <f t="shared" si="108"/>
        <v/>
      </c>
      <c r="C798" s="243" t="str">
        <f t="shared" si="109"/>
        <v/>
      </c>
      <c r="D798" s="243" t="str">
        <f t="shared" si="110"/>
        <v/>
      </c>
      <c r="E798" s="265" t="str">
        <f>IF($A798="","",SUMIFS(Txn[Signed Units],Txn[Key],$A798))</f>
        <v/>
      </c>
      <c r="F798" s="287" t="str">
        <f>IF($A798="","",SUMIFS(Txn[Buy Cost],Txn[Key],$A798))</f>
        <v/>
      </c>
      <c r="G798" s="287" t="str">
        <f>IF($A798="","",SUMIFS(Txn[Sell Proceeds],Txn[Key],$A798))</f>
        <v/>
      </c>
      <c r="H798" s="288" t="str">
        <f>IF($A798="","",IFERROR(INDEX(Prices[Current Price],MATCH($A798,Prices[Key],0)),0))</f>
        <v/>
      </c>
      <c r="I798" s="289" t="str">
        <f>IF($A798="","",IFERROR(INDEX(Prices[FX to SGD],MATCH($A798,Prices[Key],0)),1))</f>
        <v/>
      </c>
      <c r="J798" s="287" t="str">
        <f t="shared" si="111"/>
        <v/>
      </c>
      <c r="K798" s="287" t="str">
        <f t="shared" si="112"/>
        <v/>
      </c>
      <c r="L798" s="287" t="str">
        <f t="shared" si="113"/>
        <v/>
      </c>
      <c r="M798" s="290" t="str">
        <f t="shared" si="114"/>
        <v/>
      </c>
      <c r="N798" s="243" t="str">
        <f>IF($A798="","",IF(ABS(E798)&gt;0.000001,COUNT($N$1:N797)+1,""))</f>
        <v/>
      </c>
      <c r="O798" s="291" t="str">
        <f>IF($A798="","",SUMIFS(Transactions!$H$2:$H$1001,Transactions!$J$2:$J$1001,$A798,Transactions!$A$2:$A$1001,2)*$I798)</f>
        <v/>
      </c>
      <c r="P798" s="291" t="str">
        <f t="shared" si="115"/>
        <v/>
      </c>
      <c r="Q798" s="292" t="str">
        <f t="shared" si="116"/>
        <v/>
      </c>
    </row>
    <row r="799" spans="1:17" ht="15" customHeight="1" x14ac:dyDescent="0.2">
      <c r="A799" s="243" t="str">
        <f>IFERROR(INDEX(Txn[Key],MATCH(0,INDEX(COUNTIF($A$1:A798,Txn[Key])+(Txn[Key]=""),0),0)),"")</f>
        <v/>
      </c>
      <c r="B799" s="243" t="str">
        <f t="shared" si="108"/>
        <v/>
      </c>
      <c r="C799" s="243" t="str">
        <f t="shared" si="109"/>
        <v/>
      </c>
      <c r="D799" s="243" t="str">
        <f t="shared" si="110"/>
        <v/>
      </c>
      <c r="E799" s="265" t="str">
        <f>IF($A799="","",SUMIFS(Txn[Signed Units],Txn[Key],$A799))</f>
        <v/>
      </c>
      <c r="F799" s="287" t="str">
        <f>IF($A799="","",SUMIFS(Txn[Buy Cost],Txn[Key],$A799))</f>
        <v/>
      </c>
      <c r="G799" s="287" t="str">
        <f>IF($A799="","",SUMIFS(Txn[Sell Proceeds],Txn[Key],$A799))</f>
        <v/>
      </c>
      <c r="H799" s="288" t="str">
        <f>IF($A799="","",IFERROR(INDEX(Prices[Current Price],MATCH($A799,Prices[Key],0)),0))</f>
        <v/>
      </c>
      <c r="I799" s="289" t="str">
        <f>IF($A799="","",IFERROR(INDEX(Prices[FX to SGD],MATCH($A799,Prices[Key],0)),1))</f>
        <v/>
      </c>
      <c r="J799" s="287" t="str">
        <f t="shared" si="111"/>
        <v/>
      </c>
      <c r="K799" s="287" t="str">
        <f t="shared" si="112"/>
        <v/>
      </c>
      <c r="L799" s="287" t="str">
        <f t="shared" si="113"/>
        <v/>
      </c>
      <c r="M799" s="290" t="str">
        <f t="shared" si="114"/>
        <v/>
      </c>
      <c r="N799" s="243" t="str">
        <f>IF($A799="","",IF(ABS(E799)&gt;0.000001,COUNT($N$1:N798)+1,""))</f>
        <v/>
      </c>
      <c r="O799" s="291" t="str">
        <f>IF($A799="","",SUMIFS(Transactions!$H$2:$H$1001,Transactions!$J$2:$J$1001,$A799,Transactions!$A$2:$A$1001,2)*$I799)</f>
        <v/>
      </c>
      <c r="P799" s="291" t="str">
        <f t="shared" si="115"/>
        <v/>
      </c>
      <c r="Q799" s="292" t="str">
        <f t="shared" si="116"/>
        <v/>
      </c>
    </row>
    <row r="800" spans="1:17" ht="15" customHeight="1" x14ac:dyDescent="0.2">
      <c r="A800" s="243" t="str">
        <f>IFERROR(INDEX(Txn[Key],MATCH(0,INDEX(COUNTIF($A$1:A799,Txn[Key])+(Txn[Key]=""),0),0)),"")</f>
        <v/>
      </c>
      <c r="B800" s="243" t="str">
        <f t="shared" si="108"/>
        <v/>
      </c>
      <c r="C800" s="243" t="str">
        <f t="shared" si="109"/>
        <v/>
      </c>
      <c r="D800" s="243" t="str">
        <f t="shared" si="110"/>
        <v/>
      </c>
      <c r="E800" s="265" t="str">
        <f>IF($A800="","",SUMIFS(Txn[Signed Units],Txn[Key],$A800))</f>
        <v/>
      </c>
      <c r="F800" s="287" t="str">
        <f>IF($A800="","",SUMIFS(Txn[Buy Cost],Txn[Key],$A800))</f>
        <v/>
      </c>
      <c r="G800" s="287" t="str">
        <f>IF($A800="","",SUMIFS(Txn[Sell Proceeds],Txn[Key],$A800))</f>
        <v/>
      </c>
      <c r="H800" s="288" t="str">
        <f>IF($A800="","",IFERROR(INDEX(Prices[Current Price],MATCH($A800,Prices[Key],0)),0))</f>
        <v/>
      </c>
      <c r="I800" s="289" t="str">
        <f>IF($A800="","",IFERROR(INDEX(Prices[FX to SGD],MATCH($A800,Prices[Key],0)),1))</f>
        <v/>
      </c>
      <c r="J800" s="287" t="str">
        <f t="shared" si="111"/>
        <v/>
      </c>
      <c r="K800" s="287" t="str">
        <f t="shared" si="112"/>
        <v/>
      </c>
      <c r="L800" s="287" t="str">
        <f t="shared" si="113"/>
        <v/>
      </c>
      <c r="M800" s="290" t="str">
        <f t="shared" si="114"/>
        <v/>
      </c>
      <c r="N800" s="243" t="str">
        <f>IF($A800="","",IF(ABS(E800)&gt;0.000001,COUNT($N$1:N799)+1,""))</f>
        <v/>
      </c>
      <c r="O800" s="291" t="str">
        <f>IF($A800="","",SUMIFS(Transactions!$H$2:$H$1001,Transactions!$J$2:$J$1001,$A800,Transactions!$A$2:$A$1001,2)*$I800)</f>
        <v/>
      </c>
      <c r="P800" s="291" t="str">
        <f t="shared" si="115"/>
        <v/>
      </c>
      <c r="Q800" s="292" t="str">
        <f t="shared" si="116"/>
        <v/>
      </c>
    </row>
    <row r="801" spans="1:17" ht="15" customHeight="1" x14ac:dyDescent="0.2">
      <c r="A801" s="243" t="str">
        <f>IFERROR(INDEX(Txn[Key],MATCH(0,INDEX(COUNTIF($A$1:A800,Txn[Key])+(Txn[Key]=""),0),0)),"")</f>
        <v/>
      </c>
      <c r="B801" s="243" t="str">
        <f t="shared" si="108"/>
        <v/>
      </c>
      <c r="C801" s="243" t="str">
        <f t="shared" si="109"/>
        <v/>
      </c>
      <c r="D801" s="243" t="str">
        <f t="shared" si="110"/>
        <v/>
      </c>
      <c r="E801" s="265" t="str">
        <f>IF($A801="","",SUMIFS(Txn[Signed Units],Txn[Key],$A801))</f>
        <v/>
      </c>
      <c r="F801" s="287" t="str">
        <f>IF($A801="","",SUMIFS(Txn[Buy Cost],Txn[Key],$A801))</f>
        <v/>
      </c>
      <c r="G801" s="287" t="str">
        <f>IF($A801="","",SUMIFS(Txn[Sell Proceeds],Txn[Key],$A801))</f>
        <v/>
      </c>
      <c r="H801" s="288" t="str">
        <f>IF($A801="","",IFERROR(INDEX(Prices[Current Price],MATCH($A801,Prices[Key],0)),0))</f>
        <v/>
      </c>
      <c r="I801" s="289" t="str">
        <f>IF($A801="","",IFERROR(INDEX(Prices[FX to SGD],MATCH($A801,Prices[Key],0)),1))</f>
        <v/>
      </c>
      <c r="J801" s="287" t="str">
        <f t="shared" si="111"/>
        <v/>
      </c>
      <c r="K801" s="287" t="str">
        <f t="shared" si="112"/>
        <v/>
      </c>
      <c r="L801" s="287" t="str">
        <f t="shared" si="113"/>
        <v/>
      </c>
      <c r="M801" s="290" t="str">
        <f t="shared" si="114"/>
        <v/>
      </c>
      <c r="N801" s="243" t="str">
        <f>IF($A801="","",IF(ABS(E801)&gt;0.000001,COUNT($N$1:N800)+1,""))</f>
        <v/>
      </c>
      <c r="O801" s="291" t="str">
        <f>IF($A801="","",SUMIFS(Transactions!$H$2:$H$1001,Transactions!$J$2:$J$1001,$A801,Transactions!$A$2:$A$1001,2)*$I801)</f>
        <v/>
      </c>
      <c r="P801" s="291" t="str">
        <f t="shared" si="115"/>
        <v/>
      </c>
      <c r="Q801" s="292" t="str">
        <f t="shared" si="116"/>
        <v/>
      </c>
    </row>
    <row r="802" spans="1:17" ht="15" customHeight="1" x14ac:dyDescent="0.2">
      <c r="A802" s="243" t="str">
        <f>IFERROR(INDEX(Txn[Key],MATCH(0,INDEX(COUNTIF($A$1:A801,Txn[Key])+(Txn[Key]=""),0),0)),"")</f>
        <v/>
      </c>
      <c r="B802" s="243" t="str">
        <f t="shared" si="108"/>
        <v/>
      </c>
      <c r="C802" s="243" t="str">
        <f t="shared" si="109"/>
        <v/>
      </c>
      <c r="D802" s="243" t="str">
        <f t="shared" si="110"/>
        <v/>
      </c>
      <c r="E802" s="265" t="str">
        <f>IF($A802="","",SUMIFS(Txn[Signed Units],Txn[Key],$A802))</f>
        <v/>
      </c>
      <c r="F802" s="287" t="str">
        <f>IF($A802="","",SUMIFS(Txn[Buy Cost],Txn[Key],$A802))</f>
        <v/>
      </c>
      <c r="G802" s="287" t="str">
        <f>IF($A802="","",SUMIFS(Txn[Sell Proceeds],Txn[Key],$A802))</f>
        <v/>
      </c>
      <c r="H802" s="288" t="str">
        <f>IF($A802="","",IFERROR(INDEX(Prices[Current Price],MATCH($A802,Prices[Key],0)),0))</f>
        <v/>
      </c>
      <c r="I802" s="289" t="str">
        <f>IF($A802="","",IFERROR(INDEX(Prices[FX to SGD],MATCH($A802,Prices[Key],0)),1))</f>
        <v/>
      </c>
      <c r="J802" s="287" t="str">
        <f t="shared" si="111"/>
        <v/>
      </c>
      <c r="K802" s="287" t="str">
        <f t="shared" si="112"/>
        <v/>
      </c>
      <c r="L802" s="287" t="str">
        <f t="shared" si="113"/>
        <v/>
      </c>
      <c r="M802" s="290" t="str">
        <f t="shared" si="114"/>
        <v/>
      </c>
      <c r="N802" s="243" t="str">
        <f>IF($A802="","",IF(ABS(E802)&gt;0.000001,COUNT($N$1:N801)+1,""))</f>
        <v/>
      </c>
      <c r="O802" s="291" t="str">
        <f>IF($A802="","",SUMIFS(Transactions!$H$2:$H$1001,Transactions!$J$2:$J$1001,$A802,Transactions!$A$2:$A$1001,2)*$I802)</f>
        <v/>
      </c>
      <c r="P802" s="291" t="str">
        <f t="shared" si="115"/>
        <v/>
      </c>
      <c r="Q802" s="292" t="str">
        <f t="shared" si="116"/>
        <v/>
      </c>
    </row>
    <row r="803" spans="1:17" ht="15" customHeight="1" x14ac:dyDescent="0.2">
      <c r="A803" s="243" t="str">
        <f>IFERROR(INDEX(Txn[Key],MATCH(0,INDEX(COUNTIF($A$1:A802,Txn[Key])+(Txn[Key]=""),0),0)),"")</f>
        <v/>
      </c>
      <c r="B803" s="243" t="str">
        <f t="shared" si="108"/>
        <v/>
      </c>
      <c r="C803" s="243" t="str">
        <f t="shared" si="109"/>
        <v/>
      </c>
      <c r="D803" s="243" t="str">
        <f t="shared" si="110"/>
        <v/>
      </c>
      <c r="E803" s="265" t="str">
        <f>IF($A803="","",SUMIFS(Txn[Signed Units],Txn[Key],$A803))</f>
        <v/>
      </c>
      <c r="F803" s="287" t="str">
        <f>IF($A803="","",SUMIFS(Txn[Buy Cost],Txn[Key],$A803))</f>
        <v/>
      </c>
      <c r="G803" s="287" t="str">
        <f>IF($A803="","",SUMIFS(Txn[Sell Proceeds],Txn[Key],$A803))</f>
        <v/>
      </c>
      <c r="H803" s="288" t="str">
        <f>IF($A803="","",IFERROR(INDEX(Prices[Current Price],MATCH($A803,Prices[Key],0)),0))</f>
        <v/>
      </c>
      <c r="I803" s="289" t="str">
        <f>IF($A803="","",IFERROR(INDEX(Prices[FX to SGD],MATCH($A803,Prices[Key],0)),1))</f>
        <v/>
      </c>
      <c r="J803" s="287" t="str">
        <f t="shared" si="111"/>
        <v/>
      </c>
      <c r="K803" s="287" t="str">
        <f t="shared" si="112"/>
        <v/>
      </c>
      <c r="L803" s="287" t="str">
        <f t="shared" si="113"/>
        <v/>
      </c>
      <c r="M803" s="290" t="str">
        <f t="shared" si="114"/>
        <v/>
      </c>
      <c r="N803" s="243" t="str">
        <f>IF($A803="","",IF(ABS(E803)&gt;0.000001,COUNT($N$1:N802)+1,""))</f>
        <v/>
      </c>
      <c r="O803" s="291" t="str">
        <f>IF($A803="","",SUMIFS(Transactions!$H$2:$H$1001,Transactions!$J$2:$J$1001,$A803,Transactions!$A$2:$A$1001,2)*$I803)</f>
        <v/>
      </c>
      <c r="P803" s="291" t="str">
        <f t="shared" si="115"/>
        <v/>
      </c>
      <c r="Q803" s="292" t="str">
        <f t="shared" si="116"/>
        <v/>
      </c>
    </row>
    <row r="804" spans="1:17" ht="15" customHeight="1" x14ac:dyDescent="0.2">
      <c r="A804" s="243" t="str">
        <f>IFERROR(INDEX(Txn[Key],MATCH(0,INDEX(COUNTIF($A$1:A803,Txn[Key])+(Txn[Key]=""),0),0)),"")</f>
        <v/>
      </c>
      <c r="B804" s="243" t="str">
        <f t="shared" si="108"/>
        <v/>
      </c>
      <c r="C804" s="243" t="str">
        <f t="shared" si="109"/>
        <v/>
      </c>
      <c r="D804" s="243" t="str">
        <f t="shared" si="110"/>
        <v/>
      </c>
      <c r="E804" s="265" t="str">
        <f>IF($A804="","",SUMIFS(Txn[Signed Units],Txn[Key],$A804))</f>
        <v/>
      </c>
      <c r="F804" s="287" t="str">
        <f>IF($A804="","",SUMIFS(Txn[Buy Cost],Txn[Key],$A804))</f>
        <v/>
      </c>
      <c r="G804" s="287" t="str">
        <f>IF($A804="","",SUMIFS(Txn[Sell Proceeds],Txn[Key],$A804))</f>
        <v/>
      </c>
      <c r="H804" s="288" t="str">
        <f>IF($A804="","",IFERROR(INDEX(Prices[Current Price],MATCH($A804,Prices[Key],0)),0))</f>
        <v/>
      </c>
      <c r="I804" s="289" t="str">
        <f>IF($A804="","",IFERROR(INDEX(Prices[FX to SGD],MATCH($A804,Prices[Key],0)),1))</f>
        <v/>
      </c>
      <c r="J804" s="287" t="str">
        <f t="shared" si="111"/>
        <v/>
      </c>
      <c r="K804" s="287" t="str">
        <f t="shared" si="112"/>
        <v/>
      </c>
      <c r="L804" s="287" t="str">
        <f t="shared" si="113"/>
        <v/>
      </c>
      <c r="M804" s="290" t="str">
        <f t="shared" si="114"/>
        <v/>
      </c>
      <c r="N804" s="243" t="str">
        <f>IF($A804="","",IF(ABS(E804)&gt;0.000001,COUNT($N$1:N803)+1,""))</f>
        <v/>
      </c>
      <c r="O804" s="291" t="str">
        <f>IF($A804="","",SUMIFS(Transactions!$H$2:$H$1001,Transactions!$J$2:$J$1001,$A804,Transactions!$A$2:$A$1001,2)*$I804)</f>
        <v/>
      </c>
      <c r="P804" s="291" t="str">
        <f t="shared" si="115"/>
        <v/>
      </c>
      <c r="Q804" s="292" t="str">
        <f t="shared" si="116"/>
        <v/>
      </c>
    </row>
    <row r="805" spans="1:17" ht="15" customHeight="1" x14ac:dyDescent="0.2">
      <c r="A805" s="243" t="str">
        <f>IFERROR(INDEX(Txn[Key],MATCH(0,INDEX(COUNTIF($A$1:A804,Txn[Key])+(Txn[Key]=""),0),0)),"")</f>
        <v/>
      </c>
      <c r="B805" s="243" t="str">
        <f t="shared" si="108"/>
        <v/>
      </c>
      <c r="C805" s="243" t="str">
        <f t="shared" si="109"/>
        <v/>
      </c>
      <c r="D805" s="243" t="str">
        <f t="shared" si="110"/>
        <v/>
      </c>
      <c r="E805" s="265" t="str">
        <f>IF($A805="","",SUMIFS(Txn[Signed Units],Txn[Key],$A805))</f>
        <v/>
      </c>
      <c r="F805" s="287" t="str">
        <f>IF($A805="","",SUMIFS(Txn[Buy Cost],Txn[Key],$A805))</f>
        <v/>
      </c>
      <c r="G805" s="287" t="str">
        <f>IF($A805="","",SUMIFS(Txn[Sell Proceeds],Txn[Key],$A805))</f>
        <v/>
      </c>
      <c r="H805" s="288" t="str">
        <f>IF($A805="","",IFERROR(INDEX(Prices[Current Price],MATCH($A805,Prices[Key],0)),0))</f>
        <v/>
      </c>
      <c r="I805" s="289" t="str">
        <f>IF($A805="","",IFERROR(INDEX(Prices[FX to SGD],MATCH($A805,Prices[Key],0)),1))</f>
        <v/>
      </c>
      <c r="J805" s="287" t="str">
        <f t="shared" si="111"/>
        <v/>
      </c>
      <c r="K805" s="287" t="str">
        <f t="shared" si="112"/>
        <v/>
      </c>
      <c r="L805" s="287" t="str">
        <f t="shared" si="113"/>
        <v/>
      </c>
      <c r="M805" s="290" t="str">
        <f t="shared" si="114"/>
        <v/>
      </c>
      <c r="N805" s="243" t="str">
        <f>IF($A805="","",IF(ABS(E805)&gt;0.000001,COUNT($N$1:N804)+1,""))</f>
        <v/>
      </c>
      <c r="O805" s="291" t="str">
        <f>IF($A805="","",SUMIFS(Transactions!$H$2:$H$1001,Transactions!$J$2:$J$1001,$A805,Transactions!$A$2:$A$1001,2)*$I805)</f>
        <v/>
      </c>
      <c r="P805" s="291" t="str">
        <f t="shared" si="115"/>
        <v/>
      </c>
      <c r="Q805" s="292" t="str">
        <f t="shared" si="116"/>
        <v/>
      </c>
    </row>
    <row r="806" spans="1:17" ht="15" customHeight="1" x14ac:dyDescent="0.2">
      <c r="A806" s="243" t="str">
        <f>IFERROR(INDEX(Txn[Key],MATCH(0,INDEX(COUNTIF($A$1:A805,Txn[Key])+(Txn[Key]=""),0),0)),"")</f>
        <v/>
      </c>
      <c r="B806" s="243" t="str">
        <f t="shared" si="108"/>
        <v/>
      </c>
      <c r="C806" s="243" t="str">
        <f t="shared" si="109"/>
        <v/>
      </c>
      <c r="D806" s="243" t="str">
        <f t="shared" si="110"/>
        <v/>
      </c>
      <c r="E806" s="265" t="str">
        <f>IF($A806="","",SUMIFS(Txn[Signed Units],Txn[Key],$A806))</f>
        <v/>
      </c>
      <c r="F806" s="287" t="str">
        <f>IF($A806="","",SUMIFS(Txn[Buy Cost],Txn[Key],$A806))</f>
        <v/>
      </c>
      <c r="G806" s="287" t="str">
        <f>IF($A806="","",SUMIFS(Txn[Sell Proceeds],Txn[Key],$A806))</f>
        <v/>
      </c>
      <c r="H806" s="288" t="str">
        <f>IF($A806="","",IFERROR(INDEX(Prices[Current Price],MATCH($A806,Prices[Key],0)),0))</f>
        <v/>
      </c>
      <c r="I806" s="289" t="str">
        <f>IF($A806="","",IFERROR(INDEX(Prices[FX to SGD],MATCH($A806,Prices[Key],0)),1))</f>
        <v/>
      </c>
      <c r="J806" s="287" t="str">
        <f t="shared" si="111"/>
        <v/>
      </c>
      <c r="K806" s="287" t="str">
        <f t="shared" si="112"/>
        <v/>
      </c>
      <c r="L806" s="287" t="str">
        <f t="shared" si="113"/>
        <v/>
      </c>
      <c r="M806" s="290" t="str">
        <f t="shared" si="114"/>
        <v/>
      </c>
      <c r="N806" s="243" t="str">
        <f>IF($A806="","",IF(ABS(E806)&gt;0.000001,COUNT($N$1:N805)+1,""))</f>
        <v/>
      </c>
      <c r="O806" s="291" t="str">
        <f>IF($A806="","",SUMIFS(Transactions!$H$2:$H$1001,Transactions!$J$2:$J$1001,$A806,Transactions!$A$2:$A$1001,2)*$I806)</f>
        <v/>
      </c>
      <c r="P806" s="291" t="str">
        <f t="shared" si="115"/>
        <v/>
      </c>
      <c r="Q806" s="292" t="str">
        <f t="shared" si="116"/>
        <v/>
      </c>
    </row>
    <row r="807" spans="1:17" ht="15" customHeight="1" x14ac:dyDescent="0.2">
      <c r="A807" s="243" t="str">
        <f>IFERROR(INDEX(Txn[Key],MATCH(0,INDEX(COUNTIF($A$1:A806,Txn[Key])+(Txn[Key]=""),0),0)),"")</f>
        <v/>
      </c>
      <c r="B807" s="243" t="str">
        <f t="shared" si="108"/>
        <v/>
      </c>
      <c r="C807" s="243" t="str">
        <f t="shared" si="109"/>
        <v/>
      </c>
      <c r="D807" s="243" t="str">
        <f t="shared" si="110"/>
        <v/>
      </c>
      <c r="E807" s="265" t="str">
        <f>IF($A807="","",SUMIFS(Txn[Signed Units],Txn[Key],$A807))</f>
        <v/>
      </c>
      <c r="F807" s="287" t="str">
        <f>IF($A807="","",SUMIFS(Txn[Buy Cost],Txn[Key],$A807))</f>
        <v/>
      </c>
      <c r="G807" s="287" t="str">
        <f>IF($A807="","",SUMIFS(Txn[Sell Proceeds],Txn[Key],$A807))</f>
        <v/>
      </c>
      <c r="H807" s="288" t="str">
        <f>IF($A807="","",IFERROR(INDEX(Prices[Current Price],MATCH($A807,Prices[Key],0)),0))</f>
        <v/>
      </c>
      <c r="I807" s="289" t="str">
        <f>IF($A807="","",IFERROR(INDEX(Prices[FX to SGD],MATCH($A807,Prices[Key],0)),1))</f>
        <v/>
      </c>
      <c r="J807" s="287" t="str">
        <f t="shared" si="111"/>
        <v/>
      </c>
      <c r="K807" s="287" t="str">
        <f t="shared" si="112"/>
        <v/>
      </c>
      <c r="L807" s="287" t="str">
        <f t="shared" si="113"/>
        <v/>
      </c>
      <c r="M807" s="290" t="str">
        <f t="shared" si="114"/>
        <v/>
      </c>
      <c r="N807" s="243" t="str">
        <f>IF($A807="","",IF(ABS(E807)&gt;0.000001,COUNT($N$1:N806)+1,""))</f>
        <v/>
      </c>
      <c r="O807" s="291" t="str">
        <f>IF($A807="","",SUMIFS(Transactions!$H$2:$H$1001,Transactions!$J$2:$J$1001,$A807,Transactions!$A$2:$A$1001,2)*$I807)</f>
        <v/>
      </c>
      <c r="P807" s="291" t="str">
        <f t="shared" si="115"/>
        <v/>
      </c>
      <c r="Q807" s="292" t="str">
        <f t="shared" si="116"/>
        <v/>
      </c>
    </row>
    <row r="808" spans="1:17" ht="15" customHeight="1" x14ac:dyDescent="0.2">
      <c r="A808" s="243" t="str">
        <f>IFERROR(INDEX(Txn[Key],MATCH(0,INDEX(COUNTIF($A$1:A807,Txn[Key])+(Txn[Key]=""),0),0)),"")</f>
        <v/>
      </c>
      <c r="B808" s="243" t="str">
        <f t="shared" si="108"/>
        <v/>
      </c>
      <c r="C808" s="243" t="str">
        <f t="shared" si="109"/>
        <v/>
      </c>
      <c r="D808" s="243" t="str">
        <f t="shared" si="110"/>
        <v/>
      </c>
      <c r="E808" s="265" t="str">
        <f>IF($A808="","",SUMIFS(Txn[Signed Units],Txn[Key],$A808))</f>
        <v/>
      </c>
      <c r="F808" s="287" t="str">
        <f>IF($A808="","",SUMIFS(Txn[Buy Cost],Txn[Key],$A808))</f>
        <v/>
      </c>
      <c r="G808" s="287" t="str">
        <f>IF($A808="","",SUMIFS(Txn[Sell Proceeds],Txn[Key],$A808))</f>
        <v/>
      </c>
      <c r="H808" s="288" t="str">
        <f>IF($A808="","",IFERROR(INDEX(Prices[Current Price],MATCH($A808,Prices[Key],0)),0))</f>
        <v/>
      </c>
      <c r="I808" s="289" t="str">
        <f>IF($A808="","",IFERROR(INDEX(Prices[FX to SGD],MATCH($A808,Prices[Key],0)),1))</f>
        <v/>
      </c>
      <c r="J808" s="287" t="str">
        <f t="shared" si="111"/>
        <v/>
      </c>
      <c r="K808" s="287" t="str">
        <f t="shared" si="112"/>
        <v/>
      </c>
      <c r="L808" s="287" t="str">
        <f t="shared" si="113"/>
        <v/>
      </c>
      <c r="M808" s="290" t="str">
        <f t="shared" si="114"/>
        <v/>
      </c>
      <c r="N808" s="243" t="str">
        <f>IF($A808="","",IF(ABS(E808)&gt;0.000001,COUNT($N$1:N807)+1,""))</f>
        <v/>
      </c>
      <c r="O808" s="291" t="str">
        <f>IF($A808="","",SUMIFS(Transactions!$H$2:$H$1001,Transactions!$J$2:$J$1001,$A808,Transactions!$A$2:$A$1001,2)*$I808)</f>
        <v/>
      </c>
      <c r="P808" s="291" t="str">
        <f t="shared" si="115"/>
        <v/>
      </c>
      <c r="Q808" s="292" t="str">
        <f t="shared" si="116"/>
        <v/>
      </c>
    </row>
    <row r="809" spans="1:17" ht="15" customHeight="1" x14ac:dyDescent="0.2">
      <c r="A809" s="243" t="str">
        <f>IFERROR(INDEX(Txn[Key],MATCH(0,INDEX(COUNTIF($A$1:A808,Txn[Key])+(Txn[Key]=""),0),0)),"")</f>
        <v/>
      </c>
      <c r="B809" s="243" t="str">
        <f t="shared" si="108"/>
        <v/>
      </c>
      <c r="C809" s="243" t="str">
        <f t="shared" si="109"/>
        <v/>
      </c>
      <c r="D809" s="243" t="str">
        <f t="shared" si="110"/>
        <v/>
      </c>
      <c r="E809" s="265" t="str">
        <f>IF($A809="","",SUMIFS(Txn[Signed Units],Txn[Key],$A809))</f>
        <v/>
      </c>
      <c r="F809" s="287" t="str">
        <f>IF($A809="","",SUMIFS(Txn[Buy Cost],Txn[Key],$A809))</f>
        <v/>
      </c>
      <c r="G809" s="287" t="str">
        <f>IF($A809="","",SUMIFS(Txn[Sell Proceeds],Txn[Key],$A809))</f>
        <v/>
      </c>
      <c r="H809" s="288" t="str">
        <f>IF($A809="","",IFERROR(INDEX(Prices[Current Price],MATCH($A809,Prices[Key],0)),0))</f>
        <v/>
      </c>
      <c r="I809" s="289" t="str">
        <f>IF($A809="","",IFERROR(INDEX(Prices[FX to SGD],MATCH($A809,Prices[Key],0)),1))</f>
        <v/>
      </c>
      <c r="J809" s="287" t="str">
        <f t="shared" si="111"/>
        <v/>
      </c>
      <c r="K809" s="287" t="str">
        <f t="shared" si="112"/>
        <v/>
      </c>
      <c r="L809" s="287" t="str">
        <f t="shared" si="113"/>
        <v/>
      </c>
      <c r="M809" s="290" t="str">
        <f t="shared" si="114"/>
        <v/>
      </c>
      <c r="N809" s="243" t="str">
        <f>IF($A809="","",IF(ABS(E809)&gt;0.000001,COUNT($N$1:N808)+1,""))</f>
        <v/>
      </c>
      <c r="O809" s="291" t="str">
        <f>IF($A809="","",SUMIFS(Transactions!$H$2:$H$1001,Transactions!$J$2:$J$1001,$A809,Transactions!$A$2:$A$1001,2)*$I809)</f>
        <v/>
      </c>
      <c r="P809" s="291" t="str">
        <f t="shared" si="115"/>
        <v/>
      </c>
      <c r="Q809" s="292" t="str">
        <f t="shared" si="116"/>
        <v/>
      </c>
    </row>
    <row r="810" spans="1:17" ht="15" customHeight="1" x14ac:dyDescent="0.2">
      <c r="A810" s="243" t="str">
        <f>IFERROR(INDEX(Txn[Key],MATCH(0,INDEX(COUNTIF($A$1:A809,Txn[Key])+(Txn[Key]=""),0),0)),"")</f>
        <v/>
      </c>
      <c r="B810" s="243" t="str">
        <f t="shared" si="108"/>
        <v/>
      </c>
      <c r="C810" s="243" t="str">
        <f t="shared" si="109"/>
        <v/>
      </c>
      <c r="D810" s="243" t="str">
        <f t="shared" si="110"/>
        <v/>
      </c>
      <c r="E810" s="265" t="str">
        <f>IF($A810="","",SUMIFS(Txn[Signed Units],Txn[Key],$A810))</f>
        <v/>
      </c>
      <c r="F810" s="287" t="str">
        <f>IF($A810="","",SUMIFS(Txn[Buy Cost],Txn[Key],$A810))</f>
        <v/>
      </c>
      <c r="G810" s="287" t="str">
        <f>IF($A810="","",SUMIFS(Txn[Sell Proceeds],Txn[Key],$A810))</f>
        <v/>
      </c>
      <c r="H810" s="288" t="str">
        <f>IF($A810="","",IFERROR(INDEX(Prices[Current Price],MATCH($A810,Prices[Key],0)),0))</f>
        <v/>
      </c>
      <c r="I810" s="289" t="str">
        <f>IF($A810="","",IFERROR(INDEX(Prices[FX to SGD],MATCH($A810,Prices[Key],0)),1))</f>
        <v/>
      </c>
      <c r="J810" s="287" t="str">
        <f t="shared" si="111"/>
        <v/>
      </c>
      <c r="K810" s="287" t="str">
        <f t="shared" si="112"/>
        <v/>
      </c>
      <c r="L810" s="287" t="str">
        <f t="shared" si="113"/>
        <v/>
      </c>
      <c r="M810" s="290" t="str">
        <f t="shared" si="114"/>
        <v/>
      </c>
      <c r="N810" s="243" t="str">
        <f>IF($A810="","",IF(ABS(E810)&gt;0.000001,COUNT($N$1:N809)+1,""))</f>
        <v/>
      </c>
      <c r="O810" s="291" t="str">
        <f>IF($A810="","",SUMIFS(Transactions!$H$2:$H$1001,Transactions!$J$2:$J$1001,$A810,Transactions!$A$2:$A$1001,2)*$I810)</f>
        <v/>
      </c>
      <c r="P810" s="291" t="str">
        <f t="shared" si="115"/>
        <v/>
      </c>
      <c r="Q810" s="292" t="str">
        <f t="shared" si="116"/>
        <v/>
      </c>
    </row>
    <row r="811" spans="1:17" ht="15" customHeight="1" x14ac:dyDescent="0.2">
      <c r="A811" s="243" t="str">
        <f>IFERROR(INDEX(Txn[Key],MATCH(0,INDEX(COUNTIF($A$1:A810,Txn[Key])+(Txn[Key]=""),0),0)),"")</f>
        <v/>
      </c>
      <c r="B811" s="243" t="str">
        <f t="shared" si="108"/>
        <v/>
      </c>
      <c r="C811" s="243" t="str">
        <f t="shared" si="109"/>
        <v/>
      </c>
      <c r="D811" s="243" t="str">
        <f t="shared" si="110"/>
        <v/>
      </c>
      <c r="E811" s="265" t="str">
        <f>IF($A811="","",SUMIFS(Txn[Signed Units],Txn[Key],$A811))</f>
        <v/>
      </c>
      <c r="F811" s="287" t="str">
        <f>IF($A811="","",SUMIFS(Txn[Buy Cost],Txn[Key],$A811))</f>
        <v/>
      </c>
      <c r="G811" s="287" t="str">
        <f>IF($A811="","",SUMIFS(Txn[Sell Proceeds],Txn[Key],$A811))</f>
        <v/>
      </c>
      <c r="H811" s="288" t="str">
        <f>IF($A811="","",IFERROR(INDEX(Prices[Current Price],MATCH($A811,Prices[Key],0)),0))</f>
        <v/>
      </c>
      <c r="I811" s="289" t="str">
        <f>IF($A811="","",IFERROR(INDEX(Prices[FX to SGD],MATCH($A811,Prices[Key],0)),1))</f>
        <v/>
      </c>
      <c r="J811" s="287" t="str">
        <f t="shared" si="111"/>
        <v/>
      </c>
      <c r="K811" s="287" t="str">
        <f t="shared" si="112"/>
        <v/>
      </c>
      <c r="L811" s="287" t="str">
        <f t="shared" si="113"/>
        <v/>
      </c>
      <c r="M811" s="290" t="str">
        <f t="shared" si="114"/>
        <v/>
      </c>
      <c r="N811" s="243" t="str">
        <f>IF($A811="","",IF(ABS(E811)&gt;0.000001,COUNT($N$1:N810)+1,""))</f>
        <v/>
      </c>
      <c r="O811" s="291" t="str">
        <f>IF($A811="","",SUMIFS(Transactions!$H$2:$H$1001,Transactions!$J$2:$J$1001,$A811,Transactions!$A$2:$A$1001,2)*$I811)</f>
        <v/>
      </c>
      <c r="P811" s="291" t="str">
        <f t="shared" si="115"/>
        <v/>
      </c>
      <c r="Q811" s="292" t="str">
        <f t="shared" si="116"/>
        <v/>
      </c>
    </row>
    <row r="812" spans="1:17" ht="15" customHeight="1" x14ac:dyDescent="0.2">
      <c r="A812" s="243" t="str">
        <f>IFERROR(INDEX(Txn[Key],MATCH(0,INDEX(COUNTIF($A$1:A811,Txn[Key])+(Txn[Key]=""),0),0)),"")</f>
        <v/>
      </c>
      <c r="B812" s="243" t="str">
        <f t="shared" si="108"/>
        <v/>
      </c>
      <c r="C812" s="243" t="str">
        <f t="shared" si="109"/>
        <v/>
      </c>
      <c r="D812" s="243" t="str">
        <f t="shared" si="110"/>
        <v/>
      </c>
      <c r="E812" s="265" t="str">
        <f>IF($A812="","",SUMIFS(Txn[Signed Units],Txn[Key],$A812))</f>
        <v/>
      </c>
      <c r="F812" s="287" t="str">
        <f>IF($A812="","",SUMIFS(Txn[Buy Cost],Txn[Key],$A812))</f>
        <v/>
      </c>
      <c r="G812" s="287" t="str">
        <f>IF($A812="","",SUMIFS(Txn[Sell Proceeds],Txn[Key],$A812))</f>
        <v/>
      </c>
      <c r="H812" s="288" t="str">
        <f>IF($A812="","",IFERROR(INDEX(Prices[Current Price],MATCH($A812,Prices[Key],0)),0))</f>
        <v/>
      </c>
      <c r="I812" s="289" t="str">
        <f>IF($A812="","",IFERROR(INDEX(Prices[FX to SGD],MATCH($A812,Prices[Key],0)),1))</f>
        <v/>
      </c>
      <c r="J812" s="287" t="str">
        <f t="shared" si="111"/>
        <v/>
      </c>
      <c r="K812" s="287" t="str">
        <f t="shared" si="112"/>
        <v/>
      </c>
      <c r="L812" s="287" t="str">
        <f t="shared" si="113"/>
        <v/>
      </c>
      <c r="M812" s="290" t="str">
        <f t="shared" si="114"/>
        <v/>
      </c>
      <c r="N812" s="243" t="str">
        <f>IF($A812="","",IF(ABS(E812)&gt;0.000001,COUNT($N$1:N811)+1,""))</f>
        <v/>
      </c>
      <c r="O812" s="291" t="str">
        <f>IF($A812="","",SUMIFS(Transactions!$H$2:$H$1001,Transactions!$J$2:$J$1001,$A812,Transactions!$A$2:$A$1001,2)*$I812)</f>
        <v/>
      </c>
      <c r="P812" s="291" t="str">
        <f t="shared" si="115"/>
        <v/>
      </c>
      <c r="Q812" s="292" t="str">
        <f t="shared" si="116"/>
        <v/>
      </c>
    </row>
    <row r="813" spans="1:17" ht="15" customHeight="1" x14ac:dyDescent="0.2">
      <c r="A813" s="243" t="str">
        <f>IFERROR(INDEX(Txn[Key],MATCH(0,INDEX(COUNTIF($A$1:A812,Txn[Key])+(Txn[Key]=""),0),0)),"")</f>
        <v/>
      </c>
      <c r="B813" s="243" t="str">
        <f t="shared" si="108"/>
        <v/>
      </c>
      <c r="C813" s="243" t="str">
        <f t="shared" si="109"/>
        <v/>
      </c>
      <c r="D813" s="243" t="str">
        <f t="shared" si="110"/>
        <v/>
      </c>
      <c r="E813" s="265" t="str">
        <f>IF($A813="","",SUMIFS(Txn[Signed Units],Txn[Key],$A813))</f>
        <v/>
      </c>
      <c r="F813" s="287" t="str">
        <f>IF($A813="","",SUMIFS(Txn[Buy Cost],Txn[Key],$A813))</f>
        <v/>
      </c>
      <c r="G813" s="287" t="str">
        <f>IF($A813="","",SUMIFS(Txn[Sell Proceeds],Txn[Key],$A813))</f>
        <v/>
      </c>
      <c r="H813" s="288" t="str">
        <f>IF($A813="","",IFERROR(INDEX(Prices[Current Price],MATCH($A813,Prices[Key],0)),0))</f>
        <v/>
      </c>
      <c r="I813" s="289" t="str">
        <f>IF($A813="","",IFERROR(INDEX(Prices[FX to SGD],MATCH($A813,Prices[Key],0)),1))</f>
        <v/>
      </c>
      <c r="J813" s="287" t="str">
        <f t="shared" si="111"/>
        <v/>
      </c>
      <c r="K813" s="287" t="str">
        <f t="shared" si="112"/>
        <v/>
      </c>
      <c r="L813" s="287" t="str">
        <f t="shared" si="113"/>
        <v/>
      </c>
      <c r="M813" s="290" t="str">
        <f t="shared" si="114"/>
        <v/>
      </c>
      <c r="N813" s="243" t="str">
        <f>IF($A813="","",IF(ABS(E813)&gt;0.000001,COUNT($N$1:N812)+1,""))</f>
        <v/>
      </c>
      <c r="O813" s="291" t="str">
        <f>IF($A813="","",SUMIFS(Transactions!$H$2:$H$1001,Transactions!$J$2:$J$1001,$A813,Transactions!$A$2:$A$1001,2)*$I813)</f>
        <v/>
      </c>
      <c r="P813" s="291" t="str">
        <f t="shared" si="115"/>
        <v/>
      </c>
      <c r="Q813" s="292" t="str">
        <f t="shared" si="116"/>
        <v/>
      </c>
    </row>
    <row r="814" spans="1:17" ht="15" customHeight="1" x14ac:dyDescent="0.2">
      <c r="A814" s="243" t="str">
        <f>IFERROR(INDEX(Txn[Key],MATCH(0,INDEX(COUNTIF($A$1:A813,Txn[Key])+(Txn[Key]=""),0),0)),"")</f>
        <v/>
      </c>
      <c r="B814" s="243" t="str">
        <f t="shared" si="108"/>
        <v/>
      </c>
      <c r="C814" s="243" t="str">
        <f t="shared" si="109"/>
        <v/>
      </c>
      <c r="D814" s="243" t="str">
        <f t="shared" si="110"/>
        <v/>
      </c>
      <c r="E814" s="265" t="str">
        <f>IF($A814="","",SUMIFS(Txn[Signed Units],Txn[Key],$A814))</f>
        <v/>
      </c>
      <c r="F814" s="287" t="str">
        <f>IF($A814="","",SUMIFS(Txn[Buy Cost],Txn[Key],$A814))</f>
        <v/>
      </c>
      <c r="G814" s="287" t="str">
        <f>IF($A814="","",SUMIFS(Txn[Sell Proceeds],Txn[Key],$A814))</f>
        <v/>
      </c>
      <c r="H814" s="288" t="str">
        <f>IF($A814="","",IFERROR(INDEX(Prices[Current Price],MATCH($A814,Prices[Key],0)),0))</f>
        <v/>
      </c>
      <c r="I814" s="289" t="str">
        <f>IF($A814="","",IFERROR(INDEX(Prices[FX to SGD],MATCH($A814,Prices[Key],0)),1))</f>
        <v/>
      </c>
      <c r="J814" s="287" t="str">
        <f t="shared" si="111"/>
        <v/>
      </c>
      <c r="K814" s="287" t="str">
        <f t="shared" si="112"/>
        <v/>
      </c>
      <c r="L814" s="287" t="str">
        <f t="shared" si="113"/>
        <v/>
      </c>
      <c r="M814" s="290" t="str">
        <f t="shared" si="114"/>
        <v/>
      </c>
      <c r="N814" s="243" t="str">
        <f>IF($A814="","",IF(ABS(E814)&gt;0.000001,COUNT($N$1:N813)+1,""))</f>
        <v/>
      </c>
      <c r="O814" s="291" t="str">
        <f>IF($A814="","",SUMIFS(Transactions!$H$2:$H$1001,Transactions!$J$2:$J$1001,$A814,Transactions!$A$2:$A$1001,2)*$I814)</f>
        <v/>
      </c>
      <c r="P814" s="291" t="str">
        <f t="shared" si="115"/>
        <v/>
      </c>
      <c r="Q814" s="292" t="str">
        <f t="shared" si="116"/>
        <v/>
      </c>
    </row>
    <row r="815" spans="1:17" ht="15" customHeight="1" x14ac:dyDescent="0.2">
      <c r="A815" s="243" t="str">
        <f>IFERROR(INDEX(Txn[Key],MATCH(0,INDEX(COUNTIF($A$1:A814,Txn[Key])+(Txn[Key]=""),0),0)),"")</f>
        <v/>
      </c>
      <c r="B815" s="243" t="str">
        <f t="shared" si="108"/>
        <v/>
      </c>
      <c r="C815" s="243" t="str">
        <f t="shared" si="109"/>
        <v/>
      </c>
      <c r="D815" s="243" t="str">
        <f t="shared" si="110"/>
        <v/>
      </c>
      <c r="E815" s="265" t="str">
        <f>IF($A815="","",SUMIFS(Txn[Signed Units],Txn[Key],$A815))</f>
        <v/>
      </c>
      <c r="F815" s="287" t="str">
        <f>IF($A815="","",SUMIFS(Txn[Buy Cost],Txn[Key],$A815))</f>
        <v/>
      </c>
      <c r="G815" s="287" t="str">
        <f>IF($A815="","",SUMIFS(Txn[Sell Proceeds],Txn[Key],$A815))</f>
        <v/>
      </c>
      <c r="H815" s="288" t="str">
        <f>IF($A815="","",IFERROR(INDEX(Prices[Current Price],MATCH($A815,Prices[Key],0)),0))</f>
        <v/>
      </c>
      <c r="I815" s="289" t="str">
        <f>IF($A815="","",IFERROR(INDEX(Prices[FX to SGD],MATCH($A815,Prices[Key],0)),1))</f>
        <v/>
      </c>
      <c r="J815" s="287" t="str">
        <f t="shared" si="111"/>
        <v/>
      </c>
      <c r="K815" s="287" t="str">
        <f t="shared" si="112"/>
        <v/>
      </c>
      <c r="L815" s="287" t="str">
        <f t="shared" si="113"/>
        <v/>
      </c>
      <c r="M815" s="290" t="str">
        <f t="shared" si="114"/>
        <v/>
      </c>
      <c r="N815" s="243" t="str">
        <f>IF($A815="","",IF(ABS(E815)&gt;0.000001,COUNT($N$1:N814)+1,""))</f>
        <v/>
      </c>
      <c r="O815" s="291" t="str">
        <f>IF($A815="","",SUMIFS(Transactions!$H$2:$H$1001,Transactions!$J$2:$J$1001,$A815,Transactions!$A$2:$A$1001,2)*$I815)</f>
        <v/>
      </c>
      <c r="P815" s="291" t="str">
        <f t="shared" si="115"/>
        <v/>
      </c>
      <c r="Q815" s="292" t="str">
        <f t="shared" si="116"/>
        <v/>
      </c>
    </row>
    <row r="816" spans="1:17" ht="15" customHeight="1" x14ac:dyDescent="0.2">
      <c r="A816" s="243" t="str">
        <f>IFERROR(INDEX(Txn[Key],MATCH(0,INDEX(COUNTIF($A$1:A815,Txn[Key])+(Txn[Key]=""),0),0)),"")</f>
        <v/>
      </c>
      <c r="B816" s="243" t="str">
        <f t="shared" si="108"/>
        <v/>
      </c>
      <c r="C816" s="243" t="str">
        <f t="shared" si="109"/>
        <v/>
      </c>
      <c r="D816" s="243" t="str">
        <f t="shared" si="110"/>
        <v/>
      </c>
      <c r="E816" s="265" t="str">
        <f>IF($A816="","",SUMIFS(Txn[Signed Units],Txn[Key],$A816))</f>
        <v/>
      </c>
      <c r="F816" s="287" t="str">
        <f>IF($A816="","",SUMIFS(Txn[Buy Cost],Txn[Key],$A816))</f>
        <v/>
      </c>
      <c r="G816" s="287" t="str">
        <f>IF($A816="","",SUMIFS(Txn[Sell Proceeds],Txn[Key],$A816))</f>
        <v/>
      </c>
      <c r="H816" s="288" t="str">
        <f>IF($A816="","",IFERROR(INDEX(Prices[Current Price],MATCH($A816,Prices[Key],0)),0))</f>
        <v/>
      </c>
      <c r="I816" s="289" t="str">
        <f>IF($A816="","",IFERROR(INDEX(Prices[FX to SGD],MATCH($A816,Prices[Key],0)),1))</f>
        <v/>
      </c>
      <c r="J816" s="287" t="str">
        <f t="shared" si="111"/>
        <v/>
      </c>
      <c r="K816" s="287" t="str">
        <f t="shared" si="112"/>
        <v/>
      </c>
      <c r="L816" s="287" t="str">
        <f t="shared" si="113"/>
        <v/>
      </c>
      <c r="M816" s="290" t="str">
        <f t="shared" si="114"/>
        <v/>
      </c>
      <c r="N816" s="243" t="str">
        <f>IF($A816="","",IF(ABS(E816)&gt;0.000001,COUNT($N$1:N815)+1,""))</f>
        <v/>
      </c>
      <c r="O816" s="291" t="str">
        <f>IF($A816="","",SUMIFS(Transactions!$H$2:$H$1001,Transactions!$J$2:$J$1001,$A816,Transactions!$A$2:$A$1001,2)*$I816)</f>
        <v/>
      </c>
      <c r="P816" s="291" t="str">
        <f t="shared" si="115"/>
        <v/>
      </c>
      <c r="Q816" s="292" t="str">
        <f t="shared" si="116"/>
        <v/>
      </c>
    </row>
    <row r="817" spans="1:17" ht="15" customHeight="1" x14ac:dyDescent="0.2">
      <c r="A817" s="243" t="str">
        <f>IFERROR(INDEX(Txn[Key],MATCH(0,INDEX(COUNTIF($A$1:A816,Txn[Key])+(Txn[Key]=""),0),0)),"")</f>
        <v/>
      </c>
      <c r="B817" s="243" t="str">
        <f t="shared" si="108"/>
        <v/>
      </c>
      <c r="C817" s="243" t="str">
        <f t="shared" si="109"/>
        <v/>
      </c>
      <c r="D817" s="243" t="str">
        <f t="shared" si="110"/>
        <v/>
      </c>
      <c r="E817" s="265" t="str">
        <f>IF($A817="","",SUMIFS(Txn[Signed Units],Txn[Key],$A817))</f>
        <v/>
      </c>
      <c r="F817" s="287" t="str">
        <f>IF($A817="","",SUMIFS(Txn[Buy Cost],Txn[Key],$A817))</f>
        <v/>
      </c>
      <c r="G817" s="287" t="str">
        <f>IF($A817="","",SUMIFS(Txn[Sell Proceeds],Txn[Key],$A817))</f>
        <v/>
      </c>
      <c r="H817" s="288" t="str">
        <f>IF($A817="","",IFERROR(INDEX(Prices[Current Price],MATCH($A817,Prices[Key],0)),0))</f>
        <v/>
      </c>
      <c r="I817" s="289" t="str">
        <f>IF($A817="","",IFERROR(INDEX(Prices[FX to SGD],MATCH($A817,Prices[Key],0)),1))</f>
        <v/>
      </c>
      <c r="J817" s="287" t="str">
        <f t="shared" si="111"/>
        <v/>
      </c>
      <c r="K817" s="287" t="str">
        <f t="shared" si="112"/>
        <v/>
      </c>
      <c r="L817" s="287" t="str">
        <f t="shared" si="113"/>
        <v/>
      </c>
      <c r="M817" s="290" t="str">
        <f t="shared" si="114"/>
        <v/>
      </c>
      <c r="N817" s="243" t="str">
        <f>IF($A817="","",IF(ABS(E817)&gt;0.000001,COUNT($N$1:N816)+1,""))</f>
        <v/>
      </c>
      <c r="O817" s="291" t="str">
        <f>IF($A817="","",SUMIFS(Transactions!$H$2:$H$1001,Transactions!$J$2:$J$1001,$A817,Transactions!$A$2:$A$1001,2)*$I817)</f>
        <v/>
      </c>
      <c r="P817" s="291" t="str">
        <f t="shared" si="115"/>
        <v/>
      </c>
      <c r="Q817" s="292" t="str">
        <f t="shared" si="116"/>
        <v/>
      </c>
    </row>
    <row r="818" spans="1:17" ht="15" customHeight="1" x14ac:dyDescent="0.2">
      <c r="A818" s="243" t="str">
        <f>IFERROR(INDEX(Txn[Key],MATCH(0,INDEX(COUNTIF($A$1:A817,Txn[Key])+(Txn[Key]=""),0),0)),"")</f>
        <v/>
      </c>
      <c r="B818" s="243" t="str">
        <f t="shared" si="108"/>
        <v/>
      </c>
      <c r="C818" s="243" t="str">
        <f t="shared" si="109"/>
        <v/>
      </c>
      <c r="D818" s="243" t="str">
        <f t="shared" si="110"/>
        <v/>
      </c>
      <c r="E818" s="265" t="str">
        <f>IF($A818="","",SUMIFS(Txn[Signed Units],Txn[Key],$A818))</f>
        <v/>
      </c>
      <c r="F818" s="287" t="str">
        <f>IF($A818="","",SUMIFS(Txn[Buy Cost],Txn[Key],$A818))</f>
        <v/>
      </c>
      <c r="G818" s="287" t="str">
        <f>IF($A818="","",SUMIFS(Txn[Sell Proceeds],Txn[Key],$A818))</f>
        <v/>
      </c>
      <c r="H818" s="288" t="str">
        <f>IF($A818="","",IFERROR(INDEX(Prices[Current Price],MATCH($A818,Prices[Key],0)),0))</f>
        <v/>
      </c>
      <c r="I818" s="289" t="str">
        <f>IF($A818="","",IFERROR(INDEX(Prices[FX to SGD],MATCH($A818,Prices[Key],0)),1))</f>
        <v/>
      </c>
      <c r="J818" s="287" t="str">
        <f t="shared" si="111"/>
        <v/>
      </c>
      <c r="K818" s="287" t="str">
        <f t="shared" si="112"/>
        <v/>
      </c>
      <c r="L818" s="287" t="str">
        <f t="shared" si="113"/>
        <v/>
      </c>
      <c r="M818" s="290" t="str">
        <f t="shared" si="114"/>
        <v/>
      </c>
      <c r="N818" s="243" t="str">
        <f>IF($A818="","",IF(ABS(E818)&gt;0.000001,COUNT($N$1:N817)+1,""))</f>
        <v/>
      </c>
      <c r="O818" s="291" t="str">
        <f>IF($A818="","",SUMIFS(Transactions!$H$2:$H$1001,Transactions!$J$2:$J$1001,$A818,Transactions!$A$2:$A$1001,2)*$I818)</f>
        <v/>
      </c>
      <c r="P818" s="291" t="str">
        <f t="shared" si="115"/>
        <v/>
      </c>
      <c r="Q818" s="292" t="str">
        <f t="shared" si="116"/>
        <v/>
      </c>
    </row>
    <row r="819" spans="1:17" ht="15" customHeight="1" x14ac:dyDescent="0.2">
      <c r="A819" s="243" t="str">
        <f>IFERROR(INDEX(Txn[Key],MATCH(0,INDEX(COUNTIF($A$1:A818,Txn[Key])+(Txn[Key]=""),0),0)),"")</f>
        <v/>
      </c>
      <c r="B819" s="243" t="str">
        <f t="shared" si="108"/>
        <v/>
      </c>
      <c r="C819" s="243" t="str">
        <f t="shared" si="109"/>
        <v/>
      </c>
      <c r="D819" s="243" t="str">
        <f t="shared" si="110"/>
        <v/>
      </c>
      <c r="E819" s="265" t="str">
        <f>IF($A819="","",SUMIFS(Txn[Signed Units],Txn[Key],$A819))</f>
        <v/>
      </c>
      <c r="F819" s="287" t="str">
        <f>IF($A819="","",SUMIFS(Txn[Buy Cost],Txn[Key],$A819))</f>
        <v/>
      </c>
      <c r="G819" s="287" t="str">
        <f>IF($A819="","",SUMIFS(Txn[Sell Proceeds],Txn[Key],$A819))</f>
        <v/>
      </c>
      <c r="H819" s="288" t="str">
        <f>IF($A819="","",IFERROR(INDEX(Prices[Current Price],MATCH($A819,Prices[Key],0)),0))</f>
        <v/>
      </c>
      <c r="I819" s="289" t="str">
        <f>IF($A819="","",IFERROR(INDEX(Prices[FX to SGD],MATCH($A819,Prices[Key],0)),1))</f>
        <v/>
      </c>
      <c r="J819" s="287" t="str">
        <f t="shared" si="111"/>
        <v/>
      </c>
      <c r="K819" s="287" t="str">
        <f t="shared" si="112"/>
        <v/>
      </c>
      <c r="L819" s="287" t="str">
        <f t="shared" si="113"/>
        <v/>
      </c>
      <c r="M819" s="290" t="str">
        <f t="shared" si="114"/>
        <v/>
      </c>
      <c r="N819" s="243" t="str">
        <f>IF($A819="","",IF(ABS(E819)&gt;0.000001,COUNT($N$1:N818)+1,""))</f>
        <v/>
      </c>
      <c r="O819" s="291" t="str">
        <f>IF($A819="","",SUMIFS(Transactions!$H$2:$H$1001,Transactions!$J$2:$J$1001,$A819,Transactions!$A$2:$A$1001,2)*$I819)</f>
        <v/>
      </c>
      <c r="P819" s="291" t="str">
        <f t="shared" si="115"/>
        <v/>
      </c>
      <c r="Q819" s="292" t="str">
        <f t="shared" si="116"/>
        <v/>
      </c>
    </row>
    <row r="820" spans="1:17" ht="15" customHeight="1" x14ac:dyDescent="0.2">
      <c r="A820" s="243" t="str">
        <f>IFERROR(INDEX(Txn[Key],MATCH(0,INDEX(COUNTIF($A$1:A819,Txn[Key])+(Txn[Key]=""),0),0)),"")</f>
        <v/>
      </c>
      <c r="B820" s="243" t="str">
        <f t="shared" si="108"/>
        <v/>
      </c>
      <c r="C820" s="243" t="str">
        <f t="shared" si="109"/>
        <v/>
      </c>
      <c r="D820" s="243" t="str">
        <f t="shared" si="110"/>
        <v/>
      </c>
      <c r="E820" s="265" t="str">
        <f>IF($A820="","",SUMIFS(Txn[Signed Units],Txn[Key],$A820))</f>
        <v/>
      </c>
      <c r="F820" s="287" t="str">
        <f>IF($A820="","",SUMIFS(Txn[Buy Cost],Txn[Key],$A820))</f>
        <v/>
      </c>
      <c r="G820" s="287" t="str">
        <f>IF($A820="","",SUMIFS(Txn[Sell Proceeds],Txn[Key],$A820))</f>
        <v/>
      </c>
      <c r="H820" s="288" t="str">
        <f>IF($A820="","",IFERROR(INDEX(Prices[Current Price],MATCH($A820,Prices[Key],0)),0))</f>
        <v/>
      </c>
      <c r="I820" s="289" t="str">
        <f>IF($A820="","",IFERROR(INDEX(Prices[FX to SGD],MATCH($A820,Prices[Key],0)),1))</f>
        <v/>
      </c>
      <c r="J820" s="287" t="str">
        <f t="shared" si="111"/>
        <v/>
      </c>
      <c r="K820" s="287" t="str">
        <f t="shared" si="112"/>
        <v/>
      </c>
      <c r="L820" s="287" t="str">
        <f t="shared" si="113"/>
        <v/>
      </c>
      <c r="M820" s="290" t="str">
        <f t="shared" si="114"/>
        <v/>
      </c>
      <c r="N820" s="243" t="str">
        <f>IF($A820="","",IF(ABS(E820)&gt;0.000001,COUNT($N$1:N819)+1,""))</f>
        <v/>
      </c>
      <c r="O820" s="291" t="str">
        <f>IF($A820="","",SUMIFS(Transactions!$H$2:$H$1001,Transactions!$J$2:$J$1001,$A820,Transactions!$A$2:$A$1001,2)*$I820)</f>
        <v/>
      </c>
      <c r="P820" s="291" t="str">
        <f t="shared" si="115"/>
        <v/>
      </c>
      <c r="Q820" s="292" t="str">
        <f t="shared" si="116"/>
        <v/>
      </c>
    </row>
    <row r="821" spans="1:17" ht="15" customHeight="1" x14ac:dyDescent="0.2">
      <c r="A821" s="243" t="str">
        <f>IFERROR(INDEX(Txn[Key],MATCH(0,INDEX(COUNTIF($A$1:A820,Txn[Key])+(Txn[Key]=""),0),0)),"")</f>
        <v/>
      </c>
      <c r="B821" s="243" t="str">
        <f t="shared" si="108"/>
        <v/>
      </c>
      <c r="C821" s="243" t="str">
        <f t="shared" si="109"/>
        <v/>
      </c>
      <c r="D821" s="243" t="str">
        <f t="shared" si="110"/>
        <v/>
      </c>
      <c r="E821" s="265" t="str">
        <f>IF($A821="","",SUMIFS(Txn[Signed Units],Txn[Key],$A821))</f>
        <v/>
      </c>
      <c r="F821" s="287" t="str">
        <f>IF($A821="","",SUMIFS(Txn[Buy Cost],Txn[Key],$A821))</f>
        <v/>
      </c>
      <c r="G821" s="287" t="str">
        <f>IF($A821="","",SUMIFS(Txn[Sell Proceeds],Txn[Key],$A821))</f>
        <v/>
      </c>
      <c r="H821" s="288" t="str">
        <f>IF($A821="","",IFERROR(INDEX(Prices[Current Price],MATCH($A821,Prices[Key],0)),0))</f>
        <v/>
      </c>
      <c r="I821" s="289" t="str">
        <f>IF($A821="","",IFERROR(INDEX(Prices[FX to SGD],MATCH($A821,Prices[Key],0)),1))</f>
        <v/>
      </c>
      <c r="J821" s="287" t="str">
        <f t="shared" si="111"/>
        <v/>
      </c>
      <c r="K821" s="287" t="str">
        <f t="shared" si="112"/>
        <v/>
      </c>
      <c r="L821" s="287" t="str">
        <f t="shared" si="113"/>
        <v/>
      </c>
      <c r="M821" s="290" t="str">
        <f t="shared" si="114"/>
        <v/>
      </c>
      <c r="N821" s="243" t="str">
        <f>IF($A821="","",IF(ABS(E821)&gt;0.000001,COUNT($N$1:N820)+1,""))</f>
        <v/>
      </c>
      <c r="O821" s="291" t="str">
        <f>IF($A821="","",SUMIFS(Transactions!$H$2:$H$1001,Transactions!$J$2:$J$1001,$A821,Transactions!$A$2:$A$1001,2)*$I821)</f>
        <v/>
      </c>
      <c r="P821" s="291" t="str">
        <f t="shared" si="115"/>
        <v/>
      </c>
      <c r="Q821" s="292" t="str">
        <f t="shared" si="116"/>
        <v/>
      </c>
    </row>
    <row r="822" spans="1:17" ht="15" customHeight="1" x14ac:dyDescent="0.2">
      <c r="A822" s="243" t="str">
        <f>IFERROR(INDEX(Txn[Key],MATCH(0,INDEX(COUNTIF($A$1:A821,Txn[Key])+(Txn[Key]=""),0),0)),"")</f>
        <v/>
      </c>
      <c r="B822" s="243" t="str">
        <f t="shared" si="108"/>
        <v/>
      </c>
      <c r="C822" s="243" t="str">
        <f t="shared" si="109"/>
        <v/>
      </c>
      <c r="D822" s="243" t="str">
        <f t="shared" si="110"/>
        <v/>
      </c>
      <c r="E822" s="265" t="str">
        <f>IF($A822="","",SUMIFS(Txn[Signed Units],Txn[Key],$A822))</f>
        <v/>
      </c>
      <c r="F822" s="287" t="str">
        <f>IF($A822="","",SUMIFS(Txn[Buy Cost],Txn[Key],$A822))</f>
        <v/>
      </c>
      <c r="G822" s="287" t="str">
        <f>IF($A822="","",SUMIFS(Txn[Sell Proceeds],Txn[Key],$A822))</f>
        <v/>
      </c>
      <c r="H822" s="288" t="str">
        <f>IF($A822="","",IFERROR(INDEX(Prices[Current Price],MATCH($A822,Prices[Key],0)),0))</f>
        <v/>
      </c>
      <c r="I822" s="289" t="str">
        <f>IF($A822="","",IFERROR(INDEX(Prices[FX to SGD],MATCH($A822,Prices[Key],0)),1))</f>
        <v/>
      </c>
      <c r="J822" s="287" t="str">
        <f t="shared" si="111"/>
        <v/>
      </c>
      <c r="K822" s="287" t="str">
        <f t="shared" si="112"/>
        <v/>
      </c>
      <c r="L822" s="287" t="str">
        <f t="shared" si="113"/>
        <v/>
      </c>
      <c r="M822" s="290" t="str">
        <f t="shared" si="114"/>
        <v/>
      </c>
      <c r="N822" s="243" t="str">
        <f>IF($A822="","",IF(ABS(E822)&gt;0.000001,COUNT($N$1:N821)+1,""))</f>
        <v/>
      </c>
      <c r="O822" s="291" t="str">
        <f>IF($A822="","",SUMIFS(Transactions!$H$2:$H$1001,Transactions!$J$2:$J$1001,$A822,Transactions!$A$2:$A$1001,2)*$I822)</f>
        <v/>
      </c>
      <c r="P822" s="291" t="str">
        <f t="shared" si="115"/>
        <v/>
      </c>
      <c r="Q822" s="292" t="str">
        <f t="shared" si="116"/>
        <v/>
      </c>
    </row>
    <row r="823" spans="1:17" ht="15" customHeight="1" x14ac:dyDescent="0.2">
      <c r="A823" s="243" t="str">
        <f>IFERROR(INDEX(Txn[Key],MATCH(0,INDEX(COUNTIF($A$1:A822,Txn[Key])+(Txn[Key]=""),0),0)),"")</f>
        <v/>
      </c>
      <c r="B823" s="243" t="str">
        <f t="shared" si="108"/>
        <v/>
      </c>
      <c r="C823" s="243" t="str">
        <f t="shared" si="109"/>
        <v/>
      </c>
      <c r="D823" s="243" t="str">
        <f t="shared" si="110"/>
        <v/>
      </c>
      <c r="E823" s="265" t="str">
        <f>IF($A823="","",SUMIFS(Txn[Signed Units],Txn[Key],$A823))</f>
        <v/>
      </c>
      <c r="F823" s="287" t="str">
        <f>IF($A823="","",SUMIFS(Txn[Buy Cost],Txn[Key],$A823))</f>
        <v/>
      </c>
      <c r="G823" s="287" t="str">
        <f>IF($A823="","",SUMIFS(Txn[Sell Proceeds],Txn[Key],$A823))</f>
        <v/>
      </c>
      <c r="H823" s="288" t="str">
        <f>IF($A823="","",IFERROR(INDEX(Prices[Current Price],MATCH($A823,Prices[Key],0)),0))</f>
        <v/>
      </c>
      <c r="I823" s="289" t="str">
        <f>IF($A823="","",IFERROR(INDEX(Prices[FX to SGD],MATCH($A823,Prices[Key],0)),1))</f>
        <v/>
      </c>
      <c r="J823" s="287" t="str">
        <f t="shared" si="111"/>
        <v/>
      </c>
      <c r="K823" s="287" t="str">
        <f t="shared" si="112"/>
        <v/>
      </c>
      <c r="L823" s="287" t="str">
        <f t="shared" si="113"/>
        <v/>
      </c>
      <c r="M823" s="290" t="str">
        <f t="shared" si="114"/>
        <v/>
      </c>
      <c r="N823" s="243" t="str">
        <f>IF($A823="","",IF(ABS(E823)&gt;0.000001,COUNT($N$1:N822)+1,""))</f>
        <v/>
      </c>
      <c r="O823" s="291" t="str">
        <f>IF($A823="","",SUMIFS(Transactions!$H$2:$H$1001,Transactions!$J$2:$J$1001,$A823,Transactions!$A$2:$A$1001,2)*$I823)</f>
        <v/>
      </c>
      <c r="P823" s="291" t="str">
        <f t="shared" si="115"/>
        <v/>
      </c>
      <c r="Q823" s="292" t="str">
        <f t="shared" si="116"/>
        <v/>
      </c>
    </row>
    <row r="824" spans="1:17" ht="15" customHeight="1" x14ac:dyDescent="0.2">
      <c r="A824" s="243" t="str">
        <f>IFERROR(INDEX(Txn[Key],MATCH(0,INDEX(COUNTIF($A$1:A823,Txn[Key])+(Txn[Key]=""),0),0)),"")</f>
        <v/>
      </c>
      <c r="B824" s="243" t="str">
        <f t="shared" si="108"/>
        <v/>
      </c>
      <c r="C824" s="243" t="str">
        <f t="shared" si="109"/>
        <v/>
      </c>
      <c r="D824" s="243" t="str">
        <f t="shared" si="110"/>
        <v/>
      </c>
      <c r="E824" s="265" t="str">
        <f>IF($A824="","",SUMIFS(Txn[Signed Units],Txn[Key],$A824))</f>
        <v/>
      </c>
      <c r="F824" s="287" t="str">
        <f>IF($A824="","",SUMIFS(Txn[Buy Cost],Txn[Key],$A824))</f>
        <v/>
      </c>
      <c r="G824" s="287" t="str">
        <f>IF($A824="","",SUMIFS(Txn[Sell Proceeds],Txn[Key],$A824))</f>
        <v/>
      </c>
      <c r="H824" s="288" t="str">
        <f>IF($A824="","",IFERROR(INDEX(Prices[Current Price],MATCH($A824,Prices[Key],0)),0))</f>
        <v/>
      </c>
      <c r="I824" s="289" t="str">
        <f>IF($A824="","",IFERROR(INDEX(Prices[FX to SGD],MATCH($A824,Prices[Key],0)),1))</f>
        <v/>
      </c>
      <c r="J824" s="287" t="str">
        <f t="shared" si="111"/>
        <v/>
      </c>
      <c r="K824" s="287" t="str">
        <f t="shared" si="112"/>
        <v/>
      </c>
      <c r="L824" s="287" t="str">
        <f t="shared" si="113"/>
        <v/>
      </c>
      <c r="M824" s="290" t="str">
        <f t="shared" si="114"/>
        <v/>
      </c>
      <c r="N824" s="243" t="str">
        <f>IF($A824="","",IF(ABS(E824)&gt;0.000001,COUNT($N$1:N823)+1,""))</f>
        <v/>
      </c>
      <c r="O824" s="291" t="str">
        <f>IF($A824="","",SUMIFS(Transactions!$H$2:$H$1001,Transactions!$J$2:$J$1001,$A824,Transactions!$A$2:$A$1001,2)*$I824)</f>
        <v/>
      </c>
      <c r="P824" s="291" t="str">
        <f t="shared" si="115"/>
        <v/>
      </c>
      <c r="Q824" s="292" t="str">
        <f t="shared" si="116"/>
        <v/>
      </c>
    </row>
    <row r="825" spans="1:17" ht="15" customHeight="1" x14ac:dyDescent="0.2">
      <c r="A825" s="243" t="str">
        <f>IFERROR(INDEX(Txn[Key],MATCH(0,INDEX(COUNTIF($A$1:A824,Txn[Key])+(Txn[Key]=""),0),0)),"")</f>
        <v/>
      </c>
      <c r="B825" s="243" t="str">
        <f t="shared" si="108"/>
        <v/>
      </c>
      <c r="C825" s="243" t="str">
        <f t="shared" si="109"/>
        <v/>
      </c>
      <c r="D825" s="243" t="str">
        <f t="shared" si="110"/>
        <v/>
      </c>
      <c r="E825" s="265" t="str">
        <f>IF($A825="","",SUMIFS(Txn[Signed Units],Txn[Key],$A825))</f>
        <v/>
      </c>
      <c r="F825" s="287" t="str">
        <f>IF($A825="","",SUMIFS(Txn[Buy Cost],Txn[Key],$A825))</f>
        <v/>
      </c>
      <c r="G825" s="287" t="str">
        <f>IF($A825="","",SUMIFS(Txn[Sell Proceeds],Txn[Key],$A825))</f>
        <v/>
      </c>
      <c r="H825" s="288" t="str">
        <f>IF($A825="","",IFERROR(INDEX(Prices[Current Price],MATCH($A825,Prices[Key],0)),0))</f>
        <v/>
      </c>
      <c r="I825" s="289" t="str">
        <f>IF($A825="","",IFERROR(INDEX(Prices[FX to SGD],MATCH($A825,Prices[Key],0)),1))</f>
        <v/>
      </c>
      <c r="J825" s="287" t="str">
        <f t="shared" si="111"/>
        <v/>
      </c>
      <c r="K825" s="287" t="str">
        <f t="shared" si="112"/>
        <v/>
      </c>
      <c r="L825" s="287" t="str">
        <f t="shared" si="113"/>
        <v/>
      </c>
      <c r="M825" s="290" t="str">
        <f t="shared" si="114"/>
        <v/>
      </c>
      <c r="N825" s="243" t="str">
        <f>IF($A825="","",IF(ABS(E825)&gt;0.000001,COUNT($N$1:N824)+1,""))</f>
        <v/>
      </c>
      <c r="O825" s="291" t="str">
        <f>IF($A825="","",SUMIFS(Transactions!$H$2:$H$1001,Transactions!$J$2:$J$1001,$A825,Transactions!$A$2:$A$1001,2)*$I825)</f>
        <v/>
      </c>
      <c r="P825" s="291" t="str">
        <f t="shared" si="115"/>
        <v/>
      </c>
      <c r="Q825" s="292" t="str">
        <f t="shared" si="116"/>
        <v/>
      </c>
    </row>
    <row r="826" spans="1:17" ht="15" customHeight="1" x14ac:dyDescent="0.2">
      <c r="A826" s="243" t="str">
        <f>IFERROR(INDEX(Txn[Key],MATCH(0,INDEX(COUNTIF($A$1:A825,Txn[Key])+(Txn[Key]=""),0),0)),"")</f>
        <v/>
      </c>
      <c r="B826" s="243" t="str">
        <f t="shared" si="108"/>
        <v/>
      </c>
      <c r="C826" s="243" t="str">
        <f t="shared" si="109"/>
        <v/>
      </c>
      <c r="D826" s="243" t="str">
        <f t="shared" si="110"/>
        <v/>
      </c>
      <c r="E826" s="265" t="str">
        <f>IF($A826="","",SUMIFS(Txn[Signed Units],Txn[Key],$A826))</f>
        <v/>
      </c>
      <c r="F826" s="287" t="str">
        <f>IF($A826="","",SUMIFS(Txn[Buy Cost],Txn[Key],$A826))</f>
        <v/>
      </c>
      <c r="G826" s="287" t="str">
        <f>IF($A826="","",SUMIFS(Txn[Sell Proceeds],Txn[Key],$A826))</f>
        <v/>
      </c>
      <c r="H826" s="288" t="str">
        <f>IF($A826="","",IFERROR(INDEX(Prices[Current Price],MATCH($A826,Prices[Key],0)),0))</f>
        <v/>
      </c>
      <c r="I826" s="289" t="str">
        <f>IF($A826="","",IFERROR(INDEX(Prices[FX to SGD],MATCH($A826,Prices[Key],0)),1))</f>
        <v/>
      </c>
      <c r="J826" s="287" t="str">
        <f t="shared" si="111"/>
        <v/>
      </c>
      <c r="K826" s="287" t="str">
        <f t="shared" si="112"/>
        <v/>
      </c>
      <c r="L826" s="287" t="str">
        <f t="shared" si="113"/>
        <v/>
      </c>
      <c r="M826" s="290" t="str">
        <f t="shared" si="114"/>
        <v/>
      </c>
      <c r="N826" s="243" t="str">
        <f>IF($A826="","",IF(ABS(E826)&gt;0.000001,COUNT($N$1:N825)+1,""))</f>
        <v/>
      </c>
      <c r="O826" s="291" t="str">
        <f>IF($A826="","",SUMIFS(Transactions!$H$2:$H$1001,Transactions!$J$2:$J$1001,$A826,Transactions!$A$2:$A$1001,2)*$I826)</f>
        <v/>
      </c>
      <c r="P826" s="291" t="str">
        <f t="shared" si="115"/>
        <v/>
      </c>
      <c r="Q826" s="292" t="str">
        <f t="shared" si="116"/>
        <v/>
      </c>
    </row>
    <row r="827" spans="1:17" ht="15" customHeight="1" x14ac:dyDescent="0.2">
      <c r="A827" s="243" t="str">
        <f>IFERROR(INDEX(Txn[Key],MATCH(0,INDEX(COUNTIF($A$1:A826,Txn[Key])+(Txn[Key]=""),0),0)),"")</f>
        <v/>
      </c>
      <c r="B827" s="243" t="str">
        <f t="shared" si="108"/>
        <v/>
      </c>
      <c r="C827" s="243" t="str">
        <f t="shared" si="109"/>
        <v/>
      </c>
      <c r="D827" s="243" t="str">
        <f t="shared" si="110"/>
        <v/>
      </c>
      <c r="E827" s="265" t="str">
        <f>IF($A827="","",SUMIFS(Txn[Signed Units],Txn[Key],$A827))</f>
        <v/>
      </c>
      <c r="F827" s="287" t="str">
        <f>IF($A827="","",SUMIFS(Txn[Buy Cost],Txn[Key],$A827))</f>
        <v/>
      </c>
      <c r="G827" s="287" t="str">
        <f>IF($A827="","",SUMIFS(Txn[Sell Proceeds],Txn[Key],$A827))</f>
        <v/>
      </c>
      <c r="H827" s="288" t="str">
        <f>IF($A827="","",IFERROR(INDEX(Prices[Current Price],MATCH($A827,Prices[Key],0)),0))</f>
        <v/>
      </c>
      <c r="I827" s="289" t="str">
        <f>IF($A827="","",IFERROR(INDEX(Prices[FX to SGD],MATCH($A827,Prices[Key],0)),1))</f>
        <v/>
      </c>
      <c r="J827" s="287" t="str">
        <f t="shared" si="111"/>
        <v/>
      </c>
      <c r="K827" s="287" t="str">
        <f t="shared" si="112"/>
        <v/>
      </c>
      <c r="L827" s="287" t="str">
        <f t="shared" si="113"/>
        <v/>
      </c>
      <c r="M827" s="290" t="str">
        <f t="shared" si="114"/>
        <v/>
      </c>
      <c r="N827" s="243" t="str">
        <f>IF($A827="","",IF(ABS(E827)&gt;0.000001,COUNT($N$1:N826)+1,""))</f>
        <v/>
      </c>
      <c r="O827" s="291" t="str">
        <f>IF($A827="","",SUMIFS(Transactions!$H$2:$H$1001,Transactions!$J$2:$J$1001,$A827,Transactions!$A$2:$A$1001,2)*$I827)</f>
        <v/>
      </c>
      <c r="P827" s="291" t="str">
        <f t="shared" si="115"/>
        <v/>
      </c>
      <c r="Q827" s="292" t="str">
        <f t="shared" si="116"/>
        <v/>
      </c>
    </row>
    <row r="828" spans="1:17" ht="15" customHeight="1" x14ac:dyDescent="0.2">
      <c r="A828" s="243" t="str">
        <f>IFERROR(INDEX(Txn[Key],MATCH(0,INDEX(COUNTIF($A$1:A827,Txn[Key])+(Txn[Key]=""),0),0)),"")</f>
        <v/>
      </c>
      <c r="B828" s="243" t="str">
        <f t="shared" si="108"/>
        <v/>
      </c>
      <c r="C828" s="243" t="str">
        <f t="shared" si="109"/>
        <v/>
      </c>
      <c r="D828" s="243" t="str">
        <f t="shared" si="110"/>
        <v/>
      </c>
      <c r="E828" s="265" t="str">
        <f>IF($A828="","",SUMIFS(Txn[Signed Units],Txn[Key],$A828))</f>
        <v/>
      </c>
      <c r="F828" s="287" t="str">
        <f>IF($A828="","",SUMIFS(Txn[Buy Cost],Txn[Key],$A828))</f>
        <v/>
      </c>
      <c r="G828" s="287" t="str">
        <f>IF($A828="","",SUMIFS(Txn[Sell Proceeds],Txn[Key],$A828))</f>
        <v/>
      </c>
      <c r="H828" s="288" t="str">
        <f>IF($A828="","",IFERROR(INDEX(Prices[Current Price],MATCH($A828,Prices[Key],0)),0))</f>
        <v/>
      </c>
      <c r="I828" s="289" t="str">
        <f>IF($A828="","",IFERROR(INDEX(Prices[FX to SGD],MATCH($A828,Prices[Key],0)),1))</f>
        <v/>
      </c>
      <c r="J828" s="287" t="str">
        <f t="shared" si="111"/>
        <v/>
      </c>
      <c r="K828" s="287" t="str">
        <f t="shared" si="112"/>
        <v/>
      </c>
      <c r="L828" s="287" t="str">
        <f t="shared" si="113"/>
        <v/>
      </c>
      <c r="M828" s="290" t="str">
        <f t="shared" si="114"/>
        <v/>
      </c>
      <c r="N828" s="243" t="str">
        <f>IF($A828="","",IF(ABS(E828)&gt;0.000001,COUNT($N$1:N827)+1,""))</f>
        <v/>
      </c>
      <c r="O828" s="291" t="str">
        <f>IF($A828="","",SUMIFS(Transactions!$H$2:$H$1001,Transactions!$J$2:$J$1001,$A828,Transactions!$A$2:$A$1001,2)*$I828)</f>
        <v/>
      </c>
      <c r="P828" s="291" t="str">
        <f t="shared" si="115"/>
        <v/>
      </c>
      <c r="Q828" s="292" t="str">
        <f t="shared" si="116"/>
        <v/>
      </c>
    </row>
    <row r="829" spans="1:17" ht="15" customHeight="1" x14ac:dyDescent="0.2">
      <c r="A829" s="243" t="str">
        <f>IFERROR(INDEX(Txn[Key],MATCH(0,INDEX(COUNTIF($A$1:A828,Txn[Key])+(Txn[Key]=""),0),0)),"")</f>
        <v/>
      </c>
      <c r="B829" s="243" t="str">
        <f t="shared" si="108"/>
        <v/>
      </c>
      <c r="C829" s="243" t="str">
        <f t="shared" si="109"/>
        <v/>
      </c>
      <c r="D829" s="243" t="str">
        <f t="shared" si="110"/>
        <v/>
      </c>
      <c r="E829" s="265" t="str">
        <f>IF($A829="","",SUMIFS(Txn[Signed Units],Txn[Key],$A829))</f>
        <v/>
      </c>
      <c r="F829" s="287" t="str">
        <f>IF($A829="","",SUMIFS(Txn[Buy Cost],Txn[Key],$A829))</f>
        <v/>
      </c>
      <c r="G829" s="287" t="str">
        <f>IF($A829="","",SUMIFS(Txn[Sell Proceeds],Txn[Key],$A829))</f>
        <v/>
      </c>
      <c r="H829" s="288" t="str">
        <f>IF($A829="","",IFERROR(INDEX(Prices[Current Price],MATCH($A829,Prices[Key],0)),0))</f>
        <v/>
      </c>
      <c r="I829" s="289" t="str">
        <f>IF($A829="","",IFERROR(INDEX(Prices[FX to SGD],MATCH($A829,Prices[Key],0)),1))</f>
        <v/>
      </c>
      <c r="J829" s="287" t="str">
        <f t="shared" si="111"/>
        <v/>
      </c>
      <c r="K829" s="287" t="str">
        <f t="shared" si="112"/>
        <v/>
      </c>
      <c r="L829" s="287" t="str">
        <f t="shared" si="113"/>
        <v/>
      </c>
      <c r="M829" s="290" t="str">
        <f t="shared" si="114"/>
        <v/>
      </c>
      <c r="N829" s="243" t="str">
        <f>IF($A829="","",IF(ABS(E829)&gt;0.000001,COUNT($N$1:N828)+1,""))</f>
        <v/>
      </c>
      <c r="O829" s="291" t="str">
        <f>IF($A829="","",SUMIFS(Transactions!$H$2:$H$1001,Transactions!$J$2:$J$1001,$A829,Transactions!$A$2:$A$1001,2)*$I829)</f>
        <v/>
      </c>
      <c r="P829" s="291" t="str">
        <f t="shared" si="115"/>
        <v/>
      </c>
      <c r="Q829" s="292" t="str">
        <f t="shared" si="116"/>
        <v/>
      </c>
    </row>
    <row r="830" spans="1:17" ht="15" customHeight="1" x14ac:dyDescent="0.2">
      <c r="A830" s="243" t="str">
        <f>IFERROR(INDEX(Txn[Key],MATCH(0,INDEX(COUNTIF($A$1:A829,Txn[Key])+(Txn[Key]=""),0),0)),"")</f>
        <v/>
      </c>
      <c r="B830" s="243" t="str">
        <f t="shared" si="108"/>
        <v/>
      </c>
      <c r="C830" s="243" t="str">
        <f t="shared" si="109"/>
        <v/>
      </c>
      <c r="D830" s="243" t="str">
        <f t="shared" si="110"/>
        <v/>
      </c>
      <c r="E830" s="265" t="str">
        <f>IF($A830="","",SUMIFS(Txn[Signed Units],Txn[Key],$A830))</f>
        <v/>
      </c>
      <c r="F830" s="287" t="str">
        <f>IF($A830="","",SUMIFS(Txn[Buy Cost],Txn[Key],$A830))</f>
        <v/>
      </c>
      <c r="G830" s="287" t="str">
        <f>IF($A830="","",SUMIFS(Txn[Sell Proceeds],Txn[Key],$A830))</f>
        <v/>
      </c>
      <c r="H830" s="288" t="str">
        <f>IF($A830="","",IFERROR(INDEX(Prices[Current Price],MATCH($A830,Prices[Key],0)),0))</f>
        <v/>
      </c>
      <c r="I830" s="289" t="str">
        <f>IF($A830="","",IFERROR(INDEX(Prices[FX to SGD],MATCH($A830,Prices[Key],0)),1))</f>
        <v/>
      </c>
      <c r="J830" s="287" t="str">
        <f t="shared" si="111"/>
        <v/>
      </c>
      <c r="K830" s="287" t="str">
        <f t="shared" si="112"/>
        <v/>
      </c>
      <c r="L830" s="287" t="str">
        <f t="shared" si="113"/>
        <v/>
      </c>
      <c r="M830" s="290" t="str">
        <f t="shared" si="114"/>
        <v/>
      </c>
      <c r="N830" s="243" t="str">
        <f>IF($A830="","",IF(ABS(E830)&gt;0.000001,COUNT($N$1:N829)+1,""))</f>
        <v/>
      </c>
      <c r="O830" s="291" t="str">
        <f>IF($A830="","",SUMIFS(Transactions!$H$2:$H$1001,Transactions!$J$2:$J$1001,$A830,Transactions!$A$2:$A$1001,2)*$I830)</f>
        <v/>
      </c>
      <c r="P830" s="291" t="str">
        <f t="shared" si="115"/>
        <v/>
      </c>
      <c r="Q830" s="292" t="str">
        <f t="shared" si="116"/>
        <v/>
      </c>
    </row>
    <row r="831" spans="1:17" ht="15" customHeight="1" x14ac:dyDescent="0.2">
      <c r="A831" s="243" t="str">
        <f>IFERROR(INDEX(Txn[Key],MATCH(0,INDEX(COUNTIF($A$1:A830,Txn[Key])+(Txn[Key]=""),0),0)),"")</f>
        <v/>
      </c>
      <c r="B831" s="243" t="str">
        <f t="shared" si="108"/>
        <v/>
      </c>
      <c r="C831" s="243" t="str">
        <f t="shared" si="109"/>
        <v/>
      </c>
      <c r="D831" s="243" t="str">
        <f t="shared" si="110"/>
        <v/>
      </c>
      <c r="E831" s="265" t="str">
        <f>IF($A831="","",SUMIFS(Txn[Signed Units],Txn[Key],$A831))</f>
        <v/>
      </c>
      <c r="F831" s="287" t="str">
        <f>IF($A831="","",SUMIFS(Txn[Buy Cost],Txn[Key],$A831))</f>
        <v/>
      </c>
      <c r="G831" s="287" t="str">
        <f>IF($A831="","",SUMIFS(Txn[Sell Proceeds],Txn[Key],$A831))</f>
        <v/>
      </c>
      <c r="H831" s="288" t="str">
        <f>IF($A831="","",IFERROR(INDEX(Prices[Current Price],MATCH($A831,Prices[Key],0)),0))</f>
        <v/>
      </c>
      <c r="I831" s="289" t="str">
        <f>IF($A831="","",IFERROR(INDEX(Prices[FX to SGD],MATCH($A831,Prices[Key],0)),1))</f>
        <v/>
      </c>
      <c r="J831" s="287" t="str">
        <f t="shared" si="111"/>
        <v/>
      </c>
      <c r="K831" s="287" t="str">
        <f t="shared" si="112"/>
        <v/>
      </c>
      <c r="L831" s="287" t="str">
        <f t="shared" si="113"/>
        <v/>
      </c>
      <c r="M831" s="290" t="str">
        <f t="shared" si="114"/>
        <v/>
      </c>
      <c r="N831" s="243" t="str">
        <f>IF($A831="","",IF(ABS(E831)&gt;0.000001,COUNT($N$1:N830)+1,""))</f>
        <v/>
      </c>
      <c r="O831" s="291" t="str">
        <f>IF($A831="","",SUMIFS(Transactions!$H$2:$H$1001,Transactions!$J$2:$J$1001,$A831,Transactions!$A$2:$A$1001,2)*$I831)</f>
        <v/>
      </c>
      <c r="P831" s="291" t="str">
        <f t="shared" si="115"/>
        <v/>
      </c>
      <c r="Q831" s="292" t="str">
        <f t="shared" si="116"/>
        <v/>
      </c>
    </row>
    <row r="832" spans="1:17" ht="15" customHeight="1" x14ac:dyDescent="0.2">
      <c r="A832" s="243" t="str">
        <f>IFERROR(INDEX(Txn[Key],MATCH(0,INDEX(COUNTIF($A$1:A831,Txn[Key])+(Txn[Key]=""),0),0)),"")</f>
        <v/>
      </c>
      <c r="B832" s="243" t="str">
        <f t="shared" si="108"/>
        <v/>
      </c>
      <c r="C832" s="243" t="str">
        <f t="shared" si="109"/>
        <v/>
      </c>
      <c r="D832" s="243" t="str">
        <f t="shared" si="110"/>
        <v/>
      </c>
      <c r="E832" s="265" t="str">
        <f>IF($A832="","",SUMIFS(Txn[Signed Units],Txn[Key],$A832))</f>
        <v/>
      </c>
      <c r="F832" s="287" t="str">
        <f>IF($A832="","",SUMIFS(Txn[Buy Cost],Txn[Key],$A832))</f>
        <v/>
      </c>
      <c r="G832" s="287" t="str">
        <f>IF($A832="","",SUMIFS(Txn[Sell Proceeds],Txn[Key],$A832))</f>
        <v/>
      </c>
      <c r="H832" s="288" t="str">
        <f>IF($A832="","",IFERROR(INDEX(Prices[Current Price],MATCH($A832,Prices[Key],0)),0))</f>
        <v/>
      </c>
      <c r="I832" s="289" t="str">
        <f>IF($A832="","",IFERROR(INDEX(Prices[FX to SGD],MATCH($A832,Prices[Key],0)),1))</f>
        <v/>
      </c>
      <c r="J832" s="287" t="str">
        <f t="shared" si="111"/>
        <v/>
      </c>
      <c r="K832" s="287" t="str">
        <f t="shared" si="112"/>
        <v/>
      </c>
      <c r="L832" s="287" t="str">
        <f t="shared" si="113"/>
        <v/>
      </c>
      <c r="M832" s="290" t="str">
        <f t="shared" si="114"/>
        <v/>
      </c>
      <c r="N832" s="243" t="str">
        <f>IF($A832="","",IF(ABS(E832)&gt;0.000001,COUNT($N$1:N831)+1,""))</f>
        <v/>
      </c>
      <c r="O832" s="291" t="str">
        <f>IF($A832="","",SUMIFS(Transactions!$H$2:$H$1001,Transactions!$J$2:$J$1001,$A832,Transactions!$A$2:$A$1001,2)*$I832)</f>
        <v/>
      </c>
      <c r="P832" s="291" t="str">
        <f t="shared" si="115"/>
        <v/>
      </c>
      <c r="Q832" s="292" t="str">
        <f t="shared" si="116"/>
        <v/>
      </c>
    </row>
    <row r="833" spans="1:17" ht="15" customHeight="1" x14ac:dyDescent="0.2">
      <c r="A833" s="243" t="str">
        <f>IFERROR(INDEX(Txn[Key],MATCH(0,INDEX(COUNTIF($A$1:A832,Txn[Key])+(Txn[Key]=""),0),0)),"")</f>
        <v/>
      </c>
      <c r="B833" s="243" t="str">
        <f t="shared" si="108"/>
        <v/>
      </c>
      <c r="C833" s="243" t="str">
        <f t="shared" si="109"/>
        <v/>
      </c>
      <c r="D833" s="243" t="str">
        <f t="shared" si="110"/>
        <v/>
      </c>
      <c r="E833" s="265" t="str">
        <f>IF($A833="","",SUMIFS(Txn[Signed Units],Txn[Key],$A833))</f>
        <v/>
      </c>
      <c r="F833" s="287" t="str">
        <f>IF($A833="","",SUMIFS(Txn[Buy Cost],Txn[Key],$A833))</f>
        <v/>
      </c>
      <c r="G833" s="287" t="str">
        <f>IF($A833="","",SUMIFS(Txn[Sell Proceeds],Txn[Key],$A833))</f>
        <v/>
      </c>
      <c r="H833" s="288" t="str">
        <f>IF($A833="","",IFERROR(INDEX(Prices[Current Price],MATCH($A833,Prices[Key],0)),0))</f>
        <v/>
      </c>
      <c r="I833" s="289" t="str">
        <f>IF($A833="","",IFERROR(INDEX(Prices[FX to SGD],MATCH($A833,Prices[Key],0)),1))</f>
        <v/>
      </c>
      <c r="J833" s="287" t="str">
        <f t="shared" si="111"/>
        <v/>
      </c>
      <c r="K833" s="287" t="str">
        <f t="shared" si="112"/>
        <v/>
      </c>
      <c r="L833" s="287" t="str">
        <f t="shared" si="113"/>
        <v/>
      </c>
      <c r="M833" s="290" t="str">
        <f t="shared" si="114"/>
        <v/>
      </c>
      <c r="N833" s="243" t="str">
        <f>IF($A833="","",IF(ABS(E833)&gt;0.000001,COUNT($N$1:N832)+1,""))</f>
        <v/>
      </c>
      <c r="O833" s="291" t="str">
        <f>IF($A833="","",SUMIFS(Transactions!$H$2:$H$1001,Transactions!$J$2:$J$1001,$A833,Transactions!$A$2:$A$1001,2)*$I833)</f>
        <v/>
      </c>
      <c r="P833" s="291" t="str">
        <f t="shared" si="115"/>
        <v/>
      </c>
      <c r="Q833" s="292" t="str">
        <f t="shared" si="116"/>
        <v/>
      </c>
    </row>
    <row r="834" spans="1:17" ht="15" customHeight="1" x14ac:dyDescent="0.2">
      <c r="A834" s="243" t="str">
        <f>IFERROR(INDEX(Txn[Key],MATCH(0,INDEX(COUNTIF($A$1:A833,Txn[Key])+(Txn[Key]=""),0),0)),"")</f>
        <v/>
      </c>
      <c r="B834" s="243" t="str">
        <f t="shared" ref="B834:B897" si="117">IF($A834="","",LEFT($A834,FIND(":",$A834)-1))</f>
        <v/>
      </c>
      <c r="C834" s="243" t="str">
        <f t="shared" ref="C834:C897" si="118">IF($A834="","",MID($A834,FIND(":",$A834)+1,FIND(":",$A834,FIND(":",$A834)+1)-FIND(":",$A834)-1))</f>
        <v/>
      </c>
      <c r="D834" s="243" t="str">
        <f t="shared" ref="D834:D897" si="119">IF($A834="","",RIGHT($A834,LEN($A834)-FIND(":",$A834,FIND(":",$A834)+1)))</f>
        <v/>
      </c>
      <c r="E834" s="265" t="str">
        <f>IF($A834="","",SUMIFS(Txn[Signed Units],Txn[Key],$A834))</f>
        <v/>
      </c>
      <c r="F834" s="287" t="str">
        <f>IF($A834="","",SUMIFS(Txn[Buy Cost],Txn[Key],$A834))</f>
        <v/>
      </c>
      <c r="G834" s="287" t="str">
        <f>IF($A834="","",SUMIFS(Txn[Sell Proceeds],Txn[Key],$A834))</f>
        <v/>
      </c>
      <c r="H834" s="288" t="str">
        <f>IF($A834="","",IFERROR(INDEX(Prices[Current Price],MATCH($A834,Prices[Key],0)),0))</f>
        <v/>
      </c>
      <c r="I834" s="289" t="str">
        <f>IF($A834="","",IFERROR(INDEX(Prices[FX to SGD],MATCH($A834,Prices[Key],0)),1))</f>
        <v/>
      </c>
      <c r="J834" s="287" t="str">
        <f t="shared" ref="J834:J897" si="120">IF($A834="","",E834*H834)</f>
        <v/>
      </c>
      <c r="K834" s="287" t="str">
        <f t="shared" ref="K834:K897" si="121">IF($A834="","",J834+G834-F834)</f>
        <v/>
      </c>
      <c r="L834" s="287" t="str">
        <f t="shared" ref="L834:L897" si="122">IF($A834="","",K834*I834)</f>
        <v/>
      </c>
      <c r="M834" s="290" t="str">
        <f t="shared" ref="M834:M897" si="123">IF($A834="","",IFERROR(K834/F834,0))</f>
        <v/>
      </c>
      <c r="N834" s="243" t="str">
        <f>IF($A834="","",IF(ABS(E834)&gt;0.000001,COUNT($N$1:N833)+1,""))</f>
        <v/>
      </c>
      <c r="O834" s="291" t="str">
        <f>IF($A834="","",SUMIFS(Transactions!$H$2:$H$1001,Transactions!$J$2:$J$1001,$A834,Transactions!$A$2:$A$1001,2)*$I834)</f>
        <v/>
      </c>
      <c r="P834" s="291" t="str">
        <f t="shared" ref="P834:P897" si="124">IF($A834="","",$L834+$O834)</f>
        <v/>
      </c>
      <c r="Q834" s="292" t="str">
        <f t="shared" ref="Q834:Q897" si="125">IF($A834="","",IFERROR(($L834+$O834)/($F834*$I834),0))</f>
        <v/>
      </c>
    </row>
    <row r="835" spans="1:17" ht="15" customHeight="1" x14ac:dyDescent="0.2">
      <c r="A835" s="243" t="str">
        <f>IFERROR(INDEX(Txn[Key],MATCH(0,INDEX(COUNTIF($A$1:A834,Txn[Key])+(Txn[Key]=""),0),0)),"")</f>
        <v/>
      </c>
      <c r="B835" s="243" t="str">
        <f t="shared" si="117"/>
        <v/>
      </c>
      <c r="C835" s="243" t="str">
        <f t="shared" si="118"/>
        <v/>
      </c>
      <c r="D835" s="243" t="str">
        <f t="shared" si="119"/>
        <v/>
      </c>
      <c r="E835" s="265" t="str">
        <f>IF($A835="","",SUMIFS(Txn[Signed Units],Txn[Key],$A835))</f>
        <v/>
      </c>
      <c r="F835" s="287" t="str">
        <f>IF($A835="","",SUMIFS(Txn[Buy Cost],Txn[Key],$A835))</f>
        <v/>
      </c>
      <c r="G835" s="287" t="str">
        <f>IF($A835="","",SUMIFS(Txn[Sell Proceeds],Txn[Key],$A835))</f>
        <v/>
      </c>
      <c r="H835" s="288" t="str">
        <f>IF($A835="","",IFERROR(INDEX(Prices[Current Price],MATCH($A835,Prices[Key],0)),0))</f>
        <v/>
      </c>
      <c r="I835" s="289" t="str">
        <f>IF($A835="","",IFERROR(INDEX(Prices[FX to SGD],MATCH($A835,Prices[Key],0)),1))</f>
        <v/>
      </c>
      <c r="J835" s="287" t="str">
        <f t="shared" si="120"/>
        <v/>
      </c>
      <c r="K835" s="287" t="str">
        <f t="shared" si="121"/>
        <v/>
      </c>
      <c r="L835" s="287" t="str">
        <f t="shared" si="122"/>
        <v/>
      </c>
      <c r="M835" s="290" t="str">
        <f t="shared" si="123"/>
        <v/>
      </c>
      <c r="N835" s="243" t="str">
        <f>IF($A835="","",IF(ABS(E835)&gt;0.000001,COUNT($N$1:N834)+1,""))</f>
        <v/>
      </c>
      <c r="O835" s="291" t="str">
        <f>IF($A835="","",SUMIFS(Transactions!$H$2:$H$1001,Transactions!$J$2:$J$1001,$A835,Transactions!$A$2:$A$1001,2)*$I835)</f>
        <v/>
      </c>
      <c r="P835" s="291" t="str">
        <f t="shared" si="124"/>
        <v/>
      </c>
      <c r="Q835" s="292" t="str">
        <f t="shared" si="125"/>
        <v/>
      </c>
    </row>
    <row r="836" spans="1:17" ht="15" customHeight="1" x14ac:dyDescent="0.2">
      <c r="A836" s="243" t="str">
        <f>IFERROR(INDEX(Txn[Key],MATCH(0,INDEX(COUNTIF($A$1:A835,Txn[Key])+(Txn[Key]=""),0),0)),"")</f>
        <v/>
      </c>
      <c r="B836" s="243" t="str">
        <f t="shared" si="117"/>
        <v/>
      </c>
      <c r="C836" s="243" t="str">
        <f t="shared" si="118"/>
        <v/>
      </c>
      <c r="D836" s="243" t="str">
        <f t="shared" si="119"/>
        <v/>
      </c>
      <c r="E836" s="265" t="str">
        <f>IF($A836="","",SUMIFS(Txn[Signed Units],Txn[Key],$A836))</f>
        <v/>
      </c>
      <c r="F836" s="287" t="str">
        <f>IF($A836="","",SUMIFS(Txn[Buy Cost],Txn[Key],$A836))</f>
        <v/>
      </c>
      <c r="G836" s="287" t="str">
        <f>IF($A836="","",SUMIFS(Txn[Sell Proceeds],Txn[Key],$A836))</f>
        <v/>
      </c>
      <c r="H836" s="288" t="str">
        <f>IF($A836="","",IFERROR(INDEX(Prices[Current Price],MATCH($A836,Prices[Key],0)),0))</f>
        <v/>
      </c>
      <c r="I836" s="289" t="str">
        <f>IF($A836="","",IFERROR(INDEX(Prices[FX to SGD],MATCH($A836,Prices[Key],0)),1))</f>
        <v/>
      </c>
      <c r="J836" s="287" t="str">
        <f t="shared" si="120"/>
        <v/>
      </c>
      <c r="K836" s="287" t="str">
        <f t="shared" si="121"/>
        <v/>
      </c>
      <c r="L836" s="287" t="str">
        <f t="shared" si="122"/>
        <v/>
      </c>
      <c r="M836" s="290" t="str">
        <f t="shared" si="123"/>
        <v/>
      </c>
      <c r="N836" s="243" t="str">
        <f>IF($A836="","",IF(ABS(E836)&gt;0.000001,COUNT($N$1:N835)+1,""))</f>
        <v/>
      </c>
      <c r="O836" s="291" t="str">
        <f>IF($A836="","",SUMIFS(Transactions!$H$2:$H$1001,Transactions!$J$2:$J$1001,$A836,Transactions!$A$2:$A$1001,2)*$I836)</f>
        <v/>
      </c>
      <c r="P836" s="291" t="str">
        <f t="shared" si="124"/>
        <v/>
      </c>
      <c r="Q836" s="292" t="str">
        <f t="shared" si="125"/>
        <v/>
      </c>
    </row>
    <row r="837" spans="1:17" ht="15" customHeight="1" x14ac:dyDescent="0.2">
      <c r="A837" s="243" t="str">
        <f>IFERROR(INDEX(Txn[Key],MATCH(0,INDEX(COUNTIF($A$1:A836,Txn[Key])+(Txn[Key]=""),0),0)),"")</f>
        <v/>
      </c>
      <c r="B837" s="243" t="str">
        <f t="shared" si="117"/>
        <v/>
      </c>
      <c r="C837" s="243" t="str">
        <f t="shared" si="118"/>
        <v/>
      </c>
      <c r="D837" s="243" t="str">
        <f t="shared" si="119"/>
        <v/>
      </c>
      <c r="E837" s="265" t="str">
        <f>IF($A837="","",SUMIFS(Txn[Signed Units],Txn[Key],$A837))</f>
        <v/>
      </c>
      <c r="F837" s="287" t="str">
        <f>IF($A837="","",SUMIFS(Txn[Buy Cost],Txn[Key],$A837))</f>
        <v/>
      </c>
      <c r="G837" s="287" t="str">
        <f>IF($A837="","",SUMIFS(Txn[Sell Proceeds],Txn[Key],$A837))</f>
        <v/>
      </c>
      <c r="H837" s="288" t="str">
        <f>IF($A837="","",IFERROR(INDEX(Prices[Current Price],MATCH($A837,Prices[Key],0)),0))</f>
        <v/>
      </c>
      <c r="I837" s="289" t="str">
        <f>IF($A837="","",IFERROR(INDEX(Prices[FX to SGD],MATCH($A837,Prices[Key],0)),1))</f>
        <v/>
      </c>
      <c r="J837" s="287" t="str">
        <f t="shared" si="120"/>
        <v/>
      </c>
      <c r="K837" s="287" t="str">
        <f t="shared" si="121"/>
        <v/>
      </c>
      <c r="L837" s="287" t="str">
        <f t="shared" si="122"/>
        <v/>
      </c>
      <c r="M837" s="290" t="str">
        <f t="shared" si="123"/>
        <v/>
      </c>
      <c r="N837" s="243" t="str">
        <f>IF($A837="","",IF(ABS(E837)&gt;0.000001,COUNT($N$1:N836)+1,""))</f>
        <v/>
      </c>
      <c r="O837" s="291" t="str">
        <f>IF($A837="","",SUMIFS(Transactions!$H$2:$H$1001,Transactions!$J$2:$J$1001,$A837,Transactions!$A$2:$A$1001,2)*$I837)</f>
        <v/>
      </c>
      <c r="P837" s="291" t="str">
        <f t="shared" si="124"/>
        <v/>
      </c>
      <c r="Q837" s="292" t="str">
        <f t="shared" si="125"/>
        <v/>
      </c>
    </row>
    <row r="838" spans="1:17" ht="15" customHeight="1" x14ac:dyDescent="0.2">
      <c r="A838" s="243" t="str">
        <f>IFERROR(INDEX(Txn[Key],MATCH(0,INDEX(COUNTIF($A$1:A837,Txn[Key])+(Txn[Key]=""),0),0)),"")</f>
        <v/>
      </c>
      <c r="B838" s="243" t="str">
        <f t="shared" si="117"/>
        <v/>
      </c>
      <c r="C838" s="243" t="str">
        <f t="shared" si="118"/>
        <v/>
      </c>
      <c r="D838" s="243" t="str">
        <f t="shared" si="119"/>
        <v/>
      </c>
      <c r="E838" s="265" t="str">
        <f>IF($A838="","",SUMIFS(Txn[Signed Units],Txn[Key],$A838))</f>
        <v/>
      </c>
      <c r="F838" s="287" t="str">
        <f>IF($A838="","",SUMIFS(Txn[Buy Cost],Txn[Key],$A838))</f>
        <v/>
      </c>
      <c r="G838" s="287" t="str">
        <f>IF($A838="","",SUMIFS(Txn[Sell Proceeds],Txn[Key],$A838))</f>
        <v/>
      </c>
      <c r="H838" s="288" t="str">
        <f>IF($A838="","",IFERROR(INDEX(Prices[Current Price],MATCH($A838,Prices[Key],0)),0))</f>
        <v/>
      </c>
      <c r="I838" s="289" t="str">
        <f>IF($A838="","",IFERROR(INDEX(Prices[FX to SGD],MATCH($A838,Prices[Key],0)),1))</f>
        <v/>
      </c>
      <c r="J838" s="287" t="str">
        <f t="shared" si="120"/>
        <v/>
      </c>
      <c r="K838" s="287" t="str">
        <f t="shared" si="121"/>
        <v/>
      </c>
      <c r="L838" s="287" t="str">
        <f t="shared" si="122"/>
        <v/>
      </c>
      <c r="M838" s="290" t="str">
        <f t="shared" si="123"/>
        <v/>
      </c>
      <c r="N838" s="243" t="str">
        <f>IF($A838="","",IF(ABS(E838)&gt;0.000001,COUNT($N$1:N837)+1,""))</f>
        <v/>
      </c>
      <c r="O838" s="291" t="str">
        <f>IF($A838="","",SUMIFS(Transactions!$H$2:$H$1001,Transactions!$J$2:$J$1001,$A838,Transactions!$A$2:$A$1001,2)*$I838)</f>
        <v/>
      </c>
      <c r="P838" s="291" t="str">
        <f t="shared" si="124"/>
        <v/>
      </c>
      <c r="Q838" s="292" t="str">
        <f t="shared" si="125"/>
        <v/>
      </c>
    </row>
    <row r="839" spans="1:17" ht="15" customHeight="1" x14ac:dyDescent="0.2">
      <c r="A839" s="243" t="str">
        <f>IFERROR(INDEX(Txn[Key],MATCH(0,INDEX(COUNTIF($A$1:A838,Txn[Key])+(Txn[Key]=""),0),0)),"")</f>
        <v/>
      </c>
      <c r="B839" s="243" t="str">
        <f t="shared" si="117"/>
        <v/>
      </c>
      <c r="C839" s="243" t="str">
        <f t="shared" si="118"/>
        <v/>
      </c>
      <c r="D839" s="243" t="str">
        <f t="shared" si="119"/>
        <v/>
      </c>
      <c r="E839" s="265" t="str">
        <f>IF($A839="","",SUMIFS(Txn[Signed Units],Txn[Key],$A839))</f>
        <v/>
      </c>
      <c r="F839" s="287" t="str">
        <f>IF($A839="","",SUMIFS(Txn[Buy Cost],Txn[Key],$A839))</f>
        <v/>
      </c>
      <c r="G839" s="287" t="str">
        <f>IF($A839="","",SUMIFS(Txn[Sell Proceeds],Txn[Key],$A839))</f>
        <v/>
      </c>
      <c r="H839" s="288" t="str">
        <f>IF($A839="","",IFERROR(INDEX(Prices[Current Price],MATCH($A839,Prices[Key],0)),0))</f>
        <v/>
      </c>
      <c r="I839" s="289" t="str">
        <f>IF($A839="","",IFERROR(INDEX(Prices[FX to SGD],MATCH($A839,Prices[Key],0)),1))</f>
        <v/>
      </c>
      <c r="J839" s="287" t="str">
        <f t="shared" si="120"/>
        <v/>
      </c>
      <c r="K839" s="287" t="str">
        <f t="shared" si="121"/>
        <v/>
      </c>
      <c r="L839" s="287" t="str">
        <f t="shared" si="122"/>
        <v/>
      </c>
      <c r="M839" s="290" t="str">
        <f t="shared" si="123"/>
        <v/>
      </c>
      <c r="N839" s="243" t="str">
        <f>IF($A839="","",IF(ABS(E839)&gt;0.000001,COUNT($N$1:N838)+1,""))</f>
        <v/>
      </c>
      <c r="O839" s="291" t="str">
        <f>IF($A839="","",SUMIFS(Transactions!$H$2:$H$1001,Transactions!$J$2:$J$1001,$A839,Transactions!$A$2:$A$1001,2)*$I839)</f>
        <v/>
      </c>
      <c r="P839" s="291" t="str">
        <f t="shared" si="124"/>
        <v/>
      </c>
      <c r="Q839" s="292" t="str">
        <f t="shared" si="125"/>
        <v/>
      </c>
    </row>
    <row r="840" spans="1:17" ht="15" customHeight="1" x14ac:dyDescent="0.2">
      <c r="A840" s="243" t="str">
        <f>IFERROR(INDEX(Txn[Key],MATCH(0,INDEX(COUNTIF($A$1:A839,Txn[Key])+(Txn[Key]=""),0),0)),"")</f>
        <v/>
      </c>
      <c r="B840" s="243" t="str">
        <f t="shared" si="117"/>
        <v/>
      </c>
      <c r="C840" s="243" t="str">
        <f t="shared" si="118"/>
        <v/>
      </c>
      <c r="D840" s="243" t="str">
        <f t="shared" si="119"/>
        <v/>
      </c>
      <c r="E840" s="265" t="str">
        <f>IF($A840="","",SUMIFS(Txn[Signed Units],Txn[Key],$A840))</f>
        <v/>
      </c>
      <c r="F840" s="287" t="str">
        <f>IF($A840="","",SUMIFS(Txn[Buy Cost],Txn[Key],$A840))</f>
        <v/>
      </c>
      <c r="G840" s="287" t="str">
        <f>IF($A840="","",SUMIFS(Txn[Sell Proceeds],Txn[Key],$A840))</f>
        <v/>
      </c>
      <c r="H840" s="288" t="str">
        <f>IF($A840="","",IFERROR(INDEX(Prices[Current Price],MATCH($A840,Prices[Key],0)),0))</f>
        <v/>
      </c>
      <c r="I840" s="289" t="str">
        <f>IF($A840="","",IFERROR(INDEX(Prices[FX to SGD],MATCH($A840,Prices[Key],0)),1))</f>
        <v/>
      </c>
      <c r="J840" s="287" t="str">
        <f t="shared" si="120"/>
        <v/>
      </c>
      <c r="K840" s="287" t="str">
        <f t="shared" si="121"/>
        <v/>
      </c>
      <c r="L840" s="287" t="str">
        <f t="shared" si="122"/>
        <v/>
      </c>
      <c r="M840" s="290" t="str">
        <f t="shared" si="123"/>
        <v/>
      </c>
      <c r="N840" s="243" t="str">
        <f>IF($A840="","",IF(ABS(E840)&gt;0.000001,COUNT($N$1:N839)+1,""))</f>
        <v/>
      </c>
      <c r="O840" s="291" t="str">
        <f>IF($A840="","",SUMIFS(Transactions!$H$2:$H$1001,Transactions!$J$2:$J$1001,$A840,Transactions!$A$2:$A$1001,2)*$I840)</f>
        <v/>
      </c>
      <c r="P840" s="291" t="str">
        <f t="shared" si="124"/>
        <v/>
      </c>
      <c r="Q840" s="292" t="str">
        <f t="shared" si="125"/>
        <v/>
      </c>
    </row>
    <row r="841" spans="1:17" ht="15" customHeight="1" x14ac:dyDescent="0.2">
      <c r="A841" s="243" t="str">
        <f>IFERROR(INDEX(Txn[Key],MATCH(0,INDEX(COUNTIF($A$1:A840,Txn[Key])+(Txn[Key]=""),0),0)),"")</f>
        <v/>
      </c>
      <c r="B841" s="243" t="str">
        <f t="shared" si="117"/>
        <v/>
      </c>
      <c r="C841" s="243" t="str">
        <f t="shared" si="118"/>
        <v/>
      </c>
      <c r="D841" s="243" t="str">
        <f t="shared" si="119"/>
        <v/>
      </c>
      <c r="E841" s="265" t="str">
        <f>IF($A841="","",SUMIFS(Txn[Signed Units],Txn[Key],$A841))</f>
        <v/>
      </c>
      <c r="F841" s="287" t="str">
        <f>IF($A841="","",SUMIFS(Txn[Buy Cost],Txn[Key],$A841))</f>
        <v/>
      </c>
      <c r="G841" s="287" t="str">
        <f>IF($A841="","",SUMIFS(Txn[Sell Proceeds],Txn[Key],$A841))</f>
        <v/>
      </c>
      <c r="H841" s="288" t="str">
        <f>IF($A841="","",IFERROR(INDEX(Prices[Current Price],MATCH($A841,Prices[Key],0)),0))</f>
        <v/>
      </c>
      <c r="I841" s="289" t="str">
        <f>IF($A841="","",IFERROR(INDEX(Prices[FX to SGD],MATCH($A841,Prices[Key],0)),1))</f>
        <v/>
      </c>
      <c r="J841" s="287" t="str">
        <f t="shared" si="120"/>
        <v/>
      </c>
      <c r="K841" s="287" t="str">
        <f t="shared" si="121"/>
        <v/>
      </c>
      <c r="L841" s="287" t="str">
        <f t="shared" si="122"/>
        <v/>
      </c>
      <c r="M841" s="290" t="str">
        <f t="shared" si="123"/>
        <v/>
      </c>
      <c r="N841" s="243" t="str">
        <f>IF($A841="","",IF(ABS(E841)&gt;0.000001,COUNT($N$1:N840)+1,""))</f>
        <v/>
      </c>
      <c r="O841" s="291" t="str">
        <f>IF($A841="","",SUMIFS(Transactions!$H$2:$H$1001,Transactions!$J$2:$J$1001,$A841,Transactions!$A$2:$A$1001,2)*$I841)</f>
        <v/>
      </c>
      <c r="P841" s="291" t="str">
        <f t="shared" si="124"/>
        <v/>
      </c>
      <c r="Q841" s="292" t="str">
        <f t="shared" si="125"/>
        <v/>
      </c>
    </row>
    <row r="842" spans="1:17" ht="15" customHeight="1" x14ac:dyDescent="0.2">
      <c r="A842" s="243" t="str">
        <f>IFERROR(INDEX(Txn[Key],MATCH(0,INDEX(COUNTIF($A$1:A841,Txn[Key])+(Txn[Key]=""),0),0)),"")</f>
        <v/>
      </c>
      <c r="B842" s="243" t="str">
        <f t="shared" si="117"/>
        <v/>
      </c>
      <c r="C842" s="243" t="str">
        <f t="shared" si="118"/>
        <v/>
      </c>
      <c r="D842" s="243" t="str">
        <f t="shared" si="119"/>
        <v/>
      </c>
      <c r="E842" s="265" t="str">
        <f>IF($A842="","",SUMIFS(Txn[Signed Units],Txn[Key],$A842))</f>
        <v/>
      </c>
      <c r="F842" s="287" t="str">
        <f>IF($A842="","",SUMIFS(Txn[Buy Cost],Txn[Key],$A842))</f>
        <v/>
      </c>
      <c r="G842" s="287" t="str">
        <f>IF($A842="","",SUMIFS(Txn[Sell Proceeds],Txn[Key],$A842))</f>
        <v/>
      </c>
      <c r="H842" s="288" t="str">
        <f>IF($A842="","",IFERROR(INDEX(Prices[Current Price],MATCH($A842,Prices[Key],0)),0))</f>
        <v/>
      </c>
      <c r="I842" s="289" t="str">
        <f>IF($A842="","",IFERROR(INDEX(Prices[FX to SGD],MATCH($A842,Prices[Key],0)),1))</f>
        <v/>
      </c>
      <c r="J842" s="287" t="str">
        <f t="shared" si="120"/>
        <v/>
      </c>
      <c r="K842" s="287" t="str">
        <f t="shared" si="121"/>
        <v/>
      </c>
      <c r="L842" s="287" t="str">
        <f t="shared" si="122"/>
        <v/>
      </c>
      <c r="M842" s="290" t="str">
        <f t="shared" si="123"/>
        <v/>
      </c>
      <c r="N842" s="243" t="str">
        <f>IF($A842="","",IF(ABS(E842)&gt;0.000001,COUNT($N$1:N841)+1,""))</f>
        <v/>
      </c>
      <c r="O842" s="291" t="str">
        <f>IF($A842="","",SUMIFS(Transactions!$H$2:$H$1001,Transactions!$J$2:$J$1001,$A842,Transactions!$A$2:$A$1001,2)*$I842)</f>
        <v/>
      </c>
      <c r="P842" s="291" t="str">
        <f t="shared" si="124"/>
        <v/>
      </c>
      <c r="Q842" s="292" t="str">
        <f t="shared" si="125"/>
        <v/>
      </c>
    </row>
    <row r="843" spans="1:17" ht="15" customHeight="1" x14ac:dyDescent="0.2">
      <c r="A843" s="243" t="str">
        <f>IFERROR(INDEX(Txn[Key],MATCH(0,INDEX(COUNTIF($A$1:A842,Txn[Key])+(Txn[Key]=""),0),0)),"")</f>
        <v/>
      </c>
      <c r="B843" s="243" t="str">
        <f t="shared" si="117"/>
        <v/>
      </c>
      <c r="C843" s="243" t="str">
        <f t="shared" si="118"/>
        <v/>
      </c>
      <c r="D843" s="243" t="str">
        <f t="shared" si="119"/>
        <v/>
      </c>
      <c r="E843" s="265" t="str">
        <f>IF($A843="","",SUMIFS(Txn[Signed Units],Txn[Key],$A843))</f>
        <v/>
      </c>
      <c r="F843" s="287" t="str">
        <f>IF($A843="","",SUMIFS(Txn[Buy Cost],Txn[Key],$A843))</f>
        <v/>
      </c>
      <c r="G843" s="287" t="str">
        <f>IF($A843="","",SUMIFS(Txn[Sell Proceeds],Txn[Key],$A843))</f>
        <v/>
      </c>
      <c r="H843" s="288" t="str">
        <f>IF($A843="","",IFERROR(INDEX(Prices[Current Price],MATCH($A843,Prices[Key],0)),0))</f>
        <v/>
      </c>
      <c r="I843" s="289" t="str">
        <f>IF($A843="","",IFERROR(INDEX(Prices[FX to SGD],MATCH($A843,Prices[Key],0)),1))</f>
        <v/>
      </c>
      <c r="J843" s="287" t="str">
        <f t="shared" si="120"/>
        <v/>
      </c>
      <c r="K843" s="287" t="str">
        <f t="shared" si="121"/>
        <v/>
      </c>
      <c r="L843" s="287" t="str">
        <f t="shared" si="122"/>
        <v/>
      </c>
      <c r="M843" s="290" t="str">
        <f t="shared" si="123"/>
        <v/>
      </c>
      <c r="N843" s="243" t="str">
        <f>IF($A843="","",IF(ABS(E843)&gt;0.000001,COUNT($N$1:N842)+1,""))</f>
        <v/>
      </c>
      <c r="O843" s="291" t="str">
        <f>IF($A843="","",SUMIFS(Transactions!$H$2:$H$1001,Transactions!$J$2:$J$1001,$A843,Transactions!$A$2:$A$1001,2)*$I843)</f>
        <v/>
      </c>
      <c r="P843" s="291" t="str">
        <f t="shared" si="124"/>
        <v/>
      </c>
      <c r="Q843" s="292" t="str">
        <f t="shared" si="125"/>
        <v/>
      </c>
    </row>
    <row r="844" spans="1:17" ht="15" customHeight="1" x14ac:dyDescent="0.2">
      <c r="A844" s="243" t="str">
        <f>IFERROR(INDEX(Txn[Key],MATCH(0,INDEX(COUNTIF($A$1:A843,Txn[Key])+(Txn[Key]=""),0),0)),"")</f>
        <v/>
      </c>
      <c r="B844" s="243" t="str">
        <f t="shared" si="117"/>
        <v/>
      </c>
      <c r="C844" s="243" t="str">
        <f t="shared" si="118"/>
        <v/>
      </c>
      <c r="D844" s="243" t="str">
        <f t="shared" si="119"/>
        <v/>
      </c>
      <c r="E844" s="265" t="str">
        <f>IF($A844="","",SUMIFS(Txn[Signed Units],Txn[Key],$A844))</f>
        <v/>
      </c>
      <c r="F844" s="287" t="str">
        <f>IF($A844="","",SUMIFS(Txn[Buy Cost],Txn[Key],$A844))</f>
        <v/>
      </c>
      <c r="G844" s="287" t="str">
        <f>IF($A844="","",SUMIFS(Txn[Sell Proceeds],Txn[Key],$A844))</f>
        <v/>
      </c>
      <c r="H844" s="288" t="str">
        <f>IF($A844="","",IFERROR(INDEX(Prices[Current Price],MATCH($A844,Prices[Key],0)),0))</f>
        <v/>
      </c>
      <c r="I844" s="289" t="str">
        <f>IF($A844="","",IFERROR(INDEX(Prices[FX to SGD],MATCH($A844,Prices[Key],0)),1))</f>
        <v/>
      </c>
      <c r="J844" s="287" t="str">
        <f t="shared" si="120"/>
        <v/>
      </c>
      <c r="K844" s="287" t="str">
        <f t="shared" si="121"/>
        <v/>
      </c>
      <c r="L844" s="287" t="str">
        <f t="shared" si="122"/>
        <v/>
      </c>
      <c r="M844" s="290" t="str">
        <f t="shared" si="123"/>
        <v/>
      </c>
      <c r="N844" s="243" t="str">
        <f>IF($A844="","",IF(ABS(E844)&gt;0.000001,COUNT($N$1:N843)+1,""))</f>
        <v/>
      </c>
      <c r="O844" s="291" t="str">
        <f>IF($A844="","",SUMIFS(Transactions!$H$2:$H$1001,Transactions!$J$2:$J$1001,$A844,Transactions!$A$2:$A$1001,2)*$I844)</f>
        <v/>
      </c>
      <c r="P844" s="291" t="str">
        <f t="shared" si="124"/>
        <v/>
      </c>
      <c r="Q844" s="292" t="str">
        <f t="shared" si="125"/>
        <v/>
      </c>
    </row>
    <row r="845" spans="1:17" ht="15" customHeight="1" x14ac:dyDescent="0.2">
      <c r="A845" s="243" t="str">
        <f>IFERROR(INDEX(Txn[Key],MATCH(0,INDEX(COUNTIF($A$1:A844,Txn[Key])+(Txn[Key]=""),0),0)),"")</f>
        <v/>
      </c>
      <c r="B845" s="243" t="str">
        <f t="shared" si="117"/>
        <v/>
      </c>
      <c r="C845" s="243" t="str">
        <f t="shared" si="118"/>
        <v/>
      </c>
      <c r="D845" s="243" t="str">
        <f t="shared" si="119"/>
        <v/>
      </c>
      <c r="E845" s="265" t="str">
        <f>IF($A845="","",SUMIFS(Txn[Signed Units],Txn[Key],$A845))</f>
        <v/>
      </c>
      <c r="F845" s="287" t="str">
        <f>IF($A845="","",SUMIFS(Txn[Buy Cost],Txn[Key],$A845))</f>
        <v/>
      </c>
      <c r="G845" s="287" t="str">
        <f>IF($A845="","",SUMIFS(Txn[Sell Proceeds],Txn[Key],$A845))</f>
        <v/>
      </c>
      <c r="H845" s="288" t="str">
        <f>IF($A845="","",IFERROR(INDEX(Prices[Current Price],MATCH($A845,Prices[Key],0)),0))</f>
        <v/>
      </c>
      <c r="I845" s="289" t="str">
        <f>IF($A845="","",IFERROR(INDEX(Prices[FX to SGD],MATCH($A845,Prices[Key],0)),1))</f>
        <v/>
      </c>
      <c r="J845" s="287" t="str">
        <f t="shared" si="120"/>
        <v/>
      </c>
      <c r="K845" s="287" t="str">
        <f t="shared" si="121"/>
        <v/>
      </c>
      <c r="L845" s="287" t="str">
        <f t="shared" si="122"/>
        <v/>
      </c>
      <c r="M845" s="290" t="str">
        <f t="shared" si="123"/>
        <v/>
      </c>
      <c r="N845" s="243" t="str">
        <f>IF($A845="","",IF(ABS(E845)&gt;0.000001,COUNT($N$1:N844)+1,""))</f>
        <v/>
      </c>
      <c r="O845" s="291" t="str">
        <f>IF($A845="","",SUMIFS(Transactions!$H$2:$H$1001,Transactions!$J$2:$J$1001,$A845,Transactions!$A$2:$A$1001,2)*$I845)</f>
        <v/>
      </c>
      <c r="P845" s="291" t="str">
        <f t="shared" si="124"/>
        <v/>
      </c>
      <c r="Q845" s="292" t="str">
        <f t="shared" si="125"/>
        <v/>
      </c>
    </row>
    <row r="846" spans="1:17" ht="15" customHeight="1" x14ac:dyDescent="0.2">
      <c r="A846" s="243" t="str">
        <f>IFERROR(INDEX(Txn[Key],MATCH(0,INDEX(COUNTIF($A$1:A845,Txn[Key])+(Txn[Key]=""),0),0)),"")</f>
        <v/>
      </c>
      <c r="B846" s="243" t="str">
        <f t="shared" si="117"/>
        <v/>
      </c>
      <c r="C846" s="243" t="str">
        <f t="shared" si="118"/>
        <v/>
      </c>
      <c r="D846" s="243" t="str">
        <f t="shared" si="119"/>
        <v/>
      </c>
      <c r="E846" s="265" t="str">
        <f>IF($A846="","",SUMIFS(Txn[Signed Units],Txn[Key],$A846))</f>
        <v/>
      </c>
      <c r="F846" s="287" t="str">
        <f>IF($A846="","",SUMIFS(Txn[Buy Cost],Txn[Key],$A846))</f>
        <v/>
      </c>
      <c r="G846" s="287" t="str">
        <f>IF($A846="","",SUMIFS(Txn[Sell Proceeds],Txn[Key],$A846))</f>
        <v/>
      </c>
      <c r="H846" s="288" t="str">
        <f>IF($A846="","",IFERROR(INDEX(Prices[Current Price],MATCH($A846,Prices[Key],0)),0))</f>
        <v/>
      </c>
      <c r="I846" s="289" t="str">
        <f>IF($A846="","",IFERROR(INDEX(Prices[FX to SGD],MATCH($A846,Prices[Key],0)),1))</f>
        <v/>
      </c>
      <c r="J846" s="287" t="str">
        <f t="shared" si="120"/>
        <v/>
      </c>
      <c r="K846" s="287" t="str">
        <f t="shared" si="121"/>
        <v/>
      </c>
      <c r="L846" s="287" t="str">
        <f t="shared" si="122"/>
        <v/>
      </c>
      <c r="M846" s="290" t="str">
        <f t="shared" si="123"/>
        <v/>
      </c>
      <c r="N846" s="243" t="str">
        <f>IF($A846="","",IF(ABS(E846)&gt;0.000001,COUNT($N$1:N845)+1,""))</f>
        <v/>
      </c>
      <c r="O846" s="291" t="str">
        <f>IF($A846="","",SUMIFS(Transactions!$H$2:$H$1001,Transactions!$J$2:$J$1001,$A846,Transactions!$A$2:$A$1001,2)*$I846)</f>
        <v/>
      </c>
      <c r="P846" s="291" t="str">
        <f t="shared" si="124"/>
        <v/>
      </c>
      <c r="Q846" s="292" t="str">
        <f t="shared" si="125"/>
        <v/>
      </c>
    </row>
    <row r="847" spans="1:17" ht="15" customHeight="1" x14ac:dyDescent="0.2">
      <c r="A847" s="243" t="str">
        <f>IFERROR(INDEX(Txn[Key],MATCH(0,INDEX(COUNTIF($A$1:A846,Txn[Key])+(Txn[Key]=""),0),0)),"")</f>
        <v/>
      </c>
      <c r="B847" s="243" t="str">
        <f t="shared" si="117"/>
        <v/>
      </c>
      <c r="C847" s="243" t="str">
        <f t="shared" si="118"/>
        <v/>
      </c>
      <c r="D847" s="243" t="str">
        <f t="shared" si="119"/>
        <v/>
      </c>
      <c r="E847" s="265" t="str">
        <f>IF($A847="","",SUMIFS(Txn[Signed Units],Txn[Key],$A847))</f>
        <v/>
      </c>
      <c r="F847" s="287" t="str">
        <f>IF($A847="","",SUMIFS(Txn[Buy Cost],Txn[Key],$A847))</f>
        <v/>
      </c>
      <c r="G847" s="287" t="str">
        <f>IF($A847="","",SUMIFS(Txn[Sell Proceeds],Txn[Key],$A847))</f>
        <v/>
      </c>
      <c r="H847" s="288" t="str">
        <f>IF($A847="","",IFERROR(INDEX(Prices[Current Price],MATCH($A847,Prices[Key],0)),0))</f>
        <v/>
      </c>
      <c r="I847" s="289" t="str">
        <f>IF($A847="","",IFERROR(INDEX(Prices[FX to SGD],MATCH($A847,Prices[Key],0)),1))</f>
        <v/>
      </c>
      <c r="J847" s="287" t="str">
        <f t="shared" si="120"/>
        <v/>
      </c>
      <c r="K847" s="287" t="str">
        <f t="shared" si="121"/>
        <v/>
      </c>
      <c r="L847" s="287" t="str">
        <f t="shared" si="122"/>
        <v/>
      </c>
      <c r="M847" s="290" t="str">
        <f t="shared" si="123"/>
        <v/>
      </c>
      <c r="N847" s="243" t="str">
        <f>IF($A847="","",IF(ABS(E847)&gt;0.000001,COUNT($N$1:N846)+1,""))</f>
        <v/>
      </c>
      <c r="O847" s="291" t="str">
        <f>IF($A847="","",SUMIFS(Transactions!$H$2:$H$1001,Transactions!$J$2:$J$1001,$A847,Transactions!$A$2:$A$1001,2)*$I847)</f>
        <v/>
      </c>
      <c r="P847" s="291" t="str">
        <f t="shared" si="124"/>
        <v/>
      </c>
      <c r="Q847" s="292" t="str">
        <f t="shared" si="125"/>
        <v/>
      </c>
    </row>
    <row r="848" spans="1:17" ht="15" customHeight="1" x14ac:dyDescent="0.2">
      <c r="A848" s="243" t="str">
        <f>IFERROR(INDEX(Txn[Key],MATCH(0,INDEX(COUNTIF($A$1:A847,Txn[Key])+(Txn[Key]=""),0),0)),"")</f>
        <v/>
      </c>
      <c r="B848" s="243" t="str">
        <f t="shared" si="117"/>
        <v/>
      </c>
      <c r="C848" s="243" t="str">
        <f t="shared" si="118"/>
        <v/>
      </c>
      <c r="D848" s="243" t="str">
        <f t="shared" si="119"/>
        <v/>
      </c>
      <c r="E848" s="265" t="str">
        <f>IF($A848="","",SUMIFS(Txn[Signed Units],Txn[Key],$A848))</f>
        <v/>
      </c>
      <c r="F848" s="287" t="str">
        <f>IF($A848="","",SUMIFS(Txn[Buy Cost],Txn[Key],$A848))</f>
        <v/>
      </c>
      <c r="G848" s="287" t="str">
        <f>IF($A848="","",SUMIFS(Txn[Sell Proceeds],Txn[Key],$A848))</f>
        <v/>
      </c>
      <c r="H848" s="288" t="str">
        <f>IF($A848="","",IFERROR(INDEX(Prices[Current Price],MATCH($A848,Prices[Key],0)),0))</f>
        <v/>
      </c>
      <c r="I848" s="289" t="str">
        <f>IF($A848="","",IFERROR(INDEX(Prices[FX to SGD],MATCH($A848,Prices[Key],0)),1))</f>
        <v/>
      </c>
      <c r="J848" s="287" t="str">
        <f t="shared" si="120"/>
        <v/>
      </c>
      <c r="K848" s="287" t="str">
        <f t="shared" si="121"/>
        <v/>
      </c>
      <c r="L848" s="287" t="str">
        <f t="shared" si="122"/>
        <v/>
      </c>
      <c r="M848" s="290" t="str">
        <f t="shared" si="123"/>
        <v/>
      </c>
      <c r="N848" s="243" t="str">
        <f>IF($A848="","",IF(ABS(E848)&gt;0.000001,COUNT($N$1:N847)+1,""))</f>
        <v/>
      </c>
      <c r="O848" s="291" t="str">
        <f>IF($A848="","",SUMIFS(Transactions!$H$2:$H$1001,Transactions!$J$2:$J$1001,$A848,Transactions!$A$2:$A$1001,2)*$I848)</f>
        <v/>
      </c>
      <c r="P848" s="291" t="str">
        <f t="shared" si="124"/>
        <v/>
      </c>
      <c r="Q848" s="292" t="str">
        <f t="shared" si="125"/>
        <v/>
      </c>
    </row>
    <row r="849" spans="1:17" ht="15" customHeight="1" x14ac:dyDescent="0.2">
      <c r="A849" s="243" t="str">
        <f>IFERROR(INDEX(Txn[Key],MATCH(0,INDEX(COUNTIF($A$1:A848,Txn[Key])+(Txn[Key]=""),0),0)),"")</f>
        <v/>
      </c>
      <c r="B849" s="243" t="str">
        <f t="shared" si="117"/>
        <v/>
      </c>
      <c r="C849" s="243" t="str">
        <f t="shared" si="118"/>
        <v/>
      </c>
      <c r="D849" s="243" t="str">
        <f t="shared" si="119"/>
        <v/>
      </c>
      <c r="E849" s="265" t="str">
        <f>IF($A849="","",SUMIFS(Txn[Signed Units],Txn[Key],$A849))</f>
        <v/>
      </c>
      <c r="F849" s="287" t="str">
        <f>IF($A849="","",SUMIFS(Txn[Buy Cost],Txn[Key],$A849))</f>
        <v/>
      </c>
      <c r="G849" s="287" t="str">
        <f>IF($A849="","",SUMIFS(Txn[Sell Proceeds],Txn[Key],$A849))</f>
        <v/>
      </c>
      <c r="H849" s="288" t="str">
        <f>IF($A849="","",IFERROR(INDEX(Prices[Current Price],MATCH($A849,Prices[Key],0)),0))</f>
        <v/>
      </c>
      <c r="I849" s="289" t="str">
        <f>IF($A849="","",IFERROR(INDEX(Prices[FX to SGD],MATCH($A849,Prices[Key],0)),1))</f>
        <v/>
      </c>
      <c r="J849" s="287" t="str">
        <f t="shared" si="120"/>
        <v/>
      </c>
      <c r="K849" s="287" t="str">
        <f t="shared" si="121"/>
        <v/>
      </c>
      <c r="L849" s="287" t="str">
        <f t="shared" si="122"/>
        <v/>
      </c>
      <c r="M849" s="290" t="str">
        <f t="shared" si="123"/>
        <v/>
      </c>
      <c r="N849" s="243" t="str">
        <f>IF($A849="","",IF(ABS(E849)&gt;0.000001,COUNT($N$1:N848)+1,""))</f>
        <v/>
      </c>
      <c r="O849" s="291" t="str">
        <f>IF($A849="","",SUMIFS(Transactions!$H$2:$H$1001,Transactions!$J$2:$J$1001,$A849,Transactions!$A$2:$A$1001,2)*$I849)</f>
        <v/>
      </c>
      <c r="P849" s="291" t="str">
        <f t="shared" si="124"/>
        <v/>
      </c>
      <c r="Q849" s="292" t="str">
        <f t="shared" si="125"/>
        <v/>
      </c>
    </row>
    <row r="850" spans="1:17" ht="15" customHeight="1" x14ac:dyDescent="0.2">
      <c r="A850" s="243" t="str">
        <f>IFERROR(INDEX(Txn[Key],MATCH(0,INDEX(COUNTIF($A$1:A849,Txn[Key])+(Txn[Key]=""),0),0)),"")</f>
        <v/>
      </c>
      <c r="B850" s="243" t="str">
        <f t="shared" si="117"/>
        <v/>
      </c>
      <c r="C850" s="243" t="str">
        <f t="shared" si="118"/>
        <v/>
      </c>
      <c r="D850" s="243" t="str">
        <f t="shared" si="119"/>
        <v/>
      </c>
      <c r="E850" s="265" t="str">
        <f>IF($A850="","",SUMIFS(Txn[Signed Units],Txn[Key],$A850))</f>
        <v/>
      </c>
      <c r="F850" s="287" t="str">
        <f>IF($A850="","",SUMIFS(Txn[Buy Cost],Txn[Key],$A850))</f>
        <v/>
      </c>
      <c r="G850" s="287" t="str">
        <f>IF($A850="","",SUMIFS(Txn[Sell Proceeds],Txn[Key],$A850))</f>
        <v/>
      </c>
      <c r="H850" s="288" t="str">
        <f>IF($A850="","",IFERROR(INDEX(Prices[Current Price],MATCH($A850,Prices[Key],0)),0))</f>
        <v/>
      </c>
      <c r="I850" s="289" t="str">
        <f>IF($A850="","",IFERROR(INDEX(Prices[FX to SGD],MATCH($A850,Prices[Key],0)),1))</f>
        <v/>
      </c>
      <c r="J850" s="287" t="str">
        <f t="shared" si="120"/>
        <v/>
      </c>
      <c r="K850" s="287" t="str">
        <f t="shared" si="121"/>
        <v/>
      </c>
      <c r="L850" s="287" t="str">
        <f t="shared" si="122"/>
        <v/>
      </c>
      <c r="M850" s="290" t="str">
        <f t="shared" si="123"/>
        <v/>
      </c>
      <c r="N850" s="243" t="str">
        <f>IF($A850="","",IF(ABS(E850)&gt;0.000001,COUNT($N$1:N849)+1,""))</f>
        <v/>
      </c>
      <c r="O850" s="291" t="str">
        <f>IF($A850="","",SUMIFS(Transactions!$H$2:$H$1001,Transactions!$J$2:$J$1001,$A850,Transactions!$A$2:$A$1001,2)*$I850)</f>
        <v/>
      </c>
      <c r="P850" s="291" t="str">
        <f t="shared" si="124"/>
        <v/>
      </c>
      <c r="Q850" s="292" t="str">
        <f t="shared" si="125"/>
        <v/>
      </c>
    </row>
    <row r="851" spans="1:17" ht="15" customHeight="1" x14ac:dyDescent="0.2">
      <c r="A851" s="243" t="str">
        <f>IFERROR(INDEX(Txn[Key],MATCH(0,INDEX(COUNTIF($A$1:A850,Txn[Key])+(Txn[Key]=""),0),0)),"")</f>
        <v/>
      </c>
      <c r="B851" s="243" t="str">
        <f t="shared" si="117"/>
        <v/>
      </c>
      <c r="C851" s="243" t="str">
        <f t="shared" si="118"/>
        <v/>
      </c>
      <c r="D851" s="243" t="str">
        <f t="shared" si="119"/>
        <v/>
      </c>
      <c r="E851" s="265" t="str">
        <f>IF($A851="","",SUMIFS(Txn[Signed Units],Txn[Key],$A851))</f>
        <v/>
      </c>
      <c r="F851" s="287" t="str">
        <f>IF($A851="","",SUMIFS(Txn[Buy Cost],Txn[Key],$A851))</f>
        <v/>
      </c>
      <c r="G851" s="287" t="str">
        <f>IF($A851="","",SUMIFS(Txn[Sell Proceeds],Txn[Key],$A851))</f>
        <v/>
      </c>
      <c r="H851" s="288" t="str">
        <f>IF($A851="","",IFERROR(INDEX(Prices[Current Price],MATCH($A851,Prices[Key],0)),0))</f>
        <v/>
      </c>
      <c r="I851" s="289" t="str">
        <f>IF($A851="","",IFERROR(INDEX(Prices[FX to SGD],MATCH($A851,Prices[Key],0)),1))</f>
        <v/>
      </c>
      <c r="J851" s="287" t="str">
        <f t="shared" si="120"/>
        <v/>
      </c>
      <c r="K851" s="287" t="str">
        <f t="shared" si="121"/>
        <v/>
      </c>
      <c r="L851" s="287" t="str">
        <f t="shared" si="122"/>
        <v/>
      </c>
      <c r="M851" s="290" t="str">
        <f t="shared" si="123"/>
        <v/>
      </c>
      <c r="N851" s="243" t="str">
        <f>IF($A851="","",IF(ABS(E851)&gt;0.000001,COUNT($N$1:N850)+1,""))</f>
        <v/>
      </c>
      <c r="O851" s="291" t="str">
        <f>IF($A851="","",SUMIFS(Transactions!$H$2:$H$1001,Transactions!$J$2:$J$1001,$A851,Transactions!$A$2:$A$1001,2)*$I851)</f>
        <v/>
      </c>
      <c r="P851" s="291" t="str">
        <f t="shared" si="124"/>
        <v/>
      </c>
      <c r="Q851" s="292" t="str">
        <f t="shared" si="125"/>
        <v/>
      </c>
    </row>
    <row r="852" spans="1:17" ht="15" customHeight="1" x14ac:dyDescent="0.2">
      <c r="A852" s="243" t="str">
        <f>IFERROR(INDEX(Txn[Key],MATCH(0,INDEX(COUNTIF($A$1:A851,Txn[Key])+(Txn[Key]=""),0),0)),"")</f>
        <v/>
      </c>
      <c r="B852" s="243" t="str">
        <f t="shared" si="117"/>
        <v/>
      </c>
      <c r="C852" s="243" t="str">
        <f t="shared" si="118"/>
        <v/>
      </c>
      <c r="D852" s="243" t="str">
        <f t="shared" si="119"/>
        <v/>
      </c>
      <c r="E852" s="265" t="str">
        <f>IF($A852="","",SUMIFS(Txn[Signed Units],Txn[Key],$A852))</f>
        <v/>
      </c>
      <c r="F852" s="287" t="str">
        <f>IF($A852="","",SUMIFS(Txn[Buy Cost],Txn[Key],$A852))</f>
        <v/>
      </c>
      <c r="G852" s="287" t="str">
        <f>IF($A852="","",SUMIFS(Txn[Sell Proceeds],Txn[Key],$A852))</f>
        <v/>
      </c>
      <c r="H852" s="288" t="str">
        <f>IF($A852="","",IFERROR(INDEX(Prices[Current Price],MATCH($A852,Prices[Key],0)),0))</f>
        <v/>
      </c>
      <c r="I852" s="289" t="str">
        <f>IF($A852="","",IFERROR(INDEX(Prices[FX to SGD],MATCH($A852,Prices[Key],0)),1))</f>
        <v/>
      </c>
      <c r="J852" s="287" t="str">
        <f t="shared" si="120"/>
        <v/>
      </c>
      <c r="K852" s="287" t="str">
        <f t="shared" si="121"/>
        <v/>
      </c>
      <c r="L852" s="287" t="str">
        <f t="shared" si="122"/>
        <v/>
      </c>
      <c r="M852" s="290" t="str">
        <f t="shared" si="123"/>
        <v/>
      </c>
      <c r="N852" s="243" t="str">
        <f>IF($A852="","",IF(ABS(E852)&gt;0.000001,COUNT($N$1:N851)+1,""))</f>
        <v/>
      </c>
      <c r="O852" s="291" t="str">
        <f>IF($A852="","",SUMIFS(Transactions!$H$2:$H$1001,Transactions!$J$2:$J$1001,$A852,Transactions!$A$2:$A$1001,2)*$I852)</f>
        <v/>
      </c>
      <c r="P852" s="291" t="str">
        <f t="shared" si="124"/>
        <v/>
      </c>
      <c r="Q852" s="292" t="str">
        <f t="shared" si="125"/>
        <v/>
      </c>
    </row>
    <row r="853" spans="1:17" ht="15" customHeight="1" x14ac:dyDescent="0.2">
      <c r="A853" s="243" t="str">
        <f>IFERROR(INDEX(Txn[Key],MATCH(0,INDEX(COUNTIF($A$1:A852,Txn[Key])+(Txn[Key]=""),0),0)),"")</f>
        <v/>
      </c>
      <c r="B853" s="243" t="str">
        <f t="shared" si="117"/>
        <v/>
      </c>
      <c r="C853" s="243" t="str">
        <f t="shared" si="118"/>
        <v/>
      </c>
      <c r="D853" s="243" t="str">
        <f t="shared" si="119"/>
        <v/>
      </c>
      <c r="E853" s="265" t="str">
        <f>IF($A853="","",SUMIFS(Txn[Signed Units],Txn[Key],$A853))</f>
        <v/>
      </c>
      <c r="F853" s="287" t="str">
        <f>IF($A853="","",SUMIFS(Txn[Buy Cost],Txn[Key],$A853))</f>
        <v/>
      </c>
      <c r="G853" s="287" t="str">
        <f>IF($A853="","",SUMIFS(Txn[Sell Proceeds],Txn[Key],$A853))</f>
        <v/>
      </c>
      <c r="H853" s="288" t="str">
        <f>IF($A853="","",IFERROR(INDEX(Prices[Current Price],MATCH($A853,Prices[Key],0)),0))</f>
        <v/>
      </c>
      <c r="I853" s="289" t="str">
        <f>IF($A853="","",IFERROR(INDEX(Prices[FX to SGD],MATCH($A853,Prices[Key],0)),1))</f>
        <v/>
      </c>
      <c r="J853" s="287" t="str">
        <f t="shared" si="120"/>
        <v/>
      </c>
      <c r="K853" s="287" t="str">
        <f t="shared" si="121"/>
        <v/>
      </c>
      <c r="L853" s="287" t="str">
        <f t="shared" si="122"/>
        <v/>
      </c>
      <c r="M853" s="290" t="str">
        <f t="shared" si="123"/>
        <v/>
      </c>
      <c r="N853" s="243" t="str">
        <f>IF($A853="","",IF(ABS(E853)&gt;0.000001,COUNT($N$1:N852)+1,""))</f>
        <v/>
      </c>
      <c r="O853" s="291" t="str">
        <f>IF($A853="","",SUMIFS(Transactions!$H$2:$H$1001,Transactions!$J$2:$J$1001,$A853,Transactions!$A$2:$A$1001,2)*$I853)</f>
        <v/>
      </c>
      <c r="P853" s="291" t="str">
        <f t="shared" si="124"/>
        <v/>
      </c>
      <c r="Q853" s="292" t="str">
        <f t="shared" si="125"/>
        <v/>
      </c>
    </row>
    <row r="854" spans="1:17" ht="15" customHeight="1" x14ac:dyDescent="0.2">
      <c r="A854" s="243" t="str">
        <f>IFERROR(INDEX(Txn[Key],MATCH(0,INDEX(COUNTIF($A$1:A853,Txn[Key])+(Txn[Key]=""),0),0)),"")</f>
        <v/>
      </c>
      <c r="B854" s="243" t="str">
        <f t="shared" si="117"/>
        <v/>
      </c>
      <c r="C854" s="243" t="str">
        <f t="shared" si="118"/>
        <v/>
      </c>
      <c r="D854" s="243" t="str">
        <f t="shared" si="119"/>
        <v/>
      </c>
      <c r="E854" s="265" t="str">
        <f>IF($A854="","",SUMIFS(Txn[Signed Units],Txn[Key],$A854))</f>
        <v/>
      </c>
      <c r="F854" s="287" t="str">
        <f>IF($A854="","",SUMIFS(Txn[Buy Cost],Txn[Key],$A854))</f>
        <v/>
      </c>
      <c r="G854" s="287" t="str">
        <f>IF($A854="","",SUMIFS(Txn[Sell Proceeds],Txn[Key],$A854))</f>
        <v/>
      </c>
      <c r="H854" s="288" t="str">
        <f>IF($A854="","",IFERROR(INDEX(Prices[Current Price],MATCH($A854,Prices[Key],0)),0))</f>
        <v/>
      </c>
      <c r="I854" s="289" t="str">
        <f>IF($A854="","",IFERROR(INDEX(Prices[FX to SGD],MATCH($A854,Prices[Key],0)),1))</f>
        <v/>
      </c>
      <c r="J854" s="287" t="str">
        <f t="shared" si="120"/>
        <v/>
      </c>
      <c r="K854" s="287" t="str">
        <f t="shared" si="121"/>
        <v/>
      </c>
      <c r="L854" s="287" t="str">
        <f t="shared" si="122"/>
        <v/>
      </c>
      <c r="M854" s="290" t="str">
        <f t="shared" si="123"/>
        <v/>
      </c>
      <c r="N854" s="243" t="str">
        <f>IF($A854="","",IF(ABS(E854)&gt;0.000001,COUNT($N$1:N853)+1,""))</f>
        <v/>
      </c>
      <c r="O854" s="291" t="str">
        <f>IF($A854="","",SUMIFS(Transactions!$H$2:$H$1001,Transactions!$J$2:$J$1001,$A854,Transactions!$A$2:$A$1001,2)*$I854)</f>
        <v/>
      </c>
      <c r="P854" s="291" t="str">
        <f t="shared" si="124"/>
        <v/>
      </c>
      <c r="Q854" s="292" t="str">
        <f t="shared" si="125"/>
        <v/>
      </c>
    </row>
    <row r="855" spans="1:17" ht="15" customHeight="1" x14ac:dyDescent="0.2">
      <c r="A855" s="243" t="str">
        <f>IFERROR(INDEX(Txn[Key],MATCH(0,INDEX(COUNTIF($A$1:A854,Txn[Key])+(Txn[Key]=""),0),0)),"")</f>
        <v/>
      </c>
      <c r="B855" s="243" t="str">
        <f t="shared" si="117"/>
        <v/>
      </c>
      <c r="C855" s="243" t="str">
        <f t="shared" si="118"/>
        <v/>
      </c>
      <c r="D855" s="243" t="str">
        <f t="shared" si="119"/>
        <v/>
      </c>
      <c r="E855" s="265" t="str">
        <f>IF($A855="","",SUMIFS(Txn[Signed Units],Txn[Key],$A855))</f>
        <v/>
      </c>
      <c r="F855" s="287" t="str">
        <f>IF($A855="","",SUMIFS(Txn[Buy Cost],Txn[Key],$A855))</f>
        <v/>
      </c>
      <c r="G855" s="287" t="str">
        <f>IF($A855="","",SUMIFS(Txn[Sell Proceeds],Txn[Key],$A855))</f>
        <v/>
      </c>
      <c r="H855" s="288" t="str">
        <f>IF($A855="","",IFERROR(INDEX(Prices[Current Price],MATCH($A855,Prices[Key],0)),0))</f>
        <v/>
      </c>
      <c r="I855" s="289" t="str">
        <f>IF($A855="","",IFERROR(INDEX(Prices[FX to SGD],MATCH($A855,Prices[Key],0)),1))</f>
        <v/>
      </c>
      <c r="J855" s="287" t="str">
        <f t="shared" si="120"/>
        <v/>
      </c>
      <c r="K855" s="287" t="str">
        <f t="shared" si="121"/>
        <v/>
      </c>
      <c r="L855" s="287" t="str">
        <f t="shared" si="122"/>
        <v/>
      </c>
      <c r="M855" s="290" t="str">
        <f t="shared" si="123"/>
        <v/>
      </c>
      <c r="N855" s="243" t="str">
        <f>IF($A855="","",IF(ABS(E855)&gt;0.000001,COUNT($N$1:N854)+1,""))</f>
        <v/>
      </c>
      <c r="O855" s="291" t="str">
        <f>IF($A855="","",SUMIFS(Transactions!$H$2:$H$1001,Transactions!$J$2:$J$1001,$A855,Transactions!$A$2:$A$1001,2)*$I855)</f>
        <v/>
      </c>
      <c r="P855" s="291" t="str">
        <f t="shared" si="124"/>
        <v/>
      </c>
      <c r="Q855" s="292" t="str">
        <f t="shared" si="125"/>
        <v/>
      </c>
    </row>
    <row r="856" spans="1:17" ht="15" customHeight="1" x14ac:dyDescent="0.2">
      <c r="A856" s="243" t="str">
        <f>IFERROR(INDEX(Txn[Key],MATCH(0,INDEX(COUNTIF($A$1:A855,Txn[Key])+(Txn[Key]=""),0),0)),"")</f>
        <v/>
      </c>
      <c r="B856" s="243" t="str">
        <f t="shared" si="117"/>
        <v/>
      </c>
      <c r="C856" s="243" t="str">
        <f t="shared" si="118"/>
        <v/>
      </c>
      <c r="D856" s="243" t="str">
        <f t="shared" si="119"/>
        <v/>
      </c>
      <c r="E856" s="265" t="str">
        <f>IF($A856="","",SUMIFS(Txn[Signed Units],Txn[Key],$A856))</f>
        <v/>
      </c>
      <c r="F856" s="287" t="str">
        <f>IF($A856="","",SUMIFS(Txn[Buy Cost],Txn[Key],$A856))</f>
        <v/>
      </c>
      <c r="G856" s="287" t="str">
        <f>IF($A856="","",SUMIFS(Txn[Sell Proceeds],Txn[Key],$A856))</f>
        <v/>
      </c>
      <c r="H856" s="288" t="str">
        <f>IF($A856="","",IFERROR(INDEX(Prices[Current Price],MATCH($A856,Prices[Key],0)),0))</f>
        <v/>
      </c>
      <c r="I856" s="289" t="str">
        <f>IF($A856="","",IFERROR(INDEX(Prices[FX to SGD],MATCH($A856,Prices[Key],0)),1))</f>
        <v/>
      </c>
      <c r="J856" s="287" t="str">
        <f t="shared" si="120"/>
        <v/>
      </c>
      <c r="K856" s="287" t="str">
        <f t="shared" si="121"/>
        <v/>
      </c>
      <c r="L856" s="287" t="str">
        <f t="shared" si="122"/>
        <v/>
      </c>
      <c r="M856" s="290" t="str">
        <f t="shared" si="123"/>
        <v/>
      </c>
      <c r="N856" s="243" t="str">
        <f>IF($A856="","",IF(ABS(E856)&gt;0.000001,COUNT($N$1:N855)+1,""))</f>
        <v/>
      </c>
      <c r="O856" s="291" t="str">
        <f>IF($A856="","",SUMIFS(Transactions!$H$2:$H$1001,Transactions!$J$2:$J$1001,$A856,Transactions!$A$2:$A$1001,2)*$I856)</f>
        <v/>
      </c>
      <c r="P856" s="291" t="str">
        <f t="shared" si="124"/>
        <v/>
      </c>
      <c r="Q856" s="292" t="str">
        <f t="shared" si="125"/>
        <v/>
      </c>
    </row>
    <row r="857" spans="1:17" ht="15" customHeight="1" x14ac:dyDescent="0.2">
      <c r="A857" s="243" t="str">
        <f>IFERROR(INDEX(Txn[Key],MATCH(0,INDEX(COUNTIF($A$1:A856,Txn[Key])+(Txn[Key]=""),0),0)),"")</f>
        <v/>
      </c>
      <c r="B857" s="243" t="str">
        <f t="shared" si="117"/>
        <v/>
      </c>
      <c r="C857" s="243" t="str">
        <f t="shared" si="118"/>
        <v/>
      </c>
      <c r="D857" s="243" t="str">
        <f t="shared" si="119"/>
        <v/>
      </c>
      <c r="E857" s="265" t="str">
        <f>IF($A857="","",SUMIFS(Txn[Signed Units],Txn[Key],$A857))</f>
        <v/>
      </c>
      <c r="F857" s="287" t="str">
        <f>IF($A857="","",SUMIFS(Txn[Buy Cost],Txn[Key],$A857))</f>
        <v/>
      </c>
      <c r="G857" s="287" t="str">
        <f>IF($A857="","",SUMIFS(Txn[Sell Proceeds],Txn[Key],$A857))</f>
        <v/>
      </c>
      <c r="H857" s="288" t="str">
        <f>IF($A857="","",IFERROR(INDEX(Prices[Current Price],MATCH($A857,Prices[Key],0)),0))</f>
        <v/>
      </c>
      <c r="I857" s="289" t="str">
        <f>IF($A857="","",IFERROR(INDEX(Prices[FX to SGD],MATCH($A857,Prices[Key],0)),1))</f>
        <v/>
      </c>
      <c r="J857" s="287" t="str">
        <f t="shared" si="120"/>
        <v/>
      </c>
      <c r="K857" s="287" t="str">
        <f t="shared" si="121"/>
        <v/>
      </c>
      <c r="L857" s="287" t="str">
        <f t="shared" si="122"/>
        <v/>
      </c>
      <c r="M857" s="290" t="str">
        <f t="shared" si="123"/>
        <v/>
      </c>
      <c r="N857" s="243" t="str">
        <f>IF($A857="","",IF(ABS(E857)&gt;0.000001,COUNT($N$1:N856)+1,""))</f>
        <v/>
      </c>
      <c r="O857" s="291" t="str">
        <f>IF($A857="","",SUMIFS(Transactions!$H$2:$H$1001,Transactions!$J$2:$J$1001,$A857,Transactions!$A$2:$A$1001,2)*$I857)</f>
        <v/>
      </c>
      <c r="P857" s="291" t="str">
        <f t="shared" si="124"/>
        <v/>
      </c>
      <c r="Q857" s="292" t="str">
        <f t="shared" si="125"/>
        <v/>
      </c>
    </row>
    <row r="858" spans="1:17" ht="15" customHeight="1" x14ac:dyDescent="0.2">
      <c r="A858" s="243" t="str">
        <f>IFERROR(INDEX(Txn[Key],MATCH(0,INDEX(COUNTIF($A$1:A857,Txn[Key])+(Txn[Key]=""),0),0)),"")</f>
        <v/>
      </c>
      <c r="B858" s="243" t="str">
        <f t="shared" si="117"/>
        <v/>
      </c>
      <c r="C858" s="243" t="str">
        <f t="shared" si="118"/>
        <v/>
      </c>
      <c r="D858" s="243" t="str">
        <f t="shared" si="119"/>
        <v/>
      </c>
      <c r="E858" s="265" t="str">
        <f>IF($A858="","",SUMIFS(Txn[Signed Units],Txn[Key],$A858))</f>
        <v/>
      </c>
      <c r="F858" s="287" t="str">
        <f>IF($A858="","",SUMIFS(Txn[Buy Cost],Txn[Key],$A858))</f>
        <v/>
      </c>
      <c r="G858" s="287" t="str">
        <f>IF($A858="","",SUMIFS(Txn[Sell Proceeds],Txn[Key],$A858))</f>
        <v/>
      </c>
      <c r="H858" s="288" t="str">
        <f>IF($A858="","",IFERROR(INDEX(Prices[Current Price],MATCH($A858,Prices[Key],0)),0))</f>
        <v/>
      </c>
      <c r="I858" s="289" t="str">
        <f>IF($A858="","",IFERROR(INDEX(Prices[FX to SGD],MATCH($A858,Prices[Key],0)),1))</f>
        <v/>
      </c>
      <c r="J858" s="287" t="str">
        <f t="shared" si="120"/>
        <v/>
      </c>
      <c r="K858" s="287" t="str">
        <f t="shared" si="121"/>
        <v/>
      </c>
      <c r="L858" s="287" t="str">
        <f t="shared" si="122"/>
        <v/>
      </c>
      <c r="M858" s="290" t="str">
        <f t="shared" si="123"/>
        <v/>
      </c>
      <c r="N858" s="243" t="str">
        <f>IF($A858="","",IF(ABS(E858)&gt;0.000001,COUNT($N$1:N857)+1,""))</f>
        <v/>
      </c>
      <c r="O858" s="291" t="str">
        <f>IF($A858="","",SUMIFS(Transactions!$H$2:$H$1001,Transactions!$J$2:$J$1001,$A858,Transactions!$A$2:$A$1001,2)*$I858)</f>
        <v/>
      </c>
      <c r="P858" s="291" t="str">
        <f t="shared" si="124"/>
        <v/>
      </c>
      <c r="Q858" s="292" t="str">
        <f t="shared" si="125"/>
        <v/>
      </c>
    </row>
    <row r="859" spans="1:17" ht="15" customHeight="1" x14ac:dyDescent="0.2">
      <c r="A859" s="243" t="str">
        <f>IFERROR(INDEX(Txn[Key],MATCH(0,INDEX(COUNTIF($A$1:A858,Txn[Key])+(Txn[Key]=""),0),0)),"")</f>
        <v/>
      </c>
      <c r="B859" s="243" t="str">
        <f t="shared" si="117"/>
        <v/>
      </c>
      <c r="C859" s="243" t="str">
        <f t="shared" si="118"/>
        <v/>
      </c>
      <c r="D859" s="243" t="str">
        <f t="shared" si="119"/>
        <v/>
      </c>
      <c r="E859" s="265" t="str">
        <f>IF($A859="","",SUMIFS(Txn[Signed Units],Txn[Key],$A859))</f>
        <v/>
      </c>
      <c r="F859" s="287" t="str">
        <f>IF($A859="","",SUMIFS(Txn[Buy Cost],Txn[Key],$A859))</f>
        <v/>
      </c>
      <c r="G859" s="287" t="str">
        <f>IF($A859="","",SUMIFS(Txn[Sell Proceeds],Txn[Key],$A859))</f>
        <v/>
      </c>
      <c r="H859" s="288" t="str">
        <f>IF($A859="","",IFERROR(INDEX(Prices[Current Price],MATCH($A859,Prices[Key],0)),0))</f>
        <v/>
      </c>
      <c r="I859" s="289" t="str">
        <f>IF($A859="","",IFERROR(INDEX(Prices[FX to SGD],MATCH($A859,Prices[Key],0)),1))</f>
        <v/>
      </c>
      <c r="J859" s="287" t="str">
        <f t="shared" si="120"/>
        <v/>
      </c>
      <c r="K859" s="287" t="str">
        <f t="shared" si="121"/>
        <v/>
      </c>
      <c r="L859" s="287" t="str">
        <f t="shared" si="122"/>
        <v/>
      </c>
      <c r="M859" s="290" t="str">
        <f t="shared" si="123"/>
        <v/>
      </c>
      <c r="N859" s="243" t="str">
        <f>IF($A859="","",IF(ABS(E859)&gt;0.000001,COUNT($N$1:N858)+1,""))</f>
        <v/>
      </c>
      <c r="O859" s="291" t="str">
        <f>IF($A859="","",SUMIFS(Transactions!$H$2:$H$1001,Transactions!$J$2:$J$1001,$A859,Transactions!$A$2:$A$1001,2)*$I859)</f>
        <v/>
      </c>
      <c r="P859" s="291" t="str">
        <f t="shared" si="124"/>
        <v/>
      </c>
      <c r="Q859" s="292" t="str">
        <f t="shared" si="125"/>
        <v/>
      </c>
    </row>
    <row r="860" spans="1:17" ht="15" customHeight="1" x14ac:dyDescent="0.2">
      <c r="A860" s="243" t="str">
        <f>IFERROR(INDEX(Txn[Key],MATCH(0,INDEX(COUNTIF($A$1:A859,Txn[Key])+(Txn[Key]=""),0),0)),"")</f>
        <v/>
      </c>
      <c r="B860" s="243" t="str">
        <f t="shared" si="117"/>
        <v/>
      </c>
      <c r="C860" s="243" t="str">
        <f t="shared" si="118"/>
        <v/>
      </c>
      <c r="D860" s="243" t="str">
        <f t="shared" si="119"/>
        <v/>
      </c>
      <c r="E860" s="265" t="str">
        <f>IF($A860="","",SUMIFS(Txn[Signed Units],Txn[Key],$A860))</f>
        <v/>
      </c>
      <c r="F860" s="287" t="str">
        <f>IF($A860="","",SUMIFS(Txn[Buy Cost],Txn[Key],$A860))</f>
        <v/>
      </c>
      <c r="G860" s="287" t="str">
        <f>IF($A860="","",SUMIFS(Txn[Sell Proceeds],Txn[Key],$A860))</f>
        <v/>
      </c>
      <c r="H860" s="288" t="str">
        <f>IF($A860="","",IFERROR(INDEX(Prices[Current Price],MATCH($A860,Prices[Key],0)),0))</f>
        <v/>
      </c>
      <c r="I860" s="289" t="str">
        <f>IF($A860="","",IFERROR(INDEX(Prices[FX to SGD],MATCH($A860,Prices[Key],0)),1))</f>
        <v/>
      </c>
      <c r="J860" s="287" t="str">
        <f t="shared" si="120"/>
        <v/>
      </c>
      <c r="K860" s="287" t="str">
        <f t="shared" si="121"/>
        <v/>
      </c>
      <c r="L860" s="287" t="str">
        <f t="shared" si="122"/>
        <v/>
      </c>
      <c r="M860" s="290" t="str">
        <f t="shared" si="123"/>
        <v/>
      </c>
      <c r="N860" s="243" t="str">
        <f>IF($A860="","",IF(ABS(E860)&gt;0.000001,COUNT($N$1:N859)+1,""))</f>
        <v/>
      </c>
      <c r="O860" s="291" t="str">
        <f>IF($A860="","",SUMIFS(Transactions!$H$2:$H$1001,Transactions!$J$2:$J$1001,$A860,Transactions!$A$2:$A$1001,2)*$I860)</f>
        <v/>
      </c>
      <c r="P860" s="291" t="str">
        <f t="shared" si="124"/>
        <v/>
      </c>
      <c r="Q860" s="292" t="str">
        <f t="shared" si="125"/>
        <v/>
      </c>
    </row>
    <row r="861" spans="1:17" ht="15" customHeight="1" x14ac:dyDescent="0.2">
      <c r="A861" s="243" t="str">
        <f>IFERROR(INDEX(Txn[Key],MATCH(0,INDEX(COUNTIF($A$1:A860,Txn[Key])+(Txn[Key]=""),0),0)),"")</f>
        <v/>
      </c>
      <c r="B861" s="243" t="str">
        <f t="shared" si="117"/>
        <v/>
      </c>
      <c r="C861" s="243" t="str">
        <f t="shared" si="118"/>
        <v/>
      </c>
      <c r="D861" s="243" t="str">
        <f t="shared" si="119"/>
        <v/>
      </c>
      <c r="E861" s="265" t="str">
        <f>IF($A861="","",SUMIFS(Txn[Signed Units],Txn[Key],$A861))</f>
        <v/>
      </c>
      <c r="F861" s="287" t="str">
        <f>IF($A861="","",SUMIFS(Txn[Buy Cost],Txn[Key],$A861))</f>
        <v/>
      </c>
      <c r="G861" s="287" t="str">
        <f>IF($A861="","",SUMIFS(Txn[Sell Proceeds],Txn[Key],$A861))</f>
        <v/>
      </c>
      <c r="H861" s="288" t="str">
        <f>IF($A861="","",IFERROR(INDEX(Prices[Current Price],MATCH($A861,Prices[Key],0)),0))</f>
        <v/>
      </c>
      <c r="I861" s="289" t="str">
        <f>IF($A861="","",IFERROR(INDEX(Prices[FX to SGD],MATCH($A861,Prices[Key],0)),1))</f>
        <v/>
      </c>
      <c r="J861" s="287" t="str">
        <f t="shared" si="120"/>
        <v/>
      </c>
      <c r="K861" s="287" t="str">
        <f t="shared" si="121"/>
        <v/>
      </c>
      <c r="L861" s="287" t="str">
        <f t="shared" si="122"/>
        <v/>
      </c>
      <c r="M861" s="290" t="str">
        <f t="shared" si="123"/>
        <v/>
      </c>
      <c r="N861" s="243" t="str">
        <f>IF($A861="","",IF(ABS(E861)&gt;0.000001,COUNT($N$1:N860)+1,""))</f>
        <v/>
      </c>
      <c r="O861" s="291" t="str">
        <f>IF($A861="","",SUMIFS(Transactions!$H$2:$H$1001,Transactions!$J$2:$J$1001,$A861,Transactions!$A$2:$A$1001,2)*$I861)</f>
        <v/>
      </c>
      <c r="P861" s="291" t="str">
        <f t="shared" si="124"/>
        <v/>
      </c>
      <c r="Q861" s="292" t="str">
        <f t="shared" si="125"/>
        <v/>
      </c>
    </row>
    <row r="862" spans="1:17" ht="15" customHeight="1" x14ac:dyDescent="0.2">
      <c r="A862" s="243" t="str">
        <f>IFERROR(INDEX(Txn[Key],MATCH(0,INDEX(COUNTIF($A$1:A861,Txn[Key])+(Txn[Key]=""),0),0)),"")</f>
        <v/>
      </c>
      <c r="B862" s="243" t="str">
        <f t="shared" si="117"/>
        <v/>
      </c>
      <c r="C862" s="243" t="str">
        <f t="shared" si="118"/>
        <v/>
      </c>
      <c r="D862" s="243" t="str">
        <f t="shared" si="119"/>
        <v/>
      </c>
      <c r="E862" s="265" t="str">
        <f>IF($A862="","",SUMIFS(Txn[Signed Units],Txn[Key],$A862))</f>
        <v/>
      </c>
      <c r="F862" s="287" t="str">
        <f>IF($A862="","",SUMIFS(Txn[Buy Cost],Txn[Key],$A862))</f>
        <v/>
      </c>
      <c r="G862" s="287" t="str">
        <f>IF($A862="","",SUMIFS(Txn[Sell Proceeds],Txn[Key],$A862))</f>
        <v/>
      </c>
      <c r="H862" s="288" t="str">
        <f>IF($A862="","",IFERROR(INDEX(Prices[Current Price],MATCH($A862,Prices[Key],0)),0))</f>
        <v/>
      </c>
      <c r="I862" s="289" t="str">
        <f>IF($A862="","",IFERROR(INDEX(Prices[FX to SGD],MATCH($A862,Prices[Key],0)),1))</f>
        <v/>
      </c>
      <c r="J862" s="287" t="str">
        <f t="shared" si="120"/>
        <v/>
      </c>
      <c r="K862" s="287" t="str">
        <f t="shared" si="121"/>
        <v/>
      </c>
      <c r="L862" s="287" t="str">
        <f t="shared" si="122"/>
        <v/>
      </c>
      <c r="M862" s="290" t="str">
        <f t="shared" si="123"/>
        <v/>
      </c>
      <c r="N862" s="243" t="str">
        <f>IF($A862="","",IF(ABS(E862)&gt;0.000001,COUNT($N$1:N861)+1,""))</f>
        <v/>
      </c>
      <c r="O862" s="291" t="str">
        <f>IF($A862="","",SUMIFS(Transactions!$H$2:$H$1001,Transactions!$J$2:$J$1001,$A862,Transactions!$A$2:$A$1001,2)*$I862)</f>
        <v/>
      </c>
      <c r="P862" s="291" t="str">
        <f t="shared" si="124"/>
        <v/>
      </c>
      <c r="Q862" s="292" t="str">
        <f t="shared" si="125"/>
        <v/>
      </c>
    </row>
    <row r="863" spans="1:17" ht="15" customHeight="1" x14ac:dyDescent="0.2">
      <c r="A863" s="243" t="str">
        <f>IFERROR(INDEX(Txn[Key],MATCH(0,INDEX(COUNTIF($A$1:A862,Txn[Key])+(Txn[Key]=""),0),0)),"")</f>
        <v/>
      </c>
      <c r="B863" s="243" t="str">
        <f t="shared" si="117"/>
        <v/>
      </c>
      <c r="C863" s="243" t="str">
        <f t="shared" si="118"/>
        <v/>
      </c>
      <c r="D863" s="243" t="str">
        <f t="shared" si="119"/>
        <v/>
      </c>
      <c r="E863" s="265" t="str">
        <f>IF($A863="","",SUMIFS(Txn[Signed Units],Txn[Key],$A863))</f>
        <v/>
      </c>
      <c r="F863" s="287" t="str">
        <f>IF($A863="","",SUMIFS(Txn[Buy Cost],Txn[Key],$A863))</f>
        <v/>
      </c>
      <c r="G863" s="287" t="str">
        <f>IF($A863="","",SUMIFS(Txn[Sell Proceeds],Txn[Key],$A863))</f>
        <v/>
      </c>
      <c r="H863" s="288" t="str">
        <f>IF($A863="","",IFERROR(INDEX(Prices[Current Price],MATCH($A863,Prices[Key],0)),0))</f>
        <v/>
      </c>
      <c r="I863" s="289" t="str">
        <f>IF($A863="","",IFERROR(INDEX(Prices[FX to SGD],MATCH($A863,Prices[Key],0)),1))</f>
        <v/>
      </c>
      <c r="J863" s="287" t="str">
        <f t="shared" si="120"/>
        <v/>
      </c>
      <c r="K863" s="287" t="str">
        <f t="shared" si="121"/>
        <v/>
      </c>
      <c r="L863" s="287" t="str">
        <f t="shared" si="122"/>
        <v/>
      </c>
      <c r="M863" s="290" t="str">
        <f t="shared" si="123"/>
        <v/>
      </c>
      <c r="N863" s="243" t="str">
        <f>IF($A863="","",IF(ABS(E863)&gt;0.000001,COUNT($N$1:N862)+1,""))</f>
        <v/>
      </c>
      <c r="O863" s="291" t="str">
        <f>IF($A863="","",SUMIFS(Transactions!$H$2:$H$1001,Transactions!$J$2:$J$1001,$A863,Transactions!$A$2:$A$1001,2)*$I863)</f>
        <v/>
      </c>
      <c r="P863" s="291" t="str">
        <f t="shared" si="124"/>
        <v/>
      </c>
      <c r="Q863" s="292" t="str">
        <f t="shared" si="125"/>
        <v/>
      </c>
    </row>
    <row r="864" spans="1:17" ht="15" customHeight="1" x14ac:dyDescent="0.2">
      <c r="A864" s="243" t="str">
        <f>IFERROR(INDEX(Txn[Key],MATCH(0,INDEX(COUNTIF($A$1:A863,Txn[Key])+(Txn[Key]=""),0),0)),"")</f>
        <v/>
      </c>
      <c r="B864" s="243" t="str">
        <f t="shared" si="117"/>
        <v/>
      </c>
      <c r="C864" s="243" t="str">
        <f t="shared" si="118"/>
        <v/>
      </c>
      <c r="D864" s="243" t="str">
        <f t="shared" si="119"/>
        <v/>
      </c>
      <c r="E864" s="265" t="str">
        <f>IF($A864="","",SUMIFS(Txn[Signed Units],Txn[Key],$A864))</f>
        <v/>
      </c>
      <c r="F864" s="287" t="str">
        <f>IF($A864="","",SUMIFS(Txn[Buy Cost],Txn[Key],$A864))</f>
        <v/>
      </c>
      <c r="G864" s="287" t="str">
        <f>IF($A864="","",SUMIFS(Txn[Sell Proceeds],Txn[Key],$A864))</f>
        <v/>
      </c>
      <c r="H864" s="288" t="str">
        <f>IF($A864="","",IFERROR(INDEX(Prices[Current Price],MATCH($A864,Prices[Key],0)),0))</f>
        <v/>
      </c>
      <c r="I864" s="289" t="str">
        <f>IF($A864="","",IFERROR(INDEX(Prices[FX to SGD],MATCH($A864,Prices[Key],0)),1))</f>
        <v/>
      </c>
      <c r="J864" s="287" t="str">
        <f t="shared" si="120"/>
        <v/>
      </c>
      <c r="K864" s="287" t="str">
        <f t="shared" si="121"/>
        <v/>
      </c>
      <c r="L864" s="287" t="str">
        <f t="shared" si="122"/>
        <v/>
      </c>
      <c r="M864" s="290" t="str">
        <f t="shared" si="123"/>
        <v/>
      </c>
      <c r="N864" s="243" t="str">
        <f>IF($A864="","",IF(ABS(E864)&gt;0.000001,COUNT($N$1:N863)+1,""))</f>
        <v/>
      </c>
      <c r="O864" s="291" t="str">
        <f>IF($A864="","",SUMIFS(Transactions!$H$2:$H$1001,Transactions!$J$2:$J$1001,$A864,Transactions!$A$2:$A$1001,2)*$I864)</f>
        <v/>
      </c>
      <c r="P864" s="291" t="str">
        <f t="shared" si="124"/>
        <v/>
      </c>
      <c r="Q864" s="292" t="str">
        <f t="shared" si="125"/>
        <v/>
      </c>
    </row>
    <row r="865" spans="1:17" ht="15" customHeight="1" x14ac:dyDescent="0.2">
      <c r="A865" s="243" t="str">
        <f>IFERROR(INDEX(Txn[Key],MATCH(0,INDEX(COUNTIF($A$1:A864,Txn[Key])+(Txn[Key]=""),0),0)),"")</f>
        <v/>
      </c>
      <c r="B865" s="243" t="str">
        <f t="shared" si="117"/>
        <v/>
      </c>
      <c r="C865" s="243" t="str">
        <f t="shared" si="118"/>
        <v/>
      </c>
      <c r="D865" s="243" t="str">
        <f t="shared" si="119"/>
        <v/>
      </c>
      <c r="E865" s="265" t="str">
        <f>IF($A865="","",SUMIFS(Txn[Signed Units],Txn[Key],$A865))</f>
        <v/>
      </c>
      <c r="F865" s="287" t="str">
        <f>IF($A865="","",SUMIFS(Txn[Buy Cost],Txn[Key],$A865))</f>
        <v/>
      </c>
      <c r="G865" s="287" t="str">
        <f>IF($A865="","",SUMIFS(Txn[Sell Proceeds],Txn[Key],$A865))</f>
        <v/>
      </c>
      <c r="H865" s="288" t="str">
        <f>IF($A865="","",IFERROR(INDEX(Prices[Current Price],MATCH($A865,Prices[Key],0)),0))</f>
        <v/>
      </c>
      <c r="I865" s="289" t="str">
        <f>IF($A865="","",IFERROR(INDEX(Prices[FX to SGD],MATCH($A865,Prices[Key],0)),1))</f>
        <v/>
      </c>
      <c r="J865" s="287" t="str">
        <f t="shared" si="120"/>
        <v/>
      </c>
      <c r="K865" s="287" t="str">
        <f t="shared" si="121"/>
        <v/>
      </c>
      <c r="L865" s="287" t="str">
        <f t="shared" si="122"/>
        <v/>
      </c>
      <c r="M865" s="290" t="str">
        <f t="shared" si="123"/>
        <v/>
      </c>
      <c r="N865" s="243" t="str">
        <f>IF($A865="","",IF(ABS(E865)&gt;0.000001,COUNT($N$1:N864)+1,""))</f>
        <v/>
      </c>
      <c r="O865" s="291" t="str">
        <f>IF($A865="","",SUMIFS(Transactions!$H$2:$H$1001,Transactions!$J$2:$J$1001,$A865,Transactions!$A$2:$A$1001,2)*$I865)</f>
        <v/>
      </c>
      <c r="P865" s="291" t="str">
        <f t="shared" si="124"/>
        <v/>
      </c>
      <c r="Q865" s="292" t="str">
        <f t="shared" si="125"/>
        <v/>
      </c>
    </row>
    <row r="866" spans="1:17" ht="15" customHeight="1" x14ac:dyDescent="0.2">
      <c r="A866" s="243" t="str">
        <f>IFERROR(INDEX(Txn[Key],MATCH(0,INDEX(COUNTIF($A$1:A865,Txn[Key])+(Txn[Key]=""),0),0)),"")</f>
        <v/>
      </c>
      <c r="B866" s="243" t="str">
        <f t="shared" si="117"/>
        <v/>
      </c>
      <c r="C866" s="243" t="str">
        <f t="shared" si="118"/>
        <v/>
      </c>
      <c r="D866" s="243" t="str">
        <f t="shared" si="119"/>
        <v/>
      </c>
      <c r="E866" s="265" t="str">
        <f>IF($A866="","",SUMIFS(Txn[Signed Units],Txn[Key],$A866))</f>
        <v/>
      </c>
      <c r="F866" s="287" t="str">
        <f>IF($A866="","",SUMIFS(Txn[Buy Cost],Txn[Key],$A866))</f>
        <v/>
      </c>
      <c r="G866" s="287" t="str">
        <f>IF($A866="","",SUMIFS(Txn[Sell Proceeds],Txn[Key],$A866))</f>
        <v/>
      </c>
      <c r="H866" s="288" t="str">
        <f>IF($A866="","",IFERROR(INDEX(Prices[Current Price],MATCH($A866,Prices[Key],0)),0))</f>
        <v/>
      </c>
      <c r="I866" s="289" t="str">
        <f>IF($A866="","",IFERROR(INDEX(Prices[FX to SGD],MATCH($A866,Prices[Key],0)),1))</f>
        <v/>
      </c>
      <c r="J866" s="287" t="str">
        <f t="shared" si="120"/>
        <v/>
      </c>
      <c r="K866" s="287" t="str">
        <f t="shared" si="121"/>
        <v/>
      </c>
      <c r="L866" s="287" t="str">
        <f t="shared" si="122"/>
        <v/>
      </c>
      <c r="M866" s="290" t="str">
        <f t="shared" si="123"/>
        <v/>
      </c>
      <c r="N866" s="243" t="str">
        <f>IF($A866="","",IF(ABS(E866)&gt;0.000001,COUNT($N$1:N865)+1,""))</f>
        <v/>
      </c>
      <c r="O866" s="291" t="str">
        <f>IF($A866="","",SUMIFS(Transactions!$H$2:$H$1001,Transactions!$J$2:$J$1001,$A866,Transactions!$A$2:$A$1001,2)*$I866)</f>
        <v/>
      </c>
      <c r="P866" s="291" t="str">
        <f t="shared" si="124"/>
        <v/>
      </c>
      <c r="Q866" s="292" t="str">
        <f t="shared" si="125"/>
        <v/>
      </c>
    </row>
    <row r="867" spans="1:17" ht="15" customHeight="1" x14ac:dyDescent="0.2">
      <c r="A867" s="243" t="str">
        <f>IFERROR(INDEX(Txn[Key],MATCH(0,INDEX(COUNTIF($A$1:A866,Txn[Key])+(Txn[Key]=""),0),0)),"")</f>
        <v/>
      </c>
      <c r="B867" s="243" t="str">
        <f t="shared" si="117"/>
        <v/>
      </c>
      <c r="C867" s="243" t="str">
        <f t="shared" si="118"/>
        <v/>
      </c>
      <c r="D867" s="243" t="str">
        <f t="shared" si="119"/>
        <v/>
      </c>
      <c r="E867" s="265" t="str">
        <f>IF($A867="","",SUMIFS(Txn[Signed Units],Txn[Key],$A867))</f>
        <v/>
      </c>
      <c r="F867" s="287" t="str">
        <f>IF($A867="","",SUMIFS(Txn[Buy Cost],Txn[Key],$A867))</f>
        <v/>
      </c>
      <c r="G867" s="287" t="str">
        <f>IF($A867="","",SUMIFS(Txn[Sell Proceeds],Txn[Key],$A867))</f>
        <v/>
      </c>
      <c r="H867" s="288" t="str">
        <f>IF($A867="","",IFERROR(INDEX(Prices[Current Price],MATCH($A867,Prices[Key],0)),0))</f>
        <v/>
      </c>
      <c r="I867" s="289" t="str">
        <f>IF($A867="","",IFERROR(INDEX(Prices[FX to SGD],MATCH($A867,Prices[Key],0)),1))</f>
        <v/>
      </c>
      <c r="J867" s="287" t="str">
        <f t="shared" si="120"/>
        <v/>
      </c>
      <c r="K867" s="287" t="str">
        <f t="shared" si="121"/>
        <v/>
      </c>
      <c r="L867" s="287" t="str">
        <f t="shared" si="122"/>
        <v/>
      </c>
      <c r="M867" s="290" t="str">
        <f t="shared" si="123"/>
        <v/>
      </c>
      <c r="N867" s="243" t="str">
        <f>IF($A867="","",IF(ABS(E867)&gt;0.000001,COUNT($N$1:N866)+1,""))</f>
        <v/>
      </c>
      <c r="O867" s="291" t="str">
        <f>IF($A867="","",SUMIFS(Transactions!$H$2:$H$1001,Transactions!$J$2:$J$1001,$A867,Transactions!$A$2:$A$1001,2)*$I867)</f>
        <v/>
      </c>
      <c r="P867" s="291" t="str">
        <f t="shared" si="124"/>
        <v/>
      </c>
      <c r="Q867" s="292" t="str">
        <f t="shared" si="125"/>
        <v/>
      </c>
    </row>
    <row r="868" spans="1:17" ht="15" customHeight="1" x14ac:dyDescent="0.2">
      <c r="A868" s="243" t="str">
        <f>IFERROR(INDEX(Txn[Key],MATCH(0,INDEX(COUNTIF($A$1:A867,Txn[Key])+(Txn[Key]=""),0),0)),"")</f>
        <v/>
      </c>
      <c r="B868" s="243" t="str">
        <f t="shared" si="117"/>
        <v/>
      </c>
      <c r="C868" s="243" t="str">
        <f t="shared" si="118"/>
        <v/>
      </c>
      <c r="D868" s="243" t="str">
        <f t="shared" si="119"/>
        <v/>
      </c>
      <c r="E868" s="265" t="str">
        <f>IF($A868="","",SUMIFS(Txn[Signed Units],Txn[Key],$A868))</f>
        <v/>
      </c>
      <c r="F868" s="287" t="str">
        <f>IF($A868="","",SUMIFS(Txn[Buy Cost],Txn[Key],$A868))</f>
        <v/>
      </c>
      <c r="G868" s="287" t="str">
        <f>IF($A868="","",SUMIFS(Txn[Sell Proceeds],Txn[Key],$A868))</f>
        <v/>
      </c>
      <c r="H868" s="288" t="str">
        <f>IF($A868="","",IFERROR(INDEX(Prices[Current Price],MATCH($A868,Prices[Key],0)),0))</f>
        <v/>
      </c>
      <c r="I868" s="289" t="str">
        <f>IF($A868="","",IFERROR(INDEX(Prices[FX to SGD],MATCH($A868,Prices[Key],0)),1))</f>
        <v/>
      </c>
      <c r="J868" s="287" t="str">
        <f t="shared" si="120"/>
        <v/>
      </c>
      <c r="K868" s="287" t="str">
        <f t="shared" si="121"/>
        <v/>
      </c>
      <c r="L868" s="287" t="str">
        <f t="shared" si="122"/>
        <v/>
      </c>
      <c r="M868" s="290" t="str">
        <f t="shared" si="123"/>
        <v/>
      </c>
      <c r="N868" s="243" t="str">
        <f>IF($A868="","",IF(ABS(E868)&gt;0.000001,COUNT($N$1:N867)+1,""))</f>
        <v/>
      </c>
      <c r="O868" s="291" t="str">
        <f>IF($A868="","",SUMIFS(Transactions!$H$2:$H$1001,Transactions!$J$2:$J$1001,$A868,Transactions!$A$2:$A$1001,2)*$I868)</f>
        <v/>
      </c>
      <c r="P868" s="291" t="str">
        <f t="shared" si="124"/>
        <v/>
      </c>
      <c r="Q868" s="292" t="str">
        <f t="shared" si="125"/>
        <v/>
      </c>
    </row>
    <row r="869" spans="1:17" ht="15" customHeight="1" x14ac:dyDescent="0.2">
      <c r="A869" s="243" t="str">
        <f>IFERROR(INDEX(Txn[Key],MATCH(0,INDEX(COUNTIF($A$1:A868,Txn[Key])+(Txn[Key]=""),0),0)),"")</f>
        <v/>
      </c>
      <c r="B869" s="243" t="str">
        <f t="shared" si="117"/>
        <v/>
      </c>
      <c r="C869" s="243" t="str">
        <f t="shared" si="118"/>
        <v/>
      </c>
      <c r="D869" s="243" t="str">
        <f t="shared" si="119"/>
        <v/>
      </c>
      <c r="E869" s="265" t="str">
        <f>IF($A869="","",SUMIFS(Txn[Signed Units],Txn[Key],$A869))</f>
        <v/>
      </c>
      <c r="F869" s="287" t="str">
        <f>IF($A869="","",SUMIFS(Txn[Buy Cost],Txn[Key],$A869))</f>
        <v/>
      </c>
      <c r="G869" s="287" t="str">
        <f>IF($A869="","",SUMIFS(Txn[Sell Proceeds],Txn[Key],$A869))</f>
        <v/>
      </c>
      <c r="H869" s="288" t="str">
        <f>IF($A869="","",IFERROR(INDEX(Prices[Current Price],MATCH($A869,Prices[Key],0)),0))</f>
        <v/>
      </c>
      <c r="I869" s="289" t="str">
        <f>IF($A869="","",IFERROR(INDEX(Prices[FX to SGD],MATCH($A869,Prices[Key],0)),1))</f>
        <v/>
      </c>
      <c r="J869" s="287" t="str">
        <f t="shared" si="120"/>
        <v/>
      </c>
      <c r="K869" s="287" t="str">
        <f t="shared" si="121"/>
        <v/>
      </c>
      <c r="L869" s="287" t="str">
        <f t="shared" si="122"/>
        <v/>
      </c>
      <c r="M869" s="290" t="str">
        <f t="shared" si="123"/>
        <v/>
      </c>
      <c r="N869" s="243" t="str">
        <f>IF($A869="","",IF(ABS(E869)&gt;0.000001,COUNT($N$1:N868)+1,""))</f>
        <v/>
      </c>
      <c r="O869" s="291" t="str">
        <f>IF($A869="","",SUMIFS(Transactions!$H$2:$H$1001,Transactions!$J$2:$J$1001,$A869,Transactions!$A$2:$A$1001,2)*$I869)</f>
        <v/>
      </c>
      <c r="P869" s="291" t="str">
        <f t="shared" si="124"/>
        <v/>
      </c>
      <c r="Q869" s="292" t="str">
        <f t="shared" si="125"/>
        <v/>
      </c>
    </row>
    <row r="870" spans="1:17" ht="15" customHeight="1" x14ac:dyDescent="0.2">
      <c r="A870" s="243" t="str">
        <f>IFERROR(INDEX(Txn[Key],MATCH(0,INDEX(COUNTIF($A$1:A869,Txn[Key])+(Txn[Key]=""),0),0)),"")</f>
        <v/>
      </c>
      <c r="B870" s="243" t="str">
        <f t="shared" si="117"/>
        <v/>
      </c>
      <c r="C870" s="243" t="str">
        <f t="shared" si="118"/>
        <v/>
      </c>
      <c r="D870" s="243" t="str">
        <f t="shared" si="119"/>
        <v/>
      </c>
      <c r="E870" s="265" t="str">
        <f>IF($A870="","",SUMIFS(Txn[Signed Units],Txn[Key],$A870))</f>
        <v/>
      </c>
      <c r="F870" s="287" t="str">
        <f>IF($A870="","",SUMIFS(Txn[Buy Cost],Txn[Key],$A870))</f>
        <v/>
      </c>
      <c r="G870" s="287" t="str">
        <f>IF($A870="","",SUMIFS(Txn[Sell Proceeds],Txn[Key],$A870))</f>
        <v/>
      </c>
      <c r="H870" s="288" t="str">
        <f>IF($A870="","",IFERROR(INDEX(Prices[Current Price],MATCH($A870,Prices[Key],0)),0))</f>
        <v/>
      </c>
      <c r="I870" s="289" t="str">
        <f>IF($A870="","",IFERROR(INDEX(Prices[FX to SGD],MATCH($A870,Prices[Key],0)),1))</f>
        <v/>
      </c>
      <c r="J870" s="287" t="str">
        <f t="shared" si="120"/>
        <v/>
      </c>
      <c r="K870" s="287" t="str">
        <f t="shared" si="121"/>
        <v/>
      </c>
      <c r="L870" s="287" t="str">
        <f t="shared" si="122"/>
        <v/>
      </c>
      <c r="M870" s="290" t="str">
        <f t="shared" si="123"/>
        <v/>
      </c>
      <c r="N870" s="243" t="str">
        <f>IF($A870="","",IF(ABS(E870)&gt;0.000001,COUNT($N$1:N869)+1,""))</f>
        <v/>
      </c>
      <c r="O870" s="291" t="str">
        <f>IF($A870="","",SUMIFS(Transactions!$H$2:$H$1001,Transactions!$J$2:$J$1001,$A870,Transactions!$A$2:$A$1001,2)*$I870)</f>
        <v/>
      </c>
      <c r="P870" s="291" t="str">
        <f t="shared" si="124"/>
        <v/>
      </c>
      <c r="Q870" s="292" t="str">
        <f t="shared" si="125"/>
        <v/>
      </c>
    </row>
    <row r="871" spans="1:17" ht="15" customHeight="1" x14ac:dyDescent="0.2">
      <c r="A871" s="243" t="str">
        <f>IFERROR(INDEX(Txn[Key],MATCH(0,INDEX(COUNTIF($A$1:A870,Txn[Key])+(Txn[Key]=""),0),0)),"")</f>
        <v/>
      </c>
      <c r="B871" s="243" t="str">
        <f t="shared" si="117"/>
        <v/>
      </c>
      <c r="C871" s="243" t="str">
        <f t="shared" si="118"/>
        <v/>
      </c>
      <c r="D871" s="243" t="str">
        <f t="shared" si="119"/>
        <v/>
      </c>
      <c r="E871" s="265" t="str">
        <f>IF($A871="","",SUMIFS(Txn[Signed Units],Txn[Key],$A871))</f>
        <v/>
      </c>
      <c r="F871" s="287" t="str">
        <f>IF($A871="","",SUMIFS(Txn[Buy Cost],Txn[Key],$A871))</f>
        <v/>
      </c>
      <c r="G871" s="287" t="str">
        <f>IF($A871="","",SUMIFS(Txn[Sell Proceeds],Txn[Key],$A871))</f>
        <v/>
      </c>
      <c r="H871" s="288" t="str">
        <f>IF($A871="","",IFERROR(INDEX(Prices[Current Price],MATCH($A871,Prices[Key],0)),0))</f>
        <v/>
      </c>
      <c r="I871" s="289" t="str">
        <f>IF($A871="","",IFERROR(INDEX(Prices[FX to SGD],MATCH($A871,Prices[Key],0)),1))</f>
        <v/>
      </c>
      <c r="J871" s="287" t="str">
        <f t="shared" si="120"/>
        <v/>
      </c>
      <c r="K871" s="287" t="str">
        <f t="shared" si="121"/>
        <v/>
      </c>
      <c r="L871" s="287" t="str">
        <f t="shared" si="122"/>
        <v/>
      </c>
      <c r="M871" s="290" t="str">
        <f t="shared" si="123"/>
        <v/>
      </c>
      <c r="N871" s="243" t="str">
        <f>IF($A871="","",IF(ABS(E871)&gt;0.000001,COUNT($N$1:N870)+1,""))</f>
        <v/>
      </c>
      <c r="O871" s="291" t="str">
        <f>IF($A871="","",SUMIFS(Transactions!$H$2:$H$1001,Transactions!$J$2:$J$1001,$A871,Transactions!$A$2:$A$1001,2)*$I871)</f>
        <v/>
      </c>
      <c r="P871" s="291" t="str">
        <f t="shared" si="124"/>
        <v/>
      </c>
      <c r="Q871" s="292" t="str">
        <f t="shared" si="125"/>
        <v/>
      </c>
    </row>
    <row r="872" spans="1:17" ht="15" customHeight="1" x14ac:dyDescent="0.2">
      <c r="A872" s="243" t="str">
        <f>IFERROR(INDEX(Txn[Key],MATCH(0,INDEX(COUNTIF($A$1:A871,Txn[Key])+(Txn[Key]=""),0),0)),"")</f>
        <v/>
      </c>
      <c r="B872" s="243" t="str">
        <f t="shared" si="117"/>
        <v/>
      </c>
      <c r="C872" s="243" t="str">
        <f t="shared" si="118"/>
        <v/>
      </c>
      <c r="D872" s="243" t="str">
        <f t="shared" si="119"/>
        <v/>
      </c>
      <c r="E872" s="265" t="str">
        <f>IF($A872="","",SUMIFS(Txn[Signed Units],Txn[Key],$A872))</f>
        <v/>
      </c>
      <c r="F872" s="287" t="str">
        <f>IF($A872="","",SUMIFS(Txn[Buy Cost],Txn[Key],$A872))</f>
        <v/>
      </c>
      <c r="G872" s="287" t="str">
        <f>IF($A872="","",SUMIFS(Txn[Sell Proceeds],Txn[Key],$A872))</f>
        <v/>
      </c>
      <c r="H872" s="288" t="str">
        <f>IF($A872="","",IFERROR(INDEX(Prices[Current Price],MATCH($A872,Prices[Key],0)),0))</f>
        <v/>
      </c>
      <c r="I872" s="289" t="str">
        <f>IF($A872="","",IFERROR(INDEX(Prices[FX to SGD],MATCH($A872,Prices[Key],0)),1))</f>
        <v/>
      </c>
      <c r="J872" s="287" t="str">
        <f t="shared" si="120"/>
        <v/>
      </c>
      <c r="K872" s="287" t="str">
        <f t="shared" si="121"/>
        <v/>
      </c>
      <c r="L872" s="287" t="str">
        <f t="shared" si="122"/>
        <v/>
      </c>
      <c r="M872" s="290" t="str">
        <f t="shared" si="123"/>
        <v/>
      </c>
      <c r="N872" s="243" t="str">
        <f>IF($A872="","",IF(ABS(E872)&gt;0.000001,COUNT($N$1:N871)+1,""))</f>
        <v/>
      </c>
      <c r="O872" s="291" t="str">
        <f>IF($A872="","",SUMIFS(Transactions!$H$2:$H$1001,Transactions!$J$2:$J$1001,$A872,Transactions!$A$2:$A$1001,2)*$I872)</f>
        <v/>
      </c>
      <c r="P872" s="291" t="str">
        <f t="shared" si="124"/>
        <v/>
      </c>
      <c r="Q872" s="292" t="str">
        <f t="shared" si="125"/>
        <v/>
      </c>
    </row>
    <row r="873" spans="1:17" ht="15" customHeight="1" x14ac:dyDescent="0.2">
      <c r="A873" s="243" t="str">
        <f>IFERROR(INDEX(Txn[Key],MATCH(0,INDEX(COUNTIF($A$1:A872,Txn[Key])+(Txn[Key]=""),0),0)),"")</f>
        <v/>
      </c>
      <c r="B873" s="243" t="str">
        <f t="shared" si="117"/>
        <v/>
      </c>
      <c r="C873" s="243" t="str">
        <f t="shared" si="118"/>
        <v/>
      </c>
      <c r="D873" s="243" t="str">
        <f t="shared" si="119"/>
        <v/>
      </c>
      <c r="E873" s="265" t="str">
        <f>IF($A873="","",SUMIFS(Txn[Signed Units],Txn[Key],$A873))</f>
        <v/>
      </c>
      <c r="F873" s="287" t="str">
        <f>IF($A873="","",SUMIFS(Txn[Buy Cost],Txn[Key],$A873))</f>
        <v/>
      </c>
      <c r="G873" s="287" t="str">
        <f>IF($A873="","",SUMIFS(Txn[Sell Proceeds],Txn[Key],$A873))</f>
        <v/>
      </c>
      <c r="H873" s="288" t="str">
        <f>IF($A873="","",IFERROR(INDEX(Prices[Current Price],MATCH($A873,Prices[Key],0)),0))</f>
        <v/>
      </c>
      <c r="I873" s="289" t="str">
        <f>IF($A873="","",IFERROR(INDEX(Prices[FX to SGD],MATCH($A873,Prices[Key],0)),1))</f>
        <v/>
      </c>
      <c r="J873" s="287" t="str">
        <f t="shared" si="120"/>
        <v/>
      </c>
      <c r="K873" s="287" t="str">
        <f t="shared" si="121"/>
        <v/>
      </c>
      <c r="L873" s="287" t="str">
        <f t="shared" si="122"/>
        <v/>
      </c>
      <c r="M873" s="290" t="str">
        <f t="shared" si="123"/>
        <v/>
      </c>
      <c r="N873" s="243" t="str">
        <f>IF($A873="","",IF(ABS(E873)&gt;0.000001,COUNT($N$1:N872)+1,""))</f>
        <v/>
      </c>
      <c r="O873" s="291" t="str">
        <f>IF($A873="","",SUMIFS(Transactions!$H$2:$H$1001,Transactions!$J$2:$J$1001,$A873,Transactions!$A$2:$A$1001,2)*$I873)</f>
        <v/>
      </c>
      <c r="P873" s="291" t="str">
        <f t="shared" si="124"/>
        <v/>
      </c>
      <c r="Q873" s="292" t="str">
        <f t="shared" si="125"/>
        <v/>
      </c>
    </row>
    <row r="874" spans="1:17" ht="15" customHeight="1" x14ac:dyDescent="0.2">
      <c r="A874" s="243" t="str">
        <f>IFERROR(INDEX(Txn[Key],MATCH(0,INDEX(COUNTIF($A$1:A873,Txn[Key])+(Txn[Key]=""),0),0)),"")</f>
        <v/>
      </c>
      <c r="B874" s="243" t="str">
        <f t="shared" si="117"/>
        <v/>
      </c>
      <c r="C874" s="243" t="str">
        <f t="shared" si="118"/>
        <v/>
      </c>
      <c r="D874" s="243" t="str">
        <f t="shared" si="119"/>
        <v/>
      </c>
      <c r="E874" s="265" t="str">
        <f>IF($A874="","",SUMIFS(Txn[Signed Units],Txn[Key],$A874))</f>
        <v/>
      </c>
      <c r="F874" s="287" t="str">
        <f>IF($A874="","",SUMIFS(Txn[Buy Cost],Txn[Key],$A874))</f>
        <v/>
      </c>
      <c r="G874" s="287" t="str">
        <f>IF($A874="","",SUMIFS(Txn[Sell Proceeds],Txn[Key],$A874))</f>
        <v/>
      </c>
      <c r="H874" s="288" t="str">
        <f>IF($A874="","",IFERROR(INDEX(Prices[Current Price],MATCH($A874,Prices[Key],0)),0))</f>
        <v/>
      </c>
      <c r="I874" s="289" t="str">
        <f>IF($A874="","",IFERROR(INDEX(Prices[FX to SGD],MATCH($A874,Prices[Key],0)),1))</f>
        <v/>
      </c>
      <c r="J874" s="287" t="str">
        <f t="shared" si="120"/>
        <v/>
      </c>
      <c r="K874" s="287" t="str">
        <f t="shared" si="121"/>
        <v/>
      </c>
      <c r="L874" s="287" t="str">
        <f t="shared" si="122"/>
        <v/>
      </c>
      <c r="M874" s="290" t="str">
        <f t="shared" si="123"/>
        <v/>
      </c>
      <c r="N874" s="243" t="str">
        <f>IF($A874="","",IF(ABS(E874)&gt;0.000001,COUNT($N$1:N873)+1,""))</f>
        <v/>
      </c>
      <c r="O874" s="291" t="str">
        <f>IF($A874="","",SUMIFS(Transactions!$H$2:$H$1001,Transactions!$J$2:$J$1001,$A874,Transactions!$A$2:$A$1001,2)*$I874)</f>
        <v/>
      </c>
      <c r="P874" s="291" t="str">
        <f t="shared" si="124"/>
        <v/>
      </c>
      <c r="Q874" s="292" t="str">
        <f t="shared" si="125"/>
        <v/>
      </c>
    </row>
    <row r="875" spans="1:17" ht="15" customHeight="1" x14ac:dyDescent="0.2">
      <c r="A875" s="243" t="str">
        <f>IFERROR(INDEX(Txn[Key],MATCH(0,INDEX(COUNTIF($A$1:A874,Txn[Key])+(Txn[Key]=""),0),0)),"")</f>
        <v/>
      </c>
      <c r="B875" s="243" t="str">
        <f t="shared" si="117"/>
        <v/>
      </c>
      <c r="C875" s="243" t="str">
        <f t="shared" si="118"/>
        <v/>
      </c>
      <c r="D875" s="243" t="str">
        <f t="shared" si="119"/>
        <v/>
      </c>
      <c r="E875" s="265" t="str">
        <f>IF($A875="","",SUMIFS(Txn[Signed Units],Txn[Key],$A875))</f>
        <v/>
      </c>
      <c r="F875" s="287" t="str">
        <f>IF($A875="","",SUMIFS(Txn[Buy Cost],Txn[Key],$A875))</f>
        <v/>
      </c>
      <c r="G875" s="287" t="str">
        <f>IF($A875="","",SUMIFS(Txn[Sell Proceeds],Txn[Key],$A875))</f>
        <v/>
      </c>
      <c r="H875" s="288" t="str">
        <f>IF($A875="","",IFERROR(INDEX(Prices[Current Price],MATCH($A875,Prices[Key],0)),0))</f>
        <v/>
      </c>
      <c r="I875" s="289" t="str">
        <f>IF($A875="","",IFERROR(INDEX(Prices[FX to SGD],MATCH($A875,Prices[Key],0)),1))</f>
        <v/>
      </c>
      <c r="J875" s="287" t="str">
        <f t="shared" si="120"/>
        <v/>
      </c>
      <c r="K875" s="287" t="str">
        <f t="shared" si="121"/>
        <v/>
      </c>
      <c r="L875" s="287" t="str">
        <f t="shared" si="122"/>
        <v/>
      </c>
      <c r="M875" s="290" t="str">
        <f t="shared" si="123"/>
        <v/>
      </c>
      <c r="N875" s="243" t="str">
        <f>IF($A875="","",IF(ABS(E875)&gt;0.000001,COUNT($N$1:N874)+1,""))</f>
        <v/>
      </c>
      <c r="O875" s="291" t="str">
        <f>IF($A875="","",SUMIFS(Transactions!$H$2:$H$1001,Transactions!$J$2:$J$1001,$A875,Transactions!$A$2:$A$1001,2)*$I875)</f>
        <v/>
      </c>
      <c r="P875" s="291" t="str">
        <f t="shared" si="124"/>
        <v/>
      </c>
      <c r="Q875" s="292" t="str">
        <f t="shared" si="125"/>
        <v/>
      </c>
    </row>
    <row r="876" spans="1:17" ht="15" customHeight="1" x14ac:dyDescent="0.2">
      <c r="A876" s="243" t="str">
        <f>IFERROR(INDEX(Txn[Key],MATCH(0,INDEX(COUNTIF($A$1:A875,Txn[Key])+(Txn[Key]=""),0),0)),"")</f>
        <v/>
      </c>
      <c r="B876" s="243" t="str">
        <f t="shared" si="117"/>
        <v/>
      </c>
      <c r="C876" s="243" t="str">
        <f t="shared" si="118"/>
        <v/>
      </c>
      <c r="D876" s="243" t="str">
        <f t="shared" si="119"/>
        <v/>
      </c>
      <c r="E876" s="265" t="str">
        <f>IF($A876="","",SUMIFS(Txn[Signed Units],Txn[Key],$A876))</f>
        <v/>
      </c>
      <c r="F876" s="287" t="str">
        <f>IF($A876="","",SUMIFS(Txn[Buy Cost],Txn[Key],$A876))</f>
        <v/>
      </c>
      <c r="G876" s="287" t="str">
        <f>IF($A876="","",SUMIFS(Txn[Sell Proceeds],Txn[Key],$A876))</f>
        <v/>
      </c>
      <c r="H876" s="288" t="str">
        <f>IF($A876="","",IFERROR(INDEX(Prices[Current Price],MATCH($A876,Prices[Key],0)),0))</f>
        <v/>
      </c>
      <c r="I876" s="289" t="str">
        <f>IF($A876="","",IFERROR(INDEX(Prices[FX to SGD],MATCH($A876,Prices[Key],0)),1))</f>
        <v/>
      </c>
      <c r="J876" s="287" t="str">
        <f t="shared" si="120"/>
        <v/>
      </c>
      <c r="K876" s="287" t="str">
        <f t="shared" si="121"/>
        <v/>
      </c>
      <c r="L876" s="287" t="str">
        <f t="shared" si="122"/>
        <v/>
      </c>
      <c r="M876" s="290" t="str">
        <f t="shared" si="123"/>
        <v/>
      </c>
      <c r="N876" s="243" t="str">
        <f>IF($A876="","",IF(ABS(E876)&gt;0.000001,COUNT($N$1:N875)+1,""))</f>
        <v/>
      </c>
      <c r="O876" s="291" t="str">
        <f>IF($A876="","",SUMIFS(Transactions!$H$2:$H$1001,Transactions!$J$2:$J$1001,$A876,Transactions!$A$2:$A$1001,2)*$I876)</f>
        <v/>
      </c>
      <c r="P876" s="291" t="str">
        <f t="shared" si="124"/>
        <v/>
      </c>
      <c r="Q876" s="292" t="str">
        <f t="shared" si="125"/>
        <v/>
      </c>
    </row>
    <row r="877" spans="1:17" ht="15" customHeight="1" x14ac:dyDescent="0.2">
      <c r="A877" s="243" t="str">
        <f>IFERROR(INDEX(Txn[Key],MATCH(0,INDEX(COUNTIF($A$1:A876,Txn[Key])+(Txn[Key]=""),0),0)),"")</f>
        <v/>
      </c>
      <c r="B877" s="243" t="str">
        <f t="shared" si="117"/>
        <v/>
      </c>
      <c r="C877" s="243" t="str">
        <f t="shared" si="118"/>
        <v/>
      </c>
      <c r="D877" s="243" t="str">
        <f t="shared" si="119"/>
        <v/>
      </c>
      <c r="E877" s="265" t="str">
        <f>IF($A877="","",SUMIFS(Txn[Signed Units],Txn[Key],$A877))</f>
        <v/>
      </c>
      <c r="F877" s="287" t="str">
        <f>IF($A877="","",SUMIFS(Txn[Buy Cost],Txn[Key],$A877))</f>
        <v/>
      </c>
      <c r="G877" s="287" t="str">
        <f>IF($A877="","",SUMIFS(Txn[Sell Proceeds],Txn[Key],$A877))</f>
        <v/>
      </c>
      <c r="H877" s="288" t="str">
        <f>IF($A877="","",IFERROR(INDEX(Prices[Current Price],MATCH($A877,Prices[Key],0)),0))</f>
        <v/>
      </c>
      <c r="I877" s="289" t="str">
        <f>IF($A877="","",IFERROR(INDEX(Prices[FX to SGD],MATCH($A877,Prices[Key],0)),1))</f>
        <v/>
      </c>
      <c r="J877" s="287" t="str">
        <f t="shared" si="120"/>
        <v/>
      </c>
      <c r="K877" s="287" t="str">
        <f t="shared" si="121"/>
        <v/>
      </c>
      <c r="L877" s="287" t="str">
        <f t="shared" si="122"/>
        <v/>
      </c>
      <c r="M877" s="290" t="str">
        <f t="shared" si="123"/>
        <v/>
      </c>
      <c r="N877" s="243" t="str">
        <f>IF($A877="","",IF(ABS(E877)&gt;0.000001,COUNT($N$1:N876)+1,""))</f>
        <v/>
      </c>
      <c r="O877" s="291" t="str">
        <f>IF($A877="","",SUMIFS(Transactions!$H$2:$H$1001,Transactions!$J$2:$J$1001,$A877,Transactions!$A$2:$A$1001,2)*$I877)</f>
        <v/>
      </c>
      <c r="P877" s="291" t="str">
        <f t="shared" si="124"/>
        <v/>
      </c>
      <c r="Q877" s="292" t="str">
        <f t="shared" si="125"/>
        <v/>
      </c>
    </row>
    <row r="878" spans="1:17" ht="15" customHeight="1" x14ac:dyDescent="0.2">
      <c r="A878" s="243" t="str">
        <f>IFERROR(INDEX(Txn[Key],MATCH(0,INDEX(COUNTIF($A$1:A877,Txn[Key])+(Txn[Key]=""),0),0)),"")</f>
        <v/>
      </c>
      <c r="B878" s="243" t="str">
        <f t="shared" si="117"/>
        <v/>
      </c>
      <c r="C878" s="243" t="str">
        <f t="shared" si="118"/>
        <v/>
      </c>
      <c r="D878" s="243" t="str">
        <f t="shared" si="119"/>
        <v/>
      </c>
      <c r="E878" s="265" t="str">
        <f>IF($A878="","",SUMIFS(Txn[Signed Units],Txn[Key],$A878))</f>
        <v/>
      </c>
      <c r="F878" s="287" t="str">
        <f>IF($A878="","",SUMIFS(Txn[Buy Cost],Txn[Key],$A878))</f>
        <v/>
      </c>
      <c r="G878" s="287" t="str">
        <f>IF($A878="","",SUMIFS(Txn[Sell Proceeds],Txn[Key],$A878))</f>
        <v/>
      </c>
      <c r="H878" s="288" t="str">
        <f>IF($A878="","",IFERROR(INDEX(Prices[Current Price],MATCH($A878,Prices[Key],0)),0))</f>
        <v/>
      </c>
      <c r="I878" s="289" t="str">
        <f>IF($A878="","",IFERROR(INDEX(Prices[FX to SGD],MATCH($A878,Prices[Key],0)),1))</f>
        <v/>
      </c>
      <c r="J878" s="287" t="str">
        <f t="shared" si="120"/>
        <v/>
      </c>
      <c r="K878" s="287" t="str">
        <f t="shared" si="121"/>
        <v/>
      </c>
      <c r="L878" s="287" t="str">
        <f t="shared" si="122"/>
        <v/>
      </c>
      <c r="M878" s="290" t="str">
        <f t="shared" si="123"/>
        <v/>
      </c>
      <c r="N878" s="243" t="str">
        <f>IF($A878="","",IF(ABS(E878)&gt;0.000001,COUNT($N$1:N877)+1,""))</f>
        <v/>
      </c>
      <c r="O878" s="291" t="str">
        <f>IF($A878="","",SUMIFS(Transactions!$H$2:$H$1001,Transactions!$J$2:$J$1001,$A878,Transactions!$A$2:$A$1001,2)*$I878)</f>
        <v/>
      </c>
      <c r="P878" s="291" t="str">
        <f t="shared" si="124"/>
        <v/>
      </c>
      <c r="Q878" s="292" t="str">
        <f t="shared" si="125"/>
        <v/>
      </c>
    </row>
    <row r="879" spans="1:17" ht="15" customHeight="1" x14ac:dyDescent="0.2">
      <c r="A879" s="243" t="str">
        <f>IFERROR(INDEX(Txn[Key],MATCH(0,INDEX(COUNTIF($A$1:A878,Txn[Key])+(Txn[Key]=""),0),0)),"")</f>
        <v/>
      </c>
      <c r="B879" s="243" t="str">
        <f t="shared" si="117"/>
        <v/>
      </c>
      <c r="C879" s="243" t="str">
        <f t="shared" si="118"/>
        <v/>
      </c>
      <c r="D879" s="243" t="str">
        <f t="shared" si="119"/>
        <v/>
      </c>
      <c r="E879" s="265" t="str">
        <f>IF($A879="","",SUMIFS(Txn[Signed Units],Txn[Key],$A879))</f>
        <v/>
      </c>
      <c r="F879" s="287" t="str">
        <f>IF($A879="","",SUMIFS(Txn[Buy Cost],Txn[Key],$A879))</f>
        <v/>
      </c>
      <c r="G879" s="287" t="str">
        <f>IF($A879="","",SUMIFS(Txn[Sell Proceeds],Txn[Key],$A879))</f>
        <v/>
      </c>
      <c r="H879" s="288" t="str">
        <f>IF($A879="","",IFERROR(INDEX(Prices[Current Price],MATCH($A879,Prices[Key],0)),0))</f>
        <v/>
      </c>
      <c r="I879" s="289" t="str">
        <f>IF($A879="","",IFERROR(INDEX(Prices[FX to SGD],MATCH($A879,Prices[Key],0)),1))</f>
        <v/>
      </c>
      <c r="J879" s="287" t="str">
        <f t="shared" si="120"/>
        <v/>
      </c>
      <c r="K879" s="287" t="str">
        <f t="shared" si="121"/>
        <v/>
      </c>
      <c r="L879" s="287" t="str">
        <f t="shared" si="122"/>
        <v/>
      </c>
      <c r="M879" s="290" t="str">
        <f t="shared" si="123"/>
        <v/>
      </c>
      <c r="N879" s="243" t="str">
        <f>IF($A879="","",IF(ABS(E879)&gt;0.000001,COUNT($N$1:N878)+1,""))</f>
        <v/>
      </c>
      <c r="O879" s="291" t="str">
        <f>IF($A879="","",SUMIFS(Transactions!$H$2:$H$1001,Transactions!$J$2:$J$1001,$A879,Transactions!$A$2:$A$1001,2)*$I879)</f>
        <v/>
      </c>
      <c r="P879" s="291" t="str">
        <f t="shared" si="124"/>
        <v/>
      </c>
      <c r="Q879" s="292" t="str">
        <f t="shared" si="125"/>
        <v/>
      </c>
    </row>
    <row r="880" spans="1:17" ht="15" customHeight="1" x14ac:dyDescent="0.2">
      <c r="A880" s="243" t="str">
        <f>IFERROR(INDEX(Txn[Key],MATCH(0,INDEX(COUNTIF($A$1:A879,Txn[Key])+(Txn[Key]=""),0),0)),"")</f>
        <v/>
      </c>
      <c r="B880" s="243" t="str">
        <f t="shared" si="117"/>
        <v/>
      </c>
      <c r="C880" s="243" t="str">
        <f t="shared" si="118"/>
        <v/>
      </c>
      <c r="D880" s="243" t="str">
        <f t="shared" si="119"/>
        <v/>
      </c>
      <c r="E880" s="265" t="str">
        <f>IF($A880="","",SUMIFS(Txn[Signed Units],Txn[Key],$A880))</f>
        <v/>
      </c>
      <c r="F880" s="287" t="str">
        <f>IF($A880="","",SUMIFS(Txn[Buy Cost],Txn[Key],$A880))</f>
        <v/>
      </c>
      <c r="G880" s="287" t="str">
        <f>IF($A880="","",SUMIFS(Txn[Sell Proceeds],Txn[Key],$A880))</f>
        <v/>
      </c>
      <c r="H880" s="288" t="str">
        <f>IF($A880="","",IFERROR(INDEX(Prices[Current Price],MATCH($A880,Prices[Key],0)),0))</f>
        <v/>
      </c>
      <c r="I880" s="289" t="str">
        <f>IF($A880="","",IFERROR(INDEX(Prices[FX to SGD],MATCH($A880,Prices[Key],0)),1))</f>
        <v/>
      </c>
      <c r="J880" s="287" t="str">
        <f t="shared" si="120"/>
        <v/>
      </c>
      <c r="K880" s="287" t="str">
        <f t="shared" si="121"/>
        <v/>
      </c>
      <c r="L880" s="287" t="str">
        <f t="shared" si="122"/>
        <v/>
      </c>
      <c r="M880" s="290" t="str">
        <f t="shared" si="123"/>
        <v/>
      </c>
      <c r="N880" s="243" t="str">
        <f>IF($A880="","",IF(ABS(E880)&gt;0.000001,COUNT($N$1:N879)+1,""))</f>
        <v/>
      </c>
      <c r="O880" s="291" t="str">
        <f>IF($A880="","",SUMIFS(Transactions!$H$2:$H$1001,Transactions!$J$2:$J$1001,$A880,Transactions!$A$2:$A$1001,2)*$I880)</f>
        <v/>
      </c>
      <c r="P880" s="291" t="str">
        <f t="shared" si="124"/>
        <v/>
      </c>
      <c r="Q880" s="292" t="str">
        <f t="shared" si="125"/>
        <v/>
      </c>
    </row>
    <row r="881" spans="1:17" ht="15" customHeight="1" x14ac:dyDescent="0.2">
      <c r="A881" s="243" t="str">
        <f>IFERROR(INDEX(Txn[Key],MATCH(0,INDEX(COUNTIF($A$1:A880,Txn[Key])+(Txn[Key]=""),0),0)),"")</f>
        <v/>
      </c>
      <c r="B881" s="243" t="str">
        <f t="shared" si="117"/>
        <v/>
      </c>
      <c r="C881" s="243" t="str">
        <f t="shared" si="118"/>
        <v/>
      </c>
      <c r="D881" s="243" t="str">
        <f t="shared" si="119"/>
        <v/>
      </c>
      <c r="E881" s="265" t="str">
        <f>IF($A881="","",SUMIFS(Txn[Signed Units],Txn[Key],$A881))</f>
        <v/>
      </c>
      <c r="F881" s="287" t="str">
        <f>IF($A881="","",SUMIFS(Txn[Buy Cost],Txn[Key],$A881))</f>
        <v/>
      </c>
      <c r="G881" s="287" t="str">
        <f>IF($A881="","",SUMIFS(Txn[Sell Proceeds],Txn[Key],$A881))</f>
        <v/>
      </c>
      <c r="H881" s="288" t="str">
        <f>IF($A881="","",IFERROR(INDEX(Prices[Current Price],MATCH($A881,Prices[Key],0)),0))</f>
        <v/>
      </c>
      <c r="I881" s="289" t="str">
        <f>IF($A881="","",IFERROR(INDEX(Prices[FX to SGD],MATCH($A881,Prices[Key],0)),1))</f>
        <v/>
      </c>
      <c r="J881" s="287" t="str">
        <f t="shared" si="120"/>
        <v/>
      </c>
      <c r="K881" s="287" t="str">
        <f t="shared" si="121"/>
        <v/>
      </c>
      <c r="L881" s="287" t="str">
        <f t="shared" si="122"/>
        <v/>
      </c>
      <c r="M881" s="290" t="str">
        <f t="shared" si="123"/>
        <v/>
      </c>
      <c r="N881" s="243" t="str">
        <f>IF($A881="","",IF(ABS(E881)&gt;0.000001,COUNT($N$1:N880)+1,""))</f>
        <v/>
      </c>
      <c r="O881" s="291" t="str">
        <f>IF($A881="","",SUMIFS(Transactions!$H$2:$H$1001,Transactions!$J$2:$J$1001,$A881,Transactions!$A$2:$A$1001,2)*$I881)</f>
        <v/>
      </c>
      <c r="P881" s="291" t="str">
        <f t="shared" si="124"/>
        <v/>
      </c>
      <c r="Q881" s="292" t="str">
        <f t="shared" si="125"/>
        <v/>
      </c>
    </row>
    <row r="882" spans="1:17" ht="15" customHeight="1" x14ac:dyDescent="0.2">
      <c r="A882" s="243" t="str">
        <f>IFERROR(INDEX(Txn[Key],MATCH(0,INDEX(COUNTIF($A$1:A881,Txn[Key])+(Txn[Key]=""),0),0)),"")</f>
        <v/>
      </c>
      <c r="B882" s="243" t="str">
        <f t="shared" si="117"/>
        <v/>
      </c>
      <c r="C882" s="243" t="str">
        <f t="shared" si="118"/>
        <v/>
      </c>
      <c r="D882" s="243" t="str">
        <f t="shared" si="119"/>
        <v/>
      </c>
      <c r="E882" s="265" t="str">
        <f>IF($A882="","",SUMIFS(Txn[Signed Units],Txn[Key],$A882))</f>
        <v/>
      </c>
      <c r="F882" s="287" t="str">
        <f>IF($A882="","",SUMIFS(Txn[Buy Cost],Txn[Key],$A882))</f>
        <v/>
      </c>
      <c r="G882" s="287" t="str">
        <f>IF($A882="","",SUMIFS(Txn[Sell Proceeds],Txn[Key],$A882))</f>
        <v/>
      </c>
      <c r="H882" s="288" t="str">
        <f>IF($A882="","",IFERROR(INDEX(Prices[Current Price],MATCH($A882,Prices[Key],0)),0))</f>
        <v/>
      </c>
      <c r="I882" s="289" t="str">
        <f>IF($A882="","",IFERROR(INDEX(Prices[FX to SGD],MATCH($A882,Prices[Key],0)),1))</f>
        <v/>
      </c>
      <c r="J882" s="287" t="str">
        <f t="shared" si="120"/>
        <v/>
      </c>
      <c r="K882" s="287" t="str">
        <f t="shared" si="121"/>
        <v/>
      </c>
      <c r="L882" s="287" t="str">
        <f t="shared" si="122"/>
        <v/>
      </c>
      <c r="M882" s="290" t="str">
        <f t="shared" si="123"/>
        <v/>
      </c>
      <c r="N882" s="243" t="str">
        <f>IF($A882="","",IF(ABS(E882)&gt;0.000001,COUNT($N$1:N881)+1,""))</f>
        <v/>
      </c>
      <c r="O882" s="291" t="str">
        <f>IF($A882="","",SUMIFS(Transactions!$H$2:$H$1001,Transactions!$J$2:$J$1001,$A882,Transactions!$A$2:$A$1001,2)*$I882)</f>
        <v/>
      </c>
      <c r="P882" s="291" t="str">
        <f t="shared" si="124"/>
        <v/>
      </c>
      <c r="Q882" s="292" t="str">
        <f t="shared" si="125"/>
        <v/>
      </c>
    </row>
    <row r="883" spans="1:17" ht="15" customHeight="1" x14ac:dyDescent="0.2">
      <c r="A883" s="243" t="str">
        <f>IFERROR(INDEX(Txn[Key],MATCH(0,INDEX(COUNTIF($A$1:A882,Txn[Key])+(Txn[Key]=""),0),0)),"")</f>
        <v/>
      </c>
      <c r="B883" s="243" t="str">
        <f t="shared" si="117"/>
        <v/>
      </c>
      <c r="C883" s="243" t="str">
        <f t="shared" si="118"/>
        <v/>
      </c>
      <c r="D883" s="243" t="str">
        <f t="shared" si="119"/>
        <v/>
      </c>
      <c r="E883" s="265" t="str">
        <f>IF($A883="","",SUMIFS(Txn[Signed Units],Txn[Key],$A883))</f>
        <v/>
      </c>
      <c r="F883" s="287" t="str">
        <f>IF($A883="","",SUMIFS(Txn[Buy Cost],Txn[Key],$A883))</f>
        <v/>
      </c>
      <c r="G883" s="287" t="str">
        <f>IF($A883="","",SUMIFS(Txn[Sell Proceeds],Txn[Key],$A883))</f>
        <v/>
      </c>
      <c r="H883" s="288" t="str">
        <f>IF($A883="","",IFERROR(INDEX(Prices[Current Price],MATCH($A883,Prices[Key],0)),0))</f>
        <v/>
      </c>
      <c r="I883" s="289" t="str">
        <f>IF($A883="","",IFERROR(INDEX(Prices[FX to SGD],MATCH($A883,Prices[Key],0)),1))</f>
        <v/>
      </c>
      <c r="J883" s="287" t="str">
        <f t="shared" si="120"/>
        <v/>
      </c>
      <c r="K883" s="287" t="str">
        <f t="shared" si="121"/>
        <v/>
      </c>
      <c r="L883" s="287" t="str">
        <f t="shared" si="122"/>
        <v/>
      </c>
      <c r="M883" s="290" t="str">
        <f t="shared" si="123"/>
        <v/>
      </c>
      <c r="N883" s="243" t="str">
        <f>IF($A883="","",IF(ABS(E883)&gt;0.000001,COUNT($N$1:N882)+1,""))</f>
        <v/>
      </c>
      <c r="O883" s="291" t="str">
        <f>IF($A883="","",SUMIFS(Transactions!$H$2:$H$1001,Transactions!$J$2:$J$1001,$A883,Transactions!$A$2:$A$1001,2)*$I883)</f>
        <v/>
      </c>
      <c r="P883" s="291" t="str">
        <f t="shared" si="124"/>
        <v/>
      </c>
      <c r="Q883" s="292" t="str">
        <f t="shared" si="125"/>
        <v/>
      </c>
    </row>
    <row r="884" spans="1:17" ht="15" customHeight="1" x14ac:dyDescent="0.2">
      <c r="A884" s="243" t="str">
        <f>IFERROR(INDEX(Txn[Key],MATCH(0,INDEX(COUNTIF($A$1:A883,Txn[Key])+(Txn[Key]=""),0),0)),"")</f>
        <v/>
      </c>
      <c r="B884" s="243" t="str">
        <f t="shared" si="117"/>
        <v/>
      </c>
      <c r="C884" s="243" t="str">
        <f t="shared" si="118"/>
        <v/>
      </c>
      <c r="D884" s="243" t="str">
        <f t="shared" si="119"/>
        <v/>
      </c>
      <c r="E884" s="265" t="str">
        <f>IF($A884="","",SUMIFS(Txn[Signed Units],Txn[Key],$A884))</f>
        <v/>
      </c>
      <c r="F884" s="287" t="str">
        <f>IF($A884="","",SUMIFS(Txn[Buy Cost],Txn[Key],$A884))</f>
        <v/>
      </c>
      <c r="G884" s="287" t="str">
        <f>IF($A884="","",SUMIFS(Txn[Sell Proceeds],Txn[Key],$A884))</f>
        <v/>
      </c>
      <c r="H884" s="288" t="str">
        <f>IF($A884="","",IFERROR(INDEX(Prices[Current Price],MATCH($A884,Prices[Key],0)),0))</f>
        <v/>
      </c>
      <c r="I884" s="289" t="str">
        <f>IF($A884="","",IFERROR(INDEX(Prices[FX to SGD],MATCH($A884,Prices[Key],0)),1))</f>
        <v/>
      </c>
      <c r="J884" s="287" t="str">
        <f t="shared" si="120"/>
        <v/>
      </c>
      <c r="K884" s="287" t="str">
        <f t="shared" si="121"/>
        <v/>
      </c>
      <c r="L884" s="287" t="str">
        <f t="shared" si="122"/>
        <v/>
      </c>
      <c r="M884" s="290" t="str">
        <f t="shared" si="123"/>
        <v/>
      </c>
      <c r="N884" s="243" t="str">
        <f>IF($A884="","",IF(ABS(E884)&gt;0.000001,COUNT($N$1:N883)+1,""))</f>
        <v/>
      </c>
      <c r="O884" s="291" t="str">
        <f>IF($A884="","",SUMIFS(Transactions!$H$2:$H$1001,Transactions!$J$2:$J$1001,$A884,Transactions!$A$2:$A$1001,2)*$I884)</f>
        <v/>
      </c>
      <c r="P884" s="291" t="str">
        <f t="shared" si="124"/>
        <v/>
      </c>
      <c r="Q884" s="292" t="str">
        <f t="shared" si="125"/>
        <v/>
      </c>
    </row>
    <row r="885" spans="1:17" ht="15" customHeight="1" x14ac:dyDescent="0.2">
      <c r="A885" s="243" t="str">
        <f>IFERROR(INDEX(Txn[Key],MATCH(0,INDEX(COUNTIF($A$1:A884,Txn[Key])+(Txn[Key]=""),0),0)),"")</f>
        <v/>
      </c>
      <c r="B885" s="243" t="str">
        <f t="shared" si="117"/>
        <v/>
      </c>
      <c r="C885" s="243" t="str">
        <f t="shared" si="118"/>
        <v/>
      </c>
      <c r="D885" s="243" t="str">
        <f t="shared" si="119"/>
        <v/>
      </c>
      <c r="E885" s="265" t="str">
        <f>IF($A885="","",SUMIFS(Txn[Signed Units],Txn[Key],$A885))</f>
        <v/>
      </c>
      <c r="F885" s="287" t="str">
        <f>IF($A885="","",SUMIFS(Txn[Buy Cost],Txn[Key],$A885))</f>
        <v/>
      </c>
      <c r="G885" s="287" t="str">
        <f>IF($A885="","",SUMIFS(Txn[Sell Proceeds],Txn[Key],$A885))</f>
        <v/>
      </c>
      <c r="H885" s="288" t="str">
        <f>IF($A885="","",IFERROR(INDEX(Prices[Current Price],MATCH($A885,Prices[Key],0)),0))</f>
        <v/>
      </c>
      <c r="I885" s="289" t="str">
        <f>IF($A885="","",IFERROR(INDEX(Prices[FX to SGD],MATCH($A885,Prices[Key],0)),1))</f>
        <v/>
      </c>
      <c r="J885" s="287" t="str">
        <f t="shared" si="120"/>
        <v/>
      </c>
      <c r="K885" s="287" t="str">
        <f t="shared" si="121"/>
        <v/>
      </c>
      <c r="L885" s="287" t="str">
        <f t="shared" si="122"/>
        <v/>
      </c>
      <c r="M885" s="290" t="str">
        <f t="shared" si="123"/>
        <v/>
      </c>
      <c r="N885" s="243" t="str">
        <f>IF($A885="","",IF(ABS(E885)&gt;0.000001,COUNT($N$1:N884)+1,""))</f>
        <v/>
      </c>
      <c r="O885" s="291" t="str">
        <f>IF($A885="","",SUMIFS(Transactions!$H$2:$H$1001,Transactions!$J$2:$J$1001,$A885,Transactions!$A$2:$A$1001,2)*$I885)</f>
        <v/>
      </c>
      <c r="P885" s="291" t="str">
        <f t="shared" si="124"/>
        <v/>
      </c>
      <c r="Q885" s="292" t="str">
        <f t="shared" si="125"/>
        <v/>
      </c>
    </row>
    <row r="886" spans="1:17" ht="15" customHeight="1" x14ac:dyDescent="0.2">
      <c r="A886" s="243" t="str">
        <f>IFERROR(INDEX(Txn[Key],MATCH(0,INDEX(COUNTIF($A$1:A885,Txn[Key])+(Txn[Key]=""),0),0)),"")</f>
        <v/>
      </c>
      <c r="B886" s="243" t="str">
        <f t="shared" si="117"/>
        <v/>
      </c>
      <c r="C886" s="243" t="str">
        <f t="shared" si="118"/>
        <v/>
      </c>
      <c r="D886" s="243" t="str">
        <f t="shared" si="119"/>
        <v/>
      </c>
      <c r="E886" s="265" t="str">
        <f>IF($A886="","",SUMIFS(Txn[Signed Units],Txn[Key],$A886))</f>
        <v/>
      </c>
      <c r="F886" s="287" t="str">
        <f>IF($A886="","",SUMIFS(Txn[Buy Cost],Txn[Key],$A886))</f>
        <v/>
      </c>
      <c r="G886" s="287" t="str">
        <f>IF($A886="","",SUMIFS(Txn[Sell Proceeds],Txn[Key],$A886))</f>
        <v/>
      </c>
      <c r="H886" s="288" t="str">
        <f>IF($A886="","",IFERROR(INDEX(Prices[Current Price],MATCH($A886,Prices[Key],0)),0))</f>
        <v/>
      </c>
      <c r="I886" s="289" t="str">
        <f>IF($A886="","",IFERROR(INDEX(Prices[FX to SGD],MATCH($A886,Prices[Key],0)),1))</f>
        <v/>
      </c>
      <c r="J886" s="287" t="str">
        <f t="shared" si="120"/>
        <v/>
      </c>
      <c r="K886" s="287" t="str">
        <f t="shared" si="121"/>
        <v/>
      </c>
      <c r="L886" s="287" t="str">
        <f t="shared" si="122"/>
        <v/>
      </c>
      <c r="M886" s="290" t="str">
        <f t="shared" si="123"/>
        <v/>
      </c>
      <c r="N886" s="243" t="str">
        <f>IF($A886="","",IF(ABS(E886)&gt;0.000001,COUNT($N$1:N885)+1,""))</f>
        <v/>
      </c>
      <c r="O886" s="291" t="str">
        <f>IF($A886="","",SUMIFS(Transactions!$H$2:$H$1001,Transactions!$J$2:$J$1001,$A886,Transactions!$A$2:$A$1001,2)*$I886)</f>
        <v/>
      </c>
      <c r="P886" s="291" t="str">
        <f t="shared" si="124"/>
        <v/>
      </c>
      <c r="Q886" s="292" t="str">
        <f t="shared" si="125"/>
        <v/>
      </c>
    </row>
    <row r="887" spans="1:17" ht="15" customHeight="1" x14ac:dyDescent="0.2">
      <c r="A887" s="243" t="str">
        <f>IFERROR(INDEX(Txn[Key],MATCH(0,INDEX(COUNTIF($A$1:A886,Txn[Key])+(Txn[Key]=""),0),0)),"")</f>
        <v/>
      </c>
      <c r="B887" s="243" t="str">
        <f t="shared" si="117"/>
        <v/>
      </c>
      <c r="C887" s="243" t="str">
        <f t="shared" si="118"/>
        <v/>
      </c>
      <c r="D887" s="243" t="str">
        <f t="shared" si="119"/>
        <v/>
      </c>
      <c r="E887" s="265" t="str">
        <f>IF($A887="","",SUMIFS(Txn[Signed Units],Txn[Key],$A887))</f>
        <v/>
      </c>
      <c r="F887" s="287" t="str">
        <f>IF($A887="","",SUMIFS(Txn[Buy Cost],Txn[Key],$A887))</f>
        <v/>
      </c>
      <c r="G887" s="287" t="str">
        <f>IF($A887="","",SUMIFS(Txn[Sell Proceeds],Txn[Key],$A887))</f>
        <v/>
      </c>
      <c r="H887" s="288" t="str">
        <f>IF($A887="","",IFERROR(INDEX(Prices[Current Price],MATCH($A887,Prices[Key],0)),0))</f>
        <v/>
      </c>
      <c r="I887" s="289" t="str">
        <f>IF($A887="","",IFERROR(INDEX(Prices[FX to SGD],MATCH($A887,Prices[Key],0)),1))</f>
        <v/>
      </c>
      <c r="J887" s="287" t="str">
        <f t="shared" si="120"/>
        <v/>
      </c>
      <c r="K887" s="287" t="str">
        <f t="shared" si="121"/>
        <v/>
      </c>
      <c r="L887" s="287" t="str">
        <f t="shared" si="122"/>
        <v/>
      </c>
      <c r="M887" s="290" t="str">
        <f t="shared" si="123"/>
        <v/>
      </c>
      <c r="N887" s="243" t="str">
        <f>IF($A887="","",IF(ABS(E887)&gt;0.000001,COUNT($N$1:N886)+1,""))</f>
        <v/>
      </c>
      <c r="O887" s="291" t="str">
        <f>IF($A887="","",SUMIFS(Transactions!$H$2:$H$1001,Transactions!$J$2:$J$1001,$A887,Transactions!$A$2:$A$1001,2)*$I887)</f>
        <v/>
      </c>
      <c r="P887" s="291" t="str">
        <f t="shared" si="124"/>
        <v/>
      </c>
      <c r="Q887" s="292" t="str">
        <f t="shared" si="125"/>
        <v/>
      </c>
    </row>
    <row r="888" spans="1:17" ht="15" customHeight="1" x14ac:dyDescent="0.2">
      <c r="A888" s="243" t="str">
        <f>IFERROR(INDEX(Txn[Key],MATCH(0,INDEX(COUNTIF($A$1:A887,Txn[Key])+(Txn[Key]=""),0),0)),"")</f>
        <v/>
      </c>
      <c r="B888" s="243" t="str">
        <f t="shared" si="117"/>
        <v/>
      </c>
      <c r="C888" s="243" t="str">
        <f t="shared" si="118"/>
        <v/>
      </c>
      <c r="D888" s="243" t="str">
        <f t="shared" si="119"/>
        <v/>
      </c>
      <c r="E888" s="265" t="str">
        <f>IF($A888="","",SUMIFS(Txn[Signed Units],Txn[Key],$A888))</f>
        <v/>
      </c>
      <c r="F888" s="287" t="str">
        <f>IF($A888="","",SUMIFS(Txn[Buy Cost],Txn[Key],$A888))</f>
        <v/>
      </c>
      <c r="G888" s="287" t="str">
        <f>IF($A888="","",SUMIFS(Txn[Sell Proceeds],Txn[Key],$A888))</f>
        <v/>
      </c>
      <c r="H888" s="288" t="str">
        <f>IF($A888="","",IFERROR(INDEX(Prices[Current Price],MATCH($A888,Prices[Key],0)),0))</f>
        <v/>
      </c>
      <c r="I888" s="289" t="str">
        <f>IF($A888="","",IFERROR(INDEX(Prices[FX to SGD],MATCH($A888,Prices[Key],0)),1))</f>
        <v/>
      </c>
      <c r="J888" s="287" t="str">
        <f t="shared" si="120"/>
        <v/>
      </c>
      <c r="K888" s="287" t="str">
        <f t="shared" si="121"/>
        <v/>
      </c>
      <c r="L888" s="287" t="str">
        <f t="shared" si="122"/>
        <v/>
      </c>
      <c r="M888" s="290" t="str">
        <f t="shared" si="123"/>
        <v/>
      </c>
      <c r="N888" s="243" t="str">
        <f>IF($A888="","",IF(ABS(E888)&gt;0.000001,COUNT($N$1:N887)+1,""))</f>
        <v/>
      </c>
      <c r="O888" s="291" t="str">
        <f>IF($A888="","",SUMIFS(Transactions!$H$2:$H$1001,Transactions!$J$2:$J$1001,$A888,Transactions!$A$2:$A$1001,2)*$I888)</f>
        <v/>
      </c>
      <c r="P888" s="291" t="str">
        <f t="shared" si="124"/>
        <v/>
      </c>
      <c r="Q888" s="292" t="str">
        <f t="shared" si="125"/>
        <v/>
      </c>
    </row>
    <row r="889" spans="1:17" ht="15" customHeight="1" x14ac:dyDescent="0.2">
      <c r="A889" s="243" t="str">
        <f>IFERROR(INDEX(Txn[Key],MATCH(0,INDEX(COUNTIF($A$1:A888,Txn[Key])+(Txn[Key]=""),0),0)),"")</f>
        <v/>
      </c>
      <c r="B889" s="243" t="str">
        <f t="shared" si="117"/>
        <v/>
      </c>
      <c r="C889" s="243" t="str">
        <f t="shared" si="118"/>
        <v/>
      </c>
      <c r="D889" s="243" t="str">
        <f t="shared" si="119"/>
        <v/>
      </c>
      <c r="E889" s="265" t="str">
        <f>IF($A889="","",SUMIFS(Txn[Signed Units],Txn[Key],$A889))</f>
        <v/>
      </c>
      <c r="F889" s="287" t="str">
        <f>IF($A889="","",SUMIFS(Txn[Buy Cost],Txn[Key],$A889))</f>
        <v/>
      </c>
      <c r="G889" s="287" t="str">
        <f>IF($A889="","",SUMIFS(Txn[Sell Proceeds],Txn[Key],$A889))</f>
        <v/>
      </c>
      <c r="H889" s="288" t="str">
        <f>IF($A889="","",IFERROR(INDEX(Prices[Current Price],MATCH($A889,Prices[Key],0)),0))</f>
        <v/>
      </c>
      <c r="I889" s="289" t="str">
        <f>IF($A889="","",IFERROR(INDEX(Prices[FX to SGD],MATCH($A889,Prices[Key],0)),1))</f>
        <v/>
      </c>
      <c r="J889" s="287" t="str">
        <f t="shared" si="120"/>
        <v/>
      </c>
      <c r="K889" s="287" t="str">
        <f t="shared" si="121"/>
        <v/>
      </c>
      <c r="L889" s="287" t="str">
        <f t="shared" si="122"/>
        <v/>
      </c>
      <c r="M889" s="290" t="str">
        <f t="shared" si="123"/>
        <v/>
      </c>
      <c r="N889" s="243" t="str">
        <f>IF($A889="","",IF(ABS(E889)&gt;0.000001,COUNT($N$1:N888)+1,""))</f>
        <v/>
      </c>
      <c r="O889" s="291" t="str">
        <f>IF($A889="","",SUMIFS(Transactions!$H$2:$H$1001,Transactions!$J$2:$J$1001,$A889,Transactions!$A$2:$A$1001,2)*$I889)</f>
        <v/>
      </c>
      <c r="P889" s="291" t="str">
        <f t="shared" si="124"/>
        <v/>
      </c>
      <c r="Q889" s="292" t="str">
        <f t="shared" si="125"/>
        <v/>
      </c>
    </row>
    <row r="890" spans="1:17" ht="15" customHeight="1" x14ac:dyDescent="0.2">
      <c r="A890" s="243" t="str">
        <f>IFERROR(INDEX(Txn[Key],MATCH(0,INDEX(COUNTIF($A$1:A889,Txn[Key])+(Txn[Key]=""),0),0)),"")</f>
        <v/>
      </c>
      <c r="B890" s="243" t="str">
        <f t="shared" si="117"/>
        <v/>
      </c>
      <c r="C890" s="243" t="str">
        <f t="shared" si="118"/>
        <v/>
      </c>
      <c r="D890" s="243" t="str">
        <f t="shared" si="119"/>
        <v/>
      </c>
      <c r="E890" s="265" t="str">
        <f>IF($A890="","",SUMIFS(Txn[Signed Units],Txn[Key],$A890))</f>
        <v/>
      </c>
      <c r="F890" s="287" t="str">
        <f>IF($A890="","",SUMIFS(Txn[Buy Cost],Txn[Key],$A890))</f>
        <v/>
      </c>
      <c r="G890" s="287" t="str">
        <f>IF($A890="","",SUMIFS(Txn[Sell Proceeds],Txn[Key],$A890))</f>
        <v/>
      </c>
      <c r="H890" s="288" t="str">
        <f>IF($A890="","",IFERROR(INDEX(Prices[Current Price],MATCH($A890,Prices[Key],0)),0))</f>
        <v/>
      </c>
      <c r="I890" s="289" t="str">
        <f>IF($A890="","",IFERROR(INDEX(Prices[FX to SGD],MATCH($A890,Prices[Key],0)),1))</f>
        <v/>
      </c>
      <c r="J890" s="287" t="str">
        <f t="shared" si="120"/>
        <v/>
      </c>
      <c r="K890" s="287" t="str">
        <f t="shared" si="121"/>
        <v/>
      </c>
      <c r="L890" s="287" t="str">
        <f t="shared" si="122"/>
        <v/>
      </c>
      <c r="M890" s="290" t="str">
        <f t="shared" si="123"/>
        <v/>
      </c>
      <c r="N890" s="243" t="str">
        <f>IF($A890="","",IF(ABS(E890)&gt;0.000001,COUNT($N$1:N889)+1,""))</f>
        <v/>
      </c>
      <c r="O890" s="291" t="str">
        <f>IF($A890="","",SUMIFS(Transactions!$H$2:$H$1001,Transactions!$J$2:$J$1001,$A890,Transactions!$A$2:$A$1001,2)*$I890)</f>
        <v/>
      </c>
      <c r="P890" s="291" t="str">
        <f t="shared" si="124"/>
        <v/>
      </c>
      <c r="Q890" s="292" t="str">
        <f t="shared" si="125"/>
        <v/>
      </c>
    </row>
    <row r="891" spans="1:17" ht="15" customHeight="1" x14ac:dyDescent="0.2">
      <c r="A891" s="243" t="str">
        <f>IFERROR(INDEX(Txn[Key],MATCH(0,INDEX(COUNTIF($A$1:A890,Txn[Key])+(Txn[Key]=""),0),0)),"")</f>
        <v/>
      </c>
      <c r="B891" s="243" t="str">
        <f t="shared" si="117"/>
        <v/>
      </c>
      <c r="C891" s="243" t="str">
        <f t="shared" si="118"/>
        <v/>
      </c>
      <c r="D891" s="243" t="str">
        <f t="shared" si="119"/>
        <v/>
      </c>
      <c r="E891" s="265" t="str">
        <f>IF($A891="","",SUMIFS(Txn[Signed Units],Txn[Key],$A891))</f>
        <v/>
      </c>
      <c r="F891" s="287" t="str">
        <f>IF($A891="","",SUMIFS(Txn[Buy Cost],Txn[Key],$A891))</f>
        <v/>
      </c>
      <c r="G891" s="287" t="str">
        <f>IF($A891="","",SUMIFS(Txn[Sell Proceeds],Txn[Key],$A891))</f>
        <v/>
      </c>
      <c r="H891" s="288" t="str">
        <f>IF($A891="","",IFERROR(INDEX(Prices[Current Price],MATCH($A891,Prices[Key],0)),0))</f>
        <v/>
      </c>
      <c r="I891" s="289" t="str">
        <f>IF($A891="","",IFERROR(INDEX(Prices[FX to SGD],MATCH($A891,Prices[Key],0)),1))</f>
        <v/>
      </c>
      <c r="J891" s="287" t="str">
        <f t="shared" si="120"/>
        <v/>
      </c>
      <c r="K891" s="287" t="str">
        <f t="shared" si="121"/>
        <v/>
      </c>
      <c r="L891" s="287" t="str">
        <f t="shared" si="122"/>
        <v/>
      </c>
      <c r="M891" s="290" t="str">
        <f t="shared" si="123"/>
        <v/>
      </c>
      <c r="N891" s="243" t="str">
        <f>IF($A891="","",IF(ABS(E891)&gt;0.000001,COUNT($N$1:N890)+1,""))</f>
        <v/>
      </c>
      <c r="O891" s="291" t="str">
        <f>IF($A891="","",SUMIFS(Transactions!$H$2:$H$1001,Transactions!$J$2:$J$1001,$A891,Transactions!$A$2:$A$1001,2)*$I891)</f>
        <v/>
      </c>
      <c r="P891" s="291" t="str">
        <f t="shared" si="124"/>
        <v/>
      </c>
      <c r="Q891" s="292" t="str">
        <f t="shared" si="125"/>
        <v/>
      </c>
    </row>
    <row r="892" spans="1:17" ht="15" customHeight="1" x14ac:dyDescent="0.2">
      <c r="A892" s="243" t="str">
        <f>IFERROR(INDEX(Txn[Key],MATCH(0,INDEX(COUNTIF($A$1:A891,Txn[Key])+(Txn[Key]=""),0),0)),"")</f>
        <v/>
      </c>
      <c r="B892" s="243" t="str">
        <f t="shared" si="117"/>
        <v/>
      </c>
      <c r="C892" s="243" t="str">
        <f t="shared" si="118"/>
        <v/>
      </c>
      <c r="D892" s="243" t="str">
        <f t="shared" si="119"/>
        <v/>
      </c>
      <c r="E892" s="265" t="str">
        <f>IF($A892="","",SUMIFS(Txn[Signed Units],Txn[Key],$A892))</f>
        <v/>
      </c>
      <c r="F892" s="287" t="str">
        <f>IF($A892="","",SUMIFS(Txn[Buy Cost],Txn[Key],$A892))</f>
        <v/>
      </c>
      <c r="G892" s="287" t="str">
        <f>IF($A892="","",SUMIFS(Txn[Sell Proceeds],Txn[Key],$A892))</f>
        <v/>
      </c>
      <c r="H892" s="288" t="str">
        <f>IF($A892="","",IFERROR(INDEX(Prices[Current Price],MATCH($A892,Prices[Key],0)),0))</f>
        <v/>
      </c>
      <c r="I892" s="289" t="str">
        <f>IF($A892="","",IFERROR(INDEX(Prices[FX to SGD],MATCH($A892,Prices[Key],0)),1))</f>
        <v/>
      </c>
      <c r="J892" s="287" t="str">
        <f t="shared" si="120"/>
        <v/>
      </c>
      <c r="K892" s="287" t="str">
        <f t="shared" si="121"/>
        <v/>
      </c>
      <c r="L892" s="287" t="str">
        <f t="shared" si="122"/>
        <v/>
      </c>
      <c r="M892" s="290" t="str">
        <f t="shared" si="123"/>
        <v/>
      </c>
      <c r="N892" s="243" t="str">
        <f>IF($A892="","",IF(ABS(E892)&gt;0.000001,COUNT($N$1:N891)+1,""))</f>
        <v/>
      </c>
      <c r="O892" s="291" t="str">
        <f>IF($A892="","",SUMIFS(Transactions!$H$2:$H$1001,Transactions!$J$2:$J$1001,$A892,Transactions!$A$2:$A$1001,2)*$I892)</f>
        <v/>
      </c>
      <c r="P892" s="291" t="str">
        <f t="shared" si="124"/>
        <v/>
      </c>
      <c r="Q892" s="292" t="str">
        <f t="shared" si="125"/>
        <v/>
      </c>
    </row>
    <row r="893" spans="1:17" ht="15" customHeight="1" x14ac:dyDescent="0.2">
      <c r="A893" s="243" t="str">
        <f>IFERROR(INDEX(Txn[Key],MATCH(0,INDEX(COUNTIF($A$1:A892,Txn[Key])+(Txn[Key]=""),0),0)),"")</f>
        <v/>
      </c>
      <c r="B893" s="243" t="str">
        <f t="shared" si="117"/>
        <v/>
      </c>
      <c r="C893" s="243" t="str">
        <f t="shared" si="118"/>
        <v/>
      </c>
      <c r="D893" s="243" t="str">
        <f t="shared" si="119"/>
        <v/>
      </c>
      <c r="E893" s="265" t="str">
        <f>IF($A893="","",SUMIFS(Txn[Signed Units],Txn[Key],$A893))</f>
        <v/>
      </c>
      <c r="F893" s="287" t="str">
        <f>IF($A893="","",SUMIFS(Txn[Buy Cost],Txn[Key],$A893))</f>
        <v/>
      </c>
      <c r="G893" s="287" t="str">
        <f>IF($A893="","",SUMIFS(Txn[Sell Proceeds],Txn[Key],$A893))</f>
        <v/>
      </c>
      <c r="H893" s="288" t="str">
        <f>IF($A893="","",IFERROR(INDEX(Prices[Current Price],MATCH($A893,Prices[Key],0)),0))</f>
        <v/>
      </c>
      <c r="I893" s="289" t="str">
        <f>IF($A893="","",IFERROR(INDEX(Prices[FX to SGD],MATCH($A893,Prices[Key],0)),1))</f>
        <v/>
      </c>
      <c r="J893" s="287" t="str">
        <f t="shared" si="120"/>
        <v/>
      </c>
      <c r="K893" s="287" t="str">
        <f t="shared" si="121"/>
        <v/>
      </c>
      <c r="L893" s="287" t="str">
        <f t="shared" si="122"/>
        <v/>
      </c>
      <c r="M893" s="290" t="str">
        <f t="shared" si="123"/>
        <v/>
      </c>
      <c r="N893" s="243" t="str">
        <f>IF($A893="","",IF(ABS(E893)&gt;0.000001,COUNT($N$1:N892)+1,""))</f>
        <v/>
      </c>
      <c r="O893" s="291" t="str">
        <f>IF($A893="","",SUMIFS(Transactions!$H$2:$H$1001,Transactions!$J$2:$J$1001,$A893,Transactions!$A$2:$A$1001,2)*$I893)</f>
        <v/>
      </c>
      <c r="P893" s="291" t="str">
        <f t="shared" si="124"/>
        <v/>
      </c>
      <c r="Q893" s="292" t="str">
        <f t="shared" si="125"/>
        <v/>
      </c>
    </row>
    <row r="894" spans="1:17" ht="15" customHeight="1" x14ac:dyDescent="0.2">
      <c r="A894" s="243" t="str">
        <f>IFERROR(INDEX(Txn[Key],MATCH(0,INDEX(COUNTIF($A$1:A893,Txn[Key])+(Txn[Key]=""),0),0)),"")</f>
        <v/>
      </c>
      <c r="B894" s="243" t="str">
        <f t="shared" si="117"/>
        <v/>
      </c>
      <c r="C894" s="243" t="str">
        <f t="shared" si="118"/>
        <v/>
      </c>
      <c r="D894" s="243" t="str">
        <f t="shared" si="119"/>
        <v/>
      </c>
      <c r="E894" s="265" t="str">
        <f>IF($A894="","",SUMIFS(Txn[Signed Units],Txn[Key],$A894))</f>
        <v/>
      </c>
      <c r="F894" s="287" t="str">
        <f>IF($A894="","",SUMIFS(Txn[Buy Cost],Txn[Key],$A894))</f>
        <v/>
      </c>
      <c r="G894" s="287" t="str">
        <f>IF($A894="","",SUMIFS(Txn[Sell Proceeds],Txn[Key],$A894))</f>
        <v/>
      </c>
      <c r="H894" s="288" t="str">
        <f>IF($A894="","",IFERROR(INDEX(Prices[Current Price],MATCH($A894,Prices[Key],0)),0))</f>
        <v/>
      </c>
      <c r="I894" s="289" t="str">
        <f>IF($A894="","",IFERROR(INDEX(Prices[FX to SGD],MATCH($A894,Prices[Key],0)),1))</f>
        <v/>
      </c>
      <c r="J894" s="287" t="str">
        <f t="shared" si="120"/>
        <v/>
      </c>
      <c r="K894" s="287" t="str">
        <f t="shared" si="121"/>
        <v/>
      </c>
      <c r="L894" s="287" t="str">
        <f t="shared" si="122"/>
        <v/>
      </c>
      <c r="M894" s="290" t="str">
        <f t="shared" si="123"/>
        <v/>
      </c>
      <c r="N894" s="243" t="str">
        <f>IF($A894="","",IF(ABS(E894)&gt;0.000001,COUNT($N$1:N893)+1,""))</f>
        <v/>
      </c>
      <c r="O894" s="291" t="str">
        <f>IF($A894="","",SUMIFS(Transactions!$H$2:$H$1001,Transactions!$J$2:$J$1001,$A894,Transactions!$A$2:$A$1001,2)*$I894)</f>
        <v/>
      </c>
      <c r="P894" s="291" t="str">
        <f t="shared" si="124"/>
        <v/>
      </c>
      <c r="Q894" s="292" t="str">
        <f t="shared" si="125"/>
        <v/>
      </c>
    </row>
    <row r="895" spans="1:17" ht="15" customHeight="1" x14ac:dyDescent="0.2">
      <c r="A895" s="243" t="str">
        <f>IFERROR(INDEX(Txn[Key],MATCH(0,INDEX(COUNTIF($A$1:A894,Txn[Key])+(Txn[Key]=""),0),0)),"")</f>
        <v/>
      </c>
      <c r="B895" s="243" t="str">
        <f t="shared" si="117"/>
        <v/>
      </c>
      <c r="C895" s="243" t="str">
        <f t="shared" si="118"/>
        <v/>
      </c>
      <c r="D895" s="243" t="str">
        <f t="shared" si="119"/>
        <v/>
      </c>
      <c r="E895" s="265" t="str">
        <f>IF($A895="","",SUMIFS(Txn[Signed Units],Txn[Key],$A895))</f>
        <v/>
      </c>
      <c r="F895" s="287" t="str">
        <f>IF($A895="","",SUMIFS(Txn[Buy Cost],Txn[Key],$A895))</f>
        <v/>
      </c>
      <c r="G895" s="287" t="str">
        <f>IF($A895="","",SUMIFS(Txn[Sell Proceeds],Txn[Key],$A895))</f>
        <v/>
      </c>
      <c r="H895" s="288" t="str">
        <f>IF($A895="","",IFERROR(INDEX(Prices[Current Price],MATCH($A895,Prices[Key],0)),0))</f>
        <v/>
      </c>
      <c r="I895" s="289" t="str">
        <f>IF($A895="","",IFERROR(INDEX(Prices[FX to SGD],MATCH($A895,Prices[Key],0)),1))</f>
        <v/>
      </c>
      <c r="J895" s="287" t="str">
        <f t="shared" si="120"/>
        <v/>
      </c>
      <c r="K895" s="287" t="str">
        <f t="shared" si="121"/>
        <v/>
      </c>
      <c r="L895" s="287" t="str">
        <f t="shared" si="122"/>
        <v/>
      </c>
      <c r="M895" s="290" t="str">
        <f t="shared" si="123"/>
        <v/>
      </c>
      <c r="N895" s="243" t="str">
        <f>IF($A895="","",IF(ABS(E895)&gt;0.000001,COUNT($N$1:N894)+1,""))</f>
        <v/>
      </c>
      <c r="O895" s="291" t="str">
        <f>IF($A895="","",SUMIFS(Transactions!$H$2:$H$1001,Transactions!$J$2:$J$1001,$A895,Transactions!$A$2:$A$1001,2)*$I895)</f>
        <v/>
      </c>
      <c r="P895" s="291" t="str">
        <f t="shared" si="124"/>
        <v/>
      </c>
      <c r="Q895" s="292" t="str">
        <f t="shared" si="125"/>
        <v/>
      </c>
    </row>
    <row r="896" spans="1:17" ht="15" customHeight="1" x14ac:dyDescent="0.2">
      <c r="A896" s="243" t="str">
        <f>IFERROR(INDEX(Txn[Key],MATCH(0,INDEX(COUNTIF($A$1:A895,Txn[Key])+(Txn[Key]=""),0),0)),"")</f>
        <v/>
      </c>
      <c r="B896" s="243" t="str">
        <f t="shared" si="117"/>
        <v/>
      </c>
      <c r="C896" s="243" t="str">
        <f t="shared" si="118"/>
        <v/>
      </c>
      <c r="D896" s="243" t="str">
        <f t="shared" si="119"/>
        <v/>
      </c>
      <c r="E896" s="265" t="str">
        <f>IF($A896="","",SUMIFS(Txn[Signed Units],Txn[Key],$A896))</f>
        <v/>
      </c>
      <c r="F896" s="287" t="str">
        <f>IF($A896="","",SUMIFS(Txn[Buy Cost],Txn[Key],$A896))</f>
        <v/>
      </c>
      <c r="G896" s="287" t="str">
        <f>IF($A896="","",SUMIFS(Txn[Sell Proceeds],Txn[Key],$A896))</f>
        <v/>
      </c>
      <c r="H896" s="288" t="str">
        <f>IF($A896="","",IFERROR(INDEX(Prices[Current Price],MATCH($A896,Prices[Key],0)),0))</f>
        <v/>
      </c>
      <c r="I896" s="289" t="str">
        <f>IF($A896="","",IFERROR(INDEX(Prices[FX to SGD],MATCH($A896,Prices[Key],0)),1))</f>
        <v/>
      </c>
      <c r="J896" s="287" t="str">
        <f t="shared" si="120"/>
        <v/>
      </c>
      <c r="K896" s="287" t="str">
        <f t="shared" si="121"/>
        <v/>
      </c>
      <c r="L896" s="287" t="str">
        <f t="shared" si="122"/>
        <v/>
      </c>
      <c r="M896" s="290" t="str">
        <f t="shared" si="123"/>
        <v/>
      </c>
      <c r="N896" s="243" t="str">
        <f>IF($A896="","",IF(ABS(E896)&gt;0.000001,COUNT($N$1:N895)+1,""))</f>
        <v/>
      </c>
      <c r="O896" s="291" t="str">
        <f>IF($A896="","",SUMIFS(Transactions!$H$2:$H$1001,Transactions!$J$2:$J$1001,$A896,Transactions!$A$2:$A$1001,2)*$I896)</f>
        <v/>
      </c>
      <c r="P896" s="291" t="str">
        <f t="shared" si="124"/>
        <v/>
      </c>
      <c r="Q896" s="292" t="str">
        <f t="shared" si="125"/>
        <v/>
      </c>
    </row>
    <row r="897" spans="1:17" ht="15" customHeight="1" x14ac:dyDescent="0.2">
      <c r="A897" s="243" t="str">
        <f>IFERROR(INDEX(Txn[Key],MATCH(0,INDEX(COUNTIF($A$1:A896,Txn[Key])+(Txn[Key]=""),0),0)),"")</f>
        <v/>
      </c>
      <c r="B897" s="243" t="str">
        <f t="shared" si="117"/>
        <v/>
      </c>
      <c r="C897" s="243" t="str">
        <f t="shared" si="118"/>
        <v/>
      </c>
      <c r="D897" s="243" t="str">
        <f t="shared" si="119"/>
        <v/>
      </c>
      <c r="E897" s="265" t="str">
        <f>IF($A897="","",SUMIFS(Txn[Signed Units],Txn[Key],$A897))</f>
        <v/>
      </c>
      <c r="F897" s="287" t="str">
        <f>IF($A897="","",SUMIFS(Txn[Buy Cost],Txn[Key],$A897))</f>
        <v/>
      </c>
      <c r="G897" s="287" t="str">
        <f>IF($A897="","",SUMIFS(Txn[Sell Proceeds],Txn[Key],$A897))</f>
        <v/>
      </c>
      <c r="H897" s="288" t="str">
        <f>IF($A897="","",IFERROR(INDEX(Prices[Current Price],MATCH($A897,Prices[Key],0)),0))</f>
        <v/>
      </c>
      <c r="I897" s="289" t="str">
        <f>IF($A897="","",IFERROR(INDEX(Prices[FX to SGD],MATCH($A897,Prices[Key],0)),1))</f>
        <v/>
      </c>
      <c r="J897" s="287" t="str">
        <f t="shared" si="120"/>
        <v/>
      </c>
      <c r="K897" s="287" t="str">
        <f t="shared" si="121"/>
        <v/>
      </c>
      <c r="L897" s="287" t="str">
        <f t="shared" si="122"/>
        <v/>
      </c>
      <c r="M897" s="290" t="str">
        <f t="shared" si="123"/>
        <v/>
      </c>
      <c r="N897" s="243" t="str">
        <f>IF($A897="","",IF(ABS(E897)&gt;0.000001,COUNT($N$1:N896)+1,""))</f>
        <v/>
      </c>
      <c r="O897" s="291" t="str">
        <f>IF($A897="","",SUMIFS(Transactions!$H$2:$H$1001,Transactions!$J$2:$J$1001,$A897,Transactions!$A$2:$A$1001,2)*$I897)</f>
        <v/>
      </c>
      <c r="P897" s="291" t="str">
        <f t="shared" si="124"/>
        <v/>
      </c>
      <c r="Q897" s="292" t="str">
        <f t="shared" si="125"/>
        <v/>
      </c>
    </row>
    <row r="898" spans="1:17" ht="15" customHeight="1" x14ac:dyDescent="0.2">
      <c r="A898" s="243" t="str">
        <f>IFERROR(INDEX(Txn[Key],MATCH(0,INDEX(COUNTIF($A$1:A897,Txn[Key])+(Txn[Key]=""),0),0)),"")</f>
        <v/>
      </c>
      <c r="B898" s="243" t="str">
        <f t="shared" ref="B898:B961" si="126">IF($A898="","",LEFT($A898,FIND(":",$A898)-1))</f>
        <v/>
      </c>
      <c r="C898" s="243" t="str">
        <f t="shared" ref="C898:C961" si="127">IF($A898="","",MID($A898,FIND(":",$A898)+1,FIND(":",$A898,FIND(":",$A898)+1)-FIND(":",$A898)-1))</f>
        <v/>
      </c>
      <c r="D898" s="243" t="str">
        <f t="shared" ref="D898:D961" si="128">IF($A898="","",RIGHT($A898,LEN($A898)-FIND(":",$A898,FIND(":",$A898)+1)))</f>
        <v/>
      </c>
      <c r="E898" s="265" t="str">
        <f>IF($A898="","",SUMIFS(Txn[Signed Units],Txn[Key],$A898))</f>
        <v/>
      </c>
      <c r="F898" s="287" t="str">
        <f>IF($A898="","",SUMIFS(Txn[Buy Cost],Txn[Key],$A898))</f>
        <v/>
      </c>
      <c r="G898" s="287" t="str">
        <f>IF($A898="","",SUMIFS(Txn[Sell Proceeds],Txn[Key],$A898))</f>
        <v/>
      </c>
      <c r="H898" s="288" t="str">
        <f>IF($A898="","",IFERROR(INDEX(Prices[Current Price],MATCH($A898,Prices[Key],0)),0))</f>
        <v/>
      </c>
      <c r="I898" s="289" t="str">
        <f>IF($A898="","",IFERROR(INDEX(Prices[FX to SGD],MATCH($A898,Prices[Key],0)),1))</f>
        <v/>
      </c>
      <c r="J898" s="287" t="str">
        <f t="shared" ref="J898:J961" si="129">IF($A898="","",E898*H898)</f>
        <v/>
      </c>
      <c r="K898" s="287" t="str">
        <f t="shared" ref="K898:K961" si="130">IF($A898="","",J898+G898-F898)</f>
        <v/>
      </c>
      <c r="L898" s="287" t="str">
        <f t="shared" ref="L898:L961" si="131">IF($A898="","",K898*I898)</f>
        <v/>
      </c>
      <c r="M898" s="290" t="str">
        <f t="shared" ref="M898:M961" si="132">IF($A898="","",IFERROR(K898/F898,0))</f>
        <v/>
      </c>
      <c r="N898" s="243" t="str">
        <f>IF($A898="","",IF(ABS(E898)&gt;0.000001,COUNT($N$1:N897)+1,""))</f>
        <v/>
      </c>
      <c r="O898" s="291" t="str">
        <f>IF($A898="","",SUMIFS(Transactions!$H$2:$H$1001,Transactions!$J$2:$J$1001,$A898,Transactions!$A$2:$A$1001,2)*$I898)</f>
        <v/>
      </c>
      <c r="P898" s="291" t="str">
        <f t="shared" ref="P898:P961" si="133">IF($A898="","",$L898+$O898)</f>
        <v/>
      </c>
      <c r="Q898" s="292" t="str">
        <f t="shared" ref="Q898:Q961" si="134">IF($A898="","",IFERROR(($L898+$O898)/($F898*$I898),0))</f>
        <v/>
      </c>
    </row>
    <row r="899" spans="1:17" ht="15" customHeight="1" x14ac:dyDescent="0.2">
      <c r="A899" s="243" t="str">
        <f>IFERROR(INDEX(Txn[Key],MATCH(0,INDEX(COUNTIF($A$1:A898,Txn[Key])+(Txn[Key]=""),0),0)),"")</f>
        <v/>
      </c>
      <c r="B899" s="243" t="str">
        <f t="shared" si="126"/>
        <v/>
      </c>
      <c r="C899" s="243" t="str">
        <f t="shared" si="127"/>
        <v/>
      </c>
      <c r="D899" s="243" t="str">
        <f t="shared" si="128"/>
        <v/>
      </c>
      <c r="E899" s="265" t="str">
        <f>IF($A899="","",SUMIFS(Txn[Signed Units],Txn[Key],$A899))</f>
        <v/>
      </c>
      <c r="F899" s="287" t="str">
        <f>IF($A899="","",SUMIFS(Txn[Buy Cost],Txn[Key],$A899))</f>
        <v/>
      </c>
      <c r="G899" s="287" t="str">
        <f>IF($A899="","",SUMIFS(Txn[Sell Proceeds],Txn[Key],$A899))</f>
        <v/>
      </c>
      <c r="H899" s="288" t="str">
        <f>IF($A899="","",IFERROR(INDEX(Prices[Current Price],MATCH($A899,Prices[Key],0)),0))</f>
        <v/>
      </c>
      <c r="I899" s="289" t="str">
        <f>IF($A899="","",IFERROR(INDEX(Prices[FX to SGD],MATCH($A899,Prices[Key],0)),1))</f>
        <v/>
      </c>
      <c r="J899" s="287" t="str">
        <f t="shared" si="129"/>
        <v/>
      </c>
      <c r="K899" s="287" t="str">
        <f t="shared" si="130"/>
        <v/>
      </c>
      <c r="L899" s="287" t="str">
        <f t="shared" si="131"/>
        <v/>
      </c>
      <c r="M899" s="290" t="str">
        <f t="shared" si="132"/>
        <v/>
      </c>
      <c r="N899" s="243" t="str">
        <f>IF($A899="","",IF(ABS(E899)&gt;0.000001,COUNT($N$1:N898)+1,""))</f>
        <v/>
      </c>
      <c r="O899" s="291" t="str">
        <f>IF($A899="","",SUMIFS(Transactions!$H$2:$H$1001,Transactions!$J$2:$J$1001,$A899,Transactions!$A$2:$A$1001,2)*$I899)</f>
        <v/>
      </c>
      <c r="P899" s="291" t="str">
        <f t="shared" si="133"/>
        <v/>
      </c>
      <c r="Q899" s="292" t="str">
        <f t="shared" si="134"/>
        <v/>
      </c>
    </row>
    <row r="900" spans="1:17" ht="15" customHeight="1" x14ac:dyDescent="0.2">
      <c r="A900" s="243" t="str">
        <f>IFERROR(INDEX(Txn[Key],MATCH(0,INDEX(COUNTIF($A$1:A899,Txn[Key])+(Txn[Key]=""),0),0)),"")</f>
        <v/>
      </c>
      <c r="B900" s="243" t="str">
        <f t="shared" si="126"/>
        <v/>
      </c>
      <c r="C900" s="243" t="str">
        <f t="shared" si="127"/>
        <v/>
      </c>
      <c r="D900" s="243" t="str">
        <f t="shared" si="128"/>
        <v/>
      </c>
      <c r="E900" s="265" t="str">
        <f>IF($A900="","",SUMIFS(Txn[Signed Units],Txn[Key],$A900))</f>
        <v/>
      </c>
      <c r="F900" s="287" t="str">
        <f>IF($A900="","",SUMIFS(Txn[Buy Cost],Txn[Key],$A900))</f>
        <v/>
      </c>
      <c r="G900" s="287" t="str">
        <f>IF($A900="","",SUMIFS(Txn[Sell Proceeds],Txn[Key],$A900))</f>
        <v/>
      </c>
      <c r="H900" s="288" t="str">
        <f>IF($A900="","",IFERROR(INDEX(Prices[Current Price],MATCH($A900,Prices[Key],0)),0))</f>
        <v/>
      </c>
      <c r="I900" s="289" t="str">
        <f>IF($A900="","",IFERROR(INDEX(Prices[FX to SGD],MATCH($A900,Prices[Key],0)),1))</f>
        <v/>
      </c>
      <c r="J900" s="287" t="str">
        <f t="shared" si="129"/>
        <v/>
      </c>
      <c r="K900" s="287" t="str">
        <f t="shared" si="130"/>
        <v/>
      </c>
      <c r="L900" s="287" t="str">
        <f t="shared" si="131"/>
        <v/>
      </c>
      <c r="M900" s="290" t="str">
        <f t="shared" si="132"/>
        <v/>
      </c>
      <c r="N900" s="243" t="str">
        <f>IF($A900="","",IF(ABS(E900)&gt;0.000001,COUNT($N$1:N899)+1,""))</f>
        <v/>
      </c>
      <c r="O900" s="291" t="str">
        <f>IF($A900="","",SUMIFS(Transactions!$H$2:$H$1001,Transactions!$J$2:$J$1001,$A900,Transactions!$A$2:$A$1001,2)*$I900)</f>
        <v/>
      </c>
      <c r="P900" s="291" t="str">
        <f t="shared" si="133"/>
        <v/>
      </c>
      <c r="Q900" s="292" t="str">
        <f t="shared" si="134"/>
        <v/>
      </c>
    </row>
    <row r="901" spans="1:17" ht="15" customHeight="1" x14ac:dyDescent="0.2">
      <c r="A901" s="243" t="str">
        <f>IFERROR(INDEX(Txn[Key],MATCH(0,INDEX(COUNTIF($A$1:A900,Txn[Key])+(Txn[Key]=""),0),0)),"")</f>
        <v/>
      </c>
      <c r="B901" s="243" t="str">
        <f t="shared" si="126"/>
        <v/>
      </c>
      <c r="C901" s="243" t="str">
        <f t="shared" si="127"/>
        <v/>
      </c>
      <c r="D901" s="243" t="str">
        <f t="shared" si="128"/>
        <v/>
      </c>
      <c r="E901" s="265" t="str">
        <f>IF($A901="","",SUMIFS(Txn[Signed Units],Txn[Key],$A901))</f>
        <v/>
      </c>
      <c r="F901" s="287" t="str">
        <f>IF($A901="","",SUMIFS(Txn[Buy Cost],Txn[Key],$A901))</f>
        <v/>
      </c>
      <c r="G901" s="287" t="str">
        <f>IF($A901="","",SUMIFS(Txn[Sell Proceeds],Txn[Key],$A901))</f>
        <v/>
      </c>
      <c r="H901" s="288" t="str">
        <f>IF($A901="","",IFERROR(INDEX(Prices[Current Price],MATCH($A901,Prices[Key],0)),0))</f>
        <v/>
      </c>
      <c r="I901" s="289" t="str">
        <f>IF($A901="","",IFERROR(INDEX(Prices[FX to SGD],MATCH($A901,Prices[Key],0)),1))</f>
        <v/>
      </c>
      <c r="J901" s="287" t="str">
        <f t="shared" si="129"/>
        <v/>
      </c>
      <c r="K901" s="287" t="str">
        <f t="shared" si="130"/>
        <v/>
      </c>
      <c r="L901" s="287" t="str">
        <f t="shared" si="131"/>
        <v/>
      </c>
      <c r="M901" s="290" t="str">
        <f t="shared" si="132"/>
        <v/>
      </c>
      <c r="N901" s="243" t="str">
        <f>IF($A901="","",IF(ABS(E901)&gt;0.000001,COUNT($N$1:N900)+1,""))</f>
        <v/>
      </c>
      <c r="O901" s="291" t="str">
        <f>IF($A901="","",SUMIFS(Transactions!$H$2:$H$1001,Transactions!$J$2:$J$1001,$A901,Transactions!$A$2:$A$1001,2)*$I901)</f>
        <v/>
      </c>
      <c r="P901" s="291" t="str">
        <f t="shared" si="133"/>
        <v/>
      </c>
      <c r="Q901" s="292" t="str">
        <f t="shared" si="134"/>
        <v/>
      </c>
    </row>
    <row r="902" spans="1:17" ht="15" customHeight="1" x14ac:dyDescent="0.2">
      <c r="A902" s="243" t="str">
        <f>IFERROR(INDEX(Txn[Key],MATCH(0,INDEX(COUNTIF($A$1:A901,Txn[Key])+(Txn[Key]=""),0),0)),"")</f>
        <v/>
      </c>
      <c r="B902" s="243" t="str">
        <f t="shared" si="126"/>
        <v/>
      </c>
      <c r="C902" s="243" t="str">
        <f t="shared" si="127"/>
        <v/>
      </c>
      <c r="D902" s="243" t="str">
        <f t="shared" si="128"/>
        <v/>
      </c>
      <c r="E902" s="265" t="str">
        <f>IF($A902="","",SUMIFS(Txn[Signed Units],Txn[Key],$A902))</f>
        <v/>
      </c>
      <c r="F902" s="287" t="str">
        <f>IF($A902="","",SUMIFS(Txn[Buy Cost],Txn[Key],$A902))</f>
        <v/>
      </c>
      <c r="G902" s="287" t="str">
        <f>IF($A902="","",SUMIFS(Txn[Sell Proceeds],Txn[Key],$A902))</f>
        <v/>
      </c>
      <c r="H902" s="288" t="str">
        <f>IF($A902="","",IFERROR(INDEX(Prices[Current Price],MATCH($A902,Prices[Key],0)),0))</f>
        <v/>
      </c>
      <c r="I902" s="289" t="str">
        <f>IF($A902="","",IFERROR(INDEX(Prices[FX to SGD],MATCH($A902,Prices[Key],0)),1))</f>
        <v/>
      </c>
      <c r="J902" s="287" t="str">
        <f t="shared" si="129"/>
        <v/>
      </c>
      <c r="K902" s="287" t="str">
        <f t="shared" si="130"/>
        <v/>
      </c>
      <c r="L902" s="287" t="str">
        <f t="shared" si="131"/>
        <v/>
      </c>
      <c r="M902" s="290" t="str">
        <f t="shared" si="132"/>
        <v/>
      </c>
      <c r="N902" s="243" t="str">
        <f>IF($A902="","",IF(ABS(E902)&gt;0.000001,COUNT($N$1:N901)+1,""))</f>
        <v/>
      </c>
      <c r="O902" s="291" t="str">
        <f>IF($A902="","",SUMIFS(Transactions!$H$2:$H$1001,Transactions!$J$2:$J$1001,$A902,Transactions!$A$2:$A$1001,2)*$I902)</f>
        <v/>
      </c>
      <c r="P902" s="291" t="str">
        <f t="shared" si="133"/>
        <v/>
      </c>
      <c r="Q902" s="292" t="str">
        <f t="shared" si="134"/>
        <v/>
      </c>
    </row>
    <row r="903" spans="1:17" ht="15" customHeight="1" x14ac:dyDescent="0.2">
      <c r="A903" s="243" t="str">
        <f>IFERROR(INDEX(Txn[Key],MATCH(0,INDEX(COUNTIF($A$1:A902,Txn[Key])+(Txn[Key]=""),0),0)),"")</f>
        <v/>
      </c>
      <c r="B903" s="243" t="str">
        <f t="shared" si="126"/>
        <v/>
      </c>
      <c r="C903" s="243" t="str">
        <f t="shared" si="127"/>
        <v/>
      </c>
      <c r="D903" s="243" t="str">
        <f t="shared" si="128"/>
        <v/>
      </c>
      <c r="E903" s="265" t="str">
        <f>IF($A903="","",SUMIFS(Txn[Signed Units],Txn[Key],$A903))</f>
        <v/>
      </c>
      <c r="F903" s="287" t="str">
        <f>IF($A903="","",SUMIFS(Txn[Buy Cost],Txn[Key],$A903))</f>
        <v/>
      </c>
      <c r="G903" s="287" t="str">
        <f>IF($A903="","",SUMIFS(Txn[Sell Proceeds],Txn[Key],$A903))</f>
        <v/>
      </c>
      <c r="H903" s="288" t="str">
        <f>IF($A903="","",IFERROR(INDEX(Prices[Current Price],MATCH($A903,Prices[Key],0)),0))</f>
        <v/>
      </c>
      <c r="I903" s="289" t="str">
        <f>IF($A903="","",IFERROR(INDEX(Prices[FX to SGD],MATCH($A903,Prices[Key],0)),1))</f>
        <v/>
      </c>
      <c r="J903" s="287" t="str">
        <f t="shared" si="129"/>
        <v/>
      </c>
      <c r="K903" s="287" t="str">
        <f t="shared" si="130"/>
        <v/>
      </c>
      <c r="L903" s="287" t="str">
        <f t="shared" si="131"/>
        <v/>
      </c>
      <c r="M903" s="290" t="str">
        <f t="shared" si="132"/>
        <v/>
      </c>
      <c r="N903" s="243" t="str">
        <f>IF($A903="","",IF(ABS(E903)&gt;0.000001,COUNT($N$1:N902)+1,""))</f>
        <v/>
      </c>
      <c r="O903" s="291" t="str">
        <f>IF($A903="","",SUMIFS(Transactions!$H$2:$H$1001,Transactions!$J$2:$J$1001,$A903,Transactions!$A$2:$A$1001,2)*$I903)</f>
        <v/>
      </c>
      <c r="P903" s="291" t="str">
        <f t="shared" si="133"/>
        <v/>
      </c>
      <c r="Q903" s="292" t="str">
        <f t="shared" si="134"/>
        <v/>
      </c>
    </row>
    <row r="904" spans="1:17" ht="15" customHeight="1" x14ac:dyDescent="0.2">
      <c r="A904" s="243" t="str">
        <f>IFERROR(INDEX(Txn[Key],MATCH(0,INDEX(COUNTIF($A$1:A903,Txn[Key])+(Txn[Key]=""),0),0)),"")</f>
        <v/>
      </c>
      <c r="B904" s="243" t="str">
        <f t="shared" si="126"/>
        <v/>
      </c>
      <c r="C904" s="243" t="str">
        <f t="shared" si="127"/>
        <v/>
      </c>
      <c r="D904" s="243" t="str">
        <f t="shared" si="128"/>
        <v/>
      </c>
      <c r="E904" s="265" t="str">
        <f>IF($A904="","",SUMIFS(Txn[Signed Units],Txn[Key],$A904))</f>
        <v/>
      </c>
      <c r="F904" s="287" t="str">
        <f>IF($A904="","",SUMIFS(Txn[Buy Cost],Txn[Key],$A904))</f>
        <v/>
      </c>
      <c r="G904" s="287" t="str">
        <f>IF($A904="","",SUMIFS(Txn[Sell Proceeds],Txn[Key],$A904))</f>
        <v/>
      </c>
      <c r="H904" s="288" t="str">
        <f>IF($A904="","",IFERROR(INDEX(Prices[Current Price],MATCH($A904,Prices[Key],0)),0))</f>
        <v/>
      </c>
      <c r="I904" s="289" t="str">
        <f>IF($A904="","",IFERROR(INDEX(Prices[FX to SGD],MATCH($A904,Prices[Key],0)),1))</f>
        <v/>
      </c>
      <c r="J904" s="287" t="str">
        <f t="shared" si="129"/>
        <v/>
      </c>
      <c r="K904" s="287" t="str">
        <f t="shared" si="130"/>
        <v/>
      </c>
      <c r="L904" s="287" t="str">
        <f t="shared" si="131"/>
        <v/>
      </c>
      <c r="M904" s="290" t="str">
        <f t="shared" si="132"/>
        <v/>
      </c>
      <c r="N904" s="243" t="str">
        <f>IF($A904="","",IF(ABS(E904)&gt;0.000001,COUNT($N$1:N903)+1,""))</f>
        <v/>
      </c>
      <c r="O904" s="291" t="str">
        <f>IF($A904="","",SUMIFS(Transactions!$H$2:$H$1001,Transactions!$J$2:$J$1001,$A904,Transactions!$A$2:$A$1001,2)*$I904)</f>
        <v/>
      </c>
      <c r="P904" s="291" t="str">
        <f t="shared" si="133"/>
        <v/>
      </c>
      <c r="Q904" s="292" t="str">
        <f t="shared" si="134"/>
        <v/>
      </c>
    </row>
    <row r="905" spans="1:17" ht="15" customHeight="1" x14ac:dyDescent="0.2">
      <c r="A905" s="243" t="str">
        <f>IFERROR(INDEX(Txn[Key],MATCH(0,INDEX(COUNTIF($A$1:A904,Txn[Key])+(Txn[Key]=""),0),0)),"")</f>
        <v/>
      </c>
      <c r="B905" s="243" t="str">
        <f t="shared" si="126"/>
        <v/>
      </c>
      <c r="C905" s="243" t="str">
        <f t="shared" si="127"/>
        <v/>
      </c>
      <c r="D905" s="243" t="str">
        <f t="shared" si="128"/>
        <v/>
      </c>
      <c r="E905" s="265" t="str">
        <f>IF($A905="","",SUMIFS(Txn[Signed Units],Txn[Key],$A905))</f>
        <v/>
      </c>
      <c r="F905" s="287" t="str">
        <f>IF($A905="","",SUMIFS(Txn[Buy Cost],Txn[Key],$A905))</f>
        <v/>
      </c>
      <c r="G905" s="287" t="str">
        <f>IF($A905="","",SUMIFS(Txn[Sell Proceeds],Txn[Key],$A905))</f>
        <v/>
      </c>
      <c r="H905" s="288" t="str">
        <f>IF($A905="","",IFERROR(INDEX(Prices[Current Price],MATCH($A905,Prices[Key],0)),0))</f>
        <v/>
      </c>
      <c r="I905" s="289" t="str">
        <f>IF($A905="","",IFERROR(INDEX(Prices[FX to SGD],MATCH($A905,Prices[Key],0)),1))</f>
        <v/>
      </c>
      <c r="J905" s="287" t="str">
        <f t="shared" si="129"/>
        <v/>
      </c>
      <c r="K905" s="287" t="str">
        <f t="shared" si="130"/>
        <v/>
      </c>
      <c r="L905" s="287" t="str">
        <f t="shared" si="131"/>
        <v/>
      </c>
      <c r="M905" s="290" t="str">
        <f t="shared" si="132"/>
        <v/>
      </c>
      <c r="N905" s="243" t="str">
        <f>IF($A905="","",IF(ABS(E905)&gt;0.000001,COUNT($N$1:N904)+1,""))</f>
        <v/>
      </c>
      <c r="O905" s="291" t="str">
        <f>IF($A905="","",SUMIFS(Transactions!$H$2:$H$1001,Transactions!$J$2:$J$1001,$A905,Transactions!$A$2:$A$1001,2)*$I905)</f>
        <v/>
      </c>
      <c r="P905" s="291" t="str">
        <f t="shared" si="133"/>
        <v/>
      </c>
      <c r="Q905" s="292" t="str">
        <f t="shared" si="134"/>
        <v/>
      </c>
    </row>
    <row r="906" spans="1:17" ht="15" customHeight="1" x14ac:dyDescent="0.2">
      <c r="A906" s="243" t="str">
        <f>IFERROR(INDEX(Txn[Key],MATCH(0,INDEX(COUNTIF($A$1:A905,Txn[Key])+(Txn[Key]=""),0),0)),"")</f>
        <v/>
      </c>
      <c r="B906" s="243" t="str">
        <f t="shared" si="126"/>
        <v/>
      </c>
      <c r="C906" s="243" t="str">
        <f t="shared" si="127"/>
        <v/>
      </c>
      <c r="D906" s="243" t="str">
        <f t="shared" si="128"/>
        <v/>
      </c>
      <c r="E906" s="265" t="str">
        <f>IF($A906="","",SUMIFS(Txn[Signed Units],Txn[Key],$A906))</f>
        <v/>
      </c>
      <c r="F906" s="287" t="str">
        <f>IF($A906="","",SUMIFS(Txn[Buy Cost],Txn[Key],$A906))</f>
        <v/>
      </c>
      <c r="G906" s="287" t="str">
        <f>IF($A906="","",SUMIFS(Txn[Sell Proceeds],Txn[Key],$A906))</f>
        <v/>
      </c>
      <c r="H906" s="288" t="str">
        <f>IF($A906="","",IFERROR(INDEX(Prices[Current Price],MATCH($A906,Prices[Key],0)),0))</f>
        <v/>
      </c>
      <c r="I906" s="289" t="str">
        <f>IF($A906="","",IFERROR(INDEX(Prices[FX to SGD],MATCH($A906,Prices[Key],0)),1))</f>
        <v/>
      </c>
      <c r="J906" s="287" t="str">
        <f t="shared" si="129"/>
        <v/>
      </c>
      <c r="K906" s="287" t="str">
        <f t="shared" si="130"/>
        <v/>
      </c>
      <c r="L906" s="287" t="str">
        <f t="shared" si="131"/>
        <v/>
      </c>
      <c r="M906" s="290" t="str">
        <f t="shared" si="132"/>
        <v/>
      </c>
      <c r="N906" s="243" t="str">
        <f>IF($A906="","",IF(ABS(E906)&gt;0.000001,COUNT($N$1:N905)+1,""))</f>
        <v/>
      </c>
      <c r="O906" s="291" t="str">
        <f>IF($A906="","",SUMIFS(Transactions!$H$2:$H$1001,Transactions!$J$2:$J$1001,$A906,Transactions!$A$2:$A$1001,2)*$I906)</f>
        <v/>
      </c>
      <c r="P906" s="291" t="str">
        <f t="shared" si="133"/>
        <v/>
      </c>
      <c r="Q906" s="292" t="str">
        <f t="shared" si="134"/>
        <v/>
      </c>
    </row>
    <row r="907" spans="1:17" ht="15" customHeight="1" x14ac:dyDescent="0.2">
      <c r="A907" s="243" t="str">
        <f>IFERROR(INDEX(Txn[Key],MATCH(0,INDEX(COUNTIF($A$1:A906,Txn[Key])+(Txn[Key]=""),0),0)),"")</f>
        <v/>
      </c>
      <c r="B907" s="243" t="str">
        <f t="shared" si="126"/>
        <v/>
      </c>
      <c r="C907" s="243" t="str">
        <f t="shared" si="127"/>
        <v/>
      </c>
      <c r="D907" s="243" t="str">
        <f t="shared" si="128"/>
        <v/>
      </c>
      <c r="E907" s="265" t="str">
        <f>IF($A907="","",SUMIFS(Txn[Signed Units],Txn[Key],$A907))</f>
        <v/>
      </c>
      <c r="F907" s="287" t="str">
        <f>IF($A907="","",SUMIFS(Txn[Buy Cost],Txn[Key],$A907))</f>
        <v/>
      </c>
      <c r="G907" s="287" t="str">
        <f>IF($A907="","",SUMIFS(Txn[Sell Proceeds],Txn[Key],$A907))</f>
        <v/>
      </c>
      <c r="H907" s="288" t="str">
        <f>IF($A907="","",IFERROR(INDEX(Prices[Current Price],MATCH($A907,Prices[Key],0)),0))</f>
        <v/>
      </c>
      <c r="I907" s="289" t="str">
        <f>IF($A907="","",IFERROR(INDEX(Prices[FX to SGD],MATCH($A907,Prices[Key],0)),1))</f>
        <v/>
      </c>
      <c r="J907" s="287" t="str">
        <f t="shared" si="129"/>
        <v/>
      </c>
      <c r="K907" s="287" t="str">
        <f t="shared" si="130"/>
        <v/>
      </c>
      <c r="L907" s="287" t="str">
        <f t="shared" si="131"/>
        <v/>
      </c>
      <c r="M907" s="290" t="str">
        <f t="shared" si="132"/>
        <v/>
      </c>
      <c r="N907" s="243" t="str">
        <f>IF($A907="","",IF(ABS(E907)&gt;0.000001,COUNT($N$1:N906)+1,""))</f>
        <v/>
      </c>
      <c r="O907" s="291" t="str">
        <f>IF($A907="","",SUMIFS(Transactions!$H$2:$H$1001,Transactions!$J$2:$J$1001,$A907,Transactions!$A$2:$A$1001,2)*$I907)</f>
        <v/>
      </c>
      <c r="P907" s="291" t="str">
        <f t="shared" si="133"/>
        <v/>
      </c>
      <c r="Q907" s="292" t="str">
        <f t="shared" si="134"/>
        <v/>
      </c>
    </row>
    <row r="908" spans="1:17" ht="15" customHeight="1" x14ac:dyDescent="0.2">
      <c r="A908" s="243" t="str">
        <f>IFERROR(INDEX(Txn[Key],MATCH(0,INDEX(COUNTIF($A$1:A907,Txn[Key])+(Txn[Key]=""),0),0)),"")</f>
        <v/>
      </c>
      <c r="B908" s="243" t="str">
        <f t="shared" si="126"/>
        <v/>
      </c>
      <c r="C908" s="243" t="str">
        <f t="shared" si="127"/>
        <v/>
      </c>
      <c r="D908" s="243" t="str">
        <f t="shared" si="128"/>
        <v/>
      </c>
      <c r="E908" s="265" t="str">
        <f>IF($A908="","",SUMIFS(Txn[Signed Units],Txn[Key],$A908))</f>
        <v/>
      </c>
      <c r="F908" s="287" t="str">
        <f>IF($A908="","",SUMIFS(Txn[Buy Cost],Txn[Key],$A908))</f>
        <v/>
      </c>
      <c r="G908" s="287" t="str">
        <f>IF($A908="","",SUMIFS(Txn[Sell Proceeds],Txn[Key],$A908))</f>
        <v/>
      </c>
      <c r="H908" s="288" t="str">
        <f>IF($A908="","",IFERROR(INDEX(Prices[Current Price],MATCH($A908,Prices[Key],0)),0))</f>
        <v/>
      </c>
      <c r="I908" s="289" t="str">
        <f>IF($A908="","",IFERROR(INDEX(Prices[FX to SGD],MATCH($A908,Prices[Key],0)),1))</f>
        <v/>
      </c>
      <c r="J908" s="287" t="str">
        <f t="shared" si="129"/>
        <v/>
      </c>
      <c r="K908" s="287" t="str">
        <f t="shared" si="130"/>
        <v/>
      </c>
      <c r="L908" s="287" t="str">
        <f t="shared" si="131"/>
        <v/>
      </c>
      <c r="M908" s="290" t="str">
        <f t="shared" si="132"/>
        <v/>
      </c>
      <c r="N908" s="243" t="str">
        <f>IF($A908="","",IF(ABS(E908)&gt;0.000001,COUNT($N$1:N907)+1,""))</f>
        <v/>
      </c>
      <c r="O908" s="291" t="str">
        <f>IF($A908="","",SUMIFS(Transactions!$H$2:$H$1001,Transactions!$J$2:$J$1001,$A908,Transactions!$A$2:$A$1001,2)*$I908)</f>
        <v/>
      </c>
      <c r="P908" s="291" t="str">
        <f t="shared" si="133"/>
        <v/>
      </c>
      <c r="Q908" s="292" t="str">
        <f t="shared" si="134"/>
        <v/>
      </c>
    </row>
    <row r="909" spans="1:17" ht="15" customHeight="1" x14ac:dyDescent="0.2">
      <c r="A909" s="243" t="str">
        <f>IFERROR(INDEX(Txn[Key],MATCH(0,INDEX(COUNTIF($A$1:A908,Txn[Key])+(Txn[Key]=""),0),0)),"")</f>
        <v/>
      </c>
      <c r="B909" s="243" t="str">
        <f t="shared" si="126"/>
        <v/>
      </c>
      <c r="C909" s="243" t="str">
        <f t="shared" si="127"/>
        <v/>
      </c>
      <c r="D909" s="243" t="str">
        <f t="shared" si="128"/>
        <v/>
      </c>
      <c r="E909" s="265" t="str">
        <f>IF($A909="","",SUMIFS(Txn[Signed Units],Txn[Key],$A909))</f>
        <v/>
      </c>
      <c r="F909" s="287" t="str">
        <f>IF($A909="","",SUMIFS(Txn[Buy Cost],Txn[Key],$A909))</f>
        <v/>
      </c>
      <c r="G909" s="287" t="str">
        <f>IF($A909="","",SUMIFS(Txn[Sell Proceeds],Txn[Key],$A909))</f>
        <v/>
      </c>
      <c r="H909" s="288" t="str">
        <f>IF($A909="","",IFERROR(INDEX(Prices[Current Price],MATCH($A909,Prices[Key],0)),0))</f>
        <v/>
      </c>
      <c r="I909" s="289" t="str">
        <f>IF($A909="","",IFERROR(INDEX(Prices[FX to SGD],MATCH($A909,Prices[Key],0)),1))</f>
        <v/>
      </c>
      <c r="J909" s="287" t="str">
        <f t="shared" si="129"/>
        <v/>
      </c>
      <c r="K909" s="287" t="str">
        <f t="shared" si="130"/>
        <v/>
      </c>
      <c r="L909" s="287" t="str">
        <f t="shared" si="131"/>
        <v/>
      </c>
      <c r="M909" s="290" t="str">
        <f t="shared" si="132"/>
        <v/>
      </c>
      <c r="N909" s="243" t="str">
        <f>IF($A909="","",IF(ABS(E909)&gt;0.000001,COUNT($N$1:N908)+1,""))</f>
        <v/>
      </c>
      <c r="O909" s="291" t="str">
        <f>IF($A909="","",SUMIFS(Transactions!$H$2:$H$1001,Transactions!$J$2:$J$1001,$A909,Transactions!$A$2:$A$1001,2)*$I909)</f>
        <v/>
      </c>
      <c r="P909" s="291" t="str">
        <f t="shared" si="133"/>
        <v/>
      </c>
      <c r="Q909" s="292" t="str">
        <f t="shared" si="134"/>
        <v/>
      </c>
    </row>
    <row r="910" spans="1:17" ht="15" customHeight="1" x14ac:dyDescent="0.2">
      <c r="A910" s="243" t="str">
        <f>IFERROR(INDEX(Txn[Key],MATCH(0,INDEX(COUNTIF($A$1:A909,Txn[Key])+(Txn[Key]=""),0),0)),"")</f>
        <v/>
      </c>
      <c r="B910" s="243" t="str">
        <f t="shared" si="126"/>
        <v/>
      </c>
      <c r="C910" s="243" t="str">
        <f t="shared" si="127"/>
        <v/>
      </c>
      <c r="D910" s="243" t="str">
        <f t="shared" si="128"/>
        <v/>
      </c>
      <c r="E910" s="265" t="str">
        <f>IF($A910="","",SUMIFS(Txn[Signed Units],Txn[Key],$A910))</f>
        <v/>
      </c>
      <c r="F910" s="287" t="str">
        <f>IF($A910="","",SUMIFS(Txn[Buy Cost],Txn[Key],$A910))</f>
        <v/>
      </c>
      <c r="G910" s="287" t="str">
        <f>IF($A910="","",SUMIFS(Txn[Sell Proceeds],Txn[Key],$A910))</f>
        <v/>
      </c>
      <c r="H910" s="288" t="str">
        <f>IF($A910="","",IFERROR(INDEX(Prices[Current Price],MATCH($A910,Prices[Key],0)),0))</f>
        <v/>
      </c>
      <c r="I910" s="289" t="str">
        <f>IF($A910="","",IFERROR(INDEX(Prices[FX to SGD],MATCH($A910,Prices[Key],0)),1))</f>
        <v/>
      </c>
      <c r="J910" s="287" t="str">
        <f t="shared" si="129"/>
        <v/>
      </c>
      <c r="K910" s="287" t="str">
        <f t="shared" si="130"/>
        <v/>
      </c>
      <c r="L910" s="287" t="str">
        <f t="shared" si="131"/>
        <v/>
      </c>
      <c r="M910" s="290" t="str">
        <f t="shared" si="132"/>
        <v/>
      </c>
      <c r="N910" s="243" t="str">
        <f>IF($A910="","",IF(ABS(E910)&gt;0.000001,COUNT($N$1:N909)+1,""))</f>
        <v/>
      </c>
      <c r="O910" s="291" t="str">
        <f>IF($A910="","",SUMIFS(Transactions!$H$2:$H$1001,Transactions!$J$2:$J$1001,$A910,Transactions!$A$2:$A$1001,2)*$I910)</f>
        <v/>
      </c>
      <c r="P910" s="291" t="str">
        <f t="shared" si="133"/>
        <v/>
      </c>
      <c r="Q910" s="292" t="str">
        <f t="shared" si="134"/>
        <v/>
      </c>
    </row>
    <row r="911" spans="1:17" ht="15" customHeight="1" x14ac:dyDescent="0.2">
      <c r="A911" s="243" t="str">
        <f>IFERROR(INDEX(Txn[Key],MATCH(0,INDEX(COUNTIF($A$1:A910,Txn[Key])+(Txn[Key]=""),0),0)),"")</f>
        <v/>
      </c>
      <c r="B911" s="243" t="str">
        <f t="shared" si="126"/>
        <v/>
      </c>
      <c r="C911" s="243" t="str">
        <f t="shared" si="127"/>
        <v/>
      </c>
      <c r="D911" s="243" t="str">
        <f t="shared" si="128"/>
        <v/>
      </c>
      <c r="E911" s="265" t="str">
        <f>IF($A911="","",SUMIFS(Txn[Signed Units],Txn[Key],$A911))</f>
        <v/>
      </c>
      <c r="F911" s="287" t="str">
        <f>IF($A911="","",SUMIFS(Txn[Buy Cost],Txn[Key],$A911))</f>
        <v/>
      </c>
      <c r="G911" s="287" t="str">
        <f>IF($A911="","",SUMIFS(Txn[Sell Proceeds],Txn[Key],$A911))</f>
        <v/>
      </c>
      <c r="H911" s="288" t="str">
        <f>IF($A911="","",IFERROR(INDEX(Prices[Current Price],MATCH($A911,Prices[Key],0)),0))</f>
        <v/>
      </c>
      <c r="I911" s="289" t="str">
        <f>IF($A911="","",IFERROR(INDEX(Prices[FX to SGD],MATCH($A911,Prices[Key],0)),1))</f>
        <v/>
      </c>
      <c r="J911" s="287" t="str">
        <f t="shared" si="129"/>
        <v/>
      </c>
      <c r="K911" s="287" t="str">
        <f t="shared" si="130"/>
        <v/>
      </c>
      <c r="L911" s="287" t="str">
        <f t="shared" si="131"/>
        <v/>
      </c>
      <c r="M911" s="290" t="str">
        <f t="shared" si="132"/>
        <v/>
      </c>
      <c r="N911" s="243" t="str">
        <f>IF($A911="","",IF(ABS(E911)&gt;0.000001,COUNT($N$1:N910)+1,""))</f>
        <v/>
      </c>
      <c r="O911" s="291" t="str">
        <f>IF($A911="","",SUMIFS(Transactions!$H$2:$H$1001,Transactions!$J$2:$J$1001,$A911,Transactions!$A$2:$A$1001,2)*$I911)</f>
        <v/>
      </c>
      <c r="P911" s="291" t="str">
        <f t="shared" si="133"/>
        <v/>
      </c>
      <c r="Q911" s="292" t="str">
        <f t="shared" si="134"/>
        <v/>
      </c>
    </row>
    <row r="912" spans="1:17" ht="15" customHeight="1" x14ac:dyDescent="0.2">
      <c r="A912" s="243" t="str">
        <f>IFERROR(INDEX(Txn[Key],MATCH(0,INDEX(COUNTIF($A$1:A911,Txn[Key])+(Txn[Key]=""),0),0)),"")</f>
        <v/>
      </c>
      <c r="B912" s="243" t="str">
        <f t="shared" si="126"/>
        <v/>
      </c>
      <c r="C912" s="243" t="str">
        <f t="shared" si="127"/>
        <v/>
      </c>
      <c r="D912" s="243" t="str">
        <f t="shared" si="128"/>
        <v/>
      </c>
      <c r="E912" s="265" t="str">
        <f>IF($A912="","",SUMIFS(Txn[Signed Units],Txn[Key],$A912))</f>
        <v/>
      </c>
      <c r="F912" s="287" t="str">
        <f>IF($A912="","",SUMIFS(Txn[Buy Cost],Txn[Key],$A912))</f>
        <v/>
      </c>
      <c r="G912" s="287" t="str">
        <f>IF($A912="","",SUMIFS(Txn[Sell Proceeds],Txn[Key],$A912))</f>
        <v/>
      </c>
      <c r="H912" s="288" t="str">
        <f>IF($A912="","",IFERROR(INDEX(Prices[Current Price],MATCH($A912,Prices[Key],0)),0))</f>
        <v/>
      </c>
      <c r="I912" s="289" t="str">
        <f>IF($A912="","",IFERROR(INDEX(Prices[FX to SGD],MATCH($A912,Prices[Key],0)),1))</f>
        <v/>
      </c>
      <c r="J912" s="287" t="str">
        <f t="shared" si="129"/>
        <v/>
      </c>
      <c r="K912" s="287" t="str">
        <f t="shared" si="130"/>
        <v/>
      </c>
      <c r="L912" s="287" t="str">
        <f t="shared" si="131"/>
        <v/>
      </c>
      <c r="M912" s="290" t="str">
        <f t="shared" si="132"/>
        <v/>
      </c>
      <c r="N912" s="243" t="str">
        <f>IF($A912="","",IF(ABS(E912)&gt;0.000001,COUNT($N$1:N911)+1,""))</f>
        <v/>
      </c>
      <c r="O912" s="291" t="str">
        <f>IF($A912="","",SUMIFS(Transactions!$H$2:$H$1001,Transactions!$J$2:$J$1001,$A912,Transactions!$A$2:$A$1001,2)*$I912)</f>
        <v/>
      </c>
      <c r="P912" s="291" t="str">
        <f t="shared" si="133"/>
        <v/>
      </c>
      <c r="Q912" s="292" t="str">
        <f t="shared" si="134"/>
        <v/>
      </c>
    </row>
    <row r="913" spans="1:17" ht="15" customHeight="1" x14ac:dyDescent="0.2">
      <c r="A913" s="243" t="str">
        <f>IFERROR(INDEX(Txn[Key],MATCH(0,INDEX(COUNTIF($A$1:A912,Txn[Key])+(Txn[Key]=""),0),0)),"")</f>
        <v/>
      </c>
      <c r="B913" s="243" t="str">
        <f t="shared" si="126"/>
        <v/>
      </c>
      <c r="C913" s="243" t="str">
        <f t="shared" si="127"/>
        <v/>
      </c>
      <c r="D913" s="243" t="str">
        <f t="shared" si="128"/>
        <v/>
      </c>
      <c r="E913" s="265" t="str">
        <f>IF($A913="","",SUMIFS(Txn[Signed Units],Txn[Key],$A913))</f>
        <v/>
      </c>
      <c r="F913" s="287" t="str">
        <f>IF($A913="","",SUMIFS(Txn[Buy Cost],Txn[Key],$A913))</f>
        <v/>
      </c>
      <c r="G913" s="287" t="str">
        <f>IF($A913="","",SUMIFS(Txn[Sell Proceeds],Txn[Key],$A913))</f>
        <v/>
      </c>
      <c r="H913" s="288" t="str">
        <f>IF($A913="","",IFERROR(INDEX(Prices[Current Price],MATCH($A913,Prices[Key],0)),0))</f>
        <v/>
      </c>
      <c r="I913" s="289" t="str">
        <f>IF($A913="","",IFERROR(INDEX(Prices[FX to SGD],MATCH($A913,Prices[Key],0)),1))</f>
        <v/>
      </c>
      <c r="J913" s="287" t="str">
        <f t="shared" si="129"/>
        <v/>
      </c>
      <c r="K913" s="287" t="str">
        <f t="shared" si="130"/>
        <v/>
      </c>
      <c r="L913" s="287" t="str">
        <f t="shared" si="131"/>
        <v/>
      </c>
      <c r="M913" s="290" t="str">
        <f t="shared" si="132"/>
        <v/>
      </c>
      <c r="N913" s="243" t="str">
        <f>IF($A913="","",IF(ABS(E913)&gt;0.000001,COUNT($N$1:N912)+1,""))</f>
        <v/>
      </c>
      <c r="O913" s="291" t="str">
        <f>IF($A913="","",SUMIFS(Transactions!$H$2:$H$1001,Transactions!$J$2:$J$1001,$A913,Transactions!$A$2:$A$1001,2)*$I913)</f>
        <v/>
      </c>
      <c r="P913" s="291" t="str">
        <f t="shared" si="133"/>
        <v/>
      </c>
      <c r="Q913" s="292" t="str">
        <f t="shared" si="134"/>
        <v/>
      </c>
    </row>
    <row r="914" spans="1:17" ht="15" customHeight="1" x14ac:dyDescent="0.2">
      <c r="A914" s="243" t="str">
        <f>IFERROR(INDEX(Txn[Key],MATCH(0,INDEX(COUNTIF($A$1:A913,Txn[Key])+(Txn[Key]=""),0),0)),"")</f>
        <v/>
      </c>
      <c r="B914" s="243" t="str">
        <f t="shared" si="126"/>
        <v/>
      </c>
      <c r="C914" s="243" t="str">
        <f t="shared" si="127"/>
        <v/>
      </c>
      <c r="D914" s="243" t="str">
        <f t="shared" si="128"/>
        <v/>
      </c>
      <c r="E914" s="265" t="str">
        <f>IF($A914="","",SUMIFS(Txn[Signed Units],Txn[Key],$A914))</f>
        <v/>
      </c>
      <c r="F914" s="287" t="str">
        <f>IF($A914="","",SUMIFS(Txn[Buy Cost],Txn[Key],$A914))</f>
        <v/>
      </c>
      <c r="G914" s="287" t="str">
        <f>IF($A914="","",SUMIFS(Txn[Sell Proceeds],Txn[Key],$A914))</f>
        <v/>
      </c>
      <c r="H914" s="288" t="str">
        <f>IF($A914="","",IFERROR(INDEX(Prices[Current Price],MATCH($A914,Prices[Key],0)),0))</f>
        <v/>
      </c>
      <c r="I914" s="289" t="str">
        <f>IF($A914="","",IFERROR(INDEX(Prices[FX to SGD],MATCH($A914,Prices[Key],0)),1))</f>
        <v/>
      </c>
      <c r="J914" s="287" t="str">
        <f t="shared" si="129"/>
        <v/>
      </c>
      <c r="K914" s="287" t="str">
        <f t="shared" si="130"/>
        <v/>
      </c>
      <c r="L914" s="287" t="str">
        <f t="shared" si="131"/>
        <v/>
      </c>
      <c r="M914" s="290" t="str">
        <f t="shared" si="132"/>
        <v/>
      </c>
      <c r="N914" s="243" t="str">
        <f>IF($A914="","",IF(ABS(E914)&gt;0.000001,COUNT($N$1:N913)+1,""))</f>
        <v/>
      </c>
      <c r="O914" s="291" t="str">
        <f>IF($A914="","",SUMIFS(Transactions!$H$2:$H$1001,Transactions!$J$2:$J$1001,$A914,Transactions!$A$2:$A$1001,2)*$I914)</f>
        <v/>
      </c>
      <c r="P914" s="291" t="str">
        <f t="shared" si="133"/>
        <v/>
      </c>
      <c r="Q914" s="292" t="str">
        <f t="shared" si="134"/>
        <v/>
      </c>
    </row>
    <row r="915" spans="1:17" ht="15" customHeight="1" x14ac:dyDescent="0.2">
      <c r="A915" s="243" t="str">
        <f>IFERROR(INDEX(Txn[Key],MATCH(0,INDEX(COUNTIF($A$1:A914,Txn[Key])+(Txn[Key]=""),0),0)),"")</f>
        <v/>
      </c>
      <c r="B915" s="243" t="str">
        <f t="shared" si="126"/>
        <v/>
      </c>
      <c r="C915" s="243" t="str">
        <f t="shared" si="127"/>
        <v/>
      </c>
      <c r="D915" s="243" t="str">
        <f t="shared" si="128"/>
        <v/>
      </c>
      <c r="E915" s="265" t="str">
        <f>IF($A915="","",SUMIFS(Txn[Signed Units],Txn[Key],$A915))</f>
        <v/>
      </c>
      <c r="F915" s="287" t="str">
        <f>IF($A915="","",SUMIFS(Txn[Buy Cost],Txn[Key],$A915))</f>
        <v/>
      </c>
      <c r="G915" s="287" t="str">
        <f>IF($A915="","",SUMIFS(Txn[Sell Proceeds],Txn[Key],$A915))</f>
        <v/>
      </c>
      <c r="H915" s="288" t="str">
        <f>IF($A915="","",IFERROR(INDEX(Prices[Current Price],MATCH($A915,Prices[Key],0)),0))</f>
        <v/>
      </c>
      <c r="I915" s="289" t="str">
        <f>IF($A915="","",IFERROR(INDEX(Prices[FX to SGD],MATCH($A915,Prices[Key],0)),1))</f>
        <v/>
      </c>
      <c r="J915" s="287" t="str">
        <f t="shared" si="129"/>
        <v/>
      </c>
      <c r="K915" s="287" t="str">
        <f t="shared" si="130"/>
        <v/>
      </c>
      <c r="L915" s="287" t="str">
        <f t="shared" si="131"/>
        <v/>
      </c>
      <c r="M915" s="290" t="str">
        <f t="shared" si="132"/>
        <v/>
      </c>
      <c r="N915" s="243" t="str">
        <f>IF($A915="","",IF(ABS(E915)&gt;0.000001,COUNT($N$1:N914)+1,""))</f>
        <v/>
      </c>
      <c r="O915" s="291" t="str">
        <f>IF($A915="","",SUMIFS(Transactions!$H$2:$H$1001,Transactions!$J$2:$J$1001,$A915,Transactions!$A$2:$A$1001,2)*$I915)</f>
        <v/>
      </c>
      <c r="P915" s="291" t="str">
        <f t="shared" si="133"/>
        <v/>
      </c>
      <c r="Q915" s="292" t="str">
        <f t="shared" si="134"/>
        <v/>
      </c>
    </row>
    <row r="916" spans="1:17" ht="15" customHeight="1" x14ac:dyDescent="0.2">
      <c r="A916" s="243" t="str">
        <f>IFERROR(INDEX(Txn[Key],MATCH(0,INDEX(COUNTIF($A$1:A915,Txn[Key])+(Txn[Key]=""),0),0)),"")</f>
        <v/>
      </c>
      <c r="B916" s="243" t="str">
        <f t="shared" si="126"/>
        <v/>
      </c>
      <c r="C916" s="243" t="str">
        <f t="shared" si="127"/>
        <v/>
      </c>
      <c r="D916" s="243" t="str">
        <f t="shared" si="128"/>
        <v/>
      </c>
      <c r="E916" s="265" t="str">
        <f>IF($A916="","",SUMIFS(Txn[Signed Units],Txn[Key],$A916))</f>
        <v/>
      </c>
      <c r="F916" s="287" t="str">
        <f>IF($A916="","",SUMIFS(Txn[Buy Cost],Txn[Key],$A916))</f>
        <v/>
      </c>
      <c r="G916" s="287" t="str">
        <f>IF($A916="","",SUMIFS(Txn[Sell Proceeds],Txn[Key],$A916))</f>
        <v/>
      </c>
      <c r="H916" s="288" t="str">
        <f>IF($A916="","",IFERROR(INDEX(Prices[Current Price],MATCH($A916,Prices[Key],0)),0))</f>
        <v/>
      </c>
      <c r="I916" s="289" t="str">
        <f>IF($A916="","",IFERROR(INDEX(Prices[FX to SGD],MATCH($A916,Prices[Key],0)),1))</f>
        <v/>
      </c>
      <c r="J916" s="287" t="str">
        <f t="shared" si="129"/>
        <v/>
      </c>
      <c r="K916" s="287" t="str">
        <f t="shared" si="130"/>
        <v/>
      </c>
      <c r="L916" s="287" t="str">
        <f t="shared" si="131"/>
        <v/>
      </c>
      <c r="M916" s="290" t="str">
        <f t="shared" si="132"/>
        <v/>
      </c>
      <c r="N916" s="243" t="str">
        <f>IF($A916="","",IF(ABS(E916)&gt;0.000001,COUNT($N$1:N915)+1,""))</f>
        <v/>
      </c>
      <c r="O916" s="291" t="str">
        <f>IF($A916="","",SUMIFS(Transactions!$H$2:$H$1001,Transactions!$J$2:$J$1001,$A916,Transactions!$A$2:$A$1001,2)*$I916)</f>
        <v/>
      </c>
      <c r="P916" s="291" t="str">
        <f t="shared" si="133"/>
        <v/>
      </c>
      <c r="Q916" s="292" t="str">
        <f t="shared" si="134"/>
        <v/>
      </c>
    </row>
    <row r="917" spans="1:17" ht="15" customHeight="1" x14ac:dyDescent="0.2">
      <c r="A917" s="243" t="str">
        <f>IFERROR(INDEX(Txn[Key],MATCH(0,INDEX(COUNTIF($A$1:A916,Txn[Key])+(Txn[Key]=""),0),0)),"")</f>
        <v/>
      </c>
      <c r="B917" s="243" t="str">
        <f t="shared" si="126"/>
        <v/>
      </c>
      <c r="C917" s="243" t="str">
        <f t="shared" si="127"/>
        <v/>
      </c>
      <c r="D917" s="243" t="str">
        <f t="shared" si="128"/>
        <v/>
      </c>
      <c r="E917" s="265" t="str">
        <f>IF($A917="","",SUMIFS(Txn[Signed Units],Txn[Key],$A917))</f>
        <v/>
      </c>
      <c r="F917" s="287" t="str">
        <f>IF($A917="","",SUMIFS(Txn[Buy Cost],Txn[Key],$A917))</f>
        <v/>
      </c>
      <c r="G917" s="287" t="str">
        <f>IF($A917="","",SUMIFS(Txn[Sell Proceeds],Txn[Key],$A917))</f>
        <v/>
      </c>
      <c r="H917" s="288" t="str">
        <f>IF($A917="","",IFERROR(INDEX(Prices[Current Price],MATCH($A917,Prices[Key],0)),0))</f>
        <v/>
      </c>
      <c r="I917" s="289" t="str">
        <f>IF($A917="","",IFERROR(INDEX(Prices[FX to SGD],MATCH($A917,Prices[Key],0)),1))</f>
        <v/>
      </c>
      <c r="J917" s="287" t="str">
        <f t="shared" si="129"/>
        <v/>
      </c>
      <c r="K917" s="287" t="str">
        <f t="shared" si="130"/>
        <v/>
      </c>
      <c r="L917" s="287" t="str">
        <f t="shared" si="131"/>
        <v/>
      </c>
      <c r="M917" s="290" t="str">
        <f t="shared" si="132"/>
        <v/>
      </c>
      <c r="N917" s="243" t="str">
        <f>IF($A917="","",IF(ABS(E917)&gt;0.000001,COUNT($N$1:N916)+1,""))</f>
        <v/>
      </c>
      <c r="O917" s="291" t="str">
        <f>IF($A917="","",SUMIFS(Transactions!$H$2:$H$1001,Transactions!$J$2:$J$1001,$A917,Transactions!$A$2:$A$1001,2)*$I917)</f>
        <v/>
      </c>
      <c r="P917" s="291" t="str">
        <f t="shared" si="133"/>
        <v/>
      </c>
      <c r="Q917" s="292" t="str">
        <f t="shared" si="134"/>
        <v/>
      </c>
    </row>
    <row r="918" spans="1:17" ht="15" customHeight="1" x14ac:dyDescent="0.2">
      <c r="A918" s="243" t="str">
        <f>IFERROR(INDEX(Txn[Key],MATCH(0,INDEX(COUNTIF($A$1:A917,Txn[Key])+(Txn[Key]=""),0),0)),"")</f>
        <v/>
      </c>
      <c r="B918" s="243" t="str">
        <f t="shared" si="126"/>
        <v/>
      </c>
      <c r="C918" s="243" t="str">
        <f t="shared" si="127"/>
        <v/>
      </c>
      <c r="D918" s="243" t="str">
        <f t="shared" si="128"/>
        <v/>
      </c>
      <c r="E918" s="265" t="str">
        <f>IF($A918="","",SUMIFS(Txn[Signed Units],Txn[Key],$A918))</f>
        <v/>
      </c>
      <c r="F918" s="287" t="str">
        <f>IF($A918="","",SUMIFS(Txn[Buy Cost],Txn[Key],$A918))</f>
        <v/>
      </c>
      <c r="G918" s="287" t="str">
        <f>IF($A918="","",SUMIFS(Txn[Sell Proceeds],Txn[Key],$A918))</f>
        <v/>
      </c>
      <c r="H918" s="288" t="str">
        <f>IF($A918="","",IFERROR(INDEX(Prices[Current Price],MATCH($A918,Prices[Key],0)),0))</f>
        <v/>
      </c>
      <c r="I918" s="289" t="str">
        <f>IF($A918="","",IFERROR(INDEX(Prices[FX to SGD],MATCH($A918,Prices[Key],0)),1))</f>
        <v/>
      </c>
      <c r="J918" s="287" t="str">
        <f t="shared" si="129"/>
        <v/>
      </c>
      <c r="K918" s="287" t="str">
        <f t="shared" si="130"/>
        <v/>
      </c>
      <c r="L918" s="287" t="str">
        <f t="shared" si="131"/>
        <v/>
      </c>
      <c r="M918" s="290" t="str">
        <f t="shared" si="132"/>
        <v/>
      </c>
      <c r="N918" s="243" t="str">
        <f>IF($A918="","",IF(ABS(E918)&gt;0.000001,COUNT($N$1:N917)+1,""))</f>
        <v/>
      </c>
      <c r="O918" s="291" t="str">
        <f>IF($A918="","",SUMIFS(Transactions!$H$2:$H$1001,Transactions!$J$2:$J$1001,$A918,Transactions!$A$2:$A$1001,2)*$I918)</f>
        <v/>
      </c>
      <c r="P918" s="291" t="str">
        <f t="shared" si="133"/>
        <v/>
      </c>
      <c r="Q918" s="292" t="str">
        <f t="shared" si="134"/>
        <v/>
      </c>
    </row>
    <row r="919" spans="1:17" ht="15" customHeight="1" x14ac:dyDescent="0.2">
      <c r="A919" s="243" t="str">
        <f>IFERROR(INDEX(Txn[Key],MATCH(0,INDEX(COUNTIF($A$1:A918,Txn[Key])+(Txn[Key]=""),0),0)),"")</f>
        <v/>
      </c>
      <c r="B919" s="243" t="str">
        <f t="shared" si="126"/>
        <v/>
      </c>
      <c r="C919" s="243" t="str">
        <f t="shared" si="127"/>
        <v/>
      </c>
      <c r="D919" s="243" t="str">
        <f t="shared" si="128"/>
        <v/>
      </c>
      <c r="E919" s="265" t="str">
        <f>IF($A919="","",SUMIFS(Txn[Signed Units],Txn[Key],$A919))</f>
        <v/>
      </c>
      <c r="F919" s="287" t="str">
        <f>IF($A919="","",SUMIFS(Txn[Buy Cost],Txn[Key],$A919))</f>
        <v/>
      </c>
      <c r="G919" s="287" t="str">
        <f>IF($A919="","",SUMIFS(Txn[Sell Proceeds],Txn[Key],$A919))</f>
        <v/>
      </c>
      <c r="H919" s="288" t="str">
        <f>IF($A919="","",IFERROR(INDEX(Prices[Current Price],MATCH($A919,Prices[Key],0)),0))</f>
        <v/>
      </c>
      <c r="I919" s="289" t="str">
        <f>IF($A919="","",IFERROR(INDEX(Prices[FX to SGD],MATCH($A919,Prices[Key],0)),1))</f>
        <v/>
      </c>
      <c r="J919" s="287" t="str">
        <f t="shared" si="129"/>
        <v/>
      </c>
      <c r="K919" s="287" t="str">
        <f t="shared" si="130"/>
        <v/>
      </c>
      <c r="L919" s="287" t="str">
        <f t="shared" si="131"/>
        <v/>
      </c>
      <c r="M919" s="290" t="str">
        <f t="shared" si="132"/>
        <v/>
      </c>
      <c r="N919" s="243" t="str">
        <f>IF($A919="","",IF(ABS(E919)&gt;0.000001,COUNT($N$1:N918)+1,""))</f>
        <v/>
      </c>
      <c r="O919" s="291" t="str">
        <f>IF($A919="","",SUMIFS(Transactions!$H$2:$H$1001,Transactions!$J$2:$J$1001,$A919,Transactions!$A$2:$A$1001,2)*$I919)</f>
        <v/>
      </c>
      <c r="P919" s="291" t="str">
        <f t="shared" si="133"/>
        <v/>
      </c>
      <c r="Q919" s="292" t="str">
        <f t="shared" si="134"/>
        <v/>
      </c>
    </row>
    <row r="920" spans="1:17" ht="15" customHeight="1" x14ac:dyDescent="0.2">
      <c r="A920" s="243" t="str">
        <f>IFERROR(INDEX(Txn[Key],MATCH(0,INDEX(COUNTIF($A$1:A919,Txn[Key])+(Txn[Key]=""),0),0)),"")</f>
        <v/>
      </c>
      <c r="B920" s="243" t="str">
        <f t="shared" si="126"/>
        <v/>
      </c>
      <c r="C920" s="243" t="str">
        <f t="shared" si="127"/>
        <v/>
      </c>
      <c r="D920" s="243" t="str">
        <f t="shared" si="128"/>
        <v/>
      </c>
      <c r="E920" s="265" t="str">
        <f>IF($A920="","",SUMIFS(Txn[Signed Units],Txn[Key],$A920))</f>
        <v/>
      </c>
      <c r="F920" s="287" t="str">
        <f>IF($A920="","",SUMIFS(Txn[Buy Cost],Txn[Key],$A920))</f>
        <v/>
      </c>
      <c r="G920" s="287" t="str">
        <f>IF($A920="","",SUMIFS(Txn[Sell Proceeds],Txn[Key],$A920))</f>
        <v/>
      </c>
      <c r="H920" s="288" t="str">
        <f>IF($A920="","",IFERROR(INDEX(Prices[Current Price],MATCH($A920,Prices[Key],0)),0))</f>
        <v/>
      </c>
      <c r="I920" s="289" t="str">
        <f>IF($A920="","",IFERROR(INDEX(Prices[FX to SGD],MATCH($A920,Prices[Key],0)),1))</f>
        <v/>
      </c>
      <c r="J920" s="287" t="str">
        <f t="shared" si="129"/>
        <v/>
      </c>
      <c r="K920" s="287" t="str">
        <f t="shared" si="130"/>
        <v/>
      </c>
      <c r="L920" s="287" t="str">
        <f t="shared" si="131"/>
        <v/>
      </c>
      <c r="M920" s="290" t="str">
        <f t="shared" si="132"/>
        <v/>
      </c>
      <c r="N920" s="243" t="str">
        <f>IF($A920="","",IF(ABS(E920)&gt;0.000001,COUNT($N$1:N919)+1,""))</f>
        <v/>
      </c>
      <c r="O920" s="291" t="str">
        <f>IF($A920="","",SUMIFS(Transactions!$H$2:$H$1001,Transactions!$J$2:$J$1001,$A920,Transactions!$A$2:$A$1001,2)*$I920)</f>
        <v/>
      </c>
      <c r="P920" s="291" t="str">
        <f t="shared" si="133"/>
        <v/>
      </c>
      <c r="Q920" s="292" t="str">
        <f t="shared" si="134"/>
        <v/>
      </c>
    </row>
    <row r="921" spans="1:17" ht="15" customHeight="1" x14ac:dyDescent="0.2">
      <c r="A921" s="243" t="str">
        <f>IFERROR(INDEX(Txn[Key],MATCH(0,INDEX(COUNTIF($A$1:A920,Txn[Key])+(Txn[Key]=""),0),0)),"")</f>
        <v/>
      </c>
      <c r="B921" s="243" t="str">
        <f t="shared" si="126"/>
        <v/>
      </c>
      <c r="C921" s="243" t="str">
        <f t="shared" si="127"/>
        <v/>
      </c>
      <c r="D921" s="243" t="str">
        <f t="shared" si="128"/>
        <v/>
      </c>
      <c r="E921" s="265" t="str">
        <f>IF($A921="","",SUMIFS(Txn[Signed Units],Txn[Key],$A921))</f>
        <v/>
      </c>
      <c r="F921" s="287" t="str">
        <f>IF($A921="","",SUMIFS(Txn[Buy Cost],Txn[Key],$A921))</f>
        <v/>
      </c>
      <c r="G921" s="287" t="str">
        <f>IF($A921="","",SUMIFS(Txn[Sell Proceeds],Txn[Key],$A921))</f>
        <v/>
      </c>
      <c r="H921" s="288" t="str">
        <f>IF($A921="","",IFERROR(INDEX(Prices[Current Price],MATCH($A921,Prices[Key],0)),0))</f>
        <v/>
      </c>
      <c r="I921" s="289" t="str">
        <f>IF($A921="","",IFERROR(INDEX(Prices[FX to SGD],MATCH($A921,Prices[Key],0)),1))</f>
        <v/>
      </c>
      <c r="J921" s="287" t="str">
        <f t="shared" si="129"/>
        <v/>
      </c>
      <c r="K921" s="287" t="str">
        <f t="shared" si="130"/>
        <v/>
      </c>
      <c r="L921" s="287" t="str">
        <f t="shared" si="131"/>
        <v/>
      </c>
      <c r="M921" s="290" t="str">
        <f t="shared" si="132"/>
        <v/>
      </c>
      <c r="N921" s="243" t="str">
        <f>IF($A921="","",IF(ABS(E921)&gt;0.000001,COUNT($N$1:N920)+1,""))</f>
        <v/>
      </c>
      <c r="O921" s="291" t="str">
        <f>IF($A921="","",SUMIFS(Transactions!$H$2:$H$1001,Transactions!$J$2:$J$1001,$A921,Transactions!$A$2:$A$1001,2)*$I921)</f>
        <v/>
      </c>
      <c r="P921" s="291" t="str">
        <f t="shared" si="133"/>
        <v/>
      </c>
      <c r="Q921" s="292" t="str">
        <f t="shared" si="134"/>
        <v/>
      </c>
    </row>
    <row r="922" spans="1:17" ht="15" customHeight="1" x14ac:dyDescent="0.2">
      <c r="A922" s="243" t="str">
        <f>IFERROR(INDEX(Txn[Key],MATCH(0,INDEX(COUNTIF($A$1:A921,Txn[Key])+(Txn[Key]=""),0),0)),"")</f>
        <v/>
      </c>
      <c r="B922" s="243" t="str">
        <f t="shared" si="126"/>
        <v/>
      </c>
      <c r="C922" s="243" t="str">
        <f t="shared" si="127"/>
        <v/>
      </c>
      <c r="D922" s="243" t="str">
        <f t="shared" si="128"/>
        <v/>
      </c>
      <c r="E922" s="265" t="str">
        <f>IF($A922="","",SUMIFS(Txn[Signed Units],Txn[Key],$A922))</f>
        <v/>
      </c>
      <c r="F922" s="287" t="str">
        <f>IF($A922="","",SUMIFS(Txn[Buy Cost],Txn[Key],$A922))</f>
        <v/>
      </c>
      <c r="G922" s="287" t="str">
        <f>IF($A922="","",SUMIFS(Txn[Sell Proceeds],Txn[Key],$A922))</f>
        <v/>
      </c>
      <c r="H922" s="288" t="str">
        <f>IF($A922="","",IFERROR(INDEX(Prices[Current Price],MATCH($A922,Prices[Key],0)),0))</f>
        <v/>
      </c>
      <c r="I922" s="289" t="str">
        <f>IF($A922="","",IFERROR(INDEX(Prices[FX to SGD],MATCH($A922,Prices[Key],0)),1))</f>
        <v/>
      </c>
      <c r="J922" s="287" t="str">
        <f t="shared" si="129"/>
        <v/>
      </c>
      <c r="K922" s="287" t="str">
        <f t="shared" si="130"/>
        <v/>
      </c>
      <c r="L922" s="287" t="str">
        <f t="shared" si="131"/>
        <v/>
      </c>
      <c r="M922" s="290" t="str">
        <f t="shared" si="132"/>
        <v/>
      </c>
      <c r="N922" s="243" t="str">
        <f>IF($A922="","",IF(ABS(E922)&gt;0.000001,COUNT($N$1:N921)+1,""))</f>
        <v/>
      </c>
      <c r="O922" s="291" t="str">
        <f>IF($A922="","",SUMIFS(Transactions!$H$2:$H$1001,Transactions!$J$2:$J$1001,$A922,Transactions!$A$2:$A$1001,2)*$I922)</f>
        <v/>
      </c>
      <c r="P922" s="291" t="str">
        <f t="shared" si="133"/>
        <v/>
      </c>
      <c r="Q922" s="292" t="str">
        <f t="shared" si="134"/>
        <v/>
      </c>
    </row>
    <row r="923" spans="1:17" ht="15" customHeight="1" x14ac:dyDescent="0.2">
      <c r="A923" s="243" t="str">
        <f>IFERROR(INDEX(Txn[Key],MATCH(0,INDEX(COUNTIF($A$1:A922,Txn[Key])+(Txn[Key]=""),0),0)),"")</f>
        <v/>
      </c>
      <c r="B923" s="243" t="str">
        <f t="shared" si="126"/>
        <v/>
      </c>
      <c r="C923" s="243" t="str">
        <f t="shared" si="127"/>
        <v/>
      </c>
      <c r="D923" s="243" t="str">
        <f t="shared" si="128"/>
        <v/>
      </c>
      <c r="E923" s="265" t="str">
        <f>IF($A923="","",SUMIFS(Txn[Signed Units],Txn[Key],$A923))</f>
        <v/>
      </c>
      <c r="F923" s="287" t="str">
        <f>IF($A923="","",SUMIFS(Txn[Buy Cost],Txn[Key],$A923))</f>
        <v/>
      </c>
      <c r="G923" s="287" t="str">
        <f>IF($A923="","",SUMIFS(Txn[Sell Proceeds],Txn[Key],$A923))</f>
        <v/>
      </c>
      <c r="H923" s="288" t="str">
        <f>IF($A923="","",IFERROR(INDEX(Prices[Current Price],MATCH($A923,Prices[Key],0)),0))</f>
        <v/>
      </c>
      <c r="I923" s="289" t="str">
        <f>IF($A923="","",IFERROR(INDEX(Prices[FX to SGD],MATCH($A923,Prices[Key],0)),1))</f>
        <v/>
      </c>
      <c r="J923" s="287" t="str">
        <f t="shared" si="129"/>
        <v/>
      </c>
      <c r="K923" s="287" t="str">
        <f t="shared" si="130"/>
        <v/>
      </c>
      <c r="L923" s="287" t="str">
        <f t="shared" si="131"/>
        <v/>
      </c>
      <c r="M923" s="290" t="str">
        <f t="shared" si="132"/>
        <v/>
      </c>
      <c r="N923" s="243" t="str">
        <f>IF($A923="","",IF(ABS(E923)&gt;0.000001,COUNT($N$1:N922)+1,""))</f>
        <v/>
      </c>
      <c r="O923" s="291" t="str">
        <f>IF($A923="","",SUMIFS(Transactions!$H$2:$H$1001,Transactions!$J$2:$J$1001,$A923,Transactions!$A$2:$A$1001,2)*$I923)</f>
        <v/>
      </c>
      <c r="P923" s="291" t="str">
        <f t="shared" si="133"/>
        <v/>
      </c>
      <c r="Q923" s="292" t="str">
        <f t="shared" si="134"/>
        <v/>
      </c>
    </row>
    <row r="924" spans="1:17" ht="15" customHeight="1" x14ac:dyDescent="0.2">
      <c r="A924" s="243" t="str">
        <f>IFERROR(INDEX(Txn[Key],MATCH(0,INDEX(COUNTIF($A$1:A923,Txn[Key])+(Txn[Key]=""),0),0)),"")</f>
        <v/>
      </c>
      <c r="B924" s="243" t="str">
        <f t="shared" si="126"/>
        <v/>
      </c>
      <c r="C924" s="243" t="str">
        <f t="shared" si="127"/>
        <v/>
      </c>
      <c r="D924" s="243" t="str">
        <f t="shared" si="128"/>
        <v/>
      </c>
      <c r="E924" s="265" t="str">
        <f>IF($A924="","",SUMIFS(Txn[Signed Units],Txn[Key],$A924))</f>
        <v/>
      </c>
      <c r="F924" s="287" t="str">
        <f>IF($A924="","",SUMIFS(Txn[Buy Cost],Txn[Key],$A924))</f>
        <v/>
      </c>
      <c r="G924" s="287" t="str">
        <f>IF($A924="","",SUMIFS(Txn[Sell Proceeds],Txn[Key],$A924))</f>
        <v/>
      </c>
      <c r="H924" s="288" t="str">
        <f>IF($A924="","",IFERROR(INDEX(Prices[Current Price],MATCH($A924,Prices[Key],0)),0))</f>
        <v/>
      </c>
      <c r="I924" s="289" t="str">
        <f>IF($A924="","",IFERROR(INDEX(Prices[FX to SGD],MATCH($A924,Prices[Key],0)),1))</f>
        <v/>
      </c>
      <c r="J924" s="287" t="str">
        <f t="shared" si="129"/>
        <v/>
      </c>
      <c r="K924" s="287" t="str">
        <f t="shared" si="130"/>
        <v/>
      </c>
      <c r="L924" s="287" t="str">
        <f t="shared" si="131"/>
        <v/>
      </c>
      <c r="M924" s="290" t="str">
        <f t="shared" si="132"/>
        <v/>
      </c>
      <c r="N924" s="243" t="str">
        <f>IF($A924="","",IF(ABS(E924)&gt;0.000001,COUNT($N$1:N923)+1,""))</f>
        <v/>
      </c>
      <c r="O924" s="291" t="str">
        <f>IF($A924="","",SUMIFS(Transactions!$H$2:$H$1001,Transactions!$J$2:$J$1001,$A924,Transactions!$A$2:$A$1001,2)*$I924)</f>
        <v/>
      </c>
      <c r="P924" s="291" t="str">
        <f t="shared" si="133"/>
        <v/>
      </c>
      <c r="Q924" s="292" t="str">
        <f t="shared" si="134"/>
        <v/>
      </c>
    </row>
    <row r="925" spans="1:17" ht="15" customHeight="1" x14ac:dyDescent="0.2">
      <c r="A925" s="243" t="str">
        <f>IFERROR(INDEX(Txn[Key],MATCH(0,INDEX(COUNTIF($A$1:A924,Txn[Key])+(Txn[Key]=""),0),0)),"")</f>
        <v/>
      </c>
      <c r="B925" s="243" t="str">
        <f t="shared" si="126"/>
        <v/>
      </c>
      <c r="C925" s="243" t="str">
        <f t="shared" si="127"/>
        <v/>
      </c>
      <c r="D925" s="243" t="str">
        <f t="shared" si="128"/>
        <v/>
      </c>
      <c r="E925" s="265" t="str">
        <f>IF($A925="","",SUMIFS(Txn[Signed Units],Txn[Key],$A925))</f>
        <v/>
      </c>
      <c r="F925" s="287" t="str">
        <f>IF($A925="","",SUMIFS(Txn[Buy Cost],Txn[Key],$A925))</f>
        <v/>
      </c>
      <c r="G925" s="287" t="str">
        <f>IF($A925="","",SUMIFS(Txn[Sell Proceeds],Txn[Key],$A925))</f>
        <v/>
      </c>
      <c r="H925" s="288" t="str">
        <f>IF($A925="","",IFERROR(INDEX(Prices[Current Price],MATCH($A925,Prices[Key],0)),0))</f>
        <v/>
      </c>
      <c r="I925" s="289" t="str">
        <f>IF($A925="","",IFERROR(INDEX(Prices[FX to SGD],MATCH($A925,Prices[Key],0)),1))</f>
        <v/>
      </c>
      <c r="J925" s="287" t="str">
        <f t="shared" si="129"/>
        <v/>
      </c>
      <c r="K925" s="287" t="str">
        <f t="shared" si="130"/>
        <v/>
      </c>
      <c r="L925" s="287" t="str">
        <f t="shared" si="131"/>
        <v/>
      </c>
      <c r="M925" s="290" t="str">
        <f t="shared" si="132"/>
        <v/>
      </c>
      <c r="N925" s="243" t="str">
        <f>IF($A925="","",IF(ABS(E925)&gt;0.000001,COUNT($N$1:N924)+1,""))</f>
        <v/>
      </c>
      <c r="O925" s="291" t="str">
        <f>IF($A925="","",SUMIFS(Transactions!$H$2:$H$1001,Transactions!$J$2:$J$1001,$A925,Transactions!$A$2:$A$1001,2)*$I925)</f>
        <v/>
      </c>
      <c r="P925" s="291" t="str">
        <f t="shared" si="133"/>
        <v/>
      </c>
      <c r="Q925" s="292" t="str">
        <f t="shared" si="134"/>
        <v/>
      </c>
    </row>
    <row r="926" spans="1:17" ht="15" customHeight="1" x14ac:dyDescent="0.2">
      <c r="A926" s="243" t="str">
        <f>IFERROR(INDEX(Txn[Key],MATCH(0,INDEX(COUNTIF($A$1:A925,Txn[Key])+(Txn[Key]=""),0),0)),"")</f>
        <v/>
      </c>
      <c r="B926" s="243" t="str">
        <f t="shared" si="126"/>
        <v/>
      </c>
      <c r="C926" s="243" t="str">
        <f t="shared" si="127"/>
        <v/>
      </c>
      <c r="D926" s="243" t="str">
        <f t="shared" si="128"/>
        <v/>
      </c>
      <c r="E926" s="265" t="str">
        <f>IF($A926="","",SUMIFS(Txn[Signed Units],Txn[Key],$A926))</f>
        <v/>
      </c>
      <c r="F926" s="287" t="str">
        <f>IF($A926="","",SUMIFS(Txn[Buy Cost],Txn[Key],$A926))</f>
        <v/>
      </c>
      <c r="G926" s="287" t="str">
        <f>IF($A926="","",SUMIFS(Txn[Sell Proceeds],Txn[Key],$A926))</f>
        <v/>
      </c>
      <c r="H926" s="288" t="str">
        <f>IF($A926="","",IFERROR(INDEX(Prices[Current Price],MATCH($A926,Prices[Key],0)),0))</f>
        <v/>
      </c>
      <c r="I926" s="289" t="str">
        <f>IF($A926="","",IFERROR(INDEX(Prices[FX to SGD],MATCH($A926,Prices[Key],0)),1))</f>
        <v/>
      </c>
      <c r="J926" s="287" t="str">
        <f t="shared" si="129"/>
        <v/>
      </c>
      <c r="K926" s="287" t="str">
        <f t="shared" si="130"/>
        <v/>
      </c>
      <c r="L926" s="287" t="str">
        <f t="shared" si="131"/>
        <v/>
      </c>
      <c r="M926" s="290" t="str">
        <f t="shared" si="132"/>
        <v/>
      </c>
      <c r="N926" s="243" t="str">
        <f>IF($A926="","",IF(ABS(E926)&gt;0.000001,COUNT($N$1:N925)+1,""))</f>
        <v/>
      </c>
      <c r="O926" s="291" t="str">
        <f>IF($A926="","",SUMIFS(Transactions!$H$2:$H$1001,Transactions!$J$2:$J$1001,$A926,Transactions!$A$2:$A$1001,2)*$I926)</f>
        <v/>
      </c>
      <c r="P926" s="291" t="str">
        <f t="shared" si="133"/>
        <v/>
      </c>
      <c r="Q926" s="292" t="str">
        <f t="shared" si="134"/>
        <v/>
      </c>
    </row>
    <row r="927" spans="1:17" ht="15" customHeight="1" x14ac:dyDescent="0.2">
      <c r="A927" s="243" t="str">
        <f>IFERROR(INDEX(Txn[Key],MATCH(0,INDEX(COUNTIF($A$1:A926,Txn[Key])+(Txn[Key]=""),0),0)),"")</f>
        <v/>
      </c>
      <c r="B927" s="243" t="str">
        <f t="shared" si="126"/>
        <v/>
      </c>
      <c r="C927" s="243" t="str">
        <f t="shared" si="127"/>
        <v/>
      </c>
      <c r="D927" s="243" t="str">
        <f t="shared" si="128"/>
        <v/>
      </c>
      <c r="E927" s="265" t="str">
        <f>IF($A927="","",SUMIFS(Txn[Signed Units],Txn[Key],$A927))</f>
        <v/>
      </c>
      <c r="F927" s="287" t="str">
        <f>IF($A927="","",SUMIFS(Txn[Buy Cost],Txn[Key],$A927))</f>
        <v/>
      </c>
      <c r="G927" s="287" t="str">
        <f>IF($A927="","",SUMIFS(Txn[Sell Proceeds],Txn[Key],$A927))</f>
        <v/>
      </c>
      <c r="H927" s="288" t="str">
        <f>IF($A927="","",IFERROR(INDEX(Prices[Current Price],MATCH($A927,Prices[Key],0)),0))</f>
        <v/>
      </c>
      <c r="I927" s="289" t="str">
        <f>IF($A927="","",IFERROR(INDEX(Prices[FX to SGD],MATCH($A927,Prices[Key],0)),1))</f>
        <v/>
      </c>
      <c r="J927" s="287" t="str">
        <f t="shared" si="129"/>
        <v/>
      </c>
      <c r="K927" s="287" t="str">
        <f t="shared" si="130"/>
        <v/>
      </c>
      <c r="L927" s="287" t="str">
        <f t="shared" si="131"/>
        <v/>
      </c>
      <c r="M927" s="290" t="str">
        <f t="shared" si="132"/>
        <v/>
      </c>
      <c r="N927" s="243" t="str">
        <f>IF($A927="","",IF(ABS(E927)&gt;0.000001,COUNT($N$1:N926)+1,""))</f>
        <v/>
      </c>
      <c r="O927" s="291" t="str">
        <f>IF($A927="","",SUMIFS(Transactions!$H$2:$H$1001,Transactions!$J$2:$J$1001,$A927,Transactions!$A$2:$A$1001,2)*$I927)</f>
        <v/>
      </c>
      <c r="P927" s="291" t="str">
        <f t="shared" si="133"/>
        <v/>
      </c>
      <c r="Q927" s="292" t="str">
        <f t="shared" si="134"/>
        <v/>
      </c>
    </row>
    <row r="928" spans="1:17" ht="15" customHeight="1" x14ac:dyDescent="0.2">
      <c r="A928" s="243" t="str">
        <f>IFERROR(INDEX(Txn[Key],MATCH(0,INDEX(COUNTIF($A$1:A927,Txn[Key])+(Txn[Key]=""),0),0)),"")</f>
        <v/>
      </c>
      <c r="B928" s="243" t="str">
        <f t="shared" si="126"/>
        <v/>
      </c>
      <c r="C928" s="243" t="str">
        <f t="shared" si="127"/>
        <v/>
      </c>
      <c r="D928" s="243" t="str">
        <f t="shared" si="128"/>
        <v/>
      </c>
      <c r="E928" s="265" t="str">
        <f>IF($A928="","",SUMIFS(Txn[Signed Units],Txn[Key],$A928))</f>
        <v/>
      </c>
      <c r="F928" s="287" t="str">
        <f>IF($A928="","",SUMIFS(Txn[Buy Cost],Txn[Key],$A928))</f>
        <v/>
      </c>
      <c r="G928" s="287" t="str">
        <f>IF($A928="","",SUMIFS(Txn[Sell Proceeds],Txn[Key],$A928))</f>
        <v/>
      </c>
      <c r="H928" s="288" t="str">
        <f>IF($A928="","",IFERROR(INDEX(Prices[Current Price],MATCH($A928,Prices[Key],0)),0))</f>
        <v/>
      </c>
      <c r="I928" s="289" t="str">
        <f>IF($A928="","",IFERROR(INDEX(Prices[FX to SGD],MATCH($A928,Prices[Key],0)),1))</f>
        <v/>
      </c>
      <c r="J928" s="287" t="str">
        <f t="shared" si="129"/>
        <v/>
      </c>
      <c r="K928" s="287" t="str">
        <f t="shared" si="130"/>
        <v/>
      </c>
      <c r="L928" s="287" t="str">
        <f t="shared" si="131"/>
        <v/>
      </c>
      <c r="M928" s="290" t="str">
        <f t="shared" si="132"/>
        <v/>
      </c>
      <c r="N928" s="243" t="str">
        <f>IF($A928="","",IF(ABS(E928)&gt;0.000001,COUNT($N$1:N927)+1,""))</f>
        <v/>
      </c>
      <c r="O928" s="291" t="str">
        <f>IF($A928="","",SUMIFS(Transactions!$H$2:$H$1001,Transactions!$J$2:$J$1001,$A928,Transactions!$A$2:$A$1001,2)*$I928)</f>
        <v/>
      </c>
      <c r="P928" s="291" t="str">
        <f t="shared" si="133"/>
        <v/>
      </c>
      <c r="Q928" s="292" t="str">
        <f t="shared" si="134"/>
        <v/>
      </c>
    </row>
    <row r="929" spans="1:17" ht="15" customHeight="1" x14ac:dyDescent="0.2">
      <c r="A929" s="243" t="str">
        <f>IFERROR(INDEX(Txn[Key],MATCH(0,INDEX(COUNTIF($A$1:A928,Txn[Key])+(Txn[Key]=""),0),0)),"")</f>
        <v/>
      </c>
      <c r="B929" s="243" t="str">
        <f t="shared" si="126"/>
        <v/>
      </c>
      <c r="C929" s="243" t="str">
        <f t="shared" si="127"/>
        <v/>
      </c>
      <c r="D929" s="243" t="str">
        <f t="shared" si="128"/>
        <v/>
      </c>
      <c r="E929" s="265" t="str">
        <f>IF($A929="","",SUMIFS(Txn[Signed Units],Txn[Key],$A929))</f>
        <v/>
      </c>
      <c r="F929" s="287" t="str">
        <f>IF($A929="","",SUMIFS(Txn[Buy Cost],Txn[Key],$A929))</f>
        <v/>
      </c>
      <c r="G929" s="287" t="str">
        <f>IF($A929="","",SUMIFS(Txn[Sell Proceeds],Txn[Key],$A929))</f>
        <v/>
      </c>
      <c r="H929" s="288" t="str">
        <f>IF($A929="","",IFERROR(INDEX(Prices[Current Price],MATCH($A929,Prices[Key],0)),0))</f>
        <v/>
      </c>
      <c r="I929" s="289" t="str">
        <f>IF($A929="","",IFERROR(INDEX(Prices[FX to SGD],MATCH($A929,Prices[Key],0)),1))</f>
        <v/>
      </c>
      <c r="J929" s="287" t="str">
        <f t="shared" si="129"/>
        <v/>
      </c>
      <c r="K929" s="287" t="str">
        <f t="shared" si="130"/>
        <v/>
      </c>
      <c r="L929" s="287" t="str">
        <f t="shared" si="131"/>
        <v/>
      </c>
      <c r="M929" s="290" t="str">
        <f t="shared" si="132"/>
        <v/>
      </c>
      <c r="N929" s="243" t="str">
        <f>IF($A929="","",IF(ABS(E929)&gt;0.000001,COUNT($N$1:N928)+1,""))</f>
        <v/>
      </c>
      <c r="O929" s="291" t="str">
        <f>IF($A929="","",SUMIFS(Transactions!$H$2:$H$1001,Transactions!$J$2:$J$1001,$A929,Transactions!$A$2:$A$1001,2)*$I929)</f>
        <v/>
      </c>
      <c r="P929" s="291" t="str">
        <f t="shared" si="133"/>
        <v/>
      </c>
      <c r="Q929" s="292" t="str">
        <f t="shared" si="134"/>
        <v/>
      </c>
    </row>
    <row r="930" spans="1:17" ht="15" customHeight="1" x14ac:dyDescent="0.2">
      <c r="A930" s="243" t="str">
        <f>IFERROR(INDEX(Txn[Key],MATCH(0,INDEX(COUNTIF($A$1:A929,Txn[Key])+(Txn[Key]=""),0),0)),"")</f>
        <v/>
      </c>
      <c r="B930" s="243" t="str">
        <f t="shared" si="126"/>
        <v/>
      </c>
      <c r="C930" s="243" t="str">
        <f t="shared" si="127"/>
        <v/>
      </c>
      <c r="D930" s="243" t="str">
        <f t="shared" si="128"/>
        <v/>
      </c>
      <c r="E930" s="265" t="str">
        <f>IF($A930="","",SUMIFS(Txn[Signed Units],Txn[Key],$A930))</f>
        <v/>
      </c>
      <c r="F930" s="287" t="str">
        <f>IF($A930="","",SUMIFS(Txn[Buy Cost],Txn[Key],$A930))</f>
        <v/>
      </c>
      <c r="G930" s="287" t="str">
        <f>IF($A930="","",SUMIFS(Txn[Sell Proceeds],Txn[Key],$A930))</f>
        <v/>
      </c>
      <c r="H930" s="288" t="str">
        <f>IF($A930="","",IFERROR(INDEX(Prices[Current Price],MATCH($A930,Prices[Key],0)),0))</f>
        <v/>
      </c>
      <c r="I930" s="289" t="str">
        <f>IF($A930="","",IFERROR(INDEX(Prices[FX to SGD],MATCH($A930,Prices[Key],0)),1))</f>
        <v/>
      </c>
      <c r="J930" s="287" t="str">
        <f t="shared" si="129"/>
        <v/>
      </c>
      <c r="K930" s="287" t="str">
        <f t="shared" si="130"/>
        <v/>
      </c>
      <c r="L930" s="287" t="str">
        <f t="shared" si="131"/>
        <v/>
      </c>
      <c r="M930" s="290" t="str">
        <f t="shared" si="132"/>
        <v/>
      </c>
      <c r="N930" s="243" t="str">
        <f>IF($A930="","",IF(ABS(E930)&gt;0.000001,COUNT($N$1:N929)+1,""))</f>
        <v/>
      </c>
      <c r="O930" s="291" t="str">
        <f>IF($A930="","",SUMIFS(Transactions!$H$2:$H$1001,Transactions!$J$2:$J$1001,$A930,Transactions!$A$2:$A$1001,2)*$I930)</f>
        <v/>
      </c>
      <c r="P930" s="291" t="str">
        <f t="shared" si="133"/>
        <v/>
      </c>
      <c r="Q930" s="292" t="str">
        <f t="shared" si="134"/>
        <v/>
      </c>
    </row>
    <row r="931" spans="1:17" ht="15" customHeight="1" x14ac:dyDescent="0.2">
      <c r="A931" s="243" t="str">
        <f>IFERROR(INDEX(Txn[Key],MATCH(0,INDEX(COUNTIF($A$1:A930,Txn[Key])+(Txn[Key]=""),0),0)),"")</f>
        <v/>
      </c>
      <c r="B931" s="243" t="str">
        <f t="shared" si="126"/>
        <v/>
      </c>
      <c r="C931" s="243" t="str">
        <f t="shared" si="127"/>
        <v/>
      </c>
      <c r="D931" s="243" t="str">
        <f t="shared" si="128"/>
        <v/>
      </c>
      <c r="E931" s="265" t="str">
        <f>IF($A931="","",SUMIFS(Txn[Signed Units],Txn[Key],$A931))</f>
        <v/>
      </c>
      <c r="F931" s="287" t="str">
        <f>IF($A931="","",SUMIFS(Txn[Buy Cost],Txn[Key],$A931))</f>
        <v/>
      </c>
      <c r="G931" s="287" t="str">
        <f>IF($A931="","",SUMIFS(Txn[Sell Proceeds],Txn[Key],$A931))</f>
        <v/>
      </c>
      <c r="H931" s="288" t="str">
        <f>IF($A931="","",IFERROR(INDEX(Prices[Current Price],MATCH($A931,Prices[Key],0)),0))</f>
        <v/>
      </c>
      <c r="I931" s="289" t="str">
        <f>IF($A931="","",IFERROR(INDEX(Prices[FX to SGD],MATCH($A931,Prices[Key],0)),1))</f>
        <v/>
      </c>
      <c r="J931" s="287" t="str">
        <f t="shared" si="129"/>
        <v/>
      </c>
      <c r="K931" s="287" t="str">
        <f t="shared" si="130"/>
        <v/>
      </c>
      <c r="L931" s="287" t="str">
        <f t="shared" si="131"/>
        <v/>
      </c>
      <c r="M931" s="290" t="str">
        <f t="shared" si="132"/>
        <v/>
      </c>
      <c r="N931" s="243" t="str">
        <f>IF($A931="","",IF(ABS(E931)&gt;0.000001,COUNT($N$1:N930)+1,""))</f>
        <v/>
      </c>
      <c r="O931" s="291" t="str">
        <f>IF($A931="","",SUMIFS(Transactions!$H$2:$H$1001,Transactions!$J$2:$J$1001,$A931,Transactions!$A$2:$A$1001,2)*$I931)</f>
        <v/>
      </c>
      <c r="P931" s="291" t="str">
        <f t="shared" si="133"/>
        <v/>
      </c>
      <c r="Q931" s="292" t="str">
        <f t="shared" si="134"/>
        <v/>
      </c>
    </row>
    <row r="932" spans="1:17" ht="15" customHeight="1" x14ac:dyDescent="0.2">
      <c r="A932" s="243" t="str">
        <f>IFERROR(INDEX(Txn[Key],MATCH(0,INDEX(COUNTIF($A$1:A931,Txn[Key])+(Txn[Key]=""),0),0)),"")</f>
        <v/>
      </c>
      <c r="B932" s="243" t="str">
        <f t="shared" si="126"/>
        <v/>
      </c>
      <c r="C932" s="243" t="str">
        <f t="shared" si="127"/>
        <v/>
      </c>
      <c r="D932" s="243" t="str">
        <f t="shared" si="128"/>
        <v/>
      </c>
      <c r="E932" s="265" t="str">
        <f>IF($A932="","",SUMIFS(Txn[Signed Units],Txn[Key],$A932))</f>
        <v/>
      </c>
      <c r="F932" s="287" t="str">
        <f>IF($A932="","",SUMIFS(Txn[Buy Cost],Txn[Key],$A932))</f>
        <v/>
      </c>
      <c r="G932" s="287" t="str">
        <f>IF($A932="","",SUMIFS(Txn[Sell Proceeds],Txn[Key],$A932))</f>
        <v/>
      </c>
      <c r="H932" s="288" t="str">
        <f>IF($A932="","",IFERROR(INDEX(Prices[Current Price],MATCH($A932,Prices[Key],0)),0))</f>
        <v/>
      </c>
      <c r="I932" s="289" t="str">
        <f>IF($A932="","",IFERROR(INDEX(Prices[FX to SGD],MATCH($A932,Prices[Key],0)),1))</f>
        <v/>
      </c>
      <c r="J932" s="287" t="str">
        <f t="shared" si="129"/>
        <v/>
      </c>
      <c r="K932" s="287" t="str">
        <f t="shared" si="130"/>
        <v/>
      </c>
      <c r="L932" s="287" t="str">
        <f t="shared" si="131"/>
        <v/>
      </c>
      <c r="M932" s="290" t="str">
        <f t="shared" si="132"/>
        <v/>
      </c>
      <c r="N932" s="243" t="str">
        <f>IF($A932="","",IF(ABS(E932)&gt;0.000001,COUNT($N$1:N931)+1,""))</f>
        <v/>
      </c>
      <c r="O932" s="291" t="str">
        <f>IF($A932="","",SUMIFS(Transactions!$H$2:$H$1001,Transactions!$J$2:$J$1001,$A932,Transactions!$A$2:$A$1001,2)*$I932)</f>
        <v/>
      </c>
      <c r="P932" s="291" t="str">
        <f t="shared" si="133"/>
        <v/>
      </c>
      <c r="Q932" s="292" t="str">
        <f t="shared" si="134"/>
        <v/>
      </c>
    </row>
    <row r="933" spans="1:17" ht="15" customHeight="1" x14ac:dyDescent="0.2">
      <c r="A933" s="243" t="str">
        <f>IFERROR(INDEX(Txn[Key],MATCH(0,INDEX(COUNTIF($A$1:A932,Txn[Key])+(Txn[Key]=""),0),0)),"")</f>
        <v/>
      </c>
      <c r="B933" s="243" t="str">
        <f t="shared" si="126"/>
        <v/>
      </c>
      <c r="C933" s="243" t="str">
        <f t="shared" si="127"/>
        <v/>
      </c>
      <c r="D933" s="243" t="str">
        <f t="shared" si="128"/>
        <v/>
      </c>
      <c r="E933" s="265" t="str">
        <f>IF($A933="","",SUMIFS(Txn[Signed Units],Txn[Key],$A933))</f>
        <v/>
      </c>
      <c r="F933" s="287" t="str">
        <f>IF($A933="","",SUMIFS(Txn[Buy Cost],Txn[Key],$A933))</f>
        <v/>
      </c>
      <c r="G933" s="287" t="str">
        <f>IF($A933="","",SUMIFS(Txn[Sell Proceeds],Txn[Key],$A933))</f>
        <v/>
      </c>
      <c r="H933" s="288" t="str">
        <f>IF($A933="","",IFERROR(INDEX(Prices[Current Price],MATCH($A933,Prices[Key],0)),0))</f>
        <v/>
      </c>
      <c r="I933" s="289" t="str">
        <f>IF($A933="","",IFERROR(INDEX(Prices[FX to SGD],MATCH($A933,Prices[Key],0)),1))</f>
        <v/>
      </c>
      <c r="J933" s="287" t="str">
        <f t="shared" si="129"/>
        <v/>
      </c>
      <c r="K933" s="287" t="str">
        <f t="shared" si="130"/>
        <v/>
      </c>
      <c r="L933" s="287" t="str">
        <f t="shared" si="131"/>
        <v/>
      </c>
      <c r="M933" s="290" t="str">
        <f t="shared" si="132"/>
        <v/>
      </c>
      <c r="N933" s="243" t="str">
        <f>IF($A933="","",IF(ABS(E933)&gt;0.000001,COUNT($N$1:N932)+1,""))</f>
        <v/>
      </c>
      <c r="O933" s="291" t="str">
        <f>IF($A933="","",SUMIFS(Transactions!$H$2:$H$1001,Transactions!$J$2:$J$1001,$A933,Transactions!$A$2:$A$1001,2)*$I933)</f>
        <v/>
      </c>
      <c r="P933" s="291" t="str">
        <f t="shared" si="133"/>
        <v/>
      </c>
      <c r="Q933" s="292" t="str">
        <f t="shared" si="134"/>
        <v/>
      </c>
    </row>
    <row r="934" spans="1:17" ht="15" customHeight="1" x14ac:dyDescent="0.2">
      <c r="A934" s="243" t="str">
        <f>IFERROR(INDEX(Txn[Key],MATCH(0,INDEX(COUNTIF($A$1:A933,Txn[Key])+(Txn[Key]=""),0),0)),"")</f>
        <v/>
      </c>
      <c r="B934" s="243" t="str">
        <f t="shared" si="126"/>
        <v/>
      </c>
      <c r="C934" s="243" t="str">
        <f t="shared" si="127"/>
        <v/>
      </c>
      <c r="D934" s="243" t="str">
        <f t="shared" si="128"/>
        <v/>
      </c>
      <c r="E934" s="265" t="str">
        <f>IF($A934="","",SUMIFS(Txn[Signed Units],Txn[Key],$A934))</f>
        <v/>
      </c>
      <c r="F934" s="287" t="str">
        <f>IF($A934="","",SUMIFS(Txn[Buy Cost],Txn[Key],$A934))</f>
        <v/>
      </c>
      <c r="G934" s="287" t="str">
        <f>IF($A934="","",SUMIFS(Txn[Sell Proceeds],Txn[Key],$A934))</f>
        <v/>
      </c>
      <c r="H934" s="288" t="str">
        <f>IF($A934="","",IFERROR(INDEX(Prices[Current Price],MATCH($A934,Prices[Key],0)),0))</f>
        <v/>
      </c>
      <c r="I934" s="289" t="str">
        <f>IF($A934="","",IFERROR(INDEX(Prices[FX to SGD],MATCH($A934,Prices[Key],0)),1))</f>
        <v/>
      </c>
      <c r="J934" s="287" t="str">
        <f t="shared" si="129"/>
        <v/>
      </c>
      <c r="K934" s="287" t="str">
        <f t="shared" si="130"/>
        <v/>
      </c>
      <c r="L934" s="287" t="str">
        <f t="shared" si="131"/>
        <v/>
      </c>
      <c r="M934" s="290" t="str">
        <f t="shared" si="132"/>
        <v/>
      </c>
      <c r="N934" s="243" t="str">
        <f>IF($A934="","",IF(ABS(E934)&gt;0.000001,COUNT($N$1:N933)+1,""))</f>
        <v/>
      </c>
      <c r="O934" s="291" t="str">
        <f>IF($A934="","",SUMIFS(Transactions!$H$2:$H$1001,Transactions!$J$2:$J$1001,$A934,Transactions!$A$2:$A$1001,2)*$I934)</f>
        <v/>
      </c>
      <c r="P934" s="291" t="str">
        <f t="shared" si="133"/>
        <v/>
      </c>
      <c r="Q934" s="292" t="str">
        <f t="shared" si="134"/>
        <v/>
      </c>
    </row>
    <row r="935" spans="1:17" ht="15" customHeight="1" x14ac:dyDescent="0.2">
      <c r="A935" s="243" t="str">
        <f>IFERROR(INDEX(Txn[Key],MATCH(0,INDEX(COUNTIF($A$1:A934,Txn[Key])+(Txn[Key]=""),0),0)),"")</f>
        <v/>
      </c>
      <c r="B935" s="243" t="str">
        <f t="shared" si="126"/>
        <v/>
      </c>
      <c r="C935" s="243" t="str">
        <f t="shared" si="127"/>
        <v/>
      </c>
      <c r="D935" s="243" t="str">
        <f t="shared" si="128"/>
        <v/>
      </c>
      <c r="E935" s="265" t="str">
        <f>IF($A935="","",SUMIFS(Txn[Signed Units],Txn[Key],$A935))</f>
        <v/>
      </c>
      <c r="F935" s="287" t="str">
        <f>IF($A935="","",SUMIFS(Txn[Buy Cost],Txn[Key],$A935))</f>
        <v/>
      </c>
      <c r="G935" s="287" t="str">
        <f>IF($A935="","",SUMIFS(Txn[Sell Proceeds],Txn[Key],$A935))</f>
        <v/>
      </c>
      <c r="H935" s="288" t="str">
        <f>IF($A935="","",IFERROR(INDEX(Prices[Current Price],MATCH($A935,Prices[Key],0)),0))</f>
        <v/>
      </c>
      <c r="I935" s="289" t="str">
        <f>IF($A935="","",IFERROR(INDEX(Prices[FX to SGD],MATCH($A935,Prices[Key],0)),1))</f>
        <v/>
      </c>
      <c r="J935" s="287" t="str">
        <f t="shared" si="129"/>
        <v/>
      </c>
      <c r="K935" s="287" t="str">
        <f t="shared" si="130"/>
        <v/>
      </c>
      <c r="L935" s="287" t="str">
        <f t="shared" si="131"/>
        <v/>
      </c>
      <c r="M935" s="290" t="str">
        <f t="shared" si="132"/>
        <v/>
      </c>
      <c r="N935" s="243" t="str">
        <f>IF($A935="","",IF(ABS(E935)&gt;0.000001,COUNT($N$1:N934)+1,""))</f>
        <v/>
      </c>
      <c r="O935" s="291" t="str">
        <f>IF($A935="","",SUMIFS(Transactions!$H$2:$H$1001,Transactions!$J$2:$J$1001,$A935,Transactions!$A$2:$A$1001,2)*$I935)</f>
        <v/>
      </c>
      <c r="P935" s="291" t="str">
        <f t="shared" si="133"/>
        <v/>
      </c>
      <c r="Q935" s="292" t="str">
        <f t="shared" si="134"/>
        <v/>
      </c>
    </row>
    <row r="936" spans="1:17" ht="15" customHeight="1" x14ac:dyDescent="0.2">
      <c r="A936" s="243" t="str">
        <f>IFERROR(INDEX(Txn[Key],MATCH(0,INDEX(COUNTIF($A$1:A935,Txn[Key])+(Txn[Key]=""),0),0)),"")</f>
        <v/>
      </c>
      <c r="B936" s="243" t="str">
        <f t="shared" si="126"/>
        <v/>
      </c>
      <c r="C936" s="243" t="str">
        <f t="shared" si="127"/>
        <v/>
      </c>
      <c r="D936" s="243" t="str">
        <f t="shared" si="128"/>
        <v/>
      </c>
      <c r="E936" s="265" t="str">
        <f>IF($A936="","",SUMIFS(Txn[Signed Units],Txn[Key],$A936))</f>
        <v/>
      </c>
      <c r="F936" s="287" t="str">
        <f>IF($A936="","",SUMIFS(Txn[Buy Cost],Txn[Key],$A936))</f>
        <v/>
      </c>
      <c r="G936" s="287" t="str">
        <f>IF($A936="","",SUMIFS(Txn[Sell Proceeds],Txn[Key],$A936))</f>
        <v/>
      </c>
      <c r="H936" s="288" t="str">
        <f>IF($A936="","",IFERROR(INDEX(Prices[Current Price],MATCH($A936,Prices[Key],0)),0))</f>
        <v/>
      </c>
      <c r="I936" s="289" t="str">
        <f>IF($A936="","",IFERROR(INDEX(Prices[FX to SGD],MATCH($A936,Prices[Key],0)),1))</f>
        <v/>
      </c>
      <c r="J936" s="287" t="str">
        <f t="shared" si="129"/>
        <v/>
      </c>
      <c r="K936" s="287" t="str">
        <f t="shared" si="130"/>
        <v/>
      </c>
      <c r="L936" s="287" t="str">
        <f t="shared" si="131"/>
        <v/>
      </c>
      <c r="M936" s="290" t="str">
        <f t="shared" si="132"/>
        <v/>
      </c>
      <c r="N936" s="243" t="str">
        <f>IF($A936="","",IF(ABS(E936)&gt;0.000001,COUNT($N$1:N935)+1,""))</f>
        <v/>
      </c>
      <c r="O936" s="291" t="str">
        <f>IF($A936="","",SUMIFS(Transactions!$H$2:$H$1001,Transactions!$J$2:$J$1001,$A936,Transactions!$A$2:$A$1001,2)*$I936)</f>
        <v/>
      </c>
      <c r="P936" s="291" t="str">
        <f t="shared" si="133"/>
        <v/>
      </c>
      <c r="Q936" s="292" t="str">
        <f t="shared" si="134"/>
        <v/>
      </c>
    </row>
    <row r="937" spans="1:17" ht="15" customHeight="1" x14ac:dyDescent="0.2">
      <c r="A937" s="243" t="str">
        <f>IFERROR(INDEX(Txn[Key],MATCH(0,INDEX(COUNTIF($A$1:A936,Txn[Key])+(Txn[Key]=""),0),0)),"")</f>
        <v/>
      </c>
      <c r="B937" s="243" t="str">
        <f t="shared" si="126"/>
        <v/>
      </c>
      <c r="C937" s="243" t="str">
        <f t="shared" si="127"/>
        <v/>
      </c>
      <c r="D937" s="243" t="str">
        <f t="shared" si="128"/>
        <v/>
      </c>
      <c r="E937" s="265" t="str">
        <f>IF($A937="","",SUMIFS(Txn[Signed Units],Txn[Key],$A937))</f>
        <v/>
      </c>
      <c r="F937" s="287" t="str">
        <f>IF($A937="","",SUMIFS(Txn[Buy Cost],Txn[Key],$A937))</f>
        <v/>
      </c>
      <c r="G937" s="287" t="str">
        <f>IF($A937="","",SUMIFS(Txn[Sell Proceeds],Txn[Key],$A937))</f>
        <v/>
      </c>
      <c r="H937" s="288" t="str">
        <f>IF($A937="","",IFERROR(INDEX(Prices[Current Price],MATCH($A937,Prices[Key],0)),0))</f>
        <v/>
      </c>
      <c r="I937" s="289" t="str">
        <f>IF($A937="","",IFERROR(INDEX(Prices[FX to SGD],MATCH($A937,Prices[Key],0)),1))</f>
        <v/>
      </c>
      <c r="J937" s="287" t="str">
        <f t="shared" si="129"/>
        <v/>
      </c>
      <c r="K937" s="287" t="str">
        <f t="shared" si="130"/>
        <v/>
      </c>
      <c r="L937" s="287" t="str">
        <f t="shared" si="131"/>
        <v/>
      </c>
      <c r="M937" s="290" t="str">
        <f t="shared" si="132"/>
        <v/>
      </c>
      <c r="N937" s="243" t="str">
        <f>IF($A937="","",IF(ABS(E937)&gt;0.000001,COUNT($N$1:N936)+1,""))</f>
        <v/>
      </c>
      <c r="O937" s="291" t="str">
        <f>IF($A937="","",SUMIFS(Transactions!$H$2:$H$1001,Transactions!$J$2:$J$1001,$A937,Transactions!$A$2:$A$1001,2)*$I937)</f>
        <v/>
      </c>
      <c r="P937" s="291" t="str">
        <f t="shared" si="133"/>
        <v/>
      </c>
      <c r="Q937" s="292" t="str">
        <f t="shared" si="134"/>
        <v/>
      </c>
    </row>
    <row r="938" spans="1:17" ht="15" customHeight="1" x14ac:dyDescent="0.2">
      <c r="A938" s="243" t="str">
        <f>IFERROR(INDEX(Txn[Key],MATCH(0,INDEX(COUNTIF($A$1:A937,Txn[Key])+(Txn[Key]=""),0),0)),"")</f>
        <v/>
      </c>
      <c r="B938" s="243" t="str">
        <f t="shared" si="126"/>
        <v/>
      </c>
      <c r="C938" s="243" t="str">
        <f t="shared" si="127"/>
        <v/>
      </c>
      <c r="D938" s="243" t="str">
        <f t="shared" si="128"/>
        <v/>
      </c>
      <c r="E938" s="265" t="str">
        <f>IF($A938="","",SUMIFS(Txn[Signed Units],Txn[Key],$A938))</f>
        <v/>
      </c>
      <c r="F938" s="287" t="str">
        <f>IF($A938="","",SUMIFS(Txn[Buy Cost],Txn[Key],$A938))</f>
        <v/>
      </c>
      <c r="G938" s="287" t="str">
        <f>IF($A938="","",SUMIFS(Txn[Sell Proceeds],Txn[Key],$A938))</f>
        <v/>
      </c>
      <c r="H938" s="288" t="str">
        <f>IF($A938="","",IFERROR(INDEX(Prices[Current Price],MATCH($A938,Prices[Key],0)),0))</f>
        <v/>
      </c>
      <c r="I938" s="289" t="str">
        <f>IF($A938="","",IFERROR(INDEX(Prices[FX to SGD],MATCH($A938,Prices[Key],0)),1))</f>
        <v/>
      </c>
      <c r="J938" s="287" t="str">
        <f t="shared" si="129"/>
        <v/>
      </c>
      <c r="K938" s="287" t="str">
        <f t="shared" si="130"/>
        <v/>
      </c>
      <c r="L938" s="287" t="str">
        <f t="shared" si="131"/>
        <v/>
      </c>
      <c r="M938" s="290" t="str">
        <f t="shared" si="132"/>
        <v/>
      </c>
      <c r="N938" s="243" t="str">
        <f>IF($A938="","",IF(ABS(E938)&gt;0.000001,COUNT($N$1:N937)+1,""))</f>
        <v/>
      </c>
      <c r="O938" s="291" t="str">
        <f>IF($A938="","",SUMIFS(Transactions!$H$2:$H$1001,Transactions!$J$2:$J$1001,$A938,Transactions!$A$2:$A$1001,2)*$I938)</f>
        <v/>
      </c>
      <c r="P938" s="291" t="str">
        <f t="shared" si="133"/>
        <v/>
      </c>
      <c r="Q938" s="292" t="str">
        <f t="shared" si="134"/>
        <v/>
      </c>
    </row>
    <row r="939" spans="1:17" ht="15" customHeight="1" x14ac:dyDescent="0.2">
      <c r="A939" s="243" t="str">
        <f>IFERROR(INDEX(Txn[Key],MATCH(0,INDEX(COUNTIF($A$1:A938,Txn[Key])+(Txn[Key]=""),0),0)),"")</f>
        <v/>
      </c>
      <c r="B939" s="243" t="str">
        <f t="shared" si="126"/>
        <v/>
      </c>
      <c r="C939" s="243" t="str">
        <f t="shared" si="127"/>
        <v/>
      </c>
      <c r="D939" s="243" t="str">
        <f t="shared" si="128"/>
        <v/>
      </c>
      <c r="E939" s="265" t="str">
        <f>IF($A939="","",SUMIFS(Txn[Signed Units],Txn[Key],$A939))</f>
        <v/>
      </c>
      <c r="F939" s="287" t="str">
        <f>IF($A939="","",SUMIFS(Txn[Buy Cost],Txn[Key],$A939))</f>
        <v/>
      </c>
      <c r="G939" s="287" t="str">
        <f>IF($A939="","",SUMIFS(Txn[Sell Proceeds],Txn[Key],$A939))</f>
        <v/>
      </c>
      <c r="H939" s="288" t="str">
        <f>IF($A939="","",IFERROR(INDEX(Prices[Current Price],MATCH($A939,Prices[Key],0)),0))</f>
        <v/>
      </c>
      <c r="I939" s="289" t="str">
        <f>IF($A939="","",IFERROR(INDEX(Prices[FX to SGD],MATCH($A939,Prices[Key],0)),1))</f>
        <v/>
      </c>
      <c r="J939" s="287" t="str">
        <f t="shared" si="129"/>
        <v/>
      </c>
      <c r="K939" s="287" t="str">
        <f t="shared" si="130"/>
        <v/>
      </c>
      <c r="L939" s="287" t="str">
        <f t="shared" si="131"/>
        <v/>
      </c>
      <c r="M939" s="290" t="str">
        <f t="shared" si="132"/>
        <v/>
      </c>
      <c r="N939" s="243" t="str">
        <f>IF($A939="","",IF(ABS(E939)&gt;0.000001,COUNT($N$1:N938)+1,""))</f>
        <v/>
      </c>
      <c r="O939" s="291" t="str">
        <f>IF($A939="","",SUMIFS(Transactions!$H$2:$H$1001,Transactions!$J$2:$J$1001,$A939,Transactions!$A$2:$A$1001,2)*$I939)</f>
        <v/>
      </c>
      <c r="P939" s="291" t="str">
        <f t="shared" si="133"/>
        <v/>
      </c>
      <c r="Q939" s="292" t="str">
        <f t="shared" si="134"/>
        <v/>
      </c>
    </row>
    <row r="940" spans="1:17" ht="15" customHeight="1" x14ac:dyDescent="0.2">
      <c r="A940" s="243" t="str">
        <f>IFERROR(INDEX(Txn[Key],MATCH(0,INDEX(COUNTIF($A$1:A939,Txn[Key])+(Txn[Key]=""),0),0)),"")</f>
        <v/>
      </c>
      <c r="B940" s="243" t="str">
        <f t="shared" si="126"/>
        <v/>
      </c>
      <c r="C940" s="243" t="str">
        <f t="shared" si="127"/>
        <v/>
      </c>
      <c r="D940" s="243" t="str">
        <f t="shared" si="128"/>
        <v/>
      </c>
      <c r="E940" s="265" t="str">
        <f>IF($A940="","",SUMIFS(Txn[Signed Units],Txn[Key],$A940))</f>
        <v/>
      </c>
      <c r="F940" s="287" t="str">
        <f>IF($A940="","",SUMIFS(Txn[Buy Cost],Txn[Key],$A940))</f>
        <v/>
      </c>
      <c r="G940" s="287" t="str">
        <f>IF($A940="","",SUMIFS(Txn[Sell Proceeds],Txn[Key],$A940))</f>
        <v/>
      </c>
      <c r="H940" s="288" t="str">
        <f>IF($A940="","",IFERROR(INDEX(Prices[Current Price],MATCH($A940,Prices[Key],0)),0))</f>
        <v/>
      </c>
      <c r="I940" s="289" t="str">
        <f>IF($A940="","",IFERROR(INDEX(Prices[FX to SGD],MATCH($A940,Prices[Key],0)),1))</f>
        <v/>
      </c>
      <c r="J940" s="287" t="str">
        <f t="shared" si="129"/>
        <v/>
      </c>
      <c r="K940" s="287" t="str">
        <f t="shared" si="130"/>
        <v/>
      </c>
      <c r="L940" s="287" t="str">
        <f t="shared" si="131"/>
        <v/>
      </c>
      <c r="M940" s="290" t="str">
        <f t="shared" si="132"/>
        <v/>
      </c>
      <c r="N940" s="243" t="str">
        <f>IF($A940="","",IF(ABS(E940)&gt;0.000001,COUNT($N$1:N939)+1,""))</f>
        <v/>
      </c>
      <c r="O940" s="291" t="str">
        <f>IF($A940="","",SUMIFS(Transactions!$H$2:$H$1001,Transactions!$J$2:$J$1001,$A940,Transactions!$A$2:$A$1001,2)*$I940)</f>
        <v/>
      </c>
      <c r="P940" s="291" t="str">
        <f t="shared" si="133"/>
        <v/>
      </c>
      <c r="Q940" s="292" t="str">
        <f t="shared" si="134"/>
        <v/>
      </c>
    </row>
    <row r="941" spans="1:17" ht="15" customHeight="1" x14ac:dyDescent="0.2">
      <c r="A941" s="243" t="str">
        <f>IFERROR(INDEX(Txn[Key],MATCH(0,INDEX(COUNTIF($A$1:A940,Txn[Key])+(Txn[Key]=""),0),0)),"")</f>
        <v/>
      </c>
      <c r="B941" s="243" t="str">
        <f t="shared" si="126"/>
        <v/>
      </c>
      <c r="C941" s="243" t="str">
        <f t="shared" si="127"/>
        <v/>
      </c>
      <c r="D941" s="243" t="str">
        <f t="shared" si="128"/>
        <v/>
      </c>
      <c r="E941" s="265" t="str">
        <f>IF($A941="","",SUMIFS(Txn[Signed Units],Txn[Key],$A941))</f>
        <v/>
      </c>
      <c r="F941" s="287" t="str">
        <f>IF($A941="","",SUMIFS(Txn[Buy Cost],Txn[Key],$A941))</f>
        <v/>
      </c>
      <c r="G941" s="287" t="str">
        <f>IF($A941="","",SUMIFS(Txn[Sell Proceeds],Txn[Key],$A941))</f>
        <v/>
      </c>
      <c r="H941" s="288" t="str">
        <f>IF($A941="","",IFERROR(INDEX(Prices[Current Price],MATCH($A941,Prices[Key],0)),0))</f>
        <v/>
      </c>
      <c r="I941" s="289" t="str">
        <f>IF($A941="","",IFERROR(INDEX(Prices[FX to SGD],MATCH($A941,Prices[Key],0)),1))</f>
        <v/>
      </c>
      <c r="J941" s="287" t="str">
        <f t="shared" si="129"/>
        <v/>
      </c>
      <c r="K941" s="287" t="str">
        <f t="shared" si="130"/>
        <v/>
      </c>
      <c r="L941" s="287" t="str">
        <f t="shared" si="131"/>
        <v/>
      </c>
      <c r="M941" s="290" t="str">
        <f t="shared" si="132"/>
        <v/>
      </c>
      <c r="N941" s="243" t="str">
        <f>IF($A941="","",IF(ABS(E941)&gt;0.000001,COUNT($N$1:N940)+1,""))</f>
        <v/>
      </c>
      <c r="O941" s="291" t="str">
        <f>IF($A941="","",SUMIFS(Transactions!$H$2:$H$1001,Transactions!$J$2:$J$1001,$A941,Transactions!$A$2:$A$1001,2)*$I941)</f>
        <v/>
      </c>
      <c r="P941" s="291" t="str">
        <f t="shared" si="133"/>
        <v/>
      </c>
      <c r="Q941" s="292" t="str">
        <f t="shared" si="134"/>
        <v/>
      </c>
    </row>
    <row r="942" spans="1:17" ht="15" customHeight="1" x14ac:dyDescent="0.2">
      <c r="A942" s="243" t="str">
        <f>IFERROR(INDEX(Txn[Key],MATCH(0,INDEX(COUNTIF($A$1:A941,Txn[Key])+(Txn[Key]=""),0),0)),"")</f>
        <v/>
      </c>
      <c r="B942" s="243" t="str">
        <f t="shared" si="126"/>
        <v/>
      </c>
      <c r="C942" s="243" t="str">
        <f t="shared" si="127"/>
        <v/>
      </c>
      <c r="D942" s="243" t="str">
        <f t="shared" si="128"/>
        <v/>
      </c>
      <c r="E942" s="265" t="str">
        <f>IF($A942="","",SUMIFS(Txn[Signed Units],Txn[Key],$A942))</f>
        <v/>
      </c>
      <c r="F942" s="287" t="str">
        <f>IF($A942="","",SUMIFS(Txn[Buy Cost],Txn[Key],$A942))</f>
        <v/>
      </c>
      <c r="G942" s="287" t="str">
        <f>IF($A942="","",SUMIFS(Txn[Sell Proceeds],Txn[Key],$A942))</f>
        <v/>
      </c>
      <c r="H942" s="288" t="str">
        <f>IF($A942="","",IFERROR(INDEX(Prices[Current Price],MATCH($A942,Prices[Key],0)),0))</f>
        <v/>
      </c>
      <c r="I942" s="289" t="str">
        <f>IF($A942="","",IFERROR(INDEX(Prices[FX to SGD],MATCH($A942,Prices[Key],0)),1))</f>
        <v/>
      </c>
      <c r="J942" s="287" t="str">
        <f t="shared" si="129"/>
        <v/>
      </c>
      <c r="K942" s="287" t="str">
        <f t="shared" si="130"/>
        <v/>
      </c>
      <c r="L942" s="287" t="str">
        <f t="shared" si="131"/>
        <v/>
      </c>
      <c r="M942" s="290" t="str">
        <f t="shared" si="132"/>
        <v/>
      </c>
      <c r="N942" s="243" t="str">
        <f>IF($A942="","",IF(ABS(E942)&gt;0.000001,COUNT($N$1:N941)+1,""))</f>
        <v/>
      </c>
      <c r="O942" s="291" t="str">
        <f>IF($A942="","",SUMIFS(Transactions!$H$2:$H$1001,Transactions!$J$2:$J$1001,$A942,Transactions!$A$2:$A$1001,2)*$I942)</f>
        <v/>
      </c>
      <c r="P942" s="291" t="str">
        <f t="shared" si="133"/>
        <v/>
      </c>
      <c r="Q942" s="292" t="str">
        <f t="shared" si="134"/>
        <v/>
      </c>
    </row>
    <row r="943" spans="1:17" ht="15" customHeight="1" x14ac:dyDescent="0.2">
      <c r="A943" s="243" t="str">
        <f>IFERROR(INDEX(Txn[Key],MATCH(0,INDEX(COUNTIF($A$1:A942,Txn[Key])+(Txn[Key]=""),0),0)),"")</f>
        <v/>
      </c>
      <c r="B943" s="243" t="str">
        <f t="shared" si="126"/>
        <v/>
      </c>
      <c r="C943" s="243" t="str">
        <f t="shared" si="127"/>
        <v/>
      </c>
      <c r="D943" s="243" t="str">
        <f t="shared" si="128"/>
        <v/>
      </c>
      <c r="E943" s="265" t="str">
        <f>IF($A943="","",SUMIFS(Txn[Signed Units],Txn[Key],$A943))</f>
        <v/>
      </c>
      <c r="F943" s="287" t="str">
        <f>IF($A943="","",SUMIFS(Txn[Buy Cost],Txn[Key],$A943))</f>
        <v/>
      </c>
      <c r="G943" s="287" t="str">
        <f>IF($A943="","",SUMIFS(Txn[Sell Proceeds],Txn[Key],$A943))</f>
        <v/>
      </c>
      <c r="H943" s="288" t="str">
        <f>IF($A943="","",IFERROR(INDEX(Prices[Current Price],MATCH($A943,Prices[Key],0)),0))</f>
        <v/>
      </c>
      <c r="I943" s="289" t="str">
        <f>IF($A943="","",IFERROR(INDEX(Prices[FX to SGD],MATCH($A943,Prices[Key],0)),1))</f>
        <v/>
      </c>
      <c r="J943" s="287" t="str">
        <f t="shared" si="129"/>
        <v/>
      </c>
      <c r="K943" s="287" t="str">
        <f t="shared" si="130"/>
        <v/>
      </c>
      <c r="L943" s="287" t="str">
        <f t="shared" si="131"/>
        <v/>
      </c>
      <c r="M943" s="290" t="str">
        <f t="shared" si="132"/>
        <v/>
      </c>
      <c r="N943" s="243" t="str">
        <f>IF($A943="","",IF(ABS(E943)&gt;0.000001,COUNT($N$1:N942)+1,""))</f>
        <v/>
      </c>
      <c r="O943" s="291" t="str">
        <f>IF($A943="","",SUMIFS(Transactions!$H$2:$H$1001,Transactions!$J$2:$J$1001,$A943,Transactions!$A$2:$A$1001,2)*$I943)</f>
        <v/>
      </c>
      <c r="P943" s="291" t="str">
        <f t="shared" si="133"/>
        <v/>
      </c>
      <c r="Q943" s="292" t="str">
        <f t="shared" si="134"/>
        <v/>
      </c>
    </row>
    <row r="944" spans="1:17" ht="15" customHeight="1" x14ac:dyDescent="0.2">
      <c r="A944" s="243" t="str">
        <f>IFERROR(INDEX(Txn[Key],MATCH(0,INDEX(COUNTIF($A$1:A943,Txn[Key])+(Txn[Key]=""),0),0)),"")</f>
        <v/>
      </c>
      <c r="B944" s="243" t="str">
        <f t="shared" si="126"/>
        <v/>
      </c>
      <c r="C944" s="243" t="str">
        <f t="shared" si="127"/>
        <v/>
      </c>
      <c r="D944" s="243" t="str">
        <f t="shared" si="128"/>
        <v/>
      </c>
      <c r="E944" s="265" t="str">
        <f>IF($A944="","",SUMIFS(Txn[Signed Units],Txn[Key],$A944))</f>
        <v/>
      </c>
      <c r="F944" s="287" t="str">
        <f>IF($A944="","",SUMIFS(Txn[Buy Cost],Txn[Key],$A944))</f>
        <v/>
      </c>
      <c r="G944" s="287" t="str">
        <f>IF($A944="","",SUMIFS(Txn[Sell Proceeds],Txn[Key],$A944))</f>
        <v/>
      </c>
      <c r="H944" s="288" t="str">
        <f>IF($A944="","",IFERROR(INDEX(Prices[Current Price],MATCH($A944,Prices[Key],0)),0))</f>
        <v/>
      </c>
      <c r="I944" s="289" t="str">
        <f>IF($A944="","",IFERROR(INDEX(Prices[FX to SGD],MATCH($A944,Prices[Key],0)),1))</f>
        <v/>
      </c>
      <c r="J944" s="287" t="str">
        <f t="shared" si="129"/>
        <v/>
      </c>
      <c r="K944" s="287" t="str">
        <f t="shared" si="130"/>
        <v/>
      </c>
      <c r="L944" s="287" t="str">
        <f t="shared" si="131"/>
        <v/>
      </c>
      <c r="M944" s="290" t="str">
        <f t="shared" si="132"/>
        <v/>
      </c>
      <c r="N944" s="243" t="str">
        <f>IF($A944="","",IF(ABS(E944)&gt;0.000001,COUNT($N$1:N943)+1,""))</f>
        <v/>
      </c>
      <c r="O944" s="291" t="str">
        <f>IF($A944="","",SUMIFS(Transactions!$H$2:$H$1001,Transactions!$J$2:$J$1001,$A944,Transactions!$A$2:$A$1001,2)*$I944)</f>
        <v/>
      </c>
      <c r="P944" s="291" t="str">
        <f t="shared" si="133"/>
        <v/>
      </c>
      <c r="Q944" s="292" t="str">
        <f t="shared" si="134"/>
        <v/>
      </c>
    </row>
    <row r="945" spans="1:17" ht="15" customHeight="1" x14ac:dyDescent="0.2">
      <c r="A945" s="243" t="str">
        <f>IFERROR(INDEX(Txn[Key],MATCH(0,INDEX(COUNTIF($A$1:A944,Txn[Key])+(Txn[Key]=""),0),0)),"")</f>
        <v/>
      </c>
      <c r="B945" s="243" t="str">
        <f t="shared" si="126"/>
        <v/>
      </c>
      <c r="C945" s="243" t="str">
        <f t="shared" si="127"/>
        <v/>
      </c>
      <c r="D945" s="243" t="str">
        <f t="shared" si="128"/>
        <v/>
      </c>
      <c r="E945" s="265" t="str">
        <f>IF($A945="","",SUMIFS(Txn[Signed Units],Txn[Key],$A945))</f>
        <v/>
      </c>
      <c r="F945" s="287" t="str">
        <f>IF($A945="","",SUMIFS(Txn[Buy Cost],Txn[Key],$A945))</f>
        <v/>
      </c>
      <c r="G945" s="287" t="str">
        <f>IF($A945="","",SUMIFS(Txn[Sell Proceeds],Txn[Key],$A945))</f>
        <v/>
      </c>
      <c r="H945" s="288" t="str">
        <f>IF($A945="","",IFERROR(INDEX(Prices[Current Price],MATCH($A945,Prices[Key],0)),0))</f>
        <v/>
      </c>
      <c r="I945" s="289" t="str">
        <f>IF($A945="","",IFERROR(INDEX(Prices[FX to SGD],MATCH($A945,Prices[Key],0)),1))</f>
        <v/>
      </c>
      <c r="J945" s="287" t="str">
        <f t="shared" si="129"/>
        <v/>
      </c>
      <c r="K945" s="287" t="str">
        <f t="shared" si="130"/>
        <v/>
      </c>
      <c r="L945" s="287" t="str">
        <f t="shared" si="131"/>
        <v/>
      </c>
      <c r="M945" s="290" t="str">
        <f t="shared" si="132"/>
        <v/>
      </c>
      <c r="N945" s="243" t="str">
        <f>IF($A945="","",IF(ABS(E945)&gt;0.000001,COUNT($N$1:N944)+1,""))</f>
        <v/>
      </c>
      <c r="O945" s="291" t="str">
        <f>IF($A945="","",SUMIFS(Transactions!$H$2:$H$1001,Transactions!$J$2:$J$1001,$A945,Transactions!$A$2:$A$1001,2)*$I945)</f>
        <v/>
      </c>
      <c r="P945" s="291" t="str">
        <f t="shared" si="133"/>
        <v/>
      </c>
      <c r="Q945" s="292" t="str">
        <f t="shared" si="134"/>
        <v/>
      </c>
    </row>
    <row r="946" spans="1:17" ht="15" customHeight="1" x14ac:dyDescent="0.2">
      <c r="A946" s="243" t="str">
        <f>IFERROR(INDEX(Txn[Key],MATCH(0,INDEX(COUNTIF($A$1:A945,Txn[Key])+(Txn[Key]=""),0),0)),"")</f>
        <v/>
      </c>
      <c r="B946" s="243" t="str">
        <f t="shared" si="126"/>
        <v/>
      </c>
      <c r="C946" s="243" t="str">
        <f t="shared" si="127"/>
        <v/>
      </c>
      <c r="D946" s="243" t="str">
        <f t="shared" si="128"/>
        <v/>
      </c>
      <c r="E946" s="265" t="str">
        <f>IF($A946="","",SUMIFS(Txn[Signed Units],Txn[Key],$A946))</f>
        <v/>
      </c>
      <c r="F946" s="287" t="str">
        <f>IF($A946="","",SUMIFS(Txn[Buy Cost],Txn[Key],$A946))</f>
        <v/>
      </c>
      <c r="G946" s="287" t="str">
        <f>IF($A946="","",SUMIFS(Txn[Sell Proceeds],Txn[Key],$A946))</f>
        <v/>
      </c>
      <c r="H946" s="288" t="str">
        <f>IF($A946="","",IFERROR(INDEX(Prices[Current Price],MATCH($A946,Prices[Key],0)),0))</f>
        <v/>
      </c>
      <c r="I946" s="289" t="str">
        <f>IF($A946="","",IFERROR(INDEX(Prices[FX to SGD],MATCH($A946,Prices[Key],0)),1))</f>
        <v/>
      </c>
      <c r="J946" s="287" t="str">
        <f t="shared" si="129"/>
        <v/>
      </c>
      <c r="K946" s="287" t="str">
        <f t="shared" si="130"/>
        <v/>
      </c>
      <c r="L946" s="287" t="str">
        <f t="shared" si="131"/>
        <v/>
      </c>
      <c r="M946" s="290" t="str">
        <f t="shared" si="132"/>
        <v/>
      </c>
      <c r="N946" s="243" t="str">
        <f>IF($A946="","",IF(ABS(E946)&gt;0.000001,COUNT($N$1:N945)+1,""))</f>
        <v/>
      </c>
      <c r="O946" s="291" t="str">
        <f>IF($A946="","",SUMIFS(Transactions!$H$2:$H$1001,Transactions!$J$2:$J$1001,$A946,Transactions!$A$2:$A$1001,2)*$I946)</f>
        <v/>
      </c>
      <c r="P946" s="291" t="str">
        <f t="shared" si="133"/>
        <v/>
      </c>
      <c r="Q946" s="292" t="str">
        <f t="shared" si="134"/>
        <v/>
      </c>
    </row>
    <row r="947" spans="1:17" ht="15" customHeight="1" x14ac:dyDescent="0.2">
      <c r="A947" s="243" t="str">
        <f>IFERROR(INDEX(Txn[Key],MATCH(0,INDEX(COUNTIF($A$1:A946,Txn[Key])+(Txn[Key]=""),0),0)),"")</f>
        <v/>
      </c>
      <c r="B947" s="243" t="str">
        <f t="shared" si="126"/>
        <v/>
      </c>
      <c r="C947" s="243" t="str">
        <f t="shared" si="127"/>
        <v/>
      </c>
      <c r="D947" s="243" t="str">
        <f t="shared" si="128"/>
        <v/>
      </c>
      <c r="E947" s="265" t="str">
        <f>IF($A947="","",SUMIFS(Txn[Signed Units],Txn[Key],$A947))</f>
        <v/>
      </c>
      <c r="F947" s="287" t="str">
        <f>IF($A947="","",SUMIFS(Txn[Buy Cost],Txn[Key],$A947))</f>
        <v/>
      </c>
      <c r="G947" s="287" t="str">
        <f>IF($A947="","",SUMIFS(Txn[Sell Proceeds],Txn[Key],$A947))</f>
        <v/>
      </c>
      <c r="H947" s="288" t="str">
        <f>IF($A947="","",IFERROR(INDEX(Prices[Current Price],MATCH($A947,Prices[Key],0)),0))</f>
        <v/>
      </c>
      <c r="I947" s="289" t="str">
        <f>IF($A947="","",IFERROR(INDEX(Prices[FX to SGD],MATCH($A947,Prices[Key],0)),1))</f>
        <v/>
      </c>
      <c r="J947" s="287" t="str">
        <f t="shared" si="129"/>
        <v/>
      </c>
      <c r="K947" s="287" t="str">
        <f t="shared" si="130"/>
        <v/>
      </c>
      <c r="L947" s="287" t="str">
        <f t="shared" si="131"/>
        <v/>
      </c>
      <c r="M947" s="290" t="str">
        <f t="shared" si="132"/>
        <v/>
      </c>
      <c r="N947" s="243" t="str">
        <f>IF($A947="","",IF(ABS(E947)&gt;0.000001,COUNT($N$1:N946)+1,""))</f>
        <v/>
      </c>
      <c r="O947" s="291" t="str">
        <f>IF($A947="","",SUMIFS(Transactions!$H$2:$H$1001,Transactions!$J$2:$J$1001,$A947,Transactions!$A$2:$A$1001,2)*$I947)</f>
        <v/>
      </c>
      <c r="P947" s="291" t="str">
        <f t="shared" si="133"/>
        <v/>
      </c>
      <c r="Q947" s="292" t="str">
        <f t="shared" si="134"/>
        <v/>
      </c>
    </row>
    <row r="948" spans="1:17" ht="15" customHeight="1" x14ac:dyDescent="0.2">
      <c r="A948" s="243" t="str">
        <f>IFERROR(INDEX(Txn[Key],MATCH(0,INDEX(COUNTIF($A$1:A947,Txn[Key])+(Txn[Key]=""),0),0)),"")</f>
        <v/>
      </c>
      <c r="B948" s="243" t="str">
        <f t="shared" si="126"/>
        <v/>
      </c>
      <c r="C948" s="243" t="str">
        <f t="shared" si="127"/>
        <v/>
      </c>
      <c r="D948" s="243" t="str">
        <f t="shared" si="128"/>
        <v/>
      </c>
      <c r="E948" s="265" t="str">
        <f>IF($A948="","",SUMIFS(Txn[Signed Units],Txn[Key],$A948))</f>
        <v/>
      </c>
      <c r="F948" s="287" t="str">
        <f>IF($A948="","",SUMIFS(Txn[Buy Cost],Txn[Key],$A948))</f>
        <v/>
      </c>
      <c r="G948" s="287" t="str">
        <f>IF($A948="","",SUMIFS(Txn[Sell Proceeds],Txn[Key],$A948))</f>
        <v/>
      </c>
      <c r="H948" s="288" t="str">
        <f>IF($A948="","",IFERROR(INDEX(Prices[Current Price],MATCH($A948,Prices[Key],0)),0))</f>
        <v/>
      </c>
      <c r="I948" s="289" t="str">
        <f>IF($A948="","",IFERROR(INDEX(Prices[FX to SGD],MATCH($A948,Prices[Key],0)),1))</f>
        <v/>
      </c>
      <c r="J948" s="287" t="str">
        <f t="shared" si="129"/>
        <v/>
      </c>
      <c r="K948" s="287" t="str">
        <f t="shared" si="130"/>
        <v/>
      </c>
      <c r="L948" s="287" t="str">
        <f t="shared" si="131"/>
        <v/>
      </c>
      <c r="M948" s="290" t="str">
        <f t="shared" si="132"/>
        <v/>
      </c>
      <c r="N948" s="243" t="str">
        <f>IF($A948="","",IF(ABS(E948)&gt;0.000001,COUNT($N$1:N947)+1,""))</f>
        <v/>
      </c>
      <c r="O948" s="291" t="str">
        <f>IF($A948="","",SUMIFS(Transactions!$H$2:$H$1001,Transactions!$J$2:$J$1001,$A948,Transactions!$A$2:$A$1001,2)*$I948)</f>
        <v/>
      </c>
      <c r="P948" s="291" t="str">
        <f t="shared" si="133"/>
        <v/>
      </c>
      <c r="Q948" s="292" t="str">
        <f t="shared" si="134"/>
        <v/>
      </c>
    </row>
    <row r="949" spans="1:17" ht="15" customHeight="1" x14ac:dyDescent="0.2">
      <c r="A949" s="243" t="str">
        <f>IFERROR(INDEX(Txn[Key],MATCH(0,INDEX(COUNTIF($A$1:A948,Txn[Key])+(Txn[Key]=""),0),0)),"")</f>
        <v/>
      </c>
      <c r="B949" s="243" t="str">
        <f t="shared" si="126"/>
        <v/>
      </c>
      <c r="C949" s="243" t="str">
        <f t="shared" si="127"/>
        <v/>
      </c>
      <c r="D949" s="243" t="str">
        <f t="shared" si="128"/>
        <v/>
      </c>
      <c r="E949" s="265" t="str">
        <f>IF($A949="","",SUMIFS(Txn[Signed Units],Txn[Key],$A949))</f>
        <v/>
      </c>
      <c r="F949" s="287" t="str">
        <f>IF($A949="","",SUMIFS(Txn[Buy Cost],Txn[Key],$A949))</f>
        <v/>
      </c>
      <c r="G949" s="287" t="str">
        <f>IF($A949="","",SUMIFS(Txn[Sell Proceeds],Txn[Key],$A949))</f>
        <v/>
      </c>
      <c r="H949" s="288" t="str">
        <f>IF($A949="","",IFERROR(INDEX(Prices[Current Price],MATCH($A949,Prices[Key],0)),0))</f>
        <v/>
      </c>
      <c r="I949" s="289" t="str">
        <f>IF($A949="","",IFERROR(INDEX(Prices[FX to SGD],MATCH($A949,Prices[Key],0)),1))</f>
        <v/>
      </c>
      <c r="J949" s="287" t="str">
        <f t="shared" si="129"/>
        <v/>
      </c>
      <c r="K949" s="287" t="str">
        <f t="shared" si="130"/>
        <v/>
      </c>
      <c r="L949" s="287" t="str">
        <f t="shared" si="131"/>
        <v/>
      </c>
      <c r="M949" s="290" t="str">
        <f t="shared" si="132"/>
        <v/>
      </c>
      <c r="N949" s="243" t="str">
        <f>IF($A949="","",IF(ABS(E949)&gt;0.000001,COUNT($N$1:N948)+1,""))</f>
        <v/>
      </c>
      <c r="O949" s="291" t="str">
        <f>IF($A949="","",SUMIFS(Transactions!$H$2:$H$1001,Transactions!$J$2:$J$1001,$A949,Transactions!$A$2:$A$1001,2)*$I949)</f>
        <v/>
      </c>
      <c r="P949" s="291" t="str">
        <f t="shared" si="133"/>
        <v/>
      </c>
      <c r="Q949" s="292" t="str">
        <f t="shared" si="134"/>
        <v/>
      </c>
    </row>
    <row r="950" spans="1:17" ht="15" customHeight="1" x14ac:dyDescent="0.2">
      <c r="A950" s="243" t="str">
        <f>IFERROR(INDEX(Txn[Key],MATCH(0,INDEX(COUNTIF($A$1:A949,Txn[Key])+(Txn[Key]=""),0),0)),"")</f>
        <v/>
      </c>
      <c r="B950" s="243" t="str">
        <f t="shared" si="126"/>
        <v/>
      </c>
      <c r="C950" s="243" t="str">
        <f t="shared" si="127"/>
        <v/>
      </c>
      <c r="D950" s="243" t="str">
        <f t="shared" si="128"/>
        <v/>
      </c>
      <c r="E950" s="265" t="str">
        <f>IF($A950="","",SUMIFS(Txn[Signed Units],Txn[Key],$A950))</f>
        <v/>
      </c>
      <c r="F950" s="287" t="str">
        <f>IF($A950="","",SUMIFS(Txn[Buy Cost],Txn[Key],$A950))</f>
        <v/>
      </c>
      <c r="G950" s="287" t="str">
        <f>IF($A950="","",SUMIFS(Txn[Sell Proceeds],Txn[Key],$A950))</f>
        <v/>
      </c>
      <c r="H950" s="288" t="str">
        <f>IF($A950="","",IFERROR(INDEX(Prices[Current Price],MATCH($A950,Prices[Key],0)),0))</f>
        <v/>
      </c>
      <c r="I950" s="289" t="str">
        <f>IF($A950="","",IFERROR(INDEX(Prices[FX to SGD],MATCH($A950,Prices[Key],0)),1))</f>
        <v/>
      </c>
      <c r="J950" s="287" t="str">
        <f t="shared" si="129"/>
        <v/>
      </c>
      <c r="K950" s="287" t="str">
        <f t="shared" si="130"/>
        <v/>
      </c>
      <c r="L950" s="287" t="str">
        <f t="shared" si="131"/>
        <v/>
      </c>
      <c r="M950" s="290" t="str">
        <f t="shared" si="132"/>
        <v/>
      </c>
      <c r="N950" s="243" t="str">
        <f>IF($A950="","",IF(ABS(E950)&gt;0.000001,COUNT($N$1:N949)+1,""))</f>
        <v/>
      </c>
      <c r="O950" s="291" t="str">
        <f>IF($A950="","",SUMIFS(Transactions!$H$2:$H$1001,Transactions!$J$2:$J$1001,$A950,Transactions!$A$2:$A$1001,2)*$I950)</f>
        <v/>
      </c>
      <c r="P950" s="291" t="str">
        <f t="shared" si="133"/>
        <v/>
      </c>
      <c r="Q950" s="292" t="str">
        <f t="shared" si="134"/>
        <v/>
      </c>
    </row>
    <row r="951" spans="1:17" ht="15" customHeight="1" x14ac:dyDescent="0.2">
      <c r="A951" s="243" t="str">
        <f>IFERROR(INDEX(Txn[Key],MATCH(0,INDEX(COUNTIF($A$1:A950,Txn[Key])+(Txn[Key]=""),0),0)),"")</f>
        <v/>
      </c>
      <c r="B951" s="243" t="str">
        <f t="shared" si="126"/>
        <v/>
      </c>
      <c r="C951" s="243" t="str">
        <f t="shared" si="127"/>
        <v/>
      </c>
      <c r="D951" s="243" t="str">
        <f t="shared" si="128"/>
        <v/>
      </c>
      <c r="E951" s="265" t="str">
        <f>IF($A951="","",SUMIFS(Txn[Signed Units],Txn[Key],$A951))</f>
        <v/>
      </c>
      <c r="F951" s="287" t="str">
        <f>IF($A951="","",SUMIFS(Txn[Buy Cost],Txn[Key],$A951))</f>
        <v/>
      </c>
      <c r="G951" s="287" t="str">
        <f>IF($A951="","",SUMIFS(Txn[Sell Proceeds],Txn[Key],$A951))</f>
        <v/>
      </c>
      <c r="H951" s="288" t="str">
        <f>IF($A951="","",IFERROR(INDEX(Prices[Current Price],MATCH($A951,Prices[Key],0)),0))</f>
        <v/>
      </c>
      <c r="I951" s="289" t="str">
        <f>IF($A951="","",IFERROR(INDEX(Prices[FX to SGD],MATCH($A951,Prices[Key],0)),1))</f>
        <v/>
      </c>
      <c r="J951" s="287" t="str">
        <f t="shared" si="129"/>
        <v/>
      </c>
      <c r="K951" s="287" t="str">
        <f t="shared" si="130"/>
        <v/>
      </c>
      <c r="L951" s="287" t="str">
        <f t="shared" si="131"/>
        <v/>
      </c>
      <c r="M951" s="290" t="str">
        <f t="shared" si="132"/>
        <v/>
      </c>
      <c r="N951" s="243" t="str">
        <f>IF($A951="","",IF(ABS(E951)&gt;0.000001,COUNT($N$1:N950)+1,""))</f>
        <v/>
      </c>
      <c r="O951" s="291" t="str">
        <f>IF($A951="","",SUMIFS(Transactions!$H$2:$H$1001,Transactions!$J$2:$J$1001,$A951,Transactions!$A$2:$A$1001,2)*$I951)</f>
        <v/>
      </c>
      <c r="P951" s="291" t="str">
        <f t="shared" si="133"/>
        <v/>
      </c>
      <c r="Q951" s="292" t="str">
        <f t="shared" si="134"/>
        <v/>
      </c>
    </row>
    <row r="952" spans="1:17" ht="15" customHeight="1" x14ac:dyDescent="0.2">
      <c r="A952" s="243" t="str">
        <f>IFERROR(INDEX(Txn[Key],MATCH(0,INDEX(COUNTIF($A$1:A951,Txn[Key])+(Txn[Key]=""),0),0)),"")</f>
        <v/>
      </c>
      <c r="B952" s="243" t="str">
        <f t="shared" si="126"/>
        <v/>
      </c>
      <c r="C952" s="243" t="str">
        <f t="shared" si="127"/>
        <v/>
      </c>
      <c r="D952" s="243" t="str">
        <f t="shared" si="128"/>
        <v/>
      </c>
      <c r="E952" s="265" t="str">
        <f>IF($A952="","",SUMIFS(Txn[Signed Units],Txn[Key],$A952))</f>
        <v/>
      </c>
      <c r="F952" s="287" t="str">
        <f>IF($A952="","",SUMIFS(Txn[Buy Cost],Txn[Key],$A952))</f>
        <v/>
      </c>
      <c r="G952" s="287" t="str">
        <f>IF($A952="","",SUMIFS(Txn[Sell Proceeds],Txn[Key],$A952))</f>
        <v/>
      </c>
      <c r="H952" s="288" t="str">
        <f>IF($A952="","",IFERROR(INDEX(Prices[Current Price],MATCH($A952,Prices[Key],0)),0))</f>
        <v/>
      </c>
      <c r="I952" s="289" t="str">
        <f>IF($A952="","",IFERROR(INDEX(Prices[FX to SGD],MATCH($A952,Prices[Key],0)),1))</f>
        <v/>
      </c>
      <c r="J952" s="287" t="str">
        <f t="shared" si="129"/>
        <v/>
      </c>
      <c r="K952" s="287" t="str">
        <f t="shared" si="130"/>
        <v/>
      </c>
      <c r="L952" s="287" t="str">
        <f t="shared" si="131"/>
        <v/>
      </c>
      <c r="M952" s="290" t="str">
        <f t="shared" si="132"/>
        <v/>
      </c>
      <c r="N952" s="243" t="str">
        <f>IF($A952="","",IF(ABS(E952)&gt;0.000001,COUNT($N$1:N951)+1,""))</f>
        <v/>
      </c>
      <c r="O952" s="291" t="str">
        <f>IF($A952="","",SUMIFS(Transactions!$H$2:$H$1001,Transactions!$J$2:$J$1001,$A952,Transactions!$A$2:$A$1001,2)*$I952)</f>
        <v/>
      </c>
      <c r="P952" s="291" t="str">
        <f t="shared" si="133"/>
        <v/>
      </c>
      <c r="Q952" s="292" t="str">
        <f t="shared" si="134"/>
        <v/>
      </c>
    </row>
    <row r="953" spans="1:17" ht="15" customHeight="1" x14ac:dyDescent="0.2">
      <c r="A953" s="243" t="str">
        <f>IFERROR(INDEX(Txn[Key],MATCH(0,INDEX(COUNTIF($A$1:A952,Txn[Key])+(Txn[Key]=""),0),0)),"")</f>
        <v/>
      </c>
      <c r="B953" s="243" t="str">
        <f t="shared" si="126"/>
        <v/>
      </c>
      <c r="C953" s="243" t="str">
        <f t="shared" si="127"/>
        <v/>
      </c>
      <c r="D953" s="243" t="str">
        <f t="shared" si="128"/>
        <v/>
      </c>
      <c r="E953" s="265" t="str">
        <f>IF($A953="","",SUMIFS(Txn[Signed Units],Txn[Key],$A953))</f>
        <v/>
      </c>
      <c r="F953" s="287" t="str">
        <f>IF($A953="","",SUMIFS(Txn[Buy Cost],Txn[Key],$A953))</f>
        <v/>
      </c>
      <c r="G953" s="287" t="str">
        <f>IF($A953="","",SUMIFS(Txn[Sell Proceeds],Txn[Key],$A953))</f>
        <v/>
      </c>
      <c r="H953" s="288" t="str">
        <f>IF($A953="","",IFERROR(INDEX(Prices[Current Price],MATCH($A953,Prices[Key],0)),0))</f>
        <v/>
      </c>
      <c r="I953" s="289" t="str">
        <f>IF($A953="","",IFERROR(INDEX(Prices[FX to SGD],MATCH($A953,Prices[Key],0)),1))</f>
        <v/>
      </c>
      <c r="J953" s="287" t="str">
        <f t="shared" si="129"/>
        <v/>
      </c>
      <c r="K953" s="287" t="str">
        <f t="shared" si="130"/>
        <v/>
      </c>
      <c r="L953" s="287" t="str">
        <f t="shared" si="131"/>
        <v/>
      </c>
      <c r="M953" s="290" t="str">
        <f t="shared" si="132"/>
        <v/>
      </c>
      <c r="N953" s="243" t="str">
        <f>IF($A953="","",IF(ABS(E953)&gt;0.000001,COUNT($N$1:N952)+1,""))</f>
        <v/>
      </c>
      <c r="O953" s="291" t="str">
        <f>IF($A953="","",SUMIFS(Transactions!$H$2:$H$1001,Transactions!$J$2:$J$1001,$A953,Transactions!$A$2:$A$1001,2)*$I953)</f>
        <v/>
      </c>
      <c r="P953" s="291" t="str">
        <f t="shared" si="133"/>
        <v/>
      </c>
      <c r="Q953" s="292" t="str">
        <f t="shared" si="134"/>
        <v/>
      </c>
    </row>
    <row r="954" spans="1:17" ht="15" customHeight="1" x14ac:dyDescent="0.2">
      <c r="A954" s="243" t="str">
        <f>IFERROR(INDEX(Txn[Key],MATCH(0,INDEX(COUNTIF($A$1:A953,Txn[Key])+(Txn[Key]=""),0),0)),"")</f>
        <v/>
      </c>
      <c r="B954" s="243" t="str">
        <f t="shared" si="126"/>
        <v/>
      </c>
      <c r="C954" s="243" t="str">
        <f t="shared" si="127"/>
        <v/>
      </c>
      <c r="D954" s="243" t="str">
        <f t="shared" si="128"/>
        <v/>
      </c>
      <c r="E954" s="265" t="str">
        <f>IF($A954="","",SUMIFS(Txn[Signed Units],Txn[Key],$A954))</f>
        <v/>
      </c>
      <c r="F954" s="287" t="str">
        <f>IF($A954="","",SUMIFS(Txn[Buy Cost],Txn[Key],$A954))</f>
        <v/>
      </c>
      <c r="G954" s="287" t="str">
        <f>IF($A954="","",SUMIFS(Txn[Sell Proceeds],Txn[Key],$A954))</f>
        <v/>
      </c>
      <c r="H954" s="288" t="str">
        <f>IF($A954="","",IFERROR(INDEX(Prices[Current Price],MATCH($A954,Prices[Key],0)),0))</f>
        <v/>
      </c>
      <c r="I954" s="289" t="str">
        <f>IF($A954="","",IFERROR(INDEX(Prices[FX to SGD],MATCH($A954,Prices[Key],0)),1))</f>
        <v/>
      </c>
      <c r="J954" s="287" t="str">
        <f t="shared" si="129"/>
        <v/>
      </c>
      <c r="K954" s="287" t="str">
        <f t="shared" si="130"/>
        <v/>
      </c>
      <c r="L954" s="287" t="str">
        <f t="shared" si="131"/>
        <v/>
      </c>
      <c r="M954" s="290" t="str">
        <f t="shared" si="132"/>
        <v/>
      </c>
      <c r="N954" s="243" t="str">
        <f>IF($A954="","",IF(ABS(E954)&gt;0.000001,COUNT($N$1:N953)+1,""))</f>
        <v/>
      </c>
      <c r="O954" s="291" t="str">
        <f>IF($A954="","",SUMIFS(Transactions!$H$2:$H$1001,Transactions!$J$2:$J$1001,$A954,Transactions!$A$2:$A$1001,2)*$I954)</f>
        <v/>
      </c>
      <c r="P954" s="291" t="str">
        <f t="shared" si="133"/>
        <v/>
      </c>
      <c r="Q954" s="292" t="str">
        <f t="shared" si="134"/>
        <v/>
      </c>
    </row>
    <row r="955" spans="1:17" ht="15" customHeight="1" x14ac:dyDescent="0.2">
      <c r="A955" s="243" t="str">
        <f>IFERROR(INDEX(Txn[Key],MATCH(0,INDEX(COUNTIF($A$1:A954,Txn[Key])+(Txn[Key]=""),0),0)),"")</f>
        <v/>
      </c>
      <c r="B955" s="243" t="str">
        <f t="shared" si="126"/>
        <v/>
      </c>
      <c r="C955" s="243" t="str">
        <f t="shared" si="127"/>
        <v/>
      </c>
      <c r="D955" s="243" t="str">
        <f t="shared" si="128"/>
        <v/>
      </c>
      <c r="E955" s="265" t="str">
        <f>IF($A955="","",SUMIFS(Txn[Signed Units],Txn[Key],$A955))</f>
        <v/>
      </c>
      <c r="F955" s="287" t="str">
        <f>IF($A955="","",SUMIFS(Txn[Buy Cost],Txn[Key],$A955))</f>
        <v/>
      </c>
      <c r="G955" s="287" t="str">
        <f>IF($A955="","",SUMIFS(Txn[Sell Proceeds],Txn[Key],$A955))</f>
        <v/>
      </c>
      <c r="H955" s="288" t="str">
        <f>IF($A955="","",IFERROR(INDEX(Prices[Current Price],MATCH($A955,Prices[Key],0)),0))</f>
        <v/>
      </c>
      <c r="I955" s="289" t="str">
        <f>IF($A955="","",IFERROR(INDEX(Prices[FX to SGD],MATCH($A955,Prices[Key],0)),1))</f>
        <v/>
      </c>
      <c r="J955" s="287" t="str">
        <f t="shared" si="129"/>
        <v/>
      </c>
      <c r="K955" s="287" t="str">
        <f t="shared" si="130"/>
        <v/>
      </c>
      <c r="L955" s="287" t="str">
        <f t="shared" si="131"/>
        <v/>
      </c>
      <c r="M955" s="290" t="str">
        <f t="shared" si="132"/>
        <v/>
      </c>
      <c r="N955" s="243" t="str">
        <f>IF($A955="","",IF(ABS(E955)&gt;0.000001,COUNT($N$1:N954)+1,""))</f>
        <v/>
      </c>
      <c r="O955" s="291" t="str">
        <f>IF($A955="","",SUMIFS(Transactions!$H$2:$H$1001,Transactions!$J$2:$J$1001,$A955,Transactions!$A$2:$A$1001,2)*$I955)</f>
        <v/>
      </c>
      <c r="P955" s="291" t="str">
        <f t="shared" si="133"/>
        <v/>
      </c>
      <c r="Q955" s="292" t="str">
        <f t="shared" si="134"/>
        <v/>
      </c>
    </row>
    <row r="956" spans="1:17" ht="15" customHeight="1" x14ac:dyDescent="0.2">
      <c r="A956" s="243" t="str">
        <f>IFERROR(INDEX(Txn[Key],MATCH(0,INDEX(COUNTIF($A$1:A955,Txn[Key])+(Txn[Key]=""),0),0)),"")</f>
        <v/>
      </c>
      <c r="B956" s="243" t="str">
        <f t="shared" si="126"/>
        <v/>
      </c>
      <c r="C956" s="243" t="str">
        <f t="shared" si="127"/>
        <v/>
      </c>
      <c r="D956" s="243" t="str">
        <f t="shared" si="128"/>
        <v/>
      </c>
      <c r="E956" s="265" t="str">
        <f>IF($A956="","",SUMIFS(Txn[Signed Units],Txn[Key],$A956))</f>
        <v/>
      </c>
      <c r="F956" s="287" t="str">
        <f>IF($A956="","",SUMIFS(Txn[Buy Cost],Txn[Key],$A956))</f>
        <v/>
      </c>
      <c r="G956" s="287" t="str">
        <f>IF($A956="","",SUMIFS(Txn[Sell Proceeds],Txn[Key],$A956))</f>
        <v/>
      </c>
      <c r="H956" s="288" t="str">
        <f>IF($A956="","",IFERROR(INDEX(Prices[Current Price],MATCH($A956,Prices[Key],0)),0))</f>
        <v/>
      </c>
      <c r="I956" s="289" t="str">
        <f>IF($A956="","",IFERROR(INDEX(Prices[FX to SGD],MATCH($A956,Prices[Key],0)),1))</f>
        <v/>
      </c>
      <c r="J956" s="287" t="str">
        <f t="shared" si="129"/>
        <v/>
      </c>
      <c r="K956" s="287" t="str">
        <f t="shared" si="130"/>
        <v/>
      </c>
      <c r="L956" s="287" t="str">
        <f t="shared" si="131"/>
        <v/>
      </c>
      <c r="M956" s="290" t="str">
        <f t="shared" si="132"/>
        <v/>
      </c>
      <c r="N956" s="243" t="str">
        <f>IF($A956="","",IF(ABS(E956)&gt;0.000001,COUNT($N$1:N955)+1,""))</f>
        <v/>
      </c>
      <c r="O956" s="291" t="str">
        <f>IF($A956="","",SUMIFS(Transactions!$H$2:$H$1001,Transactions!$J$2:$J$1001,$A956,Transactions!$A$2:$A$1001,2)*$I956)</f>
        <v/>
      </c>
      <c r="P956" s="291" t="str">
        <f t="shared" si="133"/>
        <v/>
      </c>
      <c r="Q956" s="292" t="str">
        <f t="shared" si="134"/>
        <v/>
      </c>
    </row>
    <row r="957" spans="1:17" ht="15" customHeight="1" x14ac:dyDescent="0.2">
      <c r="A957" s="243" t="str">
        <f>IFERROR(INDEX(Txn[Key],MATCH(0,INDEX(COUNTIF($A$1:A956,Txn[Key])+(Txn[Key]=""),0),0)),"")</f>
        <v/>
      </c>
      <c r="B957" s="243" t="str">
        <f t="shared" si="126"/>
        <v/>
      </c>
      <c r="C957" s="243" t="str">
        <f t="shared" si="127"/>
        <v/>
      </c>
      <c r="D957" s="243" t="str">
        <f t="shared" si="128"/>
        <v/>
      </c>
      <c r="E957" s="265" t="str">
        <f>IF($A957="","",SUMIFS(Txn[Signed Units],Txn[Key],$A957))</f>
        <v/>
      </c>
      <c r="F957" s="287" t="str">
        <f>IF($A957="","",SUMIFS(Txn[Buy Cost],Txn[Key],$A957))</f>
        <v/>
      </c>
      <c r="G957" s="287" t="str">
        <f>IF($A957="","",SUMIFS(Txn[Sell Proceeds],Txn[Key],$A957))</f>
        <v/>
      </c>
      <c r="H957" s="288" t="str">
        <f>IF($A957="","",IFERROR(INDEX(Prices[Current Price],MATCH($A957,Prices[Key],0)),0))</f>
        <v/>
      </c>
      <c r="I957" s="289" t="str">
        <f>IF($A957="","",IFERROR(INDEX(Prices[FX to SGD],MATCH($A957,Prices[Key],0)),1))</f>
        <v/>
      </c>
      <c r="J957" s="287" t="str">
        <f t="shared" si="129"/>
        <v/>
      </c>
      <c r="K957" s="287" t="str">
        <f t="shared" si="130"/>
        <v/>
      </c>
      <c r="L957" s="287" t="str">
        <f t="shared" si="131"/>
        <v/>
      </c>
      <c r="M957" s="290" t="str">
        <f t="shared" si="132"/>
        <v/>
      </c>
      <c r="N957" s="243" t="str">
        <f>IF($A957="","",IF(ABS(E957)&gt;0.000001,COUNT($N$1:N956)+1,""))</f>
        <v/>
      </c>
      <c r="O957" s="291" t="str">
        <f>IF($A957="","",SUMIFS(Transactions!$H$2:$H$1001,Transactions!$J$2:$J$1001,$A957,Transactions!$A$2:$A$1001,2)*$I957)</f>
        <v/>
      </c>
      <c r="P957" s="291" t="str">
        <f t="shared" si="133"/>
        <v/>
      </c>
      <c r="Q957" s="292" t="str">
        <f t="shared" si="134"/>
        <v/>
      </c>
    </row>
    <row r="958" spans="1:17" ht="15" customHeight="1" x14ac:dyDescent="0.2">
      <c r="A958" s="243" t="str">
        <f>IFERROR(INDEX(Txn[Key],MATCH(0,INDEX(COUNTIF($A$1:A957,Txn[Key])+(Txn[Key]=""),0),0)),"")</f>
        <v/>
      </c>
      <c r="B958" s="243" t="str">
        <f t="shared" si="126"/>
        <v/>
      </c>
      <c r="C958" s="243" t="str">
        <f t="shared" si="127"/>
        <v/>
      </c>
      <c r="D958" s="243" t="str">
        <f t="shared" si="128"/>
        <v/>
      </c>
      <c r="E958" s="265" t="str">
        <f>IF($A958="","",SUMIFS(Txn[Signed Units],Txn[Key],$A958))</f>
        <v/>
      </c>
      <c r="F958" s="287" t="str">
        <f>IF($A958="","",SUMIFS(Txn[Buy Cost],Txn[Key],$A958))</f>
        <v/>
      </c>
      <c r="G958" s="287" t="str">
        <f>IF($A958="","",SUMIFS(Txn[Sell Proceeds],Txn[Key],$A958))</f>
        <v/>
      </c>
      <c r="H958" s="288" t="str">
        <f>IF($A958="","",IFERROR(INDEX(Prices[Current Price],MATCH($A958,Prices[Key],0)),0))</f>
        <v/>
      </c>
      <c r="I958" s="289" t="str">
        <f>IF($A958="","",IFERROR(INDEX(Prices[FX to SGD],MATCH($A958,Prices[Key],0)),1))</f>
        <v/>
      </c>
      <c r="J958" s="287" t="str">
        <f t="shared" si="129"/>
        <v/>
      </c>
      <c r="K958" s="287" t="str">
        <f t="shared" si="130"/>
        <v/>
      </c>
      <c r="L958" s="287" t="str">
        <f t="shared" si="131"/>
        <v/>
      </c>
      <c r="M958" s="290" t="str">
        <f t="shared" si="132"/>
        <v/>
      </c>
      <c r="N958" s="243" t="str">
        <f>IF($A958="","",IF(ABS(E958)&gt;0.000001,COUNT($N$1:N957)+1,""))</f>
        <v/>
      </c>
      <c r="O958" s="291" t="str">
        <f>IF($A958="","",SUMIFS(Transactions!$H$2:$H$1001,Transactions!$J$2:$J$1001,$A958,Transactions!$A$2:$A$1001,2)*$I958)</f>
        <v/>
      </c>
      <c r="P958" s="291" t="str">
        <f t="shared" si="133"/>
        <v/>
      </c>
      <c r="Q958" s="292" t="str">
        <f t="shared" si="134"/>
        <v/>
      </c>
    </row>
    <row r="959" spans="1:17" ht="15" customHeight="1" x14ac:dyDescent="0.2">
      <c r="A959" s="243" t="str">
        <f>IFERROR(INDEX(Txn[Key],MATCH(0,INDEX(COUNTIF($A$1:A958,Txn[Key])+(Txn[Key]=""),0),0)),"")</f>
        <v/>
      </c>
      <c r="B959" s="243" t="str">
        <f t="shared" si="126"/>
        <v/>
      </c>
      <c r="C959" s="243" t="str">
        <f t="shared" si="127"/>
        <v/>
      </c>
      <c r="D959" s="243" t="str">
        <f t="shared" si="128"/>
        <v/>
      </c>
      <c r="E959" s="265" t="str">
        <f>IF($A959="","",SUMIFS(Txn[Signed Units],Txn[Key],$A959))</f>
        <v/>
      </c>
      <c r="F959" s="287" t="str">
        <f>IF($A959="","",SUMIFS(Txn[Buy Cost],Txn[Key],$A959))</f>
        <v/>
      </c>
      <c r="G959" s="287" t="str">
        <f>IF($A959="","",SUMIFS(Txn[Sell Proceeds],Txn[Key],$A959))</f>
        <v/>
      </c>
      <c r="H959" s="288" t="str">
        <f>IF($A959="","",IFERROR(INDEX(Prices[Current Price],MATCH($A959,Prices[Key],0)),0))</f>
        <v/>
      </c>
      <c r="I959" s="289" t="str">
        <f>IF($A959="","",IFERROR(INDEX(Prices[FX to SGD],MATCH($A959,Prices[Key],0)),1))</f>
        <v/>
      </c>
      <c r="J959" s="287" t="str">
        <f t="shared" si="129"/>
        <v/>
      </c>
      <c r="K959" s="287" t="str">
        <f t="shared" si="130"/>
        <v/>
      </c>
      <c r="L959" s="287" t="str">
        <f t="shared" si="131"/>
        <v/>
      </c>
      <c r="M959" s="290" t="str">
        <f t="shared" si="132"/>
        <v/>
      </c>
      <c r="N959" s="243" t="str">
        <f>IF($A959="","",IF(ABS(E959)&gt;0.000001,COUNT($N$1:N958)+1,""))</f>
        <v/>
      </c>
      <c r="O959" s="291" t="str">
        <f>IF($A959="","",SUMIFS(Transactions!$H$2:$H$1001,Transactions!$J$2:$J$1001,$A959,Transactions!$A$2:$A$1001,2)*$I959)</f>
        <v/>
      </c>
      <c r="P959" s="291" t="str">
        <f t="shared" si="133"/>
        <v/>
      </c>
      <c r="Q959" s="292" t="str">
        <f t="shared" si="134"/>
        <v/>
      </c>
    </row>
    <row r="960" spans="1:17" ht="15" customHeight="1" x14ac:dyDescent="0.2">
      <c r="A960" s="243" t="str">
        <f>IFERROR(INDEX(Txn[Key],MATCH(0,INDEX(COUNTIF($A$1:A959,Txn[Key])+(Txn[Key]=""),0),0)),"")</f>
        <v/>
      </c>
      <c r="B960" s="243" t="str">
        <f t="shared" si="126"/>
        <v/>
      </c>
      <c r="C960" s="243" t="str">
        <f t="shared" si="127"/>
        <v/>
      </c>
      <c r="D960" s="243" t="str">
        <f t="shared" si="128"/>
        <v/>
      </c>
      <c r="E960" s="265" t="str">
        <f>IF($A960="","",SUMIFS(Txn[Signed Units],Txn[Key],$A960))</f>
        <v/>
      </c>
      <c r="F960" s="287" t="str">
        <f>IF($A960="","",SUMIFS(Txn[Buy Cost],Txn[Key],$A960))</f>
        <v/>
      </c>
      <c r="G960" s="287" t="str">
        <f>IF($A960="","",SUMIFS(Txn[Sell Proceeds],Txn[Key],$A960))</f>
        <v/>
      </c>
      <c r="H960" s="288" t="str">
        <f>IF($A960="","",IFERROR(INDEX(Prices[Current Price],MATCH($A960,Prices[Key],0)),0))</f>
        <v/>
      </c>
      <c r="I960" s="289" t="str">
        <f>IF($A960="","",IFERROR(INDEX(Prices[FX to SGD],MATCH($A960,Prices[Key],0)),1))</f>
        <v/>
      </c>
      <c r="J960" s="287" t="str">
        <f t="shared" si="129"/>
        <v/>
      </c>
      <c r="K960" s="287" t="str">
        <f t="shared" si="130"/>
        <v/>
      </c>
      <c r="L960" s="287" t="str">
        <f t="shared" si="131"/>
        <v/>
      </c>
      <c r="M960" s="290" t="str">
        <f t="shared" si="132"/>
        <v/>
      </c>
      <c r="N960" s="243" t="str">
        <f>IF($A960="","",IF(ABS(E960)&gt;0.000001,COUNT($N$1:N959)+1,""))</f>
        <v/>
      </c>
      <c r="O960" s="291" t="str">
        <f>IF($A960="","",SUMIFS(Transactions!$H$2:$H$1001,Transactions!$J$2:$J$1001,$A960,Transactions!$A$2:$A$1001,2)*$I960)</f>
        <v/>
      </c>
      <c r="P960" s="291" t="str">
        <f t="shared" si="133"/>
        <v/>
      </c>
      <c r="Q960" s="292" t="str">
        <f t="shared" si="134"/>
        <v/>
      </c>
    </row>
    <row r="961" spans="1:17" ht="15" customHeight="1" x14ac:dyDescent="0.2">
      <c r="A961" s="243" t="str">
        <f>IFERROR(INDEX(Txn[Key],MATCH(0,INDEX(COUNTIF($A$1:A960,Txn[Key])+(Txn[Key]=""),0),0)),"")</f>
        <v/>
      </c>
      <c r="B961" s="243" t="str">
        <f t="shared" si="126"/>
        <v/>
      </c>
      <c r="C961" s="243" t="str">
        <f t="shared" si="127"/>
        <v/>
      </c>
      <c r="D961" s="243" t="str">
        <f t="shared" si="128"/>
        <v/>
      </c>
      <c r="E961" s="265" t="str">
        <f>IF($A961="","",SUMIFS(Txn[Signed Units],Txn[Key],$A961))</f>
        <v/>
      </c>
      <c r="F961" s="287" t="str">
        <f>IF($A961="","",SUMIFS(Txn[Buy Cost],Txn[Key],$A961))</f>
        <v/>
      </c>
      <c r="G961" s="287" t="str">
        <f>IF($A961="","",SUMIFS(Txn[Sell Proceeds],Txn[Key],$A961))</f>
        <v/>
      </c>
      <c r="H961" s="288" t="str">
        <f>IF($A961="","",IFERROR(INDEX(Prices[Current Price],MATCH($A961,Prices[Key],0)),0))</f>
        <v/>
      </c>
      <c r="I961" s="289" t="str">
        <f>IF($A961="","",IFERROR(INDEX(Prices[FX to SGD],MATCH($A961,Prices[Key],0)),1))</f>
        <v/>
      </c>
      <c r="J961" s="287" t="str">
        <f t="shared" si="129"/>
        <v/>
      </c>
      <c r="K961" s="287" t="str">
        <f t="shared" si="130"/>
        <v/>
      </c>
      <c r="L961" s="287" t="str">
        <f t="shared" si="131"/>
        <v/>
      </c>
      <c r="M961" s="290" t="str">
        <f t="shared" si="132"/>
        <v/>
      </c>
      <c r="N961" s="243" t="str">
        <f>IF($A961="","",IF(ABS(E961)&gt;0.000001,COUNT($N$1:N960)+1,""))</f>
        <v/>
      </c>
      <c r="O961" s="291" t="str">
        <f>IF($A961="","",SUMIFS(Transactions!$H$2:$H$1001,Transactions!$J$2:$J$1001,$A961,Transactions!$A$2:$A$1001,2)*$I961)</f>
        <v/>
      </c>
      <c r="P961" s="291" t="str">
        <f t="shared" si="133"/>
        <v/>
      </c>
      <c r="Q961" s="292" t="str">
        <f t="shared" si="134"/>
        <v/>
      </c>
    </row>
    <row r="962" spans="1:17" ht="15" customHeight="1" x14ac:dyDescent="0.2">
      <c r="A962" s="243" t="str">
        <f>IFERROR(INDEX(Txn[Key],MATCH(0,INDEX(COUNTIF($A$1:A961,Txn[Key])+(Txn[Key]=""),0),0)),"")</f>
        <v/>
      </c>
      <c r="B962" s="243" t="str">
        <f t="shared" ref="B962:B1001" si="135">IF($A962="","",LEFT($A962,FIND(":",$A962)-1))</f>
        <v/>
      </c>
      <c r="C962" s="243" t="str">
        <f t="shared" ref="C962:C1001" si="136">IF($A962="","",MID($A962,FIND(":",$A962)+1,FIND(":",$A962,FIND(":",$A962)+1)-FIND(":",$A962)-1))</f>
        <v/>
      </c>
      <c r="D962" s="243" t="str">
        <f t="shared" ref="D962:D1001" si="137">IF($A962="","",RIGHT($A962,LEN($A962)-FIND(":",$A962,FIND(":",$A962)+1)))</f>
        <v/>
      </c>
      <c r="E962" s="265" t="str">
        <f>IF($A962="","",SUMIFS(Txn[Signed Units],Txn[Key],$A962))</f>
        <v/>
      </c>
      <c r="F962" s="287" t="str">
        <f>IF($A962="","",SUMIFS(Txn[Buy Cost],Txn[Key],$A962))</f>
        <v/>
      </c>
      <c r="G962" s="287" t="str">
        <f>IF($A962="","",SUMIFS(Txn[Sell Proceeds],Txn[Key],$A962))</f>
        <v/>
      </c>
      <c r="H962" s="288" t="str">
        <f>IF($A962="","",IFERROR(INDEX(Prices[Current Price],MATCH($A962,Prices[Key],0)),0))</f>
        <v/>
      </c>
      <c r="I962" s="289" t="str">
        <f>IF($A962="","",IFERROR(INDEX(Prices[FX to SGD],MATCH($A962,Prices[Key],0)),1))</f>
        <v/>
      </c>
      <c r="J962" s="287" t="str">
        <f t="shared" ref="J962:J1001" si="138">IF($A962="","",E962*H962)</f>
        <v/>
      </c>
      <c r="K962" s="287" t="str">
        <f t="shared" ref="K962:K1025" si="139">IF($A962="","",J962+G962-F962)</f>
        <v/>
      </c>
      <c r="L962" s="287" t="str">
        <f t="shared" ref="L962:L1025" si="140">IF($A962="","",K962*I962)</f>
        <v/>
      </c>
      <c r="M962" s="290" t="str">
        <f t="shared" ref="M962:M1001" si="141">IF($A962="","",IFERROR(K962/F962,0))</f>
        <v/>
      </c>
      <c r="N962" s="243" t="str">
        <f>IF($A962="","",IF(ABS(E962)&gt;0.000001,COUNT($N$1:N961)+1,""))</f>
        <v/>
      </c>
      <c r="O962" s="291" t="str">
        <f>IF($A962="","",SUMIFS(Transactions!$H$2:$H$1001,Transactions!$J$2:$J$1001,$A962,Transactions!$A$2:$A$1001,2)*$I962)</f>
        <v/>
      </c>
      <c r="P962" s="291" t="str">
        <f t="shared" ref="P962:P1001" si="142">IF($A962="","",$L962+$O962)</f>
        <v/>
      </c>
      <c r="Q962" s="292" t="str">
        <f t="shared" ref="Q962:Q1001" si="143">IF($A962="","",IFERROR(($L962+$O962)/($F962*$I962),0))</f>
        <v/>
      </c>
    </row>
    <row r="963" spans="1:17" ht="15" customHeight="1" x14ac:dyDescent="0.2">
      <c r="A963" s="243" t="str">
        <f>IFERROR(INDEX(Txn[Key],MATCH(0,INDEX(COUNTIF($A$1:A962,Txn[Key])+(Txn[Key]=""),0),0)),"")</f>
        <v/>
      </c>
      <c r="B963" s="243" t="str">
        <f t="shared" si="135"/>
        <v/>
      </c>
      <c r="C963" s="243" t="str">
        <f t="shared" si="136"/>
        <v/>
      </c>
      <c r="D963" s="243" t="str">
        <f t="shared" si="137"/>
        <v/>
      </c>
      <c r="E963" s="265" t="str">
        <f>IF($A963="","",SUMIFS(Txn[Signed Units],Txn[Key],$A963))</f>
        <v/>
      </c>
      <c r="F963" s="287" t="str">
        <f>IF($A963="","",SUMIFS(Txn[Buy Cost],Txn[Key],$A963))</f>
        <v/>
      </c>
      <c r="G963" s="287" t="str">
        <f>IF($A963="","",SUMIFS(Txn[Sell Proceeds],Txn[Key],$A963))</f>
        <v/>
      </c>
      <c r="H963" s="288" t="str">
        <f>IF($A963="","",IFERROR(INDEX(Prices[Current Price],MATCH($A963,Prices[Key],0)),0))</f>
        <v/>
      </c>
      <c r="I963" s="289" t="str">
        <f>IF($A963="","",IFERROR(INDEX(Prices[FX to SGD],MATCH($A963,Prices[Key],0)),1))</f>
        <v/>
      </c>
      <c r="J963" s="287" t="str">
        <f t="shared" si="138"/>
        <v/>
      </c>
      <c r="K963" s="287" t="str">
        <f t="shared" si="139"/>
        <v/>
      </c>
      <c r="L963" s="287" t="str">
        <f t="shared" si="140"/>
        <v/>
      </c>
      <c r="M963" s="290" t="str">
        <f t="shared" si="141"/>
        <v/>
      </c>
      <c r="N963" s="243" t="str">
        <f>IF($A963="","",IF(ABS(E963)&gt;0.000001,COUNT($N$1:N962)+1,""))</f>
        <v/>
      </c>
      <c r="O963" s="291" t="str">
        <f>IF($A963="","",SUMIFS(Transactions!$H$2:$H$1001,Transactions!$J$2:$J$1001,$A963,Transactions!$A$2:$A$1001,2)*$I963)</f>
        <v/>
      </c>
      <c r="P963" s="291" t="str">
        <f t="shared" si="142"/>
        <v/>
      </c>
      <c r="Q963" s="292" t="str">
        <f t="shared" si="143"/>
        <v/>
      </c>
    </row>
    <row r="964" spans="1:17" ht="15" customHeight="1" x14ac:dyDescent="0.2">
      <c r="A964" s="243" t="str">
        <f>IFERROR(INDEX(Txn[Key],MATCH(0,INDEX(COUNTIF($A$1:A963,Txn[Key])+(Txn[Key]=""),0),0)),"")</f>
        <v/>
      </c>
      <c r="B964" s="243" t="str">
        <f t="shared" si="135"/>
        <v/>
      </c>
      <c r="C964" s="243" t="str">
        <f t="shared" si="136"/>
        <v/>
      </c>
      <c r="D964" s="243" t="str">
        <f t="shared" si="137"/>
        <v/>
      </c>
      <c r="E964" s="265" t="str">
        <f>IF($A964="","",SUMIFS(Txn[Signed Units],Txn[Key],$A964))</f>
        <v/>
      </c>
      <c r="F964" s="287" t="str">
        <f>IF($A964="","",SUMIFS(Txn[Buy Cost],Txn[Key],$A964))</f>
        <v/>
      </c>
      <c r="G964" s="287" t="str">
        <f>IF($A964="","",SUMIFS(Txn[Sell Proceeds],Txn[Key],$A964))</f>
        <v/>
      </c>
      <c r="H964" s="288" t="str">
        <f>IF($A964="","",IFERROR(INDEX(Prices[Current Price],MATCH($A964,Prices[Key],0)),0))</f>
        <v/>
      </c>
      <c r="I964" s="289" t="str">
        <f>IF($A964="","",IFERROR(INDEX(Prices[FX to SGD],MATCH($A964,Prices[Key],0)),1))</f>
        <v/>
      </c>
      <c r="J964" s="287" t="str">
        <f t="shared" si="138"/>
        <v/>
      </c>
      <c r="K964" s="287" t="str">
        <f t="shared" si="139"/>
        <v/>
      </c>
      <c r="L964" s="287" t="str">
        <f t="shared" si="140"/>
        <v/>
      </c>
      <c r="M964" s="290" t="str">
        <f t="shared" si="141"/>
        <v/>
      </c>
      <c r="N964" s="243" t="str">
        <f>IF($A964="","",IF(ABS(E964)&gt;0.000001,COUNT($N$1:N963)+1,""))</f>
        <v/>
      </c>
      <c r="O964" s="291" t="str">
        <f>IF($A964="","",SUMIFS(Transactions!$H$2:$H$1001,Transactions!$J$2:$J$1001,$A964,Transactions!$A$2:$A$1001,2)*$I964)</f>
        <v/>
      </c>
      <c r="P964" s="291" t="str">
        <f t="shared" si="142"/>
        <v/>
      </c>
      <c r="Q964" s="292" t="str">
        <f t="shared" si="143"/>
        <v/>
      </c>
    </row>
    <row r="965" spans="1:17" ht="15" customHeight="1" x14ac:dyDescent="0.2">
      <c r="A965" s="243" t="str">
        <f>IFERROR(INDEX(Txn[Key],MATCH(0,INDEX(COUNTIF($A$1:A964,Txn[Key])+(Txn[Key]=""),0),0)),"")</f>
        <v/>
      </c>
      <c r="B965" s="243" t="str">
        <f t="shared" si="135"/>
        <v/>
      </c>
      <c r="C965" s="243" t="str">
        <f t="shared" si="136"/>
        <v/>
      </c>
      <c r="D965" s="243" t="str">
        <f t="shared" si="137"/>
        <v/>
      </c>
      <c r="E965" s="265" t="str">
        <f>IF($A965="","",SUMIFS(Txn[Signed Units],Txn[Key],$A965))</f>
        <v/>
      </c>
      <c r="F965" s="287" t="str">
        <f>IF($A965="","",SUMIFS(Txn[Buy Cost],Txn[Key],$A965))</f>
        <v/>
      </c>
      <c r="G965" s="287" t="str">
        <f>IF($A965="","",SUMIFS(Txn[Sell Proceeds],Txn[Key],$A965))</f>
        <v/>
      </c>
      <c r="H965" s="288" t="str">
        <f>IF($A965="","",IFERROR(INDEX(Prices[Current Price],MATCH($A965,Prices[Key],0)),0))</f>
        <v/>
      </c>
      <c r="I965" s="289" t="str">
        <f>IF($A965="","",IFERROR(INDEX(Prices[FX to SGD],MATCH($A965,Prices[Key],0)),1))</f>
        <v/>
      </c>
      <c r="J965" s="287" t="str">
        <f t="shared" si="138"/>
        <v/>
      </c>
      <c r="K965" s="287" t="str">
        <f t="shared" si="139"/>
        <v/>
      </c>
      <c r="L965" s="287" t="str">
        <f t="shared" si="140"/>
        <v/>
      </c>
      <c r="M965" s="290" t="str">
        <f t="shared" si="141"/>
        <v/>
      </c>
      <c r="N965" s="243" t="str">
        <f>IF($A965="","",IF(ABS(E965)&gt;0.000001,COUNT($N$1:N964)+1,""))</f>
        <v/>
      </c>
      <c r="O965" s="291" t="str">
        <f>IF($A965="","",SUMIFS(Transactions!$H$2:$H$1001,Transactions!$J$2:$J$1001,$A965,Transactions!$A$2:$A$1001,2)*$I965)</f>
        <v/>
      </c>
      <c r="P965" s="291" t="str">
        <f t="shared" si="142"/>
        <v/>
      </c>
      <c r="Q965" s="292" t="str">
        <f t="shared" si="143"/>
        <v/>
      </c>
    </row>
    <row r="966" spans="1:17" ht="15" customHeight="1" x14ac:dyDescent="0.2">
      <c r="A966" s="243" t="str">
        <f>IFERROR(INDEX(Txn[Key],MATCH(0,INDEX(COUNTIF($A$1:A965,Txn[Key])+(Txn[Key]=""),0),0)),"")</f>
        <v/>
      </c>
      <c r="B966" s="243" t="str">
        <f t="shared" si="135"/>
        <v/>
      </c>
      <c r="C966" s="243" t="str">
        <f t="shared" si="136"/>
        <v/>
      </c>
      <c r="D966" s="243" t="str">
        <f t="shared" si="137"/>
        <v/>
      </c>
      <c r="E966" s="265" t="str">
        <f>IF($A966="","",SUMIFS(Txn[Signed Units],Txn[Key],$A966))</f>
        <v/>
      </c>
      <c r="F966" s="287" t="str">
        <f>IF($A966="","",SUMIFS(Txn[Buy Cost],Txn[Key],$A966))</f>
        <v/>
      </c>
      <c r="G966" s="287" t="str">
        <f>IF($A966="","",SUMIFS(Txn[Sell Proceeds],Txn[Key],$A966))</f>
        <v/>
      </c>
      <c r="H966" s="288" t="str">
        <f>IF($A966="","",IFERROR(INDEX(Prices[Current Price],MATCH($A966,Prices[Key],0)),0))</f>
        <v/>
      </c>
      <c r="I966" s="289" t="str">
        <f>IF($A966="","",IFERROR(INDEX(Prices[FX to SGD],MATCH($A966,Prices[Key],0)),1))</f>
        <v/>
      </c>
      <c r="J966" s="287" t="str">
        <f t="shared" si="138"/>
        <v/>
      </c>
      <c r="K966" s="287" t="str">
        <f t="shared" si="139"/>
        <v/>
      </c>
      <c r="L966" s="287" t="str">
        <f t="shared" si="140"/>
        <v/>
      </c>
      <c r="M966" s="290" t="str">
        <f t="shared" si="141"/>
        <v/>
      </c>
      <c r="N966" s="243" t="str">
        <f>IF($A966="","",IF(ABS(E966)&gt;0.000001,COUNT($N$1:N965)+1,""))</f>
        <v/>
      </c>
      <c r="O966" s="291" t="str">
        <f>IF($A966="","",SUMIFS(Transactions!$H$2:$H$1001,Transactions!$J$2:$J$1001,$A966,Transactions!$A$2:$A$1001,2)*$I966)</f>
        <v/>
      </c>
      <c r="P966" s="291" t="str">
        <f t="shared" si="142"/>
        <v/>
      </c>
      <c r="Q966" s="292" t="str">
        <f t="shared" si="143"/>
        <v/>
      </c>
    </row>
    <row r="967" spans="1:17" ht="15" customHeight="1" x14ac:dyDescent="0.2">
      <c r="A967" s="243" t="str">
        <f>IFERROR(INDEX(Txn[Key],MATCH(0,INDEX(COUNTIF($A$1:A966,Txn[Key])+(Txn[Key]=""),0),0)),"")</f>
        <v/>
      </c>
      <c r="B967" s="243" t="str">
        <f t="shared" si="135"/>
        <v/>
      </c>
      <c r="C967" s="243" t="str">
        <f t="shared" si="136"/>
        <v/>
      </c>
      <c r="D967" s="243" t="str">
        <f t="shared" si="137"/>
        <v/>
      </c>
      <c r="E967" s="265" t="str">
        <f>IF($A967="","",SUMIFS(Txn[Signed Units],Txn[Key],$A967))</f>
        <v/>
      </c>
      <c r="F967" s="287" t="str">
        <f>IF($A967="","",SUMIFS(Txn[Buy Cost],Txn[Key],$A967))</f>
        <v/>
      </c>
      <c r="G967" s="287" t="str">
        <f>IF($A967="","",SUMIFS(Txn[Sell Proceeds],Txn[Key],$A967))</f>
        <v/>
      </c>
      <c r="H967" s="288" t="str">
        <f>IF($A967="","",IFERROR(INDEX(Prices[Current Price],MATCH($A967,Prices[Key],0)),0))</f>
        <v/>
      </c>
      <c r="I967" s="289" t="str">
        <f>IF($A967="","",IFERROR(INDEX(Prices[FX to SGD],MATCH($A967,Prices[Key],0)),1))</f>
        <v/>
      </c>
      <c r="J967" s="287" t="str">
        <f t="shared" si="138"/>
        <v/>
      </c>
      <c r="K967" s="287" t="str">
        <f t="shared" si="139"/>
        <v/>
      </c>
      <c r="L967" s="287" t="str">
        <f t="shared" si="140"/>
        <v/>
      </c>
      <c r="M967" s="290" t="str">
        <f t="shared" si="141"/>
        <v/>
      </c>
      <c r="N967" s="243" t="str">
        <f>IF($A967="","",IF(ABS(E967)&gt;0.000001,COUNT($N$1:N966)+1,""))</f>
        <v/>
      </c>
      <c r="O967" s="291" t="str">
        <f>IF($A967="","",SUMIFS(Transactions!$H$2:$H$1001,Transactions!$J$2:$J$1001,$A967,Transactions!$A$2:$A$1001,2)*$I967)</f>
        <v/>
      </c>
      <c r="P967" s="291" t="str">
        <f t="shared" si="142"/>
        <v/>
      </c>
      <c r="Q967" s="292" t="str">
        <f t="shared" si="143"/>
        <v/>
      </c>
    </row>
    <row r="968" spans="1:17" ht="15" customHeight="1" x14ac:dyDescent="0.2">
      <c r="A968" s="243" t="str">
        <f>IFERROR(INDEX(Txn[Key],MATCH(0,INDEX(COUNTIF($A$1:A967,Txn[Key])+(Txn[Key]=""),0),0)),"")</f>
        <v/>
      </c>
      <c r="B968" s="243" t="str">
        <f t="shared" si="135"/>
        <v/>
      </c>
      <c r="C968" s="243" t="str">
        <f t="shared" si="136"/>
        <v/>
      </c>
      <c r="D968" s="243" t="str">
        <f t="shared" si="137"/>
        <v/>
      </c>
      <c r="E968" s="265" t="str">
        <f>IF($A968="","",SUMIFS(Txn[Signed Units],Txn[Key],$A968))</f>
        <v/>
      </c>
      <c r="F968" s="287" t="str">
        <f>IF($A968="","",SUMIFS(Txn[Buy Cost],Txn[Key],$A968))</f>
        <v/>
      </c>
      <c r="G968" s="287" t="str">
        <f>IF($A968="","",SUMIFS(Txn[Sell Proceeds],Txn[Key],$A968))</f>
        <v/>
      </c>
      <c r="H968" s="288" t="str">
        <f>IF($A968="","",IFERROR(INDEX(Prices[Current Price],MATCH($A968,Prices[Key],0)),0))</f>
        <v/>
      </c>
      <c r="I968" s="289" t="str">
        <f>IF($A968="","",IFERROR(INDEX(Prices[FX to SGD],MATCH($A968,Prices[Key],0)),1))</f>
        <v/>
      </c>
      <c r="J968" s="287" t="str">
        <f t="shared" si="138"/>
        <v/>
      </c>
      <c r="K968" s="287" t="str">
        <f t="shared" si="139"/>
        <v/>
      </c>
      <c r="L968" s="287" t="str">
        <f t="shared" si="140"/>
        <v/>
      </c>
      <c r="M968" s="290" t="str">
        <f t="shared" si="141"/>
        <v/>
      </c>
      <c r="N968" s="243" t="str">
        <f>IF($A968="","",IF(ABS(E968)&gt;0.000001,COUNT($N$1:N967)+1,""))</f>
        <v/>
      </c>
      <c r="O968" s="291" t="str">
        <f>IF($A968="","",SUMIFS(Transactions!$H$2:$H$1001,Transactions!$J$2:$J$1001,$A968,Transactions!$A$2:$A$1001,2)*$I968)</f>
        <v/>
      </c>
      <c r="P968" s="291" t="str">
        <f t="shared" si="142"/>
        <v/>
      </c>
      <c r="Q968" s="292" t="str">
        <f t="shared" si="143"/>
        <v/>
      </c>
    </row>
    <row r="969" spans="1:17" ht="15" customHeight="1" x14ac:dyDescent="0.2">
      <c r="A969" s="243" t="str">
        <f>IFERROR(INDEX(Txn[Key],MATCH(0,INDEX(COUNTIF($A$1:A968,Txn[Key])+(Txn[Key]=""),0),0)),"")</f>
        <v/>
      </c>
      <c r="B969" s="243" t="str">
        <f t="shared" si="135"/>
        <v/>
      </c>
      <c r="C969" s="243" t="str">
        <f t="shared" si="136"/>
        <v/>
      </c>
      <c r="D969" s="243" t="str">
        <f t="shared" si="137"/>
        <v/>
      </c>
      <c r="E969" s="265" t="str">
        <f>IF($A969="","",SUMIFS(Txn[Signed Units],Txn[Key],$A969))</f>
        <v/>
      </c>
      <c r="F969" s="287" t="str">
        <f>IF($A969="","",SUMIFS(Txn[Buy Cost],Txn[Key],$A969))</f>
        <v/>
      </c>
      <c r="G969" s="287" t="str">
        <f>IF($A969="","",SUMIFS(Txn[Sell Proceeds],Txn[Key],$A969))</f>
        <v/>
      </c>
      <c r="H969" s="288" t="str">
        <f>IF($A969="","",IFERROR(INDEX(Prices[Current Price],MATCH($A969,Prices[Key],0)),0))</f>
        <v/>
      </c>
      <c r="I969" s="289" t="str">
        <f>IF($A969="","",IFERROR(INDEX(Prices[FX to SGD],MATCH($A969,Prices[Key],0)),1))</f>
        <v/>
      </c>
      <c r="J969" s="287" t="str">
        <f t="shared" si="138"/>
        <v/>
      </c>
      <c r="K969" s="287" t="str">
        <f t="shared" si="139"/>
        <v/>
      </c>
      <c r="L969" s="287" t="str">
        <f t="shared" si="140"/>
        <v/>
      </c>
      <c r="M969" s="290" t="str">
        <f t="shared" si="141"/>
        <v/>
      </c>
      <c r="N969" s="243" t="str">
        <f>IF($A969="","",IF(ABS(E969)&gt;0.000001,COUNT($N$1:N968)+1,""))</f>
        <v/>
      </c>
      <c r="O969" s="291" t="str">
        <f>IF($A969="","",SUMIFS(Transactions!$H$2:$H$1001,Transactions!$J$2:$J$1001,$A969,Transactions!$A$2:$A$1001,2)*$I969)</f>
        <v/>
      </c>
      <c r="P969" s="291" t="str">
        <f t="shared" si="142"/>
        <v/>
      </c>
      <c r="Q969" s="292" t="str">
        <f t="shared" si="143"/>
        <v/>
      </c>
    </row>
    <row r="970" spans="1:17" ht="15" customHeight="1" x14ac:dyDescent="0.2">
      <c r="A970" s="243" t="str">
        <f>IFERROR(INDEX(Txn[Key],MATCH(0,INDEX(COUNTIF($A$1:A969,Txn[Key])+(Txn[Key]=""),0),0)),"")</f>
        <v/>
      </c>
      <c r="B970" s="243" t="str">
        <f t="shared" si="135"/>
        <v/>
      </c>
      <c r="C970" s="243" t="str">
        <f t="shared" si="136"/>
        <v/>
      </c>
      <c r="D970" s="243" t="str">
        <f t="shared" si="137"/>
        <v/>
      </c>
      <c r="E970" s="265" t="str">
        <f>IF($A970="","",SUMIFS(Txn[Signed Units],Txn[Key],$A970))</f>
        <v/>
      </c>
      <c r="F970" s="287" t="str">
        <f>IF($A970="","",SUMIFS(Txn[Buy Cost],Txn[Key],$A970))</f>
        <v/>
      </c>
      <c r="G970" s="287" t="str">
        <f>IF($A970="","",SUMIFS(Txn[Sell Proceeds],Txn[Key],$A970))</f>
        <v/>
      </c>
      <c r="H970" s="288" t="str">
        <f>IF($A970="","",IFERROR(INDEX(Prices[Current Price],MATCH($A970,Prices[Key],0)),0))</f>
        <v/>
      </c>
      <c r="I970" s="289" t="str">
        <f>IF($A970="","",IFERROR(INDEX(Prices[FX to SGD],MATCH($A970,Prices[Key],0)),1))</f>
        <v/>
      </c>
      <c r="J970" s="287" t="str">
        <f t="shared" si="138"/>
        <v/>
      </c>
      <c r="K970" s="287" t="str">
        <f t="shared" si="139"/>
        <v/>
      </c>
      <c r="L970" s="287" t="str">
        <f t="shared" si="140"/>
        <v/>
      </c>
      <c r="M970" s="290" t="str">
        <f t="shared" si="141"/>
        <v/>
      </c>
      <c r="N970" s="243" t="str">
        <f>IF($A970="","",IF(ABS(E970)&gt;0.000001,COUNT($N$1:N969)+1,""))</f>
        <v/>
      </c>
      <c r="O970" s="291" t="str">
        <f>IF($A970="","",SUMIFS(Transactions!$H$2:$H$1001,Transactions!$J$2:$J$1001,$A970,Transactions!$A$2:$A$1001,2)*$I970)</f>
        <v/>
      </c>
      <c r="P970" s="291" t="str">
        <f t="shared" si="142"/>
        <v/>
      </c>
      <c r="Q970" s="292" t="str">
        <f t="shared" si="143"/>
        <v/>
      </c>
    </row>
    <row r="971" spans="1:17" ht="15" customHeight="1" x14ac:dyDescent="0.2">
      <c r="A971" s="243" t="str">
        <f>IFERROR(INDEX(Txn[Key],MATCH(0,INDEX(COUNTIF($A$1:A970,Txn[Key])+(Txn[Key]=""),0),0)),"")</f>
        <v/>
      </c>
      <c r="B971" s="243" t="str">
        <f t="shared" si="135"/>
        <v/>
      </c>
      <c r="C971" s="243" t="str">
        <f t="shared" si="136"/>
        <v/>
      </c>
      <c r="D971" s="243" t="str">
        <f t="shared" si="137"/>
        <v/>
      </c>
      <c r="E971" s="265" t="str">
        <f>IF($A971="","",SUMIFS(Txn[Signed Units],Txn[Key],$A971))</f>
        <v/>
      </c>
      <c r="F971" s="287" t="str">
        <f>IF($A971="","",SUMIFS(Txn[Buy Cost],Txn[Key],$A971))</f>
        <v/>
      </c>
      <c r="G971" s="287" t="str">
        <f>IF($A971="","",SUMIFS(Txn[Sell Proceeds],Txn[Key],$A971))</f>
        <v/>
      </c>
      <c r="H971" s="288" t="str">
        <f>IF($A971="","",IFERROR(INDEX(Prices[Current Price],MATCH($A971,Prices[Key],0)),0))</f>
        <v/>
      </c>
      <c r="I971" s="289" t="str">
        <f>IF($A971="","",IFERROR(INDEX(Prices[FX to SGD],MATCH($A971,Prices[Key],0)),1))</f>
        <v/>
      </c>
      <c r="J971" s="287" t="str">
        <f t="shared" si="138"/>
        <v/>
      </c>
      <c r="K971" s="287" t="str">
        <f t="shared" si="139"/>
        <v/>
      </c>
      <c r="L971" s="287" t="str">
        <f t="shared" si="140"/>
        <v/>
      </c>
      <c r="M971" s="290" t="str">
        <f t="shared" si="141"/>
        <v/>
      </c>
      <c r="N971" s="243" t="str">
        <f>IF($A971="","",IF(ABS(E971)&gt;0.000001,COUNT($N$1:N970)+1,""))</f>
        <v/>
      </c>
      <c r="O971" s="291" t="str">
        <f>IF($A971="","",SUMIFS(Transactions!$H$2:$H$1001,Transactions!$J$2:$J$1001,$A971,Transactions!$A$2:$A$1001,2)*$I971)</f>
        <v/>
      </c>
      <c r="P971" s="291" t="str">
        <f t="shared" si="142"/>
        <v/>
      </c>
      <c r="Q971" s="292" t="str">
        <f t="shared" si="143"/>
        <v/>
      </c>
    </row>
    <row r="972" spans="1:17" ht="15" customHeight="1" x14ac:dyDescent="0.2">
      <c r="A972" s="243" t="str">
        <f>IFERROR(INDEX(Txn[Key],MATCH(0,INDEX(COUNTIF($A$1:A971,Txn[Key])+(Txn[Key]=""),0),0)),"")</f>
        <v/>
      </c>
      <c r="B972" s="243" t="str">
        <f t="shared" si="135"/>
        <v/>
      </c>
      <c r="C972" s="243" t="str">
        <f t="shared" si="136"/>
        <v/>
      </c>
      <c r="D972" s="243" t="str">
        <f t="shared" si="137"/>
        <v/>
      </c>
      <c r="E972" s="265" t="str">
        <f>IF($A972="","",SUMIFS(Txn[Signed Units],Txn[Key],$A972))</f>
        <v/>
      </c>
      <c r="F972" s="287" t="str">
        <f>IF($A972="","",SUMIFS(Txn[Buy Cost],Txn[Key],$A972))</f>
        <v/>
      </c>
      <c r="G972" s="287" t="str">
        <f>IF($A972="","",SUMIFS(Txn[Sell Proceeds],Txn[Key],$A972))</f>
        <v/>
      </c>
      <c r="H972" s="288" t="str">
        <f>IF($A972="","",IFERROR(INDEX(Prices[Current Price],MATCH($A972,Prices[Key],0)),0))</f>
        <v/>
      </c>
      <c r="I972" s="289" t="str">
        <f>IF($A972="","",IFERROR(INDEX(Prices[FX to SGD],MATCH($A972,Prices[Key],0)),1))</f>
        <v/>
      </c>
      <c r="J972" s="287" t="str">
        <f t="shared" si="138"/>
        <v/>
      </c>
      <c r="K972" s="287" t="str">
        <f t="shared" si="139"/>
        <v/>
      </c>
      <c r="L972" s="287" t="str">
        <f t="shared" si="140"/>
        <v/>
      </c>
      <c r="M972" s="290" t="str">
        <f t="shared" si="141"/>
        <v/>
      </c>
      <c r="N972" s="243" t="str">
        <f>IF($A972="","",IF(ABS(E972)&gt;0.000001,COUNT($N$1:N971)+1,""))</f>
        <v/>
      </c>
      <c r="O972" s="291" t="str">
        <f>IF($A972="","",SUMIFS(Transactions!$H$2:$H$1001,Transactions!$J$2:$J$1001,$A972,Transactions!$A$2:$A$1001,2)*$I972)</f>
        <v/>
      </c>
      <c r="P972" s="291" t="str">
        <f t="shared" si="142"/>
        <v/>
      </c>
      <c r="Q972" s="292" t="str">
        <f t="shared" si="143"/>
        <v/>
      </c>
    </row>
    <row r="973" spans="1:17" ht="15" customHeight="1" x14ac:dyDescent="0.2">
      <c r="A973" s="243" t="str">
        <f>IFERROR(INDEX(Txn[Key],MATCH(0,INDEX(COUNTIF($A$1:A972,Txn[Key])+(Txn[Key]=""),0),0)),"")</f>
        <v/>
      </c>
      <c r="B973" s="243" t="str">
        <f t="shared" si="135"/>
        <v/>
      </c>
      <c r="C973" s="243" t="str">
        <f t="shared" si="136"/>
        <v/>
      </c>
      <c r="D973" s="243" t="str">
        <f t="shared" si="137"/>
        <v/>
      </c>
      <c r="E973" s="265" t="str">
        <f>IF($A973="","",SUMIFS(Txn[Signed Units],Txn[Key],$A973))</f>
        <v/>
      </c>
      <c r="F973" s="287" t="str">
        <f>IF($A973="","",SUMIFS(Txn[Buy Cost],Txn[Key],$A973))</f>
        <v/>
      </c>
      <c r="G973" s="287" t="str">
        <f>IF($A973="","",SUMIFS(Txn[Sell Proceeds],Txn[Key],$A973))</f>
        <v/>
      </c>
      <c r="H973" s="288" t="str">
        <f>IF($A973="","",IFERROR(INDEX(Prices[Current Price],MATCH($A973,Prices[Key],0)),0))</f>
        <v/>
      </c>
      <c r="I973" s="289" t="str">
        <f>IF($A973="","",IFERROR(INDEX(Prices[FX to SGD],MATCH($A973,Prices[Key],0)),1))</f>
        <v/>
      </c>
      <c r="J973" s="287" t="str">
        <f t="shared" si="138"/>
        <v/>
      </c>
      <c r="K973" s="287" t="str">
        <f t="shared" si="139"/>
        <v/>
      </c>
      <c r="L973" s="287" t="str">
        <f t="shared" si="140"/>
        <v/>
      </c>
      <c r="M973" s="290" t="str">
        <f t="shared" si="141"/>
        <v/>
      </c>
      <c r="N973" s="243" t="str">
        <f>IF($A973="","",IF(ABS(E973)&gt;0.000001,COUNT($N$1:N972)+1,""))</f>
        <v/>
      </c>
      <c r="O973" s="291" t="str">
        <f>IF($A973="","",SUMIFS(Transactions!$H$2:$H$1001,Transactions!$J$2:$J$1001,$A973,Transactions!$A$2:$A$1001,2)*$I973)</f>
        <v/>
      </c>
      <c r="P973" s="291" t="str">
        <f t="shared" si="142"/>
        <v/>
      </c>
      <c r="Q973" s="292" t="str">
        <f t="shared" si="143"/>
        <v/>
      </c>
    </row>
    <row r="974" spans="1:17" ht="15" customHeight="1" x14ac:dyDescent="0.2">
      <c r="A974" s="243" t="str">
        <f>IFERROR(INDEX(Txn[Key],MATCH(0,INDEX(COUNTIF($A$1:A973,Txn[Key])+(Txn[Key]=""),0),0)),"")</f>
        <v/>
      </c>
      <c r="B974" s="243" t="str">
        <f t="shared" si="135"/>
        <v/>
      </c>
      <c r="C974" s="243" t="str">
        <f t="shared" si="136"/>
        <v/>
      </c>
      <c r="D974" s="243" t="str">
        <f t="shared" si="137"/>
        <v/>
      </c>
      <c r="E974" s="265" t="str">
        <f>IF($A974="","",SUMIFS(Txn[Signed Units],Txn[Key],$A974))</f>
        <v/>
      </c>
      <c r="F974" s="287" t="str">
        <f>IF($A974="","",SUMIFS(Txn[Buy Cost],Txn[Key],$A974))</f>
        <v/>
      </c>
      <c r="G974" s="287" t="str">
        <f>IF($A974="","",SUMIFS(Txn[Sell Proceeds],Txn[Key],$A974))</f>
        <v/>
      </c>
      <c r="H974" s="288" t="str">
        <f>IF($A974="","",IFERROR(INDEX(Prices[Current Price],MATCH($A974,Prices[Key],0)),0))</f>
        <v/>
      </c>
      <c r="I974" s="289" t="str">
        <f>IF($A974="","",IFERROR(INDEX(Prices[FX to SGD],MATCH($A974,Prices[Key],0)),1))</f>
        <v/>
      </c>
      <c r="J974" s="287" t="str">
        <f t="shared" si="138"/>
        <v/>
      </c>
      <c r="K974" s="287" t="str">
        <f t="shared" si="139"/>
        <v/>
      </c>
      <c r="L974" s="287" t="str">
        <f t="shared" si="140"/>
        <v/>
      </c>
      <c r="M974" s="290" t="str">
        <f t="shared" si="141"/>
        <v/>
      </c>
      <c r="N974" s="243" t="str">
        <f>IF($A974="","",IF(ABS(E974)&gt;0.000001,COUNT($N$1:N973)+1,""))</f>
        <v/>
      </c>
      <c r="O974" s="291" t="str">
        <f>IF($A974="","",SUMIFS(Transactions!$H$2:$H$1001,Transactions!$J$2:$J$1001,$A974,Transactions!$A$2:$A$1001,2)*$I974)</f>
        <v/>
      </c>
      <c r="P974" s="291" t="str">
        <f t="shared" si="142"/>
        <v/>
      </c>
      <c r="Q974" s="292" t="str">
        <f t="shared" si="143"/>
        <v/>
      </c>
    </row>
    <row r="975" spans="1:17" ht="15" customHeight="1" x14ac:dyDescent="0.2">
      <c r="A975" s="243" t="str">
        <f>IFERROR(INDEX(Txn[Key],MATCH(0,INDEX(COUNTIF($A$1:A974,Txn[Key])+(Txn[Key]=""),0),0)),"")</f>
        <v/>
      </c>
      <c r="B975" s="243" t="str">
        <f t="shared" si="135"/>
        <v/>
      </c>
      <c r="C975" s="243" t="str">
        <f t="shared" si="136"/>
        <v/>
      </c>
      <c r="D975" s="243" t="str">
        <f t="shared" si="137"/>
        <v/>
      </c>
      <c r="E975" s="265" t="str">
        <f>IF($A975="","",SUMIFS(Txn[Signed Units],Txn[Key],$A975))</f>
        <v/>
      </c>
      <c r="F975" s="287" t="str">
        <f>IF($A975="","",SUMIFS(Txn[Buy Cost],Txn[Key],$A975))</f>
        <v/>
      </c>
      <c r="G975" s="287" t="str">
        <f>IF($A975="","",SUMIFS(Txn[Sell Proceeds],Txn[Key],$A975))</f>
        <v/>
      </c>
      <c r="H975" s="288" t="str">
        <f>IF($A975="","",IFERROR(INDEX(Prices[Current Price],MATCH($A975,Prices[Key],0)),0))</f>
        <v/>
      </c>
      <c r="I975" s="289" t="str">
        <f>IF($A975="","",IFERROR(INDEX(Prices[FX to SGD],MATCH($A975,Prices[Key],0)),1))</f>
        <v/>
      </c>
      <c r="J975" s="287" t="str">
        <f t="shared" si="138"/>
        <v/>
      </c>
      <c r="K975" s="287" t="str">
        <f t="shared" si="139"/>
        <v/>
      </c>
      <c r="L975" s="287" t="str">
        <f t="shared" si="140"/>
        <v/>
      </c>
      <c r="M975" s="290" t="str">
        <f t="shared" si="141"/>
        <v/>
      </c>
      <c r="N975" s="243" t="str">
        <f>IF($A975="","",IF(ABS(E975)&gt;0.000001,COUNT($N$1:N974)+1,""))</f>
        <v/>
      </c>
      <c r="O975" s="291" t="str">
        <f>IF($A975="","",SUMIFS(Transactions!$H$2:$H$1001,Transactions!$J$2:$J$1001,$A975,Transactions!$A$2:$A$1001,2)*$I975)</f>
        <v/>
      </c>
      <c r="P975" s="291" t="str">
        <f t="shared" si="142"/>
        <v/>
      </c>
      <c r="Q975" s="292" t="str">
        <f t="shared" si="143"/>
        <v/>
      </c>
    </row>
    <row r="976" spans="1:17" ht="15" customHeight="1" x14ac:dyDescent="0.2">
      <c r="A976" s="243" t="str">
        <f>IFERROR(INDEX(Txn[Key],MATCH(0,INDEX(COUNTIF($A$1:A975,Txn[Key])+(Txn[Key]=""),0),0)),"")</f>
        <v/>
      </c>
      <c r="B976" s="243" t="str">
        <f t="shared" si="135"/>
        <v/>
      </c>
      <c r="C976" s="243" t="str">
        <f t="shared" si="136"/>
        <v/>
      </c>
      <c r="D976" s="243" t="str">
        <f t="shared" si="137"/>
        <v/>
      </c>
      <c r="E976" s="265" t="str">
        <f>IF($A976="","",SUMIFS(Txn[Signed Units],Txn[Key],$A976))</f>
        <v/>
      </c>
      <c r="F976" s="287" t="str">
        <f>IF($A976="","",SUMIFS(Txn[Buy Cost],Txn[Key],$A976))</f>
        <v/>
      </c>
      <c r="G976" s="287" t="str">
        <f>IF($A976="","",SUMIFS(Txn[Sell Proceeds],Txn[Key],$A976))</f>
        <v/>
      </c>
      <c r="H976" s="288" t="str">
        <f>IF($A976="","",IFERROR(INDEX(Prices[Current Price],MATCH($A976,Prices[Key],0)),0))</f>
        <v/>
      </c>
      <c r="I976" s="289" t="str">
        <f>IF($A976="","",IFERROR(INDEX(Prices[FX to SGD],MATCH($A976,Prices[Key],0)),1))</f>
        <v/>
      </c>
      <c r="J976" s="287" t="str">
        <f t="shared" si="138"/>
        <v/>
      </c>
      <c r="K976" s="287" t="str">
        <f t="shared" si="139"/>
        <v/>
      </c>
      <c r="L976" s="287" t="str">
        <f t="shared" si="140"/>
        <v/>
      </c>
      <c r="M976" s="290" t="str">
        <f t="shared" si="141"/>
        <v/>
      </c>
      <c r="N976" s="243" t="str">
        <f>IF($A976="","",IF(ABS(E976)&gt;0.000001,COUNT($N$1:N975)+1,""))</f>
        <v/>
      </c>
      <c r="O976" s="291" t="str">
        <f>IF($A976="","",SUMIFS(Transactions!$H$2:$H$1001,Transactions!$J$2:$J$1001,$A976,Transactions!$A$2:$A$1001,2)*$I976)</f>
        <v/>
      </c>
      <c r="P976" s="291" t="str">
        <f t="shared" si="142"/>
        <v/>
      </c>
      <c r="Q976" s="292" t="str">
        <f t="shared" si="143"/>
        <v/>
      </c>
    </row>
    <row r="977" spans="1:17" ht="15" customHeight="1" x14ac:dyDescent="0.2">
      <c r="A977" s="243" t="str">
        <f>IFERROR(INDEX(Txn[Key],MATCH(0,INDEX(COUNTIF($A$1:A976,Txn[Key])+(Txn[Key]=""),0),0)),"")</f>
        <v/>
      </c>
      <c r="B977" s="243" t="str">
        <f t="shared" si="135"/>
        <v/>
      </c>
      <c r="C977" s="243" t="str">
        <f t="shared" si="136"/>
        <v/>
      </c>
      <c r="D977" s="243" t="str">
        <f t="shared" si="137"/>
        <v/>
      </c>
      <c r="E977" s="265" t="str">
        <f>IF($A977="","",SUMIFS(Txn[Signed Units],Txn[Key],$A977))</f>
        <v/>
      </c>
      <c r="F977" s="287" t="str">
        <f>IF($A977="","",SUMIFS(Txn[Buy Cost],Txn[Key],$A977))</f>
        <v/>
      </c>
      <c r="G977" s="287" t="str">
        <f>IF($A977="","",SUMIFS(Txn[Sell Proceeds],Txn[Key],$A977))</f>
        <v/>
      </c>
      <c r="H977" s="288" t="str">
        <f>IF($A977="","",IFERROR(INDEX(Prices[Current Price],MATCH($A977,Prices[Key],0)),0))</f>
        <v/>
      </c>
      <c r="I977" s="289" t="str">
        <f>IF($A977="","",IFERROR(INDEX(Prices[FX to SGD],MATCH($A977,Prices[Key],0)),1))</f>
        <v/>
      </c>
      <c r="J977" s="287" t="str">
        <f t="shared" si="138"/>
        <v/>
      </c>
      <c r="K977" s="287" t="str">
        <f t="shared" si="139"/>
        <v/>
      </c>
      <c r="L977" s="287" t="str">
        <f t="shared" si="140"/>
        <v/>
      </c>
      <c r="M977" s="290" t="str">
        <f t="shared" si="141"/>
        <v/>
      </c>
      <c r="N977" s="243" t="str">
        <f>IF($A977="","",IF(ABS(E977)&gt;0.000001,COUNT($N$1:N976)+1,""))</f>
        <v/>
      </c>
      <c r="O977" s="291" t="str">
        <f>IF($A977="","",SUMIFS(Transactions!$H$2:$H$1001,Transactions!$J$2:$J$1001,$A977,Transactions!$A$2:$A$1001,2)*$I977)</f>
        <v/>
      </c>
      <c r="P977" s="291" t="str">
        <f t="shared" si="142"/>
        <v/>
      </c>
      <c r="Q977" s="292" t="str">
        <f t="shared" si="143"/>
        <v/>
      </c>
    </row>
    <row r="978" spans="1:17" ht="15" customHeight="1" x14ac:dyDescent="0.2">
      <c r="A978" s="243" t="str">
        <f>IFERROR(INDEX(Txn[Key],MATCH(0,INDEX(COUNTIF($A$1:A977,Txn[Key])+(Txn[Key]=""),0),0)),"")</f>
        <v/>
      </c>
      <c r="B978" s="243" t="str">
        <f t="shared" si="135"/>
        <v/>
      </c>
      <c r="C978" s="243" t="str">
        <f t="shared" si="136"/>
        <v/>
      </c>
      <c r="D978" s="243" t="str">
        <f t="shared" si="137"/>
        <v/>
      </c>
      <c r="E978" s="265" t="str">
        <f>IF($A978="","",SUMIFS(Txn[Signed Units],Txn[Key],$A978))</f>
        <v/>
      </c>
      <c r="F978" s="287" t="str">
        <f>IF($A978="","",SUMIFS(Txn[Buy Cost],Txn[Key],$A978))</f>
        <v/>
      </c>
      <c r="G978" s="287" t="str">
        <f>IF($A978="","",SUMIFS(Txn[Sell Proceeds],Txn[Key],$A978))</f>
        <v/>
      </c>
      <c r="H978" s="288" t="str">
        <f>IF($A978="","",IFERROR(INDEX(Prices[Current Price],MATCH($A978,Prices[Key],0)),0))</f>
        <v/>
      </c>
      <c r="I978" s="289" t="str">
        <f>IF($A978="","",IFERROR(INDEX(Prices[FX to SGD],MATCH($A978,Prices[Key],0)),1))</f>
        <v/>
      </c>
      <c r="J978" s="287" t="str">
        <f t="shared" si="138"/>
        <v/>
      </c>
      <c r="K978" s="287" t="str">
        <f t="shared" si="139"/>
        <v/>
      </c>
      <c r="L978" s="287" t="str">
        <f t="shared" si="140"/>
        <v/>
      </c>
      <c r="M978" s="290" t="str">
        <f t="shared" si="141"/>
        <v/>
      </c>
      <c r="N978" s="243" t="str">
        <f>IF($A978="","",IF(ABS(E978)&gt;0.000001,COUNT($N$1:N977)+1,""))</f>
        <v/>
      </c>
      <c r="O978" s="291" t="str">
        <f>IF($A978="","",SUMIFS(Transactions!$H$2:$H$1001,Transactions!$J$2:$J$1001,$A978,Transactions!$A$2:$A$1001,2)*$I978)</f>
        <v/>
      </c>
      <c r="P978" s="291" t="str">
        <f t="shared" si="142"/>
        <v/>
      </c>
      <c r="Q978" s="292" t="str">
        <f t="shared" si="143"/>
        <v/>
      </c>
    </row>
    <row r="979" spans="1:17" ht="15" customHeight="1" x14ac:dyDescent="0.2">
      <c r="A979" s="243" t="str">
        <f>IFERROR(INDEX(Txn[Key],MATCH(0,INDEX(COUNTIF($A$1:A978,Txn[Key])+(Txn[Key]=""),0),0)),"")</f>
        <v/>
      </c>
      <c r="B979" s="243" t="str">
        <f t="shared" si="135"/>
        <v/>
      </c>
      <c r="C979" s="243" t="str">
        <f t="shared" si="136"/>
        <v/>
      </c>
      <c r="D979" s="243" t="str">
        <f t="shared" si="137"/>
        <v/>
      </c>
      <c r="E979" s="265" t="str">
        <f>IF($A979="","",SUMIFS(Txn[Signed Units],Txn[Key],$A979))</f>
        <v/>
      </c>
      <c r="F979" s="287" t="str">
        <f>IF($A979="","",SUMIFS(Txn[Buy Cost],Txn[Key],$A979))</f>
        <v/>
      </c>
      <c r="G979" s="287" t="str">
        <f>IF($A979="","",SUMIFS(Txn[Sell Proceeds],Txn[Key],$A979))</f>
        <v/>
      </c>
      <c r="H979" s="288" t="str">
        <f>IF($A979="","",IFERROR(INDEX(Prices[Current Price],MATCH($A979,Prices[Key],0)),0))</f>
        <v/>
      </c>
      <c r="I979" s="289" t="str">
        <f>IF($A979="","",IFERROR(INDEX(Prices[FX to SGD],MATCH($A979,Prices[Key],0)),1))</f>
        <v/>
      </c>
      <c r="J979" s="287" t="str">
        <f t="shared" si="138"/>
        <v/>
      </c>
      <c r="K979" s="287" t="str">
        <f t="shared" si="139"/>
        <v/>
      </c>
      <c r="L979" s="287" t="str">
        <f t="shared" si="140"/>
        <v/>
      </c>
      <c r="M979" s="290" t="str">
        <f t="shared" si="141"/>
        <v/>
      </c>
      <c r="N979" s="243" t="str">
        <f>IF($A979="","",IF(ABS(E979)&gt;0.000001,COUNT($N$1:N978)+1,""))</f>
        <v/>
      </c>
      <c r="O979" s="291" t="str">
        <f>IF($A979="","",SUMIFS(Transactions!$H$2:$H$1001,Transactions!$J$2:$J$1001,$A979,Transactions!$A$2:$A$1001,2)*$I979)</f>
        <v/>
      </c>
      <c r="P979" s="291" t="str">
        <f t="shared" si="142"/>
        <v/>
      </c>
      <c r="Q979" s="292" t="str">
        <f t="shared" si="143"/>
        <v/>
      </c>
    </row>
    <row r="980" spans="1:17" ht="15" customHeight="1" x14ac:dyDescent="0.2">
      <c r="A980" s="243" t="str">
        <f>IFERROR(INDEX(Txn[Key],MATCH(0,INDEX(COUNTIF($A$1:A979,Txn[Key])+(Txn[Key]=""),0),0)),"")</f>
        <v/>
      </c>
      <c r="B980" s="243" t="str">
        <f t="shared" si="135"/>
        <v/>
      </c>
      <c r="C980" s="243" t="str">
        <f t="shared" si="136"/>
        <v/>
      </c>
      <c r="D980" s="243" t="str">
        <f t="shared" si="137"/>
        <v/>
      </c>
      <c r="E980" s="265" t="str">
        <f>IF($A980="","",SUMIFS(Txn[Signed Units],Txn[Key],$A980))</f>
        <v/>
      </c>
      <c r="F980" s="287" t="str">
        <f>IF($A980="","",SUMIFS(Txn[Buy Cost],Txn[Key],$A980))</f>
        <v/>
      </c>
      <c r="G980" s="287" t="str">
        <f>IF($A980="","",SUMIFS(Txn[Sell Proceeds],Txn[Key],$A980))</f>
        <v/>
      </c>
      <c r="H980" s="288" t="str">
        <f>IF($A980="","",IFERROR(INDEX(Prices[Current Price],MATCH($A980,Prices[Key],0)),0))</f>
        <v/>
      </c>
      <c r="I980" s="289" t="str">
        <f>IF($A980="","",IFERROR(INDEX(Prices[FX to SGD],MATCH($A980,Prices[Key],0)),1))</f>
        <v/>
      </c>
      <c r="J980" s="287" t="str">
        <f t="shared" si="138"/>
        <v/>
      </c>
      <c r="K980" s="287" t="str">
        <f t="shared" si="139"/>
        <v/>
      </c>
      <c r="L980" s="287" t="str">
        <f t="shared" si="140"/>
        <v/>
      </c>
      <c r="M980" s="290" t="str">
        <f t="shared" si="141"/>
        <v/>
      </c>
      <c r="N980" s="243" t="str">
        <f>IF($A980="","",IF(ABS(E980)&gt;0.000001,COUNT($N$1:N979)+1,""))</f>
        <v/>
      </c>
      <c r="O980" s="291" t="str">
        <f>IF($A980="","",SUMIFS(Transactions!$H$2:$H$1001,Transactions!$J$2:$J$1001,$A980,Transactions!$A$2:$A$1001,2)*$I980)</f>
        <v/>
      </c>
      <c r="P980" s="291" t="str">
        <f t="shared" si="142"/>
        <v/>
      </c>
      <c r="Q980" s="292" t="str">
        <f t="shared" si="143"/>
        <v/>
      </c>
    </row>
    <row r="981" spans="1:17" ht="15" customHeight="1" x14ac:dyDescent="0.2">
      <c r="A981" s="243" t="str">
        <f>IFERROR(INDEX(Txn[Key],MATCH(0,INDEX(COUNTIF($A$1:A980,Txn[Key])+(Txn[Key]=""),0),0)),"")</f>
        <v/>
      </c>
      <c r="B981" s="243" t="str">
        <f t="shared" si="135"/>
        <v/>
      </c>
      <c r="C981" s="243" t="str">
        <f t="shared" si="136"/>
        <v/>
      </c>
      <c r="D981" s="243" t="str">
        <f t="shared" si="137"/>
        <v/>
      </c>
      <c r="E981" s="265" t="str">
        <f>IF($A981="","",SUMIFS(Txn[Signed Units],Txn[Key],$A981))</f>
        <v/>
      </c>
      <c r="F981" s="287" t="str">
        <f>IF($A981="","",SUMIFS(Txn[Buy Cost],Txn[Key],$A981))</f>
        <v/>
      </c>
      <c r="G981" s="287" t="str">
        <f>IF($A981="","",SUMIFS(Txn[Sell Proceeds],Txn[Key],$A981))</f>
        <v/>
      </c>
      <c r="H981" s="288" t="str">
        <f>IF($A981="","",IFERROR(INDEX(Prices[Current Price],MATCH($A981,Prices[Key],0)),0))</f>
        <v/>
      </c>
      <c r="I981" s="289" t="str">
        <f>IF($A981="","",IFERROR(INDEX(Prices[FX to SGD],MATCH($A981,Prices[Key],0)),1))</f>
        <v/>
      </c>
      <c r="J981" s="287" t="str">
        <f t="shared" si="138"/>
        <v/>
      </c>
      <c r="K981" s="287" t="str">
        <f t="shared" si="139"/>
        <v/>
      </c>
      <c r="L981" s="287" t="str">
        <f t="shared" si="140"/>
        <v/>
      </c>
      <c r="M981" s="290" t="str">
        <f t="shared" si="141"/>
        <v/>
      </c>
      <c r="N981" s="243" t="str">
        <f>IF($A981="","",IF(ABS(E981)&gt;0.000001,COUNT($N$1:N980)+1,""))</f>
        <v/>
      </c>
      <c r="O981" s="291" t="str">
        <f>IF($A981="","",SUMIFS(Transactions!$H$2:$H$1001,Transactions!$J$2:$J$1001,$A981,Transactions!$A$2:$A$1001,2)*$I981)</f>
        <v/>
      </c>
      <c r="P981" s="291" t="str">
        <f t="shared" si="142"/>
        <v/>
      </c>
      <c r="Q981" s="292" t="str">
        <f t="shared" si="143"/>
        <v/>
      </c>
    </row>
    <row r="982" spans="1:17" ht="15" customHeight="1" x14ac:dyDescent="0.2">
      <c r="A982" s="243" t="str">
        <f>IFERROR(INDEX(Txn[Key],MATCH(0,INDEX(COUNTIF($A$1:A981,Txn[Key])+(Txn[Key]=""),0),0)),"")</f>
        <v/>
      </c>
      <c r="B982" s="243" t="str">
        <f t="shared" si="135"/>
        <v/>
      </c>
      <c r="C982" s="243" t="str">
        <f t="shared" si="136"/>
        <v/>
      </c>
      <c r="D982" s="243" t="str">
        <f t="shared" si="137"/>
        <v/>
      </c>
      <c r="E982" s="265" t="str">
        <f>IF($A982="","",SUMIFS(Txn[Signed Units],Txn[Key],$A982))</f>
        <v/>
      </c>
      <c r="F982" s="287" t="str">
        <f>IF($A982="","",SUMIFS(Txn[Buy Cost],Txn[Key],$A982))</f>
        <v/>
      </c>
      <c r="G982" s="287" t="str">
        <f>IF($A982="","",SUMIFS(Txn[Sell Proceeds],Txn[Key],$A982))</f>
        <v/>
      </c>
      <c r="H982" s="288" t="str">
        <f>IF($A982="","",IFERROR(INDEX(Prices[Current Price],MATCH($A982,Prices[Key],0)),0))</f>
        <v/>
      </c>
      <c r="I982" s="289" t="str">
        <f>IF($A982="","",IFERROR(INDEX(Prices[FX to SGD],MATCH($A982,Prices[Key],0)),1))</f>
        <v/>
      </c>
      <c r="J982" s="287" t="str">
        <f t="shared" si="138"/>
        <v/>
      </c>
      <c r="K982" s="287" t="str">
        <f t="shared" si="139"/>
        <v/>
      </c>
      <c r="L982" s="287" t="str">
        <f t="shared" si="140"/>
        <v/>
      </c>
      <c r="M982" s="290" t="str">
        <f t="shared" si="141"/>
        <v/>
      </c>
      <c r="N982" s="243" t="str">
        <f>IF($A982="","",IF(ABS(E982)&gt;0.000001,COUNT($N$1:N981)+1,""))</f>
        <v/>
      </c>
      <c r="O982" s="291" t="str">
        <f>IF($A982="","",SUMIFS(Transactions!$H$2:$H$1001,Transactions!$J$2:$J$1001,$A982,Transactions!$A$2:$A$1001,2)*$I982)</f>
        <v/>
      </c>
      <c r="P982" s="291" t="str">
        <f t="shared" si="142"/>
        <v/>
      </c>
      <c r="Q982" s="292" t="str">
        <f t="shared" si="143"/>
        <v/>
      </c>
    </row>
    <row r="983" spans="1:17" ht="15" customHeight="1" x14ac:dyDescent="0.2">
      <c r="A983" s="243" t="str">
        <f>IFERROR(INDEX(Txn[Key],MATCH(0,INDEX(COUNTIF($A$1:A982,Txn[Key])+(Txn[Key]=""),0),0)),"")</f>
        <v/>
      </c>
      <c r="B983" s="243" t="str">
        <f t="shared" si="135"/>
        <v/>
      </c>
      <c r="C983" s="243" t="str">
        <f t="shared" si="136"/>
        <v/>
      </c>
      <c r="D983" s="243" t="str">
        <f t="shared" si="137"/>
        <v/>
      </c>
      <c r="E983" s="265" t="str">
        <f>IF($A983="","",SUMIFS(Txn[Signed Units],Txn[Key],$A983))</f>
        <v/>
      </c>
      <c r="F983" s="287" t="str">
        <f>IF($A983="","",SUMIFS(Txn[Buy Cost],Txn[Key],$A983))</f>
        <v/>
      </c>
      <c r="G983" s="287" t="str">
        <f>IF($A983="","",SUMIFS(Txn[Sell Proceeds],Txn[Key],$A983))</f>
        <v/>
      </c>
      <c r="H983" s="288" t="str">
        <f>IF($A983="","",IFERROR(INDEX(Prices[Current Price],MATCH($A983,Prices[Key],0)),0))</f>
        <v/>
      </c>
      <c r="I983" s="289" t="str">
        <f>IF($A983="","",IFERROR(INDEX(Prices[FX to SGD],MATCH($A983,Prices[Key],0)),1))</f>
        <v/>
      </c>
      <c r="J983" s="287" t="str">
        <f t="shared" si="138"/>
        <v/>
      </c>
      <c r="K983" s="287" t="str">
        <f t="shared" si="139"/>
        <v/>
      </c>
      <c r="L983" s="287" t="str">
        <f t="shared" si="140"/>
        <v/>
      </c>
      <c r="M983" s="290" t="str">
        <f t="shared" si="141"/>
        <v/>
      </c>
      <c r="N983" s="243" t="str">
        <f>IF($A983="","",IF(ABS(E983)&gt;0.000001,COUNT($N$1:N982)+1,""))</f>
        <v/>
      </c>
      <c r="O983" s="291" t="str">
        <f>IF($A983="","",SUMIFS(Transactions!$H$2:$H$1001,Transactions!$J$2:$J$1001,$A983,Transactions!$A$2:$A$1001,2)*$I983)</f>
        <v/>
      </c>
      <c r="P983" s="291" t="str">
        <f t="shared" si="142"/>
        <v/>
      </c>
      <c r="Q983" s="292" t="str">
        <f t="shared" si="143"/>
        <v/>
      </c>
    </row>
    <row r="984" spans="1:17" ht="15" customHeight="1" x14ac:dyDescent="0.2">
      <c r="A984" s="243" t="str">
        <f>IFERROR(INDEX(Txn[Key],MATCH(0,INDEX(COUNTIF($A$1:A983,Txn[Key])+(Txn[Key]=""),0),0)),"")</f>
        <v/>
      </c>
      <c r="B984" s="243" t="str">
        <f t="shared" si="135"/>
        <v/>
      </c>
      <c r="C984" s="243" t="str">
        <f t="shared" si="136"/>
        <v/>
      </c>
      <c r="D984" s="243" t="str">
        <f t="shared" si="137"/>
        <v/>
      </c>
      <c r="E984" s="265" t="str">
        <f>IF($A984="","",SUMIFS(Txn[Signed Units],Txn[Key],$A984))</f>
        <v/>
      </c>
      <c r="F984" s="287" t="str">
        <f>IF($A984="","",SUMIFS(Txn[Buy Cost],Txn[Key],$A984))</f>
        <v/>
      </c>
      <c r="G984" s="287" t="str">
        <f>IF($A984="","",SUMIFS(Txn[Sell Proceeds],Txn[Key],$A984))</f>
        <v/>
      </c>
      <c r="H984" s="288" t="str">
        <f>IF($A984="","",IFERROR(INDEX(Prices[Current Price],MATCH($A984,Prices[Key],0)),0))</f>
        <v/>
      </c>
      <c r="I984" s="289" t="str">
        <f>IF($A984="","",IFERROR(INDEX(Prices[FX to SGD],MATCH($A984,Prices[Key],0)),1))</f>
        <v/>
      </c>
      <c r="J984" s="287" t="str">
        <f t="shared" si="138"/>
        <v/>
      </c>
      <c r="K984" s="287" t="str">
        <f t="shared" si="139"/>
        <v/>
      </c>
      <c r="L984" s="287" t="str">
        <f t="shared" si="140"/>
        <v/>
      </c>
      <c r="M984" s="290" t="str">
        <f t="shared" si="141"/>
        <v/>
      </c>
      <c r="N984" s="243" t="str">
        <f>IF($A984="","",IF(ABS(E984)&gt;0.000001,COUNT($N$1:N983)+1,""))</f>
        <v/>
      </c>
      <c r="O984" s="291" t="str">
        <f>IF($A984="","",SUMIFS(Transactions!$H$2:$H$1001,Transactions!$J$2:$J$1001,$A984,Transactions!$A$2:$A$1001,2)*$I984)</f>
        <v/>
      </c>
      <c r="P984" s="291" t="str">
        <f t="shared" si="142"/>
        <v/>
      </c>
      <c r="Q984" s="292" t="str">
        <f t="shared" si="143"/>
        <v/>
      </c>
    </row>
    <row r="985" spans="1:17" ht="15" customHeight="1" x14ac:dyDescent="0.2">
      <c r="A985" s="243" t="str">
        <f>IFERROR(INDEX(Txn[Key],MATCH(0,INDEX(COUNTIF($A$1:A984,Txn[Key])+(Txn[Key]=""),0),0)),"")</f>
        <v/>
      </c>
      <c r="B985" s="243" t="str">
        <f t="shared" si="135"/>
        <v/>
      </c>
      <c r="C985" s="243" t="str">
        <f t="shared" si="136"/>
        <v/>
      </c>
      <c r="D985" s="243" t="str">
        <f t="shared" si="137"/>
        <v/>
      </c>
      <c r="E985" s="265" t="str">
        <f>IF($A985="","",SUMIFS(Txn[Signed Units],Txn[Key],$A985))</f>
        <v/>
      </c>
      <c r="F985" s="287" t="str">
        <f>IF($A985="","",SUMIFS(Txn[Buy Cost],Txn[Key],$A985))</f>
        <v/>
      </c>
      <c r="G985" s="287" t="str">
        <f>IF($A985="","",SUMIFS(Txn[Sell Proceeds],Txn[Key],$A985))</f>
        <v/>
      </c>
      <c r="H985" s="288" t="str">
        <f>IF($A985="","",IFERROR(INDEX(Prices[Current Price],MATCH($A985,Prices[Key],0)),0))</f>
        <v/>
      </c>
      <c r="I985" s="289" t="str">
        <f>IF($A985="","",IFERROR(INDEX(Prices[FX to SGD],MATCH($A985,Prices[Key],0)),1))</f>
        <v/>
      </c>
      <c r="J985" s="287" t="str">
        <f t="shared" si="138"/>
        <v/>
      </c>
      <c r="K985" s="287" t="str">
        <f t="shared" si="139"/>
        <v/>
      </c>
      <c r="L985" s="287" t="str">
        <f t="shared" si="140"/>
        <v/>
      </c>
      <c r="M985" s="290" t="str">
        <f t="shared" si="141"/>
        <v/>
      </c>
      <c r="N985" s="243" t="str">
        <f>IF($A985="","",IF(ABS(E985)&gt;0.000001,COUNT($N$1:N984)+1,""))</f>
        <v/>
      </c>
      <c r="O985" s="291" t="str">
        <f>IF($A985="","",SUMIFS(Transactions!$H$2:$H$1001,Transactions!$J$2:$J$1001,$A985,Transactions!$A$2:$A$1001,2)*$I985)</f>
        <v/>
      </c>
      <c r="P985" s="291" t="str">
        <f t="shared" si="142"/>
        <v/>
      </c>
      <c r="Q985" s="292" t="str">
        <f t="shared" si="143"/>
        <v/>
      </c>
    </row>
    <row r="986" spans="1:17" ht="15" customHeight="1" x14ac:dyDescent="0.2">
      <c r="A986" s="243" t="str">
        <f>IFERROR(INDEX(Txn[Key],MATCH(0,INDEX(COUNTIF($A$1:A985,Txn[Key])+(Txn[Key]=""),0),0)),"")</f>
        <v/>
      </c>
      <c r="B986" s="243" t="str">
        <f t="shared" si="135"/>
        <v/>
      </c>
      <c r="C986" s="243" t="str">
        <f t="shared" si="136"/>
        <v/>
      </c>
      <c r="D986" s="243" t="str">
        <f t="shared" si="137"/>
        <v/>
      </c>
      <c r="E986" s="265" t="str">
        <f>IF($A986="","",SUMIFS(Txn[Signed Units],Txn[Key],$A986))</f>
        <v/>
      </c>
      <c r="F986" s="287" t="str">
        <f>IF($A986="","",SUMIFS(Txn[Buy Cost],Txn[Key],$A986))</f>
        <v/>
      </c>
      <c r="G986" s="287" t="str">
        <f>IF($A986="","",SUMIFS(Txn[Sell Proceeds],Txn[Key],$A986))</f>
        <v/>
      </c>
      <c r="H986" s="288" t="str">
        <f>IF($A986="","",IFERROR(INDEX(Prices[Current Price],MATCH($A986,Prices[Key],0)),0))</f>
        <v/>
      </c>
      <c r="I986" s="289" t="str">
        <f>IF($A986="","",IFERROR(INDEX(Prices[FX to SGD],MATCH($A986,Prices[Key],0)),1))</f>
        <v/>
      </c>
      <c r="J986" s="287" t="str">
        <f t="shared" si="138"/>
        <v/>
      </c>
      <c r="K986" s="287" t="str">
        <f t="shared" si="139"/>
        <v/>
      </c>
      <c r="L986" s="287" t="str">
        <f t="shared" si="140"/>
        <v/>
      </c>
      <c r="M986" s="290" t="str">
        <f t="shared" si="141"/>
        <v/>
      </c>
      <c r="N986" s="243" t="str">
        <f>IF($A986="","",IF(ABS(E986)&gt;0.000001,COUNT($N$1:N985)+1,""))</f>
        <v/>
      </c>
      <c r="O986" s="291" t="str">
        <f>IF($A986="","",SUMIFS(Transactions!$H$2:$H$1001,Transactions!$J$2:$J$1001,$A986,Transactions!$A$2:$A$1001,2)*$I986)</f>
        <v/>
      </c>
      <c r="P986" s="291" t="str">
        <f t="shared" si="142"/>
        <v/>
      </c>
      <c r="Q986" s="292" t="str">
        <f t="shared" si="143"/>
        <v/>
      </c>
    </row>
    <row r="987" spans="1:17" ht="15" customHeight="1" x14ac:dyDescent="0.2">
      <c r="A987" s="243" t="str">
        <f>IFERROR(INDEX(Txn[Key],MATCH(0,INDEX(COUNTIF($A$1:A986,Txn[Key])+(Txn[Key]=""),0),0)),"")</f>
        <v/>
      </c>
      <c r="B987" s="243" t="str">
        <f t="shared" si="135"/>
        <v/>
      </c>
      <c r="C987" s="243" t="str">
        <f t="shared" si="136"/>
        <v/>
      </c>
      <c r="D987" s="243" t="str">
        <f t="shared" si="137"/>
        <v/>
      </c>
      <c r="E987" s="265" t="str">
        <f>IF($A987="","",SUMIFS(Txn[Signed Units],Txn[Key],$A987))</f>
        <v/>
      </c>
      <c r="F987" s="287" t="str">
        <f>IF($A987="","",SUMIFS(Txn[Buy Cost],Txn[Key],$A987))</f>
        <v/>
      </c>
      <c r="G987" s="287" t="str">
        <f>IF($A987="","",SUMIFS(Txn[Sell Proceeds],Txn[Key],$A987))</f>
        <v/>
      </c>
      <c r="H987" s="288" t="str">
        <f>IF($A987="","",IFERROR(INDEX(Prices[Current Price],MATCH($A987,Prices[Key],0)),0))</f>
        <v/>
      </c>
      <c r="I987" s="289" t="str">
        <f>IF($A987="","",IFERROR(INDEX(Prices[FX to SGD],MATCH($A987,Prices[Key],0)),1))</f>
        <v/>
      </c>
      <c r="J987" s="287" t="str">
        <f t="shared" si="138"/>
        <v/>
      </c>
      <c r="K987" s="287" t="str">
        <f t="shared" si="139"/>
        <v/>
      </c>
      <c r="L987" s="287" t="str">
        <f t="shared" si="140"/>
        <v/>
      </c>
      <c r="M987" s="290" t="str">
        <f t="shared" si="141"/>
        <v/>
      </c>
      <c r="N987" s="243" t="str">
        <f>IF($A987="","",IF(ABS(E987)&gt;0.000001,COUNT($N$1:N986)+1,""))</f>
        <v/>
      </c>
      <c r="O987" s="291" t="str">
        <f>IF($A987="","",SUMIFS(Transactions!$H$2:$H$1001,Transactions!$J$2:$J$1001,$A987,Transactions!$A$2:$A$1001,2)*$I987)</f>
        <v/>
      </c>
      <c r="P987" s="291" t="str">
        <f t="shared" si="142"/>
        <v/>
      </c>
      <c r="Q987" s="292" t="str">
        <f t="shared" si="143"/>
        <v/>
      </c>
    </row>
    <row r="988" spans="1:17" ht="15" customHeight="1" x14ac:dyDescent="0.2">
      <c r="A988" s="243" t="str">
        <f>IFERROR(INDEX(Txn[Key],MATCH(0,INDEX(COUNTIF($A$1:A987,Txn[Key])+(Txn[Key]=""),0),0)),"")</f>
        <v/>
      </c>
      <c r="B988" s="243" t="str">
        <f t="shared" si="135"/>
        <v/>
      </c>
      <c r="C988" s="243" t="str">
        <f t="shared" si="136"/>
        <v/>
      </c>
      <c r="D988" s="243" t="str">
        <f t="shared" si="137"/>
        <v/>
      </c>
      <c r="E988" s="265" t="str">
        <f>IF($A988="","",SUMIFS(Txn[Signed Units],Txn[Key],$A988))</f>
        <v/>
      </c>
      <c r="F988" s="287" t="str">
        <f>IF($A988="","",SUMIFS(Txn[Buy Cost],Txn[Key],$A988))</f>
        <v/>
      </c>
      <c r="G988" s="287" t="str">
        <f>IF($A988="","",SUMIFS(Txn[Sell Proceeds],Txn[Key],$A988))</f>
        <v/>
      </c>
      <c r="H988" s="288" t="str">
        <f>IF($A988="","",IFERROR(INDEX(Prices[Current Price],MATCH($A988,Prices[Key],0)),0))</f>
        <v/>
      </c>
      <c r="I988" s="289" t="str">
        <f>IF($A988="","",IFERROR(INDEX(Prices[FX to SGD],MATCH($A988,Prices[Key],0)),1))</f>
        <v/>
      </c>
      <c r="J988" s="287" t="str">
        <f t="shared" si="138"/>
        <v/>
      </c>
      <c r="K988" s="287" t="str">
        <f t="shared" si="139"/>
        <v/>
      </c>
      <c r="L988" s="287" t="str">
        <f t="shared" si="140"/>
        <v/>
      </c>
      <c r="M988" s="290" t="str">
        <f t="shared" si="141"/>
        <v/>
      </c>
      <c r="N988" s="243" t="str">
        <f>IF($A988="","",IF(ABS(E988)&gt;0.000001,COUNT($N$1:N987)+1,""))</f>
        <v/>
      </c>
      <c r="O988" s="291" t="str">
        <f>IF($A988="","",SUMIFS(Transactions!$H$2:$H$1001,Transactions!$J$2:$J$1001,$A988,Transactions!$A$2:$A$1001,2)*$I988)</f>
        <v/>
      </c>
      <c r="P988" s="291" t="str">
        <f t="shared" si="142"/>
        <v/>
      </c>
      <c r="Q988" s="292" t="str">
        <f t="shared" si="143"/>
        <v/>
      </c>
    </row>
    <row r="989" spans="1:17" ht="15" customHeight="1" x14ac:dyDescent="0.2">
      <c r="A989" s="243" t="str">
        <f>IFERROR(INDEX(Txn[Key],MATCH(0,INDEX(COUNTIF($A$1:A988,Txn[Key])+(Txn[Key]=""),0),0)),"")</f>
        <v/>
      </c>
      <c r="B989" s="243" t="str">
        <f t="shared" si="135"/>
        <v/>
      </c>
      <c r="C989" s="243" t="str">
        <f t="shared" si="136"/>
        <v/>
      </c>
      <c r="D989" s="243" t="str">
        <f t="shared" si="137"/>
        <v/>
      </c>
      <c r="E989" s="265" t="str">
        <f>IF($A989="","",SUMIFS(Txn[Signed Units],Txn[Key],$A989))</f>
        <v/>
      </c>
      <c r="F989" s="287" t="str">
        <f>IF($A989="","",SUMIFS(Txn[Buy Cost],Txn[Key],$A989))</f>
        <v/>
      </c>
      <c r="G989" s="287" t="str">
        <f>IF($A989="","",SUMIFS(Txn[Sell Proceeds],Txn[Key],$A989))</f>
        <v/>
      </c>
      <c r="H989" s="288" t="str">
        <f>IF($A989="","",IFERROR(INDEX(Prices[Current Price],MATCH($A989,Prices[Key],0)),0))</f>
        <v/>
      </c>
      <c r="I989" s="289" t="str">
        <f>IF($A989="","",IFERROR(INDEX(Prices[FX to SGD],MATCH($A989,Prices[Key],0)),1))</f>
        <v/>
      </c>
      <c r="J989" s="287" t="str">
        <f t="shared" si="138"/>
        <v/>
      </c>
      <c r="K989" s="287" t="str">
        <f t="shared" si="139"/>
        <v/>
      </c>
      <c r="L989" s="287" t="str">
        <f t="shared" si="140"/>
        <v/>
      </c>
      <c r="M989" s="290" t="str">
        <f t="shared" si="141"/>
        <v/>
      </c>
      <c r="N989" s="243" t="str">
        <f>IF($A989="","",IF(ABS(E989)&gt;0.000001,COUNT($N$1:N988)+1,""))</f>
        <v/>
      </c>
      <c r="O989" s="291" t="str">
        <f>IF($A989="","",SUMIFS(Transactions!$H$2:$H$1001,Transactions!$J$2:$J$1001,$A989,Transactions!$A$2:$A$1001,2)*$I989)</f>
        <v/>
      </c>
      <c r="P989" s="291" t="str">
        <f t="shared" si="142"/>
        <v/>
      </c>
      <c r="Q989" s="292" t="str">
        <f t="shared" si="143"/>
        <v/>
      </c>
    </row>
    <row r="990" spans="1:17" ht="15" customHeight="1" x14ac:dyDescent="0.2">
      <c r="A990" s="243" t="str">
        <f>IFERROR(INDEX(Txn[Key],MATCH(0,INDEX(COUNTIF($A$1:A989,Txn[Key])+(Txn[Key]=""),0),0)),"")</f>
        <v/>
      </c>
      <c r="B990" s="243" t="str">
        <f t="shared" si="135"/>
        <v/>
      </c>
      <c r="C990" s="243" t="str">
        <f t="shared" si="136"/>
        <v/>
      </c>
      <c r="D990" s="243" t="str">
        <f t="shared" si="137"/>
        <v/>
      </c>
      <c r="E990" s="265" t="str">
        <f>IF($A990="","",SUMIFS(Txn[Signed Units],Txn[Key],$A990))</f>
        <v/>
      </c>
      <c r="F990" s="287" t="str">
        <f>IF($A990="","",SUMIFS(Txn[Buy Cost],Txn[Key],$A990))</f>
        <v/>
      </c>
      <c r="G990" s="287" t="str">
        <f>IF($A990="","",SUMIFS(Txn[Sell Proceeds],Txn[Key],$A990))</f>
        <v/>
      </c>
      <c r="H990" s="288" t="str">
        <f>IF($A990="","",IFERROR(INDEX(Prices[Current Price],MATCH($A990,Prices[Key],0)),0))</f>
        <v/>
      </c>
      <c r="I990" s="289" t="str">
        <f>IF($A990="","",IFERROR(INDEX(Prices[FX to SGD],MATCH($A990,Prices[Key],0)),1))</f>
        <v/>
      </c>
      <c r="J990" s="287" t="str">
        <f t="shared" si="138"/>
        <v/>
      </c>
      <c r="K990" s="287" t="str">
        <f t="shared" si="139"/>
        <v/>
      </c>
      <c r="L990" s="287" t="str">
        <f t="shared" si="140"/>
        <v/>
      </c>
      <c r="M990" s="290" t="str">
        <f t="shared" si="141"/>
        <v/>
      </c>
      <c r="N990" s="243" t="str">
        <f>IF($A990="","",IF(ABS(E990)&gt;0.000001,COUNT($N$1:N989)+1,""))</f>
        <v/>
      </c>
      <c r="O990" s="291" t="str">
        <f>IF($A990="","",SUMIFS(Transactions!$H$2:$H$1001,Transactions!$J$2:$J$1001,$A990,Transactions!$A$2:$A$1001,2)*$I990)</f>
        <v/>
      </c>
      <c r="P990" s="291" t="str">
        <f t="shared" si="142"/>
        <v/>
      </c>
      <c r="Q990" s="292" t="str">
        <f t="shared" si="143"/>
        <v/>
      </c>
    </row>
    <row r="991" spans="1:17" ht="15" customHeight="1" x14ac:dyDescent="0.2">
      <c r="A991" s="243" t="str">
        <f>IFERROR(INDEX(Txn[Key],MATCH(0,INDEX(COUNTIF($A$1:A990,Txn[Key])+(Txn[Key]=""),0),0)),"")</f>
        <v/>
      </c>
      <c r="B991" s="243" t="str">
        <f t="shared" si="135"/>
        <v/>
      </c>
      <c r="C991" s="243" t="str">
        <f t="shared" si="136"/>
        <v/>
      </c>
      <c r="D991" s="243" t="str">
        <f t="shared" si="137"/>
        <v/>
      </c>
      <c r="E991" s="265" t="str">
        <f>IF($A991="","",SUMIFS(Txn[Signed Units],Txn[Key],$A991))</f>
        <v/>
      </c>
      <c r="F991" s="287" t="str">
        <f>IF($A991="","",SUMIFS(Txn[Buy Cost],Txn[Key],$A991))</f>
        <v/>
      </c>
      <c r="G991" s="287" t="str">
        <f>IF($A991="","",SUMIFS(Txn[Sell Proceeds],Txn[Key],$A991))</f>
        <v/>
      </c>
      <c r="H991" s="288" t="str">
        <f>IF($A991="","",IFERROR(INDEX(Prices[Current Price],MATCH($A991,Prices[Key],0)),0))</f>
        <v/>
      </c>
      <c r="I991" s="289" t="str">
        <f>IF($A991="","",IFERROR(INDEX(Prices[FX to SGD],MATCH($A991,Prices[Key],0)),1))</f>
        <v/>
      </c>
      <c r="J991" s="287" t="str">
        <f t="shared" si="138"/>
        <v/>
      </c>
      <c r="K991" s="287" t="str">
        <f t="shared" si="139"/>
        <v/>
      </c>
      <c r="L991" s="287" t="str">
        <f t="shared" si="140"/>
        <v/>
      </c>
      <c r="M991" s="290" t="str">
        <f t="shared" si="141"/>
        <v/>
      </c>
      <c r="N991" s="243" t="str">
        <f>IF($A991="","",IF(ABS(E991)&gt;0.000001,COUNT($N$1:N990)+1,""))</f>
        <v/>
      </c>
      <c r="O991" s="291" t="str">
        <f>IF($A991="","",SUMIFS(Transactions!$H$2:$H$1001,Transactions!$J$2:$J$1001,$A991,Transactions!$A$2:$A$1001,2)*$I991)</f>
        <v/>
      </c>
      <c r="P991" s="291" t="str">
        <f t="shared" si="142"/>
        <v/>
      </c>
      <c r="Q991" s="292" t="str">
        <f t="shared" si="143"/>
        <v/>
      </c>
    </row>
    <row r="992" spans="1:17" ht="15" customHeight="1" x14ac:dyDescent="0.2">
      <c r="A992" s="243" t="str">
        <f>IFERROR(INDEX(Txn[Key],MATCH(0,INDEX(COUNTIF($A$1:A991,Txn[Key])+(Txn[Key]=""),0),0)),"")</f>
        <v/>
      </c>
      <c r="B992" s="243" t="str">
        <f t="shared" si="135"/>
        <v/>
      </c>
      <c r="C992" s="243" t="str">
        <f t="shared" si="136"/>
        <v/>
      </c>
      <c r="D992" s="243" t="str">
        <f t="shared" si="137"/>
        <v/>
      </c>
      <c r="E992" s="265" t="str">
        <f>IF($A992="","",SUMIFS(Txn[Signed Units],Txn[Key],$A992))</f>
        <v/>
      </c>
      <c r="F992" s="287" t="str">
        <f>IF($A992="","",SUMIFS(Txn[Buy Cost],Txn[Key],$A992))</f>
        <v/>
      </c>
      <c r="G992" s="287" t="str">
        <f>IF($A992="","",SUMIFS(Txn[Sell Proceeds],Txn[Key],$A992))</f>
        <v/>
      </c>
      <c r="H992" s="288" t="str">
        <f>IF($A992="","",IFERROR(INDEX(Prices[Current Price],MATCH($A992,Prices[Key],0)),0))</f>
        <v/>
      </c>
      <c r="I992" s="289" t="str">
        <f>IF($A992="","",IFERROR(INDEX(Prices[FX to SGD],MATCH($A992,Prices[Key],0)),1))</f>
        <v/>
      </c>
      <c r="J992" s="287" t="str">
        <f t="shared" si="138"/>
        <v/>
      </c>
      <c r="K992" s="287" t="str">
        <f t="shared" si="139"/>
        <v/>
      </c>
      <c r="L992" s="287" t="str">
        <f t="shared" si="140"/>
        <v/>
      </c>
      <c r="M992" s="290" t="str">
        <f t="shared" si="141"/>
        <v/>
      </c>
      <c r="N992" s="243" t="str">
        <f>IF($A992="","",IF(ABS(E992)&gt;0.000001,COUNT($N$1:N991)+1,""))</f>
        <v/>
      </c>
      <c r="O992" s="291" t="str">
        <f>IF($A992="","",SUMIFS(Transactions!$H$2:$H$1001,Transactions!$J$2:$J$1001,$A992,Transactions!$A$2:$A$1001,2)*$I992)</f>
        <v/>
      </c>
      <c r="P992" s="291" t="str">
        <f t="shared" si="142"/>
        <v/>
      </c>
      <c r="Q992" s="292" t="str">
        <f t="shared" si="143"/>
        <v/>
      </c>
    </row>
    <row r="993" spans="1:17" ht="15" customHeight="1" x14ac:dyDescent="0.2">
      <c r="A993" s="243" t="str">
        <f>IFERROR(INDEX(Txn[Key],MATCH(0,INDEX(COUNTIF($A$1:A992,Txn[Key])+(Txn[Key]=""),0),0)),"")</f>
        <v/>
      </c>
      <c r="B993" s="243" t="str">
        <f t="shared" si="135"/>
        <v/>
      </c>
      <c r="C993" s="243" t="str">
        <f t="shared" si="136"/>
        <v/>
      </c>
      <c r="D993" s="243" t="str">
        <f t="shared" si="137"/>
        <v/>
      </c>
      <c r="E993" s="265" t="str">
        <f>IF($A993="","",SUMIFS(Txn[Signed Units],Txn[Key],$A993))</f>
        <v/>
      </c>
      <c r="F993" s="287" t="str">
        <f>IF($A993="","",SUMIFS(Txn[Buy Cost],Txn[Key],$A993))</f>
        <v/>
      </c>
      <c r="G993" s="287" t="str">
        <f>IF($A993="","",SUMIFS(Txn[Sell Proceeds],Txn[Key],$A993))</f>
        <v/>
      </c>
      <c r="H993" s="288" t="str">
        <f>IF($A993="","",IFERROR(INDEX(Prices[Current Price],MATCH($A993,Prices[Key],0)),0))</f>
        <v/>
      </c>
      <c r="I993" s="289" t="str">
        <f>IF($A993="","",IFERROR(INDEX(Prices[FX to SGD],MATCH($A993,Prices[Key],0)),1))</f>
        <v/>
      </c>
      <c r="J993" s="287" t="str">
        <f t="shared" si="138"/>
        <v/>
      </c>
      <c r="K993" s="287" t="str">
        <f t="shared" si="139"/>
        <v/>
      </c>
      <c r="L993" s="287" t="str">
        <f t="shared" si="140"/>
        <v/>
      </c>
      <c r="M993" s="290" t="str">
        <f t="shared" si="141"/>
        <v/>
      </c>
      <c r="N993" s="243" t="str">
        <f>IF($A993="","",IF(ABS(E993)&gt;0.000001,COUNT($N$1:N992)+1,""))</f>
        <v/>
      </c>
      <c r="O993" s="291" t="str">
        <f>IF($A993="","",SUMIFS(Transactions!$H$2:$H$1001,Transactions!$J$2:$J$1001,$A993,Transactions!$A$2:$A$1001,2)*$I993)</f>
        <v/>
      </c>
      <c r="P993" s="291" t="str">
        <f t="shared" si="142"/>
        <v/>
      </c>
      <c r="Q993" s="292" t="str">
        <f t="shared" si="143"/>
        <v/>
      </c>
    </row>
    <row r="994" spans="1:17" ht="15" customHeight="1" x14ac:dyDescent="0.2">
      <c r="A994" s="243" t="str">
        <f>IFERROR(INDEX(Txn[Key],MATCH(0,INDEX(COUNTIF($A$1:A993,Txn[Key])+(Txn[Key]=""),0),0)),"")</f>
        <v/>
      </c>
      <c r="B994" s="243" t="str">
        <f t="shared" si="135"/>
        <v/>
      </c>
      <c r="C994" s="243" t="str">
        <f t="shared" si="136"/>
        <v/>
      </c>
      <c r="D994" s="243" t="str">
        <f t="shared" si="137"/>
        <v/>
      </c>
      <c r="E994" s="265" t="str">
        <f>IF($A994="","",SUMIFS(Txn[Signed Units],Txn[Key],$A994))</f>
        <v/>
      </c>
      <c r="F994" s="287" t="str">
        <f>IF($A994="","",SUMIFS(Txn[Buy Cost],Txn[Key],$A994))</f>
        <v/>
      </c>
      <c r="G994" s="287" t="str">
        <f>IF($A994="","",SUMIFS(Txn[Sell Proceeds],Txn[Key],$A994))</f>
        <v/>
      </c>
      <c r="H994" s="288" t="str">
        <f>IF($A994="","",IFERROR(INDEX(Prices[Current Price],MATCH($A994,Prices[Key],0)),0))</f>
        <v/>
      </c>
      <c r="I994" s="289" t="str">
        <f>IF($A994="","",IFERROR(INDEX(Prices[FX to SGD],MATCH($A994,Prices[Key],0)),1))</f>
        <v/>
      </c>
      <c r="J994" s="287" t="str">
        <f t="shared" si="138"/>
        <v/>
      </c>
      <c r="K994" s="287" t="str">
        <f t="shared" si="139"/>
        <v/>
      </c>
      <c r="L994" s="287" t="str">
        <f t="shared" si="140"/>
        <v/>
      </c>
      <c r="M994" s="290" t="str">
        <f t="shared" si="141"/>
        <v/>
      </c>
      <c r="N994" s="243" t="str">
        <f>IF($A994="","",IF(ABS(E994)&gt;0.000001,COUNT($N$1:N993)+1,""))</f>
        <v/>
      </c>
      <c r="O994" s="291" t="str">
        <f>IF($A994="","",SUMIFS(Transactions!$H$2:$H$1001,Transactions!$J$2:$J$1001,$A994,Transactions!$A$2:$A$1001,2)*$I994)</f>
        <v/>
      </c>
      <c r="P994" s="291" t="str">
        <f t="shared" si="142"/>
        <v/>
      </c>
      <c r="Q994" s="292" t="str">
        <f t="shared" si="143"/>
        <v/>
      </c>
    </row>
    <row r="995" spans="1:17" ht="15" customHeight="1" x14ac:dyDescent="0.2">
      <c r="A995" s="243" t="str">
        <f>IFERROR(INDEX(Txn[Key],MATCH(0,INDEX(COUNTIF($A$1:A994,Txn[Key])+(Txn[Key]=""),0),0)),"")</f>
        <v/>
      </c>
      <c r="B995" s="243" t="str">
        <f t="shared" si="135"/>
        <v/>
      </c>
      <c r="C995" s="243" t="str">
        <f t="shared" si="136"/>
        <v/>
      </c>
      <c r="D995" s="243" t="str">
        <f t="shared" si="137"/>
        <v/>
      </c>
      <c r="E995" s="265" t="str">
        <f>IF($A995="","",SUMIFS(Txn[Signed Units],Txn[Key],$A995))</f>
        <v/>
      </c>
      <c r="F995" s="287" t="str">
        <f>IF($A995="","",SUMIFS(Txn[Buy Cost],Txn[Key],$A995))</f>
        <v/>
      </c>
      <c r="G995" s="287" t="str">
        <f>IF($A995="","",SUMIFS(Txn[Sell Proceeds],Txn[Key],$A995))</f>
        <v/>
      </c>
      <c r="H995" s="288" t="str">
        <f>IF($A995="","",IFERROR(INDEX(Prices[Current Price],MATCH($A995,Prices[Key],0)),0))</f>
        <v/>
      </c>
      <c r="I995" s="289" t="str">
        <f>IF($A995="","",IFERROR(INDEX(Prices[FX to SGD],MATCH($A995,Prices[Key],0)),1))</f>
        <v/>
      </c>
      <c r="J995" s="287" t="str">
        <f t="shared" si="138"/>
        <v/>
      </c>
      <c r="K995" s="287" t="str">
        <f t="shared" si="139"/>
        <v/>
      </c>
      <c r="L995" s="287" t="str">
        <f t="shared" si="140"/>
        <v/>
      </c>
      <c r="M995" s="290" t="str">
        <f t="shared" si="141"/>
        <v/>
      </c>
      <c r="N995" s="243" t="str">
        <f>IF($A995="","",IF(ABS(E995)&gt;0.000001,COUNT($N$1:N994)+1,""))</f>
        <v/>
      </c>
      <c r="O995" s="291" t="str">
        <f>IF($A995="","",SUMIFS(Transactions!$H$2:$H$1001,Transactions!$J$2:$J$1001,$A995,Transactions!$A$2:$A$1001,2)*$I995)</f>
        <v/>
      </c>
      <c r="P995" s="291" t="str">
        <f t="shared" si="142"/>
        <v/>
      </c>
      <c r="Q995" s="292" t="str">
        <f t="shared" si="143"/>
        <v/>
      </c>
    </row>
    <row r="996" spans="1:17" ht="15" customHeight="1" x14ac:dyDescent="0.2">
      <c r="A996" s="243" t="str">
        <f>IFERROR(INDEX(Txn[Key],MATCH(0,INDEX(COUNTIF($A$1:A995,Txn[Key])+(Txn[Key]=""),0),0)),"")</f>
        <v/>
      </c>
      <c r="B996" s="243" t="str">
        <f t="shared" si="135"/>
        <v/>
      </c>
      <c r="C996" s="243" t="str">
        <f t="shared" si="136"/>
        <v/>
      </c>
      <c r="D996" s="243" t="str">
        <f t="shared" si="137"/>
        <v/>
      </c>
      <c r="E996" s="265" t="str">
        <f>IF($A996="","",SUMIFS(Txn[Signed Units],Txn[Key],$A996))</f>
        <v/>
      </c>
      <c r="F996" s="287" t="str">
        <f>IF($A996="","",SUMIFS(Txn[Buy Cost],Txn[Key],$A996))</f>
        <v/>
      </c>
      <c r="G996" s="287" t="str">
        <f>IF($A996="","",SUMIFS(Txn[Sell Proceeds],Txn[Key],$A996))</f>
        <v/>
      </c>
      <c r="H996" s="288" t="str">
        <f>IF($A996="","",IFERROR(INDEX(Prices[Current Price],MATCH($A996,Prices[Key],0)),0))</f>
        <v/>
      </c>
      <c r="I996" s="289" t="str">
        <f>IF($A996="","",IFERROR(INDEX(Prices[FX to SGD],MATCH($A996,Prices[Key],0)),1))</f>
        <v/>
      </c>
      <c r="J996" s="287" t="str">
        <f t="shared" si="138"/>
        <v/>
      </c>
      <c r="K996" s="287" t="str">
        <f t="shared" si="139"/>
        <v/>
      </c>
      <c r="L996" s="287" t="str">
        <f t="shared" si="140"/>
        <v/>
      </c>
      <c r="M996" s="290" t="str">
        <f t="shared" si="141"/>
        <v/>
      </c>
      <c r="N996" s="243" t="str">
        <f>IF($A996="","",IF(ABS(E996)&gt;0.000001,COUNT($N$1:N995)+1,""))</f>
        <v/>
      </c>
      <c r="O996" s="291" t="str">
        <f>IF($A996="","",SUMIFS(Transactions!$H$2:$H$1001,Transactions!$J$2:$J$1001,$A996,Transactions!$A$2:$A$1001,2)*$I996)</f>
        <v/>
      </c>
      <c r="P996" s="291" t="str">
        <f t="shared" si="142"/>
        <v/>
      </c>
      <c r="Q996" s="292" t="str">
        <f t="shared" si="143"/>
        <v/>
      </c>
    </row>
    <row r="997" spans="1:17" ht="15" customHeight="1" x14ac:dyDescent="0.2">
      <c r="A997" s="243" t="str">
        <f>IFERROR(INDEX(Txn[Key],MATCH(0,INDEX(COUNTIF($A$1:A996,Txn[Key])+(Txn[Key]=""),0),0)),"")</f>
        <v/>
      </c>
      <c r="B997" s="243" t="str">
        <f t="shared" si="135"/>
        <v/>
      </c>
      <c r="C997" s="243" t="str">
        <f t="shared" si="136"/>
        <v/>
      </c>
      <c r="D997" s="243" t="str">
        <f t="shared" si="137"/>
        <v/>
      </c>
      <c r="E997" s="265" t="str">
        <f>IF($A997="","",SUMIFS(Txn[Signed Units],Txn[Key],$A997))</f>
        <v/>
      </c>
      <c r="F997" s="287" t="str">
        <f>IF($A997="","",SUMIFS(Txn[Buy Cost],Txn[Key],$A997))</f>
        <v/>
      </c>
      <c r="G997" s="287" t="str">
        <f>IF($A997="","",SUMIFS(Txn[Sell Proceeds],Txn[Key],$A997))</f>
        <v/>
      </c>
      <c r="H997" s="288" t="str">
        <f>IF($A997="","",IFERROR(INDEX(Prices[Current Price],MATCH($A997,Prices[Key],0)),0))</f>
        <v/>
      </c>
      <c r="I997" s="289" t="str">
        <f>IF($A997="","",IFERROR(INDEX(Prices[FX to SGD],MATCH($A997,Prices[Key],0)),1))</f>
        <v/>
      </c>
      <c r="J997" s="287" t="str">
        <f t="shared" si="138"/>
        <v/>
      </c>
      <c r="K997" s="287" t="str">
        <f t="shared" si="139"/>
        <v/>
      </c>
      <c r="L997" s="287" t="str">
        <f t="shared" si="140"/>
        <v/>
      </c>
      <c r="M997" s="290" t="str">
        <f t="shared" si="141"/>
        <v/>
      </c>
      <c r="N997" s="243" t="str">
        <f>IF($A997="","",IF(ABS(E997)&gt;0.000001,COUNT($N$1:N996)+1,""))</f>
        <v/>
      </c>
      <c r="O997" s="291" t="str">
        <f>IF($A997="","",SUMIFS(Transactions!$H$2:$H$1001,Transactions!$J$2:$J$1001,$A997,Transactions!$A$2:$A$1001,2)*$I997)</f>
        <v/>
      </c>
      <c r="P997" s="291" t="str">
        <f t="shared" si="142"/>
        <v/>
      </c>
      <c r="Q997" s="292" t="str">
        <f t="shared" si="143"/>
        <v/>
      </c>
    </row>
    <row r="998" spans="1:17" ht="15" customHeight="1" x14ac:dyDescent="0.2">
      <c r="A998" s="243" t="str">
        <f>IFERROR(INDEX(Txn[Key],MATCH(0,INDEX(COUNTIF($A$1:A997,Txn[Key])+(Txn[Key]=""),0),0)),"")</f>
        <v/>
      </c>
      <c r="B998" s="243" t="str">
        <f t="shared" si="135"/>
        <v/>
      </c>
      <c r="C998" s="243" t="str">
        <f t="shared" si="136"/>
        <v/>
      </c>
      <c r="D998" s="243" t="str">
        <f t="shared" si="137"/>
        <v/>
      </c>
      <c r="E998" s="265" t="str">
        <f>IF($A998="","",SUMIFS(Txn[Signed Units],Txn[Key],$A998))</f>
        <v/>
      </c>
      <c r="F998" s="287" t="str">
        <f>IF($A998="","",SUMIFS(Txn[Buy Cost],Txn[Key],$A998))</f>
        <v/>
      </c>
      <c r="G998" s="287" t="str">
        <f>IF($A998="","",SUMIFS(Txn[Sell Proceeds],Txn[Key],$A998))</f>
        <v/>
      </c>
      <c r="H998" s="288" t="str">
        <f>IF($A998="","",IFERROR(INDEX(Prices[Current Price],MATCH($A998,Prices[Key],0)),0))</f>
        <v/>
      </c>
      <c r="I998" s="289" t="str">
        <f>IF($A998="","",IFERROR(INDEX(Prices[FX to SGD],MATCH($A998,Prices[Key],0)),1))</f>
        <v/>
      </c>
      <c r="J998" s="287" t="str">
        <f t="shared" si="138"/>
        <v/>
      </c>
      <c r="K998" s="287" t="str">
        <f t="shared" si="139"/>
        <v/>
      </c>
      <c r="L998" s="287" t="str">
        <f t="shared" si="140"/>
        <v/>
      </c>
      <c r="M998" s="290" t="str">
        <f t="shared" si="141"/>
        <v/>
      </c>
      <c r="N998" s="243" t="str">
        <f>IF($A998="","",IF(ABS(E998)&gt;0.000001,COUNT($N$1:N997)+1,""))</f>
        <v/>
      </c>
      <c r="O998" s="291" t="str">
        <f>IF($A998="","",SUMIFS(Transactions!$H$2:$H$1001,Transactions!$J$2:$J$1001,$A998,Transactions!$A$2:$A$1001,2)*$I998)</f>
        <v/>
      </c>
      <c r="P998" s="291" t="str">
        <f t="shared" si="142"/>
        <v/>
      </c>
      <c r="Q998" s="292" t="str">
        <f t="shared" si="143"/>
        <v/>
      </c>
    </row>
    <row r="999" spans="1:17" ht="15" customHeight="1" x14ac:dyDescent="0.2">
      <c r="A999" s="243" t="str">
        <f>IFERROR(INDEX(Txn[Key],MATCH(0,INDEX(COUNTIF($A$1:A998,Txn[Key])+(Txn[Key]=""),0),0)),"")</f>
        <v/>
      </c>
      <c r="B999" s="243" t="str">
        <f t="shared" si="135"/>
        <v/>
      </c>
      <c r="C999" s="243" t="str">
        <f t="shared" si="136"/>
        <v/>
      </c>
      <c r="D999" s="243" t="str">
        <f t="shared" si="137"/>
        <v/>
      </c>
      <c r="E999" s="265" t="str">
        <f>IF($A999="","",SUMIFS(Txn[Signed Units],Txn[Key],$A999))</f>
        <v/>
      </c>
      <c r="F999" s="287" t="str">
        <f>IF($A999="","",SUMIFS(Txn[Buy Cost],Txn[Key],$A999))</f>
        <v/>
      </c>
      <c r="G999" s="287" t="str">
        <f>IF($A999="","",SUMIFS(Txn[Sell Proceeds],Txn[Key],$A999))</f>
        <v/>
      </c>
      <c r="H999" s="288" t="str">
        <f>IF($A999="","",IFERROR(INDEX(Prices[Current Price],MATCH($A999,Prices[Key],0)),0))</f>
        <v/>
      </c>
      <c r="I999" s="289" t="str">
        <f>IF($A999="","",IFERROR(INDEX(Prices[FX to SGD],MATCH($A999,Prices[Key],0)),1))</f>
        <v/>
      </c>
      <c r="J999" s="287" t="str">
        <f t="shared" si="138"/>
        <v/>
      </c>
      <c r="K999" s="287" t="str">
        <f t="shared" si="139"/>
        <v/>
      </c>
      <c r="L999" s="287" t="str">
        <f t="shared" si="140"/>
        <v/>
      </c>
      <c r="M999" s="290" t="str">
        <f t="shared" si="141"/>
        <v/>
      </c>
      <c r="N999" s="243" t="str">
        <f>IF($A999="","",IF(ABS(E999)&gt;0.000001,COUNT($N$1:N998)+1,""))</f>
        <v/>
      </c>
      <c r="O999" s="291" t="str">
        <f>IF($A999="","",SUMIFS(Transactions!$H$2:$H$1001,Transactions!$J$2:$J$1001,$A999,Transactions!$A$2:$A$1001,2)*$I999)</f>
        <v/>
      </c>
      <c r="P999" s="291" t="str">
        <f t="shared" si="142"/>
        <v/>
      </c>
      <c r="Q999" s="292" t="str">
        <f t="shared" si="143"/>
        <v/>
      </c>
    </row>
    <row r="1000" spans="1:17" ht="15" customHeight="1" x14ac:dyDescent="0.2">
      <c r="A1000" s="243" t="str">
        <f>IFERROR(INDEX(Txn[Key],MATCH(0,INDEX(COUNTIF($A$1:A999,Txn[Key])+(Txn[Key]=""),0),0)),"")</f>
        <v/>
      </c>
      <c r="B1000" s="243" t="str">
        <f t="shared" si="135"/>
        <v/>
      </c>
      <c r="C1000" s="243" t="str">
        <f t="shared" si="136"/>
        <v/>
      </c>
      <c r="D1000" s="243" t="str">
        <f t="shared" si="137"/>
        <v/>
      </c>
      <c r="E1000" s="265" t="str">
        <f>IF($A1000="","",SUMIFS(Txn[Signed Units],Txn[Key],$A1000))</f>
        <v/>
      </c>
      <c r="F1000" s="287" t="str">
        <f>IF($A1000="","",SUMIFS(Txn[Buy Cost],Txn[Key],$A1000))</f>
        <v/>
      </c>
      <c r="G1000" s="287" t="str">
        <f>IF($A1000="","",SUMIFS(Txn[Sell Proceeds],Txn[Key],$A1000))</f>
        <v/>
      </c>
      <c r="H1000" s="288" t="str">
        <f>IF($A1000="","",IFERROR(INDEX(Prices[Current Price],MATCH($A1000,Prices[Key],0)),0))</f>
        <v/>
      </c>
      <c r="I1000" s="289" t="str">
        <f>IF($A1000="","",IFERROR(INDEX(Prices[FX to SGD],MATCH($A1000,Prices[Key],0)),1))</f>
        <v/>
      </c>
      <c r="J1000" s="287" t="str">
        <f t="shared" si="138"/>
        <v/>
      </c>
      <c r="K1000" s="287" t="str">
        <f t="shared" si="139"/>
        <v/>
      </c>
      <c r="L1000" s="287" t="str">
        <f t="shared" si="140"/>
        <v/>
      </c>
      <c r="M1000" s="290" t="str">
        <f t="shared" si="141"/>
        <v/>
      </c>
      <c r="N1000" s="243" t="str">
        <f>IF($A1000="","",IF(ABS(E1000)&gt;0.000001,COUNT($N$1:N999)+1,""))</f>
        <v/>
      </c>
      <c r="O1000" s="291" t="str">
        <f>IF($A1000="","",SUMIFS(Transactions!$H$2:$H$1001,Transactions!$J$2:$J$1001,$A1000,Transactions!$A$2:$A$1001,2)*$I1000)</f>
        <v/>
      </c>
      <c r="P1000" s="291" t="str">
        <f t="shared" si="142"/>
        <v/>
      </c>
      <c r="Q1000" s="292" t="str">
        <f t="shared" si="143"/>
        <v/>
      </c>
    </row>
    <row r="1001" spans="1:17" ht="15" customHeight="1" x14ac:dyDescent="0.2">
      <c r="A1001" s="243" t="str">
        <f>IFERROR(INDEX(Txn[Key],MATCH(0,INDEX(COUNTIF($A$1:A1000,Txn[Key])+(Txn[Key]=""),0),0)),"")</f>
        <v/>
      </c>
      <c r="B1001" s="243" t="str">
        <f t="shared" si="135"/>
        <v/>
      </c>
      <c r="C1001" s="243" t="str">
        <f t="shared" si="136"/>
        <v/>
      </c>
      <c r="D1001" s="243" t="str">
        <f t="shared" si="137"/>
        <v/>
      </c>
      <c r="E1001" s="265" t="str">
        <f>IF($A1001="","",SUMIFS(Txn[Signed Units],Txn[Key],$A1001))</f>
        <v/>
      </c>
      <c r="F1001" s="287" t="str">
        <f>IF($A1001="","",SUMIFS(Txn[Buy Cost],Txn[Key],$A1001))</f>
        <v/>
      </c>
      <c r="G1001" s="287" t="str">
        <f>IF($A1001="","",SUMIFS(Txn[Sell Proceeds],Txn[Key],$A1001))</f>
        <v/>
      </c>
      <c r="H1001" s="288" t="str">
        <f>IF($A1001="","",IFERROR(INDEX(Prices[Current Price],MATCH($A1001,Prices[Key],0)),0))</f>
        <v/>
      </c>
      <c r="I1001" s="289" t="str">
        <f>IF($A1001="","",IFERROR(INDEX(Prices[FX to SGD],MATCH($A1001,Prices[Key],0)),1))</f>
        <v/>
      </c>
      <c r="J1001" s="287" t="str">
        <f t="shared" si="138"/>
        <v/>
      </c>
      <c r="K1001" s="287" t="str">
        <f t="shared" si="139"/>
        <v/>
      </c>
      <c r="L1001" s="287" t="str">
        <f t="shared" si="140"/>
        <v/>
      </c>
      <c r="M1001" s="290" t="str">
        <f t="shared" si="141"/>
        <v/>
      </c>
      <c r="N1001" s="243" t="str">
        <f>IF($A1001="","",IF(ABS(E1001)&gt;0.000001,COUNT($N$1:N1000)+1,""))</f>
        <v/>
      </c>
      <c r="O1001" s="291" t="str">
        <f>IF($A1001="","",SUMIFS(Transactions!$H$2:$H$1001,Transactions!$J$2:$J$1001,$A1001,Transactions!$A$2:$A$1001,2)*$I1001)</f>
        <v/>
      </c>
      <c r="P1001" s="291" t="str">
        <f t="shared" si="142"/>
        <v/>
      </c>
      <c r="Q1001" s="292" t="str">
        <f t="shared" si="143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1010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6640625" defaultRowHeight="13" x14ac:dyDescent="0.15"/>
  <cols>
    <col min="1" max="1" width="42" customWidth="1"/>
    <col min="2" max="2" width="12" customWidth="1"/>
    <col min="3" max="3" width="8" customWidth="1"/>
    <col min="4" max="4" width="14" customWidth="1"/>
    <col min="5" max="5" width="10" customWidth="1"/>
    <col min="6" max="6" width="14" customWidth="1"/>
    <col min="7" max="7" width="13" customWidth="1"/>
  </cols>
  <sheetData>
    <row r="1" spans="1:7" ht="15" customHeight="1" x14ac:dyDescent="0.2">
      <c r="A1" s="78" t="s">
        <v>532</v>
      </c>
    </row>
    <row r="2" spans="1:7" ht="15" customHeight="1" x14ac:dyDescent="0.15">
      <c r="A2" s="38" t="s">
        <v>533</v>
      </c>
    </row>
    <row r="3" spans="1:7" ht="15" customHeight="1" x14ac:dyDescent="0.15">
      <c r="A3" s="113" t="s">
        <v>534</v>
      </c>
      <c r="B3" s="115">
        <f ca="1">IFERROR(XIRR($F$10:$F$1010,$B$10:$B$1010,0.1),"n/a")</f>
        <v>7.5773295760154721E-2</v>
      </c>
    </row>
    <row r="4" spans="1:7" ht="15" customHeight="1" x14ac:dyDescent="0.15">
      <c r="A4" s="113" t="s">
        <v>488</v>
      </c>
      <c r="B4" s="130">
        <f>SUM($G$10:$G$1009)</f>
        <v>1090</v>
      </c>
    </row>
    <row r="5" spans="1:7" ht="15" customHeight="1" x14ac:dyDescent="0.15">
      <c r="A5" s="113" t="s">
        <v>535</v>
      </c>
      <c r="B5" s="130">
        <f>'Stock Dashboard'!$B$5</f>
        <v>177864.44309718916</v>
      </c>
    </row>
    <row r="9" spans="1:7" ht="15" customHeight="1" x14ac:dyDescent="0.15">
      <c r="A9" s="113" t="s">
        <v>395</v>
      </c>
      <c r="B9" s="113" t="s">
        <v>206</v>
      </c>
      <c r="C9" s="113" t="s">
        <v>536</v>
      </c>
      <c r="D9" s="113" t="s">
        <v>537</v>
      </c>
      <c r="E9" s="113" t="s">
        <v>424</v>
      </c>
      <c r="F9" s="113" t="s">
        <v>538</v>
      </c>
      <c r="G9" s="113" t="s">
        <v>539</v>
      </c>
    </row>
    <row r="10" spans="1:7" ht="15" customHeight="1" x14ac:dyDescent="0.15">
      <c r="A10" t="str">
        <f>IF(Transactions!J2="","",Transactions!J2)</f>
        <v>CA:GOLD:SGD</v>
      </c>
      <c r="B10" s="297">
        <f ca="1">IF($A10="",TODAY(),Transactions!G2)</f>
        <v>43525</v>
      </c>
      <c r="C10" s="298">
        <f>IF($A10="","",Transactions!A2)</f>
        <v>1</v>
      </c>
      <c r="D10" s="30">
        <f>IF($A10="",0,Transactions!H2)</f>
        <v>30000</v>
      </c>
      <c r="E10" s="299">
        <f>IF($A10="",1,IFERROR(INDEX(Prices[FX to SGD],MATCH($A10,Prices[Key],0)),1))</f>
        <v>1</v>
      </c>
      <c r="F10" s="30">
        <f>IF($A10="",0,(Transactions!M2-Transactions!L2+IF(Transactions!A2=2,Transactions!H2,0))*$E10)</f>
        <v>-30000</v>
      </c>
      <c r="G10" s="30">
        <f>IF($A10="",0,IF(Transactions!A2=2,Transactions!H2*$E10,0))</f>
        <v>0</v>
      </c>
    </row>
    <row r="11" spans="1:7" ht="15" customHeight="1" x14ac:dyDescent="0.15">
      <c r="A11" t="str">
        <f>IF(Transactions!J3="","",Transactions!J3)</f>
        <v>SGX:Z74:SGD</v>
      </c>
      <c r="B11" s="297">
        <f ca="1">IF($A11="",TODAY(),Transactions!G3)</f>
        <v>43770</v>
      </c>
      <c r="C11" s="298">
        <f>IF($A11="","",Transactions!A3)</f>
        <v>1</v>
      </c>
      <c r="D11" s="30">
        <f>IF($A11="",0,Transactions!H3)</f>
        <v>9325</v>
      </c>
      <c r="E11" s="299">
        <f>IF($A11="",1,IFERROR(INDEX(Prices[FX to SGD],MATCH($A11,Prices[Key],0)),1))</f>
        <v>1</v>
      </c>
      <c r="F11" s="30">
        <f>IF($A11="",0,(Transactions!M3-Transactions!L3+IF(Transactions!A3=2,Transactions!H3,0))*$E11)</f>
        <v>-9325</v>
      </c>
      <c r="G11" s="30">
        <f>IF($A11="",0,IF(Transactions!A3=2,Transactions!H3*$E11,0))</f>
        <v>0</v>
      </c>
    </row>
    <row r="12" spans="1:7" ht="15" customHeight="1" x14ac:dyDescent="0.15">
      <c r="A12" t="str">
        <f>IF(Transactions!J4="","",Transactions!J4)</f>
        <v>USX:AAPL:USD</v>
      </c>
      <c r="B12" s="297">
        <f ca="1">IF($A12="",TODAY(),Transactions!G4)</f>
        <v>43966</v>
      </c>
      <c r="C12" s="298">
        <f>IF($A12="","",Transactions!A4)</f>
        <v>1</v>
      </c>
      <c r="D12" s="30">
        <f>IF($A12="",0,Transactions!H4)</f>
        <v>4005</v>
      </c>
      <c r="E12" s="299">
        <f>IF($A12="",1,IFERROR(INDEX(Prices[FX to SGD],MATCH($A12,Prices[Key],0)),1))</f>
        <v>1.2928081084924601</v>
      </c>
      <c r="F12" s="30">
        <f>IF($A12="",0,(Transactions!M4-Transactions!L4+IF(Transactions!A4=2,Transactions!H4,0))*$E12)</f>
        <v>-5177.6964745123023</v>
      </c>
      <c r="G12" s="30">
        <f>IF($A12="",0,IF(Transactions!A4=2,Transactions!H4*$E12,0))</f>
        <v>0</v>
      </c>
    </row>
    <row r="13" spans="1:7" ht="15" customHeight="1" x14ac:dyDescent="0.15">
      <c r="A13" t="str">
        <f>IF(Transactions!J5="","",Transactions!J5)</f>
        <v>SGX:C38U:SGD</v>
      </c>
      <c r="B13" s="297">
        <f ca="1">IF($A13="",TODAY(),Transactions!G5)</f>
        <v>44046</v>
      </c>
      <c r="C13" s="298">
        <f>IF($A13="","",Transactions!A5)</f>
        <v>1</v>
      </c>
      <c r="D13" s="30">
        <f>IF($A13="",0,Transactions!H5)</f>
        <v>9525</v>
      </c>
      <c r="E13" s="299">
        <f>IF($A13="",1,IFERROR(INDEX(Prices[FX to SGD],MATCH($A13,Prices[Key],0)),1))</f>
        <v>1</v>
      </c>
      <c r="F13" s="30">
        <f>IF($A13="",0,(Transactions!M5-Transactions!L5+IF(Transactions!A5=2,Transactions!H5,0))*$E13)</f>
        <v>-9525</v>
      </c>
      <c r="G13" s="30">
        <f>IF($A13="",0,IF(Transactions!A5=2,Transactions!H5*$E13,0))</f>
        <v>0</v>
      </c>
    </row>
    <row r="14" spans="1:7" ht="15" customHeight="1" x14ac:dyDescent="0.15">
      <c r="A14" t="str">
        <f>IF(Transactions!J6="","",Transactions!J6)</f>
        <v>CG:BITCOIN:USD</v>
      </c>
      <c r="B14" s="297">
        <f ca="1">IF($A14="",TODAY(),Transactions!G6)</f>
        <v>44166</v>
      </c>
      <c r="C14" s="298">
        <f>IF($A14="","",Transactions!A6)</f>
        <v>1</v>
      </c>
      <c r="D14" s="30">
        <f>IF($A14="",0,Transactions!H6)</f>
        <v>1000</v>
      </c>
      <c r="E14" s="299">
        <f>IF($A14="",1,IFERROR(INDEX(Prices[FX to SGD],MATCH($A14,Prices[Key],0)),1))</f>
        <v>1.2928081084924601</v>
      </c>
      <c r="F14" s="30">
        <f>IF($A14="",0,(Transactions!M6-Transactions!L6+IF(Transactions!A6=2,Transactions!H6,0))*$E14)</f>
        <v>-1292.8081084924602</v>
      </c>
      <c r="G14" s="30">
        <f>IF($A14="",0,IF(Transactions!A6=2,Transactions!H6*$E14,0))</f>
        <v>0</v>
      </c>
    </row>
    <row r="15" spans="1:7" ht="15" customHeight="1" x14ac:dyDescent="0.15">
      <c r="A15" t="str">
        <f>IF(Transactions!J7="","",Transactions!J7)</f>
        <v>HKEX:700:HKD</v>
      </c>
      <c r="B15" s="297">
        <f ca="1">IF($A15="",TODAY(),Transactions!G7)</f>
        <v>44228</v>
      </c>
      <c r="C15" s="298">
        <f>IF($A15="","",Transactions!A7)</f>
        <v>1</v>
      </c>
      <c r="D15" s="30">
        <f>IF($A15="",0,Transactions!H7)</f>
        <v>60100</v>
      </c>
      <c r="E15" s="299">
        <f>IF($A15="",1,IFERROR(INDEX(Prices[FX to SGD],MATCH($A15,Prices[Key],0)),1))</f>
        <v>0.16489949375855401</v>
      </c>
      <c r="F15" s="30">
        <f>IF($A15="",0,(Transactions!M7-Transactions!L7+IF(Transactions!A7=2,Transactions!H7,0))*$E15)</f>
        <v>-9910.4595748890952</v>
      </c>
      <c r="G15" s="30">
        <f>IF($A15="",0,IF(Transactions!A7=2,Transactions!H7*$E15,0))</f>
        <v>0</v>
      </c>
    </row>
    <row r="16" spans="1:7" ht="15" customHeight="1" x14ac:dyDescent="0.15">
      <c r="A16" t="str">
        <f>IF(Transactions!J8="","",Transactions!J8)</f>
        <v>USX:MSFT:USD</v>
      </c>
      <c r="B16" s="297">
        <f ca="1">IF($A16="",TODAY(),Transactions!G8)</f>
        <v>44256</v>
      </c>
      <c r="C16" s="298">
        <f>IF($A16="","",Transactions!A8)</f>
        <v>1</v>
      </c>
      <c r="D16" s="30">
        <f>IF($A16="",0,Transactions!H8)</f>
        <v>4605</v>
      </c>
      <c r="E16" s="299">
        <f>IF($A16="",1,IFERROR(INDEX(Prices[FX to SGD],MATCH($A16,Prices[Key],0)),1))</f>
        <v>1.2928081084924601</v>
      </c>
      <c r="F16" s="30">
        <f>IF($A16="",0,(Transactions!M8-Transactions!L8+IF(Transactions!A8=2,Transactions!H8,0))*$E16)</f>
        <v>-5953.3813396077785</v>
      </c>
      <c r="G16" s="30">
        <f>IF($A16="",0,IF(Transactions!A8=2,Transactions!H8*$E16,0))</f>
        <v>0</v>
      </c>
    </row>
    <row r="17" spans="1:7" ht="15" customHeight="1" x14ac:dyDescent="0.15">
      <c r="A17" t="str">
        <f>IF(Transactions!J9="","",Transactions!J9)</f>
        <v>SGX:A17U:SGD</v>
      </c>
      <c r="B17" s="297">
        <f ca="1">IF($A17="",TODAY(),Transactions!G9)</f>
        <v>44326</v>
      </c>
      <c r="C17" s="298">
        <f>IF($A17="","",Transactions!A9)</f>
        <v>1</v>
      </c>
      <c r="D17" s="30">
        <f>IF($A17="",0,Transactions!H9)</f>
        <v>11825</v>
      </c>
      <c r="E17" s="299">
        <f>IF($A17="",1,IFERROR(INDEX(Prices[FX to SGD],MATCH($A17,Prices[Key],0)),1))</f>
        <v>1</v>
      </c>
      <c r="F17" s="30">
        <f>IF($A17="",0,(Transactions!M9-Transactions!L9+IF(Transactions!A9=2,Transactions!H9,0))*$E17)</f>
        <v>-11825</v>
      </c>
      <c r="G17" s="30">
        <f>IF($A17="",0,IF(Transactions!A9=2,Transactions!H9*$E17,0))</f>
        <v>0</v>
      </c>
    </row>
    <row r="18" spans="1:7" ht="15" customHeight="1" x14ac:dyDescent="0.15">
      <c r="A18" t="str">
        <f>IF(Transactions!J10="","",Transactions!J10)</f>
        <v>SGX:A17U:SGD</v>
      </c>
      <c r="B18" s="297">
        <f ca="1">IF($A18="",TODAY(),Transactions!G10)</f>
        <v>44326</v>
      </c>
      <c r="C18" s="298">
        <f>IF($A18="","",Transactions!A10)</f>
        <v>0</v>
      </c>
      <c r="D18" s="30">
        <f>IF($A18="",0,Transactions!H10)</f>
        <v>25</v>
      </c>
      <c r="E18" s="299">
        <f>IF($A18="",1,IFERROR(INDEX(Prices[FX to SGD],MATCH($A18,Prices[Key],0)),1))</f>
        <v>1</v>
      </c>
      <c r="F18" s="30">
        <f>IF($A18="",0,(Transactions!M10-Transactions!L10+IF(Transactions!A10=2,Transactions!H10,0))*$E18)</f>
        <v>-25</v>
      </c>
      <c r="G18" s="30">
        <f>IF($A18="",0,IF(Transactions!A10=2,Transactions!H10*$E18,0))</f>
        <v>0</v>
      </c>
    </row>
    <row r="19" spans="1:7" ht="15" customHeight="1" x14ac:dyDescent="0.15">
      <c r="A19" t="str">
        <f>IF(Transactions!J11="","",Transactions!J11)</f>
        <v>CA:GOLD:SGD</v>
      </c>
      <c r="B19" s="297">
        <f ca="1">IF($A19="",TODAY(),Transactions!G11)</f>
        <v>44348</v>
      </c>
      <c r="C19" s="298">
        <f>IF($A19="","",Transactions!A11)</f>
        <v>1</v>
      </c>
      <c r="D19" s="30">
        <f>IF($A19="",0,Transactions!H11)</f>
        <v>25500</v>
      </c>
      <c r="E19" s="299">
        <f>IF($A19="",1,IFERROR(INDEX(Prices[FX to SGD],MATCH($A19,Prices[Key],0)),1))</f>
        <v>1</v>
      </c>
      <c r="F19" s="30">
        <f>IF($A19="",0,(Transactions!M11-Transactions!L11+IF(Transactions!A11=2,Transactions!H11,0))*$E19)</f>
        <v>-25500</v>
      </c>
      <c r="G19" s="30">
        <f>IF($A19="",0,IF(Transactions!A11=2,Transactions!H11*$E19,0))</f>
        <v>0</v>
      </c>
    </row>
    <row r="20" spans="1:7" ht="15" customHeight="1" x14ac:dyDescent="0.15">
      <c r="A20" t="str">
        <f>IF(Transactions!J12="","",Transactions!J12)</f>
        <v>USX:AAPL:USD</v>
      </c>
      <c r="B20" s="297">
        <f ca="1">IF($A20="",TODAY(),Transactions!G12)</f>
        <v>44571</v>
      </c>
      <c r="C20" s="298">
        <f>IF($A20="","",Transactions!A12)</f>
        <v>1</v>
      </c>
      <c r="D20" s="30">
        <f>IF($A20="",0,Transactions!H12)</f>
        <v>5105</v>
      </c>
      <c r="E20" s="299">
        <f>IF($A20="",1,IFERROR(INDEX(Prices[FX to SGD],MATCH($A20,Prices[Key],0)),1))</f>
        <v>1.2928081084924601</v>
      </c>
      <c r="F20" s="30">
        <f>IF($A20="",0,(Transactions!M12-Transactions!L12+IF(Transactions!A12=2,Transactions!H12,0))*$E20)</f>
        <v>-6599.7853938540084</v>
      </c>
      <c r="G20" s="30">
        <f>IF($A20="",0,IF(Transactions!A12=2,Transactions!H12*$E20,0))</f>
        <v>0</v>
      </c>
    </row>
    <row r="21" spans="1:7" ht="15" customHeight="1" x14ac:dyDescent="0.15">
      <c r="A21" t="str">
        <f>IF(Transactions!J13="","",Transactions!J13)</f>
        <v>SGX:C38U:SGD</v>
      </c>
      <c r="B21" s="297">
        <f ca="1">IF($A21="",TODAY(),Transactions!G13)</f>
        <v>44621</v>
      </c>
      <c r="C21" s="298">
        <f>IF($A21="","",Transactions!A13)</f>
        <v>1</v>
      </c>
      <c r="D21" s="30">
        <f>IF($A21="",0,Transactions!H13)</f>
        <v>6625</v>
      </c>
      <c r="E21" s="299">
        <f>IF($A21="",1,IFERROR(INDEX(Prices[FX to SGD],MATCH($A21,Prices[Key],0)),1))</f>
        <v>1</v>
      </c>
      <c r="F21" s="30">
        <f>IF($A21="",0,(Transactions!M13-Transactions!L13+IF(Transactions!A13=2,Transactions!H13,0))*$E21)</f>
        <v>-6625</v>
      </c>
      <c r="G21" s="30">
        <f>IF($A21="",0,IF(Transactions!A13=2,Transactions!H13*$E21,0))</f>
        <v>0</v>
      </c>
    </row>
    <row r="22" spans="1:7" ht="15" customHeight="1" x14ac:dyDescent="0.15">
      <c r="A22" t="str">
        <f>IF(Transactions!J14="","",Transactions!J14)</f>
        <v>USX:NVDA:USD</v>
      </c>
      <c r="B22" s="297">
        <f ca="1">IF($A22="",TODAY(),Transactions!G14)</f>
        <v>44837</v>
      </c>
      <c r="C22" s="298">
        <f>IF($A22="","",Transactions!A14)</f>
        <v>1</v>
      </c>
      <c r="D22" s="30">
        <f>IF($A22="",0,Transactions!H14)</f>
        <v>4805</v>
      </c>
      <c r="E22" s="299">
        <f>IF($A22="",1,IFERROR(INDEX(Prices[FX to SGD],MATCH($A22,Prices[Key],0)),1))</f>
        <v>1.2928081084924601</v>
      </c>
      <c r="F22" s="30">
        <f>IF($A22="",0,(Transactions!M14-Transactions!L14+IF(Transactions!A14=2,Transactions!H14,0))*$E22)</f>
        <v>-6211.9429613062703</v>
      </c>
      <c r="G22" s="30">
        <f>IF($A22="",0,IF(Transactions!A14=2,Transactions!H14*$E22,0))</f>
        <v>0</v>
      </c>
    </row>
    <row r="23" spans="1:7" ht="15" customHeight="1" x14ac:dyDescent="0.15">
      <c r="A23" t="str">
        <f>IF(Transactions!J15="","",Transactions!J15)</f>
        <v>CG:BITCOIN:USD</v>
      </c>
      <c r="B23" s="297">
        <f ca="1">IF($A23="",TODAY(),Transactions!G15)</f>
        <v>44942</v>
      </c>
      <c r="C23" s="298">
        <f>IF($A23="","",Transactions!A15)</f>
        <v>1</v>
      </c>
      <c r="D23" s="30">
        <f>IF($A23="",0,Transactions!H15)</f>
        <v>850</v>
      </c>
      <c r="E23" s="299">
        <f>IF($A23="",1,IFERROR(INDEX(Prices[FX to SGD],MATCH($A23,Prices[Key],0)),1))</f>
        <v>1.2928081084924601</v>
      </c>
      <c r="F23" s="30">
        <f>IF($A23="",0,(Transactions!M15-Transactions!L15+IF(Transactions!A15=2,Transactions!H15,0))*$E23)</f>
        <v>-1098.8868922185911</v>
      </c>
      <c r="G23" s="30">
        <f>IF($A23="",0,IF(Transactions!A15=2,Transactions!H15*$E23,0))</f>
        <v>0</v>
      </c>
    </row>
    <row r="24" spans="1:7" ht="15" customHeight="1" x14ac:dyDescent="0.15">
      <c r="A24" t="str">
        <f>IF(Transactions!J16="","",Transactions!J16)</f>
        <v>SGX:CLR:SGD</v>
      </c>
      <c r="B24" s="297">
        <f ca="1">IF($A24="",TODAY(),Transactions!G16)</f>
        <v>45019</v>
      </c>
      <c r="C24" s="298">
        <f>IF($A24="","",Transactions!A16)</f>
        <v>1</v>
      </c>
      <c r="D24" s="30">
        <f>IF($A24="",0,Transactions!H16)</f>
        <v>7025</v>
      </c>
      <c r="E24" s="299">
        <f>IF($A24="",1,IFERROR(INDEX(Prices[FX to SGD],MATCH($A24,Prices[Key],0)),1))</f>
        <v>1</v>
      </c>
      <c r="F24" s="30">
        <f>IF($A24="",0,(Transactions!M16-Transactions!L16+IF(Transactions!A16=2,Transactions!H16,0))*$E24)</f>
        <v>-7025</v>
      </c>
      <c r="G24" s="30">
        <f>IF($A24="",0,IF(Transactions!A16=2,Transactions!H16*$E24,0))</f>
        <v>0</v>
      </c>
    </row>
    <row r="25" spans="1:7" ht="15" customHeight="1" x14ac:dyDescent="0.15">
      <c r="A25" t="str">
        <f>IF(Transactions!J17="","",Transactions!J17)</f>
        <v>USX:NVDA:USD</v>
      </c>
      <c r="B25" s="297">
        <f ca="1">IF($A25="",TODAY(),Transactions!G17)</f>
        <v>45446</v>
      </c>
      <c r="C25" s="298">
        <f>IF($A25="","",Transactions!A17)</f>
        <v>-1</v>
      </c>
      <c r="D25" s="30">
        <f>IF($A25="",0,Transactions!H17)</f>
        <v>17995</v>
      </c>
      <c r="E25" s="300">
        <f>IF($A25="",1,IFERROR(INDEX(Prices[FX to SGD],MATCH($A25,Prices[Key],0)),1))</f>
        <v>1.2928081084924601</v>
      </c>
      <c r="F25" s="30">
        <f>IF($A25="",0,(Transactions!M17-Transactions!L17+IF(Transactions!A17=2,Transactions!H17,0))*$E25)</f>
        <v>23264.081912321821</v>
      </c>
      <c r="G25" s="30">
        <f>IF($A25="",0,IF(Transactions!A17=2,Transactions!H17*$E25,0))</f>
        <v>0</v>
      </c>
    </row>
    <row r="26" spans="1:7" ht="15" customHeight="1" x14ac:dyDescent="0.15">
      <c r="A26" t="str">
        <f>IF(Transactions!J18="","",Transactions!J18)</f>
        <v>SGX:C38U:SGD</v>
      </c>
      <c r="B26" s="297">
        <f ca="1">IF($A26="",TODAY(),Transactions!G18)</f>
        <v>45889</v>
      </c>
      <c r="C26" s="298">
        <f>IF($A26="","",Transactions!A18)</f>
        <v>2</v>
      </c>
      <c r="D26" s="30">
        <f>IF($A26="",0,Transactions!H18)</f>
        <v>280</v>
      </c>
      <c r="E26" s="300">
        <f>IF($A26="",1,IFERROR(INDEX(Prices[FX to SGD],MATCH($A26,Prices[Key],0)),1))</f>
        <v>1</v>
      </c>
      <c r="F26" s="30">
        <f>IF($A26="",0,(Transactions!M18-Transactions!L18+IF(Transactions!A18=2,Transactions!H18,0))*$E26)</f>
        <v>280</v>
      </c>
      <c r="G26" s="30">
        <f>IF($A26="",0,IF(Transactions!A18=2,Transactions!H18*$E26,0))</f>
        <v>280</v>
      </c>
    </row>
    <row r="27" spans="1:7" ht="15" customHeight="1" x14ac:dyDescent="0.15">
      <c r="A27" t="str">
        <f>IF(Transactions!J19="","",Transactions!J19)</f>
        <v>SGX:Z74:SGD</v>
      </c>
      <c r="B27" s="297">
        <f ca="1">IF($A27="",TODAY(),Transactions!G19)</f>
        <v>46037</v>
      </c>
      <c r="C27" s="298">
        <f>IF($A27="","",Transactions!A19)</f>
        <v>2</v>
      </c>
      <c r="D27" s="30">
        <f>IF($A27="",0,Transactions!H19)</f>
        <v>200</v>
      </c>
      <c r="E27" s="299">
        <f>IF($A27="",1,IFERROR(INDEX(Prices[FX to SGD],MATCH($A27,Prices[Key],0)),1))</f>
        <v>1</v>
      </c>
      <c r="F27" s="30">
        <f>IF($A27="",0,(Transactions!M19-Transactions!L19+IF(Transactions!A19=2,Transactions!H19,0))*$E27)</f>
        <v>200</v>
      </c>
      <c r="G27" s="30">
        <f>IF($A27="",0,IF(Transactions!A19=2,Transactions!H19*$E27,0))</f>
        <v>200</v>
      </c>
    </row>
    <row r="28" spans="1:7" ht="15" customHeight="1" x14ac:dyDescent="0.15">
      <c r="A28" t="str">
        <f>IF(Transactions!J20="","",Transactions!J20)</f>
        <v>SGX:C38U:SGD</v>
      </c>
      <c r="B28" s="297">
        <f ca="1">IF($A28="",TODAY(),Transactions!G20)</f>
        <v>46073</v>
      </c>
      <c r="C28" s="298">
        <f>IF($A28="","",Transactions!A20)</f>
        <v>2</v>
      </c>
      <c r="D28" s="30">
        <f>IF($A28="",0,Transactions!H20)</f>
        <v>300</v>
      </c>
      <c r="E28" s="299">
        <f>IF($A28="",1,IFERROR(INDEX(Prices[FX to SGD],MATCH($A28,Prices[Key],0)),1))</f>
        <v>1</v>
      </c>
      <c r="F28" s="30">
        <f>IF($A28="",0,(Transactions!M20-Transactions!L20+IF(Transactions!A20=2,Transactions!H20,0))*$E28)</f>
        <v>300</v>
      </c>
      <c r="G28" s="30">
        <f>IF($A28="",0,IF(Transactions!A20=2,Transactions!H20*$E28,0))</f>
        <v>300</v>
      </c>
    </row>
    <row r="29" spans="1:7" ht="15" customHeight="1" x14ac:dyDescent="0.15">
      <c r="A29" t="str">
        <f>IF(Transactions!J21="","",Transactions!J21)</f>
        <v>SGX:A17U:SGD</v>
      </c>
      <c r="B29" s="297">
        <f ca="1">IF($A29="",TODAY(),Transactions!G21)</f>
        <v>46203</v>
      </c>
      <c r="C29" s="298">
        <f>IF($A29="","",Transactions!A21)</f>
        <v>2</v>
      </c>
      <c r="D29" s="30">
        <f>IF($A29="",0,Transactions!H21)</f>
        <v>310</v>
      </c>
      <c r="E29" s="299">
        <f>IF($A29="",1,IFERROR(INDEX(Prices[FX to SGD],MATCH($A29,Prices[Key],0)),1))</f>
        <v>1</v>
      </c>
      <c r="F29" s="30">
        <f>IF($A29="",0,(Transactions!M21-Transactions!L21+IF(Transactions!A21=2,Transactions!H21,0))*$E29)</f>
        <v>310</v>
      </c>
      <c r="G29" s="30">
        <f>IF($A29="",0,IF(Transactions!A21=2,Transactions!H21*$E29,0))</f>
        <v>310</v>
      </c>
    </row>
    <row r="30" spans="1:7" ht="15" customHeight="1" x14ac:dyDescent="0.15">
      <c r="A30" t="str">
        <f>IF(Transactions!J22="","",Transactions!J22)</f>
        <v/>
      </c>
      <c r="B30" s="297">
        <f ca="1">IF($A30="",TODAY(),Transactions!G22)</f>
        <v>46216</v>
      </c>
      <c r="C30" s="298" t="str">
        <f>IF($A30="","",Transactions!A22)</f>
        <v/>
      </c>
      <c r="D30" s="30">
        <f>IF($A30="",0,Transactions!H22)</f>
        <v>0</v>
      </c>
      <c r="E30" s="299">
        <f>IF($A30="",1,IFERROR(INDEX(Prices[FX to SGD],MATCH($A30,Prices[Key],0)),1))</f>
        <v>1</v>
      </c>
      <c r="F30" s="30">
        <f>IF($A30="",0,(Transactions!M22-Transactions!L22+IF(Transactions!A22=2,Transactions!H22,0))*$E30)</f>
        <v>0</v>
      </c>
      <c r="G30" s="30">
        <f>IF($A30="",0,IF(Transactions!A22=2,Transactions!H22*$E30,0))</f>
        <v>0</v>
      </c>
    </row>
    <row r="31" spans="1:7" ht="15" customHeight="1" x14ac:dyDescent="0.15">
      <c r="A31" t="str">
        <f>IF(Transactions!J23="","",Transactions!J23)</f>
        <v/>
      </c>
      <c r="B31" s="297">
        <f ca="1">IF($A31="",TODAY(),Transactions!G23)</f>
        <v>46216</v>
      </c>
      <c r="C31" s="298" t="str">
        <f>IF($A31="","",Transactions!A23)</f>
        <v/>
      </c>
      <c r="D31" s="30">
        <f>IF($A31="",0,Transactions!H23)</f>
        <v>0</v>
      </c>
      <c r="E31" s="299">
        <f>IF($A31="",1,IFERROR(INDEX(Prices[FX to SGD],MATCH($A31,Prices[Key],0)),1))</f>
        <v>1</v>
      </c>
      <c r="F31" s="30">
        <f>IF($A31="",0,(Transactions!M23-Transactions!L23+IF(Transactions!A23=2,Transactions!H23,0))*$E31)</f>
        <v>0</v>
      </c>
      <c r="G31" s="30">
        <f>IF($A31="",0,IF(Transactions!A23=2,Transactions!H23*$E31,0))</f>
        <v>0</v>
      </c>
    </row>
    <row r="32" spans="1:7" ht="15" customHeight="1" x14ac:dyDescent="0.15">
      <c r="A32" t="str">
        <f>IF(Transactions!J24="","",Transactions!J24)</f>
        <v/>
      </c>
      <c r="B32" s="297">
        <f ca="1">IF($A32="",TODAY(),Transactions!G24)</f>
        <v>46216</v>
      </c>
      <c r="C32" s="298" t="str">
        <f>IF($A32="","",Transactions!A24)</f>
        <v/>
      </c>
      <c r="D32" s="30">
        <f>IF($A32="",0,Transactions!H24)</f>
        <v>0</v>
      </c>
      <c r="E32" s="299">
        <f>IF($A32="",1,IFERROR(INDEX(Prices[FX to SGD],MATCH($A32,Prices[Key],0)),1))</f>
        <v>1</v>
      </c>
      <c r="F32" s="30">
        <f>IF($A32="",0,(Transactions!M24-Transactions!L24+IF(Transactions!A24=2,Transactions!H24,0))*$E32)</f>
        <v>0</v>
      </c>
      <c r="G32" s="30">
        <f>IF($A32="",0,IF(Transactions!A24=2,Transactions!H24*$E32,0))</f>
        <v>0</v>
      </c>
    </row>
    <row r="33" spans="1:7" ht="15" customHeight="1" x14ac:dyDescent="0.15">
      <c r="A33" t="str">
        <f>IF(Transactions!J25="","",Transactions!J25)</f>
        <v/>
      </c>
      <c r="B33" s="297">
        <f ca="1">IF($A33="",TODAY(),Transactions!G25)</f>
        <v>46216</v>
      </c>
      <c r="C33" s="298" t="str">
        <f>IF($A33="","",Transactions!A25)</f>
        <v/>
      </c>
      <c r="D33" s="30">
        <f>IF($A33="",0,Transactions!H25)</f>
        <v>0</v>
      </c>
      <c r="E33" s="300">
        <f>IF($A33="",1,IFERROR(INDEX(Prices[FX to SGD],MATCH($A33,Prices[Key],0)),1))</f>
        <v>1</v>
      </c>
      <c r="F33" s="30">
        <f>IF($A33="",0,(Transactions!M25-Transactions!L25+IF(Transactions!A25=2,Transactions!H25,0))*$E33)</f>
        <v>0</v>
      </c>
      <c r="G33" s="30">
        <f>IF($A33="",0,IF(Transactions!A25=2,Transactions!H25*$E33,0))</f>
        <v>0</v>
      </c>
    </row>
    <row r="34" spans="1:7" ht="15" customHeight="1" x14ac:dyDescent="0.15">
      <c r="A34" t="str">
        <f>IF(Transactions!J26="","",Transactions!J26)</f>
        <v/>
      </c>
      <c r="B34" s="297">
        <f ca="1">IF($A34="",TODAY(),Transactions!G26)</f>
        <v>46216</v>
      </c>
      <c r="C34" s="298" t="str">
        <f>IF($A34="","",Transactions!A26)</f>
        <v/>
      </c>
      <c r="D34" s="30">
        <f>IF($A34="",0,Transactions!H26)</f>
        <v>0</v>
      </c>
      <c r="E34" s="299">
        <f>IF($A34="",1,IFERROR(INDEX(Prices[FX to SGD],MATCH($A34,Prices[Key],0)),1))</f>
        <v>1</v>
      </c>
      <c r="F34" s="30">
        <f>IF($A34="",0,(Transactions!M26-Transactions!L26+IF(Transactions!A26=2,Transactions!H26,0))*$E34)</f>
        <v>0</v>
      </c>
      <c r="G34" s="30">
        <f>IF($A34="",0,IF(Transactions!A26=2,Transactions!H26*$E34,0))</f>
        <v>0</v>
      </c>
    </row>
    <row r="35" spans="1:7" ht="15" customHeight="1" x14ac:dyDescent="0.15">
      <c r="A35" t="str">
        <f>IF(Transactions!J27="","",Transactions!J27)</f>
        <v/>
      </c>
      <c r="B35" s="297">
        <f ca="1">IF($A35="",TODAY(),Transactions!G27)</f>
        <v>46216</v>
      </c>
      <c r="C35" s="298" t="str">
        <f>IF($A35="","",Transactions!A27)</f>
        <v/>
      </c>
      <c r="D35" s="30">
        <f>IF($A35="",0,Transactions!H27)</f>
        <v>0</v>
      </c>
      <c r="E35" s="299">
        <f>IF($A35="",1,IFERROR(INDEX(Prices[FX to SGD],MATCH($A35,Prices[Key],0)),1))</f>
        <v>1</v>
      </c>
      <c r="F35" s="30">
        <f>IF($A35="",0,(Transactions!M27-Transactions!L27+IF(Transactions!A27=2,Transactions!H27,0))*$E35)</f>
        <v>0</v>
      </c>
      <c r="G35" s="30">
        <f>IF($A35="",0,IF(Transactions!A27=2,Transactions!H27*$E35,0))</f>
        <v>0</v>
      </c>
    </row>
    <row r="36" spans="1:7" ht="15" customHeight="1" x14ac:dyDescent="0.15">
      <c r="A36" t="str">
        <f>IF(Transactions!J28="","",Transactions!J28)</f>
        <v/>
      </c>
      <c r="B36" s="297">
        <f ca="1">IF($A36="",TODAY(),Transactions!G28)</f>
        <v>46216</v>
      </c>
      <c r="C36" s="298" t="str">
        <f>IF($A36="","",Transactions!A28)</f>
        <v/>
      </c>
      <c r="D36" s="30">
        <f>IF($A36="",0,Transactions!H28)</f>
        <v>0</v>
      </c>
      <c r="E36" s="299">
        <f>IF($A36="",1,IFERROR(INDEX(Prices[FX to SGD],MATCH($A36,Prices[Key],0)),1))</f>
        <v>1</v>
      </c>
      <c r="F36" s="30">
        <f>IF($A36="",0,(Transactions!M28-Transactions!L28+IF(Transactions!A28=2,Transactions!H28,0))*$E36)</f>
        <v>0</v>
      </c>
      <c r="G36" s="30">
        <f>IF($A36="",0,IF(Transactions!A28=2,Transactions!H28*$E36,0))</f>
        <v>0</v>
      </c>
    </row>
    <row r="37" spans="1:7" ht="15" customHeight="1" x14ac:dyDescent="0.15">
      <c r="A37" t="str">
        <f>IF(Transactions!J29="","",Transactions!J29)</f>
        <v/>
      </c>
      <c r="B37" s="297">
        <f ca="1">IF($A37="",TODAY(),Transactions!G29)</f>
        <v>46216</v>
      </c>
      <c r="C37" s="298" t="str">
        <f>IF($A37="","",Transactions!A29)</f>
        <v/>
      </c>
      <c r="D37" s="30">
        <f>IF($A37="",0,Transactions!H29)</f>
        <v>0</v>
      </c>
      <c r="E37" s="300">
        <f>IF($A37="",1,IFERROR(INDEX(Prices[FX to SGD],MATCH($A37,Prices[Key],0)),1))</f>
        <v>1</v>
      </c>
      <c r="F37" s="30">
        <f>IF($A37="",0,(Transactions!M29-Transactions!L29+IF(Transactions!A29=2,Transactions!H29,0))*$E37)</f>
        <v>0</v>
      </c>
      <c r="G37" s="30">
        <f>IF($A37="",0,IF(Transactions!A29=2,Transactions!H29*$E37,0))</f>
        <v>0</v>
      </c>
    </row>
    <row r="38" spans="1:7" ht="15" customHeight="1" x14ac:dyDescent="0.15">
      <c r="A38" t="str">
        <f>IF(Transactions!J30="","",Transactions!J30)</f>
        <v/>
      </c>
      <c r="B38" s="297">
        <f ca="1">IF($A38="",TODAY(),Transactions!G30)</f>
        <v>46216</v>
      </c>
      <c r="C38" s="298" t="str">
        <f>IF($A38="","",Transactions!A30)</f>
        <v/>
      </c>
      <c r="D38" s="30">
        <f>IF($A38="",0,Transactions!H30)</f>
        <v>0</v>
      </c>
      <c r="E38" s="300">
        <f>IF($A38="",1,IFERROR(INDEX(Prices[FX to SGD],MATCH($A38,Prices[Key],0)),1))</f>
        <v>1</v>
      </c>
      <c r="F38" s="30">
        <f>IF($A38="",0,(Transactions!M30-Transactions!L30+IF(Transactions!A30=2,Transactions!H30,0))*$E38)</f>
        <v>0</v>
      </c>
      <c r="G38" s="30">
        <f>IF($A38="",0,IF(Transactions!A30=2,Transactions!H30*$E38,0))</f>
        <v>0</v>
      </c>
    </row>
    <row r="39" spans="1:7" ht="15" customHeight="1" x14ac:dyDescent="0.15">
      <c r="A39" t="str">
        <f>IF(Transactions!J31="","",Transactions!J31)</f>
        <v/>
      </c>
      <c r="B39" s="297">
        <f ca="1">IF($A39="",TODAY(),Transactions!G31)</f>
        <v>46216</v>
      </c>
      <c r="C39" s="298" t="str">
        <f>IF($A39="","",Transactions!A31)</f>
        <v/>
      </c>
      <c r="D39" s="30">
        <f>IF($A39="",0,Transactions!H31)</f>
        <v>0</v>
      </c>
      <c r="E39" s="299">
        <f>IF($A39="",1,IFERROR(INDEX(Prices[FX to SGD],MATCH($A39,Prices[Key],0)),1))</f>
        <v>1</v>
      </c>
      <c r="F39" s="30">
        <f>IF($A39="",0,(Transactions!M31-Transactions!L31+IF(Transactions!A31=2,Transactions!H31,0))*$E39)</f>
        <v>0</v>
      </c>
      <c r="G39" s="30">
        <f>IF($A39="",0,IF(Transactions!A31=2,Transactions!H31*$E39,0))</f>
        <v>0</v>
      </c>
    </row>
    <row r="40" spans="1:7" ht="15" customHeight="1" x14ac:dyDescent="0.15">
      <c r="A40" t="str">
        <f>IF(Transactions!J32="","",Transactions!J32)</f>
        <v/>
      </c>
      <c r="B40" s="297">
        <f ca="1">IF($A40="",TODAY(),Transactions!G32)</f>
        <v>46216</v>
      </c>
      <c r="C40" s="298" t="str">
        <f>IF($A40="","",Transactions!A32)</f>
        <v/>
      </c>
      <c r="D40" s="30">
        <f>IF($A40="",0,Transactions!H32)</f>
        <v>0</v>
      </c>
      <c r="E40" s="300">
        <f>IF($A40="",1,IFERROR(INDEX(Prices[FX to SGD],MATCH($A40,Prices[Key],0)),1))</f>
        <v>1</v>
      </c>
      <c r="F40" s="30">
        <f>IF($A40="",0,(Transactions!M32-Transactions!L32+IF(Transactions!A32=2,Transactions!H32,0))*$E40)</f>
        <v>0</v>
      </c>
      <c r="G40" s="30">
        <f>IF($A40="",0,IF(Transactions!A32=2,Transactions!H32*$E40,0))</f>
        <v>0</v>
      </c>
    </row>
    <row r="41" spans="1:7" ht="15" customHeight="1" x14ac:dyDescent="0.15">
      <c r="A41" t="str">
        <f>IF(Transactions!J33="","",Transactions!J33)</f>
        <v/>
      </c>
      <c r="B41" s="297">
        <f ca="1">IF($A41="",TODAY(),Transactions!G33)</f>
        <v>46216</v>
      </c>
      <c r="C41" s="298" t="str">
        <f>IF($A41="","",Transactions!A33)</f>
        <v/>
      </c>
      <c r="D41" s="30">
        <f>IF($A41="",0,Transactions!H33)</f>
        <v>0</v>
      </c>
      <c r="E41" s="299">
        <f>IF($A41="",1,IFERROR(INDEX(Prices[FX to SGD],MATCH($A41,Prices[Key],0)),1))</f>
        <v>1</v>
      </c>
      <c r="F41" s="30">
        <f>IF($A41="",0,(Transactions!M33-Transactions!L33+IF(Transactions!A33=2,Transactions!H33,0))*$E41)</f>
        <v>0</v>
      </c>
      <c r="G41" s="30">
        <f>IF($A41="",0,IF(Transactions!A33=2,Transactions!H33*$E41,0))</f>
        <v>0</v>
      </c>
    </row>
    <row r="42" spans="1:7" ht="15" customHeight="1" x14ac:dyDescent="0.15">
      <c r="A42" t="str">
        <f>IF(Transactions!J34="","",Transactions!J34)</f>
        <v/>
      </c>
      <c r="B42" s="297">
        <f ca="1">IF($A42="",TODAY(),Transactions!G34)</f>
        <v>46216</v>
      </c>
      <c r="C42" s="298" t="str">
        <f>IF($A42="","",Transactions!A34)</f>
        <v/>
      </c>
      <c r="D42" s="30">
        <f>IF($A42="",0,Transactions!H34)</f>
        <v>0</v>
      </c>
      <c r="E42" s="299">
        <f>IF($A42="",1,IFERROR(INDEX(Prices[FX to SGD],MATCH($A42,Prices[Key],0)),1))</f>
        <v>1</v>
      </c>
      <c r="F42" s="30">
        <f>IF($A42="",0,(Transactions!M34-Transactions!L34+IF(Transactions!A34=2,Transactions!H34,0))*$E42)</f>
        <v>0</v>
      </c>
      <c r="G42" s="30">
        <f>IF($A42="",0,IF(Transactions!A34=2,Transactions!H34*$E42,0))</f>
        <v>0</v>
      </c>
    </row>
    <row r="43" spans="1:7" ht="15" customHeight="1" x14ac:dyDescent="0.15">
      <c r="A43" t="str">
        <f>IF(Transactions!J35="","",Transactions!J35)</f>
        <v/>
      </c>
      <c r="B43" s="297">
        <f ca="1">IF($A43="",TODAY(),Transactions!G35)</f>
        <v>46216</v>
      </c>
      <c r="C43" s="298" t="str">
        <f>IF($A43="","",Transactions!A35)</f>
        <v/>
      </c>
      <c r="D43" s="30">
        <f>IF($A43="",0,Transactions!H35)</f>
        <v>0</v>
      </c>
      <c r="E43" s="300">
        <f>IF($A43="",1,IFERROR(INDEX(Prices[FX to SGD],MATCH($A43,Prices[Key],0)),1))</f>
        <v>1</v>
      </c>
      <c r="F43" s="30">
        <f>IF($A43="",0,(Transactions!M35-Transactions!L35+IF(Transactions!A35=2,Transactions!H35,0))*$E43)</f>
        <v>0</v>
      </c>
      <c r="G43" s="30">
        <f>IF($A43="",0,IF(Transactions!A35=2,Transactions!H35*$E43,0))</f>
        <v>0</v>
      </c>
    </row>
    <row r="44" spans="1:7" ht="15" customHeight="1" x14ac:dyDescent="0.15">
      <c r="A44" t="str">
        <f>IF(Transactions!J36="","",Transactions!J36)</f>
        <v/>
      </c>
      <c r="B44" s="297">
        <f ca="1">IF($A44="",TODAY(),Transactions!G36)</f>
        <v>46216</v>
      </c>
      <c r="C44" s="298" t="str">
        <f>IF($A44="","",Transactions!A36)</f>
        <v/>
      </c>
      <c r="D44" s="30">
        <f>IF($A44="",0,Transactions!H36)</f>
        <v>0</v>
      </c>
      <c r="E44" s="300">
        <f>IF($A44="",1,IFERROR(INDEX(Prices[FX to SGD],MATCH($A44,Prices[Key],0)),1))</f>
        <v>1</v>
      </c>
      <c r="F44" s="30">
        <f>IF($A44="",0,(Transactions!M36-Transactions!L36+IF(Transactions!A36=2,Transactions!H36,0))*$E44)</f>
        <v>0</v>
      </c>
      <c r="G44" s="30">
        <f>IF($A44="",0,IF(Transactions!A36=2,Transactions!H36*$E44,0))</f>
        <v>0</v>
      </c>
    </row>
    <row r="45" spans="1:7" ht="15" customHeight="1" x14ac:dyDescent="0.15">
      <c r="A45" t="str">
        <f>IF(Transactions!J37="","",Transactions!J37)</f>
        <v/>
      </c>
      <c r="B45" s="297">
        <f ca="1">IF($A45="",TODAY(),Transactions!G37)</f>
        <v>46216</v>
      </c>
      <c r="C45" s="298" t="str">
        <f>IF($A45="","",Transactions!A37)</f>
        <v/>
      </c>
      <c r="D45" s="30">
        <f>IF($A45="",0,Transactions!H37)</f>
        <v>0</v>
      </c>
      <c r="E45" s="299">
        <f>IF($A45="",1,IFERROR(INDEX(Prices[FX to SGD],MATCH($A45,Prices[Key],0)),1))</f>
        <v>1</v>
      </c>
      <c r="F45" s="30">
        <f>IF($A45="",0,(Transactions!M37-Transactions!L37+IF(Transactions!A37=2,Transactions!H37,0))*$E45)</f>
        <v>0</v>
      </c>
      <c r="G45" s="30">
        <f>IF($A45="",0,IF(Transactions!A37=2,Transactions!H37*$E45,0))</f>
        <v>0</v>
      </c>
    </row>
    <row r="46" spans="1:7" ht="15" customHeight="1" x14ac:dyDescent="0.15">
      <c r="A46" t="str">
        <f>IF(Transactions!J38="","",Transactions!J38)</f>
        <v/>
      </c>
      <c r="B46" s="297">
        <f ca="1">IF($A46="",TODAY(),Transactions!G38)</f>
        <v>46216</v>
      </c>
      <c r="C46" s="298" t="str">
        <f>IF($A46="","",Transactions!A38)</f>
        <v/>
      </c>
      <c r="D46" s="30">
        <f>IF($A46="",0,Transactions!H38)</f>
        <v>0</v>
      </c>
      <c r="E46" s="300">
        <f>IF($A46="",1,IFERROR(INDEX(Prices[FX to SGD],MATCH($A46,Prices[Key],0)),1))</f>
        <v>1</v>
      </c>
      <c r="F46" s="30">
        <f>IF($A46="",0,(Transactions!M38-Transactions!L38+IF(Transactions!A38=2,Transactions!H38,0))*$E46)</f>
        <v>0</v>
      </c>
      <c r="G46" s="30">
        <f>IF($A46="",0,IF(Transactions!A38=2,Transactions!H38*$E46,0))</f>
        <v>0</v>
      </c>
    </row>
    <row r="47" spans="1:7" ht="15" customHeight="1" x14ac:dyDescent="0.15">
      <c r="A47" t="str">
        <f>IF(Transactions!J39="","",Transactions!J39)</f>
        <v/>
      </c>
      <c r="B47" s="297">
        <f ca="1">IF($A47="",TODAY(),Transactions!G39)</f>
        <v>46216</v>
      </c>
      <c r="C47" s="298" t="str">
        <f>IF($A47="","",Transactions!A39)</f>
        <v/>
      </c>
      <c r="D47" s="30">
        <f>IF($A47="",0,Transactions!H39)</f>
        <v>0</v>
      </c>
      <c r="E47" s="299">
        <f>IF($A47="",1,IFERROR(INDEX(Prices[FX to SGD],MATCH($A47,Prices[Key],0)),1))</f>
        <v>1</v>
      </c>
      <c r="F47" s="30">
        <f>IF($A47="",0,(Transactions!M39-Transactions!L39+IF(Transactions!A39=2,Transactions!H39,0))*$E47)</f>
        <v>0</v>
      </c>
      <c r="G47" s="30">
        <f>IF($A47="",0,IF(Transactions!A39=2,Transactions!H39*$E47,0))</f>
        <v>0</v>
      </c>
    </row>
    <row r="48" spans="1:7" ht="15" customHeight="1" x14ac:dyDescent="0.15">
      <c r="A48" t="str">
        <f>IF(Transactions!J40="","",Transactions!J40)</f>
        <v/>
      </c>
      <c r="B48" s="297">
        <f ca="1">IF($A48="",TODAY(),Transactions!G40)</f>
        <v>46216</v>
      </c>
      <c r="C48" s="298" t="str">
        <f>IF($A48="","",Transactions!A40)</f>
        <v/>
      </c>
      <c r="D48" s="30">
        <f>IF($A48="",0,Transactions!H40)</f>
        <v>0</v>
      </c>
      <c r="E48" s="300">
        <f>IF($A48="",1,IFERROR(INDEX(Prices[FX to SGD],MATCH($A48,Prices[Key],0)),1))</f>
        <v>1</v>
      </c>
      <c r="F48" s="30">
        <f>IF($A48="",0,(Transactions!M40-Transactions!L40+IF(Transactions!A40=2,Transactions!H40,0))*$E48)</f>
        <v>0</v>
      </c>
      <c r="G48" s="30">
        <f>IF($A48="",0,IF(Transactions!A40=2,Transactions!H40*$E48,0))</f>
        <v>0</v>
      </c>
    </row>
    <row r="49" spans="1:7" ht="15" customHeight="1" x14ac:dyDescent="0.15">
      <c r="A49" t="str">
        <f>IF(Transactions!J41="","",Transactions!J41)</f>
        <v/>
      </c>
      <c r="B49" s="297">
        <f ca="1">IF($A49="",TODAY(),Transactions!G41)</f>
        <v>46216</v>
      </c>
      <c r="C49" s="298" t="str">
        <f>IF($A49="","",Transactions!A41)</f>
        <v/>
      </c>
      <c r="D49" s="30">
        <f>IF($A49="",0,Transactions!H41)</f>
        <v>0</v>
      </c>
      <c r="E49" s="299">
        <f>IF($A49="",1,IFERROR(INDEX(Prices[FX to SGD],MATCH($A49,Prices[Key],0)),1))</f>
        <v>1</v>
      </c>
      <c r="F49" s="30">
        <f>IF($A49="",0,(Transactions!M41-Transactions!L41+IF(Transactions!A41=2,Transactions!H41,0))*$E49)</f>
        <v>0</v>
      </c>
      <c r="G49" s="30">
        <f>IF($A49="",0,IF(Transactions!A41=2,Transactions!H41*$E49,0))</f>
        <v>0</v>
      </c>
    </row>
    <row r="50" spans="1:7" ht="15" customHeight="1" x14ac:dyDescent="0.15">
      <c r="A50" t="str">
        <f>IF(Transactions!J42="","",Transactions!J42)</f>
        <v/>
      </c>
      <c r="B50" s="297">
        <f ca="1">IF($A50="",TODAY(),Transactions!G42)</f>
        <v>46216</v>
      </c>
      <c r="C50" s="298" t="str">
        <f>IF($A50="","",Transactions!A42)</f>
        <v/>
      </c>
      <c r="D50" s="30">
        <f>IF($A50="",0,Transactions!H42)</f>
        <v>0</v>
      </c>
      <c r="E50" s="299">
        <f>IF($A50="",1,IFERROR(INDEX(Prices[FX to SGD],MATCH($A50,Prices[Key],0)),1))</f>
        <v>1</v>
      </c>
      <c r="F50" s="30">
        <f>IF($A50="",0,(Transactions!M42-Transactions!L42+IF(Transactions!A42=2,Transactions!H42,0))*$E50)</f>
        <v>0</v>
      </c>
      <c r="G50" s="30">
        <f>IF($A50="",0,IF(Transactions!A42=2,Transactions!H42*$E50,0))</f>
        <v>0</v>
      </c>
    </row>
    <row r="51" spans="1:7" ht="15" customHeight="1" x14ac:dyDescent="0.15">
      <c r="A51" t="str">
        <f>IF(Transactions!J43="","",Transactions!J43)</f>
        <v/>
      </c>
      <c r="B51" s="297">
        <f ca="1">IF($A51="",TODAY(),Transactions!G43)</f>
        <v>46216</v>
      </c>
      <c r="C51" s="298" t="str">
        <f>IF($A51="","",Transactions!A43)</f>
        <v/>
      </c>
      <c r="D51" s="30">
        <f>IF($A51="",0,Transactions!H43)</f>
        <v>0</v>
      </c>
      <c r="E51" s="299">
        <f>IF($A51="",1,IFERROR(INDEX(Prices[FX to SGD],MATCH($A51,Prices[Key],0)),1))</f>
        <v>1</v>
      </c>
      <c r="F51" s="30">
        <f>IF($A51="",0,(Transactions!M43-Transactions!L43+IF(Transactions!A43=2,Transactions!H43,0))*$E51)</f>
        <v>0</v>
      </c>
      <c r="G51" s="30">
        <f>IF($A51="",0,IF(Transactions!A43=2,Transactions!H43*$E51,0))</f>
        <v>0</v>
      </c>
    </row>
    <row r="52" spans="1:7" ht="15" customHeight="1" x14ac:dyDescent="0.15">
      <c r="A52" t="str">
        <f>IF(Transactions!J44="","",Transactions!J44)</f>
        <v/>
      </c>
      <c r="B52" s="297">
        <f ca="1">IF($A52="",TODAY(),Transactions!G44)</f>
        <v>46216</v>
      </c>
      <c r="C52" s="298" t="str">
        <f>IF($A52="","",Transactions!A44)</f>
        <v/>
      </c>
      <c r="D52" s="30">
        <f>IF($A52="",0,Transactions!H44)</f>
        <v>0</v>
      </c>
      <c r="E52" s="299">
        <f>IF($A52="",1,IFERROR(INDEX(Prices[FX to SGD],MATCH($A52,Prices[Key],0)),1))</f>
        <v>1</v>
      </c>
      <c r="F52" s="30">
        <f>IF($A52="",0,(Transactions!M44-Transactions!L44+IF(Transactions!A44=2,Transactions!H44,0))*$E52)</f>
        <v>0</v>
      </c>
      <c r="G52" s="30">
        <f>IF($A52="",0,IF(Transactions!A44=2,Transactions!H44*$E52,0))</f>
        <v>0</v>
      </c>
    </row>
    <row r="53" spans="1:7" ht="15" customHeight="1" x14ac:dyDescent="0.15">
      <c r="A53" t="str">
        <f>IF(Transactions!J45="","",Transactions!J45)</f>
        <v/>
      </c>
      <c r="B53" s="297">
        <f ca="1">IF($A53="",TODAY(),Transactions!G45)</f>
        <v>46216</v>
      </c>
      <c r="C53" s="298" t="str">
        <f>IF($A53="","",Transactions!A45)</f>
        <v/>
      </c>
      <c r="D53" s="30">
        <f>IF($A53="",0,Transactions!H45)</f>
        <v>0</v>
      </c>
      <c r="E53" s="300">
        <f>IF($A53="",1,IFERROR(INDEX(Prices[FX to SGD],MATCH($A53,Prices[Key],0)),1))</f>
        <v>1</v>
      </c>
      <c r="F53" s="30">
        <f>IF($A53="",0,(Transactions!M45-Transactions!L45+IF(Transactions!A45=2,Transactions!H45,0))*$E53)</f>
        <v>0</v>
      </c>
      <c r="G53" s="30">
        <f>IF($A53="",0,IF(Transactions!A45=2,Transactions!H45*$E53,0))</f>
        <v>0</v>
      </c>
    </row>
    <row r="54" spans="1:7" ht="15" customHeight="1" x14ac:dyDescent="0.15">
      <c r="A54" t="str">
        <f>IF(Transactions!J46="","",Transactions!J46)</f>
        <v/>
      </c>
      <c r="B54" s="297">
        <f ca="1">IF($A54="",TODAY(),Transactions!G46)</f>
        <v>46216</v>
      </c>
      <c r="C54" s="298" t="str">
        <f>IF($A54="","",Transactions!A46)</f>
        <v/>
      </c>
      <c r="D54" s="30">
        <f>IF($A54="",0,Transactions!H46)</f>
        <v>0</v>
      </c>
      <c r="E54" s="300">
        <f>IF($A54="",1,IFERROR(INDEX(Prices[FX to SGD],MATCH($A54,Prices[Key],0)),1))</f>
        <v>1</v>
      </c>
      <c r="F54" s="30">
        <f>IF($A54="",0,(Transactions!M46-Transactions!L46+IF(Transactions!A46=2,Transactions!H46,0))*$E54)</f>
        <v>0</v>
      </c>
      <c r="G54" s="30">
        <f>IF($A54="",0,IF(Transactions!A46=2,Transactions!H46*$E54,0))</f>
        <v>0</v>
      </c>
    </row>
    <row r="55" spans="1:7" ht="15" customHeight="1" x14ac:dyDescent="0.15">
      <c r="A55" t="str">
        <f>IF(Transactions!J47="","",Transactions!J47)</f>
        <v/>
      </c>
      <c r="B55" s="297">
        <f ca="1">IF($A55="",TODAY(),Transactions!G47)</f>
        <v>46216</v>
      </c>
      <c r="C55" s="298" t="str">
        <f>IF($A55="","",Transactions!A47)</f>
        <v/>
      </c>
      <c r="D55" s="30">
        <f>IF($A55="",0,Transactions!H47)</f>
        <v>0</v>
      </c>
      <c r="E55" s="299">
        <f>IF($A55="",1,IFERROR(INDEX(Prices[FX to SGD],MATCH($A55,Prices[Key],0)),1))</f>
        <v>1</v>
      </c>
      <c r="F55" s="30">
        <f>IF($A55="",0,(Transactions!M47-Transactions!L47+IF(Transactions!A47=2,Transactions!H47,0))*$E55)</f>
        <v>0</v>
      </c>
      <c r="G55" s="30">
        <f>IF($A55="",0,IF(Transactions!A47=2,Transactions!H47*$E55,0))</f>
        <v>0</v>
      </c>
    </row>
    <row r="56" spans="1:7" ht="15" customHeight="1" x14ac:dyDescent="0.15">
      <c r="A56" t="str">
        <f>IF(Transactions!J48="","",Transactions!J48)</f>
        <v/>
      </c>
      <c r="B56" s="297">
        <f ca="1">IF($A56="",TODAY(),Transactions!G48)</f>
        <v>46216</v>
      </c>
      <c r="C56" s="298" t="str">
        <f>IF($A56="","",Transactions!A48)</f>
        <v/>
      </c>
      <c r="D56" s="30">
        <f>IF($A56="",0,Transactions!H48)</f>
        <v>0</v>
      </c>
      <c r="E56" s="300">
        <f>IF($A56="",1,IFERROR(INDEX(Prices[FX to SGD],MATCH($A56,Prices[Key],0)),1))</f>
        <v>1</v>
      </c>
      <c r="F56" s="30">
        <f>IF($A56="",0,(Transactions!M48-Transactions!L48+IF(Transactions!A48=2,Transactions!H48,0))*$E56)</f>
        <v>0</v>
      </c>
      <c r="G56" s="30">
        <f>IF($A56="",0,IF(Transactions!A48=2,Transactions!H48*$E56,0))</f>
        <v>0</v>
      </c>
    </row>
    <row r="57" spans="1:7" ht="15" customHeight="1" x14ac:dyDescent="0.15">
      <c r="A57" t="str">
        <f>IF(Transactions!J49="","",Transactions!J49)</f>
        <v/>
      </c>
      <c r="B57" s="297">
        <f ca="1">IF($A57="",TODAY(),Transactions!G49)</f>
        <v>46216</v>
      </c>
      <c r="C57" s="298" t="str">
        <f>IF($A57="","",Transactions!A49)</f>
        <v/>
      </c>
      <c r="D57" s="30">
        <f>IF($A57="",0,Transactions!H49)</f>
        <v>0</v>
      </c>
      <c r="E57" s="299">
        <f>IF($A57="",1,IFERROR(INDEX(Prices[FX to SGD],MATCH($A57,Prices[Key],0)),1))</f>
        <v>1</v>
      </c>
      <c r="F57" s="30">
        <f>IF($A57="",0,(Transactions!M49-Transactions!L49+IF(Transactions!A49=2,Transactions!H49,0))*$E57)</f>
        <v>0</v>
      </c>
      <c r="G57" s="30">
        <f>IF($A57="",0,IF(Transactions!A49=2,Transactions!H49*$E57,0))</f>
        <v>0</v>
      </c>
    </row>
    <row r="58" spans="1:7" ht="15" customHeight="1" x14ac:dyDescent="0.15">
      <c r="A58" t="str">
        <f>IF(Transactions!J50="","",Transactions!J50)</f>
        <v/>
      </c>
      <c r="B58" s="297">
        <f ca="1">IF($A58="",TODAY(),Transactions!G50)</f>
        <v>46216</v>
      </c>
      <c r="C58" s="298" t="str">
        <f>IF($A58="","",Transactions!A50)</f>
        <v/>
      </c>
      <c r="D58" s="30">
        <f>IF($A58="",0,Transactions!H50)</f>
        <v>0</v>
      </c>
      <c r="E58" s="300">
        <f>IF($A58="",1,IFERROR(INDEX(Prices[FX to SGD],MATCH($A58,Prices[Key],0)),1))</f>
        <v>1</v>
      </c>
      <c r="F58" s="30">
        <f>IF($A58="",0,(Transactions!M50-Transactions!L50+IF(Transactions!A50=2,Transactions!H50,0))*$E58)</f>
        <v>0</v>
      </c>
      <c r="G58" s="30">
        <f>IF($A58="",0,IF(Transactions!A50=2,Transactions!H50*$E58,0))</f>
        <v>0</v>
      </c>
    </row>
    <row r="59" spans="1:7" ht="15" customHeight="1" x14ac:dyDescent="0.15">
      <c r="A59" t="str">
        <f>IF(Transactions!J51="","",Transactions!J51)</f>
        <v/>
      </c>
      <c r="B59" s="297">
        <f ca="1">IF($A59="",TODAY(),Transactions!G51)</f>
        <v>46216</v>
      </c>
      <c r="C59" s="298" t="str">
        <f>IF($A59="","",Transactions!A51)</f>
        <v/>
      </c>
      <c r="D59" s="30">
        <f>IF($A59="",0,Transactions!H51)</f>
        <v>0</v>
      </c>
      <c r="E59" s="300">
        <f>IF($A59="",1,IFERROR(INDEX(Prices[FX to SGD],MATCH($A59,Prices[Key],0)),1))</f>
        <v>1</v>
      </c>
      <c r="F59" s="30">
        <f>IF($A59="",0,(Transactions!M51-Transactions!L51+IF(Transactions!A51=2,Transactions!H51,0))*$E59)</f>
        <v>0</v>
      </c>
      <c r="G59" s="30">
        <f>IF($A59="",0,IF(Transactions!A51=2,Transactions!H51*$E59,0))</f>
        <v>0</v>
      </c>
    </row>
    <row r="60" spans="1:7" ht="15" customHeight="1" x14ac:dyDescent="0.15">
      <c r="A60" t="str">
        <f>IF(Transactions!J52="","",Transactions!J52)</f>
        <v/>
      </c>
      <c r="B60" s="297">
        <f ca="1">IF($A60="",TODAY(),Transactions!G52)</f>
        <v>46216</v>
      </c>
      <c r="C60" s="298" t="str">
        <f>IF($A60="","",Transactions!A52)</f>
        <v/>
      </c>
      <c r="D60" s="30">
        <f>IF($A60="",0,Transactions!H52)</f>
        <v>0</v>
      </c>
      <c r="E60" s="300">
        <f>IF($A60="",1,IFERROR(INDEX(Prices[FX to SGD],MATCH($A60,Prices[Key],0)),1))</f>
        <v>1</v>
      </c>
      <c r="F60" s="30">
        <f>IF($A60="",0,(Transactions!M52-Transactions!L52+IF(Transactions!A52=2,Transactions!H52,0))*$E60)</f>
        <v>0</v>
      </c>
      <c r="G60" s="30">
        <f>IF($A60="",0,IF(Transactions!A52=2,Transactions!H52*$E60,0))</f>
        <v>0</v>
      </c>
    </row>
    <row r="61" spans="1:7" ht="15" customHeight="1" x14ac:dyDescent="0.15">
      <c r="A61" t="str">
        <f>IF(Transactions!J53="","",Transactions!J53)</f>
        <v/>
      </c>
      <c r="B61" s="297">
        <f ca="1">IF($A61="",TODAY(),Transactions!G53)</f>
        <v>46216</v>
      </c>
      <c r="C61" s="298" t="str">
        <f>IF($A61="","",Transactions!A53)</f>
        <v/>
      </c>
      <c r="D61" s="30">
        <f>IF($A61="",0,Transactions!H53)</f>
        <v>0</v>
      </c>
      <c r="E61" s="300">
        <f>IF($A61="",1,IFERROR(INDEX(Prices[FX to SGD],MATCH($A61,Prices[Key],0)),1))</f>
        <v>1</v>
      </c>
      <c r="F61" s="30">
        <f>IF($A61="",0,(Transactions!M53-Transactions!L53+IF(Transactions!A53=2,Transactions!H53,0))*$E61)</f>
        <v>0</v>
      </c>
      <c r="G61" s="30">
        <f>IF($A61="",0,IF(Transactions!A53=2,Transactions!H53*$E61,0))</f>
        <v>0</v>
      </c>
    </row>
    <row r="62" spans="1:7" ht="15" customHeight="1" x14ac:dyDescent="0.15">
      <c r="A62" t="str">
        <f>IF(Transactions!J54="","",Transactions!J54)</f>
        <v/>
      </c>
      <c r="B62" s="297">
        <f ca="1">IF($A62="",TODAY(),Transactions!G54)</f>
        <v>46216</v>
      </c>
      <c r="C62" s="298" t="str">
        <f>IF($A62="","",Transactions!A54)</f>
        <v/>
      </c>
      <c r="D62" s="30">
        <f>IF($A62="",0,Transactions!H54)</f>
        <v>0</v>
      </c>
      <c r="E62" s="300">
        <f>IF($A62="",1,IFERROR(INDEX(Prices[FX to SGD],MATCH($A62,Prices[Key],0)),1))</f>
        <v>1</v>
      </c>
      <c r="F62" s="30">
        <f>IF($A62="",0,(Transactions!M54-Transactions!L54+IF(Transactions!A54=2,Transactions!H54,0))*$E62)</f>
        <v>0</v>
      </c>
      <c r="G62" s="30">
        <f>IF($A62="",0,IF(Transactions!A54=2,Transactions!H54*$E62,0))</f>
        <v>0</v>
      </c>
    </row>
    <row r="63" spans="1:7" ht="15" customHeight="1" x14ac:dyDescent="0.15">
      <c r="A63" t="str">
        <f>IF(Transactions!J55="","",Transactions!J55)</f>
        <v/>
      </c>
      <c r="B63" s="297">
        <f ca="1">IF($A63="",TODAY(),Transactions!G55)</f>
        <v>46216</v>
      </c>
      <c r="C63" s="298" t="str">
        <f>IF($A63="","",Transactions!A55)</f>
        <v/>
      </c>
      <c r="D63" s="30">
        <f>IF($A63="",0,Transactions!H55)</f>
        <v>0</v>
      </c>
      <c r="E63" s="300">
        <f>IF($A63="",1,IFERROR(INDEX(Prices[FX to SGD],MATCH($A63,Prices[Key],0)),1))</f>
        <v>1</v>
      </c>
      <c r="F63" s="30">
        <f>IF($A63="",0,(Transactions!M55-Transactions!L55+IF(Transactions!A55=2,Transactions!H55,0))*$E63)</f>
        <v>0</v>
      </c>
      <c r="G63" s="30">
        <f>IF($A63="",0,IF(Transactions!A55=2,Transactions!H55*$E63,0))</f>
        <v>0</v>
      </c>
    </row>
    <row r="64" spans="1:7" ht="15" customHeight="1" x14ac:dyDescent="0.15">
      <c r="A64" t="str">
        <f>IF(Transactions!J56="","",Transactions!J56)</f>
        <v/>
      </c>
      <c r="B64" s="297">
        <f ca="1">IF($A64="",TODAY(),Transactions!G56)</f>
        <v>46216</v>
      </c>
      <c r="C64" s="298" t="str">
        <f>IF($A64="","",Transactions!A56)</f>
        <v/>
      </c>
      <c r="D64" s="30">
        <f>IF($A64="",0,Transactions!H56)</f>
        <v>0</v>
      </c>
      <c r="E64" s="299">
        <f>IF($A64="",1,IFERROR(INDEX(Prices[FX to SGD],MATCH($A64,Prices[Key],0)),1))</f>
        <v>1</v>
      </c>
      <c r="F64" s="30">
        <f>IF($A64="",0,(Transactions!M56-Transactions!L56+IF(Transactions!A56=2,Transactions!H56,0))*$E64)</f>
        <v>0</v>
      </c>
      <c r="G64" s="30">
        <f>IF($A64="",0,IF(Transactions!A56=2,Transactions!H56*$E64,0))</f>
        <v>0</v>
      </c>
    </row>
    <row r="65" spans="1:7" ht="15" customHeight="1" x14ac:dyDescent="0.15">
      <c r="A65" t="str">
        <f>IF(Transactions!J57="","",Transactions!J57)</f>
        <v/>
      </c>
      <c r="B65" s="297">
        <f ca="1">IF($A65="",TODAY(),Transactions!G57)</f>
        <v>46216</v>
      </c>
      <c r="C65" s="298" t="str">
        <f>IF($A65="","",Transactions!A57)</f>
        <v/>
      </c>
      <c r="D65" s="30">
        <f>IF($A65="",0,Transactions!H57)</f>
        <v>0</v>
      </c>
      <c r="E65" s="299">
        <f>IF($A65="",1,IFERROR(INDEX(Prices[FX to SGD],MATCH($A65,Prices[Key],0)),1))</f>
        <v>1</v>
      </c>
      <c r="F65" s="30">
        <f>IF($A65="",0,(Transactions!M57-Transactions!L57+IF(Transactions!A57=2,Transactions!H57,0))*$E65)</f>
        <v>0</v>
      </c>
      <c r="G65" s="30">
        <f>IF($A65="",0,IF(Transactions!A57=2,Transactions!H57*$E65,0))</f>
        <v>0</v>
      </c>
    </row>
    <row r="66" spans="1:7" ht="15" customHeight="1" x14ac:dyDescent="0.15">
      <c r="A66" t="str">
        <f>IF(Transactions!J58="","",Transactions!J58)</f>
        <v/>
      </c>
      <c r="B66" s="297">
        <f ca="1">IF($A66="",TODAY(),Transactions!G58)</f>
        <v>46216</v>
      </c>
      <c r="C66" s="298" t="str">
        <f>IF($A66="","",Transactions!A58)</f>
        <v/>
      </c>
      <c r="D66" s="30">
        <f>IF($A66="",0,Transactions!H58)</f>
        <v>0</v>
      </c>
      <c r="E66" s="300">
        <f>IF($A66="",1,IFERROR(INDEX(Prices[FX to SGD],MATCH($A66,Prices[Key],0)),1))</f>
        <v>1</v>
      </c>
      <c r="F66" s="30">
        <f>IF($A66="",0,(Transactions!M58-Transactions!L58+IF(Transactions!A58=2,Transactions!H58,0))*$E66)</f>
        <v>0</v>
      </c>
      <c r="G66" s="30">
        <f>IF($A66="",0,IF(Transactions!A58=2,Transactions!H58*$E66,0))</f>
        <v>0</v>
      </c>
    </row>
    <row r="67" spans="1:7" ht="15" customHeight="1" x14ac:dyDescent="0.15">
      <c r="A67" t="str">
        <f>IF(Transactions!J59="","",Transactions!J59)</f>
        <v/>
      </c>
      <c r="B67" s="297">
        <f ca="1">IF($A67="",TODAY(),Transactions!G59)</f>
        <v>46216</v>
      </c>
      <c r="C67" s="298" t="str">
        <f>IF($A67="","",Transactions!A59)</f>
        <v/>
      </c>
      <c r="D67" s="30">
        <f>IF($A67="",0,Transactions!H59)</f>
        <v>0</v>
      </c>
      <c r="E67" s="299">
        <f>IF($A67="",1,IFERROR(INDEX(Prices[FX to SGD],MATCH($A67,Prices[Key],0)),1))</f>
        <v>1</v>
      </c>
      <c r="F67" s="30">
        <f>IF($A67="",0,(Transactions!M59-Transactions!L59+IF(Transactions!A59=2,Transactions!H59,0))*$E67)</f>
        <v>0</v>
      </c>
      <c r="G67" s="30">
        <f>IF($A67="",0,IF(Transactions!A59=2,Transactions!H59*$E67,0))</f>
        <v>0</v>
      </c>
    </row>
    <row r="68" spans="1:7" ht="15" customHeight="1" x14ac:dyDescent="0.15">
      <c r="A68" t="str">
        <f>IF(Transactions!J60="","",Transactions!J60)</f>
        <v/>
      </c>
      <c r="B68" s="297">
        <f ca="1">IF($A68="",TODAY(),Transactions!G60)</f>
        <v>46216</v>
      </c>
      <c r="C68" s="298" t="str">
        <f>IF($A68="","",Transactions!A60)</f>
        <v/>
      </c>
      <c r="D68" s="30">
        <f>IF($A68="",0,Transactions!H60)</f>
        <v>0</v>
      </c>
      <c r="E68" s="300">
        <f>IF($A68="",1,IFERROR(INDEX(Prices[FX to SGD],MATCH($A68,Prices[Key],0)),1))</f>
        <v>1</v>
      </c>
      <c r="F68" s="30">
        <f>IF($A68="",0,(Transactions!M60-Transactions!L60+IF(Transactions!A60=2,Transactions!H60,0))*$E68)</f>
        <v>0</v>
      </c>
      <c r="G68" s="30">
        <f>IF($A68="",0,IF(Transactions!A60=2,Transactions!H60*$E68,0))</f>
        <v>0</v>
      </c>
    </row>
    <row r="69" spans="1:7" ht="15" customHeight="1" x14ac:dyDescent="0.15">
      <c r="A69" t="str">
        <f>IF(Transactions!J61="","",Transactions!J61)</f>
        <v/>
      </c>
      <c r="B69" s="297">
        <f ca="1">IF($A69="",TODAY(),Transactions!G61)</f>
        <v>46216</v>
      </c>
      <c r="C69" s="298" t="str">
        <f>IF($A69="","",Transactions!A61)</f>
        <v/>
      </c>
      <c r="D69" s="30">
        <f>IF($A69="",0,Transactions!H61)</f>
        <v>0</v>
      </c>
      <c r="E69" s="300">
        <f>IF($A69="",1,IFERROR(INDEX(Prices[FX to SGD],MATCH($A69,Prices[Key],0)),1))</f>
        <v>1</v>
      </c>
      <c r="F69" s="30">
        <f>IF($A69="",0,(Transactions!M61-Transactions!L61+IF(Transactions!A61=2,Transactions!H61,0))*$E69)</f>
        <v>0</v>
      </c>
      <c r="G69" s="30">
        <f>IF($A69="",0,IF(Transactions!A61=2,Transactions!H61*$E69,0))</f>
        <v>0</v>
      </c>
    </row>
    <row r="70" spans="1:7" ht="15" customHeight="1" x14ac:dyDescent="0.15">
      <c r="A70" t="str">
        <f>IF(Transactions!J62="","",Transactions!J62)</f>
        <v/>
      </c>
      <c r="B70" s="297">
        <f ca="1">IF($A70="",TODAY(),Transactions!G62)</f>
        <v>46216</v>
      </c>
      <c r="C70" s="298" t="str">
        <f>IF($A70="","",Transactions!A62)</f>
        <v/>
      </c>
      <c r="D70" s="30">
        <f>IF($A70="",0,Transactions!H62)</f>
        <v>0</v>
      </c>
      <c r="E70" s="300">
        <f>IF($A70="",1,IFERROR(INDEX(Prices[FX to SGD],MATCH($A70,Prices[Key],0)),1))</f>
        <v>1</v>
      </c>
      <c r="F70" s="30">
        <f>IF($A70="",0,(Transactions!M62-Transactions!L62+IF(Transactions!A62=2,Transactions!H62,0))*$E70)</f>
        <v>0</v>
      </c>
      <c r="G70" s="30">
        <f>IF($A70="",0,IF(Transactions!A62=2,Transactions!H62*$E70,0))</f>
        <v>0</v>
      </c>
    </row>
    <row r="71" spans="1:7" ht="15" customHeight="1" x14ac:dyDescent="0.15">
      <c r="A71" t="str">
        <f>IF(Transactions!J63="","",Transactions!J63)</f>
        <v/>
      </c>
      <c r="B71" s="297">
        <f ca="1">IF($A71="",TODAY(),Transactions!G63)</f>
        <v>46216</v>
      </c>
      <c r="C71" s="298" t="str">
        <f>IF($A71="","",Transactions!A63)</f>
        <v/>
      </c>
      <c r="D71" s="30">
        <f>IF($A71="",0,Transactions!H63)</f>
        <v>0</v>
      </c>
      <c r="E71" s="299">
        <f>IF($A71="",1,IFERROR(INDEX(Prices[FX to SGD],MATCH($A71,Prices[Key],0)),1))</f>
        <v>1</v>
      </c>
      <c r="F71" s="30">
        <f>IF($A71="",0,(Transactions!M63-Transactions!L63+IF(Transactions!A63=2,Transactions!H63,0))*$E71)</f>
        <v>0</v>
      </c>
      <c r="G71" s="30">
        <f>IF($A71="",0,IF(Transactions!A63=2,Transactions!H63*$E71,0))</f>
        <v>0</v>
      </c>
    </row>
    <row r="72" spans="1:7" ht="15" customHeight="1" x14ac:dyDescent="0.15">
      <c r="A72" t="str">
        <f>IF(Transactions!J64="","",Transactions!J64)</f>
        <v/>
      </c>
      <c r="B72" s="297">
        <f ca="1">IF($A72="",TODAY(),Transactions!G64)</f>
        <v>46216</v>
      </c>
      <c r="C72" s="298" t="str">
        <f>IF($A72="","",Transactions!A64)</f>
        <v/>
      </c>
      <c r="D72" s="30">
        <f>IF($A72="",0,Transactions!H64)</f>
        <v>0</v>
      </c>
      <c r="E72" s="299">
        <f>IF($A72="",1,IFERROR(INDEX(Prices[FX to SGD],MATCH($A72,Prices[Key],0)),1))</f>
        <v>1</v>
      </c>
      <c r="F72" s="30">
        <f>IF($A72="",0,(Transactions!M64-Transactions!L64+IF(Transactions!A64=2,Transactions!H64,0))*$E72)</f>
        <v>0</v>
      </c>
      <c r="G72" s="30">
        <f>IF($A72="",0,IF(Transactions!A64=2,Transactions!H64*$E72,0))</f>
        <v>0</v>
      </c>
    </row>
    <row r="73" spans="1:7" ht="15" customHeight="1" x14ac:dyDescent="0.15">
      <c r="A73" t="str">
        <f>IF(Transactions!J65="","",Transactions!J65)</f>
        <v/>
      </c>
      <c r="B73" s="297">
        <f ca="1">IF($A73="",TODAY(),Transactions!G65)</f>
        <v>46216</v>
      </c>
      <c r="C73" s="298" t="str">
        <f>IF($A73="","",Transactions!A65)</f>
        <v/>
      </c>
      <c r="D73" s="30">
        <f>IF($A73="",0,Transactions!H65)</f>
        <v>0</v>
      </c>
      <c r="E73" s="299">
        <f>IF($A73="",1,IFERROR(INDEX(Prices[FX to SGD],MATCH($A73,Prices[Key],0)),1))</f>
        <v>1</v>
      </c>
      <c r="F73" s="30">
        <f>IF($A73="",0,(Transactions!M65-Transactions!L65+IF(Transactions!A65=2,Transactions!H65,0))*$E73)</f>
        <v>0</v>
      </c>
      <c r="G73" s="30">
        <f>IF($A73="",0,IF(Transactions!A65=2,Transactions!H65*$E73,0))</f>
        <v>0</v>
      </c>
    </row>
    <row r="74" spans="1:7" ht="15" customHeight="1" x14ac:dyDescent="0.15">
      <c r="A74" t="str">
        <f>IF(Transactions!J66="","",Transactions!J66)</f>
        <v/>
      </c>
      <c r="B74" s="297">
        <f ca="1">IF($A74="",TODAY(),Transactions!G66)</f>
        <v>46216</v>
      </c>
      <c r="C74" s="298" t="str">
        <f>IF($A74="","",Transactions!A66)</f>
        <v/>
      </c>
      <c r="D74" s="30">
        <f>IF($A74="",0,Transactions!H66)</f>
        <v>0</v>
      </c>
      <c r="E74" s="299">
        <f>IF($A74="",1,IFERROR(INDEX(Prices[FX to SGD],MATCH($A74,Prices[Key],0)),1))</f>
        <v>1</v>
      </c>
      <c r="F74" s="30">
        <f>IF($A74="",0,(Transactions!M66-Transactions!L66+IF(Transactions!A66=2,Transactions!H66,0))*$E74)</f>
        <v>0</v>
      </c>
      <c r="G74" s="30">
        <f>IF($A74="",0,IF(Transactions!A66=2,Transactions!H66*$E74,0))</f>
        <v>0</v>
      </c>
    </row>
    <row r="75" spans="1:7" ht="15" customHeight="1" x14ac:dyDescent="0.15">
      <c r="A75" t="str">
        <f>IF(Transactions!J67="","",Transactions!J67)</f>
        <v/>
      </c>
      <c r="B75" s="297">
        <f ca="1">IF($A75="",TODAY(),Transactions!G67)</f>
        <v>46216</v>
      </c>
      <c r="C75" s="298" t="str">
        <f>IF($A75="","",Transactions!A67)</f>
        <v/>
      </c>
      <c r="D75" s="30">
        <f>IF($A75="",0,Transactions!H67)</f>
        <v>0</v>
      </c>
      <c r="E75" s="299">
        <f>IF($A75="",1,IFERROR(INDEX(Prices[FX to SGD],MATCH($A75,Prices[Key],0)),1))</f>
        <v>1</v>
      </c>
      <c r="F75" s="30">
        <f>IF($A75="",0,(Transactions!M67-Transactions!L67+IF(Transactions!A67=2,Transactions!H67,0))*$E75)</f>
        <v>0</v>
      </c>
      <c r="G75" s="30">
        <f>IF($A75="",0,IF(Transactions!A67=2,Transactions!H67*$E75,0))</f>
        <v>0</v>
      </c>
    </row>
    <row r="76" spans="1:7" ht="15" customHeight="1" x14ac:dyDescent="0.15">
      <c r="A76" t="str">
        <f>IF(Transactions!J68="","",Transactions!J68)</f>
        <v/>
      </c>
      <c r="B76" s="297">
        <f ca="1">IF($A76="",TODAY(),Transactions!G68)</f>
        <v>46216</v>
      </c>
      <c r="C76" s="298" t="str">
        <f>IF($A76="","",Transactions!A68)</f>
        <v/>
      </c>
      <c r="D76" s="30">
        <f>IF($A76="",0,Transactions!H68)</f>
        <v>0</v>
      </c>
      <c r="E76" s="299">
        <f>IF($A76="",1,IFERROR(INDEX(Prices[FX to SGD],MATCH($A76,Prices[Key],0)),1))</f>
        <v>1</v>
      </c>
      <c r="F76" s="30">
        <f>IF($A76="",0,(Transactions!M68-Transactions!L68+IF(Transactions!A68=2,Transactions!H68,0))*$E76)</f>
        <v>0</v>
      </c>
      <c r="G76" s="30">
        <f>IF($A76="",0,IF(Transactions!A68=2,Transactions!H68*$E76,0))</f>
        <v>0</v>
      </c>
    </row>
    <row r="77" spans="1:7" ht="15" customHeight="1" x14ac:dyDescent="0.15">
      <c r="A77" t="str">
        <f>IF(Transactions!J69="","",Transactions!J69)</f>
        <v/>
      </c>
      <c r="B77" s="297">
        <f ca="1">IF($A77="",TODAY(),Transactions!G69)</f>
        <v>46216</v>
      </c>
      <c r="C77" s="298" t="str">
        <f>IF($A77="","",Transactions!A69)</f>
        <v/>
      </c>
      <c r="D77" s="30">
        <f>IF($A77="",0,Transactions!H69)</f>
        <v>0</v>
      </c>
      <c r="E77" s="299">
        <f>IF($A77="",1,IFERROR(INDEX(Prices[FX to SGD],MATCH($A77,Prices[Key],0)),1))</f>
        <v>1</v>
      </c>
      <c r="F77" s="30">
        <f>IF($A77="",0,(Transactions!M69-Transactions!L69+IF(Transactions!A69=2,Transactions!H69,0))*$E77)</f>
        <v>0</v>
      </c>
      <c r="G77" s="30">
        <f>IF($A77="",0,IF(Transactions!A69=2,Transactions!H69*$E77,0))</f>
        <v>0</v>
      </c>
    </row>
    <row r="78" spans="1:7" ht="15" customHeight="1" x14ac:dyDescent="0.15">
      <c r="A78" t="str">
        <f>IF(Transactions!J70="","",Transactions!J70)</f>
        <v/>
      </c>
      <c r="B78" s="297">
        <f ca="1">IF($A78="",TODAY(),Transactions!G70)</f>
        <v>46216</v>
      </c>
      <c r="C78" s="298" t="str">
        <f>IF($A78="","",Transactions!A70)</f>
        <v/>
      </c>
      <c r="D78" s="30">
        <f>IF($A78="",0,Transactions!H70)</f>
        <v>0</v>
      </c>
      <c r="E78" s="299">
        <f>IF($A78="",1,IFERROR(INDEX(Prices[FX to SGD],MATCH($A78,Prices[Key],0)),1))</f>
        <v>1</v>
      </c>
      <c r="F78" s="30">
        <f>IF($A78="",0,(Transactions!M70-Transactions!L70+IF(Transactions!A70=2,Transactions!H70,0))*$E78)</f>
        <v>0</v>
      </c>
      <c r="G78" s="30">
        <f>IF($A78="",0,IF(Transactions!A70=2,Transactions!H70*$E78,0))</f>
        <v>0</v>
      </c>
    </row>
    <row r="79" spans="1:7" ht="15" customHeight="1" x14ac:dyDescent="0.15">
      <c r="A79" t="str">
        <f>IF(Transactions!J71="","",Transactions!J71)</f>
        <v/>
      </c>
      <c r="B79" s="297">
        <f ca="1">IF($A79="",TODAY(),Transactions!G71)</f>
        <v>46216</v>
      </c>
      <c r="C79" s="298" t="str">
        <f>IF($A79="","",Transactions!A71)</f>
        <v/>
      </c>
      <c r="D79" s="30">
        <f>IF($A79="",0,Transactions!H71)</f>
        <v>0</v>
      </c>
      <c r="E79" s="299">
        <f>IF($A79="",1,IFERROR(INDEX(Prices[FX to SGD],MATCH($A79,Prices[Key],0)),1))</f>
        <v>1</v>
      </c>
      <c r="F79" s="30">
        <f>IF($A79="",0,(Transactions!M71-Transactions!L71+IF(Transactions!A71=2,Transactions!H71,0))*$E79)</f>
        <v>0</v>
      </c>
      <c r="G79" s="30">
        <f>IF($A79="",0,IF(Transactions!A71=2,Transactions!H71*$E79,0))</f>
        <v>0</v>
      </c>
    </row>
    <row r="80" spans="1:7" ht="15" customHeight="1" x14ac:dyDescent="0.15">
      <c r="A80" t="str">
        <f>IF(Transactions!J72="","",Transactions!J72)</f>
        <v/>
      </c>
      <c r="B80" s="297">
        <f ca="1">IF($A80="",TODAY(),Transactions!G72)</f>
        <v>46216</v>
      </c>
      <c r="C80" s="298" t="str">
        <f>IF($A80="","",Transactions!A72)</f>
        <v/>
      </c>
      <c r="D80" s="30">
        <f>IF($A80="",0,Transactions!H72)</f>
        <v>0</v>
      </c>
      <c r="E80" s="299">
        <f>IF($A80="",1,IFERROR(INDEX(Prices[FX to SGD],MATCH($A80,Prices[Key],0)),1))</f>
        <v>1</v>
      </c>
      <c r="F80" s="30">
        <f>IF($A80="",0,(Transactions!M72-Transactions!L72+IF(Transactions!A72=2,Transactions!H72,0))*$E80)</f>
        <v>0</v>
      </c>
      <c r="G80" s="30">
        <f>IF($A80="",0,IF(Transactions!A72=2,Transactions!H72*$E80,0))</f>
        <v>0</v>
      </c>
    </row>
    <row r="81" spans="1:7" ht="15" customHeight="1" x14ac:dyDescent="0.15">
      <c r="A81" t="str">
        <f>IF(Transactions!J73="","",Transactions!J73)</f>
        <v/>
      </c>
      <c r="B81" s="297">
        <f ca="1">IF($A81="",TODAY(),Transactions!G73)</f>
        <v>46216</v>
      </c>
      <c r="C81" s="298" t="str">
        <f>IF($A81="","",Transactions!A73)</f>
        <v/>
      </c>
      <c r="D81" s="30">
        <f>IF($A81="",0,Transactions!H73)</f>
        <v>0</v>
      </c>
      <c r="E81" s="299">
        <f>IF($A81="",1,IFERROR(INDEX(Prices[FX to SGD],MATCH($A81,Prices[Key],0)),1))</f>
        <v>1</v>
      </c>
      <c r="F81" s="30">
        <f>IF($A81="",0,(Transactions!M73-Transactions!L73+IF(Transactions!A73=2,Transactions!H73,0))*$E81)</f>
        <v>0</v>
      </c>
      <c r="G81" s="30">
        <f>IF($A81="",0,IF(Transactions!A73=2,Transactions!H73*$E81,0))</f>
        <v>0</v>
      </c>
    </row>
    <row r="82" spans="1:7" ht="15" customHeight="1" x14ac:dyDescent="0.15">
      <c r="A82" t="str">
        <f>IF(Transactions!J74="","",Transactions!J74)</f>
        <v/>
      </c>
      <c r="B82" s="297">
        <f ca="1">IF($A82="",TODAY(),Transactions!G74)</f>
        <v>46216</v>
      </c>
      <c r="C82" s="298" t="str">
        <f>IF($A82="","",Transactions!A74)</f>
        <v/>
      </c>
      <c r="D82" s="30">
        <f>IF($A82="",0,Transactions!H74)</f>
        <v>0</v>
      </c>
      <c r="E82" s="299">
        <f>IF($A82="",1,IFERROR(INDEX(Prices[FX to SGD],MATCH($A82,Prices[Key],0)),1))</f>
        <v>1</v>
      </c>
      <c r="F82" s="30">
        <f>IF($A82="",0,(Transactions!M74-Transactions!L74+IF(Transactions!A74=2,Transactions!H74,0))*$E82)</f>
        <v>0</v>
      </c>
      <c r="G82" s="30">
        <f>IF($A82="",0,IF(Transactions!A74=2,Transactions!H74*$E82,0))</f>
        <v>0</v>
      </c>
    </row>
    <row r="83" spans="1:7" ht="15" customHeight="1" x14ac:dyDescent="0.15">
      <c r="A83" t="str">
        <f>IF(Transactions!J75="","",Transactions!J75)</f>
        <v/>
      </c>
      <c r="B83" s="297">
        <f ca="1">IF($A83="",TODAY(),Transactions!G75)</f>
        <v>46216</v>
      </c>
      <c r="C83" s="298" t="str">
        <f>IF($A83="","",Transactions!A75)</f>
        <v/>
      </c>
      <c r="D83" s="30">
        <f>IF($A83="",0,Transactions!H75)</f>
        <v>0</v>
      </c>
      <c r="E83" s="299">
        <f>IF($A83="",1,IFERROR(INDEX(Prices[FX to SGD],MATCH($A83,Prices[Key],0)),1))</f>
        <v>1</v>
      </c>
      <c r="F83" s="30">
        <f>IF($A83="",0,(Transactions!M75-Transactions!L75+IF(Transactions!A75=2,Transactions!H75,0))*$E83)</f>
        <v>0</v>
      </c>
      <c r="G83" s="30">
        <f>IF($A83="",0,IF(Transactions!A75=2,Transactions!H75*$E83,0))</f>
        <v>0</v>
      </c>
    </row>
    <row r="84" spans="1:7" ht="15" customHeight="1" x14ac:dyDescent="0.15">
      <c r="A84" t="str">
        <f>IF(Transactions!J76="","",Transactions!J76)</f>
        <v/>
      </c>
      <c r="B84" s="297">
        <f ca="1">IF($A84="",TODAY(),Transactions!G76)</f>
        <v>46216</v>
      </c>
      <c r="C84" s="298" t="str">
        <f>IF($A84="","",Transactions!A76)</f>
        <v/>
      </c>
      <c r="D84" s="30">
        <f>IF($A84="",0,Transactions!H76)</f>
        <v>0</v>
      </c>
      <c r="E84" s="299">
        <f>IF($A84="",1,IFERROR(INDEX(Prices[FX to SGD],MATCH($A84,Prices[Key],0)),1))</f>
        <v>1</v>
      </c>
      <c r="F84" s="30">
        <f>IF($A84="",0,(Transactions!M76-Transactions!L76+IF(Transactions!A76=2,Transactions!H76,0))*$E84)</f>
        <v>0</v>
      </c>
      <c r="G84" s="30">
        <f>IF($A84="",0,IF(Transactions!A76=2,Transactions!H76*$E84,0))</f>
        <v>0</v>
      </c>
    </row>
    <row r="85" spans="1:7" ht="15" customHeight="1" x14ac:dyDescent="0.15">
      <c r="A85" t="str">
        <f>IF(Transactions!J77="","",Transactions!J77)</f>
        <v/>
      </c>
      <c r="B85" s="297">
        <f ca="1">IF($A85="",TODAY(),Transactions!G77)</f>
        <v>46216</v>
      </c>
      <c r="C85" s="298" t="str">
        <f>IF($A85="","",Transactions!A77)</f>
        <v/>
      </c>
      <c r="D85" s="30">
        <f>IF($A85="",0,Transactions!H77)</f>
        <v>0</v>
      </c>
      <c r="E85" s="299">
        <f>IF($A85="",1,IFERROR(INDEX(Prices[FX to SGD],MATCH($A85,Prices[Key],0)),1))</f>
        <v>1</v>
      </c>
      <c r="F85" s="30">
        <f>IF($A85="",0,(Transactions!M77-Transactions!L77+IF(Transactions!A77=2,Transactions!H77,0))*$E85)</f>
        <v>0</v>
      </c>
      <c r="G85" s="30">
        <f>IF($A85="",0,IF(Transactions!A77=2,Transactions!H77*$E85,0))</f>
        <v>0</v>
      </c>
    </row>
    <row r="86" spans="1:7" ht="15" customHeight="1" x14ac:dyDescent="0.15">
      <c r="A86" t="str">
        <f>IF(Transactions!J78="","",Transactions!J78)</f>
        <v/>
      </c>
      <c r="B86" s="297">
        <f ca="1">IF($A86="",TODAY(),Transactions!G78)</f>
        <v>46216</v>
      </c>
      <c r="C86" s="298" t="str">
        <f>IF($A86="","",Transactions!A78)</f>
        <v/>
      </c>
      <c r="D86" s="30">
        <f>IF($A86="",0,Transactions!H78)</f>
        <v>0</v>
      </c>
      <c r="E86" s="300">
        <f>IF($A86="",1,IFERROR(INDEX(Prices[FX to SGD],MATCH($A86,Prices[Key],0)),1))</f>
        <v>1</v>
      </c>
      <c r="F86" s="30">
        <f>IF($A86="",0,(Transactions!M78-Transactions!L78+IF(Transactions!A78=2,Transactions!H78,0))*$E86)</f>
        <v>0</v>
      </c>
      <c r="G86" s="30">
        <f>IF($A86="",0,IF(Transactions!A78=2,Transactions!H78*$E86,0))</f>
        <v>0</v>
      </c>
    </row>
    <row r="87" spans="1:7" ht="15" customHeight="1" x14ac:dyDescent="0.15">
      <c r="A87" t="str">
        <f>IF(Transactions!J79="","",Transactions!J79)</f>
        <v/>
      </c>
      <c r="B87" s="297">
        <f ca="1">IF($A87="",TODAY(),Transactions!G79)</f>
        <v>46216</v>
      </c>
      <c r="C87" s="298" t="str">
        <f>IF($A87="","",Transactions!A79)</f>
        <v/>
      </c>
      <c r="D87" s="30">
        <f>IF($A87="",0,Transactions!H79)</f>
        <v>0</v>
      </c>
      <c r="E87" s="300">
        <f>IF($A87="",1,IFERROR(INDEX(Prices[FX to SGD],MATCH($A87,Prices[Key],0)),1))</f>
        <v>1</v>
      </c>
      <c r="F87" s="30">
        <f>IF($A87="",0,(Transactions!M79-Transactions!L79+IF(Transactions!A79=2,Transactions!H79,0))*$E87)</f>
        <v>0</v>
      </c>
      <c r="G87" s="30">
        <f>IF($A87="",0,IF(Transactions!A79=2,Transactions!H79*$E87,0))</f>
        <v>0</v>
      </c>
    </row>
    <row r="88" spans="1:7" ht="15" customHeight="1" x14ac:dyDescent="0.15">
      <c r="A88" t="str">
        <f>IF(Transactions!J80="","",Transactions!J80)</f>
        <v/>
      </c>
      <c r="B88" s="297">
        <f ca="1">IF($A88="",TODAY(),Transactions!G80)</f>
        <v>46216</v>
      </c>
      <c r="C88" s="298" t="str">
        <f>IF($A88="","",Transactions!A80)</f>
        <v/>
      </c>
      <c r="D88" s="30">
        <f>IF($A88="",0,Transactions!H80)</f>
        <v>0</v>
      </c>
      <c r="E88" s="299">
        <f>IF($A88="",1,IFERROR(INDEX(Prices[FX to SGD],MATCH($A88,Prices[Key],0)),1))</f>
        <v>1</v>
      </c>
      <c r="F88" s="30">
        <f>IF($A88="",0,(Transactions!M80-Transactions!L80+IF(Transactions!A80=2,Transactions!H80,0))*$E88)</f>
        <v>0</v>
      </c>
      <c r="G88" s="30">
        <f>IF($A88="",0,IF(Transactions!A80=2,Transactions!H80*$E88,0))</f>
        <v>0</v>
      </c>
    </row>
    <row r="89" spans="1:7" ht="15" customHeight="1" x14ac:dyDescent="0.15">
      <c r="A89" t="str">
        <f>IF(Transactions!J81="","",Transactions!J81)</f>
        <v/>
      </c>
      <c r="B89" s="297">
        <f ca="1">IF($A89="",TODAY(),Transactions!G81)</f>
        <v>46216</v>
      </c>
      <c r="C89" s="298" t="str">
        <f>IF($A89="","",Transactions!A81)</f>
        <v/>
      </c>
      <c r="D89" s="30">
        <f>IF($A89="",0,Transactions!H81)</f>
        <v>0</v>
      </c>
      <c r="E89" s="300">
        <f>IF($A89="",1,IFERROR(INDEX(Prices[FX to SGD],MATCH($A89,Prices[Key],0)),1))</f>
        <v>1</v>
      </c>
      <c r="F89" s="30">
        <f>IF($A89="",0,(Transactions!M81-Transactions!L81+IF(Transactions!A81=2,Transactions!H81,0))*$E89)</f>
        <v>0</v>
      </c>
      <c r="G89" s="30">
        <f>IF($A89="",0,IF(Transactions!A81=2,Transactions!H81*$E89,0))</f>
        <v>0</v>
      </c>
    </row>
    <row r="90" spans="1:7" ht="15" customHeight="1" x14ac:dyDescent="0.15">
      <c r="A90" t="str">
        <f>IF(Transactions!J82="","",Transactions!J82)</f>
        <v/>
      </c>
      <c r="B90" s="297">
        <f ca="1">IF($A90="",TODAY(),Transactions!G82)</f>
        <v>46216</v>
      </c>
      <c r="C90" s="298" t="str">
        <f>IF($A90="","",Transactions!A82)</f>
        <v/>
      </c>
      <c r="D90" s="30">
        <f>IF($A90="",0,Transactions!H82)</f>
        <v>0</v>
      </c>
      <c r="E90" s="299">
        <f>IF($A90="",1,IFERROR(INDEX(Prices[FX to SGD],MATCH($A90,Prices[Key],0)),1))</f>
        <v>1</v>
      </c>
      <c r="F90" s="30">
        <f>IF($A90="",0,(Transactions!M82-Transactions!L82+IF(Transactions!A82=2,Transactions!H82,0))*$E90)</f>
        <v>0</v>
      </c>
      <c r="G90" s="30">
        <f>IF($A90="",0,IF(Transactions!A82=2,Transactions!H82*$E90,0))</f>
        <v>0</v>
      </c>
    </row>
    <row r="91" spans="1:7" ht="15" customHeight="1" x14ac:dyDescent="0.15">
      <c r="A91" t="str">
        <f>IF(Transactions!J83="","",Transactions!J83)</f>
        <v/>
      </c>
      <c r="B91" s="297">
        <f ca="1">IF($A91="",TODAY(),Transactions!G83)</f>
        <v>46216</v>
      </c>
      <c r="C91" s="298" t="str">
        <f>IF($A91="","",Transactions!A83)</f>
        <v/>
      </c>
      <c r="D91" s="30">
        <f>IF($A91="",0,Transactions!H83)</f>
        <v>0</v>
      </c>
      <c r="E91" s="299">
        <f>IF($A91="",1,IFERROR(INDEX(Prices[FX to SGD],MATCH($A91,Prices[Key],0)),1))</f>
        <v>1</v>
      </c>
      <c r="F91" s="30">
        <f>IF($A91="",0,(Transactions!M83-Transactions!L83+IF(Transactions!A83=2,Transactions!H83,0))*$E91)</f>
        <v>0</v>
      </c>
      <c r="G91" s="30">
        <f>IF($A91="",0,IF(Transactions!A83=2,Transactions!H83*$E91,0))</f>
        <v>0</v>
      </c>
    </row>
    <row r="92" spans="1:7" ht="15" customHeight="1" x14ac:dyDescent="0.15">
      <c r="A92" t="str">
        <f>IF(Transactions!J84="","",Transactions!J84)</f>
        <v/>
      </c>
      <c r="B92" s="297">
        <f ca="1">IF($A92="",TODAY(),Transactions!G84)</f>
        <v>46216</v>
      </c>
      <c r="C92" s="298" t="str">
        <f>IF($A92="","",Transactions!A84)</f>
        <v/>
      </c>
      <c r="D92" s="30">
        <f>IF($A92="",0,Transactions!H84)</f>
        <v>0</v>
      </c>
      <c r="E92" s="299">
        <f>IF($A92="",1,IFERROR(INDEX(Prices[FX to SGD],MATCH($A92,Prices[Key],0)),1))</f>
        <v>1</v>
      </c>
      <c r="F92" s="30">
        <f>IF($A92="",0,(Transactions!M84-Transactions!L84+IF(Transactions!A84=2,Transactions!H84,0))*$E92)</f>
        <v>0</v>
      </c>
      <c r="G92" s="30">
        <f>IF($A92="",0,IF(Transactions!A84=2,Transactions!H84*$E92,0))</f>
        <v>0</v>
      </c>
    </row>
    <row r="93" spans="1:7" ht="15" customHeight="1" x14ac:dyDescent="0.15">
      <c r="A93" t="str">
        <f>IF(Transactions!J85="","",Transactions!J85)</f>
        <v/>
      </c>
      <c r="B93" s="297">
        <f ca="1">IF($A93="",TODAY(),Transactions!G85)</f>
        <v>46216</v>
      </c>
      <c r="C93" s="298" t="str">
        <f>IF($A93="","",Transactions!A85)</f>
        <v/>
      </c>
      <c r="D93" s="30">
        <f>IF($A93="",0,Transactions!H85)</f>
        <v>0</v>
      </c>
      <c r="E93" s="300">
        <f>IF($A93="",1,IFERROR(INDEX(Prices[FX to SGD],MATCH($A93,Prices[Key],0)),1))</f>
        <v>1</v>
      </c>
      <c r="F93" s="30">
        <f>IF($A93="",0,(Transactions!M85-Transactions!L85+IF(Transactions!A85=2,Transactions!H85,0))*$E93)</f>
        <v>0</v>
      </c>
      <c r="G93" s="30">
        <f>IF($A93="",0,IF(Transactions!A85=2,Transactions!H85*$E93,0))</f>
        <v>0</v>
      </c>
    </row>
    <row r="94" spans="1:7" ht="15" customHeight="1" x14ac:dyDescent="0.15">
      <c r="A94" t="str">
        <f>IF(Transactions!J86="","",Transactions!J86)</f>
        <v/>
      </c>
      <c r="B94" s="297">
        <f ca="1">IF($A94="",TODAY(),Transactions!G86)</f>
        <v>46216</v>
      </c>
      <c r="C94" s="298" t="str">
        <f>IF($A94="","",Transactions!A86)</f>
        <v/>
      </c>
      <c r="D94" s="30">
        <f>IF($A94="",0,Transactions!H86)</f>
        <v>0</v>
      </c>
      <c r="E94" s="300">
        <f>IF($A94="",1,IFERROR(INDEX(Prices[FX to SGD],MATCH($A94,Prices[Key],0)),1))</f>
        <v>1</v>
      </c>
      <c r="F94" s="30">
        <f>IF($A94="",0,(Transactions!M86-Transactions!L86+IF(Transactions!A86=2,Transactions!H86,0))*$E94)</f>
        <v>0</v>
      </c>
      <c r="G94" s="30">
        <f>IF($A94="",0,IF(Transactions!A86=2,Transactions!H86*$E94,0))</f>
        <v>0</v>
      </c>
    </row>
    <row r="95" spans="1:7" ht="15" customHeight="1" x14ac:dyDescent="0.15">
      <c r="A95" t="str">
        <f>IF(Transactions!J87="","",Transactions!J87)</f>
        <v/>
      </c>
      <c r="B95" s="297">
        <f ca="1">IF($A95="",TODAY(),Transactions!G87)</f>
        <v>46216</v>
      </c>
      <c r="C95" s="298" t="str">
        <f>IF($A95="","",Transactions!A87)</f>
        <v/>
      </c>
      <c r="D95" s="30">
        <f>IF($A95="",0,Transactions!H87)</f>
        <v>0</v>
      </c>
      <c r="E95" s="299">
        <f>IF($A95="",1,IFERROR(INDEX(Prices[FX to SGD],MATCH($A95,Prices[Key],0)),1))</f>
        <v>1</v>
      </c>
      <c r="F95" s="30">
        <f>IF($A95="",0,(Transactions!M87-Transactions!L87+IF(Transactions!A87=2,Transactions!H87,0))*$E95)</f>
        <v>0</v>
      </c>
      <c r="G95" s="30">
        <f>IF($A95="",0,IF(Transactions!A87=2,Transactions!H87*$E95,0))</f>
        <v>0</v>
      </c>
    </row>
    <row r="96" spans="1:7" ht="15" customHeight="1" x14ac:dyDescent="0.15">
      <c r="A96" t="str">
        <f>IF(Transactions!J88="","",Transactions!J88)</f>
        <v/>
      </c>
      <c r="B96" s="297">
        <f ca="1">IF($A96="",TODAY(),Transactions!G88)</f>
        <v>46216</v>
      </c>
      <c r="C96" s="298" t="str">
        <f>IF($A96="","",Transactions!A88)</f>
        <v/>
      </c>
      <c r="D96" s="30">
        <f>IF($A96="",0,Transactions!H88)</f>
        <v>0</v>
      </c>
      <c r="E96" s="299">
        <f>IF($A96="",1,IFERROR(INDEX(Prices[FX to SGD],MATCH($A96,Prices[Key],0)),1))</f>
        <v>1</v>
      </c>
      <c r="F96" s="30">
        <f>IF($A96="",0,(Transactions!M88-Transactions!L88+IF(Transactions!A88=2,Transactions!H88,0))*$E96)</f>
        <v>0</v>
      </c>
      <c r="G96" s="30">
        <f>IF($A96="",0,IF(Transactions!A88=2,Transactions!H88*$E96,0))</f>
        <v>0</v>
      </c>
    </row>
    <row r="97" spans="1:7" ht="15" customHeight="1" x14ac:dyDescent="0.15">
      <c r="A97" t="str">
        <f>IF(Transactions!J89="","",Transactions!J89)</f>
        <v/>
      </c>
      <c r="B97" s="297">
        <f ca="1">IF($A97="",TODAY(),Transactions!G89)</f>
        <v>46216</v>
      </c>
      <c r="C97" s="298" t="str">
        <f>IF($A97="","",Transactions!A89)</f>
        <v/>
      </c>
      <c r="D97" s="30">
        <f>IF($A97="",0,Transactions!H89)</f>
        <v>0</v>
      </c>
      <c r="E97" s="299">
        <f>IF($A97="",1,IFERROR(INDEX(Prices[FX to SGD],MATCH($A97,Prices[Key],0)),1))</f>
        <v>1</v>
      </c>
      <c r="F97" s="30">
        <f>IF($A97="",0,(Transactions!M89-Transactions!L89+IF(Transactions!A89=2,Transactions!H89,0))*$E97)</f>
        <v>0</v>
      </c>
      <c r="G97" s="30">
        <f>IF($A97="",0,IF(Transactions!A89=2,Transactions!H89*$E97,0))</f>
        <v>0</v>
      </c>
    </row>
    <row r="98" spans="1:7" ht="15" customHeight="1" x14ac:dyDescent="0.15">
      <c r="A98" t="str">
        <f>IF(Transactions!J90="","",Transactions!J90)</f>
        <v/>
      </c>
      <c r="B98" s="297">
        <f ca="1">IF($A98="",TODAY(),Transactions!G90)</f>
        <v>46216</v>
      </c>
      <c r="C98" s="298" t="str">
        <f>IF($A98="","",Transactions!A90)</f>
        <v/>
      </c>
      <c r="D98" s="30">
        <f>IF($A98="",0,Transactions!H90)</f>
        <v>0</v>
      </c>
      <c r="E98" s="299">
        <f>IF($A98="",1,IFERROR(INDEX(Prices[FX to SGD],MATCH($A98,Prices[Key],0)),1))</f>
        <v>1</v>
      </c>
      <c r="F98" s="30">
        <f>IF($A98="",0,(Transactions!M90-Transactions!L90+IF(Transactions!A90=2,Transactions!H90,0))*$E98)</f>
        <v>0</v>
      </c>
      <c r="G98" s="30">
        <f>IF($A98="",0,IF(Transactions!A90=2,Transactions!H90*$E98,0))</f>
        <v>0</v>
      </c>
    </row>
    <row r="99" spans="1:7" ht="15" customHeight="1" x14ac:dyDescent="0.15">
      <c r="A99" t="str">
        <f>IF(Transactions!J91="","",Transactions!J91)</f>
        <v/>
      </c>
      <c r="B99" s="297">
        <f ca="1">IF($A99="",TODAY(),Transactions!G91)</f>
        <v>46216</v>
      </c>
      <c r="C99" s="298" t="str">
        <f>IF($A99="","",Transactions!A91)</f>
        <v/>
      </c>
      <c r="D99" s="30">
        <f>IF($A99="",0,Transactions!H91)</f>
        <v>0</v>
      </c>
      <c r="E99" s="299">
        <f>IF($A99="",1,IFERROR(INDEX(Prices[FX to SGD],MATCH($A99,Prices[Key],0)),1))</f>
        <v>1</v>
      </c>
      <c r="F99" s="30">
        <f>IF($A99="",0,(Transactions!M91-Transactions!L91+IF(Transactions!A91=2,Transactions!H91,0))*$E99)</f>
        <v>0</v>
      </c>
      <c r="G99" s="30">
        <f>IF($A99="",0,IF(Transactions!A91=2,Transactions!H91*$E99,0))</f>
        <v>0</v>
      </c>
    </row>
    <row r="100" spans="1:7" ht="15" customHeight="1" x14ac:dyDescent="0.15">
      <c r="A100" t="str">
        <f>IF(Transactions!J92="","",Transactions!J92)</f>
        <v/>
      </c>
      <c r="B100" s="297">
        <f ca="1">IF($A100="",TODAY(),Transactions!G92)</f>
        <v>46216</v>
      </c>
      <c r="C100" s="298" t="str">
        <f>IF($A100="","",Transactions!A92)</f>
        <v/>
      </c>
      <c r="D100" s="30">
        <f>IF($A100="",0,Transactions!H92)</f>
        <v>0</v>
      </c>
      <c r="E100" s="299">
        <f>IF($A100="",1,IFERROR(INDEX(Prices[FX to SGD],MATCH($A100,Prices[Key],0)),1))</f>
        <v>1</v>
      </c>
      <c r="F100" s="30">
        <f>IF($A100="",0,(Transactions!M92-Transactions!L92+IF(Transactions!A92=2,Transactions!H92,0))*$E100)</f>
        <v>0</v>
      </c>
      <c r="G100" s="30">
        <f>IF($A100="",0,IF(Transactions!A92=2,Transactions!H92*$E100,0))</f>
        <v>0</v>
      </c>
    </row>
    <row r="101" spans="1:7" ht="15" customHeight="1" x14ac:dyDescent="0.15">
      <c r="A101" t="str">
        <f>IF(Transactions!J93="","",Transactions!J93)</f>
        <v/>
      </c>
      <c r="B101" s="297">
        <f ca="1">IF($A101="",TODAY(),Transactions!G93)</f>
        <v>46216</v>
      </c>
      <c r="C101" s="298" t="str">
        <f>IF($A101="","",Transactions!A93)</f>
        <v/>
      </c>
      <c r="D101" s="30">
        <f>IF($A101="",0,Transactions!H93)</f>
        <v>0</v>
      </c>
      <c r="E101" s="299">
        <f>IF($A101="",1,IFERROR(INDEX(Prices[FX to SGD],MATCH($A101,Prices[Key],0)),1))</f>
        <v>1</v>
      </c>
      <c r="F101" s="30">
        <f>IF($A101="",0,(Transactions!M93-Transactions!L93+IF(Transactions!A93=2,Transactions!H93,0))*$E101)</f>
        <v>0</v>
      </c>
      <c r="G101" s="30">
        <f>IF($A101="",0,IF(Transactions!A93=2,Transactions!H93*$E101,0))</f>
        <v>0</v>
      </c>
    </row>
    <row r="102" spans="1:7" ht="15" customHeight="1" x14ac:dyDescent="0.15">
      <c r="A102" t="str">
        <f>IF(Transactions!J94="","",Transactions!J94)</f>
        <v/>
      </c>
      <c r="B102" s="297">
        <f ca="1">IF($A102="",TODAY(),Transactions!G94)</f>
        <v>46216</v>
      </c>
      <c r="C102" s="298" t="str">
        <f>IF($A102="","",Transactions!A94)</f>
        <v/>
      </c>
      <c r="D102" s="30">
        <f>IF($A102="",0,Transactions!H94)</f>
        <v>0</v>
      </c>
      <c r="E102" s="299">
        <f>IF($A102="",1,IFERROR(INDEX(Prices[FX to SGD],MATCH($A102,Prices[Key],0)),1))</f>
        <v>1</v>
      </c>
      <c r="F102" s="30">
        <f>IF($A102="",0,(Transactions!M94-Transactions!L94+IF(Transactions!A94=2,Transactions!H94,0))*$E102)</f>
        <v>0</v>
      </c>
      <c r="G102" s="30">
        <f>IF($A102="",0,IF(Transactions!A94=2,Transactions!H94*$E102,0))</f>
        <v>0</v>
      </c>
    </row>
    <row r="103" spans="1:7" ht="15" customHeight="1" x14ac:dyDescent="0.15">
      <c r="A103" t="str">
        <f>IF(Transactions!J95="","",Transactions!J95)</f>
        <v/>
      </c>
      <c r="B103" s="297">
        <f ca="1">IF($A103="",TODAY(),Transactions!G95)</f>
        <v>46216</v>
      </c>
      <c r="C103" s="298" t="str">
        <f>IF($A103="","",Transactions!A95)</f>
        <v/>
      </c>
      <c r="D103" s="30">
        <f>IF($A103="",0,Transactions!H95)</f>
        <v>0</v>
      </c>
      <c r="E103" s="299">
        <f>IF($A103="",1,IFERROR(INDEX(Prices[FX to SGD],MATCH($A103,Prices[Key],0)),1))</f>
        <v>1</v>
      </c>
      <c r="F103" s="30">
        <f>IF($A103="",0,(Transactions!M95-Transactions!L95+IF(Transactions!A95=2,Transactions!H95,0))*$E103)</f>
        <v>0</v>
      </c>
      <c r="G103" s="30">
        <f>IF($A103="",0,IF(Transactions!A95=2,Transactions!H95*$E103,0))</f>
        <v>0</v>
      </c>
    </row>
    <row r="104" spans="1:7" ht="15" customHeight="1" x14ac:dyDescent="0.15">
      <c r="A104" t="str">
        <f>IF(Transactions!J96="","",Transactions!J96)</f>
        <v/>
      </c>
      <c r="B104" s="297">
        <f ca="1">IF($A104="",TODAY(),Transactions!G96)</f>
        <v>46216</v>
      </c>
      <c r="C104" s="298" t="str">
        <f>IF($A104="","",Transactions!A96)</f>
        <v/>
      </c>
      <c r="D104" s="30">
        <f>IF($A104="",0,Transactions!H96)</f>
        <v>0</v>
      </c>
      <c r="E104" s="299">
        <f>IF($A104="",1,IFERROR(INDEX(Prices[FX to SGD],MATCH($A104,Prices[Key],0)),1))</f>
        <v>1</v>
      </c>
      <c r="F104" s="30">
        <f>IF($A104="",0,(Transactions!M96-Transactions!L96+IF(Transactions!A96=2,Transactions!H96,0))*$E104)</f>
        <v>0</v>
      </c>
      <c r="G104" s="30">
        <f>IF($A104="",0,IF(Transactions!A96=2,Transactions!H96*$E104,0))</f>
        <v>0</v>
      </c>
    </row>
    <row r="105" spans="1:7" ht="15" customHeight="1" x14ac:dyDescent="0.15">
      <c r="A105" t="str">
        <f>IF(Transactions!J97="","",Transactions!J97)</f>
        <v/>
      </c>
      <c r="B105" s="297">
        <f ca="1">IF($A105="",TODAY(),Transactions!G97)</f>
        <v>46216</v>
      </c>
      <c r="C105" s="298" t="str">
        <f>IF($A105="","",Transactions!A97)</f>
        <v/>
      </c>
      <c r="D105" s="30">
        <f>IF($A105="",0,Transactions!H97)</f>
        <v>0</v>
      </c>
      <c r="E105" s="299">
        <f>IF($A105="",1,IFERROR(INDEX(Prices[FX to SGD],MATCH($A105,Prices[Key],0)),1))</f>
        <v>1</v>
      </c>
      <c r="F105" s="30">
        <f>IF($A105="",0,(Transactions!M97-Transactions!L97+IF(Transactions!A97=2,Transactions!H97,0))*$E105)</f>
        <v>0</v>
      </c>
      <c r="G105" s="30">
        <f>IF($A105="",0,IF(Transactions!A97=2,Transactions!H97*$E105,0))</f>
        <v>0</v>
      </c>
    </row>
    <row r="106" spans="1:7" ht="15" customHeight="1" x14ac:dyDescent="0.15">
      <c r="A106" t="str">
        <f>IF(Transactions!J98="","",Transactions!J98)</f>
        <v/>
      </c>
      <c r="B106" s="297">
        <f ca="1">IF($A106="",TODAY(),Transactions!G98)</f>
        <v>46216</v>
      </c>
      <c r="C106" s="298" t="str">
        <f>IF($A106="","",Transactions!A98)</f>
        <v/>
      </c>
      <c r="D106" s="30">
        <f>IF($A106="",0,Transactions!H98)</f>
        <v>0</v>
      </c>
      <c r="E106" s="299">
        <f>IF($A106="",1,IFERROR(INDEX(Prices[FX to SGD],MATCH($A106,Prices[Key],0)),1))</f>
        <v>1</v>
      </c>
      <c r="F106" s="30">
        <f>IF($A106="",0,(Transactions!M98-Transactions!L98+IF(Transactions!A98=2,Transactions!H98,0))*$E106)</f>
        <v>0</v>
      </c>
      <c r="G106" s="30">
        <f>IF($A106="",0,IF(Transactions!A98=2,Transactions!H98*$E106,0))</f>
        <v>0</v>
      </c>
    </row>
    <row r="107" spans="1:7" ht="15" customHeight="1" x14ac:dyDescent="0.15">
      <c r="A107" t="str">
        <f>IF(Transactions!J99="","",Transactions!J99)</f>
        <v/>
      </c>
      <c r="B107" s="297">
        <f ca="1">IF($A107="",TODAY(),Transactions!G99)</f>
        <v>46216</v>
      </c>
      <c r="C107" s="298" t="str">
        <f>IF($A107="","",Transactions!A99)</f>
        <v/>
      </c>
      <c r="D107" s="30">
        <f>IF($A107="",0,Transactions!H99)</f>
        <v>0</v>
      </c>
      <c r="E107" s="299">
        <f>IF($A107="",1,IFERROR(INDEX(Prices[FX to SGD],MATCH($A107,Prices[Key],0)),1))</f>
        <v>1</v>
      </c>
      <c r="F107" s="30">
        <f>IF($A107="",0,(Transactions!M99-Transactions!L99+IF(Transactions!A99=2,Transactions!H99,0))*$E107)</f>
        <v>0</v>
      </c>
      <c r="G107" s="30">
        <f>IF($A107="",0,IF(Transactions!A99=2,Transactions!H99*$E107,0))</f>
        <v>0</v>
      </c>
    </row>
    <row r="108" spans="1:7" ht="15" customHeight="1" x14ac:dyDescent="0.15">
      <c r="A108" t="str">
        <f>IF(Transactions!J100="","",Transactions!J100)</f>
        <v/>
      </c>
      <c r="B108" s="297">
        <f ca="1">IF($A108="",TODAY(),Transactions!G100)</f>
        <v>46216</v>
      </c>
      <c r="C108" s="298" t="str">
        <f>IF($A108="","",Transactions!A100)</f>
        <v/>
      </c>
      <c r="D108" s="30">
        <f>IF($A108="",0,Transactions!H100)</f>
        <v>0</v>
      </c>
      <c r="E108" s="299">
        <f>IF($A108="",1,IFERROR(INDEX(Prices[FX to SGD],MATCH($A108,Prices[Key],0)),1))</f>
        <v>1</v>
      </c>
      <c r="F108" s="30">
        <f>IF($A108="",0,(Transactions!M100-Transactions!L100+IF(Transactions!A100=2,Transactions!H100,0))*$E108)</f>
        <v>0</v>
      </c>
      <c r="G108" s="30">
        <f>IF($A108="",0,IF(Transactions!A100=2,Transactions!H100*$E108,0))</f>
        <v>0</v>
      </c>
    </row>
    <row r="109" spans="1:7" ht="15" customHeight="1" x14ac:dyDescent="0.15">
      <c r="A109" t="str">
        <f>IF(Transactions!J101="","",Transactions!J101)</f>
        <v/>
      </c>
      <c r="B109" s="297">
        <f ca="1">IF($A109="",TODAY(),Transactions!G101)</f>
        <v>46216</v>
      </c>
      <c r="C109" s="298" t="str">
        <f>IF($A109="","",Transactions!A101)</f>
        <v/>
      </c>
      <c r="D109" s="30">
        <f>IF($A109="",0,Transactions!H101)</f>
        <v>0</v>
      </c>
      <c r="E109" s="300">
        <f>IF($A109="",1,IFERROR(INDEX(Prices[FX to SGD],MATCH($A109,Prices[Key],0)),1))</f>
        <v>1</v>
      </c>
      <c r="F109" s="30">
        <f>IF($A109="",0,(Transactions!M101-Transactions!L101+IF(Transactions!A101=2,Transactions!H101,0))*$E109)</f>
        <v>0</v>
      </c>
      <c r="G109" s="30">
        <f>IF($A109="",0,IF(Transactions!A101=2,Transactions!H101*$E109,0))</f>
        <v>0</v>
      </c>
    </row>
    <row r="110" spans="1:7" ht="15" customHeight="1" x14ac:dyDescent="0.15">
      <c r="A110" t="str">
        <f>IF(Transactions!J102="","",Transactions!J102)</f>
        <v/>
      </c>
      <c r="B110" s="297">
        <f ca="1">IF($A110="",TODAY(),Transactions!G102)</f>
        <v>46216</v>
      </c>
      <c r="C110" s="298" t="str">
        <f>IF($A110="","",Transactions!A102)</f>
        <v/>
      </c>
      <c r="D110" s="30">
        <f>IF($A110="",0,Transactions!H102)</f>
        <v>0</v>
      </c>
      <c r="E110" s="300">
        <f>IF($A110="",1,IFERROR(INDEX(Prices[FX to SGD],MATCH($A110,Prices[Key],0)),1))</f>
        <v>1</v>
      </c>
      <c r="F110" s="30">
        <f>IF($A110="",0,(Transactions!M102-Transactions!L102+IF(Transactions!A102=2,Transactions!H102,0))*$E110)</f>
        <v>0</v>
      </c>
      <c r="G110" s="30">
        <f>IF($A110="",0,IF(Transactions!A102=2,Transactions!H102*$E110,0))</f>
        <v>0</v>
      </c>
    </row>
    <row r="111" spans="1:7" ht="15" customHeight="1" x14ac:dyDescent="0.15">
      <c r="A111" t="str">
        <f>IF(Transactions!J103="","",Transactions!J103)</f>
        <v/>
      </c>
      <c r="B111" s="297">
        <f ca="1">IF($A111="",TODAY(),Transactions!G103)</f>
        <v>46216</v>
      </c>
      <c r="C111" s="298" t="str">
        <f>IF($A111="","",Transactions!A103)</f>
        <v/>
      </c>
      <c r="D111" s="30">
        <f>IF($A111="",0,Transactions!H103)</f>
        <v>0</v>
      </c>
      <c r="E111" s="300">
        <f>IF($A111="",1,IFERROR(INDEX(Prices[FX to SGD],MATCH($A111,Prices[Key],0)),1))</f>
        <v>1</v>
      </c>
      <c r="F111" s="30">
        <f>IF($A111="",0,(Transactions!M103-Transactions!L103+IF(Transactions!A103=2,Transactions!H103,0))*$E111)</f>
        <v>0</v>
      </c>
      <c r="G111" s="30">
        <f>IF($A111="",0,IF(Transactions!A103=2,Transactions!H103*$E111,0))</f>
        <v>0</v>
      </c>
    </row>
    <row r="112" spans="1:7" ht="15" customHeight="1" x14ac:dyDescent="0.15">
      <c r="A112" t="str">
        <f>IF(Transactions!J104="","",Transactions!J104)</f>
        <v/>
      </c>
      <c r="B112" s="297">
        <f ca="1">IF($A112="",TODAY(),Transactions!G104)</f>
        <v>46216</v>
      </c>
      <c r="C112" s="298" t="str">
        <f>IF($A112="","",Transactions!A104)</f>
        <v/>
      </c>
      <c r="D112" s="30">
        <f>IF($A112="",0,Transactions!H104)</f>
        <v>0</v>
      </c>
      <c r="E112" s="300">
        <f>IF($A112="",1,IFERROR(INDEX(Prices[FX to SGD],MATCH($A112,Prices[Key],0)),1))</f>
        <v>1</v>
      </c>
      <c r="F112" s="30">
        <f>IF($A112="",0,(Transactions!M104-Transactions!L104+IF(Transactions!A104=2,Transactions!H104,0))*$E112)</f>
        <v>0</v>
      </c>
      <c r="G112" s="30">
        <f>IF($A112="",0,IF(Transactions!A104=2,Transactions!H104*$E112,0))</f>
        <v>0</v>
      </c>
    </row>
    <row r="113" spans="1:7" ht="15" customHeight="1" x14ac:dyDescent="0.15">
      <c r="A113" t="str">
        <f>IF(Transactions!J105="","",Transactions!J105)</f>
        <v/>
      </c>
      <c r="B113" s="297">
        <f ca="1">IF($A113="",TODAY(),Transactions!G105)</f>
        <v>46216</v>
      </c>
      <c r="C113" s="298" t="str">
        <f>IF($A113="","",Transactions!A105)</f>
        <v/>
      </c>
      <c r="D113" s="30">
        <f>IF($A113="",0,Transactions!H105)</f>
        <v>0</v>
      </c>
      <c r="E113" s="300">
        <f>IF($A113="",1,IFERROR(INDEX(Prices[FX to SGD],MATCH($A113,Prices[Key],0)),1))</f>
        <v>1</v>
      </c>
      <c r="F113" s="30">
        <f>IF($A113="",0,(Transactions!M105-Transactions!L105+IF(Transactions!A105=2,Transactions!H105,0))*$E113)</f>
        <v>0</v>
      </c>
      <c r="G113" s="30">
        <f>IF($A113="",0,IF(Transactions!A105=2,Transactions!H105*$E113,0))</f>
        <v>0</v>
      </c>
    </row>
    <row r="114" spans="1:7" ht="15" customHeight="1" x14ac:dyDescent="0.15">
      <c r="A114" t="str">
        <f>IF(Transactions!J106="","",Transactions!J106)</f>
        <v/>
      </c>
      <c r="B114" s="297">
        <f ca="1">IF($A114="",TODAY(),Transactions!G106)</f>
        <v>46216</v>
      </c>
      <c r="C114" s="298" t="str">
        <f>IF($A114="","",Transactions!A106)</f>
        <v/>
      </c>
      <c r="D114" s="30">
        <f>IF($A114="",0,Transactions!H106)</f>
        <v>0</v>
      </c>
      <c r="E114" s="299">
        <f>IF($A114="",1,IFERROR(INDEX(Prices[FX to SGD],MATCH($A114,Prices[Key],0)),1))</f>
        <v>1</v>
      </c>
      <c r="F114" s="30">
        <f>IF($A114="",0,(Transactions!M106-Transactions!L106+IF(Transactions!A106=2,Transactions!H106,0))*$E114)</f>
        <v>0</v>
      </c>
      <c r="G114" s="30">
        <f>IF($A114="",0,IF(Transactions!A106=2,Transactions!H106*$E114,0))</f>
        <v>0</v>
      </c>
    </row>
    <row r="115" spans="1:7" ht="15" customHeight="1" x14ac:dyDescent="0.15">
      <c r="A115" t="str">
        <f>IF(Transactions!J107="","",Transactions!J107)</f>
        <v/>
      </c>
      <c r="B115" s="297">
        <f ca="1">IF($A115="",TODAY(),Transactions!G107)</f>
        <v>46216</v>
      </c>
      <c r="C115" s="298" t="str">
        <f>IF($A115="","",Transactions!A107)</f>
        <v/>
      </c>
      <c r="D115" s="30">
        <f>IF($A115="",0,Transactions!H107)</f>
        <v>0</v>
      </c>
      <c r="E115" s="300">
        <f>IF($A115="",1,IFERROR(INDEX(Prices[FX to SGD],MATCH($A115,Prices[Key],0)),1))</f>
        <v>1</v>
      </c>
      <c r="F115" s="30">
        <f>IF($A115="",0,(Transactions!M107-Transactions!L107+IF(Transactions!A107=2,Transactions!H107,0))*$E115)</f>
        <v>0</v>
      </c>
      <c r="G115" s="30">
        <f>IF($A115="",0,IF(Transactions!A107=2,Transactions!H107*$E115,0))</f>
        <v>0</v>
      </c>
    </row>
    <row r="116" spans="1:7" ht="15" customHeight="1" x14ac:dyDescent="0.15">
      <c r="A116" t="str">
        <f>IF(Transactions!J108="","",Transactions!J108)</f>
        <v/>
      </c>
      <c r="B116" s="297">
        <f ca="1">IF($A116="",TODAY(),Transactions!G108)</f>
        <v>46216</v>
      </c>
      <c r="C116" s="298" t="str">
        <f>IF($A116="","",Transactions!A108)</f>
        <v/>
      </c>
      <c r="D116" s="30">
        <f>IF($A116="",0,Transactions!H108)</f>
        <v>0</v>
      </c>
      <c r="E116" s="300">
        <f>IF($A116="",1,IFERROR(INDEX(Prices[FX to SGD],MATCH($A116,Prices[Key],0)),1))</f>
        <v>1</v>
      </c>
      <c r="F116" s="30">
        <f>IF($A116="",0,(Transactions!M108-Transactions!L108+IF(Transactions!A108=2,Transactions!H108,0))*$E116)</f>
        <v>0</v>
      </c>
      <c r="G116" s="30">
        <f>IF($A116="",0,IF(Transactions!A108=2,Transactions!H108*$E116,0))</f>
        <v>0</v>
      </c>
    </row>
    <row r="117" spans="1:7" ht="15" customHeight="1" x14ac:dyDescent="0.15">
      <c r="A117" t="str">
        <f>IF(Transactions!J109="","",Transactions!J109)</f>
        <v/>
      </c>
      <c r="B117" s="297">
        <f ca="1">IF($A117="",TODAY(),Transactions!G109)</f>
        <v>46216</v>
      </c>
      <c r="C117" s="298" t="str">
        <f>IF($A117="","",Transactions!A109)</f>
        <v/>
      </c>
      <c r="D117" s="30">
        <f>IF($A117="",0,Transactions!H109)</f>
        <v>0</v>
      </c>
      <c r="E117" s="300">
        <f>IF($A117="",1,IFERROR(INDEX(Prices[FX to SGD],MATCH($A117,Prices[Key],0)),1))</f>
        <v>1</v>
      </c>
      <c r="F117" s="30">
        <f>IF($A117="",0,(Transactions!M109-Transactions!L109+IF(Transactions!A109=2,Transactions!H109,0))*$E117)</f>
        <v>0</v>
      </c>
      <c r="G117" s="30">
        <f>IF($A117="",0,IF(Transactions!A109=2,Transactions!H109*$E117,0))</f>
        <v>0</v>
      </c>
    </row>
    <row r="118" spans="1:7" ht="15" customHeight="1" x14ac:dyDescent="0.15">
      <c r="A118" t="str">
        <f>IF(Transactions!J110="","",Transactions!J110)</f>
        <v/>
      </c>
      <c r="B118" s="297">
        <f ca="1">IF($A118="",TODAY(),Transactions!G110)</f>
        <v>46216</v>
      </c>
      <c r="C118" s="298" t="str">
        <f>IF($A118="","",Transactions!A110)</f>
        <v/>
      </c>
      <c r="D118" s="30">
        <f>IF($A118="",0,Transactions!H110)</f>
        <v>0</v>
      </c>
      <c r="E118" s="299">
        <f>IF($A118="",1,IFERROR(INDEX(Prices[FX to SGD],MATCH($A118,Prices[Key],0)),1))</f>
        <v>1</v>
      </c>
      <c r="F118" s="30">
        <f>IF($A118="",0,(Transactions!M110-Transactions!L110+IF(Transactions!A110=2,Transactions!H110,0))*$E118)</f>
        <v>0</v>
      </c>
      <c r="G118" s="30">
        <f>IF($A118="",0,IF(Transactions!A110=2,Transactions!H110*$E118,0))</f>
        <v>0</v>
      </c>
    </row>
    <row r="119" spans="1:7" ht="15" customHeight="1" x14ac:dyDescent="0.15">
      <c r="A119" t="str">
        <f>IF(Transactions!J111="","",Transactions!J111)</f>
        <v/>
      </c>
      <c r="B119" s="297">
        <f ca="1">IF($A119="",TODAY(),Transactions!G111)</f>
        <v>46216</v>
      </c>
      <c r="C119" s="298" t="str">
        <f>IF($A119="","",Transactions!A111)</f>
        <v/>
      </c>
      <c r="D119" s="30">
        <f>IF($A119="",0,Transactions!H111)</f>
        <v>0</v>
      </c>
      <c r="E119" s="300">
        <f>IF($A119="",1,IFERROR(INDEX(Prices[FX to SGD],MATCH($A119,Prices[Key],0)),1))</f>
        <v>1</v>
      </c>
      <c r="F119" s="30">
        <f>IF($A119="",0,(Transactions!M111-Transactions!L111+IF(Transactions!A111=2,Transactions!H111,0))*$E119)</f>
        <v>0</v>
      </c>
      <c r="G119" s="30">
        <f>IF($A119="",0,IF(Transactions!A111=2,Transactions!H111*$E119,0))</f>
        <v>0</v>
      </c>
    </row>
    <row r="120" spans="1:7" ht="15" customHeight="1" x14ac:dyDescent="0.15">
      <c r="A120" t="str">
        <f>IF(Transactions!J112="","",Transactions!J112)</f>
        <v/>
      </c>
      <c r="B120" s="297">
        <f ca="1">IF($A120="",TODAY(),Transactions!G112)</f>
        <v>46216</v>
      </c>
      <c r="C120" s="298" t="str">
        <f>IF($A120="","",Transactions!A112)</f>
        <v/>
      </c>
      <c r="D120" s="30">
        <f>IF($A120="",0,Transactions!H112)</f>
        <v>0</v>
      </c>
      <c r="E120" s="299">
        <f>IF($A120="",1,IFERROR(INDEX(Prices[FX to SGD],MATCH($A120,Prices[Key],0)),1))</f>
        <v>1</v>
      </c>
      <c r="F120" s="30">
        <f>IF($A120="",0,(Transactions!M112-Transactions!L112+IF(Transactions!A112=2,Transactions!H112,0))*$E120)</f>
        <v>0</v>
      </c>
      <c r="G120" s="30">
        <f>IF($A120="",0,IF(Transactions!A112=2,Transactions!H112*$E120,0))</f>
        <v>0</v>
      </c>
    </row>
    <row r="121" spans="1:7" ht="15" customHeight="1" x14ac:dyDescent="0.15">
      <c r="A121" t="str">
        <f>IF(Transactions!J113="","",Transactions!J113)</f>
        <v/>
      </c>
      <c r="B121" s="297">
        <f ca="1">IF($A121="",TODAY(),Transactions!G113)</f>
        <v>46216</v>
      </c>
      <c r="C121" s="298" t="str">
        <f>IF($A121="","",Transactions!A113)</f>
        <v/>
      </c>
      <c r="D121" s="30">
        <f>IF($A121="",0,Transactions!H113)</f>
        <v>0</v>
      </c>
      <c r="E121" s="300">
        <f>IF($A121="",1,IFERROR(INDEX(Prices[FX to SGD],MATCH($A121,Prices[Key],0)),1))</f>
        <v>1</v>
      </c>
      <c r="F121" s="30">
        <f>IF($A121="",0,(Transactions!M113-Transactions!L113+IF(Transactions!A113=2,Transactions!H113,0))*$E121)</f>
        <v>0</v>
      </c>
      <c r="G121" s="30">
        <f>IF($A121="",0,IF(Transactions!A113=2,Transactions!H113*$E121,0))</f>
        <v>0</v>
      </c>
    </row>
    <row r="122" spans="1:7" ht="15" customHeight="1" x14ac:dyDescent="0.15">
      <c r="A122" t="str">
        <f>IF(Transactions!J114="","",Transactions!J114)</f>
        <v/>
      </c>
      <c r="B122" s="297">
        <f ca="1">IF($A122="",TODAY(),Transactions!G114)</f>
        <v>46216</v>
      </c>
      <c r="C122" s="298" t="str">
        <f>IF($A122="","",Transactions!A114)</f>
        <v/>
      </c>
      <c r="D122" s="30">
        <f>IF($A122="",0,Transactions!H114)</f>
        <v>0</v>
      </c>
      <c r="E122" s="300">
        <f>IF($A122="",1,IFERROR(INDEX(Prices[FX to SGD],MATCH($A122,Prices[Key],0)),1))</f>
        <v>1</v>
      </c>
      <c r="F122" s="30">
        <f>IF($A122="",0,(Transactions!M114-Transactions!L114+IF(Transactions!A114=2,Transactions!H114,0))*$E122)</f>
        <v>0</v>
      </c>
      <c r="G122" s="30">
        <f>IF($A122="",0,IF(Transactions!A114=2,Transactions!H114*$E122,0))</f>
        <v>0</v>
      </c>
    </row>
    <row r="123" spans="1:7" ht="15" customHeight="1" x14ac:dyDescent="0.15">
      <c r="A123" t="str">
        <f>IF(Transactions!J115="","",Transactions!J115)</f>
        <v/>
      </c>
      <c r="B123" s="297">
        <f ca="1">IF($A123="",TODAY(),Transactions!G115)</f>
        <v>46216</v>
      </c>
      <c r="C123" s="298" t="str">
        <f>IF($A123="","",Transactions!A115)</f>
        <v/>
      </c>
      <c r="D123" s="30">
        <f>IF($A123="",0,Transactions!H115)</f>
        <v>0</v>
      </c>
      <c r="E123" s="299">
        <f>IF($A123="",1,IFERROR(INDEX(Prices[FX to SGD],MATCH($A123,Prices[Key],0)),1))</f>
        <v>1</v>
      </c>
      <c r="F123" s="30">
        <f>IF($A123="",0,(Transactions!M115-Transactions!L115+IF(Transactions!A115=2,Transactions!H115,0))*$E123)</f>
        <v>0</v>
      </c>
      <c r="G123" s="30">
        <f>IF($A123="",0,IF(Transactions!A115=2,Transactions!H115*$E123,0))</f>
        <v>0</v>
      </c>
    </row>
    <row r="124" spans="1:7" ht="15" customHeight="1" x14ac:dyDescent="0.15">
      <c r="A124" t="str">
        <f>IF(Transactions!J116="","",Transactions!J116)</f>
        <v/>
      </c>
      <c r="B124" s="297">
        <f ca="1">IF($A124="",TODAY(),Transactions!G116)</f>
        <v>46216</v>
      </c>
      <c r="C124" s="298" t="str">
        <f>IF($A124="","",Transactions!A116)</f>
        <v/>
      </c>
      <c r="D124" s="30">
        <f>IF($A124="",0,Transactions!H116)</f>
        <v>0</v>
      </c>
      <c r="E124" s="300">
        <f>IF($A124="",1,IFERROR(INDEX(Prices[FX to SGD],MATCH($A124,Prices[Key],0)),1))</f>
        <v>1</v>
      </c>
      <c r="F124" s="30">
        <f>IF($A124="",0,(Transactions!M116-Transactions!L116+IF(Transactions!A116=2,Transactions!H116,0))*$E124)</f>
        <v>0</v>
      </c>
      <c r="G124" s="30">
        <f>IF($A124="",0,IF(Transactions!A116=2,Transactions!H116*$E124,0))</f>
        <v>0</v>
      </c>
    </row>
    <row r="125" spans="1:7" ht="15" customHeight="1" x14ac:dyDescent="0.15">
      <c r="A125" t="str">
        <f>IF(Transactions!J117="","",Transactions!J117)</f>
        <v/>
      </c>
      <c r="B125" s="297">
        <f ca="1">IF($A125="",TODAY(),Transactions!G117)</f>
        <v>46216</v>
      </c>
      <c r="C125" s="298" t="str">
        <f>IF($A125="","",Transactions!A117)</f>
        <v/>
      </c>
      <c r="D125" s="30">
        <f>IF($A125="",0,Transactions!H117)</f>
        <v>0</v>
      </c>
      <c r="E125" s="300">
        <f>IF($A125="",1,IFERROR(INDEX(Prices[FX to SGD],MATCH($A125,Prices[Key],0)),1))</f>
        <v>1</v>
      </c>
      <c r="F125" s="30">
        <f>IF($A125="",0,(Transactions!M117-Transactions!L117+IF(Transactions!A117=2,Transactions!H117,0))*$E125)</f>
        <v>0</v>
      </c>
      <c r="G125" s="30">
        <f>IF($A125="",0,IF(Transactions!A117=2,Transactions!H117*$E125,0))</f>
        <v>0</v>
      </c>
    </row>
    <row r="126" spans="1:7" ht="15" customHeight="1" x14ac:dyDescent="0.15">
      <c r="A126" t="str">
        <f>IF(Transactions!J118="","",Transactions!J118)</f>
        <v/>
      </c>
      <c r="B126" s="297">
        <f ca="1">IF($A126="",TODAY(),Transactions!G118)</f>
        <v>46216</v>
      </c>
      <c r="C126" s="298" t="str">
        <f>IF($A126="","",Transactions!A118)</f>
        <v/>
      </c>
      <c r="D126" s="30">
        <f>IF($A126="",0,Transactions!H118)</f>
        <v>0</v>
      </c>
      <c r="E126" s="300">
        <f>IF($A126="",1,IFERROR(INDEX(Prices[FX to SGD],MATCH($A126,Prices[Key],0)),1))</f>
        <v>1</v>
      </c>
      <c r="F126" s="30">
        <f>IF($A126="",0,(Transactions!M118-Transactions!L118+IF(Transactions!A118=2,Transactions!H118,0))*$E126)</f>
        <v>0</v>
      </c>
      <c r="G126" s="30">
        <f>IF($A126="",0,IF(Transactions!A118=2,Transactions!H118*$E126,0))</f>
        <v>0</v>
      </c>
    </row>
    <row r="127" spans="1:7" ht="15" customHeight="1" x14ac:dyDescent="0.15">
      <c r="A127" t="str">
        <f>IF(Transactions!J119="","",Transactions!J119)</f>
        <v/>
      </c>
      <c r="B127" s="297">
        <f ca="1">IF($A127="",TODAY(),Transactions!G119)</f>
        <v>46216</v>
      </c>
      <c r="C127" s="298" t="str">
        <f>IF($A127="","",Transactions!A119)</f>
        <v/>
      </c>
      <c r="D127" s="30">
        <f>IF($A127="",0,Transactions!H119)</f>
        <v>0</v>
      </c>
      <c r="E127" s="299">
        <f>IF($A127="",1,IFERROR(INDEX(Prices[FX to SGD],MATCH($A127,Prices[Key],0)),1))</f>
        <v>1</v>
      </c>
      <c r="F127" s="30">
        <f>IF($A127="",0,(Transactions!M119-Transactions!L119+IF(Transactions!A119=2,Transactions!H119,0))*$E127)</f>
        <v>0</v>
      </c>
      <c r="G127" s="30">
        <f>IF($A127="",0,IF(Transactions!A119=2,Transactions!H119*$E127,0))</f>
        <v>0</v>
      </c>
    </row>
    <row r="128" spans="1:7" ht="15" customHeight="1" x14ac:dyDescent="0.15">
      <c r="A128" t="str">
        <f>IF(Transactions!J120="","",Transactions!J120)</f>
        <v/>
      </c>
      <c r="B128" s="297">
        <f ca="1">IF($A128="",TODAY(),Transactions!G120)</f>
        <v>46216</v>
      </c>
      <c r="C128" s="298" t="str">
        <f>IF($A128="","",Transactions!A120)</f>
        <v/>
      </c>
      <c r="D128" s="30">
        <f>IF($A128="",0,Transactions!H120)</f>
        <v>0</v>
      </c>
      <c r="E128" s="300">
        <f>IF($A128="",1,IFERROR(INDEX(Prices[FX to SGD],MATCH($A128,Prices[Key],0)),1))</f>
        <v>1</v>
      </c>
      <c r="F128" s="30">
        <f>IF($A128="",0,(Transactions!M120-Transactions!L120+IF(Transactions!A120=2,Transactions!H120,0))*$E128)</f>
        <v>0</v>
      </c>
      <c r="G128" s="30">
        <f>IF($A128="",0,IF(Transactions!A120=2,Transactions!H120*$E128,0))</f>
        <v>0</v>
      </c>
    </row>
    <row r="129" spans="1:7" ht="15" customHeight="1" x14ac:dyDescent="0.15">
      <c r="A129" t="str">
        <f>IF(Transactions!J121="","",Transactions!J121)</f>
        <v/>
      </c>
      <c r="B129" s="297">
        <f ca="1">IF($A129="",TODAY(),Transactions!G121)</f>
        <v>46216</v>
      </c>
      <c r="C129" s="298" t="str">
        <f>IF($A129="","",Transactions!A121)</f>
        <v/>
      </c>
      <c r="D129" s="30">
        <f>IF($A129="",0,Transactions!H121)</f>
        <v>0</v>
      </c>
      <c r="E129" s="300">
        <f>IF($A129="",1,IFERROR(INDEX(Prices[FX to SGD],MATCH($A129,Prices[Key],0)),1))</f>
        <v>1</v>
      </c>
      <c r="F129" s="30">
        <f>IF($A129="",0,(Transactions!M121-Transactions!L121+IF(Transactions!A121=2,Transactions!H121,0))*$E129)</f>
        <v>0</v>
      </c>
      <c r="G129" s="30">
        <f>IF($A129="",0,IF(Transactions!A121=2,Transactions!H121*$E129,0))</f>
        <v>0</v>
      </c>
    </row>
    <row r="130" spans="1:7" ht="15" customHeight="1" x14ac:dyDescent="0.15">
      <c r="A130" t="str">
        <f>IF(Transactions!J122="","",Transactions!J122)</f>
        <v/>
      </c>
      <c r="B130" s="297">
        <f ca="1">IF($A130="",TODAY(),Transactions!G122)</f>
        <v>46216</v>
      </c>
      <c r="C130" s="298" t="str">
        <f>IF($A130="","",Transactions!A122)</f>
        <v/>
      </c>
      <c r="D130" s="30">
        <f>IF($A130="",0,Transactions!H122)</f>
        <v>0</v>
      </c>
      <c r="E130" s="299">
        <f>IF($A130="",1,IFERROR(INDEX(Prices[FX to SGD],MATCH($A130,Prices[Key],0)),1))</f>
        <v>1</v>
      </c>
      <c r="F130" s="30">
        <f>IF($A130="",0,(Transactions!M122-Transactions!L122+IF(Transactions!A122=2,Transactions!H122,0))*$E130)</f>
        <v>0</v>
      </c>
      <c r="G130" s="30">
        <f>IF($A130="",0,IF(Transactions!A122=2,Transactions!H122*$E130,0))</f>
        <v>0</v>
      </c>
    </row>
    <row r="131" spans="1:7" ht="15" customHeight="1" x14ac:dyDescent="0.15">
      <c r="A131" t="str">
        <f>IF(Transactions!J123="","",Transactions!J123)</f>
        <v/>
      </c>
      <c r="B131" s="297">
        <f ca="1">IF($A131="",TODAY(),Transactions!G123)</f>
        <v>46216</v>
      </c>
      <c r="C131" s="298" t="str">
        <f>IF($A131="","",Transactions!A123)</f>
        <v/>
      </c>
      <c r="D131" s="30">
        <f>IF($A131="",0,Transactions!H123)</f>
        <v>0</v>
      </c>
      <c r="E131" s="300">
        <f>IF($A131="",1,IFERROR(INDEX(Prices[FX to SGD],MATCH($A131,Prices[Key],0)),1))</f>
        <v>1</v>
      </c>
      <c r="F131" s="30">
        <f>IF($A131="",0,(Transactions!M123-Transactions!L123+IF(Transactions!A123=2,Transactions!H123,0))*$E131)</f>
        <v>0</v>
      </c>
      <c r="G131" s="30">
        <f>IF($A131="",0,IF(Transactions!A123=2,Transactions!H123*$E131,0))</f>
        <v>0</v>
      </c>
    </row>
    <row r="132" spans="1:7" ht="15" customHeight="1" x14ac:dyDescent="0.15">
      <c r="A132" t="str">
        <f>IF(Transactions!J124="","",Transactions!J124)</f>
        <v/>
      </c>
      <c r="B132" s="297">
        <f ca="1">IF($A132="",TODAY(),Transactions!G124)</f>
        <v>46216</v>
      </c>
      <c r="C132" s="298" t="str">
        <f>IF($A132="","",Transactions!A124)</f>
        <v/>
      </c>
      <c r="D132" s="30">
        <f>IF($A132="",0,Transactions!H124)</f>
        <v>0</v>
      </c>
      <c r="E132" s="300">
        <f>IF($A132="",1,IFERROR(INDEX(Prices[FX to SGD],MATCH($A132,Prices[Key],0)),1))</f>
        <v>1</v>
      </c>
      <c r="F132" s="30">
        <f>IF($A132="",0,(Transactions!M124-Transactions!L124+IF(Transactions!A124=2,Transactions!H124,0))*$E132)</f>
        <v>0</v>
      </c>
      <c r="G132" s="30">
        <f>IF($A132="",0,IF(Transactions!A124=2,Transactions!H124*$E132,0))</f>
        <v>0</v>
      </c>
    </row>
    <row r="133" spans="1:7" ht="15" customHeight="1" x14ac:dyDescent="0.15">
      <c r="A133" t="str">
        <f>IF(Transactions!J125="","",Transactions!J125)</f>
        <v/>
      </c>
      <c r="B133" s="297">
        <f ca="1">IF($A133="",TODAY(),Transactions!G125)</f>
        <v>46216</v>
      </c>
      <c r="C133" s="298" t="str">
        <f>IF($A133="","",Transactions!A125)</f>
        <v/>
      </c>
      <c r="D133" s="30">
        <f>IF($A133="",0,Transactions!H125)</f>
        <v>0</v>
      </c>
      <c r="E133" s="300">
        <f>IF($A133="",1,IFERROR(INDEX(Prices[FX to SGD],MATCH($A133,Prices[Key],0)),1))</f>
        <v>1</v>
      </c>
      <c r="F133" s="30">
        <f>IF($A133="",0,(Transactions!M125-Transactions!L125+IF(Transactions!A125=2,Transactions!H125,0))*$E133)</f>
        <v>0</v>
      </c>
      <c r="G133" s="30">
        <f>IF($A133="",0,IF(Transactions!A125=2,Transactions!H125*$E133,0))</f>
        <v>0</v>
      </c>
    </row>
    <row r="134" spans="1:7" ht="15" customHeight="1" x14ac:dyDescent="0.15">
      <c r="A134" t="str">
        <f>IF(Transactions!J126="","",Transactions!J126)</f>
        <v/>
      </c>
      <c r="B134" s="297">
        <f ca="1">IF($A134="",TODAY(),Transactions!G126)</f>
        <v>46216</v>
      </c>
      <c r="C134" s="298" t="str">
        <f>IF($A134="","",Transactions!A126)</f>
        <v/>
      </c>
      <c r="D134" s="30">
        <f>IF($A134="",0,Transactions!H126)</f>
        <v>0</v>
      </c>
      <c r="E134" s="300">
        <f>IF($A134="",1,IFERROR(INDEX(Prices[FX to SGD],MATCH($A134,Prices[Key],0)),1))</f>
        <v>1</v>
      </c>
      <c r="F134" s="30">
        <f>IF($A134="",0,(Transactions!M126-Transactions!L126+IF(Transactions!A126=2,Transactions!H126,0))*$E134)</f>
        <v>0</v>
      </c>
      <c r="G134" s="30">
        <f>IF($A134="",0,IF(Transactions!A126=2,Transactions!H126*$E134,0))</f>
        <v>0</v>
      </c>
    </row>
    <row r="135" spans="1:7" ht="15" customHeight="1" x14ac:dyDescent="0.15">
      <c r="A135" t="str">
        <f>IF(Transactions!J127="","",Transactions!J127)</f>
        <v/>
      </c>
      <c r="B135" s="297">
        <f ca="1">IF($A135="",TODAY(),Transactions!G127)</f>
        <v>46216</v>
      </c>
      <c r="C135" s="298" t="str">
        <f>IF($A135="","",Transactions!A127)</f>
        <v/>
      </c>
      <c r="D135" s="30">
        <f>IF($A135="",0,Transactions!H127)</f>
        <v>0</v>
      </c>
      <c r="E135" s="300">
        <f>IF($A135="",1,IFERROR(INDEX(Prices[FX to SGD],MATCH($A135,Prices[Key],0)),1))</f>
        <v>1</v>
      </c>
      <c r="F135" s="30">
        <f>IF($A135="",0,(Transactions!M127-Transactions!L127+IF(Transactions!A127=2,Transactions!H127,0))*$E135)</f>
        <v>0</v>
      </c>
      <c r="G135" s="30">
        <f>IF($A135="",0,IF(Transactions!A127=2,Transactions!H127*$E135,0))</f>
        <v>0</v>
      </c>
    </row>
    <row r="136" spans="1:7" ht="15" customHeight="1" x14ac:dyDescent="0.15">
      <c r="A136" t="str">
        <f>IF(Transactions!J128="","",Transactions!J128)</f>
        <v/>
      </c>
      <c r="B136" s="297">
        <f ca="1">IF($A136="",TODAY(),Transactions!G128)</f>
        <v>46216</v>
      </c>
      <c r="C136" s="298" t="str">
        <f>IF($A136="","",Transactions!A128)</f>
        <v/>
      </c>
      <c r="D136" s="30">
        <f>IF($A136="",0,Transactions!H128)</f>
        <v>0</v>
      </c>
      <c r="E136" s="300">
        <f>IF($A136="",1,IFERROR(INDEX(Prices[FX to SGD],MATCH($A136,Prices[Key],0)),1))</f>
        <v>1</v>
      </c>
      <c r="F136" s="30">
        <f>IF($A136="",0,(Transactions!M128-Transactions!L128+IF(Transactions!A128=2,Transactions!H128,0))*$E136)</f>
        <v>0</v>
      </c>
      <c r="G136" s="30">
        <f>IF($A136="",0,IF(Transactions!A128=2,Transactions!H128*$E136,0))</f>
        <v>0</v>
      </c>
    </row>
    <row r="137" spans="1:7" ht="15" customHeight="1" x14ac:dyDescent="0.15">
      <c r="A137" t="str">
        <f>IF(Transactions!J129="","",Transactions!J129)</f>
        <v/>
      </c>
      <c r="B137" s="297">
        <f ca="1">IF($A137="",TODAY(),Transactions!G129)</f>
        <v>46216</v>
      </c>
      <c r="C137" s="298" t="str">
        <f>IF($A137="","",Transactions!A129)</f>
        <v/>
      </c>
      <c r="D137" s="30">
        <f>IF($A137="",0,Transactions!H129)</f>
        <v>0</v>
      </c>
      <c r="E137" s="300">
        <f>IF($A137="",1,IFERROR(INDEX(Prices[FX to SGD],MATCH($A137,Prices[Key],0)),1))</f>
        <v>1</v>
      </c>
      <c r="F137" s="30">
        <f>IF($A137="",0,(Transactions!M129-Transactions!L129+IF(Transactions!A129=2,Transactions!H129,0))*$E137)</f>
        <v>0</v>
      </c>
      <c r="G137" s="30">
        <f>IF($A137="",0,IF(Transactions!A129=2,Transactions!H129*$E137,0))</f>
        <v>0</v>
      </c>
    </row>
    <row r="138" spans="1:7" ht="15" customHeight="1" x14ac:dyDescent="0.15">
      <c r="A138" t="str">
        <f>IF(Transactions!J130="","",Transactions!J130)</f>
        <v/>
      </c>
      <c r="B138" s="297">
        <f ca="1">IF($A138="",TODAY(),Transactions!G130)</f>
        <v>46216</v>
      </c>
      <c r="C138" s="298" t="str">
        <f>IF($A138="","",Transactions!A130)</f>
        <v/>
      </c>
      <c r="D138" s="30">
        <f>IF($A138="",0,Transactions!H130)</f>
        <v>0</v>
      </c>
      <c r="E138" s="300">
        <f>IF($A138="",1,IFERROR(INDEX(Prices[FX to SGD],MATCH($A138,Prices[Key],0)),1))</f>
        <v>1</v>
      </c>
      <c r="F138" s="30">
        <f>IF($A138="",0,(Transactions!M130-Transactions!L130+IF(Transactions!A130=2,Transactions!H130,0))*$E138)</f>
        <v>0</v>
      </c>
      <c r="G138" s="30">
        <f>IF($A138="",0,IF(Transactions!A130=2,Transactions!H130*$E138,0))</f>
        <v>0</v>
      </c>
    </row>
    <row r="139" spans="1:7" ht="15" customHeight="1" x14ac:dyDescent="0.15">
      <c r="A139" t="str">
        <f>IF(Transactions!J131="","",Transactions!J131)</f>
        <v/>
      </c>
      <c r="B139" s="297">
        <f ca="1">IF($A139="",TODAY(),Transactions!G131)</f>
        <v>46216</v>
      </c>
      <c r="C139" s="298" t="str">
        <f>IF($A139="","",Transactions!A131)</f>
        <v/>
      </c>
      <c r="D139" s="30">
        <f>IF($A139="",0,Transactions!H131)</f>
        <v>0</v>
      </c>
      <c r="E139" s="300">
        <f>IF($A139="",1,IFERROR(INDEX(Prices[FX to SGD],MATCH($A139,Prices[Key],0)),1))</f>
        <v>1</v>
      </c>
      <c r="F139" s="30">
        <f>IF($A139="",0,(Transactions!M131-Transactions!L131+IF(Transactions!A131=2,Transactions!H131,0))*$E139)</f>
        <v>0</v>
      </c>
      <c r="G139" s="30">
        <f>IF($A139="",0,IF(Transactions!A131=2,Transactions!H131*$E139,0))</f>
        <v>0</v>
      </c>
    </row>
    <row r="140" spans="1:7" ht="15" customHeight="1" x14ac:dyDescent="0.15">
      <c r="A140" t="str">
        <f>IF(Transactions!J132="","",Transactions!J132)</f>
        <v/>
      </c>
      <c r="B140" s="297">
        <f ca="1">IF($A140="",TODAY(),Transactions!G132)</f>
        <v>46216</v>
      </c>
      <c r="C140" s="298" t="str">
        <f>IF($A140="","",Transactions!A132)</f>
        <v/>
      </c>
      <c r="D140" s="30">
        <f>IF($A140="",0,Transactions!H132)</f>
        <v>0</v>
      </c>
      <c r="E140" s="299">
        <f>IF($A140="",1,IFERROR(INDEX(Prices[FX to SGD],MATCH($A140,Prices[Key],0)),1))</f>
        <v>1</v>
      </c>
      <c r="F140" s="30">
        <f>IF($A140="",0,(Transactions!M132-Transactions!L132+IF(Transactions!A132=2,Transactions!H132,0))*$E140)</f>
        <v>0</v>
      </c>
      <c r="G140" s="30">
        <f>IF($A140="",0,IF(Transactions!A132=2,Transactions!H132*$E140,0))</f>
        <v>0</v>
      </c>
    </row>
    <row r="141" spans="1:7" ht="15" customHeight="1" x14ac:dyDescent="0.15">
      <c r="A141" t="str">
        <f>IF(Transactions!J133="","",Transactions!J133)</f>
        <v/>
      </c>
      <c r="B141" s="297">
        <f ca="1">IF($A141="",TODAY(),Transactions!G133)</f>
        <v>46216</v>
      </c>
      <c r="C141" s="298" t="str">
        <f>IF($A141="","",Transactions!A133)</f>
        <v/>
      </c>
      <c r="D141" s="30">
        <f>IF($A141="",0,Transactions!H133)</f>
        <v>0</v>
      </c>
      <c r="E141" s="299">
        <f>IF($A141="",1,IFERROR(INDEX(Prices[FX to SGD],MATCH($A141,Prices[Key],0)),1))</f>
        <v>1</v>
      </c>
      <c r="F141" s="30">
        <f>IF($A141="",0,(Transactions!M133-Transactions!L133+IF(Transactions!A133=2,Transactions!H133,0))*$E141)</f>
        <v>0</v>
      </c>
      <c r="G141" s="30">
        <f>IF($A141="",0,IF(Transactions!A133=2,Transactions!H133*$E141,0))</f>
        <v>0</v>
      </c>
    </row>
    <row r="142" spans="1:7" ht="15" customHeight="1" x14ac:dyDescent="0.15">
      <c r="A142" t="str">
        <f>IF(Transactions!J134="","",Transactions!J134)</f>
        <v/>
      </c>
      <c r="B142" s="297">
        <f ca="1">IF($A142="",TODAY(),Transactions!G134)</f>
        <v>46216</v>
      </c>
      <c r="C142" s="298" t="str">
        <f>IF($A142="","",Transactions!A134)</f>
        <v/>
      </c>
      <c r="D142" s="30">
        <f>IF($A142="",0,Transactions!H134)</f>
        <v>0</v>
      </c>
      <c r="E142" s="300">
        <f>IF($A142="",1,IFERROR(INDEX(Prices[FX to SGD],MATCH($A142,Prices[Key],0)),1))</f>
        <v>1</v>
      </c>
      <c r="F142" s="30">
        <f>IF($A142="",0,(Transactions!M134-Transactions!L134+IF(Transactions!A134=2,Transactions!H134,0))*$E142)</f>
        <v>0</v>
      </c>
      <c r="G142" s="30">
        <f>IF($A142="",0,IF(Transactions!A134=2,Transactions!H134*$E142,0))</f>
        <v>0</v>
      </c>
    </row>
    <row r="143" spans="1:7" ht="15" customHeight="1" x14ac:dyDescent="0.15">
      <c r="A143" t="str">
        <f>IF(Transactions!J135="","",Transactions!J135)</f>
        <v/>
      </c>
      <c r="B143" s="297">
        <f ca="1">IF($A143="",TODAY(),Transactions!G135)</f>
        <v>46216</v>
      </c>
      <c r="C143" s="298" t="str">
        <f>IF($A143="","",Transactions!A135)</f>
        <v/>
      </c>
      <c r="D143" s="30">
        <f>IF($A143="",0,Transactions!H135)</f>
        <v>0</v>
      </c>
      <c r="E143" s="299">
        <f>IF($A143="",1,IFERROR(INDEX(Prices[FX to SGD],MATCH($A143,Prices[Key],0)),1))</f>
        <v>1</v>
      </c>
      <c r="F143" s="30">
        <f>IF($A143="",0,(Transactions!M135-Transactions!L135+IF(Transactions!A135=2,Transactions!H135,0))*$E143)</f>
        <v>0</v>
      </c>
      <c r="G143" s="30">
        <f>IF($A143="",0,IF(Transactions!A135=2,Transactions!H135*$E143,0))</f>
        <v>0</v>
      </c>
    </row>
    <row r="144" spans="1:7" ht="15" customHeight="1" x14ac:dyDescent="0.15">
      <c r="A144" t="str">
        <f>IF(Transactions!J136="","",Transactions!J136)</f>
        <v/>
      </c>
      <c r="B144" s="297">
        <f ca="1">IF($A144="",TODAY(),Transactions!G136)</f>
        <v>46216</v>
      </c>
      <c r="C144" s="298" t="str">
        <f>IF($A144="","",Transactions!A136)</f>
        <v/>
      </c>
      <c r="D144" s="30">
        <f>IF($A144="",0,Transactions!H136)</f>
        <v>0</v>
      </c>
      <c r="E144" s="299">
        <f>IF($A144="",1,IFERROR(INDEX(Prices[FX to SGD],MATCH($A144,Prices[Key],0)),1))</f>
        <v>1</v>
      </c>
      <c r="F144" s="30">
        <f>IF($A144="",0,(Transactions!M136-Transactions!L136+IF(Transactions!A136=2,Transactions!H136,0))*$E144)</f>
        <v>0</v>
      </c>
      <c r="G144" s="30">
        <f>IF($A144="",0,IF(Transactions!A136=2,Transactions!H136*$E144,0))</f>
        <v>0</v>
      </c>
    </row>
    <row r="145" spans="1:7" ht="15" customHeight="1" x14ac:dyDescent="0.15">
      <c r="A145" t="str">
        <f>IF(Transactions!J137="","",Transactions!J137)</f>
        <v/>
      </c>
      <c r="B145" s="297">
        <f ca="1">IF($A145="",TODAY(),Transactions!G137)</f>
        <v>46216</v>
      </c>
      <c r="C145" s="298" t="str">
        <f>IF($A145="","",Transactions!A137)</f>
        <v/>
      </c>
      <c r="D145" s="30">
        <f>IF($A145="",0,Transactions!H137)</f>
        <v>0</v>
      </c>
      <c r="E145" s="299">
        <f>IF($A145="",1,IFERROR(INDEX(Prices[FX to SGD],MATCH($A145,Prices[Key],0)),1))</f>
        <v>1</v>
      </c>
      <c r="F145" s="30">
        <f>IF($A145="",0,(Transactions!M137-Transactions!L137+IF(Transactions!A137=2,Transactions!H137,0))*$E145)</f>
        <v>0</v>
      </c>
      <c r="G145" s="30">
        <f>IF($A145="",0,IF(Transactions!A137=2,Transactions!H137*$E145,0))</f>
        <v>0</v>
      </c>
    </row>
    <row r="146" spans="1:7" ht="15" customHeight="1" x14ac:dyDescent="0.15">
      <c r="A146" t="str">
        <f>IF(Transactions!J138="","",Transactions!J138)</f>
        <v/>
      </c>
      <c r="B146" s="297">
        <f ca="1">IF($A146="",TODAY(),Transactions!G138)</f>
        <v>46216</v>
      </c>
      <c r="C146" s="298" t="str">
        <f>IF($A146="","",Transactions!A138)</f>
        <v/>
      </c>
      <c r="D146" s="30">
        <f>IF($A146="",0,Transactions!H138)</f>
        <v>0</v>
      </c>
      <c r="E146" s="300">
        <f>IF($A146="",1,IFERROR(INDEX(Prices[FX to SGD],MATCH($A146,Prices[Key],0)),1))</f>
        <v>1</v>
      </c>
      <c r="F146" s="30">
        <f>IF($A146="",0,(Transactions!M138-Transactions!L138+IF(Transactions!A138=2,Transactions!H138,0))*$E146)</f>
        <v>0</v>
      </c>
      <c r="G146" s="30">
        <f>IF($A146="",0,IF(Transactions!A138=2,Transactions!H138*$E146,0))</f>
        <v>0</v>
      </c>
    </row>
    <row r="147" spans="1:7" ht="15" customHeight="1" x14ac:dyDescent="0.15">
      <c r="A147" t="str">
        <f>IF(Transactions!J139="","",Transactions!J139)</f>
        <v/>
      </c>
      <c r="B147" s="297">
        <f ca="1">IF($A147="",TODAY(),Transactions!G139)</f>
        <v>46216</v>
      </c>
      <c r="C147" s="298" t="str">
        <f>IF($A147="","",Transactions!A139)</f>
        <v/>
      </c>
      <c r="D147" s="30">
        <f>IF($A147="",0,Transactions!H139)</f>
        <v>0</v>
      </c>
      <c r="E147" s="300">
        <f>IF($A147="",1,IFERROR(INDEX(Prices[FX to SGD],MATCH($A147,Prices[Key],0)),1))</f>
        <v>1</v>
      </c>
      <c r="F147" s="30">
        <f>IF($A147="",0,(Transactions!M139-Transactions!L139+IF(Transactions!A139=2,Transactions!H139,0))*$E147)</f>
        <v>0</v>
      </c>
      <c r="G147" s="30">
        <f>IF($A147="",0,IF(Transactions!A139=2,Transactions!H139*$E147,0))</f>
        <v>0</v>
      </c>
    </row>
    <row r="148" spans="1:7" ht="15" customHeight="1" x14ac:dyDescent="0.15">
      <c r="A148" t="str">
        <f>IF(Transactions!J140="","",Transactions!J140)</f>
        <v/>
      </c>
      <c r="B148" s="297">
        <f ca="1">IF($A148="",TODAY(),Transactions!G140)</f>
        <v>46216</v>
      </c>
      <c r="C148" s="298" t="str">
        <f>IF($A148="","",Transactions!A140)</f>
        <v/>
      </c>
      <c r="D148" s="30">
        <f>IF($A148="",0,Transactions!H140)</f>
        <v>0</v>
      </c>
      <c r="E148" s="300">
        <f>IF($A148="",1,IFERROR(INDEX(Prices[FX to SGD],MATCH($A148,Prices[Key],0)),1))</f>
        <v>1</v>
      </c>
      <c r="F148" s="30">
        <f>IF($A148="",0,(Transactions!M140-Transactions!L140+IF(Transactions!A140=2,Transactions!H140,0))*$E148)</f>
        <v>0</v>
      </c>
      <c r="G148" s="30">
        <f>IF($A148="",0,IF(Transactions!A140=2,Transactions!H140*$E148,0))</f>
        <v>0</v>
      </c>
    </row>
    <row r="149" spans="1:7" ht="15" customHeight="1" x14ac:dyDescent="0.15">
      <c r="A149" t="str">
        <f>IF(Transactions!J141="","",Transactions!J141)</f>
        <v/>
      </c>
      <c r="B149" s="297">
        <f ca="1">IF($A149="",TODAY(),Transactions!G141)</f>
        <v>46216</v>
      </c>
      <c r="C149" s="298" t="str">
        <f>IF($A149="","",Transactions!A141)</f>
        <v/>
      </c>
      <c r="D149" s="30">
        <f>IF($A149="",0,Transactions!H141)</f>
        <v>0</v>
      </c>
      <c r="E149" s="300">
        <f>IF($A149="",1,IFERROR(INDEX(Prices[FX to SGD],MATCH($A149,Prices[Key],0)),1))</f>
        <v>1</v>
      </c>
      <c r="F149" s="30">
        <f>IF($A149="",0,(Transactions!M141-Transactions!L141+IF(Transactions!A141=2,Transactions!H141,0))*$E149)</f>
        <v>0</v>
      </c>
      <c r="G149" s="30">
        <f>IF($A149="",0,IF(Transactions!A141=2,Transactions!H141*$E149,0))</f>
        <v>0</v>
      </c>
    </row>
    <row r="150" spans="1:7" ht="15" customHeight="1" x14ac:dyDescent="0.15">
      <c r="A150" t="str">
        <f>IF(Transactions!J142="","",Transactions!J142)</f>
        <v/>
      </c>
      <c r="B150" s="297">
        <f ca="1">IF($A150="",TODAY(),Transactions!G142)</f>
        <v>46216</v>
      </c>
      <c r="C150" s="298" t="str">
        <f>IF($A150="","",Transactions!A142)</f>
        <v/>
      </c>
      <c r="D150" s="30">
        <f>IF($A150="",0,Transactions!H142)</f>
        <v>0</v>
      </c>
      <c r="E150" s="300">
        <f>IF($A150="",1,IFERROR(INDEX(Prices[FX to SGD],MATCH($A150,Prices[Key],0)),1))</f>
        <v>1</v>
      </c>
      <c r="F150" s="30">
        <f>IF($A150="",0,(Transactions!M142-Transactions!L142+IF(Transactions!A142=2,Transactions!H142,0))*$E150)</f>
        <v>0</v>
      </c>
      <c r="G150" s="30">
        <f>IF($A150="",0,IF(Transactions!A142=2,Transactions!H142*$E150,0))</f>
        <v>0</v>
      </c>
    </row>
    <row r="151" spans="1:7" ht="15" customHeight="1" x14ac:dyDescent="0.15">
      <c r="A151" t="str">
        <f>IF(Transactions!J143="","",Transactions!J143)</f>
        <v/>
      </c>
      <c r="B151" s="297">
        <f ca="1">IF($A151="",TODAY(),Transactions!G143)</f>
        <v>46216</v>
      </c>
      <c r="C151" s="298" t="str">
        <f>IF($A151="","",Transactions!A143)</f>
        <v/>
      </c>
      <c r="D151" s="30">
        <f>IF($A151="",0,Transactions!H143)</f>
        <v>0</v>
      </c>
      <c r="E151" s="300">
        <f>IF($A151="",1,IFERROR(INDEX(Prices[FX to SGD],MATCH($A151,Prices[Key],0)),1))</f>
        <v>1</v>
      </c>
      <c r="F151" s="30">
        <f>IF($A151="",0,(Transactions!M143-Transactions!L143+IF(Transactions!A143=2,Transactions!H143,0))*$E151)</f>
        <v>0</v>
      </c>
      <c r="G151" s="30">
        <f>IF($A151="",0,IF(Transactions!A143=2,Transactions!H143*$E151,0))</f>
        <v>0</v>
      </c>
    </row>
    <row r="152" spans="1:7" ht="15" customHeight="1" x14ac:dyDescent="0.15">
      <c r="A152" t="str">
        <f>IF(Transactions!J144="","",Transactions!J144)</f>
        <v/>
      </c>
      <c r="B152" s="297">
        <f ca="1">IF($A152="",TODAY(),Transactions!G144)</f>
        <v>46216</v>
      </c>
      <c r="C152" s="298" t="str">
        <f>IF($A152="","",Transactions!A144)</f>
        <v/>
      </c>
      <c r="D152" s="30">
        <f>IF($A152="",0,Transactions!H144)</f>
        <v>0</v>
      </c>
      <c r="E152" s="300">
        <f>IF($A152="",1,IFERROR(INDEX(Prices[FX to SGD],MATCH($A152,Prices[Key],0)),1))</f>
        <v>1</v>
      </c>
      <c r="F152" s="30">
        <f>IF($A152="",0,(Transactions!M144-Transactions!L144+IF(Transactions!A144=2,Transactions!H144,0))*$E152)</f>
        <v>0</v>
      </c>
      <c r="G152" s="30">
        <f>IF($A152="",0,IF(Transactions!A144=2,Transactions!H144*$E152,0))</f>
        <v>0</v>
      </c>
    </row>
    <row r="153" spans="1:7" ht="15" customHeight="1" x14ac:dyDescent="0.15">
      <c r="A153" t="str">
        <f>IF(Transactions!J145="","",Transactions!J145)</f>
        <v/>
      </c>
      <c r="B153" s="297">
        <f ca="1">IF($A153="",TODAY(),Transactions!G145)</f>
        <v>46216</v>
      </c>
      <c r="C153" s="298" t="str">
        <f>IF($A153="","",Transactions!A145)</f>
        <v/>
      </c>
      <c r="D153" s="30">
        <f>IF($A153="",0,Transactions!H145)</f>
        <v>0</v>
      </c>
      <c r="E153" s="299">
        <f>IF($A153="",1,IFERROR(INDEX(Prices[FX to SGD],MATCH($A153,Prices[Key],0)),1))</f>
        <v>1</v>
      </c>
      <c r="F153" s="30">
        <f>IF($A153="",0,(Transactions!M145-Transactions!L145+IF(Transactions!A145=2,Transactions!H145,0))*$E153)</f>
        <v>0</v>
      </c>
      <c r="G153" s="30">
        <f>IF($A153="",0,IF(Transactions!A145=2,Transactions!H145*$E153,0))</f>
        <v>0</v>
      </c>
    </row>
    <row r="154" spans="1:7" ht="15" customHeight="1" x14ac:dyDescent="0.15">
      <c r="A154" t="str">
        <f>IF(Transactions!J146="","",Transactions!J146)</f>
        <v/>
      </c>
      <c r="B154" s="297">
        <f ca="1">IF($A154="",TODAY(),Transactions!G146)</f>
        <v>46216</v>
      </c>
      <c r="C154" s="298" t="str">
        <f>IF($A154="","",Transactions!A146)</f>
        <v/>
      </c>
      <c r="D154" s="30">
        <f>IF($A154="",0,Transactions!H146)</f>
        <v>0</v>
      </c>
      <c r="E154" s="300">
        <f>IF($A154="",1,IFERROR(INDEX(Prices[FX to SGD],MATCH($A154,Prices[Key],0)),1))</f>
        <v>1</v>
      </c>
      <c r="F154" s="30">
        <f>IF($A154="",0,(Transactions!M146-Transactions!L146+IF(Transactions!A146=2,Transactions!H146,0))*$E154)</f>
        <v>0</v>
      </c>
      <c r="G154" s="30">
        <f>IF($A154="",0,IF(Transactions!A146=2,Transactions!H146*$E154,0))</f>
        <v>0</v>
      </c>
    </row>
    <row r="155" spans="1:7" ht="15" customHeight="1" x14ac:dyDescent="0.15">
      <c r="A155" t="str">
        <f>IF(Transactions!J147="","",Transactions!J147)</f>
        <v/>
      </c>
      <c r="B155" s="297">
        <f ca="1">IF($A155="",TODAY(),Transactions!G147)</f>
        <v>46216</v>
      </c>
      <c r="C155" s="298" t="str">
        <f>IF($A155="","",Transactions!A147)</f>
        <v/>
      </c>
      <c r="D155" s="30">
        <f>IF($A155="",0,Transactions!H147)</f>
        <v>0</v>
      </c>
      <c r="E155" s="299">
        <f>IF($A155="",1,IFERROR(INDEX(Prices[FX to SGD],MATCH($A155,Prices[Key],0)),1))</f>
        <v>1</v>
      </c>
      <c r="F155" s="30">
        <f>IF($A155="",0,(Transactions!M147-Transactions!L147+IF(Transactions!A147=2,Transactions!H147,0))*$E155)</f>
        <v>0</v>
      </c>
      <c r="G155" s="30">
        <f>IF($A155="",0,IF(Transactions!A147=2,Transactions!H147*$E155,0))</f>
        <v>0</v>
      </c>
    </row>
    <row r="156" spans="1:7" ht="15" customHeight="1" x14ac:dyDescent="0.15">
      <c r="A156" t="str">
        <f>IF(Transactions!J148="","",Transactions!J148)</f>
        <v/>
      </c>
      <c r="B156" s="297">
        <f ca="1">IF($A156="",TODAY(),Transactions!G148)</f>
        <v>46216</v>
      </c>
      <c r="C156" s="298" t="str">
        <f>IF($A156="","",Transactions!A148)</f>
        <v/>
      </c>
      <c r="D156" s="30">
        <f>IF($A156="",0,Transactions!H148)</f>
        <v>0</v>
      </c>
      <c r="E156" s="299">
        <f>IF($A156="",1,IFERROR(INDEX(Prices[FX to SGD],MATCH($A156,Prices[Key],0)),1))</f>
        <v>1</v>
      </c>
      <c r="F156" s="30">
        <f>IF($A156="",0,(Transactions!M148-Transactions!L148+IF(Transactions!A148=2,Transactions!H148,0))*$E156)</f>
        <v>0</v>
      </c>
      <c r="G156" s="30">
        <f>IF($A156="",0,IF(Transactions!A148=2,Transactions!H148*$E156,0))</f>
        <v>0</v>
      </c>
    </row>
    <row r="157" spans="1:7" ht="15" customHeight="1" x14ac:dyDescent="0.15">
      <c r="A157" t="str">
        <f>IF(Transactions!J149="","",Transactions!J149)</f>
        <v/>
      </c>
      <c r="B157" s="297">
        <f ca="1">IF($A157="",TODAY(),Transactions!G149)</f>
        <v>46216</v>
      </c>
      <c r="C157" s="298" t="str">
        <f>IF($A157="","",Transactions!A149)</f>
        <v/>
      </c>
      <c r="D157" s="30">
        <f>IF($A157="",0,Transactions!H149)</f>
        <v>0</v>
      </c>
      <c r="E157" s="299">
        <f>IF($A157="",1,IFERROR(INDEX(Prices[FX to SGD],MATCH($A157,Prices[Key],0)),1))</f>
        <v>1</v>
      </c>
      <c r="F157" s="30">
        <f>IF($A157="",0,(Transactions!M149-Transactions!L149+IF(Transactions!A149=2,Transactions!H149,0))*$E157)</f>
        <v>0</v>
      </c>
      <c r="G157" s="30">
        <f>IF($A157="",0,IF(Transactions!A149=2,Transactions!H149*$E157,0))</f>
        <v>0</v>
      </c>
    </row>
    <row r="158" spans="1:7" ht="15" customHeight="1" x14ac:dyDescent="0.15">
      <c r="A158" t="str">
        <f>IF(Transactions!J150="","",Transactions!J150)</f>
        <v/>
      </c>
      <c r="B158" s="297">
        <f ca="1">IF($A158="",TODAY(),Transactions!G150)</f>
        <v>46216</v>
      </c>
      <c r="C158" s="298" t="str">
        <f>IF($A158="","",Transactions!A150)</f>
        <v/>
      </c>
      <c r="D158" s="30">
        <f>IF($A158="",0,Transactions!H150)</f>
        <v>0</v>
      </c>
      <c r="E158" s="299">
        <f>IF($A158="",1,IFERROR(INDEX(Prices[FX to SGD],MATCH($A158,Prices[Key],0)),1))</f>
        <v>1</v>
      </c>
      <c r="F158" s="30">
        <f>IF($A158="",0,(Transactions!M150-Transactions!L150+IF(Transactions!A150=2,Transactions!H150,0))*$E158)</f>
        <v>0</v>
      </c>
      <c r="G158" s="30">
        <f>IF($A158="",0,IF(Transactions!A150=2,Transactions!H150*$E158,0))</f>
        <v>0</v>
      </c>
    </row>
    <row r="159" spans="1:7" ht="15" customHeight="1" x14ac:dyDescent="0.15">
      <c r="A159" t="str">
        <f>IF(Transactions!J151="","",Transactions!J151)</f>
        <v/>
      </c>
      <c r="B159" s="297">
        <f ca="1">IF($A159="",TODAY(),Transactions!G151)</f>
        <v>46216</v>
      </c>
      <c r="C159" s="298" t="str">
        <f>IF($A159="","",Transactions!A151)</f>
        <v/>
      </c>
      <c r="D159" s="30">
        <f>IF($A159="",0,Transactions!H151)</f>
        <v>0</v>
      </c>
      <c r="E159" s="299">
        <f>IF($A159="",1,IFERROR(INDEX(Prices[FX to SGD],MATCH($A159,Prices[Key],0)),1))</f>
        <v>1</v>
      </c>
      <c r="F159" s="30">
        <f>IF($A159="",0,(Transactions!M151-Transactions!L151+IF(Transactions!A151=2,Transactions!H151,0))*$E159)</f>
        <v>0</v>
      </c>
      <c r="G159" s="30">
        <f>IF($A159="",0,IF(Transactions!A151=2,Transactions!H151*$E159,0))</f>
        <v>0</v>
      </c>
    </row>
    <row r="160" spans="1:7" ht="15" customHeight="1" x14ac:dyDescent="0.15">
      <c r="A160" t="str">
        <f>IF(Transactions!J152="","",Transactions!J152)</f>
        <v/>
      </c>
      <c r="B160" s="297">
        <f ca="1">IF($A160="",TODAY(),Transactions!G152)</f>
        <v>46216</v>
      </c>
      <c r="C160" s="298" t="str">
        <f>IF($A160="","",Transactions!A152)</f>
        <v/>
      </c>
      <c r="D160" s="30">
        <f>IF($A160="",0,Transactions!H152)</f>
        <v>0</v>
      </c>
      <c r="E160" s="299">
        <f>IF($A160="",1,IFERROR(INDEX(Prices[FX to SGD],MATCH($A160,Prices[Key],0)),1))</f>
        <v>1</v>
      </c>
      <c r="F160" s="30">
        <f>IF($A160="",0,(Transactions!M152-Transactions!L152+IF(Transactions!A152=2,Transactions!H152,0))*$E160)</f>
        <v>0</v>
      </c>
      <c r="G160" s="30">
        <f>IF($A160="",0,IF(Transactions!A152=2,Transactions!H152*$E160,0))</f>
        <v>0</v>
      </c>
    </row>
    <row r="161" spans="1:7" ht="15" customHeight="1" x14ac:dyDescent="0.15">
      <c r="A161" t="str">
        <f>IF(Transactions!J153="","",Transactions!J153)</f>
        <v/>
      </c>
      <c r="B161" s="297">
        <f ca="1">IF($A161="",TODAY(),Transactions!G153)</f>
        <v>46216</v>
      </c>
      <c r="C161" s="298" t="str">
        <f>IF($A161="","",Transactions!A153)</f>
        <v/>
      </c>
      <c r="D161" s="30">
        <f>IF($A161="",0,Transactions!H153)</f>
        <v>0</v>
      </c>
      <c r="E161" s="300">
        <f>IF($A161="",1,IFERROR(INDEX(Prices[FX to SGD],MATCH($A161,Prices[Key],0)),1))</f>
        <v>1</v>
      </c>
      <c r="F161" s="30">
        <f>IF($A161="",0,(Transactions!M153-Transactions!L153+IF(Transactions!A153=2,Transactions!H153,0))*$E161)</f>
        <v>0</v>
      </c>
      <c r="G161" s="30">
        <f>IF($A161="",0,IF(Transactions!A153=2,Transactions!H153*$E161,0))</f>
        <v>0</v>
      </c>
    </row>
    <row r="162" spans="1:7" ht="15" customHeight="1" x14ac:dyDescent="0.15">
      <c r="A162" t="str">
        <f>IF(Transactions!J154="","",Transactions!J154)</f>
        <v/>
      </c>
      <c r="B162" s="297">
        <f ca="1">IF($A162="",TODAY(),Transactions!G154)</f>
        <v>46216</v>
      </c>
      <c r="C162" s="298" t="str">
        <f>IF($A162="","",Transactions!A154)</f>
        <v/>
      </c>
      <c r="D162" s="30">
        <f>IF($A162="",0,Transactions!H154)</f>
        <v>0</v>
      </c>
      <c r="E162" s="300">
        <f>IF($A162="",1,IFERROR(INDEX(Prices[FX to SGD],MATCH($A162,Prices[Key],0)),1))</f>
        <v>1</v>
      </c>
      <c r="F162" s="30">
        <f>IF($A162="",0,(Transactions!M154-Transactions!L154+IF(Transactions!A154=2,Transactions!H154,0))*$E162)</f>
        <v>0</v>
      </c>
      <c r="G162" s="30">
        <f>IF($A162="",0,IF(Transactions!A154=2,Transactions!H154*$E162,0))</f>
        <v>0</v>
      </c>
    </row>
    <row r="163" spans="1:7" ht="15" customHeight="1" x14ac:dyDescent="0.15">
      <c r="A163" t="str">
        <f>IF(Transactions!J155="","",Transactions!J155)</f>
        <v/>
      </c>
      <c r="B163" s="297">
        <f ca="1">IF($A163="",TODAY(),Transactions!G155)</f>
        <v>46216</v>
      </c>
      <c r="C163" s="298" t="str">
        <f>IF($A163="","",Transactions!A155)</f>
        <v/>
      </c>
      <c r="D163" s="30">
        <f>IF($A163="",0,Transactions!H155)</f>
        <v>0</v>
      </c>
      <c r="E163" s="300">
        <f>IF($A163="",1,IFERROR(INDEX(Prices[FX to SGD],MATCH($A163,Prices[Key],0)),1))</f>
        <v>1</v>
      </c>
      <c r="F163" s="30">
        <f>IF($A163="",0,(Transactions!M155-Transactions!L155+IF(Transactions!A155=2,Transactions!H155,0))*$E163)</f>
        <v>0</v>
      </c>
      <c r="G163" s="30">
        <f>IF($A163="",0,IF(Transactions!A155=2,Transactions!H155*$E163,0))</f>
        <v>0</v>
      </c>
    </row>
    <row r="164" spans="1:7" ht="15" customHeight="1" x14ac:dyDescent="0.15">
      <c r="A164" t="str">
        <f>IF(Transactions!J156="","",Transactions!J156)</f>
        <v/>
      </c>
      <c r="B164" s="297">
        <f ca="1">IF($A164="",TODAY(),Transactions!G156)</f>
        <v>46216</v>
      </c>
      <c r="C164" s="298" t="str">
        <f>IF($A164="","",Transactions!A156)</f>
        <v/>
      </c>
      <c r="D164" s="30">
        <f>IF($A164="",0,Transactions!H156)</f>
        <v>0</v>
      </c>
      <c r="E164" s="300">
        <f>IF($A164="",1,IFERROR(INDEX(Prices[FX to SGD],MATCH($A164,Prices[Key],0)),1))</f>
        <v>1</v>
      </c>
      <c r="F164" s="30">
        <f>IF($A164="",0,(Transactions!M156-Transactions!L156+IF(Transactions!A156=2,Transactions!H156,0))*$E164)</f>
        <v>0</v>
      </c>
      <c r="G164" s="30">
        <f>IF($A164="",0,IF(Transactions!A156=2,Transactions!H156*$E164,0))</f>
        <v>0</v>
      </c>
    </row>
    <row r="165" spans="1:7" ht="15" customHeight="1" x14ac:dyDescent="0.15">
      <c r="A165" t="str">
        <f>IF(Transactions!J157="","",Transactions!J157)</f>
        <v/>
      </c>
      <c r="B165" s="297">
        <f ca="1">IF($A165="",TODAY(),Transactions!G157)</f>
        <v>46216</v>
      </c>
      <c r="C165" s="298" t="str">
        <f>IF($A165="","",Transactions!A157)</f>
        <v/>
      </c>
      <c r="D165" s="30">
        <f>IF($A165="",0,Transactions!H157)</f>
        <v>0</v>
      </c>
      <c r="E165" s="300">
        <f>IF($A165="",1,IFERROR(INDEX(Prices[FX to SGD],MATCH($A165,Prices[Key],0)),1))</f>
        <v>1</v>
      </c>
      <c r="F165" s="30">
        <f>IF($A165="",0,(Transactions!M157-Transactions!L157+IF(Transactions!A157=2,Transactions!H157,0))*$E165)</f>
        <v>0</v>
      </c>
      <c r="G165" s="30">
        <f>IF($A165="",0,IF(Transactions!A157=2,Transactions!H157*$E165,0))</f>
        <v>0</v>
      </c>
    </row>
    <row r="166" spans="1:7" ht="15" customHeight="1" x14ac:dyDescent="0.15">
      <c r="A166" t="str">
        <f>IF(Transactions!J158="","",Transactions!J158)</f>
        <v/>
      </c>
      <c r="B166" s="297">
        <f ca="1">IF($A166="",TODAY(),Transactions!G158)</f>
        <v>46216</v>
      </c>
      <c r="C166" s="298" t="str">
        <f>IF($A166="","",Transactions!A158)</f>
        <v/>
      </c>
      <c r="D166" s="30">
        <f>IF($A166="",0,Transactions!H158)</f>
        <v>0</v>
      </c>
      <c r="E166" s="300">
        <f>IF($A166="",1,IFERROR(INDEX(Prices[FX to SGD],MATCH($A166,Prices[Key],0)),1))</f>
        <v>1</v>
      </c>
      <c r="F166" s="30">
        <f>IF($A166="",0,(Transactions!M158-Transactions!L158+IF(Transactions!A158=2,Transactions!H158,0))*$E166)</f>
        <v>0</v>
      </c>
      <c r="G166" s="30">
        <f>IF($A166="",0,IF(Transactions!A158=2,Transactions!H158*$E166,0))</f>
        <v>0</v>
      </c>
    </row>
    <row r="167" spans="1:7" ht="15" customHeight="1" x14ac:dyDescent="0.15">
      <c r="A167" t="str">
        <f>IF(Transactions!J159="","",Transactions!J159)</f>
        <v/>
      </c>
      <c r="B167" s="297">
        <f ca="1">IF($A167="",TODAY(),Transactions!G159)</f>
        <v>46216</v>
      </c>
      <c r="C167" s="298" t="str">
        <f>IF($A167="","",Transactions!A159)</f>
        <v/>
      </c>
      <c r="D167" s="30">
        <f>IF($A167="",0,Transactions!H159)</f>
        <v>0</v>
      </c>
      <c r="E167" s="300">
        <f>IF($A167="",1,IFERROR(INDEX(Prices[FX to SGD],MATCH($A167,Prices[Key],0)),1))</f>
        <v>1</v>
      </c>
      <c r="F167" s="30">
        <f>IF($A167="",0,(Transactions!M159-Transactions!L159+IF(Transactions!A159=2,Transactions!H159,0))*$E167)</f>
        <v>0</v>
      </c>
      <c r="G167" s="30">
        <f>IF($A167="",0,IF(Transactions!A159=2,Transactions!H159*$E167,0))</f>
        <v>0</v>
      </c>
    </row>
    <row r="168" spans="1:7" ht="15" customHeight="1" x14ac:dyDescent="0.15">
      <c r="A168" t="str">
        <f>IF(Transactions!J160="","",Transactions!J160)</f>
        <v/>
      </c>
      <c r="B168" s="297">
        <f ca="1">IF($A168="",TODAY(),Transactions!G160)</f>
        <v>46216</v>
      </c>
      <c r="C168" s="298" t="str">
        <f>IF($A168="","",Transactions!A160)</f>
        <v/>
      </c>
      <c r="D168" s="30">
        <f>IF($A168="",0,Transactions!H160)</f>
        <v>0</v>
      </c>
      <c r="E168" s="300">
        <f>IF($A168="",1,IFERROR(INDEX(Prices[FX to SGD],MATCH($A168,Prices[Key],0)),1))</f>
        <v>1</v>
      </c>
      <c r="F168" s="30">
        <f>IF($A168="",0,(Transactions!M160-Transactions!L160+IF(Transactions!A160=2,Transactions!H160,0))*$E168)</f>
        <v>0</v>
      </c>
      <c r="G168" s="30">
        <f>IF($A168="",0,IF(Transactions!A160=2,Transactions!H160*$E168,0))</f>
        <v>0</v>
      </c>
    </row>
    <row r="169" spans="1:7" ht="15" customHeight="1" x14ac:dyDescent="0.15">
      <c r="A169" t="str">
        <f>IF(Transactions!J161="","",Transactions!J161)</f>
        <v/>
      </c>
      <c r="B169" s="297">
        <f ca="1">IF($A169="",TODAY(),Transactions!G161)</f>
        <v>46216</v>
      </c>
      <c r="C169" s="298" t="str">
        <f>IF($A169="","",Transactions!A161)</f>
        <v/>
      </c>
      <c r="D169" s="30">
        <f>IF($A169="",0,Transactions!H161)</f>
        <v>0</v>
      </c>
      <c r="E169" s="300">
        <f>IF($A169="",1,IFERROR(INDEX(Prices[FX to SGD],MATCH($A169,Prices[Key],0)),1))</f>
        <v>1</v>
      </c>
      <c r="F169" s="30">
        <f>IF($A169="",0,(Transactions!M161-Transactions!L161+IF(Transactions!A161=2,Transactions!H161,0))*$E169)</f>
        <v>0</v>
      </c>
      <c r="G169" s="30">
        <f>IF($A169="",0,IF(Transactions!A161=2,Transactions!H161*$E169,0))</f>
        <v>0</v>
      </c>
    </row>
    <row r="170" spans="1:7" ht="15" customHeight="1" x14ac:dyDescent="0.15">
      <c r="A170" t="str">
        <f>IF(Transactions!J162="","",Transactions!J162)</f>
        <v/>
      </c>
      <c r="B170" s="297">
        <f ca="1">IF($A170="",TODAY(),Transactions!G162)</f>
        <v>46216</v>
      </c>
      <c r="C170" s="298" t="str">
        <f>IF($A170="","",Transactions!A162)</f>
        <v/>
      </c>
      <c r="D170" s="30">
        <f>IF($A170="",0,Transactions!H162)</f>
        <v>0</v>
      </c>
      <c r="E170" s="300">
        <f>IF($A170="",1,IFERROR(INDEX(Prices[FX to SGD],MATCH($A170,Prices[Key],0)),1))</f>
        <v>1</v>
      </c>
      <c r="F170" s="30">
        <f>IF($A170="",0,(Transactions!M162-Transactions!L162+IF(Transactions!A162=2,Transactions!H162,0))*$E170)</f>
        <v>0</v>
      </c>
      <c r="G170" s="30">
        <f>IF($A170="",0,IF(Transactions!A162=2,Transactions!H162*$E170,0))</f>
        <v>0</v>
      </c>
    </row>
    <row r="171" spans="1:7" ht="15" customHeight="1" x14ac:dyDescent="0.15">
      <c r="A171" t="str">
        <f>IF(Transactions!J163="","",Transactions!J163)</f>
        <v/>
      </c>
      <c r="B171" s="297">
        <f ca="1">IF($A171="",TODAY(),Transactions!G163)</f>
        <v>46216</v>
      </c>
      <c r="C171" s="298" t="str">
        <f>IF($A171="","",Transactions!A163)</f>
        <v/>
      </c>
      <c r="D171" s="30">
        <f>IF($A171="",0,Transactions!H163)</f>
        <v>0</v>
      </c>
      <c r="E171" s="299">
        <f>IF($A171="",1,IFERROR(INDEX(Prices[FX to SGD],MATCH($A171,Prices[Key],0)),1))</f>
        <v>1</v>
      </c>
      <c r="F171" s="30">
        <f>IF($A171="",0,(Transactions!M163-Transactions!L163+IF(Transactions!A163=2,Transactions!H163,0))*$E171)</f>
        <v>0</v>
      </c>
      <c r="G171" s="30">
        <f>IF($A171="",0,IF(Transactions!A163=2,Transactions!H163*$E171,0))</f>
        <v>0</v>
      </c>
    </row>
    <row r="172" spans="1:7" ht="15" customHeight="1" x14ac:dyDescent="0.15">
      <c r="A172" t="str">
        <f>IF(Transactions!J164="","",Transactions!J164)</f>
        <v/>
      </c>
      <c r="B172" s="297">
        <f ca="1">IF($A172="",TODAY(),Transactions!G164)</f>
        <v>46216</v>
      </c>
      <c r="C172" s="298" t="str">
        <f>IF($A172="","",Transactions!A164)</f>
        <v/>
      </c>
      <c r="D172" s="30">
        <f>IF($A172="",0,Transactions!H164)</f>
        <v>0</v>
      </c>
      <c r="E172" s="299">
        <f>IF($A172="",1,IFERROR(INDEX(Prices[FX to SGD],MATCH($A172,Prices[Key],0)),1))</f>
        <v>1</v>
      </c>
      <c r="F172" s="30">
        <f>IF($A172="",0,(Transactions!M164-Transactions!L164+IF(Transactions!A164=2,Transactions!H164,0))*$E172)</f>
        <v>0</v>
      </c>
      <c r="G172" s="30">
        <f>IF($A172="",0,IF(Transactions!A164=2,Transactions!H164*$E172,0))</f>
        <v>0</v>
      </c>
    </row>
    <row r="173" spans="1:7" ht="15" customHeight="1" x14ac:dyDescent="0.15">
      <c r="A173" t="str">
        <f>IF(Transactions!J165="","",Transactions!J165)</f>
        <v/>
      </c>
      <c r="B173" s="297">
        <f ca="1">IF($A173="",TODAY(),Transactions!G165)</f>
        <v>46216</v>
      </c>
      <c r="C173" s="298" t="str">
        <f>IF($A173="","",Transactions!A165)</f>
        <v/>
      </c>
      <c r="D173" s="30">
        <f>IF($A173="",0,Transactions!H165)</f>
        <v>0</v>
      </c>
      <c r="E173" s="299">
        <f>IF($A173="",1,IFERROR(INDEX(Prices[FX to SGD],MATCH($A173,Prices[Key],0)),1))</f>
        <v>1</v>
      </c>
      <c r="F173" s="30">
        <f>IF($A173="",0,(Transactions!M165-Transactions!L165+IF(Transactions!A165=2,Transactions!H165,0))*$E173)</f>
        <v>0</v>
      </c>
      <c r="G173" s="30">
        <f>IF($A173="",0,IF(Transactions!A165=2,Transactions!H165*$E173,0))</f>
        <v>0</v>
      </c>
    </row>
    <row r="174" spans="1:7" ht="15" customHeight="1" x14ac:dyDescent="0.15">
      <c r="A174" t="str">
        <f>IF(Transactions!J166="","",Transactions!J166)</f>
        <v/>
      </c>
      <c r="B174" s="297">
        <f ca="1">IF($A174="",TODAY(),Transactions!G166)</f>
        <v>46216</v>
      </c>
      <c r="C174" s="298" t="str">
        <f>IF($A174="","",Transactions!A166)</f>
        <v/>
      </c>
      <c r="D174" s="30">
        <f>IF($A174="",0,Transactions!H166)</f>
        <v>0</v>
      </c>
      <c r="E174" s="300">
        <f>IF($A174="",1,IFERROR(INDEX(Prices[FX to SGD],MATCH($A174,Prices[Key],0)),1))</f>
        <v>1</v>
      </c>
      <c r="F174" s="30">
        <f>IF($A174="",0,(Transactions!M166-Transactions!L166+IF(Transactions!A166=2,Transactions!H166,0))*$E174)</f>
        <v>0</v>
      </c>
      <c r="G174" s="30">
        <f>IF($A174="",0,IF(Transactions!A166=2,Transactions!H166*$E174,0))</f>
        <v>0</v>
      </c>
    </row>
    <row r="175" spans="1:7" ht="15" customHeight="1" x14ac:dyDescent="0.15">
      <c r="A175" t="str">
        <f>IF(Transactions!J167="","",Transactions!J167)</f>
        <v/>
      </c>
      <c r="B175" s="297">
        <f ca="1">IF($A175="",TODAY(),Transactions!G167)</f>
        <v>46216</v>
      </c>
      <c r="C175" s="298" t="str">
        <f>IF($A175="","",Transactions!A167)</f>
        <v/>
      </c>
      <c r="D175" s="30">
        <f>IF($A175="",0,Transactions!H167)</f>
        <v>0</v>
      </c>
      <c r="E175" s="300">
        <f>IF($A175="",1,IFERROR(INDEX(Prices[FX to SGD],MATCH($A175,Prices[Key],0)),1))</f>
        <v>1</v>
      </c>
      <c r="F175" s="30">
        <f>IF($A175="",0,(Transactions!M167-Transactions!L167+IF(Transactions!A167=2,Transactions!H167,0))*$E175)</f>
        <v>0</v>
      </c>
      <c r="G175" s="30">
        <f>IF($A175="",0,IF(Transactions!A167=2,Transactions!H167*$E175,0))</f>
        <v>0</v>
      </c>
    </row>
    <row r="176" spans="1:7" ht="15" customHeight="1" x14ac:dyDescent="0.15">
      <c r="A176" t="str">
        <f>IF(Transactions!J168="","",Transactions!J168)</f>
        <v/>
      </c>
      <c r="B176" s="297">
        <f ca="1">IF($A176="",TODAY(),Transactions!G168)</f>
        <v>46216</v>
      </c>
      <c r="C176" s="298" t="str">
        <f>IF($A176="","",Transactions!A168)</f>
        <v/>
      </c>
      <c r="D176" s="30">
        <f>IF($A176="",0,Transactions!H168)</f>
        <v>0</v>
      </c>
      <c r="E176" s="300">
        <f>IF($A176="",1,IFERROR(INDEX(Prices[FX to SGD],MATCH($A176,Prices[Key],0)),1))</f>
        <v>1</v>
      </c>
      <c r="F176" s="30">
        <f>IF($A176="",0,(Transactions!M168-Transactions!L168+IF(Transactions!A168=2,Transactions!H168,0))*$E176)</f>
        <v>0</v>
      </c>
      <c r="G176" s="30">
        <f>IF($A176="",0,IF(Transactions!A168=2,Transactions!H168*$E176,0))</f>
        <v>0</v>
      </c>
    </row>
    <row r="177" spans="1:7" ht="15" customHeight="1" x14ac:dyDescent="0.15">
      <c r="A177" t="str">
        <f>IF(Transactions!J169="","",Transactions!J169)</f>
        <v/>
      </c>
      <c r="B177" s="297">
        <f ca="1">IF($A177="",TODAY(),Transactions!G169)</f>
        <v>46216</v>
      </c>
      <c r="C177" s="298" t="str">
        <f>IF($A177="","",Transactions!A169)</f>
        <v/>
      </c>
      <c r="D177" s="30">
        <f>IF($A177="",0,Transactions!H169)</f>
        <v>0</v>
      </c>
      <c r="E177" s="300">
        <f>IF($A177="",1,IFERROR(INDEX(Prices[FX to SGD],MATCH($A177,Prices[Key],0)),1))</f>
        <v>1</v>
      </c>
      <c r="F177" s="30">
        <f>IF($A177="",0,(Transactions!M169-Transactions!L169+IF(Transactions!A169=2,Transactions!H169,0))*$E177)</f>
        <v>0</v>
      </c>
      <c r="G177" s="30">
        <f>IF($A177="",0,IF(Transactions!A169=2,Transactions!H169*$E177,0))</f>
        <v>0</v>
      </c>
    </row>
    <row r="178" spans="1:7" ht="15" customHeight="1" x14ac:dyDescent="0.15">
      <c r="A178" t="str">
        <f>IF(Transactions!J170="","",Transactions!J170)</f>
        <v/>
      </c>
      <c r="B178" s="297">
        <f ca="1">IF($A178="",TODAY(),Transactions!G170)</f>
        <v>46216</v>
      </c>
      <c r="C178" s="298" t="str">
        <f>IF($A178="","",Transactions!A170)</f>
        <v/>
      </c>
      <c r="D178" s="30">
        <f>IF($A178="",0,Transactions!H170)</f>
        <v>0</v>
      </c>
      <c r="E178" s="300">
        <f>IF($A178="",1,IFERROR(INDEX(Prices[FX to SGD],MATCH($A178,Prices[Key],0)),1))</f>
        <v>1</v>
      </c>
      <c r="F178" s="30">
        <f>IF($A178="",0,(Transactions!M170-Transactions!L170+IF(Transactions!A170=2,Transactions!H170,0))*$E178)</f>
        <v>0</v>
      </c>
      <c r="G178" s="30">
        <f>IF($A178="",0,IF(Transactions!A170=2,Transactions!H170*$E178,0))</f>
        <v>0</v>
      </c>
    </row>
    <row r="179" spans="1:7" ht="15" customHeight="1" x14ac:dyDescent="0.15">
      <c r="A179" t="str">
        <f>IF(Transactions!J171="","",Transactions!J171)</f>
        <v/>
      </c>
      <c r="B179" s="297">
        <f ca="1">IF($A179="",TODAY(),Transactions!G171)</f>
        <v>46216</v>
      </c>
      <c r="C179" s="298" t="str">
        <f>IF($A179="","",Transactions!A171)</f>
        <v/>
      </c>
      <c r="D179" s="30">
        <f>IF($A179="",0,Transactions!H171)</f>
        <v>0</v>
      </c>
      <c r="E179" s="300">
        <f>IF($A179="",1,IFERROR(INDEX(Prices[FX to SGD],MATCH($A179,Prices[Key],0)),1))</f>
        <v>1</v>
      </c>
      <c r="F179" s="30">
        <f>IF($A179="",0,(Transactions!M171-Transactions!L171+IF(Transactions!A171=2,Transactions!H171,0))*$E179)</f>
        <v>0</v>
      </c>
      <c r="G179" s="30">
        <f>IF($A179="",0,IF(Transactions!A171=2,Transactions!H171*$E179,0))</f>
        <v>0</v>
      </c>
    </row>
    <row r="180" spans="1:7" ht="15" customHeight="1" x14ac:dyDescent="0.15">
      <c r="A180" t="str">
        <f>IF(Transactions!J172="","",Transactions!J172)</f>
        <v/>
      </c>
      <c r="B180" s="297">
        <f ca="1">IF($A180="",TODAY(),Transactions!G172)</f>
        <v>46216</v>
      </c>
      <c r="C180" s="298" t="str">
        <f>IF($A180="","",Transactions!A172)</f>
        <v/>
      </c>
      <c r="D180" s="30">
        <f>IF($A180="",0,Transactions!H172)</f>
        <v>0</v>
      </c>
      <c r="E180" s="299">
        <f>IF($A180="",1,IFERROR(INDEX(Prices[FX to SGD],MATCH($A180,Prices[Key],0)),1))</f>
        <v>1</v>
      </c>
      <c r="F180" s="30">
        <f>IF($A180="",0,(Transactions!M172-Transactions!L172+IF(Transactions!A172=2,Transactions!H172,0))*$E180)</f>
        <v>0</v>
      </c>
      <c r="G180" s="30">
        <f>IF($A180="",0,IF(Transactions!A172=2,Transactions!H172*$E180,0))</f>
        <v>0</v>
      </c>
    </row>
    <row r="181" spans="1:7" ht="15" customHeight="1" x14ac:dyDescent="0.15">
      <c r="A181" t="str">
        <f>IF(Transactions!J173="","",Transactions!J173)</f>
        <v/>
      </c>
      <c r="B181" s="297">
        <f ca="1">IF($A181="",TODAY(),Transactions!G173)</f>
        <v>46216</v>
      </c>
      <c r="C181" s="298" t="str">
        <f>IF($A181="","",Transactions!A173)</f>
        <v/>
      </c>
      <c r="D181" s="30">
        <f>IF($A181="",0,Transactions!H173)</f>
        <v>0</v>
      </c>
      <c r="E181" s="300">
        <f>IF($A181="",1,IFERROR(INDEX(Prices[FX to SGD],MATCH($A181,Prices[Key],0)),1))</f>
        <v>1</v>
      </c>
      <c r="F181" s="30">
        <f>IF($A181="",0,(Transactions!M173-Transactions!L173+IF(Transactions!A173=2,Transactions!H173,0))*$E181)</f>
        <v>0</v>
      </c>
      <c r="G181" s="30">
        <f>IF($A181="",0,IF(Transactions!A173=2,Transactions!H173*$E181,0))</f>
        <v>0</v>
      </c>
    </row>
    <row r="182" spans="1:7" ht="15" customHeight="1" x14ac:dyDescent="0.15">
      <c r="A182" t="str">
        <f>IF(Transactions!J174="","",Transactions!J174)</f>
        <v/>
      </c>
      <c r="B182" s="297">
        <f ca="1">IF($A182="",TODAY(),Transactions!G174)</f>
        <v>46216</v>
      </c>
      <c r="C182" s="298" t="str">
        <f>IF($A182="","",Transactions!A174)</f>
        <v/>
      </c>
      <c r="D182" s="30">
        <f>IF($A182="",0,Transactions!H174)</f>
        <v>0</v>
      </c>
      <c r="E182" s="300">
        <f>IF($A182="",1,IFERROR(INDEX(Prices[FX to SGD],MATCH($A182,Prices[Key],0)),1))</f>
        <v>1</v>
      </c>
      <c r="F182" s="30">
        <f>IF($A182="",0,(Transactions!M174-Transactions!L174+IF(Transactions!A174=2,Transactions!H174,0))*$E182)</f>
        <v>0</v>
      </c>
      <c r="G182" s="30">
        <f>IF($A182="",0,IF(Transactions!A174=2,Transactions!H174*$E182,0))</f>
        <v>0</v>
      </c>
    </row>
    <row r="183" spans="1:7" ht="15" customHeight="1" x14ac:dyDescent="0.15">
      <c r="A183" t="str">
        <f>IF(Transactions!J175="","",Transactions!J175)</f>
        <v/>
      </c>
      <c r="B183" s="297">
        <f ca="1">IF($A183="",TODAY(),Transactions!G175)</f>
        <v>46216</v>
      </c>
      <c r="C183" s="298" t="str">
        <f>IF($A183="","",Transactions!A175)</f>
        <v/>
      </c>
      <c r="D183" s="30">
        <f>IF($A183="",0,Transactions!H175)</f>
        <v>0</v>
      </c>
      <c r="E183" s="300">
        <f>IF($A183="",1,IFERROR(INDEX(Prices[FX to SGD],MATCH($A183,Prices[Key],0)),1))</f>
        <v>1</v>
      </c>
      <c r="F183" s="30">
        <f>IF($A183="",0,(Transactions!M175-Transactions!L175+IF(Transactions!A175=2,Transactions!H175,0))*$E183)</f>
        <v>0</v>
      </c>
      <c r="G183" s="30">
        <f>IF($A183="",0,IF(Transactions!A175=2,Transactions!H175*$E183,0))</f>
        <v>0</v>
      </c>
    </row>
    <row r="184" spans="1:7" ht="15" customHeight="1" x14ac:dyDescent="0.15">
      <c r="A184" t="str">
        <f>IF(Transactions!J176="","",Transactions!J176)</f>
        <v/>
      </c>
      <c r="B184" s="297">
        <f ca="1">IF($A184="",TODAY(),Transactions!G176)</f>
        <v>46216</v>
      </c>
      <c r="C184" s="298" t="str">
        <f>IF($A184="","",Transactions!A176)</f>
        <v/>
      </c>
      <c r="D184" s="30">
        <f>IF($A184="",0,Transactions!H176)</f>
        <v>0</v>
      </c>
      <c r="E184" s="299">
        <f>IF($A184="",1,IFERROR(INDEX(Prices[FX to SGD],MATCH($A184,Prices[Key],0)),1))</f>
        <v>1</v>
      </c>
      <c r="F184" s="30">
        <f>IF($A184="",0,(Transactions!M176-Transactions!L176+IF(Transactions!A176=2,Transactions!H176,0))*$E184)</f>
        <v>0</v>
      </c>
      <c r="G184" s="30">
        <f>IF($A184="",0,IF(Transactions!A176=2,Transactions!H176*$E184,0))</f>
        <v>0</v>
      </c>
    </row>
    <row r="185" spans="1:7" ht="15" customHeight="1" x14ac:dyDescent="0.15">
      <c r="A185" t="str">
        <f>IF(Transactions!J177="","",Transactions!J177)</f>
        <v/>
      </c>
      <c r="B185" s="297">
        <f ca="1">IF($A185="",TODAY(),Transactions!G177)</f>
        <v>46216</v>
      </c>
      <c r="C185" s="298" t="str">
        <f>IF($A185="","",Transactions!A177)</f>
        <v/>
      </c>
      <c r="D185" s="30">
        <f>IF($A185="",0,Transactions!H177)</f>
        <v>0</v>
      </c>
      <c r="E185" s="299">
        <f>IF($A185="",1,IFERROR(INDEX(Prices[FX to SGD],MATCH($A185,Prices[Key],0)),1))</f>
        <v>1</v>
      </c>
      <c r="F185" s="30">
        <f>IF($A185="",0,(Transactions!M177-Transactions!L177+IF(Transactions!A177=2,Transactions!H177,0))*$E185)</f>
        <v>0</v>
      </c>
      <c r="G185" s="30">
        <f>IF($A185="",0,IF(Transactions!A177=2,Transactions!H177*$E185,0))</f>
        <v>0</v>
      </c>
    </row>
    <row r="186" spans="1:7" ht="15" customHeight="1" x14ac:dyDescent="0.15">
      <c r="A186" t="str">
        <f>IF(Transactions!J178="","",Transactions!J178)</f>
        <v/>
      </c>
      <c r="B186" s="297">
        <f ca="1">IF($A186="",TODAY(),Transactions!G178)</f>
        <v>46216</v>
      </c>
      <c r="C186" s="298" t="str">
        <f>IF($A186="","",Transactions!A178)</f>
        <v/>
      </c>
      <c r="D186" s="30">
        <f>IF($A186="",0,Transactions!H178)</f>
        <v>0</v>
      </c>
      <c r="E186" s="299">
        <f>IF($A186="",1,IFERROR(INDEX(Prices[FX to SGD],MATCH($A186,Prices[Key],0)),1))</f>
        <v>1</v>
      </c>
      <c r="F186" s="30">
        <f>IF($A186="",0,(Transactions!M178-Transactions!L178+IF(Transactions!A178=2,Transactions!H178,0))*$E186)</f>
        <v>0</v>
      </c>
      <c r="G186" s="30">
        <f>IF($A186="",0,IF(Transactions!A178=2,Transactions!H178*$E186,0))</f>
        <v>0</v>
      </c>
    </row>
    <row r="187" spans="1:7" ht="15" customHeight="1" x14ac:dyDescent="0.15">
      <c r="A187" t="str">
        <f>IF(Transactions!J179="","",Transactions!J179)</f>
        <v/>
      </c>
      <c r="B187" s="297">
        <f ca="1">IF($A187="",TODAY(),Transactions!G179)</f>
        <v>46216</v>
      </c>
      <c r="C187" s="298" t="str">
        <f>IF($A187="","",Transactions!A179)</f>
        <v/>
      </c>
      <c r="D187" s="30">
        <f>IF($A187="",0,Transactions!H179)</f>
        <v>0</v>
      </c>
      <c r="E187" s="299">
        <f>IF($A187="",1,IFERROR(INDEX(Prices[FX to SGD],MATCH($A187,Prices[Key],0)),1))</f>
        <v>1</v>
      </c>
      <c r="F187" s="30">
        <f>IF($A187="",0,(Transactions!M179-Transactions!L179+IF(Transactions!A179=2,Transactions!H179,0))*$E187)</f>
        <v>0</v>
      </c>
      <c r="G187" s="30">
        <f>IF($A187="",0,IF(Transactions!A179=2,Transactions!H179*$E187,0))</f>
        <v>0</v>
      </c>
    </row>
    <row r="188" spans="1:7" ht="15" customHeight="1" x14ac:dyDescent="0.15">
      <c r="A188" t="str">
        <f>IF(Transactions!J180="","",Transactions!J180)</f>
        <v/>
      </c>
      <c r="B188" s="297">
        <f ca="1">IF($A188="",TODAY(),Transactions!G180)</f>
        <v>46216</v>
      </c>
      <c r="C188" s="298" t="str">
        <f>IF($A188="","",Transactions!A180)</f>
        <v/>
      </c>
      <c r="D188" s="30">
        <f>IF($A188="",0,Transactions!H180)</f>
        <v>0</v>
      </c>
      <c r="E188" s="299">
        <f>IF($A188="",1,IFERROR(INDEX(Prices[FX to SGD],MATCH($A188,Prices[Key],0)),1))</f>
        <v>1</v>
      </c>
      <c r="F188" s="30">
        <f>IF($A188="",0,(Transactions!M180-Transactions!L180+IF(Transactions!A180=2,Transactions!H180,0))*$E188)</f>
        <v>0</v>
      </c>
      <c r="G188" s="30">
        <f>IF($A188="",0,IF(Transactions!A180=2,Transactions!H180*$E188,0))</f>
        <v>0</v>
      </c>
    </row>
    <row r="189" spans="1:7" ht="15" customHeight="1" x14ac:dyDescent="0.15">
      <c r="A189" t="str">
        <f>IF(Transactions!J181="","",Transactions!J181)</f>
        <v/>
      </c>
      <c r="B189" s="297">
        <f ca="1">IF($A189="",TODAY(),Transactions!G181)</f>
        <v>46216</v>
      </c>
      <c r="C189" s="298" t="str">
        <f>IF($A189="","",Transactions!A181)</f>
        <v/>
      </c>
      <c r="D189" s="30">
        <f>IF($A189="",0,Transactions!H181)</f>
        <v>0</v>
      </c>
      <c r="E189" s="299">
        <f>IF($A189="",1,IFERROR(INDEX(Prices[FX to SGD],MATCH($A189,Prices[Key],0)),1))</f>
        <v>1</v>
      </c>
      <c r="F189" s="30">
        <f>IF($A189="",0,(Transactions!M181-Transactions!L181+IF(Transactions!A181=2,Transactions!H181,0))*$E189)</f>
        <v>0</v>
      </c>
      <c r="G189" s="30">
        <f>IF($A189="",0,IF(Transactions!A181=2,Transactions!H181*$E189,0))</f>
        <v>0</v>
      </c>
    </row>
    <row r="190" spans="1:7" ht="15" customHeight="1" x14ac:dyDescent="0.15">
      <c r="A190" t="str">
        <f>IF(Transactions!J182="","",Transactions!J182)</f>
        <v/>
      </c>
      <c r="B190" s="297">
        <f ca="1">IF($A190="",TODAY(),Transactions!G182)</f>
        <v>46216</v>
      </c>
      <c r="C190" s="298" t="str">
        <f>IF($A190="","",Transactions!A182)</f>
        <v/>
      </c>
      <c r="D190" s="30">
        <f>IF($A190="",0,Transactions!H182)</f>
        <v>0</v>
      </c>
      <c r="E190" s="300">
        <f>IF($A190="",1,IFERROR(INDEX(Prices[FX to SGD],MATCH($A190,Prices[Key],0)),1))</f>
        <v>1</v>
      </c>
      <c r="F190" s="30">
        <f>IF($A190="",0,(Transactions!M182-Transactions!L182+IF(Transactions!A182=2,Transactions!H182,0))*$E190)</f>
        <v>0</v>
      </c>
      <c r="G190" s="30">
        <f>IF($A190="",0,IF(Transactions!A182=2,Transactions!H182*$E190,0))</f>
        <v>0</v>
      </c>
    </row>
    <row r="191" spans="1:7" ht="15" customHeight="1" x14ac:dyDescent="0.15">
      <c r="A191" t="str">
        <f>IF(Transactions!J183="","",Transactions!J183)</f>
        <v/>
      </c>
      <c r="B191" s="297">
        <f ca="1">IF($A191="",TODAY(),Transactions!G183)</f>
        <v>46216</v>
      </c>
      <c r="C191" s="298" t="str">
        <f>IF($A191="","",Transactions!A183)</f>
        <v/>
      </c>
      <c r="D191" s="30">
        <f>IF($A191="",0,Transactions!H183)</f>
        <v>0</v>
      </c>
      <c r="E191" s="300">
        <f>IF($A191="",1,IFERROR(INDEX(Prices[FX to SGD],MATCH($A191,Prices[Key],0)),1))</f>
        <v>1</v>
      </c>
      <c r="F191" s="30">
        <f>IF($A191="",0,(Transactions!M183-Transactions!L183+IF(Transactions!A183=2,Transactions!H183,0))*$E191)</f>
        <v>0</v>
      </c>
      <c r="G191" s="30">
        <f>IF($A191="",0,IF(Transactions!A183=2,Transactions!H183*$E191,0))</f>
        <v>0</v>
      </c>
    </row>
    <row r="192" spans="1:7" ht="15" customHeight="1" x14ac:dyDescent="0.15">
      <c r="A192" t="str">
        <f>IF(Transactions!J184="","",Transactions!J184)</f>
        <v/>
      </c>
      <c r="B192" s="297">
        <f ca="1">IF($A192="",TODAY(),Transactions!G184)</f>
        <v>46216</v>
      </c>
      <c r="C192" s="298" t="str">
        <f>IF($A192="","",Transactions!A184)</f>
        <v/>
      </c>
      <c r="D192" s="30">
        <f>IF($A192="",0,Transactions!H184)</f>
        <v>0</v>
      </c>
      <c r="E192" s="299">
        <f>IF($A192="",1,IFERROR(INDEX(Prices[FX to SGD],MATCH($A192,Prices[Key],0)),1))</f>
        <v>1</v>
      </c>
      <c r="F192" s="30">
        <f>IF($A192="",0,(Transactions!M184-Transactions!L184+IF(Transactions!A184=2,Transactions!H184,0))*$E192)</f>
        <v>0</v>
      </c>
      <c r="G192" s="30">
        <f>IF($A192="",0,IF(Transactions!A184=2,Transactions!H184*$E192,0))</f>
        <v>0</v>
      </c>
    </row>
    <row r="193" spans="1:7" ht="15" customHeight="1" x14ac:dyDescent="0.15">
      <c r="A193" t="str">
        <f>IF(Transactions!J185="","",Transactions!J185)</f>
        <v/>
      </c>
      <c r="B193" s="297">
        <f ca="1">IF($A193="",TODAY(),Transactions!G185)</f>
        <v>46216</v>
      </c>
      <c r="C193" s="298" t="str">
        <f>IF($A193="","",Transactions!A185)</f>
        <v/>
      </c>
      <c r="D193" s="30">
        <f>IF($A193="",0,Transactions!H185)</f>
        <v>0</v>
      </c>
      <c r="E193" s="300">
        <f>IF($A193="",1,IFERROR(INDEX(Prices[FX to SGD],MATCH($A193,Prices[Key],0)),1))</f>
        <v>1</v>
      </c>
      <c r="F193" s="30">
        <f>IF($A193="",0,(Transactions!M185-Transactions!L185+IF(Transactions!A185=2,Transactions!H185,0))*$E193)</f>
        <v>0</v>
      </c>
      <c r="G193" s="30">
        <f>IF($A193="",0,IF(Transactions!A185=2,Transactions!H185*$E193,0))</f>
        <v>0</v>
      </c>
    </row>
    <row r="194" spans="1:7" ht="15" customHeight="1" x14ac:dyDescent="0.15">
      <c r="A194" t="str">
        <f>IF(Transactions!J186="","",Transactions!J186)</f>
        <v/>
      </c>
      <c r="B194" s="297">
        <f ca="1">IF($A194="",TODAY(),Transactions!G186)</f>
        <v>46216</v>
      </c>
      <c r="C194" s="298" t="str">
        <f>IF($A194="","",Transactions!A186)</f>
        <v/>
      </c>
      <c r="D194" s="30">
        <f>IF($A194="",0,Transactions!H186)</f>
        <v>0</v>
      </c>
      <c r="E194" s="300">
        <f>IF($A194="",1,IFERROR(INDEX(Prices[FX to SGD],MATCH($A194,Prices[Key],0)),1))</f>
        <v>1</v>
      </c>
      <c r="F194" s="30">
        <f>IF($A194="",0,(Transactions!M186-Transactions!L186+IF(Transactions!A186=2,Transactions!H186,0))*$E194)</f>
        <v>0</v>
      </c>
      <c r="G194" s="30">
        <f>IF($A194="",0,IF(Transactions!A186=2,Transactions!H186*$E194,0))</f>
        <v>0</v>
      </c>
    </row>
    <row r="195" spans="1:7" ht="15" customHeight="1" x14ac:dyDescent="0.15">
      <c r="A195" t="str">
        <f>IF(Transactions!J187="","",Transactions!J187)</f>
        <v/>
      </c>
      <c r="B195" s="297">
        <f ca="1">IF($A195="",TODAY(),Transactions!G187)</f>
        <v>46216</v>
      </c>
      <c r="C195" s="298" t="str">
        <f>IF($A195="","",Transactions!A187)</f>
        <v/>
      </c>
      <c r="D195" s="30">
        <f>IF($A195="",0,Transactions!H187)</f>
        <v>0</v>
      </c>
      <c r="E195" s="300">
        <f>IF($A195="",1,IFERROR(INDEX(Prices[FX to SGD],MATCH($A195,Prices[Key],0)),1))</f>
        <v>1</v>
      </c>
      <c r="F195" s="30">
        <f>IF($A195="",0,(Transactions!M187-Transactions!L187+IF(Transactions!A187=2,Transactions!H187,0))*$E195)</f>
        <v>0</v>
      </c>
      <c r="G195" s="30">
        <f>IF($A195="",0,IF(Transactions!A187=2,Transactions!H187*$E195,0))</f>
        <v>0</v>
      </c>
    </row>
    <row r="196" spans="1:7" ht="15" customHeight="1" x14ac:dyDescent="0.15">
      <c r="A196" t="str">
        <f>IF(Transactions!J188="","",Transactions!J188)</f>
        <v/>
      </c>
      <c r="B196" s="297">
        <f ca="1">IF($A196="",TODAY(),Transactions!G188)</f>
        <v>46216</v>
      </c>
      <c r="C196" s="298" t="str">
        <f>IF($A196="","",Transactions!A188)</f>
        <v/>
      </c>
      <c r="D196" s="30">
        <f>IF($A196="",0,Transactions!H188)</f>
        <v>0</v>
      </c>
      <c r="E196" s="299">
        <f>IF($A196="",1,IFERROR(INDEX(Prices[FX to SGD],MATCH($A196,Prices[Key],0)),1))</f>
        <v>1</v>
      </c>
      <c r="F196" s="30">
        <f>IF($A196="",0,(Transactions!M188-Transactions!L188+IF(Transactions!A188=2,Transactions!H188,0))*$E196)</f>
        <v>0</v>
      </c>
      <c r="G196" s="30">
        <f>IF($A196="",0,IF(Transactions!A188=2,Transactions!H188*$E196,0))</f>
        <v>0</v>
      </c>
    </row>
    <row r="197" spans="1:7" ht="15" customHeight="1" x14ac:dyDescent="0.15">
      <c r="A197" t="str">
        <f>IF(Transactions!J189="","",Transactions!J189)</f>
        <v/>
      </c>
      <c r="B197" s="297">
        <f ca="1">IF($A197="",TODAY(),Transactions!G189)</f>
        <v>46216</v>
      </c>
      <c r="C197" s="298" t="str">
        <f>IF($A197="","",Transactions!A189)</f>
        <v/>
      </c>
      <c r="D197" s="30">
        <f>IF($A197="",0,Transactions!H189)</f>
        <v>0</v>
      </c>
      <c r="E197" s="300">
        <f>IF($A197="",1,IFERROR(INDEX(Prices[FX to SGD],MATCH($A197,Prices[Key],0)),1))</f>
        <v>1</v>
      </c>
      <c r="F197" s="30">
        <f>IF($A197="",0,(Transactions!M189-Transactions!L189+IF(Transactions!A189=2,Transactions!H189,0))*$E197)</f>
        <v>0</v>
      </c>
      <c r="G197" s="30">
        <f>IF($A197="",0,IF(Transactions!A189=2,Transactions!H189*$E197,0))</f>
        <v>0</v>
      </c>
    </row>
    <row r="198" spans="1:7" ht="15" customHeight="1" x14ac:dyDescent="0.15">
      <c r="A198" t="str">
        <f>IF(Transactions!J190="","",Transactions!J190)</f>
        <v/>
      </c>
      <c r="B198" s="297">
        <f ca="1">IF($A198="",TODAY(),Transactions!G190)</f>
        <v>46216</v>
      </c>
      <c r="C198" s="298" t="str">
        <f>IF($A198="","",Transactions!A190)</f>
        <v/>
      </c>
      <c r="D198" s="30">
        <f>IF($A198="",0,Transactions!H190)</f>
        <v>0</v>
      </c>
      <c r="E198" s="300">
        <f>IF($A198="",1,IFERROR(INDEX(Prices[FX to SGD],MATCH($A198,Prices[Key],0)),1))</f>
        <v>1</v>
      </c>
      <c r="F198" s="30">
        <f>IF($A198="",0,(Transactions!M190-Transactions!L190+IF(Transactions!A190=2,Transactions!H190,0))*$E198)</f>
        <v>0</v>
      </c>
      <c r="G198" s="30">
        <f>IF($A198="",0,IF(Transactions!A190=2,Transactions!H190*$E198,0))</f>
        <v>0</v>
      </c>
    </row>
    <row r="199" spans="1:7" ht="15" customHeight="1" x14ac:dyDescent="0.15">
      <c r="A199" t="str">
        <f>IF(Transactions!J191="","",Transactions!J191)</f>
        <v/>
      </c>
      <c r="B199" s="297">
        <f ca="1">IF($A199="",TODAY(),Transactions!G191)</f>
        <v>46216</v>
      </c>
      <c r="C199" s="298" t="str">
        <f>IF($A199="","",Transactions!A191)</f>
        <v/>
      </c>
      <c r="D199" s="30">
        <f>IF($A199="",0,Transactions!H191)</f>
        <v>0</v>
      </c>
      <c r="E199" s="300">
        <f>IF($A199="",1,IFERROR(INDEX(Prices[FX to SGD],MATCH($A199,Prices[Key],0)),1))</f>
        <v>1</v>
      </c>
      <c r="F199" s="30">
        <f>IF($A199="",0,(Transactions!M191-Transactions!L191+IF(Transactions!A191=2,Transactions!H191,0))*$E199)</f>
        <v>0</v>
      </c>
      <c r="G199" s="30">
        <f>IF($A199="",0,IF(Transactions!A191=2,Transactions!H191*$E199,0))</f>
        <v>0</v>
      </c>
    </row>
    <row r="200" spans="1:7" ht="15" customHeight="1" x14ac:dyDescent="0.15">
      <c r="A200" t="str">
        <f>IF(Transactions!J192="","",Transactions!J192)</f>
        <v/>
      </c>
      <c r="B200" s="297">
        <f ca="1">IF($A200="",TODAY(),Transactions!G192)</f>
        <v>46216</v>
      </c>
      <c r="C200" s="298" t="str">
        <f>IF($A200="","",Transactions!A192)</f>
        <v/>
      </c>
      <c r="D200" s="30">
        <f>IF($A200="",0,Transactions!H192)</f>
        <v>0</v>
      </c>
      <c r="E200" s="299">
        <f>IF($A200="",1,IFERROR(INDEX(Prices[FX to SGD],MATCH($A200,Prices[Key],0)),1))</f>
        <v>1</v>
      </c>
      <c r="F200" s="30">
        <f>IF($A200="",0,(Transactions!M192-Transactions!L192+IF(Transactions!A192=2,Transactions!H192,0))*$E200)</f>
        <v>0</v>
      </c>
      <c r="G200" s="30">
        <f>IF($A200="",0,IF(Transactions!A192=2,Transactions!H192*$E200,0))</f>
        <v>0</v>
      </c>
    </row>
    <row r="201" spans="1:7" ht="15" customHeight="1" x14ac:dyDescent="0.15">
      <c r="A201" t="str">
        <f>IF(Transactions!J193="","",Transactions!J193)</f>
        <v/>
      </c>
      <c r="B201" s="297">
        <f ca="1">IF($A201="",TODAY(),Transactions!G193)</f>
        <v>46216</v>
      </c>
      <c r="C201" s="298" t="str">
        <f>IF($A201="","",Transactions!A193)</f>
        <v/>
      </c>
      <c r="D201" s="30">
        <f>IF($A201="",0,Transactions!H193)</f>
        <v>0</v>
      </c>
      <c r="E201" s="300">
        <f>IF($A201="",1,IFERROR(INDEX(Prices[FX to SGD],MATCH($A201,Prices[Key],0)),1))</f>
        <v>1</v>
      </c>
      <c r="F201" s="30">
        <f>IF($A201="",0,(Transactions!M193-Transactions!L193+IF(Transactions!A193=2,Transactions!H193,0))*$E201)</f>
        <v>0</v>
      </c>
      <c r="G201" s="30">
        <f>IF($A201="",0,IF(Transactions!A193=2,Transactions!H193*$E201,0))</f>
        <v>0</v>
      </c>
    </row>
    <row r="202" spans="1:7" ht="15" customHeight="1" x14ac:dyDescent="0.15">
      <c r="A202" t="str">
        <f>IF(Transactions!J194="","",Transactions!J194)</f>
        <v/>
      </c>
      <c r="B202" s="297">
        <f ca="1">IF($A202="",TODAY(),Transactions!G194)</f>
        <v>46216</v>
      </c>
      <c r="C202" s="298" t="str">
        <f>IF($A202="","",Transactions!A194)</f>
        <v/>
      </c>
      <c r="D202" s="30">
        <f>IF($A202="",0,Transactions!H194)</f>
        <v>0</v>
      </c>
      <c r="E202" s="300">
        <f>IF($A202="",1,IFERROR(INDEX(Prices[FX to SGD],MATCH($A202,Prices[Key],0)),1))</f>
        <v>1</v>
      </c>
      <c r="F202" s="30">
        <f>IF($A202="",0,(Transactions!M194-Transactions!L194+IF(Transactions!A194=2,Transactions!H194,0))*$E202)</f>
        <v>0</v>
      </c>
      <c r="G202" s="30">
        <f>IF($A202="",0,IF(Transactions!A194=2,Transactions!H194*$E202,0))</f>
        <v>0</v>
      </c>
    </row>
    <row r="203" spans="1:7" ht="15" customHeight="1" x14ac:dyDescent="0.15">
      <c r="A203" t="str">
        <f>IF(Transactions!J195="","",Transactions!J195)</f>
        <v/>
      </c>
      <c r="B203" s="297">
        <f ca="1">IF($A203="",TODAY(),Transactions!G195)</f>
        <v>46216</v>
      </c>
      <c r="C203" s="298" t="str">
        <f>IF($A203="","",Transactions!A195)</f>
        <v/>
      </c>
      <c r="D203" s="30">
        <f>IF($A203="",0,Transactions!H195)</f>
        <v>0</v>
      </c>
      <c r="E203" s="300">
        <f>IF($A203="",1,IFERROR(INDEX(Prices[FX to SGD],MATCH($A203,Prices[Key],0)),1))</f>
        <v>1</v>
      </c>
      <c r="F203" s="30">
        <f>IF($A203="",0,(Transactions!M195-Transactions!L195+IF(Transactions!A195=2,Transactions!H195,0))*$E203)</f>
        <v>0</v>
      </c>
      <c r="G203" s="30">
        <f>IF($A203="",0,IF(Transactions!A195=2,Transactions!H195*$E203,0))</f>
        <v>0</v>
      </c>
    </row>
    <row r="204" spans="1:7" ht="15" customHeight="1" x14ac:dyDescent="0.15">
      <c r="A204" t="str">
        <f>IF(Transactions!J196="","",Transactions!J196)</f>
        <v/>
      </c>
      <c r="B204" s="297">
        <f ca="1">IF($A204="",TODAY(),Transactions!G196)</f>
        <v>46216</v>
      </c>
      <c r="C204" s="298" t="str">
        <f>IF($A204="","",Transactions!A196)</f>
        <v/>
      </c>
      <c r="D204" s="30">
        <f>IF($A204="",0,Transactions!H196)</f>
        <v>0</v>
      </c>
      <c r="E204" s="300">
        <f>IF($A204="",1,IFERROR(INDEX(Prices[FX to SGD],MATCH($A204,Prices[Key],0)),1))</f>
        <v>1</v>
      </c>
      <c r="F204" s="30">
        <f>IF($A204="",0,(Transactions!M196-Transactions!L196+IF(Transactions!A196=2,Transactions!H196,0))*$E204)</f>
        <v>0</v>
      </c>
      <c r="G204" s="30">
        <f>IF($A204="",0,IF(Transactions!A196=2,Transactions!H196*$E204,0))</f>
        <v>0</v>
      </c>
    </row>
    <row r="205" spans="1:7" ht="15" customHeight="1" x14ac:dyDescent="0.15">
      <c r="A205" t="str">
        <f>IF(Transactions!J197="","",Transactions!J197)</f>
        <v/>
      </c>
      <c r="B205" s="297">
        <f ca="1">IF($A205="",TODAY(),Transactions!G197)</f>
        <v>46216</v>
      </c>
      <c r="C205" s="298" t="str">
        <f>IF($A205="","",Transactions!A197)</f>
        <v/>
      </c>
      <c r="D205" s="30">
        <f>IF($A205="",0,Transactions!H197)</f>
        <v>0</v>
      </c>
      <c r="E205" s="300">
        <f>IF($A205="",1,IFERROR(INDEX(Prices[FX to SGD],MATCH($A205,Prices[Key],0)),1))</f>
        <v>1</v>
      </c>
      <c r="F205" s="30">
        <f>IF($A205="",0,(Transactions!M197-Transactions!L197+IF(Transactions!A197=2,Transactions!H197,0))*$E205)</f>
        <v>0</v>
      </c>
      <c r="G205" s="30">
        <f>IF($A205="",0,IF(Transactions!A197=2,Transactions!H197*$E205,0))</f>
        <v>0</v>
      </c>
    </row>
    <row r="206" spans="1:7" ht="15" customHeight="1" x14ac:dyDescent="0.15">
      <c r="A206" t="str">
        <f>IF(Transactions!J198="","",Transactions!J198)</f>
        <v/>
      </c>
      <c r="B206" s="297">
        <f ca="1">IF($A206="",TODAY(),Transactions!G198)</f>
        <v>46216</v>
      </c>
      <c r="C206" s="298" t="str">
        <f>IF($A206="","",Transactions!A198)</f>
        <v/>
      </c>
      <c r="D206" s="30">
        <f>IF($A206="",0,Transactions!H198)</f>
        <v>0</v>
      </c>
      <c r="E206" s="300">
        <f>IF($A206="",1,IFERROR(INDEX(Prices[FX to SGD],MATCH($A206,Prices[Key],0)),1))</f>
        <v>1</v>
      </c>
      <c r="F206" s="30">
        <f>IF($A206="",0,(Transactions!M198-Transactions!L198+IF(Transactions!A198=2,Transactions!H198,0))*$E206)</f>
        <v>0</v>
      </c>
      <c r="G206" s="30">
        <f>IF($A206="",0,IF(Transactions!A198=2,Transactions!H198*$E206,0))</f>
        <v>0</v>
      </c>
    </row>
    <row r="207" spans="1:7" ht="15" customHeight="1" x14ac:dyDescent="0.15">
      <c r="A207" t="str">
        <f>IF(Transactions!J199="","",Transactions!J199)</f>
        <v/>
      </c>
      <c r="B207" s="297">
        <f ca="1">IF($A207="",TODAY(),Transactions!G199)</f>
        <v>46216</v>
      </c>
      <c r="C207" s="298" t="str">
        <f>IF($A207="","",Transactions!A199)</f>
        <v/>
      </c>
      <c r="D207" s="30">
        <f>IF($A207="",0,Transactions!H199)</f>
        <v>0</v>
      </c>
      <c r="E207" s="299">
        <f>IF($A207="",1,IFERROR(INDEX(Prices[FX to SGD],MATCH($A207,Prices[Key],0)),1))</f>
        <v>1</v>
      </c>
      <c r="F207" s="30">
        <f>IF($A207="",0,(Transactions!M199-Transactions!L199+IF(Transactions!A199=2,Transactions!H199,0))*$E207)</f>
        <v>0</v>
      </c>
      <c r="G207" s="30">
        <f>IF($A207="",0,IF(Transactions!A199=2,Transactions!H199*$E207,0))</f>
        <v>0</v>
      </c>
    </row>
    <row r="208" spans="1:7" ht="15" customHeight="1" x14ac:dyDescent="0.15">
      <c r="A208" t="str">
        <f>IF(Transactions!J200="","",Transactions!J200)</f>
        <v/>
      </c>
      <c r="B208" s="297">
        <f ca="1">IF($A208="",TODAY(),Transactions!G200)</f>
        <v>46216</v>
      </c>
      <c r="C208" s="298" t="str">
        <f>IF($A208="","",Transactions!A200)</f>
        <v/>
      </c>
      <c r="D208" s="30">
        <f>IF($A208="",0,Transactions!H200)</f>
        <v>0</v>
      </c>
      <c r="E208" s="300">
        <f>IF($A208="",1,IFERROR(INDEX(Prices[FX to SGD],MATCH($A208,Prices[Key],0)),1))</f>
        <v>1</v>
      </c>
      <c r="F208" s="30">
        <f>IF($A208="",0,(Transactions!M200-Transactions!L200+IF(Transactions!A200=2,Transactions!H200,0))*$E208)</f>
        <v>0</v>
      </c>
      <c r="G208" s="30">
        <f>IF($A208="",0,IF(Transactions!A200=2,Transactions!H200*$E208,0))</f>
        <v>0</v>
      </c>
    </row>
    <row r="209" spans="1:7" ht="15" customHeight="1" x14ac:dyDescent="0.15">
      <c r="A209" t="str">
        <f>IF(Transactions!J201="","",Transactions!J201)</f>
        <v/>
      </c>
      <c r="B209" s="297">
        <f ca="1">IF($A209="",TODAY(),Transactions!G201)</f>
        <v>46216</v>
      </c>
      <c r="C209" s="298" t="str">
        <f>IF($A209="","",Transactions!A201)</f>
        <v/>
      </c>
      <c r="D209" s="30">
        <f>IF($A209="",0,Transactions!H201)</f>
        <v>0</v>
      </c>
      <c r="E209" s="299">
        <f>IF($A209="",1,IFERROR(INDEX(Prices[FX to SGD],MATCH($A209,Prices[Key],0)),1))</f>
        <v>1</v>
      </c>
      <c r="F209" s="30">
        <f>IF($A209="",0,(Transactions!M201-Transactions!L201+IF(Transactions!A201=2,Transactions!H201,0))*$E209)</f>
        <v>0</v>
      </c>
      <c r="G209" s="30">
        <f>IF($A209="",0,IF(Transactions!A201=2,Transactions!H201*$E209,0))</f>
        <v>0</v>
      </c>
    </row>
    <row r="210" spans="1:7" ht="15" customHeight="1" x14ac:dyDescent="0.15">
      <c r="A210" t="str">
        <f>IF(Transactions!J202="","",Transactions!J202)</f>
        <v/>
      </c>
      <c r="B210" s="297">
        <f ca="1">IF($A210="",TODAY(),Transactions!G202)</f>
        <v>46216</v>
      </c>
      <c r="C210" s="298" t="str">
        <f>IF($A210="","",Transactions!A202)</f>
        <v/>
      </c>
      <c r="D210" s="30">
        <f>IF($A210="",0,Transactions!H202)</f>
        <v>0</v>
      </c>
      <c r="E210" s="299">
        <f>IF($A210="",1,IFERROR(INDEX(Prices[FX to SGD],MATCH($A210,Prices[Key],0)),1))</f>
        <v>1</v>
      </c>
      <c r="F210" s="30">
        <f>IF($A210="",0,(Transactions!M202-Transactions!L202+IF(Transactions!A202=2,Transactions!H202,0))*$E210)</f>
        <v>0</v>
      </c>
      <c r="G210" s="30">
        <f>IF($A210="",0,IF(Transactions!A202=2,Transactions!H202*$E210,0))</f>
        <v>0</v>
      </c>
    </row>
    <row r="211" spans="1:7" ht="15" customHeight="1" x14ac:dyDescent="0.15">
      <c r="A211" t="str">
        <f>IF(Transactions!J203="","",Transactions!J203)</f>
        <v/>
      </c>
      <c r="B211" s="297">
        <f ca="1">IF($A211="",TODAY(),Transactions!G203)</f>
        <v>46216</v>
      </c>
      <c r="C211" s="298" t="str">
        <f>IF($A211="","",Transactions!A203)</f>
        <v/>
      </c>
      <c r="D211" s="30">
        <f>IF($A211="",0,Transactions!H203)</f>
        <v>0</v>
      </c>
      <c r="E211" s="300">
        <f>IF($A211="",1,IFERROR(INDEX(Prices[FX to SGD],MATCH($A211,Prices[Key],0)),1))</f>
        <v>1</v>
      </c>
      <c r="F211" s="30">
        <f>IF($A211="",0,(Transactions!M203-Transactions!L203+IF(Transactions!A203=2,Transactions!H203,0))*$E211)</f>
        <v>0</v>
      </c>
      <c r="G211" s="30">
        <f>IF($A211="",0,IF(Transactions!A203=2,Transactions!H203*$E211,0))</f>
        <v>0</v>
      </c>
    </row>
    <row r="212" spans="1:7" ht="15" customHeight="1" x14ac:dyDescent="0.15">
      <c r="A212" t="str">
        <f>IF(Transactions!J204="","",Transactions!J204)</f>
        <v/>
      </c>
      <c r="B212" s="297">
        <f ca="1">IF($A212="",TODAY(),Transactions!G204)</f>
        <v>46216</v>
      </c>
      <c r="C212" s="298" t="str">
        <f>IF($A212="","",Transactions!A204)</f>
        <v/>
      </c>
      <c r="D212" s="30">
        <f>IF($A212="",0,Transactions!H204)</f>
        <v>0</v>
      </c>
      <c r="E212" s="299">
        <f>IF($A212="",1,IFERROR(INDEX(Prices[FX to SGD],MATCH($A212,Prices[Key],0)),1))</f>
        <v>1</v>
      </c>
      <c r="F212" s="30">
        <f>IF($A212="",0,(Transactions!M204-Transactions!L204+IF(Transactions!A204=2,Transactions!H204,0))*$E212)</f>
        <v>0</v>
      </c>
      <c r="G212" s="30">
        <f>IF($A212="",0,IF(Transactions!A204=2,Transactions!H204*$E212,0))</f>
        <v>0</v>
      </c>
    </row>
    <row r="213" spans="1:7" ht="15" customHeight="1" x14ac:dyDescent="0.15">
      <c r="A213" t="str">
        <f>IF(Transactions!J205="","",Transactions!J205)</f>
        <v/>
      </c>
      <c r="B213" s="297">
        <f ca="1">IF($A213="",TODAY(),Transactions!G205)</f>
        <v>46216</v>
      </c>
      <c r="C213" s="298" t="str">
        <f>IF($A213="","",Transactions!A205)</f>
        <v/>
      </c>
      <c r="D213" s="30">
        <f>IF($A213="",0,Transactions!H205)</f>
        <v>0</v>
      </c>
      <c r="E213" s="300">
        <f>IF($A213="",1,IFERROR(INDEX(Prices[FX to SGD],MATCH($A213,Prices[Key],0)),1))</f>
        <v>1</v>
      </c>
      <c r="F213" s="30">
        <f>IF($A213="",0,(Transactions!M205-Transactions!L205+IF(Transactions!A205=2,Transactions!H205,0))*$E213)</f>
        <v>0</v>
      </c>
      <c r="G213" s="30">
        <f>IF($A213="",0,IF(Transactions!A205=2,Transactions!H205*$E213,0))</f>
        <v>0</v>
      </c>
    </row>
    <row r="214" spans="1:7" ht="15" customHeight="1" x14ac:dyDescent="0.15">
      <c r="A214" t="str">
        <f>IF(Transactions!J206="","",Transactions!J206)</f>
        <v/>
      </c>
      <c r="B214" s="297">
        <f ca="1">IF($A214="",TODAY(),Transactions!G206)</f>
        <v>46216</v>
      </c>
      <c r="C214" s="298" t="str">
        <f>IF($A214="","",Transactions!A206)</f>
        <v/>
      </c>
      <c r="D214" s="30">
        <f>IF($A214="",0,Transactions!H206)</f>
        <v>0</v>
      </c>
      <c r="E214" s="300">
        <f>IF($A214="",1,IFERROR(INDEX(Prices[FX to SGD],MATCH($A214,Prices[Key],0)),1))</f>
        <v>1</v>
      </c>
      <c r="F214" s="30">
        <f>IF($A214="",0,(Transactions!M206-Transactions!L206+IF(Transactions!A206=2,Transactions!H206,0))*$E214)</f>
        <v>0</v>
      </c>
      <c r="G214" s="30">
        <f>IF($A214="",0,IF(Transactions!A206=2,Transactions!H206*$E214,0))</f>
        <v>0</v>
      </c>
    </row>
    <row r="215" spans="1:7" ht="15" customHeight="1" x14ac:dyDescent="0.15">
      <c r="A215" t="str">
        <f>IF(Transactions!J207="","",Transactions!J207)</f>
        <v/>
      </c>
      <c r="B215" s="297">
        <f ca="1">IF($A215="",TODAY(),Transactions!G207)</f>
        <v>46216</v>
      </c>
      <c r="C215" s="298" t="str">
        <f>IF($A215="","",Transactions!A207)</f>
        <v/>
      </c>
      <c r="D215" s="30">
        <f>IF($A215="",0,Transactions!H207)</f>
        <v>0</v>
      </c>
      <c r="E215" s="300">
        <f>IF($A215="",1,IFERROR(INDEX(Prices[FX to SGD],MATCH($A215,Prices[Key],0)),1))</f>
        <v>1</v>
      </c>
      <c r="F215" s="30">
        <f>IF($A215="",0,(Transactions!M207-Transactions!L207+IF(Transactions!A207=2,Transactions!H207,0))*$E215)</f>
        <v>0</v>
      </c>
      <c r="G215" s="30">
        <f>IF($A215="",0,IF(Transactions!A207=2,Transactions!H207*$E215,0))</f>
        <v>0</v>
      </c>
    </row>
    <row r="216" spans="1:7" ht="15" customHeight="1" x14ac:dyDescent="0.15">
      <c r="A216" t="str">
        <f>IF(Transactions!J208="","",Transactions!J208)</f>
        <v/>
      </c>
      <c r="B216" s="297">
        <f ca="1">IF($A216="",TODAY(),Transactions!G208)</f>
        <v>46216</v>
      </c>
      <c r="C216" s="298" t="str">
        <f>IF($A216="","",Transactions!A208)</f>
        <v/>
      </c>
      <c r="D216" s="30">
        <f>IF($A216="",0,Transactions!H208)</f>
        <v>0</v>
      </c>
      <c r="E216" s="300">
        <f>IF($A216="",1,IFERROR(INDEX(Prices[FX to SGD],MATCH($A216,Prices[Key],0)),1))</f>
        <v>1</v>
      </c>
      <c r="F216" s="30">
        <f>IF($A216="",0,(Transactions!M208-Transactions!L208+IF(Transactions!A208=2,Transactions!H208,0))*$E216)</f>
        <v>0</v>
      </c>
      <c r="G216" s="30">
        <f>IF($A216="",0,IF(Transactions!A208=2,Transactions!H208*$E216,0))</f>
        <v>0</v>
      </c>
    </row>
    <row r="217" spans="1:7" ht="15" customHeight="1" x14ac:dyDescent="0.15">
      <c r="A217" t="str">
        <f>IF(Transactions!J209="","",Transactions!J209)</f>
        <v/>
      </c>
      <c r="B217" s="297">
        <f ca="1">IF($A217="",TODAY(),Transactions!G209)</f>
        <v>46216</v>
      </c>
      <c r="C217" s="298" t="str">
        <f>IF($A217="","",Transactions!A209)</f>
        <v/>
      </c>
      <c r="D217" s="30">
        <f>IF($A217="",0,Transactions!H209)</f>
        <v>0</v>
      </c>
      <c r="E217" s="300">
        <f>IF($A217="",1,IFERROR(INDEX(Prices[FX to SGD],MATCH($A217,Prices[Key],0)),1))</f>
        <v>1</v>
      </c>
      <c r="F217" s="30">
        <f>IF($A217="",0,(Transactions!M209-Transactions!L209+IF(Transactions!A209=2,Transactions!H209,0))*$E217)</f>
        <v>0</v>
      </c>
      <c r="G217" s="30">
        <f>IF($A217="",0,IF(Transactions!A209=2,Transactions!H209*$E217,0))</f>
        <v>0</v>
      </c>
    </row>
    <row r="218" spans="1:7" ht="15" customHeight="1" x14ac:dyDescent="0.15">
      <c r="A218" t="str">
        <f>IF(Transactions!J210="","",Transactions!J210)</f>
        <v/>
      </c>
      <c r="B218" s="297">
        <f ca="1">IF($A218="",TODAY(),Transactions!G210)</f>
        <v>46216</v>
      </c>
      <c r="C218" s="298" t="str">
        <f>IF($A218="","",Transactions!A210)</f>
        <v/>
      </c>
      <c r="D218" s="30">
        <f>IF($A218="",0,Transactions!H210)</f>
        <v>0</v>
      </c>
      <c r="E218" s="300">
        <f>IF($A218="",1,IFERROR(INDEX(Prices[FX to SGD],MATCH($A218,Prices[Key],0)),1))</f>
        <v>1</v>
      </c>
      <c r="F218" s="30">
        <f>IF($A218="",0,(Transactions!M210-Transactions!L210+IF(Transactions!A210=2,Transactions!H210,0))*$E218)</f>
        <v>0</v>
      </c>
      <c r="G218" s="30">
        <f>IF($A218="",0,IF(Transactions!A210=2,Transactions!H210*$E218,0))</f>
        <v>0</v>
      </c>
    </row>
    <row r="219" spans="1:7" ht="15" customHeight="1" x14ac:dyDescent="0.15">
      <c r="A219" t="str">
        <f>IF(Transactions!J211="","",Transactions!J211)</f>
        <v/>
      </c>
      <c r="B219" s="297">
        <f ca="1">IF($A219="",TODAY(),Transactions!G211)</f>
        <v>46216</v>
      </c>
      <c r="C219" s="298" t="str">
        <f>IF($A219="","",Transactions!A211)</f>
        <v/>
      </c>
      <c r="D219" s="30">
        <f>IF($A219="",0,Transactions!H211)</f>
        <v>0</v>
      </c>
      <c r="E219" s="300">
        <f>IF($A219="",1,IFERROR(INDEX(Prices[FX to SGD],MATCH($A219,Prices[Key],0)),1))</f>
        <v>1</v>
      </c>
      <c r="F219" s="30">
        <f>IF($A219="",0,(Transactions!M211-Transactions!L211+IF(Transactions!A211=2,Transactions!H211,0))*$E219)</f>
        <v>0</v>
      </c>
      <c r="G219" s="30">
        <f>IF($A219="",0,IF(Transactions!A211=2,Transactions!H211*$E219,0))</f>
        <v>0</v>
      </c>
    </row>
    <row r="220" spans="1:7" ht="15" customHeight="1" x14ac:dyDescent="0.15">
      <c r="A220" t="str">
        <f>IF(Transactions!J212="","",Transactions!J212)</f>
        <v/>
      </c>
      <c r="B220" s="297">
        <f ca="1">IF($A220="",TODAY(),Transactions!G212)</f>
        <v>46216</v>
      </c>
      <c r="C220" s="298" t="str">
        <f>IF($A220="","",Transactions!A212)</f>
        <v/>
      </c>
      <c r="D220" s="30">
        <f>IF($A220="",0,Transactions!H212)</f>
        <v>0</v>
      </c>
      <c r="E220" s="299">
        <f>IF($A220="",1,IFERROR(INDEX(Prices[FX to SGD],MATCH($A220,Prices[Key],0)),1))</f>
        <v>1</v>
      </c>
      <c r="F220" s="30">
        <f>IF($A220="",0,(Transactions!M212-Transactions!L212+IF(Transactions!A212=2,Transactions!H212,0))*$E220)</f>
        <v>0</v>
      </c>
      <c r="G220" s="30">
        <f>IF($A220="",0,IF(Transactions!A212=2,Transactions!H212*$E220,0))</f>
        <v>0</v>
      </c>
    </row>
    <row r="221" spans="1:7" ht="15" customHeight="1" x14ac:dyDescent="0.15">
      <c r="A221" t="str">
        <f>IF(Transactions!J213="","",Transactions!J213)</f>
        <v/>
      </c>
      <c r="B221" s="297">
        <f ca="1">IF($A221="",TODAY(),Transactions!G213)</f>
        <v>46216</v>
      </c>
      <c r="C221" s="298" t="str">
        <f>IF($A221="","",Transactions!A213)</f>
        <v/>
      </c>
      <c r="D221" s="30">
        <f>IF($A221="",0,Transactions!H213)</f>
        <v>0</v>
      </c>
      <c r="E221" s="299">
        <f>IF($A221="",1,IFERROR(INDEX(Prices[FX to SGD],MATCH($A221,Prices[Key],0)),1))</f>
        <v>1</v>
      </c>
      <c r="F221" s="30">
        <f>IF($A221="",0,(Transactions!M213-Transactions!L213+IF(Transactions!A213=2,Transactions!H213,0))*$E221)</f>
        <v>0</v>
      </c>
      <c r="G221" s="30">
        <f>IF($A221="",0,IF(Transactions!A213=2,Transactions!H213*$E221,0))</f>
        <v>0</v>
      </c>
    </row>
    <row r="222" spans="1:7" ht="15" customHeight="1" x14ac:dyDescent="0.15">
      <c r="A222" t="str">
        <f>IF(Transactions!J214="","",Transactions!J214)</f>
        <v/>
      </c>
      <c r="B222" s="297">
        <f ca="1">IF($A222="",TODAY(),Transactions!G214)</f>
        <v>46216</v>
      </c>
      <c r="C222" s="298" t="str">
        <f>IF($A222="","",Transactions!A214)</f>
        <v/>
      </c>
      <c r="D222" s="30">
        <f>IF($A222="",0,Transactions!H214)</f>
        <v>0</v>
      </c>
      <c r="E222" s="300">
        <f>IF($A222="",1,IFERROR(INDEX(Prices[FX to SGD],MATCH($A222,Prices[Key],0)),1))</f>
        <v>1</v>
      </c>
      <c r="F222" s="30">
        <f>IF($A222="",0,(Transactions!M214-Transactions!L214+IF(Transactions!A214=2,Transactions!H214,0))*$E222)</f>
        <v>0</v>
      </c>
      <c r="G222" s="30">
        <f>IF($A222="",0,IF(Transactions!A214=2,Transactions!H214*$E222,0))</f>
        <v>0</v>
      </c>
    </row>
    <row r="223" spans="1:7" ht="15" customHeight="1" x14ac:dyDescent="0.15">
      <c r="A223" t="str">
        <f>IF(Transactions!J215="","",Transactions!J215)</f>
        <v/>
      </c>
      <c r="B223" s="297">
        <f ca="1">IF($A223="",TODAY(),Transactions!G215)</f>
        <v>46216</v>
      </c>
      <c r="C223" s="298" t="str">
        <f>IF($A223="","",Transactions!A215)</f>
        <v/>
      </c>
      <c r="D223" s="30">
        <f>IF($A223="",0,Transactions!H215)</f>
        <v>0</v>
      </c>
      <c r="E223" s="300">
        <f>IF($A223="",1,IFERROR(INDEX(Prices[FX to SGD],MATCH($A223,Prices[Key],0)),1))</f>
        <v>1</v>
      </c>
      <c r="F223" s="30">
        <f>IF($A223="",0,(Transactions!M215-Transactions!L215+IF(Transactions!A215=2,Transactions!H215,0))*$E223)</f>
        <v>0</v>
      </c>
      <c r="G223" s="30">
        <f>IF($A223="",0,IF(Transactions!A215=2,Transactions!H215*$E223,0))</f>
        <v>0</v>
      </c>
    </row>
    <row r="224" spans="1:7" ht="15" customHeight="1" x14ac:dyDescent="0.15">
      <c r="A224" t="str">
        <f>IF(Transactions!J216="","",Transactions!J216)</f>
        <v/>
      </c>
      <c r="B224" s="297">
        <f ca="1">IF($A224="",TODAY(),Transactions!G216)</f>
        <v>46216</v>
      </c>
      <c r="C224" s="298" t="str">
        <f>IF($A224="","",Transactions!A216)</f>
        <v/>
      </c>
      <c r="D224" s="30">
        <f>IF($A224="",0,Transactions!H216)</f>
        <v>0</v>
      </c>
      <c r="E224" s="299">
        <f>IF($A224="",1,IFERROR(INDEX(Prices[FX to SGD],MATCH($A224,Prices[Key],0)),1))</f>
        <v>1</v>
      </c>
      <c r="F224" s="30">
        <f>IF($A224="",0,(Transactions!M216-Transactions!L216+IF(Transactions!A216=2,Transactions!H216,0))*$E224)</f>
        <v>0</v>
      </c>
      <c r="G224" s="30">
        <f>IF($A224="",0,IF(Transactions!A216=2,Transactions!H216*$E224,0))</f>
        <v>0</v>
      </c>
    </row>
    <row r="225" spans="1:7" ht="15" customHeight="1" x14ac:dyDescent="0.15">
      <c r="A225" t="str">
        <f>IF(Transactions!J217="","",Transactions!J217)</f>
        <v/>
      </c>
      <c r="B225" s="297">
        <f ca="1">IF($A225="",TODAY(),Transactions!G217)</f>
        <v>46216</v>
      </c>
      <c r="C225" s="298" t="str">
        <f>IF($A225="","",Transactions!A217)</f>
        <v/>
      </c>
      <c r="D225" s="30">
        <f>IF($A225="",0,Transactions!H217)</f>
        <v>0</v>
      </c>
      <c r="E225" s="300">
        <f>IF($A225="",1,IFERROR(INDEX(Prices[FX to SGD],MATCH($A225,Prices[Key],0)),1))</f>
        <v>1</v>
      </c>
      <c r="F225" s="30">
        <f>IF($A225="",0,(Transactions!M217-Transactions!L217+IF(Transactions!A217=2,Transactions!H217,0))*$E225)</f>
        <v>0</v>
      </c>
      <c r="G225" s="30">
        <f>IF($A225="",0,IF(Transactions!A217=2,Transactions!H217*$E225,0))</f>
        <v>0</v>
      </c>
    </row>
    <row r="226" spans="1:7" ht="15" customHeight="1" x14ac:dyDescent="0.15">
      <c r="A226" t="str">
        <f>IF(Transactions!J218="","",Transactions!J218)</f>
        <v/>
      </c>
      <c r="B226" s="297">
        <f ca="1">IF($A226="",TODAY(),Transactions!G218)</f>
        <v>46216</v>
      </c>
      <c r="C226" s="298" t="str">
        <f>IF($A226="","",Transactions!A218)</f>
        <v/>
      </c>
      <c r="D226" s="30">
        <f>IF($A226="",0,Transactions!H218)</f>
        <v>0</v>
      </c>
      <c r="E226" s="300">
        <f>IF($A226="",1,IFERROR(INDEX(Prices[FX to SGD],MATCH($A226,Prices[Key],0)),1))</f>
        <v>1</v>
      </c>
      <c r="F226" s="30">
        <f>IF($A226="",0,(Transactions!M218-Transactions!L218+IF(Transactions!A218=2,Transactions!H218,0))*$E226)</f>
        <v>0</v>
      </c>
      <c r="G226" s="30">
        <f>IF($A226="",0,IF(Transactions!A218=2,Transactions!H218*$E226,0))</f>
        <v>0</v>
      </c>
    </row>
    <row r="227" spans="1:7" ht="15" customHeight="1" x14ac:dyDescent="0.15">
      <c r="A227" t="str">
        <f>IF(Transactions!J219="","",Transactions!J219)</f>
        <v/>
      </c>
      <c r="B227" s="297">
        <f ca="1">IF($A227="",TODAY(),Transactions!G219)</f>
        <v>46216</v>
      </c>
      <c r="C227" s="298" t="str">
        <f>IF($A227="","",Transactions!A219)</f>
        <v/>
      </c>
      <c r="D227" s="30">
        <f>IF($A227="",0,Transactions!H219)</f>
        <v>0</v>
      </c>
      <c r="E227" s="300">
        <f>IF($A227="",1,IFERROR(INDEX(Prices[FX to SGD],MATCH($A227,Prices[Key],0)),1))</f>
        <v>1</v>
      </c>
      <c r="F227" s="30">
        <f>IF($A227="",0,(Transactions!M219-Transactions!L219+IF(Transactions!A219=2,Transactions!H219,0))*$E227)</f>
        <v>0</v>
      </c>
      <c r="G227" s="30">
        <f>IF($A227="",0,IF(Transactions!A219=2,Transactions!H219*$E227,0))</f>
        <v>0</v>
      </c>
    </row>
    <row r="228" spans="1:7" ht="15" customHeight="1" x14ac:dyDescent="0.15">
      <c r="A228" t="str">
        <f>IF(Transactions!J220="","",Transactions!J220)</f>
        <v/>
      </c>
      <c r="B228" s="297">
        <f ca="1">IF($A228="",TODAY(),Transactions!G220)</f>
        <v>46216</v>
      </c>
      <c r="C228" s="298" t="str">
        <f>IF($A228="","",Transactions!A220)</f>
        <v/>
      </c>
      <c r="D228" s="30">
        <f>IF($A228="",0,Transactions!H220)</f>
        <v>0</v>
      </c>
      <c r="E228" s="300">
        <f>IF($A228="",1,IFERROR(INDEX(Prices[FX to SGD],MATCH($A228,Prices[Key],0)),1))</f>
        <v>1</v>
      </c>
      <c r="F228" s="30">
        <f>IF($A228="",0,(Transactions!M220-Transactions!L220+IF(Transactions!A220=2,Transactions!H220,0))*$E228)</f>
        <v>0</v>
      </c>
      <c r="G228" s="30">
        <f>IF($A228="",0,IF(Transactions!A220=2,Transactions!H220*$E228,0))</f>
        <v>0</v>
      </c>
    </row>
    <row r="229" spans="1:7" ht="15" customHeight="1" x14ac:dyDescent="0.15">
      <c r="A229" t="str">
        <f>IF(Transactions!J221="","",Transactions!J221)</f>
        <v/>
      </c>
      <c r="B229" s="297">
        <f ca="1">IF($A229="",TODAY(),Transactions!G221)</f>
        <v>46216</v>
      </c>
      <c r="C229" s="298" t="str">
        <f>IF($A229="","",Transactions!A221)</f>
        <v/>
      </c>
      <c r="D229" s="30">
        <f>IF($A229="",0,Transactions!H221)</f>
        <v>0</v>
      </c>
      <c r="E229" s="300">
        <f>IF($A229="",1,IFERROR(INDEX(Prices[FX to SGD],MATCH($A229,Prices[Key],0)),1))</f>
        <v>1</v>
      </c>
      <c r="F229" s="30">
        <f>IF($A229="",0,(Transactions!M221-Transactions!L221+IF(Transactions!A221=2,Transactions!H221,0))*$E229)</f>
        <v>0</v>
      </c>
      <c r="G229" s="30">
        <f>IF($A229="",0,IF(Transactions!A221=2,Transactions!H221*$E229,0))</f>
        <v>0</v>
      </c>
    </row>
    <row r="230" spans="1:7" ht="15" customHeight="1" x14ac:dyDescent="0.15">
      <c r="A230" t="str">
        <f>IF(Transactions!J222="","",Transactions!J222)</f>
        <v/>
      </c>
      <c r="B230" s="297">
        <f ca="1">IF($A230="",TODAY(),Transactions!G222)</f>
        <v>46216</v>
      </c>
      <c r="C230" s="298" t="str">
        <f>IF($A230="","",Transactions!A222)</f>
        <v/>
      </c>
      <c r="D230" s="30">
        <f>IF($A230="",0,Transactions!H222)</f>
        <v>0</v>
      </c>
      <c r="E230" s="300">
        <f>IF($A230="",1,IFERROR(INDEX(Prices[FX to SGD],MATCH($A230,Prices[Key],0)),1))</f>
        <v>1</v>
      </c>
      <c r="F230" s="30">
        <f>IF($A230="",0,(Transactions!M222-Transactions!L222+IF(Transactions!A222=2,Transactions!H222,0))*$E230)</f>
        <v>0</v>
      </c>
      <c r="G230" s="30">
        <f>IF($A230="",0,IF(Transactions!A222=2,Transactions!H222*$E230,0))</f>
        <v>0</v>
      </c>
    </row>
    <row r="231" spans="1:7" ht="15" customHeight="1" x14ac:dyDescent="0.15">
      <c r="A231" t="str">
        <f>IF(Transactions!J223="","",Transactions!J223)</f>
        <v/>
      </c>
      <c r="B231" s="297">
        <f ca="1">IF($A231="",TODAY(),Transactions!G223)</f>
        <v>46216</v>
      </c>
      <c r="C231" s="298" t="str">
        <f>IF($A231="","",Transactions!A223)</f>
        <v/>
      </c>
      <c r="D231" s="30">
        <f>IF($A231="",0,Transactions!H223)</f>
        <v>0</v>
      </c>
      <c r="E231" s="300">
        <f>IF($A231="",1,IFERROR(INDEX(Prices[FX to SGD],MATCH($A231,Prices[Key],0)),1))</f>
        <v>1</v>
      </c>
      <c r="F231" s="30">
        <f>IF($A231="",0,(Transactions!M223-Transactions!L223+IF(Transactions!A223=2,Transactions!H223,0))*$E231)</f>
        <v>0</v>
      </c>
      <c r="G231" s="30">
        <f>IF($A231="",0,IF(Transactions!A223=2,Transactions!H223*$E231,0))</f>
        <v>0</v>
      </c>
    </row>
    <row r="232" spans="1:7" ht="15" customHeight="1" x14ac:dyDescent="0.15">
      <c r="A232" t="str">
        <f>IF(Transactions!J224="","",Transactions!J224)</f>
        <v/>
      </c>
      <c r="B232" s="297">
        <f ca="1">IF($A232="",TODAY(),Transactions!G224)</f>
        <v>46216</v>
      </c>
      <c r="C232" s="298" t="str">
        <f>IF($A232="","",Transactions!A224)</f>
        <v/>
      </c>
      <c r="D232" s="30">
        <f>IF($A232="",0,Transactions!H224)</f>
        <v>0</v>
      </c>
      <c r="E232" s="300">
        <f>IF($A232="",1,IFERROR(INDEX(Prices[FX to SGD],MATCH($A232,Prices[Key],0)),1))</f>
        <v>1</v>
      </c>
      <c r="F232" s="30">
        <f>IF($A232="",0,(Transactions!M224-Transactions!L224+IF(Transactions!A224=2,Transactions!H224,0))*$E232)</f>
        <v>0</v>
      </c>
      <c r="G232" s="30">
        <f>IF($A232="",0,IF(Transactions!A224=2,Transactions!H224*$E232,0))</f>
        <v>0</v>
      </c>
    </row>
    <row r="233" spans="1:7" ht="15" customHeight="1" x14ac:dyDescent="0.15">
      <c r="A233" t="str">
        <f>IF(Transactions!J225="","",Transactions!J225)</f>
        <v/>
      </c>
      <c r="B233" s="297">
        <f ca="1">IF($A233="",TODAY(),Transactions!G225)</f>
        <v>46216</v>
      </c>
      <c r="C233" s="298" t="str">
        <f>IF($A233="","",Transactions!A225)</f>
        <v/>
      </c>
      <c r="D233" s="30">
        <f>IF($A233="",0,Transactions!H225)</f>
        <v>0</v>
      </c>
      <c r="E233" s="300">
        <f>IF($A233="",1,IFERROR(INDEX(Prices[FX to SGD],MATCH($A233,Prices[Key],0)),1))</f>
        <v>1</v>
      </c>
      <c r="F233" s="30">
        <f>IF($A233="",0,(Transactions!M225-Transactions!L225+IF(Transactions!A225=2,Transactions!H225,0))*$E233)</f>
        <v>0</v>
      </c>
      <c r="G233" s="30">
        <f>IF($A233="",0,IF(Transactions!A225=2,Transactions!H225*$E233,0))</f>
        <v>0</v>
      </c>
    </row>
    <row r="234" spans="1:7" ht="15" customHeight="1" x14ac:dyDescent="0.15">
      <c r="A234" t="str">
        <f>IF(Transactions!J226="","",Transactions!J226)</f>
        <v/>
      </c>
      <c r="B234" s="297">
        <f ca="1">IF($A234="",TODAY(),Transactions!G226)</f>
        <v>46216</v>
      </c>
      <c r="C234" s="298" t="str">
        <f>IF($A234="","",Transactions!A226)</f>
        <v/>
      </c>
      <c r="D234" s="30">
        <f>IF($A234="",0,Transactions!H226)</f>
        <v>0</v>
      </c>
      <c r="E234" s="300">
        <f>IF($A234="",1,IFERROR(INDEX(Prices[FX to SGD],MATCH($A234,Prices[Key],0)),1))</f>
        <v>1</v>
      </c>
      <c r="F234" s="30">
        <f>IF($A234="",0,(Transactions!M226-Transactions!L226+IF(Transactions!A226=2,Transactions!H226,0))*$E234)</f>
        <v>0</v>
      </c>
      <c r="G234" s="30">
        <f>IF($A234="",0,IF(Transactions!A226=2,Transactions!H226*$E234,0))</f>
        <v>0</v>
      </c>
    </row>
    <row r="235" spans="1:7" ht="15" customHeight="1" x14ac:dyDescent="0.15">
      <c r="A235" t="str">
        <f>IF(Transactions!J227="","",Transactions!J227)</f>
        <v/>
      </c>
      <c r="B235" s="297">
        <f ca="1">IF($A235="",TODAY(),Transactions!G227)</f>
        <v>46216</v>
      </c>
      <c r="C235" s="298" t="str">
        <f>IF($A235="","",Transactions!A227)</f>
        <v/>
      </c>
      <c r="D235" s="30">
        <f>IF($A235="",0,Transactions!H227)</f>
        <v>0</v>
      </c>
      <c r="E235" s="300">
        <f>IF($A235="",1,IFERROR(INDEX(Prices[FX to SGD],MATCH($A235,Prices[Key],0)),1))</f>
        <v>1</v>
      </c>
      <c r="F235" s="30">
        <f>IF($A235="",0,(Transactions!M227-Transactions!L227+IF(Transactions!A227=2,Transactions!H227,0))*$E235)</f>
        <v>0</v>
      </c>
      <c r="G235" s="30">
        <f>IF($A235="",0,IF(Transactions!A227=2,Transactions!H227*$E235,0))</f>
        <v>0</v>
      </c>
    </row>
    <row r="236" spans="1:7" ht="15" customHeight="1" x14ac:dyDescent="0.15">
      <c r="A236" t="str">
        <f>IF(Transactions!J228="","",Transactions!J228)</f>
        <v/>
      </c>
      <c r="B236" s="297">
        <f ca="1">IF($A236="",TODAY(),Transactions!G228)</f>
        <v>46216</v>
      </c>
      <c r="C236" s="298" t="str">
        <f>IF($A236="","",Transactions!A228)</f>
        <v/>
      </c>
      <c r="D236" s="30">
        <f>IF($A236="",0,Transactions!H228)</f>
        <v>0</v>
      </c>
      <c r="E236" s="300">
        <f>IF($A236="",1,IFERROR(INDEX(Prices[FX to SGD],MATCH($A236,Prices[Key],0)),1))</f>
        <v>1</v>
      </c>
      <c r="F236" s="30">
        <f>IF($A236="",0,(Transactions!M228-Transactions!L228+IF(Transactions!A228=2,Transactions!H228,0))*$E236)</f>
        <v>0</v>
      </c>
      <c r="G236" s="30">
        <f>IF($A236="",0,IF(Transactions!A228=2,Transactions!H228*$E236,0))</f>
        <v>0</v>
      </c>
    </row>
    <row r="237" spans="1:7" ht="15" customHeight="1" x14ac:dyDescent="0.15">
      <c r="A237" t="str">
        <f>IF(Transactions!J229="","",Transactions!J229)</f>
        <v/>
      </c>
      <c r="B237" s="297">
        <f ca="1">IF($A237="",TODAY(),Transactions!G229)</f>
        <v>46216</v>
      </c>
      <c r="C237" s="298" t="str">
        <f>IF($A237="","",Transactions!A229)</f>
        <v/>
      </c>
      <c r="D237" s="30">
        <f>IF($A237="",0,Transactions!H229)</f>
        <v>0</v>
      </c>
      <c r="E237" s="300">
        <f>IF($A237="",1,IFERROR(INDEX(Prices[FX to SGD],MATCH($A237,Prices[Key],0)),1))</f>
        <v>1</v>
      </c>
      <c r="F237" s="30">
        <f>IF($A237="",0,(Transactions!M229-Transactions!L229+IF(Transactions!A229=2,Transactions!H229,0))*$E237)</f>
        <v>0</v>
      </c>
      <c r="G237" s="30">
        <f>IF($A237="",0,IF(Transactions!A229=2,Transactions!H229*$E237,0))</f>
        <v>0</v>
      </c>
    </row>
    <row r="238" spans="1:7" ht="15" customHeight="1" x14ac:dyDescent="0.15">
      <c r="A238" t="str">
        <f>IF(Transactions!J230="","",Transactions!J230)</f>
        <v/>
      </c>
      <c r="B238" s="297">
        <f ca="1">IF($A238="",TODAY(),Transactions!G230)</f>
        <v>46216</v>
      </c>
      <c r="C238" s="298" t="str">
        <f>IF($A238="","",Transactions!A230)</f>
        <v/>
      </c>
      <c r="D238" s="30">
        <f>IF($A238="",0,Transactions!H230)</f>
        <v>0</v>
      </c>
      <c r="E238" s="300">
        <f>IF($A238="",1,IFERROR(INDEX(Prices[FX to SGD],MATCH($A238,Prices[Key],0)),1))</f>
        <v>1</v>
      </c>
      <c r="F238" s="30">
        <f>IF($A238="",0,(Transactions!M230-Transactions!L230+IF(Transactions!A230=2,Transactions!H230,0))*$E238)</f>
        <v>0</v>
      </c>
      <c r="G238" s="30">
        <f>IF($A238="",0,IF(Transactions!A230=2,Transactions!H230*$E238,0))</f>
        <v>0</v>
      </c>
    </row>
    <row r="239" spans="1:7" ht="15" customHeight="1" x14ac:dyDescent="0.15">
      <c r="A239" t="str">
        <f>IF(Transactions!J231="","",Transactions!J231)</f>
        <v/>
      </c>
      <c r="B239" s="297">
        <f ca="1">IF($A239="",TODAY(),Transactions!G231)</f>
        <v>46216</v>
      </c>
      <c r="C239" s="298" t="str">
        <f>IF($A239="","",Transactions!A231)</f>
        <v/>
      </c>
      <c r="D239" s="30">
        <f>IF($A239="",0,Transactions!H231)</f>
        <v>0</v>
      </c>
      <c r="E239" s="300">
        <f>IF($A239="",1,IFERROR(INDEX(Prices[FX to SGD],MATCH($A239,Prices[Key],0)),1))</f>
        <v>1</v>
      </c>
      <c r="F239" s="30">
        <f>IF($A239="",0,(Transactions!M231-Transactions!L231+IF(Transactions!A231=2,Transactions!H231,0))*$E239)</f>
        <v>0</v>
      </c>
      <c r="G239" s="30">
        <f>IF($A239="",0,IF(Transactions!A231=2,Transactions!H231*$E239,0))</f>
        <v>0</v>
      </c>
    </row>
    <row r="240" spans="1:7" ht="15" customHeight="1" x14ac:dyDescent="0.15">
      <c r="A240" t="str">
        <f>IF(Transactions!J232="","",Transactions!J232)</f>
        <v/>
      </c>
      <c r="B240" s="297">
        <f ca="1">IF($A240="",TODAY(),Transactions!G232)</f>
        <v>46216</v>
      </c>
      <c r="C240" s="298" t="str">
        <f>IF($A240="","",Transactions!A232)</f>
        <v/>
      </c>
      <c r="D240" s="30">
        <f>IF($A240="",0,Transactions!H232)</f>
        <v>0</v>
      </c>
      <c r="E240" s="300">
        <f>IF($A240="",1,IFERROR(INDEX(Prices[FX to SGD],MATCH($A240,Prices[Key],0)),1))</f>
        <v>1</v>
      </c>
      <c r="F240" s="30">
        <f>IF($A240="",0,(Transactions!M232-Transactions!L232+IF(Transactions!A232=2,Transactions!H232,0))*$E240)</f>
        <v>0</v>
      </c>
      <c r="G240" s="30">
        <f>IF($A240="",0,IF(Transactions!A232=2,Transactions!H232*$E240,0))</f>
        <v>0</v>
      </c>
    </row>
    <row r="241" spans="1:7" ht="15" customHeight="1" x14ac:dyDescent="0.15">
      <c r="A241" t="str">
        <f>IF(Transactions!J233="","",Transactions!J233)</f>
        <v/>
      </c>
      <c r="B241" s="297">
        <f ca="1">IF($A241="",TODAY(),Transactions!G233)</f>
        <v>46216</v>
      </c>
      <c r="C241" s="298" t="str">
        <f>IF($A241="","",Transactions!A233)</f>
        <v/>
      </c>
      <c r="D241" s="30">
        <f>IF($A241="",0,Transactions!H233)</f>
        <v>0</v>
      </c>
      <c r="E241" s="300">
        <f>IF($A241="",1,IFERROR(INDEX(Prices[FX to SGD],MATCH($A241,Prices[Key],0)),1))</f>
        <v>1</v>
      </c>
      <c r="F241" s="30">
        <f>IF($A241="",0,(Transactions!M233-Transactions!L233+IF(Transactions!A233=2,Transactions!H233,0))*$E241)</f>
        <v>0</v>
      </c>
      <c r="G241" s="30">
        <f>IF($A241="",0,IF(Transactions!A233=2,Transactions!H233*$E241,0))</f>
        <v>0</v>
      </c>
    </row>
    <row r="242" spans="1:7" ht="15" customHeight="1" x14ac:dyDescent="0.15">
      <c r="A242" t="str">
        <f>IF(Transactions!J234="","",Transactions!J234)</f>
        <v/>
      </c>
      <c r="B242" s="297">
        <f ca="1">IF($A242="",TODAY(),Transactions!G234)</f>
        <v>46216</v>
      </c>
      <c r="C242" s="298" t="str">
        <f>IF($A242="","",Transactions!A234)</f>
        <v/>
      </c>
      <c r="D242" s="30">
        <f>IF($A242="",0,Transactions!H234)</f>
        <v>0</v>
      </c>
      <c r="E242" s="300">
        <f>IF($A242="",1,IFERROR(INDEX(Prices[FX to SGD],MATCH($A242,Prices[Key],0)),1))</f>
        <v>1</v>
      </c>
      <c r="F242" s="30">
        <f>IF($A242="",0,(Transactions!M234-Transactions!L234+IF(Transactions!A234=2,Transactions!H234,0))*$E242)</f>
        <v>0</v>
      </c>
      <c r="G242" s="30">
        <f>IF($A242="",0,IF(Transactions!A234=2,Transactions!H234*$E242,0))</f>
        <v>0</v>
      </c>
    </row>
    <row r="243" spans="1:7" ht="15" customHeight="1" x14ac:dyDescent="0.15">
      <c r="A243" t="str">
        <f>IF(Transactions!J235="","",Transactions!J235)</f>
        <v/>
      </c>
      <c r="B243" s="297">
        <f ca="1">IF($A243="",TODAY(),Transactions!G235)</f>
        <v>46216</v>
      </c>
      <c r="C243" s="298" t="str">
        <f>IF($A243="","",Transactions!A235)</f>
        <v/>
      </c>
      <c r="D243" s="30">
        <f>IF($A243="",0,Transactions!H235)</f>
        <v>0</v>
      </c>
      <c r="E243" s="300">
        <f>IF($A243="",1,IFERROR(INDEX(Prices[FX to SGD],MATCH($A243,Prices[Key],0)),1))</f>
        <v>1</v>
      </c>
      <c r="F243" s="30">
        <f>IF($A243="",0,(Transactions!M235-Transactions!L235+IF(Transactions!A235=2,Transactions!H235,0))*$E243)</f>
        <v>0</v>
      </c>
      <c r="G243" s="30">
        <f>IF($A243="",0,IF(Transactions!A235=2,Transactions!H235*$E243,0))</f>
        <v>0</v>
      </c>
    </row>
    <row r="244" spans="1:7" ht="15" customHeight="1" x14ac:dyDescent="0.15">
      <c r="A244" t="str">
        <f>IF(Transactions!J236="","",Transactions!J236)</f>
        <v/>
      </c>
      <c r="B244" s="297">
        <f ca="1">IF($A244="",TODAY(),Transactions!G236)</f>
        <v>46216</v>
      </c>
      <c r="C244" s="298" t="str">
        <f>IF($A244="","",Transactions!A236)</f>
        <v/>
      </c>
      <c r="D244" s="30">
        <f>IF($A244="",0,Transactions!H236)</f>
        <v>0</v>
      </c>
      <c r="E244" s="300">
        <f>IF($A244="",1,IFERROR(INDEX(Prices[FX to SGD],MATCH($A244,Prices[Key],0)),1))</f>
        <v>1</v>
      </c>
      <c r="F244" s="30">
        <f>IF($A244="",0,(Transactions!M236-Transactions!L236+IF(Transactions!A236=2,Transactions!H236,0))*$E244)</f>
        <v>0</v>
      </c>
      <c r="G244" s="30">
        <f>IF($A244="",0,IF(Transactions!A236=2,Transactions!H236*$E244,0))</f>
        <v>0</v>
      </c>
    </row>
    <row r="245" spans="1:7" ht="15" customHeight="1" x14ac:dyDescent="0.15">
      <c r="A245" t="str">
        <f>IF(Transactions!J237="","",Transactions!J237)</f>
        <v/>
      </c>
      <c r="B245" s="297">
        <f ca="1">IF($A245="",TODAY(),Transactions!G237)</f>
        <v>46216</v>
      </c>
      <c r="C245" s="298" t="str">
        <f>IF($A245="","",Transactions!A237)</f>
        <v/>
      </c>
      <c r="D245" s="30">
        <f>IF($A245="",0,Transactions!H237)</f>
        <v>0</v>
      </c>
      <c r="E245" s="300">
        <f>IF($A245="",1,IFERROR(INDEX(Prices[FX to SGD],MATCH($A245,Prices[Key],0)),1))</f>
        <v>1</v>
      </c>
      <c r="F245" s="30">
        <f>IF($A245="",0,(Transactions!M237-Transactions!L237+IF(Transactions!A237=2,Transactions!H237,0))*$E245)</f>
        <v>0</v>
      </c>
      <c r="G245" s="30">
        <f>IF($A245="",0,IF(Transactions!A237=2,Transactions!H237*$E245,0))</f>
        <v>0</v>
      </c>
    </row>
    <row r="246" spans="1:7" ht="15" customHeight="1" x14ac:dyDescent="0.15">
      <c r="A246" t="str">
        <f>IF(Transactions!J238="","",Transactions!J238)</f>
        <v/>
      </c>
      <c r="B246" s="297">
        <f ca="1">IF($A246="",TODAY(),Transactions!G238)</f>
        <v>46216</v>
      </c>
      <c r="C246" s="298" t="str">
        <f>IF($A246="","",Transactions!A238)</f>
        <v/>
      </c>
      <c r="D246" s="30">
        <f>IF($A246="",0,Transactions!H238)</f>
        <v>0</v>
      </c>
      <c r="E246" s="300">
        <f>IF($A246="",1,IFERROR(INDEX(Prices[FX to SGD],MATCH($A246,Prices[Key],0)),1))</f>
        <v>1</v>
      </c>
      <c r="F246" s="30">
        <f>IF($A246="",0,(Transactions!M238-Transactions!L238+IF(Transactions!A238=2,Transactions!H238,0))*$E246)</f>
        <v>0</v>
      </c>
      <c r="G246" s="30">
        <f>IF($A246="",0,IF(Transactions!A238=2,Transactions!H238*$E246,0))</f>
        <v>0</v>
      </c>
    </row>
    <row r="247" spans="1:7" ht="15" customHeight="1" x14ac:dyDescent="0.15">
      <c r="A247" t="str">
        <f>IF(Transactions!J239="","",Transactions!J239)</f>
        <v/>
      </c>
      <c r="B247" s="297">
        <f ca="1">IF($A247="",TODAY(),Transactions!G239)</f>
        <v>46216</v>
      </c>
      <c r="C247" s="298" t="str">
        <f>IF($A247="","",Transactions!A239)</f>
        <v/>
      </c>
      <c r="D247" s="30">
        <f>IF($A247="",0,Transactions!H239)</f>
        <v>0</v>
      </c>
      <c r="E247" s="300">
        <f>IF($A247="",1,IFERROR(INDEX(Prices[FX to SGD],MATCH($A247,Prices[Key],0)),1))</f>
        <v>1</v>
      </c>
      <c r="F247" s="30">
        <f>IF($A247="",0,(Transactions!M239-Transactions!L239+IF(Transactions!A239=2,Transactions!H239,0))*$E247)</f>
        <v>0</v>
      </c>
      <c r="G247" s="30">
        <f>IF($A247="",0,IF(Transactions!A239=2,Transactions!H239*$E247,0))</f>
        <v>0</v>
      </c>
    </row>
    <row r="248" spans="1:7" ht="15" customHeight="1" x14ac:dyDescent="0.15">
      <c r="A248" t="str">
        <f>IF(Transactions!J240="","",Transactions!J240)</f>
        <v/>
      </c>
      <c r="B248" s="297">
        <f ca="1">IF($A248="",TODAY(),Transactions!G240)</f>
        <v>46216</v>
      </c>
      <c r="C248" s="298" t="str">
        <f>IF($A248="","",Transactions!A240)</f>
        <v/>
      </c>
      <c r="D248" s="30">
        <f>IF($A248="",0,Transactions!H240)</f>
        <v>0</v>
      </c>
      <c r="E248" s="300">
        <f>IF($A248="",1,IFERROR(INDEX(Prices[FX to SGD],MATCH($A248,Prices[Key],0)),1))</f>
        <v>1</v>
      </c>
      <c r="F248" s="30">
        <f>IF($A248="",0,(Transactions!M240-Transactions!L240+IF(Transactions!A240=2,Transactions!H240,0))*$E248)</f>
        <v>0</v>
      </c>
      <c r="G248" s="30">
        <f>IF($A248="",0,IF(Transactions!A240=2,Transactions!H240*$E248,0))</f>
        <v>0</v>
      </c>
    </row>
    <row r="249" spans="1:7" ht="15" customHeight="1" x14ac:dyDescent="0.15">
      <c r="A249" t="str">
        <f>IF(Transactions!J241="","",Transactions!J241)</f>
        <v/>
      </c>
      <c r="B249" s="297">
        <f ca="1">IF($A249="",TODAY(),Transactions!G241)</f>
        <v>46216</v>
      </c>
      <c r="C249" s="298" t="str">
        <f>IF($A249="","",Transactions!A241)</f>
        <v/>
      </c>
      <c r="D249" s="30">
        <f>IF($A249="",0,Transactions!H241)</f>
        <v>0</v>
      </c>
      <c r="E249" s="300">
        <f>IF($A249="",1,IFERROR(INDEX(Prices[FX to SGD],MATCH($A249,Prices[Key],0)),1))</f>
        <v>1</v>
      </c>
      <c r="F249" s="30">
        <f>IF($A249="",0,(Transactions!M241-Transactions!L241+IF(Transactions!A241=2,Transactions!H241,0))*$E249)</f>
        <v>0</v>
      </c>
      <c r="G249" s="30">
        <f>IF($A249="",0,IF(Transactions!A241=2,Transactions!H241*$E249,0))</f>
        <v>0</v>
      </c>
    </row>
    <row r="250" spans="1:7" ht="15" customHeight="1" x14ac:dyDescent="0.15">
      <c r="A250" t="str">
        <f>IF(Transactions!J242="","",Transactions!J242)</f>
        <v/>
      </c>
      <c r="B250" s="297">
        <f ca="1">IF($A250="",TODAY(),Transactions!G242)</f>
        <v>46216</v>
      </c>
      <c r="C250" s="298" t="str">
        <f>IF($A250="","",Transactions!A242)</f>
        <v/>
      </c>
      <c r="D250" s="30">
        <f>IF($A250="",0,Transactions!H242)</f>
        <v>0</v>
      </c>
      <c r="E250" s="300">
        <f>IF($A250="",1,IFERROR(INDEX(Prices[FX to SGD],MATCH($A250,Prices[Key],0)),1))</f>
        <v>1</v>
      </c>
      <c r="F250" s="30">
        <f>IF($A250="",0,(Transactions!M242-Transactions!L242+IF(Transactions!A242=2,Transactions!H242,0))*$E250)</f>
        <v>0</v>
      </c>
      <c r="G250" s="30">
        <f>IF($A250="",0,IF(Transactions!A242=2,Transactions!H242*$E250,0))</f>
        <v>0</v>
      </c>
    </row>
    <row r="251" spans="1:7" ht="15" customHeight="1" x14ac:dyDescent="0.15">
      <c r="A251" t="str">
        <f>IF(Transactions!J243="","",Transactions!J243)</f>
        <v/>
      </c>
      <c r="B251" s="297">
        <f ca="1">IF($A251="",TODAY(),Transactions!G243)</f>
        <v>46216</v>
      </c>
      <c r="C251" s="298" t="str">
        <f>IF($A251="","",Transactions!A243)</f>
        <v/>
      </c>
      <c r="D251" s="30">
        <f>IF($A251="",0,Transactions!H243)</f>
        <v>0</v>
      </c>
      <c r="E251" s="300">
        <f>IF($A251="",1,IFERROR(INDEX(Prices[FX to SGD],MATCH($A251,Prices[Key],0)),1))</f>
        <v>1</v>
      </c>
      <c r="F251" s="30">
        <f>IF($A251="",0,(Transactions!M243-Transactions!L243+IF(Transactions!A243=2,Transactions!H243,0))*$E251)</f>
        <v>0</v>
      </c>
      <c r="G251" s="30">
        <f>IF($A251="",0,IF(Transactions!A243=2,Transactions!H243*$E251,0))</f>
        <v>0</v>
      </c>
    </row>
    <row r="252" spans="1:7" ht="15" customHeight="1" x14ac:dyDescent="0.15">
      <c r="A252" t="str">
        <f>IF(Transactions!J244="","",Transactions!J244)</f>
        <v/>
      </c>
      <c r="B252" s="297">
        <f ca="1">IF($A252="",TODAY(),Transactions!G244)</f>
        <v>46216</v>
      </c>
      <c r="C252" s="298" t="str">
        <f>IF($A252="","",Transactions!A244)</f>
        <v/>
      </c>
      <c r="D252" s="30">
        <f>IF($A252="",0,Transactions!H244)</f>
        <v>0</v>
      </c>
      <c r="E252" s="300">
        <f>IF($A252="",1,IFERROR(INDEX(Prices[FX to SGD],MATCH($A252,Prices[Key],0)),1))</f>
        <v>1</v>
      </c>
      <c r="F252" s="30">
        <f>IF($A252="",0,(Transactions!M244-Transactions!L244+IF(Transactions!A244=2,Transactions!H244,0))*$E252)</f>
        <v>0</v>
      </c>
      <c r="G252" s="30">
        <f>IF($A252="",0,IF(Transactions!A244=2,Transactions!H244*$E252,0))</f>
        <v>0</v>
      </c>
    </row>
    <row r="253" spans="1:7" ht="15" customHeight="1" x14ac:dyDescent="0.15">
      <c r="A253" t="str">
        <f>IF(Transactions!J245="","",Transactions!J245)</f>
        <v/>
      </c>
      <c r="B253" s="297">
        <f ca="1">IF($A253="",TODAY(),Transactions!G245)</f>
        <v>46216</v>
      </c>
      <c r="C253" s="298" t="str">
        <f>IF($A253="","",Transactions!A245)</f>
        <v/>
      </c>
      <c r="D253" s="30">
        <f>IF($A253="",0,Transactions!H245)</f>
        <v>0</v>
      </c>
      <c r="E253" s="300">
        <f>IF($A253="",1,IFERROR(INDEX(Prices[FX to SGD],MATCH($A253,Prices[Key],0)),1))</f>
        <v>1</v>
      </c>
      <c r="F253" s="30">
        <f>IF($A253="",0,(Transactions!M245-Transactions!L245+IF(Transactions!A245=2,Transactions!H245,0))*$E253)</f>
        <v>0</v>
      </c>
      <c r="G253" s="30">
        <f>IF($A253="",0,IF(Transactions!A245=2,Transactions!H245*$E253,0))</f>
        <v>0</v>
      </c>
    </row>
    <row r="254" spans="1:7" ht="15" customHeight="1" x14ac:dyDescent="0.15">
      <c r="A254" t="str">
        <f>IF(Transactions!J246="","",Transactions!J246)</f>
        <v/>
      </c>
      <c r="B254" s="297">
        <f ca="1">IF($A254="",TODAY(),Transactions!G246)</f>
        <v>46216</v>
      </c>
      <c r="C254" s="298" t="str">
        <f>IF($A254="","",Transactions!A246)</f>
        <v/>
      </c>
      <c r="D254" s="30">
        <f>IF($A254="",0,Transactions!H246)</f>
        <v>0</v>
      </c>
      <c r="E254" s="300">
        <f>IF($A254="",1,IFERROR(INDEX(Prices[FX to SGD],MATCH($A254,Prices[Key],0)),1))</f>
        <v>1</v>
      </c>
      <c r="F254" s="30">
        <f>IF($A254="",0,(Transactions!M246-Transactions!L246+IF(Transactions!A246=2,Transactions!H246,0))*$E254)</f>
        <v>0</v>
      </c>
      <c r="G254" s="30">
        <f>IF($A254="",0,IF(Transactions!A246=2,Transactions!H246*$E254,0))</f>
        <v>0</v>
      </c>
    </row>
    <row r="255" spans="1:7" ht="15" customHeight="1" x14ac:dyDescent="0.15">
      <c r="A255" t="str">
        <f>IF(Transactions!J247="","",Transactions!J247)</f>
        <v/>
      </c>
      <c r="B255" s="297">
        <f ca="1">IF($A255="",TODAY(),Transactions!G247)</f>
        <v>46216</v>
      </c>
      <c r="C255" s="298" t="str">
        <f>IF($A255="","",Transactions!A247)</f>
        <v/>
      </c>
      <c r="D255" s="30">
        <f>IF($A255="",0,Transactions!H247)</f>
        <v>0</v>
      </c>
      <c r="E255" s="300">
        <f>IF($A255="",1,IFERROR(INDEX(Prices[FX to SGD],MATCH($A255,Prices[Key],0)),1))</f>
        <v>1</v>
      </c>
      <c r="F255" s="30">
        <f>IF($A255="",0,(Transactions!M247-Transactions!L247+IF(Transactions!A247=2,Transactions!H247,0))*$E255)</f>
        <v>0</v>
      </c>
      <c r="G255" s="30">
        <f>IF($A255="",0,IF(Transactions!A247=2,Transactions!H247*$E255,0))</f>
        <v>0</v>
      </c>
    </row>
    <row r="256" spans="1:7" ht="15" customHeight="1" x14ac:dyDescent="0.15">
      <c r="A256" t="str">
        <f>IF(Transactions!J248="","",Transactions!J248)</f>
        <v/>
      </c>
      <c r="B256" s="297">
        <f ca="1">IF($A256="",TODAY(),Transactions!G248)</f>
        <v>46216</v>
      </c>
      <c r="C256" s="298" t="str">
        <f>IF($A256="","",Transactions!A248)</f>
        <v/>
      </c>
      <c r="D256" s="30">
        <f>IF($A256="",0,Transactions!H248)</f>
        <v>0</v>
      </c>
      <c r="E256" s="300">
        <f>IF($A256="",1,IFERROR(INDEX(Prices[FX to SGD],MATCH($A256,Prices[Key],0)),1))</f>
        <v>1</v>
      </c>
      <c r="F256" s="30">
        <f>IF($A256="",0,(Transactions!M248-Transactions!L248+IF(Transactions!A248=2,Transactions!H248,0))*$E256)</f>
        <v>0</v>
      </c>
      <c r="G256" s="30">
        <f>IF($A256="",0,IF(Transactions!A248=2,Transactions!H248*$E256,0))</f>
        <v>0</v>
      </c>
    </row>
    <row r="257" spans="1:7" ht="15" customHeight="1" x14ac:dyDescent="0.15">
      <c r="A257" t="str">
        <f>IF(Transactions!J249="","",Transactions!J249)</f>
        <v/>
      </c>
      <c r="B257" s="297">
        <f ca="1">IF($A257="",TODAY(),Transactions!G249)</f>
        <v>46216</v>
      </c>
      <c r="C257" s="298" t="str">
        <f>IF($A257="","",Transactions!A249)</f>
        <v/>
      </c>
      <c r="D257" s="30">
        <f>IF($A257="",0,Transactions!H249)</f>
        <v>0</v>
      </c>
      <c r="E257" s="300">
        <f>IF($A257="",1,IFERROR(INDEX(Prices[FX to SGD],MATCH($A257,Prices[Key],0)),1))</f>
        <v>1</v>
      </c>
      <c r="F257" s="30">
        <f>IF($A257="",0,(Transactions!M249-Transactions!L249+IF(Transactions!A249=2,Transactions!H249,0))*$E257)</f>
        <v>0</v>
      </c>
      <c r="G257" s="30">
        <f>IF($A257="",0,IF(Transactions!A249=2,Transactions!H249*$E257,0))</f>
        <v>0</v>
      </c>
    </row>
    <row r="258" spans="1:7" ht="15" customHeight="1" x14ac:dyDescent="0.15">
      <c r="A258" t="str">
        <f>IF(Transactions!J250="","",Transactions!J250)</f>
        <v/>
      </c>
      <c r="B258" s="297">
        <f ca="1">IF($A258="",TODAY(),Transactions!G250)</f>
        <v>46216</v>
      </c>
      <c r="C258" s="298" t="str">
        <f>IF($A258="","",Transactions!A250)</f>
        <v/>
      </c>
      <c r="D258" s="30">
        <f>IF($A258="",0,Transactions!H250)</f>
        <v>0</v>
      </c>
      <c r="E258" s="300">
        <f>IF($A258="",1,IFERROR(INDEX(Prices[FX to SGD],MATCH($A258,Prices[Key],0)),1))</f>
        <v>1</v>
      </c>
      <c r="F258" s="30">
        <f>IF($A258="",0,(Transactions!M250-Transactions!L250+IF(Transactions!A250=2,Transactions!H250,0))*$E258)</f>
        <v>0</v>
      </c>
      <c r="G258" s="30">
        <f>IF($A258="",0,IF(Transactions!A250=2,Transactions!H250*$E258,0))</f>
        <v>0</v>
      </c>
    </row>
    <row r="259" spans="1:7" ht="15" customHeight="1" x14ac:dyDescent="0.15">
      <c r="A259" t="str">
        <f>IF(Transactions!J251="","",Transactions!J251)</f>
        <v/>
      </c>
      <c r="B259" s="297">
        <f ca="1">IF($A259="",TODAY(),Transactions!G251)</f>
        <v>46216</v>
      </c>
      <c r="C259" s="298" t="str">
        <f>IF($A259="","",Transactions!A251)</f>
        <v/>
      </c>
      <c r="D259" s="30">
        <f>IF($A259="",0,Transactions!H251)</f>
        <v>0</v>
      </c>
      <c r="E259" s="300">
        <f>IF($A259="",1,IFERROR(INDEX(Prices[FX to SGD],MATCH($A259,Prices[Key],0)),1))</f>
        <v>1</v>
      </c>
      <c r="F259" s="30">
        <f>IF($A259="",0,(Transactions!M251-Transactions!L251+IF(Transactions!A251=2,Transactions!H251,0))*$E259)</f>
        <v>0</v>
      </c>
      <c r="G259" s="30">
        <f>IF($A259="",0,IF(Transactions!A251=2,Transactions!H251*$E259,0))</f>
        <v>0</v>
      </c>
    </row>
    <row r="260" spans="1:7" ht="15" customHeight="1" x14ac:dyDescent="0.15">
      <c r="A260" t="str">
        <f>IF(Transactions!J252="","",Transactions!J252)</f>
        <v/>
      </c>
      <c r="B260" s="297">
        <f ca="1">IF($A260="",TODAY(),Transactions!G252)</f>
        <v>46216</v>
      </c>
      <c r="C260" s="298" t="str">
        <f>IF($A260="","",Transactions!A252)</f>
        <v/>
      </c>
      <c r="D260" s="30">
        <f>IF($A260="",0,Transactions!H252)</f>
        <v>0</v>
      </c>
      <c r="E260" s="300">
        <f>IF($A260="",1,IFERROR(INDEX(Prices[FX to SGD],MATCH($A260,Prices[Key],0)),1))</f>
        <v>1</v>
      </c>
      <c r="F260" s="30">
        <f>IF($A260="",0,(Transactions!M252-Transactions!L252+IF(Transactions!A252=2,Transactions!H252,0))*$E260)</f>
        <v>0</v>
      </c>
      <c r="G260" s="30">
        <f>IF($A260="",0,IF(Transactions!A252=2,Transactions!H252*$E260,0))</f>
        <v>0</v>
      </c>
    </row>
    <row r="261" spans="1:7" ht="15" customHeight="1" x14ac:dyDescent="0.15">
      <c r="A261" t="str">
        <f>IF(Transactions!J253="","",Transactions!J253)</f>
        <v/>
      </c>
      <c r="B261" s="297">
        <f ca="1">IF($A261="",TODAY(),Transactions!G253)</f>
        <v>46216</v>
      </c>
      <c r="C261" s="298" t="str">
        <f>IF($A261="","",Transactions!A253)</f>
        <v/>
      </c>
      <c r="D261" s="30">
        <f>IF($A261="",0,Transactions!H253)</f>
        <v>0</v>
      </c>
      <c r="E261" s="300">
        <f>IF($A261="",1,IFERROR(INDEX(Prices[FX to SGD],MATCH($A261,Prices[Key],0)),1))</f>
        <v>1</v>
      </c>
      <c r="F261" s="30">
        <f>IF($A261="",0,(Transactions!M253-Transactions!L253+IF(Transactions!A253=2,Transactions!H253,0))*$E261)</f>
        <v>0</v>
      </c>
      <c r="G261" s="30">
        <f>IF($A261="",0,IF(Transactions!A253=2,Transactions!H253*$E261,0))</f>
        <v>0</v>
      </c>
    </row>
    <row r="262" spans="1:7" ht="15" customHeight="1" x14ac:dyDescent="0.15">
      <c r="A262" t="str">
        <f>IF(Transactions!J254="","",Transactions!J254)</f>
        <v/>
      </c>
      <c r="B262" s="297">
        <f ca="1">IF($A262="",TODAY(),Transactions!G254)</f>
        <v>46216</v>
      </c>
      <c r="C262" s="298" t="str">
        <f>IF($A262="","",Transactions!A254)</f>
        <v/>
      </c>
      <c r="D262" s="30">
        <f>IF($A262="",0,Transactions!H254)</f>
        <v>0</v>
      </c>
      <c r="E262" s="300">
        <f>IF($A262="",1,IFERROR(INDEX(Prices[FX to SGD],MATCH($A262,Prices[Key],0)),1))</f>
        <v>1</v>
      </c>
      <c r="F262" s="30">
        <f>IF($A262="",0,(Transactions!M254-Transactions!L254+IF(Transactions!A254=2,Transactions!H254,0))*$E262)</f>
        <v>0</v>
      </c>
      <c r="G262" s="30">
        <f>IF($A262="",0,IF(Transactions!A254=2,Transactions!H254*$E262,0))</f>
        <v>0</v>
      </c>
    </row>
    <row r="263" spans="1:7" ht="15" customHeight="1" x14ac:dyDescent="0.15">
      <c r="A263" t="str">
        <f>IF(Transactions!J255="","",Transactions!J255)</f>
        <v/>
      </c>
      <c r="B263" s="297">
        <f ca="1">IF($A263="",TODAY(),Transactions!G255)</f>
        <v>46216</v>
      </c>
      <c r="C263" s="298" t="str">
        <f>IF($A263="","",Transactions!A255)</f>
        <v/>
      </c>
      <c r="D263" s="30">
        <f>IF($A263="",0,Transactions!H255)</f>
        <v>0</v>
      </c>
      <c r="E263" s="300">
        <f>IF($A263="",1,IFERROR(INDEX(Prices[FX to SGD],MATCH($A263,Prices[Key],0)),1))</f>
        <v>1</v>
      </c>
      <c r="F263" s="30">
        <f>IF($A263="",0,(Transactions!M255-Transactions!L255+IF(Transactions!A255=2,Transactions!H255,0))*$E263)</f>
        <v>0</v>
      </c>
      <c r="G263" s="30">
        <f>IF($A263="",0,IF(Transactions!A255=2,Transactions!H255*$E263,0))</f>
        <v>0</v>
      </c>
    </row>
    <row r="264" spans="1:7" ht="15" customHeight="1" x14ac:dyDescent="0.15">
      <c r="A264" t="str">
        <f>IF(Transactions!J256="","",Transactions!J256)</f>
        <v/>
      </c>
      <c r="B264" s="297">
        <f ca="1">IF($A264="",TODAY(),Transactions!G256)</f>
        <v>46216</v>
      </c>
      <c r="C264" s="298" t="str">
        <f>IF($A264="","",Transactions!A256)</f>
        <v/>
      </c>
      <c r="D264" s="30">
        <f>IF($A264="",0,Transactions!H256)</f>
        <v>0</v>
      </c>
      <c r="E264" s="300">
        <f>IF($A264="",1,IFERROR(INDEX(Prices[FX to SGD],MATCH($A264,Prices[Key],0)),1))</f>
        <v>1</v>
      </c>
      <c r="F264" s="30">
        <f>IF($A264="",0,(Transactions!M256-Transactions!L256+IF(Transactions!A256=2,Transactions!H256,0))*$E264)</f>
        <v>0</v>
      </c>
      <c r="G264" s="30">
        <f>IF($A264="",0,IF(Transactions!A256=2,Transactions!H256*$E264,0))</f>
        <v>0</v>
      </c>
    </row>
    <row r="265" spans="1:7" ht="15" customHeight="1" x14ac:dyDescent="0.15">
      <c r="A265" t="str">
        <f>IF(Transactions!J257="","",Transactions!J257)</f>
        <v/>
      </c>
      <c r="B265" s="297">
        <f ca="1">IF($A265="",TODAY(),Transactions!G257)</f>
        <v>46216</v>
      </c>
      <c r="C265" s="298" t="str">
        <f>IF($A265="","",Transactions!A257)</f>
        <v/>
      </c>
      <c r="D265" s="30">
        <f>IF($A265="",0,Transactions!H257)</f>
        <v>0</v>
      </c>
      <c r="E265" s="300">
        <f>IF($A265="",1,IFERROR(INDEX(Prices[FX to SGD],MATCH($A265,Prices[Key],0)),1))</f>
        <v>1</v>
      </c>
      <c r="F265" s="30">
        <f>IF($A265="",0,(Transactions!M257-Transactions!L257+IF(Transactions!A257=2,Transactions!H257,0))*$E265)</f>
        <v>0</v>
      </c>
      <c r="G265" s="30">
        <f>IF($A265="",0,IF(Transactions!A257=2,Transactions!H257*$E265,0))</f>
        <v>0</v>
      </c>
    </row>
    <row r="266" spans="1:7" ht="15" customHeight="1" x14ac:dyDescent="0.15">
      <c r="A266" t="str">
        <f>IF(Transactions!J258="","",Transactions!J258)</f>
        <v/>
      </c>
      <c r="B266" s="297">
        <f ca="1">IF($A266="",TODAY(),Transactions!G258)</f>
        <v>46216</v>
      </c>
      <c r="C266" s="298" t="str">
        <f>IF($A266="","",Transactions!A258)</f>
        <v/>
      </c>
      <c r="D266" s="30">
        <f>IF($A266="",0,Transactions!H258)</f>
        <v>0</v>
      </c>
      <c r="E266" s="300">
        <f>IF($A266="",1,IFERROR(INDEX(Prices[FX to SGD],MATCH($A266,Prices[Key],0)),1))</f>
        <v>1</v>
      </c>
      <c r="F266" s="30">
        <f>IF($A266="",0,(Transactions!M258-Transactions!L258+IF(Transactions!A258=2,Transactions!H258,0))*$E266)</f>
        <v>0</v>
      </c>
      <c r="G266" s="30">
        <f>IF($A266="",0,IF(Transactions!A258=2,Transactions!H258*$E266,0))</f>
        <v>0</v>
      </c>
    </row>
    <row r="267" spans="1:7" ht="15" customHeight="1" x14ac:dyDescent="0.15">
      <c r="A267" t="str">
        <f>IF(Transactions!J259="","",Transactions!J259)</f>
        <v/>
      </c>
      <c r="B267" s="297">
        <f ca="1">IF($A267="",TODAY(),Transactions!G259)</f>
        <v>46216</v>
      </c>
      <c r="C267" s="298" t="str">
        <f>IF($A267="","",Transactions!A259)</f>
        <v/>
      </c>
      <c r="D267" s="30">
        <f>IF($A267="",0,Transactions!H259)</f>
        <v>0</v>
      </c>
      <c r="E267" s="300">
        <f>IF($A267="",1,IFERROR(INDEX(Prices[FX to SGD],MATCH($A267,Prices[Key],0)),1))</f>
        <v>1</v>
      </c>
      <c r="F267" s="30">
        <f>IF($A267="",0,(Transactions!M259-Transactions!L259+IF(Transactions!A259=2,Transactions!H259,0))*$E267)</f>
        <v>0</v>
      </c>
      <c r="G267" s="30">
        <f>IF($A267="",0,IF(Transactions!A259=2,Transactions!H259*$E267,0))</f>
        <v>0</v>
      </c>
    </row>
    <row r="268" spans="1:7" ht="15" customHeight="1" x14ac:dyDescent="0.15">
      <c r="A268" t="str">
        <f>IF(Transactions!J260="","",Transactions!J260)</f>
        <v/>
      </c>
      <c r="B268" s="297">
        <f ca="1">IF($A268="",TODAY(),Transactions!G260)</f>
        <v>46216</v>
      </c>
      <c r="C268" s="298" t="str">
        <f>IF($A268="","",Transactions!A260)</f>
        <v/>
      </c>
      <c r="D268" s="30">
        <f>IF($A268="",0,Transactions!H260)</f>
        <v>0</v>
      </c>
      <c r="E268" s="300">
        <f>IF($A268="",1,IFERROR(INDEX(Prices[FX to SGD],MATCH($A268,Prices[Key],0)),1))</f>
        <v>1</v>
      </c>
      <c r="F268" s="30">
        <f>IF($A268="",0,(Transactions!M260-Transactions!L260+IF(Transactions!A260=2,Transactions!H260,0))*$E268)</f>
        <v>0</v>
      </c>
      <c r="G268" s="30">
        <f>IF($A268="",0,IF(Transactions!A260=2,Transactions!H260*$E268,0))</f>
        <v>0</v>
      </c>
    </row>
    <row r="269" spans="1:7" ht="15" customHeight="1" x14ac:dyDescent="0.15">
      <c r="A269" t="str">
        <f>IF(Transactions!J261="","",Transactions!J261)</f>
        <v/>
      </c>
      <c r="B269" s="297">
        <f ca="1">IF($A269="",TODAY(),Transactions!G261)</f>
        <v>46216</v>
      </c>
      <c r="C269" s="298" t="str">
        <f>IF($A269="","",Transactions!A261)</f>
        <v/>
      </c>
      <c r="D269" s="30">
        <f>IF($A269="",0,Transactions!H261)</f>
        <v>0</v>
      </c>
      <c r="E269" s="300">
        <f>IF($A269="",1,IFERROR(INDEX(Prices[FX to SGD],MATCH($A269,Prices[Key],0)),1))</f>
        <v>1</v>
      </c>
      <c r="F269" s="30">
        <f>IF($A269="",0,(Transactions!M261-Transactions!L261+IF(Transactions!A261=2,Transactions!H261,0))*$E269)</f>
        <v>0</v>
      </c>
      <c r="G269" s="30">
        <f>IF($A269="",0,IF(Transactions!A261=2,Transactions!H261*$E269,0))</f>
        <v>0</v>
      </c>
    </row>
    <row r="270" spans="1:7" ht="15" customHeight="1" x14ac:dyDescent="0.15">
      <c r="A270" t="str">
        <f>IF(Transactions!J262="","",Transactions!J262)</f>
        <v/>
      </c>
      <c r="B270" s="297">
        <f ca="1">IF($A270="",TODAY(),Transactions!G262)</f>
        <v>46216</v>
      </c>
      <c r="C270" s="298" t="str">
        <f>IF($A270="","",Transactions!A262)</f>
        <v/>
      </c>
      <c r="D270" s="30">
        <f>IF($A270="",0,Transactions!H262)</f>
        <v>0</v>
      </c>
      <c r="E270" s="300">
        <f>IF($A270="",1,IFERROR(INDEX(Prices[FX to SGD],MATCH($A270,Prices[Key],0)),1))</f>
        <v>1</v>
      </c>
      <c r="F270" s="30">
        <f>IF($A270="",0,(Transactions!M262-Transactions!L262+IF(Transactions!A262=2,Transactions!H262,0))*$E270)</f>
        <v>0</v>
      </c>
      <c r="G270" s="30">
        <f>IF($A270="",0,IF(Transactions!A262=2,Transactions!H262*$E270,0))</f>
        <v>0</v>
      </c>
    </row>
    <row r="271" spans="1:7" ht="15" customHeight="1" x14ac:dyDescent="0.15">
      <c r="A271" t="str">
        <f>IF(Transactions!J263="","",Transactions!J263)</f>
        <v/>
      </c>
      <c r="B271" s="297">
        <f ca="1">IF($A271="",TODAY(),Transactions!G263)</f>
        <v>46216</v>
      </c>
      <c r="C271" s="298" t="str">
        <f>IF($A271="","",Transactions!A263)</f>
        <v/>
      </c>
      <c r="D271" s="30">
        <f>IF($A271="",0,Transactions!H263)</f>
        <v>0</v>
      </c>
      <c r="E271" s="300">
        <f>IF($A271="",1,IFERROR(INDEX(Prices[FX to SGD],MATCH($A271,Prices[Key],0)),1))</f>
        <v>1</v>
      </c>
      <c r="F271" s="30">
        <f>IF($A271="",0,(Transactions!M263-Transactions!L263+IF(Transactions!A263=2,Transactions!H263,0))*$E271)</f>
        <v>0</v>
      </c>
      <c r="G271" s="30">
        <f>IF($A271="",0,IF(Transactions!A263=2,Transactions!H263*$E271,0))</f>
        <v>0</v>
      </c>
    </row>
    <row r="272" spans="1:7" ht="15" customHeight="1" x14ac:dyDescent="0.15">
      <c r="A272" t="str">
        <f>IF(Transactions!J264="","",Transactions!J264)</f>
        <v/>
      </c>
      <c r="B272" s="297">
        <f ca="1">IF($A272="",TODAY(),Transactions!G264)</f>
        <v>46216</v>
      </c>
      <c r="C272" s="298" t="str">
        <f>IF($A272="","",Transactions!A264)</f>
        <v/>
      </c>
      <c r="D272" s="30">
        <f>IF($A272="",0,Transactions!H264)</f>
        <v>0</v>
      </c>
      <c r="E272" s="300">
        <f>IF($A272="",1,IFERROR(INDEX(Prices[FX to SGD],MATCH($A272,Prices[Key],0)),1))</f>
        <v>1</v>
      </c>
      <c r="F272" s="30">
        <f>IF($A272="",0,(Transactions!M264-Transactions!L264+IF(Transactions!A264=2,Transactions!H264,0))*$E272)</f>
        <v>0</v>
      </c>
      <c r="G272" s="30">
        <f>IF($A272="",0,IF(Transactions!A264=2,Transactions!H264*$E272,0))</f>
        <v>0</v>
      </c>
    </row>
    <row r="273" spans="1:7" ht="15" customHeight="1" x14ac:dyDescent="0.15">
      <c r="A273" t="str">
        <f>IF(Transactions!J265="","",Transactions!J265)</f>
        <v/>
      </c>
      <c r="B273" s="297">
        <f ca="1">IF($A273="",TODAY(),Transactions!G265)</f>
        <v>46216</v>
      </c>
      <c r="C273" s="298" t="str">
        <f>IF($A273="","",Transactions!A265)</f>
        <v/>
      </c>
      <c r="D273" s="30">
        <f>IF($A273="",0,Transactions!H265)</f>
        <v>0</v>
      </c>
      <c r="E273" s="300">
        <f>IF($A273="",1,IFERROR(INDEX(Prices[FX to SGD],MATCH($A273,Prices[Key],0)),1))</f>
        <v>1</v>
      </c>
      <c r="F273" s="30">
        <f>IF($A273="",0,(Transactions!M265-Transactions!L265+IF(Transactions!A265=2,Transactions!H265,0))*$E273)</f>
        <v>0</v>
      </c>
      <c r="G273" s="30">
        <f>IF($A273="",0,IF(Transactions!A265=2,Transactions!H265*$E273,0))</f>
        <v>0</v>
      </c>
    </row>
    <row r="274" spans="1:7" ht="15" customHeight="1" x14ac:dyDescent="0.15">
      <c r="A274" t="str">
        <f>IF(Transactions!J266="","",Transactions!J266)</f>
        <v/>
      </c>
      <c r="B274" s="297">
        <f ca="1">IF($A274="",TODAY(),Transactions!G266)</f>
        <v>46216</v>
      </c>
      <c r="C274" s="298" t="str">
        <f>IF($A274="","",Transactions!A266)</f>
        <v/>
      </c>
      <c r="D274" s="30">
        <f>IF($A274="",0,Transactions!H266)</f>
        <v>0</v>
      </c>
      <c r="E274" s="300">
        <f>IF($A274="",1,IFERROR(INDEX(Prices[FX to SGD],MATCH($A274,Prices[Key],0)),1))</f>
        <v>1</v>
      </c>
      <c r="F274" s="30">
        <f>IF($A274="",0,(Transactions!M266-Transactions!L266+IF(Transactions!A266=2,Transactions!H266,0))*$E274)</f>
        <v>0</v>
      </c>
      <c r="G274" s="30">
        <f>IF($A274="",0,IF(Transactions!A266=2,Transactions!H266*$E274,0))</f>
        <v>0</v>
      </c>
    </row>
    <row r="275" spans="1:7" ht="15" customHeight="1" x14ac:dyDescent="0.15">
      <c r="A275" t="str">
        <f>IF(Transactions!J267="","",Transactions!J267)</f>
        <v/>
      </c>
      <c r="B275" s="297">
        <f ca="1">IF($A275="",TODAY(),Transactions!G267)</f>
        <v>46216</v>
      </c>
      <c r="C275" s="298" t="str">
        <f>IF($A275="","",Transactions!A267)</f>
        <v/>
      </c>
      <c r="D275" s="30">
        <f>IF($A275="",0,Transactions!H267)</f>
        <v>0</v>
      </c>
      <c r="E275" s="300">
        <f>IF($A275="",1,IFERROR(INDEX(Prices[FX to SGD],MATCH($A275,Prices[Key],0)),1))</f>
        <v>1</v>
      </c>
      <c r="F275" s="30">
        <f>IF($A275="",0,(Transactions!M267-Transactions!L267+IF(Transactions!A267=2,Transactions!H267,0))*$E275)</f>
        <v>0</v>
      </c>
      <c r="G275" s="30">
        <f>IF($A275="",0,IF(Transactions!A267=2,Transactions!H267*$E275,0))</f>
        <v>0</v>
      </c>
    </row>
    <row r="276" spans="1:7" ht="15" customHeight="1" x14ac:dyDescent="0.15">
      <c r="A276" t="str">
        <f>IF(Transactions!J268="","",Transactions!J268)</f>
        <v/>
      </c>
      <c r="B276" s="297">
        <f ca="1">IF($A276="",TODAY(),Transactions!G268)</f>
        <v>46216</v>
      </c>
      <c r="C276" s="298" t="str">
        <f>IF($A276="","",Transactions!A268)</f>
        <v/>
      </c>
      <c r="D276" s="30">
        <f>IF($A276="",0,Transactions!H268)</f>
        <v>0</v>
      </c>
      <c r="E276" s="300">
        <f>IF($A276="",1,IFERROR(INDEX(Prices[FX to SGD],MATCH($A276,Prices[Key],0)),1))</f>
        <v>1</v>
      </c>
      <c r="F276" s="30">
        <f>IF($A276="",0,(Transactions!M268-Transactions!L268+IF(Transactions!A268=2,Transactions!H268,0))*$E276)</f>
        <v>0</v>
      </c>
      <c r="G276" s="30">
        <f>IF($A276="",0,IF(Transactions!A268=2,Transactions!H268*$E276,0))</f>
        <v>0</v>
      </c>
    </row>
    <row r="277" spans="1:7" ht="15" customHeight="1" x14ac:dyDescent="0.15">
      <c r="A277" t="str">
        <f>IF(Transactions!J269="","",Transactions!J269)</f>
        <v/>
      </c>
      <c r="B277" s="297">
        <f ca="1">IF($A277="",TODAY(),Transactions!G269)</f>
        <v>46216</v>
      </c>
      <c r="C277" s="298" t="str">
        <f>IF($A277="","",Transactions!A269)</f>
        <v/>
      </c>
      <c r="D277" s="30">
        <f>IF($A277="",0,Transactions!H269)</f>
        <v>0</v>
      </c>
      <c r="E277" s="300">
        <f>IF($A277="",1,IFERROR(INDEX(Prices[FX to SGD],MATCH($A277,Prices[Key],0)),1))</f>
        <v>1</v>
      </c>
      <c r="F277" s="30">
        <f>IF($A277="",0,(Transactions!M269-Transactions!L269+IF(Transactions!A269=2,Transactions!H269,0))*$E277)</f>
        <v>0</v>
      </c>
      <c r="G277" s="30">
        <f>IF($A277="",0,IF(Transactions!A269=2,Transactions!H269*$E277,0))</f>
        <v>0</v>
      </c>
    </row>
    <row r="278" spans="1:7" ht="15" customHeight="1" x14ac:dyDescent="0.15">
      <c r="A278" t="str">
        <f>IF(Transactions!J270="","",Transactions!J270)</f>
        <v/>
      </c>
      <c r="B278" s="297">
        <f ca="1">IF($A278="",TODAY(),Transactions!G270)</f>
        <v>46216</v>
      </c>
      <c r="C278" s="298" t="str">
        <f>IF($A278="","",Transactions!A270)</f>
        <v/>
      </c>
      <c r="D278" s="30">
        <f>IF($A278="",0,Transactions!H270)</f>
        <v>0</v>
      </c>
      <c r="E278" s="300">
        <f>IF($A278="",1,IFERROR(INDEX(Prices[FX to SGD],MATCH($A278,Prices[Key],0)),1))</f>
        <v>1</v>
      </c>
      <c r="F278" s="30">
        <f>IF($A278="",0,(Transactions!M270-Transactions!L270+IF(Transactions!A270=2,Transactions!H270,0))*$E278)</f>
        <v>0</v>
      </c>
      <c r="G278" s="30">
        <f>IF($A278="",0,IF(Transactions!A270=2,Transactions!H270*$E278,0))</f>
        <v>0</v>
      </c>
    </row>
    <row r="279" spans="1:7" ht="15" customHeight="1" x14ac:dyDescent="0.15">
      <c r="A279" t="str">
        <f>IF(Transactions!J271="","",Transactions!J271)</f>
        <v/>
      </c>
      <c r="B279" s="297">
        <f ca="1">IF($A279="",TODAY(),Transactions!G271)</f>
        <v>46216</v>
      </c>
      <c r="C279" s="298" t="str">
        <f>IF($A279="","",Transactions!A271)</f>
        <v/>
      </c>
      <c r="D279" s="30">
        <f>IF($A279="",0,Transactions!H271)</f>
        <v>0</v>
      </c>
      <c r="E279" s="300">
        <f>IF($A279="",1,IFERROR(INDEX(Prices[FX to SGD],MATCH($A279,Prices[Key],0)),1))</f>
        <v>1</v>
      </c>
      <c r="F279" s="30">
        <f>IF($A279="",0,(Transactions!M271-Transactions!L271+IF(Transactions!A271=2,Transactions!H271,0))*$E279)</f>
        <v>0</v>
      </c>
      <c r="G279" s="30">
        <f>IF($A279="",0,IF(Transactions!A271=2,Transactions!H271*$E279,0))</f>
        <v>0</v>
      </c>
    </row>
    <row r="280" spans="1:7" ht="15" customHeight="1" x14ac:dyDescent="0.15">
      <c r="A280" t="str">
        <f>IF(Transactions!J272="","",Transactions!J272)</f>
        <v/>
      </c>
      <c r="B280" s="297">
        <f ca="1">IF($A280="",TODAY(),Transactions!G272)</f>
        <v>46216</v>
      </c>
      <c r="C280" s="298" t="str">
        <f>IF($A280="","",Transactions!A272)</f>
        <v/>
      </c>
      <c r="D280" s="30">
        <f>IF($A280="",0,Transactions!H272)</f>
        <v>0</v>
      </c>
      <c r="E280" s="300">
        <f>IF($A280="",1,IFERROR(INDEX(Prices[FX to SGD],MATCH($A280,Prices[Key],0)),1))</f>
        <v>1</v>
      </c>
      <c r="F280" s="30">
        <f>IF($A280="",0,(Transactions!M272-Transactions!L272+IF(Transactions!A272=2,Transactions!H272,0))*$E280)</f>
        <v>0</v>
      </c>
      <c r="G280" s="30">
        <f>IF($A280="",0,IF(Transactions!A272=2,Transactions!H272*$E280,0))</f>
        <v>0</v>
      </c>
    </row>
    <row r="281" spans="1:7" ht="15" customHeight="1" x14ac:dyDescent="0.15">
      <c r="A281" t="str">
        <f>IF(Transactions!J273="","",Transactions!J273)</f>
        <v/>
      </c>
      <c r="B281" s="297">
        <f ca="1">IF($A281="",TODAY(),Transactions!G273)</f>
        <v>46216</v>
      </c>
      <c r="C281" s="298" t="str">
        <f>IF($A281="","",Transactions!A273)</f>
        <v/>
      </c>
      <c r="D281" s="30">
        <f>IF($A281="",0,Transactions!H273)</f>
        <v>0</v>
      </c>
      <c r="E281" s="300">
        <f>IF($A281="",1,IFERROR(INDEX(Prices[FX to SGD],MATCH($A281,Prices[Key],0)),1))</f>
        <v>1</v>
      </c>
      <c r="F281" s="30">
        <f>IF($A281="",0,(Transactions!M273-Transactions!L273+IF(Transactions!A273=2,Transactions!H273,0))*$E281)</f>
        <v>0</v>
      </c>
      <c r="G281" s="30">
        <f>IF($A281="",0,IF(Transactions!A273=2,Transactions!H273*$E281,0))</f>
        <v>0</v>
      </c>
    </row>
    <row r="282" spans="1:7" ht="15" customHeight="1" x14ac:dyDescent="0.15">
      <c r="A282" t="str">
        <f>IF(Transactions!J274="","",Transactions!J274)</f>
        <v/>
      </c>
      <c r="B282" s="297">
        <f ca="1">IF($A282="",TODAY(),Transactions!G274)</f>
        <v>46216</v>
      </c>
      <c r="C282" s="298" t="str">
        <f>IF($A282="","",Transactions!A274)</f>
        <v/>
      </c>
      <c r="D282" s="30">
        <f>IF($A282="",0,Transactions!H274)</f>
        <v>0</v>
      </c>
      <c r="E282" s="300">
        <f>IF($A282="",1,IFERROR(INDEX(Prices[FX to SGD],MATCH($A282,Prices[Key],0)),1))</f>
        <v>1</v>
      </c>
      <c r="F282" s="30">
        <f>IF($A282="",0,(Transactions!M274-Transactions!L274+IF(Transactions!A274=2,Transactions!H274,0))*$E282)</f>
        <v>0</v>
      </c>
      <c r="G282" s="30">
        <f>IF($A282="",0,IF(Transactions!A274=2,Transactions!H274*$E282,0))</f>
        <v>0</v>
      </c>
    </row>
    <row r="283" spans="1:7" ht="15" customHeight="1" x14ac:dyDescent="0.15">
      <c r="A283" t="str">
        <f>IF(Transactions!J275="","",Transactions!J275)</f>
        <v/>
      </c>
      <c r="B283" s="297">
        <f ca="1">IF($A283="",TODAY(),Transactions!G275)</f>
        <v>46216</v>
      </c>
      <c r="C283" s="298" t="str">
        <f>IF($A283="","",Transactions!A275)</f>
        <v/>
      </c>
      <c r="D283" s="30">
        <f>IF($A283="",0,Transactions!H275)</f>
        <v>0</v>
      </c>
      <c r="E283" s="300">
        <f>IF($A283="",1,IFERROR(INDEX(Prices[FX to SGD],MATCH($A283,Prices[Key],0)),1))</f>
        <v>1</v>
      </c>
      <c r="F283" s="30">
        <f>IF($A283="",0,(Transactions!M275-Transactions!L275+IF(Transactions!A275=2,Transactions!H275,0))*$E283)</f>
        <v>0</v>
      </c>
      <c r="G283" s="30">
        <f>IF($A283="",0,IF(Transactions!A275=2,Transactions!H275*$E283,0))</f>
        <v>0</v>
      </c>
    </row>
    <row r="284" spans="1:7" ht="15" customHeight="1" x14ac:dyDescent="0.15">
      <c r="A284" t="str">
        <f>IF(Transactions!J276="","",Transactions!J276)</f>
        <v/>
      </c>
      <c r="B284" s="297">
        <f ca="1">IF($A284="",TODAY(),Transactions!G276)</f>
        <v>46216</v>
      </c>
      <c r="C284" s="298" t="str">
        <f>IF($A284="","",Transactions!A276)</f>
        <v/>
      </c>
      <c r="D284" s="30">
        <f>IF($A284="",0,Transactions!H276)</f>
        <v>0</v>
      </c>
      <c r="E284" s="300">
        <f>IF($A284="",1,IFERROR(INDEX(Prices[FX to SGD],MATCH($A284,Prices[Key],0)),1))</f>
        <v>1</v>
      </c>
      <c r="F284" s="30">
        <f>IF($A284="",0,(Transactions!M276-Transactions!L276+IF(Transactions!A276=2,Transactions!H276,0))*$E284)</f>
        <v>0</v>
      </c>
      <c r="G284" s="30">
        <f>IF($A284="",0,IF(Transactions!A276=2,Transactions!H276*$E284,0))</f>
        <v>0</v>
      </c>
    </row>
    <row r="285" spans="1:7" ht="15" customHeight="1" x14ac:dyDescent="0.15">
      <c r="A285" t="str">
        <f>IF(Transactions!J277="","",Transactions!J277)</f>
        <v/>
      </c>
      <c r="B285" s="297">
        <f ca="1">IF($A285="",TODAY(),Transactions!G277)</f>
        <v>46216</v>
      </c>
      <c r="C285" s="298" t="str">
        <f>IF($A285="","",Transactions!A277)</f>
        <v/>
      </c>
      <c r="D285" s="30">
        <f>IF($A285="",0,Transactions!H277)</f>
        <v>0</v>
      </c>
      <c r="E285" s="300">
        <f>IF($A285="",1,IFERROR(INDEX(Prices[FX to SGD],MATCH($A285,Prices[Key],0)),1))</f>
        <v>1</v>
      </c>
      <c r="F285" s="30">
        <f>IF($A285="",0,(Transactions!M277-Transactions!L277+IF(Transactions!A277=2,Transactions!H277,0))*$E285)</f>
        <v>0</v>
      </c>
      <c r="G285" s="30">
        <f>IF($A285="",0,IF(Transactions!A277=2,Transactions!H277*$E285,0))</f>
        <v>0</v>
      </c>
    </row>
    <row r="286" spans="1:7" ht="15" customHeight="1" x14ac:dyDescent="0.15">
      <c r="A286" t="str">
        <f>IF(Transactions!J278="","",Transactions!J278)</f>
        <v/>
      </c>
      <c r="B286" s="297">
        <f ca="1">IF($A286="",TODAY(),Transactions!G278)</f>
        <v>46216</v>
      </c>
      <c r="C286" s="298" t="str">
        <f>IF($A286="","",Transactions!A278)</f>
        <v/>
      </c>
      <c r="D286" s="30">
        <f>IF($A286="",0,Transactions!H278)</f>
        <v>0</v>
      </c>
      <c r="E286" s="300">
        <f>IF($A286="",1,IFERROR(INDEX(Prices[FX to SGD],MATCH($A286,Prices[Key],0)),1))</f>
        <v>1</v>
      </c>
      <c r="F286" s="30">
        <f>IF($A286="",0,(Transactions!M278-Transactions!L278+IF(Transactions!A278=2,Transactions!H278,0))*$E286)</f>
        <v>0</v>
      </c>
      <c r="G286" s="30">
        <f>IF($A286="",0,IF(Transactions!A278=2,Transactions!H278*$E286,0))</f>
        <v>0</v>
      </c>
    </row>
    <row r="287" spans="1:7" ht="15" customHeight="1" x14ac:dyDescent="0.15">
      <c r="A287" t="str">
        <f>IF(Transactions!J279="","",Transactions!J279)</f>
        <v/>
      </c>
      <c r="B287" s="297">
        <f ca="1">IF($A287="",TODAY(),Transactions!G279)</f>
        <v>46216</v>
      </c>
      <c r="C287" s="298" t="str">
        <f>IF($A287="","",Transactions!A279)</f>
        <v/>
      </c>
      <c r="D287" s="30">
        <f>IF($A287="",0,Transactions!H279)</f>
        <v>0</v>
      </c>
      <c r="E287" s="300">
        <f>IF($A287="",1,IFERROR(INDEX(Prices[FX to SGD],MATCH($A287,Prices[Key],0)),1))</f>
        <v>1</v>
      </c>
      <c r="F287" s="30">
        <f>IF($A287="",0,(Transactions!M279-Transactions!L279+IF(Transactions!A279=2,Transactions!H279,0))*$E287)</f>
        <v>0</v>
      </c>
      <c r="G287" s="30">
        <f>IF($A287="",0,IF(Transactions!A279=2,Transactions!H279*$E287,0))</f>
        <v>0</v>
      </c>
    </row>
    <row r="288" spans="1:7" ht="15" customHeight="1" x14ac:dyDescent="0.15">
      <c r="A288" t="str">
        <f>IF(Transactions!J280="","",Transactions!J280)</f>
        <v/>
      </c>
      <c r="B288" s="297">
        <f ca="1">IF($A288="",TODAY(),Transactions!G280)</f>
        <v>46216</v>
      </c>
      <c r="C288" s="298" t="str">
        <f>IF($A288="","",Transactions!A280)</f>
        <v/>
      </c>
      <c r="D288" s="30">
        <f>IF($A288="",0,Transactions!H280)</f>
        <v>0</v>
      </c>
      <c r="E288" s="300">
        <f>IF($A288="",1,IFERROR(INDEX(Prices[FX to SGD],MATCH($A288,Prices[Key],0)),1))</f>
        <v>1</v>
      </c>
      <c r="F288" s="30">
        <f>IF($A288="",0,(Transactions!M280-Transactions!L280+IF(Transactions!A280=2,Transactions!H280,0))*$E288)</f>
        <v>0</v>
      </c>
      <c r="G288" s="30">
        <f>IF($A288="",0,IF(Transactions!A280=2,Transactions!H280*$E288,0))</f>
        <v>0</v>
      </c>
    </row>
    <row r="289" spans="1:7" ht="15" customHeight="1" x14ac:dyDescent="0.15">
      <c r="A289" t="str">
        <f>IF(Transactions!J281="","",Transactions!J281)</f>
        <v/>
      </c>
      <c r="B289" s="297">
        <f ca="1">IF($A289="",TODAY(),Transactions!G281)</f>
        <v>46216</v>
      </c>
      <c r="C289" s="298" t="str">
        <f>IF($A289="","",Transactions!A281)</f>
        <v/>
      </c>
      <c r="D289" s="30">
        <f>IF($A289="",0,Transactions!H281)</f>
        <v>0</v>
      </c>
      <c r="E289" s="300">
        <f>IF($A289="",1,IFERROR(INDEX(Prices[FX to SGD],MATCH($A289,Prices[Key],0)),1))</f>
        <v>1</v>
      </c>
      <c r="F289" s="30">
        <f>IF($A289="",0,(Transactions!M281-Transactions!L281+IF(Transactions!A281=2,Transactions!H281,0))*$E289)</f>
        <v>0</v>
      </c>
      <c r="G289" s="30">
        <f>IF($A289="",0,IF(Transactions!A281=2,Transactions!H281*$E289,0))</f>
        <v>0</v>
      </c>
    </row>
    <row r="290" spans="1:7" ht="15" customHeight="1" x14ac:dyDescent="0.15">
      <c r="A290" t="str">
        <f>IF(Transactions!J282="","",Transactions!J282)</f>
        <v/>
      </c>
      <c r="B290" s="297">
        <f ca="1">IF($A290="",TODAY(),Transactions!G282)</f>
        <v>46216</v>
      </c>
      <c r="C290" s="298" t="str">
        <f>IF($A290="","",Transactions!A282)</f>
        <v/>
      </c>
      <c r="D290" s="30">
        <f>IF($A290="",0,Transactions!H282)</f>
        <v>0</v>
      </c>
      <c r="E290" s="300">
        <f>IF($A290="",1,IFERROR(INDEX(Prices[FX to SGD],MATCH($A290,Prices[Key],0)),1))</f>
        <v>1</v>
      </c>
      <c r="F290" s="30">
        <f>IF($A290="",0,(Transactions!M282-Transactions!L282+IF(Transactions!A282=2,Transactions!H282,0))*$E290)</f>
        <v>0</v>
      </c>
      <c r="G290" s="30">
        <f>IF($A290="",0,IF(Transactions!A282=2,Transactions!H282*$E290,0))</f>
        <v>0</v>
      </c>
    </row>
    <row r="291" spans="1:7" ht="15" customHeight="1" x14ac:dyDescent="0.15">
      <c r="A291" t="str">
        <f>IF(Transactions!J283="","",Transactions!J283)</f>
        <v/>
      </c>
      <c r="B291" s="297">
        <f ca="1">IF($A291="",TODAY(),Transactions!G283)</f>
        <v>46216</v>
      </c>
      <c r="C291" s="298" t="str">
        <f>IF($A291="","",Transactions!A283)</f>
        <v/>
      </c>
      <c r="D291" s="30">
        <f>IF($A291="",0,Transactions!H283)</f>
        <v>0</v>
      </c>
      <c r="E291" s="299">
        <f>IF($A291="",1,IFERROR(INDEX(Prices[FX to SGD],MATCH($A291,Prices[Key],0)),1))</f>
        <v>1</v>
      </c>
      <c r="F291" s="30">
        <f>IF($A291="",0,(Transactions!M283-Transactions!L283+IF(Transactions!A283=2,Transactions!H283,0))*$E291)</f>
        <v>0</v>
      </c>
      <c r="G291" s="30">
        <f>IF($A291="",0,IF(Transactions!A283=2,Transactions!H283*$E291,0))</f>
        <v>0</v>
      </c>
    </row>
    <row r="292" spans="1:7" ht="15" customHeight="1" x14ac:dyDescent="0.15">
      <c r="A292" t="str">
        <f>IF(Transactions!J284="","",Transactions!J284)</f>
        <v/>
      </c>
      <c r="B292" s="297">
        <f ca="1">IF($A292="",TODAY(),Transactions!G284)</f>
        <v>46216</v>
      </c>
      <c r="C292" s="298" t="str">
        <f>IF($A292="","",Transactions!A284)</f>
        <v/>
      </c>
      <c r="D292" s="30">
        <f>IF($A292="",0,Transactions!H284)</f>
        <v>0</v>
      </c>
      <c r="E292" s="299">
        <f>IF($A292="",1,IFERROR(INDEX(Prices[FX to SGD],MATCH($A292,Prices[Key],0)),1))</f>
        <v>1</v>
      </c>
      <c r="F292" s="30">
        <f>IF($A292="",0,(Transactions!M284-Transactions!L284+IF(Transactions!A284=2,Transactions!H284,0))*$E292)</f>
        <v>0</v>
      </c>
      <c r="G292" s="30">
        <f>IF($A292="",0,IF(Transactions!A284=2,Transactions!H284*$E292,0))</f>
        <v>0</v>
      </c>
    </row>
    <row r="293" spans="1:7" ht="15" customHeight="1" x14ac:dyDescent="0.15">
      <c r="A293" t="str">
        <f>IF(Transactions!J285="","",Transactions!J285)</f>
        <v/>
      </c>
      <c r="B293" s="297">
        <f ca="1">IF($A293="",TODAY(),Transactions!G285)</f>
        <v>46216</v>
      </c>
      <c r="C293" s="298" t="str">
        <f>IF($A293="","",Transactions!A285)</f>
        <v/>
      </c>
      <c r="D293" s="30">
        <f>IF($A293="",0,Transactions!H285)</f>
        <v>0</v>
      </c>
      <c r="E293" s="300">
        <f>IF($A293="",1,IFERROR(INDEX(Prices[FX to SGD],MATCH($A293,Prices[Key],0)),1))</f>
        <v>1</v>
      </c>
      <c r="F293" s="30">
        <f>IF($A293="",0,(Transactions!M285-Transactions!L285+IF(Transactions!A285=2,Transactions!H285,0))*$E293)</f>
        <v>0</v>
      </c>
      <c r="G293" s="30">
        <f>IF($A293="",0,IF(Transactions!A285=2,Transactions!H285*$E293,0))</f>
        <v>0</v>
      </c>
    </row>
    <row r="294" spans="1:7" ht="15" customHeight="1" x14ac:dyDescent="0.15">
      <c r="A294" t="str">
        <f>IF(Transactions!J286="","",Transactions!J286)</f>
        <v/>
      </c>
      <c r="B294" s="297">
        <f ca="1">IF($A294="",TODAY(),Transactions!G286)</f>
        <v>46216</v>
      </c>
      <c r="C294" t="str">
        <f>IF($A294="","",Transactions!A286)</f>
        <v/>
      </c>
      <c r="D294" s="30">
        <f>IF($A294="",0,Transactions!H286)</f>
        <v>0</v>
      </c>
      <c r="E294">
        <f>IF($A294="",1,IFERROR(INDEX(Prices[FX to SGD],MATCH($A294,Prices[Key],0)),1))</f>
        <v>1</v>
      </c>
      <c r="F294" s="30">
        <f>IF($A294="",0,(Transactions!M286-Transactions!L286+IF(Transactions!A286=2,Transactions!H286,0))*$E294)</f>
        <v>0</v>
      </c>
      <c r="G294" s="30">
        <f>IF($A294="",0,IF(Transactions!A286=2,Transactions!H286*$E294,0))</f>
        <v>0</v>
      </c>
    </row>
    <row r="295" spans="1:7" ht="15" customHeight="1" x14ac:dyDescent="0.15">
      <c r="A295" t="str">
        <f>IF(Transactions!J287="","",Transactions!J287)</f>
        <v/>
      </c>
      <c r="B295" s="297">
        <f ca="1">IF($A295="",TODAY(),Transactions!G287)</f>
        <v>46216</v>
      </c>
      <c r="C295" t="str">
        <f>IF($A295="","",Transactions!A287)</f>
        <v/>
      </c>
      <c r="D295" s="30">
        <f>IF($A295="",0,Transactions!H287)</f>
        <v>0</v>
      </c>
      <c r="E295">
        <f>IF($A295="",1,IFERROR(INDEX(Prices[FX to SGD],MATCH($A295,Prices[Key],0)),1))</f>
        <v>1</v>
      </c>
      <c r="F295" s="30">
        <f>IF($A295="",0,(Transactions!M287-Transactions!L287+IF(Transactions!A287=2,Transactions!H287,0))*$E295)</f>
        <v>0</v>
      </c>
      <c r="G295" s="30">
        <f>IF($A295="",0,IF(Transactions!A287=2,Transactions!H287*$E295,0))</f>
        <v>0</v>
      </c>
    </row>
    <row r="296" spans="1:7" ht="15" customHeight="1" x14ac:dyDescent="0.15">
      <c r="A296" t="str">
        <f>IF(Transactions!J288="","",Transactions!J288)</f>
        <v/>
      </c>
      <c r="B296" s="297">
        <f ca="1">IF($A296="",TODAY(),Transactions!G288)</f>
        <v>46216</v>
      </c>
      <c r="C296" t="str">
        <f>IF($A296="","",Transactions!A288)</f>
        <v/>
      </c>
      <c r="D296" s="30">
        <f>IF($A296="",0,Transactions!H288)</f>
        <v>0</v>
      </c>
      <c r="E296">
        <f>IF($A296="",1,IFERROR(INDEX(Prices[FX to SGD],MATCH($A296,Prices[Key],0)),1))</f>
        <v>1</v>
      </c>
      <c r="F296" s="30">
        <f>IF($A296="",0,(Transactions!M288-Transactions!L288+IF(Transactions!A288=2,Transactions!H288,0))*$E296)</f>
        <v>0</v>
      </c>
      <c r="G296" s="30">
        <f>IF($A296="",0,IF(Transactions!A288=2,Transactions!H288*$E296,0))</f>
        <v>0</v>
      </c>
    </row>
    <row r="297" spans="1:7" ht="15" customHeight="1" x14ac:dyDescent="0.15">
      <c r="A297" t="str">
        <f>IF(Transactions!J289="","",Transactions!J289)</f>
        <v/>
      </c>
      <c r="B297" s="297">
        <f ca="1">IF($A297="",TODAY(),Transactions!G289)</f>
        <v>46216</v>
      </c>
      <c r="C297" t="str">
        <f>IF($A297="","",Transactions!A289)</f>
        <v/>
      </c>
      <c r="D297" s="30">
        <f>IF($A297="",0,Transactions!H289)</f>
        <v>0</v>
      </c>
      <c r="E297">
        <f>IF($A297="",1,IFERROR(INDEX(Prices[FX to SGD],MATCH($A297,Prices[Key],0)),1))</f>
        <v>1</v>
      </c>
      <c r="F297" s="30">
        <f>IF($A297="",0,(Transactions!M289-Transactions!L289+IF(Transactions!A289=2,Transactions!H289,0))*$E297)</f>
        <v>0</v>
      </c>
      <c r="G297" s="30">
        <f>IF($A297="",0,IF(Transactions!A289=2,Transactions!H289*$E297,0))</f>
        <v>0</v>
      </c>
    </row>
    <row r="298" spans="1:7" ht="15" customHeight="1" x14ac:dyDescent="0.15">
      <c r="A298" t="str">
        <f>IF(Transactions!J290="","",Transactions!J290)</f>
        <v/>
      </c>
      <c r="B298" s="297">
        <f ca="1">IF($A298="",TODAY(),Transactions!G290)</f>
        <v>46216</v>
      </c>
      <c r="C298" t="str">
        <f>IF($A298="","",Transactions!A290)</f>
        <v/>
      </c>
      <c r="D298" s="30">
        <f>IF($A298="",0,Transactions!H290)</f>
        <v>0</v>
      </c>
      <c r="E298">
        <f>IF($A298="",1,IFERROR(INDEX(Prices[FX to SGD],MATCH($A298,Prices[Key],0)),1))</f>
        <v>1</v>
      </c>
      <c r="F298" s="30">
        <f>IF($A298="",0,(Transactions!M290-Transactions!L290+IF(Transactions!A290=2,Transactions!H290,0))*$E298)</f>
        <v>0</v>
      </c>
      <c r="G298" s="30">
        <f>IF($A298="",0,IF(Transactions!A290=2,Transactions!H290*$E298,0))</f>
        <v>0</v>
      </c>
    </row>
    <row r="299" spans="1:7" ht="15" customHeight="1" x14ac:dyDescent="0.15">
      <c r="A299" t="str">
        <f>IF(Transactions!J291="","",Transactions!J291)</f>
        <v/>
      </c>
      <c r="B299" s="297">
        <f ca="1">IF($A299="",TODAY(),Transactions!G291)</f>
        <v>46216</v>
      </c>
      <c r="C299" t="str">
        <f>IF($A299="","",Transactions!A291)</f>
        <v/>
      </c>
      <c r="D299" s="30">
        <f>IF($A299="",0,Transactions!H291)</f>
        <v>0</v>
      </c>
      <c r="E299">
        <f>IF($A299="",1,IFERROR(INDEX(Prices[FX to SGD],MATCH($A299,Prices[Key],0)),1))</f>
        <v>1</v>
      </c>
      <c r="F299" s="30">
        <f>IF($A299="",0,(Transactions!M291-Transactions!L291+IF(Transactions!A291=2,Transactions!H291,0))*$E299)</f>
        <v>0</v>
      </c>
      <c r="G299" s="30">
        <f>IF($A299="",0,IF(Transactions!A291=2,Transactions!H291*$E299,0))</f>
        <v>0</v>
      </c>
    </row>
    <row r="300" spans="1:7" ht="15" customHeight="1" x14ac:dyDescent="0.15">
      <c r="A300" t="str">
        <f>IF(Transactions!J292="","",Transactions!J292)</f>
        <v/>
      </c>
      <c r="B300" s="297">
        <f ca="1">IF($A300="",TODAY(),Transactions!G292)</f>
        <v>46216</v>
      </c>
      <c r="C300" t="str">
        <f>IF($A300="","",Transactions!A292)</f>
        <v/>
      </c>
      <c r="D300" s="30">
        <f>IF($A300="",0,Transactions!H292)</f>
        <v>0</v>
      </c>
      <c r="E300">
        <f>IF($A300="",1,IFERROR(INDEX(Prices[FX to SGD],MATCH($A300,Prices[Key],0)),1))</f>
        <v>1</v>
      </c>
      <c r="F300" s="30">
        <f>IF($A300="",0,(Transactions!M292-Transactions!L292+IF(Transactions!A292=2,Transactions!H292,0))*$E300)</f>
        <v>0</v>
      </c>
      <c r="G300" s="30">
        <f>IF($A300="",0,IF(Transactions!A292=2,Transactions!H292*$E300,0))</f>
        <v>0</v>
      </c>
    </row>
    <row r="301" spans="1:7" ht="15" customHeight="1" x14ac:dyDescent="0.15">
      <c r="A301" t="str">
        <f>IF(Transactions!J293="","",Transactions!J293)</f>
        <v/>
      </c>
      <c r="B301" s="297">
        <f ca="1">IF($A301="",TODAY(),Transactions!G293)</f>
        <v>46216</v>
      </c>
      <c r="C301" t="str">
        <f>IF($A301="","",Transactions!A293)</f>
        <v/>
      </c>
      <c r="D301" s="30">
        <f>IF($A301="",0,Transactions!H293)</f>
        <v>0</v>
      </c>
      <c r="E301">
        <f>IF($A301="",1,IFERROR(INDEX(Prices[FX to SGD],MATCH($A301,Prices[Key],0)),1))</f>
        <v>1</v>
      </c>
      <c r="F301" s="30">
        <f>IF($A301="",0,(Transactions!M293-Transactions!L293+IF(Transactions!A293=2,Transactions!H293,0))*$E301)</f>
        <v>0</v>
      </c>
      <c r="G301" s="30">
        <f>IF($A301="",0,IF(Transactions!A293=2,Transactions!H293*$E301,0))</f>
        <v>0</v>
      </c>
    </row>
    <row r="302" spans="1:7" ht="15" customHeight="1" x14ac:dyDescent="0.15">
      <c r="A302" t="str">
        <f>IF(Transactions!J294="","",Transactions!J294)</f>
        <v/>
      </c>
      <c r="B302" s="297">
        <f ca="1">IF($A302="",TODAY(),Transactions!G294)</f>
        <v>46216</v>
      </c>
      <c r="C302" t="str">
        <f>IF($A302="","",Transactions!A294)</f>
        <v/>
      </c>
      <c r="D302" s="30">
        <f>IF($A302="",0,Transactions!H294)</f>
        <v>0</v>
      </c>
      <c r="E302">
        <f>IF($A302="",1,IFERROR(INDEX(Prices[FX to SGD],MATCH($A302,Prices[Key],0)),1))</f>
        <v>1</v>
      </c>
      <c r="F302" s="30">
        <f>IF($A302="",0,(Transactions!M294-Transactions!L294+IF(Transactions!A294=2,Transactions!H294,0))*$E302)</f>
        <v>0</v>
      </c>
      <c r="G302" s="30">
        <f>IF($A302="",0,IF(Transactions!A294=2,Transactions!H294*$E302,0))</f>
        <v>0</v>
      </c>
    </row>
    <row r="303" spans="1:7" ht="15" customHeight="1" x14ac:dyDescent="0.15">
      <c r="A303" t="str">
        <f>IF(Transactions!J295="","",Transactions!J295)</f>
        <v/>
      </c>
      <c r="B303" s="297">
        <f ca="1">IF($A303="",TODAY(),Transactions!G295)</f>
        <v>46216</v>
      </c>
      <c r="C303" t="str">
        <f>IF($A303="","",Transactions!A295)</f>
        <v/>
      </c>
      <c r="D303" s="30">
        <f>IF($A303="",0,Transactions!H295)</f>
        <v>0</v>
      </c>
      <c r="E303">
        <f>IF($A303="",1,IFERROR(INDEX(Prices[FX to SGD],MATCH($A303,Prices[Key],0)),1))</f>
        <v>1</v>
      </c>
      <c r="F303" s="30">
        <f>IF($A303="",0,(Transactions!M295-Transactions!L295+IF(Transactions!A295=2,Transactions!H295,0))*$E303)</f>
        <v>0</v>
      </c>
      <c r="G303" s="30">
        <f>IF($A303="",0,IF(Transactions!A295=2,Transactions!H295*$E303,0))</f>
        <v>0</v>
      </c>
    </row>
    <row r="304" spans="1:7" ht="15" customHeight="1" x14ac:dyDescent="0.15">
      <c r="A304" t="str">
        <f>IF(Transactions!J296="","",Transactions!J296)</f>
        <v/>
      </c>
      <c r="B304" s="297">
        <f ca="1">IF($A304="",TODAY(),Transactions!G296)</f>
        <v>46216</v>
      </c>
      <c r="C304" t="str">
        <f>IF($A304="","",Transactions!A296)</f>
        <v/>
      </c>
      <c r="D304" s="30">
        <f>IF($A304="",0,Transactions!H296)</f>
        <v>0</v>
      </c>
      <c r="E304">
        <f>IF($A304="",1,IFERROR(INDEX(Prices[FX to SGD],MATCH($A304,Prices[Key],0)),1))</f>
        <v>1</v>
      </c>
      <c r="F304" s="30">
        <f>IF($A304="",0,(Transactions!M296-Transactions!L296+IF(Transactions!A296=2,Transactions!H296,0))*$E304)</f>
        <v>0</v>
      </c>
      <c r="G304" s="30">
        <f>IF($A304="",0,IF(Transactions!A296=2,Transactions!H296*$E304,0))</f>
        <v>0</v>
      </c>
    </row>
    <row r="305" spans="1:7" ht="15" customHeight="1" x14ac:dyDescent="0.15">
      <c r="A305" t="str">
        <f>IF(Transactions!J297="","",Transactions!J297)</f>
        <v/>
      </c>
      <c r="B305" s="297">
        <f ca="1">IF($A305="",TODAY(),Transactions!G297)</f>
        <v>46216</v>
      </c>
      <c r="C305" t="str">
        <f>IF($A305="","",Transactions!A297)</f>
        <v/>
      </c>
      <c r="D305" s="30">
        <f>IF($A305="",0,Transactions!H297)</f>
        <v>0</v>
      </c>
      <c r="E305">
        <f>IF($A305="",1,IFERROR(INDEX(Prices[FX to SGD],MATCH($A305,Prices[Key],0)),1))</f>
        <v>1</v>
      </c>
      <c r="F305" s="30">
        <f>IF($A305="",0,(Transactions!M297-Transactions!L297+IF(Transactions!A297=2,Transactions!H297,0))*$E305)</f>
        <v>0</v>
      </c>
      <c r="G305" s="30">
        <f>IF($A305="",0,IF(Transactions!A297=2,Transactions!H297*$E305,0))</f>
        <v>0</v>
      </c>
    </row>
    <row r="306" spans="1:7" ht="15" customHeight="1" x14ac:dyDescent="0.15">
      <c r="A306" t="str">
        <f>IF(Transactions!J298="","",Transactions!J298)</f>
        <v/>
      </c>
      <c r="B306" s="297">
        <f ca="1">IF($A306="",TODAY(),Transactions!G298)</f>
        <v>46216</v>
      </c>
      <c r="C306" t="str">
        <f>IF($A306="","",Transactions!A298)</f>
        <v/>
      </c>
      <c r="D306" s="30">
        <f>IF($A306="",0,Transactions!H298)</f>
        <v>0</v>
      </c>
      <c r="E306">
        <f>IF($A306="",1,IFERROR(INDEX(Prices[FX to SGD],MATCH($A306,Prices[Key],0)),1))</f>
        <v>1</v>
      </c>
      <c r="F306" s="30">
        <f>IF($A306="",0,(Transactions!M298-Transactions!L298+IF(Transactions!A298=2,Transactions!H298,0))*$E306)</f>
        <v>0</v>
      </c>
      <c r="G306" s="30">
        <f>IF($A306="",0,IF(Transactions!A298=2,Transactions!H298*$E306,0))</f>
        <v>0</v>
      </c>
    </row>
    <row r="307" spans="1:7" ht="15" customHeight="1" x14ac:dyDescent="0.15">
      <c r="A307" t="str">
        <f>IF(Transactions!J299="","",Transactions!J299)</f>
        <v/>
      </c>
      <c r="B307" s="297">
        <f ca="1">IF($A307="",TODAY(),Transactions!G299)</f>
        <v>46216</v>
      </c>
      <c r="C307" t="str">
        <f>IF($A307="","",Transactions!A299)</f>
        <v/>
      </c>
      <c r="D307" s="30">
        <f>IF($A307="",0,Transactions!H299)</f>
        <v>0</v>
      </c>
      <c r="E307">
        <f>IF($A307="",1,IFERROR(INDEX(Prices[FX to SGD],MATCH($A307,Prices[Key],0)),1))</f>
        <v>1</v>
      </c>
      <c r="F307" s="30">
        <f>IF($A307="",0,(Transactions!M299-Transactions!L299+IF(Transactions!A299=2,Transactions!H299,0))*$E307)</f>
        <v>0</v>
      </c>
      <c r="G307" s="30">
        <f>IF($A307="",0,IF(Transactions!A299=2,Transactions!H299*$E307,0))</f>
        <v>0</v>
      </c>
    </row>
    <row r="308" spans="1:7" ht="15" customHeight="1" x14ac:dyDescent="0.15">
      <c r="A308" t="str">
        <f>IF(Transactions!J300="","",Transactions!J300)</f>
        <v/>
      </c>
      <c r="B308" s="297">
        <f ca="1">IF($A308="",TODAY(),Transactions!G300)</f>
        <v>46216</v>
      </c>
      <c r="C308" t="str">
        <f>IF($A308="","",Transactions!A300)</f>
        <v/>
      </c>
      <c r="D308" s="30">
        <f>IF($A308="",0,Transactions!H300)</f>
        <v>0</v>
      </c>
      <c r="E308">
        <f>IF($A308="",1,IFERROR(INDEX(Prices[FX to SGD],MATCH($A308,Prices[Key],0)),1))</f>
        <v>1</v>
      </c>
      <c r="F308" s="30">
        <f>IF($A308="",0,(Transactions!M300-Transactions!L300+IF(Transactions!A300=2,Transactions!H300,0))*$E308)</f>
        <v>0</v>
      </c>
      <c r="G308" s="30">
        <f>IF($A308="",0,IF(Transactions!A300=2,Transactions!H300*$E308,0))</f>
        <v>0</v>
      </c>
    </row>
    <row r="309" spans="1:7" ht="15" customHeight="1" x14ac:dyDescent="0.15">
      <c r="A309" t="str">
        <f>IF(Transactions!J301="","",Transactions!J301)</f>
        <v/>
      </c>
      <c r="B309" s="297">
        <f ca="1">IF($A309="",TODAY(),Transactions!G301)</f>
        <v>46216</v>
      </c>
      <c r="C309" t="str">
        <f>IF($A309="","",Transactions!A301)</f>
        <v/>
      </c>
      <c r="D309" s="30">
        <f>IF($A309="",0,Transactions!H301)</f>
        <v>0</v>
      </c>
      <c r="E309">
        <f>IF($A309="",1,IFERROR(INDEX(Prices[FX to SGD],MATCH($A309,Prices[Key],0)),1))</f>
        <v>1</v>
      </c>
      <c r="F309" s="30">
        <f>IF($A309="",0,(Transactions!M301-Transactions!L301+IF(Transactions!A301=2,Transactions!H301,0))*$E309)</f>
        <v>0</v>
      </c>
      <c r="G309" s="30">
        <f>IF($A309="",0,IF(Transactions!A301=2,Transactions!H301*$E309,0))</f>
        <v>0</v>
      </c>
    </row>
    <row r="310" spans="1:7" ht="15" customHeight="1" x14ac:dyDescent="0.15">
      <c r="A310" t="str">
        <f>IF(Transactions!J302="","",Transactions!J302)</f>
        <v/>
      </c>
      <c r="B310" s="297">
        <f ca="1">IF($A310="",TODAY(),Transactions!G302)</f>
        <v>46216</v>
      </c>
      <c r="C310" t="str">
        <f>IF($A310="","",Transactions!A302)</f>
        <v/>
      </c>
      <c r="D310" s="30">
        <f>IF($A310="",0,Transactions!H302)</f>
        <v>0</v>
      </c>
      <c r="E310">
        <f>IF($A310="",1,IFERROR(INDEX(Prices[FX to SGD],MATCH($A310,Prices[Key],0)),1))</f>
        <v>1</v>
      </c>
      <c r="F310" s="30">
        <f>IF($A310="",0,(Transactions!M302-Transactions!L302+IF(Transactions!A302=2,Transactions!H302,0))*$E310)</f>
        <v>0</v>
      </c>
      <c r="G310" s="30">
        <f>IF($A310="",0,IF(Transactions!A302=2,Transactions!H302*$E310,0))</f>
        <v>0</v>
      </c>
    </row>
    <row r="311" spans="1:7" ht="15" customHeight="1" x14ac:dyDescent="0.15">
      <c r="A311" t="str">
        <f>IF(Transactions!J303="","",Transactions!J303)</f>
        <v/>
      </c>
      <c r="B311" s="297">
        <f ca="1">IF($A311="",TODAY(),Transactions!G303)</f>
        <v>46216</v>
      </c>
      <c r="C311" t="str">
        <f>IF($A311="","",Transactions!A303)</f>
        <v/>
      </c>
      <c r="D311" s="30">
        <f>IF($A311="",0,Transactions!H303)</f>
        <v>0</v>
      </c>
      <c r="E311">
        <f>IF($A311="",1,IFERROR(INDEX(Prices[FX to SGD],MATCH($A311,Prices[Key],0)),1))</f>
        <v>1</v>
      </c>
      <c r="F311" s="30">
        <f>IF($A311="",0,(Transactions!M303-Transactions!L303+IF(Transactions!A303=2,Transactions!H303,0))*$E311)</f>
        <v>0</v>
      </c>
      <c r="G311" s="30">
        <f>IF($A311="",0,IF(Transactions!A303=2,Transactions!H303*$E311,0))</f>
        <v>0</v>
      </c>
    </row>
    <row r="312" spans="1:7" ht="15" customHeight="1" x14ac:dyDescent="0.15">
      <c r="A312" t="str">
        <f>IF(Transactions!J304="","",Transactions!J304)</f>
        <v/>
      </c>
      <c r="B312" s="297">
        <f ca="1">IF($A312="",TODAY(),Transactions!G304)</f>
        <v>46216</v>
      </c>
      <c r="C312" t="str">
        <f>IF($A312="","",Transactions!A304)</f>
        <v/>
      </c>
      <c r="D312" s="30">
        <f>IF($A312="",0,Transactions!H304)</f>
        <v>0</v>
      </c>
      <c r="E312">
        <f>IF($A312="",1,IFERROR(INDEX(Prices[FX to SGD],MATCH($A312,Prices[Key],0)),1))</f>
        <v>1</v>
      </c>
      <c r="F312" s="30">
        <f>IF($A312="",0,(Transactions!M304-Transactions!L304+IF(Transactions!A304=2,Transactions!H304,0))*$E312)</f>
        <v>0</v>
      </c>
      <c r="G312" s="30">
        <f>IF($A312="",0,IF(Transactions!A304=2,Transactions!H304*$E312,0))</f>
        <v>0</v>
      </c>
    </row>
    <row r="313" spans="1:7" ht="15" customHeight="1" x14ac:dyDescent="0.15">
      <c r="A313" t="str">
        <f>IF(Transactions!J305="","",Transactions!J305)</f>
        <v/>
      </c>
      <c r="B313" s="297">
        <f ca="1">IF($A313="",TODAY(),Transactions!G305)</f>
        <v>46216</v>
      </c>
      <c r="C313" t="str">
        <f>IF($A313="","",Transactions!A305)</f>
        <v/>
      </c>
      <c r="D313" s="30">
        <f>IF($A313="",0,Transactions!H305)</f>
        <v>0</v>
      </c>
      <c r="E313">
        <f>IF($A313="",1,IFERROR(INDEX(Prices[FX to SGD],MATCH($A313,Prices[Key],0)),1))</f>
        <v>1</v>
      </c>
      <c r="F313" s="30">
        <f>IF($A313="",0,(Transactions!M305-Transactions!L305+IF(Transactions!A305=2,Transactions!H305,0))*$E313)</f>
        <v>0</v>
      </c>
      <c r="G313" s="30">
        <f>IF($A313="",0,IF(Transactions!A305=2,Transactions!H305*$E313,0))</f>
        <v>0</v>
      </c>
    </row>
    <row r="314" spans="1:7" ht="15" customHeight="1" x14ac:dyDescent="0.15">
      <c r="A314" t="str">
        <f>IF(Transactions!J306="","",Transactions!J306)</f>
        <v/>
      </c>
      <c r="B314" s="297">
        <f ca="1">IF($A314="",TODAY(),Transactions!G306)</f>
        <v>46216</v>
      </c>
      <c r="C314" t="str">
        <f>IF($A314="","",Transactions!A306)</f>
        <v/>
      </c>
      <c r="D314" s="30">
        <f>IF($A314="",0,Transactions!H306)</f>
        <v>0</v>
      </c>
      <c r="E314">
        <f>IF($A314="",1,IFERROR(INDEX(Prices[FX to SGD],MATCH($A314,Prices[Key],0)),1))</f>
        <v>1</v>
      </c>
      <c r="F314" s="30">
        <f>IF($A314="",0,(Transactions!M306-Transactions!L306+IF(Transactions!A306=2,Transactions!H306,0))*$E314)</f>
        <v>0</v>
      </c>
      <c r="G314" s="30">
        <f>IF($A314="",0,IF(Transactions!A306=2,Transactions!H306*$E314,0))</f>
        <v>0</v>
      </c>
    </row>
    <row r="315" spans="1:7" ht="15" customHeight="1" x14ac:dyDescent="0.15">
      <c r="A315" t="str">
        <f>IF(Transactions!J307="","",Transactions!J307)</f>
        <v/>
      </c>
      <c r="B315" s="297">
        <f ca="1">IF($A315="",TODAY(),Transactions!G307)</f>
        <v>46216</v>
      </c>
      <c r="C315" t="str">
        <f>IF($A315="","",Transactions!A307)</f>
        <v/>
      </c>
      <c r="D315" s="30">
        <f>IF($A315="",0,Transactions!H307)</f>
        <v>0</v>
      </c>
      <c r="E315">
        <f>IF($A315="",1,IFERROR(INDEX(Prices[FX to SGD],MATCH($A315,Prices[Key],0)),1))</f>
        <v>1</v>
      </c>
      <c r="F315" s="30">
        <f>IF($A315="",0,(Transactions!M307-Transactions!L307+IF(Transactions!A307=2,Transactions!H307,0))*$E315)</f>
        <v>0</v>
      </c>
      <c r="G315" s="30">
        <f>IF($A315="",0,IF(Transactions!A307=2,Transactions!H307*$E315,0))</f>
        <v>0</v>
      </c>
    </row>
    <row r="316" spans="1:7" ht="15" customHeight="1" x14ac:dyDescent="0.15">
      <c r="A316" t="str">
        <f>IF(Transactions!J308="","",Transactions!J308)</f>
        <v/>
      </c>
      <c r="B316" s="297">
        <f ca="1">IF($A316="",TODAY(),Transactions!G308)</f>
        <v>46216</v>
      </c>
      <c r="C316" t="str">
        <f>IF($A316="","",Transactions!A308)</f>
        <v/>
      </c>
      <c r="D316" s="30">
        <f>IF($A316="",0,Transactions!H308)</f>
        <v>0</v>
      </c>
      <c r="E316">
        <f>IF($A316="",1,IFERROR(INDEX(Prices[FX to SGD],MATCH($A316,Prices[Key],0)),1))</f>
        <v>1</v>
      </c>
      <c r="F316" s="30">
        <f>IF($A316="",0,(Transactions!M308-Transactions!L308+IF(Transactions!A308=2,Transactions!H308,0))*$E316)</f>
        <v>0</v>
      </c>
      <c r="G316" s="30">
        <f>IF($A316="",0,IF(Transactions!A308=2,Transactions!H308*$E316,0))</f>
        <v>0</v>
      </c>
    </row>
    <row r="317" spans="1:7" ht="15" customHeight="1" x14ac:dyDescent="0.15">
      <c r="A317" t="str">
        <f>IF(Transactions!J309="","",Transactions!J309)</f>
        <v/>
      </c>
      <c r="B317" s="297">
        <f ca="1">IF($A317="",TODAY(),Transactions!G309)</f>
        <v>46216</v>
      </c>
      <c r="C317" t="str">
        <f>IF($A317="","",Transactions!A309)</f>
        <v/>
      </c>
      <c r="D317" s="30">
        <f>IF($A317="",0,Transactions!H309)</f>
        <v>0</v>
      </c>
      <c r="E317">
        <f>IF($A317="",1,IFERROR(INDEX(Prices[FX to SGD],MATCH($A317,Prices[Key],0)),1))</f>
        <v>1</v>
      </c>
      <c r="F317" s="30">
        <f>IF($A317="",0,(Transactions!M309-Transactions!L309+IF(Transactions!A309=2,Transactions!H309,0))*$E317)</f>
        <v>0</v>
      </c>
      <c r="G317" s="30">
        <f>IF($A317="",0,IF(Transactions!A309=2,Transactions!H309*$E317,0))</f>
        <v>0</v>
      </c>
    </row>
    <row r="318" spans="1:7" ht="15" customHeight="1" x14ac:dyDescent="0.15">
      <c r="A318" t="str">
        <f>IF(Transactions!J310="","",Transactions!J310)</f>
        <v/>
      </c>
      <c r="B318" s="297">
        <f ca="1">IF($A318="",TODAY(),Transactions!G310)</f>
        <v>46216</v>
      </c>
      <c r="C318" t="str">
        <f>IF($A318="","",Transactions!A310)</f>
        <v/>
      </c>
      <c r="D318" s="30">
        <f>IF($A318="",0,Transactions!H310)</f>
        <v>0</v>
      </c>
      <c r="E318">
        <f>IF($A318="",1,IFERROR(INDEX(Prices[FX to SGD],MATCH($A318,Prices[Key],0)),1))</f>
        <v>1</v>
      </c>
      <c r="F318" s="30">
        <f>IF($A318="",0,(Transactions!M310-Transactions!L310+IF(Transactions!A310=2,Transactions!H310,0))*$E318)</f>
        <v>0</v>
      </c>
      <c r="G318" s="30">
        <f>IF($A318="",0,IF(Transactions!A310=2,Transactions!H310*$E318,0))</f>
        <v>0</v>
      </c>
    </row>
    <row r="319" spans="1:7" ht="15" customHeight="1" x14ac:dyDescent="0.15">
      <c r="A319" t="str">
        <f>IF(Transactions!J311="","",Transactions!J311)</f>
        <v/>
      </c>
      <c r="B319" s="297">
        <f ca="1">IF($A319="",TODAY(),Transactions!G311)</f>
        <v>46216</v>
      </c>
      <c r="C319" t="str">
        <f>IF($A319="","",Transactions!A311)</f>
        <v/>
      </c>
      <c r="D319" s="30">
        <f>IF($A319="",0,Transactions!H311)</f>
        <v>0</v>
      </c>
      <c r="E319">
        <f>IF($A319="",1,IFERROR(INDEX(Prices[FX to SGD],MATCH($A319,Prices[Key],0)),1))</f>
        <v>1</v>
      </c>
      <c r="F319" s="30">
        <f>IF($A319="",0,(Transactions!M311-Transactions!L311+IF(Transactions!A311=2,Transactions!H311,0))*$E319)</f>
        <v>0</v>
      </c>
      <c r="G319" s="30">
        <f>IF($A319="",0,IF(Transactions!A311=2,Transactions!H311*$E319,0))</f>
        <v>0</v>
      </c>
    </row>
    <row r="320" spans="1:7" ht="15" customHeight="1" x14ac:dyDescent="0.15">
      <c r="A320" t="str">
        <f>IF(Transactions!J312="","",Transactions!J312)</f>
        <v/>
      </c>
      <c r="B320" s="297">
        <f ca="1">IF($A320="",TODAY(),Transactions!G312)</f>
        <v>46216</v>
      </c>
      <c r="C320" t="str">
        <f>IF($A320="","",Transactions!A312)</f>
        <v/>
      </c>
      <c r="D320" s="30">
        <f>IF($A320="",0,Transactions!H312)</f>
        <v>0</v>
      </c>
      <c r="E320">
        <f>IF($A320="",1,IFERROR(INDEX(Prices[FX to SGD],MATCH($A320,Prices[Key],0)),1))</f>
        <v>1</v>
      </c>
      <c r="F320" s="30">
        <f>IF($A320="",0,(Transactions!M312-Transactions!L312+IF(Transactions!A312=2,Transactions!H312,0))*$E320)</f>
        <v>0</v>
      </c>
      <c r="G320" s="30">
        <f>IF($A320="",0,IF(Transactions!A312=2,Transactions!H312*$E320,0))</f>
        <v>0</v>
      </c>
    </row>
    <row r="321" spans="1:7" ht="15" customHeight="1" x14ac:dyDescent="0.15">
      <c r="A321" t="str">
        <f>IF(Transactions!J313="","",Transactions!J313)</f>
        <v/>
      </c>
      <c r="B321" s="297">
        <f ca="1">IF($A321="",TODAY(),Transactions!G313)</f>
        <v>46216</v>
      </c>
      <c r="C321" t="str">
        <f>IF($A321="","",Transactions!A313)</f>
        <v/>
      </c>
      <c r="D321" s="30">
        <f>IF($A321="",0,Transactions!H313)</f>
        <v>0</v>
      </c>
      <c r="E321">
        <f>IF($A321="",1,IFERROR(INDEX(Prices[FX to SGD],MATCH($A321,Prices[Key],0)),1))</f>
        <v>1</v>
      </c>
      <c r="F321" s="30">
        <f>IF($A321="",0,(Transactions!M313-Transactions!L313+IF(Transactions!A313=2,Transactions!H313,0))*$E321)</f>
        <v>0</v>
      </c>
      <c r="G321" s="30">
        <f>IF($A321="",0,IF(Transactions!A313=2,Transactions!H313*$E321,0))</f>
        <v>0</v>
      </c>
    </row>
    <row r="322" spans="1:7" ht="15" customHeight="1" x14ac:dyDescent="0.15">
      <c r="A322" t="str">
        <f>IF(Transactions!J314="","",Transactions!J314)</f>
        <v/>
      </c>
      <c r="B322" s="297">
        <f ca="1">IF($A322="",TODAY(),Transactions!G314)</f>
        <v>46216</v>
      </c>
      <c r="C322" t="str">
        <f>IF($A322="","",Transactions!A314)</f>
        <v/>
      </c>
      <c r="D322" s="30">
        <f>IF($A322="",0,Transactions!H314)</f>
        <v>0</v>
      </c>
      <c r="E322">
        <f>IF($A322="",1,IFERROR(INDEX(Prices[FX to SGD],MATCH($A322,Prices[Key],0)),1))</f>
        <v>1</v>
      </c>
      <c r="F322" s="30">
        <f>IF($A322="",0,(Transactions!M314-Transactions!L314+IF(Transactions!A314=2,Transactions!H314,0))*$E322)</f>
        <v>0</v>
      </c>
      <c r="G322" s="30">
        <f>IF($A322="",0,IF(Transactions!A314=2,Transactions!H314*$E322,0))</f>
        <v>0</v>
      </c>
    </row>
    <row r="323" spans="1:7" ht="15" customHeight="1" x14ac:dyDescent="0.15">
      <c r="A323" t="str">
        <f>IF(Transactions!J315="","",Transactions!J315)</f>
        <v/>
      </c>
      <c r="B323" s="297">
        <f ca="1">IF($A323="",TODAY(),Transactions!G315)</f>
        <v>46216</v>
      </c>
      <c r="C323" t="str">
        <f>IF($A323="","",Transactions!A315)</f>
        <v/>
      </c>
      <c r="D323" s="30">
        <f>IF($A323="",0,Transactions!H315)</f>
        <v>0</v>
      </c>
      <c r="E323">
        <f>IF($A323="",1,IFERROR(INDEX(Prices[FX to SGD],MATCH($A323,Prices[Key],0)),1))</f>
        <v>1</v>
      </c>
      <c r="F323" s="30">
        <f>IF($A323="",0,(Transactions!M315-Transactions!L315+IF(Transactions!A315=2,Transactions!H315,0))*$E323)</f>
        <v>0</v>
      </c>
      <c r="G323" s="30">
        <f>IF($A323="",0,IF(Transactions!A315=2,Transactions!H315*$E323,0))</f>
        <v>0</v>
      </c>
    </row>
    <row r="324" spans="1:7" ht="15" customHeight="1" x14ac:dyDescent="0.15">
      <c r="A324" t="str">
        <f>IF(Transactions!J316="","",Transactions!J316)</f>
        <v/>
      </c>
      <c r="B324" s="297">
        <f ca="1">IF($A324="",TODAY(),Transactions!G316)</f>
        <v>46216</v>
      </c>
      <c r="C324" t="str">
        <f>IF($A324="","",Transactions!A316)</f>
        <v/>
      </c>
      <c r="D324" s="30">
        <f>IF($A324="",0,Transactions!H316)</f>
        <v>0</v>
      </c>
      <c r="E324">
        <f>IF($A324="",1,IFERROR(INDEX(Prices[FX to SGD],MATCH($A324,Prices[Key],0)),1))</f>
        <v>1</v>
      </c>
      <c r="F324" s="30">
        <f>IF($A324="",0,(Transactions!M316-Transactions!L316+IF(Transactions!A316=2,Transactions!H316,0))*$E324)</f>
        <v>0</v>
      </c>
      <c r="G324" s="30">
        <f>IF($A324="",0,IF(Transactions!A316=2,Transactions!H316*$E324,0))</f>
        <v>0</v>
      </c>
    </row>
    <row r="325" spans="1:7" ht="15" customHeight="1" x14ac:dyDescent="0.15">
      <c r="A325" t="str">
        <f>IF(Transactions!J317="","",Transactions!J317)</f>
        <v/>
      </c>
      <c r="B325" s="297">
        <f ca="1">IF($A325="",TODAY(),Transactions!G317)</f>
        <v>46216</v>
      </c>
      <c r="C325" t="str">
        <f>IF($A325="","",Transactions!A317)</f>
        <v/>
      </c>
      <c r="D325" s="30">
        <f>IF($A325="",0,Transactions!H317)</f>
        <v>0</v>
      </c>
      <c r="E325">
        <f>IF($A325="",1,IFERROR(INDEX(Prices[FX to SGD],MATCH($A325,Prices[Key],0)),1))</f>
        <v>1</v>
      </c>
      <c r="F325" s="30">
        <f>IF($A325="",0,(Transactions!M317-Transactions!L317+IF(Transactions!A317=2,Transactions!H317,0))*$E325)</f>
        <v>0</v>
      </c>
      <c r="G325" s="30">
        <f>IF($A325="",0,IF(Transactions!A317=2,Transactions!H317*$E325,0))</f>
        <v>0</v>
      </c>
    </row>
    <row r="326" spans="1:7" ht="15" customHeight="1" x14ac:dyDescent="0.15">
      <c r="A326" t="str">
        <f>IF(Transactions!J318="","",Transactions!J318)</f>
        <v/>
      </c>
      <c r="B326" s="297">
        <f ca="1">IF($A326="",TODAY(),Transactions!G318)</f>
        <v>46216</v>
      </c>
      <c r="C326" t="str">
        <f>IF($A326="","",Transactions!A318)</f>
        <v/>
      </c>
      <c r="D326" s="30">
        <f>IF($A326="",0,Transactions!H318)</f>
        <v>0</v>
      </c>
      <c r="E326">
        <f>IF($A326="",1,IFERROR(INDEX(Prices[FX to SGD],MATCH($A326,Prices[Key],0)),1))</f>
        <v>1</v>
      </c>
      <c r="F326" s="30">
        <f>IF($A326="",0,(Transactions!M318-Transactions!L318+IF(Transactions!A318=2,Transactions!H318,0))*$E326)</f>
        <v>0</v>
      </c>
      <c r="G326" s="30">
        <f>IF($A326="",0,IF(Transactions!A318=2,Transactions!H318*$E326,0))</f>
        <v>0</v>
      </c>
    </row>
    <row r="327" spans="1:7" ht="15" customHeight="1" x14ac:dyDescent="0.15">
      <c r="A327" t="str">
        <f>IF(Transactions!J319="","",Transactions!J319)</f>
        <v/>
      </c>
      <c r="B327" s="297">
        <f ca="1">IF($A327="",TODAY(),Transactions!G319)</f>
        <v>46216</v>
      </c>
      <c r="C327" t="str">
        <f>IF($A327="","",Transactions!A319)</f>
        <v/>
      </c>
      <c r="D327" s="30">
        <f>IF($A327="",0,Transactions!H319)</f>
        <v>0</v>
      </c>
      <c r="E327">
        <f>IF($A327="",1,IFERROR(INDEX(Prices[FX to SGD],MATCH($A327,Prices[Key],0)),1))</f>
        <v>1</v>
      </c>
      <c r="F327" s="30">
        <f>IF($A327="",0,(Transactions!M319-Transactions!L319+IF(Transactions!A319=2,Transactions!H319,0))*$E327)</f>
        <v>0</v>
      </c>
      <c r="G327" s="30">
        <f>IF($A327="",0,IF(Transactions!A319=2,Transactions!H319*$E327,0))</f>
        <v>0</v>
      </c>
    </row>
    <row r="328" spans="1:7" ht="15" customHeight="1" x14ac:dyDescent="0.15">
      <c r="A328" t="str">
        <f>IF(Transactions!J320="","",Transactions!J320)</f>
        <v/>
      </c>
      <c r="B328" s="297">
        <f ca="1">IF($A328="",TODAY(),Transactions!G320)</f>
        <v>46216</v>
      </c>
      <c r="C328" t="str">
        <f>IF($A328="","",Transactions!A320)</f>
        <v/>
      </c>
      <c r="D328" s="30">
        <f>IF($A328="",0,Transactions!H320)</f>
        <v>0</v>
      </c>
      <c r="E328">
        <f>IF($A328="",1,IFERROR(INDEX(Prices[FX to SGD],MATCH($A328,Prices[Key],0)),1))</f>
        <v>1</v>
      </c>
      <c r="F328" s="30">
        <f>IF($A328="",0,(Transactions!M320-Transactions!L320+IF(Transactions!A320=2,Transactions!H320,0))*$E328)</f>
        <v>0</v>
      </c>
      <c r="G328" s="30">
        <f>IF($A328="",0,IF(Transactions!A320=2,Transactions!H320*$E328,0))</f>
        <v>0</v>
      </c>
    </row>
    <row r="329" spans="1:7" ht="15" customHeight="1" x14ac:dyDescent="0.15">
      <c r="A329" t="str">
        <f>IF(Transactions!J321="","",Transactions!J321)</f>
        <v/>
      </c>
      <c r="B329" s="297">
        <f ca="1">IF($A329="",TODAY(),Transactions!G321)</f>
        <v>46216</v>
      </c>
      <c r="C329" t="str">
        <f>IF($A329="","",Transactions!A321)</f>
        <v/>
      </c>
      <c r="D329" s="30">
        <f>IF($A329="",0,Transactions!H321)</f>
        <v>0</v>
      </c>
      <c r="E329">
        <f>IF($A329="",1,IFERROR(INDEX(Prices[FX to SGD],MATCH($A329,Prices[Key],0)),1))</f>
        <v>1</v>
      </c>
      <c r="F329" s="30">
        <f>IF($A329="",0,(Transactions!M321-Transactions!L321+IF(Transactions!A321=2,Transactions!H321,0))*$E329)</f>
        <v>0</v>
      </c>
      <c r="G329" s="30">
        <f>IF($A329="",0,IF(Transactions!A321=2,Transactions!H321*$E329,0))</f>
        <v>0</v>
      </c>
    </row>
    <row r="330" spans="1:7" ht="15" customHeight="1" x14ac:dyDescent="0.15">
      <c r="A330" t="str">
        <f>IF(Transactions!J322="","",Transactions!J322)</f>
        <v/>
      </c>
      <c r="B330" s="297">
        <f ca="1">IF($A330="",TODAY(),Transactions!G322)</f>
        <v>46216</v>
      </c>
      <c r="C330" t="str">
        <f>IF($A330="","",Transactions!A322)</f>
        <v/>
      </c>
      <c r="D330" s="30">
        <f>IF($A330="",0,Transactions!H322)</f>
        <v>0</v>
      </c>
      <c r="E330">
        <f>IF($A330="",1,IFERROR(INDEX(Prices[FX to SGD],MATCH($A330,Prices[Key],0)),1))</f>
        <v>1</v>
      </c>
      <c r="F330" s="30">
        <f>IF($A330="",0,(Transactions!M322-Transactions!L322+IF(Transactions!A322=2,Transactions!H322,0))*$E330)</f>
        <v>0</v>
      </c>
      <c r="G330" s="30">
        <f>IF($A330="",0,IF(Transactions!A322=2,Transactions!H322*$E330,0))</f>
        <v>0</v>
      </c>
    </row>
    <row r="331" spans="1:7" ht="15" customHeight="1" x14ac:dyDescent="0.15">
      <c r="A331" t="str">
        <f>IF(Transactions!J323="","",Transactions!J323)</f>
        <v/>
      </c>
      <c r="B331" s="297">
        <f ca="1">IF($A331="",TODAY(),Transactions!G323)</f>
        <v>46216</v>
      </c>
      <c r="C331" t="str">
        <f>IF($A331="","",Transactions!A323)</f>
        <v/>
      </c>
      <c r="D331" s="30">
        <f>IF($A331="",0,Transactions!H323)</f>
        <v>0</v>
      </c>
      <c r="E331">
        <f>IF($A331="",1,IFERROR(INDEX(Prices[FX to SGD],MATCH($A331,Prices[Key],0)),1))</f>
        <v>1</v>
      </c>
      <c r="F331" s="30">
        <f>IF($A331="",0,(Transactions!M323-Transactions!L323+IF(Transactions!A323=2,Transactions!H323,0))*$E331)</f>
        <v>0</v>
      </c>
      <c r="G331" s="30">
        <f>IF($A331="",0,IF(Transactions!A323=2,Transactions!H323*$E331,0))</f>
        <v>0</v>
      </c>
    </row>
    <row r="332" spans="1:7" ht="15" customHeight="1" x14ac:dyDescent="0.15">
      <c r="A332" t="str">
        <f>IF(Transactions!J324="","",Transactions!J324)</f>
        <v/>
      </c>
      <c r="B332" s="297">
        <f ca="1">IF($A332="",TODAY(),Transactions!G324)</f>
        <v>46216</v>
      </c>
      <c r="C332" t="str">
        <f>IF($A332="","",Transactions!A324)</f>
        <v/>
      </c>
      <c r="D332" s="30">
        <f>IF($A332="",0,Transactions!H324)</f>
        <v>0</v>
      </c>
      <c r="E332">
        <f>IF($A332="",1,IFERROR(INDEX(Prices[FX to SGD],MATCH($A332,Prices[Key],0)),1))</f>
        <v>1</v>
      </c>
      <c r="F332" s="30">
        <f>IF($A332="",0,(Transactions!M324-Transactions!L324+IF(Transactions!A324=2,Transactions!H324,0))*$E332)</f>
        <v>0</v>
      </c>
      <c r="G332" s="30">
        <f>IF($A332="",0,IF(Transactions!A324=2,Transactions!H324*$E332,0))</f>
        <v>0</v>
      </c>
    </row>
    <row r="333" spans="1:7" ht="15" customHeight="1" x14ac:dyDescent="0.15">
      <c r="A333" t="str">
        <f>IF(Transactions!J325="","",Transactions!J325)</f>
        <v/>
      </c>
      <c r="B333" s="297">
        <f ca="1">IF($A333="",TODAY(),Transactions!G325)</f>
        <v>46216</v>
      </c>
      <c r="C333" t="str">
        <f>IF($A333="","",Transactions!A325)</f>
        <v/>
      </c>
      <c r="D333" s="30">
        <f>IF($A333="",0,Transactions!H325)</f>
        <v>0</v>
      </c>
      <c r="E333">
        <f>IF($A333="",1,IFERROR(INDEX(Prices[FX to SGD],MATCH($A333,Prices[Key],0)),1))</f>
        <v>1</v>
      </c>
      <c r="F333" s="30">
        <f>IF($A333="",0,(Transactions!M325-Transactions!L325+IF(Transactions!A325=2,Transactions!H325,0))*$E333)</f>
        <v>0</v>
      </c>
      <c r="G333" s="30">
        <f>IF($A333="",0,IF(Transactions!A325=2,Transactions!H325*$E333,0))</f>
        <v>0</v>
      </c>
    </row>
    <row r="334" spans="1:7" ht="15" customHeight="1" x14ac:dyDescent="0.15">
      <c r="A334" t="str">
        <f>IF(Transactions!J326="","",Transactions!J326)</f>
        <v/>
      </c>
      <c r="B334" s="297">
        <f ca="1">IF($A334="",TODAY(),Transactions!G326)</f>
        <v>46216</v>
      </c>
      <c r="C334" t="str">
        <f>IF($A334="","",Transactions!A326)</f>
        <v/>
      </c>
      <c r="D334" s="30">
        <f>IF($A334="",0,Transactions!H326)</f>
        <v>0</v>
      </c>
      <c r="E334">
        <f>IF($A334="",1,IFERROR(INDEX(Prices[FX to SGD],MATCH($A334,Prices[Key],0)),1))</f>
        <v>1</v>
      </c>
      <c r="F334" s="30">
        <f>IF($A334="",0,(Transactions!M326-Transactions!L326+IF(Transactions!A326=2,Transactions!H326,0))*$E334)</f>
        <v>0</v>
      </c>
      <c r="G334" s="30">
        <f>IF($A334="",0,IF(Transactions!A326=2,Transactions!H326*$E334,0))</f>
        <v>0</v>
      </c>
    </row>
    <row r="335" spans="1:7" ht="15" customHeight="1" x14ac:dyDescent="0.15">
      <c r="A335" t="str">
        <f>IF(Transactions!J327="","",Transactions!J327)</f>
        <v/>
      </c>
      <c r="B335" s="297">
        <f ca="1">IF($A335="",TODAY(),Transactions!G327)</f>
        <v>46216</v>
      </c>
      <c r="C335" t="str">
        <f>IF($A335="","",Transactions!A327)</f>
        <v/>
      </c>
      <c r="D335" s="30">
        <f>IF($A335="",0,Transactions!H327)</f>
        <v>0</v>
      </c>
      <c r="E335">
        <f>IF($A335="",1,IFERROR(INDEX(Prices[FX to SGD],MATCH($A335,Prices[Key],0)),1))</f>
        <v>1</v>
      </c>
      <c r="F335" s="30">
        <f>IF($A335="",0,(Transactions!M327-Transactions!L327+IF(Transactions!A327=2,Transactions!H327,0))*$E335)</f>
        <v>0</v>
      </c>
      <c r="G335" s="30">
        <f>IF($A335="",0,IF(Transactions!A327=2,Transactions!H327*$E335,0))</f>
        <v>0</v>
      </c>
    </row>
    <row r="336" spans="1:7" ht="15" customHeight="1" x14ac:dyDescent="0.15">
      <c r="A336" t="str">
        <f>IF(Transactions!J328="","",Transactions!J328)</f>
        <v/>
      </c>
      <c r="B336" s="297">
        <f ca="1">IF($A336="",TODAY(),Transactions!G328)</f>
        <v>46216</v>
      </c>
      <c r="C336" t="str">
        <f>IF($A336="","",Transactions!A328)</f>
        <v/>
      </c>
      <c r="D336" s="30">
        <f>IF($A336="",0,Transactions!H328)</f>
        <v>0</v>
      </c>
      <c r="E336">
        <f>IF($A336="",1,IFERROR(INDEX(Prices[FX to SGD],MATCH($A336,Prices[Key],0)),1))</f>
        <v>1</v>
      </c>
      <c r="F336" s="30">
        <f>IF($A336="",0,(Transactions!M328-Transactions!L328+IF(Transactions!A328=2,Transactions!H328,0))*$E336)</f>
        <v>0</v>
      </c>
      <c r="G336" s="30">
        <f>IF($A336="",0,IF(Transactions!A328=2,Transactions!H328*$E336,0))</f>
        <v>0</v>
      </c>
    </row>
    <row r="337" spans="1:7" ht="15" customHeight="1" x14ac:dyDescent="0.15">
      <c r="A337" t="str">
        <f>IF(Transactions!J329="","",Transactions!J329)</f>
        <v/>
      </c>
      <c r="B337" s="297">
        <f ca="1">IF($A337="",TODAY(),Transactions!G329)</f>
        <v>46216</v>
      </c>
      <c r="C337" t="str">
        <f>IF($A337="","",Transactions!A329)</f>
        <v/>
      </c>
      <c r="D337" s="30">
        <f>IF($A337="",0,Transactions!H329)</f>
        <v>0</v>
      </c>
      <c r="E337">
        <f>IF($A337="",1,IFERROR(INDEX(Prices[FX to SGD],MATCH($A337,Prices[Key],0)),1))</f>
        <v>1</v>
      </c>
      <c r="F337" s="30">
        <f>IF($A337="",0,(Transactions!M329-Transactions!L329+IF(Transactions!A329=2,Transactions!H329,0))*$E337)</f>
        <v>0</v>
      </c>
      <c r="G337" s="30">
        <f>IF($A337="",0,IF(Transactions!A329=2,Transactions!H329*$E337,0))</f>
        <v>0</v>
      </c>
    </row>
    <row r="338" spans="1:7" ht="15" customHeight="1" x14ac:dyDescent="0.15">
      <c r="A338" t="str">
        <f>IF(Transactions!J330="","",Transactions!J330)</f>
        <v/>
      </c>
      <c r="B338" s="297">
        <f ca="1">IF($A338="",TODAY(),Transactions!G330)</f>
        <v>46216</v>
      </c>
      <c r="C338" t="str">
        <f>IF($A338="","",Transactions!A330)</f>
        <v/>
      </c>
      <c r="D338" s="30">
        <f>IF($A338="",0,Transactions!H330)</f>
        <v>0</v>
      </c>
      <c r="E338">
        <f>IF($A338="",1,IFERROR(INDEX(Prices[FX to SGD],MATCH($A338,Prices[Key],0)),1))</f>
        <v>1</v>
      </c>
      <c r="F338" s="30">
        <f>IF($A338="",0,(Transactions!M330-Transactions!L330+IF(Transactions!A330=2,Transactions!H330,0))*$E338)</f>
        <v>0</v>
      </c>
      <c r="G338" s="30">
        <f>IF($A338="",0,IF(Transactions!A330=2,Transactions!H330*$E338,0))</f>
        <v>0</v>
      </c>
    </row>
    <row r="339" spans="1:7" ht="15" customHeight="1" x14ac:dyDescent="0.15">
      <c r="A339" t="str">
        <f>IF(Transactions!J331="","",Transactions!J331)</f>
        <v/>
      </c>
      <c r="B339" s="297">
        <f ca="1">IF($A339="",TODAY(),Transactions!G331)</f>
        <v>46216</v>
      </c>
      <c r="C339" t="str">
        <f>IF($A339="","",Transactions!A331)</f>
        <v/>
      </c>
      <c r="D339" s="30">
        <f>IF($A339="",0,Transactions!H331)</f>
        <v>0</v>
      </c>
      <c r="E339">
        <f>IF($A339="",1,IFERROR(INDEX(Prices[FX to SGD],MATCH($A339,Prices[Key],0)),1))</f>
        <v>1</v>
      </c>
      <c r="F339" s="30">
        <f>IF($A339="",0,(Transactions!M331-Transactions!L331+IF(Transactions!A331=2,Transactions!H331,0))*$E339)</f>
        <v>0</v>
      </c>
      <c r="G339" s="30">
        <f>IF($A339="",0,IF(Transactions!A331=2,Transactions!H331*$E339,0))</f>
        <v>0</v>
      </c>
    </row>
    <row r="340" spans="1:7" ht="15" customHeight="1" x14ac:dyDescent="0.15">
      <c r="A340" t="str">
        <f>IF(Transactions!J332="","",Transactions!J332)</f>
        <v/>
      </c>
      <c r="B340" s="297">
        <f ca="1">IF($A340="",TODAY(),Transactions!G332)</f>
        <v>46216</v>
      </c>
      <c r="C340" t="str">
        <f>IF($A340="","",Transactions!A332)</f>
        <v/>
      </c>
      <c r="D340" s="30">
        <f>IF($A340="",0,Transactions!H332)</f>
        <v>0</v>
      </c>
      <c r="E340">
        <f>IF($A340="",1,IFERROR(INDEX(Prices[FX to SGD],MATCH($A340,Prices[Key],0)),1))</f>
        <v>1</v>
      </c>
      <c r="F340" s="30">
        <f>IF($A340="",0,(Transactions!M332-Transactions!L332+IF(Transactions!A332=2,Transactions!H332,0))*$E340)</f>
        <v>0</v>
      </c>
      <c r="G340" s="30">
        <f>IF($A340="",0,IF(Transactions!A332=2,Transactions!H332*$E340,0))</f>
        <v>0</v>
      </c>
    </row>
    <row r="341" spans="1:7" ht="15" customHeight="1" x14ac:dyDescent="0.15">
      <c r="A341" t="str">
        <f>IF(Transactions!J333="","",Transactions!J333)</f>
        <v/>
      </c>
      <c r="B341" s="297">
        <f ca="1">IF($A341="",TODAY(),Transactions!G333)</f>
        <v>46216</v>
      </c>
      <c r="C341" t="str">
        <f>IF($A341="","",Transactions!A333)</f>
        <v/>
      </c>
      <c r="D341" s="30">
        <f>IF($A341="",0,Transactions!H333)</f>
        <v>0</v>
      </c>
      <c r="E341">
        <f>IF($A341="",1,IFERROR(INDEX(Prices[FX to SGD],MATCH($A341,Prices[Key],0)),1))</f>
        <v>1</v>
      </c>
      <c r="F341" s="30">
        <f>IF($A341="",0,(Transactions!M333-Transactions!L333+IF(Transactions!A333=2,Transactions!H333,0))*$E341)</f>
        <v>0</v>
      </c>
      <c r="G341" s="30">
        <f>IF($A341="",0,IF(Transactions!A333=2,Transactions!H333*$E341,0))</f>
        <v>0</v>
      </c>
    </row>
    <row r="342" spans="1:7" ht="15" customHeight="1" x14ac:dyDescent="0.15">
      <c r="A342" t="str">
        <f>IF(Transactions!J334="","",Transactions!J334)</f>
        <v/>
      </c>
      <c r="B342" s="297">
        <f ca="1">IF($A342="",TODAY(),Transactions!G334)</f>
        <v>46216</v>
      </c>
      <c r="C342" t="str">
        <f>IF($A342="","",Transactions!A334)</f>
        <v/>
      </c>
      <c r="D342" s="30">
        <f>IF($A342="",0,Transactions!H334)</f>
        <v>0</v>
      </c>
      <c r="E342">
        <f>IF($A342="",1,IFERROR(INDEX(Prices[FX to SGD],MATCH($A342,Prices[Key],0)),1))</f>
        <v>1</v>
      </c>
      <c r="F342" s="30">
        <f>IF($A342="",0,(Transactions!M334-Transactions!L334+IF(Transactions!A334=2,Transactions!H334,0))*$E342)</f>
        <v>0</v>
      </c>
      <c r="G342" s="30">
        <f>IF($A342="",0,IF(Transactions!A334=2,Transactions!H334*$E342,0))</f>
        <v>0</v>
      </c>
    </row>
    <row r="343" spans="1:7" ht="15" customHeight="1" x14ac:dyDescent="0.15">
      <c r="A343" t="str">
        <f>IF(Transactions!J335="","",Transactions!J335)</f>
        <v/>
      </c>
      <c r="B343" s="297">
        <f ca="1">IF($A343="",TODAY(),Transactions!G335)</f>
        <v>46216</v>
      </c>
      <c r="C343" t="str">
        <f>IF($A343="","",Transactions!A335)</f>
        <v/>
      </c>
      <c r="D343" s="30">
        <f>IF($A343="",0,Transactions!H335)</f>
        <v>0</v>
      </c>
      <c r="E343">
        <f>IF($A343="",1,IFERROR(INDEX(Prices[FX to SGD],MATCH($A343,Prices[Key],0)),1))</f>
        <v>1</v>
      </c>
      <c r="F343" s="30">
        <f>IF($A343="",0,(Transactions!M335-Transactions!L335+IF(Transactions!A335=2,Transactions!H335,0))*$E343)</f>
        <v>0</v>
      </c>
      <c r="G343" s="30">
        <f>IF($A343="",0,IF(Transactions!A335=2,Transactions!H335*$E343,0))</f>
        <v>0</v>
      </c>
    </row>
    <row r="344" spans="1:7" ht="15" customHeight="1" x14ac:dyDescent="0.15">
      <c r="A344" t="str">
        <f>IF(Transactions!J336="","",Transactions!J336)</f>
        <v/>
      </c>
      <c r="B344" s="297">
        <f ca="1">IF($A344="",TODAY(),Transactions!G336)</f>
        <v>46216</v>
      </c>
      <c r="C344" t="str">
        <f>IF($A344="","",Transactions!A336)</f>
        <v/>
      </c>
      <c r="D344" s="30">
        <f>IF($A344="",0,Transactions!H336)</f>
        <v>0</v>
      </c>
      <c r="E344">
        <f>IF($A344="",1,IFERROR(INDEX(Prices[FX to SGD],MATCH($A344,Prices[Key],0)),1))</f>
        <v>1</v>
      </c>
      <c r="F344" s="30">
        <f>IF($A344="",0,(Transactions!M336-Transactions!L336+IF(Transactions!A336=2,Transactions!H336,0))*$E344)</f>
        <v>0</v>
      </c>
      <c r="G344" s="30">
        <f>IF($A344="",0,IF(Transactions!A336=2,Transactions!H336*$E344,0))</f>
        <v>0</v>
      </c>
    </row>
    <row r="345" spans="1:7" ht="15" customHeight="1" x14ac:dyDescent="0.15">
      <c r="A345" t="str">
        <f>IF(Transactions!J337="","",Transactions!J337)</f>
        <v/>
      </c>
      <c r="B345" s="297">
        <f ca="1">IF($A345="",TODAY(),Transactions!G337)</f>
        <v>46216</v>
      </c>
      <c r="C345" t="str">
        <f>IF($A345="","",Transactions!A337)</f>
        <v/>
      </c>
      <c r="D345" s="30">
        <f>IF($A345="",0,Transactions!H337)</f>
        <v>0</v>
      </c>
      <c r="E345">
        <f>IF($A345="",1,IFERROR(INDEX(Prices[FX to SGD],MATCH($A345,Prices[Key],0)),1))</f>
        <v>1</v>
      </c>
      <c r="F345" s="30">
        <f>IF($A345="",0,(Transactions!M337-Transactions!L337+IF(Transactions!A337=2,Transactions!H337,0))*$E345)</f>
        <v>0</v>
      </c>
      <c r="G345" s="30">
        <f>IF($A345="",0,IF(Transactions!A337=2,Transactions!H337*$E345,0))</f>
        <v>0</v>
      </c>
    </row>
    <row r="346" spans="1:7" ht="15" customHeight="1" x14ac:dyDescent="0.15">
      <c r="A346" t="str">
        <f>IF(Transactions!J338="","",Transactions!J338)</f>
        <v/>
      </c>
      <c r="B346" s="297">
        <f ca="1">IF($A346="",TODAY(),Transactions!G338)</f>
        <v>46216</v>
      </c>
      <c r="C346" t="str">
        <f>IF($A346="","",Transactions!A338)</f>
        <v/>
      </c>
      <c r="D346" s="30">
        <f>IF($A346="",0,Transactions!H338)</f>
        <v>0</v>
      </c>
      <c r="E346">
        <f>IF($A346="",1,IFERROR(INDEX(Prices[FX to SGD],MATCH($A346,Prices[Key],0)),1))</f>
        <v>1</v>
      </c>
      <c r="F346" s="30">
        <f>IF($A346="",0,(Transactions!M338-Transactions!L338+IF(Transactions!A338=2,Transactions!H338,0))*$E346)</f>
        <v>0</v>
      </c>
      <c r="G346" s="30">
        <f>IF($A346="",0,IF(Transactions!A338=2,Transactions!H338*$E346,0))</f>
        <v>0</v>
      </c>
    </row>
    <row r="347" spans="1:7" ht="15" customHeight="1" x14ac:dyDescent="0.15">
      <c r="A347" t="str">
        <f>IF(Transactions!J339="","",Transactions!J339)</f>
        <v/>
      </c>
      <c r="B347" s="297">
        <f ca="1">IF($A347="",TODAY(),Transactions!G339)</f>
        <v>46216</v>
      </c>
      <c r="C347" t="str">
        <f>IF($A347="","",Transactions!A339)</f>
        <v/>
      </c>
      <c r="D347" s="30">
        <f>IF($A347="",0,Transactions!H339)</f>
        <v>0</v>
      </c>
      <c r="E347">
        <f>IF($A347="",1,IFERROR(INDEX(Prices[FX to SGD],MATCH($A347,Prices[Key],0)),1))</f>
        <v>1</v>
      </c>
      <c r="F347" s="30">
        <f>IF($A347="",0,(Transactions!M339-Transactions!L339+IF(Transactions!A339=2,Transactions!H339,0))*$E347)</f>
        <v>0</v>
      </c>
      <c r="G347" s="30">
        <f>IF($A347="",0,IF(Transactions!A339=2,Transactions!H339*$E347,0))</f>
        <v>0</v>
      </c>
    </row>
    <row r="348" spans="1:7" ht="15" customHeight="1" x14ac:dyDescent="0.15">
      <c r="A348" t="str">
        <f>IF(Transactions!J340="","",Transactions!J340)</f>
        <v/>
      </c>
      <c r="B348" s="297">
        <f ca="1">IF($A348="",TODAY(),Transactions!G340)</f>
        <v>46216</v>
      </c>
      <c r="C348" t="str">
        <f>IF($A348="","",Transactions!A340)</f>
        <v/>
      </c>
      <c r="D348" s="30">
        <f>IF($A348="",0,Transactions!H340)</f>
        <v>0</v>
      </c>
      <c r="E348">
        <f>IF($A348="",1,IFERROR(INDEX(Prices[FX to SGD],MATCH($A348,Prices[Key],0)),1))</f>
        <v>1</v>
      </c>
      <c r="F348" s="30">
        <f>IF($A348="",0,(Transactions!M340-Transactions!L340+IF(Transactions!A340=2,Transactions!H340,0))*$E348)</f>
        <v>0</v>
      </c>
      <c r="G348" s="30">
        <f>IF($A348="",0,IF(Transactions!A340=2,Transactions!H340*$E348,0))</f>
        <v>0</v>
      </c>
    </row>
    <row r="349" spans="1:7" ht="15" customHeight="1" x14ac:dyDescent="0.15">
      <c r="A349" t="str">
        <f>IF(Transactions!J341="","",Transactions!J341)</f>
        <v/>
      </c>
      <c r="B349" s="297">
        <f ca="1">IF($A349="",TODAY(),Transactions!G341)</f>
        <v>46216</v>
      </c>
      <c r="C349" t="str">
        <f>IF($A349="","",Transactions!A341)</f>
        <v/>
      </c>
      <c r="D349" s="30">
        <f>IF($A349="",0,Transactions!H341)</f>
        <v>0</v>
      </c>
      <c r="E349">
        <f>IF($A349="",1,IFERROR(INDEX(Prices[FX to SGD],MATCH($A349,Prices[Key],0)),1))</f>
        <v>1</v>
      </c>
      <c r="F349" s="30">
        <f>IF($A349="",0,(Transactions!M341-Transactions!L341+IF(Transactions!A341=2,Transactions!H341,0))*$E349)</f>
        <v>0</v>
      </c>
      <c r="G349" s="30">
        <f>IF($A349="",0,IF(Transactions!A341=2,Transactions!H341*$E349,0))</f>
        <v>0</v>
      </c>
    </row>
    <row r="350" spans="1:7" ht="15" customHeight="1" x14ac:dyDescent="0.15">
      <c r="A350" t="str">
        <f>IF(Transactions!J342="","",Transactions!J342)</f>
        <v/>
      </c>
      <c r="B350" s="297">
        <f ca="1">IF($A350="",TODAY(),Transactions!G342)</f>
        <v>46216</v>
      </c>
      <c r="C350" t="str">
        <f>IF($A350="","",Transactions!A342)</f>
        <v/>
      </c>
      <c r="D350" s="30">
        <f>IF($A350="",0,Transactions!H342)</f>
        <v>0</v>
      </c>
      <c r="E350">
        <f>IF($A350="",1,IFERROR(INDEX(Prices[FX to SGD],MATCH($A350,Prices[Key],0)),1))</f>
        <v>1</v>
      </c>
      <c r="F350" s="30">
        <f>IF($A350="",0,(Transactions!M342-Transactions!L342+IF(Transactions!A342=2,Transactions!H342,0))*$E350)</f>
        <v>0</v>
      </c>
      <c r="G350" s="30">
        <f>IF($A350="",0,IF(Transactions!A342=2,Transactions!H342*$E350,0))</f>
        <v>0</v>
      </c>
    </row>
    <row r="351" spans="1:7" ht="15" customHeight="1" x14ac:dyDescent="0.15">
      <c r="A351" t="str">
        <f>IF(Transactions!J343="","",Transactions!J343)</f>
        <v/>
      </c>
      <c r="B351" s="297">
        <f ca="1">IF($A351="",TODAY(),Transactions!G343)</f>
        <v>46216</v>
      </c>
      <c r="C351" t="str">
        <f>IF($A351="","",Transactions!A343)</f>
        <v/>
      </c>
      <c r="D351" s="30">
        <f>IF($A351="",0,Transactions!H343)</f>
        <v>0</v>
      </c>
      <c r="E351">
        <f>IF($A351="",1,IFERROR(INDEX(Prices[FX to SGD],MATCH($A351,Prices[Key],0)),1))</f>
        <v>1</v>
      </c>
      <c r="F351" s="30">
        <f>IF($A351="",0,(Transactions!M343-Transactions!L343+IF(Transactions!A343=2,Transactions!H343,0))*$E351)</f>
        <v>0</v>
      </c>
      <c r="G351" s="30">
        <f>IF($A351="",0,IF(Transactions!A343=2,Transactions!H343*$E351,0))</f>
        <v>0</v>
      </c>
    </row>
    <row r="352" spans="1:7" ht="15" customHeight="1" x14ac:dyDescent="0.15">
      <c r="A352" t="str">
        <f>IF(Transactions!J344="","",Transactions!J344)</f>
        <v/>
      </c>
      <c r="B352" s="297">
        <f ca="1">IF($A352="",TODAY(),Transactions!G344)</f>
        <v>46216</v>
      </c>
      <c r="C352" t="str">
        <f>IF($A352="","",Transactions!A344)</f>
        <v/>
      </c>
      <c r="D352" s="30">
        <f>IF($A352="",0,Transactions!H344)</f>
        <v>0</v>
      </c>
      <c r="E352">
        <f>IF($A352="",1,IFERROR(INDEX(Prices[FX to SGD],MATCH($A352,Prices[Key],0)),1))</f>
        <v>1</v>
      </c>
      <c r="F352" s="30">
        <f>IF($A352="",0,(Transactions!M344-Transactions!L344+IF(Transactions!A344=2,Transactions!H344,0))*$E352)</f>
        <v>0</v>
      </c>
      <c r="G352" s="30">
        <f>IF($A352="",0,IF(Transactions!A344=2,Transactions!H344*$E352,0))</f>
        <v>0</v>
      </c>
    </row>
    <row r="353" spans="1:7" ht="15" customHeight="1" x14ac:dyDescent="0.15">
      <c r="A353" t="str">
        <f>IF(Transactions!J345="","",Transactions!J345)</f>
        <v/>
      </c>
      <c r="B353" s="297">
        <f ca="1">IF($A353="",TODAY(),Transactions!G345)</f>
        <v>46216</v>
      </c>
      <c r="C353" t="str">
        <f>IF($A353="","",Transactions!A345)</f>
        <v/>
      </c>
      <c r="D353" s="30">
        <f>IF($A353="",0,Transactions!H345)</f>
        <v>0</v>
      </c>
      <c r="E353">
        <f>IF($A353="",1,IFERROR(INDEX(Prices[FX to SGD],MATCH($A353,Prices[Key],0)),1))</f>
        <v>1</v>
      </c>
      <c r="F353" s="30">
        <f>IF($A353="",0,(Transactions!M345-Transactions!L345+IF(Transactions!A345=2,Transactions!H345,0))*$E353)</f>
        <v>0</v>
      </c>
      <c r="G353" s="30">
        <f>IF($A353="",0,IF(Transactions!A345=2,Transactions!H345*$E353,0))</f>
        <v>0</v>
      </c>
    </row>
    <row r="354" spans="1:7" ht="15" customHeight="1" x14ac:dyDescent="0.15">
      <c r="A354" t="str">
        <f>IF(Transactions!J346="","",Transactions!J346)</f>
        <v/>
      </c>
      <c r="B354" s="297">
        <f ca="1">IF($A354="",TODAY(),Transactions!G346)</f>
        <v>46216</v>
      </c>
      <c r="C354" t="str">
        <f>IF($A354="","",Transactions!A346)</f>
        <v/>
      </c>
      <c r="D354" s="30">
        <f>IF($A354="",0,Transactions!H346)</f>
        <v>0</v>
      </c>
      <c r="E354">
        <f>IF($A354="",1,IFERROR(INDEX(Prices[FX to SGD],MATCH($A354,Prices[Key],0)),1))</f>
        <v>1</v>
      </c>
      <c r="F354" s="30">
        <f>IF($A354="",0,(Transactions!M346-Transactions!L346+IF(Transactions!A346=2,Transactions!H346,0))*$E354)</f>
        <v>0</v>
      </c>
      <c r="G354" s="30">
        <f>IF($A354="",0,IF(Transactions!A346=2,Transactions!H346*$E354,0))</f>
        <v>0</v>
      </c>
    </row>
    <row r="355" spans="1:7" ht="15" customHeight="1" x14ac:dyDescent="0.15">
      <c r="A355" t="str">
        <f>IF(Transactions!J347="","",Transactions!J347)</f>
        <v/>
      </c>
      <c r="B355" s="297">
        <f ca="1">IF($A355="",TODAY(),Transactions!G347)</f>
        <v>46216</v>
      </c>
      <c r="C355" t="str">
        <f>IF($A355="","",Transactions!A347)</f>
        <v/>
      </c>
      <c r="D355" s="30">
        <f>IF($A355="",0,Transactions!H347)</f>
        <v>0</v>
      </c>
      <c r="E355">
        <f>IF($A355="",1,IFERROR(INDEX(Prices[FX to SGD],MATCH($A355,Prices[Key],0)),1))</f>
        <v>1</v>
      </c>
      <c r="F355" s="30">
        <f>IF($A355="",0,(Transactions!M347-Transactions!L347+IF(Transactions!A347=2,Transactions!H347,0))*$E355)</f>
        <v>0</v>
      </c>
      <c r="G355" s="30">
        <f>IF($A355="",0,IF(Transactions!A347=2,Transactions!H347*$E355,0))</f>
        <v>0</v>
      </c>
    </row>
    <row r="356" spans="1:7" ht="15" customHeight="1" x14ac:dyDescent="0.15">
      <c r="A356" t="str">
        <f>IF(Transactions!J348="","",Transactions!J348)</f>
        <v/>
      </c>
      <c r="B356" s="297">
        <f ca="1">IF($A356="",TODAY(),Transactions!G348)</f>
        <v>46216</v>
      </c>
      <c r="C356" t="str">
        <f>IF($A356="","",Transactions!A348)</f>
        <v/>
      </c>
      <c r="D356" s="30">
        <f>IF($A356="",0,Transactions!H348)</f>
        <v>0</v>
      </c>
      <c r="E356">
        <f>IF($A356="",1,IFERROR(INDEX(Prices[FX to SGD],MATCH($A356,Prices[Key],0)),1))</f>
        <v>1</v>
      </c>
      <c r="F356" s="30">
        <f>IF($A356="",0,(Transactions!M348-Transactions!L348+IF(Transactions!A348=2,Transactions!H348,0))*$E356)</f>
        <v>0</v>
      </c>
      <c r="G356" s="30">
        <f>IF($A356="",0,IF(Transactions!A348=2,Transactions!H348*$E356,0))</f>
        <v>0</v>
      </c>
    </row>
    <row r="357" spans="1:7" ht="15" customHeight="1" x14ac:dyDescent="0.15">
      <c r="A357" t="str">
        <f>IF(Transactions!J349="","",Transactions!J349)</f>
        <v/>
      </c>
      <c r="B357" s="297">
        <f ca="1">IF($A357="",TODAY(),Transactions!G349)</f>
        <v>46216</v>
      </c>
      <c r="C357" t="str">
        <f>IF($A357="","",Transactions!A349)</f>
        <v/>
      </c>
      <c r="D357" s="30">
        <f>IF($A357="",0,Transactions!H349)</f>
        <v>0</v>
      </c>
      <c r="E357">
        <f>IF($A357="",1,IFERROR(INDEX(Prices[FX to SGD],MATCH($A357,Prices[Key],0)),1))</f>
        <v>1</v>
      </c>
      <c r="F357" s="30">
        <f>IF($A357="",0,(Transactions!M349-Transactions!L349+IF(Transactions!A349=2,Transactions!H349,0))*$E357)</f>
        <v>0</v>
      </c>
      <c r="G357" s="30">
        <f>IF($A357="",0,IF(Transactions!A349=2,Transactions!H349*$E357,0))</f>
        <v>0</v>
      </c>
    </row>
    <row r="358" spans="1:7" ht="15" customHeight="1" x14ac:dyDescent="0.15">
      <c r="A358" t="str">
        <f>IF(Transactions!J350="","",Transactions!J350)</f>
        <v/>
      </c>
      <c r="B358" s="297">
        <f ca="1">IF($A358="",TODAY(),Transactions!G350)</f>
        <v>46216</v>
      </c>
      <c r="C358" t="str">
        <f>IF($A358="","",Transactions!A350)</f>
        <v/>
      </c>
      <c r="D358" s="30">
        <f>IF($A358="",0,Transactions!H350)</f>
        <v>0</v>
      </c>
      <c r="E358">
        <f>IF($A358="",1,IFERROR(INDEX(Prices[FX to SGD],MATCH($A358,Prices[Key],0)),1))</f>
        <v>1</v>
      </c>
      <c r="F358" s="30">
        <f>IF($A358="",0,(Transactions!M350-Transactions!L350+IF(Transactions!A350=2,Transactions!H350,0))*$E358)</f>
        <v>0</v>
      </c>
      <c r="G358" s="30">
        <f>IF($A358="",0,IF(Transactions!A350=2,Transactions!H350*$E358,0))</f>
        <v>0</v>
      </c>
    </row>
    <row r="359" spans="1:7" ht="15" customHeight="1" x14ac:dyDescent="0.15">
      <c r="A359" t="str">
        <f>IF(Transactions!J351="","",Transactions!J351)</f>
        <v/>
      </c>
      <c r="B359" s="297">
        <f ca="1">IF($A359="",TODAY(),Transactions!G351)</f>
        <v>46216</v>
      </c>
      <c r="C359" t="str">
        <f>IF($A359="","",Transactions!A351)</f>
        <v/>
      </c>
      <c r="D359" s="30">
        <f>IF($A359="",0,Transactions!H351)</f>
        <v>0</v>
      </c>
      <c r="E359">
        <f>IF($A359="",1,IFERROR(INDEX(Prices[FX to SGD],MATCH($A359,Prices[Key],0)),1))</f>
        <v>1</v>
      </c>
      <c r="F359" s="30">
        <f>IF($A359="",0,(Transactions!M351-Transactions!L351+IF(Transactions!A351=2,Transactions!H351,0))*$E359)</f>
        <v>0</v>
      </c>
      <c r="G359" s="30">
        <f>IF($A359="",0,IF(Transactions!A351=2,Transactions!H351*$E359,0))</f>
        <v>0</v>
      </c>
    </row>
    <row r="360" spans="1:7" ht="15" customHeight="1" x14ac:dyDescent="0.15">
      <c r="A360" t="str">
        <f>IF(Transactions!J352="","",Transactions!J352)</f>
        <v/>
      </c>
      <c r="B360" s="297">
        <f ca="1">IF($A360="",TODAY(),Transactions!G352)</f>
        <v>46216</v>
      </c>
      <c r="C360" t="str">
        <f>IF($A360="","",Transactions!A352)</f>
        <v/>
      </c>
      <c r="D360" s="30">
        <f>IF($A360="",0,Transactions!H352)</f>
        <v>0</v>
      </c>
      <c r="E360">
        <f>IF($A360="",1,IFERROR(INDEX(Prices[FX to SGD],MATCH($A360,Prices[Key],0)),1))</f>
        <v>1</v>
      </c>
      <c r="F360" s="30">
        <f>IF($A360="",0,(Transactions!M352-Transactions!L352+IF(Transactions!A352=2,Transactions!H352,0))*$E360)</f>
        <v>0</v>
      </c>
      <c r="G360" s="30">
        <f>IF($A360="",0,IF(Transactions!A352=2,Transactions!H352*$E360,0))</f>
        <v>0</v>
      </c>
    </row>
    <row r="361" spans="1:7" ht="15" customHeight="1" x14ac:dyDescent="0.15">
      <c r="A361" t="str">
        <f>IF(Transactions!J353="","",Transactions!J353)</f>
        <v/>
      </c>
      <c r="B361" s="297">
        <f ca="1">IF($A361="",TODAY(),Transactions!G353)</f>
        <v>46216</v>
      </c>
      <c r="C361" t="str">
        <f>IF($A361="","",Transactions!A353)</f>
        <v/>
      </c>
      <c r="D361" s="30">
        <f>IF($A361="",0,Transactions!H353)</f>
        <v>0</v>
      </c>
      <c r="E361">
        <f>IF($A361="",1,IFERROR(INDEX(Prices[FX to SGD],MATCH($A361,Prices[Key],0)),1))</f>
        <v>1</v>
      </c>
      <c r="F361" s="30">
        <f>IF($A361="",0,(Transactions!M353-Transactions!L353+IF(Transactions!A353=2,Transactions!H353,0))*$E361)</f>
        <v>0</v>
      </c>
      <c r="G361" s="30">
        <f>IF($A361="",0,IF(Transactions!A353=2,Transactions!H353*$E361,0))</f>
        <v>0</v>
      </c>
    </row>
    <row r="362" spans="1:7" ht="15" customHeight="1" x14ac:dyDescent="0.15">
      <c r="A362" t="str">
        <f>IF(Transactions!J354="","",Transactions!J354)</f>
        <v/>
      </c>
      <c r="B362" s="297">
        <f ca="1">IF($A362="",TODAY(),Transactions!G354)</f>
        <v>46216</v>
      </c>
      <c r="C362" t="str">
        <f>IF($A362="","",Transactions!A354)</f>
        <v/>
      </c>
      <c r="D362" s="30">
        <f>IF($A362="",0,Transactions!H354)</f>
        <v>0</v>
      </c>
      <c r="E362">
        <f>IF($A362="",1,IFERROR(INDEX(Prices[FX to SGD],MATCH($A362,Prices[Key],0)),1))</f>
        <v>1</v>
      </c>
      <c r="F362" s="30">
        <f>IF($A362="",0,(Transactions!M354-Transactions!L354+IF(Transactions!A354=2,Transactions!H354,0))*$E362)</f>
        <v>0</v>
      </c>
      <c r="G362" s="30">
        <f>IF($A362="",0,IF(Transactions!A354=2,Transactions!H354*$E362,0))</f>
        <v>0</v>
      </c>
    </row>
    <row r="363" spans="1:7" ht="15" customHeight="1" x14ac:dyDescent="0.15">
      <c r="A363" t="str">
        <f>IF(Transactions!J355="","",Transactions!J355)</f>
        <v/>
      </c>
      <c r="B363" s="297">
        <f ca="1">IF($A363="",TODAY(),Transactions!G355)</f>
        <v>46216</v>
      </c>
      <c r="C363" t="str">
        <f>IF($A363="","",Transactions!A355)</f>
        <v/>
      </c>
      <c r="D363" s="30">
        <f>IF($A363="",0,Transactions!H355)</f>
        <v>0</v>
      </c>
      <c r="E363">
        <f>IF($A363="",1,IFERROR(INDEX(Prices[FX to SGD],MATCH($A363,Prices[Key],0)),1))</f>
        <v>1</v>
      </c>
      <c r="F363" s="30">
        <f>IF($A363="",0,(Transactions!M355-Transactions!L355+IF(Transactions!A355=2,Transactions!H355,0))*$E363)</f>
        <v>0</v>
      </c>
      <c r="G363" s="30">
        <f>IF($A363="",0,IF(Transactions!A355=2,Transactions!H355*$E363,0))</f>
        <v>0</v>
      </c>
    </row>
    <row r="364" spans="1:7" ht="15" customHeight="1" x14ac:dyDescent="0.15">
      <c r="A364" t="str">
        <f>IF(Transactions!J356="","",Transactions!J356)</f>
        <v/>
      </c>
      <c r="B364" s="297">
        <f ca="1">IF($A364="",TODAY(),Transactions!G356)</f>
        <v>46216</v>
      </c>
      <c r="C364" t="str">
        <f>IF($A364="","",Transactions!A356)</f>
        <v/>
      </c>
      <c r="D364" s="30">
        <f>IF($A364="",0,Transactions!H356)</f>
        <v>0</v>
      </c>
      <c r="E364">
        <f>IF($A364="",1,IFERROR(INDEX(Prices[FX to SGD],MATCH($A364,Prices[Key],0)),1))</f>
        <v>1</v>
      </c>
      <c r="F364" s="30">
        <f>IF($A364="",0,(Transactions!M356-Transactions!L356+IF(Transactions!A356=2,Transactions!H356,0))*$E364)</f>
        <v>0</v>
      </c>
      <c r="G364" s="30">
        <f>IF($A364="",0,IF(Transactions!A356=2,Transactions!H356*$E364,0))</f>
        <v>0</v>
      </c>
    </row>
    <row r="365" spans="1:7" ht="15" customHeight="1" x14ac:dyDescent="0.15">
      <c r="A365" t="str">
        <f>IF(Transactions!J357="","",Transactions!J357)</f>
        <v/>
      </c>
      <c r="B365" s="297">
        <f ca="1">IF($A365="",TODAY(),Transactions!G357)</f>
        <v>46216</v>
      </c>
      <c r="C365" t="str">
        <f>IF($A365="","",Transactions!A357)</f>
        <v/>
      </c>
      <c r="D365" s="30">
        <f>IF($A365="",0,Transactions!H357)</f>
        <v>0</v>
      </c>
      <c r="E365">
        <f>IF($A365="",1,IFERROR(INDEX(Prices[FX to SGD],MATCH($A365,Prices[Key],0)),1))</f>
        <v>1</v>
      </c>
      <c r="F365" s="30">
        <f>IF($A365="",0,(Transactions!M357-Transactions!L357+IF(Transactions!A357=2,Transactions!H357,0))*$E365)</f>
        <v>0</v>
      </c>
      <c r="G365" s="30">
        <f>IF($A365="",0,IF(Transactions!A357=2,Transactions!H357*$E365,0))</f>
        <v>0</v>
      </c>
    </row>
    <row r="366" spans="1:7" ht="15" customHeight="1" x14ac:dyDescent="0.15">
      <c r="A366" t="str">
        <f>IF(Transactions!J358="","",Transactions!J358)</f>
        <v/>
      </c>
      <c r="B366" s="297">
        <f ca="1">IF($A366="",TODAY(),Transactions!G358)</f>
        <v>46216</v>
      </c>
      <c r="C366" t="str">
        <f>IF($A366="","",Transactions!A358)</f>
        <v/>
      </c>
      <c r="D366" s="30">
        <f>IF($A366="",0,Transactions!H358)</f>
        <v>0</v>
      </c>
      <c r="E366">
        <f>IF($A366="",1,IFERROR(INDEX(Prices[FX to SGD],MATCH($A366,Prices[Key],0)),1))</f>
        <v>1</v>
      </c>
      <c r="F366" s="30">
        <f>IF($A366="",0,(Transactions!M358-Transactions!L358+IF(Transactions!A358=2,Transactions!H358,0))*$E366)</f>
        <v>0</v>
      </c>
      <c r="G366" s="30">
        <f>IF($A366="",0,IF(Transactions!A358=2,Transactions!H358*$E366,0))</f>
        <v>0</v>
      </c>
    </row>
    <row r="367" spans="1:7" ht="15" customHeight="1" x14ac:dyDescent="0.15">
      <c r="A367" t="str">
        <f>IF(Transactions!J359="","",Transactions!J359)</f>
        <v/>
      </c>
      <c r="B367" s="297">
        <f ca="1">IF($A367="",TODAY(),Transactions!G359)</f>
        <v>46216</v>
      </c>
      <c r="C367" t="str">
        <f>IF($A367="","",Transactions!A359)</f>
        <v/>
      </c>
      <c r="D367" s="30">
        <f>IF($A367="",0,Transactions!H359)</f>
        <v>0</v>
      </c>
      <c r="E367">
        <f>IF($A367="",1,IFERROR(INDEX(Prices[FX to SGD],MATCH($A367,Prices[Key],0)),1))</f>
        <v>1</v>
      </c>
      <c r="F367" s="30">
        <f>IF($A367="",0,(Transactions!M359-Transactions!L359+IF(Transactions!A359=2,Transactions!H359,0))*$E367)</f>
        <v>0</v>
      </c>
      <c r="G367" s="30">
        <f>IF($A367="",0,IF(Transactions!A359=2,Transactions!H359*$E367,0))</f>
        <v>0</v>
      </c>
    </row>
    <row r="368" spans="1:7" ht="15" customHeight="1" x14ac:dyDescent="0.15">
      <c r="A368" t="str">
        <f>IF(Transactions!J360="","",Transactions!J360)</f>
        <v/>
      </c>
      <c r="B368" s="297">
        <f ca="1">IF($A368="",TODAY(),Transactions!G360)</f>
        <v>46216</v>
      </c>
      <c r="C368" t="str">
        <f>IF($A368="","",Transactions!A360)</f>
        <v/>
      </c>
      <c r="D368" s="30">
        <f>IF($A368="",0,Transactions!H360)</f>
        <v>0</v>
      </c>
      <c r="E368">
        <f>IF($A368="",1,IFERROR(INDEX(Prices[FX to SGD],MATCH($A368,Prices[Key],0)),1))</f>
        <v>1</v>
      </c>
      <c r="F368" s="30">
        <f>IF($A368="",0,(Transactions!M360-Transactions!L360+IF(Transactions!A360=2,Transactions!H360,0))*$E368)</f>
        <v>0</v>
      </c>
      <c r="G368" s="30">
        <f>IF($A368="",0,IF(Transactions!A360=2,Transactions!H360*$E368,0))</f>
        <v>0</v>
      </c>
    </row>
    <row r="369" spans="1:7" ht="15" customHeight="1" x14ac:dyDescent="0.15">
      <c r="A369" t="str">
        <f>IF(Transactions!J361="","",Transactions!J361)</f>
        <v/>
      </c>
      <c r="B369" s="297">
        <f ca="1">IF($A369="",TODAY(),Transactions!G361)</f>
        <v>46216</v>
      </c>
      <c r="C369" t="str">
        <f>IF($A369="","",Transactions!A361)</f>
        <v/>
      </c>
      <c r="D369" s="30">
        <f>IF($A369="",0,Transactions!H361)</f>
        <v>0</v>
      </c>
      <c r="E369">
        <f>IF($A369="",1,IFERROR(INDEX(Prices[FX to SGD],MATCH($A369,Prices[Key],0)),1))</f>
        <v>1</v>
      </c>
      <c r="F369" s="30">
        <f>IF($A369="",0,(Transactions!M361-Transactions!L361+IF(Transactions!A361=2,Transactions!H361,0))*$E369)</f>
        <v>0</v>
      </c>
      <c r="G369" s="30">
        <f>IF($A369="",0,IF(Transactions!A361=2,Transactions!H361*$E369,0))</f>
        <v>0</v>
      </c>
    </row>
    <row r="370" spans="1:7" ht="15" customHeight="1" x14ac:dyDescent="0.15">
      <c r="A370" t="str">
        <f>IF(Transactions!J362="","",Transactions!J362)</f>
        <v/>
      </c>
      <c r="B370" s="297">
        <f ca="1">IF($A370="",TODAY(),Transactions!G362)</f>
        <v>46216</v>
      </c>
      <c r="C370" t="str">
        <f>IF($A370="","",Transactions!A362)</f>
        <v/>
      </c>
      <c r="D370" s="30">
        <f>IF($A370="",0,Transactions!H362)</f>
        <v>0</v>
      </c>
      <c r="E370">
        <f>IF($A370="",1,IFERROR(INDEX(Prices[FX to SGD],MATCH($A370,Prices[Key],0)),1))</f>
        <v>1</v>
      </c>
      <c r="F370" s="30">
        <f>IF($A370="",0,(Transactions!M362-Transactions!L362+IF(Transactions!A362=2,Transactions!H362,0))*$E370)</f>
        <v>0</v>
      </c>
      <c r="G370" s="30">
        <f>IF($A370="",0,IF(Transactions!A362=2,Transactions!H362*$E370,0))</f>
        <v>0</v>
      </c>
    </row>
    <row r="371" spans="1:7" ht="15" customHeight="1" x14ac:dyDescent="0.15">
      <c r="A371" t="str">
        <f>IF(Transactions!J363="","",Transactions!J363)</f>
        <v/>
      </c>
      <c r="B371" s="297">
        <f ca="1">IF($A371="",TODAY(),Transactions!G363)</f>
        <v>46216</v>
      </c>
      <c r="C371" t="str">
        <f>IF($A371="","",Transactions!A363)</f>
        <v/>
      </c>
      <c r="D371" s="30">
        <f>IF($A371="",0,Transactions!H363)</f>
        <v>0</v>
      </c>
      <c r="E371">
        <f>IF($A371="",1,IFERROR(INDEX(Prices[FX to SGD],MATCH($A371,Prices[Key],0)),1))</f>
        <v>1</v>
      </c>
      <c r="F371" s="30">
        <f>IF($A371="",0,(Transactions!M363-Transactions!L363+IF(Transactions!A363=2,Transactions!H363,0))*$E371)</f>
        <v>0</v>
      </c>
      <c r="G371" s="30">
        <f>IF($A371="",0,IF(Transactions!A363=2,Transactions!H363*$E371,0))</f>
        <v>0</v>
      </c>
    </row>
    <row r="372" spans="1:7" ht="15" customHeight="1" x14ac:dyDescent="0.15">
      <c r="A372" t="str">
        <f>IF(Transactions!J364="","",Transactions!J364)</f>
        <v/>
      </c>
      <c r="B372" s="297">
        <f ca="1">IF($A372="",TODAY(),Transactions!G364)</f>
        <v>46216</v>
      </c>
      <c r="C372" t="str">
        <f>IF($A372="","",Transactions!A364)</f>
        <v/>
      </c>
      <c r="D372" s="30">
        <f>IF($A372="",0,Transactions!H364)</f>
        <v>0</v>
      </c>
      <c r="E372">
        <f>IF($A372="",1,IFERROR(INDEX(Prices[FX to SGD],MATCH($A372,Prices[Key],0)),1))</f>
        <v>1</v>
      </c>
      <c r="F372" s="30">
        <f>IF($A372="",0,(Transactions!M364-Transactions!L364+IF(Transactions!A364=2,Transactions!H364,0))*$E372)</f>
        <v>0</v>
      </c>
      <c r="G372" s="30">
        <f>IF($A372="",0,IF(Transactions!A364=2,Transactions!H364*$E372,0))</f>
        <v>0</v>
      </c>
    </row>
    <row r="373" spans="1:7" ht="15" customHeight="1" x14ac:dyDescent="0.15">
      <c r="A373" t="str">
        <f>IF(Transactions!J365="","",Transactions!J365)</f>
        <v/>
      </c>
      <c r="B373" s="297">
        <f ca="1">IF($A373="",TODAY(),Transactions!G365)</f>
        <v>46216</v>
      </c>
      <c r="C373" t="str">
        <f>IF($A373="","",Transactions!A365)</f>
        <v/>
      </c>
      <c r="D373" s="30">
        <f>IF($A373="",0,Transactions!H365)</f>
        <v>0</v>
      </c>
      <c r="E373">
        <f>IF($A373="",1,IFERROR(INDEX(Prices[FX to SGD],MATCH($A373,Prices[Key],0)),1))</f>
        <v>1</v>
      </c>
      <c r="F373" s="30">
        <f>IF($A373="",0,(Transactions!M365-Transactions!L365+IF(Transactions!A365=2,Transactions!H365,0))*$E373)</f>
        <v>0</v>
      </c>
      <c r="G373" s="30">
        <f>IF($A373="",0,IF(Transactions!A365=2,Transactions!H365*$E373,0))</f>
        <v>0</v>
      </c>
    </row>
    <row r="374" spans="1:7" ht="15" customHeight="1" x14ac:dyDescent="0.15">
      <c r="A374" t="str">
        <f>IF(Transactions!J366="","",Transactions!J366)</f>
        <v/>
      </c>
      <c r="B374" s="297">
        <f ca="1">IF($A374="",TODAY(),Transactions!G366)</f>
        <v>46216</v>
      </c>
      <c r="C374" t="str">
        <f>IF($A374="","",Transactions!A366)</f>
        <v/>
      </c>
      <c r="D374" s="30">
        <f>IF($A374="",0,Transactions!H366)</f>
        <v>0</v>
      </c>
      <c r="E374">
        <f>IF($A374="",1,IFERROR(INDEX(Prices[FX to SGD],MATCH($A374,Prices[Key],0)),1))</f>
        <v>1</v>
      </c>
      <c r="F374" s="30">
        <f>IF($A374="",0,(Transactions!M366-Transactions!L366+IF(Transactions!A366=2,Transactions!H366,0))*$E374)</f>
        <v>0</v>
      </c>
      <c r="G374" s="30">
        <f>IF($A374="",0,IF(Transactions!A366=2,Transactions!H366*$E374,0))</f>
        <v>0</v>
      </c>
    </row>
    <row r="375" spans="1:7" ht="15" customHeight="1" x14ac:dyDescent="0.15">
      <c r="A375" t="str">
        <f>IF(Transactions!J367="","",Transactions!J367)</f>
        <v/>
      </c>
      <c r="B375" s="297">
        <f ca="1">IF($A375="",TODAY(),Transactions!G367)</f>
        <v>46216</v>
      </c>
      <c r="C375" t="str">
        <f>IF($A375="","",Transactions!A367)</f>
        <v/>
      </c>
      <c r="D375" s="30">
        <f>IF($A375="",0,Transactions!H367)</f>
        <v>0</v>
      </c>
      <c r="E375">
        <f>IF($A375="",1,IFERROR(INDEX(Prices[FX to SGD],MATCH($A375,Prices[Key],0)),1))</f>
        <v>1</v>
      </c>
      <c r="F375" s="30">
        <f>IF($A375="",0,(Transactions!M367-Transactions!L367+IF(Transactions!A367=2,Transactions!H367,0))*$E375)</f>
        <v>0</v>
      </c>
      <c r="G375" s="30">
        <f>IF($A375="",0,IF(Transactions!A367=2,Transactions!H367*$E375,0))</f>
        <v>0</v>
      </c>
    </row>
    <row r="376" spans="1:7" ht="15" customHeight="1" x14ac:dyDescent="0.15">
      <c r="A376" t="str">
        <f>IF(Transactions!J368="","",Transactions!J368)</f>
        <v/>
      </c>
      <c r="B376" s="297">
        <f ca="1">IF($A376="",TODAY(),Transactions!G368)</f>
        <v>46216</v>
      </c>
      <c r="C376" t="str">
        <f>IF($A376="","",Transactions!A368)</f>
        <v/>
      </c>
      <c r="D376" s="30">
        <f>IF($A376="",0,Transactions!H368)</f>
        <v>0</v>
      </c>
      <c r="E376">
        <f>IF($A376="",1,IFERROR(INDEX(Prices[FX to SGD],MATCH($A376,Prices[Key],0)),1))</f>
        <v>1</v>
      </c>
      <c r="F376" s="30">
        <f>IF($A376="",0,(Transactions!M368-Transactions!L368+IF(Transactions!A368=2,Transactions!H368,0))*$E376)</f>
        <v>0</v>
      </c>
      <c r="G376" s="30">
        <f>IF($A376="",0,IF(Transactions!A368=2,Transactions!H368*$E376,0))</f>
        <v>0</v>
      </c>
    </row>
    <row r="377" spans="1:7" ht="15" customHeight="1" x14ac:dyDescent="0.15">
      <c r="A377" t="str">
        <f>IF(Transactions!J369="","",Transactions!J369)</f>
        <v/>
      </c>
      <c r="B377" s="297">
        <f ca="1">IF($A377="",TODAY(),Transactions!G369)</f>
        <v>46216</v>
      </c>
      <c r="C377" t="str">
        <f>IF($A377="","",Transactions!A369)</f>
        <v/>
      </c>
      <c r="D377" s="30">
        <f>IF($A377="",0,Transactions!H369)</f>
        <v>0</v>
      </c>
      <c r="E377">
        <f>IF($A377="",1,IFERROR(INDEX(Prices[FX to SGD],MATCH($A377,Prices[Key],0)),1))</f>
        <v>1</v>
      </c>
      <c r="F377" s="30">
        <f>IF($A377="",0,(Transactions!M369-Transactions!L369+IF(Transactions!A369=2,Transactions!H369,0))*$E377)</f>
        <v>0</v>
      </c>
      <c r="G377" s="30">
        <f>IF($A377="",0,IF(Transactions!A369=2,Transactions!H369*$E377,0))</f>
        <v>0</v>
      </c>
    </row>
    <row r="378" spans="1:7" ht="15" customHeight="1" x14ac:dyDescent="0.15">
      <c r="A378" t="str">
        <f>IF(Transactions!J370="","",Transactions!J370)</f>
        <v/>
      </c>
      <c r="B378" s="297">
        <f ca="1">IF($A378="",TODAY(),Transactions!G370)</f>
        <v>46216</v>
      </c>
      <c r="C378" t="str">
        <f>IF($A378="","",Transactions!A370)</f>
        <v/>
      </c>
      <c r="D378" s="30">
        <f>IF($A378="",0,Transactions!H370)</f>
        <v>0</v>
      </c>
      <c r="E378">
        <f>IF($A378="",1,IFERROR(INDEX(Prices[FX to SGD],MATCH($A378,Prices[Key],0)),1))</f>
        <v>1</v>
      </c>
      <c r="F378" s="30">
        <f>IF($A378="",0,(Transactions!M370-Transactions!L370+IF(Transactions!A370=2,Transactions!H370,0))*$E378)</f>
        <v>0</v>
      </c>
      <c r="G378" s="30">
        <f>IF($A378="",0,IF(Transactions!A370=2,Transactions!H370*$E378,0))</f>
        <v>0</v>
      </c>
    </row>
    <row r="379" spans="1:7" ht="15" customHeight="1" x14ac:dyDescent="0.15">
      <c r="A379" t="str">
        <f>IF(Transactions!J371="","",Transactions!J371)</f>
        <v/>
      </c>
      <c r="B379" s="297">
        <f ca="1">IF($A379="",TODAY(),Transactions!G371)</f>
        <v>46216</v>
      </c>
      <c r="C379" t="str">
        <f>IF($A379="","",Transactions!A371)</f>
        <v/>
      </c>
      <c r="D379" s="30">
        <f>IF($A379="",0,Transactions!H371)</f>
        <v>0</v>
      </c>
      <c r="E379">
        <f>IF($A379="",1,IFERROR(INDEX(Prices[FX to SGD],MATCH($A379,Prices[Key],0)),1))</f>
        <v>1</v>
      </c>
      <c r="F379" s="30">
        <f>IF($A379="",0,(Transactions!M371-Transactions!L371+IF(Transactions!A371=2,Transactions!H371,0))*$E379)</f>
        <v>0</v>
      </c>
      <c r="G379" s="30">
        <f>IF($A379="",0,IF(Transactions!A371=2,Transactions!H371*$E379,0))</f>
        <v>0</v>
      </c>
    </row>
    <row r="380" spans="1:7" ht="15" customHeight="1" x14ac:dyDescent="0.15">
      <c r="A380" t="str">
        <f>IF(Transactions!J372="","",Transactions!J372)</f>
        <v/>
      </c>
      <c r="B380" s="297">
        <f ca="1">IF($A380="",TODAY(),Transactions!G372)</f>
        <v>46216</v>
      </c>
      <c r="C380" t="str">
        <f>IF($A380="","",Transactions!A372)</f>
        <v/>
      </c>
      <c r="D380" s="30">
        <f>IF($A380="",0,Transactions!H372)</f>
        <v>0</v>
      </c>
      <c r="E380">
        <f>IF($A380="",1,IFERROR(INDEX(Prices[FX to SGD],MATCH($A380,Prices[Key],0)),1))</f>
        <v>1</v>
      </c>
      <c r="F380" s="30">
        <f>IF($A380="",0,(Transactions!M372-Transactions!L372+IF(Transactions!A372=2,Transactions!H372,0))*$E380)</f>
        <v>0</v>
      </c>
      <c r="G380" s="30">
        <f>IF($A380="",0,IF(Transactions!A372=2,Transactions!H372*$E380,0))</f>
        <v>0</v>
      </c>
    </row>
    <row r="381" spans="1:7" ht="15" customHeight="1" x14ac:dyDescent="0.15">
      <c r="A381" t="str">
        <f>IF(Transactions!J373="","",Transactions!J373)</f>
        <v/>
      </c>
      <c r="B381" s="297">
        <f ca="1">IF($A381="",TODAY(),Transactions!G373)</f>
        <v>46216</v>
      </c>
      <c r="C381" t="str">
        <f>IF($A381="","",Transactions!A373)</f>
        <v/>
      </c>
      <c r="D381" s="30">
        <f>IF($A381="",0,Transactions!H373)</f>
        <v>0</v>
      </c>
      <c r="E381">
        <f>IF($A381="",1,IFERROR(INDEX(Prices[FX to SGD],MATCH($A381,Prices[Key],0)),1))</f>
        <v>1</v>
      </c>
      <c r="F381" s="30">
        <f>IF($A381="",0,(Transactions!M373-Transactions!L373+IF(Transactions!A373=2,Transactions!H373,0))*$E381)</f>
        <v>0</v>
      </c>
      <c r="G381" s="30">
        <f>IF($A381="",0,IF(Transactions!A373=2,Transactions!H373*$E381,0))</f>
        <v>0</v>
      </c>
    </row>
    <row r="382" spans="1:7" ht="15" customHeight="1" x14ac:dyDescent="0.15">
      <c r="A382" t="str">
        <f>IF(Transactions!J374="","",Transactions!J374)</f>
        <v/>
      </c>
      <c r="B382" s="297">
        <f ca="1">IF($A382="",TODAY(),Transactions!G374)</f>
        <v>46216</v>
      </c>
      <c r="C382" t="str">
        <f>IF($A382="","",Transactions!A374)</f>
        <v/>
      </c>
      <c r="D382" s="30">
        <f>IF($A382="",0,Transactions!H374)</f>
        <v>0</v>
      </c>
      <c r="E382">
        <f>IF($A382="",1,IFERROR(INDEX(Prices[FX to SGD],MATCH($A382,Prices[Key],0)),1))</f>
        <v>1</v>
      </c>
      <c r="F382" s="30">
        <f>IF($A382="",0,(Transactions!M374-Transactions!L374+IF(Transactions!A374=2,Transactions!H374,0))*$E382)</f>
        <v>0</v>
      </c>
      <c r="G382" s="30">
        <f>IF($A382="",0,IF(Transactions!A374=2,Transactions!H374*$E382,0))</f>
        <v>0</v>
      </c>
    </row>
    <row r="383" spans="1:7" ht="15" customHeight="1" x14ac:dyDescent="0.15">
      <c r="A383" t="str">
        <f>IF(Transactions!J375="","",Transactions!J375)</f>
        <v/>
      </c>
      <c r="B383" s="297">
        <f ca="1">IF($A383="",TODAY(),Transactions!G375)</f>
        <v>46216</v>
      </c>
      <c r="C383" t="str">
        <f>IF($A383="","",Transactions!A375)</f>
        <v/>
      </c>
      <c r="D383" s="30">
        <f>IF($A383="",0,Transactions!H375)</f>
        <v>0</v>
      </c>
      <c r="E383">
        <f>IF($A383="",1,IFERROR(INDEX(Prices[FX to SGD],MATCH($A383,Prices[Key],0)),1))</f>
        <v>1</v>
      </c>
      <c r="F383" s="30">
        <f>IF($A383="",0,(Transactions!M375-Transactions!L375+IF(Transactions!A375=2,Transactions!H375,0))*$E383)</f>
        <v>0</v>
      </c>
      <c r="G383" s="30">
        <f>IF($A383="",0,IF(Transactions!A375=2,Transactions!H375*$E383,0))</f>
        <v>0</v>
      </c>
    </row>
    <row r="384" spans="1:7" ht="15" customHeight="1" x14ac:dyDescent="0.15">
      <c r="A384" t="str">
        <f>IF(Transactions!J376="","",Transactions!J376)</f>
        <v/>
      </c>
      <c r="B384" s="297">
        <f ca="1">IF($A384="",TODAY(),Transactions!G376)</f>
        <v>46216</v>
      </c>
      <c r="C384" t="str">
        <f>IF($A384="","",Transactions!A376)</f>
        <v/>
      </c>
      <c r="D384" s="30">
        <f>IF($A384="",0,Transactions!H376)</f>
        <v>0</v>
      </c>
      <c r="E384">
        <f>IF($A384="",1,IFERROR(INDEX(Prices[FX to SGD],MATCH($A384,Prices[Key],0)),1))</f>
        <v>1</v>
      </c>
      <c r="F384" s="30">
        <f>IF($A384="",0,(Transactions!M376-Transactions!L376+IF(Transactions!A376=2,Transactions!H376,0))*$E384)</f>
        <v>0</v>
      </c>
      <c r="G384" s="30">
        <f>IF($A384="",0,IF(Transactions!A376=2,Transactions!H376*$E384,0))</f>
        <v>0</v>
      </c>
    </row>
    <row r="385" spans="1:7" ht="15" customHeight="1" x14ac:dyDescent="0.15">
      <c r="A385" t="str">
        <f>IF(Transactions!J377="","",Transactions!J377)</f>
        <v/>
      </c>
      <c r="B385" s="297">
        <f ca="1">IF($A385="",TODAY(),Transactions!G377)</f>
        <v>46216</v>
      </c>
      <c r="C385" t="str">
        <f>IF($A385="","",Transactions!A377)</f>
        <v/>
      </c>
      <c r="D385" s="30">
        <f>IF($A385="",0,Transactions!H377)</f>
        <v>0</v>
      </c>
      <c r="E385">
        <f>IF($A385="",1,IFERROR(INDEX(Prices[FX to SGD],MATCH($A385,Prices[Key],0)),1))</f>
        <v>1</v>
      </c>
      <c r="F385" s="30">
        <f>IF($A385="",0,(Transactions!M377-Transactions!L377+IF(Transactions!A377=2,Transactions!H377,0))*$E385)</f>
        <v>0</v>
      </c>
      <c r="G385" s="30">
        <f>IF($A385="",0,IF(Transactions!A377=2,Transactions!H377*$E385,0))</f>
        <v>0</v>
      </c>
    </row>
    <row r="386" spans="1:7" ht="15" customHeight="1" x14ac:dyDescent="0.15">
      <c r="A386" t="str">
        <f>IF(Transactions!J378="","",Transactions!J378)</f>
        <v/>
      </c>
      <c r="B386" s="297">
        <f ca="1">IF($A386="",TODAY(),Transactions!G378)</f>
        <v>46216</v>
      </c>
      <c r="C386" t="str">
        <f>IF($A386="","",Transactions!A378)</f>
        <v/>
      </c>
      <c r="D386" s="30">
        <f>IF($A386="",0,Transactions!H378)</f>
        <v>0</v>
      </c>
      <c r="E386">
        <f>IF($A386="",1,IFERROR(INDEX(Prices[FX to SGD],MATCH($A386,Prices[Key],0)),1))</f>
        <v>1</v>
      </c>
      <c r="F386" s="30">
        <f>IF($A386="",0,(Transactions!M378-Transactions!L378+IF(Transactions!A378=2,Transactions!H378,0))*$E386)</f>
        <v>0</v>
      </c>
      <c r="G386" s="30">
        <f>IF($A386="",0,IF(Transactions!A378=2,Transactions!H378*$E386,0))</f>
        <v>0</v>
      </c>
    </row>
    <row r="387" spans="1:7" ht="15" customHeight="1" x14ac:dyDescent="0.15">
      <c r="A387" t="str">
        <f>IF(Transactions!J379="","",Transactions!J379)</f>
        <v/>
      </c>
      <c r="B387" s="297">
        <f ca="1">IF($A387="",TODAY(),Transactions!G379)</f>
        <v>46216</v>
      </c>
      <c r="C387" t="str">
        <f>IF($A387="","",Transactions!A379)</f>
        <v/>
      </c>
      <c r="D387" s="30">
        <f>IF($A387="",0,Transactions!H379)</f>
        <v>0</v>
      </c>
      <c r="E387">
        <f>IF($A387="",1,IFERROR(INDEX(Prices[FX to SGD],MATCH($A387,Prices[Key],0)),1))</f>
        <v>1</v>
      </c>
      <c r="F387" s="30">
        <f>IF($A387="",0,(Transactions!M379-Transactions!L379+IF(Transactions!A379=2,Transactions!H379,0))*$E387)</f>
        <v>0</v>
      </c>
      <c r="G387" s="30">
        <f>IF($A387="",0,IF(Transactions!A379=2,Transactions!H379*$E387,0))</f>
        <v>0</v>
      </c>
    </row>
    <row r="388" spans="1:7" ht="15" customHeight="1" x14ac:dyDescent="0.15">
      <c r="A388" t="str">
        <f>IF(Transactions!J380="","",Transactions!J380)</f>
        <v/>
      </c>
      <c r="B388" s="297">
        <f ca="1">IF($A388="",TODAY(),Transactions!G380)</f>
        <v>46216</v>
      </c>
      <c r="C388" t="str">
        <f>IF($A388="","",Transactions!A380)</f>
        <v/>
      </c>
      <c r="D388" s="30">
        <f>IF($A388="",0,Transactions!H380)</f>
        <v>0</v>
      </c>
      <c r="E388">
        <f>IF($A388="",1,IFERROR(INDEX(Prices[FX to SGD],MATCH($A388,Prices[Key],0)),1))</f>
        <v>1</v>
      </c>
      <c r="F388" s="30">
        <f>IF($A388="",0,(Transactions!M380-Transactions!L380+IF(Transactions!A380=2,Transactions!H380,0))*$E388)</f>
        <v>0</v>
      </c>
      <c r="G388" s="30">
        <f>IF($A388="",0,IF(Transactions!A380=2,Transactions!H380*$E388,0))</f>
        <v>0</v>
      </c>
    </row>
    <row r="389" spans="1:7" ht="15" customHeight="1" x14ac:dyDescent="0.15">
      <c r="A389" t="str">
        <f>IF(Transactions!J381="","",Transactions!J381)</f>
        <v/>
      </c>
      <c r="B389" s="297">
        <f ca="1">IF($A389="",TODAY(),Transactions!G381)</f>
        <v>46216</v>
      </c>
      <c r="C389" t="str">
        <f>IF($A389="","",Transactions!A381)</f>
        <v/>
      </c>
      <c r="D389" s="30">
        <f>IF($A389="",0,Transactions!H381)</f>
        <v>0</v>
      </c>
      <c r="E389">
        <f>IF($A389="",1,IFERROR(INDEX(Prices[FX to SGD],MATCH($A389,Prices[Key],0)),1))</f>
        <v>1</v>
      </c>
      <c r="F389" s="30">
        <f>IF($A389="",0,(Transactions!M381-Transactions!L381+IF(Transactions!A381=2,Transactions!H381,0))*$E389)</f>
        <v>0</v>
      </c>
      <c r="G389" s="30">
        <f>IF($A389="",0,IF(Transactions!A381=2,Transactions!H381*$E389,0))</f>
        <v>0</v>
      </c>
    </row>
    <row r="390" spans="1:7" ht="15" customHeight="1" x14ac:dyDescent="0.15">
      <c r="A390" t="str">
        <f>IF(Transactions!J382="","",Transactions!J382)</f>
        <v/>
      </c>
      <c r="B390" s="297">
        <f ca="1">IF($A390="",TODAY(),Transactions!G382)</f>
        <v>46216</v>
      </c>
      <c r="C390" t="str">
        <f>IF($A390="","",Transactions!A382)</f>
        <v/>
      </c>
      <c r="D390" s="30">
        <f>IF($A390="",0,Transactions!H382)</f>
        <v>0</v>
      </c>
      <c r="E390">
        <f>IF($A390="",1,IFERROR(INDEX(Prices[FX to SGD],MATCH($A390,Prices[Key],0)),1))</f>
        <v>1</v>
      </c>
      <c r="F390" s="30">
        <f>IF($A390="",0,(Transactions!M382-Transactions!L382+IF(Transactions!A382=2,Transactions!H382,0))*$E390)</f>
        <v>0</v>
      </c>
      <c r="G390" s="30">
        <f>IF($A390="",0,IF(Transactions!A382=2,Transactions!H382*$E390,0))</f>
        <v>0</v>
      </c>
    </row>
    <row r="391" spans="1:7" ht="15" customHeight="1" x14ac:dyDescent="0.15">
      <c r="A391" t="str">
        <f>IF(Transactions!J383="","",Transactions!J383)</f>
        <v/>
      </c>
      <c r="B391" s="297">
        <f ca="1">IF($A391="",TODAY(),Transactions!G383)</f>
        <v>46216</v>
      </c>
      <c r="C391" t="str">
        <f>IF($A391="","",Transactions!A383)</f>
        <v/>
      </c>
      <c r="D391" s="30">
        <f>IF($A391="",0,Transactions!H383)</f>
        <v>0</v>
      </c>
      <c r="E391">
        <f>IF($A391="",1,IFERROR(INDEX(Prices[FX to SGD],MATCH($A391,Prices[Key],0)),1))</f>
        <v>1</v>
      </c>
      <c r="F391" s="30">
        <f>IF($A391="",0,(Transactions!M383-Transactions!L383+IF(Transactions!A383=2,Transactions!H383,0))*$E391)</f>
        <v>0</v>
      </c>
      <c r="G391" s="30">
        <f>IF($A391="",0,IF(Transactions!A383=2,Transactions!H383*$E391,0))</f>
        <v>0</v>
      </c>
    </row>
    <row r="392" spans="1:7" ht="15" customHeight="1" x14ac:dyDescent="0.15">
      <c r="A392" t="str">
        <f>IF(Transactions!J384="","",Transactions!J384)</f>
        <v/>
      </c>
      <c r="B392" s="297">
        <f ca="1">IF($A392="",TODAY(),Transactions!G384)</f>
        <v>46216</v>
      </c>
      <c r="C392" t="str">
        <f>IF($A392="","",Transactions!A384)</f>
        <v/>
      </c>
      <c r="D392" s="30">
        <f>IF($A392="",0,Transactions!H384)</f>
        <v>0</v>
      </c>
      <c r="E392">
        <f>IF($A392="",1,IFERROR(INDEX(Prices[FX to SGD],MATCH($A392,Prices[Key],0)),1))</f>
        <v>1</v>
      </c>
      <c r="F392" s="30">
        <f>IF($A392="",0,(Transactions!M384-Transactions!L384+IF(Transactions!A384=2,Transactions!H384,0))*$E392)</f>
        <v>0</v>
      </c>
      <c r="G392" s="30">
        <f>IF($A392="",0,IF(Transactions!A384=2,Transactions!H384*$E392,0))</f>
        <v>0</v>
      </c>
    </row>
    <row r="393" spans="1:7" ht="15" customHeight="1" x14ac:dyDescent="0.15">
      <c r="A393" t="str">
        <f>IF(Transactions!J385="","",Transactions!J385)</f>
        <v/>
      </c>
      <c r="B393" s="297">
        <f ca="1">IF($A393="",TODAY(),Transactions!G385)</f>
        <v>46216</v>
      </c>
      <c r="C393" t="str">
        <f>IF($A393="","",Transactions!A385)</f>
        <v/>
      </c>
      <c r="D393" s="30">
        <f>IF($A393="",0,Transactions!H385)</f>
        <v>0</v>
      </c>
      <c r="E393">
        <f>IF($A393="",1,IFERROR(INDEX(Prices[FX to SGD],MATCH($A393,Prices[Key],0)),1))</f>
        <v>1</v>
      </c>
      <c r="F393" s="30">
        <f>IF($A393="",0,(Transactions!M385-Transactions!L385+IF(Transactions!A385=2,Transactions!H385,0))*$E393)</f>
        <v>0</v>
      </c>
      <c r="G393" s="30">
        <f>IF($A393="",0,IF(Transactions!A385=2,Transactions!H385*$E393,0))</f>
        <v>0</v>
      </c>
    </row>
    <row r="394" spans="1:7" ht="15" customHeight="1" x14ac:dyDescent="0.15">
      <c r="A394" t="str">
        <f>IF(Transactions!J386="","",Transactions!J386)</f>
        <v/>
      </c>
      <c r="B394" s="297">
        <f ca="1">IF($A394="",TODAY(),Transactions!G386)</f>
        <v>46216</v>
      </c>
      <c r="C394" t="str">
        <f>IF($A394="","",Transactions!A386)</f>
        <v/>
      </c>
      <c r="D394" s="30">
        <f>IF($A394="",0,Transactions!H386)</f>
        <v>0</v>
      </c>
      <c r="E394">
        <f>IF($A394="",1,IFERROR(INDEX(Prices[FX to SGD],MATCH($A394,Prices[Key],0)),1))</f>
        <v>1</v>
      </c>
      <c r="F394" s="30">
        <f>IF($A394="",0,(Transactions!M386-Transactions!L386+IF(Transactions!A386=2,Transactions!H386,0))*$E394)</f>
        <v>0</v>
      </c>
      <c r="G394" s="30">
        <f>IF($A394="",0,IF(Transactions!A386=2,Transactions!H386*$E394,0))</f>
        <v>0</v>
      </c>
    </row>
    <row r="395" spans="1:7" ht="15" customHeight="1" x14ac:dyDescent="0.15">
      <c r="A395" t="str">
        <f>IF(Transactions!J387="","",Transactions!J387)</f>
        <v/>
      </c>
      <c r="B395" s="297">
        <f ca="1">IF($A395="",TODAY(),Transactions!G387)</f>
        <v>46216</v>
      </c>
      <c r="C395" t="str">
        <f>IF($A395="","",Transactions!A387)</f>
        <v/>
      </c>
      <c r="D395" s="30">
        <f>IF($A395="",0,Transactions!H387)</f>
        <v>0</v>
      </c>
      <c r="E395">
        <f>IF($A395="",1,IFERROR(INDEX(Prices[FX to SGD],MATCH($A395,Prices[Key],0)),1))</f>
        <v>1</v>
      </c>
      <c r="F395" s="30">
        <f>IF($A395="",0,(Transactions!M387-Transactions!L387+IF(Transactions!A387=2,Transactions!H387,0))*$E395)</f>
        <v>0</v>
      </c>
      <c r="G395" s="30">
        <f>IF($A395="",0,IF(Transactions!A387=2,Transactions!H387*$E395,0))</f>
        <v>0</v>
      </c>
    </row>
    <row r="396" spans="1:7" ht="15" customHeight="1" x14ac:dyDescent="0.15">
      <c r="A396" t="str">
        <f>IF(Transactions!J388="","",Transactions!J388)</f>
        <v/>
      </c>
      <c r="B396" s="297">
        <f ca="1">IF($A396="",TODAY(),Transactions!G388)</f>
        <v>46216</v>
      </c>
      <c r="C396" t="str">
        <f>IF($A396="","",Transactions!A388)</f>
        <v/>
      </c>
      <c r="D396" s="30">
        <f>IF($A396="",0,Transactions!H388)</f>
        <v>0</v>
      </c>
      <c r="E396">
        <f>IF($A396="",1,IFERROR(INDEX(Prices[FX to SGD],MATCH($A396,Prices[Key],0)),1))</f>
        <v>1</v>
      </c>
      <c r="F396" s="30">
        <f>IF($A396="",0,(Transactions!M388-Transactions!L388+IF(Transactions!A388=2,Transactions!H388,0))*$E396)</f>
        <v>0</v>
      </c>
      <c r="G396" s="30">
        <f>IF($A396="",0,IF(Transactions!A388=2,Transactions!H388*$E396,0))</f>
        <v>0</v>
      </c>
    </row>
    <row r="397" spans="1:7" ht="15" customHeight="1" x14ac:dyDescent="0.15">
      <c r="A397" t="str">
        <f>IF(Transactions!J389="","",Transactions!J389)</f>
        <v/>
      </c>
      <c r="B397" s="297">
        <f ca="1">IF($A397="",TODAY(),Transactions!G389)</f>
        <v>46216</v>
      </c>
      <c r="C397" t="str">
        <f>IF($A397="","",Transactions!A389)</f>
        <v/>
      </c>
      <c r="D397" s="30">
        <f>IF($A397="",0,Transactions!H389)</f>
        <v>0</v>
      </c>
      <c r="E397">
        <f>IF($A397="",1,IFERROR(INDEX(Prices[FX to SGD],MATCH($A397,Prices[Key],0)),1))</f>
        <v>1</v>
      </c>
      <c r="F397" s="30">
        <f>IF($A397="",0,(Transactions!M389-Transactions!L389+IF(Transactions!A389=2,Transactions!H389,0))*$E397)</f>
        <v>0</v>
      </c>
      <c r="G397" s="30">
        <f>IF($A397="",0,IF(Transactions!A389=2,Transactions!H389*$E397,0))</f>
        <v>0</v>
      </c>
    </row>
    <row r="398" spans="1:7" ht="15" customHeight="1" x14ac:dyDescent="0.15">
      <c r="A398" t="str">
        <f>IF(Transactions!J390="","",Transactions!J390)</f>
        <v/>
      </c>
      <c r="B398" s="297">
        <f ca="1">IF($A398="",TODAY(),Transactions!G390)</f>
        <v>46216</v>
      </c>
      <c r="C398" t="str">
        <f>IF($A398="","",Transactions!A390)</f>
        <v/>
      </c>
      <c r="D398" s="30">
        <f>IF($A398="",0,Transactions!H390)</f>
        <v>0</v>
      </c>
      <c r="E398">
        <f>IF($A398="",1,IFERROR(INDEX(Prices[FX to SGD],MATCH($A398,Prices[Key],0)),1))</f>
        <v>1</v>
      </c>
      <c r="F398" s="30">
        <f>IF($A398="",0,(Transactions!M390-Transactions!L390+IF(Transactions!A390=2,Transactions!H390,0))*$E398)</f>
        <v>0</v>
      </c>
      <c r="G398" s="30">
        <f>IF($A398="",0,IF(Transactions!A390=2,Transactions!H390*$E398,0))</f>
        <v>0</v>
      </c>
    </row>
    <row r="399" spans="1:7" ht="15" customHeight="1" x14ac:dyDescent="0.15">
      <c r="A399" t="str">
        <f>IF(Transactions!J391="","",Transactions!J391)</f>
        <v/>
      </c>
      <c r="B399" s="297">
        <f ca="1">IF($A399="",TODAY(),Transactions!G391)</f>
        <v>46216</v>
      </c>
      <c r="C399" t="str">
        <f>IF($A399="","",Transactions!A391)</f>
        <v/>
      </c>
      <c r="D399" s="30">
        <f>IF($A399="",0,Transactions!H391)</f>
        <v>0</v>
      </c>
      <c r="E399">
        <f>IF($A399="",1,IFERROR(INDEX(Prices[FX to SGD],MATCH($A399,Prices[Key],0)),1))</f>
        <v>1</v>
      </c>
      <c r="F399" s="30">
        <f>IF($A399="",0,(Transactions!M391-Transactions!L391+IF(Transactions!A391=2,Transactions!H391,0))*$E399)</f>
        <v>0</v>
      </c>
      <c r="G399" s="30">
        <f>IF($A399="",0,IF(Transactions!A391=2,Transactions!H391*$E399,0))</f>
        <v>0</v>
      </c>
    </row>
    <row r="400" spans="1:7" ht="15" customHeight="1" x14ac:dyDescent="0.15">
      <c r="A400" t="str">
        <f>IF(Transactions!J392="","",Transactions!J392)</f>
        <v/>
      </c>
      <c r="B400" s="297">
        <f ca="1">IF($A400="",TODAY(),Transactions!G392)</f>
        <v>46216</v>
      </c>
      <c r="C400" t="str">
        <f>IF($A400="","",Transactions!A392)</f>
        <v/>
      </c>
      <c r="D400" s="30">
        <f>IF($A400="",0,Transactions!H392)</f>
        <v>0</v>
      </c>
      <c r="E400">
        <f>IF($A400="",1,IFERROR(INDEX(Prices[FX to SGD],MATCH($A400,Prices[Key],0)),1))</f>
        <v>1</v>
      </c>
      <c r="F400" s="30">
        <f>IF($A400="",0,(Transactions!M392-Transactions!L392+IF(Transactions!A392=2,Transactions!H392,0))*$E400)</f>
        <v>0</v>
      </c>
      <c r="G400" s="30">
        <f>IF($A400="",0,IF(Transactions!A392=2,Transactions!H392*$E400,0))</f>
        <v>0</v>
      </c>
    </row>
    <row r="401" spans="1:7" ht="15" customHeight="1" x14ac:dyDescent="0.15">
      <c r="A401" t="str">
        <f>IF(Transactions!J393="","",Transactions!J393)</f>
        <v/>
      </c>
      <c r="B401" s="297">
        <f ca="1">IF($A401="",TODAY(),Transactions!G393)</f>
        <v>46216</v>
      </c>
      <c r="C401" t="str">
        <f>IF($A401="","",Transactions!A393)</f>
        <v/>
      </c>
      <c r="D401" s="30">
        <f>IF($A401="",0,Transactions!H393)</f>
        <v>0</v>
      </c>
      <c r="E401">
        <f>IF($A401="",1,IFERROR(INDEX(Prices[FX to SGD],MATCH($A401,Prices[Key],0)),1))</f>
        <v>1</v>
      </c>
      <c r="F401" s="30">
        <f>IF($A401="",0,(Transactions!M393-Transactions!L393+IF(Transactions!A393=2,Transactions!H393,0))*$E401)</f>
        <v>0</v>
      </c>
      <c r="G401" s="30">
        <f>IF($A401="",0,IF(Transactions!A393=2,Transactions!H393*$E401,0))</f>
        <v>0</v>
      </c>
    </row>
    <row r="402" spans="1:7" ht="15" customHeight="1" x14ac:dyDescent="0.15">
      <c r="A402" t="str">
        <f>IF(Transactions!J394="","",Transactions!J394)</f>
        <v/>
      </c>
      <c r="B402" s="297">
        <f ca="1">IF($A402="",TODAY(),Transactions!G394)</f>
        <v>46216</v>
      </c>
      <c r="C402" t="str">
        <f>IF($A402="","",Transactions!A394)</f>
        <v/>
      </c>
      <c r="D402" s="30">
        <f>IF($A402="",0,Transactions!H394)</f>
        <v>0</v>
      </c>
      <c r="E402">
        <f>IF($A402="",1,IFERROR(INDEX(Prices[FX to SGD],MATCH($A402,Prices[Key],0)),1))</f>
        <v>1</v>
      </c>
      <c r="F402" s="30">
        <f>IF($A402="",0,(Transactions!M394-Transactions!L394+IF(Transactions!A394=2,Transactions!H394,0))*$E402)</f>
        <v>0</v>
      </c>
      <c r="G402" s="30">
        <f>IF($A402="",0,IF(Transactions!A394=2,Transactions!H394*$E402,0))</f>
        <v>0</v>
      </c>
    </row>
    <row r="403" spans="1:7" ht="15" customHeight="1" x14ac:dyDescent="0.15">
      <c r="A403" t="str">
        <f>IF(Transactions!J395="","",Transactions!J395)</f>
        <v/>
      </c>
      <c r="B403" s="297">
        <f ca="1">IF($A403="",TODAY(),Transactions!G395)</f>
        <v>46216</v>
      </c>
      <c r="C403" t="str">
        <f>IF($A403="","",Transactions!A395)</f>
        <v/>
      </c>
      <c r="D403" s="30">
        <f>IF($A403="",0,Transactions!H395)</f>
        <v>0</v>
      </c>
      <c r="E403">
        <f>IF($A403="",1,IFERROR(INDEX(Prices[FX to SGD],MATCH($A403,Prices[Key],0)),1))</f>
        <v>1</v>
      </c>
      <c r="F403" s="30">
        <f>IF($A403="",0,(Transactions!M395-Transactions!L395+IF(Transactions!A395=2,Transactions!H395,0))*$E403)</f>
        <v>0</v>
      </c>
      <c r="G403" s="30">
        <f>IF($A403="",0,IF(Transactions!A395=2,Transactions!H395*$E403,0))</f>
        <v>0</v>
      </c>
    </row>
    <row r="404" spans="1:7" ht="15" customHeight="1" x14ac:dyDescent="0.15">
      <c r="A404" t="str">
        <f>IF(Transactions!J396="","",Transactions!J396)</f>
        <v/>
      </c>
      <c r="B404" s="297">
        <f ca="1">IF($A404="",TODAY(),Transactions!G396)</f>
        <v>46216</v>
      </c>
      <c r="C404" t="str">
        <f>IF($A404="","",Transactions!A396)</f>
        <v/>
      </c>
      <c r="D404" s="30">
        <f>IF($A404="",0,Transactions!H396)</f>
        <v>0</v>
      </c>
      <c r="E404">
        <f>IF($A404="",1,IFERROR(INDEX(Prices[FX to SGD],MATCH($A404,Prices[Key],0)),1))</f>
        <v>1</v>
      </c>
      <c r="F404" s="30">
        <f>IF($A404="",0,(Transactions!M396-Transactions!L396+IF(Transactions!A396=2,Transactions!H396,0))*$E404)</f>
        <v>0</v>
      </c>
      <c r="G404" s="30">
        <f>IF($A404="",0,IF(Transactions!A396=2,Transactions!H396*$E404,0))</f>
        <v>0</v>
      </c>
    </row>
    <row r="405" spans="1:7" ht="15" customHeight="1" x14ac:dyDescent="0.15">
      <c r="A405" t="str">
        <f>IF(Transactions!J397="","",Transactions!J397)</f>
        <v/>
      </c>
      <c r="B405" s="297">
        <f ca="1">IF($A405="",TODAY(),Transactions!G397)</f>
        <v>46216</v>
      </c>
      <c r="C405" t="str">
        <f>IF($A405="","",Transactions!A397)</f>
        <v/>
      </c>
      <c r="D405" s="30">
        <f>IF($A405="",0,Transactions!H397)</f>
        <v>0</v>
      </c>
      <c r="E405">
        <f>IF($A405="",1,IFERROR(INDEX(Prices[FX to SGD],MATCH($A405,Prices[Key],0)),1))</f>
        <v>1</v>
      </c>
      <c r="F405" s="30">
        <f>IF($A405="",0,(Transactions!M397-Transactions!L397+IF(Transactions!A397=2,Transactions!H397,0))*$E405)</f>
        <v>0</v>
      </c>
      <c r="G405" s="30">
        <f>IF($A405="",0,IF(Transactions!A397=2,Transactions!H397*$E405,0))</f>
        <v>0</v>
      </c>
    </row>
    <row r="406" spans="1:7" ht="15" customHeight="1" x14ac:dyDescent="0.15">
      <c r="A406" t="str">
        <f>IF(Transactions!J398="","",Transactions!J398)</f>
        <v/>
      </c>
      <c r="B406" s="297">
        <f ca="1">IF($A406="",TODAY(),Transactions!G398)</f>
        <v>46216</v>
      </c>
      <c r="C406" t="str">
        <f>IF($A406="","",Transactions!A398)</f>
        <v/>
      </c>
      <c r="D406" s="30">
        <f>IF($A406="",0,Transactions!H398)</f>
        <v>0</v>
      </c>
      <c r="E406">
        <f>IF($A406="",1,IFERROR(INDEX(Prices[FX to SGD],MATCH($A406,Prices[Key],0)),1))</f>
        <v>1</v>
      </c>
      <c r="F406" s="30">
        <f>IF($A406="",0,(Transactions!M398-Transactions!L398+IF(Transactions!A398=2,Transactions!H398,0))*$E406)</f>
        <v>0</v>
      </c>
      <c r="G406" s="30">
        <f>IF($A406="",0,IF(Transactions!A398=2,Transactions!H398*$E406,0))</f>
        <v>0</v>
      </c>
    </row>
    <row r="407" spans="1:7" ht="15" customHeight="1" x14ac:dyDescent="0.15">
      <c r="A407" t="str">
        <f>IF(Transactions!J399="","",Transactions!J399)</f>
        <v/>
      </c>
      <c r="B407" s="297">
        <f ca="1">IF($A407="",TODAY(),Transactions!G399)</f>
        <v>46216</v>
      </c>
      <c r="C407" t="str">
        <f>IF($A407="","",Transactions!A399)</f>
        <v/>
      </c>
      <c r="D407" s="30">
        <f>IF($A407="",0,Transactions!H399)</f>
        <v>0</v>
      </c>
      <c r="E407">
        <f>IF($A407="",1,IFERROR(INDEX(Prices[FX to SGD],MATCH($A407,Prices[Key],0)),1))</f>
        <v>1</v>
      </c>
      <c r="F407" s="30">
        <f>IF($A407="",0,(Transactions!M399-Transactions!L399+IF(Transactions!A399=2,Transactions!H399,0))*$E407)</f>
        <v>0</v>
      </c>
      <c r="G407" s="30">
        <f>IF($A407="",0,IF(Transactions!A399=2,Transactions!H399*$E407,0))</f>
        <v>0</v>
      </c>
    </row>
    <row r="408" spans="1:7" ht="15" customHeight="1" x14ac:dyDescent="0.15">
      <c r="A408" t="str">
        <f>IF(Transactions!J400="","",Transactions!J400)</f>
        <v/>
      </c>
      <c r="B408" s="297">
        <f ca="1">IF($A408="",TODAY(),Transactions!G400)</f>
        <v>46216</v>
      </c>
      <c r="C408" t="str">
        <f>IF($A408="","",Transactions!A400)</f>
        <v/>
      </c>
      <c r="D408" s="30">
        <f>IF($A408="",0,Transactions!H400)</f>
        <v>0</v>
      </c>
      <c r="E408">
        <f>IF($A408="",1,IFERROR(INDEX(Prices[FX to SGD],MATCH($A408,Prices[Key],0)),1))</f>
        <v>1</v>
      </c>
      <c r="F408" s="30">
        <f>IF($A408="",0,(Transactions!M400-Transactions!L400+IF(Transactions!A400=2,Transactions!H400,0))*$E408)</f>
        <v>0</v>
      </c>
      <c r="G408" s="30">
        <f>IF($A408="",0,IF(Transactions!A400=2,Transactions!H400*$E408,0))</f>
        <v>0</v>
      </c>
    </row>
    <row r="409" spans="1:7" ht="15" customHeight="1" x14ac:dyDescent="0.15">
      <c r="A409" t="str">
        <f>IF(Transactions!J401="","",Transactions!J401)</f>
        <v/>
      </c>
      <c r="B409" s="297">
        <f ca="1">IF($A409="",TODAY(),Transactions!G401)</f>
        <v>46216</v>
      </c>
      <c r="C409" t="str">
        <f>IF($A409="","",Transactions!A401)</f>
        <v/>
      </c>
      <c r="D409" s="30">
        <f>IF($A409="",0,Transactions!H401)</f>
        <v>0</v>
      </c>
      <c r="E409">
        <f>IF($A409="",1,IFERROR(INDEX(Prices[FX to SGD],MATCH($A409,Prices[Key],0)),1))</f>
        <v>1</v>
      </c>
      <c r="F409" s="30">
        <f>IF($A409="",0,(Transactions!M401-Transactions!L401+IF(Transactions!A401=2,Transactions!H401,0))*$E409)</f>
        <v>0</v>
      </c>
      <c r="G409" s="30">
        <f>IF($A409="",0,IF(Transactions!A401=2,Transactions!H401*$E409,0))</f>
        <v>0</v>
      </c>
    </row>
    <row r="410" spans="1:7" ht="15" customHeight="1" x14ac:dyDescent="0.15">
      <c r="A410" t="str">
        <f>IF(Transactions!J402="","",Transactions!J402)</f>
        <v/>
      </c>
      <c r="B410" s="297">
        <f ca="1">IF($A410="",TODAY(),Transactions!G402)</f>
        <v>46216</v>
      </c>
      <c r="C410" t="str">
        <f>IF($A410="","",Transactions!A402)</f>
        <v/>
      </c>
      <c r="D410" s="30">
        <f>IF($A410="",0,Transactions!H402)</f>
        <v>0</v>
      </c>
      <c r="E410">
        <f>IF($A410="",1,IFERROR(INDEX(Prices[FX to SGD],MATCH($A410,Prices[Key],0)),1))</f>
        <v>1</v>
      </c>
      <c r="F410" s="30">
        <f>IF($A410="",0,(Transactions!M402-Transactions!L402+IF(Transactions!A402=2,Transactions!H402,0))*$E410)</f>
        <v>0</v>
      </c>
      <c r="G410" s="30">
        <f>IF($A410="",0,IF(Transactions!A402=2,Transactions!H402*$E410,0))</f>
        <v>0</v>
      </c>
    </row>
    <row r="411" spans="1:7" ht="15" customHeight="1" x14ac:dyDescent="0.15">
      <c r="A411" t="str">
        <f>IF(Transactions!J403="","",Transactions!J403)</f>
        <v/>
      </c>
      <c r="B411" s="297">
        <f ca="1">IF($A411="",TODAY(),Transactions!G403)</f>
        <v>46216</v>
      </c>
      <c r="C411" t="str">
        <f>IF($A411="","",Transactions!A403)</f>
        <v/>
      </c>
      <c r="D411" s="30">
        <f>IF($A411="",0,Transactions!H403)</f>
        <v>0</v>
      </c>
      <c r="E411">
        <f>IF($A411="",1,IFERROR(INDEX(Prices[FX to SGD],MATCH($A411,Prices[Key],0)),1))</f>
        <v>1</v>
      </c>
      <c r="F411" s="30">
        <f>IF($A411="",0,(Transactions!M403-Transactions!L403+IF(Transactions!A403=2,Transactions!H403,0))*$E411)</f>
        <v>0</v>
      </c>
      <c r="G411" s="30">
        <f>IF($A411="",0,IF(Transactions!A403=2,Transactions!H403*$E411,0))</f>
        <v>0</v>
      </c>
    </row>
    <row r="412" spans="1:7" ht="15" customHeight="1" x14ac:dyDescent="0.15">
      <c r="A412" t="str">
        <f>IF(Transactions!J404="","",Transactions!J404)</f>
        <v/>
      </c>
      <c r="B412" s="297">
        <f ca="1">IF($A412="",TODAY(),Transactions!G404)</f>
        <v>46216</v>
      </c>
      <c r="C412" t="str">
        <f>IF($A412="","",Transactions!A404)</f>
        <v/>
      </c>
      <c r="D412" s="30">
        <f>IF($A412="",0,Transactions!H404)</f>
        <v>0</v>
      </c>
      <c r="E412">
        <f>IF($A412="",1,IFERROR(INDEX(Prices[FX to SGD],MATCH($A412,Prices[Key],0)),1))</f>
        <v>1</v>
      </c>
      <c r="F412" s="30">
        <f>IF($A412="",0,(Transactions!M404-Transactions!L404+IF(Transactions!A404=2,Transactions!H404,0))*$E412)</f>
        <v>0</v>
      </c>
      <c r="G412" s="30">
        <f>IF($A412="",0,IF(Transactions!A404=2,Transactions!H404*$E412,0))</f>
        <v>0</v>
      </c>
    </row>
    <row r="413" spans="1:7" ht="15" customHeight="1" x14ac:dyDescent="0.15">
      <c r="A413" t="str">
        <f>IF(Transactions!J405="","",Transactions!J405)</f>
        <v/>
      </c>
      <c r="B413" s="297">
        <f ca="1">IF($A413="",TODAY(),Transactions!G405)</f>
        <v>46216</v>
      </c>
      <c r="C413" t="str">
        <f>IF($A413="","",Transactions!A405)</f>
        <v/>
      </c>
      <c r="D413" s="30">
        <f>IF($A413="",0,Transactions!H405)</f>
        <v>0</v>
      </c>
      <c r="E413">
        <f>IF($A413="",1,IFERROR(INDEX(Prices[FX to SGD],MATCH($A413,Prices[Key],0)),1))</f>
        <v>1</v>
      </c>
      <c r="F413" s="30">
        <f>IF($A413="",0,(Transactions!M405-Transactions!L405+IF(Transactions!A405=2,Transactions!H405,0))*$E413)</f>
        <v>0</v>
      </c>
      <c r="G413" s="30">
        <f>IF($A413="",0,IF(Transactions!A405=2,Transactions!H405*$E413,0))</f>
        <v>0</v>
      </c>
    </row>
    <row r="414" spans="1:7" ht="15" customHeight="1" x14ac:dyDescent="0.15">
      <c r="A414" t="str">
        <f>IF(Transactions!J406="","",Transactions!J406)</f>
        <v/>
      </c>
      <c r="B414" s="297">
        <f ca="1">IF($A414="",TODAY(),Transactions!G406)</f>
        <v>46216</v>
      </c>
      <c r="C414" t="str">
        <f>IF($A414="","",Transactions!A406)</f>
        <v/>
      </c>
      <c r="D414" s="30">
        <f>IF($A414="",0,Transactions!H406)</f>
        <v>0</v>
      </c>
      <c r="E414">
        <f>IF($A414="",1,IFERROR(INDEX(Prices[FX to SGD],MATCH($A414,Prices[Key],0)),1))</f>
        <v>1</v>
      </c>
      <c r="F414" s="30">
        <f>IF($A414="",0,(Transactions!M406-Transactions!L406+IF(Transactions!A406=2,Transactions!H406,0))*$E414)</f>
        <v>0</v>
      </c>
      <c r="G414" s="30">
        <f>IF($A414="",0,IF(Transactions!A406=2,Transactions!H406*$E414,0))</f>
        <v>0</v>
      </c>
    </row>
    <row r="415" spans="1:7" ht="15" customHeight="1" x14ac:dyDescent="0.15">
      <c r="A415" t="str">
        <f>IF(Transactions!J407="","",Transactions!J407)</f>
        <v/>
      </c>
      <c r="B415" s="297">
        <f ca="1">IF($A415="",TODAY(),Transactions!G407)</f>
        <v>46216</v>
      </c>
      <c r="C415" t="str">
        <f>IF($A415="","",Transactions!A407)</f>
        <v/>
      </c>
      <c r="D415" s="30">
        <f>IF($A415="",0,Transactions!H407)</f>
        <v>0</v>
      </c>
      <c r="E415">
        <f>IF($A415="",1,IFERROR(INDEX(Prices[FX to SGD],MATCH($A415,Prices[Key],0)),1))</f>
        <v>1</v>
      </c>
      <c r="F415" s="30">
        <f>IF($A415="",0,(Transactions!M407-Transactions!L407+IF(Transactions!A407=2,Transactions!H407,0))*$E415)</f>
        <v>0</v>
      </c>
      <c r="G415" s="30">
        <f>IF($A415="",0,IF(Transactions!A407=2,Transactions!H407*$E415,0))</f>
        <v>0</v>
      </c>
    </row>
    <row r="416" spans="1:7" ht="15" customHeight="1" x14ac:dyDescent="0.15">
      <c r="A416" t="str">
        <f>IF(Transactions!J408="","",Transactions!J408)</f>
        <v/>
      </c>
      <c r="B416" s="297">
        <f ca="1">IF($A416="",TODAY(),Transactions!G408)</f>
        <v>46216</v>
      </c>
      <c r="C416" t="str">
        <f>IF($A416="","",Transactions!A408)</f>
        <v/>
      </c>
      <c r="D416" s="30">
        <f>IF($A416="",0,Transactions!H408)</f>
        <v>0</v>
      </c>
      <c r="E416">
        <f>IF($A416="",1,IFERROR(INDEX(Prices[FX to SGD],MATCH($A416,Prices[Key],0)),1))</f>
        <v>1</v>
      </c>
      <c r="F416" s="30">
        <f>IF($A416="",0,(Transactions!M408-Transactions!L408+IF(Transactions!A408=2,Transactions!H408,0))*$E416)</f>
        <v>0</v>
      </c>
      <c r="G416" s="30">
        <f>IF($A416="",0,IF(Transactions!A408=2,Transactions!H408*$E416,0))</f>
        <v>0</v>
      </c>
    </row>
    <row r="417" spans="1:7" ht="15" customHeight="1" x14ac:dyDescent="0.15">
      <c r="A417" t="str">
        <f>IF(Transactions!J409="","",Transactions!J409)</f>
        <v/>
      </c>
      <c r="B417" s="297">
        <f ca="1">IF($A417="",TODAY(),Transactions!G409)</f>
        <v>46216</v>
      </c>
      <c r="C417" t="str">
        <f>IF($A417="","",Transactions!A409)</f>
        <v/>
      </c>
      <c r="D417" s="30">
        <f>IF($A417="",0,Transactions!H409)</f>
        <v>0</v>
      </c>
      <c r="E417">
        <f>IF($A417="",1,IFERROR(INDEX(Prices[FX to SGD],MATCH($A417,Prices[Key],0)),1))</f>
        <v>1</v>
      </c>
      <c r="F417" s="30">
        <f>IF($A417="",0,(Transactions!M409-Transactions!L409+IF(Transactions!A409=2,Transactions!H409,0))*$E417)</f>
        <v>0</v>
      </c>
      <c r="G417" s="30">
        <f>IF($A417="",0,IF(Transactions!A409=2,Transactions!H409*$E417,0))</f>
        <v>0</v>
      </c>
    </row>
    <row r="418" spans="1:7" ht="15" customHeight="1" x14ac:dyDescent="0.15">
      <c r="A418" t="str">
        <f>IF(Transactions!J410="","",Transactions!J410)</f>
        <v/>
      </c>
      <c r="B418" s="297">
        <f ca="1">IF($A418="",TODAY(),Transactions!G410)</f>
        <v>46216</v>
      </c>
      <c r="C418" t="str">
        <f>IF($A418="","",Transactions!A410)</f>
        <v/>
      </c>
      <c r="D418" s="30">
        <f>IF($A418="",0,Transactions!H410)</f>
        <v>0</v>
      </c>
      <c r="E418">
        <f>IF($A418="",1,IFERROR(INDEX(Prices[FX to SGD],MATCH($A418,Prices[Key],0)),1))</f>
        <v>1</v>
      </c>
      <c r="F418" s="30">
        <f>IF($A418="",0,(Transactions!M410-Transactions!L410+IF(Transactions!A410=2,Transactions!H410,0))*$E418)</f>
        <v>0</v>
      </c>
      <c r="G418" s="30">
        <f>IF($A418="",0,IF(Transactions!A410=2,Transactions!H410*$E418,0))</f>
        <v>0</v>
      </c>
    </row>
    <row r="419" spans="1:7" ht="15" customHeight="1" x14ac:dyDescent="0.15">
      <c r="A419" t="str">
        <f>IF(Transactions!J411="","",Transactions!J411)</f>
        <v/>
      </c>
      <c r="B419" s="297">
        <f ca="1">IF($A419="",TODAY(),Transactions!G411)</f>
        <v>46216</v>
      </c>
      <c r="C419" t="str">
        <f>IF($A419="","",Transactions!A411)</f>
        <v/>
      </c>
      <c r="D419" s="30">
        <f>IF($A419="",0,Transactions!H411)</f>
        <v>0</v>
      </c>
      <c r="E419">
        <f>IF($A419="",1,IFERROR(INDEX(Prices[FX to SGD],MATCH($A419,Prices[Key],0)),1))</f>
        <v>1</v>
      </c>
      <c r="F419" s="30">
        <f>IF($A419="",0,(Transactions!M411-Transactions!L411+IF(Transactions!A411=2,Transactions!H411,0))*$E419)</f>
        <v>0</v>
      </c>
      <c r="G419" s="30">
        <f>IF($A419="",0,IF(Transactions!A411=2,Transactions!H411*$E419,0))</f>
        <v>0</v>
      </c>
    </row>
    <row r="420" spans="1:7" ht="15" customHeight="1" x14ac:dyDescent="0.15">
      <c r="A420" t="str">
        <f>IF(Transactions!J412="","",Transactions!J412)</f>
        <v/>
      </c>
      <c r="B420" s="297">
        <f ca="1">IF($A420="",TODAY(),Transactions!G412)</f>
        <v>46216</v>
      </c>
      <c r="C420" t="str">
        <f>IF($A420="","",Transactions!A412)</f>
        <v/>
      </c>
      <c r="D420" s="30">
        <f>IF($A420="",0,Transactions!H412)</f>
        <v>0</v>
      </c>
      <c r="E420">
        <f>IF($A420="",1,IFERROR(INDEX(Prices[FX to SGD],MATCH($A420,Prices[Key],0)),1))</f>
        <v>1</v>
      </c>
      <c r="F420" s="30">
        <f>IF($A420="",0,(Transactions!M412-Transactions!L412+IF(Transactions!A412=2,Transactions!H412,0))*$E420)</f>
        <v>0</v>
      </c>
      <c r="G420" s="30">
        <f>IF($A420="",0,IF(Transactions!A412=2,Transactions!H412*$E420,0))</f>
        <v>0</v>
      </c>
    </row>
    <row r="421" spans="1:7" ht="15" customHeight="1" x14ac:dyDescent="0.15">
      <c r="A421" t="str">
        <f>IF(Transactions!J413="","",Transactions!J413)</f>
        <v/>
      </c>
      <c r="B421" s="297">
        <f ca="1">IF($A421="",TODAY(),Transactions!G413)</f>
        <v>46216</v>
      </c>
      <c r="C421" t="str">
        <f>IF($A421="","",Transactions!A413)</f>
        <v/>
      </c>
      <c r="D421" s="30">
        <f>IF($A421="",0,Transactions!H413)</f>
        <v>0</v>
      </c>
      <c r="E421">
        <f>IF($A421="",1,IFERROR(INDEX(Prices[FX to SGD],MATCH($A421,Prices[Key],0)),1))</f>
        <v>1</v>
      </c>
      <c r="F421" s="30">
        <f>IF($A421="",0,(Transactions!M413-Transactions!L413+IF(Transactions!A413=2,Transactions!H413,0))*$E421)</f>
        <v>0</v>
      </c>
      <c r="G421" s="30">
        <f>IF($A421="",0,IF(Transactions!A413=2,Transactions!H413*$E421,0))</f>
        <v>0</v>
      </c>
    </row>
    <row r="422" spans="1:7" ht="15" customHeight="1" x14ac:dyDescent="0.15">
      <c r="A422" t="str">
        <f>IF(Transactions!J414="","",Transactions!J414)</f>
        <v/>
      </c>
      <c r="B422" s="297">
        <f ca="1">IF($A422="",TODAY(),Transactions!G414)</f>
        <v>46216</v>
      </c>
      <c r="C422" t="str">
        <f>IF($A422="","",Transactions!A414)</f>
        <v/>
      </c>
      <c r="D422" s="30">
        <f>IF($A422="",0,Transactions!H414)</f>
        <v>0</v>
      </c>
      <c r="E422">
        <f>IF($A422="",1,IFERROR(INDEX(Prices[FX to SGD],MATCH($A422,Prices[Key],0)),1))</f>
        <v>1</v>
      </c>
      <c r="F422" s="30">
        <f>IF($A422="",0,(Transactions!M414-Transactions!L414+IF(Transactions!A414=2,Transactions!H414,0))*$E422)</f>
        <v>0</v>
      </c>
      <c r="G422" s="30">
        <f>IF($A422="",0,IF(Transactions!A414=2,Transactions!H414*$E422,0))</f>
        <v>0</v>
      </c>
    </row>
    <row r="423" spans="1:7" ht="15" customHeight="1" x14ac:dyDescent="0.15">
      <c r="A423" t="str">
        <f>IF(Transactions!J415="","",Transactions!J415)</f>
        <v/>
      </c>
      <c r="B423" s="297">
        <f ca="1">IF($A423="",TODAY(),Transactions!G415)</f>
        <v>46216</v>
      </c>
      <c r="C423" t="str">
        <f>IF($A423="","",Transactions!A415)</f>
        <v/>
      </c>
      <c r="D423" s="30">
        <f>IF($A423="",0,Transactions!H415)</f>
        <v>0</v>
      </c>
      <c r="E423">
        <f>IF($A423="",1,IFERROR(INDEX(Prices[FX to SGD],MATCH($A423,Prices[Key],0)),1))</f>
        <v>1</v>
      </c>
      <c r="F423" s="30">
        <f>IF($A423="",0,(Transactions!M415-Transactions!L415+IF(Transactions!A415=2,Transactions!H415,0))*$E423)</f>
        <v>0</v>
      </c>
      <c r="G423" s="30">
        <f>IF($A423="",0,IF(Transactions!A415=2,Transactions!H415*$E423,0))</f>
        <v>0</v>
      </c>
    </row>
    <row r="424" spans="1:7" ht="15" customHeight="1" x14ac:dyDescent="0.15">
      <c r="A424" t="str">
        <f>IF(Transactions!J416="","",Transactions!J416)</f>
        <v/>
      </c>
      <c r="B424" s="297">
        <f ca="1">IF($A424="",TODAY(),Transactions!G416)</f>
        <v>46216</v>
      </c>
      <c r="C424" t="str">
        <f>IF($A424="","",Transactions!A416)</f>
        <v/>
      </c>
      <c r="D424" s="30">
        <f>IF($A424="",0,Transactions!H416)</f>
        <v>0</v>
      </c>
      <c r="E424">
        <f>IF($A424="",1,IFERROR(INDEX(Prices[FX to SGD],MATCH($A424,Prices[Key],0)),1))</f>
        <v>1</v>
      </c>
      <c r="F424" s="30">
        <f>IF($A424="",0,(Transactions!M416-Transactions!L416+IF(Transactions!A416=2,Transactions!H416,0))*$E424)</f>
        <v>0</v>
      </c>
      <c r="G424" s="30">
        <f>IF($A424="",0,IF(Transactions!A416=2,Transactions!H416*$E424,0))</f>
        <v>0</v>
      </c>
    </row>
    <row r="425" spans="1:7" ht="15" customHeight="1" x14ac:dyDescent="0.15">
      <c r="A425" t="str">
        <f>IF(Transactions!J417="","",Transactions!J417)</f>
        <v/>
      </c>
      <c r="B425" s="297">
        <f ca="1">IF($A425="",TODAY(),Transactions!G417)</f>
        <v>46216</v>
      </c>
      <c r="C425" t="str">
        <f>IF($A425="","",Transactions!A417)</f>
        <v/>
      </c>
      <c r="D425" s="30">
        <f>IF($A425="",0,Transactions!H417)</f>
        <v>0</v>
      </c>
      <c r="E425">
        <f>IF($A425="",1,IFERROR(INDEX(Prices[FX to SGD],MATCH($A425,Prices[Key],0)),1))</f>
        <v>1</v>
      </c>
      <c r="F425" s="30">
        <f>IF($A425="",0,(Transactions!M417-Transactions!L417+IF(Transactions!A417=2,Transactions!H417,0))*$E425)</f>
        <v>0</v>
      </c>
      <c r="G425" s="30">
        <f>IF($A425="",0,IF(Transactions!A417=2,Transactions!H417*$E425,0))</f>
        <v>0</v>
      </c>
    </row>
    <row r="426" spans="1:7" ht="15" customHeight="1" x14ac:dyDescent="0.15">
      <c r="A426" t="str">
        <f>IF(Transactions!J418="","",Transactions!J418)</f>
        <v/>
      </c>
      <c r="B426" s="297">
        <f ca="1">IF($A426="",TODAY(),Transactions!G418)</f>
        <v>46216</v>
      </c>
      <c r="C426" t="str">
        <f>IF($A426="","",Transactions!A418)</f>
        <v/>
      </c>
      <c r="D426" s="30">
        <f>IF($A426="",0,Transactions!H418)</f>
        <v>0</v>
      </c>
      <c r="E426">
        <f>IF($A426="",1,IFERROR(INDEX(Prices[FX to SGD],MATCH($A426,Prices[Key],0)),1))</f>
        <v>1</v>
      </c>
      <c r="F426" s="30">
        <f>IF($A426="",0,(Transactions!M418-Transactions!L418+IF(Transactions!A418=2,Transactions!H418,0))*$E426)</f>
        <v>0</v>
      </c>
      <c r="G426" s="30">
        <f>IF($A426="",0,IF(Transactions!A418=2,Transactions!H418*$E426,0))</f>
        <v>0</v>
      </c>
    </row>
    <row r="427" spans="1:7" ht="15" customHeight="1" x14ac:dyDescent="0.15">
      <c r="A427" t="str">
        <f>IF(Transactions!J419="","",Transactions!J419)</f>
        <v/>
      </c>
      <c r="B427" s="297">
        <f ca="1">IF($A427="",TODAY(),Transactions!G419)</f>
        <v>46216</v>
      </c>
      <c r="C427" t="str">
        <f>IF($A427="","",Transactions!A419)</f>
        <v/>
      </c>
      <c r="D427" s="30">
        <f>IF($A427="",0,Transactions!H419)</f>
        <v>0</v>
      </c>
      <c r="E427">
        <f>IF($A427="",1,IFERROR(INDEX(Prices[FX to SGD],MATCH($A427,Prices[Key],0)),1))</f>
        <v>1</v>
      </c>
      <c r="F427" s="30">
        <f>IF($A427="",0,(Transactions!M419-Transactions!L419+IF(Transactions!A419=2,Transactions!H419,0))*$E427)</f>
        <v>0</v>
      </c>
      <c r="G427" s="30">
        <f>IF($A427="",0,IF(Transactions!A419=2,Transactions!H419*$E427,0))</f>
        <v>0</v>
      </c>
    </row>
    <row r="428" spans="1:7" ht="15" customHeight="1" x14ac:dyDescent="0.15">
      <c r="A428" t="str">
        <f>IF(Transactions!J420="","",Transactions!J420)</f>
        <v/>
      </c>
      <c r="B428" s="297">
        <f ca="1">IF($A428="",TODAY(),Transactions!G420)</f>
        <v>46216</v>
      </c>
      <c r="C428" t="str">
        <f>IF($A428="","",Transactions!A420)</f>
        <v/>
      </c>
      <c r="D428" s="30">
        <f>IF($A428="",0,Transactions!H420)</f>
        <v>0</v>
      </c>
      <c r="E428">
        <f>IF($A428="",1,IFERROR(INDEX(Prices[FX to SGD],MATCH($A428,Prices[Key],0)),1))</f>
        <v>1</v>
      </c>
      <c r="F428" s="30">
        <f>IF($A428="",0,(Transactions!M420-Transactions!L420+IF(Transactions!A420=2,Transactions!H420,0))*$E428)</f>
        <v>0</v>
      </c>
      <c r="G428" s="30">
        <f>IF($A428="",0,IF(Transactions!A420=2,Transactions!H420*$E428,0))</f>
        <v>0</v>
      </c>
    </row>
    <row r="429" spans="1:7" ht="15" customHeight="1" x14ac:dyDescent="0.15">
      <c r="A429" t="str">
        <f>IF(Transactions!J421="","",Transactions!J421)</f>
        <v/>
      </c>
      <c r="B429" s="297">
        <f ca="1">IF($A429="",TODAY(),Transactions!G421)</f>
        <v>46216</v>
      </c>
      <c r="C429" t="str">
        <f>IF($A429="","",Transactions!A421)</f>
        <v/>
      </c>
      <c r="D429" s="30">
        <f>IF($A429="",0,Transactions!H421)</f>
        <v>0</v>
      </c>
      <c r="E429">
        <f>IF($A429="",1,IFERROR(INDEX(Prices[FX to SGD],MATCH($A429,Prices[Key],0)),1))</f>
        <v>1</v>
      </c>
      <c r="F429" s="30">
        <f>IF($A429="",0,(Transactions!M421-Transactions!L421+IF(Transactions!A421=2,Transactions!H421,0))*$E429)</f>
        <v>0</v>
      </c>
      <c r="G429" s="30">
        <f>IF($A429="",0,IF(Transactions!A421=2,Transactions!H421*$E429,0))</f>
        <v>0</v>
      </c>
    </row>
    <row r="430" spans="1:7" ht="15" customHeight="1" x14ac:dyDescent="0.15">
      <c r="A430" t="str">
        <f>IF(Transactions!J422="","",Transactions!J422)</f>
        <v/>
      </c>
      <c r="B430" s="297">
        <f ca="1">IF($A430="",TODAY(),Transactions!G422)</f>
        <v>46216</v>
      </c>
      <c r="C430" t="str">
        <f>IF($A430="","",Transactions!A422)</f>
        <v/>
      </c>
      <c r="D430" s="30">
        <f>IF($A430="",0,Transactions!H422)</f>
        <v>0</v>
      </c>
      <c r="E430">
        <f>IF($A430="",1,IFERROR(INDEX(Prices[FX to SGD],MATCH($A430,Prices[Key],0)),1))</f>
        <v>1</v>
      </c>
      <c r="F430" s="30">
        <f>IF($A430="",0,(Transactions!M422-Transactions!L422+IF(Transactions!A422=2,Transactions!H422,0))*$E430)</f>
        <v>0</v>
      </c>
      <c r="G430" s="30">
        <f>IF($A430="",0,IF(Transactions!A422=2,Transactions!H422*$E430,0))</f>
        <v>0</v>
      </c>
    </row>
    <row r="431" spans="1:7" ht="15" customHeight="1" x14ac:dyDescent="0.15">
      <c r="A431" t="str">
        <f>IF(Transactions!J423="","",Transactions!J423)</f>
        <v/>
      </c>
      <c r="B431" s="297">
        <f ca="1">IF($A431="",TODAY(),Transactions!G423)</f>
        <v>46216</v>
      </c>
      <c r="C431" t="str">
        <f>IF($A431="","",Transactions!A423)</f>
        <v/>
      </c>
      <c r="D431" s="30">
        <f>IF($A431="",0,Transactions!H423)</f>
        <v>0</v>
      </c>
      <c r="E431">
        <f>IF($A431="",1,IFERROR(INDEX(Prices[FX to SGD],MATCH($A431,Prices[Key],0)),1))</f>
        <v>1</v>
      </c>
      <c r="F431" s="30">
        <f>IF($A431="",0,(Transactions!M423-Transactions!L423+IF(Transactions!A423=2,Transactions!H423,0))*$E431)</f>
        <v>0</v>
      </c>
      <c r="G431" s="30">
        <f>IF($A431="",0,IF(Transactions!A423=2,Transactions!H423*$E431,0))</f>
        <v>0</v>
      </c>
    </row>
    <row r="432" spans="1:7" ht="15" customHeight="1" x14ac:dyDescent="0.15">
      <c r="A432" t="str">
        <f>IF(Transactions!J424="","",Transactions!J424)</f>
        <v/>
      </c>
      <c r="B432" s="297">
        <f ca="1">IF($A432="",TODAY(),Transactions!G424)</f>
        <v>46216</v>
      </c>
      <c r="C432" t="str">
        <f>IF($A432="","",Transactions!A424)</f>
        <v/>
      </c>
      <c r="D432" s="30">
        <f>IF($A432="",0,Transactions!H424)</f>
        <v>0</v>
      </c>
      <c r="E432">
        <f>IF($A432="",1,IFERROR(INDEX(Prices[FX to SGD],MATCH($A432,Prices[Key],0)),1))</f>
        <v>1</v>
      </c>
      <c r="F432" s="30">
        <f>IF($A432="",0,(Transactions!M424-Transactions!L424+IF(Transactions!A424=2,Transactions!H424,0))*$E432)</f>
        <v>0</v>
      </c>
      <c r="G432" s="30">
        <f>IF($A432="",0,IF(Transactions!A424=2,Transactions!H424*$E432,0))</f>
        <v>0</v>
      </c>
    </row>
    <row r="433" spans="1:7" ht="15" customHeight="1" x14ac:dyDescent="0.15">
      <c r="A433" t="str">
        <f>IF(Transactions!J425="","",Transactions!J425)</f>
        <v/>
      </c>
      <c r="B433" s="297">
        <f ca="1">IF($A433="",TODAY(),Transactions!G425)</f>
        <v>46216</v>
      </c>
      <c r="C433" t="str">
        <f>IF($A433="","",Transactions!A425)</f>
        <v/>
      </c>
      <c r="D433" s="30">
        <f>IF($A433="",0,Transactions!H425)</f>
        <v>0</v>
      </c>
      <c r="E433">
        <f>IF($A433="",1,IFERROR(INDEX(Prices[FX to SGD],MATCH($A433,Prices[Key],0)),1))</f>
        <v>1</v>
      </c>
      <c r="F433" s="30">
        <f>IF($A433="",0,(Transactions!M425-Transactions!L425+IF(Transactions!A425=2,Transactions!H425,0))*$E433)</f>
        <v>0</v>
      </c>
      <c r="G433" s="30">
        <f>IF($A433="",0,IF(Transactions!A425=2,Transactions!H425*$E433,0))</f>
        <v>0</v>
      </c>
    </row>
    <row r="434" spans="1:7" ht="15" customHeight="1" x14ac:dyDescent="0.15">
      <c r="A434" t="str">
        <f>IF(Transactions!J426="","",Transactions!J426)</f>
        <v/>
      </c>
      <c r="B434" s="297">
        <f ca="1">IF($A434="",TODAY(),Transactions!G426)</f>
        <v>46216</v>
      </c>
      <c r="C434" t="str">
        <f>IF($A434="","",Transactions!A426)</f>
        <v/>
      </c>
      <c r="D434" s="30">
        <f>IF($A434="",0,Transactions!H426)</f>
        <v>0</v>
      </c>
      <c r="E434">
        <f>IF($A434="",1,IFERROR(INDEX(Prices[FX to SGD],MATCH($A434,Prices[Key],0)),1))</f>
        <v>1</v>
      </c>
      <c r="F434" s="30">
        <f>IF($A434="",0,(Transactions!M426-Transactions!L426+IF(Transactions!A426=2,Transactions!H426,0))*$E434)</f>
        <v>0</v>
      </c>
      <c r="G434" s="30">
        <f>IF($A434="",0,IF(Transactions!A426=2,Transactions!H426*$E434,0))</f>
        <v>0</v>
      </c>
    </row>
    <row r="435" spans="1:7" ht="15" customHeight="1" x14ac:dyDescent="0.15">
      <c r="A435" t="str">
        <f>IF(Transactions!J427="","",Transactions!J427)</f>
        <v/>
      </c>
      <c r="B435" s="297">
        <f ca="1">IF($A435="",TODAY(),Transactions!G427)</f>
        <v>46216</v>
      </c>
      <c r="C435" t="str">
        <f>IF($A435="","",Transactions!A427)</f>
        <v/>
      </c>
      <c r="D435" s="30">
        <f>IF($A435="",0,Transactions!H427)</f>
        <v>0</v>
      </c>
      <c r="E435">
        <f>IF($A435="",1,IFERROR(INDEX(Prices[FX to SGD],MATCH($A435,Prices[Key],0)),1))</f>
        <v>1</v>
      </c>
      <c r="F435" s="30">
        <f>IF($A435="",0,(Transactions!M427-Transactions!L427+IF(Transactions!A427=2,Transactions!H427,0))*$E435)</f>
        <v>0</v>
      </c>
      <c r="G435" s="30">
        <f>IF($A435="",0,IF(Transactions!A427=2,Transactions!H427*$E435,0))</f>
        <v>0</v>
      </c>
    </row>
    <row r="436" spans="1:7" ht="15" customHeight="1" x14ac:dyDescent="0.15">
      <c r="A436" t="str">
        <f>IF(Transactions!J428="","",Transactions!J428)</f>
        <v/>
      </c>
      <c r="B436" s="297">
        <f ca="1">IF($A436="",TODAY(),Transactions!G428)</f>
        <v>46216</v>
      </c>
      <c r="C436" t="str">
        <f>IF($A436="","",Transactions!A428)</f>
        <v/>
      </c>
      <c r="D436" s="30">
        <f>IF($A436="",0,Transactions!H428)</f>
        <v>0</v>
      </c>
      <c r="E436">
        <f>IF($A436="",1,IFERROR(INDEX(Prices[FX to SGD],MATCH($A436,Prices[Key],0)),1))</f>
        <v>1</v>
      </c>
      <c r="F436" s="30">
        <f>IF($A436="",0,(Transactions!M428-Transactions!L428+IF(Transactions!A428=2,Transactions!H428,0))*$E436)</f>
        <v>0</v>
      </c>
      <c r="G436" s="30">
        <f>IF($A436="",0,IF(Transactions!A428=2,Transactions!H428*$E436,0))</f>
        <v>0</v>
      </c>
    </row>
    <row r="437" spans="1:7" ht="15" customHeight="1" x14ac:dyDescent="0.15">
      <c r="A437" t="str">
        <f>IF(Transactions!J429="","",Transactions!J429)</f>
        <v/>
      </c>
      <c r="B437" s="297">
        <f ca="1">IF($A437="",TODAY(),Transactions!G429)</f>
        <v>46216</v>
      </c>
      <c r="C437" t="str">
        <f>IF($A437="","",Transactions!A429)</f>
        <v/>
      </c>
      <c r="D437" s="30">
        <f>IF($A437="",0,Transactions!H429)</f>
        <v>0</v>
      </c>
      <c r="E437">
        <f>IF($A437="",1,IFERROR(INDEX(Prices[FX to SGD],MATCH($A437,Prices[Key],0)),1))</f>
        <v>1</v>
      </c>
      <c r="F437" s="30">
        <f>IF($A437="",0,(Transactions!M429-Transactions!L429+IF(Transactions!A429=2,Transactions!H429,0))*$E437)</f>
        <v>0</v>
      </c>
      <c r="G437" s="30">
        <f>IF($A437="",0,IF(Transactions!A429=2,Transactions!H429*$E437,0))</f>
        <v>0</v>
      </c>
    </row>
    <row r="438" spans="1:7" ht="15" customHeight="1" x14ac:dyDescent="0.15">
      <c r="A438" t="str">
        <f>IF(Transactions!J430="","",Transactions!J430)</f>
        <v/>
      </c>
      <c r="B438" s="297">
        <f ca="1">IF($A438="",TODAY(),Transactions!G430)</f>
        <v>46216</v>
      </c>
      <c r="C438" t="str">
        <f>IF($A438="","",Transactions!A430)</f>
        <v/>
      </c>
      <c r="D438" s="30">
        <f>IF($A438="",0,Transactions!H430)</f>
        <v>0</v>
      </c>
      <c r="E438">
        <f>IF($A438="",1,IFERROR(INDEX(Prices[FX to SGD],MATCH($A438,Prices[Key],0)),1))</f>
        <v>1</v>
      </c>
      <c r="F438" s="30">
        <f>IF($A438="",0,(Transactions!M430-Transactions!L430+IF(Transactions!A430=2,Transactions!H430,0))*$E438)</f>
        <v>0</v>
      </c>
      <c r="G438" s="30">
        <f>IF($A438="",0,IF(Transactions!A430=2,Transactions!H430*$E438,0))</f>
        <v>0</v>
      </c>
    </row>
    <row r="439" spans="1:7" ht="15" customHeight="1" x14ac:dyDescent="0.15">
      <c r="A439" t="str">
        <f>IF(Transactions!J431="","",Transactions!J431)</f>
        <v/>
      </c>
      <c r="B439" s="297">
        <f ca="1">IF($A439="",TODAY(),Transactions!G431)</f>
        <v>46216</v>
      </c>
      <c r="C439" t="str">
        <f>IF($A439="","",Transactions!A431)</f>
        <v/>
      </c>
      <c r="D439" s="30">
        <f>IF($A439="",0,Transactions!H431)</f>
        <v>0</v>
      </c>
      <c r="E439">
        <f>IF($A439="",1,IFERROR(INDEX(Prices[FX to SGD],MATCH($A439,Prices[Key],0)),1))</f>
        <v>1</v>
      </c>
      <c r="F439" s="30">
        <f>IF($A439="",0,(Transactions!M431-Transactions!L431+IF(Transactions!A431=2,Transactions!H431,0))*$E439)</f>
        <v>0</v>
      </c>
      <c r="G439" s="30">
        <f>IF($A439="",0,IF(Transactions!A431=2,Transactions!H431*$E439,0))</f>
        <v>0</v>
      </c>
    </row>
    <row r="440" spans="1:7" ht="15" customHeight="1" x14ac:dyDescent="0.15">
      <c r="A440" t="str">
        <f>IF(Transactions!J432="","",Transactions!J432)</f>
        <v/>
      </c>
      <c r="B440" s="297">
        <f ca="1">IF($A440="",TODAY(),Transactions!G432)</f>
        <v>46216</v>
      </c>
      <c r="C440" t="str">
        <f>IF($A440="","",Transactions!A432)</f>
        <v/>
      </c>
      <c r="D440" s="30">
        <f>IF($A440="",0,Transactions!H432)</f>
        <v>0</v>
      </c>
      <c r="E440">
        <f>IF($A440="",1,IFERROR(INDEX(Prices[FX to SGD],MATCH($A440,Prices[Key],0)),1))</f>
        <v>1</v>
      </c>
      <c r="F440" s="30">
        <f>IF($A440="",0,(Transactions!M432-Transactions!L432+IF(Transactions!A432=2,Transactions!H432,0))*$E440)</f>
        <v>0</v>
      </c>
      <c r="G440" s="30">
        <f>IF($A440="",0,IF(Transactions!A432=2,Transactions!H432*$E440,0))</f>
        <v>0</v>
      </c>
    </row>
    <row r="441" spans="1:7" ht="15" customHeight="1" x14ac:dyDescent="0.15">
      <c r="A441" t="str">
        <f>IF(Transactions!J433="","",Transactions!J433)</f>
        <v/>
      </c>
      <c r="B441" s="297">
        <f ca="1">IF($A441="",TODAY(),Transactions!G433)</f>
        <v>46216</v>
      </c>
      <c r="C441" t="str">
        <f>IF($A441="","",Transactions!A433)</f>
        <v/>
      </c>
      <c r="D441" s="30">
        <f>IF($A441="",0,Transactions!H433)</f>
        <v>0</v>
      </c>
      <c r="E441">
        <f>IF($A441="",1,IFERROR(INDEX(Prices[FX to SGD],MATCH($A441,Prices[Key],0)),1))</f>
        <v>1</v>
      </c>
      <c r="F441" s="30">
        <f>IF($A441="",0,(Transactions!M433-Transactions!L433+IF(Transactions!A433=2,Transactions!H433,0))*$E441)</f>
        <v>0</v>
      </c>
      <c r="G441" s="30">
        <f>IF($A441="",0,IF(Transactions!A433=2,Transactions!H433*$E441,0))</f>
        <v>0</v>
      </c>
    </row>
    <row r="442" spans="1:7" ht="15" customHeight="1" x14ac:dyDescent="0.15">
      <c r="A442" t="str">
        <f>IF(Transactions!J434="","",Transactions!J434)</f>
        <v/>
      </c>
      <c r="B442" s="297">
        <f ca="1">IF($A442="",TODAY(),Transactions!G434)</f>
        <v>46216</v>
      </c>
      <c r="C442" t="str">
        <f>IF($A442="","",Transactions!A434)</f>
        <v/>
      </c>
      <c r="D442" s="30">
        <f>IF($A442="",0,Transactions!H434)</f>
        <v>0</v>
      </c>
      <c r="E442">
        <f>IF($A442="",1,IFERROR(INDEX(Prices[FX to SGD],MATCH($A442,Prices[Key],0)),1))</f>
        <v>1</v>
      </c>
      <c r="F442" s="30">
        <f>IF($A442="",0,(Transactions!M434-Transactions!L434+IF(Transactions!A434=2,Transactions!H434,0))*$E442)</f>
        <v>0</v>
      </c>
      <c r="G442" s="30">
        <f>IF($A442="",0,IF(Transactions!A434=2,Transactions!H434*$E442,0))</f>
        <v>0</v>
      </c>
    </row>
    <row r="443" spans="1:7" ht="15" customHeight="1" x14ac:dyDescent="0.15">
      <c r="A443" t="str">
        <f>IF(Transactions!J435="","",Transactions!J435)</f>
        <v/>
      </c>
      <c r="B443" s="297">
        <f ca="1">IF($A443="",TODAY(),Transactions!G435)</f>
        <v>46216</v>
      </c>
      <c r="C443" t="str">
        <f>IF($A443="","",Transactions!A435)</f>
        <v/>
      </c>
      <c r="D443" s="30">
        <f>IF($A443="",0,Transactions!H435)</f>
        <v>0</v>
      </c>
      <c r="E443">
        <f>IF($A443="",1,IFERROR(INDEX(Prices[FX to SGD],MATCH($A443,Prices[Key],0)),1))</f>
        <v>1</v>
      </c>
      <c r="F443" s="30">
        <f>IF($A443="",0,(Transactions!M435-Transactions!L435+IF(Transactions!A435=2,Transactions!H435,0))*$E443)</f>
        <v>0</v>
      </c>
      <c r="G443" s="30">
        <f>IF($A443="",0,IF(Transactions!A435=2,Transactions!H435*$E443,0))</f>
        <v>0</v>
      </c>
    </row>
    <row r="444" spans="1:7" ht="15" customHeight="1" x14ac:dyDescent="0.15">
      <c r="A444" t="str">
        <f>IF(Transactions!J436="","",Transactions!J436)</f>
        <v/>
      </c>
      <c r="B444" s="297">
        <f ca="1">IF($A444="",TODAY(),Transactions!G436)</f>
        <v>46216</v>
      </c>
      <c r="C444" t="str">
        <f>IF($A444="","",Transactions!A436)</f>
        <v/>
      </c>
      <c r="D444" s="30">
        <f>IF($A444="",0,Transactions!H436)</f>
        <v>0</v>
      </c>
      <c r="E444">
        <f>IF($A444="",1,IFERROR(INDEX(Prices[FX to SGD],MATCH($A444,Prices[Key],0)),1))</f>
        <v>1</v>
      </c>
      <c r="F444" s="30">
        <f>IF($A444="",0,(Transactions!M436-Transactions!L436+IF(Transactions!A436=2,Transactions!H436,0))*$E444)</f>
        <v>0</v>
      </c>
      <c r="G444" s="30">
        <f>IF($A444="",0,IF(Transactions!A436=2,Transactions!H436*$E444,0))</f>
        <v>0</v>
      </c>
    </row>
    <row r="445" spans="1:7" ht="15" customHeight="1" x14ac:dyDescent="0.15">
      <c r="A445" t="str">
        <f>IF(Transactions!J437="","",Transactions!J437)</f>
        <v/>
      </c>
      <c r="B445" s="297">
        <f ca="1">IF($A445="",TODAY(),Transactions!G437)</f>
        <v>46216</v>
      </c>
      <c r="C445" t="str">
        <f>IF($A445="","",Transactions!A437)</f>
        <v/>
      </c>
      <c r="D445" s="30">
        <f>IF($A445="",0,Transactions!H437)</f>
        <v>0</v>
      </c>
      <c r="E445">
        <f>IF($A445="",1,IFERROR(INDEX(Prices[FX to SGD],MATCH($A445,Prices[Key],0)),1))</f>
        <v>1</v>
      </c>
      <c r="F445" s="30">
        <f>IF($A445="",0,(Transactions!M437-Transactions!L437+IF(Transactions!A437=2,Transactions!H437,0))*$E445)</f>
        <v>0</v>
      </c>
      <c r="G445" s="30">
        <f>IF($A445="",0,IF(Transactions!A437=2,Transactions!H437*$E445,0))</f>
        <v>0</v>
      </c>
    </row>
    <row r="446" spans="1:7" ht="15" customHeight="1" x14ac:dyDescent="0.15">
      <c r="A446" t="str">
        <f>IF(Transactions!J438="","",Transactions!J438)</f>
        <v/>
      </c>
      <c r="B446" s="297">
        <f ca="1">IF($A446="",TODAY(),Transactions!G438)</f>
        <v>46216</v>
      </c>
      <c r="C446" t="str">
        <f>IF($A446="","",Transactions!A438)</f>
        <v/>
      </c>
      <c r="D446" s="30">
        <f>IF($A446="",0,Transactions!H438)</f>
        <v>0</v>
      </c>
      <c r="E446">
        <f>IF($A446="",1,IFERROR(INDEX(Prices[FX to SGD],MATCH($A446,Prices[Key],0)),1))</f>
        <v>1</v>
      </c>
      <c r="F446" s="30">
        <f>IF($A446="",0,(Transactions!M438-Transactions!L438+IF(Transactions!A438=2,Transactions!H438,0))*$E446)</f>
        <v>0</v>
      </c>
      <c r="G446" s="30">
        <f>IF($A446="",0,IF(Transactions!A438=2,Transactions!H438*$E446,0))</f>
        <v>0</v>
      </c>
    </row>
    <row r="447" spans="1:7" ht="15" customHeight="1" x14ac:dyDescent="0.15">
      <c r="A447" t="str">
        <f>IF(Transactions!J439="","",Transactions!J439)</f>
        <v/>
      </c>
      <c r="B447" s="297">
        <f ca="1">IF($A447="",TODAY(),Transactions!G439)</f>
        <v>46216</v>
      </c>
      <c r="C447" t="str">
        <f>IF($A447="","",Transactions!A439)</f>
        <v/>
      </c>
      <c r="D447" s="30">
        <f>IF($A447="",0,Transactions!H439)</f>
        <v>0</v>
      </c>
      <c r="E447">
        <f>IF($A447="",1,IFERROR(INDEX(Prices[FX to SGD],MATCH($A447,Prices[Key],0)),1))</f>
        <v>1</v>
      </c>
      <c r="F447" s="30">
        <f>IF($A447="",0,(Transactions!M439-Transactions!L439+IF(Transactions!A439=2,Transactions!H439,0))*$E447)</f>
        <v>0</v>
      </c>
      <c r="G447" s="30">
        <f>IF($A447="",0,IF(Transactions!A439=2,Transactions!H439*$E447,0))</f>
        <v>0</v>
      </c>
    </row>
    <row r="448" spans="1:7" ht="15" customHeight="1" x14ac:dyDescent="0.15">
      <c r="A448" t="str">
        <f>IF(Transactions!J440="","",Transactions!J440)</f>
        <v/>
      </c>
      <c r="B448" s="297">
        <f ca="1">IF($A448="",TODAY(),Transactions!G440)</f>
        <v>46216</v>
      </c>
      <c r="C448" t="str">
        <f>IF($A448="","",Transactions!A440)</f>
        <v/>
      </c>
      <c r="D448" s="30">
        <f>IF($A448="",0,Transactions!H440)</f>
        <v>0</v>
      </c>
      <c r="E448">
        <f>IF($A448="",1,IFERROR(INDEX(Prices[FX to SGD],MATCH($A448,Prices[Key],0)),1))</f>
        <v>1</v>
      </c>
      <c r="F448" s="30">
        <f>IF($A448="",0,(Transactions!M440-Transactions!L440+IF(Transactions!A440=2,Transactions!H440,0))*$E448)</f>
        <v>0</v>
      </c>
      <c r="G448" s="30">
        <f>IF($A448="",0,IF(Transactions!A440=2,Transactions!H440*$E448,0))</f>
        <v>0</v>
      </c>
    </row>
    <row r="449" spans="1:7" ht="15" customHeight="1" x14ac:dyDescent="0.15">
      <c r="A449" t="str">
        <f>IF(Transactions!J441="","",Transactions!J441)</f>
        <v/>
      </c>
      <c r="B449" s="297">
        <f ca="1">IF($A449="",TODAY(),Transactions!G441)</f>
        <v>46216</v>
      </c>
      <c r="C449" t="str">
        <f>IF($A449="","",Transactions!A441)</f>
        <v/>
      </c>
      <c r="D449" s="30">
        <f>IF($A449="",0,Transactions!H441)</f>
        <v>0</v>
      </c>
      <c r="E449">
        <f>IF($A449="",1,IFERROR(INDEX(Prices[FX to SGD],MATCH($A449,Prices[Key],0)),1))</f>
        <v>1</v>
      </c>
      <c r="F449" s="30">
        <f>IF($A449="",0,(Transactions!M441-Transactions!L441+IF(Transactions!A441=2,Transactions!H441,0))*$E449)</f>
        <v>0</v>
      </c>
      <c r="G449" s="30">
        <f>IF($A449="",0,IF(Transactions!A441=2,Transactions!H441*$E449,0))</f>
        <v>0</v>
      </c>
    </row>
    <row r="450" spans="1:7" ht="15" customHeight="1" x14ac:dyDescent="0.15">
      <c r="A450" t="str">
        <f>IF(Transactions!J442="","",Transactions!J442)</f>
        <v/>
      </c>
      <c r="B450" s="297">
        <f ca="1">IF($A450="",TODAY(),Transactions!G442)</f>
        <v>46216</v>
      </c>
      <c r="C450" t="str">
        <f>IF($A450="","",Transactions!A442)</f>
        <v/>
      </c>
      <c r="D450" s="30">
        <f>IF($A450="",0,Transactions!H442)</f>
        <v>0</v>
      </c>
      <c r="E450">
        <f>IF($A450="",1,IFERROR(INDEX(Prices[FX to SGD],MATCH($A450,Prices[Key],0)),1))</f>
        <v>1</v>
      </c>
      <c r="F450" s="30">
        <f>IF($A450="",0,(Transactions!M442-Transactions!L442+IF(Transactions!A442=2,Transactions!H442,0))*$E450)</f>
        <v>0</v>
      </c>
      <c r="G450" s="30">
        <f>IF($A450="",0,IF(Transactions!A442=2,Transactions!H442*$E450,0))</f>
        <v>0</v>
      </c>
    </row>
    <row r="451" spans="1:7" ht="15" customHeight="1" x14ac:dyDescent="0.15">
      <c r="A451" t="str">
        <f>IF(Transactions!J443="","",Transactions!J443)</f>
        <v/>
      </c>
      <c r="B451" s="297">
        <f ca="1">IF($A451="",TODAY(),Transactions!G443)</f>
        <v>46216</v>
      </c>
      <c r="C451" t="str">
        <f>IF($A451="","",Transactions!A443)</f>
        <v/>
      </c>
      <c r="D451" s="30">
        <f>IF($A451="",0,Transactions!H443)</f>
        <v>0</v>
      </c>
      <c r="E451">
        <f>IF($A451="",1,IFERROR(INDEX(Prices[FX to SGD],MATCH($A451,Prices[Key],0)),1))</f>
        <v>1</v>
      </c>
      <c r="F451" s="30">
        <f>IF($A451="",0,(Transactions!M443-Transactions!L443+IF(Transactions!A443=2,Transactions!H443,0))*$E451)</f>
        <v>0</v>
      </c>
      <c r="G451" s="30">
        <f>IF($A451="",0,IF(Transactions!A443=2,Transactions!H443*$E451,0))</f>
        <v>0</v>
      </c>
    </row>
    <row r="452" spans="1:7" ht="15" customHeight="1" x14ac:dyDescent="0.15">
      <c r="A452" t="str">
        <f>IF(Transactions!J444="","",Transactions!J444)</f>
        <v/>
      </c>
      <c r="B452" s="297">
        <f ca="1">IF($A452="",TODAY(),Transactions!G444)</f>
        <v>46216</v>
      </c>
      <c r="C452" t="str">
        <f>IF($A452="","",Transactions!A444)</f>
        <v/>
      </c>
      <c r="D452" s="30">
        <f>IF($A452="",0,Transactions!H444)</f>
        <v>0</v>
      </c>
      <c r="E452">
        <f>IF($A452="",1,IFERROR(INDEX(Prices[FX to SGD],MATCH($A452,Prices[Key],0)),1))</f>
        <v>1</v>
      </c>
      <c r="F452" s="30">
        <f>IF($A452="",0,(Transactions!M444-Transactions!L444+IF(Transactions!A444=2,Transactions!H444,0))*$E452)</f>
        <v>0</v>
      </c>
      <c r="G452" s="30">
        <f>IF($A452="",0,IF(Transactions!A444=2,Transactions!H444*$E452,0))</f>
        <v>0</v>
      </c>
    </row>
    <row r="453" spans="1:7" ht="15" customHeight="1" x14ac:dyDescent="0.15">
      <c r="A453" t="str">
        <f>IF(Transactions!J445="","",Transactions!J445)</f>
        <v/>
      </c>
      <c r="B453" s="297">
        <f ca="1">IF($A453="",TODAY(),Transactions!G445)</f>
        <v>46216</v>
      </c>
      <c r="C453" t="str">
        <f>IF($A453="","",Transactions!A445)</f>
        <v/>
      </c>
      <c r="D453" s="30">
        <f>IF($A453="",0,Transactions!H445)</f>
        <v>0</v>
      </c>
      <c r="E453">
        <f>IF($A453="",1,IFERROR(INDEX(Prices[FX to SGD],MATCH($A453,Prices[Key],0)),1))</f>
        <v>1</v>
      </c>
      <c r="F453" s="30">
        <f>IF($A453="",0,(Transactions!M445-Transactions!L445+IF(Transactions!A445=2,Transactions!H445,0))*$E453)</f>
        <v>0</v>
      </c>
      <c r="G453" s="30">
        <f>IF($A453="",0,IF(Transactions!A445=2,Transactions!H445*$E453,0))</f>
        <v>0</v>
      </c>
    </row>
    <row r="454" spans="1:7" ht="15" customHeight="1" x14ac:dyDescent="0.15">
      <c r="A454" t="str">
        <f>IF(Transactions!J446="","",Transactions!J446)</f>
        <v/>
      </c>
      <c r="B454" s="297">
        <f ca="1">IF($A454="",TODAY(),Transactions!G446)</f>
        <v>46216</v>
      </c>
      <c r="C454" t="str">
        <f>IF($A454="","",Transactions!A446)</f>
        <v/>
      </c>
      <c r="D454" s="30">
        <f>IF($A454="",0,Transactions!H446)</f>
        <v>0</v>
      </c>
      <c r="E454">
        <f>IF($A454="",1,IFERROR(INDEX(Prices[FX to SGD],MATCH($A454,Prices[Key],0)),1))</f>
        <v>1</v>
      </c>
      <c r="F454" s="30">
        <f>IF($A454="",0,(Transactions!M446-Transactions!L446+IF(Transactions!A446=2,Transactions!H446,0))*$E454)</f>
        <v>0</v>
      </c>
      <c r="G454" s="30">
        <f>IF($A454="",0,IF(Transactions!A446=2,Transactions!H446*$E454,0))</f>
        <v>0</v>
      </c>
    </row>
    <row r="455" spans="1:7" ht="15" customHeight="1" x14ac:dyDescent="0.15">
      <c r="A455" t="str">
        <f>IF(Transactions!J447="","",Transactions!J447)</f>
        <v/>
      </c>
      <c r="B455" s="297">
        <f ca="1">IF($A455="",TODAY(),Transactions!G447)</f>
        <v>46216</v>
      </c>
      <c r="C455" t="str">
        <f>IF($A455="","",Transactions!A447)</f>
        <v/>
      </c>
      <c r="D455" s="30">
        <f>IF($A455="",0,Transactions!H447)</f>
        <v>0</v>
      </c>
      <c r="E455">
        <f>IF($A455="",1,IFERROR(INDEX(Prices[FX to SGD],MATCH($A455,Prices[Key],0)),1))</f>
        <v>1</v>
      </c>
      <c r="F455" s="30">
        <f>IF($A455="",0,(Transactions!M447-Transactions!L447+IF(Transactions!A447=2,Transactions!H447,0))*$E455)</f>
        <v>0</v>
      </c>
      <c r="G455" s="30">
        <f>IF($A455="",0,IF(Transactions!A447=2,Transactions!H447*$E455,0))</f>
        <v>0</v>
      </c>
    </row>
    <row r="456" spans="1:7" ht="15" customHeight="1" x14ac:dyDescent="0.15">
      <c r="A456" t="str">
        <f>IF(Transactions!J448="","",Transactions!J448)</f>
        <v/>
      </c>
      <c r="B456" s="297">
        <f ca="1">IF($A456="",TODAY(),Transactions!G448)</f>
        <v>46216</v>
      </c>
      <c r="C456" t="str">
        <f>IF($A456="","",Transactions!A448)</f>
        <v/>
      </c>
      <c r="D456" s="30">
        <f>IF($A456="",0,Transactions!H448)</f>
        <v>0</v>
      </c>
      <c r="E456">
        <f>IF($A456="",1,IFERROR(INDEX(Prices[FX to SGD],MATCH($A456,Prices[Key],0)),1))</f>
        <v>1</v>
      </c>
      <c r="F456" s="30">
        <f>IF($A456="",0,(Transactions!M448-Transactions!L448+IF(Transactions!A448=2,Transactions!H448,0))*$E456)</f>
        <v>0</v>
      </c>
      <c r="G456" s="30">
        <f>IF($A456="",0,IF(Transactions!A448=2,Transactions!H448*$E456,0))</f>
        <v>0</v>
      </c>
    </row>
    <row r="457" spans="1:7" ht="15" customHeight="1" x14ac:dyDescent="0.15">
      <c r="A457" t="str">
        <f>IF(Transactions!J449="","",Transactions!J449)</f>
        <v/>
      </c>
      <c r="B457" s="297">
        <f ca="1">IF($A457="",TODAY(),Transactions!G449)</f>
        <v>46216</v>
      </c>
      <c r="C457" t="str">
        <f>IF($A457="","",Transactions!A449)</f>
        <v/>
      </c>
      <c r="D457" s="30">
        <f>IF($A457="",0,Transactions!H449)</f>
        <v>0</v>
      </c>
      <c r="E457">
        <f>IF($A457="",1,IFERROR(INDEX(Prices[FX to SGD],MATCH($A457,Prices[Key],0)),1))</f>
        <v>1</v>
      </c>
      <c r="F457" s="30">
        <f>IF($A457="",0,(Transactions!M449-Transactions!L449+IF(Transactions!A449=2,Transactions!H449,0))*$E457)</f>
        <v>0</v>
      </c>
      <c r="G457" s="30">
        <f>IF($A457="",0,IF(Transactions!A449=2,Transactions!H449*$E457,0))</f>
        <v>0</v>
      </c>
    </row>
    <row r="458" spans="1:7" ht="15" customHeight="1" x14ac:dyDescent="0.15">
      <c r="A458" t="str">
        <f>IF(Transactions!J450="","",Transactions!J450)</f>
        <v/>
      </c>
      <c r="B458" s="297">
        <f ca="1">IF($A458="",TODAY(),Transactions!G450)</f>
        <v>46216</v>
      </c>
      <c r="C458" t="str">
        <f>IF($A458="","",Transactions!A450)</f>
        <v/>
      </c>
      <c r="D458" s="30">
        <f>IF($A458="",0,Transactions!H450)</f>
        <v>0</v>
      </c>
      <c r="E458">
        <f>IF($A458="",1,IFERROR(INDEX(Prices[FX to SGD],MATCH($A458,Prices[Key],0)),1))</f>
        <v>1</v>
      </c>
      <c r="F458" s="30">
        <f>IF($A458="",0,(Transactions!M450-Transactions!L450+IF(Transactions!A450=2,Transactions!H450,0))*$E458)</f>
        <v>0</v>
      </c>
      <c r="G458" s="30">
        <f>IF($A458="",0,IF(Transactions!A450=2,Transactions!H450*$E458,0))</f>
        <v>0</v>
      </c>
    </row>
    <row r="459" spans="1:7" ht="15" customHeight="1" x14ac:dyDescent="0.15">
      <c r="A459" t="str">
        <f>IF(Transactions!J451="","",Transactions!J451)</f>
        <v/>
      </c>
      <c r="B459" s="297">
        <f ca="1">IF($A459="",TODAY(),Transactions!G451)</f>
        <v>46216</v>
      </c>
      <c r="C459" t="str">
        <f>IF($A459="","",Transactions!A451)</f>
        <v/>
      </c>
      <c r="D459" s="30">
        <f>IF($A459="",0,Transactions!H451)</f>
        <v>0</v>
      </c>
      <c r="E459">
        <f>IF($A459="",1,IFERROR(INDEX(Prices[FX to SGD],MATCH($A459,Prices[Key],0)),1))</f>
        <v>1</v>
      </c>
      <c r="F459" s="30">
        <f>IF($A459="",0,(Transactions!M451-Transactions!L451+IF(Transactions!A451=2,Transactions!H451,0))*$E459)</f>
        <v>0</v>
      </c>
      <c r="G459" s="30">
        <f>IF($A459="",0,IF(Transactions!A451=2,Transactions!H451*$E459,0))</f>
        <v>0</v>
      </c>
    </row>
    <row r="460" spans="1:7" ht="15" customHeight="1" x14ac:dyDescent="0.15">
      <c r="A460" t="str">
        <f>IF(Transactions!J452="","",Transactions!J452)</f>
        <v/>
      </c>
      <c r="B460" s="297">
        <f ca="1">IF($A460="",TODAY(),Transactions!G452)</f>
        <v>46216</v>
      </c>
      <c r="C460" t="str">
        <f>IF($A460="","",Transactions!A452)</f>
        <v/>
      </c>
      <c r="D460" s="30">
        <f>IF($A460="",0,Transactions!H452)</f>
        <v>0</v>
      </c>
      <c r="E460">
        <f>IF($A460="",1,IFERROR(INDEX(Prices[FX to SGD],MATCH($A460,Prices[Key],0)),1))</f>
        <v>1</v>
      </c>
      <c r="F460" s="30">
        <f>IF($A460="",0,(Transactions!M452-Transactions!L452+IF(Transactions!A452=2,Transactions!H452,0))*$E460)</f>
        <v>0</v>
      </c>
      <c r="G460" s="30">
        <f>IF($A460="",0,IF(Transactions!A452=2,Transactions!H452*$E460,0))</f>
        <v>0</v>
      </c>
    </row>
    <row r="461" spans="1:7" ht="15" customHeight="1" x14ac:dyDescent="0.15">
      <c r="A461" t="str">
        <f>IF(Transactions!J453="","",Transactions!J453)</f>
        <v/>
      </c>
      <c r="B461" s="297">
        <f ca="1">IF($A461="",TODAY(),Transactions!G453)</f>
        <v>46216</v>
      </c>
      <c r="C461" t="str">
        <f>IF($A461="","",Transactions!A453)</f>
        <v/>
      </c>
      <c r="D461" s="30">
        <f>IF($A461="",0,Transactions!H453)</f>
        <v>0</v>
      </c>
      <c r="E461">
        <f>IF($A461="",1,IFERROR(INDEX(Prices[FX to SGD],MATCH($A461,Prices[Key],0)),1))</f>
        <v>1</v>
      </c>
      <c r="F461" s="30">
        <f>IF($A461="",0,(Transactions!M453-Transactions!L453+IF(Transactions!A453=2,Transactions!H453,0))*$E461)</f>
        <v>0</v>
      </c>
      <c r="G461" s="30">
        <f>IF($A461="",0,IF(Transactions!A453=2,Transactions!H453*$E461,0))</f>
        <v>0</v>
      </c>
    </row>
    <row r="462" spans="1:7" ht="15" customHeight="1" x14ac:dyDescent="0.15">
      <c r="A462" t="str">
        <f>IF(Transactions!J454="","",Transactions!J454)</f>
        <v/>
      </c>
      <c r="B462" s="297">
        <f ca="1">IF($A462="",TODAY(),Transactions!G454)</f>
        <v>46216</v>
      </c>
      <c r="C462" t="str">
        <f>IF($A462="","",Transactions!A454)</f>
        <v/>
      </c>
      <c r="D462" s="30">
        <f>IF($A462="",0,Transactions!H454)</f>
        <v>0</v>
      </c>
      <c r="E462">
        <f>IF($A462="",1,IFERROR(INDEX(Prices[FX to SGD],MATCH($A462,Prices[Key],0)),1))</f>
        <v>1</v>
      </c>
      <c r="F462" s="30">
        <f>IF($A462="",0,(Transactions!M454-Transactions!L454+IF(Transactions!A454=2,Transactions!H454,0))*$E462)</f>
        <v>0</v>
      </c>
      <c r="G462" s="30">
        <f>IF($A462="",0,IF(Transactions!A454=2,Transactions!H454*$E462,0))</f>
        <v>0</v>
      </c>
    </row>
    <row r="463" spans="1:7" ht="15" customHeight="1" x14ac:dyDescent="0.15">
      <c r="A463" t="str">
        <f>IF(Transactions!J455="","",Transactions!J455)</f>
        <v/>
      </c>
      <c r="B463" s="297">
        <f ca="1">IF($A463="",TODAY(),Transactions!G455)</f>
        <v>46216</v>
      </c>
      <c r="C463" t="str">
        <f>IF($A463="","",Transactions!A455)</f>
        <v/>
      </c>
      <c r="D463" s="30">
        <f>IF($A463="",0,Transactions!H455)</f>
        <v>0</v>
      </c>
      <c r="E463">
        <f>IF($A463="",1,IFERROR(INDEX(Prices[FX to SGD],MATCH($A463,Prices[Key],0)),1))</f>
        <v>1</v>
      </c>
      <c r="F463" s="30">
        <f>IF($A463="",0,(Transactions!M455-Transactions!L455+IF(Transactions!A455=2,Transactions!H455,0))*$E463)</f>
        <v>0</v>
      </c>
      <c r="G463" s="30">
        <f>IF($A463="",0,IF(Transactions!A455=2,Transactions!H455*$E463,0))</f>
        <v>0</v>
      </c>
    </row>
    <row r="464" spans="1:7" ht="15" customHeight="1" x14ac:dyDescent="0.15">
      <c r="A464" t="str">
        <f>IF(Transactions!J456="","",Transactions!J456)</f>
        <v/>
      </c>
      <c r="B464" s="297">
        <f ca="1">IF($A464="",TODAY(),Transactions!G456)</f>
        <v>46216</v>
      </c>
      <c r="C464" t="str">
        <f>IF($A464="","",Transactions!A456)</f>
        <v/>
      </c>
      <c r="D464" s="30">
        <f>IF($A464="",0,Transactions!H456)</f>
        <v>0</v>
      </c>
      <c r="E464">
        <f>IF($A464="",1,IFERROR(INDEX(Prices[FX to SGD],MATCH($A464,Prices[Key],0)),1))</f>
        <v>1</v>
      </c>
      <c r="F464" s="30">
        <f>IF($A464="",0,(Transactions!M456-Transactions!L456+IF(Transactions!A456=2,Transactions!H456,0))*$E464)</f>
        <v>0</v>
      </c>
      <c r="G464" s="30">
        <f>IF($A464="",0,IF(Transactions!A456=2,Transactions!H456*$E464,0))</f>
        <v>0</v>
      </c>
    </row>
    <row r="465" spans="1:7" ht="15" customHeight="1" x14ac:dyDescent="0.15">
      <c r="A465" t="str">
        <f>IF(Transactions!J457="","",Transactions!J457)</f>
        <v/>
      </c>
      <c r="B465" s="297">
        <f ca="1">IF($A465="",TODAY(),Transactions!G457)</f>
        <v>46216</v>
      </c>
      <c r="C465" t="str">
        <f>IF($A465="","",Transactions!A457)</f>
        <v/>
      </c>
      <c r="D465" s="30">
        <f>IF($A465="",0,Transactions!H457)</f>
        <v>0</v>
      </c>
      <c r="E465">
        <f>IF($A465="",1,IFERROR(INDEX(Prices[FX to SGD],MATCH($A465,Prices[Key],0)),1))</f>
        <v>1</v>
      </c>
      <c r="F465" s="30">
        <f>IF($A465="",0,(Transactions!M457-Transactions!L457+IF(Transactions!A457=2,Transactions!H457,0))*$E465)</f>
        <v>0</v>
      </c>
      <c r="G465" s="30">
        <f>IF($A465="",0,IF(Transactions!A457=2,Transactions!H457*$E465,0))</f>
        <v>0</v>
      </c>
    </row>
    <row r="466" spans="1:7" ht="15" customHeight="1" x14ac:dyDescent="0.15">
      <c r="A466" t="str">
        <f>IF(Transactions!J458="","",Transactions!J458)</f>
        <v/>
      </c>
      <c r="B466" s="297">
        <f ca="1">IF($A466="",TODAY(),Transactions!G458)</f>
        <v>46216</v>
      </c>
      <c r="C466" t="str">
        <f>IF($A466="","",Transactions!A458)</f>
        <v/>
      </c>
      <c r="D466" s="30">
        <f>IF($A466="",0,Transactions!H458)</f>
        <v>0</v>
      </c>
      <c r="E466">
        <f>IF($A466="",1,IFERROR(INDEX(Prices[FX to SGD],MATCH($A466,Prices[Key],0)),1))</f>
        <v>1</v>
      </c>
      <c r="F466" s="30">
        <f>IF($A466="",0,(Transactions!M458-Transactions!L458+IF(Transactions!A458=2,Transactions!H458,0))*$E466)</f>
        <v>0</v>
      </c>
      <c r="G466" s="30">
        <f>IF($A466="",0,IF(Transactions!A458=2,Transactions!H458*$E466,0))</f>
        <v>0</v>
      </c>
    </row>
    <row r="467" spans="1:7" ht="15" customHeight="1" x14ac:dyDescent="0.15">
      <c r="A467" t="str">
        <f>IF(Transactions!J459="","",Transactions!J459)</f>
        <v/>
      </c>
      <c r="B467" s="297">
        <f ca="1">IF($A467="",TODAY(),Transactions!G459)</f>
        <v>46216</v>
      </c>
      <c r="C467" t="str">
        <f>IF($A467="","",Transactions!A459)</f>
        <v/>
      </c>
      <c r="D467" s="30">
        <f>IF($A467="",0,Transactions!H459)</f>
        <v>0</v>
      </c>
      <c r="E467">
        <f>IF($A467="",1,IFERROR(INDEX(Prices[FX to SGD],MATCH($A467,Prices[Key],0)),1))</f>
        <v>1</v>
      </c>
      <c r="F467" s="30">
        <f>IF($A467="",0,(Transactions!M459-Transactions!L459+IF(Transactions!A459=2,Transactions!H459,0))*$E467)</f>
        <v>0</v>
      </c>
      <c r="G467" s="30">
        <f>IF($A467="",0,IF(Transactions!A459=2,Transactions!H459*$E467,0))</f>
        <v>0</v>
      </c>
    </row>
    <row r="468" spans="1:7" ht="15" customHeight="1" x14ac:dyDescent="0.15">
      <c r="A468" t="str">
        <f>IF(Transactions!J460="","",Transactions!J460)</f>
        <v/>
      </c>
      <c r="B468" s="297">
        <f ca="1">IF($A468="",TODAY(),Transactions!G460)</f>
        <v>46216</v>
      </c>
      <c r="C468" t="str">
        <f>IF($A468="","",Transactions!A460)</f>
        <v/>
      </c>
      <c r="D468" s="30">
        <f>IF($A468="",0,Transactions!H460)</f>
        <v>0</v>
      </c>
      <c r="E468">
        <f>IF($A468="",1,IFERROR(INDEX(Prices[FX to SGD],MATCH($A468,Prices[Key],0)),1))</f>
        <v>1</v>
      </c>
      <c r="F468" s="30">
        <f>IF($A468="",0,(Transactions!M460-Transactions!L460+IF(Transactions!A460=2,Transactions!H460,0))*$E468)</f>
        <v>0</v>
      </c>
      <c r="G468" s="30">
        <f>IF($A468="",0,IF(Transactions!A460=2,Transactions!H460*$E468,0))</f>
        <v>0</v>
      </c>
    </row>
    <row r="469" spans="1:7" ht="15" customHeight="1" x14ac:dyDescent="0.15">
      <c r="A469" t="str">
        <f>IF(Transactions!J461="","",Transactions!J461)</f>
        <v/>
      </c>
      <c r="B469" s="297">
        <f ca="1">IF($A469="",TODAY(),Transactions!G461)</f>
        <v>46216</v>
      </c>
      <c r="C469" t="str">
        <f>IF($A469="","",Transactions!A461)</f>
        <v/>
      </c>
      <c r="D469" s="30">
        <f>IF($A469="",0,Transactions!H461)</f>
        <v>0</v>
      </c>
      <c r="E469">
        <f>IF($A469="",1,IFERROR(INDEX(Prices[FX to SGD],MATCH($A469,Prices[Key],0)),1))</f>
        <v>1</v>
      </c>
      <c r="F469" s="30">
        <f>IF($A469="",0,(Transactions!M461-Transactions!L461+IF(Transactions!A461=2,Transactions!H461,0))*$E469)</f>
        <v>0</v>
      </c>
      <c r="G469" s="30">
        <f>IF($A469="",0,IF(Transactions!A461=2,Transactions!H461*$E469,0))</f>
        <v>0</v>
      </c>
    </row>
    <row r="470" spans="1:7" ht="15" customHeight="1" x14ac:dyDescent="0.15">
      <c r="A470" t="str">
        <f>IF(Transactions!J462="","",Transactions!J462)</f>
        <v/>
      </c>
      <c r="B470" s="297">
        <f ca="1">IF($A470="",TODAY(),Transactions!G462)</f>
        <v>46216</v>
      </c>
      <c r="C470" t="str">
        <f>IF($A470="","",Transactions!A462)</f>
        <v/>
      </c>
      <c r="D470" s="30">
        <f>IF($A470="",0,Transactions!H462)</f>
        <v>0</v>
      </c>
      <c r="E470">
        <f>IF($A470="",1,IFERROR(INDEX(Prices[FX to SGD],MATCH($A470,Prices[Key],0)),1))</f>
        <v>1</v>
      </c>
      <c r="F470" s="30">
        <f>IF($A470="",0,(Transactions!M462-Transactions!L462+IF(Transactions!A462=2,Transactions!H462,0))*$E470)</f>
        <v>0</v>
      </c>
      <c r="G470" s="30">
        <f>IF($A470="",0,IF(Transactions!A462=2,Transactions!H462*$E470,0))</f>
        <v>0</v>
      </c>
    </row>
    <row r="471" spans="1:7" ht="15" customHeight="1" x14ac:dyDescent="0.15">
      <c r="A471" t="str">
        <f>IF(Transactions!J463="","",Transactions!J463)</f>
        <v/>
      </c>
      <c r="B471" s="297">
        <f ca="1">IF($A471="",TODAY(),Transactions!G463)</f>
        <v>46216</v>
      </c>
      <c r="C471" t="str">
        <f>IF($A471="","",Transactions!A463)</f>
        <v/>
      </c>
      <c r="D471" s="30">
        <f>IF($A471="",0,Transactions!H463)</f>
        <v>0</v>
      </c>
      <c r="E471">
        <f>IF($A471="",1,IFERROR(INDEX(Prices[FX to SGD],MATCH($A471,Prices[Key],0)),1))</f>
        <v>1</v>
      </c>
      <c r="F471" s="30">
        <f>IF($A471="",0,(Transactions!M463-Transactions!L463+IF(Transactions!A463=2,Transactions!H463,0))*$E471)</f>
        <v>0</v>
      </c>
      <c r="G471" s="30">
        <f>IF($A471="",0,IF(Transactions!A463=2,Transactions!H463*$E471,0))</f>
        <v>0</v>
      </c>
    </row>
    <row r="472" spans="1:7" ht="15" customHeight="1" x14ac:dyDescent="0.15">
      <c r="A472" t="str">
        <f>IF(Transactions!J464="","",Transactions!J464)</f>
        <v/>
      </c>
      <c r="B472" s="297">
        <f ca="1">IF($A472="",TODAY(),Transactions!G464)</f>
        <v>46216</v>
      </c>
      <c r="C472" t="str">
        <f>IF($A472="","",Transactions!A464)</f>
        <v/>
      </c>
      <c r="D472" s="30">
        <f>IF($A472="",0,Transactions!H464)</f>
        <v>0</v>
      </c>
      <c r="E472">
        <f>IF($A472="",1,IFERROR(INDEX(Prices[FX to SGD],MATCH($A472,Prices[Key],0)),1))</f>
        <v>1</v>
      </c>
      <c r="F472" s="30">
        <f>IF($A472="",0,(Transactions!M464-Transactions!L464+IF(Transactions!A464=2,Transactions!H464,0))*$E472)</f>
        <v>0</v>
      </c>
      <c r="G472" s="30">
        <f>IF($A472="",0,IF(Transactions!A464=2,Transactions!H464*$E472,0))</f>
        <v>0</v>
      </c>
    </row>
    <row r="473" spans="1:7" ht="15" customHeight="1" x14ac:dyDescent="0.15">
      <c r="A473" t="str">
        <f>IF(Transactions!J465="","",Transactions!J465)</f>
        <v/>
      </c>
      <c r="B473" s="297">
        <f ca="1">IF($A473="",TODAY(),Transactions!G465)</f>
        <v>46216</v>
      </c>
      <c r="C473" t="str">
        <f>IF($A473="","",Transactions!A465)</f>
        <v/>
      </c>
      <c r="D473" s="30">
        <f>IF($A473="",0,Transactions!H465)</f>
        <v>0</v>
      </c>
      <c r="E473">
        <f>IF($A473="",1,IFERROR(INDEX(Prices[FX to SGD],MATCH($A473,Prices[Key],0)),1))</f>
        <v>1</v>
      </c>
      <c r="F473" s="30">
        <f>IF($A473="",0,(Transactions!M465-Transactions!L465+IF(Transactions!A465=2,Transactions!H465,0))*$E473)</f>
        <v>0</v>
      </c>
      <c r="G473" s="30">
        <f>IF($A473="",0,IF(Transactions!A465=2,Transactions!H465*$E473,0))</f>
        <v>0</v>
      </c>
    </row>
    <row r="474" spans="1:7" ht="15" customHeight="1" x14ac:dyDescent="0.15">
      <c r="A474" t="str">
        <f>IF(Transactions!J466="","",Transactions!J466)</f>
        <v/>
      </c>
      <c r="B474" s="297">
        <f ca="1">IF($A474="",TODAY(),Transactions!G466)</f>
        <v>46216</v>
      </c>
      <c r="C474" t="str">
        <f>IF($A474="","",Transactions!A466)</f>
        <v/>
      </c>
      <c r="D474" s="30">
        <f>IF($A474="",0,Transactions!H466)</f>
        <v>0</v>
      </c>
      <c r="E474">
        <f>IF($A474="",1,IFERROR(INDEX(Prices[FX to SGD],MATCH($A474,Prices[Key],0)),1))</f>
        <v>1</v>
      </c>
      <c r="F474" s="30">
        <f>IF($A474="",0,(Transactions!M466-Transactions!L466+IF(Transactions!A466=2,Transactions!H466,0))*$E474)</f>
        <v>0</v>
      </c>
      <c r="G474" s="30">
        <f>IF($A474="",0,IF(Transactions!A466=2,Transactions!H466*$E474,0))</f>
        <v>0</v>
      </c>
    </row>
    <row r="475" spans="1:7" ht="15" customHeight="1" x14ac:dyDescent="0.15">
      <c r="A475" t="str">
        <f>IF(Transactions!J467="","",Transactions!J467)</f>
        <v/>
      </c>
      <c r="B475" s="297">
        <f ca="1">IF($A475="",TODAY(),Transactions!G467)</f>
        <v>46216</v>
      </c>
      <c r="C475" t="str">
        <f>IF($A475="","",Transactions!A467)</f>
        <v/>
      </c>
      <c r="D475" s="30">
        <f>IF($A475="",0,Transactions!H467)</f>
        <v>0</v>
      </c>
      <c r="E475">
        <f>IF($A475="",1,IFERROR(INDEX(Prices[FX to SGD],MATCH($A475,Prices[Key],0)),1))</f>
        <v>1</v>
      </c>
      <c r="F475" s="30">
        <f>IF($A475="",0,(Transactions!M467-Transactions!L467+IF(Transactions!A467=2,Transactions!H467,0))*$E475)</f>
        <v>0</v>
      </c>
      <c r="G475" s="30">
        <f>IF($A475="",0,IF(Transactions!A467=2,Transactions!H467*$E475,0))</f>
        <v>0</v>
      </c>
    </row>
    <row r="476" spans="1:7" ht="15" customHeight="1" x14ac:dyDescent="0.15">
      <c r="A476" t="str">
        <f>IF(Transactions!J468="","",Transactions!J468)</f>
        <v/>
      </c>
      <c r="B476" s="297">
        <f ca="1">IF($A476="",TODAY(),Transactions!G468)</f>
        <v>46216</v>
      </c>
      <c r="C476" t="str">
        <f>IF($A476="","",Transactions!A468)</f>
        <v/>
      </c>
      <c r="D476" s="30">
        <f>IF($A476="",0,Transactions!H468)</f>
        <v>0</v>
      </c>
      <c r="E476">
        <f>IF($A476="",1,IFERROR(INDEX(Prices[FX to SGD],MATCH($A476,Prices[Key],0)),1))</f>
        <v>1</v>
      </c>
      <c r="F476" s="30">
        <f>IF($A476="",0,(Transactions!M468-Transactions!L468+IF(Transactions!A468=2,Transactions!H468,0))*$E476)</f>
        <v>0</v>
      </c>
      <c r="G476" s="30">
        <f>IF($A476="",0,IF(Transactions!A468=2,Transactions!H468*$E476,0))</f>
        <v>0</v>
      </c>
    </row>
    <row r="477" spans="1:7" ht="15" customHeight="1" x14ac:dyDescent="0.15">
      <c r="A477" t="str">
        <f>IF(Transactions!J469="","",Transactions!J469)</f>
        <v/>
      </c>
      <c r="B477" s="297">
        <f ca="1">IF($A477="",TODAY(),Transactions!G469)</f>
        <v>46216</v>
      </c>
      <c r="C477" t="str">
        <f>IF($A477="","",Transactions!A469)</f>
        <v/>
      </c>
      <c r="D477" s="30">
        <f>IF($A477="",0,Transactions!H469)</f>
        <v>0</v>
      </c>
      <c r="E477">
        <f>IF($A477="",1,IFERROR(INDEX(Prices[FX to SGD],MATCH($A477,Prices[Key],0)),1))</f>
        <v>1</v>
      </c>
      <c r="F477" s="30">
        <f>IF($A477="",0,(Transactions!M469-Transactions!L469+IF(Transactions!A469=2,Transactions!H469,0))*$E477)</f>
        <v>0</v>
      </c>
      <c r="G477" s="30">
        <f>IF($A477="",0,IF(Transactions!A469=2,Transactions!H469*$E477,0))</f>
        <v>0</v>
      </c>
    </row>
    <row r="478" spans="1:7" ht="15" customHeight="1" x14ac:dyDescent="0.15">
      <c r="A478" t="str">
        <f>IF(Transactions!J470="","",Transactions!J470)</f>
        <v/>
      </c>
      <c r="B478" s="297">
        <f ca="1">IF($A478="",TODAY(),Transactions!G470)</f>
        <v>46216</v>
      </c>
      <c r="C478" t="str">
        <f>IF($A478="","",Transactions!A470)</f>
        <v/>
      </c>
      <c r="D478" s="30">
        <f>IF($A478="",0,Transactions!H470)</f>
        <v>0</v>
      </c>
      <c r="E478">
        <f>IF($A478="",1,IFERROR(INDEX(Prices[FX to SGD],MATCH($A478,Prices[Key],0)),1))</f>
        <v>1</v>
      </c>
      <c r="F478" s="30">
        <f>IF($A478="",0,(Transactions!M470-Transactions!L470+IF(Transactions!A470=2,Transactions!H470,0))*$E478)</f>
        <v>0</v>
      </c>
      <c r="G478" s="30">
        <f>IF($A478="",0,IF(Transactions!A470=2,Transactions!H470*$E478,0))</f>
        <v>0</v>
      </c>
    </row>
    <row r="479" spans="1:7" ht="15" customHeight="1" x14ac:dyDescent="0.15">
      <c r="A479" t="str">
        <f>IF(Transactions!J471="","",Transactions!J471)</f>
        <v/>
      </c>
      <c r="B479" s="297">
        <f ca="1">IF($A479="",TODAY(),Transactions!G471)</f>
        <v>46216</v>
      </c>
      <c r="C479" t="str">
        <f>IF($A479="","",Transactions!A471)</f>
        <v/>
      </c>
      <c r="D479" s="30">
        <f>IF($A479="",0,Transactions!H471)</f>
        <v>0</v>
      </c>
      <c r="E479">
        <f>IF($A479="",1,IFERROR(INDEX(Prices[FX to SGD],MATCH($A479,Prices[Key],0)),1))</f>
        <v>1</v>
      </c>
      <c r="F479" s="30">
        <f>IF($A479="",0,(Transactions!M471-Transactions!L471+IF(Transactions!A471=2,Transactions!H471,0))*$E479)</f>
        <v>0</v>
      </c>
      <c r="G479" s="30">
        <f>IF($A479="",0,IF(Transactions!A471=2,Transactions!H471*$E479,0))</f>
        <v>0</v>
      </c>
    </row>
    <row r="480" spans="1:7" ht="15" customHeight="1" x14ac:dyDescent="0.15">
      <c r="A480" t="str">
        <f>IF(Transactions!J472="","",Transactions!J472)</f>
        <v/>
      </c>
      <c r="B480" s="297">
        <f ca="1">IF($A480="",TODAY(),Transactions!G472)</f>
        <v>46216</v>
      </c>
      <c r="C480" t="str">
        <f>IF($A480="","",Transactions!A472)</f>
        <v/>
      </c>
      <c r="D480" s="30">
        <f>IF($A480="",0,Transactions!H472)</f>
        <v>0</v>
      </c>
      <c r="E480">
        <f>IF($A480="",1,IFERROR(INDEX(Prices[FX to SGD],MATCH($A480,Prices[Key],0)),1))</f>
        <v>1</v>
      </c>
      <c r="F480" s="30">
        <f>IF($A480="",0,(Transactions!M472-Transactions!L472+IF(Transactions!A472=2,Transactions!H472,0))*$E480)</f>
        <v>0</v>
      </c>
      <c r="G480" s="30">
        <f>IF($A480="",0,IF(Transactions!A472=2,Transactions!H472*$E480,0))</f>
        <v>0</v>
      </c>
    </row>
    <row r="481" spans="1:7" ht="15" customHeight="1" x14ac:dyDescent="0.15">
      <c r="A481" t="str">
        <f>IF(Transactions!J473="","",Transactions!J473)</f>
        <v/>
      </c>
      <c r="B481" s="297">
        <f ca="1">IF($A481="",TODAY(),Transactions!G473)</f>
        <v>46216</v>
      </c>
      <c r="C481" t="str">
        <f>IF($A481="","",Transactions!A473)</f>
        <v/>
      </c>
      <c r="D481" s="30">
        <f>IF($A481="",0,Transactions!H473)</f>
        <v>0</v>
      </c>
      <c r="E481">
        <f>IF($A481="",1,IFERROR(INDEX(Prices[FX to SGD],MATCH($A481,Prices[Key],0)),1))</f>
        <v>1</v>
      </c>
      <c r="F481" s="30">
        <f>IF($A481="",0,(Transactions!M473-Transactions!L473+IF(Transactions!A473=2,Transactions!H473,0))*$E481)</f>
        <v>0</v>
      </c>
      <c r="G481" s="30">
        <f>IF($A481="",0,IF(Transactions!A473=2,Transactions!H473*$E481,0))</f>
        <v>0</v>
      </c>
    </row>
    <row r="482" spans="1:7" ht="15" customHeight="1" x14ac:dyDescent="0.15">
      <c r="A482" t="str">
        <f>IF(Transactions!J474="","",Transactions!J474)</f>
        <v/>
      </c>
      <c r="B482" s="297">
        <f ca="1">IF($A482="",TODAY(),Transactions!G474)</f>
        <v>46216</v>
      </c>
      <c r="C482" t="str">
        <f>IF($A482="","",Transactions!A474)</f>
        <v/>
      </c>
      <c r="D482" s="30">
        <f>IF($A482="",0,Transactions!H474)</f>
        <v>0</v>
      </c>
      <c r="E482">
        <f>IF($A482="",1,IFERROR(INDEX(Prices[FX to SGD],MATCH($A482,Prices[Key],0)),1))</f>
        <v>1</v>
      </c>
      <c r="F482" s="30">
        <f>IF($A482="",0,(Transactions!M474-Transactions!L474+IF(Transactions!A474=2,Transactions!H474,0))*$E482)</f>
        <v>0</v>
      </c>
      <c r="G482" s="30">
        <f>IF($A482="",0,IF(Transactions!A474=2,Transactions!H474*$E482,0))</f>
        <v>0</v>
      </c>
    </row>
    <row r="483" spans="1:7" ht="15" customHeight="1" x14ac:dyDescent="0.15">
      <c r="A483" t="str">
        <f>IF(Transactions!J475="","",Transactions!J475)</f>
        <v/>
      </c>
      <c r="B483" s="297">
        <f ca="1">IF($A483="",TODAY(),Transactions!G475)</f>
        <v>46216</v>
      </c>
      <c r="C483" t="str">
        <f>IF($A483="","",Transactions!A475)</f>
        <v/>
      </c>
      <c r="D483" s="30">
        <f>IF($A483="",0,Transactions!H475)</f>
        <v>0</v>
      </c>
      <c r="E483">
        <f>IF($A483="",1,IFERROR(INDEX(Prices[FX to SGD],MATCH($A483,Prices[Key],0)),1))</f>
        <v>1</v>
      </c>
      <c r="F483" s="30">
        <f>IF($A483="",0,(Transactions!M475-Transactions!L475+IF(Transactions!A475=2,Transactions!H475,0))*$E483)</f>
        <v>0</v>
      </c>
      <c r="G483" s="30">
        <f>IF($A483="",0,IF(Transactions!A475=2,Transactions!H475*$E483,0))</f>
        <v>0</v>
      </c>
    </row>
    <row r="484" spans="1:7" ht="15" customHeight="1" x14ac:dyDescent="0.15">
      <c r="A484" t="str">
        <f>IF(Transactions!J476="","",Transactions!J476)</f>
        <v/>
      </c>
      <c r="B484" s="297">
        <f ca="1">IF($A484="",TODAY(),Transactions!G476)</f>
        <v>46216</v>
      </c>
      <c r="C484" t="str">
        <f>IF($A484="","",Transactions!A476)</f>
        <v/>
      </c>
      <c r="D484" s="30">
        <f>IF($A484="",0,Transactions!H476)</f>
        <v>0</v>
      </c>
      <c r="E484">
        <f>IF($A484="",1,IFERROR(INDEX(Prices[FX to SGD],MATCH($A484,Prices[Key],0)),1))</f>
        <v>1</v>
      </c>
      <c r="F484" s="30">
        <f>IF($A484="",0,(Transactions!M476-Transactions!L476+IF(Transactions!A476=2,Transactions!H476,0))*$E484)</f>
        <v>0</v>
      </c>
      <c r="G484" s="30">
        <f>IF($A484="",0,IF(Transactions!A476=2,Transactions!H476*$E484,0))</f>
        <v>0</v>
      </c>
    </row>
    <row r="485" spans="1:7" ht="15" customHeight="1" x14ac:dyDescent="0.15">
      <c r="A485" t="str">
        <f>IF(Transactions!J477="","",Transactions!J477)</f>
        <v/>
      </c>
      <c r="B485" s="297">
        <f ca="1">IF($A485="",TODAY(),Transactions!G477)</f>
        <v>46216</v>
      </c>
      <c r="C485" t="str">
        <f>IF($A485="","",Transactions!A477)</f>
        <v/>
      </c>
      <c r="D485" s="30">
        <f>IF($A485="",0,Transactions!H477)</f>
        <v>0</v>
      </c>
      <c r="E485">
        <f>IF($A485="",1,IFERROR(INDEX(Prices[FX to SGD],MATCH($A485,Prices[Key],0)),1))</f>
        <v>1</v>
      </c>
      <c r="F485" s="30">
        <f>IF($A485="",0,(Transactions!M477-Transactions!L477+IF(Transactions!A477=2,Transactions!H477,0))*$E485)</f>
        <v>0</v>
      </c>
      <c r="G485" s="30">
        <f>IF($A485="",0,IF(Transactions!A477=2,Transactions!H477*$E485,0))</f>
        <v>0</v>
      </c>
    </row>
    <row r="486" spans="1:7" ht="15" customHeight="1" x14ac:dyDescent="0.15">
      <c r="A486" t="str">
        <f>IF(Transactions!J478="","",Transactions!J478)</f>
        <v/>
      </c>
      <c r="B486" s="297">
        <f ca="1">IF($A486="",TODAY(),Transactions!G478)</f>
        <v>46216</v>
      </c>
      <c r="C486" t="str">
        <f>IF($A486="","",Transactions!A478)</f>
        <v/>
      </c>
      <c r="D486" s="30">
        <f>IF($A486="",0,Transactions!H478)</f>
        <v>0</v>
      </c>
      <c r="E486">
        <f>IF($A486="",1,IFERROR(INDEX(Prices[FX to SGD],MATCH($A486,Prices[Key],0)),1))</f>
        <v>1</v>
      </c>
      <c r="F486" s="30">
        <f>IF($A486="",0,(Transactions!M478-Transactions!L478+IF(Transactions!A478=2,Transactions!H478,0))*$E486)</f>
        <v>0</v>
      </c>
      <c r="G486" s="30">
        <f>IF($A486="",0,IF(Transactions!A478=2,Transactions!H478*$E486,0))</f>
        <v>0</v>
      </c>
    </row>
    <row r="487" spans="1:7" ht="15" customHeight="1" x14ac:dyDescent="0.15">
      <c r="A487" t="str">
        <f>IF(Transactions!J479="","",Transactions!J479)</f>
        <v/>
      </c>
      <c r="B487" s="297">
        <f ca="1">IF($A487="",TODAY(),Transactions!G479)</f>
        <v>46216</v>
      </c>
      <c r="C487" t="str">
        <f>IF($A487="","",Transactions!A479)</f>
        <v/>
      </c>
      <c r="D487" s="30">
        <f>IF($A487="",0,Transactions!H479)</f>
        <v>0</v>
      </c>
      <c r="E487">
        <f>IF($A487="",1,IFERROR(INDEX(Prices[FX to SGD],MATCH($A487,Prices[Key],0)),1))</f>
        <v>1</v>
      </c>
      <c r="F487" s="30">
        <f>IF($A487="",0,(Transactions!M479-Transactions!L479+IF(Transactions!A479=2,Transactions!H479,0))*$E487)</f>
        <v>0</v>
      </c>
      <c r="G487" s="30">
        <f>IF($A487="",0,IF(Transactions!A479=2,Transactions!H479*$E487,0))</f>
        <v>0</v>
      </c>
    </row>
    <row r="488" spans="1:7" ht="15" customHeight="1" x14ac:dyDescent="0.15">
      <c r="A488" t="str">
        <f>IF(Transactions!J480="","",Transactions!J480)</f>
        <v/>
      </c>
      <c r="B488" s="297">
        <f ca="1">IF($A488="",TODAY(),Transactions!G480)</f>
        <v>46216</v>
      </c>
      <c r="C488" t="str">
        <f>IF($A488="","",Transactions!A480)</f>
        <v/>
      </c>
      <c r="D488" s="30">
        <f>IF($A488="",0,Transactions!H480)</f>
        <v>0</v>
      </c>
      <c r="E488">
        <f>IF($A488="",1,IFERROR(INDEX(Prices[FX to SGD],MATCH($A488,Prices[Key],0)),1))</f>
        <v>1</v>
      </c>
      <c r="F488" s="30">
        <f>IF($A488="",0,(Transactions!M480-Transactions!L480+IF(Transactions!A480=2,Transactions!H480,0))*$E488)</f>
        <v>0</v>
      </c>
      <c r="G488" s="30">
        <f>IF($A488="",0,IF(Transactions!A480=2,Transactions!H480*$E488,0))</f>
        <v>0</v>
      </c>
    </row>
    <row r="489" spans="1:7" ht="15" customHeight="1" x14ac:dyDescent="0.15">
      <c r="A489" t="str">
        <f>IF(Transactions!J481="","",Transactions!J481)</f>
        <v/>
      </c>
      <c r="B489" s="297">
        <f ca="1">IF($A489="",TODAY(),Transactions!G481)</f>
        <v>46216</v>
      </c>
      <c r="C489" t="str">
        <f>IF($A489="","",Transactions!A481)</f>
        <v/>
      </c>
      <c r="D489" s="30">
        <f>IF($A489="",0,Transactions!H481)</f>
        <v>0</v>
      </c>
      <c r="E489">
        <f>IF($A489="",1,IFERROR(INDEX(Prices[FX to SGD],MATCH($A489,Prices[Key],0)),1))</f>
        <v>1</v>
      </c>
      <c r="F489" s="30">
        <f>IF($A489="",0,(Transactions!M481-Transactions!L481+IF(Transactions!A481=2,Transactions!H481,0))*$E489)</f>
        <v>0</v>
      </c>
      <c r="G489" s="30">
        <f>IF($A489="",0,IF(Transactions!A481=2,Transactions!H481*$E489,0))</f>
        <v>0</v>
      </c>
    </row>
    <row r="490" spans="1:7" ht="15" customHeight="1" x14ac:dyDescent="0.15">
      <c r="A490" t="str">
        <f>IF(Transactions!J482="","",Transactions!J482)</f>
        <v/>
      </c>
      <c r="B490" s="297">
        <f ca="1">IF($A490="",TODAY(),Transactions!G482)</f>
        <v>46216</v>
      </c>
      <c r="C490" t="str">
        <f>IF($A490="","",Transactions!A482)</f>
        <v/>
      </c>
      <c r="D490" s="30">
        <f>IF($A490="",0,Transactions!H482)</f>
        <v>0</v>
      </c>
      <c r="E490">
        <f>IF($A490="",1,IFERROR(INDEX(Prices[FX to SGD],MATCH($A490,Prices[Key],0)),1))</f>
        <v>1</v>
      </c>
      <c r="F490" s="30">
        <f>IF($A490="",0,(Transactions!M482-Transactions!L482+IF(Transactions!A482=2,Transactions!H482,0))*$E490)</f>
        <v>0</v>
      </c>
      <c r="G490" s="30">
        <f>IF($A490="",0,IF(Transactions!A482=2,Transactions!H482*$E490,0))</f>
        <v>0</v>
      </c>
    </row>
    <row r="491" spans="1:7" ht="15" customHeight="1" x14ac:dyDescent="0.15">
      <c r="A491" t="str">
        <f>IF(Transactions!J483="","",Transactions!J483)</f>
        <v/>
      </c>
      <c r="B491" s="297">
        <f ca="1">IF($A491="",TODAY(),Transactions!G483)</f>
        <v>46216</v>
      </c>
      <c r="C491" t="str">
        <f>IF($A491="","",Transactions!A483)</f>
        <v/>
      </c>
      <c r="D491" s="30">
        <f>IF($A491="",0,Transactions!H483)</f>
        <v>0</v>
      </c>
      <c r="E491">
        <f>IF($A491="",1,IFERROR(INDEX(Prices[FX to SGD],MATCH($A491,Prices[Key],0)),1))</f>
        <v>1</v>
      </c>
      <c r="F491" s="30">
        <f>IF($A491="",0,(Transactions!M483-Transactions!L483+IF(Transactions!A483=2,Transactions!H483,0))*$E491)</f>
        <v>0</v>
      </c>
      <c r="G491" s="30">
        <f>IF($A491="",0,IF(Transactions!A483=2,Transactions!H483*$E491,0))</f>
        <v>0</v>
      </c>
    </row>
    <row r="492" spans="1:7" ht="15" customHeight="1" x14ac:dyDescent="0.15">
      <c r="A492" t="str">
        <f>IF(Transactions!J484="","",Transactions!J484)</f>
        <v/>
      </c>
      <c r="B492" s="297">
        <f ca="1">IF($A492="",TODAY(),Transactions!G484)</f>
        <v>46216</v>
      </c>
      <c r="C492" t="str">
        <f>IF($A492="","",Transactions!A484)</f>
        <v/>
      </c>
      <c r="D492" s="30">
        <f>IF($A492="",0,Transactions!H484)</f>
        <v>0</v>
      </c>
      <c r="E492">
        <f>IF($A492="",1,IFERROR(INDEX(Prices[FX to SGD],MATCH($A492,Prices[Key],0)),1))</f>
        <v>1</v>
      </c>
      <c r="F492" s="30">
        <f>IF($A492="",0,(Transactions!M484-Transactions!L484+IF(Transactions!A484=2,Transactions!H484,0))*$E492)</f>
        <v>0</v>
      </c>
      <c r="G492" s="30">
        <f>IF($A492="",0,IF(Transactions!A484=2,Transactions!H484*$E492,0))</f>
        <v>0</v>
      </c>
    </row>
    <row r="493" spans="1:7" ht="15" customHeight="1" x14ac:dyDescent="0.15">
      <c r="A493" t="str">
        <f>IF(Transactions!J485="","",Transactions!J485)</f>
        <v/>
      </c>
      <c r="B493" s="297">
        <f ca="1">IF($A493="",TODAY(),Transactions!G485)</f>
        <v>46216</v>
      </c>
      <c r="C493" t="str">
        <f>IF($A493="","",Transactions!A485)</f>
        <v/>
      </c>
      <c r="D493" s="30">
        <f>IF($A493="",0,Transactions!H485)</f>
        <v>0</v>
      </c>
      <c r="E493">
        <f>IF($A493="",1,IFERROR(INDEX(Prices[FX to SGD],MATCH($A493,Prices[Key],0)),1))</f>
        <v>1</v>
      </c>
      <c r="F493" s="30">
        <f>IF($A493="",0,(Transactions!M485-Transactions!L485+IF(Transactions!A485=2,Transactions!H485,0))*$E493)</f>
        <v>0</v>
      </c>
      <c r="G493" s="30">
        <f>IF($A493="",0,IF(Transactions!A485=2,Transactions!H485*$E493,0))</f>
        <v>0</v>
      </c>
    </row>
    <row r="494" spans="1:7" ht="15" customHeight="1" x14ac:dyDescent="0.15">
      <c r="A494" t="str">
        <f>IF(Transactions!J486="","",Transactions!J486)</f>
        <v/>
      </c>
      <c r="B494" s="297">
        <f ca="1">IF($A494="",TODAY(),Transactions!G486)</f>
        <v>46216</v>
      </c>
      <c r="C494" t="str">
        <f>IF($A494="","",Transactions!A486)</f>
        <v/>
      </c>
      <c r="D494" s="30">
        <f>IF($A494="",0,Transactions!H486)</f>
        <v>0</v>
      </c>
      <c r="E494">
        <f>IF($A494="",1,IFERROR(INDEX(Prices[FX to SGD],MATCH($A494,Prices[Key],0)),1))</f>
        <v>1</v>
      </c>
      <c r="F494" s="30">
        <f>IF($A494="",0,(Transactions!M486-Transactions!L486+IF(Transactions!A486=2,Transactions!H486,0))*$E494)</f>
        <v>0</v>
      </c>
      <c r="G494" s="30">
        <f>IF($A494="",0,IF(Transactions!A486=2,Transactions!H486*$E494,0))</f>
        <v>0</v>
      </c>
    </row>
    <row r="495" spans="1:7" ht="15" customHeight="1" x14ac:dyDescent="0.15">
      <c r="A495" t="str">
        <f>IF(Transactions!J487="","",Transactions!J487)</f>
        <v/>
      </c>
      <c r="B495" s="297">
        <f ca="1">IF($A495="",TODAY(),Transactions!G487)</f>
        <v>46216</v>
      </c>
      <c r="C495" t="str">
        <f>IF($A495="","",Transactions!A487)</f>
        <v/>
      </c>
      <c r="D495" s="30">
        <f>IF($A495="",0,Transactions!H487)</f>
        <v>0</v>
      </c>
      <c r="E495">
        <f>IF($A495="",1,IFERROR(INDEX(Prices[FX to SGD],MATCH($A495,Prices[Key],0)),1))</f>
        <v>1</v>
      </c>
      <c r="F495" s="30">
        <f>IF($A495="",0,(Transactions!M487-Transactions!L487+IF(Transactions!A487=2,Transactions!H487,0))*$E495)</f>
        <v>0</v>
      </c>
      <c r="G495" s="30">
        <f>IF($A495="",0,IF(Transactions!A487=2,Transactions!H487*$E495,0))</f>
        <v>0</v>
      </c>
    </row>
    <row r="496" spans="1:7" ht="15" customHeight="1" x14ac:dyDescent="0.15">
      <c r="A496" t="str">
        <f>IF(Transactions!J488="","",Transactions!J488)</f>
        <v/>
      </c>
      <c r="B496" s="297">
        <f ca="1">IF($A496="",TODAY(),Transactions!G488)</f>
        <v>46216</v>
      </c>
      <c r="C496" t="str">
        <f>IF($A496="","",Transactions!A488)</f>
        <v/>
      </c>
      <c r="D496" s="30">
        <f>IF($A496="",0,Transactions!H488)</f>
        <v>0</v>
      </c>
      <c r="E496">
        <f>IF($A496="",1,IFERROR(INDEX(Prices[FX to SGD],MATCH($A496,Prices[Key],0)),1))</f>
        <v>1</v>
      </c>
      <c r="F496" s="30">
        <f>IF($A496="",0,(Transactions!M488-Transactions!L488+IF(Transactions!A488=2,Transactions!H488,0))*$E496)</f>
        <v>0</v>
      </c>
      <c r="G496" s="30">
        <f>IF($A496="",0,IF(Transactions!A488=2,Transactions!H488*$E496,0))</f>
        <v>0</v>
      </c>
    </row>
    <row r="497" spans="1:7" ht="15" customHeight="1" x14ac:dyDescent="0.15">
      <c r="A497" t="str">
        <f>IF(Transactions!J489="","",Transactions!J489)</f>
        <v/>
      </c>
      <c r="B497" s="297">
        <f ca="1">IF($A497="",TODAY(),Transactions!G489)</f>
        <v>46216</v>
      </c>
      <c r="C497" t="str">
        <f>IF($A497="","",Transactions!A489)</f>
        <v/>
      </c>
      <c r="D497" s="30">
        <f>IF($A497="",0,Transactions!H489)</f>
        <v>0</v>
      </c>
      <c r="E497">
        <f>IF($A497="",1,IFERROR(INDEX(Prices[FX to SGD],MATCH($A497,Prices[Key],0)),1))</f>
        <v>1</v>
      </c>
      <c r="F497" s="30">
        <f>IF($A497="",0,(Transactions!M489-Transactions!L489+IF(Transactions!A489=2,Transactions!H489,0))*$E497)</f>
        <v>0</v>
      </c>
      <c r="G497" s="30">
        <f>IF($A497="",0,IF(Transactions!A489=2,Transactions!H489*$E497,0))</f>
        <v>0</v>
      </c>
    </row>
    <row r="498" spans="1:7" ht="15" customHeight="1" x14ac:dyDescent="0.15">
      <c r="A498" t="str">
        <f>IF(Transactions!J490="","",Transactions!J490)</f>
        <v/>
      </c>
      <c r="B498" s="297">
        <f ca="1">IF($A498="",TODAY(),Transactions!G490)</f>
        <v>46216</v>
      </c>
      <c r="C498" t="str">
        <f>IF($A498="","",Transactions!A490)</f>
        <v/>
      </c>
      <c r="D498" s="30">
        <f>IF($A498="",0,Transactions!H490)</f>
        <v>0</v>
      </c>
      <c r="E498">
        <f>IF($A498="",1,IFERROR(INDEX(Prices[FX to SGD],MATCH($A498,Prices[Key],0)),1))</f>
        <v>1</v>
      </c>
      <c r="F498" s="30">
        <f>IF($A498="",0,(Transactions!M490-Transactions!L490+IF(Transactions!A490=2,Transactions!H490,0))*$E498)</f>
        <v>0</v>
      </c>
      <c r="G498" s="30">
        <f>IF($A498="",0,IF(Transactions!A490=2,Transactions!H490*$E498,0))</f>
        <v>0</v>
      </c>
    </row>
    <row r="499" spans="1:7" ht="15" customHeight="1" x14ac:dyDescent="0.15">
      <c r="A499" t="str">
        <f>IF(Transactions!J491="","",Transactions!J491)</f>
        <v/>
      </c>
      <c r="B499" s="297">
        <f ca="1">IF($A499="",TODAY(),Transactions!G491)</f>
        <v>46216</v>
      </c>
      <c r="C499" t="str">
        <f>IF($A499="","",Transactions!A491)</f>
        <v/>
      </c>
      <c r="D499" s="30">
        <f>IF($A499="",0,Transactions!H491)</f>
        <v>0</v>
      </c>
      <c r="E499">
        <f>IF($A499="",1,IFERROR(INDEX(Prices[FX to SGD],MATCH($A499,Prices[Key],0)),1))</f>
        <v>1</v>
      </c>
      <c r="F499" s="30">
        <f>IF($A499="",0,(Transactions!M491-Transactions!L491+IF(Transactions!A491=2,Transactions!H491,0))*$E499)</f>
        <v>0</v>
      </c>
      <c r="G499" s="30">
        <f>IF($A499="",0,IF(Transactions!A491=2,Transactions!H491*$E499,0))</f>
        <v>0</v>
      </c>
    </row>
    <row r="500" spans="1:7" ht="15" customHeight="1" x14ac:dyDescent="0.15">
      <c r="A500" t="str">
        <f>IF(Transactions!J492="","",Transactions!J492)</f>
        <v/>
      </c>
      <c r="B500" s="297">
        <f ca="1">IF($A500="",TODAY(),Transactions!G492)</f>
        <v>46216</v>
      </c>
      <c r="C500" t="str">
        <f>IF($A500="","",Transactions!A492)</f>
        <v/>
      </c>
      <c r="D500" s="30">
        <f>IF($A500="",0,Transactions!H492)</f>
        <v>0</v>
      </c>
      <c r="E500">
        <f>IF($A500="",1,IFERROR(INDEX(Prices[FX to SGD],MATCH($A500,Prices[Key],0)),1))</f>
        <v>1</v>
      </c>
      <c r="F500" s="30">
        <f>IF($A500="",0,(Transactions!M492-Transactions!L492+IF(Transactions!A492=2,Transactions!H492,0))*$E500)</f>
        <v>0</v>
      </c>
      <c r="G500" s="30">
        <f>IF($A500="",0,IF(Transactions!A492=2,Transactions!H492*$E500,0))</f>
        <v>0</v>
      </c>
    </row>
    <row r="501" spans="1:7" ht="15" customHeight="1" x14ac:dyDescent="0.15">
      <c r="A501" t="str">
        <f>IF(Transactions!J493="","",Transactions!J493)</f>
        <v/>
      </c>
      <c r="B501" s="297">
        <f ca="1">IF($A501="",TODAY(),Transactions!G493)</f>
        <v>46216</v>
      </c>
      <c r="C501" t="str">
        <f>IF($A501="","",Transactions!A493)</f>
        <v/>
      </c>
      <c r="D501" s="30">
        <f>IF($A501="",0,Transactions!H493)</f>
        <v>0</v>
      </c>
      <c r="E501">
        <f>IF($A501="",1,IFERROR(INDEX(Prices[FX to SGD],MATCH($A501,Prices[Key],0)),1))</f>
        <v>1</v>
      </c>
      <c r="F501" s="30">
        <f>IF($A501="",0,(Transactions!M493-Transactions!L493+IF(Transactions!A493=2,Transactions!H493,0))*$E501)</f>
        <v>0</v>
      </c>
      <c r="G501" s="30">
        <f>IF($A501="",0,IF(Transactions!A493=2,Transactions!H493*$E501,0))</f>
        <v>0</v>
      </c>
    </row>
    <row r="502" spans="1:7" ht="15" customHeight="1" x14ac:dyDescent="0.15">
      <c r="A502" t="str">
        <f>IF(Transactions!J494="","",Transactions!J494)</f>
        <v/>
      </c>
      <c r="B502" s="297">
        <f ca="1">IF($A502="",TODAY(),Transactions!G494)</f>
        <v>46216</v>
      </c>
      <c r="C502" t="str">
        <f>IF($A502="","",Transactions!A494)</f>
        <v/>
      </c>
      <c r="D502" s="30">
        <f>IF($A502="",0,Transactions!H494)</f>
        <v>0</v>
      </c>
      <c r="E502">
        <f>IF($A502="",1,IFERROR(INDEX(Prices[FX to SGD],MATCH($A502,Prices[Key],0)),1))</f>
        <v>1</v>
      </c>
      <c r="F502" s="30">
        <f>IF($A502="",0,(Transactions!M494-Transactions!L494+IF(Transactions!A494=2,Transactions!H494,0))*$E502)</f>
        <v>0</v>
      </c>
      <c r="G502" s="30">
        <f>IF($A502="",0,IF(Transactions!A494=2,Transactions!H494*$E502,0))</f>
        <v>0</v>
      </c>
    </row>
    <row r="503" spans="1:7" ht="15" customHeight="1" x14ac:dyDescent="0.15">
      <c r="A503" t="str">
        <f>IF(Transactions!J495="","",Transactions!J495)</f>
        <v/>
      </c>
      <c r="B503" s="297">
        <f ca="1">IF($A503="",TODAY(),Transactions!G495)</f>
        <v>46216</v>
      </c>
      <c r="C503" t="str">
        <f>IF($A503="","",Transactions!A495)</f>
        <v/>
      </c>
      <c r="D503" s="30">
        <f>IF($A503="",0,Transactions!H495)</f>
        <v>0</v>
      </c>
      <c r="E503">
        <f>IF($A503="",1,IFERROR(INDEX(Prices[FX to SGD],MATCH($A503,Prices[Key],0)),1))</f>
        <v>1</v>
      </c>
      <c r="F503" s="30">
        <f>IF($A503="",0,(Transactions!M495-Transactions!L495+IF(Transactions!A495=2,Transactions!H495,0))*$E503)</f>
        <v>0</v>
      </c>
      <c r="G503" s="30">
        <f>IF($A503="",0,IF(Transactions!A495=2,Transactions!H495*$E503,0))</f>
        <v>0</v>
      </c>
    </row>
    <row r="504" spans="1:7" ht="15" customHeight="1" x14ac:dyDescent="0.15">
      <c r="A504" t="str">
        <f>IF(Transactions!J496="","",Transactions!J496)</f>
        <v/>
      </c>
      <c r="B504" s="297">
        <f ca="1">IF($A504="",TODAY(),Transactions!G496)</f>
        <v>46216</v>
      </c>
      <c r="C504" t="str">
        <f>IF($A504="","",Transactions!A496)</f>
        <v/>
      </c>
      <c r="D504" s="30">
        <f>IF($A504="",0,Transactions!H496)</f>
        <v>0</v>
      </c>
      <c r="E504">
        <f>IF($A504="",1,IFERROR(INDEX(Prices[FX to SGD],MATCH($A504,Prices[Key],0)),1))</f>
        <v>1</v>
      </c>
      <c r="F504" s="30">
        <f>IF($A504="",0,(Transactions!M496-Transactions!L496+IF(Transactions!A496=2,Transactions!H496,0))*$E504)</f>
        <v>0</v>
      </c>
      <c r="G504" s="30">
        <f>IF($A504="",0,IF(Transactions!A496=2,Transactions!H496*$E504,0))</f>
        <v>0</v>
      </c>
    </row>
    <row r="505" spans="1:7" ht="15" customHeight="1" x14ac:dyDescent="0.15">
      <c r="A505" t="str">
        <f>IF(Transactions!J497="","",Transactions!J497)</f>
        <v/>
      </c>
      <c r="B505" s="297">
        <f ca="1">IF($A505="",TODAY(),Transactions!G497)</f>
        <v>46216</v>
      </c>
      <c r="C505" t="str">
        <f>IF($A505="","",Transactions!A497)</f>
        <v/>
      </c>
      <c r="D505" s="30">
        <f>IF($A505="",0,Transactions!H497)</f>
        <v>0</v>
      </c>
      <c r="E505">
        <f>IF($A505="",1,IFERROR(INDEX(Prices[FX to SGD],MATCH($A505,Prices[Key],0)),1))</f>
        <v>1</v>
      </c>
      <c r="F505" s="30">
        <f>IF($A505="",0,(Transactions!M497-Transactions!L497+IF(Transactions!A497=2,Transactions!H497,0))*$E505)</f>
        <v>0</v>
      </c>
      <c r="G505" s="30">
        <f>IF($A505="",0,IF(Transactions!A497=2,Transactions!H497*$E505,0))</f>
        <v>0</v>
      </c>
    </row>
    <row r="506" spans="1:7" ht="15" customHeight="1" x14ac:dyDescent="0.15">
      <c r="A506" t="str">
        <f>IF(Transactions!J498="","",Transactions!J498)</f>
        <v/>
      </c>
      <c r="B506" s="297">
        <f ca="1">IF($A506="",TODAY(),Transactions!G498)</f>
        <v>46216</v>
      </c>
      <c r="C506" t="str">
        <f>IF($A506="","",Transactions!A498)</f>
        <v/>
      </c>
      <c r="D506" s="30">
        <f>IF($A506="",0,Transactions!H498)</f>
        <v>0</v>
      </c>
      <c r="E506">
        <f>IF($A506="",1,IFERROR(INDEX(Prices[FX to SGD],MATCH($A506,Prices[Key],0)),1))</f>
        <v>1</v>
      </c>
      <c r="F506" s="30">
        <f>IF($A506="",0,(Transactions!M498-Transactions!L498+IF(Transactions!A498=2,Transactions!H498,0))*$E506)</f>
        <v>0</v>
      </c>
      <c r="G506" s="30">
        <f>IF($A506="",0,IF(Transactions!A498=2,Transactions!H498*$E506,0))</f>
        <v>0</v>
      </c>
    </row>
    <row r="507" spans="1:7" ht="15" customHeight="1" x14ac:dyDescent="0.15">
      <c r="A507" t="str">
        <f>IF(Transactions!J499="","",Transactions!J499)</f>
        <v/>
      </c>
      <c r="B507" s="297">
        <f ca="1">IF($A507="",TODAY(),Transactions!G499)</f>
        <v>46216</v>
      </c>
      <c r="C507" t="str">
        <f>IF($A507="","",Transactions!A499)</f>
        <v/>
      </c>
      <c r="D507" s="30">
        <f>IF($A507="",0,Transactions!H499)</f>
        <v>0</v>
      </c>
      <c r="E507">
        <f>IF($A507="",1,IFERROR(INDEX(Prices[FX to SGD],MATCH($A507,Prices[Key],0)),1))</f>
        <v>1</v>
      </c>
      <c r="F507" s="30">
        <f>IF($A507="",0,(Transactions!M499-Transactions!L499+IF(Transactions!A499=2,Transactions!H499,0))*$E507)</f>
        <v>0</v>
      </c>
      <c r="G507" s="30">
        <f>IF($A507="",0,IF(Transactions!A499=2,Transactions!H499*$E507,0))</f>
        <v>0</v>
      </c>
    </row>
    <row r="508" spans="1:7" ht="15" customHeight="1" x14ac:dyDescent="0.15">
      <c r="A508" t="str">
        <f>IF(Transactions!J500="","",Transactions!J500)</f>
        <v/>
      </c>
      <c r="B508" s="297">
        <f ca="1">IF($A508="",TODAY(),Transactions!G500)</f>
        <v>46216</v>
      </c>
      <c r="C508" t="str">
        <f>IF($A508="","",Transactions!A500)</f>
        <v/>
      </c>
      <c r="D508" s="30">
        <f>IF($A508="",0,Transactions!H500)</f>
        <v>0</v>
      </c>
      <c r="E508">
        <f>IF($A508="",1,IFERROR(INDEX(Prices[FX to SGD],MATCH($A508,Prices[Key],0)),1))</f>
        <v>1</v>
      </c>
      <c r="F508" s="30">
        <f>IF($A508="",0,(Transactions!M500-Transactions!L500+IF(Transactions!A500=2,Transactions!H500,0))*$E508)</f>
        <v>0</v>
      </c>
      <c r="G508" s="30">
        <f>IF($A508="",0,IF(Transactions!A500=2,Transactions!H500*$E508,0))</f>
        <v>0</v>
      </c>
    </row>
    <row r="509" spans="1:7" ht="15" customHeight="1" x14ac:dyDescent="0.15">
      <c r="A509" t="str">
        <f>IF(Transactions!J501="","",Transactions!J501)</f>
        <v/>
      </c>
      <c r="B509" s="297">
        <f ca="1">IF($A509="",TODAY(),Transactions!G501)</f>
        <v>46216</v>
      </c>
      <c r="C509" t="str">
        <f>IF($A509="","",Transactions!A501)</f>
        <v/>
      </c>
      <c r="D509" s="30">
        <f>IF($A509="",0,Transactions!H501)</f>
        <v>0</v>
      </c>
      <c r="E509">
        <f>IF($A509="",1,IFERROR(INDEX(Prices[FX to SGD],MATCH($A509,Prices[Key],0)),1))</f>
        <v>1</v>
      </c>
      <c r="F509" s="30">
        <f>IF($A509="",0,(Transactions!M501-Transactions!L501+IF(Transactions!A501=2,Transactions!H501,0))*$E509)</f>
        <v>0</v>
      </c>
      <c r="G509" s="30">
        <f>IF($A509="",0,IF(Transactions!A501=2,Transactions!H501*$E509,0))</f>
        <v>0</v>
      </c>
    </row>
    <row r="510" spans="1:7" ht="15" customHeight="1" x14ac:dyDescent="0.15">
      <c r="A510" t="str">
        <f>IF(Transactions!J502="","",Transactions!J502)</f>
        <v/>
      </c>
      <c r="B510" s="297">
        <f ca="1">IF($A510="",TODAY(),Transactions!G502)</f>
        <v>46216</v>
      </c>
      <c r="C510" t="str">
        <f>IF($A510="","",Transactions!A502)</f>
        <v/>
      </c>
      <c r="D510" s="30">
        <f>IF($A510="",0,Transactions!H502)</f>
        <v>0</v>
      </c>
      <c r="E510">
        <f>IF($A510="",1,IFERROR(INDEX(Prices[FX to SGD],MATCH($A510,Prices[Key],0)),1))</f>
        <v>1</v>
      </c>
      <c r="F510" s="30">
        <f>IF($A510="",0,(Transactions!M502-Transactions!L502+IF(Transactions!A502=2,Transactions!H502,0))*$E510)</f>
        <v>0</v>
      </c>
      <c r="G510" s="30">
        <f>IF($A510="",0,IF(Transactions!A502=2,Transactions!H502*$E510,0))</f>
        <v>0</v>
      </c>
    </row>
    <row r="511" spans="1:7" ht="15" customHeight="1" x14ac:dyDescent="0.15">
      <c r="A511" t="str">
        <f>IF(Transactions!J503="","",Transactions!J503)</f>
        <v/>
      </c>
      <c r="B511" s="297">
        <f ca="1">IF($A511="",TODAY(),Transactions!G503)</f>
        <v>46216</v>
      </c>
      <c r="C511" t="str">
        <f>IF($A511="","",Transactions!A503)</f>
        <v/>
      </c>
      <c r="D511" s="30">
        <f>IF($A511="",0,Transactions!H503)</f>
        <v>0</v>
      </c>
      <c r="E511">
        <f>IF($A511="",1,IFERROR(INDEX(Prices[FX to SGD],MATCH($A511,Prices[Key],0)),1))</f>
        <v>1</v>
      </c>
      <c r="F511" s="30">
        <f>IF($A511="",0,(Transactions!M503-Transactions!L503+IF(Transactions!A503=2,Transactions!H503,0))*$E511)</f>
        <v>0</v>
      </c>
      <c r="G511" s="30">
        <f>IF($A511="",0,IF(Transactions!A503=2,Transactions!H503*$E511,0))</f>
        <v>0</v>
      </c>
    </row>
    <row r="512" spans="1:7" ht="15" customHeight="1" x14ac:dyDescent="0.15">
      <c r="A512" t="str">
        <f>IF(Transactions!J504="","",Transactions!J504)</f>
        <v/>
      </c>
      <c r="B512" s="297">
        <f ca="1">IF($A512="",TODAY(),Transactions!G504)</f>
        <v>46216</v>
      </c>
      <c r="C512" t="str">
        <f>IF($A512="","",Transactions!A504)</f>
        <v/>
      </c>
      <c r="D512" s="30">
        <f>IF($A512="",0,Transactions!H504)</f>
        <v>0</v>
      </c>
      <c r="E512">
        <f>IF($A512="",1,IFERROR(INDEX(Prices[FX to SGD],MATCH($A512,Prices[Key],0)),1))</f>
        <v>1</v>
      </c>
      <c r="F512" s="30">
        <f>IF($A512="",0,(Transactions!M504-Transactions!L504+IF(Transactions!A504=2,Transactions!H504,0))*$E512)</f>
        <v>0</v>
      </c>
      <c r="G512" s="30">
        <f>IF($A512="",0,IF(Transactions!A504=2,Transactions!H504*$E512,0))</f>
        <v>0</v>
      </c>
    </row>
    <row r="513" spans="1:7" ht="15" customHeight="1" x14ac:dyDescent="0.15">
      <c r="A513" t="str">
        <f>IF(Transactions!J505="","",Transactions!J505)</f>
        <v/>
      </c>
      <c r="B513" s="297">
        <f ca="1">IF($A513="",TODAY(),Transactions!G505)</f>
        <v>46216</v>
      </c>
      <c r="C513" t="str">
        <f>IF($A513="","",Transactions!A505)</f>
        <v/>
      </c>
      <c r="D513" s="30">
        <f>IF($A513="",0,Transactions!H505)</f>
        <v>0</v>
      </c>
      <c r="E513">
        <f>IF($A513="",1,IFERROR(INDEX(Prices[FX to SGD],MATCH($A513,Prices[Key],0)),1))</f>
        <v>1</v>
      </c>
      <c r="F513" s="30">
        <f>IF($A513="",0,(Transactions!M505-Transactions!L505+IF(Transactions!A505=2,Transactions!H505,0))*$E513)</f>
        <v>0</v>
      </c>
      <c r="G513" s="30">
        <f>IF($A513="",0,IF(Transactions!A505=2,Transactions!H505*$E513,0))</f>
        <v>0</v>
      </c>
    </row>
    <row r="514" spans="1:7" ht="15" customHeight="1" x14ac:dyDescent="0.15">
      <c r="A514" t="str">
        <f>IF(Transactions!J506="","",Transactions!J506)</f>
        <v/>
      </c>
      <c r="B514" s="297">
        <f ca="1">IF($A514="",TODAY(),Transactions!G506)</f>
        <v>46216</v>
      </c>
      <c r="C514" t="str">
        <f>IF($A514="","",Transactions!A506)</f>
        <v/>
      </c>
      <c r="D514" s="30">
        <f>IF($A514="",0,Transactions!H506)</f>
        <v>0</v>
      </c>
      <c r="E514">
        <f>IF($A514="",1,IFERROR(INDEX(Prices[FX to SGD],MATCH($A514,Prices[Key],0)),1))</f>
        <v>1</v>
      </c>
      <c r="F514" s="30">
        <f>IF($A514="",0,(Transactions!M506-Transactions!L506+IF(Transactions!A506=2,Transactions!H506,0))*$E514)</f>
        <v>0</v>
      </c>
      <c r="G514" s="30">
        <f>IF($A514="",0,IF(Transactions!A506=2,Transactions!H506*$E514,0))</f>
        <v>0</v>
      </c>
    </row>
    <row r="515" spans="1:7" ht="15" customHeight="1" x14ac:dyDescent="0.15">
      <c r="A515" t="str">
        <f>IF(Transactions!J507="","",Transactions!J507)</f>
        <v/>
      </c>
      <c r="B515" s="297">
        <f ca="1">IF($A515="",TODAY(),Transactions!G507)</f>
        <v>46216</v>
      </c>
      <c r="C515" t="str">
        <f>IF($A515="","",Transactions!A507)</f>
        <v/>
      </c>
      <c r="D515" s="30">
        <f>IF($A515="",0,Transactions!H507)</f>
        <v>0</v>
      </c>
      <c r="E515">
        <f>IF($A515="",1,IFERROR(INDEX(Prices[FX to SGD],MATCH($A515,Prices[Key],0)),1))</f>
        <v>1</v>
      </c>
      <c r="F515" s="30">
        <f>IF($A515="",0,(Transactions!M507-Transactions!L507+IF(Transactions!A507=2,Transactions!H507,0))*$E515)</f>
        <v>0</v>
      </c>
      <c r="G515" s="30">
        <f>IF($A515="",0,IF(Transactions!A507=2,Transactions!H507*$E515,0))</f>
        <v>0</v>
      </c>
    </row>
    <row r="516" spans="1:7" ht="15" customHeight="1" x14ac:dyDescent="0.15">
      <c r="A516" t="str">
        <f>IF(Transactions!J508="","",Transactions!J508)</f>
        <v/>
      </c>
      <c r="B516" s="297">
        <f ca="1">IF($A516="",TODAY(),Transactions!G508)</f>
        <v>46216</v>
      </c>
      <c r="C516" t="str">
        <f>IF($A516="","",Transactions!A508)</f>
        <v/>
      </c>
      <c r="D516" s="30">
        <f>IF($A516="",0,Transactions!H508)</f>
        <v>0</v>
      </c>
      <c r="E516">
        <f>IF($A516="",1,IFERROR(INDEX(Prices[FX to SGD],MATCH($A516,Prices[Key],0)),1))</f>
        <v>1</v>
      </c>
      <c r="F516" s="30">
        <f>IF($A516="",0,(Transactions!M508-Transactions!L508+IF(Transactions!A508=2,Transactions!H508,0))*$E516)</f>
        <v>0</v>
      </c>
      <c r="G516" s="30">
        <f>IF($A516="",0,IF(Transactions!A508=2,Transactions!H508*$E516,0))</f>
        <v>0</v>
      </c>
    </row>
    <row r="517" spans="1:7" ht="15" customHeight="1" x14ac:dyDescent="0.15">
      <c r="A517" t="str">
        <f>IF(Transactions!J509="","",Transactions!J509)</f>
        <v/>
      </c>
      <c r="B517" s="297">
        <f ca="1">IF($A517="",TODAY(),Transactions!G509)</f>
        <v>46216</v>
      </c>
      <c r="C517" t="str">
        <f>IF($A517="","",Transactions!A509)</f>
        <v/>
      </c>
      <c r="D517" s="30">
        <f>IF($A517="",0,Transactions!H509)</f>
        <v>0</v>
      </c>
      <c r="E517">
        <f>IF($A517="",1,IFERROR(INDEX(Prices[FX to SGD],MATCH($A517,Prices[Key],0)),1))</f>
        <v>1</v>
      </c>
      <c r="F517" s="30">
        <f>IF($A517="",0,(Transactions!M509-Transactions!L509+IF(Transactions!A509=2,Transactions!H509,0))*$E517)</f>
        <v>0</v>
      </c>
      <c r="G517" s="30">
        <f>IF($A517="",0,IF(Transactions!A509=2,Transactions!H509*$E517,0))</f>
        <v>0</v>
      </c>
    </row>
    <row r="518" spans="1:7" ht="15" customHeight="1" x14ac:dyDescent="0.15">
      <c r="A518" t="str">
        <f>IF(Transactions!J510="","",Transactions!J510)</f>
        <v/>
      </c>
      <c r="B518" s="297">
        <f ca="1">IF($A518="",TODAY(),Transactions!G510)</f>
        <v>46216</v>
      </c>
      <c r="C518" t="str">
        <f>IF($A518="","",Transactions!A510)</f>
        <v/>
      </c>
      <c r="D518" s="30">
        <f>IF($A518="",0,Transactions!H510)</f>
        <v>0</v>
      </c>
      <c r="E518">
        <f>IF($A518="",1,IFERROR(INDEX(Prices[FX to SGD],MATCH($A518,Prices[Key],0)),1))</f>
        <v>1</v>
      </c>
      <c r="F518" s="30">
        <f>IF($A518="",0,(Transactions!M510-Transactions!L510+IF(Transactions!A510=2,Transactions!H510,0))*$E518)</f>
        <v>0</v>
      </c>
      <c r="G518" s="30">
        <f>IF($A518="",0,IF(Transactions!A510=2,Transactions!H510*$E518,0))</f>
        <v>0</v>
      </c>
    </row>
    <row r="519" spans="1:7" ht="15" customHeight="1" x14ac:dyDescent="0.15">
      <c r="A519" t="str">
        <f>IF(Transactions!J511="","",Transactions!J511)</f>
        <v/>
      </c>
      <c r="B519" s="297">
        <f ca="1">IF($A519="",TODAY(),Transactions!G511)</f>
        <v>46216</v>
      </c>
      <c r="C519" t="str">
        <f>IF($A519="","",Transactions!A511)</f>
        <v/>
      </c>
      <c r="D519" s="30">
        <f>IF($A519="",0,Transactions!H511)</f>
        <v>0</v>
      </c>
      <c r="E519">
        <f>IF($A519="",1,IFERROR(INDEX(Prices[FX to SGD],MATCH($A519,Prices[Key],0)),1))</f>
        <v>1</v>
      </c>
      <c r="F519" s="30">
        <f>IF($A519="",0,(Transactions!M511-Transactions!L511+IF(Transactions!A511=2,Transactions!H511,0))*$E519)</f>
        <v>0</v>
      </c>
      <c r="G519" s="30">
        <f>IF($A519="",0,IF(Transactions!A511=2,Transactions!H511*$E519,0))</f>
        <v>0</v>
      </c>
    </row>
    <row r="520" spans="1:7" ht="15" customHeight="1" x14ac:dyDescent="0.15">
      <c r="A520" t="str">
        <f>IF(Transactions!J512="","",Transactions!J512)</f>
        <v/>
      </c>
      <c r="B520" s="297">
        <f ca="1">IF($A520="",TODAY(),Transactions!G512)</f>
        <v>46216</v>
      </c>
      <c r="C520" t="str">
        <f>IF($A520="","",Transactions!A512)</f>
        <v/>
      </c>
      <c r="D520" s="30">
        <f>IF($A520="",0,Transactions!H512)</f>
        <v>0</v>
      </c>
      <c r="E520">
        <f>IF($A520="",1,IFERROR(INDEX(Prices[FX to SGD],MATCH($A520,Prices[Key],0)),1))</f>
        <v>1</v>
      </c>
      <c r="F520" s="30">
        <f>IF($A520="",0,(Transactions!M512-Transactions!L512+IF(Transactions!A512=2,Transactions!H512,0))*$E520)</f>
        <v>0</v>
      </c>
      <c r="G520" s="30">
        <f>IF($A520="",0,IF(Transactions!A512=2,Transactions!H512*$E520,0))</f>
        <v>0</v>
      </c>
    </row>
    <row r="521" spans="1:7" ht="15" customHeight="1" x14ac:dyDescent="0.15">
      <c r="A521" t="str">
        <f>IF(Transactions!J513="","",Transactions!J513)</f>
        <v/>
      </c>
      <c r="B521" s="297">
        <f ca="1">IF($A521="",TODAY(),Transactions!G513)</f>
        <v>46216</v>
      </c>
      <c r="C521" t="str">
        <f>IF($A521="","",Transactions!A513)</f>
        <v/>
      </c>
      <c r="D521" s="30">
        <f>IF($A521="",0,Transactions!H513)</f>
        <v>0</v>
      </c>
      <c r="E521">
        <f>IF($A521="",1,IFERROR(INDEX(Prices[FX to SGD],MATCH($A521,Prices[Key],0)),1))</f>
        <v>1</v>
      </c>
      <c r="F521" s="30">
        <f>IF($A521="",0,(Transactions!M513-Transactions!L513+IF(Transactions!A513=2,Transactions!H513,0))*$E521)</f>
        <v>0</v>
      </c>
      <c r="G521" s="30">
        <f>IF($A521="",0,IF(Transactions!A513=2,Transactions!H513*$E521,0))</f>
        <v>0</v>
      </c>
    </row>
    <row r="522" spans="1:7" ht="15" customHeight="1" x14ac:dyDescent="0.15">
      <c r="A522" t="str">
        <f>IF(Transactions!J514="","",Transactions!J514)</f>
        <v/>
      </c>
      <c r="B522" s="297">
        <f ca="1">IF($A522="",TODAY(),Transactions!G514)</f>
        <v>46216</v>
      </c>
      <c r="C522" t="str">
        <f>IF($A522="","",Transactions!A514)</f>
        <v/>
      </c>
      <c r="D522" s="30">
        <f>IF($A522="",0,Transactions!H514)</f>
        <v>0</v>
      </c>
      <c r="E522">
        <f>IF($A522="",1,IFERROR(INDEX(Prices[FX to SGD],MATCH($A522,Prices[Key],0)),1))</f>
        <v>1</v>
      </c>
      <c r="F522" s="30">
        <f>IF($A522="",0,(Transactions!M514-Transactions!L514+IF(Transactions!A514=2,Transactions!H514,0))*$E522)</f>
        <v>0</v>
      </c>
      <c r="G522" s="30">
        <f>IF($A522="",0,IF(Transactions!A514=2,Transactions!H514*$E522,0))</f>
        <v>0</v>
      </c>
    </row>
    <row r="523" spans="1:7" ht="15" customHeight="1" x14ac:dyDescent="0.15">
      <c r="A523" t="str">
        <f>IF(Transactions!J515="","",Transactions!J515)</f>
        <v/>
      </c>
      <c r="B523" s="297">
        <f ca="1">IF($A523="",TODAY(),Transactions!G515)</f>
        <v>46216</v>
      </c>
      <c r="C523" t="str">
        <f>IF($A523="","",Transactions!A515)</f>
        <v/>
      </c>
      <c r="D523" s="30">
        <f>IF($A523="",0,Transactions!H515)</f>
        <v>0</v>
      </c>
      <c r="E523">
        <f>IF($A523="",1,IFERROR(INDEX(Prices[FX to SGD],MATCH($A523,Prices[Key],0)),1))</f>
        <v>1</v>
      </c>
      <c r="F523" s="30">
        <f>IF($A523="",0,(Transactions!M515-Transactions!L515+IF(Transactions!A515=2,Transactions!H515,0))*$E523)</f>
        <v>0</v>
      </c>
      <c r="G523" s="30">
        <f>IF($A523="",0,IF(Transactions!A515=2,Transactions!H515*$E523,0))</f>
        <v>0</v>
      </c>
    </row>
    <row r="524" spans="1:7" ht="15" customHeight="1" x14ac:dyDescent="0.15">
      <c r="A524" t="str">
        <f>IF(Transactions!J516="","",Transactions!J516)</f>
        <v/>
      </c>
      <c r="B524" s="297">
        <f ca="1">IF($A524="",TODAY(),Transactions!G516)</f>
        <v>46216</v>
      </c>
      <c r="C524" t="str">
        <f>IF($A524="","",Transactions!A516)</f>
        <v/>
      </c>
      <c r="D524" s="30">
        <f>IF($A524="",0,Transactions!H516)</f>
        <v>0</v>
      </c>
      <c r="E524">
        <f>IF($A524="",1,IFERROR(INDEX(Prices[FX to SGD],MATCH($A524,Prices[Key],0)),1))</f>
        <v>1</v>
      </c>
      <c r="F524" s="30">
        <f>IF($A524="",0,(Transactions!M516-Transactions!L516+IF(Transactions!A516=2,Transactions!H516,0))*$E524)</f>
        <v>0</v>
      </c>
      <c r="G524" s="30">
        <f>IF($A524="",0,IF(Transactions!A516=2,Transactions!H516*$E524,0))</f>
        <v>0</v>
      </c>
    </row>
    <row r="525" spans="1:7" ht="15" customHeight="1" x14ac:dyDescent="0.15">
      <c r="A525" t="str">
        <f>IF(Transactions!J517="","",Transactions!J517)</f>
        <v/>
      </c>
      <c r="B525" s="297">
        <f ca="1">IF($A525="",TODAY(),Transactions!G517)</f>
        <v>46216</v>
      </c>
      <c r="C525" t="str">
        <f>IF($A525="","",Transactions!A517)</f>
        <v/>
      </c>
      <c r="D525" s="30">
        <f>IF($A525="",0,Transactions!H517)</f>
        <v>0</v>
      </c>
      <c r="E525">
        <f>IF($A525="",1,IFERROR(INDEX(Prices[FX to SGD],MATCH($A525,Prices[Key],0)),1))</f>
        <v>1</v>
      </c>
      <c r="F525" s="30">
        <f>IF($A525="",0,(Transactions!M517-Transactions!L517+IF(Transactions!A517=2,Transactions!H517,0))*$E525)</f>
        <v>0</v>
      </c>
      <c r="G525" s="30">
        <f>IF($A525="",0,IF(Transactions!A517=2,Transactions!H517*$E525,0))</f>
        <v>0</v>
      </c>
    </row>
    <row r="526" spans="1:7" ht="15" customHeight="1" x14ac:dyDescent="0.15">
      <c r="A526" t="str">
        <f>IF(Transactions!J518="","",Transactions!J518)</f>
        <v/>
      </c>
      <c r="B526" s="297">
        <f ca="1">IF($A526="",TODAY(),Transactions!G518)</f>
        <v>46216</v>
      </c>
      <c r="C526" t="str">
        <f>IF($A526="","",Transactions!A518)</f>
        <v/>
      </c>
      <c r="D526" s="30">
        <f>IF($A526="",0,Transactions!H518)</f>
        <v>0</v>
      </c>
      <c r="E526">
        <f>IF($A526="",1,IFERROR(INDEX(Prices[FX to SGD],MATCH($A526,Prices[Key],0)),1))</f>
        <v>1</v>
      </c>
      <c r="F526" s="30">
        <f>IF($A526="",0,(Transactions!M518-Transactions!L518+IF(Transactions!A518=2,Transactions!H518,0))*$E526)</f>
        <v>0</v>
      </c>
      <c r="G526" s="30">
        <f>IF($A526="",0,IF(Transactions!A518=2,Transactions!H518*$E526,0))</f>
        <v>0</v>
      </c>
    </row>
    <row r="527" spans="1:7" ht="15" customHeight="1" x14ac:dyDescent="0.15">
      <c r="A527" t="str">
        <f>IF(Transactions!J519="","",Transactions!J519)</f>
        <v/>
      </c>
      <c r="B527" s="297">
        <f ca="1">IF($A527="",TODAY(),Transactions!G519)</f>
        <v>46216</v>
      </c>
      <c r="C527" t="str">
        <f>IF($A527="","",Transactions!A519)</f>
        <v/>
      </c>
      <c r="D527" s="30">
        <f>IF($A527="",0,Transactions!H519)</f>
        <v>0</v>
      </c>
      <c r="E527">
        <f>IF($A527="",1,IFERROR(INDEX(Prices[FX to SGD],MATCH($A527,Prices[Key],0)),1))</f>
        <v>1</v>
      </c>
      <c r="F527" s="30">
        <f>IF($A527="",0,(Transactions!M519-Transactions!L519+IF(Transactions!A519=2,Transactions!H519,0))*$E527)</f>
        <v>0</v>
      </c>
      <c r="G527" s="30">
        <f>IF($A527="",0,IF(Transactions!A519=2,Transactions!H519*$E527,0))</f>
        <v>0</v>
      </c>
    </row>
    <row r="528" spans="1:7" ht="15" customHeight="1" x14ac:dyDescent="0.15">
      <c r="A528" t="str">
        <f>IF(Transactions!J520="","",Transactions!J520)</f>
        <v/>
      </c>
      <c r="B528" s="297">
        <f ca="1">IF($A528="",TODAY(),Transactions!G520)</f>
        <v>46216</v>
      </c>
      <c r="C528" t="str">
        <f>IF($A528="","",Transactions!A520)</f>
        <v/>
      </c>
      <c r="D528" s="30">
        <f>IF($A528="",0,Transactions!H520)</f>
        <v>0</v>
      </c>
      <c r="E528">
        <f>IF($A528="",1,IFERROR(INDEX(Prices[FX to SGD],MATCH($A528,Prices[Key],0)),1))</f>
        <v>1</v>
      </c>
      <c r="F528" s="30">
        <f>IF($A528="",0,(Transactions!M520-Transactions!L520+IF(Transactions!A520=2,Transactions!H520,0))*$E528)</f>
        <v>0</v>
      </c>
      <c r="G528" s="30">
        <f>IF($A528="",0,IF(Transactions!A520=2,Transactions!H520*$E528,0))</f>
        <v>0</v>
      </c>
    </row>
    <row r="529" spans="1:7" ht="15" customHeight="1" x14ac:dyDescent="0.15">
      <c r="A529" t="str">
        <f>IF(Transactions!J521="","",Transactions!J521)</f>
        <v/>
      </c>
      <c r="B529" s="297">
        <f ca="1">IF($A529="",TODAY(),Transactions!G521)</f>
        <v>46216</v>
      </c>
      <c r="C529" t="str">
        <f>IF($A529="","",Transactions!A521)</f>
        <v/>
      </c>
      <c r="D529" s="30">
        <f>IF($A529="",0,Transactions!H521)</f>
        <v>0</v>
      </c>
      <c r="E529">
        <f>IF($A529="",1,IFERROR(INDEX(Prices[FX to SGD],MATCH($A529,Prices[Key],0)),1))</f>
        <v>1</v>
      </c>
      <c r="F529" s="30">
        <f>IF($A529="",0,(Transactions!M521-Transactions!L521+IF(Transactions!A521=2,Transactions!H521,0))*$E529)</f>
        <v>0</v>
      </c>
      <c r="G529" s="30">
        <f>IF($A529="",0,IF(Transactions!A521=2,Transactions!H521*$E529,0))</f>
        <v>0</v>
      </c>
    </row>
    <row r="530" spans="1:7" ht="15" customHeight="1" x14ac:dyDescent="0.15">
      <c r="A530" t="str">
        <f>IF(Transactions!J522="","",Transactions!J522)</f>
        <v/>
      </c>
      <c r="B530" s="297">
        <f ca="1">IF($A530="",TODAY(),Transactions!G522)</f>
        <v>46216</v>
      </c>
      <c r="C530" t="str">
        <f>IF($A530="","",Transactions!A522)</f>
        <v/>
      </c>
      <c r="D530" s="30">
        <f>IF($A530="",0,Transactions!H522)</f>
        <v>0</v>
      </c>
      <c r="E530">
        <f>IF($A530="",1,IFERROR(INDEX(Prices[FX to SGD],MATCH($A530,Prices[Key],0)),1))</f>
        <v>1</v>
      </c>
      <c r="F530" s="30">
        <f>IF($A530="",0,(Transactions!M522-Transactions!L522+IF(Transactions!A522=2,Transactions!H522,0))*$E530)</f>
        <v>0</v>
      </c>
      <c r="G530" s="30">
        <f>IF($A530="",0,IF(Transactions!A522=2,Transactions!H522*$E530,0))</f>
        <v>0</v>
      </c>
    </row>
    <row r="531" spans="1:7" ht="15" customHeight="1" x14ac:dyDescent="0.15">
      <c r="A531" t="str">
        <f>IF(Transactions!J523="","",Transactions!J523)</f>
        <v/>
      </c>
      <c r="B531" s="297">
        <f ca="1">IF($A531="",TODAY(),Transactions!G523)</f>
        <v>46216</v>
      </c>
      <c r="C531" t="str">
        <f>IF($A531="","",Transactions!A523)</f>
        <v/>
      </c>
      <c r="D531" s="30">
        <f>IF($A531="",0,Transactions!H523)</f>
        <v>0</v>
      </c>
      <c r="E531">
        <f>IF($A531="",1,IFERROR(INDEX(Prices[FX to SGD],MATCH($A531,Prices[Key],0)),1))</f>
        <v>1</v>
      </c>
      <c r="F531" s="30">
        <f>IF($A531="",0,(Transactions!M523-Transactions!L523+IF(Transactions!A523=2,Transactions!H523,0))*$E531)</f>
        <v>0</v>
      </c>
      <c r="G531" s="30">
        <f>IF($A531="",0,IF(Transactions!A523=2,Transactions!H523*$E531,0))</f>
        <v>0</v>
      </c>
    </row>
    <row r="532" spans="1:7" ht="15" customHeight="1" x14ac:dyDescent="0.15">
      <c r="A532" t="str">
        <f>IF(Transactions!J524="","",Transactions!J524)</f>
        <v/>
      </c>
      <c r="B532" s="297">
        <f ca="1">IF($A532="",TODAY(),Transactions!G524)</f>
        <v>46216</v>
      </c>
      <c r="C532" t="str">
        <f>IF($A532="","",Transactions!A524)</f>
        <v/>
      </c>
      <c r="D532" s="30">
        <f>IF($A532="",0,Transactions!H524)</f>
        <v>0</v>
      </c>
      <c r="E532">
        <f>IF($A532="",1,IFERROR(INDEX(Prices[FX to SGD],MATCH($A532,Prices[Key],0)),1))</f>
        <v>1</v>
      </c>
      <c r="F532" s="30">
        <f>IF($A532="",0,(Transactions!M524-Transactions!L524+IF(Transactions!A524=2,Transactions!H524,0))*$E532)</f>
        <v>0</v>
      </c>
      <c r="G532" s="30">
        <f>IF($A532="",0,IF(Transactions!A524=2,Transactions!H524*$E532,0))</f>
        <v>0</v>
      </c>
    </row>
    <row r="533" spans="1:7" ht="15" customHeight="1" x14ac:dyDescent="0.15">
      <c r="A533" t="str">
        <f>IF(Transactions!J525="","",Transactions!J525)</f>
        <v/>
      </c>
      <c r="B533" s="297">
        <f ca="1">IF($A533="",TODAY(),Transactions!G525)</f>
        <v>46216</v>
      </c>
      <c r="C533" t="str">
        <f>IF($A533="","",Transactions!A525)</f>
        <v/>
      </c>
      <c r="D533" s="30">
        <f>IF($A533="",0,Transactions!H525)</f>
        <v>0</v>
      </c>
      <c r="E533">
        <f>IF($A533="",1,IFERROR(INDEX(Prices[FX to SGD],MATCH($A533,Prices[Key],0)),1))</f>
        <v>1</v>
      </c>
      <c r="F533" s="30">
        <f>IF($A533="",0,(Transactions!M525-Transactions!L525+IF(Transactions!A525=2,Transactions!H525,0))*$E533)</f>
        <v>0</v>
      </c>
      <c r="G533" s="30">
        <f>IF($A533="",0,IF(Transactions!A525=2,Transactions!H525*$E533,0))</f>
        <v>0</v>
      </c>
    </row>
    <row r="534" spans="1:7" ht="15" customHeight="1" x14ac:dyDescent="0.15">
      <c r="A534" t="str">
        <f>IF(Transactions!J526="","",Transactions!J526)</f>
        <v/>
      </c>
      <c r="B534" s="297">
        <f ca="1">IF($A534="",TODAY(),Transactions!G526)</f>
        <v>46216</v>
      </c>
      <c r="C534" t="str">
        <f>IF($A534="","",Transactions!A526)</f>
        <v/>
      </c>
      <c r="D534" s="30">
        <f>IF($A534="",0,Transactions!H526)</f>
        <v>0</v>
      </c>
      <c r="E534">
        <f>IF($A534="",1,IFERROR(INDEX(Prices[FX to SGD],MATCH($A534,Prices[Key],0)),1))</f>
        <v>1</v>
      </c>
      <c r="F534" s="30">
        <f>IF($A534="",0,(Transactions!M526-Transactions!L526+IF(Transactions!A526=2,Transactions!H526,0))*$E534)</f>
        <v>0</v>
      </c>
      <c r="G534" s="30">
        <f>IF($A534="",0,IF(Transactions!A526=2,Transactions!H526*$E534,0))</f>
        <v>0</v>
      </c>
    </row>
    <row r="535" spans="1:7" ht="15" customHeight="1" x14ac:dyDescent="0.15">
      <c r="A535" t="str">
        <f>IF(Transactions!J527="","",Transactions!J527)</f>
        <v/>
      </c>
      <c r="B535" s="297">
        <f ca="1">IF($A535="",TODAY(),Transactions!G527)</f>
        <v>46216</v>
      </c>
      <c r="C535" t="str">
        <f>IF($A535="","",Transactions!A527)</f>
        <v/>
      </c>
      <c r="D535" s="30">
        <f>IF($A535="",0,Transactions!H527)</f>
        <v>0</v>
      </c>
      <c r="E535">
        <f>IF($A535="",1,IFERROR(INDEX(Prices[FX to SGD],MATCH($A535,Prices[Key],0)),1))</f>
        <v>1</v>
      </c>
      <c r="F535" s="30">
        <f>IF($A535="",0,(Transactions!M527-Transactions!L527+IF(Transactions!A527=2,Transactions!H527,0))*$E535)</f>
        <v>0</v>
      </c>
      <c r="G535" s="30">
        <f>IF($A535="",0,IF(Transactions!A527=2,Transactions!H527*$E535,0))</f>
        <v>0</v>
      </c>
    </row>
    <row r="536" spans="1:7" ht="15" customHeight="1" x14ac:dyDescent="0.15">
      <c r="A536" t="str">
        <f>IF(Transactions!J528="","",Transactions!J528)</f>
        <v/>
      </c>
      <c r="B536" s="297">
        <f ca="1">IF($A536="",TODAY(),Transactions!G528)</f>
        <v>46216</v>
      </c>
      <c r="C536" t="str">
        <f>IF($A536="","",Transactions!A528)</f>
        <v/>
      </c>
      <c r="D536" s="30">
        <f>IF($A536="",0,Transactions!H528)</f>
        <v>0</v>
      </c>
      <c r="E536">
        <f>IF($A536="",1,IFERROR(INDEX(Prices[FX to SGD],MATCH($A536,Prices[Key],0)),1))</f>
        <v>1</v>
      </c>
      <c r="F536" s="30">
        <f>IF($A536="",0,(Transactions!M528-Transactions!L528+IF(Transactions!A528=2,Transactions!H528,0))*$E536)</f>
        <v>0</v>
      </c>
      <c r="G536" s="30">
        <f>IF($A536="",0,IF(Transactions!A528=2,Transactions!H528*$E536,0))</f>
        <v>0</v>
      </c>
    </row>
    <row r="537" spans="1:7" ht="15" customHeight="1" x14ac:dyDescent="0.15">
      <c r="A537" t="str">
        <f>IF(Transactions!J529="","",Transactions!J529)</f>
        <v/>
      </c>
      <c r="B537" s="297">
        <f ca="1">IF($A537="",TODAY(),Transactions!G529)</f>
        <v>46216</v>
      </c>
      <c r="C537" t="str">
        <f>IF($A537="","",Transactions!A529)</f>
        <v/>
      </c>
      <c r="D537" s="30">
        <f>IF($A537="",0,Transactions!H529)</f>
        <v>0</v>
      </c>
      <c r="E537">
        <f>IF($A537="",1,IFERROR(INDEX(Prices[FX to SGD],MATCH($A537,Prices[Key],0)),1))</f>
        <v>1</v>
      </c>
      <c r="F537" s="30">
        <f>IF($A537="",0,(Transactions!M529-Transactions!L529+IF(Transactions!A529=2,Transactions!H529,0))*$E537)</f>
        <v>0</v>
      </c>
      <c r="G537" s="30">
        <f>IF($A537="",0,IF(Transactions!A529=2,Transactions!H529*$E537,0))</f>
        <v>0</v>
      </c>
    </row>
    <row r="538" spans="1:7" ht="15" customHeight="1" x14ac:dyDescent="0.15">
      <c r="A538" t="str">
        <f>IF(Transactions!J530="","",Transactions!J530)</f>
        <v/>
      </c>
      <c r="B538" s="297">
        <f ca="1">IF($A538="",TODAY(),Transactions!G530)</f>
        <v>46216</v>
      </c>
      <c r="C538" t="str">
        <f>IF($A538="","",Transactions!A530)</f>
        <v/>
      </c>
      <c r="D538" s="30">
        <f>IF($A538="",0,Transactions!H530)</f>
        <v>0</v>
      </c>
      <c r="E538">
        <f>IF($A538="",1,IFERROR(INDEX(Prices[FX to SGD],MATCH($A538,Prices[Key],0)),1))</f>
        <v>1</v>
      </c>
      <c r="F538" s="30">
        <f>IF($A538="",0,(Transactions!M530-Transactions!L530+IF(Transactions!A530=2,Transactions!H530,0))*$E538)</f>
        <v>0</v>
      </c>
      <c r="G538" s="30">
        <f>IF($A538="",0,IF(Transactions!A530=2,Transactions!H530*$E538,0))</f>
        <v>0</v>
      </c>
    </row>
    <row r="539" spans="1:7" ht="15" customHeight="1" x14ac:dyDescent="0.15">
      <c r="A539" t="str">
        <f>IF(Transactions!J531="","",Transactions!J531)</f>
        <v/>
      </c>
      <c r="B539" s="297">
        <f ca="1">IF($A539="",TODAY(),Transactions!G531)</f>
        <v>46216</v>
      </c>
      <c r="C539" t="str">
        <f>IF($A539="","",Transactions!A531)</f>
        <v/>
      </c>
      <c r="D539" s="30">
        <f>IF($A539="",0,Transactions!H531)</f>
        <v>0</v>
      </c>
      <c r="E539">
        <f>IF($A539="",1,IFERROR(INDEX(Prices[FX to SGD],MATCH($A539,Prices[Key],0)),1))</f>
        <v>1</v>
      </c>
      <c r="F539" s="30">
        <f>IF($A539="",0,(Transactions!M531-Transactions!L531+IF(Transactions!A531=2,Transactions!H531,0))*$E539)</f>
        <v>0</v>
      </c>
      <c r="G539" s="30">
        <f>IF($A539="",0,IF(Transactions!A531=2,Transactions!H531*$E539,0))</f>
        <v>0</v>
      </c>
    </row>
    <row r="540" spans="1:7" ht="15" customHeight="1" x14ac:dyDescent="0.15">
      <c r="A540" t="str">
        <f>IF(Transactions!J532="","",Transactions!J532)</f>
        <v/>
      </c>
      <c r="B540" s="297">
        <f ca="1">IF($A540="",TODAY(),Transactions!G532)</f>
        <v>46216</v>
      </c>
      <c r="C540" t="str">
        <f>IF($A540="","",Transactions!A532)</f>
        <v/>
      </c>
      <c r="D540" s="30">
        <f>IF($A540="",0,Transactions!H532)</f>
        <v>0</v>
      </c>
      <c r="E540">
        <f>IF($A540="",1,IFERROR(INDEX(Prices[FX to SGD],MATCH($A540,Prices[Key],0)),1))</f>
        <v>1</v>
      </c>
      <c r="F540" s="30">
        <f>IF($A540="",0,(Transactions!M532-Transactions!L532+IF(Transactions!A532=2,Transactions!H532,0))*$E540)</f>
        <v>0</v>
      </c>
      <c r="G540" s="30">
        <f>IF($A540="",0,IF(Transactions!A532=2,Transactions!H532*$E540,0))</f>
        <v>0</v>
      </c>
    </row>
    <row r="541" spans="1:7" ht="15" customHeight="1" x14ac:dyDescent="0.15">
      <c r="A541" t="str">
        <f>IF(Transactions!J533="","",Transactions!J533)</f>
        <v/>
      </c>
      <c r="B541" s="297">
        <f ca="1">IF($A541="",TODAY(),Transactions!G533)</f>
        <v>46216</v>
      </c>
      <c r="C541" t="str">
        <f>IF($A541="","",Transactions!A533)</f>
        <v/>
      </c>
      <c r="D541" s="30">
        <f>IF($A541="",0,Transactions!H533)</f>
        <v>0</v>
      </c>
      <c r="E541">
        <f>IF($A541="",1,IFERROR(INDEX(Prices[FX to SGD],MATCH($A541,Prices[Key],0)),1))</f>
        <v>1</v>
      </c>
      <c r="F541" s="30">
        <f>IF($A541="",0,(Transactions!M533-Transactions!L533+IF(Transactions!A533=2,Transactions!H533,0))*$E541)</f>
        <v>0</v>
      </c>
      <c r="G541" s="30">
        <f>IF($A541="",0,IF(Transactions!A533=2,Transactions!H533*$E541,0))</f>
        <v>0</v>
      </c>
    </row>
    <row r="542" spans="1:7" ht="15" customHeight="1" x14ac:dyDescent="0.15">
      <c r="A542" t="str">
        <f>IF(Transactions!J534="","",Transactions!J534)</f>
        <v/>
      </c>
      <c r="B542" s="297">
        <f ca="1">IF($A542="",TODAY(),Transactions!G534)</f>
        <v>46216</v>
      </c>
      <c r="C542" t="str">
        <f>IF($A542="","",Transactions!A534)</f>
        <v/>
      </c>
      <c r="D542" s="30">
        <f>IF($A542="",0,Transactions!H534)</f>
        <v>0</v>
      </c>
      <c r="E542">
        <f>IF($A542="",1,IFERROR(INDEX(Prices[FX to SGD],MATCH($A542,Prices[Key],0)),1))</f>
        <v>1</v>
      </c>
      <c r="F542" s="30">
        <f>IF($A542="",0,(Transactions!M534-Transactions!L534+IF(Transactions!A534=2,Transactions!H534,0))*$E542)</f>
        <v>0</v>
      </c>
      <c r="G542" s="30">
        <f>IF($A542="",0,IF(Transactions!A534=2,Transactions!H534*$E542,0))</f>
        <v>0</v>
      </c>
    </row>
    <row r="543" spans="1:7" ht="15" customHeight="1" x14ac:dyDescent="0.15">
      <c r="A543" t="str">
        <f>IF(Transactions!J535="","",Transactions!J535)</f>
        <v/>
      </c>
      <c r="B543" s="297">
        <f ca="1">IF($A543="",TODAY(),Transactions!G535)</f>
        <v>46216</v>
      </c>
      <c r="C543" t="str">
        <f>IF($A543="","",Transactions!A535)</f>
        <v/>
      </c>
      <c r="D543" s="30">
        <f>IF($A543="",0,Transactions!H535)</f>
        <v>0</v>
      </c>
      <c r="E543">
        <f>IF($A543="",1,IFERROR(INDEX(Prices[FX to SGD],MATCH($A543,Prices[Key],0)),1))</f>
        <v>1</v>
      </c>
      <c r="F543" s="30">
        <f>IF($A543="",0,(Transactions!M535-Transactions!L535+IF(Transactions!A535=2,Transactions!H535,0))*$E543)</f>
        <v>0</v>
      </c>
      <c r="G543" s="30">
        <f>IF($A543="",0,IF(Transactions!A535=2,Transactions!H535*$E543,0))</f>
        <v>0</v>
      </c>
    </row>
    <row r="544" spans="1:7" ht="15" customHeight="1" x14ac:dyDescent="0.15">
      <c r="A544" t="str">
        <f>IF(Transactions!J536="","",Transactions!J536)</f>
        <v/>
      </c>
      <c r="B544" s="297">
        <f ca="1">IF($A544="",TODAY(),Transactions!G536)</f>
        <v>46216</v>
      </c>
      <c r="C544" t="str">
        <f>IF($A544="","",Transactions!A536)</f>
        <v/>
      </c>
      <c r="D544" s="30">
        <f>IF($A544="",0,Transactions!H536)</f>
        <v>0</v>
      </c>
      <c r="E544">
        <f>IF($A544="",1,IFERROR(INDEX(Prices[FX to SGD],MATCH($A544,Prices[Key],0)),1))</f>
        <v>1</v>
      </c>
      <c r="F544" s="30">
        <f>IF($A544="",0,(Transactions!M536-Transactions!L536+IF(Transactions!A536=2,Transactions!H536,0))*$E544)</f>
        <v>0</v>
      </c>
      <c r="G544" s="30">
        <f>IF($A544="",0,IF(Transactions!A536=2,Transactions!H536*$E544,0))</f>
        <v>0</v>
      </c>
    </row>
    <row r="545" spans="1:7" ht="15" customHeight="1" x14ac:dyDescent="0.15">
      <c r="A545" t="str">
        <f>IF(Transactions!J537="","",Transactions!J537)</f>
        <v/>
      </c>
      <c r="B545" s="297">
        <f ca="1">IF($A545="",TODAY(),Transactions!G537)</f>
        <v>46216</v>
      </c>
      <c r="C545" t="str">
        <f>IF($A545="","",Transactions!A537)</f>
        <v/>
      </c>
      <c r="D545" s="30">
        <f>IF($A545="",0,Transactions!H537)</f>
        <v>0</v>
      </c>
      <c r="E545">
        <f>IF($A545="",1,IFERROR(INDEX(Prices[FX to SGD],MATCH($A545,Prices[Key],0)),1))</f>
        <v>1</v>
      </c>
      <c r="F545" s="30">
        <f>IF($A545="",0,(Transactions!M537-Transactions!L537+IF(Transactions!A537=2,Transactions!H537,0))*$E545)</f>
        <v>0</v>
      </c>
      <c r="G545" s="30">
        <f>IF($A545="",0,IF(Transactions!A537=2,Transactions!H537*$E545,0))</f>
        <v>0</v>
      </c>
    </row>
    <row r="546" spans="1:7" ht="15" customHeight="1" x14ac:dyDescent="0.15">
      <c r="A546" t="str">
        <f>IF(Transactions!J538="","",Transactions!J538)</f>
        <v/>
      </c>
      <c r="B546" s="297">
        <f ca="1">IF($A546="",TODAY(),Transactions!G538)</f>
        <v>46216</v>
      </c>
      <c r="C546" t="str">
        <f>IF($A546="","",Transactions!A538)</f>
        <v/>
      </c>
      <c r="D546" s="30">
        <f>IF($A546="",0,Transactions!H538)</f>
        <v>0</v>
      </c>
      <c r="E546">
        <f>IF($A546="",1,IFERROR(INDEX(Prices[FX to SGD],MATCH($A546,Prices[Key],0)),1))</f>
        <v>1</v>
      </c>
      <c r="F546" s="30">
        <f>IF($A546="",0,(Transactions!M538-Transactions!L538+IF(Transactions!A538=2,Transactions!H538,0))*$E546)</f>
        <v>0</v>
      </c>
      <c r="G546" s="30">
        <f>IF($A546="",0,IF(Transactions!A538=2,Transactions!H538*$E546,0))</f>
        <v>0</v>
      </c>
    </row>
    <row r="547" spans="1:7" ht="15" customHeight="1" x14ac:dyDescent="0.15">
      <c r="A547" t="str">
        <f>IF(Transactions!J539="","",Transactions!J539)</f>
        <v/>
      </c>
      <c r="B547" s="297">
        <f ca="1">IF($A547="",TODAY(),Transactions!G539)</f>
        <v>46216</v>
      </c>
      <c r="C547" t="str">
        <f>IF($A547="","",Transactions!A539)</f>
        <v/>
      </c>
      <c r="D547" s="30">
        <f>IF($A547="",0,Transactions!H539)</f>
        <v>0</v>
      </c>
      <c r="E547">
        <f>IF($A547="",1,IFERROR(INDEX(Prices[FX to SGD],MATCH($A547,Prices[Key],0)),1))</f>
        <v>1</v>
      </c>
      <c r="F547" s="30">
        <f>IF($A547="",0,(Transactions!M539-Transactions!L539+IF(Transactions!A539=2,Transactions!H539,0))*$E547)</f>
        <v>0</v>
      </c>
      <c r="G547" s="30">
        <f>IF($A547="",0,IF(Transactions!A539=2,Transactions!H539*$E547,0))</f>
        <v>0</v>
      </c>
    </row>
    <row r="548" spans="1:7" ht="15" customHeight="1" x14ac:dyDescent="0.15">
      <c r="A548" t="str">
        <f>IF(Transactions!J540="","",Transactions!J540)</f>
        <v/>
      </c>
      <c r="B548" s="297">
        <f ca="1">IF($A548="",TODAY(),Transactions!G540)</f>
        <v>46216</v>
      </c>
      <c r="C548" t="str">
        <f>IF($A548="","",Transactions!A540)</f>
        <v/>
      </c>
      <c r="D548" s="30">
        <f>IF($A548="",0,Transactions!H540)</f>
        <v>0</v>
      </c>
      <c r="E548">
        <f>IF($A548="",1,IFERROR(INDEX(Prices[FX to SGD],MATCH($A548,Prices[Key],0)),1))</f>
        <v>1</v>
      </c>
      <c r="F548" s="30">
        <f>IF($A548="",0,(Transactions!M540-Transactions!L540+IF(Transactions!A540=2,Transactions!H540,0))*$E548)</f>
        <v>0</v>
      </c>
      <c r="G548" s="30">
        <f>IF($A548="",0,IF(Transactions!A540=2,Transactions!H540*$E548,0))</f>
        <v>0</v>
      </c>
    </row>
    <row r="549" spans="1:7" ht="15" customHeight="1" x14ac:dyDescent="0.15">
      <c r="A549" t="str">
        <f>IF(Transactions!J541="","",Transactions!J541)</f>
        <v/>
      </c>
      <c r="B549" s="297">
        <f ca="1">IF($A549="",TODAY(),Transactions!G541)</f>
        <v>46216</v>
      </c>
      <c r="C549" t="str">
        <f>IF($A549="","",Transactions!A541)</f>
        <v/>
      </c>
      <c r="D549" s="30">
        <f>IF($A549="",0,Transactions!H541)</f>
        <v>0</v>
      </c>
      <c r="E549">
        <f>IF($A549="",1,IFERROR(INDEX(Prices[FX to SGD],MATCH($A549,Prices[Key],0)),1))</f>
        <v>1</v>
      </c>
      <c r="F549" s="30">
        <f>IF($A549="",0,(Transactions!M541-Transactions!L541+IF(Transactions!A541=2,Transactions!H541,0))*$E549)</f>
        <v>0</v>
      </c>
      <c r="G549" s="30">
        <f>IF($A549="",0,IF(Transactions!A541=2,Transactions!H541*$E549,0))</f>
        <v>0</v>
      </c>
    </row>
    <row r="550" spans="1:7" ht="15" customHeight="1" x14ac:dyDescent="0.15">
      <c r="A550" t="str">
        <f>IF(Transactions!J542="","",Transactions!J542)</f>
        <v/>
      </c>
      <c r="B550" s="297">
        <f ca="1">IF($A550="",TODAY(),Transactions!G542)</f>
        <v>46216</v>
      </c>
      <c r="C550" t="str">
        <f>IF($A550="","",Transactions!A542)</f>
        <v/>
      </c>
      <c r="D550" s="30">
        <f>IF($A550="",0,Transactions!H542)</f>
        <v>0</v>
      </c>
      <c r="E550">
        <f>IF($A550="",1,IFERROR(INDEX(Prices[FX to SGD],MATCH($A550,Prices[Key],0)),1))</f>
        <v>1</v>
      </c>
      <c r="F550" s="30">
        <f>IF($A550="",0,(Transactions!M542-Transactions!L542+IF(Transactions!A542=2,Transactions!H542,0))*$E550)</f>
        <v>0</v>
      </c>
      <c r="G550" s="30">
        <f>IF($A550="",0,IF(Transactions!A542=2,Transactions!H542*$E550,0))</f>
        <v>0</v>
      </c>
    </row>
    <row r="551" spans="1:7" ht="15" customHeight="1" x14ac:dyDescent="0.15">
      <c r="A551" t="str">
        <f>IF(Transactions!J543="","",Transactions!J543)</f>
        <v/>
      </c>
      <c r="B551" s="297">
        <f ca="1">IF($A551="",TODAY(),Transactions!G543)</f>
        <v>46216</v>
      </c>
      <c r="C551" t="str">
        <f>IF($A551="","",Transactions!A543)</f>
        <v/>
      </c>
      <c r="D551" s="30">
        <f>IF($A551="",0,Transactions!H543)</f>
        <v>0</v>
      </c>
      <c r="E551">
        <f>IF($A551="",1,IFERROR(INDEX(Prices[FX to SGD],MATCH($A551,Prices[Key],0)),1))</f>
        <v>1</v>
      </c>
      <c r="F551" s="30">
        <f>IF($A551="",0,(Transactions!M543-Transactions!L543+IF(Transactions!A543=2,Transactions!H543,0))*$E551)</f>
        <v>0</v>
      </c>
      <c r="G551" s="30">
        <f>IF($A551="",0,IF(Transactions!A543=2,Transactions!H543*$E551,0))</f>
        <v>0</v>
      </c>
    </row>
    <row r="552" spans="1:7" ht="15" customHeight="1" x14ac:dyDescent="0.15">
      <c r="A552" t="str">
        <f>IF(Transactions!J544="","",Transactions!J544)</f>
        <v/>
      </c>
      <c r="B552" s="297">
        <f ca="1">IF($A552="",TODAY(),Transactions!G544)</f>
        <v>46216</v>
      </c>
      <c r="C552" t="str">
        <f>IF($A552="","",Transactions!A544)</f>
        <v/>
      </c>
      <c r="D552" s="30">
        <f>IF($A552="",0,Transactions!H544)</f>
        <v>0</v>
      </c>
      <c r="E552">
        <f>IF($A552="",1,IFERROR(INDEX(Prices[FX to SGD],MATCH($A552,Prices[Key],0)),1))</f>
        <v>1</v>
      </c>
      <c r="F552" s="30">
        <f>IF($A552="",0,(Transactions!M544-Transactions!L544+IF(Transactions!A544=2,Transactions!H544,0))*$E552)</f>
        <v>0</v>
      </c>
      <c r="G552" s="30">
        <f>IF($A552="",0,IF(Transactions!A544=2,Transactions!H544*$E552,0))</f>
        <v>0</v>
      </c>
    </row>
    <row r="553" spans="1:7" ht="15" customHeight="1" x14ac:dyDescent="0.15">
      <c r="A553" t="str">
        <f>IF(Transactions!J545="","",Transactions!J545)</f>
        <v/>
      </c>
      <c r="B553" s="297">
        <f ca="1">IF($A553="",TODAY(),Transactions!G545)</f>
        <v>46216</v>
      </c>
      <c r="C553" t="str">
        <f>IF($A553="","",Transactions!A545)</f>
        <v/>
      </c>
      <c r="D553" s="30">
        <f>IF($A553="",0,Transactions!H545)</f>
        <v>0</v>
      </c>
      <c r="E553">
        <f>IF($A553="",1,IFERROR(INDEX(Prices[FX to SGD],MATCH($A553,Prices[Key],0)),1))</f>
        <v>1</v>
      </c>
      <c r="F553" s="30">
        <f>IF($A553="",0,(Transactions!M545-Transactions!L545+IF(Transactions!A545=2,Transactions!H545,0))*$E553)</f>
        <v>0</v>
      </c>
      <c r="G553" s="30">
        <f>IF($A553="",0,IF(Transactions!A545=2,Transactions!H545*$E553,0))</f>
        <v>0</v>
      </c>
    </row>
    <row r="554" spans="1:7" ht="15" customHeight="1" x14ac:dyDescent="0.15">
      <c r="A554" t="str">
        <f>IF(Transactions!J546="","",Transactions!J546)</f>
        <v/>
      </c>
      <c r="B554" s="297">
        <f ca="1">IF($A554="",TODAY(),Transactions!G546)</f>
        <v>46216</v>
      </c>
      <c r="C554" t="str">
        <f>IF($A554="","",Transactions!A546)</f>
        <v/>
      </c>
      <c r="D554" s="30">
        <f>IF($A554="",0,Transactions!H546)</f>
        <v>0</v>
      </c>
      <c r="E554">
        <f>IF($A554="",1,IFERROR(INDEX(Prices[FX to SGD],MATCH($A554,Prices[Key],0)),1))</f>
        <v>1</v>
      </c>
      <c r="F554" s="30">
        <f>IF($A554="",0,(Transactions!M546-Transactions!L546+IF(Transactions!A546=2,Transactions!H546,0))*$E554)</f>
        <v>0</v>
      </c>
      <c r="G554" s="30">
        <f>IF($A554="",0,IF(Transactions!A546=2,Transactions!H546*$E554,0))</f>
        <v>0</v>
      </c>
    </row>
    <row r="555" spans="1:7" ht="15" customHeight="1" x14ac:dyDescent="0.15">
      <c r="A555" t="str">
        <f>IF(Transactions!J547="","",Transactions!J547)</f>
        <v/>
      </c>
      <c r="B555" s="297">
        <f ca="1">IF($A555="",TODAY(),Transactions!G547)</f>
        <v>46216</v>
      </c>
      <c r="C555" t="str">
        <f>IF($A555="","",Transactions!A547)</f>
        <v/>
      </c>
      <c r="D555" s="30">
        <f>IF($A555="",0,Transactions!H547)</f>
        <v>0</v>
      </c>
      <c r="E555">
        <f>IF($A555="",1,IFERROR(INDEX(Prices[FX to SGD],MATCH($A555,Prices[Key],0)),1))</f>
        <v>1</v>
      </c>
      <c r="F555" s="30">
        <f>IF($A555="",0,(Transactions!M547-Transactions!L547+IF(Transactions!A547=2,Transactions!H547,0))*$E555)</f>
        <v>0</v>
      </c>
      <c r="G555" s="30">
        <f>IF($A555="",0,IF(Transactions!A547=2,Transactions!H547*$E555,0))</f>
        <v>0</v>
      </c>
    </row>
    <row r="556" spans="1:7" ht="15" customHeight="1" x14ac:dyDescent="0.15">
      <c r="A556" t="str">
        <f>IF(Transactions!J548="","",Transactions!J548)</f>
        <v/>
      </c>
      <c r="B556" s="297">
        <f ca="1">IF($A556="",TODAY(),Transactions!G548)</f>
        <v>46216</v>
      </c>
      <c r="C556" t="str">
        <f>IF($A556="","",Transactions!A548)</f>
        <v/>
      </c>
      <c r="D556" s="30">
        <f>IF($A556="",0,Transactions!H548)</f>
        <v>0</v>
      </c>
      <c r="E556">
        <f>IF($A556="",1,IFERROR(INDEX(Prices[FX to SGD],MATCH($A556,Prices[Key],0)),1))</f>
        <v>1</v>
      </c>
      <c r="F556" s="30">
        <f>IF($A556="",0,(Transactions!M548-Transactions!L548+IF(Transactions!A548=2,Transactions!H548,0))*$E556)</f>
        <v>0</v>
      </c>
      <c r="G556" s="30">
        <f>IF($A556="",0,IF(Transactions!A548=2,Transactions!H548*$E556,0))</f>
        <v>0</v>
      </c>
    </row>
    <row r="557" spans="1:7" ht="15" customHeight="1" x14ac:dyDescent="0.15">
      <c r="A557" t="str">
        <f>IF(Transactions!J549="","",Transactions!J549)</f>
        <v/>
      </c>
      <c r="B557" s="297">
        <f ca="1">IF($A557="",TODAY(),Transactions!G549)</f>
        <v>46216</v>
      </c>
      <c r="C557" t="str">
        <f>IF($A557="","",Transactions!A549)</f>
        <v/>
      </c>
      <c r="D557" s="30">
        <f>IF($A557="",0,Transactions!H549)</f>
        <v>0</v>
      </c>
      <c r="E557">
        <f>IF($A557="",1,IFERROR(INDEX(Prices[FX to SGD],MATCH($A557,Prices[Key],0)),1))</f>
        <v>1</v>
      </c>
      <c r="F557" s="30">
        <f>IF($A557="",0,(Transactions!M549-Transactions!L549+IF(Transactions!A549=2,Transactions!H549,0))*$E557)</f>
        <v>0</v>
      </c>
      <c r="G557" s="30">
        <f>IF($A557="",0,IF(Transactions!A549=2,Transactions!H549*$E557,0))</f>
        <v>0</v>
      </c>
    </row>
    <row r="558" spans="1:7" ht="15" customHeight="1" x14ac:dyDescent="0.15">
      <c r="A558" t="str">
        <f>IF(Transactions!J550="","",Transactions!J550)</f>
        <v/>
      </c>
      <c r="B558" s="297">
        <f ca="1">IF($A558="",TODAY(),Transactions!G550)</f>
        <v>46216</v>
      </c>
      <c r="C558" t="str">
        <f>IF($A558="","",Transactions!A550)</f>
        <v/>
      </c>
      <c r="D558" s="30">
        <f>IF($A558="",0,Transactions!H550)</f>
        <v>0</v>
      </c>
      <c r="E558">
        <f>IF($A558="",1,IFERROR(INDEX(Prices[FX to SGD],MATCH($A558,Prices[Key],0)),1))</f>
        <v>1</v>
      </c>
      <c r="F558" s="30">
        <f>IF($A558="",0,(Transactions!M550-Transactions!L550+IF(Transactions!A550=2,Transactions!H550,0))*$E558)</f>
        <v>0</v>
      </c>
      <c r="G558" s="30">
        <f>IF($A558="",0,IF(Transactions!A550=2,Transactions!H550*$E558,0))</f>
        <v>0</v>
      </c>
    </row>
    <row r="559" spans="1:7" ht="15" customHeight="1" x14ac:dyDescent="0.15">
      <c r="A559" t="str">
        <f>IF(Transactions!J551="","",Transactions!J551)</f>
        <v/>
      </c>
      <c r="B559" s="297">
        <f ca="1">IF($A559="",TODAY(),Transactions!G551)</f>
        <v>46216</v>
      </c>
      <c r="C559" t="str">
        <f>IF($A559="","",Transactions!A551)</f>
        <v/>
      </c>
      <c r="D559" s="30">
        <f>IF($A559="",0,Transactions!H551)</f>
        <v>0</v>
      </c>
      <c r="E559">
        <f>IF($A559="",1,IFERROR(INDEX(Prices[FX to SGD],MATCH($A559,Prices[Key],0)),1))</f>
        <v>1</v>
      </c>
      <c r="F559" s="30">
        <f>IF($A559="",0,(Transactions!M551-Transactions!L551+IF(Transactions!A551=2,Transactions!H551,0))*$E559)</f>
        <v>0</v>
      </c>
      <c r="G559" s="30">
        <f>IF($A559="",0,IF(Transactions!A551=2,Transactions!H551*$E559,0))</f>
        <v>0</v>
      </c>
    </row>
    <row r="560" spans="1:7" ht="15" customHeight="1" x14ac:dyDescent="0.15">
      <c r="A560" t="str">
        <f>IF(Transactions!J552="","",Transactions!J552)</f>
        <v/>
      </c>
      <c r="B560" s="297">
        <f ca="1">IF($A560="",TODAY(),Transactions!G552)</f>
        <v>46216</v>
      </c>
      <c r="C560" t="str">
        <f>IF($A560="","",Transactions!A552)</f>
        <v/>
      </c>
      <c r="D560" s="30">
        <f>IF($A560="",0,Transactions!H552)</f>
        <v>0</v>
      </c>
      <c r="E560">
        <f>IF($A560="",1,IFERROR(INDEX(Prices[FX to SGD],MATCH($A560,Prices[Key],0)),1))</f>
        <v>1</v>
      </c>
      <c r="F560" s="30">
        <f>IF($A560="",0,(Transactions!M552-Transactions!L552+IF(Transactions!A552=2,Transactions!H552,0))*$E560)</f>
        <v>0</v>
      </c>
      <c r="G560" s="30">
        <f>IF($A560="",0,IF(Transactions!A552=2,Transactions!H552*$E560,0))</f>
        <v>0</v>
      </c>
    </row>
    <row r="561" spans="1:7" ht="15" customHeight="1" x14ac:dyDescent="0.15">
      <c r="A561" t="str">
        <f>IF(Transactions!J553="","",Transactions!J553)</f>
        <v/>
      </c>
      <c r="B561" s="297">
        <f ca="1">IF($A561="",TODAY(),Transactions!G553)</f>
        <v>46216</v>
      </c>
      <c r="C561" t="str">
        <f>IF($A561="","",Transactions!A553)</f>
        <v/>
      </c>
      <c r="D561" s="30">
        <f>IF($A561="",0,Transactions!H553)</f>
        <v>0</v>
      </c>
      <c r="E561">
        <f>IF($A561="",1,IFERROR(INDEX(Prices[FX to SGD],MATCH($A561,Prices[Key],0)),1))</f>
        <v>1</v>
      </c>
      <c r="F561" s="30">
        <f>IF($A561="",0,(Transactions!M553-Transactions!L553+IF(Transactions!A553=2,Transactions!H553,0))*$E561)</f>
        <v>0</v>
      </c>
      <c r="G561" s="30">
        <f>IF($A561="",0,IF(Transactions!A553=2,Transactions!H553*$E561,0))</f>
        <v>0</v>
      </c>
    </row>
    <row r="562" spans="1:7" ht="15" customHeight="1" x14ac:dyDescent="0.15">
      <c r="A562" t="str">
        <f>IF(Transactions!J554="","",Transactions!J554)</f>
        <v/>
      </c>
      <c r="B562" s="297">
        <f ca="1">IF($A562="",TODAY(),Transactions!G554)</f>
        <v>46216</v>
      </c>
      <c r="C562" t="str">
        <f>IF($A562="","",Transactions!A554)</f>
        <v/>
      </c>
      <c r="D562" s="30">
        <f>IF($A562="",0,Transactions!H554)</f>
        <v>0</v>
      </c>
      <c r="E562">
        <f>IF($A562="",1,IFERROR(INDEX(Prices[FX to SGD],MATCH($A562,Prices[Key],0)),1))</f>
        <v>1</v>
      </c>
      <c r="F562" s="30">
        <f>IF($A562="",0,(Transactions!M554-Transactions!L554+IF(Transactions!A554=2,Transactions!H554,0))*$E562)</f>
        <v>0</v>
      </c>
      <c r="G562" s="30">
        <f>IF($A562="",0,IF(Transactions!A554=2,Transactions!H554*$E562,0))</f>
        <v>0</v>
      </c>
    </row>
    <row r="563" spans="1:7" ht="15" customHeight="1" x14ac:dyDescent="0.15">
      <c r="A563" t="str">
        <f>IF(Transactions!J555="","",Transactions!J555)</f>
        <v/>
      </c>
      <c r="B563" s="297">
        <f ca="1">IF($A563="",TODAY(),Transactions!G555)</f>
        <v>46216</v>
      </c>
      <c r="C563" t="str">
        <f>IF($A563="","",Transactions!A555)</f>
        <v/>
      </c>
      <c r="D563" s="30">
        <f>IF($A563="",0,Transactions!H555)</f>
        <v>0</v>
      </c>
      <c r="E563">
        <f>IF($A563="",1,IFERROR(INDEX(Prices[FX to SGD],MATCH($A563,Prices[Key],0)),1))</f>
        <v>1</v>
      </c>
      <c r="F563" s="30">
        <f>IF($A563="",0,(Transactions!M555-Transactions!L555+IF(Transactions!A555=2,Transactions!H555,0))*$E563)</f>
        <v>0</v>
      </c>
      <c r="G563" s="30">
        <f>IF($A563="",0,IF(Transactions!A555=2,Transactions!H555*$E563,0))</f>
        <v>0</v>
      </c>
    </row>
    <row r="564" spans="1:7" ht="15" customHeight="1" x14ac:dyDescent="0.15">
      <c r="A564" t="str">
        <f>IF(Transactions!J556="","",Transactions!J556)</f>
        <v/>
      </c>
      <c r="B564" s="297">
        <f ca="1">IF($A564="",TODAY(),Transactions!G556)</f>
        <v>46216</v>
      </c>
      <c r="C564" t="str">
        <f>IF($A564="","",Transactions!A556)</f>
        <v/>
      </c>
      <c r="D564" s="30">
        <f>IF($A564="",0,Transactions!H556)</f>
        <v>0</v>
      </c>
      <c r="E564">
        <f>IF($A564="",1,IFERROR(INDEX(Prices[FX to SGD],MATCH($A564,Prices[Key],0)),1))</f>
        <v>1</v>
      </c>
      <c r="F564" s="30">
        <f>IF($A564="",0,(Transactions!M556-Transactions!L556+IF(Transactions!A556=2,Transactions!H556,0))*$E564)</f>
        <v>0</v>
      </c>
      <c r="G564" s="30">
        <f>IF($A564="",0,IF(Transactions!A556=2,Transactions!H556*$E564,0))</f>
        <v>0</v>
      </c>
    </row>
    <row r="565" spans="1:7" ht="15" customHeight="1" x14ac:dyDescent="0.15">
      <c r="A565" t="str">
        <f>IF(Transactions!J557="","",Transactions!J557)</f>
        <v/>
      </c>
      <c r="B565" s="297">
        <f ca="1">IF($A565="",TODAY(),Transactions!G557)</f>
        <v>46216</v>
      </c>
      <c r="C565" t="str">
        <f>IF($A565="","",Transactions!A557)</f>
        <v/>
      </c>
      <c r="D565" s="30">
        <f>IF($A565="",0,Transactions!H557)</f>
        <v>0</v>
      </c>
      <c r="E565">
        <f>IF($A565="",1,IFERROR(INDEX(Prices[FX to SGD],MATCH($A565,Prices[Key],0)),1))</f>
        <v>1</v>
      </c>
      <c r="F565" s="30">
        <f>IF($A565="",0,(Transactions!M557-Transactions!L557+IF(Transactions!A557=2,Transactions!H557,0))*$E565)</f>
        <v>0</v>
      </c>
      <c r="G565" s="30">
        <f>IF($A565="",0,IF(Transactions!A557=2,Transactions!H557*$E565,0))</f>
        <v>0</v>
      </c>
    </row>
    <row r="566" spans="1:7" ht="15" customHeight="1" x14ac:dyDescent="0.15">
      <c r="A566" t="str">
        <f>IF(Transactions!J558="","",Transactions!J558)</f>
        <v/>
      </c>
      <c r="B566" s="297">
        <f ca="1">IF($A566="",TODAY(),Transactions!G558)</f>
        <v>46216</v>
      </c>
      <c r="C566" t="str">
        <f>IF($A566="","",Transactions!A558)</f>
        <v/>
      </c>
      <c r="D566" s="30">
        <f>IF($A566="",0,Transactions!H558)</f>
        <v>0</v>
      </c>
      <c r="E566">
        <f>IF($A566="",1,IFERROR(INDEX(Prices[FX to SGD],MATCH($A566,Prices[Key],0)),1))</f>
        <v>1</v>
      </c>
      <c r="F566" s="30">
        <f>IF($A566="",0,(Transactions!M558-Transactions!L558+IF(Transactions!A558=2,Transactions!H558,0))*$E566)</f>
        <v>0</v>
      </c>
      <c r="G566" s="30">
        <f>IF($A566="",0,IF(Transactions!A558=2,Transactions!H558*$E566,0))</f>
        <v>0</v>
      </c>
    </row>
    <row r="567" spans="1:7" ht="15" customHeight="1" x14ac:dyDescent="0.15">
      <c r="A567" t="str">
        <f>IF(Transactions!J559="","",Transactions!J559)</f>
        <v/>
      </c>
      <c r="B567" s="297">
        <f ca="1">IF($A567="",TODAY(),Transactions!G559)</f>
        <v>46216</v>
      </c>
      <c r="C567" t="str">
        <f>IF($A567="","",Transactions!A559)</f>
        <v/>
      </c>
      <c r="D567" s="30">
        <f>IF($A567="",0,Transactions!H559)</f>
        <v>0</v>
      </c>
      <c r="E567">
        <f>IF($A567="",1,IFERROR(INDEX(Prices[FX to SGD],MATCH($A567,Prices[Key],0)),1))</f>
        <v>1</v>
      </c>
      <c r="F567" s="30">
        <f>IF($A567="",0,(Transactions!M559-Transactions!L559+IF(Transactions!A559=2,Transactions!H559,0))*$E567)</f>
        <v>0</v>
      </c>
      <c r="G567" s="30">
        <f>IF($A567="",0,IF(Transactions!A559=2,Transactions!H559*$E567,0))</f>
        <v>0</v>
      </c>
    </row>
    <row r="568" spans="1:7" ht="15" customHeight="1" x14ac:dyDescent="0.15">
      <c r="A568" t="str">
        <f>IF(Transactions!J560="","",Transactions!J560)</f>
        <v/>
      </c>
      <c r="B568" s="297">
        <f ca="1">IF($A568="",TODAY(),Transactions!G560)</f>
        <v>46216</v>
      </c>
      <c r="C568" t="str">
        <f>IF($A568="","",Transactions!A560)</f>
        <v/>
      </c>
      <c r="D568" s="30">
        <f>IF($A568="",0,Transactions!H560)</f>
        <v>0</v>
      </c>
      <c r="E568">
        <f>IF($A568="",1,IFERROR(INDEX(Prices[FX to SGD],MATCH($A568,Prices[Key],0)),1))</f>
        <v>1</v>
      </c>
      <c r="F568" s="30">
        <f>IF($A568="",0,(Transactions!M560-Transactions!L560+IF(Transactions!A560=2,Transactions!H560,0))*$E568)</f>
        <v>0</v>
      </c>
      <c r="G568" s="30">
        <f>IF($A568="",0,IF(Transactions!A560=2,Transactions!H560*$E568,0))</f>
        <v>0</v>
      </c>
    </row>
    <row r="569" spans="1:7" ht="15" customHeight="1" x14ac:dyDescent="0.15">
      <c r="A569" t="str">
        <f>IF(Transactions!J561="","",Transactions!J561)</f>
        <v/>
      </c>
      <c r="B569" s="297">
        <f ca="1">IF($A569="",TODAY(),Transactions!G561)</f>
        <v>46216</v>
      </c>
      <c r="C569" t="str">
        <f>IF($A569="","",Transactions!A561)</f>
        <v/>
      </c>
      <c r="D569" s="30">
        <f>IF($A569="",0,Transactions!H561)</f>
        <v>0</v>
      </c>
      <c r="E569">
        <f>IF($A569="",1,IFERROR(INDEX(Prices[FX to SGD],MATCH($A569,Prices[Key],0)),1))</f>
        <v>1</v>
      </c>
      <c r="F569" s="30">
        <f>IF($A569="",0,(Transactions!M561-Transactions!L561+IF(Transactions!A561=2,Transactions!H561,0))*$E569)</f>
        <v>0</v>
      </c>
      <c r="G569" s="30">
        <f>IF($A569="",0,IF(Transactions!A561=2,Transactions!H561*$E569,0))</f>
        <v>0</v>
      </c>
    </row>
    <row r="570" spans="1:7" ht="15" customHeight="1" x14ac:dyDescent="0.15">
      <c r="A570" t="str">
        <f>IF(Transactions!J562="","",Transactions!J562)</f>
        <v/>
      </c>
      <c r="B570" s="297">
        <f ca="1">IF($A570="",TODAY(),Transactions!G562)</f>
        <v>46216</v>
      </c>
      <c r="C570" t="str">
        <f>IF($A570="","",Transactions!A562)</f>
        <v/>
      </c>
      <c r="D570" s="30">
        <f>IF($A570="",0,Transactions!H562)</f>
        <v>0</v>
      </c>
      <c r="E570">
        <f>IF($A570="",1,IFERROR(INDEX(Prices[FX to SGD],MATCH($A570,Prices[Key],0)),1))</f>
        <v>1</v>
      </c>
      <c r="F570" s="30">
        <f>IF($A570="",0,(Transactions!M562-Transactions!L562+IF(Transactions!A562=2,Transactions!H562,0))*$E570)</f>
        <v>0</v>
      </c>
      <c r="G570" s="30">
        <f>IF($A570="",0,IF(Transactions!A562=2,Transactions!H562*$E570,0))</f>
        <v>0</v>
      </c>
    </row>
    <row r="571" spans="1:7" ht="15" customHeight="1" x14ac:dyDescent="0.15">
      <c r="A571" t="str">
        <f>IF(Transactions!J563="","",Transactions!J563)</f>
        <v/>
      </c>
      <c r="B571" s="297">
        <f ca="1">IF($A571="",TODAY(),Transactions!G563)</f>
        <v>46216</v>
      </c>
      <c r="C571" t="str">
        <f>IF($A571="","",Transactions!A563)</f>
        <v/>
      </c>
      <c r="D571" s="30">
        <f>IF($A571="",0,Transactions!H563)</f>
        <v>0</v>
      </c>
      <c r="E571">
        <f>IF($A571="",1,IFERROR(INDEX(Prices[FX to SGD],MATCH($A571,Prices[Key],0)),1))</f>
        <v>1</v>
      </c>
      <c r="F571" s="30">
        <f>IF($A571="",0,(Transactions!M563-Transactions!L563+IF(Transactions!A563=2,Transactions!H563,0))*$E571)</f>
        <v>0</v>
      </c>
      <c r="G571" s="30">
        <f>IF($A571="",0,IF(Transactions!A563=2,Transactions!H563*$E571,0))</f>
        <v>0</v>
      </c>
    </row>
    <row r="572" spans="1:7" ht="15" customHeight="1" x14ac:dyDescent="0.15">
      <c r="A572" t="str">
        <f>IF(Transactions!J564="","",Transactions!J564)</f>
        <v/>
      </c>
      <c r="B572" s="297">
        <f ca="1">IF($A572="",TODAY(),Transactions!G564)</f>
        <v>46216</v>
      </c>
      <c r="C572" t="str">
        <f>IF($A572="","",Transactions!A564)</f>
        <v/>
      </c>
      <c r="D572" s="30">
        <f>IF($A572="",0,Transactions!H564)</f>
        <v>0</v>
      </c>
      <c r="E572">
        <f>IF($A572="",1,IFERROR(INDEX(Prices[FX to SGD],MATCH($A572,Prices[Key],0)),1))</f>
        <v>1</v>
      </c>
      <c r="F572" s="30">
        <f>IF($A572="",0,(Transactions!M564-Transactions!L564+IF(Transactions!A564=2,Transactions!H564,0))*$E572)</f>
        <v>0</v>
      </c>
      <c r="G572" s="30">
        <f>IF($A572="",0,IF(Transactions!A564=2,Transactions!H564*$E572,0))</f>
        <v>0</v>
      </c>
    </row>
    <row r="573" spans="1:7" ht="15" customHeight="1" x14ac:dyDescent="0.15">
      <c r="A573" t="str">
        <f>IF(Transactions!J565="","",Transactions!J565)</f>
        <v/>
      </c>
      <c r="B573" s="297">
        <f ca="1">IF($A573="",TODAY(),Transactions!G565)</f>
        <v>46216</v>
      </c>
      <c r="C573" t="str">
        <f>IF($A573="","",Transactions!A565)</f>
        <v/>
      </c>
      <c r="D573" s="30">
        <f>IF($A573="",0,Transactions!H565)</f>
        <v>0</v>
      </c>
      <c r="E573">
        <f>IF($A573="",1,IFERROR(INDEX(Prices[FX to SGD],MATCH($A573,Prices[Key],0)),1))</f>
        <v>1</v>
      </c>
      <c r="F573" s="30">
        <f>IF($A573="",0,(Transactions!M565-Transactions!L565+IF(Transactions!A565=2,Transactions!H565,0))*$E573)</f>
        <v>0</v>
      </c>
      <c r="G573" s="30">
        <f>IF($A573="",0,IF(Transactions!A565=2,Transactions!H565*$E573,0))</f>
        <v>0</v>
      </c>
    </row>
    <row r="574" spans="1:7" ht="15" customHeight="1" x14ac:dyDescent="0.15">
      <c r="A574" t="str">
        <f>IF(Transactions!J566="","",Transactions!J566)</f>
        <v/>
      </c>
      <c r="B574" s="297">
        <f ca="1">IF($A574="",TODAY(),Transactions!G566)</f>
        <v>46216</v>
      </c>
      <c r="C574" t="str">
        <f>IF($A574="","",Transactions!A566)</f>
        <v/>
      </c>
      <c r="D574" s="30">
        <f>IF($A574="",0,Transactions!H566)</f>
        <v>0</v>
      </c>
      <c r="E574">
        <f>IF($A574="",1,IFERROR(INDEX(Prices[FX to SGD],MATCH($A574,Prices[Key],0)),1))</f>
        <v>1</v>
      </c>
      <c r="F574" s="30">
        <f>IF($A574="",0,(Transactions!M566-Transactions!L566+IF(Transactions!A566=2,Transactions!H566,0))*$E574)</f>
        <v>0</v>
      </c>
      <c r="G574" s="30">
        <f>IF($A574="",0,IF(Transactions!A566=2,Transactions!H566*$E574,0))</f>
        <v>0</v>
      </c>
    </row>
    <row r="575" spans="1:7" ht="15" customHeight="1" x14ac:dyDescent="0.15">
      <c r="A575" t="str">
        <f>IF(Transactions!J567="","",Transactions!J567)</f>
        <v/>
      </c>
      <c r="B575" s="297">
        <f ca="1">IF($A575="",TODAY(),Transactions!G567)</f>
        <v>46216</v>
      </c>
      <c r="C575" t="str">
        <f>IF($A575="","",Transactions!A567)</f>
        <v/>
      </c>
      <c r="D575" s="30">
        <f>IF($A575="",0,Transactions!H567)</f>
        <v>0</v>
      </c>
      <c r="E575">
        <f>IF($A575="",1,IFERROR(INDEX(Prices[FX to SGD],MATCH($A575,Prices[Key],0)),1))</f>
        <v>1</v>
      </c>
      <c r="F575" s="30">
        <f>IF($A575="",0,(Transactions!M567-Transactions!L567+IF(Transactions!A567=2,Transactions!H567,0))*$E575)</f>
        <v>0</v>
      </c>
      <c r="G575" s="30">
        <f>IF($A575="",0,IF(Transactions!A567=2,Transactions!H567*$E575,0))</f>
        <v>0</v>
      </c>
    </row>
    <row r="576" spans="1:7" ht="15" customHeight="1" x14ac:dyDescent="0.15">
      <c r="A576" t="str">
        <f>IF(Transactions!J568="","",Transactions!J568)</f>
        <v/>
      </c>
      <c r="B576" s="297">
        <f ca="1">IF($A576="",TODAY(),Transactions!G568)</f>
        <v>46216</v>
      </c>
      <c r="C576" t="str">
        <f>IF($A576="","",Transactions!A568)</f>
        <v/>
      </c>
      <c r="D576" s="30">
        <f>IF($A576="",0,Transactions!H568)</f>
        <v>0</v>
      </c>
      <c r="E576">
        <f>IF($A576="",1,IFERROR(INDEX(Prices[FX to SGD],MATCH($A576,Prices[Key],0)),1))</f>
        <v>1</v>
      </c>
      <c r="F576" s="30">
        <f>IF($A576="",0,(Transactions!M568-Transactions!L568+IF(Transactions!A568=2,Transactions!H568,0))*$E576)</f>
        <v>0</v>
      </c>
      <c r="G576" s="30">
        <f>IF($A576="",0,IF(Transactions!A568=2,Transactions!H568*$E576,0))</f>
        <v>0</v>
      </c>
    </row>
    <row r="577" spans="1:7" ht="15" customHeight="1" x14ac:dyDescent="0.15">
      <c r="A577" t="str">
        <f>IF(Transactions!J569="","",Transactions!J569)</f>
        <v/>
      </c>
      <c r="B577" s="297">
        <f ca="1">IF($A577="",TODAY(),Transactions!G569)</f>
        <v>46216</v>
      </c>
      <c r="C577" t="str">
        <f>IF($A577="","",Transactions!A569)</f>
        <v/>
      </c>
      <c r="D577" s="30">
        <f>IF($A577="",0,Transactions!H569)</f>
        <v>0</v>
      </c>
      <c r="E577">
        <f>IF($A577="",1,IFERROR(INDEX(Prices[FX to SGD],MATCH($A577,Prices[Key],0)),1))</f>
        <v>1</v>
      </c>
      <c r="F577" s="30">
        <f>IF($A577="",0,(Transactions!M569-Transactions!L569+IF(Transactions!A569=2,Transactions!H569,0))*$E577)</f>
        <v>0</v>
      </c>
      <c r="G577" s="30">
        <f>IF($A577="",0,IF(Transactions!A569=2,Transactions!H569*$E577,0))</f>
        <v>0</v>
      </c>
    </row>
    <row r="578" spans="1:7" ht="15" customHeight="1" x14ac:dyDescent="0.15">
      <c r="A578" t="str">
        <f>IF(Transactions!J570="","",Transactions!J570)</f>
        <v/>
      </c>
      <c r="B578" s="297">
        <f ca="1">IF($A578="",TODAY(),Transactions!G570)</f>
        <v>46216</v>
      </c>
      <c r="C578" t="str">
        <f>IF($A578="","",Transactions!A570)</f>
        <v/>
      </c>
      <c r="D578" s="30">
        <f>IF($A578="",0,Transactions!H570)</f>
        <v>0</v>
      </c>
      <c r="E578">
        <f>IF($A578="",1,IFERROR(INDEX(Prices[FX to SGD],MATCH($A578,Prices[Key],0)),1))</f>
        <v>1</v>
      </c>
      <c r="F578" s="30">
        <f>IF($A578="",0,(Transactions!M570-Transactions!L570+IF(Transactions!A570=2,Transactions!H570,0))*$E578)</f>
        <v>0</v>
      </c>
      <c r="G578" s="30">
        <f>IF($A578="",0,IF(Transactions!A570=2,Transactions!H570*$E578,0))</f>
        <v>0</v>
      </c>
    </row>
    <row r="579" spans="1:7" ht="15" customHeight="1" x14ac:dyDescent="0.15">
      <c r="A579" t="str">
        <f>IF(Transactions!J571="","",Transactions!J571)</f>
        <v/>
      </c>
      <c r="B579" s="297">
        <f ca="1">IF($A579="",TODAY(),Transactions!G571)</f>
        <v>46216</v>
      </c>
      <c r="C579" t="str">
        <f>IF($A579="","",Transactions!A571)</f>
        <v/>
      </c>
      <c r="D579" s="30">
        <f>IF($A579="",0,Transactions!H571)</f>
        <v>0</v>
      </c>
      <c r="E579">
        <f>IF($A579="",1,IFERROR(INDEX(Prices[FX to SGD],MATCH($A579,Prices[Key],0)),1))</f>
        <v>1</v>
      </c>
      <c r="F579" s="30">
        <f>IF($A579="",0,(Transactions!M571-Transactions!L571+IF(Transactions!A571=2,Transactions!H571,0))*$E579)</f>
        <v>0</v>
      </c>
      <c r="G579" s="30">
        <f>IF($A579="",0,IF(Transactions!A571=2,Transactions!H571*$E579,0))</f>
        <v>0</v>
      </c>
    </row>
    <row r="580" spans="1:7" ht="15" customHeight="1" x14ac:dyDescent="0.15">
      <c r="A580" t="str">
        <f>IF(Transactions!J572="","",Transactions!J572)</f>
        <v/>
      </c>
      <c r="B580" s="297">
        <f ca="1">IF($A580="",TODAY(),Transactions!G572)</f>
        <v>46216</v>
      </c>
      <c r="C580" t="str">
        <f>IF($A580="","",Transactions!A572)</f>
        <v/>
      </c>
      <c r="D580" s="30">
        <f>IF($A580="",0,Transactions!H572)</f>
        <v>0</v>
      </c>
      <c r="E580">
        <f>IF($A580="",1,IFERROR(INDEX(Prices[FX to SGD],MATCH($A580,Prices[Key],0)),1))</f>
        <v>1</v>
      </c>
      <c r="F580" s="30">
        <f>IF($A580="",0,(Transactions!M572-Transactions!L572+IF(Transactions!A572=2,Transactions!H572,0))*$E580)</f>
        <v>0</v>
      </c>
      <c r="G580" s="30">
        <f>IF($A580="",0,IF(Transactions!A572=2,Transactions!H572*$E580,0))</f>
        <v>0</v>
      </c>
    </row>
    <row r="581" spans="1:7" ht="15" customHeight="1" x14ac:dyDescent="0.15">
      <c r="A581" t="str">
        <f>IF(Transactions!J573="","",Transactions!J573)</f>
        <v/>
      </c>
      <c r="B581" s="297">
        <f ca="1">IF($A581="",TODAY(),Transactions!G573)</f>
        <v>46216</v>
      </c>
      <c r="C581" t="str">
        <f>IF($A581="","",Transactions!A573)</f>
        <v/>
      </c>
      <c r="D581" s="30">
        <f>IF($A581="",0,Transactions!H573)</f>
        <v>0</v>
      </c>
      <c r="E581">
        <f>IF($A581="",1,IFERROR(INDEX(Prices[FX to SGD],MATCH($A581,Prices[Key],0)),1))</f>
        <v>1</v>
      </c>
      <c r="F581" s="30">
        <f>IF($A581="",0,(Transactions!M573-Transactions!L573+IF(Transactions!A573=2,Transactions!H573,0))*$E581)</f>
        <v>0</v>
      </c>
      <c r="G581" s="30">
        <f>IF($A581="",0,IF(Transactions!A573=2,Transactions!H573*$E581,0))</f>
        <v>0</v>
      </c>
    </row>
    <row r="582" spans="1:7" ht="15" customHeight="1" x14ac:dyDescent="0.15">
      <c r="A582" t="str">
        <f>IF(Transactions!J574="","",Transactions!J574)</f>
        <v/>
      </c>
      <c r="B582" s="297">
        <f ca="1">IF($A582="",TODAY(),Transactions!G574)</f>
        <v>46216</v>
      </c>
      <c r="C582" t="str">
        <f>IF($A582="","",Transactions!A574)</f>
        <v/>
      </c>
      <c r="D582" s="30">
        <f>IF($A582="",0,Transactions!H574)</f>
        <v>0</v>
      </c>
      <c r="E582">
        <f>IF($A582="",1,IFERROR(INDEX(Prices[FX to SGD],MATCH($A582,Prices[Key],0)),1))</f>
        <v>1</v>
      </c>
      <c r="F582" s="30">
        <f>IF($A582="",0,(Transactions!M574-Transactions!L574+IF(Transactions!A574=2,Transactions!H574,0))*$E582)</f>
        <v>0</v>
      </c>
      <c r="G582" s="30">
        <f>IF($A582="",0,IF(Transactions!A574=2,Transactions!H574*$E582,0))</f>
        <v>0</v>
      </c>
    </row>
    <row r="583" spans="1:7" ht="15" customHeight="1" x14ac:dyDescent="0.15">
      <c r="A583" t="str">
        <f>IF(Transactions!J575="","",Transactions!J575)</f>
        <v/>
      </c>
      <c r="B583" s="297">
        <f ca="1">IF($A583="",TODAY(),Transactions!G575)</f>
        <v>46216</v>
      </c>
      <c r="C583" t="str">
        <f>IF($A583="","",Transactions!A575)</f>
        <v/>
      </c>
      <c r="D583" s="30">
        <f>IF($A583="",0,Transactions!H575)</f>
        <v>0</v>
      </c>
      <c r="E583">
        <f>IF($A583="",1,IFERROR(INDEX(Prices[FX to SGD],MATCH($A583,Prices[Key],0)),1))</f>
        <v>1</v>
      </c>
      <c r="F583" s="30">
        <f>IF($A583="",0,(Transactions!M575-Transactions!L575+IF(Transactions!A575=2,Transactions!H575,0))*$E583)</f>
        <v>0</v>
      </c>
      <c r="G583" s="30">
        <f>IF($A583="",0,IF(Transactions!A575=2,Transactions!H575*$E583,0))</f>
        <v>0</v>
      </c>
    </row>
    <row r="584" spans="1:7" ht="15" customHeight="1" x14ac:dyDescent="0.15">
      <c r="A584" t="str">
        <f>IF(Transactions!J576="","",Transactions!J576)</f>
        <v/>
      </c>
      <c r="B584" s="297">
        <f ca="1">IF($A584="",TODAY(),Transactions!G576)</f>
        <v>46216</v>
      </c>
      <c r="C584" t="str">
        <f>IF($A584="","",Transactions!A576)</f>
        <v/>
      </c>
      <c r="D584" s="30">
        <f>IF($A584="",0,Transactions!H576)</f>
        <v>0</v>
      </c>
      <c r="E584">
        <f>IF($A584="",1,IFERROR(INDEX(Prices[FX to SGD],MATCH($A584,Prices[Key],0)),1))</f>
        <v>1</v>
      </c>
      <c r="F584" s="30">
        <f>IF($A584="",0,(Transactions!M576-Transactions!L576+IF(Transactions!A576=2,Transactions!H576,0))*$E584)</f>
        <v>0</v>
      </c>
      <c r="G584" s="30">
        <f>IF($A584="",0,IF(Transactions!A576=2,Transactions!H576*$E584,0))</f>
        <v>0</v>
      </c>
    </row>
    <row r="585" spans="1:7" ht="15" customHeight="1" x14ac:dyDescent="0.15">
      <c r="A585" t="str">
        <f>IF(Transactions!J577="","",Transactions!J577)</f>
        <v/>
      </c>
      <c r="B585" s="297">
        <f ca="1">IF($A585="",TODAY(),Transactions!G577)</f>
        <v>46216</v>
      </c>
      <c r="C585" t="str">
        <f>IF($A585="","",Transactions!A577)</f>
        <v/>
      </c>
      <c r="D585" s="30">
        <f>IF($A585="",0,Transactions!H577)</f>
        <v>0</v>
      </c>
      <c r="E585">
        <f>IF($A585="",1,IFERROR(INDEX(Prices[FX to SGD],MATCH($A585,Prices[Key],0)),1))</f>
        <v>1</v>
      </c>
      <c r="F585" s="30">
        <f>IF($A585="",0,(Transactions!M577-Transactions!L577+IF(Transactions!A577=2,Transactions!H577,0))*$E585)</f>
        <v>0</v>
      </c>
      <c r="G585" s="30">
        <f>IF($A585="",0,IF(Transactions!A577=2,Transactions!H577*$E585,0))</f>
        <v>0</v>
      </c>
    </row>
    <row r="586" spans="1:7" ht="15" customHeight="1" x14ac:dyDescent="0.15">
      <c r="A586" t="str">
        <f>IF(Transactions!J578="","",Transactions!J578)</f>
        <v/>
      </c>
      <c r="B586" s="297">
        <f ca="1">IF($A586="",TODAY(),Transactions!G578)</f>
        <v>46216</v>
      </c>
      <c r="C586" t="str">
        <f>IF($A586="","",Transactions!A578)</f>
        <v/>
      </c>
      <c r="D586" s="30">
        <f>IF($A586="",0,Transactions!H578)</f>
        <v>0</v>
      </c>
      <c r="E586">
        <f>IF($A586="",1,IFERROR(INDEX(Prices[FX to SGD],MATCH($A586,Prices[Key],0)),1))</f>
        <v>1</v>
      </c>
      <c r="F586" s="30">
        <f>IF($A586="",0,(Transactions!M578-Transactions!L578+IF(Transactions!A578=2,Transactions!H578,0))*$E586)</f>
        <v>0</v>
      </c>
      <c r="G586" s="30">
        <f>IF($A586="",0,IF(Transactions!A578=2,Transactions!H578*$E586,0))</f>
        <v>0</v>
      </c>
    </row>
    <row r="587" spans="1:7" ht="15" customHeight="1" x14ac:dyDescent="0.15">
      <c r="A587" t="str">
        <f>IF(Transactions!J579="","",Transactions!J579)</f>
        <v/>
      </c>
      <c r="B587" s="297">
        <f ca="1">IF($A587="",TODAY(),Transactions!G579)</f>
        <v>46216</v>
      </c>
      <c r="C587" t="str">
        <f>IF($A587="","",Transactions!A579)</f>
        <v/>
      </c>
      <c r="D587" s="30">
        <f>IF($A587="",0,Transactions!H579)</f>
        <v>0</v>
      </c>
      <c r="E587">
        <f>IF($A587="",1,IFERROR(INDEX(Prices[FX to SGD],MATCH($A587,Prices[Key],0)),1))</f>
        <v>1</v>
      </c>
      <c r="F587" s="30">
        <f>IF($A587="",0,(Transactions!M579-Transactions!L579+IF(Transactions!A579=2,Transactions!H579,0))*$E587)</f>
        <v>0</v>
      </c>
      <c r="G587" s="30">
        <f>IF($A587="",0,IF(Transactions!A579=2,Transactions!H579*$E587,0))</f>
        <v>0</v>
      </c>
    </row>
    <row r="588" spans="1:7" ht="15" customHeight="1" x14ac:dyDescent="0.15">
      <c r="A588" t="str">
        <f>IF(Transactions!J580="","",Transactions!J580)</f>
        <v/>
      </c>
      <c r="B588" s="297">
        <f ca="1">IF($A588="",TODAY(),Transactions!G580)</f>
        <v>46216</v>
      </c>
      <c r="C588" t="str">
        <f>IF($A588="","",Transactions!A580)</f>
        <v/>
      </c>
      <c r="D588" s="30">
        <f>IF($A588="",0,Transactions!H580)</f>
        <v>0</v>
      </c>
      <c r="E588">
        <f>IF($A588="",1,IFERROR(INDEX(Prices[FX to SGD],MATCH($A588,Prices[Key],0)),1))</f>
        <v>1</v>
      </c>
      <c r="F588" s="30">
        <f>IF($A588="",0,(Transactions!M580-Transactions!L580+IF(Transactions!A580=2,Transactions!H580,0))*$E588)</f>
        <v>0</v>
      </c>
      <c r="G588" s="30">
        <f>IF($A588="",0,IF(Transactions!A580=2,Transactions!H580*$E588,0))</f>
        <v>0</v>
      </c>
    </row>
    <row r="589" spans="1:7" ht="15" customHeight="1" x14ac:dyDescent="0.15">
      <c r="A589" t="str">
        <f>IF(Transactions!J581="","",Transactions!J581)</f>
        <v/>
      </c>
      <c r="B589" s="297">
        <f ca="1">IF($A589="",TODAY(),Transactions!G581)</f>
        <v>46216</v>
      </c>
      <c r="C589" t="str">
        <f>IF($A589="","",Transactions!A581)</f>
        <v/>
      </c>
      <c r="D589" s="30">
        <f>IF($A589="",0,Transactions!H581)</f>
        <v>0</v>
      </c>
      <c r="E589">
        <f>IF($A589="",1,IFERROR(INDEX(Prices[FX to SGD],MATCH($A589,Prices[Key],0)),1))</f>
        <v>1</v>
      </c>
      <c r="F589" s="30">
        <f>IF($A589="",0,(Transactions!M581-Transactions!L581+IF(Transactions!A581=2,Transactions!H581,0))*$E589)</f>
        <v>0</v>
      </c>
      <c r="G589" s="30">
        <f>IF($A589="",0,IF(Transactions!A581=2,Transactions!H581*$E589,0))</f>
        <v>0</v>
      </c>
    </row>
    <row r="590" spans="1:7" ht="15" customHeight="1" x14ac:dyDescent="0.15">
      <c r="A590" t="str">
        <f>IF(Transactions!J582="","",Transactions!J582)</f>
        <v/>
      </c>
      <c r="B590" s="297">
        <f ca="1">IF($A590="",TODAY(),Transactions!G582)</f>
        <v>46216</v>
      </c>
      <c r="C590" t="str">
        <f>IF($A590="","",Transactions!A582)</f>
        <v/>
      </c>
      <c r="D590" s="30">
        <f>IF($A590="",0,Transactions!H582)</f>
        <v>0</v>
      </c>
      <c r="E590">
        <f>IF($A590="",1,IFERROR(INDEX(Prices[FX to SGD],MATCH($A590,Prices[Key],0)),1))</f>
        <v>1</v>
      </c>
      <c r="F590" s="30">
        <f>IF($A590="",0,(Transactions!M582-Transactions!L582+IF(Transactions!A582=2,Transactions!H582,0))*$E590)</f>
        <v>0</v>
      </c>
      <c r="G590" s="30">
        <f>IF($A590="",0,IF(Transactions!A582=2,Transactions!H582*$E590,0))</f>
        <v>0</v>
      </c>
    </row>
    <row r="591" spans="1:7" ht="15" customHeight="1" x14ac:dyDescent="0.15">
      <c r="A591" t="str">
        <f>IF(Transactions!J583="","",Transactions!J583)</f>
        <v/>
      </c>
      <c r="B591" s="297">
        <f ca="1">IF($A591="",TODAY(),Transactions!G583)</f>
        <v>46216</v>
      </c>
      <c r="C591" t="str">
        <f>IF($A591="","",Transactions!A583)</f>
        <v/>
      </c>
      <c r="D591" s="30">
        <f>IF($A591="",0,Transactions!H583)</f>
        <v>0</v>
      </c>
      <c r="E591">
        <f>IF($A591="",1,IFERROR(INDEX(Prices[FX to SGD],MATCH($A591,Prices[Key],0)),1))</f>
        <v>1</v>
      </c>
      <c r="F591" s="30">
        <f>IF($A591="",0,(Transactions!M583-Transactions!L583+IF(Transactions!A583=2,Transactions!H583,0))*$E591)</f>
        <v>0</v>
      </c>
      <c r="G591" s="30">
        <f>IF($A591="",0,IF(Transactions!A583=2,Transactions!H583*$E591,0))</f>
        <v>0</v>
      </c>
    </row>
    <row r="592" spans="1:7" ht="15" customHeight="1" x14ac:dyDescent="0.15">
      <c r="A592" t="str">
        <f>IF(Transactions!J584="","",Transactions!J584)</f>
        <v/>
      </c>
      <c r="B592" s="297">
        <f ca="1">IF($A592="",TODAY(),Transactions!G584)</f>
        <v>46216</v>
      </c>
      <c r="C592" t="str">
        <f>IF($A592="","",Transactions!A584)</f>
        <v/>
      </c>
      <c r="D592" s="30">
        <f>IF($A592="",0,Transactions!H584)</f>
        <v>0</v>
      </c>
      <c r="E592">
        <f>IF($A592="",1,IFERROR(INDEX(Prices[FX to SGD],MATCH($A592,Prices[Key],0)),1))</f>
        <v>1</v>
      </c>
      <c r="F592" s="30">
        <f>IF($A592="",0,(Transactions!M584-Transactions!L584+IF(Transactions!A584=2,Transactions!H584,0))*$E592)</f>
        <v>0</v>
      </c>
      <c r="G592" s="30">
        <f>IF($A592="",0,IF(Transactions!A584=2,Transactions!H584*$E592,0))</f>
        <v>0</v>
      </c>
    </row>
    <row r="593" spans="1:7" ht="15" customHeight="1" x14ac:dyDescent="0.15">
      <c r="A593" t="str">
        <f>IF(Transactions!J585="","",Transactions!J585)</f>
        <v/>
      </c>
      <c r="B593" s="297">
        <f ca="1">IF($A593="",TODAY(),Transactions!G585)</f>
        <v>46216</v>
      </c>
      <c r="C593" t="str">
        <f>IF($A593="","",Transactions!A585)</f>
        <v/>
      </c>
      <c r="D593" s="30">
        <f>IF($A593="",0,Transactions!H585)</f>
        <v>0</v>
      </c>
      <c r="E593">
        <f>IF($A593="",1,IFERROR(INDEX(Prices[FX to SGD],MATCH($A593,Prices[Key],0)),1))</f>
        <v>1</v>
      </c>
      <c r="F593" s="30">
        <f>IF($A593="",0,(Transactions!M585-Transactions!L585+IF(Transactions!A585=2,Transactions!H585,0))*$E593)</f>
        <v>0</v>
      </c>
      <c r="G593" s="30">
        <f>IF($A593="",0,IF(Transactions!A585=2,Transactions!H585*$E593,0))</f>
        <v>0</v>
      </c>
    </row>
    <row r="594" spans="1:7" ht="15" customHeight="1" x14ac:dyDescent="0.15">
      <c r="A594" t="str">
        <f>IF(Transactions!J586="","",Transactions!J586)</f>
        <v/>
      </c>
      <c r="B594" s="297">
        <f ca="1">IF($A594="",TODAY(),Transactions!G586)</f>
        <v>46216</v>
      </c>
      <c r="C594" t="str">
        <f>IF($A594="","",Transactions!A586)</f>
        <v/>
      </c>
      <c r="D594" s="30">
        <f>IF($A594="",0,Transactions!H586)</f>
        <v>0</v>
      </c>
      <c r="E594">
        <f>IF($A594="",1,IFERROR(INDEX(Prices[FX to SGD],MATCH($A594,Prices[Key],0)),1))</f>
        <v>1</v>
      </c>
      <c r="F594" s="30">
        <f>IF($A594="",0,(Transactions!M586-Transactions!L586+IF(Transactions!A586=2,Transactions!H586,0))*$E594)</f>
        <v>0</v>
      </c>
      <c r="G594" s="30">
        <f>IF($A594="",0,IF(Transactions!A586=2,Transactions!H586*$E594,0))</f>
        <v>0</v>
      </c>
    </row>
    <row r="595" spans="1:7" ht="15" customHeight="1" x14ac:dyDescent="0.15">
      <c r="A595" t="str">
        <f>IF(Transactions!J587="","",Transactions!J587)</f>
        <v/>
      </c>
      <c r="B595" s="297">
        <f ca="1">IF($A595="",TODAY(),Transactions!G587)</f>
        <v>46216</v>
      </c>
      <c r="C595" t="str">
        <f>IF($A595="","",Transactions!A587)</f>
        <v/>
      </c>
      <c r="D595" s="30">
        <f>IF($A595="",0,Transactions!H587)</f>
        <v>0</v>
      </c>
      <c r="E595">
        <f>IF($A595="",1,IFERROR(INDEX(Prices[FX to SGD],MATCH($A595,Prices[Key],0)),1))</f>
        <v>1</v>
      </c>
      <c r="F595" s="30">
        <f>IF($A595="",0,(Transactions!M587-Transactions!L587+IF(Transactions!A587=2,Transactions!H587,0))*$E595)</f>
        <v>0</v>
      </c>
      <c r="G595" s="30">
        <f>IF($A595="",0,IF(Transactions!A587=2,Transactions!H587*$E595,0))</f>
        <v>0</v>
      </c>
    </row>
    <row r="596" spans="1:7" ht="15" customHeight="1" x14ac:dyDescent="0.15">
      <c r="A596" t="str">
        <f>IF(Transactions!J588="","",Transactions!J588)</f>
        <v/>
      </c>
      <c r="B596" s="297">
        <f ca="1">IF($A596="",TODAY(),Transactions!G588)</f>
        <v>46216</v>
      </c>
      <c r="C596" t="str">
        <f>IF($A596="","",Transactions!A588)</f>
        <v/>
      </c>
      <c r="D596" s="30">
        <f>IF($A596="",0,Transactions!H588)</f>
        <v>0</v>
      </c>
      <c r="E596">
        <f>IF($A596="",1,IFERROR(INDEX(Prices[FX to SGD],MATCH($A596,Prices[Key],0)),1))</f>
        <v>1</v>
      </c>
      <c r="F596" s="30">
        <f>IF($A596="",0,(Transactions!M588-Transactions!L588+IF(Transactions!A588=2,Transactions!H588,0))*$E596)</f>
        <v>0</v>
      </c>
      <c r="G596" s="30">
        <f>IF($A596="",0,IF(Transactions!A588=2,Transactions!H588*$E596,0))</f>
        <v>0</v>
      </c>
    </row>
    <row r="597" spans="1:7" ht="15" customHeight="1" x14ac:dyDescent="0.15">
      <c r="A597" t="str">
        <f>IF(Transactions!J589="","",Transactions!J589)</f>
        <v/>
      </c>
      <c r="B597" s="297">
        <f ca="1">IF($A597="",TODAY(),Transactions!G589)</f>
        <v>46216</v>
      </c>
      <c r="C597" t="str">
        <f>IF($A597="","",Transactions!A589)</f>
        <v/>
      </c>
      <c r="D597" s="30">
        <f>IF($A597="",0,Transactions!H589)</f>
        <v>0</v>
      </c>
      <c r="E597">
        <f>IF($A597="",1,IFERROR(INDEX(Prices[FX to SGD],MATCH($A597,Prices[Key],0)),1))</f>
        <v>1</v>
      </c>
      <c r="F597" s="30">
        <f>IF($A597="",0,(Transactions!M589-Transactions!L589+IF(Transactions!A589=2,Transactions!H589,0))*$E597)</f>
        <v>0</v>
      </c>
      <c r="G597" s="30">
        <f>IF($A597="",0,IF(Transactions!A589=2,Transactions!H589*$E597,0))</f>
        <v>0</v>
      </c>
    </row>
    <row r="598" spans="1:7" ht="15" customHeight="1" x14ac:dyDescent="0.15">
      <c r="A598" t="str">
        <f>IF(Transactions!J590="","",Transactions!J590)</f>
        <v/>
      </c>
      <c r="B598" s="297">
        <f ca="1">IF($A598="",TODAY(),Transactions!G590)</f>
        <v>46216</v>
      </c>
      <c r="C598" t="str">
        <f>IF($A598="","",Transactions!A590)</f>
        <v/>
      </c>
      <c r="D598" s="30">
        <f>IF($A598="",0,Transactions!H590)</f>
        <v>0</v>
      </c>
      <c r="E598">
        <f>IF($A598="",1,IFERROR(INDEX(Prices[FX to SGD],MATCH($A598,Prices[Key],0)),1))</f>
        <v>1</v>
      </c>
      <c r="F598" s="30">
        <f>IF($A598="",0,(Transactions!M590-Transactions!L590+IF(Transactions!A590=2,Transactions!H590,0))*$E598)</f>
        <v>0</v>
      </c>
      <c r="G598" s="30">
        <f>IF($A598="",0,IF(Transactions!A590=2,Transactions!H590*$E598,0))</f>
        <v>0</v>
      </c>
    </row>
    <row r="599" spans="1:7" ht="15" customHeight="1" x14ac:dyDescent="0.15">
      <c r="A599" t="str">
        <f>IF(Transactions!J591="","",Transactions!J591)</f>
        <v/>
      </c>
      <c r="B599" s="297">
        <f ca="1">IF($A599="",TODAY(),Transactions!G591)</f>
        <v>46216</v>
      </c>
      <c r="C599" t="str">
        <f>IF($A599="","",Transactions!A591)</f>
        <v/>
      </c>
      <c r="D599" s="30">
        <f>IF($A599="",0,Transactions!H591)</f>
        <v>0</v>
      </c>
      <c r="E599">
        <f>IF($A599="",1,IFERROR(INDEX(Prices[FX to SGD],MATCH($A599,Prices[Key],0)),1))</f>
        <v>1</v>
      </c>
      <c r="F599" s="30">
        <f>IF($A599="",0,(Transactions!M591-Transactions!L591+IF(Transactions!A591=2,Transactions!H591,0))*$E599)</f>
        <v>0</v>
      </c>
      <c r="G599" s="30">
        <f>IF($A599="",0,IF(Transactions!A591=2,Transactions!H591*$E599,0))</f>
        <v>0</v>
      </c>
    </row>
    <row r="600" spans="1:7" ht="15" customHeight="1" x14ac:dyDescent="0.15">
      <c r="A600" t="str">
        <f>IF(Transactions!J592="","",Transactions!J592)</f>
        <v/>
      </c>
      <c r="B600" s="297">
        <f ca="1">IF($A600="",TODAY(),Transactions!G592)</f>
        <v>46216</v>
      </c>
      <c r="C600" t="str">
        <f>IF($A600="","",Transactions!A592)</f>
        <v/>
      </c>
      <c r="D600" s="30">
        <f>IF($A600="",0,Transactions!H592)</f>
        <v>0</v>
      </c>
      <c r="E600">
        <f>IF($A600="",1,IFERROR(INDEX(Prices[FX to SGD],MATCH($A600,Prices[Key],0)),1))</f>
        <v>1</v>
      </c>
      <c r="F600" s="30">
        <f>IF($A600="",0,(Transactions!M592-Transactions!L592+IF(Transactions!A592=2,Transactions!H592,0))*$E600)</f>
        <v>0</v>
      </c>
      <c r="G600" s="30">
        <f>IF($A600="",0,IF(Transactions!A592=2,Transactions!H592*$E600,0))</f>
        <v>0</v>
      </c>
    </row>
    <row r="601" spans="1:7" ht="15" customHeight="1" x14ac:dyDescent="0.15">
      <c r="A601" t="str">
        <f>IF(Transactions!J593="","",Transactions!J593)</f>
        <v/>
      </c>
      <c r="B601" s="297">
        <f ca="1">IF($A601="",TODAY(),Transactions!G593)</f>
        <v>46216</v>
      </c>
      <c r="C601" t="str">
        <f>IF($A601="","",Transactions!A593)</f>
        <v/>
      </c>
      <c r="D601" s="30">
        <f>IF($A601="",0,Transactions!H593)</f>
        <v>0</v>
      </c>
      <c r="E601">
        <f>IF($A601="",1,IFERROR(INDEX(Prices[FX to SGD],MATCH($A601,Prices[Key],0)),1))</f>
        <v>1</v>
      </c>
      <c r="F601" s="30">
        <f>IF($A601="",0,(Transactions!M593-Transactions!L593+IF(Transactions!A593=2,Transactions!H593,0))*$E601)</f>
        <v>0</v>
      </c>
      <c r="G601" s="30">
        <f>IF($A601="",0,IF(Transactions!A593=2,Transactions!H593*$E601,0))</f>
        <v>0</v>
      </c>
    </row>
    <row r="602" spans="1:7" ht="15" customHeight="1" x14ac:dyDescent="0.15">
      <c r="A602" t="str">
        <f>IF(Transactions!J594="","",Transactions!J594)</f>
        <v/>
      </c>
      <c r="B602" s="297">
        <f ca="1">IF($A602="",TODAY(),Transactions!G594)</f>
        <v>46216</v>
      </c>
      <c r="C602" t="str">
        <f>IF($A602="","",Transactions!A594)</f>
        <v/>
      </c>
      <c r="D602" s="30">
        <f>IF($A602="",0,Transactions!H594)</f>
        <v>0</v>
      </c>
      <c r="E602">
        <f>IF($A602="",1,IFERROR(INDEX(Prices[FX to SGD],MATCH($A602,Prices[Key],0)),1))</f>
        <v>1</v>
      </c>
      <c r="F602" s="30">
        <f>IF($A602="",0,(Transactions!M594-Transactions!L594+IF(Transactions!A594=2,Transactions!H594,0))*$E602)</f>
        <v>0</v>
      </c>
      <c r="G602" s="30">
        <f>IF($A602="",0,IF(Transactions!A594=2,Transactions!H594*$E602,0))</f>
        <v>0</v>
      </c>
    </row>
    <row r="603" spans="1:7" ht="15" customHeight="1" x14ac:dyDescent="0.15">
      <c r="A603" t="str">
        <f>IF(Transactions!J595="","",Transactions!J595)</f>
        <v/>
      </c>
      <c r="B603" s="297">
        <f ca="1">IF($A603="",TODAY(),Transactions!G595)</f>
        <v>46216</v>
      </c>
      <c r="C603" t="str">
        <f>IF($A603="","",Transactions!A595)</f>
        <v/>
      </c>
      <c r="D603" s="30">
        <f>IF($A603="",0,Transactions!H595)</f>
        <v>0</v>
      </c>
      <c r="E603">
        <f>IF($A603="",1,IFERROR(INDEX(Prices[FX to SGD],MATCH($A603,Prices[Key],0)),1))</f>
        <v>1</v>
      </c>
      <c r="F603" s="30">
        <f>IF($A603="",0,(Transactions!M595-Transactions!L595+IF(Transactions!A595=2,Transactions!H595,0))*$E603)</f>
        <v>0</v>
      </c>
      <c r="G603" s="30">
        <f>IF($A603="",0,IF(Transactions!A595=2,Transactions!H595*$E603,0))</f>
        <v>0</v>
      </c>
    </row>
    <row r="604" spans="1:7" ht="15" customHeight="1" x14ac:dyDescent="0.15">
      <c r="A604" t="str">
        <f>IF(Transactions!J596="","",Transactions!J596)</f>
        <v/>
      </c>
      <c r="B604" s="297">
        <f ca="1">IF($A604="",TODAY(),Transactions!G596)</f>
        <v>46216</v>
      </c>
      <c r="C604" t="str">
        <f>IF($A604="","",Transactions!A596)</f>
        <v/>
      </c>
      <c r="D604" s="30">
        <f>IF($A604="",0,Transactions!H596)</f>
        <v>0</v>
      </c>
      <c r="E604">
        <f>IF($A604="",1,IFERROR(INDEX(Prices[FX to SGD],MATCH($A604,Prices[Key],0)),1))</f>
        <v>1</v>
      </c>
      <c r="F604" s="30">
        <f>IF($A604="",0,(Transactions!M596-Transactions!L596+IF(Transactions!A596=2,Transactions!H596,0))*$E604)</f>
        <v>0</v>
      </c>
      <c r="G604" s="30">
        <f>IF($A604="",0,IF(Transactions!A596=2,Transactions!H596*$E604,0))</f>
        <v>0</v>
      </c>
    </row>
    <row r="605" spans="1:7" ht="15" customHeight="1" x14ac:dyDescent="0.15">
      <c r="A605" t="str">
        <f>IF(Transactions!J597="","",Transactions!J597)</f>
        <v/>
      </c>
      <c r="B605" s="297">
        <f ca="1">IF($A605="",TODAY(),Transactions!G597)</f>
        <v>46216</v>
      </c>
      <c r="C605" t="str">
        <f>IF($A605="","",Transactions!A597)</f>
        <v/>
      </c>
      <c r="D605" s="30">
        <f>IF($A605="",0,Transactions!H597)</f>
        <v>0</v>
      </c>
      <c r="E605">
        <f>IF($A605="",1,IFERROR(INDEX(Prices[FX to SGD],MATCH($A605,Prices[Key],0)),1))</f>
        <v>1</v>
      </c>
      <c r="F605" s="30">
        <f>IF($A605="",0,(Transactions!M597-Transactions!L597+IF(Transactions!A597=2,Transactions!H597,0))*$E605)</f>
        <v>0</v>
      </c>
      <c r="G605" s="30">
        <f>IF($A605="",0,IF(Transactions!A597=2,Transactions!H597*$E605,0))</f>
        <v>0</v>
      </c>
    </row>
    <row r="606" spans="1:7" ht="15" customHeight="1" x14ac:dyDescent="0.15">
      <c r="A606" t="str">
        <f>IF(Transactions!J598="","",Transactions!J598)</f>
        <v/>
      </c>
      <c r="B606" s="297">
        <f ca="1">IF($A606="",TODAY(),Transactions!G598)</f>
        <v>46216</v>
      </c>
      <c r="C606" t="str">
        <f>IF($A606="","",Transactions!A598)</f>
        <v/>
      </c>
      <c r="D606" s="30">
        <f>IF($A606="",0,Transactions!H598)</f>
        <v>0</v>
      </c>
      <c r="E606">
        <f>IF($A606="",1,IFERROR(INDEX(Prices[FX to SGD],MATCH($A606,Prices[Key],0)),1))</f>
        <v>1</v>
      </c>
      <c r="F606" s="30">
        <f>IF($A606="",0,(Transactions!M598-Transactions!L598+IF(Transactions!A598=2,Transactions!H598,0))*$E606)</f>
        <v>0</v>
      </c>
      <c r="G606" s="30">
        <f>IF($A606="",0,IF(Transactions!A598=2,Transactions!H598*$E606,0))</f>
        <v>0</v>
      </c>
    </row>
    <row r="607" spans="1:7" ht="15" customHeight="1" x14ac:dyDescent="0.15">
      <c r="A607" t="str">
        <f>IF(Transactions!J599="","",Transactions!J599)</f>
        <v/>
      </c>
      <c r="B607" s="297">
        <f ca="1">IF($A607="",TODAY(),Transactions!G599)</f>
        <v>46216</v>
      </c>
      <c r="C607" t="str">
        <f>IF($A607="","",Transactions!A599)</f>
        <v/>
      </c>
      <c r="D607" s="30">
        <f>IF($A607="",0,Transactions!H599)</f>
        <v>0</v>
      </c>
      <c r="E607">
        <f>IF($A607="",1,IFERROR(INDEX(Prices[FX to SGD],MATCH($A607,Prices[Key],0)),1))</f>
        <v>1</v>
      </c>
      <c r="F607" s="30">
        <f>IF($A607="",0,(Transactions!M599-Transactions!L599+IF(Transactions!A599=2,Transactions!H599,0))*$E607)</f>
        <v>0</v>
      </c>
      <c r="G607" s="30">
        <f>IF($A607="",0,IF(Transactions!A599=2,Transactions!H599*$E607,0))</f>
        <v>0</v>
      </c>
    </row>
    <row r="608" spans="1:7" ht="15" customHeight="1" x14ac:dyDescent="0.15">
      <c r="A608" t="str">
        <f>IF(Transactions!J600="","",Transactions!J600)</f>
        <v/>
      </c>
      <c r="B608" s="297">
        <f ca="1">IF($A608="",TODAY(),Transactions!G600)</f>
        <v>46216</v>
      </c>
      <c r="C608" t="str">
        <f>IF($A608="","",Transactions!A600)</f>
        <v/>
      </c>
      <c r="D608" s="30">
        <f>IF($A608="",0,Transactions!H600)</f>
        <v>0</v>
      </c>
      <c r="E608">
        <f>IF($A608="",1,IFERROR(INDEX(Prices[FX to SGD],MATCH($A608,Prices[Key],0)),1))</f>
        <v>1</v>
      </c>
      <c r="F608" s="30">
        <f>IF($A608="",0,(Transactions!M600-Transactions!L600+IF(Transactions!A600=2,Transactions!H600,0))*$E608)</f>
        <v>0</v>
      </c>
      <c r="G608" s="30">
        <f>IF($A608="",0,IF(Transactions!A600=2,Transactions!H600*$E608,0))</f>
        <v>0</v>
      </c>
    </row>
    <row r="609" spans="1:7" ht="15" customHeight="1" x14ac:dyDescent="0.15">
      <c r="A609" t="str">
        <f>IF(Transactions!J601="","",Transactions!J601)</f>
        <v/>
      </c>
      <c r="B609" s="297">
        <f ca="1">IF($A609="",TODAY(),Transactions!G601)</f>
        <v>46216</v>
      </c>
      <c r="C609" t="str">
        <f>IF($A609="","",Transactions!A601)</f>
        <v/>
      </c>
      <c r="D609" s="30">
        <f>IF($A609="",0,Transactions!H601)</f>
        <v>0</v>
      </c>
      <c r="E609">
        <f>IF($A609="",1,IFERROR(INDEX(Prices[FX to SGD],MATCH($A609,Prices[Key],0)),1))</f>
        <v>1</v>
      </c>
      <c r="F609" s="30">
        <f>IF($A609="",0,(Transactions!M601-Transactions!L601+IF(Transactions!A601=2,Transactions!H601,0))*$E609)</f>
        <v>0</v>
      </c>
      <c r="G609" s="30">
        <f>IF($A609="",0,IF(Transactions!A601=2,Transactions!H601*$E609,0))</f>
        <v>0</v>
      </c>
    </row>
    <row r="610" spans="1:7" ht="15" customHeight="1" x14ac:dyDescent="0.15">
      <c r="A610" t="str">
        <f>IF(Transactions!J602="","",Transactions!J602)</f>
        <v/>
      </c>
      <c r="B610" s="297">
        <f ca="1">IF($A610="",TODAY(),Transactions!G602)</f>
        <v>46216</v>
      </c>
      <c r="C610" t="str">
        <f>IF($A610="","",Transactions!A602)</f>
        <v/>
      </c>
      <c r="D610" s="30">
        <f>IF($A610="",0,Transactions!H602)</f>
        <v>0</v>
      </c>
      <c r="E610">
        <f>IF($A610="",1,IFERROR(INDEX(Prices[FX to SGD],MATCH($A610,Prices[Key],0)),1))</f>
        <v>1</v>
      </c>
      <c r="F610" s="30">
        <f>IF($A610="",0,(Transactions!M602-Transactions!L602+IF(Transactions!A602=2,Transactions!H602,0))*$E610)</f>
        <v>0</v>
      </c>
      <c r="G610" s="30">
        <f>IF($A610="",0,IF(Transactions!A602=2,Transactions!H602*$E610,0))</f>
        <v>0</v>
      </c>
    </row>
    <row r="611" spans="1:7" ht="15" customHeight="1" x14ac:dyDescent="0.15">
      <c r="A611" t="str">
        <f>IF(Transactions!J603="","",Transactions!J603)</f>
        <v/>
      </c>
      <c r="B611" s="297">
        <f ca="1">IF($A611="",TODAY(),Transactions!G603)</f>
        <v>46216</v>
      </c>
      <c r="C611" t="str">
        <f>IF($A611="","",Transactions!A603)</f>
        <v/>
      </c>
      <c r="D611" s="30">
        <f>IF($A611="",0,Transactions!H603)</f>
        <v>0</v>
      </c>
      <c r="E611">
        <f>IF($A611="",1,IFERROR(INDEX(Prices[FX to SGD],MATCH($A611,Prices[Key],0)),1))</f>
        <v>1</v>
      </c>
      <c r="F611" s="30">
        <f>IF($A611="",0,(Transactions!M603-Transactions!L603+IF(Transactions!A603=2,Transactions!H603,0))*$E611)</f>
        <v>0</v>
      </c>
      <c r="G611" s="30">
        <f>IF($A611="",0,IF(Transactions!A603=2,Transactions!H603*$E611,0))</f>
        <v>0</v>
      </c>
    </row>
    <row r="612" spans="1:7" ht="15" customHeight="1" x14ac:dyDescent="0.15">
      <c r="A612" t="str">
        <f>IF(Transactions!J604="","",Transactions!J604)</f>
        <v/>
      </c>
      <c r="B612" s="297">
        <f ca="1">IF($A612="",TODAY(),Transactions!G604)</f>
        <v>46216</v>
      </c>
      <c r="C612" t="str">
        <f>IF($A612="","",Transactions!A604)</f>
        <v/>
      </c>
      <c r="D612" s="30">
        <f>IF($A612="",0,Transactions!H604)</f>
        <v>0</v>
      </c>
      <c r="E612">
        <f>IF($A612="",1,IFERROR(INDEX(Prices[FX to SGD],MATCH($A612,Prices[Key],0)),1))</f>
        <v>1</v>
      </c>
      <c r="F612" s="30">
        <f>IF($A612="",0,(Transactions!M604-Transactions!L604+IF(Transactions!A604=2,Transactions!H604,0))*$E612)</f>
        <v>0</v>
      </c>
      <c r="G612" s="30">
        <f>IF($A612="",0,IF(Transactions!A604=2,Transactions!H604*$E612,0))</f>
        <v>0</v>
      </c>
    </row>
    <row r="613" spans="1:7" ht="15" customHeight="1" x14ac:dyDescent="0.15">
      <c r="A613" t="str">
        <f>IF(Transactions!J605="","",Transactions!J605)</f>
        <v/>
      </c>
      <c r="B613" s="297">
        <f ca="1">IF($A613="",TODAY(),Transactions!G605)</f>
        <v>46216</v>
      </c>
      <c r="C613" t="str">
        <f>IF($A613="","",Transactions!A605)</f>
        <v/>
      </c>
      <c r="D613" s="30">
        <f>IF($A613="",0,Transactions!H605)</f>
        <v>0</v>
      </c>
      <c r="E613">
        <f>IF($A613="",1,IFERROR(INDEX(Prices[FX to SGD],MATCH($A613,Prices[Key],0)),1))</f>
        <v>1</v>
      </c>
      <c r="F613" s="30">
        <f>IF($A613="",0,(Transactions!M605-Transactions!L605+IF(Transactions!A605=2,Transactions!H605,0))*$E613)</f>
        <v>0</v>
      </c>
      <c r="G613" s="30">
        <f>IF($A613="",0,IF(Transactions!A605=2,Transactions!H605*$E613,0))</f>
        <v>0</v>
      </c>
    </row>
    <row r="614" spans="1:7" ht="15" customHeight="1" x14ac:dyDescent="0.15">
      <c r="A614" t="str">
        <f>IF(Transactions!J606="","",Transactions!J606)</f>
        <v/>
      </c>
      <c r="B614" s="297">
        <f ca="1">IF($A614="",TODAY(),Transactions!G606)</f>
        <v>46216</v>
      </c>
      <c r="C614" t="str">
        <f>IF($A614="","",Transactions!A606)</f>
        <v/>
      </c>
      <c r="D614" s="30">
        <f>IF($A614="",0,Transactions!H606)</f>
        <v>0</v>
      </c>
      <c r="E614">
        <f>IF($A614="",1,IFERROR(INDEX(Prices[FX to SGD],MATCH($A614,Prices[Key],0)),1))</f>
        <v>1</v>
      </c>
      <c r="F614" s="30">
        <f>IF($A614="",0,(Transactions!M606-Transactions!L606+IF(Transactions!A606=2,Transactions!H606,0))*$E614)</f>
        <v>0</v>
      </c>
      <c r="G614" s="30">
        <f>IF($A614="",0,IF(Transactions!A606=2,Transactions!H606*$E614,0))</f>
        <v>0</v>
      </c>
    </row>
    <row r="615" spans="1:7" ht="15" customHeight="1" x14ac:dyDescent="0.15">
      <c r="A615" t="str">
        <f>IF(Transactions!J607="","",Transactions!J607)</f>
        <v/>
      </c>
      <c r="B615" s="297">
        <f ca="1">IF($A615="",TODAY(),Transactions!G607)</f>
        <v>46216</v>
      </c>
      <c r="C615" t="str">
        <f>IF($A615="","",Transactions!A607)</f>
        <v/>
      </c>
      <c r="D615" s="30">
        <f>IF($A615="",0,Transactions!H607)</f>
        <v>0</v>
      </c>
      <c r="E615">
        <f>IF($A615="",1,IFERROR(INDEX(Prices[FX to SGD],MATCH($A615,Prices[Key],0)),1))</f>
        <v>1</v>
      </c>
      <c r="F615" s="30">
        <f>IF($A615="",0,(Transactions!M607-Transactions!L607+IF(Transactions!A607=2,Transactions!H607,0))*$E615)</f>
        <v>0</v>
      </c>
      <c r="G615" s="30">
        <f>IF($A615="",0,IF(Transactions!A607=2,Transactions!H607*$E615,0))</f>
        <v>0</v>
      </c>
    </row>
    <row r="616" spans="1:7" ht="15" customHeight="1" x14ac:dyDescent="0.15">
      <c r="A616" t="str">
        <f>IF(Transactions!J608="","",Transactions!J608)</f>
        <v/>
      </c>
      <c r="B616" s="297">
        <f ca="1">IF($A616="",TODAY(),Transactions!G608)</f>
        <v>46216</v>
      </c>
      <c r="C616" t="str">
        <f>IF($A616="","",Transactions!A608)</f>
        <v/>
      </c>
      <c r="D616" s="30">
        <f>IF($A616="",0,Transactions!H608)</f>
        <v>0</v>
      </c>
      <c r="E616">
        <f>IF($A616="",1,IFERROR(INDEX(Prices[FX to SGD],MATCH($A616,Prices[Key],0)),1))</f>
        <v>1</v>
      </c>
      <c r="F616" s="30">
        <f>IF($A616="",0,(Transactions!M608-Transactions!L608+IF(Transactions!A608=2,Transactions!H608,0))*$E616)</f>
        <v>0</v>
      </c>
      <c r="G616" s="30">
        <f>IF($A616="",0,IF(Transactions!A608=2,Transactions!H608*$E616,0))</f>
        <v>0</v>
      </c>
    </row>
    <row r="617" spans="1:7" ht="15" customHeight="1" x14ac:dyDescent="0.15">
      <c r="A617" t="str">
        <f>IF(Transactions!J609="","",Transactions!J609)</f>
        <v/>
      </c>
      <c r="B617" s="297">
        <f ca="1">IF($A617="",TODAY(),Transactions!G609)</f>
        <v>46216</v>
      </c>
      <c r="C617" t="str">
        <f>IF($A617="","",Transactions!A609)</f>
        <v/>
      </c>
      <c r="D617" s="30">
        <f>IF($A617="",0,Transactions!H609)</f>
        <v>0</v>
      </c>
      <c r="E617">
        <f>IF($A617="",1,IFERROR(INDEX(Prices[FX to SGD],MATCH($A617,Prices[Key],0)),1))</f>
        <v>1</v>
      </c>
      <c r="F617" s="30">
        <f>IF($A617="",0,(Transactions!M609-Transactions!L609+IF(Transactions!A609=2,Transactions!H609,0))*$E617)</f>
        <v>0</v>
      </c>
      <c r="G617" s="30">
        <f>IF($A617="",0,IF(Transactions!A609=2,Transactions!H609*$E617,0))</f>
        <v>0</v>
      </c>
    </row>
    <row r="618" spans="1:7" ht="15" customHeight="1" x14ac:dyDescent="0.15">
      <c r="A618" t="str">
        <f>IF(Transactions!J610="","",Transactions!J610)</f>
        <v/>
      </c>
      <c r="B618" s="297">
        <f ca="1">IF($A618="",TODAY(),Transactions!G610)</f>
        <v>46216</v>
      </c>
      <c r="C618" t="str">
        <f>IF($A618="","",Transactions!A610)</f>
        <v/>
      </c>
      <c r="D618" s="30">
        <f>IF($A618="",0,Transactions!H610)</f>
        <v>0</v>
      </c>
      <c r="E618">
        <f>IF($A618="",1,IFERROR(INDEX(Prices[FX to SGD],MATCH($A618,Prices[Key],0)),1))</f>
        <v>1</v>
      </c>
      <c r="F618" s="30">
        <f>IF($A618="",0,(Transactions!M610-Transactions!L610+IF(Transactions!A610=2,Transactions!H610,0))*$E618)</f>
        <v>0</v>
      </c>
      <c r="G618" s="30">
        <f>IF($A618="",0,IF(Transactions!A610=2,Transactions!H610*$E618,0))</f>
        <v>0</v>
      </c>
    </row>
    <row r="619" spans="1:7" ht="15" customHeight="1" x14ac:dyDescent="0.15">
      <c r="A619" t="str">
        <f>IF(Transactions!J611="","",Transactions!J611)</f>
        <v/>
      </c>
      <c r="B619" s="297">
        <f ca="1">IF($A619="",TODAY(),Transactions!G611)</f>
        <v>46216</v>
      </c>
      <c r="C619" t="str">
        <f>IF($A619="","",Transactions!A611)</f>
        <v/>
      </c>
      <c r="D619" s="30">
        <f>IF($A619="",0,Transactions!H611)</f>
        <v>0</v>
      </c>
      <c r="E619">
        <f>IF($A619="",1,IFERROR(INDEX(Prices[FX to SGD],MATCH($A619,Prices[Key],0)),1))</f>
        <v>1</v>
      </c>
      <c r="F619" s="30">
        <f>IF($A619="",0,(Transactions!M611-Transactions!L611+IF(Transactions!A611=2,Transactions!H611,0))*$E619)</f>
        <v>0</v>
      </c>
      <c r="G619" s="30">
        <f>IF($A619="",0,IF(Transactions!A611=2,Transactions!H611*$E619,0))</f>
        <v>0</v>
      </c>
    </row>
    <row r="620" spans="1:7" ht="15" customHeight="1" x14ac:dyDescent="0.15">
      <c r="A620" t="str">
        <f>IF(Transactions!J612="","",Transactions!J612)</f>
        <v/>
      </c>
      <c r="B620" s="297">
        <f ca="1">IF($A620="",TODAY(),Transactions!G612)</f>
        <v>46216</v>
      </c>
      <c r="C620" t="str">
        <f>IF($A620="","",Transactions!A612)</f>
        <v/>
      </c>
      <c r="D620" s="30">
        <f>IF($A620="",0,Transactions!H612)</f>
        <v>0</v>
      </c>
      <c r="E620">
        <f>IF($A620="",1,IFERROR(INDEX(Prices[FX to SGD],MATCH($A620,Prices[Key],0)),1))</f>
        <v>1</v>
      </c>
      <c r="F620" s="30">
        <f>IF($A620="",0,(Transactions!M612-Transactions!L612+IF(Transactions!A612=2,Transactions!H612,0))*$E620)</f>
        <v>0</v>
      </c>
      <c r="G620" s="30">
        <f>IF($A620="",0,IF(Transactions!A612=2,Transactions!H612*$E620,0))</f>
        <v>0</v>
      </c>
    </row>
    <row r="621" spans="1:7" ht="15" customHeight="1" x14ac:dyDescent="0.15">
      <c r="A621" t="str">
        <f>IF(Transactions!J613="","",Transactions!J613)</f>
        <v/>
      </c>
      <c r="B621" s="297">
        <f ca="1">IF($A621="",TODAY(),Transactions!G613)</f>
        <v>46216</v>
      </c>
      <c r="C621" t="str">
        <f>IF($A621="","",Transactions!A613)</f>
        <v/>
      </c>
      <c r="D621" s="30">
        <f>IF($A621="",0,Transactions!H613)</f>
        <v>0</v>
      </c>
      <c r="E621">
        <f>IF($A621="",1,IFERROR(INDEX(Prices[FX to SGD],MATCH($A621,Prices[Key],0)),1))</f>
        <v>1</v>
      </c>
      <c r="F621" s="30">
        <f>IF($A621="",0,(Transactions!M613-Transactions!L613+IF(Transactions!A613=2,Transactions!H613,0))*$E621)</f>
        <v>0</v>
      </c>
      <c r="G621" s="30">
        <f>IF($A621="",0,IF(Transactions!A613=2,Transactions!H613*$E621,0))</f>
        <v>0</v>
      </c>
    </row>
    <row r="622" spans="1:7" ht="15" customHeight="1" x14ac:dyDescent="0.15">
      <c r="A622" t="str">
        <f>IF(Transactions!J614="","",Transactions!J614)</f>
        <v/>
      </c>
      <c r="B622" s="297">
        <f ca="1">IF($A622="",TODAY(),Transactions!G614)</f>
        <v>46216</v>
      </c>
      <c r="C622" t="str">
        <f>IF($A622="","",Transactions!A614)</f>
        <v/>
      </c>
      <c r="D622" s="30">
        <f>IF($A622="",0,Transactions!H614)</f>
        <v>0</v>
      </c>
      <c r="E622">
        <f>IF($A622="",1,IFERROR(INDEX(Prices[FX to SGD],MATCH($A622,Prices[Key],0)),1))</f>
        <v>1</v>
      </c>
      <c r="F622" s="30">
        <f>IF($A622="",0,(Transactions!M614-Transactions!L614+IF(Transactions!A614=2,Transactions!H614,0))*$E622)</f>
        <v>0</v>
      </c>
      <c r="G622" s="30">
        <f>IF($A622="",0,IF(Transactions!A614=2,Transactions!H614*$E622,0))</f>
        <v>0</v>
      </c>
    </row>
    <row r="623" spans="1:7" ht="15" customHeight="1" x14ac:dyDescent="0.15">
      <c r="A623" t="str">
        <f>IF(Transactions!J615="","",Transactions!J615)</f>
        <v/>
      </c>
      <c r="B623" s="297">
        <f ca="1">IF($A623="",TODAY(),Transactions!G615)</f>
        <v>46216</v>
      </c>
      <c r="C623" t="str">
        <f>IF($A623="","",Transactions!A615)</f>
        <v/>
      </c>
      <c r="D623" s="30">
        <f>IF($A623="",0,Transactions!H615)</f>
        <v>0</v>
      </c>
      <c r="E623">
        <f>IF($A623="",1,IFERROR(INDEX(Prices[FX to SGD],MATCH($A623,Prices[Key],0)),1))</f>
        <v>1</v>
      </c>
      <c r="F623" s="30">
        <f>IF($A623="",0,(Transactions!M615-Transactions!L615+IF(Transactions!A615=2,Transactions!H615,0))*$E623)</f>
        <v>0</v>
      </c>
      <c r="G623" s="30">
        <f>IF($A623="",0,IF(Transactions!A615=2,Transactions!H615*$E623,0))</f>
        <v>0</v>
      </c>
    </row>
    <row r="624" spans="1:7" ht="15" customHeight="1" x14ac:dyDescent="0.15">
      <c r="A624" t="str">
        <f>IF(Transactions!J616="","",Transactions!J616)</f>
        <v/>
      </c>
      <c r="B624" s="297">
        <f ca="1">IF($A624="",TODAY(),Transactions!G616)</f>
        <v>46216</v>
      </c>
      <c r="C624" t="str">
        <f>IF($A624="","",Transactions!A616)</f>
        <v/>
      </c>
      <c r="D624" s="30">
        <f>IF($A624="",0,Transactions!H616)</f>
        <v>0</v>
      </c>
      <c r="E624">
        <f>IF($A624="",1,IFERROR(INDEX(Prices[FX to SGD],MATCH($A624,Prices[Key],0)),1))</f>
        <v>1</v>
      </c>
      <c r="F624" s="30">
        <f>IF($A624="",0,(Transactions!M616-Transactions!L616+IF(Transactions!A616=2,Transactions!H616,0))*$E624)</f>
        <v>0</v>
      </c>
      <c r="G624" s="30">
        <f>IF($A624="",0,IF(Transactions!A616=2,Transactions!H616*$E624,0))</f>
        <v>0</v>
      </c>
    </row>
    <row r="625" spans="1:7" ht="15" customHeight="1" x14ac:dyDescent="0.15">
      <c r="A625" t="str">
        <f>IF(Transactions!J617="","",Transactions!J617)</f>
        <v/>
      </c>
      <c r="B625" s="297">
        <f ca="1">IF($A625="",TODAY(),Transactions!G617)</f>
        <v>46216</v>
      </c>
      <c r="C625" t="str">
        <f>IF($A625="","",Transactions!A617)</f>
        <v/>
      </c>
      <c r="D625" s="30">
        <f>IF($A625="",0,Transactions!H617)</f>
        <v>0</v>
      </c>
      <c r="E625">
        <f>IF($A625="",1,IFERROR(INDEX(Prices[FX to SGD],MATCH($A625,Prices[Key],0)),1))</f>
        <v>1</v>
      </c>
      <c r="F625" s="30">
        <f>IF($A625="",0,(Transactions!M617-Transactions!L617+IF(Transactions!A617=2,Transactions!H617,0))*$E625)</f>
        <v>0</v>
      </c>
      <c r="G625" s="30">
        <f>IF($A625="",0,IF(Transactions!A617=2,Transactions!H617*$E625,0))</f>
        <v>0</v>
      </c>
    </row>
    <row r="626" spans="1:7" ht="15" customHeight="1" x14ac:dyDescent="0.15">
      <c r="A626" t="str">
        <f>IF(Transactions!J618="","",Transactions!J618)</f>
        <v/>
      </c>
      <c r="B626" s="297">
        <f ca="1">IF($A626="",TODAY(),Transactions!G618)</f>
        <v>46216</v>
      </c>
      <c r="C626" t="str">
        <f>IF($A626="","",Transactions!A618)</f>
        <v/>
      </c>
      <c r="D626" s="30">
        <f>IF($A626="",0,Transactions!H618)</f>
        <v>0</v>
      </c>
      <c r="E626">
        <f>IF($A626="",1,IFERROR(INDEX(Prices[FX to SGD],MATCH($A626,Prices[Key],0)),1))</f>
        <v>1</v>
      </c>
      <c r="F626" s="30">
        <f>IF($A626="",0,(Transactions!M618-Transactions!L618+IF(Transactions!A618=2,Transactions!H618,0))*$E626)</f>
        <v>0</v>
      </c>
      <c r="G626" s="30">
        <f>IF($A626="",0,IF(Transactions!A618=2,Transactions!H618*$E626,0))</f>
        <v>0</v>
      </c>
    </row>
    <row r="627" spans="1:7" ht="15" customHeight="1" x14ac:dyDescent="0.15">
      <c r="A627" t="str">
        <f>IF(Transactions!J619="","",Transactions!J619)</f>
        <v/>
      </c>
      <c r="B627" s="297">
        <f ca="1">IF($A627="",TODAY(),Transactions!G619)</f>
        <v>46216</v>
      </c>
      <c r="C627" t="str">
        <f>IF($A627="","",Transactions!A619)</f>
        <v/>
      </c>
      <c r="D627" s="30">
        <f>IF($A627="",0,Transactions!H619)</f>
        <v>0</v>
      </c>
      <c r="E627">
        <f>IF($A627="",1,IFERROR(INDEX(Prices[FX to SGD],MATCH($A627,Prices[Key],0)),1))</f>
        <v>1</v>
      </c>
      <c r="F627" s="30">
        <f>IF($A627="",0,(Transactions!M619-Transactions!L619+IF(Transactions!A619=2,Transactions!H619,0))*$E627)</f>
        <v>0</v>
      </c>
      <c r="G627" s="30">
        <f>IF($A627="",0,IF(Transactions!A619=2,Transactions!H619*$E627,0))</f>
        <v>0</v>
      </c>
    </row>
    <row r="628" spans="1:7" ht="15" customHeight="1" x14ac:dyDescent="0.15">
      <c r="A628" t="str">
        <f>IF(Transactions!J620="","",Transactions!J620)</f>
        <v/>
      </c>
      <c r="B628" s="297">
        <f ca="1">IF($A628="",TODAY(),Transactions!G620)</f>
        <v>46216</v>
      </c>
      <c r="C628" t="str">
        <f>IF($A628="","",Transactions!A620)</f>
        <v/>
      </c>
      <c r="D628" s="30">
        <f>IF($A628="",0,Transactions!H620)</f>
        <v>0</v>
      </c>
      <c r="E628">
        <f>IF($A628="",1,IFERROR(INDEX(Prices[FX to SGD],MATCH($A628,Prices[Key],0)),1))</f>
        <v>1</v>
      </c>
      <c r="F628" s="30">
        <f>IF($A628="",0,(Transactions!M620-Transactions!L620+IF(Transactions!A620=2,Transactions!H620,0))*$E628)</f>
        <v>0</v>
      </c>
      <c r="G628" s="30">
        <f>IF($A628="",0,IF(Transactions!A620=2,Transactions!H620*$E628,0))</f>
        <v>0</v>
      </c>
    </row>
    <row r="629" spans="1:7" ht="15" customHeight="1" x14ac:dyDescent="0.15">
      <c r="A629" t="str">
        <f>IF(Transactions!J621="","",Transactions!J621)</f>
        <v/>
      </c>
      <c r="B629" s="297">
        <f ca="1">IF($A629="",TODAY(),Transactions!G621)</f>
        <v>46216</v>
      </c>
      <c r="C629" t="str">
        <f>IF($A629="","",Transactions!A621)</f>
        <v/>
      </c>
      <c r="D629" s="30">
        <f>IF($A629="",0,Transactions!H621)</f>
        <v>0</v>
      </c>
      <c r="E629">
        <f>IF($A629="",1,IFERROR(INDEX(Prices[FX to SGD],MATCH($A629,Prices[Key],0)),1))</f>
        <v>1</v>
      </c>
      <c r="F629" s="30">
        <f>IF($A629="",0,(Transactions!M621-Transactions!L621+IF(Transactions!A621=2,Transactions!H621,0))*$E629)</f>
        <v>0</v>
      </c>
      <c r="G629" s="30">
        <f>IF($A629="",0,IF(Transactions!A621=2,Transactions!H621*$E629,0))</f>
        <v>0</v>
      </c>
    </row>
    <row r="630" spans="1:7" ht="15" customHeight="1" x14ac:dyDescent="0.15">
      <c r="A630" t="str">
        <f>IF(Transactions!J622="","",Transactions!J622)</f>
        <v/>
      </c>
      <c r="B630" s="297">
        <f ca="1">IF($A630="",TODAY(),Transactions!G622)</f>
        <v>46216</v>
      </c>
      <c r="C630" t="str">
        <f>IF($A630="","",Transactions!A622)</f>
        <v/>
      </c>
      <c r="D630" s="30">
        <f>IF($A630="",0,Transactions!H622)</f>
        <v>0</v>
      </c>
      <c r="E630">
        <f>IF($A630="",1,IFERROR(INDEX(Prices[FX to SGD],MATCH($A630,Prices[Key],0)),1))</f>
        <v>1</v>
      </c>
      <c r="F630" s="30">
        <f>IF($A630="",0,(Transactions!M622-Transactions!L622+IF(Transactions!A622=2,Transactions!H622,0))*$E630)</f>
        <v>0</v>
      </c>
      <c r="G630" s="30">
        <f>IF($A630="",0,IF(Transactions!A622=2,Transactions!H622*$E630,0))</f>
        <v>0</v>
      </c>
    </row>
    <row r="631" spans="1:7" ht="15" customHeight="1" x14ac:dyDescent="0.15">
      <c r="A631" t="str">
        <f>IF(Transactions!J623="","",Transactions!J623)</f>
        <v/>
      </c>
      <c r="B631" s="297">
        <f ca="1">IF($A631="",TODAY(),Transactions!G623)</f>
        <v>46216</v>
      </c>
      <c r="C631" t="str">
        <f>IF($A631="","",Transactions!A623)</f>
        <v/>
      </c>
      <c r="D631" s="30">
        <f>IF($A631="",0,Transactions!H623)</f>
        <v>0</v>
      </c>
      <c r="E631">
        <f>IF($A631="",1,IFERROR(INDEX(Prices[FX to SGD],MATCH($A631,Prices[Key],0)),1))</f>
        <v>1</v>
      </c>
      <c r="F631" s="30">
        <f>IF($A631="",0,(Transactions!M623-Transactions!L623+IF(Transactions!A623=2,Transactions!H623,0))*$E631)</f>
        <v>0</v>
      </c>
      <c r="G631" s="30">
        <f>IF($A631="",0,IF(Transactions!A623=2,Transactions!H623*$E631,0))</f>
        <v>0</v>
      </c>
    </row>
    <row r="632" spans="1:7" ht="15" customHeight="1" x14ac:dyDescent="0.15">
      <c r="A632" t="str">
        <f>IF(Transactions!J624="","",Transactions!J624)</f>
        <v/>
      </c>
      <c r="B632" s="297">
        <f ca="1">IF($A632="",TODAY(),Transactions!G624)</f>
        <v>46216</v>
      </c>
      <c r="C632" t="str">
        <f>IF($A632="","",Transactions!A624)</f>
        <v/>
      </c>
      <c r="D632" s="30">
        <f>IF($A632="",0,Transactions!H624)</f>
        <v>0</v>
      </c>
      <c r="E632">
        <f>IF($A632="",1,IFERROR(INDEX(Prices[FX to SGD],MATCH($A632,Prices[Key],0)),1))</f>
        <v>1</v>
      </c>
      <c r="F632" s="30">
        <f>IF($A632="",0,(Transactions!M624-Transactions!L624+IF(Transactions!A624=2,Transactions!H624,0))*$E632)</f>
        <v>0</v>
      </c>
      <c r="G632" s="30">
        <f>IF($A632="",0,IF(Transactions!A624=2,Transactions!H624*$E632,0))</f>
        <v>0</v>
      </c>
    </row>
    <row r="633" spans="1:7" ht="15" customHeight="1" x14ac:dyDescent="0.15">
      <c r="A633" t="str">
        <f>IF(Transactions!J625="","",Transactions!J625)</f>
        <v/>
      </c>
      <c r="B633" s="297">
        <f ca="1">IF($A633="",TODAY(),Transactions!G625)</f>
        <v>46216</v>
      </c>
      <c r="C633" t="str">
        <f>IF($A633="","",Transactions!A625)</f>
        <v/>
      </c>
      <c r="D633" s="30">
        <f>IF($A633="",0,Transactions!H625)</f>
        <v>0</v>
      </c>
      <c r="E633">
        <f>IF($A633="",1,IFERROR(INDEX(Prices[FX to SGD],MATCH($A633,Prices[Key],0)),1))</f>
        <v>1</v>
      </c>
      <c r="F633" s="30">
        <f>IF($A633="",0,(Transactions!M625-Transactions!L625+IF(Transactions!A625=2,Transactions!H625,0))*$E633)</f>
        <v>0</v>
      </c>
      <c r="G633" s="30">
        <f>IF($A633="",0,IF(Transactions!A625=2,Transactions!H625*$E633,0))</f>
        <v>0</v>
      </c>
    </row>
    <row r="634" spans="1:7" ht="15" customHeight="1" x14ac:dyDescent="0.15">
      <c r="A634" t="str">
        <f>IF(Transactions!J626="","",Transactions!J626)</f>
        <v/>
      </c>
      <c r="B634" s="297">
        <f ca="1">IF($A634="",TODAY(),Transactions!G626)</f>
        <v>46216</v>
      </c>
      <c r="C634" t="str">
        <f>IF($A634="","",Transactions!A626)</f>
        <v/>
      </c>
      <c r="D634" s="30">
        <f>IF($A634="",0,Transactions!H626)</f>
        <v>0</v>
      </c>
      <c r="E634">
        <f>IF($A634="",1,IFERROR(INDEX(Prices[FX to SGD],MATCH($A634,Prices[Key],0)),1))</f>
        <v>1</v>
      </c>
      <c r="F634" s="30">
        <f>IF($A634="",0,(Transactions!M626-Transactions!L626+IF(Transactions!A626=2,Transactions!H626,0))*$E634)</f>
        <v>0</v>
      </c>
      <c r="G634" s="30">
        <f>IF($A634="",0,IF(Transactions!A626=2,Transactions!H626*$E634,0))</f>
        <v>0</v>
      </c>
    </row>
    <row r="635" spans="1:7" ht="15" customHeight="1" x14ac:dyDescent="0.15">
      <c r="A635" t="str">
        <f>IF(Transactions!J627="","",Transactions!J627)</f>
        <v/>
      </c>
      <c r="B635" s="297">
        <f ca="1">IF($A635="",TODAY(),Transactions!G627)</f>
        <v>46216</v>
      </c>
      <c r="C635" t="str">
        <f>IF($A635="","",Transactions!A627)</f>
        <v/>
      </c>
      <c r="D635" s="30">
        <f>IF($A635="",0,Transactions!H627)</f>
        <v>0</v>
      </c>
      <c r="E635">
        <f>IF($A635="",1,IFERROR(INDEX(Prices[FX to SGD],MATCH($A635,Prices[Key],0)),1))</f>
        <v>1</v>
      </c>
      <c r="F635" s="30">
        <f>IF($A635="",0,(Transactions!M627-Transactions!L627+IF(Transactions!A627=2,Transactions!H627,0))*$E635)</f>
        <v>0</v>
      </c>
      <c r="G635" s="30">
        <f>IF($A635="",0,IF(Transactions!A627=2,Transactions!H627*$E635,0))</f>
        <v>0</v>
      </c>
    </row>
    <row r="636" spans="1:7" ht="15" customHeight="1" x14ac:dyDescent="0.15">
      <c r="A636" t="str">
        <f>IF(Transactions!J628="","",Transactions!J628)</f>
        <v/>
      </c>
      <c r="B636" s="297">
        <f ca="1">IF($A636="",TODAY(),Transactions!G628)</f>
        <v>46216</v>
      </c>
      <c r="C636" t="str">
        <f>IF($A636="","",Transactions!A628)</f>
        <v/>
      </c>
      <c r="D636" s="30">
        <f>IF($A636="",0,Transactions!H628)</f>
        <v>0</v>
      </c>
      <c r="E636">
        <f>IF($A636="",1,IFERROR(INDEX(Prices[FX to SGD],MATCH($A636,Prices[Key],0)),1))</f>
        <v>1</v>
      </c>
      <c r="F636" s="30">
        <f>IF($A636="",0,(Transactions!M628-Transactions!L628+IF(Transactions!A628=2,Transactions!H628,0))*$E636)</f>
        <v>0</v>
      </c>
      <c r="G636" s="30">
        <f>IF($A636="",0,IF(Transactions!A628=2,Transactions!H628*$E636,0))</f>
        <v>0</v>
      </c>
    </row>
    <row r="637" spans="1:7" ht="15" customHeight="1" x14ac:dyDescent="0.15">
      <c r="A637" t="str">
        <f>IF(Transactions!J629="","",Transactions!J629)</f>
        <v/>
      </c>
      <c r="B637" s="297">
        <f ca="1">IF($A637="",TODAY(),Transactions!G629)</f>
        <v>46216</v>
      </c>
      <c r="C637" t="str">
        <f>IF($A637="","",Transactions!A629)</f>
        <v/>
      </c>
      <c r="D637" s="30">
        <f>IF($A637="",0,Transactions!H629)</f>
        <v>0</v>
      </c>
      <c r="E637">
        <f>IF($A637="",1,IFERROR(INDEX(Prices[FX to SGD],MATCH($A637,Prices[Key],0)),1))</f>
        <v>1</v>
      </c>
      <c r="F637" s="30">
        <f>IF($A637="",0,(Transactions!M629-Transactions!L629+IF(Transactions!A629=2,Transactions!H629,0))*$E637)</f>
        <v>0</v>
      </c>
      <c r="G637" s="30">
        <f>IF($A637="",0,IF(Transactions!A629=2,Transactions!H629*$E637,0))</f>
        <v>0</v>
      </c>
    </row>
    <row r="638" spans="1:7" ht="15" customHeight="1" x14ac:dyDescent="0.15">
      <c r="A638" t="str">
        <f>IF(Transactions!J630="","",Transactions!J630)</f>
        <v/>
      </c>
      <c r="B638" s="297">
        <f ca="1">IF($A638="",TODAY(),Transactions!G630)</f>
        <v>46216</v>
      </c>
      <c r="C638" t="str">
        <f>IF($A638="","",Transactions!A630)</f>
        <v/>
      </c>
      <c r="D638" s="30">
        <f>IF($A638="",0,Transactions!H630)</f>
        <v>0</v>
      </c>
      <c r="E638">
        <f>IF($A638="",1,IFERROR(INDEX(Prices[FX to SGD],MATCH($A638,Prices[Key],0)),1))</f>
        <v>1</v>
      </c>
      <c r="F638" s="30">
        <f>IF($A638="",0,(Transactions!M630-Transactions!L630+IF(Transactions!A630=2,Transactions!H630,0))*$E638)</f>
        <v>0</v>
      </c>
      <c r="G638" s="30">
        <f>IF($A638="",0,IF(Transactions!A630=2,Transactions!H630*$E638,0))</f>
        <v>0</v>
      </c>
    </row>
    <row r="639" spans="1:7" ht="15" customHeight="1" x14ac:dyDescent="0.15">
      <c r="A639" t="str">
        <f>IF(Transactions!J631="","",Transactions!J631)</f>
        <v/>
      </c>
      <c r="B639" s="297">
        <f ca="1">IF($A639="",TODAY(),Transactions!G631)</f>
        <v>46216</v>
      </c>
      <c r="C639" t="str">
        <f>IF($A639="","",Transactions!A631)</f>
        <v/>
      </c>
      <c r="D639" s="30">
        <f>IF($A639="",0,Transactions!H631)</f>
        <v>0</v>
      </c>
      <c r="E639">
        <f>IF($A639="",1,IFERROR(INDEX(Prices[FX to SGD],MATCH($A639,Prices[Key],0)),1))</f>
        <v>1</v>
      </c>
      <c r="F639" s="30">
        <f>IF($A639="",0,(Transactions!M631-Transactions!L631+IF(Transactions!A631=2,Transactions!H631,0))*$E639)</f>
        <v>0</v>
      </c>
      <c r="G639" s="30">
        <f>IF($A639="",0,IF(Transactions!A631=2,Transactions!H631*$E639,0))</f>
        <v>0</v>
      </c>
    </row>
    <row r="640" spans="1:7" ht="15" customHeight="1" x14ac:dyDescent="0.15">
      <c r="A640" t="str">
        <f>IF(Transactions!J632="","",Transactions!J632)</f>
        <v/>
      </c>
      <c r="B640" s="297">
        <f ca="1">IF($A640="",TODAY(),Transactions!G632)</f>
        <v>46216</v>
      </c>
      <c r="C640" t="str">
        <f>IF($A640="","",Transactions!A632)</f>
        <v/>
      </c>
      <c r="D640" s="30">
        <f>IF($A640="",0,Transactions!H632)</f>
        <v>0</v>
      </c>
      <c r="E640">
        <f>IF($A640="",1,IFERROR(INDEX(Prices[FX to SGD],MATCH($A640,Prices[Key],0)),1))</f>
        <v>1</v>
      </c>
      <c r="F640" s="30">
        <f>IF($A640="",0,(Transactions!M632-Transactions!L632+IF(Transactions!A632=2,Transactions!H632,0))*$E640)</f>
        <v>0</v>
      </c>
      <c r="G640" s="30">
        <f>IF($A640="",0,IF(Transactions!A632=2,Transactions!H632*$E640,0))</f>
        <v>0</v>
      </c>
    </row>
    <row r="641" spans="1:7" ht="15" customHeight="1" x14ac:dyDescent="0.15">
      <c r="A641" t="str">
        <f>IF(Transactions!J633="","",Transactions!J633)</f>
        <v/>
      </c>
      <c r="B641" s="297">
        <f ca="1">IF($A641="",TODAY(),Transactions!G633)</f>
        <v>46216</v>
      </c>
      <c r="C641" t="str">
        <f>IF($A641="","",Transactions!A633)</f>
        <v/>
      </c>
      <c r="D641" s="30">
        <f>IF($A641="",0,Transactions!H633)</f>
        <v>0</v>
      </c>
      <c r="E641">
        <f>IF($A641="",1,IFERROR(INDEX(Prices[FX to SGD],MATCH($A641,Prices[Key],0)),1))</f>
        <v>1</v>
      </c>
      <c r="F641" s="30">
        <f>IF($A641="",0,(Transactions!M633-Transactions!L633+IF(Transactions!A633=2,Transactions!H633,0))*$E641)</f>
        <v>0</v>
      </c>
      <c r="G641" s="30">
        <f>IF($A641="",0,IF(Transactions!A633=2,Transactions!H633*$E641,0))</f>
        <v>0</v>
      </c>
    </row>
    <row r="642" spans="1:7" ht="15" customHeight="1" x14ac:dyDescent="0.15">
      <c r="A642" t="str">
        <f>IF(Transactions!J634="","",Transactions!J634)</f>
        <v/>
      </c>
      <c r="B642" s="297">
        <f ca="1">IF($A642="",TODAY(),Transactions!G634)</f>
        <v>46216</v>
      </c>
      <c r="C642" t="str">
        <f>IF($A642="","",Transactions!A634)</f>
        <v/>
      </c>
      <c r="D642" s="30">
        <f>IF($A642="",0,Transactions!H634)</f>
        <v>0</v>
      </c>
      <c r="E642">
        <f>IF($A642="",1,IFERROR(INDEX(Prices[FX to SGD],MATCH($A642,Prices[Key],0)),1))</f>
        <v>1</v>
      </c>
      <c r="F642" s="30">
        <f>IF($A642="",0,(Transactions!M634-Transactions!L634+IF(Transactions!A634=2,Transactions!H634,0))*$E642)</f>
        <v>0</v>
      </c>
      <c r="G642" s="30">
        <f>IF($A642="",0,IF(Transactions!A634=2,Transactions!H634*$E642,0))</f>
        <v>0</v>
      </c>
    </row>
    <row r="643" spans="1:7" ht="15" customHeight="1" x14ac:dyDescent="0.15">
      <c r="A643" t="str">
        <f>IF(Transactions!J635="","",Transactions!J635)</f>
        <v/>
      </c>
      <c r="B643" s="297">
        <f ca="1">IF($A643="",TODAY(),Transactions!G635)</f>
        <v>46216</v>
      </c>
      <c r="C643" t="str">
        <f>IF($A643="","",Transactions!A635)</f>
        <v/>
      </c>
      <c r="D643" s="30">
        <f>IF($A643="",0,Transactions!H635)</f>
        <v>0</v>
      </c>
      <c r="E643">
        <f>IF($A643="",1,IFERROR(INDEX(Prices[FX to SGD],MATCH($A643,Prices[Key],0)),1))</f>
        <v>1</v>
      </c>
      <c r="F643" s="30">
        <f>IF($A643="",0,(Transactions!M635-Transactions!L635+IF(Transactions!A635=2,Transactions!H635,0))*$E643)</f>
        <v>0</v>
      </c>
      <c r="G643" s="30">
        <f>IF($A643="",0,IF(Transactions!A635=2,Transactions!H635*$E643,0))</f>
        <v>0</v>
      </c>
    </row>
    <row r="644" spans="1:7" ht="15" customHeight="1" x14ac:dyDescent="0.15">
      <c r="A644" t="str">
        <f>IF(Transactions!J636="","",Transactions!J636)</f>
        <v/>
      </c>
      <c r="B644" s="297">
        <f ca="1">IF($A644="",TODAY(),Transactions!G636)</f>
        <v>46216</v>
      </c>
      <c r="C644" t="str">
        <f>IF($A644="","",Transactions!A636)</f>
        <v/>
      </c>
      <c r="D644" s="30">
        <f>IF($A644="",0,Transactions!H636)</f>
        <v>0</v>
      </c>
      <c r="E644">
        <f>IF($A644="",1,IFERROR(INDEX(Prices[FX to SGD],MATCH($A644,Prices[Key],0)),1))</f>
        <v>1</v>
      </c>
      <c r="F644" s="30">
        <f>IF($A644="",0,(Transactions!M636-Transactions!L636+IF(Transactions!A636=2,Transactions!H636,0))*$E644)</f>
        <v>0</v>
      </c>
      <c r="G644" s="30">
        <f>IF($A644="",0,IF(Transactions!A636=2,Transactions!H636*$E644,0))</f>
        <v>0</v>
      </c>
    </row>
    <row r="645" spans="1:7" ht="15" customHeight="1" x14ac:dyDescent="0.15">
      <c r="A645" t="str">
        <f>IF(Transactions!J637="","",Transactions!J637)</f>
        <v/>
      </c>
      <c r="B645" s="297">
        <f ca="1">IF($A645="",TODAY(),Transactions!G637)</f>
        <v>46216</v>
      </c>
      <c r="C645" t="str">
        <f>IF($A645="","",Transactions!A637)</f>
        <v/>
      </c>
      <c r="D645" s="30">
        <f>IF($A645="",0,Transactions!H637)</f>
        <v>0</v>
      </c>
      <c r="E645">
        <f>IF($A645="",1,IFERROR(INDEX(Prices[FX to SGD],MATCH($A645,Prices[Key],0)),1))</f>
        <v>1</v>
      </c>
      <c r="F645" s="30">
        <f>IF($A645="",0,(Transactions!M637-Transactions!L637+IF(Transactions!A637=2,Transactions!H637,0))*$E645)</f>
        <v>0</v>
      </c>
      <c r="G645" s="30">
        <f>IF($A645="",0,IF(Transactions!A637=2,Transactions!H637*$E645,0))</f>
        <v>0</v>
      </c>
    </row>
    <row r="646" spans="1:7" ht="15" customHeight="1" x14ac:dyDescent="0.15">
      <c r="A646" t="str">
        <f>IF(Transactions!J638="","",Transactions!J638)</f>
        <v/>
      </c>
      <c r="B646" s="297">
        <f ca="1">IF($A646="",TODAY(),Transactions!G638)</f>
        <v>46216</v>
      </c>
      <c r="C646" t="str">
        <f>IF($A646="","",Transactions!A638)</f>
        <v/>
      </c>
      <c r="D646" s="30">
        <f>IF($A646="",0,Transactions!H638)</f>
        <v>0</v>
      </c>
      <c r="E646">
        <f>IF($A646="",1,IFERROR(INDEX(Prices[FX to SGD],MATCH($A646,Prices[Key],0)),1))</f>
        <v>1</v>
      </c>
      <c r="F646" s="30">
        <f>IF($A646="",0,(Transactions!M638-Transactions!L638+IF(Transactions!A638=2,Transactions!H638,0))*$E646)</f>
        <v>0</v>
      </c>
      <c r="G646" s="30">
        <f>IF($A646="",0,IF(Transactions!A638=2,Transactions!H638*$E646,0))</f>
        <v>0</v>
      </c>
    </row>
    <row r="647" spans="1:7" ht="15" customHeight="1" x14ac:dyDescent="0.15">
      <c r="A647" t="str">
        <f>IF(Transactions!J639="","",Transactions!J639)</f>
        <v/>
      </c>
      <c r="B647" s="297">
        <f ca="1">IF($A647="",TODAY(),Transactions!G639)</f>
        <v>46216</v>
      </c>
      <c r="C647" t="str">
        <f>IF($A647="","",Transactions!A639)</f>
        <v/>
      </c>
      <c r="D647" s="30">
        <f>IF($A647="",0,Transactions!H639)</f>
        <v>0</v>
      </c>
      <c r="E647">
        <f>IF($A647="",1,IFERROR(INDEX(Prices[FX to SGD],MATCH($A647,Prices[Key],0)),1))</f>
        <v>1</v>
      </c>
      <c r="F647" s="30">
        <f>IF($A647="",0,(Transactions!M639-Transactions!L639+IF(Transactions!A639=2,Transactions!H639,0))*$E647)</f>
        <v>0</v>
      </c>
      <c r="G647" s="30">
        <f>IF($A647="",0,IF(Transactions!A639=2,Transactions!H639*$E647,0))</f>
        <v>0</v>
      </c>
    </row>
    <row r="648" spans="1:7" ht="15" customHeight="1" x14ac:dyDescent="0.15">
      <c r="A648" t="str">
        <f>IF(Transactions!J640="","",Transactions!J640)</f>
        <v/>
      </c>
      <c r="B648" s="297">
        <f ca="1">IF($A648="",TODAY(),Transactions!G640)</f>
        <v>46216</v>
      </c>
      <c r="C648" t="str">
        <f>IF($A648="","",Transactions!A640)</f>
        <v/>
      </c>
      <c r="D648" s="30">
        <f>IF($A648="",0,Transactions!H640)</f>
        <v>0</v>
      </c>
      <c r="E648">
        <f>IF($A648="",1,IFERROR(INDEX(Prices[FX to SGD],MATCH($A648,Prices[Key],0)),1))</f>
        <v>1</v>
      </c>
      <c r="F648" s="30">
        <f>IF($A648="",0,(Transactions!M640-Transactions!L640+IF(Transactions!A640=2,Transactions!H640,0))*$E648)</f>
        <v>0</v>
      </c>
      <c r="G648" s="30">
        <f>IF($A648="",0,IF(Transactions!A640=2,Transactions!H640*$E648,0))</f>
        <v>0</v>
      </c>
    </row>
    <row r="649" spans="1:7" ht="15" customHeight="1" x14ac:dyDescent="0.15">
      <c r="A649" t="str">
        <f>IF(Transactions!J641="","",Transactions!J641)</f>
        <v/>
      </c>
      <c r="B649" s="297">
        <f ca="1">IF($A649="",TODAY(),Transactions!G641)</f>
        <v>46216</v>
      </c>
      <c r="C649" t="str">
        <f>IF($A649="","",Transactions!A641)</f>
        <v/>
      </c>
      <c r="D649" s="30">
        <f>IF($A649="",0,Transactions!H641)</f>
        <v>0</v>
      </c>
      <c r="E649">
        <f>IF($A649="",1,IFERROR(INDEX(Prices[FX to SGD],MATCH($A649,Prices[Key],0)),1))</f>
        <v>1</v>
      </c>
      <c r="F649" s="30">
        <f>IF($A649="",0,(Transactions!M641-Transactions!L641+IF(Transactions!A641=2,Transactions!H641,0))*$E649)</f>
        <v>0</v>
      </c>
      <c r="G649" s="30">
        <f>IF($A649="",0,IF(Transactions!A641=2,Transactions!H641*$E649,0))</f>
        <v>0</v>
      </c>
    </row>
    <row r="650" spans="1:7" ht="15" customHeight="1" x14ac:dyDescent="0.15">
      <c r="A650" t="str">
        <f>IF(Transactions!J642="","",Transactions!J642)</f>
        <v/>
      </c>
      <c r="B650" s="297">
        <f ca="1">IF($A650="",TODAY(),Transactions!G642)</f>
        <v>46216</v>
      </c>
      <c r="C650" t="str">
        <f>IF($A650="","",Transactions!A642)</f>
        <v/>
      </c>
      <c r="D650" s="30">
        <f>IF($A650="",0,Transactions!H642)</f>
        <v>0</v>
      </c>
      <c r="E650">
        <f>IF($A650="",1,IFERROR(INDEX(Prices[FX to SGD],MATCH($A650,Prices[Key],0)),1))</f>
        <v>1</v>
      </c>
      <c r="F650" s="30">
        <f>IF($A650="",0,(Transactions!M642-Transactions!L642+IF(Transactions!A642=2,Transactions!H642,0))*$E650)</f>
        <v>0</v>
      </c>
      <c r="G650" s="30">
        <f>IF($A650="",0,IF(Transactions!A642=2,Transactions!H642*$E650,0))</f>
        <v>0</v>
      </c>
    </row>
    <row r="651" spans="1:7" ht="15" customHeight="1" x14ac:dyDescent="0.15">
      <c r="A651" t="str">
        <f>IF(Transactions!J643="","",Transactions!J643)</f>
        <v/>
      </c>
      <c r="B651" s="297">
        <f ca="1">IF($A651="",TODAY(),Transactions!G643)</f>
        <v>46216</v>
      </c>
      <c r="C651" t="str">
        <f>IF($A651="","",Transactions!A643)</f>
        <v/>
      </c>
      <c r="D651" s="30">
        <f>IF($A651="",0,Transactions!H643)</f>
        <v>0</v>
      </c>
      <c r="E651">
        <f>IF($A651="",1,IFERROR(INDEX(Prices[FX to SGD],MATCH($A651,Prices[Key],0)),1))</f>
        <v>1</v>
      </c>
      <c r="F651" s="30">
        <f>IF($A651="",0,(Transactions!M643-Transactions!L643+IF(Transactions!A643=2,Transactions!H643,0))*$E651)</f>
        <v>0</v>
      </c>
      <c r="G651" s="30">
        <f>IF($A651="",0,IF(Transactions!A643=2,Transactions!H643*$E651,0))</f>
        <v>0</v>
      </c>
    </row>
    <row r="652" spans="1:7" ht="15" customHeight="1" x14ac:dyDescent="0.15">
      <c r="A652" t="str">
        <f>IF(Transactions!J644="","",Transactions!J644)</f>
        <v/>
      </c>
      <c r="B652" s="297">
        <f ca="1">IF($A652="",TODAY(),Transactions!G644)</f>
        <v>46216</v>
      </c>
      <c r="C652" t="str">
        <f>IF($A652="","",Transactions!A644)</f>
        <v/>
      </c>
      <c r="D652" s="30">
        <f>IF($A652="",0,Transactions!H644)</f>
        <v>0</v>
      </c>
      <c r="E652">
        <f>IF($A652="",1,IFERROR(INDEX(Prices[FX to SGD],MATCH($A652,Prices[Key],0)),1))</f>
        <v>1</v>
      </c>
      <c r="F652" s="30">
        <f>IF($A652="",0,(Transactions!M644-Transactions!L644+IF(Transactions!A644=2,Transactions!H644,0))*$E652)</f>
        <v>0</v>
      </c>
      <c r="G652" s="30">
        <f>IF($A652="",0,IF(Transactions!A644=2,Transactions!H644*$E652,0))</f>
        <v>0</v>
      </c>
    </row>
    <row r="653" spans="1:7" ht="15" customHeight="1" x14ac:dyDescent="0.15">
      <c r="A653" t="str">
        <f>IF(Transactions!J645="","",Transactions!J645)</f>
        <v/>
      </c>
      <c r="B653" s="297">
        <f ca="1">IF($A653="",TODAY(),Transactions!G645)</f>
        <v>46216</v>
      </c>
      <c r="C653" t="str">
        <f>IF($A653="","",Transactions!A645)</f>
        <v/>
      </c>
      <c r="D653" s="30">
        <f>IF($A653="",0,Transactions!H645)</f>
        <v>0</v>
      </c>
      <c r="E653">
        <f>IF($A653="",1,IFERROR(INDEX(Prices[FX to SGD],MATCH($A653,Prices[Key],0)),1))</f>
        <v>1</v>
      </c>
      <c r="F653" s="30">
        <f>IF($A653="",0,(Transactions!M645-Transactions!L645+IF(Transactions!A645=2,Transactions!H645,0))*$E653)</f>
        <v>0</v>
      </c>
      <c r="G653" s="30">
        <f>IF($A653="",0,IF(Transactions!A645=2,Transactions!H645*$E653,0))</f>
        <v>0</v>
      </c>
    </row>
    <row r="654" spans="1:7" ht="15" customHeight="1" x14ac:dyDescent="0.15">
      <c r="A654" t="str">
        <f>IF(Transactions!J646="","",Transactions!J646)</f>
        <v/>
      </c>
      <c r="B654" s="297">
        <f ca="1">IF($A654="",TODAY(),Transactions!G646)</f>
        <v>46216</v>
      </c>
      <c r="C654" t="str">
        <f>IF($A654="","",Transactions!A646)</f>
        <v/>
      </c>
      <c r="D654" s="30">
        <f>IF($A654="",0,Transactions!H646)</f>
        <v>0</v>
      </c>
      <c r="E654">
        <f>IF($A654="",1,IFERROR(INDEX(Prices[FX to SGD],MATCH($A654,Prices[Key],0)),1))</f>
        <v>1</v>
      </c>
      <c r="F654" s="30">
        <f>IF($A654="",0,(Transactions!M646-Transactions!L646+IF(Transactions!A646=2,Transactions!H646,0))*$E654)</f>
        <v>0</v>
      </c>
      <c r="G654" s="30">
        <f>IF($A654="",0,IF(Transactions!A646=2,Transactions!H646*$E654,0))</f>
        <v>0</v>
      </c>
    </row>
    <row r="655" spans="1:7" ht="15" customHeight="1" x14ac:dyDescent="0.15">
      <c r="A655" t="str">
        <f>IF(Transactions!J647="","",Transactions!J647)</f>
        <v/>
      </c>
      <c r="B655" s="297">
        <f ca="1">IF($A655="",TODAY(),Transactions!G647)</f>
        <v>46216</v>
      </c>
      <c r="C655" t="str">
        <f>IF($A655="","",Transactions!A647)</f>
        <v/>
      </c>
      <c r="D655" s="30">
        <f>IF($A655="",0,Transactions!H647)</f>
        <v>0</v>
      </c>
      <c r="E655">
        <f>IF($A655="",1,IFERROR(INDEX(Prices[FX to SGD],MATCH($A655,Prices[Key],0)),1))</f>
        <v>1</v>
      </c>
      <c r="F655" s="30">
        <f>IF($A655="",0,(Transactions!M647-Transactions!L647+IF(Transactions!A647=2,Transactions!H647,0))*$E655)</f>
        <v>0</v>
      </c>
      <c r="G655" s="30">
        <f>IF($A655="",0,IF(Transactions!A647=2,Transactions!H647*$E655,0))</f>
        <v>0</v>
      </c>
    </row>
    <row r="656" spans="1:7" ht="15" customHeight="1" x14ac:dyDescent="0.15">
      <c r="A656" t="str">
        <f>IF(Transactions!J648="","",Transactions!J648)</f>
        <v/>
      </c>
      <c r="B656" s="297">
        <f ca="1">IF($A656="",TODAY(),Transactions!G648)</f>
        <v>46216</v>
      </c>
      <c r="C656" t="str">
        <f>IF($A656="","",Transactions!A648)</f>
        <v/>
      </c>
      <c r="D656" s="30">
        <f>IF($A656="",0,Transactions!H648)</f>
        <v>0</v>
      </c>
      <c r="E656">
        <f>IF($A656="",1,IFERROR(INDEX(Prices[FX to SGD],MATCH($A656,Prices[Key],0)),1))</f>
        <v>1</v>
      </c>
      <c r="F656" s="30">
        <f>IF($A656="",0,(Transactions!M648-Transactions!L648+IF(Transactions!A648=2,Transactions!H648,0))*$E656)</f>
        <v>0</v>
      </c>
      <c r="G656" s="30">
        <f>IF($A656="",0,IF(Transactions!A648=2,Transactions!H648*$E656,0))</f>
        <v>0</v>
      </c>
    </row>
    <row r="657" spans="1:7" ht="15" customHeight="1" x14ac:dyDescent="0.15">
      <c r="A657" t="str">
        <f>IF(Transactions!J649="","",Transactions!J649)</f>
        <v/>
      </c>
      <c r="B657" s="297">
        <f ca="1">IF($A657="",TODAY(),Transactions!G649)</f>
        <v>46216</v>
      </c>
      <c r="C657" t="str">
        <f>IF($A657="","",Transactions!A649)</f>
        <v/>
      </c>
      <c r="D657" s="30">
        <f>IF($A657="",0,Transactions!H649)</f>
        <v>0</v>
      </c>
      <c r="E657">
        <f>IF($A657="",1,IFERROR(INDEX(Prices[FX to SGD],MATCH($A657,Prices[Key],0)),1))</f>
        <v>1</v>
      </c>
      <c r="F657" s="30">
        <f>IF($A657="",0,(Transactions!M649-Transactions!L649+IF(Transactions!A649=2,Transactions!H649,0))*$E657)</f>
        <v>0</v>
      </c>
      <c r="G657" s="30">
        <f>IF($A657="",0,IF(Transactions!A649=2,Transactions!H649*$E657,0))</f>
        <v>0</v>
      </c>
    </row>
    <row r="658" spans="1:7" ht="15" customHeight="1" x14ac:dyDescent="0.15">
      <c r="A658" t="str">
        <f>IF(Transactions!J650="","",Transactions!J650)</f>
        <v/>
      </c>
      <c r="B658" s="297">
        <f ca="1">IF($A658="",TODAY(),Transactions!G650)</f>
        <v>46216</v>
      </c>
      <c r="C658" t="str">
        <f>IF($A658="","",Transactions!A650)</f>
        <v/>
      </c>
      <c r="D658" s="30">
        <f>IF($A658="",0,Transactions!H650)</f>
        <v>0</v>
      </c>
      <c r="E658">
        <f>IF($A658="",1,IFERROR(INDEX(Prices[FX to SGD],MATCH($A658,Prices[Key],0)),1))</f>
        <v>1</v>
      </c>
      <c r="F658" s="30">
        <f>IF($A658="",0,(Transactions!M650-Transactions!L650+IF(Transactions!A650=2,Transactions!H650,0))*$E658)</f>
        <v>0</v>
      </c>
      <c r="G658" s="30">
        <f>IF($A658="",0,IF(Transactions!A650=2,Transactions!H650*$E658,0))</f>
        <v>0</v>
      </c>
    </row>
    <row r="659" spans="1:7" ht="15" customHeight="1" x14ac:dyDescent="0.15">
      <c r="A659" t="str">
        <f>IF(Transactions!J651="","",Transactions!J651)</f>
        <v/>
      </c>
      <c r="B659" s="297">
        <f ca="1">IF($A659="",TODAY(),Transactions!G651)</f>
        <v>46216</v>
      </c>
      <c r="C659" t="str">
        <f>IF($A659="","",Transactions!A651)</f>
        <v/>
      </c>
      <c r="D659" s="30">
        <f>IF($A659="",0,Transactions!H651)</f>
        <v>0</v>
      </c>
      <c r="E659">
        <f>IF($A659="",1,IFERROR(INDEX(Prices[FX to SGD],MATCH($A659,Prices[Key],0)),1))</f>
        <v>1</v>
      </c>
      <c r="F659" s="30">
        <f>IF($A659="",0,(Transactions!M651-Transactions!L651+IF(Transactions!A651=2,Transactions!H651,0))*$E659)</f>
        <v>0</v>
      </c>
      <c r="G659" s="30">
        <f>IF($A659="",0,IF(Transactions!A651=2,Transactions!H651*$E659,0))</f>
        <v>0</v>
      </c>
    </row>
    <row r="660" spans="1:7" ht="15" customHeight="1" x14ac:dyDescent="0.15">
      <c r="A660" t="str">
        <f>IF(Transactions!J652="","",Transactions!J652)</f>
        <v/>
      </c>
      <c r="B660" s="297">
        <f ca="1">IF($A660="",TODAY(),Transactions!G652)</f>
        <v>46216</v>
      </c>
      <c r="C660" t="str">
        <f>IF($A660="","",Transactions!A652)</f>
        <v/>
      </c>
      <c r="D660" s="30">
        <f>IF($A660="",0,Transactions!H652)</f>
        <v>0</v>
      </c>
      <c r="E660">
        <f>IF($A660="",1,IFERROR(INDEX(Prices[FX to SGD],MATCH($A660,Prices[Key],0)),1))</f>
        <v>1</v>
      </c>
      <c r="F660" s="30">
        <f>IF($A660="",0,(Transactions!M652-Transactions!L652+IF(Transactions!A652=2,Transactions!H652,0))*$E660)</f>
        <v>0</v>
      </c>
      <c r="G660" s="30">
        <f>IF($A660="",0,IF(Transactions!A652=2,Transactions!H652*$E660,0))</f>
        <v>0</v>
      </c>
    </row>
    <row r="661" spans="1:7" ht="15" customHeight="1" x14ac:dyDescent="0.15">
      <c r="A661" t="str">
        <f>IF(Transactions!J653="","",Transactions!J653)</f>
        <v/>
      </c>
      <c r="B661" s="297">
        <f ca="1">IF($A661="",TODAY(),Transactions!G653)</f>
        <v>46216</v>
      </c>
      <c r="C661" t="str">
        <f>IF($A661="","",Transactions!A653)</f>
        <v/>
      </c>
      <c r="D661" s="30">
        <f>IF($A661="",0,Transactions!H653)</f>
        <v>0</v>
      </c>
      <c r="E661">
        <f>IF($A661="",1,IFERROR(INDEX(Prices[FX to SGD],MATCH($A661,Prices[Key],0)),1))</f>
        <v>1</v>
      </c>
      <c r="F661" s="30">
        <f>IF($A661="",0,(Transactions!M653-Transactions!L653+IF(Transactions!A653=2,Transactions!H653,0))*$E661)</f>
        <v>0</v>
      </c>
      <c r="G661" s="30">
        <f>IF($A661="",0,IF(Transactions!A653=2,Transactions!H653*$E661,0))</f>
        <v>0</v>
      </c>
    </row>
    <row r="662" spans="1:7" ht="15" customHeight="1" x14ac:dyDescent="0.15">
      <c r="A662" t="str">
        <f>IF(Transactions!J654="","",Transactions!J654)</f>
        <v/>
      </c>
      <c r="B662" s="297">
        <f ca="1">IF($A662="",TODAY(),Transactions!G654)</f>
        <v>46216</v>
      </c>
      <c r="C662" t="str">
        <f>IF($A662="","",Transactions!A654)</f>
        <v/>
      </c>
      <c r="D662" s="30">
        <f>IF($A662="",0,Transactions!H654)</f>
        <v>0</v>
      </c>
      <c r="E662">
        <f>IF($A662="",1,IFERROR(INDEX(Prices[FX to SGD],MATCH($A662,Prices[Key],0)),1))</f>
        <v>1</v>
      </c>
      <c r="F662" s="30">
        <f>IF($A662="",0,(Transactions!M654-Transactions!L654+IF(Transactions!A654=2,Transactions!H654,0))*$E662)</f>
        <v>0</v>
      </c>
      <c r="G662" s="30">
        <f>IF($A662="",0,IF(Transactions!A654=2,Transactions!H654*$E662,0))</f>
        <v>0</v>
      </c>
    </row>
    <row r="663" spans="1:7" ht="15" customHeight="1" x14ac:dyDescent="0.15">
      <c r="A663" t="str">
        <f>IF(Transactions!J655="","",Transactions!J655)</f>
        <v/>
      </c>
      <c r="B663" s="297">
        <f ca="1">IF($A663="",TODAY(),Transactions!G655)</f>
        <v>46216</v>
      </c>
      <c r="C663" t="str">
        <f>IF($A663="","",Transactions!A655)</f>
        <v/>
      </c>
      <c r="D663" s="30">
        <f>IF($A663="",0,Transactions!H655)</f>
        <v>0</v>
      </c>
      <c r="E663">
        <f>IF($A663="",1,IFERROR(INDEX(Prices[FX to SGD],MATCH($A663,Prices[Key],0)),1))</f>
        <v>1</v>
      </c>
      <c r="F663" s="30">
        <f>IF($A663="",0,(Transactions!M655-Transactions!L655+IF(Transactions!A655=2,Transactions!H655,0))*$E663)</f>
        <v>0</v>
      </c>
      <c r="G663" s="30">
        <f>IF($A663="",0,IF(Transactions!A655=2,Transactions!H655*$E663,0))</f>
        <v>0</v>
      </c>
    </row>
    <row r="664" spans="1:7" ht="15" customHeight="1" x14ac:dyDescent="0.15">
      <c r="A664" t="str">
        <f>IF(Transactions!J656="","",Transactions!J656)</f>
        <v/>
      </c>
      <c r="B664" s="297">
        <f ca="1">IF($A664="",TODAY(),Transactions!G656)</f>
        <v>46216</v>
      </c>
      <c r="C664" t="str">
        <f>IF($A664="","",Transactions!A656)</f>
        <v/>
      </c>
      <c r="D664" s="30">
        <f>IF($A664="",0,Transactions!H656)</f>
        <v>0</v>
      </c>
      <c r="E664">
        <f>IF($A664="",1,IFERROR(INDEX(Prices[FX to SGD],MATCH($A664,Prices[Key],0)),1))</f>
        <v>1</v>
      </c>
      <c r="F664" s="30">
        <f>IF($A664="",0,(Transactions!M656-Transactions!L656+IF(Transactions!A656=2,Transactions!H656,0))*$E664)</f>
        <v>0</v>
      </c>
      <c r="G664" s="30">
        <f>IF($A664="",0,IF(Transactions!A656=2,Transactions!H656*$E664,0))</f>
        <v>0</v>
      </c>
    </row>
    <row r="665" spans="1:7" ht="15" customHeight="1" x14ac:dyDescent="0.15">
      <c r="A665" t="str">
        <f>IF(Transactions!J657="","",Transactions!J657)</f>
        <v/>
      </c>
      <c r="B665" s="297">
        <f ca="1">IF($A665="",TODAY(),Transactions!G657)</f>
        <v>46216</v>
      </c>
      <c r="C665" t="str">
        <f>IF($A665="","",Transactions!A657)</f>
        <v/>
      </c>
      <c r="D665" s="30">
        <f>IF($A665="",0,Transactions!H657)</f>
        <v>0</v>
      </c>
      <c r="E665">
        <f>IF($A665="",1,IFERROR(INDEX(Prices[FX to SGD],MATCH($A665,Prices[Key],0)),1))</f>
        <v>1</v>
      </c>
      <c r="F665" s="30">
        <f>IF($A665="",0,(Transactions!M657-Transactions!L657+IF(Transactions!A657=2,Transactions!H657,0))*$E665)</f>
        <v>0</v>
      </c>
      <c r="G665" s="30">
        <f>IF($A665="",0,IF(Transactions!A657=2,Transactions!H657*$E665,0))</f>
        <v>0</v>
      </c>
    </row>
    <row r="666" spans="1:7" ht="15" customHeight="1" x14ac:dyDescent="0.15">
      <c r="A666" t="str">
        <f>IF(Transactions!J658="","",Transactions!J658)</f>
        <v/>
      </c>
      <c r="B666" s="297">
        <f ca="1">IF($A666="",TODAY(),Transactions!G658)</f>
        <v>46216</v>
      </c>
      <c r="C666" t="str">
        <f>IF($A666="","",Transactions!A658)</f>
        <v/>
      </c>
      <c r="D666" s="30">
        <f>IF($A666="",0,Transactions!H658)</f>
        <v>0</v>
      </c>
      <c r="E666">
        <f>IF($A666="",1,IFERROR(INDEX(Prices[FX to SGD],MATCH($A666,Prices[Key],0)),1))</f>
        <v>1</v>
      </c>
      <c r="F666" s="30">
        <f>IF($A666="",0,(Transactions!M658-Transactions!L658+IF(Transactions!A658=2,Transactions!H658,0))*$E666)</f>
        <v>0</v>
      </c>
      <c r="G666" s="30">
        <f>IF($A666="",0,IF(Transactions!A658=2,Transactions!H658*$E666,0))</f>
        <v>0</v>
      </c>
    </row>
    <row r="667" spans="1:7" ht="15" customHeight="1" x14ac:dyDescent="0.15">
      <c r="A667" t="str">
        <f>IF(Transactions!J659="","",Transactions!J659)</f>
        <v/>
      </c>
      <c r="B667" s="297">
        <f ca="1">IF($A667="",TODAY(),Transactions!G659)</f>
        <v>46216</v>
      </c>
      <c r="C667" t="str">
        <f>IF($A667="","",Transactions!A659)</f>
        <v/>
      </c>
      <c r="D667" s="30">
        <f>IF($A667="",0,Transactions!H659)</f>
        <v>0</v>
      </c>
      <c r="E667">
        <f>IF($A667="",1,IFERROR(INDEX(Prices[FX to SGD],MATCH($A667,Prices[Key],0)),1))</f>
        <v>1</v>
      </c>
      <c r="F667" s="30">
        <f>IF($A667="",0,(Transactions!M659-Transactions!L659+IF(Transactions!A659=2,Transactions!H659,0))*$E667)</f>
        <v>0</v>
      </c>
      <c r="G667" s="30">
        <f>IF($A667="",0,IF(Transactions!A659=2,Transactions!H659*$E667,0))</f>
        <v>0</v>
      </c>
    </row>
    <row r="668" spans="1:7" ht="15" customHeight="1" x14ac:dyDescent="0.15">
      <c r="A668" t="str">
        <f>IF(Transactions!J660="","",Transactions!J660)</f>
        <v/>
      </c>
      <c r="B668" s="297">
        <f ca="1">IF($A668="",TODAY(),Transactions!G660)</f>
        <v>46216</v>
      </c>
      <c r="C668" t="str">
        <f>IF($A668="","",Transactions!A660)</f>
        <v/>
      </c>
      <c r="D668" s="30">
        <f>IF($A668="",0,Transactions!H660)</f>
        <v>0</v>
      </c>
      <c r="E668">
        <f>IF($A668="",1,IFERROR(INDEX(Prices[FX to SGD],MATCH($A668,Prices[Key],0)),1))</f>
        <v>1</v>
      </c>
      <c r="F668" s="30">
        <f>IF($A668="",0,(Transactions!M660-Transactions!L660+IF(Transactions!A660=2,Transactions!H660,0))*$E668)</f>
        <v>0</v>
      </c>
      <c r="G668" s="30">
        <f>IF($A668="",0,IF(Transactions!A660=2,Transactions!H660*$E668,0))</f>
        <v>0</v>
      </c>
    </row>
    <row r="669" spans="1:7" ht="15" customHeight="1" x14ac:dyDescent="0.15">
      <c r="A669" t="str">
        <f>IF(Transactions!J661="","",Transactions!J661)</f>
        <v/>
      </c>
      <c r="B669" s="297">
        <f ca="1">IF($A669="",TODAY(),Transactions!G661)</f>
        <v>46216</v>
      </c>
      <c r="C669" t="str">
        <f>IF($A669="","",Transactions!A661)</f>
        <v/>
      </c>
      <c r="D669" s="30">
        <f>IF($A669="",0,Transactions!H661)</f>
        <v>0</v>
      </c>
      <c r="E669">
        <f>IF($A669="",1,IFERROR(INDEX(Prices[FX to SGD],MATCH($A669,Prices[Key],0)),1))</f>
        <v>1</v>
      </c>
      <c r="F669" s="30">
        <f>IF($A669="",0,(Transactions!M661-Transactions!L661+IF(Transactions!A661=2,Transactions!H661,0))*$E669)</f>
        <v>0</v>
      </c>
      <c r="G669" s="30">
        <f>IF($A669="",0,IF(Transactions!A661=2,Transactions!H661*$E669,0))</f>
        <v>0</v>
      </c>
    </row>
    <row r="670" spans="1:7" ht="15" customHeight="1" x14ac:dyDescent="0.15">
      <c r="A670" t="str">
        <f>IF(Transactions!J662="","",Transactions!J662)</f>
        <v/>
      </c>
      <c r="B670" s="297">
        <f ca="1">IF($A670="",TODAY(),Transactions!G662)</f>
        <v>46216</v>
      </c>
      <c r="C670" t="str">
        <f>IF($A670="","",Transactions!A662)</f>
        <v/>
      </c>
      <c r="D670" s="30">
        <f>IF($A670="",0,Transactions!H662)</f>
        <v>0</v>
      </c>
      <c r="E670">
        <f>IF($A670="",1,IFERROR(INDEX(Prices[FX to SGD],MATCH($A670,Prices[Key],0)),1))</f>
        <v>1</v>
      </c>
      <c r="F670" s="30">
        <f>IF($A670="",0,(Transactions!M662-Transactions!L662+IF(Transactions!A662=2,Transactions!H662,0))*$E670)</f>
        <v>0</v>
      </c>
      <c r="G670" s="30">
        <f>IF($A670="",0,IF(Transactions!A662=2,Transactions!H662*$E670,0))</f>
        <v>0</v>
      </c>
    </row>
    <row r="671" spans="1:7" ht="15" customHeight="1" x14ac:dyDescent="0.15">
      <c r="A671" t="str">
        <f>IF(Transactions!J663="","",Transactions!J663)</f>
        <v/>
      </c>
      <c r="B671" s="297">
        <f ca="1">IF($A671="",TODAY(),Transactions!G663)</f>
        <v>46216</v>
      </c>
      <c r="C671" t="str">
        <f>IF($A671="","",Transactions!A663)</f>
        <v/>
      </c>
      <c r="D671" s="30">
        <f>IF($A671="",0,Transactions!H663)</f>
        <v>0</v>
      </c>
      <c r="E671">
        <f>IF($A671="",1,IFERROR(INDEX(Prices[FX to SGD],MATCH($A671,Prices[Key],0)),1))</f>
        <v>1</v>
      </c>
      <c r="F671" s="30">
        <f>IF($A671="",0,(Transactions!M663-Transactions!L663+IF(Transactions!A663=2,Transactions!H663,0))*$E671)</f>
        <v>0</v>
      </c>
      <c r="G671" s="30">
        <f>IF($A671="",0,IF(Transactions!A663=2,Transactions!H663*$E671,0))</f>
        <v>0</v>
      </c>
    </row>
    <row r="672" spans="1:7" ht="15" customHeight="1" x14ac:dyDescent="0.15">
      <c r="A672" t="str">
        <f>IF(Transactions!J664="","",Transactions!J664)</f>
        <v/>
      </c>
      <c r="B672" s="297">
        <f ca="1">IF($A672="",TODAY(),Transactions!G664)</f>
        <v>46216</v>
      </c>
      <c r="C672" t="str">
        <f>IF($A672="","",Transactions!A664)</f>
        <v/>
      </c>
      <c r="D672" s="30">
        <f>IF($A672="",0,Transactions!H664)</f>
        <v>0</v>
      </c>
      <c r="E672">
        <f>IF($A672="",1,IFERROR(INDEX(Prices[FX to SGD],MATCH($A672,Prices[Key],0)),1))</f>
        <v>1</v>
      </c>
      <c r="F672" s="30">
        <f>IF($A672="",0,(Transactions!M664-Transactions!L664+IF(Transactions!A664=2,Transactions!H664,0))*$E672)</f>
        <v>0</v>
      </c>
      <c r="G672" s="30">
        <f>IF($A672="",0,IF(Transactions!A664=2,Transactions!H664*$E672,0))</f>
        <v>0</v>
      </c>
    </row>
    <row r="673" spans="1:7" ht="15" customHeight="1" x14ac:dyDescent="0.15">
      <c r="A673" t="str">
        <f>IF(Transactions!J665="","",Transactions!J665)</f>
        <v/>
      </c>
      <c r="B673" s="297">
        <f ca="1">IF($A673="",TODAY(),Transactions!G665)</f>
        <v>46216</v>
      </c>
      <c r="C673" t="str">
        <f>IF($A673="","",Transactions!A665)</f>
        <v/>
      </c>
      <c r="D673" s="30">
        <f>IF($A673="",0,Transactions!H665)</f>
        <v>0</v>
      </c>
      <c r="E673">
        <f>IF($A673="",1,IFERROR(INDEX(Prices[FX to SGD],MATCH($A673,Prices[Key],0)),1))</f>
        <v>1</v>
      </c>
      <c r="F673" s="30">
        <f>IF($A673="",0,(Transactions!M665-Transactions!L665+IF(Transactions!A665=2,Transactions!H665,0))*$E673)</f>
        <v>0</v>
      </c>
      <c r="G673" s="30">
        <f>IF($A673="",0,IF(Transactions!A665=2,Transactions!H665*$E673,0))</f>
        <v>0</v>
      </c>
    </row>
    <row r="674" spans="1:7" ht="15" customHeight="1" x14ac:dyDescent="0.15">
      <c r="A674" t="str">
        <f>IF(Transactions!J666="","",Transactions!J666)</f>
        <v/>
      </c>
      <c r="B674" s="297">
        <f ca="1">IF($A674="",TODAY(),Transactions!G666)</f>
        <v>46216</v>
      </c>
      <c r="C674" t="str">
        <f>IF($A674="","",Transactions!A666)</f>
        <v/>
      </c>
      <c r="D674" s="30">
        <f>IF($A674="",0,Transactions!H666)</f>
        <v>0</v>
      </c>
      <c r="E674">
        <f>IF($A674="",1,IFERROR(INDEX(Prices[FX to SGD],MATCH($A674,Prices[Key],0)),1))</f>
        <v>1</v>
      </c>
      <c r="F674" s="30">
        <f>IF($A674="",0,(Transactions!M666-Transactions!L666+IF(Transactions!A666=2,Transactions!H666,0))*$E674)</f>
        <v>0</v>
      </c>
      <c r="G674" s="30">
        <f>IF($A674="",0,IF(Transactions!A666=2,Transactions!H666*$E674,0))</f>
        <v>0</v>
      </c>
    </row>
    <row r="675" spans="1:7" ht="15" customHeight="1" x14ac:dyDescent="0.15">
      <c r="A675" t="str">
        <f>IF(Transactions!J667="","",Transactions!J667)</f>
        <v/>
      </c>
      <c r="B675" s="297">
        <f ca="1">IF($A675="",TODAY(),Transactions!G667)</f>
        <v>46216</v>
      </c>
      <c r="C675" t="str">
        <f>IF($A675="","",Transactions!A667)</f>
        <v/>
      </c>
      <c r="D675" s="30">
        <f>IF($A675="",0,Transactions!H667)</f>
        <v>0</v>
      </c>
      <c r="E675">
        <f>IF($A675="",1,IFERROR(INDEX(Prices[FX to SGD],MATCH($A675,Prices[Key],0)),1))</f>
        <v>1</v>
      </c>
      <c r="F675" s="30">
        <f>IF($A675="",0,(Transactions!M667-Transactions!L667+IF(Transactions!A667=2,Transactions!H667,0))*$E675)</f>
        <v>0</v>
      </c>
      <c r="G675" s="30">
        <f>IF($A675="",0,IF(Transactions!A667=2,Transactions!H667*$E675,0))</f>
        <v>0</v>
      </c>
    </row>
    <row r="676" spans="1:7" ht="15" customHeight="1" x14ac:dyDescent="0.15">
      <c r="A676" t="str">
        <f>IF(Transactions!J668="","",Transactions!J668)</f>
        <v/>
      </c>
      <c r="B676" s="297">
        <f ca="1">IF($A676="",TODAY(),Transactions!G668)</f>
        <v>46216</v>
      </c>
      <c r="C676" t="str">
        <f>IF($A676="","",Transactions!A668)</f>
        <v/>
      </c>
      <c r="D676" s="30">
        <f>IF($A676="",0,Transactions!H668)</f>
        <v>0</v>
      </c>
      <c r="E676">
        <f>IF($A676="",1,IFERROR(INDEX(Prices[FX to SGD],MATCH($A676,Prices[Key],0)),1))</f>
        <v>1</v>
      </c>
      <c r="F676" s="30">
        <f>IF($A676="",0,(Transactions!M668-Transactions!L668+IF(Transactions!A668=2,Transactions!H668,0))*$E676)</f>
        <v>0</v>
      </c>
      <c r="G676" s="30">
        <f>IF($A676="",0,IF(Transactions!A668=2,Transactions!H668*$E676,0))</f>
        <v>0</v>
      </c>
    </row>
    <row r="677" spans="1:7" ht="15" customHeight="1" x14ac:dyDescent="0.15">
      <c r="A677" t="str">
        <f>IF(Transactions!J669="","",Transactions!J669)</f>
        <v/>
      </c>
      <c r="B677" s="297">
        <f ca="1">IF($A677="",TODAY(),Transactions!G669)</f>
        <v>46216</v>
      </c>
      <c r="C677" t="str">
        <f>IF($A677="","",Transactions!A669)</f>
        <v/>
      </c>
      <c r="D677" s="30">
        <f>IF($A677="",0,Transactions!H669)</f>
        <v>0</v>
      </c>
      <c r="E677">
        <f>IF($A677="",1,IFERROR(INDEX(Prices[FX to SGD],MATCH($A677,Prices[Key],0)),1))</f>
        <v>1</v>
      </c>
      <c r="F677" s="30">
        <f>IF($A677="",0,(Transactions!M669-Transactions!L669+IF(Transactions!A669=2,Transactions!H669,0))*$E677)</f>
        <v>0</v>
      </c>
      <c r="G677" s="30">
        <f>IF($A677="",0,IF(Transactions!A669=2,Transactions!H669*$E677,0))</f>
        <v>0</v>
      </c>
    </row>
    <row r="678" spans="1:7" ht="15" customHeight="1" x14ac:dyDescent="0.15">
      <c r="A678" t="str">
        <f>IF(Transactions!J670="","",Transactions!J670)</f>
        <v/>
      </c>
      <c r="B678" s="297">
        <f ca="1">IF($A678="",TODAY(),Transactions!G670)</f>
        <v>46216</v>
      </c>
      <c r="C678" t="str">
        <f>IF($A678="","",Transactions!A670)</f>
        <v/>
      </c>
      <c r="D678" s="30">
        <f>IF($A678="",0,Transactions!H670)</f>
        <v>0</v>
      </c>
      <c r="E678">
        <f>IF($A678="",1,IFERROR(INDEX(Prices[FX to SGD],MATCH($A678,Prices[Key],0)),1))</f>
        <v>1</v>
      </c>
      <c r="F678" s="30">
        <f>IF($A678="",0,(Transactions!M670-Transactions!L670+IF(Transactions!A670=2,Transactions!H670,0))*$E678)</f>
        <v>0</v>
      </c>
      <c r="G678" s="30">
        <f>IF($A678="",0,IF(Transactions!A670=2,Transactions!H670*$E678,0))</f>
        <v>0</v>
      </c>
    </row>
    <row r="679" spans="1:7" ht="15" customHeight="1" x14ac:dyDescent="0.15">
      <c r="A679" t="str">
        <f>IF(Transactions!J671="","",Transactions!J671)</f>
        <v/>
      </c>
      <c r="B679" s="297">
        <f ca="1">IF($A679="",TODAY(),Transactions!G671)</f>
        <v>46216</v>
      </c>
      <c r="C679" t="str">
        <f>IF($A679="","",Transactions!A671)</f>
        <v/>
      </c>
      <c r="D679" s="30">
        <f>IF($A679="",0,Transactions!H671)</f>
        <v>0</v>
      </c>
      <c r="E679">
        <f>IF($A679="",1,IFERROR(INDEX(Prices[FX to SGD],MATCH($A679,Prices[Key],0)),1))</f>
        <v>1</v>
      </c>
      <c r="F679" s="30">
        <f>IF($A679="",0,(Transactions!M671-Transactions!L671+IF(Transactions!A671=2,Transactions!H671,0))*$E679)</f>
        <v>0</v>
      </c>
      <c r="G679" s="30">
        <f>IF($A679="",0,IF(Transactions!A671=2,Transactions!H671*$E679,0))</f>
        <v>0</v>
      </c>
    </row>
    <row r="680" spans="1:7" ht="15" customHeight="1" x14ac:dyDescent="0.15">
      <c r="A680" t="str">
        <f>IF(Transactions!J672="","",Transactions!J672)</f>
        <v/>
      </c>
      <c r="B680" s="297">
        <f ca="1">IF($A680="",TODAY(),Transactions!G672)</f>
        <v>46216</v>
      </c>
      <c r="C680" t="str">
        <f>IF($A680="","",Transactions!A672)</f>
        <v/>
      </c>
      <c r="D680" s="30">
        <f>IF($A680="",0,Transactions!H672)</f>
        <v>0</v>
      </c>
      <c r="E680">
        <f>IF($A680="",1,IFERROR(INDEX(Prices[FX to SGD],MATCH($A680,Prices[Key],0)),1))</f>
        <v>1</v>
      </c>
      <c r="F680" s="30">
        <f>IF($A680="",0,(Transactions!M672-Transactions!L672+IF(Transactions!A672=2,Transactions!H672,0))*$E680)</f>
        <v>0</v>
      </c>
      <c r="G680" s="30">
        <f>IF($A680="",0,IF(Transactions!A672=2,Transactions!H672*$E680,0))</f>
        <v>0</v>
      </c>
    </row>
    <row r="681" spans="1:7" ht="15" customHeight="1" x14ac:dyDescent="0.15">
      <c r="A681" t="str">
        <f>IF(Transactions!J673="","",Transactions!J673)</f>
        <v/>
      </c>
      <c r="B681" s="297">
        <f ca="1">IF($A681="",TODAY(),Transactions!G673)</f>
        <v>46216</v>
      </c>
      <c r="C681" t="str">
        <f>IF($A681="","",Transactions!A673)</f>
        <v/>
      </c>
      <c r="D681" s="30">
        <f>IF($A681="",0,Transactions!H673)</f>
        <v>0</v>
      </c>
      <c r="E681">
        <f>IF($A681="",1,IFERROR(INDEX(Prices[FX to SGD],MATCH($A681,Prices[Key],0)),1))</f>
        <v>1</v>
      </c>
      <c r="F681" s="30">
        <f>IF($A681="",0,(Transactions!M673-Transactions!L673+IF(Transactions!A673=2,Transactions!H673,0))*$E681)</f>
        <v>0</v>
      </c>
      <c r="G681" s="30">
        <f>IF($A681="",0,IF(Transactions!A673=2,Transactions!H673*$E681,0))</f>
        <v>0</v>
      </c>
    </row>
    <row r="682" spans="1:7" ht="15" customHeight="1" x14ac:dyDescent="0.15">
      <c r="A682" t="str">
        <f>IF(Transactions!J674="","",Transactions!J674)</f>
        <v/>
      </c>
      <c r="B682" s="297">
        <f ca="1">IF($A682="",TODAY(),Transactions!G674)</f>
        <v>46216</v>
      </c>
      <c r="C682" t="str">
        <f>IF($A682="","",Transactions!A674)</f>
        <v/>
      </c>
      <c r="D682" s="30">
        <f>IF($A682="",0,Transactions!H674)</f>
        <v>0</v>
      </c>
      <c r="E682">
        <f>IF($A682="",1,IFERROR(INDEX(Prices[FX to SGD],MATCH($A682,Prices[Key],0)),1))</f>
        <v>1</v>
      </c>
      <c r="F682" s="30">
        <f>IF($A682="",0,(Transactions!M674-Transactions!L674+IF(Transactions!A674=2,Transactions!H674,0))*$E682)</f>
        <v>0</v>
      </c>
      <c r="G682" s="30">
        <f>IF($A682="",0,IF(Transactions!A674=2,Transactions!H674*$E682,0))</f>
        <v>0</v>
      </c>
    </row>
    <row r="683" spans="1:7" ht="15" customHeight="1" x14ac:dyDescent="0.15">
      <c r="A683" t="str">
        <f>IF(Transactions!J675="","",Transactions!J675)</f>
        <v/>
      </c>
      <c r="B683" s="297">
        <f ca="1">IF($A683="",TODAY(),Transactions!G675)</f>
        <v>46216</v>
      </c>
      <c r="C683" t="str">
        <f>IF($A683="","",Transactions!A675)</f>
        <v/>
      </c>
      <c r="D683" s="30">
        <f>IF($A683="",0,Transactions!H675)</f>
        <v>0</v>
      </c>
      <c r="E683">
        <f>IF($A683="",1,IFERROR(INDEX(Prices[FX to SGD],MATCH($A683,Prices[Key],0)),1))</f>
        <v>1</v>
      </c>
      <c r="F683" s="30">
        <f>IF($A683="",0,(Transactions!M675-Transactions!L675+IF(Transactions!A675=2,Transactions!H675,0))*$E683)</f>
        <v>0</v>
      </c>
      <c r="G683" s="30">
        <f>IF($A683="",0,IF(Transactions!A675=2,Transactions!H675*$E683,0))</f>
        <v>0</v>
      </c>
    </row>
    <row r="684" spans="1:7" ht="15" customHeight="1" x14ac:dyDescent="0.15">
      <c r="A684" t="str">
        <f>IF(Transactions!J676="","",Transactions!J676)</f>
        <v/>
      </c>
      <c r="B684" s="297">
        <f ca="1">IF($A684="",TODAY(),Transactions!G676)</f>
        <v>46216</v>
      </c>
      <c r="C684" t="str">
        <f>IF($A684="","",Transactions!A676)</f>
        <v/>
      </c>
      <c r="D684" s="30">
        <f>IF($A684="",0,Transactions!H676)</f>
        <v>0</v>
      </c>
      <c r="E684">
        <f>IF($A684="",1,IFERROR(INDEX(Prices[FX to SGD],MATCH($A684,Prices[Key],0)),1))</f>
        <v>1</v>
      </c>
      <c r="F684" s="30">
        <f>IF($A684="",0,(Transactions!M676-Transactions!L676+IF(Transactions!A676=2,Transactions!H676,0))*$E684)</f>
        <v>0</v>
      </c>
      <c r="G684" s="30">
        <f>IF($A684="",0,IF(Transactions!A676=2,Transactions!H676*$E684,0))</f>
        <v>0</v>
      </c>
    </row>
    <row r="685" spans="1:7" ht="15" customHeight="1" x14ac:dyDescent="0.15">
      <c r="A685" t="str">
        <f>IF(Transactions!J677="","",Transactions!J677)</f>
        <v/>
      </c>
      <c r="B685" s="297">
        <f ca="1">IF($A685="",TODAY(),Transactions!G677)</f>
        <v>46216</v>
      </c>
      <c r="C685" t="str">
        <f>IF($A685="","",Transactions!A677)</f>
        <v/>
      </c>
      <c r="D685" s="30">
        <f>IF($A685="",0,Transactions!H677)</f>
        <v>0</v>
      </c>
      <c r="E685">
        <f>IF($A685="",1,IFERROR(INDEX(Prices[FX to SGD],MATCH($A685,Prices[Key],0)),1))</f>
        <v>1</v>
      </c>
      <c r="F685" s="30">
        <f>IF($A685="",0,(Transactions!M677-Transactions!L677+IF(Transactions!A677=2,Transactions!H677,0))*$E685)</f>
        <v>0</v>
      </c>
      <c r="G685" s="30">
        <f>IF($A685="",0,IF(Transactions!A677=2,Transactions!H677*$E685,0))</f>
        <v>0</v>
      </c>
    </row>
    <row r="686" spans="1:7" ht="15" customHeight="1" x14ac:dyDescent="0.15">
      <c r="A686" t="str">
        <f>IF(Transactions!J678="","",Transactions!J678)</f>
        <v/>
      </c>
      <c r="B686" s="297">
        <f ca="1">IF($A686="",TODAY(),Transactions!G678)</f>
        <v>46216</v>
      </c>
      <c r="C686" t="str">
        <f>IF($A686="","",Transactions!A678)</f>
        <v/>
      </c>
      <c r="D686" s="30">
        <f>IF($A686="",0,Transactions!H678)</f>
        <v>0</v>
      </c>
      <c r="E686">
        <f>IF($A686="",1,IFERROR(INDEX(Prices[FX to SGD],MATCH($A686,Prices[Key],0)),1))</f>
        <v>1</v>
      </c>
      <c r="F686" s="30">
        <f>IF($A686="",0,(Transactions!M678-Transactions!L678+IF(Transactions!A678=2,Transactions!H678,0))*$E686)</f>
        <v>0</v>
      </c>
      <c r="G686" s="30">
        <f>IF($A686="",0,IF(Transactions!A678=2,Transactions!H678*$E686,0))</f>
        <v>0</v>
      </c>
    </row>
    <row r="687" spans="1:7" ht="15" customHeight="1" x14ac:dyDescent="0.15">
      <c r="A687" t="str">
        <f>IF(Transactions!J679="","",Transactions!J679)</f>
        <v/>
      </c>
      <c r="B687" s="297">
        <f ca="1">IF($A687="",TODAY(),Transactions!G679)</f>
        <v>46216</v>
      </c>
      <c r="C687" t="str">
        <f>IF($A687="","",Transactions!A679)</f>
        <v/>
      </c>
      <c r="D687" s="30">
        <f>IF($A687="",0,Transactions!H679)</f>
        <v>0</v>
      </c>
      <c r="E687">
        <f>IF($A687="",1,IFERROR(INDEX(Prices[FX to SGD],MATCH($A687,Prices[Key],0)),1))</f>
        <v>1</v>
      </c>
      <c r="F687" s="30">
        <f>IF($A687="",0,(Transactions!M679-Transactions!L679+IF(Transactions!A679=2,Transactions!H679,0))*$E687)</f>
        <v>0</v>
      </c>
      <c r="G687" s="30">
        <f>IF($A687="",0,IF(Transactions!A679=2,Transactions!H679*$E687,0))</f>
        <v>0</v>
      </c>
    </row>
    <row r="688" spans="1:7" ht="15" customHeight="1" x14ac:dyDescent="0.15">
      <c r="A688" t="str">
        <f>IF(Transactions!J680="","",Transactions!J680)</f>
        <v/>
      </c>
      <c r="B688" s="297">
        <f ca="1">IF($A688="",TODAY(),Transactions!G680)</f>
        <v>46216</v>
      </c>
      <c r="C688" t="str">
        <f>IF($A688="","",Transactions!A680)</f>
        <v/>
      </c>
      <c r="D688" s="30">
        <f>IF($A688="",0,Transactions!H680)</f>
        <v>0</v>
      </c>
      <c r="E688">
        <f>IF($A688="",1,IFERROR(INDEX(Prices[FX to SGD],MATCH($A688,Prices[Key],0)),1))</f>
        <v>1</v>
      </c>
      <c r="F688" s="30">
        <f>IF($A688="",0,(Transactions!M680-Transactions!L680+IF(Transactions!A680=2,Transactions!H680,0))*$E688)</f>
        <v>0</v>
      </c>
      <c r="G688" s="30">
        <f>IF($A688="",0,IF(Transactions!A680=2,Transactions!H680*$E688,0))</f>
        <v>0</v>
      </c>
    </row>
    <row r="689" spans="1:7" ht="15" customHeight="1" x14ac:dyDescent="0.15">
      <c r="A689" t="str">
        <f>IF(Transactions!J681="","",Transactions!J681)</f>
        <v/>
      </c>
      <c r="B689" s="297">
        <f ca="1">IF($A689="",TODAY(),Transactions!G681)</f>
        <v>46216</v>
      </c>
      <c r="C689" t="str">
        <f>IF($A689="","",Transactions!A681)</f>
        <v/>
      </c>
      <c r="D689" s="30">
        <f>IF($A689="",0,Transactions!H681)</f>
        <v>0</v>
      </c>
      <c r="E689">
        <f>IF($A689="",1,IFERROR(INDEX(Prices[FX to SGD],MATCH($A689,Prices[Key],0)),1))</f>
        <v>1</v>
      </c>
      <c r="F689" s="30">
        <f>IF($A689="",0,(Transactions!M681-Transactions!L681+IF(Transactions!A681=2,Transactions!H681,0))*$E689)</f>
        <v>0</v>
      </c>
      <c r="G689" s="30">
        <f>IF($A689="",0,IF(Transactions!A681=2,Transactions!H681*$E689,0))</f>
        <v>0</v>
      </c>
    </row>
    <row r="690" spans="1:7" ht="15" customHeight="1" x14ac:dyDescent="0.15">
      <c r="A690" t="str">
        <f>IF(Transactions!J682="","",Transactions!J682)</f>
        <v/>
      </c>
      <c r="B690" s="297">
        <f ca="1">IF($A690="",TODAY(),Transactions!G682)</f>
        <v>46216</v>
      </c>
      <c r="C690" t="str">
        <f>IF($A690="","",Transactions!A682)</f>
        <v/>
      </c>
      <c r="D690" s="30">
        <f>IF($A690="",0,Transactions!H682)</f>
        <v>0</v>
      </c>
      <c r="E690">
        <f>IF($A690="",1,IFERROR(INDEX(Prices[FX to SGD],MATCH($A690,Prices[Key],0)),1))</f>
        <v>1</v>
      </c>
      <c r="F690" s="30">
        <f>IF($A690="",0,(Transactions!M682-Transactions!L682+IF(Transactions!A682=2,Transactions!H682,0))*$E690)</f>
        <v>0</v>
      </c>
      <c r="G690" s="30">
        <f>IF($A690="",0,IF(Transactions!A682=2,Transactions!H682*$E690,0))</f>
        <v>0</v>
      </c>
    </row>
    <row r="691" spans="1:7" ht="15" customHeight="1" x14ac:dyDescent="0.15">
      <c r="A691" t="str">
        <f>IF(Transactions!J683="","",Transactions!J683)</f>
        <v/>
      </c>
      <c r="B691" s="297">
        <f ca="1">IF($A691="",TODAY(),Transactions!G683)</f>
        <v>46216</v>
      </c>
      <c r="C691" t="str">
        <f>IF($A691="","",Transactions!A683)</f>
        <v/>
      </c>
      <c r="D691" s="30">
        <f>IF($A691="",0,Transactions!H683)</f>
        <v>0</v>
      </c>
      <c r="E691">
        <f>IF($A691="",1,IFERROR(INDEX(Prices[FX to SGD],MATCH($A691,Prices[Key],0)),1))</f>
        <v>1</v>
      </c>
      <c r="F691" s="30">
        <f>IF($A691="",0,(Transactions!M683-Transactions!L683+IF(Transactions!A683=2,Transactions!H683,0))*$E691)</f>
        <v>0</v>
      </c>
      <c r="G691" s="30">
        <f>IF($A691="",0,IF(Transactions!A683=2,Transactions!H683*$E691,0))</f>
        <v>0</v>
      </c>
    </row>
    <row r="692" spans="1:7" ht="15" customHeight="1" x14ac:dyDescent="0.15">
      <c r="A692" t="str">
        <f>IF(Transactions!J684="","",Transactions!J684)</f>
        <v/>
      </c>
      <c r="B692" s="297">
        <f ca="1">IF($A692="",TODAY(),Transactions!G684)</f>
        <v>46216</v>
      </c>
      <c r="C692" t="str">
        <f>IF($A692="","",Transactions!A684)</f>
        <v/>
      </c>
      <c r="D692" s="30">
        <f>IF($A692="",0,Transactions!H684)</f>
        <v>0</v>
      </c>
      <c r="E692">
        <f>IF($A692="",1,IFERROR(INDEX(Prices[FX to SGD],MATCH($A692,Prices[Key],0)),1))</f>
        <v>1</v>
      </c>
      <c r="F692" s="30">
        <f>IF($A692="",0,(Transactions!M684-Transactions!L684+IF(Transactions!A684=2,Transactions!H684,0))*$E692)</f>
        <v>0</v>
      </c>
      <c r="G692" s="30">
        <f>IF($A692="",0,IF(Transactions!A684=2,Transactions!H684*$E692,0))</f>
        <v>0</v>
      </c>
    </row>
    <row r="693" spans="1:7" ht="15" customHeight="1" x14ac:dyDescent="0.15">
      <c r="A693" t="str">
        <f>IF(Transactions!J685="","",Transactions!J685)</f>
        <v/>
      </c>
      <c r="B693" s="297">
        <f ca="1">IF($A693="",TODAY(),Transactions!G685)</f>
        <v>46216</v>
      </c>
      <c r="C693" t="str">
        <f>IF($A693="","",Transactions!A685)</f>
        <v/>
      </c>
      <c r="D693" s="30">
        <f>IF($A693="",0,Transactions!H685)</f>
        <v>0</v>
      </c>
      <c r="E693">
        <f>IF($A693="",1,IFERROR(INDEX(Prices[FX to SGD],MATCH($A693,Prices[Key],0)),1))</f>
        <v>1</v>
      </c>
      <c r="F693" s="30">
        <f>IF($A693="",0,(Transactions!M685-Transactions!L685+IF(Transactions!A685=2,Transactions!H685,0))*$E693)</f>
        <v>0</v>
      </c>
      <c r="G693" s="30">
        <f>IF($A693="",0,IF(Transactions!A685=2,Transactions!H685*$E693,0))</f>
        <v>0</v>
      </c>
    </row>
    <row r="694" spans="1:7" ht="15" customHeight="1" x14ac:dyDescent="0.15">
      <c r="A694" t="str">
        <f>IF(Transactions!J686="","",Transactions!J686)</f>
        <v/>
      </c>
      <c r="B694" s="297">
        <f ca="1">IF($A694="",TODAY(),Transactions!G686)</f>
        <v>46216</v>
      </c>
      <c r="C694" t="str">
        <f>IF($A694="","",Transactions!A686)</f>
        <v/>
      </c>
      <c r="D694" s="30">
        <f>IF($A694="",0,Transactions!H686)</f>
        <v>0</v>
      </c>
      <c r="E694">
        <f>IF($A694="",1,IFERROR(INDEX(Prices[FX to SGD],MATCH($A694,Prices[Key],0)),1))</f>
        <v>1</v>
      </c>
      <c r="F694" s="30">
        <f>IF($A694="",0,(Transactions!M686-Transactions!L686+IF(Transactions!A686=2,Transactions!H686,0))*$E694)</f>
        <v>0</v>
      </c>
      <c r="G694" s="30">
        <f>IF($A694="",0,IF(Transactions!A686=2,Transactions!H686*$E694,0))</f>
        <v>0</v>
      </c>
    </row>
    <row r="695" spans="1:7" ht="15" customHeight="1" x14ac:dyDescent="0.15">
      <c r="A695" t="str">
        <f>IF(Transactions!J687="","",Transactions!J687)</f>
        <v/>
      </c>
      <c r="B695" s="297">
        <f ca="1">IF($A695="",TODAY(),Transactions!G687)</f>
        <v>46216</v>
      </c>
      <c r="C695" t="str">
        <f>IF($A695="","",Transactions!A687)</f>
        <v/>
      </c>
      <c r="D695" s="30">
        <f>IF($A695="",0,Transactions!H687)</f>
        <v>0</v>
      </c>
      <c r="E695">
        <f>IF($A695="",1,IFERROR(INDEX(Prices[FX to SGD],MATCH($A695,Prices[Key],0)),1))</f>
        <v>1</v>
      </c>
      <c r="F695" s="30">
        <f>IF($A695="",0,(Transactions!M687-Transactions!L687+IF(Transactions!A687=2,Transactions!H687,0))*$E695)</f>
        <v>0</v>
      </c>
      <c r="G695" s="30">
        <f>IF($A695="",0,IF(Transactions!A687=2,Transactions!H687*$E695,0))</f>
        <v>0</v>
      </c>
    </row>
    <row r="696" spans="1:7" ht="15" customHeight="1" x14ac:dyDescent="0.15">
      <c r="A696" t="str">
        <f>IF(Transactions!J688="","",Transactions!J688)</f>
        <v/>
      </c>
      <c r="B696" s="297">
        <f ca="1">IF($A696="",TODAY(),Transactions!G688)</f>
        <v>46216</v>
      </c>
      <c r="C696" t="str">
        <f>IF($A696="","",Transactions!A688)</f>
        <v/>
      </c>
      <c r="D696" s="30">
        <f>IF($A696="",0,Transactions!H688)</f>
        <v>0</v>
      </c>
      <c r="E696">
        <f>IF($A696="",1,IFERROR(INDEX(Prices[FX to SGD],MATCH($A696,Prices[Key],0)),1))</f>
        <v>1</v>
      </c>
      <c r="F696" s="30">
        <f>IF($A696="",0,(Transactions!M688-Transactions!L688+IF(Transactions!A688=2,Transactions!H688,0))*$E696)</f>
        <v>0</v>
      </c>
      <c r="G696" s="30">
        <f>IF($A696="",0,IF(Transactions!A688=2,Transactions!H688*$E696,0))</f>
        <v>0</v>
      </c>
    </row>
    <row r="697" spans="1:7" ht="15" customHeight="1" x14ac:dyDescent="0.15">
      <c r="A697" t="str">
        <f>IF(Transactions!J689="","",Transactions!J689)</f>
        <v/>
      </c>
      <c r="B697" s="297">
        <f ca="1">IF($A697="",TODAY(),Transactions!G689)</f>
        <v>46216</v>
      </c>
      <c r="C697" t="str">
        <f>IF($A697="","",Transactions!A689)</f>
        <v/>
      </c>
      <c r="D697" s="30">
        <f>IF($A697="",0,Transactions!H689)</f>
        <v>0</v>
      </c>
      <c r="E697">
        <f>IF($A697="",1,IFERROR(INDEX(Prices[FX to SGD],MATCH($A697,Prices[Key],0)),1))</f>
        <v>1</v>
      </c>
      <c r="F697" s="30">
        <f>IF($A697="",0,(Transactions!M689-Transactions!L689+IF(Transactions!A689=2,Transactions!H689,0))*$E697)</f>
        <v>0</v>
      </c>
      <c r="G697" s="30">
        <f>IF($A697="",0,IF(Transactions!A689=2,Transactions!H689*$E697,0))</f>
        <v>0</v>
      </c>
    </row>
    <row r="698" spans="1:7" ht="15" customHeight="1" x14ac:dyDescent="0.15">
      <c r="A698" t="str">
        <f>IF(Transactions!J690="","",Transactions!J690)</f>
        <v/>
      </c>
      <c r="B698" s="297">
        <f ca="1">IF($A698="",TODAY(),Transactions!G690)</f>
        <v>46216</v>
      </c>
      <c r="C698" t="str">
        <f>IF($A698="","",Transactions!A690)</f>
        <v/>
      </c>
      <c r="D698" s="30">
        <f>IF($A698="",0,Transactions!H690)</f>
        <v>0</v>
      </c>
      <c r="E698">
        <f>IF($A698="",1,IFERROR(INDEX(Prices[FX to SGD],MATCH($A698,Prices[Key],0)),1))</f>
        <v>1</v>
      </c>
      <c r="F698" s="30">
        <f>IF($A698="",0,(Transactions!M690-Transactions!L690+IF(Transactions!A690=2,Transactions!H690,0))*$E698)</f>
        <v>0</v>
      </c>
      <c r="G698" s="30">
        <f>IF($A698="",0,IF(Transactions!A690=2,Transactions!H690*$E698,0))</f>
        <v>0</v>
      </c>
    </row>
    <row r="699" spans="1:7" ht="15" customHeight="1" x14ac:dyDescent="0.15">
      <c r="A699" t="str">
        <f>IF(Transactions!J691="","",Transactions!J691)</f>
        <v/>
      </c>
      <c r="B699" s="297">
        <f ca="1">IF($A699="",TODAY(),Transactions!G691)</f>
        <v>46216</v>
      </c>
      <c r="C699" t="str">
        <f>IF($A699="","",Transactions!A691)</f>
        <v/>
      </c>
      <c r="D699" s="30">
        <f>IF($A699="",0,Transactions!H691)</f>
        <v>0</v>
      </c>
      <c r="E699">
        <f>IF($A699="",1,IFERROR(INDEX(Prices[FX to SGD],MATCH($A699,Prices[Key],0)),1))</f>
        <v>1</v>
      </c>
      <c r="F699" s="30">
        <f>IF($A699="",0,(Transactions!M691-Transactions!L691+IF(Transactions!A691=2,Transactions!H691,0))*$E699)</f>
        <v>0</v>
      </c>
      <c r="G699" s="30">
        <f>IF($A699="",0,IF(Transactions!A691=2,Transactions!H691*$E699,0))</f>
        <v>0</v>
      </c>
    </row>
    <row r="700" spans="1:7" ht="15" customHeight="1" x14ac:dyDescent="0.15">
      <c r="A700" t="str">
        <f>IF(Transactions!J692="","",Transactions!J692)</f>
        <v/>
      </c>
      <c r="B700" s="297">
        <f ca="1">IF($A700="",TODAY(),Transactions!G692)</f>
        <v>46216</v>
      </c>
      <c r="C700" t="str">
        <f>IF($A700="","",Transactions!A692)</f>
        <v/>
      </c>
      <c r="D700" s="30">
        <f>IF($A700="",0,Transactions!H692)</f>
        <v>0</v>
      </c>
      <c r="E700">
        <f>IF($A700="",1,IFERROR(INDEX(Prices[FX to SGD],MATCH($A700,Prices[Key],0)),1))</f>
        <v>1</v>
      </c>
      <c r="F700" s="30">
        <f>IF($A700="",0,(Transactions!M692-Transactions!L692+IF(Transactions!A692=2,Transactions!H692,0))*$E700)</f>
        <v>0</v>
      </c>
      <c r="G700" s="30">
        <f>IF($A700="",0,IF(Transactions!A692=2,Transactions!H692*$E700,0))</f>
        <v>0</v>
      </c>
    </row>
    <row r="701" spans="1:7" ht="15" customHeight="1" x14ac:dyDescent="0.15">
      <c r="A701" t="str">
        <f>IF(Transactions!J693="","",Transactions!J693)</f>
        <v/>
      </c>
      <c r="B701" s="297">
        <f ca="1">IF($A701="",TODAY(),Transactions!G693)</f>
        <v>46216</v>
      </c>
      <c r="C701" t="str">
        <f>IF($A701="","",Transactions!A693)</f>
        <v/>
      </c>
      <c r="D701" s="30">
        <f>IF($A701="",0,Transactions!H693)</f>
        <v>0</v>
      </c>
      <c r="E701">
        <f>IF($A701="",1,IFERROR(INDEX(Prices[FX to SGD],MATCH($A701,Prices[Key],0)),1))</f>
        <v>1</v>
      </c>
      <c r="F701" s="30">
        <f>IF($A701="",0,(Transactions!M693-Transactions!L693+IF(Transactions!A693=2,Transactions!H693,0))*$E701)</f>
        <v>0</v>
      </c>
      <c r="G701" s="30">
        <f>IF($A701="",0,IF(Transactions!A693=2,Transactions!H693*$E701,0))</f>
        <v>0</v>
      </c>
    </row>
    <row r="702" spans="1:7" ht="15" customHeight="1" x14ac:dyDescent="0.15">
      <c r="A702" t="str">
        <f>IF(Transactions!J694="","",Transactions!J694)</f>
        <v/>
      </c>
      <c r="B702" s="297">
        <f ca="1">IF($A702="",TODAY(),Transactions!G694)</f>
        <v>46216</v>
      </c>
      <c r="C702" t="str">
        <f>IF($A702="","",Transactions!A694)</f>
        <v/>
      </c>
      <c r="D702" s="30">
        <f>IF($A702="",0,Transactions!H694)</f>
        <v>0</v>
      </c>
      <c r="E702">
        <f>IF($A702="",1,IFERROR(INDEX(Prices[FX to SGD],MATCH($A702,Prices[Key],0)),1))</f>
        <v>1</v>
      </c>
      <c r="F702" s="30">
        <f>IF($A702="",0,(Transactions!M694-Transactions!L694+IF(Transactions!A694=2,Transactions!H694,0))*$E702)</f>
        <v>0</v>
      </c>
      <c r="G702" s="30">
        <f>IF($A702="",0,IF(Transactions!A694=2,Transactions!H694*$E702,0))</f>
        <v>0</v>
      </c>
    </row>
    <row r="703" spans="1:7" ht="15" customHeight="1" x14ac:dyDescent="0.15">
      <c r="A703" t="str">
        <f>IF(Transactions!J695="","",Transactions!J695)</f>
        <v/>
      </c>
      <c r="B703" s="297">
        <f ca="1">IF($A703="",TODAY(),Transactions!G695)</f>
        <v>46216</v>
      </c>
      <c r="C703" t="str">
        <f>IF($A703="","",Transactions!A695)</f>
        <v/>
      </c>
      <c r="D703" s="30">
        <f>IF($A703="",0,Transactions!H695)</f>
        <v>0</v>
      </c>
      <c r="E703">
        <f>IF($A703="",1,IFERROR(INDEX(Prices[FX to SGD],MATCH($A703,Prices[Key],0)),1))</f>
        <v>1</v>
      </c>
      <c r="F703" s="30">
        <f>IF($A703="",0,(Transactions!M695-Transactions!L695+IF(Transactions!A695=2,Transactions!H695,0))*$E703)</f>
        <v>0</v>
      </c>
      <c r="G703" s="30">
        <f>IF($A703="",0,IF(Transactions!A695=2,Transactions!H695*$E703,0))</f>
        <v>0</v>
      </c>
    </row>
    <row r="704" spans="1:7" ht="15" customHeight="1" x14ac:dyDescent="0.15">
      <c r="A704" t="str">
        <f>IF(Transactions!J696="","",Transactions!J696)</f>
        <v/>
      </c>
      <c r="B704" s="297">
        <f ca="1">IF($A704="",TODAY(),Transactions!G696)</f>
        <v>46216</v>
      </c>
      <c r="C704" t="str">
        <f>IF($A704="","",Transactions!A696)</f>
        <v/>
      </c>
      <c r="D704" s="30">
        <f>IF($A704="",0,Transactions!H696)</f>
        <v>0</v>
      </c>
      <c r="E704">
        <f>IF($A704="",1,IFERROR(INDEX(Prices[FX to SGD],MATCH($A704,Prices[Key],0)),1))</f>
        <v>1</v>
      </c>
      <c r="F704" s="30">
        <f>IF($A704="",0,(Transactions!M696-Transactions!L696+IF(Transactions!A696=2,Transactions!H696,0))*$E704)</f>
        <v>0</v>
      </c>
      <c r="G704" s="30">
        <f>IF($A704="",0,IF(Transactions!A696=2,Transactions!H696*$E704,0))</f>
        <v>0</v>
      </c>
    </row>
    <row r="705" spans="1:7" ht="15" customHeight="1" x14ac:dyDescent="0.15">
      <c r="A705" t="str">
        <f>IF(Transactions!J697="","",Transactions!J697)</f>
        <v/>
      </c>
      <c r="B705" s="297">
        <f ca="1">IF($A705="",TODAY(),Transactions!G697)</f>
        <v>46216</v>
      </c>
      <c r="C705" t="str">
        <f>IF($A705="","",Transactions!A697)</f>
        <v/>
      </c>
      <c r="D705" s="30">
        <f>IF($A705="",0,Transactions!H697)</f>
        <v>0</v>
      </c>
      <c r="E705">
        <f>IF($A705="",1,IFERROR(INDEX(Prices[FX to SGD],MATCH($A705,Prices[Key],0)),1))</f>
        <v>1</v>
      </c>
      <c r="F705" s="30">
        <f>IF($A705="",0,(Transactions!M697-Transactions!L697+IF(Transactions!A697=2,Transactions!H697,0))*$E705)</f>
        <v>0</v>
      </c>
      <c r="G705" s="30">
        <f>IF($A705="",0,IF(Transactions!A697=2,Transactions!H697*$E705,0))</f>
        <v>0</v>
      </c>
    </row>
    <row r="706" spans="1:7" ht="15" customHeight="1" x14ac:dyDescent="0.15">
      <c r="A706" t="str">
        <f>IF(Transactions!J698="","",Transactions!J698)</f>
        <v/>
      </c>
      <c r="B706" s="297">
        <f ca="1">IF($A706="",TODAY(),Transactions!G698)</f>
        <v>46216</v>
      </c>
      <c r="C706" t="str">
        <f>IF($A706="","",Transactions!A698)</f>
        <v/>
      </c>
      <c r="D706" s="30">
        <f>IF($A706="",0,Transactions!H698)</f>
        <v>0</v>
      </c>
      <c r="E706">
        <f>IF($A706="",1,IFERROR(INDEX(Prices[FX to SGD],MATCH($A706,Prices[Key],0)),1))</f>
        <v>1</v>
      </c>
      <c r="F706" s="30">
        <f>IF($A706="",0,(Transactions!M698-Transactions!L698+IF(Transactions!A698=2,Transactions!H698,0))*$E706)</f>
        <v>0</v>
      </c>
      <c r="G706" s="30">
        <f>IF($A706="",0,IF(Transactions!A698=2,Transactions!H698*$E706,0))</f>
        <v>0</v>
      </c>
    </row>
    <row r="707" spans="1:7" ht="15" customHeight="1" x14ac:dyDescent="0.15">
      <c r="A707" t="str">
        <f>IF(Transactions!J699="","",Transactions!J699)</f>
        <v/>
      </c>
      <c r="B707" s="297">
        <f ca="1">IF($A707="",TODAY(),Transactions!G699)</f>
        <v>46216</v>
      </c>
      <c r="C707" t="str">
        <f>IF($A707="","",Transactions!A699)</f>
        <v/>
      </c>
      <c r="D707" s="30">
        <f>IF($A707="",0,Transactions!H699)</f>
        <v>0</v>
      </c>
      <c r="E707">
        <f>IF($A707="",1,IFERROR(INDEX(Prices[FX to SGD],MATCH($A707,Prices[Key],0)),1))</f>
        <v>1</v>
      </c>
      <c r="F707" s="30">
        <f>IF($A707="",0,(Transactions!M699-Transactions!L699+IF(Transactions!A699=2,Transactions!H699,0))*$E707)</f>
        <v>0</v>
      </c>
      <c r="G707" s="30">
        <f>IF($A707="",0,IF(Transactions!A699=2,Transactions!H699*$E707,0))</f>
        <v>0</v>
      </c>
    </row>
    <row r="708" spans="1:7" ht="15" customHeight="1" x14ac:dyDescent="0.15">
      <c r="A708" t="str">
        <f>IF(Transactions!J700="","",Transactions!J700)</f>
        <v/>
      </c>
      <c r="B708" s="297">
        <f ca="1">IF($A708="",TODAY(),Transactions!G700)</f>
        <v>46216</v>
      </c>
      <c r="C708" t="str">
        <f>IF($A708="","",Transactions!A700)</f>
        <v/>
      </c>
      <c r="D708" s="30">
        <f>IF($A708="",0,Transactions!H700)</f>
        <v>0</v>
      </c>
      <c r="E708">
        <f>IF($A708="",1,IFERROR(INDEX(Prices[FX to SGD],MATCH($A708,Prices[Key],0)),1))</f>
        <v>1</v>
      </c>
      <c r="F708" s="30">
        <f>IF($A708="",0,(Transactions!M700-Transactions!L700+IF(Transactions!A700=2,Transactions!H700,0))*$E708)</f>
        <v>0</v>
      </c>
      <c r="G708" s="30">
        <f>IF($A708="",0,IF(Transactions!A700=2,Transactions!H700*$E708,0))</f>
        <v>0</v>
      </c>
    </row>
    <row r="709" spans="1:7" ht="15" customHeight="1" x14ac:dyDescent="0.15">
      <c r="A709" t="str">
        <f>IF(Transactions!J701="","",Transactions!J701)</f>
        <v/>
      </c>
      <c r="B709" s="297">
        <f ca="1">IF($A709="",TODAY(),Transactions!G701)</f>
        <v>46216</v>
      </c>
      <c r="C709" t="str">
        <f>IF($A709="","",Transactions!A701)</f>
        <v/>
      </c>
      <c r="D709" s="30">
        <f>IF($A709="",0,Transactions!H701)</f>
        <v>0</v>
      </c>
      <c r="E709">
        <f>IF($A709="",1,IFERROR(INDEX(Prices[FX to SGD],MATCH($A709,Prices[Key],0)),1))</f>
        <v>1</v>
      </c>
      <c r="F709" s="30">
        <f>IF($A709="",0,(Transactions!M701-Transactions!L701+IF(Transactions!A701=2,Transactions!H701,0))*$E709)</f>
        <v>0</v>
      </c>
      <c r="G709" s="30">
        <f>IF($A709="",0,IF(Transactions!A701=2,Transactions!H701*$E709,0))</f>
        <v>0</v>
      </c>
    </row>
    <row r="710" spans="1:7" ht="15" customHeight="1" x14ac:dyDescent="0.15">
      <c r="A710" t="str">
        <f>IF(Transactions!J702="","",Transactions!J702)</f>
        <v/>
      </c>
      <c r="B710" s="297">
        <f ca="1">IF($A710="",TODAY(),Transactions!G702)</f>
        <v>46216</v>
      </c>
      <c r="C710" t="str">
        <f>IF($A710="","",Transactions!A702)</f>
        <v/>
      </c>
      <c r="D710" s="30">
        <f>IF($A710="",0,Transactions!H702)</f>
        <v>0</v>
      </c>
      <c r="E710">
        <f>IF($A710="",1,IFERROR(INDEX(Prices[FX to SGD],MATCH($A710,Prices[Key],0)),1))</f>
        <v>1</v>
      </c>
      <c r="F710" s="30">
        <f>IF($A710="",0,(Transactions!M702-Transactions!L702+IF(Transactions!A702=2,Transactions!H702,0))*$E710)</f>
        <v>0</v>
      </c>
      <c r="G710" s="30">
        <f>IF($A710="",0,IF(Transactions!A702=2,Transactions!H702*$E710,0))</f>
        <v>0</v>
      </c>
    </row>
    <row r="711" spans="1:7" ht="15" customHeight="1" x14ac:dyDescent="0.15">
      <c r="A711" t="str">
        <f>IF(Transactions!J703="","",Transactions!J703)</f>
        <v/>
      </c>
      <c r="B711" s="297">
        <f ca="1">IF($A711="",TODAY(),Transactions!G703)</f>
        <v>46216</v>
      </c>
      <c r="C711" t="str">
        <f>IF($A711="","",Transactions!A703)</f>
        <v/>
      </c>
      <c r="D711" s="30">
        <f>IF($A711="",0,Transactions!H703)</f>
        <v>0</v>
      </c>
      <c r="E711">
        <f>IF($A711="",1,IFERROR(INDEX(Prices[FX to SGD],MATCH($A711,Prices[Key],0)),1))</f>
        <v>1</v>
      </c>
      <c r="F711" s="30">
        <f>IF($A711="",0,(Transactions!M703-Transactions!L703+IF(Transactions!A703=2,Transactions!H703,0))*$E711)</f>
        <v>0</v>
      </c>
      <c r="G711" s="30">
        <f>IF($A711="",0,IF(Transactions!A703=2,Transactions!H703*$E711,0))</f>
        <v>0</v>
      </c>
    </row>
    <row r="712" spans="1:7" ht="15" customHeight="1" x14ac:dyDescent="0.15">
      <c r="A712" t="str">
        <f>IF(Transactions!J704="","",Transactions!J704)</f>
        <v/>
      </c>
      <c r="B712" s="297">
        <f ca="1">IF($A712="",TODAY(),Transactions!G704)</f>
        <v>46216</v>
      </c>
      <c r="C712" t="str">
        <f>IF($A712="","",Transactions!A704)</f>
        <v/>
      </c>
      <c r="D712" s="30">
        <f>IF($A712="",0,Transactions!H704)</f>
        <v>0</v>
      </c>
      <c r="E712">
        <f>IF($A712="",1,IFERROR(INDEX(Prices[FX to SGD],MATCH($A712,Prices[Key],0)),1))</f>
        <v>1</v>
      </c>
      <c r="F712" s="30">
        <f>IF($A712="",0,(Transactions!M704-Transactions!L704+IF(Transactions!A704=2,Transactions!H704,0))*$E712)</f>
        <v>0</v>
      </c>
      <c r="G712" s="30">
        <f>IF($A712="",0,IF(Transactions!A704=2,Transactions!H704*$E712,0))</f>
        <v>0</v>
      </c>
    </row>
    <row r="713" spans="1:7" ht="15" customHeight="1" x14ac:dyDescent="0.15">
      <c r="A713" t="str">
        <f>IF(Transactions!J705="","",Transactions!J705)</f>
        <v/>
      </c>
      <c r="B713" s="297">
        <f ca="1">IF($A713="",TODAY(),Transactions!G705)</f>
        <v>46216</v>
      </c>
      <c r="C713" t="str">
        <f>IF($A713="","",Transactions!A705)</f>
        <v/>
      </c>
      <c r="D713" s="30">
        <f>IF($A713="",0,Transactions!H705)</f>
        <v>0</v>
      </c>
      <c r="E713">
        <f>IF($A713="",1,IFERROR(INDEX(Prices[FX to SGD],MATCH($A713,Prices[Key],0)),1))</f>
        <v>1</v>
      </c>
      <c r="F713" s="30">
        <f>IF($A713="",0,(Transactions!M705-Transactions!L705+IF(Transactions!A705=2,Transactions!H705,0))*$E713)</f>
        <v>0</v>
      </c>
      <c r="G713" s="30">
        <f>IF($A713="",0,IF(Transactions!A705=2,Transactions!H705*$E713,0))</f>
        <v>0</v>
      </c>
    </row>
    <row r="714" spans="1:7" ht="15" customHeight="1" x14ac:dyDescent="0.15">
      <c r="A714" t="str">
        <f>IF(Transactions!J706="","",Transactions!J706)</f>
        <v/>
      </c>
      <c r="B714" s="297">
        <f ca="1">IF($A714="",TODAY(),Transactions!G706)</f>
        <v>46216</v>
      </c>
      <c r="C714" t="str">
        <f>IF($A714="","",Transactions!A706)</f>
        <v/>
      </c>
      <c r="D714" s="30">
        <f>IF($A714="",0,Transactions!H706)</f>
        <v>0</v>
      </c>
      <c r="E714">
        <f>IF($A714="",1,IFERROR(INDEX(Prices[FX to SGD],MATCH($A714,Prices[Key],0)),1))</f>
        <v>1</v>
      </c>
      <c r="F714" s="30">
        <f>IF($A714="",0,(Transactions!M706-Transactions!L706+IF(Transactions!A706=2,Transactions!H706,0))*$E714)</f>
        <v>0</v>
      </c>
      <c r="G714" s="30">
        <f>IF($A714="",0,IF(Transactions!A706=2,Transactions!H706*$E714,0))</f>
        <v>0</v>
      </c>
    </row>
    <row r="715" spans="1:7" ht="15" customHeight="1" x14ac:dyDescent="0.15">
      <c r="A715" t="str">
        <f>IF(Transactions!J707="","",Transactions!J707)</f>
        <v/>
      </c>
      <c r="B715" s="297">
        <f ca="1">IF($A715="",TODAY(),Transactions!G707)</f>
        <v>46216</v>
      </c>
      <c r="C715" t="str">
        <f>IF($A715="","",Transactions!A707)</f>
        <v/>
      </c>
      <c r="D715" s="30">
        <f>IF($A715="",0,Transactions!H707)</f>
        <v>0</v>
      </c>
      <c r="E715">
        <f>IF($A715="",1,IFERROR(INDEX(Prices[FX to SGD],MATCH($A715,Prices[Key],0)),1))</f>
        <v>1</v>
      </c>
      <c r="F715" s="30">
        <f>IF($A715="",0,(Transactions!M707-Transactions!L707+IF(Transactions!A707=2,Transactions!H707,0))*$E715)</f>
        <v>0</v>
      </c>
      <c r="G715" s="30">
        <f>IF($A715="",0,IF(Transactions!A707=2,Transactions!H707*$E715,0))</f>
        <v>0</v>
      </c>
    </row>
    <row r="716" spans="1:7" ht="15" customHeight="1" x14ac:dyDescent="0.15">
      <c r="A716" t="str">
        <f>IF(Transactions!J708="","",Transactions!J708)</f>
        <v/>
      </c>
      <c r="B716" s="297">
        <f ca="1">IF($A716="",TODAY(),Transactions!G708)</f>
        <v>46216</v>
      </c>
      <c r="C716" t="str">
        <f>IF($A716="","",Transactions!A708)</f>
        <v/>
      </c>
      <c r="D716" s="30">
        <f>IF($A716="",0,Transactions!H708)</f>
        <v>0</v>
      </c>
      <c r="E716">
        <f>IF($A716="",1,IFERROR(INDEX(Prices[FX to SGD],MATCH($A716,Prices[Key],0)),1))</f>
        <v>1</v>
      </c>
      <c r="F716" s="30">
        <f>IF($A716="",0,(Transactions!M708-Transactions!L708+IF(Transactions!A708=2,Transactions!H708,0))*$E716)</f>
        <v>0</v>
      </c>
      <c r="G716" s="30">
        <f>IF($A716="",0,IF(Transactions!A708=2,Transactions!H708*$E716,0))</f>
        <v>0</v>
      </c>
    </row>
    <row r="717" spans="1:7" ht="15" customHeight="1" x14ac:dyDescent="0.15">
      <c r="A717" t="str">
        <f>IF(Transactions!J709="","",Transactions!J709)</f>
        <v/>
      </c>
      <c r="B717" s="297">
        <f ca="1">IF($A717="",TODAY(),Transactions!G709)</f>
        <v>46216</v>
      </c>
      <c r="C717" t="str">
        <f>IF($A717="","",Transactions!A709)</f>
        <v/>
      </c>
      <c r="D717" s="30">
        <f>IF($A717="",0,Transactions!H709)</f>
        <v>0</v>
      </c>
      <c r="E717">
        <f>IF($A717="",1,IFERROR(INDEX(Prices[FX to SGD],MATCH($A717,Prices[Key],0)),1))</f>
        <v>1</v>
      </c>
      <c r="F717" s="30">
        <f>IF($A717="",0,(Transactions!M709-Transactions!L709+IF(Transactions!A709=2,Transactions!H709,0))*$E717)</f>
        <v>0</v>
      </c>
      <c r="G717" s="30">
        <f>IF($A717="",0,IF(Transactions!A709=2,Transactions!H709*$E717,0))</f>
        <v>0</v>
      </c>
    </row>
    <row r="718" spans="1:7" ht="15" customHeight="1" x14ac:dyDescent="0.15">
      <c r="A718" t="str">
        <f>IF(Transactions!J710="","",Transactions!J710)</f>
        <v/>
      </c>
      <c r="B718" s="297">
        <f ca="1">IF($A718="",TODAY(),Transactions!G710)</f>
        <v>46216</v>
      </c>
      <c r="C718" t="str">
        <f>IF($A718="","",Transactions!A710)</f>
        <v/>
      </c>
      <c r="D718" s="30">
        <f>IF($A718="",0,Transactions!H710)</f>
        <v>0</v>
      </c>
      <c r="E718">
        <f>IF($A718="",1,IFERROR(INDEX(Prices[FX to SGD],MATCH($A718,Prices[Key],0)),1))</f>
        <v>1</v>
      </c>
      <c r="F718" s="30">
        <f>IF($A718="",0,(Transactions!M710-Transactions!L710+IF(Transactions!A710=2,Transactions!H710,0))*$E718)</f>
        <v>0</v>
      </c>
      <c r="G718" s="30">
        <f>IF($A718="",0,IF(Transactions!A710=2,Transactions!H710*$E718,0))</f>
        <v>0</v>
      </c>
    </row>
    <row r="719" spans="1:7" ht="15" customHeight="1" x14ac:dyDescent="0.15">
      <c r="A719" t="str">
        <f>IF(Transactions!J711="","",Transactions!J711)</f>
        <v/>
      </c>
      <c r="B719" s="297">
        <f ca="1">IF($A719="",TODAY(),Transactions!G711)</f>
        <v>46216</v>
      </c>
      <c r="C719" t="str">
        <f>IF($A719="","",Transactions!A711)</f>
        <v/>
      </c>
      <c r="D719" s="30">
        <f>IF($A719="",0,Transactions!H711)</f>
        <v>0</v>
      </c>
      <c r="E719">
        <f>IF($A719="",1,IFERROR(INDEX(Prices[FX to SGD],MATCH($A719,Prices[Key],0)),1))</f>
        <v>1</v>
      </c>
      <c r="F719" s="30">
        <f>IF($A719="",0,(Transactions!M711-Transactions!L711+IF(Transactions!A711=2,Transactions!H711,0))*$E719)</f>
        <v>0</v>
      </c>
      <c r="G719" s="30">
        <f>IF($A719="",0,IF(Transactions!A711=2,Transactions!H711*$E719,0))</f>
        <v>0</v>
      </c>
    </row>
    <row r="720" spans="1:7" ht="15" customHeight="1" x14ac:dyDescent="0.15">
      <c r="A720" t="str">
        <f>IF(Transactions!J712="","",Transactions!J712)</f>
        <v/>
      </c>
      <c r="B720" s="297">
        <f ca="1">IF($A720="",TODAY(),Transactions!G712)</f>
        <v>46216</v>
      </c>
      <c r="C720" t="str">
        <f>IF($A720="","",Transactions!A712)</f>
        <v/>
      </c>
      <c r="D720" s="30">
        <f>IF($A720="",0,Transactions!H712)</f>
        <v>0</v>
      </c>
      <c r="E720">
        <f>IF($A720="",1,IFERROR(INDEX(Prices[FX to SGD],MATCH($A720,Prices[Key],0)),1))</f>
        <v>1</v>
      </c>
      <c r="F720" s="30">
        <f>IF($A720="",0,(Transactions!M712-Transactions!L712+IF(Transactions!A712=2,Transactions!H712,0))*$E720)</f>
        <v>0</v>
      </c>
      <c r="G720" s="30">
        <f>IF($A720="",0,IF(Transactions!A712=2,Transactions!H712*$E720,0))</f>
        <v>0</v>
      </c>
    </row>
    <row r="721" spans="1:7" ht="15" customHeight="1" x14ac:dyDescent="0.15">
      <c r="A721" t="str">
        <f>IF(Transactions!J713="","",Transactions!J713)</f>
        <v/>
      </c>
      <c r="B721" s="297">
        <f ca="1">IF($A721="",TODAY(),Transactions!G713)</f>
        <v>46216</v>
      </c>
      <c r="C721" t="str">
        <f>IF($A721="","",Transactions!A713)</f>
        <v/>
      </c>
      <c r="D721" s="30">
        <f>IF($A721="",0,Transactions!H713)</f>
        <v>0</v>
      </c>
      <c r="E721">
        <f>IF($A721="",1,IFERROR(INDEX(Prices[FX to SGD],MATCH($A721,Prices[Key],0)),1))</f>
        <v>1</v>
      </c>
      <c r="F721" s="30">
        <f>IF($A721="",0,(Transactions!M713-Transactions!L713+IF(Transactions!A713=2,Transactions!H713,0))*$E721)</f>
        <v>0</v>
      </c>
      <c r="G721" s="30">
        <f>IF($A721="",0,IF(Transactions!A713=2,Transactions!H713*$E721,0))</f>
        <v>0</v>
      </c>
    </row>
    <row r="722" spans="1:7" ht="15" customHeight="1" x14ac:dyDescent="0.15">
      <c r="A722" t="str">
        <f>IF(Transactions!J714="","",Transactions!J714)</f>
        <v/>
      </c>
      <c r="B722" s="297">
        <f ca="1">IF($A722="",TODAY(),Transactions!G714)</f>
        <v>46216</v>
      </c>
      <c r="C722" t="str">
        <f>IF($A722="","",Transactions!A714)</f>
        <v/>
      </c>
      <c r="D722" s="30">
        <f>IF($A722="",0,Transactions!H714)</f>
        <v>0</v>
      </c>
      <c r="E722">
        <f>IF($A722="",1,IFERROR(INDEX(Prices[FX to SGD],MATCH($A722,Prices[Key],0)),1))</f>
        <v>1</v>
      </c>
      <c r="F722" s="30">
        <f>IF($A722="",0,(Transactions!M714-Transactions!L714+IF(Transactions!A714=2,Transactions!H714,0))*$E722)</f>
        <v>0</v>
      </c>
      <c r="G722" s="30">
        <f>IF($A722="",0,IF(Transactions!A714=2,Transactions!H714*$E722,0))</f>
        <v>0</v>
      </c>
    </row>
    <row r="723" spans="1:7" ht="15" customHeight="1" x14ac:dyDescent="0.15">
      <c r="A723" t="str">
        <f>IF(Transactions!J715="","",Transactions!J715)</f>
        <v/>
      </c>
      <c r="B723" s="297">
        <f ca="1">IF($A723="",TODAY(),Transactions!G715)</f>
        <v>46216</v>
      </c>
      <c r="C723" t="str">
        <f>IF($A723="","",Transactions!A715)</f>
        <v/>
      </c>
      <c r="D723" s="30">
        <f>IF($A723="",0,Transactions!H715)</f>
        <v>0</v>
      </c>
      <c r="E723">
        <f>IF($A723="",1,IFERROR(INDEX(Prices[FX to SGD],MATCH($A723,Prices[Key],0)),1))</f>
        <v>1</v>
      </c>
      <c r="F723" s="30">
        <f>IF($A723="",0,(Transactions!M715-Transactions!L715+IF(Transactions!A715=2,Transactions!H715,0))*$E723)</f>
        <v>0</v>
      </c>
      <c r="G723" s="30">
        <f>IF($A723="",0,IF(Transactions!A715=2,Transactions!H715*$E723,0))</f>
        <v>0</v>
      </c>
    </row>
    <row r="724" spans="1:7" ht="15" customHeight="1" x14ac:dyDescent="0.15">
      <c r="A724" t="str">
        <f>IF(Transactions!J716="","",Transactions!J716)</f>
        <v/>
      </c>
      <c r="B724" s="297">
        <f ca="1">IF($A724="",TODAY(),Transactions!G716)</f>
        <v>46216</v>
      </c>
      <c r="C724" t="str">
        <f>IF($A724="","",Transactions!A716)</f>
        <v/>
      </c>
      <c r="D724" s="30">
        <f>IF($A724="",0,Transactions!H716)</f>
        <v>0</v>
      </c>
      <c r="E724">
        <f>IF($A724="",1,IFERROR(INDEX(Prices[FX to SGD],MATCH($A724,Prices[Key],0)),1))</f>
        <v>1</v>
      </c>
      <c r="F724" s="30">
        <f>IF($A724="",0,(Transactions!M716-Transactions!L716+IF(Transactions!A716=2,Transactions!H716,0))*$E724)</f>
        <v>0</v>
      </c>
      <c r="G724" s="30">
        <f>IF($A724="",0,IF(Transactions!A716=2,Transactions!H716*$E724,0))</f>
        <v>0</v>
      </c>
    </row>
    <row r="725" spans="1:7" ht="15" customHeight="1" x14ac:dyDescent="0.15">
      <c r="A725" t="str">
        <f>IF(Transactions!J717="","",Transactions!J717)</f>
        <v/>
      </c>
      <c r="B725" s="297">
        <f ca="1">IF($A725="",TODAY(),Transactions!G717)</f>
        <v>46216</v>
      </c>
      <c r="C725" t="str">
        <f>IF($A725="","",Transactions!A717)</f>
        <v/>
      </c>
      <c r="D725" s="30">
        <f>IF($A725="",0,Transactions!H717)</f>
        <v>0</v>
      </c>
      <c r="E725">
        <f>IF($A725="",1,IFERROR(INDEX(Prices[FX to SGD],MATCH($A725,Prices[Key],0)),1))</f>
        <v>1</v>
      </c>
      <c r="F725" s="30">
        <f>IF($A725="",0,(Transactions!M717-Transactions!L717+IF(Transactions!A717=2,Transactions!H717,0))*$E725)</f>
        <v>0</v>
      </c>
      <c r="G725" s="30">
        <f>IF($A725="",0,IF(Transactions!A717=2,Transactions!H717*$E725,0))</f>
        <v>0</v>
      </c>
    </row>
    <row r="726" spans="1:7" ht="15" customHeight="1" x14ac:dyDescent="0.15">
      <c r="A726" t="str">
        <f>IF(Transactions!J718="","",Transactions!J718)</f>
        <v/>
      </c>
      <c r="B726" s="297">
        <f ca="1">IF($A726="",TODAY(),Transactions!G718)</f>
        <v>46216</v>
      </c>
      <c r="C726" t="str">
        <f>IF($A726="","",Transactions!A718)</f>
        <v/>
      </c>
      <c r="D726" s="30">
        <f>IF($A726="",0,Transactions!H718)</f>
        <v>0</v>
      </c>
      <c r="E726">
        <f>IF($A726="",1,IFERROR(INDEX(Prices[FX to SGD],MATCH($A726,Prices[Key],0)),1))</f>
        <v>1</v>
      </c>
      <c r="F726" s="30">
        <f>IF($A726="",0,(Transactions!M718-Transactions!L718+IF(Transactions!A718=2,Transactions!H718,0))*$E726)</f>
        <v>0</v>
      </c>
      <c r="G726" s="30">
        <f>IF($A726="",0,IF(Transactions!A718=2,Transactions!H718*$E726,0))</f>
        <v>0</v>
      </c>
    </row>
    <row r="727" spans="1:7" ht="15" customHeight="1" x14ac:dyDescent="0.15">
      <c r="A727" t="str">
        <f>IF(Transactions!J719="","",Transactions!J719)</f>
        <v/>
      </c>
      <c r="B727" s="297">
        <f ca="1">IF($A727="",TODAY(),Transactions!G719)</f>
        <v>46216</v>
      </c>
      <c r="C727" t="str">
        <f>IF($A727="","",Transactions!A719)</f>
        <v/>
      </c>
      <c r="D727" s="30">
        <f>IF($A727="",0,Transactions!H719)</f>
        <v>0</v>
      </c>
      <c r="E727">
        <f>IF($A727="",1,IFERROR(INDEX(Prices[FX to SGD],MATCH($A727,Prices[Key],0)),1))</f>
        <v>1</v>
      </c>
      <c r="F727" s="30">
        <f>IF($A727="",0,(Transactions!M719-Transactions!L719+IF(Transactions!A719=2,Transactions!H719,0))*$E727)</f>
        <v>0</v>
      </c>
      <c r="G727" s="30">
        <f>IF($A727="",0,IF(Transactions!A719=2,Transactions!H719*$E727,0))</f>
        <v>0</v>
      </c>
    </row>
    <row r="728" spans="1:7" ht="15" customHeight="1" x14ac:dyDescent="0.15">
      <c r="A728" t="str">
        <f>IF(Transactions!J720="","",Transactions!J720)</f>
        <v/>
      </c>
      <c r="B728" s="297">
        <f ca="1">IF($A728="",TODAY(),Transactions!G720)</f>
        <v>46216</v>
      </c>
      <c r="C728" t="str">
        <f>IF($A728="","",Transactions!A720)</f>
        <v/>
      </c>
      <c r="D728" s="30">
        <f>IF($A728="",0,Transactions!H720)</f>
        <v>0</v>
      </c>
      <c r="E728">
        <f>IF($A728="",1,IFERROR(INDEX(Prices[FX to SGD],MATCH($A728,Prices[Key],0)),1))</f>
        <v>1</v>
      </c>
      <c r="F728" s="30">
        <f>IF($A728="",0,(Transactions!M720-Transactions!L720+IF(Transactions!A720=2,Transactions!H720,0))*$E728)</f>
        <v>0</v>
      </c>
      <c r="G728" s="30">
        <f>IF($A728="",0,IF(Transactions!A720=2,Transactions!H720*$E728,0))</f>
        <v>0</v>
      </c>
    </row>
    <row r="729" spans="1:7" ht="15" customHeight="1" x14ac:dyDescent="0.15">
      <c r="A729" t="str">
        <f>IF(Transactions!J721="","",Transactions!J721)</f>
        <v/>
      </c>
      <c r="B729" s="297">
        <f ca="1">IF($A729="",TODAY(),Transactions!G721)</f>
        <v>46216</v>
      </c>
      <c r="C729" t="str">
        <f>IF($A729="","",Transactions!A721)</f>
        <v/>
      </c>
      <c r="D729" s="30">
        <f>IF($A729="",0,Transactions!H721)</f>
        <v>0</v>
      </c>
      <c r="E729">
        <f>IF($A729="",1,IFERROR(INDEX(Prices[FX to SGD],MATCH($A729,Prices[Key],0)),1))</f>
        <v>1</v>
      </c>
      <c r="F729" s="30">
        <f>IF($A729="",0,(Transactions!M721-Transactions!L721+IF(Transactions!A721=2,Transactions!H721,0))*$E729)</f>
        <v>0</v>
      </c>
      <c r="G729" s="30">
        <f>IF($A729="",0,IF(Transactions!A721=2,Transactions!H721*$E729,0))</f>
        <v>0</v>
      </c>
    </row>
    <row r="730" spans="1:7" ht="15" customHeight="1" x14ac:dyDescent="0.15">
      <c r="A730" t="str">
        <f>IF(Transactions!J722="","",Transactions!J722)</f>
        <v/>
      </c>
      <c r="B730" s="297">
        <f ca="1">IF($A730="",TODAY(),Transactions!G722)</f>
        <v>46216</v>
      </c>
      <c r="C730" t="str">
        <f>IF($A730="","",Transactions!A722)</f>
        <v/>
      </c>
      <c r="D730" s="30">
        <f>IF($A730="",0,Transactions!H722)</f>
        <v>0</v>
      </c>
      <c r="E730">
        <f>IF($A730="",1,IFERROR(INDEX(Prices[FX to SGD],MATCH($A730,Prices[Key],0)),1))</f>
        <v>1</v>
      </c>
      <c r="F730" s="30">
        <f>IF($A730="",0,(Transactions!M722-Transactions!L722+IF(Transactions!A722=2,Transactions!H722,0))*$E730)</f>
        <v>0</v>
      </c>
      <c r="G730" s="30">
        <f>IF($A730="",0,IF(Transactions!A722=2,Transactions!H722*$E730,0))</f>
        <v>0</v>
      </c>
    </row>
    <row r="731" spans="1:7" ht="15" customHeight="1" x14ac:dyDescent="0.15">
      <c r="A731" t="str">
        <f>IF(Transactions!J723="","",Transactions!J723)</f>
        <v/>
      </c>
      <c r="B731" s="297">
        <f ca="1">IF($A731="",TODAY(),Transactions!G723)</f>
        <v>46216</v>
      </c>
      <c r="C731" t="str">
        <f>IF($A731="","",Transactions!A723)</f>
        <v/>
      </c>
      <c r="D731" s="30">
        <f>IF($A731="",0,Transactions!H723)</f>
        <v>0</v>
      </c>
      <c r="E731">
        <f>IF($A731="",1,IFERROR(INDEX(Prices[FX to SGD],MATCH($A731,Prices[Key],0)),1))</f>
        <v>1</v>
      </c>
      <c r="F731" s="30">
        <f>IF($A731="",0,(Transactions!M723-Transactions!L723+IF(Transactions!A723=2,Transactions!H723,0))*$E731)</f>
        <v>0</v>
      </c>
      <c r="G731" s="30">
        <f>IF($A731="",0,IF(Transactions!A723=2,Transactions!H723*$E731,0))</f>
        <v>0</v>
      </c>
    </row>
    <row r="732" spans="1:7" ht="15" customHeight="1" x14ac:dyDescent="0.15">
      <c r="A732" t="str">
        <f>IF(Transactions!J724="","",Transactions!J724)</f>
        <v/>
      </c>
      <c r="B732" s="297">
        <f ca="1">IF($A732="",TODAY(),Transactions!G724)</f>
        <v>46216</v>
      </c>
      <c r="C732" t="str">
        <f>IF($A732="","",Transactions!A724)</f>
        <v/>
      </c>
      <c r="D732" s="30">
        <f>IF($A732="",0,Transactions!H724)</f>
        <v>0</v>
      </c>
      <c r="E732">
        <f>IF($A732="",1,IFERROR(INDEX(Prices[FX to SGD],MATCH($A732,Prices[Key],0)),1))</f>
        <v>1</v>
      </c>
      <c r="F732" s="30">
        <f>IF($A732="",0,(Transactions!M724-Transactions!L724+IF(Transactions!A724=2,Transactions!H724,0))*$E732)</f>
        <v>0</v>
      </c>
      <c r="G732" s="30">
        <f>IF($A732="",0,IF(Transactions!A724=2,Transactions!H724*$E732,0))</f>
        <v>0</v>
      </c>
    </row>
    <row r="733" spans="1:7" ht="15" customHeight="1" x14ac:dyDescent="0.15">
      <c r="A733" t="str">
        <f>IF(Transactions!J725="","",Transactions!J725)</f>
        <v/>
      </c>
      <c r="B733" s="297">
        <f ca="1">IF($A733="",TODAY(),Transactions!G725)</f>
        <v>46216</v>
      </c>
      <c r="C733" t="str">
        <f>IF($A733="","",Transactions!A725)</f>
        <v/>
      </c>
      <c r="D733" s="30">
        <f>IF($A733="",0,Transactions!H725)</f>
        <v>0</v>
      </c>
      <c r="E733">
        <f>IF($A733="",1,IFERROR(INDEX(Prices[FX to SGD],MATCH($A733,Prices[Key],0)),1))</f>
        <v>1</v>
      </c>
      <c r="F733" s="30">
        <f>IF($A733="",0,(Transactions!M725-Transactions!L725+IF(Transactions!A725=2,Transactions!H725,0))*$E733)</f>
        <v>0</v>
      </c>
      <c r="G733" s="30">
        <f>IF($A733="",0,IF(Transactions!A725=2,Transactions!H725*$E733,0))</f>
        <v>0</v>
      </c>
    </row>
    <row r="734" spans="1:7" ht="15" customHeight="1" x14ac:dyDescent="0.15">
      <c r="A734" t="str">
        <f>IF(Transactions!J726="","",Transactions!J726)</f>
        <v/>
      </c>
      <c r="B734" s="297">
        <f ca="1">IF($A734="",TODAY(),Transactions!G726)</f>
        <v>46216</v>
      </c>
      <c r="C734" t="str">
        <f>IF($A734="","",Transactions!A726)</f>
        <v/>
      </c>
      <c r="D734" s="30">
        <f>IF($A734="",0,Transactions!H726)</f>
        <v>0</v>
      </c>
      <c r="E734">
        <f>IF($A734="",1,IFERROR(INDEX(Prices[FX to SGD],MATCH($A734,Prices[Key],0)),1))</f>
        <v>1</v>
      </c>
      <c r="F734" s="30">
        <f>IF($A734="",0,(Transactions!M726-Transactions!L726+IF(Transactions!A726=2,Transactions!H726,0))*$E734)</f>
        <v>0</v>
      </c>
      <c r="G734" s="30">
        <f>IF($A734="",0,IF(Transactions!A726=2,Transactions!H726*$E734,0))</f>
        <v>0</v>
      </c>
    </row>
    <row r="735" spans="1:7" ht="15" customHeight="1" x14ac:dyDescent="0.15">
      <c r="A735" t="str">
        <f>IF(Transactions!J727="","",Transactions!J727)</f>
        <v/>
      </c>
      <c r="B735" s="297">
        <f ca="1">IF($A735="",TODAY(),Transactions!G727)</f>
        <v>46216</v>
      </c>
      <c r="C735" t="str">
        <f>IF($A735="","",Transactions!A727)</f>
        <v/>
      </c>
      <c r="D735" s="30">
        <f>IF($A735="",0,Transactions!H727)</f>
        <v>0</v>
      </c>
      <c r="E735">
        <f>IF($A735="",1,IFERROR(INDEX(Prices[FX to SGD],MATCH($A735,Prices[Key],0)),1))</f>
        <v>1</v>
      </c>
      <c r="F735" s="30">
        <f>IF($A735="",0,(Transactions!M727-Transactions!L727+IF(Transactions!A727=2,Transactions!H727,0))*$E735)</f>
        <v>0</v>
      </c>
      <c r="G735" s="30">
        <f>IF($A735="",0,IF(Transactions!A727=2,Transactions!H727*$E735,0))</f>
        <v>0</v>
      </c>
    </row>
    <row r="736" spans="1:7" ht="15" customHeight="1" x14ac:dyDescent="0.15">
      <c r="A736" t="str">
        <f>IF(Transactions!J728="","",Transactions!J728)</f>
        <v/>
      </c>
      <c r="B736" s="297">
        <f ca="1">IF($A736="",TODAY(),Transactions!G728)</f>
        <v>46216</v>
      </c>
      <c r="C736" t="str">
        <f>IF($A736="","",Transactions!A728)</f>
        <v/>
      </c>
      <c r="D736" s="30">
        <f>IF($A736="",0,Transactions!H728)</f>
        <v>0</v>
      </c>
      <c r="E736">
        <f>IF($A736="",1,IFERROR(INDEX(Prices[FX to SGD],MATCH($A736,Prices[Key],0)),1))</f>
        <v>1</v>
      </c>
      <c r="F736" s="30">
        <f>IF($A736="",0,(Transactions!M728-Transactions!L728+IF(Transactions!A728=2,Transactions!H728,0))*$E736)</f>
        <v>0</v>
      </c>
      <c r="G736" s="30">
        <f>IF($A736="",0,IF(Transactions!A728=2,Transactions!H728*$E736,0))</f>
        <v>0</v>
      </c>
    </row>
    <row r="737" spans="1:7" ht="15" customHeight="1" x14ac:dyDescent="0.15">
      <c r="A737" t="str">
        <f>IF(Transactions!J729="","",Transactions!J729)</f>
        <v/>
      </c>
      <c r="B737" s="297">
        <f ca="1">IF($A737="",TODAY(),Transactions!G729)</f>
        <v>46216</v>
      </c>
      <c r="C737" t="str">
        <f>IF($A737="","",Transactions!A729)</f>
        <v/>
      </c>
      <c r="D737" s="30">
        <f>IF($A737="",0,Transactions!H729)</f>
        <v>0</v>
      </c>
      <c r="E737">
        <f>IF($A737="",1,IFERROR(INDEX(Prices[FX to SGD],MATCH($A737,Prices[Key],0)),1))</f>
        <v>1</v>
      </c>
      <c r="F737" s="30">
        <f>IF($A737="",0,(Transactions!M729-Transactions!L729+IF(Transactions!A729=2,Transactions!H729,0))*$E737)</f>
        <v>0</v>
      </c>
      <c r="G737" s="30">
        <f>IF($A737="",0,IF(Transactions!A729=2,Transactions!H729*$E737,0))</f>
        <v>0</v>
      </c>
    </row>
    <row r="738" spans="1:7" ht="15" customHeight="1" x14ac:dyDescent="0.15">
      <c r="A738" t="str">
        <f>IF(Transactions!J730="","",Transactions!J730)</f>
        <v/>
      </c>
      <c r="B738" s="297">
        <f ca="1">IF($A738="",TODAY(),Transactions!G730)</f>
        <v>46216</v>
      </c>
      <c r="C738" t="str">
        <f>IF($A738="","",Transactions!A730)</f>
        <v/>
      </c>
      <c r="D738" s="30">
        <f>IF($A738="",0,Transactions!H730)</f>
        <v>0</v>
      </c>
      <c r="E738">
        <f>IF($A738="",1,IFERROR(INDEX(Prices[FX to SGD],MATCH($A738,Prices[Key],0)),1))</f>
        <v>1</v>
      </c>
      <c r="F738" s="30">
        <f>IF($A738="",0,(Transactions!M730-Transactions!L730+IF(Transactions!A730=2,Transactions!H730,0))*$E738)</f>
        <v>0</v>
      </c>
      <c r="G738" s="30">
        <f>IF($A738="",0,IF(Transactions!A730=2,Transactions!H730*$E738,0))</f>
        <v>0</v>
      </c>
    </row>
    <row r="739" spans="1:7" ht="15" customHeight="1" x14ac:dyDescent="0.15">
      <c r="A739" t="str">
        <f>IF(Transactions!J731="","",Transactions!J731)</f>
        <v/>
      </c>
      <c r="B739" s="297">
        <f ca="1">IF($A739="",TODAY(),Transactions!G731)</f>
        <v>46216</v>
      </c>
      <c r="C739" t="str">
        <f>IF($A739="","",Transactions!A731)</f>
        <v/>
      </c>
      <c r="D739" s="30">
        <f>IF($A739="",0,Transactions!H731)</f>
        <v>0</v>
      </c>
      <c r="E739">
        <f>IF($A739="",1,IFERROR(INDEX(Prices[FX to SGD],MATCH($A739,Prices[Key],0)),1))</f>
        <v>1</v>
      </c>
      <c r="F739" s="30">
        <f>IF($A739="",0,(Transactions!M731-Transactions!L731+IF(Transactions!A731=2,Transactions!H731,0))*$E739)</f>
        <v>0</v>
      </c>
      <c r="G739" s="30">
        <f>IF($A739="",0,IF(Transactions!A731=2,Transactions!H731*$E739,0))</f>
        <v>0</v>
      </c>
    </row>
    <row r="740" spans="1:7" ht="15" customHeight="1" x14ac:dyDescent="0.15">
      <c r="A740" t="str">
        <f>IF(Transactions!J732="","",Transactions!J732)</f>
        <v/>
      </c>
      <c r="B740" s="297">
        <f ca="1">IF($A740="",TODAY(),Transactions!G732)</f>
        <v>46216</v>
      </c>
      <c r="C740" t="str">
        <f>IF($A740="","",Transactions!A732)</f>
        <v/>
      </c>
      <c r="D740" s="30">
        <f>IF($A740="",0,Transactions!H732)</f>
        <v>0</v>
      </c>
      <c r="E740">
        <f>IF($A740="",1,IFERROR(INDEX(Prices[FX to SGD],MATCH($A740,Prices[Key],0)),1))</f>
        <v>1</v>
      </c>
      <c r="F740" s="30">
        <f>IF($A740="",0,(Transactions!M732-Transactions!L732+IF(Transactions!A732=2,Transactions!H732,0))*$E740)</f>
        <v>0</v>
      </c>
      <c r="G740" s="30">
        <f>IF($A740="",0,IF(Transactions!A732=2,Transactions!H732*$E740,0))</f>
        <v>0</v>
      </c>
    </row>
    <row r="741" spans="1:7" ht="15" customHeight="1" x14ac:dyDescent="0.15">
      <c r="A741" t="str">
        <f>IF(Transactions!J733="","",Transactions!J733)</f>
        <v/>
      </c>
      <c r="B741" s="297">
        <f ca="1">IF($A741="",TODAY(),Transactions!G733)</f>
        <v>46216</v>
      </c>
      <c r="C741" t="str">
        <f>IF($A741="","",Transactions!A733)</f>
        <v/>
      </c>
      <c r="D741" s="30">
        <f>IF($A741="",0,Transactions!H733)</f>
        <v>0</v>
      </c>
      <c r="E741">
        <f>IF($A741="",1,IFERROR(INDEX(Prices[FX to SGD],MATCH($A741,Prices[Key],0)),1))</f>
        <v>1</v>
      </c>
      <c r="F741" s="30">
        <f>IF($A741="",0,(Transactions!M733-Transactions!L733+IF(Transactions!A733=2,Transactions!H733,0))*$E741)</f>
        <v>0</v>
      </c>
      <c r="G741" s="30">
        <f>IF($A741="",0,IF(Transactions!A733=2,Transactions!H733*$E741,0))</f>
        <v>0</v>
      </c>
    </row>
    <row r="742" spans="1:7" ht="15" customHeight="1" x14ac:dyDescent="0.15">
      <c r="A742" t="str">
        <f>IF(Transactions!J734="","",Transactions!J734)</f>
        <v/>
      </c>
      <c r="B742" s="297">
        <f ca="1">IF($A742="",TODAY(),Transactions!G734)</f>
        <v>46216</v>
      </c>
      <c r="C742" t="str">
        <f>IF($A742="","",Transactions!A734)</f>
        <v/>
      </c>
      <c r="D742" s="30">
        <f>IF($A742="",0,Transactions!H734)</f>
        <v>0</v>
      </c>
      <c r="E742">
        <f>IF($A742="",1,IFERROR(INDEX(Prices[FX to SGD],MATCH($A742,Prices[Key],0)),1))</f>
        <v>1</v>
      </c>
      <c r="F742" s="30">
        <f>IF($A742="",0,(Transactions!M734-Transactions!L734+IF(Transactions!A734=2,Transactions!H734,0))*$E742)</f>
        <v>0</v>
      </c>
      <c r="G742" s="30">
        <f>IF($A742="",0,IF(Transactions!A734=2,Transactions!H734*$E742,0))</f>
        <v>0</v>
      </c>
    </row>
    <row r="743" spans="1:7" ht="15" customHeight="1" x14ac:dyDescent="0.15">
      <c r="A743" t="str">
        <f>IF(Transactions!J735="","",Transactions!J735)</f>
        <v/>
      </c>
      <c r="B743" s="297">
        <f ca="1">IF($A743="",TODAY(),Transactions!G735)</f>
        <v>46216</v>
      </c>
      <c r="C743" t="str">
        <f>IF($A743="","",Transactions!A735)</f>
        <v/>
      </c>
      <c r="D743" s="30">
        <f>IF($A743="",0,Transactions!H735)</f>
        <v>0</v>
      </c>
      <c r="E743">
        <f>IF($A743="",1,IFERROR(INDEX(Prices[FX to SGD],MATCH($A743,Prices[Key],0)),1))</f>
        <v>1</v>
      </c>
      <c r="F743" s="30">
        <f>IF($A743="",0,(Transactions!M735-Transactions!L735+IF(Transactions!A735=2,Transactions!H735,0))*$E743)</f>
        <v>0</v>
      </c>
      <c r="G743" s="30">
        <f>IF($A743="",0,IF(Transactions!A735=2,Transactions!H735*$E743,0))</f>
        <v>0</v>
      </c>
    </row>
    <row r="744" spans="1:7" ht="15" customHeight="1" x14ac:dyDescent="0.15">
      <c r="A744" t="str">
        <f>IF(Transactions!J736="","",Transactions!J736)</f>
        <v/>
      </c>
      <c r="B744" s="297">
        <f ca="1">IF($A744="",TODAY(),Transactions!G736)</f>
        <v>46216</v>
      </c>
      <c r="C744" t="str">
        <f>IF($A744="","",Transactions!A736)</f>
        <v/>
      </c>
      <c r="D744" s="30">
        <f>IF($A744="",0,Transactions!H736)</f>
        <v>0</v>
      </c>
      <c r="E744">
        <f>IF($A744="",1,IFERROR(INDEX(Prices[FX to SGD],MATCH($A744,Prices[Key],0)),1))</f>
        <v>1</v>
      </c>
      <c r="F744" s="30">
        <f>IF($A744="",0,(Transactions!M736-Transactions!L736+IF(Transactions!A736=2,Transactions!H736,0))*$E744)</f>
        <v>0</v>
      </c>
      <c r="G744" s="30">
        <f>IF($A744="",0,IF(Transactions!A736=2,Transactions!H736*$E744,0))</f>
        <v>0</v>
      </c>
    </row>
    <row r="745" spans="1:7" ht="15" customHeight="1" x14ac:dyDescent="0.15">
      <c r="A745" t="str">
        <f>IF(Transactions!J737="","",Transactions!J737)</f>
        <v/>
      </c>
      <c r="B745" s="297">
        <f ca="1">IF($A745="",TODAY(),Transactions!G737)</f>
        <v>46216</v>
      </c>
      <c r="C745" t="str">
        <f>IF($A745="","",Transactions!A737)</f>
        <v/>
      </c>
      <c r="D745" s="30">
        <f>IF($A745="",0,Transactions!H737)</f>
        <v>0</v>
      </c>
      <c r="E745">
        <f>IF($A745="",1,IFERROR(INDEX(Prices[FX to SGD],MATCH($A745,Prices[Key],0)),1))</f>
        <v>1</v>
      </c>
      <c r="F745" s="30">
        <f>IF($A745="",0,(Transactions!M737-Transactions!L737+IF(Transactions!A737=2,Transactions!H737,0))*$E745)</f>
        <v>0</v>
      </c>
      <c r="G745" s="30">
        <f>IF($A745="",0,IF(Transactions!A737=2,Transactions!H737*$E745,0))</f>
        <v>0</v>
      </c>
    </row>
    <row r="746" spans="1:7" ht="15" customHeight="1" x14ac:dyDescent="0.15">
      <c r="A746" t="str">
        <f>IF(Transactions!J738="","",Transactions!J738)</f>
        <v/>
      </c>
      <c r="B746" s="297">
        <f ca="1">IF($A746="",TODAY(),Transactions!G738)</f>
        <v>46216</v>
      </c>
      <c r="C746" t="str">
        <f>IF($A746="","",Transactions!A738)</f>
        <v/>
      </c>
      <c r="D746" s="30">
        <f>IF($A746="",0,Transactions!H738)</f>
        <v>0</v>
      </c>
      <c r="E746">
        <f>IF($A746="",1,IFERROR(INDEX(Prices[FX to SGD],MATCH($A746,Prices[Key],0)),1))</f>
        <v>1</v>
      </c>
      <c r="F746" s="30">
        <f>IF($A746="",0,(Transactions!M738-Transactions!L738+IF(Transactions!A738=2,Transactions!H738,0))*$E746)</f>
        <v>0</v>
      </c>
      <c r="G746" s="30">
        <f>IF($A746="",0,IF(Transactions!A738=2,Transactions!H738*$E746,0))</f>
        <v>0</v>
      </c>
    </row>
    <row r="747" spans="1:7" ht="15" customHeight="1" x14ac:dyDescent="0.15">
      <c r="A747" t="str">
        <f>IF(Transactions!J739="","",Transactions!J739)</f>
        <v/>
      </c>
      <c r="B747" s="297">
        <f ca="1">IF($A747="",TODAY(),Transactions!G739)</f>
        <v>46216</v>
      </c>
      <c r="C747" t="str">
        <f>IF($A747="","",Transactions!A739)</f>
        <v/>
      </c>
      <c r="D747" s="30">
        <f>IF($A747="",0,Transactions!H739)</f>
        <v>0</v>
      </c>
      <c r="E747">
        <f>IF($A747="",1,IFERROR(INDEX(Prices[FX to SGD],MATCH($A747,Prices[Key],0)),1))</f>
        <v>1</v>
      </c>
      <c r="F747" s="30">
        <f>IF($A747="",0,(Transactions!M739-Transactions!L739+IF(Transactions!A739=2,Transactions!H739,0))*$E747)</f>
        <v>0</v>
      </c>
      <c r="G747" s="30">
        <f>IF($A747="",0,IF(Transactions!A739=2,Transactions!H739*$E747,0))</f>
        <v>0</v>
      </c>
    </row>
    <row r="748" spans="1:7" ht="15" customHeight="1" x14ac:dyDescent="0.15">
      <c r="A748" t="str">
        <f>IF(Transactions!J740="","",Transactions!J740)</f>
        <v/>
      </c>
      <c r="B748" s="297">
        <f ca="1">IF($A748="",TODAY(),Transactions!G740)</f>
        <v>46216</v>
      </c>
      <c r="C748" t="str">
        <f>IF($A748="","",Transactions!A740)</f>
        <v/>
      </c>
      <c r="D748" s="30">
        <f>IF($A748="",0,Transactions!H740)</f>
        <v>0</v>
      </c>
      <c r="E748">
        <f>IF($A748="",1,IFERROR(INDEX(Prices[FX to SGD],MATCH($A748,Prices[Key],0)),1))</f>
        <v>1</v>
      </c>
      <c r="F748" s="30">
        <f>IF($A748="",0,(Transactions!M740-Transactions!L740+IF(Transactions!A740=2,Transactions!H740,0))*$E748)</f>
        <v>0</v>
      </c>
      <c r="G748" s="30">
        <f>IF($A748="",0,IF(Transactions!A740=2,Transactions!H740*$E748,0))</f>
        <v>0</v>
      </c>
    </row>
    <row r="749" spans="1:7" ht="15" customHeight="1" x14ac:dyDescent="0.15">
      <c r="A749" t="str">
        <f>IF(Transactions!J741="","",Transactions!J741)</f>
        <v/>
      </c>
      <c r="B749" s="297">
        <f ca="1">IF($A749="",TODAY(),Transactions!G741)</f>
        <v>46216</v>
      </c>
      <c r="C749" t="str">
        <f>IF($A749="","",Transactions!A741)</f>
        <v/>
      </c>
      <c r="D749" s="30">
        <f>IF($A749="",0,Transactions!H741)</f>
        <v>0</v>
      </c>
      <c r="E749">
        <f>IF($A749="",1,IFERROR(INDEX(Prices[FX to SGD],MATCH($A749,Prices[Key],0)),1))</f>
        <v>1</v>
      </c>
      <c r="F749" s="30">
        <f>IF($A749="",0,(Transactions!M741-Transactions!L741+IF(Transactions!A741=2,Transactions!H741,0))*$E749)</f>
        <v>0</v>
      </c>
      <c r="G749" s="30">
        <f>IF($A749="",0,IF(Transactions!A741=2,Transactions!H741*$E749,0))</f>
        <v>0</v>
      </c>
    </row>
    <row r="750" spans="1:7" ht="15" customHeight="1" x14ac:dyDescent="0.15">
      <c r="A750" t="str">
        <f>IF(Transactions!J742="","",Transactions!J742)</f>
        <v/>
      </c>
      <c r="B750" s="297">
        <f ca="1">IF($A750="",TODAY(),Transactions!G742)</f>
        <v>46216</v>
      </c>
      <c r="C750" t="str">
        <f>IF($A750="","",Transactions!A742)</f>
        <v/>
      </c>
      <c r="D750" s="30">
        <f>IF($A750="",0,Transactions!H742)</f>
        <v>0</v>
      </c>
      <c r="E750">
        <f>IF($A750="",1,IFERROR(INDEX(Prices[FX to SGD],MATCH($A750,Prices[Key],0)),1))</f>
        <v>1</v>
      </c>
      <c r="F750" s="30">
        <f>IF($A750="",0,(Transactions!M742-Transactions!L742+IF(Transactions!A742=2,Transactions!H742,0))*$E750)</f>
        <v>0</v>
      </c>
      <c r="G750" s="30">
        <f>IF($A750="",0,IF(Transactions!A742=2,Transactions!H742*$E750,0))</f>
        <v>0</v>
      </c>
    </row>
    <row r="751" spans="1:7" ht="15" customHeight="1" x14ac:dyDescent="0.15">
      <c r="A751" t="str">
        <f>IF(Transactions!J743="","",Transactions!J743)</f>
        <v/>
      </c>
      <c r="B751" s="297">
        <f ca="1">IF($A751="",TODAY(),Transactions!G743)</f>
        <v>46216</v>
      </c>
      <c r="C751" t="str">
        <f>IF($A751="","",Transactions!A743)</f>
        <v/>
      </c>
      <c r="D751" s="30">
        <f>IF($A751="",0,Transactions!H743)</f>
        <v>0</v>
      </c>
      <c r="E751">
        <f>IF($A751="",1,IFERROR(INDEX(Prices[FX to SGD],MATCH($A751,Prices[Key],0)),1))</f>
        <v>1</v>
      </c>
      <c r="F751" s="30">
        <f>IF($A751="",0,(Transactions!M743-Transactions!L743+IF(Transactions!A743=2,Transactions!H743,0))*$E751)</f>
        <v>0</v>
      </c>
      <c r="G751" s="30">
        <f>IF($A751="",0,IF(Transactions!A743=2,Transactions!H743*$E751,0))</f>
        <v>0</v>
      </c>
    </row>
    <row r="752" spans="1:7" ht="15" customHeight="1" x14ac:dyDescent="0.15">
      <c r="A752" t="str">
        <f>IF(Transactions!J744="","",Transactions!J744)</f>
        <v/>
      </c>
      <c r="B752" s="297">
        <f ca="1">IF($A752="",TODAY(),Transactions!G744)</f>
        <v>46216</v>
      </c>
      <c r="C752" t="str">
        <f>IF($A752="","",Transactions!A744)</f>
        <v/>
      </c>
      <c r="D752" s="30">
        <f>IF($A752="",0,Transactions!H744)</f>
        <v>0</v>
      </c>
      <c r="E752">
        <f>IF($A752="",1,IFERROR(INDEX(Prices[FX to SGD],MATCH($A752,Prices[Key],0)),1))</f>
        <v>1</v>
      </c>
      <c r="F752" s="30">
        <f>IF($A752="",0,(Transactions!M744-Transactions!L744+IF(Transactions!A744=2,Transactions!H744,0))*$E752)</f>
        <v>0</v>
      </c>
      <c r="G752" s="30">
        <f>IF($A752="",0,IF(Transactions!A744=2,Transactions!H744*$E752,0))</f>
        <v>0</v>
      </c>
    </row>
    <row r="753" spans="1:7" ht="15" customHeight="1" x14ac:dyDescent="0.15">
      <c r="A753" t="str">
        <f>IF(Transactions!J745="","",Transactions!J745)</f>
        <v/>
      </c>
      <c r="B753" s="297">
        <f ca="1">IF($A753="",TODAY(),Transactions!G745)</f>
        <v>46216</v>
      </c>
      <c r="C753" t="str">
        <f>IF($A753="","",Transactions!A745)</f>
        <v/>
      </c>
      <c r="D753" s="30">
        <f>IF($A753="",0,Transactions!H745)</f>
        <v>0</v>
      </c>
      <c r="E753">
        <f>IF($A753="",1,IFERROR(INDEX(Prices[FX to SGD],MATCH($A753,Prices[Key],0)),1))</f>
        <v>1</v>
      </c>
      <c r="F753" s="30">
        <f>IF($A753="",0,(Transactions!M745-Transactions!L745+IF(Transactions!A745=2,Transactions!H745,0))*$E753)</f>
        <v>0</v>
      </c>
      <c r="G753" s="30">
        <f>IF($A753="",0,IF(Transactions!A745=2,Transactions!H745*$E753,0))</f>
        <v>0</v>
      </c>
    </row>
    <row r="754" spans="1:7" ht="15" customHeight="1" x14ac:dyDescent="0.15">
      <c r="A754" t="str">
        <f>IF(Transactions!J746="","",Transactions!J746)</f>
        <v/>
      </c>
      <c r="B754" s="297">
        <f ca="1">IF($A754="",TODAY(),Transactions!G746)</f>
        <v>46216</v>
      </c>
      <c r="C754" t="str">
        <f>IF($A754="","",Transactions!A746)</f>
        <v/>
      </c>
      <c r="D754" s="30">
        <f>IF($A754="",0,Transactions!H746)</f>
        <v>0</v>
      </c>
      <c r="E754">
        <f>IF($A754="",1,IFERROR(INDEX(Prices[FX to SGD],MATCH($A754,Prices[Key],0)),1))</f>
        <v>1</v>
      </c>
      <c r="F754" s="30">
        <f>IF($A754="",0,(Transactions!M746-Transactions!L746+IF(Transactions!A746=2,Transactions!H746,0))*$E754)</f>
        <v>0</v>
      </c>
      <c r="G754" s="30">
        <f>IF($A754="",0,IF(Transactions!A746=2,Transactions!H746*$E754,0))</f>
        <v>0</v>
      </c>
    </row>
    <row r="755" spans="1:7" ht="15" customHeight="1" x14ac:dyDescent="0.15">
      <c r="A755" t="str">
        <f>IF(Transactions!J747="","",Transactions!J747)</f>
        <v/>
      </c>
      <c r="B755" s="297">
        <f ca="1">IF($A755="",TODAY(),Transactions!G747)</f>
        <v>46216</v>
      </c>
      <c r="C755" t="str">
        <f>IF($A755="","",Transactions!A747)</f>
        <v/>
      </c>
      <c r="D755" s="30">
        <f>IF($A755="",0,Transactions!H747)</f>
        <v>0</v>
      </c>
      <c r="E755">
        <f>IF($A755="",1,IFERROR(INDEX(Prices[FX to SGD],MATCH($A755,Prices[Key],0)),1))</f>
        <v>1</v>
      </c>
      <c r="F755" s="30">
        <f>IF($A755="",0,(Transactions!M747-Transactions!L747+IF(Transactions!A747=2,Transactions!H747,0))*$E755)</f>
        <v>0</v>
      </c>
      <c r="G755" s="30">
        <f>IF($A755="",0,IF(Transactions!A747=2,Transactions!H747*$E755,0))</f>
        <v>0</v>
      </c>
    </row>
    <row r="756" spans="1:7" ht="15" customHeight="1" x14ac:dyDescent="0.15">
      <c r="A756" t="str">
        <f>IF(Transactions!J748="","",Transactions!J748)</f>
        <v/>
      </c>
      <c r="B756" s="297">
        <f ca="1">IF($A756="",TODAY(),Transactions!G748)</f>
        <v>46216</v>
      </c>
      <c r="C756" t="str">
        <f>IF($A756="","",Transactions!A748)</f>
        <v/>
      </c>
      <c r="D756" s="30">
        <f>IF($A756="",0,Transactions!H748)</f>
        <v>0</v>
      </c>
      <c r="E756">
        <f>IF($A756="",1,IFERROR(INDEX(Prices[FX to SGD],MATCH($A756,Prices[Key],0)),1))</f>
        <v>1</v>
      </c>
      <c r="F756" s="30">
        <f>IF($A756="",0,(Transactions!M748-Transactions!L748+IF(Transactions!A748=2,Transactions!H748,0))*$E756)</f>
        <v>0</v>
      </c>
      <c r="G756" s="30">
        <f>IF($A756="",0,IF(Transactions!A748=2,Transactions!H748*$E756,0))</f>
        <v>0</v>
      </c>
    </row>
    <row r="757" spans="1:7" ht="15" customHeight="1" x14ac:dyDescent="0.15">
      <c r="A757" t="str">
        <f>IF(Transactions!J749="","",Transactions!J749)</f>
        <v/>
      </c>
      <c r="B757" s="297">
        <f ca="1">IF($A757="",TODAY(),Transactions!G749)</f>
        <v>46216</v>
      </c>
      <c r="C757" t="str">
        <f>IF($A757="","",Transactions!A749)</f>
        <v/>
      </c>
      <c r="D757" s="30">
        <f>IF($A757="",0,Transactions!H749)</f>
        <v>0</v>
      </c>
      <c r="E757">
        <f>IF($A757="",1,IFERROR(INDEX(Prices[FX to SGD],MATCH($A757,Prices[Key],0)),1))</f>
        <v>1</v>
      </c>
      <c r="F757" s="30">
        <f>IF($A757="",0,(Transactions!M749-Transactions!L749+IF(Transactions!A749=2,Transactions!H749,0))*$E757)</f>
        <v>0</v>
      </c>
      <c r="G757" s="30">
        <f>IF($A757="",0,IF(Transactions!A749=2,Transactions!H749*$E757,0))</f>
        <v>0</v>
      </c>
    </row>
    <row r="758" spans="1:7" ht="15" customHeight="1" x14ac:dyDescent="0.15">
      <c r="A758" t="str">
        <f>IF(Transactions!J750="","",Transactions!J750)</f>
        <v/>
      </c>
      <c r="B758" s="297">
        <f ca="1">IF($A758="",TODAY(),Transactions!G750)</f>
        <v>46216</v>
      </c>
      <c r="C758" t="str">
        <f>IF($A758="","",Transactions!A750)</f>
        <v/>
      </c>
      <c r="D758" s="30">
        <f>IF($A758="",0,Transactions!H750)</f>
        <v>0</v>
      </c>
      <c r="E758">
        <f>IF($A758="",1,IFERROR(INDEX(Prices[FX to SGD],MATCH($A758,Prices[Key],0)),1))</f>
        <v>1</v>
      </c>
      <c r="F758" s="30">
        <f>IF($A758="",0,(Transactions!M750-Transactions!L750+IF(Transactions!A750=2,Transactions!H750,0))*$E758)</f>
        <v>0</v>
      </c>
      <c r="G758" s="30">
        <f>IF($A758="",0,IF(Transactions!A750=2,Transactions!H750*$E758,0))</f>
        <v>0</v>
      </c>
    </row>
    <row r="759" spans="1:7" ht="15" customHeight="1" x14ac:dyDescent="0.15">
      <c r="A759" t="str">
        <f>IF(Transactions!J751="","",Transactions!J751)</f>
        <v/>
      </c>
      <c r="B759" s="297">
        <f ca="1">IF($A759="",TODAY(),Transactions!G751)</f>
        <v>46216</v>
      </c>
      <c r="C759" t="str">
        <f>IF($A759="","",Transactions!A751)</f>
        <v/>
      </c>
      <c r="D759" s="30">
        <f>IF($A759="",0,Transactions!H751)</f>
        <v>0</v>
      </c>
      <c r="E759">
        <f>IF($A759="",1,IFERROR(INDEX(Prices[FX to SGD],MATCH($A759,Prices[Key],0)),1))</f>
        <v>1</v>
      </c>
      <c r="F759" s="30">
        <f>IF($A759="",0,(Transactions!M751-Transactions!L751+IF(Transactions!A751=2,Transactions!H751,0))*$E759)</f>
        <v>0</v>
      </c>
      <c r="G759" s="30">
        <f>IF($A759="",0,IF(Transactions!A751=2,Transactions!H751*$E759,0))</f>
        <v>0</v>
      </c>
    </row>
    <row r="760" spans="1:7" ht="15" customHeight="1" x14ac:dyDescent="0.15">
      <c r="A760" t="str">
        <f>IF(Transactions!J752="","",Transactions!J752)</f>
        <v/>
      </c>
      <c r="B760" s="297">
        <f ca="1">IF($A760="",TODAY(),Transactions!G752)</f>
        <v>46216</v>
      </c>
      <c r="C760" t="str">
        <f>IF($A760="","",Transactions!A752)</f>
        <v/>
      </c>
      <c r="D760" s="30">
        <f>IF($A760="",0,Transactions!H752)</f>
        <v>0</v>
      </c>
      <c r="E760">
        <f>IF($A760="",1,IFERROR(INDEX(Prices[FX to SGD],MATCH($A760,Prices[Key],0)),1))</f>
        <v>1</v>
      </c>
      <c r="F760" s="30">
        <f>IF($A760="",0,(Transactions!M752-Transactions!L752+IF(Transactions!A752=2,Transactions!H752,0))*$E760)</f>
        <v>0</v>
      </c>
      <c r="G760" s="30">
        <f>IF($A760="",0,IF(Transactions!A752=2,Transactions!H752*$E760,0))</f>
        <v>0</v>
      </c>
    </row>
    <row r="761" spans="1:7" ht="15" customHeight="1" x14ac:dyDescent="0.15">
      <c r="A761" t="str">
        <f>IF(Transactions!J753="","",Transactions!J753)</f>
        <v/>
      </c>
      <c r="B761" s="297">
        <f ca="1">IF($A761="",TODAY(),Transactions!G753)</f>
        <v>46216</v>
      </c>
      <c r="C761" t="str">
        <f>IF($A761="","",Transactions!A753)</f>
        <v/>
      </c>
      <c r="D761" s="30">
        <f>IF($A761="",0,Transactions!H753)</f>
        <v>0</v>
      </c>
      <c r="E761">
        <f>IF($A761="",1,IFERROR(INDEX(Prices[FX to SGD],MATCH($A761,Prices[Key],0)),1))</f>
        <v>1</v>
      </c>
      <c r="F761" s="30">
        <f>IF($A761="",0,(Transactions!M753-Transactions!L753+IF(Transactions!A753=2,Transactions!H753,0))*$E761)</f>
        <v>0</v>
      </c>
      <c r="G761" s="30">
        <f>IF($A761="",0,IF(Transactions!A753=2,Transactions!H753*$E761,0))</f>
        <v>0</v>
      </c>
    </row>
    <row r="762" spans="1:7" ht="15" customHeight="1" x14ac:dyDescent="0.15">
      <c r="A762" t="str">
        <f>IF(Transactions!J754="","",Transactions!J754)</f>
        <v/>
      </c>
      <c r="B762" s="297">
        <f ca="1">IF($A762="",TODAY(),Transactions!G754)</f>
        <v>46216</v>
      </c>
      <c r="C762" t="str">
        <f>IF($A762="","",Transactions!A754)</f>
        <v/>
      </c>
      <c r="D762" s="30">
        <f>IF($A762="",0,Transactions!H754)</f>
        <v>0</v>
      </c>
      <c r="E762">
        <f>IF($A762="",1,IFERROR(INDEX(Prices[FX to SGD],MATCH($A762,Prices[Key],0)),1))</f>
        <v>1</v>
      </c>
      <c r="F762" s="30">
        <f>IF($A762="",0,(Transactions!M754-Transactions!L754+IF(Transactions!A754=2,Transactions!H754,0))*$E762)</f>
        <v>0</v>
      </c>
      <c r="G762" s="30">
        <f>IF($A762="",0,IF(Transactions!A754=2,Transactions!H754*$E762,0))</f>
        <v>0</v>
      </c>
    </row>
    <row r="763" spans="1:7" ht="15" customHeight="1" x14ac:dyDescent="0.15">
      <c r="A763" t="str">
        <f>IF(Transactions!J755="","",Transactions!J755)</f>
        <v/>
      </c>
      <c r="B763" s="297">
        <f ca="1">IF($A763="",TODAY(),Transactions!G755)</f>
        <v>46216</v>
      </c>
      <c r="C763" t="str">
        <f>IF($A763="","",Transactions!A755)</f>
        <v/>
      </c>
      <c r="D763" s="30">
        <f>IF($A763="",0,Transactions!H755)</f>
        <v>0</v>
      </c>
      <c r="E763">
        <f>IF($A763="",1,IFERROR(INDEX(Prices[FX to SGD],MATCH($A763,Prices[Key],0)),1))</f>
        <v>1</v>
      </c>
      <c r="F763" s="30">
        <f>IF($A763="",0,(Transactions!M755-Transactions!L755+IF(Transactions!A755=2,Transactions!H755,0))*$E763)</f>
        <v>0</v>
      </c>
      <c r="G763" s="30">
        <f>IF($A763="",0,IF(Transactions!A755=2,Transactions!H755*$E763,0))</f>
        <v>0</v>
      </c>
    </row>
    <row r="764" spans="1:7" ht="15" customHeight="1" x14ac:dyDescent="0.15">
      <c r="A764" t="str">
        <f>IF(Transactions!J756="","",Transactions!J756)</f>
        <v/>
      </c>
      <c r="B764" s="297">
        <f ca="1">IF($A764="",TODAY(),Transactions!G756)</f>
        <v>46216</v>
      </c>
      <c r="C764" t="str">
        <f>IF($A764="","",Transactions!A756)</f>
        <v/>
      </c>
      <c r="D764" s="30">
        <f>IF($A764="",0,Transactions!H756)</f>
        <v>0</v>
      </c>
      <c r="E764">
        <f>IF($A764="",1,IFERROR(INDEX(Prices[FX to SGD],MATCH($A764,Prices[Key],0)),1))</f>
        <v>1</v>
      </c>
      <c r="F764" s="30">
        <f>IF($A764="",0,(Transactions!M756-Transactions!L756+IF(Transactions!A756=2,Transactions!H756,0))*$E764)</f>
        <v>0</v>
      </c>
      <c r="G764" s="30">
        <f>IF($A764="",0,IF(Transactions!A756=2,Transactions!H756*$E764,0))</f>
        <v>0</v>
      </c>
    </row>
    <row r="765" spans="1:7" ht="15" customHeight="1" x14ac:dyDescent="0.15">
      <c r="A765" t="str">
        <f>IF(Transactions!J757="","",Transactions!J757)</f>
        <v/>
      </c>
      <c r="B765" s="297">
        <f ca="1">IF($A765="",TODAY(),Transactions!G757)</f>
        <v>46216</v>
      </c>
      <c r="C765" t="str">
        <f>IF($A765="","",Transactions!A757)</f>
        <v/>
      </c>
      <c r="D765" s="30">
        <f>IF($A765="",0,Transactions!H757)</f>
        <v>0</v>
      </c>
      <c r="E765">
        <f>IF($A765="",1,IFERROR(INDEX(Prices[FX to SGD],MATCH($A765,Prices[Key],0)),1))</f>
        <v>1</v>
      </c>
      <c r="F765" s="30">
        <f>IF($A765="",0,(Transactions!M757-Transactions!L757+IF(Transactions!A757=2,Transactions!H757,0))*$E765)</f>
        <v>0</v>
      </c>
      <c r="G765" s="30">
        <f>IF($A765="",0,IF(Transactions!A757=2,Transactions!H757*$E765,0))</f>
        <v>0</v>
      </c>
    </row>
    <row r="766" spans="1:7" ht="15" customHeight="1" x14ac:dyDescent="0.15">
      <c r="A766" t="str">
        <f>IF(Transactions!J758="","",Transactions!J758)</f>
        <v/>
      </c>
      <c r="B766" s="297">
        <f ca="1">IF($A766="",TODAY(),Transactions!G758)</f>
        <v>46216</v>
      </c>
      <c r="C766" t="str">
        <f>IF($A766="","",Transactions!A758)</f>
        <v/>
      </c>
      <c r="D766" s="30">
        <f>IF($A766="",0,Transactions!H758)</f>
        <v>0</v>
      </c>
      <c r="E766">
        <f>IF($A766="",1,IFERROR(INDEX(Prices[FX to SGD],MATCH($A766,Prices[Key],0)),1))</f>
        <v>1</v>
      </c>
      <c r="F766" s="30">
        <f>IF($A766="",0,(Transactions!M758-Transactions!L758+IF(Transactions!A758=2,Transactions!H758,0))*$E766)</f>
        <v>0</v>
      </c>
      <c r="G766" s="30">
        <f>IF($A766="",0,IF(Transactions!A758=2,Transactions!H758*$E766,0))</f>
        <v>0</v>
      </c>
    </row>
    <row r="767" spans="1:7" ht="15" customHeight="1" x14ac:dyDescent="0.15">
      <c r="A767" t="str">
        <f>IF(Transactions!J759="","",Transactions!J759)</f>
        <v/>
      </c>
      <c r="B767" s="297">
        <f ca="1">IF($A767="",TODAY(),Transactions!G759)</f>
        <v>46216</v>
      </c>
      <c r="C767" t="str">
        <f>IF($A767="","",Transactions!A759)</f>
        <v/>
      </c>
      <c r="D767" s="30">
        <f>IF($A767="",0,Transactions!H759)</f>
        <v>0</v>
      </c>
      <c r="E767">
        <f>IF($A767="",1,IFERROR(INDEX(Prices[FX to SGD],MATCH($A767,Prices[Key],0)),1))</f>
        <v>1</v>
      </c>
      <c r="F767" s="30">
        <f>IF($A767="",0,(Transactions!M759-Transactions!L759+IF(Transactions!A759=2,Transactions!H759,0))*$E767)</f>
        <v>0</v>
      </c>
      <c r="G767" s="30">
        <f>IF($A767="",0,IF(Transactions!A759=2,Transactions!H759*$E767,0))</f>
        <v>0</v>
      </c>
    </row>
    <row r="768" spans="1:7" ht="15" customHeight="1" x14ac:dyDescent="0.15">
      <c r="A768" t="str">
        <f>IF(Transactions!J760="","",Transactions!J760)</f>
        <v/>
      </c>
      <c r="B768" s="297">
        <f ca="1">IF($A768="",TODAY(),Transactions!G760)</f>
        <v>46216</v>
      </c>
      <c r="C768" t="str">
        <f>IF($A768="","",Transactions!A760)</f>
        <v/>
      </c>
      <c r="D768" s="30">
        <f>IF($A768="",0,Transactions!H760)</f>
        <v>0</v>
      </c>
      <c r="E768">
        <f>IF($A768="",1,IFERROR(INDEX(Prices[FX to SGD],MATCH($A768,Prices[Key],0)),1))</f>
        <v>1</v>
      </c>
      <c r="F768" s="30">
        <f>IF($A768="",0,(Transactions!M760-Transactions!L760+IF(Transactions!A760=2,Transactions!H760,0))*$E768)</f>
        <v>0</v>
      </c>
      <c r="G768" s="30">
        <f>IF($A768="",0,IF(Transactions!A760=2,Transactions!H760*$E768,0))</f>
        <v>0</v>
      </c>
    </row>
    <row r="769" spans="1:7" ht="15" customHeight="1" x14ac:dyDescent="0.15">
      <c r="A769" t="str">
        <f>IF(Transactions!J761="","",Transactions!J761)</f>
        <v/>
      </c>
      <c r="B769" s="297">
        <f ca="1">IF($A769="",TODAY(),Transactions!G761)</f>
        <v>46216</v>
      </c>
      <c r="C769" t="str">
        <f>IF($A769="","",Transactions!A761)</f>
        <v/>
      </c>
      <c r="D769" s="30">
        <f>IF($A769="",0,Transactions!H761)</f>
        <v>0</v>
      </c>
      <c r="E769">
        <f>IF($A769="",1,IFERROR(INDEX(Prices[FX to SGD],MATCH($A769,Prices[Key],0)),1))</f>
        <v>1</v>
      </c>
      <c r="F769" s="30">
        <f>IF($A769="",0,(Transactions!M761-Transactions!L761+IF(Transactions!A761=2,Transactions!H761,0))*$E769)</f>
        <v>0</v>
      </c>
      <c r="G769" s="30">
        <f>IF($A769="",0,IF(Transactions!A761=2,Transactions!H761*$E769,0))</f>
        <v>0</v>
      </c>
    </row>
    <row r="770" spans="1:7" ht="15" customHeight="1" x14ac:dyDescent="0.15">
      <c r="A770" t="str">
        <f>IF(Transactions!J762="","",Transactions!J762)</f>
        <v/>
      </c>
      <c r="B770" s="297">
        <f ca="1">IF($A770="",TODAY(),Transactions!G762)</f>
        <v>46216</v>
      </c>
      <c r="C770" t="str">
        <f>IF($A770="","",Transactions!A762)</f>
        <v/>
      </c>
      <c r="D770" s="30">
        <f>IF($A770="",0,Transactions!H762)</f>
        <v>0</v>
      </c>
      <c r="E770">
        <f>IF($A770="",1,IFERROR(INDEX(Prices[FX to SGD],MATCH($A770,Prices[Key],0)),1))</f>
        <v>1</v>
      </c>
      <c r="F770" s="30">
        <f>IF($A770="",0,(Transactions!M762-Transactions!L762+IF(Transactions!A762=2,Transactions!H762,0))*$E770)</f>
        <v>0</v>
      </c>
      <c r="G770" s="30">
        <f>IF($A770="",0,IF(Transactions!A762=2,Transactions!H762*$E770,0))</f>
        <v>0</v>
      </c>
    </row>
    <row r="771" spans="1:7" ht="15" customHeight="1" x14ac:dyDescent="0.15">
      <c r="A771" t="str">
        <f>IF(Transactions!J763="","",Transactions!J763)</f>
        <v/>
      </c>
      <c r="B771" s="297">
        <f ca="1">IF($A771="",TODAY(),Transactions!G763)</f>
        <v>46216</v>
      </c>
      <c r="C771" t="str">
        <f>IF($A771="","",Transactions!A763)</f>
        <v/>
      </c>
      <c r="D771" s="30">
        <f>IF($A771="",0,Transactions!H763)</f>
        <v>0</v>
      </c>
      <c r="E771">
        <f>IF($A771="",1,IFERROR(INDEX(Prices[FX to SGD],MATCH($A771,Prices[Key],0)),1))</f>
        <v>1</v>
      </c>
      <c r="F771" s="30">
        <f>IF($A771="",0,(Transactions!M763-Transactions!L763+IF(Transactions!A763=2,Transactions!H763,0))*$E771)</f>
        <v>0</v>
      </c>
      <c r="G771" s="30">
        <f>IF($A771="",0,IF(Transactions!A763=2,Transactions!H763*$E771,0))</f>
        <v>0</v>
      </c>
    </row>
    <row r="772" spans="1:7" ht="15" customHeight="1" x14ac:dyDescent="0.15">
      <c r="A772" t="str">
        <f>IF(Transactions!J764="","",Transactions!J764)</f>
        <v/>
      </c>
      <c r="B772" s="297">
        <f ca="1">IF($A772="",TODAY(),Transactions!G764)</f>
        <v>46216</v>
      </c>
      <c r="C772" t="str">
        <f>IF($A772="","",Transactions!A764)</f>
        <v/>
      </c>
      <c r="D772" s="30">
        <f>IF($A772="",0,Transactions!H764)</f>
        <v>0</v>
      </c>
      <c r="E772">
        <f>IF($A772="",1,IFERROR(INDEX(Prices[FX to SGD],MATCH($A772,Prices[Key],0)),1))</f>
        <v>1</v>
      </c>
      <c r="F772" s="30">
        <f>IF($A772="",0,(Transactions!M764-Transactions!L764+IF(Transactions!A764=2,Transactions!H764,0))*$E772)</f>
        <v>0</v>
      </c>
      <c r="G772" s="30">
        <f>IF($A772="",0,IF(Transactions!A764=2,Transactions!H764*$E772,0))</f>
        <v>0</v>
      </c>
    </row>
    <row r="773" spans="1:7" ht="15" customHeight="1" x14ac:dyDescent="0.15">
      <c r="A773" t="str">
        <f>IF(Transactions!J765="","",Transactions!J765)</f>
        <v/>
      </c>
      <c r="B773" s="297">
        <f ca="1">IF($A773="",TODAY(),Transactions!G765)</f>
        <v>46216</v>
      </c>
      <c r="C773" t="str">
        <f>IF($A773="","",Transactions!A765)</f>
        <v/>
      </c>
      <c r="D773" s="30">
        <f>IF($A773="",0,Transactions!H765)</f>
        <v>0</v>
      </c>
      <c r="E773">
        <f>IF($A773="",1,IFERROR(INDEX(Prices[FX to SGD],MATCH($A773,Prices[Key],0)),1))</f>
        <v>1</v>
      </c>
      <c r="F773" s="30">
        <f>IF($A773="",0,(Transactions!M765-Transactions!L765+IF(Transactions!A765=2,Transactions!H765,0))*$E773)</f>
        <v>0</v>
      </c>
      <c r="G773" s="30">
        <f>IF($A773="",0,IF(Transactions!A765=2,Transactions!H765*$E773,0))</f>
        <v>0</v>
      </c>
    </row>
    <row r="774" spans="1:7" ht="15" customHeight="1" x14ac:dyDescent="0.15">
      <c r="A774" t="str">
        <f>IF(Transactions!J766="","",Transactions!J766)</f>
        <v/>
      </c>
      <c r="B774" s="297">
        <f ca="1">IF($A774="",TODAY(),Transactions!G766)</f>
        <v>46216</v>
      </c>
      <c r="C774" t="str">
        <f>IF($A774="","",Transactions!A766)</f>
        <v/>
      </c>
      <c r="D774" s="30">
        <f>IF($A774="",0,Transactions!H766)</f>
        <v>0</v>
      </c>
      <c r="E774">
        <f>IF($A774="",1,IFERROR(INDEX(Prices[FX to SGD],MATCH($A774,Prices[Key],0)),1))</f>
        <v>1</v>
      </c>
      <c r="F774" s="30">
        <f>IF($A774="",0,(Transactions!M766-Transactions!L766+IF(Transactions!A766=2,Transactions!H766,0))*$E774)</f>
        <v>0</v>
      </c>
      <c r="G774" s="30">
        <f>IF($A774="",0,IF(Transactions!A766=2,Transactions!H766*$E774,0))</f>
        <v>0</v>
      </c>
    </row>
    <row r="775" spans="1:7" ht="15" customHeight="1" x14ac:dyDescent="0.15">
      <c r="A775" t="str">
        <f>IF(Transactions!J767="","",Transactions!J767)</f>
        <v/>
      </c>
      <c r="B775" s="297">
        <f ca="1">IF($A775="",TODAY(),Transactions!G767)</f>
        <v>46216</v>
      </c>
      <c r="C775" t="str">
        <f>IF($A775="","",Transactions!A767)</f>
        <v/>
      </c>
      <c r="D775" s="30">
        <f>IF($A775="",0,Transactions!H767)</f>
        <v>0</v>
      </c>
      <c r="E775">
        <f>IF($A775="",1,IFERROR(INDEX(Prices[FX to SGD],MATCH($A775,Prices[Key],0)),1))</f>
        <v>1</v>
      </c>
      <c r="F775" s="30">
        <f>IF($A775="",0,(Transactions!M767-Transactions!L767+IF(Transactions!A767=2,Transactions!H767,0))*$E775)</f>
        <v>0</v>
      </c>
      <c r="G775" s="30">
        <f>IF($A775="",0,IF(Transactions!A767=2,Transactions!H767*$E775,0))</f>
        <v>0</v>
      </c>
    </row>
    <row r="776" spans="1:7" ht="15" customHeight="1" x14ac:dyDescent="0.15">
      <c r="A776" t="str">
        <f>IF(Transactions!J768="","",Transactions!J768)</f>
        <v/>
      </c>
      <c r="B776" s="297">
        <f ca="1">IF($A776="",TODAY(),Transactions!G768)</f>
        <v>46216</v>
      </c>
      <c r="C776" t="str">
        <f>IF($A776="","",Transactions!A768)</f>
        <v/>
      </c>
      <c r="D776" s="30">
        <f>IF($A776="",0,Transactions!H768)</f>
        <v>0</v>
      </c>
      <c r="E776">
        <f>IF($A776="",1,IFERROR(INDEX(Prices[FX to SGD],MATCH($A776,Prices[Key],0)),1))</f>
        <v>1</v>
      </c>
      <c r="F776" s="30">
        <f>IF($A776="",0,(Transactions!M768-Transactions!L768+IF(Transactions!A768=2,Transactions!H768,0))*$E776)</f>
        <v>0</v>
      </c>
      <c r="G776" s="30">
        <f>IF($A776="",0,IF(Transactions!A768=2,Transactions!H768*$E776,0))</f>
        <v>0</v>
      </c>
    </row>
    <row r="777" spans="1:7" ht="15" customHeight="1" x14ac:dyDescent="0.15">
      <c r="A777" t="str">
        <f>IF(Transactions!J769="","",Transactions!J769)</f>
        <v/>
      </c>
      <c r="B777" s="297">
        <f ca="1">IF($A777="",TODAY(),Transactions!G769)</f>
        <v>46216</v>
      </c>
      <c r="C777" t="str">
        <f>IF($A777="","",Transactions!A769)</f>
        <v/>
      </c>
      <c r="D777" s="30">
        <f>IF($A777="",0,Transactions!H769)</f>
        <v>0</v>
      </c>
      <c r="E777">
        <f>IF($A777="",1,IFERROR(INDEX(Prices[FX to SGD],MATCH($A777,Prices[Key],0)),1))</f>
        <v>1</v>
      </c>
      <c r="F777" s="30">
        <f>IF($A777="",0,(Transactions!M769-Transactions!L769+IF(Transactions!A769=2,Transactions!H769,0))*$E777)</f>
        <v>0</v>
      </c>
      <c r="G777" s="30">
        <f>IF($A777="",0,IF(Transactions!A769=2,Transactions!H769*$E777,0))</f>
        <v>0</v>
      </c>
    </row>
    <row r="778" spans="1:7" ht="15" customHeight="1" x14ac:dyDescent="0.15">
      <c r="A778" t="str">
        <f>IF(Transactions!J770="","",Transactions!J770)</f>
        <v/>
      </c>
      <c r="B778" s="297">
        <f ca="1">IF($A778="",TODAY(),Transactions!G770)</f>
        <v>46216</v>
      </c>
      <c r="C778" t="str">
        <f>IF($A778="","",Transactions!A770)</f>
        <v/>
      </c>
      <c r="D778" s="30">
        <f>IF($A778="",0,Transactions!H770)</f>
        <v>0</v>
      </c>
      <c r="E778">
        <f>IF($A778="",1,IFERROR(INDEX(Prices[FX to SGD],MATCH($A778,Prices[Key],0)),1))</f>
        <v>1</v>
      </c>
      <c r="F778" s="30">
        <f>IF($A778="",0,(Transactions!M770-Transactions!L770+IF(Transactions!A770=2,Transactions!H770,0))*$E778)</f>
        <v>0</v>
      </c>
      <c r="G778" s="30">
        <f>IF($A778="",0,IF(Transactions!A770=2,Transactions!H770*$E778,0))</f>
        <v>0</v>
      </c>
    </row>
    <row r="779" spans="1:7" ht="15" customHeight="1" x14ac:dyDescent="0.15">
      <c r="A779" t="str">
        <f>IF(Transactions!J771="","",Transactions!J771)</f>
        <v/>
      </c>
      <c r="B779" s="297">
        <f ca="1">IF($A779="",TODAY(),Transactions!G771)</f>
        <v>46216</v>
      </c>
      <c r="C779" t="str">
        <f>IF($A779="","",Transactions!A771)</f>
        <v/>
      </c>
      <c r="D779" s="30">
        <f>IF($A779="",0,Transactions!H771)</f>
        <v>0</v>
      </c>
      <c r="E779">
        <f>IF($A779="",1,IFERROR(INDEX(Prices[FX to SGD],MATCH($A779,Prices[Key],0)),1))</f>
        <v>1</v>
      </c>
      <c r="F779" s="30">
        <f>IF($A779="",0,(Transactions!M771-Transactions!L771+IF(Transactions!A771=2,Transactions!H771,0))*$E779)</f>
        <v>0</v>
      </c>
      <c r="G779" s="30">
        <f>IF($A779="",0,IF(Transactions!A771=2,Transactions!H771*$E779,0))</f>
        <v>0</v>
      </c>
    </row>
    <row r="780" spans="1:7" ht="15" customHeight="1" x14ac:dyDescent="0.15">
      <c r="A780" t="str">
        <f>IF(Transactions!J772="","",Transactions!J772)</f>
        <v/>
      </c>
      <c r="B780" s="297">
        <f ca="1">IF($A780="",TODAY(),Transactions!G772)</f>
        <v>46216</v>
      </c>
      <c r="C780" t="str">
        <f>IF($A780="","",Transactions!A772)</f>
        <v/>
      </c>
      <c r="D780" s="30">
        <f>IF($A780="",0,Transactions!H772)</f>
        <v>0</v>
      </c>
      <c r="E780">
        <f>IF($A780="",1,IFERROR(INDEX(Prices[FX to SGD],MATCH($A780,Prices[Key],0)),1))</f>
        <v>1</v>
      </c>
      <c r="F780" s="30">
        <f>IF($A780="",0,(Transactions!M772-Transactions!L772+IF(Transactions!A772=2,Transactions!H772,0))*$E780)</f>
        <v>0</v>
      </c>
      <c r="G780" s="30">
        <f>IF($A780="",0,IF(Transactions!A772=2,Transactions!H772*$E780,0))</f>
        <v>0</v>
      </c>
    </row>
    <row r="781" spans="1:7" ht="15" customHeight="1" x14ac:dyDescent="0.15">
      <c r="A781" t="str">
        <f>IF(Transactions!J773="","",Transactions!J773)</f>
        <v/>
      </c>
      <c r="B781" s="297">
        <f ca="1">IF($A781="",TODAY(),Transactions!G773)</f>
        <v>46216</v>
      </c>
      <c r="C781" t="str">
        <f>IF($A781="","",Transactions!A773)</f>
        <v/>
      </c>
      <c r="D781" s="30">
        <f>IF($A781="",0,Transactions!H773)</f>
        <v>0</v>
      </c>
      <c r="E781">
        <f>IF($A781="",1,IFERROR(INDEX(Prices[FX to SGD],MATCH($A781,Prices[Key],0)),1))</f>
        <v>1</v>
      </c>
      <c r="F781" s="30">
        <f>IF($A781="",0,(Transactions!M773-Transactions!L773+IF(Transactions!A773=2,Transactions!H773,0))*$E781)</f>
        <v>0</v>
      </c>
      <c r="G781" s="30">
        <f>IF($A781="",0,IF(Transactions!A773=2,Transactions!H773*$E781,0))</f>
        <v>0</v>
      </c>
    </row>
    <row r="782" spans="1:7" ht="15" customHeight="1" x14ac:dyDescent="0.15">
      <c r="A782" t="str">
        <f>IF(Transactions!J774="","",Transactions!J774)</f>
        <v/>
      </c>
      <c r="B782" s="297">
        <f ca="1">IF($A782="",TODAY(),Transactions!G774)</f>
        <v>46216</v>
      </c>
      <c r="C782" t="str">
        <f>IF($A782="","",Transactions!A774)</f>
        <v/>
      </c>
      <c r="D782" s="30">
        <f>IF($A782="",0,Transactions!H774)</f>
        <v>0</v>
      </c>
      <c r="E782">
        <f>IF($A782="",1,IFERROR(INDEX(Prices[FX to SGD],MATCH($A782,Prices[Key],0)),1))</f>
        <v>1</v>
      </c>
      <c r="F782" s="30">
        <f>IF($A782="",0,(Transactions!M774-Transactions!L774+IF(Transactions!A774=2,Transactions!H774,0))*$E782)</f>
        <v>0</v>
      </c>
      <c r="G782" s="30">
        <f>IF($A782="",0,IF(Transactions!A774=2,Transactions!H774*$E782,0))</f>
        <v>0</v>
      </c>
    </row>
    <row r="783" spans="1:7" ht="15" customHeight="1" x14ac:dyDescent="0.15">
      <c r="A783" t="str">
        <f>IF(Transactions!J775="","",Transactions!J775)</f>
        <v/>
      </c>
      <c r="B783" s="297">
        <f ca="1">IF($A783="",TODAY(),Transactions!G775)</f>
        <v>46216</v>
      </c>
      <c r="C783" t="str">
        <f>IF($A783="","",Transactions!A775)</f>
        <v/>
      </c>
      <c r="D783" s="30">
        <f>IF($A783="",0,Transactions!H775)</f>
        <v>0</v>
      </c>
      <c r="E783">
        <f>IF($A783="",1,IFERROR(INDEX(Prices[FX to SGD],MATCH($A783,Prices[Key],0)),1))</f>
        <v>1</v>
      </c>
      <c r="F783" s="30">
        <f>IF($A783="",0,(Transactions!M775-Transactions!L775+IF(Transactions!A775=2,Transactions!H775,0))*$E783)</f>
        <v>0</v>
      </c>
      <c r="G783" s="30">
        <f>IF($A783="",0,IF(Transactions!A775=2,Transactions!H775*$E783,0))</f>
        <v>0</v>
      </c>
    </row>
    <row r="784" spans="1:7" ht="15" customHeight="1" x14ac:dyDescent="0.15">
      <c r="A784" t="str">
        <f>IF(Transactions!J776="","",Transactions!J776)</f>
        <v/>
      </c>
      <c r="B784" s="297">
        <f ca="1">IF($A784="",TODAY(),Transactions!G776)</f>
        <v>46216</v>
      </c>
      <c r="C784" t="str">
        <f>IF($A784="","",Transactions!A776)</f>
        <v/>
      </c>
      <c r="D784" s="30">
        <f>IF($A784="",0,Transactions!H776)</f>
        <v>0</v>
      </c>
      <c r="E784">
        <f>IF($A784="",1,IFERROR(INDEX(Prices[FX to SGD],MATCH($A784,Prices[Key],0)),1))</f>
        <v>1</v>
      </c>
      <c r="F784" s="30">
        <f>IF($A784="",0,(Transactions!M776-Transactions!L776+IF(Transactions!A776=2,Transactions!H776,0))*$E784)</f>
        <v>0</v>
      </c>
      <c r="G784" s="30">
        <f>IF($A784="",0,IF(Transactions!A776=2,Transactions!H776*$E784,0))</f>
        <v>0</v>
      </c>
    </row>
    <row r="785" spans="1:7" ht="15" customHeight="1" x14ac:dyDescent="0.15">
      <c r="A785" t="str">
        <f>IF(Transactions!J777="","",Transactions!J777)</f>
        <v/>
      </c>
      <c r="B785" s="297">
        <f ca="1">IF($A785="",TODAY(),Transactions!G777)</f>
        <v>46216</v>
      </c>
      <c r="C785" t="str">
        <f>IF($A785="","",Transactions!A777)</f>
        <v/>
      </c>
      <c r="D785" s="30">
        <f>IF($A785="",0,Transactions!H777)</f>
        <v>0</v>
      </c>
      <c r="E785">
        <f>IF($A785="",1,IFERROR(INDEX(Prices[FX to SGD],MATCH($A785,Prices[Key],0)),1))</f>
        <v>1</v>
      </c>
      <c r="F785" s="30">
        <f>IF($A785="",0,(Transactions!M777-Transactions!L777+IF(Transactions!A777=2,Transactions!H777,0))*$E785)</f>
        <v>0</v>
      </c>
      <c r="G785" s="30">
        <f>IF($A785="",0,IF(Transactions!A777=2,Transactions!H777*$E785,0))</f>
        <v>0</v>
      </c>
    </row>
    <row r="786" spans="1:7" ht="15" customHeight="1" x14ac:dyDescent="0.15">
      <c r="A786" t="str">
        <f>IF(Transactions!J778="","",Transactions!J778)</f>
        <v/>
      </c>
      <c r="B786" s="297">
        <f ca="1">IF($A786="",TODAY(),Transactions!G778)</f>
        <v>46216</v>
      </c>
      <c r="C786" t="str">
        <f>IF($A786="","",Transactions!A778)</f>
        <v/>
      </c>
      <c r="D786" s="30">
        <f>IF($A786="",0,Transactions!H778)</f>
        <v>0</v>
      </c>
      <c r="E786">
        <f>IF($A786="",1,IFERROR(INDEX(Prices[FX to SGD],MATCH($A786,Prices[Key],0)),1))</f>
        <v>1</v>
      </c>
      <c r="F786" s="30">
        <f>IF($A786="",0,(Transactions!M778-Transactions!L778+IF(Transactions!A778=2,Transactions!H778,0))*$E786)</f>
        <v>0</v>
      </c>
      <c r="G786" s="30">
        <f>IF($A786="",0,IF(Transactions!A778=2,Transactions!H778*$E786,0))</f>
        <v>0</v>
      </c>
    </row>
    <row r="787" spans="1:7" ht="15" customHeight="1" x14ac:dyDescent="0.15">
      <c r="A787" t="str">
        <f>IF(Transactions!J779="","",Transactions!J779)</f>
        <v/>
      </c>
      <c r="B787" s="297">
        <f ca="1">IF($A787="",TODAY(),Transactions!G779)</f>
        <v>46216</v>
      </c>
      <c r="C787" t="str">
        <f>IF($A787="","",Transactions!A779)</f>
        <v/>
      </c>
      <c r="D787" s="30">
        <f>IF($A787="",0,Transactions!H779)</f>
        <v>0</v>
      </c>
      <c r="E787">
        <f>IF($A787="",1,IFERROR(INDEX(Prices[FX to SGD],MATCH($A787,Prices[Key],0)),1))</f>
        <v>1</v>
      </c>
      <c r="F787" s="30">
        <f>IF($A787="",0,(Transactions!M779-Transactions!L779+IF(Transactions!A779=2,Transactions!H779,0))*$E787)</f>
        <v>0</v>
      </c>
      <c r="G787" s="30">
        <f>IF($A787="",0,IF(Transactions!A779=2,Transactions!H779*$E787,0))</f>
        <v>0</v>
      </c>
    </row>
    <row r="788" spans="1:7" ht="15" customHeight="1" x14ac:dyDescent="0.15">
      <c r="A788" t="str">
        <f>IF(Transactions!J780="","",Transactions!J780)</f>
        <v/>
      </c>
      <c r="B788" s="297">
        <f ca="1">IF($A788="",TODAY(),Transactions!G780)</f>
        <v>46216</v>
      </c>
      <c r="C788" t="str">
        <f>IF($A788="","",Transactions!A780)</f>
        <v/>
      </c>
      <c r="D788" s="30">
        <f>IF($A788="",0,Transactions!H780)</f>
        <v>0</v>
      </c>
      <c r="E788">
        <f>IF($A788="",1,IFERROR(INDEX(Prices[FX to SGD],MATCH($A788,Prices[Key],0)),1))</f>
        <v>1</v>
      </c>
      <c r="F788" s="30">
        <f>IF($A788="",0,(Transactions!M780-Transactions!L780+IF(Transactions!A780=2,Transactions!H780,0))*$E788)</f>
        <v>0</v>
      </c>
      <c r="G788" s="30">
        <f>IF($A788="",0,IF(Transactions!A780=2,Transactions!H780*$E788,0))</f>
        <v>0</v>
      </c>
    </row>
    <row r="789" spans="1:7" ht="15" customHeight="1" x14ac:dyDescent="0.15">
      <c r="A789" t="str">
        <f>IF(Transactions!J781="","",Transactions!J781)</f>
        <v/>
      </c>
      <c r="B789" s="297">
        <f ca="1">IF($A789="",TODAY(),Transactions!G781)</f>
        <v>46216</v>
      </c>
      <c r="C789" t="str">
        <f>IF($A789="","",Transactions!A781)</f>
        <v/>
      </c>
      <c r="D789" s="30">
        <f>IF($A789="",0,Transactions!H781)</f>
        <v>0</v>
      </c>
      <c r="E789">
        <f>IF($A789="",1,IFERROR(INDEX(Prices[FX to SGD],MATCH($A789,Prices[Key],0)),1))</f>
        <v>1</v>
      </c>
      <c r="F789" s="30">
        <f>IF($A789="",0,(Transactions!M781-Transactions!L781+IF(Transactions!A781=2,Transactions!H781,0))*$E789)</f>
        <v>0</v>
      </c>
      <c r="G789" s="30">
        <f>IF($A789="",0,IF(Transactions!A781=2,Transactions!H781*$E789,0))</f>
        <v>0</v>
      </c>
    </row>
    <row r="790" spans="1:7" ht="15" customHeight="1" x14ac:dyDescent="0.15">
      <c r="A790" t="str">
        <f>IF(Transactions!J782="","",Transactions!J782)</f>
        <v/>
      </c>
      <c r="B790" s="297">
        <f ca="1">IF($A790="",TODAY(),Transactions!G782)</f>
        <v>46216</v>
      </c>
      <c r="C790" t="str">
        <f>IF($A790="","",Transactions!A782)</f>
        <v/>
      </c>
      <c r="D790" s="30">
        <f>IF($A790="",0,Transactions!H782)</f>
        <v>0</v>
      </c>
      <c r="E790">
        <f>IF($A790="",1,IFERROR(INDEX(Prices[FX to SGD],MATCH($A790,Prices[Key],0)),1))</f>
        <v>1</v>
      </c>
      <c r="F790" s="30">
        <f>IF($A790="",0,(Transactions!M782-Transactions!L782+IF(Transactions!A782=2,Transactions!H782,0))*$E790)</f>
        <v>0</v>
      </c>
      <c r="G790" s="30">
        <f>IF($A790="",0,IF(Transactions!A782=2,Transactions!H782*$E790,0))</f>
        <v>0</v>
      </c>
    </row>
    <row r="791" spans="1:7" ht="15" customHeight="1" x14ac:dyDescent="0.15">
      <c r="A791" t="str">
        <f>IF(Transactions!J783="","",Transactions!J783)</f>
        <v/>
      </c>
      <c r="B791" s="297">
        <f ca="1">IF($A791="",TODAY(),Transactions!G783)</f>
        <v>46216</v>
      </c>
      <c r="C791" t="str">
        <f>IF($A791="","",Transactions!A783)</f>
        <v/>
      </c>
      <c r="D791" s="30">
        <f>IF($A791="",0,Transactions!H783)</f>
        <v>0</v>
      </c>
      <c r="E791">
        <f>IF($A791="",1,IFERROR(INDEX(Prices[FX to SGD],MATCH($A791,Prices[Key],0)),1))</f>
        <v>1</v>
      </c>
      <c r="F791" s="30">
        <f>IF($A791="",0,(Transactions!M783-Transactions!L783+IF(Transactions!A783=2,Transactions!H783,0))*$E791)</f>
        <v>0</v>
      </c>
      <c r="G791" s="30">
        <f>IF($A791="",0,IF(Transactions!A783=2,Transactions!H783*$E791,0))</f>
        <v>0</v>
      </c>
    </row>
    <row r="792" spans="1:7" ht="15" customHeight="1" x14ac:dyDescent="0.15">
      <c r="A792" t="str">
        <f>IF(Transactions!J784="","",Transactions!J784)</f>
        <v/>
      </c>
      <c r="B792" s="297">
        <f ca="1">IF($A792="",TODAY(),Transactions!G784)</f>
        <v>46216</v>
      </c>
      <c r="C792" t="str">
        <f>IF($A792="","",Transactions!A784)</f>
        <v/>
      </c>
      <c r="D792" s="30">
        <f>IF($A792="",0,Transactions!H784)</f>
        <v>0</v>
      </c>
      <c r="E792">
        <f>IF($A792="",1,IFERROR(INDEX(Prices[FX to SGD],MATCH($A792,Prices[Key],0)),1))</f>
        <v>1</v>
      </c>
      <c r="F792" s="30">
        <f>IF($A792="",0,(Transactions!M784-Transactions!L784+IF(Transactions!A784=2,Transactions!H784,0))*$E792)</f>
        <v>0</v>
      </c>
      <c r="G792" s="30">
        <f>IF($A792="",0,IF(Transactions!A784=2,Transactions!H784*$E792,0))</f>
        <v>0</v>
      </c>
    </row>
    <row r="793" spans="1:7" ht="15" customHeight="1" x14ac:dyDescent="0.15">
      <c r="A793" t="str">
        <f>IF(Transactions!J785="","",Transactions!J785)</f>
        <v/>
      </c>
      <c r="B793" s="297">
        <f ca="1">IF($A793="",TODAY(),Transactions!G785)</f>
        <v>46216</v>
      </c>
      <c r="C793" t="str">
        <f>IF($A793="","",Transactions!A785)</f>
        <v/>
      </c>
      <c r="D793" s="30">
        <f>IF($A793="",0,Transactions!H785)</f>
        <v>0</v>
      </c>
      <c r="E793">
        <f>IF($A793="",1,IFERROR(INDEX(Prices[FX to SGD],MATCH($A793,Prices[Key],0)),1))</f>
        <v>1</v>
      </c>
      <c r="F793" s="30">
        <f>IF($A793="",0,(Transactions!M785-Transactions!L785+IF(Transactions!A785=2,Transactions!H785,0))*$E793)</f>
        <v>0</v>
      </c>
      <c r="G793" s="30">
        <f>IF($A793="",0,IF(Transactions!A785=2,Transactions!H785*$E793,0))</f>
        <v>0</v>
      </c>
    </row>
    <row r="794" spans="1:7" ht="15" customHeight="1" x14ac:dyDescent="0.15">
      <c r="A794" t="str">
        <f>IF(Transactions!J786="","",Transactions!J786)</f>
        <v/>
      </c>
      <c r="B794" s="297">
        <f ca="1">IF($A794="",TODAY(),Transactions!G786)</f>
        <v>46216</v>
      </c>
      <c r="C794" t="str">
        <f>IF($A794="","",Transactions!A786)</f>
        <v/>
      </c>
      <c r="D794" s="30">
        <f>IF($A794="",0,Transactions!H786)</f>
        <v>0</v>
      </c>
      <c r="E794">
        <f>IF($A794="",1,IFERROR(INDEX(Prices[FX to SGD],MATCH($A794,Prices[Key],0)),1))</f>
        <v>1</v>
      </c>
      <c r="F794" s="30">
        <f>IF($A794="",0,(Transactions!M786-Transactions!L786+IF(Transactions!A786=2,Transactions!H786,0))*$E794)</f>
        <v>0</v>
      </c>
      <c r="G794" s="30">
        <f>IF($A794="",0,IF(Transactions!A786=2,Transactions!H786*$E794,0))</f>
        <v>0</v>
      </c>
    </row>
    <row r="795" spans="1:7" ht="15" customHeight="1" x14ac:dyDescent="0.15">
      <c r="A795" t="str">
        <f>IF(Transactions!J787="","",Transactions!J787)</f>
        <v/>
      </c>
      <c r="B795" s="297">
        <f ca="1">IF($A795="",TODAY(),Transactions!G787)</f>
        <v>46216</v>
      </c>
      <c r="C795" t="str">
        <f>IF($A795="","",Transactions!A787)</f>
        <v/>
      </c>
      <c r="D795" s="30">
        <f>IF($A795="",0,Transactions!H787)</f>
        <v>0</v>
      </c>
      <c r="E795">
        <f>IF($A795="",1,IFERROR(INDEX(Prices[FX to SGD],MATCH($A795,Prices[Key],0)),1))</f>
        <v>1</v>
      </c>
      <c r="F795" s="30">
        <f>IF($A795="",0,(Transactions!M787-Transactions!L787+IF(Transactions!A787=2,Transactions!H787,0))*$E795)</f>
        <v>0</v>
      </c>
      <c r="G795" s="30">
        <f>IF($A795="",0,IF(Transactions!A787=2,Transactions!H787*$E795,0))</f>
        <v>0</v>
      </c>
    </row>
    <row r="796" spans="1:7" ht="15" customHeight="1" x14ac:dyDescent="0.15">
      <c r="A796" t="str">
        <f>IF(Transactions!J788="","",Transactions!J788)</f>
        <v/>
      </c>
      <c r="B796" s="297">
        <f ca="1">IF($A796="",TODAY(),Transactions!G788)</f>
        <v>46216</v>
      </c>
      <c r="C796" t="str">
        <f>IF($A796="","",Transactions!A788)</f>
        <v/>
      </c>
      <c r="D796" s="30">
        <f>IF($A796="",0,Transactions!H788)</f>
        <v>0</v>
      </c>
      <c r="E796">
        <f>IF($A796="",1,IFERROR(INDEX(Prices[FX to SGD],MATCH($A796,Prices[Key],0)),1))</f>
        <v>1</v>
      </c>
      <c r="F796" s="30">
        <f>IF($A796="",0,(Transactions!M788-Transactions!L788+IF(Transactions!A788=2,Transactions!H788,0))*$E796)</f>
        <v>0</v>
      </c>
      <c r="G796" s="30">
        <f>IF($A796="",0,IF(Transactions!A788=2,Transactions!H788*$E796,0))</f>
        <v>0</v>
      </c>
    </row>
    <row r="797" spans="1:7" ht="15" customHeight="1" x14ac:dyDescent="0.15">
      <c r="A797" t="str">
        <f>IF(Transactions!J789="","",Transactions!J789)</f>
        <v/>
      </c>
      <c r="B797" s="297">
        <f ca="1">IF($A797="",TODAY(),Transactions!G789)</f>
        <v>46216</v>
      </c>
      <c r="C797" t="str">
        <f>IF($A797="","",Transactions!A789)</f>
        <v/>
      </c>
      <c r="D797" s="30">
        <f>IF($A797="",0,Transactions!H789)</f>
        <v>0</v>
      </c>
      <c r="E797">
        <f>IF($A797="",1,IFERROR(INDEX(Prices[FX to SGD],MATCH($A797,Prices[Key],0)),1))</f>
        <v>1</v>
      </c>
      <c r="F797" s="30">
        <f>IF($A797="",0,(Transactions!M789-Transactions!L789+IF(Transactions!A789=2,Transactions!H789,0))*$E797)</f>
        <v>0</v>
      </c>
      <c r="G797" s="30">
        <f>IF($A797="",0,IF(Transactions!A789=2,Transactions!H789*$E797,0))</f>
        <v>0</v>
      </c>
    </row>
    <row r="798" spans="1:7" ht="15" customHeight="1" x14ac:dyDescent="0.15">
      <c r="A798" t="str">
        <f>IF(Transactions!J790="","",Transactions!J790)</f>
        <v/>
      </c>
      <c r="B798" s="297">
        <f ca="1">IF($A798="",TODAY(),Transactions!G790)</f>
        <v>46216</v>
      </c>
      <c r="C798" t="str">
        <f>IF($A798="","",Transactions!A790)</f>
        <v/>
      </c>
      <c r="D798" s="30">
        <f>IF($A798="",0,Transactions!H790)</f>
        <v>0</v>
      </c>
      <c r="E798">
        <f>IF($A798="",1,IFERROR(INDEX(Prices[FX to SGD],MATCH($A798,Prices[Key],0)),1))</f>
        <v>1</v>
      </c>
      <c r="F798" s="30">
        <f>IF($A798="",0,(Transactions!M790-Transactions!L790+IF(Transactions!A790=2,Transactions!H790,0))*$E798)</f>
        <v>0</v>
      </c>
      <c r="G798" s="30">
        <f>IF($A798="",0,IF(Transactions!A790=2,Transactions!H790*$E798,0))</f>
        <v>0</v>
      </c>
    </row>
    <row r="799" spans="1:7" ht="15" customHeight="1" x14ac:dyDescent="0.15">
      <c r="A799" t="str">
        <f>IF(Transactions!J791="","",Transactions!J791)</f>
        <v/>
      </c>
      <c r="B799" s="297">
        <f ca="1">IF($A799="",TODAY(),Transactions!G791)</f>
        <v>46216</v>
      </c>
      <c r="C799" t="str">
        <f>IF($A799="","",Transactions!A791)</f>
        <v/>
      </c>
      <c r="D799" s="30">
        <f>IF($A799="",0,Transactions!H791)</f>
        <v>0</v>
      </c>
      <c r="E799">
        <f>IF($A799="",1,IFERROR(INDEX(Prices[FX to SGD],MATCH($A799,Prices[Key],0)),1))</f>
        <v>1</v>
      </c>
      <c r="F799" s="30">
        <f>IF($A799="",0,(Transactions!M791-Transactions!L791+IF(Transactions!A791=2,Transactions!H791,0))*$E799)</f>
        <v>0</v>
      </c>
      <c r="G799" s="30">
        <f>IF($A799="",0,IF(Transactions!A791=2,Transactions!H791*$E799,0))</f>
        <v>0</v>
      </c>
    </row>
    <row r="800" spans="1:7" ht="15" customHeight="1" x14ac:dyDescent="0.15">
      <c r="A800" t="str">
        <f>IF(Transactions!J792="","",Transactions!J792)</f>
        <v/>
      </c>
      <c r="B800" s="297">
        <f ca="1">IF($A800="",TODAY(),Transactions!G792)</f>
        <v>46216</v>
      </c>
      <c r="C800" t="str">
        <f>IF($A800="","",Transactions!A792)</f>
        <v/>
      </c>
      <c r="D800" s="30">
        <f>IF($A800="",0,Transactions!H792)</f>
        <v>0</v>
      </c>
      <c r="E800">
        <f>IF($A800="",1,IFERROR(INDEX(Prices[FX to SGD],MATCH($A800,Prices[Key],0)),1))</f>
        <v>1</v>
      </c>
      <c r="F800" s="30">
        <f>IF($A800="",0,(Transactions!M792-Transactions!L792+IF(Transactions!A792=2,Transactions!H792,0))*$E800)</f>
        <v>0</v>
      </c>
      <c r="G800" s="30">
        <f>IF($A800="",0,IF(Transactions!A792=2,Transactions!H792*$E800,0))</f>
        <v>0</v>
      </c>
    </row>
    <row r="801" spans="1:7" ht="15" customHeight="1" x14ac:dyDescent="0.15">
      <c r="A801" t="str">
        <f>IF(Transactions!J793="","",Transactions!J793)</f>
        <v/>
      </c>
      <c r="B801" s="297">
        <f ca="1">IF($A801="",TODAY(),Transactions!G793)</f>
        <v>46216</v>
      </c>
      <c r="C801" t="str">
        <f>IF($A801="","",Transactions!A793)</f>
        <v/>
      </c>
      <c r="D801" s="30">
        <f>IF($A801="",0,Transactions!H793)</f>
        <v>0</v>
      </c>
      <c r="E801">
        <f>IF($A801="",1,IFERROR(INDEX(Prices[FX to SGD],MATCH($A801,Prices[Key],0)),1))</f>
        <v>1</v>
      </c>
      <c r="F801" s="30">
        <f>IF($A801="",0,(Transactions!M793-Transactions!L793+IF(Transactions!A793=2,Transactions!H793,0))*$E801)</f>
        <v>0</v>
      </c>
      <c r="G801" s="30">
        <f>IF($A801="",0,IF(Transactions!A793=2,Transactions!H793*$E801,0))</f>
        <v>0</v>
      </c>
    </row>
    <row r="802" spans="1:7" ht="15" customHeight="1" x14ac:dyDescent="0.15">
      <c r="A802" t="str">
        <f>IF(Transactions!J794="","",Transactions!J794)</f>
        <v/>
      </c>
      <c r="B802" s="297">
        <f ca="1">IF($A802="",TODAY(),Transactions!G794)</f>
        <v>46216</v>
      </c>
      <c r="C802" t="str">
        <f>IF($A802="","",Transactions!A794)</f>
        <v/>
      </c>
      <c r="D802" s="30">
        <f>IF($A802="",0,Transactions!H794)</f>
        <v>0</v>
      </c>
      <c r="E802">
        <f>IF($A802="",1,IFERROR(INDEX(Prices[FX to SGD],MATCH($A802,Prices[Key],0)),1))</f>
        <v>1</v>
      </c>
      <c r="F802" s="30">
        <f>IF($A802="",0,(Transactions!M794-Transactions!L794+IF(Transactions!A794=2,Transactions!H794,0))*$E802)</f>
        <v>0</v>
      </c>
      <c r="G802" s="30">
        <f>IF($A802="",0,IF(Transactions!A794=2,Transactions!H794*$E802,0))</f>
        <v>0</v>
      </c>
    </row>
    <row r="803" spans="1:7" ht="15" customHeight="1" x14ac:dyDescent="0.15">
      <c r="A803" t="str">
        <f>IF(Transactions!J795="","",Transactions!J795)</f>
        <v/>
      </c>
      <c r="B803" s="297">
        <f ca="1">IF($A803="",TODAY(),Transactions!G795)</f>
        <v>46216</v>
      </c>
      <c r="C803" t="str">
        <f>IF($A803="","",Transactions!A795)</f>
        <v/>
      </c>
      <c r="D803" s="30">
        <f>IF($A803="",0,Transactions!H795)</f>
        <v>0</v>
      </c>
      <c r="E803">
        <f>IF($A803="",1,IFERROR(INDEX(Prices[FX to SGD],MATCH($A803,Prices[Key],0)),1))</f>
        <v>1</v>
      </c>
      <c r="F803" s="30">
        <f>IF($A803="",0,(Transactions!M795-Transactions!L795+IF(Transactions!A795=2,Transactions!H795,0))*$E803)</f>
        <v>0</v>
      </c>
      <c r="G803" s="30">
        <f>IF($A803="",0,IF(Transactions!A795=2,Transactions!H795*$E803,0))</f>
        <v>0</v>
      </c>
    </row>
    <row r="804" spans="1:7" ht="15" customHeight="1" x14ac:dyDescent="0.15">
      <c r="A804" t="str">
        <f>IF(Transactions!J796="","",Transactions!J796)</f>
        <v/>
      </c>
      <c r="B804" s="297">
        <f ca="1">IF($A804="",TODAY(),Transactions!G796)</f>
        <v>46216</v>
      </c>
      <c r="C804" t="str">
        <f>IF($A804="","",Transactions!A796)</f>
        <v/>
      </c>
      <c r="D804" s="30">
        <f>IF($A804="",0,Transactions!H796)</f>
        <v>0</v>
      </c>
      <c r="E804">
        <f>IF($A804="",1,IFERROR(INDEX(Prices[FX to SGD],MATCH($A804,Prices[Key],0)),1))</f>
        <v>1</v>
      </c>
      <c r="F804" s="30">
        <f>IF($A804="",0,(Transactions!M796-Transactions!L796+IF(Transactions!A796=2,Transactions!H796,0))*$E804)</f>
        <v>0</v>
      </c>
      <c r="G804" s="30">
        <f>IF($A804="",0,IF(Transactions!A796=2,Transactions!H796*$E804,0))</f>
        <v>0</v>
      </c>
    </row>
    <row r="805" spans="1:7" ht="15" customHeight="1" x14ac:dyDescent="0.15">
      <c r="A805" t="str">
        <f>IF(Transactions!J797="","",Transactions!J797)</f>
        <v/>
      </c>
      <c r="B805" s="297">
        <f ca="1">IF($A805="",TODAY(),Transactions!G797)</f>
        <v>46216</v>
      </c>
      <c r="C805" t="str">
        <f>IF($A805="","",Transactions!A797)</f>
        <v/>
      </c>
      <c r="D805" s="30">
        <f>IF($A805="",0,Transactions!H797)</f>
        <v>0</v>
      </c>
      <c r="E805">
        <f>IF($A805="",1,IFERROR(INDEX(Prices[FX to SGD],MATCH($A805,Prices[Key],0)),1))</f>
        <v>1</v>
      </c>
      <c r="F805" s="30">
        <f>IF($A805="",0,(Transactions!M797-Transactions!L797+IF(Transactions!A797=2,Transactions!H797,0))*$E805)</f>
        <v>0</v>
      </c>
      <c r="G805" s="30">
        <f>IF($A805="",0,IF(Transactions!A797=2,Transactions!H797*$E805,0))</f>
        <v>0</v>
      </c>
    </row>
    <row r="806" spans="1:7" ht="15" customHeight="1" x14ac:dyDescent="0.15">
      <c r="A806" t="str">
        <f>IF(Transactions!J798="","",Transactions!J798)</f>
        <v/>
      </c>
      <c r="B806" s="297">
        <f ca="1">IF($A806="",TODAY(),Transactions!G798)</f>
        <v>46216</v>
      </c>
      <c r="C806" t="str">
        <f>IF($A806="","",Transactions!A798)</f>
        <v/>
      </c>
      <c r="D806" s="30">
        <f>IF($A806="",0,Transactions!H798)</f>
        <v>0</v>
      </c>
      <c r="E806">
        <f>IF($A806="",1,IFERROR(INDEX(Prices[FX to SGD],MATCH($A806,Prices[Key],0)),1))</f>
        <v>1</v>
      </c>
      <c r="F806" s="30">
        <f>IF($A806="",0,(Transactions!M798-Transactions!L798+IF(Transactions!A798=2,Transactions!H798,0))*$E806)</f>
        <v>0</v>
      </c>
      <c r="G806" s="30">
        <f>IF($A806="",0,IF(Transactions!A798=2,Transactions!H798*$E806,0))</f>
        <v>0</v>
      </c>
    </row>
    <row r="807" spans="1:7" ht="15" customHeight="1" x14ac:dyDescent="0.15">
      <c r="A807" t="str">
        <f>IF(Transactions!J799="","",Transactions!J799)</f>
        <v/>
      </c>
      <c r="B807" s="297">
        <f ca="1">IF($A807="",TODAY(),Transactions!G799)</f>
        <v>46216</v>
      </c>
      <c r="C807" t="str">
        <f>IF($A807="","",Transactions!A799)</f>
        <v/>
      </c>
      <c r="D807" s="30">
        <f>IF($A807="",0,Transactions!H799)</f>
        <v>0</v>
      </c>
      <c r="E807">
        <f>IF($A807="",1,IFERROR(INDEX(Prices[FX to SGD],MATCH($A807,Prices[Key],0)),1))</f>
        <v>1</v>
      </c>
      <c r="F807" s="30">
        <f>IF($A807="",0,(Transactions!M799-Transactions!L799+IF(Transactions!A799=2,Transactions!H799,0))*$E807)</f>
        <v>0</v>
      </c>
      <c r="G807" s="30">
        <f>IF($A807="",0,IF(Transactions!A799=2,Transactions!H799*$E807,0))</f>
        <v>0</v>
      </c>
    </row>
    <row r="808" spans="1:7" ht="15" customHeight="1" x14ac:dyDescent="0.15">
      <c r="A808" t="str">
        <f>IF(Transactions!J800="","",Transactions!J800)</f>
        <v/>
      </c>
      <c r="B808" s="297">
        <f ca="1">IF($A808="",TODAY(),Transactions!G800)</f>
        <v>46216</v>
      </c>
      <c r="C808" t="str">
        <f>IF($A808="","",Transactions!A800)</f>
        <v/>
      </c>
      <c r="D808" s="30">
        <f>IF($A808="",0,Transactions!H800)</f>
        <v>0</v>
      </c>
      <c r="E808">
        <f>IF($A808="",1,IFERROR(INDEX(Prices[FX to SGD],MATCH($A808,Prices[Key],0)),1))</f>
        <v>1</v>
      </c>
      <c r="F808" s="30">
        <f>IF($A808="",0,(Transactions!M800-Transactions!L800+IF(Transactions!A800=2,Transactions!H800,0))*$E808)</f>
        <v>0</v>
      </c>
      <c r="G808" s="30">
        <f>IF($A808="",0,IF(Transactions!A800=2,Transactions!H800*$E808,0))</f>
        <v>0</v>
      </c>
    </row>
    <row r="809" spans="1:7" ht="15" customHeight="1" x14ac:dyDescent="0.15">
      <c r="A809" t="str">
        <f>IF(Transactions!J801="","",Transactions!J801)</f>
        <v/>
      </c>
      <c r="B809" s="297">
        <f ca="1">IF($A809="",TODAY(),Transactions!G801)</f>
        <v>46216</v>
      </c>
      <c r="C809" t="str">
        <f>IF($A809="","",Transactions!A801)</f>
        <v/>
      </c>
      <c r="D809" s="30">
        <f>IF($A809="",0,Transactions!H801)</f>
        <v>0</v>
      </c>
      <c r="E809">
        <f>IF($A809="",1,IFERROR(INDEX(Prices[FX to SGD],MATCH($A809,Prices[Key],0)),1))</f>
        <v>1</v>
      </c>
      <c r="F809" s="30">
        <f>IF($A809="",0,(Transactions!M801-Transactions!L801+IF(Transactions!A801=2,Transactions!H801,0))*$E809)</f>
        <v>0</v>
      </c>
      <c r="G809" s="30">
        <f>IF($A809="",0,IF(Transactions!A801=2,Transactions!H801*$E809,0))</f>
        <v>0</v>
      </c>
    </row>
    <row r="810" spans="1:7" ht="15" customHeight="1" x14ac:dyDescent="0.15">
      <c r="A810" t="str">
        <f>IF(Transactions!J802="","",Transactions!J802)</f>
        <v/>
      </c>
      <c r="B810" s="297">
        <f ca="1">IF($A810="",TODAY(),Transactions!G802)</f>
        <v>46216</v>
      </c>
      <c r="C810" t="str">
        <f>IF($A810="","",Transactions!A802)</f>
        <v/>
      </c>
      <c r="D810" s="30">
        <f>IF($A810="",0,Transactions!H802)</f>
        <v>0</v>
      </c>
      <c r="E810">
        <f>IF($A810="",1,IFERROR(INDEX(Prices[FX to SGD],MATCH($A810,Prices[Key],0)),1))</f>
        <v>1</v>
      </c>
      <c r="F810" s="30">
        <f>IF($A810="",0,(Transactions!M802-Transactions!L802+IF(Transactions!A802=2,Transactions!H802,0))*$E810)</f>
        <v>0</v>
      </c>
      <c r="G810" s="30">
        <f>IF($A810="",0,IF(Transactions!A802=2,Transactions!H802*$E810,0))</f>
        <v>0</v>
      </c>
    </row>
    <row r="811" spans="1:7" ht="15" customHeight="1" x14ac:dyDescent="0.15">
      <c r="A811" t="str">
        <f>IF(Transactions!J803="","",Transactions!J803)</f>
        <v/>
      </c>
      <c r="B811" s="297">
        <f ca="1">IF($A811="",TODAY(),Transactions!G803)</f>
        <v>46216</v>
      </c>
      <c r="C811" t="str">
        <f>IF($A811="","",Transactions!A803)</f>
        <v/>
      </c>
      <c r="D811" s="30">
        <f>IF($A811="",0,Transactions!H803)</f>
        <v>0</v>
      </c>
      <c r="E811">
        <f>IF($A811="",1,IFERROR(INDEX(Prices[FX to SGD],MATCH($A811,Prices[Key],0)),1))</f>
        <v>1</v>
      </c>
      <c r="F811" s="30">
        <f>IF($A811="",0,(Transactions!M803-Transactions!L803+IF(Transactions!A803=2,Transactions!H803,0))*$E811)</f>
        <v>0</v>
      </c>
      <c r="G811" s="30">
        <f>IF($A811="",0,IF(Transactions!A803=2,Transactions!H803*$E811,0))</f>
        <v>0</v>
      </c>
    </row>
    <row r="812" spans="1:7" ht="15" customHeight="1" x14ac:dyDescent="0.15">
      <c r="A812" t="str">
        <f>IF(Transactions!J804="","",Transactions!J804)</f>
        <v/>
      </c>
      <c r="B812" s="297">
        <f ca="1">IF($A812="",TODAY(),Transactions!G804)</f>
        <v>46216</v>
      </c>
      <c r="C812" t="str">
        <f>IF($A812="","",Transactions!A804)</f>
        <v/>
      </c>
      <c r="D812" s="30">
        <f>IF($A812="",0,Transactions!H804)</f>
        <v>0</v>
      </c>
      <c r="E812">
        <f>IF($A812="",1,IFERROR(INDEX(Prices[FX to SGD],MATCH($A812,Prices[Key],0)),1))</f>
        <v>1</v>
      </c>
      <c r="F812" s="30">
        <f>IF($A812="",0,(Transactions!M804-Transactions!L804+IF(Transactions!A804=2,Transactions!H804,0))*$E812)</f>
        <v>0</v>
      </c>
      <c r="G812" s="30">
        <f>IF($A812="",0,IF(Transactions!A804=2,Transactions!H804*$E812,0))</f>
        <v>0</v>
      </c>
    </row>
    <row r="813" spans="1:7" ht="15" customHeight="1" x14ac:dyDescent="0.15">
      <c r="A813" t="str">
        <f>IF(Transactions!J805="","",Transactions!J805)</f>
        <v/>
      </c>
      <c r="B813" s="297">
        <f ca="1">IF($A813="",TODAY(),Transactions!G805)</f>
        <v>46216</v>
      </c>
      <c r="C813" t="str">
        <f>IF($A813="","",Transactions!A805)</f>
        <v/>
      </c>
      <c r="D813" s="30">
        <f>IF($A813="",0,Transactions!H805)</f>
        <v>0</v>
      </c>
      <c r="E813">
        <f>IF($A813="",1,IFERROR(INDEX(Prices[FX to SGD],MATCH($A813,Prices[Key],0)),1))</f>
        <v>1</v>
      </c>
      <c r="F813" s="30">
        <f>IF($A813="",0,(Transactions!M805-Transactions!L805+IF(Transactions!A805=2,Transactions!H805,0))*$E813)</f>
        <v>0</v>
      </c>
      <c r="G813" s="30">
        <f>IF($A813="",0,IF(Transactions!A805=2,Transactions!H805*$E813,0))</f>
        <v>0</v>
      </c>
    </row>
    <row r="814" spans="1:7" ht="15" customHeight="1" x14ac:dyDescent="0.15">
      <c r="A814" t="str">
        <f>IF(Transactions!J806="","",Transactions!J806)</f>
        <v/>
      </c>
      <c r="B814" s="297">
        <f ca="1">IF($A814="",TODAY(),Transactions!G806)</f>
        <v>46216</v>
      </c>
      <c r="C814" t="str">
        <f>IF($A814="","",Transactions!A806)</f>
        <v/>
      </c>
      <c r="D814" s="30">
        <f>IF($A814="",0,Transactions!H806)</f>
        <v>0</v>
      </c>
      <c r="E814">
        <f>IF($A814="",1,IFERROR(INDEX(Prices[FX to SGD],MATCH($A814,Prices[Key],0)),1))</f>
        <v>1</v>
      </c>
      <c r="F814" s="30">
        <f>IF($A814="",0,(Transactions!M806-Transactions!L806+IF(Transactions!A806=2,Transactions!H806,0))*$E814)</f>
        <v>0</v>
      </c>
      <c r="G814" s="30">
        <f>IF($A814="",0,IF(Transactions!A806=2,Transactions!H806*$E814,0))</f>
        <v>0</v>
      </c>
    </row>
    <row r="815" spans="1:7" ht="15" customHeight="1" x14ac:dyDescent="0.15">
      <c r="A815" t="str">
        <f>IF(Transactions!J807="","",Transactions!J807)</f>
        <v/>
      </c>
      <c r="B815" s="297">
        <f ca="1">IF($A815="",TODAY(),Transactions!G807)</f>
        <v>46216</v>
      </c>
      <c r="C815" t="str">
        <f>IF($A815="","",Transactions!A807)</f>
        <v/>
      </c>
      <c r="D815" s="30">
        <f>IF($A815="",0,Transactions!H807)</f>
        <v>0</v>
      </c>
      <c r="E815">
        <f>IF($A815="",1,IFERROR(INDEX(Prices[FX to SGD],MATCH($A815,Prices[Key],0)),1))</f>
        <v>1</v>
      </c>
      <c r="F815" s="30">
        <f>IF($A815="",0,(Transactions!M807-Transactions!L807+IF(Transactions!A807=2,Transactions!H807,0))*$E815)</f>
        <v>0</v>
      </c>
      <c r="G815" s="30">
        <f>IF($A815="",0,IF(Transactions!A807=2,Transactions!H807*$E815,0))</f>
        <v>0</v>
      </c>
    </row>
    <row r="816" spans="1:7" ht="15" customHeight="1" x14ac:dyDescent="0.15">
      <c r="A816" t="str">
        <f>IF(Transactions!J808="","",Transactions!J808)</f>
        <v/>
      </c>
      <c r="B816" s="297">
        <f ca="1">IF($A816="",TODAY(),Transactions!G808)</f>
        <v>46216</v>
      </c>
      <c r="C816" t="str">
        <f>IF($A816="","",Transactions!A808)</f>
        <v/>
      </c>
      <c r="D816" s="30">
        <f>IF($A816="",0,Transactions!H808)</f>
        <v>0</v>
      </c>
      <c r="E816">
        <f>IF($A816="",1,IFERROR(INDEX(Prices[FX to SGD],MATCH($A816,Prices[Key],0)),1))</f>
        <v>1</v>
      </c>
      <c r="F816" s="30">
        <f>IF($A816="",0,(Transactions!M808-Transactions!L808+IF(Transactions!A808=2,Transactions!H808,0))*$E816)</f>
        <v>0</v>
      </c>
      <c r="G816" s="30">
        <f>IF($A816="",0,IF(Transactions!A808=2,Transactions!H808*$E816,0))</f>
        <v>0</v>
      </c>
    </row>
    <row r="817" spans="1:7" ht="15" customHeight="1" x14ac:dyDescent="0.15">
      <c r="A817" t="str">
        <f>IF(Transactions!J809="","",Transactions!J809)</f>
        <v/>
      </c>
      <c r="B817" s="297">
        <f ca="1">IF($A817="",TODAY(),Transactions!G809)</f>
        <v>46216</v>
      </c>
      <c r="C817" t="str">
        <f>IF($A817="","",Transactions!A809)</f>
        <v/>
      </c>
      <c r="D817" s="30">
        <f>IF($A817="",0,Transactions!H809)</f>
        <v>0</v>
      </c>
      <c r="E817">
        <f>IF($A817="",1,IFERROR(INDEX(Prices[FX to SGD],MATCH($A817,Prices[Key],0)),1))</f>
        <v>1</v>
      </c>
      <c r="F817" s="30">
        <f>IF($A817="",0,(Transactions!M809-Transactions!L809+IF(Transactions!A809=2,Transactions!H809,0))*$E817)</f>
        <v>0</v>
      </c>
      <c r="G817" s="30">
        <f>IF($A817="",0,IF(Transactions!A809=2,Transactions!H809*$E817,0))</f>
        <v>0</v>
      </c>
    </row>
    <row r="818" spans="1:7" ht="15" customHeight="1" x14ac:dyDescent="0.15">
      <c r="A818" t="str">
        <f>IF(Transactions!J810="","",Transactions!J810)</f>
        <v/>
      </c>
      <c r="B818" s="297">
        <f ca="1">IF($A818="",TODAY(),Transactions!G810)</f>
        <v>46216</v>
      </c>
      <c r="C818" t="str">
        <f>IF($A818="","",Transactions!A810)</f>
        <v/>
      </c>
      <c r="D818" s="30">
        <f>IF($A818="",0,Transactions!H810)</f>
        <v>0</v>
      </c>
      <c r="E818">
        <f>IF($A818="",1,IFERROR(INDEX(Prices[FX to SGD],MATCH($A818,Prices[Key],0)),1))</f>
        <v>1</v>
      </c>
      <c r="F818" s="30">
        <f>IF($A818="",0,(Transactions!M810-Transactions!L810+IF(Transactions!A810=2,Transactions!H810,0))*$E818)</f>
        <v>0</v>
      </c>
      <c r="G818" s="30">
        <f>IF($A818="",0,IF(Transactions!A810=2,Transactions!H810*$E818,0))</f>
        <v>0</v>
      </c>
    </row>
    <row r="819" spans="1:7" ht="15" customHeight="1" x14ac:dyDescent="0.15">
      <c r="A819" t="str">
        <f>IF(Transactions!J811="","",Transactions!J811)</f>
        <v/>
      </c>
      <c r="B819" s="297">
        <f ca="1">IF($A819="",TODAY(),Transactions!G811)</f>
        <v>46216</v>
      </c>
      <c r="C819" t="str">
        <f>IF($A819="","",Transactions!A811)</f>
        <v/>
      </c>
      <c r="D819" s="30">
        <f>IF($A819="",0,Transactions!H811)</f>
        <v>0</v>
      </c>
      <c r="E819">
        <f>IF($A819="",1,IFERROR(INDEX(Prices[FX to SGD],MATCH($A819,Prices[Key],0)),1))</f>
        <v>1</v>
      </c>
      <c r="F819" s="30">
        <f>IF($A819="",0,(Transactions!M811-Transactions!L811+IF(Transactions!A811=2,Transactions!H811,0))*$E819)</f>
        <v>0</v>
      </c>
      <c r="G819" s="30">
        <f>IF($A819="",0,IF(Transactions!A811=2,Transactions!H811*$E819,0))</f>
        <v>0</v>
      </c>
    </row>
    <row r="820" spans="1:7" ht="15" customHeight="1" x14ac:dyDescent="0.15">
      <c r="A820" t="str">
        <f>IF(Transactions!J812="","",Transactions!J812)</f>
        <v/>
      </c>
      <c r="B820" s="297">
        <f ca="1">IF($A820="",TODAY(),Transactions!G812)</f>
        <v>46216</v>
      </c>
      <c r="C820" t="str">
        <f>IF($A820="","",Transactions!A812)</f>
        <v/>
      </c>
      <c r="D820" s="30">
        <f>IF($A820="",0,Transactions!H812)</f>
        <v>0</v>
      </c>
      <c r="E820">
        <f>IF($A820="",1,IFERROR(INDEX(Prices[FX to SGD],MATCH($A820,Prices[Key],0)),1))</f>
        <v>1</v>
      </c>
      <c r="F820" s="30">
        <f>IF($A820="",0,(Transactions!M812-Transactions!L812+IF(Transactions!A812=2,Transactions!H812,0))*$E820)</f>
        <v>0</v>
      </c>
      <c r="G820" s="30">
        <f>IF($A820="",0,IF(Transactions!A812=2,Transactions!H812*$E820,0))</f>
        <v>0</v>
      </c>
    </row>
    <row r="821" spans="1:7" ht="15" customHeight="1" x14ac:dyDescent="0.15">
      <c r="A821" t="str">
        <f>IF(Transactions!J813="","",Transactions!J813)</f>
        <v/>
      </c>
      <c r="B821" s="297">
        <f ca="1">IF($A821="",TODAY(),Transactions!G813)</f>
        <v>46216</v>
      </c>
      <c r="C821" t="str">
        <f>IF($A821="","",Transactions!A813)</f>
        <v/>
      </c>
      <c r="D821" s="30">
        <f>IF($A821="",0,Transactions!H813)</f>
        <v>0</v>
      </c>
      <c r="E821">
        <f>IF($A821="",1,IFERROR(INDEX(Prices[FX to SGD],MATCH($A821,Prices[Key],0)),1))</f>
        <v>1</v>
      </c>
      <c r="F821" s="30">
        <f>IF($A821="",0,(Transactions!M813-Transactions!L813+IF(Transactions!A813=2,Transactions!H813,0))*$E821)</f>
        <v>0</v>
      </c>
      <c r="G821" s="30">
        <f>IF($A821="",0,IF(Transactions!A813=2,Transactions!H813*$E821,0))</f>
        <v>0</v>
      </c>
    </row>
    <row r="822" spans="1:7" ht="15" customHeight="1" x14ac:dyDescent="0.15">
      <c r="A822" t="str">
        <f>IF(Transactions!J814="","",Transactions!J814)</f>
        <v/>
      </c>
      <c r="B822" s="297">
        <f ca="1">IF($A822="",TODAY(),Transactions!G814)</f>
        <v>46216</v>
      </c>
      <c r="C822" t="str">
        <f>IF($A822="","",Transactions!A814)</f>
        <v/>
      </c>
      <c r="D822" s="30">
        <f>IF($A822="",0,Transactions!H814)</f>
        <v>0</v>
      </c>
      <c r="E822">
        <f>IF($A822="",1,IFERROR(INDEX(Prices[FX to SGD],MATCH($A822,Prices[Key],0)),1))</f>
        <v>1</v>
      </c>
      <c r="F822" s="30">
        <f>IF($A822="",0,(Transactions!M814-Transactions!L814+IF(Transactions!A814=2,Transactions!H814,0))*$E822)</f>
        <v>0</v>
      </c>
      <c r="G822" s="30">
        <f>IF($A822="",0,IF(Transactions!A814=2,Transactions!H814*$E822,0))</f>
        <v>0</v>
      </c>
    </row>
    <row r="823" spans="1:7" ht="15" customHeight="1" x14ac:dyDescent="0.15">
      <c r="A823" t="str">
        <f>IF(Transactions!J815="","",Transactions!J815)</f>
        <v/>
      </c>
      <c r="B823" s="297">
        <f ca="1">IF($A823="",TODAY(),Transactions!G815)</f>
        <v>46216</v>
      </c>
      <c r="C823" t="str">
        <f>IF($A823="","",Transactions!A815)</f>
        <v/>
      </c>
      <c r="D823" s="30">
        <f>IF($A823="",0,Transactions!H815)</f>
        <v>0</v>
      </c>
      <c r="E823">
        <f>IF($A823="",1,IFERROR(INDEX(Prices[FX to SGD],MATCH($A823,Prices[Key],0)),1))</f>
        <v>1</v>
      </c>
      <c r="F823" s="30">
        <f>IF($A823="",0,(Transactions!M815-Transactions!L815+IF(Transactions!A815=2,Transactions!H815,0))*$E823)</f>
        <v>0</v>
      </c>
      <c r="G823" s="30">
        <f>IF($A823="",0,IF(Transactions!A815=2,Transactions!H815*$E823,0))</f>
        <v>0</v>
      </c>
    </row>
    <row r="824" spans="1:7" ht="15" customHeight="1" x14ac:dyDescent="0.15">
      <c r="A824" t="str">
        <f>IF(Transactions!J816="","",Transactions!J816)</f>
        <v/>
      </c>
      <c r="B824" s="297">
        <f ca="1">IF($A824="",TODAY(),Transactions!G816)</f>
        <v>46216</v>
      </c>
      <c r="C824" t="str">
        <f>IF($A824="","",Transactions!A816)</f>
        <v/>
      </c>
      <c r="D824" s="30">
        <f>IF($A824="",0,Transactions!H816)</f>
        <v>0</v>
      </c>
      <c r="E824">
        <f>IF($A824="",1,IFERROR(INDEX(Prices[FX to SGD],MATCH($A824,Prices[Key],0)),1))</f>
        <v>1</v>
      </c>
      <c r="F824" s="30">
        <f>IF($A824="",0,(Transactions!M816-Transactions!L816+IF(Transactions!A816=2,Transactions!H816,0))*$E824)</f>
        <v>0</v>
      </c>
      <c r="G824" s="30">
        <f>IF($A824="",0,IF(Transactions!A816=2,Transactions!H816*$E824,0))</f>
        <v>0</v>
      </c>
    </row>
    <row r="825" spans="1:7" ht="15" customHeight="1" x14ac:dyDescent="0.15">
      <c r="A825" t="str">
        <f>IF(Transactions!J817="","",Transactions!J817)</f>
        <v/>
      </c>
      <c r="B825" s="297">
        <f ca="1">IF($A825="",TODAY(),Transactions!G817)</f>
        <v>46216</v>
      </c>
      <c r="C825" t="str">
        <f>IF($A825="","",Transactions!A817)</f>
        <v/>
      </c>
      <c r="D825" s="30">
        <f>IF($A825="",0,Transactions!H817)</f>
        <v>0</v>
      </c>
      <c r="E825">
        <f>IF($A825="",1,IFERROR(INDEX(Prices[FX to SGD],MATCH($A825,Prices[Key],0)),1))</f>
        <v>1</v>
      </c>
      <c r="F825" s="30">
        <f>IF($A825="",0,(Transactions!M817-Transactions!L817+IF(Transactions!A817=2,Transactions!H817,0))*$E825)</f>
        <v>0</v>
      </c>
      <c r="G825" s="30">
        <f>IF($A825="",0,IF(Transactions!A817=2,Transactions!H817*$E825,0))</f>
        <v>0</v>
      </c>
    </row>
    <row r="826" spans="1:7" ht="15" customHeight="1" x14ac:dyDescent="0.15">
      <c r="A826" t="str">
        <f>IF(Transactions!J818="","",Transactions!J818)</f>
        <v/>
      </c>
      <c r="B826" s="297">
        <f ca="1">IF($A826="",TODAY(),Transactions!G818)</f>
        <v>46216</v>
      </c>
      <c r="C826" t="str">
        <f>IF($A826="","",Transactions!A818)</f>
        <v/>
      </c>
      <c r="D826" s="30">
        <f>IF($A826="",0,Transactions!H818)</f>
        <v>0</v>
      </c>
      <c r="E826">
        <f>IF($A826="",1,IFERROR(INDEX(Prices[FX to SGD],MATCH($A826,Prices[Key],0)),1))</f>
        <v>1</v>
      </c>
      <c r="F826" s="30">
        <f>IF($A826="",0,(Transactions!M818-Transactions!L818+IF(Transactions!A818=2,Transactions!H818,0))*$E826)</f>
        <v>0</v>
      </c>
      <c r="G826" s="30">
        <f>IF($A826="",0,IF(Transactions!A818=2,Transactions!H818*$E826,0))</f>
        <v>0</v>
      </c>
    </row>
    <row r="827" spans="1:7" ht="15" customHeight="1" x14ac:dyDescent="0.15">
      <c r="A827" t="str">
        <f>IF(Transactions!J819="","",Transactions!J819)</f>
        <v/>
      </c>
      <c r="B827" s="297">
        <f ca="1">IF($A827="",TODAY(),Transactions!G819)</f>
        <v>46216</v>
      </c>
      <c r="C827" t="str">
        <f>IF($A827="","",Transactions!A819)</f>
        <v/>
      </c>
      <c r="D827" s="30">
        <f>IF($A827="",0,Transactions!H819)</f>
        <v>0</v>
      </c>
      <c r="E827">
        <f>IF($A827="",1,IFERROR(INDEX(Prices[FX to SGD],MATCH($A827,Prices[Key],0)),1))</f>
        <v>1</v>
      </c>
      <c r="F827" s="30">
        <f>IF($A827="",0,(Transactions!M819-Transactions!L819+IF(Transactions!A819=2,Transactions!H819,0))*$E827)</f>
        <v>0</v>
      </c>
      <c r="G827" s="30">
        <f>IF($A827="",0,IF(Transactions!A819=2,Transactions!H819*$E827,0))</f>
        <v>0</v>
      </c>
    </row>
    <row r="828" spans="1:7" ht="15" customHeight="1" x14ac:dyDescent="0.15">
      <c r="A828" t="str">
        <f>IF(Transactions!J820="","",Transactions!J820)</f>
        <v/>
      </c>
      <c r="B828" s="297">
        <f ca="1">IF($A828="",TODAY(),Transactions!G820)</f>
        <v>46216</v>
      </c>
      <c r="C828" t="str">
        <f>IF($A828="","",Transactions!A820)</f>
        <v/>
      </c>
      <c r="D828" s="30">
        <f>IF($A828="",0,Transactions!H820)</f>
        <v>0</v>
      </c>
      <c r="E828">
        <f>IF($A828="",1,IFERROR(INDEX(Prices[FX to SGD],MATCH($A828,Prices[Key],0)),1))</f>
        <v>1</v>
      </c>
      <c r="F828" s="30">
        <f>IF($A828="",0,(Transactions!M820-Transactions!L820+IF(Transactions!A820=2,Transactions!H820,0))*$E828)</f>
        <v>0</v>
      </c>
      <c r="G828" s="30">
        <f>IF($A828="",0,IF(Transactions!A820=2,Transactions!H820*$E828,0))</f>
        <v>0</v>
      </c>
    </row>
    <row r="829" spans="1:7" ht="15" customHeight="1" x14ac:dyDescent="0.15">
      <c r="A829" t="str">
        <f>IF(Transactions!J821="","",Transactions!J821)</f>
        <v/>
      </c>
      <c r="B829" s="297">
        <f ca="1">IF($A829="",TODAY(),Transactions!G821)</f>
        <v>46216</v>
      </c>
      <c r="C829" t="str">
        <f>IF($A829="","",Transactions!A821)</f>
        <v/>
      </c>
      <c r="D829" s="30">
        <f>IF($A829="",0,Transactions!H821)</f>
        <v>0</v>
      </c>
      <c r="E829">
        <f>IF($A829="",1,IFERROR(INDEX(Prices[FX to SGD],MATCH($A829,Prices[Key],0)),1))</f>
        <v>1</v>
      </c>
      <c r="F829" s="30">
        <f>IF($A829="",0,(Transactions!M821-Transactions!L821+IF(Transactions!A821=2,Transactions!H821,0))*$E829)</f>
        <v>0</v>
      </c>
      <c r="G829" s="30">
        <f>IF($A829="",0,IF(Transactions!A821=2,Transactions!H821*$E829,0))</f>
        <v>0</v>
      </c>
    </row>
    <row r="830" spans="1:7" ht="15" customHeight="1" x14ac:dyDescent="0.15">
      <c r="A830" t="str">
        <f>IF(Transactions!J822="","",Transactions!J822)</f>
        <v/>
      </c>
      <c r="B830" s="297">
        <f ca="1">IF($A830="",TODAY(),Transactions!G822)</f>
        <v>46216</v>
      </c>
      <c r="C830" t="str">
        <f>IF($A830="","",Transactions!A822)</f>
        <v/>
      </c>
      <c r="D830" s="30">
        <f>IF($A830="",0,Transactions!H822)</f>
        <v>0</v>
      </c>
      <c r="E830">
        <f>IF($A830="",1,IFERROR(INDEX(Prices[FX to SGD],MATCH($A830,Prices[Key],0)),1))</f>
        <v>1</v>
      </c>
      <c r="F830" s="30">
        <f>IF($A830="",0,(Transactions!M822-Transactions!L822+IF(Transactions!A822=2,Transactions!H822,0))*$E830)</f>
        <v>0</v>
      </c>
      <c r="G830" s="30">
        <f>IF($A830="",0,IF(Transactions!A822=2,Transactions!H822*$E830,0))</f>
        <v>0</v>
      </c>
    </row>
    <row r="831" spans="1:7" ht="15" customHeight="1" x14ac:dyDescent="0.15">
      <c r="A831" t="str">
        <f>IF(Transactions!J823="","",Transactions!J823)</f>
        <v/>
      </c>
      <c r="B831" s="297">
        <f ca="1">IF($A831="",TODAY(),Transactions!G823)</f>
        <v>46216</v>
      </c>
      <c r="C831" t="str">
        <f>IF($A831="","",Transactions!A823)</f>
        <v/>
      </c>
      <c r="D831" s="30">
        <f>IF($A831="",0,Transactions!H823)</f>
        <v>0</v>
      </c>
      <c r="E831">
        <f>IF($A831="",1,IFERROR(INDEX(Prices[FX to SGD],MATCH($A831,Prices[Key],0)),1))</f>
        <v>1</v>
      </c>
      <c r="F831" s="30">
        <f>IF($A831="",0,(Transactions!M823-Transactions!L823+IF(Transactions!A823=2,Transactions!H823,0))*$E831)</f>
        <v>0</v>
      </c>
      <c r="G831" s="30">
        <f>IF($A831="",0,IF(Transactions!A823=2,Transactions!H823*$E831,0))</f>
        <v>0</v>
      </c>
    </row>
    <row r="832" spans="1:7" ht="15" customHeight="1" x14ac:dyDescent="0.15">
      <c r="A832" t="str">
        <f>IF(Transactions!J824="","",Transactions!J824)</f>
        <v/>
      </c>
      <c r="B832" s="297">
        <f ca="1">IF($A832="",TODAY(),Transactions!G824)</f>
        <v>46216</v>
      </c>
      <c r="C832" t="str">
        <f>IF($A832="","",Transactions!A824)</f>
        <v/>
      </c>
      <c r="D832" s="30">
        <f>IF($A832="",0,Transactions!H824)</f>
        <v>0</v>
      </c>
      <c r="E832">
        <f>IF($A832="",1,IFERROR(INDEX(Prices[FX to SGD],MATCH($A832,Prices[Key],0)),1))</f>
        <v>1</v>
      </c>
      <c r="F832" s="30">
        <f>IF($A832="",0,(Transactions!M824-Transactions!L824+IF(Transactions!A824=2,Transactions!H824,0))*$E832)</f>
        <v>0</v>
      </c>
      <c r="G832" s="30">
        <f>IF($A832="",0,IF(Transactions!A824=2,Transactions!H824*$E832,0))</f>
        <v>0</v>
      </c>
    </row>
    <row r="833" spans="1:7" ht="15" customHeight="1" x14ac:dyDescent="0.15">
      <c r="A833" t="str">
        <f>IF(Transactions!J825="","",Transactions!J825)</f>
        <v/>
      </c>
      <c r="B833" s="297">
        <f ca="1">IF($A833="",TODAY(),Transactions!G825)</f>
        <v>46216</v>
      </c>
      <c r="C833" t="str">
        <f>IF($A833="","",Transactions!A825)</f>
        <v/>
      </c>
      <c r="D833" s="30">
        <f>IF($A833="",0,Transactions!H825)</f>
        <v>0</v>
      </c>
      <c r="E833">
        <f>IF($A833="",1,IFERROR(INDEX(Prices[FX to SGD],MATCH($A833,Prices[Key],0)),1))</f>
        <v>1</v>
      </c>
      <c r="F833" s="30">
        <f>IF($A833="",0,(Transactions!M825-Transactions!L825+IF(Transactions!A825=2,Transactions!H825,0))*$E833)</f>
        <v>0</v>
      </c>
      <c r="G833" s="30">
        <f>IF($A833="",0,IF(Transactions!A825=2,Transactions!H825*$E833,0))</f>
        <v>0</v>
      </c>
    </row>
    <row r="834" spans="1:7" ht="15" customHeight="1" x14ac:dyDescent="0.15">
      <c r="A834" t="str">
        <f>IF(Transactions!J826="","",Transactions!J826)</f>
        <v/>
      </c>
      <c r="B834" s="297">
        <f ca="1">IF($A834="",TODAY(),Transactions!G826)</f>
        <v>46216</v>
      </c>
      <c r="C834" t="str">
        <f>IF($A834="","",Transactions!A826)</f>
        <v/>
      </c>
      <c r="D834" s="30">
        <f>IF($A834="",0,Transactions!H826)</f>
        <v>0</v>
      </c>
      <c r="E834">
        <f>IF($A834="",1,IFERROR(INDEX(Prices[FX to SGD],MATCH($A834,Prices[Key],0)),1))</f>
        <v>1</v>
      </c>
      <c r="F834" s="30">
        <f>IF($A834="",0,(Transactions!M826-Transactions!L826+IF(Transactions!A826=2,Transactions!H826,0))*$E834)</f>
        <v>0</v>
      </c>
      <c r="G834" s="30">
        <f>IF($A834="",0,IF(Transactions!A826=2,Transactions!H826*$E834,0))</f>
        <v>0</v>
      </c>
    </row>
    <row r="835" spans="1:7" ht="15" customHeight="1" x14ac:dyDescent="0.15">
      <c r="A835" t="str">
        <f>IF(Transactions!J827="","",Transactions!J827)</f>
        <v/>
      </c>
      <c r="B835" s="297">
        <f ca="1">IF($A835="",TODAY(),Transactions!G827)</f>
        <v>46216</v>
      </c>
      <c r="C835" t="str">
        <f>IF($A835="","",Transactions!A827)</f>
        <v/>
      </c>
      <c r="D835" s="30">
        <f>IF($A835="",0,Transactions!H827)</f>
        <v>0</v>
      </c>
      <c r="E835">
        <f>IF($A835="",1,IFERROR(INDEX(Prices[FX to SGD],MATCH($A835,Prices[Key],0)),1))</f>
        <v>1</v>
      </c>
      <c r="F835" s="30">
        <f>IF($A835="",0,(Transactions!M827-Transactions!L827+IF(Transactions!A827=2,Transactions!H827,0))*$E835)</f>
        <v>0</v>
      </c>
      <c r="G835" s="30">
        <f>IF($A835="",0,IF(Transactions!A827=2,Transactions!H827*$E835,0))</f>
        <v>0</v>
      </c>
    </row>
    <row r="836" spans="1:7" ht="15" customHeight="1" x14ac:dyDescent="0.15">
      <c r="A836" t="str">
        <f>IF(Transactions!J828="","",Transactions!J828)</f>
        <v/>
      </c>
      <c r="B836" s="297">
        <f ca="1">IF($A836="",TODAY(),Transactions!G828)</f>
        <v>46216</v>
      </c>
      <c r="C836" t="str">
        <f>IF($A836="","",Transactions!A828)</f>
        <v/>
      </c>
      <c r="D836" s="30">
        <f>IF($A836="",0,Transactions!H828)</f>
        <v>0</v>
      </c>
      <c r="E836">
        <f>IF($A836="",1,IFERROR(INDEX(Prices[FX to SGD],MATCH($A836,Prices[Key],0)),1))</f>
        <v>1</v>
      </c>
      <c r="F836" s="30">
        <f>IF($A836="",0,(Transactions!M828-Transactions!L828+IF(Transactions!A828=2,Transactions!H828,0))*$E836)</f>
        <v>0</v>
      </c>
      <c r="G836" s="30">
        <f>IF($A836="",0,IF(Transactions!A828=2,Transactions!H828*$E836,0))</f>
        <v>0</v>
      </c>
    </row>
    <row r="837" spans="1:7" ht="15" customHeight="1" x14ac:dyDescent="0.15">
      <c r="A837" t="str">
        <f>IF(Transactions!J829="","",Transactions!J829)</f>
        <v/>
      </c>
      <c r="B837" s="297">
        <f ca="1">IF($A837="",TODAY(),Transactions!G829)</f>
        <v>46216</v>
      </c>
      <c r="C837" t="str">
        <f>IF($A837="","",Transactions!A829)</f>
        <v/>
      </c>
      <c r="D837" s="30">
        <f>IF($A837="",0,Transactions!H829)</f>
        <v>0</v>
      </c>
      <c r="E837">
        <f>IF($A837="",1,IFERROR(INDEX(Prices[FX to SGD],MATCH($A837,Prices[Key],0)),1))</f>
        <v>1</v>
      </c>
      <c r="F837" s="30">
        <f>IF($A837="",0,(Transactions!M829-Transactions!L829+IF(Transactions!A829=2,Transactions!H829,0))*$E837)</f>
        <v>0</v>
      </c>
      <c r="G837" s="30">
        <f>IF($A837="",0,IF(Transactions!A829=2,Transactions!H829*$E837,0))</f>
        <v>0</v>
      </c>
    </row>
    <row r="838" spans="1:7" ht="15" customHeight="1" x14ac:dyDescent="0.15">
      <c r="A838" t="str">
        <f>IF(Transactions!J830="","",Transactions!J830)</f>
        <v/>
      </c>
      <c r="B838" s="297">
        <f ca="1">IF($A838="",TODAY(),Transactions!G830)</f>
        <v>46216</v>
      </c>
      <c r="C838" t="str">
        <f>IF($A838="","",Transactions!A830)</f>
        <v/>
      </c>
      <c r="D838" s="30">
        <f>IF($A838="",0,Transactions!H830)</f>
        <v>0</v>
      </c>
      <c r="E838">
        <f>IF($A838="",1,IFERROR(INDEX(Prices[FX to SGD],MATCH($A838,Prices[Key],0)),1))</f>
        <v>1</v>
      </c>
      <c r="F838" s="30">
        <f>IF($A838="",0,(Transactions!M830-Transactions!L830+IF(Transactions!A830=2,Transactions!H830,0))*$E838)</f>
        <v>0</v>
      </c>
      <c r="G838" s="30">
        <f>IF($A838="",0,IF(Transactions!A830=2,Transactions!H830*$E838,0))</f>
        <v>0</v>
      </c>
    </row>
    <row r="839" spans="1:7" ht="15" customHeight="1" x14ac:dyDescent="0.15">
      <c r="A839" t="str">
        <f>IF(Transactions!J831="","",Transactions!J831)</f>
        <v/>
      </c>
      <c r="B839" s="297">
        <f ca="1">IF($A839="",TODAY(),Transactions!G831)</f>
        <v>46216</v>
      </c>
      <c r="C839" t="str">
        <f>IF($A839="","",Transactions!A831)</f>
        <v/>
      </c>
      <c r="D839" s="30">
        <f>IF($A839="",0,Transactions!H831)</f>
        <v>0</v>
      </c>
      <c r="E839">
        <f>IF($A839="",1,IFERROR(INDEX(Prices[FX to SGD],MATCH($A839,Prices[Key],0)),1))</f>
        <v>1</v>
      </c>
      <c r="F839" s="30">
        <f>IF($A839="",0,(Transactions!M831-Transactions!L831+IF(Transactions!A831=2,Transactions!H831,0))*$E839)</f>
        <v>0</v>
      </c>
      <c r="G839" s="30">
        <f>IF($A839="",0,IF(Transactions!A831=2,Transactions!H831*$E839,0))</f>
        <v>0</v>
      </c>
    </row>
    <row r="840" spans="1:7" ht="15" customHeight="1" x14ac:dyDescent="0.15">
      <c r="A840" t="str">
        <f>IF(Transactions!J832="","",Transactions!J832)</f>
        <v/>
      </c>
      <c r="B840" s="297">
        <f ca="1">IF($A840="",TODAY(),Transactions!G832)</f>
        <v>46216</v>
      </c>
      <c r="C840" t="str">
        <f>IF($A840="","",Transactions!A832)</f>
        <v/>
      </c>
      <c r="D840" s="30">
        <f>IF($A840="",0,Transactions!H832)</f>
        <v>0</v>
      </c>
      <c r="E840">
        <f>IF($A840="",1,IFERROR(INDEX(Prices[FX to SGD],MATCH($A840,Prices[Key],0)),1))</f>
        <v>1</v>
      </c>
      <c r="F840" s="30">
        <f>IF($A840="",0,(Transactions!M832-Transactions!L832+IF(Transactions!A832=2,Transactions!H832,0))*$E840)</f>
        <v>0</v>
      </c>
      <c r="G840" s="30">
        <f>IF($A840="",0,IF(Transactions!A832=2,Transactions!H832*$E840,0))</f>
        <v>0</v>
      </c>
    </row>
    <row r="841" spans="1:7" ht="15" customHeight="1" x14ac:dyDescent="0.15">
      <c r="A841" t="str">
        <f>IF(Transactions!J833="","",Transactions!J833)</f>
        <v/>
      </c>
      <c r="B841" s="297">
        <f ca="1">IF($A841="",TODAY(),Transactions!G833)</f>
        <v>46216</v>
      </c>
      <c r="C841" t="str">
        <f>IF($A841="","",Transactions!A833)</f>
        <v/>
      </c>
      <c r="D841" s="30">
        <f>IF($A841="",0,Transactions!H833)</f>
        <v>0</v>
      </c>
      <c r="E841">
        <f>IF($A841="",1,IFERROR(INDEX(Prices[FX to SGD],MATCH($A841,Prices[Key],0)),1))</f>
        <v>1</v>
      </c>
      <c r="F841" s="30">
        <f>IF($A841="",0,(Transactions!M833-Transactions!L833+IF(Transactions!A833=2,Transactions!H833,0))*$E841)</f>
        <v>0</v>
      </c>
      <c r="G841" s="30">
        <f>IF($A841="",0,IF(Transactions!A833=2,Transactions!H833*$E841,0))</f>
        <v>0</v>
      </c>
    </row>
    <row r="842" spans="1:7" ht="15" customHeight="1" x14ac:dyDescent="0.15">
      <c r="A842" t="str">
        <f>IF(Transactions!J834="","",Transactions!J834)</f>
        <v/>
      </c>
      <c r="B842" s="297">
        <f ca="1">IF($A842="",TODAY(),Transactions!G834)</f>
        <v>46216</v>
      </c>
      <c r="C842" t="str">
        <f>IF($A842="","",Transactions!A834)</f>
        <v/>
      </c>
      <c r="D842" s="30">
        <f>IF($A842="",0,Transactions!H834)</f>
        <v>0</v>
      </c>
      <c r="E842">
        <f>IF($A842="",1,IFERROR(INDEX(Prices[FX to SGD],MATCH($A842,Prices[Key],0)),1))</f>
        <v>1</v>
      </c>
      <c r="F842" s="30">
        <f>IF($A842="",0,(Transactions!M834-Transactions!L834+IF(Transactions!A834=2,Transactions!H834,0))*$E842)</f>
        <v>0</v>
      </c>
      <c r="G842" s="30">
        <f>IF($A842="",0,IF(Transactions!A834=2,Transactions!H834*$E842,0))</f>
        <v>0</v>
      </c>
    </row>
    <row r="843" spans="1:7" ht="15" customHeight="1" x14ac:dyDescent="0.15">
      <c r="A843" t="str">
        <f>IF(Transactions!J835="","",Transactions!J835)</f>
        <v/>
      </c>
      <c r="B843" s="297">
        <f ca="1">IF($A843="",TODAY(),Transactions!G835)</f>
        <v>46216</v>
      </c>
      <c r="C843" t="str">
        <f>IF($A843="","",Transactions!A835)</f>
        <v/>
      </c>
      <c r="D843" s="30">
        <f>IF($A843="",0,Transactions!H835)</f>
        <v>0</v>
      </c>
      <c r="E843">
        <f>IF($A843="",1,IFERROR(INDEX(Prices[FX to SGD],MATCH($A843,Prices[Key],0)),1))</f>
        <v>1</v>
      </c>
      <c r="F843" s="30">
        <f>IF($A843="",0,(Transactions!M835-Transactions!L835+IF(Transactions!A835=2,Transactions!H835,0))*$E843)</f>
        <v>0</v>
      </c>
      <c r="G843" s="30">
        <f>IF($A843="",0,IF(Transactions!A835=2,Transactions!H835*$E843,0))</f>
        <v>0</v>
      </c>
    </row>
    <row r="844" spans="1:7" ht="15" customHeight="1" x14ac:dyDescent="0.15">
      <c r="A844" t="str">
        <f>IF(Transactions!J836="","",Transactions!J836)</f>
        <v/>
      </c>
      <c r="B844" s="297">
        <f ca="1">IF($A844="",TODAY(),Transactions!G836)</f>
        <v>46216</v>
      </c>
      <c r="C844" t="str">
        <f>IF($A844="","",Transactions!A836)</f>
        <v/>
      </c>
      <c r="D844" s="30">
        <f>IF($A844="",0,Transactions!H836)</f>
        <v>0</v>
      </c>
      <c r="E844">
        <f>IF($A844="",1,IFERROR(INDEX(Prices[FX to SGD],MATCH($A844,Prices[Key],0)),1))</f>
        <v>1</v>
      </c>
      <c r="F844" s="30">
        <f>IF($A844="",0,(Transactions!M836-Transactions!L836+IF(Transactions!A836=2,Transactions!H836,0))*$E844)</f>
        <v>0</v>
      </c>
      <c r="G844" s="30">
        <f>IF($A844="",0,IF(Transactions!A836=2,Transactions!H836*$E844,0))</f>
        <v>0</v>
      </c>
    </row>
    <row r="845" spans="1:7" ht="15" customHeight="1" x14ac:dyDescent="0.15">
      <c r="A845" t="str">
        <f>IF(Transactions!J837="","",Transactions!J837)</f>
        <v/>
      </c>
      <c r="B845" s="297">
        <f ca="1">IF($A845="",TODAY(),Transactions!G837)</f>
        <v>46216</v>
      </c>
      <c r="C845" t="str">
        <f>IF($A845="","",Transactions!A837)</f>
        <v/>
      </c>
      <c r="D845" s="30">
        <f>IF($A845="",0,Transactions!H837)</f>
        <v>0</v>
      </c>
      <c r="E845">
        <f>IF($A845="",1,IFERROR(INDEX(Prices[FX to SGD],MATCH($A845,Prices[Key],0)),1))</f>
        <v>1</v>
      </c>
      <c r="F845" s="30">
        <f>IF($A845="",0,(Transactions!M837-Transactions!L837+IF(Transactions!A837=2,Transactions!H837,0))*$E845)</f>
        <v>0</v>
      </c>
      <c r="G845" s="30">
        <f>IF($A845="",0,IF(Transactions!A837=2,Transactions!H837*$E845,0))</f>
        <v>0</v>
      </c>
    </row>
    <row r="846" spans="1:7" ht="15" customHeight="1" x14ac:dyDescent="0.15">
      <c r="A846" t="str">
        <f>IF(Transactions!J838="","",Transactions!J838)</f>
        <v/>
      </c>
      <c r="B846" s="297">
        <f ca="1">IF($A846="",TODAY(),Transactions!G838)</f>
        <v>46216</v>
      </c>
      <c r="C846" t="str">
        <f>IF($A846="","",Transactions!A838)</f>
        <v/>
      </c>
      <c r="D846" s="30">
        <f>IF($A846="",0,Transactions!H838)</f>
        <v>0</v>
      </c>
      <c r="E846">
        <f>IF($A846="",1,IFERROR(INDEX(Prices[FX to SGD],MATCH($A846,Prices[Key],0)),1))</f>
        <v>1</v>
      </c>
      <c r="F846" s="30">
        <f>IF($A846="",0,(Transactions!M838-Transactions!L838+IF(Transactions!A838=2,Transactions!H838,0))*$E846)</f>
        <v>0</v>
      </c>
      <c r="G846" s="30">
        <f>IF($A846="",0,IF(Transactions!A838=2,Transactions!H838*$E846,0))</f>
        <v>0</v>
      </c>
    </row>
    <row r="847" spans="1:7" ht="15" customHeight="1" x14ac:dyDescent="0.15">
      <c r="A847" t="str">
        <f>IF(Transactions!J839="","",Transactions!J839)</f>
        <v/>
      </c>
      <c r="B847" s="297">
        <f ca="1">IF($A847="",TODAY(),Transactions!G839)</f>
        <v>46216</v>
      </c>
      <c r="C847" t="str">
        <f>IF($A847="","",Transactions!A839)</f>
        <v/>
      </c>
      <c r="D847" s="30">
        <f>IF($A847="",0,Transactions!H839)</f>
        <v>0</v>
      </c>
      <c r="E847">
        <f>IF($A847="",1,IFERROR(INDEX(Prices[FX to SGD],MATCH($A847,Prices[Key],0)),1))</f>
        <v>1</v>
      </c>
      <c r="F847" s="30">
        <f>IF($A847="",0,(Transactions!M839-Transactions!L839+IF(Transactions!A839=2,Transactions!H839,0))*$E847)</f>
        <v>0</v>
      </c>
      <c r="G847" s="30">
        <f>IF($A847="",0,IF(Transactions!A839=2,Transactions!H839*$E847,0))</f>
        <v>0</v>
      </c>
    </row>
    <row r="848" spans="1:7" ht="15" customHeight="1" x14ac:dyDescent="0.15">
      <c r="A848" t="str">
        <f>IF(Transactions!J840="","",Transactions!J840)</f>
        <v/>
      </c>
      <c r="B848" s="297">
        <f ca="1">IF($A848="",TODAY(),Transactions!G840)</f>
        <v>46216</v>
      </c>
      <c r="C848" t="str">
        <f>IF($A848="","",Transactions!A840)</f>
        <v/>
      </c>
      <c r="D848" s="30">
        <f>IF($A848="",0,Transactions!H840)</f>
        <v>0</v>
      </c>
      <c r="E848">
        <f>IF($A848="",1,IFERROR(INDEX(Prices[FX to SGD],MATCH($A848,Prices[Key],0)),1))</f>
        <v>1</v>
      </c>
      <c r="F848" s="30">
        <f>IF($A848="",0,(Transactions!M840-Transactions!L840+IF(Transactions!A840=2,Transactions!H840,0))*$E848)</f>
        <v>0</v>
      </c>
      <c r="G848" s="30">
        <f>IF($A848="",0,IF(Transactions!A840=2,Transactions!H840*$E848,0))</f>
        <v>0</v>
      </c>
    </row>
    <row r="849" spans="1:7" ht="15" customHeight="1" x14ac:dyDescent="0.15">
      <c r="A849" t="str">
        <f>IF(Transactions!J841="","",Transactions!J841)</f>
        <v/>
      </c>
      <c r="B849" s="297">
        <f ca="1">IF($A849="",TODAY(),Transactions!G841)</f>
        <v>46216</v>
      </c>
      <c r="C849" t="str">
        <f>IF($A849="","",Transactions!A841)</f>
        <v/>
      </c>
      <c r="D849" s="30">
        <f>IF($A849="",0,Transactions!H841)</f>
        <v>0</v>
      </c>
      <c r="E849">
        <f>IF($A849="",1,IFERROR(INDEX(Prices[FX to SGD],MATCH($A849,Prices[Key],0)),1))</f>
        <v>1</v>
      </c>
      <c r="F849" s="30">
        <f>IF($A849="",0,(Transactions!M841-Transactions!L841+IF(Transactions!A841=2,Transactions!H841,0))*$E849)</f>
        <v>0</v>
      </c>
      <c r="G849" s="30">
        <f>IF($A849="",0,IF(Transactions!A841=2,Transactions!H841*$E849,0))</f>
        <v>0</v>
      </c>
    </row>
    <row r="850" spans="1:7" ht="15" customHeight="1" x14ac:dyDescent="0.15">
      <c r="A850" t="str">
        <f>IF(Transactions!J842="","",Transactions!J842)</f>
        <v/>
      </c>
      <c r="B850" s="297">
        <f ca="1">IF($A850="",TODAY(),Transactions!G842)</f>
        <v>46216</v>
      </c>
      <c r="C850" t="str">
        <f>IF($A850="","",Transactions!A842)</f>
        <v/>
      </c>
      <c r="D850" s="30">
        <f>IF($A850="",0,Transactions!H842)</f>
        <v>0</v>
      </c>
      <c r="E850">
        <f>IF($A850="",1,IFERROR(INDEX(Prices[FX to SGD],MATCH($A850,Prices[Key],0)),1))</f>
        <v>1</v>
      </c>
      <c r="F850" s="30">
        <f>IF($A850="",0,(Transactions!M842-Transactions!L842+IF(Transactions!A842=2,Transactions!H842,0))*$E850)</f>
        <v>0</v>
      </c>
      <c r="G850" s="30">
        <f>IF($A850="",0,IF(Transactions!A842=2,Transactions!H842*$E850,0))</f>
        <v>0</v>
      </c>
    </row>
    <row r="851" spans="1:7" ht="15" customHeight="1" x14ac:dyDescent="0.15">
      <c r="A851" t="str">
        <f>IF(Transactions!J843="","",Transactions!J843)</f>
        <v/>
      </c>
      <c r="B851" s="297">
        <f ca="1">IF($A851="",TODAY(),Transactions!G843)</f>
        <v>46216</v>
      </c>
      <c r="C851" t="str">
        <f>IF($A851="","",Transactions!A843)</f>
        <v/>
      </c>
      <c r="D851" s="30">
        <f>IF($A851="",0,Transactions!H843)</f>
        <v>0</v>
      </c>
      <c r="E851">
        <f>IF($A851="",1,IFERROR(INDEX(Prices[FX to SGD],MATCH($A851,Prices[Key],0)),1))</f>
        <v>1</v>
      </c>
      <c r="F851" s="30">
        <f>IF($A851="",0,(Transactions!M843-Transactions!L843+IF(Transactions!A843=2,Transactions!H843,0))*$E851)</f>
        <v>0</v>
      </c>
      <c r="G851" s="30">
        <f>IF($A851="",0,IF(Transactions!A843=2,Transactions!H843*$E851,0))</f>
        <v>0</v>
      </c>
    </row>
    <row r="852" spans="1:7" ht="15" customHeight="1" x14ac:dyDescent="0.15">
      <c r="A852" t="str">
        <f>IF(Transactions!J844="","",Transactions!J844)</f>
        <v/>
      </c>
      <c r="B852" s="297">
        <f ca="1">IF($A852="",TODAY(),Transactions!G844)</f>
        <v>46216</v>
      </c>
      <c r="C852" t="str">
        <f>IF($A852="","",Transactions!A844)</f>
        <v/>
      </c>
      <c r="D852" s="30">
        <f>IF($A852="",0,Transactions!H844)</f>
        <v>0</v>
      </c>
      <c r="E852">
        <f>IF($A852="",1,IFERROR(INDEX(Prices[FX to SGD],MATCH($A852,Prices[Key],0)),1))</f>
        <v>1</v>
      </c>
      <c r="F852" s="30">
        <f>IF($A852="",0,(Transactions!M844-Transactions!L844+IF(Transactions!A844=2,Transactions!H844,0))*$E852)</f>
        <v>0</v>
      </c>
      <c r="G852" s="30">
        <f>IF($A852="",0,IF(Transactions!A844=2,Transactions!H844*$E852,0))</f>
        <v>0</v>
      </c>
    </row>
    <row r="853" spans="1:7" ht="15" customHeight="1" x14ac:dyDescent="0.15">
      <c r="A853" t="str">
        <f>IF(Transactions!J845="","",Transactions!J845)</f>
        <v/>
      </c>
      <c r="B853" s="297">
        <f ca="1">IF($A853="",TODAY(),Transactions!G845)</f>
        <v>46216</v>
      </c>
      <c r="C853" t="str">
        <f>IF($A853="","",Transactions!A845)</f>
        <v/>
      </c>
      <c r="D853" s="30">
        <f>IF($A853="",0,Transactions!H845)</f>
        <v>0</v>
      </c>
      <c r="E853">
        <f>IF($A853="",1,IFERROR(INDEX(Prices[FX to SGD],MATCH($A853,Prices[Key],0)),1))</f>
        <v>1</v>
      </c>
      <c r="F853" s="30">
        <f>IF($A853="",0,(Transactions!M845-Transactions!L845+IF(Transactions!A845=2,Transactions!H845,0))*$E853)</f>
        <v>0</v>
      </c>
      <c r="G853" s="30">
        <f>IF($A853="",0,IF(Transactions!A845=2,Transactions!H845*$E853,0))</f>
        <v>0</v>
      </c>
    </row>
    <row r="854" spans="1:7" ht="15" customHeight="1" x14ac:dyDescent="0.15">
      <c r="A854" t="str">
        <f>IF(Transactions!J846="","",Transactions!J846)</f>
        <v/>
      </c>
      <c r="B854" s="297">
        <f ca="1">IF($A854="",TODAY(),Transactions!G846)</f>
        <v>46216</v>
      </c>
      <c r="C854" t="str">
        <f>IF($A854="","",Transactions!A846)</f>
        <v/>
      </c>
      <c r="D854" s="30">
        <f>IF($A854="",0,Transactions!H846)</f>
        <v>0</v>
      </c>
      <c r="E854">
        <f>IF($A854="",1,IFERROR(INDEX(Prices[FX to SGD],MATCH($A854,Prices[Key],0)),1))</f>
        <v>1</v>
      </c>
      <c r="F854" s="30">
        <f>IF($A854="",0,(Transactions!M846-Transactions!L846+IF(Transactions!A846=2,Transactions!H846,0))*$E854)</f>
        <v>0</v>
      </c>
      <c r="G854" s="30">
        <f>IF($A854="",0,IF(Transactions!A846=2,Transactions!H846*$E854,0))</f>
        <v>0</v>
      </c>
    </row>
    <row r="855" spans="1:7" ht="15" customHeight="1" x14ac:dyDescent="0.15">
      <c r="A855" t="str">
        <f>IF(Transactions!J847="","",Transactions!J847)</f>
        <v/>
      </c>
      <c r="B855" s="297">
        <f ca="1">IF($A855="",TODAY(),Transactions!G847)</f>
        <v>46216</v>
      </c>
      <c r="C855" t="str">
        <f>IF($A855="","",Transactions!A847)</f>
        <v/>
      </c>
      <c r="D855" s="30">
        <f>IF($A855="",0,Transactions!H847)</f>
        <v>0</v>
      </c>
      <c r="E855">
        <f>IF($A855="",1,IFERROR(INDEX(Prices[FX to SGD],MATCH($A855,Prices[Key],0)),1))</f>
        <v>1</v>
      </c>
      <c r="F855" s="30">
        <f>IF($A855="",0,(Transactions!M847-Transactions!L847+IF(Transactions!A847=2,Transactions!H847,0))*$E855)</f>
        <v>0</v>
      </c>
      <c r="G855" s="30">
        <f>IF($A855="",0,IF(Transactions!A847=2,Transactions!H847*$E855,0))</f>
        <v>0</v>
      </c>
    </row>
    <row r="856" spans="1:7" ht="15" customHeight="1" x14ac:dyDescent="0.15">
      <c r="A856" t="str">
        <f>IF(Transactions!J848="","",Transactions!J848)</f>
        <v/>
      </c>
      <c r="B856" s="297">
        <f ca="1">IF($A856="",TODAY(),Transactions!G848)</f>
        <v>46216</v>
      </c>
      <c r="C856" t="str">
        <f>IF($A856="","",Transactions!A848)</f>
        <v/>
      </c>
      <c r="D856" s="30">
        <f>IF($A856="",0,Transactions!H848)</f>
        <v>0</v>
      </c>
      <c r="E856">
        <f>IF($A856="",1,IFERROR(INDEX(Prices[FX to SGD],MATCH($A856,Prices[Key],0)),1))</f>
        <v>1</v>
      </c>
      <c r="F856" s="30">
        <f>IF($A856="",0,(Transactions!M848-Transactions!L848+IF(Transactions!A848=2,Transactions!H848,0))*$E856)</f>
        <v>0</v>
      </c>
      <c r="G856" s="30">
        <f>IF($A856="",0,IF(Transactions!A848=2,Transactions!H848*$E856,0))</f>
        <v>0</v>
      </c>
    </row>
    <row r="857" spans="1:7" ht="15" customHeight="1" x14ac:dyDescent="0.15">
      <c r="A857" t="str">
        <f>IF(Transactions!J849="","",Transactions!J849)</f>
        <v/>
      </c>
      <c r="B857" s="297">
        <f ca="1">IF($A857="",TODAY(),Transactions!G849)</f>
        <v>46216</v>
      </c>
      <c r="C857" t="str">
        <f>IF($A857="","",Transactions!A849)</f>
        <v/>
      </c>
      <c r="D857" s="30">
        <f>IF($A857="",0,Transactions!H849)</f>
        <v>0</v>
      </c>
      <c r="E857">
        <f>IF($A857="",1,IFERROR(INDEX(Prices[FX to SGD],MATCH($A857,Prices[Key],0)),1))</f>
        <v>1</v>
      </c>
      <c r="F857" s="30">
        <f>IF($A857="",0,(Transactions!M849-Transactions!L849+IF(Transactions!A849=2,Transactions!H849,0))*$E857)</f>
        <v>0</v>
      </c>
      <c r="G857" s="30">
        <f>IF($A857="",0,IF(Transactions!A849=2,Transactions!H849*$E857,0))</f>
        <v>0</v>
      </c>
    </row>
    <row r="858" spans="1:7" ht="15" customHeight="1" x14ac:dyDescent="0.15">
      <c r="A858" t="str">
        <f>IF(Transactions!J850="","",Transactions!J850)</f>
        <v/>
      </c>
      <c r="B858" s="297">
        <f ca="1">IF($A858="",TODAY(),Transactions!G850)</f>
        <v>46216</v>
      </c>
      <c r="C858" t="str">
        <f>IF($A858="","",Transactions!A850)</f>
        <v/>
      </c>
      <c r="D858" s="30">
        <f>IF($A858="",0,Transactions!H850)</f>
        <v>0</v>
      </c>
      <c r="E858">
        <f>IF($A858="",1,IFERROR(INDEX(Prices[FX to SGD],MATCH($A858,Prices[Key],0)),1))</f>
        <v>1</v>
      </c>
      <c r="F858" s="30">
        <f>IF($A858="",0,(Transactions!M850-Transactions!L850+IF(Transactions!A850=2,Transactions!H850,0))*$E858)</f>
        <v>0</v>
      </c>
      <c r="G858" s="30">
        <f>IF($A858="",0,IF(Transactions!A850=2,Transactions!H850*$E858,0))</f>
        <v>0</v>
      </c>
    </row>
    <row r="859" spans="1:7" ht="15" customHeight="1" x14ac:dyDescent="0.15">
      <c r="A859" t="str">
        <f>IF(Transactions!J851="","",Transactions!J851)</f>
        <v/>
      </c>
      <c r="B859" s="297">
        <f ca="1">IF($A859="",TODAY(),Transactions!G851)</f>
        <v>46216</v>
      </c>
      <c r="C859" t="str">
        <f>IF($A859="","",Transactions!A851)</f>
        <v/>
      </c>
      <c r="D859" s="30">
        <f>IF($A859="",0,Transactions!H851)</f>
        <v>0</v>
      </c>
      <c r="E859">
        <f>IF($A859="",1,IFERROR(INDEX(Prices[FX to SGD],MATCH($A859,Prices[Key],0)),1))</f>
        <v>1</v>
      </c>
      <c r="F859" s="30">
        <f>IF($A859="",0,(Transactions!M851-Transactions!L851+IF(Transactions!A851=2,Transactions!H851,0))*$E859)</f>
        <v>0</v>
      </c>
      <c r="G859" s="30">
        <f>IF($A859="",0,IF(Transactions!A851=2,Transactions!H851*$E859,0))</f>
        <v>0</v>
      </c>
    </row>
    <row r="860" spans="1:7" ht="15" customHeight="1" x14ac:dyDescent="0.15">
      <c r="A860" t="str">
        <f>IF(Transactions!J852="","",Transactions!J852)</f>
        <v/>
      </c>
      <c r="B860" s="297">
        <f ca="1">IF($A860="",TODAY(),Transactions!G852)</f>
        <v>46216</v>
      </c>
      <c r="C860" t="str">
        <f>IF($A860="","",Transactions!A852)</f>
        <v/>
      </c>
      <c r="D860" s="30">
        <f>IF($A860="",0,Transactions!H852)</f>
        <v>0</v>
      </c>
      <c r="E860">
        <f>IF($A860="",1,IFERROR(INDEX(Prices[FX to SGD],MATCH($A860,Prices[Key],0)),1))</f>
        <v>1</v>
      </c>
      <c r="F860" s="30">
        <f>IF($A860="",0,(Transactions!M852-Transactions!L852+IF(Transactions!A852=2,Transactions!H852,0))*$E860)</f>
        <v>0</v>
      </c>
      <c r="G860" s="30">
        <f>IF($A860="",0,IF(Transactions!A852=2,Transactions!H852*$E860,0))</f>
        <v>0</v>
      </c>
    </row>
    <row r="861" spans="1:7" ht="15" customHeight="1" x14ac:dyDescent="0.15">
      <c r="A861" t="str">
        <f>IF(Transactions!J853="","",Transactions!J853)</f>
        <v/>
      </c>
      <c r="B861" s="297">
        <f ca="1">IF($A861="",TODAY(),Transactions!G853)</f>
        <v>46216</v>
      </c>
      <c r="C861" t="str">
        <f>IF($A861="","",Transactions!A853)</f>
        <v/>
      </c>
      <c r="D861" s="30">
        <f>IF($A861="",0,Transactions!H853)</f>
        <v>0</v>
      </c>
      <c r="E861">
        <f>IF($A861="",1,IFERROR(INDEX(Prices[FX to SGD],MATCH($A861,Prices[Key],0)),1))</f>
        <v>1</v>
      </c>
      <c r="F861" s="30">
        <f>IF($A861="",0,(Transactions!M853-Transactions!L853+IF(Transactions!A853=2,Transactions!H853,0))*$E861)</f>
        <v>0</v>
      </c>
      <c r="G861" s="30">
        <f>IF($A861="",0,IF(Transactions!A853=2,Transactions!H853*$E861,0))</f>
        <v>0</v>
      </c>
    </row>
    <row r="862" spans="1:7" ht="15" customHeight="1" x14ac:dyDescent="0.15">
      <c r="A862" t="str">
        <f>IF(Transactions!J854="","",Transactions!J854)</f>
        <v/>
      </c>
      <c r="B862" s="297">
        <f ca="1">IF($A862="",TODAY(),Transactions!G854)</f>
        <v>46216</v>
      </c>
      <c r="C862" t="str">
        <f>IF($A862="","",Transactions!A854)</f>
        <v/>
      </c>
      <c r="D862" s="30">
        <f>IF($A862="",0,Transactions!H854)</f>
        <v>0</v>
      </c>
      <c r="E862">
        <f>IF($A862="",1,IFERROR(INDEX(Prices[FX to SGD],MATCH($A862,Prices[Key],0)),1))</f>
        <v>1</v>
      </c>
      <c r="F862" s="30">
        <f>IF($A862="",0,(Transactions!M854-Transactions!L854+IF(Transactions!A854=2,Transactions!H854,0))*$E862)</f>
        <v>0</v>
      </c>
      <c r="G862" s="30">
        <f>IF($A862="",0,IF(Transactions!A854=2,Transactions!H854*$E862,0))</f>
        <v>0</v>
      </c>
    </row>
    <row r="863" spans="1:7" ht="15" customHeight="1" x14ac:dyDescent="0.15">
      <c r="A863" t="str">
        <f>IF(Transactions!J855="","",Transactions!J855)</f>
        <v/>
      </c>
      <c r="B863" s="297">
        <f ca="1">IF($A863="",TODAY(),Transactions!G855)</f>
        <v>46216</v>
      </c>
      <c r="C863" t="str">
        <f>IF($A863="","",Transactions!A855)</f>
        <v/>
      </c>
      <c r="D863" s="30">
        <f>IF($A863="",0,Transactions!H855)</f>
        <v>0</v>
      </c>
      <c r="E863">
        <f>IF($A863="",1,IFERROR(INDEX(Prices[FX to SGD],MATCH($A863,Prices[Key],0)),1))</f>
        <v>1</v>
      </c>
      <c r="F863" s="30">
        <f>IF($A863="",0,(Transactions!M855-Transactions!L855+IF(Transactions!A855=2,Transactions!H855,0))*$E863)</f>
        <v>0</v>
      </c>
      <c r="G863" s="30">
        <f>IF($A863="",0,IF(Transactions!A855=2,Transactions!H855*$E863,0))</f>
        <v>0</v>
      </c>
    </row>
    <row r="864" spans="1:7" ht="15" customHeight="1" x14ac:dyDescent="0.15">
      <c r="A864" t="str">
        <f>IF(Transactions!J856="","",Transactions!J856)</f>
        <v/>
      </c>
      <c r="B864" s="297">
        <f ca="1">IF($A864="",TODAY(),Transactions!G856)</f>
        <v>46216</v>
      </c>
      <c r="C864" t="str">
        <f>IF($A864="","",Transactions!A856)</f>
        <v/>
      </c>
      <c r="D864" s="30">
        <f>IF($A864="",0,Transactions!H856)</f>
        <v>0</v>
      </c>
      <c r="E864">
        <f>IF($A864="",1,IFERROR(INDEX(Prices[FX to SGD],MATCH($A864,Prices[Key],0)),1))</f>
        <v>1</v>
      </c>
      <c r="F864" s="30">
        <f>IF($A864="",0,(Transactions!M856-Transactions!L856+IF(Transactions!A856=2,Transactions!H856,0))*$E864)</f>
        <v>0</v>
      </c>
      <c r="G864" s="30">
        <f>IF($A864="",0,IF(Transactions!A856=2,Transactions!H856*$E864,0))</f>
        <v>0</v>
      </c>
    </row>
    <row r="865" spans="1:7" ht="15" customHeight="1" x14ac:dyDescent="0.15">
      <c r="A865" t="str">
        <f>IF(Transactions!J857="","",Transactions!J857)</f>
        <v/>
      </c>
      <c r="B865" s="297">
        <f ca="1">IF($A865="",TODAY(),Transactions!G857)</f>
        <v>46216</v>
      </c>
      <c r="C865" t="str">
        <f>IF($A865="","",Transactions!A857)</f>
        <v/>
      </c>
      <c r="D865" s="30">
        <f>IF($A865="",0,Transactions!H857)</f>
        <v>0</v>
      </c>
      <c r="E865">
        <f>IF($A865="",1,IFERROR(INDEX(Prices[FX to SGD],MATCH($A865,Prices[Key],0)),1))</f>
        <v>1</v>
      </c>
      <c r="F865" s="30">
        <f>IF($A865="",0,(Transactions!M857-Transactions!L857+IF(Transactions!A857=2,Transactions!H857,0))*$E865)</f>
        <v>0</v>
      </c>
      <c r="G865" s="30">
        <f>IF($A865="",0,IF(Transactions!A857=2,Transactions!H857*$E865,0))</f>
        <v>0</v>
      </c>
    </row>
    <row r="866" spans="1:7" ht="15" customHeight="1" x14ac:dyDescent="0.15">
      <c r="A866" t="str">
        <f>IF(Transactions!J858="","",Transactions!J858)</f>
        <v/>
      </c>
      <c r="B866" s="297">
        <f ca="1">IF($A866="",TODAY(),Transactions!G858)</f>
        <v>46216</v>
      </c>
      <c r="C866" t="str">
        <f>IF($A866="","",Transactions!A858)</f>
        <v/>
      </c>
      <c r="D866" s="30">
        <f>IF($A866="",0,Transactions!H858)</f>
        <v>0</v>
      </c>
      <c r="E866">
        <f>IF($A866="",1,IFERROR(INDEX(Prices[FX to SGD],MATCH($A866,Prices[Key],0)),1))</f>
        <v>1</v>
      </c>
      <c r="F866" s="30">
        <f>IF($A866="",0,(Transactions!M858-Transactions!L858+IF(Transactions!A858=2,Transactions!H858,0))*$E866)</f>
        <v>0</v>
      </c>
      <c r="G866" s="30">
        <f>IF($A866="",0,IF(Transactions!A858=2,Transactions!H858*$E866,0))</f>
        <v>0</v>
      </c>
    </row>
    <row r="867" spans="1:7" ht="15" customHeight="1" x14ac:dyDescent="0.15">
      <c r="A867" t="str">
        <f>IF(Transactions!J859="","",Transactions!J859)</f>
        <v/>
      </c>
      <c r="B867" s="297">
        <f ca="1">IF($A867="",TODAY(),Transactions!G859)</f>
        <v>46216</v>
      </c>
      <c r="C867" t="str">
        <f>IF($A867="","",Transactions!A859)</f>
        <v/>
      </c>
      <c r="D867" s="30">
        <f>IF($A867="",0,Transactions!H859)</f>
        <v>0</v>
      </c>
      <c r="E867">
        <f>IF($A867="",1,IFERROR(INDEX(Prices[FX to SGD],MATCH($A867,Prices[Key],0)),1))</f>
        <v>1</v>
      </c>
      <c r="F867" s="30">
        <f>IF($A867="",0,(Transactions!M859-Transactions!L859+IF(Transactions!A859=2,Transactions!H859,0))*$E867)</f>
        <v>0</v>
      </c>
      <c r="G867" s="30">
        <f>IF($A867="",0,IF(Transactions!A859=2,Transactions!H859*$E867,0))</f>
        <v>0</v>
      </c>
    </row>
    <row r="868" spans="1:7" ht="15" customHeight="1" x14ac:dyDescent="0.15">
      <c r="A868" t="str">
        <f>IF(Transactions!J860="","",Transactions!J860)</f>
        <v/>
      </c>
      <c r="B868" s="297">
        <f ca="1">IF($A868="",TODAY(),Transactions!G860)</f>
        <v>46216</v>
      </c>
      <c r="C868" t="str">
        <f>IF($A868="","",Transactions!A860)</f>
        <v/>
      </c>
      <c r="D868" s="30">
        <f>IF($A868="",0,Transactions!H860)</f>
        <v>0</v>
      </c>
      <c r="E868">
        <f>IF($A868="",1,IFERROR(INDEX(Prices[FX to SGD],MATCH($A868,Prices[Key],0)),1))</f>
        <v>1</v>
      </c>
      <c r="F868" s="30">
        <f>IF($A868="",0,(Transactions!M860-Transactions!L860+IF(Transactions!A860=2,Transactions!H860,0))*$E868)</f>
        <v>0</v>
      </c>
      <c r="G868" s="30">
        <f>IF($A868="",0,IF(Transactions!A860=2,Transactions!H860*$E868,0))</f>
        <v>0</v>
      </c>
    </row>
    <row r="869" spans="1:7" ht="15" customHeight="1" x14ac:dyDescent="0.15">
      <c r="A869" t="str">
        <f>IF(Transactions!J861="","",Transactions!J861)</f>
        <v/>
      </c>
      <c r="B869" s="297">
        <f ca="1">IF($A869="",TODAY(),Transactions!G861)</f>
        <v>46216</v>
      </c>
      <c r="C869" t="str">
        <f>IF($A869="","",Transactions!A861)</f>
        <v/>
      </c>
      <c r="D869" s="30">
        <f>IF($A869="",0,Transactions!H861)</f>
        <v>0</v>
      </c>
      <c r="E869">
        <f>IF($A869="",1,IFERROR(INDEX(Prices[FX to SGD],MATCH($A869,Prices[Key],0)),1))</f>
        <v>1</v>
      </c>
      <c r="F869" s="30">
        <f>IF($A869="",0,(Transactions!M861-Transactions!L861+IF(Transactions!A861=2,Transactions!H861,0))*$E869)</f>
        <v>0</v>
      </c>
      <c r="G869" s="30">
        <f>IF($A869="",0,IF(Transactions!A861=2,Transactions!H861*$E869,0))</f>
        <v>0</v>
      </c>
    </row>
    <row r="870" spans="1:7" ht="15" customHeight="1" x14ac:dyDescent="0.15">
      <c r="A870" t="str">
        <f>IF(Transactions!J862="","",Transactions!J862)</f>
        <v/>
      </c>
      <c r="B870" s="297">
        <f ca="1">IF($A870="",TODAY(),Transactions!G862)</f>
        <v>46216</v>
      </c>
      <c r="C870" t="str">
        <f>IF($A870="","",Transactions!A862)</f>
        <v/>
      </c>
      <c r="D870" s="30">
        <f>IF($A870="",0,Transactions!H862)</f>
        <v>0</v>
      </c>
      <c r="E870">
        <f>IF($A870="",1,IFERROR(INDEX(Prices[FX to SGD],MATCH($A870,Prices[Key],0)),1))</f>
        <v>1</v>
      </c>
      <c r="F870" s="30">
        <f>IF($A870="",0,(Transactions!M862-Transactions!L862+IF(Transactions!A862=2,Transactions!H862,0))*$E870)</f>
        <v>0</v>
      </c>
      <c r="G870" s="30">
        <f>IF($A870="",0,IF(Transactions!A862=2,Transactions!H862*$E870,0))</f>
        <v>0</v>
      </c>
    </row>
    <row r="871" spans="1:7" ht="15" customHeight="1" x14ac:dyDescent="0.15">
      <c r="A871" t="str">
        <f>IF(Transactions!J863="","",Transactions!J863)</f>
        <v/>
      </c>
      <c r="B871" s="297">
        <f ca="1">IF($A871="",TODAY(),Transactions!G863)</f>
        <v>46216</v>
      </c>
      <c r="C871" t="str">
        <f>IF($A871="","",Transactions!A863)</f>
        <v/>
      </c>
      <c r="D871" s="30">
        <f>IF($A871="",0,Transactions!H863)</f>
        <v>0</v>
      </c>
      <c r="E871">
        <f>IF($A871="",1,IFERROR(INDEX(Prices[FX to SGD],MATCH($A871,Prices[Key],0)),1))</f>
        <v>1</v>
      </c>
      <c r="F871" s="30">
        <f>IF($A871="",0,(Transactions!M863-Transactions!L863+IF(Transactions!A863=2,Transactions!H863,0))*$E871)</f>
        <v>0</v>
      </c>
      <c r="G871" s="30">
        <f>IF($A871="",0,IF(Transactions!A863=2,Transactions!H863*$E871,0))</f>
        <v>0</v>
      </c>
    </row>
    <row r="872" spans="1:7" ht="15" customHeight="1" x14ac:dyDescent="0.15">
      <c r="A872" t="str">
        <f>IF(Transactions!J864="","",Transactions!J864)</f>
        <v/>
      </c>
      <c r="B872" s="297">
        <f ca="1">IF($A872="",TODAY(),Transactions!G864)</f>
        <v>46216</v>
      </c>
      <c r="C872" t="str">
        <f>IF($A872="","",Transactions!A864)</f>
        <v/>
      </c>
      <c r="D872" s="30">
        <f>IF($A872="",0,Transactions!H864)</f>
        <v>0</v>
      </c>
      <c r="E872">
        <f>IF($A872="",1,IFERROR(INDEX(Prices[FX to SGD],MATCH($A872,Prices[Key],0)),1))</f>
        <v>1</v>
      </c>
      <c r="F872" s="30">
        <f>IF($A872="",0,(Transactions!M864-Transactions!L864+IF(Transactions!A864=2,Transactions!H864,0))*$E872)</f>
        <v>0</v>
      </c>
      <c r="G872" s="30">
        <f>IF($A872="",0,IF(Transactions!A864=2,Transactions!H864*$E872,0))</f>
        <v>0</v>
      </c>
    </row>
    <row r="873" spans="1:7" ht="15" customHeight="1" x14ac:dyDescent="0.15">
      <c r="A873" t="str">
        <f>IF(Transactions!J865="","",Transactions!J865)</f>
        <v/>
      </c>
      <c r="B873" s="297">
        <f ca="1">IF($A873="",TODAY(),Transactions!G865)</f>
        <v>46216</v>
      </c>
      <c r="C873" t="str">
        <f>IF($A873="","",Transactions!A865)</f>
        <v/>
      </c>
      <c r="D873" s="30">
        <f>IF($A873="",0,Transactions!H865)</f>
        <v>0</v>
      </c>
      <c r="E873">
        <f>IF($A873="",1,IFERROR(INDEX(Prices[FX to SGD],MATCH($A873,Prices[Key],0)),1))</f>
        <v>1</v>
      </c>
      <c r="F873" s="30">
        <f>IF($A873="",0,(Transactions!M865-Transactions!L865+IF(Transactions!A865=2,Transactions!H865,0))*$E873)</f>
        <v>0</v>
      </c>
      <c r="G873" s="30">
        <f>IF($A873="",0,IF(Transactions!A865=2,Transactions!H865*$E873,0))</f>
        <v>0</v>
      </c>
    </row>
    <row r="874" spans="1:7" ht="15" customHeight="1" x14ac:dyDescent="0.15">
      <c r="A874" t="str">
        <f>IF(Transactions!J866="","",Transactions!J866)</f>
        <v/>
      </c>
      <c r="B874" s="297">
        <f ca="1">IF($A874="",TODAY(),Transactions!G866)</f>
        <v>46216</v>
      </c>
      <c r="C874" t="str">
        <f>IF($A874="","",Transactions!A866)</f>
        <v/>
      </c>
      <c r="D874" s="30">
        <f>IF($A874="",0,Transactions!H866)</f>
        <v>0</v>
      </c>
      <c r="E874">
        <f>IF($A874="",1,IFERROR(INDEX(Prices[FX to SGD],MATCH($A874,Prices[Key],0)),1))</f>
        <v>1</v>
      </c>
      <c r="F874" s="30">
        <f>IF($A874="",0,(Transactions!M866-Transactions!L866+IF(Transactions!A866=2,Transactions!H866,0))*$E874)</f>
        <v>0</v>
      </c>
      <c r="G874" s="30">
        <f>IF($A874="",0,IF(Transactions!A866=2,Transactions!H866*$E874,0))</f>
        <v>0</v>
      </c>
    </row>
    <row r="875" spans="1:7" ht="15" customHeight="1" x14ac:dyDescent="0.15">
      <c r="A875" t="str">
        <f>IF(Transactions!J867="","",Transactions!J867)</f>
        <v/>
      </c>
      <c r="B875" s="297">
        <f ca="1">IF($A875="",TODAY(),Transactions!G867)</f>
        <v>46216</v>
      </c>
      <c r="C875" t="str">
        <f>IF($A875="","",Transactions!A867)</f>
        <v/>
      </c>
      <c r="D875" s="30">
        <f>IF($A875="",0,Transactions!H867)</f>
        <v>0</v>
      </c>
      <c r="E875">
        <f>IF($A875="",1,IFERROR(INDEX(Prices[FX to SGD],MATCH($A875,Prices[Key],0)),1))</f>
        <v>1</v>
      </c>
      <c r="F875" s="30">
        <f>IF($A875="",0,(Transactions!M867-Transactions!L867+IF(Transactions!A867=2,Transactions!H867,0))*$E875)</f>
        <v>0</v>
      </c>
      <c r="G875" s="30">
        <f>IF($A875="",0,IF(Transactions!A867=2,Transactions!H867*$E875,0))</f>
        <v>0</v>
      </c>
    </row>
    <row r="876" spans="1:7" ht="15" customHeight="1" x14ac:dyDescent="0.15">
      <c r="A876" t="str">
        <f>IF(Transactions!J868="","",Transactions!J868)</f>
        <v/>
      </c>
      <c r="B876" s="297">
        <f ca="1">IF($A876="",TODAY(),Transactions!G868)</f>
        <v>46216</v>
      </c>
      <c r="C876" t="str">
        <f>IF($A876="","",Transactions!A868)</f>
        <v/>
      </c>
      <c r="D876" s="30">
        <f>IF($A876="",0,Transactions!H868)</f>
        <v>0</v>
      </c>
      <c r="E876">
        <f>IF($A876="",1,IFERROR(INDEX(Prices[FX to SGD],MATCH($A876,Prices[Key],0)),1))</f>
        <v>1</v>
      </c>
      <c r="F876" s="30">
        <f>IF($A876="",0,(Transactions!M868-Transactions!L868+IF(Transactions!A868=2,Transactions!H868,0))*$E876)</f>
        <v>0</v>
      </c>
      <c r="G876" s="30">
        <f>IF($A876="",0,IF(Transactions!A868=2,Transactions!H868*$E876,0))</f>
        <v>0</v>
      </c>
    </row>
    <row r="877" spans="1:7" ht="15" customHeight="1" x14ac:dyDescent="0.15">
      <c r="A877" t="str">
        <f>IF(Transactions!J869="","",Transactions!J869)</f>
        <v/>
      </c>
      <c r="B877" s="297">
        <f ca="1">IF($A877="",TODAY(),Transactions!G869)</f>
        <v>46216</v>
      </c>
      <c r="C877" t="str">
        <f>IF($A877="","",Transactions!A869)</f>
        <v/>
      </c>
      <c r="D877" s="30">
        <f>IF($A877="",0,Transactions!H869)</f>
        <v>0</v>
      </c>
      <c r="E877">
        <f>IF($A877="",1,IFERROR(INDEX(Prices[FX to SGD],MATCH($A877,Prices[Key],0)),1))</f>
        <v>1</v>
      </c>
      <c r="F877" s="30">
        <f>IF($A877="",0,(Transactions!M869-Transactions!L869+IF(Transactions!A869=2,Transactions!H869,0))*$E877)</f>
        <v>0</v>
      </c>
      <c r="G877" s="30">
        <f>IF($A877="",0,IF(Transactions!A869=2,Transactions!H869*$E877,0))</f>
        <v>0</v>
      </c>
    </row>
    <row r="878" spans="1:7" ht="15" customHeight="1" x14ac:dyDescent="0.15">
      <c r="A878" t="str">
        <f>IF(Transactions!J870="","",Transactions!J870)</f>
        <v/>
      </c>
      <c r="B878" s="297">
        <f ca="1">IF($A878="",TODAY(),Transactions!G870)</f>
        <v>46216</v>
      </c>
      <c r="C878" t="str">
        <f>IF($A878="","",Transactions!A870)</f>
        <v/>
      </c>
      <c r="D878" s="30">
        <f>IF($A878="",0,Transactions!H870)</f>
        <v>0</v>
      </c>
      <c r="E878">
        <f>IF($A878="",1,IFERROR(INDEX(Prices[FX to SGD],MATCH($A878,Prices[Key],0)),1))</f>
        <v>1</v>
      </c>
      <c r="F878" s="30">
        <f>IF($A878="",0,(Transactions!M870-Transactions!L870+IF(Transactions!A870=2,Transactions!H870,0))*$E878)</f>
        <v>0</v>
      </c>
      <c r="G878" s="30">
        <f>IF($A878="",0,IF(Transactions!A870=2,Transactions!H870*$E878,0))</f>
        <v>0</v>
      </c>
    </row>
    <row r="879" spans="1:7" ht="15" customHeight="1" x14ac:dyDescent="0.15">
      <c r="A879" t="str">
        <f>IF(Transactions!J871="","",Transactions!J871)</f>
        <v/>
      </c>
      <c r="B879" s="297">
        <f ca="1">IF($A879="",TODAY(),Transactions!G871)</f>
        <v>46216</v>
      </c>
      <c r="C879" t="str">
        <f>IF($A879="","",Transactions!A871)</f>
        <v/>
      </c>
      <c r="D879" s="30">
        <f>IF($A879="",0,Transactions!H871)</f>
        <v>0</v>
      </c>
      <c r="E879">
        <f>IF($A879="",1,IFERROR(INDEX(Prices[FX to SGD],MATCH($A879,Prices[Key],0)),1))</f>
        <v>1</v>
      </c>
      <c r="F879" s="30">
        <f>IF($A879="",0,(Transactions!M871-Transactions!L871+IF(Transactions!A871=2,Transactions!H871,0))*$E879)</f>
        <v>0</v>
      </c>
      <c r="G879" s="30">
        <f>IF($A879="",0,IF(Transactions!A871=2,Transactions!H871*$E879,0))</f>
        <v>0</v>
      </c>
    </row>
    <row r="880" spans="1:7" ht="15" customHeight="1" x14ac:dyDescent="0.15">
      <c r="A880" t="str">
        <f>IF(Transactions!J872="","",Transactions!J872)</f>
        <v/>
      </c>
      <c r="B880" s="297">
        <f ca="1">IF($A880="",TODAY(),Transactions!G872)</f>
        <v>46216</v>
      </c>
      <c r="C880" t="str">
        <f>IF($A880="","",Transactions!A872)</f>
        <v/>
      </c>
      <c r="D880" s="30">
        <f>IF($A880="",0,Transactions!H872)</f>
        <v>0</v>
      </c>
      <c r="E880">
        <f>IF($A880="",1,IFERROR(INDEX(Prices[FX to SGD],MATCH($A880,Prices[Key],0)),1))</f>
        <v>1</v>
      </c>
      <c r="F880" s="30">
        <f>IF($A880="",0,(Transactions!M872-Transactions!L872+IF(Transactions!A872=2,Transactions!H872,0))*$E880)</f>
        <v>0</v>
      </c>
      <c r="G880" s="30">
        <f>IF($A880="",0,IF(Transactions!A872=2,Transactions!H872*$E880,0))</f>
        <v>0</v>
      </c>
    </row>
    <row r="881" spans="1:7" ht="15" customHeight="1" x14ac:dyDescent="0.15">
      <c r="A881" t="str">
        <f>IF(Transactions!J873="","",Transactions!J873)</f>
        <v/>
      </c>
      <c r="B881" s="297">
        <f ca="1">IF($A881="",TODAY(),Transactions!G873)</f>
        <v>46216</v>
      </c>
      <c r="C881" t="str">
        <f>IF($A881="","",Transactions!A873)</f>
        <v/>
      </c>
      <c r="D881" s="30">
        <f>IF($A881="",0,Transactions!H873)</f>
        <v>0</v>
      </c>
      <c r="E881">
        <f>IF($A881="",1,IFERROR(INDEX(Prices[FX to SGD],MATCH($A881,Prices[Key],0)),1))</f>
        <v>1</v>
      </c>
      <c r="F881" s="30">
        <f>IF($A881="",0,(Transactions!M873-Transactions!L873+IF(Transactions!A873=2,Transactions!H873,0))*$E881)</f>
        <v>0</v>
      </c>
      <c r="G881" s="30">
        <f>IF($A881="",0,IF(Transactions!A873=2,Transactions!H873*$E881,0))</f>
        <v>0</v>
      </c>
    </row>
    <row r="882" spans="1:7" ht="15" customHeight="1" x14ac:dyDescent="0.15">
      <c r="A882" t="str">
        <f>IF(Transactions!J874="","",Transactions!J874)</f>
        <v/>
      </c>
      <c r="B882" s="297">
        <f ca="1">IF($A882="",TODAY(),Transactions!G874)</f>
        <v>46216</v>
      </c>
      <c r="C882" t="str">
        <f>IF($A882="","",Transactions!A874)</f>
        <v/>
      </c>
      <c r="D882" s="30">
        <f>IF($A882="",0,Transactions!H874)</f>
        <v>0</v>
      </c>
      <c r="E882">
        <f>IF($A882="",1,IFERROR(INDEX(Prices[FX to SGD],MATCH($A882,Prices[Key],0)),1))</f>
        <v>1</v>
      </c>
      <c r="F882" s="30">
        <f>IF($A882="",0,(Transactions!M874-Transactions!L874+IF(Transactions!A874=2,Transactions!H874,0))*$E882)</f>
        <v>0</v>
      </c>
      <c r="G882" s="30">
        <f>IF($A882="",0,IF(Transactions!A874=2,Transactions!H874*$E882,0))</f>
        <v>0</v>
      </c>
    </row>
    <row r="883" spans="1:7" ht="15" customHeight="1" x14ac:dyDescent="0.15">
      <c r="A883" t="str">
        <f>IF(Transactions!J875="","",Transactions!J875)</f>
        <v/>
      </c>
      <c r="B883" s="297">
        <f ca="1">IF($A883="",TODAY(),Transactions!G875)</f>
        <v>46216</v>
      </c>
      <c r="C883" t="str">
        <f>IF($A883="","",Transactions!A875)</f>
        <v/>
      </c>
      <c r="D883" s="30">
        <f>IF($A883="",0,Transactions!H875)</f>
        <v>0</v>
      </c>
      <c r="E883">
        <f>IF($A883="",1,IFERROR(INDEX(Prices[FX to SGD],MATCH($A883,Prices[Key],0)),1))</f>
        <v>1</v>
      </c>
      <c r="F883" s="30">
        <f>IF($A883="",0,(Transactions!M875-Transactions!L875+IF(Transactions!A875=2,Transactions!H875,0))*$E883)</f>
        <v>0</v>
      </c>
      <c r="G883" s="30">
        <f>IF($A883="",0,IF(Transactions!A875=2,Transactions!H875*$E883,0))</f>
        <v>0</v>
      </c>
    </row>
    <row r="884" spans="1:7" ht="15" customHeight="1" x14ac:dyDescent="0.15">
      <c r="A884" t="str">
        <f>IF(Transactions!J876="","",Transactions!J876)</f>
        <v/>
      </c>
      <c r="B884" s="297">
        <f ca="1">IF($A884="",TODAY(),Transactions!G876)</f>
        <v>46216</v>
      </c>
      <c r="C884" t="str">
        <f>IF($A884="","",Transactions!A876)</f>
        <v/>
      </c>
      <c r="D884" s="30">
        <f>IF($A884="",0,Transactions!H876)</f>
        <v>0</v>
      </c>
      <c r="E884">
        <f>IF($A884="",1,IFERROR(INDEX(Prices[FX to SGD],MATCH($A884,Prices[Key],0)),1))</f>
        <v>1</v>
      </c>
      <c r="F884" s="30">
        <f>IF($A884="",0,(Transactions!M876-Transactions!L876+IF(Transactions!A876=2,Transactions!H876,0))*$E884)</f>
        <v>0</v>
      </c>
      <c r="G884" s="30">
        <f>IF($A884="",0,IF(Transactions!A876=2,Transactions!H876*$E884,0))</f>
        <v>0</v>
      </c>
    </row>
    <row r="885" spans="1:7" ht="15" customHeight="1" x14ac:dyDescent="0.15">
      <c r="A885" t="str">
        <f>IF(Transactions!J877="","",Transactions!J877)</f>
        <v/>
      </c>
      <c r="B885" s="297">
        <f ca="1">IF($A885="",TODAY(),Transactions!G877)</f>
        <v>46216</v>
      </c>
      <c r="C885" t="str">
        <f>IF($A885="","",Transactions!A877)</f>
        <v/>
      </c>
      <c r="D885" s="30">
        <f>IF($A885="",0,Transactions!H877)</f>
        <v>0</v>
      </c>
      <c r="E885">
        <f>IF($A885="",1,IFERROR(INDEX(Prices[FX to SGD],MATCH($A885,Prices[Key],0)),1))</f>
        <v>1</v>
      </c>
      <c r="F885" s="30">
        <f>IF($A885="",0,(Transactions!M877-Transactions!L877+IF(Transactions!A877=2,Transactions!H877,0))*$E885)</f>
        <v>0</v>
      </c>
      <c r="G885" s="30">
        <f>IF($A885="",0,IF(Transactions!A877=2,Transactions!H877*$E885,0))</f>
        <v>0</v>
      </c>
    </row>
    <row r="886" spans="1:7" ht="15" customHeight="1" x14ac:dyDescent="0.15">
      <c r="A886" t="str">
        <f>IF(Transactions!J878="","",Transactions!J878)</f>
        <v/>
      </c>
      <c r="B886" s="297">
        <f ca="1">IF($A886="",TODAY(),Transactions!G878)</f>
        <v>46216</v>
      </c>
      <c r="C886" t="str">
        <f>IF($A886="","",Transactions!A878)</f>
        <v/>
      </c>
      <c r="D886" s="30">
        <f>IF($A886="",0,Transactions!H878)</f>
        <v>0</v>
      </c>
      <c r="E886">
        <f>IF($A886="",1,IFERROR(INDEX(Prices[FX to SGD],MATCH($A886,Prices[Key],0)),1))</f>
        <v>1</v>
      </c>
      <c r="F886" s="30">
        <f>IF($A886="",0,(Transactions!M878-Transactions!L878+IF(Transactions!A878=2,Transactions!H878,0))*$E886)</f>
        <v>0</v>
      </c>
      <c r="G886" s="30">
        <f>IF($A886="",0,IF(Transactions!A878=2,Transactions!H878*$E886,0))</f>
        <v>0</v>
      </c>
    </row>
    <row r="887" spans="1:7" ht="15" customHeight="1" x14ac:dyDescent="0.15">
      <c r="A887" t="str">
        <f>IF(Transactions!J879="","",Transactions!J879)</f>
        <v/>
      </c>
      <c r="B887" s="297">
        <f ca="1">IF($A887="",TODAY(),Transactions!G879)</f>
        <v>46216</v>
      </c>
      <c r="C887" t="str">
        <f>IF($A887="","",Transactions!A879)</f>
        <v/>
      </c>
      <c r="D887" s="30">
        <f>IF($A887="",0,Transactions!H879)</f>
        <v>0</v>
      </c>
      <c r="E887">
        <f>IF($A887="",1,IFERROR(INDEX(Prices[FX to SGD],MATCH($A887,Prices[Key],0)),1))</f>
        <v>1</v>
      </c>
      <c r="F887" s="30">
        <f>IF($A887="",0,(Transactions!M879-Transactions!L879+IF(Transactions!A879=2,Transactions!H879,0))*$E887)</f>
        <v>0</v>
      </c>
      <c r="G887" s="30">
        <f>IF($A887="",0,IF(Transactions!A879=2,Transactions!H879*$E887,0))</f>
        <v>0</v>
      </c>
    </row>
    <row r="888" spans="1:7" ht="15" customHeight="1" x14ac:dyDescent="0.15">
      <c r="A888" t="str">
        <f>IF(Transactions!J880="","",Transactions!J880)</f>
        <v/>
      </c>
      <c r="B888" s="297">
        <f ca="1">IF($A888="",TODAY(),Transactions!G880)</f>
        <v>46216</v>
      </c>
      <c r="C888" t="str">
        <f>IF($A888="","",Transactions!A880)</f>
        <v/>
      </c>
      <c r="D888" s="30">
        <f>IF($A888="",0,Transactions!H880)</f>
        <v>0</v>
      </c>
      <c r="E888">
        <f>IF($A888="",1,IFERROR(INDEX(Prices[FX to SGD],MATCH($A888,Prices[Key],0)),1))</f>
        <v>1</v>
      </c>
      <c r="F888" s="30">
        <f>IF($A888="",0,(Transactions!M880-Transactions!L880+IF(Transactions!A880=2,Transactions!H880,0))*$E888)</f>
        <v>0</v>
      </c>
      <c r="G888" s="30">
        <f>IF($A888="",0,IF(Transactions!A880=2,Transactions!H880*$E888,0))</f>
        <v>0</v>
      </c>
    </row>
    <row r="889" spans="1:7" ht="15" customHeight="1" x14ac:dyDescent="0.15">
      <c r="A889" t="str">
        <f>IF(Transactions!J881="","",Transactions!J881)</f>
        <v/>
      </c>
      <c r="B889" s="297">
        <f ca="1">IF($A889="",TODAY(),Transactions!G881)</f>
        <v>46216</v>
      </c>
      <c r="C889" t="str">
        <f>IF($A889="","",Transactions!A881)</f>
        <v/>
      </c>
      <c r="D889" s="30">
        <f>IF($A889="",0,Transactions!H881)</f>
        <v>0</v>
      </c>
      <c r="E889">
        <f>IF($A889="",1,IFERROR(INDEX(Prices[FX to SGD],MATCH($A889,Prices[Key],0)),1))</f>
        <v>1</v>
      </c>
      <c r="F889" s="30">
        <f>IF($A889="",0,(Transactions!M881-Transactions!L881+IF(Transactions!A881=2,Transactions!H881,0))*$E889)</f>
        <v>0</v>
      </c>
      <c r="G889" s="30">
        <f>IF($A889="",0,IF(Transactions!A881=2,Transactions!H881*$E889,0))</f>
        <v>0</v>
      </c>
    </row>
    <row r="890" spans="1:7" ht="15" customHeight="1" x14ac:dyDescent="0.15">
      <c r="A890" t="str">
        <f>IF(Transactions!J882="","",Transactions!J882)</f>
        <v/>
      </c>
      <c r="B890" s="297">
        <f ca="1">IF($A890="",TODAY(),Transactions!G882)</f>
        <v>46216</v>
      </c>
      <c r="C890" t="str">
        <f>IF($A890="","",Transactions!A882)</f>
        <v/>
      </c>
      <c r="D890" s="30">
        <f>IF($A890="",0,Transactions!H882)</f>
        <v>0</v>
      </c>
      <c r="E890">
        <f>IF($A890="",1,IFERROR(INDEX(Prices[FX to SGD],MATCH($A890,Prices[Key],0)),1))</f>
        <v>1</v>
      </c>
      <c r="F890" s="30">
        <f>IF($A890="",0,(Transactions!M882-Transactions!L882+IF(Transactions!A882=2,Transactions!H882,0))*$E890)</f>
        <v>0</v>
      </c>
      <c r="G890" s="30">
        <f>IF($A890="",0,IF(Transactions!A882=2,Transactions!H882*$E890,0))</f>
        <v>0</v>
      </c>
    </row>
    <row r="891" spans="1:7" ht="15" customHeight="1" x14ac:dyDescent="0.15">
      <c r="A891" t="str">
        <f>IF(Transactions!J883="","",Transactions!J883)</f>
        <v/>
      </c>
      <c r="B891" s="297">
        <f ca="1">IF($A891="",TODAY(),Transactions!G883)</f>
        <v>46216</v>
      </c>
      <c r="C891" t="str">
        <f>IF($A891="","",Transactions!A883)</f>
        <v/>
      </c>
      <c r="D891" s="30">
        <f>IF($A891="",0,Transactions!H883)</f>
        <v>0</v>
      </c>
      <c r="E891">
        <f>IF($A891="",1,IFERROR(INDEX(Prices[FX to SGD],MATCH($A891,Prices[Key],0)),1))</f>
        <v>1</v>
      </c>
      <c r="F891" s="30">
        <f>IF($A891="",0,(Transactions!M883-Transactions!L883+IF(Transactions!A883=2,Transactions!H883,0))*$E891)</f>
        <v>0</v>
      </c>
      <c r="G891" s="30">
        <f>IF($A891="",0,IF(Transactions!A883=2,Transactions!H883*$E891,0))</f>
        <v>0</v>
      </c>
    </row>
    <row r="892" spans="1:7" ht="15" customHeight="1" x14ac:dyDescent="0.15">
      <c r="A892" t="str">
        <f>IF(Transactions!J884="","",Transactions!J884)</f>
        <v/>
      </c>
      <c r="B892" s="297">
        <f ca="1">IF($A892="",TODAY(),Transactions!G884)</f>
        <v>46216</v>
      </c>
      <c r="C892" t="str">
        <f>IF($A892="","",Transactions!A884)</f>
        <v/>
      </c>
      <c r="D892" s="30">
        <f>IF($A892="",0,Transactions!H884)</f>
        <v>0</v>
      </c>
      <c r="E892">
        <f>IF($A892="",1,IFERROR(INDEX(Prices[FX to SGD],MATCH($A892,Prices[Key],0)),1))</f>
        <v>1</v>
      </c>
      <c r="F892" s="30">
        <f>IF($A892="",0,(Transactions!M884-Transactions!L884+IF(Transactions!A884=2,Transactions!H884,0))*$E892)</f>
        <v>0</v>
      </c>
      <c r="G892" s="30">
        <f>IF($A892="",0,IF(Transactions!A884=2,Transactions!H884*$E892,0))</f>
        <v>0</v>
      </c>
    </row>
    <row r="893" spans="1:7" ht="15" customHeight="1" x14ac:dyDescent="0.15">
      <c r="A893" t="str">
        <f>IF(Transactions!J885="","",Transactions!J885)</f>
        <v/>
      </c>
      <c r="B893" s="297">
        <f ca="1">IF($A893="",TODAY(),Transactions!G885)</f>
        <v>46216</v>
      </c>
      <c r="C893" t="str">
        <f>IF($A893="","",Transactions!A885)</f>
        <v/>
      </c>
      <c r="D893" s="30">
        <f>IF($A893="",0,Transactions!H885)</f>
        <v>0</v>
      </c>
      <c r="E893">
        <f>IF($A893="",1,IFERROR(INDEX(Prices[FX to SGD],MATCH($A893,Prices[Key],0)),1))</f>
        <v>1</v>
      </c>
      <c r="F893" s="30">
        <f>IF($A893="",0,(Transactions!M885-Transactions!L885+IF(Transactions!A885=2,Transactions!H885,0))*$E893)</f>
        <v>0</v>
      </c>
      <c r="G893" s="30">
        <f>IF($A893="",0,IF(Transactions!A885=2,Transactions!H885*$E893,0))</f>
        <v>0</v>
      </c>
    </row>
    <row r="894" spans="1:7" ht="15" customHeight="1" x14ac:dyDescent="0.15">
      <c r="A894" t="str">
        <f>IF(Transactions!J886="","",Transactions!J886)</f>
        <v/>
      </c>
      <c r="B894" s="297">
        <f ca="1">IF($A894="",TODAY(),Transactions!G886)</f>
        <v>46216</v>
      </c>
      <c r="C894" t="str">
        <f>IF($A894="","",Transactions!A886)</f>
        <v/>
      </c>
      <c r="D894" s="30">
        <f>IF($A894="",0,Transactions!H886)</f>
        <v>0</v>
      </c>
      <c r="E894">
        <f>IF($A894="",1,IFERROR(INDEX(Prices[FX to SGD],MATCH($A894,Prices[Key],0)),1))</f>
        <v>1</v>
      </c>
      <c r="F894" s="30">
        <f>IF($A894="",0,(Transactions!M886-Transactions!L886+IF(Transactions!A886=2,Transactions!H886,0))*$E894)</f>
        <v>0</v>
      </c>
      <c r="G894" s="30">
        <f>IF($A894="",0,IF(Transactions!A886=2,Transactions!H886*$E894,0))</f>
        <v>0</v>
      </c>
    </row>
    <row r="895" spans="1:7" ht="15" customHeight="1" x14ac:dyDescent="0.15">
      <c r="A895" t="str">
        <f>IF(Transactions!J887="","",Transactions!J887)</f>
        <v/>
      </c>
      <c r="B895" s="297">
        <f ca="1">IF($A895="",TODAY(),Transactions!G887)</f>
        <v>46216</v>
      </c>
      <c r="C895" t="str">
        <f>IF($A895="","",Transactions!A887)</f>
        <v/>
      </c>
      <c r="D895" s="30">
        <f>IF($A895="",0,Transactions!H887)</f>
        <v>0</v>
      </c>
      <c r="E895">
        <f>IF($A895="",1,IFERROR(INDEX(Prices[FX to SGD],MATCH($A895,Prices[Key],0)),1))</f>
        <v>1</v>
      </c>
      <c r="F895" s="30">
        <f>IF($A895="",0,(Transactions!M887-Transactions!L887+IF(Transactions!A887=2,Transactions!H887,0))*$E895)</f>
        <v>0</v>
      </c>
      <c r="G895" s="30">
        <f>IF($A895="",0,IF(Transactions!A887=2,Transactions!H887*$E895,0))</f>
        <v>0</v>
      </c>
    </row>
    <row r="896" spans="1:7" ht="15" customHeight="1" x14ac:dyDescent="0.15">
      <c r="A896" t="str">
        <f>IF(Transactions!J888="","",Transactions!J888)</f>
        <v/>
      </c>
      <c r="B896" s="297">
        <f ca="1">IF($A896="",TODAY(),Transactions!G888)</f>
        <v>46216</v>
      </c>
      <c r="C896" t="str">
        <f>IF($A896="","",Transactions!A888)</f>
        <v/>
      </c>
      <c r="D896" s="30">
        <f>IF($A896="",0,Transactions!H888)</f>
        <v>0</v>
      </c>
      <c r="E896">
        <f>IF($A896="",1,IFERROR(INDEX(Prices[FX to SGD],MATCH($A896,Prices[Key],0)),1))</f>
        <v>1</v>
      </c>
      <c r="F896" s="30">
        <f>IF($A896="",0,(Transactions!M888-Transactions!L888+IF(Transactions!A888=2,Transactions!H888,0))*$E896)</f>
        <v>0</v>
      </c>
      <c r="G896" s="30">
        <f>IF($A896="",0,IF(Transactions!A888=2,Transactions!H888*$E896,0))</f>
        <v>0</v>
      </c>
    </row>
    <row r="897" spans="1:7" ht="15" customHeight="1" x14ac:dyDescent="0.15">
      <c r="A897" t="str">
        <f>IF(Transactions!J889="","",Transactions!J889)</f>
        <v/>
      </c>
      <c r="B897" s="297">
        <f ca="1">IF($A897="",TODAY(),Transactions!G889)</f>
        <v>46216</v>
      </c>
      <c r="C897" t="str">
        <f>IF($A897="","",Transactions!A889)</f>
        <v/>
      </c>
      <c r="D897" s="30">
        <f>IF($A897="",0,Transactions!H889)</f>
        <v>0</v>
      </c>
      <c r="E897">
        <f>IF($A897="",1,IFERROR(INDEX(Prices[FX to SGD],MATCH($A897,Prices[Key],0)),1))</f>
        <v>1</v>
      </c>
      <c r="F897" s="30">
        <f>IF($A897="",0,(Transactions!M889-Transactions!L889+IF(Transactions!A889=2,Transactions!H889,0))*$E897)</f>
        <v>0</v>
      </c>
      <c r="G897" s="30">
        <f>IF($A897="",0,IF(Transactions!A889=2,Transactions!H889*$E897,0))</f>
        <v>0</v>
      </c>
    </row>
    <row r="898" spans="1:7" ht="15" customHeight="1" x14ac:dyDescent="0.15">
      <c r="A898" t="str">
        <f>IF(Transactions!J890="","",Transactions!J890)</f>
        <v/>
      </c>
      <c r="B898" s="297">
        <f ca="1">IF($A898="",TODAY(),Transactions!G890)</f>
        <v>46216</v>
      </c>
      <c r="C898" t="str">
        <f>IF($A898="","",Transactions!A890)</f>
        <v/>
      </c>
      <c r="D898" s="30">
        <f>IF($A898="",0,Transactions!H890)</f>
        <v>0</v>
      </c>
      <c r="E898">
        <f>IF($A898="",1,IFERROR(INDEX(Prices[FX to SGD],MATCH($A898,Prices[Key],0)),1))</f>
        <v>1</v>
      </c>
      <c r="F898" s="30">
        <f>IF($A898="",0,(Transactions!M890-Transactions!L890+IF(Transactions!A890=2,Transactions!H890,0))*$E898)</f>
        <v>0</v>
      </c>
      <c r="G898" s="30">
        <f>IF($A898="",0,IF(Transactions!A890=2,Transactions!H890*$E898,0))</f>
        <v>0</v>
      </c>
    </row>
    <row r="899" spans="1:7" ht="15" customHeight="1" x14ac:dyDescent="0.15">
      <c r="A899" t="str">
        <f>IF(Transactions!J891="","",Transactions!J891)</f>
        <v/>
      </c>
      <c r="B899" s="297">
        <f ca="1">IF($A899="",TODAY(),Transactions!G891)</f>
        <v>46216</v>
      </c>
      <c r="C899" t="str">
        <f>IF($A899="","",Transactions!A891)</f>
        <v/>
      </c>
      <c r="D899" s="30">
        <f>IF($A899="",0,Transactions!H891)</f>
        <v>0</v>
      </c>
      <c r="E899">
        <f>IF($A899="",1,IFERROR(INDEX(Prices[FX to SGD],MATCH($A899,Prices[Key],0)),1))</f>
        <v>1</v>
      </c>
      <c r="F899" s="30">
        <f>IF($A899="",0,(Transactions!M891-Transactions!L891+IF(Transactions!A891=2,Transactions!H891,0))*$E899)</f>
        <v>0</v>
      </c>
      <c r="G899" s="30">
        <f>IF($A899="",0,IF(Transactions!A891=2,Transactions!H891*$E899,0))</f>
        <v>0</v>
      </c>
    </row>
    <row r="900" spans="1:7" ht="15" customHeight="1" x14ac:dyDescent="0.15">
      <c r="A900" t="str">
        <f>IF(Transactions!J892="","",Transactions!J892)</f>
        <v/>
      </c>
      <c r="B900" s="297">
        <f ca="1">IF($A900="",TODAY(),Transactions!G892)</f>
        <v>46216</v>
      </c>
      <c r="C900" t="str">
        <f>IF($A900="","",Transactions!A892)</f>
        <v/>
      </c>
      <c r="D900" s="30">
        <f>IF($A900="",0,Transactions!H892)</f>
        <v>0</v>
      </c>
      <c r="E900">
        <f>IF($A900="",1,IFERROR(INDEX(Prices[FX to SGD],MATCH($A900,Prices[Key],0)),1))</f>
        <v>1</v>
      </c>
      <c r="F900" s="30">
        <f>IF($A900="",0,(Transactions!M892-Transactions!L892+IF(Transactions!A892=2,Transactions!H892,0))*$E900)</f>
        <v>0</v>
      </c>
      <c r="G900" s="30">
        <f>IF($A900="",0,IF(Transactions!A892=2,Transactions!H892*$E900,0))</f>
        <v>0</v>
      </c>
    </row>
    <row r="901" spans="1:7" ht="15" customHeight="1" x14ac:dyDescent="0.15">
      <c r="A901" t="str">
        <f>IF(Transactions!J893="","",Transactions!J893)</f>
        <v/>
      </c>
      <c r="B901" s="297">
        <f ca="1">IF($A901="",TODAY(),Transactions!G893)</f>
        <v>46216</v>
      </c>
      <c r="C901" t="str">
        <f>IF($A901="","",Transactions!A893)</f>
        <v/>
      </c>
      <c r="D901" s="30">
        <f>IF($A901="",0,Transactions!H893)</f>
        <v>0</v>
      </c>
      <c r="E901">
        <f>IF($A901="",1,IFERROR(INDEX(Prices[FX to SGD],MATCH($A901,Prices[Key],0)),1))</f>
        <v>1</v>
      </c>
      <c r="F901" s="30">
        <f>IF($A901="",0,(Transactions!M893-Transactions!L893+IF(Transactions!A893=2,Transactions!H893,0))*$E901)</f>
        <v>0</v>
      </c>
      <c r="G901" s="30">
        <f>IF($A901="",0,IF(Transactions!A893=2,Transactions!H893*$E901,0))</f>
        <v>0</v>
      </c>
    </row>
    <row r="902" spans="1:7" ht="15" customHeight="1" x14ac:dyDescent="0.15">
      <c r="A902" t="str">
        <f>IF(Transactions!J894="","",Transactions!J894)</f>
        <v/>
      </c>
      <c r="B902" s="297">
        <f ca="1">IF($A902="",TODAY(),Transactions!G894)</f>
        <v>46216</v>
      </c>
      <c r="C902" t="str">
        <f>IF($A902="","",Transactions!A894)</f>
        <v/>
      </c>
      <c r="D902" s="30">
        <f>IF($A902="",0,Transactions!H894)</f>
        <v>0</v>
      </c>
      <c r="E902">
        <f>IF($A902="",1,IFERROR(INDEX(Prices[FX to SGD],MATCH($A902,Prices[Key],0)),1))</f>
        <v>1</v>
      </c>
      <c r="F902" s="30">
        <f>IF($A902="",0,(Transactions!M894-Transactions!L894+IF(Transactions!A894=2,Transactions!H894,0))*$E902)</f>
        <v>0</v>
      </c>
      <c r="G902" s="30">
        <f>IF($A902="",0,IF(Transactions!A894=2,Transactions!H894*$E902,0))</f>
        <v>0</v>
      </c>
    </row>
    <row r="903" spans="1:7" ht="15" customHeight="1" x14ac:dyDescent="0.15">
      <c r="A903" t="str">
        <f>IF(Transactions!J895="","",Transactions!J895)</f>
        <v/>
      </c>
      <c r="B903" s="297">
        <f ca="1">IF($A903="",TODAY(),Transactions!G895)</f>
        <v>46216</v>
      </c>
      <c r="C903" t="str">
        <f>IF($A903="","",Transactions!A895)</f>
        <v/>
      </c>
      <c r="D903" s="30">
        <f>IF($A903="",0,Transactions!H895)</f>
        <v>0</v>
      </c>
      <c r="E903">
        <f>IF($A903="",1,IFERROR(INDEX(Prices[FX to SGD],MATCH($A903,Prices[Key],0)),1))</f>
        <v>1</v>
      </c>
      <c r="F903" s="30">
        <f>IF($A903="",0,(Transactions!M895-Transactions!L895+IF(Transactions!A895=2,Transactions!H895,0))*$E903)</f>
        <v>0</v>
      </c>
      <c r="G903" s="30">
        <f>IF($A903="",0,IF(Transactions!A895=2,Transactions!H895*$E903,0))</f>
        <v>0</v>
      </c>
    </row>
    <row r="904" spans="1:7" ht="15" customHeight="1" x14ac:dyDescent="0.15">
      <c r="A904" t="str">
        <f>IF(Transactions!J896="","",Transactions!J896)</f>
        <v/>
      </c>
      <c r="B904" s="297">
        <f ca="1">IF($A904="",TODAY(),Transactions!G896)</f>
        <v>46216</v>
      </c>
      <c r="C904" t="str">
        <f>IF($A904="","",Transactions!A896)</f>
        <v/>
      </c>
      <c r="D904" s="30">
        <f>IF($A904="",0,Transactions!H896)</f>
        <v>0</v>
      </c>
      <c r="E904">
        <f>IF($A904="",1,IFERROR(INDEX(Prices[FX to SGD],MATCH($A904,Prices[Key],0)),1))</f>
        <v>1</v>
      </c>
      <c r="F904" s="30">
        <f>IF($A904="",0,(Transactions!M896-Transactions!L896+IF(Transactions!A896=2,Transactions!H896,0))*$E904)</f>
        <v>0</v>
      </c>
      <c r="G904" s="30">
        <f>IF($A904="",0,IF(Transactions!A896=2,Transactions!H896*$E904,0))</f>
        <v>0</v>
      </c>
    </row>
    <row r="905" spans="1:7" ht="15" customHeight="1" x14ac:dyDescent="0.15">
      <c r="A905" t="str">
        <f>IF(Transactions!J897="","",Transactions!J897)</f>
        <v/>
      </c>
      <c r="B905" s="297">
        <f ca="1">IF($A905="",TODAY(),Transactions!G897)</f>
        <v>46216</v>
      </c>
      <c r="C905" t="str">
        <f>IF($A905="","",Transactions!A897)</f>
        <v/>
      </c>
      <c r="D905" s="30">
        <f>IF($A905="",0,Transactions!H897)</f>
        <v>0</v>
      </c>
      <c r="E905">
        <f>IF($A905="",1,IFERROR(INDEX(Prices[FX to SGD],MATCH($A905,Prices[Key],0)),1))</f>
        <v>1</v>
      </c>
      <c r="F905" s="30">
        <f>IF($A905="",0,(Transactions!M897-Transactions!L897+IF(Transactions!A897=2,Transactions!H897,0))*$E905)</f>
        <v>0</v>
      </c>
      <c r="G905" s="30">
        <f>IF($A905="",0,IF(Transactions!A897=2,Transactions!H897*$E905,0))</f>
        <v>0</v>
      </c>
    </row>
    <row r="906" spans="1:7" ht="15" customHeight="1" x14ac:dyDescent="0.15">
      <c r="A906" t="str">
        <f>IF(Transactions!J898="","",Transactions!J898)</f>
        <v/>
      </c>
      <c r="B906" s="297">
        <f ca="1">IF($A906="",TODAY(),Transactions!G898)</f>
        <v>46216</v>
      </c>
      <c r="C906" t="str">
        <f>IF($A906="","",Transactions!A898)</f>
        <v/>
      </c>
      <c r="D906" s="30">
        <f>IF($A906="",0,Transactions!H898)</f>
        <v>0</v>
      </c>
      <c r="E906">
        <f>IF($A906="",1,IFERROR(INDEX(Prices[FX to SGD],MATCH($A906,Prices[Key],0)),1))</f>
        <v>1</v>
      </c>
      <c r="F906" s="30">
        <f>IF($A906="",0,(Transactions!M898-Transactions!L898+IF(Transactions!A898=2,Transactions!H898,0))*$E906)</f>
        <v>0</v>
      </c>
      <c r="G906" s="30">
        <f>IF($A906="",0,IF(Transactions!A898=2,Transactions!H898*$E906,0))</f>
        <v>0</v>
      </c>
    </row>
    <row r="907" spans="1:7" ht="15" customHeight="1" x14ac:dyDescent="0.15">
      <c r="A907" t="str">
        <f>IF(Transactions!J899="","",Transactions!J899)</f>
        <v/>
      </c>
      <c r="B907" s="297">
        <f ca="1">IF($A907="",TODAY(),Transactions!G899)</f>
        <v>46216</v>
      </c>
      <c r="C907" t="str">
        <f>IF($A907="","",Transactions!A899)</f>
        <v/>
      </c>
      <c r="D907" s="30">
        <f>IF($A907="",0,Transactions!H899)</f>
        <v>0</v>
      </c>
      <c r="E907">
        <f>IF($A907="",1,IFERROR(INDEX(Prices[FX to SGD],MATCH($A907,Prices[Key],0)),1))</f>
        <v>1</v>
      </c>
      <c r="F907" s="30">
        <f>IF($A907="",0,(Transactions!M899-Transactions!L899+IF(Transactions!A899=2,Transactions!H899,0))*$E907)</f>
        <v>0</v>
      </c>
      <c r="G907" s="30">
        <f>IF($A907="",0,IF(Transactions!A899=2,Transactions!H899*$E907,0))</f>
        <v>0</v>
      </c>
    </row>
    <row r="908" spans="1:7" ht="15" customHeight="1" x14ac:dyDescent="0.15">
      <c r="A908" t="str">
        <f>IF(Transactions!J900="","",Transactions!J900)</f>
        <v/>
      </c>
      <c r="B908" s="297">
        <f ca="1">IF($A908="",TODAY(),Transactions!G900)</f>
        <v>46216</v>
      </c>
      <c r="C908" t="str">
        <f>IF($A908="","",Transactions!A900)</f>
        <v/>
      </c>
      <c r="D908" s="30">
        <f>IF($A908="",0,Transactions!H900)</f>
        <v>0</v>
      </c>
      <c r="E908">
        <f>IF($A908="",1,IFERROR(INDEX(Prices[FX to SGD],MATCH($A908,Prices[Key],0)),1))</f>
        <v>1</v>
      </c>
      <c r="F908" s="30">
        <f>IF($A908="",0,(Transactions!M900-Transactions!L900+IF(Transactions!A900=2,Transactions!H900,0))*$E908)</f>
        <v>0</v>
      </c>
      <c r="G908" s="30">
        <f>IF($A908="",0,IF(Transactions!A900=2,Transactions!H900*$E908,0))</f>
        <v>0</v>
      </c>
    </row>
    <row r="909" spans="1:7" ht="15" customHeight="1" x14ac:dyDescent="0.15">
      <c r="A909" t="str">
        <f>IF(Transactions!J901="","",Transactions!J901)</f>
        <v/>
      </c>
      <c r="B909" s="297">
        <f ca="1">IF($A909="",TODAY(),Transactions!G901)</f>
        <v>46216</v>
      </c>
      <c r="C909" t="str">
        <f>IF($A909="","",Transactions!A901)</f>
        <v/>
      </c>
      <c r="D909" s="30">
        <f>IF($A909="",0,Transactions!H901)</f>
        <v>0</v>
      </c>
      <c r="E909">
        <f>IF($A909="",1,IFERROR(INDEX(Prices[FX to SGD],MATCH($A909,Prices[Key],0)),1))</f>
        <v>1</v>
      </c>
      <c r="F909" s="30">
        <f>IF($A909="",0,(Transactions!M901-Transactions!L901+IF(Transactions!A901=2,Transactions!H901,0))*$E909)</f>
        <v>0</v>
      </c>
      <c r="G909" s="30">
        <f>IF($A909="",0,IF(Transactions!A901=2,Transactions!H901*$E909,0))</f>
        <v>0</v>
      </c>
    </row>
    <row r="910" spans="1:7" ht="15" customHeight="1" x14ac:dyDescent="0.15">
      <c r="A910" t="str">
        <f>IF(Transactions!J902="","",Transactions!J902)</f>
        <v/>
      </c>
      <c r="B910" s="297">
        <f ca="1">IF($A910="",TODAY(),Transactions!G902)</f>
        <v>46216</v>
      </c>
      <c r="C910" t="str">
        <f>IF($A910="","",Transactions!A902)</f>
        <v/>
      </c>
      <c r="D910" s="30">
        <f>IF($A910="",0,Transactions!H902)</f>
        <v>0</v>
      </c>
      <c r="E910">
        <f>IF($A910="",1,IFERROR(INDEX(Prices[FX to SGD],MATCH($A910,Prices[Key],0)),1))</f>
        <v>1</v>
      </c>
      <c r="F910" s="30">
        <f>IF($A910="",0,(Transactions!M902-Transactions!L902+IF(Transactions!A902=2,Transactions!H902,0))*$E910)</f>
        <v>0</v>
      </c>
      <c r="G910" s="30">
        <f>IF($A910="",0,IF(Transactions!A902=2,Transactions!H902*$E910,0))</f>
        <v>0</v>
      </c>
    </row>
    <row r="911" spans="1:7" ht="15" customHeight="1" x14ac:dyDescent="0.15">
      <c r="A911" t="str">
        <f>IF(Transactions!J903="","",Transactions!J903)</f>
        <v/>
      </c>
      <c r="B911" s="297">
        <f ca="1">IF($A911="",TODAY(),Transactions!G903)</f>
        <v>46216</v>
      </c>
      <c r="C911" t="str">
        <f>IF($A911="","",Transactions!A903)</f>
        <v/>
      </c>
      <c r="D911" s="30">
        <f>IF($A911="",0,Transactions!H903)</f>
        <v>0</v>
      </c>
      <c r="E911">
        <f>IF($A911="",1,IFERROR(INDEX(Prices[FX to SGD],MATCH($A911,Prices[Key],0)),1))</f>
        <v>1</v>
      </c>
      <c r="F911" s="30">
        <f>IF($A911="",0,(Transactions!M903-Transactions!L903+IF(Transactions!A903=2,Transactions!H903,0))*$E911)</f>
        <v>0</v>
      </c>
      <c r="G911" s="30">
        <f>IF($A911="",0,IF(Transactions!A903=2,Transactions!H903*$E911,0))</f>
        <v>0</v>
      </c>
    </row>
    <row r="912" spans="1:7" ht="15" customHeight="1" x14ac:dyDescent="0.15">
      <c r="A912" t="str">
        <f>IF(Transactions!J904="","",Transactions!J904)</f>
        <v/>
      </c>
      <c r="B912" s="297">
        <f ca="1">IF($A912="",TODAY(),Transactions!G904)</f>
        <v>46216</v>
      </c>
      <c r="C912" t="str">
        <f>IF($A912="","",Transactions!A904)</f>
        <v/>
      </c>
      <c r="D912" s="30">
        <f>IF($A912="",0,Transactions!H904)</f>
        <v>0</v>
      </c>
      <c r="E912">
        <f>IF($A912="",1,IFERROR(INDEX(Prices[FX to SGD],MATCH($A912,Prices[Key],0)),1))</f>
        <v>1</v>
      </c>
      <c r="F912" s="30">
        <f>IF($A912="",0,(Transactions!M904-Transactions!L904+IF(Transactions!A904=2,Transactions!H904,0))*$E912)</f>
        <v>0</v>
      </c>
      <c r="G912" s="30">
        <f>IF($A912="",0,IF(Transactions!A904=2,Transactions!H904*$E912,0))</f>
        <v>0</v>
      </c>
    </row>
    <row r="913" spans="1:7" ht="15" customHeight="1" x14ac:dyDescent="0.15">
      <c r="A913" t="str">
        <f>IF(Transactions!J905="","",Transactions!J905)</f>
        <v/>
      </c>
      <c r="B913" s="297">
        <f ca="1">IF($A913="",TODAY(),Transactions!G905)</f>
        <v>46216</v>
      </c>
      <c r="C913" t="str">
        <f>IF($A913="","",Transactions!A905)</f>
        <v/>
      </c>
      <c r="D913" s="30">
        <f>IF($A913="",0,Transactions!H905)</f>
        <v>0</v>
      </c>
      <c r="E913">
        <f>IF($A913="",1,IFERROR(INDEX(Prices[FX to SGD],MATCH($A913,Prices[Key],0)),1))</f>
        <v>1</v>
      </c>
      <c r="F913" s="30">
        <f>IF($A913="",0,(Transactions!M905-Transactions!L905+IF(Transactions!A905=2,Transactions!H905,0))*$E913)</f>
        <v>0</v>
      </c>
      <c r="G913" s="30">
        <f>IF($A913="",0,IF(Transactions!A905=2,Transactions!H905*$E913,0))</f>
        <v>0</v>
      </c>
    </row>
    <row r="914" spans="1:7" ht="15" customHeight="1" x14ac:dyDescent="0.15">
      <c r="A914" t="str">
        <f>IF(Transactions!J906="","",Transactions!J906)</f>
        <v/>
      </c>
      <c r="B914" s="297">
        <f ca="1">IF($A914="",TODAY(),Transactions!G906)</f>
        <v>46216</v>
      </c>
      <c r="C914" t="str">
        <f>IF($A914="","",Transactions!A906)</f>
        <v/>
      </c>
      <c r="D914" s="30">
        <f>IF($A914="",0,Transactions!H906)</f>
        <v>0</v>
      </c>
      <c r="E914">
        <f>IF($A914="",1,IFERROR(INDEX(Prices[FX to SGD],MATCH($A914,Prices[Key],0)),1))</f>
        <v>1</v>
      </c>
      <c r="F914" s="30">
        <f>IF($A914="",0,(Transactions!M906-Transactions!L906+IF(Transactions!A906=2,Transactions!H906,0))*$E914)</f>
        <v>0</v>
      </c>
      <c r="G914" s="30">
        <f>IF($A914="",0,IF(Transactions!A906=2,Transactions!H906*$E914,0))</f>
        <v>0</v>
      </c>
    </row>
    <row r="915" spans="1:7" ht="15" customHeight="1" x14ac:dyDescent="0.15">
      <c r="A915" t="str">
        <f>IF(Transactions!J907="","",Transactions!J907)</f>
        <v/>
      </c>
      <c r="B915" s="297">
        <f ca="1">IF($A915="",TODAY(),Transactions!G907)</f>
        <v>46216</v>
      </c>
      <c r="C915" t="str">
        <f>IF($A915="","",Transactions!A907)</f>
        <v/>
      </c>
      <c r="D915" s="30">
        <f>IF($A915="",0,Transactions!H907)</f>
        <v>0</v>
      </c>
      <c r="E915">
        <f>IF($A915="",1,IFERROR(INDEX(Prices[FX to SGD],MATCH($A915,Prices[Key],0)),1))</f>
        <v>1</v>
      </c>
      <c r="F915" s="30">
        <f>IF($A915="",0,(Transactions!M907-Transactions!L907+IF(Transactions!A907=2,Transactions!H907,0))*$E915)</f>
        <v>0</v>
      </c>
      <c r="G915" s="30">
        <f>IF($A915="",0,IF(Transactions!A907=2,Transactions!H907*$E915,0))</f>
        <v>0</v>
      </c>
    </row>
    <row r="916" spans="1:7" ht="15" customHeight="1" x14ac:dyDescent="0.15">
      <c r="A916" t="str">
        <f>IF(Transactions!J908="","",Transactions!J908)</f>
        <v/>
      </c>
      <c r="B916" s="297">
        <f ca="1">IF($A916="",TODAY(),Transactions!G908)</f>
        <v>46216</v>
      </c>
      <c r="C916" t="str">
        <f>IF($A916="","",Transactions!A908)</f>
        <v/>
      </c>
      <c r="D916" s="30">
        <f>IF($A916="",0,Transactions!H908)</f>
        <v>0</v>
      </c>
      <c r="E916">
        <f>IF($A916="",1,IFERROR(INDEX(Prices[FX to SGD],MATCH($A916,Prices[Key],0)),1))</f>
        <v>1</v>
      </c>
      <c r="F916" s="30">
        <f>IF($A916="",0,(Transactions!M908-Transactions!L908+IF(Transactions!A908=2,Transactions!H908,0))*$E916)</f>
        <v>0</v>
      </c>
      <c r="G916" s="30">
        <f>IF($A916="",0,IF(Transactions!A908=2,Transactions!H908*$E916,0))</f>
        <v>0</v>
      </c>
    </row>
    <row r="917" spans="1:7" ht="15" customHeight="1" x14ac:dyDescent="0.15">
      <c r="A917" t="str">
        <f>IF(Transactions!J909="","",Transactions!J909)</f>
        <v/>
      </c>
      <c r="B917" s="297">
        <f ca="1">IF($A917="",TODAY(),Transactions!G909)</f>
        <v>46216</v>
      </c>
      <c r="C917" t="str">
        <f>IF($A917="","",Transactions!A909)</f>
        <v/>
      </c>
      <c r="D917" s="30">
        <f>IF($A917="",0,Transactions!H909)</f>
        <v>0</v>
      </c>
      <c r="E917">
        <f>IF($A917="",1,IFERROR(INDEX(Prices[FX to SGD],MATCH($A917,Prices[Key],0)),1))</f>
        <v>1</v>
      </c>
      <c r="F917" s="30">
        <f>IF($A917="",0,(Transactions!M909-Transactions!L909+IF(Transactions!A909=2,Transactions!H909,0))*$E917)</f>
        <v>0</v>
      </c>
      <c r="G917" s="30">
        <f>IF($A917="",0,IF(Transactions!A909=2,Transactions!H909*$E917,0))</f>
        <v>0</v>
      </c>
    </row>
    <row r="918" spans="1:7" ht="15" customHeight="1" x14ac:dyDescent="0.15">
      <c r="A918" t="str">
        <f>IF(Transactions!J910="","",Transactions!J910)</f>
        <v/>
      </c>
      <c r="B918" s="297">
        <f ca="1">IF($A918="",TODAY(),Transactions!G910)</f>
        <v>46216</v>
      </c>
      <c r="C918" t="str">
        <f>IF($A918="","",Transactions!A910)</f>
        <v/>
      </c>
      <c r="D918" s="30">
        <f>IF($A918="",0,Transactions!H910)</f>
        <v>0</v>
      </c>
      <c r="E918">
        <f>IF($A918="",1,IFERROR(INDEX(Prices[FX to SGD],MATCH($A918,Prices[Key],0)),1))</f>
        <v>1</v>
      </c>
      <c r="F918" s="30">
        <f>IF($A918="",0,(Transactions!M910-Transactions!L910+IF(Transactions!A910=2,Transactions!H910,0))*$E918)</f>
        <v>0</v>
      </c>
      <c r="G918" s="30">
        <f>IF($A918="",0,IF(Transactions!A910=2,Transactions!H910*$E918,0))</f>
        <v>0</v>
      </c>
    </row>
    <row r="919" spans="1:7" ht="15" customHeight="1" x14ac:dyDescent="0.15">
      <c r="A919" t="str">
        <f>IF(Transactions!J911="","",Transactions!J911)</f>
        <v/>
      </c>
      <c r="B919" s="297">
        <f ca="1">IF($A919="",TODAY(),Transactions!G911)</f>
        <v>46216</v>
      </c>
      <c r="C919" t="str">
        <f>IF($A919="","",Transactions!A911)</f>
        <v/>
      </c>
      <c r="D919" s="30">
        <f>IF($A919="",0,Transactions!H911)</f>
        <v>0</v>
      </c>
      <c r="E919">
        <f>IF($A919="",1,IFERROR(INDEX(Prices[FX to SGD],MATCH($A919,Prices[Key],0)),1))</f>
        <v>1</v>
      </c>
      <c r="F919" s="30">
        <f>IF($A919="",0,(Transactions!M911-Transactions!L911+IF(Transactions!A911=2,Transactions!H911,0))*$E919)</f>
        <v>0</v>
      </c>
      <c r="G919" s="30">
        <f>IF($A919="",0,IF(Transactions!A911=2,Transactions!H911*$E919,0))</f>
        <v>0</v>
      </c>
    </row>
    <row r="920" spans="1:7" ht="15" customHeight="1" x14ac:dyDescent="0.15">
      <c r="A920" t="str">
        <f>IF(Transactions!J912="","",Transactions!J912)</f>
        <v/>
      </c>
      <c r="B920" s="297">
        <f ca="1">IF($A920="",TODAY(),Transactions!G912)</f>
        <v>46216</v>
      </c>
      <c r="C920" t="str">
        <f>IF($A920="","",Transactions!A912)</f>
        <v/>
      </c>
      <c r="D920" s="30">
        <f>IF($A920="",0,Transactions!H912)</f>
        <v>0</v>
      </c>
      <c r="E920">
        <f>IF($A920="",1,IFERROR(INDEX(Prices[FX to SGD],MATCH($A920,Prices[Key],0)),1))</f>
        <v>1</v>
      </c>
      <c r="F920" s="30">
        <f>IF($A920="",0,(Transactions!M912-Transactions!L912+IF(Transactions!A912=2,Transactions!H912,0))*$E920)</f>
        <v>0</v>
      </c>
      <c r="G920" s="30">
        <f>IF($A920="",0,IF(Transactions!A912=2,Transactions!H912*$E920,0))</f>
        <v>0</v>
      </c>
    </row>
    <row r="921" spans="1:7" ht="15" customHeight="1" x14ac:dyDescent="0.15">
      <c r="A921" t="str">
        <f>IF(Transactions!J913="","",Transactions!J913)</f>
        <v/>
      </c>
      <c r="B921" s="297">
        <f ca="1">IF($A921="",TODAY(),Transactions!G913)</f>
        <v>46216</v>
      </c>
      <c r="C921" t="str">
        <f>IF($A921="","",Transactions!A913)</f>
        <v/>
      </c>
      <c r="D921" s="30">
        <f>IF($A921="",0,Transactions!H913)</f>
        <v>0</v>
      </c>
      <c r="E921">
        <f>IF($A921="",1,IFERROR(INDEX(Prices[FX to SGD],MATCH($A921,Prices[Key],0)),1))</f>
        <v>1</v>
      </c>
      <c r="F921" s="30">
        <f>IF($A921="",0,(Transactions!M913-Transactions!L913+IF(Transactions!A913=2,Transactions!H913,0))*$E921)</f>
        <v>0</v>
      </c>
      <c r="G921" s="30">
        <f>IF($A921="",0,IF(Transactions!A913=2,Transactions!H913*$E921,0))</f>
        <v>0</v>
      </c>
    </row>
    <row r="922" spans="1:7" ht="15" customHeight="1" x14ac:dyDescent="0.15">
      <c r="A922" t="str">
        <f>IF(Transactions!J914="","",Transactions!J914)</f>
        <v/>
      </c>
      <c r="B922" s="297">
        <f ca="1">IF($A922="",TODAY(),Transactions!G914)</f>
        <v>46216</v>
      </c>
      <c r="C922" t="str">
        <f>IF($A922="","",Transactions!A914)</f>
        <v/>
      </c>
      <c r="D922" s="30">
        <f>IF($A922="",0,Transactions!H914)</f>
        <v>0</v>
      </c>
      <c r="E922">
        <f>IF($A922="",1,IFERROR(INDEX(Prices[FX to SGD],MATCH($A922,Prices[Key],0)),1))</f>
        <v>1</v>
      </c>
      <c r="F922" s="30">
        <f>IF($A922="",0,(Transactions!M914-Transactions!L914+IF(Transactions!A914=2,Transactions!H914,0))*$E922)</f>
        <v>0</v>
      </c>
      <c r="G922" s="30">
        <f>IF($A922="",0,IF(Transactions!A914=2,Transactions!H914*$E922,0))</f>
        <v>0</v>
      </c>
    </row>
    <row r="923" spans="1:7" ht="15" customHeight="1" x14ac:dyDescent="0.15">
      <c r="A923" t="str">
        <f>IF(Transactions!J915="","",Transactions!J915)</f>
        <v/>
      </c>
      <c r="B923" s="297">
        <f ca="1">IF($A923="",TODAY(),Transactions!G915)</f>
        <v>46216</v>
      </c>
      <c r="C923" t="str">
        <f>IF($A923="","",Transactions!A915)</f>
        <v/>
      </c>
      <c r="D923" s="30">
        <f>IF($A923="",0,Transactions!H915)</f>
        <v>0</v>
      </c>
      <c r="E923">
        <f>IF($A923="",1,IFERROR(INDEX(Prices[FX to SGD],MATCH($A923,Prices[Key],0)),1))</f>
        <v>1</v>
      </c>
      <c r="F923" s="30">
        <f>IF($A923="",0,(Transactions!M915-Transactions!L915+IF(Transactions!A915=2,Transactions!H915,0))*$E923)</f>
        <v>0</v>
      </c>
      <c r="G923" s="30">
        <f>IF($A923="",0,IF(Transactions!A915=2,Transactions!H915*$E923,0))</f>
        <v>0</v>
      </c>
    </row>
    <row r="924" spans="1:7" ht="15" customHeight="1" x14ac:dyDescent="0.15">
      <c r="A924" t="str">
        <f>IF(Transactions!J916="","",Transactions!J916)</f>
        <v/>
      </c>
      <c r="B924" s="297">
        <f ca="1">IF($A924="",TODAY(),Transactions!G916)</f>
        <v>46216</v>
      </c>
      <c r="C924" t="str">
        <f>IF($A924="","",Transactions!A916)</f>
        <v/>
      </c>
      <c r="D924" s="30">
        <f>IF($A924="",0,Transactions!H916)</f>
        <v>0</v>
      </c>
      <c r="E924">
        <f>IF($A924="",1,IFERROR(INDEX(Prices[FX to SGD],MATCH($A924,Prices[Key],0)),1))</f>
        <v>1</v>
      </c>
      <c r="F924" s="30">
        <f>IF($A924="",0,(Transactions!M916-Transactions!L916+IF(Transactions!A916=2,Transactions!H916,0))*$E924)</f>
        <v>0</v>
      </c>
      <c r="G924" s="30">
        <f>IF($A924="",0,IF(Transactions!A916=2,Transactions!H916*$E924,0))</f>
        <v>0</v>
      </c>
    </row>
    <row r="925" spans="1:7" ht="15" customHeight="1" x14ac:dyDescent="0.15">
      <c r="A925" t="str">
        <f>IF(Transactions!J917="","",Transactions!J917)</f>
        <v/>
      </c>
      <c r="B925" s="297">
        <f ca="1">IF($A925="",TODAY(),Transactions!G917)</f>
        <v>46216</v>
      </c>
      <c r="C925" t="str">
        <f>IF($A925="","",Transactions!A917)</f>
        <v/>
      </c>
      <c r="D925" s="30">
        <f>IF($A925="",0,Transactions!H917)</f>
        <v>0</v>
      </c>
      <c r="E925">
        <f>IF($A925="",1,IFERROR(INDEX(Prices[FX to SGD],MATCH($A925,Prices[Key],0)),1))</f>
        <v>1</v>
      </c>
      <c r="F925" s="30">
        <f>IF($A925="",0,(Transactions!M917-Transactions!L917+IF(Transactions!A917=2,Transactions!H917,0))*$E925)</f>
        <v>0</v>
      </c>
      <c r="G925" s="30">
        <f>IF($A925="",0,IF(Transactions!A917=2,Transactions!H917*$E925,0))</f>
        <v>0</v>
      </c>
    </row>
    <row r="926" spans="1:7" ht="15" customHeight="1" x14ac:dyDescent="0.15">
      <c r="A926" t="str">
        <f>IF(Transactions!J918="","",Transactions!J918)</f>
        <v/>
      </c>
      <c r="B926" s="297">
        <f ca="1">IF($A926="",TODAY(),Transactions!G918)</f>
        <v>46216</v>
      </c>
      <c r="C926" t="str">
        <f>IF($A926="","",Transactions!A918)</f>
        <v/>
      </c>
      <c r="D926" s="30">
        <f>IF($A926="",0,Transactions!H918)</f>
        <v>0</v>
      </c>
      <c r="E926">
        <f>IF($A926="",1,IFERROR(INDEX(Prices[FX to SGD],MATCH($A926,Prices[Key],0)),1))</f>
        <v>1</v>
      </c>
      <c r="F926" s="30">
        <f>IF($A926="",0,(Transactions!M918-Transactions!L918+IF(Transactions!A918=2,Transactions!H918,0))*$E926)</f>
        <v>0</v>
      </c>
      <c r="G926" s="30">
        <f>IF($A926="",0,IF(Transactions!A918=2,Transactions!H918*$E926,0))</f>
        <v>0</v>
      </c>
    </row>
    <row r="927" spans="1:7" ht="15" customHeight="1" x14ac:dyDescent="0.15">
      <c r="A927" t="str">
        <f>IF(Transactions!J919="","",Transactions!J919)</f>
        <v/>
      </c>
      <c r="B927" s="297">
        <f ca="1">IF($A927="",TODAY(),Transactions!G919)</f>
        <v>46216</v>
      </c>
      <c r="C927" t="str">
        <f>IF($A927="","",Transactions!A919)</f>
        <v/>
      </c>
      <c r="D927" s="30">
        <f>IF($A927="",0,Transactions!H919)</f>
        <v>0</v>
      </c>
      <c r="E927">
        <f>IF($A927="",1,IFERROR(INDEX(Prices[FX to SGD],MATCH($A927,Prices[Key],0)),1))</f>
        <v>1</v>
      </c>
      <c r="F927" s="30">
        <f>IF($A927="",0,(Transactions!M919-Transactions!L919+IF(Transactions!A919=2,Transactions!H919,0))*$E927)</f>
        <v>0</v>
      </c>
      <c r="G927" s="30">
        <f>IF($A927="",0,IF(Transactions!A919=2,Transactions!H919*$E927,0))</f>
        <v>0</v>
      </c>
    </row>
    <row r="928" spans="1:7" ht="15" customHeight="1" x14ac:dyDescent="0.15">
      <c r="A928" t="str">
        <f>IF(Transactions!J920="","",Transactions!J920)</f>
        <v/>
      </c>
      <c r="B928" s="297">
        <f ca="1">IF($A928="",TODAY(),Transactions!G920)</f>
        <v>46216</v>
      </c>
      <c r="C928" t="str">
        <f>IF($A928="","",Transactions!A920)</f>
        <v/>
      </c>
      <c r="D928" s="30">
        <f>IF($A928="",0,Transactions!H920)</f>
        <v>0</v>
      </c>
      <c r="E928">
        <f>IF($A928="",1,IFERROR(INDEX(Prices[FX to SGD],MATCH($A928,Prices[Key],0)),1))</f>
        <v>1</v>
      </c>
      <c r="F928" s="30">
        <f>IF($A928="",0,(Transactions!M920-Transactions!L920+IF(Transactions!A920=2,Transactions!H920,0))*$E928)</f>
        <v>0</v>
      </c>
      <c r="G928" s="30">
        <f>IF($A928="",0,IF(Transactions!A920=2,Transactions!H920*$E928,0))</f>
        <v>0</v>
      </c>
    </row>
    <row r="929" spans="1:7" ht="15" customHeight="1" x14ac:dyDescent="0.15">
      <c r="A929" t="str">
        <f>IF(Transactions!J921="","",Transactions!J921)</f>
        <v/>
      </c>
      <c r="B929" s="297">
        <f ca="1">IF($A929="",TODAY(),Transactions!G921)</f>
        <v>46216</v>
      </c>
      <c r="C929" t="str">
        <f>IF($A929="","",Transactions!A921)</f>
        <v/>
      </c>
      <c r="D929" s="30">
        <f>IF($A929="",0,Transactions!H921)</f>
        <v>0</v>
      </c>
      <c r="E929">
        <f>IF($A929="",1,IFERROR(INDEX(Prices[FX to SGD],MATCH($A929,Prices[Key],0)),1))</f>
        <v>1</v>
      </c>
      <c r="F929" s="30">
        <f>IF($A929="",0,(Transactions!M921-Transactions!L921+IF(Transactions!A921=2,Transactions!H921,0))*$E929)</f>
        <v>0</v>
      </c>
      <c r="G929" s="30">
        <f>IF($A929="",0,IF(Transactions!A921=2,Transactions!H921*$E929,0))</f>
        <v>0</v>
      </c>
    </row>
    <row r="930" spans="1:7" ht="15" customHeight="1" x14ac:dyDescent="0.15">
      <c r="A930" t="str">
        <f>IF(Transactions!J922="","",Transactions!J922)</f>
        <v/>
      </c>
      <c r="B930" s="297">
        <f ca="1">IF($A930="",TODAY(),Transactions!G922)</f>
        <v>46216</v>
      </c>
      <c r="C930" t="str">
        <f>IF($A930="","",Transactions!A922)</f>
        <v/>
      </c>
      <c r="D930" s="30">
        <f>IF($A930="",0,Transactions!H922)</f>
        <v>0</v>
      </c>
      <c r="E930">
        <f>IF($A930="",1,IFERROR(INDEX(Prices[FX to SGD],MATCH($A930,Prices[Key],0)),1))</f>
        <v>1</v>
      </c>
      <c r="F930" s="30">
        <f>IF($A930="",0,(Transactions!M922-Transactions!L922+IF(Transactions!A922=2,Transactions!H922,0))*$E930)</f>
        <v>0</v>
      </c>
      <c r="G930" s="30">
        <f>IF($A930="",0,IF(Transactions!A922=2,Transactions!H922*$E930,0))</f>
        <v>0</v>
      </c>
    </row>
    <row r="931" spans="1:7" ht="15" customHeight="1" x14ac:dyDescent="0.15">
      <c r="A931" t="str">
        <f>IF(Transactions!J923="","",Transactions!J923)</f>
        <v/>
      </c>
      <c r="B931" s="297">
        <f ca="1">IF($A931="",TODAY(),Transactions!G923)</f>
        <v>46216</v>
      </c>
      <c r="C931" t="str">
        <f>IF($A931="","",Transactions!A923)</f>
        <v/>
      </c>
      <c r="D931" s="30">
        <f>IF($A931="",0,Transactions!H923)</f>
        <v>0</v>
      </c>
      <c r="E931">
        <f>IF($A931="",1,IFERROR(INDEX(Prices[FX to SGD],MATCH($A931,Prices[Key],0)),1))</f>
        <v>1</v>
      </c>
      <c r="F931" s="30">
        <f>IF($A931="",0,(Transactions!M923-Transactions!L923+IF(Transactions!A923=2,Transactions!H923,0))*$E931)</f>
        <v>0</v>
      </c>
      <c r="G931" s="30">
        <f>IF($A931="",0,IF(Transactions!A923=2,Transactions!H923*$E931,0))</f>
        <v>0</v>
      </c>
    </row>
    <row r="932" spans="1:7" ht="15" customHeight="1" x14ac:dyDescent="0.15">
      <c r="A932" t="str">
        <f>IF(Transactions!J924="","",Transactions!J924)</f>
        <v/>
      </c>
      <c r="B932" s="297">
        <f ca="1">IF($A932="",TODAY(),Transactions!G924)</f>
        <v>46216</v>
      </c>
      <c r="C932" t="str">
        <f>IF($A932="","",Transactions!A924)</f>
        <v/>
      </c>
      <c r="D932" s="30">
        <f>IF($A932="",0,Transactions!H924)</f>
        <v>0</v>
      </c>
      <c r="E932">
        <f>IF($A932="",1,IFERROR(INDEX(Prices[FX to SGD],MATCH($A932,Prices[Key],0)),1))</f>
        <v>1</v>
      </c>
      <c r="F932" s="30">
        <f>IF($A932="",0,(Transactions!M924-Transactions!L924+IF(Transactions!A924=2,Transactions!H924,0))*$E932)</f>
        <v>0</v>
      </c>
      <c r="G932" s="30">
        <f>IF($A932="",0,IF(Transactions!A924=2,Transactions!H924*$E932,0))</f>
        <v>0</v>
      </c>
    </row>
    <row r="933" spans="1:7" ht="15" customHeight="1" x14ac:dyDescent="0.15">
      <c r="A933" t="str">
        <f>IF(Transactions!J925="","",Transactions!J925)</f>
        <v/>
      </c>
      <c r="B933" s="297">
        <f ca="1">IF($A933="",TODAY(),Transactions!G925)</f>
        <v>46216</v>
      </c>
      <c r="C933" t="str">
        <f>IF($A933="","",Transactions!A925)</f>
        <v/>
      </c>
      <c r="D933" s="30">
        <f>IF($A933="",0,Transactions!H925)</f>
        <v>0</v>
      </c>
      <c r="E933">
        <f>IF($A933="",1,IFERROR(INDEX(Prices[FX to SGD],MATCH($A933,Prices[Key],0)),1))</f>
        <v>1</v>
      </c>
      <c r="F933" s="30">
        <f>IF($A933="",0,(Transactions!M925-Transactions!L925+IF(Transactions!A925=2,Transactions!H925,0))*$E933)</f>
        <v>0</v>
      </c>
      <c r="G933" s="30">
        <f>IF($A933="",0,IF(Transactions!A925=2,Transactions!H925*$E933,0))</f>
        <v>0</v>
      </c>
    </row>
    <row r="934" spans="1:7" ht="15" customHeight="1" x14ac:dyDescent="0.15">
      <c r="A934" t="str">
        <f>IF(Transactions!J926="","",Transactions!J926)</f>
        <v/>
      </c>
      <c r="B934" s="297">
        <f ca="1">IF($A934="",TODAY(),Transactions!G926)</f>
        <v>46216</v>
      </c>
      <c r="C934" t="str">
        <f>IF($A934="","",Transactions!A926)</f>
        <v/>
      </c>
      <c r="D934" s="30">
        <f>IF($A934="",0,Transactions!H926)</f>
        <v>0</v>
      </c>
      <c r="E934">
        <f>IF($A934="",1,IFERROR(INDEX(Prices[FX to SGD],MATCH($A934,Prices[Key],0)),1))</f>
        <v>1</v>
      </c>
      <c r="F934" s="30">
        <f>IF($A934="",0,(Transactions!M926-Transactions!L926+IF(Transactions!A926=2,Transactions!H926,0))*$E934)</f>
        <v>0</v>
      </c>
      <c r="G934" s="30">
        <f>IF($A934="",0,IF(Transactions!A926=2,Transactions!H926*$E934,0))</f>
        <v>0</v>
      </c>
    </row>
    <row r="935" spans="1:7" ht="15" customHeight="1" x14ac:dyDescent="0.15">
      <c r="A935" t="str">
        <f>IF(Transactions!J927="","",Transactions!J927)</f>
        <v/>
      </c>
      <c r="B935" s="297">
        <f ca="1">IF($A935="",TODAY(),Transactions!G927)</f>
        <v>46216</v>
      </c>
      <c r="C935" t="str">
        <f>IF($A935="","",Transactions!A927)</f>
        <v/>
      </c>
      <c r="D935" s="30">
        <f>IF($A935="",0,Transactions!H927)</f>
        <v>0</v>
      </c>
      <c r="E935">
        <f>IF($A935="",1,IFERROR(INDEX(Prices[FX to SGD],MATCH($A935,Prices[Key],0)),1))</f>
        <v>1</v>
      </c>
      <c r="F935" s="30">
        <f>IF($A935="",0,(Transactions!M927-Transactions!L927+IF(Transactions!A927=2,Transactions!H927,0))*$E935)</f>
        <v>0</v>
      </c>
      <c r="G935" s="30">
        <f>IF($A935="",0,IF(Transactions!A927=2,Transactions!H927*$E935,0))</f>
        <v>0</v>
      </c>
    </row>
    <row r="936" spans="1:7" ht="15" customHeight="1" x14ac:dyDescent="0.15">
      <c r="A936" t="str">
        <f>IF(Transactions!J928="","",Transactions!J928)</f>
        <v/>
      </c>
      <c r="B936" s="297">
        <f ca="1">IF($A936="",TODAY(),Transactions!G928)</f>
        <v>46216</v>
      </c>
      <c r="C936" t="str">
        <f>IF($A936="","",Transactions!A928)</f>
        <v/>
      </c>
      <c r="D936" s="30">
        <f>IF($A936="",0,Transactions!H928)</f>
        <v>0</v>
      </c>
      <c r="E936">
        <f>IF($A936="",1,IFERROR(INDEX(Prices[FX to SGD],MATCH($A936,Prices[Key],0)),1))</f>
        <v>1</v>
      </c>
      <c r="F936" s="30">
        <f>IF($A936="",0,(Transactions!M928-Transactions!L928+IF(Transactions!A928=2,Transactions!H928,0))*$E936)</f>
        <v>0</v>
      </c>
      <c r="G936" s="30">
        <f>IF($A936="",0,IF(Transactions!A928=2,Transactions!H928*$E936,0))</f>
        <v>0</v>
      </c>
    </row>
    <row r="937" spans="1:7" ht="15" customHeight="1" x14ac:dyDescent="0.15">
      <c r="A937" t="str">
        <f>IF(Transactions!J929="","",Transactions!J929)</f>
        <v/>
      </c>
      <c r="B937" s="297">
        <f ca="1">IF($A937="",TODAY(),Transactions!G929)</f>
        <v>46216</v>
      </c>
      <c r="C937" t="str">
        <f>IF($A937="","",Transactions!A929)</f>
        <v/>
      </c>
      <c r="D937" s="30">
        <f>IF($A937="",0,Transactions!H929)</f>
        <v>0</v>
      </c>
      <c r="E937">
        <f>IF($A937="",1,IFERROR(INDEX(Prices[FX to SGD],MATCH($A937,Prices[Key],0)),1))</f>
        <v>1</v>
      </c>
      <c r="F937" s="30">
        <f>IF($A937="",0,(Transactions!M929-Transactions!L929+IF(Transactions!A929=2,Transactions!H929,0))*$E937)</f>
        <v>0</v>
      </c>
      <c r="G937" s="30">
        <f>IF($A937="",0,IF(Transactions!A929=2,Transactions!H929*$E937,0))</f>
        <v>0</v>
      </c>
    </row>
    <row r="938" spans="1:7" ht="15" customHeight="1" x14ac:dyDescent="0.15">
      <c r="A938" t="str">
        <f>IF(Transactions!J930="","",Transactions!J930)</f>
        <v/>
      </c>
      <c r="B938" s="297">
        <f ca="1">IF($A938="",TODAY(),Transactions!G930)</f>
        <v>46216</v>
      </c>
      <c r="C938" t="str">
        <f>IF($A938="","",Transactions!A930)</f>
        <v/>
      </c>
      <c r="D938" s="30">
        <f>IF($A938="",0,Transactions!H930)</f>
        <v>0</v>
      </c>
      <c r="E938">
        <f>IF($A938="",1,IFERROR(INDEX(Prices[FX to SGD],MATCH($A938,Prices[Key],0)),1))</f>
        <v>1</v>
      </c>
      <c r="F938" s="30">
        <f>IF($A938="",0,(Transactions!M930-Transactions!L930+IF(Transactions!A930=2,Transactions!H930,0))*$E938)</f>
        <v>0</v>
      </c>
      <c r="G938" s="30">
        <f>IF($A938="",0,IF(Transactions!A930=2,Transactions!H930*$E938,0))</f>
        <v>0</v>
      </c>
    </row>
    <row r="939" spans="1:7" ht="15" customHeight="1" x14ac:dyDescent="0.15">
      <c r="A939" t="str">
        <f>IF(Transactions!J931="","",Transactions!J931)</f>
        <v/>
      </c>
      <c r="B939" s="297">
        <f ca="1">IF($A939="",TODAY(),Transactions!G931)</f>
        <v>46216</v>
      </c>
      <c r="C939" t="str">
        <f>IF($A939="","",Transactions!A931)</f>
        <v/>
      </c>
      <c r="D939" s="30">
        <f>IF($A939="",0,Transactions!H931)</f>
        <v>0</v>
      </c>
      <c r="E939">
        <f>IF($A939="",1,IFERROR(INDEX(Prices[FX to SGD],MATCH($A939,Prices[Key],0)),1))</f>
        <v>1</v>
      </c>
      <c r="F939" s="30">
        <f>IF($A939="",0,(Transactions!M931-Transactions!L931+IF(Transactions!A931=2,Transactions!H931,0))*$E939)</f>
        <v>0</v>
      </c>
      <c r="G939" s="30">
        <f>IF($A939="",0,IF(Transactions!A931=2,Transactions!H931*$E939,0))</f>
        <v>0</v>
      </c>
    </row>
    <row r="940" spans="1:7" ht="15" customHeight="1" x14ac:dyDescent="0.15">
      <c r="A940" t="str">
        <f>IF(Transactions!J932="","",Transactions!J932)</f>
        <v/>
      </c>
      <c r="B940" s="297">
        <f ca="1">IF($A940="",TODAY(),Transactions!G932)</f>
        <v>46216</v>
      </c>
      <c r="C940" t="str">
        <f>IF($A940="","",Transactions!A932)</f>
        <v/>
      </c>
      <c r="D940" s="30">
        <f>IF($A940="",0,Transactions!H932)</f>
        <v>0</v>
      </c>
      <c r="E940">
        <f>IF($A940="",1,IFERROR(INDEX(Prices[FX to SGD],MATCH($A940,Prices[Key],0)),1))</f>
        <v>1</v>
      </c>
      <c r="F940" s="30">
        <f>IF($A940="",0,(Transactions!M932-Transactions!L932+IF(Transactions!A932=2,Transactions!H932,0))*$E940)</f>
        <v>0</v>
      </c>
      <c r="G940" s="30">
        <f>IF($A940="",0,IF(Transactions!A932=2,Transactions!H932*$E940,0))</f>
        <v>0</v>
      </c>
    </row>
    <row r="941" spans="1:7" ht="15" customHeight="1" x14ac:dyDescent="0.15">
      <c r="A941" t="str">
        <f>IF(Transactions!J933="","",Transactions!J933)</f>
        <v/>
      </c>
      <c r="B941" s="297">
        <f ca="1">IF($A941="",TODAY(),Transactions!G933)</f>
        <v>46216</v>
      </c>
      <c r="C941" t="str">
        <f>IF($A941="","",Transactions!A933)</f>
        <v/>
      </c>
      <c r="D941" s="30">
        <f>IF($A941="",0,Transactions!H933)</f>
        <v>0</v>
      </c>
      <c r="E941">
        <f>IF($A941="",1,IFERROR(INDEX(Prices[FX to SGD],MATCH($A941,Prices[Key],0)),1))</f>
        <v>1</v>
      </c>
      <c r="F941" s="30">
        <f>IF($A941="",0,(Transactions!M933-Transactions!L933+IF(Transactions!A933=2,Transactions!H933,0))*$E941)</f>
        <v>0</v>
      </c>
      <c r="G941" s="30">
        <f>IF($A941="",0,IF(Transactions!A933=2,Transactions!H933*$E941,0))</f>
        <v>0</v>
      </c>
    </row>
    <row r="942" spans="1:7" ht="15" customHeight="1" x14ac:dyDescent="0.15">
      <c r="A942" t="str">
        <f>IF(Transactions!J934="","",Transactions!J934)</f>
        <v/>
      </c>
      <c r="B942" s="297">
        <f ca="1">IF($A942="",TODAY(),Transactions!G934)</f>
        <v>46216</v>
      </c>
      <c r="C942" t="str">
        <f>IF($A942="","",Transactions!A934)</f>
        <v/>
      </c>
      <c r="D942" s="30">
        <f>IF($A942="",0,Transactions!H934)</f>
        <v>0</v>
      </c>
      <c r="E942">
        <f>IF($A942="",1,IFERROR(INDEX(Prices[FX to SGD],MATCH($A942,Prices[Key],0)),1))</f>
        <v>1</v>
      </c>
      <c r="F942" s="30">
        <f>IF($A942="",0,(Transactions!M934-Transactions!L934+IF(Transactions!A934=2,Transactions!H934,0))*$E942)</f>
        <v>0</v>
      </c>
      <c r="G942" s="30">
        <f>IF($A942="",0,IF(Transactions!A934=2,Transactions!H934*$E942,0))</f>
        <v>0</v>
      </c>
    </row>
    <row r="943" spans="1:7" ht="15" customHeight="1" x14ac:dyDescent="0.15">
      <c r="A943" t="str">
        <f>IF(Transactions!J935="","",Transactions!J935)</f>
        <v/>
      </c>
      <c r="B943" s="297">
        <f ca="1">IF($A943="",TODAY(),Transactions!G935)</f>
        <v>46216</v>
      </c>
      <c r="C943" t="str">
        <f>IF($A943="","",Transactions!A935)</f>
        <v/>
      </c>
      <c r="D943" s="30">
        <f>IF($A943="",0,Transactions!H935)</f>
        <v>0</v>
      </c>
      <c r="E943">
        <f>IF($A943="",1,IFERROR(INDEX(Prices[FX to SGD],MATCH($A943,Prices[Key],0)),1))</f>
        <v>1</v>
      </c>
      <c r="F943" s="30">
        <f>IF($A943="",0,(Transactions!M935-Transactions!L935+IF(Transactions!A935=2,Transactions!H935,0))*$E943)</f>
        <v>0</v>
      </c>
      <c r="G943" s="30">
        <f>IF($A943="",0,IF(Transactions!A935=2,Transactions!H935*$E943,0))</f>
        <v>0</v>
      </c>
    </row>
    <row r="944" spans="1:7" ht="15" customHeight="1" x14ac:dyDescent="0.15">
      <c r="A944" t="str">
        <f>IF(Transactions!J936="","",Transactions!J936)</f>
        <v/>
      </c>
      <c r="B944" s="297">
        <f ca="1">IF($A944="",TODAY(),Transactions!G936)</f>
        <v>46216</v>
      </c>
      <c r="C944" t="str">
        <f>IF($A944="","",Transactions!A936)</f>
        <v/>
      </c>
      <c r="D944" s="30">
        <f>IF($A944="",0,Transactions!H936)</f>
        <v>0</v>
      </c>
      <c r="E944">
        <f>IF($A944="",1,IFERROR(INDEX(Prices[FX to SGD],MATCH($A944,Prices[Key],0)),1))</f>
        <v>1</v>
      </c>
      <c r="F944" s="30">
        <f>IF($A944="",0,(Transactions!M936-Transactions!L936+IF(Transactions!A936=2,Transactions!H936,0))*$E944)</f>
        <v>0</v>
      </c>
      <c r="G944" s="30">
        <f>IF($A944="",0,IF(Transactions!A936=2,Transactions!H936*$E944,0))</f>
        <v>0</v>
      </c>
    </row>
    <row r="945" spans="1:7" ht="15" customHeight="1" x14ac:dyDescent="0.15">
      <c r="A945" t="str">
        <f>IF(Transactions!J937="","",Transactions!J937)</f>
        <v/>
      </c>
      <c r="B945" s="297">
        <f ca="1">IF($A945="",TODAY(),Transactions!G937)</f>
        <v>46216</v>
      </c>
      <c r="C945" t="str">
        <f>IF($A945="","",Transactions!A937)</f>
        <v/>
      </c>
      <c r="D945" s="30">
        <f>IF($A945="",0,Transactions!H937)</f>
        <v>0</v>
      </c>
      <c r="E945">
        <f>IF($A945="",1,IFERROR(INDEX(Prices[FX to SGD],MATCH($A945,Prices[Key],0)),1))</f>
        <v>1</v>
      </c>
      <c r="F945" s="30">
        <f>IF($A945="",0,(Transactions!M937-Transactions!L937+IF(Transactions!A937=2,Transactions!H937,0))*$E945)</f>
        <v>0</v>
      </c>
      <c r="G945" s="30">
        <f>IF($A945="",0,IF(Transactions!A937=2,Transactions!H937*$E945,0))</f>
        <v>0</v>
      </c>
    </row>
    <row r="946" spans="1:7" ht="15" customHeight="1" x14ac:dyDescent="0.15">
      <c r="A946" t="str">
        <f>IF(Transactions!J938="","",Transactions!J938)</f>
        <v/>
      </c>
      <c r="B946" s="297">
        <f ca="1">IF($A946="",TODAY(),Transactions!G938)</f>
        <v>46216</v>
      </c>
      <c r="C946" t="str">
        <f>IF($A946="","",Transactions!A938)</f>
        <v/>
      </c>
      <c r="D946" s="30">
        <f>IF($A946="",0,Transactions!H938)</f>
        <v>0</v>
      </c>
      <c r="E946">
        <f>IF($A946="",1,IFERROR(INDEX(Prices[FX to SGD],MATCH($A946,Prices[Key],0)),1))</f>
        <v>1</v>
      </c>
      <c r="F946" s="30">
        <f>IF($A946="",0,(Transactions!M938-Transactions!L938+IF(Transactions!A938=2,Transactions!H938,0))*$E946)</f>
        <v>0</v>
      </c>
      <c r="G946" s="30">
        <f>IF($A946="",0,IF(Transactions!A938=2,Transactions!H938*$E946,0))</f>
        <v>0</v>
      </c>
    </row>
    <row r="947" spans="1:7" ht="15" customHeight="1" x14ac:dyDescent="0.15">
      <c r="A947" t="str">
        <f>IF(Transactions!J939="","",Transactions!J939)</f>
        <v/>
      </c>
      <c r="B947" s="297">
        <f ca="1">IF($A947="",TODAY(),Transactions!G939)</f>
        <v>46216</v>
      </c>
      <c r="C947" t="str">
        <f>IF($A947="","",Transactions!A939)</f>
        <v/>
      </c>
      <c r="D947" s="30">
        <f>IF($A947="",0,Transactions!H939)</f>
        <v>0</v>
      </c>
      <c r="E947">
        <f>IF($A947="",1,IFERROR(INDEX(Prices[FX to SGD],MATCH($A947,Prices[Key],0)),1))</f>
        <v>1</v>
      </c>
      <c r="F947" s="30">
        <f>IF($A947="",0,(Transactions!M939-Transactions!L939+IF(Transactions!A939=2,Transactions!H939,0))*$E947)</f>
        <v>0</v>
      </c>
      <c r="G947" s="30">
        <f>IF($A947="",0,IF(Transactions!A939=2,Transactions!H939*$E947,0))</f>
        <v>0</v>
      </c>
    </row>
    <row r="948" spans="1:7" ht="15" customHeight="1" x14ac:dyDescent="0.15">
      <c r="A948" t="str">
        <f>IF(Transactions!J940="","",Transactions!J940)</f>
        <v/>
      </c>
      <c r="B948" s="297">
        <f ca="1">IF($A948="",TODAY(),Transactions!G940)</f>
        <v>46216</v>
      </c>
      <c r="C948" t="str">
        <f>IF($A948="","",Transactions!A940)</f>
        <v/>
      </c>
      <c r="D948" s="30">
        <f>IF($A948="",0,Transactions!H940)</f>
        <v>0</v>
      </c>
      <c r="E948">
        <f>IF($A948="",1,IFERROR(INDEX(Prices[FX to SGD],MATCH($A948,Prices[Key],0)),1))</f>
        <v>1</v>
      </c>
      <c r="F948" s="30">
        <f>IF($A948="",0,(Transactions!M940-Transactions!L940+IF(Transactions!A940=2,Transactions!H940,0))*$E948)</f>
        <v>0</v>
      </c>
      <c r="G948" s="30">
        <f>IF($A948="",0,IF(Transactions!A940=2,Transactions!H940*$E948,0))</f>
        <v>0</v>
      </c>
    </row>
    <row r="949" spans="1:7" ht="15" customHeight="1" x14ac:dyDescent="0.15">
      <c r="A949" t="str">
        <f>IF(Transactions!J941="","",Transactions!J941)</f>
        <v/>
      </c>
      <c r="B949" s="297">
        <f ca="1">IF($A949="",TODAY(),Transactions!G941)</f>
        <v>46216</v>
      </c>
      <c r="C949" t="str">
        <f>IF($A949="","",Transactions!A941)</f>
        <v/>
      </c>
      <c r="D949" s="30">
        <f>IF($A949="",0,Transactions!H941)</f>
        <v>0</v>
      </c>
      <c r="E949">
        <f>IF($A949="",1,IFERROR(INDEX(Prices[FX to SGD],MATCH($A949,Prices[Key],0)),1))</f>
        <v>1</v>
      </c>
      <c r="F949" s="30">
        <f>IF($A949="",0,(Transactions!M941-Transactions!L941+IF(Transactions!A941=2,Transactions!H941,0))*$E949)</f>
        <v>0</v>
      </c>
      <c r="G949" s="30">
        <f>IF($A949="",0,IF(Transactions!A941=2,Transactions!H941*$E949,0))</f>
        <v>0</v>
      </c>
    </row>
    <row r="950" spans="1:7" ht="15" customHeight="1" x14ac:dyDescent="0.15">
      <c r="A950" t="str">
        <f>IF(Transactions!J942="","",Transactions!J942)</f>
        <v/>
      </c>
      <c r="B950" s="297">
        <f ca="1">IF($A950="",TODAY(),Transactions!G942)</f>
        <v>46216</v>
      </c>
      <c r="C950" t="str">
        <f>IF($A950="","",Transactions!A942)</f>
        <v/>
      </c>
      <c r="D950" s="30">
        <f>IF($A950="",0,Transactions!H942)</f>
        <v>0</v>
      </c>
      <c r="E950">
        <f>IF($A950="",1,IFERROR(INDEX(Prices[FX to SGD],MATCH($A950,Prices[Key],0)),1))</f>
        <v>1</v>
      </c>
      <c r="F950" s="30">
        <f>IF($A950="",0,(Transactions!M942-Transactions!L942+IF(Transactions!A942=2,Transactions!H942,0))*$E950)</f>
        <v>0</v>
      </c>
      <c r="G950" s="30">
        <f>IF($A950="",0,IF(Transactions!A942=2,Transactions!H942*$E950,0))</f>
        <v>0</v>
      </c>
    </row>
    <row r="951" spans="1:7" ht="15" customHeight="1" x14ac:dyDescent="0.15">
      <c r="A951" t="str">
        <f>IF(Transactions!J943="","",Transactions!J943)</f>
        <v/>
      </c>
      <c r="B951" s="297">
        <f ca="1">IF($A951="",TODAY(),Transactions!G943)</f>
        <v>46216</v>
      </c>
      <c r="C951" t="str">
        <f>IF($A951="","",Transactions!A943)</f>
        <v/>
      </c>
      <c r="D951" s="30">
        <f>IF($A951="",0,Transactions!H943)</f>
        <v>0</v>
      </c>
      <c r="E951">
        <f>IF($A951="",1,IFERROR(INDEX(Prices[FX to SGD],MATCH($A951,Prices[Key],0)),1))</f>
        <v>1</v>
      </c>
      <c r="F951" s="30">
        <f>IF($A951="",0,(Transactions!M943-Transactions!L943+IF(Transactions!A943=2,Transactions!H943,0))*$E951)</f>
        <v>0</v>
      </c>
      <c r="G951" s="30">
        <f>IF($A951="",0,IF(Transactions!A943=2,Transactions!H943*$E951,0))</f>
        <v>0</v>
      </c>
    </row>
    <row r="952" spans="1:7" ht="15" customHeight="1" x14ac:dyDescent="0.15">
      <c r="A952" t="str">
        <f>IF(Transactions!J944="","",Transactions!J944)</f>
        <v/>
      </c>
      <c r="B952" s="297">
        <f ca="1">IF($A952="",TODAY(),Transactions!G944)</f>
        <v>46216</v>
      </c>
      <c r="C952" t="str">
        <f>IF($A952="","",Transactions!A944)</f>
        <v/>
      </c>
      <c r="D952" s="30">
        <f>IF($A952="",0,Transactions!H944)</f>
        <v>0</v>
      </c>
      <c r="E952">
        <f>IF($A952="",1,IFERROR(INDEX(Prices[FX to SGD],MATCH($A952,Prices[Key],0)),1))</f>
        <v>1</v>
      </c>
      <c r="F952" s="30">
        <f>IF($A952="",0,(Transactions!M944-Transactions!L944+IF(Transactions!A944=2,Transactions!H944,0))*$E952)</f>
        <v>0</v>
      </c>
      <c r="G952" s="30">
        <f>IF($A952="",0,IF(Transactions!A944=2,Transactions!H944*$E952,0))</f>
        <v>0</v>
      </c>
    </row>
    <row r="953" spans="1:7" ht="15" customHeight="1" x14ac:dyDescent="0.15">
      <c r="A953" t="str">
        <f>IF(Transactions!J945="","",Transactions!J945)</f>
        <v/>
      </c>
      <c r="B953" s="297">
        <f ca="1">IF($A953="",TODAY(),Transactions!G945)</f>
        <v>46216</v>
      </c>
      <c r="C953" t="str">
        <f>IF($A953="","",Transactions!A945)</f>
        <v/>
      </c>
      <c r="D953" s="30">
        <f>IF($A953="",0,Transactions!H945)</f>
        <v>0</v>
      </c>
      <c r="E953">
        <f>IF($A953="",1,IFERROR(INDEX(Prices[FX to SGD],MATCH($A953,Prices[Key],0)),1))</f>
        <v>1</v>
      </c>
      <c r="F953" s="30">
        <f>IF($A953="",0,(Transactions!M945-Transactions!L945+IF(Transactions!A945=2,Transactions!H945,0))*$E953)</f>
        <v>0</v>
      </c>
      <c r="G953" s="30">
        <f>IF($A953="",0,IF(Transactions!A945=2,Transactions!H945*$E953,0))</f>
        <v>0</v>
      </c>
    </row>
    <row r="954" spans="1:7" ht="15" customHeight="1" x14ac:dyDescent="0.15">
      <c r="A954" t="str">
        <f>IF(Transactions!J946="","",Transactions!J946)</f>
        <v/>
      </c>
      <c r="B954" s="297">
        <f ca="1">IF($A954="",TODAY(),Transactions!G946)</f>
        <v>46216</v>
      </c>
      <c r="C954" t="str">
        <f>IF($A954="","",Transactions!A946)</f>
        <v/>
      </c>
      <c r="D954" s="30">
        <f>IF($A954="",0,Transactions!H946)</f>
        <v>0</v>
      </c>
      <c r="E954">
        <f>IF($A954="",1,IFERROR(INDEX(Prices[FX to SGD],MATCH($A954,Prices[Key],0)),1))</f>
        <v>1</v>
      </c>
      <c r="F954" s="30">
        <f>IF($A954="",0,(Transactions!M946-Transactions!L946+IF(Transactions!A946=2,Transactions!H946,0))*$E954)</f>
        <v>0</v>
      </c>
      <c r="G954" s="30">
        <f>IF($A954="",0,IF(Transactions!A946=2,Transactions!H946*$E954,0))</f>
        <v>0</v>
      </c>
    </row>
    <row r="955" spans="1:7" ht="15" customHeight="1" x14ac:dyDescent="0.15">
      <c r="A955" t="str">
        <f>IF(Transactions!J947="","",Transactions!J947)</f>
        <v/>
      </c>
      <c r="B955" s="297">
        <f ca="1">IF($A955="",TODAY(),Transactions!G947)</f>
        <v>46216</v>
      </c>
      <c r="C955" t="str">
        <f>IF($A955="","",Transactions!A947)</f>
        <v/>
      </c>
      <c r="D955" s="30">
        <f>IF($A955="",0,Transactions!H947)</f>
        <v>0</v>
      </c>
      <c r="E955">
        <f>IF($A955="",1,IFERROR(INDEX(Prices[FX to SGD],MATCH($A955,Prices[Key],0)),1))</f>
        <v>1</v>
      </c>
      <c r="F955" s="30">
        <f>IF($A955="",0,(Transactions!M947-Transactions!L947+IF(Transactions!A947=2,Transactions!H947,0))*$E955)</f>
        <v>0</v>
      </c>
      <c r="G955" s="30">
        <f>IF($A955="",0,IF(Transactions!A947=2,Transactions!H947*$E955,0))</f>
        <v>0</v>
      </c>
    </row>
    <row r="956" spans="1:7" ht="15" customHeight="1" x14ac:dyDescent="0.15">
      <c r="A956" t="str">
        <f>IF(Transactions!J948="","",Transactions!J948)</f>
        <v/>
      </c>
      <c r="B956" s="297">
        <f ca="1">IF($A956="",TODAY(),Transactions!G948)</f>
        <v>46216</v>
      </c>
      <c r="C956" t="str">
        <f>IF($A956="","",Transactions!A948)</f>
        <v/>
      </c>
      <c r="D956" s="30">
        <f>IF($A956="",0,Transactions!H948)</f>
        <v>0</v>
      </c>
      <c r="E956">
        <f>IF($A956="",1,IFERROR(INDEX(Prices[FX to SGD],MATCH($A956,Prices[Key],0)),1))</f>
        <v>1</v>
      </c>
      <c r="F956" s="30">
        <f>IF($A956="",0,(Transactions!M948-Transactions!L948+IF(Transactions!A948=2,Transactions!H948,0))*$E956)</f>
        <v>0</v>
      </c>
      <c r="G956" s="30">
        <f>IF($A956="",0,IF(Transactions!A948=2,Transactions!H948*$E956,0))</f>
        <v>0</v>
      </c>
    </row>
    <row r="957" spans="1:7" ht="15" customHeight="1" x14ac:dyDescent="0.15">
      <c r="A957" t="str">
        <f>IF(Transactions!J949="","",Transactions!J949)</f>
        <v/>
      </c>
      <c r="B957" s="297">
        <f ca="1">IF($A957="",TODAY(),Transactions!G949)</f>
        <v>46216</v>
      </c>
      <c r="C957" t="str">
        <f>IF($A957="","",Transactions!A949)</f>
        <v/>
      </c>
      <c r="D957" s="30">
        <f>IF($A957="",0,Transactions!H949)</f>
        <v>0</v>
      </c>
      <c r="E957">
        <f>IF($A957="",1,IFERROR(INDEX(Prices[FX to SGD],MATCH($A957,Prices[Key],0)),1))</f>
        <v>1</v>
      </c>
      <c r="F957" s="30">
        <f>IF($A957="",0,(Transactions!M949-Transactions!L949+IF(Transactions!A949=2,Transactions!H949,0))*$E957)</f>
        <v>0</v>
      </c>
      <c r="G957" s="30">
        <f>IF($A957="",0,IF(Transactions!A949=2,Transactions!H949*$E957,0))</f>
        <v>0</v>
      </c>
    </row>
    <row r="958" spans="1:7" ht="15" customHeight="1" x14ac:dyDescent="0.15">
      <c r="A958" t="str">
        <f>IF(Transactions!J950="","",Transactions!J950)</f>
        <v/>
      </c>
      <c r="B958" s="297">
        <f ca="1">IF($A958="",TODAY(),Transactions!G950)</f>
        <v>46216</v>
      </c>
      <c r="C958" t="str">
        <f>IF($A958="","",Transactions!A950)</f>
        <v/>
      </c>
      <c r="D958" s="30">
        <f>IF($A958="",0,Transactions!H950)</f>
        <v>0</v>
      </c>
      <c r="E958">
        <f>IF($A958="",1,IFERROR(INDEX(Prices[FX to SGD],MATCH($A958,Prices[Key],0)),1))</f>
        <v>1</v>
      </c>
      <c r="F958" s="30">
        <f>IF($A958="",0,(Transactions!M950-Transactions!L950+IF(Transactions!A950=2,Transactions!H950,0))*$E958)</f>
        <v>0</v>
      </c>
      <c r="G958" s="30">
        <f>IF($A958="",0,IF(Transactions!A950=2,Transactions!H950*$E958,0))</f>
        <v>0</v>
      </c>
    </row>
    <row r="959" spans="1:7" ht="15" customHeight="1" x14ac:dyDescent="0.15">
      <c r="A959" t="str">
        <f>IF(Transactions!J951="","",Transactions!J951)</f>
        <v/>
      </c>
      <c r="B959" s="297">
        <f ca="1">IF($A959="",TODAY(),Transactions!G951)</f>
        <v>46216</v>
      </c>
      <c r="C959" t="str">
        <f>IF($A959="","",Transactions!A951)</f>
        <v/>
      </c>
      <c r="D959" s="30">
        <f>IF($A959="",0,Transactions!H951)</f>
        <v>0</v>
      </c>
      <c r="E959">
        <f>IF($A959="",1,IFERROR(INDEX(Prices[FX to SGD],MATCH($A959,Prices[Key],0)),1))</f>
        <v>1</v>
      </c>
      <c r="F959" s="30">
        <f>IF($A959="",0,(Transactions!M951-Transactions!L951+IF(Transactions!A951=2,Transactions!H951,0))*$E959)</f>
        <v>0</v>
      </c>
      <c r="G959" s="30">
        <f>IF($A959="",0,IF(Transactions!A951=2,Transactions!H951*$E959,0))</f>
        <v>0</v>
      </c>
    </row>
    <row r="960" spans="1:7" ht="15" customHeight="1" x14ac:dyDescent="0.15">
      <c r="A960" t="str">
        <f>IF(Transactions!J952="","",Transactions!J952)</f>
        <v/>
      </c>
      <c r="B960" s="297">
        <f ca="1">IF($A960="",TODAY(),Transactions!G952)</f>
        <v>46216</v>
      </c>
      <c r="C960" t="str">
        <f>IF($A960="","",Transactions!A952)</f>
        <v/>
      </c>
      <c r="D960" s="30">
        <f>IF($A960="",0,Transactions!H952)</f>
        <v>0</v>
      </c>
      <c r="E960">
        <f>IF($A960="",1,IFERROR(INDEX(Prices[FX to SGD],MATCH($A960,Prices[Key],0)),1))</f>
        <v>1</v>
      </c>
      <c r="F960" s="30">
        <f>IF($A960="",0,(Transactions!M952-Transactions!L952+IF(Transactions!A952=2,Transactions!H952,0))*$E960)</f>
        <v>0</v>
      </c>
      <c r="G960" s="30">
        <f>IF($A960="",0,IF(Transactions!A952=2,Transactions!H952*$E960,0))</f>
        <v>0</v>
      </c>
    </row>
    <row r="961" spans="1:7" ht="15" customHeight="1" x14ac:dyDescent="0.15">
      <c r="A961" t="str">
        <f>IF(Transactions!J953="","",Transactions!J953)</f>
        <v/>
      </c>
      <c r="B961" s="297">
        <f ca="1">IF($A961="",TODAY(),Transactions!G953)</f>
        <v>46216</v>
      </c>
      <c r="C961" t="str">
        <f>IF($A961="","",Transactions!A953)</f>
        <v/>
      </c>
      <c r="D961" s="30">
        <f>IF($A961="",0,Transactions!H953)</f>
        <v>0</v>
      </c>
      <c r="E961">
        <f>IF($A961="",1,IFERROR(INDEX(Prices[FX to SGD],MATCH($A961,Prices[Key],0)),1))</f>
        <v>1</v>
      </c>
      <c r="F961" s="30">
        <f>IF($A961="",0,(Transactions!M953-Transactions!L953+IF(Transactions!A953=2,Transactions!H953,0))*$E961)</f>
        <v>0</v>
      </c>
      <c r="G961" s="30">
        <f>IF($A961="",0,IF(Transactions!A953=2,Transactions!H953*$E961,0))</f>
        <v>0</v>
      </c>
    </row>
    <row r="962" spans="1:7" ht="15" customHeight="1" x14ac:dyDescent="0.15">
      <c r="A962" t="str">
        <f>IF(Transactions!J954="","",Transactions!J954)</f>
        <v/>
      </c>
      <c r="B962" s="297">
        <f ca="1">IF($A962="",TODAY(),Transactions!G954)</f>
        <v>46216</v>
      </c>
      <c r="C962" t="str">
        <f>IF($A962="","",Transactions!A954)</f>
        <v/>
      </c>
      <c r="D962" s="30">
        <f>IF($A962="",0,Transactions!H954)</f>
        <v>0</v>
      </c>
      <c r="E962">
        <f>IF($A962="",1,IFERROR(INDEX(Prices[FX to SGD],MATCH($A962,Prices[Key],0)),1))</f>
        <v>1</v>
      </c>
      <c r="F962" s="30">
        <f>IF($A962="",0,(Transactions!M954-Transactions!L954+IF(Transactions!A954=2,Transactions!H954,0))*$E962)</f>
        <v>0</v>
      </c>
      <c r="G962" s="30">
        <f>IF($A962="",0,IF(Transactions!A954=2,Transactions!H954*$E962,0))</f>
        <v>0</v>
      </c>
    </row>
    <row r="963" spans="1:7" ht="15" customHeight="1" x14ac:dyDescent="0.15">
      <c r="A963" t="str">
        <f>IF(Transactions!J955="","",Transactions!J955)</f>
        <v/>
      </c>
      <c r="B963" s="297">
        <f ca="1">IF($A963="",TODAY(),Transactions!G955)</f>
        <v>46216</v>
      </c>
      <c r="C963" t="str">
        <f>IF($A963="","",Transactions!A955)</f>
        <v/>
      </c>
      <c r="D963" s="30">
        <f>IF($A963="",0,Transactions!H955)</f>
        <v>0</v>
      </c>
      <c r="E963">
        <f>IF($A963="",1,IFERROR(INDEX(Prices[FX to SGD],MATCH($A963,Prices[Key],0)),1))</f>
        <v>1</v>
      </c>
      <c r="F963" s="30">
        <f>IF($A963="",0,(Transactions!M955-Transactions!L955+IF(Transactions!A955=2,Transactions!H955,0))*$E963)</f>
        <v>0</v>
      </c>
      <c r="G963" s="30">
        <f>IF($A963="",0,IF(Transactions!A955=2,Transactions!H955*$E963,0))</f>
        <v>0</v>
      </c>
    </row>
    <row r="964" spans="1:7" ht="15" customHeight="1" x14ac:dyDescent="0.15">
      <c r="A964" t="str">
        <f>IF(Transactions!J956="","",Transactions!J956)</f>
        <v/>
      </c>
      <c r="B964" s="297">
        <f ca="1">IF($A964="",TODAY(),Transactions!G956)</f>
        <v>46216</v>
      </c>
      <c r="C964" t="str">
        <f>IF($A964="","",Transactions!A956)</f>
        <v/>
      </c>
      <c r="D964" s="30">
        <f>IF($A964="",0,Transactions!H956)</f>
        <v>0</v>
      </c>
      <c r="E964">
        <f>IF($A964="",1,IFERROR(INDEX(Prices[FX to SGD],MATCH($A964,Prices[Key],0)),1))</f>
        <v>1</v>
      </c>
      <c r="F964" s="30">
        <f>IF($A964="",0,(Transactions!M956-Transactions!L956+IF(Transactions!A956=2,Transactions!H956,0))*$E964)</f>
        <v>0</v>
      </c>
      <c r="G964" s="30">
        <f>IF($A964="",0,IF(Transactions!A956=2,Transactions!H956*$E964,0))</f>
        <v>0</v>
      </c>
    </row>
    <row r="965" spans="1:7" ht="15" customHeight="1" x14ac:dyDescent="0.15">
      <c r="A965" t="str">
        <f>IF(Transactions!J957="","",Transactions!J957)</f>
        <v/>
      </c>
      <c r="B965" s="297">
        <f ca="1">IF($A965="",TODAY(),Transactions!G957)</f>
        <v>46216</v>
      </c>
      <c r="C965" t="str">
        <f>IF($A965="","",Transactions!A957)</f>
        <v/>
      </c>
      <c r="D965" s="30">
        <f>IF($A965="",0,Transactions!H957)</f>
        <v>0</v>
      </c>
      <c r="E965">
        <f>IF($A965="",1,IFERROR(INDEX(Prices[FX to SGD],MATCH($A965,Prices[Key],0)),1))</f>
        <v>1</v>
      </c>
      <c r="F965" s="30">
        <f>IF($A965="",0,(Transactions!M957-Transactions!L957+IF(Transactions!A957=2,Transactions!H957,0))*$E965)</f>
        <v>0</v>
      </c>
      <c r="G965" s="30">
        <f>IF($A965="",0,IF(Transactions!A957=2,Transactions!H957*$E965,0))</f>
        <v>0</v>
      </c>
    </row>
    <row r="966" spans="1:7" ht="15" customHeight="1" x14ac:dyDescent="0.15">
      <c r="A966" t="str">
        <f>IF(Transactions!J958="","",Transactions!J958)</f>
        <v/>
      </c>
      <c r="B966" s="297">
        <f ca="1">IF($A966="",TODAY(),Transactions!G958)</f>
        <v>46216</v>
      </c>
      <c r="C966" t="str">
        <f>IF($A966="","",Transactions!A958)</f>
        <v/>
      </c>
      <c r="D966" s="30">
        <f>IF($A966="",0,Transactions!H958)</f>
        <v>0</v>
      </c>
      <c r="E966">
        <f>IF($A966="",1,IFERROR(INDEX(Prices[FX to SGD],MATCH($A966,Prices[Key],0)),1))</f>
        <v>1</v>
      </c>
      <c r="F966" s="30">
        <f>IF($A966="",0,(Transactions!M958-Transactions!L958+IF(Transactions!A958=2,Transactions!H958,0))*$E966)</f>
        <v>0</v>
      </c>
      <c r="G966" s="30">
        <f>IF($A966="",0,IF(Transactions!A958=2,Transactions!H958*$E966,0))</f>
        <v>0</v>
      </c>
    </row>
    <row r="967" spans="1:7" ht="15" customHeight="1" x14ac:dyDescent="0.15">
      <c r="A967" t="str">
        <f>IF(Transactions!J959="","",Transactions!J959)</f>
        <v/>
      </c>
      <c r="B967" s="297">
        <f ca="1">IF($A967="",TODAY(),Transactions!G959)</f>
        <v>46216</v>
      </c>
      <c r="C967" t="str">
        <f>IF($A967="","",Transactions!A959)</f>
        <v/>
      </c>
      <c r="D967" s="30">
        <f>IF($A967="",0,Transactions!H959)</f>
        <v>0</v>
      </c>
      <c r="E967">
        <f>IF($A967="",1,IFERROR(INDEX(Prices[FX to SGD],MATCH($A967,Prices[Key],0)),1))</f>
        <v>1</v>
      </c>
      <c r="F967" s="30">
        <f>IF($A967="",0,(Transactions!M959-Transactions!L959+IF(Transactions!A959=2,Transactions!H959,0))*$E967)</f>
        <v>0</v>
      </c>
      <c r="G967" s="30">
        <f>IF($A967="",0,IF(Transactions!A959=2,Transactions!H959*$E967,0))</f>
        <v>0</v>
      </c>
    </row>
    <row r="968" spans="1:7" ht="15" customHeight="1" x14ac:dyDescent="0.15">
      <c r="A968" t="str">
        <f>IF(Transactions!J960="","",Transactions!J960)</f>
        <v/>
      </c>
      <c r="B968" s="297">
        <f ca="1">IF($A968="",TODAY(),Transactions!G960)</f>
        <v>46216</v>
      </c>
      <c r="C968" t="str">
        <f>IF($A968="","",Transactions!A960)</f>
        <v/>
      </c>
      <c r="D968" s="30">
        <f>IF($A968="",0,Transactions!H960)</f>
        <v>0</v>
      </c>
      <c r="E968">
        <f>IF($A968="",1,IFERROR(INDEX(Prices[FX to SGD],MATCH($A968,Prices[Key],0)),1))</f>
        <v>1</v>
      </c>
      <c r="F968" s="30">
        <f>IF($A968="",0,(Transactions!M960-Transactions!L960+IF(Transactions!A960=2,Transactions!H960,0))*$E968)</f>
        <v>0</v>
      </c>
      <c r="G968" s="30">
        <f>IF($A968="",0,IF(Transactions!A960=2,Transactions!H960*$E968,0))</f>
        <v>0</v>
      </c>
    </row>
    <row r="969" spans="1:7" ht="15" customHeight="1" x14ac:dyDescent="0.15">
      <c r="A969" t="str">
        <f>IF(Transactions!J961="","",Transactions!J961)</f>
        <v/>
      </c>
      <c r="B969" s="297">
        <f ca="1">IF($A969="",TODAY(),Transactions!G961)</f>
        <v>46216</v>
      </c>
      <c r="C969" t="str">
        <f>IF($A969="","",Transactions!A961)</f>
        <v/>
      </c>
      <c r="D969" s="30">
        <f>IF($A969="",0,Transactions!H961)</f>
        <v>0</v>
      </c>
      <c r="E969">
        <f>IF($A969="",1,IFERROR(INDEX(Prices[FX to SGD],MATCH($A969,Prices[Key],0)),1))</f>
        <v>1</v>
      </c>
      <c r="F969" s="30">
        <f>IF($A969="",0,(Transactions!M961-Transactions!L961+IF(Transactions!A961=2,Transactions!H961,0))*$E969)</f>
        <v>0</v>
      </c>
      <c r="G969" s="30">
        <f>IF($A969="",0,IF(Transactions!A961=2,Transactions!H961*$E969,0))</f>
        <v>0</v>
      </c>
    </row>
    <row r="970" spans="1:7" ht="15" customHeight="1" x14ac:dyDescent="0.15">
      <c r="A970" t="str">
        <f>IF(Transactions!J962="","",Transactions!J962)</f>
        <v/>
      </c>
      <c r="B970" s="297">
        <f ca="1">IF($A970="",TODAY(),Transactions!G962)</f>
        <v>46216</v>
      </c>
      <c r="C970" t="str">
        <f>IF($A970="","",Transactions!A962)</f>
        <v/>
      </c>
      <c r="D970" s="30">
        <f>IF($A970="",0,Transactions!H962)</f>
        <v>0</v>
      </c>
      <c r="E970">
        <f>IF($A970="",1,IFERROR(INDEX(Prices[FX to SGD],MATCH($A970,Prices[Key],0)),1))</f>
        <v>1</v>
      </c>
      <c r="F970" s="30">
        <f>IF($A970="",0,(Transactions!M962-Transactions!L962+IF(Transactions!A962=2,Transactions!H962,0))*$E970)</f>
        <v>0</v>
      </c>
      <c r="G970" s="30">
        <f>IF($A970="",0,IF(Transactions!A962=2,Transactions!H962*$E970,0))</f>
        <v>0</v>
      </c>
    </row>
    <row r="971" spans="1:7" ht="15" customHeight="1" x14ac:dyDescent="0.15">
      <c r="A971" t="str">
        <f>IF(Transactions!J963="","",Transactions!J963)</f>
        <v/>
      </c>
      <c r="B971" s="297">
        <f ca="1">IF($A971="",TODAY(),Transactions!G963)</f>
        <v>46216</v>
      </c>
      <c r="C971" t="str">
        <f>IF($A971="","",Transactions!A963)</f>
        <v/>
      </c>
      <c r="D971" s="30">
        <f>IF($A971="",0,Transactions!H963)</f>
        <v>0</v>
      </c>
      <c r="E971">
        <f>IF($A971="",1,IFERROR(INDEX(Prices[FX to SGD],MATCH($A971,Prices[Key],0)),1))</f>
        <v>1</v>
      </c>
      <c r="F971" s="30">
        <f>IF($A971="",0,(Transactions!M963-Transactions!L963+IF(Transactions!A963=2,Transactions!H963,0))*$E971)</f>
        <v>0</v>
      </c>
      <c r="G971" s="30">
        <f>IF($A971="",0,IF(Transactions!A963=2,Transactions!H963*$E971,0))</f>
        <v>0</v>
      </c>
    </row>
    <row r="972" spans="1:7" ht="15" customHeight="1" x14ac:dyDescent="0.15">
      <c r="A972" t="str">
        <f>IF(Transactions!J964="","",Transactions!J964)</f>
        <v/>
      </c>
      <c r="B972" s="297">
        <f ca="1">IF($A972="",TODAY(),Transactions!G964)</f>
        <v>46216</v>
      </c>
      <c r="C972" t="str">
        <f>IF($A972="","",Transactions!A964)</f>
        <v/>
      </c>
      <c r="D972" s="30">
        <f>IF($A972="",0,Transactions!H964)</f>
        <v>0</v>
      </c>
      <c r="E972">
        <f>IF($A972="",1,IFERROR(INDEX(Prices[FX to SGD],MATCH($A972,Prices[Key],0)),1))</f>
        <v>1</v>
      </c>
      <c r="F972" s="30">
        <f>IF($A972="",0,(Transactions!M964-Transactions!L964+IF(Transactions!A964=2,Transactions!H964,0))*$E972)</f>
        <v>0</v>
      </c>
      <c r="G972" s="30">
        <f>IF($A972="",0,IF(Transactions!A964=2,Transactions!H964*$E972,0))</f>
        <v>0</v>
      </c>
    </row>
    <row r="973" spans="1:7" ht="15" customHeight="1" x14ac:dyDescent="0.15">
      <c r="A973" t="str">
        <f>IF(Transactions!J965="","",Transactions!J965)</f>
        <v/>
      </c>
      <c r="B973" s="297">
        <f ca="1">IF($A973="",TODAY(),Transactions!G965)</f>
        <v>46216</v>
      </c>
      <c r="C973" t="str">
        <f>IF($A973="","",Transactions!A965)</f>
        <v/>
      </c>
      <c r="D973" s="30">
        <f>IF($A973="",0,Transactions!H965)</f>
        <v>0</v>
      </c>
      <c r="E973">
        <f>IF($A973="",1,IFERROR(INDEX(Prices[FX to SGD],MATCH($A973,Prices[Key],0)),1))</f>
        <v>1</v>
      </c>
      <c r="F973" s="30">
        <f>IF($A973="",0,(Transactions!M965-Transactions!L965+IF(Transactions!A965=2,Transactions!H965,0))*$E973)</f>
        <v>0</v>
      </c>
      <c r="G973" s="30">
        <f>IF($A973="",0,IF(Transactions!A965=2,Transactions!H965*$E973,0))</f>
        <v>0</v>
      </c>
    </row>
    <row r="974" spans="1:7" ht="15" customHeight="1" x14ac:dyDescent="0.15">
      <c r="A974" t="str">
        <f>IF(Transactions!J966="","",Transactions!J966)</f>
        <v/>
      </c>
      <c r="B974" s="297">
        <f ca="1">IF($A974="",TODAY(),Transactions!G966)</f>
        <v>46216</v>
      </c>
      <c r="C974" t="str">
        <f>IF($A974="","",Transactions!A966)</f>
        <v/>
      </c>
      <c r="D974" s="30">
        <f>IF($A974="",0,Transactions!H966)</f>
        <v>0</v>
      </c>
      <c r="E974">
        <f>IF($A974="",1,IFERROR(INDEX(Prices[FX to SGD],MATCH($A974,Prices[Key],0)),1))</f>
        <v>1</v>
      </c>
      <c r="F974" s="30">
        <f>IF($A974="",0,(Transactions!M966-Transactions!L966+IF(Transactions!A966=2,Transactions!H966,0))*$E974)</f>
        <v>0</v>
      </c>
      <c r="G974" s="30">
        <f>IF($A974="",0,IF(Transactions!A966=2,Transactions!H966*$E974,0))</f>
        <v>0</v>
      </c>
    </row>
    <row r="975" spans="1:7" ht="15" customHeight="1" x14ac:dyDescent="0.15">
      <c r="A975" t="str">
        <f>IF(Transactions!J967="","",Transactions!J967)</f>
        <v/>
      </c>
      <c r="B975" s="297">
        <f ca="1">IF($A975="",TODAY(),Transactions!G967)</f>
        <v>46216</v>
      </c>
      <c r="C975" t="str">
        <f>IF($A975="","",Transactions!A967)</f>
        <v/>
      </c>
      <c r="D975" s="30">
        <f>IF($A975="",0,Transactions!H967)</f>
        <v>0</v>
      </c>
      <c r="E975">
        <f>IF($A975="",1,IFERROR(INDEX(Prices[FX to SGD],MATCH($A975,Prices[Key],0)),1))</f>
        <v>1</v>
      </c>
      <c r="F975" s="30">
        <f>IF($A975="",0,(Transactions!M967-Transactions!L967+IF(Transactions!A967=2,Transactions!H967,0))*$E975)</f>
        <v>0</v>
      </c>
      <c r="G975" s="30">
        <f>IF($A975="",0,IF(Transactions!A967=2,Transactions!H967*$E975,0))</f>
        <v>0</v>
      </c>
    </row>
    <row r="976" spans="1:7" ht="15" customHeight="1" x14ac:dyDescent="0.15">
      <c r="A976" t="str">
        <f>IF(Transactions!J968="","",Transactions!J968)</f>
        <v/>
      </c>
      <c r="B976" s="297">
        <f ca="1">IF($A976="",TODAY(),Transactions!G968)</f>
        <v>46216</v>
      </c>
      <c r="C976" t="str">
        <f>IF($A976="","",Transactions!A968)</f>
        <v/>
      </c>
      <c r="D976" s="30">
        <f>IF($A976="",0,Transactions!H968)</f>
        <v>0</v>
      </c>
      <c r="E976">
        <f>IF($A976="",1,IFERROR(INDEX(Prices[FX to SGD],MATCH($A976,Prices[Key],0)),1))</f>
        <v>1</v>
      </c>
      <c r="F976" s="30">
        <f>IF($A976="",0,(Transactions!M968-Transactions!L968+IF(Transactions!A968=2,Transactions!H968,0))*$E976)</f>
        <v>0</v>
      </c>
      <c r="G976" s="30">
        <f>IF($A976="",0,IF(Transactions!A968=2,Transactions!H968*$E976,0))</f>
        <v>0</v>
      </c>
    </row>
    <row r="977" spans="1:7" ht="15" customHeight="1" x14ac:dyDescent="0.15">
      <c r="A977" t="str">
        <f>IF(Transactions!J969="","",Transactions!J969)</f>
        <v/>
      </c>
      <c r="B977" s="297">
        <f ca="1">IF($A977="",TODAY(),Transactions!G969)</f>
        <v>46216</v>
      </c>
      <c r="C977" t="str">
        <f>IF($A977="","",Transactions!A969)</f>
        <v/>
      </c>
      <c r="D977" s="30">
        <f>IF($A977="",0,Transactions!H969)</f>
        <v>0</v>
      </c>
      <c r="E977">
        <f>IF($A977="",1,IFERROR(INDEX(Prices[FX to SGD],MATCH($A977,Prices[Key],0)),1))</f>
        <v>1</v>
      </c>
      <c r="F977" s="30">
        <f>IF($A977="",0,(Transactions!M969-Transactions!L969+IF(Transactions!A969=2,Transactions!H969,0))*$E977)</f>
        <v>0</v>
      </c>
      <c r="G977" s="30">
        <f>IF($A977="",0,IF(Transactions!A969=2,Transactions!H969*$E977,0))</f>
        <v>0</v>
      </c>
    </row>
    <row r="978" spans="1:7" ht="15" customHeight="1" x14ac:dyDescent="0.15">
      <c r="A978" t="str">
        <f>IF(Transactions!J970="","",Transactions!J970)</f>
        <v/>
      </c>
      <c r="B978" s="297">
        <f ca="1">IF($A978="",TODAY(),Transactions!G970)</f>
        <v>46216</v>
      </c>
      <c r="C978" t="str">
        <f>IF($A978="","",Transactions!A970)</f>
        <v/>
      </c>
      <c r="D978" s="30">
        <f>IF($A978="",0,Transactions!H970)</f>
        <v>0</v>
      </c>
      <c r="E978">
        <f>IF($A978="",1,IFERROR(INDEX(Prices[FX to SGD],MATCH($A978,Prices[Key],0)),1))</f>
        <v>1</v>
      </c>
      <c r="F978" s="30">
        <f>IF($A978="",0,(Transactions!M970-Transactions!L970+IF(Transactions!A970=2,Transactions!H970,0))*$E978)</f>
        <v>0</v>
      </c>
      <c r="G978" s="30">
        <f>IF($A978="",0,IF(Transactions!A970=2,Transactions!H970*$E978,0))</f>
        <v>0</v>
      </c>
    </row>
    <row r="979" spans="1:7" ht="15" customHeight="1" x14ac:dyDescent="0.15">
      <c r="A979" t="str">
        <f>IF(Transactions!J971="","",Transactions!J971)</f>
        <v/>
      </c>
      <c r="B979" s="297">
        <f ca="1">IF($A979="",TODAY(),Transactions!G971)</f>
        <v>46216</v>
      </c>
      <c r="C979" t="str">
        <f>IF($A979="","",Transactions!A971)</f>
        <v/>
      </c>
      <c r="D979" s="30">
        <f>IF($A979="",0,Transactions!H971)</f>
        <v>0</v>
      </c>
      <c r="E979">
        <f>IF($A979="",1,IFERROR(INDEX(Prices[FX to SGD],MATCH($A979,Prices[Key],0)),1))</f>
        <v>1</v>
      </c>
      <c r="F979" s="30">
        <f>IF($A979="",0,(Transactions!M971-Transactions!L971+IF(Transactions!A971=2,Transactions!H971,0))*$E979)</f>
        <v>0</v>
      </c>
      <c r="G979" s="30">
        <f>IF($A979="",0,IF(Transactions!A971=2,Transactions!H971*$E979,0))</f>
        <v>0</v>
      </c>
    </row>
    <row r="980" spans="1:7" ht="15" customHeight="1" x14ac:dyDescent="0.15">
      <c r="A980" t="str">
        <f>IF(Transactions!J972="","",Transactions!J972)</f>
        <v/>
      </c>
      <c r="B980" s="297">
        <f ca="1">IF($A980="",TODAY(),Transactions!G972)</f>
        <v>46216</v>
      </c>
      <c r="C980" t="str">
        <f>IF($A980="","",Transactions!A972)</f>
        <v/>
      </c>
      <c r="D980" s="30">
        <f>IF($A980="",0,Transactions!H972)</f>
        <v>0</v>
      </c>
      <c r="E980">
        <f>IF($A980="",1,IFERROR(INDEX(Prices[FX to SGD],MATCH($A980,Prices[Key],0)),1))</f>
        <v>1</v>
      </c>
      <c r="F980" s="30">
        <f>IF($A980="",0,(Transactions!M972-Transactions!L972+IF(Transactions!A972=2,Transactions!H972,0))*$E980)</f>
        <v>0</v>
      </c>
      <c r="G980" s="30">
        <f>IF($A980="",0,IF(Transactions!A972=2,Transactions!H972*$E980,0))</f>
        <v>0</v>
      </c>
    </row>
    <row r="981" spans="1:7" ht="15" customHeight="1" x14ac:dyDescent="0.15">
      <c r="A981" t="str">
        <f>IF(Transactions!J973="","",Transactions!J973)</f>
        <v/>
      </c>
      <c r="B981" s="297">
        <f ca="1">IF($A981="",TODAY(),Transactions!G973)</f>
        <v>46216</v>
      </c>
      <c r="C981" t="str">
        <f>IF($A981="","",Transactions!A973)</f>
        <v/>
      </c>
      <c r="D981" s="30">
        <f>IF($A981="",0,Transactions!H973)</f>
        <v>0</v>
      </c>
      <c r="E981">
        <f>IF($A981="",1,IFERROR(INDEX(Prices[FX to SGD],MATCH($A981,Prices[Key],0)),1))</f>
        <v>1</v>
      </c>
      <c r="F981" s="30">
        <f>IF($A981="",0,(Transactions!M973-Transactions!L973+IF(Transactions!A973=2,Transactions!H973,0))*$E981)</f>
        <v>0</v>
      </c>
      <c r="G981" s="30">
        <f>IF($A981="",0,IF(Transactions!A973=2,Transactions!H973*$E981,0))</f>
        <v>0</v>
      </c>
    </row>
    <row r="982" spans="1:7" ht="15" customHeight="1" x14ac:dyDescent="0.15">
      <c r="A982" t="str">
        <f>IF(Transactions!J974="","",Transactions!J974)</f>
        <v/>
      </c>
      <c r="B982" s="297">
        <f ca="1">IF($A982="",TODAY(),Transactions!G974)</f>
        <v>46216</v>
      </c>
      <c r="C982" t="str">
        <f>IF($A982="","",Transactions!A974)</f>
        <v/>
      </c>
      <c r="D982" s="30">
        <f>IF($A982="",0,Transactions!H974)</f>
        <v>0</v>
      </c>
      <c r="E982">
        <f>IF($A982="",1,IFERROR(INDEX(Prices[FX to SGD],MATCH($A982,Prices[Key],0)),1))</f>
        <v>1</v>
      </c>
      <c r="F982" s="30">
        <f>IF($A982="",0,(Transactions!M974-Transactions!L974+IF(Transactions!A974=2,Transactions!H974,0))*$E982)</f>
        <v>0</v>
      </c>
      <c r="G982" s="30">
        <f>IF($A982="",0,IF(Transactions!A974=2,Transactions!H974*$E982,0))</f>
        <v>0</v>
      </c>
    </row>
    <row r="983" spans="1:7" ht="15" customHeight="1" x14ac:dyDescent="0.15">
      <c r="A983" t="str">
        <f>IF(Transactions!J975="","",Transactions!J975)</f>
        <v/>
      </c>
      <c r="B983" s="297">
        <f ca="1">IF($A983="",TODAY(),Transactions!G975)</f>
        <v>46216</v>
      </c>
      <c r="C983" t="str">
        <f>IF($A983="","",Transactions!A975)</f>
        <v/>
      </c>
      <c r="D983" s="30">
        <f>IF($A983="",0,Transactions!H975)</f>
        <v>0</v>
      </c>
      <c r="E983">
        <f>IF($A983="",1,IFERROR(INDEX(Prices[FX to SGD],MATCH($A983,Prices[Key],0)),1))</f>
        <v>1</v>
      </c>
      <c r="F983" s="30">
        <f>IF($A983="",0,(Transactions!M975-Transactions!L975+IF(Transactions!A975=2,Transactions!H975,0))*$E983)</f>
        <v>0</v>
      </c>
      <c r="G983" s="30">
        <f>IF($A983="",0,IF(Transactions!A975=2,Transactions!H975*$E983,0))</f>
        <v>0</v>
      </c>
    </row>
    <row r="984" spans="1:7" ht="15" customHeight="1" x14ac:dyDescent="0.15">
      <c r="A984" t="str">
        <f>IF(Transactions!J976="","",Transactions!J976)</f>
        <v/>
      </c>
      <c r="B984" s="297">
        <f ca="1">IF($A984="",TODAY(),Transactions!G976)</f>
        <v>46216</v>
      </c>
      <c r="C984" t="str">
        <f>IF($A984="","",Transactions!A976)</f>
        <v/>
      </c>
      <c r="D984" s="30">
        <f>IF($A984="",0,Transactions!H976)</f>
        <v>0</v>
      </c>
      <c r="E984">
        <f>IF($A984="",1,IFERROR(INDEX(Prices[FX to SGD],MATCH($A984,Prices[Key],0)),1))</f>
        <v>1</v>
      </c>
      <c r="F984" s="30">
        <f>IF($A984="",0,(Transactions!M976-Transactions!L976+IF(Transactions!A976=2,Transactions!H976,0))*$E984)</f>
        <v>0</v>
      </c>
      <c r="G984" s="30">
        <f>IF($A984="",0,IF(Transactions!A976=2,Transactions!H976*$E984,0))</f>
        <v>0</v>
      </c>
    </row>
    <row r="985" spans="1:7" ht="15" customHeight="1" x14ac:dyDescent="0.15">
      <c r="A985" t="str">
        <f>IF(Transactions!J977="","",Transactions!J977)</f>
        <v/>
      </c>
      <c r="B985" s="297">
        <f ca="1">IF($A985="",TODAY(),Transactions!G977)</f>
        <v>46216</v>
      </c>
      <c r="C985" t="str">
        <f>IF($A985="","",Transactions!A977)</f>
        <v/>
      </c>
      <c r="D985" s="30">
        <f>IF($A985="",0,Transactions!H977)</f>
        <v>0</v>
      </c>
      <c r="E985">
        <f>IF($A985="",1,IFERROR(INDEX(Prices[FX to SGD],MATCH($A985,Prices[Key],0)),1))</f>
        <v>1</v>
      </c>
      <c r="F985" s="30">
        <f>IF($A985="",0,(Transactions!M977-Transactions!L977+IF(Transactions!A977=2,Transactions!H977,0))*$E985)</f>
        <v>0</v>
      </c>
      <c r="G985" s="30">
        <f>IF($A985="",0,IF(Transactions!A977=2,Transactions!H977*$E985,0))</f>
        <v>0</v>
      </c>
    </row>
    <row r="986" spans="1:7" ht="15" customHeight="1" x14ac:dyDescent="0.15">
      <c r="A986" t="str">
        <f>IF(Transactions!J978="","",Transactions!J978)</f>
        <v/>
      </c>
      <c r="B986" s="297">
        <f ca="1">IF($A986="",TODAY(),Transactions!G978)</f>
        <v>46216</v>
      </c>
      <c r="C986" t="str">
        <f>IF($A986="","",Transactions!A978)</f>
        <v/>
      </c>
      <c r="D986" s="30">
        <f>IF($A986="",0,Transactions!H978)</f>
        <v>0</v>
      </c>
      <c r="E986">
        <f>IF($A986="",1,IFERROR(INDEX(Prices[FX to SGD],MATCH($A986,Prices[Key],0)),1))</f>
        <v>1</v>
      </c>
      <c r="F986" s="30">
        <f>IF($A986="",0,(Transactions!M978-Transactions!L978+IF(Transactions!A978=2,Transactions!H978,0))*$E986)</f>
        <v>0</v>
      </c>
      <c r="G986" s="30">
        <f>IF($A986="",0,IF(Transactions!A978=2,Transactions!H978*$E986,0))</f>
        <v>0</v>
      </c>
    </row>
    <row r="987" spans="1:7" ht="15" customHeight="1" x14ac:dyDescent="0.15">
      <c r="A987" t="str">
        <f>IF(Transactions!J979="","",Transactions!J979)</f>
        <v/>
      </c>
      <c r="B987" s="297">
        <f ca="1">IF($A987="",TODAY(),Transactions!G979)</f>
        <v>46216</v>
      </c>
      <c r="C987" t="str">
        <f>IF($A987="","",Transactions!A979)</f>
        <v/>
      </c>
      <c r="D987" s="30">
        <f>IF($A987="",0,Transactions!H979)</f>
        <v>0</v>
      </c>
      <c r="E987">
        <f>IF($A987="",1,IFERROR(INDEX(Prices[FX to SGD],MATCH($A987,Prices[Key],0)),1))</f>
        <v>1</v>
      </c>
      <c r="F987" s="30">
        <f>IF($A987="",0,(Transactions!M979-Transactions!L979+IF(Transactions!A979=2,Transactions!H979,0))*$E987)</f>
        <v>0</v>
      </c>
      <c r="G987" s="30">
        <f>IF($A987="",0,IF(Transactions!A979=2,Transactions!H979*$E987,0))</f>
        <v>0</v>
      </c>
    </row>
    <row r="988" spans="1:7" ht="15" customHeight="1" x14ac:dyDescent="0.15">
      <c r="A988" t="str">
        <f>IF(Transactions!J980="","",Transactions!J980)</f>
        <v/>
      </c>
      <c r="B988" s="297">
        <f ca="1">IF($A988="",TODAY(),Transactions!G980)</f>
        <v>46216</v>
      </c>
      <c r="C988" t="str">
        <f>IF($A988="","",Transactions!A980)</f>
        <v/>
      </c>
      <c r="D988" s="30">
        <f>IF($A988="",0,Transactions!H980)</f>
        <v>0</v>
      </c>
      <c r="E988">
        <f>IF($A988="",1,IFERROR(INDEX(Prices[FX to SGD],MATCH($A988,Prices[Key],0)),1))</f>
        <v>1</v>
      </c>
      <c r="F988" s="30">
        <f>IF($A988="",0,(Transactions!M980-Transactions!L980+IF(Transactions!A980=2,Transactions!H980,0))*$E988)</f>
        <v>0</v>
      </c>
      <c r="G988" s="30">
        <f>IF($A988="",0,IF(Transactions!A980=2,Transactions!H980*$E988,0))</f>
        <v>0</v>
      </c>
    </row>
    <row r="989" spans="1:7" ht="15" customHeight="1" x14ac:dyDescent="0.15">
      <c r="A989" t="str">
        <f>IF(Transactions!J981="","",Transactions!J981)</f>
        <v/>
      </c>
      <c r="B989" s="297">
        <f ca="1">IF($A989="",TODAY(),Transactions!G981)</f>
        <v>46216</v>
      </c>
      <c r="C989" t="str">
        <f>IF($A989="","",Transactions!A981)</f>
        <v/>
      </c>
      <c r="D989" s="30">
        <f>IF($A989="",0,Transactions!H981)</f>
        <v>0</v>
      </c>
      <c r="E989">
        <f>IF($A989="",1,IFERROR(INDEX(Prices[FX to SGD],MATCH($A989,Prices[Key],0)),1))</f>
        <v>1</v>
      </c>
      <c r="F989" s="30">
        <f>IF($A989="",0,(Transactions!M981-Transactions!L981+IF(Transactions!A981=2,Transactions!H981,0))*$E989)</f>
        <v>0</v>
      </c>
      <c r="G989" s="30">
        <f>IF($A989="",0,IF(Transactions!A981=2,Transactions!H981*$E989,0))</f>
        <v>0</v>
      </c>
    </row>
    <row r="990" spans="1:7" ht="15" customHeight="1" x14ac:dyDescent="0.15">
      <c r="A990" t="str">
        <f>IF(Transactions!J982="","",Transactions!J982)</f>
        <v/>
      </c>
      <c r="B990" s="297">
        <f ca="1">IF($A990="",TODAY(),Transactions!G982)</f>
        <v>46216</v>
      </c>
      <c r="C990" t="str">
        <f>IF($A990="","",Transactions!A982)</f>
        <v/>
      </c>
      <c r="D990" s="30">
        <f>IF($A990="",0,Transactions!H982)</f>
        <v>0</v>
      </c>
      <c r="E990">
        <f>IF($A990="",1,IFERROR(INDEX(Prices[FX to SGD],MATCH($A990,Prices[Key],0)),1))</f>
        <v>1</v>
      </c>
      <c r="F990" s="30">
        <f>IF($A990="",0,(Transactions!M982-Transactions!L982+IF(Transactions!A982=2,Transactions!H982,0))*$E990)</f>
        <v>0</v>
      </c>
      <c r="G990" s="30">
        <f>IF($A990="",0,IF(Transactions!A982=2,Transactions!H982*$E990,0))</f>
        <v>0</v>
      </c>
    </row>
    <row r="991" spans="1:7" ht="15" customHeight="1" x14ac:dyDescent="0.15">
      <c r="A991" t="str">
        <f>IF(Transactions!J983="","",Transactions!J983)</f>
        <v/>
      </c>
      <c r="B991" s="297">
        <f ca="1">IF($A991="",TODAY(),Transactions!G983)</f>
        <v>46216</v>
      </c>
      <c r="C991" t="str">
        <f>IF($A991="","",Transactions!A983)</f>
        <v/>
      </c>
      <c r="D991" s="30">
        <f>IF($A991="",0,Transactions!H983)</f>
        <v>0</v>
      </c>
      <c r="E991">
        <f>IF($A991="",1,IFERROR(INDEX(Prices[FX to SGD],MATCH($A991,Prices[Key],0)),1))</f>
        <v>1</v>
      </c>
      <c r="F991" s="30">
        <f>IF($A991="",0,(Transactions!M983-Transactions!L983+IF(Transactions!A983=2,Transactions!H983,0))*$E991)</f>
        <v>0</v>
      </c>
      <c r="G991" s="30">
        <f>IF($A991="",0,IF(Transactions!A983=2,Transactions!H983*$E991,0))</f>
        <v>0</v>
      </c>
    </row>
    <row r="992" spans="1:7" ht="15" customHeight="1" x14ac:dyDescent="0.15">
      <c r="A992" t="str">
        <f>IF(Transactions!J984="","",Transactions!J984)</f>
        <v/>
      </c>
      <c r="B992" s="297">
        <f ca="1">IF($A992="",TODAY(),Transactions!G984)</f>
        <v>46216</v>
      </c>
      <c r="C992" t="str">
        <f>IF($A992="","",Transactions!A984)</f>
        <v/>
      </c>
      <c r="D992" s="30">
        <f>IF($A992="",0,Transactions!H984)</f>
        <v>0</v>
      </c>
      <c r="E992">
        <f>IF($A992="",1,IFERROR(INDEX(Prices[FX to SGD],MATCH($A992,Prices[Key],0)),1))</f>
        <v>1</v>
      </c>
      <c r="F992" s="30">
        <f>IF($A992="",0,(Transactions!M984-Transactions!L984+IF(Transactions!A984=2,Transactions!H984,0))*$E992)</f>
        <v>0</v>
      </c>
      <c r="G992" s="30">
        <f>IF($A992="",0,IF(Transactions!A984=2,Transactions!H984*$E992,0))</f>
        <v>0</v>
      </c>
    </row>
    <row r="993" spans="1:7" ht="15" customHeight="1" x14ac:dyDescent="0.15">
      <c r="A993" t="str">
        <f>IF(Transactions!J985="","",Transactions!J985)</f>
        <v/>
      </c>
      <c r="B993" s="297">
        <f ca="1">IF($A993="",TODAY(),Transactions!G985)</f>
        <v>46216</v>
      </c>
      <c r="C993" t="str">
        <f>IF($A993="","",Transactions!A985)</f>
        <v/>
      </c>
      <c r="D993" s="30">
        <f>IF($A993="",0,Transactions!H985)</f>
        <v>0</v>
      </c>
      <c r="E993">
        <f>IF($A993="",1,IFERROR(INDEX(Prices[FX to SGD],MATCH($A993,Prices[Key],0)),1))</f>
        <v>1</v>
      </c>
      <c r="F993" s="30">
        <f>IF($A993="",0,(Transactions!M985-Transactions!L985+IF(Transactions!A985=2,Transactions!H985,0))*$E993)</f>
        <v>0</v>
      </c>
      <c r="G993" s="30">
        <f>IF($A993="",0,IF(Transactions!A985=2,Transactions!H985*$E993,0))</f>
        <v>0</v>
      </c>
    </row>
    <row r="994" spans="1:7" ht="15" customHeight="1" x14ac:dyDescent="0.15">
      <c r="A994" t="str">
        <f>IF(Transactions!J986="","",Transactions!J986)</f>
        <v/>
      </c>
      <c r="B994" s="297">
        <f ca="1">IF($A994="",TODAY(),Transactions!G986)</f>
        <v>46216</v>
      </c>
      <c r="C994" t="str">
        <f>IF($A994="","",Transactions!A986)</f>
        <v/>
      </c>
      <c r="D994" s="30">
        <f>IF($A994="",0,Transactions!H986)</f>
        <v>0</v>
      </c>
      <c r="E994">
        <f>IF($A994="",1,IFERROR(INDEX(Prices[FX to SGD],MATCH($A994,Prices[Key],0)),1))</f>
        <v>1</v>
      </c>
      <c r="F994" s="30">
        <f>IF($A994="",0,(Transactions!M986-Transactions!L986+IF(Transactions!A986=2,Transactions!H986,0))*$E994)</f>
        <v>0</v>
      </c>
      <c r="G994" s="30">
        <f>IF($A994="",0,IF(Transactions!A986=2,Transactions!H986*$E994,0))</f>
        <v>0</v>
      </c>
    </row>
    <row r="995" spans="1:7" ht="15" customHeight="1" x14ac:dyDescent="0.15">
      <c r="A995" t="str">
        <f>IF(Transactions!J987="","",Transactions!J987)</f>
        <v/>
      </c>
      <c r="B995" s="297">
        <f ca="1">IF($A995="",TODAY(),Transactions!G987)</f>
        <v>46216</v>
      </c>
      <c r="C995" t="str">
        <f>IF($A995="","",Transactions!A987)</f>
        <v/>
      </c>
      <c r="D995" s="30">
        <f>IF($A995="",0,Transactions!H987)</f>
        <v>0</v>
      </c>
      <c r="E995">
        <f>IF($A995="",1,IFERROR(INDEX(Prices[FX to SGD],MATCH($A995,Prices[Key],0)),1))</f>
        <v>1</v>
      </c>
      <c r="F995" s="30">
        <f>IF($A995="",0,(Transactions!M987-Transactions!L987+IF(Transactions!A987=2,Transactions!H987,0))*$E995)</f>
        <v>0</v>
      </c>
      <c r="G995" s="30">
        <f>IF($A995="",0,IF(Transactions!A987=2,Transactions!H987*$E995,0))</f>
        <v>0</v>
      </c>
    </row>
    <row r="996" spans="1:7" ht="15" customHeight="1" x14ac:dyDescent="0.15">
      <c r="A996" t="str">
        <f>IF(Transactions!J988="","",Transactions!J988)</f>
        <v/>
      </c>
      <c r="B996" s="297">
        <f ca="1">IF($A996="",TODAY(),Transactions!G988)</f>
        <v>46216</v>
      </c>
      <c r="C996" t="str">
        <f>IF($A996="","",Transactions!A988)</f>
        <v/>
      </c>
      <c r="D996" s="30">
        <f>IF($A996="",0,Transactions!H988)</f>
        <v>0</v>
      </c>
      <c r="E996">
        <f>IF($A996="",1,IFERROR(INDEX(Prices[FX to SGD],MATCH($A996,Prices[Key],0)),1))</f>
        <v>1</v>
      </c>
      <c r="F996" s="30">
        <f>IF($A996="",0,(Transactions!M988-Transactions!L988+IF(Transactions!A988=2,Transactions!H988,0))*$E996)</f>
        <v>0</v>
      </c>
      <c r="G996" s="30">
        <f>IF($A996="",0,IF(Transactions!A988=2,Transactions!H988*$E996,0))</f>
        <v>0</v>
      </c>
    </row>
    <row r="997" spans="1:7" ht="15" customHeight="1" x14ac:dyDescent="0.15">
      <c r="A997" t="str">
        <f>IF(Transactions!J989="","",Transactions!J989)</f>
        <v/>
      </c>
      <c r="B997" s="297">
        <f ca="1">IF($A997="",TODAY(),Transactions!G989)</f>
        <v>46216</v>
      </c>
      <c r="C997" t="str">
        <f>IF($A997="","",Transactions!A989)</f>
        <v/>
      </c>
      <c r="D997" s="30">
        <f>IF($A997="",0,Transactions!H989)</f>
        <v>0</v>
      </c>
      <c r="E997">
        <f>IF($A997="",1,IFERROR(INDEX(Prices[FX to SGD],MATCH($A997,Prices[Key],0)),1))</f>
        <v>1</v>
      </c>
      <c r="F997" s="30">
        <f>IF($A997="",0,(Transactions!M989-Transactions!L989+IF(Transactions!A989=2,Transactions!H989,0))*$E997)</f>
        <v>0</v>
      </c>
      <c r="G997" s="30">
        <f>IF($A997="",0,IF(Transactions!A989=2,Transactions!H989*$E997,0))</f>
        <v>0</v>
      </c>
    </row>
    <row r="998" spans="1:7" ht="15" customHeight="1" x14ac:dyDescent="0.15">
      <c r="A998" t="str">
        <f>IF(Transactions!J990="","",Transactions!J990)</f>
        <v/>
      </c>
      <c r="B998" s="297">
        <f ca="1">IF($A998="",TODAY(),Transactions!G990)</f>
        <v>46216</v>
      </c>
      <c r="C998" t="str">
        <f>IF($A998="","",Transactions!A990)</f>
        <v/>
      </c>
      <c r="D998" s="30">
        <f>IF($A998="",0,Transactions!H990)</f>
        <v>0</v>
      </c>
      <c r="E998">
        <f>IF($A998="",1,IFERROR(INDEX(Prices[FX to SGD],MATCH($A998,Prices[Key],0)),1))</f>
        <v>1</v>
      </c>
      <c r="F998" s="30">
        <f>IF($A998="",0,(Transactions!M990-Transactions!L990+IF(Transactions!A990=2,Transactions!H990,0))*$E998)</f>
        <v>0</v>
      </c>
      <c r="G998" s="30">
        <f>IF($A998="",0,IF(Transactions!A990=2,Transactions!H990*$E998,0))</f>
        <v>0</v>
      </c>
    </row>
    <row r="999" spans="1:7" ht="15" customHeight="1" x14ac:dyDescent="0.15">
      <c r="A999" t="str">
        <f>IF(Transactions!J991="","",Transactions!J991)</f>
        <v/>
      </c>
      <c r="B999" s="297">
        <f ca="1">IF($A999="",TODAY(),Transactions!G991)</f>
        <v>46216</v>
      </c>
      <c r="C999" t="str">
        <f>IF($A999="","",Transactions!A991)</f>
        <v/>
      </c>
      <c r="D999" s="30">
        <f>IF($A999="",0,Transactions!H991)</f>
        <v>0</v>
      </c>
      <c r="E999">
        <f>IF($A999="",1,IFERROR(INDEX(Prices[FX to SGD],MATCH($A999,Prices[Key],0)),1))</f>
        <v>1</v>
      </c>
      <c r="F999" s="30">
        <f>IF($A999="",0,(Transactions!M991-Transactions!L991+IF(Transactions!A991=2,Transactions!H991,0))*$E999)</f>
        <v>0</v>
      </c>
      <c r="G999" s="30">
        <f>IF($A999="",0,IF(Transactions!A991=2,Transactions!H991*$E999,0))</f>
        <v>0</v>
      </c>
    </row>
    <row r="1000" spans="1:7" ht="15" customHeight="1" x14ac:dyDescent="0.15">
      <c r="A1000" t="str">
        <f>IF(Transactions!J992="","",Transactions!J992)</f>
        <v/>
      </c>
      <c r="B1000" s="297">
        <f ca="1">IF($A1000="",TODAY(),Transactions!G992)</f>
        <v>46216</v>
      </c>
      <c r="C1000" t="str">
        <f>IF($A1000="","",Transactions!A992)</f>
        <v/>
      </c>
      <c r="D1000" s="30">
        <f>IF($A1000="",0,Transactions!H992)</f>
        <v>0</v>
      </c>
      <c r="E1000">
        <f>IF($A1000="",1,IFERROR(INDEX(Prices[FX to SGD],MATCH($A1000,Prices[Key],0)),1))</f>
        <v>1</v>
      </c>
      <c r="F1000" s="30">
        <f>IF($A1000="",0,(Transactions!M992-Transactions!L992+IF(Transactions!A992=2,Transactions!H992,0))*$E1000)</f>
        <v>0</v>
      </c>
      <c r="G1000" s="30">
        <f>IF($A1000="",0,IF(Transactions!A992=2,Transactions!H992*$E1000,0))</f>
        <v>0</v>
      </c>
    </row>
    <row r="1001" spans="1:7" ht="15" customHeight="1" x14ac:dyDescent="0.15">
      <c r="A1001" t="str">
        <f>IF(Transactions!J993="","",Transactions!J993)</f>
        <v/>
      </c>
      <c r="B1001" s="297">
        <f ca="1">IF($A1001="",TODAY(),Transactions!G993)</f>
        <v>46216</v>
      </c>
      <c r="C1001" t="str">
        <f>IF($A1001="","",Transactions!A993)</f>
        <v/>
      </c>
      <c r="D1001" s="30">
        <f>IF($A1001="",0,Transactions!H993)</f>
        <v>0</v>
      </c>
      <c r="E1001">
        <f>IF($A1001="",1,IFERROR(INDEX(Prices[FX to SGD],MATCH($A1001,Prices[Key],0)),1))</f>
        <v>1</v>
      </c>
      <c r="F1001" s="30">
        <f>IF($A1001="",0,(Transactions!M993-Transactions!L993+IF(Transactions!A993=2,Transactions!H993,0))*$E1001)</f>
        <v>0</v>
      </c>
      <c r="G1001" s="30">
        <f>IF($A1001="",0,IF(Transactions!A993=2,Transactions!H993*$E1001,0))</f>
        <v>0</v>
      </c>
    </row>
    <row r="1002" spans="1:7" ht="15" customHeight="1" x14ac:dyDescent="0.15">
      <c r="A1002" t="str">
        <f>IF(Transactions!J994="","",Transactions!J994)</f>
        <v/>
      </c>
      <c r="B1002" s="297">
        <f ca="1">IF($A1002="",TODAY(),Transactions!G994)</f>
        <v>46216</v>
      </c>
      <c r="C1002" t="str">
        <f>IF($A1002="","",Transactions!A994)</f>
        <v/>
      </c>
      <c r="D1002" s="30">
        <f>IF($A1002="",0,Transactions!H994)</f>
        <v>0</v>
      </c>
      <c r="E1002">
        <f>IF($A1002="",1,IFERROR(INDEX(Prices[FX to SGD],MATCH($A1002,Prices[Key],0)),1))</f>
        <v>1</v>
      </c>
      <c r="F1002" s="30">
        <f>IF($A1002="",0,(Transactions!M994-Transactions!L994+IF(Transactions!A994=2,Transactions!H994,0))*$E1002)</f>
        <v>0</v>
      </c>
      <c r="G1002" s="30">
        <f>IF($A1002="",0,IF(Transactions!A994=2,Transactions!H994*$E1002,0))</f>
        <v>0</v>
      </c>
    </row>
    <row r="1003" spans="1:7" ht="15" customHeight="1" x14ac:dyDescent="0.15">
      <c r="A1003" t="str">
        <f>IF(Transactions!J995="","",Transactions!J995)</f>
        <v/>
      </c>
      <c r="B1003" s="297">
        <f ca="1">IF($A1003="",TODAY(),Transactions!G995)</f>
        <v>46216</v>
      </c>
      <c r="C1003" t="str">
        <f>IF($A1003="","",Transactions!A995)</f>
        <v/>
      </c>
      <c r="D1003" s="30">
        <f>IF($A1003="",0,Transactions!H995)</f>
        <v>0</v>
      </c>
      <c r="E1003">
        <f>IF($A1003="",1,IFERROR(INDEX(Prices[FX to SGD],MATCH($A1003,Prices[Key],0)),1))</f>
        <v>1</v>
      </c>
      <c r="F1003" s="30">
        <f>IF($A1003="",0,(Transactions!M995-Transactions!L995+IF(Transactions!A995=2,Transactions!H995,0))*$E1003)</f>
        <v>0</v>
      </c>
      <c r="G1003" s="30">
        <f>IF($A1003="",0,IF(Transactions!A995=2,Transactions!H995*$E1003,0))</f>
        <v>0</v>
      </c>
    </row>
    <row r="1004" spans="1:7" ht="15" customHeight="1" x14ac:dyDescent="0.15">
      <c r="A1004" t="str">
        <f>IF(Transactions!J996="","",Transactions!J996)</f>
        <v/>
      </c>
      <c r="B1004" s="297">
        <f ca="1">IF($A1004="",TODAY(),Transactions!G996)</f>
        <v>46216</v>
      </c>
      <c r="C1004" t="str">
        <f>IF($A1004="","",Transactions!A996)</f>
        <v/>
      </c>
      <c r="D1004" s="30">
        <f>IF($A1004="",0,Transactions!H996)</f>
        <v>0</v>
      </c>
      <c r="E1004">
        <f>IF($A1004="",1,IFERROR(INDEX(Prices[FX to SGD],MATCH($A1004,Prices[Key],0)),1))</f>
        <v>1</v>
      </c>
      <c r="F1004" s="30">
        <f>IF($A1004="",0,(Transactions!M996-Transactions!L996+IF(Transactions!A996=2,Transactions!H996,0))*$E1004)</f>
        <v>0</v>
      </c>
      <c r="G1004" s="30">
        <f>IF($A1004="",0,IF(Transactions!A996=2,Transactions!H996*$E1004,0))</f>
        <v>0</v>
      </c>
    </row>
    <row r="1005" spans="1:7" ht="15" customHeight="1" x14ac:dyDescent="0.15">
      <c r="A1005" t="str">
        <f>IF(Transactions!J997="","",Transactions!J997)</f>
        <v/>
      </c>
      <c r="B1005" s="297">
        <f ca="1">IF($A1005="",TODAY(),Transactions!G997)</f>
        <v>46216</v>
      </c>
      <c r="C1005" t="str">
        <f>IF($A1005="","",Transactions!A997)</f>
        <v/>
      </c>
      <c r="D1005" s="30">
        <f>IF($A1005="",0,Transactions!H997)</f>
        <v>0</v>
      </c>
      <c r="E1005">
        <f>IF($A1005="",1,IFERROR(INDEX(Prices[FX to SGD],MATCH($A1005,Prices[Key],0)),1))</f>
        <v>1</v>
      </c>
      <c r="F1005" s="30">
        <f>IF($A1005="",0,(Transactions!M997-Transactions!L997+IF(Transactions!A997=2,Transactions!H997,0))*$E1005)</f>
        <v>0</v>
      </c>
      <c r="G1005" s="30">
        <f>IF($A1005="",0,IF(Transactions!A997=2,Transactions!H997*$E1005,0))</f>
        <v>0</v>
      </c>
    </row>
    <row r="1006" spans="1:7" ht="15" customHeight="1" x14ac:dyDescent="0.15">
      <c r="A1006" t="str">
        <f>IF(Transactions!J998="","",Transactions!J998)</f>
        <v/>
      </c>
      <c r="B1006" s="297">
        <f ca="1">IF($A1006="",TODAY(),Transactions!G998)</f>
        <v>46216</v>
      </c>
      <c r="C1006" t="str">
        <f>IF($A1006="","",Transactions!A998)</f>
        <v/>
      </c>
      <c r="D1006" s="30">
        <f>IF($A1006="",0,Transactions!H998)</f>
        <v>0</v>
      </c>
      <c r="E1006">
        <f>IF($A1006="",1,IFERROR(INDEX(Prices[FX to SGD],MATCH($A1006,Prices[Key],0)),1))</f>
        <v>1</v>
      </c>
      <c r="F1006" s="30">
        <f>IF($A1006="",0,(Transactions!M998-Transactions!L998+IF(Transactions!A998=2,Transactions!H998,0))*$E1006)</f>
        <v>0</v>
      </c>
      <c r="G1006" s="30">
        <f>IF($A1006="",0,IF(Transactions!A998=2,Transactions!H998*$E1006,0))</f>
        <v>0</v>
      </c>
    </row>
    <row r="1007" spans="1:7" ht="15" customHeight="1" x14ac:dyDescent="0.15">
      <c r="A1007" t="str">
        <f>IF(Transactions!J999="","",Transactions!J999)</f>
        <v/>
      </c>
      <c r="B1007" s="297">
        <f ca="1">IF($A1007="",TODAY(),Transactions!G999)</f>
        <v>46216</v>
      </c>
      <c r="C1007" t="str">
        <f>IF($A1007="","",Transactions!A999)</f>
        <v/>
      </c>
      <c r="D1007" s="30">
        <f>IF($A1007="",0,Transactions!H999)</f>
        <v>0</v>
      </c>
      <c r="E1007">
        <f>IF($A1007="",1,IFERROR(INDEX(Prices[FX to SGD],MATCH($A1007,Prices[Key],0)),1))</f>
        <v>1</v>
      </c>
      <c r="F1007" s="30">
        <f>IF($A1007="",0,(Transactions!M999-Transactions!L999+IF(Transactions!A999=2,Transactions!H999,0))*$E1007)</f>
        <v>0</v>
      </c>
      <c r="G1007" s="30">
        <f>IF($A1007="",0,IF(Transactions!A999=2,Transactions!H999*$E1007,0))</f>
        <v>0</v>
      </c>
    </row>
    <row r="1008" spans="1:7" ht="15" customHeight="1" x14ac:dyDescent="0.15">
      <c r="A1008" t="str">
        <f>IF(Transactions!J1000="","",Transactions!J1000)</f>
        <v/>
      </c>
      <c r="B1008" s="297">
        <f ca="1">IF($A1008="",TODAY(),Transactions!G1000)</f>
        <v>46216</v>
      </c>
      <c r="C1008" t="str">
        <f>IF($A1008="","",Transactions!A1000)</f>
        <v/>
      </c>
      <c r="D1008" s="30">
        <f>IF($A1008="",0,Transactions!H1000)</f>
        <v>0</v>
      </c>
      <c r="E1008">
        <f>IF($A1008="",1,IFERROR(INDEX(Prices[FX to SGD],MATCH($A1008,Prices[Key],0)),1))</f>
        <v>1</v>
      </c>
      <c r="F1008" s="30">
        <f>IF($A1008="",0,(Transactions!M1000-Transactions!L1000+IF(Transactions!A1000=2,Transactions!H1000,0))*$E1008)</f>
        <v>0</v>
      </c>
      <c r="G1008" s="30">
        <f>IF($A1008="",0,IF(Transactions!A1000=2,Transactions!H1000*$E1008,0))</f>
        <v>0</v>
      </c>
    </row>
    <row r="1009" spans="1:7" ht="15" customHeight="1" x14ac:dyDescent="0.15">
      <c r="A1009" t="str">
        <f>IF(Transactions!J1001="","",Transactions!J1001)</f>
        <v/>
      </c>
      <c r="B1009" s="297">
        <f ca="1">IF($A1009="",TODAY(),Transactions!G1001)</f>
        <v>46216</v>
      </c>
      <c r="C1009" t="str">
        <f>IF($A1009="","",Transactions!A1001)</f>
        <v/>
      </c>
      <c r="D1009" s="30">
        <f>IF($A1009="",0,Transactions!H1001)</f>
        <v>0</v>
      </c>
      <c r="E1009">
        <f>IF($A1009="",1,IFERROR(INDEX(Prices[FX to SGD],MATCH($A1009,Prices[Key],0)),1))</f>
        <v>1</v>
      </c>
      <c r="F1009" s="30">
        <f>IF($A1009="",0,(Transactions!M1001-Transactions!L1001+IF(Transactions!A1001=2,Transactions!H1001,0))*$E1009)</f>
        <v>0</v>
      </c>
      <c r="G1009" s="30">
        <f>IF($A1009="",0,IF(Transactions!A1001=2,Transactions!H1001*$E1009,0))</f>
        <v>0</v>
      </c>
    </row>
    <row r="1010" spans="1:7" ht="15" customHeight="1" x14ac:dyDescent="0.15">
      <c r="A1010" t="s">
        <v>540</v>
      </c>
      <c r="B1010" s="297">
        <f ca="1">TODAY()</f>
        <v>46216</v>
      </c>
      <c r="F1010" s="30">
        <f>'Stock Dashboard'!$B$5</f>
        <v>177864.44309718916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Start Here</vt:lpstr>
      <vt:lpstr>Dashboard</vt:lpstr>
      <vt:lpstr>Settings</vt:lpstr>
      <vt:lpstr>Balance Sheet</vt:lpstr>
      <vt:lpstr>Cash Flow</vt:lpstr>
      <vt:lpstr>Net Worth History</vt:lpstr>
      <vt:lpstr>Insurance</vt:lpstr>
      <vt:lpstr>Housing</vt:lpstr>
      <vt:lpstr>Loan Calculator</vt:lpstr>
      <vt:lpstr>Retirement Plan</vt:lpstr>
      <vt:lpstr>Savings Goal Calculator</vt:lpstr>
      <vt:lpstr>Transactions</vt:lpstr>
      <vt:lpstr>Prices</vt:lpstr>
      <vt:lpstr>Stock Dashboard</vt:lpstr>
      <vt:lpstr>Portfolio History</vt:lpstr>
      <vt:lpstr>Shares</vt:lpstr>
      <vt:lpstr>All Ticker P&amp;L</vt:lpstr>
      <vt:lpstr>Portfolio Analysis</vt:lpstr>
      <vt:lpstr>ColumnTitle1</vt:lpstr>
      <vt:lpstr>InterestRate</vt:lpstr>
      <vt:lpstr>LoanAmount</vt:lpstr>
      <vt:lpstr>LoanStartDate</vt:lpstr>
      <vt:lpstr>LoanYears</vt:lpstr>
      <vt:lpstr>NumberOfPayments</vt:lpstr>
      <vt:lpstr>'Loan Calculator'!Print_Titles</vt:lpstr>
      <vt:lpstr>RowTitleRegion1..D6</vt:lpstr>
      <vt:lpstr>RowTitleRegion2..H6</vt:lpstr>
      <vt:lpstr>Total_Interest</vt:lpstr>
      <vt:lpstr>TotalLoanCost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 Finance Template</dc:creator>
  <dc:description/>
  <cp:lastModifiedBy>Dennis Chew</cp:lastModifiedBy>
  <cp:revision>8</cp:revision>
  <cp:lastPrinted>2008-09-01T06:34:14Z</cp:lastPrinted>
  <dcterms:created xsi:type="dcterms:W3CDTF">2006-08-22T12:51:56Z</dcterms:created>
  <dcterms:modified xsi:type="dcterms:W3CDTF">2026-07-13T14:46:49Z</dcterms:modified>
  <dc:language>en-US</dc:language>
</cp:coreProperties>
</file>